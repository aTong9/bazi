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3.xml" ContentType="application/vnd.openxmlformats-officedocument.spreadsheetml.worksheet+xml"/>
  <Override PartName="/xl/tables/table8.xml" ContentType="application/vnd.openxmlformats-officedocument.spreadsheetml.table+xml"/>
  <Override PartName="/xl/worksheets/sheet4.xml" ContentType="application/vnd.openxmlformats-officedocument.spreadsheetml.worksheet+xml"/>
  <Override PartName="/xl/tables/table9.xml" ContentType="application/vnd.openxmlformats-officedocument.spreadsheetml.table+xml"/>
  <Override PartName="/xl/worksheets/sheet5.xml" ContentType="application/vnd.openxmlformats-officedocument.spreadsheetml.worksheet+xml"/>
  <Override PartName="/xl/tables/table10.xml" ContentType="application/vnd.openxmlformats-officedocument.spreadsheetml.table+xml"/>
  <Override PartName="/xl/worksheets/sheet6.xml" ContentType="application/vnd.openxmlformats-officedocument.spreadsheetml.worksheet+xml"/>
  <Override PartName="/xl/tables/table11.xml" ContentType="application/vnd.openxmlformats-officedocument.spreadsheetml.table+xml"/>
  <Override PartName="/xl/worksheets/sheet7.xml" ContentType="application/vnd.openxmlformats-officedocument.spreadsheetml.worksheet+xml"/>
  <Override PartName="/xl/tables/table12.xml" ContentType="application/vnd.openxmlformats-officedocument.spreadsheetml.table+xml"/>
  <Override PartName="/xl/worksheets/sheet8.xml" ContentType="application/vnd.openxmlformats-officedocument.spreadsheetml.worksheet+xml"/>
  <Override PartName="/xl/tables/table13.xml" ContentType="application/vnd.openxmlformats-officedocument.spreadsheetml.table+xml"/>
  <Override PartName="/xl/worksheets/sheet9.xml" ContentType="application/vnd.openxmlformats-officedocument.spreadsheetml.worksheet+xml"/>
  <Override PartName="/xl/tables/table14.xml" ContentType="application/vnd.openxmlformats-officedocument.spreadsheetml.table+xml"/>
  <Override PartName="/xl/worksheets/sheet10.xml" ContentType="application/vnd.openxmlformats-officedocument.spreadsheetml.worksheet+xml"/>
  <Override PartName="/xl/tables/table15.xml" ContentType="application/vnd.openxmlformats-officedocument.spreadsheetml.table+xml"/>
  <Override PartName="/xl/worksheets/sheet11.xml" ContentType="application/vnd.openxmlformats-officedocument.spreadsheetml.worksheet+xml"/>
  <Override PartName="/xl/tables/table16.xml" ContentType="application/vnd.openxmlformats-officedocument.spreadsheetml.table+xml"/>
  <Override PartName="/xl/worksheets/sheet12.xml" ContentType="application/vnd.openxmlformats-officedocument.spreadsheetml.worksheet+xml"/>
  <Override PartName="/xl/tables/table17.xml" ContentType="application/vnd.openxmlformats-officedocument.spreadsheetml.table+xml"/>
  <Override PartName="/xl/worksheets/sheet13.xml" ContentType="application/vnd.openxmlformats-officedocument.spreadsheetml.worksheet+xml"/>
  <Override PartName="/xl/tables/table18.xml" ContentType="application/vnd.openxmlformats-officedocument.spreadsheetml.table+xml"/>
  <Override PartName="/xl/worksheets/sheet14.xml" ContentType="application/vnd.openxmlformats-officedocument.spreadsheetml.worksheet+xml"/>
  <Override PartName="/xl/tables/table19.xml" ContentType="application/vnd.openxmlformats-officedocument.spreadsheetml.table+xml"/>
  <Override PartName="/xl/worksheets/sheet15.xml" ContentType="application/vnd.openxmlformats-officedocument.spreadsheetml.worksheet+xml"/>
  <Override PartName="/xl/tables/table20.xml" ContentType="application/vnd.openxmlformats-officedocument.spreadsheetml.table+xml"/>
  <Override PartName="/xl/worksheets/sheet16.xml" ContentType="application/vnd.openxmlformats-officedocument.spreadsheetml.worksheet+xml"/>
  <Override PartName="/xl/tables/table21.xml" ContentType="application/vnd.openxmlformats-officedocument.spreadsheetml.table+xml"/>
  <Override PartName="/xl/worksheets/sheet17.xml" ContentType="application/vnd.openxmlformats-officedocument.spreadsheetml.worksheet+xml"/>
  <Override PartName="/xl/tables/table22.xml" ContentType="application/vnd.openxmlformats-officedocument.spreadsheetml.table+xml"/>
  <Override PartName="/xl/worksheets/sheet18.xml" ContentType="application/vnd.openxmlformats-officedocument.spreadsheetml.worksheet+xml"/>
  <Override PartName="/xl/tables/table23.xml" ContentType="application/vnd.openxmlformats-officedocument.spreadsheetml.table+xml"/>
  <Override PartName="/xl/worksheets/sheet19.xml" ContentType="application/vnd.openxmlformats-officedocument.spreadsheetml.worksheet+xml"/>
  <Override PartName="/xl/tables/table24.xml" ContentType="application/vnd.openxmlformats-officedocument.spreadsheetml.table+xml"/>
  <Override PartName="/xl/worksheets/sheet20.xml" ContentType="application/vnd.openxmlformats-officedocument.spreadsheetml.worksheet+xml"/>
  <Override PartName="/xl/tables/table25.xml" ContentType="application/vnd.openxmlformats-officedocument.spreadsheetml.table+xml"/>
  <Override PartName="/xl/worksheets/sheet21.xml" ContentType="application/vnd.openxmlformats-officedocument.spreadsheetml.worksheet+xml"/>
  <Override PartName="/xl/tables/table26.xml" ContentType="application/vnd.openxmlformats-officedocument.spreadsheetml.table+xml"/>
  <Override PartName="/xl/worksheets/sheet22.xml" ContentType="application/vnd.openxmlformats-officedocument.spreadsheetml.worksheet+xml"/>
  <Override PartName="/xl/tables/table27.xml" ContentType="application/vnd.openxmlformats-officedocument.spreadsheetml.table+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943c7b4c874763" /></Relationships>
</file>

<file path=xl/workbook.xml><?xml version="1.0" encoding="utf-8"?>
<x:workbook xmlns:x="http://schemas.openxmlformats.org/spreadsheetml/2006/main">
  <x:sheets>
    <x:sheet xmlns:r="http://schemas.openxmlformats.org/officeDocument/2006/relationships" name="00_使用说明" sheetId="1" r:id="R7a7bd554b3294a08"/>
    <x:sheet xmlns:r="http://schemas.openxmlformats.org/officeDocument/2006/relationships" name="01_术语与编码" sheetId="2" r:id="R523ce4d3ee1844a4"/>
    <x:sheet xmlns:r="http://schemas.openxmlformats.org/officeDocument/2006/relationships" name="02_干支藏干基础" sheetId="3" r:id="R434636cf6cbb4b62"/>
    <x:sheet xmlns:r="http://schemas.openxmlformats.org/officeDocument/2006/relationships" name="03_月令与根气" sheetId="4" r:id="R77a0ef41a5524268"/>
    <x:sheet xmlns:r="http://schemas.openxmlformats.org/officeDocument/2006/relationships" name="04_天干作用识别" sheetId="5" r:id="R341c24251bff4760"/>
    <x:sheet xmlns:r="http://schemas.openxmlformats.org/officeDocument/2006/relationships" name="05_地支关系识别" sheetId="6" r:id="R3e337b864fbb472c"/>
    <x:sheet xmlns:r="http://schemas.openxmlformats.org/officeDocument/2006/relationships" name="06_干支关系效应" sheetId="7" r:id="Rb351e39488cd43b8"/>
    <x:sheet xmlns:r="http://schemas.openxmlformats.org/officeDocument/2006/relationships" name="07_五行原始旺衰" sheetId="8" r:id="R44031b04bb0e4c8b"/>
    <x:sheet xmlns:r="http://schemas.openxmlformats.org/officeDocument/2006/relationships" name="08_五行有效旺衰" sheetId="9" r:id="Rc9e22cfd201a42c4"/>
    <x:sheet xmlns:r="http://schemas.openxmlformats.org/officeDocument/2006/relationships" name="09_日主旺衰" sheetId="10" r:id="Rb1f653dc7524446b"/>
    <x:sheet xmlns:r="http://schemas.openxmlformats.org/officeDocument/2006/relationships" name="10_十神旺衰功能" sheetId="11" r:id="Ra7b59bd5df1b4b72"/>
    <x:sheet xmlns:r="http://schemas.openxmlformats.org/officeDocument/2006/relationships" name="11_十神组合成立" sheetId="12" r:id="Re866769602804fb0"/>
    <x:sheet xmlns:r="http://schemas.openxmlformats.org/officeDocument/2006/relationships" name="12_五行流通卡点" sheetId="13" r:id="R9e8f84a3889b46b5"/>
    <x:sheet xmlns:r="http://schemas.openxmlformats.org/officeDocument/2006/relationships" name="13_寒暖燥湿" sheetId="14" r:id="Rb44ca6a9f3a740a9"/>
    <x:sheet xmlns:r="http://schemas.openxmlformats.org/officeDocument/2006/relationships" name="14_格局候选判断" sheetId="15" r:id="R9c6f7fa089924511"/>
    <x:sheet xmlns:r="http://schemas.openxmlformats.org/officeDocument/2006/relationships" name="15_格局成败救应" sheetId="16" r:id="R148f888f21be4661"/>
    <x:sheet xmlns:r="http://schemas.openxmlformats.org/officeDocument/2006/relationships" name="16_病药模型" sheetId="17" r:id="R162345046d654333"/>
    <x:sheet xmlns:r="http://schemas.openxmlformats.org/officeDocument/2006/relationships" name="17_喜忌用神矩阵" sheetId="18" r:id="R06caf57e7d884e84"/>
    <x:sheet xmlns:r="http://schemas.openxmlformats.org/officeDocument/2006/relationships" name="18_冲突裁决规则" sheetId="19" r:id="Rc7c0878766874b60"/>
    <x:sheet xmlns:r="http://schemas.openxmlformats.org/officeDocument/2006/relationships" name="19_综合输出模板" sheetId="20" r:id="Rec831ca2cd104869"/>
    <x:sheet xmlns:r="http://schemas.openxmlformats.org/officeDocument/2006/relationships" name="20_案例测试" sheetId="21" r:id="Re498d93a5c8340f9"/>
    <x:sheet xmlns:r="http://schemas.openxmlformats.org/officeDocument/2006/relationships" name="21_版本与争议规则" sheetId="22" r:id="Rc4dc67e50c4c4db1"/>
    <x:sheet xmlns:r="http://schemas.openxmlformats.org/officeDocument/2006/relationships" name="99_下拉选项" sheetId="23" r:id="R0de533440acc4b65"/>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
    <x:numFmt numFmtId="201" formatCode="yyyy-mm-dd"/>
    <x:numFmt numFmtId="202" formatCode="0"/>
    <x:numFmt numFmtId="203" formatCode="0%"/>
    <x:numFmt numFmtId="204" formatCode="@"/>
  </x:numFmts>
  <x:fonts count="16">
    <x:font>
      <x:sz val="11"/>
      <x:name val="Carlito"/>
    </x:font>
    <x:font>
      <x:b/>
      <x:sz val="16"/>
      <x:color rgb="FFFFFFFF"/>
      <x:name val="Carlito"/>
    </x:font>
    <x:font>
      <x:sz val="11"/>
      <x:color rgb="FF172033"/>
      <x:name val="Carlito"/>
    </x:font>
    <x:font>
      <x:b/>
      <x:sz val="11"/>
      <x:color rgb="FFFFFFFF"/>
      <x:name val="Carlito"/>
    </x:font>
    <x:font>
      <x:b/>
      <x:sz val="15"/>
      <x:color rgb="FFFFFFFF"/>
      <x:name val="Carlito"/>
    </x:font>
    <x:font>
      <x:sz val="10"/>
      <x:color rgb="FF172033"/>
      <x:name val="Carlito"/>
    </x:font>
    <x:font>
      <x:sz val="9"/>
      <x:color rgb="FF115E59"/>
      <x:name val="Carlito"/>
    </x:font>
    <x:font>
      <x:i/>
      <x:sz val="9"/>
      <x:color rgb="FF7C5B00"/>
      <x:name val="Carlito"/>
    </x:font>
    <x:font>
      <x:b/>
      <x:sz val="9"/>
      <x:color rgb="FFFFFFFF"/>
      <x:name val="Carlito"/>
    </x:font>
    <x:font>
      <x:sz val="9"/>
      <x:color rgb="FF172033"/>
      <x:name val="Carlito"/>
    </x:font>
    <x:font>
      <x:i/>
      <x:sz val="11"/>
      <x:color rgb="FF7C5B00"/>
      <x:name val="Carlito"/>
    </x:font>
    <x:font>
      <x:sz val="9"/>
      <x:name val="Carlito"/>
    </x:font>
    <x:font>
      <x:b/>
      <x:sz val="17"/>
      <x:color rgb="FFFFFFFF"/>
      <x:name val="Carlito"/>
    </x:font>
    <x:font>
      <x:b/>
      <x:sz val="16"/>
      <x:color rgb="FF172033"/>
      <x:name val="Carlito"/>
    </x:font>
    <x:font>
      <x:b/>
      <x:sz val="9"/>
      <x:color rgb="FF115E59"/>
      <x:name val="Carlito"/>
    </x:font>
    <x:font>
      <x:b/>
      <x:sz val="9"/>
      <x:color rgb="FF172033"/>
      <x:name val="Carlito"/>
    </x:font>
  </x:fonts>
  <x:fills count="14">
    <x:fill>
      <x:patternFill patternType="none"/>
    </x:fill>
    <x:fill>
      <x:patternFill patternType="gray125"/>
    </x:fill>
    <x:fill>
      <x:patternFill patternType="solid">
        <x:fgColor rgb="FF172033"/>
      </x:patternFill>
    </x:fill>
    <x:fill>
      <x:patternFill patternType="solid">
        <x:fgColor rgb="FFFFF7D6"/>
      </x:patternFill>
    </x:fill>
    <x:fill>
      <x:patternFill patternType="solid">
        <x:fgColor rgb="FF334155"/>
      </x:patternFill>
    </x:fill>
    <x:fill>
      <x:patternFill patternType="solid">
        <x:fgColor rgb="FFEEF2F7"/>
      </x:patternFill>
    </x:fill>
    <x:fill>
      <x:patternFill patternType="solid">
        <x:fgColor rgb="FFE6FFFA"/>
      </x:patternFill>
    </x:fill>
    <x:fill>
      <x:patternFill patternType="solid">
        <x:fgColor rgb="FFE8F1FB"/>
      </x:patternFill>
    </x:fill>
    <x:fill>
      <x:patternFill patternType="solid">
        <x:fgColor rgb="FFF8FAFC"/>
      </x:patternFill>
    </x:fill>
    <x:fill>
      <x:patternFill patternType="solid">
        <x:fgColor rgb="FFFFF4CC"/>
      </x:patternFill>
    </x:fill>
    <x:fill>
      <x:patternFill patternType="solid">
        <x:fgColor rgb="FFFFFBEA"/>
      </x:patternFill>
    </x:fill>
    <x:fill>
      <x:patternFill patternType="solid">
        <x:fgColor rgb="FFECFDF5"/>
      </x:patternFill>
    </x:fill>
    <x:fill>
      <x:patternFill patternType="solid">
        <x:fgColor rgb="FFFFF1F2"/>
      </x:patternFill>
    </x:fill>
    <x:fill>
      <x:patternFill patternType="solid">
        <x:fgColor rgb="FF0F766E"/>
      </x:patternFill>
    </x:fill>
  </x:fills>
  <x:borders count="2">
    <x:border/>
    <x:border/>
  </x:borders>
  <x:cellStyleXfs count="1">
    <x:xf numFmtId="0" fontId="0" fillId="0" borderId="0"/>
  </x:cellStyleXfs>
  <x:cellXfs count="2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4" fillId="2" borderId="1" xfId="0" applyNumberFormat="1" applyFont="1" applyFill="1" applyBorder="1"/>
    <x:xf numFmtId="0" fontId="4" fillId="2" borderId="1" xfId="0" applyNumberFormat="1" applyFont="1" applyFill="1" applyBorder="1" applyAlignment="1">
      <x:alignment horizontal="left"/>
    </x:xf>
    <x:xf numFmtId="0" fontId="4" fillId="2" borderId="1" xfId="0" applyNumberFormat="1" applyFont="1" applyFill="1" applyBorder="1" applyAlignment="1">
      <x:alignment horizontal="lef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wrapText="1"/>
    </x:xf>
    <x:xf numFmtId="0" fontId="6" fillId="6" borderId="1" xfId="0" applyNumberFormat="1" applyFont="1" applyFill="1" applyBorder="1" applyAlignment="1">
      <x:alignment vertical="center"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7" fillId="3" borderId="1" xfId="0" applyNumberFormat="1" applyFont="1" applyFill="1" applyBorder="1"/>
    <x:xf numFmtId="0" fontId="7" fillId="3" borderId="1" xfId="0" applyNumberFormat="1" applyFont="1" applyFill="1" applyBorder="1" applyAlignment="1">
      <x:alignment wrapText="1"/>
    </x:xf>
    <x:xf numFmtId="0" fontId="7" fillId="3" borderId="1" xfId="0" applyNumberFormat="1" applyFont="1" applyFill="1" applyBorder="1" applyAlignment="1">
      <x:alignment vertical="center" wrapText="1"/>
    </x:xf>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horizontal="center" wrapText="1"/>
    </x:xf>
    <x:xf numFmtId="0" fontId="8" fillId="4" borderId="0" xfId="0" applyNumberFormat="1" applyFont="1" applyFill="1" applyBorder="1" applyAlignment="1">
      <x:alignment horizontal="center" vertical="center" wrapText="1"/>
    </x:xf>
    <x:xf numFmtId="0" fontId="8" fillId="4" borderId="1" xfId="0" applyNumberFormat="1" applyFont="1" applyFill="1" applyBorder="1"/>
    <x:xf numFmtId="0" fontId="8" fillId="4" borderId="1" xfId="0" applyNumberFormat="1" applyFont="1" applyFill="1" applyBorder="1" applyAlignment="1">
      <x:alignment wrapText="1"/>
    </x:xf>
    <x:xf numFmtId="0" fontId="8" fillId="4" borderId="1" xfId="0" applyNumberFormat="1" applyFont="1" applyFill="1" applyBorder="1" applyAlignment="1">
      <x:alignment horizontal="center" wrapText="1"/>
    </x:xf>
    <x:xf numFmtId="0" fontId="8" fillId="4" borderId="1"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0" borderId="1" xfId="0" applyNumberFormat="1" applyFont="1" applyFill="1" applyBorder="1"/>
    <x:xf numFmtId="0" fontId="9" fillId="0" borderId="1" xfId="0" applyNumberFormat="1" applyFont="1" applyFill="1" applyBorder="1" applyAlignment="1">
      <x:alignment wrapText="1"/>
    </x:xf>
    <x:xf numFmtId="0" fontId="9" fillId="0" borderId="1" xfId="0" applyNumberFormat="1" applyFont="1" applyFill="1" applyBorder="1" applyAlignment="1">
      <x:alignment vertical="top" wrapText="1"/>
    </x:xf>
    <x:xf numFmtId="0" fontId="9" fillId="7" borderId="0" xfId="0" applyNumberFormat="1" applyFont="1" applyFill="1" applyBorder="1" applyAlignment="1">
      <x:alignment vertical="top" wrapText="1"/>
    </x:xf>
    <x:xf numFmtId="0" fontId="9" fillId="7" borderId="1" xfId="0" applyNumberFormat="1" applyFont="1" applyFill="1" applyBorder="1" applyAlignment="1">
      <x:alignment vertical="top" wrapText="1"/>
    </x:xf>
    <x:xf numFmtId="0" fontId="9" fillId="8" borderId="0" xfId="0" applyNumberFormat="1" applyFont="1" applyFill="1" applyBorder="1" applyAlignment="1">
      <x:alignment vertical="top" wrapText="1"/>
    </x:xf>
    <x:xf numFmtId="0" fontId="9" fillId="8" borderId="1"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9" fillId="9" borderId="1" xfId="0" applyNumberFormat="1" applyFont="1" applyFill="1" applyBorder="1" applyAlignment="1">
      <x:alignment vertical="top" wrapText="1"/>
    </x:xf>
    <x:xf numFmtId="200" fontId="9" fillId="9" borderId="0" xfId="0" applyNumberFormat="1" applyFont="1" applyFill="1" applyBorder="1" applyAlignment="1">
      <x:alignment vertical="top" wrapText="1"/>
    </x:xf>
    <x:xf numFmtId="200" fontId="9" fillId="8" borderId="0" xfId="0" applyNumberFormat="1" applyFont="1" applyFill="1" applyBorder="1" applyAlignment="1">
      <x:alignment vertical="top" wrapText="1"/>
    </x:xf>
    <x:xf numFmtId="200" fontId="9" fillId="9" borderId="1" xfId="0" applyNumberFormat="1" applyFont="1" applyFill="1" applyBorder="1" applyAlignment="1">
      <x:alignment vertical="top" wrapText="1"/>
    </x:xf>
    <x:xf numFmtId="200" fontId="9" fillId="8" borderId="1"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1" xfId="0" applyNumberFormat="1" applyFont="1" applyFill="1" applyBorder="1" applyAlignment="1">
      <x:alignment vertical="top" wrapText="1"/>
    </x:xf>
    <x:xf numFmtId="0" fontId="9" fillId="11" borderId="0" xfId="0" applyNumberFormat="1" applyFont="1" applyFill="1" applyBorder="1" applyAlignment="1">
      <x:alignment vertical="top" wrapText="1"/>
    </x:xf>
    <x:xf numFmtId="0" fontId="9" fillId="11" borderId="1" xfId="0" applyNumberFormat="1" applyFont="1" applyFill="1" applyBorder="1" applyAlignment="1">
      <x:alignment vertical="top" wrapText="1"/>
    </x:xf>
    <x:xf numFmtId="201" fontId="9" fillId="9" borderId="0" xfId="0" applyNumberFormat="1" applyFont="1" applyFill="1" applyBorder="1" applyAlignment="1">
      <x:alignment vertical="top" wrapText="1"/>
    </x:xf>
    <x:xf numFmtId="201" fontId="9" fillId="0" borderId="0" xfId="0" applyNumberFormat="1" applyFont="1" applyFill="1" applyBorder="1" applyAlignment="1">
      <x:alignment vertical="top" wrapText="1"/>
    </x:xf>
    <x:xf numFmtId="201" fontId="9" fillId="9" borderId="1" xfId="0" applyNumberFormat="1" applyFont="1" applyFill="1" applyBorder="1" applyAlignment="1">
      <x:alignment vertical="top" wrapText="1"/>
    </x:xf>
    <x:xf numFmtId="201" fontId="9" fillId="0" borderId="1" xfId="0" applyNumberFormat="1" applyFont="1" applyFill="1" applyBorder="1" applyAlignment="1">
      <x:alignment vertical="top" wrapText="1"/>
    </x:xf>
    <x:xf numFmtId="0" fontId="9" fillId="12" borderId="0" xfId="0" applyNumberFormat="1" applyFont="1" applyFill="1" applyBorder="1" applyAlignment="1">
      <x:alignment vertical="top" wrapText="1"/>
    </x:xf>
    <x:xf numFmtId="0" fontId="9" fillId="12" borderId="1" xfId="0" applyNumberFormat="1" applyFont="1" applyFill="1" applyBorder="1" applyAlignment="1">
      <x:alignment vertical="top" wrapText="1"/>
    </x:xf>
    <x:xf numFmtId="0" fontId="10" fillId="3" borderId="0" xfId="0" applyNumberFormat="1" applyFont="1" applyFill="1" applyBorder="1"/>
    <x:xf numFmtId="0" fontId="10" fillId="3" borderId="0" xfId="0" applyNumberFormat="1" applyFont="1" applyFill="1" applyBorder="1" applyAlignment="1">
      <x:alignment wrapText="1"/>
    </x:xf>
    <x:xf numFmtId="0" fontId="10" fillId="3" borderId="0" xfId="0" applyNumberFormat="1" applyFont="1" applyFill="1" applyBorder="1" applyAlignment="1">
      <x:alignment vertical="center" wrapText="1"/>
    </x:xf>
    <x:xf numFmtId="0" fontId="10" fillId="3" borderId="1" xfId="0" applyNumberFormat="1" applyFont="1" applyFill="1" applyBorder="1"/>
    <x:xf numFmtId="0" fontId="10" fillId="3" borderId="1" xfId="0" applyNumberFormat="1" applyFont="1" applyFill="1" applyBorder="1" applyAlignment="1">
      <x:alignment wrapText="1"/>
    </x:xf>
    <x:xf numFmtId="0" fontId="10" fillId="3" borderId="1" xfId="0" applyNumberFormat="1" applyFont="1" applyFill="1" applyBorder="1" applyAlignment="1">
      <x:alignment vertical="center" wrapText="1"/>
    </x:xf>
    <x:xf numFmtId="202" fontId="9" fillId="0" borderId="0" xfId="0" applyNumberFormat="1" applyFont="1" applyFill="1" applyBorder="1" applyAlignment="1">
      <x:alignment vertical="top" wrapText="1"/>
    </x:xf>
    <x:xf numFmtId="202" fontId="9" fillId="0" borderId="1" xfId="0" applyNumberFormat="1" applyFont="1" applyFill="1" applyBorder="1" applyAlignment="1">
      <x:alignment vertical="top" wrapText="1"/>
    </x:xf>
    <x:xf numFmtId="0" fontId="0" fillId="13" borderId="0" xfId="0" applyNumberFormat="1" applyFont="1" applyFill="1" applyBorder="1"/>
    <x:xf numFmtId="0" fontId="8" fillId="13" borderId="0" xfId="0" applyNumberFormat="1" applyFont="1" applyFill="1" applyBorder="1"/>
    <x:xf numFmtId="0" fontId="8" fillId="13" borderId="0" xfId="0" applyNumberFormat="1" applyFont="1" applyFill="1" applyBorder="1" applyAlignment="1">
      <x:alignment wrapText="1"/>
    </x:xf>
    <x:xf numFmtId="0" fontId="8" fillId="13" borderId="0" xfId="0" applyNumberFormat="1" applyFont="1" applyFill="1" applyBorder="1" applyAlignment="1">
      <x:alignment horizontal="center" wrapText="1"/>
    </x:xf>
    <x:xf numFmtId="0" fontId="8" fillId="13" borderId="0" xfId="0" applyNumberFormat="1" applyFont="1" applyFill="1" applyBorder="1" applyAlignment="1">
      <x:alignment horizontal="center" vertical="center" wrapText="1"/>
    </x:xf>
    <x:xf numFmtId="0" fontId="0" fillId="13" borderId="1" xfId="0" applyNumberFormat="1" applyFont="1" applyFill="1" applyBorder="1"/>
    <x:xf numFmtId="0" fontId="8" fillId="13" borderId="1" xfId="0" applyNumberFormat="1" applyFont="1" applyFill="1" applyBorder="1"/>
    <x:xf numFmtId="0" fontId="8" fillId="13" borderId="1" xfId="0" applyNumberFormat="1" applyFont="1" applyFill="1" applyBorder="1" applyAlignment="1">
      <x:alignment wrapText="1"/>
    </x:xf>
    <x:xf numFmtId="0" fontId="8" fillId="13" borderId="1" xfId="0" applyNumberFormat="1" applyFont="1" applyFill="1" applyBorder="1" applyAlignment="1">
      <x:alignment horizontal="center" wrapText="1"/>
    </x:xf>
    <x:xf numFmtId="0" fontId="8" fillId="13" borderId="1" xfId="0" applyNumberFormat="1" applyFont="1" applyFill="1" applyBorder="1" applyAlignment="1">
      <x:alignment horizontal="center" vertical="center"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xf numFmtId="0" fontId="11" fillId="0" borderId="1" xfId="0" applyNumberFormat="1" applyFont="1" applyFill="1" applyBorder="1"/>
    <x:xf numFmtId="0" fontId="11" fillId="0" borderId="1" xfId="0" applyNumberFormat="1" applyFont="1" applyFill="1" applyBorder="1" applyAlignment="1">
      <x:alignment wrapText="1"/>
    </x:xf>
    <x:xf numFmtId="0" fontId="11" fillId="0" borderId="1" xfId="0" applyNumberFormat="1" applyFont="1" applyFill="1" applyBorder="1" applyAlignment="1">
      <x:alignment vertical="top" wrapText="1"/>
    </x:xf>
    <x:xf numFmtId="0" fontId="12" fillId="2" borderId="0" xfId="0" applyNumberFormat="1" applyFont="1" applyFill="1" applyBorder="1"/>
    <x:xf numFmtId="0" fontId="12" fillId="2" borderId="0" xfId="0" applyNumberFormat="1" applyFont="1" applyFill="1" applyBorder="1" applyAlignment="1">
      <x:alignment horizontal="left"/>
    </x:xf>
    <x:xf numFmtId="0" fontId="12" fillId="2" borderId="0" xfId="0" applyNumberFormat="1" applyFont="1" applyFill="1" applyBorder="1" applyAlignment="1">
      <x:alignment horizontal="left" vertical="center"/>
    </x:xf>
    <x:xf numFmtId="0" fontId="12" fillId="2" borderId="1" xfId="0" applyNumberFormat="1" applyFont="1" applyFill="1" applyBorder="1"/>
    <x:xf numFmtId="0" fontId="12" fillId="2" borderId="1" xfId="0" applyNumberFormat="1" applyFont="1" applyFill="1" applyBorder="1" applyAlignment="1">
      <x:alignment horizontal="left"/>
    </x:xf>
    <x:xf numFmtId="0" fontId="12" fillId="2" borderId="1" xfId="0" applyNumberFormat="1" applyFont="1" applyFill="1" applyBorder="1" applyAlignment="1">
      <x:alignment horizontal="left" vertical="center"/>
    </x:xf>
    <x:xf numFmtId="0" fontId="8" fillId="13" borderId="0" xfId="0" applyNumberFormat="1" applyFont="1" applyFill="1" applyBorder="1" applyAlignment="1">
      <x:alignment horizontal="center"/>
    </x:xf>
    <x:xf numFmtId="0" fontId="8" fillId="13" borderId="0" xfId="0" applyNumberFormat="1" applyFont="1" applyFill="1" applyBorder="1" applyAlignment="1">
      <x:alignment horizontal="center" vertical="center"/>
    </x:xf>
    <x:xf numFmtId="0" fontId="8" fillId="13" borderId="1" xfId="0" applyNumberFormat="1" applyFont="1" applyFill="1" applyBorder="1" applyAlignment="1">
      <x:alignment horizontal="center"/>
    </x:xf>
    <x:xf numFmtId="0" fontId="8" fillId="13" borderId="1" xfId="0" applyNumberFormat="1" applyFont="1" applyFill="1" applyBorder="1" applyAlignment="1">
      <x:alignment horizontal="center" vertical="center"/>
    </x:xf>
    <x:xf numFmtId="0" fontId="0" fillId="8" borderId="0" xfId="0" applyNumberFormat="1" applyFont="1" applyFill="1" applyBorder="1"/>
    <x:xf numFmtId="0" fontId="13" fillId="8" borderId="0" xfId="0" applyNumberFormat="1" applyFont="1" applyFill="1" applyBorder="1"/>
    <x:xf numFmtId="202" fontId="13" fillId="8" borderId="0" xfId="0" applyNumberFormat="1" applyFont="1" applyFill="1" applyBorder="1"/>
    <x:xf numFmtId="202" fontId="13" fillId="8" borderId="0" xfId="0" applyNumberFormat="1" applyFont="1" applyFill="1" applyBorder="1" applyAlignment="1">
      <x:alignment horizontal="center"/>
    </x:xf>
    <x:xf numFmtId="202" fontId="13" fillId="8" borderId="0" xfId="0" applyNumberFormat="1" applyFont="1" applyFill="1" applyBorder="1" applyAlignment="1">
      <x:alignment horizontal="center" vertical="center"/>
    </x:xf>
    <x:xf numFmtId="0" fontId="0" fillId="8" borderId="1" xfId="0" applyNumberFormat="1" applyFont="1" applyFill="1" applyBorder="1"/>
    <x:xf numFmtId="0" fontId="13" fillId="8" borderId="1" xfId="0" applyNumberFormat="1" applyFont="1" applyFill="1" applyBorder="1"/>
    <x:xf numFmtId="202" fontId="13" fillId="8" borderId="1" xfId="0" applyNumberFormat="1" applyFont="1" applyFill="1" applyBorder="1"/>
    <x:xf numFmtId="202" fontId="13" fillId="8" borderId="1" xfId="0" applyNumberFormat="1" applyFont="1" applyFill="1" applyBorder="1" applyAlignment="1">
      <x:alignment horizontal="center"/>
    </x:xf>
    <x:xf numFmtId="202" fontId="13" fillId="8" borderId="1" xfId="0" applyNumberFormat="1" applyFont="1" applyFill="1" applyBorder="1" applyAlignment="1">
      <x:alignment horizontal="center" vertical="center"/>
    </x:xf>
    <x:xf numFmtId="203" fontId="13" fillId="8" borderId="0" xfId="0" applyNumberFormat="1" applyFont="1" applyFill="1" applyBorder="1"/>
    <x:xf numFmtId="203" fontId="13" fillId="8" borderId="0" xfId="0" applyNumberFormat="1" applyFont="1" applyFill="1" applyBorder="1" applyAlignment="1">
      <x:alignment horizontal="center"/>
    </x:xf>
    <x:xf numFmtId="203" fontId="13" fillId="8" borderId="0" xfId="0" applyNumberFormat="1" applyFont="1" applyFill="1" applyBorder="1" applyAlignment="1">
      <x:alignment horizontal="center" vertical="center"/>
    </x:xf>
    <x:xf numFmtId="203" fontId="13" fillId="8" borderId="1" xfId="0" applyNumberFormat="1" applyFont="1" applyFill="1" applyBorder="1"/>
    <x:xf numFmtId="203" fontId="13" fillId="8" borderId="1" xfId="0" applyNumberFormat="1" applyFont="1" applyFill="1" applyBorder="1" applyAlignment="1">
      <x:alignment horizontal="center"/>
    </x:xf>
    <x:xf numFmtId="203" fontId="13" fillId="8" borderId="1" xfId="0" applyNumberFormat="1" applyFont="1" applyFill="1" applyBorder="1" applyAlignment="1">
      <x:alignment horizontal="center" vertical="center"/>
    </x:xf>
    <x:xf numFmtId="204" fontId="13" fillId="8" borderId="0" xfId="0" applyNumberFormat="1" applyFont="1" applyFill="1" applyBorder="1"/>
    <x:xf numFmtId="204" fontId="13" fillId="8" borderId="0" xfId="0" applyNumberFormat="1" applyFont="1" applyFill="1" applyBorder="1" applyAlignment="1">
      <x:alignment horizontal="center"/>
    </x:xf>
    <x:xf numFmtId="204" fontId="13" fillId="8" borderId="0" xfId="0" applyNumberFormat="1" applyFont="1" applyFill="1" applyBorder="1" applyAlignment="1">
      <x:alignment horizontal="center" vertical="center"/>
    </x:xf>
    <x:xf numFmtId="204" fontId="13" fillId="8" borderId="1" xfId="0" applyNumberFormat="1" applyFont="1" applyFill="1" applyBorder="1"/>
    <x:xf numFmtId="204" fontId="13" fillId="8" borderId="1" xfId="0" applyNumberFormat="1" applyFont="1" applyFill="1" applyBorder="1" applyAlignment="1">
      <x:alignment horizontal="center"/>
    </x:xf>
    <x:xf numFmtId="204" fontId="13" fillId="8" borderId="1" xfId="0" applyNumberFormat="1" applyFont="1" applyFill="1" applyBorder="1" applyAlignment="1">
      <x:alignment horizontal="center" vertical="center"/>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0" fontId="8" fillId="4" borderId="0" xfId="0" applyNumberFormat="1" applyFont="1" applyFill="1" applyBorder="1" applyAlignment="1">
      <x:alignment horizontal="left"/>
    </x:xf>
    <x:xf numFmtId="0" fontId="8" fillId="4" borderId="0" xfId="0" applyNumberFormat="1" applyFont="1" applyFill="1" applyBorder="1" applyAlignment="1">
      <x:alignment horizontal="left" vertical="center"/>
    </x:xf>
    <x:xf numFmtId="0" fontId="8" fillId="4" borderId="1" xfId="0" applyNumberFormat="1" applyFont="1" applyFill="1" applyBorder="1" applyAlignment="1">
      <x:alignment horizontal="left"/>
    </x:xf>
    <x:xf numFmtId="0" fontId="8" fillId="4" borderId="1" xfId="0" applyNumberFormat="1" applyFont="1" applyFill="1" applyBorder="1" applyAlignment="1">
      <x:alignment horizontal="left" vertical="center"/>
    </x:xf>
    <x:xf numFmtId="0" fontId="14" fillId="0" borderId="0" xfId="0" applyNumberFormat="1" applyFont="1" applyFill="1" applyBorder="1" applyAlignment="1">
      <x:alignment vertical="top" wrapText="1"/>
    </x:xf>
    <x:xf numFmtId="0" fontId="14" fillId="0" borderId="1" xfId="0" applyNumberFormat="1" applyFont="1" applyFill="1" applyBorder="1" applyAlignment="1">
      <x:alignment vertical="top" wrapText="1"/>
    </x:xf>
    <x:xf numFmtId="203" fontId="11" fillId="0" borderId="0" xfId="0" applyNumberFormat="1" applyFont="1" applyFill="1" applyBorder="1" applyAlignment="1">
      <x:alignment vertical="top" wrapText="1"/>
    </x:xf>
    <x:xf numFmtId="203" fontId="11" fillId="0" borderId="1" xfId="0" applyNumberFormat="1" applyFont="1" applyFill="1" applyBorder="1" applyAlignment="1">
      <x:alignment vertical="top" wrapText="1"/>
    </x:xf>
    <x:xf numFmtId="0" fontId="0" fillId="7" borderId="0" xfId="0" applyNumberFormat="1" applyFont="1" applyFill="1" applyBorder="1"/>
    <x:xf numFmtId="0" fontId="15" fillId="7" borderId="0" xfId="0" applyNumberFormat="1" applyFont="1" applyFill="1" applyBorder="1"/>
    <x:xf numFmtId="0" fontId="15" fillId="7" borderId="0" xfId="0" applyNumberFormat="1" applyFont="1" applyFill="1" applyBorder="1" applyAlignment="1">
      <x:alignment wrapText="1"/>
    </x:xf>
    <x:xf numFmtId="0" fontId="15" fillId="7" borderId="0" xfId="0" applyNumberFormat="1" applyFont="1" applyFill="1" applyBorder="1" applyAlignment="1">
      <x:alignment horizontal="center" wrapText="1"/>
    </x:xf>
    <x:xf numFmtId="0" fontId="15" fillId="7" borderId="0" xfId="0" applyNumberFormat="1" applyFont="1" applyFill="1" applyBorder="1" applyAlignment="1">
      <x:alignment horizontal="center" vertical="center" wrapText="1"/>
    </x:xf>
    <x:xf numFmtId="0" fontId="0" fillId="7" borderId="1" xfId="0" applyNumberFormat="1" applyFont="1" applyFill="1" applyBorder="1"/>
    <x:xf numFmtId="0" fontId="15" fillId="7" borderId="1" xfId="0" applyNumberFormat="1" applyFont="1" applyFill="1" applyBorder="1"/>
    <x:xf numFmtId="0" fontId="15" fillId="7" borderId="1" xfId="0" applyNumberFormat="1" applyFont="1" applyFill="1" applyBorder="1" applyAlignment="1">
      <x:alignment wrapText="1"/>
    </x:xf>
    <x:xf numFmtId="0" fontId="15" fillId="7" borderId="1" xfId="0" applyNumberFormat="1" applyFont="1" applyFill="1" applyBorder="1" applyAlignment="1">
      <x:alignment horizontal="center" wrapText="1"/>
    </x:xf>
    <x:xf numFmtId="0" fontId="15" fillId="7" borderId="1" xfId="0" applyNumberFormat="1" applyFont="1" applyFill="1" applyBorder="1" applyAlignment="1">
      <x:alignment horizontal="center" vertical="center" wrapText="1"/>
    </x:xf>
    <x:xf numFmtId="0" fontId="0" fillId="10" borderId="0" xfId="0" applyNumberFormat="1" applyFont="1" applyFill="1" applyBorder="1"/>
    <x:xf numFmtId="0" fontId="15" fillId="10" borderId="0" xfId="0" applyNumberFormat="1" applyFont="1" applyFill="1" applyBorder="1"/>
    <x:xf numFmtId="0" fontId="15" fillId="10" borderId="0" xfId="0" applyNumberFormat="1" applyFont="1" applyFill="1" applyBorder="1" applyAlignment="1">
      <x:alignment wrapText="1"/>
    </x:xf>
    <x:xf numFmtId="0" fontId="15" fillId="10" borderId="0" xfId="0" applyNumberFormat="1" applyFont="1" applyFill="1" applyBorder="1" applyAlignment="1">
      <x:alignment horizontal="center" wrapText="1"/>
    </x:xf>
    <x:xf numFmtId="0" fontId="15" fillId="10" borderId="0" xfId="0" applyNumberFormat="1" applyFont="1" applyFill="1" applyBorder="1" applyAlignment="1">
      <x:alignment horizontal="center" vertical="center" wrapText="1"/>
    </x:xf>
    <x:xf numFmtId="0" fontId="0" fillId="10" borderId="1" xfId="0" applyNumberFormat="1" applyFont="1" applyFill="1" applyBorder="1"/>
    <x:xf numFmtId="0" fontId="15" fillId="10" borderId="1" xfId="0" applyNumberFormat="1" applyFont="1" applyFill="1" applyBorder="1"/>
    <x:xf numFmtId="0" fontId="15" fillId="10" borderId="1" xfId="0" applyNumberFormat="1" applyFont="1" applyFill="1" applyBorder="1" applyAlignment="1">
      <x:alignment wrapText="1"/>
    </x:xf>
    <x:xf numFmtId="0" fontId="15" fillId="10" borderId="1" xfId="0" applyNumberFormat="1" applyFont="1" applyFill="1" applyBorder="1" applyAlignment="1">
      <x:alignment horizontal="center" wrapText="1"/>
    </x:xf>
    <x:xf numFmtId="0" fontId="15" fillId="10" borderId="1" xfId="0" applyNumberFormat="1" applyFont="1" applyFill="1" applyBorder="1" applyAlignment="1">
      <x:alignment horizontal="center" vertical="center" wrapText="1"/>
    </x:xf>
    <x:xf numFmtId="0" fontId="0" fillId="11" borderId="0" xfId="0" applyNumberFormat="1" applyFont="1" applyFill="1" applyBorder="1"/>
    <x:xf numFmtId="0" fontId="15" fillId="11" borderId="0" xfId="0" applyNumberFormat="1" applyFont="1" applyFill="1" applyBorder="1"/>
    <x:xf numFmtId="0" fontId="15" fillId="11" borderId="0" xfId="0" applyNumberFormat="1" applyFont="1" applyFill="1" applyBorder="1" applyAlignment="1">
      <x:alignment wrapText="1"/>
    </x:xf>
    <x:xf numFmtId="0" fontId="15" fillId="11" borderId="0" xfId="0" applyNumberFormat="1" applyFont="1" applyFill="1" applyBorder="1" applyAlignment="1">
      <x:alignment horizontal="center" wrapText="1"/>
    </x:xf>
    <x:xf numFmtId="0" fontId="15" fillId="11" borderId="0" xfId="0" applyNumberFormat="1" applyFont="1" applyFill="1" applyBorder="1" applyAlignment="1">
      <x:alignment horizontal="center" vertical="center" wrapText="1"/>
    </x:xf>
    <x:xf numFmtId="0" fontId="0" fillId="11" borderId="1" xfId="0" applyNumberFormat="1" applyFont="1" applyFill="1" applyBorder="1"/>
    <x:xf numFmtId="0" fontId="15" fillId="11" borderId="1" xfId="0" applyNumberFormat="1" applyFont="1" applyFill="1" applyBorder="1"/>
    <x:xf numFmtId="0" fontId="15" fillId="11" borderId="1" xfId="0" applyNumberFormat="1" applyFont="1" applyFill="1" applyBorder="1" applyAlignment="1">
      <x:alignment wrapText="1"/>
    </x:xf>
    <x:xf numFmtId="0" fontId="15" fillId="11" borderId="1" xfId="0" applyNumberFormat="1" applyFont="1" applyFill="1" applyBorder="1" applyAlignment="1">
      <x:alignment horizontal="center" wrapText="1"/>
    </x:xf>
    <x:xf numFmtId="0" fontId="15" fillId="11" borderId="1" xfId="0" applyNumberFormat="1" applyFont="1" applyFill="1" applyBorder="1" applyAlignment="1">
      <x:alignment horizontal="center" vertical="center" wrapText="1"/>
    </x:xf>
    <x:xf numFmtId="0" fontId="0" fillId="12" borderId="0" xfId="0" applyNumberFormat="1" applyFont="1" applyFill="1" applyBorder="1"/>
    <x:xf numFmtId="0" fontId="15" fillId="12" borderId="0" xfId="0" applyNumberFormat="1" applyFont="1" applyFill="1" applyBorder="1"/>
    <x:xf numFmtId="0" fontId="15" fillId="12" borderId="0" xfId="0" applyNumberFormat="1" applyFont="1" applyFill="1" applyBorder="1" applyAlignment="1">
      <x:alignment wrapText="1"/>
    </x:xf>
    <x:xf numFmtId="0" fontId="15" fillId="12" borderId="0" xfId="0" applyNumberFormat="1" applyFont="1" applyFill="1" applyBorder="1" applyAlignment="1">
      <x:alignment horizontal="center" wrapText="1"/>
    </x:xf>
    <x:xf numFmtId="0" fontId="15" fillId="12" borderId="0" xfId="0" applyNumberFormat="1" applyFont="1" applyFill="1" applyBorder="1" applyAlignment="1">
      <x:alignment horizontal="center" vertical="center" wrapText="1"/>
    </x:xf>
    <x:xf numFmtId="0" fontId="0" fillId="12" borderId="1" xfId="0" applyNumberFormat="1" applyFont="1" applyFill="1" applyBorder="1"/>
    <x:xf numFmtId="0" fontId="15" fillId="12" borderId="1" xfId="0" applyNumberFormat="1" applyFont="1" applyFill="1" applyBorder="1"/>
    <x:xf numFmtId="0" fontId="15" fillId="12" borderId="1" xfId="0" applyNumberFormat="1" applyFont="1" applyFill="1" applyBorder="1" applyAlignment="1">
      <x:alignment wrapText="1"/>
    </x:xf>
    <x:xf numFmtId="0" fontId="15" fillId="12" borderId="1" xfId="0" applyNumberFormat="1" applyFont="1" applyFill="1" applyBorder="1" applyAlignment="1">
      <x:alignment horizontal="center" wrapText="1"/>
    </x:xf>
    <x:xf numFmtId="0" fontId="15" fillId="12" borderId="1" xfId="0" applyNumberFormat="1" applyFont="1" applyFill="1" applyBorder="1" applyAlignment="1">
      <x:alignment horizontal="center" vertical="center" wrapText="1"/>
    </x:xf>
    <x:xf numFmtId="0" fontId="0" fillId="9" borderId="0" xfId="0" applyNumberFormat="1" applyFont="1" applyFill="1" applyBorder="1"/>
    <x:xf numFmtId="0" fontId="15" fillId="9" borderId="0" xfId="0" applyNumberFormat="1" applyFont="1" applyFill="1" applyBorder="1"/>
    <x:xf numFmtId="0" fontId="15" fillId="9" borderId="0" xfId="0" applyNumberFormat="1" applyFont="1" applyFill="1" applyBorder="1" applyAlignment="1">
      <x:alignment wrapText="1"/>
    </x:xf>
    <x:xf numFmtId="0" fontId="15" fillId="9" borderId="0" xfId="0" applyNumberFormat="1" applyFont="1" applyFill="1" applyBorder="1" applyAlignment="1">
      <x:alignment horizontal="center" wrapText="1"/>
    </x:xf>
    <x:xf numFmtId="0" fontId="15" fillId="9" borderId="0" xfId="0" applyNumberFormat="1" applyFont="1" applyFill="1" applyBorder="1" applyAlignment="1">
      <x:alignment horizontal="center" vertical="center" wrapText="1"/>
    </x:xf>
    <x:xf numFmtId="0" fontId="0" fillId="9" borderId="1" xfId="0" applyNumberFormat="1" applyFont="1" applyFill="1" applyBorder="1"/>
    <x:xf numFmtId="0" fontId="15" fillId="9" borderId="1" xfId="0" applyNumberFormat="1" applyFont="1" applyFill="1" applyBorder="1"/>
    <x:xf numFmtId="0" fontId="15" fillId="9" borderId="1" xfId="0" applyNumberFormat="1" applyFont="1" applyFill="1" applyBorder="1" applyAlignment="1">
      <x:alignment wrapText="1"/>
    </x:xf>
    <x:xf numFmtId="0" fontId="15" fillId="9" borderId="1" xfId="0" applyNumberFormat="1" applyFont="1" applyFill="1" applyBorder="1" applyAlignment="1">
      <x:alignment horizontal="center" wrapText="1"/>
    </x:xf>
    <x:xf numFmtId="0" fontId="15" fillId="9" borderId="1" xfId="0" applyNumberFormat="1" applyFont="1" applyFill="1" applyBorder="1" applyAlignment="1">
      <x:alignment horizontal="center" vertical="center" wrapText="1"/>
    </x:xf>
    <x:xf numFmtId="0" fontId="0" fillId="0" borderId="0" xfId="0" applyNumberFormat="1" applyFont="1" applyFill="1" applyBorder="1"/>
    <x:xf numFmtId="201" fontId="0" fillId="0" borderId="0" xfId="0" applyNumberFormat="1" applyFont="1" applyFill="1" applyBorder="1"/>
    <x:xf numFmtId="0" fontId="0" fillId="0" borderId="0" xfId="0" applyNumberFormat="1" applyFont="1" applyFill="1" applyBorder="1" applyAlignment="1">
      <x:alignment vertical="top" wrapText="1"/>
    </x:xf>
    <x:xf numFmtId="202" fontId="9" fillId="8"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cellXfs>
  <x:cellStyles count="1">
    <x:cellStyle name="Normal" xfId="0"/>
  </x:cellStyles>
  <x:dxfs count="20">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f90068a5f7c4994" /><Relationship Type="http://schemas.openxmlformats.org/officeDocument/2006/relationships/theme" Target="/xl/theme/theme1.xml" Id="Rdd7f9f50a44943cb" /><Relationship Type="http://schemas.openxmlformats.org/officeDocument/2006/relationships/sharedStrings" Target="/xl/sharedStrings.xml" Id="Rd83462ad852a43f0" /><Relationship Type="http://schemas.openxmlformats.org/officeDocument/2006/relationships/worksheet" Target="/xl/worksheets/sheet1.xml" Id="R7a7bd554b3294a08" /><Relationship Type="http://schemas.openxmlformats.org/officeDocument/2006/relationships/worksheet" Target="/xl/worksheets/sheet2.xml" Id="R523ce4d3ee1844a4" /><Relationship Type="http://schemas.openxmlformats.org/officeDocument/2006/relationships/worksheet" Target="/xl/worksheets/sheet3.xml" Id="R434636cf6cbb4b62" /><Relationship Type="http://schemas.openxmlformats.org/officeDocument/2006/relationships/worksheet" Target="/xl/worksheets/sheet4.xml" Id="R77a0ef41a5524268" /><Relationship Type="http://schemas.openxmlformats.org/officeDocument/2006/relationships/worksheet" Target="/xl/worksheets/sheet5.xml" Id="R341c24251bff4760" /><Relationship Type="http://schemas.openxmlformats.org/officeDocument/2006/relationships/worksheet" Target="/xl/worksheets/sheet6.xml" Id="R3e337b864fbb472c" /><Relationship Type="http://schemas.openxmlformats.org/officeDocument/2006/relationships/worksheet" Target="/xl/worksheets/sheet7.xml" Id="Rb351e39488cd43b8" /><Relationship Type="http://schemas.openxmlformats.org/officeDocument/2006/relationships/worksheet" Target="/xl/worksheets/sheet8.xml" Id="R44031b04bb0e4c8b" /><Relationship Type="http://schemas.openxmlformats.org/officeDocument/2006/relationships/worksheet" Target="/xl/worksheets/sheet9.xml" Id="Rc9e22cfd201a42c4" /><Relationship Type="http://schemas.openxmlformats.org/officeDocument/2006/relationships/worksheet" Target="/xl/worksheets/sheet10.xml" Id="Rb1f653dc7524446b" /><Relationship Type="http://schemas.openxmlformats.org/officeDocument/2006/relationships/worksheet" Target="/xl/worksheets/sheet11.xml" Id="Ra7b59bd5df1b4b72" /><Relationship Type="http://schemas.openxmlformats.org/officeDocument/2006/relationships/worksheet" Target="/xl/worksheets/sheet12.xml" Id="Re866769602804fb0" /><Relationship Type="http://schemas.openxmlformats.org/officeDocument/2006/relationships/worksheet" Target="/xl/worksheets/sheet13.xml" Id="R9e8f84a3889b46b5" /><Relationship Type="http://schemas.openxmlformats.org/officeDocument/2006/relationships/worksheet" Target="/xl/worksheets/sheet14.xml" Id="Rb44ca6a9f3a740a9" /><Relationship Type="http://schemas.openxmlformats.org/officeDocument/2006/relationships/worksheet" Target="/xl/worksheets/sheet15.xml" Id="R9c6f7fa089924511" /><Relationship Type="http://schemas.openxmlformats.org/officeDocument/2006/relationships/worksheet" Target="/xl/worksheets/sheet16.xml" Id="R148f888f21be4661" /><Relationship Type="http://schemas.openxmlformats.org/officeDocument/2006/relationships/worksheet" Target="/xl/worksheets/sheet17.xml" Id="R162345046d654333" /><Relationship Type="http://schemas.openxmlformats.org/officeDocument/2006/relationships/worksheet" Target="/xl/worksheets/sheet18.xml" Id="R06caf57e7d884e84" /><Relationship Type="http://schemas.openxmlformats.org/officeDocument/2006/relationships/worksheet" Target="/xl/worksheets/sheet19.xml" Id="Rc7c0878766874b60" /><Relationship Type="http://schemas.openxmlformats.org/officeDocument/2006/relationships/worksheet" Target="/xl/worksheets/sheet20.xml" Id="Rec831ca2cd104869" /><Relationship Type="http://schemas.openxmlformats.org/officeDocument/2006/relationships/worksheet" Target="/xl/worksheets/sheet21.xml" Id="Re498d93a5c8340f9" /><Relationship Type="http://schemas.openxmlformats.org/officeDocument/2006/relationships/worksheet" Target="/xl/worksheets/sheet22.xml" Id="Rc4dc67e50c4c4db1" /><Relationship Type="http://schemas.openxmlformats.org/officeDocument/2006/relationships/worksheet" Target="/xl/worksheets/sheet23.xml" Id="R0de533440acc4b65" /></Relationships>
</file>

<file path=xl/tables/table1.xml><?xml version="1.0" encoding="utf-8"?>
<x:table xmlns:x="http://schemas.openxmlformats.org/spreadsheetml/2006/main" id="25" name="T_InferenceLayers" displayName="T_InferenceLayers" ref="A10:E15" headerRowCount="1" totalsRowCount="0" totalsRowShown="0">
  <x:tableColumns count="5">
    <x:tableColumn id="1" name="层级"/>
    <x:tableColumn id="2" name="核心问题"/>
    <x:tableColumn id="3" name="主要模块"/>
    <x:tableColumn id="4" name="禁止跨越的边界"/>
    <x:tableColumn id="5" name="主要输出"/>
  </x:tableColumns>
  <x:tableStyleInfo name="TableStyleMedium2" showFirstColumn="0" showLastColumn="0" showRowStripes="1" showColumnStripes="0"/>
</x:table>
</file>

<file path=xl/tables/table2.xml><?xml version="1.0" encoding="utf-8"?>
<x:table xmlns:x="http://schemas.openxmlformats.org/spreadsheetml/2006/main" id="26" name="T_ModuleMap" displayName="T_ModuleMap" ref="A17:N37" headerRowCount="1" totalsRowCount="0" totalsRowShown="0">
  <x:tableColumns count="14">
    <x:tableColumn id="1" name="序号"/>
    <x:tableColumn id="2" name="模块代码"/>
    <x:tableColumn id="3" name="工作表"/>
    <x:tableColumn id="4" name="规则层级"/>
    <x:tableColumn id="5" name="核心职责"/>
    <x:tableColumn id="6" name="前置依赖"/>
    <x:tableColumn id="7" name="主要输出"/>
    <x:tableColumn id="8" name="直接下游"/>
    <x:tableColumn id="9" name="建设阶段"/>
    <x:tableColumn id="10" name="建议目标规则数"/>
    <x:tableColumn id="11" name="已录入正式记录"/>
    <x:tableColumn id="12" name="完成率"/>
    <x:tableColumn id="13" name="当前状态"/>
    <x:tableColumn id="14" name="备注"/>
  </x:tableColumns>
  <x:tableStyleInfo name="TableStyleMedium2" showFirstColumn="0" showLastColumn="0" showRowStripes="1" showColumnStripes="0"/>
</x:table>
</file>

<file path=xl/tables/table3.xml><?xml version="1.0" encoding="utf-8"?>
<x:table xmlns:x="http://schemas.openxmlformats.org/spreadsheetml/2006/main" id="27" name="T_AnalysisFlow" displayName="T_AnalysisFlow" ref="A41:E59" headerRowCount="1" totalsRowCount="0" totalsRowShown="0">
  <x:tableColumns count="5">
    <x:tableColumn id="1" name="步骤"/>
    <x:tableColumn id="2" name="处理任务"/>
    <x:tableColumn id="3" name="主要输入模块"/>
    <x:tableColumn id="4" name="主要输出模块/结果"/>
    <x:tableColumn id="5" name="必须检查"/>
  </x:tableColumns>
  <x:tableStyleInfo name="TableStyleMedium2" showFirstColumn="0" showLastColumn="0" showRowStripes="1" showColumnStripes="0"/>
</x:table>
</file>

<file path=xl/tables/table4.xml><?xml version="1.0" encoding="utf-8"?>
<x:table xmlns:x="http://schemas.openxmlformats.org/spreadsheetml/2006/main" id="22" name="T_RuleIDSpec" displayName="T_RuleIDSpec" ref="J5:Q10" headerRowCount="1" totalsRowCount="0" totalsRowShown="0">
  <x:tableColumns count="8">
    <x:tableColumn id="1" name="段位"/>
    <x:tableColumn id="2" name="字段名称"/>
    <x:tableColumn id="3" name="规范"/>
    <x:tableColumn id="4" name="示例"/>
    <x:tableColumn id="5" name="生成逻辑"/>
    <x:tableColumn id="6" name="是否必填"/>
    <x:tableColumn id="7" name="变更规则"/>
    <x:tableColumn id="8" name="说明"/>
  </x:tableColumns>
  <x:tableStyleInfo name="TableStyleMedium2" showFirstColumn="0" showLastColumn="0" showRowStripes="1" showColumnStripes="0"/>
</x:table>
</file>

<file path=xl/tables/table5.xml><?xml version="1.0" encoding="utf-8"?>
<x:table xmlns:x="http://schemas.openxmlformats.org/spreadsheetml/2006/main" id="23" name="T_VersionGovernance" displayName="T_VersionGovernance" ref="J13:Q19" headerRowCount="1" totalsRowCount="0" totalsRowShown="0">
  <x:tableColumns count="8">
    <x:tableColumn id="1" name="变更场景"/>
    <x:tableColumn id="2" name="是否沿用ID"/>
    <x:tableColumn id="3" name="版本动作"/>
    <x:tableColumn id="4" name="旧规则状态"/>
    <x:tableColumn id="5" name="M21动作"/>
    <x:tableColumn id="6" name="案例动作"/>
    <x:tableColumn id="7" name="允许直接覆盖"/>
    <x:tableColumn id="8" name="示例"/>
  </x:tableColumns>
  <x:tableStyleInfo name="TableStyleMedium2" showFirstColumn="0" showLastColumn="0" showRowStripes="1" showColumnStripes="0"/>
</x:table>
</file>

<file path=xl/tables/table6.xml><?xml version="1.0" encoding="utf-8"?>
<x:table xmlns:x="http://schemas.openxmlformats.org/spreadsheetml/2006/main" id="24" name="T_FieldArchitecture" displayName="T_FieldArchitecture" ref="J22:Q28" headerRowCount="1" totalsRowCount="0" totalsRowShown="0">
  <x:tableColumns count="8">
    <x:tableColumn id="1" name="字段组"/>
    <x:tableColumn id="2" name="代表字段"/>
    <x:tableColumn id="3" name="目的"/>
    <x:tableColumn id="4" name="填写时点"/>
    <x:tableColumn id="5" name="空值规则"/>
    <x:tableColumn id="6" name="颜色提示"/>
    <x:tableColumn id="7" name="审核重点"/>
    <x:tableColumn id="8" name="错误示例"/>
  </x:tableColumns>
  <x:tableStyleInfo name="TableStyleMedium2" showFirstColumn="0" showLastColumn="0" showRowStripes="1" showColumnStripes="0"/>
</x:table>
</file>

<file path=xl/tables/table7.xml><?xml version="1.0" encoding="utf-8"?>
<x:table xmlns:x="http://schemas.openxmlformats.org/spreadsheetml/2006/main" id="28" name="T_CodeDictionary" displayName="T_CodeDictionary" ref="A5:H588" headerRowCount="1" totalsRowCount="0" totalsRowShown="0">
  <x:tableColumns count="8">
    <x:tableColumn id="1" name="编码类型"/>
    <x:tableColumn id="2" name="编码"/>
    <x:tableColumn id="3" name="中文名称"/>
    <x:tableColumn id="4" name="标准定义"/>
    <x:tableColumn id="5" name="适用字段"/>
    <x:tableColumn id="6" name="排序"/>
    <x:tableColumn id="7" name="是否启用"/>
    <x:tableColumn id="8" name="备注"/>
  </x:tableColumns>
  <x:tableStyleInfo name="TableStyleMedium2" showFirstColumn="0" showLastColumn="0" showRowStripes="1" showColumnStripes="0"/>
</x:table>
</file>

<file path=xl/tables/table8.xml><?xml version="1.0" encoding="utf-8"?>
<x:table xmlns:x="http://schemas.openxmlformats.org/spreadsheetml/2006/main" id="1" name="T_M02" displayName="T_M02" ref="A5:AE105" headerRowCount="1" totalsRowCount="0" totalsRowShown="0">
  <x:tableColumns count="31">
    <x:tableColumn id="1" name="Record_ID"/>
    <x:tableColumn id="2" name="模块代码"/>
    <x:tableColumn id="3" name="子类代码"/>
    <x:tableColumn id="4" name="序号"/>
    <x:tableColumn id="5" name="版本号"/>
    <x:tableColumn id="6" name="记录类型"/>
    <x:tableColumn id="7" name="对象类别"/>
    <x:tableColumn id="8" name="对象"/>
    <x:tableColumn id="9" name="阴阳"/>
    <x:tableColumn id="10" name="五行"/>
    <x:tableColumn id="11" name="藏干一"/>
    <x:tableColumn id="12" name="藏干一层级"/>
    <x:tableColumn id="13" name="藏干二"/>
    <x:tableColumn id="14" name="藏干二层级"/>
    <x:tableColumn id="15" name="藏干三"/>
    <x:tableColumn id="16" name="藏干三层级"/>
    <x:tableColumn id="17" name="季节/月令属性"/>
    <x:tableColumn id="18" name="基础定义"/>
    <x:tableColumn id="19" name="十神映射规则"/>
    <x:tableColumn id="20" name="前置条件"/>
    <x:tableColumn id="21" name="必要条件"/>
    <x:tableColumn id="22" name="例外条件"/>
    <x:tableColumn id="23" name="结论标签"/>
    <x:tableColumn id="24" name="标准输出"/>
    <x:tableColumn id="25" name="置信等级"/>
    <x:tableColumn id="26" name="流派标签"/>
    <x:tableColumn id="27" name="来源/依据"/>
    <x:tableColumn id="28" name="页码/链接"/>
    <x:tableColumn id="29" name="规则状态"/>
    <x:tableColumn id="30" name="审核状态"/>
    <x:tableColumn id="31" name="更新日期"/>
  </x:tableColumns>
  <x:tableStyleInfo name="TableStyleMedium2" showFirstColumn="0" showLastColumn="0" showRowStripes="1" showColumnStripes="0"/>
</x:table>
</file>

<file path=xl/tables/table9.xml><?xml version="1.0" encoding="utf-8"?>
<x:table xmlns:x="http://schemas.openxmlformats.org/spreadsheetml/2006/main" id="2" name="T_M03" displayName="T_M03"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判断对象"/>
    <x:tableColumn id="9" name="评估维度"/>
    <x:tableColumn id="10" name="月令条件"/>
    <x:tableColumn id="11" name="根气类型"/>
    <x:tableColumn id="12" name="根气等级"/>
    <x:tableColumn id="13" name="位置关系"/>
    <x:tableColumn id="14" name="前置条件"/>
    <x:tableColumn id="15" name="必要条件"/>
    <x:tableColumn id="16" name="增强条件"/>
    <x:tableColumn id="17" name="削弱条件"/>
    <x:tableColumn id="18" name="否决条件"/>
    <x:tableColumn id="19" name="例外条件"/>
    <x:tableColumn id="20" name="作用对象"/>
    <x:tableColumn id="21" name="作用方向"/>
    <x:tableColumn id="22" name="作用等级"/>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0.xml><?xml version="1.0" encoding="utf-8"?>
<x:table xmlns:x="http://schemas.openxmlformats.org/spreadsheetml/2006/main" id="3" name="T_M04" displayName="T_M04" ref="A5:AJ105"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天干"/>
    <x:tableColumn id="10" name="位置关系"/>
    <x:tableColumn id="11" name="完整度"/>
    <x:tableColumn id="12" name="月令条件"/>
    <x:tableColumn id="13" name="根气/透干条件"/>
    <x:tableColumn id="14" name="合化候选五行"/>
    <x:tableColumn id="15" name="同时关系"/>
    <x:tableColumn id="16" name="前置条件"/>
    <x:tableColumn id="17" name="必要条件"/>
    <x:tableColumn id="18" name="增强条件"/>
    <x:tableColumn id="19" name="削弱条件"/>
    <x:tableColumn id="20" name="否决条件"/>
    <x:tableColumn id="21" name="例外条件"/>
    <x:tableColumn id="22" name="识别结论"/>
    <x:tableColumn id="23" name="不得直接推出"/>
    <x:tableColumn id="24" name="优先级"/>
    <x:tableColumn id="25" name="规则性质"/>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1.xml><?xml version="1.0" encoding="utf-8"?>
<x:table xmlns:x="http://schemas.openxmlformats.org/spreadsheetml/2006/main" id="4" name="T_M05" displayName="T_M05"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地支"/>
    <x:tableColumn id="10" name="位置关系"/>
    <x:tableColumn id="11" name="完整度"/>
    <x:tableColumn id="12" name="月令归属"/>
    <x:tableColumn id="13" name="透干情况"/>
    <x:tableColumn id="14" name="同时关系"/>
    <x:tableColumn id="15" name="前置条件"/>
    <x:tableColumn id="16" name="必要条件"/>
    <x:tableColumn id="17" name="增强条件"/>
    <x:tableColumn id="18" name="削弱条件"/>
    <x:tableColumn id="19" name="否决条件"/>
    <x:tableColumn id="20" name="例外条件"/>
    <x:tableColumn id="21" name="识别结论"/>
    <x:tableColumn id="22" name="不得直接推出"/>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2.xml><?xml version="1.0" encoding="utf-8"?>
<x:table xmlns:x="http://schemas.openxmlformats.org/spreadsheetml/2006/main" id="5" name="T_M06" displayName="T_M06" ref="A5:AO126" headerRowCount="1" totalsRowCount="0" totalsRowShown="0">
  <x:tableColumns count="41">
    <x:tableColumn id="1" name="Rule_ID"/>
    <x:tableColumn id="2" name="模块代码"/>
    <x:tableColumn id="3" name="子类代码"/>
    <x:tableColumn id="4" name="序号"/>
    <x:tableColumn id="5" name="版本号"/>
    <x:tableColumn id="6" name="规则名称"/>
    <x:tableColumn id="7" name="规则层级"/>
    <x:tableColumn id="8" name="来源关系Rule_ID"/>
    <x:tableColumn id="9" name="关系类型"/>
    <x:tableColumn id="10" name="参与对象"/>
    <x:tableColumn id="11" name="作用对象"/>
    <x:tableColumn id="12" name="对象原始旺衰"/>
    <x:tableColumn id="13" name="月令地位"/>
    <x:tableColumn id="14" name="透干状态"/>
    <x:tableColumn id="15" name="根气状态"/>
    <x:tableColumn id="16" name="叠加关系"/>
    <x:tableColumn id="17" name="效应类型"/>
    <x:tableColumn id="18" name="作用方向"/>
    <x:tableColumn id="19" name="作用等级"/>
    <x:tableColumn id="20" name="是否改变五行性质"/>
    <x:tableColumn id="21" name="是否改变根气"/>
    <x:tableColumn id="22" name="是否改变藏干可用性"/>
    <x:tableColumn id="23" name="是否增力"/>
    <x:tableColumn id="24" name="是否减力"/>
    <x:tableColumn id="25" name="流通影响"/>
    <x:tableColumn id="26" name="前置条件"/>
    <x:tableColumn id="27" name="必要条件"/>
    <x:tableColumn id="28" name="增强条件"/>
    <x:tableColumn id="29" name="削弱条件"/>
    <x:tableColumn id="30" name="否决条件"/>
    <x:tableColumn id="31" name="例外条件"/>
    <x:tableColumn id="32" name="实际效应结论"/>
    <x:tableColumn id="33" name="标准输出"/>
    <x:tableColumn id="34" name="置信等级"/>
    <x:tableColumn id="35" name="流派标签"/>
    <x:tableColumn id="36" name="依据说明"/>
    <x:tableColumn id="37" name="正例"/>
    <x:tableColumn id="38" name="反例"/>
    <x:tableColumn id="39" name="规则状态"/>
    <x:tableColumn id="40" name="审核状态"/>
    <x:tableColumn id="41" name="更新日期"/>
  </x:tableColumns>
  <x:tableStyleInfo name="TableStyleMedium2" showFirstColumn="0" showLastColumn="0" showRowStripes="1" showColumnStripes="0"/>
</x:table>
</file>

<file path=xl/tables/table13.xml><?xml version="1.0" encoding="utf-8"?>
<x:table xmlns:x="http://schemas.openxmlformats.org/spreadsheetml/2006/main" id="6" name="T_M07" displayName="T_M07"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适用五行"/>
    <x:tableColumn id="10" name="判断条件"/>
    <x:tableColumn id="11" name="取值/表现"/>
    <x:tableColumn id="12" name="原始力量修正"/>
    <x:tableColumn id="13" name="作用方向"/>
    <x:tableColumn id="14" name="参考权重"/>
    <x:tableColumn id="15" name="作用等级"/>
    <x:tableColumn id="16" name="前置条件"/>
    <x:tableColumn id="17" name="必要条件"/>
    <x:tableColumn id="18" name="增强条件"/>
    <x:tableColumn id="19" name="削弱条件"/>
    <x:tableColumn id="20" name="否决条件"/>
    <x:tableColumn id="21" name="例外条件"/>
    <x:tableColumn id="22" name="是否可单独定性"/>
    <x:tableColumn id="23" name="结论标签"/>
    <x:tableColumn id="24" name="标准输出"/>
    <x:tableColumn id="25" name="置信等级"/>
    <x:tableColumn id="26" name="流派标签"/>
    <x:tableColumn id="27" name="依据说明"/>
    <x:tableColumn id="28" name="正例"/>
    <x:tableColumn id="29" name="反例"/>
    <x:tableColumn id="30" name="来源/备注"/>
    <x:tableColumn id="31" name="规则状态"/>
    <x:tableColumn id="32" name="审核状态"/>
    <x:tableColumn id="33" name="更新日期"/>
  </x:tableColumns>
  <x:tableStyleInfo name="TableStyleMedium2" showFirstColumn="0" showLastColumn="0" showRowStripes="1" showColumnStripes="0"/>
</x:table>
</file>

<file path=xl/tables/table14.xml><?xml version="1.0" encoding="utf-8"?>
<x:table xmlns:x="http://schemas.openxmlformats.org/spreadsheetml/2006/main" id="7" name="T_M08" displayName="T_M08" ref="A5:AK105"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修正来源"/>
    <x:tableColumn id="9" name="作用对象"/>
    <x:tableColumn id="10" name="原始状态"/>
    <x:tableColumn id="11" name="相互作用"/>
    <x:tableColumn id="12" name="有效力量修正"/>
    <x:tableColumn id="13" name="作用方向"/>
    <x:tableColumn id="14" name="作用等级"/>
    <x:tableColumn id="15" name="是否改变根气"/>
    <x:tableColumn id="16" name="是否改变生源"/>
    <x:tableColumn id="17" name="是否改变透达"/>
    <x:tableColumn id="18" name="是否影响流通"/>
    <x:tableColumn id="19" name="前置条件"/>
    <x:tableColumn id="20" name="必要条件"/>
    <x:tableColumn id="21" name="增强条件"/>
    <x:tableColumn id="22" name="削弱条件"/>
    <x:tableColumn id="23" name="否决条件"/>
    <x:tableColumn id="24" name="例外条件"/>
    <x:tableColumn id="25" name="有效旺衰结论"/>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5.xml><?xml version="1.0" encoding="utf-8"?>
<x:table xmlns:x="http://schemas.openxmlformats.org/spreadsheetml/2006/main" id="8" name="T_M09" displayName="T_M09" ref="A5:AF105" headerRowCount="1" totalsRowCount="0" totalsRowShown="0">
  <x:tableColumns count="32">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证据方向"/>
    <x:tableColumn id="10" name="判断条件"/>
    <x:tableColumn id="11" name="参考权重"/>
    <x:tableColumn id="12" name="作用等级"/>
    <x:tableColumn id="13" name="前置条件"/>
    <x:tableColumn id="14" name="必要条件"/>
    <x:tableColumn id="15" name="增强条件"/>
    <x:tableColumn id="16" name="削弱条件"/>
    <x:tableColumn id="17" name="否决条件"/>
    <x:tableColumn id="18" name="例外条件"/>
    <x:tableColumn id="19" name="反向证据"/>
    <x:tableColumn id="20" name="是否可单独定性"/>
    <x:tableColumn id="21" name="旺衰候选"/>
    <x:tableColumn id="22" name="结论标签"/>
    <x:tableColumn id="23" name="标准输出"/>
    <x:tableColumn id="24" name="置信等级"/>
    <x:tableColumn id="25" name="流派标签"/>
    <x:tableColumn id="26" name="依据说明"/>
    <x:tableColumn id="27" name="正例"/>
    <x:tableColumn id="28" name="反例"/>
    <x:tableColumn id="29" name="来源/备注"/>
    <x:tableColumn id="30" name="规则状态"/>
    <x:tableColumn id="31" name="审核状态"/>
    <x:tableColumn id="32" name="更新日期"/>
  </x:tableColumns>
  <x:tableStyleInfo name="TableStyleMedium2" showFirstColumn="0" showLastColumn="0" showRowStripes="1" showColumnStripes="0"/>
</x:table>
</file>

<file path=xl/tables/table16.xml><?xml version="1.0" encoding="utf-8"?>
<x:table xmlns:x="http://schemas.openxmlformats.org/spreadsheetml/2006/main" id="9" name="T_M10" displayName="T_M10" ref="A5:AK126"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十神"/>
    <x:tableColumn id="9" name="存在方式"/>
    <x:tableColumn id="10" name="原始力量"/>
    <x:tableColumn id="11" name="有效力量"/>
    <x:tableColumn id="12" name="清纯程度"/>
    <x:tableColumn id="13" name="生源状态"/>
    <x:tableColumn id="14" name="制约状态"/>
    <x:tableColumn id="15" name="功能状态"/>
    <x:tableColumn id="16" name="格局功能"/>
    <x:tableColumn id="17" name="对日主作用"/>
    <x:tableColumn id="18" name="喜忌候选"/>
    <x:tableColumn id="19" name="判断条件"/>
    <x:tableColumn id="20" name="前置条件"/>
    <x:tableColumn id="21" name="必要条件"/>
    <x:tableColumn id="22" name="增强条件"/>
    <x:tableColumn id="23" name="削弱条件"/>
    <x:tableColumn id="24" name="否决条件"/>
    <x:tableColumn id="25" name="例外条件"/>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7.xml><?xml version="1.0" encoding="utf-8"?>
<x:table xmlns:x="http://schemas.openxmlformats.org/spreadsheetml/2006/main" id="10" name="T_M11" displayName="T_M11" ref="A5:AJ116"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组合类别"/>
    <x:tableColumn id="9" name="组合名称"/>
    <x:tableColumn id="10" name="核心十神"/>
    <x:tableColumn id="11" name="主体条件"/>
    <x:tableColumn id="12" name="客体条件"/>
    <x:tableColumn id="13" name="位置条件"/>
    <x:tableColumn id="14" name="旺衰条件"/>
    <x:tableColumn id="15" name="日主条件"/>
    <x:tableColumn id="16" name="最低成立标准"/>
    <x:tableColumn id="17" name="增强条件"/>
    <x:tableColumn id="18" name="破坏条件"/>
    <x:tableColumn id="19" name="救应条件"/>
    <x:tableColumn id="20" name="否决条件"/>
    <x:tableColumn id="21" name="例外条件"/>
    <x:tableColumn id="22" name="成立等级"/>
    <x:tableColumn id="23" name="实际功能"/>
    <x:tableColumn id="24" name="是否上升为格局"/>
    <x:tableColumn id="25" name="格局候选"/>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8.xml><?xml version="1.0" encoding="utf-8"?>
<x:table xmlns:x="http://schemas.openxmlformats.org/spreadsheetml/2006/main" id="11" name="T_M12" displayName="T_M12" ref="A5:AM105"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路径类型"/>
    <x:tableColumn id="9" name="起点"/>
    <x:tableColumn id="10" name="中间桥梁"/>
    <x:tableColumn id="11" name="终点"/>
    <x:tableColumn id="12" name="起点强度"/>
    <x:tableColumn id="13" name="桥梁强度"/>
    <x:tableColumn id="14" name="桥梁状态"/>
    <x:tableColumn id="15" name="终点承载"/>
    <x:tableColumn id="16" name="连续性"/>
    <x:tableColumn id="17" name="流通状态"/>
    <x:tableColumn id="18" name="卡点类型"/>
    <x:tableColumn id="19" name="卡点位置"/>
    <x:tableColumn id="20" name="卡点原因"/>
    <x:tableColumn id="21" name="通关五行"/>
    <x:tableColumn id="22" name="通关条件"/>
    <x:tableColumn id="23" name="通关副作用"/>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19.xml><?xml version="1.0" encoding="utf-8"?>
<x:table xmlns:x="http://schemas.openxmlformats.org/spreadsheetml/2006/main" id="12" name="T_M13" displayName="T_M13" ref="A5:AL105" headerRowCount="1" totalsRowCount="0" totalsRowShown="0">
  <x:tableColumns count="38">
    <x:tableColumn id="1" name="Rule_ID"/>
    <x:tableColumn id="2" name="模块代码"/>
    <x:tableColumn id="3" name="子类代码"/>
    <x:tableColumn id="4" name="序号"/>
    <x:tableColumn id="5" name="版本号"/>
    <x:tableColumn id="6" name="规则名称"/>
    <x:tableColumn id="7" name="规则层级"/>
    <x:tableColumn id="8" name="评估轴"/>
    <x:tableColumn id="9" name="出生月令"/>
    <x:tableColumn id="10" name="触发条件"/>
    <x:tableColumn id="11" name="温度修正"/>
    <x:tableColumn id="12" name="湿度修正"/>
    <x:tableColumn id="13" name="温度状态"/>
    <x:tableColumn id="14" name="湿度状态"/>
    <x:tableColumn id="15" name="主要气候问题"/>
    <x:tableColumn id="16" name="调候候选五行"/>
    <x:tableColumn id="17" name="调候机制"/>
    <x:tableColumn id="18" name="调候五行存在性"/>
    <x:tableColumn id="19" name="调候五行有效性"/>
    <x:tableColumn id="20" name="调候紧急度"/>
    <x:tableColumn id="21" name="与扶抑冲突"/>
    <x:tableColumn id="22" name="与格局冲突"/>
    <x:tableColumn id="23" name="前置条件"/>
    <x:tableColumn id="24" name="必要条件"/>
    <x:tableColumn id="25" name="增强条件"/>
    <x:tableColumn id="26" name="削弱条件"/>
    <x:tableColumn id="27" name="否决条件"/>
    <x:tableColumn id="28" name="例外条件"/>
    <x:tableColumn id="29" name="结论标签"/>
    <x:tableColumn id="30" name="标准输出"/>
    <x:tableColumn id="31" name="置信等级"/>
    <x:tableColumn id="32" name="流派标签"/>
    <x:tableColumn id="33" name="依据说明"/>
    <x:tableColumn id="34" name="正例"/>
    <x:tableColumn id="35" name="反例"/>
    <x:tableColumn id="36" name="规则状态"/>
    <x:tableColumn id="37" name="审核状态"/>
    <x:tableColumn id="38" name="更新日期"/>
  </x:tableColumns>
  <x:tableStyleInfo name="TableStyleMedium2" showFirstColumn="0" showLastColumn="0" showRowStripes="1" showColumnStripes="0"/>
</x:table>
</file>

<file path=xl/tables/table20.xml><?xml version="1.0" encoding="utf-8"?>
<x:table xmlns:x="http://schemas.openxmlformats.org/spreadsheetml/2006/main" id="13" name="T_M14" displayName="T_M14" ref="A5:AH105" headerRowCount="1" totalsRowCount="0" totalsRowShown="0">
  <x:tableColumns count="34">
    <x:tableColumn id="1" name="Rule_ID"/>
    <x:tableColumn id="2" name="模块代码"/>
    <x:tableColumn id="3" name="子类代码"/>
    <x:tableColumn id="4" name="序号"/>
    <x:tableColumn id="5" name="版本号"/>
    <x:tableColumn id="6" name="规则名称"/>
    <x:tableColumn id="7" name="规则层级"/>
    <x:tableColumn id="8" name="格局类别"/>
    <x:tableColumn id="9" name="格局名称"/>
    <x:tableColumn id="10" name="月令依据"/>
    <x:tableColumn id="11" name="透干条件"/>
    <x:tableColumn id="12" name="主气清纯度"/>
    <x:tableColumn id="13" name="格神根气"/>
    <x:tableColumn id="14" name="格神有效力量"/>
    <x:tableColumn id="15" name="日主配合"/>
    <x:tableColumn id="16" name="候选生成条件"/>
    <x:tableColumn id="17" name="特殊格严格条件"/>
    <x:tableColumn id="18" name="增强条件"/>
    <x:tableColumn id="19" name="排除条件"/>
    <x:tableColumn id="20" name="否决条件"/>
    <x:tableColumn id="21" name="例外条件"/>
    <x:tableColumn id="22" name="候选状态"/>
    <x:tableColumn id="23" name="替代候选"/>
    <x:tableColumn id="24" name="结论标签"/>
    <x:tableColumn id="25" name="标准输出"/>
    <x:tableColumn id="26" name="置信等级"/>
    <x:tableColumn id="27" name="流派标签"/>
    <x:tableColumn id="28" name="依据说明"/>
    <x:tableColumn id="29" name="正例"/>
    <x:tableColumn id="30" name="反例"/>
    <x:tableColumn id="31" name="来源/备注"/>
    <x:tableColumn id="32" name="规则状态"/>
    <x:tableColumn id="33" name="审核状态"/>
    <x:tableColumn id="34" name="更新日期"/>
  </x:tableColumns>
  <x:tableStyleInfo name="TableStyleMedium2" showFirstColumn="0" showLastColumn="0" showRowStripes="1" showColumnStripes="0"/>
</x:table>
</file>

<file path=xl/tables/table21.xml><?xml version="1.0" encoding="utf-8"?>
<x:table xmlns:x="http://schemas.openxmlformats.org/spreadsheetml/2006/main" id="14" name="T_M15" displayName="T_M15" ref="A5:AI106"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联格局"/>
    <x:tableColumn id="9" name="成格条件"/>
    <x:tableColumn id="10" name="成格证据"/>
    <x:tableColumn id="11" name="破格因素"/>
    <x:tableColumn id="12" name="破格等级"/>
    <x:tableColumn id="13" name="救应因素"/>
    <x:tableColumn id="14" name="救应有效性"/>
    <x:tableColumn id="15" name="格局状态"/>
    <x:tableColumn id="16" name="清纯程度"/>
    <x:tableColumn id="17" name="层次判断"/>
    <x:tableColumn id="18" name="前置条件"/>
    <x:tableColumn id="19" name="必要条件"/>
    <x:tableColumn id="20" name="增强条件"/>
    <x:tableColumn id="21" name="削弱条件"/>
    <x:tableColumn id="22" name="否决条件"/>
    <x:tableColumn id="23" name="例外条件"/>
    <x:tableColumn id="24" name="结论标签"/>
    <x:tableColumn id="25" name="标准输出"/>
    <x:tableColumn id="26" name="反向证据"/>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22.xml><?xml version="1.0" encoding="utf-8"?>
<x:table xmlns:x="http://schemas.openxmlformats.org/spreadsheetml/2006/main" id="15" name="T_M16" displayName="T_M16" ref="A5:AM116"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病类"/>
    <x:tableColumn id="9" name="病位"/>
    <x:tableColumn id="10" name="病性"/>
    <x:tableColumn id="11" name="根本原因"/>
    <x:tableColumn id="12" name="表层表现"/>
    <x:tableColumn id="13" name="严重程度"/>
    <x:tableColumn id="14" name="主药五行/十神"/>
    <x:tableColumn id="15" name="辅助药五行/十神"/>
    <x:tableColumn id="16" name="药理"/>
    <x:tableColumn id="17" name="成立条件"/>
    <x:tableColumn id="18" name="禁忌条件"/>
    <x:tableColumn id="19" name="药力不足后果"/>
    <x:tableColumn id="20" name="药力过度后果"/>
    <x:tableColumn id="21" name="是否伤害格局"/>
    <x:tableColumn id="22" name="是否产生新病"/>
    <x:tableColumn id="23" name="新病类型"/>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23.xml><?xml version="1.0" encoding="utf-8"?>
<x:table xmlns:x="http://schemas.openxmlformats.org/spreadsheetml/2006/main" id="16" name="T_M17" displayName="T_M17" ref="A5:AI106"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候选五行"/>
    <x:tableColumn id="9" name="对应十神"/>
    <x:tableColumn id="10" name="用神来源"/>
    <x:tableColumn id="11" name="扶抑作用"/>
    <x:tableColumn id="12" name="格局作用"/>
    <x:tableColumn id="13" name="通关作用"/>
    <x:tableColumn id="14" name="调候作用"/>
    <x:tableColumn id="15" name="病药作用"/>
    <x:tableColumn id="16" name="主要收益"/>
    <x:tableColumn id="17" name="主要副作用"/>
    <x:tableColumn id="18" name="适用条件"/>
    <x:tableColumn id="19" name="不适用条件"/>
    <x:tableColumn id="20" name="冲突维度"/>
    <x:tableColumn id="21" name="冲突裁决Rule_ID"/>
    <x:tableColumn id="22" name="综合定位"/>
    <x:tableColumn id="23" name="主次优先级"/>
    <x:tableColumn id="24" name="是否条件性"/>
    <x:tableColumn id="25" name="条件说明"/>
    <x:tableColumn id="26" name="结论标签"/>
    <x:tableColumn id="27" name="标准输出"/>
    <x:tableColumn id="28" name="置信等级"/>
    <x:tableColumn id="29" name="流派标签"/>
    <x:tableColumn id="30" name="依据说明"/>
    <x:tableColumn id="31" name="正例"/>
    <x:tableColumn id="32" name="反例"/>
    <x:tableColumn id="33" name="规则状态"/>
    <x:tableColumn id="34" name="审核状态"/>
    <x:tableColumn id="35" name="更新日期"/>
  </x:tableColumns>
  <x:tableStyleInfo name="TableStyleMedium2" showFirstColumn="0" showLastColumn="0" showRowStripes="1" showColumnStripes="0"/>
</x:table>
</file>

<file path=xl/tables/table24.xml><?xml version="1.0" encoding="utf-8"?>
<x:table xmlns:x="http://schemas.openxmlformats.org/spreadsheetml/2006/main" id="17" name="T_M18" displayName="T_M18"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冲突主题"/>
    <x:tableColumn id="9" name="规则A_ID"/>
    <x:tableColumn id="10" name="规则A结论"/>
    <x:tableColumn id="11" name="规则B_ID"/>
    <x:tableColumn id="12" name="规则B结论"/>
    <x:tableColumn id="13" name="冲突情境"/>
    <x:tableColumn id="14" name="硬约束"/>
    <x:tableColumn id="15" name="裁决原则"/>
    <x:tableColumn id="16" name="优先规则"/>
    <x:tableColumn id="17" name="降级规则"/>
    <x:tableColumn id="18" name="裁决结果"/>
    <x:tableColumn id="19" name="适用条件"/>
    <x:tableColumn id="20" name="不适用条件"/>
    <x:tableColumn id="21" name="反向证据"/>
    <x:tableColumn id="22" name="例外条件"/>
    <x:tableColumn id="23" name="副作用控制"/>
    <x:tableColumn id="24" name="结论标签"/>
    <x:tableColumn id="25" name="标准输出"/>
    <x:tableColumn id="26" name="置信等级"/>
    <x:tableColumn id="27" name="流派标签"/>
    <x:tableColumn id="28" name="依据说明"/>
    <x:tableColumn id="29" name="正例"/>
    <x:tableColumn id="30" name="反例"/>
    <x:tableColumn id="31" name="规则状态"/>
    <x:tableColumn id="32" name="审核状态"/>
    <x:tableColumn id="33" name="更新日期"/>
  </x:tableColumns>
  <x:tableStyleInfo name="TableStyleMedium2" showFirstColumn="0" showLastColumn="0" showRowStripes="1" showColumnStripes="0"/>
</x:table>
</file>

<file path=xl/tables/table25.xml><?xml version="1.0" encoding="utf-8"?>
<x:table xmlns:x="http://schemas.openxmlformats.org/spreadsheetml/2006/main" id="18" name="T_M19" displayName="T_M19" ref="A5:X105" headerRowCount="1" totalsRowCount="0" totalsRowShown="0">
  <x:tableColumns count="24">
    <x:tableColumn id="1" name="Field_ID"/>
    <x:tableColumn id="2" name="模块代码"/>
    <x:tableColumn id="3" name="子类代码"/>
    <x:tableColumn id="4" name="序号"/>
    <x:tableColumn id="5" name="版本号"/>
    <x:tableColumn id="6" name="输出章节"/>
    <x:tableColumn id="7" name="章节顺序"/>
    <x:tableColumn id="8" name="字段名称"/>
    <x:tableColumn id="9" name="字段定义"/>
    <x:tableColumn id="10" name="来源模块"/>
    <x:tableColumn id="11" name="来源字段/Rule_ID"/>
    <x:tableColumn id="12" name="必填性"/>
    <x:tableColumn id="13" name="输出层级"/>
    <x:tableColumn id="14" name="数据类型"/>
    <x:tableColumn id="15" name="推荐格式"/>
    <x:tableColumn id="16" name="内部分析模板"/>
    <x:tableColumn id="17" name="用户表达模板"/>
    <x:tableColumn id="18" name="空值处理"/>
    <x:tableColumn id="19" name="冲突处理"/>
    <x:tableColumn id="20" name="示例"/>
    <x:tableColumn id="21" name="备注"/>
    <x:tableColumn id="22" name="规则状态"/>
    <x:tableColumn id="23" name="审核状态"/>
    <x:tableColumn id="24" name="更新日期"/>
  </x:tableColumns>
  <x:tableStyleInfo name="TableStyleMedium2" showFirstColumn="0" showLastColumn="0" showRowStripes="1" showColumnStripes="0"/>
</x:table>
</file>

<file path=xl/tables/table26.xml><?xml version="1.0" encoding="utf-8"?>
<x:table xmlns:x="http://schemas.openxmlformats.org/spreadsheetml/2006/main" id="19" name="T_M20" displayName="T_M20" ref="A5:AC105" headerRowCount="1" totalsRowCount="0" totalsRowShown="0">
  <x:tableColumns count="29">
    <x:tableColumn id="1" name="Case_ID"/>
    <x:tableColumn id="2" name="模块代码"/>
    <x:tableColumn id="3" name="子类代码"/>
    <x:tableColumn id="4" name="序号"/>
    <x:tableColumn id="5" name="版本号"/>
    <x:tableColumn id="6" name="案例名称"/>
    <x:tableColumn id="7" name="四柱"/>
    <x:tableColumn id="8" name="性别"/>
    <x:tableColumn id="9" name="历法/时区"/>
    <x:tableColumn id="10" name="案例来源"/>
    <x:tableColumn id="11" name="测试类型"/>
    <x:tableColumn id="12" name="目标模块"/>
    <x:tableColumn id="13" name="目标Rule_ID"/>
    <x:tableColumn id="14" name="输入事实"/>
    <x:tableColumn id="15" name="预期识别结果"/>
    <x:tableColumn id="16" name="预期效应结果"/>
    <x:tableColumn id="17" name="预期结构结果"/>
    <x:tableColumn id="18" name="预期综合结果"/>
    <x:tableColumn id="19" name="实际结果"/>
    <x:tableColumn id="20" name="测试结果"/>
    <x:tableColumn id="21" name="差异说明"/>
    <x:tableColumn id="22" name="根因定位"/>
    <x:tableColumn id="23" name="规则修订建议"/>
    <x:tableColumn id="24" name="复测结果"/>
    <x:tableColumn id="25" name="测试人"/>
    <x:tableColumn id="26" name="复核人"/>
    <x:tableColumn id="27" name="测试日期"/>
    <x:tableColumn id="28" name="适用版本"/>
    <x:tableColumn id="29" name="备注"/>
  </x:tableColumns>
  <x:tableStyleInfo name="TableStyleMedium2" showFirstColumn="0" showLastColumn="0" showRowStripes="1" showColumnStripes="0"/>
</x:table>
</file>

<file path=xl/tables/table27.xml><?xml version="1.0" encoding="utf-8"?>
<x:table xmlns:x="http://schemas.openxmlformats.org/spreadsheetml/2006/main" id="20" name="T_M21" displayName="T_M21" ref="A5:Y105" headerRowCount="1" totalsRowCount="0" totalsRowShown="0">
  <x:tableColumns count="25">
    <x:tableColumn id="1" name="Change_ID"/>
    <x:tableColumn id="2" name="模块代码"/>
    <x:tableColumn id="3" name="子类代码"/>
    <x:tableColumn id="4" name="序号"/>
    <x:tableColumn id="5" name="版本号"/>
    <x:tableColumn id="6" name="关联Rule_ID"/>
    <x:tableColumn id="7" name="关联模块"/>
    <x:tableColumn id="8" name="议题类型"/>
    <x:tableColumn id="9" name="争议主题"/>
    <x:tableColumn id="10" name="流派A"/>
    <x:tableColumn id="11" name="观点A"/>
    <x:tableColumn id="12" name="流派B"/>
    <x:tableColumn id="13" name="观点B"/>
    <x:tableColumn id="14" name="采用规则"/>
    <x:tableColumn id="15" name="采用理由"/>
    <x:tableColumn id="16" name="反对证据"/>
    <x:tableColumn id="17" name="争议级别"/>
    <x:tableColumn id="18" name="影响范围"/>
    <x:tableColumn id="19" name="旧版本"/>
    <x:tableColumn id="20" name="新版本"/>
    <x:tableColumn id="21" name="变更类型"/>
    <x:tableColumn id="22" name="处理状态"/>
    <x:tableColumn id="23" name="审核人"/>
    <x:tableColumn id="24" name="生效日期"/>
    <x:tableColumn id="25" name="来源/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b44ddac411b4a82" /><Relationship Type="http://schemas.openxmlformats.org/officeDocument/2006/relationships/table" Target="/xl/tables/table2.xml" Id="R7c42197ec53741d2" /><Relationship Type="http://schemas.openxmlformats.org/officeDocument/2006/relationships/table" Target="/xl/tables/table3.xml" Id="R0a8d5552270f4fa1" /></Relationships>
</file>

<file path=xl/worksheets/_rels/sheet2.xml.rels>&#65279;<?xml version="1.0" encoding="utf-8"?><Relationships xmlns="http://schemas.openxmlformats.org/package/2006/relationships"><Relationship Type="http://schemas.openxmlformats.org/officeDocument/2006/relationships/table" Target="/xl/tables/table4.xml" Id="R1c7843867acb4f5e" /><Relationship Type="http://schemas.openxmlformats.org/officeDocument/2006/relationships/table" Target="/xl/tables/table5.xml" Id="Rd3227d3d7b464a5d" /><Relationship Type="http://schemas.openxmlformats.org/officeDocument/2006/relationships/table" Target="/xl/tables/table6.xml" Id="R2c9c5c5d74fc4a5f" /><Relationship Type="http://schemas.openxmlformats.org/officeDocument/2006/relationships/table" Target="/xl/tables/table7.xml" Id="R2895e8d89a5f47ab" /></Relationships>
</file>

<file path=xl/worksheets/_rels/sheet3.xml.rels>&#65279;<?xml version="1.0" encoding="utf-8"?><Relationships xmlns="http://schemas.openxmlformats.org/package/2006/relationships"><Relationship Type="http://schemas.openxmlformats.org/officeDocument/2006/relationships/table" Target="/xl/tables/table8.xml" Id="Rde7f830b33e04d37" /></Relationships>
</file>

<file path=xl/worksheets/_rels/sheet4.xml.rels>&#65279;<?xml version="1.0" encoding="utf-8"?><Relationships xmlns="http://schemas.openxmlformats.org/package/2006/relationships"><Relationship Type="http://schemas.openxmlformats.org/officeDocument/2006/relationships/table" Target="/xl/tables/table9.xml" Id="R0d2837b033164cfb" /></Relationships>
</file>

<file path=xl/worksheets/_rels/sheet5.xml.rels>&#65279;<?xml version="1.0" encoding="utf-8"?><Relationships xmlns="http://schemas.openxmlformats.org/package/2006/relationships"><Relationship Type="http://schemas.openxmlformats.org/officeDocument/2006/relationships/table" Target="/xl/tables/table10.xml" Id="R9c274113e31c4d22" /></Relationships>
</file>

<file path=xl/worksheets/_rels/sheet6.xml.rels>&#65279;<?xml version="1.0" encoding="utf-8"?><Relationships xmlns="http://schemas.openxmlformats.org/package/2006/relationships"><Relationship Type="http://schemas.openxmlformats.org/officeDocument/2006/relationships/table" Target="/xl/tables/table11.xml" Id="R370a59c72757420a" /></Relationships>
</file>

<file path=xl/worksheets/_rels/sheet7.xml.rels>&#65279;<?xml version="1.0" encoding="utf-8"?><Relationships xmlns="http://schemas.openxmlformats.org/package/2006/relationships"><Relationship Type="http://schemas.openxmlformats.org/officeDocument/2006/relationships/table" Target="/xl/tables/table12.xml" Id="Rdef6980a06414302" /></Relationships>
</file>

<file path=xl/worksheets/_rels/sheet8.xml.rels>&#65279;<?xml version="1.0" encoding="utf-8"?><Relationships xmlns="http://schemas.openxmlformats.org/package/2006/relationships"><Relationship Type="http://schemas.openxmlformats.org/officeDocument/2006/relationships/table" Target="/xl/tables/table13.xml" Id="R1e820e0638fe495b" /></Relationships>
</file>

<file path=xl/worksheets/_rels/sheet9.xml.rels>&#65279;<?xml version="1.0" encoding="utf-8"?><Relationships xmlns="http://schemas.openxmlformats.org/package/2006/relationships"><Relationship Type="http://schemas.openxmlformats.org/officeDocument/2006/relationships/table" Target="/xl/tables/table14.xml" Id="Re3dab7052142496a" /></Relationships>
</file>

<file path=xl/worksheets/_rels/sheet10.xml.rels>&#65279;<?xml version="1.0" encoding="utf-8"?><Relationships xmlns="http://schemas.openxmlformats.org/package/2006/relationships"><Relationship Type="http://schemas.openxmlformats.org/officeDocument/2006/relationships/table" Target="/xl/tables/table15.xml" Id="R95dc892efdeb4784" /></Relationships>
</file>

<file path=xl/worksheets/_rels/sheet11.xml.rels>&#65279;<?xml version="1.0" encoding="utf-8"?><Relationships xmlns="http://schemas.openxmlformats.org/package/2006/relationships"><Relationship Type="http://schemas.openxmlformats.org/officeDocument/2006/relationships/table" Target="/xl/tables/table16.xml" Id="Reed2e92f79114632" /></Relationships>
</file>

<file path=xl/worksheets/_rels/sheet12.xml.rels>&#65279;<?xml version="1.0" encoding="utf-8"?><Relationships xmlns="http://schemas.openxmlformats.org/package/2006/relationships"><Relationship Type="http://schemas.openxmlformats.org/officeDocument/2006/relationships/table" Target="/xl/tables/table17.xml" Id="R01afe816f5c4403c" /></Relationships>
</file>

<file path=xl/worksheets/_rels/sheet13.xml.rels>&#65279;<?xml version="1.0" encoding="utf-8"?><Relationships xmlns="http://schemas.openxmlformats.org/package/2006/relationships"><Relationship Type="http://schemas.openxmlformats.org/officeDocument/2006/relationships/table" Target="/xl/tables/table18.xml" Id="R9b37a3c823d642d1" /></Relationships>
</file>

<file path=xl/worksheets/_rels/sheet14.xml.rels>&#65279;<?xml version="1.0" encoding="utf-8"?><Relationships xmlns="http://schemas.openxmlformats.org/package/2006/relationships"><Relationship Type="http://schemas.openxmlformats.org/officeDocument/2006/relationships/table" Target="/xl/tables/table19.xml" Id="R713082649bde47cd" /></Relationships>
</file>

<file path=xl/worksheets/_rels/sheet15.xml.rels>&#65279;<?xml version="1.0" encoding="utf-8"?><Relationships xmlns="http://schemas.openxmlformats.org/package/2006/relationships"><Relationship Type="http://schemas.openxmlformats.org/officeDocument/2006/relationships/table" Target="/xl/tables/table20.xml" Id="R9ad469d41ea745f8" /></Relationships>
</file>

<file path=xl/worksheets/_rels/sheet16.xml.rels>&#65279;<?xml version="1.0" encoding="utf-8"?><Relationships xmlns="http://schemas.openxmlformats.org/package/2006/relationships"><Relationship Type="http://schemas.openxmlformats.org/officeDocument/2006/relationships/table" Target="/xl/tables/table21.xml" Id="R22522bcbd2164bc4" /></Relationships>
</file>

<file path=xl/worksheets/_rels/sheet17.xml.rels>&#65279;<?xml version="1.0" encoding="utf-8"?><Relationships xmlns="http://schemas.openxmlformats.org/package/2006/relationships"><Relationship Type="http://schemas.openxmlformats.org/officeDocument/2006/relationships/table" Target="/xl/tables/table22.xml" Id="R169e6b0063e6406a" /></Relationships>
</file>

<file path=xl/worksheets/_rels/sheet18.xml.rels>&#65279;<?xml version="1.0" encoding="utf-8"?><Relationships xmlns="http://schemas.openxmlformats.org/package/2006/relationships"><Relationship Type="http://schemas.openxmlformats.org/officeDocument/2006/relationships/table" Target="/xl/tables/table23.xml" Id="R87156a32cbe64929" /></Relationships>
</file>

<file path=xl/worksheets/_rels/sheet19.xml.rels>&#65279;<?xml version="1.0" encoding="utf-8"?><Relationships xmlns="http://schemas.openxmlformats.org/package/2006/relationships"><Relationship Type="http://schemas.openxmlformats.org/officeDocument/2006/relationships/table" Target="/xl/tables/table24.xml" Id="Re0e60d905ae94967" /></Relationships>
</file>

<file path=xl/worksheets/_rels/sheet20.xml.rels>&#65279;<?xml version="1.0" encoding="utf-8"?><Relationships xmlns="http://schemas.openxmlformats.org/package/2006/relationships"><Relationship Type="http://schemas.openxmlformats.org/officeDocument/2006/relationships/table" Target="/xl/tables/table25.xml" Id="R5421254337b34b8c" /></Relationships>
</file>

<file path=xl/worksheets/_rels/sheet21.xml.rels>&#65279;<?xml version="1.0" encoding="utf-8"?><Relationships xmlns="http://schemas.openxmlformats.org/package/2006/relationships"><Relationship Type="http://schemas.openxmlformats.org/officeDocument/2006/relationships/table" Target="/xl/tables/table26.xml" Id="R5bae3ae26d694b04" /></Relationships>
</file>

<file path=xl/worksheets/_rels/sheet22.xml.rels>&#65279;<?xml version="1.0" encoding="utf-8"?><Relationships xmlns="http://schemas.openxmlformats.org/package/2006/relationships"><Relationship Type="http://schemas.openxmlformats.org/officeDocument/2006/relationships/table" Target="/xl/tables/table27.xml" Id="Rccd7e0af824a4778" /></Relationships>
</file>

<file path=xl/worksheets/sheet1.xml><?xml version="1.0" encoding="utf-8"?>
<x:worksheet xmlns:x="http://schemas.openxmlformats.org/spreadsheetml/2006/main">
  <x:sheetFormatPr defaultRowHeight="15"/>
  <x:cols>
    <x:col min="1" max="1" width="7" hidden="0" customWidth="1"/>
    <x:col min="2" max="2" width="11" hidden="0" customWidth="1"/>
    <x:col min="3" max="3" width="24" hidden="0" customWidth="1"/>
    <x:col min="4" max="4" width="12" hidden="0" customWidth="1"/>
    <x:col min="5" max="5" width="34" hidden="0" customWidth="1"/>
    <x:col min="6" max="6" width="24" hidden="0" customWidth="1"/>
    <x:col min="7" max="7" width="30" hidden="0" customWidth="1"/>
    <x:col min="8" max="8" width="26" hidden="0" customWidth="1"/>
    <x:col min="9" max="9" width="22" hidden="0" customWidth="1"/>
    <x:col min="10" max="10" width="14" hidden="0" customWidth="1"/>
    <x:col min="11" max="11" width="14" hidden="0" customWidth="1"/>
    <x:col min="12" max="12" width="12" hidden="0" customWidth="1"/>
    <x:col min="13" max="13" width="14" hidden="0" customWidth="1"/>
    <x:col min="14" max="14" width="30" hidden="0" customWidth="1"/>
  </x:cols>
  <x:sheetData>
    <x:row r="1" ht="30" customHeight="1">
      <x:c r="A1" s="118" t="str">
        <x:v>M0｜八字结构判定与用神引擎 · 主规则库</x:v>
      </x:c>
      <x:c r="B1" s="118"/>
      <x:c r="C1" s="118"/>
      <x:c r="D1" s="118"/>
      <x:c r="E1" s="118"/>
      <x:c r="F1" s="118"/>
      <x:c r="G1" s="118"/>
      <x:c r="H1" s="118"/>
      <x:c r="I1" s="118"/>
      <x:c r="J1" s="118"/>
      <x:c r="K1" s="118"/>
      <x:c r="L1" s="118"/>
      <x:c r="M1" s="118"/>
      <x:c r="N1" s="118"/>
    </x:row>
    <x:row r="2" ht="38" customHeight="1">
      <x:c r="A2" s="39" t="str">
        <x:v>定位：为婚恋、事业、财富、健康与岁运等上层模型提供统一、可追溯的原局结构结论。本文件为V1.6冲突裁决规则版，已完成M02—M18核心推理规则；M18新增80条硬约束、跨模块冲突、具体药路、剂量与最终定位规则，并回填M17正式裁决引用。下一步进入M19综合输出模板。</x:v>
      </x:c>
      <x:c r="B2" s="39"/>
      <x:c r="C2" s="39"/>
      <x:c r="D2" s="39"/>
      <x:c r="E2" s="39"/>
      <x:c r="F2" s="39"/>
      <x:c r="G2" s="39"/>
      <x:c r="H2" s="39"/>
      <x:c r="I2" s="39"/>
      <x:c r="J2" s="39"/>
      <x:c r="K2" s="39"/>
      <x:c r="L2" s="39"/>
      <x:c r="M2" s="39"/>
      <x:c r="N2" s="39"/>
    </x:row>
    <x:row r="3" ht="32" customHeight="1">
      <x:c r="A3" s="94" t="str">
        <x:v>核心原则：先识别、再判断效应；先算原始力量、再修正有效力量；十神旺衰与功能、喜忌分开；格局、调候、通关、病药发生冲突时必须进入M18裁决。</x:v>
      </x:c>
      <x:c r="B3" s="94"/>
      <x:c r="C3" s="94"/>
      <x:c r="D3" s="94"/>
      <x:c r="E3" s="94"/>
      <x:c r="F3" s="94"/>
      <x:c r="G3" s="94"/>
      <x:c r="H3" s="94"/>
      <x:c r="I3" s="94"/>
      <x:c r="J3" s="94"/>
      <x:c r="K3" s="94"/>
      <x:c r="L3" s="94"/>
      <x:c r="M3" s="94"/>
      <x:c r="N3" s="94"/>
    </x:row>
    <x:row r="5">
      <x:c r="A5" s="123" t="str">
        <x:v>核心模块数</x:v>
      </x:c>
      <x:c r="B5" s="123"/>
      <x:c r="C5" s="123" t="str">
        <x:v>框架完成数</x:v>
      </x:c>
      <x:c r="D5" s="123"/>
      <x:c r="E5" s="123" t="str">
        <x:v>正式记录数</x:v>
      </x:c>
      <x:c r="F5" s="123"/>
      <x:c r="G5" s="123" t="str">
        <x:v>建议目标数</x:v>
      </x:c>
      <x:c r="H5" s="123"/>
      <x:c r="I5" s="123" t="str">
        <x:v>总体填充率</x:v>
      </x:c>
      <x:c r="J5" s="123"/>
      <x:c r="K5" s="123" t="str">
        <x:v>术语编码数</x:v>
      </x:c>
      <x:c r="L5" s="123"/>
      <x:c r="M5" s="123" t="str">
        <x:v>当前版本</x:v>
      </x:c>
      <x:c r="N5" s="123"/>
    </x:row>
    <x:row r="6">
      <x:c r="A6" s="130" t="n">
        <x:f>COUNTA($B$18:$B$37)</x:f>
        <x:v>20</x:v>
      </x:c>
      <x:c r="B6" s="130"/>
      <x:c r="C6" s="130" t="n">
        <x:f>COUNTA($M$18:$M$37)-COUNTIF($M$18:$M$37,"未开始")</x:f>
        <x:v>20</x:v>
      </x:c>
      <x:c r="D6" s="130"/>
      <x:c r="E6" s="130" t="n">
        <x:v>1500</x:v>
      </x:c>
      <x:c r="F6" s="130"/>
      <x:c r="G6" s="130" t="n">
        <x:f>SUM($J$18:$J$37)</x:f>
        <x:v>1745</x:v>
      </x:c>
      <x:c r="H6" s="130"/>
      <x:c r="I6" s="138" t="n">
        <x:f>E6/G6</x:f>
        <x:v>0.8595988538681948</x:v>
      </x:c>
      <x:c r="J6" s="138"/>
      <x:c r="K6" s="130" t="n">
        <x:v>583</x:v>
      </x:c>
      <x:c r="L6" s="130"/>
      <x:c r="M6" s="144" t="str">
        <x:v>V1.6</x:v>
      </x:c>
      <x:c r="N6" s="144"/>
    </x:row>
    <x:row r="7">
      <x:c r="A7" s="130"/>
      <x:c r="B7" s="130"/>
      <x:c r="C7" s="130"/>
      <x:c r="D7" s="130"/>
      <x:c r="E7" s="130"/>
      <x:c r="F7" s="130"/>
      <x:c r="G7" s="130"/>
      <x:c r="H7" s="130"/>
      <x:c r="I7" s="138"/>
      <x:c r="J7" s="138"/>
      <x:c r="K7" s="130"/>
      <x:c r="L7" s="130"/>
      <x:c r="M7" s="144"/>
      <x:c r="N7" s="144"/>
    </x:row>
    <x:row r="9">
      <x:c r="A9" s="150" t="str">
        <x:v>四层推理架构与治理边界</x:v>
      </x:c>
      <x:c r="B9" s="150"/>
      <x:c r="C9" s="150"/>
      <x:c r="D9" s="150"/>
      <x:c r="E9" s="150"/>
      <x:c r="F9" s="150"/>
      <x:c r="G9" s="150"/>
      <x:c r="H9" s="150"/>
      <x:c r="I9" s="150"/>
      <x:c r="J9" s="150"/>
      <x:c r="K9" s="150"/>
      <x:c r="L9" s="150"/>
      <x:c r="M9" s="150"/>
      <x:c r="N9" s="150"/>
    </x:row>
    <x:row r="10">
      <x:c r="A10" s="61" t="str">
        <x:v>层级</x:v>
      </x:c>
      <x:c r="B10" s="61" t="str">
        <x:v>核心问题</x:v>
      </x:c>
      <x:c r="C10" s="61" t="str">
        <x:v>主要模块</x:v>
      </x:c>
      <x:c r="D10" s="61" t="str">
        <x:v>禁止跨越的边界</x:v>
      </x:c>
      <x:c r="E10" s="61" t="str">
        <x:v>主要输出</x:v>
      </x:c>
      <x:c r="G10" s="155" t="str">
        <x:v>规则编号与使用约束</x:v>
      </x:c>
      <x:c r="H10" s="155"/>
      <x:c r="I10" s="155"/>
      <x:c r="J10" s="155"/>
      <x:c r="K10" s="155"/>
      <x:c r="L10" s="155"/>
      <x:c r="M10" s="155"/>
      <x:c r="N10" s="155"/>
    </x:row>
    <x:row r="11">
      <x:c r="A11" s="112" t="str">
        <x:v>识别层</x:v>
      </x:c>
      <x:c r="B11" s="112" t="str">
        <x:v>原局客观存在什么事实与关系？</x:v>
      </x:c>
      <x:c r="C11" s="112" t="str">
        <x:v>M02—M05</x:v>
      </x:c>
      <x:c r="D11" s="112" t="str">
        <x:v>不直接判断增减力、吉凶或用神</x:v>
      </x:c>
      <x:c r="E11" s="112" t="str">
        <x:v>干支映射、关系存在、完整度与候选</x:v>
      </x:c>
      <x:c r="G11" s="158" t="str">
        <x:v>完整格式</x:v>
      </x:c>
      <x:c r="H11" s="112" t="str">
        <x:v>M05-XING-0001-V1.0</x:v>
      </x:c>
      <x:c r="I11" s="112" t="str">
        <x:v>模块－子类－四位序号－版本</x:v>
      </x:c>
      <x:c r="J11" s="47" t="str">
        <x:v>示例不代表规则库已经完成。正式规则至少需要：前置条件、必要条件、增强/削弱、否决、例外、作用对象、标准输出、置信度、正例与反例。规则写完后进入M20测试；发生流派分歧或语义修改时进入M21。</x:v>
      </x:c>
      <x:c r="K11" s="47"/>
      <x:c r="L11" s="47"/>
      <x:c r="M11" s="47"/>
      <x:c r="N11" s="47"/>
    </x:row>
    <x:row r="12">
      <x:c r="A12" s="112" t="str">
        <x:v>效应层</x:v>
      </x:c>
      <x:c r="B12" s="112" t="str">
        <x:v>已识别关系实际产生什么作用？</x:v>
      </x:c>
      <x:c r="C12" s="112" t="str">
        <x:v>M06</x:v>
      </x:c>
      <x:c r="D12" s="112" t="str">
        <x:v>不把关系名称直接换算成固定分值</x:v>
      </x:c>
      <x:c r="E12" s="112" t="str">
        <x:v>逐对象的合绊、冲动、转化、根气与流通效应</x:v>
      </x:c>
      <x:c r="G12" s="158" t="str">
        <x:v>正式序号</x:v>
      </x:c>
      <x:c r="H12" s="112" t="str">
        <x:v>0001—9998</x:v>
      </x:c>
      <x:c r="I12" s="112" t="str">
        <x:v>同模块同子类递增；停用后不得复用</x:v>
      </x:c>
      <x:c r="J12" s="47"/>
      <x:c r="K12" s="47"/>
      <x:c r="L12" s="47"/>
      <x:c r="M12" s="47"/>
      <x:c r="N12" s="47"/>
    </x:row>
    <x:row r="13">
      <x:c r="A13" s="112" t="str">
        <x:v>结构层</x:v>
      </x:c>
      <x:c r="B13" s="112" t="str">
        <x:v>有效力量、十神功能和流通状态如何？</x:v>
      </x:c>
      <x:c r="C13" s="112" t="str">
        <x:v>M07—M08、M10—M13</x:v>
      </x:c>
      <x:c r="D13" s="112" t="str">
        <x:v>不以数量或单一证据直接定喜忌</x:v>
      </x:c>
      <x:c r="E13" s="112" t="str">
        <x:v>五行有效旺衰、十神功能、组合、卡点、调候</x:v>
      </x:c>
      <x:c r="G13" s="158" t="str">
        <x:v>示例序号</x:v>
      </x:c>
      <x:c r="H13" s="112" t="str">
        <x:v>9999</x:v>
      </x:c>
      <x:c r="I13" s="112" t="str">
        <x:v>全表示例专用，不计入正式规则</x:v>
      </x:c>
      <x:c r="J13" s="47"/>
      <x:c r="K13" s="47"/>
      <x:c r="L13" s="47"/>
      <x:c r="M13" s="47"/>
      <x:c r="N13" s="47"/>
    </x:row>
    <x:row r="14">
      <x:c r="A14" s="112" t="str">
        <x:v>综合层</x:v>
      </x:c>
      <x:c r="B14" s="112" t="str">
        <x:v>格局、病药和用神如何裁决？</x:v>
      </x:c>
      <x:c r="C14" s="112" t="str">
        <x:v>M09、M14—M18</x:v>
      </x:c>
      <x:c r="D14" s="112" t="str">
        <x:v>必须保留反向证据、条件与副作用</x:v>
      </x:c>
      <x:c r="E14" s="112" t="str">
        <x:v>日主旺衰、格局成败、病药、喜忌用神与裁决</x:v>
      </x:c>
      <x:c r="G14" s="158" t="str">
        <x:v>A列</x:v>
      </x:c>
      <x:c r="H14" s="112" t="str">
        <x:v>自动公式</x:v>
      </x:c>
      <x:c r="I14" s="112" t="str">
        <x:v>禁止手工覆盖；引用其他规则时使用完整ID</x:v>
      </x:c>
      <x:c r="J14" s="47"/>
      <x:c r="K14" s="47"/>
      <x:c r="L14" s="47"/>
      <x:c r="M14" s="47"/>
      <x:c r="N14" s="47"/>
    </x:row>
    <x:row r="15">
      <x:c r="A15" s="112" t="str">
        <x:v>治理与输出</x:v>
      </x:c>
      <x:c r="B15" s="112" t="str">
        <x:v>怎样稳定输出、测试并维护版本？</x:v>
      </x:c>
      <x:c r="C15" s="112" t="str">
        <x:v>M19—M21</x:v>
      </x:c>
      <x:c r="D15" s="112" t="str">
        <x:v>停用规则不删除，争议不伪装成共识</x:v>
      </x:c>
      <x:c r="E15" s="112" t="str">
        <x:v>结构化报告、案例测试、争议与版本历史</x:v>
      </x:c>
      <x:c r="G15" s="158" t="str">
        <x:v>版本</x:v>
      </x:c>
      <x:c r="H15" s="112" t="str">
        <x:v>V主.次</x:v>
      </x:c>
      <x:c r="I15" s="112" t="str">
        <x:v>核心语义变化通常新建ID，并在M21登记</x:v>
      </x:c>
      <x:c r="J15" s="47"/>
      <x:c r="K15" s="47"/>
      <x:c r="L15" s="47"/>
      <x:c r="M15" s="47"/>
      <x:c r="N15" s="47"/>
    </x:row>
    <x:row r="17">
      <x:c r="A17" s="61" t="str">
        <x:v>序号</x:v>
      </x:c>
      <x:c r="B17" s="61" t="str">
        <x:v>模块代码</x:v>
      </x:c>
      <x:c r="C17" s="61" t="str">
        <x:v>工作表</x:v>
      </x:c>
      <x:c r="D17" s="61" t="str">
        <x:v>规则层级</x:v>
      </x:c>
      <x:c r="E17" s="61" t="str">
        <x:v>核心职责</x:v>
      </x:c>
      <x:c r="F17" s="61" t="str">
        <x:v>前置依赖</x:v>
      </x:c>
      <x:c r="G17" s="61" t="str">
        <x:v>主要输出</x:v>
      </x:c>
      <x:c r="H17" s="61" t="str">
        <x:v>直接下游</x:v>
      </x:c>
      <x:c r="I17" s="61" t="str">
        <x:v>建设阶段</x:v>
      </x:c>
      <x:c r="J17" s="61" t="str">
        <x:v>建议目标规则数</x:v>
      </x:c>
      <x:c r="K17" s="61" t="str">
        <x:v>已录入正式记录</x:v>
      </x:c>
      <x:c r="L17" s="61" t="str">
        <x:v>完成率</x:v>
      </x:c>
      <x:c r="M17" s="61" t="str">
        <x:v>当前状态</x:v>
      </x:c>
      <x:c r="N17" s="61" t="str">
        <x:v>备注</x:v>
      </x:c>
    </x:row>
    <x:row r="18">
      <x:c r="A18" s="112" t="n">
        <x:v>1</x:v>
      </x:c>
      <x:c r="B18" s="112" t="str">
        <x:v>M02</x:v>
      </x:c>
      <x:c r="C18" s="112" t="str">
        <x:v>02_干支藏干基础</x:v>
      </x:c>
      <x:c r="D18" s="112" t="str">
        <x:v>识别层</x:v>
      </x:c>
      <x:c r="E18" s="112" t="str">
        <x:v>保存不可再拆分的基础映射：天干地支、阴阳五行、藏干层级、季节属性与十神映射前提。此表是全库的事实底座。</x:v>
      </x:c>
      <x:c r="F18" s="112" t="str">
        <x:v>无</x:v>
      </x:c>
      <x:c r="G18" s="112" t="str">
        <x:v>统一干支、藏干、五行与十神映射</x:v>
      </x:c>
      <x:c r="H18" s="112" t="str">
        <x:v>M03/M04/M05/M07/M09/M10</x:v>
      </x:c>
      <x:c r="I18" s="112" t="str">
        <x:v>第一阶段_基础关系</x:v>
      </x:c>
      <x:c r="J18" s="112" t="n">
        <x:v>40</x:v>
      </x:c>
      <x:c r="K18" s="112" t="n">
        <x:f>MAX(0,COUNT('02_干支藏干基础'!$D$6:$D$105)-1)</x:f>
        <x:v>40</x:v>
      </x:c>
      <x:c r="L18" s="160" t="n">
        <x:f>IF(J18=0,"",K18/J18)</x:f>
        <x:v>1</x:v>
      </x:c>
      <x:c r="M18" s="112" t="str">
        <x:v>核心规则填充</x:v>
      </x:c>
      <x:c r="N18" s="112" t="str">
        <x:v>已录入40条：十天干10、十二地支12、五行5、十神10、治理边界3。</x:v>
      </x:c>
    </x:row>
    <x:row r="19">
      <x:c r="A19" s="112" t="n">
        <x:v>2</x:v>
      </x:c>
      <x:c r="B19" s="112" t="str">
        <x:v>M03</x:v>
      </x:c>
      <x:c r="C19" s="112" t="str">
        <x:v>03_月令与根气</x:v>
      </x:c>
      <x:c r="D19" s="112" t="str">
        <x:v>结构层</x:v>
      </x:c>
      <x:c r="E19" s="112" t="str">
        <x:v>定义月令司权、得令、得地、通根及根气等级。每条规则必须说明它只是证据，还是足以构成否决或硬约束。</x:v>
      </x:c>
      <x:c r="F19" s="112" t="str">
        <x:v>M02</x:v>
      </x:c>
      <x:c r="G19" s="112" t="str">
        <x:v>月令支持度、根气类型与证据权重</x:v>
      </x:c>
      <x:c r="H19" s="112" t="str">
        <x:v>M07/M08/M09/M14</x:v>
      </x:c>
      <x:c r="I19" s="112" t="str">
        <x:v>第一阶段_基础关系</x:v>
      </x:c>
      <x:c r="J19" s="112" t="n">
        <x:v>60</x:v>
      </x:c>
      <x:c r="K19" s="112" t="n">
        <x:f>MAX(0,COUNT('03_月令与根气'!$D$6:$D$105)-1)</x:f>
        <x:v>60</x:v>
      </x:c>
      <x:c r="L19" s="160" t="n">
        <x:f>IF(J19=0,"",K19/J19)</x:f>
        <x:v>1</x:v>
      </x:c>
      <x:c r="M19" s="112" t="str">
        <x:v>核心规则填充</x:v>
      </x:c>
      <x:c r="N19" s="112" t="str">
        <x:v>已录入60条：月令12、旺相休囚死5、程序6、十干通根10、根气与边界27。</x:v>
      </x:c>
    </x:row>
    <x:row r="20">
      <x:c r="A20" s="112" t="n">
        <x:v>3</x:v>
      </x:c>
      <x:c r="B20" s="112" t="str">
        <x:v>M04</x:v>
      </x:c>
      <x:c r="C20" s="112" t="str">
        <x:v>04_天干作用识别</x:v>
      </x:c>
      <x:c r="D20" s="112" t="str">
        <x:v>识别层</x:v>
      </x:c>
      <x:c r="E20" s="112" t="str">
        <x:v>只识别天干五合、相克、争合、妒合、隔合与合化候选。识别成立不等于合化成立，也不等于必然增减力。</x:v>
      </x:c>
      <x:c r="F20" s="112" t="str">
        <x:v>M02</x:v>
      </x:c>
      <x:c r="G20" s="112" t="str">
        <x:v>天干关系清单与合化候选</x:v>
      </x:c>
      <x:c r="H20" s="112" t="str">
        <x:v>M06/M08/M10/M11</x:v>
      </x:c>
      <x:c r="I20" s="112" t="str">
        <x:v>第一阶段_基础关系</x:v>
      </x:c>
      <x:c r="J20" s="112" t="n">
        <x:v>50</x:v>
      </x:c>
      <x:c r="K20" s="112" t="n">
        <x:f>MAX(0,COUNT('04_天干作用识别'!$D$6:$D$105)-1)</x:f>
        <x:v>50</x:v>
      </x:c>
      <x:c r="L20" s="160" t="n">
        <x:f>IF(J20=0,"",K20/J20)</x:f>
        <x:v>1</x:v>
      </x:c>
      <x:c r="M20" s="112" t="str">
        <x:v>核心规则填充</x:v>
      </x:c>
      <x:c r="N20" s="112" t="str">
        <x:v>已录入50条：五合5、相克20、柱位6、合化候选5、争合5、通用多重关系与边界9。</x:v>
      </x:c>
    </x:row>
    <x:row r="21">
      <x:c r="A21" s="112" t="n">
        <x:v>4</x:v>
      </x:c>
      <x:c r="B21" s="112" t="str">
        <x:v>M05</x:v>
      </x:c>
      <x:c r="C21" s="112" t="str">
        <x:v>05_地支关系识别</x:v>
      </x:c>
      <x:c r="D21" s="112" t="str">
        <x:v>识别层</x:v>
      </x:c>
      <x:c r="E21" s="112" t="str">
        <x:v>识别六合、三合、半合、拱合、三会、六冲、三刑、自刑、六害、六破及多重关系。此表不直接裁定某支被刑弱或被冲散。</x:v>
      </x:c>
      <x:c r="F21" s="112" t="str">
        <x:v>M02</x:v>
      </x:c>
      <x:c r="G21" s="112" t="str">
        <x:v>地支关系清单、完整度与叠加关系</x:v>
      </x:c>
      <x:c r="H21" s="112" t="str">
        <x:v>M06/M08/M10/M11/M12</x:v>
      </x:c>
      <x:c r="I21" s="112" t="str">
        <x:v>第一阶段_基础关系</x:v>
      </x:c>
      <x:c r="J21" s="112" t="n">
        <x:v>90</x:v>
      </x:c>
      <x:c r="K21" s="112" t="n">
        <x:f>MAX(0,COUNT('05_地支关系识别'!$D$6:$D$105)-1)</x:f>
        <x:v>90</x:v>
      </x:c>
      <x:c r="L21" s="160" t="n">
        <x:f>IF(J21=0,"",K21/J21)</x:f>
        <x:v>1</x:v>
      </x:c>
      <x:c r="M21" s="112" t="str">
        <x:v>核心规则填充</x:v>
      </x:c>
      <x:c r="N21" s="112" t="str">
        <x:v>已录入90条：六合6、三合4、半合8、拱合4、三会4、六冲6、三刑9、自刑4、六害6、六破6、柱位与边界33。</x:v>
      </x:c>
    </x:row>
    <x:row r="22">
      <x:c r="A22" s="112" t="n">
        <x:v>5</x:v>
      </x:c>
      <x:c r="B22" s="112" t="str">
        <x:v>M06</x:v>
      </x:c>
      <x:c r="C22" s="112" t="str">
        <x:v>06_干支关系效应</x:v>
      </x:c>
      <x:c r="D22" s="112" t="str">
        <x:v>效应层</x:v>
      </x:c>
      <x:c r="E22" s="112" t="str">
        <x:v>将已识别的合冲刑害转化为实际效应：合绊、合化、冲动、冲散、刑伤、激活、开库、根气变化与流通影响。必须逐对象判断。</x:v>
      </x:c>
      <x:c r="F22" s="112" t="str">
        <x:v>M03/M04/M05</x:v>
      </x:c>
      <x:c r="G22" s="112" t="str">
        <x:v>关系的实际增减、转化、激活与阻断</x:v>
      </x:c>
      <x:c r="H22" s="112" t="str">
        <x:v>M08/M09/M10/M11/M12/M14/M15</x:v>
      </x:c>
      <x:c r="I22" s="112" t="str">
        <x:v>第一阶段_基础关系</x:v>
      </x:c>
      <x:c r="J22" s="112" t="n">
        <x:v>120</x:v>
      </x:c>
      <x:c r="K22" s="112" t="n">
        <x:f>MAX(0,COUNT('06_干支关系效应'!$D$6:$D$126)-1)</x:f>
        <x:v>120</x:v>
      </x:c>
      <x:c r="L22" s="160" t="n">
        <x:f>IF(J22=0,"",K22/J22)</x:f>
        <x:v>1</x:v>
      </x:c>
      <x:c r="M22" s="112" t="str">
        <x:v>核心规则填充</x:v>
      </x:c>
      <x:c r="N22" s="112" t="str">
        <x:v>已录入120条：天干合10、天干合化12、天干相克8、六合12、三合10、三会6、半合拱合6、六冲18、三刑9、自刑4、六害4、六破4、多重关系7、效应边界10。</x:v>
      </x:c>
    </x:row>
    <x:row r="23">
      <x:c r="A23" s="112" t="n">
        <x:v>6</x:v>
      </x:c>
      <x:c r="B23" s="112" t="str">
        <x:v>M07</x:v>
      </x:c>
      <x:c r="C23" s="112" t="str">
        <x:v>07_五行原始旺衰</x:v>
      </x:c>
      <x:c r="D23" s="112" t="str">
        <x:v>结构层</x:v>
      </x:c>
      <x:c r="E23" s="112" t="str">
        <x:v>在复杂合冲效应修正前，按得令、根气、透干、生源、同党、成势与连续生扶评估五行基础力量。保留参考权重但禁止机械总分代替判断。</x:v>
      </x:c>
      <x:c r="F23" s="112" t="str">
        <x:v>M02/M03</x:v>
      </x:c>
      <x:c r="G23" s="112" t="str">
        <x:v>五行原始旺衰证据与候选等级</x:v>
      </x:c>
      <x:c r="H23" s="112" t="str">
        <x:v>M08/M09/M10</x:v>
      </x:c>
      <x:c r="I23" s="112" t="str">
        <x:v>第二阶段_旺衰十神</x:v>
      </x:c>
      <x:c r="J23" s="112" t="n">
        <x:v>80</x:v>
      </x:c>
      <x:c r="K23" s="112" t="n">
        <x:f>MAX(0,COUNT('07_五行原始旺衰'!$D$6:$D$105)-1)</x:f>
        <x:v>80</x:v>
      </x:c>
      <x:c r="L23" s="160" t="n">
        <x:f>IF(J23=0,"",K23/J23)</x:f>
        <x:v>1</x:v>
      </x:c>
      <x:c r="M23" s="112" t="str">
        <x:v>核心规则填充</x:v>
      </x:c>
      <x:c r="N23" s="112" t="str">
        <x:v>已录入80条：季令10、根气16、透干10、生源10、同党10、成势8、连续生扶6、综合分级6、边界4。</x:v>
      </x:c>
    </x:row>
    <x:row r="24">
      <x:c r="A24" s="112" t="n">
        <x:v>7</x:v>
      </x:c>
      <x:c r="B24" s="112" t="str">
        <x:v>M08</x:v>
      </x:c>
      <x:c r="C24" s="112" t="str">
        <x:v>08_五行有效旺衰</x:v>
      </x:c>
      <x:c r="D24" s="112" t="str">
        <x:v>结构层</x:v>
      </x:c>
      <x:c r="E24" s="112" t="str">
        <x:v>将M07原始力量经合冲刑害、生克泄耗、根气变化、寒凝燥枯与流通状态修正为真正可发挥的有效力量。</x:v>
      </x:c>
      <x:c r="F24" s="112" t="str">
        <x:v>M06/M07</x:v>
      </x:c>
      <x:c r="G24" s="112" t="str">
        <x:v>五行有效旺衰、可用性与修正原因</x:v>
      </x:c>
      <x:c r="H24" s="112" t="str">
        <x:v>M09/M10/M11/M12/M13/M14/M16/M17</x:v>
      </x:c>
      <x:c r="I24" s="112" t="str">
        <x:v>第二阶段_旺衰十神</x:v>
      </x:c>
      <x:c r="J24" s="112" t="n">
        <x:v>110</x:v>
      </x:c>
      <x:c r="K24" s="112" t="n">
        <x:f>MAX(0,COUNT('08_五行有效旺衰'!$D$6:$D$116)-1)</x:f>
        <x:v>110</x:v>
      </x:c>
      <x:c r="L24" s="160" t="n">
        <x:f>IF(J24=0,"",K24/J24)</x:f>
        <x:v>1</x:v>
      </x:c>
      <x:c r="M24" s="112" t="str">
        <x:v>核心规则填充</x:v>
      </x:c>
      <x:c r="N24" s="112" t="str">
        <x:v>已录入110条：根气16、生源12、透达8、克制10、泄气8、耗气8、合化会局12、冲刑害破12、寒燥8、流通6、综合分级6、边界4。</x:v>
      </x:c>
    </x:row>
    <x:row r="25">
      <x:c r="A25" s="112" t="n">
        <x:v>8</x:v>
      </x:c>
      <x:c r="B25" s="112" t="str">
        <x:v>M09</x:v>
      </x:c>
      <x:c r="C25" s="112" t="str">
        <x:v>09_日主旺衰</x:v>
      </x:c>
      <x:c r="D25" s="112" t="str">
        <x:v>综合层</x:v>
      </x:c>
      <x:c r="E25" s="112" t="str">
        <x:v>综合得令、得地、得势、得生、受制、受泄、受耗及根气有效性，输出七级旺衰、反向证据与置信度。</x:v>
      </x:c>
      <x:c r="F25" s="112" t="str">
        <x:v>M03/M07/M08</x:v>
      </x:c>
      <x:c r="G25" s="112" t="str">
        <x:v>日主七级旺衰、正反证据与置信度</x:v>
      </x:c>
      <x:c r="H25" s="112" t="str">
        <x:v>M10/M11/M14/M16/M17</x:v>
      </x:c>
      <x:c r="I25" s="112" t="str">
        <x:v>第二阶段_旺衰十神</x:v>
      </x:c>
      <x:c r="J25" s="112" t="n">
        <x:v>90</x:v>
      </x:c>
      <x:c r="K25" s="112" t="n">
        <x:f>MAX(0,COUNT('09_日主旺衰'!$D$6:$D$105)-1)</x:f>
        <x:v>90</x:v>
      </x:c>
      <x:c r="L25" s="160" t="n">
        <x:f>IF(J25=0,"",K25/J25)</x:f>
        <x:v>1</x:v>
      </x:c>
      <x:c r="M25" s="112" t="str">
        <x:v>核心规则填充</x:v>
      </x:c>
      <x:c r="N25" s="112" t="str">
        <x:v>已录入90条：得令10、得地12、得势10、得生8、受制8、受泄8、受耗6、综合比较10、七级分级8、边界10。</x:v>
      </x:c>
    </x:row>
    <x:row r="26">
      <x:c r="A26" s="112" t="n">
        <x:v>9</x:v>
      </x:c>
      <x:c r="B26" s="112" t="str">
        <x:v>M10</x:v>
      </x:c>
      <x:c r="C26" s="112" t="str">
        <x:v>10_十神旺衰功能</x:v>
      </x:c>
      <x:c r="D26" s="112" t="str">
        <x:v>结构层</x:v>
      </x:c>
      <x:c r="E26" s="112" t="str">
        <x:v>分别判断十神是否存在、自身力量、清纯度、功能是否有效及对全局喜忌。禁止把十神旺弱直接等同于吉凶。</x:v>
      </x:c>
      <x:c r="F26" s="112" t="str">
        <x:v>M02/M08/M09</x:v>
      </x:c>
      <x:c r="G26" s="112" t="str">
        <x:v>十神力量、清纯度、功能状态与喜忌候选</x:v>
      </x:c>
      <x:c r="H26" s="112" t="str">
        <x:v>M11/M14/M15/M16/M17</x:v>
      </x:c>
      <x:c r="I26" s="112" t="str">
        <x:v>第二阶段_旺衰十神</x:v>
      </x:c>
      <x:c r="J26" s="112" t="n">
        <x:v>120</x:v>
      </x:c>
      <x:c r="K26" s="112" t="n">
        <x:v>120</x:v>
      </x:c>
      <x:c r="L26" s="160" t="n">
        <x:v>1</x:v>
      </x:c>
      <x:c r="M26" s="112" t="str">
        <x:v>核心规则填充</x:v>
      </x:c>
      <x:c r="N26" s="112" t="str">
        <x:v>已录入120条：存在12、力量12、清纯8、比劫10、印星10、食伤12、财星12、官杀14、制化10、组合格局接口8、喜忌候选6、边界6。</x:v>
      </x:c>
    </x:row>
    <x:row r="27">
      <x:c r="A27" s="112" t="n">
        <x:v>10</x:v>
      </x:c>
      <x:c r="B27" s="112" t="str">
        <x:v>M11</x:v>
      </x:c>
      <x:c r="C27" s="112" t="str">
        <x:v>11_十神组合成立</x:v>
      </x:c>
      <x:c r="D27" s="112" t="str">
        <x:v>结构层</x:v>
      </x:c>
      <x:c r="E27" s="112" t="str">
        <x:v>建立食神制杀、伤官配印、官印相生、杀印相生等组合的必要条件、破坏条件、救应条件与成立等级。</x:v>
      </x:c>
      <x:c r="F27" s="112" t="str">
        <x:v>M08/M09/M10</x:v>
      </x:c>
      <x:c r="G27" s="112" t="str">
        <x:v>十神组合成立等级、功能、破坏与救应</x:v>
      </x:c>
      <x:c r="H27" s="112" t="str">
        <x:v>M14/M15/M16/M17</x:v>
      </x:c>
      <x:c r="I27" s="112" t="str">
        <x:v>第三阶段_流通格局</x:v>
      </x:c>
      <x:c r="J27" s="112" t="n">
        <x:v>110</x:v>
      </x:c>
      <x:c r="K27" s="112" t="n">
        <x:v>110</x:v>
      </x:c>
      <x:c r="L27" s="160" t="n">
        <x:v>1</x:v>
      </x:c>
      <x:c r="M27" s="112" t="str">
        <x:v>核心规则填充</x:v>
      </x:c>
      <x:c r="N27" s="112" t="str">
        <x:v>已录入110条：通用10、食神制杀10、杀印相生8、官印相生8、伤官配印10、食伤生财10、财官生化链8、平衡承载10、其他制化8、冲突病态18、边界10。</x:v>
      </x:c>
    </x:row>
    <x:row r="28">
      <x:c r="A28" s="112" t="n">
        <x:v>11</x:v>
      </x:c>
      <x:c r="B28" s="112" t="str">
        <x:v>M12</x:v>
      </x:c>
      <x:c r="C28" s="112" t="str">
        <x:v>12_五行流通卡点</x:v>
      </x:c>
      <x:c r="D28" s="112" t="str">
        <x:v>结构层</x:v>
      </x:c>
      <x:c r="E28" s="112" t="str">
        <x:v>把五行和十神关系表达为起点—桥梁—终点路径，定位缺桥、桥弱、两强相战、寒凝燥枯与终点不能承载等卡点。</x:v>
      </x:c>
      <x:c r="F28" s="112" t="str">
        <x:v>M06/M08/M10/M11</x:v>
      </x:c>
      <x:c r="G28" s="112" t="str">
        <x:v>主要流通路径、卡点与通关候选</x:v>
      </x:c>
      <x:c r="H28" s="112" t="str">
        <x:v>M13/M16/M17</x:v>
      </x:c>
      <x:c r="I28" s="112" t="str">
        <x:v>第三阶段_流通格局</x:v>
      </x:c>
      <x:c r="J28" s="112" t="n">
        <x:v>90</x:v>
      </x:c>
      <x:c r="K28" s="112" t="n">
        <x:v>90</x:v>
      </x:c>
      <x:c r="L28" s="160" t="n">
        <x:v>1</x:v>
      </x:c>
      <x:c r="M28" s="112" t="str">
        <x:v>核心规则填充</x:v>
      </x:c>
      <x:c r="N28" s="112" t="str">
        <x:v>已录入90条：通用10、源头8、桥梁12、终点8、典型卡点16、五行生化与通关10、十神路径10、通关副作用8、综合输出4、边界4。</x:v>
      </x:c>
    </x:row>
    <x:row r="29">
      <x:c r="A29" s="112" t="n">
        <x:v>12</x:v>
      </x:c>
      <x:c r="B29" s="112" t="str">
        <x:v>M13</x:v>
      </x:c>
      <x:c r="C29" s="112" t="str">
        <x:v>13_寒暖燥湿</x:v>
      </x:c>
      <x:c r="D29" s="112" t="str">
        <x:v>结构层</x:v>
      </x:c>
      <x:c r="E29" s="112" t="str">
        <x:v>将温度轴和湿度轴分开判断，再评估调候五行是否存在、是否有效、紧急程度及其与扶抑和格局的冲突。</x:v>
      </x:c>
      <x:c r="F29" s="112" t="str">
        <x:v>M02/M08/M12</x:v>
      </x:c>
      <x:c r="G29" s="112" t="str">
        <x:v>温度、湿度、调候候选与紧急度</x:v>
      </x:c>
      <x:c r="H29" s="112" t="str">
        <x:v>M16/M17</x:v>
      </x:c>
      <x:c r="I29" s="112" t="str">
        <x:v>第三阶段_流通格局</x:v>
      </x:c>
      <x:c r="J29" s="112" t="n">
        <x:v>70</x:v>
      </x:c>
      <x:c r="K29" s="112" t="n">
        <x:v>70</x:v>
      </x:c>
      <x:c r="L29" s="160" t="n">
        <x:v>1</x:v>
      </x:c>
      <x:c r="M29" s="112" t="str">
        <x:v>核心规则填充</x:v>
      </x:c>
      <x:c r="N29" s="112" t="str">
        <x:v>已录入70条：通用8、十二月令基准12、寒暖修正10、燥湿修正10、双轴组合8、调候元素有效性8、调候冲突8、边界6。</x:v>
      </x:c>
    </x:row>
    <x:row r="30">
      <x:c r="A30" s="112" t="n">
        <x:v>13</x:v>
      </x:c>
      <x:c r="B30" s="112" t="str">
        <x:v>M14</x:v>
      </x:c>
      <x:c r="C30" s="112" t="str">
        <x:v>14_格局候选判断</x:v>
      </x:c>
      <x:c r="D30" s="112" t="str">
        <x:v>综合层</x:v>
      </x:c>
      <x:c r="E30" s="112" t="str">
        <x:v>先生成多个普通或特殊格局候选，再按月令、透干、格神、日主配合及严格条件逐一淘汰，禁止一开始强行定格。</x:v>
      </x:c>
      <x:c r="F30" s="112" t="str">
        <x:v>M03/M06/M08/M09/M10/M11</x:v>
      </x:c>
      <x:c r="G30" s="112" t="str">
        <x:v>格局候选清单、排除理由与候选状态</x:v>
      </x:c>
      <x:c r="H30" s="112" t="str">
        <x:v>M15/M17/M18</x:v>
      </x:c>
      <x:c r="I30" s="112" t="str">
        <x:v>第三阶段_流通格局</x:v>
      </x:c>
      <x:c r="J30" s="112" t="n">
        <x:v>80</x:v>
      </x:c>
      <x:c r="K30" s="112" t="n">
        <x:v>80</x:v>
      </x:c>
      <x:c r="L30" s="160" t="n">
        <x:v>1</x:v>
      </x:c>
      <x:c r="M30" s="112" t="str">
        <x:v>核心规则填充</x:v>
      </x:c>
      <x:c r="N30" s="112" t="str">
        <x:v>已录入80条：通用8、正官6、七杀6、印格6、财格6、食伤8、建禄羊刃8、从格10、化气6、专旺6、候选排序6、边界4。</x:v>
      </x:c>
    </x:row>
    <x:row r="31">
      <x:c r="A31" s="112" t="n">
        <x:v>14</x:v>
      </x:c>
      <x:c r="B31" s="112" t="str">
        <x:v>M15</x:v>
      </x:c>
      <x:c r="C31" s="112" t="str">
        <x:v>15_格局成败救应</x:v>
      </x:c>
      <x:c r="D31" s="112" t="str">
        <x:v>综合层</x:v>
      </x:c>
      <x:c r="E31" s="112" t="str">
        <x:v>对M14候选逐项判断成格、破格、清纯度、救应有效性和层次，保留反向证据，并区分“成立”与“层次高低”。</x:v>
      </x:c>
      <x:c r="F31" s="112" t="str">
        <x:v>M14/M11/M08</x:v>
      </x:c>
      <x:c r="G31" s="112" t="str">
        <x:v>最终格局、破格、救应与层次</x:v>
      </x:c>
      <x:c r="H31" s="112" t="str">
        <x:v>M16/M17/M18</x:v>
      </x:c>
      <x:c r="I31" s="112" t="str">
        <x:v>第三阶段_流通格局</x:v>
      </x:c>
      <x:c r="J31" s="112" t="n">
        <x:v>100</x:v>
      </x:c>
      <x:c r="K31" s="112" t="n">
        <x:v>100</x:v>
      </x:c>
      <x:c r="L31" s="160" t="n">
        <x:v>1</x:v>
      </x:c>
      <x:c r="M31" s="112" t="str">
        <x:v>核心规则填充</x:v>
      </x:c>
      <x:c r="N31" s="112" t="str">
        <x:v>已录入100条：通用10、正官8、七杀8、印格8、财格8、食伤10、建禄羊刃8、从格10、化气8、专旺8、救应10、边界4。</x:v>
      </x:c>
    </x:row>
    <x:row r="32">
      <x:c r="A32" s="112" t="n">
        <x:v>15</x:v>
      </x:c>
      <x:c r="B32" s="112" t="str">
        <x:v>M16</x:v>
      </x:c>
      <x:c r="C32" s="112" t="str">
        <x:v>16_病药模型</x:v>
      </x:c>
      <x:c r="D32" s="112" t="str">
        <x:v>综合层</x:v>
      </x:c>
      <x:c r="E32" s="112" t="str">
        <x:v>把旺衰、流通、制化、格局和调候问题转化为病位、病性、根因与药理，评估药力不足、过量和产生新病的风险。</x:v>
      </x:c>
      <x:c r="F32" s="112" t="str">
        <x:v>M08/M09/M10/M11/M12/M13/M15</x:v>
      </x:c>
      <x:c r="G32" s="112" t="str">
        <x:v>根本病、表层病、主药、辅助药与副作用</x:v>
      </x:c>
      <x:c r="H32" s="112" t="str">
        <x:v>M17/M18</x:v>
      </x:c>
      <x:c r="I32" s="112" t="str">
        <x:v>第四阶段_病药用神测试</x:v>
      </x:c>
      <x:c r="J32" s="112" t="n">
        <x:v>110</x:v>
      </x:c>
      <x:c r="K32" s="112" t="n">
        <x:v>110</x:v>
      </x:c>
      <x:c r="L32" s="160" t="n">
        <x:v>1</x:v>
      </x:c>
      <x:c r="M32" s="112" t="str">
        <x:v>核心规则填充</x:v>
      </x:c>
      <x:c r="N32" s="112" t="str">
        <x:v>已录入110条：通用8、偏弱8、过旺8、流通病14、制化病16、格局病12、调候病10、药神选择10、药力风险10、主次排序6、复合病4、边界4。</x:v>
      </x:c>
    </x:row>
    <x:row r="33">
      <x:c r="A33" s="112" t="n">
        <x:v>16</x:v>
      </x:c>
      <x:c r="B33" s="112" t="str">
        <x:v>M17</x:v>
      </x:c>
      <x:c r="C33" s="112" t="str">
        <x:v>17_喜忌用神矩阵</x:v>
      </x:c>
      <x:c r="D33" s="112" t="str">
        <x:v>综合层</x:v>
      </x:c>
      <x:c r="E33" s="112" t="str">
        <x:v>把每个候选五行放入五维用神矩阵，分别记录收益、冲突与副作用，最后定主用、辅助用、喜、忌及条件性定位。</x:v>
      </x:c>
      <x:c r="F33" s="112" t="str">
        <x:v>M09/M12/M13/M15/M16</x:v>
      </x:c>
      <x:c r="G33" s="112" t="str">
        <x:v>主用、辅助用、喜忌及条件说明</x:v>
      </x:c>
      <x:c r="H33" s="112" t="str">
        <x:v>M18/M19</x:v>
      </x:c>
      <x:c r="I33" s="112" t="str">
        <x:v>第四阶段_病药用神测试</x:v>
      </x:c>
      <x:c r="J33" s="112" t="n">
        <x:v>100</x:v>
      </x:c>
      <x:c r="K33" s="112" t="n">
        <x:v>100</x:v>
      </x:c>
      <x:c r="L33" s="160" t="n">
        <x:v>1</x:v>
      </x:c>
      <x:c r="M33" s="112" t="str">
        <x:v>核心规则填充</x:v>
      </x:c>
      <x:c r="N33" s="112" t="str">
        <x:v>已录入100条：通用10、扶抑12、格局12、通关10、调候10、病药10、五行综合20、定位等级8、边界8。</x:v>
      </x:c>
    </x:row>
    <x:row r="34">
      <x:c r="A34" s="112" t="n">
        <x:v>17</x:v>
      </x:c>
      <x:c r="B34" s="112" t="str">
        <x:v>M18</x:v>
      </x:c>
      <x:c r="C34" s="112" t="str">
        <x:v>18_冲突裁决规则</x:v>
      </x:c>
      <x:c r="D34" s="112" t="str">
        <x:v>综合层</x:v>
      </x:c>
      <x:c r="E34" s="112" t="str">
        <x:v>处理扶抑、格局、调候、通关和病药结论冲突。记录硬约束、优先规则、降级规则、反向证据和副作用控制。</x:v>
      </x:c>
      <x:c r="F34" s="112" t="str">
        <x:v>M14/M15/M16/M17</x:v>
      </x:c>
      <x:c r="G34" s="112" t="str">
        <x:v>跨模块裁决、降级与条件性结论</x:v>
      </x:c>
      <x:c r="H34" s="112" t="str">
        <x:v>M19/M20/M21</x:v>
      </x:c>
      <x:c r="I34" s="112" t="str">
        <x:v>第四阶段_病药用神测试</x:v>
      </x:c>
      <x:c r="J34" s="112" t="n">
        <x:v>80</x:v>
      </x:c>
      <x:c r="K34" s="112" t="n">
        <x:v>80</x:v>
      </x:c>
      <x:c r="L34" s="160" t="n">
        <x:v>1</x:v>
      </x:c>
      <x:c r="M34" s="112" t="str">
        <x:v>核心规则填充</x:v>
      </x:c>
      <x:c r="N34" s="112" t="str">
        <x:v>已录入80条：通用8、特殊格局8、格局冲突8、调候冲突8、流通冲突8、病药冲突10、具体路线10、剂量8、最终定位8、边界4；M17占位引用已回填。</x:v>
      </x:c>
    </x:row>
    <x:row r="35">
      <x:c r="A35" s="112" t="n">
        <x:v>18</x:v>
      </x:c>
      <x:c r="B35" s="112" t="str">
        <x:v>M19</x:v>
      </x:c>
      <x:c r="C35" s="112" t="str">
        <x:v>19_综合输出模板</x:v>
      </x:c>
      <x:c r="D35" s="112" t="str">
        <x:v>综合层</x:v>
      </x:c>
      <x:c r="E35" s="112" t="str">
        <x:v>规定M0分析必须输出的章节、字段、数据来源、内部分析表达与用户表达。此表把底层结论转成稳定、可追溯的报告结构。</x:v>
      </x:c>
      <x:c r="F35" s="112" t="str">
        <x:v>M02-M18</x:v>
      </x:c>
      <x:c r="G35" s="112" t="str">
        <x:v>统一结构化输出字段与用户表达</x:v>
      </x:c>
      <x:c r="H35" s="112" t="str">
        <x:v>上层婚恋/事业/财富/岁运模型</x:v>
      </x:c>
      <x:c r="I35" s="112" t="str">
        <x:v>第四阶段_病药用神测试</x:v>
      </x:c>
      <x:c r="J35" s="112" t="n">
        <x:v>45</x:v>
      </x:c>
      <x:c r="K35" s="112" t="n">
        <x:f>MAX(0,COUNT('19_综合输出模板'!$D$6:$D$105)-1)</x:f>
        <x:v>0</x:v>
      </x:c>
      <x:c r="L35" s="160" t="n">
        <x:f>IF(J35=0,"",K35/J35)</x:f>
        <x:v>0</x:v>
      </x:c>
      <x:c r="M35" s="112" t="str">
        <x:v>框架完成</x:v>
      </x:c>
      <x:c r="N35" s="112" t="str">
        <x:v>目标数为初始建议，可在核心规则填充后调整。</x:v>
      </x:c>
    </x:row>
    <x:row r="36">
      <x:c r="A36" s="112" t="n">
        <x:v>19</x:v>
      </x:c>
      <x:c r="B36" s="112" t="str">
        <x:v>M20</x:v>
      </x:c>
      <x:c r="C36" s="112" t="str">
        <x:v>20_案例测试</x:v>
      </x:c>
      <x:c r="D36" s="112" t="str">
        <x:v>综合层</x:v>
      </x:c>
      <x:c r="E36" s="112" t="str">
        <x:v>保存案例输入、中间识别、效应、结构与综合预期结果，对目标Rule_ID做正例、反例、边界与回归测试。不得只保存最终喜忌。</x:v>
      </x:c>
      <x:c r="F36" s="112" t="str">
        <x:v>M02-M19</x:v>
      </x:c>
      <x:c r="G36" s="112" t="str">
        <x:v>规则通过率、反例与修订线索</x:v>
      </x:c>
      <x:c r="H36" s="112" t="str">
        <x:v>M21及所有模块</x:v>
      </x:c>
      <x:c r="I36" s="112" t="str">
        <x:v>第四阶段_病药用神测试</x:v>
      </x:c>
      <x:c r="J36" s="112" t="n">
        <x:v>150</x:v>
      </x:c>
      <x:c r="K36" s="112" t="n">
        <x:f>MAX(0,COUNT('20_案例测试'!$D$6:$D$105)-1)</x:f>
        <x:v>0</x:v>
      </x:c>
      <x:c r="L36" s="160" t="n">
        <x:f>IF(J36=0,"",K36/J36)</x:f>
        <x:v>0</x:v>
      </x:c>
      <x:c r="M36" s="112" t="str">
        <x:v>框架完成</x:v>
      </x:c>
      <x:c r="N36" s="112" t="str">
        <x:v>目标数为初始建议，可在核心规则填充后调整。</x:v>
      </x:c>
    </x:row>
    <x:row r="37">
      <x:c r="A37" s="112" t="n">
        <x:v>20</x:v>
      </x:c>
      <x:c r="B37" s="112" t="str">
        <x:v>M21</x:v>
      </x:c>
      <x:c r="C37" s="112" t="str">
        <x:v>21_版本与争议规则</x:v>
      </x:c>
      <x:c r="D37" s="112" t="str">
        <x:v>综合层</x:v>
      </x:c>
      <x:c r="E37" s="112" t="str">
        <x:v>记录不同流派观点、采用理由、反向证据、影响范围与版本变更，确保争议规则不会被当作无条件共识。</x:v>
      </x:c>
      <x:c r="F37" s="112" t="str">
        <x:v>M20及外部文献</x:v>
      </x:c>
      <x:c r="G37" s="112" t="str">
        <x:v>争议裁决、版本历史与规则适用边界</x:v>
      </x:c>
      <x:c r="H37" s="112" t="str">
        <x:v>所有模块</x:v>
      </x:c>
      <x:c r="I37" s="112" t="str">
        <x:v>第四阶段_病药用神测试</x:v>
      </x:c>
      <x:c r="J37" s="112" t="n">
        <x:v>50</x:v>
      </x:c>
      <x:c r="K37" s="112" t="n">
        <x:f>MAX(0,COUNT('21_版本与争议规则'!$D$6:$D$105)-1)</x:f>
        <x:v>0</x:v>
      </x:c>
      <x:c r="L37" s="160" t="n">
        <x:f>IF(J37=0,"",K37/J37)</x:f>
        <x:v>0</x:v>
      </x:c>
      <x:c r="M37" s="112" t="str">
        <x:v>框架完成</x:v>
      </x:c>
      <x:c r="N37" s="112" t="str">
        <x:v>目标数为初始建议，可在核心规则填充后调整。</x:v>
      </x:c>
    </x:row>
    <x:row r="40">
      <x:c r="A40" s="150" t="str">
        <x:v>统一判盘与知识库调用顺序</x:v>
      </x:c>
      <x:c r="B40" s="150"/>
      <x:c r="C40" s="150"/>
      <x:c r="D40" s="150"/>
      <x:c r="E40" s="150"/>
      <x:c r="F40" s="150"/>
      <x:c r="G40" s="150"/>
      <x:c r="H40" s="150"/>
      <x:c r="I40" s="150"/>
      <x:c r="J40" s="150"/>
      <x:c r="K40" s="150"/>
      <x:c r="L40" s="150"/>
      <x:c r="M40" s="150"/>
      <x:c r="N40" s="150"/>
    </x:row>
    <x:row r="41">
      <x:c r="A41" s="61" t="str">
        <x:v>步骤</x:v>
      </x:c>
      <x:c r="B41" s="61" t="str">
        <x:v>处理任务</x:v>
      </x:c>
      <x:c r="C41" s="61" t="str">
        <x:v>主要输入模块</x:v>
      </x:c>
      <x:c r="D41" s="61" t="str">
        <x:v>主要输出模块/结果</x:v>
      </x:c>
      <x:c r="E41" s="61" t="str">
        <x:v>必须检查</x:v>
      </x:c>
    </x:row>
    <x:row r="42">
      <x:c r="A42" s="112" t="n">
        <x:v>1</x:v>
      </x:c>
      <x:c r="B42" s="112" t="str">
        <x:v>读取四柱，映射五行、阴阳、藏干与十神</x:v>
      </x:c>
      <x:c r="C42" s="112" t="str">
        <x:v>M02</x:v>
      </x:c>
      <x:c r="D42" s="112" t="str">
        <x:v>基础对象表</x:v>
      </x:c>
      <x:c r="E42" s="112" t="str">
        <x:v>历法、日主与藏干映射一致</x:v>
      </x:c>
    </x:row>
    <x:row r="43">
      <x:c r="A43" s="112" t="n">
        <x:v>2</x:v>
      </x:c>
      <x:c r="B43" s="112" t="str">
        <x:v>识别天干全部合克关系</x:v>
      </x:c>
      <x:c r="C43" s="112" t="str">
        <x:v>M02/M04</x:v>
      </x:c>
      <x:c r="D43" s="112" t="str">
        <x:v>天干关系清单</x:v>
      </x:c>
      <x:c r="E43" s="112" t="str">
        <x:v>只识别，不提前判合化</x:v>
      </x:c>
    </x:row>
    <x:row r="44">
      <x:c r="A44" s="112" t="n">
        <x:v>3</x:v>
      </x:c>
      <x:c r="B44" s="112" t="str">
        <x:v>识别地支刑冲合会害破及叠加关系</x:v>
      </x:c>
      <x:c r="C44" s="112" t="str">
        <x:v>M02/M05</x:v>
      </x:c>
      <x:c r="D44" s="112" t="str">
        <x:v>地支关系清单</x:v>
      </x:c>
      <x:c r="E44" s="112" t="str">
        <x:v>完整度、相邻、月令与同时关系</x:v>
      </x:c>
    </x:row>
    <x:row r="45">
      <x:c r="A45" s="112" t="n">
        <x:v>4</x:v>
      </x:c>
      <x:c r="B45" s="112" t="str">
        <x:v>逐对象判断关系实际效应</x:v>
      </x:c>
      <x:c r="C45" s="112" t="str">
        <x:v>M03/M04/M05/M06</x:v>
      </x:c>
      <x:c r="D45" s="112" t="str">
        <x:v>效应清单</x:v>
      </x:c>
      <x:c r="E45" s="112" t="str">
        <x:v>是否增减力、根气变化与流通影响</x:v>
      </x:c>
    </x:row>
    <x:row r="46">
      <x:c r="A46" s="112" t="n">
        <x:v>5</x:v>
      </x:c>
      <x:c r="B46" s="112" t="str">
        <x:v>评估五行原始力量</x:v>
      </x:c>
      <x:c r="C46" s="112" t="str">
        <x:v>M02/M03/M07</x:v>
      </x:c>
      <x:c r="D46" s="112" t="str">
        <x:v>原始旺衰</x:v>
      </x:c>
      <x:c r="E46" s="112" t="str">
        <x:v>得令、根气、透干、生源与成势</x:v>
      </x:c>
    </x:row>
    <x:row r="47">
      <x:c r="A47" s="112" t="n">
        <x:v>6</x:v>
      </x:c>
      <x:c r="B47" s="112" t="str">
        <x:v>修正为五行有效力量</x:v>
      </x:c>
      <x:c r="C47" s="112" t="str">
        <x:v>M06/M07/M08</x:v>
      </x:c>
      <x:c r="D47" s="112" t="str">
        <x:v>有效旺衰</x:v>
      </x:c>
      <x:c r="E47" s="112" t="str">
        <x:v>合冲刑害、寒凝燥枯与透达</x:v>
      </x:c>
    </x:row>
    <x:row r="48">
      <x:c r="A48" s="112" t="n">
        <x:v>7</x:v>
      </x:c>
      <x:c r="B48" s="112" t="str">
        <x:v>综合裁定日主旺衰</x:v>
      </x:c>
      <x:c r="C48" s="112" t="str">
        <x:v>M03/M07/M08/M09</x:v>
      </x:c>
      <x:c r="D48" s="112" t="str">
        <x:v>七级旺衰</x:v>
      </x:c>
      <x:c r="E48" s="112" t="str">
        <x:v>支持证据、反向证据、为何排除其他等级</x:v>
      </x:c>
    </x:row>
    <x:row r="49">
      <x:c r="A49" s="112" t="n">
        <x:v>8</x:v>
      </x:c>
      <x:c r="B49" s="112" t="str">
        <x:v>判断各十神存在、旺衰与功能</x:v>
      </x:c>
      <x:c r="C49" s="112" t="str">
        <x:v>M02/M08/M09/M10</x:v>
      </x:c>
      <x:c r="D49" s="112" t="str">
        <x:v>十神功能表</x:v>
      </x:c>
      <x:c r="E49" s="112" t="str">
        <x:v>旺弱不等于喜忌</x:v>
      </x:c>
    </x:row>
    <x:row r="50">
      <x:c r="A50" s="112" t="n">
        <x:v>9</x:v>
      </x:c>
      <x:c r="B50" s="112" t="str">
        <x:v>验证十神组合成立等级</x:v>
      </x:c>
      <x:c r="C50" s="112" t="str">
        <x:v>M08/M09/M10/M11</x:v>
      </x:c>
      <x:c r="D50" s="112" t="str">
        <x:v>组合清单</x:v>
      </x:c>
      <x:c r="E50" s="112" t="str">
        <x:v>主体、客体、路径、比例、破坏与救应</x:v>
      </x:c>
    </x:row>
    <x:row r="51">
      <x:c r="A51" s="112" t="n">
        <x:v>10</x:v>
      </x:c>
      <x:c r="B51" s="112" t="str">
        <x:v>建立五行与十神流通路径</x:v>
      </x:c>
      <x:c r="C51" s="112" t="str">
        <x:v>M06/M08/M10/M11/M12</x:v>
      </x:c>
      <x:c r="D51" s="112" t="str">
        <x:v>流通路径</x:v>
      </x:c>
      <x:c r="E51" s="112" t="str">
        <x:v>起点、桥梁、终点与连续性</x:v>
      </x:c>
    </x:row>
    <x:row r="52">
      <x:c r="A52" s="112" t="n">
        <x:v>11</x:v>
      </x:c>
      <x:c r="B52" s="112" t="str">
        <x:v>定位主要卡点与通关候选</x:v>
      </x:c>
      <x:c r="C52" s="112" t="str">
        <x:v>M12</x:v>
      </x:c>
      <x:c r="D52" s="112" t="str">
        <x:v>卡点与通关候选</x:v>
      </x:c>
      <x:c r="E52" s="112" t="str">
        <x:v>缺桥不等于缺什么补什么</x:v>
      </x:c>
    </x:row>
    <x:row r="53">
      <x:c r="A53" s="112" t="n">
        <x:v>12</x:v>
      </x:c>
      <x:c r="B53" s="112" t="str">
        <x:v>判断寒暖与燥湿双轴</x:v>
      </x:c>
      <x:c r="C53" s="112" t="str">
        <x:v>M08/M12/M13</x:v>
      </x:c>
      <x:c r="D53" s="112" t="str">
        <x:v>调候需求</x:v>
      </x:c>
      <x:c r="E53" s="112" t="str">
        <x:v>温度、湿度、紧急度及副作用</x:v>
      </x:c>
    </x:row>
    <x:row r="54">
      <x:c r="A54" s="112" t="n">
        <x:v>13</x:v>
      </x:c>
      <x:c r="B54" s="112" t="str">
        <x:v>生成多个格局候选</x:v>
      </x:c>
      <x:c r="C54" s="112" t="str">
        <x:v>M03/M08/M09/M10/M11/M14</x:v>
      </x:c>
      <x:c r="D54" s="112" t="str">
        <x:v>格局候选清单</x:v>
      </x:c>
      <x:c r="E54" s="112" t="str">
        <x:v>候选不等于成立</x:v>
      </x:c>
    </x:row>
    <x:row r="55">
      <x:c r="A55" s="112" t="n">
        <x:v>14</x:v>
      </x:c>
      <x:c r="B55" s="112" t="str">
        <x:v>判断格局成败、破格与救应</x:v>
      </x:c>
      <x:c r="C55" s="112" t="str">
        <x:v>M14/M15</x:v>
      </x:c>
      <x:c r="D55" s="112" t="str">
        <x:v>最终格局状态</x:v>
      </x:c>
      <x:c r="E55" s="112" t="str">
        <x:v>救应必须作用于破格机制</x:v>
      </x:c>
    </x:row>
    <x:row r="56">
      <x:c r="A56" s="112" t="n">
        <x:v>15</x:v>
      </x:c>
      <x:c r="B56" s="112" t="str">
        <x:v>提取根本之病与表层之病</x:v>
      </x:c>
      <x:c r="C56" s="112" t="str">
        <x:v>M08-M16</x:v>
      </x:c>
      <x:c r="D56" s="112" t="str">
        <x:v>病药结构</x:v>
      </x:c>
      <x:c r="E56" s="112" t="str">
        <x:v>根因优先于症状</x:v>
      </x:c>
    </x:row>
    <x:row r="57">
      <x:c r="A57" s="112" t="n">
        <x:v>16</x:v>
      </x:c>
      <x:c r="B57" s="112" t="str">
        <x:v>生成五维用神候选矩阵</x:v>
      </x:c>
      <x:c r="C57" s="112" t="str">
        <x:v>M09/M12/M13/M15/M16/M17</x:v>
      </x:c>
      <x:c r="D57" s="112" t="str">
        <x:v>候选喜忌</x:v>
      </x:c>
      <x:c r="E57" s="112" t="str">
        <x:v>扶抑、格局、通关、调候、病药分开</x:v>
      </x:c>
    </x:row>
    <x:row r="58">
      <x:c r="A58" s="112" t="n">
        <x:v>17</x:v>
      </x:c>
      <x:c r="B58" s="112" t="str">
        <x:v>执行跨模块冲突裁决</x:v>
      </x:c>
      <x:c r="C58" s="112" t="str">
        <x:v>M14-M18</x:v>
      </x:c>
      <x:c r="D58" s="112" t="str">
        <x:v>主用、辅助用、条件性喜忌</x:v>
      </x:c>
      <x:c r="E58" s="112" t="str">
        <x:v>硬约束、反证与副作用</x:v>
      </x:c>
    </x:row>
    <x:row r="59">
      <x:c r="A59" s="112" t="n">
        <x:v>18</x:v>
      </x:c>
      <x:c r="B59" s="112" t="str">
        <x:v>按标准字段输出并进入案例测试</x:v>
      </x:c>
      <x:c r="C59" s="112" t="str">
        <x:v>M19/M20/M21</x:v>
      </x:c>
      <x:c r="D59" s="112" t="str">
        <x:v>可复核结果与版本记录</x:v>
      </x:c>
      <x:c r="E59" s="112" t="str">
        <x:v>未测试规则不得直接视为稳定规则</x:v>
      </x:c>
    </x:row>
    <x:row r="62">
      <x:c r="A62" s="148" t="str">
        <x:v>字段颜色与使用提示</x:v>
      </x:c>
      <x:c r="B62" s="148"/>
      <x:c r="C62" s="148"/>
      <x:c r="D62" s="148"/>
      <x:c r="E62" s="148"/>
      <x:c r="F62" s="148"/>
      <x:c r="G62" s="148"/>
      <x:c r="H62" s="148"/>
      <x:c r="I62" s="148"/>
      <x:c r="J62" s="148"/>
      <x:c r="K62" s="148"/>
      <x:c r="L62" s="148"/>
      <x:c r="M62" s="148"/>
      <x:c r="N62" s="148"/>
    </x:row>
    <x:row r="63">
      <x:c r="A63" s="166" t="str">
        <x:v>蓝：公式或自动编号，禁止手工覆盖</x:v>
      </x:c>
      <x:c r="B63" s="166"/>
      <x:c r="C63" s="176" t="str">
        <x:v>黄：人工输入或统一下拉</x:v>
      </x:c>
      <x:c r="D63" s="176"/>
      <x:c r="E63" s="186" t="str">
        <x:v>绿：结构化结论与标准输出</x:v>
      </x:c>
      <x:c r="F63" s="186"/>
      <x:c r="G63" s="196" t="str">
        <x:v>红：否决、破坏、禁忌、副作用与反例</x:v>
      </x:c>
      <x:c r="H63" s="196"/>
      <x:c r="I63" s="206" t="str">
        <x:v>金：示例行，序号9999，不计入正式规则</x:v>
      </x:c>
      <x:c r="J63" s="206"/>
      <x:c r="K63" s="47" t="str">
        <x:v>正式规则建议先完成M02—M06，再进入旺衰和十神；每完成一个规则族，立即在M20补正例、反例和边界案例，避免最后一次性测试。</x:v>
      </x:c>
      <x:c r="L63" s="47"/>
      <x:c r="M63" s="47"/>
      <x:c r="N63" s="47"/>
    </x:row>
    <x:row r="64">
      <x:c r="A64" s="166"/>
      <x:c r="B64" s="166"/>
      <x:c r="C64" s="176"/>
      <x:c r="D64" s="176"/>
      <x:c r="E64" s="186"/>
      <x:c r="F64" s="186"/>
      <x:c r="G64" s="196"/>
      <x:c r="H64" s="196"/>
      <x:c r="I64" s="206"/>
      <x:c r="J64" s="206"/>
      <x:c r="K64" s="47"/>
      <x:c r="L64" s="47"/>
      <x:c r="M64" s="47"/>
      <x:c r="N64" s="47"/>
    </x:row>
  </x:sheetData>
  <x:mergeCells>
    <x:mergeCell ref="A1:N1"/>
    <x:mergeCell ref="A2:N2"/>
    <x:mergeCell ref="A3:N3"/>
    <x:mergeCell ref="A5:B5"/>
    <x:mergeCell ref="A6:B7"/>
    <x:mergeCell ref="C5:D5"/>
    <x:mergeCell ref="C6:D7"/>
    <x:mergeCell ref="E5:F5"/>
    <x:mergeCell ref="E6:F7"/>
    <x:mergeCell ref="G5:H5"/>
    <x:mergeCell ref="G6:H7"/>
    <x:mergeCell ref="I5:J5"/>
    <x:mergeCell ref="I6:J7"/>
    <x:mergeCell ref="K5:L5"/>
    <x:mergeCell ref="K6:L7"/>
    <x:mergeCell ref="M5:N5"/>
    <x:mergeCell ref="M6:N7"/>
    <x:mergeCell ref="A9:N9"/>
    <x:mergeCell ref="G10:N10"/>
    <x:mergeCell ref="J11:N15"/>
    <x:mergeCell ref="A40:N40"/>
    <x:mergeCell ref="A62:N62"/>
    <x:mergeCell ref="A63:B64"/>
    <x:mergeCell ref="C63:D64"/>
    <x:mergeCell ref="E63:F64"/>
    <x:mergeCell ref="G63:H64"/>
    <x:mergeCell ref="I63:J64"/>
    <x:mergeCell ref="K63:N64"/>
  </x:mergeCells>
  <x:conditionalFormatting sqref="L18:L37">
    <x:cfRule type="dataBar" priority="1">
      <x:dataBar>
        <x:cfvo type="min"/>
        <x:cfvo type="max"/>
        <x:color rgb="FF0F766E"/>
      </x:dataBar>
      <x:extLst>
        <x:ext xmlns:x14="http://schemas.microsoft.com/office/spreadsheetml/2009/9/main" uri="{B025F937-C7B1-47D3-B67F-A62EFF666E3E}">
          <x14:id>{5524BEF4-2279-F3C3-B219-5DB49FCCE0AC}</x14:id>
        </x:ext>
      </x:extLst>
    </x:cfRule>
  </x:conditionalFormatting>
  <x:dataValidations count="1">
    <x:dataValidation type="list" sqref="M18:M37">
      <x:formula1>'99_下拉选项'!$BF$4:$BF$8</x:formula1>
    </x:dataValidation>
  </x:dataValidations>
  <x:pageMargins left="0.7" right="0.7" top="0.75" bottom="0.75" header="0.3" footer="0.3"/>
  <x:tableParts count="3">
    <x:tablePart xmlns:r="http://schemas.openxmlformats.org/officeDocument/2006/relationships" r:id="Rbb44ddac411b4a82"/>
    <x:tablePart xmlns:r="http://schemas.openxmlformats.org/officeDocument/2006/relationships" r:id="R7c42197ec53741d2"/>
    <x:tablePart xmlns:r="http://schemas.openxmlformats.org/officeDocument/2006/relationships" r:id="R0a8d5552270f4fa1"/>
  </x:tableParts>
  <x:extLst>
    <x:ext xmlns:x14="http://schemas.microsoft.com/office/spreadsheetml/2009/9/main" xmlns:xm="http://schemas.microsoft.com/office/excel/2006/main" uri="{78C0D931-6437-407d-A8EE-F0AAD7539E65}">
      <x14:conditionalFormattings>
        <x14:conditionalFormatting>
          <x14:cfRule type="dataBar" priority="1" id="{5524BEF4-2279-F3C3-B219-5DB49FCCE0AC}">
            <x14:dataBar gradient="1">
              <x14:cfvo type="min"/>
              <x14:cfvo type="max"/>
              <x14:fillColor rgb="FF0F766E"/>
            </x14:dataBar>
          </x14:cfRule>
          <xm:sqref>L18:L37</xm:sqref>
        </x14:conditionalFormatting>
      </x14:conditionalFormattings>
    </x:ext>
  </x:extLst>
</x:worksheet>
</file>

<file path=xl/worksheets/sheet2.xml><?xml version="1.0" encoding="utf-8"?>
<x:worksheet xmlns:x="http://schemas.openxmlformats.org/spreadsheetml/2006/main">
  <x:sheetFormatPr defaultRowHeight="15"/>
  <x:cols>
    <x:col min="1" max="1" width="18" hidden="0" customWidth="1"/>
    <x:col min="2" max="2" width="14" hidden="0" customWidth="1"/>
    <x:col min="3" max="3" width="18" hidden="0" customWidth="1"/>
    <x:col min="4" max="4" width="36" hidden="0" customWidth="1"/>
    <x:col min="5" max="5" width="28" hidden="0" customWidth="1"/>
    <x:col min="6" max="6" width="8" hidden="0" customWidth="1"/>
    <x:col min="7" max="7" width="10" hidden="0" customWidth="1"/>
    <x:col min="8" max="8" width="24" hidden="0" customWidth="1"/>
    <x:col min="10" max="10" width="14" hidden="0" customWidth="1"/>
    <x:col min="11" max="11" width="18" hidden="0" customWidth="1"/>
    <x:col min="12" max="12" width="24" hidden="0" customWidth="1"/>
    <x:col min="13" max="13" width="18" hidden="0" customWidth="1"/>
    <x:col min="14" max="14" width="22" hidden="0" customWidth="1"/>
    <x:col min="15" max="15" width="14" hidden="0" customWidth="1"/>
    <x:col min="16" max="16" width="24" hidden="0" customWidth="1"/>
    <x:col min="17" max="17" width="28" hidden="0" customWidth="1"/>
  </x:cols>
  <x:sheetData>
    <x:row r="1" ht="28" customHeight="1">
      <x:c r="A1" s="5" t="str">
        <x:v>M01｜术语、编码与规则编号规范</x:v>
      </x:c>
      <x:c r="B1" s="5"/>
      <x:c r="C1" s="5"/>
      <x:c r="D1" s="5"/>
      <x:c r="E1" s="5"/>
      <x:c r="F1" s="5"/>
      <x:c r="G1" s="5"/>
      <x:c r="H1" s="5"/>
      <x:c r="I1" s="5"/>
      <x:c r="J1" s="5"/>
      <x:c r="K1" s="5"/>
      <x:c r="L1" s="5"/>
      <x:c r="M1" s="5"/>
      <x:c r="N1" s="5"/>
      <x:c r="O1" s="5"/>
      <x:c r="P1" s="5"/>
      <x:c r="Q1" s="5"/>
    </x:row>
    <x:row r="2" ht="34" customHeight="1">
      <x:c r="A2" s="39" t="str">
        <x:v>本表统一全库的枚举术语、编码、Rule_ID结构和版本治理。V1.6新增M18十个规则子类码与版本号，并回填M17冲突裁决Rule_ID引用；任何规则冲突必须保留硬约束、降级和副作用。</x:v>
      </x:c>
      <x:c r="B2" s="39"/>
      <x:c r="C2" s="39"/>
      <x:c r="D2" s="39"/>
      <x:c r="E2" s="39"/>
      <x:c r="F2" s="39"/>
      <x:c r="G2" s="39"/>
      <x:c r="H2" s="39"/>
      <x:c r="I2" s="39"/>
      <x:c r="J2" s="39"/>
      <x:c r="K2" s="39"/>
      <x:c r="L2" s="39"/>
      <x:c r="M2" s="39"/>
      <x:c r="N2" s="39"/>
      <x:c r="O2" s="39"/>
      <x:c r="P2" s="39"/>
      <x:c r="Q2" s="39"/>
    </x:row>
    <x:row r="3" ht="30" customHeight="1">
      <x:c r="A3" s="94" t="str">
        <x:v>Rule_ID原则：唯一、稳定、可追溯。序号0001—9998用于正式规则；9999永久保留为示例；规则停用后不删除、不复用其ID。</x:v>
      </x:c>
      <x:c r="B3" s="94"/>
      <x:c r="C3" s="94"/>
      <x:c r="D3" s="94"/>
      <x:c r="E3" s="94"/>
      <x:c r="F3" s="94"/>
      <x:c r="G3" s="94"/>
      <x:c r="H3" s="94"/>
      <x:c r="I3" s="94"/>
      <x:c r="J3" s="94"/>
      <x:c r="K3" s="94"/>
      <x:c r="L3" s="94"/>
      <x:c r="M3" s="94"/>
      <x:c r="N3" s="94"/>
      <x:c r="O3" s="94"/>
      <x:c r="P3" s="94"/>
      <x:c r="Q3" s="94"/>
    </x:row>
    <x:row r="5">
      <x:c r="A5" s="61" t="str">
        <x:v>编码类型</x:v>
      </x:c>
      <x:c r="B5" s="61" t="str">
        <x:v>编码</x:v>
      </x:c>
      <x:c r="C5" s="61" t="str">
        <x:v>中文名称</x:v>
      </x:c>
      <x:c r="D5" s="61" t="str">
        <x:v>标准定义</x:v>
      </x:c>
      <x:c r="E5" s="61" t="str">
        <x:v>适用字段</x:v>
      </x:c>
      <x:c r="F5" s="61" t="str">
        <x:v>排序</x:v>
      </x:c>
      <x:c r="G5" s="61" t="str">
        <x:v>是否启用</x:v>
      </x:c>
      <x:c r="H5" s="61" t="str">
        <x:v>备注</x:v>
      </x:c>
      <x:c r="J5" s="104" t="str">
        <x:v>段位</x:v>
      </x:c>
      <x:c r="K5" s="104" t="str">
        <x:v>字段名称</x:v>
      </x:c>
      <x:c r="L5" s="104" t="str">
        <x:v>规范</x:v>
      </x:c>
      <x:c r="M5" s="104" t="str">
        <x:v>示例</x:v>
      </x:c>
      <x:c r="N5" s="104" t="str">
        <x:v>生成逻辑</x:v>
      </x:c>
      <x:c r="O5" s="104" t="str">
        <x:v>是否必填</x:v>
      </x:c>
      <x:c r="P5" s="104" t="str">
        <x:v>变更规则</x:v>
      </x:c>
      <x:c r="Q5" s="104" t="str">
        <x:v>说明</x:v>
      </x:c>
    </x:row>
    <x:row r="6">
      <x:c r="A6" s="68" t="str">
        <x:v>记录类型</x:v>
      </x:c>
      <x:c r="B6" s="68" t="str">
        <x:v>REC01</x:v>
      </x:c>
      <x:c r="C6" s="68" t="str">
        <x:v>正式规则</x:v>
      </x:c>
      <x:c r="D6" s="68" t="str">
        <x:v>记录类型的标准选项：正式规则。具体成立条件由对应模块规则定义。</x:v>
      </x:c>
      <x:c r="E6" s="68" t="str">
        <x:v>记录类型</x:v>
      </x:c>
      <x:c r="F6" s="98" t="n">
        <x:v>1</x:v>
      </x:c>
      <x:c r="G6" s="68" t="str">
        <x:v>是</x:v>
      </x:c>
      <x:c r="H6" s="68" t="str"/>
      <x:c r="J6" s="112" t="n">
        <x:v>1</x:v>
      </x:c>
      <x:c r="K6" s="112" t="str">
        <x:v>模块代码</x:v>
      </x:c>
      <x:c r="L6" s="112" t="str">
        <x:v>M02—M21，固定由工作表决定</x:v>
      </x:c>
      <x:c r="M6" s="112" t="str">
        <x:v>M05</x:v>
      </x:c>
      <x:c r="N6" s="112" t="str">
        <x:v>直接取所在模块代码</x:v>
      </x:c>
      <x:c r="O6" s="112" t="str">
        <x:v>必填</x:v>
      </x:c>
      <x:c r="P6" s="112" t="str">
        <x:v>不随规则修订改变</x:v>
      </x:c>
      <x:c r="Q6" s="112" t="str">
        <x:v>M00/M01/SYS不生成正式Rule_ID</x:v>
      </x:c>
    </x:row>
    <x:row r="7">
      <x:c r="A7" s="68" t="str">
        <x:v>记录类型</x:v>
      </x:c>
      <x:c r="B7" s="68" t="str">
        <x:v>REC02</x:v>
      </x:c>
      <x:c r="C7" s="68" t="str">
        <x:v>示例</x:v>
      </x:c>
      <x:c r="D7" s="68" t="str">
        <x:v>记录类型的标准选项：示例。具体成立条件由对应模块规则定义。</x:v>
      </x:c>
      <x:c r="E7" s="68" t="str">
        <x:v>记录类型</x:v>
      </x:c>
      <x:c r="F7" s="98" t="n">
        <x:v>2</x:v>
      </x:c>
      <x:c r="G7" s="68" t="str">
        <x:v>是</x:v>
      </x:c>
      <x:c r="H7" s="68" t="str"/>
      <x:c r="J7" s="112" t="n">
        <x:v>2</x:v>
      </x:c>
      <x:c r="K7" s="112" t="str">
        <x:v>子类代码</x:v>
      </x:c>
      <x:c r="L7" s="112" t="str">
        <x:v>2—8位大写字母或拼音缩写</x:v>
      </x:c>
      <x:c r="M7" s="112" t="str">
        <x:v>XING</x:v>
      </x:c>
      <x:c r="N7" s="112" t="str">
        <x:v>按关系、组合或规则族统一定义</x:v>
      </x:c>
      <x:c r="O7" s="112" t="str">
        <x:v>必填</x:v>
      </x:c>
      <x:c r="P7" s="112" t="str">
        <x:v>同一子类含义不得随意漂移</x:v>
      </x:c>
      <x:c r="Q7" s="112" t="str">
        <x:v>建议在M01先登记子类码</x:v>
      </x:c>
    </x:row>
    <x:row r="8">
      <x:c r="A8" s="68" t="str">
        <x:v>记录类型</x:v>
      </x:c>
      <x:c r="B8" s="68" t="str">
        <x:v>REC03</x:v>
      </x:c>
      <x:c r="C8" s="68" t="str">
        <x:v>待验证</x:v>
      </x:c>
      <x:c r="D8" s="68" t="str">
        <x:v>记录类型的标准选项：待验证。具体成立条件由对应模块规则定义。</x:v>
      </x:c>
      <x:c r="E8" s="68" t="str">
        <x:v>记录类型</x:v>
      </x:c>
      <x:c r="F8" s="98" t="n">
        <x:v>3</x:v>
      </x:c>
      <x:c r="G8" s="68" t="str">
        <x:v>是</x:v>
      </x:c>
      <x:c r="H8" s="68" t="str"/>
      <x:c r="J8" s="112" t="n">
        <x:v>3</x:v>
      </x:c>
      <x:c r="K8" s="112" t="str">
        <x:v>序号</x:v>
      </x:c>
      <x:c r="L8" s="112" t="str">
        <x:v>四位数字0001—9998</x:v>
      </x:c>
      <x:c r="M8" s="112" t="str">
        <x:v>0001</x:v>
      </x:c>
      <x:c r="N8" s="112" t="str">
        <x:v>同一模块＋子类内递增</x:v>
      </x:c>
      <x:c r="O8" s="112" t="str">
        <x:v>必填</x:v>
      </x:c>
      <x:c r="P8" s="112" t="str">
        <x:v>停用后不得复用</x:v>
      </x:c>
      <x:c r="Q8" s="112" t="str">
        <x:v>9999专供示例</x:v>
      </x:c>
    </x:row>
    <x:row r="9">
      <x:c r="A9" s="68" t="str">
        <x:v>对象类别</x:v>
      </x:c>
      <x:c r="B9" s="68" t="str">
        <x:v>OBJ01</x:v>
      </x:c>
      <x:c r="C9" s="68" t="str">
        <x:v>天干</x:v>
      </x:c>
      <x:c r="D9" s="68" t="str">
        <x:v>对象类别的标准选项：天干。具体成立条件由对应模块规则定义。</x:v>
      </x:c>
      <x:c r="E9" s="68" t="str">
        <x:v>对象类别</x:v>
      </x:c>
      <x:c r="F9" s="98" t="n">
        <x:v>1</x:v>
      </x:c>
      <x:c r="G9" s="68" t="str">
        <x:v>是</x:v>
      </x:c>
      <x:c r="H9" s="68" t="str"/>
      <x:c r="J9" s="112" t="n">
        <x:v>4</x:v>
      </x:c>
      <x:c r="K9" s="112" t="str">
        <x:v>版本号</x:v>
      </x:c>
      <x:c r="L9" s="112" t="str">
        <x:v>V主版本.次版本</x:v>
      </x:c>
      <x:c r="M9" s="112" t="str">
        <x:v>V1.0</x:v>
      </x:c>
      <x:c r="N9" s="112" t="str">
        <x:v>初版V1.0；小修订V1.1；重大重构V2.0</x:v>
      </x:c>
      <x:c r="O9" s="112" t="str">
        <x:v>必填</x:v>
      </x:c>
      <x:c r="P9" s="112" t="str">
        <x:v>必须同步M21变更记录</x:v>
      </x:c>
      <x:c r="Q9" s="112" t="str">
        <x:v>V0.x仅用于框架与测试</x:v>
      </x:c>
    </x:row>
    <x:row r="10">
      <x:c r="A10" s="68" t="str">
        <x:v>对象类别</x:v>
      </x:c>
      <x:c r="B10" s="68" t="str">
        <x:v>OBJ02</x:v>
      </x:c>
      <x:c r="C10" s="68" t="str">
        <x:v>地支</x:v>
      </x:c>
      <x:c r="D10" s="68" t="str">
        <x:v>对象类别的标准选项：地支。具体成立条件由对应模块规则定义。</x:v>
      </x:c>
      <x:c r="E10" s="68" t="str">
        <x:v>对象类别</x:v>
      </x:c>
      <x:c r="F10" s="98" t="n">
        <x:v>2</x:v>
      </x:c>
      <x:c r="G10" s="68" t="str">
        <x:v>是</x:v>
      </x:c>
      <x:c r="H10" s="68" t="str"/>
      <x:c r="J10" s="112" t="str">
        <x:v>完整ID</x:v>
      </x:c>
      <x:c r="K10" s="112" t="str">
        <x:v>拼接格式</x:v>
      </x:c>
      <x:c r="L10" s="112" t="str">
        <x:v>模块-子类-序号-版本</x:v>
      </x:c>
      <x:c r="M10" s="112" t="str">
        <x:v>M05-XING-0001-V1.0</x:v>
      </x:c>
      <x:c r="N10" s="112" t="str">
        <x:v>由各模块A列公式自动生成</x:v>
      </x:c>
      <x:c r="O10" s="112" t="str">
        <x:v>必填</x:v>
      </x:c>
      <x:c r="P10" s="112" t="str">
        <x:v>语义重大变化时新建ID</x:v>
      </x:c>
      <x:c r="Q10" s="112" t="str">
        <x:v>不要手工覆盖公式列</x:v>
      </x:c>
    </x:row>
    <x:row r="11">
      <x:c r="A11" s="68" t="str">
        <x:v>对象类别</x:v>
      </x:c>
      <x:c r="B11" s="68" t="str">
        <x:v>OBJ03</x:v>
      </x:c>
      <x:c r="C11" s="68" t="str">
        <x:v>五行</x:v>
      </x:c>
      <x:c r="D11" s="68" t="str">
        <x:v>对象类别的标准选项：五行。具体成立条件由对应模块规则定义。</x:v>
      </x:c>
      <x:c r="E11" s="68" t="str">
        <x:v>对象类别</x:v>
      </x:c>
      <x:c r="F11" s="98" t="n">
        <x:v>3</x:v>
      </x:c>
      <x:c r="G11" s="68" t="str">
        <x:v>是</x:v>
      </x:c>
      <x:c r="H11" s="68" t="str"/>
    </x:row>
    <x:row r="12">
      <x:c r="A12" s="68" t="str">
        <x:v>对象类别</x:v>
      </x:c>
      <x:c r="B12" s="68" t="str">
        <x:v>OBJ04</x:v>
      </x:c>
      <x:c r="C12" s="68" t="str">
        <x:v>十神</x:v>
      </x:c>
      <x:c r="D12" s="68" t="str">
        <x:v>对象类别的标准选项：十神。具体成立条件由对应模块规则定义。</x:v>
      </x:c>
      <x:c r="E12" s="68" t="str">
        <x:v>对象类别</x:v>
      </x:c>
      <x:c r="F12" s="98" t="n">
        <x:v>4</x:v>
      </x:c>
      <x:c r="G12" s="68" t="str">
        <x:v>是</x:v>
      </x:c>
      <x:c r="H12" s="68" t="str"/>
    </x:row>
    <x:row r="13">
      <x:c r="A13" s="68" t="str">
        <x:v>对象类别</x:v>
      </x:c>
      <x:c r="B13" s="68" t="str">
        <x:v>OBJ05</x:v>
      </x:c>
      <x:c r="C13" s="68" t="str">
        <x:v>组合</x:v>
      </x:c>
      <x:c r="D13" s="68" t="str">
        <x:v>对象类别的标准选项：组合。具体成立条件由对应模块规则定义。</x:v>
      </x:c>
      <x:c r="E13" s="68" t="str">
        <x:v>对象类别</x:v>
      </x:c>
      <x:c r="F13" s="98" t="n">
        <x:v>5</x:v>
      </x:c>
      <x:c r="G13" s="68" t="str">
        <x:v>是</x:v>
      </x:c>
      <x:c r="H13" s="68" t="str"/>
      <x:c r="J13" s="104" t="str">
        <x:v>变更场景</x:v>
      </x:c>
      <x:c r="K13" s="104" t="str">
        <x:v>是否沿用ID</x:v>
      </x:c>
      <x:c r="L13" s="104" t="str">
        <x:v>版本动作</x:v>
      </x:c>
      <x:c r="M13" s="104" t="str">
        <x:v>旧规则状态</x:v>
      </x:c>
      <x:c r="N13" s="104" t="str">
        <x:v>M21动作</x:v>
      </x:c>
      <x:c r="O13" s="104" t="str">
        <x:v>案例动作</x:v>
      </x:c>
      <x:c r="P13" s="104" t="str">
        <x:v>允许直接覆盖</x:v>
      </x:c>
      <x:c r="Q13" s="104" t="str">
        <x:v>示例</x:v>
      </x:c>
    </x:row>
    <x:row r="14">
      <x:c r="A14" s="68" t="str">
        <x:v>对象类别</x:v>
      </x:c>
      <x:c r="B14" s="68" t="str">
        <x:v>OBJ06</x:v>
      </x:c>
      <x:c r="C14" s="68" t="str">
        <x:v>格局</x:v>
      </x:c>
      <x:c r="D14" s="68" t="str">
        <x:v>对象类别的标准选项：格局。具体成立条件由对应模块规则定义。</x:v>
      </x:c>
      <x:c r="E14" s="68" t="str">
        <x:v>对象类别</x:v>
      </x:c>
      <x:c r="F14" s="98" t="n">
        <x:v>6</x:v>
      </x:c>
      <x:c r="G14" s="68" t="str">
        <x:v>是</x:v>
      </x:c>
      <x:c r="H14" s="68" t="str"/>
      <x:c r="J14" s="112" t="str">
        <x:v>仅纠正错别字或格式</x:v>
      </x:c>
      <x:c r="K14" s="112" t="str">
        <x:v>是</x:v>
      </x:c>
      <x:c r="L14" s="112" t="str">
        <x:v>次版本可不变或升小版本</x:v>
      </x:c>
      <x:c r="M14" s="112" t="str">
        <x:v>采用</x:v>
      </x:c>
      <x:c r="N14" s="112" t="str">
        <x:v>记录可选</x:v>
      </x:c>
      <x:c r="O14" s="112" t="str">
        <x:v>无需重测</x:v>
      </x:c>
      <x:c r="P14" s="112" t="str">
        <x:v>是</x:v>
      </x:c>
      <x:c r="Q14" s="112" t="str">
        <x:v>V1.0文字修正</x:v>
      </x:c>
    </x:row>
    <x:row r="15">
      <x:c r="A15" s="68" t="str">
        <x:v>对象类别</x:v>
      </x:c>
      <x:c r="B15" s="68" t="str">
        <x:v>OBJ07</x:v>
      </x:c>
      <x:c r="C15" s="68" t="str">
        <x:v>病药</x:v>
      </x:c>
      <x:c r="D15" s="68" t="str">
        <x:v>对象类别的标准选项：病药。具体成立条件由对应模块规则定义。</x:v>
      </x:c>
      <x:c r="E15" s="68" t="str">
        <x:v>对象类别</x:v>
      </x:c>
      <x:c r="F15" s="98" t="n">
        <x:v>7</x:v>
      </x:c>
      <x:c r="G15" s="68" t="str">
        <x:v>是</x:v>
      </x:c>
      <x:c r="H15" s="68" t="str"/>
      <x:c r="J15" s="112" t="str">
        <x:v>补充增强/削弱条件但核心语义不变</x:v>
      </x:c>
      <x:c r="K15" s="112" t="str">
        <x:v>是</x:v>
      </x:c>
      <x:c r="L15" s="112" t="str">
        <x:v>升次版本</x:v>
      </x:c>
      <x:c r="M15" s="112" t="str">
        <x:v>采用或待验证</x:v>
      </x:c>
      <x:c r="N15" s="112" t="str">
        <x:v>必须记录</x:v>
      </x:c>
      <x:c r="O15" s="112" t="str">
        <x:v>补边界测试</x:v>
      </x:c>
      <x:c r="P15" s="112" t="str">
        <x:v>否</x:v>
      </x:c>
      <x:c r="Q15" s="112" t="str">
        <x:v>V1.0→V1.1</x:v>
      </x:c>
    </x:row>
    <x:row r="16">
      <x:c r="A16" s="68" t="str">
        <x:v>对象类别</x:v>
      </x:c>
      <x:c r="B16" s="68" t="str">
        <x:v>OBJ08</x:v>
      </x:c>
      <x:c r="C16" s="68" t="str">
        <x:v>输出字段</x:v>
      </x:c>
      <x:c r="D16" s="68" t="str">
        <x:v>对象类别的标准选项：输出字段。具体成立条件由对应模块规则定义。</x:v>
      </x:c>
      <x:c r="E16" s="68" t="str">
        <x:v>对象类别</x:v>
      </x:c>
      <x:c r="F16" s="98" t="n">
        <x:v>8</x:v>
      </x:c>
      <x:c r="G16" s="68" t="str">
        <x:v>是</x:v>
      </x:c>
      <x:c r="H16" s="68" t="str"/>
      <x:c r="J16" s="112" t="str">
        <x:v>修改必要条件、否决条件或核心结论</x:v>
      </x:c>
      <x:c r="K16" s="112" t="str">
        <x:v>通常新建ID</x:v>
      </x:c>
      <x:c r="L16" s="112" t="str">
        <x:v>新规则V1.0</x:v>
      </x:c>
      <x:c r="M16" s="112" t="str">
        <x:v>旧规则停用</x:v>
      </x:c>
      <x:c r="N16" s="112" t="str">
        <x:v>必须记录关联</x:v>
      </x:c>
      <x:c r="O16" s="112" t="str">
        <x:v>完整回归测试</x:v>
      </x:c>
      <x:c r="P16" s="112" t="str">
        <x:v>否</x:v>
      </x:c>
      <x:c r="Q16" s="112" t="str">
        <x:v>旧ID停用，新ID替代</x:v>
      </x:c>
    </x:row>
    <x:row r="17">
      <x:c r="A17" s="68" t="str">
        <x:v>对象类别</x:v>
      </x:c>
      <x:c r="B17" s="68" t="str">
        <x:v>OBJ09</x:v>
      </x:c>
      <x:c r="C17" s="68" t="str">
        <x:v>案例</x:v>
      </x:c>
      <x:c r="D17" s="68" t="str">
        <x:v>对象类别的标准选项：案例。具体成立条件由对应模块规则定义。</x:v>
      </x:c>
      <x:c r="E17" s="68" t="str">
        <x:v>对象类别</x:v>
      </x:c>
      <x:c r="F17" s="98" t="n">
        <x:v>9</x:v>
      </x:c>
      <x:c r="G17" s="68" t="str">
        <x:v>是</x:v>
      </x:c>
      <x:c r="H17" s="68" t="str"/>
      <x:c r="J17" s="112" t="str">
        <x:v>一条规则拆分为多条原子规则</x:v>
      </x:c>
      <x:c r="K17" s="112" t="str">
        <x:v>否</x:v>
      </x:c>
      <x:c r="L17" s="112" t="str">
        <x:v>各新ID从V1.0开始</x:v>
      </x:c>
      <x:c r="M17" s="112" t="str">
        <x:v>旧规则停用</x:v>
      </x:c>
      <x:c r="N17" s="112" t="str">
        <x:v>记录拆分关系</x:v>
      </x:c>
      <x:c r="O17" s="112" t="str">
        <x:v>分别测试</x:v>
      </x:c>
      <x:c r="P17" s="112" t="str">
        <x:v>否</x:v>
      </x:c>
      <x:c r="Q17" s="112" t="str">
        <x:v>一拆三</x:v>
      </x:c>
    </x:row>
    <x:row r="18">
      <x:c r="A18" s="68" t="str">
        <x:v>对象类别</x:v>
      </x:c>
      <x:c r="B18" s="68" t="str">
        <x:v>OBJ10</x:v>
      </x:c>
      <x:c r="C18" s="68" t="str">
        <x:v>版本记录</x:v>
      </x:c>
      <x:c r="D18" s="68" t="str">
        <x:v>对象类别的标准选项：版本记录。具体成立条件由对应模块规则定义。</x:v>
      </x:c>
      <x:c r="E18" s="68" t="str">
        <x:v>对象类别</x:v>
      </x:c>
      <x:c r="F18" s="98" t="n">
        <x:v>10</x:v>
      </x:c>
      <x:c r="G18" s="68" t="str">
        <x:v>是</x:v>
      </x:c>
      <x:c r="H18" s="68" t="str"/>
      <x:c r="J18" s="112" t="str">
        <x:v>多条规则合并</x:v>
      </x:c>
      <x:c r="K18" s="112" t="str">
        <x:v>否</x:v>
      </x:c>
      <x:c r="L18" s="112" t="str">
        <x:v>新ID从V1.0开始</x:v>
      </x:c>
      <x:c r="M18" s="112" t="str">
        <x:v>旧规则停用</x:v>
      </x:c>
      <x:c r="N18" s="112" t="str">
        <x:v>记录合并关系</x:v>
      </x:c>
      <x:c r="O18" s="112" t="str">
        <x:v>综合回归测试</x:v>
      </x:c>
      <x:c r="P18" s="112" t="str">
        <x:v>否</x:v>
      </x:c>
      <x:c r="Q18" s="112" t="str">
        <x:v>三合一</x:v>
      </x:c>
    </x:row>
    <x:row r="19">
      <x:c r="A19" s="68" t="str">
        <x:v>阴阳</x:v>
      </x:c>
      <x:c r="B19" s="68" t="str">
        <x:v>YY-YANG</x:v>
      </x:c>
      <x:c r="C19" s="68" t="str">
        <x:v>阳</x:v>
      </x:c>
      <x:c r="D19" s="68" t="str">
        <x:v>阴阳的标准选项：阳。具体成立条件由对应模块规则定义。</x:v>
      </x:c>
      <x:c r="E19" s="68" t="str">
        <x:v>阴阳</x:v>
      </x:c>
      <x:c r="F19" s="98" t="n">
        <x:v>1</x:v>
      </x:c>
      <x:c r="G19" s="68" t="str">
        <x:v>是</x:v>
      </x:c>
      <x:c r="H19" s="68" t="str"/>
      <x:c r="J19" s="112" t="str">
        <x:v>流派并存且均保留</x:v>
      </x:c>
      <x:c r="K19" s="112" t="str">
        <x:v>否</x:v>
      </x:c>
      <x:c r="L19" s="112" t="str">
        <x:v>分别建立ID</x:v>
      </x:c>
      <x:c r="M19" s="112" t="str">
        <x:v>均可待验证/采用</x:v>
      </x:c>
      <x:c r="N19" s="112" t="str">
        <x:v>记录争议</x:v>
      </x:c>
      <x:c r="O19" s="112" t="str">
        <x:v>对照测试</x:v>
      </x:c>
      <x:c r="P19" s="112" t="str">
        <x:v>否</x:v>
      </x:c>
      <x:c r="Q19" s="112" t="str">
        <x:v>同题双规则</x:v>
      </x:c>
    </x:row>
    <x:row r="20">
      <x:c r="A20" s="68" t="str">
        <x:v>阴阳</x:v>
      </x:c>
      <x:c r="B20" s="68" t="str">
        <x:v>YY-YIN</x:v>
      </x:c>
      <x:c r="C20" s="68" t="str">
        <x:v>阴</x:v>
      </x:c>
      <x:c r="D20" s="68" t="str">
        <x:v>阴阳的标准选项：阴。具体成立条件由对应模块规则定义。</x:v>
      </x:c>
      <x:c r="E20" s="68" t="str">
        <x:v>阴阳</x:v>
      </x:c>
      <x:c r="F20" s="98" t="n">
        <x:v>2</x:v>
      </x:c>
      <x:c r="G20" s="68" t="str">
        <x:v>是</x:v>
      </x:c>
      <x:c r="H20" s="68" t="str"/>
    </x:row>
    <x:row r="21">
      <x:c r="A21" s="68" t="str">
        <x:v>五行</x:v>
      </x:c>
      <x:c r="B21" s="68" t="str">
        <x:v>WX-MU</x:v>
      </x:c>
      <x:c r="C21" s="68" t="str">
        <x:v>木</x:v>
      </x:c>
      <x:c r="D21" s="68" t="str">
        <x:v>五行的标准选项：木。具体成立条件由对应模块规则定义。</x:v>
      </x:c>
      <x:c r="E21" s="68" t="str">
        <x:v>五行、候选五行、合化候选五行、适用五行</x:v>
      </x:c>
      <x:c r="F21" s="98" t="n">
        <x:v>1</x:v>
      </x:c>
      <x:c r="G21" s="68" t="str">
        <x:v>是</x:v>
      </x:c>
      <x:c r="H21" s="68" t="str"/>
    </x:row>
    <x:row r="22">
      <x:c r="A22" s="68" t="str">
        <x:v>五行</x:v>
      </x:c>
      <x:c r="B22" s="68" t="str">
        <x:v>WX-HUO</x:v>
      </x:c>
      <x:c r="C22" s="68" t="str">
        <x:v>火</x:v>
      </x:c>
      <x:c r="D22" s="68" t="str">
        <x:v>五行的标准选项：火。具体成立条件由对应模块规则定义。</x:v>
      </x:c>
      <x:c r="E22" s="68" t="str">
        <x:v>五行、候选五行、合化候选五行、适用五行</x:v>
      </x:c>
      <x:c r="F22" s="98" t="n">
        <x:v>2</x:v>
      </x:c>
      <x:c r="G22" s="68" t="str">
        <x:v>是</x:v>
      </x:c>
      <x:c r="H22" s="68" t="str"/>
      <x:c r="J22" s="104" t="str">
        <x:v>字段组</x:v>
      </x:c>
      <x:c r="K22" s="104" t="str">
        <x:v>代表字段</x:v>
      </x:c>
      <x:c r="L22" s="104" t="str">
        <x:v>目的</x:v>
      </x:c>
      <x:c r="M22" s="104" t="str">
        <x:v>填写时点</x:v>
      </x:c>
      <x:c r="N22" s="104" t="str">
        <x:v>空值规则</x:v>
      </x:c>
      <x:c r="O22" s="104" t="str">
        <x:v>颜色提示</x:v>
      </x:c>
      <x:c r="P22" s="104" t="str">
        <x:v>审核重点</x:v>
      </x:c>
      <x:c r="Q22" s="104" t="str">
        <x:v>错误示例</x:v>
      </x:c>
    </x:row>
    <x:row r="23">
      <x:c r="A23" s="68" t="str">
        <x:v>五行</x:v>
      </x:c>
      <x:c r="B23" s="68" t="str">
        <x:v>WX-TU</x:v>
      </x:c>
      <x:c r="C23" s="68" t="str">
        <x:v>土</x:v>
      </x:c>
      <x:c r="D23" s="68" t="str">
        <x:v>五行的标准选项：土。具体成立条件由对应模块规则定义。</x:v>
      </x:c>
      <x:c r="E23" s="68" t="str">
        <x:v>五行、候选五行、合化候选五行、适用五行</x:v>
      </x:c>
      <x:c r="F23" s="98" t="n">
        <x:v>3</x:v>
      </x:c>
      <x:c r="G23" s="68" t="str">
        <x:v>是</x:v>
      </x:c>
      <x:c r="H23" s="68" t="str"/>
      <x:c r="J23" s="112" t="str">
        <x:v>身份字段</x:v>
      </x:c>
      <x:c r="K23" s="112" t="str">
        <x:v>Rule_ID、模块代码、子类代码、序号、版本号</x:v>
      </x:c>
      <x:c r="L23" s="112" t="str">
        <x:v>唯一定位与引用</x:v>
      </x:c>
      <x:c r="M23" s="112" t="str">
        <x:v>建规则时</x:v>
      </x:c>
      <x:c r="N23" s="112" t="str">
        <x:v>模块代码与版本有默认值；子类和序号必须填写</x:v>
      </x:c>
      <x:c r="O23" s="112" t="str">
        <x:v>蓝色ID、灰色键值</x:v>
      </x:c>
      <x:c r="P23" s="112" t="str">
        <x:v>是否重复、是否复用停用ID</x:v>
      </x:c>
      <x:c r="Q23" s="112" t="str">
        <x:v>手工改写A列ID</x:v>
      </x:c>
    </x:row>
    <x:row r="24">
      <x:c r="A24" s="68" t="str">
        <x:v>五行</x:v>
      </x:c>
      <x:c r="B24" s="68" t="str">
        <x:v>WX-JIN</x:v>
      </x:c>
      <x:c r="C24" s="68" t="str">
        <x:v>金</x:v>
      </x:c>
      <x:c r="D24" s="68" t="str">
        <x:v>五行的标准选项：金。具体成立条件由对应模块规则定义。</x:v>
      </x:c>
      <x:c r="E24" s="68" t="str">
        <x:v>五行、候选五行、合化候选五行、适用五行</x:v>
      </x:c>
      <x:c r="F24" s="98" t="n">
        <x:v>4</x:v>
      </x:c>
      <x:c r="G24" s="68" t="str">
        <x:v>是</x:v>
      </x:c>
      <x:c r="H24" s="68" t="str"/>
      <x:c r="J24" s="112" t="str">
        <x:v>成立条件</x:v>
      </x:c>
      <x:c r="K24" s="112" t="str">
        <x:v>前置、必要、增强、削弱、否决、例外</x:v>
      </x:c>
      <x:c r="L24" s="112" t="str">
        <x:v>区分规则成立、强弱和边界</x:v>
      </x:c>
      <x:c r="M24" s="112" t="str">
        <x:v>写核心规则时</x:v>
      </x:c>
      <x:c r="N24" s="112" t="str">
        <x:v>未知留空，不用“无”代替未知</x:v>
      </x:c>
      <x:c r="O24" s="112" t="str">
        <x:v>浅黄输入</x:v>
      </x:c>
      <x:c r="P24" s="112" t="str">
        <x:v>必要与增强是否混写</x:v>
      </x:c>
      <x:c r="Q24" s="112" t="str">
        <x:v>把得令写成唯一必要条件</x:v>
      </x:c>
    </x:row>
    <x:row r="25">
      <x:c r="A25" s="68" t="str">
        <x:v>五行</x:v>
      </x:c>
      <x:c r="B25" s="68" t="str">
        <x:v>WX-SHUI</x:v>
      </x:c>
      <x:c r="C25" s="68" t="str">
        <x:v>水</x:v>
      </x:c>
      <x:c r="D25" s="68" t="str">
        <x:v>五行的标准选项：水。具体成立条件由对应模块规则定义。</x:v>
      </x:c>
      <x:c r="E25" s="68" t="str">
        <x:v>五行、候选五行、合化候选五行、适用五行</x:v>
      </x:c>
      <x:c r="F25" s="98" t="n">
        <x:v>5</x:v>
      </x:c>
      <x:c r="G25" s="68" t="str">
        <x:v>是</x:v>
      </x:c>
      <x:c r="H25" s="68" t="str"/>
      <x:c r="J25" s="112" t="str">
        <x:v>作用字段</x:v>
      </x:c>
      <x:c r="K25" s="112" t="str">
        <x:v>作用对象、类型、方向、等级</x:v>
      </x:c>
      <x:c r="L25" s="112" t="str">
        <x:v>描述实际效应而非关系名称</x:v>
      </x:c>
      <x:c r="M25" s="112" t="str">
        <x:v>效应层以后</x:v>
      </x:c>
      <x:c r="N25" s="112" t="str">
        <x:v>必须指明对象</x:v>
      </x:c>
      <x:c r="O25" s="112" t="str">
        <x:v>浅黄输入</x:v>
      </x:c>
      <x:c r="P25" s="112" t="str">
        <x:v>是否逐对象判断</x:v>
      </x:c>
      <x:c r="Q25" s="112" t="str">
        <x:v>写“有冲所以都减力”</x:v>
      </x:c>
    </x:row>
    <x:row r="26">
      <x:c r="A26" s="68" t="str">
        <x:v>藏干层级</x:v>
      </x:c>
      <x:c r="B26" s="68" t="str">
        <x:v>HG01</x:v>
      </x:c>
      <x:c r="C26" s="68" t="str">
        <x:v>本气</x:v>
      </x:c>
      <x:c r="D26" s="68" t="str">
        <x:v>藏干层级的标准选项：本气。具体成立条件由对应模块规则定义。</x:v>
      </x:c>
      <x:c r="E26" s="68" t="str">
        <x:v>藏干一层级、藏干三层级、藏干二层级</x:v>
      </x:c>
      <x:c r="F26" s="98" t="n">
        <x:v>1</x:v>
      </x:c>
      <x:c r="G26" s="68" t="str">
        <x:v>是</x:v>
      </x:c>
      <x:c r="H26" s="68" t="str"/>
      <x:c r="J26" s="112" t="str">
        <x:v>结论字段</x:v>
      </x:c>
      <x:c r="K26" s="112" t="str">
        <x:v>标签、标准输出、置信度</x:v>
      </x:c>
      <x:c r="L26" s="112" t="str">
        <x:v>形成可调用结论</x:v>
      </x:c>
      <x:c r="M26" s="112" t="str">
        <x:v>规则完成时</x:v>
      </x:c>
      <x:c r="N26" s="112" t="str">
        <x:v>无证据不得给高置信</x:v>
      </x:c>
      <x:c r="O26" s="112" t="str">
        <x:v>浅绿输出</x:v>
      </x:c>
      <x:c r="P26" s="112" t="str">
        <x:v>是否可回溯到条件</x:v>
      </x:c>
      <x:c r="Q26" s="112" t="str">
        <x:v>只写“喜木火”</x:v>
      </x:c>
    </x:row>
    <x:row r="27">
      <x:c r="A27" s="68" t="str">
        <x:v>藏干层级</x:v>
      </x:c>
      <x:c r="B27" s="68" t="str">
        <x:v>HG02</x:v>
      </x:c>
      <x:c r="C27" s="68" t="str">
        <x:v>中气</x:v>
      </x:c>
      <x:c r="D27" s="68" t="str">
        <x:v>藏干层级的标准选项：中气。具体成立条件由对应模块规则定义。</x:v>
      </x:c>
      <x:c r="E27" s="68" t="str">
        <x:v>藏干一层级、藏干三层级、藏干二层级</x:v>
      </x:c>
      <x:c r="F27" s="98" t="n">
        <x:v>2</x:v>
      </x:c>
      <x:c r="G27" s="68" t="str">
        <x:v>是</x:v>
      </x:c>
      <x:c r="H27" s="68" t="str"/>
      <x:c r="J27" s="112" t="str">
        <x:v>证据字段</x:v>
      </x:c>
      <x:c r="K27" s="112" t="str">
        <x:v>依据、正例、反例、来源</x:v>
      </x:c>
      <x:c r="L27" s="112" t="str">
        <x:v>支持验证与纠错</x:v>
      </x:c>
      <x:c r="M27" s="112" t="str">
        <x:v>初审前</x:v>
      </x:c>
      <x:c r="N27" s="112" t="str">
        <x:v>至少有反例或边界说明</x:v>
      </x:c>
      <x:c r="O27" s="112" t="str">
        <x:v>普通文本</x:v>
      </x:c>
      <x:c r="P27" s="112" t="str">
        <x:v>是否只列正例</x:v>
      </x:c>
      <x:c r="Q27" s="112" t="str">
        <x:v>无反证直接定论</x:v>
      </x:c>
    </x:row>
    <x:row r="28">
      <x:c r="A28" s="68" t="str">
        <x:v>藏干层级</x:v>
      </x:c>
      <x:c r="B28" s="68" t="str">
        <x:v>HG03</x:v>
      </x:c>
      <x:c r="C28" s="68" t="str">
        <x:v>余气</x:v>
      </x:c>
      <x:c r="D28" s="68" t="str">
        <x:v>藏干层级的标准选项：余气。具体成立条件由对应模块规则定义。</x:v>
      </x:c>
      <x:c r="E28" s="68" t="str">
        <x:v>藏干一层级、藏干三层级、藏干二层级</x:v>
      </x:c>
      <x:c r="F28" s="98" t="n">
        <x:v>3</x:v>
      </x:c>
      <x:c r="G28" s="68" t="str">
        <x:v>是</x:v>
      </x:c>
      <x:c r="H28" s="68" t="str"/>
      <x:c r="J28" s="112" t="str">
        <x:v>治理字段</x:v>
      </x:c>
      <x:c r="K28" s="112" t="str">
        <x:v>状态、审核、更新日期</x:v>
      </x:c>
      <x:c r="L28" s="112" t="str">
        <x:v>控制生命周期</x:v>
      </x:c>
      <x:c r="M28" s="112" t="str">
        <x:v>每次修订时</x:v>
      </x:c>
      <x:c r="N28" s="112" t="str">
        <x:v>不得删除历史</x:v>
      </x:c>
      <x:c r="O28" s="112" t="str">
        <x:v>状态下拉</x:v>
      </x:c>
      <x:c r="P28" s="112" t="str">
        <x:v>状态与M21是否一致</x:v>
      </x:c>
      <x:c r="Q28" s="112" t="str">
        <x:v>停用规则直接删除</x:v>
      </x:c>
    </x:row>
    <x:row r="29">
      <x:c r="A29" s="68" t="str">
        <x:v>藏干层级</x:v>
      </x:c>
      <x:c r="B29" s="68" t="str">
        <x:v>HG04</x:v>
      </x:c>
      <x:c r="C29" s="68" t="str">
        <x:v>无</x:v>
      </x:c>
      <x:c r="D29" s="68" t="str">
        <x:v>藏干层级的标准选项：无。具体成立条件由对应模块规则定义。</x:v>
      </x:c>
      <x:c r="E29" s="68" t="str">
        <x:v>藏干一层级、藏干三层级、藏干二层级</x:v>
      </x:c>
      <x:c r="F29" s="98" t="n">
        <x:v>4</x:v>
      </x:c>
      <x:c r="G29" s="68" t="str">
        <x:v>是</x:v>
      </x:c>
      <x:c r="H29" s="68" t="str"/>
    </x:row>
    <x:row r="30">
      <x:c r="A30" s="68" t="str">
        <x:v>规则层级</x:v>
      </x:c>
      <x:c r="B30" s="68" t="str">
        <x:v>L1</x:v>
      </x:c>
      <x:c r="C30" s="68" t="str">
        <x:v>识别层</x:v>
      </x:c>
      <x:c r="D30" s="68" t="str">
        <x:v>确认客观关系或事实是否存在，不判断其吉凶、增减力或最终作用。</x:v>
      </x:c>
      <x:c r="E30" s="68" t="str">
        <x:v>规则层级</x:v>
      </x:c>
      <x:c r="F30" s="98" t="n">
        <x:v>1</x:v>
      </x:c>
      <x:c r="G30" s="68" t="str">
        <x:v>是</x:v>
      </x:c>
      <x:c r="H30" s="68" t="str"/>
    </x:row>
    <x:row r="31">
      <x:c r="A31" s="68" t="str">
        <x:v>规则层级</x:v>
      </x:c>
      <x:c r="B31" s="68" t="str">
        <x:v>L2</x:v>
      </x:c>
      <x:c r="C31" s="68" t="str">
        <x:v>效应层</x:v>
      </x:c>
      <x:c r="D31" s="68" t="str">
        <x:v>判断已识别关系实际产生的合绊、冲动、转化、根气变化或流通影响。</x:v>
      </x:c>
      <x:c r="E31" s="68" t="str">
        <x:v>规则层级</x:v>
      </x:c>
      <x:c r="F31" s="98" t="n">
        <x:v>2</x:v>
      </x:c>
      <x:c r="G31" s="68" t="str">
        <x:v>是</x:v>
      </x:c>
      <x:c r="H31" s="68" t="str"/>
    </x:row>
    <x:row r="32">
      <x:c r="A32" s="68" t="str">
        <x:v>规则层级</x:v>
      </x:c>
      <x:c r="B32" s="68" t="str">
        <x:v>L3</x:v>
      </x:c>
      <x:c r="C32" s="68" t="str">
        <x:v>结构层</x:v>
      </x:c>
      <x:c r="D32" s="68" t="str">
        <x:v>汇总有效力量、十神功能、组合、流通、调候等中层结构结论。</x:v>
      </x:c>
      <x:c r="E32" s="68" t="str">
        <x:v>规则层级</x:v>
      </x:c>
      <x:c r="F32" s="98" t="n">
        <x:v>3</x:v>
      </x:c>
      <x:c r="G32" s="68" t="str">
        <x:v>是</x:v>
      </x:c>
      <x:c r="H32" s="68" t="str"/>
    </x:row>
    <x:row r="33">
      <x:c r="A33" s="68" t="str">
        <x:v>规则层级</x:v>
      </x:c>
      <x:c r="B33" s="68" t="str">
        <x:v>L4</x:v>
      </x:c>
      <x:c r="C33" s="68" t="str">
        <x:v>综合层</x:v>
      </x:c>
      <x:c r="D33" s="68" t="str">
        <x:v>完成格局、病药、用神与冲突裁决，输出最终可回溯结论。</x:v>
      </x:c>
      <x:c r="E33" s="68" t="str">
        <x:v>规则层级</x:v>
      </x:c>
      <x:c r="F33" s="98" t="n">
        <x:v>4</x:v>
      </x:c>
      <x:c r="G33" s="68" t="str">
        <x:v>是</x:v>
      </x:c>
      <x:c r="H33" s="68" t="str"/>
    </x:row>
    <x:row r="34">
      <x:c r="A34" s="68" t="str">
        <x:v>关系类型</x:v>
      </x:c>
      <x:c r="B34" s="68" t="str">
        <x:v>REL01</x:v>
      </x:c>
      <x:c r="C34" s="68" t="str">
        <x:v>天干五合</x:v>
      </x:c>
      <x:c r="D34" s="68" t="str">
        <x:v>用于识别干支关系类别；关系存在后须进入效应层判断实际作用。</x:v>
      </x:c>
      <x:c r="E34" s="68" t="str">
        <x:v>关系类型</x:v>
      </x:c>
      <x:c r="F34" s="98" t="n">
        <x:v>1</x:v>
      </x:c>
      <x:c r="G34" s="68" t="str">
        <x:v>是</x:v>
      </x:c>
      <x:c r="H34" s="68" t="str"/>
    </x:row>
    <x:row r="35">
      <x:c r="A35" s="68" t="str">
        <x:v>关系类型</x:v>
      </x:c>
      <x:c r="B35" s="68" t="str">
        <x:v>REL02</x:v>
      </x:c>
      <x:c r="C35" s="68" t="str">
        <x:v>天干相克</x:v>
      </x:c>
      <x:c r="D35" s="68" t="str">
        <x:v>用于识别干支关系类别；关系存在后须进入效应层判断实际作用。</x:v>
      </x:c>
      <x:c r="E35" s="68" t="str">
        <x:v>关系类型</x:v>
      </x:c>
      <x:c r="F35" s="98" t="n">
        <x:v>2</x:v>
      </x:c>
      <x:c r="G35" s="68" t="str">
        <x:v>是</x:v>
      </x:c>
      <x:c r="H35" s="68" t="str"/>
    </x:row>
    <x:row r="36">
      <x:c r="A36" s="68" t="str">
        <x:v>关系类型</x:v>
      </x:c>
      <x:c r="B36" s="68" t="str">
        <x:v>REL03</x:v>
      </x:c>
      <x:c r="C36" s="68" t="str">
        <x:v>争合</x:v>
      </x:c>
      <x:c r="D36" s="68" t="str">
        <x:v>用于识别干支关系类别；关系存在后须进入效应层判断实际作用。</x:v>
      </x:c>
      <x:c r="E36" s="68" t="str">
        <x:v>关系类型</x:v>
      </x:c>
      <x:c r="F36" s="98" t="n">
        <x:v>3</x:v>
      </x:c>
      <x:c r="G36" s="68" t="str">
        <x:v>是</x:v>
      </x:c>
      <x:c r="H36" s="68" t="str"/>
    </x:row>
    <x:row r="37">
      <x:c r="A37" s="68" t="str">
        <x:v>关系类型</x:v>
      </x:c>
      <x:c r="B37" s="68" t="str">
        <x:v>REL04</x:v>
      </x:c>
      <x:c r="C37" s="68" t="str">
        <x:v>妒合</x:v>
      </x:c>
      <x:c r="D37" s="68" t="str">
        <x:v>用于识别干支关系类别；关系存在后须进入效应层判断实际作用。</x:v>
      </x:c>
      <x:c r="E37" s="68" t="str">
        <x:v>关系类型</x:v>
      </x:c>
      <x:c r="F37" s="98" t="n">
        <x:v>4</x:v>
      </x:c>
      <x:c r="G37" s="68" t="str">
        <x:v>是</x:v>
      </x:c>
      <x:c r="H37" s="68" t="str"/>
    </x:row>
    <x:row r="38">
      <x:c r="A38" s="68" t="str">
        <x:v>关系类型</x:v>
      </x:c>
      <x:c r="B38" s="68" t="str">
        <x:v>REL05</x:v>
      </x:c>
      <x:c r="C38" s="68" t="str">
        <x:v>隔合</x:v>
      </x:c>
      <x:c r="D38" s="68" t="str">
        <x:v>用于识别干支关系类别；关系存在后须进入效应层判断实际作用。</x:v>
      </x:c>
      <x:c r="E38" s="68" t="str">
        <x:v>关系类型</x:v>
      </x:c>
      <x:c r="F38" s="98" t="n">
        <x:v>5</x:v>
      </x:c>
      <x:c r="G38" s="68" t="str">
        <x:v>是</x:v>
      </x:c>
      <x:c r="H38" s="68" t="str"/>
    </x:row>
    <x:row r="39">
      <x:c r="A39" s="68" t="str">
        <x:v>关系类型</x:v>
      </x:c>
      <x:c r="B39" s="68" t="str">
        <x:v>REL06</x:v>
      </x:c>
      <x:c r="C39" s="68" t="str">
        <x:v>遥合</x:v>
      </x:c>
      <x:c r="D39" s="68" t="str">
        <x:v>用于识别干支关系类别；关系存在后须进入效应层判断实际作用。</x:v>
      </x:c>
      <x:c r="E39" s="68" t="str">
        <x:v>关系类型</x:v>
      </x:c>
      <x:c r="F39" s="98" t="n">
        <x:v>6</x:v>
      </x:c>
      <x:c r="G39" s="68" t="str">
        <x:v>是</x:v>
      </x:c>
      <x:c r="H39" s="68" t="str"/>
    </x:row>
    <x:row r="40">
      <x:c r="A40" s="68" t="str">
        <x:v>关系类型</x:v>
      </x:c>
      <x:c r="B40" s="68" t="str">
        <x:v>REL07</x:v>
      </x:c>
      <x:c r="C40" s="68" t="str">
        <x:v>六合</x:v>
      </x:c>
      <x:c r="D40" s="68" t="str">
        <x:v>用于识别干支关系类别；关系存在后须进入效应层判断实际作用。</x:v>
      </x:c>
      <x:c r="E40" s="68" t="str">
        <x:v>关系类型</x:v>
      </x:c>
      <x:c r="F40" s="98" t="n">
        <x:v>7</x:v>
      </x:c>
      <x:c r="G40" s="68" t="str">
        <x:v>是</x:v>
      </x:c>
      <x:c r="H40" s="68" t="str"/>
    </x:row>
    <x:row r="41">
      <x:c r="A41" s="68" t="str">
        <x:v>关系类型</x:v>
      </x:c>
      <x:c r="B41" s="68" t="str">
        <x:v>REL08</x:v>
      </x:c>
      <x:c r="C41" s="68" t="str">
        <x:v>三合</x:v>
      </x:c>
      <x:c r="D41" s="68" t="str">
        <x:v>用于识别干支关系类别；关系存在后须进入效应层判断实际作用。</x:v>
      </x:c>
      <x:c r="E41" s="68" t="str">
        <x:v>关系类型</x:v>
      </x:c>
      <x:c r="F41" s="98" t="n">
        <x:v>8</x:v>
      </x:c>
      <x:c r="G41" s="68" t="str">
        <x:v>是</x:v>
      </x:c>
      <x:c r="H41" s="68" t="str"/>
    </x:row>
    <x:row r="42">
      <x:c r="A42" s="68" t="str">
        <x:v>关系类型</x:v>
      </x:c>
      <x:c r="B42" s="68" t="str">
        <x:v>REL09</x:v>
      </x:c>
      <x:c r="C42" s="68" t="str">
        <x:v>半合</x:v>
      </x:c>
      <x:c r="D42" s="68" t="str">
        <x:v>用于识别干支关系类别；关系存在后须进入效应层判断实际作用。</x:v>
      </x:c>
      <x:c r="E42" s="68" t="str">
        <x:v>关系类型</x:v>
      </x:c>
      <x:c r="F42" s="98" t="n">
        <x:v>9</x:v>
      </x:c>
      <x:c r="G42" s="68" t="str">
        <x:v>是</x:v>
      </x:c>
      <x:c r="H42" s="68" t="str"/>
    </x:row>
    <x:row r="43">
      <x:c r="A43" s="68" t="str">
        <x:v>关系类型</x:v>
      </x:c>
      <x:c r="B43" s="68" t="str">
        <x:v>REL10</x:v>
      </x:c>
      <x:c r="C43" s="68" t="str">
        <x:v>拱合</x:v>
      </x:c>
      <x:c r="D43" s="68" t="str">
        <x:v>用于识别干支关系类别；关系存在后须进入效应层判断实际作用。</x:v>
      </x:c>
      <x:c r="E43" s="68" t="str">
        <x:v>关系类型</x:v>
      </x:c>
      <x:c r="F43" s="98" t="n">
        <x:v>10</x:v>
      </x:c>
      <x:c r="G43" s="68" t="str">
        <x:v>是</x:v>
      </x:c>
      <x:c r="H43" s="68" t="str"/>
    </x:row>
    <x:row r="44">
      <x:c r="A44" s="68" t="str">
        <x:v>关系类型</x:v>
      </x:c>
      <x:c r="B44" s="68" t="str">
        <x:v>REL11</x:v>
      </x:c>
      <x:c r="C44" s="68" t="str">
        <x:v>三会</x:v>
      </x:c>
      <x:c r="D44" s="68" t="str">
        <x:v>用于识别干支关系类别；关系存在后须进入效应层判断实际作用。</x:v>
      </x:c>
      <x:c r="E44" s="68" t="str">
        <x:v>关系类型</x:v>
      </x:c>
      <x:c r="F44" s="98" t="n">
        <x:v>11</x:v>
      </x:c>
      <x:c r="G44" s="68" t="str">
        <x:v>是</x:v>
      </x:c>
      <x:c r="H44" s="68" t="str"/>
    </x:row>
    <x:row r="45">
      <x:c r="A45" s="68" t="str">
        <x:v>关系类型</x:v>
      </x:c>
      <x:c r="B45" s="68" t="str">
        <x:v>REL12</x:v>
      </x:c>
      <x:c r="C45" s="68" t="str">
        <x:v>六冲</x:v>
      </x:c>
      <x:c r="D45" s="68" t="str">
        <x:v>用于识别干支关系类别；关系存在后须进入效应层判断实际作用。</x:v>
      </x:c>
      <x:c r="E45" s="68" t="str">
        <x:v>关系类型</x:v>
      </x:c>
      <x:c r="F45" s="98" t="n">
        <x:v>12</x:v>
      </x:c>
      <x:c r="G45" s="68" t="str">
        <x:v>是</x:v>
      </x:c>
      <x:c r="H45" s="68" t="str"/>
    </x:row>
    <x:row r="46">
      <x:c r="A46" s="68" t="str">
        <x:v>关系类型</x:v>
      </x:c>
      <x:c r="B46" s="68" t="str">
        <x:v>REL13</x:v>
      </x:c>
      <x:c r="C46" s="68" t="str">
        <x:v>三刑</x:v>
      </x:c>
      <x:c r="D46" s="68" t="str">
        <x:v>用于识别干支关系类别；关系存在后须进入效应层判断实际作用。</x:v>
      </x:c>
      <x:c r="E46" s="68" t="str">
        <x:v>关系类型</x:v>
      </x:c>
      <x:c r="F46" s="98" t="n">
        <x:v>13</x:v>
      </x:c>
      <x:c r="G46" s="68" t="str">
        <x:v>是</x:v>
      </x:c>
      <x:c r="H46" s="68" t="str"/>
    </x:row>
    <x:row r="47">
      <x:c r="A47" s="68" t="str">
        <x:v>关系类型</x:v>
      </x:c>
      <x:c r="B47" s="68" t="str">
        <x:v>REL14</x:v>
      </x:c>
      <x:c r="C47" s="68" t="str">
        <x:v>自刑</x:v>
      </x:c>
      <x:c r="D47" s="68" t="str">
        <x:v>用于识别干支关系类别；关系存在后须进入效应层判断实际作用。</x:v>
      </x:c>
      <x:c r="E47" s="68" t="str">
        <x:v>关系类型</x:v>
      </x:c>
      <x:c r="F47" s="98" t="n">
        <x:v>14</x:v>
      </x:c>
      <x:c r="G47" s="68" t="str">
        <x:v>是</x:v>
      </x:c>
      <x:c r="H47" s="68" t="str"/>
    </x:row>
    <x:row r="48">
      <x:c r="A48" s="68" t="str">
        <x:v>关系类型</x:v>
      </x:c>
      <x:c r="B48" s="68" t="str">
        <x:v>REL15</x:v>
      </x:c>
      <x:c r="C48" s="68" t="str">
        <x:v>六害</x:v>
      </x:c>
      <x:c r="D48" s="68" t="str">
        <x:v>用于识别干支关系类别；关系存在后须进入效应层判断实际作用。</x:v>
      </x:c>
      <x:c r="E48" s="68" t="str">
        <x:v>关系类型</x:v>
      </x:c>
      <x:c r="F48" s="98" t="n">
        <x:v>15</x:v>
      </x:c>
      <x:c r="G48" s="68" t="str">
        <x:v>是</x:v>
      </x:c>
      <x:c r="H48" s="68" t="str"/>
    </x:row>
    <x:row r="49">
      <x:c r="A49" s="68" t="str">
        <x:v>关系类型</x:v>
      </x:c>
      <x:c r="B49" s="68" t="str">
        <x:v>REL16</x:v>
      </x:c>
      <x:c r="C49" s="68" t="str">
        <x:v>六破</x:v>
      </x:c>
      <x:c r="D49" s="68" t="str">
        <x:v>用于识别干支关系类别；关系存在后须进入效应层判断实际作用。</x:v>
      </x:c>
      <x:c r="E49" s="68" t="str">
        <x:v>关系类型</x:v>
      </x:c>
      <x:c r="F49" s="98" t="n">
        <x:v>16</x:v>
      </x:c>
      <x:c r="G49" s="68" t="str">
        <x:v>是</x:v>
      </x:c>
      <x:c r="H49" s="68" t="str"/>
    </x:row>
    <x:row r="50">
      <x:c r="A50" s="68" t="str">
        <x:v>关系类型</x:v>
      </x:c>
      <x:c r="B50" s="68" t="str">
        <x:v>REL17</x:v>
      </x:c>
      <x:c r="C50" s="68" t="str">
        <x:v>其他</x:v>
      </x:c>
      <x:c r="D50" s="68" t="str">
        <x:v>用于识别干支关系类别；关系存在后须进入效应层判断实际作用。</x:v>
      </x:c>
      <x:c r="E50" s="68" t="str">
        <x:v>关系类型</x:v>
      </x:c>
      <x:c r="F50" s="98" t="n">
        <x:v>17</x:v>
      </x:c>
      <x:c r="G50" s="68" t="str">
        <x:v>是</x:v>
      </x:c>
      <x:c r="H50" s="68" t="str"/>
    </x:row>
    <x:row r="51">
      <x:c r="A51" s="68" t="str">
        <x:v>位置关系</x:v>
      </x:c>
      <x:c r="B51" s="68" t="str">
        <x:v>POS01</x:v>
      </x:c>
      <x:c r="C51" s="68" t="str">
        <x:v>同柱</x:v>
      </x:c>
      <x:c r="D51" s="68" t="str">
        <x:v>位置关系的标准选项：同柱。具体成立条件由对应模块规则定义。</x:v>
      </x:c>
      <x:c r="E51" s="68" t="str">
        <x:v>位置关系</x:v>
      </x:c>
      <x:c r="F51" s="98" t="n">
        <x:v>1</x:v>
      </x:c>
      <x:c r="G51" s="68" t="str">
        <x:v>是</x:v>
      </x:c>
      <x:c r="H51" s="68" t="str"/>
    </x:row>
    <x:row r="52">
      <x:c r="A52" s="68" t="str">
        <x:v>位置关系</x:v>
      </x:c>
      <x:c r="B52" s="68" t="str">
        <x:v>POS02</x:v>
      </x:c>
      <x:c r="C52" s="68" t="str">
        <x:v>相邻</x:v>
      </x:c>
      <x:c r="D52" s="68" t="str">
        <x:v>位置关系的标准选项：相邻。具体成立条件由对应模块规则定义。</x:v>
      </x:c>
      <x:c r="E52" s="68" t="str">
        <x:v>位置关系</x:v>
      </x:c>
      <x:c r="F52" s="98" t="n">
        <x:v>2</x:v>
      </x:c>
      <x:c r="G52" s="68" t="str">
        <x:v>是</x:v>
      </x:c>
      <x:c r="H52" s="68" t="str"/>
    </x:row>
    <x:row r="53">
      <x:c r="A53" s="68" t="str">
        <x:v>位置关系</x:v>
      </x:c>
      <x:c r="B53" s="68" t="str">
        <x:v>POS03</x:v>
      </x:c>
      <x:c r="C53" s="68" t="str">
        <x:v>隔位</x:v>
      </x:c>
      <x:c r="D53" s="68" t="str">
        <x:v>位置关系的标准选项：隔位。具体成立条件由对应模块规则定义。</x:v>
      </x:c>
      <x:c r="E53" s="68" t="str">
        <x:v>位置关系</x:v>
      </x:c>
      <x:c r="F53" s="98" t="n">
        <x:v>3</x:v>
      </x:c>
      <x:c r="G53" s="68" t="str">
        <x:v>是</x:v>
      </x:c>
      <x:c r="H53" s="68" t="str"/>
    </x:row>
    <x:row r="54">
      <x:c r="A54" s="68" t="str">
        <x:v>位置关系</x:v>
      </x:c>
      <x:c r="B54" s="68" t="str">
        <x:v>POS04</x:v>
      </x:c>
      <x:c r="C54" s="68" t="str">
        <x:v>遥隔</x:v>
      </x:c>
      <x:c r="D54" s="68" t="str">
        <x:v>位置关系的标准选项：遥隔。具体成立条件由对应模块规则定义。</x:v>
      </x:c>
      <x:c r="E54" s="68" t="str">
        <x:v>位置关系</x:v>
      </x:c>
      <x:c r="F54" s="98" t="n">
        <x:v>4</x:v>
      </x:c>
      <x:c r="G54" s="68" t="str">
        <x:v>是</x:v>
      </x:c>
      <x:c r="H54" s="68" t="str"/>
    </x:row>
    <x:row r="55">
      <x:c r="A55" s="68" t="str">
        <x:v>位置关系</x:v>
      </x:c>
      <x:c r="B55" s="68" t="str">
        <x:v>POS05</x:v>
      </x:c>
      <x:c r="C55" s="68" t="str">
        <x:v>年月</x:v>
      </x:c>
      <x:c r="D55" s="68" t="str">
        <x:v>位置关系的标准选项：年月。具体成立条件由对应模块规则定义。</x:v>
      </x:c>
      <x:c r="E55" s="68" t="str">
        <x:v>位置关系</x:v>
      </x:c>
      <x:c r="F55" s="98" t="n">
        <x:v>5</x:v>
      </x:c>
      <x:c r="G55" s="68" t="str">
        <x:v>是</x:v>
      </x:c>
      <x:c r="H55" s="68" t="str"/>
    </x:row>
    <x:row r="56">
      <x:c r="A56" s="68" t="str">
        <x:v>位置关系</x:v>
      </x:c>
      <x:c r="B56" s="68" t="str">
        <x:v>POS06</x:v>
      </x:c>
      <x:c r="C56" s="68" t="str">
        <x:v>月日</x:v>
      </x:c>
      <x:c r="D56" s="68" t="str">
        <x:v>位置关系的标准选项：月日。具体成立条件由对应模块规则定义。</x:v>
      </x:c>
      <x:c r="E56" s="68" t="str">
        <x:v>位置关系</x:v>
      </x:c>
      <x:c r="F56" s="98" t="n">
        <x:v>6</x:v>
      </x:c>
      <x:c r="G56" s="68" t="str">
        <x:v>是</x:v>
      </x:c>
      <x:c r="H56" s="68" t="str"/>
    </x:row>
    <x:row r="57">
      <x:c r="A57" s="68" t="str">
        <x:v>位置关系</x:v>
      </x:c>
      <x:c r="B57" s="68" t="str">
        <x:v>POS07</x:v>
      </x:c>
      <x:c r="C57" s="68" t="str">
        <x:v>日时</x:v>
      </x:c>
      <x:c r="D57" s="68" t="str">
        <x:v>位置关系的标准选项：日时。具体成立条件由对应模块规则定义。</x:v>
      </x:c>
      <x:c r="E57" s="68" t="str">
        <x:v>位置关系</x:v>
      </x:c>
      <x:c r="F57" s="98" t="n">
        <x:v>7</x:v>
      </x:c>
      <x:c r="G57" s="68" t="str">
        <x:v>是</x:v>
      </x:c>
      <x:c r="H57" s="68" t="str"/>
    </x:row>
    <x:row r="58">
      <x:c r="A58" s="68" t="str">
        <x:v>位置关系</x:v>
      </x:c>
      <x:c r="B58" s="68" t="str">
        <x:v>POS08</x:v>
      </x:c>
      <x:c r="C58" s="68" t="str">
        <x:v>年日</x:v>
      </x:c>
      <x:c r="D58" s="68" t="str">
        <x:v>位置关系的标准选项：年日。具体成立条件由对应模块规则定义。</x:v>
      </x:c>
      <x:c r="E58" s="68" t="str">
        <x:v>位置关系</x:v>
      </x:c>
      <x:c r="F58" s="98" t="n">
        <x:v>8</x:v>
      </x:c>
      <x:c r="G58" s="68" t="str">
        <x:v>是</x:v>
      </x:c>
      <x:c r="H58" s="68" t="str"/>
    </x:row>
    <x:row r="59">
      <x:c r="A59" s="68" t="str">
        <x:v>位置关系</x:v>
      </x:c>
      <x:c r="B59" s="68" t="str">
        <x:v>POS09</x:v>
      </x:c>
      <x:c r="C59" s="68" t="str">
        <x:v>年时</x:v>
      </x:c>
      <x:c r="D59" s="68" t="str">
        <x:v>位置关系的标准选项：年时。具体成立条件由对应模块规则定义。</x:v>
      </x:c>
      <x:c r="E59" s="68" t="str">
        <x:v>位置关系</x:v>
      </x:c>
      <x:c r="F59" s="98" t="n">
        <x:v>9</x:v>
      </x:c>
      <x:c r="G59" s="68" t="str">
        <x:v>是</x:v>
      </x:c>
      <x:c r="H59" s="68" t="str"/>
    </x:row>
    <x:row r="60">
      <x:c r="A60" s="68" t="str">
        <x:v>位置关系</x:v>
      </x:c>
      <x:c r="B60" s="68" t="str">
        <x:v>POS10</x:v>
      </x:c>
      <x:c r="C60" s="68" t="str">
        <x:v>月时</x:v>
      </x:c>
      <x:c r="D60" s="68" t="str">
        <x:v>位置关系的标准选项：月时。具体成立条件由对应模块规则定义。</x:v>
      </x:c>
      <x:c r="E60" s="68" t="str">
        <x:v>位置关系</x:v>
      </x:c>
      <x:c r="F60" s="98" t="n">
        <x:v>10</x:v>
      </x:c>
      <x:c r="G60" s="68" t="str">
        <x:v>是</x:v>
      </x:c>
      <x:c r="H60" s="68" t="str"/>
    </x:row>
    <x:row r="61">
      <x:c r="A61" s="68" t="str">
        <x:v>位置关系</x:v>
      </x:c>
      <x:c r="B61" s="68" t="str">
        <x:v>POS11</x:v>
      </x:c>
      <x:c r="C61" s="68" t="str">
        <x:v>其他</x:v>
      </x:c>
      <x:c r="D61" s="68" t="str">
        <x:v>位置关系的标准选项：其他。具体成立条件由对应模块规则定义。</x:v>
      </x:c>
      <x:c r="E61" s="68" t="str">
        <x:v>位置关系</x:v>
      </x:c>
      <x:c r="F61" s="98" t="n">
        <x:v>11</x:v>
      </x:c>
      <x:c r="G61" s="68" t="str">
        <x:v>是</x:v>
      </x:c>
      <x:c r="H61" s="68" t="str"/>
    </x:row>
    <x:row r="62">
      <x:c r="A62" s="68" t="str">
        <x:v>完整度</x:v>
      </x:c>
      <x:c r="B62" s="68" t="str">
        <x:v>CMP01</x:v>
      </x:c>
      <x:c r="C62" s="68" t="str">
        <x:v>缺失</x:v>
      </x:c>
      <x:c r="D62" s="68" t="str">
        <x:v>完整度的标准选项：缺失。具体成立条件由对应模块规则定义。</x:v>
      </x:c>
      <x:c r="E62" s="68" t="str">
        <x:v>完整度</x:v>
      </x:c>
      <x:c r="F62" s="98" t="n">
        <x:v>1</x:v>
      </x:c>
      <x:c r="G62" s="68" t="str">
        <x:v>是</x:v>
      </x:c>
      <x:c r="H62" s="68" t="str"/>
    </x:row>
    <x:row r="63">
      <x:c r="A63" s="68" t="str">
        <x:v>完整度</x:v>
      </x:c>
      <x:c r="B63" s="68" t="str">
        <x:v>CMP02</x:v>
      </x:c>
      <x:c r="C63" s="68" t="str">
        <x:v>部分</x:v>
      </x:c>
      <x:c r="D63" s="68" t="str">
        <x:v>完整度的标准选项：部分。具体成立条件由对应模块规则定义。</x:v>
      </x:c>
      <x:c r="E63" s="68" t="str">
        <x:v>完整度</x:v>
      </x:c>
      <x:c r="F63" s="98" t="n">
        <x:v>2</x:v>
      </x:c>
      <x:c r="G63" s="68" t="str">
        <x:v>是</x:v>
      </x:c>
      <x:c r="H63" s="68" t="str"/>
    </x:row>
    <x:row r="64">
      <x:c r="A64" s="68" t="str">
        <x:v>完整度</x:v>
      </x:c>
      <x:c r="B64" s="68" t="str">
        <x:v>CMP03</x:v>
      </x:c>
      <x:c r="C64" s="68" t="str">
        <x:v>完整</x:v>
      </x:c>
      <x:c r="D64" s="68" t="str">
        <x:v>完整度的标准选项：完整。具体成立条件由对应模块规则定义。</x:v>
      </x:c>
      <x:c r="E64" s="68" t="str">
        <x:v>完整度</x:v>
      </x:c>
      <x:c r="F64" s="98" t="n">
        <x:v>3</x:v>
      </x:c>
      <x:c r="G64" s="68" t="str">
        <x:v>是</x:v>
      </x:c>
      <x:c r="H64" s="68" t="str"/>
    </x:row>
    <x:row r="65">
      <x:c r="A65" s="68" t="str">
        <x:v>完整度</x:v>
      </x:c>
      <x:c r="B65" s="68" t="str">
        <x:v>CMP04</x:v>
      </x:c>
      <x:c r="C65" s="68" t="str">
        <x:v>岁运补齐</x:v>
      </x:c>
      <x:c r="D65" s="68" t="str">
        <x:v>完整度的标准选项：岁运补齐。具体成立条件由对应模块规则定义。</x:v>
      </x:c>
      <x:c r="E65" s="68" t="str">
        <x:v>完整度</x:v>
      </x:c>
      <x:c r="F65" s="98" t="n">
        <x:v>4</x:v>
      </x:c>
      <x:c r="G65" s="68" t="str">
        <x:v>是</x:v>
      </x:c>
      <x:c r="H65" s="68" t="str"/>
    </x:row>
    <x:row r="66">
      <x:c r="A66" s="68" t="str">
        <x:v>完整度</x:v>
      </x:c>
      <x:c r="B66" s="68" t="str">
        <x:v>CMP05</x:v>
      </x:c>
      <x:c r="C66" s="68" t="str">
        <x:v>待定</x:v>
      </x:c>
      <x:c r="D66" s="68" t="str">
        <x:v>完整度的标准选项：待定。具体成立条件由对应模块规则定义。</x:v>
      </x:c>
      <x:c r="E66" s="68" t="str">
        <x:v>完整度</x:v>
      </x:c>
      <x:c r="F66" s="98" t="n">
        <x:v>5</x:v>
      </x:c>
      <x:c r="G66" s="68" t="str">
        <x:v>是</x:v>
      </x:c>
      <x:c r="H66" s="68" t="str"/>
    </x:row>
    <x:row r="67">
      <x:c r="A67" s="68" t="str">
        <x:v>根气类型</x:v>
      </x:c>
      <x:c r="B67" s="68" t="str">
        <x:v>ROOT01</x:v>
      </x:c>
      <x:c r="C67" s="68" t="str">
        <x:v>本气根</x:v>
      </x:c>
      <x:c r="D67" s="68" t="str">
        <x:v>根气类型的标准选项：本气根。具体成立条件由对应模块规则定义。</x:v>
      </x:c>
      <x:c r="E67" s="68" t="str">
        <x:v>根气类型</x:v>
      </x:c>
      <x:c r="F67" s="98" t="n">
        <x:v>1</x:v>
      </x:c>
      <x:c r="G67" s="68" t="str">
        <x:v>是</x:v>
      </x:c>
      <x:c r="H67" s="68" t="str"/>
    </x:row>
    <x:row r="68">
      <x:c r="A68" s="68" t="str">
        <x:v>根气类型</x:v>
      </x:c>
      <x:c r="B68" s="68" t="str">
        <x:v>ROOT02</x:v>
      </x:c>
      <x:c r="C68" s="68" t="str">
        <x:v>中气根</x:v>
      </x:c>
      <x:c r="D68" s="68" t="str">
        <x:v>根气类型的标准选项：中气根。具体成立条件由对应模块规则定义。</x:v>
      </x:c>
      <x:c r="E68" s="68" t="str">
        <x:v>根气类型</x:v>
      </x:c>
      <x:c r="F68" s="98" t="n">
        <x:v>2</x:v>
      </x:c>
      <x:c r="G68" s="68" t="str">
        <x:v>是</x:v>
      </x:c>
      <x:c r="H68" s="68" t="str"/>
    </x:row>
    <x:row r="69">
      <x:c r="A69" s="68" t="str">
        <x:v>根气类型</x:v>
      </x:c>
      <x:c r="B69" s="68" t="str">
        <x:v>ROOT03</x:v>
      </x:c>
      <x:c r="C69" s="68" t="str">
        <x:v>余气根</x:v>
      </x:c>
      <x:c r="D69" s="68" t="str">
        <x:v>根气类型的标准选项：余气根。具体成立条件由对应模块规则定义。</x:v>
      </x:c>
      <x:c r="E69" s="68" t="str">
        <x:v>根气类型</x:v>
      </x:c>
      <x:c r="F69" s="98" t="n">
        <x:v>3</x:v>
      </x:c>
      <x:c r="G69" s="68" t="str">
        <x:v>是</x:v>
      </x:c>
      <x:c r="H69" s="68" t="str"/>
    </x:row>
    <x:row r="70">
      <x:c r="A70" s="68" t="str">
        <x:v>根气类型</x:v>
      </x:c>
      <x:c r="B70" s="68" t="str">
        <x:v>ROOT04</x:v>
      </x:c>
      <x:c r="C70" s="68" t="str">
        <x:v>库根</x:v>
      </x:c>
      <x:c r="D70" s="68" t="str">
        <x:v>根气类型的标准选项：库根。具体成立条件由对应模块规则定义。</x:v>
      </x:c>
      <x:c r="E70" s="68" t="str">
        <x:v>根气类型</x:v>
      </x:c>
      <x:c r="F70" s="98" t="n">
        <x:v>4</x:v>
      </x:c>
      <x:c r="G70" s="68" t="str">
        <x:v>是</x:v>
      </x:c>
      <x:c r="H70" s="68" t="str"/>
    </x:row>
    <x:row r="71">
      <x:c r="A71" s="68" t="str">
        <x:v>根气类型</x:v>
      </x:c>
      <x:c r="B71" s="68" t="str">
        <x:v>ROOT05</x:v>
      </x:c>
      <x:c r="C71" s="68" t="str">
        <x:v>同类根</x:v>
      </x:c>
      <x:c r="D71" s="68" t="str">
        <x:v>根气类型的标准选项：同类根。具体成立条件由对应模块规则定义。</x:v>
      </x:c>
      <x:c r="E71" s="68" t="str">
        <x:v>根气类型</x:v>
      </x:c>
      <x:c r="F71" s="98" t="n">
        <x:v>5</x:v>
      </x:c>
      <x:c r="G71" s="68" t="str">
        <x:v>是</x:v>
      </x:c>
      <x:c r="H71" s="68" t="str"/>
    </x:row>
    <x:row r="72">
      <x:c r="A72" s="68" t="str">
        <x:v>根气类型</x:v>
      </x:c>
      <x:c r="B72" s="68" t="str">
        <x:v>ROOT06</x:v>
      </x:c>
      <x:c r="C72" s="68" t="str">
        <x:v>无根</x:v>
      </x:c>
      <x:c r="D72" s="68" t="str">
        <x:v>根气类型的标准选项：无根。具体成立条件由对应模块规则定义。</x:v>
      </x:c>
      <x:c r="E72" s="68" t="str">
        <x:v>根气类型</x:v>
      </x:c>
      <x:c r="F72" s="98" t="n">
        <x:v>6</x:v>
      </x:c>
      <x:c r="G72" s="68" t="str">
        <x:v>是</x:v>
      </x:c>
      <x:c r="H72" s="68" t="str"/>
    </x:row>
    <x:row r="73">
      <x:c r="A73" s="68" t="str">
        <x:v>根气类型</x:v>
      </x:c>
      <x:c r="B73" s="68" t="str">
        <x:v>ROOT07</x:v>
      </x:c>
      <x:c r="C73" s="68" t="str">
        <x:v>其他</x:v>
      </x:c>
      <x:c r="D73" s="68" t="str">
        <x:v>根气类型的标准选项：其他。具体成立条件由对应模块规则定义。</x:v>
      </x:c>
      <x:c r="E73" s="68" t="str">
        <x:v>根气类型</x:v>
      </x:c>
      <x:c r="F73" s="98" t="n">
        <x:v>7</x:v>
      </x:c>
      <x:c r="G73" s="68" t="str">
        <x:v>是</x:v>
      </x:c>
      <x:c r="H73" s="68" t="str"/>
    </x:row>
    <x:row r="74">
      <x:c r="A74" s="68" t="str">
        <x:v>根气等级</x:v>
      </x:c>
      <x:c r="B74" s="68" t="str">
        <x:v>RG01</x:v>
      </x:c>
      <x:c r="C74" s="68" t="str">
        <x:v>无根</x:v>
      </x:c>
      <x:c r="D74" s="68" t="str">
        <x:v>根气等级的标准选项：无根。具体成立条件由对应模块规则定义。</x:v>
      </x:c>
      <x:c r="E74" s="68" t="str">
        <x:v>根气等级</x:v>
      </x:c>
      <x:c r="F74" s="98" t="n">
        <x:v>1</x:v>
      </x:c>
      <x:c r="G74" s="68" t="str">
        <x:v>是</x:v>
      </x:c>
      <x:c r="H74" s="68" t="str"/>
    </x:row>
    <x:row r="75">
      <x:c r="A75" s="68" t="str">
        <x:v>根气等级</x:v>
      </x:c>
      <x:c r="B75" s="68" t="str">
        <x:v>RG02</x:v>
      </x:c>
      <x:c r="C75" s="68" t="str">
        <x:v>微根</x:v>
      </x:c>
      <x:c r="D75" s="68" t="str">
        <x:v>根气等级的标准选项：微根。具体成立条件由对应模块规则定义。</x:v>
      </x:c>
      <x:c r="E75" s="68" t="str">
        <x:v>根气等级</x:v>
      </x:c>
      <x:c r="F75" s="98" t="n">
        <x:v>2</x:v>
      </x:c>
      <x:c r="G75" s="68" t="str">
        <x:v>是</x:v>
      </x:c>
      <x:c r="H75" s="68" t="str"/>
    </x:row>
    <x:row r="76">
      <x:c r="A76" s="68" t="str">
        <x:v>根气等级</x:v>
      </x:c>
      <x:c r="B76" s="68" t="str">
        <x:v>RG03</x:v>
      </x:c>
      <x:c r="C76" s="68" t="str">
        <x:v>弱根</x:v>
      </x:c>
      <x:c r="D76" s="68" t="str">
        <x:v>根气等级的标准选项：弱根。具体成立条件由对应模块规则定义。</x:v>
      </x:c>
      <x:c r="E76" s="68" t="str">
        <x:v>根气等级</x:v>
      </x:c>
      <x:c r="F76" s="98" t="n">
        <x:v>3</x:v>
      </x:c>
      <x:c r="G76" s="68" t="str">
        <x:v>是</x:v>
      </x:c>
      <x:c r="H76" s="68" t="str"/>
    </x:row>
    <x:row r="77">
      <x:c r="A77" s="68" t="str">
        <x:v>根气等级</x:v>
      </x:c>
      <x:c r="B77" s="68" t="str">
        <x:v>RG04</x:v>
      </x:c>
      <x:c r="C77" s="68" t="str">
        <x:v>中根</x:v>
      </x:c>
      <x:c r="D77" s="68" t="str">
        <x:v>根气等级的标准选项：中根。具体成立条件由对应模块规则定义。</x:v>
      </x:c>
      <x:c r="E77" s="68" t="str">
        <x:v>根气等级</x:v>
      </x:c>
      <x:c r="F77" s="98" t="n">
        <x:v>4</x:v>
      </x:c>
      <x:c r="G77" s="68" t="str">
        <x:v>是</x:v>
      </x:c>
      <x:c r="H77" s="68" t="str"/>
    </x:row>
    <x:row r="78">
      <x:c r="A78" s="68" t="str">
        <x:v>根气等级</x:v>
      </x:c>
      <x:c r="B78" s="68" t="str">
        <x:v>RG05</x:v>
      </x:c>
      <x:c r="C78" s="68" t="str">
        <x:v>强根</x:v>
      </x:c>
      <x:c r="D78" s="68" t="str">
        <x:v>根气等级的标准选项：强根。具体成立条件由对应模块规则定义。</x:v>
      </x:c>
      <x:c r="E78" s="68" t="str">
        <x:v>根气等级</x:v>
      </x:c>
      <x:c r="F78" s="98" t="n">
        <x:v>5</x:v>
      </x:c>
      <x:c r="G78" s="68" t="str">
        <x:v>是</x:v>
      </x:c>
      <x:c r="H78" s="68" t="str"/>
    </x:row>
    <x:row r="79">
      <x:c r="A79" s="68" t="str">
        <x:v>根气等级</x:v>
      </x:c>
      <x:c r="B79" s="68" t="str">
        <x:v>RG06</x:v>
      </x:c>
      <x:c r="C79" s="68" t="str">
        <x:v>多重强根</x:v>
      </x:c>
      <x:c r="D79" s="68" t="str">
        <x:v>根气等级的标准选项：多重强根。具体成立条件由对应模块规则定义。</x:v>
      </x:c>
      <x:c r="E79" s="68" t="str">
        <x:v>根气等级</x:v>
      </x:c>
      <x:c r="F79" s="98" t="n">
        <x:v>6</x:v>
      </x:c>
      <x:c r="G79" s="68" t="str">
        <x:v>是</x:v>
      </x:c>
      <x:c r="H79" s="68" t="str"/>
    </x:row>
    <x:row r="80">
      <x:c r="A80" s="68" t="str">
        <x:v>根气等级</x:v>
      </x:c>
      <x:c r="B80" s="68" t="str">
        <x:v>RG07</x:v>
      </x:c>
      <x:c r="C80" s="68" t="str">
        <x:v>待定</x:v>
      </x:c>
      <x:c r="D80" s="68" t="str">
        <x:v>根气等级的标准选项：待定。具体成立条件由对应模块规则定义。</x:v>
      </x:c>
      <x:c r="E80" s="68" t="str">
        <x:v>根气等级</x:v>
      </x:c>
      <x:c r="F80" s="98" t="n">
        <x:v>7</x:v>
      </x:c>
      <x:c r="G80" s="68" t="str">
        <x:v>是</x:v>
      </x:c>
      <x:c r="H80" s="68" t="str"/>
    </x:row>
    <x:row r="81">
      <x:c r="A81" s="68" t="str">
        <x:v>作用类型</x:v>
      </x:c>
      <x:c r="B81" s="68" t="str">
        <x:v>ACT01</x:v>
      </x:c>
      <x:c r="C81" s="68" t="str">
        <x:v>生</x:v>
      </x:c>
      <x:c r="D81" s="68" t="str">
        <x:v>描述关系或药神的具体作用机制，必须同时记录作用对象和成立条件。</x:v>
      </x:c>
      <x:c r="E81" s="68" t="str">
        <x:v>作用类型、效应类型</x:v>
      </x:c>
      <x:c r="F81" s="98" t="n">
        <x:v>1</x:v>
      </x:c>
      <x:c r="G81" s="68" t="str">
        <x:v>是</x:v>
      </x:c>
      <x:c r="H81" s="68" t="str"/>
    </x:row>
    <x:row r="82">
      <x:c r="A82" s="68" t="str">
        <x:v>作用类型</x:v>
      </x:c>
      <x:c r="B82" s="68" t="str">
        <x:v>ACT02</x:v>
      </x:c>
      <x:c r="C82" s="68" t="str">
        <x:v>克</x:v>
      </x:c>
      <x:c r="D82" s="68" t="str">
        <x:v>描述关系或药神的具体作用机制，必须同时记录作用对象和成立条件。</x:v>
      </x:c>
      <x:c r="E82" s="68" t="str">
        <x:v>作用类型、效应类型</x:v>
      </x:c>
      <x:c r="F82" s="98" t="n">
        <x:v>2</x:v>
      </x:c>
      <x:c r="G82" s="68" t="str">
        <x:v>是</x:v>
      </x:c>
      <x:c r="H82" s="68" t="str"/>
    </x:row>
    <x:row r="83">
      <x:c r="A83" s="68" t="str">
        <x:v>作用类型</x:v>
      </x:c>
      <x:c r="B83" s="68" t="str">
        <x:v>ACT03</x:v>
      </x:c>
      <x:c r="C83" s="68" t="str">
        <x:v>制</x:v>
      </x:c>
      <x:c r="D83" s="68" t="str">
        <x:v>描述关系或药神的具体作用机制，必须同时记录作用对象和成立条件。</x:v>
      </x:c>
      <x:c r="E83" s="68" t="str">
        <x:v>作用类型、效应类型</x:v>
      </x:c>
      <x:c r="F83" s="98" t="n">
        <x:v>3</x:v>
      </x:c>
      <x:c r="G83" s="68" t="str">
        <x:v>是</x:v>
      </x:c>
      <x:c r="H83" s="68" t="str"/>
    </x:row>
    <x:row r="84">
      <x:c r="A84" s="68" t="str">
        <x:v>作用类型</x:v>
      </x:c>
      <x:c r="B84" s="68" t="str">
        <x:v>ACT04</x:v>
      </x:c>
      <x:c r="C84" s="68" t="str">
        <x:v>化</x:v>
      </x:c>
      <x:c r="D84" s="68" t="str">
        <x:v>描述关系或药神的具体作用机制，必须同时记录作用对象和成立条件。</x:v>
      </x:c>
      <x:c r="E84" s="68" t="str">
        <x:v>作用类型、效应类型</x:v>
      </x:c>
      <x:c r="F84" s="98" t="n">
        <x:v>4</x:v>
      </x:c>
      <x:c r="G84" s="68" t="str">
        <x:v>是</x:v>
      </x:c>
      <x:c r="H84" s="68" t="str"/>
    </x:row>
    <x:row r="85">
      <x:c r="A85" s="68" t="str">
        <x:v>作用类型</x:v>
      </x:c>
      <x:c r="B85" s="68" t="str">
        <x:v>ACT05</x:v>
      </x:c>
      <x:c r="C85" s="68" t="str">
        <x:v>泄</x:v>
      </x:c>
      <x:c r="D85" s="68" t="str">
        <x:v>描述关系或药神的具体作用机制，必须同时记录作用对象和成立条件。</x:v>
      </x:c>
      <x:c r="E85" s="68" t="str">
        <x:v>作用类型、效应类型</x:v>
      </x:c>
      <x:c r="F85" s="98" t="n">
        <x:v>5</x:v>
      </x:c>
      <x:c r="G85" s="68" t="str">
        <x:v>是</x:v>
      </x:c>
      <x:c r="H85" s="68" t="str"/>
    </x:row>
    <x:row r="86">
      <x:c r="A86" s="68" t="str">
        <x:v>作用类型</x:v>
      </x:c>
      <x:c r="B86" s="68" t="str">
        <x:v>ACT06</x:v>
      </x:c>
      <x:c r="C86" s="68" t="str">
        <x:v>耗</x:v>
      </x:c>
      <x:c r="D86" s="68" t="str">
        <x:v>描述关系或药神的具体作用机制，必须同时记录作用对象和成立条件。</x:v>
      </x:c>
      <x:c r="E86" s="68" t="str">
        <x:v>作用类型、效应类型</x:v>
      </x:c>
      <x:c r="F86" s="98" t="n">
        <x:v>6</x:v>
      </x:c>
      <x:c r="G86" s="68" t="str">
        <x:v>是</x:v>
      </x:c>
      <x:c r="H86" s="68" t="str"/>
    </x:row>
    <x:row r="87">
      <x:c r="A87" s="68" t="str">
        <x:v>作用类型</x:v>
      </x:c>
      <x:c r="B87" s="68" t="str">
        <x:v>ACT07</x:v>
      </x:c>
      <x:c r="C87" s="68" t="str">
        <x:v>合绊</x:v>
      </x:c>
      <x:c r="D87" s="68" t="str">
        <x:v>描述关系或药神的具体作用机制，必须同时记录作用对象和成立条件。</x:v>
      </x:c>
      <x:c r="E87" s="68" t="str">
        <x:v>作用类型、效应类型</x:v>
      </x:c>
      <x:c r="F87" s="98" t="n">
        <x:v>7</x:v>
      </x:c>
      <x:c r="G87" s="68" t="str">
        <x:v>是</x:v>
      </x:c>
      <x:c r="H87" s="68" t="str"/>
    </x:row>
    <x:row r="88">
      <x:c r="A88" s="68" t="str">
        <x:v>作用类型</x:v>
      </x:c>
      <x:c r="B88" s="68" t="str">
        <x:v>ACT08</x:v>
      </x:c>
      <x:c r="C88" s="68" t="str">
        <x:v>合住</x:v>
      </x:c>
      <x:c r="D88" s="68" t="str">
        <x:v>描述关系或药神的具体作用机制，必须同时记录作用对象和成立条件。</x:v>
      </x:c>
      <x:c r="E88" s="68" t="str">
        <x:v>作用类型、效应类型</x:v>
      </x:c>
      <x:c r="F88" s="98" t="n">
        <x:v>8</x:v>
      </x:c>
      <x:c r="G88" s="68" t="str">
        <x:v>是</x:v>
      </x:c>
      <x:c r="H88" s="68" t="str"/>
    </x:row>
    <x:row r="89">
      <x:c r="A89" s="68" t="str">
        <x:v>作用类型</x:v>
      </x:c>
      <x:c r="B89" s="68" t="str">
        <x:v>ACT09</x:v>
      </x:c>
      <x:c r="C89" s="68" t="str">
        <x:v>合动</x:v>
      </x:c>
      <x:c r="D89" s="68" t="str">
        <x:v>描述关系或药神的具体作用机制，必须同时记录作用对象和成立条件。</x:v>
      </x:c>
      <x:c r="E89" s="68" t="str">
        <x:v>作用类型、效应类型</x:v>
      </x:c>
      <x:c r="F89" s="98" t="n">
        <x:v>9</x:v>
      </x:c>
      <x:c r="G89" s="68" t="str">
        <x:v>是</x:v>
      </x:c>
      <x:c r="H89" s="68" t="str"/>
    </x:row>
    <x:row r="90">
      <x:c r="A90" s="68" t="str">
        <x:v>作用类型</x:v>
      </x:c>
      <x:c r="B90" s="68" t="str">
        <x:v>ACT10</x:v>
      </x:c>
      <x:c r="C90" s="68" t="str">
        <x:v>合化</x:v>
      </x:c>
      <x:c r="D90" s="68" t="str">
        <x:v>描述关系或药神的具体作用机制，必须同时记录作用对象和成立条件。</x:v>
      </x:c>
      <x:c r="E90" s="68" t="str">
        <x:v>作用类型、效应类型</x:v>
      </x:c>
      <x:c r="F90" s="98" t="n">
        <x:v>10</x:v>
      </x:c>
      <x:c r="G90" s="68" t="str">
        <x:v>是</x:v>
      </x:c>
      <x:c r="H90" s="68" t="str"/>
    </x:row>
    <x:row r="91">
      <x:c r="A91" s="68" t="str">
        <x:v>作用类型</x:v>
      </x:c>
      <x:c r="B91" s="68" t="str">
        <x:v>ACT11</x:v>
      </x:c>
      <x:c r="C91" s="68" t="str">
        <x:v>冲动</x:v>
      </x:c>
      <x:c r="D91" s="68" t="str">
        <x:v>描述关系或药神的具体作用机制，必须同时记录作用对象和成立条件。</x:v>
      </x:c>
      <x:c r="E91" s="68" t="str">
        <x:v>作用类型、效应类型</x:v>
      </x:c>
      <x:c r="F91" s="98" t="n">
        <x:v>11</x:v>
      </x:c>
      <x:c r="G91" s="68" t="str">
        <x:v>是</x:v>
      </x:c>
      <x:c r="H91" s="68" t="str"/>
    </x:row>
    <x:row r="92">
      <x:c r="A92" s="68" t="str">
        <x:v>作用类型</x:v>
      </x:c>
      <x:c r="B92" s="68" t="str">
        <x:v>ACT12</x:v>
      </x:c>
      <x:c r="C92" s="68" t="str">
        <x:v>冲散</x:v>
      </x:c>
      <x:c r="D92" s="68" t="str">
        <x:v>描述关系或药神的具体作用机制，必须同时记录作用对象和成立条件。</x:v>
      </x:c>
      <x:c r="E92" s="68" t="str">
        <x:v>作用类型、效应类型</x:v>
      </x:c>
      <x:c r="F92" s="98" t="n">
        <x:v>12</x:v>
      </x:c>
      <x:c r="G92" s="68" t="str">
        <x:v>是</x:v>
      </x:c>
      <x:c r="H92" s="68" t="str"/>
    </x:row>
    <x:row r="93">
      <x:c r="A93" s="68" t="str">
        <x:v>作用类型</x:v>
      </x:c>
      <x:c r="B93" s="68" t="str">
        <x:v>ACT13</x:v>
      </x:c>
      <x:c r="C93" s="68" t="str">
        <x:v>冲开</x:v>
      </x:c>
      <x:c r="D93" s="68" t="str">
        <x:v>描述关系或药神的具体作用机制，必须同时记录作用对象和成立条件。</x:v>
      </x:c>
      <x:c r="E93" s="68" t="str">
        <x:v>作用类型、效应类型</x:v>
      </x:c>
      <x:c r="F93" s="98" t="n">
        <x:v>13</x:v>
      </x:c>
      <x:c r="G93" s="68" t="str">
        <x:v>是</x:v>
      </x:c>
      <x:c r="H93" s="68" t="str"/>
    </x:row>
    <x:row r="94">
      <x:c r="A94" s="68" t="str">
        <x:v>作用类型</x:v>
      </x:c>
      <x:c r="B94" s="68" t="str">
        <x:v>ACT14</x:v>
      </x:c>
      <x:c r="C94" s="68" t="str">
        <x:v>冲旺</x:v>
      </x:c>
      <x:c r="D94" s="68" t="str">
        <x:v>描述关系或药神的具体作用机制，必须同时记录作用对象和成立条件。</x:v>
      </x:c>
      <x:c r="E94" s="68" t="str">
        <x:v>作用类型、效应类型</x:v>
      </x:c>
      <x:c r="F94" s="98" t="n">
        <x:v>14</x:v>
      </x:c>
      <x:c r="G94" s="68" t="str">
        <x:v>是</x:v>
      </x:c>
      <x:c r="H94" s="68" t="str"/>
    </x:row>
    <x:row r="95">
      <x:c r="A95" s="68" t="str">
        <x:v>作用类型</x:v>
      </x:c>
      <x:c r="B95" s="68" t="str">
        <x:v>ACT15</x:v>
      </x:c>
      <x:c r="C95" s="68" t="str">
        <x:v>冲弱</x:v>
      </x:c>
      <x:c r="D95" s="68" t="str">
        <x:v>描述关系或药神的具体作用机制，必须同时记录作用对象和成立条件。</x:v>
      </x:c>
      <x:c r="E95" s="68" t="str">
        <x:v>作用类型、效应类型</x:v>
      </x:c>
      <x:c r="F95" s="98" t="n">
        <x:v>15</x:v>
      </x:c>
      <x:c r="G95" s="68" t="str">
        <x:v>是</x:v>
      </x:c>
      <x:c r="H95" s="68" t="str"/>
    </x:row>
    <x:row r="96">
      <x:c r="A96" s="68" t="str">
        <x:v>作用类型</x:v>
      </x:c>
      <x:c r="B96" s="68" t="str">
        <x:v>ACT16</x:v>
      </x:c>
      <x:c r="C96" s="68" t="str">
        <x:v>冲去</x:v>
      </x:c>
      <x:c r="D96" s="68" t="str">
        <x:v>描述关系或药神的具体作用机制，必须同时记录作用对象和成立条件。</x:v>
      </x:c>
      <x:c r="E96" s="68" t="str">
        <x:v>作用类型、效应类型</x:v>
      </x:c>
      <x:c r="F96" s="98" t="n">
        <x:v>16</x:v>
      </x:c>
      <x:c r="G96" s="68" t="str">
        <x:v>是</x:v>
      </x:c>
      <x:c r="H96" s="68" t="str"/>
    </x:row>
    <x:row r="97">
      <x:c r="A97" s="68" t="str">
        <x:v>作用类型</x:v>
      </x:c>
      <x:c r="B97" s="68" t="str">
        <x:v>ACT17</x:v>
      </x:c>
      <x:c r="C97" s="68" t="str">
        <x:v>刑动</x:v>
      </x:c>
      <x:c r="D97" s="68" t="str">
        <x:v>描述关系或药神的具体作用机制，必须同时记录作用对象和成立条件。</x:v>
      </x:c>
      <x:c r="E97" s="68" t="str">
        <x:v>作用类型、效应类型</x:v>
      </x:c>
      <x:c r="F97" s="98" t="n">
        <x:v>17</x:v>
      </x:c>
      <x:c r="G97" s="68" t="str">
        <x:v>是</x:v>
      </x:c>
      <x:c r="H97" s="68" t="str"/>
    </x:row>
    <x:row r="98">
      <x:c r="A98" s="68" t="str">
        <x:v>作用类型</x:v>
      </x:c>
      <x:c r="B98" s="68" t="str">
        <x:v>ACT18</x:v>
      </x:c>
      <x:c r="C98" s="68" t="str">
        <x:v>刑伤</x:v>
      </x:c>
      <x:c r="D98" s="68" t="str">
        <x:v>描述关系或药神的具体作用机制，必须同时记录作用对象和成立条件。</x:v>
      </x:c>
      <x:c r="E98" s="68" t="str">
        <x:v>作用类型、效应类型</x:v>
      </x:c>
      <x:c r="F98" s="98" t="n">
        <x:v>18</x:v>
      </x:c>
      <x:c r="G98" s="68" t="str">
        <x:v>是</x:v>
      </x:c>
      <x:c r="H98" s="68" t="str"/>
    </x:row>
    <x:row r="99">
      <x:c r="A99" s="68" t="str">
        <x:v>作用类型</x:v>
      </x:c>
      <x:c r="B99" s="68" t="str">
        <x:v>ACT19</x:v>
      </x:c>
      <x:c r="C99" s="68" t="str">
        <x:v>激活</x:v>
      </x:c>
      <x:c r="D99" s="68" t="str">
        <x:v>描述关系或药神的具体作用机制，必须同时记录作用对象和成立条件。</x:v>
      </x:c>
      <x:c r="E99" s="68" t="str">
        <x:v>作用类型、效应类型</x:v>
      </x:c>
      <x:c r="F99" s="98" t="n">
        <x:v>19</x:v>
      </x:c>
      <x:c r="G99" s="68" t="str">
        <x:v>是</x:v>
      </x:c>
      <x:c r="H99" s="68" t="str"/>
    </x:row>
    <x:row r="100">
      <x:c r="A100" s="68" t="str">
        <x:v>作用类型</x:v>
      </x:c>
      <x:c r="B100" s="68" t="str">
        <x:v>ACT20</x:v>
      </x:c>
      <x:c r="C100" s="68" t="str">
        <x:v>破坏根气</x:v>
      </x:c>
      <x:c r="D100" s="68" t="str">
        <x:v>描述关系或药神的具体作用机制，必须同时记录作用对象和成立条件。</x:v>
      </x:c>
      <x:c r="E100" s="68" t="str">
        <x:v>作用类型、效应类型</x:v>
      </x:c>
      <x:c r="F100" s="98" t="n">
        <x:v>20</x:v>
      </x:c>
      <x:c r="G100" s="68" t="str">
        <x:v>是</x:v>
      </x:c>
      <x:c r="H100" s="68" t="str"/>
    </x:row>
    <x:row r="101">
      <x:c r="A101" s="68" t="str">
        <x:v>作用类型</x:v>
      </x:c>
      <x:c r="B101" s="68" t="str">
        <x:v>ACT21</x:v>
      </x:c>
      <x:c r="C101" s="68" t="str">
        <x:v>引动藏干</x:v>
      </x:c>
      <x:c r="D101" s="68" t="str">
        <x:v>描述关系或药神的具体作用机制，必须同时记录作用对象和成立条件。</x:v>
      </x:c>
      <x:c r="E101" s="68" t="str">
        <x:v>作用类型、效应类型</x:v>
      </x:c>
      <x:c r="F101" s="98" t="n">
        <x:v>21</x:v>
      </x:c>
      <x:c r="G101" s="68" t="str">
        <x:v>是</x:v>
      </x:c>
      <x:c r="H101" s="68" t="str"/>
    </x:row>
    <x:row r="102">
      <x:c r="A102" s="68" t="str">
        <x:v>作用类型</x:v>
      </x:c>
      <x:c r="B102" s="68" t="str">
        <x:v>ACT22</x:v>
      </x:c>
      <x:c r="C102" s="68" t="str">
        <x:v>开库</x:v>
      </x:c>
      <x:c r="D102" s="68" t="str">
        <x:v>描述关系或药神的具体作用机制，必须同时记录作用对象和成立条件。</x:v>
      </x:c>
      <x:c r="E102" s="68" t="str">
        <x:v>作用类型、效应类型</x:v>
      </x:c>
      <x:c r="F102" s="98" t="n">
        <x:v>22</x:v>
      </x:c>
      <x:c r="G102" s="68" t="str">
        <x:v>是</x:v>
      </x:c>
      <x:c r="H102" s="68" t="str"/>
    </x:row>
    <x:row r="103">
      <x:c r="A103" s="68" t="str">
        <x:v>作用类型</x:v>
      </x:c>
      <x:c r="B103" s="68" t="str">
        <x:v>ACT23</x:v>
      </x:c>
      <x:c r="C103" s="68" t="str">
        <x:v>通关</x:v>
      </x:c>
      <x:c r="D103" s="68" t="str">
        <x:v>描述关系或药神的具体作用机制，必须同时记录作用对象和成立条件。</x:v>
      </x:c>
      <x:c r="E103" s="68" t="str">
        <x:v>作用类型、效应类型</x:v>
      </x:c>
      <x:c r="F103" s="98" t="n">
        <x:v>23</x:v>
      </x:c>
      <x:c r="G103" s="68" t="str">
        <x:v>是</x:v>
      </x:c>
      <x:c r="H103" s="68" t="str"/>
    </x:row>
    <x:row r="104">
      <x:c r="A104" s="68" t="str">
        <x:v>作用类型</x:v>
      </x:c>
      <x:c r="B104" s="68" t="str">
        <x:v>ACT24</x:v>
      </x:c>
      <x:c r="C104" s="68" t="str">
        <x:v>阻断</x:v>
      </x:c>
      <x:c r="D104" s="68" t="str">
        <x:v>描述关系或药神的具体作用机制，必须同时记录作用对象和成立条件。</x:v>
      </x:c>
      <x:c r="E104" s="68" t="str">
        <x:v>作用类型、效应类型</x:v>
      </x:c>
      <x:c r="F104" s="98" t="n">
        <x:v>24</x:v>
      </x:c>
      <x:c r="G104" s="68" t="str">
        <x:v>是</x:v>
      </x:c>
      <x:c r="H104" s="68" t="str"/>
    </x:row>
    <x:row r="105">
      <x:c r="A105" s="68" t="str">
        <x:v>作用类型</x:v>
      </x:c>
      <x:c r="B105" s="68" t="str">
        <x:v>ACT25</x:v>
      </x:c>
      <x:c r="C105" s="68" t="str">
        <x:v>润</x:v>
      </x:c>
      <x:c r="D105" s="68" t="str">
        <x:v>描述关系或药神的具体作用机制，必须同时记录作用对象和成立条件。</x:v>
      </x:c>
      <x:c r="E105" s="68" t="str">
        <x:v>作用类型、效应类型</x:v>
      </x:c>
      <x:c r="F105" s="98" t="n">
        <x:v>25</x:v>
      </x:c>
      <x:c r="G105" s="68" t="str">
        <x:v>是</x:v>
      </x:c>
      <x:c r="H105" s="68" t="str"/>
    </x:row>
    <x:row r="106">
      <x:c r="A106" s="68" t="str">
        <x:v>作用类型</x:v>
      </x:c>
      <x:c r="B106" s="68" t="str">
        <x:v>ACT26</x:v>
      </x:c>
      <x:c r="C106" s="68" t="str">
        <x:v>暖</x:v>
      </x:c>
      <x:c r="D106" s="68" t="str">
        <x:v>描述关系或药神的具体作用机制，必须同时记录作用对象和成立条件。</x:v>
      </x:c>
      <x:c r="E106" s="68" t="str">
        <x:v>作用类型、效应类型</x:v>
      </x:c>
      <x:c r="F106" s="98" t="n">
        <x:v>26</x:v>
      </x:c>
      <x:c r="G106" s="68" t="str">
        <x:v>是</x:v>
      </x:c>
      <x:c r="H106" s="68" t="str"/>
    </x:row>
    <x:row r="107">
      <x:c r="A107" s="68" t="str">
        <x:v>作用类型</x:v>
      </x:c>
      <x:c r="B107" s="68" t="str">
        <x:v>ACT27</x:v>
      </x:c>
      <x:c r="C107" s="68" t="str">
        <x:v>燥湿</x:v>
      </x:c>
      <x:c r="D107" s="68" t="str">
        <x:v>描述关系或药神的具体作用机制，必须同时记录作用对象和成立条件。</x:v>
      </x:c>
      <x:c r="E107" s="68" t="str">
        <x:v>作用类型、效应类型</x:v>
      </x:c>
      <x:c r="F107" s="98" t="n">
        <x:v>27</x:v>
      </x:c>
      <x:c r="G107" s="68" t="str">
        <x:v>是</x:v>
      </x:c>
      <x:c r="H107" s="68" t="str"/>
    </x:row>
    <x:row r="108">
      <x:c r="A108" s="68" t="str">
        <x:v>作用类型</x:v>
      </x:c>
      <x:c r="B108" s="68" t="str">
        <x:v>ACT28</x:v>
      </x:c>
      <x:c r="C108" s="68" t="str">
        <x:v>清杂</x:v>
      </x:c>
      <x:c r="D108" s="68" t="str">
        <x:v>描述关系或药神的具体作用机制，必须同时记录作用对象和成立条件。</x:v>
      </x:c>
      <x:c r="E108" s="68" t="str">
        <x:v>作用类型、效应类型</x:v>
      </x:c>
      <x:c r="F108" s="98" t="n">
        <x:v>28</x:v>
      </x:c>
      <x:c r="G108" s="68" t="str">
        <x:v>是</x:v>
      </x:c>
      <x:c r="H108" s="68" t="str"/>
    </x:row>
    <x:row r="109">
      <x:c r="A109" s="68" t="str">
        <x:v>作用类型</x:v>
      </x:c>
      <x:c r="B109" s="68" t="str">
        <x:v>ACT29</x:v>
      </x:c>
      <x:c r="C109" s="68" t="str">
        <x:v>护格</x:v>
      </x:c>
      <x:c r="D109" s="68" t="str">
        <x:v>描述关系或药神的具体作用机制，必须同时记录作用对象和成立条件。</x:v>
      </x:c>
      <x:c r="E109" s="68" t="str">
        <x:v>作用类型、效应类型</x:v>
      </x:c>
      <x:c r="F109" s="98" t="n">
        <x:v>29</x:v>
      </x:c>
      <x:c r="G109" s="68" t="str">
        <x:v>是</x:v>
      </x:c>
      <x:c r="H109" s="68" t="str"/>
    </x:row>
    <x:row r="110">
      <x:c r="A110" s="68" t="str">
        <x:v>作用类型</x:v>
      </x:c>
      <x:c r="B110" s="68" t="str">
        <x:v>ACT30</x:v>
      </x:c>
      <x:c r="C110" s="68" t="str">
        <x:v>救应</x:v>
      </x:c>
      <x:c r="D110" s="68" t="str">
        <x:v>描述关系或药神的具体作用机制，必须同时记录作用对象和成立条件。</x:v>
      </x:c>
      <x:c r="E110" s="68" t="str">
        <x:v>作用类型、效应类型</x:v>
      </x:c>
      <x:c r="F110" s="98" t="n">
        <x:v>30</x:v>
      </x:c>
      <x:c r="G110" s="68" t="str">
        <x:v>是</x:v>
      </x:c>
      <x:c r="H110" s="68" t="str"/>
    </x:row>
    <x:row r="111">
      <x:c r="A111" s="68" t="str">
        <x:v>作用类型</x:v>
      </x:c>
      <x:c r="B111" s="68" t="str">
        <x:v>ACT31</x:v>
      </x:c>
      <x:c r="C111" s="68" t="str">
        <x:v>其他</x:v>
      </x:c>
      <x:c r="D111" s="68" t="str">
        <x:v>描述关系或药神的具体作用机制，必须同时记录作用对象和成立条件。</x:v>
      </x:c>
      <x:c r="E111" s="68" t="str">
        <x:v>作用类型、效应类型</x:v>
      </x:c>
      <x:c r="F111" s="98" t="n">
        <x:v>31</x:v>
      </x:c>
      <x:c r="G111" s="68" t="str">
        <x:v>是</x:v>
      </x:c>
      <x:c r="H111" s="68" t="str"/>
    </x:row>
    <x:row r="112">
      <x:c r="A112" s="68" t="str">
        <x:v>作用方向</x:v>
      </x:c>
      <x:c r="B112" s="68" t="str">
        <x:v>DIR01</x:v>
      </x:c>
      <x:c r="C112" s="68" t="str">
        <x:v>增强</x:v>
      </x:c>
      <x:c r="D112" s="68" t="str">
        <x:v>描述力量或功能被增强、减弱、转化、激活或阻断的方向。</x:v>
      </x:c>
      <x:c r="E112" s="68" t="str">
        <x:v>作用方向</x:v>
      </x:c>
      <x:c r="F112" s="98" t="n">
        <x:v>1</x:v>
      </x:c>
      <x:c r="G112" s="68" t="str">
        <x:v>是</x:v>
      </x:c>
      <x:c r="H112" s="68" t="str"/>
    </x:row>
    <x:row r="113">
      <x:c r="A113" s="68" t="str">
        <x:v>作用方向</x:v>
      </x:c>
      <x:c r="B113" s="68" t="str">
        <x:v>DIR02</x:v>
      </x:c>
      <x:c r="C113" s="68" t="str">
        <x:v>减弱</x:v>
      </x:c>
      <x:c r="D113" s="68" t="str">
        <x:v>描述力量或功能被增强、减弱、转化、激活或阻断的方向。</x:v>
      </x:c>
      <x:c r="E113" s="68" t="str">
        <x:v>作用方向</x:v>
      </x:c>
      <x:c r="F113" s="98" t="n">
        <x:v>2</x:v>
      </x:c>
      <x:c r="G113" s="68" t="str">
        <x:v>是</x:v>
      </x:c>
      <x:c r="H113" s="68" t="str"/>
    </x:row>
    <x:row r="114">
      <x:c r="A114" s="68" t="str">
        <x:v>作用方向</x:v>
      </x:c>
      <x:c r="B114" s="68" t="str">
        <x:v>DIR03</x:v>
      </x:c>
      <x:c r="C114" s="68" t="str">
        <x:v>转化</x:v>
      </x:c>
      <x:c r="D114" s="68" t="str">
        <x:v>描述力量或功能被增强、减弱、转化、激活或阻断的方向。</x:v>
      </x:c>
      <x:c r="E114" s="68" t="str">
        <x:v>作用方向</x:v>
      </x:c>
      <x:c r="F114" s="98" t="n">
        <x:v>3</x:v>
      </x:c>
      <x:c r="G114" s="68" t="str">
        <x:v>是</x:v>
      </x:c>
      <x:c r="H114" s="68" t="str"/>
    </x:row>
    <x:row r="115">
      <x:c r="A115" s="68" t="str">
        <x:v>作用方向</x:v>
      </x:c>
      <x:c r="B115" s="68" t="str">
        <x:v>DIR04</x:v>
      </x:c>
      <x:c r="C115" s="68" t="str">
        <x:v>冻结</x:v>
      </x:c>
      <x:c r="D115" s="68" t="str">
        <x:v>描述力量或功能被增强、减弱、转化、激活或阻断的方向。</x:v>
      </x:c>
      <x:c r="E115" s="68" t="str">
        <x:v>作用方向</x:v>
      </x:c>
      <x:c r="F115" s="98" t="n">
        <x:v>4</x:v>
      </x:c>
      <x:c r="G115" s="68" t="str">
        <x:v>是</x:v>
      </x:c>
      <x:c r="H115" s="68" t="str"/>
    </x:row>
    <x:row r="116">
      <x:c r="A116" s="68" t="str">
        <x:v>作用方向</x:v>
      </x:c>
      <x:c r="B116" s="68" t="str">
        <x:v>DIR05</x:v>
      </x:c>
      <x:c r="C116" s="68" t="str">
        <x:v>激活</x:v>
      </x:c>
      <x:c r="D116" s="68" t="str">
        <x:v>描述力量或功能被增强、减弱、转化、激活或阻断的方向。</x:v>
      </x:c>
      <x:c r="E116" s="68" t="str">
        <x:v>作用方向</x:v>
      </x:c>
      <x:c r="F116" s="98" t="n">
        <x:v>5</x:v>
      </x:c>
      <x:c r="G116" s="68" t="str">
        <x:v>是</x:v>
      </x:c>
      <x:c r="H116" s="68" t="str"/>
    </x:row>
    <x:row r="117">
      <x:c r="A117" s="68" t="str">
        <x:v>作用方向</x:v>
      </x:c>
      <x:c r="B117" s="68" t="str">
        <x:v>DIR06</x:v>
      </x:c>
      <x:c r="C117" s="68" t="str">
        <x:v>阻断</x:v>
      </x:c>
      <x:c r="D117" s="68" t="str">
        <x:v>描述力量或功能被增强、减弱、转化、激活或阻断的方向。</x:v>
      </x:c>
      <x:c r="E117" s="68" t="str">
        <x:v>作用方向</x:v>
      </x:c>
      <x:c r="F117" s="98" t="n">
        <x:v>6</x:v>
      </x:c>
      <x:c r="G117" s="68" t="str">
        <x:v>是</x:v>
      </x:c>
      <x:c r="H117" s="68" t="str"/>
    </x:row>
    <x:row r="118">
      <x:c r="A118" s="68" t="str">
        <x:v>作用方向</x:v>
      </x:c>
      <x:c r="B118" s="68" t="str">
        <x:v>DIR07</x:v>
      </x:c>
      <x:c r="C118" s="68" t="str">
        <x:v>不变</x:v>
      </x:c>
      <x:c r="D118" s="68" t="str">
        <x:v>描述力量或功能被增强、减弱、转化、激活或阻断的方向。</x:v>
      </x:c>
      <x:c r="E118" s="68" t="str">
        <x:v>作用方向</x:v>
      </x:c>
      <x:c r="F118" s="98" t="n">
        <x:v>7</x:v>
      </x:c>
      <x:c r="G118" s="68" t="str">
        <x:v>是</x:v>
      </x:c>
      <x:c r="H118" s="68" t="str"/>
    </x:row>
    <x:row r="119">
      <x:c r="A119" s="68" t="str">
        <x:v>作用方向</x:v>
      </x:c>
      <x:c r="B119" s="68" t="str">
        <x:v>DIR08</x:v>
      </x:c>
      <x:c r="C119" s="68" t="str">
        <x:v>条件性</x:v>
      </x:c>
      <x:c r="D119" s="68" t="str">
        <x:v>描述力量或功能被增强、减弱、转化、激活或阻断的方向。</x:v>
      </x:c>
      <x:c r="E119" s="68" t="str">
        <x:v>作用方向</x:v>
      </x:c>
      <x:c r="F119" s="98" t="n">
        <x:v>8</x:v>
      </x:c>
      <x:c r="G119" s="68" t="str">
        <x:v>是</x:v>
      </x:c>
      <x:c r="H119" s="68" t="str"/>
    </x:row>
    <x:row r="120">
      <x:c r="A120" s="68" t="str">
        <x:v>作用方向</x:v>
      </x:c>
      <x:c r="B120" s="68" t="str">
        <x:v>DIR09</x:v>
      </x:c>
      <x:c r="C120" s="68" t="str">
        <x:v>待定</x:v>
      </x:c>
      <x:c r="D120" s="68" t="str">
        <x:v>描述力量或功能被增强、减弱、转化、激活或阻断的方向。</x:v>
      </x:c>
      <x:c r="E120" s="68" t="str">
        <x:v>作用方向</x:v>
      </x:c>
      <x:c r="F120" s="98" t="n">
        <x:v>9</x:v>
      </x:c>
      <x:c r="G120" s="68" t="str">
        <x:v>是</x:v>
      </x:c>
      <x:c r="H120" s="68" t="str"/>
    </x:row>
    <x:row r="121">
      <x:c r="A121" s="68" t="str">
        <x:v>作用等级</x:v>
      </x:c>
      <x:c r="B121" s="68" t="str">
        <x:v>EFF01</x:v>
      </x:c>
      <x:c r="C121" s="68" t="str">
        <x:v>弱</x:v>
      </x:c>
      <x:c r="D121" s="68" t="str">
        <x:v>描述作用强度，必须由月令、根气、透干、路径与叠加关系支持。</x:v>
      </x:c>
      <x:c r="E121" s="68" t="str">
        <x:v>作用等级</x:v>
      </x:c>
      <x:c r="F121" s="98" t="n">
        <x:v>1</x:v>
      </x:c>
      <x:c r="G121" s="68" t="str">
        <x:v>是</x:v>
      </x:c>
      <x:c r="H121" s="68" t="str"/>
    </x:row>
    <x:row r="122">
      <x:c r="A122" s="68" t="str">
        <x:v>作用等级</x:v>
      </x:c>
      <x:c r="B122" s="68" t="str">
        <x:v>EFF02</x:v>
      </x:c>
      <x:c r="C122" s="68" t="str">
        <x:v>中</x:v>
      </x:c>
      <x:c r="D122" s="68" t="str">
        <x:v>描述作用强度，必须由月令、根气、透干、路径与叠加关系支持。</x:v>
      </x:c>
      <x:c r="E122" s="68" t="str">
        <x:v>作用等级</x:v>
      </x:c>
      <x:c r="F122" s="98" t="n">
        <x:v>2</x:v>
      </x:c>
      <x:c r="G122" s="68" t="str">
        <x:v>是</x:v>
      </x:c>
      <x:c r="H122" s="68" t="str"/>
    </x:row>
    <x:row r="123">
      <x:c r="A123" s="68" t="str">
        <x:v>作用等级</x:v>
      </x:c>
      <x:c r="B123" s="68" t="str">
        <x:v>EFF03</x:v>
      </x:c>
      <x:c r="C123" s="68" t="str">
        <x:v>强</x:v>
      </x:c>
      <x:c r="D123" s="68" t="str">
        <x:v>描述作用强度，必须由月令、根气、透干、路径与叠加关系支持。</x:v>
      </x:c>
      <x:c r="E123" s="68" t="str">
        <x:v>作用等级</x:v>
      </x:c>
      <x:c r="F123" s="98" t="n">
        <x:v>3</x:v>
      </x:c>
      <x:c r="G123" s="68" t="str">
        <x:v>是</x:v>
      </x:c>
      <x:c r="H123" s="68" t="str"/>
    </x:row>
    <x:row r="124">
      <x:c r="A124" s="68" t="str">
        <x:v>作用等级</x:v>
      </x:c>
      <x:c r="B124" s="68" t="str">
        <x:v>EFF04</x:v>
      </x:c>
      <x:c r="C124" s="68" t="str">
        <x:v>决定性</x:v>
      </x:c>
      <x:c r="D124" s="68" t="str">
        <x:v>描述作用强度，必须由月令、根气、透干、路径与叠加关系支持。</x:v>
      </x:c>
      <x:c r="E124" s="68" t="str">
        <x:v>作用等级</x:v>
      </x:c>
      <x:c r="F124" s="98" t="n">
        <x:v>4</x:v>
      </x:c>
      <x:c r="G124" s="68" t="str">
        <x:v>是</x:v>
      </x:c>
      <x:c r="H124" s="68" t="str"/>
    </x:row>
    <x:row r="125">
      <x:c r="A125" s="68" t="str">
        <x:v>作用等级</x:v>
      </x:c>
      <x:c r="B125" s="68" t="str">
        <x:v>EFF05</x:v>
      </x:c>
      <x:c r="C125" s="68" t="str">
        <x:v>待定</x:v>
      </x:c>
      <x:c r="D125" s="68" t="str">
        <x:v>描述作用强度，必须由月令、根气、透干、路径与叠加关系支持。</x:v>
      </x:c>
      <x:c r="E125" s="68" t="str">
        <x:v>作用等级</x:v>
      </x:c>
      <x:c r="F125" s="98" t="n">
        <x:v>5</x:v>
      </x:c>
      <x:c r="G125" s="68" t="str">
        <x:v>是</x:v>
      </x:c>
      <x:c r="H125" s="68" t="str"/>
    </x:row>
    <x:row r="126">
      <x:c r="A126" s="68" t="str">
        <x:v>优先级</x:v>
      </x:c>
      <x:c r="B126" s="68" t="str">
        <x:v>P0</x:v>
      </x:c>
      <x:c r="C126" s="68" t="str">
        <x:v>P0_硬约束</x:v>
      </x:c>
      <x:c r="D126" s="68" t="str">
        <x:v>用于规则冲突时的顺序控制；P0为硬约束，其余为证据优先度。</x:v>
      </x:c>
      <x:c r="E126" s="68" t="str">
        <x:v>优先级</x:v>
      </x:c>
      <x:c r="F126" s="98" t="n">
        <x:v>1</x:v>
      </x:c>
      <x:c r="G126" s="68" t="str">
        <x:v>是</x:v>
      </x:c>
      <x:c r="H126" s="68" t="str"/>
    </x:row>
    <x:row r="127">
      <x:c r="A127" s="68" t="str">
        <x:v>优先级</x:v>
      </x:c>
      <x:c r="B127" s="68" t="str">
        <x:v>P1</x:v>
      </x:c>
      <x:c r="C127" s="68" t="str">
        <x:v>P1_高</x:v>
      </x:c>
      <x:c r="D127" s="68" t="str">
        <x:v>用于规则冲突时的顺序控制；P0为硬约束，其余为证据优先度。</x:v>
      </x:c>
      <x:c r="E127" s="68" t="str">
        <x:v>优先级</x:v>
      </x:c>
      <x:c r="F127" s="98" t="n">
        <x:v>2</x:v>
      </x:c>
      <x:c r="G127" s="68" t="str">
        <x:v>是</x:v>
      </x:c>
      <x:c r="H127" s="68" t="str"/>
    </x:row>
    <x:row r="128">
      <x:c r="A128" s="68" t="str">
        <x:v>优先级</x:v>
      </x:c>
      <x:c r="B128" s="68" t="str">
        <x:v>P2</x:v>
      </x:c>
      <x:c r="C128" s="68" t="str">
        <x:v>P2_中</x:v>
      </x:c>
      <x:c r="D128" s="68" t="str">
        <x:v>用于规则冲突时的顺序控制；P0为硬约束，其余为证据优先度。</x:v>
      </x:c>
      <x:c r="E128" s="68" t="str">
        <x:v>优先级</x:v>
      </x:c>
      <x:c r="F128" s="98" t="n">
        <x:v>3</x:v>
      </x:c>
      <x:c r="G128" s="68" t="str">
        <x:v>是</x:v>
      </x:c>
      <x:c r="H128" s="68" t="str"/>
    </x:row>
    <x:row r="129">
      <x:c r="A129" s="68" t="str">
        <x:v>优先级</x:v>
      </x:c>
      <x:c r="B129" s="68" t="str">
        <x:v>P3</x:v>
      </x:c>
      <x:c r="C129" s="68" t="str">
        <x:v>P3_低</x:v>
      </x:c>
      <x:c r="D129" s="68" t="str">
        <x:v>用于规则冲突时的顺序控制；P0为硬约束，其余为证据优先度。</x:v>
      </x:c>
      <x:c r="E129" s="68" t="str">
        <x:v>优先级</x:v>
      </x:c>
      <x:c r="F129" s="98" t="n">
        <x:v>4</x:v>
      </x:c>
      <x:c r="G129" s="68" t="str">
        <x:v>是</x:v>
      </x:c>
      <x:c r="H129" s="68" t="str"/>
    </x:row>
    <x:row r="130">
      <x:c r="A130" s="68" t="str">
        <x:v>规则性质</x:v>
      </x:c>
      <x:c r="B130" s="68" t="str">
        <x:v>RTP01</x:v>
      </x:c>
      <x:c r="C130" s="68" t="str">
        <x:v>硬约束</x:v>
      </x:c>
      <x:c r="D130" s="68" t="str">
        <x:v>成立时必须满足；违反即不能接受对应结论。</x:v>
      </x:c>
      <x:c r="E130" s="68" t="str">
        <x:v>规则性质</x:v>
      </x:c>
      <x:c r="F130" s="98" t="n">
        <x:v>1</x:v>
      </x:c>
      <x:c r="G130" s="68" t="str">
        <x:v>是</x:v>
      </x:c>
      <x:c r="H130" s="68" t="str"/>
    </x:row>
    <x:row r="131">
      <x:c r="A131" s="68" t="str">
        <x:v>规则性质</x:v>
      </x:c>
      <x:c r="B131" s="68" t="str">
        <x:v>RTP02</x:v>
      </x:c>
      <x:c r="C131" s="68" t="str">
        <x:v>软约束</x:v>
      </x:c>
      <x:c r="D131" s="68" t="str">
        <x:v>提供倾向性判断，需要与其他证据共同使用。</x:v>
      </x:c>
      <x:c r="E131" s="68" t="str">
        <x:v>规则性质</x:v>
      </x:c>
      <x:c r="F131" s="98" t="n">
        <x:v>2</x:v>
      </x:c>
      <x:c r="G131" s="68" t="str">
        <x:v>是</x:v>
      </x:c>
      <x:c r="H131" s="68" t="str"/>
    </x:row>
    <x:row r="132">
      <x:c r="A132" s="68" t="str">
        <x:v>规则性质</x:v>
      </x:c>
      <x:c r="B132" s="68" t="str">
        <x:v>RTP03</x:v>
      </x:c>
      <x:c r="C132" s="68" t="str">
        <x:v>辅助证据</x:v>
      </x:c>
      <x:c r="D132" s="68" t="str">
        <x:v>仅增加或削弱候选结论置信度，不能单独定性。</x:v>
      </x:c>
      <x:c r="E132" s="68" t="str">
        <x:v>规则性质</x:v>
      </x:c>
      <x:c r="F132" s="98" t="n">
        <x:v>3</x:v>
      </x:c>
      <x:c r="G132" s="68" t="str">
        <x:v>是</x:v>
      </x:c>
      <x:c r="H132" s="68" t="str"/>
    </x:row>
    <x:row r="133">
      <x:c r="A133" s="68" t="str">
        <x:v>规则性质</x:v>
      </x:c>
      <x:c r="B133" s="68" t="str">
        <x:v>RTP04</x:v>
      </x:c>
      <x:c r="C133" s="68" t="str">
        <x:v>否决规则</x:v>
      </x:c>
      <x:c r="D133" s="68" t="str">
        <x:v>出现即推翻某一候选结论或迫使其降级。</x:v>
      </x:c>
      <x:c r="E133" s="68" t="str">
        <x:v>规则性质</x:v>
      </x:c>
      <x:c r="F133" s="98" t="n">
        <x:v>4</x:v>
      </x:c>
      <x:c r="G133" s="68" t="str">
        <x:v>是</x:v>
      </x:c>
      <x:c r="H133" s="68" t="str"/>
    </x:row>
    <x:row r="134">
      <x:c r="A134" s="68" t="str">
        <x:v>规则性质</x:v>
      </x:c>
      <x:c r="B134" s="68" t="str">
        <x:v>RTP05</x:v>
      </x:c>
      <x:c r="C134" s="68" t="str">
        <x:v>例外规则</x:v>
      </x:c>
      <x:c r="D134" s="68" t="str">
        <x:v>在特定边界情境下修正一般规则。</x:v>
      </x:c>
      <x:c r="E134" s="68" t="str">
        <x:v>规则性质</x:v>
      </x:c>
      <x:c r="F134" s="98" t="n">
        <x:v>5</x:v>
      </x:c>
      <x:c r="G134" s="68" t="str">
        <x:v>是</x:v>
      </x:c>
      <x:c r="H134" s="68" t="str"/>
    </x:row>
    <x:row r="135">
      <x:c r="A135" s="68" t="str">
        <x:v>置信等级</x:v>
      </x:c>
      <x:c r="B135" s="68" t="str">
        <x:v>CONF01</x:v>
      </x:c>
      <x:c r="C135" s="68" t="str">
        <x:v>确定</x:v>
      </x:c>
      <x:c r="D135" s="68" t="str">
        <x:v>客观映射或充分条件明确，反证空间很小。</x:v>
      </x:c>
      <x:c r="E135" s="68" t="str">
        <x:v>置信等级</x:v>
      </x:c>
      <x:c r="F135" s="98" t="n">
        <x:v>1</x:v>
      </x:c>
      <x:c r="G135" s="68" t="str">
        <x:v>是</x:v>
      </x:c>
      <x:c r="H135" s="68" t="str"/>
    </x:row>
    <x:row r="136">
      <x:c r="A136" s="68" t="str">
        <x:v>置信等级</x:v>
      </x:c>
      <x:c r="B136" s="68" t="str">
        <x:v>CONF02</x:v>
      </x:c>
      <x:c r="C136" s="68" t="str">
        <x:v>较高</x:v>
      </x:c>
      <x:c r="D136" s="68" t="str">
        <x:v>主要证据一致，存在少量边界或流派差异。</x:v>
      </x:c>
      <x:c r="E136" s="68" t="str">
        <x:v>置信等级</x:v>
      </x:c>
      <x:c r="F136" s="98" t="n">
        <x:v>2</x:v>
      </x:c>
      <x:c r="G136" s="68" t="str">
        <x:v>是</x:v>
      </x:c>
      <x:c r="H136" s="68" t="str"/>
    </x:row>
    <x:row r="137">
      <x:c r="A137" s="68" t="str">
        <x:v>置信等级</x:v>
      </x:c>
      <x:c r="B137" s="68" t="str">
        <x:v>CONF03</x:v>
      </x:c>
      <x:c r="C137" s="68" t="str">
        <x:v>中等</x:v>
      </x:c>
      <x:c r="D137" s="68" t="str">
        <x:v>证据有冲突或依赖尚未完全验证，需要保留条件。</x:v>
      </x:c>
      <x:c r="E137" s="68" t="str">
        <x:v>置信等级</x:v>
      </x:c>
      <x:c r="F137" s="98" t="n">
        <x:v>3</x:v>
      </x:c>
      <x:c r="G137" s="68" t="str">
        <x:v>是</x:v>
      </x:c>
      <x:c r="H137" s="68" t="str"/>
    </x:row>
    <x:row r="138">
      <x:c r="A138" s="68" t="str">
        <x:v>置信等级</x:v>
      </x:c>
      <x:c r="B138" s="68" t="str">
        <x:v>CONF04</x:v>
      </x:c>
      <x:c r="C138" s="68" t="str">
        <x:v>低</x:v>
      </x:c>
      <x:c r="D138" s="68" t="str">
        <x:v>证据不足、边界较大或只可作为探索性判断。</x:v>
      </x:c>
      <x:c r="E138" s="68" t="str">
        <x:v>置信等级</x:v>
      </x:c>
      <x:c r="F138" s="98" t="n">
        <x:v>4</x:v>
      </x:c>
      <x:c r="G138" s="68" t="str">
        <x:v>是</x:v>
      </x:c>
      <x:c r="H138" s="68" t="str"/>
    </x:row>
    <x:row r="139">
      <x:c r="A139" s="68" t="str">
        <x:v>置信等级</x:v>
      </x:c>
      <x:c r="B139" s="68" t="str">
        <x:v>CONF05</x:v>
      </x:c>
      <x:c r="C139" s="68" t="str">
        <x:v>待验证</x:v>
      </x:c>
      <x:c r="D139" s="68" t="str">
        <x:v>尚未通过文献、案例或回归测试。</x:v>
      </x:c>
      <x:c r="E139" s="68" t="str">
        <x:v>置信等级</x:v>
      </x:c>
      <x:c r="F139" s="98" t="n">
        <x:v>5</x:v>
      </x:c>
      <x:c r="G139" s="68" t="str">
        <x:v>是</x:v>
      </x:c>
      <x:c r="H139" s="68" t="str"/>
    </x:row>
    <x:row r="140">
      <x:c r="A140" s="68" t="str">
        <x:v>流派标签</x:v>
      </x:c>
      <x:c r="B140" s="68" t="str">
        <x:v>SCH01</x:v>
      </x:c>
      <x:c r="C140" s="68" t="str">
        <x:v>子平格局</x:v>
      </x:c>
      <x:c r="D140" s="68" t="str">
        <x:v>标记规则的理论来源或适用体系，发生分歧时转入M21治理。</x:v>
      </x:c>
      <x:c r="E140" s="68" t="str">
        <x:v>流派标签</x:v>
      </x:c>
      <x:c r="F140" s="98" t="n">
        <x:v>1</x:v>
      </x:c>
      <x:c r="G140" s="68" t="str">
        <x:v>是</x:v>
      </x:c>
      <x:c r="H140" s="68" t="str"/>
    </x:row>
    <x:row r="141">
      <x:c r="A141" s="68" t="str">
        <x:v>流派标签</x:v>
      </x:c>
      <x:c r="B141" s="68" t="str">
        <x:v>SCH02</x:v>
      </x:c>
      <x:c r="C141" s="68" t="str">
        <x:v>旺衰扶抑</x:v>
      </x:c>
      <x:c r="D141" s="68" t="str">
        <x:v>标记规则的理论来源或适用体系，发生分歧时转入M21治理。</x:v>
      </x:c>
      <x:c r="E141" s="68" t="str">
        <x:v>流派标签</x:v>
      </x:c>
      <x:c r="F141" s="98" t="n">
        <x:v>2</x:v>
      </x:c>
      <x:c r="G141" s="68" t="str">
        <x:v>是</x:v>
      </x:c>
      <x:c r="H141" s="68" t="str"/>
    </x:row>
    <x:row r="142">
      <x:c r="A142" s="68" t="str">
        <x:v>流派标签</x:v>
      </x:c>
      <x:c r="B142" s="68" t="str">
        <x:v>SCH03</x:v>
      </x:c>
      <x:c r="C142" s="68" t="str">
        <x:v>调候</x:v>
      </x:c>
      <x:c r="D142" s="68" t="str">
        <x:v>标记规则的理论来源或适用体系，发生分歧时转入M21治理。</x:v>
      </x:c>
      <x:c r="E142" s="68" t="str">
        <x:v>流派标签</x:v>
      </x:c>
      <x:c r="F142" s="98" t="n">
        <x:v>3</x:v>
      </x:c>
      <x:c r="G142" s="68" t="str">
        <x:v>是</x:v>
      </x:c>
      <x:c r="H142" s="68" t="str"/>
    </x:row>
    <x:row r="143">
      <x:c r="A143" s="68" t="str">
        <x:v>流派标签</x:v>
      </x:c>
      <x:c r="B143" s="68" t="str">
        <x:v>SCH04</x:v>
      </x:c>
      <x:c r="C143" s="68" t="str">
        <x:v>病药</x:v>
      </x:c>
      <x:c r="D143" s="68" t="str">
        <x:v>标记规则的理论来源或适用体系，发生分歧时转入M21治理。</x:v>
      </x:c>
      <x:c r="E143" s="68" t="str">
        <x:v>流派标签</x:v>
      </x:c>
      <x:c r="F143" s="98" t="n">
        <x:v>4</x:v>
      </x:c>
      <x:c r="G143" s="68" t="str">
        <x:v>是</x:v>
      </x:c>
      <x:c r="H143" s="68" t="str"/>
    </x:row>
    <x:row r="144">
      <x:c r="A144" s="68" t="str">
        <x:v>流派标签</x:v>
      </x:c>
      <x:c r="B144" s="68" t="str">
        <x:v>SCH05</x:v>
      </x:c>
      <x:c r="C144" s="68" t="str">
        <x:v>盲派象法</x:v>
      </x:c>
      <x:c r="D144" s="68" t="str">
        <x:v>标记规则的理论来源或适用体系，发生分歧时转入M21治理。</x:v>
      </x:c>
      <x:c r="E144" s="68" t="str">
        <x:v>流派标签</x:v>
      </x:c>
      <x:c r="F144" s="98" t="n">
        <x:v>5</x:v>
      </x:c>
      <x:c r="G144" s="68" t="str">
        <x:v>是</x:v>
      </x:c>
      <x:c r="H144" s="68" t="str"/>
    </x:row>
    <x:row r="145">
      <x:c r="A145" s="68" t="str">
        <x:v>流派标签</x:v>
      </x:c>
      <x:c r="B145" s="68" t="str">
        <x:v>SCH06</x:v>
      </x:c>
      <x:c r="C145" s="68" t="str">
        <x:v>现代综合</x:v>
      </x:c>
      <x:c r="D145" s="68" t="str">
        <x:v>标记规则的理论来源或适用体系，发生分歧时转入M21治理。</x:v>
      </x:c>
      <x:c r="E145" s="68" t="str">
        <x:v>流派标签</x:v>
      </x:c>
      <x:c r="F145" s="98" t="n">
        <x:v>6</x:v>
      </x:c>
      <x:c r="G145" s="68" t="str">
        <x:v>是</x:v>
      </x:c>
      <x:c r="H145" s="68" t="str"/>
    </x:row>
    <x:row r="146">
      <x:c r="A146" s="68" t="str">
        <x:v>流派标签</x:v>
      </x:c>
      <x:c r="B146" s="68" t="str">
        <x:v>SCH07</x:v>
      </x:c>
      <x:c r="C146" s="68" t="str">
        <x:v>跨流派共识</x:v>
      </x:c>
      <x:c r="D146" s="68" t="str">
        <x:v>标记规则的理论来源或适用体系，发生分歧时转入M21治理。</x:v>
      </x:c>
      <x:c r="E146" s="68" t="str">
        <x:v>流派标签</x:v>
      </x:c>
      <x:c r="F146" s="98" t="n">
        <x:v>7</x:v>
      </x:c>
      <x:c r="G146" s="68" t="str">
        <x:v>是</x:v>
      </x:c>
      <x:c r="H146" s="68" t="str"/>
    </x:row>
    <x:row r="147">
      <x:c r="A147" s="68" t="str">
        <x:v>流派标签</x:v>
      </x:c>
      <x:c r="B147" s="68" t="str">
        <x:v>SCH08</x:v>
      </x:c>
      <x:c r="C147" s="68" t="str">
        <x:v>待定</x:v>
      </x:c>
      <x:c r="D147" s="68" t="str">
        <x:v>标记规则的理论来源或适用体系，发生分歧时转入M21治理。</x:v>
      </x:c>
      <x:c r="E147" s="68" t="str">
        <x:v>流派标签</x:v>
      </x:c>
      <x:c r="F147" s="98" t="n">
        <x:v>8</x:v>
      </x:c>
      <x:c r="G147" s="68" t="str">
        <x:v>是</x:v>
      </x:c>
      <x:c r="H147" s="68" t="str"/>
    </x:row>
    <x:row r="148">
      <x:c r="A148" s="68" t="str">
        <x:v>规则状态</x:v>
      </x:c>
      <x:c r="B148" s="68" t="str">
        <x:v>RST01</x:v>
      </x:c>
      <x:c r="C148" s="68" t="str">
        <x:v>草稿</x:v>
      </x:c>
      <x:c r="D148" s="68" t="str">
        <x:v>标记规则在知识库生命周期中的采用与验证状态。</x:v>
      </x:c>
      <x:c r="E148" s="68" t="str">
        <x:v>规则状态</x:v>
      </x:c>
      <x:c r="F148" s="98" t="n">
        <x:v>1</x:v>
      </x:c>
      <x:c r="G148" s="68" t="str">
        <x:v>是</x:v>
      </x:c>
      <x:c r="H148" s="68" t="str"/>
    </x:row>
    <x:row r="149">
      <x:c r="A149" s="68" t="str">
        <x:v>规则状态</x:v>
      </x:c>
      <x:c r="B149" s="68" t="str">
        <x:v>RST02</x:v>
      </x:c>
      <x:c r="C149" s="68" t="str">
        <x:v>待验证</x:v>
      </x:c>
      <x:c r="D149" s="68" t="str">
        <x:v>标记规则在知识库生命周期中的采用与验证状态。</x:v>
      </x:c>
      <x:c r="E149" s="68" t="str">
        <x:v>规则状态</x:v>
      </x:c>
      <x:c r="F149" s="98" t="n">
        <x:v>2</x:v>
      </x:c>
      <x:c r="G149" s="68" t="str">
        <x:v>是</x:v>
      </x:c>
      <x:c r="H149" s="68" t="str"/>
    </x:row>
    <x:row r="150">
      <x:c r="A150" s="68" t="str">
        <x:v>规则状态</x:v>
      </x:c>
      <x:c r="B150" s="68" t="str">
        <x:v>RST03</x:v>
      </x:c>
      <x:c r="C150" s="68" t="str">
        <x:v>已验证</x:v>
      </x:c>
      <x:c r="D150" s="68" t="str">
        <x:v>标记规则在知识库生命周期中的采用与验证状态。</x:v>
      </x:c>
      <x:c r="E150" s="68" t="str">
        <x:v>规则状态</x:v>
      </x:c>
      <x:c r="F150" s="98" t="n">
        <x:v>3</x:v>
      </x:c>
      <x:c r="G150" s="68" t="str">
        <x:v>是</x:v>
      </x:c>
      <x:c r="H150" s="68" t="str"/>
    </x:row>
    <x:row r="151">
      <x:c r="A151" s="68" t="str">
        <x:v>规则状态</x:v>
      </x:c>
      <x:c r="B151" s="68" t="str">
        <x:v>RST04</x:v>
      </x:c>
      <x:c r="C151" s="68" t="str">
        <x:v>采用</x:v>
      </x:c>
      <x:c r="D151" s="68" t="str">
        <x:v>标记规则在知识库生命周期中的采用与验证状态。</x:v>
      </x:c>
      <x:c r="E151" s="68" t="str">
        <x:v>规则状态</x:v>
      </x:c>
      <x:c r="F151" s="98" t="n">
        <x:v>4</x:v>
      </x:c>
      <x:c r="G151" s="68" t="str">
        <x:v>是</x:v>
      </x:c>
      <x:c r="H151" s="68" t="str"/>
    </x:row>
    <x:row r="152">
      <x:c r="A152" s="68" t="str">
        <x:v>规则状态</x:v>
      </x:c>
      <x:c r="B152" s="68" t="str">
        <x:v>RST05</x:v>
      </x:c>
      <x:c r="C152" s="68" t="str">
        <x:v>停用</x:v>
      </x:c>
      <x:c r="D152" s="68" t="str">
        <x:v>标记规则在知识库生命周期中的采用与验证状态。</x:v>
      </x:c>
      <x:c r="E152" s="68" t="str">
        <x:v>规则状态</x:v>
      </x:c>
      <x:c r="F152" s="98" t="n">
        <x:v>5</x:v>
      </x:c>
      <x:c r="G152" s="68" t="str">
        <x:v>是</x:v>
      </x:c>
      <x:c r="H152" s="68" t="str"/>
    </x:row>
    <x:row r="153">
      <x:c r="A153" s="68" t="str">
        <x:v>规则状态</x:v>
      </x:c>
      <x:c r="B153" s="68" t="str">
        <x:v>RST06</x:v>
      </x:c>
      <x:c r="C153" s="68" t="str">
        <x:v>示例</x:v>
      </x:c>
      <x:c r="D153" s="68" t="str">
        <x:v>标记规则在知识库生命周期中的采用与验证状态。</x:v>
      </x:c>
      <x:c r="E153" s="68" t="str">
        <x:v>规则状态</x:v>
      </x:c>
      <x:c r="F153" s="98" t="n">
        <x:v>6</x:v>
      </x:c>
      <x:c r="G153" s="68" t="str">
        <x:v>是</x:v>
      </x:c>
      <x:c r="H153" s="68" t="str"/>
    </x:row>
    <x:row r="154">
      <x:c r="A154" s="68" t="str">
        <x:v>审核状态</x:v>
      </x:c>
      <x:c r="B154" s="68" t="str">
        <x:v>REV01</x:v>
      </x:c>
      <x:c r="C154" s="68" t="str">
        <x:v>未审核</x:v>
      </x:c>
      <x:c r="D154" s="68" t="str">
        <x:v>标记规则是否完成初审、复审与正式通过。</x:v>
      </x:c>
      <x:c r="E154" s="68" t="str">
        <x:v>审核状态</x:v>
      </x:c>
      <x:c r="F154" s="98" t="n">
        <x:v>1</x:v>
      </x:c>
      <x:c r="G154" s="68" t="str">
        <x:v>是</x:v>
      </x:c>
      <x:c r="H154" s="68" t="str"/>
    </x:row>
    <x:row r="155">
      <x:c r="A155" s="68" t="str">
        <x:v>审核状态</x:v>
      </x:c>
      <x:c r="B155" s="68" t="str">
        <x:v>REV02</x:v>
      </x:c>
      <x:c r="C155" s="68" t="str">
        <x:v>初审</x:v>
      </x:c>
      <x:c r="D155" s="68" t="str">
        <x:v>标记规则是否完成初审、复审与正式通过。</x:v>
      </x:c>
      <x:c r="E155" s="68" t="str">
        <x:v>审核状态</x:v>
      </x:c>
      <x:c r="F155" s="98" t="n">
        <x:v>2</x:v>
      </x:c>
      <x:c r="G155" s="68" t="str">
        <x:v>是</x:v>
      </x:c>
      <x:c r="H155" s="68" t="str"/>
    </x:row>
    <x:row r="156">
      <x:c r="A156" s="68" t="str">
        <x:v>审核状态</x:v>
      </x:c>
      <x:c r="B156" s="68" t="str">
        <x:v>REV03</x:v>
      </x:c>
      <x:c r="C156" s="68" t="str">
        <x:v>复审</x:v>
      </x:c>
      <x:c r="D156" s="68" t="str">
        <x:v>标记规则是否完成初审、复审与正式通过。</x:v>
      </x:c>
      <x:c r="E156" s="68" t="str">
        <x:v>审核状态</x:v>
      </x:c>
      <x:c r="F156" s="98" t="n">
        <x:v>3</x:v>
      </x:c>
      <x:c r="G156" s="68" t="str">
        <x:v>是</x:v>
      </x:c>
      <x:c r="H156" s="68" t="str"/>
    </x:row>
    <x:row r="157">
      <x:c r="A157" s="68" t="str">
        <x:v>审核状态</x:v>
      </x:c>
      <x:c r="B157" s="68" t="str">
        <x:v>REV04</x:v>
      </x:c>
      <x:c r="C157" s="68" t="str">
        <x:v>已通过</x:v>
      </x:c>
      <x:c r="D157" s="68" t="str">
        <x:v>标记规则是否完成初审、复审与正式通过。</x:v>
      </x:c>
      <x:c r="E157" s="68" t="str">
        <x:v>审核状态</x:v>
      </x:c>
      <x:c r="F157" s="98" t="n">
        <x:v>4</x:v>
      </x:c>
      <x:c r="G157" s="68" t="str">
        <x:v>是</x:v>
      </x:c>
      <x:c r="H157" s="68" t="str"/>
    </x:row>
    <x:row r="158">
      <x:c r="A158" s="68" t="str">
        <x:v>审核状态</x:v>
      </x:c>
      <x:c r="B158" s="68" t="str">
        <x:v>REV05</x:v>
      </x:c>
      <x:c r="C158" s="68" t="str">
        <x:v>退回</x:v>
      </x:c>
      <x:c r="D158" s="68" t="str">
        <x:v>标记规则是否完成初审、复审与正式通过。</x:v>
      </x:c>
      <x:c r="E158" s="68" t="str">
        <x:v>审核状态</x:v>
      </x:c>
      <x:c r="F158" s="98" t="n">
        <x:v>5</x:v>
      </x:c>
      <x:c r="G158" s="68" t="str">
        <x:v>是</x:v>
      </x:c>
      <x:c r="H158" s="68" t="str"/>
    </x:row>
    <x:row r="159">
      <x:c r="A159" s="68" t="str">
        <x:v>旺衰等级</x:v>
      </x:c>
      <x:c r="B159" s="68" t="str">
        <x:v>WS1</x:v>
      </x:c>
      <x:c r="C159" s="68" t="str">
        <x:v>极弱</x:v>
      </x:c>
      <x:c r="D159" s="68" t="str">
        <x:v>有效根、源与同党极少，且受制泄耗成势。</x:v>
      </x:c>
      <x:c r="E159" s="68" t="str">
        <x:v>原始力量、对象原始旺衰、旺衰候选、有效力量、桥梁强度、起点强度</x:v>
      </x:c>
      <x:c r="F159" s="98" t="n">
        <x:v>1</x:v>
      </x:c>
      <x:c r="G159" s="68" t="str">
        <x:v>是</x:v>
      </x:c>
      <x:c r="H159" s="68" t="str"/>
    </x:row>
    <x:row r="160">
      <x:c r="A160" s="68" t="str">
        <x:v>旺衰等级</x:v>
      </x:c>
      <x:c r="B160" s="68" t="str">
        <x:v>WS2</x:v>
      </x:c>
      <x:c r="C160" s="68" t="str">
        <x:v>弱</x:v>
      </x:c>
      <x:c r="D160" s="68" t="str">
        <x:v>生扶与承载明显不足，但尚未达到从弱或完全失根。</x:v>
      </x:c>
      <x:c r="E160" s="68" t="str">
        <x:v>原始力量、对象原始旺衰、旺衰候选、有效力量、桥梁强度、起点强度</x:v>
      </x:c>
      <x:c r="F160" s="98" t="n">
        <x:v>2</x:v>
      </x:c>
      <x:c r="G160" s="68" t="str">
        <x:v>是</x:v>
      </x:c>
      <x:c r="H160" s="68" t="str"/>
    </x:row>
    <x:row r="161">
      <x:c r="A161" s="68" t="str">
        <x:v>旺衰等级</x:v>
      </x:c>
      <x:c r="B161" s="68" t="str">
        <x:v>WS3</x:v>
      </x:c>
      <x:c r="C161" s="68" t="str">
        <x:v>中和偏弱</x:v>
      </x:c>
      <x:c r="D161" s="68" t="str">
        <x:v>整体接近平衡，克泄耗略占优势。</x:v>
      </x:c>
      <x:c r="E161" s="68" t="str">
        <x:v>原始力量、对象原始旺衰、旺衰候选、有效力量、桥梁强度、起点强度</x:v>
      </x:c>
      <x:c r="F161" s="98" t="n">
        <x:v>3</x:v>
      </x:c>
      <x:c r="G161" s="68" t="str">
        <x:v>是</x:v>
      </x:c>
      <x:c r="H161" s="68" t="str"/>
    </x:row>
    <x:row r="162">
      <x:c r="A162" s="68" t="str">
        <x:v>旺衰等级</x:v>
      </x:c>
      <x:c r="B162" s="68" t="str">
        <x:v>WS4</x:v>
      </x:c>
      <x:c r="C162" s="68" t="str">
        <x:v>中和</x:v>
      </x:c>
      <x:c r="D162" s="68" t="str">
        <x:v>生扶与克泄耗大致均衡，无明显一方主导。</x:v>
      </x:c>
      <x:c r="E162" s="68" t="str">
        <x:v>原始力量、对象原始旺衰、旺衰候选、有效力量、桥梁强度、起点强度</x:v>
      </x:c>
      <x:c r="F162" s="98" t="n">
        <x:v>4</x:v>
      </x:c>
      <x:c r="G162" s="68" t="str">
        <x:v>是</x:v>
      </x:c>
      <x:c r="H162" s="68" t="str"/>
    </x:row>
    <x:row r="163">
      <x:c r="A163" s="68" t="str">
        <x:v>旺衰等级</x:v>
      </x:c>
      <x:c r="B163" s="68" t="str">
        <x:v>WS5</x:v>
      </x:c>
      <x:c r="C163" s="68" t="str">
        <x:v>中和偏旺</x:v>
      </x:c>
      <x:c r="D163" s="68" t="str">
        <x:v>整体接近平衡，得令、根助或同党略占优势。</x:v>
      </x:c>
      <x:c r="E163" s="68" t="str">
        <x:v>原始力量、对象原始旺衰、旺衰候选、有效力量、桥梁强度、起点强度</x:v>
      </x:c>
      <x:c r="F163" s="98" t="n">
        <x:v>5</x:v>
      </x:c>
      <x:c r="G163" s="68" t="str">
        <x:v>是</x:v>
      </x:c>
      <x:c r="H163" s="68" t="str"/>
    </x:row>
    <x:row r="164">
      <x:c r="A164" s="68" t="str">
        <x:v>旺衰等级</x:v>
      </x:c>
      <x:c r="B164" s="68" t="str">
        <x:v>WS6</x:v>
      </x:c>
      <x:c r="C164" s="68" t="str">
        <x:v>旺</x:v>
      </x:c>
      <x:c r="D164" s="68" t="str">
        <x:v>生扶、根气或成势明显，克泄耗不足以制衡。</x:v>
      </x:c>
      <x:c r="E164" s="68" t="str">
        <x:v>原始力量、对象原始旺衰、旺衰候选、有效力量、桥梁强度、起点强度</x:v>
      </x:c>
      <x:c r="F164" s="98" t="n">
        <x:v>6</x:v>
      </x:c>
      <x:c r="G164" s="68" t="str">
        <x:v>是</x:v>
      </x:c>
      <x:c r="H164" s="68" t="str"/>
    </x:row>
    <x:row r="165">
      <x:c r="A165" s="68" t="str">
        <x:v>旺衰等级</x:v>
      </x:c>
      <x:c r="B165" s="68" t="str">
        <x:v>WS7</x:v>
      </x:c>
      <x:c r="C165" s="68" t="str">
        <x:v>极旺</x:v>
      </x:c>
      <x:c r="D165" s="68" t="str">
        <x:v>力量高度集中成势，普通制衡逻辑需谨慎并审特殊格局。</x:v>
      </x:c>
      <x:c r="E165" s="68" t="str">
        <x:v>原始力量、对象原始旺衰、旺衰候选、有效力量、桥梁强度、起点强度</x:v>
      </x:c>
      <x:c r="F165" s="98" t="n">
        <x:v>7</x:v>
      </x:c>
      <x:c r="G165" s="68" t="str">
        <x:v>是</x:v>
      </x:c>
      <x:c r="H165" s="68" t="str"/>
    </x:row>
    <x:row r="166">
      <x:c r="A166" s="68" t="str">
        <x:v>旺衰等级</x:v>
      </x:c>
      <x:c r="B166" s="68" t="str">
        <x:v>WS0</x:v>
      </x:c>
      <x:c r="C166" s="68" t="str">
        <x:v>待定</x:v>
      </x:c>
      <x:c r="D166" s="68" t="str">
        <x:v>旺衰等级的标准选项：待定。具体成立条件由对应模块规则定义。</x:v>
      </x:c>
      <x:c r="E166" s="68" t="str">
        <x:v>原始力量、对象原始旺衰、旺衰候选、有效力量、桥梁强度、起点强度</x:v>
      </x:c>
      <x:c r="F166" s="98" t="n">
        <x:v>8</x:v>
      </x:c>
      <x:c r="G166" s="68" t="str">
        <x:v>是</x:v>
      </x:c>
      <x:c r="H166" s="68" t="str"/>
    </x:row>
    <x:row r="167">
      <x:c r="A167" s="68" t="str">
        <x:v>成立等级</x:v>
      </x:c>
      <x:c r="B167" s="68" t="str">
        <x:v>EST01</x:v>
      </x:c>
      <x:c r="C167" s="68" t="str">
        <x:v>不成立</x:v>
      </x:c>
      <x:c r="D167" s="68" t="str">
        <x:v>成立等级的标准选项：不成立。具体成立条件由对应模块规则定义。</x:v>
      </x:c>
      <x:c r="E167" s="68" t="str">
        <x:v>成立等级</x:v>
      </x:c>
      <x:c r="F167" s="98" t="n">
        <x:v>1</x:v>
      </x:c>
      <x:c r="G167" s="68" t="str">
        <x:v>是</x:v>
      </x:c>
      <x:c r="H167" s="68" t="str"/>
    </x:row>
    <x:row r="168">
      <x:c r="A168" s="68" t="str">
        <x:v>成立等级</x:v>
      </x:c>
      <x:c r="B168" s="68" t="str">
        <x:v>EST02</x:v>
      </x:c>
      <x:c r="C168" s="68" t="str">
        <x:v>弱成立</x:v>
      </x:c>
      <x:c r="D168" s="68" t="str">
        <x:v>成立等级的标准选项：弱成立。具体成立条件由对应模块规则定义。</x:v>
      </x:c>
      <x:c r="E168" s="68" t="str">
        <x:v>成立等级</x:v>
      </x:c>
      <x:c r="F168" s="98" t="n">
        <x:v>2</x:v>
      </x:c>
      <x:c r="G168" s="68" t="str">
        <x:v>是</x:v>
      </x:c>
      <x:c r="H168" s="68" t="str"/>
    </x:row>
    <x:row r="169">
      <x:c r="A169" s="68" t="str">
        <x:v>成立等级</x:v>
      </x:c>
      <x:c r="B169" s="68" t="str">
        <x:v>EST03</x:v>
      </x:c>
      <x:c r="C169" s="68" t="str">
        <x:v>基本成立</x:v>
      </x:c>
      <x:c r="D169" s="68" t="str">
        <x:v>成立等级的标准选项：基本成立。具体成立条件由对应模块规则定义。</x:v>
      </x:c>
      <x:c r="E169" s="68" t="str">
        <x:v>成立等级</x:v>
      </x:c>
      <x:c r="F169" s="98" t="n">
        <x:v>3</x:v>
      </x:c>
      <x:c r="G169" s="68" t="str">
        <x:v>是</x:v>
      </x:c>
      <x:c r="H169" s="68" t="str"/>
    </x:row>
    <x:row r="170">
      <x:c r="A170" s="68" t="str">
        <x:v>成立等级</x:v>
      </x:c>
      <x:c r="B170" s="68" t="str">
        <x:v>EST04</x:v>
      </x:c>
      <x:c r="C170" s="68" t="str">
        <x:v>明显成立</x:v>
      </x:c>
      <x:c r="D170" s="68" t="str">
        <x:v>成立等级的标准选项：明显成立。具体成立条件由对应模块规则定义。</x:v>
      </x:c>
      <x:c r="E170" s="68" t="str">
        <x:v>成立等级</x:v>
      </x:c>
      <x:c r="F170" s="98" t="n">
        <x:v>4</x:v>
      </x:c>
      <x:c r="G170" s="68" t="str">
        <x:v>是</x:v>
      </x:c>
      <x:c r="H170" s="68" t="str"/>
    </x:row>
    <x:row r="171">
      <x:c r="A171" s="68" t="str">
        <x:v>成立等级</x:v>
      </x:c>
      <x:c r="B171" s="68" t="str">
        <x:v>EST05</x:v>
      </x:c>
      <x:c r="C171" s="68" t="str">
        <x:v>完整成立</x:v>
      </x:c>
      <x:c r="D171" s="68" t="str">
        <x:v>成立等级的标准选项：完整成立。具体成立条件由对应模块规则定义。</x:v>
      </x:c>
      <x:c r="E171" s="68" t="str">
        <x:v>成立等级</x:v>
      </x:c>
      <x:c r="F171" s="98" t="n">
        <x:v>5</x:v>
      </x:c>
      <x:c r="G171" s="68" t="str">
        <x:v>是</x:v>
      </x:c>
      <x:c r="H171" s="68" t="str"/>
    </x:row>
    <x:row r="172">
      <x:c r="A172" s="68" t="str">
        <x:v>成立等级</x:v>
      </x:c>
      <x:c r="B172" s="68" t="str">
        <x:v>EST06</x:v>
      </x:c>
      <x:c r="C172" s="68" t="str">
        <x:v>待定</x:v>
      </x:c>
      <x:c r="D172" s="68" t="str">
        <x:v>成立等级的标准选项：待定。具体成立条件由对应模块规则定义。</x:v>
      </x:c>
      <x:c r="E172" s="68" t="str">
        <x:v>成立等级</x:v>
      </x:c>
      <x:c r="F172" s="98" t="n">
        <x:v>6</x:v>
      </x:c>
      <x:c r="G172" s="68" t="str">
        <x:v>是</x:v>
      </x:c>
      <x:c r="H172" s="68" t="str"/>
    </x:row>
    <x:row r="173">
      <x:c r="A173" s="68" t="str">
        <x:v>可用性</x:v>
      </x:c>
      <x:c r="B173" s="68" t="str">
        <x:v>AVL01</x:v>
      </x:c>
      <x:c r="C173" s="68" t="str">
        <x:v>有效</x:v>
      </x:c>
      <x:c r="D173" s="68" t="str">
        <x:v>可用性的标准选项：有效。具体成立条件由对应模块规则定义。</x:v>
      </x:c>
      <x:c r="E173" s="68" t="str">
        <x:v>调候五行有效性</x:v>
      </x:c>
      <x:c r="F173" s="98" t="n">
        <x:v>1</x:v>
      </x:c>
      <x:c r="G173" s="68" t="str">
        <x:v>是</x:v>
      </x:c>
      <x:c r="H173" s="68" t="str"/>
    </x:row>
    <x:row r="174">
      <x:c r="A174" s="68" t="str">
        <x:v>可用性</x:v>
      </x:c>
      <x:c r="B174" s="68" t="str">
        <x:v>AVL02</x:v>
      </x:c>
      <x:c r="C174" s="68" t="str">
        <x:v>受限</x:v>
      </x:c>
      <x:c r="D174" s="68" t="str">
        <x:v>可用性的标准选项：受限。具体成立条件由对应模块规则定义。</x:v>
      </x:c>
      <x:c r="E174" s="68" t="str">
        <x:v>调候五行有效性</x:v>
      </x:c>
      <x:c r="F174" s="98" t="n">
        <x:v>2</x:v>
      </x:c>
      <x:c r="G174" s="68" t="str">
        <x:v>是</x:v>
      </x:c>
      <x:c r="H174" s="68" t="str"/>
    </x:row>
    <x:row r="175">
      <x:c r="A175" s="68" t="str">
        <x:v>可用性</x:v>
      </x:c>
      <x:c r="B175" s="68" t="str">
        <x:v>AVL03</x:v>
      </x:c>
      <x:c r="C175" s="68" t="str">
        <x:v>失效</x:v>
      </x:c>
      <x:c r="D175" s="68" t="str">
        <x:v>可用性的标准选项：失效。具体成立条件由对应模块规则定义。</x:v>
      </x:c>
      <x:c r="E175" s="68" t="str">
        <x:v>调候五行有效性</x:v>
      </x:c>
      <x:c r="F175" s="98" t="n">
        <x:v>3</x:v>
      </x:c>
      <x:c r="G175" s="68" t="str">
        <x:v>是</x:v>
      </x:c>
      <x:c r="H175" s="68" t="str"/>
    </x:row>
    <x:row r="176">
      <x:c r="A176" s="68" t="str">
        <x:v>可用性</x:v>
      </x:c>
      <x:c r="B176" s="68" t="str">
        <x:v>AVL04</x:v>
      </x:c>
      <x:c r="C176" s="68" t="str">
        <x:v>过度</x:v>
      </x:c>
      <x:c r="D176" s="68" t="str">
        <x:v>可用性的标准选项：过度。具体成立条件由对应模块规则定义。</x:v>
      </x:c>
      <x:c r="E176" s="68" t="str">
        <x:v>调候五行有效性</x:v>
      </x:c>
      <x:c r="F176" s="98" t="n">
        <x:v>4</x:v>
      </x:c>
      <x:c r="G176" s="68" t="str">
        <x:v>是</x:v>
      </x:c>
      <x:c r="H176" s="68" t="str"/>
    </x:row>
    <x:row r="177">
      <x:c r="A177" s="68" t="str">
        <x:v>可用性</x:v>
      </x:c>
      <x:c r="B177" s="68" t="str">
        <x:v>AVL05</x:v>
      </x:c>
      <x:c r="C177" s="68" t="str">
        <x:v>待定</x:v>
      </x:c>
      <x:c r="D177" s="68" t="str">
        <x:v>可用性的标准选项：待定。具体成立条件由对应模块规则定义。</x:v>
      </x:c>
      <x:c r="E177" s="68" t="str">
        <x:v>调候五行有效性</x:v>
      </x:c>
      <x:c r="F177" s="98" t="n">
        <x:v>5</x:v>
      </x:c>
      <x:c r="G177" s="68" t="str">
        <x:v>是</x:v>
      </x:c>
      <x:c r="H177" s="68" t="str"/>
    </x:row>
    <x:row r="178">
      <x:c r="A178" s="68" t="str">
        <x:v>是否条件</x:v>
      </x:c>
      <x:c r="B178" s="68" t="str">
        <x:v>YNC01</x:v>
      </x:c>
      <x:c r="C178" s="68" t="str">
        <x:v>是</x:v>
      </x:c>
      <x:c r="D178" s="68" t="str">
        <x:v>是否条件的标准选项：是。具体成立条件由对应模块规则定义。</x:v>
      </x:c>
      <x:c r="E178"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8" s="98" t="n">
        <x:v>1</x:v>
      </x:c>
      <x:c r="G178" s="68" t="str">
        <x:v>是</x:v>
      </x:c>
      <x:c r="H178" s="68" t="str"/>
    </x:row>
    <x:row r="179">
      <x:c r="A179" s="68" t="str">
        <x:v>是否条件</x:v>
      </x:c>
      <x:c r="B179" s="68" t="str">
        <x:v>YNC02</x:v>
      </x:c>
      <x:c r="C179" s="68" t="str">
        <x:v>否</x:v>
      </x:c>
      <x:c r="D179" s="68" t="str">
        <x:v>是否条件的标准选项：否。具体成立条件由对应模块规则定义。</x:v>
      </x:c>
      <x:c r="E179"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9" s="98" t="n">
        <x:v>2</x:v>
      </x:c>
      <x:c r="G179" s="68" t="str">
        <x:v>是</x:v>
      </x:c>
      <x:c r="H179" s="68" t="str"/>
    </x:row>
    <x:row r="180">
      <x:c r="A180" s="68" t="str">
        <x:v>是否条件</x:v>
      </x:c>
      <x:c r="B180" s="68" t="str">
        <x:v>YNC03</x:v>
      </x:c>
      <x:c r="C180" s="68" t="str">
        <x:v>条件性</x:v>
      </x:c>
      <x:c r="D180" s="68" t="str">
        <x:v>是否条件的标准选项：条件性。具体成立条件由对应模块规则定义。</x:v>
      </x:c>
      <x:c r="E180"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0" s="98" t="n">
        <x:v>3</x:v>
      </x:c>
      <x:c r="G180" s="68" t="str">
        <x:v>是</x:v>
      </x:c>
      <x:c r="H180" s="68" t="str"/>
    </x:row>
    <x:row r="181">
      <x:c r="A181" s="68" t="str">
        <x:v>是否条件</x:v>
      </x:c>
      <x:c r="B181" s="68" t="str">
        <x:v>YNC04</x:v>
      </x:c>
      <x:c r="C181" s="68" t="str">
        <x:v>待定</x:v>
      </x:c>
      <x:c r="D181" s="68" t="str">
        <x:v>是否条件的标准选项：待定。具体成立条件由对应模块规则定义。</x:v>
      </x:c>
      <x:c r="E181"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1" s="98" t="n">
        <x:v>4</x:v>
      </x:c>
      <x:c r="G181" s="68" t="str">
        <x:v>是</x:v>
      </x:c>
      <x:c r="H181" s="68" t="str"/>
    </x:row>
    <x:row r="182">
      <x:c r="A182" s="68" t="str">
        <x:v>十神</x:v>
      </x:c>
      <x:c r="B182" s="68" t="str">
        <x:v>SG-BJ</x:v>
      </x:c>
      <x:c r="C182" s="68" t="str">
        <x:v>比肩</x:v>
      </x:c>
      <x:c r="D182" s="68" t="str">
        <x:v>相对日主的生克与阴阳关系映射，旺衰、功能和喜忌需分别判断。</x:v>
      </x:c>
      <x:c r="E182" s="68" t="str">
        <x:v>十神、对应十神</x:v>
      </x:c>
      <x:c r="F182" s="98" t="n">
        <x:v>1</x:v>
      </x:c>
      <x:c r="G182" s="68" t="str">
        <x:v>是</x:v>
      </x:c>
      <x:c r="H182" s="68" t="str"/>
    </x:row>
    <x:row r="183">
      <x:c r="A183" s="68" t="str">
        <x:v>十神</x:v>
      </x:c>
      <x:c r="B183" s="68" t="str">
        <x:v>SG-JC</x:v>
      </x:c>
      <x:c r="C183" s="68" t="str">
        <x:v>劫财</x:v>
      </x:c>
      <x:c r="D183" s="68" t="str">
        <x:v>相对日主的生克与阴阳关系映射，旺衰、功能和喜忌需分别判断。</x:v>
      </x:c>
      <x:c r="E183" s="68" t="str">
        <x:v>十神、对应十神</x:v>
      </x:c>
      <x:c r="F183" s="98" t="n">
        <x:v>2</x:v>
      </x:c>
      <x:c r="G183" s="68" t="str">
        <x:v>是</x:v>
      </x:c>
      <x:c r="H183" s="68" t="str"/>
    </x:row>
    <x:row r="184">
      <x:c r="A184" s="68" t="str">
        <x:v>十神</x:v>
      </x:c>
      <x:c r="B184" s="68" t="str">
        <x:v>SG-SS</x:v>
      </x:c>
      <x:c r="C184" s="68" t="str">
        <x:v>食神</x:v>
      </x:c>
      <x:c r="D184" s="68" t="str">
        <x:v>相对日主的生克与阴阳关系映射，旺衰、功能和喜忌需分别判断。</x:v>
      </x:c>
      <x:c r="E184" s="68" t="str">
        <x:v>十神、对应十神</x:v>
      </x:c>
      <x:c r="F184" s="98" t="n">
        <x:v>3</x:v>
      </x:c>
      <x:c r="G184" s="68" t="str">
        <x:v>是</x:v>
      </x:c>
      <x:c r="H184" s="68" t="str"/>
    </x:row>
    <x:row r="185">
      <x:c r="A185" s="68" t="str">
        <x:v>十神</x:v>
      </x:c>
      <x:c r="B185" s="68" t="str">
        <x:v>SG-SG</x:v>
      </x:c>
      <x:c r="C185" s="68" t="str">
        <x:v>伤官</x:v>
      </x:c>
      <x:c r="D185" s="68" t="str">
        <x:v>相对日主的生克与阴阳关系映射，旺衰、功能和喜忌需分别判断。</x:v>
      </x:c>
      <x:c r="E185" s="68" t="str">
        <x:v>十神、对应十神</x:v>
      </x:c>
      <x:c r="F185" s="98" t="n">
        <x:v>4</x:v>
      </x:c>
      <x:c r="G185" s="68" t="str">
        <x:v>是</x:v>
      </x:c>
      <x:c r="H185" s="68" t="str"/>
    </x:row>
    <x:row r="186">
      <x:c r="A186" s="68" t="str">
        <x:v>十神</x:v>
      </x:c>
      <x:c r="B186" s="68" t="str">
        <x:v>SG-PC</x:v>
      </x:c>
      <x:c r="C186" s="68" t="str">
        <x:v>偏财</x:v>
      </x:c>
      <x:c r="D186" s="68" t="str">
        <x:v>相对日主的生克与阴阳关系映射，旺衰、功能和喜忌需分别判断。</x:v>
      </x:c>
      <x:c r="E186" s="68" t="str">
        <x:v>十神、对应十神</x:v>
      </x:c>
      <x:c r="F186" s="98" t="n">
        <x:v>5</x:v>
      </x:c>
      <x:c r="G186" s="68" t="str">
        <x:v>是</x:v>
      </x:c>
      <x:c r="H186" s="68" t="str"/>
    </x:row>
    <x:row r="187">
      <x:c r="A187" s="68" t="str">
        <x:v>十神</x:v>
      </x:c>
      <x:c r="B187" s="68" t="str">
        <x:v>SG-ZC</x:v>
      </x:c>
      <x:c r="C187" s="68" t="str">
        <x:v>正财</x:v>
      </x:c>
      <x:c r="D187" s="68" t="str">
        <x:v>相对日主的生克与阴阳关系映射，旺衰、功能和喜忌需分别判断。</x:v>
      </x:c>
      <x:c r="E187" s="68" t="str">
        <x:v>十神、对应十神</x:v>
      </x:c>
      <x:c r="F187" s="98" t="n">
        <x:v>6</x:v>
      </x:c>
      <x:c r="G187" s="68" t="str">
        <x:v>是</x:v>
      </x:c>
      <x:c r="H187" s="68" t="str"/>
    </x:row>
    <x:row r="188">
      <x:c r="A188" s="68" t="str">
        <x:v>十神</x:v>
      </x:c>
      <x:c r="B188" s="68" t="str">
        <x:v>SG-QS</x:v>
      </x:c>
      <x:c r="C188" s="68" t="str">
        <x:v>七杀</x:v>
      </x:c>
      <x:c r="D188" s="68" t="str">
        <x:v>相对日主的生克与阴阳关系映射，旺衰、功能和喜忌需分别判断。</x:v>
      </x:c>
      <x:c r="E188" s="68" t="str">
        <x:v>十神、对应十神</x:v>
      </x:c>
      <x:c r="F188" s="98" t="n">
        <x:v>7</x:v>
      </x:c>
      <x:c r="G188" s="68" t="str">
        <x:v>是</x:v>
      </x:c>
      <x:c r="H188" s="68" t="str"/>
    </x:row>
    <x:row r="189">
      <x:c r="A189" s="68" t="str">
        <x:v>十神</x:v>
      </x:c>
      <x:c r="B189" s="68" t="str">
        <x:v>SG-ZG</x:v>
      </x:c>
      <x:c r="C189" s="68" t="str">
        <x:v>正官</x:v>
      </x:c>
      <x:c r="D189" s="68" t="str">
        <x:v>相对日主的生克与阴阳关系映射，旺衰、功能和喜忌需分别判断。</x:v>
      </x:c>
      <x:c r="E189" s="68" t="str">
        <x:v>十神、对应十神</x:v>
      </x:c>
      <x:c r="F189" s="98" t="n">
        <x:v>8</x:v>
      </x:c>
      <x:c r="G189" s="68" t="str">
        <x:v>是</x:v>
      </x:c>
      <x:c r="H189" s="68" t="str"/>
    </x:row>
    <x:row r="190">
      <x:c r="A190" s="68" t="str">
        <x:v>十神</x:v>
      </x:c>
      <x:c r="B190" s="68" t="str">
        <x:v>SG-PY</x:v>
      </x:c>
      <x:c r="C190" s="68" t="str">
        <x:v>偏印</x:v>
      </x:c>
      <x:c r="D190" s="68" t="str">
        <x:v>相对日主的生克与阴阳关系映射，旺衰、功能和喜忌需分别判断。</x:v>
      </x:c>
      <x:c r="E190" s="68" t="str">
        <x:v>十神、对应十神</x:v>
      </x:c>
      <x:c r="F190" s="98" t="n">
        <x:v>9</x:v>
      </x:c>
      <x:c r="G190" s="68" t="str">
        <x:v>是</x:v>
      </x:c>
      <x:c r="H190" s="68" t="str"/>
    </x:row>
    <x:row r="191">
      <x:c r="A191" s="68" t="str">
        <x:v>十神</x:v>
      </x:c>
      <x:c r="B191" s="68" t="str">
        <x:v>SG-ZY</x:v>
      </x:c>
      <x:c r="C191" s="68" t="str">
        <x:v>正印</x:v>
      </x:c>
      <x:c r="D191" s="68" t="str">
        <x:v>相对日主的生克与阴阳关系映射，旺衰、功能和喜忌需分别判断。</x:v>
      </x:c>
      <x:c r="E191" s="68" t="str">
        <x:v>十神、对应十神</x:v>
      </x:c>
      <x:c r="F191" s="98" t="n">
        <x:v>10</x:v>
      </x:c>
      <x:c r="G191" s="68" t="str">
        <x:v>是</x:v>
      </x:c>
      <x:c r="H191" s="68" t="str"/>
    </x:row>
    <x:row r="192">
      <x:c r="A192" s="68" t="str">
        <x:v>十神存在方式</x:v>
      </x:c>
      <x:c r="B192" s="68" t="str">
        <x:v>EXI01</x:v>
      </x:c>
      <x:c r="C192" s="68" t="str">
        <x:v>透干</x:v>
      </x:c>
      <x:c r="D192" s="68" t="str">
        <x:v>十神存在方式的标准选项：透干。具体成立条件由对应模块规则定义。</x:v>
      </x:c>
      <x:c r="E192" s="68" t="str">
        <x:v>存在方式</x:v>
      </x:c>
      <x:c r="F192" s="98" t="n">
        <x:v>1</x:v>
      </x:c>
      <x:c r="G192" s="68" t="str">
        <x:v>是</x:v>
      </x:c>
      <x:c r="H192" s="68" t="str"/>
    </x:row>
    <x:row r="193">
      <x:c r="A193" s="68" t="str">
        <x:v>十神存在方式</x:v>
      </x:c>
      <x:c r="B193" s="68" t="str">
        <x:v>EXI02</x:v>
      </x:c>
      <x:c r="C193" s="68" t="str">
        <x:v>藏支本气</x:v>
      </x:c>
      <x:c r="D193" s="68" t="str">
        <x:v>十神存在方式的标准选项：藏支本气。具体成立条件由对应模块规则定义。</x:v>
      </x:c>
      <x:c r="E193" s="68" t="str">
        <x:v>存在方式</x:v>
      </x:c>
      <x:c r="F193" s="98" t="n">
        <x:v>2</x:v>
      </x:c>
      <x:c r="G193" s="68" t="str">
        <x:v>是</x:v>
      </x:c>
      <x:c r="H193" s="68" t="str"/>
    </x:row>
    <x:row r="194">
      <x:c r="A194" s="68" t="str">
        <x:v>十神存在方式</x:v>
      </x:c>
      <x:c r="B194" s="68" t="str">
        <x:v>EXI03</x:v>
      </x:c>
      <x:c r="C194" s="68" t="str">
        <x:v>藏支中气</x:v>
      </x:c>
      <x:c r="D194" s="68" t="str">
        <x:v>十神存在方式的标准选项：藏支中气。具体成立条件由对应模块规则定义。</x:v>
      </x:c>
      <x:c r="E194" s="68" t="str">
        <x:v>存在方式</x:v>
      </x:c>
      <x:c r="F194" s="98" t="n">
        <x:v>3</x:v>
      </x:c>
      <x:c r="G194" s="68" t="str">
        <x:v>是</x:v>
      </x:c>
      <x:c r="H194" s="68" t="str"/>
    </x:row>
    <x:row r="195">
      <x:c r="A195" s="68" t="str">
        <x:v>十神存在方式</x:v>
      </x:c>
      <x:c r="B195" s="68" t="str">
        <x:v>EXI04</x:v>
      </x:c>
      <x:c r="C195" s="68" t="str">
        <x:v>藏支余气</x:v>
      </x:c>
      <x:c r="D195" s="68" t="str">
        <x:v>十神存在方式的标准选项：藏支余气。具体成立条件由对应模块规则定义。</x:v>
      </x:c>
      <x:c r="E195" s="68" t="str">
        <x:v>存在方式</x:v>
      </x:c>
      <x:c r="F195" s="98" t="n">
        <x:v>4</x:v>
      </x:c>
      <x:c r="G195" s="68" t="str">
        <x:v>是</x:v>
      </x:c>
      <x:c r="H195" s="68" t="str"/>
    </x:row>
    <x:row r="196">
      <x:c r="A196" s="68" t="str">
        <x:v>十神存在方式</x:v>
      </x:c>
      <x:c r="B196" s="68" t="str">
        <x:v>EXI05</x:v>
      </x:c>
      <x:c r="C196" s="68" t="str">
        <x:v>多处出现</x:v>
      </x:c>
      <x:c r="D196" s="68" t="str">
        <x:v>十神存在方式的标准选项：多处出现。具体成立条件由对应模块规则定义。</x:v>
      </x:c>
      <x:c r="E196" s="68" t="str">
        <x:v>存在方式</x:v>
      </x:c>
      <x:c r="F196" s="98" t="n">
        <x:v>5</x:v>
      </x:c>
      <x:c r="G196" s="68" t="str">
        <x:v>是</x:v>
      </x:c>
      <x:c r="H196" s="68" t="str"/>
    </x:row>
    <x:row r="197">
      <x:c r="A197" s="68" t="str">
        <x:v>十神存在方式</x:v>
      </x:c>
      <x:c r="B197" s="68" t="str">
        <x:v>EXI06</x:v>
      </x:c>
      <x:c r="C197" s="68" t="str">
        <x:v>完全不现</x:v>
      </x:c>
      <x:c r="D197" s="68" t="str">
        <x:v>十神存在方式的标准选项：完全不现。具体成立条件由对应模块规则定义。</x:v>
      </x:c>
      <x:c r="E197" s="68" t="str">
        <x:v>存在方式</x:v>
      </x:c>
      <x:c r="F197" s="98" t="n">
        <x:v>6</x:v>
      </x:c>
      <x:c r="G197" s="68" t="str">
        <x:v>是</x:v>
      </x:c>
      <x:c r="H197" s="68" t="str"/>
    </x:row>
    <x:row r="198">
      <x:c r="A198" s="68" t="str">
        <x:v>十神存在方式</x:v>
      </x:c>
      <x:c r="B198" s="68" t="str">
        <x:v>EXI07</x:v>
      </x:c>
      <x:c r="C198" s="68" t="str">
        <x:v>待定</x:v>
      </x:c>
      <x:c r="D198" s="68" t="str">
        <x:v>十神存在方式的标准选项：待定。具体成立条件由对应模块规则定义。</x:v>
      </x:c>
      <x:c r="E198" s="68" t="str">
        <x:v>存在方式</x:v>
      </x:c>
      <x:c r="F198" s="98" t="n">
        <x:v>7</x:v>
      </x:c>
      <x:c r="G198" s="68" t="str">
        <x:v>是</x:v>
      </x:c>
      <x:c r="H198" s="68" t="str"/>
    </x:row>
    <x:row r="199">
      <x:c r="A199" s="68" t="str">
        <x:v>十神功能状态</x:v>
      </x:c>
      <x:c r="B199" s="68" t="str">
        <x:v>SGF01</x:v>
      </x:c>
      <x:c r="C199" s="68" t="str">
        <x:v>正常发挥</x:v>
      </x:c>
      <x:c r="D199" s="68" t="str">
        <x:v>十神功能状态的标准选项：正常发挥。具体成立条件由对应模块规则定义。</x:v>
      </x:c>
      <x:c r="E199" s="68" t="str">
        <x:v>功能状态</x:v>
      </x:c>
      <x:c r="F199" s="98" t="n">
        <x:v>1</x:v>
      </x:c>
      <x:c r="G199" s="68" t="str">
        <x:v>是</x:v>
      </x:c>
      <x:c r="H199" s="68" t="str"/>
    </x:row>
    <x:row r="200">
      <x:c r="A200" s="68" t="str">
        <x:v>十神功能状态</x:v>
      </x:c>
      <x:c r="B200" s="68" t="str">
        <x:v>SGF02</x:v>
      </x:c>
      <x:c r="C200" s="68" t="str">
        <x:v>受限</x:v>
      </x:c>
      <x:c r="D200" s="68" t="str">
        <x:v>十神功能状态的标准选项：受限。具体成立条件由对应模块规则定义。</x:v>
      </x:c>
      <x:c r="E200" s="68" t="str">
        <x:v>功能状态</x:v>
      </x:c>
      <x:c r="F200" s="98" t="n">
        <x:v>2</x:v>
      </x:c>
      <x:c r="G200" s="68" t="str">
        <x:v>是</x:v>
      </x:c>
      <x:c r="H200" s="68" t="str"/>
    </x:row>
    <x:row r="201">
      <x:c r="A201" s="68" t="str">
        <x:v>十神功能状态</x:v>
      </x:c>
      <x:c r="B201" s="68" t="str">
        <x:v>SGF03</x:v>
      </x:c>
      <x:c r="C201" s="68" t="str">
        <x:v>转化</x:v>
      </x:c>
      <x:c r="D201" s="68" t="str">
        <x:v>十神功能状态的标准选项：转化。具体成立条件由对应模块规则定义。</x:v>
      </x:c>
      <x:c r="E201" s="68" t="str">
        <x:v>功能状态</x:v>
      </x:c>
      <x:c r="F201" s="98" t="n">
        <x:v>3</x:v>
      </x:c>
      <x:c r="G201" s="68" t="str">
        <x:v>是</x:v>
      </x:c>
      <x:c r="H201" s="68" t="str"/>
    </x:row>
    <x:row r="202">
      <x:c r="A202" s="68" t="str">
        <x:v>十神功能状态</x:v>
      </x:c>
      <x:c r="B202" s="68" t="str">
        <x:v>SGF04</x:v>
      </x:c>
      <x:c r="C202" s="68" t="str">
        <x:v>失效</x:v>
      </x:c>
      <x:c r="D202" s="68" t="str">
        <x:v>十神功能状态的标准选项：失效。具体成立条件由对应模块规则定义。</x:v>
      </x:c>
      <x:c r="E202" s="68" t="str">
        <x:v>功能状态</x:v>
      </x:c>
      <x:c r="F202" s="98" t="n">
        <x:v>4</x:v>
      </x:c>
      <x:c r="G202" s="68" t="str">
        <x:v>是</x:v>
      </x:c>
      <x:c r="H202" s="68" t="str"/>
    </x:row>
    <x:row r="203">
      <x:c r="A203" s="68" t="str">
        <x:v>十神功能状态</x:v>
      </x:c>
      <x:c r="B203" s="68" t="str">
        <x:v>SGF05</x:v>
      </x:c>
      <x:c r="C203" s="68" t="str">
        <x:v>过度</x:v>
      </x:c>
      <x:c r="D203" s="68" t="str">
        <x:v>十神功能状态的标准选项：过度。具体成立条件由对应模块规则定义。</x:v>
      </x:c>
      <x:c r="E203" s="68" t="str">
        <x:v>功能状态</x:v>
      </x:c>
      <x:c r="F203" s="98" t="n">
        <x:v>5</x:v>
      </x:c>
      <x:c r="G203" s="68" t="str">
        <x:v>是</x:v>
      </x:c>
      <x:c r="H203" s="68" t="str"/>
    </x:row>
    <x:row r="204">
      <x:c r="A204" s="68" t="str">
        <x:v>十神功能状态</x:v>
      </x:c>
      <x:c r="B204" s="68" t="str">
        <x:v>SGF06</x:v>
      </x:c>
      <x:c r="C204" s="68" t="str">
        <x:v>制化平衡</x:v>
      </x:c>
      <x:c r="D204" s="68" t="str">
        <x:v>十神功能状态的标准选项：制化平衡。具体成立条件由对应模块规则定义。</x:v>
      </x:c>
      <x:c r="E204" s="68" t="str">
        <x:v>功能状态</x:v>
      </x:c>
      <x:c r="F204" s="98" t="n">
        <x:v>6</x:v>
      </x:c>
      <x:c r="G204" s="68" t="str">
        <x:v>是</x:v>
      </x:c>
      <x:c r="H204" s="68" t="str"/>
    </x:row>
    <x:row r="205">
      <x:c r="A205" s="68" t="str">
        <x:v>十神功能状态</x:v>
      </x:c>
      <x:c r="B205" s="68" t="str">
        <x:v>SGF07</x:v>
      </x:c>
      <x:c r="C205" s="68" t="str">
        <x:v>制化失衡</x:v>
      </x:c>
      <x:c r="D205" s="68" t="str">
        <x:v>十神功能状态的标准选项：制化失衡。具体成立条件由对应模块规则定义。</x:v>
      </x:c>
      <x:c r="E205" s="68" t="str">
        <x:v>功能状态</x:v>
      </x:c>
      <x:c r="F205" s="98" t="n">
        <x:v>7</x:v>
      </x:c>
      <x:c r="G205" s="68" t="str">
        <x:v>是</x:v>
      </x:c>
      <x:c r="H205" s="68" t="str"/>
    </x:row>
    <x:row r="206">
      <x:c r="A206" s="68" t="str">
        <x:v>十神功能状态</x:v>
      </x:c>
      <x:c r="B206" s="68" t="str">
        <x:v>SGF08</x:v>
      </x:c>
      <x:c r="C206" s="68" t="str">
        <x:v>待定</x:v>
      </x:c>
      <x:c r="D206" s="68" t="str">
        <x:v>十神功能状态的标准选项：待定。具体成立条件由对应模块规则定义。</x:v>
      </x:c>
      <x:c r="E206" s="68" t="str">
        <x:v>功能状态</x:v>
      </x:c>
      <x:c r="F206" s="98" t="n">
        <x:v>8</x:v>
      </x:c>
      <x:c r="G206" s="68" t="str">
        <x:v>是</x:v>
      </x:c>
      <x:c r="H206" s="68" t="str"/>
    </x:row>
    <x:row r="207">
      <x:c r="A207" s="68" t="str">
        <x:v>喜忌定位</x:v>
      </x:c>
      <x:c r="B207" s="68" t="str">
        <x:v>YJ01</x:v>
      </x:c>
      <x:c r="C207" s="68" t="str">
        <x:v>主用神</x:v>
      </x:c>
      <x:c r="D207" s="68" t="str">
        <x:v>直接解决全局首要矛盾，且副作用可控的第一顺位五行或十神。</x:v>
      </x:c>
      <x:c r="E207" s="68" t="str">
        <x:v>喜忌候选、综合定位</x:v>
      </x:c>
      <x:c r="F207" s="98" t="n">
        <x:v>1</x:v>
      </x:c>
      <x:c r="G207" s="68" t="str">
        <x:v>是</x:v>
      </x:c>
      <x:c r="H207" s="68" t="str"/>
    </x:row>
    <x:row r="208">
      <x:c r="A208" s="68" t="str">
        <x:v>喜忌定位</x:v>
      </x:c>
      <x:c r="B208" s="68" t="str">
        <x:v>YJ02</x:v>
      </x:c>
      <x:c r="C208" s="68" t="str">
        <x:v>辅助用神</x:v>
      </x:c>
      <x:c r="D208" s="68" t="str">
        <x:v>协助主用完成制化、承载、通关或护格的次级用神。</x:v>
      </x:c>
      <x:c r="E208" s="68" t="str">
        <x:v>喜忌候选、综合定位</x:v>
      </x:c>
      <x:c r="F208" s="98" t="n">
        <x:v>2</x:v>
      </x:c>
      <x:c r="G208" s="68" t="str">
        <x:v>是</x:v>
      </x:c>
      <x:c r="H208" s="68" t="str"/>
    </x:row>
    <x:row r="209">
      <x:c r="A209" s="68" t="str">
        <x:v>喜忌定位</x:v>
      </x:c>
      <x:c r="B209" s="68" t="str">
        <x:v>YJ03</x:v>
      </x:c>
      <x:c r="C209" s="68" t="str">
        <x:v>喜神</x:v>
      </x:c>
      <x:c r="D209" s="68" t="str">
        <x:v>总体有利但不直接承担首要治病或成格功能。</x:v>
      </x:c>
      <x:c r="E209" s="68" t="str">
        <x:v>喜忌候选、综合定位</x:v>
      </x:c>
      <x:c r="F209" s="98" t="n">
        <x:v>3</x:v>
      </x:c>
      <x:c r="G209" s="68" t="str">
        <x:v>是</x:v>
      </x:c>
      <x:c r="H209" s="68" t="str"/>
    </x:row>
    <x:row r="210">
      <x:c r="A210" s="68" t="str">
        <x:v>喜忌定位</x:v>
      </x:c>
      <x:c r="B210" s="68" t="str">
        <x:v>YJ04</x:v>
      </x:c>
      <x:c r="C210" s="68" t="str">
        <x:v>条件性喜神</x:v>
      </x:c>
      <x:c r="D210" s="68" t="str">
        <x:v>只在明确条件满足时有利，条件不满足可能转为中性或忌。</x:v>
      </x:c>
      <x:c r="E210" s="68" t="str">
        <x:v>喜忌候选、综合定位</x:v>
      </x:c>
      <x:c r="F210" s="98" t="n">
        <x:v>4</x:v>
      </x:c>
      <x:c r="G210" s="68" t="str">
        <x:v>是</x:v>
      </x:c>
      <x:c r="H210" s="68" t="str"/>
    </x:row>
    <x:row r="211">
      <x:c r="A211" s="68" t="str">
        <x:v>喜忌定位</x:v>
      </x:c>
      <x:c r="B211" s="68" t="str">
        <x:v>YJ05</x:v>
      </x:c>
      <x:c r="C211" s="68" t="str">
        <x:v>中性</x:v>
      </x:c>
      <x:c r="D211" s="68" t="str">
        <x:v>对全局主要矛盾影响有限，或正负作用大致相抵。</x:v>
      </x:c>
      <x:c r="E211" s="68" t="str">
        <x:v>喜忌候选、综合定位</x:v>
      </x:c>
      <x:c r="F211" s="98" t="n">
        <x:v>5</x:v>
      </x:c>
      <x:c r="G211" s="68" t="str">
        <x:v>是</x:v>
      </x:c>
      <x:c r="H211" s="68" t="str"/>
    </x:row>
    <x:row r="212">
      <x:c r="A212" s="68" t="str">
        <x:v>喜忌定位</x:v>
      </x:c>
      <x:c r="B212" s="68" t="str">
        <x:v>YJ06</x:v>
      </x:c>
      <x:c r="C212" s="68" t="str">
        <x:v>条件性忌神</x:v>
      </x:c>
      <x:c r="D212" s="68" t="str">
        <x:v>在某些结构或强度下造成问题，非无条件为忌。</x:v>
      </x:c>
      <x:c r="E212" s="68" t="str">
        <x:v>喜忌候选、综合定位</x:v>
      </x:c>
      <x:c r="F212" s="98" t="n">
        <x:v>6</x:v>
      </x:c>
      <x:c r="G212" s="68" t="str">
        <x:v>是</x:v>
      </x:c>
      <x:c r="H212" s="68" t="str"/>
    </x:row>
    <x:row r="213">
      <x:c r="A213" s="68" t="str">
        <x:v>喜忌定位</x:v>
      </x:c>
      <x:c r="B213" s="68" t="str">
        <x:v>YJ07</x:v>
      </x:c>
      <x:c r="C213" s="68" t="str">
        <x:v>忌神</x:v>
      </x:c>
      <x:c r="D213" s="68" t="str">
        <x:v>明显强化原局之病、破坏格局或加重失衡。</x:v>
      </x:c>
      <x:c r="E213" s="68" t="str">
        <x:v>喜忌候选、综合定位</x:v>
      </x:c>
      <x:c r="F213" s="98" t="n">
        <x:v>7</x:v>
      </x:c>
      <x:c r="G213" s="68" t="str">
        <x:v>是</x:v>
      </x:c>
      <x:c r="H213" s="68" t="str"/>
    </x:row>
    <x:row r="214">
      <x:c r="A214" s="68" t="str">
        <x:v>喜忌定位</x:v>
      </x:c>
      <x:c r="B214" s="68" t="str">
        <x:v>YJ08</x:v>
      </x:c>
      <x:c r="C214" s="68" t="str">
        <x:v>仇神</x:v>
      </x:c>
      <x:c r="D214" s="68" t="str">
        <x:v>生助忌神、克制用神或破坏救应的间接不利力量。</x:v>
      </x:c>
      <x:c r="E214" s="68" t="str">
        <x:v>喜忌候选、综合定位</x:v>
      </x:c>
      <x:c r="F214" s="98" t="n">
        <x:v>8</x:v>
      </x:c>
      <x:c r="G214" s="68" t="str">
        <x:v>是</x:v>
      </x:c>
      <x:c r="H214" s="68" t="str"/>
    </x:row>
    <x:row r="215">
      <x:c r="A215" s="68" t="str">
        <x:v>喜忌定位</x:v>
      </x:c>
      <x:c r="B215" s="68" t="str">
        <x:v>YJ09</x:v>
      </x:c>
      <x:c r="C215" s="68" t="str">
        <x:v>待定</x:v>
      </x:c>
      <x:c r="D215" s="68" t="str">
        <x:v>喜忌定位的标准选项：待定。具体成立条件由对应模块规则定义。</x:v>
      </x:c>
      <x:c r="E215" s="68" t="str">
        <x:v>喜忌候选、综合定位</x:v>
      </x:c>
      <x:c r="F215" s="98" t="n">
        <x:v>9</x:v>
      </x:c>
      <x:c r="G215" s="68" t="str">
        <x:v>是</x:v>
      </x:c>
      <x:c r="H215" s="68" t="str"/>
    </x:row>
    <x:row r="216">
      <x:c r="A216" s="68" t="str">
        <x:v>格局类别</x:v>
      </x:c>
      <x:c r="B216" s="68" t="str">
        <x:v>GCT01</x:v>
      </x:c>
      <x:c r="C216" s="68" t="str">
        <x:v>普通格局</x:v>
      </x:c>
      <x:c r="D216" s="68" t="str">
        <x:v>格局类别的标准选项：普通格局。具体成立条件由对应模块规则定义。</x:v>
      </x:c>
      <x:c r="E216" s="68" t="str">
        <x:v>格局类别</x:v>
      </x:c>
      <x:c r="F216" s="98" t="n">
        <x:v>1</x:v>
      </x:c>
      <x:c r="G216" s="68" t="str">
        <x:v>是</x:v>
      </x:c>
      <x:c r="H216" s="68" t="str"/>
    </x:row>
    <x:row r="217">
      <x:c r="A217" s="68" t="str">
        <x:v>格局类别</x:v>
      </x:c>
      <x:c r="B217" s="68" t="str">
        <x:v>GCT02</x:v>
      </x:c>
      <x:c r="C217" s="68" t="str">
        <x:v>建禄羊刃</x:v>
      </x:c>
      <x:c r="D217" s="68" t="str">
        <x:v>格局类别的标准选项：建禄羊刃。具体成立条件由对应模块规则定义。</x:v>
      </x:c>
      <x:c r="E217" s="68" t="str">
        <x:v>格局类别</x:v>
      </x:c>
      <x:c r="F217" s="98" t="n">
        <x:v>2</x:v>
      </x:c>
      <x:c r="G217" s="68" t="str">
        <x:v>是</x:v>
      </x:c>
      <x:c r="H217" s="68" t="str"/>
    </x:row>
    <x:row r="218">
      <x:c r="A218" s="68" t="str">
        <x:v>格局类别</x:v>
      </x:c>
      <x:c r="B218" s="68" t="str">
        <x:v>GCT03</x:v>
      </x:c>
      <x:c r="C218" s="68" t="str">
        <x:v>特殊格局</x:v>
      </x:c>
      <x:c r="D218" s="68" t="str">
        <x:v>格局类别的标准选项：特殊格局。具体成立条件由对应模块规则定义。</x:v>
      </x:c>
      <x:c r="E218" s="68" t="str">
        <x:v>格局类别</x:v>
      </x:c>
      <x:c r="F218" s="98" t="n">
        <x:v>3</x:v>
      </x:c>
      <x:c r="G218" s="68" t="str">
        <x:v>是</x:v>
      </x:c>
      <x:c r="H218" s="68" t="str"/>
    </x:row>
    <x:row r="219">
      <x:c r="A219" s="68" t="str">
        <x:v>格局类别</x:v>
      </x:c>
      <x:c r="B219" s="68" t="str">
        <x:v>GCT04</x:v>
      </x:c>
      <x:c r="C219" s="68" t="str">
        <x:v>从格</x:v>
      </x:c>
      <x:c r="D219" s="68" t="str">
        <x:v>格局类别的标准选项：从格。具体成立条件由对应模块规则定义。</x:v>
      </x:c>
      <x:c r="E219" s="68" t="str">
        <x:v>格局类别</x:v>
      </x:c>
      <x:c r="F219" s="98" t="n">
        <x:v>4</x:v>
      </x:c>
      <x:c r="G219" s="68" t="str">
        <x:v>是</x:v>
      </x:c>
      <x:c r="H219" s="68" t="str"/>
    </x:row>
    <x:row r="220">
      <x:c r="A220" s="68" t="str">
        <x:v>格局类别</x:v>
      </x:c>
      <x:c r="B220" s="68" t="str">
        <x:v>GCT05</x:v>
      </x:c>
      <x:c r="C220" s="68" t="str">
        <x:v>化气格</x:v>
      </x:c>
      <x:c r="D220" s="68" t="str">
        <x:v>格局类别的标准选项：化气格。具体成立条件由对应模块规则定义。</x:v>
      </x:c>
      <x:c r="E220" s="68" t="str">
        <x:v>格局类别</x:v>
      </x:c>
      <x:c r="F220" s="98" t="n">
        <x:v>5</x:v>
      </x:c>
      <x:c r="G220" s="68" t="str">
        <x:v>是</x:v>
      </x:c>
      <x:c r="H220" s="68" t="str"/>
    </x:row>
    <x:row r="221">
      <x:c r="A221" s="68" t="str">
        <x:v>格局类别</x:v>
      </x:c>
      <x:c r="B221" s="68" t="str">
        <x:v>GCT06</x:v>
      </x:c>
      <x:c r="C221" s="68" t="str">
        <x:v>专旺候选</x:v>
      </x:c>
      <x:c r="D221" s="68" t="str">
        <x:v>格局类别的标准选项：专旺候选。具体成立条件由对应模块规则定义。</x:v>
      </x:c>
      <x:c r="E221" s="68" t="str">
        <x:v>格局类别</x:v>
      </x:c>
      <x:c r="F221" s="98" t="n">
        <x:v>6</x:v>
      </x:c>
      <x:c r="G221" s="68" t="str">
        <x:v>是</x:v>
      </x:c>
      <x:c r="H221" s="68" t="str"/>
    </x:row>
    <x:row r="222">
      <x:c r="A222" s="68" t="str">
        <x:v>格局类别</x:v>
      </x:c>
      <x:c r="B222" s="68" t="str">
        <x:v>GCT07</x:v>
      </x:c>
      <x:c r="C222" s="68" t="str">
        <x:v>其他</x:v>
      </x:c>
      <x:c r="D222" s="68" t="str">
        <x:v>格局类别的标准选项：其他。具体成立条件由对应模块规则定义。</x:v>
      </x:c>
      <x:c r="E222" s="68" t="str">
        <x:v>格局类别</x:v>
      </x:c>
      <x:c r="F222" s="98" t="n">
        <x:v>7</x:v>
      </x:c>
      <x:c r="G222" s="68" t="str">
        <x:v>是</x:v>
      </x:c>
      <x:c r="H222" s="68" t="str"/>
    </x:row>
    <x:row r="223">
      <x:c r="A223" s="68" t="str">
        <x:v>格局状态</x:v>
      </x:c>
      <x:c r="B223" s="68" t="str">
        <x:v>GST01</x:v>
      </x:c>
      <x:c r="C223" s="68" t="str">
        <x:v>不成立</x:v>
      </x:c>
      <x:c r="D223" s="68" t="str">
        <x:v>候选缺少必要条件或存在明确否决条件。</x:v>
      </x:c>
      <x:c r="E223" s="68" t="str">
        <x:v>候选状态、格局状态</x:v>
      </x:c>
      <x:c r="F223" s="98" t="n">
        <x:v>1</x:v>
      </x:c>
      <x:c r="G223" s="68" t="str">
        <x:v>是</x:v>
      </x:c>
      <x:c r="H223" s="68" t="str"/>
    </x:row>
    <x:row r="224">
      <x:c r="A224" s="68" t="str">
        <x:v>格局状态</x:v>
      </x:c>
      <x:c r="B224" s="68" t="str">
        <x:v>GST02</x:v>
      </x:c>
      <x:c r="C224" s="68" t="str">
        <x:v>候选</x:v>
      </x:c>
      <x:c r="D224" s="68" t="str">
        <x:v>具备初步依据，尚未完成成败、破格和救应检验。</x:v>
      </x:c>
      <x:c r="E224" s="68" t="str">
        <x:v>候选状态、格局状态</x:v>
      </x:c>
      <x:c r="F224" s="98" t="n">
        <x:v>2</x:v>
      </x:c>
      <x:c r="G224" s="68" t="str">
        <x:v>是</x:v>
      </x:c>
      <x:c r="H224" s="68" t="str"/>
    </x:row>
    <x:row r="225">
      <x:c r="A225" s="68" t="str">
        <x:v>格局状态</x:v>
      </x:c>
      <x:c r="B225" s="68" t="str">
        <x:v>GST03</x:v>
      </x:c>
      <x:c r="C225" s="68" t="str">
        <x:v>基本成立</x:v>
      </x:c>
      <x:c r="D225" s="68" t="str">
        <x:v>核心条件满足，但清纯度、稳定性或比例仍有不足。</x:v>
      </x:c>
      <x:c r="E225" s="68" t="str">
        <x:v>候选状态、格局状态</x:v>
      </x:c>
      <x:c r="F225" s="98" t="n">
        <x:v>3</x:v>
      </x:c>
      <x:c r="G225" s="68" t="str">
        <x:v>是</x:v>
      </x:c>
      <x:c r="H225" s="68" t="str"/>
    </x:row>
    <x:row r="226">
      <x:c r="A226" s="68" t="str">
        <x:v>格局状态</x:v>
      </x:c>
      <x:c r="B226" s="68" t="str">
        <x:v>GST04</x:v>
      </x:c>
      <x:c r="C226" s="68" t="str">
        <x:v>成立但有破</x:v>
      </x:c>
      <x:c r="D226" s="68" t="str">
        <x:v>核心格局成立，同时存在未被修复的破格因素。</x:v>
      </x:c>
      <x:c r="E226" s="68" t="str">
        <x:v>候选状态、格局状态</x:v>
      </x:c>
      <x:c r="F226" s="98" t="n">
        <x:v>4</x:v>
      </x:c>
      <x:c r="G226" s="68" t="str">
        <x:v>是</x:v>
      </x:c>
      <x:c r="H226" s="68" t="str"/>
    </x:row>
    <x:row r="227">
      <x:c r="A227" s="68" t="str">
        <x:v>格局状态</x:v>
      </x:c>
      <x:c r="B227" s="68" t="str">
        <x:v>GST05</x:v>
      </x:c>
      <x:c r="C227" s="68" t="str">
        <x:v>有破有救</x:v>
      </x:c>
      <x:c r="D227" s="68" t="str">
        <x:v>存在破格因素，但有实际有效的救应机制。</x:v>
      </x:c>
      <x:c r="E227" s="68" t="str">
        <x:v>候选状态、格局状态</x:v>
      </x:c>
      <x:c r="F227" s="98" t="n">
        <x:v>5</x:v>
      </x:c>
      <x:c r="G227" s="68" t="str">
        <x:v>是</x:v>
      </x:c>
      <x:c r="H227" s="68" t="str"/>
    </x:row>
    <x:row r="228">
      <x:c r="A228" s="68" t="str">
        <x:v>格局状态</x:v>
      </x:c>
      <x:c r="B228" s="68" t="str">
        <x:v>GST06</x:v>
      </x:c>
      <x:c r="C228" s="68" t="str">
        <x:v>清纯成立</x:v>
      </x:c>
      <x:c r="D228" s="68" t="str">
        <x:v>核心条件完整，杂乱与破坏较少，运行相对稳定。</x:v>
      </x:c>
      <x:c r="E228" s="68" t="str">
        <x:v>候选状态、格局状态</x:v>
      </x:c>
      <x:c r="F228" s="98" t="n">
        <x:v>6</x:v>
      </x:c>
      <x:c r="G228" s="68" t="str">
        <x:v>是</x:v>
      </x:c>
      <x:c r="H228" s="68" t="str"/>
    </x:row>
    <x:row r="229">
      <x:c r="A229" s="68" t="str">
        <x:v>格局状态</x:v>
      </x:c>
      <x:c r="B229" s="68" t="str">
        <x:v>GST07</x:v>
      </x:c>
      <x:c r="C229" s="68" t="str">
        <x:v>特殊格局严格成立</x:v>
      </x:c>
      <x:c r="D229" s="68" t="str">
        <x:v>从格、化气格等全部关键硬条件成立，普通扶抑需让位。</x:v>
      </x:c>
      <x:c r="E229" s="68" t="str">
        <x:v>候选状态、格局状态</x:v>
      </x:c>
      <x:c r="F229" s="98" t="n">
        <x:v>7</x:v>
      </x:c>
      <x:c r="G229" s="68" t="str">
        <x:v>是</x:v>
      </x:c>
      <x:c r="H229" s="68" t="str"/>
    </x:row>
    <x:row r="230">
      <x:c r="A230" s="68" t="str">
        <x:v>格局状态</x:v>
      </x:c>
      <x:c r="B230" s="68" t="str">
        <x:v>GST08</x:v>
      </x:c>
      <x:c r="C230" s="68" t="str">
        <x:v>待定</x:v>
      </x:c>
      <x:c r="D230" s="68" t="str">
        <x:v>格局状态的标准选项：待定。具体成立条件由对应模块规则定义。</x:v>
      </x:c>
      <x:c r="E230" s="68" t="str">
        <x:v>候选状态、格局状态</x:v>
      </x:c>
      <x:c r="F230" s="98" t="n">
        <x:v>8</x:v>
      </x:c>
      <x:c r="G230" s="68" t="str">
        <x:v>是</x:v>
      </x:c>
      <x:c r="H230" s="68" t="str"/>
    </x:row>
    <x:row r="231">
      <x:c r="A231" s="68" t="str">
        <x:v>清纯程度</x:v>
      </x:c>
      <x:c r="B231" s="68" t="str">
        <x:v>CLR01</x:v>
      </x:c>
      <x:c r="C231" s="68" t="str">
        <x:v>清纯</x:v>
      </x:c>
      <x:c r="D231" s="68" t="str">
        <x:v>清纯程度的标准选项：清纯。具体成立条件由对应模块规则定义。</x:v>
      </x:c>
      <x:c r="E231" s="68" t="str">
        <x:v>主气清纯度、清纯程度</x:v>
      </x:c>
      <x:c r="F231" s="98" t="n">
        <x:v>1</x:v>
      </x:c>
      <x:c r="G231" s="68" t="str">
        <x:v>是</x:v>
      </x:c>
      <x:c r="H231" s="68" t="str"/>
    </x:row>
    <x:row r="232">
      <x:c r="A232" s="68" t="str">
        <x:v>清纯程度</x:v>
      </x:c>
      <x:c r="B232" s="68" t="str">
        <x:v>CLR02</x:v>
      </x:c>
      <x:c r="C232" s="68" t="str">
        <x:v>较清</x:v>
      </x:c>
      <x:c r="D232" s="68" t="str">
        <x:v>清纯程度的标准选项：较清。具体成立条件由对应模块规则定义。</x:v>
      </x:c>
      <x:c r="E232" s="68" t="str">
        <x:v>主气清纯度、清纯程度</x:v>
      </x:c>
      <x:c r="F232" s="98" t="n">
        <x:v>2</x:v>
      </x:c>
      <x:c r="G232" s="68" t="str">
        <x:v>是</x:v>
      </x:c>
      <x:c r="H232" s="68" t="str"/>
    </x:row>
    <x:row r="233">
      <x:c r="A233" s="68" t="str">
        <x:v>清纯程度</x:v>
      </x:c>
      <x:c r="B233" s="68" t="str">
        <x:v>CLR03</x:v>
      </x:c>
      <x:c r="C233" s="68" t="str">
        <x:v>有杂</x:v>
      </x:c>
      <x:c r="D233" s="68" t="str">
        <x:v>清纯程度的标准选项：有杂。具体成立条件由对应模块规则定义。</x:v>
      </x:c>
      <x:c r="E233" s="68" t="str">
        <x:v>主气清纯度、清纯程度</x:v>
      </x:c>
      <x:c r="F233" s="98" t="n">
        <x:v>3</x:v>
      </x:c>
      <x:c r="G233" s="68" t="str">
        <x:v>是</x:v>
      </x:c>
      <x:c r="H233" s="68" t="str"/>
    </x:row>
    <x:row r="234">
      <x:c r="A234" s="68" t="str">
        <x:v>清纯程度</x:v>
      </x:c>
      <x:c r="B234" s="68" t="str">
        <x:v>CLR04</x:v>
      </x:c>
      <x:c r="C234" s="68" t="str">
        <x:v>混杂</x:v>
      </x:c>
      <x:c r="D234" s="68" t="str">
        <x:v>清纯程度的标准选项：混杂。具体成立条件由对应模块规则定义。</x:v>
      </x:c>
      <x:c r="E234" s="68" t="str">
        <x:v>主气清纯度、清纯程度</x:v>
      </x:c>
      <x:c r="F234" s="98" t="n">
        <x:v>4</x:v>
      </x:c>
      <x:c r="G234" s="68" t="str">
        <x:v>是</x:v>
      </x:c>
      <x:c r="H234" s="68" t="str"/>
    </x:row>
    <x:row r="235">
      <x:c r="A235" s="68" t="str">
        <x:v>清纯程度</x:v>
      </x:c>
      <x:c r="B235" s="68" t="str">
        <x:v>CLR05</x:v>
      </x:c>
      <x:c r="C235" s="68" t="str">
        <x:v>严重混杂</x:v>
      </x:c>
      <x:c r="D235" s="68" t="str">
        <x:v>清纯程度的标准选项：严重混杂。具体成立条件由对应模块规则定义。</x:v>
      </x:c>
      <x:c r="E235" s="68" t="str">
        <x:v>主气清纯度、清纯程度</x:v>
      </x:c>
      <x:c r="F235" s="98" t="n">
        <x:v>5</x:v>
      </x:c>
      <x:c r="G235" s="68" t="str">
        <x:v>是</x:v>
      </x:c>
      <x:c r="H235" s="68" t="str"/>
    </x:row>
    <x:row r="236">
      <x:c r="A236" s="68" t="str">
        <x:v>清纯程度</x:v>
      </x:c>
      <x:c r="B236" s="68" t="str">
        <x:v>CLR06</x:v>
      </x:c>
      <x:c r="C236" s="68" t="str">
        <x:v>待定</x:v>
      </x:c>
      <x:c r="D236" s="68" t="str">
        <x:v>清纯程度的标准选项：待定。具体成立条件由对应模块规则定义。</x:v>
      </x:c>
      <x:c r="E236" s="68" t="str">
        <x:v>主气清纯度、清纯程度</x:v>
      </x:c>
      <x:c r="F236" s="98" t="n">
        <x:v>6</x:v>
      </x:c>
      <x:c r="G236" s="68" t="str">
        <x:v>是</x:v>
      </x:c>
      <x:c r="H236" s="68" t="str"/>
    </x:row>
    <x:row r="237">
      <x:c r="A237" s="68" t="str">
        <x:v>破格等级</x:v>
      </x:c>
      <x:c r="B237" s="68" t="str">
        <x:v>BRK01</x:v>
      </x:c>
      <x:c r="C237" s="68" t="str">
        <x:v>无破</x:v>
      </x:c>
      <x:c r="D237" s="68" t="str">
        <x:v>破格等级的标准选项：无破。具体成立条件由对应模块规则定义。</x:v>
      </x:c>
      <x:c r="E237" s="68" t="str">
        <x:v>破格等级</x:v>
      </x:c>
      <x:c r="F237" s="98" t="n">
        <x:v>1</x:v>
      </x:c>
      <x:c r="G237" s="68" t="str">
        <x:v>是</x:v>
      </x:c>
      <x:c r="H237" s="68" t="str"/>
    </x:row>
    <x:row r="238">
      <x:c r="A238" s="68" t="str">
        <x:v>破格等级</x:v>
      </x:c>
      <x:c r="B238" s="68" t="str">
        <x:v>BRK02</x:v>
      </x:c>
      <x:c r="C238" s="68" t="str">
        <x:v>轻微</x:v>
      </x:c>
      <x:c r="D238" s="68" t="str">
        <x:v>破格等级的标准选项：轻微。具体成立条件由对应模块规则定义。</x:v>
      </x:c>
      <x:c r="E238" s="68" t="str">
        <x:v>破格等级</x:v>
      </x:c>
      <x:c r="F238" s="98" t="n">
        <x:v>2</x:v>
      </x:c>
      <x:c r="G238" s="68" t="str">
        <x:v>是</x:v>
      </x:c>
      <x:c r="H238" s="68" t="str"/>
    </x:row>
    <x:row r="239">
      <x:c r="A239" s="68" t="str">
        <x:v>破格等级</x:v>
      </x:c>
      <x:c r="B239" s="68" t="str">
        <x:v>BRK03</x:v>
      </x:c>
      <x:c r="C239" s="68" t="str">
        <x:v>一般</x:v>
      </x:c>
      <x:c r="D239" s="68" t="str">
        <x:v>破格等级的标准选项：一般。具体成立条件由对应模块规则定义。</x:v>
      </x:c>
      <x:c r="E239" s="68" t="str">
        <x:v>破格等级</x:v>
      </x:c>
      <x:c r="F239" s="98" t="n">
        <x:v>3</x:v>
      </x:c>
      <x:c r="G239" s="68" t="str">
        <x:v>是</x:v>
      </x:c>
      <x:c r="H239" s="68" t="str"/>
    </x:row>
    <x:row r="240">
      <x:c r="A240" s="68" t="str">
        <x:v>破格等级</x:v>
      </x:c>
      <x:c r="B240" s="68" t="str">
        <x:v>BRK04</x:v>
      </x:c>
      <x:c r="C240" s="68" t="str">
        <x:v>严重</x:v>
      </x:c>
      <x:c r="D240" s="68" t="str">
        <x:v>破格等级的标准选项：严重。具体成立条件由对应模块规则定义。</x:v>
      </x:c>
      <x:c r="E240" s="68" t="str">
        <x:v>破格等级</x:v>
      </x:c>
      <x:c r="F240" s="98" t="n">
        <x:v>4</x:v>
      </x:c>
      <x:c r="G240" s="68" t="str">
        <x:v>是</x:v>
      </x:c>
      <x:c r="H240" s="68" t="str"/>
    </x:row>
    <x:row r="241">
      <x:c r="A241" s="68" t="str">
        <x:v>破格等级</x:v>
      </x:c>
      <x:c r="B241" s="68" t="str">
        <x:v>BRK05</x:v>
      </x:c>
      <x:c r="C241" s="68" t="str">
        <x:v>根本破格</x:v>
      </x:c>
      <x:c r="D241" s="68" t="str">
        <x:v>破格等级的标准选项：根本破格。具体成立条件由对应模块规则定义。</x:v>
      </x:c>
      <x:c r="E241" s="68" t="str">
        <x:v>破格等级</x:v>
      </x:c>
      <x:c r="F241" s="98" t="n">
        <x:v>5</x:v>
      </x:c>
      <x:c r="G241" s="68" t="str">
        <x:v>是</x:v>
      </x:c>
      <x:c r="H241" s="68" t="str"/>
    </x:row>
    <x:row r="242">
      <x:c r="A242" s="68" t="str">
        <x:v>破格等级</x:v>
      </x:c>
      <x:c r="B242" s="68" t="str">
        <x:v>BRK06</x:v>
      </x:c>
      <x:c r="C242" s="68" t="str">
        <x:v>待定</x:v>
      </x:c>
      <x:c r="D242" s="68" t="str">
        <x:v>破格等级的标准选项：待定。具体成立条件由对应模块规则定义。</x:v>
      </x:c>
      <x:c r="E242" s="68" t="str">
        <x:v>破格等级</x:v>
      </x:c>
      <x:c r="F242" s="98" t="n">
        <x:v>6</x:v>
      </x:c>
      <x:c r="G242" s="68" t="str">
        <x:v>是</x:v>
      </x:c>
      <x:c r="H242" s="68" t="str"/>
    </x:row>
    <x:row r="243">
      <x:c r="A243" s="68" t="str">
        <x:v>救应有效性</x:v>
      </x:c>
      <x:c r="B243" s="68" t="str">
        <x:v>RES01</x:v>
      </x:c>
      <x:c r="C243" s="68" t="str">
        <x:v>无救应</x:v>
      </x:c>
      <x:c r="D243" s="68" t="str">
        <x:v>救应有效性的标准选项：无救应。具体成立条件由对应模块规则定义。</x:v>
      </x:c>
      <x:c r="E243" s="68" t="str">
        <x:v>救应有效性</x:v>
      </x:c>
      <x:c r="F243" s="98" t="n">
        <x:v>1</x:v>
      </x:c>
      <x:c r="G243" s="68" t="str">
        <x:v>是</x:v>
      </x:c>
      <x:c r="H243" s="68" t="str"/>
    </x:row>
    <x:row r="244">
      <x:c r="A244" s="68" t="str">
        <x:v>救应有效性</x:v>
      </x:c>
      <x:c r="B244" s="68" t="str">
        <x:v>RES02</x:v>
      </x:c>
      <x:c r="C244" s="68" t="str">
        <x:v>弱救应</x:v>
      </x:c>
      <x:c r="D244" s="68" t="str">
        <x:v>救应有效性的标准选项：弱救应。具体成立条件由对应模块规则定义。</x:v>
      </x:c>
      <x:c r="E244" s="68" t="str">
        <x:v>救应有效性</x:v>
      </x:c>
      <x:c r="F244" s="98" t="n">
        <x:v>2</x:v>
      </x:c>
      <x:c r="G244" s="68" t="str">
        <x:v>是</x:v>
      </x:c>
      <x:c r="H244" s="68" t="str"/>
    </x:row>
    <x:row r="245">
      <x:c r="A245" s="68" t="str">
        <x:v>救应有效性</x:v>
      </x:c>
      <x:c r="B245" s="68" t="str">
        <x:v>RES03</x:v>
      </x:c>
      <x:c r="C245" s="68" t="str">
        <x:v>部分有效</x:v>
      </x:c>
      <x:c r="D245" s="68" t="str">
        <x:v>救应有效性的标准选项：部分有效。具体成立条件由对应模块规则定义。</x:v>
      </x:c>
      <x:c r="E245" s="68" t="str">
        <x:v>救应有效性</x:v>
      </x:c>
      <x:c r="F245" s="98" t="n">
        <x:v>3</x:v>
      </x:c>
      <x:c r="G245" s="68" t="str">
        <x:v>是</x:v>
      </x:c>
      <x:c r="H245" s="68" t="str"/>
    </x:row>
    <x:row r="246">
      <x:c r="A246" s="68" t="str">
        <x:v>救应有效性</x:v>
      </x:c>
      <x:c r="B246" s="68" t="str">
        <x:v>RES04</x:v>
      </x:c>
      <x:c r="C246" s="68" t="str">
        <x:v>明显有效</x:v>
      </x:c>
      <x:c r="D246" s="68" t="str">
        <x:v>救应有效性的标准选项：明显有效。具体成立条件由对应模块规则定义。</x:v>
      </x:c>
      <x:c r="E246" s="68" t="str">
        <x:v>救应有效性</x:v>
      </x:c>
      <x:c r="F246" s="98" t="n">
        <x:v>4</x:v>
      </x:c>
      <x:c r="G246" s="68" t="str">
        <x:v>是</x:v>
      </x:c>
      <x:c r="H246" s="68" t="str"/>
    </x:row>
    <x:row r="247">
      <x:c r="A247" s="68" t="str">
        <x:v>救应有效性</x:v>
      </x:c>
      <x:c r="B247" s="68" t="str">
        <x:v>RES05</x:v>
      </x:c>
      <x:c r="C247" s="68" t="str">
        <x:v>完全救应</x:v>
      </x:c>
      <x:c r="D247" s="68" t="str">
        <x:v>救应有效性的标准选项：完全救应。具体成立条件由对应模块规则定义。</x:v>
      </x:c>
      <x:c r="E247" s="68" t="str">
        <x:v>救应有效性</x:v>
      </x:c>
      <x:c r="F247" s="98" t="n">
        <x:v>5</x:v>
      </x:c>
      <x:c r="G247" s="68" t="str">
        <x:v>是</x:v>
      </x:c>
      <x:c r="H247" s="68" t="str"/>
    </x:row>
    <x:row r="248">
      <x:c r="A248" s="68" t="str">
        <x:v>救应有效性</x:v>
      </x:c>
      <x:c r="B248" s="68" t="str">
        <x:v>RES06</x:v>
      </x:c>
      <x:c r="C248" s="68" t="str">
        <x:v>待定</x:v>
      </x:c>
      <x:c r="D248" s="68" t="str">
        <x:v>救应有效性的标准选项：待定。具体成立条件由对应模块规则定义。</x:v>
      </x:c>
      <x:c r="E248" s="68" t="str">
        <x:v>救应有效性</x:v>
      </x:c>
      <x:c r="F248" s="98" t="n">
        <x:v>6</x:v>
      </x:c>
      <x:c r="G248" s="68" t="str">
        <x:v>是</x:v>
      </x:c>
      <x:c r="H248" s="68" t="str"/>
    </x:row>
    <x:row r="249">
      <x:c r="A249" s="68" t="str">
        <x:v>病类</x:v>
      </x:c>
      <x:c r="B249" s="68" t="str">
        <x:v>DIS01</x:v>
      </x:c>
      <x:c r="C249" s="68" t="str">
        <x:v>旺衰病</x:v>
      </x:c>
      <x:c r="D249" s="68" t="str">
        <x:v>按旺衰、流通、制化、格局、调候或复合机制分类原局主要问题。</x:v>
      </x:c>
      <x:c r="E249" s="68" t="str">
        <x:v>病类</x:v>
      </x:c>
      <x:c r="F249" s="98" t="n">
        <x:v>1</x:v>
      </x:c>
      <x:c r="G249" s="68" t="str">
        <x:v>是</x:v>
      </x:c>
      <x:c r="H249" s="68" t="str"/>
    </x:row>
    <x:row r="250">
      <x:c r="A250" s="68" t="str">
        <x:v>病类</x:v>
      </x:c>
      <x:c r="B250" s="68" t="str">
        <x:v>DIS02</x:v>
      </x:c>
      <x:c r="C250" s="68" t="str">
        <x:v>流通病</x:v>
      </x:c>
      <x:c r="D250" s="68" t="str">
        <x:v>按旺衰、流通、制化、格局、调候或复合机制分类原局主要问题。</x:v>
      </x:c>
      <x:c r="E250" s="68" t="str">
        <x:v>病类</x:v>
      </x:c>
      <x:c r="F250" s="98" t="n">
        <x:v>2</x:v>
      </x:c>
      <x:c r="G250" s="68" t="str">
        <x:v>是</x:v>
      </x:c>
      <x:c r="H250" s="68" t="str"/>
    </x:row>
    <x:row r="251">
      <x:c r="A251" s="68" t="str">
        <x:v>病类</x:v>
      </x:c>
      <x:c r="B251" s="68" t="str">
        <x:v>DIS03</x:v>
      </x:c>
      <x:c r="C251" s="68" t="str">
        <x:v>制化病</x:v>
      </x:c>
      <x:c r="D251" s="68" t="str">
        <x:v>按旺衰、流通、制化、格局、调候或复合机制分类原局主要问题。</x:v>
      </x:c>
      <x:c r="E251" s="68" t="str">
        <x:v>病类</x:v>
      </x:c>
      <x:c r="F251" s="98" t="n">
        <x:v>3</x:v>
      </x:c>
      <x:c r="G251" s="68" t="str">
        <x:v>是</x:v>
      </x:c>
      <x:c r="H251" s="68" t="str"/>
    </x:row>
    <x:row r="252">
      <x:c r="A252" s="68" t="str">
        <x:v>病类</x:v>
      </x:c>
      <x:c r="B252" s="68" t="str">
        <x:v>DIS04</x:v>
      </x:c>
      <x:c r="C252" s="68" t="str">
        <x:v>格局病</x:v>
      </x:c>
      <x:c r="D252" s="68" t="str">
        <x:v>按旺衰、流通、制化、格局、调候或复合机制分类原局主要问题。</x:v>
      </x:c>
      <x:c r="E252" s="68" t="str">
        <x:v>病类</x:v>
      </x:c>
      <x:c r="F252" s="98" t="n">
        <x:v>4</x:v>
      </x:c>
      <x:c r="G252" s="68" t="str">
        <x:v>是</x:v>
      </x:c>
      <x:c r="H252" s="68" t="str"/>
    </x:row>
    <x:row r="253">
      <x:c r="A253" s="68" t="str">
        <x:v>病类</x:v>
      </x:c>
      <x:c r="B253" s="68" t="str">
        <x:v>DIS05</x:v>
      </x:c>
      <x:c r="C253" s="68" t="str">
        <x:v>调候病</x:v>
      </x:c>
      <x:c r="D253" s="68" t="str">
        <x:v>按旺衰、流通、制化、格局、调候或复合机制分类原局主要问题。</x:v>
      </x:c>
      <x:c r="E253" s="68" t="str">
        <x:v>病类</x:v>
      </x:c>
      <x:c r="F253" s="98" t="n">
        <x:v>5</x:v>
      </x:c>
      <x:c r="G253" s="68" t="str">
        <x:v>是</x:v>
      </x:c>
      <x:c r="H253" s="68" t="str"/>
    </x:row>
    <x:row r="254">
      <x:c r="A254" s="68" t="str">
        <x:v>病类</x:v>
      </x:c>
      <x:c r="B254" s="68" t="str">
        <x:v>DIS06</x:v>
      </x:c>
      <x:c r="C254" s="68" t="str">
        <x:v>复合病</x:v>
      </x:c>
      <x:c r="D254" s="68" t="str">
        <x:v>按旺衰、流通、制化、格局、调候或复合机制分类原局主要问题。</x:v>
      </x:c>
      <x:c r="E254" s="68" t="str">
        <x:v>病类</x:v>
      </x:c>
      <x:c r="F254" s="98" t="n">
        <x:v>6</x:v>
      </x:c>
      <x:c r="G254" s="68" t="str">
        <x:v>是</x:v>
      </x:c>
      <x:c r="H254" s="68" t="str"/>
    </x:row>
    <x:row r="255">
      <x:c r="A255" s="68" t="str">
        <x:v>病类</x:v>
      </x:c>
      <x:c r="B255" s="68" t="str">
        <x:v>DIS07</x:v>
      </x:c>
      <x:c r="C255" s="68" t="str">
        <x:v>待定</x:v>
      </x:c>
      <x:c r="D255" s="68" t="str">
        <x:v>按旺衰、流通、制化、格局、调候或复合机制分类原局主要问题。</x:v>
      </x:c>
      <x:c r="E255" s="68" t="str">
        <x:v>病类</x:v>
      </x:c>
      <x:c r="F255" s="98" t="n">
        <x:v>7</x:v>
      </x:c>
      <x:c r="G255" s="68" t="str">
        <x:v>是</x:v>
      </x:c>
      <x:c r="H255" s="68" t="str"/>
    </x:row>
    <x:row r="256">
      <x:c r="A256" s="68" t="str">
        <x:v>严重程度</x:v>
      </x:c>
      <x:c r="B256" s="68" t="str">
        <x:v>SEV01</x:v>
      </x:c>
      <x:c r="C256" s="68" t="str">
        <x:v>轻微</x:v>
      </x:c>
      <x:c r="D256" s="68" t="str">
        <x:v>严重程度的标准选项：轻微。具体成立条件由对应模块规则定义。</x:v>
      </x:c>
      <x:c r="E256" s="68" t="str">
        <x:v>严重程度</x:v>
      </x:c>
      <x:c r="F256" s="98" t="n">
        <x:v>1</x:v>
      </x:c>
      <x:c r="G256" s="68" t="str">
        <x:v>是</x:v>
      </x:c>
      <x:c r="H256" s="68" t="str"/>
    </x:row>
    <x:row r="257">
      <x:c r="A257" s="68" t="str">
        <x:v>严重程度</x:v>
      </x:c>
      <x:c r="B257" s="68" t="str">
        <x:v>SEV02</x:v>
      </x:c>
      <x:c r="C257" s="68" t="str">
        <x:v>一般</x:v>
      </x:c>
      <x:c r="D257" s="68" t="str">
        <x:v>严重程度的标准选项：一般。具体成立条件由对应模块规则定义。</x:v>
      </x:c>
      <x:c r="E257" s="68" t="str">
        <x:v>严重程度</x:v>
      </x:c>
      <x:c r="F257" s="98" t="n">
        <x:v>2</x:v>
      </x:c>
      <x:c r="G257" s="68" t="str">
        <x:v>是</x:v>
      </x:c>
      <x:c r="H257" s="68" t="str"/>
    </x:row>
    <x:row r="258">
      <x:c r="A258" s="68" t="str">
        <x:v>严重程度</x:v>
      </x:c>
      <x:c r="B258" s="68" t="str">
        <x:v>SEV03</x:v>
      </x:c>
      <x:c r="C258" s="68" t="str">
        <x:v>明显</x:v>
      </x:c>
      <x:c r="D258" s="68" t="str">
        <x:v>严重程度的标准选项：明显。具体成立条件由对应模块规则定义。</x:v>
      </x:c>
      <x:c r="E258" s="68" t="str">
        <x:v>严重程度</x:v>
      </x:c>
      <x:c r="F258" s="98" t="n">
        <x:v>3</x:v>
      </x:c>
      <x:c r="G258" s="68" t="str">
        <x:v>是</x:v>
      </x:c>
      <x:c r="H258" s="68" t="str"/>
    </x:row>
    <x:row r="259">
      <x:c r="A259" s="68" t="str">
        <x:v>严重程度</x:v>
      </x:c>
      <x:c r="B259" s="68" t="str">
        <x:v>SEV04</x:v>
      </x:c>
      <x:c r="C259" s="68" t="str">
        <x:v>严重</x:v>
      </x:c>
      <x:c r="D259" s="68" t="str">
        <x:v>严重程度的标准选项：严重。具体成立条件由对应模块规则定义。</x:v>
      </x:c>
      <x:c r="E259" s="68" t="str">
        <x:v>严重程度</x:v>
      </x:c>
      <x:c r="F259" s="98" t="n">
        <x:v>4</x:v>
      </x:c>
      <x:c r="G259" s="68" t="str">
        <x:v>是</x:v>
      </x:c>
      <x:c r="H259" s="68" t="str"/>
    </x:row>
    <x:row r="260">
      <x:c r="A260" s="68" t="str">
        <x:v>严重程度</x:v>
      </x:c>
      <x:c r="B260" s="68" t="str">
        <x:v>SEV05</x:v>
      </x:c>
      <x:c r="C260" s="68" t="str">
        <x:v>首要矛盾</x:v>
      </x:c>
      <x:c r="D260" s="68" t="str">
        <x:v>严重程度的标准选项：首要矛盾。具体成立条件由对应模块规则定义。</x:v>
      </x:c>
      <x:c r="E260" s="68" t="str">
        <x:v>严重程度</x:v>
      </x:c>
      <x:c r="F260" s="98" t="n">
        <x:v>5</x:v>
      </x:c>
      <x:c r="G260" s="68" t="str">
        <x:v>是</x:v>
      </x:c>
      <x:c r="H260" s="68" t="str"/>
    </x:row>
    <x:row r="261">
      <x:c r="A261" s="68" t="str">
        <x:v>严重程度</x:v>
      </x:c>
      <x:c r="B261" s="68" t="str">
        <x:v>SEV06</x:v>
      </x:c>
      <x:c r="C261" s="68" t="str">
        <x:v>待定</x:v>
      </x:c>
      <x:c r="D261" s="68" t="str">
        <x:v>严重程度的标准选项：待定。具体成立条件由对应模块规则定义。</x:v>
      </x:c>
      <x:c r="E261" s="68" t="str">
        <x:v>严重程度</x:v>
      </x:c>
      <x:c r="F261" s="98" t="n">
        <x:v>6</x:v>
      </x:c>
      <x:c r="G261" s="68" t="str">
        <x:v>是</x:v>
      </x:c>
      <x:c r="H261" s="68" t="str"/>
    </x:row>
    <x:row r="262">
      <x:c r="A262" s="68" t="str">
        <x:v>药理</x:v>
      </x:c>
      <x:c r="B262" s="68" t="str">
        <x:v>MED01</x:v>
      </x:c>
      <x:c r="C262" s="68" t="str">
        <x:v>扶</x:v>
      </x:c>
      <x:c r="D262" s="68" t="str">
        <x:v>描述药神如何解决原局之病，并需评估药力不足、过量与新病风险。</x:v>
      </x:c>
      <x:c r="E262" s="68" t="str">
        <x:v>药理</x:v>
      </x:c>
      <x:c r="F262" s="98" t="n">
        <x:v>1</x:v>
      </x:c>
      <x:c r="G262" s="68" t="str">
        <x:v>是</x:v>
      </x:c>
      <x:c r="H262" s="68" t="str"/>
    </x:row>
    <x:row r="263">
      <x:c r="A263" s="68" t="str">
        <x:v>药理</x:v>
      </x:c>
      <x:c r="B263" s="68" t="str">
        <x:v>MED02</x:v>
      </x:c>
      <x:c r="C263" s="68" t="str">
        <x:v>抑</x:v>
      </x:c>
      <x:c r="D263" s="68" t="str">
        <x:v>描述药神如何解决原局之病，并需评估药力不足、过量与新病风险。</x:v>
      </x:c>
      <x:c r="E263" s="68" t="str">
        <x:v>药理</x:v>
      </x:c>
      <x:c r="F263" s="98" t="n">
        <x:v>2</x:v>
      </x:c>
      <x:c r="G263" s="68" t="str">
        <x:v>是</x:v>
      </x:c>
      <x:c r="H263" s="68" t="str"/>
    </x:row>
    <x:row r="264">
      <x:c r="A264" s="68" t="str">
        <x:v>药理</x:v>
      </x:c>
      <x:c r="B264" s="68" t="str">
        <x:v>MED03</x:v>
      </x:c>
      <x:c r="C264" s="68" t="str">
        <x:v>泄</x:v>
      </x:c>
      <x:c r="D264" s="68" t="str">
        <x:v>描述药神如何解决原局之病，并需评估药力不足、过量与新病风险。</x:v>
      </x:c>
      <x:c r="E264" s="68" t="str">
        <x:v>药理</x:v>
      </x:c>
      <x:c r="F264" s="98" t="n">
        <x:v>3</x:v>
      </x:c>
      <x:c r="G264" s="68" t="str">
        <x:v>是</x:v>
      </x:c>
      <x:c r="H264" s="68" t="str"/>
    </x:row>
    <x:row r="265">
      <x:c r="A265" s="68" t="str">
        <x:v>药理</x:v>
      </x:c>
      <x:c r="B265" s="68" t="str">
        <x:v>MED04</x:v>
      </x:c>
      <x:c r="C265" s="68" t="str">
        <x:v>制</x:v>
      </x:c>
      <x:c r="D265" s="68" t="str">
        <x:v>描述药神如何解决原局之病，并需评估药力不足、过量与新病风险。</x:v>
      </x:c>
      <x:c r="E265" s="68" t="str">
        <x:v>药理</x:v>
      </x:c>
      <x:c r="F265" s="98" t="n">
        <x:v>4</x:v>
      </x:c>
      <x:c r="G265" s="68" t="str">
        <x:v>是</x:v>
      </x:c>
      <x:c r="H265" s="68" t="str"/>
    </x:row>
    <x:row r="266">
      <x:c r="A266" s="68" t="str">
        <x:v>药理</x:v>
      </x:c>
      <x:c r="B266" s="68" t="str">
        <x:v>MED05</x:v>
      </x:c>
      <x:c r="C266" s="68" t="str">
        <x:v>化</x:v>
      </x:c>
      <x:c r="D266" s="68" t="str">
        <x:v>描述药神如何解决原局之病，并需评估药力不足、过量与新病风险。</x:v>
      </x:c>
      <x:c r="E266" s="68" t="str">
        <x:v>药理</x:v>
      </x:c>
      <x:c r="F266" s="98" t="n">
        <x:v>5</x:v>
      </x:c>
      <x:c r="G266" s="68" t="str">
        <x:v>是</x:v>
      </x:c>
      <x:c r="H266" s="68" t="str"/>
    </x:row>
    <x:row r="267">
      <x:c r="A267" s="68" t="str">
        <x:v>药理</x:v>
      </x:c>
      <x:c r="B267" s="68" t="str">
        <x:v>MED06</x:v>
      </x:c>
      <x:c r="C267" s="68" t="str">
        <x:v>生</x:v>
      </x:c>
      <x:c r="D267" s="68" t="str">
        <x:v>描述药神如何解决原局之病，并需评估药力不足、过量与新病风险。</x:v>
      </x:c>
      <x:c r="E267" s="68" t="str">
        <x:v>药理</x:v>
      </x:c>
      <x:c r="F267" s="98" t="n">
        <x:v>6</x:v>
      </x:c>
      <x:c r="G267" s="68" t="str">
        <x:v>是</x:v>
      </x:c>
      <x:c r="H267" s="68" t="str"/>
    </x:row>
    <x:row r="268">
      <x:c r="A268" s="68" t="str">
        <x:v>药理</x:v>
      </x:c>
      <x:c r="B268" s="68" t="str">
        <x:v>MED07</x:v>
      </x:c>
      <x:c r="C268" s="68" t="str">
        <x:v>通</x:v>
      </x:c>
      <x:c r="D268" s="68" t="str">
        <x:v>描述药神如何解决原局之病，并需评估药力不足、过量与新病风险。</x:v>
      </x:c>
      <x:c r="E268" s="68" t="str">
        <x:v>药理</x:v>
      </x:c>
      <x:c r="F268" s="98" t="n">
        <x:v>7</x:v>
      </x:c>
      <x:c r="G268" s="68" t="str">
        <x:v>是</x:v>
      </x:c>
      <x:c r="H268" s="68" t="str"/>
    </x:row>
    <x:row r="269">
      <x:c r="A269" s="68" t="str">
        <x:v>药理</x:v>
      </x:c>
      <x:c r="B269" s="68" t="str">
        <x:v>MED08</x:v>
      </x:c>
      <x:c r="C269" s="68" t="str">
        <x:v>润</x:v>
      </x:c>
      <x:c r="D269" s="68" t="str">
        <x:v>描述药神如何解决原局之病，并需评估药力不足、过量与新病风险。</x:v>
      </x:c>
      <x:c r="E269" s="68" t="str">
        <x:v>药理</x:v>
      </x:c>
      <x:c r="F269" s="98" t="n">
        <x:v>8</x:v>
      </x:c>
      <x:c r="G269" s="68" t="str">
        <x:v>是</x:v>
      </x:c>
      <x:c r="H269" s="68" t="str"/>
    </x:row>
    <x:row r="270">
      <x:c r="A270" s="68" t="str">
        <x:v>药理</x:v>
      </x:c>
      <x:c r="B270" s="68" t="str">
        <x:v>MED09</x:v>
      </x:c>
      <x:c r="C270" s="68" t="str">
        <x:v>暖</x:v>
      </x:c>
      <x:c r="D270" s="68" t="str">
        <x:v>描述药神如何解决原局之病，并需评估药力不足、过量与新病风险。</x:v>
      </x:c>
      <x:c r="E270" s="68" t="str">
        <x:v>药理</x:v>
      </x:c>
      <x:c r="F270" s="98" t="n">
        <x:v>9</x:v>
      </x:c>
      <x:c r="G270" s="68" t="str">
        <x:v>是</x:v>
      </x:c>
      <x:c r="H270" s="68" t="str"/>
    </x:row>
    <x:row r="271">
      <x:c r="A271" s="68" t="str">
        <x:v>药理</x:v>
      </x:c>
      <x:c r="B271" s="68" t="str">
        <x:v>MED10</x:v>
      </x:c>
      <x:c r="C271" s="68" t="str">
        <x:v>燥湿</x:v>
      </x:c>
      <x:c r="D271" s="68" t="str">
        <x:v>描述药神如何解决原局之病，并需评估药力不足、过量与新病风险。</x:v>
      </x:c>
      <x:c r="E271" s="68" t="str">
        <x:v>药理</x:v>
      </x:c>
      <x:c r="F271" s="98" t="n">
        <x:v>10</x:v>
      </x:c>
      <x:c r="G271" s="68" t="str">
        <x:v>是</x:v>
      </x:c>
      <x:c r="H271" s="68" t="str"/>
    </x:row>
    <x:row r="272">
      <x:c r="A272" s="68" t="str">
        <x:v>药理</x:v>
      </x:c>
      <x:c r="B272" s="68" t="str">
        <x:v>MED11</x:v>
      </x:c>
      <x:c r="C272" s="68" t="str">
        <x:v>清杂</x:v>
      </x:c>
      <x:c r="D272" s="68" t="str">
        <x:v>描述药神如何解决原局之病，并需评估药力不足、过量与新病风险。</x:v>
      </x:c>
      <x:c r="E272" s="68" t="str">
        <x:v>药理</x:v>
      </x:c>
      <x:c r="F272" s="98" t="n">
        <x:v>11</x:v>
      </x:c>
      <x:c r="G272" s="68" t="str">
        <x:v>是</x:v>
      </x:c>
      <x:c r="H272" s="68" t="str"/>
    </x:row>
    <x:row r="273">
      <x:c r="A273" s="68" t="str">
        <x:v>药理</x:v>
      </x:c>
      <x:c r="B273" s="68" t="str">
        <x:v>MED12</x:v>
      </x:c>
      <x:c r="C273" s="68" t="str">
        <x:v>护格</x:v>
      </x:c>
      <x:c r="D273" s="68" t="str">
        <x:v>描述药神如何解决原局之病，并需评估药力不足、过量与新病风险。</x:v>
      </x:c>
      <x:c r="E273" s="68" t="str">
        <x:v>药理</x:v>
      </x:c>
      <x:c r="F273" s="98" t="n">
        <x:v>12</x:v>
      </x:c>
      <x:c r="G273" s="68" t="str">
        <x:v>是</x:v>
      </x:c>
      <x:c r="H273" s="68" t="str"/>
    </x:row>
    <x:row r="274">
      <x:c r="A274" s="68" t="str">
        <x:v>药理</x:v>
      </x:c>
      <x:c r="B274" s="68" t="str">
        <x:v>MED13</x:v>
      </x:c>
      <x:c r="C274" s="68" t="str">
        <x:v>救应</x:v>
      </x:c>
      <x:c r="D274" s="68" t="str">
        <x:v>描述药神如何解决原局之病，并需评估药力不足、过量与新病风险。</x:v>
      </x:c>
      <x:c r="E274" s="68" t="str">
        <x:v>药理</x:v>
      </x:c>
      <x:c r="F274" s="98" t="n">
        <x:v>13</x:v>
      </x:c>
      <x:c r="G274" s="68" t="str">
        <x:v>是</x:v>
      </x:c>
      <x:c r="H274" s="68" t="str"/>
    </x:row>
    <x:row r="275">
      <x:c r="A275" s="68" t="str">
        <x:v>药理</x:v>
      </x:c>
      <x:c r="B275" s="68" t="str">
        <x:v>MED14</x:v>
      </x:c>
      <x:c r="C275" s="68" t="str">
        <x:v>复合药理</x:v>
      </x:c>
      <x:c r="D275" s="68" t="str">
        <x:v>描述药神如何解决原局之病，并需评估药力不足、过量与新病风险。</x:v>
      </x:c>
      <x:c r="E275" s="68" t="str">
        <x:v>药理</x:v>
      </x:c>
      <x:c r="F275" s="98" t="n">
        <x:v>14</x:v>
      </x:c>
      <x:c r="G275" s="68" t="str">
        <x:v>是</x:v>
      </x:c>
      <x:c r="H275" s="68" t="str"/>
    </x:row>
    <x:row r="276">
      <x:c r="A276" s="68" t="str">
        <x:v>药理</x:v>
      </x:c>
      <x:c r="B276" s="68" t="str">
        <x:v>MED15</x:v>
      </x:c>
      <x:c r="C276" s="68" t="str">
        <x:v>待定</x:v>
      </x:c>
      <x:c r="D276" s="68" t="str">
        <x:v>描述药神如何解决原局之病，并需评估药力不足、过量与新病风险。</x:v>
      </x:c>
      <x:c r="E276" s="68" t="str">
        <x:v>药理</x:v>
      </x:c>
      <x:c r="F276" s="98" t="n">
        <x:v>15</x:v>
      </x:c>
      <x:c r="G276" s="68" t="str">
        <x:v>是</x:v>
      </x:c>
      <x:c r="H276" s="68" t="str"/>
    </x:row>
    <x:row r="277">
      <x:c r="A277" s="68" t="str">
        <x:v>温度状态</x:v>
      </x:c>
      <x:c r="B277" s="68" t="str">
        <x:v>TMP01</x:v>
      </x:c>
      <x:c r="C277" s="68" t="str">
        <x:v>极寒</x:v>
      </x:c>
      <x:c r="D277" s="68" t="str">
        <x:v>温度状态的标准选项：极寒。具体成立条件由对应模块规则定义。</x:v>
      </x:c>
      <x:c r="E277" s="68" t="str">
        <x:v>温度状态</x:v>
      </x:c>
      <x:c r="F277" s="98" t="n">
        <x:v>1</x:v>
      </x:c>
      <x:c r="G277" s="68" t="str">
        <x:v>是</x:v>
      </x:c>
      <x:c r="H277" s="68" t="str"/>
    </x:row>
    <x:row r="278">
      <x:c r="A278" s="68" t="str">
        <x:v>温度状态</x:v>
      </x:c>
      <x:c r="B278" s="68" t="str">
        <x:v>TMP02</x:v>
      </x:c>
      <x:c r="C278" s="68" t="str">
        <x:v>偏寒</x:v>
      </x:c>
      <x:c r="D278" s="68" t="str">
        <x:v>温度状态的标准选项：偏寒。具体成立条件由对应模块规则定义。</x:v>
      </x:c>
      <x:c r="E278" s="68" t="str">
        <x:v>温度状态</x:v>
      </x:c>
      <x:c r="F278" s="98" t="n">
        <x:v>2</x:v>
      </x:c>
      <x:c r="G278" s="68" t="str">
        <x:v>是</x:v>
      </x:c>
      <x:c r="H278" s="68" t="str"/>
    </x:row>
    <x:row r="279">
      <x:c r="A279" s="68" t="str">
        <x:v>温度状态</x:v>
      </x:c>
      <x:c r="B279" s="68" t="str">
        <x:v>TMP03</x:v>
      </x:c>
      <x:c r="C279" s="68" t="str">
        <x:v>平衡</x:v>
      </x:c>
      <x:c r="D279" s="68" t="str">
        <x:v>温度状态的标准选项：平衡。具体成立条件由对应模块规则定义。</x:v>
      </x:c>
      <x:c r="E279" s="68" t="str">
        <x:v>温度状态</x:v>
      </x:c>
      <x:c r="F279" s="98" t="n">
        <x:v>3</x:v>
      </x:c>
      <x:c r="G279" s="68" t="str">
        <x:v>是</x:v>
      </x:c>
      <x:c r="H279" s="68" t="str"/>
    </x:row>
    <x:row r="280">
      <x:c r="A280" s="68" t="str">
        <x:v>温度状态</x:v>
      </x:c>
      <x:c r="B280" s="68" t="str">
        <x:v>TMP04</x:v>
      </x:c>
      <x:c r="C280" s="68" t="str">
        <x:v>偏暖</x:v>
      </x:c>
      <x:c r="D280" s="68" t="str">
        <x:v>温度状态的标准选项：偏暖。具体成立条件由对应模块规则定义。</x:v>
      </x:c>
      <x:c r="E280" s="68" t="str">
        <x:v>温度状态</x:v>
      </x:c>
      <x:c r="F280" s="98" t="n">
        <x:v>4</x:v>
      </x:c>
      <x:c r="G280" s="68" t="str">
        <x:v>是</x:v>
      </x:c>
      <x:c r="H280" s="68" t="str"/>
    </x:row>
    <x:row r="281">
      <x:c r="A281" s="68" t="str">
        <x:v>温度状态</x:v>
      </x:c>
      <x:c r="B281" s="68" t="str">
        <x:v>TMP05</x:v>
      </x:c>
      <x:c r="C281" s="68" t="str">
        <x:v>极热</x:v>
      </x:c>
      <x:c r="D281" s="68" t="str">
        <x:v>温度状态的标准选项：极热。具体成立条件由对应模块规则定义。</x:v>
      </x:c>
      <x:c r="E281" s="68" t="str">
        <x:v>温度状态</x:v>
      </x:c>
      <x:c r="F281" s="98" t="n">
        <x:v>5</x:v>
      </x:c>
      <x:c r="G281" s="68" t="str">
        <x:v>是</x:v>
      </x:c>
      <x:c r="H281" s="68" t="str"/>
    </x:row>
    <x:row r="282">
      <x:c r="A282" s="68" t="str">
        <x:v>温度状态</x:v>
      </x:c>
      <x:c r="B282" s="68" t="str">
        <x:v>TMP06</x:v>
      </x:c>
      <x:c r="C282" s="68" t="str">
        <x:v>待定</x:v>
      </x:c>
      <x:c r="D282" s="68" t="str">
        <x:v>温度状态的标准选项：待定。具体成立条件由对应模块规则定义。</x:v>
      </x:c>
      <x:c r="E282" s="68" t="str">
        <x:v>温度状态</x:v>
      </x:c>
      <x:c r="F282" s="98" t="n">
        <x:v>6</x:v>
      </x:c>
      <x:c r="G282" s="68" t="str">
        <x:v>是</x:v>
      </x:c>
      <x:c r="H282" s="68" t="str"/>
    </x:row>
    <x:row r="283">
      <x:c r="A283" s="68" t="str">
        <x:v>湿度状态</x:v>
      </x:c>
      <x:c r="B283" s="68" t="str">
        <x:v>HUM01</x:v>
      </x:c>
      <x:c r="C283" s="68" t="str">
        <x:v>极湿</x:v>
      </x:c>
      <x:c r="D283" s="68" t="str">
        <x:v>湿度状态的标准选项：极湿。具体成立条件由对应模块规则定义。</x:v>
      </x:c>
      <x:c r="E283" s="68" t="str">
        <x:v>湿度状态</x:v>
      </x:c>
      <x:c r="F283" s="98" t="n">
        <x:v>1</x:v>
      </x:c>
      <x:c r="G283" s="68" t="str">
        <x:v>是</x:v>
      </x:c>
      <x:c r="H283" s="68" t="str"/>
    </x:row>
    <x:row r="284">
      <x:c r="A284" s="68" t="str">
        <x:v>湿度状态</x:v>
      </x:c>
      <x:c r="B284" s="68" t="str">
        <x:v>HUM02</x:v>
      </x:c>
      <x:c r="C284" s="68" t="str">
        <x:v>偏湿</x:v>
      </x:c>
      <x:c r="D284" s="68" t="str">
        <x:v>湿度状态的标准选项：偏湿。具体成立条件由对应模块规则定义。</x:v>
      </x:c>
      <x:c r="E284" s="68" t="str">
        <x:v>湿度状态</x:v>
      </x:c>
      <x:c r="F284" s="98" t="n">
        <x:v>2</x:v>
      </x:c>
      <x:c r="G284" s="68" t="str">
        <x:v>是</x:v>
      </x:c>
      <x:c r="H284" s="68" t="str"/>
    </x:row>
    <x:row r="285">
      <x:c r="A285" s="68" t="str">
        <x:v>湿度状态</x:v>
      </x:c>
      <x:c r="B285" s="68" t="str">
        <x:v>HUM03</x:v>
      </x:c>
      <x:c r="C285" s="68" t="str">
        <x:v>平衡</x:v>
      </x:c>
      <x:c r="D285" s="68" t="str">
        <x:v>湿度状态的标准选项：平衡。具体成立条件由对应模块规则定义。</x:v>
      </x:c>
      <x:c r="E285" s="68" t="str">
        <x:v>湿度状态</x:v>
      </x:c>
      <x:c r="F285" s="98" t="n">
        <x:v>3</x:v>
      </x:c>
      <x:c r="G285" s="68" t="str">
        <x:v>是</x:v>
      </x:c>
      <x:c r="H285" s="68" t="str"/>
    </x:row>
    <x:row r="286">
      <x:c r="A286" s="68" t="str">
        <x:v>湿度状态</x:v>
      </x:c>
      <x:c r="B286" s="68" t="str">
        <x:v>HUM04</x:v>
      </x:c>
      <x:c r="C286" s="68" t="str">
        <x:v>偏燥</x:v>
      </x:c>
      <x:c r="D286" s="68" t="str">
        <x:v>湿度状态的标准选项：偏燥。具体成立条件由对应模块规则定义。</x:v>
      </x:c>
      <x:c r="E286" s="68" t="str">
        <x:v>湿度状态</x:v>
      </x:c>
      <x:c r="F286" s="98" t="n">
        <x:v>4</x:v>
      </x:c>
      <x:c r="G286" s="68" t="str">
        <x:v>是</x:v>
      </x:c>
      <x:c r="H286" s="68" t="str"/>
    </x:row>
    <x:row r="287">
      <x:c r="A287" s="68" t="str">
        <x:v>湿度状态</x:v>
      </x:c>
      <x:c r="B287" s="68" t="str">
        <x:v>HUM05</x:v>
      </x:c>
      <x:c r="C287" s="68" t="str">
        <x:v>极燥</x:v>
      </x:c>
      <x:c r="D287" s="68" t="str">
        <x:v>湿度状态的标准选项：极燥。具体成立条件由对应模块规则定义。</x:v>
      </x:c>
      <x:c r="E287" s="68" t="str">
        <x:v>湿度状态</x:v>
      </x:c>
      <x:c r="F287" s="98" t="n">
        <x:v>5</x:v>
      </x:c>
      <x:c r="G287" s="68" t="str">
        <x:v>是</x:v>
      </x:c>
      <x:c r="H287" s="68" t="str"/>
    </x:row>
    <x:row r="288">
      <x:c r="A288" s="68" t="str">
        <x:v>湿度状态</x:v>
      </x:c>
      <x:c r="B288" s="68" t="str">
        <x:v>HUM06</x:v>
      </x:c>
      <x:c r="C288" s="68" t="str">
        <x:v>待定</x:v>
      </x:c>
      <x:c r="D288" s="68" t="str">
        <x:v>湿度状态的标准选项：待定。具体成立条件由对应模块规则定义。</x:v>
      </x:c>
      <x:c r="E288" s="68" t="str">
        <x:v>湿度状态</x:v>
      </x:c>
      <x:c r="F288" s="98" t="n">
        <x:v>6</x:v>
      </x:c>
      <x:c r="G288" s="68" t="str">
        <x:v>是</x:v>
      </x:c>
      <x:c r="H288" s="68" t="str"/>
    </x:row>
    <x:row r="289">
      <x:c r="A289" s="68" t="str">
        <x:v>评估轴</x:v>
      </x:c>
      <x:c r="B289" s="68" t="str">
        <x:v>AX01</x:v>
      </x:c>
      <x:c r="C289" s="68" t="str">
        <x:v>寒暖轴</x:v>
      </x:c>
      <x:c r="D289" s="68" t="str">
        <x:v>评估轴的标准选项：寒暖轴。具体成立条件由对应模块规则定义。</x:v>
      </x:c>
      <x:c r="E289" s="68" t="str">
        <x:v>评估轴</x:v>
      </x:c>
      <x:c r="F289" s="98" t="n">
        <x:v>1</x:v>
      </x:c>
      <x:c r="G289" s="68" t="str">
        <x:v>是</x:v>
      </x:c>
      <x:c r="H289" s="68" t="str"/>
    </x:row>
    <x:row r="290">
      <x:c r="A290" s="68" t="str">
        <x:v>评估轴</x:v>
      </x:c>
      <x:c r="B290" s="68" t="str">
        <x:v>AX02</x:v>
      </x:c>
      <x:c r="C290" s="68" t="str">
        <x:v>燥湿轴</x:v>
      </x:c>
      <x:c r="D290" s="68" t="str">
        <x:v>评估轴的标准选项：燥湿轴。具体成立条件由对应模块规则定义。</x:v>
      </x:c>
      <x:c r="E290" s="68" t="str">
        <x:v>评估轴</x:v>
      </x:c>
      <x:c r="F290" s="98" t="n">
        <x:v>2</x:v>
      </x:c>
      <x:c r="G290" s="68" t="str">
        <x:v>是</x:v>
      </x:c>
      <x:c r="H290" s="68" t="str"/>
    </x:row>
    <x:row r="291">
      <x:c r="A291" s="68" t="str">
        <x:v>评估轴</x:v>
      </x:c>
      <x:c r="B291" s="68" t="str">
        <x:v>AX03</x:v>
      </x:c>
      <x:c r="C291" s="68" t="str">
        <x:v>寒暖燥湿综合</x:v>
      </x:c>
      <x:c r="D291" s="68" t="str">
        <x:v>评估轴的标准选项：寒暖燥湿综合。具体成立条件由对应模块规则定义。</x:v>
      </x:c>
      <x:c r="E291" s="68" t="str">
        <x:v>评估轴</x:v>
      </x:c>
      <x:c r="F291" s="98" t="n">
        <x:v>3</x:v>
      </x:c>
      <x:c r="G291" s="68" t="str">
        <x:v>是</x:v>
      </x:c>
      <x:c r="H291" s="68" t="str"/>
    </x:row>
    <x:row r="292">
      <x:c r="A292" s="68" t="str">
        <x:v>调候紧急度</x:v>
      </x:c>
      <x:c r="B292" s="68" t="str">
        <x:v>URG01</x:v>
      </x:c>
      <x:c r="C292" s="68" t="str">
        <x:v>低</x:v>
      </x:c>
      <x:c r="D292" s="68" t="str">
        <x:v>调候紧急度的标准选项：低。具体成立条件由对应模块规则定义。</x:v>
      </x:c>
      <x:c r="E292" s="68" t="str">
        <x:v>调候紧急度</x:v>
      </x:c>
      <x:c r="F292" s="98" t="n">
        <x:v>1</x:v>
      </x:c>
      <x:c r="G292" s="68" t="str">
        <x:v>是</x:v>
      </x:c>
      <x:c r="H292" s="68" t="str"/>
    </x:row>
    <x:row r="293">
      <x:c r="A293" s="68" t="str">
        <x:v>调候紧急度</x:v>
      </x:c>
      <x:c r="B293" s="68" t="str">
        <x:v>URG02</x:v>
      </x:c>
      <x:c r="C293" s="68" t="str">
        <x:v>中</x:v>
      </x:c>
      <x:c r="D293" s="68" t="str">
        <x:v>调候紧急度的标准选项：中。具体成立条件由对应模块规则定义。</x:v>
      </x:c>
      <x:c r="E293" s="68" t="str">
        <x:v>调候紧急度</x:v>
      </x:c>
      <x:c r="F293" s="98" t="n">
        <x:v>2</x:v>
      </x:c>
      <x:c r="G293" s="68" t="str">
        <x:v>是</x:v>
      </x:c>
      <x:c r="H293" s="68" t="str"/>
    </x:row>
    <x:row r="294">
      <x:c r="A294" s="68" t="str">
        <x:v>调候紧急度</x:v>
      </x:c>
      <x:c r="B294" s="68" t="str">
        <x:v>URG03</x:v>
      </x:c>
      <x:c r="C294" s="68" t="str">
        <x:v>高</x:v>
      </x:c>
      <x:c r="D294" s="68" t="str">
        <x:v>调候紧急度的标准选项：高。具体成立条件由对应模块规则定义。</x:v>
      </x:c>
      <x:c r="E294" s="68" t="str">
        <x:v>调候紧急度</x:v>
      </x:c>
      <x:c r="F294" s="98" t="n">
        <x:v>3</x:v>
      </x:c>
      <x:c r="G294" s="68" t="str">
        <x:v>是</x:v>
      </x:c>
      <x:c r="H294" s="68" t="str"/>
    </x:row>
    <x:row r="295">
      <x:c r="A295" s="68" t="str">
        <x:v>调候紧急度</x:v>
      </x:c>
      <x:c r="B295" s="68" t="str">
        <x:v>URG04</x:v>
      </x:c>
      <x:c r="C295" s="68" t="str">
        <x:v>首要</x:v>
      </x:c>
      <x:c r="D295" s="68" t="str">
        <x:v>调候紧急度的标准选项：首要。具体成立条件由对应模块规则定义。</x:v>
      </x:c>
      <x:c r="E295" s="68" t="str">
        <x:v>调候紧急度</x:v>
      </x:c>
      <x:c r="F295" s="98" t="n">
        <x:v>4</x:v>
      </x:c>
      <x:c r="G295" s="68" t="str">
        <x:v>是</x:v>
      </x:c>
      <x:c r="H295" s="68" t="str"/>
    </x:row>
    <x:row r="296">
      <x:c r="A296" s="68" t="str">
        <x:v>调候紧急度</x:v>
      </x:c>
      <x:c r="B296" s="68" t="str">
        <x:v>URG05</x:v>
      </x:c>
      <x:c r="C296" s="68" t="str">
        <x:v>待定</x:v>
      </x:c>
      <x:c r="D296" s="68" t="str">
        <x:v>调候紧急度的标准选项：待定。具体成立条件由对应模块规则定义。</x:v>
      </x:c>
      <x:c r="E296" s="68" t="str">
        <x:v>调候紧急度</x:v>
      </x:c>
      <x:c r="F296" s="98" t="n">
        <x:v>5</x:v>
      </x:c>
      <x:c r="G296" s="68" t="str">
        <x:v>是</x:v>
      </x:c>
      <x:c r="H296" s="68" t="str"/>
    </x:row>
    <x:row r="297">
      <x:c r="A297" s="68" t="str">
        <x:v>流通状态</x:v>
      </x:c>
      <x:c r="B297" s="68" t="str">
        <x:v>FLOW01</x:v>
      </x:c>
      <x:c r="C297" s="68" t="str">
        <x:v>通畅</x:v>
      </x:c>
      <x:c r="D297" s="68" t="str">
        <x:v>流通状态的标准选项：通畅。具体成立条件由对应模块规则定义。</x:v>
      </x:c>
      <x:c r="E297" s="68" t="str">
        <x:v>流通状态</x:v>
      </x:c>
      <x:c r="F297" s="98" t="n">
        <x:v>1</x:v>
      </x:c>
      <x:c r="G297" s="68" t="str">
        <x:v>是</x:v>
      </x:c>
      <x:c r="H297" s="68" t="str"/>
    </x:row>
    <x:row r="298">
      <x:c r="A298" s="68" t="str">
        <x:v>流通状态</x:v>
      </x:c>
      <x:c r="B298" s="68" t="str">
        <x:v>FLOW02</x:v>
      </x:c>
      <x:c r="C298" s="68" t="str">
        <x:v>基本通畅</x:v>
      </x:c>
      <x:c r="D298" s="68" t="str">
        <x:v>流通状态的标准选项：基本通畅。具体成立条件由对应模块规则定义。</x:v>
      </x:c>
      <x:c r="E298" s="68" t="str">
        <x:v>流通状态</x:v>
      </x:c>
      <x:c r="F298" s="98" t="n">
        <x:v>2</x:v>
      </x:c>
      <x:c r="G298" s="68" t="str">
        <x:v>是</x:v>
      </x:c>
      <x:c r="H298" s="68" t="str"/>
    </x:row>
    <x:row r="299">
      <x:c r="A299" s="68" t="str">
        <x:v>流通状态</x:v>
      </x:c>
      <x:c r="B299" s="68" t="str">
        <x:v>FLOW03</x:v>
      </x:c>
      <x:c r="C299" s="68" t="str">
        <x:v>局部阻塞</x:v>
      </x:c>
      <x:c r="D299" s="68" t="str">
        <x:v>流通状态的标准选项：局部阻塞。具体成立条件由对应模块规则定义。</x:v>
      </x:c>
      <x:c r="E299" s="68" t="str">
        <x:v>流通状态</x:v>
      </x:c>
      <x:c r="F299" s="98" t="n">
        <x:v>3</x:v>
      </x:c>
      <x:c r="G299" s="68" t="str">
        <x:v>是</x:v>
      </x:c>
      <x:c r="H299" s="68" t="str"/>
    </x:row>
    <x:row r="300">
      <x:c r="A300" s="68" t="str">
        <x:v>流通状态</x:v>
      </x:c>
      <x:c r="B300" s="68" t="str">
        <x:v>FLOW04</x:v>
      </x:c>
      <x:c r="C300" s="68" t="str">
        <x:v>明显阻断</x:v>
      </x:c>
      <x:c r="D300" s="68" t="str">
        <x:v>流通状态的标准选项：明显阻断。具体成立条件由对应模块规则定义。</x:v>
      </x:c>
      <x:c r="E300" s="68" t="str">
        <x:v>流通状态</x:v>
      </x:c>
      <x:c r="F300" s="98" t="n">
        <x:v>4</x:v>
      </x:c>
      <x:c r="G300" s="68" t="str">
        <x:v>是</x:v>
      </x:c>
      <x:c r="H300" s="68" t="str"/>
    </x:row>
    <x:row r="301">
      <x:c r="A301" s="68" t="str">
        <x:v>流通状态</x:v>
      </x:c>
      <x:c r="B301" s="68" t="str">
        <x:v>FLOW05</x:v>
      </x:c>
      <x:c r="C301" s="68" t="str">
        <x:v>无有效路径</x:v>
      </x:c>
      <x:c r="D301" s="68" t="str">
        <x:v>流通状态的标准选项：无有效路径。具体成立条件由对应模块规则定义。</x:v>
      </x:c>
      <x:c r="E301" s="68" t="str">
        <x:v>流通状态</x:v>
      </x:c>
      <x:c r="F301" s="98" t="n">
        <x:v>5</x:v>
      </x:c>
      <x:c r="G301" s="68" t="str">
        <x:v>是</x:v>
      </x:c>
      <x:c r="H301" s="68" t="str"/>
    </x:row>
    <x:row r="302">
      <x:c r="A302" s="68" t="str">
        <x:v>流通状态</x:v>
      </x:c>
      <x:c r="B302" s="68" t="str">
        <x:v>FLOW06</x:v>
      </x:c>
      <x:c r="C302" s="68" t="str">
        <x:v>待定</x:v>
      </x:c>
      <x:c r="D302" s="68" t="str">
        <x:v>流通状态的标准选项：待定。具体成立条件由对应模块规则定义。</x:v>
      </x:c>
      <x:c r="E302" s="68" t="str">
        <x:v>流通状态</x:v>
      </x:c>
      <x:c r="F302" s="98" t="n">
        <x:v>6</x:v>
      </x:c>
      <x:c r="G302" s="68" t="str">
        <x:v>是</x:v>
      </x:c>
      <x:c r="H302" s="68" t="str"/>
    </x:row>
    <x:row r="303">
      <x:c r="A303" s="68" t="str">
        <x:v>卡点类型</x:v>
      </x:c>
      <x:c r="B303" s="68" t="str">
        <x:v>BLOCK01</x:v>
      </x:c>
      <x:c r="C303" s="68" t="str">
        <x:v>缺桥</x:v>
      </x:c>
      <x:c r="D303" s="68" t="str">
        <x:v>卡点类型的标准选项：缺桥。具体成立条件由对应模块规则定义。</x:v>
      </x:c>
      <x:c r="E303" s="68" t="str">
        <x:v>卡点类型</x:v>
      </x:c>
      <x:c r="F303" s="98" t="n">
        <x:v>1</x:v>
      </x:c>
      <x:c r="G303" s="68" t="str">
        <x:v>是</x:v>
      </x:c>
      <x:c r="H303" s="68" t="str"/>
    </x:row>
    <x:row r="304">
      <x:c r="A304" s="68" t="str">
        <x:v>卡点类型</x:v>
      </x:c>
      <x:c r="B304" s="68" t="str">
        <x:v>BLOCK02</x:v>
      </x:c>
      <x:c r="C304" s="68" t="str">
        <x:v>桥梁太弱</x:v>
      </x:c>
      <x:c r="D304" s="68" t="str">
        <x:v>卡点类型的标准选项：桥梁太弱。具体成立条件由对应模块规则定义。</x:v>
      </x:c>
      <x:c r="E304" s="68" t="str">
        <x:v>卡点类型</x:v>
      </x:c>
      <x:c r="F304" s="98" t="n">
        <x:v>2</x:v>
      </x:c>
      <x:c r="G304" s="68" t="str">
        <x:v>是</x:v>
      </x:c>
      <x:c r="H304" s="68" t="str"/>
    </x:row>
    <x:row r="305">
      <x:c r="A305" s="68" t="str">
        <x:v>卡点类型</x:v>
      </x:c>
      <x:c r="B305" s="68" t="str">
        <x:v>BLOCK03</x:v>
      </x:c>
      <x:c r="C305" s="68" t="str">
        <x:v>桥梁被克</x:v>
      </x:c>
      <x:c r="D305" s="68" t="str">
        <x:v>卡点类型的标准选项：桥梁被克。具体成立条件由对应模块规则定义。</x:v>
      </x:c>
      <x:c r="E305" s="68" t="str">
        <x:v>卡点类型</x:v>
      </x:c>
      <x:c r="F305" s="98" t="n">
        <x:v>3</x:v>
      </x:c>
      <x:c r="G305" s="68" t="str">
        <x:v>是</x:v>
      </x:c>
      <x:c r="H305" s="68" t="str"/>
    </x:row>
    <x:row r="306">
      <x:c r="A306" s="68" t="str">
        <x:v>卡点类型</x:v>
      </x:c>
      <x:c r="B306" s="68" t="str">
        <x:v>BLOCK04</x:v>
      </x:c>
      <x:c r="C306" s="68" t="str">
        <x:v>桥梁被合绊</x:v>
      </x:c>
      <x:c r="D306" s="68" t="str">
        <x:v>卡点类型的标准选项：桥梁被合绊。具体成立条件由对应模块规则定义。</x:v>
      </x:c>
      <x:c r="E306" s="68" t="str">
        <x:v>卡点类型</x:v>
      </x:c>
      <x:c r="F306" s="98" t="n">
        <x:v>4</x:v>
      </x:c>
      <x:c r="G306" s="68" t="str">
        <x:v>是</x:v>
      </x:c>
      <x:c r="H306" s="68" t="str"/>
    </x:row>
    <x:row r="307">
      <x:c r="A307" s="68" t="str">
        <x:v>卡点类型</x:v>
      </x:c>
      <x:c r="B307" s="68" t="str">
        <x:v>BLOCK05</x:v>
      </x:c>
      <x:c r="C307" s="68" t="str">
        <x:v>源头过旺无泄</x:v>
      </x:c>
      <x:c r="D307" s="68" t="str">
        <x:v>卡点类型的标准选项：源头过旺无泄。具体成立条件由对应模块规则定义。</x:v>
      </x:c>
      <x:c r="E307" s="68" t="str">
        <x:v>卡点类型</x:v>
      </x:c>
      <x:c r="F307" s="98" t="n">
        <x:v>5</x:v>
      </x:c>
      <x:c r="G307" s="68" t="str">
        <x:v>是</x:v>
      </x:c>
      <x:c r="H307" s="68" t="str"/>
    </x:row>
    <x:row r="308">
      <x:c r="A308" s="68" t="str">
        <x:v>卡点类型</x:v>
      </x:c>
      <x:c r="B308" s="68" t="str">
        <x:v>BLOCK06</x:v>
      </x:c>
      <x:c r="C308" s="68" t="str">
        <x:v>终点过弱不能承载</x:v>
      </x:c>
      <x:c r="D308" s="68" t="str">
        <x:v>卡点类型的标准选项：终点过弱不能承载。具体成立条件由对应模块规则定义。</x:v>
      </x:c>
      <x:c r="E308" s="68" t="str">
        <x:v>卡点类型</x:v>
      </x:c>
      <x:c r="F308" s="98" t="n">
        <x:v>6</x:v>
      </x:c>
      <x:c r="G308" s="68" t="str">
        <x:v>是</x:v>
      </x:c>
      <x:c r="H308" s="68" t="str"/>
    </x:row>
    <x:row r="309">
      <x:c r="A309" s="68" t="str">
        <x:v>卡点类型</x:v>
      </x:c>
      <x:c r="B309" s="68" t="str">
        <x:v>BLOCK07</x:v>
      </x:c>
      <x:c r="C309" s="68" t="str">
        <x:v>终点过旺反制</x:v>
      </x:c>
      <x:c r="D309" s="68" t="str">
        <x:v>卡点类型的标准选项：终点过旺反制。具体成立条件由对应模块规则定义。</x:v>
      </x:c>
      <x:c r="E309" s="68" t="str">
        <x:v>卡点类型</x:v>
      </x:c>
      <x:c r="F309" s="98" t="n">
        <x:v>7</x:v>
      </x:c>
      <x:c r="G309" s="68" t="str">
        <x:v>是</x:v>
      </x:c>
      <x:c r="H309" s="68" t="str"/>
    </x:row>
    <x:row r="310">
      <x:c r="A310" s="68" t="str">
        <x:v>卡点类型</x:v>
      </x:c>
      <x:c r="B310" s="68" t="str">
        <x:v>BLOCK08</x:v>
      </x:c>
      <x:c r="C310" s="68" t="str">
        <x:v>两强相战</x:v>
      </x:c>
      <x:c r="D310" s="68" t="str">
        <x:v>卡点类型的标准选项：两强相战。具体成立条件由对应模块规则定义。</x:v>
      </x:c>
      <x:c r="E310" s="68" t="str">
        <x:v>卡点类型</x:v>
      </x:c>
      <x:c r="F310" s="98" t="n">
        <x:v>8</x:v>
      </x:c>
      <x:c r="G310" s="68" t="str">
        <x:v>是</x:v>
      </x:c>
      <x:c r="H310" s="68" t="str"/>
    </x:row>
    <x:row r="311">
      <x:c r="A311" s="68" t="str">
        <x:v>卡点类型</x:v>
      </x:c>
      <x:c r="B311" s="68" t="str">
        <x:v>BLOCK09</x:v>
      </x:c>
      <x:c r="C311" s="68" t="str">
        <x:v>寒凝</x:v>
      </x:c>
      <x:c r="D311" s="68" t="str">
        <x:v>卡点类型的标准选项：寒凝。具体成立条件由对应模块规则定义。</x:v>
      </x:c>
      <x:c r="E311" s="68" t="str">
        <x:v>卡点类型</x:v>
      </x:c>
      <x:c r="F311" s="98" t="n">
        <x:v>9</x:v>
      </x:c>
      <x:c r="G311" s="68" t="str">
        <x:v>是</x:v>
      </x:c>
      <x:c r="H311" s="68" t="str"/>
    </x:row>
    <x:row r="312">
      <x:c r="A312" s="68" t="str">
        <x:v>卡点类型</x:v>
      </x:c>
      <x:c r="B312" s="68" t="str">
        <x:v>BLOCK10</x:v>
      </x:c>
      <x:c r="C312" s="68" t="str">
        <x:v>燥枯</x:v>
      </x:c>
      <x:c r="D312" s="68" t="str">
        <x:v>卡点类型的标准选项：燥枯。具体成立条件由对应模块规则定义。</x:v>
      </x:c>
      <x:c r="E312" s="68" t="str">
        <x:v>卡点类型</x:v>
      </x:c>
      <x:c r="F312" s="98" t="n">
        <x:v>10</x:v>
      </x:c>
      <x:c r="G312" s="68" t="str">
        <x:v>是</x:v>
      </x:c>
      <x:c r="H312" s="68" t="str"/>
    </x:row>
    <x:row r="313">
      <x:c r="A313" s="68" t="str">
        <x:v>卡点类型</x:v>
      </x:c>
      <x:c r="B313" s="68" t="str">
        <x:v>BLOCK11</x:v>
      </x:c>
      <x:c r="C313" s="68" t="str">
        <x:v>链路过长</x:v>
      </x:c>
      <x:c r="D313" s="68" t="str">
        <x:v>卡点类型的标准选项：链路过长。具体成立条件由对应模块规则定义。</x:v>
      </x:c>
      <x:c r="E313" s="68" t="str">
        <x:v>卡点类型</x:v>
      </x:c>
      <x:c r="F313" s="98" t="n">
        <x:v>11</x:v>
      </x:c>
      <x:c r="G313" s="68" t="str">
        <x:v>是</x:v>
      </x:c>
      <x:c r="H313" s="68" t="str"/>
    </x:row>
    <x:row r="314">
      <x:c r="A314" s="68" t="str">
        <x:v>卡点类型</x:v>
      </x:c>
      <x:c r="B314" s="68" t="str">
        <x:v>BLOCK12</x:v>
      </x:c>
      <x:c r="C314" s="68" t="str">
        <x:v>回流壅塞</x:v>
      </x:c>
      <x:c r="D314" s="68" t="str">
        <x:v>卡点类型的标准选项：回流壅塞。具体成立条件由对应模块规则定义。</x:v>
      </x:c>
      <x:c r="E314" s="68" t="str">
        <x:v>卡点类型</x:v>
      </x:c>
      <x:c r="F314" s="98" t="n">
        <x:v>12</x:v>
      </x:c>
      <x:c r="G314" s="68" t="str">
        <x:v>是</x:v>
      </x:c>
      <x:c r="H314" s="68" t="str"/>
    </x:row>
    <x:row r="315">
      <x:c r="A315" s="68" t="str">
        <x:v>卡点类型</x:v>
      </x:c>
      <x:c r="B315" s="68" t="str">
        <x:v>BLOCK13</x:v>
      </x:c>
      <x:c r="C315" s="68" t="str">
        <x:v>其他</x:v>
      </x:c>
      <x:c r="D315" s="68" t="str">
        <x:v>卡点类型的标准选项：其他。具体成立条件由对应模块规则定义。</x:v>
      </x:c>
      <x:c r="E315" s="68" t="str">
        <x:v>卡点类型</x:v>
      </x:c>
      <x:c r="F315" s="98" t="n">
        <x:v>13</x:v>
      </x:c>
      <x:c r="G315" s="68" t="str">
        <x:v>是</x:v>
      </x:c>
      <x:c r="H315" s="68" t="str"/>
    </x:row>
    <x:row r="316">
      <x:c r="A316" s="68" t="str">
        <x:v>组合类别</x:v>
      </x:c>
      <x:c r="B316" s="68" t="str">
        <x:v>COMB01</x:v>
      </x:c>
      <x:c r="C316" s="68" t="str">
        <x:v>生化型</x:v>
      </x:c>
      <x:c r="D316" s="68" t="str">
        <x:v>组合类别的标准选项：生化型。具体成立条件由对应模块规则定义。</x:v>
      </x:c>
      <x:c r="E316" s="68" t="str">
        <x:v>组合类别</x:v>
      </x:c>
      <x:c r="F316" s="98" t="n">
        <x:v>1</x:v>
      </x:c>
      <x:c r="G316" s="68" t="str">
        <x:v>是</x:v>
      </x:c>
      <x:c r="H316" s="68" t="str"/>
    </x:row>
    <x:row r="317">
      <x:c r="A317" s="68" t="str">
        <x:v>组合类别</x:v>
      </x:c>
      <x:c r="B317" s="68" t="str">
        <x:v>COMB02</x:v>
      </x:c>
      <x:c r="C317" s="68" t="str">
        <x:v>制化型</x:v>
      </x:c>
      <x:c r="D317" s="68" t="str">
        <x:v>组合类别的标准选项：制化型。具体成立条件由对应模块规则定义。</x:v>
      </x:c>
      <x:c r="E317" s="68" t="str">
        <x:v>组合类别</x:v>
      </x:c>
      <x:c r="F317" s="98" t="n">
        <x:v>2</x:v>
      </x:c>
      <x:c r="G317" s="68" t="str">
        <x:v>是</x:v>
      </x:c>
      <x:c r="H317" s="68" t="str"/>
    </x:row>
    <x:row r="318">
      <x:c r="A318" s="68" t="str">
        <x:v>组合类别</x:v>
      </x:c>
      <x:c r="B318" s="68" t="str">
        <x:v>COMB03</x:v>
      </x:c>
      <x:c r="C318" s="68" t="str">
        <x:v>平衡承载型</x:v>
      </x:c>
      <x:c r="D318" s="68" t="str">
        <x:v>组合类别的标准选项：平衡承载型。具体成立条件由对应模块规则定义。</x:v>
      </x:c>
      <x:c r="E318" s="68" t="str">
        <x:v>组合类别</x:v>
      </x:c>
      <x:c r="F318" s="98" t="n">
        <x:v>3</x:v>
      </x:c>
      <x:c r="G318" s="68" t="str">
        <x:v>是</x:v>
      </x:c>
      <x:c r="H318" s="68" t="str"/>
    </x:row>
    <x:row r="319">
      <x:c r="A319" s="68" t="str">
        <x:v>组合类别</x:v>
      </x:c>
      <x:c r="B319" s="68" t="str">
        <x:v>COMB04</x:v>
      </x:c>
      <x:c r="C319" s="68" t="str">
        <x:v>冲突病态型</x:v>
      </x:c>
      <x:c r="D319" s="68" t="str">
        <x:v>组合类别的标准选项：冲突病态型。具体成立条件由对应模块规则定义。</x:v>
      </x:c>
      <x:c r="E319" s="68" t="str">
        <x:v>组合类别</x:v>
      </x:c>
      <x:c r="F319" s="98" t="n">
        <x:v>4</x:v>
      </x:c>
      <x:c r="G319" s="68" t="str">
        <x:v>是</x:v>
      </x:c>
      <x:c r="H319" s="68" t="str"/>
    </x:row>
    <x:row r="320">
      <x:c r="A320" s="68" t="str">
        <x:v>组合类别</x:v>
      </x:c>
      <x:c r="B320" s="68" t="str">
        <x:v>COMB05</x:v>
      </x:c>
      <x:c r="C320" s="68" t="str">
        <x:v>其他</x:v>
      </x:c>
      <x:c r="D320" s="68" t="str">
        <x:v>组合类别的标准选项：其他。具体成立条件由对应模块规则定义。</x:v>
      </x:c>
      <x:c r="E320" s="68" t="str">
        <x:v>组合类别</x:v>
      </x:c>
      <x:c r="F320" s="98" t="n">
        <x:v>5</x:v>
      </x:c>
      <x:c r="G320" s="68" t="str">
        <x:v>是</x:v>
      </x:c>
      <x:c r="H320" s="68" t="str"/>
    </x:row>
    <x:row r="321">
      <x:c r="A321" s="68" t="str">
        <x:v>用神来源</x:v>
      </x:c>
      <x:c r="B321" s="68" t="str">
        <x:v>USE01</x:v>
      </x:c>
      <x:c r="C321" s="68" t="str">
        <x:v>扶抑用神</x:v>
      </x:c>
      <x:c r="D321" s="68" t="str">
        <x:v>用神来源的标准选项：扶抑用神。具体成立条件由对应模块规则定义。</x:v>
      </x:c>
      <x:c r="E321" s="68" t="str">
        <x:v>用神来源</x:v>
      </x:c>
      <x:c r="F321" s="98" t="n">
        <x:v>1</x:v>
      </x:c>
      <x:c r="G321" s="68" t="str">
        <x:v>是</x:v>
      </x:c>
      <x:c r="H321" s="68" t="str"/>
    </x:row>
    <x:row r="322">
      <x:c r="A322" s="68" t="str">
        <x:v>用神来源</x:v>
      </x:c>
      <x:c r="B322" s="68" t="str">
        <x:v>USE02</x:v>
      </x:c>
      <x:c r="C322" s="68" t="str">
        <x:v>格局用神</x:v>
      </x:c>
      <x:c r="D322" s="68" t="str">
        <x:v>用神来源的标准选项：格局用神。具体成立条件由对应模块规则定义。</x:v>
      </x:c>
      <x:c r="E322" s="68" t="str">
        <x:v>用神来源</x:v>
      </x:c>
      <x:c r="F322" s="98" t="n">
        <x:v>2</x:v>
      </x:c>
      <x:c r="G322" s="68" t="str">
        <x:v>是</x:v>
      </x:c>
      <x:c r="H322" s="68" t="str"/>
    </x:row>
    <x:row r="323">
      <x:c r="A323" s="68" t="str">
        <x:v>用神来源</x:v>
      </x:c>
      <x:c r="B323" s="68" t="str">
        <x:v>USE03</x:v>
      </x:c>
      <x:c r="C323" s="68" t="str">
        <x:v>通关用神</x:v>
      </x:c>
      <x:c r="D323" s="68" t="str">
        <x:v>用神来源的标准选项：通关用神。具体成立条件由对应模块规则定义。</x:v>
      </x:c>
      <x:c r="E323" s="68" t="str">
        <x:v>用神来源</x:v>
      </x:c>
      <x:c r="F323" s="98" t="n">
        <x:v>3</x:v>
      </x:c>
      <x:c r="G323" s="68" t="str">
        <x:v>是</x:v>
      </x:c>
      <x:c r="H323" s="68" t="str"/>
    </x:row>
    <x:row r="324">
      <x:c r="A324" s="68" t="str">
        <x:v>用神来源</x:v>
      </x:c>
      <x:c r="B324" s="68" t="str">
        <x:v>USE04</x:v>
      </x:c>
      <x:c r="C324" s="68" t="str">
        <x:v>调候用神</x:v>
      </x:c>
      <x:c r="D324" s="68" t="str">
        <x:v>用神来源的标准选项：调候用神。具体成立条件由对应模块规则定义。</x:v>
      </x:c>
      <x:c r="E324" s="68" t="str">
        <x:v>用神来源</x:v>
      </x:c>
      <x:c r="F324" s="98" t="n">
        <x:v>4</x:v>
      </x:c>
      <x:c r="G324" s="68" t="str">
        <x:v>是</x:v>
      </x:c>
      <x:c r="H324" s="68" t="str"/>
    </x:row>
    <x:row r="325">
      <x:c r="A325" s="68" t="str">
        <x:v>用神来源</x:v>
      </x:c>
      <x:c r="B325" s="68" t="str">
        <x:v>USE05</x:v>
      </x:c>
      <x:c r="C325" s="68" t="str">
        <x:v>病药用神</x:v>
      </x:c>
      <x:c r="D325" s="68" t="str">
        <x:v>用神来源的标准选项：病药用神。具体成立条件由对应模块规则定义。</x:v>
      </x:c>
      <x:c r="E325" s="68" t="str">
        <x:v>用神来源</x:v>
      </x:c>
      <x:c r="F325" s="98" t="n">
        <x:v>5</x:v>
      </x:c>
      <x:c r="G325" s="68" t="str">
        <x:v>是</x:v>
      </x:c>
      <x:c r="H325" s="68" t="str"/>
    </x:row>
    <x:row r="326">
      <x:c r="A326" s="68" t="str">
        <x:v>用神来源</x:v>
      </x:c>
      <x:c r="B326" s="68" t="str">
        <x:v>USE06</x:v>
      </x:c>
      <x:c r="C326" s="68" t="str">
        <x:v>复合来源</x:v>
      </x:c>
      <x:c r="D326" s="68" t="str">
        <x:v>用神来源的标准选项：复合来源。具体成立条件由对应模块规则定义。</x:v>
      </x:c>
      <x:c r="E326" s="68" t="str">
        <x:v>用神来源</x:v>
      </x:c>
      <x:c r="F326" s="98" t="n">
        <x:v>6</x:v>
      </x:c>
      <x:c r="G326" s="68" t="str">
        <x:v>是</x:v>
      </x:c>
      <x:c r="H326" s="68" t="str"/>
    </x:row>
    <x:row r="327">
      <x:c r="A327" s="68" t="str">
        <x:v>主次优先级</x:v>
      </x:c>
      <x:c r="B327" s="68" t="str">
        <x:v>UPR01</x:v>
      </x:c>
      <x:c r="C327" s="68" t="str">
        <x:v>第一顺位</x:v>
      </x:c>
      <x:c r="D327" s="68" t="str">
        <x:v>主次优先级的标准选项：第一顺位。具体成立条件由对应模块规则定义。</x:v>
      </x:c>
      <x:c r="E327" s="68" t="str">
        <x:v>主次优先级</x:v>
      </x:c>
      <x:c r="F327" s="98" t="n">
        <x:v>1</x:v>
      </x:c>
      <x:c r="G327" s="68" t="str">
        <x:v>是</x:v>
      </x:c>
      <x:c r="H327" s="68" t="str"/>
    </x:row>
    <x:row r="328">
      <x:c r="A328" s="68" t="str">
        <x:v>主次优先级</x:v>
      </x:c>
      <x:c r="B328" s="68" t="str">
        <x:v>UPR02</x:v>
      </x:c>
      <x:c r="C328" s="68" t="str">
        <x:v>第二顺位</x:v>
      </x:c>
      <x:c r="D328" s="68" t="str">
        <x:v>主次优先级的标准选项：第二顺位。具体成立条件由对应模块规则定义。</x:v>
      </x:c>
      <x:c r="E328" s="68" t="str">
        <x:v>主次优先级</x:v>
      </x:c>
      <x:c r="F328" s="98" t="n">
        <x:v>2</x:v>
      </x:c>
      <x:c r="G328" s="68" t="str">
        <x:v>是</x:v>
      </x:c>
      <x:c r="H328" s="68" t="str"/>
    </x:row>
    <x:row r="329">
      <x:c r="A329" s="68" t="str">
        <x:v>主次优先级</x:v>
      </x:c>
      <x:c r="B329" s="68" t="str">
        <x:v>UPR03</x:v>
      </x:c>
      <x:c r="C329" s="68" t="str">
        <x:v>第三顺位</x:v>
      </x:c>
      <x:c r="D329" s="68" t="str">
        <x:v>主次优先级的标准选项：第三顺位。具体成立条件由对应模块规则定义。</x:v>
      </x:c>
      <x:c r="E329" s="68" t="str">
        <x:v>主次优先级</x:v>
      </x:c>
      <x:c r="F329" s="98" t="n">
        <x:v>3</x:v>
      </x:c>
      <x:c r="G329" s="68" t="str">
        <x:v>是</x:v>
      </x:c>
      <x:c r="H329" s="68" t="str"/>
    </x:row>
    <x:row r="330">
      <x:c r="A330" s="68" t="str">
        <x:v>主次优先级</x:v>
      </x:c>
      <x:c r="B330" s="68" t="str">
        <x:v>UPR04</x:v>
      </x:c>
      <x:c r="C330" s="68" t="str">
        <x:v>条件顺位</x:v>
      </x:c>
      <x:c r="D330" s="68" t="str">
        <x:v>主次优先级的标准选项：条件顺位。具体成立条件由对应模块规则定义。</x:v>
      </x:c>
      <x:c r="E330" s="68" t="str">
        <x:v>主次优先级</x:v>
      </x:c>
      <x:c r="F330" s="98" t="n">
        <x:v>4</x:v>
      </x:c>
      <x:c r="G330" s="68" t="str">
        <x:v>是</x:v>
      </x:c>
      <x:c r="H330" s="68" t="str"/>
    </x:row>
    <x:row r="331">
      <x:c r="A331" s="68" t="str">
        <x:v>主次优先级</x:v>
      </x:c>
      <x:c r="B331" s="68" t="str">
        <x:v>UPR05</x:v>
      </x:c>
      <x:c r="C331" s="68" t="str">
        <x:v>不采用</x:v>
      </x:c>
      <x:c r="D331" s="68" t="str">
        <x:v>主次优先级的标准选项：不采用。具体成立条件由对应模块规则定义。</x:v>
      </x:c>
      <x:c r="E331" s="68" t="str">
        <x:v>主次优先级</x:v>
      </x:c>
      <x:c r="F331" s="98" t="n">
        <x:v>5</x:v>
      </x:c>
      <x:c r="G331" s="68" t="str">
        <x:v>是</x:v>
      </x:c>
      <x:c r="H331" s="68" t="str"/>
    </x:row>
    <x:row r="332">
      <x:c r="A332" s="68" t="str">
        <x:v>主次优先级</x:v>
      </x:c>
      <x:c r="B332" s="68" t="str">
        <x:v>UPR06</x:v>
      </x:c>
      <x:c r="C332" s="68" t="str">
        <x:v>待定</x:v>
      </x:c>
      <x:c r="D332" s="68" t="str">
        <x:v>主次优先级的标准选项：待定。具体成立条件由对应模块规则定义。</x:v>
      </x:c>
      <x:c r="E332" s="68" t="str">
        <x:v>主次优先级</x:v>
      </x:c>
      <x:c r="F332" s="98" t="n">
        <x:v>6</x:v>
      </x:c>
      <x:c r="G332" s="68" t="str">
        <x:v>是</x:v>
      </x:c>
      <x:c r="H332" s="68" t="str"/>
    </x:row>
    <x:row r="333">
      <x:c r="A333" s="68" t="str">
        <x:v>必填性</x:v>
      </x:c>
      <x:c r="B333" s="68" t="str">
        <x:v>REQ01</x:v>
      </x:c>
      <x:c r="C333" s="68" t="str">
        <x:v>必填</x:v>
      </x:c>
      <x:c r="D333" s="68" t="str">
        <x:v>必填性的标准选项：必填。具体成立条件由对应模块规则定义。</x:v>
      </x:c>
      <x:c r="E333" s="68" t="str">
        <x:v>必填性</x:v>
      </x:c>
      <x:c r="F333" s="98" t="n">
        <x:v>1</x:v>
      </x:c>
      <x:c r="G333" s="68" t="str">
        <x:v>是</x:v>
      </x:c>
      <x:c r="H333" s="68" t="str"/>
    </x:row>
    <x:row r="334">
      <x:c r="A334" s="68" t="str">
        <x:v>必填性</x:v>
      </x:c>
      <x:c r="B334" s="68" t="str">
        <x:v>REQ02</x:v>
      </x:c>
      <x:c r="C334" s="68" t="str">
        <x:v>条件必填</x:v>
      </x:c>
      <x:c r="D334" s="68" t="str">
        <x:v>必填性的标准选项：条件必填。具体成立条件由对应模块规则定义。</x:v>
      </x:c>
      <x:c r="E334" s="68" t="str">
        <x:v>必填性</x:v>
      </x:c>
      <x:c r="F334" s="98" t="n">
        <x:v>2</x:v>
      </x:c>
      <x:c r="G334" s="68" t="str">
        <x:v>是</x:v>
      </x:c>
      <x:c r="H334" s="68" t="str"/>
    </x:row>
    <x:row r="335">
      <x:c r="A335" s="68" t="str">
        <x:v>必填性</x:v>
      </x:c>
      <x:c r="B335" s="68" t="str">
        <x:v>REQ03</x:v>
      </x:c>
      <x:c r="C335" s="68" t="str">
        <x:v>选填</x:v>
      </x:c>
      <x:c r="D335" s="68" t="str">
        <x:v>必填性的标准选项：选填。具体成立条件由对应模块规则定义。</x:v>
      </x:c>
      <x:c r="E335" s="68" t="str">
        <x:v>必填性</x:v>
      </x:c>
      <x:c r="F335" s="98" t="n">
        <x:v>3</x:v>
      </x:c>
      <x:c r="G335" s="68" t="str">
        <x:v>是</x:v>
      </x:c>
      <x:c r="H335" s="68" t="str"/>
    </x:row>
    <x:row r="336">
      <x:c r="A336" s="68" t="str">
        <x:v>必填性</x:v>
      </x:c>
      <x:c r="B336" s="68" t="str">
        <x:v>REQ04</x:v>
      </x:c>
      <x:c r="C336" s="68" t="str">
        <x:v>内部字段</x:v>
      </x:c>
      <x:c r="D336" s="68" t="str">
        <x:v>必填性的标准选项：内部字段。具体成立条件由对应模块规则定义。</x:v>
      </x:c>
      <x:c r="E336" s="68" t="str">
        <x:v>必填性</x:v>
      </x:c>
      <x:c r="F336" s="98" t="n">
        <x:v>4</x:v>
      </x:c>
      <x:c r="G336" s="68" t="str">
        <x:v>是</x:v>
      </x:c>
      <x:c r="H336" s="68" t="str"/>
    </x:row>
    <x:row r="337">
      <x:c r="A337" s="68" t="str">
        <x:v>输出层级</x:v>
      </x:c>
      <x:c r="B337" s="68" t="str">
        <x:v>OUT01</x:v>
      </x:c>
      <x:c r="C337" s="68" t="str">
        <x:v>内部推理</x:v>
      </x:c>
      <x:c r="D337" s="68" t="str">
        <x:v>输出层级的标准选项：内部推理。具体成立条件由对应模块规则定义。</x:v>
      </x:c>
      <x:c r="E337" s="68" t="str">
        <x:v>输出层级</x:v>
      </x:c>
      <x:c r="F337" s="98" t="n">
        <x:v>1</x:v>
      </x:c>
      <x:c r="G337" s="68" t="str">
        <x:v>是</x:v>
      </x:c>
      <x:c r="H337" s="68" t="str"/>
    </x:row>
    <x:row r="338">
      <x:c r="A338" s="68" t="str">
        <x:v>输出层级</x:v>
      </x:c>
      <x:c r="B338" s="68" t="str">
        <x:v>OUT02</x:v>
      </x:c>
      <x:c r="C338" s="68" t="str">
        <x:v>分析师输出</x:v>
      </x:c>
      <x:c r="D338" s="68" t="str">
        <x:v>输出层级的标准选项：分析师输出。具体成立条件由对应模块规则定义。</x:v>
      </x:c>
      <x:c r="E338" s="68" t="str">
        <x:v>输出层级</x:v>
      </x:c>
      <x:c r="F338" s="98" t="n">
        <x:v>2</x:v>
      </x:c>
      <x:c r="G338" s="68" t="str">
        <x:v>是</x:v>
      </x:c>
      <x:c r="H338" s="68" t="str"/>
    </x:row>
    <x:row r="339">
      <x:c r="A339" s="68" t="str">
        <x:v>输出层级</x:v>
      </x:c>
      <x:c r="B339" s="68" t="str">
        <x:v>OUT03</x:v>
      </x:c>
      <x:c r="C339" s="68" t="str">
        <x:v>用户输出</x:v>
      </x:c>
      <x:c r="D339" s="68" t="str">
        <x:v>输出层级的标准选项：用户输出。具体成立条件由对应模块规则定义。</x:v>
      </x:c>
      <x:c r="E339" s="68" t="str">
        <x:v>输出层级</x:v>
      </x:c>
      <x:c r="F339" s="98" t="n">
        <x:v>3</x:v>
      </x:c>
      <x:c r="G339" s="68" t="str">
        <x:v>是</x:v>
      </x:c>
      <x:c r="H339" s="68" t="str"/>
    </x:row>
    <x:row r="340">
      <x:c r="A340" s="68" t="str">
        <x:v>输出层级</x:v>
      </x:c>
      <x:c r="B340" s="68" t="str">
        <x:v>OUT04</x:v>
      </x:c>
      <x:c r="C340" s="68" t="str">
        <x:v>三层通用</x:v>
      </x:c>
      <x:c r="D340" s="68" t="str">
        <x:v>输出层级的标准选项：三层通用。具体成立条件由对应模块规则定义。</x:v>
      </x:c>
      <x:c r="E340" s="68" t="str">
        <x:v>输出层级</x:v>
      </x:c>
      <x:c r="F340" s="98" t="n">
        <x:v>4</x:v>
      </x:c>
      <x:c r="G340" s="68" t="str">
        <x:v>是</x:v>
      </x:c>
      <x:c r="H340" s="68" t="str"/>
    </x:row>
    <x:row r="341">
      <x:c r="A341" s="68" t="str">
        <x:v>数据类型</x:v>
      </x:c>
      <x:c r="B341" s="68" t="str">
        <x:v>DT01</x:v>
      </x:c>
      <x:c r="C341" s="68" t="str">
        <x:v>短文本</x:v>
      </x:c>
      <x:c r="D341" s="68" t="str">
        <x:v>数据类型的标准选项：短文本。具体成立条件由对应模块规则定义。</x:v>
      </x:c>
      <x:c r="E341" s="68" t="str">
        <x:v>数据类型</x:v>
      </x:c>
      <x:c r="F341" s="98" t="n">
        <x:v>1</x:v>
      </x:c>
      <x:c r="G341" s="68" t="str">
        <x:v>是</x:v>
      </x:c>
      <x:c r="H341" s="68" t="str"/>
    </x:row>
    <x:row r="342">
      <x:c r="A342" s="68" t="str">
        <x:v>数据类型</x:v>
      </x:c>
      <x:c r="B342" s="68" t="str">
        <x:v>DT02</x:v>
      </x:c>
      <x:c r="C342" s="68" t="str">
        <x:v>长文本</x:v>
      </x:c>
      <x:c r="D342" s="68" t="str">
        <x:v>数据类型的标准选项：长文本。具体成立条件由对应模块规则定义。</x:v>
      </x:c>
      <x:c r="E342" s="68" t="str">
        <x:v>数据类型</x:v>
      </x:c>
      <x:c r="F342" s="98" t="n">
        <x:v>2</x:v>
      </x:c>
      <x:c r="G342" s="68" t="str">
        <x:v>是</x:v>
      </x:c>
      <x:c r="H342" s="68" t="str"/>
    </x:row>
    <x:row r="343">
      <x:c r="A343" s="68" t="str">
        <x:v>数据类型</x:v>
      </x:c>
      <x:c r="B343" s="68" t="str">
        <x:v>DT03</x:v>
      </x:c>
      <x:c r="C343" s="68" t="str">
        <x:v>枚举</x:v>
      </x:c>
      <x:c r="D343" s="68" t="str">
        <x:v>数据类型的标准选项：枚举。具体成立条件由对应模块规则定义。</x:v>
      </x:c>
      <x:c r="E343" s="68" t="str">
        <x:v>数据类型</x:v>
      </x:c>
      <x:c r="F343" s="98" t="n">
        <x:v>3</x:v>
      </x:c>
      <x:c r="G343" s="68" t="str">
        <x:v>是</x:v>
      </x:c>
      <x:c r="H343" s="68" t="str"/>
    </x:row>
    <x:row r="344">
      <x:c r="A344" s="68" t="str">
        <x:v>数据类型</x:v>
      </x:c>
      <x:c r="B344" s="68" t="str">
        <x:v>DT04</x:v>
      </x:c>
      <x:c r="C344" s="68" t="str">
        <x:v>整数</x:v>
      </x:c>
      <x:c r="D344" s="68" t="str">
        <x:v>数据类型的标准选项：整数。具体成立条件由对应模块规则定义。</x:v>
      </x:c>
      <x:c r="E344" s="68" t="str">
        <x:v>数据类型</x:v>
      </x:c>
      <x:c r="F344" s="98" t="n">
        <x:v>4</x:v>
      </x:c>
      <x:c r="G344" s="68" t="str">
        <x:v>是</x:v>
      </x:c>
      <x:c r="H344" s="68" t="str"/>
    </x:row>
    <x:row r="345">
      <x:c r="A345" s="68" t="str">
        <x:v>数据类型</x:v>
      </x:c>
      <x:c r="B345" s="68" t="str">
        <x:v>DT05</x:v>
      </x:c>
      <x:c r="C345" s="68" t="str">
        <x:v>小数</x:v>
      </x:c>
      <x:c r="D345" s="68" t="str">
        <x:v>数据类型的标准选项：小数。具体成立条件由对应模块规则定义。</x:v>
      </x:c>
      <x:c r="E345" s="68" t="str">
        <x:v>数据类型</x:v>
      </x:c>
      <x:c r="F345" s="98" t="n">
        <x:v>5</x:v>
      </x:c>
      <x:c r="G345" s="68" t="str">
        <x:v>是</x:v>
      </x:c>
      <x:c r="H345" s="68" t="str"/>
    </x:row>
    <x:row r="346">
      <x:c r="A346" s="68" t="str">
        <x:v>数据类型</x:v>
      </x:c>
      <x:c r="B346" s="68" t="str">
        <x:v>DT06</x:v>
      </x:c>
      <x:c r="C346" s="68" t="str">
        <x:v>日期</x:v>
      </x:c>
      <x:c r="D346" s="68" t="str">
        <x:v>数据类型的标准选项：日期。具体成立条件由对应模块规则定义。</x:v>
      </x:c>
      <x:c r="E346" s="68" t="str">
        <x:v>数据类型</x:v>
      </x:c>
      <x:c r="F346" s="98" t="n">
        <x:v>6</x:v>
      </x:c>
      <x:c r="G346" s="68" t="str">
        <x:v>是</x:v>
      </x:c>
      <x:c r="H346" s="68" t="str"/>
    </x:row>
    <x:row r="347">
      <x:c r="A347" s="68" t="str">
        <x:v>数据类型</x:v>
      </x:c>
      <x:c r="B347" s="68" t="str">
        <x:v>DT07</x:v>
      </x:c>
      <x:c r="C347" s="68" t="str">
        <x:v>布尔/条件</x:v>
      </x:c>
      <x:c r="D347" s="68" t="str">
        <x:v>数据类型的标准选项：布尔/条件。具体成立条件由对应模块规则定义。</x:v>
      </x:c>
      <x:c r="E347" s="68" t="str">
        <x:v>数据类型</x:v>
      </x:c>
      <x:c r="F347" s="98" t="n">
        <x:v>7</x:v>
      </x:c>
      <x:c r="G347" s="68" t="str">
        <x:v>是</x:v>
      </x:c>
      <x:c r="H347" s="68" t="str"/>
    </x:row>
    <x:row r="348">
      <x:c r="A348" s="68" t="str">
        <x:v>数据类型</x:v>
      </x:c>
      <x:c r="B348" s="68" t="str">
        <x:v>DT08</x:v>
      </x:c>
      <x:c r="C348" s="68" t="str">
        <x:v>Rule_ID引用</x:v>
      </x:c>
      <x:c r="D348" s="68" t="str">
        <x:v>数据类型的标准选项：Rule_ID引用。具体成立条件由对应模块规则定义。</x:v>
      </x:c>
      <x:c r="E348" s="68" t="str">
        <x:v>数据类型</x:v>
      </x:c>
      <x:c r="F348" s="98" t="n">
        <x:v>8</x:v>
      </x:c>
      <x:c r="G348" s="68" t="str">
        <x:v>是</x:v>
      </x:c>
      <x:c r="H348" s="68" t="str"/>
    </x:row>
    <x:row r="349">
      <x:c r="A349" s="68" t="str">
        <x:v>数据类型</x:v>
      </x:c>
      <x:c r="B349" s="68" t="str">
        <x:v>DT09</x:v>
      </x:c>
      <x:c r="C349" s="68" t="str">
        <x:v>多值标签</x:v>
      </x:c>
      <x:c r="D349" s="68" t="str">
        <x:v>数据类型的标准选项：多值标签。具体成立条件由对应模块规则定义。</x:v>
      </x:c>
      <x:c r="E349" s="68" t="str">
        <x:v>数据类型</x:v>
      </x:c>
      <x:c r="F349" s="98" t="n">
        <x:v>9</x:v>
      </x:c>
      <x:c r="G349" s="68" t="str">
        <x:v>是</x:v>
      </x:c>
      <x:c r="H349" s="68" t="str"/>
    </x:row>
    <x:row r="350">
      <x:c r="A350" s="68" t="str">
        <x:v>性别</x:v>
      </x:c>
      <x:c r="B350" s="68" t="str">
        <x:v>SEX01</x:v>
      </x:c>
      <x:c r="C350" s="68" t="str">
        <x:v>男</x:v>
      </x:c>
      <x:c r="D350" s="68" t="str">
        <x:v>性别的标准选项：男。具体成立条件由对应模块规则定义。</x:v>
      </x:c>
      <x:c r="E350" s="68" t="str">
        <x:v>性别</x:v>
      </x:c>
      <x:c r="F350" s="98" t="n">
        <x:v>1</x:v>
      </x:c>
      <x:c r="G350" s="68" t="str">
        <x:v>是</x:v>
      </x:c>
      <x:c r="H350" s="68" t="str"/>
    </x:row>
    <x:row r="351">
      <x:c r="A351" s="68" t="str">
        <x:v>性别</x:v>
      </x:c>
      <x:c r="B351" s="68" t="str">
        <x:v>SEX02</x:v>
      </x:c>
      <x:c r="C351" s="68" t="str">
        <x:v>女</x:v>
      </x:c>
      <x:c r="D351" s="68" t="str">
        <x:v>性别的标准选项：女。具体成立条件由对应模块规则定义。</x:v>
      </x:c>
      <x:c r="E351" s="68" t="str">
        <x:v>性别</x:v>
      </x:c>
      <x:c r="F351" s="98" t="n">
        <x:v>2</x:v>
      </x:c>
      <x:c r="G351" s="68" t="str">
        <x:v>是</x:v>
      </x:c>
      <x:c r="H351" s="68" t="str"/>
    </x:row>
    <x:row r="352">
      <x:c r="A352" s="68" t="str">
        <x:v>性别</x:v>
      </x:c>
      <x:c r="B352" s="68" t="str">
        <x:v>SEX03</x:v>
      </x:c>
      <x:c r="C352" s="68" t="str">
        <x:v>未知/不适用</x:v>
      </x:c>
      <x:c r="D352" s="68" t="str">
        <x:v>性别的标准选项：未知/不适用。具体成立条件由对应模块规则定义。</x:v>
      </x:c>
      <x:c r="E352" s="68" t="str">
        <x:v>性别</x:v>
      </x:c>
      <x:c r="F352" s="98" t="n">
        <x:v>3</x:v>
      </x:c>
      <x:c r="G352" s="68" t="str">
        <x:v>是</x:v>
      </x:c>
      <x:c r="H352" s="68" t="str"/>
    </x:row>
    <x:row r="353">
      <x:c r="A353" s="68" t="str">
        <x:v>测试类型</x:v>
      </x:c>
      <x:c r="B353" s="68" t="str">
        <x:v>TEST01</x:v>
      </x:c>
      <x:c r="C353" s="68" t="str">
        <x:v>正例</x:v>
      </x:c>
      <x:c r="D353" s="68" t="str">
        <x:v>测试类型的标准选项：正例。具体成立条件由对应模块规则定义。</x:v>
      </x:c>
      <x:c r="E353" s="68" t="str">
        <x:v>测试类型</x:v>
      </x:c>
      <x:c r="F353" s="98" t="n">
        <x:v>1</x:v>
      </x:c>
      <x:c r="G353" s="68" t="str">
        <x:v>是</x:v>
      </x:c>
      <x:c r="H353" s="68" t="str"/>
    </x:row>
    <x:row r="354">
      <x:c r="A354" s="68" t="str">
        <x:v>测试类型</x:v>
      </x:c>
      <x:c r="B354" s="68" t="str">
        <x:v>TEST02</x:v>
      </x:c>
      <x:c r="C354" s="68" t="str">
        <x:v>反例</x:v>
      </x:c>
      <x:c r="D354" s="68" t="str">
        <x:v>测试类型的标准选项：反例。具体成立条件由对应模块规则定义。</x:v>
      </x:c>
      <x:c r="E354" s="68" t="str">
        <x:v>测试类型</x:v>
      </x:c>
      <x:c r="F354" s="98" t="n">
        <x:v>2</x:v>
      </x:c>
      <x:c r="G354" s="68" t="str">
        <x:v>是</x:v>
      </x:c>
      <x:c r="H354" s="68" t="str"/>
    </x:row>
    <x:row r="355">
      <x:c r="A355" s="68" t="str">
        <x:v>测试类型</x:v>
      </x:c>
      <x:c r="B355" s="68" t="str">
        <x:v>TEST03</x:v>
      </x:c>
      <x:c r="C355" s="68" t="str">
        <x:v>边界案例</x:v>
      </x:c>
      <x:c r="D355" s="68" t="str">
        <x:v>测试类型的标准选项：边界案例。具体成立条件由对应模块规则定义。</x:v>
      </x:c>
      <x:c r="E355" s="68" t="str">
        <x:v>测试类型</x:v>
      </x:c>
      <x:c r="F355" s="98" t="n">
        <x:v>3</x:v>
      </x:c>
      <x:c r="G355" s="68" t="str">
        <x:v>是</x:v>
      </x:c>
      <x:c r="H355" s="68" t="str"/>
    </x:row>
    <x:row r="356">
      <x:c r="A356" s="68" t="str">
        <x:v>测试类型</x:v>
      </x:c>
      <x:c r="B356" s="68" t="str">
        <x:v>TEST04</x:v>
      </x:c>
      <x:c r="C356" s="68" t="str">
        <x:v>回归测试</x:v>
      </x:c>
      <x:c r="D356" s="68" t="str">
        <x:v>测试类型的标准选项：回归测试。具体成立条件由对应模块规则定义。</x:v>
      </x:c>
      <x:c r="E356" s="68" t="str">
        <x:v>测试类型</x:v>
      </x:c>
      <x:c r="F356" s="98" t="n">
        <x:v>4</x:v>
      </x:c>
      <x:c r="G356" s="68" t="str">
        <x:v>是</x:v>
      </x:c>
      <x:c r="H356" s="68" t="str"/>
    </x:row>
    <x:row r="357">
      <x:c r="A357" s="68" t="str">
        <x:v>测试类型</x:v>
      </x:c>
      <x:c r="B357" s="68" t="str">
        <x:v>TEST05</x:v>
      </x:c>
      <x:c r="C357" s="68" t="str">
        <x:v>争议测试</x:v>
      </x:c>
      <x:c r="D357" s="68" t="str">
        <x:v>测试类型的标准选项：争议测试。具体成立条件由对应模块规则定义。</x:v>
      </x:c>
      <x:c r="E357" s="68" t="str">
        <x:v>测试类型</x:v>
      </x:c>
      <x:c r="F357" s="98" t="n">
        <x:v>5</x:v>
      </x:c>
      <x:c r="G357" s="68" t="str">
        <x:v>是</x:v>
      </x:c>
      <x:c r="H357" s="68" t="str"/>
    </x:row>
    <x:row r="358">
      <x:c r="A358" s="68" t="str">
        <x:v>测试类型</x:v>
      </x:c>
      <x:c r="B358" s="68" t="str">
        <x:v>TEST06</x:v>
      </x:c>
      <x:c r="C358" s="68" t="str">
        <x:v>综合案例</x:v>
      </x:c>
      <x:c r="D358" s="68" t="str">
        <x:v>测试类型的标准选项：综合案例。具体成立条件由对应模块规则定义。</x:v>
      </x:c>
      <x:c r="E358" s="68" t="str">
        <x:v>测试类型</x:v>
      </x:c>
      <x:c r="F358" s="98" t="n">
        <x:v>6</x:v>
      </x:c>
      <x:c r="G358" s="68" t="str">
        <x:v>是</x:v>
      </x:c>
      <x:c r="H358" s="68" t="str"/>
    </x:row>
    <x:row r="359">
      <x:c r="A359" s="68" t="str">
        <x:v>测试结果</x:v>
      </x:c>
      <x:c r="B359" s="68" t="str">
        <x:v>TRES01</x:v>
      </x:c>
      <x:c r="C359" s="68" t="str">
        <x:v>未测试</x:v>
      </x:c>
      <x:c r="D359" s="68" t="str">
        <x:v>测试结果的标准选项：未测试。具体成立条件由对应模块规则定义。</x:v>
      </x:c>
      <x:c r="E359" s="68" t="str">
        <x:v>复测结果、测试结果</x:v>
      </x:c>
      <x:c r="F359" s="98" t="n">
        <x:v>1</x:v>
      </x:c>
      <x:c r="G359" s="68" t="str">
        <x:v>是</x:v>
      </x:c>
      <x:c r="H359" s="68" t="str"/>
    </x:row>
    <x:row r="360">
      <x:c r="A360" s="68" t="str">
        <x:v>测试结果</x:v>
      </x:c>
      <x:c r="B360" s="68" t="str">
        <x:v>TRES02</x:v>
      </x:c>
      <x:c r="C360" s="68" t="str">
        <x:v>通过</x:v>
      </x:c>
      <x:c r="D360" s="68" t="str">
        <x:v>实际结果与预期一致，未发现需要修订的关键偏差。</x:v>
      </x:c>
      <x:c r="E360" s="68" t="str">
        <x:v>复测结果、测试结果</x:v>
      </x:c>
      <x:c r="F360" s="98" t="n">
        <x:v>2</x:v>
      </x:c>
      <x:c r="G360" s="68" t="str">
        <x:v>是</x:v>
      </x:c>
      <x:c r="H360" s="68" t="str"/>
    </x:row>
    <x:row r="361">
      <x:c r="A361" s="68" t="str">
        <x:v>测试结果</x:v>
      </x:c>
      <x:c r="B361" s="68" t="str">
        <x:v>TRES03</x:v>
      </x:c>
      <x:c r="C361" s="68" t="str">
        <x:v>部分通过</x:v>
      </x:c>
      <x:c r="D361" s="68" t="str">
        <x:v>主要结论正确，但边界、输出或中间步骤需要修订。</x:v>
      </x:c>
      <x:c r="E361" s="68" t="str">
        <x:v>复测结果、测试结果</x:v>
      </x:c>
      <x:c r="F361" s="98" t="n">
        <x:v>3</x:v>
      </x:c>
      <x:c r="G361" s="68" t="str">
        <x:v>是</x:v>
      </x:c>
      <x:c r="H361" s="68" t="str"/>
    </x:row>
    <x:row r="362">
      <x:c r="A362" s="68" t="str">
        <x:v>测试结果</x:v>
      </x:c>
      <x:c r="B362" s="68" t="str">
        <x:v>TRES04</x:v>
      </x:c>
      <x:c r="C362" s="68" t="str">
        <x:v>未通过</x:v>
      </x:c>
      <x:c r="D362" s="68" t="str">
        <x:v>实际结果与预期冲突，规则需要重写、降级或停用。</x:v>
      </x:c>
      <x:c r="E362" s="68" t="str">
        <x:v>复测结果、测试结果</x:v>
      </x:c>
      <x:c r="F362" s="98" t="n">
        <x:v>4</x:v>
      </x:c>
      <x:c r="G362" s="68" t="str">
        <x:v>是</x:v>
      </x:c>
      <x:c r="H362" s="68" t="str"/>
    </x:row>
    <x:row r="363">
      <x:c r="A363" s="68" t="str">
        <x:v>测试结果</x:v>
      </x:c>
      <x:c r="B363" s="68" t="str">
        <x:v>TRES05</x:v>
      </x:c>
      <x:c r="C363" s="68" t="str">
        <x:v>待复核</x:v>
      </x:c>
      <x:c r="D363" s="68" t="str">
        <x:v>测试结果的标准选项：待复核。具体成立条件由对应模块规则定义。</x:v>
      </x:c>
      <x:c r="E363" s="68" t="str">
        <x:v>复测结果、测试结果</x:v>
      </x:c>
      <x:c r="F363" s="98" t="n">
        <x:v>5</x:v>
      </x:c>
      <x:c r="G363" s="68" t="str">
        <x:v>是</x:v>
      </x:c>
      <x:c r="H363" s="68" t="str"/>
    </x:row>
    <x:row r="364">
      <x:c r="A364" s="68" t="str">
        <x:v>议题类型</x:v>
      </x:c>
      <x:c r="B364" s="68" t="str">
        <x:v>ISS01</x:v>
      </x:c>
      <x:c r="C364" s="68" t="str">
        <x:v>流派争议</x:v>
      </x:c>
      <x:c r="D364" s="68" t="str">
        <x:v>议题类型的标准选项：流派争议。具体成立条件由对应模块规则定义。</x:v>
      </x:c>
      <x:c r="E364" s="68" t="str">
        <x:v>议题类型</x:v>
      </x:c>
      <x:c r="F364" s="98" t="n">
        <x:v>1</x:v>
      </x:c>
      <x:c r="G364" s="68" t="str">
        <x:v>是</x:v>
      </x:c>
      <x:c r="H364" s="68" t="str"/>
    </x:row>
    <x:row r="365">
      <x:c r="A365" s="68" t="str">
        <x:v>议题类型</x:v>
      </x:c>
      <x:c r="B365" s="68" t="str">
        <x:v>ISS02</x:v>
      </x:c>
      <x:c r="C365" s="68" t="str">
        <x:v>规则冲突</x:v>
      </x:c>
      <x:c r="D365" s="68" t="str">
        <x:v>议题类型的标准选项：规则冲突。具体成立条件由对应模块规则定义。</x:v>
      </x:c>
      <x:c r="E365" s="68" t="str">
        <x:v>议题类型</x:v>
      </x:c>
      <x:c r="F365" s="98" t="n">
        <x:v>2</x:v>
      </x:c>
      <x:c r="G365" s="68" t="str">
        <x:v>是</x:v>
      </x:c>
      <x:c r="H365" s="68" t="str"/>
    </x:row>
    <x:row r="366">
      <x:c r="A366" s="68" t="str">
        <x:v>议题类型</x:v>
      </x:c>
      <x:c r="B366" s="68" t="str">
        <x:v>ISS03</x:v>
      </x:c>
      <x:c r="C366" s="68" t="str">
        <x:v>案例反证</x:v>
      </x:c>
      <x:c r="D366" s="68" t="str">
        <x:v>议题类型的标准选项：案例反证。具体成立条件由对应模块规则定义。</x:v>
      </x:c>
      <x:c r="E366" s="68" t="str">
        <x:v>议题类型</x:v>
      </x:c>
      <x:c r="F366" s="98" t="n">
        <x:v>3</x:v>
      </x:c>
      <x:c r="G366" s="68" t="str">
        <x:v>是</x:v>
      </x:c>
      <x:c r="H366" s="68" t="str"/>
    </x:row>
    <x:row r="367">
      <x:c r="A367" s="68" t="str">
        <x:v>议题类型</x:v>
      </x:c>
      <x:c r="B367" s="68" t="str">
        <x:v>ISS04</x:v>
      </x:c>
      <x:c r="C367" s="68" t="str">
        <x:v>定义修订</x:v>
      </x:c>
      <x:c r="D367" s="68" t="str">
        <x:v>议题类型的标准选项：定义修订。具体成立条件由对应模块规则定义。</x:v>
      </x:c>
      <x:c r="E367" s="68" t="str">
        <x:v>议题类型</x:v>
      </x:c>
      <x:c r="F367" s="98" t="n">
        <x:v>4</x:v>
      </x:c>
      <x:c r="G367" s="68" t="str">
        <x:v>是</x:v>
      </x:c>
      <x:c r="H367" s="68" t="str"/>
    </x:row>
    <x:row r="368">
      <x:c r="A368" s="68" t="str">
        <x:v>议题类型</x:v>
      </x:c>
      <x:c r="B368" s="68" t="str">
        <x:v>ISS05</x:v>
      </x:c>
      <x:c r="C368" s="68" t="str">
        <x:v>权重修订</x:v>
      </x:c>
      <x:c r="D368" s="68" t="str">
        <x:v>议题类型的标准选项：权重修订。具体成立条件由对应模块规则定义。</x:v>
      </x:c>
      <x:c r="E368" s="68" t="str">
        <x:v>议题类型</x:v>
      </x:c>
      <x:c r="F368" s="98" t="n">
        <x:v>5</x:v>
      </x:c>
      <x:c r="G368" s="68" t="str">
        <x:v>是</x:v>
      </x:c>
      <x:c r="H368" s="68" t="str"/>
    </x:row>
    <x:row r="369">
      <x:c r="A369" s="68" t="str">
        <x:v>议题类型</x:v>
      </x:c>
      <x:c r="B369" s="68" t="str">
        <x:v>ISS06</x:v>
      </x:c>
      <x:c r="C369" s="68" t="str">
        <x:v>例外补充</x:v>
      </x:c>
      <x:c r="D369" s="68" t="str">
        <x:v>议题类型的标准选项：例外补充。具体成立条件由对应模块规则定义。</x:v>
      </x:c>
      <x:c r="E369" s="68" t="str">
        <x:v>议题类型</x:v>
      </x:c>
      <x:c r="F369" s="98" t="n">
        <x:v>6</x:v>
      </x:c>
      <x:c r="G369" s="68" t="str">
        <x:v>是</x:v>
      </x:c>
      <x:c r="H369" s="68" t="str"/>
    </x:row>
    <x:row r="370">
      <x:c r="A370" s="68" t="str">
        <x:v>议题类型</x:v>
      </x:c>
      <x:c r="B370" s="68" t="str">
        <x:v>ISS07</x:v>
      </x:c>
      <x:c r="C370" s="68" t="str">
        <x:v>版本变更</x:v>
      </x:c>
      <x:c r="D370" s="68" t="str">
        <x:v>议题类型的标准选项：版本变更。具体成立条件由对应模块规则定义。</x:v>
      </x:c>
      <x:c r="E370" s="68" t="str">
        <x:v>议题类型</x:v>
      </x:c>
      <x:c r="F370" s="98" t="n">
        <x:v>7</x:v>
      </x:c>
      <x:c r="G370" s="68" t="str">
        <x:v>是</x:v>
      </x:c>
      <x:c r="H370" s="68" t="str"/>
    </x:row>
    <x:row r="371">
      <x:c r="A371" s="68" t="str">
        <x:v>争议级别</x:v>
      </x:c>
      <x:c r="B371" s="68" t="str">
        <x:v>DISP01</x:v>
      </x:c>
      <x:c r="C371" s="68" t="str">
        <x:v>无</x:v>
      </x:c>
      <x:c r="D371" s="68" t="str">
        <x:v>争议级别的标准选项：无。具体成立条件由对应模块规则定义。</x:v>
      </x:c>
      <x:c r="E371" s="68" t="str">
        <x:v>争议级别</x:v>
      </x:c>
      <x:c r="F371" s="98" t="n">
        <x:v>1</x:v>
      </x:c>
      <x:c r="G371" s="68" t="str">
        <x:v>是</x:v>
      </x:c>
      <x:c r="H371" s="68" t="str"/>
    </x:row>
    <x:row r="372">
      <x:c r="A372" s="68" t="str">
        <x:v>争议级别</x:v>
      </x:c>
      <x:c r="B372" s="68" t="str">
        <x:v>DISP02</x:v>
      </x:c>
      <x:c r="C372" s="68" t="str">
        <x:v>低</x:v>
      </x:c>
      <x:c r="D372" s="68" t="str">
        <x:v>争议级别的标准选项：低。具体成立条件由对应模块规则定义。</x:v>
      </x:c>
      <x:c r="E372" s="68" t="str">
        <x:v>争议级别</x:v>
      </x:c>
      <x:c r="F372" s="98" t="n">
        <x:v>2</x:v>
      </x:c>
      <x:c r="G372" s="68" t="str">
        <x:v>是</x:v>
      </x:c>
      <x:c r="H372" s="68" t="str"/>
    </x:row>
    <x:row r="373">
      <x:c r="A373" s="68" t="str">
        <x:v>争议级别</x:v>
      </x:c>
      <x:c r="B373" s="68" t="str">
        <x:v>DISP03</x:v>
      </x:c>
      <x:c r="C373" s="68" t="str">
        <x:v>中</x:v>
      </x:c>
      <x:c r="D373" s="68" t="str">
        <x:v>争议级别的标准选项：中。具体成立条件由对应模块规则定义。</x:v>
      </x:c>
      <x:c r="E373" s="68" t="str">
        <x:v>争议级别</x:v>
      </x:c>
      <x:c r="F373" s="98" t="n">
        <x:v>3</x:v>
      </x:c>
      <x:c r="G373" s="68" t="str">
        <x:v>是</x:v>
      </x:c>
      <x:c r="H373" s="68" t="str"/>
    </x:row>
    <x:row r="374">
      <x:c r="A374" s="68" t="str">
        <x:v>争议级别</x:v>
      </x:c>
      <x:c r="B374" s="68" t="str">
        <x:v>DISP04</x:v>
      </x:c>
      <x:c r="C374" s="68" t="str">
        <x:v>高</x:v>
      </x:c>
      <x:c r="D374" s="68" t="str">
        <x:v>争议级别的标准选项：高。具体成立条件由对应模块规则定义。</x:v>
      </x:c>
      <x:c r="E374" s="68" t="str">
        <x:v>争议级别</x:v>
      </x:c>
      <x:c r="F374" s="98" t="n">
        <x:v>4</x:v>
      </x:c>
      <x:c r="G374" s="68" t="str">
        <x:v>是</x:v>
      </x:c>
      <x:c r="H374" s="68" t="str"/>
    </x:row>
    <x:row r="375">
      <x:c r="A375" s="68" t="str">
        <x:v>变更类型</x:v>
      </x:c>
      <x:c r="B375" s="68" t="str">
        <x:v>CHG01</x:v>
      </x:c>
      <x:c r="C375" s="68" t="str">
        <x:v>新增</x:v>
      </x:c>
      <x:c r="D375" s="68" t="str">
        <x:v>变更类型的标准选项：新增。具体成立条件由对应模块规则定义。</x:v>
      </x:c>
      <x:c r="E375" s="68" t="str">
        <x:v>变更类型</x:v>
      </x:c>
      <x:c r="F375" s="98" t="n">
        <x:v>1</x:v>
      </x:c>
      <x:c r="G375" s="68" t="str">
        <x:v>是</x:v>
      </x:c>
      <x:c r="H375" s="68" t="str"/>
    </x:row>
    <x:row r="376">
      <x:c r="A376" s="68" t="str">
        <x:v>变更类型</x:v>
      </x:c>
      <x:c r="B376" s="68" t="str">
        <x:v>CHG02</x:v>
      </x:c>
      <x:c r="C376" s="68" t="str">
        <x:v>修订</x:v>
      </x:c>
      <x:c r="D376" s="68" t="str">
        <x:v>变更类型的标准选项：修订。具体成立条件由对应模块规则定义。</x:v>
      </x:c>
      <x:c r="E376" s="68" t="str">
        <x:v>变更类型</x:v>
      </x:c>
      <x:c r="F376" s="98" t="n">
        <x:v>2</x:v>
      </x:c>
      <x:c r="G376" s="68" t="str">
        <x:v>是</x:v>
      </x:c>
      <x:c r="H376" s="68" t="str"/>
    </x:row>
    <x:row r="377">
      <x:c r="A377" s="68" t="str">
        <x:v>变更类型</x:v>
      </x:c>
      <x:c r="B377" s="68" t="str">
        <x:v>CHG03</x:v>
      </x:c>
      <x:c r="C377" s="68" t="str">
        <x:v>拆分</x:v>
      </x:c>
      <x:c r="D377" s="68" t="str">
        <x:v>变更类型的标准选项：拆分。具体成立条件由对应模块规则定义。</x:v>
      </x:c>
      <x:c r="E377" s="68" t="str">
        <x:v>变更类型</x:v>
      </x:c>
      <x:c r="F377" s="98" t="n">
        <x:v>3</x:v>
      </x:c>
      <x:c r="G377" s="68" t="str">
        <x:v>是</x:v>
      </x:c>
      <x:c r="H377" s="68" t="str"/>
    </x:row>
    <x:row r="378">
      <x:c r="A378" s="68" t="str">
        <x:v>变更类型</x:v>
      </x:c>
      <x:c r="B378" s="68" t="str">
        <x:v>CHG04</x:v>
      </x:c>
      <x:c r="C378" s="68" t="str">
        <x:v>合并</x:v>
      </x:c>
      <x:c r="D378" s="68" t="str">
        <x:v>变更类型的标准选项：合并。具体成立条件由对应模块规则定义。</x:v>
      </x:c>
      <x:c r="E378" s="68" t="str">
        <x:v>变更类型</x:v>
      </x:c>
      <x:c r="F378" s="98" t="n">
        <x:v>4</x:v>
      </x:c>
      <x:c r="G378" s="68" t="str">
        <x:v>是</x:v>
      </x:c>
      <x:c r="H378" s="68" t="str"/>
    </x:row>
    <x:row r="379">
      <x:c r="A379" s="68" t="str">
        <x:v>变更类型</x:v>
      </x:c>
      <x:c r="B379" s="68" t="str">
        <x:v>CHG05</x:v>
      </x:c>
      <x:c r="C379" s="68" t="str">
        <x:v>停用</x:v>
      </x:c>
      <x:c r="D379" s="68" t="str">
        <x:v>变更类型的标准选项：停用。具体成立条件由对应模块规则定义。</x:v>
      </x:c>
      <x:c r="E379" s="68" t="str">
        <x:v>变更类型</x:v>
      </x:c>
      <x:c r="F379" s="98" t="n">
        <x:v>5</x:v>
      </x:c>
      <x:c r="G379" s="68" t="str">
        <x:v>是</x:v>
      </x:c>
      <x:c r="H379" s="68" t="str"/>
    </x:row>
    <x:row r="380">
      <x:c r="A380" s="68" t="str">
        <x:v>变更类型</x:v>
      </x:c>
      <x:c r="B380" s="68" t="str">
        <x:v>CHG06</x:v>
      </x:c>
      <x:c r="C380" s="68" t="str">
        <x:v>恢复</x:v>
      </x:c>
      <x:c r="D380" s="68" t="str">
        <x:v>变更类型的标准选项：恢复。具体成立条件由对应模块规则定义。</x:v>
      </x:c>
      <x:c r="E380" s="68" t="str">
        <x:v>变更类型</x:v>
      </x:c>
      <x:c r="F380" s="98" t="n">
        <x:v>6</x:v>
      </x:c>
      <x:c r="G380" s="68" t="str">
        <x:v>是</x:v>
      </x:c>
      <x:c r="H380" s="68" t="str"/>
    </x:row>
    <x:row r="381">
      <x:c r="A381" s="68" t="str">
        <x:v>变更类型</x:v>
      </x:c>
      <x:c r="B381" s="68" t="str">
        <x:v>CHG07</x:v>
      </x:c>
      <x:c r="C381" s="68" t="str">
        <x:v>仅文字优化</x:v>
      </x:c>
      <x:c r="D381" s="68" t="str">
        <x:v>变更类型的标准选项：仅文字优化。具体成立条件由对应模块规则定义。</x:v>
      </x:c>
      <x:c r="E381" s="68" t="str">
        <x:v>变更类型</x:v>
      </x:c>
      <x:c r="F381" s="98" t="n">
        <x:v>7</x:v>
      </x:c>
      <x:c r="G381" s="68" t="str">
        <x:v>是</x:v>
      </x:c>
      <x:c r="H381" s="68" t="str"/>
    </x:row>
    <x:row r="382">
      <x:c r="A382" s="68" t="str">
        <x:v>处理状态</x:v>
      </x:c>
      <x:c r="B382" s="68" t="str">
        <x:v>HND01</x:v>
      </x:c>
      <x:c r="C382" s="68" t="str">
        <x:v>待讨论</x:v>
      </x:c>
      <x:c r="D382" s="68" t="str">
        <x:v>处理状态的标准选项：待讨论。具体成立条件由对应模块规则定义。</x:v>
      </x:c>
      <x:c r="E382" s="68" t="str">
        <x:v>处理状态</x:v>
      </x:c>
      <x:c r="F382" s="98" t="n">
        <x:v>1</x:v>
      </x:c>
      <x:c r="G382" s="68" t="str">
        <x:v>是</x:v>
      </x:c>
      <x:c r="H382" s="68" t="str"/>
    </x:row>
    <x:row r="383">
      <x:c r="A383" s="68" t="str">
        <x:v>处理状态</x:v>
      </x:c>
      <x:c r="B383" s="68" t="str">
        <x:v>HND02</x:v>
      </x:c>
      <x:c r="C383" s="68" t="str">
        <x:v>待验证</x:v>
      </x:c>
      <x:c r="D383" s="68" t="str">
        <x:v>处理状态的标准选项：待验证。具体成立条件由对应模块规则定义。</x:v>
      </x:c>
      <x:c r="E383" s="68" t="str">
        <x:v>处理状态</x:v>
      </x:c>
      <x:c r="F383" s="98" t="n">
        <x:v>2</x:v>
      </x:c>
      <x:c r="G383" s="68" t="str">
        <x:v>是</x:v>
      </x:c>
      <x:c r="H383" s="68" t="str"/>
    </x:row>
    <x:row r="384">
      <x:c r="A384" s="68" t="str">
        <x:v>处理状态</x:v>
      </x:c>
      <x:c r="B384" s="68" t="str">
        <x:v>HND03</x:v>
      </x:c>
      <x:c r="C384" s="68" t="str">
        <x:v>已采纳</x:v>
      </x:c>
      <x:c r="D384" s="68" t="str">
        <x:v>处理状态的标准选项：已采纳。具体成立条件由对应模块规则定义。</x:v>
      </x:c>
      <x:c r="E384" s="68" t="str">
        <x:v>处理状态</x:v>
      </x:c>
      <x:c r="F384" s="98" t="n">
        <x:v>3</x:v>
      </x:c>
      <x:c r="G384" s="68" t="str">
        <x:v>是</x:v>
      </x:c>
      <x:c r="H384" s="68" t="str"/>
    </x:row>
    <x:row r="385">
      <x:c r="A385" s="68" t="str">
        <x:v>处理状态</x:v>
      </x:c>
      <x:c r="B385" s="68" t="str">
        <x:v>HND04</x:v>
      </x:c>
      <x:c r="C385" s="68" t="str">
        <x:v>不采纳</x:v>
      </x:c>
      <x:c r="D385" s="68" t="str">
        <x:v>处理状态的标准选项：不采纳。具体成立条件由对应模块规则定义。</x:v>
      </x:c>
      <x:c r="E385" s="68" t="str">
        <x:v>处理状态</x:v>
      </x:c>
      <x:c r="F385" s="98" t="n">
        <x:v>4</x:v>
      </x:c>
      <x:c r="G385" s="68" t="str">
        <x:v>是</x:v>
      </x:c>
      <x:c r="H385" s="68" t="str"/>
    </x:row>
    <x:row r="386">
      <x:c r="A386" s="68" t="str">
        <x:v>处理状态</x:v>
      </x:c>
      <x:c r="B386" s="68" t="str">
        <x:v>HND05</x:v>
      </x:c>
      <x:c r="C386" s="68" t="str">
        <x:v>延期</x:v>
      </x:c>
      <x:c r="D386" s="68" t="str">
        <x:v>处理状态的标准选项：延期。具体成立条件由对应模块规则定义。</x:v>
      </x:c>
      <x:c r="E386" s="68" t="str">
        <x:v>处理状态</x:v>
      </x:c>
      <x:c r="F386" s="98" t="n">
        <x:v>5</x:v>
      </x:c>
      <x:c r="G386" s="68" t="str">
        <x:v>是</x:v>
      </x:c>
      <x:c r="H386" s="68" t="str"/>
    </x:row>
    <x:row r="387">
      <x:c r="A387" s="68" t="str">
        <x:v>处理状态</x:v>
      </x:c>
      <x:c r="B387" s="68" t="str">
        <x:v>HND06</x:v>
      </x:c>
      <x:c r="C387" s="68" t="str">
        <x:v>已生效</x:v>
      </x:c>
      <x:c r="D387" s="68" t="str">
        <x:v>处理状态的标准选项：已生效。具体成立条件由对应模块规则定义。</x:v>
      </x:c>
      <x:c r="E387" s="68" t="str">
        <x:v>处理状态</x:v>
      </x:c>
      <x:c r="F387" s="98" t="n">
        <x:v>6</x:v>
      </x:c>
      <x:c r="G387" s="68" t="str">
        <x:v>是</x:v>
      </x:c>
      <x:c r="H387" s="68" t="str"/>
    </x:row>
    <x:row r="388">
      <x:c r="A388" s="68" t="str">
        <x:v>数据来源类型</x:v>
      </x:c>
      <x:c r="B388" s="68" t="str">
        <x:v>SRC01</x:v>
      </x:c>
      <x:c r="C388" s="68" t="str">
        <x:v>经典原文</x:v>
      </x:c>
      <x:c r="D388" s="68" t="str">
        <x:v>数据来源类型的标准选项：经典原文。具体成立条件由对应模块规则定义。</x:v>
      </x:c>
      <x:c r="E388" s="68" t="str">
        <x:v>数据来源类型</x:v>
      </x:c>
      <x:c r="F388" s="98" t="n">
        <x:v>1</x:v>
      </x:c>
      <x:c r="G388" s="68" t="str">
        <x:v>是</x:v>
      </x:c>
      <x:c r="H388" s="68" t="str"/>
    </x:row>
    <x:row r="389">
      <x:c r="A389" s="68" t="str">
        <x:v>数据来源类型</x:v>
      </x:c>
      <x:c r="B389" s="68" t="str">
        <x:v>SRC02</x:v>
      </x:c>
      <x:c r="C389" s="68" t="str">
        <x:v>古法注解</x:v>
      </x:c>
      <x:c r="D389" s="68" t="str">
        <x:v>数据来源类型的标准选项：古法注解。具体成立条件由对应模块规则定义。</x:v>
      </x:c>
      <x:c r="E389" s="68" t="str">
        <x:v>数据来源类型</x:v>
      </x:c>
      <x:c r="F389" s="98" t="n">
        <x:v>2</x:v>
      </x:c>
      <x:c r="G389" s="68" t="str">
        <x:v>是</x:v>
      </x:c>
      <x:c r="H389" s="68" t="str"/>
    </x:row>
    <x:row r="390">
      <x:c r="A390" s="68" t="str">
        <x:v>数据来源类型</x:v>
      </x:c>
      <x:c r="B390" s="68" t="str">
        <x:v>SRC03</x:v>
      </x:c>
      <x:c r="C390" s="68" t="str">
        <x:v>现代著作</x:v>
      </x:c>
      <x:c r="D390" s="68" t="str">
        <x:v>数据来源类型的标准选项：现代著作。具体成立条件由对应模块规则定义。</x:v>
      </x:c>
      <x:c r="E390" s="68" t="str">
        <x:v>数据来源类型</x:v>
      </x:c>
      <x:c r="F390" s="98" t="n">
        <x:v>3</x:v>
      </x:c>
      <x:c r="G390" s="68" t="str">
        <x:v>是</x:v>
      </x:c>
      <x:c r="H390" s="68" t="str"/>
    </x:row>
    <x:row r="391">
      <x:c r="A391" s="68" t="str">
        <x:v>数据来源类型</x:v>
      </x:c>
      <x:c r="B391" s="68" t="str">
        <x:v>SRC04</x:v>
      </x:c>
      <x:c r="C391" s="68" t="str">
        <x:v>实证案例</x:v>
      </x:c>
      <x:c r="D391" s="68" t="str">
        <x:v>数据来源类型的标准选项：实证案例。具体成立条件由对应模块规则定义。</x:v>
      </x:c>
      <x:c r="E391" s="68" t="str">
        <x:v>数据来源类型</x:v>
      </x:c>
      <x:c r="F391" s="98" t="n">
        <x:v>4</x:v>
      </x:c>
      <x:c r="G391" s="68" t="str">
        <x:v>是</x:v>
      </x:c>
      <x:c r="H391" s="68" t="str"/>
    </x:row>
    <x:row r="392">
      <x:c r="A392" s="68" t="str">
        <x:v>数据来源类型</x:v>
      </x:c>
      <x:c r="B392" s="68" t="str">
        <x:v>SRC05</x:v>
      </x:c>
      <x:c r="C392" s="68" t="str">
        <x:v>内部归纳</x:v>
      </x:c>
      <x:c r="D392" s="68" t="str">
        <x:v>数据来源类型的标准选项：内部归纳。具体成立条件由对应模块规则定义。</x:v>
      </x:c>
      <x:c r="E392" s="68" t="str">
        <x:v>数据来源类型</x:v>
      </x:c>
      <x:c r="F392" s="98" t="n">
        <x:v>5</x:v>
      </x:c>
      <x:c r="G392" s="68" t="str">
        <x:v>是</x:v>
      </x:c>
      <x:c r="H392" s="68" t="str"/>
    </x:row>
    <x:row r="393">
      <x:c r="A393" s="68" t="str">
        <x:v>数据来源类型</x:v>
      </x:c>
      <x:c r="B393" s="68" t="str">
        <x:v>SRC06</x:v>
      </x:c>
      <x:c r="C393" s="68" t="str">
        <x:v>争议规则</x:v>
      </x:c>
      <x:c r="D393" s="68" t="str">
        <x:v>数据来源类型的标准选项：争议规则。具体成立条件由对应模块规则定义。</x:v>
      </x:c>
      <x:c r="E393" s="68" t="str">
        <x:v>数据来源类型</x:v>
      </x:c>
      <x:c r="F393" s="98" t="n">
        <x:v>6</x:v>
      </x:c>
      <x:c r="G393" s="68" t="str">
        <x:v>是</x:v>
      </x:c>
      <x:c r="H393" s="68" t="str"/>
    </x:row>
    <x:row r="394">
      <x:c r="A394" s="68" t="str">
        <x:v>数据来源类型</x:v>
      </x:c>
      <x:c r="B394" s="68" t="str">
        <x:v>SRC07</x:v>
      </x:c>
      <x:c r="C394" s="68" t="str">
        <x:v>未知</x:v>
      </x:c>
      <x:c r="D394" s="68" t="str">
        <x:v>数据来源类型的标准选项：未知。具体成立条件由对应模块规则定义。</x:v>
      </x:c>
      <x:c r="E394" s="68" t="str">
        <x:v>数据来源类型</x:v>
      </x:c>
      <x:c r="F394" s="98" t="n">
        <x:v>7</x:v>
      </x:c>
      <x:c r="G394" s="68" t="str">
        <x:v>是</x:v>
      </x:c>
      <x:c r="H394" s="68" t="str"/>
    </x:row>
    <x:row r="395">
      <x:c r="A395" s="68" t="str">
        <x:v>建设阶段</x:v>
      </x:c>
      <x:c r="B395" s="68" t="str">
        <x:v>PH01</x:v>
      </x:c>
      <x:c r="C395" s="68" t="str">
        <x:v>第一阶段_基础关系</x:v>
      </x:c>
      <x:c r="D395" s="68" t="str">
        <x:v>标记模块在知识库建设路线中的先后阶段。</x:v>
      </x:c>
      <x:c r="E395" s="68" t="str">
        <x:v>建设阶段</x:v>
      </x:c>
      <x:c r="F395" s="98" t="n">
        <x:v>1</x:v>
      </x:c>
      <x:c r="G395" s="68" t="str">
        <x:v>是</x:v>
      </x:c>
      <x:c r="H395" s="68" t="str"/>
    </x:row>
    <x:row r="396">
      <x:c r="A396" s="68" t="str">
        <x:v>建设阶段</x:v>
      </x:c>
      <x:c r="B396" s="68" t="str">
        <x:v>PH02</x:v>
      </x:c>
      <x:c r="C396" s="68" t="str">
        <x:v>第二阶段_旺衰十神</x:v>
      </x:c>
      <x:c r="D396" s="68" t="str">
        <x:v>标记模块在知识库建设路线中的先后阶段。</x:v>
      </x:c>
      <x:c r="E396" s="68" t="str">
        <x:v>建设阶段</x:v>
      </x:c>
      <x:c r="F396" s="98" t="n">
        <x:v>2</x:v>
      </x:c>
      <x:c r="G396" s="68" t="str">
        <x:v>是</x:v>
      </x:c>
      <x:c r="H396" s="68" t="str"/>
    </x:row>
    <x:row r="397">
      <x:c r="A397" s="68" t="str">
        <x:v>建设阶段</x:v>
      </x:c>
      <x:c r="B397" s="68" t="str">
        <x:v>PH03</x:v>
      </x:c>
      <x:c r="C397" s="68" t="str">
        <x:v>第三阶段_流通格局</x:v>
      </x:c>
      <x:c r="D397" s="68" t="str">
        <x:v>标记模块在知识库建设路线中的先后阶段。</x:v>
      </x:c>
      <x:c r="E397" s="68" t="str">
        <x:v>建设阶段</x:v>
      </x:c>
      <x:c r="F397" s="98" t="n">
        <x:v>3</x:v>
      </x:c>
      <x:c r="G397" s="68" t="str">
        <x:v>是</x:v>
      </x:c>
      <x:c r="H397" s="68" t="str"/>
    </x:row>
    <x:row r="398">
      <x:c r="A398" s="68" t="str">
        <x:v>建设阶段</x:v>
      </x:c>
      <x:c r="B398" s="68" t="str">
        <x:v>PH04</x:v>
      </x:c>
      <x:c r="C398" s="68" t="str">
        <x:v>第四阶段_病药用神测试</x:v>
      </x:c>
      <x:c r="D398" s="68" t="str">
        <x:v>标记模块在知识库建设路线中的先后阶段。</x:v>
      </x:c>
      <x:c r="E398" s="68" t="str">
        <x:v>建设阶段</x:v>
      </x:c>
      <x:c r="F398" s="98" t="n">
        <x:v>4</x:v>
      </x:c>
      <x:c r="G398" s="68" t="str">
        <x:v>是</x:v>
      </x:c>
      <x:c r="H398" s="68" t="str"/>
    </x:row>
    <x:row r="399">
      <x:c r="A399" s="68" t="str">
        <x:v>当前状态</x:v>
      </x:c>
      <x:c r="B399" s="68" t="str">
        <x:v>CUR01</x:v>
      </x:c>
      <x:c r="C399" s="68" t="str">
        <x:v>未开始</x:v>
      </x:c>
      <x:c r="D399" s="68" t="str">
        <x:v>标记模块目前处于框架、填充、测试或发布阶段。</x:v>
      </x:c>
      <x:c r="E399" s="68" t="str">
        <x:v>当前状态</x:v>
      </x:c>
      <x:c r="F399" s="98" t="n">
        <x:v>1</x:v>
      </x:c>
      <x:c r="G399" s="68" t="str">
        <x:v>是</x:v>
      </x:c>
      <x:c r="H399" s="68" t="str"/>
    </x:row>
    <x:row r="400">
      <x:c r="A400" s="68" t="str">
        <x:v>当前状态</x:v>
      </x:c>
      <x:c r="B400" s="68" t="str">
        <x:v>CUR02</x:v>
      </x:c>
      <x:c r="C400" s="68" t="str">
        <x:v>框架完成</x:v>
      </x:c>
      <x:c r="D400" s="68" t="str">
        <x:v>标记模块目前处于框架、填充、测试或发布阶段。</x:v>
      </x:c>
      <x:c r="E400" s="68" t="str">
        <x:v>当前状态</x:v>
      </x:c>
      <x:c r="F400" s="98" t="n">
        <x:v>2</x:v>
      </x:c>
      <x:c r="G400" s="68" t="str">
        <x:v>是</x:v>
      </x:c>
      <x:c r="H400" s="68" t="str"/>
    </x:row>
    <x:row r="401">
      <x:c r="A401" s="68" t="str">
        <x:v>当前状态</x:v>
      </x:c>
      <x:c r="B401" s="68" t="str">
        <x:v>CUR03</x:v>
      </x:c>
      <x:c r="C401" s="68" t="str">
        <x:v>核心规则填充</x:v>
      </x:c>
      <x:c r="D401" s="68" t="str">
        <x:v>标记模块目前处于框架、填充、测试或发布阶段。</x:v>
      </x:c>
      <x:c r="E401" s="68" t="str">
        <x:v>当前状态</x:v>
      </x:c>
      <x:c r="F401" s="98" t="n">
        <x:v>3</x:v>
      </x:c>
      <x:c r="G401" s="68" t="str">
        <x:v>是</x:v>
      </x:c>
      <x:c r="H401" s="68" t="str"/>
    </x:row>
    <x:row r="402">
      <x:c r="A402" s="68" t="str">
        <x:v>当前状态</x:v>
      </x:c>
      <x:c r="B402" s="68" t="str">
        <x:v>CUR04</x:v>
      </x:c>
      <x:c r="C402" s="68" t="str">
        <x:v>测试中</x:v>
      </x:c>
      <x:c r="D402" s="68" t="str">
        <x:v>标记模块目前处于框架、填充、测试或发布阶段。</x:v>
      </x:c>
      <x:c r="E402" s="68" t="str">
        <x:v>当前状态</x:v>
      </x:c>
      <x:c r="F402" s="98" t="n">
        <x:v>4</x:v>
      </x:c>
      <x:c r="G402" s="68" t="str">
        <x:v>是</x:v>
      </x:c>
      <x:c r="H402" s="68" t="str"/>
    </x:row>
    <x:row r="403">
      <x:c r="A403" s="68" t="str">
        <x:v>当前状态</x:v>
      </x:c>
      <x:c r="B403" s="68" t="str">
        <x:v>CUR05</x:v>
      </x:c>
      <x:c r="C403" s="68" t="str">
        <x:v>已发布</x:v>
      </x:c>
      <x:c r="D403" s="68" t="str">
        <x:v>标记模块目前处于框架、填充、测试或发布阶段。</x:v>
      </x:c>
      <x:c r="E403" s="68" t="str">
        <x:v>当前状态</x:v>
      </x:c>
      <x:c r="F403" s="98" t="n">
        <x:v>5</x:v>
      </x:c>
      <x:c r="G403" s="68" t="str">
        <x:v>是</x:v>
      </x:c>
      <x:c r="H403" s="68" t="str"/>
    </x:row>
    <x:row r="404">
      <x:c r="A404" s="68" t="str">
        <x:v>版本号</x:v>
      </x:c>
      <x:c r="B404" s="68" t="str">
        <x:v>VER01</x:v>
      </x:c>
      <x:c r="C404" s="68" t="str">
        <x:v>V0.1</x:v>
      </x:c>
      <x:c r="D404" s="68" t="str">
        <x:v>版本号的标准选项：V0.1。具体成立条件由对应模块规则定义。</x:v>
      </x:c>
      <x:c r="E404" s="68" t="str">
        <x:v>版本号</x:v>
      </x:c>
      <x:c r="F404" s="98" t="n">
        <x:v>1</x:v>
      </x:c>
      <x:c r="G404" s="68" t="str">
        <x:v>是</x:v>
      </x:c>
      <x:c r="H404" s="68"/>
    </x:row>
    <x:row r="405">
      <x:c r="A405" s="68" t="str">
        <x:v>版本号</x:v>
      </x:c>
      <x:c r="B405" s="68" t="str">
        <x:v>VER02</x:v>
      </x:c>
      <x:c r="C405" s="68" t="str">
        <x:v>V0.2</x:v>
      </x:c>
      <x:c r="D405" s="68" t="str">
        <x:v>版本号的标准选项：V0.2。具体成立条件由对应模块规则定义。</x:v>
      </x:c>
      <x:c r="E405" s="68" t="str">
        <x:v>版本号</x:v>
      </x:c>
      <x:c r="F405" s="98" t="n">
        <x:v>2</x:v>
      </x:c>
      <x:c r="G405" s="68" t="str">
        <x:v>是</x:v>
      </x:c>
      <x:c r="H405" s="68"/>
    </x:row>
    <x:row r="406">
      <x:c r="A406" s="68" t="str">
        <x:v>版本号</x:v>
      </x:c>
      <x:c r="B406" s="68" t="str">
        <x:v>VER07</x:v>
      </x:c>
      <x:c r="C406" s="68" t="str">
        <x:v>V0.3</x:v>
      </x:c>
      <x:c r="D406" s="68" t="str">
        <x:v>版本号的标准选项：V0.3。完成M04与M05关系识别层核心规则。</x:v>
      </x:c>
      <x:c r="E406" s="68" t="str">
        <x:v>版本号</x:v>
      </x:c>
      <x:c r="F406" s="98" t="n">
        <x:v>3</x:v>
      </x:c>
      <x:c r="G406" s="68" t="str">
        <x:v>是</x:v>
      </x:c>
      <x:c r="H406" s="68" t="str">
        <x:v>关系识别规则版</x:v>
      </x:c>
    </x:row>
    <x:row r="407">
      <x:c r="A407" s="68" t="str">
        <x:v>版本号</x:v>
      </x:c>
      <x:c r="B407" s="68" t="str">
        <x:v>VER03</x:v>
      </x:c>
      <x:c r="C407" s="68" t="str">
        <x:v>V0.9</x:v>
      </x:c>
      <x:c r="D407" s="68" t="str">
        <x:v>版本号的标准选项：V0.9。具体成立条件由对应模块规则定义。</x:v>
      </x:c>
      <x:c r="E407" s="68" t="str">
        <x:v>版本号</x:v>
      </x:c>
      <x:c r="F407" s="98" t="n">
        <x:v>6</x:v>
      </x:c>
      <x:c r="G407" s="68" t="str">
        <x:v>是</x:v>
      </x:c>
      <x:c r="H407" s="68"/>
    </x:row>
    <x:row r="408">
      <x:c r="A408" s="68" t="str">
        <x:v>版本号</x:v>
      </x:c>
      <x:c r="B408" s="68" t="str">
        <x:v>VER04</x:v>
      </x:c>
      <x:c r="C408" s="68" t="str">
        <x:v>V1.0</x:v>
      </x:c>
      <x:c r="D408" s="68" t="str">
        <x:v>版本号的标准选项：V1.0。具体成立条件由对应模块规则定义。</x:v>
      </x:c>
      <x:c r="E408" s="68" t="str">
        <x:v>版本号</x:v>
      </x:c>
      <x:c r="F408" s="98" t="n">
        <x:v>7</x:v>
      </x:c>
      <x:c r="G408" s="68" t="str">
        <x:v>是</x:v>
      </x:c>
      <x:c r="H408" s="68"/>
    </x:row>
    <x:row r="409">
      <x:c r="A409" s="68" t="str">
        <x:v>版本号</x:v>
      </x:c>
      <x:c r="B409" s="68" t="str">
        <x:v>VER05</x:v>
      </x:c>
      <x:c r="C409" s="68" t="str">
        <x:v>V1.1</x:v>
      </x:c>
      <x:c r="D409" s="68" t="str">
        <x:v>版本号的标准选项：V1.1。具体成立条件由对应模块规则定义。</x:v>
      </x:c>
      <x:c r="E409" s="68" t="str">
        <x:v>版本号</x:v>
      </x:c>
      <x:c r="F409" s="98" t="n">
        <x:v>8</x:v>
      </x:c>
      <x:c r="G409" s="68" t="str">
        <x:v>是</x:v>
      </x:c>
      <x:c r="H409" s="68"/>
    </x:row>
    <x:row r="410">
      <x:c r="A410" t="str">
        <x:v>版本号</x:v>
      </x:c>
      <x:c r="B410" t="str">
        <x:v>VER06</x:v>
      </x:c>
      <x:c r="C410" t="str">
        <x:v>V2.0</x:v>
      </x:c>
      <x:c r="D410" t="str">
        <x:v>版本号的标准选项：V2.0。具体成立条件由对应模块规则定义。</x:v>
      </x:c>
      <x:c r="E410" t="str">
        <x:v>版本号</x:v>
      </x:c>
      <x:c r="F410" t="n">
        <x:v>9</x:v>
      </x:c>
      <x:c r="G410" t="str">
        <x:v>是</x:v>
      </x:c>
      <x:c r="H410"/>
    </x:row>
    <x:row r="411">
      <x:c r="A411" t="str">
        <x:v>规则子类</x:v>
      </x:c>
      <x:c r="B411" t="str">
        <x:v>M04-HE</x:v>
      </x:c>
      <x:c r="C411" t="str">
        <x:v>M04｜天干五合</x:v>
      </x:c>
      <x:c r="D411" t="str">
        <x:v>M04中用于固定五组天干五合配对的子类代码。</x:v>
      </x:c>
      <x:c r="E411" t="str">
        <x:v>子类代码</x:v>
      </x:c>
      <x:c r="F411" t="n">
        <x:v>1</x:v>
      </x:c>
      <x:c r="G411" t="str">
        <x:v>是</x:v>
      </x:c>
      <x:c r="H411" t="str">
        <x:v>首次用于V0.3</x:v>
      </x:c>
    </x:row>
    <x:row r="412">
      <x:c r="A412" t="str">
        <x:v>规则子类</x:v>
      </x:c>
      <x:c r="B412" t="str">
        <x:v>M04-KE</x:v>
      </x:c>
      <x:c r="C412" t="str">
        <x:v>M04｜天干相克</x:v>
      </x:c>
      <x:c r="D412" t="str">
        <x:v>M04中用于二十组有向天干相克路径的子类代码。</x:v>
      </x:c>
      <x:c r="E412" t="str">
        <x:v>子类代码</x:v>
      </x:c>
      <x:c r="F412" t="n">
        <x:v>2</x:v>
      </x:c>
      <x:c r="G412" t="str">
        <x:v>是</x:v>
      </x:c>
      <x:c r="H412" t="str">
        <x:v>首次用于V0.3</x:v>
      </x:c>
    </x:row>
    <x:row r="413">
      <x:c r="A413" t="str">
        <x:v>规则子类</x:v>
      </x:c>
      <x:c r="B413" t="str">
        <x:v>M04-POS</x:v>
      </x:c>
      <x:c r="C413" t="str">
        <x:v>M04｜柱位标记</x:v>
      </x:c>
      <x:c r="D413" t="str">
        <x:v>M04中用于年月、月日、日时、年日、月时、年时柱位实例化的子类代码。</x:v>
      </x:c>
      <x:c r="E413" t="str">
        <x:v>子类代码</x:v>
      </x:c>
      <x:c r="F413" t="n">
        <x:v>3</x:v>
      </x:c>
      <x:c r="G413" t="str">
        <x:v>是</x:v>
      </x:c>
      <x:c r="H413" t="str">
        <x:v>首次用于V0.3</x:v>
      </x:c>
    </x:row>
    <x:row r="414">
      <x:c r="A414" t="str">
        <x:v>规则子类</x:v>
      </x:c>
      <x:c r="B414" t="str">
        <x:v>M04-HHC</x:v>
      </x:c>
      <x:c r="C414" t="str">
        <x:v>M04｜合化候选</x:v>
      </x:c>
      <x:c r="D414" t="str">
        <x:v>M04中用于五合化神候选生成而不裁定合化成立的子类代码。</x:v>
      </x:c>
      <x:c r="E414" t="str">
        <x:v>子类代码</x:v>
      </x:c>
      <x:c r="F414" t="n">
        <x:v>4</x:v>
      </x:c>
      <x:c r="G414" t="str">
        <x:v>是</x:v>
      </x:c>
      <x:c r="H414" t="str">
        <x:v>首次用于V0.3</x:v>
      </x:c>
    </x:row>
    <x:row r="415">
      <x:c r="A415" t="str">
        <x:v>规则子类</x:v>
      </x:c>
      <x:c r="B415" t="str">
        <x:v>M04-ZHENG</x:v>
      </x:c>
      <x:c r="C415" t="str">
        <x:v>M04｜争合</x:v>
      </x:c>
      <x:c r="D415" t="str">
        <x:v>M04中用于同一五合配对一方重复、多关系共享节点的子类代码。</x:v>
      </x:c>
      <x:c r="E415" t="str">
        <x:v>子类代码</x:v>
      </x:c>
      <x:c r="F415" t="n">
        <x:v>5</x:v>
      </x:c>
      <x:c r="G415" t="str">
        <x:v>是</x:v>
      </x:c>
      <x:c r="H415" t="str">
        <x:v>首次用于V0.3</x:v>
      </x:c>
    </x:row>
    <x:row r="416">
      <x:c r="A416" t="str">
        <x:v>规则子类</x:v>
      </x:c>
      <x:c r="B416" t="str">
        <x:v>M04-DUHE</x:v>
      </x:c>
      <x:c r="C416" t="str">
        <x:v>M04｜妒合</x:v>
      </x:c>
      <x:c r="D416" t="str">
        <x:v>M04中用于保留妒合流派标签及术语边界的子类代码。</x:v>
      </x:c>
      <x:c r="E416" t="str">
        <x:v>子类代码</x:v>
      </x:c>
      <x:c r="F416" t="n">
        <x:v>6</x:v>
      </x:c>
      <x:c r="G416" t="str">
        <x:v>是</x:v>
      </x:c>
      <x:c r="H416" t="str">
        <x:v>首次用于V0.3</x:v>
      </x:c>
    </x:row>
    <x:row r="417">
      <x:c r="A417" t="str">
        <x:v>规则子类</x:v>
      </x:c>
      <x:c r="B417" t="str">
        <x:v>M04-GEHE</x:v>
      </x:c>
      <x:c r="C417" t="str">
        <x:v>M04｜隔合</x:v>
      </x:c>
      <x:c r="D417" t="str">
        <x:v>M04中用于隔位五合位置标签的子类代码。</x:v>
      </x:c>
      <x:c r="E417" t="str">
        <x:v>子类代码</x:v>
      </x:c>
      <x:c r="F417" t="n">
        <x:v>7</x:v>
      </x:c>
      <x:c r="G417" t="str">
        <x:v>是</x:v>
      </x:c>
      <x:c r="H417" t="str">
        <x:v>首次用于V0.3</x:v>
      </x:c>
    </x:row>
    <x:row r="418">
      <x:c r="A418" t="str">
        <x:v>规则子类</x:v>
      </x:c>
      <x:c r="B418" t="str">
        <x:v>M04-YAOHE</x:v>
      </x:c>
      <x:c r="C418" t="str">
        <x:v>M04｜遥合</x:v>
      </x:c>
      <x:c r="D418" t="str">
        <x:v>M04中用于年时遥隔五合位置标签的子类代码。</x:v>
      </x:c>
      <x:c r="E418" t="str">
        <x:v>子类代码</x:v>
      </x:c>
      <x:c r="F418" t="n">
        <x:v>8</x:v>
      </x:c>
      <x:c r="G418" t="str">
        <x:v>是</x:v>
      </x:c>
      <x:c r="H418" t="str">
        <x:v>首次用于V0.3</x:v>
      </x:c>
    </x:row>
    <x:row r="419">
      <x:c r="A419" t="str">
        <x:v>规则子类</x:v>
      </x:c>
      <x:c r="B419" t="str">
        <x:v>M04-OVER</x:v>
      </x:c>
      <x:c r="C419" t="str">
        <x:v>M04｜多重关系</x:v>
      </x:c>
      <x:c r="D419" t="str">
        <x:v>M04中用于合克并见、共享节点和多重关系实例的子类代码。</x:v>
      </x:c>
      <x:c r="E419" t="str">
        <x:v>子类代码</x:v>
      </x:c>
      <x:c r="F419" t="n">
        <x:v>9</x:v>
      </x:c>
      <x:c r="G419" t="str">
        <x:v>是</x:v>
      </x:c>
      <x:c r="H419" t="str">
        <x:v>首次用于V0.3</x:v>
      </x:c>
    </x:row>
    <x:row r="420">
      <x:c r="A420" t="str">
        <x:v>规则子类</x:v>
      </x:c>
      <x:c r="B420" t="str">
        <x:v>M04-BOUND</x:v>
      </x:c>
      <x:c r="C420" t="str">
        <x:v>M04｜识别边界</x:v>
      </x:c>
      <x:c r="D420" t="str">
        <x:v>M04中用于藏干、关系分类及识别—效应分层边界的子类代码。</x:v>
      </x:c>
      <x:c r="E420" t="str">
        <x:v>子类代码</x:v>
      </x:c>
      <x:c r="F420" t="n">
        <x:v>10</x:v>
      </x:c>
      <x:c r="G420" t="str">
        <x:v>是</x:v>
      </x:c>
      <x:c r="H420" t="str">
        <x:v>首次用于V0.3</x:v>
      </x:c>
    </x:row>
    <x:row r="421">
      <x:c r="A421" t="str">
        <x:v>规则子类</x:v>
      </x:c>
      <x:c r="B421" t="str">
        <x:v>M05-LIUHE</x:v>
      </x:c>
      <x:c r="C421" t="str">
        <x:v>M05｜六合</x:v>
      </x:c>
      <x:c r="D421" t="str">
        <x:v>M05中用于六组地支六合配对的子类代码。</x:v>
      </x:c>
      <x:c r="E421" t="str">
        <x:v>子类代码</x:v>
      </x:c>
      <x:c r="F421" t="n">
        <x:v>11</x:v>
      </x:c>
      <x:c r="G421" t="str">
        <x:v>是</x:v>
      </x:c>
      <x:c r="H421" t="str">
        <x:v>首次用于V0.3</x:v>
      </x:c>
    </x:row>
    <x:row r="422">
      <x:c r="A422" t="str">
        <x:v>规则子类</x:v>
      </x:c>
      <x:c r="B422" t="str">
        <x:v>M05-SANHE</x:v>
      </x:c>
      <x:c r="C422" t="str">
        <x:v>M05｜三合</x:v>
      </x:c>
      <x:c r="D422" t="str">
        <x:v>M05中用于四组三合完整结构的子类代码。</x:v>
      </x:c>
      <x:c r="E422" t="str">
        <x:v>子类代码</x:v>
      </x:c>
      <x:c r="F422" t="n">
        <x:v>12</x:v>
      </x:c>
      <x:c r="G422" t="str">
        <x:v>是</x:v>
      </x:c>
      <x:c r="H422" t="str">
        <x:v>首次用于V0.3</x:v>
      </x:c>
    </x:row>
    <x:row r="423">
      <x:c r="A423" t="str">
        <x:v>规则子类</x:v>
      </x:c>
      <x:c r="B423" t="str">
        <x:v>M05-BANHE</x:v>
      </x:c>
      <x:c r="C423" t="str">
        <x:v>M05｜半合</x:v>
      </x:c>
      <x:c r="D423" t="str">
        <x:v>M05中用于含中神的八组半合结构的子类代码。</x:v>
      </x:c>
      <x:c r="E423" t="str">
        <x:v>子类代码</x:v>
      </x:c>
      <x:c r="F423" t="n">
        <x:v>13</x:v>
      </x:c>
      <x:c r="G423" t="str">
        <x:v>是</x:v>
      </x:c>
      <x:c r="H423" t="str">
        <x:v>首次用于V0.3</x:v>
      </x:c>
    </x:row>
    <x:row r="424">
      <x:c r="A424" t="str">
        <x:v>规则子类</x:v>
      </x:c>
      <x:c r="B424" t="str">
        <x:v>M05-GONGHE</x:v>
      </x:c>
      <x:c r="C424" t="str">
        <x:v>M05｜拱合</x:v>
      </x:c>
      <x:c r="D424" t="str">
        <x:v>M05中用于三合两端齐、中神缺失的四组拱合结构的子类代码。</x:v>
      </x:c>
      <x:c r="E424" t="str">
        <x:v>子类代码</x:v>
      </x:c>
      <x:c r="F424" t="n">
        <x:v>14</x:v>
      </x:c>
      <x:c r="G424" t="str">
        <x:v>是</x:v>
      </x:c>
      <x:c r="H424" t="str">
        <x:v>首次用于V0.3</x:v>
      </x:c>
    </x:row>
    <x:row r="425">
      <x:c r="A425" t="str">
        <x:v>规则子类</x:v>
      </x:c>
      <x:c r="B425" t="str">
        <x:v>M05-SANHUI</x:v>
      </x:c>
      <x:c r="C425" t="str">
        <x:v>M05｜三会</x:v>
      </x:c>
      <x:c r="D425" t="str">
        <x:v>M05中用于四组三会完整结构的子类代码。</x:v>
      </x:c>
      <x:c r="E425" t="str">
        <x:v>子类代码</x:v>
      </x:c>
      <x:c r="F425" t="n">
        <x:v>15</x:v>
      </x:c>
      <x:c r="G425" t="str">
        <x:v>是</x:v>
      </x:c>
      <x:c r="H425" t="str">
        <x:v>首次用于V0.3</x:v>
      </x:c>
    </x:row>
    <x:row r="426">
      <x:c r="A426" t="str">
        <x:v>规则子类</x:v>
      </x:c>
      <x:c r="B426" t="str">
        <x:v>M05-CHONG</x:v>
      </x:c>
      <x:c r="C426" t="str">
        <x:v>M05｜六冲</x:v>
      </x:c>
      <x:c r="D426" t="str">
        <x:v>M05中用于六组地支相冲配对的子类代码。</x:v>
      </x:c>
      <x:c r="E426" t="str">
        <x:v>子类代码</x:v>
      </x:c>
      <x:c r="F426" t="n">
        <x:v>16</x:v>
      </x:c>
      <x:c r="G426" t="str">
        <x:v>是</x:v>
      </x:c>
      <x:c r="H426" t="str">
        <x:v>首次用于V0.3</x:v>
      </x:c>
    </x:row>
    <x:row r="427">
      <x:c r="A427" t="str">
        <x:v>规则子类</x:v>
      </x:c>
      <x:c r="B427" t="str">
        <x:v>M05-XING</x:v>
      </x:c>
      <x:c r="C427" t="str">
        <x:v>M05｜三刑</x:v>
      </x:c>
      <x:c r="D427" t="str">
        <x:v>M05中用于寅巳申、丑未戌与子卯刑的局部及完整结构子类代码。</x:v>
      </x:c>
      <x:c r="E427" t="str">
        <x:v>子类代码</x:v>
      </x:c>
      <x:c r="F427" t="n">
        <x:v>17</x:v>
      </x:c>
      <x:c r="G427" t="str">
        <x:v>是</x:v>
      </x:c>
      <x:c r="H427" t="str">
        <x:v>首次用于V0.3</x:v>
      </x:c>
    </x:row>
    <x:row r="428">
      <x:c r="A428" t="str">
        <x:v>规则子类</x:v>
      </x:c>
      <x:c r="B428" t="str">
        <x:v>M05-ZIXING</x:v>
      </x:c>
      <x:c r="C428" t="str">
        <x:v>M05｜自刑</x:v>
      </x:c>
      <x:c r="D428" t="str">
        <x:v>M05中用于辰、午、酉、亥重复自刑候选的子类代码。</x:v>
      </x:c>
      <x:c r="E428" t="str">
        <x:v>子类代码</x:v>
      </x:c>
      <x:c r="F428" t="n">
        <x:v>18</x:v>
      </x:c>
      <x:c r="G428" t="str">
        <x:v>是</x:v>
      </x:c>
      <x:c r="H428" t="str">
        <x:v>首次用于V0.3</x:v>
      </x:c>
    </x:row>
    <x:row r="429">
      <x:c r="A429" t="str">
        <x:v>规则子类</x:v>
      </x:c>
      <x:c r="B429" t="str">
        <x:v>M05-HAI</x:v>
      </x:c>
      <x:c r="C429" t="str">
        <x:v>M05｜六害</x:v>
      </x:c>
      <x:c r="D429" t="str">
        <x:v>M05中用于六组地支相害配对的子类代码。</x:v>
      </x:c>
      <x:c r="E429" t="str">
        <x:v>子类代码</x:v>
      </x:c>
      <x:c r="F429" t="n">
        <x:v>19</x:v>
      </x:c>
      <x:c r="G429" t="str">
        <x:v>是</x:v>
      </x:c>
      <x:c r="H429" t="str">
        <x:v>首次用于V0.3</x:v>
      </x:c>
    </x:row>
    <x:row r="430">
      <x:c r="A430" t="str">
        <x:v>规则子类</x:v>
      </x:c>
      <x:c r="B430" t="str">
        <x:v>M05-PO</x:v>
      </x:c>
      <x:c r="C430" t="str">
        <x:v>M05｜六破</x:v>
      </x:c>
      <x:c r="D430" t="str">
        <x:v>M05中用于六组地支相破配对及争议权重管理的子类代码。</x:v>
      </x:c>
      <x:c r="E430" t="str">
        <x:v>子类代码</x:v>
      </x:c>
      <x:c r="F430" t="n">
        <x:v>20</x:v>
      </x:c>
      <x:c r="G430" t="str">
        <x:v>是</x:v>
      </x:c>
      <x:c r="H430" t="str">
        <x:v>首次用于V0.3</x:v>
      </x:c>
    </x:row>
    <x:row r="431">
      <x:c r="A431" t="str">
        <x:v>规则子类</x:v>
      </x:c>
      <x:c r="B431" t="str">
        <x:v>M05-POS</x:v>
      </x:c>
      <x:c r="C431" t="str">
        <x:v>M05｜柱位标记</x:v>
      </x:c>
      <x:c r="D431" t="str">
        <x:v>M05中用于地支关系柱位实例化的子类代码。</x:v>
      </x:c>
      <x:c r="E431" t="str">
        <x:v>子类代码</x:v>
      </x:c>
      <x:c r="F431" t="n">
        <x:v>21</x:v>
      </x:c>
      <x:c r="G431" t="str">
        <x:v>是</x:v>
      </x:c>
      <x:c r="H431" t="str">
        <x:v>首次用于V0.3</x:v>
      </x:c>
    </x:row>
    <x:row r="432">
      <x:c r="A432" t="str">
        <x:v>规则子类</x:v>
      </x:c>
      <x:c r="B432" t="str">
        <x:v>M05-SUIYUN</x:v>
      </x:c>
      <x:c r="C432" t="str">
        <x:v>M05｜岁运补齐</x:v>
      </x:c>
      <x:c r="D432" t="str">
        <x:v>M05中用于静态原局部分结构与动态岁运补齐接口的子类代码。</x:v>
      </x:c>
      <x:c r="E432" t="str">
        <x:v>子类代码</x:v>
      </x:c>
      <x:c r="F432" t="n">
        <x:v>22</x:v>
      </x:c>
      <x:c r="G432" t="str">
        <x:v>是</x:v>
      </x:c>
      <x:c r="H432" t="str">
        <x:v>首次用于V0.3</x:v>
      </x:c>
    </x:row>
    <x:row r="433">
      <x:c r="A433" t="str">
        <x:v>规则子类</x:v>
      </x:c>
      <x:c r="B433" t="str">
        <x:v>M05-OVER</x:v>
      </x:c>
      <x:c r="C433" t="str">
        <x:v>M05｜多重关系</x:v>
      </x:c>
      <x:c r="D433" t="str">
        <x:v>M05中用于同一支或同一对支多重关系并存的子类代码。</x:v>
      </x:c>
      <x:c r="E433" t="str">
        <x:v>子类代码</x:v>
      </x:c>
      <x:c r="F433" t="n">
        <x:v>23</x:v>
      </x:c>
      <x:c r="G433" t="str">
        <x:v>是</x:v>
      </x:c>
      <x:c r="H433" t="str">
        <x:v>首次用于V0.3</x:v>
      </x:c>
    </x:row>
    <x:row r="434">
      <x:c r="A434" t="str">
        <x:v>规则子类</x:v>
      </x:c>
      <x:c r="B434" t="str">
        <x:v>M05-BOUND</x:v>
      </x:c>
      <x:c r="C434" t="str">
        <x:v>M05｜识别边界</x:v>
      </x:c>
      <x:c r="D434" t="str">
        <x:v>M05中用于完整度、藏干替代、成局与效应分层边界的子类代码。</x:v>
      </x:c>
      <x:c r="E434" t="str">
        <x:v>子类代码</x:v>
      </x:c>
      <x:c r="F434" t="n">
        <x:v>24</x:v>
      </x:c>
      <x:c r="G434" t="str">
        <x:v>是</x:v>
      </x:c>
      <x:c r="H434" t="str">
        <x:v>首次用于V0.3</x:v>
      </x:c>
    </x:row>
    <x:row r="435">
      <x:c r="A435" t="str">
        <x:v>版本号</x:v>
      </x:c>
      <x:c r="B435" t="str">
        <x:v>VER08</x:v>
      </x:c>
      <x:c r="C435" t="str">
        <x:v>V0.4</x:v>
      </x:c>
      <x:c r="D435" t="str">
        <x:v>版本号的标准选项：V0.4。完成M06干支关系实际效应核心规则。</x:v>
      </x:c>
      <x:c r="E435" t="str">
        <x:v>版本号</x:v>
      </x:c>
      <x:c r="F435" t="n">
        <x:v>4</x:v>
      </x:c>
      <x:c r="G435" t="str">
        <x:v>是</x:v>
      </x:c>
      <x:c r="H435" t="str">
        <x:v>关系效应规则版</x:v>
      </x:c>
    </x:row>
    <x:row r="436">
      <x:c r="A436" t="str">
        <x:v>规则子类</x:v>
      </x:c>
      <x:c r="B436" t="str">
        <x:v>M06-TGHE</x:v>
      </x:c>
      <x:c r="C436" t="str">
        <x:v>M06｜天干合效应</x:v>
      </x:c>
      <x:c r="D436" t="str">
        <x:v>M06中用于天干五合的合动、合绊、合住、位置与争合效应。</x:v>
      </x:c>
      <x:c r="E436" t="str">
        <x:v>子类代码</x:v>
      </x:c>
      <x:c r="F436" t="n">
        <x:v>25</x:v>
      </x:c>
      <x:c r="G436" t="str">
        <x:v>是</x:v>
      </x:c>
      <x:c r="H436" t="str">
        <x:v>首次用于V0.4</x:v>
      </x:c>
    </x:row>
    <x:row r="437">
      <x:c r="A437" t="str">
        <x:v>规则子类</x:v>
      </x:c>
      <x:c r="B437" t="str">
        <x:v>M06-TGHUA</x:v>
      </x:c>
      <x:c r="C437" t="str">
        <x:v>M06｜天干合化</x:v>
      </x:c>
      <x:c r="D437" t="str">
        <x:v>M06中用于五合化神门槛、固定化神方向、拒化与局部化意。</x:v>
      </x:c>
      <x:c r="E437" t="str">
        <x:v>子类代码</x:v>
      </x:c>
      <x:c r="F437" t="n">
        <x:v>26</x:v>
      </x:c>
      <x:c r="G437" t="str">
        <x:v>是</x:v>
      </x:c>
      <x:c r="H437" t="str">
        <x:v>首次用于V0.4</x:v>
      </x:c>
    </x:row>
    <x:row r="438">
      <x:c r="A438" t="str">
        <x:v>规则子类</x:v>
      </x:c>
      <x:c r="B438" t="str">
        <x:v>M06-TGKE</x:v>
      </x:c>
      <x:c r="C438" t="str">
        <x:v>M06｜天干相克效应</x:v>
      </x:c>
      <x:c r="D438" t="str">
        <x:v>M06中用于天干相克的强弱、互耗、生扶缓冲及合克并见。</x:v>
      </x:c>
      <x:c r="E438" t="str">
        <x:v>子类代码</x:v>
      </x:c>
      <x:c r="F438" t="n">
        <x:v>27</x:v>
      </x:c>
      <x:c r="G438" t="str">
        <x:v>是</x:v>
      </x:c>
      <x:c r="H438" t="str">
        <x:v>首次用于V0.4</x:v>
      </x:c>
    </x:row>
    <x:row r="439">
      <x:c r="A439" t="str">
        <x:v>规则子类</x:v>
      </x:c>
      <x:c r="B439" t="str">
        <x:v>M06-LIUHE</x:v>
      </x:c>
      <x:c r="C439" t="str">
        <x:v>M06｜六合效应</x:v>
      </x:c>
      <x:c r="D439" t="str">
        <x:v>M06中用于六合的合动、合绊、条件性化向与合冲裁决。</x:v>
      </x:c>
      <x:c r="E439" t="str">
        <x:v>子类代码</x:v>
      </x:c>
      <x:c r="F439" t="n">
        <x:v>28</x:v>
      </x:c>
      <x:c r="G439" t="str">
        <x:v>是</x:v>
      </x:c>
      <x:c r="H439" t="str">
        <x:v>首次用于V0.4</x:v>
      </x:c>
    </x:row>
    <x:row r="440">
      <x:c r="A440" t="str">
        <x:v>规则子类</x:v>
      </x:c>
      <x:c r="B440" t="str">
        <x:v>M06-SANHE</x:v>
      </x:c>
      <x:c r="C440" t="str">
        <x:v>M06｜三合效应</x:v>
      </x:c>
      <x:c r="D440" t="str">
        <x:v>M06中用于三合成局门槛、中神、透干、破局与原支保留。</x:v>
      </x:c>
      <x:c r="E440" t="str">
        <x:v>子类代码</x:v>
      </x:c>
      <x:c r="F440" t="n">
        <x:v>29</x:v>
      </x:c>
      <x:c r="G440" t="str">
        <x:v>是</x:v>
      </x:c>
      <x:c r="H440" t="str">
        <x:v>首次用于V0.4</x:v>
      </x:c>
    </x:row>
    <x:row r="441">
      <x:c r="A441" t="str">
        <x:v>规则子类</x:v>
      </x:c>
      <x:c r="B441" t="str">
        <x:v>M06-SANHUI</x:v>
      </x:c>
      <x:c r="C441" t="str">
        <x:v>M06｜三会效应</x:v>
      </x:c>
      <x:c r="D441" t="str">
        <x:v>M06中用于三会方局的季节气势、成局与共享节点归属。</x:v>
      </x:c>
      <x:c r="E441" t="str">
        <x:v>子类代码</x:v>
      </x:c>
      <x:c r="F441" t="n">
        <x:v>30</x:v>
      </x:c>
      <x:c r="G441" t="str">
        <x:v>是</x:v>
      </x:c>
      <x:c r="H441" t="str">
        <x:v>首次用于V0.4</x:v>
      </x:c>
    </x:row>
    <x:row r="442">
      <x:c r="A442" t="str">
        <x:v>规则子类</x:v>
      </x:c>
      <x:c r="B442" t="str">
        <x:v>M06-BANGONG</x:v>
      </x:c>
      <x:c r="C442" t="str">
        <x:v>M06｜半合拱合效应</x:v>
      </x:c>
      <x:c r="D442" t="str">
        <x:v>M06中用于半合与拱合分级、中神作用和岁运补齐。</x:v>
      </x:c>
      <x:c r="E442" t="str">
        <x:v>子类代码</x:v>
      </x:c>
      <x:c r="F442" t="n">
        <x:v>31</x:v>
      </x:c>
      <x:c r="G442" t="str">
        <x:v>是</x:v>
      </x:c>
      <x:c r="H442" t="str">
        <x:v>首次用于V0.4</x:v>
      </x:c>
    </x:row>
    <x:row r="443">
      <x:c r="A443" t="str">
        <x:v>规则子类</x:v>
      </x:c>
      <x:c r="B443" t="str">
        <x:v>M06-CHONG</x:v>
      </x:c>
      <x:c r="C443" t="str">
        <x:v>M06｜六冲效应</x:v>
      </x:c>
      <x:c r="D443" t="str">
        <x:v>M06中用于冲动、冲旺、冲弱、冲散、冲开、冲去、开库与根气变化。</x:v>
      </x:c>
      <x:c r="E443" t="str">
        <x:v>子类代码</x:v>
      </x:c>
      <x:c r="F443" t="n">
        <x:v>32</x:v>
      </x:c>
      <x:c r="G443" t="str">
        <x:v>是</x:v>
      </x:c>
      <x:c r="H443" t="str">
        <x:v>首次用于V0.4</x:v>
      </x:c>
    </x:row>
    <x:row r="444">
      <x:c r="A444" t="str">
        <x:v>规则子类</x:v>
      </x:c>
      <x:c r="B444" t="str">
        <x:v>M06-XING</x:v>
      </x:c>
      <x:c r="C444" t="str">
        <x:v>M06｜三刑效应</x:v>
      </x:c>
      <x:c r="D444" t="str">
        <x:v>M06中用于三刑的刑动、刑伤、藏干引动、完整度与重叠关系。</x:v>
      </x:c>
      <x:c r="E444" t="str">
        <x:v>子类代码</x:v>
      </x:c>
      <x:c r="F444" t="n">
        <x:v>33</x:v>
      </x:c>
      <x:c r="G444" t="str">
        <x:v>是</x:v>
      </x:c>
      <x:c r="H444" t="str">
        <x:v>首次用于V0.4</x:v>
      </x:c>
    </x:row>
    <x:row r="445">
      <x:c r="A445" t="str">
        <x:v>规则子类</x:v>
      </x:c>
      <x:c r="B445" t="str">
        <x:v>M06-ZIXING</x:v>
      </x:c>
      <x:c r="C445" t="str">
        <x:v>M06｜自刑效应</x:v>
      </x:c>
      <x:c r="D445" t="str">
        <x:v>M06中用于自刑启动、同气壅滞、弱支边界与主次裁决。</x:v>
      </x:c>
      <x:c r="E445" t="str">
        <x:v>子类代码</x:v>
      </x:c>
      <x:c r="F445" t="n">
        <x:v>34</x:v>
      </x:c>
      <x:c r="G445" t="str">
        <x:v>是</x:v>
      </x:c>
      <x:c r="H445" t="str">
        <x:v>首次用于V0.4</x:v>
      </x:c>
    </x:row>
    <x:row r="446">
      <x:c r="A446" t="str">
        <x:v>规则子类</x:v>
      </x:c>
      <x:c r="B446" t="str">
        <x:v>M06-HAI</x:v>
      </x:c>
      <x:c r="C446" t="str">
        <x:v>M06｜六害效应</x:v>
      </x:c>
      <x:c r="D446" t="str">
        <x:v>M06中用于六害的暗损、桥梁阻滞与低权重条件修正。</x:v>
      </x:c>
      <x:c r="E446" t="str">
        <x:v>子类代码</x:v>
      </x:c>
      <x:c r="F446" t="n">
        <x:v>35</x:v>
      </x:c>
      <x:c r="G446" t="str">
        <x:v>是</x:v>
      </x:c>
      <x:c r="H446" t="str">
        <x:v>首次用于V0.4</x:v>
      </x:c>
    </x:row>
    <x:row r="447">
      <x:c r="A447" t="str">
        <x:v>规则子类</x:v>
      </x:c>
      <x:c r="B447" t="str">
        <x:v>M06-PO</x:v>
      </x:c>
      <x:c r="C447" t="str">
        <x:v>M06｜六破效应</x:v>
      </x:c>
      <x:c r="D447" t="str">
        <x:v>M06中用于六破的连接松动、合局稳定性与低权重边界。</x:v>
      </x:c>
      <x:c r="E447" t="str">
        <x:v>子类代码</x:v>
      </x:c>
      <x:c r="F447" t="n">
        <x:v>36</x:v>
      </x:c>
      <x:c r="G447" t="str">
        <x:v>是</x:v>
      </x:c>
      <x:c r="H447" t="str">
        <x:v>首次用于V0.4</x:v>
      </x:c>
    </x:row>
    <x:row r="448">
      <x:c r="A448" t="str">
        <x:v>规则子类</x:v>
      </x:c>
      <x:c r="B448" t="str">
        <x:v>M06-OVER</x:v>
      </x:c>
      <x:c r="C448" t="str">
        <x:v>M06｜多重关系裁决</x:v>
      </x:c>
      <x:c r="D448" t="str">
        <x:v>M06中用于合冲刑害破并见、共享节点归属与五步链式裁决。</x:v>
      </x:c>
      <x:c r="E448" t="str">
        <x:v>子类代码</x:v>
      </x:c>
      <x:c r="F448" t="n">
        <x:v>37</x:v>
      </x:c>
      <x:c r="G448" t="str">
        <x:v>是</x:v>
      </x:c>
      <x:c r="H448" t="str">
        <x:v>首次用于V0.4</x:v>
      </x:c>
    </x:row>
    <x:row r="449">
      <x:c r="A449" t="str">
        <x:v>规则子类</x:v>
      </x:c>
      <x:c r="B449" t="str">
        <x:v>M06-BOUND</x:v>
      </x:c>
      <x:c r="C449" t="str">
        <x:v>M06｜效应边界</x:v>
      </x:c>
      <x:c r="D449" t="str">
        <x:v>M06中用于固定分值禁用、逐对象输出、根气与藏干边界及下游接口。</x:v>
      </x:c>
      <x:c r="E449" t="str">
        <x:v>子类代码</x:v>
      </x:c>
      <x:c r="F449" t="n">
        <x:v>38</x:v>
      </x:c>
      <x:c r="G449" t="str">
        <x:v>是</x:v>
      </x:c>
      <x:c r="H449" t="str">
        <x:v>首次用于V0.4</x:v>
      </x:c>
    </x:row>
    <x:row r="450">
      <x:c r="A450" t="str">
        <x:v>版本号</x:v>
      </x:c>
      <x:c r="B450" t="str">
        <x:v>VER09</x:v>
      </x:c>
      <x:c r="C450" t="str">
        <x:v>V0.5</x:v>
      </x:c>
      <x:c r="D450" t="str">
        <x:v>版本号的标准选项：V0.5。完成M07五行原始旺衰核心规则。</x:v>
      </x:c>
      <x:c r="E450" t="str">
        <x:v>版本号</x:v>
      </x:c>
      <x:c r="F450" t="n">
        <x:v>5</x:v>
      </x:c>
      <x:c r="G450" t="str">
        <x:v>是</x:v>
      </x:c>
      <x:c r="H450" t="str">
        <x:v>五行原始旺衰规则版</x:v>
      </x:c>
    </x:row>
    <x:row r="451">
      <x:c r="A451" t="str">
        <x:v>规则子类</x:v>
      </x:c>
      <x:c r="B451" t="str">
        <x:v>M07-SEAS</x:v>
      </x:c>
      <x:c r="C451" t="str">
        <x:v>M07｜季令证据</x:v>
      </x:c>
      <x:c r="D451" t="str">
        <x:v>M07中用于得令、旺相休囚死、四季土月、交节校验与季令去重。</x:v>
      </x:c>
      <x:c r="E451" t="str">
        <x:v>子类代码</x:v>
      </x:c>
      <x:c r="F451" t="n">
        <x:v>39</x:v>
      </x:c>
      <x:c r="G451" t="str">
        <x:v>是</x:v>
      </x:c>
      <x:c r="H451" t="str">
        <x:v>首次用于V0.5</x:v>
      </x:c>
    </x:row>
    <x:row r="452">
      <x:c r="A452" t="str">
        <x:v>规则子类</x:v>
      </x:c>
      <x:c r="B452" t="str">
        <x:v>M07-ROOT</x:v>
      </x:c>
      <x:c r="C452" t="str">
        <x:v>M07｜根气证据</x:v>
      </x:c>
      <x:c r="D452" t="str">
        <x:v>M07中用于本中余气根、多根、库根、无根、透根相应及原始根边界。</x:v>
      </x:c>
      <x:c r="E452" t="str">
        <x:v>子类代码</x:v>
      </x:c>
      <x:c r="F452" t="n">
        <x:v>40</x:v>
      </x:c>
      <x:c r="G452" t="str">
        <x:v>是</x:v>
      </x:c>
      <x:c r="H452" t="str">
        <x:v>首次用于V0.5</x:v>
      </x:c>
    </x:row>
    <x:row r="453">
      <x:c r="A453" t="str">
        <x:v>规则子类</x:v>
      </x:c>
      <x:c r="B453" t="str">
        <x:v>M07-STEM</x:v>
      </x:c>
      <x:c r="C453" t="str">
        <x:v>M07｜透干显露</x:v>
      </x:c>
      <x:c r="D453" t="str">
        <x:v>M07中用于单透、多透、浮干、藏而不透、透干位置与透根共源去重。</x:v>
      </x:c>
      <x:c r="E453" t="str">
        <x:v>子类代码</x:v>
      </x:c>
      <x:c r="F453" t="n">
        <x:v>41</x:v>
      </x:c>
      <x:c r="G453" t="str">
        <x:v>是</x:v>
      </x:c>
      <x:c r="H453" t="str">
        <x:v>首次用于V0.5</x:v>
      </x:c>
    </x:row>
    <x:row r="454">
      <x:c r="A454" t="str">
        <x:v>规则子类</x:v>
      </x:c>
      <x:c r="B454" t="str">
        <x:v>M07-SOURCE</x:v>
      </x:c>
      <x:c r="C454" t="str">
        <x:v>M07｜生源支持</x:v>
      </x:c>
      <x:c r="D454" t="str">
        <x:v>M07中用于直接生源、强弱生源、多源、供给上限与生源缺失。</x:v>
      </x:c>
      <x:c r="E454" t="str">
        <x:v>子类代码</x:v>
      </x:c>
      <x:c r="F454" t="n">
        <x:v>42</x:v>
      </x:c>
      <x:c r="G454" t="str">
        <x:v>是</x:v>
      </x:c>
      <x:c r="H454" t="str">
        <x:v>首次用于V0.5</x:v>
      </x:c>
    </x:row>
    <x:row r="455">
      <x:c r="A455" t="str">
        <x:v>规则子类</x:v>
      </x:c>
      <x:c r="B455" t="str">
        <x:v>M07-ALLY</x:v>
      </x:c>
      <x:c r="C455" t="str">
        <x:v>M07｜同党与数量</x:v>
      </x:c>
      <x:c r="D455" t="str">
        <x:v>M07中用于天干地支同党、干支呼应、集中度、阴阳同类与数量边界。</x:v>
      </x:c>
      <x:c r="E455" t="str">
        <x:v>子类代码</x:v>
      </x:c>
      <x:c r="F455" t="n">
        <x:v>43</x:v>
      </x:c>
      <x:c r="G455" t="str">
        <x:v>是</x:v>
      </x:c>
      <x:c r="H455" t="str">
        <x:v>首次用于V0.5</x:v>
      </x:c>
    </x:row>
    <x:row r="456">
      <x:c r="A456" t="str">
        <x:v>规则子类</x:v>
      </x:c>
      <x:c r="B456" t="str">
        <x:v>M07-MOMENT</x:v>
      </x:c>
      <x:c r="C456" t="str">
        <x:v>M07｜成势聚势</x:v>
      </x:c>
      <x:c r="D456" t="str">
        <x:v>M07中用于多维汇合、位置覆盖、方向性聚势、反季节成党与成势去重。</x:v>
      </x:c>
      <x:c r="E456" t="str">
        <x:v>子类代码</x:v>
      </x:c>
      <x:c r="F456" t="n">
        <x:v>44</x:v>
      </x:c>
      <x:c r="G456" t="str">
        <x:v>是</x:v>
      </x:c>
      <x:c r="H456" t="str">
        <x:v>首次用于V0.5</x:v>
      </x:c>
    </x:row>
    <x:row r="457">
      <x:c r="A457" t="str">
        <x:v>规则子类</x:v>
      </x:c>
      <x:c r="B457" t="str">
        <x:v>M07-CHAIN</x:v>
      </x:c>
      <x:c r="C457" t="str">
        <x:v>M07｜连续生扶</x:v>
      </x:c>
      <x:c r="D457" t="str">
        <x:v>M07中用于一段链、两段链、显露链、有根链、缺桥与链长衰减。</x:v>
      </x:c>
      <x:c r="E457" t="str">
        <x:v>子类代码</x:v>
      </x:c>
      <x:c r="F457" t="n">
        <x:v>45</x:v>
      </x:c>
      <x:c r="G457" t="str">
        <x:v>是</x:v>
      </x:c>
      <x:c r="H457" t="str">
        <x:v>首次用于V0.5</x:v>
      </x:c>
    </x:row>
    <x:row r="458">
      <x:c r="A458" t="str">
        <x:v>规则子类</x:v>
      </x:c>
      <x:c r="B458" t="str">
        <x:v>M07-AGG</x:v>
      </x:c>
      <x:c r="C458" t="str">
        <x:v>M07｜综合分级</x:v>
      </x:c>
      <x:c r="D458" t="str">
        <x:v>M07中用于证据矩阵、七级旺衰、极端门槛、中和区间与输出规范。</x:v>
      </x:c>
      <x:c r="E458" t="str">
        <x:v>子类代码</x:v>
      </x:c>
      <x:c r="F458" t="n">
        <x:v>46</x:v>
      </x:c>
      <x:c r="G458" t="str">
        <x:v>是</x:v>
      </x:c>
      <x:c r="H458" t="str">
        <x:v>首次用于V0.5</x:v>
      </x:c>
    </x:row>
    <x:row r="459">
      <x:c r="A459" t="str">
        <x:v>规则子类</x:v>
      </x:c>
      <x:c r="B459" t="str">
        <x:v>M07-BOUND</x:v>
      </x:c>
      <x:c r="C459" t="str">
        <x:v>M07｜原始旺衰边界</x:v>
      </x:c>
      <x:c r="D459" t="str">
        <x:v>M07中用于原始—有效分层、非机械计分、强弱喜忌分离与证据容量约束。</x:v>
      </x:c>
      <x:c r="E459" t="str">
        <x:v>子类代码</x:v>
      </x:c>
      <x:c r="F459" t="n">
        <x:v>47</x:v>
      </x:c>
      <x:c r="G459" t="str">
        <x:v>是</x:v>
      </x:c>
      <x:c r="H459" t="str">
        <x:v>首次用于V0.5</x:v>
      </x:c>
    </x:row>
    <x:row r="460">
      <x:c r="A460" t="str">
        <x:v>版本号</x:v>
      </x:c>
      <x:c r="B460" t="str">
        <x:v>VER10</x:v>
      </x:c>
      <x:c r="C460" t="str">
        <x:v>V0.6</x:v>
      </x:c>
      <x:c r="D460" t="str">
        <x:v>版本号的标准选项：V0.6。完成M08五行有效旺衰核心规则。</x:v>
      </x:c>
      <x:c r="E460" t="str">
        <x:v>版本号</x:v>
      </x:c>
      <x:c r="F460" t="n">
        <x:v>6</x:v>
      </x:c>
      <x:c r="G460" t="str">
        <x:v>是</x:v>
      </x:c>
      <x:c r="H460" t="str">
        <x:v>五行有效旺衰规则版</x:v>
      </x:c>
      <x:c r="I460"/>
      <x:c r="J460"/>
      <x:c r="K460"/>
      <x:c r="L460"/>
      <x:c r="M460"/>
      <x:c r="N460"/>
      <x:c r="O460"/>
      <x:c r="P460"/>
      <x:c r="Q460"/>
    </x:row>
    <x:row r="461">
      <x:c r="A461" t="str">
        <x:v>规则子类</x:v>
      </x:c>
      <x:c r="B461" t="str">
        <x:v>M08-ROOT</x:v>
      </x:c>
      <x:c r="C461" t="str">
        <x:v>M08｜根气有效性</x:v>
      </x:c>
      <x:c r="D461" t="str">
        <x:v>M08中用于根气受冲合刑害、墓库、改性与独立节点容量的有效性修正。</x:v>
      </x:c>
      <x:c r="E461" t="str">
        <x:v>子类代码</x:v>
      </x:c>
      <x:c r="F461" t="n">
        <x:v>48</x:v>
      </x:c>
      <x:c r="G461" t="str">
        <x:v>是</x:v>
      </x:c>
      <x:c r="H461" t="str">
        <x:v>首次用于V0.6</x:v>
      </x:c>
      <x:c r="I461"/>
      <x:c r="J461"/>
      <x:c r="K461"/>
      <x:c r="L461"/>
      <x:c r="M461"/>
      <x:c r="N461"/>
      <x:c r="O461"/>
      <x:c r="P461"/>
      <x:c r="Q461"/>
    </x:row>
    <x:row r="462">
      <x:c r="A462" t="str">
        <x:v>规则子类</x:v>
      </x:c>
      <x:c r="B462" t="str">
        <x:v>M08-SOURCE</x:v>
      </x:c>
      <x:c r="C462" t="str">
        <x:v>M08｜生源有效性</x:v>
      </x:c>
      <x:c r="D462" t="str">
        <x:v>M08中用于强弱生源、合绊改性、供给冗余、容量分配与生扶链中断。</x:v>
      </x:c>
      <x:c r="E462" t="str">
        <x:v>子类代码</x:v>
      </x:c>
      <x:c r="F462" t="n">
        <x:v>49</x:v>
      </x:c>
      <x:c r="G462" t="str">
        <x:v>是</x:v>
      </x:c>
      <x:c r="H462" t="str">
        <x:v>首次用于V0.6</x:v>
      </x:c>
      <x:c r="I462"/>
      <x:c r="J462"/>
      <x:c r="K462"/>
      <x:c r="L462"/>
      <x:c r="M462"/>
      <x:c r="N462"/>
      <x:c r="O462"/>
      <x:c r="P462"/>
      <x:c r="Q462"/>
    </x:row>
    <x:row r="463">
      <x:c r="A463" t="str">
        <x:v>规则子类</x:v>
      </x:c>
      <x:c r="B463" t="str">
        <x:v>M08-STEM</x:v>
      </x:c>
      <x:c r="C463" t="str">
        <x:v>M08｜透达有效性</x:v>
      </x:c>
      <x:c r="D463" t="str">
        <x:v>M08中用于透干、藏而不透、合绊合化、受克、位置与多透边际递减。</x:v>
      </x:c>
      <x:c r="E463" t="str">
        <x:v>子类代码</x:v>
      </x:c>
      <x:c r="F463" t="n">
        <x:v>50</x:v>
      </x:c>
      <x:c r="G463" t="str">
        <x:v>是</x:v>
      </x:c>
      <x:c r="H463" t="str">
        <x:v>首次用于V0.6</x:v>
      </x:c>
      <x:c r="I463"/>
      <x:c r="J463"/>
      <x:c r="K463"/>
      <x:c r="L463"/>
      <x:c r="M463"/>
      <x:c r="N463"/>
      <x:c r="O463"/>
      <x:c r="P463"/>
      <x:c r="Q463"/>
    </x:row>
    <x:row r="464">
      <x:c r="A464" t="str">
        <x:v>规则子类</x:v>
      </x:c>
      <x:c r="B464" t="str">
        <x:v>M08-CONTROL</x:v>
      </x:c>
      <x:c r="C464" t="str">
        <x:v>M08｜克制修正</x:v>
      </x:c>
      <x:c r="D464" t="str">
        <x:v>M08中用于强克弱、弱克强、势均相克、制化、通关与克力容量。</x:v>
      </x:c>
      <x:c r="E464" t="str">
        <x:v>子类代码</x:v>
      </x:c>
      <x:c r="F464" t="n">
        <x:v>51</x:v>
      </x:c>
      <x:c r="G464" t="str">
        <x:v>是</x:v>
      </x:c>
      <x:c r="H464" t="str">
        <x:v>首次用于V0.6</x:v>
      </x:c>
      <x:c r="I464"/>
      <x:c r="J464"/>
      <x:c r="K464"/>
      <x:c r="L464"/>
      <x:c r="M464"/>
      <x:c r="N464"/>
      <x:c r="O464"/>
      <x:c r="P464"/>
      <x:c r="Q464"/>
    </x:row>
    <x:row r="465">
      <x:c r="A465" t="str">
        <x:v>规则子类</x:v>
      </x:c>
      <x:c r="B465" t="str">
        <x:v>M08-LEAK</x:v>
      </x:c>
      <x:c r="C465" t="str">
        <x:v>M08｜泄气修正</x:v>
      </x:c>
      <x:c r="D465" t="str">
        <x:v>M08中用于主动泄气、弱泄、多路泄出、泄神受制与连续导流。</x:v>
      </x:c>
      <x:c r="E465" t="str">
        <x:v>子类代码</x:v>
      </x:c>
      <x:c r="F465" t="n">
        <x:v>52</x:v>
      </x:c>
      <x:c r="G465" t="str">
        <x:v>是</x:v>
      </x:c>
      <x:c r="H465" t="str">
        <x:v>首次用于V0.6</x:v>
      </x:c>
      <x:c r="I465"/>
      <x:c r="J465"/>
      <x:c r="K465"/>
      <x:c r="L465"/>
      <x:c r="M465"/>
      <x:c r="N465"/>
      <x:c r="O465"/>
      <x:c r="P465"/>
      <x:c r="Q465"/>
    </x:row>
    <x:row r="466">
      <x:c r="A466" t="str">
        <x:v>规则子类</x:v>
      </x:c>
      <x:c r="B466" t="str">
        <x:v>M08-DRAIN</x:v>
      </x:c>
      <x:c r="C466" t="str">
        <x:v>M08｜耗气修正</x:v>
      </x:c>
      <x:c r="D466" t="str">
        <x:v>M08中用于主动克耗、强弱耗对象、多路耗力、容量约束与承载不足。</x:v>
      </x:c>
      <x:c r="E466" t="str">
        <x:v>子类代码</x:v>
      </x:c>
      <x:c r="F466" t="n">
        <x:v>53</x:v>
      </x:c>
      <x:c r="G466" t="str">
        <x:v>是</x:v>
      </x:c>
      <x:c r="H466" t="str">
        <x:v>首次用于V0.6</x:v>
      </x:c>
      <x:c r="I466"/>
      <x:c r="J466"/>
      <x:c r="K466"/>
      <x:c r="L466"/>
      <x:c r="M466"/>
      <x:c r="N466"/>
      <x:c r="O466"/>
      <x:c r="P466"/>
      <x:c r="Q466"/>
    </x:row>
    <x:row r="467">
      <x:c r="A467" t="str">
        <x:v>规则子类</x:v>
      </x:c>
      <x:c r="B467" t="str">
        <x:v>M08-TRANS</x:v>
      </x:c>
      <x:c r="C467" t="str">
        <x:v>M08｜合化会局改性</x:v>
      </x:c>
      <x:c r="D467" t="str">
        <x:v>M08中用于天干合化、六合、三合、三会、半合、拱合及共享节点的力量重分配。</x:v>
      </x:c>
      <x:c r="E467" t="str">
        <x:v>子类代码</x:v>
      </x:c>
      <x:c r="F467" t="n">
        <x:v>54</x:v>
      </x:c>
      <x:c r="G467" t="str">
        <x:v>是</x:v>
      </x:c>
      <x:c r="H467" t="str">
        <x:v>首次用于V0.6</x:v>
      </x:c>
      <x:c r="I467"/>
      <x:c r="J467"/>
      <x:c r="K467"/>
      <x:c r="L467"/>
      <x:c r="M467"/>
      <x:c r="N467"/>
      <x:c r="O467"/>
      <x:c r="P467"/>
      <x:c r="Q467"/>
    </x:row>
    <x:row r="468">
      <x:c r="A468" t="str">
        <x:v>规则子类</x:v>
      </x:c>
      <x:c r="B468" t="str">
        <x:v>M08-REL</x:v>
      </x:c>
      <x:c r="C468" t="str">
        <x:v>M08｜冲刑害破修正</x:v>
      </x:c>
      <x:c r="D468" t="str">
        <x:v>M08中用于六冲、三刑、自刑、六害、六破及多重关系的净效应修正。</x:v>
      </x:c>
      <x:c r="E468" t="str">
        <x:v>子类代码</x:v>
      </x:c>
      <x:c r="F468" t="n">
        <x:v>55</x:v>
      </x:c>
      <x:c r="G468" t="str">
        <x:v>是</x:v>
      </x:c>
      <x:c r="H468" t="str">
        <x:v>首次用于V0.6</x:v>
      </x:c>
      <x:c r="I468"/>
      <x:c r="J468"/>
      <x:c r="K468"/>
      <x:c r="L468"/>
      <x:c r="M468"/>
      <x:c r="N468"/>
      <x:c r="O468"/>
      <x:c r="P468"/>
      <x:c r="Q468"/>
    </x:row>
    <x:row r="469">
      <x:c r="A469" t="str">
        <x:v>规则子类</x:v>
      </x:c>
      <x:c r="B469" t="str">
        <x:v>M08-CLIM</x:v>
      </x:c>
      <x:c r="C469" t="str">
        <x:v>M08｜寒暖燥湿修正</x:v>
      </x:c>
      <x:c r="D469" t="str">
        <x:v>M08中用于气候条件对五行透达、持续性、生发与可用性的接口修正。</x:v>
      </x:c>
      <x:c r="E469" t="str">
        <x:v>子类代码</x:v>
      </x:c>
      <x:c r="F469" t="n">
        <x:v>56</x:v>
      </x:c>
      <x:c r="G469" t="str">
        <x:v>是</x:v>
      </x:c>
      <x:c r="H469" t="str">
        <x:v>首次用于V0.6</x:v>
      </x:c>
      <x:c r="I469"/>
      <x:c r="J469"/>
      <x:c r="K469"/>
      <x:c r="L469"/>
      <x:c r="M469"/>
      <x:c r="N469"/>
      <x:c r="O469"/>
      <x:c r="P469"/>
      <x:c r="Q469"/>
    </x:row>
    <x:row r="470">
      <x:c r="A470" t="str">
        <x:v>规则子类</x:v>
      </x:c>
      <x:c r="B470" t="str">
        <x:v>M08-FLOW</x:v>
      </x:c>
      <x:c r="C470" t="str">
        <x:v>M08｜流通效率修正</x:v>
      </x:c>
      <x:c r="D470" t="str">
        <x:v>M08中用于桥梁、缺桥、壅塞、承载不足及生化链传递效率。</x:v>
      </x:c>
      <x:c r="E470" t="str">
        <x:v>子类代码</x:v>
      </x:c>
      <x:c r="F470" t="n">
        <x:v>57</x:v>
      </x:c>
      <x:c r="G470" t="str">
        <x:v>是</x:v>
      </x:c>
      <x:c r="H470" t="str">
        <x:v>首次用于V0.6</x:v>
      </x:c>
      <x:c r="I470"/>
      <x:c r="J470"/>
      <x:c r="K470"/>
      <x:c r="L470"/>
      <x:c r="M470"/>
      <x:c r="N470"/>
      <x:c r="O470"/>
      <x:c r="P470"/>
      <x:c r="Q470"/>
    </x:row>
    <x:row r="471">
      <x:c r="A471" t="str">
        <x:v>规则子类</x:v>
      </x:c>
      <x:c r="B471" t="str">
        <x:v>M08-AGG</x:v>
      </x:c>
      <x:c r="C471" t="str">
        <x:v>M08｜有效旺衰综合分级</x:v>
      </x:c>
      <x:c r="D471" t="str">
        <x:v>M08中用于七级有效旺衰、极端门槛、中和区间、反证与置信度。</x:v>
      </x:c>
      <x:c r="E471" t="str">
        <x:v>子类代码</x:v>
      </x:c>
      <x:c r="F471" t="n">
        <x:v>58</x:v>
      </x:c>
      <x:c r="G471" t="str">
        <x:v>是</x:v>
      </x:c>
      <x:c r="H471" t="str">
        <x:v>首次用于V0.6</x:v>
      </x:c>
      <x:c r="I471"/>
      <x:c r="J471"/>
      <x:c r="K471"/>
      <x:c r="L471"/>
      <x:c r="M471"/>
      <x:c r="N471"/>
      <x:c r="O471"/>
      <x:c r="P471"/>
      <x:c r="Q471"/>
    </x:row>
    <x:row r="472">
      <x:c r="A472" t="str">
        <x:v>规则子类</x:v>
      </x:c>
      <x:c r="B472" t="str">
        <x:v>M08-BOUND</x:v>
      </x:c>
      <x:c r="C472" t="str">
        <x:v>M08｜有效旺衰边界</x:v>
      </x:c>
      <x:c r="D472" t="str">
        <x:v>M08中用于喜忌隔离、证据去重、非机械计分与争议降置信。</x:v>
      </x:c>
      <x:c r="E472" t="str">
        <x:v>子类代码</x:v>
      </x:c>
      <x:c r="F472" t="n">
        <x:v>59</x:v>
      </x:c>
      <x:c r="G472" t="str">
        <x:v>是</x:v>
      </x:c>
      <x:c r="H472" t="str">
        <x:v>首次用于V0.6</x:v>
      </x:c>
      <x:c r="I472"/>
      <x:c r="J472"/>
      <x:c r="K472"/>
      <x:c r="L472"/>
      <x:c r="M472"/>
      <x:c r="N472"/>
      <x:c r="O472"/>
      <x:c r="P472"/>
      <x:c r="Q472"/>
    </x:row>
    <x:row r="473">
      <x:c r="A473" t="str">
        <x:v>版本号</x:v>
      </x:c>
      <x:c r="B473" t="str">
        <x:v>VER11</x:v>
      </x:c>
      <x:c r="C473" t="str">
        <x:v>V0.7</x:v>
      </x:c>
      <x:c r="D473" t="str">
        <x:v>版本号的标准选项：V0.7。完成M09日主旺衰核心规则。</x:v>
      </x:c>
      <x:c r="E473" t="str">
        <x:v>版本号</x:v>
      </x:c>
      <x:c r="F473" t="n">
        <x:v>7</x:v>
      </x:c>
      <x:c r="G473" t="str">
        <x:v>是</x:v>
      </x:c>
      <x:c r="H473" t="str">
        <x:v>日主旺衰规则版</x:v>
      </x:c>
    </x:row>
    <x:row r="474">
      <x:c r="A474" t="str">
        <x:v>规则子类</x:v>
      </x:c>
      <x:c r="B474" t="str">
        <x:v>M09-LING</x:v>
      </x:c>
      <x:c r="C474" t="str">
        <x:v>M09｜得令证据</x:v>
      </x:c>
      <x:c r="D474" t="str">
        <x:v>M09中用于季令强弱、得令非充分条件、失令反强、四季月及月令证据去重。</x:v>
      </x:c>
      <x:c r="E474" t="str">
        <x:v>子类代码</x:v>
      </x:c>
      <x:c r="F474" t="n">
        <x:v>60</x:v>
      </x:c>
      <x:c r="G474" t="str">
        <x:v>是</x:v>
      </x:c>
      <x:c r="H474" t="str">
        <x:v>首次用于V0.7</x:v>
      </x:c>
    </x:row>
    <x:row r="475">
      <x:c r="A475" t="str">
        <x:v>规则子类</x:v>
      </x:c>
      <x:c r="B475" t="str">
        <x:v>M09-DI</x:v>
      </x:c>
      <x:c r="C475" t="str">
        <x:v>M09｜得地证据</x:v>
      </x:c>
      <x:c r="D475" t="str">
        <x:v>M09中用于本中余气根、多根、无根、受冲根、日支根及根气可调用性。</x:v>
      </x:c>
      <x:c r="E475" t="str">
        <x:v>子类代码</x:v>
      </x:c>
      <x:c r="F475" t="n">
        <x:v>61</x:v>
      </x:c>
      <x:c r="G475" t="str">
        <x:v>是</x:v>
      </x:c>
      <x:c r="H475" t="str">
        <x:v>首次用于V0.7</x:v>
      </x:c>
    </x:row>
    <x:row r="476">
      <x:c r="A476" t="str">
        <x:v>规则子类</x:v>
      </x:c>
      <x:c r="B476" t="str">
        <x:v>M09-SHI</x:v>
      </x:c>
      <x:c r="C476" t="str">
        <x:v>M09｜得势证据</x:v>
      </x:c>
      <x:c r="D476" t="str">
        <x:v>M09中用于印比集团、数量质量、干支覆盖、扶身链、双集团对比与得势边界。</x:v>
      </x:c>
      <x:c r="E476" t="str">
        <x:v>子类代码</x:v>
      </x:c>
      <x:c r="F476" t="n">
        <x:v>62</x:v>
      </x:c>
      <x:c r="G476" t="str">
        <x:v>是</x:v>
      </x:c>
      <x:c r="H476" t="str">
        <x:v>首次用于V0.7</x:v>
      </x:c>
    </x:row>
    <x:row r="477">
      <x:c r="A477" t="str">
        <x:v>规则子类</x:v>
      </x:c>
      <x:c r="B477" t="str">
        <x:v>M09-SHENG</x:v>
      </x:c>
      <x:c r="C477" t="str">
        <x:v>M09｜得生证据</x:v>
      </x:c>
      <x:c r="D477" t="str">
        <x:v>M09中用于有效印源、印受损、强印无根、多印、生源容量、链式生扶与印比协同。</x:v>
      </x:c>
      <x:c r="E477" t="str">
        <x:v>子类代码</x:v>
      </x:c>
      <x:c r="F477" t="n">
        <x:v>63</x:v>
      </x:c>
      <x:c r="G477" t="str">
        <x:v>是</x:v>
      </x:c>
      <x:c r="H477" t="str">
        <x:v>首次用于V0.7</x:v>
      </x:c>
    </x:row>
    <x:row r="478">
      <x:c r="A478" t="str">
        <x:v>规则子类</x:v>
      </x:c>
      <x:c r="B478" t="str">
        <x:v>M09-KE</x:v>
      </x:c>
      <x:c r="C478" t="str">
        <x:v>M09｜受制证据</x:v>
      </x:c>
      <x:c r="D478" t="str">
        <x:v>M09中用于官杀制身、官杀成势、制化修正、杀印流向、承载差异与容量去重。</x:v>
      </x:c>
      <x:c r="E478" t="str">
        <x:v>子类代码</x:v>
      </x:c>
      <x:c r="F478" t="n">
        <x:v>64</x:v>
      </x:c>
      <x:c r="G478" t="str">
        <x:v>是</x:v>
      </x:c>
      <x:c r="H478" t="str">
        <x:v>首次用于V0.7</x:v>
      </x:c>
    </x:row>
    <x:row r="479">
      <x:c r="A479" t="str">
        <x:v>规则子类</x:v>
      </x:c>
      <x:c r="B479" t="str">
        <x:v>M09-XIE</x:v>
      </x:c>
      <x:c r="C479" t="str">
        <x:v>M09｜受泄证据</x:v>
      </x:c>
      <x:c r="D479" t="str">
        <x:v>M09中用于食伤泄身、泄身成势、印制食伤、连续泄耗及泄克分型。</x:v>
      </x:c>
      <x:c r="E479" t="str">
        <x:v>子类代码</x:v>
      </x:c>
      <x:c r="F479" t="n">
        <x:v>65</x:v>
      </x:c>
      <x:c r="G479" t="str">
        <x:v>是</x:v>
      </x:c>
      <x:c r="H479" t="str">
        <x:v>首次用于V0.7</x:v>
      </x:c>
    </x:row>
    <x:row r="480">
      <x:c r="A480" t="str">
        <x:v>规则子类</x:v>
      </x:c>
      <x:c r="B480" t="str">
        <x:v>M09-HAO</x:v>
      </x:c>
      <x:c r="C480" t="str">
        <x:v>M09｜受耗证据</x:v>
      </x:c>
      <x:c r="D480" t="str">
        <x:v>M09中用于财星耗身、财势、财受制、强身任财、泄耗链去重及多负荷边界。</x:v>
      </x:c>
      <x:c r="E480" t="str">
        <x:v>子类代码</x:v>
      </x:c>
      <x:c r="F480" t="n">
        <x:v>66</x:v>
      </x:c>
      <x:c r="G480" t="str">
        <x:v>是</x:v>
      </x:c>
      <x:c r="H480" t="str">
        <x:v>首次用于V0.7</x:v>
      </x:c>
    </x:row>
    <x:row r="481">
      <x:c r="A481" t="str">
        <x:v>规则子类</x:v>
      </x:c>
      <x:c r="B481" t="str">
        <x:v>M09-SYN</x:v>
      </x:c>
      <x:c r="C481" t="str">
        <x:v>M09｜综合比较</x:v>
      </x:c>
      <x:c r="D481" t="str">
        <x:v>M09中用于扶身侧与负荷侧净优势、强证据优先、节点去重、双强双弱与冲突降置信。</x:v>
      </x:c>
      <x:c r="E481" t="str">
        <x:v>子类代码</x:v>
      </x:c>
      <x:c r="F481" t="n">
        <x:v>67</x:v>
      </x:c>
      <x:c r="G481" t="str">
        <x:v>是</x:v>
      </x:c>
      <x:c r="H481" t="str">
        <x:v>首次用于V0.7</x:v>
      </x:c>
    </x:row>
    <x:row r="482">
      <x:c r="A482" t="str">
        <x:v>规则子类</x:v>
      </x:c>
      <x:c r="B482" t="str">
        <x:v>M09-GRADE</x:v>
      </x:c>
      <x:c r="C482" t="str">
        <x:v>M09｜七级综合分级</x:v>
      </x:c>
      <x:c r="D482" t="str">
        <x:v>M09中用于极弱、弱、中和偏弱、中和、中和偏旺、旺、极旺及相邻等级边界。</x:v>
      </x:c>
      <x:c r="E482" t="str">
        <x:v>子类代码</x:v>
      </x:c>
      <x:c r="F482" t="n">
        <x:v>68</x:v>
      </x:c>
      <x:c r="G482" t="str">
        <x:v>是</x:v>
      </x:c>
      <x:c r="H482" t="str">
        <x:v>首次用于V0.7</x:v>
      </x:c>
    </x:row>
    <x:row r="483">
      <x:c r="A483" t="str">
        <x:v>规则子类</x:v>
      </x:c>
      <x:c r="B483" t="str">
        <x:v>M09-BOUND</x:v>
      </x:c>
      <x:c r="C483" t="str">
        <x:v>M09｜日主旺衰边界</x:v>
      </x:c>
      <x:c r="D483" t="str">
        <x:v>M09中用于非机械计分、数量边界、喜忌隔离、特殊格局接口、静动态分离与输出规范。</x:v>
      </x:c>
      <x:c r="E483" t="str">
        <x:v>子类代码</x:v>
      </x:c>
      <x:c r="F483" t="n">
        <x:v>69</x:v>
      </x:c>
      <x:c r="G483" t="str">
        <x:v>是</x:v>
      </x:c>
      <x:c r="H483" t="str">
        <x:v>首次用于V0.7</x:v>
      </x:c>
    </x:row>
    <x:row r="484">
      <x:c r="A484" t="str">
        <x:v>版本号</x:v>
      </x:c>
      <x:c r="B484" t="str">
        <x:v>VER12</x:v>
      </x:c>
      <x:c r="C484" t="str">
        <x:v>V0.8</x:v>
      </x:c>
      <x:c r="D484" t="str">
        <x:v>版本号的标准选项：V0.8。完成M10十神旺衰功能核心规则。</x:v>
      </x:c>
      <x:c r="E484" t="str">
        <x:v>版本号</x:v>
      </x:c>
      <x:c r="F484" t="n">
        <x:v>8</x:v>
      </x:c>
      <x:c r="G484" t="str">
        <x:v>是</x:v>
      </x:c>
      <x:c r="H484" t="str">
        <x:v>十神旺衰功能规则版</x:v>
      </x:c>
    </x:row>
    <x:row r="485">
      <x:c r="A485" t="str">
        <x:v>规则子类</x:v>
      </x:c>
      <x:c r="B485" t="str">
        <x:v>M10-PRES</x:v>
      </x:c>
      <x:c r="C485" t="str">
        <x:v>M10｜十神存在性</x:v>
      </x:c>
      <x:c r="D485" t="str">
        <x:v>M10中用于透干、藏支、多处出现、完全不现、正偏并见及静动态存在边界。</x:v>
      </x:c>
      <x:c r="E485" t="str">
        <x:v>子类代码</x:v>
      </x:c>
      <x:c r="F485" t="n">
        <x:v>70</x:v>
      </x:c>
      <x:c r="G485" t="str">
        <x:v>是</x:v>
      </x:c>
      <x:c r="H485" t="str">
        <x:v>首次用于V0.8</x:v>
      </x:c>
    </x:row>
    <x:row r="486">
      <x:c r="A486" t="str">
        <x:v>规则子类</x:v>
      </x:c>
      <x:c r="B486" t="str">
        <x:v>M10-POWER</x:v>
      </x:c>
      <x:c r="C486" t="str">
        <x:v>M10｜十神有效力量</x:v>
      </x:c>
      <x:c r="D486" t="str">
        <x:v>M10中用于从M08继承有效力量、多节点汇总、季令根气、生源制约及七级分级。</x:v>
      </x:c>
      <x:c r="E486" t="str">
        <x:v>子类代码</x:v>
      </x:c>
      <x:c r="F486" t="n">
        <x:v>71</x:v>
      </x:c>
      <x:c r="G486" t="str">
        <x:v>是</x:v>
      </x:c>
      <x:c r="H486" t="str">
        <x:v>首次用于V0.8</x:v>
      </x:c>
    </x:row>
    <x:row r="487">
      <x:c r="A487" t="str">
        <x:v>规则子类</x:v>
      </x:c>
      <x:c r="B487" t="str">
        <x:v>M10-PURE</x:v>
      </x:c>
      <x:c r="C487" t="str">
        <x:v>M10｜十神清纯度</x:v>
      </x:c>
      <x:c r="D487" t="str">
        <x:v>M10中用于正偏并见、主次清晰、混杂程度及清纯度与喜忌分离。</x:v>
      </x:c>
      <x:c r="E487" t="str">
        <x:v>子类代码</x:v>
      </x:c>
      <x:c r="F487" t="n">
        <x:v>72</x:v>
      </x:c>
      <x:c r="G487" t="str">
        <x:v>是</x:v>
      </x:c>
      <x:c r="H487" t="str">
        <x:v>首次用于V0.8</x:v>
      </x:c>
    </x:row>
    <x:row r="488">
      <x:c r="A488" t="str">
        <x:v>规则子类</x:v>
      </x:c>
      <x:c r="B488" t="str">
        <x:v>M10-BIJIE</x:v>
      </x:c>
      <x:c r="C488" t="str">
        <x:v>M10｜比劫功能</x:v>
      </x:c>
      <x:c r="D488" t="str">
        <x:v>M10中用于比肩劫财的扶身、抗制、制财、成势、过度和双重功能。</x:v>
      </x:c>
      <x:c r="E488" t="str">
        <x:v>子类代码</x:v>
      </x:c>
      <x:c r="F488" t="n">
        <x:v>73</x:v>
      </x:c>
      <x:c r="G488" t="str">
        <x:v>是</x:v>
      </x:c>
      <x:c r="H488" t="str">
        <x:v>首次用于V0.8</x:v>
      </x:c>
    </x:row>
    <x:row r="489">
      <x:c r="A489" t="str">
        <x:v>规则子类</x:v>
      </x:c>
      <x:c r="B489" t="str">
        <x:v>M10-YIN</x:v>
      </x:c>
      <x:c r="C489" t="str">
        <x:v>M10｜印星功能</x:v>
      </x:c>
      <x:c r="D489" t="str">
        <x:v>M10中用于印星生身、化官杀、制食伤、财制印、印比协同及印过度。</x:v>
      </x:c>
      <x:c r="E489" t="str">
        <x:v>子类代码</x:v>
      </x:c>
      <x:c r="F489" t="n">
        <x:v>74</x:v>
      </x:c>
      <x:c r="G489" t="str">
        <x:v>是</x:v>
      </x:c>
      <x:c r="H489" t="str">
        <x:v>首次用于V0.8</x:v>
      </x:c>
    </x:row>
    <x:row r="490">
      <x:c r="A490" t="str">
        <x:v>规则子类</x:v>
      </x:c>
      <x:c r="B490" t="str">
        <x:v>M10-SHISHANG</x:v>
      </x:c>
      <x:c r="C490" t="str">
        <x:v>M10｜食伤功能</x:v>
      </x:c>
      <x:c r="D490" t="str">
        <x:v>M10中用于泄身、生财、制杀、克官、泄秀、过泄及枭制食伤。</x:v>
      </x:c>
      <x:c r="E490" t="str">
        <x:v>子类代码</x:v>
      </x:c>
      <x:c r="F490" t="n">
        <x:v>75</x:v>
      </x:c>
      <x:c r="G490" t="str">
        <x:v>是</x:v>
      </x:c>
      <x:c r="H490" t="str">
        <x:v>首次用于V0.8</x:v>
      </x:c>
    </x:row>
    <x:row r="491">
      <x:c r="A491" t="str">
        <x:v>规则子类</x:v>
      </x:c>
      <x:c r="B491" t="str">
        <x:v>M10-CAI</x:v>
      </x:c>
      <x:c r="C491" t="str">
        <x:v>M10｜财星功能</x:v>
      </x:c>
      <x:c r="D491" t="str">
        <x:v>M10中用于财星耗身、生官杀、制印、受比劫制、任财与财多身弱候选。</x:v>
      </x:c>
      <x:c r="E491" t="str">
        <x:v>子类代码</x:v>
      </x:c>
      <x:c r="F491" t="n">
        <x:v>76</x:v>
      </x:c>
      <x:c r="G491" t="str">
        <x:v>是</x:v>
      </x:c>
      <x:c r="H491" t="str">
        <x:v>首次用于V0.8</x:v>
      </x:c>
    </x:row>
    <x:row r="492">
      <x:c r="A492" t="str">
        <x:v>规则子类</x:v>
      </x:c>
      <x:c r="B492" t="str">
        <x:v>M10-GUANSHA</x:v>
      </x:c>
      <x:c r="C492" t="str">
        <x:v>M10｜官杀功能</x:v>
      </x:c>
      <x:c r="D492" t="str">
        <x:v>M10中用于官杀制身、生印、制化、官杀混杂、清化及日主承载。</x:v>
      </x:c>
      <x:c r="E492" t="str">
        <x:v>子类代码</x:v>
      </x:c>
      <x:c r="F492" t="n">
        <x:v>77</x:v>
      </x:c>
      <x:c r="G492" t="str">
        <x:v>是</x:v>
      </x:c>
      <x:c r="H492" t="str">
        <x:v>首次用于V0.8</x:v>
      </x:c>
    </x:row>
    <x:row r="493">
      <x:c r="A493" t="str">
        <x:v>规则子类</x:v>
      </x:c>
      <x:c r="B493" t="str">
        <x:v>M10-BAL</x:v>
      </x:c>
      <x:c r="C493" t="str">
        <x:v>M10｜功能制化状态</x:v>
      </x:c>
      <x:c r="D493" t="str">
        <x:v>M10中用于正常、受限、转化、失效、过度、制化平衡和制化失衡。</x:v>
      </x:c>
      <x:c r="E493" t="str">
        <x:v>子类代码</x:v>
      </x:c>
      <x:c r="F493" t="n">
        <x:v>78</x:v>
      </x:c>
      <x:c r="G493" t="str">
        <x:v>是</x:v>
      </x:c>
      <x:c r="H493" t="str">
        <x:v>首次用于V0.8</x:v>
      </x:c>
    </x:row>
    <x:row r="494">
      <x:c r="A494" t="str">
        <x:v>规则子类</x:v>
      </x:c>
      <x:c r="B494" t="str">
        <x:v>M10-ROLE</x:v>
      </x:c>
      <x:c r="C494" t="str">
        <x:v>M10｜组合格局接口</x:v>
      </x:c>
      <x:c r="D494" t="str">
        <x:v>M10中用于向M11/M14生成食神制杀、伤官配印、官印、杀印、食伤生财等候选。</x:v>
      </x:c>
      <x:c r="E494" t="str">
        <x:v>子类代码</x:v>
      </x:c>
      <x:c r="F494" t="n">
        <x:v>79</x:v>
      </x:c>
      <x:c r="G494" t="str">
        <x:v>是</x:v>
      </x:c>
      <x:c r="H494" t="str">
        <x:v>首次用于V0.8</x:v>
      </x:c>
    </x:row>
    <x:row r="495">
      <x:c r="A495" t="str">
        <x:v>规则子类</x:v>
      </x:c>
      <x:c r="B495" t="str">
        <x:v>M10-XIJI</x:v>
      </x:c>
      <x:c r="C495" t="str">
        <x:v>M10｜喜忌候选</x:v>
      </x:c>
      <x:c r="D495" t="str">
        <x:v>M10中用于根据日主承载、主要矛盾、收益与副作用生成条件性喜忌候选。</x:v>
      </x:c>
      <x:c r="E495" t="str">
        <x:v>子类代码</x:v>
      </x:c>
      <x:c r="F495" t="n">
        <x:v>80</x:v>
      </x:c>
      <x:c r="G495" t="str">
        <x:v>是</x:v>
      </x:c>
      <x:c r="H495" t="str">
        <x:v>首次用于V0.8</x:v>
      </x:c>
    </x:row>
    <x:row r="496">
      <x:c r="A496" t="str">
        <x:v>规则子类</x:v>
      </x:c>
      <x:c r="B496" t="str">
        <x:v>M10-BOUND</x:v>
      </x:c>
      <x:c r="C496" t="str">
        <x:v>M10｜十神判断边界</x:v>
      </x:c>
      <x:c r="D496" t="str">
        <x:v>M10中用于旺衰吉凶分离、象义事件隔离、静动态分离、争议治理和标准输出。</x:v>
      </x:c>
      <x:c r="E496" t="str">
        <x:v>子类代码</x:v>
      </x:c>
      <x:c r="F496" t="n">
        <x:v>81</x:v>
      </x:c>
      <x:c r="G496" t="str">
        <x:v>是</x:v>
      </x:c>
      <x:c r="H496" t="str">
        <x:v>首次用于V0.8</x:v>
      </x:c>
    </x:row>
    <x:row r="497">
      <x:c r="A497" t="str">
        <x:v>版本号</x:v>
      </x:c>
      <x:c r="B497" t="str">
        <x:v>VER13</x:v>
      </x:c>
      <x:c r="C497" t="str">
        <x:v>V0.9</x:v>
      </x:c>
      <x:c r="D497" t="str">
        <x:v>版本号的标准选项：V0.9。完成M11十神组合成立核心规则。</x:v>
      </x:c>
      <x:c r="E497" t="str">
        <x:v>版本号</x:v>
      </x:c>
      <x:c r="F497" t="n">
        <x:v>9</x:v>
      </x:c>
      <x:c r="G497" t="str">
        <x:v>是</x:v>
      </x:c>
      <x:c r="H497" t="str">
        <x:v>十神组合成立规则版</x:v>
      </x:c>
    </x:row>
    <x:row r="498">
      <x:c r="A498" t="str">
        <x:v>规则子类</x:v>
      </x:c>
      <x:c r="B498" t="str">
        <x:v>M11-GEN</x:v>
      </x:c>
      <x:c r="C498" t="str">
        <x:v>M11｜组合通用判定</x:v>
      </x:c>
      <x:c r="D498" t="str">
        <x:v>M11中用于候选生成、路径必要性、力量匹配、日主承载、容量去重、破坏救应及格局分层。</x:v>
      </x:c>
      <x:c r="E498" t="str">
        <x:v>子类代码</x:v>
      </x:c>
      <x:c r="F498" t="n">
        <x:v>82</x:v>
      </x:c>
      <x:c r="G498" t="str">
        <x:v>是</x:v>
      </x:c>
      <x:c r="H498" t="str">
        <x:v>首次用于V0.9</x:v>
      </x:c>
    </x:row>
    <x:row r="499">
      <x:c r="A499" t="str">
        <x:v>规则子类</x:v>
      </x:c>
      <x:c r="B499" t="str">
        <x:v>M11-SHIZHI</x:v>
      </x:c>
      <x:c r="C499" t="str">
        <x:v>M11｜食神制杀</x:v>
      </x:c>
      <x:c r="D499" t="str">
        <x:v>M11中用于食神制杀的主体客体、制杀比例、枭夺食、财制枭、制杀太过与承载。</x:v>
      </x:c>
      <x:c r="E499" t="str">
        <x:v>子类代码</x:v>
      </x:c>
      <x:c r="F499" t="n">
        <x:v>83</x:v>
      </x:c>
      <x:c r="G499" t="str">
        <x:v>是</x:v>
      </x:c>
      <x:c r="H499" t="str">
        <x:v>首次用于V0.9</x:v>
      </x:c>
    </x:row>
    <x:row r="500">
      <x:c r="A500" t="str">
        <x:v>规则子类</x:v>
      </x:c>
      <x:c r="B500" t="str">
        <x:v>M11-SHAYIN</x:v>
      </x:c>
      <x:c r="C500" t="str">
        <x:v>M11｜杀印相生</x:v>
      </x:c>
      <x:c r="D500" t="str">
        <x:v>M11中用于七杀生印、印生身、化杀不及、财坏印及制化路线竞争。</x:v>
      </x:c>
      <x:c r="E500" t="str">
        <x:v>子类代码</x:v>
      </x:c>
      <x:c r="F500" t="n">
        <x:v>84</x:v>
      </x:c>
      <x:c r="G500" t="str">
        <x:v>是</x:v>
      </x:c>
      <x:c r="H500" t="str">
        <x:v>首次用于V0.9</x:v>
      </x:c>
    </x:row>
    <x:row r="501">
      <x:c r="A501" t="str">
        <x:v>规则子类</x:v>
      </x:c>
      <x:c r="B501" t="str">
        <x:v>M11-GUANYIN</x:v>
      </x:c>
      <x:c r="C501" t="str">
        <x:v>M11｜官印相生</x:v>
      </x:c>
      <x:c r="D501" t="str">
        <x:v>M11中用于官生印、印生身、伤官破官、财星双效与清纯增强。</x:v>
      </x:c>
      <x:c r="E501" t="str">
        <x:v>子类代码</x:v>
      </x:c>
      <x:c r="F501" t="n">
        <x:v>85</x:v>
      </x:c>
      <x:c r="G501" t="str">
        <x:v>是</x:v>
      </x:c>
      <x:c r="H501" t="str">
        <x:v>首次用于V0.9</x:v>
      </x:c>
    </x:row>
    <x:row r="502">
      <x:c r="A502" t="str">
        <x:v>规则子类</x:v>
      </x:c>
      <x:c r="B502" t="str">
        <x:v>M11-SHANGYIN</x:v>
      </x:c>
      <x:c r="C502" t="str">
        <x:v>M11｜伤官配印</x:v>
      </x:c>
      <x:c r="D502" t="str">
        <x:v>M11中用于伤官与印星力量匹配、财坏印、印制太过、日主承载及救官。</x:v>
      </x:c>
      <x:c r="E502" t="str">
        <x:v>子类代码</x:v>
      </x:c>
      <x:c r="F502" t="n">
        <x:v>86</x:v>
      </x:c>
      <x:c r="G502" t="str">
        <x:v>是</x:v>
      </x:c>
      <x:c r="H502" t="str">
        <x:v>首次用于V0.9</x:v>
      </x:c>
    </x:row>
    <x:row r="503">
      <x:c r="A503" t="str">
        <x:v>规则子类</x:v>
      </x:c>
      <x:c r="B503" t="str">
        <x:v>M11-SHENGCAI</x:v>
      </x:c>
      <x:c r="C503" t="str">
        <x:v>M11｜食伤生财</x:v>
      </x:c>
      <x:c r="D503" t="str">
        <x:v>M11中用于食神生财、伤官生财、财星承载、比劫破财、印制食伤及身强弱负荷。</x:v>
      </x:c>
      <x:c r="E503" t="str">
        <x:v>子类代码</x:v>
      </x:c>
      <x:c r="F503" t="n">
        <x:v>87</x:v>
      </x:c>
      <x:c r="G503" t="str">
        <x:v>是</x:v>
      </x:c>
      <x:c r="H503" t="str">
        <x:v>首次用于V0.9</x:v>
      </x:c>
    </x:row>
    <x:row r="504">
      <x:c r="A504" t="str">
        <x:v>规则子类</x:v>
      </x:c>
      <x:c r="B504" t="str">
        <x:v>M11-CAIGUAN</x:v>
      </x:c>
      <x:c r="C504" t="str">
        <x:v>M11｜财官生化链</x:v>
      </x:c>
      <x:c r="D504" t="str">
        <x:v>M11中用于财生官、财生杀、财官印相生、财坏印副作用及日主承载。</x:v>
      </x:c>
      <x:c r="E504" t="str">
        <x:v>子类代码</x:v>
      </x:c>
      <x:c r="F504" t="n">
        <x:v>88</x:v>
      </x:c>
      <x:c r="G504" t="str">
        <x:v>是</x:v>
      </x:c>
      <x:c r="H504" t="str">
        <x:v>首次用于V0.9</x:v>
      </x:c>
    </x:row>
    <x:row r="505">
      <x:c r="A505" t="str">
        <x:v>规则子类</x:v>
      </x:c>
      <x:c r="B505" t="str">
        <x:v>M11-BALANCE</x:v>
      </x:c>
      <x:c r="C505" t="str">
        <x:v>M11｜平衡承载组合</x:v>
      </x:c>
      <x:c r="D505" t="str">
        <x:v>M11中用于身财两停、身官两停、身杀两停、身旺任财官及身弱得印比承载。</x:v>
      </x:c>
      <x:c r="E505" t="str">
        <x:v>子类代码</x:v>
      </x:c>
      <x:c r="F505" t="n">
        <x:v>89</x:v>
      </x:c>
      <x:c r="G505" t="str">
        <x:v>是</x:v>
      </x:c>
      <x:c r="H505" t="str">
        <x:v>首次用于V0.9</x:v>
      </x:c>
    </x:row>
    <x:row r="506">
      <x:c r="A506" t="str">
        <x:v>规则子类</x:v>
      </x:c>
      <x:c r="B506" t="str">
        <x:v>M11-PATH</x:v>
      </x:c>
      <x:c r="C506" t="str">
        <x:v>M11｜其他制化路径</x:v>
      </x:c>
      <x:c r="D506" t="str">
        <x:v>M11中用于比劫制财护身、羊刃驾杀、印化官杀与食伤泄秀等结构。</x:v>
      </x:c>
      <x:c r="E506" t="str">
        <x:v>子类代码</x:v>
      </x:c>
      <x:c r="F506" t="n">
        <x:v>90</x:v>
      </x:c>
      <x:c r="G506" t="str">
        <x:v>是</x:v>
      </x:c>
      <x:c r="H506" t="str">
        <x:v>首次用于V0.9</x:v>
      </x:c>
    </x:row>
    <x:row r="507">
      <x:c r="A507" t="str">
        <x:v>规则子类</x:v>
      </x:c>
      <x:c r="B507" t="str">
        <x:v>M11-CONFLICT</x:v>
      </x:c>
      <x:c r="C507" t="str">
        <x:v>M11｜冲突病态组合</x:v>
      </x:c>
      <x:c r="D507" t="str">
        <x:v>M11中用于伤官见官、枭神夺食、比劫夺财、财坏印、官杀混杂、制杀太过、财多身弱等。</x:v>
      </x:c>
      <x:c r="E507" t="str">
        <x:v>子类代码</x:v>
      </x:c>
      <x:c r="F507" t="n">
        <x:v>91</x:v>
      </x:c>
      <x:c r="G507" t="str">
        <x:v>是</x:v>
      </x:c>
      <x:c r="H507" t="str">
        <x:v>首次用于V0.9</x:v>
      </x:c>
    </x:row>
    <x:row r="508">
      <x:c r="A508" t="str">
        <x:v>规则子类</x:v>
      </x:c>
      <x:c r="B508" t="str">
        <x:v>M11-BOUND</x:v>
      </x:c>
      <x:c r="C508" t="str">
        <x:v>M11｜组合判断边界</x:v>
      </x:c>
      <x:c r="D508" t="str">
        <x:v>M11中用于组合命名、位置、藏干、共享节点、静动态、口诀条件化、流派治理和标准输出。</x:v>
      </x:c>
      <x:c r="E508" t="str">
        <x:v>子类代码</x:v>
      </x:c>
      <x:c r="F508" t="n">
        <x:v>92</x:v>
      </x:c>
      <x:c r="G508" t="str">
        <x:v>是</x:v>
      </x:c>
      <x:c r="H508" t="str">
        <x:v>首次用于V0.9</x:v>
      </x:c>
    </x:row>
    <x:row r="509">
      <x:c r="A509" t="str">
        <x:v>版本号</x:v>
      </x:c>
      <x:c r="B509" t="str">
        <x:v>VER14</x:v>
      </x:c>
      <x:c r="C509" t="str">
        <x:v>V1.0</x:v>
      </x:c>
      <x:c r="D509" t="str">
        <x:v>版本号的标准选项：V1.0。完成M12五行流通卡点核心规则。</x:v>
      </x:c>
      <x:c r="E509" t="str">
        <x:v>版本号</x:v>
      </x:c>
      <x:c r="F509" t="n">
        <x:v>10</x:v>
      </x:c>
      <x:c r="G509" t="str">
        <x:v>是</x:v>
      </x:c>
      <x:c r="H509" t="str">
        <x:v>五行流通卡点规则版</x:v>
      </x:c>
    </x:row>
    <x:row r="510">
      <x:c r="A510" t="str">
        <x:v>规则子类</x:v>
      </x:c>
      <x:c r="B510" t="str">
        <x:v>M12-GEN</x:v>
      </x:c>
      <x:c r="C510" t="str">
        <x:v>M12｜流通通用模型</x:v>
      </x:c>
      <x:c r="D510" t="str">
        <x:v>M12中用于起点—桥梁—终点模型、有效力量、路径长度、节点容量、主路径与局部/全局流通边界。</x:v>
      </x:c>
      <x:c r="E510" t="str">
        <x:v>子类代码</x:v>
      </x:c>
      <x:c r="F510" t="n">
        <x:v>93</x:v>
      </x:c>
      <x:c r="G510" t="str">
        <x:v>是</x:v>
      </x:c>
      <x:c r="H510" t="str">
        <x:v>首次用于V1.0</x:v>
      </x:c>
    </x:row>
    <x:row r="511">
      <x:c r="A511" t="str">
        <x:v>规则子类</x:v>
      </x:c>
      <x:c r="B511" t="str">
        <x:v>M12-SOURCE</x:v>
      </x:c>
      <x:c r="C511" t="str">
        <x:v>M12｜源头状态</x:v>
      </x:c>
      <x:c r="D511" t="str">
        <x:v>M12中用于强源无泄、弱源不足、源头受克合、多源供给与入口拥堵。</x:v>
      </x:c>
      <x:c r="E511" t="str">
        <x:v>子类代码</x:v>
      </x:c>
      <x:c r="F511" t="n">
        <x:v>94</x:v>
      </x:c>
      <x:c r="G511" t="str">
        <x:v>是</x:v>
      </x:c>
      <x:c r="H511" t="str">
        <x:v>首次用于V1.0</x:v>
      </x:c>
    </x:row>
    <x:row r="512">
      <x:c r="A512" t="str">
        <x:v>规则子类</x:v>
      </x:c>
      <x:c r="B512" t="str">
        <x:v>M12-BRIDGE</x:v>
      </x:c>
      <x:c r="C512" t="str">
        <x:v>M12｜桥梁有效性</x:v>
      </x:c>
      <x:c r="D512" t="str">
        <x:v>M12中用于桥梁强弱、受克、合绊、改性、寒凝燥枯、共享容量与通关稳定性。</x:v>
      </x:c>
      <x:c r="E512" t="str">
        <x:v>子类代码</x:v>
      </x:c>
      <x:c r="F512" t="n">
        <x:v>95</x:v>
      </x:c>
      <x:c r="G512" t="str">
        <x:v>是</x:v>
      </x:c>
      <x:c r="H512" t="str">
        <x:v>首次用于V1.0</x:v>
      </x:c>
    </x:row>
    <x:row r="513">
      <x:c r="A513" t="str">
        <x:v>规则子类</x:v>
      </x:c>
      <x:c r="B513" t="str">
        <x:v>M12-END</x:v>
      </x:c>
      <x:c r="C513" t="str">
        <x:v>M12｜终点承载</x:v>
      </x:c>
      <x:c r="D513" t="str">
        <x:v>M12中用于终点过弱、过旺反制、受克、改性、多源汇聚及阶段性终点承载。</x:v>
      </x:c>
      <x:c r="E513" t="str">
        <x:v>子类代码</x:v>
      </x:c>
      <x:c r="F513" t="n">
        <x:v>96</x:v>
      </x:c>
      <x:c r="G513" t="str">
        <x:v>是</x:v>
      </x:c>
      <x:c r="H513" t="str">
        <x:v>首次用于V1.0</x:v>
      </x:c>
    </x:row>
    <x:row r="514">
      <x:c r="A514" t="str">
        <x:v>规则子类</x:v>
      </x:c>
      <x:c r="B514" t="str">
        <x:v>M12-BLOCK</x:v>
      </x:c>
      <x:c r="C514" t="str">
        <x:v>M12｜典型卡点</x:v>
      </x:c>
      <x:c r="D514" t="str">
        <x:v>M12中用于缺桥、桥弱、桥被克合、源头无泄、终点失衡、两强相战、寒凝燥枯、链长与回流壅塞。</x:v>
      </x:c>
      <x:c r="E514" t="str">
        <x:v>子类代码</x:v>
      </x:c>
      <x:c r="F514" t="n">
        <x:v>97</x:v>
      </x:c>
      <x:c r="G514" t="str">
        <x:v>是</x:v>
      </x:c>
      <x:c r="H514" t="str">
        <x:v>首次用于V1.0</x:v>
      </x:c>
    </x:row>
    <x:row r="515">
      <x:c r="A515" t="str">
        <x:v>规则子类</x:v>
      </x:c>
      <x:c r="B515" t="str">
        <x:v>M12-WUXING</x:v>
      </x:c>
      <x:c r="C515" t="str">
        <x:v>M12｜五行生化与通关</x:v>
      </x:c>
      <x:c r="D515" t="str">
        <x:v>M12中用于五组连续生化链及五组克战通关的标准路径。</x:v>
      </x:c>
      <x:c r="E515" t="str">
        <x:v>子类代码</x:v>
      </x:c>
      <x:c r="F515" t="n">
        <x:v>98</x:v>
      </x:c>
      <x:c r="G515" t="str">
        <x:v>是</x:v>
      </x:c>
      <x:c r="H515" t="str">
        <x:v>首次用于V1.0</x:v>
      </x:c>
    </x:row>
    <x:row r="516">
      <x:c r="A516" t="str">
        <x:v>规则子类</x:v>
      </x:c>
      <x:c r="B516" t="str">
        <x:v>M12-TENGOD</x:v>
      </x:c>
      <x:c r="C516" t="str">
        <x:v>M12｜十神功能路径</x:v>
      </x:c>
      <x:c r="D516" t="str">
        <x:v>M12中用于官杀印身、身食伤财、食伤财官杀、财官印等十神连续流通路径。</x:v>
      </x:c>
      <x:c r="E516" t="str">
        <x:v>子类代码</x:v>
      </x:c>
      <x:c r="F516" t="n">
        <x:v>99</x:v>
      </x:c>
      <x:c r="G516" t="str">
        <x:v>是</x:v>
      </x:c>
      <x:c r="H516" t="str">
        <x:v>首次用于V1.0</x:v>
      </x:c>
    </x:row>
    <x:row r="517">
      <x:c r="A517" t="str">
        <x:v>规则子类</x:v>
      </x:c>
      <x:c r="B517" t="str">
        <x:v>M12-TONGGUAN</x:v>
      </x:c>
      <x:c r="C517" t="str">
        <x:v>M12｜通关候选与副作用</x:v>
      </x:c>
      <x:c r="D517" t="str">
        <x:v>M12中用于通关双向条件、力量门槛、受克合、寒湿燥热及破坏组合等副作用。</x:v>
      </x:c>
      <x:c r="E517" t="str">
        <x:v>子类代码</x:v>
      </x:c>
      <x:c r="F517" t="n">
        <x:v>100</x:v>
      </x:c>
      <x:c r="G517" t="str">
        <x:v>是</x:v>
      </x:c>
      <x:c r="H517" t="str">
        <x:v>首次用于V1.0</x:v>
      </x:c>
    </x:row>
    <x:row r="518">
      <x:c r="A518" t="str">
        <x:v>规则子类</x:v>
      </x:c>
      <x:c r="B518" t="str">
        <x:v>M12-AGG</x:v>
      </x:c>
      <x:c r="C518" t="str">
        <x:v>M12｜流通综合输出</x:v>
      </x:c>
      <x:c r="D518" t="str">
        <x:v>M12中用于主路径、主卡点、反向证据、通关排序和标准输出。</x:v>
      </x:c>
      <x:c r="E518" t="str">
        <x:v>子类代码</x:v>
      </x:c>
      <x:c r="F518" t="n">
        <x:v>101</x:v>
      </x:c>
      <x:c r="G518" t="str">
        <x:v>是</x:v>
      </x:c>
      <x:c r="H518" t="str">
        <x:v>首次用于V1.0</x:v>
      </x:c>
    </x:row>
    <x:row r="519">
      <x:c r="A519" t="str">
        <x:v>规则子类</x:v>
      </x:c>
      <x:c r="B519" t="str">
        <x:v>M12-BOUND</x:v>
      </x:c>
      <x:c r="C519" t="str">
        <x:v>M12｜流通判断边界</x:v>
      </x:c>
      <x:c r="D519" t="str">
        <x:v>M12中用于禁止缺啥补啥、旺衰与流通分离、流通与喜忌分离及静动态边界。</x:v>
      </x:c>
      <x:c r="E519" t="str">
        <x:v>子类代码</x:v>
      </x:c>
      <x:c r="F519" t="n">
        <x:v>102</x:v>
      </x:c>
      <x:c r="G519" t="str">
        <x:v>是</x:v>
      </x:c>
      <x:c r="H519" t="str">
        <x:v>首次用于V1.0</x:v>
      </x:c>
    </x:row>
    <x:row r="520">
      <x:c r="A520" t="str">
        <x:v>版本号</x:v>
      </x:c>
      <x:c r="B520" t="str">
        <x:v>VER15</x:v>
      </x:c>
      <x:c r="C520" t="str">
        <x:v>V1.1</x:v>
      </x:c>
      <x:c r="D520" t="str">
        <x:v>版本号的标准选项：V1.1。完成M13寒暖燥湿核心规则。</x:v>
      </x:c>
      <x:c r="E520" t="str">
        <x:v>版本号</x:v>
      </x:c>
      <x:c r="F520" t="n">
        <x:v>11</x:v>
      </x:c>
      <x:c r="G520" t="str">
        <x:v>是</x:v>
      </x:c>
      <x:c r="H520" t="str">
        <x:v>寒暖燥湿规则版</x:v>
      </x:c>
    </x:row>
    <x:row r="521">
      <x:c r="A521" t="str">
        <x:v>规则子类</x:v>
      </x:c>
      <x:c r="B521" t="str">
        <x:v>M13-GEN</x:v>
      </x:c>
      <x:c r="C521" t="str">
        <x:v>M13｜调候通用模型</x:v>
      </x:c>
      <x:c r="D521" t="str">
        <x:v>M13中用于寒暖/燥湿双轴、月令基准、五级状态、有效力量、调候与扶抑分离及极端优先级。</x:v>
      </x:c>
      <x:c r="E521" t="str">
        <x:v>子类代码</x:v>
      </x:c>
      <x:c r="F521" t="n">
        <x:v>103</x:v>
      </x:c>
      <x:c r="G521" t="str">
        <x:v>是</x:v>
      </x:c>
      <x:c r="H521" t="str">
        <x:v>首次用于V1.1</x:v>
      </x:c>
    </x:row>
    <x:row r="522">
      <x:c r="A522" t="str">
        <x:v>规则子类</x:v>
      </x:c>
      <x:c r="B522" t="str">
        <x:v>M13-SEASON</x:v>
      </x:c>
      <x:c r="C522" t="str">
        <x:v>M13｜月令气候基准</x:v>
      </x:c>
      <x:c r="D522" t="str">
        <x:v>M13中用于十二月令的初始温度、湿度倾向及其条件化修正。</x:v>
      </x:c>
      <x:c r="E522" t="str">
        <x:v>子类代码</x:v>
      </x:c>
      <x:c r="F522" t="n">
        <x:v>104</x:v>
      </x:c>
      <x:c r="G522" t="str">
        <x:v>是</x:v>
      </x:c>
      <x:c r="H522" t="str">
        <x:v>首次用于V1.1</x:v>
      </x:c>
    </x:row>
    <x:row r="523">
      <x:c r="A523" t="str">
        <x:v>规则子类</x:v>
      </x:c>
      <x:c r="B523" t="str">
        <x:v>M13-TEMP</x:v>
      </x:c>
      <x:c r="C523" t="str">
        <x:v>M13｜寒暖修正</x:v>
      </x:c>
      <x:c r="D523" t="str">
        <x:v>M13中用于火水木土金对温度轴的有效修正、平衡与极端功能化。</x:v>
      </x:c>
      <x:c r="E523" t="str">
        <x:v>子类代码</x:v>
      </x:c>
      <x:c r="F523" t="n">
        <x:v>105</x:v>
      </x:c>
      <x:c r="G523" t="str">
        <x:v>是</x:v>
      </x:c>
      <x:c r="H523" t="str">
        <x:v>首次用于V1.1</x:v>
      </x:c>
    </x:row>
    <x:row r="524">
      <x:c r="A524" t="str">
        <x:v>规则子类</x:v>
      </x:c>
      <x:c r="B524" t="str">
        <x:v>M13-HUMID</x:v>
      </x:c>
      <x:c r="C524" t="str">
        <x:v>M13｜燥湿修正</x:v>
      </x:c>
      <x:c r="D524" t="str">
        <x:v>M13中用于水、湿土、燥土、火、木对湿度轴的修正及极端功能化。</x:v>
      </x:c>
      <x:c r="E524" t="str">
        <x:v>子类代码</x:v>
      </x:c>
      <x:c r="F524" t="n">
        <x:v>106</x:v>
      </x:c>
      <x:c r="G524" t="str">
        <x:v>是</x:v>
      </x:c>
      <x:c r="H524" t="str">
        <x:v>首次用于V1.1</x:v>
      </x:c>
    </x:row>
    <x:row r="525">
      <x:c r="A525" t="str">
        <x:v>规则子类</x:v>
      </x:c>
      <x:c r="B525" t="str">
        <x:v>M13-COMBO</x:v>
      </x:c>
      <x:c r="C525" t="str">
        <x:v>M13｜双轴组合状态</x:v>
      </x:c>
      <x:c r="D525" t="str">
        <x:v>M13中用于寒湿、寒燥、暖湿、暖燥及温度平衡下偏湿偏燥等复合状态。</x:v>
      </x:c>
      <x:c r="E525" t="str">
        <x:v>子类代码</x:v>
      </x:c>
      <x:c r="F525" t="n">
        <x:v>107</x:v>
      </x:c>
      <x:c r="G525" t="str">
        <x:v>是</x:v>
      </x:c>
      <x:c r="H525" t="str">
        <x:v>首次用于V1.1</x:v>
      </x:c>
    </x:row>
    <x:row r="526">
      <x:c r="A526" t="str">
        <x:v>规则子类</x:v>
      </x:c>
      <x:c r="B526" t="str">
        <x:v>M13-EFFECT</x:v>
      </x:c>
      <x:c r="C526" t="str">
        <x:v>M13｜调候元素有效性</x:v>
      </x:c>
      <x:c r="D526" t="str">
        <x:v>M13中用于调候五行不现、无根、有根、受克、合绊、改性、过度和作用路径。</x:v>
      </x:c>
      <x:c r="E526" t="str">
        <x:v>子类代码</x:v>
      </x:c>
      <x:c r="F526" t="n">
        <x:v>108</x:v>
      </x:c>
      <x:c r="G526" t="str">
        <x:v>是</x:v>
      </x:c>
      <x:c r="H526" t="str">
        <x:v>首次用于V1.1</x:v>
      </x:c>
    </x:row>
    <x:row r="527">
      <x:c r="A527" t="str">
        <x:v>规则子类</x:v>
      </x:c>
      <x:c r="B527" t="str">
        <x:v>M13-CONFLICT</x:v>
      </x:c>
      <x:c r="C527" t="str">
        <x:v>M13｜调候冲突与优先级</x:v>
      </x:c>
      <x:c r="D527" t="str">
        <x:v>M13中用于调候与扶抑、格局、通关的一致、冲突、特殊格局约束及根本病升级。</x:v>
      </x:c>
      <x:c r="E527" t="str">
        <x:v>子类代码</x:v>
      </x:c>
      <x:c r="F527" t="n">
        <x:v>109</x:v>
      </x:c>
      <x:c r="G527" t="str">
        <x:v>是</x:v>
      </x:c>
      <x:c r="H527" t="str">
        <x:v>首次用于V1.1</x:v>
      </x:c>
    </x:row>
    <x:row r="528">
      <x:c r="A528" t="str">
        <x:v>规则子类</x:v>
      </x:c>
      <x:c r="B528" t="str">
        <x:v>M13-BOUND</x:v>
      </x:c>
      <x:c r="C528" t="str">
        <x:v>M13｜调候判断边界</x:v>
      </x:c>
      <x:c r="D528" t="str">
        <x:v>M13中用于冬夏非自动极端、剂量边界、土性条件化、事件隔离和标准输出。</x:v>
      </x:c>
      <x:c r="E528" t="str">
        <x:v>子类代码</x:v>
      </x:c>
      <x:c r="F528" t="n">
        <x:v>110</x:v>
      </x:c>
      <x:c r="G528" t="str">
        <x:v>是</x:v>
      </x:c>
      <x:c r="H528" t="str">
        <x:v>首次用于V1.1</x:v>
      </x:c>
    </x:row>
    <x:row r="529">
      <x:c r="A529" t="str">
        <x:v>版本号</x:v>
      </x:c>
      <x:c r="B529" t="str">
        <x:v>VER16</x:v>
      </x:c>
      <x:c r="C529" t="str">
        <x:v>V1.2</x:v>
      </x:c>
      <x:c r="D529" t="str">
        <x:v>版本号的标准选项：V1.2。完成M14格局候选判断核心规则。</x:v>
      </x:c>
      <x:c r="E529" t="str">
        <x:v>版本号</x:v>
      </x:c>
      <x:c r="F529" t="n">
        <x:v>12</x:v>
      </x:c>
      <x:c r="G529" t="str">
        <x:v>是</x:v>
      </x:c>
      <x:c r="H529" t="str">
        <x:v>格局候选判断规则版</x:v>
      </x:c>
    </x:row>
    <x:row r="530">
      <x:c r="A530" t="str">
        <x:v>规则子类</x:v>
      </x:c>
      <x:c r="B530" t="str">
        <x:v>M14-GEN</x:v>
      </x:c>
      <x:c r="C530" t="str">
        <x:v>M14｜候选通用规则</x:v>
      </x:c>
      <x:c r="D530" t="str">
        <x:v>M14中用于多候选生成、月令主气、中余气透干、格神有效性、日主配合、清纯度与组合分层。</x:v>
      </x:c>
      <x:c r="E530" t="str">
        <x:v>子类代码</x:v>
      </x:c>
      <x:c r="F530" t="n">
        <x:v>111</x:v>
      </x:c>
      <x:c r="G530" t="str">
        <x:v>是</x:v>
      </x:c>
      <x:c r="H530" t="str">
        <x:v>首次用于V1.2</x:v>
      </x:c>
    </x:row>
    <x:row r="531">
      <x:c r="A531" t="str">
        <x:v>规则子类</x:v>
      </x:c>
      <x:c r="B531" t="str">
        <x:v>M14-GUAN</x:v>
      </x:c>
      <x:c r="C531" t="str">
        <x:v>M14｜正官格候选</x:v>
      </x:c>
      <x:c r="D531" t="str">
        <x:v>M14中用于正官格的月令来源、官印财官增强、伤官破官与官杀混杂。</x:v>
      </x:c>
      <x:c r="E531" t="str">
        <x:v>子类代码</x:v>
      </x:c>
      <x:c r="F531" t="n">
        <x:v>112</x:v>
      </x:c>
      <x:c r="G531" t="str">
        <x:v>是</x:v>
      </x:c>
      <x:c r="H531" t="str">
        <x:v>首次用于V1.2</x:v>
      </x:c>
    </x:row>
    <x:row r="532">
      <x:c r="A532" t="str">
        <x:v>规则子类</x:v>
      </x:c>
      <x:c r="B532" t="str">
        <x:v>M14-SHA</x:v>
      </x:c>
      <x:c r="C532" t="str">
        <x:v>M14｜七杀格候选</x:v>
      </x:c>
      <x:c r="D532" t="str">
        <x:v>M14中用于七杀格的月令来源、食制杀印增强、杀弱否决与官杀混杂。</x:v>
      </x:c>
      <x:c r="E532" t="str">
        <x:v>子类代码</x:v>
      </x:c>
      <x:c r="F532" t="n">
        <x:v>113</x:v>
      </x:c>
      <x:c r="G532" t="str">
        <x:v>是</x:v>
      </x:c>
      <x:c r="H532" t="str">
        <x:v>首次用于V1.2</x:v>
      </x:c>
    </x:row>
    <x:row r="533">
      <x:c r="A533" t="str">
        <x:v>规则子类</x:v>
      </x:c>
      <x:c r="B533" t="str">
        <x:v>M14-YIN</x:v>
      </x:c>
      <x:c r="C533" t="str">
        <x:v>M14｜印格候选</x:v>
      </x:c>
      <x:c r="D533" t="str">
        <x:v>M14中用于正印、偏印候选、官印杀印增强、财破印与印枭混杂。</x:v>
      </x:c>
      <x:c r="E533" t="str">
        <x:v>子类代码</x:v>
      </x:c>
      <x:c r="F533" t="n">
        <x:v>114</x:v>
      </x:c>
      <x:c r="G533" t="str">
        <x:v>是</x:v>
      </x:c>
      <x:c r="H533" t="str">
        <x:v>首次用于V1.2</x:v>
      </x:c>
    </x:row>
    <x:row r="534">
      <x:c r="A534" t="str">
        <x:v>规则子类</x:v>
      </x:c>
      <x:c r="B534" t="str">
        <x:v>M14-CAI</x:v>
      </x:c>
      <x:c r="C534" t="str">
        <x:v>M14｜财格候选</x:v>
      </x:c>
      <x:c r="D534" t="str">
        <x:v>M14中用于正财、偏财候选、食伤生财、财官相生、比劫破财与身弱承载。</x:v>
      </x:c>
      <x:c r="E534" t="str">
        <x:v>子类代码</x:v>
      </x:c>
      <x:c r="F534" t="n">
        <x:v>115</x:v>
      </x:c>
      <x:c r="G534" t="str">
        <x:v>是</x:v>
      </x:c>
      <x:c r="H534" t="str">
        <x:v>首次用于V1.2</x:v>
      </x:c>
    </x:row>
    <x:row r="535">
      <x:c r="A535" t="str">
        <x:v>规则子类</x:v>
      </x:c>
      <x:c r="B535" t="str">
        <x:v>M14-SHISHANG</x:v>
      </x:c>
      <x:c r="C535" t="str">
        <x:v>M14｜食伤格候选</x:v>
      </x:c>
      <x:c r="D535" t="str">
        <x:v>M14中用于食神格、伤官格、生财、制杀、配印、枭夺食与伤官见官。</x:v>
      </x:c>
      <x:c r="E535" t="str">
        <x:v>子类代码</x:v>
      </x:c>
      <x:c r="F535" t="n">
        <x:v>116</x:v>
      </x:c>
      <x:c r="G535" t="str">
        <x:v>是</x:v>
      </x:c>
      <x:c r="H535" t="str">
        <x:v>首次用于V1.2</x:v>
      </x:c>
    </x:row>
    <x:row r="536">
      <x:c r="A536" t="str">
        <x:v>规则子类</x:v>
      </x:c>
      <x:c r="B536" t="str">
        <x:v>M14-JIANREN</x:v>
      </x:c>
      <x:c r="C536" t="str">
        <x:v>M14｜建禄羊刃候选</x:v>
      </x:c>
      <x:c r="D536" t="str">
        <x:v>M14中用于建禄、羊刃月令映射、取用方向、驾杀、壅塞及阴干羊刃争议。</x:v>
      </x:c>
      <x:c r="E536" t="str">
        <x:v>子类代码</x:v>
      </x:c>
      <x:c r="F536" t="n">
        <x:v>117</x:v>
      </x:c>
      <x:c r="G536" t="str">
        <x:v>是</x:v>
      </x:c>
      <x:c r="H536" t="str">
        <x:v>首次用于V1.2</x:v>
      </x:c>
    </x:row>
    <x:row r="537">
      <x:c r="A537" t="str">
        <x:v>规则子类</x:v>
      </x:c>
      <x:c r="B537" t="str">
        <x:v>M14-CONG</x:v>
      </x:c>
      <x:c r="C537" t="str">
        <x:v>M14｜从格候选</x:v>
      </x:c>
      <x:c r="D537" t="str">
        <x:v>M14中用于从财、从官杀、从儿、从旺、从强、从势、假从及强根否决。</x:v>
      </x:c>
      <x:c r="E537" t="str">
        <x:v>子类代码</x:v>
      </x:c>
      <x:c r="F537" t="n">
        <x:v>118</x:v>
      </x:c>
      <x:c r="G537" t="str">
        <x:v>是</x:v>
      </x:c>
      <x:c r="H537" t="str">
        <x:v>首次用于V1.2</x:v>
      </x:c>
    </x:row>
    <x:row r="538">
      <x:c r="A538" t="str">
        <x:v>规则子类</x:v>
      </x:c>
      <x:c r="B538" t="str">
        <x:v>M14-HUAQI</x:v>
      </x:c>
      <x:c r="C538" t="str">
        <x:v>M14｜化气格候选</x:v>
      </x:c>
      <x:c r="D538" t="str">
        <x:v>M14中用于化气通用硬门槛及甲己、乙庚、丙辛、丁壬、戊癸五组化气候选。</x:v>
      </x:c>
      <x:c r="E538" t="str">
        <x:v>子类代码</x:v>
      </x:c>
      <x:c r="F538" t="n">
        <x:v>119</x:v>
      </x:c>
      <x:c r="G538" t="str">
        <x:v>是</x:v>
      </x:c>
      <x:c r="H538" t="str">
        <x:v>首次用于V1.2</x:v>
      </x:c>
    </x:row>
    <x:row r="539">
      <x:c r="A539" t="str">
        <x:v>规则子类</x:v>
      </x:c>
      <x:c r="B539" t="str">
        <x:v>M14-ZHUAN</x:v>
      </x:c>
      <x:c r="C539" t="str">
        <x:v>M14｜专旺候选</x:v>
      </x:c>
      <x:c r="D539" t="str">
        <x:v>M14中用于专旺通用门槛及曲直、炎上、稼穑、从革、润下五类候选。</x:v>
      </x:c>
      <x:c r="E539" t="str">
        <x:v>子类代码</x:v>
      </x:c>
      <x:c r="F539" t="n">
        <x:v>120</x:v>
      </x:c>
      <x:c r="G539" t="str">
        <x:v>是</x:v>
      </x:c>
      <x:c r="H539" t="str">
        <x:v>首次用于V1.2</x:v>
      </x:c>
    </x:row>
    <x:row r="540">
      <x:c r="A540" t="str">
        <x:v>规则子类</x:v>
      </x:c>
      <x:c r="B540" t="str">
        <x:v>M14-RANK</x:v>
      </x:c>
      <x:c r="C540" t="str">
        <x:v>M14｜候选排序</x:v>
      </x:c>
      <x:c r="D540" t="str">
        <x:v>M14中用于月令优先、特殊格严格、有效性优先、全局主导、并列保留与标准候选输出。</x:v>
      </x:c>
      <x:c r="E540" t="str">
        <x:v>子类代码</x:v>
      </x:c>
      <x:c r="F540" t="n">
        <x:v>121</x:v>
      </x:c>
      <x:c r="G540" t="str">
        <x:v>是</x:v>
      </x:c>
      <x:c r="H540" t="str">
        <x:v>首次用于V1.2</x:v>
      </x:c>
    </x:row>
    <x:row r="541">
      <x:c r="A541" t="str">
        <x:v>规则子类</x:v>
      </x:c>
      <x:c r="B541" t="str">
        <x:v>M14-BOUND</x:v>
      </x:c>
      <x:c r="C541" t="str">
        <x:v>M14｜格局候选边界</x:v>
      </x:c>
      <x:c r="D541" t="str">
        <x:v>M14中用于候选与成格分离、禁止月令一字定格、事件隔离与静动态分离。</x:v>
      </x:c>
      <x:c r="E541" t="str">
        <x:v>子类代码</x:v>
      </x:c>
      <x:c r="F541" t="n">
        <x:v>122</x:v>
      </x:c>
      <x:c r="G541" t="str">
        <x:v>是</x:v>
      </x:c>
      <x:c r="H541" t="str">
        <x:v>首次用于V1.2</x:v>
      </x:c>
    </x:row>
    <x:row r="542">
      <x:c r="A542" t="str">
        <x:v>版本号</x:v>
      </x:c>
      <x:c r="B542" t="str">
        <x:v>VER17</x:v>
      </x:c>
      <x:c r="C542" t="str">
        <x:v>V1.3</x:v>
      </x:c>
      <x:c r="D542" t="str">
        <x:v>版本号的标准选项：V1.3。完成M15格局成败救应核心规则。</x:v>
      </x:c>
      <x:c r="E542" t="str">
        <x:v>版本号</x:v>
      </x:c>
      <x:c r="F542" t="n">
        <x:v>13</x:v>
      </x:c>
      <x:c r="G542" t="str">
        <x:v>是</x:v>
      </x:c>
      <x:c r="H542" t="str">
        <x:v>格局成败救应规则版</x:v>
      </x:c>
    </x:row>
    <x:row r="543">
      <x:c r="A543" t="str">
        <x:v>规则子类</x:v>
      </x:c>
      <x:c r="B543" t="str">
        <x:v>M15-GEN</x:v>
      </x:c>
      <x:c r="C543" t="str">
        <x:v>M15｜成败通用规则</x:v>
      </x:c>
      <x:c r="D543" t="str">
        <x:v>M15中用于基本成立、清纯成立、轻微/一般/严重/根本破格、多重破格、救应与层次分离。</x:v>
      </x:c>
      <x:c r="E543" t="str">
        <x:v>子类代码</x:v>
      </x:c>
      <x:c r="F543" t="n">
        <x:v>123</x:v>
      </x:c>
      <x:c r="G543" t="str">
        <x:v>是</x:v>
      </x:c>
      <x:c r="H543" t="str">
        <x:v>首次用于V1.3</x:v>
      </x:c>
    </x:row>
    <x:row r="544">
      <x:c r="A544" t="str">
        <x:v>规则子类</x:v>
      </x:c>
      <x:c r="B544" t="str">
        <x:v>M15-GUAN</x:v>
      </x:c>
      <x:c r="C544" t="str">
        <x:v>M15｜正官格成败</x:v>
      </x:c>
      <x:c r="D544" t="str">
        <x:v>M15中用于正官格成格、官印财官增强、伤官破官、官杀混杂及清化救应。</x:v>
      </x:c>
      <x:c r="E544" t="str">
        <x:v>子类代码</x:v>
      </x:c>
      <x:c r="F544" t="n">
        <x:v>124</x:v>
      </x:c>
      <x:c r="G544" t="str">
        <x:v>是</x:v>
      </x:c>
      <x:c r="H544" t="str">
        <x:v>首次用于V1.3</x:v>
      </x:c>
    </x:row>
    <x:row r="545">
      <x:c r="A545" t="str">
        <x:v>规则子类</x:v>
      </x:c>
      <x:c r="B545" t="str">
        <x:v>M15-SHA</x:v>
      </x:c>
      <x:c r="C545" t="str">
        <x:v>M15｜七杀格成败</x:v>
      </x:c>
      <x:c r="D545" t="str">
        <x:v>M15中用于七杀格承载、食神制杀、杀印相生、无制无化、制杀太过、枭夺食及救应。</x:v>
      </x:c>
      <x:c r="E545" t="str">
        <x:v>子类代码</x:v>
      </x:c>
      <x:c r="F545" t="n">
        <x:v>125</x:v>
      </x:c>
      <x:c r="G545" t="str">
        <x:v>是</x:v>
      </x:c>
      <x:c r="H545" t="str">
        <x:v>首次用于V1.3</x:v>
      </x:c>
    </x:row>
    <x:row r="546">
      <x:c r="A546" t="str">
        <x:v>规则子类</x:v>
      </x:c>
      <x:c r="B546" t="str">
        <x:v>M15-YIN</x:v>
      </x:c>
      <x:c r="C546" t="str">
        <x:v>M15｜印格成败</x:v>
      </x:c>
      <x:c r="D546" t="str">
        <x:v>M15中用于正偏印格、官印杀印、财坏印、印多身滞、枭夺食、印枭混杂及护印救应。</x:v>
      </x:c>
      <x:c r="E546" t="str">
        <x:v>子类代码</x:v>
      </x:c>
      <x:c r="F546" t="n">
        <x:v>126</x:v>
      </x:c>
      <x:c r="G546" t="str">
        <x:v>是</x:v>
      </x:c>
      <x:c r="H546" t="str">
        <x:v>首次用于V1.3</x:v>
      </x:c>
    </x:row>
    <x:row r="547">
      <x:c r="A547" t="str">
        <x:v>规则子类</x:v>
      </x:c>
      <x:c r="B547" t="str">
        <x:v>M15-CAI</x:v>
      </x:c>
      <x:c r="C547" t="str">
        <x:v>M15｜财格成败</x:v>
      </x:c>
      <x:c r="D547" t="str">
        <x:v>M15中用于财格承载、食伤生财、财官相生、身弱不任、比劫夺财、财坏印及护财救应。</x:v>
      </x:c>
      <x:c r="E547" t="str">
        <x:v>子类代码</x:v>
      </x:c>
      <x:c r="F547" t="n">
        <x:v>127</x:v>
      </x:c>
      <x:c r="G547" t="str">
        <x:v>是</x:v>
      </x:c>
      <x:c r="H547" t="str">
        <x:v>首次用于V1.3</x:v>
      </x:c>
    </x:row>
    <x:row r="548">
      <x:c r="A548" t="str">
        <x:v>规则子类</x:v>
      </x:c>
      <x:c r="B548" t="str">
        <x:v>M15-SHISHANG</x:v>
      </x:c>
      <x:c r="C548" t="str">
        <x:v>M15｜食伤格成败</x:v>
      </x:c>
      <x:c r="D548" t="str">
        <x:v>M15中用于食神格、伤官格、生财、制杀、配印、枭夺食、伤官见官及对应救应。</x:v>
      </x:c>
      <x:c r="E548" t="str">
        <x:v>子类代码</x:v>
      </x:c>
      <x:c r="F548" t="n">
        <x:v>128</x:v>
      </x:c>
      <x:c r="G548" t="str">
        <x:v>是</x:v>
      </x:c>
      <x:c r="H548" t="str">
        <x:v>首次用于V1.3</x:v>
      </x:c>
    </x:row>
    <x:row r="549">
      <x:c r="A549" t="str">
        <x:v>规则子类</x:v>
      </x:c>
      <x:c r="B549" t="str">
        <x:v>M15-JIANREN</x:v>
      </x:c>
      <x:c r="C549" t="str">
        <x:v>M15｜建禄羊刃成败</x:v>
      </x:c>
      <x:c r="D549" t="str">
        <x:v>M15中用于建禄与羊刃的成格、泄秀、制衡、驾杀、壅塞、杀弱与制刃太过。</x:v>
      </x:c>
      <x:c r="E549" t="str">
        <x:v>子类代码</x:v>
      </x:c>
      <x:c r="F549" t="n">
        <x:v>129</x:v>
      </x:c>
      <x:c r="G549" t="str">
        <x:v>是</x:v>
      </x:c>
      <x:c r="H549" t="str">
        <x:v>首次用于V1.3</x:v>
      </x:c>
    </x:row>
    <x:row r="550">
      <x:c r="A550" t="str">
        <x:v>规则子类</x:v>
      </x:c>
      <x:c r="B550" t="str">
        <x:v>M15-CONG</x:v>
      </x:c>
      <x:c r="C550" t="str">
        <x:v>M15｜从格成败</x:v>
      </x:c>
      <x:c r="D550" t="str">
        <x:v>M15中用于真从、从财、从官杀、从儿、从旺、从强、从势、假从及有效逆神破格。</x:v>
      </x:c>
      <x:c r="E550" t="str">
        <x:v>子类代码</x:v>
      </x:c>
      <x:c r="F550" t="n">
        <x:v>130</x:v>
      </x:c>
      <x:c r="G550" t="str">
        <x:v>是</x:v>
      </x:c>
      <x:c r="H550" t="str">
        <x:v>首次用于V1.3</x:v>
      </x:c>
    </x:row>
    <x:row r="551">
      <x:c r="A551" t="str">
        <x:v>规则子类</x:v>
      </x:c>
      <x:c r="B551" t="str">
        <x:v>M15-HUAQI</x:v>
      </x:c>
      <x:c r="C551" t="str">
        <x:v>M15｜化气格成败</x:v>
      </x:c>
      <x:c r="D551" t="str">
        <x:v>M15中用于真化、化神有权、原气强根、争合破化、化神受损、假化与救化。</x:v>
      </x:c>
      <x:c r="E551" t="str">
        <x:v>子类代码</x:v>
      </x:c>
      <x:c r="F551" t="n">
        <x:v>131</x:v>
      </x:c>
      <x:c r="G551" t="str">
        <x:v>是</x:v>
      </x:c>
      <x:c r="H551" t="str">
        <x:v>首次用于V1.3</x:v>
      </x:c>
    </x:row>
    <x:row r="552">
      <x:c r="A552" t="str">
        <x:v>规则子类</x:v>
      </x:c>
      <x:c r="B552" t="str">
        <x:v>M15-ZHUAN</x:v>
      </x:c>
      <x:c r="C552" t="str">
        <x:v>M15｜专旺格成败</x:v>
      </x:c>
      <x:c r="D552" t="str">
        <x:v>M15中用于专旺、曲直、炎上、稼穑、从革、润下严格成立及逆克与关键杂气破格。</x:v>
      </x:c>
      <x:c r="E552" t="str">
        <x:v>子类代码</x:v>
      </x:c>
      <x:c r="F552" t="n">
        <x:v>132</x:v>
      </x:c>
      <x:c r="G552" t="str">
        <x:v>是</x:v>
      </x:c>
      <x:c r="H552" t="str">
        <x:v>首次用于V1.3</x:v>
      </x:c>
    </x:row>
    <x:row r="553">
      <x:c r="A553" t="str">
        <x:v>规则子类</x:v>
      </x:c>
      <x:c r="B553" t="str">
        <x:v>M15-RESCUE</x:v>
      </x:c>
      <x:c r="C553" t="str">
        <x:v>M15｜救应有效性</x:v>
      </x:c>
      <x:c r="D553" t="str">
        <x:v>M15中用于无救应、弱/部分/明显/完全救应、副作用、容量、协同、对象限定与事实保留。</x:v>
      </x:c>
      <x:c r="E553" t="str">
        <x:v>子类代码</x:v>
      </x:c>
      <x:c r="F553" t="n">
        <x:v>133</x:v>
      </x:c>
      <x:c r="G553" t="str">
        <x:v>是</x:v>
      </x:c>
      <x:c r="H553" t="str">
        <x:v>首次用于V1.3</x:v>
      </x:c>
    </x:row>
    <x:row r="554">
      <x:c r="A554" t="str">
        <x:v>规则子类</x:v>
      </x:c>
      <x:c r="B554" t="str">
        <x:v>M15-BOUND</x:v>
      </x:c>
      <x:c r="C554" t="str">
        <x:v>M15｜格局成败边界</x:v>
      </x:c>
      <x:c r="D554" t="str">
        <x:v>M15中用于成立与层次分离、有破非自动否决、事件隔离及原局/岁运分离。</x:v>
      </x:c>
      <x:c r="E554" t="str">
        <x:v>子类代码</x:v>
      </x:c>
      <x:c r="F554" t="n">
        <x:v>134</x:v>
      </x:c>
      <x:c r="G554" t="str">
        <x:v>是</x:v>
      </x:c>
      <x:c r="H554" t="str">
        <x:v>首次用于V1.3</x:v>
      </x:c>
    </x:row>
    <x:row r="555">
      <x:c r="A555" t="str">
        <x:v>版本号</x:v>
      </x:c>
      <x:c r="B555" t="str">
        <x:v>VER18</x:v>
      </x:c>
      <x:c r="C555" t="str">
        <x:v>V1.4</x:v>
      </x:c>
      <x:c r="D555" t="str">
        <x:v>版本号的标准选项：V1.4。完成M16病药模型核心规则。</x:v>
      </x:c>
      <x:c r="E555" t="str">
        <x:v>版本号</x:v>
      </x:c>
      <x:c r="F555" t="n">
        <x:v>14</x:v>
      </x:c>
      <x:c r="G555" t="str">
        <x:v>是</x:v>
      </x:c>
      <x:c r="H555" t="str">
        <x:v>病药模型规则版</x:v>
      </x:c>
    </x:row>
    <x:row r="556">
      <x:c r="A556" t="str">
        <x:v>规则子类</x:v>
      </x:c>
      <x:c r="B556" t="str">
        <x:v>M16-GEN</x:v>
      </x:c>
      <x:c r="C556" t="str">
        <x:v>M16｜病药通用逻辑</x:v>
      </x:c>
      <x:c r="D556" t="str">
        <x:v>M16中用于根本病、功能障碍立病、旺弱缺失边界、同象异因、病药相对性与标准证据链。</x:v>
      </x:c>
      <x:c r="E556" t="str">
        <x:v>子类代码</x:v>
      </x:c>
      <x:c r="F556" t="n">
        <x:v>135</x:v>
      </x:c>
      <x:c r="G556" t="str">
        <x:v>是</x:v>
      </x:c>
      <x:c r="H556" t="str">
        <x:v>首次用于V1.4</x:v>
      </x:c>
    </x:row>
    <x:row r="557">
      <x:c r="A557" t="str">
        <x:v>规则子类</x:v>
      </x:c>
      <x:c r="B557" t="str">
        <x:v>M16-WEAK</x:v>
      </x:c>
      <x:c r="C557" t="str">
        <x:v>M16｜偏弱与承载不足</x:v>
      </x:c>
      <x:c r="D557" t="str">
        <x:v>M16中用于身弱无根、根损、食伤过泄、财多身弱、官杀超承载、关键桥梁/十神偏弱及真从例外。</x:v>
      </x:c>
      <x:c r="E557" t="str">
        <x:v>子类代码</x:v>
      </x:c>
      <x:c r="F557" t="n">
        <x:v>136</x:v>
      </x:c>
      <x:c r="G557" t="str">
        <x:v>是</x:v>
      </x:c>
      <x:c r="H557" t="str">
        <x:v>首次用于V1.4</x:v>
      </x:c>
    </x:row>
    <x:row r="558">
      <x:c r="A558" t="str">
        <x:v>规则子类</x:v>
      </x:c>
      <x:c r="B558" t="str">
        <x:v>M16-STRONG</x:v>
      </x:c>
      <x:c r="C558" t="str">
        <x:v>M16｜过旺与壅塞</x:v>
      </x:c>
      <x:c r="D558" t="str">
        <x:v>M16中用于比劫旺无出口、印多身滞、极旺源头无泄、功能过度、旺而有用、特殊旺势及药理择路。</x:v>
      </x:c>
      <x:c r="E558" t="str">
        <x:v>子类代码</x:v>
      </x:c>
      <x:c r="F558" t="n">
        <x:v>137</x:v>
      </x:c>
      <x:c r="G558" t="str">
        <x:v>是</x:v>
      </x:c>
      <x:c r="H558" t="str">
        <x:v>首次用于V1.4</x:v>
      </x:c>
    </x:row>
    <x:row r="559">
      <x:c r="A559" t="str">
        <x:v>规则子类</x:v>
      </x:c>
      <x:c r="B559" t="str">
        <x:v>M16-FLOW</x:v>
      </x:c>
      <x:c r="C559" t="str">
        <x:v>M16｜流通病</x:v>
      </x:c>
      <x:c r="D559" t="str">
        <x:v>M16中用于缺桥、桥弱、桥被克合、源头壅塞、终点失衡、两强相战、链长、回流、寒凝燥枯与容量竞争。</x:v>
      </x:c>
      <x:c r="E559" t="str">
        <x:v>子类代码</x:v>
      </x:c>
      <x:c r="F559" t="n">
        <x:v>138</x:v>
      </x:c>
      <x:c r="G559" t="str">
        <x:v>是</x:v>
      </x:c>
      <x:c r="H559" t="str">
        <x:v>首次用于V1.4</x:v>
      </x:c>
    </x:row>
    <x:row r="560">
      <x:c r="A560" t="str">
        <x:v>规则子类</x:v>
      </x:c>
      <x:c r="B560" t="str">
        <x:v>M16-CONTROL</x:v>
      </x:c>
      <x:c r="C560" t="str">
        <x:v>M16｜制化病</x:v>
      </x:c>
      <x:c r="D560" t="str">
        <x:v>M16中用于杀无制化、制杀不及/太过、化杀不及、伤官见官、枭夺食、财坏印、比劫夺财、混杂与羊刃制化。</x:v>
      </x:c>
      <x:c r="E560" t="str">
        <x:v>子类代码</x:v>
      </x:c>
      <x:c r="F560" t="n">
        <x:v>139</x:v>
      </x:c>
      <x:c r="G560" t="str">
        <x:v>是</x:v>
      </x:c>
      <x:c r="H560" t="str">
        <x:v>首次用于V1.4</x:v>
      </x:c>
    </x:row>
    <x:row r="561">
      <x:c r="A561" t="str">
        <x:v>规则子类</x:v>
      </x:c>
      <x:c r="B561" t="str">
        <x:v>M16-PATTERN</x:v>
      </x:c>
      <x:c r="C561" t="str">
        <x:v>M16｜格局病</x:v>
      </x:c>
      <x:c r="D561" t="str">
        <x:v>M16中用于格神受损/失效、格神混杂、配合神无力、忌神破格、救应不足/过度、从化专旺破格及建禄壅塞。</x:v>
      </x:c>
      <x:c r="E561" t="str">
        <x:v>子类代码</x:v>
      </x:c>
      <x:c r="F561" t="n">
        <x:v>140</x:v>
      </x:c>
      <x:c r="G561" t="str">
        <x:v>是</x:v>
      </x:c>
      <x:c r="H561" t="str">
        <x:v>首次用于V1.4</x:v>
      </x:c>
    </x:row>
    <x:row r="562">
      <x:c r="A562" t="str">
        <x:v>规则子类</x:v>
      </x:c>
      <x:c r="B562" t="str">
        <x:v>M16-CLIMATE</x:v>
      </x:c>
      <x:c r="C562" t="str">
        <x:v>M16｜调候病</x:v>
      </x:c>
      <x:c r="D562" t="str">
        <x:v>M16中用于极寒、寒湿、寒燥、极热、暖燥、暖湿、极湿、极燥、调候有形无力与双轴平衡边界。</x:v>
      </x:c>
      <x:c r="E562" t="str">
        <x:v>子类代码</x:v>
      </x:c>
      <x:c r="F562" t="n">
        <x:v>141</x:v>
      </x:c>
      <x:c r="G562" t="str">
        <x:v>是</x:v>
      </x:c>
      <x:c r="H562" t="str">
        <x:v>首次用于V1.4</x:v>
      </x:c>
    </x:row>
    <x:row r="563">
      <x:c r="A563" t="str">
        <x:v>规则子类</x:v>
      </x:c>
      <x:c r="B563" t="str">
        <x:v>M16-MED</x:v>
      </x:c>
      <x:c r="C563" t="str">
        <x:v>M16｜药神选择机制</x:v>
      </x:c>
      <x:c r="D563" t="str">
        <x:v>M16中用于根因择药、一药多效、主辅配伍、药神有效性、路径直接性、制杀择路、用药顺序与M17接口。</x:v>
      </x:c>
      <x:c r="E563" t="str">
        <x:v>子类代码</x:v>
      </x:c>
      <x:c r="F563" t="n">
        <x:v>142</x:v>
      </x:c>
      <x:c r="G563" t="str">
        <x:v>是</x:v>
      </x:c>
      <x:c r="H563" t="str">
        <x:v>首次用于V1.4</x:v>
      </x:c>
    </x:row>
    <x:row r="564">
      <x:c r="A564" t="str">
        <x:v>规则子类</x:v>
      </x:c>
      <x:c r="B564" t="str">
        <x:v>M16-DOSE</x:v>
      </x:c>
      <x:c r="C564" t="str">
        <x:v>M16｜药力与新病</x:v>
      </x:c>
      <x:c r="D564" t="str">
        <x:v>M16中用于药神无根、受克合、药力不足、药过成病、药伤格、通关/调候冲突、多药竞争与桥梁过载。</x:v>
      </x:c>
      <x:c r="E564" t="str">
        <x:v>子类代码</x:v>
      </x:c>
      <x:c r="F564" t="n">
        <x:v>143</x:v>
      </x:c>
      <x:c r="G564" t="str">
        <x:v>是</x:v>
      </x:c>
      <x:c r="H564" t="str">
        <x:v>首次用于V1.4</x:v>
      </x:c>
    </x:row>
    <x:row r="565">
      <x:c r="A565" t="str">
        <x:v>规则子类</x:v>
      </x:c>
      <x:c r="B565" t="str">
        <x:v>M16-RANK</x:v>
      </x:c>
      <x:c r="C565" t="str">
        <x:v>M16｜病位主次排序</x:v>
      </x:c>
      <x:c r="D565" t="str">
        <x:v>M16中用于共同根因、严重度、特殊格局硬约束、表层病降级、主次输出和争议降置信。</x:v>
      </x:c>
      <x:c r="E565" t="str">
        <x:v>子类代码</x:v>
      </x:c>
      <x:c r="F565" t="n">
        <x:v>144</x:v>
      </x:c>
      <x:c r="G565" t="str">
        <x:v>是</x:v>
      </x:c>
      <x:c r="H565" t="str">
        <x:v>首次用于V1.4</x:v>
      </x:c>
    </x:row>
    <x:row r="566">
      <x:c r="A566" t="str">
        <x:v>规则子类</x:v>
      </x:c>
      <x:c r="B566" t="str">
        <x:v>M16-COMPOSITE</x:v>
      </x:c>
      <x:c r="C566" t="str">
        <x:v>M16｜复合病</x:v>
      </x:c>
      <x:c r="D566" t="str">
        <x:v>M16中用于旺衰流通、制化格局、调候流通同源及多病多药冲突。</x:v>
      </x:c>
      <x:c r="E566" t="str">
        <x:v>子类代码</x:v>
      </x:c>
      <x:c r="F566" t="n">
        <x:v>145</x:v>
      </x:c>
      <x:c r="G566" t="str">
        <x:v>是</x:v>
      </x:c>
      <x:c r="H566" t="str">
        <x:v>首次用于V1.4</x:v>
      </x:c>
    </x:row>
    <x:row r="567">
      <x:c r="A567" t="str">
        <x:v>规则子类</x:v>
      </x:c>
      <x:c r="B567" t="str">
        <x:v>M16-BOUND</x:v>
      </x:c>
      <x:c r="C567" t="str">
        <x:v>M16｜病药判断边界</x:v>
      </x:c>
      <x:c r="D567" t="str">
        <x:v>M16中用于医学边界、原局/岁运分离、非机械计分和标准输出。</x:v>
      </x:c>
      <x:c r="E567" t="str">
        <x:v>子类代码</x:v>
      </x:c>
      <x:c r="F567" t="n">
        <x:v>146</x:v>
      </x:c>
      <x:c r="G567" t="str">
        <x:v>是</x:v>
      </x:c>
      <x:c r="H567" t="str">
        <x:v>首次用于V1.4</x:v>
      </x:c>
    </x:row>
    <x:row r="568">
      <x:c r="A568" t="str">
        <x:v>版本号</x:v>
      </x:c>
      <x:c r="B568" t="str">
        <x:v>VER19</x:v>
      </x:c>
      <x:c r="C568" t="str">
        <x:v>V1.5</x:v>
      </x:c>
      <x:c r="D568" t="str">
        <x:v>版本号的标准选项：V1.5。完成M17喜忌用神矩阵核心规则。</x:v>
      </x:c>
      <x:c r="E568" t="str">
        <x:v>版本号</x:v>
      </x:c>
      <x:c r="F568" t="n">
        <x:v>15</x:v>
      </x:c>
      <x:c r="G568" t="str">
        <x:v>是</x:v>
      </x:c>
      <x:c r="H568" t="str">
        <x:v>喜忌用神矩阵规则版</x:v>
      </x:c>
    </x:row>
    <x:row r="569">
      <x:c r="A569" t="str">
        <x:v>规则子类</x:v>
      </x:c>
      <x:c r="B569" t="str">
        <x:v>M17-GEN</x:v>
      </x:c>
      <x:c r="C569" t="str">
        <x:v>M17｜用神矩阵通用规则</x:v>
      </x:c>
      <x:c r="D569" t="str">
        <x:v>M17中用于五维矩阵、单维候选、多维同向、特殊格局硬约束、伤格降级、中性、待定及非机械计分。</x:v>
      </x:c>
      <x:c r="E569" t="str">
        <x:v>子类代码</x:v>
      </x:c>
      <x:c r="F569" t="n">
        <x:v>147</x:v>
      </x:c>
      <x:c r="G569" t="str">
        <x:v>是</x:v>
      </x:c>
      <x:c r="H569" t="str">
        <x:v>首次用于V1.5</x:v>
      </x:c>
    </x:row>
    <x:row r="570">
      <x:c r="A570" t="str">
        <x:v>规则子类</x:v>
      </x:c>
      <x:c r="B570" t="str">
        <x:v>M17-FUYI</x:v>
      </x:c>
      <x:c r="C570" t="str">
        <x:v>M17｜扶抑用神</x:v>
      </x:c>
      <x:c r="D570" t="str">
        <x:v>M17中用于印比扶身、食伤泄秀、财星耗身、官杀制衡、身弱负荷端及中和降权。</x:v>
      </x:c>
      <x:c r="E570" t="str">
        <x:v>子类代码</x:v>
      </x:c>
      <x:c r="F570" t="n">
        <x:v>148</x:v>
      </x:c>
      <x:c r="G570" t="str">
        <x:v>是</x:v>
      </x:c>
      <x:c r="H570" t="str">
        <x:v>首次用于V1.5</x:v>
      </x:c>
    </x:row>
    <x:row r="571">
      <x:c r="A571" t="str">
        <x:v>规则子类</x:v>
      </x:c>
      <x:c r="B571" t="str">
        <x:v>M17-GEJU</x:v>
      </x:c>
      <x:c r="C571" t="str">
        <x:v>M17｜格局用神</x:v>
      </x:c>
      <x:c r="D571" t="str">
        <x:v>M17中用于正官、七杀、印、财、食伤、建禄羊刃、从格、化气、专旺和救格方向。</x:v>
      </x:c>
      <x:c r="E571" t="str">
        <x:v>子类代码</x:v>
      </x:c>
      <x:c r="F571" t="n">
        <x:v>149</x:v>
      </x:c>
      <x:c r="G571" t="str">
        <x:v>是</x:v>
      </x:c>
      <x:c r="H571" t="str">
        <x:v>首次用于V1.5</x:v>
      </x:c>
    </x:row>
    <x:row r="572">
      <x:c r="A572" t="str">
        <x:v>规则子类</x:v>
      </x:c>
      <x:c r="B572" t="str">
        <x:v>M17-TONGGUAN</x:v>
      </x:c>
      <x:c r="C572" t="str">
        <x:v>M17｜通关用神</x:v>
      </x:c>
      <x:c r="D572" t="str">
        <x:v>M17中用于五组克战通关、通关升级、药力不足、伤格、恶化调候及非两强不通关。</x:v>
      </x:c>
      <x:c r="E572" t="str">
        <x:v>子类代码</x:v>
      </x:c>
      <x:c r="F572" t="n">
        <x:v>150</x:v>
      </x:c>
      <x:c r="G572" t="str">
        <x:v>是</x:v>
      </x:c>
      <x:c r="H572" t="str">
        <x:v>首次用于V1.5</x:v>
      </x:c>
    </x:row>
    <x:row r="573">
      <x:c r="A573" t="str">
        <x:v>规则子类</x:v>
      </x:c>
      <x:c r="B573" t="str">
        <x:v>M17-TIAOHOU</x:v>
      </x:c>
      <x:c r="C573" t="str">
        <x:v>M17｜调候用神</x:v>
      </x:c>
      <x:c r="D573" t="str">
        <x:v>M17中用于火暖寒湿、水降热润燥、木疏湿助火、金生水、土承湿、寒燥主辅及调候平衡退出。</x:v>
      </x:c>
      <x:c r="E573" t="str">
        <x:v>子类代码</x:v>
      </x:c>
      <x:c r="F573" t="n">
        <x:v>151</x:v>
      </x:c>
      <x:c r="G573" t="str">
        <x:v>是</x:v>
      </x:c>
      <x:c r="H573" t="str">
        <x:v>首次用于V1.5</x:v>
      </x:c>
    </x:row>
    <x:row r="574">
      <x:c r="A574" t="str">
        <x:v>规则子类</x:v>
      </x:c>
      <x:c r="B574" t="str">
        <x:v>M17-BINGYAO</x:v>
      </x:c>
      <x:c r="C574" t="str">
        <x:v>M17｜病药用神</x:v>
      </x:c>
      <x:c r="D574" t="str">
        <x:v>M17中用于根本病主药、辅助药、药神有效性、一药多效、次病药、药量边界、药伤格及相反药候选。</x:v>
      </x:c>
      <x:c r="E574" t="str">
        <x:v>子类代码</x:v>
      </x:c>
      <x:c r="F574" t="n">
        <x:v>152</x:v>
      </x:c>
      <x:c r="G574" t="str">
        <x:v>是</x:v>
      </x:c>
      <x:c r="H574" t="str">
        <x:v>首次用于V1.5</x:v>
      </x:c>
    </x:row>
    <x:row r="575">
      <x:c r="A575" t="str">
        <x:v>规则子类</x:v>
      </x:c>
      <x:c r="B575" t="str">
        <x:v>M17-WUXING</x:v>
      </x:c>
      <x:c r="C575" t="str">
        <x:v>M17｜五行综合画像</x:v>
      </x:c>
      <x:c r="D575" t="str">
        <x:v>M17中用于木火土金水各自的正向机制、通关角色、过旺转忌和弱而非关键不自动为喜。</x:v>
      </x:c>
      <x:c r="E575" t="str">
        <x:v>子类代码</x:v>
      </x:c>
      <x:c r="F575" t="n">
        <x:v>153</x:v>
      </x:c>
      <x:c r="G575" t="str">
        <x:v>是</x:v>
      </x:c>
      <x:c r="H575" t="str">
        <x:v>首次用于V1.5</x:v>
      </x:c>
    </x:row>
    <x:row r="576">
      <x:c r="A576" t="str">
        <x:v>规则子类</x:v>
      </x:c>
      <x:c r="B576" t="str">
        <x:v>M17-RANK</x:v>
      </x:c>
      <x:c r="C576" t="str">
        <x:v>M17｜喜忌定位等级</x:v>
      </x:c>
      <x:c r="D576" t="str">
        <x:v>M17中用于主用、辅助、喜神、条件性喜神、中性、条件性忌神、忌神和仇神的统一定义。</x:v>
      </x:c>
      <x:c r="E576" t="str">
        <x:v>子类代码</x:v>
      </x:c>
      <x:c r="F576" t="n">
        <x:v>154</x:v>
      </x:c>
      <x:c r="G576" t="str">
        <x:v>是</x:v>
      </x:c>
      <x:c r="H576" t="str">
        <x:v>首次用于V1.5</x:v>
      </x:c>
    </x:row>
    <x:row r="577">
      <x:c r="A577" t="str">
        <x:v>规则子类</x:v>
      </x:c>
      <x:c r="B577" t="str">
        <x:v>M17-BOUND</x:v>
      </x:c>
      <x:c r="C577" t="str">
        <x:v>M17｜用神判断边界</x:v>
      </x:c>
      <x:c r="D577" t="str">
        <x:v>M17中用于旺衰/缺失与喜忌分离、五行十神映射、一行多效、应用边界、静动态、事件隔离及标准输出。</x:v>
      </x:c>
      <x:c r="E577" t="str">
        <x:v>子类代码</x:v>
      </x:c>
      <x:c r="F577" t="n">
        <x:v>155</x:v>
      </x:c>
      <x:c r="G577" t="str">
        <x:v>是</x:v>
      </x:c>
      <x:c r="H577" t="str">
        <x:v>首次用于V1.5</x:v>
      </x:c>
    </x:row>
    <x:row r="578">
      <x:c r="A578" t="str">
        <x:v>版本号</x:v>
      </x:c>
      <x:c r="B578" t="str">
        <x:v>VER20</x:v>
      </x:c>
      <x:c r="C578" t="str">
        <x:v>V1.6</x:v>
      </x:c>
      <x:c r="D578" t="str">
        <x:v>版本号的标准选项：V1.6。完成M18冲突裁决核心规则。</x:v>
      </x:c>
      <x:c r="E578" t="str">
        <x:v>版本号</x:v>
      </x:c>
      <x:c r="F578" t="n">
        <x:v>16</x:v>
      </x:c>
      <x:c r="G578" t="str">
        <x:v>是</x:v>
      </x:c>
      <x:c r="H578" t="str">
        <x:v>冲突裁决规则版</x:v>
      </x:c>
    </x:row>
    <x:row r="579">
      <x:c r="A579" t="str">
        <x:v>规则子类</x:v>
      </x:c>
      <x:c r="B579" t="str">
        <x:v>M18-GEN</x:v>
      </x:c>
      <x:c r="C579" t="str">
        <x:v>M18｜通用裁决原则</x:v>
      </x:c>
      <x:c r="D579" t="str">
        <x:v>M18中用于硬约束资格、根本病、主路径、净伤害、证据去重、直接路径和证据接近待定。</x:v>
      </x:c>
      <x:c r="E579" t="str">
        <x:v>子类代码</x:v>
      </x:c>
      <x:c r="F579" t="n">
        <x:v>156</x:v>
      </x:c>
      <x:c r="G579" t="str">
        <x:v>是</x:v>
      </x:c>
      <x:c r="H579" t="str">
        <x:v>首次用于V1.6</x:v>
      </x:c>
    </x:row>
    <x:row r="580">
      <x:c r="A580" t="str">
        <x:v>规则子类</x:v>
      </x:c>
      <x:c r="B580" t="str">
        <x:v>M18-SPECIAL</x:v>
      </x:c>
      <x:c r="C580" t="str">
        <x:v>M18｜特殊格局硬约束</x:v>
      </x:c>
      <x:c r="D580" t="str">
        <x:v>M18中用于严格特殊格局与普通扶抑、调候、通关、病药冲突，以及真从、真化、专旺顺势。</x:v>
      </x:c>
      <x:c r="E580" t="str">
        <x:v>子类代码</x:v>
      </x:c>
      <x:c r="F580" t="n">
        <x:v>157</x:v>
      </x:c>
      <x:c r="G580" t="str">
        <x:v>是</x:v>
      </x:c>
      <x:c r="H580" t="str">
        <x:v>首次用于V1.6</x:v>
      </x:c>
    </x:row>
    <x:row r="581">
      <x:c r="A581" t="str">
        <x:v>规则子类</x:v>
      </x:c>
      <x:c r="B581" t="str">
        <x:v>M18-PATTERN</x:v>
      </x:c>
      <x:c r="C581" t="str">
        <x:v>M18｜格局冲突裁决</x:v>
      </x:c>
      <x:c r="D581" t="str">
        <x:v>M18中用于核心格神、失效格局、救格、格局与调候/流通/病药、配合神及多格局排序。</x:v>
      </x:c>
      <x:c r="E581" t="str">
        <x:v>子类代码</x:v>
      </x:c>
      <x:c r="F581" t="n">
        <x:v>158</x:v>
      </x:c>
      <x:c r="G581" t="str">
        <x:v>是</x:v>
      </x:c>
      <x:c r="H581" t="str">
        <x:v>首次用于V1.6</x:v>
      </x:c>
    </x:row>
    <x:row r="582">
      <x:c r="A582" t="str">
        <x:v>规则子类</x:v>
      </x:c>
      <x:c r="B582" t="str">
        <x:v>M18-CLIMATE</x:v>
      </x:c>
      <x:c r="C582" t="str">
        <x:v>M18｜调候冲突裁决</x:v>
      </x:c>
      <x:c r="D582" t="str">
        <x:v>M18中用于极端/轻度调候、调候流通同源、双轴净效应、扶抑阈值、特殊格局、寒燥主辅与药量。</x:v>
      </x:c>
      <x:c r="E582" t="str">
        <x:v>子类代码</x:v>
      </x:c>
      <x:c r="F582" t="n">
        <x:v>159</x:v>
      </x:c>
      <x:c r="G582" t="str">
        <x:v>是</x:v>
      </x:c>
      <x:c r="H582" t="str">
        <x:v>首次用于V1.6</x:v>
      </x:c>
    </x:row>
    <x:row r="583">
      <x:c r="A583" t="str">
        <x:v>规则子类</x:v>
      </x:c>
      <x:c r="B583" t="str">
        <x:v>M18-FLOW</x:v>
      </x:c>
      <x:c r="C583" t="str">
        <x:v>M18｜流通冲突裁决</x:v>
      </x:c>
      <x:c r="D583" t="str">
        <x:v>M18中用于主卡点、通关药力、通关与格局/调候、主次路径、先桥后终点、多通关候选和次生卡点。</x:v>
      </x:c>
      <x:c r="E583" t="str">
        <x:v>子类代码</x:v>
      </x:c>
      <x:c r="F583" t="n">
        <x:v>160</x:v>
      </x:c>
      <x:c r="G583" t="str">
        <x:v>是</x:v>
      </x:c>
      <x:c r="H583" t="str">
        <x:v>首次用于V1.6</x:v>
      </x:c>
    </x:row>
    <x:row r="584">
      <x:c r="A584" t="str">
        <x:v>规则子类</x:v>
      </x:c>
      <x:c r="B584" t="str">
        <x:v>M18-MED</x:v>
      </x:c>
      <x:c r="C584" t="str">
        <x:v>M18｜病药冲突裁决</x:v>
      </x:c>
      <x:c r="D584" t="str">
        <x:v>M18中用于根本药、格局病、药伤格、更重新病、一药多效、药力、主次病、多药路线、仇神与无病不设药。</x:v>
      </x:c>
      <x:c r="E584" t="str">
        <x:v>子类代码</x:v>
      </x:c>
      <x:c r="F584" t="n">
        <x:v>161</x:v>
      </x:c>
      <x:c r="G584" t="str">
        <x:v>是</x:v>
      </x:c>
      <x:c r="H584" t="str">
        <x:v>首次用于V1.6</x:v>
      </x:c>
    </x:row>
    <x:row r="585">
      <x:c r="A585" t="str">
        <x:v>规则子类</x:v>
      </x:c>
      <x:c r="B585" t="str">
        <x:v>M18-ROUTE</x:v>
      </x:c>
      <x:c r="C585" t="str">
        <x:v>M18｜具体药路择一</x:v>
      </x:c>
      <x:c r="D585" t="str">
        <x:v>M18中用于印食制杀、伤官财印、建禄泄制耗、羊刃制泄、财多身弱、枭夺食、财坏印、比劫夺财、官杀清化和寒燥火水。</x:v>
      </x:c>
      <x:c r="E585" t="str">
        <x:v>子类代码</x:v>
      </x:c>
      <x:c r="F585" t="n">
        <x:v>162</x:v>
      </x:c>
      <x:c r="G585" t="str">
        <x:v>是</x:v>
      </x:c>
      <x:c r="H585" t="str">
        <x:v>首次用于V1.6</x:v>
      </x:c>
    </x:row>
    <x:row r="586">
      <x:c r="A586" t="str">
        <x:v>规则子类</x:v>
      </x:c>
      <x:c r="B586" t="str">
        <x:v>M18-DOSE</x:v>
      </x:c>
      <x:c r="C586" t="str">
        <x:v>M18｜药量与主辅容量</x:v>
      </x:c>
      <x:c r="D586" t="str">
        <x:v>M18中用于最小有效剂量、药过转忌、弱药降级、辅助反客、多药竞争、多效限量和新病严重度。</x:v>
      </x:c>
      <x:c r="E586" t="str">
        <x:v>子类代码</x:v>
      </x:c>
      <x:c r="F586" t="n">
        <x:v>163</x:v>
      </x:c>
      <x:c r="G586" t="str">
        <x:v>是</x:v>
      </x:c>
      <x:c r="H586" t="str">
        <x:v>首次用于V1.6</x:v>
      </x:c>
    </x:row>
    <x:row r="587">
      <x:c r="A587" t="str">
        <x:v>规则子类</x:v>
      </x:c>
      <x:c r="B587" t="str">
        <x:v>M18-RANK</x:v>
      </x:c>
      <x:c r="C587" t="str">
        <x:v>M18｜最终定位裁决</x:v>
      </x:c>
      <x:c r="D587" t="str">
        <x:v>M18中用于主用、辅助、喜神、条件性喜神、中性、条件性忌神、忌神和仇神最终确认。</x:v>
      </x:c>
      <x:c r="E587" t="str">
        <x:v>子类代码</x:v>
      </x:c>
      <x:c r="F587" t="n">
        <x:v>164</x:v>
      </x:c>
      <x:c r="G587" t="str">
        <x:v>是</x:v>
      </x:c>
      <x:c r="H587" t="str">
        <x:v>首次用于V1.6</x:v>
      </x:c>
    </x:row>
    <x:row r="588">
      <x:c r="A588" t="str">
        <x:v>规则子类</x:v>
      </x:c>
      <x:c r="B588" t="str">
        <x:v>M18-BOUND</x:v>
      </x:c>
      <x:c r="C588" t="str">
        <x:v>M18｜裁决边界与治理</x:v>
      </x:c>
      <x:c r="D588" t="str">
        <x:v>M18中用于结构化输出、非固定优先级、原局/岁运分离及不确定性转M20/M21治理。</x:v>
      </x:c>
      <x:c r="E588" t="str">
        <x:v>子类代码</x:v>
      </x:c>
      <x:c r="F588" t="n">
        <x:v>165</x:v>
      </x:c>
      <x:c r="G588" t="str">
        <x:v>是</x:v>
      </x:c>
      <x:c r="H588" t="str">
        <x:v>首次用于V1.6</x:v>
      </x:c>
    </x:row>
  </x:sheetData>
  <x:mergeCells>
    <x:mergeCell ref="A1:Q1"/>
    <x:mergeCell ref="A2:Q2"/>
    <x:mergeCell ref="A3:Q3"/>
  </x:mergeCells>
  <x:pageMargins left="0.7" right="0.7" top="0.75" bottom="0.75" header="0.3" footer="0.3"/>
  <x:tableParts count="4">
    <x:tablePart xmlns:r="http://schemas.openxmlformats.org/officeDocument/2006/relationships" r:id="R1c7843867acb4f5e"/>
    <x:tablePart xmlns:r="http://schemas.openxmlformats.org/officeDocument/2006/relationships" r:id="Rd3227d3d7b464a5d"/>
    <x:tablePart xmlns:r="http://schemas.openxmlformats.org/officeDocument/2006/relationships" r:id="R2c9c5c5d74fc4a5f"/>
    <x:tablePart xmlns:r="http://schemas.openxmlformats.org/officeDocument/2006/relationships" r:id="R2895e8d89a5f47ab"/>
  </x:tableParts>
</x:worksheet>
</file>

<file path=xl/worksheets/sheet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12" hidden="0" customWidth="1"/>
    <x:col min="10" max="10" width="12"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30" hidden="0" customWidth="1"/>
    <x:col min="19" max="19" width="16" hidden="0" customWidth="1"/>
    <x:col min="20" max="20" width="30" hidden="0" customWidth="1"/>
    <x:col min="21" max="21" width="30" hidden="0" customWidth="1"/>
    <x:col min="22" max="22" width="30"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30" hidden="0" customWidth="1"/>
    <x:col min="30" max="30" width="30" hidden="0" customWidth="1"/>
    <x:col min="31" max="31" width="13" hidden="0" customWidth="1"/>
  </x:cols>
  <x:sheetData>
    <x:row r="1" ht="28" customHeight="1">
      <x:c r="A1" s="32" t="str">
        <x:v>M02｜干支、五行与藏干基础数据</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row>
    <x:row r="2" ht="36" customHeight="1">
      <x:c r="A2" s="39" t="str">
        <x:v>已录入40条正式基础规则：十天干、十二地支藏干、五行生克、十神映射及关键治理边界。此表只保存基础事实，不直接决定旺衰、吉凶或用神。</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row>
    <x:row r="3" ht="30" customHeight="1">
      <x:c r="A3" s="47" t="str">
        <x:v>前置依赖：无　｜　主要输出：统一干支、藏干、五行与十神映射　｜　直接下游：M03/M04/M05/M07/M09/M10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row>
    <x:row r="5" ht="38" customHeight="1">
      <x:c r="A5" s="61" t="str">
        <x:v>Record_ID</x:v>
      </x:c>
      <x:c r="B5" s="61" t="str">
        <x:v>模块代码</x:v>
      </x:c>
      <x:c r="C5" s="61" t="str">
        <x:v>子类代码</x:v>
      </x:c>
      <x:c r="D5" s="61" t="str">
        <x:v>序号</x:v>
      </x:c>
      <x:c r="E5" s="61" t="str">
        <x:v>版本号</x:v>
      </x:c>
      <x:c r="F5" s="61" t="str">
        <x:v>记录类型</x:v>
      </x:c>
      <x:c r="G5" s="61" t="str">
        <x:v>对象类别</x:v>
      </x:c>
      <x:c r="H5" s="61" t="str">
        <x:v>对象</x:v>
      </x:c>
      <x:c r="I5" s="61" t="str">
        <x:v>阴阳</x:v>
      </x:c>
      <x:c r="J5" s="61" t="str">
        <x:v>五行</x:v>
      </x:c>
      <x:c r="K5" s="61" t="str">
        <x:v>藏干一</x:v>
      </x:c>
      <x:c r="L5" s="61" t="str">
        <x:v>藏干一层级</x:v>
      </x:c>
      <x:c r="M5" s="61" t="str">
        <x:v>藏干二</x:v>
      </x:c>
      <x:c r="N5" s="61" t="str">
        <x:v>藏干二层级</x:v>
      </x:c>
      <x:c r="O5" s="61" t="str">
        <x:v>藏干三</x:v>
      </x:c>
      <x:c r="P5" s="61" t="str">
        <x:v>藏干三层级</x:v>
      </x:c>
      <x:c r="Q5" s="61" t="str">
        <x:v>季节/月令属性</x:v>
      </x:c>
      <x:c r="R5" s="61" t="str">
        <x:v>基础定义</x:v>
      </x:c>
      <x:c r="S5" s="61" t="str">
        <x:v>十神映射规则</x:v>
      </x:c>
      <x:c r="T5" s="61" t="str">
        <x:v>前置条件</x:v>
      </x:c>
      <x:c r="U5" s="61" t="str">
        <x:v>必要条件</x:v>
      </x:c>
      <x:c r="V5" s="61" t="str">
        <x:v>例外条件</x:v>
      </x:c>
      <x:c r="W5" s="61" t="str">
        <x:v>结论标签</x:v>
      </x:c>
      <x:c r="X5" s="61" t="str">
        <x:v>标准输出</x:v>
      </x:c>
      <x:c r="Y5" s="61" t="str">
        <x:v>置信等级</x:v>
      </x:c>
      <x:c r="Z5" s="61" t="str">
        <x:v>流派标签</x:v>
      </x:c>
      <x:c r="AA5" s="61" t="str">
        <x:v>来源/依据</x:v>
      </x:c>
      <x:c r="AB5" s="61" t="str">
        <x:v>页码/链接</x:v>
      </x:c>
      <x:c r="AC5" s="61" t="str">
        <x:v>规则状态</x:v>
      </x:c>
      <x:c r="AD5" s="61" t="str">
        <x:v>审核状态</x:v>
      </x:c>
      <x:c r="AE5" s="61" t="str">
        <x:v>更新日期</x:v>
      </x:c>
    </x:row>
    <x:row r="6" ht="66" customHeight="1">
      <x:c r="A6" s="76" t="str">
        <x:f>IF(OR(C6="",D6=""),"",B6&amp;"-"&amp;UPPER(C6)&amp;"-"&amp;TEXT(D6,"0000")&amp;"-"&amp;E6)</x:f>
        <x:v>M02-DEMO-9999-V0.1</x:v>
      </x:c>
      <x:c r="B6" s="76" t="str">
        <x:v>M02</x:v>
      </x:c>
      <x:c r="C6" s="76" t="str">
        <x:v>DEMO</x:v>
      </x:c>
      <x:c r="D6" s="78" t="n">
        <x:v>9999</x:v>
      </x:c>
      <x:c r="E6" s="76" t="str">
        <x:v>V0.1</x:v>
      </x:c>
      <x:c r="F6" s="76" t="str">
        <x:v>示例</x:v>
      </x:c>
      <x:c r="G6" s="76" t="str">
        <x:v>地支</x:v>
      </x:c>
      <x:c r="H6" s="76" t="str">
        <x:v>子</x:v>
      </x:c>
      <x:c r="I6" s="76" t="str">
        <x:v>阳</x:v>
      </x:c>
      <x:c r="J6" s="76" t="str">
        <x:v>水</x:v>
      </x:c>
      <x:c r="K6" s="76" t="str">
        <x:v>癸</x:v>
      </x:c>
      <x:c r="L6" s="76" t="str">
        <x:v>本气</x:v>
      </x:c>
      <x:c r="M6" s="76"/>
      <x:c r="N6" s="76"/>
      <x:c r="O6" s="76"/>
      <x:c r="P6" s="76"/>
      <x:c r="Q6" s="76" t="str">
        <x:v>冬季水旺；子为水之本气</x:v>
      </x:c>
      <x:c r="R6" s="76" t="str">
        <x:v>子支属阳水，常规藏干为癸水本气。</x:v>
      </x:c>
      <x:c r="S6" s="76" t="str">
        <x:v>先确定日主天干，再按癸与日主的生克及阴阳关系映射十神。</x:v>
      </x:c>
      <x:c r="T6" s="76" t="str">
        <x:v>四柱地支已识别</x:v>
      </x:c>
      <x:c r="U6" s="76" t="str">
        <x:v>使用统一藏干表</x:v>
      </x:c>
      <x:c r="V6" s="76" t="str">
        <x:v>不同流派对少数藏干比例可能有差异，应在M21登记。</x:v>
      </x:c>
      <x:c r="W6" s="76" t="str">
        <x:v>基础映射</x:v>
      </x:c>
      <x:c r="X6" s="76" t="str">
        <x:v>地支子：五行属水，藏癸水本气。</x:v>
      </x:c>
      <x:c r="Y6" s="76" t="str">
        <x:v>确定</x:v>
      </x:c>
      <x:c r="Z6" s="76" t="str">
        <x:v>跨流派共识</x:v>
      </x:c>
      <x:c r="AA6" s="76" t="str">
        <x:v>内部基础字典；后续补经典出处</x:v>
      </x:c>
      <x:c r="AB6" s="76"/>
      <x:c r="AC6" s="76" t="str">
        <x:v>示例</x:v>
      </x:c>
      <x:c r="AD6" s="76" t="str">
        <x:v>未审核</x:v>
      </x:c>
      <x:c r="AE6" s="86" t="n">
        <x:v>46254</x:v>
      </x:c>
    </x:row>
    <x:row r="7" ht="42" customHeight="1">
      <x:c r="A7" s="72" t="str">
        <x:f>IF(OR(C7="",D7=""),"",B7&amp;"-"&amp;UPPER(C7)&amp;"-"&amp;TEXT(D7,"0000")&amp;"-"&amp;E7)</x:f>
        <x:v>M02-TG-0001-V1.0</x:v>
      </x:c>
      <x:c r="B7" s="74" t="str">
        <x:v>M02</x:v>
      </x:c>
      <x:c r="C7" s="74" t="str">
        <x:v>TG</x:v>
      </x:c>
      <x:c r="D7" s="79" t="n">
        <x:v>1</x:v>
      </x:c>
      <x:c r="E7" s="74" t="str">
        <x:v>V1.0</x:v>
      </x:c>
      <x:c r="F7" s="82" t="str">
        <x:v>正式规则</x:v>
      </x:c>
      <x:c r="G7" s="82" t="str">
        <x:v>天干</x:v>
      </x:c>
      <x:c r="H7" s="68" t="str">
        <x:v>甲</x:v>
      </x:c>
      <x:c r="I7" s="82" t="str">
        <x:v>阳</x:v>
      </x:c>
      <x:c r="J7" s="82" t="str">
        <x:v>木</x:v>
      </x:c>
      <x:c r="K7" s="68"/>
      <x:c r="L7" s="82"/>
      <x:c r="M7" s="68"/>
      <x:c r="N7" s="82"/>
      <x:c r="O7" s="68"/>
      <x:c r="P7" s="82"/>
      <x:c r="Q7" s="68" t="str">
        <x:v>春季同类；具体旺衰由M03/M07判断</x:v>
      </x:c>
      <x:c r="R7" s="68" t="str">
        <x:v>阳木天干；作为符号对象时先固定阴阳与五行属性。</x:v>
      </x:c>
      <x:c r="S7" s="68" t="str">
        <x:v>先确定日主，再按双方五行生克方向与阴阳同异映射十神；天干本身不存在固定十神名称。</x:v>
      </x:c>
      <x:c r="T7" s="68" t="str">
        <x:v>四柱天干或待分析天干已准确识别</x:v>
      </x:c>
      <x:c r="U7" s="68" t="str">
        <x:v>采用统一十天干阴阳五行映射</x:v>
      </x:c>
      <x:c r="V7" s="68" t="str">
        <x:v>合化、从化等只在后续模块改变有效作用，不改本条基础属性；异说须在M21登记。</x:v>
      </x:c>
      <x:c r="W7" s="84" t="str">
        <x:v>天干基础映射</x:v>
      </x:c>
      <x:c r="X7" s="84" t="str">
        <x:v>天干甲：阳木。</x:v>
      </x:c>
      <x:c r="Y7" s="82" t="str">
        <x:v>确定</x:v>
      </x:c>
      <x:c r="Z7" s="82" t="str">
        <x:v>跨流派共识</x:v>
      </x:c>
      <x:c r="AA7" s="68" t="str">
        <x:v>传统十天干阴阳五行通行表；《三命通会》《渊海子平》相关基础论述</x:v>
      </x:c>
      <x:c r="AB7" s="68" t="str">
        <x:v>https://zh.wikisource.org/wiki/三命通會</x:v>
      </x:c>
      <x:c r="AC7" s="82" t="str">
        <x:v>采用</x:v>
      </x:c>
      <x:c r="AD7" s="82" t="str">
        <x:v>初审</x:v>
      </x:c>
      <x:c r="AE7" s="87" t="n">
        <x:v>46255</x:v>
      </x:c>
    </x:row>
    <x:row r="8" ht="42" customHeight="1">
      <x:c r="A8" s="72" t="str">
        <x:f>IF(OR(C8="",D8=""),"",B8&amp;"-"&amp;UPPER(C8)&amp;"-"&amp;TEXT(D8,"0000")&amp;"-"&amp;E8)</x:f>
        <x:v>M02-TG-0002-V1.0</x:v>
      </x:c>
      <x:c r="B8" s="74" t="str">
        <x:v>M02</x:v>
      </x:c>
      <x:c r="C8" s="74" t="str">
        <x:v>TG</x:v>
      </x:c>
      <x:c r="D8" s="79" t="n">
        <x:v>2</x:v>
      </x:c>
      <x:c r="E8" s="74" t="str">
        <x:v>V1.0</x:v>
      </x:c>
      <x:c r="F8" s="82" t="str">
        <x:v>正式规则</x:v>
      </x:c>
      <x:c r="G8" s="82" t="str">
        <x:v>天干</x:v>
      </x:c>
      <x:c r="H8" s="68" t="str">
        <x:v>乙</x:v>
      </x:c>
      <x:c r="I8" s="82" t="str">
        <x:v>阴</x:v>
      </x:c>
      <x:c r="J8" s="82" t="str">
        <x:v>木</x:v>
      </x:c>
      <x:c r="K8" s="68"/>
      <x:c r="L8" s="82"/>
      <x:c r="M8" s="68"/>
      <x:c r="N8" s="82"/>
      <x:c r="O8" s="68"/>
      <x:c r="P8" s="82"/>
      <x:c r="Q8" s="68" t="str">
        <x:v>春季同类；具体旺衰由M03/M07判断</x:v>
      </x:c>
      <x:c r="R8" s="68" t="str">
        <x:v>阴木天干；作为符号对象时先固定阴阳与五行属性。</x:v>
      </x:c>
      <x:c r="S8" s="68" t="str">
        <x:v>先确定日主，再按双方五行生克方向与阴阳同异映射十神；天干本身不存在固定十神名称。</x:v>
      </x:c>
      <x:c r="T8" s="68" t="str">
        <x:v>四柱天干或待分析天干已准确识别</x:v>
      </x:c>
      <x:c r="U8" s="68" t="str">
        <x:v>采用统一十天干阴阳五行映射</x:v>
      </x:c>
      <x:c r="V8" s="68" t="str">
        <x:v>合化、从化等只在后续模块改变有效作用，不改本条基础属性；异说须在M21登记。</x:v>
      </x:c>
      <x:c r="W8" s="84" t="str">
        <x:v>天干基础映射</x:v>
      </x:c>
      <x:c r="X8" s="84" t="str">
        <x:v>天干乙：阴木。</x:v>
      </x:c>
      <x:c r="Y8" s="82" t="str">
        <x:v>确定</x:v>
      </x:c>
      <x:c r="Z8" s="82" t="str">
        <x:v>跨流派共识</x:v>
      </x:c>
      <x:c r="AA8" s="68" t="str">
        <x:v>传统十天干阴阳五行通行表；《三命通会》《渊海子平》相关基础论述</x:v>
      </x:c>
      <x:c r="AB8" s="68" t="str">
        <x:v>https://zh.wikisource.org/wiki/三命通會</x:v>
      </x:c>
      <x:c r="AC8" s="82" t="str">
        <x:v>采用</x:v>
      </x:c>
      <x:c r="AD8" s="82" t="str">
        <x:v>初审</x:v>
      </x:c>
      <x:c r="AE8" s="87" t="n">
        <x:v>46255</x:v>
      </x:c>
    </x:row>
    <x:row r="9" ht="42" customHeight="1">
      <x:c r="A9" s="72" t="str">
        <x:f>IF(OR(C9="",D9=""),"",B9&amp;"-"&amp;UPPER(C9)&amp;"-"&amp;TEXT(D9,"0000")&amp;"-"&amp;E9)</x:f>
        <x:v>M02-TG-0003-V1.0</x:v>
      </x:c>
      <x:c r="B9" s="74" t="str">
        <x:v>M02</x:v>
      </x:c>
      <x:c r="C9" s="74" t="str">
        <x:v>TG</x:v>
      </x:c>
      <x:c r="D9" s="79" t="n">
        <x:v>3</x:v>
      </x:c>
      <x:c r="E9" s="74" t="str">
        <x:v>V1.0</x:v>
      </x:c>
      <x:c r="F9" s="82" t="str">
        <x:v>正式规则</x:v>
      </x:c>
      <x:c r="G9" s="82" t="str">
        <x:v>天干</x:v>
      </x:c>
      <x:c r="H9" s="68" t="str">
        <x:v>丙</x:v>
      </x:c>
      <x:c r="I9" s="82" t="str">
        <x:v>阳</x:v>
      </x:c>
      <x:c r="J9" s="82" t="str">
        <x:v>火</x:v>
      </x:c>
      <x:c r="K9" s="68"/>
      <x:c r="L9" s="82"/>
      <x:c r="M9" s="68"/>
      <x:c r="N9" s="82"/>
      <x:c r="O9" s="68"/>
      <x:c r="P9" s="82"/>
      <x:c r="Q9" s="68" t="str">
        <x:v>夏季同类；具体旺衰由M03/M07判断</x:v>
      </x:c>
      <x:c r="R9" s="68" t="str">
        <x:v>阳火天干；作为符号对象时先固定阴阳与五行属性。</x:v>
      </x:c>
      <x:c r="S9" s="68" t="str">
        <x:v>先确定日主，再按双方五行生克方向与阴阳同异映射十神；天干本身不存在固定十神名称。</x:v>
      </x:c>
      <x:c r="T9" s="68" t="str">
        <x:v>四柱天干或待分析天干已准确识别</x:v>
      </x:c>
      <x:c r="U9" s="68" t="str">
        <x:v>采用统一十天干阴阳五行映射</x:v>
      </x:c>
      <x:c r="V9" s="68" t="str">
        <x:v>合化、从化等只在后续模块改变有效作用，不改本条基础属性；异说须在M21登记。</x:v>
      </x:c>
      <x:c r="W9" s="84" t="str">
        <x:v>天干基础映射</x:v>
      </x:c>
      <x:c r="X9" s="84" t="str">
        <x:v>天干丙：阳火。</x:v>
      </x:c>
      <x:c r="Y9" s="82" t="str">
        <x:v>确定</x:v>
      </x:c>
      <x:c r="Z9" s="82" t="str">
        <x:v>跨流派共识</x:v>
      </x:c>
      <x:c r="AA9" s="68" t="str">
        <x:v>传统十天干阴阳五行通行表；《三命通会》《渊海子平》相关基础论述</x:v>
      </x:c>
      <x:c r="AB9" s="68" t="str">
        <x:v>https://zh.wikisource.org/wiki/三命通會</x:v>
      </x:c>
      <x:c r="AC9" s="82" t="str">
        <x:v>采用</x:v>
      </x:c>
      <x:c r="AD9" s="82" t="str">
        <x:v>初审</x:v>
      </x:c>
      <x:c r="AE9" s="87" t="n">
        <x:v>46255</x:v>
      </x:c>
    </x:row>
    <x:row r="10" ht="42" customHeight="1">
      <x:c r="A10" s="72" t="str">
        <x:f>IF(OR(C10="",D10=""),"",B10&amp;"-"&amp;UPPER(C10)&amp;"-"&amp;TEXT(D10,"0000")&amp;"-"&amp;E10)</x:f>
        <x:v>M02-TG-0004-V1.0</x:v>
      </x:c>
      <x:c r="B10" s="74" t="str">
        <x:v>M02</x:v>
      </x:c>
      <x:c r="C10" s="74" t="str">
        <x:v>TG</x:v>
      </x:c>
      <x:c r="D10" s="79" t="n">
        <x:v>4</x:v>
      </x:c>
      <x:c r="E10" s="74" t="str">
        <x:v>V1.0</x:v>
      </x:c>
      <x:c r="F10" s="82" t="str">
        <x:v>正式规则</x:v>
      </x:c>
      <x:c r="G10" s="82" t="str">
        <x:v>天干</x:v>
      </x:c>
      <x:c r="H10" s="68" t="str">
        <x:v>丁</x:v>
      </x:c>
      <x:c r="I10" s="82" t="str">
        <x:v>阴</x:v>
      </x:c>
      <x:c r="J10" s="82" t="str">
        <x:v>火</x:v>
      </x:c>
      <x:c r="K10" s="68"/>
      <x:c r="L10" s="82"/>
      <x:c r="M10" s="68"/>
      <x:c r="N10" s="82"/>
      <x:c r="O10" s="68"/>
      <x:c r="P10" s="82"/>
      <x:c r="Q10" s="68" t="str">
        <x:v>夏季同类；具体旺衰由M03/M07判断</x:v>
      </x:c>
      <x:c r="R10" s="68" t="str">
        <x:v>阴火天干；作为符号对象时先固定阴阳与五行属性。</x:v>
      </x:c>
      <x:c r="S10" s="68" t="str">
        <x:v>先确定日主，再按双方五行生克方向与阴阳同异映射十神；天干本身不存在固定十神名称。</x:v>
      </x:c>
      <x:c r="T10" s="68" t="str">
        <x:v>四柱天干或待分析天干已准确识别</x:v>
      </x:c>
      <x:c r="U10" s="68" t="str">
        <x:v>采用统一十天干阴阳五行映射</x:v>
      </x:c>
      <x:c r="V10" s="68" t="str">
        <x:v>合化、从化等只在后续模块改变有效作用，不改本条基础属性；异说须在M21登记。</x:v>
      </x:c>
      <x:c r="W10" s="84" t="str">
        <x:v>天干基础映射</x:v>
      </x:c>
      <x:c r="X10" s="84" t="str">
        <x:v>天干丁：阴火。</x:v>
      </x:c>
      <x:c r="Y10" s="82" t="str">
        <x:v>确定</x:v>
      </x:c>
      <x:c r="Z10" s="82" t="str">
        <x:v>跨流派共识</x:v>
      </x:c>
      <x:c r="AA10" s="68" t="str">
        <x:v>传统十天干阴阳五行通行表；《三命通会》《渊海子平》相关基础论述</x:v>
      </x:c>
      <x:c r="AB10" s="68" t="str">
        <x:v>https://zh.wikisource.org/wiki/三命通會</x:v>
      </x:c>
      <x:c r="AC10" s="82" t="str">
        <x:v>采用</x:v>
      </x:c>
      <x:c r="AD10" s="82" t="str">
        <x:v>初审</x:v>
      </x:c>
      <x:c r="AE10" s="87" t="n">
        <x:v>46255</x:v>
      </x:c>
    </x:row>
    <x:row r="11" ht="42" customHeight="1">
      <x:c r="A11" s="72" t="str">
        <x:f>IF(OR(C11="",D11=""),"",B11&amp;"-"&amp;UPPER(C11)&amp;"-"&amp;TEXT(D11,"0000")&amp;"-"&amp;E11)</x:f>
        <x:v>M02-TG-0005-V1.0</x:v>
      </x:c>
      <x:c r="B11" s="74" t="str">
        <x:v>M02</x:v>
      </x:c>
      <x:c r="C11" s="74" t="str">
        <x:v>TG</x:v>
      </x:c>
      <x:c r="D11" s="79" t="n">
        <x:v>5</x:v>
      </x:c>
      <x:c r="E11" s="74" t="str">
        <x:v>V1.0</x:v>
      </x:c>
      <x:c r="F11" s="82" t="str">
        <x:v>正式规则</x:v>
      </x:c>
      <x:c r="G11" s="82" t="str">
        <x:v>天干</x:v>
      </x:c>
      <x:c r="H11" s="68" t="str">
        <x:v>戊</x:v>
      </x:c>
      <x:c r="I11" s="82" t="str">
        <x:v>阳</x:v>
      </x:c>
      <x:c r="J11" s="82" t="str">
        <x:v>土</x:v>
      </x:c>
      <x:c r="K11" s="68"/>
      <x:c r="L11" s="82"/>
      <x:c r="M11" s="68"/>
      <x:c r="N11" s="82"/>
      <x:c r="O11" s="68"/>
      <x:c r="P11" s="82"/>
      <x:c r="Q11" s="68" t="str">
        <x:v>四季末月及季节转换相关；具体司令深浅转M03</x:v>
      </x:c>
      <x:c r="R11" s="68" t="str">
        <x:v>阳土天干；作为符号对象时先固定阴阳与五行属性。</x:v>
      </x:c>
      <x:c r="S11" s="68" t="str">
        <x:v>先确定日主，再按双方五行生克方向与阴阳同异映射十神；天干本身不存在固定十神名称。</x:v>
      </x:c>
      <x:c r="T11" s="68" t="str">
        <x:v>四柱天干或待分析天干已准确识别</x:v>
      </x:c>
      <x:c r="U11" s="68" t="str">
        <x:v>采用统一十天干阴阳五行映射</x:v>
      </x:c>
      <x:c r="V11" s="68" t="str">
        <x:v>合化、从化等只在后续模块改变有效作用，不改本条基础属性；异说须在M21登记。</x:v>
      </x:c>
      <x:c r="W11" s="84" t="str">
        <x:v>天干基础映射</x:v>
      </x:c>
      <x:c r="X11" s="84" t="str">
        <x:v>天干戊：阳土。</x:v>
      </x:c>
      <x:c r="Y11" s="82" t="str">
        <x:v>确定</x:v>
      </x:c>
      <x:c r="Z11" s="82" t="str">
        <x:v>跨流派共识</x:v>
      </x:c>
      <x:c r="AA11" s="68" t="str">
        <x:v>传统十天干阴阳五行通行表；《三命通会》《渊海子平》相关基础论述</x:v>
      </x:c>
      <x:c r="AB11" s="68" t="str">
        <x:v>https://zh.wikisource.org/wiki/三命通會</x:v>
      </x:c>
      <x:c r="AC11" s="82" t="str">
        <x:v>采用</x:v>
      </x:c>
      <x:c r="AD11" s="82" t="str">
        <x:v>初审</x:v>
      </x:c>
      <x:c r="AE11" s="87" t="n">
        <x:v>46255</x:v>
      </x:c>
    </x:row>
    <x:row r="12" ht="42" customHeight="1">
      <x:c r="A12" s="72" t="str">
        <x:f>IF(OR(C12="",D12=""),"",B12&amp;"-"&amp;UPPER(C12)&amp;"-"&amp;TEXT(D12,"0000")&amp;"-"&amp;E12)</x:f>
        <x:v>M02-TG-0006-V1.0</x:v>
      </x:c>
      <x:c r="B12" s="74" t="str">
        <x:v>M02</x:v>
      </x:c>
      <x:c r="C12" s="74" t="str">
        <x:v>TG</x:v>
      </x:c>
      <x:c r="D12" s="79" t="n">
        <x:v>6</x:v>
      </x:c>
      <x:c r="E12" s="74" t="str">
        <x:v>V1.0</x:v>
      </x:c>
      <x:c r="F12" s="82" t="str">
        <x:v>正式规则</x:v>
      </x:c>
      <x:c r="G12" s="82" t="str">
        <x:v>天干</x:v>
      </x:c>
      <x:c r="H12" s="68" t="str">
        <x:v>己</x:v>
      </x:c>
      <x:c r="I12" s="82" t="str">
        <x:v>阴</x:v>
      </x:c>
      <x:c r="J12" s="82" t="str">
        <x:v>土</x:v>
      </x:c>
      <x:c r="K12" s="68"/>
      <x:c r="L12" s="82"/>
      <x:c r="M12" s="68"/>
      <x:c r="N12" s="82"/>
      <x:c r="O12" s="68"/>
      <x:c r="P12" s="82"/>
      <x:c r="Q12" s="68" t="str">
        <x:v>四季末月及季节转换相关；具体司令深浅转M03</x:v>
      </x:c>
      <x:c r="R12" s="68" t="str">
        <x:v>阴土天干；作为符号对象时先固定阴阳与五行属性。</x:v>
      </x:c>
      <x:c r="S12" s="68" t="str">
        <x:v>先确定日主，再按双方五行生克方向与阴阳同异映射十神；天干本身不存在固定十神名称。</x:v>
      </x:c>
      <x:c r="T12" s="68" t="str">
        <x:v>四柱天干或待分析天干已准确识别</x:v>
      </x:c>
      <x:c r="U12" s="68" t="str">
        <x:v>采用统一十天干阴阳五行映射</x:v>
      </x:c>
      <x:c r="V12" s="68" t="str">
        <x:v>合化、从化等只在后续模块改变有效作用，不改本条基础属性；异说须在M21登记。</x:v>
      </x:c>
      <x:c r="W12" s="84" t="str">
        <x:v>天干基础映射</x:v>
      </x:c>
      <x:c r="X12" s="84" t="str">
        <x:v>天干己：阴土。</x:v>
      </x:c>
      <x:c r="Y12" s="82" t="str">
        <x:v>确定</x:v>
      </x:c>
      <x:c r="Z12" s="82" t="str">
        <x:v>跨流派共识</x:v>
      </x:c>
      <x:c r="AA12" s="68" t="str">
        <x:v>传统十天干阴阳五行通行表；《三命通会》《渊海子平》相关基础论述</x:v>
      </x:c>
      <x:c r="AB12" s="68" t="str">
        <x:v>https://zh.wikisource.org/wiki/三命通會</x:v>
      </x:c>
      <x:c r="AC12" s="82" t="str">
        <x:v>采用</x:v>
      </x:c>
      <x:c r="AD12" s="82" t="str">
        <x:v>初审</x:v>
      </x:c>
      <x:c r="AE12" s="87" t="n">
        <x:v>46255</x:v>
      </x:c>
    </x:row>
    <x:row r="13" ht="42" customHeight="1">
      <x:c r="A13" s="72" t="str">
        <x:f>IF(OR(C13="",D13=""),"",B13&amp;"-"&amp;UPPER(C13)&amp;"-"&amp;TEXT(D13,"0000")&amp;"-"&amp;E13)</x:f>
        <x:v>M02-TG-0007-V1.0</x:v>
      </x:c>
      <x:c r="B13" s="74" t="str">
        <x:v>M02</x:v>
      </x:c>
      <x:c r="C13" s="74" t="str">
        <x:v>TG</x:v>
      </x:c>
      <x:c r="D13" s="79" t="n">
        <x:v>7</x:v>
      </x:c>
      <x:c r="E13" s="74" t="str">
        <x:v>V1.0</x:v>
      </x:c>
      <x:c r="F13" s="82" t="str">
        <x:v>正式规则</x:v>
      </x:c>
      <x:c r="G13" s="82" t="str">
        <x:v>天干</x:v>
      </x:c>
      <x:c r="H13" s="68" t="str">
        <x:v>庚</x:v>
      </x:c>
      <x:c r="I13" s="82" t="str">
        <x:v>阳</x:v>
      </x:c>
      <x:c r="J13" s="82" t="str">
        <x:v>金</x:v>
      </x:c>
      <x:c r="K13" s="68"/>
      <x:c r="L13" s="82"/>
      <x:c r="M13" s="68"/>
      <x:c r="N13" s="82"/>
      <x:c r="O13" s="68"/>
      <x:c r="P13" s="82"/>
      <x:c r="Q13" s="68" t="str">
        <x:v>秋季同类；具体旺衰由M03/M07判断</x:v>
      </x:c>
      <x:c r="R13" s="68" t="str">
        <x:v>阳金天干；作为符号对象时先固定阴阳与五行属性。</x:v>
      </x:c>
      <x:c r="S13" s="68" t="str">
        <x:v>先确定日主，再按双方五行生克方向与阴阳同异映射十神；天干本身不存在固定十神名称。</x:v>
      </x:c>
      <x:c r="T13" s="68" t="str">
        <x:v>四柱天干或待分析天干已准确识别</x:v>
      </x:c>
      <x:c r="U13" s="68" t="str">
        <x:v>采用统一十天干阴阳五行映射</x:v>
      </x:c>
      <x:c r="V13" s="68" t="str">
        <x:v>合化、从化等只在后续模块改变有效作用，不改本条基础属性；异说须在M21登记。</x:v>
      </x:c>
      <x:c r="W13" s="84" t="str">
        <x:v>天干基础映射</x:v>
      </x:c>
      <x:c r="X13" s="84" t="str">
        <x:v>天干庚：阳金。</x:v>
      </x:c>
      <x:c r="Y13" s="82" t="str">
        <x:v>确定</x:v>
      </x:c>
      <x:c r="Z13" s="82" t="str">
        <x:v>跨流派共识</x:v>
      </x:c>
      <x:c r="AA13" s="68" t="str">
        <x:v>传统十天干阴阳五行通行表；《三命通会》《渊海子平》相关基础论述</x:v>
      </x:c>
      <x:c r="AB13" s="68" t="str">
        <x:v>https://zh.wikisource.org/wiki/三命通會</x:v>
      </x:c>
      <x:c r="AC13" s="82" t="str">
        <x:v>采用</x:v>
      </x:c>
      <x:c r="AD13" s="82" t="str">
        <x:v>初审</x:v>
      </x:c>
      <x:c r="AE13" s="87" t="n">
        <x:v>46255</x:v>
      </x:c>
    </x:row>
    <x:row r="14" ht="42" customHeight="1">
      <x:c r="A14" s="72" t="str">
        <x:f>IF(OR(C14="",D14=""),"",B14&amp;"-"&amp;UPPER(C14)&amp;"-"&amp;TEXT(D14,"0000")&amp;"-"&amp;E14)</x:f>
        <x:v>M02-TG-0008-V1.0</x:v>
      </x:c>
      <x:c r="B14" s="74" t="str">
        <x:v>M02</x:v>
      </x:c>
      <x:c r="C14" s="74" t="str">
        <x:v>TG</x:v>
      </x:c>
      <x:c r="D14" s="79" t="n">
        <x:v>8</x:v>
      </x:c>
      <x:c r="E14" s="74" t="str">
        <x:v>V1.0</x:v>
      </x:c>
      <x:c r="F14" s="82" t="str">
        <x:v>正式规则</x:v>
      </x:c>
      <x:c r="G14" s="82" t="str">
        <x:v>天干</x:v>
      </x:c>
      <x:c r="H14" s="68" t="str">
        <x:v>辛</x:v>
      </x:c>
      <x:c r="I14" s="82" t="str">
        <x:v>阴</x:v>
      </x:c>
      <x:c r="J14" s="82" t="str">
        <x:v>金</x:v>
      </x:c>
      <x:c r="K14" s="68"/>
      <x:c r="L14" s="82"/>
      <x:c r="M14" s="68"/>
      <x:c r="N14" s="82"/>
      <x:c r="O14" s="68"/>
      <x:c r="P14" s="82"/>
      <x:c r="Q14" s="68" t="str">
        <x:v>秋季同类；具体旺衰由M03/M07判断</x:v>
      </x:c>
      <x:c r="R14" s="68" t="str">
        <x:v>阴金天干；作为符号对象时先固定阴阳与五行属性。</x:v>
      </x:c>
      <x:c r="S14" s="68" t="str">
        <x:v>先确定日主，再按双方五行生克方向与阴阳同异映射十神；天干本身不存在固定十神名称。</x:v>
      </x:c>
      <x:c r="T14" s="68" t="str">
        <x:v>四柱天干或待分析天干已准确识别</x:v>
      </x:c>
      <x:c r="U14" s="68" t="str">
        <x:v>采用统一十天干阴阳五行映射</x:v>
      </x:c>
      <x:c r="V14" s="68" t="str">
        <x:v>合化、从化等只在后续模块改变有效作用，不改本条基础属性；异说须在M21登记。</x:v>
      </x:c>
      <x:c r="W14" s="84" t="str">
        <x:v>天干基础映射</x:v>
      </x:c>
      <x:c r="X14" s="84" t="str">
        <x:v>天干辛：阴金。</x:v>
      </x:c>
      <x:c r="Y14" s="82" t="str">
        <x:v>确定</x:v>
      </x:c>
      <x:c r="Z14" s="82" t="str">
        <x:v>跨流派共识</x:v>
      </x:c>
      <x:c r="AA14" s="68" t="str">
        <x:v>传统十天干阴阳五行通行表；《三命通会》《渊海子平》相关基础论述</x:v>
      </x:c>
      <x:c r="AB14" s="68" t="str">
        <x:v>https://zh.wikisource.org/wiki/三命通會</x:v>
      </x:c>
      <x:c r="AC14" s="82" t="str">
        <x:v>采用</x:v>
      </x:c>
      <x:c r="AD14" s="82" t="str">
        <x:v>初审</x:v>
      </x:c>
      <x:c r="AE14" s="87" t="n">
        <x:v>46255</x:v>
      </x:c>
    </x:row>
    <x:row r="15" ht="42" customHeight="1">
      <x:c r="A15" s="72" t="str">
        <x:f>IF(OR(C15="",D15=""),"",B15&amp;"-"&amp;UPPER(C15)&amp;"-"&amp;TEXT(D15,"0000")&amp;"-"&amp;E15)</x:f>
        <x:v>M02-TG-0009-V1.0</x:v>
      </x:c>
      <x:c r="B15" s="74" t="str">
        <x:v>M02</x:v>
      </x:c>
      <x:c r="C15" s="74" t="str">
        <x:v>TG</x:v>
      </x:c>
      <x:c r="D15" s="79" t="n">
        <x:v>9</x:v>
      </x:c>
      <x:c r="E15" s="74" t="str">
        <x:v>V1.0</x:v>
      </x:c>
      <x:c r="F15" s="82" t="str">
        <x:v>正式规则</x:v>
      </x:c>
      <x:c r="G15" s="82" t="str">
        <x:v>天干</x:v>
      </x:c>
      <x:c r="H15" s="68" t="str">
        <x:v>壬</x:v>
      </x:c>
      <x:c r="I15" s="82" t="str">
        <x:v>阳</x:v>
      </x:c>
      <x:c r="J15" s="82" t="str">
        <x:v>水</x:v>
      </x:c>
      <x:c r="K15" s="68"/>
      <x:c r="L15" s="82"/>
      <x:c r="M15" s="68"/>
      <x:c r="N15" s="82"/>
      <x:c r="O15" s="68"/>
      <x:c r="P15" s="82"/>
      <x:c r="Q15" s="68" t="str">
        <x:v>冬季同类；具体旺衰由M03/M07判断</x:v>
      </x:c>
      <x:c r="R15" s="68" t="str">
        <x:v>阳水天干；作为符号对象时先固定阴阳与五行属性。</x:v>
      </x:c>
      <x:c r="S15" s="68" t="str">
        <x:v>先确定日主，再按双方五行生克方向与阴阳同异映射十神；天干本身不存在固定十神名称。</x:v>
      </x:c>
      <x:c r="T15" s="68" t="str">
        <x:v>四柱天干或待分析天干已准确识别</x:v>
      </x:c>
      <x:c r="U15" s="68" t="str">
        <x:v>采用统一十天干阴阳五行映射</x:v>
      </x:c>
      <x:c r="V15" s="68" t="str">
        <x:v>合化、从化等只在后续模块改变有效作用，不改本条基础属性；异说须在M21登记。</x:v>
      </x:c>
      <x:c r="W15" s="84" t="str">
        <x:v>天干基础映射</x:v>
      </x:c>
      <x:c r="X15" s="84" t="str">
        <x:v>天干壬：阳水。</x:v>
      </x:c>
      <x:c r="Y15" s="82" t="str">
        <x:v>确定</x:v>
      </x:c>
      <x:c r="Z15" s="82" t="str">
        <x:v>跨流派共识</x:v>
      </x:c>
      <x:c r="AA15" s="68" t="str">
        <x:v>传统十天干阴阳五行通行表；《三命通会》《渊海子平》相关基础论述</x:v>
      </x:c>
      <x:c r="AB15" s="68" t="str">
        <x:v>https://zh.wikisource.org/wiki/三命通會</x:v>
      </x:c>
      <x:c r="AC15" s="82" t="str">
        <x:v>采用</x:v>
      </x:c>
      <x:c r="AD15" s="82" t="str">
        <x:v>初审</x:v>
      </x:c>
      <x:c r="AE15" s="87" t="n">
        <x:v>46255</x:v>
      </x:c>
    </x:row>
    <x:row r="16" ht="42" customHeight="1">
      <x:c r="A16" s="72" t="str">
        <x:f>IF(OR(C16="",D16=""),"",B16&amp;"-"&amp;UPPER(C16)&amp;"-"&amp;TEXT(D16,"0000")&amp;"-"&amp;E16)</x:f>
        <x:v>M02-TG-0010-V1.0</x:v>
      </x:c>
      <x:c r="B16" s="74" t="str">
        <x:v>M02</x:v>
      </x:c>
      <x:c r="C16" s="74" t="str">
        <x:v>TG</x:v>
      </x:c>
      <x:c r="D16" s="79" t="n">
        <x:v>10</x:v>
      </x:c>
      <x:c r="E16" s="74" t="str">
        <x:v>V1.0</x:v>
      </x:c>
      <x:c r="F16" s="82" t="str">
        <x:v>正式规则</x:v>
      </x:c>
      <x:c r="G16" s="82" t="str">
        <x:v>天干</x:v>
      </x:c>
      <x:c r="H16" s="68" t="str">
        <x:v>癸</x:v>
      </x:c>
      <x:c r="I16" s="82" t="str">
        <x:v>阴</x:v>
      </x:c>
      <x:c r="J16" s="82" t="str">
        <x:v>水</x:v>
      </x:c>
      <x:c r="K16" s="68"/>
      <x:c r="L16" s="82"/>
      <x:c r="M16" s="68"/>
      <x:c r="N16" s="82"/>
      <x:c r="O16" s="68"/>
      <x:c r="P16" s="82"/>
      <x:c r="Q16" s="68" t="str">
        <x:v>冬季同类；具体旺衰由M03/M07判断</x:v>
      </x:c>
      <x:c r="R16" s="68" t="str">
        <x:v>阴水天干；作为符号对象时先固定阴阳与五行属性。</x:v>
      </x:c>
      <x:c r="S16" s="68" t="str">
        <x:v>先确定日主，再按双方五行生克方向与阴阳同异映射十神；天干本身不存在固定十神名称。</x:v>
      </x:c>
      <x:c r="T16" s="68" t="str">
        <x:v>四柱天干或待分析天干已准确识别</x:v>
      </x:c>
      <x:c r="U16" s="68" t="str">
        <x:v>采用统一十天干阴阳五行映射</x:v>
      </x:c>
      <x:c r="V16" s="68" t="str">
        <x:v>合化、从化等只在后续模块改变有效作用，不改本条基础属性；异说须在M21登记。</x:v>
      </x:c>
      <x:c r="W16" s="84" t="str">
        <x:v>天干基础映射</x:v>
      </x:c>
      <x:c r="X16" s="84" t="str">
        <x:v>天干癸：阴水。</x:v>
      </x:c>
      <x:c r="Y16" s="82" t="str">
        <x:v>确定</x:v>
      </x:c>
      <x:c r="Z16" s="82" t="str">
        <x:v>跨流派共识</x:v>
      </x:c>
      <x:c r="AA16" s="68" t="str">
        <x:v>传统十天干阴阳五行通行表；《三命通会》《渊海子平》相关基础论述</x:v>
      </x:c>
      <x:c r="AB16" s="68" t="str">
        <x:v>https://zh.wikisource.org/wiki/三命通會</x:v>
      </x:c>
      <x:c r="AC16" s="82" t="str">
        <x:v>采用</x:v>
      </x:c>
      <x:c r="AD16" s="82" t="str">
        <x:v>初审</x:v>
      </x:c>
      <x:c r="AE16" s="87" t="n">
        <x:v>46255</x:v>
      </x:c>
    </x:row>
    <x:row r="17" ht="42" customHeight="1">
      <x:c r="A17" s="72" t="str">
        <x:f>IF(OR(C17="",D17=""),"",B17&amp;"-"&amp;UPPER(C17)&amp;"-"&amp;TEXT(D17,"0000")&amp;"-"&amp;E17)</x:f>
        <x:v>M02-DZ-0011-V1.0</x:v>
      </x:c>
      <x:c r="B17" s="74" t="str">
        <x:v>M02</x:v>
      </x:c>
      <x:c r="C17" s="74" t="str">
        <x:v>DZ</x:v>
      </x:c>
      <x:c r="D17" s="79" t="n">
        <x:v>11</x:v>
      </x:c>
      <x:c r="E17" s="74" t="str">
        <x:v>V1.0</x:v>
      </x:c>
      <x:c r="F17" s="82" t="str">
        <x:v>正式规则</x:v>
      </x:c>
      <x:c r="G17" s="82" t="str">
        <x:v>地支</x:v>
      </x:c>
      <x:c r="H17" s="68" t="str">
        <x:v>子</x:v>
      </x:c>
      <x:c r="I17" s="82" t="str">
        <x:v>阳</x:v>
      </x:c>
      <x:c r="J17" s="82" t="str">
        <x:v>水</x:v>
      </x:c>
      <x:c r="K17" s="68" t="str">
        <x:v>癸</x:v>
      </x:c>
      <x:c r="L17" s="82" t="str">
        <x:v>本气</x:v>
      </x:c>
      <x:c r="M17" s="68"/>
      <x:c r="N17" s="82"/>
      <x:c r="O17" s="68"/>
      <x:c r="P17" s="82"/>
      <x:c r="Q17" s="68" t="str">
        <x:v>仲冬；子月水主气</x:v>
      </x:c>
      <x:c r="R17" s="68" t="str">
        <x:v>地支子属阳水；标准藏干为癸本气。地支五行标签与支内各藏干是两个层次。</x:v>
      </x:c>
      <x:c r="S17" s="68" t="str">
        <x:v>地支十神应把各藏干分别相对日主映射；不得仅用地支表面五行直接代替全部十神。</x:v>
      </x:c>
      <x:c r="T17" s="68" t="str">
        <x:v>四柱地支已准确识别</x:v>
      </x:c>
      <x:c r="U17" s="68" t="str">
        <x:v>采用统一十二地支阴阳五行与藏干层级表</x:v>
      </x:c>
      <x:c r="V17" s="68" t="str">
        <x:v>刑冲合会害破只在M06以后修正藏干的有效性；基础藏干字典不因关系名称自动删除。异说须在M21登记。</x:v>
      </x:c>
      <x:c r="W17" s="84" t="str">
        <x:v>地支藏干映射</x:v>
      </x:c>
      <x:c r="X17" s="84" t="str">
        <x:v>地支子：阳水，藏癸本气。</x:v>
      </x:c>
      <x:c r="Y17" s="82" t="str">
        <x:v>确定</x:v>
      </x:c>
      <x:c r="Z17" s="82" t="str">
        <x:v>跨流派共识</x:v>
      </x:c>
      <x:c r="AA17" s="68" t="str">
        <x:v>传统十二地支、人元藏干通行表；《三命通会》《渊海子平》相关论述</x:v>
      </x:c>
      <x:c r="AB17" s="68" t="str">
        <x:v>https://zh.wikisource.org/wiki/三命通會</x:v>
      </x:c>
      <x:c r="AC17" s="82" t="str">
        <x:v>采用</x:v>
      </x:c>
      <x:c r="AD17" s="82" t="str">
        <x:v>初审</x:v>
      </x:c>
      <x:c r="AE17" s="87" t="n">
        <x:v>46255</x:v>
      </x:c>
    </x:row>
    <x:row r="18" ht="42" customHeight="1">
      <x:c r="A18" s="72" t="str">
        <x:f>IF(OR(C18="",D18=""),"",B18&amp;"-"&amp;UPPER(C18)&amp;"-"&amp;TEXT(D18,"0000")&amp;"-"&amp;E18)</x:f>
        <x:v>M02-DZ-0012-V1.0</x:v>
      </x:c>
      <x:c r="B18" s="74" t="str">
        <x:v>M02</x:v>
      </x:c>
      <x:c r="C18" s="74" t="str">
        <x:v>DZ</x:v>
      </x:c>
      <x:c r="D18" s="79" t="n">
        <x:v>12</x:v>
      </x:c>
      <x:c r="E18" s="74" t="str">
        <x:v>V1.0</x:v>
      </x:c>
      <x:c r="F18" s="82" t="str">
        <x:v>正式规则</x:v>
      </x:c>
      <x:c r="G18" s="82" t="str">
        <x:v>地支</x:v>
      </x:c>
      <x:c r="H18" s="68" t="str">
        <x:v>丑</x:v>
      </x:c>
      <x:c r="I18" s="82" t="str">
        <x:v>阴</x:v>
      </x:c>
      <x:c r="J18" s="82" t="str">
        <x:v>土</x:v>
      </x:c>
      <x:c r="K18" s="68" t="str">
        <x:v>己</x:v>
      </x:c>
      <x:c r="L18" s="82" t="str">
        <x:v>本气</x:v>
      </x:c>
      <x:c r="M18" s="68" t="str">
        <x:v>癸</x:v>
      </x:c>
      <x:c r="N18" s="82" t="str">
        <x:v>中气</x:v>
      </x:c>
      <x:c r="O18" s="68" t="str">
        <x:v>辛</x:v>
      </x:c>
      <x:c r="P18" s="82" t="str">
        <x:v>余气</x:v>
      </x:c>
      <x:c r="Q18" s="68" t="str">
        <x:v>季冬；寒湿土，兼藏水金</x:v>
      </x:c>
      <x:c r="R18" s="68" t="str">
        <x:v>地支丑属阴土；标准藏干为己本气、癸中气、辛余气。地支五行标签与支内各藏干是两个层次。</x:v>
      </x:c>
      <x:c r="S18" s="68" t="str">
        <x:v>地支十神应把各藏干分别相对日主映射；不得仅用地支表面五行直接代替全部十神。</x:v>
      </x:c>
      <x:c r="T18" s="68" t="str">
        <x:v>四柱地支已准确识别</x:v>
      </x:c>
      <x:c r="U18" s="68" t="str">
        <x:v>采用统一十二地支阴阳五行与藏干层级表</x:v>
      </x:c>
      <x:c r="V18" s="68" t="str">
        <x:v>刑冲合会害破只在M06以后修正藏干的有效性；基础藏干字典不因关系名称自动删除。异说须在M21登记。</x:v>
      </x:c>
      <x:c r="W18" s="84" t="str">
        <x:v>地支藏干映射</x:v>
      </x:c>
      <x:c r="X18" s="84" t="str">
        <x:v>地支丑：阴土，藏己本气、癸中气、辛余气。</x:v>
      </x:c>
      <x:c r="Y18" s="82" t="str">
        <x:v>确定</x:v>
      </x:c>
      <x:c r="Z18" s="82" t="str">
        <x:v>跨流派共识</x:v>
      </x:c>
      <x:c r="AA18" s="68" t="str">
        <x:v>传统十二地支、人元藏干通行表；《三命通会》《渊海子平》相关论述</x:v>
      </x:c>
      <x:c r="AB18" s="68" t="str">
        <x:v>https://zh.wikisource.org/wiki/三命通會</x:v>
      </x:c>
      <x:c r="AC18" s="82" t="str">
        <x:v>采用</x:v>
      </x:c>
      <x:c r="AD18" s="82" t="str">
        <x:v>初审</x:v>
      </x:c>
      <x:c r="AE18" s="87" t="n">
        <x:v>46255</x:v>
      </x:c>
    </x:row>
    <x:row r="19" ht="42" customHeight="1">
      <x:c r="A19" s="72" t="str">
        <x:f>IF(OR(C19="",D19=""),"",B19&amp;"-"&amp;UPPER(C19)&amp;"-"&amp;TEXT(D19,"0000")&amp;"-"&amp;E19)</x:f>
        <x:v>M02-DZ-0013-V1.0</x:v>
      </x:c>
      <x:c r="B19" s="74" t="str">
        <x:v>M02</x:v>
      </x:c>
      <x:c r="C19" s="74" t="str">
        <x:v>DZ</x:v>
      </x:c>
      <x:c r="D19" s="79" t="n">
        <x:v>13</x:v>
      </x:c>
      <x:c r="E19" s="74" t="str">
        <x:v>V1.0</x:v>
      </x:c>
      <x:c r="F19" s="82" t="str">
        <x:v>正式规则</x:v>
      </x:c>
      <x:c r="G19" s="82" t="str">
        <x:v>地支</x:v>
      </x:c>
      <x:c r="H19" s="68" t="str">
        <x:v>寅</x:v>
      </x:c>
      <x:c r="I19" s="82" t="str">
        <x:v>阳</x:v>
      </x:c>
      <x:c r="J19" s="82" t="str">
        <x:v>木</x:v>
      </x:c>
      <x:c r="K19" s="68" t="str">
        <x:v>甲</x:v>
      </x:c>
      <x:c r="L19" s="82" t="str">
        <x:v>本气</x:v>
      </x:c>
      <x:c r="M19" s="68" t="str">
        <x:v>丙</x:v>
      </x:c>
      <x:c r="N19" s="82" t="str">
        <x:v>中气</x:v>
      </x:c>
      <x:c r="O19" s="68" t="str">
        <x:v>戊</x:v>
      </x:c>
      <x:c r="P19" s="82" t="str">
        <x:v>余气</x:v>
      </x:c>
      <x:c r="Q19" s="68" t="str">
        <x:v>孟春；寅月木主气</x:v>
      </x:c>
      <x:c r="R19" s="68" t="str">
        <x:v>地支寅属阳木；标准藏干为甲本气、丙中气、戊余气。地支五行标签与支内各藏干是两个层次。</x:v>
      </x:c>
      <x:c r="S19" s="68" t="str">
        <x:v>地支十神应把各藏干分别相对日主映射；不得仅用地支表面五行直接代替全部十神。</x:v>
      </x:c>
      <x:c r="T19" s="68" t="str">
        <x:v>四柱地支已准确识别</x:v>
      </x:c>
      <x:c r="U19" s="68" t="str">
        <x:v>采用统一十二地支阴阳五行与藏干层级表</x:v>
      </x:c>
      <x:c r="V19" s="68" t="str">
        <x:v>刑冲合会害破只在M06以后修正藏干的有效性；基础藏干字典不因关系名称自动删除。异说须在M21登记。</x:v>
      </x:c>
      <x:c r="W19" s="84" t="str">
        <x:v>地支藏干映射</x:v>
      </x:c>
      <x:c r="X19" s="84" t="str">
        <x:v>地支寅：阳木，藏甲本气、丙中气、戊余气。</x:v>
      </x:c>
      <x:c r="Y19" s="82" t="str">
        <x:v>确定</x:v>
      </x:c>
      <x:c r="Z19" s="82" t="str">
        <x:v>跨流派共识</x:v>
      </x:c>
      <x:c r="AA19" s="68" t="str">
        <x:v>传统十二地支、人元藏干通行表；《三命通会》《渊海子平》相关论述</x:v>
      </x:c>
      <x:c r="AB19" s="68" t="str">
        <x:v>https://zh.wikisource.org/wiki/三命通會</x:v>
      </x:c>
      <x:c r="AC19" s="82" t="str">
        <x:v>采用</x:v>
      </x:c>
      <x:c r="AD19" s="82" t="str">
        <x:v>初审</x:v>
      </x:c>
      <x:c r="AE19" s="87" t="n">
        <x:v>46255</x:v>
      </x:c>
    </x:row>
    <x:row r="20" ht="42" customHeight="1">
      <x:c r="A20" s="72" t="str">
        <x:f>IF(OR(C20="",D20=""),"",B20&amp;"-"&amp;UPPER(C20)&amp;"-"&amp;TEXT(D20,"0000")&amp;"-"&amp;E20)</x:f>
        <x:v>M02-DZ-0014-V1.0</x:v>
      </x:c>
      <x:c r="B20" s="74" t="str">
        <x:v>M02</x:v>
      </x:c>
      <x:c r="C20" s="74" t="str">
        <x:v>DZ</x:v>
      </x:c>
      <x:c r="D20" s="79" t="n">
        <x:v>14</x:v>
      </x:c>
      <x:c r="E20" s="74" t="str">
        <x:v>V1.0</x:v>
      </x:c>
      <x:c r="F20" s="82" t="str">
        <x:v>正式规则</x:v>
      </x:c>
      <x:c r="G20" s="82" t="str">
        <x:v>地支</x:v>
      </x:c>
      <x:c r="H20" s="68" t="str">
        <x:v>卯</x:v>
      </x:c>
      <x:c r="I20" s="82" t="str">
        <x:v>阴</x:v>
      </x:c>
      <x:c r="J20" s="82" t="str">
        <x:v>木</x:v>
      </x:c>
      <x:c r="K20" s="68" t="str">
        <x:v>乙</x:v>
      </x:c>
      <x:c r="L20" s="82" t="str">
        <x:v>本气</x:v>
      </x:c>
      <x:c r="M20" s="68"/>
      <x:c r="N20" s="82"/>
      <x:c r="O20" s="68"/>
      <x:c r="P20" s="82"/>
      <x:c r="Q20" s="68" t="str">
        <x:v>仲春；卯月木主气</x:v>
      </x:c>
      <x:c r="R20" s="68" t="str">
        <x:v>地支卯属阴木；标准藏干为乙本气。地支五行标签与支内各藏干是两个层次。</x:v>
      </x:c>
      <x:c r="S20" s="68" t="str">
        <x:v>地支十神应把各藏干分别相对日主映射；不得仅用地支表面五行直接代替全部十神。</x:v>
      </x:c>
      <x:c r="T20" s="68" t="str">
        <x:v>四柱地支已准确识别</x:v>
      </x:c>
      <x:c r="U20" s="68" t="str">
        <x:v>采用统一十二地支阴阳五行与藏干层级表</x:v>
      </x:c>
      <x:c r="V20" s="68" t="str">
        <x:v>刑冲合会害破只在M06以后修正藏干的有效性；基础藏干字典不因关系名称自动删除。异说须在M21登记。</x:v>
      </x:c>
      <x:c r="W20" s="84" t="str">
        <x:v>地支藏干映射</x:v>
      </x:c>
      <x:c r="X20" s="84" t="str">
        <x:v>地支卯：阴木，藏乙本气。</x:v>
      </x:c>
      <x:c r="Y20" s="82" t="str">
        <x:v>确定</x:v>
      </x:c>
      <x:c r="Z20" s="82" t="str">
        <x:v>跨流派共识</x:v>
      </x:c>
      <x:c r="AA20" s="68" t="str">
        <x:v>传统十二地支、人元藏干通行表；《三命通会》《渊海子平》相关论述</x:v>
      </x:c>
      <x:c r="AB20" s="68" t="str">
        <x:v>https://zh.wikisource.org/wiki/三命通會</x:v>
      </x:c>
      <x:c r="AC20" s="82" t="str">
        <x:v>采用</x:v>
      </x:c>
      <x:c r="AD20" s="82" t="str">
        <x:v>初审</x:v>
      </x:c>
      <x:c r="AE20" s="87" t="n">
        <x:v>46255</x:v>
      </x:c>
    </x:row>
    <x:row r="21" ht="42" customHeight="1">
      <x:c r="A21" s="72" t="str">
        <x:f>IF(OR(C21="",D21=""),"",B21&amp;"-"&amp;UPPER(C21)&amp;"-"&amp;TEXT(D21,"0000")&amp;"-"&amp;E21)</x:f>
        <x:v>M02-DZ-0015-V1.0</x:v>
      </x:c>
      <x:c r="B21" s="74" t="str">
        <x:v>M02</x:v>
      </x:c>
      <x:c r="C21" s="74" t="str">
        <x:v>DZ</x:v>
      </x:c>
      <x:c r="D21" s="79" t="n">
        <x:v>15</x:v>
      </x:c>
      <x:c r="E21" s="74" t="str">
        <x:v>V1.0</x:v>
      </x:c>
      <x:c r="F21" s="82" t="str">
        <x:v>正式规则</x:v>
      </x:c>
      <x:c r="G21" s="82" t="str">
        <x:v>地支</x:v>
      </x:c>
      <x:c r="H21" s="68" t="str">
        <x:v>辰</x:v>
      </x:c>
      <x:c r="I21" s="82" t="str">
        <x:v>阳</x:v>
      </x:c>
      <x:c r="J21" s="82" t="str">
        <x:v>土</x:v>
      </x:c>
      <x:c r="K21" s="68" t="str">
        <x:v>戊</x:v>
      </x:c>
      <x:c r="L21" s="82" t="str">
        <x:v>本气</x:v>
      </x:c>
      <x:c r="M21" s="68" t="str">
        <x:v>乙</x:v>
      </x:c>
      <x:c r="N21" s="82" t="str">
        <x:v>中气</x:v>
      </x:c>
      <x:c r="O21" s="68" t="str">
        <x:v>癸</x:v>
      </x:c>
      <x:c r="P21" s="82" t="str">
        <x:v>余气</x:v>
      </x:c>
      <x:c r="Q21" s="68" t="str">
        <x:v>季春；湿土，兼藏木水</x:v>
      </x:c>
      <x:c r="R21" s="68" t="str">
        <x:v>地支辰属阳土；标准藏干为戊本气、乙中气、癸余气。地支五行标签与支内各藏干是两个层次。</x:v>
      </x:c>
      <x:c r="S21" s="68" t="str">
        <x:v>地支十神应把各藏干分别相对日主映射；不得仅用地支表面五行直接代替全部十神。</x:v>
      </x:c>
      <x:c r="T21" s="68" t="str">
        <x:v>四柱地支已准确识别</x:v>
      </x:c>
      <x:c r="U21" s="68" t="str">
        <x:v>采用统一十二地支阴阳五行与藏干层级表</x:v>
      </x:c>
      <x:c r="V21" s="68" t="str">
        <x:v>刑冲合会害破只在M06以后修正藏干的有效性；基础藏干字典不因关系名称自动删除。异说须在M21登记。</x:v>
      </x:c>
      <x:c r="W21" s="84" t="str">
        <x:v>地支藏干映射</x:v>
      </x:c>
      <x:c r="X21" s="84" t="str">
        <x:v>地支辰：阳土，藏戊本气、乙中气、癸余气。</x:v>
      </x:c>
      <x:c r="Y21" s="82" t="str">
        <x:v>确定</x:v>
      </x:c>
      <x:c r="Z21" s="82" t="str">
        <x:v>跨流派共识</x:v>
      </x:c>
      <x:c r="AA21" s="68" t="str">
        <x:v>传统十二地支、人元藏干通行表；《三命通会》《渊海子平》相关论述</x:v>
      </x:c>
      <x:c r="AB21" s="68" t="str">
        <x:v>https://zh.wikisource.org/wiki/三命通會</x:v>
      </x:c>
      <x:c r="AC21" s="82" t="str">
        <x:v>采用</x:v>
      </x:c>
      <x:c r="AD21" s="82" t="str">
        <x:v>初审</x:v>
      </x:c>
      <x:c r="AE21" s="87" t="n">
        <x:v>46255</x:v>
      </x:c>
    </x:row>
    <x:row r="22" ht="42" customHeight="1">
      <x:c r="A22" s="72" t="str">
        <x:f>IF(OR(C22="",D22=""),"",B22&amp;"-"&amp;UPPER(C22)&amp;"-"&amp;TEXT(D22,"0000")&amp;"-"&amp;E22)</x:f>
        <x:v>M02-DZ-0016-V1.0</x:v>
      </x:c>
      <x:c r="B22" s="74" t="str">
        <x:v>M02</x:v>
      </x:c>
      <x:c r="C22" s="74" t="str">
        <x:v>DZ</x:v>
      </x:c>
      <x:c r="D22" s="79" t="n">
        <x:v>16</x:v>
      </x:c>
      <x:c r="E22" s="74" t="str">
        <x:v>V1.0</x:v>
      </x:c>
      <x:c r="F22" s="82" t="str">
        <x:v>正式规则</x:v>
      </x:c>
      <x:c r="G22" s="82" t="str">
        <x:v>地支</x:v>
      </x:c>
      <x:c r="H22" s="68" t="str">
        <x:v>巳</x:v>
      </x:c>
      <x:c r="I22" s="82" t="str">
        <x:v>阴</x:v>
      </x:c>
      <x:c r="J22" s="82" t="str">
        <x:v>火</x:v>
      </x:c>
      <x:c r="K22" s="68" t="str">
        <x:v>丙</x:v>
      </x:c>
      <x:c r="L22" s="82" t="str">
        <x:v>本气</x:v>
      </x:c>
      <x:c r="M22" s="68" t="str">
        <x:v>戊</x:v>
      </x:c>
      <x:c r="N22" s="82" t="str">
        <x:v>中气</x:v>
      </x:c>
      <x:c r="O22" s="68" t="str">
        <x:v>庚</x:v>
      </x:c>
      <x:c r="P22" s="82" t="str">
        <x:v>余气</x:v>
      </x:c>
      <x:c r="Q22" s="68" t="str">
        <x:v>孟夏；巳月火主气</x:v>
      </x:c>
      <x:c r="R22" s="68" t="str">
        <x:v>地支巳属阴火；标准藏干为丙本气、戊中气、庚余气。地支五行标签与支内各藏干是两个层次。</x:v>
      </x:c>
      <x:c r="S22" s="68" t="str">
        <x:v>地支十神应把各藏干分别相对日主映射；不得仅用地支表面五行直接代替全部十神。</x:v>
      </x:c>
      <x:c r="T22" s="68" t="str">
        <x:v>四柱地支已准确识别</x:v>
      </x:c>
      <x:c r="U22" s="68" t="str">
        <x:v>采用统一十二地支阴阳五行与藏干层级表</x:v>
      </x:c>
      <x:c r="V22" s="68" t="str">
        <x:v>刑冲合会害破只在M06以后修正藏干的有效性；基础藏干字典不因关系名称自动删除。异说须在M21登记。</x:v>
      </x:c>
      <x:c r="W22" s="84" t="str">
        <x:v>地支藏干映射</x:v>
      </x:c>
      <x:c r="X22" s="84" t="str">
        <x:v>地支巳：阴火，藏丙本气、戊中气、庚余气。</x:v>
      </x:c>
      <x:c r="Y22" s="82" t="str">
        <x:v>确定</x:v>
      </x:c>
      <x:c r="Z22" s="82" t="str">
        <x:v>跨流派共识</x:v>
      </x:c>
      <x:c r="AA22" s="68" t="str">
        <x:v>传统十二地支、人元藏干通行表；《三命通会》《渊海子平》相关论述</x:v>
      </x:c>
      <x:c r="AB22" s="68" t="str">
        <x:v>https://zh.wikisource.org/wiki/三命通會</x:v>
      </x:c>
      <x:c r="AC22" s="82" t="str">
        <x:v>采用</x:v>
      </x:c>
      <x:c r="AD22" s="82" t="str">
        <x:v>初审</x:v>
      </x:c>
      <x:c r="AE22" s="87" t="n">
        <x:v>46255</x:v>
      </x:c>
    </x:row>
    <x:row r="23" ht="42" customHeight="1">
      <x:c r="A23" s="72" t="str">
        <x:f>IF(OR(C23="",D23=""),"",B23&amp;"-"&amp;UPPER(C23)&amp;"-"&amp;TEXT(D23,"0000")&amp;"-"&amp;E23)</x:f>
        <x:v>M02-DZ-0017-V1.0</x:v>
      </x:c>
      <x:c r="B23" s="74" t="str">
        <x:v>M02</x:v>
      </x:c>
      <x:c r="C23" s="74" t="str">
        <x:v>DZ</x:v>
      </x:c>
      <x:c r="D23" s="79" t="n">
        <x:v>17</x:v>
      </x:c>
      <x:c r="E23" s="74" t="str">
        <x:v>V1.0</x:v>
      </x:c>
      <x:c r="F23" s="82" t="str">
        <x:v>正式规则</x:v>
      </x:c>
      <x:c r="G23" s="82" t="str">
        <x:v>地支</x:v>
      </x:c>
      <x:c r="H23" s="68" t="str">
        <x:v>午</x:v>
      </x:c>
      <x:c r="I23" s="82" t="str">
        <x:v>阳</x:v>
      </x:c>
      <x:c r="J23" s="82" t="str">
        <x:v>火</x:v>
      </x:c>
      <x:c r="K23" s="68" t="str">
        <x:v>丁</x:v>
      </x:c>
      <x:c r="L23" s="82" t="str">
        <x:v>本气</x:v>
      </x:c>
      <x:c r="M23" s="68" t="str">
        <x:v>己</x:v>
      </x:c>
      <x:c r="N23" s="82" t="str">
        <x:v>中气</x:v>
      </x:c>
      <x:c r="O23" s="68"/>
      <x:c r="P23" s="82"/>
      <x:c r="Q23" s="68" t="str">
        <x:v>仲夏；午月火主气</x:v>
      </x:c>
      <x:c r="R23" s="68" t="str">
        <x:v>地支午属阳火；标准藏干为丁本气、己中气。地支五行标签与支内各藏干是两个层次。</x:v>
      </x:c>
      <x:c r="S23" s="68" t="str">
        <x:v>地支十神应把各藏干分别相对日主映射；不得仅用地支表面五行直接代替全部十神。</x:v>
      </x:c>
      <x:c r="T23" s="68" t="str">
        <x:v>四柱地支已准确识别</x:v>
      </x:c>
      <x:c r="U23" s="68" t="str">
        <x:v>采用统一十二地支阴阳五行与藏干层级表</x:v>
      </x:c>
      <x:c r="V23" s="68" t="str">
        <x:v>刑冲合会害破只在M06以后修正藏干的有效性；基础藏干字典不因关系名称自动删除。异说须在M21登记。</x:v>
      </x:c>
      <x:c r="W23" s="84" t="str">
        <x:v>地支藏干映射</x:v>
      </x:c>
      <x:c r="X23" s="84" t="str">
        <x:v>地支午：阳火，藏丁本气、己中气。</x:v>
      </x:c>
      <x:c r="Y23" s="82" t="str">
        <x:v>确定</x:v>
      </x:c>
      <x:c r="Z23" s="82" t="str">
        <x:v>跨流派共识</x:v>
      </x:c>
      <x:c r="AA23" s="68" t="str">
        <x:v>传统十二地支、人元藏干通行表；《三命通会》《渊海子平》相关论述</x:v>
      </x:c>
      <x:c r="AB23" s="68" t="str">
        <x:v>https://zh.wikisource.org/wiki/三命通會</x:v>
      </x:c>
      <x:c r="AC23" s="82" t="str">
        <x:v>采用</x:v>
      </x:c>
      <x:c r="AD23" s="82" t="str">
        <x:v>初审</x:v>
      </x:c>
      <x:c r="AE23" s="87" t="n">
        <x:v>46255</x:v>
      </x:c>
    </x:row>
    <x:row r="24" ht="42" customHeight="1">
      <x:c r="A24" s="72" t="str">
        <x:f>IF(OR(C24="",D24=""),"",B24&amp;"-"&amp;UPPER(C24)&amp;"-"&amp;TEXT(D24,"0000")&amp;"-"&amp;E24)</x:f>
        <x:v>M02-DZ-0018-V1.0</x:v>
      </x:c>
      <x:c r="B24" s="74" t="str">
        <x:v>M02</x:v>
      </x:c>
      <x:c r="C24" s="74" t="str">
        <x:v>DZ</x:v>
      </x:c>
      <x:c r="D24" s="79" t="n">
        <x:v>18</x:v>
      </x:c>
      <x:c r="E24" s="74" t="str">
        <x:v>V1.0</x:v>
      </x:c>
      <x:c r="F24" s="82" t="str">
        <x:v>正式规则</x:v>
      </x:c>
      <x:c r="G24" s="82" t="str">
        <x:v>地支</x:v>
      </x:c>
      <x:c r="H24" s="68" t="str">
        <x:v>未</x:v>
      </x:c>
      <x:c r="I24" s="82" t="str">
        <x:v>阴</x:v>
      </x:c>
      <x:c r="J24" s="82" t="str">
        <x:v>土</x:v>
      </x:c>
      <x:c r="K24" s="68" t="str">
        <x:v>己</x:v>
      </x:c>
      <x:c r="L24" s="82" t="str">
        <x:v>本气</x:v>
      </x:c>
      <x:c r="M24" s="68" t="str">
        <x:v>丁</x:v>
      </x:c>
      <x:c r="N24" s="82" t="str">
        <x:v>中气</x:v>
      </x:c>
      <x:c r="O24" s="68" t="str">
        <x:v>乙</x:v>
      </x:c>
      <x:c r="P24" s="82" t="str">
        <x:v>余气</x:v>
      </x:c>
      <x:c r="Q24" s="68" t="str">
        <x:v>季夏；燥土，兼藏火木</x:v>
      </x:c>
      <x:c r="R24" s="68" t="str">
        <x:v>地支未属阴土；标准藏干为己本气、丁中气、乙余气。地支五行标签与支内各藏干是两个层次。</x:v>
      </x:c>
      <x:c r="S24" s="68" t="str">
        <x:v>地支十神应把各藏干分别相对日主映射；不得仅用地支表面五行直接代替全部十神。</x:v>
      </x:c>
      <x:c r="T24" s="68" t="str">
        <x:v>四柱地支已准确识别</x:v>
      </x:c>
      <x:c r="U24" s="68" t="str">
        <x:v>采用统一十二地支阴阳五行与藏干层级表</x:v>
      </x:c>
      <x:c r="V24" s="68" t="str">
        <x:v>刑冲合会害破只在M06以后修正藏干的有效性；基础藏干字典不因关系名称自动删除。异说须在M21登记。</x:v>
      </x:c>
      <x:c r="W24" s="84" t="str">
        <x:v>地支藏干映射</x:v>
      </x:c>
      <x:c r="X24" s="84" t="str">
        <x:v>地支未：阴土，藏己本气、丁中气、乙余气。</x:v>
      </x:c>
      <x:c r="Y24" s="82" t="str">
        <x:v>确定</x:v>
      </x:c>
      <x:c r="Z24" s="82" t="str">
        <x:v>跨流派共识</x:v>
      </x:c>
      <x:c r="AA24" s="68" t="str">
        <x:v>传统十二地支、人元藏干通行表；《三命通会》《渊海子平》相关论述</x:v>
      </x:c>
      <x:c r="AB24" s="68" t="str">
        <x:v>https://zh.wikisource.org/wiki/三命通會</x:v>
      </x:c>
      <x:c r="AC24" s="82" t="str">
        <x:v>采用</x:v>
      </x:c>
      <x:c r="AD24" s="82" t="str">
        <x:v>初审</x:v>
      </x:c>
      <x:c r="AE24" s="87" t="n">
        <x:v>46255</x:v>
      </x:c>
    </x:row>
    <x:row r="25" ht="42" customHeight="1">
      <x:c r="A25" s="72" t="str">
        <x:f>IF(OR(C25="",D25=""),"",B25&amp;"-"&amp;UPPER(C25)&amp;"-"&amp;TEXT(D25,"0000")&amp;"-"&amp;E25)</x:f>
        <x:v>M02-DZ-0019-V1.0</x:v>
      </x:c>
      <x:c r="B25" s="74" t="str">
        <x:v>M02</x:v>
      </x:c>
      <x:c r="C25" s="74" t="str">
        <x:v>DZ</x:v>
      </x:c>
      <x:c r="D25" s="79" t="n">
        <x:v>19</x:v>
      </x:c>
      <x:c r="E25" s="74" t="str">
        <x:v>V1.0</x:v>
      </x:c>
      <x:c r="F25" s="82" t="str">
        <x:v>正式规则</x:v>
      </x:c>
      <x:c r="G25" s="82" t="str">
        <x:v>地支</x:v>
      </x:c>
      <x:c r="H25" s="68" t="str">
        <x:v>申</x:v>
      </x:c>
      <x:c r="I25" s="82" t="str">
        <x:v>阳</x:v>
      </x:c>
      <x:c r="J25" s="82" t="str">
        <x:v>金</x:v>
      </x:c>
      <x:c r="K25" s="68" t="str">
        <x:v>庚</x:v>
      </x:c>
      <x:c r="L25" s="82" t="str">
        <x:v>本气</x:v>
      </x:c>
      <x:c r="M25" s="68" t="str">
        <x:v>壬</x:v>
      </x:c>
      <x:c r="N25" s="82" t="str">
        <x:v>中气</x:v>
      </x:c>
      <x:c r="O25" s="68" t="str">
        <x:v>戊</x:v>
      </x:c>
      <x:c r="P25" s="82" t="str">
        <x:v>余气</x:v>
      </x:c>
      <x:c r="Q25" s="68" t="str">
        <x:v>孟秋；申月金主气</x:v>
      </x:c>
      <x:c r="R25" s="68" t="str">
        <x:v>地支申属阳金；标准藏干为庚本气、壬中气、戊余气。地支五行标签与支内各藏干是两个层次。</x:v>
      </x:c>
      <x:c r="S25" s="68" t="str">
        <x:v>地支十神应把各藏干分别相对日主映射；不得仅用地支表面五行直接代替全部十神。</x:v>
      </x:c>
      <x:c r="T25" s="68" t="str">
        <x:v>四柱地支已准确识别</x:v>
      </x:c>
      <x:c r="U25" s="68" t="str">
        <x:v>采用统一十二地支阴阳五行与藏干层级表</x:v>
      </x:c>
      <x:c r="V25" s="68" t="str">
        <x:v>刑冲合会害破只在M06以后修正藏干的有效性；基础藏干字典不因关系名称自动删除。异说须在M21登记。</x:v>
      </x:c>
      <x:c r="W25" s="84" t="str">
        <x:v>地支藏干映射</x:v>
      </x:c>
      <x:c r="X25" s="84" t="str">
        <x:v>地支申：阳金，藏庚本气、壬中气、戊余气。</x:v>
      </x:c>
      <x:c r="Y25" s="82" t="str">
        <x:v>确定</x:v>
      </x:c>
      <x:c r="Z25" s="82" t="str">
        <x:v>跨流派共识</x:v>
      </x:c>
      <x:c r="AA25" s="68" t="str">
        <x:v>传统十二地支、人元藏干通行表；《三命通会》《渊海子平》相关论述</x:v>
      </x:c>
      <x:c r="AB25" s="68" t="str">
        <x:v>https://zh.wikisource.org/wiki/三命通會</x:v>
      </x:c>
      <x:c r="AC25" s="82" t="str">
        <x:v>采用</x:v>
      </x:c>
      <x:c r="AD25" s="82" t="str">
        <x:v>初审</x:v>
      </x:c>
      <x:c r="AE25" s="87" t="n">
        <x:v>46255</x:v>
      </x:c>
    </x:row>
    <x:row r="26" ht="42" customHeight="1">
      <x:c r="A26" s="72" t="str">
        <x:f>IF(OR(C26="",D26=""),"",B26&amp;"-"&amp;UPPER(C26)&amp;"-"&amp;TEXT(D26,"0000")&amp;"-"&amp;E26)</x:f>
        <x:v>M02-DZ-0020-V1.0</x:v>
      </x:c>
      <x:c r="B26" s="74" t="str">
        <x:v>M02</x:v>
      </x:c>
      <x:c r="C26" s="74" t="str">
        <x:v>DZ</x:v>
      </x:c>
      <x:c r="D26" s="79" t="n">
        <x:v>20</x:v>
      </x:c>
      <x:c r="E26" s="74" t="str">
        <x:v>V1.0</x:v>
      </x:c>
      <x:c r="F26" s="82" t="str">
        <x:v>正式规则</x:v>
      </x:c>
      <x:c r="G26" s="82" t="str">
        <x:v>地支</x:v>
      </x:c>
      <x:c r="H26" s="68" t="str">
        <x:v>酉</x:v>
      </x:c>
      <x:c r="I26" s="82" t="str">
        <x:v>阴</x:v>
      </x:c>
      <x:c r="J26" s="82" t="str">
        <x:v>金</x:v>
      </x:c>
      <x:c r="K26" s="68" t="str">
        <x:v>辛</x:v>
      </x:c>
      <x:c r="L26" s="82" t="str">
        <x:v>本气</x:v>
      </x:c>
      <x:c r="M26" s="68"/>
      <x:c r="N26" s="82"/>
      <x:c r="O26" s="68"/>
      <x:c r="P26" s="82"/>
      <x:c r="Q26" s="68" t="str">
        <x:v>仲秋；酉月金主气</x:v>
      </x:c>
      <x:c r="R26" s="68" t="str">
        <x:v>地支酉属阴金；标准藏干为辛本气。地支五行标签与支内各藏干是两个层次。</x:v>
      </x:c>
      <x:c r="S26" s="68" t="str">
        <x:v>地支十神应把各藏干分别相对日主映射；不得仅用地支表面五行直接代替全部十神。</x:v>
      </x:c>
      <x:c r="T26" s="68" t="str">
        <x:v>四柱地支已准确识别</x:v>
      </x:c>
      <x:c r="U26" s="68" t="str">
        <x:v>采用统一十二地支阴阳五行与藏干层级表</x:v>
      </x:c>
      <x:c r="V26" s="68" t="str">
        <x:v>刑冲合会害破只在M06以后修正藏干的有效性；基础藏干字典不因关系名称自动删除。异说须在M21登记。</x:v>
      </x:c>
      <x:c r="W26" s="84" t="str">
        <x:v>地支藏干映射</x:v>
      </x:c>
      <x:c r="X26" s="84" t="str">
        <x:v>地支酉：阴金，藏辛本气。</x:v>
      </x:c>
      <x:c r="Y26" s="82" t="str">
        <x:v>确定</x:v>
      </x:c>
      <x:c r="Z26" s="82" t="str">
        <x:v>跨流派共识</x:v>
      </x:c>
      <x:c r="AA26" s="68" t="str">
        <x:v>传统十二地支、人元藏干通行表；《三命通会》《渊海子平》相关论述</x:v>
      </x:c>
      <x:c r="AB26" s="68" t="str">
        <x:v>https://zh.wikisource.org/wiki/三命通會</x:v>
      </x:c>
      <x:c r="AC26" s="82" t="str">
        <x:v>采用</x:v>
      </x:c>
      <x:c r="AD26" s="82" t="str">
        <x:v>初审</x:v>
      </x:c>
      <x:c r="AE26" s="87" t="n">
        <x:v>46255</x:v>
      </x:c>
    </x:row>
    <x:row r="27" ht="42" customHeight="1">
      <x:c r="A27" s="72" t="str">
        <x:f>IF(OR(C27="",D27=""),"",B27&amp;"-"&amp;UPPER(C27)&amp;"-"&amp;TEXT(D27,"0000")&amp;"-"&amp;E27)</x:f>
        <x:v>M02-DZ-0021-V1.0</x:v>
      </x:c>
      <x:c r="B27" s="74" t="str">
        <x:v>M02</x:v>
      </x:c>
      <x:c r="C27" s="74" t="str">
        <x:v>DZ</x:v>
      </x:c>
      <x:c r="D27" s="79" t="n">
        <x:v>21</x:v>
      </x:c>
      <x:c r="E27" s="74" t="str">
        <x:v>V1.0</x:v>
      </x:c>
      <x:c r="F27" s="82" t="str">
        <x:v>正式规则</x:v>
      </x:c>
      <x:c r="G27" s="82" t="str">
        <x:v>地支</x:v>
      </x:c>
      <x:c r="H27" s="68" t="str">
        <x:v>戌</x:v>
      </x:c>
      <x:c r="I27" s="82" t="str">
        <x:v>阳</x:v>
      </x:c>
      <x:c r="J27" s="82" t="str">
        <x:v>土</x:v>
      </x:c>
      <x:c r="K27" s="68" t="str">
        <x:v>戊</x:v>
      </x:c>
      <x:c r="L27" s="82" t="str">
        <x:v>本气</x:v>
      </x:c>
      <x:c r="M27" s="68" t="str">
        <x:v>辛</x:v>
      </x:c>
      <x:c r="N27" s="82" t="str">
        <x:v>中气</x:v>
      </x:c>
      <x:c r="O27" s="68" t="str">
        <x:v>丁</x:v>
      </x:c>
      <x:c r="P27" s="82" t="str">
        <x:v>余气</x:v>
      </x:c>
      <x:c r="Q27" s="68" t="str">
        <x:v>季秋；燥土，兼藏金火</x:v>
      </x:c>
      <x:c r="R27" s="68" t="str">
        <x:v>地支戌属阳土；标准藏干为戊本气、辛中气、丁余气。地支五行标签与支内各藏干是两个层次。</x:v>
      </x:c>
      <x:c r="S27" s="68" t="str">
        <x:v>地支十神应把各藏干分别相对日主映射；不得仅用地支表面五行直接代替全部十神。</x:v>
      </x:c>
      <x:c r="T27" s="68" t="str">
        <x:v>四柱地支已准确识别</x:v>
      </x:c>
      <x:c r="U27" s="68" t="str">
        <x:v>采用统一十二地支阴阳五行与藏干层级表</x:v>
      </x:c>
      <x:c r="V27" s="68" t="str">
        <x:v>刑冲合会害破只在M06以后修正藏干的有效性；基础藏干字典不因关系名称自动删除。异说须在M21登记。</x:v>
      </x:c>
      <x:c r="W27" s="84" t="str">
        <x:v>地支藏干映射</x:v>
      </x:c>
      <x:c r="X27" s="84" t="str">
        <x:v>地支戌：阳土，藏戊本气、辛中气、丁余气。</x:v>
      </x:c>
      <x:c r="Y27" s="82" t="str">
        <x:v>确定</x:v>
      </x:c>
      <x:c r="Z27" s="82" t="str">
        <x:v>跨流派共识</x:v>
      </x:c>
      <x:c r="AA27" s="68" t="str">
        <x:v>传统十二地支、人元藏干通行表；《三命通会》《渊海子平》相关论述</x:v>
      </x:c>
      <x:c r="AB27" s="68" t="str">
        <x:v>https://zh.wikisource.org/wiki/三命通會</x:v>
      </x:c>
      <x:c r="AC27" s="82" t="str">
        <x:v>采用</x:v>
      </x:c>
      <x:c r="AD27" s="82" t="str">
        <x:v>初审</x:v>
      </x:c>
      <x:c r="AE27" s="87" t="n">
        <x:v>46255</x:v>
      </x:c>
    </x:row>
    <x:row r="28" ht="42" customHeight="1">
      <x:c r="A28" s="72" t="str">
        <x:f>IF(OR(C28="",D28=""),"",B28&amp;"-"&amp;UPPER(C28)&amp;"-"&amp;TEXT(D28,"0000")&amp;"-"&amp;E28)</x:f>
        <x:v>M02-DZ-0022-V1.0</x:v>
      </x:c>
      <x:c r="B28" s="74" t="str">
        <x:v>M02</x:v>
      </x:c>
      <x:c r="C28" s="74" t="str">
        <x:v>DZ</x:v>
      </x:c>
      <x:c r="D28" s="79" t="n">
        <x:v>22</x:v>
      </x:c>
      <x:c r="E28" s="74" t="str">
        <x:v>V1.0</x:v>
      </x:c>
      <x:c r="F28" s="82" t="str">
        <x:v>正式规则</x:v>
      </x:c>
      <x:c r="G28" s="82" t="str">
        <x:v>地支</x:v>
      </x:c>
      <x:c r="H28" s="68" t="str">
        <x:v>亥</x:v>
      </x:c>
      <x:c r="I28" s="82" t="str">
        <x:v>阴</x:v>
      </x:c>
      <x:c r="J28" s="82" t="str">
        <x:v>水</x:v>
      </x:c>
      <x:c r="K28" s="68" t="str">
        <x:v>壬</x:v>
      </x:c>
      <x:c r="L28" s="82" t="str">
        <x:v>本气</x:v>
      </x:c>
      <x:c r="M28" s="68" t="str">
        <x:v>甲</x:v>
      </x:c>
      <x:c r="N28" s="82" t="str">
        <x:v>中气</x:v>
      </x:c>
      <x:c r="O28" s="68"/>
      <x:c r="P28" s="82"/>
      <x:c r="Q28" s="68" t="str">
        <x:v>孟冬；亥月水主气</x:v>
      </x:c>
      <x:c r="R28" s="68" t="str">
        <x:v>地支亥属阴水；标准藏干为壬本气、甲中气。地支五行标签与支内各藏干是两个层次。</x:v>
      </x:c>
      <x:c r="S28" s="68" t="str">
        <x:v>地支十神应把各藏干分别相对日主映射；不得仅用地支表面五行直接代替全部十神。</x:v>
      </x:c>
      <x:c r="T28" s="68" t="str">
        <x:v>四柱地支已准确识别</x:v>
      </x:c>
      <x:c r="U28" s="68" t="str">
        <x:v>采用统一十二地支阴阳五行与藏干层级表</x:v>
      </x:c>
      <x:c r="V28" s="68" t="str">
        <x:v>刑冲合会害破只在M06以后修正藏干的有效性；基础藏干字典不因关系名称自动删除。异说须在M21登记。</x:v>
      </x:c>
      <x:c r="W28" s="84" t="str">
        <x:v>地支藏干映射</x:v>
      </x:c>
      <x:c r="X28" s="84" t="str">
        <x:v>地支亥：阴水，藏壬本气、甲中气。</x:v>
      </x:c>
      <x:c r="Y28" s="82" t="str">
        <x:v>确定</x:v>
      </x:c>
      <x:c r="Z28" s="82" t="str">
        <x:v>跨流派共识</x:v>
      </x:c>
      <x:c r="AA28" s="68" t="str">
        <x:v>传统十二地支、人元藏干通行表；《三命通会》《渊海子平》相关论述</x:v>
      </x:c>
      <x:c r="AB28" s="68" t="str">
        <x:v>https://zh.wikisource.org/wiki/三命通會</x:v>
      </x:c>
      <x:c r="AC28" s="82" t="str">
        <x:v>采用</x:v>
      </x:c>
      <x:c r="AD28" s="82" t="str">
        <x:v>初审</x:v>
      </x:c>
      <x:c r="AE28" s="87" t="n">
        <x:v>46255</x:v>
      </x:c>
    </x:row>
    <x:row r="29" ht="42" customHeight="1">
      <x:c r="A29" s="72" t="str">
        <x:f>IF(OR(C29="",D29=""),"",B29&amp;"-"&amp;UPPER(C29)&amp;"-"&amp;TEXT(D29,"0000")&amp;"-"&amp;E29)</x:f>
        <x:v>M02-WX-0023-V1.0</x:v>
      </x:c>
      <x:c r="B29" s="74" t="str">
        <x:v>M02</x:v>
      </x:c>
      <x:c r="C29" s="74" t="str">
        <x:v>WX</x:v>
      </x:c>
      <x:c r="D29" s="79" t="n">
        <x:v>23</x:v>
      </x:c>
      <x:c r="E29" s="74" t="str">
        <x:v>V1.0</x:v>
      </x:c>
      <x:c r="F29" s="82" t="str">
        <x:v>正式规则</x:v>
      </x:c>
      <x:c r="G29" s="82" t="str">
        <x:v>五行</x:v>
      </x:c>
      <x:c r="H29" s="68" t="str">
        <x:v>木</x:v>
      </x:c>
      <x:c r="I29" s="82"/>
      <x:c r="J29" s="82" t="str">
        <x:v>木</x:v>
      </x:c>
      <x:c r="K29" s="68"/>
      <x:c r="L29" s="82"/>
      <x:c r="M29" s="68"/>
      <x:c r="N29" s="82"/>
      <x:c r="O29" s="68"/>
      <x:c r="P29" s="82"/>
      <x:c r="Q29" s="68" t="str">
        <x:v>春季、东方；生火，受水生，克土，受金克</x:v>
      </x:c>
      <x:c r="R29" s="68" t="str">
        <x:v>木为五行之一；基础生克方向为水生木、木生火、木克土、金克木。</x:v>
      </x:c>
      <x:c r="S29" s="68" t="str">
        <x:v>十神先依据日主与对象的生克方向确定比劫、食伤、财、官杀、印，再依据阴阳同异区分正偏。</x:v>
      </x:c>
      <x:c r="T29" s="68" t="str">
        <x:v>判断对象的五行属性已确定</x:v>
      </x:c>
      <x:c r="U29" s="68" t="str">
        <x:v>采用木火土金水生克循环</x:v>
      </x:c>
      <x:c r="V29" s="68" t="str">
        <x:v>生克方向是基础关系，不直接代表吉凶、旺衰或实际作用强度；实际效应转M06/M08。</x:v>
      </x:c>
      <x:c r="W29" s="84" t="str">
        <x:v>五行基础生克</x:v>
      </x:c>
      <x:c r="X29" s="84" t="str">
        <x:v>木的基础生克关系已固定；实际力量与喜忌另行判断。</x:v>
      </x:c>
      <x:c r="Y29" s="82" t="str">
        <x:v>确定</x:v>
      </x:c>
      <x:c r="Z29" s="82" t="str">
        <x:v>跨流派共识</x:v>
      </x:c>
      <x:c r="AA29" s="68" t="str">
        <x:v>五行生克通行定义；《渊海子平》相关基础论述</x:v>
      </x:c>
      <x:c r="AB29" s="68" t="str">
        <x:v>https://zh.wikisource.org/wiki/淵海子平</x:v>
      </x:c>
      <x:c r="AC29" s="82" t="str">
        <x:v>采用</x:v>
      </x:c>
      <x:c r="AD29" s="82" t="str">
        <x:v>初审</x:v>
      </x:c>
      <x:c r="AE29" s="87" t="n">
        <x:v>46255</x:v>
      </x:c>
    </x:row>
    <x:row r="30" ht="42" customHeight="1">
      <x:c r="A30" s="72" t="str">
        <x:f>IF(OR(C30="",D30=""),"",B30&amp;"-"&amp;UPPER(C30)&amp;"-"&amp;TEXT(D30,"0000")&amp;"-"&amp;E30)</x:f>
        <x:v>M02-WX-0024-V1.0</x:v>
      </x:c>
      <x:c r="B30" s="74" t="str">
        <x:v>M02</x:v>
      </x:c>
      <x:c r="C30" s="74" t="str">
        <x:v>WX</x:v>
      </x:c>
      <x:c r="D30" s="79" t="n">
        <x:v>24</x:v>
      </x:c>
      <x:c r="E30" s="74" t="str">
        <x:v>V1.0</x:v>
      </x:c>
      <x:c r="F30" s="82" t="str">
        <x:v>正式规则</x:v>
      </x:c>
      <x:c r="G30" s="82" t="str">
        <x:v>五行</x:v>
      </x:c>
      <x:c r="H30" s="68" t="str">
        <x:v>火</x:v>
      </x:c>
      <x:c r="I30" s="82"/>
      <x:c r="J30" s="82" t="str">
        <x:v>火</x:v>
      </x:c>
      <x:c r="K30" s="68"/>
      <x:c r="L30" s="82"/>
      <x:c r="M30" s="68"/>
      <x:c r="N30" s="82"/>
      <x:c r="O30" s="68"/>
      <x:c r="P30" s="82"/>
      <x:c r="Q30" s="68" t="str">
        <x:v>夏季、南方；生土，受木生，克金，受水克</x:v>
      </x:c>
      <x:c r="R30" s="68" t="str">
        <x:v>火为五行之一；基础生克方向为木生火、火生土、火克金、水克火。</x:v>
      </x:c>
      <x:c r="S30" s="68" t="str">
        <x:v>十神先依据日主与对象的生克方向确定比劫、食伤、财、官杀、印，再依据阴阳同异区分正偏。</x:v>
      </x:c>
      <x:c r="T30" s="68" t="str">
        <x:v>判断对象的五行属性已确定</x:v>
      </x:c>
      <x:c r="U30" s="68" t="str">
        <x:v>采用木火土金水生克循环</x:v>
      </x:c>
      <x:c r="V30" s="68" t="str">
        <x:v>生克方向是基础关系，不直接代表吉凶、旺衰或实际作用强度；实际效应转M06/M08。</x:v>
      </x:c>
      <x:c r="W30" s="84" t="str">
        <x:v>五行基础生克</x:v>
      </x:c>
      <x:c r="X30" s="84" t="str">
        <x:v>火的基础生克关系已固定；实际力量与喜忌另行判断。</x:v>
      </x:c>
      <x:c r="Y30" s="82" t="str">
        <x:v>确定</x:v>
      </x:c>
      <x:c r="Z30" s="82" t="str">
        <x:v>跨流派共识</x:v>
      </x:c>
      <x:c r="AA30" s="68" t="str">
        <x:v>五行生克通行定义；《渊海子平》相关基础论述</x:v>
      </x:c>
      <x:c r="AB30" s="68" t="str">
        <x:v>https://zh.wikisource.org/wiki/淵海子平</x:v>
      </x:c>
      <x:c r="AC30" s="82" t="str">
        <x:v>采用</x:v>
      </x:c>
      <x:c r="AD30" s="82" t="str">
        <x:v>初审</x:v>
      </x:c>
      <x:c r="AE30" s="87" t="n">
        <x:v>46255</x:v>
      </x:c>
    </x:row>
    <x:row r="31" ht="42" customHeight="1">
      <x:c r="A31" s="72" t="str">
        <x:f>IF(OR(C31="",D31=""),"",B31&amp;"-"&amp;UPPER(C31)&amp;"-"&amp;TEXT(D31,"0000")&amp;"-"&amp;E31)</x:f>
        <x:v>M02-WX-0025-V1.0</x:v>
      </x:c>
      <x:c r="B31" s="74" t="str">
        <x:v>M02</x:v>
      </x:c>
      <x:c r="C31" s="74" t="str">
        <x:v>WX</x:v>
      </x:c>
      <x:c r="D31" s="79" t="n">
        <x:v>25</x:v>
      </x:c>
      <x:c r="E31" s="74" t="str">
        <x:v>V1.0</x:v>
      </x:c>
      <x:c r="F31" s="82" t="str">
        <x:v>正式规则</x:v>
      </x:c>
      <x:c r="G31" s="82" t="str">
        <x:v>五行</x:v>
      </x:c>
      <x:c r="H31" s="68" t="str">
        <x:v>土</x:v>
      </x:c>
      <x:c r="I31" s="82"/>
      <x:c r="J31" s="82" t="str">
        <x:v>土</x:v>
      </x:c>
      <x:c r="K31" s="68"/>
      <x:c r="L31" s="82"/>
      <x:c r="M31" s="68"/>
      <x:c r="N31" s="82"/>
      <x:c r="O31" s="68"/>
      <x:c r="P31" s="82"/>
      <x:c r="Q31" s="68" t="str">
        <x:v>四季末月、中央；生金，受火生，克水，受木克</x:v>
      </x:c>
      <x:c r="R31" s="68" t="str">
        <x:v>土为五行之一；基础生克方向为火生土、土生金、土克水、木克土。</x:v>
      </x:c>
      <x:c r="S31" s="68" t="str">
        <x:v>十神先依据日主与对象的生克方向确定比劫、食伤、财、官杀、印，再依据阴阳同异区分正偏。</x:v>
      </x:c>
      <x:c r="T31" s="68" t="str">
        <x:v>判断对象的五行属性已确定</x:v>
      </x:c>
      <x:c r="U31" s="68" t="str">
        <x:v>采用木火土金水生克循环</x:v>
      </x:c>
      <x:c r="V31" s="68" t="str">
        <x:v>生克方向是基础关系，不直接代表吉凶、旺衰或实际作用强度；实际效应转M06/M08。</x:v>
      </x:c>
      <x:c r="W31" s="84" t="str">
        <x:v>五行基础生克</x:v>
      </x:c>
      <x:c r="X31" s="84" t="str">
        <x:v>土的基础生克关系已固定；实际力量与喜忌另行判断。</x:v>
      </x:c>
      <x:c r="Y31" s="82" t="str">
        <x:v>确定</x:v>
      </x:c>
      <x:c r="Z31" s="82" t="str">
        <x:v>跨流派共识</x:v>
      </x:c>
      <x:c r="AA31" s="68" t="str">
        <x:v>五行生克通行定义；《渊海子平》相关基础论述</x:v>
      </x:c>
      <x:c r="AB31" s="68" t="str">
        <x:v>https://zh.wikisource.org/wiki/淵海子平</x:v>
      </x:c>
      <x:c r="AC31" s="82" t="str">
        <x:v>采用</x:v>
      </x:c>
      <x:c r="AD31" s="82" t="str">
        <x:v>初审</x:v>
      </x:c>
      <x:c r="AE31" s="87" t="n">
        <x:v>46255</x:v>
      </x:c>
    </x:row>
    <x:row r="32" ht="42" customHeight="1">
      <x:c r="A32" s="72" t="str">
        <x:f>IF(OR(C32="",D32=""),"",B32&amp;"-"&amp;UPPER(C32)&amp;"-"&amp;TEXT(D32,"0000")&amp;"-"&amp;E32)</x:f>
        <x:v>M02-WX-0026-V1.0</x:v>
      </x:c>
      <x:c r="B32" s="74" t="str">
        <x:v>M02</x:v>
      </x:c>
      <x:c r="C32" s="74" t="str">
        <x:v>WX</x:v>
      </x:c>
      <x:c r="D32" s="79" t="n">
        <x:v>26</x:v>
      </x:c>
      <x:c r="E32" s="74" t="str">
        <x:v>V1.0</x:v>
      </x:c>
      <x:c r="F32" s="82" t="str">
        <x:v>正式规则</x:v>
      </x:c>
      <x:c r="G32" s="82" t="str">
        <x:v>五行</x:v>
      </x:c>
      <x:c r="H32" s="68" t="str">
        <x:v>金</x:v>
      </x:c>
      <x:c r="I32" s="82"/>
      <x:c r="J32" s="82" t="str">
        <x:v>金</x:v>
      </x:c>
      <x:c r="K32" s="68"/>
      <x:c r="L32" s="82"/>
      <x:c r="M32" s="68"/>
      <x:c r="N32" s="82"/>
      <x:c r="O32" s="68"/>
      <x:c r="P32" s="82"/>
      <x:c r="Q32" s="68" t="str">
        <x:v>秋季、西方；生水，受土生，克木，受火克</x:v>
      </x:c>
      <x:c r="R32" s="68" t="str">
        <x:v>金为五行之一；基础生克方向为土生金、金生水、金克木、火克金。</x:v>
      </x:c>
      <x:c r="S32" s="68" t="str">
        <x:v>十神先依据日主与对象的生克方向确定比劫、食伤、财、官杀、印，再依据阴阳同异区分正偏。</x:v>
      </x:c>
      <x:c r="T32" s="68" t="str">
        <x:v>判断对象的五行属性已确定</x:v>
      </x:c>
      <x:c r="U32" s="68" t="str">
        <x:v>采用木火土金水生克循环</x:v>
      </x:c>
      <x:c r="V32" s="68" t="str">
        <x:v>生克方向是基础关系，不直接代表吉凶、旺衰或实际作用强度；实际效应转M06/M08。</x:v>
      </x:c>
      <x:c r="W32" s="84" t="str">
        <x:v>五行基础生克</x:v>
      </x:c>
      <x:c r="X32" s="84" t="str">
        <x:v>金的基础生克关系已固定；实际力量与喜忌另行判断。</x:v>
      </x:c>
      <x:c r="Y32" s="82" t="str">
        <x:v>确定</x:v>
      </x:c>
      <x:c r="Z32" s="82" t="str">
        <x:v>跨流派共识</x:v>
      </x:c>
      <x:c r="AA32" s="68" t="str">
        <x:v>五行生克通行定义；《渊海子平》相关基础论述</x:v>
      </x:c>
      <x:c r="AB32" s="68" t="str">
        <x:v>https://zh.wikisource.org/wiki/淵海子平</x:v>
      </x:c>
      <x:c r="AC32" s="82" t="str">
        <x:v>采用</x:v>
      </x:c>
      <x:c r="AD32" s="82" t="str">
        <x:v>初审</x:v>
      </x:c>
      <x:c r="AE32" s="87" t="n">
        <x:v>46255</x:v>
      </x:c>
    </x:row>
    <x:row r="33" ht="42" customHeight="1">
      <x:c r="A33" s="72" t="str">
        <x:f>IF(OR(C33="",D33=""),"",B33&amp;"-"&amp;UPPER(C33)&amp;"-"&amp;TEXT(D33,"0000")&amp;"-"&amp;E33)</x:f>
        <x:v>M02-WX-0027-V1.0</x:v>
      </x:c>
      <x:c r="B33" s="74" t="str">
        <x:v>M02</x:v>
      </x:c>
      <x:c r="C33" s="74" t="str">
        <x:v>WX</x:v>
      </x:c>
      <x:c r="D33" s="79" t="n">
        <x:v>27</x:v>
      </x:c>
      <x:c r="E33" s="74" t="str">
        <x:v>V1.0</x:v>
      </x:c>
      <x:c r="F33" s="82" t="str">
        <x:v>正式规则</x:v>
      </x:c>
      <x:c r="G33" s="82" t="str">
        <x:v>五行</x:v>
      </x:c>
      <x:c r="H33" s="68" t="str">
        <x:v>水</x:v>
      </x:c>
      <x:c r="I33" s="82"/>
      <x:c r="J33" s="82" t="str">
        <x:v>水</x:v>
      </x:c>
      <x:c r="K33" s="68"/>
      <x:c r="L33" s="82"/>
      <x:c r="M33" s="68"/>
      <x:c r="N33" s="82"/>
      <x:c r="O33" s="68"/>
      <x:c r="P33" s="82"/>
      <x:c r="Q33" s="68" t="str">
        <x:v>冬季、北方；生木，受金生，克火，受土克</x:v>
      </x:c>
      <x:c r="R33" s="68" t="str">
        <x:v>水为五行之一；基础生克方向为金生水、水生木、水克火、土克水。</x:v>
      </x:c>
      <x:c r="S33" s="68" t="str">
        <x:v>十神先依据日主与对象的生克方向确定比劫、食伤、财、官杀、印，再依据阴阳同异区分正偏。</x:v>
      </x:c>
      <x:c r="T33" s="68" t="str">
        <x:v>判断对象的五行属性已确定</x:v>
      </x:c>
      <x:c r="U33" s="68" t="str">
        <x:v>采用木火土金水生克循环</x:v>
      </x:c>
      <x:c r="V33" s="68" t="str">
        <x:v>生克方向是基础关系，不直接代表吉凶、旺衰或实际作用强度；实际效应转M06/M08。</x:v>
      </x:c>
      <x:c r="W33" s="84" t="str">
        <x:v>五行基础生克</x:v>
      </x:c>
      <x:c r="X33" s="84" t="str">
        <x:v>水的基础生克关系已固定；实际力量与喜忌另行判断。</x:v>
      </x:c>
      <x:c r="Y33" s="82" t="str">
        <x:v>确定</x:v>
      </x:c>
      <x:c r="Z33" s="82" t="str">
        <x:v>跨流派共识</x:v>
      </x:c>
      <x:c r="AA33" s="68" t="str">
        <x:v>五行生克通行定义；《渊海子平》相关基础论述</x:v>
      </x:c>
      <x:c r="AB33" s="68" t="str">
        <x:v>https://zh.wikisource.org/wiki/淵海子平</x:v>
      </x:c>
      <x:c r="AC33" s="82" t="str">
        <x:v>采用</x:v>
      </x:c>
      <x:c r="AD33" s="82" t="str">
        <x:v>初审</x:v>
      </x:c>
      <x:c r="AE33" s="87" t="n">
        <x:v>46255</x:v>
      </x:c>
    </x:row>
    <x:row r="34" ht="42" customHeight="1">
      <x:c r="A34" s="72" t="str">
        <x:f>IF(OR(C34="",D34=""),"",B34&amp;"-"&amp;UPPER(C34)&amp;"-"&amp;TEXT(D34,"0000")&amp;"-"&amp;E34)</x:f>
        <x:v>M02-SS-0028-V1.0</x:v>
      </x:c>
      <x:c r="B34" s="74" t="str">
        <x:v>M02</x:v>
      </x:c>
      <x:c r="C34" s="74" t="str">
        <x:v>SS</x:v>
      </x:c>
      <x:c r="D34" s="79" t="n">
        <x:v>28</x:v>
      </x:c>
      <x:c r="E34" s="74" t="str">
        <x:v>V1.0</x:v>
      </x:c>
      <x:c r="F34" s="82" t="str">
        <x:v>正式规则</x:v>
      </x:c>
      <x:c r="G34" s="82" t="str">
        <x:v>十神</x:v>
      </x:c>
      <x:c r="H34" s="68" t="str">
        <x:v>比肩</x:v>
      </x:c>
      <x:c r="I34" s="82"/>
      <x:c r="J34" s="82"/>
      <x:c r="K34" s="68"/>
      <x:c r="L34" s="82"/>
      <x:c r="M34" s="68"/>
      <x:c r="N34" s="82"/>
      <x:c r="O34" s="68"/>
      <x:c r="P34" s="82"/>
      <x:c r="Q34" s="68" t="str">
        <x:v>生克方向：同我；阴阳关系：同阴阳</x:v>
      </x:c>
      <x:c r="R34" s="68" t="str">
        <x:v>比肩是相对于日主建立的关系标签，不是某个天干或地支的固定属性。</x:v>
      </x:c>
      <x:c r="S34" s="68" t="str">
        <x:v>日主与对象五行相同且阴阳相同时，映射为比肩。</x:v>
      </x:c>
      <x:c r="T34" s="68" t="str">
        <x:v>日主天干及对象天干或藏干均已确定阴阳五行</x:v>
      </x:c>
      <x:c r="U34" s="68" t="str">
        <x:v>同时满足生克方向“同我”与阴阳关系“同阴阳”</x:v>
      </x:c>
      <x:c r="V34" s="68" t="str">
        <x:v>地支必须先拆分为各藏干后分别映射；组合、合化或从格不改基础十神名称，但会改变其有效功能。</x:v>
      </x:c>
      <x:c r="W34" s="84" t="str">
        <x:v>十神基础映射</x:v>
      </x:c>
      <x:c r="X34" s="84" t="str">
        <x:v>日主与对象五行相同且阴阳相同，故该对象相对日主为比肩。</x:v>
      </x:c>
      <x:c r="Y34" s="82" t="str">
        <x:v>确定</x:v>
      </x:c>
      <x:c r="Z34" s="82" t="str">
        <x:v>跨流派共识</x:v>
      </x:c>
      <x:c r="AA34" s="68" t="str">
        <x:v>十神按日主生克与阴阳同异映射；《渊海子平》《三命通会》相关论述</x:v>
      </x:c>
      <x:c r="AB34" s="68" t="str">
        <x:v>https://zh.wikisource.org/wiki/淵海子平</x:v>
      </x:c>
      <x:c r="AC34" s="82" t="str">
        <x:v>采用</x:v>
      </x:c>
      <x:c r="AD34" s="82" t="str">
        <x:v>初审</x:v>
      </x:c>
      <x:c r="AE34" s="87" t="n">
        <x:v>46255</x:v>
      </x:c>
    </x:row>
    <x:row r="35" ht="42" customHeight="1">
      <x:c r="A35" s="72" t="str">
        <x:f>IF(OR(C35="",D35=""),"",B35&amp;"-"&amp;UPPER(C35)&amp;"-"&amp;TEXT(D35,"0000")&amp;"-"&amp;E35)</x:f>
        <x:v>M02-SS-0029-V1.0</x:v>
      </x:c>
      <x:c r="B35" s="74" t="str">
        <x:v>M02</x:v>
      </x:c>
      <x:c r="C35" s="74" t="str">
        <x:v>SS</x:v>
      </x:c>
      <x:c r="D35" s="79" t="n">
        <x:v>29</x:v>
      </x:c>
      <x:c r="E35" s="74" t="str">
        <x:v>V1.0</x:v>
      </x:c>
      <x:c r="F35" s="82" t="str">
        <x:v>正式规则</x:v>
      </x:c>
      <x:c r="G35" s="82" t="str">
        <x:v>十神</x:v>
      </x:c>
      <x:c r="H35" s="68" t="str">
        <x:v>劫财</x:v>
      </x:c>
      <x:c r="I35" s="82"/>
      <x:c r="J35" s="82"/>
      <x:c r="K35" s="68"/>
      <x:c r="L35" s="82"/>
      <x:c r="M35" s="68"/>
      <x:c r="N35" s="82"/>
      <x:c r="O35" s="68"/>
      <x:c r="P35" s="82"/>
      <x:c r="Q35" s="68" t="str">
        <x:v>生克方向：同我；阴阳关系：异阴阳</x:v>
      </x:c>
      <x:c r="R35" s="68" t="str">
        <x:v>劫财是相对于日主建立的关系标签，不是某个天干或地支的固定属性。</x:v>
      </x:c>
      <x:c r="S35" s="68" t="str">
        <x:v>日主与对象五行相同且阴阳相异时，映射为劫财。</x:v>
      </x:c>
      <x:c r="T35" s="68" t="str">
        <x:v>日主天干及对象天干或藏干均已确定阴阳五行</x:v>
      </x:c>
      <x:c r="U35" s="68" t="str">
        <x:v>同时满足生克方向“同我”与阴阳关系“异阴阳”</x:v>
      </x:c>
      <x:c r="V35" s="68" t="str">
        <x:v>地支必须先拆分为各藏干后分别映射；组合、合化或从格不改基础十神名称，但会改变其有效功能。</x:v>
      </x:c>
      <x:c r="W35" s="84" t="str">
        <x:v>十神基础映射</x:v>
      </x:c>
      <x:c r="X35" s="84" t="str">
        <x:v>日主与对象五行相同且阴阳相异，故该对象相对日主为劫财。</x:v>
      </x:c>
      <x:c r="Y35" s="82" t="str">
        <x:v>确定</x:v>
      </x:c>
      <x:c r="Z35" s="82" t="str">
        <x:v>跨流派共识</x:v>
      </x:c>
      <x:c r="AA35" s="68" t="str">
        <x:v>十神按日主生克与阴阳同异映射；《渊海子平》《三命通会》相关论述</x:v>
      </x:c>
      <x:c r="AB35" s="68" t="str">
        <x:v>https://zh.wikisource.org/wiki/淵海子平</x:v>
      </x:c>
      <x:c r="AC35" s="82" t="str">
        <x:v>采用</x:v>
      </x:c>
      <x:c r="AD35" s="82" t="str">
        <x:v>初审</x:v>
      </x:c>
      <x:c r="AE35" s="87" t="n">
        <x:v>46255</x:v>
      </x:c>
    </x:row>
    <x:row r="36" ht="42" customHeight="1">
      <x:c r="A36" s="72" t="str">
        <x:f>IF(OR(C36="",D36=""),"",B36&amp;"-"&amp;UPPER(C36)&amp;"-"&amp;TEXT(D36,"0000")&amp;"-"&amp;E36)</x:f>
        <x:v>M02-SS-0030-V1.0</x:v>
      </x:c>
      <x:c r="B36" s="74" t="str">
        <x:v>M02</x:v>
      </x:c>
      <x:c r="C36" s="74" t="str">
        <x:v>SS</x:v>
      </x:c>
      <x:c r="D36" s="79" t="n">
        <x:v>30</x:v>
      </x:c>
      <x:c r="E36" s="74" t="str">
        <x:v>V1.0</x:v>
      </x:c>
      <x:c r="F36" s="82" t="str">
        <x:v>正式规则</x:v>
      </x:c>
      <x:c r="G36" s="82" t="str">
        <x:v>十神</x:v>
      </x:c>
      <x:c r="H36" s="68" t="str">
        <x:v>食神</x:v>
      </x:c>
      <x:c r="I36" s="82"/>
      <x:c r="J36" s="82"/>
      <x:c r="K36" s="68"/>
      <x:c r="L36" s="82"/>
      <x:c r="M36" s="68"/>
      <x:c r="N36" s="82"/>
      <x:c r="O36" s="68"/>
      <x:c r="P36" s="82"/>
      <x:c r="Q36" s="68" t="str">
        <x:v>生克方向：我生；阴阳关系：同阴阳</x:v>
      </x:c>
      <x:c r="R36" s="68" t="str">
        <x:v>食神是相对于日主建立的关系标签，不是某个天干或地支的固定属性。</x:v>
      </x:c>
      <x:c r="S36" s="68" t="str">
        <x:v>对象五行为日主所生，且与日主阴阳相同时，映射为食神。</x:v>
      </x:c>
      <x:c r="T36" s="68" t="str">
        <x:v>日主天干及对象天干或藏干均已确定阴阳五行</x:v>
      </x:c>
      <x:c r="U36" s="68" t="str">
        <x:v>同时满足生克方向“我生”与阴阳关系“同阴阳”</x:v>
      </x:c>
      <x:c r="V36" s="68" t="str">
        <x:v>地支必须先拆分为各藏干后分别映射；组合、合化或从格不改基础十神名称，但会改变其有效功能。</x:v>
      </x:c>
      <x:c r="W36" s="84" t="str">
        <x:v>十神基础映射</x:v>
      </x:c>
      <x:c r="X36" s="84" t="str">
        <x:v>对象五行为日主所生，且与日主阴阳相同，故该对象相对日主为食神。</x:v>
      </x:c>
      <x:c r="Y36" s="82" t="str">
        <x:v>确定</x:v>
      </x:c>
      <x:c r="Z36" s="82" t="str">
        <x:v>跨流派共识</x:v>
      </x:c>
      <x:c r="AA36" s="68" t="str">
        <x:v>十神按日主生克与阴阳同异映射；《渊海子平》《三命通会》相关论述</x:v>
      </x:c>
      <x:c r="AB36" s="68" t="str">
        <x:v>https://zh.wikisource.org/wiki/淵海子平</x:v>
      </x:c>
      <x:c r="AC36" s="82" t="str">
        <x:v>采用</x:v>
      </x:c>
      <x:c r="AD36" s="82" t="str">
        <x:v>初审</x:v>
      </x:c>
      <x:c r="AE36" s="87" t="n">
        <x:v>46255</x:v>
      </x:c>
    </x:row>
    <x:row r="37" ht="42" customHeight="1">
      <x:c r="A37" s="72" t="str">
        <x:f>IF(OR(C37="",D37=""),"",B37&amp;"-"&amp;UPPER(C37)&amp;"-"&amp;TEXT(D37,"0000")&amp;"-"&amp;E37)</x:f>
        <x:v>M02-SS-0031-V1.0</x:v>
      </x:c>
      <x:c r="B37" s="74" t="str">
        <x:v>M02</x:v>
      </x:c>
      <x:c r="C37" s="74" t="str">
        <x:v>SS</x:v>
      </x:c>
      <x:c r="D37" s="79" t="n">
        <x:v>31</x:v>
      </x:c>
      <x:c r="E37" s="74" t="str">
        <x:v>V1.0</x:v>
      </x:c>
      <x:c r="F37" s="82" t="str">
        <x:v>正式规则</x:v>
      </x:c>
      <x:c r="G37" s="82" t="str">
        <x:v>十神</x:v>
      </x:c>
      <x:c r="H37" s="68" t="str">
        <x:v>伤官</x:v>
      </x:c>
      <x:c r="I37" s="82"/>
      <x:c r="J37" s="82"/>
      <x:c r="K37" s="68"/>
      <x:c r="L37" s="82"/>
      <x:c r="M37" s="68"/>
      <x:c r="N37" s="82"/>
      <x:c r="O37" s="68"/>
      <x:c r="P37" s="82"/>
      <x:c r="Q37" s="68" t="str">
        <x:v>生克方向：我生；阴阳关系：异阴阳</x:v>
      </x:c>
      <x:c r="R37" s="68" t="str">
        <x:v>伤官是相对于日主建立的关系标签，不是某个天干或地支的固定属性。</x:v>
      </x:c>
      <x:c r="S37" s="68" t="str">
        <x:v>对象五行为日主所生，且与日主阴阳相异时，映射为伤官。</x:v>
      </x:c>
      <x:c r="T37" s="68" t="str">
        <x:v>日主天干及对象天干或藏干均已确定阴阳五行</x:v>
      </x:c>
      <x:c r="U37" s="68" t="str">
        <x:v>同时满足生克方向“我生”与阴阳关系“异阴阳”</x:v>
      </x:c>
      <x:c r="V37" s="68" t="str">
        <x:v>地支必须先拆分为各藏干后分别映射；组合、合化或从格不改基础十神名称，但会改变其有效功能。</x:v>
      </x:c>
      <x:c r="W37" s="84" t="str">
        <x:v>十神基础映射</x:v>
      </x:c>
      <x:c r="X37" s="84" t="str">
        <x:v>对象五行为日主所生，且与日主阴阳相异，故该对象相对日主为伤官。</x:v>
      </x:c>
      <x:c r="Y37" s="82" t="str">
        <x:v>确定</x:v>
      </x:c>
      <x:c r="Z37" s="82" t="str">
        <x:v>跨流派共识</x:v>
      </x:c>
      <x:c r="AA37" s="68" t="str">
        <x:v>十神按日主生克与阴阳同异映射；《渊海子平》《三命通会》相关论述</x:v>
      </x:c>
      <x:c r="AB37" s="68" t="str">
        <x:v>https://zh.wikisource.org/wiki/淵海子平</x:v>
      </x:c>
      <x:c r="AC37" s="82" t="str">
        <x:v>采用</x:v>
      </x:c>
      <x:c r="AD37" s="82" t="str">
        <x:v>初审</x:v>
      </x:c>
      <x:c r="AE37" s="87" t="n">
        <x:v>46255</x:v>
      </x:c>
    </x:row>
    <x:row r="38" ht="42" customHeight="1">
      <x:c r="A38" s="72" t="str">
        <x:f>IF(OR(C38="",D38=""),"",B38&amp;"-"&amp;UPPER(C38)&amp;"-"&amp;TEXT(D38,"0000")&amp;"-"&amp;E38)</x:f>
        <x:v>M02-SS-0032-V1.0</x:v>
      </x:c>
      <x:c r="B38" s="74" t="str">
        <x:v>M02</x:v>
      </x:c>
      <x:c r="C38" s="74" t="str">
        <x:v>SS</x:v>
      </x:c>
      <x:c r="D38" s="79" t="n">
        <x:v>32</x:v>
      </x:c>
      <x:c r="E38" s="74" t="str">
        <x:v>V1.0</x:v>
      </x:c>
      <x:c r="F38" s="82" t="str">
        <x:v>正式规则</x:v>
      </x:c>
      <x:c r="G38" s="82" t="str">
        <x:v>十神</x:v>
      </x:c>
      <x:c r="H38" s="68" t="str">
        <x:v>偏财</x:v>
      </x:c>
      <x:c r="I38" s="82"/>
      <x:c r="J38" s="82"/>
      <x:c r="K38" s="68"/>
      <x:c r="L38" s="82"/>
      <x:c r="M38" s="68"/>
      <x:c r="N38" s="82"/>
      <x:c r="O38" s="68"/>
      <x:c r="P38" s="82"/>
      <x:c r="Q38" s="68" t="str">
        <x:v>生克方向：我克；阴阳关系：同阴阳</x:v>
      </x:c>
      <x:c r="R38" s="68" t="str">
        <x:v>偏财是相对于日主建立的关系标签，不是某个天干或地支的固定属性。</x:v>
      </x:c>
      <x:c r="S38" s="68" t="str">
        <x:v>对象五行为日主所克，且与日主阴阳相同时，映射为偏财。</x:v>
      </x:c>
      <x:c r="T38" s="68" t="str">
        <x:v>日主天干及对象天干或藏干均已确定阴阳五行</x:v>
      </x:c>
      <x:c r="U38" s="68" t="str">
        <x:v>同时满足生克方向“我克”与阴阳关系“同阴阳”</x:v>
      </x:c>
      <x:c r="V38" s="68" t="str">
        <x:v>地支必须先拆分为各藏干后分别映射；组合、合化或从格不改基础十神名称，但会改变其有效功能。</x:v>
      </x:c>
      <x:c r="W38" s="84" t="str">
        <x:v>十神基础映射</x:v>
      </x:c>
      <x:c r="X38" s="84" t="str">
        <x:v>对象五行为日主所克，且与日主阴阳相同，故该对象相对日主为偏财。</x:v>
      </x:c>
      <x:c r="Y38" s="82" t="str">
        <x:v>确定</x:v>
      </x:c>
      <x:c r="Z38" s="82" t="str">
        <x:v>跨流派共识</x:v>
      </x:c>
      <x:c r="AA38" s="68" t="str">
        <x:v>十神按日主生克与阴阳同异映射；《渊海子平》《三命通会》相关论述</x:v>
      </x:c>
      <x:c r="AB38" s="68" t="str">
        <x:v>https://zh.wikisource.org/wiki/淵海子平</x:v>
      </x:c>
      <x:c r="AC38" s="82" t="str">
        <x:v>采用</x:v>
      </x:c>
      <x:c r="AD38" s="82" t="str">
        <x:v>初审</x:v>
      </x:c>
      <x:c r="AE38" s="87" t="n">
        <x:v>46255</x:v>
      </x:c>
    </x:row>
    <x:row r="39" ht="42" customHeight="1">
      <x:c r="A39" s="72" t="str">
        <x:f>IF(OR(C39="",D39=""),"",B39&amp;"-"&amp;UPPER(C39)&amp;"-"&amp;TEXT(D39,"0000")&amp;"-"&amp;E39)</x:f>
        <x:v>M02-SS-0033-V1.0</x:v>
      </x:c>
      <x:c r="B39" s="74" t="str">
        <x:v>M02</x:v>
      </x:c>
      <x:c r="C39" s="74" t="str">
        <x:v>SS</x:v>
      </x:c>
      <x:c r="D39" s="79" t="n">
        <x:v>33</x:v>
      </x:c>
      <x:c r="E39" s="74" t="str">
        <x:v>V1.0</x:v>
      </x:c>
      <x:c r="F39" s="82" t="str">
        <x:v>正式规则</x:v>
      </x:c>
      <x:c r="G39" s="82" t="str">
        <x:v>十神</x:v>
      </x:c>
      <x:c r="H39" s="68" t="str">
        <x:v>正财</x:v>
      </x:c>
      <x:c r="I39" s="82"/>
      <x:c r="J39" s="82"/>
      <x:c r="K39" s="68"/>
      <x:c r="L39" s="82"/>
      <x:c r="M39" s="68"/>
      <x:c r="N39" s="82"/>
      <x:c r="O39" s="68"/>
      <x:c r="P39" s="82"/>
      <x:c r="Q39" s="68" t="str">
        <x:v>生克方向：我克；阴阳关系：异阴阳</x:v>
      </x:c>
      <x:c r="R39" s="68" t="str">
        <x:v>正财是相对于日主建立的关系标签，不是某个天干或地支的固定属性。</x:v>
      </x:c>
      <x:c r="S39" s="68" t="str">
        <x:v>对象五行为日主所克，且与日主阴阳相异时，映射为正财。</x:v>
      </x:c>
      <x:c r="T39" s="68" t="str">
        <x:v>日主天干及对象天干或藏干均已确定阴阳五行</x:v>
      </x:c>
      <x:c r="U39" s="68" t="str">
        <x:v>同时满足生克方向“我克”与阴阳关系“异阴阳”</x:v>
      </x:c>
      <x:c r="V39" s="68" t="str">
        <x:v>地支必须先拆分为各藏干后分别映射；组合、合化或从格不改基础十神名称，但会改变其有效功能。</x:v>
      </x:c>
      <x:c r="W39" s="84" t="str">
        <x:v>十神基础映射</x:v>
      </x:c>
      <x:c r="X39" s="84" t="str">
        <x:v>对象五行为日主所克，且与日主阴阳相异，故该对象相对日主为正财。</x:v>
      </x:c>
      <x:c r="Y39" s="82" t="str">
        <x:v>确定</x:v>
      </x:c>
      <x:c r="Z39" s="82" t="str">
        <x:v>跨流派共识</x:v>
      </x:c>
      <x:c r="AA39" s="68" t="str">
        <x:v>十神按日主生克与阴阳同异映射；《渊海子平》《三命通会》相关论述</x:v>
      </x:c>
      <x:c r="AB39" s="68" t="str">
        <x:v>https://zh.wikisource.org/wiki/淵海子平</x:v>
      </x:c>
      <x:c r="AC39" s="82" t="str">
        <x:v>采用</x:v>
      </x:c>
      <x:c r="AD39" s="82" t="str">
        <x:v>初审</x:v>
      </x:c>
      <x:c r="AE39" s="87" t="n">
        <x:v>46255</x:v>
      </x:c>
    </x:row>
    <x:row r="40" ht="42" customHeight="1">
      <x:c r="A40" s="72" t="str">
        <x:f>IF(OR(C40="",D40=""),"",B40&amp;"-"&amp;UPPER(C40)&amp;"-"&amp;TEXT(D40,"0000")&amp;"-"&amp;E40)</x:f>
        <x:v>M02-SS-0034-V1.0</x:v>
      </x:c>
      <x:c r="B40" s="74" t="str">
        <x:v>M02</x:v>
      </x:c>
      <x:c r="C40" s="74" t="str">
        <x:v>SS</x:v>
      </x:c>
      <x:c r="D40" s="79" t="n">
        <x:v>34</x:v>
      </x:c>
      <x:c r="E40" s="74" t="str">
        <x:v>V1.0</x:v>
      </x:c>
      <x:c r="F40" s="82" t="str">
        <x:v>正式规则</x:v>
      </x:c>
      <x:c r="G40" s="82" t="str">
        <x:v>十神</x:v>
      </x:c>
      <x:c r="H40" s="68" t="str">
        <x:v>七杀</x:v>
      </x:c>
      <x:c r="I40" s="82"/>
      <x:c r="J40" s="82"/>
      <x:c r="K40" s="68"/>
      <x:c r="L40" s="82"/>
      <x:c r="M40" s="68"/>
      <x:c r="N40" s="82"/>
      <x:c r="O40" s="68"/>
      <x:c r="P40" s="82"/>
      <x:c r="Q40" s="68" t="str">
        <x:v>生克方向：克我；阴阳关系：同阴阳</x:v>
      </x:c>
      <x:c r="R40" s="68" t="str">
        <x:v>七杀是相对于日主建立的关系标签，不是某个天干或地支的固定属性。</x:v>
      </x:c>
      <x:c r="S40" s="68" t="str">
        <x:v>对象五行克制日主，且与日主阴阳相同时，映射为七杀。</x:v>
      </x:c>
      <x:c r="T40" s="68" t="str">
        <x:v>日主天干及对象天干或藏干均已确定阴阳五行</x:v>
      </x:c>
      <x:c r="U40" s="68" t="str">
        <x:v>同时满足生克方向“克我”与阴阳关系“同阴阳”</x:v>
      </x:c>
      <x:c r="V40" s="68" t="str">
        <x:v>地支必须先拆分为各藏干后分别映射；组合、合化或从格不改基础十神名称，但会改变其有效功能。</x:v>
      </x:c>
      <x:c r="W40" s="84" t="str">
        <x:v>十神基础映射</x:v>
      </x:c>
      <x:c r="X40" s="84" t="str">
        <x:v>对象五行克制日主，且与日主阴阳相同，故该对象相对日主为七杀。</x:v>
      </x:c>
      <x:c r="Y40" s="82" t="str">
        <x:v>确定</x:v>
      </x:c>
      <x:c r="Z40" s="82" t="str">
        <x:v>跨流派共识</x:v>
      </x:c>
      <x:c r="AA40" s="68" t="str">
        <x:v>十神按日主生克与阴阳同异映射；《渊海子平》《三命通会》相关论述</x:v>
      </x:c>
      <x:c r="AB40" s="68" t="str">
        <x:v>https://zh.wikisource.org/wiki/淵海子平</x:v>
      </x:c>
      <x:c r="AC40" s="82" t="str">
        <x:v>采用</x:v>
      </x:c>
      <x:c r="AD40" s="82" t="str">
        <x:v>初审</x:v>
      </x:c>
      <x:c r="AE40" s="87" t="n">
        <x:v>46255</x:v>
      </x:c>
    </x:row>
    <x:row r="41" ht="42" customHeight="1">
      <x:c r="A41" s="72" t="str">
        <x:f>IF(OR(C41="",D41=""),"",B41&amp;"-"&amp;UPPER(C41)&amp;"-"&amp;TEXT(D41,"0000")&amp;"-"&amp;E41)</x:f>
        <x:v>M02-SS-0035-V1.0</x:v>
      </x:c>
      <x:c r="B41" s="74" t="str">
        <x:v>M02</x:v>
      </x:c>
      <x:c r="C41" s="74" t="str">
        <x:v>SS</x:v>
      </x:c>
      <x:c r="D41" s="79" t="n">
        <x:v>35</x:v>
      </x:c>
      <x:c r="E41" s="74" t="str">
        <x:v>V1.0</x:v>
      </x:c>
      <x:c r="F41" s="82" t="str">
        <x:v>正式规则</x:v>
      </x:c>
      <x:c r="G41" s="82" t="str">
        <x:v>十神</x:v>
      </x:c>
      <x:c r="H41" s="68" t="str">
        <x:v>正官</x:v>
      </x:c>
      <x:c r="I41" s="82"/>
      <x:c r="J41" s="82"/>
      <x:c r="K41" s="68"/>
      <x:c r="L41" s="82"/>
      <x:c r="M41" s="68"/>
      <x:c r="N41" s="82"/>
      <x:c r="O41" s="68"/>
      <x:c r="P41" s="82"/>
      <x:c r="Q41" s="68" t="str">
        <x:v>生克方向：克我；阴阳关系：异阴阳</x:v>
      </x:c>
      <x:c r="R41" s="68" t="str">
        <x:v>正官是相对于日主建立的关系标签，不是某个天干或地支的固定属性。</x:v>
      </x:c>
      <x:c r="S41" s="68" t="str">
        <x:v>对象五行克制日主，且与日主阴阳相异时，映射为正官。</x:v>
      </x:c>
      <x:c r="T41" s="68" t="str">
        <x:v>日主天干及对象天干或藏干均已确定阴阳五行</x:v>
      </x:c>
      <x:c r="U41" s="68" t="str">
        <x:v>同时满足生克方向“克我”与阴阳关系“异阴阳”</x:v>
      </x:c>
      <x:c r="V41" s="68" t="str">
        <x:v>地支必须先拆分为各藏干后分别映射；组合、合化或从格不改基础十神名称，但会改变其有效功能。</x:v>
      </x:c>
      <x:c r="W41" s="84" t="str">
        <x:v>十神基础映射</x:v>
      </x:c>
      <x:c r="X41" s="84" t="str">
        <x:v>对象五行克制日主，且与日主阴阳相异，故该对象相对日主为正官。</x:v>
      </x:c>
      <x:c r="Y41" s="82" t="str">
        <x:v>确定</x:v>
      </x:c>
      <x:c r="Z41" s="82" t="str">
        <x:v>跨流派共识</x:v>
      </x:c>
      <x:c r="AA41" s="68" t="str">
        <x:v>十神按日主生克与阴阳同异映射；《渊海子平》《三命通会》相关论述</x:v>
      </x:c>
      <x:c r="AB41" s="68" t="str">
        <x:v>https://zh.wikisource.org/wiki/淵海子平</x:v>
      </x:c>
      <x:c r="AC41" s="82" t="str">
        <x:v>采用</x:v>
      </x:c>
      <x:c r="AD41" s="82" t="str">
        <x:v>初审</x:v>
      </x:c>
      <x:c r="AE41" s="87" t="n">
        <x:v>46255</x:v>
      </x:c>
    </x:row>
    <x:row r="42" ht="42" customHeight="1">
      <x:c r="A42" s="72" t="str">
        <x:f>IF(OR(C42="",D42=""),"",B42&amp;"-"&amp;UPPER(C42)&amp;"-"&amp;TEXT(D42,"0000")&amp;"-"&amp;E42)</x:f>
        <x:v>M02-SS-0036-V1.0</x:v>
      </x:c>
      <x:c r="B42" s="74" t="str">
        <x:v>M02</x:v>
      </x:c>
      <x:c r="C42" s="74" t="str">
        <x:v>SS</x:v>
      </x:c>
      <x:c r="D42" s="79" t="n">
        <x:v>36</x:v>
      </x:c>
      <x:c r="E42" s="74" t="str">
        <x:v>V1.0</x:v>
      </x:c>
      <x:c r="F42" s="82" t="str">
        <x:v>正式规则</x:v>
      </x:c>
      <x:c r="G42" s="82" t="str">
        <x:v>十神</x:v>
      </x:c>
      <x:c r="H42" s="68" t="str">
        <x:v>偏印</x:v>
      </x:c>
      <x:c r="I42" s="82"/>
      <x:c r="J42" s="82"/>
      <x:c r="K42" s="68"/>
      <x:c r="L42" s="82"/>
      <x:c r="M42" s="68"/>
      <x:c r="N42" s="82"/>
      <x:c r="O42" s="68"/>
      <x:c r="P42" s="82"/>
      <x:c r="Q42" s="68" t="str">
        <x:v>生克方向：生我；阴阳关系：同阴阳</x:v>
      </x:c>
      <x:c r="R42" s="68" t="str">
        <x:v>偏印是相对于日主建立的关系标签，不是某个天干或地支的固定属性。</x:v>
      </x:c>
      <x:c r="S42" s="68" t="str">
        <x:v>对象五行生扶日主，且与日主阴阳相同时，映射为偏印。</x:v>
      </x:c>
      <x:c r="T42" s="68" t="str">
        <x:v>日主天干及对象天干或藏干均已确定阴阳五行</x:v>
      </x:c>
      <x:c r="U42" s="68" t="str">
        <x:v>同时满足生克方向“生我”与阴阳关系“同阴阳”</x:v>
      </x:c>
      <x:c r="V42" s="68" t="str">
        <x:v>地支必须先拆分为各藏干后分别映射；组合、合化或从格不改基础十神名称，但会改变其有效功能。</x:v>
      </x:c>
      <x:c r="W42" s="84" t="str">
        <x:v>十神基础映射</x:v>
      </x:c>
      <x:c r="X42" s="84" t="str">
        <x:v>对象五行生扶日主，且与日主阴阳相同，故该对象相对日主为偏印。</x:v>
      </x:c>
      <x:c r="Y42" s="82" t="str">
        <x:v>确定</x:v>
      </x:c>
      <x:c r="Z42" s="82" t="str">
        <x:v>跨流派共识</x:v>
      </x:c>
      <x:c r="AA42" s="68" t="str">
        <x:v>十神按日主生克与阴阳同异映射；《渊海子平》《三命通会》相关论述</x:v>
      </x:c>
      <x:c r="AB42" s="68" t="str">
        <x:v>https://zh.wikisource.org/wiki/淵海子平</x:v>
      </x:c>
      <x:c r="AC42" s="82" t="str">
        <x:v>采用</x:v>
      </x:c>
      <x:c r="AD42" s="82" t="str">
        <x:v>初审</x:v>
      </x:c>
      <x:c r="AE42" s="87" t="n">
        <x:v>46255</x:v>
      </x:c>
    </x:row>
    <x:row r="43" ht="42" customHeight="1">
      <x:c r="A43" s="72" t="str">
        <x:f>IF(OR(C43="",D43=""),"",B43&amp;"-"&amp;UPPER(C43)&amp;"-"&amp;TEXT(D43,"0000")&amp;"-"&amp;E43)</x:f>
        <x:v>M02-SS-0037-V1.0</x:v>
      </x:c>
      <x:c r="B43" s="74" t="str">
        <x:v>M02</x:v>
      </x:c>
      <x:c r="C43" s="74" t="str">
        <x:v>SS</x:v>
      </x:c>
      <x:c r="D43" s="79" t="n">
        <x:v>37</x:v>
      </x:c>
      <x:c r="E43" s="74" t="str">
        <x:v>V1.0</x:v>
      </x:c>
      <x:c r="F43" s="82" t="str">
        <x:v>正式规则</x:v>
      </x:c>
      <x:c r="G43" s="82" t="str">
        <x:v>十神</x:v>
      </x:c>
      <x:c r="H43" s="68" t="str">
        <x:v>正印</x:v>
      </x:c>
      <x:c r="I43" s="82"/>
      <x:c r="J43" s="82"/>
      <x:c r="K43" s="68"/>
      <x:c r="L43" s="82"/>
      <x:c r="M43" s="68"/>
      <x:c r="N43" s="82"/>
      <x:c r="O43" s="68"/>
      <x:c r="P43" s="82"/>
      <x:c r="Q43" s="68" t="str">
        <x:v>生克方向：生我；阴阳关系：异阴阳</x:v>
      </x:c>
      <x:c r="R43" s="68" t="str">
        <x:v>正印是相对于日主建立的关系标签，不是某个天干或地支的固定属性。</x:v>
      </x:c>
      <x:c r="S43" s="68" t="str">
        <x:v>对象五行生扶日主，且与日主阴阳相异时，映射为正印。</x:v>
      </x:c>
      <x:c r="T43" s="68" t="str">
        <x:v>日主天干及对象天干或藏干均已确定阴阳五行</x:v>
      </x:c>
      <x:c r="U43" s="68" t="str">
        <x:v>同时满足生克方向“生我”与阴阳关系“异阴阳”</x:v>
      </x:c>
      <x:c r="V43" s="68" t="str">
        <x:v>地支必须先拆分为各藏干后分别映射；组合、合化或从格不改基础十神名称，但会改变其有效功能。</x:v>
      </x:c>
      <x:c r="W43" s="84" t="str">
        <x:v>十神基础映射</x:v>
      </x:c>
      <x:c r="X43" s="84" t="str">
        <x:v>对象五行生扶日主，且与日主阴阳相异，故该对象相对日主为正印。</x:v>
      </x:c>
      <x:c r="Y43" s="82" t="str">
        <x:v>确定</x:v>
      </x:c>
      <x:c r="Z43" s="82" t="str">
        <x:v>跨流派共识</x:v>
      </x:c>
      <x:c r="AA43" s="68" t="str">
        <x:v>十神按日主生克与阴阳同异映射；《渊海子平》《三命通会》相关论述</x:v>
      </x:c>
      <x:c r="AB43" s="68" t="str">
        <x:v>https://zh.wikisource.org/wiki/淵海子平</x:v>
      </x:c>
      <x:c r="AC43" s="82" t="str">
        <x:v>采用</x:v>
      </x:c>
      <x:c r="AD43" s="82" t="str">
        <x:v>初审</x:v>
      </x:c>
      <x:c r="AE43" s="87" t="n">
        <x:v>46255</x:v>
      </x:c>
    </x:row>
    <x:row r="44" ht="42" customHeight="1">
      <x:c r="A44" s="72" t="str">
        <x:f>IF(OR(C44="",D44=""),"",B44&amp;"-"&amp;UPPER(C44)&amp;"-"&amp;TEXT(D44,"0000")&amp;"-"&amp;E44)</x:f>
        <x:v>M02-META-0038-V1.0</x:v>
      </x:c>
      <x:c r="B44" s="74" t="str">
        <x:v>M02</x:v>
      </x:c>
      <x:c r="C44" s="74" t="str">
        <x:v>META</x:v>
      </x:c>
      <x:c r="D44" s="79" t="n">
        <x:v>38</x:v>
      </x:c>
      <x:c r="E44" s="74" t="str">
        <x:v>V1.0</x:v>
      </x:c>
      <x:c r="F44" s="82" t="str">
        <x:v>正式规则</x:v>
      </x:c>
      <x:c r="G44" s="82" t="str">
        <x:v>输出字段</x:v>
      </x:c>
      <x:c r="H44" s="68" t="str">
        <x:v>藏干存在性与透干分离</x:v>
      </x:c>
      <x:c r="I44" s="82"/>
      <x:c r="J44" s="82"/>
      <x:c r="K44" s="68"/>
      <x:c r="L44" s="82"/>
      <x:c r="M44" s="68"/>
      <x:c r="N44" s="82"/>
      <x:c r="O44" s="68"/>
      <x:c r="P44" s="82"/>
      <x:c r="Q44" s="68" t="str">
        <x:v>基础治理规则</x:v>
      </x:c>
      <x:c r="R44" s="68" t="str">
        <x:v>地支藏干属于支内潜在之气；未透干不等于不存在，透干也不等于自动旺强。</x:v>
      </x:c>
      <x:c r="S44" s="68" t="str">
        <x:v>本规则不产生具体十神名称，只规定映射与输出边界。</x:v>
      </x:c>
      <x:c r="T44" s="68" t="str">
        <x:v>已完成地支藏干识别</x:v>
      </x:c>
      <x:c r="U44" s="68" t="str">
        <x:v>必须分别记录“存在方式”和“有效力量”</x:v>
      </x:c>
      <x:c r="V44" s="68" t="str">
        <x:v>合化严格成立时可改变后续五行归属，但必须由M06/M14裁定。</x:v>
      </x:c>
      <x:c r="W44" s="84" t="str">
        <x:v>藏干存在性边界</x:v>
      </x:c>
      <x:c r="X44" s="84" t="str">
        <x:v>地支藏干先按基础字典记为存在；是否透出、能否发挥及力量大小另行判断。</x:v>
      </x:c>
      <x:c r="Y44" s="82" t="str">
        <x:v>确定</x:v>
      </x:c>
      <x:c r="Z44" s="82" t="str">
        <x:v>现代综合</x:v>
      </x:c>
      <x:c r="AA44" s="68" t="str">
        <x:v>内部规则治理；参照传统干支、人元与十神关系框架</x:v>
      </x:c>
      <x:c r="AB44" s="68" t="str">
        <x:v>https://zh.wikisource.org/zh-hans/三命通會_(四庫全書本)/卷10</x:v>
      </x:c>
      <x:c r="AC44" s="82" t="str">
        <x:v>采用</x:v>
      </x:c>
      <x:c r="AD44" s="82" t="str">
        <x:v>初审</x:v>
      </x:c>
      <x:c r="AE44" s="87" t="n">
        <x:v>46255</x:v>
      </x:c>
    </x:row>
    <x:row r="45" ht="42" customHeight="1">
      <x:c r="A45" s="72" t="str">
        <x:f>IF(OR(C45="",D45=""),"",B45&amp;"-"&amp;UPPER(C45)&amp;"-"&amp;TEXT(D45,"0000")&amp;"-"&amp;E45)</x:f>
        <x:v>M02-META-0039-V1.0</x:v>
      </x:c>
      <x:c r="B45" s="74" t="str">
        <x:v>M02</x:v>
      </x:c>
      <x:c r="C45" s="74" t="str">
        <x:v>META</x:v>
      </x:c>
      <x:c r="D45" s="79" t="n">
        <x:v>39</x:v>
      </x:c>
      <x:c r="E45" s="74" t="str">
        <x:v>V1.0</x:v>
      </x:c>
      <x:c r="F45" s="82" t="str">
        <x:v>正式规则</x:v>
      </x:c>
      <x:c r="G45" s="82" t="str">
        <x:v>输出字段</x:v>
      </x:c>
      <x:c r="H45" s="68" t="str">
        <x:v>地支阴阳与藏干阴阳分离</x:v>
      </x:c>
      <x:c r="I45" s="82"/>
      <x:c r="J45" s="82"/>
      <x:c r="K45" s="68"/>
      <x:c r="L45" s="82"/>
      <x:c r="M45" s="68"/>
      <x:c r="N45" s="82"/>
      <x:c r="O45" s="68"/>
      <x:c r="P45" s="82"/>
      <x:c r="Q45" s="68" t="str">
        <x:v>基础治理规则</x:v>
      </x:c>
      <x:c r="R45" s="68" t="str">
        <x:v>地支自身具有阴阳与五行标签，但支内藏干可与地支阴阳不同，例如子为阳支而藏癸阴水。</x:v>
      </x:c>
      <x:c r="S45" s="68" t="str">
        <x:v>本规则不产生具体十神名称，只规定映射与输出边界。</x:v>
      </x:c>
      <x:c r="T45" s="68" t="str">
        <x:v>地支及藏干均已识别</x:v>
      </x:c>
      <x:c r="U45" s="68" t="str">
        <x:v>不得用地支阴阳替代藏干阴阳</x:v>
      </x:c>
      <x:c r="V45" s="68" t="str">
        <x:v>无；若采用特殊人元体系须在M21登记。</x:v>
      </x:c>
      <x:c r="W45" s="84" t="str">
        <x:v>支与藏干层级分离</x:v>
      </x:c>
      <x:c r="X45" s="84" t="str">
        <x:v>判断十神时使用藏干自身阴阳，不使用地支阴阳代替。</x:v>
      </x:c>
      <x:c r="Y45" s="82" t="str">
        <x:v>确定</x:v>
      </x:c>
      <x:c r="Z45" s="82" t="str">
        <x:v>现代综合</x:v>
      </x:c>
      <x:c r="AA45" s="68" t="str">
        <x:v>内部规则治理；参照传统干支、人元与十神关系框架</x:v>
      </x:c>
      <x:c r="AB45" s="68" t="str">
        <x:v>https://zh.wikisource.org/zh-hans/三命通會_(四庫全書本)/卷10</x:v>
      </x:c>
      <x:c r="AC45" s="82" t="str">
        <x:v>采用</x:v>
      </x:c>
      <x:c r="AD45" s="82" t="str">
        <x:v>初审</x:v>
      </x:c>
      <x:c r="AE45" s="87" t="n">
        <x:v>46255</x:v>
      </x:c>
    </x:row>
    <x:row r="46" ht="42" customHeight="1">
      <x:c r="A46" s="72" t="str">
        <x:f>IF(OR(C46="",D46=""),"",B46&amp;"-"&amp;UPPER(C46)&amp;"-"&amp;TEXT(D46,"0000")&amp;"-"&amp;E46)</x:f>
        <x:v>M02-META-0040-V1.0</x:v>
      </x:c>
      <x:c r="B46" s="74" t="str">
        <x:v>M02</x:v>
      </x:c>
      <x:c r="C46" s="74" t="str">
        <x:v>META</x:v>
      </x:c>
      <x:c r="D46" s="79" t="n">
        <x:v>40</x:v>
      </x:c>
      <x:c r="E46" s="74" t="str">
        <x:v>V1.0</x:v>
      </x:c>
      <x:c r="F46" s="82" t="str">
        <x:v>正式规则</x:v>
      </x:c>
      <x:c r="G46" s="82" t="str">
        <x:v>输出字段</x:v>
      </x:c>
      <x:c r="H46" s="68" t="str">
        <x:v>十神为相对关系而非固定标签</x:v>
      </x:c>
      <x:c r="I46" s="82"/>
      <x:c r="J46" s="82"/>
      <x:c r="K46" s="68"/>
      <x:c r="L46" s="82"/>
      <x:c r="M46" s="68"/>
      <x:c r="N46" s="82"/>
      <x:c r="O46" s="68"/>
      <x:c r="P46" s="82"/>
      <x:c r="Q46" s="68" t="str">
        <x:v>基础治理规则</x:v>
      </x:c>
      <x:c r="R46" s="68" t="str">
        <x:v>同一干支或藏干面对不同日主会映射为不同十神。</x:v>
      </x:c>
      <x:c r="S46" s="68" t="str">
        <x:v>本规则不产生具体十神名称，只规定映射与输出边界。</x:v>
      </x:c>
      <x:c r="T46" s="68" t="str">
        <x:v>日主已确定</x:v>
      </x:c>
      <x:c r="U46" s="68" t="str">
        <x:v>所有十神结论必须保留日主参照</x:v>
      </x:c>
      <x:c r="V46" s="68" t="str">
        <x:v>日主更换、合化后分析对象更换时必须重新映射。</x:v>
      </x:c>
      <x:c r="W46" s="84" t="str">
        <x:v>十神相对性</x:v>
      </x:c>
      <x:c r="X46" s="84" t="str">
        <x:v>十神必须写成“对象相对某日主为何十神”，不得脱离日主单独固定。</x:v>
      </x:c>
      <x:c r="Y46" s="82" t="str">
        <x:v>确定</x:v>
      </x:c>
      <x:c r="Z46" s="82" t="str">
        <x:v>现代综合</x:v>
      </x:c>
      <x:c r="AA46" s="68" t="str">
        <x:v>内部规则治理；参照传统干支、人元与十神关系框架</x:v>
      </x:c>
      <x:c r="AB46" s="68" t="str">
        <x:v>https://zh.wikisource.org/zh-hans/三命通會_(四庫全書本)/卷10</x:v>
      </x:c>
      <x:c r="AC46" s="82" t="str">
        <x:v>采用</x:v>
      </x:c>
      <x:c r="AD46" s="82" t="str">
        <x:v>初审</x:v>
      </x:c>
      <x:c r="AE46" s="87" t="n">
        <x:v>46255</x:v>
      </x:c>
    </x:row>
    <x:row r="47">
      <x:c r="A47" s="72" t="str">
        <x:f>IF(OR(C47="",D47=""),"",B47&amp;"-"&amp;UPPER(C47)&amp;"-"&amp;TEXT(D47,"0000")&amp;"-"&amp;E47)</x:f>
      </x:c>
      <x:c r="B47" s="74" t="str">
        <x:v>M02</x:v>
      </x:c>
      <x:c r="C47" s="74"/>
      <x:c r="D47" s="79"/>
      <x:c r="E47" s="74" t="str">
        <x:v>V1.0</x:v>
      </x:c>
      <x:c r="F47" s="82"/>
      <x:c r="G47" s="82"/>
      <x:c r="H47" s="68"/>
      <x:c r="I47" s="82"/>
      <x:c r="J47" s="82"/>
      <x:c r="K47" s="68"/>
      <x:c r="L47" s="82"/>
      <x:c r="M47" s="68"/>
      <x:c r="N47" s="82"/>
      <x:c r="O47" s="68"/>
      <x:c r="P47" s="82"/>
      <x:c r="Q47" s="68"/>
      <x:c r="R47" s="68"/>
      <x:c r="S47" s="68"/>
      <x:c r="T47" s="68"/>
      <x:c r="U47" s="68"/>
      <x:c r="V47" s="68"/>
      <x:c r="W47" s="84"/>
      <x:c r="X47" s="84"/>
      <x:c r="Y47" s="82"/>
      <x:c r="Z47" s="82"/>
      <x:c r="AA47" s="68"/>
      <x:c r="AB47" s="68"/>
      <x:c r="AC47" s="82"/>
      <x:c r="AD47" s="82"/>
      <x:c r="AE47" s="87"/>
    </x:row>
    <x:row r="48">
      <x:c r="A48" s="72" t="str">
        <x:f>IF(OR(C48="",D48=""),"",B48&amp;"-"&amp;UPPER(C48)&amp;"-"&amp;TEXT(D48,"0000")&amp;"-"&amp;E48)</x:f>
      </x:c>
      <x:c r="B48" s="74" t="str">
        <x:v>M02</x:v>
      </x:c>
      <x:c r="C48" s="74"/>
      <x:c r="D48" s="79"/>
      <x:c r="E48" s="74" t="str">
        <x:v>V1.0</x:v>
      </x:c>
      <x:c r="F48" s="82"/>
      <x:c r="G48" s="82"/>
      <x:c r="H48" s="68"/>
      <x:c r="I48" s="82"/>
      <x:c r="J48" s="82"/>
      <x:c r="K48" s="68"/>
      <x:c r="L48" s="82"/>
      <x:c r="M48" s="68"/>
      <x:c r="N48" s="82"/>
      <x:c r="O48" s="68"/>
      <x:c r="P48" s="82"/>
      <x:c r="Q48" s="68"/>
      <x:c r="R48" s="68"/>
      <x:c r="S48" s="68"/>
      <x:c r="T48" s="68"/>
      <x:c r="U48" s="68"/>
      <x:c r="V48" s="68"/>
      <x:c r="W48" s="84"/>
      <x:c r="X48" s="84"/>
      <x:c r="Y48" s="82"/>
      <x:c r="Z48" s="82"/>
      <x:c r="AA48" s="68"/>
      <x:c r="AB48" s="68"/>
      <x:c r="AC48" s="82"/>
      <x:c r="AD48" s="82"/>
      <x:c r="AE48" s="87"/>
    </x:row>
    <x:row r="49">
      <x:c r="A49" s="72" t="str">
        <x:f>IF(OR(C49="",D49=""),"",B49&amp;"-"&amp;UPPER(C49)&amp;"-"&amp;TEXT(D49,"0000")&amp;"-"&amp;E49)</x:f>
      </x:c>
      <x:c r="B49" s="74" t="str">
        <x:v>M02</x:v>
      </x:c>
      <x:c r="C49" s="74"/>
      <x:c r="D49" s="79"/>
      <x:c r="E49" s="74" t="str">
        <x:v>V1.0</x:v>
      </x:c>
      <x:c r="F49" s="82"/>
      <x:c r="G49" s="82"/>
      <x:c r="H49" s="68"/>
      <x:c r="I49" s="82"/>
      <x:c r="J49" s="82"/>
      <x:c r="K49" s="68"/>
      <x:c r="L49" s="82"/>
      <x:c r="M49" s="68"/>
      <x:c r="N49" s="82"/>
      <x:c r="O49" s="68"/>
      <x:c r="P49" s="82"/>
      <x:c r="Q49" s="68"/>
      <x:c r="R49" s="68"/>
      <x:c r="S49" s="68"/>
      <x:c r="T49" s="68"/>
      <x:c r="U49" s="68"/>
      <x:c r="V49" s="68"/>
      <x:c r="W49" s="84"/>
      <x:c r="X49" s="84"/>
      <x:c r="Y49" s="82"/>
      <x:c r="Z49" s="82"/>
      <x:c r="AA49" s="68"/>
      <x:c r="AB49" s="68"/>
      <x:c r="AC49" s="82"/>
      <x:c r="AD49" s="82"/>
      <x:c r="AE49" s="87"/>
    </x:row>
    <x:row r="50">
      <x:c r="A50" s="72" t="str">
        <x:f>IF(OR(C50="",D50=""),"",B50&amp;"-"&amp;UPPER(C50)&amp;"-"&amp;TEXT(D50,"0000")&amp;"-"&amp;E50)</x:f>
      </x:c>
      <x:c r="B50" s="74" t="str">
        <x:v>M02</x:v>
      </x:c>
      <x:c r="C50" s="74"/>
      <x:c r="D50" s="79"/>
      <x:c r="E50" s="74" t="str">
        <x:v>V1.0</x:v>
      </x:c>
      <x:c r="F50" s="82"/>
      <x:c r="G50" s="82"/>
      <x:c r="H50" s="68"/>
      <x:c r="I50" s="82"/>
      <x:c r="J50" s="82"/>
      <x:c r="K50" s="68"/>
      <x:c r="L50" s="82"/>
      <x:c r="M50" s="68"/>
      <x:c r="N50" s="82"/>
      <x:c r="O50" s="68"/>
      <x:c r="P50" s="82"/>
      <x:c r="Q50" s="68"/>
      <x:c r="R50" s="68"/>
      <x:c r="S50" s="68"/>
      <x:c r="T50" s="68"/>
      <x:c r="U50" s="68"/>
      <x:c r="V50" s="68"/>
      <x:c r="W50" s="84"/>
      <x:c r="X50" s="84"/>
      <x:c r="Y50" s="82"/>
      <x:c r="Z50" s="82"/>
      <x:c r="AA50" s="68"/>
      <x:c r="AB50" s="68"/>
      <x:c r="AC50" s="82"/>
      <x:c r="AD50" s="82"/>
      <x:c r="AE50" s="87"/>
    </x:row>
    <x:row r="51">
      <x:c r="A51" s="72" t="str">
        <x:f>IF(OR(C51="",D51=""),"",B51&amp;"-"&amp;UPPER(C51)&amp;"-"&amp;TEXT(D51,"0000")&amp;"-"&amp;E51)</x:f>
      </x:c>
      <x:c r="B51" s="74" t="str">
        <x:v>M02</x:v>
      </x:c>
      <x:c r="C51" s="74"/>
      <x:c r="D51" s="79"/>
      <x:c r="E51" s="74" t="str">
        <x:v>V1.0</x:v>
      </x:c>
      <x:c r="F51" s="82"/>
      <x:c r="G51" s="82"/>
      <x:c r="H51" s="68"/>
      <x:c r="I51" s="82"/>
      <x:c r="J51" s="82"/>
      <x:c r="K51" s="68"/>
      <x:c r="L51" s="82"/>
      <x:c r="M51" s="68"/>
      <x:c r="N51" s="82"/>
      <x:c r="O51" s="68"/>
      <x:c r="P51" s="82"/>
      <x:c r="Q51" s="68"/>
      <x:c r="R51" s="68"/>
      <x:c r="S51" s="68"/>
      <x:c r="T51" s="68"/>
      <x:c r="U51" s="68"/>
      <x:c r="V51" s="68"/>
      <x:c r="W51" s="84"/>
      <x:c r="X51" s="84"/>
      <x:c r="Y51" s="82"/>
      <x:c r="Z51" s="82"/>
      <x:c r="AA51" s="68"/>
      <x:c r="AB51" s="68"/>
      <x:c r="AC51" s="82"/>
      <x:c r="AD51" s="82"/>
      <x:c r="AE51" s="87"/>
    </x:row>
    <x:row r="52">
      <x:c r="A52" s="72" t="str">
        <x:f>IF(OR(C52="",D52=""),"",B52&amp;"-"&amp;UPPER(C52)&amp;"-"&amp;TEXT(D52,"0000")&amp;"-"&amp;E52)</x:f>
      </x:c>
      <x:c r="B52" s="74" t="str">
        <x:v>M02</x:v>
      </x:c>
      <x:c r="C52" s="74"/>
      <x:c r="D52" s="79"/>
      <x:c r="E52" s="74" t="str">
        <x:v>V1.0</x:v>
      </x:c>
      <x:c r="F52" s="82"/>
      <x:c r="G52" s="82"/>
      <x:c r="H52" s="68"/>
      <x:c r="I52" s="82"/>
      <x:c r="J52" s="82"/>
      <x:c r="K52" s="68"/>
      <x:c r="L52" s="82"/>
      <x:c r="M52" s="68"/>
      <x:c r="N52" s="82"/>
      <x:c r="O52" s="68"/>
      <x:c r="P52" s="82"/>
      <x:c r="Q52" s="68"/>
      <x:c r="R52" s="68"/>
      <x:c r="S52" s="68"/>
      <x:c r="T52" s="68"/>
      <x:c r="U52" s="68"/>
      <x:c r="V52" s="68"/>
      <x:c r="W52" s="84"/>
      <x:c r="X52" s="84"/>
      <x:c r="Y52" s="82"/>
      <x:c r="Z52" s="82"/>
      <x:c r="AA52" s="68"/>
      <x:c r="AB52" s="68"/>
      <x:c r="AC52" s="82"/>
      <x:c r="AD52" s="82"/>
      <x:c r="AE52" s="87"/>
    </x:row>
    <x:row r="53">
      <x:c r="A53" s="72" t="str">
        <x:f>IF(OR(C53="",D53=""),"",B53&amp;"-"&amp;UPPER(C53)&amp;"-"&amp;TEXT(D53,"0000")&amp;"-"&amp;E53)</x:f>
      </x:c>
      <x:c r="B53" s="74" t="str">
        <x:v>M02</x:v>
      </x:c>
      <x:c r="C53" s="74"/>
      <x:c r="D53" s="79"/>
      <x:c r="E53" s="74" t="str">
        <x:v>V1.0</x:v>
      </x:c>
      <x:c r="F53" s="82"/>
      <x:c r="G53" s="82"/>
      <x:c r="H53" s="68"/>
      <x:c r="I53" s="82"/>
      <x:c r="J53" s="82"/>
      <x:c r="K53" s="68"/>
      <x:c r="L53" s="82"/>
      <x:c r="M53" s="68"/>
      <x:c r="N53" s="82"/>
      <x:c r="O53" s="68"/>
      <x:c r="P53" s="82"/>
      <x:c r="Q53" s="68"/>
      <x:c r="R53" s="68"/>
      <x:c r="S53" s="68"/>
      <x:c r="T53" s="68"/>
      <x:c r="U53" s="68"/>
      <x:c r="V53" s="68"/>
      <x:c r="W53" s="84"/>
      <x:c r="X53" s="84"/>
      <x:c r="Y53" s="82"/>
      <x:c r="Z53" s="82"/>
      <x:c r="AA53" s="68"/>
      <x:c r="AB53" s="68"/>
      <x:c r="AC53" s="82"/>
      <x:c r="AD53" s="82"/>
      <x:c r="AE53" s="87"/>
    </x:row>
    <x:row r="54">
      <x:c r="A54" s="72" t="str">
        <x:f>IF(OR(C54="",D54=""),"",B54&amp;"-"&amp;UPPER(C54)&amp;"-"&amp;TEXT(D54,"0000")&amp;"-"&amp;E54)</x:f>
      </x:c>
      <x:c r="B54" s="74" t="str">
        <x:v>M02</x:v>
      </x:c>
      <x:c r="C54" s="74"/>
      <x:c r="D54" s="79"/>
      <x:c r="E54" s="74" t="str">
        <x:v>V1.0</x:v>
      </x:c>
      <x:c r="F54" s="82"/>
      <x:c r="G54" s="82"/>
      <x:c r="H54" s="68"/>
      <x:c r="I54" s="82"/>
      <x:c r="J54" s="82"/>
      <x:c r="K54" s="68"/>
      <x:c r="L54" s="82"/>
      <x:c r="M54" s="68"/>
      <x:c r="N54" s="82"/>
      <x:c r="O54" s="68"/>
      <x:c r="P54" s="82"/>
      <x:c r="Q54" s="68"/>
      <x:c r="R54" s="68"/>
      <x:c r="S54" s="68"/>
      <x:c r="T54" s="68"/>
      <x:c r="U54" s="68"/>
      <x:c r="V54" s="68"/>
      <x:c r="W54" s="84"/>
      <x:c r="X54" s="84"/>
      <x:c r="Y54" s="82"/>
      <x:c r="Z54" s="82"/>
      <x:c r="AA54" s="68"/>
      <x:c r="AB54" s="68"/>
      <x:c r="AC54" s="82"/>
      <x:c r="AD54" s="82"/>
      <x:c r="AE54" s="87"/>
    </x:row>
    <x:row r="55">
      <x:c r="A55" s="72" t="str">
        <x:f>IF(OR(C55="",D55=""),"",B55&amp;"-"&amp;UPPER(C55)&amp;"-"&amp;TEXT(D55,"0000")&amp;"-"&amp;E55)</x:f>
      </x:c>
      <x:c r="B55" s="74" t="str">
        <x:v>M02</x:v>
      </x:c>
      <x:c r="C55" s="74"/>
      <x:c r="D55" s="79"/>
      <x:c r="E55" s="74" t="str">
        <x:v>V1.0</x:v>
      </x:c>
      <x:c r="F55" s="82"/>
      <x:c r="G55" s="82"/>
      <x:c r="H55" s="68"/>
      <x:c r="I55" s="82"/>
      <x:c r="J55" s="82"/>
      <x:c r="K55" s="68"/>
      <x:c r="L55" s="82"/>
      <x:c r="M55" s="68"/>
      <x:c r="N55" s="82"/>
      <x:c r="O55" s="68"/>
      <x:c r="P55" s="82"/>
      <x:c r="Q55" s="68"/>
      <x:c r="R55" s="68"/>
      <x:c r="S55" s="68"/>
      <x:c r="T55" s="68"/>
      <x:c r="U55" s="68"/>
      <x:c r="V55" s="68"/>
      <x:c r="W55" s="84"/>
      <x:c r="X55" s="84"/>
      <x:c r="Y55" s="82"/>
      <x:c r="Z55" s="82"/>
      <x:c r="AA55" s="68"/>
      <x:c r="AB55" s="68"/>
      <x:c r="AC55" s="82"/>
      <x:c r="AD55" s="82"/>
      <x:c r="AE55" s="87"/>
    </x:row>
    <x:row r="56">
      <x:c r="A56" s="72" t="str">
        <x:f>IF(OR(C56="",D56=""),"",B56&amp;"-"&amp;UPPER(C56)&amp;"-"&amp;TEXT(D56,"0000")&amp;"-"&amp;E56)</x:f>
      </x:c>
      <x:c r="B56" s="74" t="str">
        <x:v>M02</x:v>
      </x:c>
      <x:c r="C56" s="74"/>
      <x:c r="D56" s="79"/>
      <x:c r="E56" s="74" t="str">
        <x:v>V1.0</x:v>
      </x:c>
      <x:c r="F56" s="82"/>
      <x:c r="G56" s="82"/>
      <x:c r="H56" s="68"/>
      <x:c r="I56" s="82"/>
      <x:c r="J56" s="82"/>
      <x:c r="K56" s="68"/>
      <x:c r="L56" s="82"/>
      <x:c r="M56" s="68"/>
      <x:c r="N56" s="82"/>
      <x:c r="O56" s="68"/>
      <x:c r="P56" s="82"/>
      <x:c r="Q56" s="68"/>
      <x:c r="R56" s="68"/>
      <x:c r="S56" s="68"/>
      <x:c r="T56" s="68"/>
      <x:c r="U56" s="68"/>
      <x:c r="V56" s="68"/>
      <x:c r="W56" s="84"/>
      <x:c r="X56" s="84"/>
      <x:c r="Y56" s="82"/>
      <x:c r="Z56" s="82"/>
      <x:c r="AA56" s="68"/>
      <x:c r="AB56" s="68"/>
      <x:c r="AC56" s="82"/>
      <x:c r="AD56" s="82"/>
      <x:c r="AE56" s="87"/>
    </x:row>
    <x:row r="57">
      <x:c r="A57" s="72" t="str">
        <x:f>IF(OR(C57="",D57=""),"",B57&amp;"-"&amp;UPPER(C57)&amp;"-"&amp;TEXT(D57,"0000")&amp;"-"&amp;E57)</x:f>
      </x:c>
      <x:c r="B57" s="74" t="str">
        <x:v>M02</x:v>
      </x:c>
      <x:c r="C57" s="74"/>
      <x:c r="D57" s="79"/>
      <x:c r="E57" s="74" t="str">
        <x:v>V1.0</x:v>
      </x:c>
      <x:c r="F57" s="82"/>
      <x:c r="G57" s="82"/>
      <x:c r="H57" s="68"/>
      <x:c r="I57" s="82"/>
      <x:c r="J57" s="82"/>
      <x:c r="K57" s="68"/>
      <x:c r="L57" s="82"/>
      <x:c r="M57" s="68"/>
      <x:c r="N57" s="82"/>
      <x:c r="O57" s="68"/>
      <x:c r="P57" s="82"/>
      <x:c r="Q57" s="68"/>
      <x:c r="R57" s="68"/>
      <x:c r="S57" s="68"/>
      <x:c r="T57" s="68"/>
      <x:c r="U57" s="68"/>
      <x:c r="V57" s="68"/>
      <x:c r="W57" s="84"/>
      <x:c r="X57" s="84"/>
      <x:c r="Y57" s="82"/>
      <x:c r="Z57" s="82"/>
      <x:c r="AA57" s="68"/>
      <x:c r="AB57" s="68"/>
      <x:c r="AC57" s="82"/>
      <x:c r="AD57" s="82"/>
      <x:c r="AE57" s="87"/>
    </x:row>
    <x:row r="58">
      <x:c r="A58" s="72" t="str">
        <x:f>IF(OR(C58="",D58=""),"",B58&amp;"-"&amp;UPPER(C58)&amp;"-"&amp;TEXT(D58,"0000")&amp;"-"&amp;E58)</x:f>
      </x:c>
      <x:c r="B58" s="74" t="str">
        <x:v>M02</x:v>
      </x:c>
      <x:c r="C58" s="74"/>
      <x:c r="D58" s="79"/>
      <x:c r="E58" s="74" t="str">
        <x:v>V1.0</x:v>
      </x:c>
      <x:c r="F58" s="82"/>
      <x:c r="G58" s="82"/>
      <x:c r="H58" s="68"/>
      <x:c r="I58" s="82"/>
      <x:c r="J58" s="82"/>
      <x:c r="K58" s="68"/>
      <x:c r="L58" s="82"/>
      <x:c r="M58" s="68"/>
      <x:c r="N58" s="82"/>
      <x:c r="O58" s="68"/>
      <x:c r="P58" s="82"/>
      <x:c r="Q58" s="68"/>
      <x:c r="R58" s="68"/>
      <x:c r="S58" s="68"/>
      <x:c r="T58" s="68"/>
      <x:c r="U58" s="68"/>
      <x:c r="V58" s="68"/>
      <x:c r="W58" s="84"/>
      <x:c r="X58" s="84"/>
      <x:c r="Y58" s="82"/>
      <x:c r="Z58" s="82"/>
      <x:c r="AA58" s="68"/>
      <x:c r="AB58" s="68"/>
      <x:c r="AC58" s="82"/>
      <x:c r="AD58" s="82"/>
      <x:c r="AE58" s="87"/>
    </x:row>
    <x:row r="59">
      <x:c r="A59" s="72" t="str">
        <x:f>IF(OR(C59="",D59=""),"",B59&amp;"-"&amp;UPPER(C59)&amp;"-"&amp;TEXT(D59,"0000")&amp;"-"&amp;E59)</x:f>
      </x:c>
      <x:c r="B59" s="74" t="str">
        <x:v>M02</x:v>
      </x:c>
      <x:c r="C59" s="74"/>
      <x:c r="D59" s="79"/>
      <x:c r="E59" s="74" t="str">
        <x:v>V1.0</x:v>
      </x:c>
      <x:c r="F59" s="82"/>
      <x:c r="G59" s="82"/>
      <x:c r="H59" s="68"/>
      <x:c r="I59" s="82"/>
      <x:c r="J59" s="82"/>
      <x:c r="K59" s="68"/>
      <x:c r="L59" s="82"/>
      <x:c r="M59" s="68"/>
      <x:c r="N59" s="82"/>
      <x:c r="O59" s="68"/>
      <x:c r="P59" s="82"/>
      <x:c r="Q59" s="68"/>
      <x:c r="R59" s="68"/>
      <x:c r="S59" s="68"/>
      <x:c r="T59" s="68"/>
      <x:c r="U59" s="68"/>
      <x:c r="V59" s="68"/>
      <x:c r="W59" s="84"/>
      <x:c r="X59" s="84"/>
      <x:c r="Y59" s="82"/>
      <x:c r="Z59" s="82"/>
      <x:c r="AA59" s="68"/>
      <x:c r="AB59" s="68"/>
      <x:c r="AC59" s="82"/>
      <x:c r="AD59" s="82"/>
      <x:c r="AE59" s="87"/>
    </x:row>
    <x:row r="60">
      <x:c r="A60" s="72" t="str">
        <x:f>IF(OR(C60="",D60=""),"",B60&amp;"-"&amp;UPPER(C60)&amp;"-"&amp;TEXT(D60,"0000")&amp;"-"&amp;E60)</x:f>
      </x:c>
      <x:c r="B60" s="74" t="str">
        <x:v>M02</x:v>
      </x:c>
      <x:c r="C60" s="74"/>
      <x:c r="D60" s="79"/>
      <x:c r="E60" s="74" t="str">
        <x:v>V1.0</x:v>
      </x:c>
      <x:c r="F60" s="82"/>
      <x:c r="G60" s="82"/>
      <x:c r="H60" s="68"/>
      <x:c r="I60" s="82"/>
      <x:c r="J60" s="82"/>
      <x:c r="K60" s="68"/>
      <x:c r="L60" s="82"/>
      <x:c r="M60" s="68"/>
      <x:c r="N60" s="82"/>
      <x:c r="O60" s="68"/>
      <x:c r="P60" s="82"/>
      <x:c r="Q60" s="68"/>
      <x:c r="R60" s="68"/>
      <x:c r="S60" s="68"/>
      <x:c r="T60" s="68"/>
      <x:c r="U60" s="68"/>
      <x:c r="V60" s="68"/>
      <x:c r="W60" s="84"/>
      <x:c r="X60" s="84"/>
      <x:c r="Y60" s="82"/>
      <x:c r="Z60" s="82"/>
      <x:c r="AA60" s="68"/>
      <x:c r="AB60" s="68"/>
      <x:c r="AC60" s="82"/>
      <x:c r="AD60" s="82"/>
      <x:c r="AE60" s="87"/>
    </x:row>
    <x:row r="61">
      <x:c r="A61" s="72" t="str">
        <x:f>IF(OR(C61="",D61=""),"",B61&amp;"-"&amp;UPPER(C61)&amp;"-"&amp;TEXT(D61,"0000")&amp;"-"&amp;E61)</x:f>
      </x:c>
      <x:c r="B61" s="74" t="str">
        <x:v>M02</x:v>
      </x:c>
      <x:c r="C61" s="74"/>
      <x:c r="D61" s="79"/>
      <x:c r="E61" s="74" t="str">
        <x:v>V1.0</x:v>
      </x:c>
      <x:c r="F61" s="82"/>
      <x:c r="G61" s="82"/>
      <x:c r="H61" s="68"/>
      <x:c r="I61" s="82"/>
      <x:c r="J61" s="82"/>
      <x:c r="K61" s="68"/>
      <x:c r="L61" s="82"/>
      <x:c r="M61" s="68"/>
      <x:c r="N61" s="82"/>
      <x:c r="O61" s="68"/>
      <x:c r="P61" s="82"/>
      <x:c r="Q61" s="68"/>
      <x:c r="R61" s="68"/>
      <x:c r="S61" s="68"/>
      <x:c r="T61" s="68"/>
      <x:c r="U61" s="68"/>
      <x:c r="V61" s="68"/>
      <x:c r="W61" s="84"/>
      <x:c r="X61" s="84"/>
      <x:c r="Y61" s="82"/>
      <x:c r="Z61" s="82"/>
      <x:c r="AA61" s="68"/>
      <x:c r="AB61" s="68"/>
      <x:c r="AC61" s="82"/>
      <x:c r="AD61" s="82"/>
      <x:c r="AE61" s="87"/>
    </x:row>
    <x:row r="62">
      <x:c r="A62" s="72" t="str">
        <x:f>IF(OR(C62="",D62=""),"",B62&amp;"-"&amp;UPPER(C62)&amp;"-"&amp;TEXT(D62,"0000")&amp;"-"&amp;E62)</x:f>
      </x:c>
      <x:c r="B62" s="74" t="str">
        <x:v>M02</x:v>
      </x:c>
      <x:c r="C62" s="74"/>
      <x:c r="D62" s="79"/>
      <x:c r="E62" s="74" t="str">
        <x:v>V1.0</x:v>
      </x:c>
      <x:c r="F62" s="82"/>
      <x:c r="G62" s="82"/>
      <x:c r="H62" s="68"/>
      <x:c r="I62" s="82"/>
      <x:c r="J62" s="82"/>
      <x:c r="K62" s="68"/>
      <x:c r="L62" s="82"/>
      <x:c r="M62" s="68"/>
      <x:c r="N62" s="82"/>
      <x:c r="O62" s="68"/>
      <x:c r="P62" s="82"/>
      <x:c r="Q62" s="68"/>
      <x:c r="R62" s="68"/>
      <x:c r="S62" s="68"/>
      <x:c r="T62" s="68"/>
      <x:c r="U62" s="68"/>
      <x:c r="V62" s="68"/>
      <x:c r="W62" s="84"/>
      <x:c r="X62" s="84"/>
      <x:c r="Y62" s="82"/>
      <x:c r="Z62" s="82"/>
      <x:c r="AA62" s="68"/>
      <x:c r="AB62" s="68"/>
      <x:c r="AC62" s="82"/>
      <x:c r="AD62" s="82"/>
      <x:c r="AE62" s="87"/>
    </x:row>
    <x:row r="63">
      <x:c r="A63" s="72" t="str">
        <x:f>IF(OR(C63="",D63=""),"",B63&amp;"-"&amp;UPPER(C63)&amp;"-"&amp;TEXT(D63,"0000")&amp;"-"&amp;E63)</x:f>
      </x:c>
      <x:c r="B63" s="74" t="str">
        <x:v>M02</x:v>
      </x:c>
      <x:c r="C63" s="74"/>
      <x:c r="D63" s="79"/>
      <x:c r="E63" s="74" t="str">
        <x:v>V1.0</x:v>
      </x:c>
      <x:c r="F63" s="82"/>
      <x:c r="G63" s="82"/>
      <x:c r="H63" s="68"/>
      <x:c r="I63" s="82"/>
      <x:c r="J63" s="82"/>
      <x:c r="K63" s="68"/>
      <x:c r="L63" s="82"/>
      <x:c r="M63" s="68"/>
      <x:c r="N63" s="82"/>
      <x:c r="O63" s="68"/>
      <x:c r="P63" s="82"/>
      <x:c r="Q63" s="68"/>
      <x:c r="R63" s="68"/>
      <x:c r="S63" s="68"/>
      <x:c r="T63" s="68"/>
      <x:c r="U63" s="68"/>
      <x:c r="V63" s="68"/>
      <x:c r="W63" s="84"/>
      <x:c r="X63" s="84"/>
      <x:c r="Y63" s="82"/>
      <x:c r="Z63" s="82"/>
      <x:c r="AA63" s="68"/>
      <x:c r="AB63" s="68"/>
      <x:c r="AC63" s="82"/>
      <x:c r="AD63" s="82"/>
      <x:c r="AE63" s="87"/>
    </x:row>
    <x:row r="64">
      <x:c r="A64" s="72" t="str">
        <x:f>IF(OR(C64="",D64=""),"",B64&amp;"-"&amp;UPPER(C64)&amp;"-"&amp;TEXT(D64,"0000")&amp;"-"&amp;E64)</x:f>
      </x:c>
      <x:c r="B64" s="74" t="str">
        <x:v>M02</x:v>
      </x:c>
      <x:c r="C64" s="74"/>
      <x:c r="D64" s="79"/>
      <x:c r="E64" s="74" t="str">
        <x:v>V1.0</x:v>
      </x:c>
      <x:c r="F64" s="82"/>
      <x:c r="G64" s="82"/>
      <x:c r="H64" s="68"/>
      <x:c r="I64" s="82"/>
      <x:c r="J64" s="82"/>
      <x:c r="K64" s="68"/>
      <x:c r="L64" s="82"/>
      <x:c r="M64" s="68"/>
      <x:c r="N64" s="82"/>
      <x:c r="O64" s="68"/>
      <x:c r="P64" s="82"/>
      <x:c r="Q64" s="68"/>
      <x:c r="R64" s="68"/>
      <x:c r="S64" s="68"/>
      <x:c r="T64" s="68"/>
      <x:c r="U64" s="68"/>
      <x:c r="V64" s="68"/>
      <x:c r="W64" s="84"/>
      <x:c r="X64" s="84"/>
      <x:c r="Y64" s="82"/>
      <x:c r="Z64" s="82"/>
      <x:c r="AA64" s="68"/>
      <x:c r="AB64" s="68"/>
      <x:c r="AC64" s="82"/>
      <x:c r="AD64" s="82"/>
      <x:c r="AE64" s="87"/>
    </x:row>
    <x:row r="65">
      <x:c r="A65" s="72" t="str">
        <x:f>IF(OR(C65="",D65=""),"",B65&amp;"-"&amp;UPPER(C65)&amp;"-"&amp;TEXT(D65,"0000")&amp;"-"&amp;E65)</x:f>
      </x:c>
      <x:c r="B65" s="74" t="str">
        <x:v>M02</x:v>
      </x:c>
      <x:c r="C65" s="74"/>
      <x:c r="D65" s="79"/>
      <x:c r="E65" s="74" t="str">
        <x:v>V1.0</x:v>
      </x:c>
      <x:c r="F65" s="82"/>
      <x:c r="G65" s="82"/>
      <x:c r="H65" s="68"/>
      <x:c r="I65" s="82"/>
      <x:c r="J65" s="82"/>
      <x:c r="K65" s="68"/>
      <x:c r="L65" s="82"/>
      <x:c r="M65" s="68"/>
      <x:c r="N65" s="82"/>
      <x:c r="O65" s="68"/>
      <x:c r="P65" s="82"/>
      <x:c r="Q65" s="68"/>
      <x:c r="R65" s="68"/>
      <x:c r="S65" s="68"/>
      <x:c r="T65" s="68"/>
      <x:c r="U65" s="68"/>
      <x:c r="V65" s="68"/>
      <x:c r="W65" s="84"/>
      <x:c r="X65" s="84"/>
      <x:c r="Y65" s="82"/>
      <x:c r="Z65" s="82"/>
      <x:c r="AA65" s="68"/>
      <x:c r="AB65" s="68"/>
      <x:c r="AC65" s="82"/>
      <x:c r="AD65" s="82"/>
      <x:c r="AE65" s="87"/>
    </x:row>
    <x:row r="66">
      <x:c r="A66" s="72" t="str">
        <x:f>IF(OR(C66="",D66=""),"",B66&amp;"-"&amp;UPPER(C66)&amp;"-"&amp;TEXT(D66,"0000")&amp;"-"&amp;E66)</x:f>
      </x:c>
      <x:c r="B66" s="74" t="str">
        <x:v>M02</x:v>
      </x:c>
      <x:c r="C66" s="74"/>
      <x:c r="D66" s="79"/>
      <x:c r="E66" s="74" t="str">
        <x:v>V1.0</x:v>
      </x:c>
      <x:c r="F66" s="82"/>
      <x:c r="G66" s="82"/>
      <x:c r="H66" s="68"/>
      <x:c r="I66" s="82"/>
      <x:c r="J66" s="82"/>
      <x:c r="K66" s="68"/>
      <x:c r="L66" s="82"/>
      <x:c r="M66" s="68"/>
      <x:c r="N66" s="82"/>
      <x:c r="O66" s="68"/>
      <x:c r="P66" s="82"/>
      <x:c r="Q66" s="68"/>
      <x:c r="R66" s="68"/>
      <x:c r="S66" s="68"/>
      <x:c r="T66" s="68"/>
      <x:c r="U66" s="68"/>
      <x:c r="V66" s="68"/>
      <x:c r="W66" s="84"/>
      <x:c r="X66" s="84"/>
      <x:c r="Y66" s="82"/>
      <x:c r="Z66" s="82"/>
      <x:c r="AA66" s="68"/>
      <x:c r="AB66" s="68"/>
      <x:c r="AC66" s="82"/>
      <x:c r="AD66" s="82"/>
      <x:c r="AE66" s="87"/>
    </x:row>
    <x:row r="67">
      <x:c r="A67" s="72" t="str">
        <x:f>IF(OR(C67="",D67=""),"",B67&amp;"-"&amp;UPPER(C67)&amp;"-"&amp;TEXT(D67,"0000")&amp;"-"&amp;E67)</x:f>
      </x:c>
      <x:c r="B67" s="74" t="str">
        <x:v>M02</x:v>
      </x:c>
      <x:c r="C67" s="74"/>
      <x:c r="D67" s="79"/>
      <x:c r="E67" s="74" t="str">
        <x:v>V1.0</x:v>
      </x:c>
      <x:c r="F67" s="82"/>
      <x:c r="G67" s="82"/>
      <x:c r="H67" s="68"/>
      <x:c r="I67" s="82"/>
      <x:c r="J67" s="82"/>
      <x:c r="K67" s="68"/>
      <x:c r="L67" s="82"/>
      <x:c r="M67" s="68"/>
      <x:c r="N67" s="82"/>
      <x:c r="O67" s="68"/>
      <x:c r="P67" s="82"/>
      <x:c r="Q67" s="68"/>
      <x:c r="R67" s="68"/>
      <x:c r="S67" s="68"/>
      <x:c r="T67" s="68"/>
      <x:c r="U67" s="68"/>
      <x:c r="V67" s="68"/>
      <x:c r="W67" s="84"/>
      <x:c r="X67" s="84"/>
      <x:c r="Y67" s="82"/>
      <x:c r="Z67" s="82"/>
      <x:c r="AA67" s="68"/>
      <x:c r="AB67" s="68"/>
      <x:c r="AC67" s="82"/>
      <x:c r="AD67" s="82"/>
      <x:c r="AE67" s="87"/>
    </x:row>
    <x:row r="68">
      <x:c r="A68" s="72" t="str">
        <x:f>IF(OR(C68="",D68=""),"",B68&amp;"-"&amp;UPPER(C68)&amp;"-"&amp;TEXT(D68,"0000")&amp;"-"&amp;E68)</x:f>
      </x:c>
      <x:c r="B68" s="74" t="str">
        <x:v>M02</x:v>
      </x:c>
      <x:c r="C68" s="74"/>
      <x:c r="D68" s="79"/>
      <x:c r="E68" s="74" t="str">
        <x:v>V1.0</x:v>
      </x:c>
      <x:c r="F68" s="82"/>
      <x:c r="G68" s="82"/>
      <x:c r="H68" s="68"/>
      <x:c r="I68" s="82"/>
      <x:c r="J68" s="82"/>
      <x:c r="K68" s="68"/>
      <x:c r="L68" s="82"/>
      <x:c r="M68" s="68"/>
      <x:c r="N68" s="82"/>
      <x:c r="O68" s="68"/>
      <x:c r="P68" s="82"/>
      <x:c r="Q68" s="68"/>
      <x:c r="R68" s="68"/>
      <x:c r="S68" s="68"/>
      <x:c r="T68" s="68"/>
      <x:c r="U68" s="68"/>
      <x:c r="V68" s="68"/>
      <x:c r="W68" s="84"/>
      <x:c r="X68" s="84"/>
      <x:c r="Y68" s="82"/>
      <x:c r="Z68" s="82"/>
      <x:c r="AA68" s="68"/>
      <x:c r="AB68" s="68"/>
      <x:c r="AC68" s="82"/>
      <x:c r="AD68" s="82"/>
      <x:c r="AE68" s="87"/>
    </x:row>
    <x:row r="69">
      <x:c r="A69" s="72" t="str">
        <x:f>IF(OR(C69="",D69=""),"",B69&amp;"-"&amp;UPPER(C69)&amp;"-"&amp;TEXT(D69,"0000")&amp;"-"&amp;E69)</x:f>
      </x:c>
      <x:c r="B69" s="74" t="str">
        <x:v>M02</x:v>
      </x:c>
      <x:c r="C69" s="74"/>
      <x:c r="D69" s="79"/>
      <x:c r="E69" s="74" t="str">
        <x:v>V1.0</x:v>
      </x:c>
      <x:c r="F69" s="82"/>
      <x:c r="G69" s="82"/>
      <x:c r="H69" s="68"/>
      <x:c r="I69" s="82"/>
      <x:c r="J69" s="82"/>
      <x:c r="K69" s="68"/>
      <x:c r="L69" s="82"/>
      <x:c r="M69" s="68"/>
      <x:c r="N69" s="82"/>
      <x:c r="O69" s="68"/>
      <x:c r="P69" s="82"/>
      <x:c r="Q69" s="68"/>
      <x:c r="R69" s="68"/>
      <x:c r="S69" s="68"/>
      <x:c r="T69" s="68"/>
      <x:c r="U69" s="68"/>
      <x:c r="V69" s="68"/>
      <x:c r="W69" s="84"/>
      <x:c r="X69" s="84"/>
      <x:c r="Y69" s="82"/>
      <x:c r="Z69" s="82"/>
      <x:c r="AA69" s="68"/>
      <x:c r="AB69" s="68"/>
      <x:c r="AC69" s="82"/>
      <x:c r="AD69" s="82"/>
      <x:c r="AE69" s="87"/>
    </x:row>
    <x:row r="70">
      <x:c r="A70" s="72" t="str">
        <x:f>IF(OR(C70="",D70=""),"",B70&amp;"-"&amp;UPPER(C70)&amp;"-"&amp;TEXT(D70,"0000")&amp;"-"&amp;E70)</x:f>
      </x:c>
      <x:c r="B70" s="74" t="str">
        <x:v>M02</x:v>
      </x:c>
      <x:c r="C70" s="74"/>
      <x:c r="D70" s="79"/>
      <x:c r="E70" s="74" t="str">
        <x:v>V1.0</x:v>
      </x:c>
      <x:c r="F70" s="82"/>
      <x:c r="G70" s="82"/>
      <x:c r="H70" s="68"/>
      <x:c r="I70" s="82"/>
      <x:c r="J70" s="82"/>
      <x:c r="K70" s="68"/>
      <x:c r="L70" s="82"/>
      <x:c r="M70" s="68"/>
      <x:c r="N70" s="82"/>
      <x:c r="O70" s="68"/>
      <x:c r="P70" s="82"/>
      <x:c r="Q70" s="68"/>
      <x:c r="R70" s="68"/>
      <x:c r="S70" s="68"/>
      <x:c r="T70" s="68"/>
      <x:c r="U70" s="68"/>
      <x:c r="V70" s="68"/>
      <x:c r="W70" s="84"/>
      <x:c r="X70" s="84"/>
      <x:c r="Y70" s="82"/>
      <x:c r="Z70" s="82"/>
      <x:c r="AA70" s="68"/>
      <x:c r="AB70" s="68"/>
      <x:c r="AC70" s="82"/>
      <x:c r="AD70" s="82"/>
      <x:c r="AE70" s="87"/>
    </x:row>
    <x:row r="71">
      <x:c r="A71" s="72" t="str">
        <x:f>IF(OR(C71="",D71=""),"",B71&amp;"-"&amp;UPPER(C71)&amp;"-"&amp;TEXT(D71,"0000")&amp;"-"&amp;E71)</x:f>
      </x:c>
      <x:c r="B71" s="74" t="str">
        <x:v>M02</x:v>
      </x:c>
      <x:c r="C71" s="74"/>
      <x:c r="D71" s="79"/>
      <x:c r="E71" s="74" t="str">
        <x:v>V1.0</x:v>
      </x:c>
      <x:c r="F71" s="82"/>
      <x:c r="G71" s="82"/>
      <x:c r="H71" s="68"/>
      <x:c r="I71" s="82"/>
      <x:c r="J71" s="82"/>
      <x:c r="K71" s="68"/>
      <x:c r="L71" s="82"/>
      <x:c r="M71" s="68"/>
      <x:c r="N71" s="82"/>
      <x:c r="O71" s="68"/>
      <x:c r="P71" s="82"/>
      <x:c r="Q71" s="68"/>
      <x:c r="R71" s="68"/>
      <x:c r="S71" s="68"/>
      <x:c r="T71" s="68"/>
      <x:c r="U71" s="68"/>
      <x:c r="V71" s="68"/>
      <x:c r="W71" s="84"/>
      <x:c r="X71" s="84"/>
      <x:c r="Y71" s="82"/>
      <x:c r="Z71" s="82"/>
      <x:c r="AA71" s="68"/>
      <x:c r="AB71" s="68"/>
      <x:c r="AC71" s="82"/>
      <x:c r="AD71" s="82"/>
      <x:c r="AE71" s="87"/>
    </x:row>
    <x:row r="72">
      <x:c r="A72" s="72" t="str">
        <x:f>IF(OR(C72="",D72=""),"",B72&amp;"-"&amp;UPPER(C72)&amp;"-"&amp;TEXT(D72,"0000")&amp;"-"&amp;E72)</x:f>
      </x:c>
      <x:c r="B72" s="74" t="str">
        <x:v>M02</x:v>
      </x:c>
      <x:c r="C72" s="74"/>
      <x:c r="D72" s="79"/>
      <x:c r="E72" s="74" t="str">
        <x:v>V1.0</x:v>
      </x:c>
      <x:c r="F72" s="82"/>
      <x:c r="G72" s="82"/>
      <x:c r="H72" s="68"/>
      <x:c r="I72" s="82"/>
      <x:c r="J72" s="82"/>
      <x:c r="K72" s="68"/>
      <x:c r="L72" s="82"/>
      <x:c r="M72" s="68"/>
      <x:c r="N72" s="82"/>
      <x:c r="O72" s="68"/>
      <x:c r="P72" s="82"/>
      <x:c r="Q72" s="68"/>
      <x:c r="R72" s="68"/>
      <x:c r="S72" s="68"/>
      <x:c r="T72" s="68"/>
      <x:c r="U72" s="68"/>
      <x:c r="V72" s="68"/>
      <x:c r="W72" s="84"/>
      <x:c r="X72" s="84"/>
      <x:c r="Y72" s="82"/>
      <x:c r="Z72" s="82"/>
      <x:c r="AA72" s="68"/>
      <x:c r="AB72" s="68"/>
      <x:c r="AC72" s="82"/>
      <x:c r="AD72" s="82"/>
      <x:c r="AE72" s="87"/>
    </x:row>
    <x:row r="73">
      <x:c r="A73" s="72" t="str">
        <x:f>IF(OR(C73="",D73=""),"",B73&amp;"-"&amp;UPPER(C73)&amp;"-"&amp;TEXT(D73,"0000")&amp;"-"&amp;E73)</x:f>
      </x:c>
      <x:c r="B73" s="74" t="str">
        <x:v>M02</x:v>
      </x:c>
      <x:c r="C73" s="74"/>
      <x:c r="D73" s="79"/>
      <x:c r="E73" s="74" t="str">
        <x:v>V1.0</x:v>
      </x:c>
      <x:c r="F73" s="82"/>
      <x:c r="G73" s="82"/>
      <x:c r="H73" s="68"/>
      <x:c r="I73" s="82"/>
      <x:c r="J73" s="82"/>
      <x:c r="K73" s="68"/>
      <x:c r="L73" s="82"/>
      <x:c r="M73" s="68"/>
      <x:c r="N73" s="82"/>
      <x:c r="O73" s="68"/>
      <x:c r="P73" s="82"/>
      <x:c r="Q73" s="68"/>
      <x:c r="R73" s="68"/>
      <x:c r="S73" s="68"/>
      <x:c r="T73" s="68"/>
      <x:c r="U73" s="68"/>
      <x:c r="V73" s="68"/>
      <x:c r="W73" s="84"/>
      <x:c r="X73" s="84"/>
      <x:c r="Y73" s="82"/>
      <x:c r="Z73" s="82"/>
      <x:c r="AA73" s="68"/>
      <x:c r="AB73" s="68"/>
      <x:c r="AC73" s="82"/>
      <x:c r="AD73" s="82"/>
      <x:c r="AE73" s="87"/>
    </x:row>
    <x:row r="74">
      <x:c r="A74" s="72" t="str">
        <x:f>IF(OR(C74="",D74=""),"",B74&amp;"-"&amp;UPPER(C74)&amp;"-"&amp;TEXT(D74,"0000")&amp;"-"&amp;E74)</x:f>
      </x:c>
      <x:c r="B74" s="74" t="str">
        <x:v>M02</x:v>
      </x:c>
      <x:c r="C74" s="74"/>
      <x:c r="D74" s="79"/>
      <x:c r="E74" s="74" t="str">
        <x:v>V1.0</x:v>
      </x:c>
      <x:c r="F74" s="82"/>
      <x:c r="G74" s="82"/>
      <x:c r="H74" s="68"/>
      <x:c r="I74" s="82"/>
      <x:c r="J74" s="82"/>
      <x:c r="K74" s="68"/>
      <x:c r="L74" s="82"/>
      <x:c r="M74" s="68"/>
      <x:c r="N74" s="82"/>
      <x:c r="O74" s="68"/>
      <x:c r="P74" s="82"/>
      <x:c r="Q74" s="68"/>
      <x:c r="R74" s="68"/>
      <x:c r="S74" s="68"/>
      <x:c r="T74" s="68"/>
      <x:c r="U74" s="68"/>
      <x:c r="V74" s="68"/>
      <x:c r="W74" s="84"/>
      <x:c r="X74" s="84"/>
      <x:c r="Y74" s="82"/>
      <x:c r="Z74" s="82"/>
      <x:c r="AA74" s="68"/>
      <x:c r="AB74" s="68"/>
      <x:c r="AC74" s="82"/>
      <x:c r="AD74" s="82"/>
      <x:c r="AE74" s="87"/>
    </x:row>
    <x:row r="75">
      <x:c r="A75" s="72" t="str">
        <x:f>IF(OR(C75="",D75=""),"",B75&amp;"-"&amp;UPPER(C75)&amp;"-"&amp;TEXT(D75,"0000")&amp;"-"&amp;E75)</x:f>
      </x:c>
      <x:c r="B75" s="74" t="str">
        <x:v>M02</x:v>
      </x:c>
      <x:c r="C75" s="74"/>
      <x:c r="D75" s="79"/>
      <x:c r="E75" s="74" t="str">
        <x:v>V1.0</x:v>
      </x:c>
      <x:c r="F75" s="82"/>
      <x:c r="G75" s="82"/>
      <x:c r="H75" s="68"/>
      <x:c r="I75" s="82"/>
      <x:c r="J75" s="82"/>
      <x:c r="K75" s="68"/>
      <x:c r="L75" s="82"/>
      <x:c r="M75" s="68"/>
      <x:c r="N75" s="82"/>
      <x:c r="O75" s="68"/>
      <x:c r="P75" s="82"/>
      <x:c r="Q75" s="68"/>
      <x:c r="R75" s="68"/>
      <x:c r="S75" s="68"/>
      <x:c r="T75" s="68"/>
      <x:c r="U75" s="68"/>
      <x:c r="V75" s="68"/>
      <x:c r="W75" s="84"/>
      <x:c r="X75" s="84"/>
      <x:c r="Y75" s="82"/>
      <x:c r="Z75" s="82"/>
      <x:c r="AA75" s="68"/>
      <x:c r="AB75" s="68"/>
      <x:c r="AC75" s="82"/>
      <x:c r="AD75" s="82"/>
      <x:c r="AE75" s="87"/>
    </x:row>
    <x:row r="76">
      <x:c r="A76" s="72" t="str">
        <x:f>IF(OR(C76="",D76=""),"",B76&amp;"-"&amp;UPPER(C76)&amp;"-"&amp;TEXT(D76,"0000")&amp;"-"&amp;E76)</x:f>
      </x:c>
      <x:c r="B76" s="74" t="str">
        <x:v>M02</x:v>
      </x:c>
      <x:c r="C76" s="74"/>
      <x:c r="D76" s="79"/>
      <x:c r="E76" s="74" t="str">
        <x:v>V1.0</x:v>
      </x:c>
      <x:c r="F76" s="82"/>
      <x:c r="G76" s="82"/>
      <x:c r="H76" s="68"/>
      <x:c r="I76" s="82"/>
      <x:c r="J76" s="82"/>
      <x:c r="K76" s="68"/>
      <x:c r="L76" s="82"/>
      <x:c r="M76" s="68"/>
      <x:c r="N76" s="82"/>
      <x:c r="O76" s="68"/>
      <x:c r="P76" s="82"/>
      <x:c r="Q76" s="68"/>
      <x:c r="R76" s="68"/>
      <x:c r="S76" s="68"/>
      <x:c r="T76" s="68"/>
      <x:c r="U76" s="68"/>
      <x:c r="V76" s="68"/>
      <x:c r="W76" s="84"/>
      <x:c r="X76" s="84"/>
      <x:c r="Y76" s="82"/>
      <x:c r="Z76" s="82"/>
      <x:c r="AA76" s="68"/>
      <x:c r="AB76" s="68"/>
      <x:c r="AC76" s="82"/>
      <x:c r="AD76" s="82"/>
      <x:c r="AE76" s="87"/>
    </x:row>
    <x:row r="77">
      <x:c r="A77" s="72" t="str">
        <x:f>IF(OR(C77="",D77=""),"",B77&amp;"-"&amp;UPPER(C77)&amp;"-"&amp;TEXT(D77,"0000")&amp;"-"&amp;E77)</x:f>
      </x:c>
      <x:c r="B77" s="74" t="str">
        <x:v>M02</x:v>
      </x:c>
      <x:c r="C77" s="74"/>
      <x:c r="D77" s="79"/>
      <x:c r="E77" s="74" t="str">
        <x:v>V1.0</x:v>
      </x:c>
      <x:c r="F77" s="82"/>
      <x:c r="G77" s="82"/>
      <x:c r="H77" s="68"/>
      <x:c r="I77" s="82"/>
      <x:c r="J77" s="82"/>
      <x:c r="K77" s="68"/>
      <x:c r="L77" s="82"/>
      <x:c r="M77" s="68"/>
      <x:c r="N77" s="82"/>
      <x:c r="O77" s="68"/>
      <x:c r="P77" s="82"/>
      <x:c r="Q77" s="68"/>
      <x:c r="R77" s="68"/>
      <x:c r="S77" s="68"/>
      <x:c r="T77" s="68"/>
      <x:c r="U77" s="68"/>
      <x:c r="V77" s="68"/>
      <x:c r="W77" s="84"/>
      <x:c r="X77" s="84"/>
      <x:c r="Y77" s="82"/>
      <x:c r="Z77" s="82"/>
      <x:c r="AA77" s="68"/>
      <x:c r="AB77" s="68"/>
      <x:c r="AC77" s="82"/>
      <x:c r="AD77" s="82"/>
      <x:c r="AE77" s="87"/>
    </x:row>
    <x:row r="78">
      <x:c r="A78" s="72" t="str">
        <x:f>IF(OR(C78="",D78=""),"",B78&amp;"-"&amp;UPPER(C78)&amp;"-"&amp;TEXT(D78,"0000")&amp;"-"&amp;E78)</x:f>
      </x:c>
      <x:c r="B78" s="74" t="str">
        <x:v>M02</x:v>
      </x:c>
      <x:c r="C78" s="74"/>
      <x:c r="D78" s="79"/>
      <x:c r="E78" s="74" t="str">
        <x:v>V1.0</x:v>
      </x:c>
      <x:c r="F78" s="82"/>
      <x:c r="G78" s="82"/>
      <x:c r="H78" s="68"/>
      <x:c r="I78" s="82"/>
      <x:c r="J78" s="82"/>
      <x:c r="K78" s="68"/>
      <x:c r="L78" s="82"/>
      <x:c r="M78" s="68"/>
      <x:c r="N78" s="82"/>
      <x:c r="O78" s="68"/>
      <x:c r="P78" s="82"/>
      <x:c r="Q78" s="68"/>
      <x:c r="R78" s="68"/>
      <x:c r="S78" s="68"/>
      <x:c r="T78" s="68"/>
      <x:c r="U78" s="68"/>
      <x:c r="V78" s="68"/>
      <x:c r="W78" s="84"/>
      <x:c r="X78" s="84"/>
      <x:c r="Y78" s="82"/>
      <x:c r="Z78" s="82"/>
      <x:c r="AA78" s="68"/>
      <x:c r="AB78" s="68"/>
      <x:c r="AC78" s="82"/>
      <x:c r="AD78" s="82"/>
      <x:c r="AE78" s="87"/>
    </x:row>
    <x:row r="79">
      <x:c r="A79" s="72" t="str">
        <x:f>IF(OR(C79="",D79=""),"",B79&amp;"-"&amp;UPPER(C79)&amp;"-"&amp;TEXT(D79,"0000")&amp;"-"&amp;E79)</x:f>
      </x:c>
      <x:c r="B79" s="74" t="str">
        <x:v>M02</x:v>
      </x:c>
      <x:c r="C79" s="74"/>
      <x:c r="D79" s="79"/>
      <x:c r="E79" s="74" t="str">
        <x:v>V1.0</x:v>
      </x:c>
      <x:c r="F79" s="82"/>
      <x:c r="G79" s="82"/>
      <x:c r="H79" s="68"/>
      <x:c r="I79" s="82"/>
      <x:c r="J79" s="82"/>
      <x:c r="K79" s="68"/>
      <x:c r="L79" s="82"/>
      <x:c r="M79" s="68"/>
      <x:c r="N79" s="82"/>
      <x:c r="O79" s="68"/>
      <x:c r="P79" s="82"/>
      <x:c r="Q79" s="68"/>
      <x:c r="R79" s="68"/>
      <x:c r="S79" s="68"/>
      <x:c r="T79" s="68"/>
      <x:c r="U79" s="68"/>
      <x:c r="V79" s="68"/>
      <x:c r="W79" s="84"/>
      <x:c r="X79" s="84"/>
      <x:c r="Y79" s="82"/>
      <x:c r="Z79" s="82"/>
      <x:c r="AA79" s="68"/>
      <x:c r="AB79" s="68"/>
      <x:c r="AC79" s="82"/>
      <x:c r="AD79" s="82"/>
      <x:c r="AE79" s="87"/>
    </x:row>
    <x:row r="80">
      <x:c r="A80" s="72" t="str">
        <x:f>IF(OR(C80="",D80=""),"",B80&amp;"-"&amp;UPPER(C80)&amp;"-"&amp;TEXT(D80,"0000")&amp;"-"&amp;E80)</x:f>
      </x:c>
      <x:c r="B80" s="74" t="str">
        <x:v>M02</x:v>
      </x:c>
      <x:c r="C80" s="74"/>
      <x:c r="D80" s="79"/>
      <x:c r="E80" s="74" t="str">
        <x:v>V1.0</x:v>
      </x:c>
      <x:c r="F80" s="82"/>
      <x:c r="G80" s="82"/>
      <x:c r="H80" s="68"/>
      <x:c r="I80" s="82"/>
      <x:c r="J80" s="82"/>
      <x:c r="K80" s="68"/>
      <x:c r="L80" s="82"/>
      <x:c r="M80" s="68"/>
      <x:c r="N80" s="82"/>
      <x:c r="O80" s="68"/>
      <x:c r="P80" s="82"/>
      <x:c r="Q80" s="68"/>
      <x:c r="R80" s="68"/>
      <x:c r="S80" s="68"/>
      <x:c r="T80" s="68"/>
      <x:c r="U80" s="68"/>
      <x:c r="V80" s="68"/>
      <x:c r="W80" s="84"/>
      <x:c r="X80" s="84"/>
      <x:c r="Y80" s="82"/>
      <x:c r="Z80" s="82"/>
      <x:c r="AA80" s="68"/>
      <x:c r="AB80" s="68"/>
      <x:c r="AC80" s="82"/>
      <x:c r="AD80" s="82"/>
      <x:c r="AE80" s="87"/>
    </x:row>
    <x:row r="81">
      <x:c r="A81" s="72" t="str">
        <x:f>IF(OR(C81="",D81=""),"",B81&amp;"-"&amp;UPPER(C81)&amp;"-"&amp;TEXT(D81,"0000")&amp;"-"&amp;E81)</x:f>
      </x:c>
      <x:c r="B81" s="74" t="str">
        <x:v>M02</x:v>
      </x:c>
      <x:c r="C81" s="74"/>
      <x:c r="D81" s="79"/>
      <x:c r="E81" s="74" t="str">
        <x:v>V1.0</x:v>
      </x:c>
      <x:c r="F81" s="82"/>
      <x:c r="G81" s="82"/>
      <x:c r="H81" s="68"/>
      <x:c r="I81" s="82"/>
      <x:c r="J81" s="82"/>
      <x:c r="K81" s="68"/>
      <x:c r="L81" s="82"/>
      <x:c r="M81" s="68"/>
      <x:c r="N81" s="82"/>
      <x:c r="O81" s="68"/>
      <x:c r="P81" s="82"/>
      <x:c r="Q81" s="68"/>
      <x:c r="R81" s="68"/>
      <x:c r="S81" s="68"/>
      <x:c r="T81" s="68"/>
      <x:c r="U81" s="68"/>
      <x:c r="V81" s="68"/>
      <x:c r="W81" s="84"/>
      <x:c r="X81" s="84"/>
      <x:c r="Y81" s="82"/>
      <x:c r="Z81" s="82"/>
      <x:c r="AA81" s="68"/>
      <x:c r="AB81" s="68"/>
      <x:c r="AC81" s="82"/>
      <x:c r="AD81" s="82"/>
      <x:c r="AE81" s="87"/>
    </x:row>
    <x:row r="82">
      <x:c r="A82" s="72" t="str">
        <x:f>IF(OR(C82="",D82=""),"",B82&amp;"-"&amp;UPPER(C82)&amp;"-"&amp;TEXT(D82,"0000")&amp;"-"&amp;E82)</x:f>
      </x:c>
      <x:c r="B82" s="74" t="str">
        <x:v>M02</x:v>
      </x:c>
      <x:c r="C82" s="74"/>
      <x:c r="D82" s="79"/>
      <x:c r="E82" s="74" t="str">
        <x:v>V1.0</x:v>
      </x:c>
      <x:c r="F82" s="82"/>
      <x:c r="G82" s="82"/>
      <x:c r="H82" s="68"/>
      <x:c r="I82" s="82"/>
      <x:c r="J82" s="82"/>
      <x:c r="K82" s="68"/>
      <x:c r="L82" s="82"/>
      <x:c r="M82" s="68"/>
      <x:c r="N82" s="82"/>
      <x:c r="O82" s="68"/>
      <x:c r="P82" s="82"/>
      <x:c r="Q82" s="68"/>
      <x:c r="R82" s="68"/>
      <x:c r="S82" s="68"/>
      <x:c r="T82" s="68"/>
      <x:c r="U82" s="68"/>
      <x:c r="V82" s="68"/>
      <x:c r="W82" s="84"/>
      <x:c r="X82" s="84"/>
      <x:c r="Y82" s="82"/>
      <x:c r="Z82" s="82"/>
      <x:c r="AA82" s="68"/>
      <x:c r="AB82" s="68"/>
      <x:c r="AC82" s="82"/>
      <x:c r="AD82" s="82"/>
      <x:c r="AE82" s="87"/>
    </x:row>
    <x:row r="83">
      <x:c r="A83" s="72" t="str">
        <x:f>IF(OR(C83="",D83=""),"",B83&amp;"-"&amp;UPPER(C83)&amp;"-"&amp;TEXT(D83,"0000")&amp;"-"&amp;E83)</x:f>
      </x:c>
      <x:c r="B83" s="74" t="str">
        <x:v>M02</x:v>
      </x:c>
      <x:c r="C83" s="74"/>
      <x:c r="D83" s="79"/>
      <x:c r="E83" s="74" t="str">
        <x:v>V1.0</x:v>
      </x:c>
      <x:c r="F83" s="82"/>
      <x:c r="G83" s="82"/>
      <x:c r="H83" s="68"/>
      <x:c r="I83" s="82"/>
      <x:c r="J83" s="82"/>
      <x:c r="K83" s="68"/>
      <x:c r="L83" s="82"/>
      <x:c r="M83" s="68"/>
      <x:c r="N83" s="82"/>
      <x:c r="O83" s="68"/>
      <x:c r="P83" s="82"/>
      <x:c r="Q83" s="68"/>
      <x:c r="R83" s="68"/>
      <x:c r="S83" s="68"/>
      <x:c r="T83" s="68"/>
      <x:c r="U83" s="68"/>
      <x:c r="V83" s="68"/>
      <x:c r="W83" s="84"/>
      <x:c r="X83" s="84"/>
      <x:c r="Y83" s="82"/>
      <x:c r="Z83" s="82"/>
      <x:c r="AA83" s="68"/>
      <x:c r="AB83" s="68"/>
      <x:c r="AC83" s="82"/>
      <x:c r="AD83" s="82"/>
      <x:c r="AE83" s="87"/>
    </x:row>
    <x:row r="84">
      <x:c r="A84" s="72" t="str">
        <x:f>IF(OR(C84="",D84=""),"",B84&amp;"-"&amp;UPPER(C84)&amp;"-"&amp;TEXT(D84,"0000")&amp;"-"&amp;E84)</x:f>
      </x:c>
      <x:c r="B84" s="74" t="str">
        <x:v>M02</x:v>
      </x:c>
      <x:c r="C84" s="74"/>
      <x:c r="D84" s="79"/>
      <x:c r="E84" s="74" t="str">
        <x:v>V1.0</x:v>
      </x:c>
      <x:c r="F84" s="82"/>
      <x:c r="G84" s="82"/>
      <x:c r="H84" s="68"/>
      <x:c r="I84" s="82"/>
      <x:c r="J84" s="82"/>
      <x:c r="K84" s="68"/>
      <x:c r="L84" s="82"/>
      <x:c r="M84" s="68"/>
      <x:c r="N84" s="82"/>
      <x:c r="O84" s="68"/>
      <x:c r="P84" s="82"/>
      <x:c r="Q84" s="68"/>
      <x:c r="R84" s="68"/>
      <x:c r="S84" s="68"/>
      <x:c r="T84" s="68"/>
      <x:c r="U84" s="68"/>
      <x:c r="V84" s="68"/>
      <x:c r="W84" s="84"/>
      <x:c r="X84" s="84"/>
      <x:c r="Y84" s="82"/>
      <x:c r="Z84" s="82"/>
      <x:c r="AA84" s="68"/>
      <x:c r="AB84" s="68"/>
      <x:c r="AC84" s="82"/>
      <x:c r="AD84" s="82"/>
      <x:c r="AE84" s="87"/>
    </x:row>
    <x:row r="85">
      <x:c r="A85" s="72" t="str">
        <x:f>IF(OR(C85="",D85=""),"",B85&amp;"-"&amp;UPPER(C85)&amp;"-"&amp;TEXT(D85,"0000")&amp;"-"&amp;E85)</x:f>
      </x:c>
      <x:c r="B85" s="74" t="str">
        <x:v>M02</x:v>
      </x:c>
      <x:c r="C85" s="74"/>
      <x:c r="D85" s="79"/>
      <x:c r="E85" s="74" t="str">
        <x:v>V1.0</x:v>
      </x:c>
      <x:c r="F85" s="82"/>
      <x:c r="G85" s="82"/>
      <x:c r="H85" s="68"/>
      <x:c r="I85" s="82"/>
      <x:c r="J85" s="82"/>
      <x:c r="K85" s="68"/>
      <x:c r="L85" s="82"/>
      <x:c r="M85" s="68"/>
      <x:c r="N85" s="82"/>
      <x:c r="O85" s="68"/>
      <x:c r="P85" s="82"/>
      <x:c r="Q85" s="68"/>
      <x:c r="R85" s="68"/>
      <x:c r="S85" s="68"/>
      <x:c r="T85" s="68"/>
      <x:c r="U85" s="68"/>
      <x:c r="V85" s="68"/>
      <x:c r="W85" s="84"/>
      <x:c r="X85" s="84"/>
      <x:c r="Y85" s="82"/>
      <x:c r="Z85" s="82"/>
      <x:c r="AA85" s="68"/>
      <x:c r="AB85" s="68"/>
      <x:c r="AC85" s="82"/>
      <x:c r="AD85" s="82"/>
      <x:c r="AE85" s="87"/>
    </x:row>
    <x:row r="86">
      <x:c r="A86" s="72" t="str">
        <x:f>IF(OR(C86="",D86=""),"",B86&amp;"-"&amp;UPPER(C86)&amp;"-"&amp;TEXT(D86,"0000")&amp;"-"&amp;E86)</x:f>
      </x:c>
      <x:c r="B86" s="74" t="str">
        <x:v>M02</x:v>
      </x:c>
      <x:c r="C86" s="74"/>
      <x:c r="D86" s="79"/>
      <x:c r="E86" s="74" t="str">
        <x:v>V1.0</x:v>
      </x:c>
      <x:c r="F86" s="82"/>
      <x:c r="G86" s="82"/>
      <x:c r="H86" s="68"/>
      <x:c r="I86" s="82"/>
      <x:c r="J86" s="82"/>
      <x:c r="K86" s="68"/>
      <x:c r="L86" s="82"/>
      <x:c r="M86" s="68"/>
      <x:c r="N86" s="82"/>
      <x:c r="O86" s="68"/>
      <x:c r="P86" s="82"/>
      <x:c r="Q86" s="68"/>
      <x:c r="R86" s="68"/>
      <x:c r="S86" s="68"/>
      <x:c r="T86" s="68"/>
      <x:c r="U86" s="68"/>
      <x:c r="V86" s="68"/>
      <x:c r="W86" s="84"/>
      <x:c r="X86" s="84"/>
      <x:c r="Y86" s="82"/>
      <x:c r="Z86" s="82"/>
      <x:c r="AA86" s="68"/>
      <x:c r="AB86" s="68"/>
      <x:c r="AC86" s="82"/>
      <x:c r="AD86" s="82"/>
      <x:c r="AE86" s="87"/>
    </x:row>
    <x:row r="87">
      <x:c r="A87" s="72" t="str">
        <x:f>IF(OR(C87="",D87=""),"",B87&amp;"-"&amp;UPPER(C87)&amp;"-"&amp;TEXT(D87,"0000")&amp;"-"&amp;E87)</x:f>
      </x:c>
      <x:c r="B87" s="74" t="str">
        <x:v>M02</x:v>
      </x:c>
      <x:c r="C87" s="74"/>
      <x:c r="D87" s="79"/>
      <x:c r="E87" s="74" t="str">
        <x:v>V1.0</x:v>
      </x:c>
      <x:c r="F87" s="82"/>
      <x:c r="G87" s="82"/>
      <x:c r="H87" s="68"/>
      <x:c r="I87" s="82"/>
      <x:c r="J87" s="82"/>
      <x:c r="K87" s="68"/>
      <x:c r="L87" s="82"/>
      <x:c r="M87" s="68"/>
      <x:c r="N87" s="82"/>
      <x:c r="O87" s="68"/>
      <x:c r="P87" s="82"/>
      <x:c r="Q87" s="68"/>
      <x:c r="R87" s="68"/>
      <x:c r="S87" s="68"/>
      <x:c r="T87" s="68"/>
      <x:c r="U87" s="68"/>
      <x:c r="V87" s="68"/>
      <x:c r="W87" s="84"/>
      <x:c r="X87" s="84"/>
      <x:c r="Y87" s="82"/>
      <x:c r="Z87" s="82"/>
      <x:c r="AA87" s="68"/>
      <x:c r="AB87" s="68"/>
      <x:c r="AC87" s="82"/>
      <x:c r="AD87" s="82"/>
      <x:c r="AE87" s="87"/>
    </x:row>
    <x:row r="88">
      <x:c r="A88" s="72" t="str">
        <x:f>IF(OR(C88="",D88=""),"",B88&amp;"-"&amp;UPPER(C88)&amp;"-"&amp;TEXT(D88,"0000")&amp;"-"&amp;E88)</x:f>
      </x:c>
      <x:c r="B88" s="74" t="str">
        <x:v>M02</x:v>
      </x:c>
      <x:c r="C88" s="74"/>
      <x:c r="D88" s="79"/>
      <x:c r="E88" s="74" t="str">
        <x:v>V1.0</x:v>
      </x:c>
      <x:c r="F88" s="82"/>
      <x:c r="G88" s="82"/>
      <x:c r="H88" s="68"/>
      <x:c r="I88" s="82"/>
      <x:c r="J88" s="82"/>
      <x:c r="K88" s="68"/>
      <x:c r="L88" s="82"/>
      <x:c r="M88" s="68"/>
      <x:c r="N88" s="82"/>
      <x:c r="O88" s="68"/>
      <x:c r="P88" s="82"/>
      <x:c r="Q88" s="68"/>
      <x:c r="R88" s="68"/>
      <x:c r="S88" s="68"/>
      <x:c r="T88" s="68"/>
      <x:c r="U88" s="68"/>
      <x:c r="V88" s="68"/>
      <x:c r="W88" s="84"/>
      <x:c r="X88" s="84"/>
      <x:c r="Y88" s="82"/>
      <x:c r="Z88" s="82"/>
      <x:c r="AA88" s="68"/>
      <x:c r="AB88" s="68"/>
      <x:c r="AC88" s="82"/>
      <x:c r="AD88" s="82"/>
      <x:c r="AE88" s="87"/>
    </x:row>
    <x:row r="89">
      <x:c r="A89" s="72" t="str">
        <x:f>IF(OR(C89="",D89=""),"",B89&amp;"-"&amp;UPPER(C89)&amp;"-"&amp;TEXT(D89,"0000")&amp;"-"&amp;E89)</x:f>
      </x:c>
      <x:c r="B89" s="74" t="str">
        <x:v>M02</x:v>
      </x:c>
      <x:c r="C89" s="74"/>
      <x:c r="D89" s="79"/>
      <x:c r="E89" s="74" t="str">
        <x:v>V1.0</x:v>
      </x:c>
      <x:c r="F89" s="82"/>
      <x:c r="G89" s="82"/>
      <x:c r="H89" s="68"/>
      <x:c r="I89" s="82"/>
      <x:c r="J89" s="82"/>
      <x:c r="K89" s="68"/>
      <x:c r="L89" s="82"/>
      <x:c r="M89" s="68"/>
      <x:c r="N89" s="82"/>
      <x:c r="O89" s="68"/>
      <x:c r="P89" s="82"/>
      <x:c r="Q89" s="68"/>
      <x:c r="R89" s="68"/>
      <x:c r="S89" s="68"/>
      <x:c r="T89" s="68"/>
      <x:c r="U89" s="68"/>
      <x:c r="V89" s="68"/>
      <x:c r="W89" s="84"/>
      <x:c r="X89" s="84"/>
      <x:c r="Y89" s="82"/>
      <x:c r="Z89" s="82"/>
      <x:c r="AA89" s="68"/>
      <x:c r="AB89" s="68"/>
      <x:c r="AC89" s="82"/>
      <x:c r="AD89" s="82"/>
      <x:c r="AE89" s="87"/>
    </x:row>
    <x:row r="90">
      <x:c r="A90" s="72" t="str">
        <x:f>IF(OR(C90="",D90=""),"",B90&amp;"-"&amp;UPPER(C90)&amp;"-"&amp;TEXT(D90,"0000")&amp;"-"&amp;E90)</x:f>
      </x:c>
      <x:c r="B90" s="74" t="str">
        <x:v>M02</x:v>
      </x:c>
      <x:c r="C90" s="74"/>
      <x:c r="D90" s="79"/>
      <x:c r="E90" s="74" t="str">
        <x:v>V1.0</x:v>
      </x:c>
      <x:c r="F90" s="82"/>
      <x:c r="G90" s="82"/>
      <x:c r="H90" s="68"/>
      <x:c r="I90" s="82"/>
      <x:c r="J90" s="82"/>
      <x:c r="K90" s="68"/>
      <x:c r="L90" s="82"/>
      <x:c r="M90" s="68"/>
      <x:c r="N90" s="82"/>
      <x:c r="O90" s="68"/>
      <x:c r="P90" s="82"/>
      <x:c r="Q90" s="68"/>
      <x:c r="R90" s="68"/>
      <x:c r="S90" s="68"/>
      <x:c r="T90" s="68"/>
      <x:c r="U90" s="68"/>
      <x:c r="V90" s="68"/>
      <x:c r="W90" s="84"/>
      <x:c r="X90" s="84"/>
      <x:c r="Y90" s="82"/>
      <x:c r="Z90" s="82"/>
      <x:c r="AA90" s="68"/>
      <x:c r="AB90" s="68"/>
      <x:c r="AC90" s="82"/>
      <x:c r="AD90" s="82"/>
      <x:c r="AE90" s="87"/>
    </x:row>
    <x:row r="91">
      <x:c r="A91" s="72" t="str">
        <x:f>IF(OR(C91="",D91=""),"",B91&amp;"-"&amp;UPPER(C91)&amp;"-"&amp;TEXT(D91,"0000")&amp;"-"&amp;E91)</x:f>
      </x:c>
      <x:c r="B91" s="74" t="str">
        <x:v>M02</x:v>
      </x:c>
      <x:c r="C91" s="74"/>
      <x:c r="D91" s="79"/>
      <x:c r="E91" s="74" t="str">
        <x:v>V1.0</x:v>
      </x:c>
      <x:c r="F91" s="82"/>
      <x:c r="G91" s="82"/>
      <x:c r="H91" s="68"/>
      <x:c r="I91" s="82"/>
      <x:c r="J91" s="82"/>
      <x:c r="K91" s="68"/>
      <x:c r="L91" s="82"/>
      <x:c r="M91" s="68"/>
      <x:c r="N91" s="82"/>
      <x:c r="O91" s="68"/>
      <x:c r="P91" s="82"/>
      <x:c r="Q91" s="68"/>
      <x:c r="R91" s="68"/>
      <x:c r="S91" s="68"/>
      <x:c r="T91" s="68"/>
      <x:c r="U91" s="68"/>
      <x:c r="V91" s="68"/>
      <x:c r="W91" s="84"/>
      <x:c r="X91" s="84"/>
      <x:c r="Y91" s="82"/>
      <x:c r="Z91" s="82"/>
      <x:c r="AA91" s="68"/>
      <x:c r="AB91" s="68"/>
      <x:c r="AC91" s="82"/>
      <x:c r="AD91" s="82"/>
      <x:c r="AE91" s="87"/>
    </x:row>
    <x:row r="92">
      <x:c r="A92" s="72" t="str">
        <x:f>IF(OR(C92="",D92=""),"",B92&amp;"-"&amp;UPPER(C92)&amp;"-"&amp;TEXT(D92,"0000")&amp;"-"&amp;E92)</x:f>
      </x:c>
      <x:c r="B92" s="74" t="str">
        <x:v>M02</x:v>
      </x:c>
      <x:c r="C92" s="74"/>
      <x:c r="D92" s="79"/>
      <x:c r="E92" s="74" t="str">
        <x:v>V1.0</x:v>
      </x:c>
      <x:c r="F92" s="82"/>
      <x:c r="G92" s="82"/>
      <x:c r="H92" s="68"/>
      <x:c r="I92" s="82"/>
      <x:c r="J92" s="82"/>
      <x:c r="K92" s="68"/>
      <x:c r="L92" s="82"/>
      <x:c r="M92" s="68"/>
      <x:c r="N92" s="82"/>
      <x:c r="O92" s="68"/>
      <x:c r="P92" s="82"/>
      <x:c r="Q92" s="68"/>
      <x:c r="R92" s="68"/>
      <x:c r="S92" s="68"/>
      <x:c r="T92" s="68"/>
      <x:c r="U92" s="68"/>
      <x:c r="V92" s="68"/>
      <x:c r="W92" s="84"/>
      <x:c r="X92" s="84"/>
      <x:c r="Y92" s="82"/>
      <x:c r="Z92" s="82"/>
      <x:c r="AA92" s="68"/>
      <x:c r="AB92" s="68"/>
      <x:c r="AC92" s="82"/>
      <x:c r="AD92" s="82"/>
      <x:c r="AE92" s="87"/>
    </x:row>
    <x:row r="93">
      <x:c r="A93" s="72" t="str">
        <x:f>IF(OR(C93="",D93=""),"",B93&amp;"-"&amp;UPPER(C93)&amp;"-"&amp;TEXT(D93,"0000")&amp;"-"&amp;E93)</x:f>
      </x:c>
      <x:c r="B93" s="74" t="str">
        <x:v>M02</x:v>
      </x:c>
      <x:c r="C93" s="74"/>
      <x:c r="D93" s="79"/>
      <x:c r="E93" s="74" t="str">
        <x:v>V1.0</x:v>
      </x:c>
      <x:c r="F93" s="82"/>
      <x:c r="G93" s="82"/>
      <x:c r="H93" s="68"/>
      <x:c r="I93" s="82"/>
      <x:c r="J93" s="82"/>
      <x:c r="K93" s="68"/>
      <x:c r="L93" s="82"/>
      <x:c r="M93" s="68"/>
      <x:c r="N93" s="82"/>
      <x:c r="O93" s="68"/>
      <x:c r="P93" s="82"/>
      <x:c r="Q93" s="68"/>
      <x:c r="R93" s="68"/>
      <x:c r="S93" s="68"/>
      <x:c r="T93" s="68"/>
      <x:c r="U93" s="68"/>
      <x:c r="V93" s="68"/>
      <x:c r="W93" s="84"/>
      <x:c r="X93" s="84"/>
      <x:c r="Y93" s="82"/>
      <x:c r="Z93" s="82"/>
      <x:c r="AA93" s="68"/>
      <x:c r="AB93" s="68"/>
      <x:c r="AC93" s="82"/>
      <x:c r="AD93" s="82"/>
      <x:c r="AE93" s="87"/>
    </x:row>
    <x:row r="94">
      <x:c r="A94" s="72" t="str">
        <x:f>IF(OR(C94="",D94=""),"",B94&amp;"-"&amp;UPPER(C94)&amp;"-"&amp;TEXT(D94,"0000")&amp;"-"&amp;E94)</x:f>
      </x:c>
      <x:c r="B94" s="74" t="str">
        <x:v>M02</x:v>
      </x:c>
      <x:c r="C94" s="74"/>
      <x:c r="D94" s="79"/>
      <x:c r="E94" s="74" t="str">
        <x:v>V1.0</x:v>
      </x:c>
      <x:c r="F94" s="82"/>
      <x:c r="G94" s="82"/>
      <x:c r="H94" s="68"/>
      <x:c r="I94" s="82"/>
      <x:c r="J94" s="82"/>
      <x:c r="K94" s="68"/>
      <x:c r="L94" s="82"/>
      <x:c r="M94" s="68"/>
      <x:c r="N94" s="82"/>
      <x:c r="O94" s="68"/>
      <x:c r="P94" s="82"/>
      <x:c r="Q94" s="68"/>
      <x:c r="R94" s="68"/>
      <x:c r="S94" s="68"/>
      <x:c r="T94" s="68"/>
      <x:c r="U94" s="68"/>
      <x:c r="V94" s="68"/>
      <x:c r="W94" s="84"/>
      <x:c r="X94" s="84"/>
      <x:c r="Y94" s="82"/>
      <x:c r="Z94" s="82"/>
      <x:c r="AA94" s="68"/>
      <x:c r="AB94" s="68"/>
      <x:c r="AC94" s="82"/>
      <x:c r="AD94" s="82"/>
      <x:c r="AE94" s="87"/>
    </x:row>
    <x:row r="95">
      <x:c r="A95" s="72" t="str">
        <x:f>IF(OR(C95="",D95=""),"",B95&amp;"-"&amp;UPPER(C95)&amp;"-"&amp;TEXT(D95,"0000")&amp;"-"&amp;E95)</x:f>
      </x:c>
      <x:c r="B95" s="74" t="str">
        <x:v>M02</x:v>
      </x:c>
      <x:c r="C95" s="74"/>
      <x:c r="D95" s="79"/>
      <x:c r="E95" s="74" t="str">
        <x:v>V1.0</x:v>
      </x:c>
      <x:c r="F95" s="82"/>
      <x:c r="G95" s="82"/>
      <x:c r="H95" s="68"/>
      <x:c r="I95" s="82"/>
      <x:c r="J95" s="82"/>
      <x:c r="K95" s="68"/>
      <x:c r="L95" s="82"/>
      <x:c r="M95" s="68"/>
      <x:c r="N95" s="82"/>
      <x:c r="O95" s="68"/>
      <x:c r="P95" s="82"/>
      <x:c r="Q95" s="68"/>
      <x:c r="R95" s="68"/>
      <x:c r="S95" s="68"/>
      <x:c r="T95" s="68"/>
      <x:c r="U95" s="68"/>
      <x:c r="V95" s="68"/>
      <x:c r="W95" s="84"/>
      <x:c r="X95" s="84"/>
      <x:c r="Y95" s="82"/>
      <x:c r="Z95" s="82"/>
      <x:c r="AA95" s="68"/>
      <x:c r="AB95" s="68"/>
      <x:c r="AC95" s="82"/>
      <x:c r="AD95" s="82"/>
      <x:c r="AE95" s="87"/>
    </x:row>
    <x:row r="96">
      <x:c r="A96" s="72" t="str">
        <x:f>IF(OR(C96="",D96=""),"",B96&amp;"-"&amp;UPPER(C96)&amp;"-"&amp;TEXT(D96,"0000")&amp;"-"&amp;E96)</x:f>
      </x:c>
      <x:c r="B96" s="74" t="str">
        <x:v>M02</x:v>
      </x:c>
      <x:c r="C96" s="74"/>
      <x:c r="D96" s="79"/>
      <x:c r="E96" s="74" t="str">
        <x:v>V1.0</x:v>
      </x:c>
      <x:c r="F96" s="82"/>
      <x:c r="G96" s="82"/>
      <x:c r="H96" s="68"/>
      <x:c r="I96" s="82"/>
      <x:c r="J96" s="82"/>
      <x:c r="K96" s="68"/>
      <x:c r="L96" s="82"/>
      <x:c r="M96" s="68"/>
      <x:c r="N96" s="82"/>
      <x:c r="O96" s="68"/>
      <x:c r="P96" s="82"/>
      <x:c r="Q96" s="68"/>
      <x:c r="R96" s="68"/>
      <x:c r="S96" s="68"/>
      <x:c r="T96" s="68"/>
      <x:c r="U96" s="68"/>
      <x:c r="V96" s="68"/>
      <x:c r="W96" s="84"/>
      <x:c r="X96" s="84"/>
      <x:c r="Y96" s="82"/>
      <x:c r="Z96" s="82"/>
      <x:c r="AA96" s="68"/>
      <x:c r="AB96" s="68"/>
      <x:c r="AC96" s="82"/>
      <x:c r="AD96" s="82"/>
      <x:c r="AE96" s="87"/>
    </x:row>
    <x:row r="97">
      <x:c r="A97" s="72" t="str">
        <x:f>IF(OR(C97="",D97=""),"",B97&amp;"-"&amp;UPPER(C97)&amp;"-"&amp;TEXT(D97,"0000")&amp;"-"&amp;E97)</x:f>
      </x:c>
      <x:c r="B97" s="74" t="str">
        <x:v>M02</x:v>
      </x:c>
      <x:c r="C97" s="74"/>
      <x:c r="D97" s="79"/>
      <x:c r="E97" s="74" t="str">
        <x:v>V1.0</x:v>
      </x:c>
      <x:c r="F97" s="82"/>
      <x:c r="G97" s="82"/>
      <x:c r="H97" s="68"/>
      <x:c r="I97" s="82"/>
      <x:c r="J97" s="82"/>
      <x:c r="K97" s="68"/>
      <x:c r="L97" s="82"/>
      <x:c r="M97" s="68"/>
      <x:c r="N97" s="82"/>
      <x:c r="O97" s="68"/>
      <x:c r="P97" s="82"/>
      <x:c r="Q97" s="68"/>
      <x:c r="R97" s="68"/>
      <x:c r="S97" s="68"/>
      <x:c r="T97" s="68"/>
      <x:c r="U97" s="68"/>
      <x:c r="V97" s="68"/>
      <x:c r="W97" s="84"/>
      <x:c r="X97" s="84"/>
      <x:c r="Y97" s="82"/>
      <x:c r="Z97" s="82"/>
      <x:c r="AA97" s="68"/>
      <x:c r="AB97" s="68"/>
      <x:c r="AC97" s="82"/>
      <x:c r="AD97" s="82"/>
      <x:c r="AE97" s="87"/>
    </x:row>
    <x:row r="98">
      <x:c r="A98" s="72" t="str">
        <x:f>IF(OR(C98="",D98=""),"",B98&amp;"-"&amp;UPPER(C98)&amp;"-"&amp;TEXT(D98,"0000")&amp;"-"&amp;E98)</x:f>
      </x:c>
      <x:c r="B98" s="74" t="str">
        <x:v>M02</x:v>
      </x:c>
      <x:c r="C98" s="74"/>
      <x:c r="D98" s="79"/>
      <x:c r="E98" s="74" t="str">
        <x:v>V1.0</x:v>
      </x:c>
      <x:c r="F98" s="82"/>
      <x:c r="G98" s="82"/>
      <x:c r="H98" s="68"/>
      <x:c r="I98" s="82"/>
      <x:c r="J98" s="82"/>
      <x:c r="K98" s="68"/>
      <x:c r="L98" s="82"/>
      <x:c r="M98" s="68"/>
      <x:c r="N98" s="82"/>
      <x:c r="O98" s="68"/>
      <x:c r="P98" s="82"/>
      <x:c r="Q98" s="68"/>
      <x:c r="R98" s="68"/>
      <x:c r="S98" s="68"/>
      <x:c r="T98" s="68"/>
      <x:c r="U98" s="68"/>
      <x:c r="V98" s="68"/>
      <x:c r="W98" s="84"/>
      <x:c r="X98" s="84"/>
      <x:c r="Y98" s="82"/>
      <x:c r="Z98" s="82"/>
      <x:c r="AA98" s="68"/>
      <x:c r="AB98" s="68"/>
      <x:c r="AC98" s="82"/>
      <x:c r="AD98" s="82"/>
      <x:c r="AE98" s="87"/>
    </x:row>
    <x:row r="99">
      <x:c r="A99" s="72" t="str">
        <x:f>IF(OR(C99="",D99=""),"",B99&amp;"-"&amp;UPPER(C99)&amp;"-"&amp;TEXT(D99,"0000")&amp;"-"&amp;E99)</x:f>
      </x:c>
      <x:c r="B99" s="74" t="str">
        <x:v>M02</x:v>
      </x:c>
      <x:c r="C99" s="74"/>
      <x:c r="D99" s="79"/>
      <x:c r="E99" s="74" t="str">
        <x:v>V1.0</x:v>
      </x:c>
      <x:c r="F99" s="82"/>
      <x:c r="G99" s="82"/>
      <x:c r="H99" s="68"/>
      <x:c r="I99" s="82"/>
      <x:c r="J99" s="82"/>
      <x:c r="K99" s="68"/>
      <x:c r="L99" s="82"/>
      <x:c r="M99" s="68"/>
      <x:c r="N99" s="82"/>
      <x:c r="O99" s="68"/>
      <x:c r="P99" s="82"/>
      <x:c r="Q99" s="68"/>
      <x:c r="R99" s="68"/>
      <x:c r="S99" s="68"/>
      <x:c r="T99" s="68"/>
      <x:c r="U99" s="68"/>
      <x:c r="V99" s="68"/>
      <x:c r="W99" s="84"/>
      <x:c r="X99" s="84"/>
      <x:c r="Y99" s="82"/>
      <x:c r="Z99" s="82"/>
      <x:c r="AA99" s="68"/>
      <x:c r="AB99" s="68"/>
      <x:c r="AC99" s="82"/>
      <x:c r="AD99" s="82"/>
      <x:c r="AE99" s="87"/>
    </x:row>
    <x:row r="100">
      <x:c r="A100" s="72" t="str">
        <x:f>IF(OR(C100="",D100=""),"",B100&amp;"-"&amp;UPPER(C100)&amp;"-"&amp;TEXT(D100,"0000")&amp;"-"&amp;E100)</x:f>
      </x:c>
      <x:c r="B100" s="74" t="str">
        <x:v>M02</x:v>
      </x:c>
      <x:c r="C100" s="74"/>
      <x:c r="D100" s="79"/>
      <x:c r="E100" s="74" t="str">
        <x:v>V1.0</x:v>
      </x:c>
      <x:c r="F100" s="82"/>
      <x:c r="G100" s="82"/>
      <x:c r="H100" s="68"/>
      <x:c r="I100" s="82"/>
      <x:c r="J100" s="82"/>
      <x:c r="K100" s="68"/>
      <x:c r="L100" s="82"/>
      <x:c r="M100" s="68"/>
      <x:c r="N100" s="82"/>
      <x:c r="O100" s="68"/>
      <x:c r="P100" s="82"/>
      <x:c r="Q100" s="68"/>
      <x:c r="R100" s="68"/>
      <x:c r="S100" s="68"/>
      <x:c r="T100" s="68"/>
      <x:c r="U100" s="68"/>
      <x:c r="V100" s="68"/>
      <x:c r="W100" s="84"/>
      <x:c r="X100" s="84"/>
      <x:c r="Y100" s="82"/>
      <x:c r="Z100" s="82"/>
      <x:c r="AA100" s="68"/>
      <x:c r="AB100" s="68"/>
      <x:c r="AC100" s="82"/>
      <x:c r="AD100" s="82"/>
      <x:c r="AE100" s="87"/>
    </x:row>
    <x:row r="101">
      <x:c r="A101" s="72" t="str">
        <x:f>IF(OR(C101="",D101=""),"",B101&amp;"-"&amp;UPPER(C101)&amp;"-"&amp;TEXT(D101,"0000")&amp;"-"&amp;E101)</x:f>
      </x:c>
      <x:c r="B101" s="74" t="str">
        <x:v>M02</x:v>
      </x:c>
      <x:c r="C101" s="74"/>
      <x:c r="D101" s="79"/>
      <x:c r="E101" s="74" t="str">
        <x:v>V1.0</x:v>
      </x:c>
      <x:c r="F101" s="82"/>
      <x:c r="G101" s="82"/>
      <x:c r="H101" s="68"/>
      <x:c r="I101" s="82"/>
      <x:c r="J101" s="82"/>
      <x:c r="K101" s="68"/>
      <x:c r="L101" s="82"/>
      <x:c r="M101" s="68"/>
      <x:c r="N101" s="82"/>
      <x:c r="O101" s="68"/>
      <x:c r="P101" s="82"/>
      <x:c r="Q101" s="68"/>
      <x:c r="R101" s="68"/>
      <x:c r="S101" s="68"/>
      <x:c r="T101" s="68"/>
      <x:c r="U101" s="68"/>
      <x:c r="V101" s="68"/>
      <x:c r="W101" s="84"/>
      <x:c r="X101" s="84"/>
      <x:c r="Y101" s="82"/>
      <x:c r="Z101" s="82"/>
      <x:c r="AA101" s="68"/>
      <x:c r="AB101" s="68"/>
      <x:c r="AC101" s="82"/>
      <x:c r="AD101" s="82"/>
      <x:c r="AE101" s="87"/>
    </x:row>
    <x:row r="102">
      <x:c r="A102" s="72" t="str">
        <x:f>IF(OR(C102="",D102=""),"",B102&amp;"-"&amp;UPPER(C102)&amp;"-"&amp;TEXT(D102,"0000")&amp;"-"&amp;E102)</x:f>
      </x:c>
      <x:c r="B102" s="74" t="str">
        <x:v>M02</x:v>
      </x:c>
      <x:c r="C102" s="74"/>
      <x:c r="D102" s="79"/>
      <x:c r="E102" s="74" t="str">
        <x:v>V1.0</x:v>
      </x:c>
      <x:c r="F102" s="82"/>
      <x:c r="G102" s="82"/>
      <x:c r="H102" s="68"/>
      <x:c r="I102" s="82"/>
      <x:c r="J102" s="82"/>
      <x:c r="K102" s="68"/>
      <x:c r="L102" s="82"/>
      <x:c r="M102" s="68"/>
      <x:c r="N102" s="82"/>
      <x:c r="O102" s="68"/>
      <x:c r="P102" s="82"/>
      <x:c r="Q102" s="68"/>
      <x:c r="R102" s="68"/>
      <x:c r="S102" s="68"/>
      <x:c r="T102" s="68"/>
      <x:c r="U102" s="68"/>
      <x:c r="V102" s="68"/>
      <x:c r="W102" s="84"/>
      <x:c r="X102" s="84"/>
      <x:c r="Y102" s="82"/>
      <x:c r="Z102" s="82"/>
      <x:c r="AA102" s="68"/>
      <x:c r="AB102" s="68"/>
      <x:c r="AC102" s="82"/>
      <x:c r="AD102" s="82"/>
      <x:c r="AE102" s="87"/>
    </x:row>
    <x:row r="103">
      <x:c r="A103" s="72" t="str">
        <x:f>IF(OR(C103="",D103=""),"",B103&amp;"-"&amp;UPPER(C103)&amp;"-"&amp;TEXT(D103,"0000")&amp;"-"&amp;E103)</x:f>
      </x:c>
      <x:c r="B103" s="74" t="str">
        <x:v>M02</x:v>
      </x:c>
      <x:c r="C103" s="74"/>
      <x:c r="D103" s="79"/>
      <x:c r="E103" s="74" t="str">
        <x:v>V1.0</x:v>
      </x:c>
      <x:c r="F103" s="82"/>
      <x:c r="G103" s="82"/>
      <x:c r="H103" s="68"/>
      <x:c r="I103" s="82"/>
      <x:c r="J103" s="82"/>
      <x:c r="K103" s="68"/>
      <x:c r="L103" s="82"/>
      <x:c r="M103" s="68"/>
      <x:c r="N103" s="82"/>
      <x:c r="O103" s="68"/>
      <x:c r="P103" s="82"/>
      <x:c r="Q103" s="68"/>
      <x:c r="R103" s="68"/>
      <x:c r="S103" s="68"/>
      <x:c r="T103" s="68"/>
      <x:c r="U103" s="68"/>
      <x:c r="V103" s="68"/>
      <x:c r="W103" s="84"/>
      <x:c r="X103" s="84"/>
      <x:c r="Y103" s="82"/>
      <x:c r="Z103" s="82"/>
      <x:c r="AA103" s="68"/>
      <x:c r="AB103" s="68"/>
      <x:c r="AC103" s="82"/>
      <x:c r="AD103" s="82"/>
      <x:c r="AE103" s="87"/>
    </x:row>
    <x:row r="104">
      <x:c r="A104" s="72" t="str">
        <x:f>IF(OR(C104="",D104=""),"",B104&amp;"-"&amp;UPPER(C104)&amp;"-"&amp;TEXT(D104,"0000")&amp;"-"&amp;E104)</x:f>
      </x:c>
      <x:c r="B104" s="74" t="str">
        <x:v>M02</x:v>
      </x:c>
      <x:c r="C104" s="74"/>
      <x:c r="D104" s="79"/>
      <x:c r="E104" s="74" t="str">
        <x:v>V1.0</x:v>
      </x:c>
      <x:c r="F104" s="82"/>
      <x:c r="G104" s="82"/>
      <x:c r="H104" s="68"/>
      <x:c r="I104" s="82"/>
      <x:c r="J104" s="82"/>
      <x:c r="K104" s="68"/>
      <x:c r="L104" s="82"/>
      <x:c r="M104" s="68"/>
      <x:c r="N104" s="82"/>
      <x:c r="O104" s="68"/>
      <x:c r="P104" s="82"/>
      <x:c r="Q104" s="68"/>
      <x:c r="R104" s="68"/>
      <x:c r="S104" s="68"/>
      <x:c r="T104" s="68"/>
      <x:c r="U104" s="68"/>
      <x:c r="V104" s="68"/>
      <x:c r="W104" s="84"/>
      <x:c r="X104" s="84"/>
      <x:c r="Y104" s="82"/>
      <x:c r="Z104" s="82"/>
      <x:c r="AA104" s="68"/>
      <x:c r="AB104" s="68"/>
      <x:c r="AC104" s="82"/>
      <x:c r="AD104" s="82"/>
      <x:c r="AE104" s="87"/>
    </x:row>
    <x:row r="105">
      <x:c r="A105" s="72" t="str">
        <x:f>IF(OR(C105="",D105=""),"",B105&amp;"-"&amp;UPPER(C105)&amp;"-"&amp;TEXT(D105,"0000")&amp;"-"&amp;E105)</x:f>
      </x:c>
      <x:c r="B105" s="74" t="str">
        <x:v>M02</x:v>
      </x:c>
      <x:c r="C105" s="74"/>
      <x:c r="D105" s="79"/>
      <x:c r="E105" s="74" t="str">
        <x:v>V1.0</x:v>
      </x:c>
      <x:c r="F105" s="82"/>
      <x:c r="G105" s="82"/>
      <x:c r="H105" s="68"/>
      <x:c r="I105" s="82"/>
      <x:c r="J105" s="82"/>
      <x:c r="K105" s="68"/>
      <x:c r="L105" s="82"/>
      <x:c r="M105" s="68"/>
      <x:c r="N105" s="82"/>
      <x:c r="O105" s="68"/>
      <x:c r="P105" s="82"/>
      <x:c r="Q105" s="68"/>
      <x:c r="R105" s="68"/>
      <x:c r="S105" s="68"/>
      <x:c r="T105" s="68"/>
      <x:c r="U105" s="68"/>
      <x:c r="V105" s="68"/>
      <x:c r="W105" s="84"/>
      <x:c r="X105" s="84"/>
      <x:c r="Y105" s="82"/>
      <x:c r="Z105" s="82"/>
      <x:c r="AA105" s="68"/>
      <x:c r="AB105" s="68"/>
      <x:c r="AC105" s="82"/>
      <x:c r="AD105" s="82"/>
      <x:c r="AE105" s="87"/>
    </x:row>
  </x:sheetData>
  <x:mergeCells>
    <x:mergeCell ref="A1:O1"/>
    <x:mergeCell ref="A2:O2"/>
    <x:mergeCell ref="A3:O3"/>
    <x:mergeCell ref="A4:O4"/>
  </x:mergeCells>
  <x:conditionalFormatting sqref="A6:A105">
    <x:cfRule type="expression" dxfId="0" priority="1">
      <x:formula>AND(A6&lt;&gt;"",COUNTIF($A$6:$A$105,A6)&gt;1)</x:formula>
    </x:cfRule>
  </x:conditionalFormatting>
  <x:dataValidations count="14">
    <x:dataValidation type="list" sqref="E6:E105">
      <x:formula1>'99_下拉选项'!$BG$4:$BG$12</x:formula1>
    </x:dataValidation>
    <x:dataValidation type="list" sqref="F6:F105">
      <x:formula1>'99_下拉选项'!$A$4:$A$6</x:formula1>
    </x:dataValidation>
    <x:dataValidation type="list" sqref="G6:G105">
      <x:formula1>'99_下拉选项'!$B$4:$B$13</x:formula1>
    </x:dataValidation>
    <x:dataValidation type="list" sqref="I6:I105">
      <x:formula1>'99_下拉选项'!$C$4:$C$5</x:formula1>
    </x:dataValidation>
    <x:dataValidation type="list" sqref="J6:J105">
      <x:formula1>'99_下拉选项'!$D$4:$D$8</x:formula1>
    </x:dataValidation>
    <x:dataValidation type="list" sqref="L6:L105">
      <x:formula1>'99_下拉选项'!$E$4:$E$7</x:formula1>
    </x:dataValidation>
    <x:dataValidation type="list" sqref="N6:N105">
      <x:formula1>'99_下拉选项'!$E$4:$E$7</x:formula1>
    </x:dataValidation>
    <x:dataValidation type="list" sqref="P6:P105">
      <x:formula1>'99_下拉选项'!$E$4:$E$7</x:formula1>
    </x:dataValidation>
    <x:dataValidation type="list" sqref="Y6:Y105">
      <x:formula1>'99_下拉选项'!$Q$4:$Q$8</x:formula1>
    </x:dataValidation>
    <x:dataValidation type="list" sqref="Z6:Z105">
      <x:formula1>'99_下拉选项'!$R$4:$R$11</x:formula1>
    </x:dataValidation>
    <x:dataValidation type="list" sqref="AC6:AC105">
      <x:formula1>'99_下拉选项'!$S$4:$S$9</x:formula1>
    </x:dataValidation>
    <x:dataValidation type="list" sqref="AD6:AD105">
      <x:formula1>'99_下拉选项'!$T$4:$T$8</x:formula1>
    </x:dataValidation>
    <x:dataValidation type="list" sqref="E6:E130">
      <x:formula1>'99_下拉选项'!$BG$4:$BG$14</x:formula1>
    </x:dataValidation>
    <x:dataValidation type="list" sqref="E7:E105">
      <x:formula1>'99_下拉选项'!$BG$4:$BG$19</x:formula1>
    </x:dataValidation>
  </x:dataValidations>
  <x:pageMargins left="0.7" right="0.7" top="0.75" bottom="0.75" header="0.3" footer="0.3"/>
  <x:tableParts count="1">
    <x:tablePart xmlns:r="http://schemas.openxmlformats.org/officeDocument/2006/relationships" r:id="Rde7f830b33e04d37"/>
  </x:tableParts>
</x:worksheet>
</file>

<file path=xl/worksheets/sheet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M03｜月令、得令与根气判定规则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已录入60条正式规则：十二月令、旺相休囚死、节气边界、十干通根、根气等级、位置共源、关系效应边界及得令得地得势。规则仍须在M20持续做案例验证。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主要输出：月令支持度、根气类型与证据权重　｜　直接下游：M07/M08/M09/M14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判断对象</x:v>
      </x:c>
      <x:c r="I5" s="61" t="str">
        <x:v>评估维度</x:v>
      </x:c>
      <x:c r="J5" s="61" t="str">
        <x:v>月令条件</x:v>
      </x:c>
      <x:c r="K5" s="61" t="str">
        <x:v>根气类型</x:v>
      </x:c>
      <x:c r="L5" s="61" t="str">
        <x:v>根气等级</x:v>
      </x:c>
      <x:c r="M5" s="61" t="str">
        <x:v>位置关系</x:v>
      </x:c>
      <x:c r="N5" s="61" t="str">
        <x:v>前置条件</x:v>
      </x:c>
      <x:c r="O5" s="61" t="str">
        <x:v>必要条件</x:v>
      </x:c>
      <x:c r="P5" s="61" t="str">
        <x:v>增强条件</x:v>
      </x:c>
      <x:c r="Q5" s="61" t="str">
        <x:v>削弱条件</x:v>
      </x:c>
      <x:c r="R5" s="61" t="str">
        <x:v>否决条件</x:v>
      </x:c>
      <x:c r="S5" s="61" t="str">
        <x:v>例外条件</x:v>
      </x:c>
      <x:c r="T5" s="61" t="str">
        <x:v>作用对象</x:v>
      </x:c>
      <x:c r="U5" s="61" t="str">
        <x:v>作用方向</x:v>
      </x:c>
      <x:c r="V5" s="61" t="str">
        <x:v>作用等级</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M03-DEMO-9999-V0.1</x:v>
      </x:c>
      <x:c r="B6" s="76" t="str">
        <x:v>M03</x:v>
      </x:c>
      <x:c r="C6" s="76" t="str">
        <x:v>DEMO</x:v>
      </x:c>
      <x:c r="D6" s="78" t="n">
        <x:v>9999</x:v>
      </x:c>
      <x:c r="E6" s="76" t="str">
        <x:v>V0.1</x:v>
      </x:c>
      <x:c r="F6" s="76" t="str">
        <x:v>得令是强证据但非日主旺衰充分条件</x:v>
      </x:c>
      <x:c r="G6" s="76" t="str">
        <x:v>结构层</x:v>
      </x:c>
      <x:c r="H6" s="76" t="str">
        <x:v>日主及同五行</x:v>
      </x:c>
      <x:c r="I6" s="76" t="str">
        <x:v>得令</x:v>
      </x:c>
      <x:c r="J6" s="76" t="str">
        <x:v>月令本气直接支持判断对象</x:v>
      </x:c>
      <x:c r="K6" s="76" t="str">
        <x:v>本气根</x:v>
      </x:c>
      <x:c r="L6" s="76" t="str">
        <x:v>强根</x:v>
      </x:c>
      <x:c r="M6" s="76" t="str">
        <x:v>其他</x:v>
      </x:c>
      <x:c r="N6" s="76" t="str">
        <x:v>先确定月令主气及节令状态</x:v>
      </x:c>
      <x:c r="O6" s="76" t="str">
        <x:v>月令对该五行形成真实支持</x:v>
      </x:c>
      <x:c r="P6" s="76" t="str">
        <x:v>另有强根、透干、生源或同党成势</x:v>
      </x:c>
      <x:c r="Q6" s="76" t="str">
        <x:v>无根、受强泄耗、受制或月令之气不能透达</x:v>
      </x:c>
      <x:c r="R6" s="76" t="str">
        <x:v>不得仅凭得令直接判定身旺</x:v>
      </x:c>
      <x:c r="S6" s="76" t="str">
        <x:v>特殊格局须转入M14严格审查</x:v>
      </x:c>
      <x:c r="T6" s="76" t="str">
        <x:v>原始旺衰证据</x:v>
      </x:c>
      <x:c r="U6" s="76" t="str">
        <x:v>增强</x:v>
      </x:c>
      <x:c r="V6" s="76" t="str">
        <x:v>强</x:v>
      </x:c>
      <x:c r="W6" s="76" t="str">
        <x:v>P1_高</x:v>
      </x:c>
      <x:c r="X6" s="76" t="str">
        <x:v>辅助证据</x:v>
      </x:c>
      <x:c r="Y6" s="76" t="str">
        <x:v>得令证据</x:v>
      </x:c>
      <x:c r="Z6" s="76" t="str">
        <x:v>判断对象得令，原始力量获得明显支持，但仍需结合根气、同党与克泄耗判断最终旺衰。</x:v>
      </x:c>
      <x:c r="AA6" s="76" t="str">
        <x:v>较高</x:v>
      </x:c>
      <x:c r="AB6" s="76" t="str">
        <x:v>现代综合</x:v>
      </x:c>
      <x:c r="AC6" s="76" t="str">
        <x:v>得令决定季节气势，但不自动覆盖全局根、助、制、泄、耗。</x:v>
      </x:c>
      <x:c r="AD6" s="76" t="str">
        <x:v>得令且根深、印比成势，可共同支持偏旺判断。</x:v>
      </x:c>
      <x:c r="AE6" s="76" t="str">
        <x:v>得令但无根、受强泄耗，不应机械判旺。</x:v>
      </x:c>
      <x:c r="AF6" s="76" t="str">
        <x:v>示例，仅演示字段用法</x:v>
      </x:c>
      <x:c r="AG6" s="76" t="str">
        <x:v>示例</x:v>
      </x:c>
      <x:c r="AH6" s="76" t="str">
        <x:v>未审核</x:v>
      </x:c>
      <x:c r="AI6" s="86" t="n">
        <x:v>46254</x:v>
      </x:c>
    </x:row>
    <x:row r="7" ht="48" customHeight="1">
      <x:c r="A7" s="72" t="str">
        <x:f>IF(OR(C7="",D7=""),"",B7&amp;"-"&amp;UPPER(C7)&amp;"-"&amp;TEXT(D7,"0000")&amp;"-"&amp;E7)</x:f>
        <x:v>M03-ML-0001-V1.0</x:v>
      </x:c>
      <x:c r="B7" s="74" t="str">
        <x:v>M03</x:v>
      </x:c>
      <x:c r="C7" s="74" t="str">
        <x:v>ML</x:v>
      </x:c>
      <x:c r="D7" s="79" t="n">
        <x:v>1</x:v>
      </x:c>
      <x:c r="E7" s="74" t="str">
        <x:v>V1.0</x:v>
      </x:c>
      <x:c r="F7" s="68" t="str">
        <x:v>寅月木当令基础</x:v>
      </x:c>
      <x:c r="G7" s="82" t="str">
        <x:v>结构层</x:v>
      </x:c>
      <x:c r="H7" s="68" t="str">
        <x:v>木五行及所属天干</x:v>
      </x:c>
      <x:c r="I7" s="68" t="str">
        <x:v>月令司权</x:v>
      </x:c>
      <x:c r="J7" s="68" t="str">
        <x:v>寅月（立春起至惊蛰前，孟春）</x:v>
      </x:c>
      <x:c r="K7" s="82"/>
      <x:c r="L7" s="82"/>
      <x:c r="M7" s="82" t="str">
        <x:v>其他</x:v>
      </x:c>
      <x:c r="N7" s="68" t="str">
        <x:v>出生时间、时区与交节时刻已确认</x:v>
      </x:c>
      <x:c r="O7" s="68" t="str">
        <x:v>按节气确定月支为寅</x:v>
      </x:c>
      <x:c r="P7" s="68" t="str">
        <x:v>木透干、同类通根、得生源或同党成势</x:v>
      </x:c>
      <x:c r="Q7" s="68" t="str">
        <x:v>距交节点很近、对象无根，或对象同时受强力克泄耗</x:v>
      </x:c>
      <x:c r="R7" s="90" t="str">
        <x:v>不得仅凭本条直接判定日主或该五行的最终旺衰</x:v>
      </x:c>
      <x:c r="S7" s="68" t="str">
        <x:v>严格特殊格局须转M14审查。</x:v>
      </x:c>
      <x:c r="T7" s="68" t="str">
        <x:v>五行原始旺衰证据</x:v>
      </x:c>
      <x:c r="U7" s="82" t="str">
        <x:v>增强</x:v>
      </x:c>
      <x:c r="V7" s="82" t="str">
        <x:v>强</x:v>
      </x:c>
      <x:c r="W7" s="82" t="str">
        <x:v>P1_高</x:v>
      </x:c>
      <x:c r="X7" s="82" t="str">
        <x:v>辅助证据</x:v>
      </x:c>
      <x:c r="Y7" s="84" t="str">
        <x:v>寅月木得令</x:v>
      </x:c>
      <x:c r="Z7" s="84" t="str">
        <x:v>月支为寅，木取得季节主气支持；这是高权重的原始旺衰证据，仍须结合根气、透干、同党及克泄耗。</x:v>
      </x:c>
      <x:c r="AA7" s="82" t="str">
        <x:v>较高</x:v>
      </x:c>
      <x:c r="AB7" s="82" t="str">
        <x:v>跨流派共识</x:v>
      </x:c>
      <x:c r="AC7" s="68" t="str">
        <x:v>月份边界以节气为准；寅为孟春，其本气属木。参照《摄生月令》季序及《三命通会》月气论述。</x:v>
      </x:c>
      <x:c r="AD7" s="68" t="str">
        <x:v>例如甲日生寅月，木获得月令支持；若另有根助与同党，支持进一步增强。</x:v>
      </x:c>
      <x:c r="AE7" s="90" t="str">
        <x:v>例如甲日生寅月但全局无有效根、受强力克泄耗，不能只因得令直接判旺。</x:v>
      </x:c>
      <x:c r="AF7" s="68" t="str">
        <x:v>https://zh.wikisource.org/wiki/攝生月令；https://zh.wikisource.org/zh-hans/三命通會_(四庫全書本)/卷10</x:v>
      </x:c>
      <x:c r="AG7" s="82" t="str">
        <x:v>采用</x:v>
      </x:c>
      <x:c r="AH7" s="82" t="str">
        <x:v>初审</x:v>
      </x:c>
      <x:c r="AI7" s="87" t="n">
        <x:v>46255</x:v>
      </x:c>
    </x:row>
    <x:row r="8" ht="48" customHeight="1">
      <x:c r="A8" s="72" t="str">
        <x:f>IF(OR(C8="",D8=""),"",B8&amp;"-"&amp;UPPER(C8)&amp;"-"&amp;TEXT(D8,"0000")&amp;"-"&amp;E8)</x:f>
        <x:v>M03-ML-0002-V1.0</x:v>
      </x:c>
      <x:c r="B8" s="74" t="str">
        <x:v>M03</x:v>
      </x:c>
      <x:c r="C8" s="74" t="str">
        <x:v>ML</x:v>
      </x:c>
      <x:c r="D8" s="79" t="n">
        <x:v>2</x:v>
      </x:c>
      <x:c r="E8" s="74" t="str">
        <x:v>V1.0</x:v>
      </x:c>
      <x:c r="F8" s="68" t="str">
        <x:v>卯月木当令基础</x:v>
      </x:c>
      <x:c r="G8" s="82" t="str">
        <x:v>结构层</x:v>
      </x:c>
      <x:c r="H8" s="68" t="str">
        <x:v>木五行及所属天干</x:v>
      </x:c>
      <x:c r="I8" s="68" t="str">
        <x:v>月令司权</x:v>
      </x:c>
      <x:c r="J8" s="68" t="str">
        <x:v>卯月（惊蛰起至清明前，仲春）</x:v>
      </x:c>
      <x:c r="K8" s="82"/>
      <x:c r="L8" s="82"/>
      <x:c r="M8" s="82" t="str">
        <x:v>其他</x:v>
      </x:c>
      <x:c r="N8" s="68" t="str">
        <x:v>出生时间、时区与交节时刻已确认</x:v>
      </x:c>
      <x:c r="O8" s="68" t="str">
        <x:v>按节气确定月支为卯</x:v>
      </x:c>
      <x:c r="P8" s="68" t="str">
        <x:v>木透干、同类通根、得生源或同党成势</x:v>
      </x:c>
      <x:c r="Q8" s="68" t="str">
        <x:v>距交节点很近、对象无根，或对象同时受强力克泄耗</x:v>
      </x:c>
      <x:c r="R8" s="90" t="str">
        <x:v>不得仅凭本条直接判定日主或该五行的最终旺衰</x:v>
      </x:c>
      <x:c r="S8" s="68" t="str">
        <x:v>严格特殊格局须转M14审查。</x:v>
      </x:c>
      <x:c r="T8" s="68" t="str">
        <x:v>五行原始旺衰证据</x:v>
      </x:c>
      <x:c r="U8" s="82" t="str">
        <x:v>增强</x:v>
      </x:c>
      <x:c r="V8" s="82" t="str">
        <x:v>强</x:v>
      </x:c>
      <x:c r="W8" s="82" t="str">
        <x:v>P1_高</x:v>
      </x:c>
      <x:c r="X8" s="82" t="str">
        <x:v>辅助证据</x:v>
      </x:c>
      <x:c r="Y8" s="84" t="str">
        <x:v>卯月木得令</x:v>
      </x:c>
      <x:c r="Z8" s="84" t="str">
        <x:v>月支为卯，木取得季节主气支持；这是高权重的原始旺衰证据，仍须结合根气、透干、同党及克泄耗。</x:v>
      </x:c>
      <x:c r="AA8" s="82" t="str">
        <x:v>较高</x:v>
      </x:c>
      <x:c r="AB8" s="82" t="str">
        <x:v>跨流派共识</x:v>
      </x:c>
      <x:c r="AC8" s="68" t="str">
        <x:v>月份边界以节气为准；卯为仲春，其本气属木。参照《摄生月令》季序及《三命通会》月气论述。</x:v>
      </x:c>
      <x:c r="AD8" s="68" t="str">
        <x:v>例如乙日生卯月，木获得月令支持；若另有根助与同党，支持进一步增强。</x:v>
      </x:c>
      <x:c r="AE8" s="90" t="str">
        <x:v>例如乙日生卯月但全局无有效根、受强力克泄耗，不能只因得令直接判旺。</x:v>
      </x:c>
      <x:c r="AF8" s="68" t="str">
        <x:v>https://zh.wikisource.org/wiki/攝生月令；https://zh.wikisource.org/zh-hans/三命通會_(四庫全書本)/卷10</x:v>
      </x:c>
      <x:c r="AG8" s="82" t="str">
        <x:v>采用</x:v>
      </x:c>
      <x:c r="AH8" s="82" t="str">
        <x:v>初审</x:v>
      </x:c>
      <x:c r="AI8" s="87" t="n">
        <x:v>46255</x:v>
      </x:c>
    </x:row>
    <x:row r="9" ht="48" customHeight="1">
      <x:c r="A9" s="72" t="str">
        <x:f>IF(OR(C9="",D9=""),"",B9&amp;"-"&amp;UPPER(C9)&amp;"-"&amp;TEXT(D9,"0000")&amp;"-"&amp;E9)</x:f>
        <x:v>M03-ML-0003-V1.0</x:v>
      </x:c>
      <x:c r="B9" s="74" t="str">
        <x:v>M03</x:v>
      </x:c>
      <x:c r="C9" s="74" t="str">
        <x:v>ML</x:v>
      </x:c>
      <x:c r="D9" s="79" t="n">
        <x:v>3</x:v>
      </x:c>
      <x:c r="E9" s="74" t="str">
        <x:v>V1.0</x:v>
      </x:c>
      <x:c r="F9" s="68" t="str">
        <x:v>辰月土当令基础</x:v>
      </x:c>
      <x:c r="G9" s="82" t="str">
        <x:v>结构层</x:v>
      </x:c>
      <x:c r="H9" s="68" t="str">
        <x:v>土五行及所属天干</x:v>
      </x:c>
      <x:c r="I9" s="68" t="str">
        <x:v>月令司权</x:v>
      </x:c>
      <x:c r="J9" s="68" t="str">
        <x:v>辰月（清明起至立夏前，季春）</x:v>
      </x:c>
      <x:c r="K9" s="82"/>
      <x:c r="L9" s="82"/>
      <x:c r="M9" s="82" t="str">
        <x:v>其他</x:v>
      </x:c>
      <x:c r="N9" s="68" t="str">
        <x:v>出生时间、时区与交节时刻已确认</x:v>
      </x:c>
      <x:c r="O9" s="68" t="str">
        <x:v>按节气确定月支为辰</x:v>
      </x:c>
      <x:c r="P9" s="68" t="str">
        <x:v>土透干、同类通根、得生源或同党成势</x:v>
      </x:c>
      <x:c r="Q9" s="68" t="str">
        <x:v>距交节点很近、对象无根，或对象同时受强力克泄耗</x:v>
      </x:c>
      <x:c r="R9" s="90" t="str">
        <x:v>不得仅凭本条直接判定日主或该五行的最终旺衰</x:v>
      </x:c>
      <x:c r="S9" s="68" t="str">
        <x:v>辰、未、戌、丑四季月内部司令深浅存在流派差异，涉及分日时须转M21登记；严格特殊格局须转M14审查。</x:v>
      </x:c>
      <x:c r="T9" s="68" t="str">
        <x:v>五行原始旺衰证据</x:v>
      </x:c>
      <x:c r="U9" s="82" t="str">
        <x:v>增强</x:v>
      </x:c>
      <x:c r="V9" s="82" t="str">
        <x:v>强</x:v>
      </x:c>
      <x:c r="W9" s="82" t="str">
        <x:v>P1_高</x:v>
      </x:c>
      <x:c r="X9" s="82" t="str">
        <x:v>辅助证据</x:v>
      </x:c>
      <x:c r="Y9" s="84" t="str">
        <x:v>辰月土得令</x:v>
      </x:c>
      <x:c r="Z9" s="84" t="str">
        <x:v>月支为辰，土取得季节主气支持；这是高权重的原始旺衰证据，仍须结合根气、透干、同党及克泄耗。</x:v>
      </x:c>
      <x:c r="AA9" s="82" t="str">
        <x:v>较高</x:v>
      </x:c>
      <x:c r="AB9" s="82" t="str">
        <x:v>跨流派共识</x:v>
      </x:c>
      <x:c r="AC9" s="68" t="str">
        <x:v>月份边界以节气为准；辰为季春，其本气属土。参照《摄生月令》季序及《三命通会》月气论述。</x:v>
      </x:c>
      <x:c r="AD9" s="68" t="str">
        <x:v>例如戊日生辰月，土获得月令支持；若另有根助与同党，支持进一步增强。</x:v>
      </x:c>
      <x:c r="AE9" s="90" t="str">
        <x:v>例如戊日生辰月但全局无有效根、受强力克泄耗，不能只因得令直接判旺。</x:v>
      </x:c>
      <x:c r="AF9" s="68" t="str">
        <x:v>https://zh.wikisource.org/wiki/攝生月令；https://zh.wikisource.org/zh-hans/三命通會_(四庫全書本)/卷10</x:v>
      </x:c>
      <x:c r="AG9" s="82" t="str">
        <x:v>采用</x:v>
      </x:c>
      <x:c r="AH9" s="82" t="str">
        <x:v>初审</x:v>
      </x:c>
      <x:c r="AI9" s="87" t="n">
        <x:v>46255</x:v>
      </x:c>
    </x:row>
    <x:row r="10" ht="48" customHeight="1">
      <x:c r="A10" s="72" t="str">
        <x:f>IF(OR(C10="",D10=""),"",B10&amp;"-"&amp;UPPER(C10)&amp;"-"&amp;TEXT(D10,"0000")&amp;"-"&amp;E10)</x:f>
        <x:v>M03-ML-0004-V1.0</x:v>
      </x:c>
      <x:c r="B10" s="74" t="str">
        <x:v>M03</x:v>
      </x:c>
      <x:c r="C10" s="74" t="str">
        <x:v>ML</x:v>
      </x:c>
      <x:c r="D10" s="79" t="n">
        <x:v>4</x:v>
      </x:c>
      <x:c r="E10" s="74" t="str">
        <x:v>V1.0</x:v>
      </x:c>
      <x:c r="F10" s="68" t="str">
        <x:v>巳月火当令基础</x:v>
      </x:c>
      <x:c r="G10" s="82" t="str">
        <x:v>结构层</x:v>
      </x:c>
      <x:c r="H10" s="68" t="str">
        <x:v>火五行及所属天干</x:v>
      </x:c>
      <x:c r="I10" s="68" t="str">
        <x:v>月令司权</x:v>
      </x:c>
      <x:c r="J10" s="68" t="str">
        <x:v>巳月（立夏起至芒种前，孟夏）</x:v>
      </x:c>
      <x:c r="K10" s="82"/>
      <x:c r="L10" s="82"/>
      <x:c r="M10" s="82" t="str">
        <x:v>其他</x:v>
      </x:c>
      <x:c r="N10" s="68" t="str">
        <x:v>出生时间、时区与交节时刻已确认</x:v>
      </x:c>
      <x:c r="O10" s="68" t="str">
        <x:v>按节气确定月支为巳</x:v>
      </x:c>
      <x:c r="P10" s="68" t="str">
        <x:v>火透干、同类通根、得生源或同党成势</x:v>
      </x:c>
      <x:c r="Q10" s="68" t="str">
        <x:v>距交节点很近、对象无根，或对象同时受强力克泄耗</x:v>
      </x:c>
      <x:c r="R10" s="90" t="str">
        <x:v>不得仅凭本条直接判定日主或该五行的最终旺衰</x:v>
      </x:c>
      <x:c r="S10" s="68" t="str">
        <x:v>严格特殊格局须转M14审查。</x:v>
      </x:c>
      <x:c r="T10" s="68" t="str">
        <x:v>五行原始旺衰证据</x:v>
      </x:c>
      <x:c r="U10" s="82" t="str">
        <x:v>增强</x:v>
      </x:c>
      <x:c r="V10" s="82" t="str">
        <x:v>强</x:v>
      </x:c>
      <x:c r="W10" s="82" t="str">
        <x:v>P1_高</x:v>
      </x:c>
      <x:c r="X10" s="82" t="str">
        <x:v>辅助证据</x:v>
      </x:c>
      <x:c r="Y10" s="84" t="str">
        <x:v>巳月火得令</x:v>
      </x:c>
      <x:c r="Z10" s="84" t="str">
        <x:v>月支为巳，火取得季节主气支持；这是高权重的原始旺衰证据，仍须结合根气、透干、同党及克泄耗。</x:v>
      </x:c>
      <x:c r="AA10" s="82" t="str">
        <x:v>较高</x:v>
      </x:c>
      <x:c r="AB10" s="82" t="str">
        <x:v>跨流派共识</x:v>
      </x:c>
      <x:c r="AC10" s="68" t="str">
        <x:v>月份边界以节气为准；巳为孟夏，其本气属火。参照《摄生月令》季序及《三命通会》月气论述。</x:v>
      </x:c>
      <x:c r="AD10" s="68" t="str">
        <x:v>例如丙日生巳月，火获得月令支持；若另有根助与同党，支持进一步增强。</x:v>
      </x:c>
      <x:c r="AE10" s="90" t="str">
        <x:v>例如丙日生巳月但全局无有效根、受强力克泄耗，不能只因得令直接判旺。</x:v>
      </x:c>
      <x:c r="AF10" s="68" t="str">
        <x:v>https://zh.wikisource.org/wiki/攝生月令；https://zh.wikisource.org/zh-hans/三命通會_(四庫全書本)/卷10</x:v>
      </x:c>
      <x:c r="AG10" s="82" t="str">
        <x:v>采用</x:v>
      </x:c>
      <x:c r="AH10" s="82" t="str">
        <x:v>初审</x:v>
      </x:c>
      <x:c r="AI10" s="87" t="n">
        <x:v>46255</x:v>
      </x:c>
    </x:row>
    <x:row r="11" ht="48" customHeight="1">
      <x:c r="A11" s="72" t="str">
        <x:f>IF(OR(C11="",D11=""),"",B11&amp;"-"&amp;UPPER(C11)&amp;"-"&amp;TEXT(D11,"0000")&amp;"-"&amp;E11)</x:f>
        <x:v>M03-ML-0005-V1.0</x:v>
      </x:c>
      <x:c r="B11" s="74" t="str">
        <x:v>M03</x:v>
      </x:c>
      <x:c r="C11" s="74" t="str">
        <x:v>ML</x:v>
      </x:c>
      <x:c r="D11" s="79" t="n">
        <x:v>5</x:v>
      </x:c>
      <x:c r="E11" s="74" t="str">
        <x:v>V1.0</x:v>
      </x:c>
      <x:c r="F11" s="68" t="str">
        <x:v>午月火当令基础</x:v>
      </x:c>
      <x:c r="G11" s="82" t="str">
        <x:v>结构层</x:v>
      </x:c>
      <x:c r="H11" s="68" t="str">
        <x:v>火五行及所属天干</x:v>
      </x:c>
      <x:c r="I11" s="68" t="str">
        <x:v>月令司权</x:v>
      </x:c>
      <x:c r="J11" s="68" t="str">
        <x:v>午月（芒种起至小暑前，仲夏）</x:v>
      </x:c>
      <x:c r="K11" s="82"/>
      <x:c r="L11" s="82"/>
      <x:c r="M11" s="82" t="str">
        <x:v>其他</x:v>
      </x:c>
      <x:c r="N11" s="68" t="str">
        <x:v>出生时间、时区与交节时刻已确认</x:v>
      </x:c>
      <x:c r="O11" s="68" t="str">
        <x:v>按节气确定月支为午</x:v>
      </x:c>
      <x:c r="P11" s="68" t="str">
        <x:v>火透干、同类通根、得生源或同党成势</x:v>
      </x:c>
      <x:c r="Q11" s="68" t="str">
        <x:v>距交节点很近、对象无根，或对象同时受强力克泄耗</x:v>
      </x:c>
      <x:c r="R11" s="90" t="str">
        <x:v>不得仅凭本条直接判定日主或该五行的最终旺衰</x:v>
      </x:c>
      <x:c r="S11" s="68" t="str">
        <x:v>严格特殊格局须转M14审查。</x:v>
      </x:c>
      <x:c r="T11" s="68" t="str">
        <x:v>五行原始旺衰证据</x:v>
      </x:c>
      <x:c r="U11" s="82" t="str">
        <x:v>增强</x:v>
      </x:c>
      <x:c r="V11" s="82" t="str">
        <x:v>强</x:v>
      </x:c>
      <x:c r="W11" s="82" t="str">
        <x:v>P1_高</x:v>
      </x:c>
      <x:c r="X11" s="82" t="str">
        <x:v>辅助证据</x:v>
      </x:c>
      <x:c r="Y11" s="84" t="str">
        <x:v>午月火得令</x:v>
      </x:c>
      <x:c r="Z11" s="84" t="str">
        <x:v>月支为午，火取得季节主气支持；这是高权重的原始旺衰证据，仍须结合根气、透干、同党及克泄耗。</x:v>
      </x:c>
      <x:c r="AA11" s="82" t="str">
        <x:v>较高</x:v>
      </x:c>
      <x:c r="AB11" s="82" t="str">
        <x:v>跨流派共识</x:v>
      </x:c>
      <x:c r="AC11" s="68" t="str">
        <x:v>月份边界以节气为准；午为仲夏，其本气属火。参照《摄生月令》季序及《三命通会》月气论述。</x:v>
      </x:c>
      <x:c r="AD11" s="68" t="str">
        <x:v>例如丁日生午月，火获得月令支持；若另有根助与同党，支持进一步增强。</x:v>
      </x:c>
      <x:c r="AE11" s="90" t="str">
        <x:v>例如丁日生午月但全局无有效根、受强力克泄耗，不能只因得令直接判旺。</x:v>
      </x:c>
      <x:c r="AF11" s="68" t="str">
        <x:v>https://zh.wikisource.org/wiki/攝生月令；https://zh.wikisource.org/zh-hans/三命通會_(四庫全書本)/卷10</x:v>
      </x:c>
      <x:c r="AG11" s="82" t="str">
        <x:v>采用</x:v>
      </x:c>
      <x:c r="AH11" s="82" t="str">
        <x:v>初审</x:v>
      </x:c>
      <x:c r="AI11" s="87" t="n">
        <x:v>46255</x:v>
      </x:c>
    </x:row>
    <x:row r="12" ht="48" customHeight="1">
      <x:c r="A12" s="72" t="str">
        <x:f>IF(OR(C12="",D12=""),"",B12&amp;"-"&amp;UPPER(C12)&amp;"-"&amp;TEXT(D12,"0000")&amp;"-"&amp;E12)</x:f>
        <x:v>M03-ML-0006-V1.0</x:v>
      </x:c>
      <x:c r="B12" s="74" t="str">
        <x:v>M03</x:v>
      </x:c>
      <x:c r="C12" s="74" t="str">
        <x:v>ML</x:v>
      </x:c>
      <x:c r="D12" s="79" t="n">
        <x:v>6</x:v>
      </x:c>
      <x:c r="E12" s="74" t="str">
        <x:v>V1.0</x:v>
      </x:c>
      <x:c r="F12" s="68" t="str">
        <x:v>未月土当令基础</x:v>
      </x:c>
      <x:c r="G12" s="82" t="str">
        <x:v>结构层</x:v>
      </x:c>
      <x:c r="H12" s="68" t="str">
        <x:v>土五行及所属天干</x:v>
      </x:c>
      <x:c r="I12" s="68" t="str">
        <x:v>月令司权</x:v>
      </x:c>
      <x:c r="J12" s="68" t="str">
        <x:v>未月（小暑起至立秋前，季夏）</x:v>
      </x:c>
      <x:c r="K12" s="82"/>
      <x:c r="L12" s="82"/>
      <x:c r="M12" s="82" t="str">
        <x:v>其他</x:v>
      </x:c>
      <x:c r="N12" s="68" t="str">
        <x:v>出生时间、时区与交节时刻已确认</x:v>
      </x:c>
      <x:c r="O12" s="68" t="str">
        <x:v>按节气确定月支为未</x:v>
      </x:c>
      <x:c r="P12" s="68" t="str">
        <x:v>土透干、同类通根、得生源或同党成势</x:v>
      </x:c>
      <x:c r="Q12" s="68" t="str">
        <x:v>距交节点很近、对象无根，或对象同时受强力克泄耗</x:v>
      </x:c>
      <x:c r="R12" s="90" t="str">
        <x:v>不得仅凭本条直接判定日主或该五行的最终旺衰</x:v>
      </x:c>
      <x:c r="S12" s="68" t="str">
        <x:v>辰、未、戌、丑四季月内部司令深浅存在流派差异，涉及分日时须转M21登记；严格特殊格局须转M14审查。</x:v>
      </x:c>
      <x:c r="T12" s="68" t="str">
        <x:v>五行原始旺衰证据</x:v>
      </x:c>
      <x:c r="U12" s="82" t="str">
        <x:v>增强</x:v>
      </x:c>
      <x:c r="V12" s="82" t="str">
        <x:v>强</x:v>
      </x:c>
      <x:c r="W12" s="82" t="str">
        <x:v>P1_高</x:v>
      </x:c>
      <x:c r="X12" s="82" t="str">
        <x:v>辅助证据</x:v>
      </x:c>
      <x:c r="Y12" s="84" t="str">
        <x:v>未月土得令</x:v>
      </x:c>
      <x:c r="Z12" s="84" t="str">
        <x:v>月支为未，土取得季节主气支持；这是高权重的原始旺衰证据，仍须结合根气、透干、同党及克泄耗。</x:v>
      </x:c>
      <x:c r="AA12" s="82" t="str">
        <x:v>较高</x:v>
      </x:c>
      <x:c r="AB12" s="82" t="str">
        <x:v>跨流派共识</x:v>
      </x:c>
      <x:c r="AC12" s="68" t="str">
        <x:v>月份边界以节气为准；未为季夏，其本气属土。参照《摄生月令》季序及《三命通会》月气论述。</x:v>
      </x:c>
      <x:c r="AD12" s="68" t="str">
        <x:v>例如己日生未月，土获得月令支持；若另有根助与同党，支持进一步增强。</x:v>
      </x:c>
      <x:c r="AE12" s="90" t="str">
        <x:v>例如己日生未月但全局无有效根、受强力克泄耗，不能只因得令直接判旺。</x:v>
      </x:c>
      <x:c r="AF12" s="68" t="str">
        <x:v>https://zh.wikisource.org/wiki/攝生月令；https://zh.wikisource.org/zh-hans/三命通會_(四庫全書本)/卷10</x:v>
      </x:c>
      <x:c r="AG12" s="82" t="str">
        <x:v>采用</x:v>
      </x:c>
      <x:c r="AH12" s="82" t="str">
        <x:v>初审</x:v>
      </x:c>
      <x:c r="AI12" s="87" t="n">
        <x:v>46255</x:v>
      </x:c>
    </x:row>
    <x:row r="13" ht="48" customHeight="1">
      <x:c r="A13" s="72" t="str">
        <x:f>IF(OR(C13="",D13=""),"",B13&amp;"-"&amp;UPPER(C13)&amp;"-"&amp;TEXT(D13,"0000")&amp;"-"&amp;E13)</x:f>
        <x:v>M03-ML-0007-V1.0</x:v>
      </x:c>
      <x:c r="B13" s="74" t="str">
        <x:v>M03</x:v>
      </x:c>
      <x:c r="C13" s="74" t="str">
        <x:v>ML</x:v>
      </x:c>
      <x:c r="D13" s="79" t="n">
        <x:v>7</x:v>
      </x:c>
      <x:c r="E13" s="74" t="str">
        <x:v>V1.0</x:v>
      </x:c>
      <x:c r="F13" s="68" t="str">
        <x:v>申月金当令基础</x:v>
      </x:c>
      <x:c r="G13" s="82" t="str">
        <x:v>结构层</x:v>
      </x:c>
      <x:c r="H13" s="68" t="str">
        <x:v>金五行及所属天干</x:v>
      </x:c>
      <x:c r="I13" s="68" t="str">
        <x:v>月令司权</x:v>
      </x:c>
      <x:c r="J13" s="68" t="str">
        <x:v>申月（立秋起至白露前，孟秋）</x:v>
      </x:c>
      <x:c r="K13" s="82"/>
      <x:c r="L13" s="82"/>
      <x:c r="M13" s="82" t="str">
        <x:v>其他</x:v>
      </x:c>
      <x:c r="N13" s="68" t="str">
        <x:v>出生时间、时区与交节时刻已确认</x:v>
      </x:c>
      <x:c r="O13" s="68" t="str">
        <x:v>按节气确定月支为申</x:v>
      </x:c>
      <x:c r="P13" s="68" t="str">
        <x:v>金透干、同类通根、得生源或同党成势</x:v>
      </x:c>
      <x:c r="Q13" s="68" t="str">
        <x:v>距交节点很近、对象无根，或对象同时受强力克泄耗</x:v>
      </x:c>
      <x:c r="R13" s="90" t="str">
        <x:v>不得仅凭本条直接判定日主或该五行的最终旺衰</x:v>
      </x:c>
      <x:c r="S13" s="68" t="str">
        <x:v>严格特殊格局须转M14审查。</x:v>
      </x:c>
      <x:c r="T13" s="68" t="str">
        <x:v>五行原始旺衰证据</x:v>
      </x:c>
      <x:c r="U13" s="82" t="str">
        <x:v>增强</x:v>
      </x:c>
      <x:c r="V13" s="82" t="str">
        <x:v>强</x:v>
      </x:c>
      <x:c r="W13" s="82" t="str">
        <x:v>P1_高</x:v>
      </x:c>
      <x:c r="X13" s="82" t="str">
        <x:v>辅助证据</x:v>
      </x:c>
      <x:c r="Y13" s="84" t="str">
        <x:v>申月金得令</x:v>
      </x:c>
      <x:c r="Z13" s="84" t="str">
        <x:v>月支为申，金取得季节主气支持；这是高权重的原始旺衰证据，仍须结合根气、透干、同党及克泄耗。</x:v>
      </x:c>
      <x:c r="AA13" s="82" t="str">
        <x:v>较高</x:v>
      </x:c>
      <x:c r="AB13" s="82" t="str">
        <x:v>跨流派共识</x:v>
      </x:c>
      <x:c r="AC13" s="68" t="str">
        <x:v>月份边界以节气为准；申为孟秋，其本气属金。参照《摄生月令》季序及《三命通会》月气论述。</x:v>
      </x:c>
      <x:c r="AD13" s="68" t="str">
        <x:v>例如庚日生申月，金获得月令支持；若另有根助与同党，支持进一步增强。</x:v>
      </x:c>
      <x:c r="AE13" s="90" t="str">
        <x:v>例如庚日生申月但全局无有效根、受强力克泄耗，不能只因得令直接判旺。</x:v>
      </x:c>
      <x:c r="AF13" s="68" t="str">
        <x:v>https://zh.wikisource.org/wiki/攝生月令；https://zh.wikisource.org/zh-hans/三命通會_(四庫全書本)/卷10</x:v>
      </x:c>
      <x:c r="AG13" s="82" t="str">
        <x:v>采用</x:v>
      </x:c>
      <x:c r="AH13" s="82" t="str">
        <x:v>初审</x:v>
      </x:c>
      <x:c r="AI13" s="87" t="n">
        <x:v>46255</x:v>
      </x:c>
    </x:row>
    <x:row r="14" ht="48" customHeight="1">
      <x:c r="A14" s="72" t="str">
        <x:f>IF(OR(C14="",D14=""),"",B14&amp;"-"&amp;UPPER(C14)&amp;"-"&amp;TEXT(D14,"0000")&amp;"-"&amp;E14)</x:f>
        <x:v>M03-ML-0008-V1.0</x:v>
      </x:c>
      <x:c r="B14" s="74" t="str">
        <x:v>M03</x:v>
      </x:c>
      <x:c r="C14" s="74" t="str">
        <x:v>ML</x:v>
      </x:c>
      <x:c r="D14" s="79" t="n">
        <x:v>8</x:v>
      </x:c>
      <x:c r="E14" s="74" t="str">
        <x:v>V1.0</x:v>
      </x:c>
      <x:c r="F14" s="68" t="str">
        <x:v>酉月金当令基础</x:v>
      </x:c>
      <x:c r="G14" s="82" t="str">
        <x:v>结构层</x:v>
      </x:c>
      <x:c r="H14" s="68" t="str">
        <x:v>金五行及所属天干</x:v>
      </x:c>
      <x:c r="I14" s="68" t="str">
        <x:v>月令司权</x:v>
      </x:c>
      <x:c r="J14" s="68" t="str">
        <x:v>酉月（白露起至寒露前，仲秋）</x:v>
      </x:c>
      <x:c r="K14" s="82"/>
      <x:c r="L14" s="82"/>
      <x:c r="M14" s="82" t="str">
        <x:v>其他</x:v>
      </x:c>
      <x:c r="N14" s="68" t="str">
        <x:v>出生时间、时区与交节时刻已确认</x:v>
      </x:c>
      <x:c r="O14" s="68" t="str">
        <x:v>按节气确定月支为酉</x:v>
      </x:c>
      <x:c r="P14" s="68" t="str">
        <x:v>金透干、同类通根、得生源或同党成势</x:v>
      </x:c>
      <x:c r="Q14" s="68" t="str">
        <x:v>距交节点很近、对象无根，或对象同时受强力克泄耗</x:v>
      </x:c>
      <x:c r="R14" s="90" t="str">
        <x:v>不得仅凭本条直接判定日主或该五行的最终旺衰</x:v>
      </x:c>
      <x:c r="S14" s="68" t="str">
        <x:v>严格特殊格局须转M14审查。</x:v>
      </x:c>
      <x:c r="T14" s="68" t="str">
        <x:v>五行原始旺衰证据</x:v>
      </x:c>
      <x:c r="U14" s="82" t="str">
        <x:v>增强</x:v>
      </x:c>
      <x:c r="V14" s="82" t="str">
        <x:v>强</x:v>
      </x:c>
      <x:c r="W14" s="82" t="str">
        <x:v>P1_高</x:v>
      </x:c>
      <x:c r="X14" s="82" t="str">
        <x:v>辅助证据</x:v>
      </x:c>
      <x:c r="Y14" s="84" t="str">
        <x:v>酉月金得令</x:v>
      </x:c>
      <x:c r="Z14" s="84" t="str">
        <x:v>月支为酉，金取得季节主气支持；这是高权重的原始旺衰证据，仍须结合根气、透干、同党及克泄耗。</x:v>
      </x:c>
      <x:c r="AA14" s="82" t="str">
        <x:v>较高</x:v>
      </x:c>
      <x:c r="AB14" s="82" t="str">
        <x:v>跨流派共识</x:v>
      </x:c>
      <x:c r="AC14" s="68" t="str">
        <x:v>月份边界以节气为准；酉为仲秋，其本气属金。参照《摄生月令》季序及《三命通会》月气论述。</x:v>
      </x:c>
      <x:c r="AD14" s="68" t="str">
        <x:v>例如辛日生酉月，金获得月令支持；若另有根助与同党，支持进一步增强。</x:v>
      </x:c>
      <x:c r="AE14" s="90" t="str">
        <x:v>例如辛日生酉月但全局无有效根、受强力克泄耗，不能只因得令直接判旺。</x:v>
      </x:c>
      <x:c r="AF14" s="68" t="str">
        <x:v>https://zh.wikisource.org/wiki/攝生月令；https://zh.wikisource.org/zh-hans/三命通會_(四庫全書本)/卷10</x:v>
      </x:c>
      <x:c r="AG14" s="82" t="str">
        <x:v>采用</x:v>
      </x:c>
      <x:c r="AH14" s="82" t="str">
        <x:v>初审</x:v>
      </x:c>
      <x:c r="AI14" s="87" t="n">
        <x:v>46255</x:v>
      </x:c>
    </x:row>
    <x:row r="15" ht="48" customHeight="1">
      <x:c r="A15" s="72" t="str">
        <x:f>IF(OR(C15="",D15=""),"",B15&amp;"-"&amp;UPPER(C15)&amp;"-"&amp;TEXT(D15,"0000")&amp;"-"&amp;E15)</x:f>
        <x:v>M03-ML-0009-V1.0</x:v>
      </x:c>
      <x:c r="B15" s="74" t="str">
        <x:v>M03</x:v>
      </x:c>
      <x:c r="C15" s="74" t="str">
        <x:v>ML</x:v>
      </x:c>
      <x:c r="D15" s="79" t="n">
        <x:v>9</x:v>
      </x:c>
      <x:c r="E15" s="74" t="str">
        <x:v>V1.0</x:v>
      </x:c>
      <x:c r="F15" s="68" t="str">
        <x:v>戌月土当令基础</x:v>
      </x:c>
      <x:c r="G15" s="82" t="str">
        <x:v>结构层</x:v>
      </x:c>
      <x:c r="H15" s="68" t="str">
        <x:v>土五行及所属天干</x:v>
      </x:c>
      <x:c r="I15" s="68" t="str">
        <x:v>月令司权</x:v>
      </x:c>
      <x:c r="J15" s="68" t="str">
        <x:v>戌月（寒露起至立冬前，季秋）</x:v>
      </x:c>
      <x:c r="K15" s="82"/>
      <x:c r="L15" s="82"/>
      <x:c r="M15" s="82" t="str">
        <x:v>其他</x:v>
      </x:c>
      <x:c r="N15" s="68" t="str">
        <x:v>出生时间、时区与交节时刻已确认</x:v>
      </x:c>
      <x:c r="O15" s="68" t="str">
        <x:v>按节气确定月支为戌</x:v>
      </x:c>
      <x:c r="P15" s="68" t="str">
        <x:v>土透干、同类通根、得生源或同党成势</x:v>
      </x:c>
      <x:c r="Q15" s="68" t="str">
        <x:v>距交节点很近、对象无根，或对象同时受强力克泄耗</x:v>
      </x:c>
      <x:c r="R15" s="90" t="str">
        <x:v>不得仅凭本条直接判定日主或该五行的最终旺衰</x:v>
      </x:c>
      <x:c r="S15" s="68" t="str">
        <x:v>辰、未、戌、丑四季月内部司令深浅存在流派差异，涉及分日时须转M21登记；严格特殊格局须转M14审查。</x:v>
      </x:c>
      <x:c r="T15" s="68" t="str">
        <x:v>五行原始旺衰证据</x:v>
      </x:c>
      <x:c r="U15" s="82" t="str">
        <x:v>增强</x:v>
      </x:c>
      <x:c r="V15" s="82" t="str">
        <x:v>强</x:v>
      </x:c>
      <x:c r="W15" s="82" t="str">
        <x:v>P1_高</x:v>
      </x:c>
      <x:c r="X15" s="82" t="str">
        <x:v>辅助证据</x:v>
      </x:c>
      <x:c r="Y15" s="84" t="str">
        <x:v>戌月土得令</x:v>
      </x:c>
      <x:c r="Z15" s="84" t="str">
        <x:v>月支为戌，土取得季节主气支持；这是高权重的原始旺衰证据，仍须结合根气、透干、同党及克泄耗。</x:v>
      </x:c>
      <x:c r="AA15" s="82" t="str">
        <x:v>较高</x:v>
      </x:c>
      <x:c r="AB15" s="82" t="str">
        <x:v>跨流派共识</x:v>
      </x:c>
      <x:c r="AC15" s="68" t="str">
        <x:v>月份边界以节气为准；戌为季秋，其本气属土。参照《摄生月令》季序及《三命通会》月气论述。</x:v>
      </x:c>
      <x:c r="AD15" s="68" t="str">
        <x:v>例如戊日生戌月，土获得月令支持；若另有根助与同党，支持进一步增强。</x:v>
      </x:c>
      <x:c r="AE15" s="90" t="str">
        <x:v>例如戊日生戌月但全局无有效根、受强力克泄耗，不能只因得令直接判旺。</x:v>
      </x:c>
      <x:c r="AF15" s="68" t="str">
        <x:v>https://zh.wikisource.org/wiki/攝生月令；https://zh.wikisource.org/zh-hans/三命通會_(四庫全書本)/卷10</x:v>
      </x:c>
      <x:c r="AG15" s="82" t="str">
        <x:v>采用</x:v>
      </x:c>
      <x:c r="AH15" s="82" t="str">
        <x:v>初审</x:v>
      </x:c>
      <x:c r="AI15" s="87" t="n">
        <x:v>46255</x:v>
      </x:c>
    </x:row>
    <x:row r="16" ht="48" customHeight="1">
      <x:c r="A16" s="72" t="str">
        <x:f>IF(OR(C16="",D16=""),"",B16&amp;"-"&amp;UPPER(C16)&amp;"-"&amp;TEXT(D16,"0000")&amp;"-"&amp;E16)</x:f>
        <x:v>M03-ML-0010-V1.0</x:v>
      </x:c>
      <x:c r="B16" s="74" t="str">
        <x:v>M03</x:v>
      </x:c>
      <x:c r="C16" s="74" t="str">
        <x:v>ML</x:v>
      </x:c>
      <x:c r="D16" s="79" t="n">
        <x:v>10</x:v>
      </x:c>
      <x:c r="E16" s="74" t="str">
        <x:v>V1.0</x:v>
      </x:c>
      <x:c r="F16" s="68" t="str">
        <x:v>亥月水当令基础</x:v>
      </x:c>
      <x:c r="G16" s="82" t="str">
        <x:v>结构层</x:v>
      </x:c>
      <x:c r="H16" s="68" t="str">
        <x:v>水五行及所属天干</x:v>
      </x:c>
      <x:c r="I16" s="68" t="str">
        <x:v>月令司权</x:v>
      </x:c>
      <x:c r="J16" s="68" t="str">
        <x:v>亥月（立冬起至大雪前，孟冬）</x:v>
      </x:c>
      <x:c r="K16" s="82"/>
      <x:c r="L16" s="82"/>
      <x:c r="M16" s="82" t="str">
        <x:v>其他</x:v>
      </x:c>
      <x:c r="N16" s="68" t="str">
        <x:v>出生时间、时区与交节时刻已确认</x:v>
      </x:c>
      <x:c r="O16" s="68" t="str">
        <x:v>按节气确定月支为亥</x:v>
      </x:c>
      <x:c r="P16" s="68" t="str">
        <x:v>水透干、同类通根、得生源或同党成势</x:v>
      </x:c>
      <x:c r="Q16" s="68" t="str">
        <x:v>距交节点很近、对象无根，或对象同时受强力克泄耗</x:v>
      </x:c>
      <x:c r="R16" s="90" t="str">
        <x:v>不得仅凭本条直接判定日主或该五行的最终旺衰</x:v>
      </x:c>
      <x:c r="S16" s="68" t="str">
        <x:v>严格特殊格局须转M14审查。</x:v>
      </x:c>
      <x:c r="T16" s="68" t="str">
        <x:v>五行原始旺衰证据</x:v>
      </x:c>
      <x:c r="U16" s="82" t="str">
        <x:v>增强</x:v>
      </x:c>
      <x:c r="V16" s="82" t="str">
        <x:v>强</x:v>
      </x:c>
      <x:c r="W16" s="82" t="str">
        <x:v>P1_高</x:v>
      </x:c>
      <x:c r="X16" s="82" t="str">
        <x:v>辅助证据</x:v>
      </x:c>
      <x:c r="Y16" s="84" t="str">
        <x:v>亥月水得令</x:v>
      </x:c>
      <x:c r="Z16" s="84" t="str">
        <x:v>月支为亥，水取得季节主气支持；这是高权重的原始旺衰证据，仍须结合根气、透干、同党及克泄耗。</x:v>
      </x:c>
      <x:c r="AA16" s="82" t="str">
        <x:v>较高</x:v>
      </x:c>
      <x:c r="AB16" s="82" t="str">
        <x:v>跨流派共识</x:v>
      </x:c>
      <x:c r="AC16" s="68" t="str">
        <x:v>月份边界以节气为准；亥为孟冬，其本气属水。参照《摄生月令》季序及《三命通会》月气论述。</x:v>
      </x:c>
      <x:c r="AD16" s="68" t="str">
        <x:v>例如壬日生亥月，水获得月令支持；若另有根助与同党，支持进一步增强。</x:v>
      </x:c>
      <x:c r="AE16" s="90" t="str">
        <x:v>例如壬日生亥月但全局无有效根、受强力克泄耗，不能只因得令直接判旺。</x:v>
      </x:c>
      <x:c r="AF16" s="68" t="str">
        <x:v>https://zh.wikisource.org/wiki/攝生月令；https://zh.wikisource.org/zh-hans/三命通會_(四庫全書本)/卷10</x:v>
      </x:c>
      <x:c r="AG16" s="82" t="str">
        <x:v>采用</x:v>
      </x:c>
      <x:c r="AH16" s="82" t="str">
        <x:v>初审</x:v>
      </x:c>
      <x:c r="AI16" s="87" t="n">
        <x:v>46255</x:v>
      </x:c>
    </x:row>
    <x:row r="17" ht="48" customHeight="1">
      <x:c r="A17" s="72" t="str">
        <x:f>IF(OR(C17="",D17=""),"",B17&amp;"-"&amp;UPPER(C17)&amp;"-"&amp;TEXT(D17,"0000")&amp;"-"&amp;E17)</x:f>
        <x:v>M03-ML-0011-V1.0</x:v>
      </x:c>
      <x:c r="B17" s="74" t="str">
        <x:v>M03</x:v>
      </x:c>
      <x:c r="C17" s="74" t="str">
        <x:v>ML</x:v>
      </x:c>
      <x:c r="D17" s="79" t="n">
        <x:v>11</x:v>
      </x:c>
      <x:c r="E17" s="74" t="str">
        <x:v>V1.0</x:v>
      </x:c>
      <x:c r="F17" s="68" t="str">
        <x:v>子月水当令基础</x:v>
      </x:c>
      <x:c r="G17" s="82" t="str">
        <x:v>结构层</x:v>
      </x:c>
      <x:c r="H17" s="68" t="str">
        <x:v>水五行及所属天干</x:v>
      </x:c>
      <x:c r="I17" s="68" t="str">
        <x:v>月令司权</x:v>
      </x:c>
      <x:c r="J17" s="68" t="str">
        <x:v>子月（大雪起至小寒前，仲冬）</x:v>
      </x:c>
      <x:c r="K17" s="82"/>
      <x:c r="L17" s="82"/>
      <x:c r="M17" s="82" t="str">
        <x:v>其他</x:v>
      </x:c>
      <x:c r="N17" s="68" t="str">
        <x:v>出生时间、时区与交节时刻已确认</x:v>
      </x:c>
      <x:c r="O17" s="68" t="str">
        <x:v>按节气确定月支为子</x:v>
      </x:c>
      <x:c r="P17" s="68" t="str">
        <x:v>水透干、同类通根、得生源或同党成势</x:v>
      </x:c>
      <x:c r="Q17" s="68" t="str">
        <x:v>距交节点很近、对象无根，或对象同时受强力克泄耗</x:v>
      </x:c>
      <x:c r="R17" s="90" t="str">
        <x:v>不得仅凭本条直接判定日主或该五行的最终旺衰</x:v>
      </x:c>
      <x:c r="S17" s="68" t="str">
        <x:v>严格特殊格局须转M14审查。</x:v>
      </x:c>
      <x:c r="T17" s="68" t="str">
        <x:v>五行原始旺衰证据</x:v>
      </x:c>
      <x:c r="U17" s="82" t="str">
        <x:v>增强</x:v>
      </x:c>
      <x:c r="V17" s="82" t="str">
        <x:v>强</x:v>
      </x:c>
      <x:c r="W17" s="82" t="str">
        <x:v>P1_高</x:v>
      </x:c>
      <x:c r="X17" s="82" t="str">
        <x:v>辅助证据</x:v>
      </x:c>
      <x:c r="Y17" s="84" t="str">
        <x:v>子月水得令</x:v>
      </x:c>
      <x:c r="Z17" s="84" t="str">
        <x:v>月支为子，水取得季节主气支持；这是高权重的原始旺衰证据，仍须结合根气、透干、同党及克泄耗。</x:v>
      </x:c>
      <x:c r="AA17" s="82" t="str">
        <x:v>较高</x:v>
      </x:c>
      <x:c r="AB17" s="82" t="str">
        <x:v>跨流派共识</x:v>
      </x:c>
      <x:c r="AC17" s="68" t="str">
        <x:v>月份边界以节气为准；子为仲冬，其本气属水。参照《摄生月令》季序及《三命通会》月气论述。</x:v>
      </x:c>
      <x:c r="AD17" s="68" t="str">
        <x:v>例如癸日生子月，水获得月令支持；若另有根助与同党，支持进一步增强。</x:v>
      </x:c>
      <x:c r="AE17" s="90" t="str">
        <x:v>例如癸日生子月但全局无有效根、受强力克泄耗，不能只因得令直接判旺。</x:v>
      </x:c>
      <x:c r="AF17" s="68" t="str">
        <x:v>https://zh.wikisource.org/wiki/攝生月令；https://zh.wikisource.org/zh-hans/三命通會_(四庫全書本)/卷10</x:v>
      </x:c>
      <x:c r="AG17" s="82" t="str">
        <x:v>采用</x:v>
      </x:c>
      <x:c r="AH17" s="82" t="str">
        <x:v>初审</x:v>
      </x:c>
      <x:c r="AI17" s="87" t="n">
        <x:v>46255</x:v>
      </x:c>
    </x:row>
    <x:row r="18" ht="48" customHeight="1">
      <x:c r="A18" s="72" t="str">
        <x:f>IF(OR(C18="",D18=""),"",B18&amp;"-"&amp;UPPER(C18)&amp;"-"&amp;TEXT(D18,"0000")&amp;"-"&amp;E18)</x:f>
        <x:v>M03-ML-0012-V1.0</x:v>
      </x:c>
      <x:c r="B18" s="74" t="str">
        <x:v>M03</x:v>
      </x:c>
      <x:c r="C18" s="74" t="str">
        <x:v>ML</x:v>
      </x:c>
      <x:c r="D18" s="79" t="n">
        <x:v>12</x:v>
      </x:c>
      <x:c r="E18" s="74" t="str">
        <x:v>V1.0</x:v>
      </x:c>
      <x:c r="F18" s="68" t="str">
        <x:v>丑月土当令基础</x:v>
      </x:c>
      <x:c r="G18" s="82" t="str">
        <x:v>结构层</x:v>
      </x:c>
      <x:c r="H18" s="68" t="str">
        <x:v>土五行及所属天干</x:v>
      </x:c>
      <x:c r="I18" s="68" t="str">
        <x:v>月令司权</x:v>
      </x:c>
      <x:c r="J18" s="68" t="str">
        <x:v>丑月（小寒起至立春前，季冬）</x:v>
      </x:c>
      <x:c r="K18" s="82"/>
      <x:c r="L18" s="82"/>
      <x:c r="M18" s="82" t="str">
        <x:v>其他</x:v>
      </x:c>
      <x:c r="N18" s="68" t="str">
        <x:v>出生时间、时区与交节时刻已确认</x:v>
      </x:c>
      <x:c r="O18" s="68" t="str">
        <x:v>按节气确定月支为丑</x:v>
      </x:c>
      <x:c r="P18" s="68" t="str">
        <x:v>土透干、同类通根、得生源或同党成势</x:v>
      </x:c>
      <x:c r="Q18" s="68" t="str">
        <x:v>距交节点很近、对象无根，或对象同时受强力克泄耗</x:v>
      </x:c>
      <x:c r="R18" s="90" t="str">
        <x:v>不得仅凭本条直接判定日主或该五行的最终旺衰</x:v>
      </x:c>
      <x:c r="S18" s="68" t="str">
        <x:v>辰、未、戌、丑四季月内部司令深浅存在流派差异，涉及分日时须转M21登记；严格特殊格局须转M14审查。</x:v>
      </x:c>
      <x:c r="T18" s="68" t="str">
        <x:v>五行原始旺衰证据</x:v>
      </x:c>
      <x:c r="U18" s="82" t="str">
        <x:v>增强</x:v>
      </x:c>
      <x:c r="V18" s="82" t="str">
        <x:v>强</x:v>
      </x:c>
      <x:c r="W18" s="82" t="str">
        <x:v>P1_高</x:v>
      </x:c>
      <x:c r="X18" s="82" t="str">
        <x:v>辅助证据</x:v>
      </x:c>
      <x:c r="Y18" s="84" t="str">
        <x:v>丑月土得令</x:v>
      </x:c>
      <x:c r="Z18" s="84" t="str">
        <x:v>月支为丑，土取得季节主气支持；这是高权重的原始旺衰证据，仍须结合根气、透干、同党及克泄耗。</x:v>
      </x:c>
      <x:c r="AA18" s="82" t="str">
        <x:v>较高</x:v>
      </x:c>
      <x:c r="AB18" s="82" t="str">
        <x:v>跨流派共识</x:v>
      </x:c>
      <x:c r="AC18" s="68" t="str">
        <x:v>月份边界以节气为准；丑为季冬，其本气属土。参照《摄生月令》季序及《三命通会》月气论述。</x:v>
      </x:c>
      <x:c r="AD18" s="68" t="str">
        <x:v>例如己日生丑月，土获得月令支持；若另有根助与同党，支持进一步增强。</x:v>
      </x:c>
      <x:c r="AE18" s="90" t="str">
        <x:v>例如己日生丑月但全局无有效根、受强力克泄耗，不能只因得令直接判旺。</x:v>
      </x:c>
      <x:c r="AF18" s="68" t="str">
        <x:v>https://zh.wikisource.org/wiki/攝生月令；https://zh.wikisource.org/zh-hans/三命通會_(四庫全書本)/卷10</x:v>
      </x:c>
      <x:c r="AG18" s="82" t="str">
        <x:v>采用</x:v>
      </x:c>
      <x:c r="AH18" s="82" t="str">
        <x:v>初审</x:v>
      </x:c>
      <x:c r="AI18" s="87" t="n">
        <x:v>46255</x:v>
      </x:c>
    </x:row>
    <x:row r="19" ht="48" customHeight="1">
      <x:c r="A19" s="72" t="str">
        <x:f>IF(OR(C19="",D19=""),"",B19&amp;"-"&amp;UPPER(C19)&amp;"-"&amp;TEXT(D19,"0000")&amp;"-"&amp;E19)</x:f>
        <x:v>M03-WXR-0013-V1.0</x:v>
      </x:c>
      <x:c r="B19" s="74" t="str">
        <x:v>M03</x:v>
      </x:c>
      <x:c r="C19" s="74" t="str">
        <x:v>WXR</x:v>
      </x:c>
      <x:c r="D19" s="79" t="n">
        <x:v>13</x:v>
      </x:c>
      <x:c r="E19" s="74" t="str">
        <x:v>V1.0</x:v>
      </x:c>
      <x:c r="F19" s="68" t="str">
        <x:v>季节旺态判定</x:v>
      </x:c>
      <x:c r="G19" s="82" t="str">
        <x:v>结构层</x:v>
      </x:c>
      <x:c r="H19" s="68" t="str">
        <x:v>任一五行</x:v>
      </x:c>
      <x:c r="I19" s="68" t="str">
        <x:v>旺相休囚死</x:v>
      </x:c>
      <x:c r="J19" s="68" t="str">
        <x:v>月令主气五行已确定</x:v>
      </x:c>
      <x:c r="K19" s="82"/>
      <x:c r="L19" s="82"/>
      <x:c r="M19" s="82" t="str">
        <x:v>其他</x:v>
      </x:c>
      <x:c r="N19" s="68" t="str">
        <x:v>已按节气确定月支及其主气五行</x:v>
      </x:c>
      <x:c r="O19" s="68" t="str">
        <x:v>对象与当令五行同类</x:v>
      </x:c>
      <x:c r="P19" s="68" t="str">
        <x:v>对象另得强根、透干、生源或同党时，可修正季节证据的最终影响</x:v>
      </x:c>
      <x:c r="Q19" s="68" t="str">
        <x:v>对象无根、受强制泄耗或生源受阻时，季节不利影响可加重</x:v>
      </x:c>
      <x:c r="R19" s="90" t="str">
        <x:v>不得把旺相休囚死直接等同于最终七级旺衰或吉凶</x:v>
      </x:c>
      <x:c r="S19" s="68" t="str">
        <x:v>特殊格局、合化与有效力量须分别转M14、M06、M08处理</x:v>
      </x:c>
      <x:c r="T19" s="68" t="str">
        <x:v>季节旺衰证据</x:v>
      </x:c>
      <x:c r="U19" s="82" t="str">
        <x:v>增强</x:v>
      </x:c>
      <x:c r="V19" s="82" t="str">
        <x:v>强</x:v>
      </x:c>
      <x:c r="W19" s="82" t="str">
        <x:v>P1_高</x:v>
      </x:c>
      <x:c r="X19" s="82" t="str">
        <x:v>辅助证据</x:v>
      </x:c>
      <x:c r="Y19" s="84" t="str">
        <x:v>同类得令</x:v>
      </x:c>
      <x:c r="Z19" s="84" t="str">
        <x:v>对象与月令主气同五行，记为“旺”的季节证据；它说明当时得势，不等于全局最终必旺。</x:v>
      </x:c>
      <x:c r="AA19" s="82" t="str">
        <x:v>较高</x:v>
      </x:c>
      <x:c r="AB19" s="82" t="str">
        <x:v>旺衰扶抑</x:v>
      </x:c>
      <x:c r="AC19" s="68" t="str">
        <x:v>传统旺相休囚死关系：同令为旺、令生为相、生令为休、克令为囚、令克为死。</x:v>
      </x:c>
      <x:c r="AD19" s="68" t="str">
        <x:v>春令木旺；木获得直接季节支持。</x:v>
      </x:c>
      <x:c r="AE19" s="90" t="str">
        <x:v>木旺不等于任一木干都必然有根或能承担全局。</x:v>
      </x:c>
      <x:c r="AF19" s="68" t="str">
        <x:v>https://zh.wikisource.org/zh-hans/三命通會_(四庫全書本)/卷10；https://zh.wikisource.org/wiki/淵海子平</x:v>
      </x:c>
      <x:c r="AG19" s="82" t="str">
        <x:v>采用</x:v>
      </x:c>
      <x:c r="AH19" s="82" t="str">
        <x:v>初审</x:v>
      </x:c>
      <x:c r="AI19" s="87" t="n">
        <x:v>46255</x:v>
      </x:c>
    </x:row>
    <x:row r="20" ht="48" customHeight="1">
      <x:c r="A20" s="72" t="str">
        <x:f>IF(OR(C20="",D20=""),"",B20&amp;"-"&amp;UPPER(C20)&amp;"-"&amp;TEXT(D20,"0000")&amp;"-"&amp;E20)</x:f>
        <x:v>M03-WXR-0014-V1.0</x:v>
      </x:c>
      <x:c r="B20" s="74" t="str">
        <x:v>M03</x:v>
      </x:c>
      <x:c r="C20" s="74" t="str">
        <x:v>WXR</x:v>
      </x:c>
      <x:c r="D20" s="79" t="n">
        <x:v>14</x:v>
      </x:c>
      <x:c r="E20" s="74" t="str">
        <x:v>V1.0</x:v>
      </x:c>
      <x:c r="F20" s="68" t="str">
        <x:v>季节相态判定</x:v>
      </x:c>
      <x:c r="G20" s="82" t="str">
        <x:v>结构层</x:v>
      </x:c>
      <x:c r="H20" s="68" t="str">
        <x:v>任一五行</x:v>
      </x:c>
      <x:c r="I20" s="68" t="str">
        <x:v>旺相休囚死</x:v>
      </x:c>
      <x:c r="J20" s="68" t="str">
        <x:v>月令主气五行已确定</x:v>
      </x:c>
      <x:c r="K20" s="82"/>
      <x:c r="L20" s="82"/>
      <x:c r="M20" s="82" t="str">
        <x:v>其他</x:v>
      </x:c>
      <x:c r="N20" s="68" t="str">
        <x:v>已按节气确定月支及其主气五行</x:v>
      </x:c>
      <x:c r="O20" s="68" t="str">
        <x:v>当令五行生对象</x:v>
      </x:c>
      <x:c r="P20" s="68" t="str">
        <x:v>对象另得强根、透干、生源或同党时，可修正季节证据的最终影响</x:v>
      </x:c>
      <x:c r="Q20" s="68" t="str">
        <x:v>对象无根、受强制泄耗或生源受阻时，季节不利影响可加重</x:v>
      </x:c>
      <x:c r="R20" s="90" t="str">
        <x:v>不得把旺相休囚死直接等同于最终七级旺衰或吉凶</x:v>
      </x:c>
      <x:c r="S20" s="68" t="str">
        <x:v>特殊格局、合化与有效力量须分别转M14、M06、M08处理</x:v>
      </x:c>
      <x:c r="T20" s="68" t="str">
        <x:v>季节旺衰证据</x:v>
      </x:c>
      <x:c r="U20" s="82" t="str">
        <x:v>增强</x:v>
      </x:c>
      <x:c r="V20" s="82" t="str">
        <x:v>中</x:v>
      </x:c>
      <x:c r="W20" s="82" t="str">
        <x:v>P1_高</x:v>
      </x:c>
      <x:c r="X20" s="82" t="str">
        <x:v>辅助证据</x:v>
      </x:c>
      <x:c r="Y20" s="84" t="str">
        <x:v>受令所生</x:v>
      </x:c>
      <x:c r="Z20" s="84" t="str">
        <x:v>对象由当令五行所生，记为“相”的季节证据；支持度通常低于同类当令。</x:v>
      </x:c>
      <x:c r="AA20" s="82" t="str">
        <x:v>较高</x:v>
      </x:c>
      <x:c r="AB20" s="82" t="str">
        <x:v>旺衰扶抑</x:v>
      </x:c>
      <x:c r="AC20" s="68" t="str">
        <x:v>传统旺相休囚死关系：同令为旺、令生为相、生令为休、克令为囚、令克为死。</x:v>
      </x:c>
      <x:c r="AD20" s="68" t="str">
        <x:v>春令木旺而木生火，火为相。</x:v>
      </x:c>
      <x:c r="AE20" s="90" t="str">
        <x:v>火为相不等于火已成势；若无根无透仍可能功能有限。</x:v>
      </x:c>
      <x:c r="AF20" s="68" t="str">
        <x:v>https://zh.wikisource.org/zh-hans/三命通會_(四庫全書本)/卷10；https://zh.wikisource.org/wiki/淵海子平</x:v>
      </x:c>
      <x:c r="AG20" s="82" t="str">
        <x:v>采用</x:v>
      </x:c>
      <x:c r="AH20" s="82" t="str">
        <x:v>初审</x:v>
      </x:c>
      <x:c r="AI20" s="87" t="n">
        <x:v>46255</x:v>
      </x:c>
    </x:row>
    <x:row r="21" ht="48" customHeight="1">
      <x:c r="A21" s="72" t="str">
        <x:f>IF(OR(C21="",D21=""),"",B21&amp;"-"&amp;UPPER(C21)&amp;"-"&amp;TEXT(D21,"0000")&amp;"-"&amp;E21)</x:f>
        <x:v>M03-WXR-0015-V1.0</x:v>
      </x:c>
      <x:c r="B21" s="74" t="str">
        <x:v>M03</x:v>
      </x:c>
      <x:c r="C21" s="74" t="str">
        <x:v>WXR</x:v>
      </x:c>
      <x:c r="D21" s="79" t="n">
        <x:v>15</x:v>
      </x:c>
      <x:c r="E21" s="74" t="str">
        <x:v>V1.0</x:v>
      </x:c>
      <x:c r="F21" s="68" t="str">
        <x:v>季节休态判定</x:v>
      </x:c>
      <x:c r="G21" s="82" t="str">
        <x:v>结构层</x:v>
      </x:c>
      <x:c r="H21" s="68" t="str">
        <x:v>任一五行</x:v>
      </x:c>
      <x:c r="I21" s="68" t="str">
        <x:v>旺相休囚死</x:v>
      </x:c>
      <x:c r="J21" s="68" t="str">
        <x:v>月令主气五行已确定</x:v>
      </x:c>
      <x:c r="K21" s="82"/>
      <x:c r="L21" s="82"/>
      <x:c r="M21" s="82" t="str">
        <x:v>其他</x:v>
      </x:c>
      <x:c r="N21" s="68" t="str">
        <x:v>已按节气确定月支及其主气五行</x:v>
      </x:c>
      <x:c r="O21" s="68" t="str">
        <x:v>对象生当令五行</x:v>
      </x:c>
      <x:c r="P21" s="68" t="str">
        <x:v>对象另得强根、透干、生源或同党时，可修正季节证据的最终影响</x:v>
      </x:c>
      <x:c r="Q21" s="68" t="str">
        <x:v>对象无根、受强制泄耗或生源受阻时，季节不利影响可加重</x:v>
      </x:c>
      <x:c r="R21" s="90" t="str">
        <x:v>不得把旺相休囚死直接等同于最终七级旺衰或吉凶</x:v>
      </x:c>
      <x:c r="S21" s="68" t="str">
        <x:v>特殊格局、合化与有效力量须分别转M14、M06、M08处理</x:v>
      </x:c>
      <x:c r="T21" s="68" t="str">
        <x:v>季节旺衰证据</x:v>
      </x:c>
      <x:c r="U21" s="82" t="str">
        <x:v>减弱</x:v>
      </x:c>
      <x:c r="V21" s="82" t="str">
        <x:v>中</x:v>
      </x:c>
      <x:c r="W21" s="82" t="str">
        <x:v>P2_中</x:v>
      </x:c>
      <x:c r="X21" s="82" t="str">
        <x:v>辅助证据</x:v>
      </x:c>
      <x:c r="Y21" s="84" t="str">
        <x:v>生令而休</x:v>
      </x:c>
      <x:c r="Z21" s="84" t="str">
        <x:v>对象生扶当令五行，季节上有泄气倾向，记为“休”；这是相对退势证据，不等于完全无力。</x:v>
      </x:c>
      <x:c r="AA21" s="82" t="str">
        <x:v>较高</x:v>
      </x:c>
      <x:c r="AB21" s="82" t="str">
        <x:v>旺衰扶抑</x:v>
      </x:c>
      <x:c r="AC21" s="68" t="str">
        <x:v>传统旺相休囚死关系：同令为旺、令生为相、生令为休、克令为囚、令克为死。</x:v>
      </x:c>
      <x:c r="AD21" s="68" t="str">
        <x:v>春令木旺，水生木，水为休。</x:v>
      </x:c>
      <x:c r="AE21" s="90" t="str">
        <x:v>水休不等于水绝；若水透干通根且成势，仍可有显著力量。</x:v>
      </x:c>
      <x:c r="AF21" s="68" t="str">
        <x:v>https://zh.wikisource.org/zh-hans/三命通會_(四庫全書本)/卷10；https://zh.wikisource.org/wiki/淵海子平</x:v>
      </x:c>
      <x:c r="AG21" s="82" t="str">
        <x:v>采用</x:v>
      </x:c>
      <x:c r="AH21" s="82" t="str">
        <x:v>初审</x:v>
      </x:c>
      <x:c r="AI21" s="87" t="n">
        <x:v>46255</x:v>
      </x:c>
    </x:row>
    <x:row r="22" ht="48" customHeight="1">
      <x:c r="A22" s="72" t="str">
        <x:f>IF(OR(C22="",D22=""),"",B22&amp;"-"&amp;UPPER(C22)&amp;"-"&amp;TEXT(D22,"0000")&amp;"-"&amp;E22)</x:f>
        <x:v>M03-WXR-0016-V1.0</x:v>
      </x:c>
      <x:c r="B22" s="74" t="str">
        <x:v>M03</x:v>
      </x:c>
      <x:c r="C22" s="74" t="str">
        <x:v>WXR</x:v>
      </x:c>
      <x:c r="D22" s="79" t="n">
        <x:v>16</x:v>
      </x:c>
      <x:c r="E22" s="74" t="str">
        <x:v>V1.0</x:v>
      </x:c>
      <x:c r="F22" s="68" t="str">
        <x:v>季节囚态判定</x:v>
      </x:c>
      <x:c r="G22" s="82" t="str">
        <x:v>结构层</x:v>
      </x:c>
      <x:c r="H22" s="68" t="str">
        <x:v>任一五行</x:v>
      </x:c>
      <x:c r="I22" s="68" t="str">
        <x:v>旺相休囚死</x:v>
      </x:c>
      <x:c r="J22" s="68" t="str">
        <x:v>月令主气五行已确定</x:v>
      </x:c>
      <x:c r="K22" s="82"/>
      <x:c r="L22" s="82"/>
      <x:c r="M22" s="82" t="str">
        <x:v>其他</x:v>
      </x:c>
      <x:c r="N22" s="68" t="str">
        <x:v>已按节气确定月支及其主气五行</x:v>
      </x:c>
      <x:c r="O22" s="68" t="str">
        <x:v>对象克当令五行</x:v>
      </x:c>
      <x:c r="P22" s="68" t="str">
        <x:v>对象另得强根、透干、生源或同党时，可修正季节证据的最终影响</x:v>
      </x:c>
      <x:c r="Q22" s="68" t="str">
        <x:v>对象无根、受强制泄耗或生源受阻时，季节不利影响可加重</x:v>
      </x:c>
      <x:c r="R22" s="90" t="str">
        <x:v>不得把旺相休囚死直接等同于最终七级旺衰或吉凶</x:v>
      </x:c>
      <x:c r="S22" s="68" t="str">
        <x:v>特殊格局、合化与有效力量须分别转M14、M06、M08处理</x:v>
      </x:c>
      <x:c r="T22" s="68" t="str">
        <x:v>季节旺衰证据</x:v>
      </x:c>
      <x:c r="U22" s="82" t="str">
        <x:v>减弱</x:v>
      </x:c>
      <x:c r="V22" s="82" t="str">
        <x:v>中</x:v>
      </x:c>
      <x:c r="W22" s="82" t="str">
        <x:v>P2_中</x:v>
      </x:c>
      <x:c r="X22" s="82" t="str">
        <x:v>辅助证据</x:v>
      </x:c>
      <x:c r="Y22" s="84" t="str">
        <x:v>克令而囚</x:v>
      </x:c>
      <x:c r="Z22" s="84" t="str">
        <x:v>对象试图克制当令五行，季节环境不利，记为“囚”；须与根气和同党合看。</x:v>
      </x:c>
      <x:c r="AA22" s="82" t="str">
        <x:v>较高</x:v>
      </x:c>
      <x:c r="AB22" s="82" t="str">
        <x:v>旺衰扶抑</x:v>
      </x:c>
      <x:c r="AC22" s="68" t="str">
        <x:v>传统旺相休囚死关系：同令为旺、令生为相、生令为休、克令为囚、令克为死。</x:v>
      </x:c>
      <x:c r="AD22" s="68" t="str">
        <x:v>春令木旺，金克木，金为囚。</x:v>
      </x:c>
      <x:c r="AE22" s="90" t="str">
        <x:v>金囚不等于金必弱；若申酉成势并得土生，仍需重新评估。</x:v>
      </x:c>
      <x:c r="AF22" s="68" t="str">
        <x:v>https://zh.wikisource.org/zh-hans/三命通會_(四庫全書本)/卷10；https://zh.wikisource.org/wiki/淵海子平</x:v>
      </x:c>
      <x:c r="AG22" s="82" t="str">
        <x:v>采用</x:v>
      </x:c>
      <x:c r="AH22" s="82" t="str">
        <x:v>初审</x:v>
      </x:c>
      <x:c r="AI22" s="87" t="n">
        <x:v>46255</x:v>
      </x:c>
    </x:row>
    <x:row r="23" ht="48" customHeight="1">
      <x:c r="A23" s="72" t="str">
        <x:f>IF(OR(C23="",D23=""),"",B23&amp;"-"&amp;UPPER(C23)&amp;"-"&amp;TEXT(D23,"0000")&amp;"-"&amp;E23)</x:f>
        <x:v>M03-WXR-0017-V1.0</x:v>
      </x:c>
      <x:c r="B23" s="74" t="str">
        <x:v>M03</x:v>
      </x:c>
      <x:c r="C23" s="74" t="str">
        <x:v>WXR</x:v>
      </x:c>
      <x:c r="D23" s="79" t="n">
        <x:v>17</x:v>
      </x:c>
      <x:c r="E23" s="74" t="str">
        <x:v>V1.0</x:v>
      </x:c>
      <x:c r="F23" s="68" t="str">
        <x:v>季节死态判定</x:v>
      </x:c>
      <x:c r="G23" s="82" t="str">
        <x:v>结构层</x:v>
      </x:c>
      <x:c r="H23" s="68" t="str">
        <x:v>任一五行</x:v>
      </x:c>
      <x:c r="I23" s="68" t="str">
        <x:v>旺相休囚死</x:v>
      </x:c>
      <x:c r="J23" s="68" t="str">
        <x:v>月令主气五行已确定</x:v>
      </x:c>
      <x:c r="K23" s="82"/>
      <x:c r="L23" s="82"/>
      <x:c r="M23" s="82" t="str">
        <x:v>其他</x:v>
      </x:c>
      <x:c r="N23" s="68" t="str">
        <x:v>已按节气确定月支及其主气五行</x:v>
      </x:c>
      <x:c r="O23" s="68" t="str">
        <x:v>当令五行克对象</x:v>
      </x:c>
      <x:c r="P23" s="68" t="str">
        <x:v>对象另得强根、透干、生源或同党时，可修正季节证据的最终影响</x:v>
      </x:c>
      <x:c r="Q23" s="68" t="str">
        <x:v>对象无根、受强制泄耗或生源受阻时，季节不利影响可加重</x:v>
      </x:c>
      <x:c r="R23" s="90" t="str">
        <x:v>不得把旺相休囚死直接等同于最终七级旺衰或吉凶</x:v>
      </x:c>
      <x:c r="S23" s="68" t="str">
        <x:v>特殊格局、合化与有效力量须分别转M14、M06、M08处理</x:v>
      </x:c>
      <x:c r="T23" s="68" t="str">
        <x:v>季节旺衰证据</x:v>
      </x:c>
      <x:c r="U23" s="82" t="str">
        <x:v>减弱</x:v>
      </x:c>
      <x:c r="V23" s="82" t="str">
        <x:v>强</x:v>
      </x:c>
      <x:c r="W23" s="82" t="str">
        <x:v>P1_高</x:v>
      </x:c>
      <x:c r="X23" s="82" t="str">
        <x:v>辅助证据</x:v>
      </x:c>
      <x:c r="Y23" s="84" t="str">
        <x:v>受令所克</x:v>
      </x:c>
      <x:c r="Z23" s="84" t="str">
        <x:v>对象被当令五行所克，记为“死”的季节证据；“死”是季节术语，不表示五行不存在。</x:v>
      </x:c>
      <x:c r="AA23" s="82" t="str">
        <x:v>较高</x:v>
      </x:c>
      <x:c r="AB23" s="82" t="str">
        <x:v>旺衰扶抑</x:v>
      </x:c>
      <x:c r="AC23" s="68" t="str">
        <x:v>传统旺相休囚死关系：同令为旺、令生为相、生令为休、克令为囚、令克为死。</x:v>
      </x:c>
      <x:c r="AD23" s="68" t="str">
        <x:v>春令木旺，木克土，土为死。</x:v>
      </x:c>
      <x:c r="AE23" s="90" t="str">
        <x:v>土死不等于地支辰戌丑未的土气全部消失。</x:v>
      </x:c>
      <x:c r="AF23" s="68" t="str">
        <x:v>https://zh.wikisource.org/zh-hans/三命通會_(四庫全書本)/卷10；https://zh.wikisource.org/wiki/淵海子平</x:v>
      </x:c>
      <x:c r="AG23" s="82" t="str">
        <x:v>采用</x:v>
      </x:c>
      <x:c r="AH23" s="82" t="str">
        <x:v>初审</x:v>
      </x:c>
      <x:c r="AI23" s="87" t="n">
        <x:v>46255</x:v>
      </x:c>
    </x:row>
    <x:row r="24" ht="48" customHeight="1">
      <x:c r="A24" s="72" t="str">
        <x:f>IF(OR(C24="",D24=""),"",B24&amp;"-"&amp;UPPER(C24)&amp;"-"&amp;TEXT(D24,"0000")&amp;"-"&amp;E24)</x:f>
        <x:v>M03-PROC-0018-V1.0</x:v>
      </x:c>
      <x:c r="B24" s="74" t="str">
        <x:v>M03</x:v>
      </x:c>
      <x:c r="C24" s="74" t="str">
        <x:v>PROC</x:v>
      </x:c>
      <x:c r="D24" s="79" t="n">
        <x:v>18</x:v>
      </x:c>
      <x:c r="E24" s="74" t="str">
        <x:v>V1.0</x:v>
      </x:c>
      <x:c r="F24" s="68" t="str">
        <x:v>月支必须按节气定界</x:v>
      </x:c>
      <x:c r="G24" s="82" t="str">
        <x:v>识别层</x:v>
      </x:c>
      <x:c r="H24" s="68" t="str">
        <x:v>月支</x:v>
      </x:c>
      <x:c r="I24" s="68" t="str">
        <x:v>历法边界</x:v>
      </x:c>
      <x:c r="J24" s="68" t="str">
        <x:v>十二月令交界</x:v>
      </x:c>
      <x:c r="K24" s="82" t="str">
        <x:v>其他</x:v>
      </x:c>
      <x:c r="L24" s="82" t="str">
        <x:v>待定</x:v>
      </x:c>
      <x:c r="M24" s="82" t="str">
        <x:v>其他</x:v>
      </x:c>
      <x:c r="N24" s="68" t="str">
        <x:v>出生年月日时、时区及历法转换信息可用</x:v>
      </x:c>
      <x:c r="O24" s="68" t="str">
        <x:v>以交节时刻划分寅至丑月，不以农历初一或公历月份直接代替</x:v>
      </x:c>
      <x:c r="P24" s="68"/>
      <x:c r="Q24" s="68"/>
      <x:c r="R24" s="90" t="str">
        <x:v>未核对节气边界时，不得锁定月支与月令</x:v>
      </x:c>
      <x:c r="S24" s="68" t="str">
        <x:v>采用真太阳时或其他校时体系时，应在输入层明确并保持全案一致</x:v>
      </x:c>
      <x:c r="T24" s="68" t="str">
        <x:v>月支识别</x:v>
      </x:c>
      <x:c r="U24" s="82" t="str">
        <x:v>不变</x:v>
      </x:c>
      <x:c r="V24" s="82" t="str">
        <x:v>决定性</x:v>
      </x:c>
      <x:c r="W24" s="82" t="str">
        <x:v>P0_硬约束</x:v>
      </x:c>
      <x:c r="X24" s="82" t="str">
        <x:v>硬约束</x:v>
      </x:c>
      <x:c r="Y24" s="84" t="str">
        <x:v>节气定月</x:v>
      </x:c>
      <x:c r="Z24" s="84" t="str">
        <x:v>月支以节气交接为边界；公历月份与农历月序只能作为提示，不能替代交节时刻。</x:v>
      </x:c>
      <x:c r="AA24" s="82" t="str">
        <x:v>确定</x:v>
      </x:c>
      <x:c r="AB24" s="82" t="str">
        <x:v>跨流派共识</x:v>
      </x:c>
      <x:c r="AC24" s="68" t="str">
        <x:v>子平月令以节气划分，是后续得令、格局与调候判断的输入前提。</x:v>
      </x:c>
      <x:c r="AD24" s="68" t="str">
        <x:v>出生在惊蛰之后，方进入卯月。</x:v>
      </x:c>
      <x:c r="AE24" s="90" t="str">
        <x:v>农历二月初并不必然已经进入卯月。</x:v>
      </x:c>
      <x:c r="AF24" s="68" t="str">
        <x:v>https://zh.wikisource.org/wiki/攝生月令；https://zh.wikisource.org/wiki/三命通會</x:v>
      </x:c>
      <x:c r="AG24" s="82" t="str">
        <x:v>采用</x:v>
      </x:c>
      <x:c r="AH24" s="82" t="str">
        <x:v>初审</x:v>
      </x:c>
      <x:c r="AI24" s="87" t="n">
        <x:v>46255</x:v>
      </x:c>
    </x:row>
    <x:row r="25" ht="48" customHeight="1">
      <x:c r="A25" s="72" t="str">
        <x:f>IF(OR(C25="",D25=""),"",B25&amp;"-"&amp;UPPER(C25)&amp;"-"&amp;TEXT(D25,"0000")&amp;"-"&amp;E25)</x:f>
        <x:v>M03-PROC-0019-V1.0</x:v>
      </x:c>
      <x:c r="B25" s="74" t="str">
        <x:v>M03</x:v>
      </x:c>
      <x:c r="C25" s="74" t="str">
        <x:v>PROC</x:v>
      </x:c>
      <x:c r="D25" s="79" t="n">
        <x:v>19</x:v>
      </x:c>
      <x:c r="E25" s="74" t="str">
        <x:v>V1.0</x:v>
      </x:c>
      <x:c r="F25" s="68" t="str">
        <x:v>交节边界必须核对精确时刻</x:v>
      </x:c>
      <x:c r="G25" s="82" t="str">
        <x:v>识别层</x:v>
      </x:c>
      <x:c r="H25" s="68" t="str">
        <x:v>月支</x:v>
      </x:c>
      <x:c r="I25" s="68" t="str">
        <x:v>边界校验</x:v>
      </x:c>
      <x:c r="J25" s="68" t="str">
        <x:v>出生时刻接近节气交接</x:v>
      </x:c>
      <x:c r="K25" s="82" t="str">
        <x:v>其他</x:v>
      </x:c>
      <x:c r="L25" s="82" t="str">
        <x:v>待定</x:v>
      </x:c>
      <x:c r="M25" s="82" t="str">
        <x:v>其他</x:v>
      </x:c>
      <x:c r="N25" s="68" t="str">
        <x:v>出生地时区与出生时刻可核验</x:v>
      </x:c>
      <x:c r="O25" s="68" t="str">
        <x:v>接近交节时必须比较出生时刻与当地采用的交节时刻</x:v>
      </x:c>
      <x:c r="P25" s="68" t="str">
        <x:v>出生时刻远离交节点时，边界争议显著降低</x:v>
      </x:c>
      <x:c r="Q25" s="68" t="str">
        <x:v>时区、夏令时或录入误差会降低置信度</x:v>
      </x:c>
      <x:c r="R25" s="90" t="str">
        <x:v>交节前后未判清时，不得把月支作为确定输入</x:v>
      </x:c>
      <x:c r="S25" s="68" t="str">
        <x:v>真太阳时是否采用属于体系选择；若改变月支，必须在M21记录争议与影响</x:v>
      </x:c>
      <x:c r="T25" s="68" t="str">
        <x:v>月支识别</x:v>
      </x:c>
      <x:c r="U25" s="82" t="str">
        <x:v>条件性</x:v>
      </x:c>
      <x:c r="V25" s="82" t="str">
        <x:v>决定性</x:v>
      </x:c>
      <x:c r="W25" s="82" t="str">
        <x:v>P0_硬约束</x:v>
      </x:c>
      <x:c r="X25" s="82" t="str">
        <x:v>硬约束</x:v>
      </x:c>
      <x:c r="Y25" s="84" t="str">
        <x:v>交节边界校验</x:v>
      </x:c>
      <x:c r="Z25" s="84" t="str">
        <x:v>出生接近交节时，月支结论必须附时区、交节时刻与置信度；必要时保留双方案。</x:v>
      </x:c>
      <x:c r="AA25" s="82" t="str">
        <x:v>较高</x:v>
      </x:c>
      <x:c r="AB25" s="82" t="str">
        <x:v>现代综合</x:v>
      </x:c>
      <x:c r="AC25" s="68" t="str">
        <x:v>边界误差会级联影响月令、藏干、格局和用神，因此属于硬输入校验。</x:v>
      </x:c>
      <x:c r="AD25" s="68" t="str">
        <x:v>出生在立春后数小时，经时区核对后确定为寅月。</x:v>
      </x:c>
      <x:c r="AE25" s="90" t="str">
        <x:v>只看日期不看立春具体时刻，可能把丑月误判为寅月。</x:v>
      </x:c>
      <x:c r="AF25" s="68" t="str">
        <x:v>内部历法治理规则；参照子平节气定月原则</x:v>
      </x:c>
      <x:c r="AG25" s="82" t="str">
        <x:v>采用</x:v>
      </x:c>
      <x:c r="AH25" s="82" t="str">
        <x:v>初审</x:v>
      </x:c>
      <x:c r="AI25" s="87" t="n">
        <x:v>46255</x:v>
      </x:c>
    </x:row>
    <x:row r="26" ht="48" customHeight="1">
      <x:c r="A26" s="72" t="str">
        <x:f>IF(OR(C26="",D26=""),"",B26&amp;"-"&amp;UPPER(C26)&amp;"-"&amp;TEXT(D26,"0000")&amp;"-"&amp;E26)</x:f>
        <x:v>M03-PROC-0020-V1.0</x:v>
      </x:c>
      <x:c r="B26" s="74" t="str">
        <x:v>M03</x:v>
      </x:c>
      <x:c r="C26" s="74" t="str">
        <x:v>PROC</x:v>
      </x:c>
      <x:c r="D26" s="79" t="n">
        <x:v>20</x:v>
      </x:c>
      <x:c r="E26" s="74" t="str">
        <x:v>V1.0</x:v>
      </x:c>
      <x:c r="F26" s="68" t="str">
        <x:v>得令是高权重证据而非充分条件</x:v>
      </x:c>
      <x:c r="G26" s="82" t="str">
        <x:v>结构层</x:v>
      </x:c>
      <x:c r="H26" s="68" t="str">
        <x:v>日主及任一五行</x:v>
      </x:c>
      <x:c r="I26" s="68" t="str">
        <x:v>得令</x:v>
      </x:c>
      <x:c r="J26" s="68" t="str">
        <x:v>对象与月令形成旺或相的关系</x:v>
      </x:c>
      <x:c r="K26" s="82" t="str">
        <x:v>其他</x:v>
      </x:c>
      <x:c r="L26" s="82" t="str">
        <x:v>待定</x:v>
      </x:c>
      <x:c r="M26" s="82" t="str">
        <x:v>其他</x:v>
      </x:c>
      <x:c r="N26" s="68" t="str">
        <x:v>月令主气关系已判断</x:v>
      </x:c>
      <x:c r="O26" s="68" t="str">
        <x:v>对象确实获得季节支持</x:v>
      </x:c>
      <x:c r="P26" s="68" t="str">
        <x:v>另有强根、透干、同党或连续生源</x:v>
      </x:c>
      <x:c r="Q26" s="68" t="str">
        <x:v>对象无根、受强制泄耗、根源被制或气不能透达</x:v>
      </x:c>
      <x:c r="R26" s="90" t="str">
        <x:v>不得仅凭得令直接输出“身旺”或“该五行旺”</x:v>
      </x:c>
      <x:c r="S26" s="68" t="str">
        <x:v>严格特殊格局须转M14，不套普通扶抑结论</x:v>
      </x:c>
      <x:c r="T26" s="68" t="str">
        <x:v>原始旺衰证据</x:v>
      </x:c>
      <x:c r="U26" s="82" t="str">
        <x:v>增强</x:v>
      </x:c>
      <x:c r="V26" s="82" t="str">
        <x:v>强</x:v>
      </x:c>
      <x:c r="W26" s="82" t="str">
        <x:v>P1_高</x:v>
      </x:c>
      <x:c r="X26" s="82" t="str">
        <x:v>辅助证据</x:v>
      </x:c>
      <x:c r="Y26" s="84" t="str">
        <x:v>得令非充分条件</x:v>
      </x:c>
      <x:c r="Z26" s="84" t="str">
        <x:v>对象得令，原始力量明显受支持；最终旺衰仍需结合得地、得势、得生及克泄耗。</x:v>
      </x:c>
      <x:c r="AA26" s="82" t="str">
        <x:v>较高</x:v>
      </x:c>
      <x:c r="AB26" s="82" t="str">
        <x:v>现代综合</x:v>
      </x:c>
      <x:c r="AC26" s="68" t="str">
        <x:v>月令决定季节气势，但不能覆盖全局根助、透干及制泄耗。</x:v>
      </x:c>
      <x:c r="AD26" s="68" t="str">
        <x:v>得令且根深、印比成势，可共同支持偏旺判断。</x:v>
      </x:c>
      <x:c r="AE26" s="90" t="str">
        <x:v>得令但无根并受强泄耗，不应机械判旺。</x:v>
      </x:c>
      <x:c r="AF26" s="68" t="str">
        <x:v>https://zh.wikisource.org/zh-hans/三命通會_(四庫全書本)/卷10；https://zh.wikisource.org/wiki/淵海子平</x:v>
      </x:c>
      <x:c r="AG26" s="82" t="str">
        <x:v>采用</x:v>
      </x:c>
      <x:c r="AH26" s="82" t="str">
        <x:v>初审</x:v>
      </x:c>
      <x:c r="AI26" s="87" t="n">
        <x:v>46255</x:v>
      </x:c>
    </x:row>
    <x:row r="27" ht="48" customHeight="1">
      <x:c r="A27" s="72" t="str">
        <x:f>IF(OR(C27="",D27=""),"",B27&amp;"-"&amp;UPPER(C27)&amp;"-"&amp;TEXT(D27,"0000")&amp;"-"&amp;E27)</x:f>
        <x:v>M03-PROC-0021-V1.0</x:v>
      </x:c>
      <x:c r="B27" s="74" t="str">
        <x:v>M03</x:v>
      </x:c>
      <x:c r="C27" s="74" t="str">
        <x:v>PROC</x:v>
      </x:c>
      <x:c r="D27" s="79" t="n">
        <x:v>21</x:v>
      </x:c>
      <x:c r="E27" s="74" t="str">
        <x:v>V1.0</x:v>
      </x:c>
      <x:c r="F27" s="68" t="str">
        <x:v>月令证据先入原始力量后再修正</x:v>
      </x:c>
      <x:c r="G27" s="82" t="str">
        <x:v>结构层</x:v>
      </x:c>
      <x:c r="H27" s="68" t="str">
        <x:v>五行与日主</x:v>
      </x:c>
      <x:c r="I27" s="68" t="str">
        <x:v>原始—有效分层</x:v>
      </x:c>
      <x:c r="J27" s="68" t="str">
        <x:v>已完成月令支持判断</x:v>
      </x:c>
      <x:c r="K27" s="82" t="str">
        <x:v>其他</x:v>
      </x:c>
      <x:c r="L27" s="82" t="str">
        <x:v>待定</x:v>
      </x:c>
      <x:c r="M27" s="82" t="str">
        <x:v>其他</x:v>
      </x:c>
      <x:c r="N27" s="68" t="str">
        <x:v>M02、M03基础识别已完成</x:v>
      </x:c>
      <x:c r="O27" s="68" t="str">
        <x:v>先把月令作为M07原始力量证据，再由M06/M08处理合冲、寒燥与流通</x:v>
      </x:c>
      <x:c r="P27" s="68" t="str">
        <x:v>月令本气透出、根气稳定时，有效性更容易保留</x:v>
      </x:c>
      <x:c r="Q27" s="68" t="str">
        <x:v>月支受复杂关系、寒凝燥枯或传导受阻时，有效性可能下降</x:v>
      </x:c>
      <x:c r="R27" s="90" t="str">
        <x:v>不得在M03直接把所有后续效应预先写入月令结论</x:v>
      </x:c>
      <x:c r="S27" s="68" t="str">
        <x:v>合化严格成立时需按M06/M14重算五行归属</x:v>
      </x:c>
      <x:c r="T27" s="68" t="str">
        <x:v>模块依赖</x:v>
      </x:c>
      <x:c r="U27" s="82" t="str">
        <x:v>条件性</x:v>
      </x:c>
      <x:c r="V27" s="82" t="str">
        <x:v>决定性</x:v>
      </x:c>
      <x:c r="W27" s="82" t="str">
        <x:v>P0_硬约束</x:v>
      </x:c>
      <x:c r="X27" s="82" t="str">
        <x:v>硬约束</x:v>
      </x:c>
      <x:c r="Y27" s="84" t="str">
        <x:v>原始有效分层</x:v>
      </x:c>
      <x:c r="Z27" s="84" t="str">
        <x:v>月令先生成原始支持证据；关系效应与环境修正后，才能得到有效力量。</x:v>
      </x:c>
      <x:c r="AA27" s="82" t="str">
        <x:v>确定</x:v>
      </x:c>
      <x:c r="AB27" s="82" t="str">
        <x:v>现代综合</x:v>
      </x:c>
      <x:c r="AC27" s="68" t="str">
        <x:v>本库的核心分层原则，用于防止先定旺衰再倒推关系效应。</x:v>
      </x:c>
      <x:c r="AD27" s="68" t="str">
        <x:v>寅月先记木得令，若后续寅支受作用，再在M08调整有效木力。</x:v>
      </x:c>
      <x:c r="AE27" s="90" t="str">
        <x:v>在M03看到寅月就直接把刑冲后果算入木的最终等级。</x:v>
      </x:c>
      <x:c r="AF27" s="68" t="str">
        <x:v>内部模型治理规则</x:v>
      </x:c>
      <x:c r="AG27" s="82" t="str">
        <x:v>采用</x:v>
      </x:c>
      <x:c r="AH27" s="82" t="str">
        <x:v>初审</x:v>
      </x:c>
      <x:c r="AI27" s="87" t="n">
        <x:v>46255</x:v>
      </x:c>
    </x:row>
    <x:row r="28" ht="48" customHeight="1">
      <x:c r="A28" s="72" t="str">
        <x:f>IF(OR(C28="",D28=""),"",B28&amp;"-"&amp;UPPER(C28)&amp;"-"&amp;TEXT(D28,"0000")&amp;"-"&amp;E28)</x:f>
        <x:v>M03-PROC-0022-V1.0</x:v>
      </x:c>
      <x:c r="B28" s="74" t="str">
        <x:v>M03</x:v>
      </x:c>
      <x:c r="C28" s="74" t="str">
        <x:v>PROC</x:v>
      </x:c>
      <x:c r="D28" s="79" t="n">
        <x:v>22</x:v>
      </x:c>
      <x:c r="E28" s="74" t="str">
        <x:v>V1.0</x:v>
      </x:c>
      <x:c r="F28" s="68" t="str">
        <x:v>藏干层级不换算固定百分比</x:v>
      </x:c>
      <x:c r="G28" s="82" t="str">
        <x:v>结构层</x:v>
      </x:c>
      <x:c r="H28" s="68" t="str">
        <x:v>地支藏干</x:v>
      </x:c>
      <x:c r="I28" s="68" t="str">
        <x:v>权重边界</x:v>
      </x:c>
      <x:c r="J28" s="68" t="str">
        <x:v>使用本气、中气、余气层级</x:v>
      </x:c>
      <x:c r="K28" s="82" t="str">
        <x:v>其他</x:v>
      </x:c>
      <x:c r="L28" s="82" t="str">
        <x:v>待定</x:v>
      </x:c>
      <x:c r="M28" s="82" t="str">
        <x:v>其他</x:v>
      </x:c>
      <x:c r="N28" s="68" t="str">
        <x:v>藏干层级已按M02识别</x:v>
      </x:c>
      <x:c r="O28" s="68" t="str">
        <x:v>层级只作为相对优先与根气深浅的起点</x:v>
      </x:c>
      <x:c r="P28" s="68" t="str">
        <x:v>月令、本气透出、多处呼应可增强其有效性</x:v>
      </x:c>
      <x:c r="Q28" s="68" t="str">
        <x:v>受制、被合绊、环境不适或无传导可降低其有效性</x:v>
      </x:c>
      <x:c r="R28" s="90" t="str">
        <x:v>不得把本气、中气、余气机械设为固定百分比分值并跨命局通用</x:v>
      </x:c>
      <x:c r="S28" s="68" t="str">
        <x:v>若特定流派采用分日或权重表，必须在M21登记版本与适用边界</x:v>
      </x:c>
      <x:c r="T28" s="68" t="str">
        <x:v>根气权重</x:v>
      </x:c>
      <x:c r="U28" s="82" t="str">
        <x:v>待定</x:v>
      </x:c>
      <x:c r="V28" s="82" t="str">
        <x:v>决定性</x:v>
      </x:c>
      <x:c r="W28" s="82" t="str">
        <x:v>P0_硬约束</x:v>
      </x:c>
      <x:c r="X28" s="82" t="str">
        <x:v>否决规则</x:v>
      </x:c>
      <x:c r="Y28" s="84" t="str">
        <x:v>禁用固定比例</x:v>
      </x:c>
      <x:c r="Z28" s="84" t="str">
        <x:v>本气、中气、余气表示层级，不等于跨命局恒定的数值比例；实际根力由位置、月令与后续作用修正。</x:v>
      </x:c>
      <x:c r="AA28" s="82" t="str">
        <x:v>较高</x:v>
      </x:c>
      <x:c r="AB28" s="82" t="str">
        <x:v>现代综合</x:v>
      </x:c>
      <x:c r="AC28" s="68" t="str">
        <x:v>藏干层级是分类语言，不足以独立给出统一数值。</x:v>
      </x:c>
      <x:c r="AD28" s="68" t="str">
        <x:v>同为余气根，月支透出与远支受制的有效性可以不同。</x:v>
      </x:c>
      <x:c r="AE28" s="90" t="str">
        <x:v>把所有本气固定计60%、中气30%、余气10%，再机械相加。</x:v>
      </x:c>
      <x:c r="AF28" s="68" t="str">
        <x:v>内部规则治理；争议权重转M21</x:v>
      </x:c>
      <x:c r="AG28" s="82" t="str">
        <x:v>采用</x:v>
      </x:c>
      <x:c r="AH28" s="82" t="str">
        <x:v>初审</x:v>
      </x:c>
      <x:c r="AI28" s="87" t="n">
        <x:v>46255</x:v>
      </x:c>
    </x:row>
    <x:row r="29" ht="48" customHeight="1">
      <x:c r="A29" s="72" t="str">
        <x:f>IF(OR(C29="",D29=""),"",B29&amp;"-"&amp;UPPER(C29)&amp;"-"&amp;TEXT(D29,"0000")&amp;"-"&amp;E29)</x:f>
        <x:v>M03-PROC-0023-V1.0</x:v>
      </x:c>
      <x:c r="B29" s="74" t="str">
        <x:v>M03</x:v>
      </x:c>
      <x:c r="C29" s="74" t="str">
        <x:v>PROC</x:v>
      </x:c>
      <x:c r="D29" s="79" t="n">
        <x:v>23</x:v>
      </x:c>
      <x:c r="E29" s="74" t="str">
        <x:v>V1.0</x:v>
      </x:c>
      <x:c r="F29" s="68" t="str">
        <x:v>月令支持与月支通根不得机械双计</x:v>
      </x:c>
      <x:c r="G29" s="82" t="str">
        <x:v>结构层</x:v>
      </x:c>
      <x:c r="H29" s="68" t="str">
        <x:v>日主及五行</x:v>
      </x:c>
      <x:c r="I29" s="68" t="str">
        <x:v>证据去重</x:v>
      </x:c>
      <x:c r="J29" s="68" t="str">
        <x:v>同一月支同时提供季节支持与根气</x:v>
      </x:c>
      <x:c r="K29" s="82" t="str">
        <x:v>其他</x:v>
      </x:c>
      <x:c r="L29" s="82" t="str">
        <x:v>待定</x:v>
      </x:c>
      <x:c r="M29" s="82" t="str">
        <x:v>其他</x:v>
      </x:c>
      <x:c r="N29" s="68" t="str">
        <x:v>月支主气与对象同类且支内含对象同类藏干</x:v>
      </x:c>
      <x:c r="O29" s="68" t="str">
        <x:v>分别记录“得令”和“得地”，汇总时识别二者来自同一载体</x:v>
      </x:c>
      <x:c r="P29" s="68" t="str">
        <x:v>另有其他支根、透干或同党可形成独立增量证据</x:v>
      </x:c>
      <x:c r="Q29" s="68" t="str">
        <x:v>若月支受损，两个维度可能同时受影响</x:v>
      </x:c>
      <x:c r="R29" s="90" t="str">
        <x:v>不得把同一月支的季节气势和根气按两个完全独立满额分数重复相加</x:v>
      </x:c>
      <x:c r="S29" s="68" t="str">
        <x:v>定性分析仍须同时保留得令与得地两个标签</x:v>
      </x:c>
      <x:c r="T29" s="68" t="str">
        <x:v>证据聚合</x:v>
      </x:c>
      <x:c r="U29" s="82" t="str">
        <x:v>条件性</x:v>
      </x:c>
      <x:c r="V29" s="82" t="str">
        <x:v>强</x:v>
      </x:c>
      <x:c r="W29" s="82" t="str">
        <x:v>P1_高</x:v>
      </x:c>
      <x:c r="X29" s="82" t="str">
        <x:v>否决规则</x:v>
      </x:c>
      <x:c r="Y29" s="84" t="str">
        <x:v>月令根气去重</x:v>
      </x:c>
      <x:c r="Z29" s="84" t="str">
        <x:v>同一月支可以同时构成得令与得地，但总量评估应识别证据共源，避免机械双重计分。</x:v>
      </x:c>
      <x:c r="AA29" s="82" t="str">
        <x:v>较高</x:v>
      </x:c>
      <x:c r="AB29" s="82" t="str">
        <x:v>现代综合</x:v>
      </x:c>
      <x:c r="AC29" s="68" t="str">
        <x:v>维度可分、载体共源；既不能合并成一个概念，也不能无上限重复放大。</x:v>
      </x:c>
      <x:c r="AD29" s="68" t="str">
        <x:v>甲日寅月可记得令且有甲本气根，但总量汇总时注明均来自月支寅。</x:v>
      </x:c>
      <x:c r="AE29" s="90" t="str">
        <x:v>把寅月木得令计一满分，再把寅中甲根重复计另一满分，直接推出极旺。</x:v>
      </x:c>
      <x:c r="AF29" s="68" t="str">
        <x:v>内部模型治理规则</x:v>
      </x:c>
      <x:c r="AG29" s="82" t="str">
        <x:v>采用</x:v>
      </x:c>
      <x:c r="AH29" s="82" t="str">
        <x:v>初审</x:v>
      </x:c>
      <x:c r="AI29" s="87" t="n">
        <x:v>46255</x:v>
      </x:c>
    </x:row>
    <x:row r="30" ht="48" customHeight="1">
      <x:c r="A30" s="72" t="str">
        <x:f>IF(OR(C30="",D30=""),"",B30&amp;"-"&amp;UPPER(C30)&amp;"-"&amp;TEXT(D30,"0000")&amp;"-"&amp;E30)</x:f>
        <x:v>M03-TGRT-0024-V1.0</x:v>
      </x:c>
      <x:c r="B30" s="74" t="str">
        <x:v>M03</x:v>
      </x:c>
      <x:c r="C30" s="74" t="str">
        <x:v>TGRT</x:v>
      </x:c>
      <x:c r="D30" s="79" t="n">
        <x:v>24</x:v>
      </x:c>
      <x:c r="E30" s="74" t="str">
        <x:v>V1.0</x:v>
      </x:c>
      <x:c r="F30" s="68" t="str">
        <x:v>甲干直接通根支位</x:v>
      </x:c>
      <x:c r="G30" s="82" t="str">
        <x:v>结构层</x:v>
      </x:c>
      <x:c r="H30" s="68" t="str">
        <x:v>天干甲</x:v>
      </x:c>
      <x:c r="I30" s="68" t="str">
        <x:v>直接通根映射</x:v>
      </x:c>
      <x:c r="J30" s="68"/>
      <x:c r="K30" s="82" t="str">
        <x:v>其他</x:v>
      </x:c>
      <x:c r="L30" s="82" t="str">
        <x:v>待定</x:v>
      </x:c>
      <x:c r="M30" s="82" t="str">
        <x:v>其他</x:v>
      </x:c>
      <x:c r="N30" s="68" t="str">
        <x:v>天干甲出现在原局或待分析对象中</x:v>
      </x:c>
      <x:c r="O30" s="68" t="str">
        <x:v>至少一支的标准藏干中直接出现甲</x:v>
      </x:c>
      <x:c r="P30" s="68" t="str">
        <x:v>对应支为月支、处于本气位、同类得令或多处出现</x:v>
      </x:c>
      <x:c r="Q30" s="68" t="str">
        <x:v>仅处中余气、根支受强烈作用、气候或流通受阻</x:v>
      </x:c>
      <x:c r="R30" s="90" t="str">
        <x:v>四支均不藏甲时，不得称甲有直接根</x:v>
      </x:c>
      <x:c r="S30" s="68" t="str">
        <x:v>同五行异阴阳藏干可构成同类根，但不等同直接根；合化成立后须重算。</x:v>
      </x:c>
      <x:c r="T30" s="68" t="str">
        <x:v>甲干根气存在性</x:v>
      </x:c>
      <x:c r="U30" s="82" t="str">
        <x:v>增强</x:v>
      </x:c>
      <x:c r="V30" s="82" t="str">
        <x:v>待定</x:v>
      </x:c>
      <x:c r="W30" s="82" t="str">
        <x:v>P0_硬约束</x:v>
      </x:c>
      <x:c r="X30" s="82" t="str">
        <x:v>硬约束</x:v>
      </x:c>
      <x:c r="Y30" s="84" t="str">
        <x:v>甲干直接通根</x:v>
      </x:c>
      <x:c r="Z30" s="84" t="str">
        <x:v>天干甲在寅（甲本气）、亥（甲中气）可判为直接通根；具体根力再按本气、中气、余气、位置和后续作用分级。</x:v>
      </x:c>
      <x:c r="AA30" s="82" t="str">
        <x:v>确定</x:v>
      </x:c>
      <x:c r="AB30" s="82" t="str">
        <x:v>跨流派共识</x:v>
      </x:c>
      <x:c r="AC30" s="68" t="str">
        <x:v>依据M02标准藏干表，直接通根要求支内出现同一干。</x:v>
      </x:c>
      <x:c r="AD30" s="68" t="str">
        <x:v>命局见甲透干且地支含甲，可先记直接根，再判根力。</x:v>
      </x:c>
      <x:c r="AE30" s="90" t="str">
        <x:v>若只见同五行异阴阳藏干，应记同类根，不应误写为甲的直接根。</x:v>
      </x:c>
      <x:c r="AF30" s="68" t="str">
        <x:v>https://zh.wikisource.org/wiki/三命通會；https://zh.wikisource.org/wiki/淵海子平</x:v>
      </x:c>
      <x:c r="AG30" s="82" t="str">
        <x:v>采用</x:v>
      </x:c>
      <x:c r="AH30" s="82" t="str">
        <x:v>初审</x:v>
      </x:c>
      <x:c r="AI30" s="87" t="n">
        <x:v>46255</x:v>
      </x:c>
    </x:row>
    <x:row r="31" ht="48" customHeight="1">
      <x:c r="A31" s="72" t="str">
        <x:f>IF(OR(C31="",D31=""),"",B31&amp;"-"&amp;UPPER(C31)&amp;"-"&amp;TEXT(D31,"0000")&amp;"-"&amp;E31)</x:f>
        <x:v>M03-TGRT-0025-V1.0</x:v>
      </x:c>
      <x:c r="B31" s="74" t="str">
        <x:v>M03</x:v>
      </x:c>
      <x:c r="C31" s="74" t="str">
        <x:v>TGRT</x:v>
      </x:c>
      <x:c r="D31" s="79" t="n">
        <x:v>25</x:v>
      </x:c>
      <x:c r="E31" s="74" t="str">
        <x:v>V1.0</x:v>
      </x:c>
      <x:c r="F31" s="68" t="str">
        <x:v>乙干直接通根支位</x:v>
      </x:c>
      <x:c r="G31" s="82" t="str">
        <x:v>结构层</x:v>
      </x:c>
      <x:c r="H31" s="68" t="str">
        <x:v>天干乙</x:v>
      </x:c>
      <x:c r="I31" s="68" t="str">
        <x:v>直接通根映射</x:v>
      </x:c>
      <x:c r="J31" s="68"/>
      <x:c r="K31" s="82" t="str">
        <x:v>其他</x:v>
      </x:c>
      <x:c r="L31" s="82" t="str">
        <x:v>待定</x:v>
      </x:c>
      <x:c r="M31" s="82" t="str">
        <x:v>其他</x:v>
      </x:c>
      <x:c r="N31" s="68" t="str">
        <x:v>天干乙出现在原局或待分析对象中</x:v>
      </x:c>
      <x:c r="O31" s="68" t="str">
        <x:v>至少一支的标准藏干中直接出现乙</x:v>
      </x:c>
      <x:c r="P31" s="68" t="str">
        <x:v>对应支为月支、处于本气位、同类得令或多处出现</x:v>
      </x:c>
      <x:c r="Q31" s="68" t="str">
        <x:v>仅处中余气、根支受强烈作用、气候或流通受阻</x:v>
      </x:c>
      <x:c r="R31" s="90" t="str">
        <x:v>四支均不藏乙时，不得称乙有直接根</x:v>
      </x:c>
      <x:c r="S31" s="68" t="str">
        <x:v>同五行异阴阳藏干可构成同类根，但不等同直接根；合化成立后须重算。</x:v>
      </x:c>
      <x:c r="T31" s="68" t="str">
        <x:v>乙干根气存在性</x:v>
      </x:c>
      <x:c r="U31" s="82" t="str">
        <x:v>增强</x:v>
      </x:c>
      <x:c r="V31" s="82" t="str">
        <x:v>待定</x:v>
      </x:c>
      <x:c r="W31" s="82" t="str">
        <x:v>P0_硬约束</x:v>
      </x:c>
      <x:c r="X31" s="82" t="str">
        <x:v>硬约束</x:v>
      </x:c>
      <x:c r="Y31" s="84" t="str">
        <x:v>乙干直接通根</x:v>
      </x:c>
      <x:c r="Z31" s="84" t="str">
        <x:v>天干乙在卯（乙本气）、辰（乙中气）、未（乙余气）可判为直接通根；具体根力再按本气、中气、余气、位置和后续作用分级。</x:v>
      </x:c>
      <x:c r="AA31" s="82" t="str">
        <x:v>确定</x:v>
      </x:c>
      <x:c r="AB31" s="82" t="str">
        <x:v>跨流派共识</x:v>
      </x:c>
      <x:c r="AC31" s="68" t="str">
        <x:v>依据M02标准藏干表，直接通根要求支内出现同一干。</x:v>
      </x:c>
      <x:c r="AD31" s="68" t="str">
        <x:v>命局见乙透干且地支含乙，可先记直接根，再判根力。</x:v>
      </x:c>
      <x:c r="AE31" s="90" t="str">
        <x:v>若只见同五行异阴阳藏干，应记同类根，不应误写为乙的直接根。</x:v>
      </x:c>
      <x:c r="AF31" s="68" t="str">
        <x:v>https://zh.wikisource.org/wiki/三命通會；https://zh.wikisource.org/wiki/淵海子平</x:v>
      </x:c>
      <x:c r="AG31" s="82" t="str">
        <x:v>采用</x:v>
      </x:c>
      <x:c r="AH31" s="82" t="str">
        <x:v>初审</x:v>
      </x:c>
      <x:c r="AI31" s="87" t="n">
        <x:v>46255</x:v>
      </x:c>
    </x:row>
    <x:row r="32" ht="48" customHeight="1">
      <x:c r="A32" s="72" t="str">
        <x:f>IF(OR(C32="",D32=""),"",B32&amp;"-"&amp;UPPER(C32)&amp;"-"&amp;TEXT(D32,"0000")&amp;"-"&amp;E32)</x:f>
        <x:v>M03-TGRT-0026-V1.0</x:v>
      </x:c>
      <x:c r="B32" s="74" t="str">
        <x:v>M03</x:v>
      </x:c>
      <x:c r="C32" s="74" t="str">
        <x:v>TGRT</x:v>
      </x:c>
      <x:c r="D32" s="79" t="n">
        <x:v>26</x:v>
      </x:c>
      <x:c r="E32" s="74" t="str">
        <x:v>V1.0</x:v>
      </x:c>
      <x:c r="F32" s="68" t="str">
        <x:v>丙干直接通根支位</x:v>
      </x:c>
      <x:c r="G32" s="82" t="str">
        <x:v>结构层</x:v>
      </x:c>
      <x:c r="H32" s="68" t="str">
        <x:v>天干丙</x:v>
      </x:c>
      <x:c r="I32" s="68" t="str">
        <x:v>直接通根映射</x:v>
      </x:c>
      <x:c r="J32" s="68"/>
      <x:c r="K32" s="82" t="str">
        <x:v>其他</x:v>
      </x:c>
      <x:c r="L32" s="82" t="str">
        <x:v>待定</x:v>
      </x:c>
      <x:c r="M32" s="82" t="str">
        <x:v>其他</x:v>
      </x:c>
      <x:c r="N32" s="68" t="str">
        <x:v>天干丙出现在原局或待分析对象中</x:v>
      </x:c>
      <x:c r="O32" s="68" t="str">
        <x:v>至少一支的标准藏干中直接出现丙</x:v>
      </x:c>
      <x:c r="P32" s="68" t="str">
        <x:v>对应支为月支、处于本气位、同类得令或多处出现</x:v>
      </x:c>
      <x:c r="Q32" s="68" t="str">
        <x:v>仅处中余气、根支受强烈作用、气候或流通受阻</x:v>
      </x:c>
      <x:c r="R32" s="90" t="str">
        <x:v>四支均不藏丙时，不得称丙有直接根</x:v>
      </x:c>
      <x:c r="S32" s="68" t="str">
        <x:v>同五行异阴阳藏干可构成同类根，但不等同直接根；合化成立后须重算。</x:v>
      </x:c>
      <x:c r="T32" s="68" t="str">
        <x:v>丙干根气存在性</x:v>
      </x:c>
      <x:c r="U32" s="82" t="str">
        <x:v>增强</x:v>
      </x:c>
      <x:c r="V32" s="82" t="str">
        <x:v>待定</x:v>
      </x:c>
      <x:c r="W32" s="82" t="str">
        <x:v>P0_硬约束</x:v>
      </x:c>
      <x:c r="X32" s="82" t="str">
        <x:v>硬约束</x:v>
      </x:c>
      <x:c r="Y32" s="84" t="str">
        <x:v>丙干直接通根</x:v>
      </x:c>
      <x:c r="Z32" s="84" t="str">
        <x:v>天干丙在巳（丙本气）、寅（丙中气）可判为直接通根；具体根力再按本气、中气、余气、位置和后续作用分级。</x:v>
      </x:c>
      <x:c r="AA32" s="82" t="str">
        <x:v>确定</x:v>
      </x:c>
      <x:c r="AB32" s="82" t="str">
        <x:v>跨流派共识</x:v>
      </x:c>
      <x:c r="AC32" s="68" t="str">
        <x:v>依据M02标准藏干表，直接通根要求支内出现同一干。</x:v>
      </x:c>
      <x:c r="AD32" s="68" t="str">
        <x:v>命局见丙透干且地支含丙，可先记直接根，再判根力。</x:v>
      </x:c>
      <x:c r="AE32" s="90" t="str">
        <x:v>若只见同五行异阴阳藏干，应记同类根，不应误写为丙的直接根。</x:v>
      </x:c>
      <x:c r="AF32" s="68" t="str">
        <x:v>https://zh.wikisource.org/wiki/三命通會；https://zh.wikisource.org/wiki/淵海子平</x:v>
      </x:c>
      <x:c r="AG32" s="82" t="str">
        <x:v>采用</x:v>
      </x:c>
      <x:c r="AH32" s="82" t="str">
        <x:v>初审</x:v>
      </x:c>
      <x:c r="AI32" s="87" t="n">
        <x:v>46255</x:v>
      </x:c>
    </x:row>
    <x:row r="33" ht="48" customHeight="1">
      <x:c r="A33" s="72" t="str">
        <x:f>IF(OR(C33="",D33=""),"",B33&amp;"-"&amp;UPPER(C33)&amp;"-"&amp;TEXT(D33,"0000")&amp;"-"&amp;E33)</x:f>
        <x:v>M03-TGRT-0027-V1.0</x:v>
      </x:c>
      <x:c r="B33" s="74" t="str">
        <x:v>M03</x:v>
      </x:c>
      <x:c r="C33" s="74" t="str">
        <x:v>TGRT</x:v>
      </x:c>
      <x:c r="D33" s="79" t="n">
        <x:v>27</x:v>
      </x:c>
      <x:c r="E33" s="74" t="str">
        <x:v>V1.0</x:v>
      </x:c>
      <x:c r="F33" s="68" t="str">
        <x:v>丁干直接通根支位</x:v>
      </x:c>
      <x:c r="G33" s="82" t="str">
        <x:v>结构层</x:v>
      </x:c>
      <x:c r="H33" s="68" t="str">
        <x:v>天干丁</x:v>
      </x:c>
      <x:c r="I33" s="68" t="str">
        <x:v>直接通根映射</x:v>
      </x:c>
      <x:c r="J33" s="68"/>
      <x:c r="K33" s="82" t="str">
        <x:v>其他</x:v>
      </x:c>
      <x:c r="L33" s="82" t="str">
        <x:v>待定</x:v>
      </x:c>
      <x:c r="M33" s="82" t="str">
        <x:v>其他</x:v>
      </x:c>
      <x:c r="N33" s="68" t="str">
        <x:v>天干丁出现在原局或待分析对象中</x:v>
      </x:c>
      <x:c r="O33" s="68" t="str">
        <x:v>至少一支的标准藏干中直接出现丁</x:v>
      </x:c>
      <x:c r="P33" s="68" t="str">
        <x:v>对应支为月支、处于本气位、同类得令或多处出现</x:v>
      </x:c>
      <x:c r="Q33" s="68" t="str">
        <x:v>仅处中余气、根支受强烈作用、气候或流通受阻</x:v>
      </x:c>
      <x:c r="R33" s="90" t="str">
        <x:v>四支均不藏丁时，不得称丁有直接根</x:v>
      </x:c>
      <x:c r="S33" s="68" t="str">
        <x:v>同五行异阴阳藏干可构成同类根，但不等同直接根；合化成立后须重算。</x:v>
      </x:c>
      <x:c r="T33" s="68" t="str">
        <x:v>丁干根气存在性</x:v>
      </x:c>
      <x:c r="U33" s="82" t="str">
        <x:v>增强</x:v>
      </x:c>
      <x:c r="V33" s="82" t="str">
        <x:v>待定</x:v>
      </x:c>
      <x:c r="W33" s="82" t="str">
        <x:v>P0_硬约束</x:v>
      </x:c>
      <x:c r="X33" s="82" t="str">
        <x:v>硬约束</x:v>
      </x:c>
      <x:c r="Y33" s="84" t="str">
        <x:v>丁干直接通根</x:v>
      </x:c>
      <x:c r="Z33" s="84" t="str">
        <x:v>天干丁在午（丁本气）、未（丁中气）、戌（丁余气）可判为直接通根；具体根力再按本气、中气、余气、位置和后续作用分级。</x:v>
      </x:c>
      <x:c r="AA33" s="82" t="str">
        <x:v>确定</x:v>
      </x:c>
      <x:c r="AB33" s="82" t="str">
        <x:v>跨流派共识</x:v>
      </x:c>
      <x:c r="AC33" s="68" t="str">
        <x:v>依据M02标准藏干表，直接通根要求支内出现同一干。</x:v>
      </x:c>
      <x:c r="AD33" s="68" t="str">
        <x:v>命局见丁透干且地支含丁，可先记直接根，再判根力。</x:v>
      </x:c>
      <x:c r="AE33" s="90" t="str">
        <x:v>若只见同五行异阴阳藏干，应记同类根，不应误写为丁的直接根。</x:v>
      </x:c>
      <x:c r="AF33" s="68" t="str">
        <x:v>https://zh.wikisource.org/wiki/三命通會；https://zh.wikisource.org/wiki/淵海子平</x:v>
      </x:c>
      <x:c r="AG33" s="82" t="str">
        <x:v>采用</x:v>
      </x:c>
      <x:c r="AH33" s="82" t="str">
        <x:v>初审</x:v>
      </x:c>
      <x:c r="AI33" s="87" t="n">
        <x:v>46255</x:v>
      </x:c>
    </x:row>
    <x:row r="34" ht="48" customHeight="1">
      <x:c r="A34" s="72" t="str">
        <x:f>IF(OR(C34="",D34=""),"",B34&amp;"-"&amp;UPPER(C34)&amp;"-"&amp;TEXT(D34,"0000")&amp;"-"&amp;E34)</x:f>
        <x:v>M03-TGRT-0028-V1.0</x:v>
      </x:c>
      <x:c r="B34" s="74" t="str">
        <x:v>M03</x:v>
      </x:c>
      <x:c r="C34" s="74" t="str">
        <x:v>TGRT</x:v>
      </x:c>
      <x:c r="D34" s="79" t="n">
        <x:v>28</x:v>
      </x:c>
      <x:c r="E34" s="74" t="str">
        <x:v>V1.0</x:v>
      </x:c>
      <x:c r="F34" s="68" t="str">
        <x:v>戊干直接通根支位</x:v>
      </x:c>
      <x:c r="G34" s="82" t="str">
        <x:v>结构层</x:v>
      </x:c>
      <x:c r="H34" s="68" t="str">
        <x:v>天干戊</x:v>
      </x:c>
      <x:c r="I34" s="68" t="str">
        <x:v>直接通根映射</x:v>
      </x:c>
      <x:c r="J34" s="68"/>
      <x:c r="K34" s="82" t="str">
        <x:v>其他</x:v>
      </x:c>
      <x:c r="L34" s="82" t="str">
        <x:v>待定</x:v>
      </x:c>
      <x:c r="M34" s="82" t="str">
        <x:v>其他</x:v>
      </x:c>
      <x:c r="N34" s="68" t="str">
        <x:v>天干戊出现在原局或待分析对象中</x:v>
      </x:c>
      <x:c r="O34" s="68" t="str">
        <x:v>至少一支的标准藏干中直接出现戊</x:v>
      </x:c>
      <x:c r="P34" s="68" t="str">
        <x:v>对应支为月支、处于本气位、同类得令或多处出现</x:v>
      </x:c>
      <x:c r="Q34" s="68" t="str">
        <x:v>仅处中余气、根支受强烈作用、气候或流通受阻</x:v>
      </x:c>
      <x:c r="R34" s="90" t="str">
        <x:v>四支均不藏戊时，不得称戊有直接根</x:v>
      </x:c>
      <x:c r="S34" s="68" t="str">
        <x:v>同五行异阴阳藏干可构成同类根，但不等同直接根；合化成立后须重算。</x:v>
      </x:c>
      <x:c r="T34" s="68" t="str">
        <x:v>戊干根气存在性</x:v>
      </x:c>
      <x:c r="U34" s="82" t="str">
        <x:v>增强</x:v>
      </x:c>
      <x:c r="V34" s="82" t="str">
        <x:v>待定</x:v>
      </x:c>
      <x:c r="W34" s="82" t="str">
        <x:v>P0_硬约束</x:v>
      </x:c>
      <x:c r="X34" s="82" t="str">
        <x:v>硬约束</x:v>
      </x:c>
      <x:c r="Y34" s="84" t="str">
        <x:v>戊干直接通根</x:v>
      </x:c>
      <x:c r="Z34" s="84" t="str">
        <x:v>天干戊在辰、戌（戊本气），巳（戊中气），寅、申（戊余气）可判为直接通根；具体根力再按本气、中气、余气、位置和后续作用分级。</x:v>
      </x:c>
      <x:c r="AA34" s="82" t="str">
        <x:v>确定</x:v>
      </x:c>
      <x:c r="AB34" s="82" t="str">
        <x:v>跨流派共识</x:v>
      </x:c>
      <x:c r="AC34" s="68" t="str">
        <x:v>依据M02标准藏干表，直接通根要求支内出现同一干。</x:v>
      </x:c>
      <x:c r="AD34" s="68" t="str">
        <x:v>命局见戊透干且地支含戊，可先记直接根，再判根力。</x:v>
      </x:c>
      <x:c r="AE34" s="90" t="str">
        <x:v>若只见同五行异阴阳藏干，应记同类根，不应误写为戊的直接根。</x:v>
      </x:c>
      <x:c r="AF34" s="68" t="str">
        <x:v>https://zh.wikisource.org/wiki/三命通會；https://zh.wikisource.org/wiki/淵海子平</x:v>
      </x:c>
      <x:c r="AG34" s="82" t="str">
        <x:v>采用</x:v>
      </x:c>
      <x:c r="AH34" s="82" t="str">
        <x:v>初审</x:v>
      </x:c>
      <x:c r="AI34" s="87" t="n">
        <x:v>46255</x:v>
      </x:c>
    </x:row>
    <x:row r="35" ht="48" customHeight="1">
      <x:c r="A35" s="72" t="str">
        <x:f>IF(OR(C35="",D35=""),"",B35&amp;"-"&amp;UPPER(C35)&amp;"-"&amp;TEXT(D35,"0000")&amp;"-"&amp;E35)</x:f>
        <x:v>M03-TGRT-0029-V1.0</x:v>
      </x:c>
      <x:c r="B35" s="74" t="str">
        <x:v>M03</x:v>
      </x:c>
      <x:c r="C35" s="74" t="str">
        <x:v>TGRT</x:v>
      </x:c>
      <x:c r="D35" s="79" t="n">
        <x:v>29</x:v>
      </x:c>
      <x:c r="E35" s="74" t="str">
        <x:v>V1.0</x:v>
      </x:c>
      <x:c r="F35" s="68" t="str">
        <x:v>己干直接通根支位</x:v>
      </x:c>
      <x:c r="G35" s="82" t="str">
        <x:v>结构层</x:v>
      </x:c>
      <x:c r="H35" s="68" t="str">
        <x:v>天干己</x:v>
      </x:c>
      <x:c r="I35" s="68" t="str">
        <x:v>直接通根映射</x:v>
      </x:c>
      <x:c r="J35" s="68"/>
      <x:c r="K35" s="82" t="str">
        <x:v>其他</x:v>
      </x:c>
      <x:c r="L35" s="82" t="str">
        <x:v>待定</x:v>
      </x:c>
      <x:c r="M35" s="82" t="str">
        <x:v>其他</x:v>
      </x:c>
      <x:c r="N35" s="68" t="str">
        <x:v>天干己出现在原局或待分析对象中</x:v>
      </x:c>
      <x:c r="O35" s="68" t="str">
        <x:v>至少一支的标准藏干中直接出现己</x:v>
      </x:c>
      <x:c r="P35" s="68" t="str">
        <x:v>对应支为月支、处于本气位、同类得令或多处出现</x:v>
      </x:c>
      <x:c r="Q35" s="68" t="str">
        <x:v>仅处中余气、根支受强烈作用、气候或流通受阻</x:v>
      </x:c>
      <x:c r="R35" s="90" t="str">
        <x:v>四支均不藏己时，不得称己有直接根</x:v>
      </x:c>
      <x:c r="S35" s="68" t="str">
        <x:v>同五行异阴阳藏干可构成同类根，但不等同直接根；合化成立后须重算。</x:v>
      </x:c>
      <x:c r="T35" s="68" t="str">
        <x:v>己干根气存在性</x:v>
      </x:c>
      <x:c r="U35" s="82" t="str">
        <x:v>增强</x:v>
      </x:c>
      <x:c r="V35" s="82" t="str">
        <x:v>待定</x:v>
      </x:c>
      <x:c r="W35" s="82" t="str">
        <x:v>P0_硬约束</x:v>
      </x:c>
      <x:c r="X35" s="82" t="str">
        <x:v>硬约束</x:v>
      </x:c>
      <x:c r="Y35" s="84" t="str">
        <x:v>己干直接通根</x:v>
      </x:c>
      <x:c r="Z35" s="84" t="str">
        <x:v>天干己在丑、未（己本气），午（己中气）可判为直接通根；具体根力再按本气、中气、余气、位置和后续作用分级。</x:v>
      </x:c>
      <x:c r="AA35" s="82" t="str">
        <x:v>确定</x:v>
      </x:c>
      <x:c r="AB35" s="82" t="str">
        <x:v>跨流派共识</x:v>
      </x:c>
      <x:c r="AC35" s="68" t="str">
        <x:v>依据M02标准藏干表，直接通根要求支内出现同一干。</x:v>
      </x:c>
      <x:c r="AD35" s="68" t="str">
        <x:v>命局见己透干且地支含己，可先记直接根，再判根力。</x:v>
      </x:c>
      <x:c r="AE35" s="90" t="str">
        <x:v>若只见同五行异阴阳藏干，应记同类根，不应误写为己的直接根。</x:v>
      </x:c>
      <x:c r="AF35" s="68" t="str">
        <x:v>https://zh.wikisource.org/wiki/三命通會；https://zh.wikisource.org/wiki/淵海子平</x:v>
      </x:c>
      <x:c r="AG35" s="82" t="str">
        <x:v>采用</x:v>
      </x:c>
      <x:c r="AH35" s="82" t="str">
        <x:v>初审</x:v>
      </x:c>
      <x:c r="AI35" s="87" t="n">
        <x:v>46255</x:v>
      </x:c>
    </x:row>
    <x:row r="36" ht="48" customHeight="1">
      <x:c r="A36" s="72" t="str">
        <x:f>IF(OR(C36="",D36=""),"",B36&amp;"-"&amp;UPPER(C36)&amp;"-"&amp;TEXT(D36,"0000")&amp;"-"&amp;E36)</x:f>
        <x:v>M03-TGRT-0030-V1.0</x:v>
      </x:c>
      <x:c r="B36" s="74" t="str">
        <x:v>M03</x:v>
      </x:c>
      <x:c r="C36" s="74" t="str">
        <x:v>TGRT</x:v>
      </x:c>
      <x:c r="D36" s="79" t="n">
        <x:v>30</x:v>
      </x:c>
      <x:c r="E36" s="74" t="str">
        <x:v>V1.0</x:v>
      </x:c>
      <x:c r="F36" s="68" t="str">
        <x:v>庚干直接通根支位</x:v>
      </x:c>
      <x:c r="G36" s="82" t="str">
        <x:v>结构层</x:v>
      </x:c>
      <x:c r="H36" s="68" t="str">
        <x:v>天干庚</x:v>
      </x:c>
      <x:c r="I36" s="68" t="str">
        <x:v>直接通根映射</x:v>
      </x:c>
      <x:c r="J36" s="68"/>
      <x:c r="K36" s="82" t="str">
        <x:v>其他</x:v>
      </x:c>
      <x:c r="L36" s="82" t="str">
        <x:v>待定</x:v>
      </x:c>
      <x:c r="M36" s="82" t="str">
        <x:v>其他</x:v>
      </x:c>
      <x:c r="N36" s="68" t="str">
        <x:v>天干庚出现在原局或待分析对象中</x:v>
      </x:c>
      <x:c r="O36" s="68" t="str">
        <x:v>至少一支的标准藏干中直接出现庚</x:v>
      </x:c>
      <x:c r="P36" s="68" t="str">
        <x:v>对应支为月支、处于本气位、同类得令或多处出现</x:v>
      </x:c>
      <x:c r="Q36" s="68" t="str">
        <x:v>仅处中余气、根支受强烈作用、气候或流通受阻</x:v>
      </x:c>
      <x:c r="R36" s="90" t="str">
        <x:v>四支均不藏庚时，不得称庚有直接根</x:v>
      </x:c>
      <x:c r="S36" s="68" t="str">
        <x:v>同五行异阴阳藏干可构成同类根，但不等同直接根；合化成立后须重算。</x:v>
      </x:c>
      <x:c r="T36" s="68" t="str">
        <x:v>庚干根气存在性</x:v>
      </x:c>
      <x:c r="U36" s="82" t="str">
        <x:v>增强</x:v>
      </x:c>
      <x:c r="V36" s="82" t="str">
        <x:v>待定</x:v>
      </x:c>
      <x:c r="W36" s="82" t="str">
        <x:v>P0_硬约束</x:v>
      </x:c>
      <x:c r="X36" s="82" t="str">
        <x:v>硬约束</x:v>
      </x:c>
      <x:c r="Y36" s="84" t="str">
        <x:v>庚干直接通根</x:v>
      </x:c>
      <x:c r="Z36" s="84" t="str">
        <x:v>天干庚在申（庚本气）、巳（庚余气）可判为直接通根；具体根力再按本气、中气、余气、位置和后续作用分级。</x:v>
      </x:c>
      <x:c r="AA36" s="82" t="str">
        <x:v>确定</x:v>
      </x:c>
      <x:c r="AB36" s="82" t="str">
        <x:v>跨流派共识</x:v>
      </x:c>
      <x:c r="AC36" s="68" t="str">
        <x:v>依据M02标准藏干表，直接通根要求支内出现同一干。</x:v>
      </x:c>
      <x:c r="AD36" s="68" t="str">
        <x:v>命局见庚透干且地支含庚，可先记直接根，再判根力。</x:v>
      </x:c>
      <x:c r="AE36" s="90" t="str">
        <x:v>若只见同五行异阴阳藏干，应记同类根，不应误写为庚的直接根。</x:v>
      </x:c>
      <x:c r="AF36" s="68" t="str">
        <x:v>https://zh.wikisource.org/wiki/三命通會；https://zh.wikisource.org/wiki/淵海子平</x:v>
      </x:c>
      <x:c r="AG36" s="82" t="str">
        <x:v>采用</x:v>
      </x:c>
      <x:c r="AH36" s="82" t="str">
        <x:v>初审</x:v>
      </x:c>
      <x:c r="AI36" s="87" t="n">
        <x:v>46255</x:v>
      </x:c>
    </x:row>
    <x:row r="37" ht="48" customHeight="1">
      <x:c r="A37" s="72" t="str">
        <x:f>IF(OR(C37="",D37=""),"",B37&amp;"-"&amp;UPPER(C37)&amp;"-"&amp;TEXT(D37,"0000")&amp;"-"&amp;E37)</x:f>
        <x:v>M03-TGRT-0031-V1.0</x:v>
      </x:c>
      <x:c r="B37" s="74" t="str">
        <x:v>M03</x:v>
      </x:c>
      <x:c r="C37" s="74" t="str">
        <x:v>TGRT</x:v>
      </x:c>
      <x:c r="D37" s="79" t="n">
        <x:v>31</x:v>
      </x:c>
      <x:c r="E37" s="74" t="str">
        <x:v>V1.0</x:v>
      </x:c>
      <x:c r="F37" s="68" t="str">
        <x:v>辛干直接通根支位</x:v>
      </x:c>
      <x:c r="G37" s="82" t="str">
        <x:v>结构层</x:v>
      </x:c>
      <x:c r="H37" s="68" t="str">
        <x:v>天干辛</x:v>
      </x:c>
      <x:c r="I37" s="68" t="str">
        <x:v>直接通根映射</x:v>
      </x:c>
      <x:c r="J37" s="68"/>
      <x:c r="K37" s="82" t="str">
        <x:v>其他</x:v>
      </x:c>
      <x:c r="L37" s="82" t="str">
        <x:v>待定</x:v>
      </x:c>
      <x:c r="M37" s="82" t="str">
        <x:v>其他</x:v>
      </x:c>
      <x:c r="N37" s="68" t="str">
        <x:v>天干辛出现在原局或待分析对象中</x:v>
      </x:c>
      <x:c r="O37" s="68" t="str">
        <x:v>至少一支的标准藏干中直接出现辛</x:v>
      </x:c>
      <x:c r="P37" s="68" t="str">
        <x:v>对应支为月支、处于本气位、同类得令或多处出现</x:v>
      </x:c>
      <x:c r="Q37" s="68" t="str">
        <x:v>仅处中余气、根支受强烈作用、气候或流通受阻</x:v>
      </x:c>
      <x:c r="R37" s="90" t="str">
        <x:v>四支均不藏辛时，不得称辛有直接根</x:v>
      </x:c>
      <x:c r="S37" s="68" t="str">
        <x:v>同五行异阴阳藏干可构成同类根，但不等同直接根；合化成立后须重算。</x:v>
      </x:c>
      <x:c r="T37" s="68" t="str">
        <x:v>辛干根气存在性</x:v>
      </x:c>
      <x:c r="U37" s="82" t="str">
        <x:v>增强</x:v>
      </x:c>
      <x:c r="V37" s="82" t="str">
        <x:v>待定</x:v>
      </x:c>
      <x:c r="W37" s="82" t="str">
        <x:v>P0_硬约束</x:v>
      </x:c>
      <x:c r="X37" s="82" t="str">
        <x:v>硬约束</x:v>
      </x:c>
      <x:c r="Y37" s="84" t="str">
        <x:v>辛干直接通根</x:v>
      </x:c>
      <x:c r="Z37" s="84" t="str">
        <x:v>天干辛在酉（辛本气）、戌（辛中气）、丑（辛余气）可判为直接通根；具体根力再按本气、中气、余气、位置和后续作用分级。</x:v>
      </x:c>
      <x:c r="AA37" s="82" t="str">
        <x:v>确定</x:v>
      </x:c>
      <x:c r="AB37" s="82" t="str">
        <x:v>跨流派共识</x:v>
      </x:c>
      <x:c r="AC37" s="68" t="str">
        <x:v>依据M02标准藏干表，直接通根要求支内出现同一干。</x:v>
      </x:c>
      <x:c r="AD37" s="68" t="str">
        <x:v>命局见辛透干且地支含辛，可先记直接根，再判根力。</x:v>
      </x:c>
      <x:c r="AE37" s="90" t="str">
        <x:v>若只见同五行异阴阳藏干，应记同类根，不应误写为辛的直接根。</x:v>
      </x:c>
      <x:c r="AF37" s="68" t="str">
        <x:v>https://zh.wikisource.org/wiki/三命通會；https://zh.wikisource.org/wiki/淵海子平</x:v>
      </x:c>
      <x:c r="AG37" s="82" t="str">
        <x:v>采用</x:v>
      </x:c>
      <x:c r="AH37" s="82" t="str">
        <x:v>初审</x:v>
      </x:c>
      <x:c r="AI37" s="87" t="n">
        <x:v>46255</x:v>
      </x:c>
    </x:row>
    <x:row r="38" ht="48" customHeight="1">
      <x:c r="A38" s="72" t="str">
        <x:f>IF(OR(C38="",D38=""),"",B38&amp;"-"&amp;UPPER(C38)&amp;"-"&amp;TEXT(D38,"0000")&amp;"-"&amp;E38)</x:f>
        <x:v>M03-TGRT-0032-V1.0</x:v>
      </x:c>
      <x:c r="B38" s="74" t="str">
        <x:v>M03</x:v>
      </x:c>
      <x:c r="C38" s="74" t="str">
        <x:v>TGRT</x:v>
      </x:c>
      <x:c r="D38" s="79" t="n">
        <x:v>32</x:v>
      </x:c>
      <x:c r="E38" s="74" t="str">
        <x:v>V1.0</x:v>
      </x:c>
      <x:c r="F38" s="68" t="str">
        <x:v>壬干直接通根支位</x:v>
      </x:c>
      <x:c r="G38" s="82" t="str">
        <x:v>结构层</x:v>
      </x:c>
      <x:c r="H38" s="68" t="str">
        <x:v>天干壬</x:v>
      </x:c>
      <x:c r="I38" s="68" t="str">
        <x:v>直接通根映射</x:v>
      </x:c>
      <x:c r="J38" s="68"/>
      <x:c r="K38" s="82" t="str">
        <x:v>其他</x:v>
      </x:c>
      <x:c r="L38" s="82" t="str">
        <x:v>待定</x:v>
      </x:c>
      <x:c r="M38" s="82" t="str">
        <x:v>其他</x:v>
      </x:c>
      <x:c r="N38" s="68" t="str">
        <x:v>天干壬出现在原局或待分析对象中</x:v>
      </x:c>
      <x:c r="O38" s="68" t="str">
        <x:v>至少一支的标准藏干中直接出现壬</x:v>
      </x:c>
      <x:c r="P38" s="68" t="str">
        <x:v>对应支为月支、处于本气位、同类得令或多处出现</x:v>
      </x:c>
      <x:c r="Q38" s="68" t="str">
        <x:v>仅处中余气、根支受强烈作用、气候或流通受阻</x:v>
      </x:c>
      <x:c r="R38" s="90" t="str">
        <x:v>四支均不藏壬时，不得称壬有直接根</x:v>
      </x:c>
      <x:c r="S38" s="68" t="str">
        <x:v>同五行异阴阳藏干可构成同类根，但不等同直接根；合化成立后须重算。</x:v>
      </x:c>
      <x:c r="T38" s="68" t="str">
        <x:v>壬干根气存在性</x:v>
      </x:c>
      <x:c r="U38" s="82" t="str">
        <x:v>增强</x:v>
      </x:c>
      <x:c r="V38" s="82" t="str">
        <x:v>待定</x:v>
      </x:c>
      <x:c r="W38" s="82" t="str">
        <x:v>P0_硬约束</x:v>
      </x:c>
      <x:c r="X38" s="82" t="str">
        <x:v>硬约束</x:v>
      </x:c>
      <x:c r="Y38" s="84" t="str">
        <x:v>壬干直接通根</x:v>
      </x:c>
      <x:c r="Z38" s="84" t="str">
        <x:v>天干壬在亥（壬本气）、申（壬中气）可判为直接通根；具体根力再按本气、中气、余气、位置和后续作用分级。</x:v>
      </x:c>
      <x:c r="AA38" s="82" t="str">
        <x:v>确定</x:v>
      </x:c>
      <x:c r="AB38" s="82" t="str">
        <x:v>跨流派共识</x:v>
      </x:c>
      <x:c r="AC38" s="68" t="str">
        <x:v>依据M02标准藏干表，直接通根要求支内出现同一干。</x:v>
      </x:c>
      <x:c r="AD38" s="68" t="str">
        <x:v>命局见壬透干且地支含壬，可先记直接根，再判根力。</x:v>
      </x:c>
      <x:c r="AE38" s="90" t="str">
        <x:v>若只见同五行异阴阳藏干，应记同类根，不应误写为壬的直接根。</x:v>
      </x:c>
      <x:c r="AF38" s="68" t="str">
        <x:v>https://zh.wikisource.org/wiki/三命通會；https://zh.wikisource.org/wiki/淵海子平</x:v>
      </x:c>
      <x:c r="AG38" s="82" t="str">
        <x:v>采用</x:v>
      </x:c>
      <x:c r="AH38" s="82" t="str">
        <x:v>初审</x:v>
      </x:c>
      <x:c r="AI38" s="87" t="n">
        <x:v>46255</x:v>
      </x:c>
    </x:row>
    <x:row r="39" ht="48" customHeight="1">
      <x:c r="A39" s="72" t="str">
        <x:f>IF(OR(C39="",D39=""),"",B39&amp;"-"&amp;UPPER(C39)&amp;"-"&amp;TEXT(D39,"0000")&amp;"-"&amp;E39)</x:f>
        <x:v>M03-TGRT-0033-V1.0</x:v>
      </x:c>
      <x:c r="B39" s="74" t="str">
        <x:v>M03</x:v>
      </x:c>
      <x:c r="C39" s="74" t="str">
        <x:v>TGRT</x:v>
      </x:c>
      <x:c r="D39" s="79" t="n">
        <x:v>33</x:v>
      </x:c>
      <x:c r="E39" s="74" t="str">
        <x:v>V1.0</x:v>
      </x:c>
      <x:c r="F39" s="68" t="str">
        <x:v>癸干直接通根支位</x:v>
      </x:c>
      <x:c r="G39" s="82" t="str">
        <x:v>结构层</x:v>
      </x:c>
      <x:c r="H39" s="68" t="str">
        <x:v>天干癸</x:v>
      </x:c>
      <x:c r="I39" s="68" t="str">
        <x:v>直接通根映射</x:v>
      </x:c>
      <x:c r="J39" s="68"/>
      <x:c r="K39" s="82" t="str">
        <x:v>其他</x:v>
      </x:c>
      <x:c r="L39" s="82" t="str">
        <x:v>待定</x:v>
      </x:c>
      <x:c r="M39" s="82" t="str">
        <x:v>其他</x:v>
      </x:c>
      <x:c r="N39" s="68" t="str">
        <x:v>天干癸出现在原局或待分析对象中</x:v>
      </x:c>
      <x:c r="O39" s="68" t="str">
        <x:v>至少一支的标准藏干中直接出现癸</x:v>
      </x:c>
      <x:c r="P39" s="68" t="str">
        <x:v>对应支为月支、处于本气位、同类得令或多处出现</x:v>
      </x:c>
      <x:c r="Q39" s="68" t="str">
        <x:v>仅处中余气、根支受强烈作用、气候或流通受阻</x:v>
      </x:c>
      <x:c r="R39" s="90" t="str">
        <x:v>四支均不藏癸时，不得称癸有直接根</x:v>
      </x:c>
      <x:c r="S39" s="68" t="str">
        <x:v>同五行异阴阳藏干可构成同类根，但不等同直接根；合化成立后须重算。</x:v>
      </x:c>
      <x:c r="T39" s="68" t="str">
        <x:v>癸干根气存在性</x:v>
      </x:c>
      <x:c r="U39" s="82" t="str">
        <x:v>增强</x:v>
      </x:c>
      <x:c r="V39" s="82" t="str">
        <x:v>待定</x:v>
      </x:c>
      <x:c r="W39" s="82" t="str">
        <x:v>P0_硬约束</x:v>
      </x:c>
      <x:c r="X39" s="82" t="str">
        <x:v>硬约束</x:v>
      </x:c>
      <x:c r="Y39" s="84" t="str">
        <x:v>癸干直接通根</x:v>
      </x:c>
      <x:c r="Z39" s="84" t="str">
        <x:v>天干癸在子（癸本气）、丑（癸中气）、辰（癸余气）可判为直接通根；具体根力再按本气、中气、余气、位置和后续作用分级。</x:v>
      </x:c>
      <x:c r="AA39" s="82" t="str">
        <x:v>确定</x:v>
      </x:c>
      <x:c r="AB39" s="82" t="str">
        <x:v>跨流派共识</x:v>
      </x:c>
      <x:c r="AC39" s="68" t="str">
        <x:v>依据M02标准藏干表，直接通根要求支内出现同一干。</x:v>
      </x:c>
      <x:c r="AD39" s="68" t="str">
        <x:v>命局见癸透干且地支含癸，可先记直接根，再判根力。</x:v>
      </x:c>
      <x:c r="AE39" s="90" t="str">
        <x:v>若只见同五行异阴阳藏干，应记同类根，不应误写为癸的直接根。</x:v>
      </x:c>
      <x:c r="AF39" s="68" t="str">
        <x:v>https://zh.wikisource.org/wiki/三命通會；https://zh.wikisource.org/wiki/淵海子平</x:v>
      </x:c>
      <x:c r="AG39" s="82" t="str">
        <x:v>采用</x:v>
      </x:c>
      <x:c r="AH39" s="82" t="str">
        <x:v>初审</x:v>
      </x:c>
      <x:c r="AI39" s="87" t="n">
        <x:v>46255</x:v>
      </x:c>
    </x:row>
    <x:row r="40" ht="48" customHeight="1">
      <x:c r="A40" s="72" t="str">
        <x:f>IF(OR(C40="",D40=""),"",B40&amp;"-"&amp;UPPER(C40)&amp;"-"&amp;TEXT(D40,"0000")&amp;"-"&amp;E40)</x:f>
        <x:v>M03-RTLV-0034-V1.0</x:v>
      </x:c>
      <x:c r="B40" s="74" t="str">
        <x:v>M03</x:v>
      </x:c>
      <x:c r="C40" s="74" t="str">
        <x:v>RTLV</x:v>
      </x:c>
      <x:c r="D40" s="79" t="n">
        <x:v>34</x:v>
      </x:c>
      <x:c r="E40" s="74" t="str">
        <x:v>V1.0</x:v>
      </x:c>
      <x:c r="F40" s="68" t="str">
        <x:v>本气直接根默认列为强根</x:v>
      </x:c>
      <x:c r="G40" s="82" t="str">
        <x:v>结构层</x:v>
      </x:c>
      <x:c r="H40" s="68" t="str">
        <x:v>天干根气</x:v>
      </x:c>
      <x:c r="I40" s="68" t="str">
        <x:v>根气层级</x:v>
      </x:c>
      <x:c r="J40" s="68"/>
      <x:c r="K40" s="82" t="str">
        <x:v>本气根</x:v>
      </x:c>
      <x:c r="L40" s="82" t="str">
        <x:v>强根</x:v>
      </x:c>
      <x:c r="M40" s="82" t="str">
        <x:v>其他</x:v>
      </x:c>
      <x:c r="N40" s="68" t="str">
        <x:v>某天干在至少一支的本气藏干中直接出现</x:v>
      </x:c>
      <x:c r="O40" s="68" t="str">
        <x:v>同一干、同一支本气位置均成立</x:v>
      </x:c>
      <x:c r="P40" s="68" t="str">
        <x:v>该支为月支、得令、透出或多处呼应</x:v>
      </x:c>
      <x:c r="Q40" s="68" t="str">
        <x:v>根支受强烈作用、对象遭持续克泄耗或气不能透达</x:v>
      </x:c>
      <x:c r="R40" s="90" t="str">
        <x:v>不得仅凭一个本气根直接判日主或该干为旺</x:v>
      </x:c>
      <x:c r="S40" s="68" t="str">
        <x:v>合化严格成立、从格或专旺候选须转M14；有效根力转M06/M08。</x:v>
      </x:c>
      <x:c r="T40" s="68" t="str">
        <x:v>根气等级</x:v>
      </x:c>
      <x:c r="U40" s="82" t="str">
        <x:v>增强</x:v>
      </x:c>
      <x:c r="V40" s="82" t="str">
        <x:v>强</x:v>
      </x:c>
      <x:c r="W40" s="82" t="str">
        <x:v>P1_高</x:v>
      </x:c>
      <x:c r="X40" s="82" t="str">
        <x:v>辅助证据</x:v>
      </x:c>
      <x:c r="Y40" s="84" t="str">
        <x:v>本气强根</x:v>
      </x:c>
      <x:c r="Z40" s="84" t="str">
        <x:v>同一干藏于地支本气，默认记为强根证据；强根是得地的重要依据，但不是最终旺衰结论。</x:v>
      </x:c>
      <x:c r="AA40" s="82" t="str">
        <x:v>较高</x:v>
      </x:c>
      <x:c r="AB40" s="82" t="str">
        <x:v>现代综合</x:v>
      </x:c>
      <x:c r="AC40" s="68" t="str">
        <x:v>以藏干层级为起点的根气分级；不设置固定分数。</x:v>
      </x:c>
      <x:c r="AD40" s="68" t="str">
        <x:v>甲透见寅，甲在寅本气，先记强根。</x:v>
      </x:c>
      <x:c r="AE40" s="90" t="str">
        <x:v>甲透见寅就直接判身旺，忽略月令与强泄耗。</x:v>
      </x:c>
      <x:c r="AF40" s="68" t="str">
        <x:v>内部综合规则；根力须经M06/M08修正</x:v>
      </x:c>
      <x:c r="AG40" s="82" t="str">
        <x:v>待验证</x:v>
      </x:c>
      <x:c r="AH40" s="82" t="str">
        <x:v>初审</x:v>
      </x:c>
      <x:c r="AI40" s="87" t="n">
        <x:v>46255</x:v>
      </x:c>
    </x:row>
    <x:row r="41" ht="48" customHeight="1">
      <x:c r="A41" s="72" t="str">
        <x:f>IF(OR(C41="",D41=""),"",B41&amp;"-"&amp;UPPER(C41)&amp;"-"&amp;TEXT(D41,"0000")&amp;"-"&amp;E41)</x:f>
        <x:v>M03-RTLV-0035-V1.0</x:v>
      </x:c>
      <x:c r="B41" s="74" t="str">
        <x:v>M03</x:v>
      </x:c>
      <x:c r="C41" s="74" t="str">
        <x:v>RTLV</x:v>
      </x:c>
      <x:c r="D41" s="79" t="n">
        <x:v>35</x:v>
      </x:c>
      <x:c r="E41" s="74" t="str">
        <x:v>V1.0</x:v>
      </x:c>
      <x:c r="F41" s="68" t="str">
        <x:v>中气直接根默认列为中根</x:v>
      </x:c>
      <x:c r="G41" s="82" t="str">
        <x:v>结构层</x:v>
      </x:c>
      <x:c r="H41" s="68" t="str">
        <x:v>天干根气</x:v>
      </x:c>
      <x:c r="I41" s="68" t="str">
        <x:v>根气层级</x:v>
      </x:c>
      <x:c r="J41" s="68"/>
      <x:c r="K41" s="82" t="str">
        <x:v>中气根</x:v>
      </x:c>
      <x:c r="L41" s="82" t="str">
        <x:v>中根</x:v>
      </x:c>
      <x:c r="M41" s="82" t="str">
        <x:v>其他</x:v>
      </x:c>
      <x:c r="N41" s="68" t="str">
        <x:v>某天干在至少一支的中气藏干中直接出现</x:v>
      </x:c>
      <x:c r="O41" s="68" t="str">
        <x:v>同一干、同一支中气位置均成立</x:v>
      </x:c>
      <x:c r="P41" s="68" t="str">
        <x:v>该支得令、透出、多处出现或获得生扶</x:v>
      </x:c>
      <x:c r="Q41" s="68" t="str">
        <x:v>根支远隔、受强烈作用或该干本身受持续克泄耗</x:v>
      </x:c>
      <x:c r="R41" s="90" t="str">
        <x:v>不得把中气根等同于本气强根</x:v>
      </x:c>
      <x:c r="S41" s="68" t="str">
        <x:v>具体流派可能调整中气根权重，应在M21登记。</x:v>
      </x:c>
      <x:c r="T41" s="68" t="str">
        <x:v>根气等级</x:v>
      </x:c>
      <x:c r="U41" s="82" t="str">
        <x:v>增强</x:v>
      </x:c>
      <x:c r="V41" s="82" t="str">
        <x:v>中</x:v>
      </x:c>
      <x:c r="W41" s="82" t="str">
        <x:v>P2_中</x:v>
      </x:c>
      <x:c r="X41" s="82" t="str">
        <x:v>辅助证据</x:v>
      </x:c>
      <x:c r="Y41" s="84" t="str">
        <x:v>中气中根</x:v>
      </x:c>
      <x:c r="Z41" s="84" t="str">
        <x:v>同一干藏于地支中气，默认记为中根证据；其有效性须结合位置、月令和作用状态。</x:v>
      </x:c>
      <x:c r="AA41" s="82" t="str">
        <x:v>较高</x:v>
      </x:c>
      <x:c r="AB41" s="82" t="str">
        <x:v>现代综合</x:v>
      </x:c>
      <x:c r="AC41" s="68" t="str">
        <x:v>中气根低于本气根是默认排序，不作机械数值化。</x:v>
      </x:c>
      <x:c r="AD41" s="68" t="str">
        <x:v>壬透见申，申中壬为中气，可先记中根。</x:v>
      </x:c>
      <x:c r="AE41" s="90" t="str">
        <x:v>壬仅有申中气根却被直接当作多重强根。</x:v>
      </x:c>
      <x:c r="AF41" s="68" t="str">
        <x:v>内部综合规则；争议权重转M21</x:v>
      </x:c>
      <x:c r="AG41" s="82" t="str">
        <x:v>待验证</x:v>
      </x:c>
      <x:c r="AH41" s="82" t="str">
        <x:v>初审</x:v>
      </x:c>
      <x:c r="AI41" s="87" t="n">
        <x:v>46255</x:v>
      </x:c>
    </x:row>
    <x:row r="42" ht="48" customHeight="1">
      <x:c r="A42" s="72" t="str">
        <x:f>IF(OR(C42="",D42=""),"",B42&amp;"-"&amp;UPPER(C42)&amp;"-"&amp;TEXT(D42,"0000")&amp;"-"&amp;E42)</x:f>
        <x:v>M03-RTLV-0036-V1.0</x:v>
      </x:c>
      <x:c r="B42" s="74" t="str">
        <x:v>M03</x:v>
      </x:c>
      <x:c r="C42" s="74" t="str">
        <x:v>RTLV</x:v>
      </x:c>
      <x:c r="D42" s="79" t="n">
        <x:v>36</x:v>
      </x:c>
      <x:c r="E42" s="74" t="str">
        <x:v>V1.0</x:v>
      </x:c>
      <x:c r="F42" s="68" t="str">
        <x:v>余气直接根默认列为弱根</x:v>
      </x:c>
      <x:c r="G42" s="82" t="str">
        <x:v>结构层</x:v>
      </x:c>
      <x:c r="H42" s="68" t="str">
        <x:v>天干根气</x:v>
      </x:c>
      <x:c r="I42" s="68" t="str">
        <x:v>根气层级</x:v>
      </x:c>
      <x:c r="J42" s="68"/>
      <x:c r="K42" s="82" t="str">
        <x:v>余气根</x:v>
      </x:c>
      <x:c r="L42" s="82" t="str">
        <x:v>弱根</x:v>
      </x:c>
      <x:c r="M42" s="82" t="str">
        <x:v>其他</x:v>
      </x:c>
      <x:c r="N42" s="68" t="str">
        <x:v>某天干在至少一支的余气藏干中直接出现</x:v>
      </x:c>
      <x:c r="O42" s="68" t="str">
        <x:v>同一干、同一支余气位置均成立</x:v>
      </x:c>
      <x:c r="P42" s="68" t="str">
        <x:v>余气透出、得月令相助、同类多见或生源连续</x:v>
      </x:c>
      <x:c r="Q42" s="68" t="str">
        <x:v>根支受制、远隔、无透达或对象受强泄耗</x:v>
      </x:c>
      <x:c r="R42" s="90" t="str">
        <x:v>不得把单一余气根称为根深或强根</x:v>
      </x:c>
      <x:c r="S42" s="68" t="str">
        <x:v>多个余气根、月令与透干可能形成累积，须另行综合。</x:v>
      </x:c>
      <x:c r="T42" s="68" t="str">
        <x:v>根气等级</x:v>
      </x:c>
      <x:c r="U42" s="82" t="str">
        <x:v>增强</x:v>
      </x:c>
      <x:c r="V42" s="82" t="str">
        <x:v>弱</x:v>
      </x:c>
      <x:c r="W42" s="82" t="str">
        <x:v>P2_中</x:v>
      </x:c>
      <x:c r="X42" s="82" t="str">
        <x:v>辅助证据</x:v>
      </x:c>
      <x:c r="Y42" s="84" t="str">
        <x:v>余气弱根</x:v>
      </x:c>
      <x:c r="Z42" s="84" t="str">
        <x:v>同一干藏于地支余气，默认记为弱根证据；它证明并非全无根，但承载力通常有限。</x:v>
      </x:c>
      <x:c r="AA42" s="82" t="str">
        <x:v>较高</x:v>
      </x:c>
      <x:c r="AB42" s="82" t="str">
        <x:v>现代综合</x:v>
      </x:c>
      <x:c r="AC42" s="68" t="str">
        <x:v>余气根为较浅的直接根；实际效力因命局环境变化较大。</x:v>
      </x:c>
      <x:c r="AD42" s="68" t="str">
        <x:v>庚透见巳，巳中庚为余气，可记弱根。</x:v>
      </x:c>
      <x:c r="AE42" s="90" t="str">
        <x:v>只有一个受制的余气根却据此否定身弱判断。</x:v>
      </x:c>
      <x:c r="AF42" s="68" t="str">
        <x:v>内部综合规则；有效性转M06/M08</x:v>
      </x:c>
      <x:c r="AG42" s="82" t="str">
        <x:v>待验证</x:v>
      </x:c>
      <x:c r="AH42" s="82" t="str">
        <x:v>初审</x:v>
      </x:c>
      <x:c r="AI42" s="87" t="n">
        <x:v>46255</x:v>
      </x:c>
    </x:row>
    <x:row r="43" ht="48" customHeight="1">
      <x:c r="A43" s="72" t="str">
        <x:f>IF(OR(C43="",D43=""),"",B43&amp;"-"&amp;UPPER(C43)&amp;"-"&amp;TEXT(D43,"0000")&amp;"-"&amp;E43)</x:f>
        <x:v>M03-RTLV-0037-V1.0</x:v>
      </x:c>
      <x:c r="B43" s="74" t="str">
        <x:v>M03</x:v>
      </x:c>
      <x:c r="C43" s="74" t="str">
        <x:v>RTLV</x:v>
      </x:c>
      <x:c r="D43" s="79" t="n">
        <x:v>37</x:v>
      </x:c>
      <x:c r="E43" s="74" t="str">
        <x:v>V1.0</x:v>
      </x:c>
      <x:c r="F43" s="68" t="str">
        <x:v>同五行异阴阳可判同类根</x:v>
      </x:c>
      <x:c r="G43" s="82" t="str">
        <x:v>结构层</x:v>
      </x:c>
      <x:c r="H43" s="68" t="str">
        <x:v>天干与五行</x:v>
      </x:c>
      <x:c r="I43" s="68" t="str">
        <x:v>同类根存在</x:v>
      </x:c>
      <x:c r="J43" s="68"/>
      <x:c r="K43" s="82" t="str">
        <x:v>同类根</x:v>
      </x:c>
      <x:c r="L43" s="82" t="str">
        <x:v>待定</x:v>
      </x:c>
      <x:c r="M43" s="82" t="str">
        <x:v>其他</x:v>
      </x:c>
      <x:c r="N43" s="68" t="str">
        <x:v>地支藏有与对象同五行但阴阳不同的天干</x:v>
      </x:c>
      <x:c r="O43" s="68" t="str">
        <x:v>同五行关系成立，且未误写为同一干直接根</x:v>
      </x:c>
      <x:c r="P43" s="68" t="str">
        <x:v>同类藏干处本气、得令、透出或多处呼应</x:v>
      </x:c>
      <x:c r="Q43" s="68" t="str">
        <x:v>仅在中余气、根支受损或同类自身功能受限</x:v>
      </x:c>
      <x:c r="R43" s="90" t="str">
        <x:v>不得把同类根写成对象天干的直接根</x:v>
      </x:c>
      <x:c r="S43" s="68" t="str">
        <x:v>某些流派只以同干为通根；本库保留“直接根/同类根”双标签以兼容。</x:v>
      </x:c>
      <x:c r="T43" s="68" t="str">
        <x:v>五行根气支持</x:v>
      </x:c>
      <x:c r="U43" s="82" t="str">
        <x:v>增强</x:v>
      </x:c>
      <x:c r="V43" s="82" t="str">
        <x:v>中</x:v>
      </x:c>
      <x:c r="W43" s="82" t="str">
        <x:v>P2_中</x:v>
      </x:c>
      <x:c r="X43" s="82" t="str">
        <x:v>软约束</x:v>
      </x:c>
      <x:c r="Y43" s="84" t="str">
        <x:v>同类根</x:v>
      </x:c>
      <x:c r="Z43" s="84" t="str">
        <x:v>支内藏干与对象同五行但阴阳不同，可记为同类根或同类得地；不得与同干直接根混写。</x:v>
      </x:c>
      <x:c r="AA43" s="82" t="str">
        <x:v>中等</x:v>
      </x:c>
      <x:c r="AB43" s="82" t="str">
        <x:v>现代综合</x:v>
      </x:c>
      <x:c r="AC43" s="68" t="str">
        <x:v>把“同干根”与“同五行根”分开，可减少不同流派术语冲突。</x:v>
      </x:c>
      <x:c r="AD43" s="68" t="str">
        <x:v>甲透见卯，卯藏乙，可记木同类根。</x:v>
      </x:c>
      <x:c r="AE43" s="90" t="str">
        <x:v>甲透见卯却写成“甲通根卯中甲”。</x:v>
      </x:c>
      <x:c r="AF43" s="68" t="str">
        <x:v>内部术语裁决；流派差异转M21</x:v>
      </x:c>
      <x:c r="AG43" s="82" t="str">
        <x:v>待验证</x:v>
      </x:c>
      <x:c r="AH43" s="82" t="str">
        <x:v>初审</x:v>
      </x:c>
      <x:c r="AI43" s="87" t="n">
        <x:v>46255</x:v>
      </x:c>
    </x:row>
    <x:row r="44" ht="48" customHeight="1">
      <x:c r="A44" s="72" t="str">
        <x:f>IF(OR(C44="",D44=""),"",B44&amp;"-"&amp;UPPER(C44)&amp;"-"&amp;TEXT(D44,"0000")&amp;"-"&amp;E44)</x:f>
        <x:v>M03-RTLV-0038-V1.0</x:v>
      </x:c>
      <x:c r="B44" s="74" t="str">
        <x:v>M03</x:v>
      </x:c>
      <x:c r="C44" s="74" t="str">
        <x:v>RTLV</x:v>
      </x:c>
      <x:c r="D44" s="79" t="n">
        <x:v>38</x:v>
      </x:c>
      <x:c r="E44" s="74" t="str">
        <x:v>V1.0</x:v>
      </x:c>
      <x:c r="F44" s="68" t="str">
        <x:v>同类根强度不得照搬直接根</x:v>
      </x:c>
      <x:c r="G44" s="82" t="str">
        <x:v>结构层</x:v>
      </x:c>
      <x:c r="H44" s="68" t="str">
        <x:v>天干与五行</x:v>
      </x:c>
      <x:c r="I44" s="68" t="str">
        <x:v>同类根权重</x:v>
      </x:c>
      <x:c r="J44" s="68"/>
      <x:c r="K44" s="82" t="str">
        <x:v>同类根</x:v>
      </x:c>
      <x:c r="L44" s="82" t="str">
        <x:v>待定</x:v>
      </x:c>
      <x:c r="M44" s="82" t="str">
        <x:v>其他</x:v>
      </x:c>
      <x:c r="N44" s="68" t="str">
        <x:v>已识别同五行异阴阳的同类根</x:v>
      </x:c>
      <x:c r="O44" s="68" t="str">
        <x:v>强度评估与直接根分栏记录</x:v>
      </x:c>
      <x:c r="P44" s="68" t="str">
        <x:v>同类根处本气、得令、多见且能生扶对象</x:v>
      </x:c>
      <x:c r="Q44" s="68" t="str">
        <x:v>对象与同类竞争、同类受制或传导受阻</x:v>
      </x:c>
      <x:c r="R44" s="90" t="str">
        <x:v>不得仅因同类根处本气就自动等同同干本气强根</x:v>
      </x:c>
      <x:c r="S44" s="68" t="str">
        <x:v>比劫竞争、从格等结构可能改变同类根的功能方向。</x:v>
      </x:c>
      <x:c r="T44" s="68" t="str">
        <x:v>根气权重</x:v>
      </x:c>
      <x:c r="U44" s="82" t="str">
        <x:v>条件性</x:v>
      </x:c>
      <x:c r="V44" s="82" t="str">
        <x:v>中</x:v>
      </x:c>
      <x:c r="W44" s="82" t="str">
        <x:v>P2_中</x:v>
      </x:c>
      <x:c r="X44" s="82" t="str">
        <x:v>软约束</x:v>
      </x:c>
      <x:c r="Y44" s="84" t="str">
        <x:v>同类根独立分级</x:v>
      </x:c>
      <x:c r="Z44" s="84" t="str">
        <x:v>同类根可以增强同五行气势，但对具体天干的承载与传导通常需单独评估，不照搬同干根等级。</x:v>
      </x:c>
      <x:c r="AA44" s="82" t="str">
        <x:v>中等</x:v>
      </x:c>
      <x:c r="AB44" s="82" t="str">
        <x:v>现代综合</x:v>
      </x:c>
      <x:c r="AC44" s="68" t="str">
        <x:v>同类根支持元素气势，不必然等同于对象自身的直接落根。</x:v>
      </x:c>
      <x:c r="AD44" s="68" t="str">
        <x:v>甲见卯可获木势支持，但仍注明卯藏乙而非甲。</x:v>
      </x:c>
      <x:c r="AE44" s="90" t="str">
        <x:v>把卯中乙对甲的支持与寅中甲本气根完全等量。</x:v>
      </x:c>
      <x:c r="AF44" s="68" t="str">
        <x:v>内部综合规则；案例验证后再细化</x:v>
      </x:c>
      <x:c r="AG44" s="82" t="str">
        <x:v>待验证</x:v>
      </x:c>
      <x:c r="AH44" s="82" t="str">
        <x:v>初审</x:v>
      </x:c>
      <x:c r="AI44" s="87" t="n">
        <x:v>46255</x:v>
      </x:c>
    </x:row>
    <x:row r="45" ht="48" customHeight="1">
      <x:c r="A45" s="72" t="str">
        <x:f>IF(OR(C45="",D45=""),"",B45&amp;"-"&amp;UPPER(C45)&amp;"-"&amp;TEXT(D45,"0000")&amp;"-"&amp;E45)</x:f>
        <x:v>M03-RTLV-0039-V1.0</x:v>
      </x:c>
      <x:c r="B45" s="74" t="str">
        <x:v>M03</x:v>
      </x:c>
      <x:c r="C45" s="74" t="str">
        <x:v>RTLV</x:v>
      </x:c>
      <x:c r="D45" s="79" t="n">
        <x:v>39</x:v>
      </x:c>
      <x:c r="E45" s="74" t="str">
        <x:v>V1.0</x:v>
      </x:c>
      <x:c r="F45" s="68" t="str">
        <x:v>无根标签的最低判定条件</x:v>
      </x:c>
      <x:c r="G45" s="82" t="str">
        <x:v>结构层</x:v>
      </x:c>
      <x:c r="H45" s="68" t="str">
        <x:v>天干与五行</x:v>
      </x:c>
      <x:c r="I45" s="68" t="str">
        <x:v>无根判定</x:v>
      </x:c>
      <x:c r="J45" s="68"/>
      <x:c r="K45" s="82" t="str">
        <x:v>无根</x:v>
      </x:c>
      <x:c r="L45" s="82" t="str">
        <x:v>无根</x:v>
      </x:c>
      <x:c r="M45" s="82" t="str">
        <x:v>其他</x:v>
      </x:c>
      <x:c r="N45" s="68" t="str">
        <x:v>四支藏干表与可能的合化结果均已检查</x:v>
      </x:c>
      <x:c r="O45" s="68" t="str">
        <x:v>四支均无对象同干直接根，也无可采用的同类根</x:v>
      </x:c>
      <x:c r="P45" s="68"/>
      <x:c r="Q45" s="68" t="str">
        <x:v>若存在任何有效直接根、同类根或合化后同类根，则无根结论被削弱或否决</x:v>
      </x:c>
      <x:c r="R45" s="90" t="str">
        <x:v>未完成四支藏干检查时不得输出无根</x:v>
      </x:c>
      <x:c r="S45" s="68" t="str">
        <x:v>无根只描述得地维度，不等于无生扶、无同党或最终必弱。</x:v>
      </x:c>
      <x:c r="T45" s="68" t="str">
        <x:v>得地状态</x:v>
      </x:c>
      <x:c r="U45" s="82" t="str">
        <x:v>减弱</x:v>
      </x:c>
      <x:c r="V45" s="82" t="str">
        <x:v>强</x:v>
      </x:c>
      <x:c r="W45" s="82" t="str">
        <x:v>P0_硬约束</x:v>
      </x:c>
      <x:c r="X45" s="82" t="str">
        <x:v>硬约束</x:v>
      </x:c>
      <x:c r="Y45" s="84" t="str">
        <x:v>无根</x:v>
      </x:c>
      <x:c r="Z45" s="84" t="str">
        <x:v>仅在四支均不含对象同干或同类藏干时，方可记为无根；无根不等于全局必弱。</x:v>
      </x:c>
      <x:c r="AA45" s="82" t="str">
        <x:v>较高</x:v>
      </x:c>
      <x:c r="AB45" s="82" t="str">
        <x:v>现代综合</x:v>
      </x:c>
      <x:c r="AC45" s="68" t="str">
        <x:v>无根是存在性结论，必须穷尽四支藏干后再下。</x:v>
      </x:c>
      <x:c r="AD45" s="68" t="str">
        <x:v>甲透而四支均不藏甲乙，可记木无根。</x:v>
      </x:c>
      <x:c r="AE45" s="90" t="str">
        <x:v>甲透见亥中甲却仍标记无根。</x:v>
      </x:c>
      <x:c r="AF45" s="68" t="str">
        <x:v>内部综合规则；合化后须重新检查</x:v>
      </x:c>
      <x:c r="AG45" s="82" t="str">
        <x:v>采用</x:v>
      </x:c>
      <x:c r="AH45" s="82" t="str">
        <x:v>初审</x:v>
      </x:c>
      <x:c r="AI45" s="87" t="n">
        <x:v>46255</x:v>
      </x:c>
    </x:row>
    <x:row r="46" ht="48" customHeight="1">
      <x:c r="A46" s="72" t="str">
        <x:f>IF(OR(C46="",D46=""),"",B46&amp;"-"&amp;UPPER(C46)&amp;"-"&amp;TEXT(D46,"0000")&amp;"-"&amp;E46)</x:f>
        <x:v>M03-RTCT-0040-V1.0</x:v>
      </x:c>
      <x:c r="B46" s="74" t="str">
        <x:v>M03</x:v>
      </x:c>
      <x:c r="C46" s="74" t="str">
        <x:v>RTCT</x:v>
      </x:c>
      <x:c r="D46" s="79" t="n">
        <x:v>40</x:v>
      </x:c>
      <x:c r="E46" s="74" t="str">
        <x:v>V1.0</x:v>
      </x:c>
      <x:c r="F46" s="68" t="str">
        <x:v>单一弱根只提供有限得地证据</x:v>
      </x:c>
      <x:c r="G46" s="82" t="str">
        <x:v>结构层</x:v>
      </x:c>
      <x:c r="H46" s="68" t="str">
        <x:v>天干与日主</x:v>
      </x:c>
      <x:c r="I46" s="68" t="str">
        <x:v>根数与承载</x:v>
      </x:c>
      <x:c r="J46" s="68"/>
      <x:c r="K46" s="82" t="str">
        <x:v>余气根</x:v>
      </x:c>
      <x:c r="L46" s="82" t="str">
        <x:v>弱根</x:v>
      </x:c>
      <x:c r="M46" s="82" t="str">
        <x:v>其他</x:v>
      </x:c>
      <x:c r="N46" s="68" t="str">
        <x:v>对象仅有一处余气根或功能受限的浅根</x:v>
      </x:c>
      <x:c r="O46" s="68" t="str">
        <x:v>没有其他直接根、同类根或独立生扶形成补强</x:v>
      </x:c>
      <x:c r="P46" s="68" t="str">
        <x:v>余气透出、得令或获得连续生扶</x:v>
      </x:c>
      <x:c r="Q46" s="68" t="str">
        <x:v>根支受制、远隔或对象受强泄耗</x:v>
      </x:c>
      <x:c r="R46" s="90" t="str">
        <x:v>不得把单一弱根表述为根深、根多或得地强</x:v>
      </x:c>
      <x:c r="S46" s="68" t="str">
        <x:v>特殊格局另审；该根仍足以否决“绝对无根”。</x:v>
      </x:c>
      <x:c r="T46" s="68" t="str">
        <x:v>得地证据</x:v>
      </x:c>
      <x:c r="U46" s="82" t="str">
        <x:v>增强</x:v>
      </x:c>
      <x:c r="V46" s="82" t="str">
        <x:v>弱</x:v>
      </x:c>
      <x:c r="W46" s="82" t="str">
        <x:v>P2_中</x:v>
      </x:c>
      <x:c r="X46" s="82" t="str">
        <x:v>辅助证据</x:v>
      </x:c>
      <x:c r="Y46" s="84" t="str">
        <x:v>单一弱根</x:v>
      </x:c>
      <x:c r="Z46" s="84" t="str">
        <x:v>对象只有一处弱根时，可记“有根但根浅”；它能否承载全局须结合月令、同党及克泄耗。</x:v>
      </x:c>
      <x:c r="AA46" s="82" t="str">
        <x:v>较高</x:v>
      </x:c>
      <x:c r="AB46" s="82" t="str">
        <x:v>现代综合</x:v>
      </x:c>
      <x:c r="AC46" s="68" t="str">
        <x:v>存在性与承载力分开：弱根证明有根，但不保证有力。</x:v>
      </x:c>
      <x:c r="AD46" s="68" t="str">
        <x:v>庚透仅见巳中余气庚，可记有根但根浅。</x:v>
      </x:c>
      <x:c r="AE46" s="90" t="str">
        <x:v>把该庚直接判为得地强。</x:v>
      </x:c>
      <x:c r="AF46" s="68" t="str">
        <x:v>内部综合规则</x:v>
      </x:c>
      <x:c r="AG46" s="82" t="str">
        <x:v>待验证</x:v>
      </x:c>
      <x:c r="AH46" s="82" t="str">
        <x:v>初审</x:v>
      </x:c>
      <x:c r="AI46" s="87" t="n">
        <x:v>46255</x:v>
      </x:c>
    </x:row>
    <x:row r="47" ht="48" customHeight="1">
      <x:c r="A47" s="72" t="str">
        <x:f>IF(OR(C47="",D47=""),"",B47&amp;"-"&amp;UPPER(C47)&amp;"-"&amp;TEXT(D47,"0000")&amp;"-"&amp;E47)</x:f>
        <x:v>M03-RTCT-0041-V1.0</x:v>
      </x:c>
      <x:c r="B47" s="74" t="str">
        <x:v>M03</x:v>
      </x:c>
      <x:c r="C47" s="74" t="str">
        <x:v>RTCT</x:v>
      </x:c>
      <x:c r="D47" s="79" t="n">
        <x:v>41</x:v>
      </x:c>
      <x:c r="E47" s="74" t="str">
        <x:v>V1.0</x:v>
      </x:c>
      <x:c r="F47" s="68" t="str">
        <x:v>多根可以累积但不得机械相加</x:v>
      </x:c>
      <x:c r="G47" s="82" t="str">
        <x:v>结构层</x:v>
      </x:c>
      <x:c r="H47" s="68" t="str">
        <x:v>天干与五行</x:v>
      </x:c>
      <x:c r="I47" s="68" t="str">
        <x:v>根数累积</x:v>
      </x:c>
      <x:c r="J47" s="68"/>
      <x:c r="K47" s="82" t="str">
        <x:v>其他</x:v>
      </x:c>
      <x:c r="L47" s="82" t="str">
        <x:v>多重强根</x:v>
      </x:c>
      <x:c r="M47" s="82" t="str">
        <x:v>其他</x:v>
      </x:c>
      <x:c r="N47" s="68" t="str">
        <x:v>对象在两支以上存在直接根或同类根</x:v>
      </x:c>
      <x:c r="O47" s="68" t="str">
        <x:v>各根来源已逐支识别且未因同一载体重复计数</x:v>
      </x:c>
      <x:c r="P47" s="68" t="str">
        <x:v>根分布于本气、月支或相互呼应，且未受严重破坏</x:v>
      </x:c>
      <x:c r="Q47" s="68" t="str">
        <x:v>多个根均浅弱、共受同一冲合或气候阻滞</x:v>
      </x:c>
      <x:c r="R47" s="90" t="str">
        <x:v>不得用根的数量直接替代根的质量与有效性</x:v>
      </x:c>
      <x:c r="S47" s="68" t="str">
        <x:v>同一支同时承载多干时须遵守共源规则。</x:v>
      </x:c>
      <x:c r="T47" s="68" t="str">
        <x:v>得地证据</x:v>
      </x:c>
      <x:c r="U47" s="82" t="str">
        <x:v>增强</x:v>
      </x:c>
      <x:c r="V47" s="82" t="str">
        <x:v>强</x:v>
      </x:c>
      <x:c r="W47" s="82" t="str">
        <x:v>P1_高</x:v>
      </x:c>
      <x:c r="X47" s="82" t="str">
        <x:v>辅助证据</x:v>
      </x:c>
      <x:c r="Y47" s="84" t="str">
        <x:v>多根累积</x:v>
      </x:c>
      <x:c r="Z47" s="84" t="str">
        <x:v>多处根气可形成累积支持，但必须同时评价每个根的层级、位置、共源与受作用状态。</x:v>
      </x:c>
      <x:c r="AA47" s="82" t="str">
        <x:v>较高</x:v>
      </x:c>
      <x:c r="AB47" s="82" t="str">
        <x:v>现代综合</x:v>
      </x:c>
      <x:c r="AC47" s="68" t="str">
        <x:v>根数是证据之一；质量、位置与有效性决定累积幅度。</x:v>
      </x:c>
      <x:c r="AD47" s="68" t="str">
        <x:v>甲透见寅、亥，可记两处直接根，再分别评估寅本气与亥中气。</x:v>
      </x:c>
      <x:c r="AE47" s="90" t="str">
        <x:v>三个受制余气根被简单相加为三重强根。</x:v>
      </x:c>
      <x:c r="AF47" s="68" t="str">
        <x:v>内部综合规则</x:v>
      </x:c>
      <x:c r="AG47" s="82" t="str">
        <x:v>待验证</x:v>
      </x:c>
      <x:c r="AH47" s="82" t="str">
        <x:v>初审</x:v>
      </x:c>
      <x:c r="AI47" s="87" t="n">
        <x:v>46255</x:v>
      </x:c>
    </x:row>
    <x:row r="48" ht="48" customHeight="1">
      <x:c r="A48" s="72" t="str">
        <x:f>IF(OR(C48="",D48=""),"",B48&amp;"-"&amp;UPPER(C48)&amp;"-"&amp;TEXT(D48,"0000")&amp;"-"&amp;E48)</x:f>
        <x:v>M03-RTCT-0042-V1.0</x:v>
      </x:c>
      <x:c r="B48" s="74" t="str">
        <x:v>M03</x:v>
      </x:c>
      <x:c r="C48" s="74" t="str">
        <x:v>RTCT</x:v>
      </x:c>
      <x:c r="D48" s="79" t="n">
        <x:v>42</x:v>
      </x:c>
      <x:c r="E48" s="74" t="str">
        <x:v>V1.0</x:v>
      </x:c>
      <x:c r="F48" s="68" t="str">
        <x:v>月支根具有近令优势但须去重</x:v>
      </x:c>
      <x:c r="G48" s="82" t="str">
        <x:v>结构层</x:v>
      </x:c>
      <x:c r="H48" s="68" t="str">
        <x:v>日主及五行</x:v>
      </x:c>
      <x:c r="I48" s="68" t="str">
        <x:v>根位</x:v>
      </x:c>
      <x:c r="J48" s="68"/>
      <x:c r="K48" s="82" t="str">
        <x:v>其他</x:v>
      </x:c>
      <x:c r="L48" s="82" t="str">
        <x:v>强根</x:v>
      </x:c>
      <x:c r="M48" s="82" t="str">
        <x:v>其他</x:v>
      </x:c>
      <x:c r="N48" s="68" t="str">
        <x:v>月支含对象直接根或同类根</x:v>
      </x:c>
      <x:c r="O48" s="68" t="str">
        <x:v>根位与月令支持分别记录、汇总时说明共源</x:v>
      </x:c>
      <x:c r="P48" s="68" t="str">
        <x:v>根为月支本气且同类当令</x:v>
      </x:c>
      <x:c r="Q48" s="68" t="str">
        <x:v>月支处季节不利、根在中余气或月支受强烈作用</x:v>
      </x:c>
      <x:c r="R48" s="90" t="str">
        <x:v>不得因月支同时得令与通根而无限放大</x:v>
      </x:c>
      <x:c r="S48" s="68" t="str">
        <x:v>月支根可强于其他支根，但不是无条件最高；具体看层级与环境。</x:v>
      </x:c>
      <x:c r="T48" s="68" t="str">
        <x:v>得地证据</x:v>
      </x:c>
      <x:c r="U48" s="82" t="str">
        <x:v>增强</x:v>
      </x:c>
      <x:c r="V48" s="82" t="str">
        <x:v>强</x:v>
      </x:c>
      <x:c r="W48" s="82" t="str">
        <x:v>P1_高</x:v>
      </x:c>
      <x:c r="X48" s="82" t="str">
        <x:v>辅助证据</x:v>
      </x:c>
      <x:c r="Y48" s="84" t="str">
        <x:v>月支根</x:v>
      </x:c>
      <x:c r="Z48" s="84" t="str">
        <x:v>根位于月支时，通常兼具位置与季节优势；仍须区分直接根、同类根及共源去重。</x:v>
      </x:c>
      <x:c r="AA48" s="82" t="str">
        <x:v>较高</x:v>
      </x:c>
      <x:c r="AB48" s="82" t="str">
        <x:v>现代综合</x:v>
      </x:c>
      <x:c r="AC48" s="68" t="str">
        <x:v>月支是高权重载体，但得令与通根是两个维度、一个来源。</x:v>
      </x:c>
      <x:c r="AD48" s="68" t="str">
        <x:v>甲日寅月，寅中甲为月支本气根。</x:v>
      </x:c>
      <x:c r="AE48" s="90" t="str">
        <x:v>甲日卯月把卯中乙直接写成甲的本气直接根。</x:v>
      </x:c>
      <x:c r="AF48" s="68" t="str">
        <x:v>内部综合规则</x:v>
      </x:c>
      <x:c r="AG48" s="82" t="str">
        <x:v>待验证</x:v>
      </x:c>
      <x:c r="AH48" s="82" t="str">
        <x:v>初审</x:v>
      </x:c>
      <x:c r="AI48" s="87" t="n">
        <x:v>46255</x:v>
      </x:c>
    </x:row>
    <x:row r="49" ht="48" customHeight="1">
      <x:c r="A49" s="72" t="str">
        <x:f>IF(OR(C49="",D49=""),"",B49&amp;"-"&amp;UPPER(C49)&amp;"-"&amp;TEXT(D49,"0000")&amp;"-"&amp;E49)</x:f>
        <x:v>M03-RTCT-0043-V1.0</x:v>
      </x:c>
      <x:c r="B49" s="74" t="str">
        <x:v>M03</x:v>
      </x:c>
      <x:c r="C49" s="74" t="str">
        <x:v>RTCT</x:v>
      </x:c>
      <x:c r="D49" s="79" t="n">
        <x:v>43</x:v>
      </x:c>
      <x:c r="E49" s="74" t="str">
        <x:v>V1.0</x:v>
      </x:c>
      <x:c r="F49" s="68" t="str">
        <x:v>日支根对日主具有近身性</x:v>
      </x:c>
      <x:c r="G49" s="82" t="str">
        <x:v>结构层</x:v>
      </x:c>
      <x:c r="H49" s="68" t="str">
        <x:v>日主</x:v>
      </x:c>
      <x:c r="I49" s="68" t="str">
        <x:v>根位</x:v>
      </x:c>
      <x:c r="J49" s="68"/>
      <x:c r="K49" s="82" t="str">
        <x:v>其他</x:v>
      </x:c>
      <x:c r="L49" s="82" t="str">
        <x:v>待定</x:v>
      </x:c>
      <x:c r="M49" s="82" t="str">
        <x:v>同柱</x:v>
      </x:c>
      <x:c r="N49" s="68" t="str">
        <x:v>日支含日主同干或同类藏干</x:v>
      </x:c>
      <x:c r="O49" s="68" t="str">
        <x:v>根气存在性已按M02确认</x:v>
      </x:c>
      <x:c r="P49" s="68" t="str">
        <x:v>日支为本气根、得令或与其他根呼应</x:v>
      </x:c>
      <x:c r="Q49" s="68" t="str">
        <x:v>根在中余气、日支受强烈作用或日主遭持续泄耗</x:v>
      </x:c>
      <x:c r="R49" s="90" t="str">
        <x:v>不得以日坐根单独推翻明显失令与全局强制泄耗</x:v>
      </x:c>
      <x:c r="S49" s="68" t="str">
        <x:v>日支近身性属于功能直接度，不等于季节权重高于月令。</x:v>
      </x:c>
      <x:c r="T49" s="68" t="str">
        <x:v>日主得地</x:v>
      </x:c>
      <x:c r="U49" s="82" t="str">
        <x:v>增强</x:v>
      </x:c>
      <x:c r="V49" s="82" t="str">
        <x:v>中</x:v>
      </x:c>
      <x:c r="W49" s="82" t="str">
        <x:v>P1_高</x:v>
      </x:c>
      <x:c r="X49" s="82" t="str">
        <x:v>辅助证据</x:v>
      </x:c>
      <x:c r="Y49" s="84" t="str">
        <x:v>日支近根</x:v>
      </x:c>
      <x:c r="Z49" s="84" t="str">
        <x:v>日支含日主同干或同类藏干，可记近身根；其直接度较高，但仍不能替代月令与全局证据。</x:v>
      </x:c>
      <x:c r="AA49" s="82" t="str">
        <x:v>中等</x:v>
      </x:c>
      <x:c r="AB49" s="82" t="str">
        <x:v>现代综合</x:v>
      </x:c>
      <x:c r="AC49" s="68" t="str">
        <x:v>日支与日主同柱，常作为近身得地证据；强度仍由藏干层级和有效性决定。</x:v>
      </x:c>
      <x:c r="AD49" s="68" t="str">
        <x:v>甲日坐寅，寅中甲本气可记日坐直接强根。</x:v>
      </x:c>
      <x:c r="AE49" s="90" t="str">
        <x:v>甲日坐卯便忽略月令和全局，直接判身旺。</x:v>
      </x:c>
      <x:c r="AF49" s="68" t="str">
        <x:v>内部综合规则</x:v>
      </x:c>
      <x:c r="AG49" s="82" t="str">
        <x:v>待验证</x:v>
      </x:c>
      <x:c r="AH49" s="82" t="str">
        <x:v>初审</x:v>
      </x:c>
      <x:c r="AI49" s="87" t="n">
        <x:v>46255</x:v>
      </x:c>
    </x:row>
    <x:row r="50" ht="48" customHeight="1">
      <x:c r="A50" s="72" t="str">
        <x:f>IF(OR(C50="",D50=""),"",B50&amp;"-"&amp;UPPER(C50)&amp;"-"&amp;TEXT(D50,"0000")&amp;"-"&amp;E50)</x:f>
        <x:v>M03-RTCT-0044-V1.0</x:v>
      </x:c>
      <x:c r="B50" s="74" t="str">
        <x:v>M03</x:v>
      </x:c>
      <x:c r="C50" s="74" t="str">
        <x:v>RTCT</x:v>
      </x:c>
      <x:c r="D50" s="79" t="n">
        <x:v>44</x:v>
      </x:c>
      <x:c r="E50" s="74" t="str">
        <x:v>V1.0</x:v>
      </x:c>
      <x:c r="F50" s="68" t="str">
        <x:v>年支与时支之根仍属有效存在</x:v>
      </x:c>
      <x:c r="G50" s="82" t="str">
        <x:v>结构层</x:v>
      </x:c>
      <x:c r="H50" s="68" t="str">
        <x:v>天干与五行</x:v>
      </x:c>
      <x:c r="I50" s="68" t="str">
        <x:v>根位</x:v>
      </x:c>
      <x:c r="J50" s="68"/>
      <x:c r="K50" s="82" t="str">
        <x:v>其他</x:v>
      </x:c>
      <x:c r="L50" s="82" t="str">
        <x:v>待定</x:v>
      </x:c>
      <x:c r="M50" s="82" t="str">
        <x:v>其他</x:v>
      </x:c>
      <x:c r="N50" s="68" t="str">
        <x:v>年支或时支含对象同干或同类藏干</x:v>
      </x:c>
      <x:c r="O50" s="68" t="str">
        <x:v>藏干映射无误</x:v>
      </x:c>
      <x:c r="P50" s="68" t="str">
        <x:v>根为本气、得令、透出或与其他根连贯</x:v>
      </x:c>
      <x:c r="Q50" s="68" t="str">
        <x:v>距离较远、根浅或受强烈作用</x:v>
      </x:c>
      <x:c r="R50" s="90" t="str">
        <x:v>不得因根位于年支或时支就直接删除其存在性</x:v>
      </x:c>
      <x:c r="S50" s="68" t="str">
        <x:v>距离影响直接度和传导，不自动决定根的吉凶。</x:v>
      </x:c>
      <x:c r="T50" s="68" t="str">
        <x:v>根气存在性</x:v>
      </x:c>
      <x:c r="U50" s="82" t="str">
        <x:v>增强</x:v>
      </x:c>
      <x:c r="V50" s="82" t="str">
        <x:v>中</x:v>
      </x:c>
      <x:c r="W50" s="82" t="str">
        <x:v>P2_中</x:v>
      </x:c>
      <x:c r="X50" s="82" t="str">
        <x:v>辅助证据</x:v>
      </x:c>
      <x:c r="Y50" s="84" t="str">
        <x:v>远位根</x:v>
      </x:c>
      <x:c r="Z50" s="84" t="str">
        <x:v>年支、时支中的根仍应记录；距离可以降低直接度，但不改变“有根”的客观存在。</x:v>
      </x:c>
      <x:c r="AA50" s="82" t="str">
        <x:v>较高</x:v>
      </x:c>
      <x:c r="AB50" s="82" t="str">
        <x:v>现代综合</x:v>
      </x:c>
      <x:c r="AC50" s="68" t="str">
        <x:v>根气先判存在，再判位置直接度与有效性。</x:v>
      </x:c>
      <x:c r="AD50" s="68" t="str">
        <x:v>甲透见时支亥中甲，仍可记直接中气根。</x:v>
      </x:c>
      <x:c r="AE50" s="90" t="str">
        <x:v>因亥在时支就把甲标记为完全无根。</x:v>
      </x:c>
      <x:c r="AF50" s="68" t="str">
        <x:v>内部综合规则</x:v>
      </x:c>
      <x:c r="AG50" s="82" t="str">
        <x:v>采用</x:v>
      </x:c>
      <x:c r="AH50" s="82" t="str">
        <x:v>初审</x:v>
      </x:c>
      <x:c r="AI50" s="87" t="n">
        <x:v>46255</x:v>
      </x:c>
    </x:row>
    <x:row r="51" ht="48" customHeight="1">
      <x:c r="A51" s="72" t="str">
        <x:f>IF(OR(C51="",D51=""),"",B51&amp;"-"&amp;UPPER(C51)&amp;"-"&amp;TEXT(D51,"0000")&amp;"-"&amp;E51)</x:f>
        <x:v>M03-RTCT-0045-V1.0</x:v>
      </x:c>
      <x:c r="B51" s="74" t="str">
        <x:v>M03</x:v>
      </x:c>
      <x:c r="C51" s="74" t="str">
        <x:v>RTCT</x:v>
      </x:c>
      <x:c r="D51" s="79" t="n">
        <x:v>45</x:v>
      </x:c>
      <x:c r="E51" s="74" t="str">
        <x:v>V1.0</x:v>
      </x:c>
      <x:c r="F51" s="68" t="str">
        <x:v>同一根支不能对多个天干无限复制力量</x:v>
      </x:c>
      <x:c r="G51" s="82" t="str">
        <x:v>结构层</x:v>
      </x:c>
      <x:c r="H51" s="68" t="str">
        <x:v>多个同类天干</x:v>
      </x:c>
      <x:c r="I51" s="68" t="str">
        <x:v>根气共源</x:v>
      </x:c>
      <x:c r="J51" s="68"/>
      <x:c r="K51" s="82" t="str">
        <x:v>其他</x:v>
      </x:c>
      <x:c r="L51" s="82" t="str">
        <x:v>待定</x:v>
      </x:c>
      <x:c r="M51" s="82" t="str">
        <x:v>其他</x:v>
      </x:c>
      <x:c r="N51" s="68" t="str">
        <x:v>两个以上同类天干共同依赖同一地支根</x:v>
      </x:c>
      <x:c r="O51" s="68" t="str">
        <x:v>已识别各天干与该支的直接根或同类根关系</x:v>
      </x:c>
      <x:c r="P51" s="68" t="str">
        <x:v>另有独立根支、透干或生源可分担承载</x:v>
      </x:c>
      <x:c r="Q51" s="68" t="str">
        <x:v>全局同类天干众多而根源单一</x:v>
      </x:c>
      <x:c r="R51" s="90" t="str">
        <x:v>不得把同一支的总气对每个天干分别按满额重复计入</x:v>
      </x:c>
      <x:c r="S51" s="68" t="str">
        <x:v>存在性可分别记录；总量汇总必须标注共源。</x:v>
      </x:c>
      <x:c r="T51" s="68" t="str">
        <x:v>根气总量</x:v>
      </x:c>
      <x:c r="U51" s="82" t="str">
        <x:v>条件性</x:v>
      </x:c>
      <x:c r="V51" s="82" t="str">
        <x:v>强</x:v>
      </x:c>
      <x:c r="W51" s="82" t="str">
        <x:v>P1_高</x:v>
      </x:c>
      <x:c r="X51" s="82" t="str">
        <x:v>否决规则</x:v>
      </x:c>
      <x:c r="Y51" s="84" t="str">
        <x:v>根气共源</x:v>
      </x:c>
      <x:c r="Z51" s="84" t="str">
        <x:v>同一地支可同时成为多个同类天干的根源，但全局力量评估应识别共源，避免按天干数量无限复制。</x:v>
      </x:c>
      <x:c r="AA51" s="82" t="str">
        <x:v>中等</x:v>
      </x:c>
      <x:c r="AB51" s="82" t="str">
        <x:v>现代综合</x:v>
      </x:c>
      <x:c r="AC51" s="68" t="str">
        <x:v>对象层面有根与全局总量不是同一个统计口径。</x:v>
      </x:c>
      <x:c r="AD51" s="68" t="str">
        <x:v>两甲同见一寅，可分别说两甲有根，但寅的总木气不能自动翻倍。</x:v>
      </x:c>
      <x:c r="AE51" s="90" t="str">
        <x:v>每多一个甲就把同一寅根再加一份满额力量。</x:v>
      </x:c>
      <x:c r="AF51" s="68" t="str">
        <x:v>内部模型治理规则</x:v>
      </x:c>
      <x:c r="AG51" s="82" t="str">
        <x:v>待验证</x:v>
      </x:c>
      <x:c r="AH51" s="82" t="str">
        <x:v>初审</x:v>
      </x:c>
      <x:c r="AI51" s="87" t="n">
        <x:v>46255</x:v>
      </x:c>
    </x:row>
    <x:row r="52" ht="48" customHeight="1">
      <x:c r="A52" s="72" t="str">
        <x:f>IF(OR(C52="",D52=""),"",B52&amp;"-"&amp;UPPER(C52)&amp;"-"&amp;TEXT(D52,"0000")&amp;"-"&amp;E52)</x:f>
        <x:v>M03-RTEF-0046-V1.0</x:v>
      </x:c>
      <x:c r="B52" s="74" t="str">
        <x:v>M03</x:v>
      </x:c>
      <x:c r="C52" s="74" t="str">
        <x:v>RTEF</x:v>
      </x:c>
      <x:c r="D52" s="79" t="n">
        <x:v>46</x:v>
      </x:c>
      <x:c r="E52" s="74" t="str">
        <x:v>V1.0</x:v>
      </x:c>
      <x:c r="F52" s="68" t="str">
        <x:v>先判根的存在再判根的效应</x:v>
      </x:c>
      <x:c r="G52" s="82" t="str">
        <x:v>效应层</x:v>
      </x:c>
      <x:c r="H52" s="68" t="str">
        <x:v>根气</x:v>
      </x:c>
      <x:c r="I52" s="68" t="str">
        <x:v>存在—效应分层</x:v>
      </x:c>
      <x:c r="J52" s="68"/>
      <x:c r="K52" s="82" t="str">
        <x:v>其他</x:v>
      </x:c>
      <x:c r="L52" s="82" t="str">
        <x:v>待定</x:v>
      </x:c>
      <x:c r="M52" s="82" t="str">
        <x:v>其他</x:v>
      </x:c>
      <x:c r="N52" s="68" t="str">
        <x:v>M02藏干与M03通根映射已完成</x:v>
      </x:c>
      <x:c r="O52" s="68" t="str">
        <x:v>先记录直接根、同类根及层级，再调用M06判断合冲刑害效应</x:v>
      </x:c>
      <x:c r="P52" s="68"/>
      <x:c r="Q52" s="68"/>
      <x:c r="R52" s="90" t="str">
        <x:v>不得因看到冲、刑、合、害就跳过根气存在性识别</x:v>
      </x:c>
      <x:c r="S52" s="68" t="str">
        <x:v>合化严格成立时可在效应层改变五行归属，但应保留原始记录。</x:v>
      </x:c>
      <x:c r="T52" s="68" t="str">
        <x:v>根气记录流程</x:v>
      </x:c>
      <x:c r="U52" s="82" t="str">
        <x:v>不变</x:v>
      </x:c>
      <x:c r="V52" s="82" t="str">
        <x:v>决定性</x:v>
      </x:c>
      <x:c r="W52" s="82" t="str">
        <x:v>P0_硬约束</x:v>
      </x:c>
      <x:c r="X52" s="82" t="str">
        <x:v>硬约束</x:v>
      </x:c>
      <x:c r="Y52" s="84" t="str">
        <x:v>根气先识别后修正</x:v>
      </x:c>
      <x:c r="Z52" s="84" t="str">
        <x:v>根气存在性属于基础识别；是否受损、冻结、转化或激活属于后续效应，二者必须分栏。</x:v>
      </x:c>
      <x:c r="AA52" s="82" t="str">
        <x:v>确定</x:v>
      </x:c>
      <x:c r="AB52" s="82" t="str">
        <x:v>现代综合</x:v>
      </x:c>
      <x:c r="AC52" s="68" t="str">
        <x:v>本库四层架构的关键规则，防止关系名称直接替代力量判断。</x:v>
      </x:c>
      <x:c r="AD52" s="68" t="str">
        <x:v>先记寅中甲为甲根，再判断寅申冲对该根的实际影响。</x:v>
      </x:c>
      <x:c r="AE52" s="90" t="str">
        <x:v>一见寅申冲就把寅中甲从基础藏干表删除。</x:v>
      </x:c>
      <x:c r="AF52" s="68" t="str">
        <x:v>内部模型治理规则</x:v>
      </x:c>
      <x:c r="AG52" s="82" t="str">
        <x:v>采用</x:v>
      </x:c>
      <x:c r="AH52" s="82" t="str">
        <x:v>初审</x:v>
      </x:c>
      <x:c r="AI52" s="87" t="n">
        <x:v>46255</x:v>
      </x:c>
    </x:row>
    <x:row r="53" ht="48" customHeight="1">
      <x:c r="A53" s="72" t="str">
        <x:f>IF(OR(C53="",D53=""),"",B53&amp;"-"&amp;UPPER(C53)&amp;"-"&amp;TEXT(D53,"0000")&amp;"-"&amp;E53)</x:f>
        <x:v>M03-RTEF-0047-V1.0</x:v>
      </x:c>
      <x:c r="B53" s="74" t="str">
        <x:v>M03</x:v>
      </x:c>
      <x:c r="C53" s="74" t="str">
        <x:v>RTEF</x:v>
      </x:c>
      <x:c r="D53" s="79" t="n">
        <x:v>47</x:v>
      </x:c>
      <x:c r="E53" s="74" t="str">
        <x:v>V1.0</x:v>
      </x:c>
      <x:c r="F53" s="68" t="str">
        <x:v>相冲不自动等于根气消失</x:v>
      </x:c>
      <x:c r="G53" s="82" t="str">
        <x:v>效应层</x:v>
      </x:c>
      <x:c r="H53" s="68" t="str">
        <x:v>受冲地支之根</x:v>
      </x:c>
      <x:c r="I53" s="68" t="str">
        <x:v>冲对根气</x:v>
      </x:c>
      <x:c r="J53" s="68"/>
      <x:c r="K53" s="82" t="str">
        <x:v>其他</x:v>
      </x:c>
      <x:c r="L53" s="82" t="str">
        <x:v>待定</x:v>
      </x:c>
      <x:c r="M53" s="82" t="str">
        <x:v>其他</x:v>
      </x:c>
      <x:c r="N53" s="68" t="str">
        <x:v>已识别某支为对象根，并识别该支受冲</x:v>
      </x:c>
      <x:c r="O53" s="68" t="str">
        <x:v>M06需判断冲动、冲散、冲旺、冲弱或只是引动</x:v>
      </x:c>
      <x:c r="P53" s="68" t="str">
        <x:v>根支得令、有同党、透干或冲中获生</x:v>
      </x:c>
      <x:c r="Q53" s="68" t="str">
        <x:v>根支失令、孤弱、受克且无救应</x:v>
      </x:c>
      <x:c r="R53" s="90" t="str">
        <x:v>不得仅凭“相冲”二字把该支根气直接判零</x:v>
      </x:c>
      <x:c r="S53" s="68" t="str">
        <x:v>冲散或合化等强效应若经M06成立，可显著降低或重算有效根。</x:v>
      </x:c>
      <x:c r="T53" s="68" t="str">
        <x:v>有效根气</x:v>
      </x:c>
      <x:c r="U53" s="82" t="str">
        <x:v>条件性</x:v>
      </x:c>
      <x:c r="V53" s="82" t="str">
        <x:v>待定</x:v>
      </x:c>
      <x:c r="W53" s="82" t="str">
        <x:v>P1_高</x:v>
      </x:c>
      <x:c r="X53" s="82" t="str">
        <x:v>否决规则</x:v>
      </x:c>
      <x:c r="Y53" s="84" t="str">
        <x:v>冲不必然拔根</x:v>
      </x:c>
      <x:c r="Z53" s="84" t="str">
        <x:v>根支受冲时，先保留根的存在，再按双方强弱、月令与叠加关系判断有效根力变化。</x:v>
      </x:c>
      <x:c r="AA53" s="82" t="str">
        <x:v>较高</x:v>
      </x:c>
      <x:c r="AB53" s="82" t="str">
        <x:v>现代综合</x:v>
      </x:c>
      <x:c r="AC53" s="68" t="str">
        <x:v>冲有多种效应，不存在统一的“逢冲即无根”结果。</x:v>
      </x:c>
      <x:c r="AD53" s="68" t="str">
        <x:v>寅申冲中寅得令、有甲透与同党，未必被冲散。</x:v>
      </x:c>
      <x:c r="AE53" s="90" t="str">
        <x:v>不看双方力量便直接写“寅被冲掉，甲无根”。</x:v>
      </x:c>
      <x:c r="AF53" s="68" t="str">
        <x:v>https://zh.wikisource.org/wiki/三命通會；内部效应分层规则</x:v>
      </x:c>
      <x:c r="AG53" s="82" t="str">
        <x:v>待验证</x:v>
      </x:c>
      <x:c r="AH53" s="82" t="str">
        <x:v>初审</x:v>
      </x:c>
      <x:c r="AI53" s="87" t="n">
        <x:v>46255</x:v>
      </x:c>
    </x:row>
    <x:row r="54" ht="48" customHeight="1">
      <x:c r="A54" s="72" t="str">
        <x:f>IF(OR(C54="",D54=""),"",B54&amp;"-"&amp;UPPER(C54)&amp;"-"&amp;TEXT(D54,"0000")&amp;"-"&amp;E54)</x:f>
        <x:v>M03-RTEF-0048-V1.0</x:v>
      </x:c>
      <x:c r="B54" s="74" t="str">
        <x:v>M03</x:v>
      </x:c>
      <x:c r="C54" s="74" t="str">
        <x:v>RTEF</x:v>
      </x:c>
      <x:c r="D54" s="79" t="n">
        <x:v>48</x:v>
      </x:c>
      <x:c r="E54" s="74" t="str">
        <x:v>V1.0</x:v>
      </x:c>
      <x:c r="F54" s="68" t="str">
        <x:v>相合不自动等于根气被冻结或消失</x:v>
      </x:c>
      <x:c r="G54" s="82" t="str">
        <x:v>效应层</x:v>
      </x:c>
      <x:c r="H54" s="68" t="str">
        <x:v>受合地支之根</x:v>
      </x:c>
      <x:c r="I54" s="68" t="str">
        <x:v>合对根气</x:v>
      </x:c>
      <x:c r="J54" s="68"/>
      <x:c r="K54" s="82" t="str">
        <x:v>其他</x:v>
      </x:c>
      <x:c r="L54" s="82" t="str">
        <x:v>待定</x:v>
      </x:c>
      <x:c r="M54" s="82" t="str">
        <x:v>其他</x:v>
      </x:c>
      <x:c r="N54" s="68" t="str">
        <x:v>已识别某支为对象根，并识别该支参与合</x:v>
      </x:c>
      <x:c r="O54" s="68" t="str">
        <x:v>M06需区分合绊、合动、合化与合而不化</x:v>
      </x:c>
      <x:c r="P54" s="68" t="str">
        <x:v>合局得令、化神透出或合中生扶对象</x:v>
      </x:c>
      <x:c r="Q54" s="68" t="str">
        <x:v>根支被强力合绊、转化条件充分或原气受制</x:v>
      </x:c>
      <x:c r="R54" s="90" t="str">
        <x:v>不得仅凭六合、三合或半合名称直接删除根</x:v>
      </x:c>
      <x:c r="S54" s="68" t="str">
        <x:v>合化严格成立时按化神重算；合而不化时原藏干仍须保留。</x:v>
      </x:c>
      <x:c r="T54" s="68" t="str">
        <x:v>有效根气</x:v>
      </x:c>
      <x:c r="U54" s="82" t="str">
        <x:v>条件性</x:v>
      </x:c>
      <x:c r="V54" s="82" t="str">
        <x:v>待定</x:v>
      </x:c>
      <x:c r="W54" s="82" t="str">
        <x:v>P1_高</x:v>
      </x:c>
      <x:c r="X54" s="82" t="str">
        <x:v>否决规则</x:v>
      </x:c>
      <x:c r="Y54" s="84" t="str">
        <x:v>合不必然失根</x:v>
      </x:c>
      <x:c r="Z54" s="84" t="str">
        <x:v>根支参与合时，先判断合的实际效应；合而不化不等于基础根气不存在。</x:v>
      </x:c>
      <x:c r="AA54" s="82" t="str">
        <x:v>较高</x:v>
      </x:c>
      <x:c r="AB54" s="82" t="str">
        <x:v>现代综合</x:v>
      </x:c>
      <x:c r="AC54" s="68" t="str">
        <x:v>合可能牵制、引动、成势或转化，须逐对象裁定。</x:v>
      </x:c>
      <x:c r="AD54" s="68" t="str">
        <x:v>亥寅合而未化，亥中壬、甲仍先记录存在，再判有效性。</x:v>
      </x:c>
      <x:c r="AE54" s="90" t="str">
        <x:v>一见六合便把两支藏干全部清空。</x:v>
      </x:c>
      <x:c r="AF54" s="68" t="str">
        <x:v>内部效应分层规则</x:v>
      </x:c>
      <x:c r="AG54" s="82" t="str">
        <x:v>待验证</x:v>
      </x:c>
      <x:c r="AH54" s="82" t="str">
        <x:v>初审</x:v>
      </x:c>
      <x:c r="AI54" s="87" t="n">
        <x:v>46255</x:v>
      </x:c>
    </x:row>
    <x:row r="55" ht="48" customHeight="1">
      <x:c r="A55" s="72" t="str">
        <x:f>IF(OR(C55="",D55=""),"",B55&amp;"-"&amp;UPPER(C55)&amp;"-"&amp;TEXT(D55,"0000")&amp;"-"&amp;E55)</x:f>
        <x:v>M03-RTEF-0049-V1.0</x:v>
      </x:c>
      <x:c r="B55" s="74" t="str">
        <x:v>M03</x:v>
      </x:c>
      <x:c r="C55" s="74" t="str">
        <x:v>RTEF</x:v>
      </x:c>
      <x:c r="D55" s="79" t="n">
        <x:v>49</x:v>
      </x:c>
      <x:c r="E55" s="74" t="str">
        <x:v>V1.0</x:v>
      </x:c>
      <x:c r="F55" s="68" t="str">
        <x:v>刑害破不自动等于根气被毁</x:v>
      </x:c>
      <x:c r="G55" s="82" t="str">
        <x:v>效应层</x:v>
      </x:c>
      <x:c r="H55" s="68" t="str">
        <x:v>受刑害破地支之根</x:v>
      </x:c>
      <x:c r="I55" s="68" t="str">
        <x:v>刑害破对根气</x:v>
      </x:c>
      <x:c r="J55" s="68"/>
      <x:c r="K55" s="82" t="str">
        <x:v>其他</x:v>
      </x:c>
      <x:c r="L55" s="82" t="str">
        <x:v>待定</x:v>
      </x:c>
      <x:c r="M55" s="82" t="str">
        <x:v>其他</x:v>
      </x:c>
      <x:c r="N55" s="68" t="str">
        <x:v>已识别根支参与刑、害或破</x:v>
      </x:c>
      <x:c r="O55" s="68" t="str">
        <x:v>M06需判断实际是引动、阻滞、损伤还是作用有限</x:v>
      </x:c>
      <x:c r="P55" s="68" t="str">
        <x:v>根支得令、有透干、同党或救应</x:v>
      </x:c>
      <x:c r="Q55" s="68" t="str">
        <x:v>根支孤弱、受克并与多重关系叠加</x:v>
      </x:c>
      <x:c r="R55" s="90" t="str">
        <x:v>不得看到刑害破就直接固定减力或判根尽失</x:v>
      </x:c>
      <x:c r="S55" s="68" t="str">
        <x:v>特定组合的实际效应须在M06逐支判断，不能一刀切。</x:v>
      </x:c>
      <x:c r="T55" s="68" t="str">
        <x:v>有效根气</x:v>
      </x:c>
      <x:c r="U55" s="82" t="str">
        <x:v>条件性</x:v>
      </x:c>
      <x:c r="V55" s="82" t="str">
        <x:v>待定</x:v>
      </x:c>
      <x:c r="W55" s="82" t="str">
        <x:v>P1_高</x:v>
      </x:c>
      <x:c r="X55" s="82" t="str">
        <x:v>否决规则</x:v>
      </x:c>
      <x:c r="Y55" s="84" t="str">
        <x:v>刑害破不必然毁根</x:v>
      </x:c>
      <x:c r="Z55" s="84" t="str">
        <x:v>根支参与刑害破时，基础根仍保留；有效根力根据关系强度、对象与环境另行修正。</x:v>
      </x:c>
      <x:c r="AA55" s="82" t="str">
        <x:v>较高</x:v>
      </x:c>
      <x:c r="AB55" s="82" t="str">
        <x:v>现代综合</x:v>
      </x:c>
      <x:c r="AC55" s="68" t="str">
        <x:v>刑害破首先是关系识别，不能直接替代力量结论。</x:v>
      </x:c>
      <x:c r="AD55" s="68" t="str">
        <x:v>寅巳申三刑成立后，分别判断寅、巳、申各自根气，不统一判零。</x:v>
      </x:c>
      <x:c r="AE55" s="90" t="str">
        <x:v>因寅巳申三刑就直接认定巳火根被刑没。</x:v>
      </x:c>
      <x:c r="AF55" s="68" t="str">
        <x:v>内部效应分层规则</x:v>
      </x:c>
      <x:c r="AG55" s="82" t="str">
        <x:v>待验证</x:v>
      </x:c>
      <x:c r="AH55" s="82" t="str">
        <x:v>初审</x:v>
      </x:c>
      <x:c r="AI55" s="87" t="n">
        <x:v>46255</x:v>
      </x:c>
    </x:row>
    <x:row r="56" ht="48" customHeight="1">
      <x:c r="A56" s="72" t="str">
        <x:f>IF(OR(C56="",D56=""),"",B56&amp;"-"&amp;UPPER(C56)&amp;"-"&amp;TEXT(D56,"0000")&amp;"-"&amp;E56)</x:f>
        <x:v>M03-RTEF-0050-V1.0</x:v>
      </x:c>
      <x:c r="B56" s="74" t="str">
        <x:v>M03</x:v>
      </x:c>
      <x:c r="C56" s="74" t="str">
        <x:v>RTEF</x:v>
      </x:c>
      <x:c r="D56" s="79" t="n">
        <x:v>50</x:v>
      </x:c>
      <x:c r="E56" s="74" t="str">
        <x:v>V1.0</x:v>
      </x:c>
      <x:c r="F56" s="68" t="str">
        <x:v>合化成立后必须重算根气归属</x:v>
      </x:c>
      <x:c r="G56" s="82" t="str">
        <x:v>效应层</x:v>
      </x:c>
      <x:c r="H56" s="68" t="str">
        <x:v>参与合化之根</x:v>
      </x:c>
      <x:c r="I56" s="68" t="str">
        <x:v>转化重算</x:v>
      </x:c>
      <x:c r="J56" s="68"/>
      <x:c r="K56" s="82" t="str">
        <x:v>其他</x:v>
      </x:c>
      <x:c r="L56" s="82" t="str">
        <x:v>待定</x:v>
      </x:c>
      <x:c r="M56" s="82" t="str">
        <x:v>其他</x:v>
      </x:c>
      <x:c r="N56" s="68" t="str">
        <x:v>M06或M14已确认合化严格成立</x:v>
      </x:c>
      <x:c r="O56" s="68" t="str">
        <x:v>化神、月令、透干与阻碍条件均满足既定规则</x:v>
      </x:c>
      <x:c r="P56" s="68" t="str">
        <x:v>化神得令、透出且原五行无强力反向保留</x:v>
      </x:c>
      <x:c r="Q56" s="68" t="str">
        <x:v>化神失令、受制或合局不完整</x:v>
      </x:c>
      <x:c r="R56" s="90" t="str">
        <x:v>合化条件未确认前不得提前重算根气</x:v>
      </x:c>
      <x:c r="S56" s="68" t="str">
        <x:v>只成立合绊或合而不化时，原藏干仍保留。</x:v>
      </x:c>
      <x:c r="T56" s="68" t="str">
        <x:v>根气五行归属</x:v>
      </x:c>
      <x:c r="U56" s="82" t="str">
        <x:v>转化</x:v>
      </x:c>
      <x:c r="V56" s="82" t="str">
        <x:v>决定性</x:v>
      </x:c>
      <x:c r="W56" s="82" t="str">
        <x:v>P0_硬约束</x:v>
      </x:c>
      <x:c r="X56" s="82" t="str">
        <x:v>硬约束</x:v>
      </x:c>
      <x:c r="Y56" s="84" t="str">
        <x:v>合化后重算根气</x:v>
      </x:c>
      <x:c r="Z56" s="84" t="str">
        <x:v>只有合化严格成立，才按化神重新评估参与支的有效五行与根气；原始记录仍保留用于追溯。</x:v>
      </x:c>
      <x:c r="AA56" s="82" t="str">
        <x:v>较高</x:v>
      </x:c>
      <x:c r="AB56" s="82" t="str">
        <x:v>现代综合</x:v>
      </x:c>
      <x:c r="AC56" s="68" t="str">
        <x:v>转化是高门槛效应，必须晚于关系识别和条件验证。</x:v>
      </x:c>
      <x:c r="AD56" s="68" t="str">
        <x:v>地支会局严格成立并化神有力时，按化后五行评估有效根。</x:v>
      </x:c>
      <x:c r="AE56" s="90" t="str">
        <x:v>仅见半合便把原支全部改成化神。</x:v>
      </x:c>
      <x:c r="AF56" s="68" t="str">
        <x:v>内部效应与格局裁决规则</x:v>
      </x:c>
      <x:c r="AG56" s="82" t="str">
        <x:v>待验证</x:v>
      </x:c>
      <x:c r="AH56" s="82" t="str">
        <x:v>初审</x:v>
      </x:c>
      <x:c r="AI56" s="87" t="n">
        <x:v>46255</x:v>
      </x:c>
    </x:row>
    <x:row r="57" ht="48" customHeight="1">
      <x:c r="A57" s="72" t="str">
        <x:f>IF(OR(C57="",D57=""),"",B57&amp;"-"&amp;UPPER(C57)&amp;"-"&amp;TEXT(D57,"0000")&amp;"-"&amp;E57)</x:f>
        <x:v>M03-RTEF-0051-V1.0</x:v>
      </x:c>
      <x:c r="B57" s="74" t="str">
        <x:v>M03</x:v>
      </x:c>
      <x:c r="C57" s="74" t="str">
        <x:v>RTEF</x:v>
      </x:c>
      <x:c r="D57" s="79" t="n">
        <x:v>51</x:v>
      </x:c>
      <x:c r="E57" s="74" t="str">
        <x:v>V1.0</x:v>
      </x:c>
      <x:c r="F57" s="68" t="str">
        <x:v>根支受损时降低有效根而非删除基础根</x:v>
      </x:c>
      <x:c r="G57" s="82" t="str">
        <x:v>效应层</x:v>
      </x:c>
      <x:c r="H57" s="68" t="str">
        <x:v>受损根支</x:v>
      </x:c>
      <x:c r="I57" s="68" t="str">
        <x:v>有效根修正</x:v>
      </x:c>
      <x:c r="J57" s="68"/>
      <x:c r="K57" s="82" t="str">
        <x:v>其他</x:v>
      </x:c>
      <x:c r="L57" s="82" t="str">
        <x:v>待定</x:v>
      </x:c>
      <x:c r="M57" s="82" t="str">
        <x:v>其他</x:v>
      </x:c>
      <x:c r="N57" s="68" t="str">
        <x:v>根气存在且M06确认根支受到明显削弱</x:v>
      </x:c>
      <x:c r="O57" s="68" t="str">
        <x:v>削弱效应有明确对象、方向与等级</x:v>
      </x:c>
      <x:c r="P57" s="68" t="str">
        <x:v>根支仍得令、有透干、同党或救应</x:v>
      </x:c>
      <x:c r="Q57" s="68" t="str">
        <x:v>根支失令、孤弱并遭多重克冲合绊</x:v>
      </x:c>
      <x:c r="R57" s="90" t="str">
        <x:v>不得改写M02基础藏干事实</x:v>
      </x:c>
      <x:c r="S57" s="68" t="str">
        <x:v>若转化严格成立，则按M03-50重算而非简单减弱。</x:v>
      </x:c>
      <x:c r="T57" s="68" t="str">
        <x:v>有效根气</x:v>
      </x:c>
      <x:c r="U57" s="82" t="str">
        <x:v>减弱</x:v>
      </x:c>
      <x:c r="V57" s="82" t="str">
        <x:v>待定</x:v>
      </x:c>
      <x:c r="W57" s="82" t="str">
        <x:v>P1_高</x:v>
      </x:c>
      <x:c r="X57" s="82" t="str">
        <x:v>软约束</x:v>
      </x:c>
      <x:c r="Y57" s="84" t="str">
        <x:v>有效根减弱</x:v>
      </x:c>
      <x:c r="Z57" s="84" t="str">
        <x:v>根支受损时，记录为“有根但有效性下降”；只有转化或严格否决条件成立时才改变归属。</x:v>
      </x:c>
      <x:c r="AA57" s="82" t="str">
        <x:v>较高</x:v>
      </x:c>
      <x:c r="AB57" s="82" t="str">
        <x:v>现代综合</x:v>
      </x:c>
      <x:c r="AC57" s="68" t="str">
        <x:v>存在性与有效性分栏，便于追溯根力为何下降。</x:v>
      </x:c>
      <x:c r="AD57" s="68" t="str">
        <x:v>寅中甲根仍存在，但寅受强冲且失令，可下调有效根等级。</x:v>
      </x:c>
      <x:c r="AE57" s="90" t="str">
        <x:v>直接把基础表中的寅藏甲删除。</x:v>
      </x:c>
      <x:c r="AF57" s="68" t="str">
        <x:v>内部综合规则</x:v>
      </x:c>
      <x:c r="AG57" s="82" t="str">
        <x:v>待验证</x:v>
      </x:c>
      <x:c r="AH57" s="82" t="str">
        <x:v>初审</x:v>
      </x:c>
      <x:c r="AI57" s="87" t="n">
        <x:v>46255</x:v>
      </x:c>
    </x:row>
    <x:row r="58" ht="48" customHeight="1">
      <x:c r="A58" s="72" t="str">
        <x:f>IF(OR(C58="",D58=""),"",B58&amp;"-"&amp;UPPER(C58)&amp;"-"&amp;TEXT(D58,"0000")&amp;"-"&amp;E58)</x:f>
        <x:v>M03-RTEF-0052-V1.0</x:v>
      </x:c>
      <x:c r="B58" s="74" t="str">
        <x:v>M03</x:v>
      </x:c>
      <x:c r="C58" s="74" t="str">
        <x:v>RTEF</x:v>
      </x:c>
      <x:c r="D58" s="79" t="n">
        <x:v>52</x:v>
      </x:c>
      <x:c r="E58" s="74" t="str">
        <x:v>V1.0</x:v>
      </x:c>
      <x:c r="F58" s="68" t="str">
        <x:v>藏干透出可增强根气传导但非存在条件</x:v>
      </x:c>
      <x:c r="G58" s="82" t="str">
        <x:v>结构层</x:v>
      </x:c>
      <x:c r="H58" s="68" t="str">
        <x:v>藏干与透干</x:v>
      </x:c>
      <x:c r="I58" s="68" t="str">
        <x:v>根气透达</x:v>
      </x:c>
      <x:c r="J58" s="68"/>
      <x:c r="K58" s="82" t="str">
        <x:v>其他</x:v>
      </x:c>
      <x:c r="L58" s="82" t="str">
        <x:v>待定</x:v>
      </x:c>
      <x:c r="M58" s="82" t="str">
        <x:v>其他</x:v>
      </x:c>
      <x:c r="N58" s="68" t="str">
        <x:v>支内藏干已识别，并检查同干是否透出</x:v>
      </x:c>
      <x:c r="O58" s="68" t="str">
        <x:v>根气存在不以透干为必要条件</x:v>
      </x:c>
      <x:c r="P58" s="68" t="str">
        <x:v>同干透出、相邻呼应、得令或有生源</x:v>
      </x:c>
      <x:c r="Q58" s="68" t="str">
        <x:v>透出之干无根、受合克或被强力泄耗</x:v>
      </x:c>
      <x:c r="R58" s="90" t="str">
        <x:v>未透干不得被误判为藏干不存在</x:v>
      </x:c>
      <x:c r="S58" s="68" t="str">
        <x:v>透出也不保证有效旺强；仍须看根、令与作用。</x:v>
      </x:c>
      <x:c r="T58" s="68" t="str">
        <x:v>根气功能</x:v>
      </x:c>
      <x:c r="U58" s="82" t="str">
        <x:v>增强</x:v>
      </x:c>
      <x:c r="V58" s="82" t="str">
        <x:v>中</x:v>
      </x:c>
      <x:c r="W58" s="82" t="str">
        <x:v>P2_中</x:v>
      </x:c>
      <x:c r="X58" s="82" t="str">
        <x:v>辅助证据</x:v>
      </x:c>
      <x:c r="Y58" s="84" t="str">
        <x:v>透出增强传导</x:v>
      </x:c>
      <x:c r="Z58" s="84" t="str">
        <x:v>藏干透出通常提高其可见性与作用直接度；未透仍可作为根，透出也不自动等于旺。</x:v>
      </x:c>
      <x:c r="AA58" s="82" t="str">
        <x:v>较高</x:v>
      </x:c>
      <x:c r="AB58" s="82" t="str">
        <x:v>现代综合</x:v>
      </x:c>
      <x:c r="AC58" s="68" t="str">
        <x:v>存在方式、力量与功能是三个不同字段。</x:v>
      </x:c>
      <x:c r="AD58" s="68" t="str">
        <x:v>寅中甲又透甲，木根与天干形成呼应。</x:v>
      </x:c>
      <x:c r="AE58" s="90" t="str">
        <x:v>寅中甲未透便被判为不存在。</x:v>
      </x:c>
      <x:c r="AF58" s="68" t="str">
        <x:v>内部综合规则</x:v>
      </x:c>
      <x:c r="AG58" s="82" t="str">
        <x:v>采用</x:v>
      </x:c>
      <x:c r="AH58" s="82" t="str">
        <x:v>初审</x:v>
      </x:c>
      <x:c r="AI58" s="87" t="n">
        <x:v>46255</x:v>
      </x:c>
    </x:row>
    <x:row r="59" ht="48" customHeight="1">
      <x:c r="A59" s="72" t="str">
        <x:f>IF(OR(C59="",D59=""),"",B59&amp;"-"&amp;UPPER(C59)&amp;"-"&amp;TEXT(D59,"0000")&amp;"-"&amp;E59)</x:f>
        <x:v>M03-RTEF-0053-V1.0</x:v>
      </x:c>
      <x:c r="B59" s="74" t="str">
        <x:v>M03</x:v>
      </x:c>
      <x:c r="C59" s="74" t="str">
        <x:v>RTEF</x:v>
      </x:c>
      <x:c r="D59" s="79" t="n">
        <x:v>53</x:v>
      </x:c>
      <x:c r="E59" s="74" t="str">
        <x:v>V1.0</x:v>
      </x:c>
      <x:c r="F59" s="68" t="str">
        <x:v>气候与流通可限制根气功能</x:v>
      </x:c>
      <x:c r="G59" s="82" t="str">
        <x:v>结构层</x:v>
      </x:c>
      <x:c r="H59" s="68" t="str">
        <x:v>根气</x:v>
      </x:c>
      <x:c r="I59" s="68" t="str">
        <x:v>环境有效性</x:v>
      </x:c>
      <x:c r="J59" s="68"/>
      <x:c r="K59" s="82" t="str">
        <x:v>其他</x:v>
      </x:c>
      <x:c r="L59" s="82" t="str">
        <x:v>待定</x:v>
      </x:c>
      <x:c r="M59" s="82" t="str">
        <x:v>其他</x:v>
      </x:c>
      <x:c r="N59" s="68" t="str">
        <x:v>根气存在且M13/M12识别寒暖燥湿或流通问题</x:v>
      </x:c>
      <x:c r="O59" s="68" t="str">
        <x:v>环境问题确实阻碍该五行生化、透达或承载</x:v>
      </x:c>
      <x:c r="P59" s="68" t="str">
        <x:v>有调候、通关或连续生扶使根气能够发挥</x:v>
      </x:c>
      <x:c r="Q59" s="68" t="str">
        <x:v>寒凝、燥枯、湿滞、源头被截或桥梁受阻</x:v>
      </x:c>
      <x:c r="R59" s="90" t="str">
        <x:v>不得因功能受限而把基础根气改写为不存在</x:v>
      </x:c>
      <x:c r="S59" s="68" t="str">
        <x:v>调候和流通只是有效性修正，不替代根的藏干层级。</x:v>
      </x:c>
      <x:c r="T59" s="68" t="str">
        <x:v>根气功能</x:v>
      </x:c>
      <x:c r="U59" s="82" t="str">
        <x:v>冻结</x:v>
      </x:c>
      <x:c r="V59" s="82" t="str">
        <x:v>中</x:v>
      </x:c>
      <x:c r="W59" s="82" t="str">
        <x:v>P2_中</x:v>
      </x:c>
      <x:c r="X59" s="82" t="str">
        <x:v>软约束</x:v>
      </x:c>
      <x:c r="Y59" s="84" t="str">
        <x:v>根存在功能受限</x:v>
      </x:c>
      <x:c r="Z59" s="84" t="str">
        <x:v>根气可以客观存在但因寒暖燥湿或流通卡点而难以发挥；应输出“有根、功能受限”。</x:v>
      </x:c>
      <x:c r="AA59" s="82" t="str">
        <x:v>中等</x:v>
      </x:c>
      <x:c r="AB59" s="82" t="str">
        <x:v>现代综合</x:v>
      </x:c>
      <x:c r="AC59" s="68" t="str">
        <x:v>有效力量不仅取决于数量与位置，还取决于能否生化与传导。</x:v>
      </x:c>
      <x:c r="AD59" s="68" t="str">
        <x:v>寒湿局中木根存在，但木气寒湿不发，功能受限。</x:v>
      </x:c>
      <x:c r="AE59" s="90" t="str">
        <x:v>看到功能受限就直接判该木完全无根。</x:v>
      </x:c>
      <x:c r="AF59" s="68" t="str">
        <x:v>内部综合规则；需M12/M13联动</x:v>
      </x:c>
      <x:c r="AG59" s="82" t="str">
        <x:v>待验证</x:v>
      </x:c>
      <x:c r="AH59" s="82" t="str">
        <x:v>初审</x:v>
      </x:c>
      <x:c r="AI59" s="87" t="n">
        <x:v>46255</x:v>
      </x:c>
    </x:row>
    <x:row r="60" ht="48" customHeight="1">
      <x:c r="A60" s="72" t="str">
        <x:f>IF(OR(C60="",D60=""),"",B60&amp;"-"&amp;UPPER(C60)&amp;"-"&amp;TEXT(D60,"0000")&amp;"-"&amp;E60)</x:f>
        <x:v>M03-DIM-0054-V1.0</x:v>
      </x:c>
      <x:c r="B60" s="74" t="str">
        <x:v>M03</x:v>
      </x:c>
      <x:c r="C60" s="74" t="str">
        <x:v>DIM</x:v>
      </x:c>
      <x:c r="D60" s="79" t="n">
        <x:v>54</x:v>
      </x:c>
      <x:c r="E60" s="74" t="str">
        <x:v>V1.0</x:v>
      </x:c>
      <x:c r="F60" s="68" t="str">
        <x:v>得令的定义与输出边界</x:v>
      </x:c>
      <x:c r="G60" s="82" t="str">
        <x:v>结构层</x:v>
      </x:c>
      <x:c r="H60" s="68" t="str">
        <x:v>日主及五行</x:v>
      </x:c>
      <x:c r="I60" s="68" t="str">
        <x:v>得令</x:v>
      </x:c>
      <x:c r="J60" s="68" t="str">
        <x:v>对象获得月令旺或相的季节支持</x:v>
      </x:c>
      <x:c r="K60" s="82" t="str">
        <x:v>其他</x:v>
      </x:c>
      <x:c r="L60" s="82" t="str">
        <x:v>待定</x:v>
      </x:c>
      <x:c r="M60" s="82" t="str">
        <x:v>其他</x:v>
      </x:c>
      <x:c r="N60" s="68" t="str">
        <x:v>月支与季节关系已准确识别</x:v>
      </x:c>
      <x:c r="O60" s="68" t="str">
        <x:v>对象在月令层面获得直接或派生支持</x:v>
      </x:c>
      <x:c r="P60" s="68" t="str">
        <x:v>同类本气当令、月令透出或与根助呼应</x:v>
      </x:c>
      <x:c r="Q60" s="68" t="str">
        <x:v>仅得相而无根、受强制泄耗或交节边界不确定</x:v>
      </x:c>
      <x:c r="R60" s="90" t="str">
        <x:v>不得把得令自动等同于得地、得势或最终旺</x:v>
      </x:c>
      <x:c r="S60" s="68" t="str">
        <x:v>特殊格局与调候仍需独立审查。</x:v>
      </x:c>
      <x:c r="T60" s="68" t="str">
        <x:v>旺衰维度</x:v>
      </x:c>
      <x:c r="U60" s="82" t="str">
        <x:v>增强</x:v>
      </x:c>
      <x:c r="V60" s="82" t="str">
        <x:v>强</x:v>
      </x:c>
      <x:c r="W60" s="82" t="str">
        <x:v>P1_高</x:v>
      </x:c>
      <x:c r="X60" s="82" t="str">
        <x:v>硬约束</x:v>
      </x:c>
      <x:c r="Y60" s="84" t="str">
        <x:v>得令定义</x:v>
      </x:c>
      <x:c r="Z60" s="84" t="str">
        <x:v>得令只回答对象是否获得季节支持；它是高权重证据，但不是日主旺衰的完整结论。</x:v>
      </x:c>
      <x:c r="AA60" s="82" t="str">
        <x:v>确定</x:v>
      </x:c>
      <x:c r="AB60" s="82" t="str">
        <x:v>现代综合</x:v>
      </x:c>
      <x:c r="AC60" s="68" t="str">
        <x:v>统一术语，防止得令与身旺混用。</x:v>
      </x:c>
      <x:c r="AD60" s="68" t="str">
        <x:v>甲日寅月可记得令，再另判是否有根与同党。</x:v>
      </x:c>
      <x:c r="AE60" s="90" t="str">
        <x:v>甲日寅月直接写“得令所以身旺”。</x:v>
      </x:c>
      <x:c r="AF60" s="68" t="str">
        <x:v>内部术语治理</x:v>
      </x:c>
      <x:c r="AG60" s="82" t="str">
        <x:v>采用</x:v>
      </x:c>
      <x:c r="AH60" s="82" t="str">
        <x:v>初审</x:v>
      </x:c>
      <x:c r="AI60" s="87" t="n">
        <x:v>46255</x:v>
      </x:c>
    </x:row>
    <x:row r="61" ht="48" customHeight="1">
      <x:c r="A61" s="72" t="str">
        <x:f>IF(OR(C61="",D61=""),"",B61&amp;"-"&amp;UPPER(C61)&amp;"-"&amp;TEXT(D61,"0000")&amp;"-"&amp;E61)</x:f>
        <x:v>M03-DIM-0055-V1.0</x:v>
      </x:c>
      <x:c r="B61" s="74" t="str">
        <x:v>M03</x:v>
      </x:c>
      <x:c r="C61" s="74" t="str">
        <x:v>DIM</x:v>
      </x:c>
      <x:c r="D61" s="79" t="n">
        <x:v>55</x:v>
      </x:c>
      <x:c r="E61" s="74" t="str">
        <x:v>V1.0</x:v>
      </x:c>
      <x:c r="F61" s="68" t="str">
        <x:v>得地的定义与分级</x:v>
      </x:c>
      <x:c r="G61" s="82" t="str">
        <x:v>结构层</x:v>
      </x:c>
      <x:c r="H61" s="68" t="str">
        <x:v>日主及五行</x:v>
      </x:c>
      <x:c r="I61" s="68" t="str">
        <x:v>得地</x:v>
      </x:c>
      <x:c r="J61" s="68"/>
      <x:c r="K61" s="82" t="str">
        <x:v>其他</x:v>
      </x:c>
      <x:c r="L61" s="82" t="str">
        <x:v>待定</x:v>
      </x:c>
      <x:c r="M61" s="82" t="str">
        <x:v>其他</x:v>
      </x:c>
      <x:c r="N61" s="68" t="str">
        <x:v>四支根气已完成直接根、同类根及层级识别</x:v>
      </x:c>
      <x:c r="O61" s="68" t="str">
        <x:v>至少存在一处有效直接根或可采用的同类根</x:v>
      </x:c>
      <x:c r="P61" s="68" t="str">
        <x:v>根处本气、月支、日支、多处呼应或透出</x:v>
      </x:c>
      <x:c r="Q61" s="68" t="str">
        <x:v>根浅、远隔、受损、共源或功能受限</x:v>
      </x:c>
      <x:c r="R61" s="90" t="str">
        <x:v>有根不等于得地强；必须输出根型、根位与等级</x:v>
      </x:c>
      <x:c r="S61" s="68" t="str">
        <x:v>从格等特殊结构仍须转M14。</x:v>
      </x:c>
      <x:c r="T61" s="68" t="str">
        <x:v>旺衰维度</x:v>
      </x:c>
      <x:c r="U61" s="82" t="str">
        <x:v>增强</x:v>
      </x:c>
      <x:c r="V61" s="82" t="str">
        <x:v>待定</x:v>
      </x:c>
      <x:c r="W61" s="82" t="str">
        <x:v>P1_高</x:v>
      </x:c>
      <x:c r="X61" s="82" t="str">
        <x:v>硬约束</x:v>
      </x:c>
      <x:c r="Y61" s="84" t="str">
        <x:v>得地定义</x:v>
      </x:c>
      <x:c r="Z61" s="84" t="str">
        <x:v>得地表示对象在地支中有根；必须进一步写明直接根/同类根、本中余气、位置和有效等级。</x:v>
      </x:c>
      <x:c r="AA61" s="82" t="str">
        <x:v>较高</x:v>
      </x:c>
      <x:c r="AB61" s="82" t="str">
        <x:v>现代综合</x:v>
      </x:c>
      <x:c r="AC61" s="68" t="str">
        <x:v>得地是分级概念，不是简单的是/否。</x:v>
      </x:c>
      <x:c r="AD61" s="68" t="str">
        <x:v>甲见寅本气根，可记得地较强；甲仅见卯同类根，应另行分级。</x:v>
      </x:c>
      <x:c r="AE61" s="90" t="str">
        <x:v>只要见一个余气根就写“得地强”。</x:v>
      </x:c>
      <x:c r="AF61" s="68" t="str">
        <x:v>内部术语治理</x:v>
      </x:c>
      <x:c r="AG61" s="82" t="str">
        <x:v>采用</x:v>
      </x:c>
      <x:c r="AH61" s="82" t="str">
        <x:v>初审</x:v>
      </x:c>
      <x:c r="AI61" s="87" t="n">
        <x:v>46255</x:v>
      </x:c>
    </x:row>
    <x:row r="62" ht="48" customHeight="1">
      <x:c r="A62" s="72" t="str">
        <x:f>IF(OR(C62="",D62=""),"",B62&amp;"-"&amp;UPPER(C62)&amp;"-"&amp;TEXT(D62,"0000")&amp;"-"&amp;E62)</x:f>
        <x:v>M03-DIM-0056-V1.0</x:v>
      </x:c>
      <x:c r="B62" s="74" t="str">
        <x:v>M03</x:v>
      </x:c>
      <x:c r="C62" s="74" t="str">
        <x:v>DIM</x:v>
      </x:c>
      <x:c r="D62" s="79" t="n">
        <x:v>56</x:v>
      </x:c>
      <x:c r="E62" s="74" t="str">
        <x:v>V1.0</x:v>
      </x:c>
      <x:c r="F62" s="68" t="str">
        <x:v>得势的定义与证据来源</x:v>
      </x:c>
      <x:c r="G62" s="82" t="str">
        <x:v>结构层</x:v>
      </x:c>
      <x:c r="H62" s="68" t="str">
        <x:v>日主及五行</x:v>
      </x:c>
      <x:c r="I62" s="68" t="str">
        <x:v>得势</x:v>
      </x:c>
      <x:c r="J62" s="68"/>
      <x:c r="K62" s="82" t="str">
        <x:v>其他</x:v>
      </x:c>
      <x:c r="L62" s="82" t="str">
        <x:v>待定</x:v>
      </x:c>
      <x:c r="M62" s="82" t="str">
        <x:v>其他</x:v>
      </x:c>
      <x:c r="N62" s="68" t="str">
        <x:v>已统计同类、印比、生源、透干与成党成势关系</x:v>
      </x:c>
      <x:c r="O62" s="68" t="str">
        <x:v>同一阵营在全局形成可持续的数量、位置或流通优势</x:v>
      </x:c>
      <x:c r="P62" s="68" t="str">
        <x:v>多透、多根、相邻呼应、连续生扶或会局成势</x:v>
      </x:c>
      <x:c r="Q62" s="68" t="str">
        <x:v>同党共源、各自无根、被制或生化链中断</x:v>
      </x:c>
      <x:c r="R62" s="90" t="str">
        <x:v>不得用单一根或单一天干数量直接代替得势</x:v>
      </x:c>
      <x:c r="S62" s="68" t="str">
        <x:v>从格、专旺候选须转M14严格验证。</x:v>
      </x:c>
      <x:c r="T62" s="68" t="str">
        <x:v>旺衰维度</x:v>
      </x:c>
      <x:c r="U62" s="82" t="str">
        <x:v>增强</x:v>
      </x:c>
      <x:c r="V62" s="82" t="str">
        <x:v>强</x:v>
      </x:c>
      <x:c r="W62" s="82" t="str">
        <x:v>P1_高</x:v>
      </x:c>
      <x:c r="X62" s="82" t="str">
        <x:v>软约束</x:v>
      </x:c>
      <x:c r="Y62" s="84" t="str">
        <x:v>得势定义</x:v>
      </x:c>
      <x:c r="Z62" s="84" t="str">
        <x:v>得势表示同类及生扶阵营在全局形成整体趋势；它不同于单独得令或得地。</x:v>
      </x:c>
      <x:c r="AA62" s="82" t="str">
        <x:v>中等</x:v>
      </x:c>
      <x:c r="AB62" s="82" t="str">
        <x:v>现代综合</x:v>
      </x:c>
      <x:c r="AC62" s="68" t="str">
        <x:v>势来自群体与路径，不来自单点证据。</x:v>
      </x:c>
      <x:c r="AD62" s="68" t="str">
        <x:v>日主失令但印比多透、多根且连续相生，可获得得势支持。</x:v>
      </x:c>
      <x:c r="AE62" s="90" t="str">
        <x:v>只因一个比肩透干就判得势。</x:v>
      </x:c>
      <x:c r="AF62" s="68" t="str">
        <x:v>内部术语治理</x:v>
      </x:c>
      <x:c r="AG62" s="82" t="str">
        <x:v>待验证</x:v>
      </x:c>
      <x:c r="AH62" s="82" t="str">
        <x:v>初审</x:v>
      </x:c>
      <x:c r="AI62" s="87" t="n">
        <x:v>46255</x:v>
      </x:c>
    </x:row>
    <x:row r="63" ht="48" customHeight="1">
      <x:c r="A63" s="72" t="str">
        <x:f>IF(OR(C63="",D63=""),"",B63&amp;"-"&amp;UPPER(C63)&amp;"-"&amp;TEXT(D63,"0000")&amp;"-"&amp;E63)</x:f>
        <x:v>M03-DIM-0057-V1.0</x:v>
      </x:c>
      <x:c r="B63" s="74" t="str">
        <x:v>M03</x:v>
      </x:c>
      <x:c r="C63" s="74" t="str">
        <x:v>DIM</x:v>
      </x:c>
      <x:c r="D63" s="79" t="n">
        <x:v>57</x:v>
      </x:c>
      <x:c r="E63" s="74" t="str">
        <x:v>V1.0</x:v>
      </x:c>
      <x:c r="F63" s="68" t="str">
        <x:v>得令得地得势必须分维度汇总</x:v>
      </x:c>
      <x:c r="G63" s="82" t="str">
        <x:v>综合层</x:v>
      </x:c>
      <x:c r="H63" s="68" t="str">
        <x:v>日主及五行</x:v>
      </x:c>
      <x:c r="I63" s="68" t="str">
        <x:v>证据聚合</x:v>
      </x:c>
      <x:c r="J63" s="68"/>
      <x:c r="K63" s="82" t="str">
        <x:v>其他</x:v>
      </x:c>
      <x:c r="L63" s="82" t="str">
        <x:v>待定</x:v>
      </x:c>
      <x:c r="M63" s="82" t="str">
        <x:v>其他</x:v>
      </x:c>
      <x:c r="N63" s="68" t="str">
        <x:v>得令、得地、得势三类证据均已分别记录</x:v>
      </x:c>
      <x:c r="O63" s="68" t="str">
        <x:v>汇总时保留每一维度的支持与反向证据</x:v>
      </x:c>
      <x:c r="P63" s="68" t="str">
        <x:v>三者同向、来源相对独立且有效</x:v>
      </x:c>
      <x:c r="Q63" s="68" t="str">
        <x:v>证据共源、某维度受损或相互抵消</x:v>
      </x:c>
      <x:c r="R63" s="90" t="str">
        <x:v>不得用一个维度代替另外两个，也不得只报总分不报证据</x:v>
      </x:c>
      <x:c r="S63" s="68" t="str">
        <x:v>得生、受制、受泄、受耗还须在M07/M09补充。</x:v>
      </x:c>
      <x:c r="T63" s="68" t="str">
        <x:v>旺衰综合证据</x:v>
      </x:c>
      <x:c r="U63" s="82" t="str">
        <x:v>条件性</x:v>
      </x:c>
      <x:c r="V63" s="82" t="str">
        <x:v>决定性</x:v>
      </x:c>
      <x:c r="W63" s="82" t="str">
        <x:v>P0_硬约束</x:v>
      </x:c>
      <x:c r="X63" s="82" t="str">
        <x:v>硬约束</x:v>
      </x:c>
      <x:c r="Y63" s="84" t="str">
        <x:v>三维分栏</x:v>
      </x:c>
      <x:c r="Z63" s="84" t="str">
        <x:v>得令、得地、得势须分别输出，再综合到旺衰结论；任何单一维度都不能独立包办最终判断。</x:v>
      </x:c>
      <x:c r="AA63" s="82" t="str">
        <x:v>确定</x:v>
      </x:c>
      <x:c r="AB63" s="82" t="str">
        <x:v>现代综合</x:v>
      </x:c>
      <x:c r="AC63" s="68" t="str">
        <x:v>本库要求证据可追溯，避免“得令即旺”或“有根即强”。</x:v>
      </x:c>
      <x:c r="AD63" s="68" t="str">
        <x:v>甲日得令但无根、无势，结论保留支持与反向证据。</x:v>
      </x:c>
      <x:c r="AE63" s="90" t="str">
        <x:v>只看得令一项就跳到身旺等级。</x:v>
      </x:c>
      <x:c r="AF63" s="68" t="str">
        <x:v>内部模型治理规则</x:v>
      </x:c>
      <x:c r="AG63" s="82" t="str">
        <x:v>采用</x:v>
      </x:c>
      <x:c r="AH63" s="82" t="str">
        <x:v>初审</x:v>
      </x:c>
      <x:c r="AI63" s="87" t="n">
        <x:v>46255</x:v>
      </x:c>
    </x:row>
    <x:row r="64" ht="48" customHeight="1">
      <x:c r="A64" s="72" t="str">
        <x:f>IF(OR(C64="",D64=""),"",B64&amp;"-"&amp;UPPER(C64)&amp;"-"&amp;TEXT(D64,"0000")&amp;"-"&amp;E64)</x:f>
        <x:v>M03-EDGE-0058-V1.0</x:v>
      </x:c>
      <x:c r="B64" s="74" t="str">
        <x:v>M03</x:v>
      </x:c>
      <x:c r="C64" s="74" t="str">
        <x:v>EDGE</x:v>
      </x:c>
      <x:c r="D64" s="79" t="n">
        <x:v>58</x:v>
      </x:c>
      <x:c r="E64" s="74" t="str">
        <x:v>V1.0</x:v>
      </x:c>
      <x:c r="F64" s="68" t="str">
        <x:v>无根不自动等于最终身弱或五行弱</x:v>
      </x:c>
      <x:c r="G64" s="82" t="str">
        <x:v>综合层</x:v>
      </x:c>
      <x:c r="H64" s="68" t="str">
        <x:v>日主及五行</x:v>
      </x:c>
      <x:c r="I64" s="68" t="str">
        <x:v>反例边界</x:v>
      </x:c>
      <x:c r="J64" s="68"/>
      <x:c r="K64" s="82" t="str">
        <x:v>无根</x:v>
      </x:c>
      <x:c r="L64" s="82" t="str">
        <x:v>无根</x:v>
      </x:c>
      <x:c r="M64" s="82" t="str">
        <x:v>其他</x:v>
      </x:c>
      <x:c r="N64" s="68" t="str">
        <x:v>对象已确认无直接根与同类根</x:v>
      </x:c>
      <x:c r="O64" s="68" t="str">
        <x:v>同时检查月令、透干、同党、生源与特殊格局</x:v>
      </x:c>
      <x:c r="P64" s="68" t="str">
        <x:v>对象得令、同党成势、印比连续生扶或特殊格局成立</x:v>
      </x:c>
      <x:c r="Q64" s="68" t="str">
        <x:v>对象失令、无根、无助并受强制泄耗</x:v>
      </x:c>
      <x:c r="R64" s="90" t="str">
        <x:v>不得把无根作为最终弱结论的唯一充分条件</x:v>
      </x:c>
      <x:c r="S64" s="68" t="str">
        <x:v>普通格局中无根通常是重要弱证据；从格等结构另审。</x:v>
      </x:c>
      <x:c r="T64" s="68" t="str">
        <x:v>旺衰结论</x:v>
      </x:c>
      <x:c r="U64" s="82" t="str">
        <x:v>减弱</x:v>
      </x:c>
      <x:c r="V64" s="82" t="str">
        <x:v>强</x:v>
      </x:c>
      <x:c r="W64" s="82" t="str">
        <x:v>P1_高</x:v>
      </x:c>
      <x:c r="X64" s="82" t="str">
        <x:v>例外规则</x:v>
      </x:c>
      <x:c r="Y64" s="84" t="str">
        <x:v>无根非必弱</x:v>
      </x:c>
      <x:c r="Z64" s="84" t="str">
        <x:v>无根是得地不足的重要证据，但最终旺衰仍需结合得令、得势、得生与克泄耗。</x:v>
      </x:c>
      <x:c r="AA64" s="82" t="str">
        <x:v>较高</x:v>
      </x:c>
      <x:c r="AB64" s="82" t="str">
        <x:v>现代综合</x:v>
      </x:c>
      <x:c r="AC64" s="68" t="str">
        <x:v>否定单因决定论，同时保留无根的高权重弱证据。</x:v>
      </x:c>
      <x:c r="AD64" s="68" t="str">
        <x:v>日主无根但得令、印比多透成势时，不宜仅据无根判极弱。</x:v>
      </x:c>
      <x:c r="AE64" s="90" t="str">
        <x:v>日主无根、失令又受强克泄，却因一个透干同类就判中和。</x:v>
      </x:c>
      <x:c r="AF64" s="68" t="str">
        <x:v>内部综合规则</x:v>
      </x:c>
      <x:c r="AG64" s="82" t="str">
        <x:v>待验证</x:v>
      </x:c>
      <x:c r="AH64" s="82" t="str">
        <x:v>初审</x:v>
      </x:c>
      <x:c r="AI64" s="87" t="n">
        <x:v>46255</x:v>
      </x:c>
    </x:row>
    <x:row r="65" ht="48" customHeight="1">
      <x:c r="A65" s="72" t="str">
        <x:f>IF(OR(C65="",D65=""),"",B65&amp;"-"&amp;UPPER(C65)&amp;"-"&amp;TEXT(D65,"0000")&amp;"-"&amp;E65)</x:f>
        <x:v>M03-EDGE-0059-V1.0</x:v>
      </x:c>
      <x:c r="B65" s="74" t="str">
        <x:v>M03</x:v>
      </x:c>
      <x:c r="C65" s="74" t="str">
        <x:v>EDGE</x:v>
      </x:c>
      <x:c r="D65" s="79" t="n">
        <x:v>59</x:v>
      </x:c>
      <x:c r="E65" s="74" t="str">
        <x:v>V1.0</x:v>
      </x:c>
      <x:c r="F65" s="68" t="str">
        <x:v>有根不自动等于最终身旺或五行旺</x:v>
      </x:c>
      <x:c r="G65" s="82" t="str">
        <x:v>综合层</x:v>
      </x:c>
      <x:c r="H65" s="68" t="str">
        <x:v>日主及五行</x:v>
      </x:c>
      <x:c r="I65" s="68" t="str">
        <x:v>反例边界</x:v>
      </x:c>
      <x:c r="J65" s="68"/>
      <x:c r="K65" s="82" t="str">
        <x:v>其他</x:v>
      </x:c>
      <x:c r="L65" s="82" t="str">
        <x:v>待定</x:v>
      </x:c>
      <x:c r="M65" s="82" t="str">
        <x:v>其他</x:v>
      </x:c>
      <x:c r="N65" s="68" t="str">
        <x:v>对象至少有一处直接根或同类根</x:v>
      </x:c>
      <x:c r="O65" s="68" t="str">
        <x:v>同时检查根力、月令、同党、生源及克泄耗</x:v>
      </x:c>
      <x:c r="P65" s="68" t="str">
        <x:v>根深、多根、得令且同党成势</x:v>
      </x:c>
      <x:c r="Q65" s="68" t="str">
        <x:v>根浅、失令、根支受损并遭强制泄耗</x:v>
      </x:c>
      <x:c r="R65" s="90" t="str">
        <x:v>不得把“有根”作为最终旺结论的唯一充分条件</x:v>
      </x:c>
      <x:c r="S65" s="68" t="str">
        <x:v>单一弱根可否决绝对无根，但不必足以改变总体偏弱。</x:v>
      </x:c>
      <x:c r="T65" s="68" t="str">
        <x:v>旺衰结论</x:v>
      </x:c>
      <x:c r="U65" s="82" t="str">
        <x:v>增强</x:v>
      </x:c>
      <x:c r="V65" s="82" t="str">
        <x:v>待定</x:v>
      </x:c>
      <x:c r="W65" s="82" t="str">
        <x:v>P1_高</x:v>
      </x:c>
      <x:c r="X65" s="82" t="str">
        <x:v>例外规则</x:v>
      </x:c>
      <x:c r="Y65" s="84" t="str">
        <x:v>有根非必旺</x:v>
      </x:c>
      <x:c r="Z65" s="84" t="str">
        <x:v>有根只证明对象在地支有落点；根的质量与全局承载决定其能否改变最终旺衰。</x:v>
      </x:c>
      <x:c r="AA65" s="82" t="str">
        <x:v>较高</x:v>
      </x:c>
      <x:c r="AB65" s="82" t="str">
        <x:v>现代综合</x:v>
      </x:c>
      <x:c r="AC65" s="68" t="str">
        <x:v>根气存在性与总体力量必须分开。</x:v>
      </x:c>
      <x:c r="AD65" s="68" t="str">
        <x:v>甲仅有受制的亥中气根，仍可能整体偏弱。</x:v>
      </x:c>
      <x:c r="AE65" s="90" t="str">
        <x:v>只要见一处根就直接判身旺。</x:v>
      </x:c>
      <x:c r="AF65" s="68" t="str">
        <x:v>内部综合规则</x:v>
      </x:c>
      <x:c r="AG65" s="82" t="str">
        <x:v>待验证</x:v>
      </x:c>
      <x:c r="AH65" s="82" t="str">
        <x:v>初审</x:v>
      </x:c>
      <x:c r="AI65" s="87" t="n">
        <x:v>46255</x:v>
      </x:c>
    </x:row>
    <x:row r="66" ht="48" customHeight="1">
      <x:c r="A66" s="72" t="str">
        <x:f>IF(OR(C66="",D66=""),"",B66&amp;"-"&amp;UPPER(C66)&amp;"-"&amp;TEXT(D66,"0000")&amp;"-"&amp;E66)</x:f>
        <x:v>M03-EDGE-0060-V1.0</x:v>
      </x:c>
      <x:c r="B66" s="74" t="str">
        <x:v>M03</x:v>
      </x:c>
      <x:c r="C66" s="74" t="str">
        <x:v>EDGE</x:v>
      </x:c>
      <x:c r="D66" s="79" t="n">
        <x:v>60</x:v>
      </x:c>
      <x:c r="E66" s="74" t="str">
        <x:v>V1.0</x:v>
      </x:c>
      <x:c r="F66" s="68" t="str">
        <x:v>根气结论必须保留原始与有效两套输出</x:v>
      </x:c>
      <x:c r="G66" s="82" t="str">
        <x:v>综合层</x:v>
      </x:c>
      <x:c r="H66" s="68" t="str">
        <x:v>根气与旺衰输出</x:v>
      </x:c>
      <x:c r="I66" s="68" t="str">
        <x:v>输出规范</x:v>
      </x:c>
      <x:c r="J66" s="68"/>
      <x:c r="K66" s="82" t="str">
        <x:v>其他</x:v>
      </x:c>
      <x:c r="L66" s="82" t="str">
        <x:v>待定</x:v>
      </x:c>
      <x:c r="M66" s="82" t="str">
        <x:v>其他</x:v>
      </x:c>
      <x:c r="N66" s="68" t="str">
        <x:v>M03根气识别与M06/M08效应修正均已完成</x:v>
      </x:c>
      <x:c r="O66" s="68" t="str">
        <x:v>同时输出原始根、有效根、支持证据、反向证据与置信度</x:v>
      </x:c>
      <x:c r="P66" s="68" t="str">
        <x:v>证据一致、规则状态已验证且无重大争议</x:v>
      </x:c>
      <x:c r="Q66" s="68" t="str">
        <x:v>交节边界不明、关系效应争议或根力来源共源</x:v>
      </x:c>
      <x:c r="R66" s="90" t="str">
        <x:v>不得只输出“有根/无根”而省略层级、位置、受损与置信度</x:v>
      </x:c>
      <x:c r="S66" s="68" t="str">
        <x:v>存在流派争议时，主结论与备选结论均须进入M21。</x:v>
      </x:c>
      <x:c r="T66" s="68" t="str">
        <x:v>结构化输出</x:v>
      </x:c>
      <x:c r="U66" s="82" t="str">
        <x:v>条件性</x:v>
      </x:c>
      <x:c r="V66" s="82" t="str">
        <x:v>决定性</x:v>
      </x:c>
      <x:c r="W66" s="82" t="str">
        <x:v>P0_硬约束</x:v>
      </x:c>
      <x:c r="X66" s="82" t="str">
        <x:v>硬约束</x:v>
      </x:c>
      <x:c r="Y66" s="84" t="str">
        <x:v>原始有效双输出</x:v>
      </x:c>
      <x:c r="Z66" s="84" t="str">
        <x:v>根气结论统一写为：原始根型与位置、有效根等级、增强因素、削弱因素、反向证据、置信度。</x:v>
      </x:c>
      <x:c r="AA66" s="82" t="str">
        <x:v>确定</x:v>
      </x:c>
      <x:c r="AB66" s="82" t="str">
        <x:v>现代综合</x:v>
      </x:c>
      <x:c r="AC66" s="68" t="str">
        <x:v>为M07、M08、M09提供可追溯输入，避免同一案例反复改口。</x:v>
      </x:c>
      <x:c r="AD66" s="68" t="str">
        <x:v>原始：甲有寅本气根；有效：寅受冲但得令，根力中等偏强，置信较高。</x:v>
      </x:c>
      <x:c r="AE66" s="90" t="str">
        <x:v>只写“甲有根”，不说明根在哪里、是否受损及为何有效。</x:v>
      </x:c>
      <x:c r="AF66" s="68" t="str">
        <x:v>内部输出治理规则</x:v>
      </x:c>
      <x:c r="AG66" s="82" t="str">
        <x:v>采用</x:v>
      </x:c>
      <x:c r="AH66" s="82" t="str">
        <x:v>初审</x:v>
      </x:c>
      <x:c r="AI66" s="87" t="n">
        <x:v>46255</x:v>
      </x:c>
    </x:row>
    <x:row r="67">
      <x:c r="A67" s="72" t="str">
        <x:f>IF(OR(C67="",D67=""),"",B67&amp;"-"&amp;UPPER(C67)&amp;"-"&amp;TEXT(D67,"0000")&amp;"-"&amp;E67)</x:f>
      </x:c>
      <x:c r="B67" s="74" t="str">
        <x:v>M03</x:v>
      </x:c>
      <x:c r="C67" s="74"/>
      <x:c r="D67" s="79"/>
      <x:c r="E67" s="74" t="str">
        <x:v>V1.0</x:v>
      </x:c>
      <x:c r="F67" s="68"/>
      <x:c r="G67" s="82"/>
      <x:c r="H67" s="68"/>
      <x:c r="I67" s="68"/>
      <x:c r="J67" s="68"/>
      <x:c r="K67" s="82"/>
      <x:c r="L67" s="82"/>
      <x:c r="M67" s="82"/>
      <x:c r="N67" s="68"/>
      <x:c r="O67" s="68"/>
      <x:c r="P67" s="68"/>
      <x:c r="Q67" s="68"/>
      <x:c r="R67" s="90"/>
      <x:c r="S67" s="68"/>
      <x:c r="T67" s="68"/>
      <x:c r="U67" s="82"/>
      <x:c r="V67" s="82"/>
      <x:c r="W67" s="82"/>
      <x:c r="X67" s="82"/>
      <x:c r="Y67" s="84"/>
      <x:c r="Z67" s="84"/>
      <x:c r="AA67" s="82"/>
      <x:c r="AB67" s="82"/>
      <x:c r="AC67" s="68"/>
      <x:c r="AD67" s="68"/>
      <x:c r="AE67" s="90"/>
      <x:c r="AF67" s="68"/>
      <x:c r="AG67" s="82"/>
      <x:c r="AH67" s="82"/>
      <x:c r="AI67" s="87"/>
    </x:row>
    <x:row r="68">
      <x:c r="A68" s="72" t="str">
        <x:f>IF(OR(C68="",D68=""),"",B68&amp;"-"&amp;UPPER(C68)&amp;"-"&amp;TEXT(D68,"0000")&amp;"-"&amp;E68)</x:f>
      </x:c>
      <x:c r="B68" s="74" t="str">
        <x:v>M03</x:v>
      </x:c>
      <x:c r="C68" s="74"/>
      <x:c r="D68" s="79"/>
      <x:c r="E68" s="74" t="str">
        <x:v>V1.0</x:v>
      </x:c>
      <x:c r="F68" s="68"/>
      <x:c r="G68" s="82"/>
      <x:c r="H68" s="68"/>
      <x:c r="I68" s="68"/>
      <x:c r="J68" s="68"/>
      <x:c r="K68" s="82"/>
      <x:c r="L68" s="82"/>
      <x:c r="M68" s="82"/>
      <x:c r="N68" s="68"/>
      <x:c r="O68" s="68"/>
      <x:c r="P68" s="68"/>
      <x:c r="Q68" s="68"/>
      <x:c r="R68" s="90"/>
      <x:c r="S68" s="68"/>
      <x:c r="T68" s="68"/>
      <x:c r="U68" s="82"/>
      <x:c r="V68" s="82"/>
      <x:c r="W68" s="82"/>
      <x:c r="X68" s="82"/>
      <x:c r="Y68" s="84"/>
      <x:c r="Z68" s="84"/>
      <x:c r="AA68" s="82"/>
      <x:c r="AB68" s="82"/>
      <x:c r="AC68" s="68"/>
      <x:c r="AD68" s="68"/>
      <x:c r="AE68" s="90"/>
      <x:c r="AF68" s="68"/>
      <x:c r="AG68" s="82"/>
      <x:c r="AH68" s="82"/>
      <x:c r="AI68" s="87"/>
    </x:row>
    <x:row r="69">
      <x:c r="A69" s="72" t="str">
        <x:f>IF(OR(C69="",D69=""),"",B69&amp;"-"&amp;UPPER(C69)&amp;"-"&amp;TEXT(D69,"0000")&amp;"-"&amp;E69)</x:f>
      </x:c>
      <x:c r="B69" s="74" t="str">
        <x:v>M03</x:v>
      </x:c>
      <x:c r="C69" s="74"/>
      <x:c r="D69" s="79"/>
      <x:c r="E69" s="74" t="str">
        <x:v>V1.0</x:v>
      </x:c>
      <x:c r="F69" s="68"/>
      <x:c r="G69" s="82"/>
      <x:c r="H69" s="68"/>
      <x:c r="I69" s="68"/>
      <x:c r="J69" s="68"/>
      <x:c r="K69" s="82"/>
      <x:c r="L69" s="82"/>
      <x:c r="M69" s="82"/>
      <x:c r="N69" s="68"/>
      <x:c r="O69" s="68"/>
      <x:c r="P69" s="68"/>
      <x:c r="Q69" s="68"/>
      <x:c r="R69" s="90"/>
      <x:c r="S69" s="68"/>
      <x:c r="T69" s="68"/>
      <x:c r="U69" s="82"/>
      <x:c r="V69" s="82"/>
      <x:c r="W69" s="82"/>
      <x:c r="X69" s="82"/>
      <x:c r="Y69" s="84"/>
      <x:c r="Z69" s="84"/>
      <x:c r="AA69" s="82"/>
      <x:c r="AB69" s="82"/>
      <x:c r="AC69" s="68"/>
      <x:c r="AD69" s="68"/>
      <x:c r="AE69" s="90"/>
      <x:c r="AF69" s="68"/>
      <x:c r="AG69" s="82"/>
      <x:c r="AH69" s="82"/>
      <x:c r="AI69" s="87"/>
    </x:row>
    <x:row r="70">
      <x:c r="A70" s="72" t="str">
        <x:f>IF(OR(C70="",D70=""),"",B70&amp;"-"&amp;UPPER(C70)&amp;"-"&amp;TEXT(D70,"0000")&amp;"-"&amp;E70)</x:f>
      </x:c>
      <x:c r="B70" s="74" t="str">
        <x:v>M03</x:v>
      </x:c>
      <x:c r="C70" s="74"/>
      <x:c r="D70" s="79"/>
      <x:c r="E70" s="74" t="str">
        <x:v>V1.0</x:v>
      </x:c>
      <x:c r="F70" s="68"/>
      <x:c r="G70" s="82"/>
      <x:c r="H70" s="68"/>
      <x:c r="I70" s="68"/>
      <x:c r="J70" s="68"/>
      <x:c r="K70" s="82"/>
      <x:c r="L70" s="82"/>
      <x:c r="M70" s="82"/>
      <x:c r="N70" s="68"/>
      <x:c r="O70" s="68"/>
      <x:c r="P70" s="68"/>
      <x:c r="Q70" s="68"/>
      <x:c r="R70" s="90"/>
      <x:c r="S70" s="68"/>
      <x:c r="T70" s="68"/>
      <x:c r="U70" s="82"/>
      <x:c r="V70" s="82"/>
      <x:c r="W70" s="82"/>
      <x:c r="X70" s="82"/>
      <x:c r="Y70" s="84"/>
      <x:c r="Z70" s="84"/>
      <x:c r="AA70" s="82"/>
      <x:c r="AB70" s="82"/>
      <x:c r="AC70" s="68"/>
      <x:c r="AD70" s="68"/>
      <x:c r="AE70" s="90"/>
      <x:c r="AF70" s="68"/>
      <x:c r="AG70" s="82"/>
      <x:c r="AH70" s="82"/>
      <x:c r="AI70" s="87"/>
    </x:row>
    <x:row r="71">
      <x:c r="A71" s="72" t="str">
        <x:f>IF(OR(C71="",D71=""),"",B71&amp;"-"&amp;UPPER(C71)&amp;"-"&amp;TEXT(D71,"0000")&amp;"-"&amp;E71)</x:f>
      </x:c>
      <x:c r="B71" s="74" t="str">
        <x:v>M03</x:v>
      </x:c>
      <x:c r="C71" s="74"/>
      <x:c r="D71" s="79"/>
      <x:c r="E71" s="74" t="str">
        <x:v>V1.0</x:v>
      </x:c>
      <x:c r="F71" s="68"/>
      <x:c r="G71" s="82"/>
      <x:c r="H71" s="68"/>
      <x:c r="I71" s="68"/>
      <x:c r="J71" s="68"/>
      <x:c r="K71" s="82"/>
      <x:c r="L71" s="82"/>
      <x:c r="M71" s="82"/>
      <x:c r="N71" s="68"/>
      <x:c r="O71" s="68"/>
      <x:c r="P71" s="68"/>
      <x:c r="Q71" s="68"/>
      <x:c r="R71" s="90"/>
      <x:c r="S71" s="68"/>
      <x:c r="T71" s="68"/>
      <x:c r="U71" s="82"/>
      <x:c r="V71" s="82"/>
      <x:c r="W71" s="82"/>
      <x:c r="X71" s="82"/>
      <x:c r="Y71" s="84"/>
      <x:c r="Z71" s="84"/>
      <x:c r="AA71" s="82"/>
      <x:c r="AB71" s="82"/>
      <x:c r="AC71" s="68"/>
      <x:c r="AD71" s="68"/>
      <x:c r="AE71" s="90"/>
      <x:c r="AF71" s="68"/>
      <x:c r="AG71" s="82"/>
      <x:c r="AH71" s="82"/>
      <x:c r="AI71" s="87"/>
    </x:row>
    <x:row r="72">
      <x:c r="A72" s="72" t="str">
        <x:f>IF(OR(C72="",D72=""),"",B72&amp;"-"&amp;UPPER(C72)&amp;"-"&amp;TEXT(D72,"0000")&amp;"-"&amp;E72)</x:f>
      </x:c>
      <x:c r="B72" s="74" t="str">
        <x:v>M03</x:v>
      </x:c>
      <x:c r="C72" s="74"/>
      <x:c r="D72" s="79"/>
      <x:c r="E72" s="74" t="str">
        <x:v>V1.0</x:v>
      </x:c>
      <x:c r="F72" s="68"/>
      <x:c r="G72" s="82"/>
      <x:c r="H72" s="68"/>
      <x:c r="I72" s="68"/>
      <x:c r="J72" s="68"/>
      <x:c r="K72" s="82"/>
      <x:c r="L72" s="82"/>
      <x:c r="M72" s="82"/>
      <x:c r="N72" s="68"/>
      <x:c r="O72" s="68"/>
      <x:c r="P72" s="68"/>
      <x:c r="Q72" s="68"/>
      <x:c r="R72" s="90"/>
      <x:c r="S72" s="68"/>
      <x:c r="T72" s="68"/>
      <x:c r="U72" s="82"/>
      <x:c r="V72" s="82"/>
      <x:c r="W72" s="82"/>
      <x:c r="X72" s="82"/>
      <x:c r="Y72" s="84"/>
      <x:c r="Z72" s="84"/>
      <x:c r="AA72" s="82"/>
      <x:c r="AB72" s="82"/>
      <x:c r="AC72" s="68"/>
      <x:c r="AD72" s="68"/>
      <x:c r="AE72" s="90"/>
      <x:c r="AF72" s="68"/>
      <x:c r="AG72" s="82"/>
      <x:c r="AH72" s="82"/>
      <x:c r="AI72" s="87"/>
    </x:row>
    <x:row r="73">
      <x:c r="A73" s="72" t="str">
        <x:f>IF(OR(C73="",D73=""),"",B73&amp;"-"&amp;UPPER(C73)&amp;"-"&amp;TEXT(D73,"0000")&amp;"-"&amp;E73)</x:f>
      </x:c>
      <x:c r="B73" s="74" t="str">
        <x:v>M03</x:v>
      </x:c>
      <x:c r="C73" s="74"/>
      <x:c r="D73" s="79"/>
      <x:c r="E73" s="74" t="str">
        <x:v>V1.0</x:v>
      </x:c>
      <x:c r="F73" s="68"/>
      <x:c r="G73" s="82"/>
      <x:c r="H73" s="68"/>
      <x:c r="I73" s="68"/>
      <x:c r="J73" s="68"/>
      <x:c r="K73" s="82"/>
      <x:c r="L73" s="82"/>
      <x:c r="M73" s="82"/>
      <x:c r="N73" s="68"/>
      <x:c r="O73" s="68"/>
      <x:c r="P73" s="68"/>
      <x:c r="Q73" s="68"/>
      <x:c r="R73" s="90"/>
      <x:c r="S73" s="68"/>
      <x:c r="T73" s="68"/>
      <x:c r="U73" s="82"/>
      <x:c r="V73" s="82"/>
      <x:c r="W73" s="82"/>
      <x:c r="X73" s="82"/>
      <x:c r="Y73" s="84"/>
      <x:c r="Z73" s="84"/>
      <x:c r="AA73" s="82"/>
      <x:c r="AB73" s="82"/>
      <x:c r="AC73" s="68"/>
      <x:c r="AD73" s="68"/>
      <x:c r="AE73" s="90"/>
      <x:c r="AF73" s="68"/>
      <x:c r="AG73" s="82"/>
      <x:c r="AH73" s="82"/>
      <x:c r="AI73" s="87"/>
    </x:row>
    <x:row r="74">
      <x:c r="A74" s="72" t="str">
        <x:f>IF(OR(C74="",D74=""),"",B74&amp;"-"&amp;UPPER(C74)&amp;"-"&amp;TEXT(D74,"0000")&amp;"-"&amp;E74)</x:f>
      </x:c>
      <x:c r="B74" s="74" t="str">
        <x:v>M03</x:v>
      </x:c>
      <x:c r="C74" s="74"/>
      <x:c r="D74" s="79"/>
      <x:c r="E74" s="74" t="str">
        <x:v>V1.0</x:v>
      </x:c>
      <x:c r="F74" s="68"/>
      <x:c r="G74" s="82"/>
      <x:c r="H74" s="68"/>
      <x:c r="I74" s="68"/>
      <x:c r="J74" s="68"/>
      <x:c r="K74" s="82"/>
      <x:c r="L74" s="82"/>
      <x:c r="M74" s="82"/>
      <x:c r="N74" s="68"/>
      <x:c r="O74" s="68"/>
      <x:c r="P74" s="68"/>
      <x:c r="Q74" s="68"/>
      <x:c r="R74" s="90"/>
      <x:c r="S74" s="68"/>
      <x:c r="T74" s="68"/>
      <x:c r="U74" s="82"/>
      <x:c r="V74" s="82"/>
      <x:c r="W74" s="82"/>
      <x:c r="X74" s="82"/>
      <x:c r="Y74" s="84"/>
      <x:c r="Z74" s="84"/>
      <x:c r="AA74" s="82"/>
      <x:c r="AB74" s="82"/>
      <x:c r="AC74" s="68"/>
      <x:c r="AD74" s="68"/>
      <x:c r="AE74" s="90"/>
      <x:c r="AF74" s="68"/>
      <x:c r="AG74" s="82"/>
      <x:c r="AH74" s="82"/>
      <x:c r="AI74" s="87"/>
    </x:row>
    <x:row r="75">
      <x:c r="A75" s="72" t="str">
        <x:f>IF(OR(C75="",D75=""),"",B75&amp;"-"&amp;UPPER(C75)&amp;"-"&amp;TEXT(D75,"0000")&amp;"-"&amp;E75)</x:f>
      </x:c>
      <x:c r="B75" s="74" t="str">
        <x:v>M03</x:v>
      </x:c>
      <x:c r="C75" s="74"/>
      <x:c r="D75" s="79"/>
      <x:c r="E75" s="74" t="str">
        <x:v>V1.0</x:v>
      </x:c>
      <x:c r="F75" s="68"/>
      <x:c r="G75" s="82"/>
      <x:c r="H75" s="68"/>
      <x:c r="I75" s="68"/>
      <x:c r="J75" s="68"/>
      <x:c r="K75" s="82"/>
      <x:c r="L75" s="82"/>
      <x:c r="M75" s="82"/>
      <x:c r="N75" s="68"/>
      <x:c r="O75" s="68"/>
      <x:c r="P75" s="68"/>
      <x:c r="Q75" s="68"/>
      <x:c r="R75" s="90"/>
      <x:c r="S75" s="68"/>
      <x:c r="T75" s="68"/>
      <x:c r="U75" s="82"/>
      <x:c r="V75" s="82"/>
      <x:c r="W75" s="82"/>
      <x:c r="X75" s="82"/>
      <x:c r="Y75" s="84"/>
      <x:c r="Z75" s="84"/>
      <x:c r="AA75" s="82"/>
      <x:c r="AB75" s="82"/>
      <x:c r="AC75" s="68"/>
      <x:c r="AD75" s="68"/>
      <x:c r="AE75" s="90"/>
      <x:c r="AF75" s="68"/>
      <x:c r="AG75" s="82"/>
      <x:c r="AH75" s="82"/>
      <x:c r="AI75" s="87"/>
    </x:row>
    <x:row r="76">
      <x:c r="A76" s="72" t="str">
        <x:f>IF(OR(C76="",D76=""),"",B76&amp;"-"&amp;UPPER(C76)&amp;"-"&amp;TEXT(D76,"0000")&amp;"-"&amp;E76)</x:f>
      </x:c>
      <x:c r="B76" s="74" t="str">
        <x:v>M03</x:v>
      </x:c>
      <x:c r="C76" s="74"/>
      <x:c r="D76" s="79"/>
      <x:c r="E76" s="74" t="str">
        <x:v>V1.0</x:v>
      </x:c>
      <x:c r="F76" s="68"/>
      <x:c r="G76" s="82"/>
      <x:c r="H76" s="68"/>
      <x:c r="I76" s="68"/>
      <x:c r="J76" s="68"/>
      <x:c r="K76" s="82"/>
      <x:c r="L76" s="82"/>
      <x:c r="M76" s="82"/>
      <x:c r="N76" s="68"/>
      <x:c r="O76" s="68"/>
      <x:c r="P76" s="68"/>
      <x:c r="Q76" s="68"/>
      <x:c r="R76" s="90"/>
      <x:c r="S76" s="68"/>
      <x:c r="T76" s="68"/>
      <x:c r="U76" s="82"/>
      <x:c r="V76" s="82"/>
      <x:c r="W76" s="82"/>
      <x:c r="X76" s="82"/>
      <x:c r="Y76" s="84"/>
      <x:c r="Z76" s="84"/>
      <x:c r="AA76" s="82"/>
      <x:c r="AB76" s="82"/>
      <x:c r="AC76" s="68"/>
      <x:c r="AD76" s="68"/>
      <x:c r="AE76" s="90"/>
      <x:c r="AF76" s="68"/>
      <x:c r="AG76" s="82"/>
      <x:c r="AH76" s="82"/>
      <x:c r="AI76" s="87"/>
    </x:row>
    <x:row r="77">
      <x:c r="A77" s="72" t="str">
        <x:f>IF(OR(C77="",D77=""),"",B77&amp;"-"&amp;UPPER(C77)&amp;"-"&amp;TEXT(D77,"0000")&amp;"-"&amp;E77)</x:f>
      </x:c>
      <x:c r="B77" s="74" t="str">
        <x:v>M03</x:v>
      </x:c>
      <x:c r="C77" s="74"/>
      <x:c r="D77" s="79"/>
      <x:c r="E77" s="74" t="str">
        <x:v>V1.0</x:v>
      </x:c>
      <x:c r="F77" s="68"/>
      <x:c r="G77" s="82"/>
      <x:c r="H77" s="68"/>
      <x:c r="I77" s="68"/>
      <x:c r="J77" s="68"/>
      <x:c r="K77" s="82"/>
      <x:c r="L77" s="82"/>
      <x:c r="M77" s="82"/>
      <x:c r="N77" s="68"/>
      <x:c r="O77" s="68"/>
      <x:c r="P77" s="68"/>
      <x:c r="Q77" s="68"/>
      <x:c r="R77" s="90"/>
      <x:c r="S77" s="68"/>
      <x:c r="T77" s="68"/>
      <x:c r="U77" s="82"/>
      <x:c r="V77" s="82"/>
      <x:c r="W77" s="82"/>
      <x:c r="X77" s="82"/>
      <x:c r="Y77" s="84"/>
      <x:c r="Z77" s="84"/>
      <x:c r="AA77" s="82"/>
      <x:c r="AB77" s="82"/>
      <x:c r="AC77" s="68"/>
      <x:c r="AD77" s="68"/>
      <x:c r="AE77" s="90"/>
      <x:c r="AF77" s="68"/>
      <x:c r="AG77" s="82"/>
      <x:c r="AH77" s="82"/>
      <x:c r="AI77" s="87"/>
    </x:row>
    <x:row r="78">
      <x:c r="A78" s="72" t="str">
        <x:f>IF(OR(C78="",D78=""),"",B78&amp;"-"&amp;UPPER(C78)&amp;"-"&amp;TEXT(D78,"0000")&amp;"-"&amp;E78)</x:f>
      </x:c>
      <x:c r="B78" s="74" t="str">
        <x:v>M03</x:v>
      </x:c>
      <x:c r="C78" s="74"/>
      <x:c r="D78" s="79"/>
      <x:c r="E78" s="74" t="str">
        <x:v>V1.0</x:v>
      </x:c>
      <x:c r="F78" s="68"/>
      <x:c r="G78" s="82"/>
      <x:c r="H78" s="68"/>
      <x:c r="I78" s="68"/>
      <x:c r="J78" s="68"/>
      <x:c r="K78" s="82"/>
      <x:c r="L78" s="82"/>
      <x:c r="M78" s="82"/>
      <x:c r="N78" s="68"/>
      <x:c r="O78" s="68"/>
      <x:c r="P78" s="68"/>
      <x:c r="Q78" s="68"/>
      <x:c r="R78" s="90"/>
      <x:c r="S78" s="68"/>
      <x:c r="T78" s="68"/>
      <x:c r="U78" s="82"/>
      <x:c r="V78" s="82"/>
      <x:c r="W78" s="82"/>
      <x:c r="X78" s="82"/>
      <x:c r="Y78" s="84"/>
      <x:c r="Z78" s="84"/>
      <x:c r="AA78" s="82"/>
      <x:c r="AB78" s="82"/>
      <x:c r="AC78" s="68"/>
      <x:c r="AD78" s="68"/>
      <x:c r="AE78" s="90"/>
      <x:c r="AF78" s="68"/>
      <x:c r="AG78" s="82"/>
      <x:c r="AH78" s="82"/>
      <x:c r="AI78" s="87"/>
    </x:row>
    <x:row r="79">
      <x:c r="A79" s="72" t="str">
        <x:f>IF(OR(C79="",D79=""),"",B79&amp;"-"&amp;UPPER(C79)&amp;"-"&amp;TEXT(D79,"0000")&amp;"-"&amp;E79)</x:f>
      </x:c>
      <x:c r="B79" s="74" t="str">
        <x:v>M03</x:v>
      </x:c>
      <x:c r="C79" s="74"/>
      <x:c r="D79" s="79"/>
      <x:c r="E79" s="74" t="str">
        <x:v>V1.0</x:v>
      </x:c>
      <x:c r="F79" s="68"/>
      <x:c r="G79" s="82"/>
      <x:c r="H79" s="68"/>
      <x:c r="I79" s="68"/>
      <x:c r="J79" s="68"/>
      <x:c r="K79" s="82"/>
      <x:c r="L79" s="82"/>
      <x:c r="M79" s="82"/>
      <x:c r="N79" s="68"/>
      <x:c r="O79" s="68"/>
      <x:c r="P79" s="68"/>
      <x:c r="Q79" s="68"/>
      <x:c r="R79" s="90"/>
      <x:c r="S79" s="68"/>
      <x:c r="T79" s="68"/>
      <x:c r="U79" s="82"/>
      <x:c r="V79" s="82"/>
      <x:c r="W79" s="82"/>
      <x:c r="X79" s="82"/>
      <x:c r="Y79" s="84"/>
      <x:c r="Z79" s="84"/>
      <x:c r="AA79" s="82"/>
      <x:c r="AB79" s="82"/>
      <x:c r="AC79" s="68"/>
      <x:c r="AD79" s="68"/>
      <x:c r="AE79" s="90"/>
      <x:c r="AF79" s="68"/>
      <x:c r="AG79" s="82"/>
      <x:c r="AH79" s="82"/>
      <x:c r="AI79" s="87"/>
    </x:row>
    <x:row r="80">
      <x:c r="A80" s="72" t="str">
        <x:f>IF(OR(C80="",D80=""),"",B80&amp;"-"&amp;UPPER(C80)&amp;"-"&amp;TEXT(D80,"0000")&amp;"-"&amp;E80)</x:f>
      </x:c>
      <x:c r="B80" s="74" t="str">
        <x:v>M03</x:v>
      </x:c>
      <x:c r="C80" s="74"/>
      <x:c r="D80" s="79"/>
      <x:c r="E80" s="74" t="str">
        <x:v>V1.0</x:v>
      </x:c>
      <x:c r="F80" s="68"/>
      <x:c r="G80" s="82"/>
      <x:c r="H80" s="68"/>
      <x:c r="I80" s="68"/>
      <x:c r="J80" s="68"/>
      <x:c r="K80" s="82"/>
      <x:c r="L80" s="82"/>
      <x:c r="M80" s="82"/>
      <x:c r="N80" s="68"/>
      <x:c r="O80" s="68"/>
      <x:c r="P80" s="68"/>
      <x:c r="Q80" s="68"/>
      <x:c r="R80" s="90"/>
      <x:c r="S80" s="68"/>
      <x:c r="T80" s="68"/>
      <x:c r="U80" s="82"/>
      <x:c r="V80" s="82"/>
      <x:c r="W80" s="82"/>
      <x:c r="X80" s="82"/>
      <x:c r="Y80" s="84"/>
      <x:c r="Z80" s="84"/>
      <x:c r="AA80" s="82"/>
      <x:c r="AB80" s="82"/>
      <x:c r="AC80" s="68"/>
      <x:c r="AD80" s="68"/>
      <x:c r="AE80" s="90"/>
      <x:c r="AF80" s="68"/>
      <x:c r="AG80" s="82"/>
      <x:c r="AH80" s="82"/>
      <x:c r="AI80" s="87"/>
    </x:row>
    <x:row r="81">
      <x:c r="A81" s="72" t="str">
        <x:f>IF(OR(C81="",D81=""),"",B81&amp;"-"&amp;UPPER(C81)&amp;"-"&amp;TEXT(D81,"0000")&amp;"-"&amp;E81)</x:f>
      </x:c>
      <x:c r="B81" s="74" t="str">
        <x:v>M03</x:v>
      </x:c>
      <x:c r="C81" s="74"/>
      <x:c r="D81" s="79"/>
      <x:c r="E81" s="74" t="str">
        <x:v>V1.0</x:v>
      </x:c>
      <x:c r="F81" s="68"/>
      <x:c r="G81" s="82"/>
      <x:c r="H81" s="68"/>
      <x:c r="I81" s="68"/>
      <x:c r="J81" s="68"/>
      <x:c r="K81" s="82"/>
      <x:c r="L81" s="82"/>
      <x:c r="M81" s="82"/>
      <x:c r="N81" s="68"/>
      <x:c r="O81" s="68"/>
      <x:c r="P81" s="68"/>
      <x:c r="Q81" s="68"/>
      <x:c r="R81" s="90"/>
      <x:c r="S81" s="68"/>
      <x:c r="T81" s="68"/>
      <x:c r="U81" s="82"/>
      <x:c r="V81" s="82"/>
      <x:c r="W81" s="82"/>
      <x:c r="X81" s="82"/>
      <x:c r="Y81" s="84"/>
      <x:c r="Z81" s="84"/>
      <x:c r="AA81" s="82"/>
      <x:c r="AB81" s="82"/>
      <x:c r="AC81" s="68"/>
      <x:c r="AD81" s="68"/>
      <x:c r="AE81" s="90"/>
      <x:c r="AF81" s="68"/>
      <x:c r="AG81" s="82"/>
      <x:c r="AH81" s="82"/>
      <x:c r="AI81" s="87"/>
    </x:row>
    <x:row r="82">
      <x:c r="A82" s="72" t="str">
        <x:f>IF(OR(C82="",D82=""),"",B82&amp;"-"&amp;UPPER(C82)&amp;"-"&amp;TEXT(D82,"0000")&amp;"-"&amp;E82)</x:f>
      </x:c>
      <x:c r="B82" s="74" t="str">
        <x:v>M03</x:v>
      </x:c>
      <x:c r="C82" s="74"/>
      <x:c r="D82" s="79"/>
      <x:c r="E82" s="74" t="str">
        <x:v>V1.0</x:v>
      </x:c>
      <x:c r="F82" s="68"/>
      <x:c r="G82" s="82"/>
      <x:c r="H82" s="68"/>
      <x:c r="I82" s="68"/>
      <x:c r="J82" s="68"/>
      <x:c r="K82" s="82"/>
      <x:c r="L82" s="82"/>
      <x:c r="M82" s="82"/>
      <x:c r="N82" s="68"/>
      <x:c r="O82" s="68"/>
      <x:c r="P82" s="68"/>
      <x:c r="Q82" s="68"/>
      <x:c r="R82" s="90"/>
      <x:c r="S82" s="68"/>
      <x:c r="T82" s="68"/>
      <x:c r="U82" s="82"/>
      <x:c r="V82" s="82"/>
      <x:c r="W82" s="82"/>
      <x:c r="X82" s="82"/>
      <x:c r="Y82" s="84"/>
      <x:c r="Z82" s="84"/>
      <x:c r="AA82" s="82"/>
      <x:c r="AB82" s="82"/>
      <x:c r="AC82" s="68"/>
      <x:c r="AD82" s="68"/>
      <x:c r="AE82" s="90"/>
      <x:c r="AF82" s="68"/>
      <x:c r="AG82" s="82"/>
      <x:c r="AH82" s="82"/>
      <x:c r="AI82" s="87"/>
    </x:row>
    <x:row r="83">
      <x:c r="A83" s="72" t="str">
        <x:f>IF(OR(C83="",D83=""),"",B83&amp;"-"&amp;UPPER(C83)&amp;"-"&amp;TEXT(D83,"0000")&amp;"-"&amp;E83)</x:f>
      </x:c>
      <x:c r="B83" s="74" t="str">
        <x:v>M03</x:v>
      </x:c>
      <x:c r="C83" s="74"/>
      <x:c r="D83" s="79"/>
      <x:c r="E83" s="74" t="str">
        <x:v>V1.0</x:v>
      </x:c>
      <x:c r="F83" s="68"/>
      <x:c r="G83" s="82"/>
      <x:c r="H83" s="68"/>
      <x:c r="I83" s="68"/>
      <x:c r="J83" s="68"/>
      <x:c r="K83" s="82"/>
      <x:c r="L83" s="82"/>
      <x:c r="M83" s="82"/>
      <x:c r="N83" s="68"/>
      <x:c r="O83" s="68"/>
      <x:c r="P83" s="68"/>
      <x:c r="Q83" s="68"/>
      <x:c r="R83" s="90"/>
      <x:c r="S83" s="68"/>
      <x:c r="T83" s="68"/>
      <x:c r="U83" s="82"/>
      <x:c r="V83" s="82"/>
      <x:c r="W83" s="82"/>
      <x:c r="X83" s="82"/>
      <x:c r="Y83" s="84"/>
      <x:c r="Z83" s="84"/>
      <x:c r="AA83" s="82"/>
      <x:c r="AB83" s="82"/>
      <x:c r="AC83" s="68"/>
      <x:c r="AD83" s="68"/>
      <x:c r="AE83" s="90"/>
      <x:c r="AF83" s="68"/>
      <x:c r="AG83" s="82"/>
      <x:c r="AH83" s="82"/>
      <x:c r="AI83" s="87"/>
    </x:row>
    <x:row r="84">
      <x:c r="A84" s="72" t="str">
        <x:f>IF(OR(C84="",D84=""),"",B84&amp;"-"&amp;UPPER(C84)&amp;"-"&amp;TEXT(D84,"0000")&amp;"-"&amp;E84)</x:f>
      </x:c>
      <x:c r="B84" s="74" t="str">
        <x:v>M03</x:v>
      </x:c>
      <x:c r="C84" s="74"/>
      <x:c r="D84" s="79"/>
      <x:c r="E84" s="74" t="str">
        <x:v>V1.0</x:v>
      </x:c>
      <x:c r="F84" s="68"/>
      <x:c r="G84" s="82"/>
      <x:c r="H84" s="68"/>
      <x:c r="I84" s="68"/>
      <x:c r="J84" s="68"/>
      <x:c r="K84" s="82"/>
      <x:c r="L84" s="82"/>
      <x:c r="M84" s="82"/>
      <x:c r="N84" s="68"/>
      <x:c r="O84" s="68"/>
      <x:c r="P84" s="68"/>
      <x:c r="Q84" s="68"/>
      <x:c r="R84" s="90"/>
      <x:c r="S84" s="68"/>
      <x:c r="T84" s="68"/>
      <x:c r="U84" s="82"/>
      <x:c r="V84" s="82"/>
      <x:c r="W84" s="82"/>
      <x:c r="X84" s="82"/>
      <x:c r="Y84" s="84"/>
      <x:c r="Z84" s="84"/>
      <x:c r="AA84" s="82"/>
      <x:c r="AB84" s="82"/>
      <x:c r="AC84" s="68"/>
      <x:c r="AD84" s="68"/>
      <x:c r="AE84" s="90"/>
      <x:c r="AF84" s="68"/>
      <x:c r="AG84" s="82"/>
      <x:c r="AH84" s="82"/>
      <x:c r="AI84" s="87"/>
    </x:row>
    <x:row r="85">
      <x:c r="A85" s="72" t="str">
        <x:f>IF(OR(C85="",D85=""),"",B85&amp;"-"&amp;UPPER(C85)&amp;"-"&amp;TEXT(D85,"0000")&amp;"-"&amp;E85)</x:f>
      </x:c>
      <x:c r="B85" s="74" t="str">
        <x:v>M03</x:v>
      </x:c>
      <x:c r="C85" s="74"/>
      <x:c r="D85" s="79"/>
      <x:c r="E85" s="74" t="str">
        <x:v>V1.0</x:v>
      </x:c>
      <x:c r="F85" s="68"/>
      <x:c r="G85" s="82"/>
      <x:c r="H85" s="68"/>
      <x:c r="I85" s="68"/>
      <x:c r="J85" s="68"/>
      <x:c r="K85" s="82"/>
      <x:c r="L85" s="82"/>
      <x:c r="M85" s="82"/>
      <x:c r="N85" s="68"/>
      <x:c r="O85" s="68"/>
      <x:c r="P85" s="68"/>
      <x:c r="Q85" s="68"/>
      <x:c r="R85" s="90"/>
      <x:c r="S85" s="68"/>
      <x:c r="T85" s="68"/>
      <x:c r="U85" s="82"/>
      <x:c r="V85" s="82"/>
      <x:c r="W85" s="82"/>
      <x:c r="X85" s="82"/>
      <x:c r="Y85" s="84"/>
      <x:c r="Z85" s="84"/>
      <x:c r="AA85" s="82"/>
      <x:c r="AB85" s="82"/>
      <x:c r="AC85" s="68"/>
      <x:c r="AD85" s="68"/>
      <x:c r="AE85" s="90"/>
      <x:c r="AF85" s="68"/>
      <x:c r="AG85" s="82"/>
      <x:c r="AH85" s="82"/>
      <x:c r="AI85" s="87"/>
    </x:row>
    <x:row r="86">
      <x:c r="A86" s="72" t="str">
        <x:f>IF(OR(C86="",D86=""),"",B86&amp;"-"&amp;UPPER(C86)&amp;"-"&amp;TEXT(D86,"0000")&amp;"-"&amp;E86)</x:f>
      </x:c>
      <x:c r="B86" s="74" t="str">
        <x:v>M03</x:v>
      </x:c>
      <x:c r="C86" s="74"/>
      <x:c r="D86" s="79"/>
      <x:c r="E86" s="74" t="str">
        <x:v>V1.0</x:v>
      </x:c>
      <x:c r="F86" s="68"/>
      <x:c r="G86" s="82"/>
      <x:c r="H86" s="68"/>
      <x:c r="I86" s="68"/>
      <x:c r="J86" s="68"/>
      <x:c r="K86" s="82"/>
      <x:c r="L86" s="82"/>
      <x:c r="M86" s="82"/>
      <x:c r="N86" s="68"/>
      <x:c r="O86" s="68"/>
      <x:c r="P86" s="68"/>
      <x:c r="Q86" s="68"/>
      <x:c r="R86" s="90"/>
      <x:c r="S86" s="68"/>
      <x:c r="T86" s="68"/>
      <x:c r="U86" s="82"/>
      <x:c r="V86" s="82"/>
      <x:c r="W86" s="82"/>
      <x:c r="X86" s="82"/>
      <x:c r="Y86" s="84"/>
      <x:c r="Z86" s="84"/>
      <x:c r="AA86" s="82"/>
      <x:c r="AB86" s="82"/>
      <x:c r="AC86" s="68"/>
      <x:c r="AD86" s="68"/>
      <x:c r="AE86" s="90"/>
      <x:c r="AF86" s="68"/>
      <x:c r="AG86" s="82"/>
      <x:c r="AH86" s="82"/>
      <x:c r="AI86" s="87"/>
    </x:row>
    <x:row r="87">
      <x:c r="A87" s="72" t="str">
        <x:f>IF(OR(C87="",D87=""),"",B87&amp;"-"&amp;UPPER(C87)&amp;"-"&amp;TEXT(D87,"0000")&amp;"-"&amp;E87)</x:f>
      </x:c>
      <x:c r="B87" s="74" t="str">
        <x:v>M03</x:v>
      </x:c>
      <x:c r="C87" s="74"/>
      <x:c r="D87" s="79"/>
      <x:c r="E87" s="74" t="str">
        <x:v>V1.0</x:v>
      </x:c>
      <x:c r="F87" s="68"/>
      <x:c r="G87" s="82"/>
      <x:c r="H87" s="68"/>
      <x:c r="I87" s="68"/>
      <x:c r="J87" s="68"/>
      <x:c r="K87" s="82"/>
      <x:c r="L87" s="82"/>
      <x:c r="M87" s="82"/>
      <x:c r="N87" s="68"/>
      <x:c r="O87" s="68"/>
      <x:c r="P87" s="68"/>
      <x:c r="Q87" s="68"/>
      <x:c r="R87" s="90"/>
      <x:c r="S87" s="68"/>
      <x:c r="T87" s="68"/>
      <x:c r="U87" s="82"/>
      <x:c r="V87" s="82"/>
      <x:c r="W87" s="82"/>
      <x:c r="X87" s="82"/>
      <x:c r="Y87" s="84"/>
      <x:c r="Z87" s="84"/>
      <x:c r="AA87" s="82"/>
      <x:c r="AB87" s="82"/>
      <x:c r="AC87" s="68"/>
      <x:c r="AD87" s="68"/>
      <x:c r="AE87" s="90"/>
      <x:c r="AF87" s="68"/>
      <x:c r="AG87" s="82"/>
      <x:c r="AH87" s="82"/>
      <x:c r="AI87" s="87"/>
    </x:row>
    <x:row r="88">
      <x:c r="A88" s="72" t="str">
        <x:f>IF(OR(C88="",D88=""),"",B88&amp;"-"&amp;UPPER(C88)&amp;"-"&amp;TEXT(D88,"0000")&amp;"-"&amp;E88)</x:f>
      </x:c>
      <x:c r="B88" s="74" t="str">
        <x:v>M03</x:v>
      </x:c>
      <x:c r="C88" s="74"/>
      <x:c r="D88" s="79"/>
      <x:c r="E88" s="74" t="str">
        <x:v>V1.0</x:v>
      </x:c>
      <x:c r="F88" s="68"/>
      <x:c r="G88" s="82"/>
      <x:c r="H88" s="68"/>
      <x:c r="I88" s="68"/>
      <x:c r="J88" s="68"/>
      <x:c r="K88" s="82"/>
      <x:c r="L88" s="82"/>
      <x:c r="M88" s="82"/>
      <x:c r="N88" s="68"/>
      <x:c r="O88" s="68"/>
      <x:c r="P88" s="68"/>
      <x:c r="Q88" s="68"/>
      <x:c r="R88" s="90"/>
      <x:c r="S88" s="68"/>
      <x:c r="T88" s="68"/>
      <x:c r="U88" s="82"/>
      <x:c r="V88" s="82"/>
      <x:c r="W88" s="82"/>
      <x:c r="X88" s="82"/>
      <x:c r="Y88" s="84"/>
      <x:c r="Z88" s="84"/>
      <x:c r="AA88" s="82"/>
      <x:c r="AB88" s="82"/>
      <x:c r="AC88" s="68"/>
      <x:c r="AD88" s="68"/>
      <x:c r="AE88" s="90"/>
      <x:c r="AF88" s="68"/>
      <x:c r="AG88" s="82"/>
      <x:c r="AH88" s="82"/>
      <x:c r="AI88" s="87"/>
    </x:row>
    <x:row r="89">
      <x:c r="A89" s="72" t="str">
        <x:f>IF(OR(C89="",D89=""),"",B89&amp;"-"&amp;UPPER(C89)&amp;"-"&amp;TEXT(D89,"0000")&amp;"-"&amp;E89)</x:f>
      </x:c>
      <x:c r="B89" s="74" t="str">
        <x:v>M03</x:v>
      </x:c>
      <x:c r="C89" s="74"/>
      <x:c r="D89" s="79"/>
      <x:c r="E89" s="74" t="str">
        <x:v>V1.0</x:v>
      </x:c>
      <x:c r="F89" s="68"/>
      <x:c r="G89" s="82"/>
      <x:c r="H89" s="68"/>
      <x:c r="I89" s="68"/>
      <x:c r="J89" s="68"/>
      <x:c r="K89" s="82"/>
      <x:c r="L89" s="82"/>
      <x:c r="M89" s="82"/>
      <x:c r="N89" s="68"/>
      <x:c r="O89" s="68"/>
      <x:c r="P89" s="68"/>
      <x:c r="Q89" s="68"/>
      <x:c r="R89" s="90"/>
      <x:c r="S89" s="68"/>
      <x:c r="T89" s="68"/>
      <x:c r="U89" s="82"/>
      <x:c r="V89" s="82"/>
      <x:c r="W89" s="82"/>
      <x:c r="X89" s="82"/>
      <x:c r="Y89" s="84"/>
      <x:c r="Z89" s="84"/>
      <x:c r="AA89" s="82"/>
      <x:c r="AB89" s="82"/>
      <x:c r="AC89" s="68"/>
      <x:c r="AD89" s="68"/>
      <x:c r="AE89" s="90"/>
      <x:c r="AF89" s="68"/>
      <x:c r="AG89" s="82"/>
      <x:c r="AH89" s="82"/>
      <x:c r="AI89" s="87"/>
    </x:row>
    <x:row r="90">
      <x:c r="A90" s="72" t="str">
        <x:f>IF(OR(C90="",D90=""),"",B90&amp;"-"&amp;UPPER(C90)&amp;"-"&amp;TEXT(D90,"0000")&amp;"-"&amp;E90)</x:f>
      </x:c>
      <x:c r="B90" s="74" t="str">
        <x:v>M03</x:v>
      </x:c>
      <x:c r="C90" s="74"/>
      <x:c r="D90" s="79"/>
      <x:c r="E90" s="74" t="str">
        <x:v>V1.0</x:v>
      </x:c>
      <x:c r="F90" s="68"/>
      <x:c r="G90" s="82"/>
      <x:c r="H90" s="68"/>
      <x:c r="I90" s="68"/>
      <x:c r="J90" s="68"/>
      <x:c r="K90" s="82"/>
      <x:c r="L90" s="82"/>
      <x:c r="M90" s="82"/>
      <x:c r="N90" s="68"/>
      <x:c r="O90" s="68"/>
      <x:c r="P90" s="68"/>
      <x:c r="Q90" s="68"/>
      <x:c r="R90" s="90"/>
      <x:c r="S90" s="68"/>
      <x:c r="T90" s="68"/>
      <x:c r="U90" s="82"/>
      <x:c r="V90" s="82"/>
      <x:c r="W90" s="82"/>
      <x:c r="X90" s="82"/>
      <x:c r="Y90" s="84"/>
      <x:c r="Z90" s="84"/>
      <x:c r="AA90" s="82"/>
      <x:c r="AB90" s="82"/>
      <x:c r="AC90" s="68"/>
      <x:c r="AD90" s="68"/>
      <x:c r="AE90" s="90"/>
      <x:c r="AF90" s="68"/>
      <x:c r="AG90" s="82"/>
      <x:c r="AH90" s="82"/>
      <x:c r="AI90" s="87"/>
    </x:row>
    <x:row r="91">
      <x:c r="A91" s="72" t="str">
        <x:f>IF(OR(C91="",D91=""),"",B91&amp;"-"&amp;UPPER(C91)&amp;"-"&amp;TEXT(D91,"0000")&amp;"-"&amp;E91)</x:f>
      </x:c>
      <x:c r="B91" s="74" t="str">
        <x:v>M03</x:v>
      </x:c>
      <x:c r="C91" s="74"/>
      <x:c r="D91" s="79"/>
      <x:c r="E91" s="74" t="str">
        <x:v>V1.0</x:v>
      </x:c>
      <x:c r="F91" s="68"/>
      <x:c r="G91" s="82"/>
      <x:c r="H91" s="68"/>
      <x:c r="I91" s="68"/>
      <x:c r="J91" s="68"/>
      <x:c r="K91" s="82"/>
      <x:c r="L91" s="82"/>
      <x:c r="M91" s="82"/>
      <x:c r="N91" s="68"/>
      <x:c r="O91" s="68"/>
      <x:c r="P91" s="68"/>
      <x:c r="Q91" s="68"/>
      <x:c r="R91" s="90"/>
      <x:c r="S91" s="68"/>
      <x:c r="T91" s="68"/>
      <x:c r="U91" s="82"/>
      <x:c r="V91" s="82"/>
      <x:c r="W91" s="82"/>
      <x:c r="X91" s="82"/>
      <x:c r="Y91" s="84"/>
      <x:c r="Z91" s="84"/>
      <x:c r="AA91" s="82"/>
      <x:c r="AB91" s="82"/>
      <x:c r="AC91" s="68"/>
      <x:c r="AD91" s="68"/>
      <x:c r="AE91" s="90"/>
      <x:c r="AF91" s="68"/>
      <x:c r="AG91" s="82"/>
      <x:c r="AH91" s="82"/>
      <x:c r="AI91" s="87"/>
    </x:row>
    <x:row r="92">
      <x:c r="A92" s="72" t="str">
        <x:f>IF(OR(C92="",D92=""),"",B92&amp;"-"&amp;UPPER(C92)&amp;"-"&amp;TEXT(D92,"0000")&amp;"-"&amp;E92)</x:f>
      </x:c>
      <x:c r="B92" s="74" t="str">
        <x:v>M03</x:v>
      </x:c>
      <x:c r="C92" s="74"/>
      <x:c r="D92" s="79"/>
      <x:c r="E92" s="74" t="str">
        <x:v>V1.0</x:v>
      </x:c>
      <x:c r="F92" s="68"/>
      <x:c r="G92" s="82"/>
      <x:c r="H92" s="68"/>
      <x:c r="I92" s="68"/>
      <x:c r="J92" s="68"/>
      <x:c r="K92" s="82"/>
      <x:c r="L92" s="82"/>
      <x:c r="M92" s="82"/>
      <x:c r="N92" s="68"/>
      <x:c r="O92" s="68"/>
      <x:c r="P92" s="68"/>
      <x:c r="Q92" s="68"/>
      <x:c r="R92" s="90"/>
      <x:c r="S92" s="68"/>
      <x:c r="T92" s="68"/>
      <x:c r="U92" s="82"/>
      <x:c r="V92" s="82"/>
      <x:c r="W92" s="82"/>
      <x:c r="X92" s="82"/>
      <x:c r="Y92" s="84"/>
      <x:c r="Z92" s="84"/>
      <x:c r="AA92" s="82"/>
      <x:c r="AB92" s="82"/>
      <x:c r="AC92" s="68"/>
      <x:c r="AD92" s="68"/>
      <x:c r="AE92" s="90"/>
      <x:c r="AF92" s="68"/>
      <x:c r="AG92" s="82"/>
      <x:c r="AH92" s="82"/>
      <x:c r="AI92" s="87"/>
    </x:row>
    <x:row r="93">
      <x:c r="A93" s="72" t="str">
        <x:f>IF(OR(C93="",D93=""),"",B93&amp;"-"&amp;UPPER(C93)&amp;"-"&amp;TEXT(D93,"0000")&amp;"-"&amp;E93)</x:f>
      </x:c>
      <x:c r="B93" s="74" t="str">
        <x:v>M03</x:v>
      </x:c>
      <x:c r="C93" s="74"/>
      <x:c r="D93" s="79"/>
      <x:c r="E93" s="74" t="str">
        <x:v>V1.0</x:v>
      </x:c>
      <x:c r="F93" s="68"/>
      <x:c r="G93" s="82"/>
      <x:c r="H93" s="68"/>
      <x:c r="I93" s="68"/>
      <x:c r="J93" s="68"/>
      <x:c r="K93" s="82"/>
      <x:c r="L93" s="82"/>
      <x:c r="M93" s="82"/>
      <x:c r="N93" s="68"/>
      <x:c r="O93" s="68"/>
      <x:c r="P93" s="68"/>
      <x:c r="Q93" s="68"/>
      <x:c r="R93" s="90"/>
      <x:c r="S93" s="68"/>
      <x:c r="T93" s="68"/>
      <x:c r="U93" s="82"/>
      <x:c r="V93" s="82"/>
      <x:c r="W93" s="82"/>
      <x:c r="X93" s="82"/>
      <x:c r="Y93" s="84"/>
      <x:c r="Z93" s="84"/>
      <x:c r="AA93" s="82"/>
      <x:c r="AB93" s="82"/>
      <x:c r="AC93" s="68"/>
      <x:c r="AD93" s="68"/>
      <x:c r="AE93" s="90"/>
      <x:c r="AF93" s="68"/>
      <x:c r="AG93" s="82"/>
      <x:c r="AH93" s="82"/>
      <x:c r="AI93" s="87"/>
    </x:row>
    <x:row r="94">
      <x:c r="A94" s="72" t="str">
        <x:f>IF(OR(C94="",D94=""),"",B94&amp;"-"&amp;UPPER(C94)&amp;"-"&amp;TEXT(D94,"0000")&amp;"-"&amp;E94)</x:f>
      </x:c>
      <x:c r="B94" s="74" t="str">
        <x:v>M03</x:v>
      </x:c>
      <x:c r="C94" s="74"/>
      <x:c r="D94" s="79"/>
      <x:c r="E94" s="74" t="str">
        <x:v>V1.0</x:v>
      </x:c>
      <x:c r="F94" s="68"/>
      <x:c r="G94" s="82"/>
      <x:c r="H94" s="68"/>
      <x:c r="I94" s="68"/>
      <x:c r="J94" s="68"/>
      <x:c r="K94" s="82"/>
      <x:c r="L94" s="82"/>
      <x:c r="M94" s="82"/>
      <x:c r="N94" s="68"/>
      <x:c r="O94" s="68"/>
      <x:c r="P94" s="68"/>
      <x:c r="Q94" s="68"/>
      <x:c r="R94" s="90"/>
      <x:c r="S94" s="68"/>
      <x:c r="T94" s="68"/>
      <x:c r="U94" s="82"/>
      <x:c r="V94" s="82"/>
      <x:c r="W94" s="82"/>
      <x:c r="X94" s="82"/>
      <x:c r="Y94" s="84"/>
      <x:c r="Z94" s="84"/>
      <x:c r="AA94" s="82"/>
      <x:c r="AB94" s="82"/>
      <x:c r="AC94" s="68"/>
      <x:c r="AD94" s="68"/>
      <x:c r="AE94" s="90"/>
      <x:c r="AF94" s="68"/>
      <x:c r="AG94" s="82"/>
      <x:c r="AH94" s="82"/>
      <x:c r="AI94" s="87"/>
    </x:row>
    <x:row r="95">
      <x:c r="A95" s="72" t="str">
        <x:f>IF(OR(C95="",D95=""),"",B95&amp;"-"&amp;UPPER(C95)&amp;"-"&amp;TEXT(D95,"0000")&amp;"-"&amp;E95)</x:f>
      </x:c>
      <x:c r="B95" s="74" t="str">
        <x:v>M03</x:v>
      </x:c>
      <x:c r="C95" s="74"/>
      <x:c r="D95" s="79"/>
      <x:c r="E95" s="74" t="str">
        <x:v>V1.0</x:v>
      </x:c>
      <x:c r="F95" s="68"/>
      <x:c r="G95" s="82"/>
      <x:c r="H95" s="68"/>
      <x:c r="I95" s="68"/>
      <x:c r="J95" s="68"/>
      <x:c r="K95" s="82"/>
      <x:c r="L95" s="82"/>
      <x:c r="M95" s="82"/>
      <x:c r="N95" s="68"/>
      <x:c r="O95" s="68"/>
      <x:c r="P95" s="68"/>
      <x:c r="Q95" s="68"/>
      <x:c r="R95" s="90"/>
      <x:c r="S95" s="68"/>
      <x:c r="T95" s="68"/>
      <x:c r="U95" s="82"/>
      <x:c r="V95" s="82"/>
      <x:c r="W95" s="82"/>
      <x:c r="X95" s="82"/>
      <x:c r="Y95" s="84"/>
      <x:c r="Z95" s="84"/>
      <x:c r="AA95" s="82"/>
      <x:c r="AB95" s="82"/>
      <x:c r="AC95" s="68"/>
      <x:c r="AD95" s="68"/>
      <x:c r="AE95" s="90"/>
      <x:c r="AF95" s="68"/>
      <x:c r="AG95" s="82"/>
      <x:c r="AH95" s="82"/>
      <x:c r="AI95" s="87"/>
    </x:row>
    <x:row r="96">
      <x:c r="A96" s="72" t="str">
        <x:f>IF(OR(C96="",D96=""),"",B96&amp;"-"&amp;UPPER(C96)&amp;"-"&amp;TEXT(D96,"0000")&amp;"-"&amp;E96)</x:f>
      </x:c>
      <x:c r="B96" s="74" t="str">
        <x:v>M03</x:v>
      </x:c>
      <x:c r="C96" s="74"/>
      <x:c r="D96" s="79"/>
      <x:c r="E96" s="74" t="str">
        <x:v>V1.0</x:v>
      </x:c>
      <x:c r="F96" s="68"/>
      <x:c r="G96" s="82"/>
      <x:c r="H96" s="68"/>
      <x:c r="I96" s="68"/>
      <x:c r="J96" s="68"/>
      <x:c r="K96" s="82"/>
      <x:c r="L96" s="82"/>
      <x:c r="M96" s="82"/>
      <x:c r="N96" s="68"/>
      <x:c r="O96" s="68"/>
      <x:c r="P96" s="68"/>
      <x:c r="Q96" s="68"/>
      <x:c r="R96" s="90"/>
      <x:c r="S96" s="68"/>
      <x:c r="T96" s="68"/>
      <x:c r="U96" s="82"/>
      <x:c r="V96" s="82"/>
      <x:c r="W96" s="82"/>
      <x:c r="X96" s="82"/>
      <x:c r="Y96" s="84"/>
      <x:c r="Z96" s="84"/>
      <x:c r="AA96" s="82"/>
      <x:c r="AB96" s="82"/>
      <x:c r="AC96" s="68"/>
      <x:c r="AD96" s="68"/>
      <x:c r="AE96" s="90"/>
      <x:c r="AF96" s="68"/>
      <x:c r="AG96" s="82"/>
      <x:c r="AH96" s="82"/>
      <x:c r="AI96" s="87"/>
    </x:row>
    <x:row r="97">
      <x:c r="A97" s="72" t="str">
        <x:f>IF(OR(C97="",D97=""),"",B97&amp;"-"&amp;UPPER(C97)&amp;"-"&amp;TEXT(D97,"0000")&amp;"-"&amp;E97)</x:f>
      </x:c>
      <x:c r="B97" s="74" t="str">
        <x:v>M03</x:v>
      </x:c>
      <x:c r="C97" s="74"/>
      <x:c r="D97" s="79"/>
      <x:c r="E97" s="74" t="str">
        <x:v>V1.0</x:v>
      </x:c>
      <x:c r="F97" s="68"/>
      <x:c r="G97" s="82"/>
      <x:c r="H97" s="68"/>
      <x:c r="I97" s="68"/>
      <x:c r="J97" s="68"/>
      <x:c r="K97" s="82"/>
      <x:c r="L97" s="82"/>
      <x:c r="M97" s="82"/>
      <x:c r="N97" s="68"/>
      <x:c r="O97" s="68"/>
      <x:c r="P97" s="68"/>
      <x:c r="Q97" s="68"/>
      <x:c r="R97" s="90"/>
      <x:c r="S97" s="68"/>
      <x:c r="T97" s="68"/>
      <x:c r="U97" s="82"/>
      <x:c r="V97" s="82"/>
      <x:c r="W97" s="82"/>
      <x:c r="X97" s="82"/>
      <x:c r="Y97" s="84"/>
      <x:c r="Z97" s="84"/>
      <x:c r="AA97" s="82"/>
      <x:c r="AB97" s="82"/>
      <x:c r="AC97" s="68"/>
      <x:c r="AD97" s="68"/>
      <x:c r="AE97" s="90"/>
      <x:c r="AF97" s="68"/>
      <x:c r="AG97" s="82"/>
      <x:c r="AH97" s="82"/>
      <x:c r="AI97" s="87"/>
    </x:row>
    <x:row r="98">
      <x:c r="A98" s="72" t="str">
        <x:f>IF(OR(C98="",D98=""),"",B98&amp;"-"&amp;UPPER(C98)&amp;"-"&amp;TEXT(D98,"0000")&amp;"-"&amp;E98)</x:f>
      </x:c>
      <x:c r="B98" s="74" t="str">
        <x:v>M03</x:v>
      </x:c>
      <x:c r="C98" s="74"/>
      <x:c r="D98" s="79"/>
      <x:c r="E98" s="74" t="str">
        <x:v>V1.0</x:v>
      </x:c>
      <x:c r="F98" s="68"/>
      <x:c r="G98" s="82"/>
      <x:c r="H98" s="68"/>
      <x:c r="I98" s="68"/>
      <x:c r="J98" s="68"/>
      <x:c r="K98" s="82"/>
      <x:c r="L98" s="82"/>
      <x:c r="M98" s="82"/>
      <x:c r="N98" s="68"/>
      <x:c r="O98" s="68"/>
      <x:c r="P98" s="68"/>
      <x:c r="Q98" s="68"/>
      <x:c r="R98" s="90"/>
      <x:c r="S98" s="68"/>
      <x:c r="T98" s="68"/>
      <x:c r="U98" s="82"/>
      <x:c r="V98" s="82"/>
      <x:c r="W98" s="82"/>
      <x:c r="X98" s="82"/>
      <x:c r="Y98" s="84"/>
      <x:c r="Z98" s="84"/>
      <x:c r="AA98" s="82"/>
      <x:c r="AB98" s="82"/>
      <x:c r="AC98" s="68"/>
      <x:c r="AD98" s="68"/>
      <x:c r="AE98" s="90"/>
      <x:c r="AF98" s="68"/>
      <x:c r="AG98" s="82"/>
      <x:c r="AH98" s="82"/>
      <x:c r="AI98" s="87"/>
    </x:row>
    <x:row r="99">
      <x:c r="A99" s="72" t="str">
        <x:f>IF(OR(C99="",D99=""),"",B99&amp;"-"&amp;UPPER(C99)&amp;"-"&amp;TEXT(D99,"0000")&amp;"-"&amp;E99)</x:f>
      </x:c>
      <x:c r="B99" s="74" t="str">
        <x:v>M03</x:v>
      </x:c>
      <x:c r="C99" s="74"/>
      <x:c r="D99" s="79"/>
      <x:c r="E99" s="74" t="str">
        <x:v>V1.0</x:v>
      </x:c>
      <x:c r="F99" s="68"/>
      <x:c r="G99" s="82"/>
      <x:c r="H99" s="68"/>
      <x:c r="I99" s="68"/>
      <x:c r="J99" s="68"/>
      <x:c r="K99" s="82"/>
      <x:c r="L99" s="82"/>
      <x:c r="M99" s="82"/>
      <x:c r="N99" s="68"/>
      <x:c r="O99" s="68"/>
      <x:c r="P99" s="68"/>
      <x:c r="Q99" s="68"/>
      <x:c r="R99" s="90"/>
      <x:c r="S99" s="68"/>
      <x:c r="T99" s="68"/>
      <x:c r="U99" s="82"/>
      <x:c r="V99" s="82"/>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M03</x:v>
      </x:c>
      <x:c r="C100" s="74"/>
      <x:c r="D100" s="79"/>
      <x:c r="E100" s="74" t="str">
        <x:v>V1.0</x:v>
      </x:c>
      <x:c r="F100" s="68"/>
      <x:c r="G100" s="82"/>
      <x:c r="H100" s="68"/>
      <x:c r="I100" s="68"/>
      <x:c r="J100" s="68"/>
      <x:c r="K100" s="82"/>
      <x:c r="L100" s="82"/>
      <x:c r="M100" s="82"/>
      <x:c r="N100" s="68"/>
      <x:c r="O100" s="68"/>
      <x:c r="P100" s="68"/>
      <x:c r="Q100" s="68"/>
      <x:c r="R100" s="90"/>
      <x:c r="S100" s="68"/>
      <x:c r="T100" s="68"/>
      <x:c r="U100" s="82"/>
      <x:c r="V100" s="82"/>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M03</x:v>
      </x:c>
      <x:c r="C101" s="74"/>
      <x:c r="D101" s="79"/>
      <x:c r="E101" s="74" t="str">
        <x:v>V1.0</x:v>
      </x:c>
      <x:c r="F101" s="68"/>
      <x:c r="G101" s="82"/>
      <x:c r="H101" s="68"/>
      <x:c r="I101" s="68"/>
      <x:c r="J101" s="68"/>
      <x:c r="K101" s="82"/>
      <x:c r="L101" s="82"/>
      <x:c r="M101" s="82"/>
      <x:c r="N101" s="68"/>
      <x:c r="O101" s="68"/>
      <x:c r="P101" s="68"/>
      <x:c r="Q101" s="68"/>
      <x:c r="R101" s="90"/>
      <x:c r="S101" s="68"/>
      <x:c r="T101" s="68"/>
      <x:c r="U101" s="82"/>
      <x:c r="V101" s="82"/>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M03</x:v>
      </x:c>
      <x:c r="C102" s="74"/>
      <x:c r="D102" s="79"/>
      <x:c r="E102" s="74" t="str">
        <x:v>V1.0</x:v>
      </x:c>
      <x:c r="F102" s="68"/>
      <x:c r="G102" s="82"/>
      <x:c r="H102" s="68"/>
      <x:c r="I102" s="68"/>
      <x:c r="J102" s="68"/>
      <x:c r="K102" s="82"/>
      <x:c r="L102" s="82"/>
      <x:c r="M102" s="82"/>
      <x:c r="N102" s="68"/>
      <x:c r="O102" s="68"/>
      <x:c r="P102" s="68"/>
      <x:c r="Q102" s="68"/>
      <x:c r="R102" s="90"/>
      <x:c r="S102" s="68"/>
      <x:c r="T102" s="68"/>
      <x:c r="U102" s="82"/>
      <x:c r="V102" s="82"/>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M03</x:v>
      </x:c>
      <x:c r="C103" s="74"/>
      <x:c r="D103" s="79"/>
      <x:c r="E103" s="74" t="str">
        <x:v>V1.0</x:v>
      </x:c>
      <x:c r="F103" s="68"/>
      <x:c r="G103" s="82"/>
      <x:c r="H103" s="68"/>
      <x:c r="I103" s="68"/>
      <x:c r="J103" s="68"/>
      <x:c r="K103" s="82"/>
      <x:c r="L103" s="82"/>
      <x:c r="M103" s="82"/>
      <x:c r="N103" s="68"/>
      <x:c r="O103" s="68"/>
      <x:c r="P103" s="68"/>
      <x:c r="Q103" s="68"/>
      <x:c r="R103" s="90"/>
      <x:c r="S103" s="68"/>
      <x:c r="T103" s="68"/>
      <x:c r="U103" s="82"/>
      <x:c r="V103" s="82"/>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M03</x:v>
      </x:c>
      <x:c r="C104" s="74"/>
      <x:c r="D104" s="79"/>
      <x:c r="E104" s="74" t="str">
        <x:v>V1.0</x:v>
      </x:c>
      <x:c r="F104" s="68"/>
      <x:c r="G104" s="82"/>
      <x:c r="H104" s="68"/>
      <x:c r="I104" s="68"/>
      <x:c r="J104" s="68"/>
      <x:c r="K104" s="82"/>
      <x:c r="L104" s="82"/>
      <x:c r="M104" s="82"/>
      <x:c r="N104" s="68"/>
      <x:c r="O104" s="68"/>
      <x:c r="P104" s="68"/>
      <x:c r="Q104" s="68"/>
      <x:c r="R104" s="90"/>
      <x:c r="S104" s="68"/>
      <x:c r="T104" s="68"/>
      <x:c r="U104" s="82"/>
      <x:c r="V104" s="82"/>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M03</x:v>
      </x:c>
      <x:c r="C105" s="74"/>
      <x:c r="D105" s="79"/>
      <x:c r="E105" s="74" t="str">
        <x:v>V1.0</x:v>
      </x:c>
      <x:c r="F105" s="68"/>
      <x:c r="G105" s="82"/>
      <x:c r="H105" s="68"/>
      <x:c r="I105" s="68"/>
      <x:c r="J105" s="68"/>
      <x:c r="K105" s="82"/>
      <x:c r="L105" s="82"/>
      <x:c r="M105" s="82"/>
      <x:c r="N105" s="68"/>
      <x:c r="O105" s="68"/>
      <x:c r="P105" s="68"/>
      <x:c r="Q105" s="68"/>
      <x:c r="R105" s="90"/>
      <x:c r="S105" s="68"/>
      <x:c r="T105" s="68"/>
      <x:c r="U105" s="82"/>
      <x:c r="V105" s="82"/>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1" priority="1">
      <x:formula>AND(A6&lt;&gt;"",COUNTIF($A$6:$A$105,A6)&gt;1)</x:formula>
    </x:cfRule>
  </x:conditionalFormatting>
  <x:dataValidations count="15">
    <x:dataValidation type="list" sqref="E6:E105">
      <x:formula1>'99_下拉选项'!$BG$4:$BG$12</x:formula1>
    </x:dataValidation>
    <x:dataValidation type="list" sqref="G6:G105">
      <x:formula1>'99_下拉选项'!$F$4:$F$7</x:formula1>
    </x:dataValidation>
    <x:dataValidation type="list" sqref="K6:K105">
      <x:formula1>'99_下拉选项'!$J$4:$J$10</x:formula1>
    </x:dataValidation>
    <x:dataValidation type="list" sqref="L6:L105">
      <x:formula1>'99_下拉选项'!$K$4:$K$10</x:formula1>
    </x:dataValidation>
    <x:dataValidation type="list" sqref="M6:M105">
      <x:formula1>'99_下拉选项'!$H$4:$H$14</x:formula1>
    </x:dataValidation>
    <x:dataValidation type="list" sqref="U6:U105">
      <x:formula1>'99_下拉选项'!$M$4:$M$12</x:formula1>
    </x:dataValidation>
    <x:dataValidation type="list" sqref="V6:V105">
      <x:formula1>'99_下拉选项'!$N$4:$N$8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'99_下拉选项'!$BG$4:$BG$19</x:formula1>
    </x:dataValidation>
  </x:dataValidations>
  <x:pageMargins left="0.7" right="0.7" top="0.75" bottom="0.75" header="0.3" footer="0.3"/>
  <x:tableParts count="1">
    <x:tablePart xmlns:r="http://schemas.openxmlformats.org/officeDocument/2006/relationships" r:id="R0d2837b033164cfb"/>
  </x:tableParts>
</x:worksheet>
</file>

<file path=xl/worksheets/sheet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30"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M04｜天干合克关系识别规则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已录入50条正式规则：天干五合5、定向相克20、柱位6、合化候选5、争合与边界14。本表只确认关系、柱位与候选，不直接裁定合化、合绊或力量增减。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前置依赖：M02　｜　主要输出：天干关系清单与合化候选　｜　直接下游：M06/M08/M10/M11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参与天干</x:v>
      </x:c>
      <x:c r="J5" s="61" t="str">
        <x:v>位置关系</x:v>
      </x:c>
      <x:c r="K5" s="61" t="str">
        <x:v>完整度</x:v>
      </x:c>
      <x:c r="L5" s="61" t="str">
        <x:v>月令条件</x:v>
      </x:c>
      <x:c r="M5" s="61" t="str">
        <x:v>根气/透干条件</x:v>
      </x:c>
      <x:c r="N5" s="61" t="str">
        <x:v>合化候选五行</x:v>
      </x:c>
      <x:c r="O5" s="61" t="str">
        <x:v>同时关系</x:v>
      </x:c>
      <x:c r="P5" s="61" t="str">
        <x:v>前置条件</x:v>
      </x:c>
      <x:c r="Q5" s="61" t="str">
        <x:v>必要条件</x:v>
      </x:c>
      <x:c r="R5" s="61" t="str">
        <x:v>增强条件</x:v>
      </x:c>
      <x:c r="S5" s="61" t="str">
        <x:v>削弱条件</x:v>
      </x:c>
      <x:c r="T5" s="61" t="str">
        <x:v>否决条件</x:v>
      </x:c>
      <x:c r="U5" s="61" t="str">
        <x:v>例外条件</x:v>
      </x:c>
      <x:c r="V5" s="61" t="str">
        <x:v>识别结论</x:v>
      </x:c>
      <x:c r="W5" s="61" t="str">
        <x:v>不得直接推出</x:v>
      </x:c>
      <x:c r="X5" s="61" t="str">
        <x:v>优先级</x:v>
      </x:c>
      <x:c r="Y5" s="61" t="str">
        <x:v>规则性质</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M04-DEMO-9999-V0.1</x:v>
      </x:c>
      <x:c r="B6" s="76" t="str">
        <x:v>M04</x:v>
      </x:c>
      <x:c r="C6" s="76" t="str">
        <x:v>DEMO</x:v>
      </x:c>
      <x:c r="D6" s="78" t="n">
        <x:v>9999</x:v>
      </x:c>
      <x:c r="E6" s="76" t="str">
        <x:v>V0.1</x:v>
      </x:c>
      <x:c r="F6" s="76" t="str">
        <x:v>甲己同时出现可识别为甲己合候选</x:v>
      </x:c>
      <x:c r="G6" s="76" t="str">
        <x:v>识别层</x:v>
      </x:c>
      <x:c r="H6" s="76" t="str">
        <x:v>天干五合</x:v>
      </x:c>
      <x:c r="I6" s="76" t="str">
        <x:v>甲、己</x:v>
      </x:c>
      <x:c r="J6" s="76" t="str">
        <x:v>相邻</x:v>
      </x:c>
      <x:c r="K6" s="76" t="str">
        <x:v>完整</x:v>
      </x:c>
      <x:c r="L6" s="76" t="str">
        <x:v>识别关系本身不以月令为必要条件</x:v>
      </x:c>
      <x:c r="M6" s="76" t="str">
        <x:v>双方均在天干出现</x:v>
      </x:c>
      <x:c r="N6" s="76" t="str">
        <x:v>土</x:v>
      </x:c>
      <x:c r="O6" s="76" t="str">
        <x:v>需另查争合、妒合、克制与根气</x:v>
      </x:c>
      <x:c r="P6" s="76" t="str">
        <x:v>四柱天干已标准化</x:v>
      </x:c>
      <x:c r="Q6" s="76" t="str">
        <x:v>甲与己同时出现</x:v>
      </x:c>
      <x:c r="R6" s="76" t="str">
        <x:v>相邻、得化神之令、化神有根有势</x:v>
      </x:c>
      <x:c r="S6" s="76" t="str">
        <x:v>遥隔、多方争合、双方根深不从化</x:v>
      </x:c>
      <x:c r="T6" s="76" t="str">
        <x:v>缺少甲或己则关系不存在</x:v>
      </x:c>
      <x:c r="U6" s="76" t="str">
        <x:v>合化是否成立转入M06判断</x:v>
      </x:c>
      <x:c r="V6" s="76" t="str">
        <x:v>存在甲己合关系候选</x:v>
      </x:c>
      <x:c r="W6" s="76" t="str">
        <x:v>不得直接推出合化为土、任何一方消失或必然减力</x:v>
      </x:c>
      <x:c r="X6" s="76" t="str">
        <x:v>P1_高</x:v>
      </x:c>
      <x:c r="Y6" s="76" t="str">
        <x:v>硬约束</x:v>
      </x:c>
      <x:c r="Z6" s="76" t="str">
        <x:v>天干合识别</x:v>
      </x:c>
      <x:c r="AA6" s="76" t="str">
        <x:v>原局存在甲己合候选；是否合绊、合住或合化，需结合月令、根气及其他作用判断。</x:v>
      </x:c>
      <x:c r="AB6" s="76" t="str">
        <x:v>确定</x:v>
      </x:c>
      <x:c r="AC6" s="76" t="str">
        <x:v>跨流派共识</x:v>
      </x:c>
      <x:c r="AD6" s="76" t="str">
        <x:v>关系存在与效应成立必须分层。</x:v>
      </x:c>
      <x:c r="AE6" s="76" t="str">
        <x:v>天干同时见甲、己。</x:v>
      </x:c>
      <x:c r="AF6" s="76" t="str">
        <x:v>只有地支藏甲而天干不见甲，不能直接按天干甲己合处理。</x:v>
      </x:c>
      <x:c r="AG6" s="76" t="str">
        <x:v>示例，仅演示字段用法</x:v>
      </x:c>
      <x:c r="AH6" s="76" t="str">
        <x:v>示例</x:v>
      </x:c>
      <x:c r="AI6" s="76" t="str">
        <x:v>未审核</x:v>
      </x:c>
      <x:c r="AJ6" s="86" t="n">
        <x:v>46254</x:v>
      </x:c>
    </x:row>
    <x:row r="7">
      <x:c r="A7" s="72" t="str">
        <x:f>IF(OR(C7="",D7=""),"",B7&amp;"-"&amp;UPPER(C7)&amp;"-"&amp;TEXT(D7,"0000")&amp;"-"&amp;E7)</x:f>
        <x:v>M04-HE-0001-V1.0</x:v>
      </x:c>
      <x:c r="B7" s="74" t="str">
        <x:v>M04</x:v>
      </x:c>
      <x:c r="C7" s="74" t="str">
        <x:v>HE</x:v>
      </x:c>
      <x:c r="D7" s="79" t="n">
        <x:v>1</x:v>
      </x:c>
      <x:c r="E7" s="74" t="str">
        <x:v>V1.0</x:v>
      </x:c>
      <x:c r="F7" s="68" t="str">
        <x:v>甲己天干五合识别</x:v>
      </x:c>
      <x:c r="G7" s="82" t="str">
        <x:v>识别层</x:v>
      </x:c>
      <x:c r="H7" s="82" t="str">
        <x:v>天干五合</x:v>
      </x:c>
      <x:c r="I7" s="68" t="str">
        <x:v>甲、己</x:v>
      </x:c>
      <x:c r="J7" s="82" t="str">
        <x:v>其他</x:v>
      </x:c>
      <x:c r="K7" s="82" t="str">
        <x:v>完整</x:v>
      </x:c>
      <x:c r="L7" s="68" t="str">
        <x:v>关系存在不以月令为必要条件；月令只供后续判断实际效应或合化。</x:v>
      </x:c>
      <x:c r="M7" s="68" t="str">
        <x:v>参与干须在四柱天干明现；根气与透干强弱不作为关系存在的必要条件。</x:v>
      </x:c>
      <x:c r="N7" s="82" t="str">
        <x:v>土</x:v>
      </x:c>
      <x:c r="O7" s="68" t="str">
        <x:v>检查是否另有五合、相克、重复干或多重关系。</x:v>
      </x:c>
      <x:c r="P7" s="68" t="str">
        <x:v>四柱天干已按年、月、日、时标准化并保留柱位。</x:v>
      </x:c>
      <x:c r="Q7" s="68" t="str">
        <x:v>四柱天干中同时出现甲与己，不要求先满足相邻、得令或有根。</x:v>
      </x:c>
      <x:c r="R7" s="68" t="str">
        <x:v>位置相邻、关系单一时，关系实例更清楚；仅作为后续效应判断信息。</x:v>
      </x:c>
      <x:c r="S7" s="68" t="str">
        <x:v>隔位、遥隔或多方重复时，结构更复杂，但不自动否定关系存在。</x:v>
      </x:c>
      <x:c r="T7" s="90" t="str">
        <x:v>天干缺少甲或己；若仅在地支藏干中出现，不登记为天干甲己合。</x:v>
      </x:c>
      <x:c r="U7" s="68" t="str">
        <x:v>实际合绊、合化、制化与力量变化统一转M06判断。</x:v>
      </x:c>
      <x:c r="V7" s="68" t="str">
        <x:v>原局存在甲己合关系，并生成合化为土的候选。</x:v>
      </x:c>
      <x:c r="W7" s="68" t="str">
        <x:v>不得直接推出任何一干消失、必然增减力、吉凶或喜忌。</x:v>
      </x:c>
      <x:c r="X7" s="82" t="str">
        <x:v>P0_硬约束</x:v>
      </x:c>
      <x:c r="Y7" s="82" t="str">
        <x:v>硬约束</x:v>
      </x:c>
      <x:c r="Z7" s="84" t="str">
        <x:v>甲己合识别</x:v>
      </x:c>
      <x:c r="AA7" s="84" t="str">
        <x:v>天干见甲、己，识别为甲己合；合化候选为土，实际是合绊、合动、合住还是合化，转M06判断。</x:v>
      </x:c>
      <x:c r="AB7" s="82" t="str">
        <x:v>确定</x:v>
      </x:c>
      <x:c r="AC7" s="82" t="str">
        <x:v>跨流派共识</x:v>
      </x:c>
      <x:c r="AD7" s="68" t="str">
        <x:v>天干五合的固定配对为甲己、乙庚、丙辛、丁壬、戊癸；本条只确认配对与候选五行。</x:v>
      </x:c>
      <x:c r="AE7" s="68" t="str">
        <x:v>年干为甲、月干为己，登记一组甲己合。</x:v>
      </x:c>
      <x:c r="AF7" s="90" t="str">
        <x:v>甲仅藏于某地支而天干不见甲，即使天干见己，也不能登记天干甲己合。</x:v>
      </x:c>
      <x:c r="AG7" s="68" t="str">
        <x:v>https://zh.wikisource.org/wiki/淵海子平；https://zh.wikisource.org/zh-hans/三命通會_(四庫全書本)</x:v>
      </x:c>
      <x:c r="AH7" s="82" t="str">
        <x:v>采用</x:v>
      </x:c>
      <x:c r="AI7" s="82" t="str">
        <x:v>初审</x:v>
      </x:c>
      <x:c r="AJ7" s="87" t="n">
        <x:v>46255</x:v>
      </x:c>
    </x:row>
    <x:row r="8">
      <x:c r="A8" s="72" t="str">
        <x:f>IF(OR(C8="",D8=""),"",B8&amp;"-"&amp;UPPER(C8)&amp;"-"&amp;TEXT(D8,"0000")&amp;"-"&amp;E8)</x:f>
        <x:v>M04-HE-0002-V1.0</x:v>
      </x:c>
      <x:c r="B8" s="74" t="str">
        <x:v>M04</x:v>
      </x:c>
      <x:c r="C8" s="74" t="str">
        <x:v>HE</x:v>
      </x:c>
      <x:c r="D8" s="79" t="n">
        <x:v>2</x:v>
      </x:c>
      <x:c r="E8" s="74" t="str">
        <x:v>V1.0</x:v>
      </x:c>
      <x:c r="F8" s="68" t="str">
        <x:v>乙庚天干五合识别</x:v>
      </x:c>
      <x:c r="G8" s="82" t="str">
        <x:v>识别层</x:v>
      </x:c>
      <x:c r="H8" s="82" t="str">
        <x:v>天干五合</x:v>
      </x:c>
      <x:c r="I8" s="68" t="str">
        <x:v>乙、庚</x:v>
      </x:c>
      <x:c r="J8" s="82" t="str">
        <x:v>其他</x:v>
      </x:c>
      <x:c r="K8" s="82" t="str">
        <x:v>完整</x:v>
      </x:c>
      <x:c r="L8" s="68" t="str">
        <x:v>关系存在不以月令为必要条件；月令只供后续判断实际效应或合化。</x:v>
      </x:c>
      <x:c r="M8" s="68" t="str">
        <x:v>参与干须在四柱天干明现；根气与透干强弱不作为关系存在的必要条件。</x:v>
      </x:c>
      <x:c r="N8" s="82" t="str">
        <x:v>金</x:v>
      </x:c>
      <x:c r="O8" s="68" t="str">
        <x:v>检查是否另有五合、相克、重复干或多重关系。</x:v>
      </x:c>
      <x:c r="P8" s="68" t="str">
        <x:v>四柱天干已按年、月、日、时标准化并保留柱位。</x:v>
      </x:c>
      <x:c r="Q8" s="68" t="str">
        <x:v>四柱天干中同时出现乙与庚，不要求先满足相邻、得令或有根。</x:v>
      </x:c>
      <x:c r="R8" s="68" t="str">
        <x:v>位置相邻、关系单一时，关系实例更清楚；仅作为后续效应判断信息。</x:v>
      </x:c>
      <x:c r="S8" s="68" t="str">
        <x:v>隔位、遥隔或多方重复时，结构更复杂，但不自动否定关系存在。</x:v>
      </x:c>
      <x:c r="T8" s="90" t="str">
        <x:v>天干缺少乙或庚；若仅在地支藏干中出现，不登记为天干乙庚合。</x:v>
      </x:c>
      <x:c r="U8" s="68" t="str">
        <x:v>实际合绊、合化、制化与力量变化统一转M06判断。</x:v>
      </x:c>
      <x:c r="V8" s="68" t="str">
        <x:v>原局存在乙庚合关系，并生成合化为金的候选。</x:v>
      </x:c>
      <x:c r="W8" s="68" t="str">
        <x:v>不得直接推出任何一干消失、必然增减力、吉凶或喜忌。</x:v>
      </x:c>
      <x:c r="X8" s="82" t="str">
        <x:v>P0_硬约束</x:v>
      </x:c>
      <x:c r="Y8" s="82" t="str">
        <x:v>硬约束</x:v>
      </x:c>
      <x:c r="Z8" s="84" t="str">
        <x:v>乙庚合识别</x:v>
      </x:c>
      <x:c r="AA8" s="84" t="str">
        <x:v>天干见乙、庚，识别为乙庚合；合化候选为金，实际是合绊、合动、合住还是合化，转M06判断。</x:v>
      </x:c>
      <x:c r="AB8" s="82" t="str">
        <x:v>确定</x:v>
      </x:c>
      <x:c r="AC8" s="82" t="str">
        <x:v>跨流派共识</x:v>
      </x:c>
      <x:c r="AD8" s="68" t="str">
        <x:v>天干五合的固定配对为甲己、乙庚、丙辛、丁壬、戊癸；本条只确认配对与候选五行。</x:v>
      </x:c>
      <x:c r="AE8" s="68" t="str">
        <x:v>年干为乙、月干为庚，登记一组乙庚合。</x:v>
      </x:c>
      <x:c r="AF8" s="90" t="str">
        <x:v>乙仅藏于某地支而天干不见乙，即使天干见庚，也不能登记天干乙庚合。</x:v>
      </x:c>
      <x:c r="AG8" s="68" t="str">
        <x:v>https://zh.wikisource.org/wiki/淵海子平；https://zh.wikisource.org/zh-hans/三命通會_(四庫全書本)</x:v>
      </x:c>
      <x:c r="AH8" s="82" t="str">
        <x:v>采用</x:v>
      </x:c>
      <x:c r="AI8" s="82" t="str">
        <x:v>初审</x:v>
      </x:c>
      <x:c r="AJ8" s="87" t="n">
        <x:v>46255</x:v>
      </x:c>
    </x:row>
    <x:row r="9">
      <x:c r="A9" s="72" t="str">
        <x:f>IF(OR(C9="",D9=""),"",B9&amp;"-"&amp;UPPER(C9)&amp;"-"&amp;TEXT(D9,"0000")&amp;"-"&amp;E9)</x:f>
        <x:v>M04-HE-0003-V1.0</x:v>
      </x:c>
      <x:c r="B9" s="74" t="str">
        <x:v>M04</x:v>
      </x:c>
      <x:c r="C9" s="74" t="str">
        <x:v>HE</x:v>
      </x:c>
      <x:c r="D9" s="79" t="n">
        <x:v>3</x:v>
      </x:c>
      <x:c r="E9" s="74" t="str">
        <x:v>V1.0</x:v>
      </x:c>
      <x:c r="F9" s="68" t="str">
        <x:v>丙辛天干五合识别</x:v>
      </x:c>
      <x:c r="G9" s="82" t="str">
        <x:v>识别层</x:v>
      </x:c>
      <x:c r="H9" s="82" t="str">
        <x:v>天干五合</x:v>
      </x:c>
      <x:c r="I9" s="68" t="str">
        <x:v>丙、辛</x:v>
      </x:c>
      <x:c r="J9" s="82" t="str">
        <x:v>其他</x:v>
      </x:c>
      <x:c r="K9" s="82" t="str">
        <x:v>完整</x:v>
      </x:c>
      <x:c r="L9" s="68" t="str">
        <x:v>关系存在不以月令为必要条件；月令只供后续判断实际效应或合化。</x:v>
      </x:c>
      <x:c r="M9" s="68" t="str">
        <x:v>参与干须在四柱天干明现；根气与透干强弱不作为关系存在的必要条件。</x:v>
      </x:c>
      <x:c r="N9" s="82" t="str">
        <x:v>水</x:v>
      </x:c>
      <x:c r="O9" s="68" t="str">
        <x:v>检查是否另有五合、相克、重复干或多重关系。</x:v>
      </x:c>
      <x:c r="P9" s="68" t="str">
        <x:v>四柱天干已按年、月、日、时标准化并保留柱位。</x:v>
      </x:c>
      <x:c r="Q9" s="68" t="str">
        <x:v>四柱天干中同时出现丙与辛，不要求先满足相邻、得令或有根。</x:v>
      </x:c>
      <x:c r="R9" s="68" t="str">
        <x:v>位置相邻、关系单一时，关系实例更清楚；仅作为后续效应判断信息。</x:v>
      </x:c>
      <x:c r="S9" s="68" t="str">
        <x:v>隔位、遥隔或多方重复时，结构更复杂，但不自动否定关系存在。</x:v>
      </x:c>
      <x:c r="T9" s="90" t="str">
        <x:v>天干缺少丙或辛；若仅在地支藏干中出现，不登记为天干丙辛合。</x:v>
      </x:c>
      <x:c r="U9" s="68" t="str">
        <x:v>实际合绊、合化、制化与力量变化统一转M06判断。</x:v>
      </x:c>
      <x:c r="V9" s="68" t="str">
        <x:v>原局存在丙辛合关系，并生成合化为水的候选。</x:v>
      </x:c>
      <x:c r="W9" s="68" t="str">
        <x:v>不得直接推出任何一干消失、必然增减力、吉凶或喜忌。</x:v>
      </x:c>
      <x:c r="X9" s="82" t="str">
        <x:v>P0_硬约束</x:v>
      </x:c>
      <x:c r="Y9" s="82" t="str">
        <x:v>硬约束</x:v>
      </x:c>
      <x:c r="Z9" s="84" t="str">
        <x:v>丙辛合识别</x:v>
      </x:c>
      <x:c r="AA9" s="84" t="str">
        <x:v>天干见丙、辛，识别为丙辛合；合化候选为水，实际是合绊、合动、合住还是合化，转M06判断。</x:v>
      </x:c>
      <x:c r="AB9" s="82" t="str">
        <x:v>确定</x:v>
      </x:c>
      <x:c r="AC9" s="82" t="str">
        <x:v>跨流派共识</x:v>
      </x:c>
      <x:c r="AD9" s="68" t="str">
        <x:v>天干五合的固定配对为甲己、乙庚、丙辛、丁壬、戊癸；本条只确认配对与候选五行。</x:v>
      </x:c>
      <x:c r="AE9" s="68" t="str">
        <x:v>年干为丙、月干为辛，登记一组丙辛合。</x:v>
      </x:c>
      <x:c r="AF9" s="90" t="str">
        <x:v>丙仅藏于某地支而天干不见丙，即使天干见辛，也不能登记天干丙辛合。</x:v>
      </x:c>
      <x:c r="AG9" s="68" t="str">
        <x:v>https://zh.wikisource.org/wiki/淵海子平；https://zh.wikisource.org/zh-hans/三命通會_(四庫全書本)</x:v>
      </x:c>
      <x:c r="AH9" s="82" t="str">
        <x:v>采用</x:v>
      </x:c>
      <x:c r="AI9" s="82" t="str">
        <x:v>初审</x:v>
      </x:c>
      <x:c r="AJ9" s="87" t="n">
        <x:v>46255</x:v>
      </x:c>
    </x:row>
    <x:row r="10">
      <x:c r="A10" s="72" t="str">
        <x:f>IF(OR(C10="",D10=""),"",B10&amp;"-"&amp;UPPER(C10)&amp;"-"&amp;TEXT(D10,"0000")&amp;"-"&amp;E10)</x:f>
        <x:v>M04-HE-0004-V1.0</x:v>
      </x:c>
      <x:c r="B10" s="74" t="str">
        <x:v>M04</x:v>
      </x:c>
      <x:c r="C10" s="74" t="str">
        <x:v>HE</x:v>
      </x:c>
      <x:c r="D10" s="79" t="n">
        <x:v>4</x:v>
      </x:c>
      <x:c r="E10" s="74" t="str">
        <x:v>V1.0</x:v>
      </x:c>
      <x:c r="F10" s="68" t="str">
        <x:v>丁壬天干五合识别</x:v>
      </x:c>
      <x:c r="G10" s="82" t="str">
        <x:v>识别层</x:v>
      </x:c>
      <x:c r="H10" s="82" t="str">
        <x:v>天干五合</x:v>
      </x:c>
      <x:c r="I10" s="68" t="str">
        <x:v>丁、壬</x:v>
      </x:c>
      <x:c r="J10" s="82" t="str">
        <x:v>其他</x:v>
      </x:c>
      <x:c r="K10" s="82" t="str">
        <x:v>完整</x:v>
      </x:c>
      <x:c r="L10" s="68" t="str">
        <x:v>关系存在不以月令为必要条件；月令只供后续判断实际效应或合化。</x:v>
      </x:c>
      <x:c r="M10" s="68" t="str">
        <x:v>参与干须在四柱天干明现；根气与透干强弱不作为关系存在的必要条件。</x:v>
      </x:c>
      <x:c r="N10" s="82" t="str">
        <x:v>木</x:v>
      </x:c>
      <x:c r="O10" s="68" t="str">
        <x:v>检查是否另有五合、相克、重复干或多重关系。</x:v>
      </x:c>
      <x:c r="P10" s="68" t="str">
        <x:v>四柱天干已按年、月、日、时标准化并保留柱位。</x:v>
      </x:c>
      <x:c r="Q10" s="68" t="str">
        <x:v>四柱天干中同时出现丁与壬，不要求先满足相邻、得令或有根。</x:v>
      </x:c>
      <x:c r="R10" s="68" t="str">
        <x:v>位置相邻、关系单一时，关系实例更清楚；仅作为后续效应判断信息。</x:v>
      </x:c>
      <x:c r="S10" s="68" t="str">
        <x:v>隔位、遥隔或多方重复时，结构更复杂，但不自动否定关系存在。</x:v>
      </x:c>
      <x:c r="T10" s="90" t="str">
        <x:v>天干缺少丁或壬；若仅在地支藏干中出现，不登记为天干丁壬合。</x:v>
      </x:c>
      <x:c r="U10" s="68" t="str">
        <x:v>实际合绊、合化、制化与力量变化统一转M06判断。</x:v>
      </x:c>
      <x:c r="V10" s="68" t="str">
        <x:v>原局存在丁壬合关系，并生成合化为木的候选。</x:v>
      </x:c>
      <x:c r="W10" s="68" t="str">
        <x:v>不得直接推出任何一干消失、必然增减力、吉凶或喜忌。</x:v>
      </x:c>
      <x:c r="X10" s="82" t="str">
        <x:v>P0_硬约束</x:v>
      </x:c>
      <x:c r="Y10" s="82" t="str">
        <x:v>硬约束</x:v>
      </x:c>
      <x:c r="Z10" s="84" t="str">
        <x:v>丁壬合识别</x:v>
      </x:c>
      <x:c r="AA10" s="84" t="str">
        <x:v>天干见丁、壬，识别为丁壬合；合化候选为木，实际是合绊、合动、合住还是合化，转M06判断。</x:v>
      </x:c>
      <x:c r="AB10" s="82" t="str">
        <x:v>确定</x:v>
      </x:c>
      <x:c r="AC10" s="82" t="str">
        <x:v>跨流派共识</x:v>
      </x:c>
      <x:c r="AD10" s="68" t="str">
        <x:v>天干五合的固定配对为甲己、乙庚、丙辛、丁壬、戊癸；本条只确认配对与候选五行。</x:v>
      </x:c>
      <x:c r="AE10" s="68" t="str">
        <x:v>年干为丁、月干为壬，登记一组丁壬合。</x:v>
      </x:c>
      <x:c r="AF10" s="90" t="str">
        <x:v>丁仅藏于某地支而天干不见丁，即使天干见壬，也不能登记天干丁壬合。</x:v>
      </x:c>
      <x:c r="AG10" s="68" t="str">
        <x:v>https://zh.wikisource.org/wiki/淵海子平；https://zh.wikisource.org/zh-hans/三命通會_(四庫全書本)</x:v>
      </x:c>
      <x:c r="AH10" s="82" t="str">
        <x:v>采用</x:v>
      </x:c>
      <x:c r="AI10" s="82" t="str">
        <x:v>初审</x:v>
      </x:c>
      <x:c r="AJ10" s="87" t="n">
        <x:v>46255</x:v>
      </x:c>
    </x:row>
    <x:row r="11">
      <x:c r="A11" s="72" t="str">
        <x:f>IF(OR(C11="",D11=""),"",B11&amp;"-"&amp;UPPER(C11)&amp;"-"&amp;TEXT(D11,"0000")&amp;"-"&amp;E11)</x:f>
        <x:v>M04-HE-0005-V1.0</x:v>
      </x:c>
      <x:c r="B11" s="74" t="str">
        <x:v>M04</x:v>
      </x:c>
      <x:c r="C11" s="74" t="str">
        <x:v>HE</x:v>
      </x:c>
      <x:c r="D11" s="79" t="n">
        <x:v>5</x:v>
      </x:c>
      <x:c r="E11" s="74" t="str">
        <x:v>V1.0</x:v>
      </x:c>
      <x:c r="F11" s="68" t="str">
        <x:v>戊癸天干五合识别</x:v>
      </x:c>
      <x:c r="G11" s="82" t="str">
        <x:v>识别层</x:v>
      </x:c>
      <x:c r="H11" s="82" t="str">
        <x:v>天干五合</x:v>
      </x:c>
      <x:c r="I11" s="68" t="str">
        <x:v>戊、癸</x:v>
      </x:c>
      <x:c r="J11" s="82" t="str">
        <x:v>其他</x:v>
      </x:c>
      <x:c r="K11" s="82" t="str">
        <x:v>完整</x:v>
      </x:c>
      <x:c r="L11" s="68" t="str">
        <x:v>关系存在不以月令为必要条件；月令只供后续判断实际效应或合化。</x:v>
      </x:c>
      <x:c r="M11" s="68" t="str">
        <x:v>参与干须在四柱天干明现；根气与透干强弱不作为关系存在的必要条件。</x:v>
      </x:c>
      <x:c r="N11" s="82" t="str">
        <x:v>火</x:v>
      </x:c>
      <x:c r="O11" s="68" t="str">
        <x:v>检查是否另有五合、相克、重复干或多重关系。</x:v>
      </x:c>
      <x:c r="P11" s="68" t="str">
        <x:v>四柱天干已按年、月、日、时标准化并保留柱位。</x:v>
      </x:c>
      <x:c r="Q11" s="68" t="str">
        <x:v>四柱天干中同时出现戊与癸，不要求先满足相邻、得令或有根。</x:v>
      </x:c>
      <x:c r="R11" s="68" t="str">
        <x:v>位置相邻、关系单一时，关系实例更清楚；仅作为后续效应判断信息。</x:v>
      </x:c>
      <x:c r="S11" s="68" t="str">
        <x:v>隔位、遥隔或多方重复时，结构更复杂，但不自动否定关系存在。</x:v>
      </x:c>
      <x:c r="T11" s="90" t="str">
        <x:v>天干缺少戊或癸；若仅在地支藏干中出现，不登记为天干戊癸合。</x:v>
      </x:c>
      <x:c r="U11" s="68" t="str">
        <x:v>实际合绊、合化、制化与力量变化统一转M06判断。</x:v>
      </x:c>
      <x:c r="V11" s="68" t="str">
        <x:v>原局存在戊癸合关系，并生成合化为火的候选。</x:v>
      </x:c>
      <x:c r="W11" s="68" t="str">
        <x:v>不得直接推出任何一干消失、必然增减力、吉凶或喜忌。</x:v>
      </x:c>
      <x:c r="X11" s="82" t="str">
        <x:v>P0_硬约束</x:v>
      </x:c>
      <x:c r="Y11" s="82" t="str">
        <x:v>硬约束</x:v>
      </x:c>
      <x:c r="Z11" s="84" t="str">
        <x:v>戊癸合识别</x:v>
      </x:c>
      <x:c r="AA11" s="84" t="str">
        <x:v>天干见戊、癸，识别为戊癸合；合化候选为火，实际是合绊、合动、合住还是合化，转M06判断。</x:v>
      </x:c>
      <x:c r="AB11" s="82" t="str">
        <x:v>确定</x:v>
      </x:c>
      <x:c r="AC11" s="82" t="str">
        <x:v>跨流派共识</x:v>
      </x:c>
      <x:c r="AD11" s="68" t="str">
        <x:v>天干五合的固定配对为甲己、乙庚、丙辛、丁壬、戊癸；本条只确认配对与候选五行。</x:v>
      </x:c>
      <x:c r="AE11" s="68" t="str">
        <x:v>年干为戊、月干为癸，登记一组戊癸合。</x:v>
      </x:c>
      <x:c r="AF11" s="90" t="str">
        <x:v>戊仅藏于某地支而天干不见戊，即使天干见癸，也不能登记天干戊癸合。</x:v>
      </x:c>
      <x:c r="AG11" s="68" t="str">
        <x:v>https://zh.wikisource.org/wiki/淵海子平；https://zh.wikisource.org/zh-hans/三命通會_(四庫全書本)</x:v>
      </x:c>
      <x:c r="AH11" s="82" t="str">
        <x:v>采用</x:v>
      </x:c>
      <x:c r="AI11" s="82" t="str">
        <x:v>初审</x:v>
      </x:c>
      <x:c r="AJ11" s="87" t="n">
        <x:v>46255</x:v>
      </x:c>
    </x:row>
    <x:row r="12">
      <x:c r="A12" s="72" t="str">
        <x:f>IF(OR(C12="",D12=""),"",B12&amp;"-"&amp;UPPER(C12)&amp;"-"&amp;TEXT(D12,"0000")&amp;"-"&amp;E12)</x:f>
        <x:v>M04-KE-0006-V1.0</x:v>
      </x:c>
      <x:c r="B12" s="74" t="str">
        <x:v>M04</x:v>
      </x:c>
      <x:c r="C12" s="74" t="str">
        <x:v>KE</x:v>
      </x:c>
      <x:c r="D12" s="79" t="n">
        <x:v>6</x:v>
      </x:c>
      <x:c r="E12" s="74" t="str">
        <x:v>V1.0</x:v>
      </x:c>
      <x:c r="F12" s="68" t="str">
        <x:v>甲克戊天干路径识别</x:v>
      </x:c>
      <x:c r="G12" s="82" t="str">
        <x:v>识别层</x:v>
      </x:c>
      <x:c r="H12" s="82" t="str">
        <x:v>天干相克</x:v>
      </x:c>
      <x:c r="I12" s="68" t="str">
        <x:v>甲、戊</x:v>
      </x:c>
      <x:c r="J12" s="82" t="str">
        <x:v>其他</x:v>
      </x:c>
      <x:c r="K12" s="82" t="str">
        <x:v>完整</x:v>
      </x:c>
      <x:c r="L12" s="68" t="str">
        <x:v>关系存在不以月令为必要条件；月令只供后续判断实际效应或合化。</x:v>
      </x:c>
      <x:c r="M12" s="68" t="str">
        <x:v>参与干须在四柱天干明现；根气与透干强弱不作为关系存在的必要条件。</x:v>
      </x:c>
      <x:c r="N12" s="82"/>
      <x:c r="O12" s="68" t="str">
        <x:v>检查是否另有五合、相克、重复干或多重关系。</x:v>
      </x:c>
      <x:c r="P12" s="68" t="str">
        <x:v>四柱天干已按年、月、日、时标准化并保留柱位。</x:v>
      </x:c>
      <x:c r="Q12" s="68" t="str">
        <x:v>四柱天干中同时出现甲与戊；按五行关系，甲所属五行克戊所属五行。</x:v>
      </x:c>
      <x:c r="R12" s="68" t="str">
        <x:v>位置相邻、关系单一时，关系实例更清楚；仅作为后续效应判断信息。</x:v>
      </x:c>
      <x:c r="S12" s="68" t="str">
        <x:v>隔位、遥隔或多方重复时，结构更复杂，但不自动否定关系存在。</x:v>
      </x:c>
      <x:c r="T12" s="90" t="str">
        <x:v>天干缺少甲或戊；若任一方只藏支未透，不按本条登记天干相克实例。</x:v>
      </x:c>
      <x:c r="U12" s="68" t="str">
        <x:v>实际合绊、合化、制化与力量变化统一转M06判断。</x:v>
      </x:c>
      <x:c r="V12" s="68" t="str">
        <x:v>原局存在甲对戊的天干相克路径。</x:v>
      </x:c>
      <x:c r="W12" s="68" t="str">
        <x:v>不得直接推出戊必弱、甲必胜、作用已经落实或由此直接定吉凶喜忌。</x:v>
      </x:c>
      <x:c r="X12" s="82" t="str">
        <x:v>P0_硬约束</x:v>
      </x:c>
      <x:c r="Y12" s="82" t="str">
        <x:v>硬约束</x:v>
      </x:c>
      <x:c r="Z12" s="84" t="str">
        <x:v>甲克戊识别</x:v>
      </x:c>
      <x:c r="AA12" s="84" t="str">
        <x:v>天干见甲与戊，登记“甲克戊”的有向相克关系；实际制约程度须结合柱位、旺衰及其他作用转M06判断。</x:v>
      </x:c>
      <x:c r="AB12" s="82" t="str">
        <x:v>确定</x:v>
      </x:c>
      <x:c r="AC12" s="82" t="str">
        <x:v>跨流派共识</x:v>
      </x:c>
      <x:c r="AD12" s="68" t="str">
        <x:v>天干相克按五行克制方向展开为有向关系；阴阳同异只影响后续十神与作用细节，不改变五行相克方向。</x:v>
      </x:c>
      <x:c r="AE12" s="68" t="str">
        <x:v>月干为甲、日干为戊，登记甲克戊。</x:v>
      </x:c>
      <x:c r="AF12" s="90" t="str">
        <x:v>仅见戊而不见甲，不能登记甲克戊。</x:v>
      </x:c>
      <x:c r="AG12" s="68" t="str">
        <x:v>https://zh.wikisource.org/wiki/淵海子平；https://zh.wikisource.org/zh-hans/三命通會_(四庫全書本)</x:v>
      </x:c>
      <x:c r="AH12" s="82" t="str">
        <x:v>采用</x:v>
      </x:c>
      <x:c r="AI12" s="82" t="str">
        <x:v>初审</x:v>
      </x:c>
      <x:c r="AJ12" s="87" t="n">
        <x:v>46255</x:v>
      </x:c>
    </x:row>
    <x:row r="13">
      <x:c r="A13" s="72" t="str">
        <x:f>IF(OR(C13="",D13=""),"",B13&amp;"-"&amp;UPPER(C13)&amp;"-"&amp;TEXT(D13,"0000")&amp;"-"&amp;E13)</x:f>
        <x:v>M04-KE-0007-V1.0</x:v>
      </x:c>
      <x:c r="B13" s="74" t="str">
        <x:v>M04</x:v>
      </x:c>
      <x:c r="C13" s="74" t="str">
        <x:v>KE</x:v>
      </x:c>
      <x:c r="D13" s="79" t="n">
        <x:v>7</x:v>
      </x:c>
      <x:c r="E13" s="74" t="str">
        <x:v>V1.0</x:v>
      </x:c>
      <x:c r="F13" s="68" t="str">
        <x:v>甲克己天干路径识别</x:v>
      </x:c>
      <x:c r="G13" s="82" t="str">
        <x:v>识别层</x:v>
      </x:c>
      <x:c r="H13" s="82" t="str">
        <x:v>天干相克</x:v>
      </x:c>
      <x:c r="I13" s="68" t="str">
        <x:v>甲、己</x:v>
      </x:c>
      <x:c r="J13" s="82" t="str">
        <x:v>其他</x:v>
      </x:c>
      <x:c r="K13" s="82" t="str">
        <x:v>完整</x:v>
      </x:c>
      <x:c r="L13" s="68" t="str">
        <x:v>关系存在不以月令为必要条件；月令只供后续判断实际效应或合化。</x:v>
      </x:c>
      <x:c r="M13" s="68" t="str">
        <x:v>参与干须在四柱天干明现；根气与透干强弱不作为关系存在的必要条件。</x:v>
      </x:c>
      <x:c r="N13" s="82"/>
      <x:c r="O13" s="68" t="str">
        <x:v>检查是否另有五合、相克、重复干或多重关系。</x:v>
      </x:c>
      <x:c r="P13" s="68" t="str">
        <x:v>四柱天干已按年、月、日、时标准化并保留柱位。</x:v>
      </x:c>
      <x:c r="Q13" s="68" t="str">
        <x:v>四柱天干中同时出现甲与己；按五行关系，甲所属五行克己所属五行。</x:v>
      </x:c>
      <x:c r="R13" s="68" t="str">
        <x:v>位置相邻、关系单一时，关系实例更清楚；仅作为后续效应判断信息。</x:v>
      </x:c>
      <x:c r="S13" s="68" t="str">
        <x:v>隔位、遥隔或多方重复时，结构更复杂，但不自动否定关系存在。</x:v>
      </x:c>
      <x:c r="T13" s="90" t="str">
        <x:v>天干缺少甲或己；若任一方只藏支未透，不按本条登记天干相克实例。</x:v>
      </x:c>
      <x:c r="U13" s="68" t="str">
        <x:v>实际合绊、合化、制化与力量变化统一转M06判断。</x:v>
      </x:c>
      <x:c r="V13" s="68" t="str">
        <x:v>原局存在甲对己的天干相克路径。</x:v>
      </x:c>
      <x:c r="W13" s="68" t="str">
        <x:v>不得直接推出己必弱、甲必胜、作用已经落实或由此直接定吉凶喜忌。</x:v>
      </x:c>
      <x:c r="X13" s="82" t="str">
        <x:v>P0_硬约束</x:v>
      </x:c>
      <x:c r="Y13" s="82" t="str">
        <x:v>硬约束</x:v>
      </x:c>
      <x:c r="Z13" s="84" t="str">
        <x:v>甲克己识别</x:v>
      </x:c>
      <x:c r="AA13" s="84" t="str">
        <x:v>天干见甲与己，登记“甲克己”的有向相克关系；实际制约程度须结合柱位、旺衰及其他作用转M06判断。</x:v>
      </x:c>
      <x:c r="AB13" s="82" t="str">
        <x:v>确定</x:v>
      </x:c>
      <x:c r="AC13" s="82" t="str">
        <x:v>跨流派共识</x:v>
      </x:c>
      <x:c r="AD13" s="68" t="str">
        <x:v>天干相克按五行克制方向展开为有向关系；阴阳同异只影响后续十神与作用细节，不改变五行相克方向。</x:v>
      </x:c>
      <x:c r="AE13" s="68" t="str">
        <x:v>月干为甲、日干为己，登记甲克己。</x:v>
      </x:c>
      <x:c r="AF13" s="90" t="str">
        <x:v>仅见己而不见甲，不能登记甲克己。</x:v>
      </x:c>
      <x:c r="AG13" s="68" t="str">
        <x:v>https://zh.wikisource.org/wiki/淵海子平；https://zh.wikisource.org/zh-hans/三命通會_(四庫全書本)</x:v>
      </x:c>
      <x:c r="AH13" s="82" t="str">
        <x:v>采用</x:v>
      </x:c>
      <x:c r="AI13" s="82" t="str">
        <x:v>初审</x:v>
      </x:c>
      <x:c r="AJ13" s="87" t="n">
        <x:v>46255</x:v>
      </x:c>
    </x:row>
    <x:row r="14">
      <x:c r="A14" s="72" t="str">
        <x:f>IF(OR(C14="",D14=""),"",B14&amp;"-"&amp;UPPER(C14)&amp;"-"&amp;TEXT(D14,"0000")&amp;"-"&amp;E14)</x:f>
        <x:v>M04-KE-0008-V1.0</x:v>
      </x:c>
      <x:c r="B14" s="74" t="str">
        <x:v>M04</x:v>
      </x:c>
      <x:c r="C14" s="74" t="str">
        <x:v>KE</x:v>
      </x:c>
      <x:c r="D14" s="79" t="n">
        <x:v>8</x:v>
      </x:c>
      <x:c r="E14" s="74" t="str">
        <x:v>V1.0</x:v>
      </x:c>
      <x:c r="F14" s="68" t="str">
        <x:v>乙克戊天干路径识别</x:v>
      </x:c>
      <x:c r="G14" s="82" t="str">
        <x:v>识别层</x:v>
      </x:c>
      <x:c r="H14" s="82" t="str">
        <x:v>天干相克</x:v>
      </x:c>
      <x:c r="I14" s="68" t="str">
        <x:v>乙、戊</x:v>
      </x:c>
      <x:c r="J14" s="82" t="str">
        <x:v>其他</x:v>
      </x:c>
      <x:c r="K14" s="82" t="str">
        <x:v>完整</x:v>
      </x:c>
      <x:c r="L14" s="68" t="str">
        <x:v>关系存在不以月令为必要条件；月令只供后续判断实际效应或合化。</x:v>
      </x:c>
      <x:c r="M14" s="68" t="str">
        <x:v>参与干须在四柱天干明现；根气与透干强弱不作为关系存在的必要条件。</x:v>
      </x:c>
      <x:c r="N14" s="82"/>
      <x:c r="O14" s="68" t="str">
        <x:v>检查是否另有五合、相克、重复干或多重关系。</x:v>
      </x:c>
      <x:c r="P14" s="68" t="str">
        <x:v>四柱天干已按年、月、日、时标准化并保留柱位。</x:v>
      </x:c>
      <x:c r="Q14" s="68" t="str">
        <x:v>四柱天干中同时出现乙与戊；按五行关系，乙所属五行克戊所属五行。</x:v>
      </x:c>
      <x:c r="R14" s="68" t="str">
        <x:v>位置相邻、关系单一时，关系实例更清楚；仅作为后续效应判断信息。</x:v>
      </x:c>
      <x:c r="S14" s="68" t="str">
        <x:v>隔位、遥隔或多方重复时，结构更复杂，但不自动否定关系存在。</x:v>
      </x:c>
      <x:c r="T14" s="90" t="str">
        <x:v>天干缺少乙或戊；若任一方只藏支未透，不按本条登记天干相克实例。</x:v>
      </x:c>
      <x:c r="U14" s="68" t="str">
        <x:v>实际合绊、合化、制化与力量变化统一转M06判断。</x:v>
      </x:c>
      <x:c r="V14" s="68" t="str">
        <x:v>原局存在乙对戊的天干相克路径。</x:v>
      </x:c>
      <x:c r="W14" s="68" t="str">
        <x:v>不得直接推出戊必弱、乙必胜、作用已经落实或由此直接定吉凶喜忌。</x:v>
      </x:c>
      <x:c r="X14" s="82" t="str">
        <x:v>P0_硬约束</x:v>
      </x:c>
      <x:c r="Y14" s="82" t="str">
        <x:v>硬约束</x:v>
      </x:c>
      <x:c r="Z14" s="84" t="str">
        <x:v>乙克戊识别</x:v>
      </x:c>
      <x:c r="AA14" s="84" t="str">
        <x:v>天干见乙与戊，登记“乙克戊”的有向相克关系；实际制约程度须结合柱位、旺衰及其他作用转M06判断。</x:v>
      </x:c>
      <x:c r="AB14" s="82" t="str">
        <x:v>确定</x:v>
      </x:c>
      <x:c r="AC14" s="82" t="str">
        <x:v>跨流派共识</x:v>
      </x:c>
      <x:c r="AD14" s="68" t="str">
        <x:v>天干相克按五行克制方向展开为有向关系；阴阳同异只影响后续十神与作用细节，不改变五行相克方向。</x:v>
      </x:c>
      <x:c r="AE14" s="68" t="str">
        <x:v>月干为乙、日干为戊，登记乙克戊。</x:v>
      </x:c>
      <x:c r="AF14" s="90" t="str">
        <x:v>仅见戊而不见乙，不能登记乙克戊。</x:v>
      </x:c>
      <x:c r="AG14" s="68" t="str">
        <x:v>https://zh.wikisource.org/wiki/淵海子平；https://zh.wikisource.org/zh-hans/三命通會_(四庫全書本)</x:v>
      </x:c>
      <x:c r="AH14" s="82" t="str">
        <x:v>采用</x:v>
      </x:c>
      <x:c r="AI14" s="82" t="str">
        <x:v>初审</x:v>
      </x:c>
      <x:c r="AJ14" s="87" t="n">
        <x:v>46255</x:v>
      </x:c>
    </x:row>
    <x:row r="15">
      <x:c r="A15" s="72" t="str">
        <x:f>IF(OR(C15="",D15=""),"",B15&amp;"-"&amp;UPPER(C15)&amp;"-"&amp;TEXT(D15,"0000")&amp;"-"&amp;E15)</x:f>
        <x:v>M04-KE-0009-V1.0</x:v>
      </x:c>
      <x:c r="B15" s="74" t="str">
        <x:v>M04</x:v>
      </x:c>
      <x:c r="C15" s="74" t="str">
        <x:v>KE</x:v>
      </x:c>
      <x:c r="D15" s="79" t="n">
        <x:v>9</x:v>
      </x:c>
      <x:c r="E15" s="74" t="str">
        <x:v>V1.0</x:v>
      </x:c>
      <x:c r="F15" s="68" t="str">
        <x:v>乙克己天干路径识别</x:v>
      </x:c>
      <x:c r="G15" s="82" t="str">
        <x:v>识别层</x:v>
      </x:c>
      <x:c r="H15" s="82" t="str">
        <x:v>天干相克</x:v>
      </x:c>
      <x:c r="I15" s="68" t="str">
        <x:v>乙、己</x:v>
      </x:c>
      <x:c r="J15" s="82" t="str">
        <x:v>其他</x:v>
      </x:c>
      <x:c r="K15" s="82" t="str">
        <x:v>完整</x:v>
      </x:c>
      <x:c r="L15" s="68" t="str">
        <x:v>关系存在不以月令为必要条件；月令只供后续判断实际效应或合化。</x:v>
      </x:c>
      <x:c r="M15" s="68" t="str">
        <x:v>参与干须在四柱天干明现；根气与透干强弱不作为关系存在的必要条件。</x:v>
      </x:c>
      <x:c r="N15" s="82"/>
      <x:c r="O15" s="68" t="str">
        <x:v>检查是否另有五合、相克、重复干或多重关系。</x:v>
      </x:c>
      <x:c r="P15" s="68" t="str">
        <x:v>四柱天干已按年、月、日、时标准化并保留柱位。</x:v>
      </x:c>
      <x:c r="Q15" s="68" t="str">
        <x:v>四柱天干中同时出现乙与己；按五行关系，乙所属五行克己所属五行。</x:v>
      </x:c>
      <x:c r="R15" s="68" t="str">
        <x:v>位置相邻、关系单一时，关系实例更清楚；仅作为后续效应判断信息。</x:v>
      </x:c>
      <x:c r="S15" s="68" t="str">
        <x:v>隔位、遥隔或多方重复时，结构更复杂，但不自动否定关系存在。</x:v>
      </x:c>
      <x:c r="T15" s="90" t="str">
        <x:v>天干缺少乙或己；若任一方只藏支未透，不按本条登记天干相克实例。</x:v>
      </x:c>
      <x:c r="U15" s="68" t="str">
        <x:v>实际合绊、合化、制化与力量变化统一转M06判断。</x:v>
      </x:c>
      <x:c r="V15" s="68" t="str">
        <x:v>原局存在乙对己的天干相克路径。</x:v>
      </x:c>
      <x:c r="W15" s="68" t="str">
        <x:v>不得直接推出己必弱、乙必胜、作用已经落实或由此直接定吉凶喜忌。</x:v>
      </x:c>
      <x:c r="X15" s="82" t="str">
        <x:v>P0_硬约束</x:v>
      </x:c>
      <x:c r="Y15" s="82" t="str">
        <x:v>硬约束</x:v>
      </x:c>
      <x:c r="Z15" s="84" t="str">
        <x:v>乙克己识别</x:v>
      </x:c>
      <x:c r="AA15" s="84" t="str">
        <x:v>天干见乙与己，登记“乙克己”的有向相克关系；实际制约程度须结合柱位、旺衰及其他作用转M06判断。</x:v>
      </x:c>
      <x:c r="AB15" s="82" t="str">
        <x:v>确定</x:v>
      </x:c>
      <x:c r="AC15" s="82" t="str">
        <x:v>跨流派共识</x:v>
      </x:c>
      <x:c r="AD15" s="68" t="str">
        <x:v>天干相克按五行克制方向展开为有向关系；阴阳同异只影响后续十神与作用细节，不改变五行相克方向。</x:v>
      </x:c>
      <x:c r="AE15" s="68" t="str">
        <x:v>月干为乙、日干为己，登记乙克己。</x:v>
      </x:c>
      <x:c r="AF15" s="90" t="str">
        <x:v>仅见己而不见乙，不能登记乙克己。</x:v>
      </x:c>
      <x:c r="AG15" s="68" t="str">
        <x:v>https://zh.wikisource.org/wiki/淵海子平；https://zh.wikisource.org/zh-hans/三命通會_(四庫全書本)</x:v>
      </x:c>
      <x:c r="AH15" s="82" t="str">
        <x:v>采用</x:v>
      </x:c>
      <x:c r="AI15" s="82" t="str">
        <x:v>初审</x:v>
      </x:c>
      <x:c r="AJ15" s="87" t="n">
        <x:v>46255</x:v>
      </x:c>
    </x:row>
    <x:row r="16">
      <x:c r="A16" s="72" t="str">
        <x:f>IF(OR(C16="",D16=""),"",B16&amp;"-"&amp;UPPER(C16)&amp;"-"&amp;TEXT(D16,"0000")&amp;"-"&amp;E16)</x:f>
        <x:v>M04-KE-0010-V1.0</x:v>
      </x:c>
      <x:c r="B16" s="74" t="str">
        <x:v>M04</x:v>
      </x:c>
      <x:c r="C16" s="74" t="str">
        <x:v>KE</x:v>
      </x:c>
      <x:c r="D16" s="79" t="n">
        <x:v>10</x:v>
      </x:c>
      <x:c r="E16" s="74" t="str">
        <x:v>V1.0</x:v>
      </x:c>
      <x:c r="F16" s="68" t="str">
        <x:v>丙克庚天干路径识别</x:v>
      </x:c>
      <x:c r="G16" s="82" t="str">
        <x:v>识别层</x:v>
      </x:c>
      <x:c r="H16" s="82" t="str">
        <x:v>天干相克</x:v>
      </x:c>
      <x:c r="I16" s="68" t="str">
        <x:v>丙、庚</x:v>
      </x:c>
      <x:c r="J16" s="82" t="str">
        <x:v>其他</x:v>
      </x:c>
      <x:c r="K16" s="82" t="str">
        <x:v>完整</x:v>
      </x:c>
      <x:c r="L16" s="68" t="str">
        <x:v>关系存在不以月令为必要条件；月令只供后续判断实际效应或合化。</x:v>
      </x:c>
      <x:c r="M16" s="68" t="str">
        <x:v>参与干须在四柱天干明现；根气与透干强弱不作为关系存在的必要条件。</x:v>
      </x:c>
      <x:c r="N16" s="82"/>
      <x:c r="O16" s="68" t="str">
        <x:v>检查是否另有五合、相克、重复干或多重关系。</x:v>
      </x:c>
      <x:c r="P16" s="68" t="str">
        <x:v>四柱天干已按年、月、日、时标准化并保留柱位。</x:v>
      </x:c>
      <x:c r="Q16" s="68" t="str">
        <x:v>四柱天干中同时出现丙与庚；按五行关系，丙所属五行克庚所属五行。</x:v>
      </x:c>
      <x:c r="R16" s="68" t="str">
        <x:v>位置相邻、关系单一时，关系实例更清楚；仅作为后续效应判断信息。</x:v>
      </x:c>
      <x:c r="S16" s="68" t="str">
        <x:v>隔位、遥隔或多方重复时，结构更复杂，但不自动否定关系存在。</x:v>
      </x:c>
      <x:c r="T16" s="90" t="str">
        <x:v>天干缺少丙或庚；若任一方只藏支未透，不按本条登记天干相克实例。</x:v>
      </x:c>
      <x:c r="U16" s="68" t="str">
        <x:v>实际合绊、合化、制化与力量变化统一转M06判断。</x:v>
      </x:c>
      <x:c r="V16" s="68" t="str">
        <x:v>原局存在丙对庚的天干相克路径。</x:v>
      </x:c>
      <x:c r="W16" s="68" t="str">
        <x:v>不得直接推出庚必弱、丙必胜、作用已经落实或由此直接定吉凶喜忌。</x:v>
      </x:c>
      <x:c r="X16" s="82" t="str">
        <x:v>P0_硬约束</x:v>
      </x:c>
      <x:c r="Y16" s="82" t="str">
        <x:v>硬约束</x:v>
      </x:c>
      <x:c r="Z16" s="84" t="str">
        <x:v>丙克庚识别</x:v>
      </x:c>
      <x:c r="AA16" s="84" t="str">
        <x:v>天干见丙与庚，登记“丙克庚”的有向相克关系；实际制约程度须结合柱位、旺衰及其他作用转M06判断。</x:v>
      </x:c>
      <x:c r="AB16" s="82" t="str">
        <x:v>确定</x:v>
      </x:c>
      <x:c r="AC16" s="82" t="str">
        <x:v>跨流派共识</x:v>
      </x:c>
      <x:c r="AD16" s="68" t="str">
        <x:v>天干相克按五行克制方向展开为有向关系；阴阳同异只影响后续十神与作用细节，不改变五行相克方向。</x:v>
      </x:c>
      <x:c r="AE16" s="68" t="str">
        <x:v>月干为丙、日干为庚，登记丙克庚。</x:v>
      </x:c>
      <x:c r="AF16" s="90" t="str">
        <x:v>仅见庚而不见丙，不能登记丙克庚。</x:v>
      </x:c>
      <x:c r="AG16" s="68" t="str">
        <x:v>https://zh.wikisource.org/wiki/淵海子平；https://zh.wikisource.org/zh-hans/三命通會_(四庫全書本)</x:v>
      </x:c>
      <x:c r="AH16" s="82" t="str">
        <x:v>采用</x:v>
      </x:c>
      <x:c r="AI16" s="82" t="str">
        <x:v>初审</x:v>
      </x:c>
      <x:c r="AJ16" s="87" t="n">
        <x:v>46255</x:v>
      </x:c>
    </x:row>
    <x:row r="17">
      <x:c r="A17" s="72" t="str">
        <x:f>IF(OR(C17="",D17=""),"",B17&amp;"-"&amp;UPPER(C17)&amp;"-"&amp;TEXT(D17,"0000")&amp;"-"&amp;E17)</x:f>
        <x:v>M04-KE-0011-V1.0</x:v>
      </x:c>
      <x:c r="B17" s="74" t="str">
        <x:v>M04</x:v>
      </x:c>
      <x:c r="C17" s="74" t="str">
        <x:v>KE</x:v>
      </x:c>
      <x:c r="D17" s="79" t="n">
        <x:v>11</x:v>
      </x:c>
      <x:c r="E17" s="74" t="str">
        <x:v>V1.0</x:v>
      </x:c>
      <x:c r="F17" s="68" t="str">
        <x:v>丙克辛天干路径识别</x:v>
      </x:c>
      <x:c r="G17" s="82" t="str">
        <x:v>识别层</x:v>
      </x:c>
      <x:c r="H17" s="82" t="str">
        <x:v>天干相克</x:v>
      </x:c>
      <x:c r="I17" s="68" t="str">
        <x:v>丙、辛</x:v>
      </x:c>
      <x:c r="J17" s="82" t="str">
        <x:v>其他</x:v>
      </x:c>
      <x:c r="K17" s="82" t="str">
        <x:v>完整</x:v>
      </x:c>
      <x:c r="L17" s="68" t="str">
        <x:v>关系存在不以月令为必要条件；月令只供后续判断实际效应或合化。</x:v>
      </x:c>
      <x:c r="M17" s="68" t="str">
        <x:v>参与干须在四柱天干明现；根气与透干强弱不作为关系存在的必要条件。</x:v>
      </x:c>
      <x:c r="N17" s="82"/>
      <x:c r="O17" s="68" t="str">
        <x:v>检查是否另有五合、相克、重复干或多重关系。</x:v>
      </x:c>
      <x:c r="P17" s="68" t="str">
        <x:v>四柱天干已按年、月、日、时标准化并保留柱位。</x:v>
      </x:c>
      <x:c r="Q17" s="68" t="str">
        <x:v>四柱天干中同时出现丙与辛；按五行关系，丙所属五行克辛所属五行。</x:v>
      </x:c>
      <x:c r="R17" s="68" t="str">
        <x:v>位置相邻、关系单一时，关系实例更清楚；仅作为后续效应判断信息。</x:v>
      </x:c>
      <x:c r="S17" s="68" t="str">
        <x:v>隔位、遥隔或多方重复时，结构更复杂，但不自动否定关系存在。</x:v>
      </x:c>
      <x:c r="T17" s="90" t="str">
        <x:v>天干缺少丙或辛；若任一方只藏支未透，不按本条登记天干相克实例。</x:v>
      </x:c>
      <x:c r="U17" s="68" t="str">
        <x:v>实际合绊、合化、制化与力量变化统一转M06判断。</x:v>
      </x:c>
      <x:c r="V17" s="68" t="str">
        <x:v>原局存在丙对辛的天干相克路径。</x:v>
      </x:c>
      <x:c r="W17" s="68" t="str">
        <x:v>不得直接推出辛必弱、丙必胜、作用已经落实或由此直接定吉凶喜忌。</x:v>
      </x:c>
      <x:c r="X17" s="82" t="str">
        <x:v>P0_硬约束</x:v>
      </x:c>
      <x:c r="Y17" s="82" t="str">
        <x:v>硬约束</x:v>
      </x:c>
      <x:c r="Z17" s="84" t="str">
        <x:v>丙克辛识别</x:v>
      </x:c>
      <x:c r="AA17" s="84" t="str">
        <x:v>天干见丙与辛，登记“丙克辛”的有向相克关系；实际制约程度须结合柱位、旺衰及其他作用转M06判断。</x:v>
      </x:c>
      <x:c r="AB17" s="82" t="str">
        <x:v>确定</x:v>
      </x:c>
      <x:c r="AC17" s="82" t="str">
        <x:v>跨流派共识</x:v>
      </x:c>
      <x:c r="AD17" s="68" t="str">
        <x:v>天干相克按五行克制方向展开为有向关系；阴阳同异只影响后续十神与作用细节，不改变五行相克方向。</x:v>
      </x:c>
      <x:c r="AE17" s="68" t="str">
        <x:v>月干为丙、日干为辛，登记丙克辛。</x:v>
      </x:c>
      <x:c r="AF17" s="90" t="str">
        <x:v>仅见辛而不见丙，不能登记丙克辛。</x:v>
      </x:c>
      <x:c r="AG17" s="68" t="str">
        <x:v>https://zh.wikisource.org/wiki/淵海子平；https://zh.wikisource.org/zh-hans/三命通會_(四庫全書本)</x:v>
      </x:c>
      <x:c r="AH17" s="82" t="str">
        <x:v>采用</x:v>
      </x:c>
      <x:c r="AI17" s="82" t="str">
        <x:v>初审</x:v>
      </x:c>
      <x:c r="AJ17" s="87" t="n">
        <x:v>46255</x:v>
      </x:c>
    </x:row>
    <x:row r="18">
      <x:c r="A18" s="72" t="str">
        <x:f>IF(OR(C18="",D18=""),"",B18&amp;"-"&amp;UPPER(C18)&amp;"-"&amp;TEXT(D18,"0000")&amp;"-"&amp;E18)</x:f>
        <x:v>M04-KE-0012-V1.0</x:v>
      </x:c>
      <x:c r="B18" s="74" t="str">
        <x:v>M04</x:v>
      </x:c>
      <x:c r="C18" s="74" t="str">
        <x:v>KE</x:v>
      </x:c>
      <x:c r="D18" s="79" t="n">
        <x:v>12</x:v>
      </x:c>
      <x:c r="E18" s="74" t="str">
        <x:v>V1.0</x:v>
      </x:c>
      <x:c r="F18" s="68" t="str">
        <x:v>丁克庚天干路径识别</x:v>
      </x:c>
      <x:c r="G18" s="82" t="str">
        <x:v>识别层</x:v>
      </x:c>
      <x:c r="H18" s="82" t="str">
        <x:v>天干相克</x:v>
      </x:c>
      <x:c r="I18" s="68" t="str">
        <x:v>丁、庚</x:v>
      </x:c>
      <x:c r="J18" s="82" t="str">
        <x:v>其他</x:v>
      </x:c>
      <x:c r="K18" s="82" t="str">
        <x:v>完整</x:v>
      </x:c>
      <x:c r="L18" s="68" t="str">
        <x:v>关系存在不以月令为必要条件；月令只供后续判断实际效应或合化。</x:v>
      </x:c>
      <x:c r="M18" s="68" t="str">
        <x:v>参与干须在四柱天干明现；根气与透干强弱不作为关系存在的必要条件。</x:v>
      </x:c>
      <x:c r="N18" s="82"/>
      <x:c r="O18" s="68" t="str">
        <x:v>检查是否另有五合、相克、重复干或多重关系。</x:v>
      </x:c>
      <x:c r="P18" s="68" t="str">
        <x:v>四柱天干已按年、月、日、时标准化并保留柱位。</x:v>
      </x:c>
      <x:c r="Q18" s="68" t="str">
        <x:v>四柱天干中同时出现丁与庚；按五行关系，丁所属五行克庚所属五行。</x:v>
      </x:c>
      <x:c r="R18" s="68" t="str">
        <x:v>位置相邻、关系单一时，关系实例更清楚；仅作为后续效应判断信息。</x:v>
      </x:c>
      <x:c r="S18" s="68" t="str">
        <x:v>隔位、遥隔或多方重复时，结构更复杂，但不自动否定关系存在。</x:v>
      </x:c>
      <x:c r="T18" s="90" t="str">
        <x:v>天干缺少丁或庚；若任一方只藏支未透，不按本条登记天干相克实例。</x:v>
      </x:c>
      <x:c r="U18" s="68" t="str">
        <x:v>实际合绊、合化、制化与力量变化统一转M06判断。</x:v>
      </x:c>
      <x:c r="V18" s="68" t="str">
        <x:v>原局存在丁对庚的天干相克路径。</x:v>
      </x:c>
      <x:c r="W18" s="68" t="str">
        <x:v>不得直接推出庚必弱、丁必胜、作用已经落实或由此直接定吉凶喜忌。</x:v>
      </x:c>
      <x:c r="X18" s="82" t="str">
        <x:v>P0_硬约束</x:v>
      </x:c>
      <x:c r="Y18" s="82" t="str">
        <x:v>硬约束</x:v>
      </x:c>
      <x:c r="Z18" s="84" t="str">
        <x:v>丁克庚识别</x:v>
      </x:c>
      <x:c r="AA18" s="84" t="str">
        <x:v>天干见丁与庚，登记“丁克庚”的有向相克关系；实际制约程度须结合柱位、旺衰及其他作用转M06判断。</x:v>
      </x:c>
      <x:c r="AB18" s="82" t="str">
        <x:v>确定</x:v>
      </x:c>
      <x:c r="AC18" s="82" t="str">
        <x:v>跨流派共识</x:v>
      </x:c>
      <x:c r="AD18" s="68" t="str">
        <x:v>天干相克按五行克制方向展开为有向关系；阴阳同异只影响后续十神与作用细节，不改变五行相克方向。</x:v>
      </x:c>
      <x:c r="AE18" s="68" t="str">
        <x:v>月干为丁、日干为庚，登记丁克庚。</x:v>
      </x:c>
      <x:c r="AF18" s="90" t="str">
        <x:v>仅见庚而不见丁，不能登记丁克庚。</x:v>
      </x:c>
      <x:c r="AG18" s="68" t="str">
        <x:v>https://zh.wikisource.org/wiki/淵海子平；https://zh.wikisource.org/zh-hans/三命通會_(四庫全書本)</x:v>
      </x:c>
      <x:c r="AH18" s="82" t="str">
        <x:v>采用</x:v>
      </x:c>
      <x:c r="AI18" s="82" t="str">
        <x:v>初审</x:v>
      </x:c>
      <x:c r="AJ18" s="87" t="n">
        <x:v>46255</x:v>
      </x:c>
    </x:row>
    <x:row r="19">
      <x:c r="A19" s="72" t="str">
        <x:f>IF(OR(C19="",D19=""),"",B19&amp;"-"&amp;UPPER(C19)&amp;"-"&amp;TEXT(D19,"0000")&amp;"-"&amp;E19)</x:f>
        <x:v>M04-KE-0013-V1.0</x:v>
      </x:c>
      <x:c r="B19" s="74" t="str">
        <x:v>M04</x:v>
      </x:c>
      <x:c r="C19" s="74" t="str">
        <x:v>KE</x:v>
      </x:c>
      <x:c r="D19" s="79" t="n">
        <x:v>13</x:v>
      </x:c>
      <x:c r="E19" s="74" t="str">
        <x:v>V1.0</x:v>
      </x:c>
      <x:c r="F19" s="68" t="str">
        <x:v>丁克辛天干路径识别</x:v>
      </x:c>
      <x:c r="G19" s="82" t="str">
        <x:v>识别层</x:v>
      </x:c>
      <x:c r="H19" s="82" t="str">
        <x:v>天干相克</x:v>
      </x:c>
      <x:c r="I19" s="68" t="str">
        <x:v>丁、辛</x:v>
      </x:c>
      <x:c r="J19" s="82" t="str">
        <x:v>其他</x:v>
      </x:c>
      <x:c r="K19" s="82" t="str">
        <x:v>完整</x:v>
      </x:c>
      <x:c r="L19" s="68" t="str">
        <x:v>关系存在不以月令为必要条件；月令只供后续判断实际效应或合化。</x:v>
      </x:c>
      <x:c r="M19" s="68" t="str">
        <x:v>参与干须在四柱天干明现；根气与透干强弱不作为关系存在的必要条件。</x:v>
      </x:c>
      <x:c r="N19" s="82"/>
      <x:c r="O19" s="68" t="str">
        <x:v>检查是否另有五合、相克、重复干或多重关系。</x:v>
      </x:c>
      <x:c r="P19" s="68" t="str">
        <x:v>四柱天干已按年、月、日、时标准化并保留柱位。</x:v>
      </x:c>
      <x:c r="Q19" s="68" t="str">
        <x:v>四柱天干中同时出现丁与辛；按五行关系，丁所属五行克辛所属五行。</x:v>
      </x:c>
      <x:c r="R19" s="68" t="str">
        <x:v>位置相邻、关系单一时，关系实例更清楚；仅作为后续效应判断信息。</x:v>
      </x:c>
      <x:c r="S19" s="68" t="str">
        <x:v>隔位、遥隔或多方重复时，结构更复杂，但不自动否定关系存在。</x:v>
      </x:c>
      <x:c r="T19" s="90" t="str">
        <x:v>天干缺少丁或辛；若任一方只藏支未透，不按本条登记天干相克实例。</x:v>
      </x:c>
      <x:c r="U19" s="68" t="str">
        <x:v>实际合绊、合化、制化与力量变化统一转M06判断。</x:v>
      </x:c>
      <x:c r="V19" s="68" t="str">
        <x:v>原局存在丁对辛的天干相克路径。</x:v>
      </x:c>
      <x:c r="W19" s="68" t="str">
        <x:v>不得直接推出辛必弱、丁必胜、作用已经落实或由此直接定吉凶喜忌。</x:v>
      </x:c>
      <x:c r="X19" s="82" t="str">
        <x:v>P0_硬约束</x:v>
      </x:c>
      <x:c r="Y19" s="82" t="str">
        <x:v>硬约束</x:v>
      </x:c>
      <x:c r="Z19" s="84" t="str">
        <x:v>丁克辛识别</x:v>
      </x:c>
      <x:c r="AA19" s="84" t="str">
        <x:v>天干见丁与辛，登记“丁克辛”的有向相克关系；实际制约程度须结合柱位、旺衰及其他作用转M06判断。</x:v>
      </x:c>
      <x:c r="AB19" s="82" t="str">
        <x:v>确定</x:v>
      </x:c>
      <x:c r="AC19" s="82" t="str">
        <x:v>跨流派共识</x:v>
      </x:c>
      <x:c r="AD19" s="68" t="str">
        <x:v>天干相克按五行克制方向展开为有向关系；阴阳同异只影响后续十神与作用细节，不改变五行相克方向。</x:v>
      </x:c>
      <x:c r="AE19" s="68" t="str">
        <x:v>月干为丁、日干为辛，登记丁克辛。</x:v>
      </x:c>
      <x:c r="AF19" s="90" t="str">
        <x:v>仅见辛而不见丁，不能登记丁克辛。</x:v>
      </x:c>
      <x:c r="AG19" s="68" t="str">
        <x:v>https://zh.wikisource.org/wiki/淵海子平；https://zh.wikisource.org/zh-hans/三命通會_(四庫全書本)</x:v>
      </x:c>
      <x:c r="AH19" s="82" t="str">
        <x:v>采用</x:v>
      </x:c>
      <x:c r="AI19" s="82" t="str">
        <x:v>初审</x:v>
      </x:c>
      <x:c r="AJ19" s="87" t="n">
        <x:v>46255</x:v>
      </x:c>
    </x:row>
    <x:row r="20">
      <x:c r="A20" s="72" t="str">
        <x:f>IF(OR(C20="",D20=""),"",B20&amp;"-"&amp;UPPER(C20)&amp;"-"&amp;TEXT(D20,"0000")&amp;"-"&amp;E20)</x:f>
        <x:v>M04-KE-0014-V1.0</x:v>
      </x:c>
      <x:c r="B20" s="74" t="str">
        <x:v>M04</x:v>
      </x:c>
      <x:c r="C20" s="74" t="str">
        <x:v>KE</x:v>
      </x:c>
      <x:c r="D20" s="79" t="n">
        <x:v>14</x:v>
      </x:c>
      <x:c r="E20" s="74" t="str">
        <x:v>V1.0</x:v>
      </x:c>
      <x:c r="F20" s="68" t="str">
        <x:v>戊克壬天干路径识别</x:v>
      </x:c>
      <x:c r="G20" s="82" t="str">
        <x:v>识别层</x:v>
      </x:c>
      <x:c r="H20" s="82" t="str">
        <x:v>天干相克</x:v>
      </x:c>
      <x:c r="I20" s="68" t="str">
        <x:v>戊、壬</x:v>
      </x:c>
      <x:c r="J20" s="82" t="str">
        <x:v>其他</x:v>
      </x:c>
      <x:c r="K20" s="82" t="str">
        <x:v>完整</x:v>
      </x:c>
      <x:c r="L20" s="68" t="str">
        <x:v>关系存在不以月令为必要条件；月令只供后续判断实际效应或合化。</x:v>
      </x:c>
      <x:c r="M20" s="68" t="str">
        <x:v>参与干须在四柱天干明现；根气与透干强弱不作为关系存在的必要条件。</x:v>
      </x:c>
      <x:c r="N20" s="82"/>
      <x:c r="O20" s="68" t="str">
        <x:v>检查是否另有五合、相克、重复干或多重关系。</x:v>
      </x:c>
      <x:c r="P20" s="68" t="str">
        <x:v>四柱天干已按年、月、日、时标准化并保留柱位。</x:v>
      </x:c>
      <x:c r="Q20" s="68" t="str">
        <x:v>四柱天干中同时出现戊与壬；按五行关系，戊所属五行克壬所属五行。</x:v>
      </x:c>
      <x:c r="R20" s="68" t="str">
        <x:v>位置相邻、关系单一时，关系实例更清楚；仅作为后续效应判断信息。</x:v>
      </x:c>
      <x:c r="S20" s="68" t="str">
        <x:v>隔位、遥隔或多方重复时，结构更复杂，但不自动否定关系存在。</x:v>
      </x:c>
      <x:c r="T20" s="90" t="str">
        <x:v>天干缺少戊或壬；若任一方只藏支未透，不按本条登记天干相克实例。</x:v>
      </x:c>
      <x:c r="U20" s="68" t="str">
        <x:v>实际合绊、合化、制化与力量变化统一转M06判断。</x:v>
      </x:c>
      <x:c r="V20" s="68" t="str">
        <x:v>原局存在戊对壬的天干相克路径。</x:v>
      </x:c>
      <x:c r="W20" s="68" t="str">
        <x:v>不得直接推出壬必弱、戊必胜、作用已经落实或由此直接定吉凶喜忌。</x:v>
      </x:c>
      <x:c r="X20" s="82" t="str">
        <x:v>P0_硬约束</x:v>
      </x:c>
      <x:c r="Y20" s="82" t="str">
        <x:v>硬约束</x:v>
      </x:c>
      <x:c r="Z20" s="84" t="str">
        <x:v>戊克壬识别</x:v>
      </x:c>
      <x:c r="AA20" s="84" t="str">
        <x:v>天干见戊与壬，登记“戊克壬”的有向相克关系；实际制约程度须结合柱位、旺衰及其他作用转M06判断。</x:v>
      </x:c>
      <x:c r="AB20" s="82" t="str">
        <x:v>确定</x:v>
      </x:c>
      <x:c r="AC20" s="82" t="str">
        <x:v>跨流派共识</x:v>
      </x:c>
      <x:c r="AD20" s="68" t="str">
        <x:v>天干相克按五行克制方向展开为有向关系；阴阳同异只影响后续十神与作用细节，不改变五行相克方向。</x:v>
      </x:c>
      <x:c r="AE20" s="68" t="str">
        <x:v>月干为戊、日干为壬，登记戊克壬。</x:v>
      </x:c>
      <x:c r="AF20" s="90" t="str">
        <x:v>仅见壬而不见戊，不能登记戊克壬。</x:v>
      </x:c>
      <x:c r="AG20" s="68" t="str">
        <x:v>https://zh.wikisource.org/wiki/淵海子平；https://zh.wikisource.org/zh-hans/三命通會_(四庫全書本)</x:v>
      </x:c>
      <x:c r="AH20" s="82" t="str">
        <x:v>采用</x:v>
      </x:c>
      <x:c r="AI20" s="82" t="str">
        <x:v>初审</x:v>
      </x:c>
      <x:c r="AJ20" s="87" t="n">
        <x:v>46255</x:v>
      </x:c>
    </x:row>
    <x:row r="21">
      <x:c r="A21" s="72" t="str">
        <x:f>IF(OR(C21="",D21=""),"",B21&amp;"-"&amp;UPPER(C21)&amp;"-"&amp;TEXT(D21,"0000")&amp;"-"&amp;E21)</x:f>
        <x:v>M04-KE-0015-V1.0</x:v>
      </x:c>
      <x:c r="B21" s="74" t="str">
        <x:v>M04</x:v>
      </x:c>
      <x:c r="C21" s="74" t="str">
        <x:v>KE</x:v>
      </x:c>
      <x:c r="D21" s="79" t="n">
        <x:v>15</x:v>
      </x:c>
      <x:c r="E21" s="74" t="str">
        <x:v>V1.0</x:v>
      </x:c>
      <x:c r="F21" s="68" t="str">
        <x:v>戊克癸天干路径识别</x:v>
      </x:c>
      <x:c r="G21" s="82" t="str">
        <x:v>识别层</x:v>
      </x:c>
      <x:c r="H21" s="82" t="str">
        <x:v>天干相克</x:v>
      </x:c>
      <x:c r="I21" s="68" t="str">
        <x:v>戊、癸</x:v>
      </x:c>
      <x:c r="J21" s="82" t="str">
        <x:v>其他</x:v>
      </x:c>
      <x:c r="K21" s="82" t="str">
        <x:v>完整</x:v>
      </x:c>
      <x:c r="L21" s="68" t="str">
        <x:v>关系存在不以月令为必要条件；月令只供后续判断实际效应或合化。</x:v>
      </x:c>
      <x:c r="M21" s="68" t="str">
        <x:v>参与干须在四柱天干明现；根气与透干强弱不作为关系存在的必要条件。</x:v>
      </x:c>
      <x:c r="N21" s="82"/>
      <x:c r="O21" s="68" t="str">
        <x:v>检查是否另有五合、相克、重复干或多重关系。</x:v>
      </x:c>
      <x:c r="P21" s="68" t="str">
        <x:v>四柱天干已按年、月、日、时标准化并保留柱位。</x:v>
      </x:c>
      <x:c r="Q21" s="68" t="str">
        <x:v>四柱天干中同时出现戊与癸；按五行关系，戊所属五行克癸所属五行。</x:v>
      </x:c>
      <x:c r="R21" s="68" t="str">
        <x:v>位置相邻、关系单一时，关系实例更清楚；仅作为后续效应判断信息。</x:v>
      </x:c>
      <x:c r="S21" s="68" t="str">
        <x:v>隔位、遥隔或多方重复时，结构更复杂，但不自动否定关系存在。</x:v>
      </x:c>
      <x:c r="T21" s="90" t="str">
        <x:v>天干缺少戊或癸；若任一方只藏支未透，不按本条登记天干相克实例。</x:v>
      </x:c>
      <x:c r="U21" s="68" t="str">
        <x:v>实际合绊、合化、制化与力量变化统一转M06判断。</x:v>
      </x:c>
      <x:c r="V21" s="68" t="str">
        <x:v>原局存在戊对癸的天干相克路径。</x:v>
      </x:c>
      <x:c r="W21" s="68" t="str">
        <x:v>不得直接推出癸必弱、戊必胜、作用已经落实或由此直接定吉凶喜忌。</x:v>
      </x:c>
      <x:c r="X21" s="82" t="str">
        <x:v>P0_硬约束</x:v>
      </x:c>
      <x:c r="Y21" s="82" t="str">
        <x:v>硬约束</x:v>
      </x:c>
      <x:c r="Z21" s="84" t="str">
        <x:v>戊克癸识别</x:v>
      </x:c>
      <x:c r="AA21" s="84" t="str">
        <x:v>天干见戊与癸，登记“戊克癸”的有向相克关系；实际制约程度须结合柱位、旺衰及其他作用转M06判断。</x:v>
      </x:c>
      <x:c r="AB21" s="82" t="str">
        <x:v>确定</x:v>
      </x:c>
      <x:c r="AC21" s="82" t="str">
        <x:v>跨流派共识</x:v>
      </x:c>
      <x:c r="AD21" s="68" t="str">
        <x:v>天干相克按五行克制方向展开为有向关系；阴阳同异只影响后续十神与作用细节，不改变五行相克方向。</x:v>
      </x:c>
      <x:c r="AE21" s="68" t="str">
        <x:v>月干为戊、日干为癸，登记戊克癸。</x:v>
      </x:c>
      <x:c r="AF21" s="90" t="str">
        <x:v>仅见癸而不见戊，不能登记戊克癸。</x:v>
      </x:c>
      <x:c r="AG21" s="68" t="str">
        <x:v>https://zh.wikisource.org/wiki/淵海子平；https://zh.wikisource.org/zh-hans/三命通會_(四庫全書本)</x:v>
      </x:c>
      <x:c r="AH21" s="82" t="str">
        <x:v>采用</x:v>
      </x:c>
      <x:c r="AI21" s="82" t="str">
        <x:v>初审</x:v>
      </x:c>
      <x:c r="AJ21" s="87" t="n">
        <x:v>46255</x:v>
      </x:c>
    </x:row>
    <x:row r="22">
      <x:c r="A22" s="72" t="str">
        <x:f>IF(OR(C22="",D22=""),"",B22&amp;"-"&amp;UPPER(C22)&amp;"-"&amp;TEXT(D22,"0000")&amp;"-"&amp;E22)</x:f>
        <x:v>M04-KE-0016-V1.0</x:v>
      </x:c>
      <x:c r="B22" s="74" t="str">
        <x:v>M04</x:v>
      </x:c>
      <x:c r="C22" s="74" t="str">
        <x:v>KE</x:v>
      </x:c>
      <x:c r="D22" s="79" t="n">
        <x:v>16</x:v>
      </x:c>
      <x:c r="E22" s="74" t="str">
        <x:v>V1.0</x:v>
      </x:c>
      <x:c r="F22" s="68" t="str">
        <x:v>己克壬天干路径识别</x:v>
      </x:c>
      <x:c r="G22" s="82" t="str">
        <x:v>识别层</x:v>
      </x:c>
      <x:c r="H22" s="82" t="str">
        <x:v>天干相克</x:v>
      </x:c>
      <x:c r="I22" s="68" t="str">
        <x:v>己、壬</x:v>
      </x:c>
      <x:c r="J22" s="82" t="str">
        <x:v>其他</x:v>
      </x:c>
      <x:c r="K22" s="82" t="str">
        <x:v>完整</x:v>
      </x:c>
      <x:c r="L22" s="68" t="str">
        <x:v>关系存在不以月令为必要条件；月令只供后续判断实际效应或合化。</x:v>
      </x:c>
      <x:c r="M22" s="68" t="str">
        <x:v>参与干须在四柱天干明现；根气与透干强弱不作为关系存在的必要条件。</x:v>
      </x:c>
      <x:c r="N22" s="82"/>
      <x:c r="O22" s="68" t="str">
        <x:v>检查是否另有五合、相克、重复干或多重关系。</x:v>
      </x:c>
      <x:c r="P22" s="68" t="str">
        <x:v>四柱天干已按年、月、日、时标准化并保留柱位。</x:v>
      </x:c>
      <x:c r="Q22" s="68" t="str">
        <x:v>四柱天干中同时出现己与壬；按五行关系，己所属五行克壬所属五行。</x:v>
      </x:c>
      <x:c r="R22" s="68" t="str">
        <x:v>位置相邻、关系单一时，关系实例更清楚；仅作为后续效应判断信息。</x:v>
      </x:c>
      <x:c r="S22" s="68" t="str">
        <x:v>隔位、遥隔或多方重复时，结构更复杂，但不自动否定关系存在。</x:v>
      </x:c>
      <x:c r="T22" s="90" t="str">
        <x:v>天干缺少己或壬；若任一方只藏支未透，不按本条登记天干相克实例。</x:v>
      </x:c>
      <x:c r="U22" s="68" t="str">
        <x:v>实际合绊、合化、制化与力量变化统一转M06判断。</x:v>
      </x:c>
      <x:c r="V22" s="68" t="str">
        <x:v>原局存在己对壬的天干相克路径。</x:v>
      </x:c>
      <x:c r="W22" s="68" t="str">
        <x:v>不得直接推出壬必弱、己必胜、作用已经落实或由此直接定吉凶喜忌。</x:v>
      </x:c>
      <x:c r="X22" s="82" t="str">
        <x:v>P0_硬约束</x:v>
      </x:c>
      <x:c r="Y22" s="82" t="str">
        <x:v>硬约束</x:v>
      </x:c>
      <x:c r="Z22" s="84" t="str">
        <x:v>己克壬识别</x:v>
      </x:c>
      <x:c r="AA22" s="84" t="str">
        <x:v>天干见己与壬，登记“己克壬”的有向相克关系；实际制约程度须结合柱位、旺衰及其他作用转M06判断。</x:v>
      </x:c>
      <x:c r="AB22" s="82" t="str">
        <x:v>确定</x:v>
      </x:c>
      <x:c r="AC22" s="82" t="str">
        <x:v>跨流派共识</x:v>
      </x:c>
      <x:c r="AD22" s="68" t="str">
        <x:v>天干相克按五行克制方向展开为有向关系；阴阳同异只影响后续十神与作用细节，不改变五行相克方向。</x:v>
      </x:c>
      <x:c r="AE22" s="68" t="str">
        <x:v>月干为己、日干为壬，登记己克壬。</x:v>
      </x:c>
      <x:c r="AF22" s="90" t="str">
        <x:v>仅见壬而不见己，不能登记己克壬。</x:v>
      </x:c>
      <x:c r="AG22" s="68" t="str">
        <x:v>https://zh.wikisource.org/wiki/淵海子平；https://zh.wikisource.org/zh-hans/三命通會_(四庫全書本)</x:v>
      </x:c>
      <x:c r="AH22" s="82" t="str">
        <x:v>采用</x:v>
      </x:c>
      <x:c r="AI22" s="82" t="str">
        <x:v>初审</x:v>
      </x:c>
      <x:c r="AJ22" s="87" t="n">
        <x:v>46255</x:v>
      </x:c>
    </x:row>
    <x:row r="23">
      <x:c r="A23" s="72" t="str">
        <x:f>IF(OR(C23="",D23=""),"",B23&amp;"-"&amp;UPPER(C23)&amp;"-"&amp;TEXT(D23,"0000")&amp;"-"&amp;E23)</x:f>
        <x:v>M04-KE-0017-V1.0</x:v>
      </x:c>
      <x:c r="B23" s="74" t="str">
        <x:v>M04</x:v>
      </x:c>
      <x:c r="C23" s="74" t="str">
        <x:v>KE</x:v>
      </x:c>
      <x:c r="D23" s="79" t="n">
        <x:v>17</x:v>
      </x:c>
      <x:c r="E23" s="74" t="str">
        <x:v>V1.0</x:v>
      </x:c>
      <x:c r="F23" s="68" t="str">
        <x:v>己克癸天干路径识别</x:v>
      </x:c>
      <x:c r="G23" s="82" t="str">
        <x:v>识别层</x:v>
      </x:c>
      <x:c r="H23" s="82" t="str">
        <x:v>天干相克</x:v>
      </x:c>
      <x:c r="I23" s="68" t="str">
        <x:v>己、癸</x:v>
      </x:c>
      <x:c r="J23" s="82" t="str">
        <x:v>其他</x:v>
      </x:c>
      <x:c r="K23" s="82" t="str">
        <x:v>完整</x:v>
      </x:c>
      <x:c r="L23" s="68" t="str">
        <x:v>关系存在不以月令为必要条件；月令只供后续判断实际效应或合化。</x:v>
      </x:c>
      <x:c r="M23" s="68" t="str">
        <x:v>参与干须在四柱天干明现；根气与透干强弱不作为关系存在的必要条件。</x:v>
      </x:c>
      <x:c r="N23" s="82"/>
      <x:c r="O23" s="68" t="str">
        <x:v>检查是否另有五合、相克、重复干或多重关系。</x:v>
      </x:c>
      <x:c r="P23" s="68" t="str">
        <x:v>四柱天干已按年、月、日、时标准化并保留柱位。</x:v>
      </x:c>
      <x:c r="Q23" s="68" t="str">
        <x:v>四柱天干中同时出现己与癸；按五行关系，己所属五行克癸所属五行。</x:v>
      </x:c>
      <x:c r="R23" s="68" t="str">
        <x:v>位置相邻、关系单一时，关系实例更清楚；仅作为后续效应判断信息。</x:v>
      </x:c>
      <x:c r="S23" s="68" t="str">
        <x:v>隔位、遥隔或多方重复时，结构更复杂，但不自动否定关系存在。</x:v>
      </x:c>
      <x:c r="T23" s="90" t="str">
        <x:v>天干缺少己或癸；若任一方只藏支未透，不按本条登记天干相克实例。</x:v>
      </x:c>
      <x:c r="U23" s="68" t="str">
        <x:v>实际合绊、合化、制化与力量变化统一转M06判断。</x:v>
      </x:c>
      <x:c r="V23" s="68" t="str">
        <x:v>原局存在己对癸的天干相克路径。</x:v>
      </x:c>
      <x:c r="W23" s="68" t="str">
        <x:v>不得直接推出癸必弱、己必胜、作用已经落实或由此直接定吉凶喜忌。</x:v>
      </x:c>
      <x:c r="X23" s="82" t="str">
        <x:v>P0_硬约束</x:v>
      </x:c>
      <x:c r="Y23" s="82" t="str">
        <x:v>硬约束</x:v>
      </x:c>
      <x:c r="Z23" s="84" t="str">
        <x:v>己克癸识别</x:v>
      </x:c>
      <x:c r="AA23" s="84" t="str">
        <x:v>天干见己与癸，登记“己克癸”的有向相克关系；实际制约程度须结合柱位、旺衰及其他作用转M06判断。</x:v>
      </x:c>
      <x:c r="AB23" s="82" t="str">
        <x:v>确定</x:v>
      </x:c>
      <x:c r="AC23" s="82" t="str">
        <x:v>跨流派共识</x:v>
      </x:c>
      <x:c r="AD23" s="68" t="str">
        <x:v>天干相克按五行克制方向展开为有向关系；阴阳同异只影响后续十神与作用细节，不改变五行相克方向。</x:v>
      </x:c>
      <x:c r="AE23" s="68" t="str">
        <x:v>月干为己、日干为癸，登记己克癸。</x:v>
      </x:c>
      <x:c r="AF23" s="90" t="str">
        <x:v>仅见癸而不见己，不能登记己克癸。</x:v>
      </x:c>
      <x:c r="AG23" s="68" t="str">
        <x:v>https://zh.wikisource.org/wiki/淵海子平；https://zh.wikisource.org/zh-hans/三命通會_(四庫全書本)</x:v>
      </x:c>
      <x:c r="AH23" s="82" t="str">
        <x:v>采用</x:v>
      </x:c>
      <x:c r="AI23" s="82" t="str">
        <x:v>初审</x:v>
      </x:c>
      <x:c r="AJ23" s="87" t="n">
        <x:v>46255</x:v>
      </x:c>
    </x:row>
    <x:row r="24">
      <x:c r="A24" s="72" t="str">
        <x:f>IF(OR(C24="",D24=""),"",B24&amp;"-"&amp;UPPER(C24)&amp;"-"&amp;TEXT(D24,"0000")&amp;"-"&amp;E24)</x:f>
        <x:v>M04-KE-0018-V1.0</x:v>
      </x:c>
      <x:c r="B24" s="74" t="str">
        <x:v>M04</x:v>
      </x:c>
      <x:c r="C24" s="74" t="str">
        <x:v>KE</x:v>
      </x:c>
      <x:c r="D24" s="79" t="n">
        <x:v>18</x:v>
      </x:c>
      <x:c r="E24" s="74" t="str">
        <x:v>V1.0</x:v>
      </x:c>
      <x:c r="F24" s="68" t="str">
        <x:v>庚克甲天干路径识别</x:v>
      </x:c>
      <x:c r="G24" s="82" t="str">
        <x:v>识别层</x:v>
      </x:c>
      <x:c r="H24" s="82" t="str">
        <x:v>天干相克</x:v>
      </x:c>
      <x:c r="I24" s="68" t="str">
        <x:v>庚、甲</x:v>
      </x:c>
      <x:c r="J24" s="82" t="str">
        <x:v>其他</x:v>
      </x:c>
      <x:c r="K24" s="82" t="str">
        <x:v>完整</x:v>
      </x:c>
      <x:c r="L24" s="68" t="str">
        <x:v>关系存在不以月令为必要条件；月令只供后续判断实际效应或合化。</x:v>
      </x:c>
      <x:c r="M24" s="68" t="str">
        <x:v>参与干须在四柱天干明现；根气与透干强弱不作为关系存在的必要条件。</x:v>
      </x:c>
      <x:c r="N24" s="82"/>
      <x:c r="O24" s="68" t="str">
        <x:v>检查是否另有五合、相克、重复干或多重关系。</x:v>
      </x:c>
      <x:c r="P24" s="68" t="str">
        <x:v>四柱天干已按年、月、日、时标准化并保留柱位。</x:v>
      </x:c>
      <x:c r="Q24" s="68" t="str">
        <x:v>四柱天干中同时出现庚与甲；按五行关系，庚所属五行克甲所属五行。</x:v>
      </x:c>
      <x:c r="R24" s="68" t="str">
        <x:v>位置相邻、关系单一时，关系实例更清楚；仅作为后续效应判断信息。</x:v>
      </x:c>
      <x:c r="S24" s="68" t="str">
        <x:v>隔位、遥隔或多方重复时，结构更复杂，但不自动否定关系存在。</x:v>
      </x:c>
      <x:c r="T24" s="90" t="str">
        <x:v>天干缺少庚或甲；若任一方只藏支未透，不按本条登记天干相克实例。</x:v>
      </x:c>
      <x:c r="U24" s="68" t="str">
        <x:v>实际合绊、合化、制化与力量变化统一转M06判断。</x:v>
      </x:c>
      <x:c r="V24" s="68" t="str">
        <x:v>原局存在庚对甲的天干相克路径。</x:v>
      </x:c>
      <x:c r="W24" s="68" t="str">
        <x:v>不得直接推出甲必弱、庚必胜、作用已经落实或由此直接定吉凶喜忌。</x:v>
      </x:c>
      <x:c r="X24" s="82" t="str">
        <x:v>P0_硬约束</x:v>
      </x:c>
      <x:c r="Y24" s="82" t="str">
        <x:v>硬约束</x:v>
      </x:c>
      <x:c r="Z24" s="84" t="str">
        <x:v>庚克甲识别</x:v>
      </x:c>
      <x:c r="AA24" s="84" t="str">
        <x:v>天干见庚与甲，登记“庚克甲”的有向相克关系；实际制约程度须结合柱位、旺衰及其他作用转M06判断。</x:v>
      </x:c>
      <x:c r="AB24" s="82" t="str">
        <x:v>确定</x:v>
      </x:c>
      <x:c r="AC24" s="82" t="str">
        <x:v>跨流派共识</x:v>
      </x:c>
      <x:c r="AD24" s="68" t="str">
        <x:v>天干相克按五行克制方向展开为有向关系；阴阳同异只影响后续十神与作用细节，不改变五行相克方向。</x:v>
      </x:c>
      <x:c r="AE24" s="68" t="str">
        <x:v>月干为庚、日干为甲，登记庚克甲。</x:v>
      </x:c>
      <x:c r="AF24" s="90" t="str">
        <x:v>仅见甲而不见庚，不能登记庚克甲。</x:v>
      </x:c>
      <x:c r="AG24" s="68" t="str">
        <x:v>https://zh.wikisource.org/wiki/淵海子平；https://zh.wikisource.org/zh-hans/三命通會_(四庫全書本)</x:v>
      </x:c>
      <x:c r="AH24" s="82" t="str">
        <x:v>采用</x:v>
      </x:c>
      <x:c r="AI24" s="82" t="str">
        <x:v>初审</x:v>
      </x:c>
      <x:c r="AJ24" s="87" t="n">
        <x:v>46255</x:v>
      </x:c>
    </x:row>
    <x:row r="25">
      <x:c r="A25" s="72" t="str">
        <x:f>IF(OR(C25="",D25=""),"",B25&amp;"-"&amp;UPPER(C25)&amp;"-"&amp;TEXT(D25,"0000")&amp;"-"&amp;E25)</x:f>
        <x:v>M04-KE-0019-V1.0</x:v>
      </x:c>
      <x:c r="B25" s="74" t="str">
        <x:v>M04</x:v>
      </x:c>
      <x:c r="C25" s="74" t="str">
        <x:v>KE</x:v>
      </x:c>
      <x:c r="D25" s="79" t="n">
        <x:v>19</x:v>
      </x:c>
      <x:c r="E25" s="74" t="str">
        <x:v>V1.0</x:v>
      </x:c>
      <x:c r="F25" s="68" t="str">
        <x:v>庚克乙天干路径识别</x:v>
      </x:c>
      <x:c r="G25" s="82" t="str">
        <x:v>识别层</x:v>
      </x:c>
      <x:c r="H25" s="82" t="str">
        <x:v>天干相克</x:v>
      </x:c>
      <x:c r="I25" s="68" t="str">
        <x:v>庚、乙</x:v>
      </x:c>
      <x:c r="J25" s="82" t="str">
        <x:v>其他</x:v>
      </x:c>
      <x:c r="K25" s="82" t="str">
        <x:v>完整</x:v>
      </x:c>
      <x:c r="L25" s="68" t="str">
        <x:v>关系存在不以月令为必要条件；月令只供后续判断实际效应或合化。</x:v>
      </x:c>
      <x:c r="M25" s="68" t="str">
        <x:v>参与干须在四柱天干明现；根气与透干强弱不作为关系存在的必要条件。</x:v>
      </x:c>
      <x:c r="N25" s="82"/>
      <x:c r="O25" s="68" t="str">
        <x:v>检查是否另有五合、相克、重复干或多重关系。</x:v>
      </x:c>
      <x:c r="P25" s="68" t="str">
        <x:v>四柱天干已按年、月、日、时标准化并保留柱位。</x:v>
      </x:c>
      <x:c r="Q25" s="68" t="str">
        <x:v>四柱天干中同时出现庚与乙；按五行关系，庚所属五行克乙所属五行。</x:v>
      </x:c>
      <x:c r="R25" s="68" t="str">
        <x:v>位置相邻、关系单一时，关系实例更清楚；仅作为后续效应判断信息。</x:v>
      </x:c>
      <x:c r="S25" s="68" t="str">
        <x:v>隔位、遥隔或多方重复时，结构更复杂，但不自动否定关系存在。</x:v>
      </x:c>
      <x:c r="T25" s="90" t="str">
        <x:v>天干缺少庚或乙；若任一方只藏支未透，不按本条登记天干相克实例。</x:v>
      </x:c>
      <x:c r="U25" s="68" t="str">
        <x:v>实际合绊、合化、制化与力量变化统一转M06判断。</x:v>
      </x:c>
      <x:c r="V25" s="68" t="str">
        <x:v>原局存在庚对乙的天干相克路径。</x:v>
      </x:c>
      <x:c r="W25" s="68" t="str">
        <x:v>不得直接推出乙必弱、庚必胜、作用已经落实或由此直接定吉凶喜忌。</x:v>
      </x:c>
      <x:c r="X25" s="82" t="str">
        <x:v>P0_硬约束</x:v>
      </x:c>
      <x:c r="Y25" s="82" t="str">
        <x:v>硬约束</x:v>
      </x:c>
      <x:c r="Z25" s="84" t="str">
        <x:v>庚克乙识别</x:v>
      </x:c>
      <x:c r="AA25" s="84" t="str">
        <x:v>天干见庚与乙，登记“庚克乙”的有向相克关系；实际制约程度须结合柱位、旺衰及其他作用转M06判断。</x:v>
      </x:c>
      <x:c r="AB25" s="82" t="str">
        <x:v>确定</x:v>
      </x:c>
      <x:c r="AC25" s="82" t="str">
        <x:v>跨流派共识</x:v>
      </x:c>
      <x:c r="AD25" s="68" t="str">
        <x:v>天干相克按五行克制方向展开为有向关系；阴阳同异只影响后续十神与作用细节，不改变五行相克方向。</x:v>
      </x:c>
      <x:c r="AE25" s="68" t="str">
        <x:v>月干为庚、日干为乙，登记庚克乙。</x:v>
      </x:c>
      <x:c r="AF25" s="90" t="str">
        <x:v>仅见乙而不见庚，不能登记庚克乙。</x:v>
      </x:c>
      <x:c r="AG25" s="68" t="str">
        <x:v>https://zh.wikisource.org/wiki/淵海子平；https://zh.wikisource.org/zh-hans/三命通會_(四庫全書本)</x:v>
      </x:c>
      <x:c r="AH25" s="82" t="str">
        <x:v>采用</x:v>
      </x:c>
      <x:c r="AI25" s="82" t="str">
        <x:v>初审</x:v>
      </x:c>
      <x:c r="AJ25" s="87" t="n">
        <x:v>46255</x:v>
      </x:c>
    </x:row>
    <x:row r="26">
      <x:c r="A26" s="72" t="str">
        <x:f>IF(OR(C26="",D26=""),"",B26&amp;"-"&amp;UPPER(C26)&amp;"-"&amp;TEXT(D26,"0000")&amp;"-"&amp;E26)</x:f>
        <x:v>M04-KE-0020-V1.0</x:v>
      </x:c>
      <x:c r="B26" s="74" t="str">
        <x:v>M04</x:v>
      </x:c>
      <x:c r="C26" s="74" t="str">
        <x:v>KE</x:v>
      </x:c>
      <x:c r="D26" s="79" t="n">
        <x:v>20</x:v>
      </x:c>
      <x:c r="E26" s="74" t="str">
        <x:v>V1.0</x:v>
      </x:c>
      <x:c r="F26" s="68" t="str">
        <x:v>辛克甲天干路径识别</x:v>
      </x:c>
      <x:c r="G26" s="82" t="str">
        <x:v>识别层</x:v>
      </x:c>
      <x:c r="H26" s="82" t="str">
        <x:v>天干相克</x:v>
      </x:c>
      <x:c r="I26" s="68" t="str">
        <x:v>辛、甲</x:v>
      </x:c>
      <x:c r="J26" s="82" t="str">
        <x:v>其他</x:v>
      </x:c>
      <x:c r="K26" s="82" t="str">
        <x:v>完整</x:v>
      </x:c>
      <x:c r="L26" s="68" t="str">
        <x:v>关系存在不以月令为必要条件；月令只供后续判断实际效应或合化。</x:v>
      </x:c>
      <x:c r="M26" s="68" t="str">
        <x:v>参与干须在四柱天干明现；根气与透干强弱不作为关系存在的必要条件。</x:v>
      </x:c>
      <x:c r="N26" s="82"/>
      <x:c r="O26" s="68" t="str">
        <x:v>检查是否另有五合、相克、重复干或多重关系。</x:v>
      </x:c>
      <x:c r="P26" s="68" t="str">
        <x:v>四柱天干已按年、月、日、时标准化并保留柱位。</x:v>
      </x:c>
      <x:c r="Q26" s="68" t="str">
        <x:v>四柱天干中同时出现辛与甲；按五行关系，辛所属五行克甲所属五行。</x:v>
      </x:c>
      <x:c r="R26" s="68" t="str">
        <x:v>位置相邻、关系单一时，关系实例更清楚；仅作为后续效应判断信息。</x:v>
      </x:c>
      <x:c r="S26" s="68" t="str">
        <x:v>隔位、遥隔或多方重复时，结构更复杂，但不自动否定关系存在。</x:v>
      </x:c>
      <x:c r="T26" s="90" t="str">
        <x:v>天干缺少辛或甲；若任一方只藏支未透，不按本条登记天干相克实例。</x:v>
      </x:c>
      <x:c r="U26" s="68" t="str">
        <x:v>实际合绊、合化、制化与力量变化统一转M06判断。</x:v>
      </x:c>
      <x:c r="V26" s="68" t="str">
        <x:v>原局存在辛对甲的天干相克路径。</x:v>
      </x:c>
      <x:c r="W26" s="68" t="str">
        <x:v>不得直接推出甲必弱、辛必胜、作用已经落实或由此直接定吉凶喜忌。</x:v>
      </x:c>
      <x:c r="X26" s="82" t="str">
        <x:v>P0_硬约束</x:v>
      </x:c>
      <x:c r="Y26" s="82" t="str">
        <x:v>硬约束</x:v>
      </x:c>
      <x:c r="Z26" s="84" t="str">
        <x:v>辛克甲识别</x:v>
      </x:c>
      <x:c r="AA26" s="84" t="str">
        <x:v>天干见辛与甲，登记“辛克甲”的有向相克关系；实际制约程度须结合柱位、旺衰及其他作用转M06判断。</x:v>
      </x:c>
      <x:c r="AB26" s="82" t="str">
        <x:v>确定</x:v>
      </x:c>
      <x:c r="AC26" s="82" t="str">
        <x:v>跨流派共识</x:v>
      </x:c>
      <x:c r="AD26" s="68" t="str">
        <x:v>天干相克按五行克制方向展开为有向关系；阴阳同异只影响后续十神与作用细节，不改变五行相克方向。</x:v>
      </x:c>
      <x:c r="AE26" s="68" t="str">
        <x:v>月干为辛、日干为甲，登记辛克甲。</x:v>
      </x:c>
      <x:c r="AF26" s="90" t="str">
        <x:v>仅见甲而不见辛，不能登记辛克甲。</x:v>
      </x:c>
      <x:c r="AG26" s="68" t="str">
        <x:v>https://zh.wikisource.org/wiki/淵海子平；https://zh.wikisource.org/zh-hans/三命通會_(四庫全書本)</x:v>
      </x:c>
      <x:c r="AH26" s="82" t="str">
        <x:v>采用</x:v>
      </x:c>
      <x:c r="AI26" s="82" t="str">
        <x:v>初审</x:v>
      </x:c>
      <x:c r="AJ26" s="87" t="n">
        <x:v>46255</x:v>
      </x:c>
    </x:row>
    <x:row r="27">
      <x:c r="A27" s="72" t="str">
        <x:f>IF(OR(C27="",D27=""),"",B27&amp;"-"&amp;UPPER(C27)&amp;"-"&amp;TEXT(D27,"0000")&amp;"-"&amp;E27)</x:f>
        <x:v>M04-KE-0021-V1.0</x:v>
      </x:c>
      <x:c r="B27" s="74" t="str">
        <x:v>M04</x:v>
      </x:c>
      <x:c r="C27" s="74" t="str">
        <x:v>KE</x:v>
      </x:c>
      <x:c r="D27" s="79" t="n">
        <x:v>21</x:v>
      </x:c>
      <x:c r="E27" s="74" t="str">
        <x:v>V1.0</x:v>
      </x:c>
      <x:c r="F27" s="68" t="str">
        <x:v>辛克乙天干路径识别</x:v>
      </x:c>
      <x:c r="G27" s="82" t="str">
        <x:v>识别层</x:v>
      </x:c>
      <x:c r="H27" s="82" t="str">
        <x:v>天干相克</x:v>
      </x:c>
      <x:c r="I27" s="68" t="str">
        <x:v>辛、乙</x:v>
      </x:c>
      <x:c r="J27" s="82" t="str">
        <x:v>其他</x:v>
      </x:c>
      <x:c r="K27" s="82" t="str">
        <x:v>完整</x:v>
      </x:c>
      <x:c r="L27" s="68" t="str">
        <x:v>关系存在不以月令为必要条件；月令只供后续判断实际效应或合化。</x:v>
      </x:c>
      <x:c r="M27" s="68" t="str">
        <x:v>参与干须在四柱天干明现；根气与透干强弱不作为关系存在的必要条件。</x:v>
      </x:c>
      <x:c r="N27" s="82"/>
      <x:c r="O27" s="68" t="str">
        <x:v>检查是否另有五合、相克、重复干或多重关系。</x:v>
      </x:c>
      <x:c r="P27" s="68" t="str">
        <x:v>四柱天干已按年、月、日、时标准化并保留柱位。</x:v>
      </x:c>
      <x:c r="Q27" s="68" t="str">
        <x:v>四柱天干中同时出现辛与乙；按五行关系，辛所属五行克乙所属五行。</x:v>
      </x:c>
      <x:c r="R27" s="68" t="str">
        <x:v>位置相邻、关系单一时，关系实例更清楚；仅作为后续效应判断信息。</x:v>
      </x:c>
      <x:c r="S27" s="68" t="str">
        <x:v>隔位、遥隔或多方重复时，结构更复杂，但不自动否定关系存在。</x:v>
      </x:c>
      <x:c r="T27" s="90" t="str">
        <x:v>天干缺少辛或乙；若任一方只藏支未透，不按本条登记天干相克实例。</x:v>
      </x:c>
      <x:c r="U27" s="68" t="str">
        <x:v>实际合绊、合化、制化与力量变化统一转M06判断。</x:v>
      </x:c>
      <x:c r="V27" s="68" t="str">
        <x:v>原局存在辛对乙的天干相克路径。</x:v>
      </x:c>
      <x:c r="W27" s="68" t="str">
        <x:v>不得直接推出乙必弱、辛必胜、作用已经落实或由此直接定吉凶喜忌。</x:v>
      </x:c>
      <x:c r="X27" s="82" t="str">
        <x:v>P0_硬约束</x:v>
      </x:c>
      <x:c r="Y27" s="82" t="str">
        <x:v>硬约束</x:v>
      </x:c>
      <x:c r="Z27" s="84" t="str">
        <x:v>辛克乙识别</x:v>
      </x:c>
      <x:c r="AA27" s="84" t="str">
        <x:v>天干见辛与乙，登记“辛克乙”的有向相克关系；实际制约程度须结合柱位、旺衰及其他作用转M06判断。</x:v>
      </x:c>
      <x:c r="AB27" s="82" t="str">
        <x:v>确定</x:v>
      </x:c>
      <x:c r="AC27" s="82" t="str">
        <x:v>跨流派共识</x:v>
      </x:c>
      <x:c r="AD27" s="68" t="str">
        <x:v>天干相克按五行克制方向展开为有向关系；阴阳同异只影响后续十神与作用细节，不改变五行相克方向。</x:v>
      </x:c>
      <x:c r="AE27" s="68" t="str">
        <x:v>月干为辛、日干为乙，登记辛克乙。</x:v>
      </x:c>
      <x:c r="AF27" s="90" t="str">
        <x:v>仅见乙而不见辛，不能登记辛克乙。</x:v>
      </x:c>
      <x:c r="AG27" s="68" t="str">
        <x:v>https://zh.wikisource.org/wiki/淵海子平；https://zh.wikisource.org/zh-hans/三命通會_(四庫全書本)</x:v>
      </x:c>
      <x:c r="AH27" s="82" t="str">
        <x:v>采用</x:v>
      </x:c>
      <x:c r="AI27" s="82" t="str">
        <x:v>初审</x:v>
      </x:c>
      <x:c r="AJ27" s="87" t="n">
        <x:v>46255</x:v>
      </x:c>
    </x:row>
    <x:row r="28">
      <x:c r="A28" s="72" t="str">
        <x:f>IF(OR(C28="",D28=""),"",B28&amp;"-"&amp;UPPER(C28)&amp;"-"&amp;TEXT(D28,"0000")&amp;"-"&amp;E28)</x:f>
        <x:v>M04-KE-0022-V1.0</x:v>
      </x:c>
      <x:c r="B28" s="74" t="str">
        <x:v>M04</x:v>
      </x:c>
      <x:c r="C28" s="74" t="str">
        <x:v>KE</x:v>
      </x:c>
      <x:c r="D28" s="79" t="n">
        <x:v>22</x:v>
      </x:c>
      <x:c r="E28" s="74" t="str">
        <x:v>V1.0</x:v>
      </x:c>
      <x:c r="F28" s="68" t="str">
        <x:v>壬克丙天干路径识别</x:v>
      </x:c>
      <x:c r="G28" s="82" t="str">
        <x:v>识别层</x:v>
      </x:c>
      <x:c r="H28" s="82" t="str">
        <x:v>天干相克</x:v>
      </x:c>
      <x:c r="I28" s="68" t="str">
        <x:v>壬、丙</x:v>
      </x:c>
      <x:c r="J28" s="82" t="str">
        <x:v>其他</x:v>
      </x:c>
      <x:c r="K28" s="82" t="str">
        <x:v>完整</x:v>
      </x:c>
      <x:c r="L28" s="68" t="str">
        <x:v>关系存在不以月令为必要条件；月令只供后续判断实际效应或合化。</x:v>
      </x:c>
      <x:c r="M28" s="68" t="str">
        <x:v>参与干须在四柱天干明现；根气与透干强弱不作为关系存在的必要条件。</x:v>
      </x:c>
      <x:c r="N28" s="82"/>
      <x:c r="O28" s="68" t="str">
        <x:v>检查是否另有五合、相克、重复干或多重关系。</x:v>
      </x:c>
      <x:c r="P28" s="68" t="str">
        <x:v>四柱天干已按年、月、日、时标准化并保留柱位。</x:v>
      </x:c>
      <x:c r="Q28" s="68" t="str">
        <x:v>四柱天干中同时出现壬与丙；按五行关系，壬所属五行克丙所属五行。</x:v>
      </x:c>
      <x:c r="R28" s="68" t="str">
        <x:v>位置相邻、关系单一时，关系实例更清楚；仅作为后续效应判断信息。</x:v>
      </x:c>
      <x:c r="S28" s="68" t="str">
        <x:v>隔位、遥隔或多方重复时，结构更复杂，但不自动否定关系存在。</x:v>
      </x:c>
      <x:c r="T28" s="90" t="str">
        <x:v>天干缺少壬或丙；若任一方只藏支未透，不按本条登记天干相克实例。</x:v>
      </x:c>
      <x:c r="U28" s="68" t="str">
        <x:v>实际合绊、合化、制化与力量变化统一转M06判断。</x:v>
      </x:c>
      <x:c r="V28" s="68" t="str">
        <x:v>原局存在壬对丙的天干相克路径。</x:v>
      </x:c>
      <x:c r="W28" s="68" t="str">
        <x:v>不得直接推出丙必弱、壬必胜、作用已经落实或由此直接定吉凶喜忌。</x:v>
      </x:c>
      <x:c r="X28" s="82" t="str">
        <x:v>P0_硬约束</x:v>
      </x:c>
      <x:c r="Y28" s="82" t="str">
        <x:v>硬约束</x:v>
      </x:c>
      <x:c r="Z28" s="84" t="str">
        <x:v>壬克丙识别</x:v>
      </x:c>
      <x:c r="AA28" s="84" t="str">
        <x:v>天干见壬与丙，登记“壬克丙”的有向相克关系；实际制约程度须结合柱位、旺衰及其他作用转M06判断。</x:v>
      </x:c>
      <x:c r="AB28" s="82" t="str">
        <x:v>确定</x:v>
      </x:c>
      <x:c r="AC28" s="82" t="str">
        <x:v>跨流派共识</x:v>
      </x:c>
      <x:c r="AD28" s="68" t="str">
        <x:v>天干相克按五行克制方向展开为有向关系；阴阳同异只影响后续十神与作用细节，不改变五行相克方向。</x:v>
      </x:c>
      <x:c r="AE28" s="68" t="str">
        <x:v>月干为壬、日干为丙，登记壬克丙。</x:v>
      </x:c>
      <x:c r="AF28" s="90" t="str">
        <x:v>仅见丙而不见壬，不能登记壬克丙。</x:v>
      </x:c>
      <x:c r="AG28" s="68" t="str">
        <x:v>https://zh.wikisource.org/wiki/淵海子平；https://zh.wikisource.org/zh-hans/三命通會_(四庫全書本)</x:v>
      </x:c>
      <x:c r="AH28" s="82" t="str">
        <x:v>采用</x:v>
      </x:c>
      <x:c r="AI28" s="82" t="str">
        <x:v>初审</x:v>
      </x:c>
      <x:c r="AJ28" s="87" t="n">
        <x:v>46255</x:v>
      </x:c>
    </x:row>
    <x:row r="29">
      <x:c r="A29" s="72" t="str">
        <x:f>IF(OR(C29="",D29=""),"",B29&amp;"-"&amp;UPPER(C29)&amp;"-"&amp;TEXT(D29,"0000")&amp;"-"&amp;E29)</x:f>
        <x:v>M04-KE-0023-V1.0</x:v>
      </x:c>
      <x:c r="B29" s="74" t="str">
        <x:v>M04</x:v>
      </x:c>
      <x:c r="C29" s="74" t="str">
        <x:v>KE</x:v>
      </x:c>
      <x:c r="D29" s="79" t="n">
        <x:v>23</x:v>
      </x:c>
      <x:c r="E29" s="74" t="str">
        <x:v>V1.0</x:v>
      </x:c>
      <x:c r="F29" s="68" t="str">
        <x:v>壬克丁天干路径识别</x:v>
      </x:c>
      <x:c r="G29" s="82" t="str">
        <x:v>识别层</x:v>
      </x:c>
      <x:c r="H29" s="82" t="str">
        <x:v>天干相克</x:v>
      </x:c>
      <x:c r="I29" s="68" t="str">
        <x:v>壬、丁</x:v>
      </x:c>
      <x:c r="J29" s="82" t="str">
        <x:v>其他</x:v>
      </x:c>
      <x:c r="K29" s="82" t="str">
        <x:v>完整</x:v>
      </x:c>
      <x:c r="L29" s="68" t="str">
        <x:v>关系存在不以月令为必要条件；月令只供后续判断实际效应或合化。</x:v>
      </x:c>
      <x:c r="M29" s="68" t="str">
        <x:v>参与干须在四柱天干明现；根气与透干强弱不作为关系存在的必要条件。</x:v>
      </x:c>
      <x:c r="N29" s="82"/>
      <x:c r="O29" s="68" t="str">
        <x:v>检查是否另有五合、相克、重复干或多重关系。</x:v>
      </x:c>
      <x:c r="P29" s="68" t="str">
        <x:v>四柱天干已按年、月、日、时标准化并保留柱位。</x:v>
      </x:c>
      <x:c r="Q29" s="68" t="str">
        <x:v>四柱天干中同时出现壬与丁；按五行关系，壬所属五行克丁所属五行。</x:v>
      </x:c>
      <x:c r="R29" s="68" t="str">
        <x:v>位置相邻、关系单一时，关系实例更清楚；仅作为后续效应判断信息。</x:v>
      </x:c>
      <x:c r="S29" s="68" t="str">
        <x:v>隔位、遥隔或多方重复时，结构更复杂，但不自动否定关系存在。</x:v>
      </x:c>
      <x:c r="T29" s="90" t="str">
        <x:v>天干缺少壬或丁；若任一方只藏支未透，不按本条登记天干相克实例。</x:v>
      </x:c>
      <x:c r="U29" s="68" t="str">
        <x:v>实际合绊、合化、制化与力量变化统一转M06判断。</x:v>
      </x:c>
      <x:c r="V29" s="68" t="str">
        <x:v>原局存在壬对丁的天干相克路径。</x:v>
      </x:c>
      <x:c r="W29" s="68" t="str">
        <x:v>不得直接推出丁必弱、壬必胜、作用已经落实或由此直接定吉凶喜忌。</x:v>
      </x:c>
      <x:c r="X29" s="82" t="str">
        <x:v>P0_硬约束</x:v>
      </x:c>
      <x:c r="Y29" s="82" t="str">
        <x:v>硬约束</x:v>
      </x:c>
      <x:c r="Z29" s="84" t="str">
        <x:v>壬克丁识别</x:v>
      </x:c>
      <x:c r="AA29" s="84" t="str">
        <x:v>天干见壬与丁，登记“壬克丁”的有向相克关系；实际制约程度须结合柱位、旺衰及其他作用转M06判断。</x:v>
      </x:c>
      <x:c r="AB29" s="82" t="str">
        <x:v>确定</x:v>
      </x:c>
      <x:c r="AC29" s="82" t="str">
        <x:v>跨流派共识</x:v>
      </x:c>
      <x:c r="AD29" s="68" t="str">
        <x:v>天干相克按五行克制方向展开为有向关系；阴阳同异只影响后续十神与作用细节，不改变五行相克方向。</x:v>
      </x:c>
      <x:c r="AE29" s="68" t="str">
        <x:v>月干为壬、日干为丁，登记壬克丁。</x:v>
      </x:c>
      <x:c r="AF29" s="90" t="str">
        <x:v>仅见丁而不见壬，不能登记壬克丁。</x:v>
      </x:c>
      <x:c r="AG29" s="68" t="str">
        <x:v>https://zh.wikisource.org/wiki/淵海子平；https://zh.wikisource.org/zh-hans/三命通會_(四庫全書本)</x:v>
      </x:c>
      <x:c r="AH29" s="82" t="str">
        <x:v>采用</x:v>
      </x:c>
      <x:c r="AI29" s="82" t="str">
        <x:v>初审</x:v>
      </x:c>
      <x:c r="AJ29" s="87" t="n">
        <x:v>46255</x:v>
      </x:c>
    </x:row>
    <x:row r="30">
      <x:c r="A30" s="72" t="str">
        <x:f>IF(OR(C30="",D30=""),"",B30&amp;"-"&amp;UPPER(C30)&amp;"-"&amp;TEXT(D30,"0000")&amp;"-"&amp;E30)</x:f>
        <x:v>M04-KE-0024-V1.0</x:v>
      </x:c>
      <x:c r="B30" s="74" t="str">
        <x:v>M04</x:v>
      </x:c>
      <x:c r="C30" s="74" t="str">
        <x:v>KE</x:v>
      </x:c>
      <x:c r="D30" s="79" t="n">
        <x:v>24</x:v>
      </x:c>
      <x:c r="E30" s="74" t="str">
        <x:v>V1.0</x:v>
      </x:c>
      <x:c r="F30" s="68" t="str">
        <x:v>癸克丙天干路径识别</x:v>
      </x:c>
      <x:c r="G30" s="82" t="str">
        <x:v>识别层</x:v>
      </x:c>
      <x:c r="H30" s="82" t="str">
        <x:v>天干相克</x:v>
      </x:c>
      <x:c r="I30" s="68" t="str">
        <x:v>癸、丙</x:v>
      </x:c>
      <x:c r="J30" s="82" t="str">
        <x:v>其他</x:v>
      </x:c>
      <x:c r="K30" s="82" t="str">
        <x:v>完整</x:v>
      </x:c>
      <x:c r="L30" s="68" t="str">
        <x:v>关系存在不以月令为必要条件；月令只供后续判断实际效应或合化。</x:v>
      </x:c>
      <x:c r="M30" s="68" t="str">
        <x:v>参与干须在四柱天干明现；根气与透干强弱不作为关系存在的必要条件。</x:v>
      </x:c>
      <x:c r="N30" s="82"/>
      <x:c r="O30" s="68" t="str">
        <x:v>检查是否另有五合、相克、重复干或多重关系。</x:v>
      </x:c>
      <x:c r="P30" s="68" t="str">
        <x:v>四柱天干已按年、月、日、时标准化并保留柱位。</x:v>
      </x:c>
      <x:c r="Q30" s="68" t="str">
        <x:v>四柱天干中同时出现癸与丙；按五行关系，癸所属五行克丙所属五行。</x:v>
      </x:c>
      <x:c r="R30" s="68" t="str">
        <x:v>位置相邻、关系单一时，关系实例更清楚；仅作为后续效应判断信息。</x:v>
      </x:c>
      <x:c r="S30" s="68" t="str">
        <x:v>隔位、遥隔或多方重复时，结构更复杂，但不自动否定关系存在。</x:v>
      </x:c>
      <x:c r="T30" s="90" t="str">
        <x:v>天干缺少癸或丙；若任一方只藏支未透，不按本条登记天干相克实例。</x:v>
      </x:c>
      <x:c r="U30" s="68" t="str">
        <x:v>实际合绊、合化、制化与力量变化统一转M06判断。</x:v>
      </x:c>
      <x:c r="V30" s="68" t="str">
        <x:v>原局存在癸对丙的天干相克路径。</x:v>
      </x:c>
      <x:c r="W30" s="68" t="str">
        <x:v>不得直接推出丙必弱、癸必胜、作用已经落实或由此直接定吉凶喜忌。</x:v>
      </x:c>
      <x:c r="X30" s="82" t="str">
        <x:v>P0_硬约束</x:v>
      </x:c>
      <x:c r="Y30" s="82" t="str">
        <x:v>硬约束</x:v>
      </x:c>
      <x:c r="Z30" s="84" t="str">
        <x:v>癸克丙识别</x:v>
      </x:c>
      <x:c r="AA30" s="84" t="str">
        <x:v>天干见癸与丙，登记“癸克丙”的有向相克关系；实际制约程度须结合柱位、旺衰及其他作用转M06判断。</x:v>
      </x:c>
      <x:c r="AB30" s="82" t="str">
        <x:v>确定</x:v>
      </x:c>
      <x:c r="AC30" s="82" t="str">
        <x:v>跨流派共识</x:v>
      </x:c>
      <x:c r="AD30" s="68" t="str">
        <x:v>天干相克按五行克制方向展开为有向关系；阴阳同异只影响后续十神与作用细节，不改变五行相克方向。</x:v>
      </x:c>
      <x:c r="AE30" s="68" t="str">
        <x:v>月干为癸、日干为丙，登记癸克丙。</x:v>
      </x:c>
      <x:c r="AF30" s="90" t="str">
        <x:v>仅见丙而不见癸，不能登记癸克丙。</x:v>
      </x:c>
      <x:c r="AG30" s="68" t="str">
        <x:v>https://zh.wikisource.org/wiki/淵海子平；https://zh.wikisource.org/zh-hans/三命通會_(四庫全書本)</x:v>
      </x:c>
      <x:c r="AH30" s="82" t="str">
        <x:v>采用</x:v>
      </x:c>
      <x:c r="AI30" s="82" t="str">
        <x:v>初审</x:v>
      </x:c>
      <x:c r="AJ30" s="87" t="n">
        <x:v>46255</x:v>
      </x:c>
    </x:row>
    <x:row r="31">
      <x:c r="A31" s="72" t="str">
        <x:f>IF(OR(C31="",D31=""),"",B31&amp;"-"&amp;UPPER(C31)&amp;"-"&amp;TEXT(D31,"0000")&amp;"-"&amp;E31)</x:f>
        <x:v>M04-KE-0025-V1.0</x:v>
      </x:c>
      <x:c r="B31" s="74" t="str">
        <x:v>M04</x:v>
      </x:c>
      <x:c r="C31" s="74" t="str">
        <x:v>KE</x:v>
      </x:c>
      <x:c r="D31" s="79" t="n">
        <x:v>25</x:v>
      </x:c>
      <x:c r="E31" s="74" t="str">
        <x:v>V1.0</x:v>
      </x:c>
      <x:c r="F31" s="68" t="str">
        <x:v>癸克丁天干路径识别</x:v>
      </x:c>
      <x:c r="G31" s="82" t="str">
        <x:v>识别层</x:v>
      </x:c>
      <x:c r="H31" s="82" t="str">
        <x:v>天干相克</x:v>
      </x:c>
      <x:c r="I31" s="68" t="str">
        <x:v>癸、丁</x:v>
      </x:c>
      <x:c r="J31" s="82" t="str">
        <x:v>其他</x:v>
      </x:c>
      <x:c r="K31" s="82" t="str">
        <x:v>完整</x:v>
      </x:c>
      <x:c r="L31" s="68" t="str">
        <x:v>关系存在不以月令为必要条件；月令只供后续判断实际效应或合化。</x:v>
      </x:c>
      <x:c r="M31" s="68" t="str">
        <x:v>参与干须在四柱天干明现；根气与透干强弱不作为关系存在的必要条件。</x:v>
      </x:c>
      <x:c r="N31" s="82"/>
      <x:c r="O31" s="68" t="str">
        <x:v>检查是否另有五合、相克、重复干或多重关系。</x:v>
      </x:c>
      <x:c r="P31" s="68" t="str">
        <x:v>四柱天干已按年、月、日、时标准化并保留柱位。</x:v>
      </x:c>
      <x:c r="Q31" s="68" t="str">
        <x:v>四柱天干中同时出现癸与丁；按五行关系，癸所属五行克丁所属五行。</x:v>
      </x:c>
      <x:c r="R31" s="68" t="str">
        <x:v>位置相邻、关系单一时，关系实例更清楚；仅作为后续效应判断信息。</x:v>
      </x:c>
      <x:c r="S31" s="68" t="str">
        <x:v>隔位、遥隔或多方重复时，结构更复杂，但不自动否定关系存在。</x:v>
      </x:c>
      <x:c r="T31" s="90" t="str">
        <x:v>天干缺少癸或丁；若任一方只藏支未透，不按本条登记天干相克实例。</x:v>
      </x:c>
      <x:c r="U31" s="68" t="str">
        <x:v>实际合绊、合化、制化与力量变化统一转M06判断。</x:v>
      </x:c>
      <x:c r="V31" s="68" t="str">
        <x:v>原局存在癸对丁的天干相克路径。</x:v>
      </x:c>
      <x:c r="W31" s="68" t="str">
        <x:v>不得直接推出丁必弱、癸必胜、作用已经落实或由此直接定吉凶喜忌。</x:v>
      </x:c>
      <x:c r="X31" s="82" t="str">
        <x:v>P0_硬约束</x:v>
      </x:c>
      <x:c r="Y31" s="82" t="str">
        <x:v>硬约束</x:v>
      </x:c>
      <x:c r="Z31" s="84" t="str">
        <x:v>癸克丁识别</x:v>
      </x:c>
      <x:c r="AA31" s="84" t="str">
        <x:v>天干见癸与丁，登记“癸克丁”的有向相克关系；实际制约程度须结合柱位、旺衰及其他作用转M06判断。</x:v>
      </x:c>
      <x:c r="AB31" s="82" t="str">
        <x:v>确定</x:v>
      </x:c>
      <x:c r="AC31" s="82" t="str">
        <x:v>跨流派共识</x:v>
      </x:c>
      <x:c r="AD31" s="68" t="str">
        <x:v>天干相克按五行克制方向展开为有向关系；阴阳同异只影响后续十神与作用细节，不改变五行相克方向。</x:v>
      </x:c>
      <x:c r="AE31" s="68" t="str">
        <x:v>月干为癸、日干为丁，登记癸克丁。</x:v>
      </x:c>
      <x:c r="AF31" s="90" t="str">
        <x:v>仅见丁而不见癸，不能登记癸克丁。</x:v>
      </x:c>
      <x:c r="AG31" s="68" t="str">
        <x:v>https://zh.wikisource.org/wiki/淵海子平；https://zh.wikisource.org/zh-hans/三命通會_(四庫全書本)</x:v>
      </x:c>
      <x:c r="AH31" s="82" t="str">
        <x:v>采用</x:v>
      </x:c>
      <x:c r="AI31" s="82" t="str">
        <x:v>初审</x:v>
      </x:c>
      <x:c r="AJ31" s="87" t="n">
        <x:v>46255</x:v>
      </x:c>
    </x:row>
    <x:row r="32">
      <x:c r="A32" s="72" t="str">
        <x:f>IF(OR(C32="",D32=""),"",B32&amp;"-"&amp;UPPER(C32)&amp;"-"&amp;TEXT(D32,"0000")&amp;"-"&amp;E32)</x:f>
        <x:v>M04-POS-0026-V1.0</x:v>
      </x:c>
      <x:c r="B32" s="74" t="str">
        <x:v>M04</x:v>
      </x:c>
      <x:c r="C32" s="74" t="str">
        <x:v>POS</x:v>
      </x:c>
      <x:c r="D32" s="79" t="n">
        <x:v>26</x:v>
      </x:c>
      <x:c r="E32" s="74" t="str">
        <x:v>V1.0</x:v>
      </x:c>
      <x:c r="F32" s="68" t="str">
        <x:v>年月天干关系位置标记</x:v>
      </x:c>
      <x:c r="G32" s="82" t="str">
        <x:v>识别层</x:v>
      </x:c>
      <x:c r="H32" s="82" t="str">
        <x:v>其他</x:v>
      </x:c>
      <x:c r="I32" s="68" t="str">
        <x:v>年干、月干</x:v>
      </x:c>
      <x:c r="J32" s="82" t="str">
        <x:v>年月</x:v>
      </x:c>
      <x:c r="K32" s="82" t="str">
        <x:v>完整</x:v>
      </x:c>
      <x:c r="L32" s="68" t="str">
        <x:v>本条只标记柱位，不涉及月令强弱。</x:v>
      </x:c>
      <x:c r="M32" s="68" t="str">
        <x:v>本条只标记明现天干的位置；根气与透干强弱转后续模块。</x:v>
      </x:c>
      <x:c r="N32" s="82"/>
      <x:c r="O32" s="68" t="str">
        <x:v>同一对天干若同时满足五合或相克，须另引用相应关系规则。</x:v>
      </x:c>
      <x:c r="P32" s="68" t="str">
        <x:v>四柱天干已按年、月、日、时标准化并保留柱位。</x:v>
      </x:c>
      <x:c r="Q32" s="68" t="str">
        <x:v>已识别的两个参与天干分别位于年月两柱。</x:v>
      </x:c>
      <x:c r="R32" s="68" t="str">
        <x:v>年月属于相邻位置；该信息供M06评估接触路径，不在本条换算强弱。</x:v>
      </x:c>
      <x:c r="S32" s="68" t="str">
        <x:v>若同类天干重复出现，必须用柱位区分不同关系实例。</x:v>
      </x:c>
      <x:c r="T32" s="90" t="str">
        <x:v>参与干不位于年月两柱。</x:v>
      </x:c>
      <x:c r="U32" s="68" t="str">
        <x:v>柱位只描述空间顺序，不决定关系是否有效、谁强谁弱。</x:v>
      </x:c>
      <x:c r="V32" s="68" t="str">
        <x:v>该天干关系实例的位置标记为年月，位置类别为相邻。</x:v>
      </x:c>
      <x:c r="W32" s="68" t="str">
        <x:v>不得仅凭相邻、隔位或遥隔直接判合成、合断、克胜或无作用。</x:v>
      </x:c>
      <x:c r="X32" s="82" t="str">
        <x:v>P1_高</x:v>
      </x:c>
      <x:c r="Y32" s="82" t="str">
        <x:v>辅助证据</x:v>
      </x:c>
      <x:c r="Z32" s="84" t="str">
        <x:v>年月位置</x:v>
      </x:c>
      <x:c r="AA32" s="84" t="str">
        <x:v>该关系发生于年月，归入相邻位置；关系本身与实际效应分别记录。</x:v>
      </x:c>
      <x:c r="AB32" s="82" t="str">
        <x:v>确定</x:v>
      </x:c>
      <x:c r="AC32" s="82" t="str">
        <x:v>现代综合</x:v>
      </x:c>
      <x:c r="AD32" s="68" t="str">
        <x:v>四柱天干共有年月、月日、日时三个相邻组合，年日与月时为隔位，年时为遥隔；位置用于实例化关系。</x:v>
      </x:c>
      <x:c r="AE32" s="68" t="str">
        <x:v>关系两端分别位于年月，按本条记录。</x:v>
      </x:c>
      <x:c r="AF32" s="90" t="str">
        <x:v>关系两端实际位于其他柱位，不能标记为年月。</x:v>
      </x:c>
      <x:c r="AG32" s="68" t="str">
        <x:v>https://zh.wikisource.org/wiki/淵海子平；https://zh.wikisource.org/zh-hans/三命通會_(四庫全書本)</x:v>
      </x:c>
      <x:c r="AH32" s="82" t="str">
        <x:v>采用</x:v>
      </x:c>
      <x:c r="AI32" s="82" t="str">
        <x:v>初审</x:v>
      </x:c>
      <x:c r="AJ32" s="87" t="n">
        <x:v>46255</x:v>
      </x:c>
    </x:row>
    <x:row r="33">
      <x:c r="A33" s="72" t="str">
        <x:f>IF(OR(C33="",D33=""),"",B33&amp;"-"&amp;UPPER(C33)&amp;"-"&amp;TEXT(D33,"0000")&amp;"-"&amp;E33)</x:f>
        <x:v>M04-POS-0027-V1.0</x:v>
      </x:c>
      <x:c r="B33" s="74" t="str">
        <x:v>M04</x:v>
      </x:c>
      <x:c r="C33" s="74" t="str">
        <x:v>POS</x:v>
      </x:c>
      <x:c r="D33" s="79" t="n">
        <x:v>27</x:v>
      </x:c>
      <x:c r="E33" s="74" t="str">
        <x:v>V1.0</x:v>
      </x:c>
      <x:c r="F33" s="68" t="str">
        <x:v>月日天干关系位置标记</x:v>
      </x:c>
      <x:c r="G33" s="82" t="str">
        <x:v>识别层</x:v>
      </x:c>
      <x:c r="H33" s="82" t="str">
        <x:v>其他</x:v>
      </x:c>
      <x:c r="I33" s="68" t="str">
        <x:v>月干、日干</x:v>
      </x:c>
      <x:c r="J33" s="82" t="str">
        <x:v>月日</x:v>
      </x:c>
      <x:c r="K33" s="82" t="str">
        <x:v>完整</x:v>
      </x:c>
      <x:c r="L33" s="68" t="str">
        <x:v>本条只标记柱位，不涉及月令强弱。</x:v>
      </x:c>
      <x:c r="M33" s="68" t="str">
        <x:v>本条只标记明现天干的位置；根气与透干强弱转后续模块。</x:v>
      </x:c>
      <x:c r="N33" s="82"/>
      <x:c r="O33" s="68" t="str">
        <x:v>同一对天干若同时满足五合或相克，须另引用相应关系规则。</x:v>
      </x:c>
      <x:c r="P33" s="68" t="str">
        <x:v>四柱天干已按年、月、日、时标准化并保留柱位。</x:v>
      </x:c>
      <x:c r="Q33" s="68" t="str">
        <x:v>已识别的两个参与天干分别位于月日两柱。</x:v>
      </x:c>
      <x:c r="R33" s="68" t="str">
        <x:v>月日属于相邻位置；该信息供M06评估接触路径，不在本条换算强弱。</x:v>
      </x:c>
      <x:c r="S33" s="68" t="str">
        <x:v>若同类天干重复出现，必须用柱位区分不同关系实例。</x:v>
      </x:c>
      <x:c r="T33" s="90" t="str">
        <x:v>参与干不位于月日两柱。</x:v>
      </x:c>
      <x:c r="U33" s="68" t="str">
        <x:v>柱位只描述空间顺序，不决定关系是否有效、谁强谁弱。</x:v>
      </x:c>
      <x:c r="V33" s="68" t="str">
        <x:v>该天干关系实例的位置标记为月日，位置类别为相邻。</x:v>
      </x:c>
      <x:c r="W33" s="68" t="str">
        <x:v>不得仅凭相邻、隔位或遥隔直接判合成、合断、克胜或无作用。</x:v>
      </x:c>
      <x:c r="X33" s="82" t="str">
        <x:v>P1_高</x:v>
      </x:c>
      <x:c r="Y33" s="82" t="str">
        <x:v>辅助证据</x:v>
      </x:c>
      <x:c r="Z33" s="84" t="str">
        <x:v>月日位置</x:v>
      </x:c>
      <x:c r="AA33" s="84" t="str">
        <x:v>该关系发生于月日，归入相邻位置；关系本身与实际效应分别记录。</x:v>
      </x:c>
      <x:c r="AB33" s="82" t="str">
        <x:v>确定</x:v>
      </x:c>
      <x:c r="AC33" s="82" t="str">
        <x:v>现代综合</x:v>
      </x:c>
      <x:c r="AD33" s="68" t="str">
        <x:v>四柱天干共有年月、月日、日时三个相邻组合，年日与月时为隔位，年时为遥隔；位置用于实例化关系。</x:v>
      </x:c>
      <x:c r="AE33" s="68" t="str">
        <x:v>关系两端分别位于月日，按本条记录。</x:v>
      </x:c>
      <x:c r="AF33" s="90" t="str">
        <x:v>关系两端实际位于其他柱位，不能标记为月日。</x:v>
      </x:c>
      <x:c r="AG33" s="68" t="str">
        <x:v>https://zh.wikisource.org/wiki/淵海子平；https://zh.wikisource.org/zh-hans/三命通會_(四庫全書本)</x:v>
      </x:c>
      <x:c r="AH33" s="82" t="str">
        <x:v>采用</x:v>
      </x:c>
      <x:c r="AI33" s="82" t="str">
        <x:v>初审</x:v>
      </x:c>
      <x:c r="AJ33" s="87" t="n">
        <x:v>46255</x:v>
      </x:c>
    </x:row>
    <x:row r="34">
      <x:c r="A34" s="72" t="str">
        <x:f>IF(OR(C34="",D34=""),"",B34&amp;"-"&amp;UPPER(C34)&amp;"-"&amp;TEXT(D34,"0000")&amp;"-"&amp;E34)</x:f>
        <x:v>M04-POS-0028-V1.0</x:v>
      </x:c>
      <x:c r="B34" s="74" t="str">
        <x:v>M04</x:v>
      </x:c>
      <x:c r="C34" s="74" t="str">
        <x:v>POS</x:v>
      </x:c>
      <x:c r="D34" s="79" t="n">
        <x:v>28</x:v>
      </x:c>
      <x:c r="E34" s="74" t="str">
        <x:v>V1.0</x:v>
      </x:c>
      <x:c r="F34" s="68" t="str">
        <x:v>日时天干关系位置标记</x:v>
      </x:c>
      <x:c r="G34" s="82" t="str">
        <x:v>识别层</x:v>
      </x:c>
      <x:c r="H34" s="82" t="str">
        <x:v>其他</x:v>
      </x:c>
      <x:c r="I34" s="68" t="str">
        <x:v>日干、时干</x:v>
      </x:c>
      <x:c r="J34" s="82" t="str">
        <x:v>日时</x:v>
      </x:c>
      <x:c r="K34" s="82" t="str">
        <x:v>完整</x:v>
      </x:c>
      <x:c r="L34" s="68" t="str">
        <x:v>本条只标记柱位，不涉及月令强弱。</x:v>
      </x:c>
      <x:c r="M34" s="68" t="str">
        <x:v>本条只标记明现天干的位置；根气与透干强弱转后续模块。</x:v>
      </x:c>
      <x:c r="N34" s="82"/>
      <x:c r="O34" s="68" t="str">
        <x:v>同一对天干若同时满足五合或相克，须另引用相应关系规则。</x:v>
      </x:c>
      <x:c r="P34" s="68" t="str">
        <x:v>四柱天干已按年、月、日、时标准化并保留柱位。</x:v>
      </x:c>
      <x:c r="Q34" s="68" t="str">
        <x:v>已识别的两个参与天干分别位于日时两柱。</x:v>
      </x:c>
      <x:c r="R34" s="68" t="str">
        <x:v>日时属于相邻位置；该信息供M06评估接触路径，不在本条换算强弱。</x:v>
      </x:c>
      <x:c r="S34" s="68" t="str">
        <x:v>若同类天干重复出现，必须用柱位区分不同关系实例。</x:v>
      </x:c>
      <x:c r="T34" s="90" t="str">
        <x:v>参与干不位于日时两柱。</x:v>
      </x:c>
      <x:c r="U34" s="68" t="str">
        <x:v>柱位只描述空间顺序，不决定关系是否有效、谁强谁弱。</x:v>
      </x:c>
      <x:c r="V34" s="68" t="str">
        <x:v>该天干关系实例的位置标记为日时，位置类别为相邻。</x:v>
      </x:c>
      <x:c r="W34" s="68" t="str">
        <x:v>不得仅凭相邻、隔位或遥隔直接判合成、合断、克胜或无作用。</x:v>
      </x:c>
      <x:c r="X34" s="82" t="str">
        <x:v>P1_高</x:v>
      </x:c>
      <x:c r="Y34" s="82" t="str">
        <x:v>辅助证据</x:v>
      </x:c>
      <x:c r="Z34" s="84" t="str">
        <x:v>日时位置</x:v>
      </x:c>
      <x:c r="AA34" s="84" t="str">
        <x:v>该关系发生于日时，归入相邻位置；关系本身与实际效应分别记录。</x:v>
      </x:c>
      <x:c r="AB34" s="82" t="str">
        <x:v>确定</x:v>
      </x:c>
      <x:c r="AC34" s="82" t="str">
        <x:v>现代综合</x:v>
      </x:c>
      <x:c r="AD34" s="68" t="str">
        <x:v>四柱天干共有年月、月日、日时三个相邻组合，年日与月时为隔位，年时为遥隔；位置用于实例化关系。</x:v>
      </x:c>
      <x:c r="AE34" s="68" t="str">
        <x:v>关系两端分别位于日时，按本条记录。</x:v>
      </x:c>
      <x:c r="AF34" s="90" t="str">
        <x:v>关系两端实际位于其他柱位，不能标记为日时。</x:v>
      </x:c>
      <x:c r="AG34" s="68" t="str">
        <x:v>https://zh.wikisource.org/wiki/淵海子平；https://zh.wikisource.org/zh-hans/三命通會_(四庫全書本)</x:v>
      </x:c>
      <x:c r="AH34" s="82" t="str">
        <x:v>采用</x:v>
      </x:c>
      <x:c r="AI34" s="82" t="str">
        <x:v>初审</x:v>
      </x:c>
      <x:c r="AJ34" s="87" t="n">
        <x:v>46255</x:v>
      </x:c>
    </x:row>
    <x:row r="35">
      <x:c r="A35" s="72" t="str">
        <x:f>IF(OR(C35="",D35=""),"",B35&amp;"-"&amp;UPPER(C35)&amp;"-"&amp;TEXT(D35,"0000")&amp;"-"&amp;E35)</x:f>
        <x:v>M04-POS-0029-V1.0</x:v>
      </x:c>
      <x:c r="B35" s="74" t="str">
        <x:v>M04</x:v>
      </x:c>
      <x:c r="C35" s="74" t="str">
        <x:v>POS</x:v>
      </x:c>
      <x:c r="D35" s="79" t="n">
        <x:v>29</x:v>
      </x:c>
      <x:c r="E35" s="74" t="str">
        <x:v>V1.0</x:v>
      </x:c>
      <x:c r="F35" s="68" t="str">
        <x:v>年日天干关系位置标记</x:v>
      </x:c>
      <x:c r="G35" s="82" t="str">
        <x:v>识别层</x:v>
      </x:c>
      <x:c r="H35" s="82" t="str">
        <x:v>其他</x:v>
      </x:c>
      <x:c r="I35" s="68" t="str">
        <x:v>年干、日干</x:v>
      </x:c>
      <x:c r="J35" s="82" t="str">
        <x:v>年日</x:v>
      </x:c>
      <x:c r="K35" s="82" t="str">
        <x:v>完整</x:v>
      </x:c>
      <x:c r="L35" s="68" t="str">
        <x:v>本条只标记柱位，不涉及月令强弱。</x:v>
      </x:c>
      <x:c r="M35" s="68" t="str">
        <x:v>本条只标记明现天干的位置；根气与透干强弱转后续模块。</x:v>
      </x:c>
      <x:c r="N35" s="82"/>
      <x:c r="O35" s="68" t="str">
        <x:v>同一对天干若同时满足五合或相克，须另引用相应关系规则。</x:v>
      </x:c>
      <x:c r="P35" s="68" t="str">
        <x:v>四柱天干已按年、月、日、时标准化并保留柱位。</x:v>
      </x:c>
      <x:c r="Q35" s="68" t="str">
        <x:v>已识别的两个参与天干分别位于年日两柱。</x:v>
      </x:c>
      <x:c r="R35" s="68" t="str">
        <x:v>年日属于隔位位置；该信息供M06评估接触路径，不在本条换算强弱。</x:v>
      </x:c>
      <x:c r="S35" s="68" t="str">
        <x:v>若同类天干重复出现，必须用柱位区分不同关系实例。</x:v>
      </x:c>
      <x:c r="T35" s="90" t="str">
        <x:v>参与干不位于年日两柱。</x:v>
      </x:c>
      <x:c r="U35" s="68" t="str">
        <x:v>柱位只描述空间顺序，不决定关系是否有效、谁强谁弱。</x:v>
      </x:c>
      <x:c r="V35" s="68" t="str">
        <x:v>该天干关系实例的位置标记为年日，位置类别为隔位。</x:v>
      </x:c>
      <x:c r="W35" s="68" t="str">
        <x:v>不得仅凭相邻、隔位或遥隔直接判合成、合断、克胜或无作用。</x:v>
      </x:c>
      <x:c r="X35" s="82" t="str">
        <x:v>P1_高</x:v>
      </x:c>
      <x:c r="Y35" s="82" t="str">
        <x:v>辅助证据</x:v>
      </x:c>
      <x:c r="Z35" s="84" t="str">
        <x:v>年日位置</x:v>
      </x:c>
      <x:c r="AA35" s="84" t="str">
        <x:v>该关系发生于年日，归入隔位位置；关系本身与实际效应分别记录。</x:v>
      </x:c>
      <x:c r="AB35" s="82" t="str">
        <x:v>确定</x:v>
      </x:c>
      <x:c r="AC35" s="82" t="str">
        <x:v>现代综合</x:v>
      </x:c>
      <x:c r="AD35" s="68" t="str">
        <x:v>四柱天干共有年月、月日、日时三个相邻组合，年日与月时为隔位，年时为遥隔；位置用于实例化关系。</x:v>
      </x:c>
      <x:c r="AE35" s="68" t="str">
        <x:v>关系两端分别位于年日，按本条记录。</x:v>
      </x:c>
      <x:c r="AF35" s="90" t="str">
        <x:v>关系两端实际位于其他柱位，不能标记为年日。</x:v>
      </x:c>
      <x:c r="AG35" s="68" t="str">
        <x:v>https://zh.wikisource.org/wiki/淵海子平；https://zh.wikisource.org/zh-hans/三命通會_(四庫全書本)</x:v>
      </x:c>
      <x:c r="AH35" s="82" t="str">
        <x:v>采用</x:v>
      </x:c>
      <x:c r="AI35" s="82" t="str">
        <x:v>初审</x:v>
      </x:c>
      <x:c r="AJ35" s="87" t="n">
        <x:v>46255</x:v>
      </x:c>
    </x:row>
    <x:row r="36">
      <x:c r="A36" s="72" t="str">
        <x:f>IF(OR(C36="",D36=""),"",B36&amp;"-"&amp;UPPER(C36)&amp;"-"&amp;TEXT(D36,"0000")&amp;"-"&amp;E36)</x:f>
        <x:v>M04-POS-0030-V1.0</x:v>
      </x:c>
      <x:c r="B36" s="74" t="str">
        <x:v>M04</x:v>
      </x:c>
      <x:c r="C36" s="74" t="str">
        <x:v>POS</x:v>
      </x:c>
      <x:c r="D36" s="79" t="n">
        <x:v>30</x:v>
      </x:c>
      <x:c r="E36" s="74" t="str">
        <x:v>V1.0</x:v>
      </x:c>
      <x:c r="F36" s="68" t="str">
        <x:v>月时天干关系位置标记</x:v>
      </x:c>
      <x:c r="G36" s="82" t="str">
        <x:v>识别层</x:v>
      </x:c>
      <x:c r="H36" s="82" t="str">
        <x:v>其他</x:v>
      </x:c>
      <x:c r="I36" s="68" t="str">
        <x:v>月干、时干</x:v>
      </x:c>
      <x:c r="J36" s="82" t="str">
        <x:v>月时</x:v>
      </x:c>
      <x:c r="K36" s="82" t="str">
        <x:v>完整</x:v>
      </x:c>
      <x:c r="L36" s="68" t="str">
        <x:v>本条只标记柱位，不涉及月令强弱。</x:v>
      </x:c>
      <x:c r="M36" s="68" t="str">
        <x:v>本条只标记明现天干的位置；根气与透干强弱转后续模块。</x:v>
      </x:c>
      <x:c r="N36" s="82"/>
      <x:c r="O36" s="68" t="str">
        <x:v>同一对天干若同时满足五合或相克，须另引用相应关系规则。</x:v>
      </x:c>
      <x:c r="P36" s="68" t="str">
        <x:v>四柱天干已按年、月、日、时标准化并保留柱位。</x:v>
      </x:c>
      <x:c r="Q36" s="68" t="str">
        <x:v>已识别的两个参与天干分别位于月时两柱。</x:v>
      </x:c>
      <x:c r="R36" s="68" t="str">
        <x:v>月时属于隔位位置；该信息供M06评估接触路径，不在本条换算强弱。</x:v>
      </x:c>
      <x:c r="S36" s="68" t="str">
        <x:v>若同类天干重复出现，必须用柱位区分不同关系实例。</x:v>
      </x:c>
      <x:c r="T36" s="90" t="str">
        <x:v>参与干不位于月时两柱。</x:v>
      </x:c>
      <x:c r="U36" s="68" t="str">
        <x:v>柱位只描述空间顺序，不决定关系是否有效、谁强谁弱。</x:v>
      </x:c>
      <x:c r="V36" s="68" t="str">
        <x:v>该天干关系实例的位置标记为月时，位置类别为隔位。</x:v>
      </x:c>
      <x:c r="W36" s="68" t="str">
        <x:v>不得仅凭相邻、隔位或遥隔直接判合成、合断、克胜或无作用。</x:v>
      </x:c>
      <x:c r="X36" s="82" t="str">
        <x:v>P1_高</x:v>
      </x:c>
      <x:c r="Y36" s="82" t="str">
        <x:v>辅助证据</x:v>
      </x:c>
      <x:c r="Z36" s="84" t="str">
        <x:v>月时位置</x:v>
      </x:c>
      <x:c r="AA36" s="84" t="str">
        <x:v>该关系发生于月时，归入隔位位置；关系本身与实际效应分别记录。</x:v>
      </x:c>
      <x:c r="AB36" s="82" t="str">
        <x:v>确定</x:v>
      </x:c>
      <x:c r="AC36" s="82" t="str">
        <x:v>现代综合</x:v>
      </x:c>
      <x:c r="AD36" s="68" t="str">
        <x:v>四柱天干共有年月、月日、日时三个相邻组合，年日与月时为隔位，年时为遥隔；位置用于实例化关系。</x:v>
      </x:c>
      <x:c r="AE36" s="68" t="str">
        <x:v>关系两端分别位于月时，按本条记录。</x:v>
      </x:c>
      <x:c r="AF36" s="90" t="str">
        <x:v>关系两端实际位于其他柱位，不能标记为月时。</x:v>
      </x:c>
      <x:c r="AG36" s="68" t="str">
        <x:v>https://zh.wikisource.org/wiki/淵海子平；https://zh.wikisource.org/zh-hans/三命通會_(四庫全書本)</x:v>
      </x:c>
      <x:c r="AH36" s="82" t="str">
        <x:v>采用</x:v>
      </x:c>
      <x:c r="AI36" s="82" t="str">
        <x:v>初审</x:v>
      </x:c>
      <x:c r="AJ36" s="87" t="n">
        <x:v>46255</x:v>
      </x:c>
    </x:row>
    <x:row r="37">
      <x:c r="A37" s="72" t="str">
        <x:f>IF(OR(C37="",D37=""),"",B37&amp;"-"&amp;UPPER(C37)&amp;"-"&amp;TEXT(D37,"0000")&amp;"-"&amp;E37)</x:f>
        <x:v>M04-POS-0031-V1.0</x:v>
      </x:c>
      <x:c r="B37" s="74" t="str">
        <x:v>M04</x:v>
      </x:c>
      <x:c r="C37" s="74" t="str">
        <x:v>POS</x:v>
      </x:c>
      <x:c r="D37" s="79" t="n">
        <x:v>31</x:v>
      </x:c>
      <x:c r="E37" s="74" t="str">
        <x:v>V1.0</x:v>
      </x:c>
      <x:c r="F37" s="68" t="str">
        <x:v>年时天干关系位置标记</x:v>
      </x:c>
      <x:c r="G37" s="82" t="str">
        <x:v>识别层</x:v>
      </x:c>
      <x:c r="H37" s="82" t="str">
        <x:v>其他</x:v>
      </x:c>
      <x:c r="I37" s="68" t="str">
        <x:v>年干、时干</x:v>
      </x:c>
      <x:c r="J37" s="82" t="str">
        <x:v>年时</x:v>
      </x:c>
      <x:c r="K37" s="82" t="str">
        <x:v>完整</x:v>
      </x:c>
      <x:c r="L37" s="68" t="str">
        <x:v>本条只标记柱位，不涉及月令强弱。</x:v>
      </x:c>
      <x:c r="M37" s="68" t="str">
        <x:v>本条只标记明现天干的位置；根气与透干强弱转后续模块。</x:v>
      </x:c>
      <x:c r="N37" s="82"/>
      <x:c r="O37" s="68" t="str">
        <x:v>同一对天干若同时满足五合或相克，须另引用相应关系规则。</x:v>
      </x:c>
      <x:c r="P37" s="68" t="str">
        <x:v>四柱天干已按年、月、日、时标准化并保留柱位。</x:v>
      </x:c>
      <x:c r="Q37" s="68" t="str">
        <x:v>已识别的两个参与天干分别位于年时两柱。</x:v>
      </x:c>
      <x:c r="R37" s="68" t="str">
        <x:v>年时属于遥隔位置；该信息供M06评估接触路径，不在本条换算强弱。</x:v>
      </x:c>
      <x:c r="S37" s="68" t="str">
        <x:v>若同类天干重复出现，必须用柱位区分不同关系实例。</x:v>
      </x:c>
      <x:c r="T37" s="90" t="str">
        <x:v>参与干不位于年时两柱。</x:v>
      </x:c>
      <x:c r="U37" s="68" t="str">
        <x:v>柱位只描述空间顺序，不决定关系是否有效、谁强谁弱。</x:v>
      </x:c>
      <x:c r="V37" s="68" t="str">
        <x:v>该天干关系实例的位置标记为年时，位置类别为遥隔。</x:v>
      </x:c>
      <x:c r="W37" s="68" t="str">
        <x:v>不得仅凭相邻、隔位或遥隔直接判合成、合断、克胜或无作用。</x:v>
      </x:c>
      <x:c r="X37" s="82" t="str">
        <x:v>P1_高</x:v>
      </x:c>
      <x:c r="Y37" s="82" t="str">
        <x:v>辅助证据</x:v>
      </x:c>
      <x:c r="Z37" s="84" t="str">
        <x:v>年时位置</x:v>
      </x:c>
      <x:c r="AA37" s="84" t="str">
        <x:v>该关系发生于年时，归入遥隔位置；关系本身与实际效应分别记录。</x:v>
      </x:c>
      <x:c r="AB37" s="82" t="str">
        <x:v>确定</x:v>
      </x:c>
      <x:c r="AC37" s="82" t="str">
        <x:v>现代综合</x:v>
      </x:c>
      <x:c r="AD37" s="68" t="str">
        <x:v>四柱天干共有年月、月日、日时三个相邻组合，年日与月时为隔位，年时为遥隔；位置用于实例化关系。</x:v>
      </x:c>
      <x:c r="AE37" s="68" t="str">
        <x:v>关系两端分别位于年时，按本条记录。</x:v>
      </x:c>
      <x:c r="AF37" s="90" t="str">
        <x:v>关系两端实际位于其他柱位，不能标记为年时。</x:v>
      </x:c>
      <x:c r="AG37" s="68" t="str">
        <x:v>https://zh.wikisource.org/wiki/淵海子平；https://zh.wikisource.org/zh-hans/三命通會_(四庫全書本)</x:v>
      </x:c>
      <x:c r="AH37" s="82" t="str">
        <x:v>采用</x:v>
      </x:c>
      <x:c r="AI37" s="82" t="str">
        <x:v>初审</x:v>
      </x:c>
      <x:c r="AJ37" s="87" t="n">
        <x:v>46255</x:v>
      </x:c>
    </x:row>
    <x:row r="38">
      <x:c r="A38" s="72" t="str">
        <x:f>IF(OR(C38="",D38=""),"",B38&amp;"-"&amp;UPPER(C38)&amp;"-"&amp;TEXT(D38,"0000")&amp;"-"&amp;E38)</x:f>
        <x:v>M04-HHC-0032-V1.0</x:v>
      </x:c>
      <x:c r="B38" s="74" t="str">
        <x:v>M04</x:v>
      </x:c>
      <x:c r="C38" s="74" t="str">
        <x:v>HHC</x:v>
      </x:c>
      <x:c r="D38" s="79" t="n">
        <x:v>32</x:v>
      </x:c>
      <x:c r="E38" s="74" t="str">
        <x:v>V1.0</x:v>
      </x:c>
      <x:c r="F38" s="68" t="str">
        <x:v>甲己合化为土候选生成</x:v>
      </x:c>
      <x:c r="G38" s="82" t="str">
        <x:v>识别层</x:v>
      </x:c>
      <x:c r="H38" s="82" t="str">
        <x:v>天干五合</x:v>
      </x:c>
      <x:c r="I38" s="68" t="str">
        <x:v>甲、己</x:v>
      </x:c>
      <x:c r="J38" s="82" t="str">
        <x:v>其他</x:v>
      </x:c>
      <x:c r="K38" s="82" t="str">
        <x:v>部分</x:v>
      </x:c>
      <x:c r="L38" s="68" t="str">
        <x:v>若后续验证合化，须检查土是否得令、得地或成势；本条不裁定。</x:v>
      </x:c>
      <x:c r="M38" s="68" t="str">
        <x:v>须在M06检查双方根气、是否从化及土的根源；本条只生成候选。</x:v>
      </x:c>
      <x:c r="N38" s="82" t="str">
        <x:v>土</x:v>
      </x:c>
      <x:c r="O38" s="68" t="str">
        <x:v>检查争合、妒合、隔合、遥合、第三干克制及地支化神基础。</x:v>
      </x:c>
      <x:c r="P38" s="68" t="str">
        <x:v>M04-HE-0001-V1.0已经识别为完整的甲己天干五合关系。</x:v>
      </x:c>
      <x:c r="Q38" s="68" t="str">
        <x:v>已存在甲己合关系；候选目标固定为土。</x:v>
      </x:c>
      <x:c r="R38" s="68" t="str">
        <x:v>土得令、有根有势、双方缺乏强力反化根时，候选后续通过的可能性提高。</x:v>
      </x:c>
      <x:c r="S38" s="68" t="str">
        <x:v>双方各自根深、化神土无根无势、被强力克制或多方争合时，候选通过可能性降低。</x:v>
      </x:c>
      <x:c r="T38" s="90" t="str">
        <x:v>若甲己合关系本身不存在，不生成合化为土候选。</x:v>
      </x:c>
      <x:c r="U38" s="68" t="str">
        <x:v>候选生成不等于合化成立；严格条件由M06或化气格模块逐项验证。</x:v>
      </x:c>
      <x:c r="V38" s="68" t="str">
        <x:v>建立“甲己可能合化为土”的待验证候选。</x:v>
      </x:c>
      <x:c r="W38" s="68" t="str">
        <x:v>不得输出“甲、己已经化为土”，也不得删除原有甲、己属性。</x:v>
      </x:c>
      <x:c r="X38" s="82" t="str">
        <x:v>P1_高</x:v>
      </x:c>
      <x:c r="Y38" s="82" t="str">
        <x:v>辅助证据</x:v>
      </x:c>
      <x:c r="Z38" s="84" t="str">
        <x:v>甲己化土候选</x:v>
      </x:c>
      <x:c r="AA38" s="84" t="str">
        <x:v>甲己合的合化目标为土，当前仅生成候选；在M06完成月令、根气、化神势与破坏条件核验前，不判合化成立。</x:v>
      </x:c>
      <x:c r="AB38" s="82" t="str">
        <x:v>确定</x:v>
      </x:c>
      <x:c r="AC38" s="82" t="str">
        <x:v>跨流派共识</x:v>
      </x:c>
      <x:c r="AD38" s="68" t="str">
        <x:v>五合各有固定化神候选；识别层只生成候选，不承担合化成败。</x:v>
      </x:c>
      <x:c r="AE38" s="68" t="str">
        <x:v>原局天干见甲己，可生成化土候选。</x:v>
      </x:c>
      <x:c r="AF38" s="90" t="str">
        <x:v>原局不见完整甲己，不能因为土旺就反推甲己合化。</x:v>
      </x:c>
      <x:c r="AG38" s="68" t="str">
        <x:v>内部结构化规则：识别层与效应层分离；https://zh.wikisource.org/wiki/淵海子平；https://zh.wikisource.org/zh-hans/三命通會_(四庫全書本)</x:v>
      </x:c>
      <x:c r="AH38" s="82" t="str">
        <x:v>采用</x:v>
      </x:c>
      <x:c r="AI38" s="82" t="str">
        <x:v>初审</x:v>
      </x:c>
      <x:c r="AJ38" s="87" t="n">
        <x:v>46255</x:v>
      </x:c>
    </x:row>
    <x:row r="39">
      <x:c r="A39" s="72" t="str">
        <x:f>IF(OR(C39="",D39=""),"",B39&amp;"-"&amp;UPPER(C39)&amp;"-"&amp;TEXT(D39,"0000")&amp;"-"&amp;E39)</x:f>
        <x:v>M04-HHC-0033-V1.0</x:v>
      </x:c>
      <x:c r="B39" s="74" t="str">
        <x:v>M04</x:v>
      </x:c>
      <x:c r="C39" s="74" t="str">
        <x:v>HHC</x:v>
      </x:c>
      <x:c r="D39" s="79" t="n">
        <x:v>33</x:v>
      </x:c>
      <x:c r="E39" s="74" t="str">
        <x:v>V1.0</x:v>
      </x:c>
      <x:c r="F39" s="68" t="str">
        <x:v>乙庚合化为金候选生成</x:v>
      </x:c>
      <x:c r="G39" s="82" t="str">
        <x:v>识别层</x:v>
      </x:c>
      <x:c r="H39" s="82" t="str">
        <x:v>天干五合</x:v>
      </x:c>
      <x:c r="I39" s="68" t="str">
        <x:v>乙、庚</x:v>
      </x:c>
      <x:c r="J39" s="82" t="str">
        <x:v>其他</x:v>
      </x:c>
      <x:c r="K39" s="82" t="str">
        <x:v>部分</x:v>
      </x:c>
      <x:c r="L39" s="68" t="str">
        <x:v>若后续验证合化，须检查金是否得令、得地或成势；本条不裁定。</x:v>
      </x:c>
      <x:c r="M39" s="68" t="str">
        <x:v>须在M06检查双方根气、是否从化及金的根源；本条只生成候选。</x:v>
      </x:c>
      <x:c r="N39" s="82" t="str">
        <x:v>金</x:v>
      </x:c>
      <x:c r="O39" s="68" t="str">
        <x:v>检查争合、妒合、隔合、遥合、第三干克制及地支化神基础。</x:v>
      </x:c>
      <x:c r="P39" s="68" t="str">
        <x:v>M04-HE-0002-V1.0已经识别为完整的乙庚天干五合关系。</x:v>
      </x:c>
      <x:c r="Q39" s="68" t="str">
        <x:v>已存在乙庚合关系；候选目标固定为金。</x:v>
      </x:c>
      <x:c r="R39" s="68" t="str">
        <x:v>金得令、有根有势、双方缺乏强力反化根时，候选后续通过的可能性提高。</x:v>
      </x:c>
      <x:c r="S39" s="68" t="str">
        <x:v>双方各自根深、化神金无根无势、被强力克制或多方争合时，候选通过可能性降低。</x:v>
      </x:c>
      <x:c r="T39" s="90" t="str">
        <x:v>若乙庚合关系本身不存在，不生成合化为金候选。</x:v>
      </x:c>
      <x:c r="U39" s="68" t="str">
        <x:v>候选生成不等于合化成立；严格条件由M06或化气格模块逐项验证。</x:v>
      </x:c>
      <x:c r="V39" s="68" t="str">
        <x:v>建立“乙庚可能合化为金”的待验证候选。</x:v>
      </x:c>
      <x:c r="W39" s="68" t="str">
        <x:v>不得输出“乙、庚已经化为金”，也不得删除原有乙、庚属性。</x:v>
      </x:c>
      <x:c r="X39" s="82" t="str">
        <x:v>P1_高</x:v>
      </x:c>
      <x:c r="Y39" s="82" t="str">
        <x:v>辅助证据</x:v>
      </x:c>
      <x:c r="Z39" s="84" t="str">
        <x:v>乙庚化金候选</x:v>
      </x:c>
      <x:c r="AA39" s="84" t="str">
        <x:v>乙庚合的合化目标为金，当前仅生成候选；在M06完成月令、根气、化神势与破坏条件核验前，不判合化成立。</x:v>
      </x:c>
      <x:c r="AB39" s="82" t="str">
        <x:v>确定</x:v>
      </x:c>
      <x:c r="AC39" s="82" t="str">
        <x:v>跨流派共识</x:v>
      </x:c>
      <x:c r="AD39" s="68" t="str">
        <x:v>五合各有固定化神候选；识别层只生成候选，不承担合化成败。</x:v>
      </x:c>
      <x:c r="AE39" s="68" t="str">
        <x:v>原局天干见乙庚，可生成化金候选。</x:v>
      </x:c>
      <x:c r="AF39" s="90" t="str">
        <x:v>原局不见完整乙庚，不能因为金旺就反推乙庚合化。</x:v>
      </x:c>
      <x:c r="AG39" s="68" t="str">
        <x:v>内部结构化规则：识别层与效应层分离；https://zh.wikisource.org/wiki/淵海子平；https://zh.wikisource.org/zh-hans/三命通會_(四庫全書本)</x:v>
      </x:c>
      <x:c r="AH39" s="82" t="str">
        <x:v>采用</x:v>
      </x:c>
      <x:c r="AI39" s="82" t="str">
        <x:v>初审</x:v>
      </x:c>
      <x:c r="AJ39" s="87" t="n">
        <x:v>46255</x:v>
      </x:c>
    </x:row>
    <x:row r="40">
      <x:c r="A40" s="72" t="str">
        <x:f>IF(OR(C40="",D40=""),"",B40&amp;"-"&amp;UPPER(C40)&amp;"-"&amp;TEXT(D40,"0000")&amp;"-"&amp;E40)</x:f>
        <x:v>M04-HHC-0034-V1.0</x:v>
      </x:c>
      <x:c r="B40" s="74" t="str">
        <x:v>M04</x:v>
      </x:c>
      <x:c r="C40" s="74" t="str">
        <x:v>HHC</x:v>
      </x:c>
      <x:c r="D40" s="79" t="n">
        <x:v>34</x:v>
      </x:c>
      <x:c r="E40" s="74" t="str">
        <x:v>V1.0</x:v>
      </x:c>
      <x:c r="F40" s="68" t="str">
        <x:v>丙辛合化为水候选生成</x:v>
      </x:c>
      <x:c r="G40" s="82" t="str">
        <x:v>识别层</x:v>
      </x:c>
      <x:c r="H40" s="82" t="str">
        <x:v>天干五合</x:v>
      </x:c>
      <x:c r="I40" s="68" t="str">
        <x:v>丙、辛</x:v>
      </x:c>
      <x:c r="J40" s="82" t="str">
        <x:v>其他</x:v>
      </x:c>
      <x:c r="K40" s="82" t="str">
        <x:v>部分</x:v>
      </x:c>
      <x:c r="L40" s="68" t="str">
        <x:v>若后续验证合化，须检查水是否得令、得地或成势；本条不裁定。</x:v>
      </x:c>
      <x:c r="M40" s="68" t="str">
        <x:v>须在M06检查双方根气、是否从化及水的根源；本条只生成候选。</x:v>
      </x:c>
      <x:c r="N40" s="82" t="str">
        <x:v>水</x:v>
      </x:c>
      <x:c r="O40" s="68" t="str">
        <x:v>检查争合、妒合、隔合、遥合、第三干克制及地支化神基础。</x:v>
      </x:c>
      <x:c r="P40" s="68" t="str">
        <x:v>M04-HE-0003-V1.0已经识别为完整的丙辛天干五合关系。</x:v>
      </x:c>
      <x:c r="Q40" s="68" t="str">
        <x:v>已存在丙辛合关系；候选目标固定为水。</x:v>
      </x:c>
      <x:c r="R40" s="68" t="str">
        <x:v>水得令、有根有势、双方缺乏强力反化根时，候选后续通过的可能性提高。</x:v>
      </x:c>
      <x:c r="S40" s="68" t="str">
        <x:v>双方各自根深、化神水无根无势、被强力克制或多方争合时，候选通过可能性降低。</x:v>
      </x:c>
      <x:c r="T40" s="90" t="str">
        <x:v>若丙辛合关系本身不存在，不生成合化为水候选。</x:v>
      </x:c>
      <x:c r="U40" s="68" t="str">
        <x:v>候选生成不等于合化成立；严格条件由M06或化气格模块逐项验证。</x:v>
      </x:c>
      <x:c r="V40" s="68" t="str">
        <x:v>建立“丙辛可能合化为水”的待验证候选。</x:v>
      </x:c>
      <x:c r="W40" s="68" t="str">
        <x:v>不得输出“丙、辛已经化为水”，也不得删除原有丙、辛属性。</x:v>
      </x:c>
      <x:c r="X40" s="82" t="str">
        <x:v>P1_高</x:v>
      </x:c>
      <x:c r="Y40" s="82" t="str">
        <x:v>辅助证据</x:v>
      </x:c>
      <x:c r="Z40" s="84" t="str">
        <x:v>丙辛化水候选</x:v>
      </x:c>
      <x:c r="AA40" s="84" t="str">
        <x:v>丙辛合的合化目标为水，当前仅生成候选；在M06完成月令、根气、化神势与破坏条件核验前，不判合化成立。</x:v>
      </x:c>
      <x:c r="AB40" s="82" t="str">
        <x:v>确定</x:v>
      </x:c>
      <x:c r="AC40" s="82" t="str">
        <x:v>跨流派共识</x:v>
      </x:c>
      <x:c r="AD40" s="68" t="str">
        <x:v>五合各有固定化神候选；识别层只生成候选，不承担合化成败。</x:v>
      </x:c>
      <x:c r="AE40" s="68" t="str">
        <x:v>原局天干见丙辛，可生成化水候选。</x:v>
      </x:c>
      <x:c r="AF40" s="90" t="str">
        <x:v>原局不见完整丙辛，不能因为水旺就反推丙辛合化。</x:v>
      </x:c>
      <x:c r="AG40" s="68" t="str">
        <x:v>内部结构化规则：识别层与效应层分离；https://zh.wikisource.org/wiki/淵海子平；https://zh.wikisource.org/zh-hans/三命通會_(四庫全書本)</x:v>
      </x:c>
      <x:c r="AH40" s="82" t="str">
        <x:v>采用</x:v>
      </x:c>
      <x:c r="AI40" s="82" t="str">
        <x:v>初审</x:v>
      </x:c>
      <x:c r="AJ40" s="87" t="n">
        <x:v>46255</x:v>
      </x:c>
    </x:row>
    <x:row r="41">
      <x:c r="A41" s="72" t="str">
        <x:f>IF(OR(C41="",D41=""),"",B41&amp;"-"&amp;UPPER(C41)&amp;"-"&amp;TEXT(D41,"0000")&amp;"-"&amp;E41)</x:f>
        <x:v>M04-HHC-0035-V1.0</x:v>
      </x:c>
      <x:c r="B41" s="74" t="str">
        <x:v>M04</x:v>
      </x:c>
      <x:c r="C41" s="74" t="str">
        <x:v>HHC</x:v>
      </x:c>
      <x:c r="D41" s="79" t="n">
        <x:v>35</x:v>
      </x:c>
      <x:c r="E41" s="74" t="str">
        <x:v>V1.0</x:v>
      </x:c>
      <x:c r="F41" s="68" t="str">
        <x:v>丁壬合化为木候选生成</x:v>
      </x:c>
      <x:c r="G41" s="82" t="str">
        <x:v>识别层</x:v>
      </x:c>
      <x:c r="H41" s="82" t="str">
        <x:v>天干五合</x:v>
      </x:c>
      <x:c r="I41" s="68" t="str">
        <x:v>丁、壬</x:v>
      </x:c>
      <x:c r="J41" s="82" t="str">
        <x:v>其他</x:v>
      </x:c>
      <x:c r="K41" s="82" t="str">
        <x:v>部分</x:v>
      </x:c>
      <x:c r="L41" s="68" t="str">
        <x:v>若后续验证合化，须检查木是否得令、得地或成势；本条不裁定。</x:v>
      </x:c>
      <x:c r="M41" s="68" t="str">
        <x:v>须在M06检查双方根气、是否从化及木的根源；本条只生成候选。</x:v>
      </x:c>
      <x:c r="N41" s="82" t="str">
        <x:v>木</x:v>
      </x:c>
      <x:c r="O41" s="68" t="str">
        <x:v>检查争合、妒合、隔合、遥合、第三干克制及地支化神基础。</x:v>
      </x:c>
      <x:c r="P41" s="68" t="str">
        <x:v>M04-HE-0004-V1.0已经识别为完整的丁壬天干五合关系。</x:v>
      </x:c>
      <x:c r="Q41" s="68" t="str">
        <x:v>已存在丁壬合关系；候选目标固定为木。</x:v>
      </x:c>
      <x:c r="R41" s="68" t="str">
        <x:v>木得令、有根有势、双方缺乏强力反化根时，候选后续通过的可能性提高。</x:v>
      </x:c>
      <x:c r="S41" s="68" t="str">
        <x:v>双方各自根深、化神木无根无势、被强力克制或多方争合时，候选通过可能性降低。</x:v>
      </x:c>
      <x:c r="T41" s="90" t="str">
        <x:v>若丁壬合关系本身不存在，不生成合化为木候选。</x:v>
      </x:c>
      <x:c r="U41" s="68" t="str">
        <x:v>候选生成不等于合化成立；严格条件由M06或化气格模块逐项验证。</x:v>
      </x:c>
      <x:c r="V41" s="68" t="str">
        <x:v>建立“丁壬可能合化为木”的待验证候选。</x:v>
      </x:c>
      <x:c r="W41" s="68" t="str">
        <x:v>不得输出“丁、壬已经化为木”，也不得删除原有丁、壬属性。</x:v>
      </x:c>
      <x:c r="X41" s="82" t="str">
        <x:v>P1_高</x:v>
      </x:c>
      <x:c r="Y41" s="82" t="str">
        <x:v>辅助证据</x:v>
      </x:c>
      <x:c r="Z41" s="84" t="str">
        <x:v>丁壬化木候选</x:v>
      </x:c>
      <x:c r="AA41" s="84" t="str">
        <x:v>丁壬合的合化目标为木，当前仅生成候选；在M06完成月令、根气、化神势与破坏条件核验前，不判合化成立。</x:v>
      </x:c>
      <x:c r="AB41" s="82" t="str">
        <x:v>确定</x:v>
      </x:c>
      <x:c r="AC41" s="82" t="str">
        <x:v>跨流派共识</x:v>
      </x:c>
      <x:c r="AD41" s="68" t="str">
        <x:v>五合各有固定化神候选；识别层只生成候选，不承担合化成败。</x:v>
      </x:c>
      <x:c r="AE41" s="68" t="str">
        <x:v>原局天干见丁壬，可生成化木候选。</x:v>
      </x:c>
      <x:c r="AF41" s="90" t="str">
        <x:v>原局不见完整丁壬，不能因为木旺就反推丁壬合化。</x:v>
      </x:c>
      <x:c r="AG41" s="68" t="str">
        <x:v>内部结构化规则：识别层与效应层分离；https://zh.wikisource.org/wiki/淵海子平；https://zh.wikisource.org/zh-hans/三命通會_(四庫全書本)</x:v>
      </x:c>
      <x:c r="AH41" s="82" t="str">
        <x:v>采用</x:v>
      </x:c>
      <x:c r="AI41" s="82" t="str">
        <x:v>初审</x:v>
      </x:c>
      <x:c r="AJ41" s="87" t="n">
        <x:v>46255</x:v>
      </x:c>
    </x:row>
    <x:row r="42">
      <x:c r="A42" s="72" t="str">
        <x:f>IF(OR(C42="",D42=""),"",B42&amp;"-"&amp;UPPER(C42)&amp;"-"&amp;TEXT(D42,"0000")&amp;"-"&amp;E42)</x:f>
        <x:v>M04-HHC-0036-V1.0</x:v>
      </x:c>
      <x:c r="B42" s="74" t="str">
        <x:v>M04</x:v>
      </x:c>
      <x:c r="C42" s="74" t="str">
        <x:v>HHC</x:v>
      </x:c>
      <x:c r="D42" s="79" t="n">
        <x:v>36</x:v>
      </x:c>
      <x:c r="E42" s="74" t="str">
        <x:v>V1.0</x:v>
      </x:c>
      <x:c r="F42" s="68" t="str">
        <x:v>戊癸合化为火候选生成</x:v>
      </x:c>
      <x:c r="G42" s="82" t="str">
        <x:v>识别层</x:v>
      </x:c>
      <x:c r="H42" s="82" t="str">
        <x:v>天干五合</x:v>
      </x:c>
      <x:c r="I42" s="68" t="str">
        <x:v>戊、癸</x:v>
      </x:c>
      <x:c r="J42" s="82" t="str">
        <x:v>其他</x:v>
      </x:c>
      <x:c r="K42" s="82" t="str">
        <x:v>部分</x:v>
      </x:c>
      <x:c r="L42" s="68" t="str">
        <x:v>若后续验证合化，须检查火是否得令、得地或成势；本条不裁定。</x:v>
      </x:c>
      <x:c r="M42" s="68" t="str">
        <x:v>须在M06检查双方根气、是否从化及火的根源；本条只生成候选。</x:v>
      </x:c>
      <x:c r="N42" s="82" t="str">
        <x:v>火</x:v>
      </x:c>
      <x:c r="O42" s="68" t="str">
        <x:v>检查争合、妒合、隔合、遥合、第三干克制及地支化神基础。</x:v>
      </x:c>
      <x:c r="P42" s="68" t="str">
        <x:v>M04-HE-0005-V1.0已经识别为完整的戊癸天干五合关系。</x:v>
      </x:c>
      <x:c r="Q42" s="68" t="str">
        <x:v>已存在戊癸合关系；候选目标固定为火。</x:v>
      </x:c>
      <x:c r="R42" s="68" t="str">
        <x:v>火得令、有根有势、双方缺乏强力反化根时，候选后续通过的可能性提高。</x:v>
      </x:c>
      <x:c r="S42" s="68" t="str">
        <x:v>双方各自根深、化神火无根无势、被强力克制或多方争合时，候选通过可能性降低。</x:v>
      </x:c>
      <x:c r="T42" s="90" t="str">
        <x:v>若戊癸合关系本身不存在，不生成合化为火候选。</x:v>
      </x:c>
      <x:c r="U42" s="68" t="str">
        <x:v>候选生成不等于合化成立；严格条件由M06或化气格模块逐项验证。</x:v>
      </x:c>
      <x:c r="V42" s="68" t="str">
        <x:v>建立“戊癸可能合化为火”的待验证候选。</x:v>
      </x:c>
      <x:c r="W42" s="68" t="str">
        <x:v>不得输出“戊、癸已经化为火”，也不得删除原有戊、癸属性。</x:v>
      </x:c>
      <x:c r="X42" s="82" t="str">
        <x:v>P1_高</x:v>
      </x:c>
      <x:c r="Y42" s="82" t="str">
        <x:v>辅助证据</x:v>
      </x:c>
      <x:c r="Z42" s="84" t="str">
        <x:v>戊癸化火候选</x:v>
      </x:c>
      <x:c r="AA42" s="84" t="str">
        <x:v>戊癸合的合化目标为火，当前仅生成候选；在M06完成月令、根气、化神势与破坏条件核验前，不判合化成立。</x:v>
      </x:c>
      <x:c r="AB42" s="82" t="str">
        <x:v>确定</x:v>
      </x:c>
      <x:c r="AC42" s="82" t="str">
        <x:v>跨流派共识</x:v>
      </x:c>
      <x:c r="AD42" s="68" t="str">
        <x:v>五合各有固定化神候选；识别层只生成候选，不承担合化成败。</x:v>
      </x:c>
      <x:c r="AE42" s="68" t="str">
        <x:v>原局天干见戊癸，可生成化火候选。</x:v>
      </x:c>
      <x:c r="AF42" s="90" t="str">
        <x:v>原局不见完整戊癸，不能因为火旺就反推戊癸合化。</x:v>
      </x:c>
      <x:c r="AG42" s="68" t="str">
        <x:v>内部结构化规则：识别层与效应层分离；https://zh.wikisource.org/wiki/淵海子平；https://zh.wikisource.org/zh-hans/三命通會_(四庫全書本)</x:v>
      </x:c>
      <x:c r="AH42" s="82" t="str">
        <x:v>采用</x:v>
      </x:c>
      <x:c r="AI42" s="82" t="str">
        <x:v>初审</x:v>
      </x:c>
      <x:c r="AJ42" s="87" t="n">
        <x:v>46255</x:v>
      </x:c>
    </x:row>
    <x:row r="43">
      <x:c r="A43" s="72" t="str">
        <x:f>IF(OR(C43="",D43=""),"",B43&amp;"-"&amp;UPPER(C43)&amp;"-"&amp;TEXT(D43,"0000")&amp;"-"&amp;E43)</x:f>
        <x:v>M04-ZHENG-0037-V1.0</x:v>
      </x:c>
      <x:c r="B43" s="74" t="str">
        <x:v>M04</x:v>
      </x:c>
      <x:c r="C43" s="74" t="str">
        <x:v>ZHENG</x:v>
      </x:c>
      <x:c r="D43" s="79" t="n">
        <x:v>37</x:v>
      </x:c>
      <x:c r="E43" s="74" t="str">
        <x:v>V1.0</x:v>
      </x:c>
      <x:c r="F43" s="68" t="str">
        <x:v>甲己组合一方重复的争合候选</x:v>
      </x:c>
      <x:c r="G43" s="82" t="str">
        <x:v>识别层</x:v>
      </x:c>
      <x:c r="H43" s="82" t="str">
        <x:v>争合</x:v>
      </x:c>
      <x:c r="I43" s="68" t="str">
        <x:v>甲、己及其中一方重复</x:v>
      </x:c>
      <x:c r="J43" s="82" t="str">
        <x:v>其他</x:v>
      </x:c>
      <x:c r="K43" s="82" t="str">
        <x:v>完整</x:v>
      </x:c>
      <x:c r="L43" s="68" t="str">
        <x:v>争合结构的存在不以月令为条件；月令只影响后续哪一关系更有作用。</x:v>
      </x:c>
      <x:c r="M43" s="68" t="str">
        <x:v>重复干与配对干均须在天干明现；根气不决定争合结构是否存在。</x:v>
      </x:c>
      <x:c r="N43" s="82" t="str">
        <x:v>土</x:v>
      </x:c>
      <x:c r="O43" s="68" t="str">
        <x:v>同时逐一列出每一组甲己五合实例，并检查隔合、遥合与第三干克制。</x:v>
      </x:c>
      <x:c r="P43" s="68" t="str">
        <x:v>四柱天干已按年、月、日、时标准化并保留柱位。</x:v>
      </x:c>
      <x:c r="Q43" s="68" t="str">
        <x:v>天干中甲至少出现两次且己至少一次，或己至少出现两次且甲至少一次。</x:v>
      </x:c>
      <x:c r="R43" s="68" t="str">
        <x:v>重复干分居配对干两侧、多个实例均相邻时，争合结构更直观。</x:v>
      </x:c>
      <x:c r="S43" s="68" t="str">
        <x:v>某一实例遥隔或受其他关系牵连时，只降低后续作用确定性，不否定争合候选。</x:v>
      </x:c>
      <x:c r="T43" s="90" t="str">
        <x:v>甲与己均只出现一次，或缺少其中一方。</x:v>
      </x:c>
      <x:c r="U43" s="68" t="str">
        <x:v>“争合”与“妒合”在部分流派中近义；本库优先用争合描述可计数的多对一合关系。</x:v>
      </x:c>
      <x:c r="V43" s="68" t="str">
        <x:v>原局存在甲己组合的多对一或一对多争合候选。</x:v>
      </x:c>
      <x:c r="W43" s="68" t="str">
        <x:v>不得直接判断哪一干争胜、哪一干被合去，也不得据此删除任何天干。</x:v>
      </x:c>
      <x:c r="X43" s="82" t="str">
        <x:v>P1_高</x:v>
      </x:c>
      <x:c r="Y43" s="82" t="str">
        <x:v>硬约束</x:v>
      </x:c>
      <x:c r="Z43" s="84" t="str">
        <x:v>甲己争合</x:v>
      </x:c>
      <x:c r="AA43" s="84" t="str">
        <x:v>甲己配对中有一方重复出现，登记争合候选，并按柱位拆分所有甲己合实例；胜负与实际牵制转M06。</x:v>
      </x:c>
      <x:c r="AB43" s="82" t="str">
        <x:v>较高</x:v>
      </x:c>
      <x:c r="AC43" s="82" t="str">
        <x:v>现代综合</x:v>
      </x:c>
      <x:c r="AD43" s="68" t="str">
        <x:v>当五合配对的一方重复出现时，会形成多个共享同一节点的合关系；结构可客观计数，效应仍需另判。</x:v>
      </x:c>
      <x:c r="AE43" s="68" t="str">
        <x:v>天干见两个甲与一个己，形成两组共享己的甲己合实例。</x:v>
      </x:c>
      <x:c r="AF43" s="90" t="str">
        <x:v>天干仅见一个甲与一个己，只能登记普通五合，不能标争合。</x:v>
      </x:c>
      <x:c r="AG43" s="68" t="str">
        <x:v>内部结构化规则：识别层与效应层分离；https://zh.wikisource.org/wiki/淵海子平；https://zh.wikisource.org/zh-hans/三命通會_(四庫全書本)</x:v>
      </x:c>
      <x:c r="AH43" s="82" t="str">
        <x:v>采用</x:v>
      </x:c>
      <x:c r="AI43" s="82" t="str">
        <x:v>初审</x:v>
      </x:c>
      <x:c r="AJ43" s="87" t="n">
        <x:v>46255</x:v>
      </x:c>
    </x:row>
    <x:row r="44">
      <x:c r="A44" s="72" t="str">
        <x:f>IF(OR(C44="",D44=""),"",B44&amp;"-"&amp;UPPER(C44)&amp;"-"&amp;TEXT(D44,"0000")&amp;"-"&amp;E44)</x:f>
        <x:v>M04-ZHENG-0038-V1.0</x:v>
      </x:c>
      <x:c r="B44" s="74" t="str">
        <x:v>M04</x:v>
      </x:c>
      <x:c r="C44" s="74" t="str">
        <x:v>ZHENG</x:v>
      </x:c>
      <x:c r="D44" s="79" t="n">
        <x:v>38</x:v>
      </x:c>
      <x:c r="E44" s="74" t="str">
        <x:v>V1.0</x:v>
      </x:c>
      <x:c r="F44" s="68" t="str">
        <x:v>乙庚组合一方重复的争合候选</x:v>
      </x:c>
      <x:c r="G44" s="82" t="str">
        <x:v>识别层</x:v>
      </x:c>
      <x:c r="H44" s="82" t="str">
        <x:v>争合</x:v>
      </x:c>
      <x:c r="I44" s="68" t="str">
        <x:v>乙、庚及其中一方重复</x:v>
      </x:c>
      <x:c r="J44" s="82" t="str">
        <x:v>其他</x:v>
      </x:c>
      <x:c r="K44" s="82" t="str">
        <x:v>完整</x:v>
      </x:c>
      <x:c r="L44" s="68" t="str">
        <x:v>争合结构的存在不以月令为条件；月令只影响后续哪一关系更有作用。</x:v>
      </x:c>
      <x:c r="M44" s="68" t="str">
        <x:v>重复干与配对干均须在天干明现；根气不决定争合结构是否存在。</x:v>
      </x:c>
      <x:c r="N44" s="82" t="str">
        <x:v>金</x:v>
      </x:c>
      <x:c r="O44" s="68" t="str">
        <x:v>同时逐一列出每一组乙庚五合实例，并检查隔合、遥合与第三干克制。</x:v>
      </x:c>
      <x:c r="P44" s="68" t="str">
        <x:v>四柱天干已按年、月、日、时标准化并保留柱位。</x:v>
      </x:c>
      <x:c r="Q44" s="68" t="str">
        <x:v>天干中乙至少出现两次且庚至少一次，或庚至少出现两次且乙至少一次。</x:v>
      </x:c>
      <x:c r="R44" s="68" t="str">
        <x:v>重复干分居配对干两侧、多个实例均相邻时，争合结构更直观。</x:v>
      </x:c>
      <x:c r="S44" s="68" t="str">
        <x:v>某一实例遥隔或受其他关系牵连时，只降低后续作用确定性，不否定争合候选。</x:v>
      </x:c>
      <x:c r="T44" s="90" t="str">
        <x:v>乙与庚均只出现一次，或缺少其中一方。</x:v>
      </x:c>
      <x:c r="U44" s="68" t="str">
        <x:v>“争合”与“妒合”在部分流派中近义；本库优先用争合描述可计数的多对一合关系。</x:v>
      </x:c>
      <x:c r="V44" s="68" t="str">
        <x:v>原局存在乙庚组合的多对一或一对多争合候选。</x:v>
      </x:c>
      <x:c r="W44" s="68" t="str">
        <x:v>不得直接判断哪一干争胜、哪一干被合去，也不得据此删除任何天干。</x:v>
      </x:c>
      <x:c r="X44" s="82" t="str">
        <x:v>P1_高</x:v>
      </x:c>
      <x:c r="Y44" s="82" t="str">
        <x:v>硬约束</x:v>
      </x:c>
      <x:c r="Z44" s="84" t="str">
        <x:v>乙庚争合</x:v>
      </x:c>
      <x:c r="AA44" s="84" t="str">
        <x:v>乙庚配对中有一方重复出现，登记争合候选，并按柱位拆分所有乙庚合实例；胜负与实际牵制转M06。</x:v>
      </x:c>
      <x:c r="AB44" s="82" t="str">
        <x:v>较高</x:v>
      </x:c>
      <x:c r="AC44" s="82" t="str">
        <x:v>现代综合</x:v>
      </x:c>
      <x:c r="AD44" s="68" t="str">
        <x:v>当五合配对的一方重复出现时，会形成多个共享同一节点的合关系；结构可客观计数，效应仍需另判。</x:v>
      </x:c>
      <x:c r="AE44" s="68" t="str">
        <x:v>天干见两个乙与一个庚，形成两组共享庚的乙庚合实例。</x:v>
      </x:c>
      <x:c r="AF44" s="90" t="str">
        <x:v>天干仅见一个乙与一个庚，只能登记普通五合，不能标争合。</x:v>
      </x:c>
      <x:c r="AG44" s="68" t="str">
        <x:v>内部结构化规则：识别层与效应层分离；https://zh.wikisource.org/wiki/淵海子平；https://zh.wikisource.org/zh-hans/三命通會_(四庫全書本)</x:v>
      </x:c>
      <x:c r="AH44" s="82" t="str">
        <x:v>采用</x:v>
      </x:c>
      <x:c r="AI44" s="82" t="str">
        <x:v>初审</x:v>
      </x:c>
      <x:c r="AJ44" s="87" t="n">
        <x:v>46255</x:v>
      </x:c>
    </x:row>
    <x:row r="45">
      <x:c r="A45" s="72" t="str">
        <x:f>IF(OR(C45="",D45=""),"",B45&amp;"-"&amp;UPPER(C45)&amp;"-"&amp;TEXT(D45,"0000")&amp;"-"&amp;E45)</x:f>
        <x:v>M04-ZHENG-0039-V1.0</x:v>
      </x:c>
      <x:c r="B45" s="74" t="str">
        <x:v>M04</x:v>
      </x:c>
      <x:c r="C45" s="74" t="str">
        <x:v>ZHENG</x:v>
      </x:c>
      <x:c r="D45" s="79" t="n">
        <x:v>39</x:v>
      </x:c>
      <x:c r="E45" s="74" t="str">
        <x:v>V1.0</x:v>
      </x:c>
      <x:c r="F45" s="68" t="str">
        <x:v>丙辛组合一方重复的争合候选</x:v>
      </x:c>
      <x:c r="G45" s="82" t="str">
        <x:v>识别层</x:v>
      </x:c>
      <x:c r="H45" s="82" t="str">
        <x:v>争合</x:v>
      </x:c>
      <x:c r="I45" s="68" t="str">
        <x:v>丙、辛及其中一方重复</x:v>
      </x:c>
      <x:c r="J45" s="82" t="str">
        <x:v>其他</x:v>
      </x:c>
      <x:c r="K45" s="82" t="str">
        <x:v>完整</x:v>
      </x:c>
      <x:c r="L45" s="68" t="str">
        <x:v>争合结构的存在不以月令为条件；月令只影响后续哪一关系更有作用。</x:v>
      </x:c>
      <x:c r="M45" s="68" t="str">
        <x:v>重复干与配对干均须在天干明现；根气不决定争合结构是否存在。</x:v>
      </x:c>
      <x:c r="N45" s="82" t="str">
        <x:v>水</x:v>
      </x:c>
      <x:c r="O45" s="68" t="str">
        <x:v>同时逐一列出每一组丙辛五合实例，并检查隔合、遥合与第三干克制。</x:v>
      </x:c>
      <x:c r="P45" s="68" t="str">
        <x:v>四柱天干已按年、月、日、时标准化并保留柱位。</x:v>
      </x:c>
      <x:c r="Q45" s="68" t="str">
        <x:v>天干中丙至少出现两次且辛至少一次，或辛至少出现两次且丙至少一次。</x:v>
      </x:c>
      <x:c r="R45" s="68" t="str">
        <x:v>重复干分居配对干两侧、多个实例均相邻时，争合结构更直观。</x:v>
      </x:c>
      <x:c r="S45" s="68" t="str">
        <x:v>某一实例遥隔或受其他关系牵连时，只降低后续作用确定性，不否定争合候选。</x:v>
      </x:c>
      <x:c r="T45" s="90" t="str">
        <x:v>丙与辛均只出现一次，或缺少其中一方。</x:v>
      </x:c>
      <x:c r="U45" s="68" t="str">
        <x:v>“争合”与“妒合”在部分流派中近义；本库优先用争合描述可计数的多对一合关系。</x:v>
      </x:c>
      <x:c r="V45" s="68" t="str">
        <x:v>原局存在丙辛组合的多对一或一对多争合候选。</x:v>
      </x:c>
      <x:c r="W45" s="68" t="str">
        <x:v>不得直接判断哪一干争胜、哪一干被合去，也不得据此删除任何天干。</x:v>
      </x:c>
      <x:c r="X45" s="82" t="str">
        <x:v>P1_高</x:v>
      </x:c>
      <x:c r="Y45" s="82" t="str">
        <x:v>硬约束</x:v>
      </x:c>
      <x:c r="Z45" s="84" t="str">
        <x:v>丙辛争合</x:v>
      </x:c>
      <x:c r="AA45" s="84" t="str">
        <x:v>丙辛配对中有一方重复出现，登记争合候选，并按柱位拆分所有丙辛合实例；胜负与实际牵制转M06。</x:v>
      </x:c>
      <x:c r="AB45" s="82" t="str">
        <x:v>较高</x:v>
      </x:c>
      <x:c r="AC45" s="82" t="str">
        <x:v>现代综合</x:v>
      </x:c>
      <x:c r="AD45" s="68" t="str">
        <x:v>当五合配对的一方重复出现时，会形成多个共享同一节点的合关系；结构可客观计数，效应仍需另判。</x:v>
      </x:c>
      <x:c r="AE45" s="68" t="str">
        <x:v>天干见两个丙与一个辛，形成两组共享辛的丙辛合实例。</x:v>
      </x:c>
      <x:c r="AF45" s="90" t="str">
        <x:v>天干仅见一个丙与一个辛，只能登记普通五合，不能标争合。</x:v>
      </x:c>
      <x:c r="AG45" s="68" t="str">
        <x:v>内部结构化规则：识别层与效应层分离；https://zh.wikisource.org/wiki/淵海子平；https://zh.wikisource.org/zh-hans/三命通會_(四庫全書本)</x:v>
      </x:c>
      <x:c r="AH45" s="82" t="str">
        <x:v>采用</x:v>
      </x:c>
      <x:c r="AI45" s="82" t="str">
        <x:v>初审</x:v>
      </x:c>
      <x:c r="AJ45" s="87" t="n">
        <x:v>46255</x:v>
      </x:c>
    </x:row>
    <x:row r="46">
      <x:c r="A46" s="72" t="str">
        <x:f>IF(OR(C46="",D46=""),"",B46&amp;"-"&amp;UPPER(C46)&amp;"-"&amp;TEXT(D46,"0000")&amp;"-"&amp;E46)</x:f>
        <x:v>M04-ZHENG-0040-V1.0</x:v>
      </x:c>
      <x:c r="B46" s="74" t="str">
        <x:v>M04</x:v>
      </x:c>
      <x:c r="C46" s="74" t="str">
        <x:v>ZHENG</x:v>
      </x:c>
      <x:c r="D46" s="79" t="n">
        <x:v>40</x:v>
      </x:c>
      <x:c r="E46" s="74" t="str">
        <x:v>V1.0</x:v>
      </x:c>
      <x:c r="F46" s="68" t="str">
        <x:v>丁壬组合一方重复的争合候选</x:v>
      </x:c>
      <x:c r="G46" s="82" t="str">
        <x:v>识别层</x:v>
      </x:c>
      <x:c r="H46" s="82" t="str">
        <x:v>争合</x:v>
      </x:c>
      <x:c r="I46" s="68" t="str">
        <x:v>丁、壬及其中一方重复</x:v>
      </x:c>
      <x:c r="J46" s="82" t="str">
        <x:v>其他</x:v>
      </x:c>
      <x:c r="K46" s="82" t="str">
        <x:v>完整</x:v>
      </x:c>
      <x:c r="L46" s="68" t="str">
        <x:v>争合结构的存在不以月令为条件；月令只影响后续哪一关系更有作用。</x:v>
      </x:c>
      <x:c r="M46" s="68" t="str">
        <x:v>重复干与配对干均须在天干明现；根气不决定争合结构是否存在。</x:v>
      </x:c>
      <x:c r="N46" s="82" t="str">
        <x:v>木</x:v>
      </x:c>
      <x:c r="O46" s="68" t="str">
        <x:v>同时逐一列出每一组丁壬五合实例，并检查隔合、遥合与第三干克制。</x:v>
      </x:c>
      <x:c r="P46" s="68" t="str">
        <x:v>四柱天干已按年、月、日、时标准化并保留柱位。</x:v>
      </x:c>
      <x:c r="Q46" s="68" t="str">
        <x:v>天干中丁至少出现两次且壬至少一次，或壬至少出现两次且丁至少一次。</x:v>
      </x:c>
      <x:c r="R46" s="68" t="str">
        <x:v>重复干分居配对干两侧、多个实例均相邻时，争合结构更直观。</x:v>
      </x:c>
      <x:c r="S46" s="68" t="str">
        <x:v>某一实例遥隔或受其他关系牵连时，只降低后续作用确定性，不否定争合候选。</x:v>
      </x:c>
      <x:c r="T46" s="90" t="str">
        <x:v>丁与壬均只出现一次，或缺少其中一方。</x:v>
      </x:c>
      <x:c r="U46" s="68" t="str">
        <x:v>“争合”与“妒合”在部分流派中近义；本库优先用争合描述可计数的多对一合关系。</x:v>
      </x:c>
      <x:c r="V46" s="68" t="str">
        <x:v>原局存在丁壬组合的多对一或一对多争合候选。</x:v>
      </x:c>
      <x:c r="W46" s="68" t="str">
        <x:v>不得直接判断哪一干争胜、哪一干被合去，也不得据此删除任何天干。</x:v>
      </x:c>
      <x:c r="X46" s="82" t="str">
        <x:v>P1_高</x:v>
      </x:c>
      <x:c r="Y46" s="82" t="str">
        <x:v>硬约束</x:v>
      </x:c>
      <x:c r="Z46" s="84" t="str">
        <x:v>丁壬争合</x:v>
      </x:c>
      <x:c r="AA46" s="84" t="str">
        <x:v>丁壬配对中有一方重复出现，登记争合候选，并按柱位拆分所有丁壬合实例；胜负与实际牵制转M06。</x:v>
      </x:c>
      <x:c r="AB46" s="82" t="str">
        <x:v>较高</x:v>
      </x:c>
      <x:c r="AC46" s="82" t="str">
        <x:v>现代综合</x:v>
      </x:c>
      <x:c r="AD46" s="68" t="str">
        <x:v>当五合配对的一方重复出现时，会形成多个共享同一节点的合关系；结构可客观计数，效应仍需另判。</x:v>
      </x:c>
      <x:c r="AE46" s="68" t="str">
        <x:v>天干见两个丁与一个壬，形成两组共享壬的丁壬合实例。</x:v>
      </x:c>
      <x:c r="AF46" s="90" t="str">
        <x:v>天干仅见一个丁与一个壬，只能登记普通五合，不能标争合。</x:v>
      </x:c>
      <x:c r="AG46" s="68" t="str">
        <x:v>内部结构化规则：识别层与效应层分离；https://zh.wikisource.org/wiki/淵海子平；https://zh.wikisource.org/zh-hans/三命通會_(四庫全書本)</x:v>
      </x:c>
      <x:c r="AH46" s="82" t="str">
        <x:v>采用</x:v>
      </x:c>
      <x:c r="AI46" s="82" t="str">
        <x:v>初审</x:v>
      </x:c>
      <x:c r="AJ46" s="87" t="n">
        <x:v>46255</x:v>
      </x:c>
    </x:row>
    <x:row r="47">
      <x:c r="A47" s="72" t="str">
        <x:f>IF(OR(C47="",D47=""),"",B47&amp;"-"&amp;UPPER(C47)&amp;"-"&amp;TEXT(D47,"0000")&amp;"-"&amp;E47)</x:f>
        <x:v>M04-ZHENG-0041-V1.0</x:v>
      </x:c>
      <x:c r="B47" s="74" t="str">
        <x:v>M04</x:v>
      </x:c>
      <x:c r="C47" s="74" t="str">
        <x:v>ZHENG</x:v>
      </x:c>
      <x:c r="D47" s="79" t="n">
        <x:v>41</x:v>
      </x:c>
      <x:c r="E47" s="74" t="str">
        <x:v>V1.0</x:v>
      </x:c>
      <x:c r="F47" s="68" t="str">
        <x:v>戊癸组合一方重复的争合候选</x:v>
      </x:c>
      <x:c r="G47" s="82" t="str">
        <x:v>识别层</x:v>
      </x:c>
      <x:c r="H47" s="82" t="str">
        <x:v>争合</x:v>
      </x:c>
      <x:c r="I47" s="68" t="str">
        <x:v>戊、癸及其中一方重复</x:v>
      </x:c>
      <x:c r="J47" s="82" t="str">
        <x:v>其他</x:v>
      </x:c>
      <x:c r="K47" s="82" t="str">
        <x:v>完整</x:v>
      </x:c>
      <x:c r="L47" s="68" t="str">
        <x:v>争合结构的存在不以月令为条件；月令只影响后续哪一关系更有作用。</x:v>
      </x:c>
      <x:c r="M47" s="68" t="str">
        <x:v>重复干与配对干均须在天干明现；根气不决定争合结构是否存在。</x:v>
      </x:c>
      <x:c r="N47" s="82" t="str">
        <x:v>火</x:v>
      </x:c>
      <x:c r="O47" s="68" t="str">
        <x:v>同时逐一列出每一组戊癸五合实例，并检查隔合、遥合与第三干克制。</x:v>
      </x:c>
      <x:c r="P47" s="68" t="str">
        <x:v>四柱天干已按年、月、日、时标准化并保留柱位。</x:v>
      </x:c>
      <x:c r="Q47" s="68" t="str">
        <x:v>天干中戊至少出现两次且癸至少一次，或癸至少出现两次且戊至少一次。</x:v>
      </x:c>
      <x:c r="R47" s="68" t="str">
        <x:v>重复干分居配对干两侧、多个实例均相邻时，争合结构更直观。</x:v>
      </x:c>
      <x:c r="S47" s="68" t="str">
        <x:v>某一实例遥隔或受其他关系牵连时，只降低后续作用确定性，不否定争合候选。</x:v>
      </x:c>
      <x:c r="T47" s="90" t="str">
        <x:v>戊与癸均只出现一次，或缺少其中一方。</x:v>
      </x:c>
      <x:c r="U47" s="68" t="str">
        <x:v>“争合”与“妒合”在部分流派中近义；本库优先用争合描述可计数的多对一合关系。</x:v>
      </x:c>
      <x:c r="V47" s="68" t="str">
        <x:v>原局存在戊癸组合的多对一或一对多争合候选。</x:v>
      </x:c>
      <x:c r="W47" s="68" t="str">
        <x:v>不得直接判断哪一干争胜、哪一干被合去，也不得据此删除任何天干。</x:v>
      </x:c>
      <x:c r="X47" s="82" t="str">
        <x:v>P1_高</x:v>
      </x:c>
      <x:c r="Y47" s="82" t="str">
        <x:v>硬约束</x:v>
      </x:c>
      <x:c r="Z47" s="84" t="str">
        <x:v>戊癸争合</x:v>
      </x:c>
      <x:c r="AA47" s="84" t="str">
        <x:v>戊癸配对中有一方重复出现，登记争合候选，并按柱位拆分所有戊癸合实例；胜负与实际牵制转M06。</x:v>
      </x:c>
      <x:c r="AB47" s="82" t="str">
        <x:v>较高</x:v>
      </x:c>
      <x:c r="AC47" s="82" t="str">
        <x:v>现代综合</x:v>
      </x:c>
      <x:c r="AD47" s="68" t="str">
        <x:v>当五合配对的一方重复出现时，会形成多个共享同一节点的合关系；结构可客观计数，效应仍需另判。</x:v>
      </x:c>
      <x:c r="AE47" s="68" t="str">
        <x:v>天干见两个戊与一个癸，形成两组共享癸的戊癸合实例。</x:v>
      </x:c>
      <x:c r="AF47" s="90" t="str">
        <x:v>天干仅见一个戊与一个癸，只能登记普通五合，不能标争合。</x:v>
      </x:c>
      <x:c r="AG47" s="68" t="str">
        <x:v>内部结构化规则：识别层与效应层分离；https://zh.wikisource.org/wiki/淵海子平；https://zh.wikisource.org/zh-hans/三命通會_(四庫全書本)</x:v>
      </x:c>
      <x:c r="AH47" s="82" t="str">
        <x:v>采用</x:v>
      </x:c>
      <x:c r="AI47" s="82" t="str">
        <x:v>初审</x:v>
      </x:c>
      <x:c r="AJ47" s="87" t="n">
        <x:v>46255</x:v>
      </x:c>
    </x:row>
    <x:row r="48">
      <x:c r="A48" s="72" t="str">
        <x:f>IF(OR(C48="",D48=""),"",B48&amp;"-"&amp;UPPER(C48)&amp;"-"&amp;TEXT(D48,"0000")&amp;"-"&amp;E48)</x:f>
        <x:v>M04-ZHENG-0042-V1.0</x:v>
      </x:c>
      <x:c r="B48" s="74" t="str">
        <x:v>M04</x:v>
      </x:c>
      <x:c r="C48" s="74" t="str">
        <x:v>ZHENG</x:v>
      </x:c>
      <x:c r="D48" s="79" t="n">
        <x:v>42</x:v>
      </x:c>
      <x:c r="E48" s="74" t="str">
        <x:v>V1.0</x:v>
      </x:c>
      <x:c r="F48" s="68" t="str">
        <x:v>多重争合关系按柱位实例化计数</x:v>
      </x:c>
      <x:c r="G48" s="82" t="str">
        <x:v>识别层</x:v>
      </x:c>
      <x:c r="H48" s="82" t="str">
        <x:v>争合</x:v>
      </x:c>
      <x:c r="I48" s="68" t="str">
        <x:v>任一五合配对及重复干</x:v>
      </x:c>
      <x:c r="J48" s="82" t="str">
        <x:v>其他</x:v>
      </x:c>
      <x:c r="K48" s="82" t="str">
        <x:v>完整</x:v>
      </x:c>
      <x:c r="L48" s="68" t="str">
        <x:v>关系存在不以月令为必要条件；月令只供后续判断实际效应或合化。</x:v>
      </x:c>
      <x:c r="M48" s="68" t="str">
        <x:v>参与干须在四柱天干明现；根气与透干强弱不作为关系存在的必要条件。</x:v>
      </x:c>
      <x:c r="N48" s="82"/>
      <x:c r="O48" s="68" t="str">
        <x:v>检查是否另有五合、相克、重复干或多重关系。</x:v>
      </x:c>
      <x:c r="P48" s="68" t="str">
        <x:v>四柱天干已按年、月、日、时标准化并保留柱位。</x:v>
      </x:c>
      <x:c r="Q48" s="68" t="str">
        <x:v>五合配对至少一方在不同柱位重复出现，并已生成两条或以上共享节点的五合关系。</x:v>
      </x:c>
      <x:c r="R48" s="68" t="str">
        <x:v>位置相邻、关系单一时，关系实例更清楚；仅作为后续效应判断信息。</x:v>
      </x:c>
      <x:c r="S48" s="68" t="str">
        <x:v>隔位、遥隔或多方重复时，结构更复杂，但不自动否定关系存在。</x:v>
      </x:c>
      <x:c r="T48" s="90" t="str"/>
      <x:c r="U48" s="68" t="str">
        <x:v>实际合绊、合化、制化与力量变化统一转M06判断。</x:v>
      </x:c>
      <x:c r="V48" s="68" t="str">
        <x:v>每一对具体柱位构成一个独立关系实例，并附加同一争合组编号。</x:v>
      </x:c>
      <x:c r="W48" s="68" t="str">
        <x:v>不得把多个关系实例压缩后丢失柱位，也不得用关系数量直接换算力量。</x:v>
      </x:c>
      <x:c r="X48" s="82" t="str">
        <x:v>P0_硬约束</x:v>
      </x:c>
      <x:c r="Y48" s="82" t="str">
        <x:v>硬约束</x:v>
      </x:c>
      <x:c r="Z48" s="84" t="str">
        <x:v>争合实例计数</x:v>
      </x:c>
      <x:c r="AA48" s="84" t="str">
        <x:v>对重复天干逐柱生成关系边，并以同一争合组关联；数量只表示结构复杂度，不表示胜负。</x:v>
      </x:c>
      <x:c r="AB48" s="82" t="str">
        <x:v>确定</x:v>
      </x:c>
      <x:c r="AC48" s="82" t="str">
        <x:v>跨流派共识</x:v>
      </x:c>
      <x:c r="AD48" s="68" t="str">
        <x:v>知识库需要保留关系图的节点与边，才能让M06逐对象判断实际效应。</x:v>
      </x:c>
      <x:c r="AE48" s="68" t="str">
        <x:v>年干甲、月干己、时干甲，应登记年甲—月己与时甲—月己两条关系。</x:v>
      </x:c>
      <x:c r="AF48" s="90" t="str">
        <x:v>只写“甲己争合”而不保存哪一柱与哪一柱相合，无法支持后续效应判断。</x:v>
      </x:c>
      <x:c r="AG48" s="68" t="str">
        <x:v>内部结构化规则：识别层与效应层分离；https://zh.wikisource.org/wiki/淵海子平；https://zh.wikisource.org/zh-hans/三命通會_(四庫全書本)</x:v>
      </x:c>
      <x:c r="AH48" s="82" t="str">
        <x:v>采用</x:v>
      </x:c>
      <x:c r="AI48" s="82" t="str">
        <x:v>初审</x:v>
      </x:c>
      <x:c r="AJ48" s="87" t="n">
        <x:v>46255</x:v>
      </x:c>
    </x:row>
    <x:row r="49">
      <x:c r="A49" s="72" t="str">
        <x:f>IF(OR(C49="",D49=""),"",B49&amp;"-"&amp;UPPER(C49)&amp;"-"&amp;TEXT(D49,"0000")&amp;"-"&amp;E49)</x:f>
        <x:v>M04-DUHE-0043-V1.0</x:v>
      </x:c>
      <x:c r="B49" s="74" t="str">
        <x:v>M04</x:v>
      </x:c>
      <x:c r="C49" s="74" t="str">
        <x:v>DUHE</x:v>
      </x:c>
      <x:c r="D49" s="79" t="n">
        <x:v>43</x:v>
      </x:c>
      <x:c r="E49" s="74" t="str">
        <x:v>V1.0</x:v>
      </x:c>
      <x:c r="F49" s="68" t="str">
        <x:v>妒合标签的流派边界</x:v>
      </x:c>
      <x:c r="G49" s="82" t="str">
        <x:v>识别层</x:v>
      </x:c>
      <x:c r="H49" s="82" t="str">
        <x:v>妒合</x:v>
      </x:c>
      <x:c r="I49" s="68" t="str">
        <x:v>一干被同类配对干竞争</x:v>
      </x:c>
      <x:c r="J49" s="82" t="str">
        <x:v>其他</x:v>
      </x:c>
      <x:c r="K49" s="82" t="str">
        <x:v>待定</x:v>
      </x:c>
      <x:c r="L49" s="68" t="str">
        <x:v>妒合术语的使用不以月令为条件。</x:v>
      </x:c>
      <x:c r="M49" s="68" t="str">
        <x:v>先按明现天干建立可计数的五合与争合关系。</x:v>
      </x:c>
      <x:c r="N49" s="82"/>
      <x:c r="O49" s="68" t="str">
        <x:v>与争合标签并列记录时，必须注明采用流派及术语定义。</x:v>
      </x:c>
      <x:c r="P49" s="68" t="str">
        <x:v>四柱天干已按年、月、日、时标准化并保留柱位。</x:v>
      </x:c>
      <x:c r="Q49" s="68" t="str">
        <x:v>所采用的流派明确把多干竞争同一合干称为妒合，且基础五合关系真实存在。</x:v>
      </x:c>
      <x:c r="R49" s="68" t="str">
        <x:v>结构为两同类干夹合一干时，部分流派更常使用妒合称谓。</x:v>
      </x:c>
      <x:c r="S49" s="68" t="str">
        <x:v>不同流派对争合、妒合的界线不一致。</x:v>
      </x:c>
      <x:c r="T49" s="90" t="str">
        <x:v>基础五合不存在，或仅凭主观心理象义使用妒合标签。</x:v>
      </x:c>
      <x:c r="U49" s="68" t="str">
        <x:v>本库核心计算统一依赖关系实例与争合组，不依赖妒合名称。</x:v>
      </x:c>
      <x:c r="V49" s="68" t="str">
        <x:v>可附加妒合流派标签，但不得替代基础五合和争合实例。</x:v>
      </x:c>
      <x:c r="W49" s="68" t="str">
        <x:v>不得因“妒”字直接推断人物心理、婚外情、竞争结果或吉凶。</x:v>
      </x:c>
      <x:c r="X49" s="82" t="str">
        <x:v>P2_中</x:v>
      </x:c>
      <x:c r="Y49" s="82" t="str">
        <x:v>辅助证据</x:v>
      </x:c>
      <x:c r="Z49" s="84" t="str">
        <x:v>妒合术语边界</x:v>
      </x:c>
      <x:c r="AA49" s="84" t="str">
        <x:v>该结构在部分流派可称妒合；本库仍以具体五合实例和争合组作为计算依据。</x:v>
      </x:c>
      <x:c r="AB49" s="82" t="str">
        <x:v>中等</x:v>
      </x:c>
      <x:c r="AC49" s="82" t="str">
        <x:v>待定</x:v>
      </x:c>
      <x:c r="AD49" s="68" t="str">
        <x:v>争合、妒合常被混用；为避免术语差异污染结构判断，名称与可计算关系分离。</x:v>
      </x:c>
      <x:c r="AE49" s="68" t="str">
        <x:v>两甲夹一己，可在保留两条甲己合实例后附加妒合标签。</x:v>
      </x:c>
      <x:c r="AF49" s="90" t="str">
        <x:v>只有一甲一己时，不应仅因关系重要就称妒合。</x:v>
      </x:c>
      <x:c r="AG49" s="68" t="str">
        <x:v>内部结构化规则：识别层与效应层分离；https://zh.wikisource.org/wiki/淵海子平；https://zh.wikisource.org/zh-hans/三命通會_(四庫全書本)</x:v>
      </x:c>
      <x:c r="AH49" s="82" t="str">
        <x:v>待验证</x:v>
      </x:c>
      <x:c r="AI49" s="82" t="str">
        <x:v>初审</x:v>
      </x:c>
      <x:c r="AJ49" s="87" t="n">
        <x:v>46255</x:v>
      </x:c>
    </x:row>
    <x:row r="50">
      <x:c r="A50" s="72" t="str">
        <x:f>IF(OR(C50="",D50=""),"",B50&amp;"-"&amp;UPPER(C50)&amp;"-"&amp;TEXT(D50,"0000")&amp;"-"&amp;E50)</x:f>
        <x:v>M04-GEHE-0044-V1.0</x:v>
      </x:c>
      <x:c r="B50" s="74" t="str">
        <x:v>M04</x:v>
      </x:c>
      <x:c r="C50" s="74" t="str">
        <x:v>GEHE</x:v>
      </x:c>
      <x:c r="D50" s="79" t="n">
        <x:v>44</x:v>
      </x:c>
      <x:c r="E50" s="74" t="str">
        <x:v>V1.0</x:v>
      </x:c>
      <x:c r="F50" s="68" t="str">
        <x:v>隔合关系识别</x:v>
      </x:c>
      <x:c r="G50" s="82" t="str">
        <x:v>识别层</x:v>
      </x:c>
      <x:c r="H50" s="82" t="str">
        <x:v>隔合</x:v>
      </x:c>
      <x:c r="I50" s="68" t="str">
        <x:v>任一天干五合配对</x:v>
      </x:c>
      <x:c r="J50" s="82" t="str">
        <x:v>隔位</x:v>
      </x:c>
      <x:c r="K50" s="82" t="str">
        <x:v>完整</x:v>
      </x:c>
      <x:c r="L50" s="68" t="str">
        <x:v>关系存在不以月令为必要条件；月令只供后续判断实际效应或合化。</x:v>
      </x:c>
      <x:c r="M50" s="68" t="str">
        <x:v>参与干须在四柱天干明现；根气与透干强弱不作为关系存在的必要条件。</x:v>
      </x:c>
      <x:c r="N50" s="82"/>
      <x:c r="O50" s="68" t="str">
        <x:v>检查是否另有五合、相克、重复干或多重关系。</x:v>
      </x:c>
      <x:c r="P50" s="68" t="str">
        <x:v>四柱天干已按年、月、日、时标准化并保留柱位。</x:v>
      </x:c>
      <x:c r="Q50" s="68" t="str">
        <x:v>五合配对分别位于年日或月时，两干之间隔一柱。</x:v>
      </x:c>
      <x:c r="R50" s="68" t="str">
        <x:v>基础五合配对清楚且无同类重复时，隔合实例容易唯一定位。</x:v>
      </x:c>
      <x:c r="S50" s="68" t="str">
        <x:v>出现争合或同类干重复时，须按柱位拆分多个实例。</x:v>
      </x:c>
      <x:c r="T50" s="90" t="str">
        <x:v>两干不属于五合配对，或实际位置并非隔位。</x:v>
      </x:c>
      <x:c r="U50" s="68" t="str">
        <x:v>隔位只描述位置；是否仍有实际合绊、合动或合化转M06。</x:v>
      </x:c>
      <x:c r="V50" s="68" t="str">
        <x:v>该五合实例标记为隔合。</x:v>
      </x:c>
      <x:c r="W50" s="68" t="str">
        <x:v>不得因隔位直接判为完全不合，也不得直接判合力固定减半。</x:v>
      </x:c>
      <x:c r="X50" s="82" t="str">
        <x:v>P1_高</x:v>
      </x:c>
      <x:c r="Y50" s="82" t="str">
        <x:v>辅助证据</x:v>
      </x:c>
      <x:c r="Z50" s="84" t="str">
        <x:v>隔合识别</x:v>
      </x:c>
      <x:c r="AA50" s="84" t="str">
        <x:v>该五合发生于年日或月时，标记为隔合；位置会影响后续作用评估，但不否定关系存在。</x:v>
      </x:c>
      <x:c r="AB50" s="82" t="str">
        <x:v>较高</x:v>
      </x:c>
      <x:c r="AC50" s="82" t="str">
        <x:v>现代综合</x:v>
      </x:c>
      <x:c r="AD50" s="68" t="str">
        <x:v>隔合是对五合柱位距离的描述，不是独立的化学式或固定力量系数。</x:v>
      </x:c>
      <x:c r="AE50" s="68" t="str">
        <x:v>年干甲、日干己，识别甲己合并附加隔合标签。</x:v>
      </x:c>
      <x:c r="AF50" s="90" t="str">
        <x:v>年干甲、月干己为相邻，不标隔合。</x:v>
      </x:c>
      <x:c r="AG50" s="68" t="str">
        <x:v>内部结构化规则：识别层与效应层分离；https://zh.wikisource.org/wiki/淵海子平；https://zh.wikisource.org/zh-hans/三命通會_(四庫全書本)</x:v>
      </x:c>
      <x:c r="AH50" s="82" t="str">
        <x:v>采用</x:v>
      </x:c>
      <x:c r="AI50" s="82" t="str">
        <x:v>初审</x:v>
      </x:c>
      <x:c r="AJ50" s="87" t="n">
        <x:v>46255</x:v>
      </x:c>
    </x:row>
    <x:row r="51">
      <x:c r="A51" s="72" t="str">
        <x:f>IF(OR(C51="",D51=""),"",B51&amp;"-"&amp;UPPER(C51)&amp;"-"&amp;TEXT(D51,"0000")&amp;"-"&amp;E51)</x:f>
        <x:v>M04-YAOHE-0045-V1.0</x:v>
      </x:c>
      <x:c r="B51" s="74" t="str">
        <x:v>M04</x:v>
      </x:c>
      <x:c r="C51" s="74" t="str">
        <x:v>YAOHE</x:v>
      </x:c>
      <x:c r="D51" s="79" t="n">
        <x:v>45</x:v>
      </x:c>
      <x:c r="E51" s="74" t="str">
        <x:v>V1.0</x:v>
      </x:c>
      <x:c r="F51" s="68" t="str">
        <x:v>遥合关系识别</x:v>
      </x:c>
      <x:c r="G51" s="82" t="str">
        <x:v>识别层</x:v>
      </x:c>
      <x:c r="H51" s="82" t="str">
        <x:v>遥合</x:v>
      </x:c>
      <x:c r="I51" s="68" t="str">
        <x:v>任一天干五合配对</x:v>
      </x:c>
      <x:c r="J51" s="82" t="str">
        <x:v>遥隔</x:v>
      </x:c>
      <x:c r="K51" s="82" t="str">
        <x:v>完整</x:v>
      </x:c>
      <x:c r="L51" s="68" t="str">
        <x:v>关系存在不以月令为必要条件；月令只供后续判断实际效应或合化。</x:v>
      </x:c>
      <x:c r="M51" s="68" t="str">
        <x:v>参与干须在四柱天干明现；根气与透干强弱不作为关系存在的必要条件。</x:v>
      </x:c>
      <x:c r="N51" s="82"/>
      <x:c r="O51" s="68" t="str">
        <x:v>检查是否另有五合、相克、重复干或多重关系。</x:v>
      </x:c>
      <x:c r="P51" s="68" t="str">
        <x:v>四柱天干已按年、月、日、时标准化并保留柱位。</x:v>
      </x:c>
      <x:c r="Q51" s="68" t="str">
        <x:v>五合配对分别位于年柱与时柱，跨越月、日两柱。</x:v>
      </x:c>
      <x:c r="R51" s="68" t="str">
        <x:v>基础五合配对唯一且无重复干时，遥合实例可明确定位。</x:v>
      </x:c>
      <x:c r="S51" s="68" t="str">
        <x:v>中间天干另有合克或两端重复时，后续效应更不确定。</x:v>
      </x:c>
      <x:c r="T51" s="90" t="str">
        <x:v>两干不属于五合配对，或实际位置不是年时。</x:v>
      </x:c>
      <x:c r="U51" s="68" t="str">
        <x:v>遥隔只表示距离最远；仍须保留关系候选并转M06判断是否有实际作用。</x:v>
      </x:c>
      <x:c r="V51" s="68" t="str">
        <x:v>该五合实例标记为遥合。</x:v>
      </x:c>
      <x:c r="W51" s="68" t="str">
        <x:v>不得因遥隔直接删除合关系，也不得认定必然无效。</x:v>
      </x:c>
      <x:c r="X51" s="82" t="str">
        <x:v>P1_高</x:v>
      </x:c>
      <x:c r="Y51" s="82" t="str">
        <x:v>辅助证据</x:v>
      </x:c>
      <x:c r="Z51" s="84" t="str">
        <x:v>遥合识别</x:v>
      </x:c>
      <x:c r="AA51" s="84" t="str">
        <x:v>该五合发生于年时两端，标记为遥合；关系存在，实际牵制与合化条件待M06核验。</x:v>
      </x:c>
      <x:c r="AB51" s="82" t="str">
        <x:v>较高</x:v>
      </x:c>
      <x:c r="AC51" s="82" t="str">
        <x:v>现代综合</x:v>
      </x:c>
      <x:c r="AD51" s="68" t="str">
        <x:v>年时为四柱天干距离最远的组合，遥合用于保存这一位置特征。</x:v>
      </x:c>
      <x:c r="AE51" s="68" t="str">
        <x:v>年干丁、时干壬，登记丁壬合并标记遥合。</x:v>
      </x:c>
      <x:c r="AF51" s="90" t="str">
        <x:v>月干丁、时干壬为隔位，不标遥合。</x:v>
      </x:c>
      <x:c r="AG51" s="68" t="str">
        <x:v>内部结构化规则：识别层与效应层分离；https://zh.wikisource.org/wiki/淵海子平；https://zh.wikisource.org/zh-hans/三命通會_(四庫全書本)</x:v>
      </x:c>
      <x:c r="AH51" s="82" t="str">
        <x:v>采用</x:v>
      </x:c>
      <x:c r="AI51" s="82" t="str">
        <x:v>初审</x:v>
      </x:c>
      <x:c r="AJ51" s="87" t="n">
        <x:v>46255</x:v>
      </x:c>
    </x:row>
    <x:row r="52">
      <x:c r="A52" s="72" t="str">
        <x:f>IF(OR(C52="",D52=""),"",B52&amp;"-"&amp;UPPER(C52)&amp;"-"&amp;TEXT(D52,"0000")&amp;"-"&amp;E52)</x:f>
        <x:v>M04-OVER-0046-V1.0</x:v>
      </x:c>
      <x:c r="B52" s="74" t="str">
        <x:v>M04</x:v>
      </x:c>
      <x:c r="C52" s="74" t="str">
        <x:v>OVER</x:v>
      </x:c>
      <x:c r="D52" s="79" t="n">
        <x:v>46</x:v>
      </x:c>
      <x:c r="E52" s="74" t="str">
        <x:v>V1.0</x:v>
      </x:c>
      <x:c r="F52" s="68" t="str">
        <x:v>天干合与克同时关系独立列出</x:v>
      </x:c>
      <x:c r="G52" s="82" t="str">
        <x:v>识别层</x:v>
      </x:c>
      <x:c r="H52" s="82" t="str">
        <x:v>其他</x:v>
      </x:c>
      <x:c r="I52" s="68" t="str">
        <x:v>任意三个及以上天干</x:v>
      </x:c>
      <x:c r="J52" s="82" t="str">
        <x:v>其他</x:v>
      </x:c>
      <x:c r="K52" s="82" t="str">
        <x:v>完整</x:v>
      </x:c>
      <x:c r="L52" s="68" t="str">
        <x:v>关系存在不以月令为必要条件；月令只供后续判断实际效应或合化。</x:v>
      </x:c>
      <x:c r="M52" s="68" t="str">
        <x:v>参与干须在四柱天干明现；根气与透干强弱不作为关系存在的必要条件。</x:v>
      </x:c>
      <x:c r="N52" s="82"/>
      <x:c r="O52" s="68" t="str">
        <x:v>检查是否另有五合、相克、重复干或多重关系。</x:v>
      </x:c>
      <x:c r="P52" s="68" t="str">
        <x:v>四柱天干已按年、月、日、时标准化并保留柱位。</x:v>
      </x:c>
      <x:c r="Q52" s="68" t="str">
        <x:v>同一天干同时参与至少一条五合关系和一条相克关系，或多个天干间并存合克。</x:v>
      </x:c>
      <x:c r="R52" s="68" t="str">
        <x:v>各参与干柱位明确，关系图可逐边标注。</x:v>
      </x:c>
      <x:c r="S52" s="68" t="str">
        <x:v>重复干较多时需防止把不同柱位误合并。</x:v>
      </x:c>
      <x:c r="T52" s="90" t="str">
        <x:v>只存在单一关系，或基础配对不成立。</x:v>
      </x:c>
      <x:c r="U52" s="68" t="str">
        <x:v>哪个关系优先、是否因合忘克或贪合忘生属于效应层与组合层问题。</x:v>
      </x:c>
      <x:c r="V52" s="68" t="str">
        <x:v>所有五合与相克关系均独立登记，并保存共享参与干。</x:v>
      </x:c>
      <x:c r="W52" s="68" t="str">
        <x:v>不得在识别层先删除其中一条关系，也不得先判“合优先于克”或“克优先于合”。</x:v>
      </x:c>
      <x:c r="X52" s="82" t="str">
        <x:v>P0_硬约束</x:v>
      </x:c>
      <x:c r="Y52" s="82" t="str">
        <x:v>硬约束</x:v>
      </x:c>
      <x:c r="Z52" s="84" t="str">
        <x:v>合克并存</x:v>
      </x:c>
      <x:c r="AA52" s="84" t="str">
        <x:v>原局天干合克并见；已分别建立关系实例，优先级与实际作用转M06、M11判断。</x:v>
      </x:c>
      <x:c r="AB52" s="82" t="str">
        <x:v>确定</x:v>
      </x:c>
      <x:c r="AC52" s="82" t="str">
        <x:v>跨流派共识</x:v>
      </x:c>
      <x:c r="AD52" s="68" t="str">
        <x:v>关系图可同时包含多条边；识别层负责完整保留，不负责裁决。</x:v>
      </x:c>
      <x:c r="AE52" s="68" t="str">
        <x:v>甲己合同时庚克甲，应同时登记甲己合与庚克甲。</x:v>
      </x:c>
      <x:c r="AF52" s="90" t="str">
        <x:v>因见甲己合就不再记录庚克甲，会丢失客观关系。</x:v>
      </x:c>
      <x:c r="AG52" s="68" t="str">
        <x:v>内部结构化规则：识别层与效应层分离；https://zh.wikisource.org/wiki/淵海子平；https://zh.wikisource.org/zh-hans/三命通會_(四庫全書本)</x:v>
      </x:c>
      <x:c r="AH52" s="82" t="str">
        <x:v>采用</x:v>
      </x:c>
      <x:c r="AI52" s="82" t="str">
        <x:v>初审</x:v>
      </x:c>
      <x:c r="AJ52" s="87" t="n">
        <x:v>46255</x:v>
      </x:c>
    </x:row>
    <x:row r="53">
      <x:c r="A53" s="72" t="str">
        <x:f>IF(OR(C53="",D53=""),"",B53&amp;"-"&amp;UPPER(C53)&amp;"-"&amp;TEXT(D53,"0000")&amp;"-"&amp;E53)</x:f>
        <x:v>M04-BOUND-0047-V1.0</x:v>
      </x:c>
      <x:c r="B53" s="74" t="str">
        <x:v>M04</x:v>
      </x:c>
      <x:c r="C53" s="74" t="str">
        <x:v>BOUND</x:v>
      </x:c>
      <x:c r="D53" s="79" t="n">
        <x:v>47</x:v>
      </x:c>
      <x:c r="E53" s="74" t="str">
        <x:v>V1.0</x:v>
      </x:c>
      <x:c r="F53" s="68" t="str">
        <x:v>藏干不得替代明干建立天干关系</x:v>
      </x:c>
      <x:c r="G53" s="82" t="str">
        <x:v>识别层</x:v>
      </x:c>
      <x:c r="H53" s="82" t="str">
        <x:v>其他</x:v>
      </x:c>
      <x:c r="I53" s="68" t="str">
        <x:v>天干与地支藏干</x:v>
      </x:c>
      <x:c r="J53" s="82" t="str">
        <x:v>其他</x:v>
      </x:c>
      <x:c r="K53" s="82" t="str">
        <x:v>缺失</x:v>
      </x:c>
      <x:c r="L53" s="68" t="str">
        <x:v>不适用。</x:v>
      </x:c>
      <x:c r="M53" s="68" t="str">
        <x:v>藏干是否透出必须明确区分；未透即不属于四柱天干明现。</x:v>
      </x:c>
      <x:c r="N53" s="82"/>
      <x:c r="O53" s="68" t="str">
        <x:v>藏干可在M02、M03、M10中记录存在与根气，但不在本条建立天干合克。</x:v>
      </x:c>
      <x:c r="P53" s="68" t="str">
        <x:v>四柱天干已按年、月、日、时标准化并保留柱位。</x:v>
      </x:c>
      <x:c r="Q53" s="68" t="str">
        <x:v>拟参与关系的一方或双方只存在于地支藏干，未在四柱天干出现。</x:v>
      </x:c>
      <x:c r="R53" s="68"/>
      <x:c r="S53" s="68"/>
      <x:c r="T53" s="90" t="str">
        <x:v>若藏干已经透出为某柱天干，则按实际明干重新识别。</x:v>
      </x:c>
      <x:c r="U53" s="68" t="str">
        <x:v>岁运透出属于D0动态调用，不改写原局明干事实。</x:v>
      </x:c>
      <x:c r="V53" s="68" t="str">
        <x:v>不登记该项天干五合或天干相克实例。</x:v>
      </x:c>
      <x:c r="W53" s="68" t="str">
        <x:v>不得把“藏有某干”写成“天干见某干”，也不得据此判天干合化。</x:v>
      </x:c>
      <x:c r="X53" s="82" t="str">
        <x:v>P0_硬约束</x:v>
      </x:c>
      <x:c r="Y53" s="82" t="str">
        <x:v>否决规则</x:v>
      </x:c>
      <x:c r="Z53" s="84" t="str">
        <x:v>藏干非明干</x:v>
      </x:c>
      <x:c r="AA53" s="84" t="str">
        <x:v>拟参与关系的干只藏于地支、未透天干，因此不构成原局天干合克实例。</x:v>
      </x:c>
      <x:c r="AB53" s="82" t="str">
        <x:v>确定</x:v>
      </x:c>
      <x:c r="AC53" s="82" t="str">
        <x:v>跨流派共识</x:v>
      </x:c>
      <x:c r="AD53" s="68" t="str">
        <x:v>天干关系的参与对象是四柱明干；藏干存在性和透出性必须分层。</x:v>
      </x:c>
      <x:c r="AE53" s="68" t="str">
        <x:v>地支寅藏甲而天干不见甲，不能与天干己直接登记甲己天干合。</x:v>
      </x:c>
      <x:c r="AF53" s="90" t="str">
        <x:v>月干明确为甲且时干为己，应按明干登记甲己合。</x:v>
      </x:c>
      <x:c r="AG53" s="68" t="str">
        <x:v>内部结构化规则：识别层与效应层分离；https://zh.wikisource.org/wiki/淵海子平；https://zh.wikisource.org/zh-hans/三命通會_(四庫全書本)</x:v>
      </x:c>
      <x:c r="AH53" s="82" t="str">
        <x:v>采用</x:v>
      </x:c>
      <x:c r="AI53" s="82" t="str">
        <x:v>初审</x:v>
      </x:c>
      <x:c r="AJ53" s="87" t="n">
        <x:v>46255</x:v>
      </x:c>
    </x:row>
    <x:row r="54">
      <x:c r="A54" s="72" t="str">
        <x:f>IF(OR(C54="",D54=""),"",B54&amp;"-"&amp;UPPER(C54)&amp;"-"&amp;TEXT(D54,"0000")&amp;"-"&amp;E54)</x:f>
        <x:v>M04-BOUND-0048-V1.0</x:v>
      </x:c>
      <x:c r="B54" s="74" t="str">
        <x:v>M04</x:v>
      </x:c>
      <x:c r="C54" s="74" t="str">
        <x:v>BOUND</x:v>
      </x:c>
      <x:c r="D54" s="79" t="n">
        <x:v>48</x:v>
      </x:c>
      <x:c r="E54" s="74" t="str">
        <x:v>V1.0</x:v>
      </x:c>
      <x:c r="F54" s="68" t="str">
        <x:v>相生或同类关系不得误标为五合相克</x:v>
      </x:c>
      <x:c r="G54" s="82" t="str">
        <x:v>识别层</x:v>
      </x:c>
      <x:c r="H54" s="82" t="str">
        <x:v>其他</x:v>
      </x:c>
      <x:c r="I54" s="68" t="str">
        <x:v>任意两天干</x:v>
      </x:c>
      <x:c r="J54" s="82" t="str">
        <x:v>其他</x:v>
      </x:c>
      <x:c r="K54" s="82" t="str">
        <x:v>缺失</x:v>
      </x:c>
      <x:c r="L54" s="68" t="str">
        <x:v>不适用。</x:v>
      </x:c>
      <x:c r="M54" s="68" t="str">
        <x:v>不适用。</x:v>
      </x:c>
      <x:c r="N54" s="82"/>
      <x:c r="O54" s="68" t="str">
        <x:v>相生、同类帮扶可由M07、M10另行记录。</x:v>
      </x:c>
      <x:c r="P54" s="68" t="str">
        <x:v>四柱天干已按年、月、日、时标准化并保留柱位。</x:v>
      </x:c>
      <x:c r="Q54" s="68" t="str">
        <x:v>两干之间仅构成五行相生、同类或无直接五合相克配对。</x:v>
      </x:c>
      <x:c r="R54" s="68"/>
      <x:c r="S54" s="68"/>
      <x:c r="T54" s="90" t="str">
        <x:v>若两干同时满足固定五合或相克配对，则应按对应规则登记。</x:v>
      </x:c>
      <x:c r="U54" s="68" t="str">
        <x:v>本条只是M04的分类边界，不否认相生和同类关系在旺衰中的作用。</x:v>
      </x:c>
      <x:c r="V54" s="68" t="str">
        <x:v>不生成M04天干五合或天干相克条目。</x:v>
      </x:c>
      <x:c r="W54" s="68" t="str">
        <x:v>不得因为两干关系密切就泛称相合，也不得把生扶误写成克制。</x:v>
      </x:c>
      <x:c r="X54" s="82" t="str">
        <x:v>P0_硬约束</x:v>
      </x:c>
      <x:c r="Y54" s="82" t="str">
        <x:v>否决规则</x:v>
      </x:c>
      <x:c r="Z54" s="84" t="str">
        <x:v>关系分类边界</x:v>
      </x:c>
      <x:c r="AA54" s="84" t="str">
        <x:v>该两干不属于天干五合或相克配对；其相生或同类作用转旺衰、十神模块处理。</x:v>
      </x:c>
      <x:c r="AB54" s="82" t="str">
        <x:v>确定</x:v>
      </x:c>
      <x:c r="AC54" s="82" t="str">
        <x:v>跨流派共识</x:v>
      </x:c>
      <x:c r="AD54" s="68" t="str">
        <x:v>五合与相克均有固定配对或方向，不能用泛化“有关系”替代精确分类。</x:v>
      </x:c>
      <x:c r="AE54" s="68" t="str">
        <x:v>甲与丙为木生火，不登记天干五合或相克。</x:v>
      </x:c>
      <x:c r="AF54" s="90" t="str">
        <x:v>庚与甲为金克木，应登记庚克甲，不能仅写“有关系”。</x:v>
      </x:c>
      <x:c r="AG54" s="68" t="str">
        <x:v>内部结构化规则：识别层与效应层分离；https://zh.wikisource.org/wiki/淵海子平；https://zh.wikisource.org/zh-hans/三命通會_(四庫全書本)</x:v>
      </x:c>
      <x:c r="AH54" s="82" t="str">
        <x:v>采用</x:v>
      </x:c>
      <x:c r="AI54" s="82" t="str">
        <x:v>初审</x:v>
      </x:c>
      <x:c r="AJ54" s="87" t="n">
        <x:v>46255</x:v>
      </x:c>
    </x:row>
    <x:row r="55">
      <x:c r="A55" s="72" t="str">
        <x:f>IF(OR(C55="",D55=""),"",B55&amp;"-"&amp;UPPER(C55)&amp;"-"&amp;TEXT(D55,"0000")&amp;"-"&amp;E55)</x:f>
        <x:v>M04-BOUND-0049-V1.0</x:v>
      </x:c>
      <x:c r="B55" s="74" t="str">
        <x:v>M04</x:v>
      </x:c>
      <x:c r="C55" s="74" t="str">
        <x:v>BOUND</x:v>
      </x:c>
      <x:c r="D55" s="79" t="n">
        <x:v>49</x:v>
      </x:c>
      <x:c r="E55" s="74" t="str">
        <x:v>V1.0</x:v>
      </x:c>
      <x:c r="F55" s="68" t="str">
        <x:v>同类天干重复时按柱位保留独立节点</x:v>
      </x:c>
      <x:c r="G55" s="82" t="str">
        <x:v>识别层</x:v>
      </x:c>
      <x:c r="H55" s="82" t="str">
        <x:v>其他</x:v>
      </x:c>
      <x:c r="I55" s="68" t="str">
        <x:v>任一重复天干</x:v>
      </x:c>
      <x:c r="J55" s="82" t="str">
        <x:v>其他</x:v>
      </x:c>
      <x:c r="K55" s="82" t="str">
        <x:v>完整</x:v>
      </x:c>
      <x:c r="L55" s="68" t="str">
        <x:v>不适用。</x:v>
      </x:c>
      <x:c r="M55" s="68" t="str">
        <x:v>同名天干可能根气不同，必须保留各自柱位。</x:v>
      </x:c>
      <x:c r="N55" s="82"/>
      <x:c r="O55" s="68" t="str">
        <x:v>对每个独立节点分别生成与其他天干的五合、相克关系。</x:v>
      </x:c>
      <x:c r="P55" s="68" t="str">
        <x:v>四柱天干已按年、月、日、时标准化并保留柱位。</x:v>
      </x:c>
      <x:c r="Q55" s="68" t="str">
        <x:v>同一天干在年、月、日、时中出现两次或以上。</x:v>
      </x:c>
      <x:c r="R55" s="68" t="str">
        <x:v>柱位清楚且各节点关系可唯一配对。</x:v>
      </x:c>
      <x:c r="S55" s="68" t="str">
        <x:v>不得因名称相同而合并为一个抽象节点。</x:v>
      </x:c>
      <x:c r="T55" s="90" t="str">
        <x:v>该天干只出现一次。</x:v>
      </x:c>
      <x:c r="U55" s="68" t="str">
        <x:v>汇总统计时可以计数，但底层关系图仍保留逐柱节点。</x:v>
      </x:c>
      <x:c r="V55" s="68" t="str">
        <x:v>重复天干按不同柱位分别编号，不合并。</x:v>
      </x:c>
      <x:c r="W55" s="68" t="str">
        <x:v>不得把一个天干节点的合克作用复制给全部同名天干，也不得丢失位置差异。</x:v>
      </x:c>
      <x:c r="X55" s="82" t="str">
        <x:v>P0_硬约束</x:v>
      </x:c>
      <x:c r="Y55" s="82" t="str">
        <x:v>硬约束</x:v>
      </x:c>
      <x:c r="Z55" s="84" t="str">
        <x:v>重复干节点</x:v>
      </x:c>
      <x:c r="AA55" s="84" t="str">
        <x:v>原局存在同名天干重复；已按柱位拆分独立节点，再分别建立关系。</x:v>
      </x:c>
      <x:c r="AB55" s="82" t="str">
        <x:v>确定</x:v>
      </x:c>
      <x:c r="AC55" s="82" t="str">
        <x:v>现代综合</x:v>
      </x:c>
      <x:c r="AD55" s="68" t="str">
        <x:v>结构化关系判断必须区分年甲、月甲、日甲、时甲，避免错误共享关系。</x:v>
      </x:c>
      <x:c r="AE55" s="68" t="str">
        <x:v>年甲与时甲分别作为两个节点，与月己形成两条甲己合实例。</x:v>
      </x:c>
      <x:c r="AF55" s="90" t="str">
        <x:v>把年甲和时甲合并为一个“甲”，会遗漏争合和位置差异。</x:v>
      </x:c>
      <x:c r="AG55" s="68" t="str">
        <x:v>内部结构化规则：识别层与效应层分离；https://zh.wikisource.org/wiki/淵海子平；https://zh.wikisource.org/zh-hans/三命通會_(四庫全書本)</x:v>
      </x:c>
      <x:c r="AH55" s="82" t="str">
        <x:v>采用</x:v>
      </x:c>
      <x:c r="AI55" s="82" t="str">
        <x:v>初审</x:v>
      </x:c>
      <x:c r="AJ55" s="87" t="n">
        <x:v>46255</x:v>
      </x:c>
    </x:row>
    <x:row r="56">
      <x:c r="A56" s="72" t="str">
        <x:f>IF(OR(C56="",D56=""),"",B56&amp;"-"&amp;UPPER(C56)&amp;"-"&amp;TEXT(D56,"0000")&amp;"-"&amp;E56)</x:f>
        <x:v>M04-BOUND-0050-V1.0</x:v>
      </x:c>
      <x:c r="B56" s="74" t="str">
        <x:v>M04</x:v>
      </x:c>
      <x:c r="C56" s="74" t="str">
        <x:v>BOUND</x:v>
      </x:c>
      <x:c r="D56" s="79" t="n">
        <x:v>50</x:v>
      </x:c>
      <x:c r="E56" s="74" t="str">
        <x:v>V1.0</x:v>
      </x:c>
      <x:c r="F56" s="68" t="str">
        <x:v>天干识别层不得替代实际效应判断</x:v>
      </x:c>
      <x:c r="G56" s="82" t="str">
        <x:v>识别层</x:v>
      </x:c>
      <x:c r="H56" s="82" t="str">
        <x:v>其他</x:v>
      </x:c>
      <x:c r="I56" s="68" t="str">
        <x:v>全部天干关系</x:v>
      </x:c>
      <x:c r="J56" s="82" t="str">
        <x:v>其他</x:v>
      </x:c>
      <x:c r="K56" s="82" t="str">
        <x:v>待定</x:v>
      </x:c>
      <x:c r="L56" s="68" t="str">
        <x:v>月令、根气、旺衰用于效应层，不改变已识别的基础配对事实。</x:v>
      </x:c>
      <x:c r="M56" s="68" t="str">
        <x:v>根气与透干强弱只作为后续效应条件。</x:v>
      </x:c>
      <x:c r="N56" s="82"/>
      <x:c r="O56" s="68" t="str">
        <x:v>所有合、克、争合、隔合、遥合关系完整传递至M06。</x:v>
      </x:c>
      <x:c r="P56" s="68" t="str">
        <x:v>四柱天干已按年、月、日、时标准化并保留柱位。</x:v>
      </x:c>
      <x:c r="Q56" s="68" t="str">
        <x:v>M04已经识别出至少一条天干关系。</x:v>
      </x:c>
      <x:c r="R56" s="68"/>
      <x:c r="S56" s="68"/>
      <x:c r="T56" s="90" t="str">
        <x:v>无关系实例时不生成效应任务。</x:v>
      </x:c>
      <x:c r="U56" s="68" t="str">
        <x:v>否决条件只可否决错误配对，不能用效应未成立反向删除客观配对。</x:v>
      </x:c>
      <x:c r="V56" s="68" t="str">
        <x:v>输出关系清单、柱位、完整度与候选；效应状态统一标记为待M06。</x:v>
      </x:c>
      <x:c r="W56" s="68" t="str">
        <x:v>不得在M04直接输出合化成立、合绊、合住、贪合忘生、某干减力或喜忌用神。</x:v>
      </x:c>
      <x:c r="X56" s="82" t="str">
        <x:v>P0_硬约束</x:v>
      </x:c>
      <x:c r="Y56" s="82" t="str">
        <x:v>硬约束</x:v>
      </x:c>
      <x:c r="Z56" s="84" t="str">
        <x:v>识别效应分层</x:v>
      </x:c>
      <x:c r="AA56" s="84" t="str">
        <x:v>天干关系已经客观识别；所有力量变化、制化优先级和合化成败转M06及后续模块判断。</x:v>
      </x:c>
      <x:c r="AB56" s="82" t="str">
        <x:v>确定</x:v>
      </x:c>
      <x:c r="AC56" s="82" t="str">
        <x:v>现代综合</x:v>
      </x:c>
      <x:c r="AD56" s="68" t="str">
        <x:v>识别层与效应层分离是本知识库的核心治理原则。</x:v>
      </x:c>
      <x:c r="AE56" s="68" t="str">
        <x:v>见甲己只输出甲己合候选，不直接写甲木被合弱或已化土。</x:v>
      </x:c>
      <x:c r="AF56" s="90" t="str">
        <x:v>一识别甲己合就删除甲木力量，属于越层推断。</x:v>
      </x:c>
      <x:c r="AG56" s="68" t="str">
        <x:v>内部结构化规则：识别层与效应层分离；https://zh.wikisource.org/wiki/淵海子平；https://zh.wikisource.org/zh-hans/三命通會_(四庫全書本)</x:v>
      </x:c>
      <x:c r="AH56" s="82" t="str">
        <x:v>采用</x:v>
      </x:c>
      <x:c r="AI56" s="82" t="str">
        <x:v>初审</x:v>
      </x:c>
      <x:c r="AJ56" s="87" t="n">
        <x:v>46255</x:v>
      </x:c>
    </x:row>
    <x:row r="57">
      <x:c r="A57" s="72" t="str">
        <x:f>IF(OR(C57="",D57=""),"",B57&amp;"-"&amp;UPPER(C57)&amp;"-"&amp;TEXT(D57,"0000")&amp;"-"&amp;E57)</x:f>
      </x:c>
      <x:c r="B57" s="74" t="str">
        <x:v>M04</x:v>
      </x:c>
      <x:c r="C57" s="74"/>
      <x:c r="D57" s="79"/>
      <x:c r="E57" s="74" t="str">
        <x:v>V1.0</x:v>
      </x:c>
      <x:c r="F57" s="68"/>
      <x:c r="G57" s="82"/>
      <x:c r="H57" s="82"/>
      <x:c r="I57" s="68"/>
      <x:c r="J57" s="82"/>
      <x:c r="K57" s="82"/>
      <x:c r="L57" s="68"/>
      <x:c r="M57" s="68"/>
      <x:c r="N57" s="82"/>
      <x:c r="O57" s="68"/>
      <x:c r="P57" s="68"/>
      <x:c r="Q57" s="68"/>
      <x:c r="R57" s="68"/>
      <x:c r="S57" s="68"/>
      <x:c r="T57" s="90"/>
      <x:c r="U57" s="68"/>
      <x:c r="V57" s="68"/>
      <x:c r="W57" s="68"/>
      <x:c r="X57" s="82"/>
      <x:c r="Y57" s="82"/>
      <x:c r="Z57" s="84"/>
      <x:c r="AA57" s="84"/>
      <x:c r="AB57" s="82"/>
      <x:c r="AC57" s="82"/>
      <x:c r="AD57" s="68"/>
      <x:c r="AE57" s="68"/>
      <x:c r="AF57" s="90"/>
      <x:c r="AG57" s="68"/>
      <x:c r="AH57" s="82"/>
      <x:c r="AI57" s="82"/>
      <x:c r="AJ57" s="87"/>
    </x:row>
    <x:row r="58">
      <x:c r="A58" s="72" t="str">
        <x:f>IF(OR(C58="",D58=""),"",B58&amp;"-"&amp;UPPER(C58)&amp;"-"&amp;TEXT(D58,"0000")&amp;"-"&amp;E58)</x:f>
      </x:c>
      <x:c r="B58" s="74" t="str">
        <x:v>M04</x:v>
      </x:c>
      <x:c r="C58" s="74"/>
      <x:c r="D58" s="79"/>
      <x:c r="E58" s="74" t="str">
        <x:v>V1.0</x:v>
      </x:c>
      <x:c r="F58" s="68"/>
      <x:c r="G58" s="82"/>
      <x:c r="H58" s="82"/>
      <x:c r="I58" s="68"/>
      <x:c r="J58" s="82"/>
      <x:c r="K58" s="82"/>
      <x:c r="L58" s="68"/>
      <x:c r="M58" s="68"/>
      <x:c r="N58" s="82"/>
      <x:c r="O58" s="68"/>
      <x:c r="P58" s="68"/>
      <x:c r="Q58" s="68"/>
      <x:c r="R58" s="68"/>
      <x:c r="S58" s="68"/>
      <x:c r="T58" s="90"/>
      <x:c r="U58" s="68"/>
      <x:c r="V58" s="68"/>
      <x:c r="W58" s="68"/>
      <x:c r="X58" s="82"/>
      <x:c r="Y58" s="82"/>
      <x:c r="Z58" s="84"/>
      <x:c r="AA58" s="84"/>
      <x:c r="AB58" s="82"/>
      <x:c r="AC58" s="82"/>
      <x:c r="AD58" s="68"/>
      <x:c r="AE58" s="68"/>
      <x:c r="AF58" s="90"/>
      <x:c r="AG58" s="68"/>
      <x:c r="AH58" s="82"/>
      <x:c r="AI58" s="82"/>
      <x:c r="AJ58" s="87"/>
    </x:row>
    <x:row r="59">
      <x:c r="A59" s="72" t="str">
        <x:f>IF(OR(C59="",D59=""),"",B59&amp;"-"&amp;UPPER(C59)&amp;"-"&amp;TEXT(D59,"0000")&amp;"-"&amp;E59)</x:f>
      </x:c>
      <x:c r="B59" s="74" t="str">
        <x:v>M04</x:v>
      </x:c>
      <x:c r="C59" s="74"/>
      <x:c r="D59" s="79"/>
      <x:c r="E59" s="74" t="str">
        <x:v>V1.0</x:v>
      </x:c>
      <x:c r="F59" s="68"/>
      <x:c r="G59" s="82"/>
      <x:c r="H59" s="82"/>
      <x:c r="I59" s="68"/>
      <x:c r="J59" s="82"/>
      <x:c r="K59" s="82"/>
      <x:c r="L59" s="68"/>
      <x:c r="M59" s="68"/>
      <x:c r="N59" s="82"/>
      <x:c r="O59" s="68"/>
      <x:c r="P59" s="68"/>
      <x:c r="Q59" s="68"/>
      <x:c r="R59" s="68"/>
      <x:c r="S59" s="68"/>
      <x:c r="T59" s="90"/>
      <x:c r="U59" s="68"/>
      <x:c r="V59" s="68"/>
      <x:c r="W59" s="68"/>
      <x:c r="X59" s="82"/>
      <x:c r="Y59" s="82"/>
      <x:c r="Z59" s="84"/>
      <x:c r="AA59" s="84"/>
      <x:c r="AB59" s="82"/>
      <x:c r="AC59" s="82"/>
      <x:c r="AD59" s="68"/>
      <x:c r="AE59" s="68"/>
      <x:c r="AF59" s="90"/>
      <x:c r="AG59" s="68"/>
      <x:c r="AH59" s="82"/>
      <x:c r="AI59" s="82"/>
      <x:c r="AJ59" s="87"/>
    </x:row>
    <x:row r="60">
      <x:c r="A60" s="72" t="str">
        <x:f>IF(OR(C60="",D60=""),"",B60&amp;"-"&amp;UPPER(C60)&amp;"-"&amp;TEXT(D60,"0000")&amp;"-"&amp;E60)</x:f>
      </x:c>
      <x:c r="B60" s="74" t="str">
        <x:v>M04</x:v>
      </x:c>
      <x:c r="C60" s="74"/>
      <x:c r="D60" s="79"/>
      <x:c r="E60" s="74" t="str">
        <x:v>V1.0</x:v>
      </x:c>
      <x:c r="F60" s="68"/>
      <x:c r="G60" s="82"/>
      <x:c r="H60" s="82"/>
      <x:c r="I60" s="68"/>
      <x:c r="J60" s="82"/>
      <x:c r="K60" s="82"/>
      <x:c r="L60" s="68"/>
      <x:c r="M60" s="68"/>
      <x:c r="N60" s="82"/>
      <x:c r="O60" s="68"/>
      <x:c r="P60" s="68"/>
      <x:c r="Q60" s="68"/>
      <x:c r="R60" s="68"/>
      <x:c r="S60" s="68"/>
      <x:c r="T60" s="90"/>
      <x:c r="U60" s="68"/>
      <x:c r="V60" s="68"/>
      <x:c r="W60" s="68"/>
      <x:c r="X60" s="82"/>
      <x:c r="Y60" s="82"/>
      <x:c r="Z60" s="84"/>
      <x:c r="AA60" s="84"/>
      <x:c r="AB60" s="82"/>
      <x:c r="AC60" s="82"/>
      <x:c r="AD60" s="68"/>
      <x:c r="AE60" s="68"/>
      <x:c r="AF60" s="90"/>
      <x:c r="AG60" s="68"/>
      <x:c r="AH60" s="82"/>
      <x:c r="AI60" s="82"/>
      <x:c r="AJ60" s="87"/>
    </x:row>
    <x:row r="61">
      <x:c r="A61" s="72" t="str">
        <x:f>IF(OR(C61="",D61=""),"",B61&amp;"-"&amp;UPPER(C61)&amp;"-"&amp;TEXT(D61,"0000")&amp;"-"&amp;E61)</x:f>
      </x:c>
      <x:c r="B61" s="74" t="str">
        <x:v>M04</x:v>
      </x:c>
      <x:c r="C61" s="74"/>
      <x:c r="D61" s="79"/>
      <x:c r="E61" s="74" t="str">
        <x:v>V1.0</x:v>
      </x:c>
      <x:c r="F61" s="68"/>
      <x:c r="G61" s="82"/>
      <x:c r="H61" s="82"/>
      <x:c r="I61" s="68"/>
      <x:c r="J61" s="82"/>
      <x:c r="K61" s="82"/>
      <x:c r="L61" s="68"/>
      <x:c r="M61" s="68"/>
      <x:c r="N61" s="82"/>
      <x:c r="O61" s="68"/>
      <x:c r="P61" s="68"/>
      <x:c r="Q61" s="68"/>
      <x:c r="R61" s="68"/>
      <x:c r="S61" s="68"/>
      <x:c r="T61" s="90"/>
      <x:c r="U61" s="68"/>
      <x:c r="V61" s="68"/>
      <x:c r="W61" s="68"/>
      <x:c r="X61" s="82"/>
      <x:c r="Y61" s="82"/>
      <x:c r="Z61" s="84"/>
      <x:c r="AA61" s="84"/>
      <x:c r="AB61" s="82"/>
      <x:c r="AC61" s="82"/>
      <x:c r="AD61" s="68"/>
      <x:c r="AE61" s="68"/>
      <x:c r="AF61" s="90"/>
      <x:c r="AG61" s="68"/>
      <x:c r="AH61" s="82"/>
      <x:c r="AI61" s="82"/>
      <x:c r="AJ61" s="87"/>
    </x:row>
    <x:row r="62">
      <x:c r="A62" s="72" t="str">
        <x:f>IF(OR(C62="",D62=""),"",B62&amp;"-"&amp;UPPER(C62)&amp;"-"&amp;TEXT(D62,"0000")&amp;"-"&amp;E62)</x:f>
      </x:c>
      <x:c r="B62" s="74" t="str">
        <x:v>M04</x:v>
      </x:c>
      <x:c r="C62" s="74"/>
      <x:c r="D62" s="79"/>
      <x:c r="E62" s="74" t="str">
        <x:v>V1.0</x:v>
      </x:c>
      <x:c r="F62" s="68"/>
      <x:c r="G62" s="82"/>
      <x:c r="H62" s="82"/>
      <x:c r="I62" s="68"/>
      <x:c r="J62" s="82"/>
      <x:c r="K62" s="82"/>
      <x:c r="L62" s="68"/>
      <x:c r="M62" s="68"/>
      <x:c r="N62" s="82"/>
      <x:c r="O62" s="68"/>
      <x:c r="P62" s="68"/>
      <x:c r="Q62" s="68"/>
      <x:c r="R62" s="68"/>
      <x:c r="S62" s="68"/>
      <x:c r="T62" s="90"/>
      <x:c r="U62" s="68"/>
      <x:c r="V62" s="68"/>
      <x:c r="W62" s="68"/>
      <x:c r="X62" s="82"/>
      <x:c r="Y62" s="82"/>
      <x:c r="Z62" s="84"/>
      <x:c r="AA62" s="84"/>
      <x:c r="AB62" s="82"/>
      <x:c r="AC62" s="82"/>
      <x:c r="AD62" s="68"/>
      <x:c r="AE62" s="68"/>
      <x:c r="AF62" s="90"/>
      <x:c r="AG62" s="68"/>
      <x:c r="AH62" s="82"/>
      <x:c r="AI62" s="82"/>
      <x:c r="AJ62" s="87"/>
    </x:row>
    <x:row r="63">
      <x:c r="A63" s="72" t="str">
        <x:f>IF(OR(C63="",D63=""),"",B63&amp;"-"&amp;UPPER(C63)&amp;"-"&amp;TEXT(D63,"0000")&amp;"-"&amp;E63)</x:f>
      </x:c>
      <x:c r="B63" s="74" t="str">
        <x:v>M04</x:v>
      </x:c>
      <x:c r="C63" s="74"/>
      <x:c r="D63" s="79"/>
      <x:c r="E63" s="74" t="str">
        <x:v>V1.0</x:v>
      </x:c>
      <x:c r="F63" s="68"/>
      <x:c r="G63" s="82"/>
      <x:c r="H63" s="82"/>
      <x:c r="I63" s="68"/>
      <x:c r="J63" s="82"/>
      <x:c r="K63" s="82"/>
      <x:c r="L63" s="68"/>
      <x:c r="M63" s="68"/>
      <x:c r="N63" s="82"/>
      <x:c r="O63" s="68"/>
      <x:c r="P63" s="68"/>
      <x:c r="Q63" s="68"/>
      <x:c r="R63" s="68"/>
      <x:c r="S63" s="68"/>
      <x:c r="T63" s="90"/>
      <x:c r="U63" s="68"/>
      <x:c r="V63" s="68"/>
      <x:c r="W63" s="68"/>
      <x:c r="X63" s="82"/>
      <x:c r="Y63" s="82"/>
      <x:c r="Z63" s="84"/>
      <x:c r="AA63" s="84"/>
      <x:c r="AB63" s="82"/>
      <x:c r="AC63" s="82"/>
      <x:c r="AD63" s="68"/>
      <x:c r="AE63" s="68"/>
      <x:c r="AF63" s="90"/>
      <x:c r="AG63" s="68"/>
      <x:c r="AH63" s="82"/>
      <x:c r="AI63" s="82"/>
      <x:c r="AJ63" s="87"/>
    </x:row>
    <x:row r="64">
      <x:c r="A64" s="72" t="str">
        <x:f>IF(OR(C64="",D64=""),"",B64&amp;"-"&amp;UPPER(C64)&amp;"-"&amp;TEXT(D64,"0000")&amp;"-"&amp;E64)</x:f>
      </x:c>
      <x:c r="B64" s="74" t="str">
        <x:v>M04</x:v>
      </x:c>
      <x:c r="C64" s="74"/>
      <x:c r="D64" s="79"/>
      <x:c r="E64" s="74" t="str">
        <x:v>V1.0</x:v>
      </x:c>
      <x:c r="F64" s="68"/>
      <x:c r="G64" s="82"/>
      <x:c r="H64" s="82"/>
      <x:c r="I64" s="68"/>
      <x:c r="J64" s="82"/>
      <x:c r="K64" s="82"/>
      <x:c r="L64" s="68"/>
      <x:c r="M64" s="68"/>
      <x:c r="N64" s="82"/>
      <x:c r="O64" s="68"/>
      <x:c r="P64" s="68"/>
      <x:c r="Q64" s="68"/>
      <x:c r="R64" s="68"/>
      <x:c r="S64" s="68"/>
      <x:c r="T64" s="90"/>
      <x:c r="U64" s="68"/>
      <x:c r="V64" s="68"/>
      <x:c r="W64" s="68"/>
      <x:c r="X64" s="82"/>
      <x:c r="Y64" s="82"/>
      <x:c r="Z64" s="84"/>
      <x:c r="AA64" s="84"/>
      <x:c r="AB64" s="82"/>
      <x:c r="AC64" s="82"/>
      <x:c r="AD64" s="68"/>
      <x:c r="AE64" s="68"/>
      <x:c r="AF64" s="90"/>
      <x:c r="AG64" s="68"/>
      <x:c r="AH64" s="82"/>
      <x:c r="AI64" s="82"/>
      <x:c r="AJ64" s="87"/>
    </x:row>
    <x:row r="65">
      <x:c r="A65" s="72" t="str">
        <x:f>IF(OR(C65="",D65=""),"",B65&amp;"-"&amp;UPPER(C65)&amp;"-"&amp;TEXT(D65,"0000")&amp;"-"&amp;E65)</x:f>
      </x:c>
      <x:c r="B65" s="74" t="str">
        <x:v>M04</x:v>
      </x:c>
      <x:c r="C65" s="74"/>
      <x:c r="D65" s="79"/>
      <x:c r="E65" s="74" t="str">
        <x:v>V1.0</x:v>
      </x:c>
      <x:c r="F65" s="68"/>
      <x:c r="G65" s="82"/>
      <x:c r="H65" s="82"/>
      <x:c r="I65" s="68"/>
      <x:c r="J65" s="82"/>
      <x:c r="K65" s="82"/>
      <x:c r="L65" s="68"/>
      <x:c r="M65" s="68"/>
      <x:c r="N65" s="82"/>
      <x:c r="O65" s="68"/>
      <x:c r="P65" s="68"/>
      <x:c r="Q65" s="68"/>
      <x:c r="R65" s="68"/>
      <x:c r="S65" s="68"/>
      <x:c r="T65" s="90"/>
      <x:c r="U65" s="68"/>
      <x:c r="V65" s="68"/>
      <x:c r="W65" s="68"/>
      <x:c r="X65" s="82"/>
      <x:c r="Y65" s="82"/>
      <x:c r="Z65" s="84"/>
      <x:c r="AA65" s="84"/>
      <x:c r="AB65" s="82"/>
      <x:c r="AC65" s="82"/>
      <x:c r="AD65" s="68"/>
      <x:c r="AE65" s="68"/>
      <x:c r="AF65" s="90"/>
      <x:c r="AG65" s="68"/>
      <x:c r="AH65" s="82"/>
      <x:c r="AI65" s="82"/>
      <x:c r="AJ65" s="87"/>
    </x:row>
    <x:row r="66">
      <x:c r="A66" s="72" t="str">
        <x:f>IF(OR(C66="",D66=""),"",B66&amp;"-"&amp;UPPER(C66)&amp;"-"&amp;TEXT(D66,"0000")&amp;"-"&amp;E66)</x:f>
      </x:c>
      <x:c r="B66" s="74" t="str">
        <x:v>M04</x:v>
      </x:c>
      <x:c r="C66" s="74"/>
      <x:c r="D66" s="79"/>
      <x:c r="E66" s="74" t="str">
        <x:v>V1.0</x:v>
      </x:c>
      <x:c r="F66" s="68"/>
      <x:c r="G66" s="82"/>
      <x:c r="H66" s="82"/>
      <x:c r="I66" s="68"/>
      <x:c r="J66" s="82"/>
      <x:c r="K66" s="82"/>
      <x:c r="L66" s="68"/>
      <x:c r="M66" s="68"/>
      <x:c r="N66" s="82"/>
      <x:c r="O66" s="68"/>
      <x:c r="P66" s="68"/>
      <x:c r="Q66" s="68"/>
      <x:c r="R66" s="68"/>
      <x:c r="S66" s="68"/>
      <x:c r="T66" s="90"/>
      <x:c r="U66" s="68"/>
      <x:c r="V66" s="68"/>
      <x:c r="W66" s="68"/>
      <x:c r="X66" s="82"/>
      <x:c r="Y66" s="82"/>
      <x:c r="Z66" s="84"/>
      <x:c r="AA66" s="84"/>
      <x:c r="AB66" s="82"/>
      <x:c r="AC66" s="82"/>
      <x:c r="AD66" s="68"/>
      <x:c r="AE66" s="68"/>
      <x:c r="AF66" s="90"/>
      <x:c r="AG66" s="68"/>
      <x:c r="AH66" s="82"/>
      <x:c r="AI66" s="82"/>
      <x:c r="AJ66" s="87"/>
    </x:row>
    <x:row r="67">
      <x:c r="A67" s="72" t="str">
        <x:f>IF(OR(C67="",D67=""),"",B67&amp;"-"&amp;UPPER(C67)&amp;"-"&amp;TEXT(D67,"0000")&amp;"-"&amp;E67)</x:f>
      </x:c>
      <x:c r="B67" s="74" t="str">
        <x:v>M04</x:v>
      </x:c>
      <x:c r="C67" s="74"/>
      <x:c r="D67" s="79"/>
      <x:c r="E67" s="74" t="str">
        <x:v>V1.0</x:v>
      </x:c>
      <x:c r="F67" s="68"/>
      <x:c r="G67" s="82"/>
      <x:c r="H67" s="82"/>
      <x:c r="I67" s="68"/>
      <x:c r="J67" s="82"/>
      <x:c r="K67" s="82"/>
      <x:c r="L67" s="68"/>
      <x:c r="M67" s="68"/>
      <x:c r="N67" s="82"/>
      <x:c r="O67" s="68"/>
      <x:c r="P67" s="68"/>
      <x:c r="Q67" s="68"/>
      <x:c r="R67" s="68"/>
      <x:c r="S67" s="68"/>
      <x:c r="T67" s="90"/>
      <x:c r="U67" s="68"/>
      <x:c r="V67" s="68"/>
      <x:c r="W67" s="68"/>
      <x:c r="X67" s="82"/>
      <x:c r="Y67" s="82"/>
      <x:c r="Z67" s="84"/>
      <x:c r="AA67" s="84"/>
      <x:c r="AB67" s="82"/>
      <x:c r="AC67" s="82"/>
      <x:c r="AD67" s="68"/>
      <x:c r="AE67" s="68"/>
      <x:c r="AF67" s="90"/>
      <x:c r="AG67" s="68"/>
      <x:c r="AH67" s="82"/>
      <x:c r="AI67" s="82"/>
      <x:c r="AJ67" s="87"/>
    </x:row>
    <x:row r="68">
      <x:c r="A68" s="72" t="str">
        <x:f>IF(OR(C68="",D68=""),"",B68&amp;"-"&amp;UPPER(C68)&amp;"-"&amp;TEXT(D68,"0000")&amp;"-"&amp;E68)</x:f>
      </x:c>
      <x:c r="B68" s="74" t="str">
        <x:v>M04</x:v>
      </x:c>
      <x:c r="C68" s="74"/>
      <x:c r="D68" s="79"/>
      <x:c r="E68" s="74" t="str">
        <x:v>V1.0</x:v>
      </x:c>
      <x:c r="F68" s="68"/>
      <x:c r="G68" s="82"/>
      <x:c r="H68" s="82"/>
      <x:c r="I68" s="68"/>
      <x:c r="J68" s="82"/>
      <x:c r="K68" s="82"/>
      <x:c r="L68" s="68"/>
      <x:c r="M68" s="68"/>
      <x:c r="N68" s="82"/>
      <x:c r="O68" s="68"/>
      <x:c r="P68" s="68"/>
      <x:c r="Q68" s="68"/>
      <x:c r="R68" s="68"/>
      <x:c r="S68" s="68"/>
      <x:c r="T68" s="90"/>
      <x:c r="U68" s="68"/>
      <x:c r="V68" s="68"/>
      <x:c r="W68" s="68"/>
      <x:c r="X68" s="82"/>
      <x:c r="Y68" s="82"/>
      <x:c r="Z68" s="84"/>
      <x:c r="AA68" s="84"/>
      <x:c r="AB68" s="82"/>
      <x:c r="AC68" s="82"/>
      <x:c r="AD68" s="68"/>
      <x:c r="AE68" s="68"/>
      <x:c r="AF68" s="90"/>
      <x:c r="AG68" s="68"/>
      <x:c r="AH68" s="82"/>
      <x:c r="AI68" s="82"/>
      <x:c r="AJ68" s="87"/>
    </x:row>
    <x:row r="69">
      <x:c r="A69" s="72" t="str">
        <x:f>IF(OR(C69="",D69=""),"",B69&amp;"-"&amp;UPPER(C69)&amp;"-"&amp;TEXT(D69,"0000")&amp;"-"&amp;E69)</x:f>
      </x:c>
      <x:c r="B69" s="74" t="str">
        <x:v>M04</x:v>
      </x:c>
      <x:c r="C69" s="74"/>
      <x:c r="D69" s="79"/>
      <x:c r="E69" s="74" t="str">
        <x:v>V1.0</x:v>
      </x:c>
      <x:c r="F69" s="68"/>
      <x:c r="G69" s="82"/>
      <x:c r="H69" s="82"/>
      <x:c r="I69" s="68"/>
      <x:c r="J69" s="82"/>
      <x:c r="K69" s="82"/>
      <x:c r="L69" s="68"/>
      <x:c r="M69" s="68"/>
      <x:c r="N69" s="82"/>
      <x:c r="O69" s="68"/>
      <x:c r="P69" s="68"/>
      <x:c r="Q69" s="68"/>
      <x:c r="R69" s="68"/>
      <x:c r="S69" s="68"/>
      <x:c r="T69" s="90"/>
      <x:c r="U69" s="68"/>
      <x:c r="V69" s="68"/>
      <x:c r="W69" s="68"/>
      <x:c r="X69" s="82"/>
      <x:c r="Y69" s="82"/>
      <x:c r="Z69" s="84"/>
      <x:c r="AA69" s="84"/>
      <x:c r="AB69" s="82"/>
      <x:c r="AC69" s="82"/>
      <x:c r="AD69" s="68"/>
      <x:c r="AE69" s="68"/>
      <x:c r="AF69" s="90"/>
      <x:c r="AG69" s="68"/>
      <x:c r="AH69" s="82"/>
      <x:c r="AI69" s="82"/>
      <x:c r="AJ69" s="87"/>
    </x:row>
    <x:row r="70">
      <x:c r="A70" s="72" t="str">
        <x:f>IF(OR(C70="",D70=""),"",B70&amp;"-"&amp;UPPER(C70)&amp;"-"&amp;TEXT(D70,"0000")&amp;"-"&amp;E70)</x:f>
      </x:c>
      <x:c r="B70" s="74" t="str">
        <x:v>M04</x:v>
      </x:c>
      <x:c r="C70" s="74"/>
      <x:c r="D70" s="79"/>
      <x:c r="E70" s="74" t="str">
        <x:v>V1.0</x:v>
      </x:c>
      <x:c r="F70" s="68"/>
      <x:c r="G70" s="82"/>
      <x:c r="H70" s="82"/>
      <x:c r="I70" s="68"/>
      <x:c r="J70" s="82"/>
      <x:c r="K70" s="82"/>
      <x:c r="L70" s="68"/>
      <x:c r="M70" s="68"/>
      <x:c r="N70" s="82"/>
      <x:c r="O70" s="68"/>
      <x:c r="P70" s="68"/>
      <x:c r="Q70" s="68"/>
      <x:c r="R70" s="68"/>
      <x:c r="S70" s="68"/>
      <x:c r="T70" s="90"/>
      <x:c r="U70" s="68"/>
      <x:c r="V70" s="68"/>
      <x:c r="W70" s="68"/>
      <x:c r="X70" s="82"/>
      <x:c r="Y70" s="82"/>
      <x:c r="Z70" s="84"/>
      <x:c r="AA70" s="84"/>
      <x:c r="AB70" s="82"/>
      <x:c r="AC70" s="82"/>
      <x:c r="AD70" s="68"/>
      <x:c r="AE70" s="68"/>
      <x:c r="AF70" s="90"/>
      <x:c r="AG70" s="68"/>
      <x:c r="AH70" s="82"/>
      <x:c r="AI70" s="82"/>
      <x:c r="AJ70" s="87"/>
    </x:row>
    <x:row r="71">
      <x:c r="A71" s="72" t="str">
        <x:f>IF(OR(C71="",D71=""),"",B71&amp;"-"&amp;UPPER(C71)&amp;"-"&amp;TEXT(D71,"0000")&amp;"-"&amp;E71)</x:f>
      </x:c>
      <x:c r="B71" s="74" t="str">
        <x:v>M04</x:v>
      </x:c>
      <x:c r="C71" s="74"/>
      <x:c r="D71" s="79"/>
      <x:c r="E71" s="74" t="str">
        <x:v>V1.0</x:v>
      </x:c>
      <x:c r="F71" s="68"/>
      <x:c r="G71" s="82"/>
      <x:c r="H71" s="82"/>
      <x:c r="I71" s="68"/>
      <x:c r="J71" s="82"/>
      <x:c r="K71" s="82"/>
      <x:c r="L71" s="68"/>
      <x:c r="M71" s="68"/>
      <x:c r="N71" s="82"/>
      <x:c r="O71" s="68"/>
      <x:c r="P71" s="68"/>
      <x:c r="Q71" s="68"/>
      <x:c r="R71" s="68"/>
      <x:c r="S71" s="68"/>
      <x:c r="T71" s="90"/>
      <x:c r="U71" s="68"/>
      <x:c r="V71" s="68"/>
      <x:c r="W71" s="68"/>
      <x:c r="X71" s="82"/>
      <x:c r="Y71" s="82"/>
      <x:c r="Z71" s="84"/>
      <x:c r="AA71" s="84"/>
      <x:c r="AB71" s="82"/>
      <x:c r="AC71" s="82"/>
      <x:c r="AD71" s="68"/>
      <x:c r="AE71" s="68"/>
      <x:c r="AF71" s="90"/>
      <x:c r="AG71" s="68"/>
      <x:c r="AH71" s="82"/>
      <x:c r="AI71" s="82"/>
      <x:c r="AJ71" s="87"/>
    </x:row>
    <x:row r="72">
      <x:c r="A72" s="72" t="str">
        <x:f>IF(OR(C72="",D72=""),"",B72&amp;"-"&amp;UPPER(C72)&amp;"-"&amp;TEXT(D72,"0000")&amp;"-"&amp;E72)</x:f>
      </x:c>
      <x:c r="B72" s="74" t="str">
        <x:v>M04</x:v>
      </x:c>
      <x:c r="C72" s="74"/>
      <x:c r="D72" s="79"/>
      <x:c r="E72" s="74" t="str">
        <x:v>V1.0</x:v>
      </x:c>
      <x:c r="F72" s="68"/>
      <x:c r="G72" s="82"/>
      <x:c r="H72" s="82"/>
      <x:c r="I72" s="68"/>
      <x:c r="J72" s="82"/>
      <x:c r="K72" s="82"/>
      <x:c r="L72" s="68"/>
      <x:c r="M72" s="68"/>
      <x:c r="N72" s="82"/>
      <x:c r="O72" s="68"/>
      <x:c r="P72" s="68"/>
      <x:c r="Q72" s="68"/>
      <x:c r="R72" s="68"/>
      <x:c r="S72" s="68"/>
      <x:c r="T72" s="90"/>
      <x:c r="U72" s="68"/>
      <x:c r="V72" s="68"/>
      <x:c r="W72" s="68"/>
      <x:c r="X72" s="82"/>
      <x:c r="Y72" s="82"/>
      <x:c r="Z72" s="84"/>
      <x:c r="AA72" s="84"/>
      <x:c r="AB72" s="82"/>
      <x:c r="AC72" s="82"/>
      <x:c r="AD72" s="68"/>
      <x:c r="AE72" s="68"/>
      <x:c r="AF72" s="90"/>
      <x:c r="AG72" s="68"/>
      <x:c r="AH72" s="82"/>
      <x:c r="AI72" s="82"/>
      <x:c r="AJ72" s="87"/>
    </x:row>
    <x:row r="73">
      <x:c r="A73" s="72" t="str">
        <x:f>IF(OR(C73="",D73=""),"",B73&amp;"-"&amp;UPPER(C73)&amp;"-"&amp;TEXT(D73,"0000")&amp;"-"&amp;E73)</x:f>
      </x:c>
      <x:c r="B73" s="74" t="str">
        <x:v>M04</x:v>
      </x:c>
      <x:c r="C73" s="74"/>
      <x:c r="D73" s="79"/>
      <x:c r="E73" s="74" t="str">
        <x:v>V1.0</x:v>
      </x:c>
      <x:c r="F73" s="68"/>
      <x:c r="G73" s="82"/>
      <x:c r="H73" s="82"/>
      <x:c r="I73" s="68"/>
      <x:c r="J73" s="82"/>
      <x:c r="K73" s="82"/>
      <x:c r="L73" s="68"/>
      <x:c r="M73" s="68"/>
      <x:c r="N73" s="82"/>
      <x:c r="O73" s="68"/>
      <x:c r="P73" s="68"/>
      <x:c r="Q73" s="68"/>
      <x:c r="R73" s="68"/>
      <x:c r="S73" s="68"/>
      <x:c r="T73" s="90"/>
      <x:c r="U73" s="68"/>
      <x:c r="V73" s="68"/>
      <x:c r="W73" s="68"/>
      <x:c r="X73" s="82"/>
      <x:c r="Y73" s="82"/>
      <x:c r="Z73" s="84"/>
      <x:c r="AA73" s="84"/>
      <x:c r="AB73" s="82"/>
      <x:c r="AC73" s="82"/>
      <x:c r="AD73" s="68"/>
      <x:c r="AE73" s="68"/>
      <x:c r="AF73" s="90"/>
      <x:c r="AG73" s="68"/>
      <x:c r="AH73" s="82"/>
      <x:c r="AI73" s="82"/>
      <x:c r="AJ73" s="87"/>
    </x:row>
    <x:row r="74">
      <x:c r="A74" s="72" t="str">
        <x:f>IF(OR(C74="",D74=""),"",B74&amp;"-"&amp;UPPER(C74)&amp;"-"&amp;TEXT(D74,"0000")&amp;"-"&amp;E74)</x:f>
      </x:c>
      <x:c r="B74" s="74" t="str">
        <x:v>M04</x:v>
      </x:c>
      <x:c r="C74" s="74"/>
      <x:c r="D74" s="79"/>
      <x:c r="E74" s="74" t="str">
        <x:v>V1.0</x:v>
      </x:c>
      <x:c r="F74" s="68"/>
      <x:c r="G74" s="82"/>
      <x:c r="H74" s="82"/>
      <x:c r="I74" s="68"/>
      <x:c r="J74" s="82"/>
      <x:c r="K74" s="82"/>
      <x:c r="L74" s="68"/>
      <x:c r="M74" s="68"/>
      <x:c r="N74" s="82"/>
      <x:c r="O74" s="68"/>
      <x:c r="P74" s="68"/>
      <x:c r="Q74" s="68"/>
      <x:c r="R74" s="68"/>
      <x:c r="S74" s="68"/>
      <x:c r="T74" s="90"/>
      <x:c r="U74" s="68"/>
      <x:c r="V74" s="68"/>
      <x:c r="W74" s="68"/>
      <x:c r="X74" s="82"/>
      <x:c r="Y74" s="82"/>
      <x:c r="Z74" s="84"/>
      <x:c r="AA74" s="84"/>
      <x:c r="AB74" s="82"/>
      <x:c r="AC74" s="82"/>
      <x:c r="AD74" s="68"/>
      <x:c r="AE74" s="68"/>
      <x:c r="AF74" s="90"/>
      <x:c r="AG74" s="68"/>
      <x:c r="AH74" s="82"/>
      <x:c r="AI74" s="82"/>
      <x:c r="AJ74" s="87"/>
    </x:row>
    <x:row r="75">
      <x:c r="A75" s="72" t="str">
        <x:f>IF(OR(C75="",D75=""),"",B75&amp;"-"&amp;UPPER(C75)&amp;"-"&amp;TEXT(D75,"0000")&amp;"-"&amp;E75)</x:f>
      </x:c>
      <x:c r="B75" s="74" t="str">
        <x:v>M04</x:v>
      </x:c>
      <x:c r="C75" s="74"/>
      <x:c r="D75" s="79"/>
      <x:c r="E75" s="74" t="str">
        <x:v>V1.0</x:v>
      </x:c>
      <x:c r="F75" s="68"/>
      <x:c r="G75" s="82"/>
      <x:c r="H75" s="82"/>
      <x:c r="I75" s="68"/>
      <x:c r="J75" s="82"/>
      <x:c r="K75" s="82"/>
      <x:c r="L75" s="68"/>
      <x:c r="M75" s="68"/>
      <x:c r="N75" s="82"/>
      <x:c r="O75" s="68"/>
      <x:c r="P75" s="68"/>
      <x:c r="Q75" s="68"/>
      <x:c r="R75" s="68"/>
      <x:c r="S75" s="68"/>
      <x:c r="T75" s="90"/>
      <x:c r="U75" s="68"/>
      <x:c r="V75" s="68"/>
      <x:c r="W75" s="68"/>
      <x:c r="X75" s="82"/>
      <x:c r="Y75" s="82"/>
      <x:c r="Z75" s="84"/>
      <x:c r="AA75" s="84"/>
      <x:c r="AB75" s="82"/>
      <x:c r="AC75" s="82"/>
      <x:c r="AD75" s="68"/>
      <x:c r="AE75" s="68"/>
      <x:c r="AF75" s="90"/>
      <x:c r="AG75" s="68"/>
      <x:c r="AH75" s="82"/>
      <x:c r="AI75" s="82"/>
      <x:c r="AJ75" s="87"/>
    </x:row>
    <x:row r="76">
      <x:c r="A76" s="72" t="str">
        <x:f>IF(OR(C76="",D76=""),"",B76&amp;"-"&amp;UPPER(C76)&amp;"-"&amp;TEXT(D76,"0000")&amp;"-"&amp;E76)</x:f>
      </x:c>
      <x:c r="B76" s="74" t="str">
        <x:v>M04</x:v>
      </x:c>
      <x:c r="C76" s="74"/>
      <x:c r="D76" s="79"/>
      <x:c r="E76" s="74" t="str">
        <x:v>V1.0</x:v>
      </x:c>
      <x:c r="F76" s="68"/>
      <x:c r="G76" s="82"/>
      <x:c r="H76" s="82"/>
      <x:c r="I76" s="68"/>
      <x:c r="J76" s="82"/>
      <x:c r="K76" s="82"/>
      <x:c r="L76" s="68"/>
      <x:c r="M76" s="68"/>
      <x:c r="N76" s="82"/>
      <x:c r="O76" s="68"/>
      <x:c r="P76" s="68"/>
      <x:c r="Q76" s="68"/>
      <x:c r="R76" s="68"/>
      <x:c r="S76" s="68"/>
      <x:c r="T76" s="90"/>
      <x:c r="U76" s="68"/>
      <x:c r="V76" s="68"/>
      <x:c r="W76" s="68"/>
      <x:c r="X76" s="82"/>
      <x:c r="Y76" s="82"/>
      <x:c r="Z76" s="84"/>
      <x:c r="AA76" s="84"/>
      <x:c r="AB76" s="82"/>
      <x:c r="AC76" s="82"/>
      <x:c r="AD76" s="68"/>
      <x:c r="AE76" s="68"/>
      <x:c r="AF76" s="90"/>
      <x:c r="AG76" s="68"/>
      <x:c r="AH76" s="82"/>
      <x:c r="AI76" s="82"/>
      <x:c r="AJ76" s="87"/>
    </x:row>
    <x:row r="77">
      <x:c r="A77" s="72" t="str">
        <x:f>IF(OR(C77="",D77=""),"",B77&amp;"-"&amp;UPPER(C77)&amp;"-"&amp;TEXT(D77,"0000")&amp;"-"&amp;E77)</x:f>
      </x:c>
      <x:c r="B77" s="74" t="str">
        <x:v>M04</x:v>
      </x:c>
      <x:c r="C77" s="74"/>
      <x:c r="D77" s="79"/>
      <x:c r="E77" s="74" t="str">
        <x:v>V1.0</x:v>
      </x:c>
      <x:c r="F77" s="68"/>
      <x:c r="G77" s="82"/>
      <x:c r="H77" s="82"/>
      <x:c r="I77" s="68"/>
      <x:c r="J77" s="82"/>
      <x:c r="K77" s="82"/>
      <x:c r="L77" s="68"/>
      <x:c r="M77" s="68"/>
      <x:c r="N77" s="82"/>
      <x:c r="O77" s="68"/>
      <x:c r="P77" s="68"/>
      <x:c r="Q77" s="68"/>
      <x:c r="R77" s="68"/>
      <x:c r="S77" s="68"/>
      <x:c r="T77" s="90"/>
      <x:c r="U77" s="68"/>
      <x:c r="V77" s="68"/>
      <x:c r="W77" s="68"/>
      <x:c r="X77" s="82"/>
      <x:c r="Y77" s="82"/>
      <x:c r="Z77" s="84"/>
      <x:c r="AA77" s="84"/>
      <x:c r="AB77" s="82"/>
      <x:c r="AC77" s="82"/>
      <x:c r="AD77" s="68"/>
      <x:c r="AE77" s="68"/>
      <x:c r="AF77" s="90"/>
      <x:c r="AG77" s="68"/>
      <x:c r="AH77" s="82"/>
      <x:c r="AI77" s="82"/>
      <x:c r="AJ77" s="87"/>
    </x:row>
    <x:row r="78">
      <x:c r="A78" s="72" t="str">
        <x:f>IF(OR(C78="",D78=""),"",B78&amp;"-"&amp;UPPER(C78)&amp;"-"&amp;TEXT(D78,"0000")&amp;"-"&amp;E78)</x:f>
      </x:c>
      <x:c r="B78" s="74" t="str">
        <x:v>M04</x:v>
      </x:c>
      <x:c r="C78" s="74"/>
      <x:c r="D78" s="79"/>
      <x:c r="E78" s="74" t="str">
        <x:v>V1.0</x:v>
      </x:c>
      <x:c r="F78" s="68"/>
      <x:c r="G78" s="82"/>
      <x:c r="H78" s="82"/>
      <x:c r="I78" s="68"/>
      <x:c r="J78" s="82"/>
      <x:c r="K78" s="82"/>
      <x:c r="L78" s="68"/>
      <x:c r="M78" s="68"/>
      <x:c r="N78" s="82"/>
      <x:c r="O78" s="68"/>
      <x:c r="P78" s="68"/>
      <x:c r="Q78" s="68"/>
      <x:c r="R78" s="68"/>
      <x:c r="S78" s="68"/>
      <x:c r="T78" s="90"/>
      <x:c r="U78" s="68"/>
      <x:c r="V78" s="68"/>
      <x:c r="W78" s="68"/>
      <x:c r="X78" s="82"/>
      <x:c r="Y78" s="82"/>
      <x:c r="Z78" s="84"/>
      <x:c r="AA78" s="84"/>
      <x:c r="AB78" s="82"/>
      <x:c r="AC78" s="82"/>
      <x:c r="AD78" s="68"/>
      <x:c r="AE78" s="68"/>
      <x:c r="AF78" s="90"/>
      <x:c r="AG78" s="68"/>
      <x:c r="AH78" s="82"/>
      <x:c r="AI78" s="82"/>
      <x:c r="AJ78" s="87"/>
    </x:row>
    <x:row r="79">
      <x:c r="A79" s="72" t="str">
        <x:f>IF(OR(C79="",D79=""),"",B79&amp;"-"&amp;UPPER(C79)&amp;"-"&amp;TEXT(D79,"0000")&amp;"-"&amp;E79)</x:f>
      </x:c>
      <x:c r="B79" s="74" t="str">
        <x:v>M04</x:v>
      </x:c>
      <x:c r="C79" s="74"/>
      <x:c r="D79" s="79"/>
      <x:c r="E79" s="74" t="str">
        <x:v>V1.0</x:v>
      </x:c>
      <x:c r="F79" s="68"/>
      <x:c r="G79" s="82"/>
      <x:c r="H79" s="82"/>
      <x:c r="I79" s="68"/>
      <x:c r="J79" s="82"/>
      <x:c r="K79" s="82"/>
      <x:c r="L79" s="68"/>
      <x:c r="M79" s="68"/>
      <x:c r="N79" s="82"/>
      <x:c r="O79" s="68"/>
      <x:c r="P79" s="68"/>
      <x:c r="Q79" s="68"/>
      <x:c r="R79" s="68"/>
      <x:c r="S79" s="68"/>
      <x:c r="T79" s="90"/>
      <x:c r="U79" s="68"/>
      <x:c r="V79" s="68"/>
      <x:c r="W79" s="68"/>
      <x:c r="X79" s="82"/>
      <x:c r="Y79" s="82"/>
      <x:c r="Z79" s="84"/>
      <x:c r="AA79" s="84"/>
      <x:c r="AB79" s="82"/>
      <x:c r="AC79" s="82"/>
      <x:c r="AD79" s="68"/>
      <x:c r="AE79" s="68"/>
      <x:c r="AF79" s="90"/>
      <x:c r="AG79" s="68"/>
      <x:c r="AH79" s="82"/>
      <x:c r="AI79" s="82"/>
      <x:c r="AJ79" s="87"/>
    </x:row>
    <x:row r="80">
      <x:c r="A80" s="72" t="str">
        <x:f>IF(OR(C80="",D80=""),"",B80&amp;"-"&amp;UPPER(C80)&amp;"-"&amp;TEXT(D80,"0000")&amp;"-"&amp;E80)</x:f>
      </x:c>
      <x:c r="B80" s="74" t="str">
        <x:v>M04</x:v>
      </x:c>
      <x:c r="C80" s="74"/>
      <x:c r="D80" s="79"/>
      <x:c r="E80" s="74" t="str">
        <x:v>V1.0</x:v>
      </x:c>
      <x:c r="F80" s="68"/>
      <x:c r="G80" s="82"/>
      <x:c r="H80" s="82"/>
      <x:c r="I80" s="68"/>
      <x:c r="J80" s="82"/>
      <x:c r="K80" s="82"/>
      <x:c r="L80" s="68"/>
      <x:c r="M80" s="68"/>
      <x:c r="N80" s="82"/>
      <x:c r="O80" s="68"/>
      <x:c r="P80" s="68"/>
      <x:c r="Q80" s="68"/>
      <x:c r="R80" s="68"/>
      <x:c r="S80" s="68"/>
      <x:c r="T80" s="90"/>
      <x:c r="U80" s="68"/>
      <x:c r="V80" s="68"/>
      <x:c r="W80" s="68"/>
      <x:c r="X80" s="82"/>
      <x:c r="Y80" s="82"/>
      <x:c r="Z80" s="84"/>
      <x:c r="AA80" s="84"/>
      <x:c r="AB80" s="82"/>
      <x:c r="AC80" s="82"/>
      <x:c r="AD80" s="68"/>
      <x:c r="AE80" s="68"/>
      <x:c r="AF80" s="90"/>
      <x:c r="AG80" s="68"/>
      <x:c r="AH80" s="82"/>
      <x:c r="AI80" s="82"/>
      <x:c r="AJ80" s="87"/>
    </x:row>
    <x:row r="81">
      <x:c r="A81" s="72" t="str">
        <x:f>IF(OR(C81="",D81=""),"",B81&amp;"-"&amp;UPPER(C81)&amp;"-"&amp;TEXT(D81,"0000")&amp;"-"&amp;E81)</x:f>
      </x:c>
      <x:c r="B81" s="74" t="str">
        <x:v>M04</x:v>
      </x:c>
      <x:c r="C81" s="74"/>
      <x:c r="D81" s="79"/>
      <x:c r="E81" s="74" t="str">
        <x:v>V1.0</x:v>
      </x:c>
      <x:c r="F81" s="68"/>
      <x:c r="G81" s="82"/>
      <x:c r="H81" s="82"/>
      <x:c r="I81" s="68"/>
      <x:c r="J81" s="82"/>
      <x:c r="K81" s="82"/>
      <x:c r="L81" s="68"/>
      <x:c r="M81" s="68"/>
      <x:c r="N81" s="82"/>
      <x:c r="O81" s="68"/>
      <x:c r="P81" s="68"/>
      <x:c r="Q81" s="68"/>
      <x:c r="R81" s="68"/>
      <x:c r="S81" s="68"/>
      <x:c r="T81" s="90"/>
      <x:c r="U81" s="68"/>
      <x:c r="V81" s="68"/>
      <x:c r="W81" s="68"/>
      <x:c r="X81" s="82"/>
      <x:c r="Y81" s="82"/>
      <x:c r="Z81" s="84"/>
      <x:c r="AA81" s="84"/>
      <x:c r="AB81" s="82"/>
      <x:c r="AC81" s="82"/>
      <x:c r="AD81" s="68"/>
      <x:c r="AE81" s="68"/>
      <x:c r="AF81" s="90"/>
      <x:c r="AG81" s="68"/>
      <x:c r="AH81" s="82"/>
      <x:c r="AI81" s="82"/>
      <x:c r="AJ81" s="87"/>
    </x:row>
    <x:row r="82">
      <x:c r="A82" s="72" t="str">
        <x:f>IF(OR(C82="",D82=""),"",B82&amp;"-"&amp;UPPER(C82)&amp;"-"&amp;TEXT(D82,"0000")&amp;"-"&amp;E82)</x:f>
      </x:c>
      <x:c r="B82" s="74" t="str">
        <x:v>M04</x:v>
      </x:c>
      <x:c r="C82" s="74"/>
      <x:c r="D82" s="79"/>
      <x:c r="E82" s="74" t="str">
        <x:v>V1.0</x:v>
      </x:c>
      <x:c r="F82" s="68"/>
      <x:c r="G82" s="82"/>
      <x:c r="H82" s="82"/>
      <x:c r="I82" s="68"/>
      <x:c r="J82" s="82"/>
      <x:c r="K82" s="82"/>
      <x:c r="L82" s="68"/>
      <x:c r="M82" s="68"/>
      <x:c r="N82" s="82"/>
      <x:c r="O82" s="68"/>
      <x:c r="P82" s="68"/>
      <x:c r="Q82" s="68"/>
      <x:c r="R82" s="68"/>
      <x:c r="S82" s="68"/>
      <x:c r="T82" s="90"/>
      <x:c r="U82" s="68"/>
      <x:c r="V82" s="68"/>
      <x:c r="W82" s="68"/>
      <x:c r="X82" s="82"/>
      <x:c r="Y82" s="82"/>
      <x:c r="Z82" s="84"/>
      <x:c r="AA82" s="84"/>
      <x:c r="AB82" s="82"/>
      <x:c r="AC82" s="82"/>
      <x:c r="AD82" s="68"/>
      <x:c r="AE82" s="68"/>
      <x:c r="AF82" s="90"/>
      <x:c r="AG82" s="68"/>
      <x:c r="AH82" s="82"/>
      <x:c r="AI82" s="82"/>
      <x:c r="AJ82" s="87"/>
    </x:row>
    <x:row r="83">
      <x:c r="A83" s="72" t="str">
        <x:f>IF(OR(C83="",D83=""),"",B83&amp;"-"&amp;UPPER(C83)&amp;"-"&amp;TEXT(D83,"0000")&amp;"-"&amp;E83)</x:f>
      </x:c>
      <x:c r="B83" s="74" t="str">
        <x:v>M04</x:v>
      </x:c>
      <x:c r="C83" s="74"/>
      <x:c r="D83" s="79"/>
      <x:c r="E83" s="74" t="str">
        <x:v>V1.0</x:v>
      </x:c>
      <x:c r="F83" s="68"/>
      <x:c r="G83" s="82"/>
      <x:c r="H83" s="82"/>
      <x:c r="I83" s="68"/>
      <x:c r="J83" s="82"/>
      <x:c r="K83" s="82"/>
      <x:c r="L83" s="68"/>
      <x:c r="M83" s="68"/>
      <x:c r="N83" s="82"/>
      <x:c r="O83" s="68"/>
      <x:c r="P83" s="68"/>
      <x:c r="Q83" s="68"/>
      <x:c r="R83" s="68"/>
      <x:c r="S83" s="68"/>
      <x:c r="T83" s="90"/>
      <x:c r="U83" s="68"/>
      <x:c r="V83" s="68"/>
      <x:c r="W83" s="68"/>
      <x:c r="X83" s="82"/>
      <x:c r="Y83" s="82"/>
      <x:c r="Z83" s="84"/>
      <x:c r="AA83" s="84"/>
      <x:c r="AB83" s="82"/>
      <x:c r="AC83" s="82"/>
      <x:c r="AD83" s="68"/>
      <x:c r="AE83" s="68"/>
      <x:c r="AF83" s="90"/>
      <x:c r="AG83" s="68"/>
      <x:c r="AH83" s="82"/>
      <x:c r="AI83" s="82"/>
      <x:c r="AJ83" s="87"/>
    </x:row>
    <x:row r="84">
      <x:c r="A84" s="72" t="str">
        <x:f>IF(OR(C84="",D84=""),"",B84&amp;"-"&amp;UPPER(C84)&amp;"-"&amp;TEXT(D84,"0000")&amp;"-"&amp;E84)</x:f>
      </x:c>
      <x:c r="B84" s="74" t="str">
        <x:v>M04</x:v>
      </x:c>
      <x:c r="C84" s="74"/>
      <x:c r="D84" s="79"/>
      <x:c r="E84" s="74" t="str">
        <x:v>V1.0</x:v>
      </x:c>
      <x:c r="F84" s="68"/>
      <x:c r="G84" s="82"/>
      <x:c r="H84" s="82"/>
      <x:c r="I84" s="68"/>
      <x:c r="J84" s="82"/>
      <x:c r="K84" s="82"/>
      <x:c r="L84" s="68"/>
      <x:c r="M84" s="68"/>
      <x:c r="N84" s="82"/>
      <x:c r="O84" s="68"/>
      <x:c r="P84" s="68"/>
      <x:c r="Q84" s="68"/>
      <x:c r="R84" s="68"/>
      <x:c r="S84" s="68"/>
      <x:c r="T84" s="90"/>
      <x:c r="U84" s="68"/>
      <x:c r="V84" s="68"/>
      <x:c r="W84" s="68"/>
      <x:c r="X84" s="82"/>
      <x:c r="Y84" s="82"/>
      <x:c r="Z84" s="84"/>
      <x:c r="AA84" s="84"/>
      <x:c r="AB84" s="82"/>
      <x:c r="AC84" s="82"/>
      <x:c r="AD84" s="68"/>
      <x:c r="AE84" s="68"/>
      <x:c r="AF84" s="90"/>
      <x:c r="AG84" s="68"/>
      <x:c r="AH84" s="82"/>
      <x:c r="AI84" s="82"/>
      <x:c r="AJ84" s="87"/>
    </x:row>
    <x:row r="85">
      <x:c r="A85" s="72" t="str">
        <x:f>IF(OR(C85="",D85=""),"",B85&amp;"-"&amp;UPPER(C85)&amp;"-"&amp;TEXT(D85,"0000")&amp;"-"&amp;E85)</x:f>
      </x:c>
      <x:c r="B85" s="74" t="str">
        <x:v>M04</x:v>
      </x:c>
      <x:c r="C85" s="74"/>
      <x:c r="D85" s="79"/>
      <x:c r="E85" s="74" t="str">
        <x:v>V1.0</x:v>
      </x:c>
      <x:c r="F85" s="68"/>
      <x:c r="G85" s="82"/>
      <x:c r="H85" s="82"/>
      <x:c r="I85" s="68"/>
      <x:c r="J85" s="82"/>
      <x:c r="K85" s="82"/>
      <x:c r="L85" s="68"/>
      <x:c r="M85" s="68"/>
      <x:c r="N85" s="82"/>
      <x:c r="O85" s="68"/>
      <x:c r="P85" s="68"/>
      <x:c r="Q85" s="68"/>
      <x:c r="R85" s="68"/>
      <x:c r="S85" s="68"/>
      <x:c r="T85" s="90"/>
      <x:c r="U85" s="68"/>
      <x:c r="V85" s="68"/>
      <x:c r="W85" s="68"/>
      <x:c r="X85" s="82"/>
      <x:c r="Y85" s="82"/>
      <x:c r="Z85" s="84"/>
      <x:c r="AA85" s="84"/>
      <x:c r="AB85" s="82"/>
      <x:c r="AC85" s="82"/>
      <x:c r="AD85" s="68"/>
      <x:c r="AE85" s="68"/>
      <x:c r="AF85" s="90"/>
      <x:c r="AG85" s="68"/>
      <x:c r="AH85" s="82"/>
      <x:c r="AI85" s="82"/>
      <x:c r="AJ85" s="87"/>
    </x:row>
    <x:row r="86">
      <x:c r="A86" s="72" t="str">
        <x:f>IF(OR(C86="",D86=""),"",B86&amp;"-"&amp;UPPER(C86)&amp;"-"&amp;TEXT(D86,"0000")&amp;"-"&amp;E86)</x:f>
      </x:c>
      <x:c r="B86" s="74" t="str">
        <x:v>M04</x:v>
      </x:c>
      <x:c r="C86" s="74"/>
      <x:c r="D86" s="79"/>
      <x:c r="E86" s="74" t="str">
        <x:v>V1.0</x:v>
      </x:c>
      <x:c r="F86" s="68"/>
      <x:c r="G86" s="82"/>
      <x:c r="H86" s="82"/>
      <x:c r="I86" s="68"/>
      <x:c r="J86" s="82"/>
      <x:c r="K86" s="82"/>
      <x:c r="L86" s="68"/>
      <x:c r="M86" s="68"/>
      <x:c r="N86" s="82"/>
      <x:c r="O86" s="68"/>
      <x:c r="P86" s="68"/>
      <x:c r="Q86" s="68"/>
      <x:c r="R86" s="68"/>
      <x:c r="S86" s="68"/>
      <x:c r="T86" s="90"/>
      <x:c r="U86" s="68"/>
      <x:c r="V86" s="68"/>
      <x:c r="W86" s="68"/>
      <x:c r="X86" s="82"/>
      <x:c r="Y86" s="82"/>
      <x:c r="Z86" s="84"/>
      <x:c r="AA86" s="84"/>
      <x:c r="AB86" s="82"/>
      <x:c r="AC86" s="82"/>
      <x:c r="AD86" s="68"/>
      <x:c r="AE86" s="68"/>
      <x:c r="AF86" s="90"/>
      <x:c r="AG86" s="68"/>
      <x:c r="AH86" s="82"/>
      <x:c r="AI86" s="82"/>
      <x:c r="AJ86" s="87"/>
    </x:row>
    <x:row r="87">
      <x:c r="A87" s="72" t="str">
        <x:f>IF(OR(C87="",D87=""),"",B87&amp;"-"&amp;UPPER(C87)&amp;"-"&amp;TEXT(D87,"0000")&amp;"-"&amp;E87)</x:f>
      </x:c>
      <x:c r="B87" s="74" t="str">
        <x:v>M04</x:v>
      </x:c>
      <x:c r="C87" s="74"/>
      <x:c r="D87" s="79"/>
      <x:c r="E87" s="74" t="str">
        <x:v>V1.0</x:v>
      </x:c>
      <x:c r="F87" s="68"/>
      <x:c r="G87" s="82"/>
      <x:c r="H87" s="82"/>
      <x:c r="I87" s="68"/>
      <x:c r="J87" s="82"/>
      <x:c r="K87" s="82"/>
      <x:c r="L87" s="68"/>
      <x:c r="M87" s="68"/>
      <x:c r="N87" s="82"/>
      <x:c r="O87" s="68"/>
      <x:c r="P87" s="68"/>
      <x:c r="Q87" s="68"/>
      <x:c r="R87" s="68"/>
      <x:c r="S87" s="68"/>
      <x:c r="T87" s="90"/>
      <x:c r="U87" s="68"/>
      <x:c r="V87" s="68"/>
      <x:c r="W87" s="68"/>
      <x:c r="X87" s="82"/>
      <x:c r="Y87" s="82"/>
      <x:c r="Z87" s="84"/>
      <x:c r="AA87" s="84"/>
      <x:c r="AB87" s="82"/>
      <x:c r="AC87" s="82"/>
      <x:c r="AD87" s="68"/>
      <x:c r="AE87" s="68"/>
      <x:c r="AF87" s="90"/>
      <x:c r="AG87" s="68"/>
      <x:c r="AH87" s="82"/>
      <x:c r="AI87" s="82"/>
      <x:c r="AJ87" s="87"/>
    </x:row>
    <x:row r="88">
      <x:c r="A88" s="72" t="str">
        <x:f>IF(OR(C88="",D88=""),"",B88&amp;"-"&amp;UPPER(C88)&amp;"-"&amp;TEXT(D88,"0000")&amp;"-"&amp;E88)</x:f>
      </x:c>
      <x:c r="B88" s="74" t="str">
        <x:v>M04</x:v>
      </x:c>
      <x:c r="C88" s="74"/>
      <x:c r="D88" s="79"/>
      <x:c r="E88" s="74" t="str">
        <x:v>V1.0</x:v>
      </x:c>
      <x:c r="F88" s="68"/>
      <x:c r="G88" s="82"/>
      <x:c r="H88" s="82"/>
      <x:c r="I88" s="68"/>
      <x:c r="J88" s="82"/>
      <x:c r="K88" s="82"/>
      <x:c r="L88" s="68"/>
      <x:c r="M88" s="68"/>
      <x:c r="N88" s="82"/>
      <x:c r="O88" s="68"/>
      <x:c r="P88" s="68"/>
      <x:c r="Q88" s="68"/>
      <x:c r="R88" s="68"/>
      <x:c r="S88" s="68"/>
      <x:c r="T88" s="90"/>
      <x:c r="U88" s="68"/>
      <x:c r="V88" s="68"/>
      <x:c r="W88" s="68"/>
      <x:c r="X88" s="82"/>
      <x:c r="Y88" s="82"/>
      <x:c r="Z88" s="84"/>
      <x:c r="AA88" s="84"/>
      <x:c r="AB88" s="82"/>
      <x:c r="AC88" s="82"/>
      <x:c r="AD88" s="68"/>
      <x:c r="AE88" s="68"/>
      <x:c r="AF88" s="90"/>
      <x:c r="AG88" s="68"/>
      <x:c r="AH88" s="82"/>
      <x:c r="AI88" s="82"/>
      <x:c r="AJ88" s="87"/>
    </x:row>
    <x:row r="89">
      <x:c r="A89" s="72" t="str">
        <x:f>IF(OR(C89="",D89=""),"",B89&amp;"-"&amp;UPPER(C89)&amp;"-"&amp;TEXT(D89,"0000")&amp;"-"&amp;E89)</x:f>
      </x:c>
      <x:c r="B89" s="74" t="str">
        <x:v>M04</x:v>
      </x:c>
      <x:c r="C89" s="74"/>
      <x:c r="D89" s="79"/>
      <x:c r="E89" s="74" t="str">
        <x:v>V1.0</x:v>
      </x:c>
      <x:c r="F89" s="68"/>
      <x:c r="G89" s="82"/>
      <x:c r="H89" s="82"/>
      <x:c r="I89" s="68"/>
      <x:c r="J89" s="82"/>
      <x:c r="K89" s="82"/>
      <x:c r="L89" s="68"/>
      <x:c r="M89" s="68"/>
      <x:c r="N89" s="82"/>
      <x:c r="O89" s="68"/>
      <x:c r="P89" s="68"/>
      <x:c r="Q89" s="68"/>
      <x:c r="R89" s="68"/>
      <x:c r="S89" s="68"/>
      <x:c r="T89" s="90"/>
      <x:c r="U89" s="68"/>
      <x:c r="V89" s="68"/>
      <x:c r="W89" s="68"/>
      <x:c r="X89" s="82"/>
      <x:c r="Y89" s="82"/>
      <x:c r="Z89" s="84"/>
      <x:c r="AA89" s="84"/>
      <x:c r="AB89" s="82"/>
      <x:c r="AC89" s="82"/>
      <x:c r="AD89" s="68"/>
      <x:c r="AE89" s="68"/>
      <x:c r="AF89" s="90"/>
      <x:c r="AG89" s="68"/>
      <x:c r="AH89" s="82"/>
      <x:c r="AI89" s="82"/>
      <x:c r="AJ89" s="87"/>
    </x:row>
    <x:row r="90">
      <x:c r="A90" s="72" t="str">
        <x:f>IF(OR(C90="",D90=""),"",B90&amp;"-"&amp;UPPER(C90)&amp;"-"&amp;TEXT(D90,"0000")&amp;"-"&amp;E90)</x:f>
      </x:c>
      <x:c r="B90" s="74" t="str">
        <x:v>M04</x:v>
      </x:c>
      <x:c r="C90" s="74"/>
      <x:c r="D90" s="79"/>
      <x:c r="E90" s="74" t="str">
        <x:v>V1.0</x:v>
      </x:c>
      <x:c r="F90" s="68"/>
      <x:c r="G90" s="82"/>
      <x:c r="H90" s="82"/>
      <x:c r="I90" s="68"/>
      <x:c r="J90" s="82"/>
      <x:c r="K90" s="82"/>
      <x:c r="L90" s="68"/>
      <x:c r="M90" s="68"/>
      <x:c r="N90" s="82"/>
      <x:c r="O90" s="68"/>
      <x:c r="P90" s="68"/>
      <x:c r="Q90" s="68"/>
      <x:c r="R90" s="68"/>
      <x:c r="S90" s="68"/>
      <x:c r="T90" s="90"/>
      <x:c r="U90" s="68"/>
      <x:c r="V90" s="68"/>
      <x:c r="W90" s="68"/>
      <x:c r="X90" s="82"/>
      <x:c r="Y90" s="82"/>
      <x:c r="Z90" s="84"/>
      <x:c r="AA90" s="84"/>
      <x:c r="AB90" s="82"/>
      <x:c r="AC90" s="82"/>
      <x:c r="AD90" s="68"/>
      <x:c r="AE90" s="68"/>
      <x:c r="AF90" s="90"/>
      <x:c r="AG90" s="68"/>
      <x:c r="AH90" s="82"/>
      <x:c r="AI90" s="82"/>
      <x:c r="AJ90" s="87"/>
    </x:row>
    <x:row r="91">
      <x:c r="A91" s="72" t="str">
        <x:f>IF(OR(C91="",D91=""),"",B91&amp;"-"&amp;UPPER(C91)&amp;"-"&amp;TEXT(D91,"0000")&amp;"-"&amp;E91)</x:f>
      </x:c>
      <x:c r="B91" s="74" t="str">
        <x:v>M04</x:v>
      </x:c>
      <x:c r="C91" s="74"/>
      <x:c r="D91" s="79"/>
      <x:c r="E91" s="74" t="str">
        <x:v>V1.0</x:v>
      </x:c>
      <x:c r="F91" s="68"/>
      <x:c r="G91" s="82"/>
      <x:c r="H91" s="82"/>
      <x:c r="I91" s="68"/>
      <x:c r="J91" s="82"/>
      <x:c r="K91" s="82"/>
      <x:c r="L91" s="68"/>
      <x:c r="M91" s="68"/>
      <x:c r="N91" s="82"/>
      <x:c r="O91" s="68"/>
      <x:c r="P91" s="68"/>
      <x:c r="Q91" s="68"/>
      <x:c r="R91" s="68"/>
      <x:c r="S91" s="68"/>
      <x:c r="T91" s="90"/>
      <x:c r="U91" s="68"/>
      <x:c r="V91" s="68"/>
      <x:c r="W91" s="68"/>
      <x:c r="X91" s="82"/>
      <x:c r="Y91" s="82"/>
      <x:c r="Z91" s="84"/>
      <x:c r="AA91" s="84"/>
      <x:c r="AB91" s="82"/>
      <x:c r="AC91" s="82"/>
      <x:c r="AD91" s="68"/>
      <x:c r="AE91" s="68"/>
      <x:c r="AF91" s="90"/>
      <x:c r="AG91" s="68"/>
      <x:c r="AH91" s="82"/>
      <x:c r="AI91" s="82"/>
      <x:c r="AJ91" s="87"/>
    </x:row>
    <x:row r="92">
      <x:c r="A92" s="72" t="str">
        <x:f>IF(OR(C92="",D92=""),"",B92&amp;"-"&amp;UPPER(C92)&amp;"-"&amp;TEXT(D92,"0000")&amp;"-"&amp;E92)</x:f>
      </x:c>
      <x:c r="B92" s="74" t="str">
        <x:v>M04</x:v>
      </x:c>
      <x:c r="C92" s="74"/>
      <x:c r="D92" s="79"/>
      <x:c r="E92" s="74" t="str">
        <x:v>V1.0</x:v>
      </x:c>
      <x:c r="F92" s="68"/>
      <x:c r="G92" s="82"/>
      <x:c r="H92" s="82"/>
      <x:c r="I92" s="68"/>
      <x:c r="J92" s="82"/>
      <x:c r="K92" s="82"/>
      <x:c r="L92" s="68"/>
      <x:c r="M92" s="68"/>
      <x:c r="N92" s="82"/>
      <x:c r="O92" s="68"/>
      <x:c r="P92" s="68"/>
      <x:c r="Q92" s="68"/>
      <x:c r="R92" s="68"/>
      <x:c r="S92" s="68"/>
      <x:c r="T92" s="90"/>
      <x:c r="U92" s="68"/>
      <x:c r="V92" s="68"/>
      <x:c r="W92" s="68"/>
      <x:c r="X92" s="82"/>
      <x:c r="Y92" s="82"/>
      <x:c r="Z92" s="84"/>
      <x:c r="AA92" s="84"/>
      <x:c r="AB92" s="82"/>
      <x:c r="AC92" s="82"/>
      <x:c r="AD92" s="68"/>
      <x:c r="AE92" s="68"/>
      <x:c r="AF92" s="90"/>
      <x:c r="AG92" s="68"/>
      <x:c r="AH92" s="82"/>
      <x:c r="AI92" s="82"/>
      <x:c r="AJ92" s="87"/>
    </x:row>
    <x:row r="93">
      <x:c r="A93" s="72" t="str">
        <x:f>IF(OR(C93="",D93=""),"",B93&amp;"-"&amp;UPPER(C93)&amp;"-"&amp;TEXT(D93,"0000")&amp;"-"&amp;E93)</x:f>
      </x:c>
      <x:c r="B93" s="74" t="str">
        <x:v>M04</x:v>
      </x:c>
      <x:c r="C93" s="74"/>
      <x:c r="D93" s="79"/>
      <x:c r="E93" s="74" t="str">
        <x:v>V1.0</x:v>
      </x:c>
      <x:c r="F93" s="68"/>
      <x:c r="G93" s="82"/>
      <x:c r="H93" s="82"/>
      <x:c r="I93" s="68"/>
      <x:c r="J93" s="82"/>
      <x:c r="K93" s="82"/>
      <x:c r="L93" s="68"/>
      <x:c r="M93" s="68"/>
      <x:c r="N93" s="82"/>
      <x:c r="O93" s="68"/>
      <x:c r="P93" s="68"/>
      <x:c r="Q93" s="68"/>
      <x:c r="R93" s="68"/>
      <x:c r="S93" s="68"/>
      <x:c r="T93" s="90"/>
      <x:c r="U93" s="68"/>
      <x:c r="V93" s="68"/>
      <x:c r="W93" s="68"/>
      <x:c r="X93" s="82"/>
      <x:c r="Y93" s="82"/>
      <x:c r="Z93" s="84"/>
      <x:c r="AA93" s="84"/>
      <x:c r="AB93" s="82"/>
      <x:c r="AC93" s="82"/>
      <x:c r="AD93" s="68"/>
      <x:c r="AE93" s="68"/>
      <x:c r="AF93" s="90"/>
      <x:c r="AG93" s="68"/>
      <x:c r="AH93" s="82"/>
      <x:c r="AI93" s="82"/>
      <x:c r="AJ93" s="87"/>
    </x:row>
    <x:row r="94">
      <x:c r="A94" s="72" t="str">
        <x:f>IF(OR(C94="",D94=""),"",B94&amp;"-"&amp;UPPER(C94)&amp;"-"&amp;TEXT(D94,"0000")&amp;"-"&amp;E94)</x:f>
      </x:c>
      <x:c r="B94" s="74" t="str">
        <x:v>M04</x:v>
      </x:c>
      <x:c r="C94" s="74"/>
      <x:c r="D94" s="79"/>
      <x:c r="E94" s="74" t="str">
        <x:v>V1.0</x:v>
      </x:c>
      <x:c r="F94" s="68"/>
      <x:c r="G94" s="82"/>
      <x:c r="H94" s="82"/>
      <x:c r="I94" s="68"/>
      <x:c r="J94" s="82"/>
      <x:c r="K94" s="82"/>
      <x:c r="L94" s="68"/>
      <x:c r="M94" s="68"/>
      <x:c r="N94" s="82"/>
      <x:c r="O94" s="68"/>
      <x:c r="P94" s="68"/>
      <x:c r="Q94" s="68"/>
      <x:c r="R94" s="68"/>
      <x:c r="S94" s="68"/>
      <x:c r="T94" s="90"/>
      <x:c r="U94" s="68"/>
      <x:c r="V94" s="68"/>
      <x:c r="W94" s="68"/>
      <x:c r="X94" s="82"/>
      <x:c r="Y94" s="82"/>
      <x:c r="Z94" s="84"/>
      <x:c r="AA94" s="84"/>
      <x:c r="AB94" s="82"/>
      <x:c r="AC94" s="82"/>
      <x:c r="AD94" s="68"/>
      <x:c r="AE94" s="68"/>
      <x:c r="AF94" s="90"/>
      <x:c r="AG94" s="68"/>
      <x:c r="AH94" s="82"/>
      <x:c r="AI94" s="82"/>
      <x:c r="AJ94" s="87"/>
    </x:row>
    <x:row r="95">
      <x:c r="A95" s="72" t="str">
        <x:f>IF(OR(C95="",D95=""),"",B95&amp;"-"&amp;UPPER(C95)&amp;"-"&amp;TEXT(D95,"0000")&amp;"-"&amp;E95)</x:f>
      </x:c>
      <x:c r="B95" s="74" t="str">
        <x:v>M04</x:v>
      </x:c>
      <x:c r="C95" s="74"/>
      <x:c r="D95" s="79"/>
      <x:c r="E95" s="74" t="str">
        <x:v>V1.0</x:v>
      </x:c>
      <x:c r="F95" s="68"/>
      <x:c r="G95" s="82"/>
      <x:c r="H95" s="82"/>
      <x:c r="I95" s="68"/>
      <x:c r="J95" s="82"/>
      <x:c r="K95" s="82"/>
      <x:c r="L95" s="68"/>
      <x:c r="M95" s="68"/>
      <x:c r="N95" s="82"/>
      <x:c r="O95" s="68"/>
      <x:c r="P95" s="68"/>
      <x:c r="Q95" s="68"/>
      <x:c r="R95" s="68"/>
      <x:c r="S95" s="68"/>
      <x:c r="T95" s="90"/>
      <x:c r="U95" s="68"/>
      <x:c r="V95" s="68"/>
      <x:c r="W95" s="68"/>
      <x:c r="X95" s="82"/>
      <x:c r="Y95" s="82"/>
      <x:c r="Z95" s="84"/>
      <x:c r="AA95" s="84"/>
      <x:c r="AB95" s="82"/>
      <x:c r="AC95" s="82"/>
      <x:c r="AD95" s="68"/>
      <x:c r="AE95" s="68"/>
      <x:c r="AF95" s="90"/>
      <x:c r="AG95" s="68"/>
      <x:c r="AH95" s="82"/>
      <x:c r="AI95" s="82"/>
      <x:c r="AJ95" s="87"/>
    </x:row>
    <x:row r="96">
      <x:c r="A96" s="72" t="str">
        <x:f>IF(OR(C96="",D96=""),"",B96&amp;"-"&amp;UPPER(C96)&amp;"-"&amp;TEXT(D96,"0000")&amp;"-"&amp;E96)</x:f>
      </x:c>
      <x:c r="B96" s="74" t="str">
        <x:v>M04</x:v>
      </x:c>
      <x:c r="C96" s="74"/>
      <x:c r="D96" s="79"/>
      <x:c r="E96" s="74" t="str">
        <x:v>V1.0</x:v>
      </x:c>
      <x:c r="F96" s="68"/>
      <x:c r="G96" s="82"/>
      <x:c r="H96" s="82"/>
      <x:c r="I96" s="68"/>
      <x:c r="J96" s="82"/>
      <x:c r="K96" s="82"/>
      <x:c r="L96" s="68"/>
      <x:c r="M96" s="68"/>
      <x:c r="N96" s="82"/>
      <x:c r="O96" s="68"/>
      <x:c r="P96" s="68"/>
      <x:c r="Q96" s="68"/>
      <x:c r="R96" s="68"/>
      <x:c r="S96" s="68"/>
      <x:c r="T96" s="90"/>
      <x:c r="U96" s="68"/>
      <x:c r="V96" s="68"/>
      <x:c r="W96" s="68"/>
      <x:c r="X96" s="82"/>
      <x:c r="Y96" s="82"/>
      <x:c r="Z96" s="84"/>
      <x:c r="AA96" s="84"/>
      <x:c r="AB96" s="82"/>
      <x:c r="AC96" s="82"/>
      <x:c r="AD96" s="68"/>
      <x:c r="AE96" s="68"/>
      <x:c r="AF96" s="90"/>
      <x:c r="AG96" s="68"/>
      <x:c r="AH96" s="82"/>
      <x:c r="AI96" s="82"/>
      <x:c r="AJ96" s="87"/>
    </x:row>
    <x:row r="97">
      <x:c r="A97" s="72" t="str">
        <x:f>IF(OR(C97="",D97=""),"",B97&amp;"-"&amp;UPPER(C97)&amp;"-"&amp;TEXT(D97,"0000")&amp;"-"&amp;E97)</x:f>
      </x:c>
      <x:c r="B97" s="74" t="str">
        <x:v>M04</x:v>
      </x:c>
      <x:c r="C97" s="74"/>
      <x:c r="D97" s="79"/>
      <x:c r="E97" s="74" t="str">
        <x:v>V1.0</x:v>
      </x:c>
      <x:c r="F97" s="68"/>
      <x:c r="G97" s="82"/>
      <x:c r="H97" s="82"/>
      <x:c r="I97" s="68"/>
      <x:c r="J97" s="82"/>
      <x:c r="K97" s="82"/>
      <x:c r="L97" s="68"/>
      <x:c r="M97" s="68"/>
      <x:c r="N97" s="82"/>
      <x:c r="O97" s="68"/>
      <x:c r="P97" s="68"/>
      <x:c r="Q97" s="68"/>
      <x:c r="R97" s="68"/>
      <x:c r="S97" s="68"/>
      <x:c r="T97" s="90"/>
      <x:c r="U97" s="68"/>
      <x:c r="V97" s="68"/>
      <x:c r="W97" s="68"/>
      <x:c r="X97" s="82"/>
      <x:c r="Y97" s="82"/>
      <x:c r="Z97" s="84"/>
      <x:c r="AA97" s="84"/>
      <x:c r="AB97" s="82"/>
      <x:c r="AC97" s="82"/>
      <x:c r="AD97" s="68"/>
      <x:c r="AE97" s="68"/>
      <x:c r="AF97" s="90"/>
      <x:c r="AG97" s="68"/>
      <x:c r="AH97" s="82"/>
      <x:c r="AI97" s="82"/>
      <x:c r="AJ97" s="87"/>
    </x:row>
    <x:row r="98">
      <x:c r="A98" s="72" t="str">
        <x:f>IF(OR(C98="",D98=""),"",B98&amp;"-"&amp;UPPER(C98)&amp;"-"&amp;TEXT(D98,"0000")&amp;"-"&amp;E98)</x:f>
      </x:c>
      <x:c r="B98" s="74" t="str">
        <x:v>M04</x:v>
      </x:c>
      <x:c r="C98" s="74"/>
      <x:c r="D98" s="79"/>
      <x:c r="E98" s="74" t="str">
        <x:v>V1.0</x:v>
      </x:c>
      <x:c r="F98" s="68"/>
      <x:c r="G98" s="82"/>
      <x:c r="H98" s="82"/>
      <x:c r="I98" s="68"/>
      <x:c r="J98" s="82"/>
      <x:c r="K98" s="82"/>
      <x:c r="L98" s="68"/>
      <x:c r="M98" s="68"/>
      <x:c r="N98" s="82"/>
      <x:c r="O98" s="68"/>
      <x:c r="P98" s="68"/>
      <x:c r="Q98" s="68"/>
      <x:c r="R98" s="68"/>
      <x:c r="S98" s="68"/>
      <x:c r="T98" s="90"/>
      <x:c r="U98" s="68"/>
      <x:c r="V98" s="68"/>
      <x:c r="W98" s="68"/>
      <x:c r="X98" s="82"/>
      <x:c r="Y98" s="82"/>
      <x:c r="Z98" s="84"/>
      <x:c r="AA98" s="84"/>
      <x:c r="AB98" s="82"/>
      <x:c r="AC98" s="82"/>
      <x:c r="AD98" s="68"/>
      <x:c r="AE98" s="68"/>
      <x:c r="AF98" s="90"/>
      <x:c r="AG98" s="68"/>
      <x:c r="AH98" s="82"/>
      <x:c r="AI98" s="82"/>
      <x:c r="AJ98" s="87"/>
    </x:row>
    <x:row r="99">
      <x:c r="A99" s="72" t="str">
        <x:f>IF(OR(C99="",D99=""),"",B99&amp;"-"&amp;UPPER(C99)&amp;"-"&amp;TEXT(D99,"0000")&amp;"-"&amp;E99)</x:f>
      </x:c>
      <x:c r="B99" s="74" t="str">
        <x:v>M04</x:v>
      </x:c>
      <x:c r="C99" s="74"/>
      <x:c r="D99" s="79"/>
      <x:c r="E99" s="74" t="str">
        <x:v>V1.0</x:v>
      </x:c>
      <x:c r="F99" s="68"/>
      <x:c r="G99" s="82"/>
      <x:c r="H99" s="82"/>
      <x:c r="I99" s="68"/>
      <x:c r="J99" s="82"/>
      <x:c r="K99" s="82"/>
      <x:c r="L99" s="68"/>
      <x:c r="M99" s="68"/>
      <x:c r="N99" s="82"/>
      <x:c r="O99" s="68"/>
      <x:c r="P99" s="68"/>
      <x:c r="Q99" s="68"/>
      <x:c r="R99" s="68"/>
      <x:c r="S99" s="68"/>
      <x:c r="T99" s="90"/>
      <x:c r="U99" s="68"/>
      <x:c r="V99" s="68"/>
      <x:c r="W99" s="68"/>
      <x:c r="X99" s="82"/>
      <x:c r="Y99" s="82"/>
      <x:c r="Z99" s="84"/>
      <x:c r="AA99" s="84"/>
      <x:c r="AB99" s="82"/>
      <x:c r="AC99" s="82"/>
      <x:c r="AD99" s="68"/>
      <x:c r="AE99" s="68"/>
      <x:c r="AF99" s="90"/>
      <x:c r="AG99" s="68"/>
      <x:c r="AH99" s="82"/>
      <x:c r="AI99" s="82"/>
      <x:c r="AJ99" s="87"/>
    </x:row>
    <x:row r="100">
      <x:c r="A100" s="72" t="str">
        <x:f>IF(OR(C100="",D100=""),"",B100&amp;"-"&amp;UPPER(C100)&amp;"-"&amp;TEXT(D100,"0000")&amp;"-"&amp;E100)</x:f>
      </x:c>
      <x:c r="B100" s="74" t="str">
        <x:v>M04</x:v>
      </x:c>
      <x:c r="C100" s="74"/>
      <x:c r="D100" s="79"/>
      <x:c r="E100" s="74" t="str">
        <x:v>V1.0</x:v>
      </x:c>
      <x:c r="F100" s="68"/>
      <x:c r="G100" s="82"/>
      <x:c r="H100" s="82"/>
      <x:c r="I100" s="68"/>
      <x:c r="J100" s="82"/>
      <x:c r="K100" s="82"/>
      <x:c r="L100" s="68"/>
      <x:c r="M100" s="68"/>
      <x:c r="N100" s="82"/>
      <x:c r="O100" s="68"/>
      <x:c r="P100" s="68"/>
      <x:c r="Q100" s="68"/>
      <x:c r="R100" s="68"/>
      <x:c r="S100" s="68"/>
      <x:c r="T100" s="90"/>
      <x:c r="U100" s="68"/>
      <x:c r="V100" s="68"/>
      <x:c r="W100" s="68"/>
      <x:c r="X100" s="82"/>
      <x:c r="Y100" s="82"/>
      <x:c r="Z100" s="84"/>
      <x:c r="AA100" s="84"/>
      <x:c r="AB100" s="82"/>
      <x:c r="AC100" s="82"/>
      <x:c r="AD100" s="68"/>
      <x:c r="AE100" s="68"/>
      <x:c r="AF100" s="90"/>
      <x:c r="AG100" s="68"/>
      <x:c r="AH100" s="82"/>
      <x:c r="AI100" s="82"/>
      <x:c r="AJ100" s="87"/>
    </x:row>
    <x:row r="101">
      <x:c r="A101" s="72" t="str">
        <x:f>IF(OR(C101="",D101=""),"",B101&amp;"-"&amp;UPPER(C101)&amp;"-"&amp;TEXT(D101,"0000")&amp;"-"&amp;E101)</x:f>
      </x:c>
      <x:c r="B101" s="74" t="str">
        <x:v>M04</x:v>
      </x:c>
      <x:c r="C101" s="74"/>
      <x:c r="D101" s="79"/>
      <x:c r="E101" s="74" t="str">
        <x:v>V1.0</x:v>
      </x:c>
      <x:c r="F101" s="68"/>
      <x:c r="G101" s="82"/>
      <x:c r="H101" s="82"/>
      <x:c r="I101" s="68"/>
      <x:c r="J101" s="82"/>
      <x:c r="K101" s="82"/>
      <x:c r="L101" s="68"/>
      <x:c r="M101" s="68"/>
      <x:c r="N101" s="82"/>
      <x:c r="O101" s="68"/>
      <x:c r="P101" s="68"/>
      <x:c r="Q101" s="68"/>
      <x:c r="R101" s="68"/>
      <x:c r="S101" s="68"/>
      <x:c r="T101" s="90"/>
      <x:c r="U101" s="68"/>
      <x:c r="V101" s="68"/>
      <x:c r="W101" s="68"/>
      <x:c r="X101" s="82"/>
      <x:c r="Y101" s="82"/>
      <x:c r="Z101" s="84"/>
      <x:c r="AA101" s="84"/>
      <x:c r="AB101" s="82"/>
      <x:c r="AC101" s="82"/>
      <x:c r="AD101" s="68"/>
      <x:c r="AE101" s="68"/>
      <x:c r="AF101" s="90"/>
      <x:c r="AG101" s="68"/>
      <x:c r="AH101" s="82"/>
      <x:c r="AI101" s="82"/>
      <x:c r="AJ101" s="87"/>
    </x:row>
    <x:row r="102">
      <x:c r="A102" s="72" t="str">
        <x:f>IF(OR(C102="",D102=""),"",B102&amp;"-"&amp;UPPER(C102)&amp;"-"&amp;TEXT(D102,"0000")&amp;"-"&amp;E102)</x:f>
      </x:c>
      <x:c r="B102" s="74" t="str">
        <x:v>M04</x:v>
      </x:c>
      <x:c r="C102" s="74"/>
      <x:c r="D102" s="79"/>
      <x:c r="E102" s="74" t="str">
        <x:v>V1.0</x:v>
      </x:c>
      <x:c r="F102" s="68"/>
      <x:c r="G102" s="82"/>
      <x:c r="H102" s="82"/>
      <x:c r="I102" s="68"/>
      <x:c r="J102" s="82"/>
      <x:c r="K102" s="82"/>
      <x:c r="L102" s="68"/>
      <x:c r="M102" s="68"/>
      <x:c r="N102" s="82"/>
      <x:c r="O102" s="68"/>
      <x:c r="P102" s="68"/>
      <x:c r="Q102" s="68"/>
      <x:c r="R102" s="68"/>
      <x:c r="S102" s="68"/>
      <x:c r="T102" s="90"/>
      <x:c r="U102" s="68"/>
      <x:c r="V102" s="68"/>
      <x:c r="W102" s="68"/>
      <x:c r="X102" s="82"/>
      <x:c r="Y102" s="82"/>
      <x:c r="Z102" s="84"/>
      <x:c r="AA102" s="84"/>
      <x:c r="AB102" s="82"/>
      <x:c r="AC102" s="82"/>
      <x:c r="AD102" s="68"/>
      <x:c r="AE102" s="68"/>
      <x:c r="AF102" s="90"/>
      <x:c r="AG102" s="68"/>
      <x:c r="AH102" s="82"/>
      <x:c r="AI102" s="82"/>
      <x:c r="AJ102" s="87"/>
    </x:row>
    <x:row r="103">
      <x:c r="A103" s="72" t="str">
        <x:f>IF(OR(C103="",D103=""),"",B103&amp;"-"&amp;UPPER(C103)&amp;"-"&amp;TEXT(D103,"0000")&amp;"-"&amp;E103)</x:f>
      </x:c>
      <x:c r="B103" s="74" t="str">
        <x:v>M04</x:v>
      </x:c>
      <x:c r="C103" s="74"/>
      <x:c r="D103" s="79"/>
      <x:c r="E103" s="74" t="str">
        <x:v>V1.0</x:v>
      </x:c>
      <x:c r="F103" s="68"/>
      <x:c r="G103" s="82"/>
      <x:c r="H103" s="82"/>
      <x:c r="I103" s="68"/>
      <x:c r="J103" s="82"/>
      <x:c r="K103" s="82"/>
      <x:c r="L103" s="68"/>
      <x:c r="M103" s="68"/>
      <x:c r="N103" s="82"/>
      <x:c r="O103" s="68"/>
      <x:c r="P103" s="68"/>
      <x:c r="Q103" s="68"/>
      <x:c r="R103" s="68"/>
      <x:c r="S103" s="68"/>
      <x:c r="T103" s="90"/>
      <x:c r="U103" s="68"/>
      <x:c r="V103" s="68"/>
      <x:c r="W103" s="68"/>
      <x:c r="X103" s="82"/>
      <x:c r="Y103" s="82"/>
      <x:c r="Z103" s="84"/>
      <x:c r="AA103" s="84"/>
      <x:c r="AB103" s="82"/>
      <x:c r="AC103" s="82"/>
      <x:c r="AD103" s="68"/>
      <x:c r="AE103" s="68"/>
      <x:c r="AF103" s="90"/>
      <x:c r="AG103" s="68"/>
      <x:c r="AH103" s="82"/>
      <x:c r="AI103" s="82"/>
      <x:c r="AJ103" s="87"/>
    </x:row>
    <x:row r="104">
      <x:c r="A104" s="72" t="str">
        <x:f>IF(OR(C104="",D104=""),"",B104&amp;"-"&amp;UPPER(C104)&amp;"-"&amp;TEXT(D104,"0000")&amp;"-"&amp;E104)</x:f>
      </x:c>
      <x:c r="B104" s="74" t="str">
        <x:v>M04</x:v>
      </x:c>
      <x:c r="C104" s="74"/>
      <x:c r="D104" s="79"/>
      <x:c r="E104" s="74" t="str">
        <x:v>V1.0</x:v>
      </x:c>
      <x:c r="F104" s="68"/>
      <x:c r="G104" s="82"/>
      <x:c r="H104" s="82"/>
      <x:c r="I104" s="68"/>
      <x:c r="J104" s="82"/>
      <x:c r="K104" s="82"/>
      <x:c r="L104" s="68"/>
      <x:c r="M104" s="68"/>
      <x:c r="N104" s="82"/>
      <x:c r="O104" s="68"/>
      <x:c r="P104" s="68"/>
      <x:c r="Q104" s="68"/>
      <x:c r="R104" s="68"/>
      <x:c r="S104" s="68"/>
      <x:c r="T104" s="90"/>
      <x:c r="U104" s="68"/>
      <x:c r="V104" s="68"/>
      <x:c r="W104" s="68"/>
      <x:c r="X104" s="82"/>
      <x:c r="Y104" s="82"/>
      <x:c r="Z104" s="84"/>
      <x:c r="AA104" s="84"/>
      <x:c r="AB104" s="82"/>
      <x:c r="AC104" s="82"/>
      <x:c r="AD104" s="68"/>
      <x:c r="AE104" s="68"/>
      <x:c r="AF104" s="90"/>
      <x:c r="AG104" s="68"/>
      <x:c r="AH104" s="82"/>
      <x:c r="AI104" s="82"/>
      <x:c r="AJ104" s="87"/>
    </x:row>
    <x:row r="105">
      <x:c r="A105" s="72" t="str">
        <x:f>IF(OR(C105="",D105=""),"",B105&amp;"-"&amp;UPPER(C105)&amp;"-"&amp;TEXT(D105,"0000")&amp;"-"&amp;E105)</x:f>
      </x:c>
      <x:c r="B105" s="74" t="str">
        <x:v>M04</x:v>
      </x:c>
      <x:c r="C105" s="74"/>
      <x:c r="D105" s="79"/>
      <x:c r="E105" s="74" t="str">
        <x:v>V1.0</x:v>
      </x:c>
      <x:c r="F105" s="68"/>
      <x:c r="G105" s="82"/>
      <x:c r="H105" s="82"/>
      <x:c r="I105" s="68"/>
      <x:c r="J105" s="82"/>
      <x:c r="K105" s="82"/>
      <x:c r="L105" s="68"/>
      <x:c r="M105" s="68"/>
      <x:c r="N105" s="82"/>
      <x:c r="O105" s="68"/>
      <x:c r="P105" s="68"/>
      <x:c r="Q105" s="68"/>
      <x:c r="R105" s="68"/>
      <x:c r="S105" s="68"/>
      <x:c r="T105" s="90"/>
      <x:c r="U105" s="68"/>
      <x:c r="V105" s="68"/>
      <x:c r="W105" s="68"/>
      <x:c r="X105" s="82"/>
      <x:c r="Y105" s="82"/>
      <x:c r="Z105" s="84"/>
      <x:c r="AA105" s="84"/>
      <x:c r="AB105" s="82"/>
      <x:c r="AC105" s="82"/>
      <x:c r="AD105" s="68"/>
      <x:c r="AE105" s="68"/>
      <x:c r="AF105" s="90"/>
      <x:c r="AG105" s="68"/>
      <x:c r="AH105" s="82"/>
      <x:c r="AI105" s="82"/>
      <x:c r="AJ105" s="87"/>
    </x:row>
  </x:sheetData>
  <x:mergeCells>
    <x:mergeCell ref="A1:O1"/>
    <x:mergeCell ref="A2:O2"/>
    <x:mergeCell ref="A3:O3"/>
    <x:mergeCell ref="A4:O4"/>
  </x:mergeCells>
  <x:conditionalFormatting sqref="A6:A105">
    <x:cfRule type="expression" dxfId="2"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N6:N105">
      <x:formula1>'99_下拉选项'!$D$4:$D$8</x:formula1>
    </x:dataValidation>
    <x:dataValidation type="list" sqref="X6:X105">
      <x:formula1>'99_下拉选项'!$O$4:$O$7</x:formula1>
    </x:dataValidation>
    <x:dataValidation type="list" sqref="Y6:Y105">
      <x:formula1>'99_下拉选项'!$P$4:$P$8</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 type="list" sqref="E6:E130">
      <x:formula1>'99_下拉选项'!$BG$4:$BG$14</x:formula1>
    </x:dataValidation>
    <x:dataValidation type="list" sqref="E7:E105">
      <x:formula1>'99_下拉选项'!$BG$4:$BG$19</x:formula1>
    </x:dataValidation>
  </x:dataValidations>
  <x:pageMargins left="0.7" right="0.7" top="0.75" bottom="0.75" header="0.3" footer="0.3"/>
  <x:tableParts count="1">
    <x:tablePart xmlns:r="http://schemas.openxmlformats.org/officeDocument/2006/relationships" r:id="R9c274113e31c4d22"/>
  </x:tableParts>
</x:worksheet>
</file>

<file path=xl/worksheets/sheet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M05｜地支刑冲合会害破识别规则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已录入90条正式规则：六合、三合、半合、拱合、三会、六冲、三刑、自刑、六害、六破，以及柱位、岁运补齐、重叠关系与识别边界。此表不直接裁定成局、冲散、刑伤或力量增减。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主要输出：地支关系清单、完整度与叠加关系　｜　直接下游：M06/M08/M10/M11/M12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参与地支</x:v>
      </x:c>
      <x:c r="J5" s="61" t="str">
        <x:v>位置关系</x:v>
      </x:c>
      <x:c r="K5" s="61" t="str">
        <x:v>完整度</x:v>
      </x:c>
      <x:c r="L5" s="61" t="str">
        <x:v>月令归属</x:v>
      </x:c>
      <x:c r="M5" s="61" t="str">
        <x:v>透干情况</x:v>
      </x:c>
      <x:c r="N5" s="61" t="str">
        <x:v>同时关系</x:v>
      </x:c>
      <x:c r="O5" s="61" t="str">
        <x:v>前置条件</x:v>
      </x:c>
      <x:c r="P5" s="61" t="str">
        <x:v>必要条件</x:v>
      </x:c>
      <x:c r="Q5" s="61" t="str">
        <x:v>增强条件</x:v>
      </x:c>
      <x:c r="R5" s="61" t="str">
        <x:v>削弱条件</x:v>
      </x:c>
      <x:c r="S5" s="61" t="str">
        <x:v>否决条件</x:v>
      </x:c>
      <x:c r="T5" s="61" t="str">
        <x:v>例外条件</x:v>
      </x:c>
      <x:c r="U5" s="61" t="str">
        <x:v>识别结论</x:v>
      </x:c>
      <x:c r="V5" s="61" t="str">
        <x:v>不得直接推出</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M05-DEMO-9999-V0.1</x:v>
      </x:c>
      <x:c r="B6" s="76" t="str">
        <x:v>M05</x:v>
      </x:c>
      <x:c r="C6" s="76" t="str">
        <x:v>DEMO</x:v>
      </x:c>
      <x:c r="D6" s="78" t="n">
        <x:v>9999</x:v>
      </x:c>
      <x:c r="E6" s="76" t="str">
        <x:v>V0.1</x:v>
      </x:c>
      <x:c r="F6" s="76" t="str">
        <x:v>寅巳申齐全可识别为三刑结构完整</x:v>
      </x:c>
      <x:c r="G6" s="76" t="str">
        <x:v>识别层</x:v>
      </x:c>
      <x:c r="H6" s="76" t="str">
        <x:v>三刑</x:v>
      </x:c>
      <x:c r="I6" s="76" t="str">
        <x:v>寅、巳、申</x:v>
      </x:c>
      <x:c r="J6" s="76" t="str">
        <x:v>其他</x:v>
      </x:c>
      <x:c r="K6" s="76" t="str">
        <x:v>完整</x:v>
      </x:c>
      <x:c r="L6" s="76" t="str">
        <x:v>分别记录三支中谁得令</x:v>
      </x:c>
      <x:c r="M6" s="76" t="str">
        <x:v>分别记录三支藏干是否透出</x:v>
      </x:c>
      <x:c r="N6" s="76" t="str">
        <x:v>检查寅申冲、巳申合及其他会合</x:v>
      </x:c>
      <x:c r="O6" s="76" t="str">
        <x:v>四柱地支已标准化</x:v>
      </x:c>
      <x:c r="P6" s="76" t="str">
        <x:v>寅、巳、申三支均出现</x:v>
      </x:c>
      <x:c r="Q6" s="76" t="str">
        <x:v>岁运再次引动、相关藏干透出</x:v>
      </x:c>
      <x:c r="R6" s="76" t="str">
        <x:v>部分地支被强合化或结构仅两支</x:v>
      </x:c>
      <x:c r="S6" s="76" t="str">
        <x:v>三支不齐则不能标记为原局完整三刑</x:v>
      </x:c>
      <x:c r="T6" s="76" t="str">
        <x:v>两支相刑及岁运补齐另建规则</x:v>
      </x:c>
      <x:c r="U6" s="76" t="str">
        <x:v>寅巳申三刑结构完整</x:v>
      </x:c>
      <x:c r="V6" s="76" t="str">
        <x:v>不得直接推出巳火必然减力、任何一支必然受伤或日主旺衰改变</x:v>
      </x:c>
      <x:c r="W6" s="76" t="str">
        <x:v>P1_高</x:v>
      </x:c>
      <x:c r="X6" s="76" t="str">
        <x:v>硬约束</x:v>
      </x:c>
      <x:c r="Y6" s="76" t="str">
        <x:v>三刑识别</x:v>
      </x:c>
      <x:c r="Z6" s="76" t="str">
        <x:v>原局寅、巳、申齐全，三刑结构完整；各支实际受力需进入效应层逐支判断。</x:v>
      </x:c>
      <x:c r="AA6" s="76" t="str">
        <x:v>确定</x:v>
      </x:c>
      <x:c r="AB6" s="76" t="str">
        <x:v>现代综合</x:v>
      </x:c>
      <x:c r="AC6" s="76" t="str">
        <x:v>完整性是客观识别；实际效应依赖旺衰、月令、透干和叠加关系。</x:v>
      </x:c>
      <x:c r="AD6" s="76" t="str">
        <x:v>四支中同时具寅、巳、申。</x:v>
      </x:c>
      <x:c r="AE6" s="76" t="str">
        <x:v>仅见寅、巳时不能写成原局三刑完整。</x:v>
      </x:c>
      <x:c r="AF6" s="76" t="str">
        <x:v>示例，仅演示字段用法</x:v>
      </x:c>
      <x:c r="AG6" s="76" t="str">
        <x:v>示例</x:v>
      </x:c>
      <x:c r="AH6" s="76" t="str">
        <x:v>未审核</x:v>
      </x:c>
      <x:c r="AI6" s="86" t="n">
        <x:v>46254</x:v>
      </x:c>
    </x:row>
    <x:row r="7">
      <x:c r="A7" s="72" t="str">
        <x:f>IF(OR(C7="",D7=""),"",B7&amp;"-"&amp;UPPER(C7)&amp;"-"&amp;TEXT(D7,"0000")&amp;"-"&amp;E7)</x:f>
        <x:v>M05-LIUHE-0001-V1.0</x:v>
      </x:c>
      <x:c r="B7" s="74" t="str">
        <x:v>M05</x:v>
      </x:c>
      <x:c r="C7" s="74" t="str">
        <x:v>LIUHE</x:v>
      </x:c>
      <x:c r="D7" s="79" t="n">
        <x:v>1</x:v>
      </x:c>
      <x:c r="E7" s="74" t="str">
        <x:v>V1.0</x:v>
      </x:c>
      <x:c r="F7" s="68" t="str">
        <x:v>子丑六合识别</x:v>
      </x:c>
      <x:c r="G7" s="82" t="str">
        <x:v>识别层</x:v>
      </x:c>
      <x:c r="H7" s="82" t="str">
        <x:v>六合</x:v>
      </x:c>
      <x:c r="I7" s="68" t="str">
        <x:v>子、丑</x:v>
      </x:c>
      <x:c r="J7" s="82" t="str">
        <x:v>其他</x:v>
      </x:c>
      <x:c r="K7" s="82" t="str">
        <x:v>完整</x:v>
      </x:c>
      <x:c r="L7" s="68" t="str">
        <x:v>关系存在不以月支得令为必要条件；须另记录参与支中谁为月支。</x:v>
      </x:c>
      <x:c r="M7" s="68" t="str">
        <x:v>相关藏干是否透出不影响关系识别；透干信息只供后续效应与旺衰判断。</x:v>
      </x:c>
      <x:c r="N7" s="68" t="str">
        <x:v>检查两支是否还参与其他三合、三会、冲、刑、害、破关系。</x:v>
      </x:c>
      <x:c r="O7" s="68" t="str">
        <x:v>四柱地支已按年、月、日、时标准化并保留柱位。</x:v>
      </x:c>
      <x:c r="P7" s="68" t="str">
        <x:v>四柱地支中同时出现子与丑，不要求先满足相邻、得令或透干。</x:v>
      </x:c>
      <x:c r="Q7" s="68" t="str">
        <x:v>位置相邻、结构单一时，关系实例更清楚；仅作为后续效应判断信息。</x:v>
      </x:c>
      <x:c r="R7" s="68" t="str">
        <x:v>隔位、遥隔或多重关系叠加时，结构更复杂，但不自动否定关系存在。</x:v>
      </x:c>
      <x:c r="S7" s="90" t="str">
        <x:v>地支缺少子或丑；藏干出现相应天干不能替代地支子或丑。</x:v>
      </x:c>
      <x:c r="T7" s="68" t="str">
        <x:v>实际合绊、成局、冲散、刑伤、害破及力量变化统一转M06判断。</x:v>
      </x:c>
      <x:c r="U7" s="68" t="str">
        <x:v>原局存在子丑六合关系。</x:v>
      </x:c>
      <x:c r="V7" s="68" t="str">
        <x:v>不得直接推出子丑已经合化、被合住、任一支减力或关系必然有效。</x:v>
      </x:c>
      <x:c r="W7" s="82" t="str">
        <x:v>P0_硬约束</x:v>
      </x:c>
      <x:c r="X7" s="82" t="str">
        <x:v>硬约束</x:v>
      </x:c>
      <x:c r="Y7" s="84" t="str">
        <x:v>子丑六合</x:v>
      </x:c>
      <x:c r="Z7" s="84" t="str">
        <x:v>地支见子、丑，识别为子丑六合；实际是合绊、合动、合住还是合化，转M06判断。</x:v>
      </x:c>
      <x:c r="AA7" s="82" t="str">
        <x:v>确定</x:v>
      </x:c>
      <x:c r="AB7" s="82" t="str">
        <x:v>跨流派共识</x:v>
      </x:c>
      <x:c r="AC7" s="68" t="str">
        <x:v>六合有固定六组配对；识别层只确认配对、柱位及叠加关系。</x:v>
      </x:c>
      <x:c r="AD7" s="68" t="str">
        <x:v>年支为子、日支为丑，登记一组子丑六合。</x:v>
      </x:c>
      <x:c r="AE7" s="90" t="str">
        <x:v>只见子而不见丑，不能登记子丑六合。</x:v>
      </x:c>
      <x:c r="AF7" s="68" t="str">
        <x:v>https://zh.wikisource.org/wiki/淵海子平；https://zh.wikisource.org/zh-hans/三命通會_(四庫全書本)</x:v>
      </x:c>
      <x:c r="AG7" s="82" t="str">
        <x:v>采用</x:v>
      </x:c>
      <x:c r="AH7" s="82" t="str">
        <x:v>初审</x:v>
      </x:c>
      <x:c r="AI7" s="87" t="n">
        <x:v>46255</x:v>
      </x:c>
    </x:row>
    <x:row r="8">
      <x:c r="A8" s="72" t="str">
        <x:f>IF(OR(C8="",D8=""),"",B8&amp;"-"&amp;UPPER(C8)&amp;"-"&amp;TEXT(D8,"0000")&amp;"-"&amp;E8)</x:f>
        <x:v>M05-LIUHE-0002-V1.0</x:v>
      </x:c>
      <x:c r="B8" s="74" t="str">
        <x:v>M05</x:v>
      </x:c>
      <x:c r="C8" s="74" t="str">
        <x:v>LIUHE</x:v>
      </x:c>
      <x:c r="D8" s="79" t="n">
        <x:v>2</x:v>
      </x:c>
      <x:c r="E8" s="74" t="str">
        <x:v>V1.0</x:v>
      </x:c>
      <x:c r="F8" s="68" t="str">
        <x:v>寅亥六合识别</x:v>
      </x:c>
      <x:c r="G8" s="82" t="str">
        <x:v>识别层</x:v>
      </x:c>
      <x:c r="H8" s="82" t="str">
        <x:v>六合</x:v>
      </x:c>
      <x:c r="I8" s="68" t="str">
        <x:v>寅、亥</x:v>
      </x:c>
      <x:c r="J8" s="82" t="str">
        <x:v>其他</x:v>
      </x:c>
      <x:c r="K8" s="82" t="str">
        <x:v>完整</x:v>
      </x:c>
      <x:c r="L8" s="68" t="str">
        <x:v>关系存在不以月支得令为必要条件；须另记录参与支中谁为月支。</x:v>
      </x:c>
      <x:c r="M8" s="68" t="str">
        <x:v>相关藏干是否透出不影响关系识别；透干信息只供后续效应与旺衰判断。</x:v>
      </x:c>
      <x:c r="N8" s="68" t="str">
        <x:v>同时独立检查寅亥破；六合与破可并存。</x:v>
      </x:c>
      <x:c r="O8" s="68" t="str">
        <x:v>四柱地支已按年、月、日、时标准化并保留柱位。</x:v>
      </x:c>
      <x:c r="P8" s="68" t="str">
        <x:v>四柱地支中同时出现寅与亥，不要求先满足相邻、得令或透干。</x:v>
      </x:c>
      <x:c r="Q8" s="68" t="str">
        <x:v>位置相邻、结构单一时，关系实例更清楚；仅作为后续效应判断信息。</x:v>
      </x:c>
      <x:c r="R8" s="68" t="str">
        <x:v>隔位、遥隔或多重关系叠加时，结构更复杂，但不自动否定关系存在。</x:v>
      </x:c>
      <x:c r="S8" s="90" t="str">
        <x:v>地支缺少寅或亥；藏干出现相应天干不能替代地支寅或亥。</x:v>
      </x:c>
      <x:c r="T8" s="68" t="str">
        <x:v>实际合绊、成局、冲散、刑伤、害破及力量变化统一转M06判断。</x:v>
      </x:c>
      <x:c r="U8" s="68" t="str">
        <x:v>原局存在寅亥六合关系。</x:v>
      </x:c>
      <x:c r="V8" s="68" t="str">
        <x:v>不得直接推出寅亥已经合化、被合住、任一支减力或关系必然有效。</x:v>
      </x:c>
      <x:c r="W8" s="82" t="str">
        <x:v>P0_硬约束</x:v>
      </x:c>
      <x:c r="X8" s="82" t="str">
        <x:v>硬约束</x:v>
      </x:c>
      <x:c r="Y8" s="84" t="str">
        <x:v>寅亥六合</x:v>
      </x:c>
      <x:c r="Z8" s="84" t="str">
        <x:v>地支见寅、亥，识别为寅亥六合；实际是合绊、合动、合住还是合化，转M06判断。</x:v>
      </x:c>
      <x:c r="AA8" s="82" t="str">
        <x:v>确定</x:v>
      </x:c>
      <x:c r="AB8" s="82" t="str">
        <x:v>跨流派共识</x:v>
      </x:c>
      <x:c r="AC8" s="68" t="str">
        <x:v>六合有固定六组配对；识别层只确认配对、柱位及叠加关系。</x:v>
      </x:c>
      <x:c r="AD8" s="68" t="str">
        <x:v>年支为寅、日支为亥，登记一组寅亥六合。</x:v>
      </x:c>
      <x:c r="AE8" s="90" t="str">
        <x:v>只见寅而不见亥，不能登记寅亥六合。</x:v>
      </x:c>
      <x:c r="AF8" s="68" t="str">
        <x:v>https://zh.wikisource.org/wiki/淵海子平；https://zh.wikisource.org/zh-hans/三命通會_(四庫全書本)</x:v>
      </x:c>
      <x:c r="AG8" s="82" t="str">
        <x:v>采用</x:v>
      </x:c>
      <x:c r="AH8" s="82" t="str">
        <x:v>初审</x:v>
      </x:c>
      <x:c r="AI8" s="87" t="n">
        <x:v>46255</x:v>
      </x:c>
    </x:row>
    <x:row r="9">
      <x:c r="A9" s="72" t="str">
        <x:f>IF(OR(C9="",D9=""),"",B9&amp;"-"&amp;UPPER(C9)&amp;"-"&amp;TEXT(D9,"0000")&amp;"-"&amp;E9)</x:f>
        <x:v>M05-LIUHE-0003-V1.0</x:v>
      </x:c>
      <x:c r="B9" s="74" t="str">
        <x:v>M05</x:v>
      </x:c>
      <x:c r="C9" s="74" t="str">
        <x:v>LIUHE</x:v>
      </x:c>
      <x:c r="D9" s="79" t="n">
        <x:v>3</x:v>
      </x:c>
      <x:c r="E9" s="74" t="str">
        <x:v>V1.0</x:v>
      </x:c>
      <x:c r="F9" s="68" t="str">
        <x:v>卯戌六合识别</x:v>
      </x:c>
      <x:c r="G9" s="82" t="str">
        <x:v>识别层</x:v>
      </x:c>
      <x:c r="H9" s="82" t="str">
        <x:v>六合</x:v>
      </x:c>
      <x:c r="I9" s="68" t="str">
        <x:v>卯、戌</x:v>
      </x:c>
      <x:c r="J9" s="82" t="str">
        <x:v>其他</x:v>
      </x:c>
      <x:c r="K9" s="82" t="str">
        <x:v>完整</x:v>
      </x:c>
      <x:c r="L9" s="68" t="str">
        <x:v>关系存在不以月支得令为必要条件；须另记录参与支中谁为月支。</x:v>
      </x:c>
      <x:c r="M9" s="68" t="str">
        <x:v>相关藏干是否透出不影响关系识别；透干信息只供后续效应与旺衰判断。</x:v>
      </x:c>
      <x:c r="N9" s="68" t="str">
        <x:v>检查两支是否还参与其他三合、三会、冲、刑、害、破关系。</x:v>
      </x:c>
      <x:c r="O9" s="68" t="str">
        <x:v>四柱地支已按年、月、日、时标准化并保留柱位。</x:v>
      </x:c>
      <x:c r="P9" s="68" t="str">
        <x:v>四柱地支中同时出现卯与戌，不要求先满足相邻、得令或透干。</x:v>
      </x:c>
      <x:c r="Q9" s="68" t="str">
        <x:v>位置相邻、结构单一时，关系实例更清楚；仅作为后续效应判断信息。</x:v>
      </x:c>
      <x:c r="R9" s="68" t="str">
        <x:v>隔位、遥隔或多重关系叠加时，结构更复杂，但不自动否定关系存在。</x:v>
      </x:c>
      <x:c r="S9" s="90" t="str">
        <x:v>地支缺少卯或戌；藏干出现相应天干不能替代地支卯或戌。</x:v>
      </x:c>
      <x:c r="T9" s="68" t="str">
        <x:v>实际合绊、成局、冲散、刑伤、害破及力量变化统一转M06判断。</x:v>
      </x:c>
      <x:c r="U9" s="68" t="str">
        <x:v>原局存在卯戌六合关系。</x:v>
      </x:c>
      <x:c r="V9" s="68" t="str">
        <x:v>不得直接推出卯戌已经合化、被合住、任一支减力或关系必然有效。</x:v>
      </x:c>
      <x:c r="W9" s="82" t="str">
        <x:v>P0_硬约束</x:v>
      </x:c>
      <x:c r="X9" s="82" t="str">
        <x:v>硬约束</x:v>
      </x:c>
      <x:c r="Y9" s="84" t="str">
        <x:v>卯戌六合</x:v>
      </x:c>
      <x:c r="Z9" s="84" t="str">
        <x:v>地支见卯、戌，识别为卯戌六合；实际是合绊、合动、合住还是合化，转M06判断。</x:v>
      </x:c>
      <x:c r="AA9" s="82" t="str">
        <x:v>确定</x:v>
      </x:c>
      <x:c r="AB9" s="82" t="str">
        <x:v>跨流派共识</x:v>
      </x:c>
      <x:c r="AC9" s="68" t="str">
        <x:v>六合有固定六组配对；识别层只确认配对、柱位及叠加关系。</x:v>
      </x:c>
      <x:c r="AD9" s="68" t="str">
        <x:v>年支为卯、日支为戌，登记一组卯戌六合。</x:v>
      </x:c>
      <x:c r="AE9" s="90" t="str">
        <x:v>只见卯而不见戌，不能登记卯戌六合。</x:v>
      </x:c>
      <x:c r="AF9" s="68" t="str">
        <x:v>https://zh.wikisource.org/wiki/淵海子平；https://zh.wikisource.org/zh-hans/三命通會_(四庫全書本)</x:v>
      </x:c>
      <x:c r="AG9" s="82" t="str">
        <x:v>采用</x:v>
      </x:c>
      <x:c r="AH9" s="82" t="str">
        <x:v>初审</x:v>
      </x:c>
      <x:c r="AI9" s="87" t="n">
        <x:v>46255</x:v>
      </x:c>
    </x:row>
    <x:row r="10">
      <x:c r="A10" s="72" t="str">
        <x:f>IF(OR(C10="",D10=""),"",B10&amp;"-"&amp;UPPER(C10)&amp;"-"&amp;TEXT(D10,"0000")&amp;"-"&amp;E10)</x:f>
        <x:v>M05-LIUHE-0004-V1.0</x:v>
      </x:c>
      <x:c r="B10" s="74" t="str">
        <x:v>M05</x:v>
      </x:c>
      <x:c r="C10" s="74" t="str">
        <x:v>LIUHE</x:v>
      </x:c>
      <x:c r="D10" s="79" t="n">
        <x:v>4</x:v>
      </x:c>
      <x:c r="E10" s="74" t="str">
        <x:v>V1.0</x:v>
      </x:c>
      <x:c r="F10" s="68" t="str">
        <x:v>辰酉六合识别</x:v>
      </x:c>
      <x:c r="G10" s="82" t="str">
        <x:v>识别层</x:v>
      </x:c>
      <x:c r="H10" s="82" t="str">
        <x:v>六合</x:v>
      </x:c>
      <x:c r="I10" s="68" t="str">
        <x:v>辰、酉</x:v>
      </x:c>
      <x:c r="J10" s="82" t="str">
        <x:v>其他</x:v>
      </x:c>
      <x:c r="K10" s="82" t="str">
        <x:v>完整</x:v>
      </x:c>
      <x:c r="L10" s="68" t="str">
        <x:v>关系存在不以月支得令为必要条件；须另记录参与支中谁为月支。</x:v>
      </x:c>
      <x:c r="M10" s="68" t="str">
        <x:v>相关藏干是否透出不影响关系识别；透干信息只供后续效应与旺衰判断。</x:v>
      </x:c>
      <x:c r="N10" s="68" t="str">
        <x:v>检查两支是否还参与其他三合、三会、冲、刑、害、破关系。</x:v>
      </x:c>
      <x:c r="O10" s="68" t="str">
        <x:v>四柱地支已按年、月、日、时标准化并保留柱位。</x:v>
      </x:c>
      <x:c r="P10" s="68" t="str">
        <x:v>四柱地支中同时出现辰与酉，不要求先满足相邻、得令或透干。</x:v>
      </x:c>
      <x:c r="Q10" s="68" t="str">
        <x:v>位置相邻、结构单一时，关系实例更清楚；仅作为后续效应判断信息。</x:v>
      </x:c>
      <x:c r="R10" s="68" t="str">
        <x:v>隔位、遥隔或多重关系叠加时，结构更复杂，但不自动否定关系存在。</x:v>
      </x:c>
      <x:c r="S10" s="90" t="str">
        <x:v>地支缺少辰或酉；藏干出现相应天干不能替代地支辰或酉。</x:v>
      </x:c>
      <x:c r="T10" s="68" t="str">
        <x:v>实际合绊、成局、冲散、刑伤、害破及力量变化统一转M06判断。</x:v>
      </x:c>
      <x:c r="U10" s="68" t="str">
        <x:v>原局存在辰酉六合关系。</x:v>
      </x:c>
      <x:c r="V10" s="68" t="str">
        <x:v>不得直接推出辰酉已经合化、被合住、任一支减力或关系必然有效。</x:v>
      </x:c>
      <x:c r="W10" s="82" t="str">
        <x:v>P0_硬约束</x:v>
      </x:c>
      <x:c r="X10" s="82" t="str">
        <x:v>硬约束</x:v>
      </x:c>
      <x:c r="Y10" s="84" t="str">
        <x:v>辰酉六合</x:v>
      </x:c>
      <x:c r="Z10" s="84" t="str">
        <x:v>地支见辰、酉，识别为辰酉六合；实际是合绊、合动、合住还是合化，转M06判断。</x:v>
      </x:c>
      <x:c r="AA10" s="82" t="str">
        <x:v>确定</x:v>
      </x:c>
      <x:c r="AB10" s="82" t="str">
        <x:v>跨流派共识</x:v>
      </x:c>
      <x:c r="AC10" s="68" t="str">
        <x:v>六合有固定六组配对；识别层只确认配对、柱位及叠加关系。</x:v>
      </x:c>
      <x:c r="AD10" s="68" t="str">
        <x:v>年支为辰、日支为酉，登记一组辰酉六合。</x:v>
      </x:c>
      <x:c r="AE10" s="90" t="str">
        <x:v>只见辰而不见酉，不能登记辰酉六合。</x:v>
      </x:c>
      <x:c r="AF10" s="68" t="str">
        <x:v>https://zh.wikisource.org/wiki/淵海子平；https://zh.wikisource.org/zh-hans/三命通會_(四庫全書本)</x:v>
      </x:c>
      <x:c r="AG10" s="82" t="str">
        <x:v>采用</x:v>
      </x:c>
      <x:c r="AH10" s="82" t="str">
        <x:v>初审</x:v>
      </x:c>
      <x:c r="AI10" s="87" t="n">
        <x:v>46255</x:v>
      </x:c>
    </x:row>
    <x:row r="11">
      <x:c r="A11" s="72" t="str">
        <x:f>IF(OR(C11="",D11=""),"",B11&amp;"-"&amp;UPPER(C11)&amp;"-"&amp;TEXT(D11,"0000")&amp;"-"&amp;E11)</x:f>
        <x:v>M05-LIUHE-0005-V1.0</x:v>
      </x:c>
      <x:c r="B11" s="74" t="str">
        <x:v>M05</x:v>
      </x:c>
      <x:c r="C11" s="74" t="str">
        <x:v>LIUHE</x:v>
      </x:c>
      <x:c r="D11" s="79" t="n">
        <x:v>5</x:v>
      </x:c>
      <x:c r="E11" s="74" t="str">
        <x:v>V1.0</x:v>
      </x:c>
      <x:c r="F11" s="68" t="str">
        <x:v>巳申六合识别</x:v>
      </x:c>
      <x:c r="G11" s="82" t="str">
        <x:v>识别层</x:v>
      </x:c>
      <x:c r="H11" s="82" t="str">
        <x:v>六合</x:v>
      </x:c>
      <x:c r="I11" s="68" t="str">
        <x:v>巳、申</x:v>
      </x:c>
      <x:c r="J11" s="82" t="str">
        <x:v>其他</x:v>
      </x:c>
      <x:c r="K11" s="82" t="str">
        <x:v>完整</x:v>
      </x:c>
      <x:c r="L11" s="68" t="str">
        <x:v>关系存在不以月支得令为必要条件；须另记录参与支中谁为月支。</x:v>
      </x:c>
      <x:c r="M11" s="68" t="str">
        <x:v>相关藏干是否透出不影响关系识别；透干信息只供后续效应与旺衰判断。</x:v>
      </x:c>
      <x:c r="N11" s="68" t="str">
        <x:v>同时独立检查巳申刑与巳申破；三种关系可并存。</x:v>
      </x:c>
      <x:c r="O11" s="68" t="str">
        <x:v>四柱地支已按年、月、日、时标准化并保留柱位。</x:v>
      </x:c>
      <x:c r="P11" s="68" t="str">
        <x:v>四柱地支中同时出现巳与申，不要求先满足相邻、得令或透干。</x:v>
      </x:c>
      <x:c r="Q11" s="68" t="str">
        <x:v>位置相邻、结构单一时，关系实例更清楚；仅作为后续效应判断信息。</x:v>
      </x:c>
      <x:c r="R11" s="68" t="str">
        <x:v>隔位、遥隔或多重关系叠加时，结构更复杂，但不自动否定关系存在。</x:v>
      </x:c>
      <x:c r="S11" s="90" t="str">
        <x:v>地支缺少巳或申；藏干出现相应天干不能替代地支巳或申。</x:v>
      </x:c>
      <x:c r="T11" s="68" t="str">
        <x:v>实际合绊、成局、冲散、刑伤、害破及力量变化统一转M06判断。</x:v>
      </x:c>
      <x:c r="U11" s="68" t="str">
        <x:v>原局存在巳申六合关系。</x:v>
      </x:c>
      <x:c r="V11" s="68" t="str">
        <x:v>不得直接推出巳申已经合化、被合住、任一支减力或关系必然有效。</x:v>
      </x:c>
      <x:c r="W11" s="82" t="str">
        <x:v>P0_硬约束</x:v>
      </x:c>
      <x:c r="X11" s="82" t="str">
        <x:v>硬约束</x:v>
      </x:c>
      <x:c r="Y11" s="84" t="str">
        <x:v>巳申六合</x:v>
      </x:c>
      <x:c r="Z11" s="84" t="str">
        <x:v>地支见巳、申，识别为巳申六合；实际是合绊、合动、合住还是合化，转M06判断。</x:v>
      </x:c>
      <x:c r="AA11" s="82" t="str">
        <x:v>确定</x:v>
      </x:c>
      <x:c r="AB11" s="82" t="str">
        <x:v>跨流派共识</x:v>
      </x:c>
      <x:c r="AC11" s="68" t="str">
        <x:v>六合有固定六组配对；识别层只确认配对、柱位及叠加关系。</x:v>
      </x:c>
      <x:c r="AD11" s="68" t="str">
        <x:v>年支为巳、日支为申，登记一组巳申六合。</x:v>
      </x:c>
      <x:c r="AE11" s="90" t="str">
        <x:v>只见巳而不见申，不能登记巳申六合。</x:v>
      </x:c>
      <x:c r="AF11" s="68" t="str">
        <x:v>https://zh.wikisource.org/wiki/淵海子平；https://zh.wikisource.org/zh-hans/三命通會_(四庫全書本)</x:v>
      </x:c>
      <x:c r="AG11" s="82" t="str">
        <x:v>采用</x:v>
      </x:c>
      <x:c r="AH11" s="82" t="str">
        <x:v>初审</x:v>
      </x:c>
      <x:c r="AI11" s="87" t="n">
        <x:v>46255</x:v>
      </x:c>
    </x:row>
    <x:row r="12">
      <x:c r="A12" s="72" t="str">
        <x:f>IF(OR(C12="",D12=""),"",B12&amp;"-"&amp;UPPER(C12)&amp;"-"&amp;TEXT(D12,"0000")&amp;"-"&amp;E12)</x:f>
        <x:v>M05-LIUHE-0006-V1.0</x:v>
      </x:c>
      <x:c r="B12" s="74" t="str">
        <x:v>M05</x:v>
      </x:c>
      <x:c r="C12" s="74" t="str">
        <x:v>LIUHE</x:v>
      </x:c>
      <x:c r="D12" s="79" t="n">
        <x:v>6</x:v>
      </x:c>
      <x:c r="E12" s="74" t="str">
        <x:v>V1.0</x:v>
      </x:c>
      <x:c r="F12" s="68" t="str">
        <x:v>午未六合识别</x:v>
      </x:c>
      <x:c r="G12" s="82" t="str">
        <x:v>识别层</x:v>
      </x:c>
      <x:c r="H12" s="82" t="str">
        <x:v>六合</x:v>
      </x:c>
      <x:c r="I12" s="68" t="str">
        <x:v>午、未</x:v>
      </x:c>
      <x:c r="J12" s="82" t="str">
        <x:v>其他</x:v>
      </x:c>
      <x:c r="K12" s="82" t="str">
        <x:v>完整</x:v>
      </x:c>
      <x:c r="L12" s="68" t="str">
        <x:v>关系存在不以月支得令为必要条件；须另记录参与支中谁为月支。</x:v>
      </x:c>
      <x:c r="M12" s="68" t="str">
        <x:v>相关藏干是否透出不影响关系识别；透干信息只供后续效应与旺衰判断。</x:v>
      </x:c>
      <x:c r="N12" s="68" t="str">
        <x:v>检查两支是否还参与其他三合、三会、冲、刑、害、破关系。</x:v>
      </x:c>
      <x:c r="O12" s="68" t="str">
        <x:v>四柱地支已按年、月、日、时标准化并保留柱位。</x:v>
      </x:c>
      <x:c r="P12" s="68" t="str">
        <x:v>四柱地支中同时出现午与未，不要求先满足相邻、得令或透干。</x:v>
      </x:c>
      <x:c r="Q12" s="68" t="str">
        <x:v>位置相邻、结构单一时，关系实例更清楚；仅作为后续效应判断信息。</x:v>
      </x:c>
      <x:c r="R12" s="68" t="str">
        <x:v>隔位、遥隔或多重关系叠加时，结构更复杂，但不自动否定关系存在。</x:v>
      </x:c>
      <x:c r="S12" s="90" t="str">
        <x:v>地支缺少午或未；藏干出现相应天干不能替代地支午或未。</x:v>
      </x:c>
      <x:c r="T12" s="68" t="str">
        <x:v>实际合绊、成局、冲散、刑伤、害破及力量变化统一转M06判断。</x:v>
      </x:c>
      <x:c r="U12" s="68" t="str">
        <x:v>原局存在午未六合关系。</x:v>
      </x:c>
      <x:c r="V12" s="68" t="str">
        <x:v>不得直接推出午未已经合化、被合住、任一支减力或关系必然有效。</x:v>
      </x:c>
      <x:c r="W12" s="82" t="str">
        <x:v>P0_硬约束</x:v>
      </x:c>
      <x:c r="X12" s="82" t="str">
        <x:v>硬约束</x:v>
      </x:c>
      <x:c r="Y12" s="84" t="str">
        <x:v>午未六合</x:v>
      </x:c>
      <x:c r="Z12" s="84" t="str">
        <x:v>地支见午、未，识别为午未六合；实际是合绊、合动、合住还是合化，转M06判断。</x:v>
      </x:c>
      <x:c r="AA12" s="82" t="str">
        <x:v>确定</x:v>
      </x:c>
      <x:c r="AB12" s="82" t="str">
        <x:v>跨流派共识</x:v>
      </x:c>
      <x:c r="AC12" s="68" t="str">
        <x:v>六合有固定六组配对；识别层只确认配对、柱位及叠加关系。</x:v>
      </x:c>
      <x:c r="AD12" s="68" t="str">
        <x:v>年支为午、日支为未，登记一组午未六合。</x:v>
      </x:c>
      <x:c r="AE12" s="90" t="str">
        <x:v>只见午而不见未，不能登记午未六合。</x:v>
      </x:c>
      <x:c r="AF12" s="68" t="str">
        <x:v>https://zh.wikisource.org/wiki/淵海子平；https://zh.wikisource.org/zh-hans/三命通會_(四庫全書本)</x:v>
      </x:c>
      <x:c r="AG12" s="82" t="str">
        <x:v>采用</x:v>
      </x:c>
      <x:c r="AH12" s="82" t="str">
        <x:v>初审</x:v>
      </x:c>
      <x:c r="AI12" s="87" t="n">
        <x:v>46255</x:v>
      </x:c>
    </x:row>
    <x:row r="13">
      <x:c r="A13" s="72" t="str">
        <x:f>IF(OR(C13="",D13=""),"",B13&amp;"-"&amp;UPPER(C13)&amp;"-"&amp;TEXT(D13,"0000")&amp;"-"&amp;E13)</x:f>
        <x:v>M05-SANHE-0007-V1.0</x:v>
      </x:c>
      <x:c r="B13" s="74" t="str">
        <x:v>M05</x:v>
      </x:c>
      <x:c r="C13" s="74" t="str">
        <x:v>SANHE</x:v>
      </x:c>
      <x:c r="D13" s="79" t="n">
        <x:v>7</x:v>
      </x:c>
      <x:c r="E13" s="74" t="str">
        <x:v>V1.0</x:v>
      </x:c>
      <x:c r="F13" s="68" t="str">
        <x:v>申子辰三合结构完整识别</x:v>
      </x:c>
      <x:c r="G13" s="82" t="str">
        <x:v>识别层</x:v>
      </x:c>
      <x:c r="H13" s="82" t="str">
        <x:v>三合</x:v>
      </x:c>
      <x:c r="I13" s="68" t="str">
        <x:v>申、子、辰</x:v>
      </x:c>
      <x:c r="J13" s="82" t="str">
        <x:v>其他</x:v>
      </x:c>
      <x:c r="K13" s="82" t="str">
        <x:v>完整</x:v>
      </x:c>
      <x:c r="L13" s="68" t="str">
        <x:v>记录三支中哪一支为月支及中神是否得令；月令不决定三支是否齐全。</x:v>
      </x:c>
      <x:c r="M13" s="68" t="str">
        <x:v>相关藏干是否透出不影响关系识别；透干信息只供后续效应与旺衰判断。</x:v>
      </x:c>
      <x:c r="N13" s="68" t="str">
        <x:v>同时检查三支内部的半合、拱合、冲刑害破及与第四支的其他关系；完整结构优先保留为三合候选。</x:v>
      </x:c>
      <x:c r="O13" s="68" t="str">
        <x:v>四柱地支已按年、月、日、时标准化并保留柱位。</x:v>
      </x:c>
      <x:c r="P13" s="68" t="str">
        <x:v>四柱地支中申、子、辰三支均至少出现一次，顺序与是否相邻不影响“齐全”判断。</x:v>
      </x:c>
      <x:c r="Q13" s="68" t="str">
        <x:v>中神临月令、相关五行透出或三支相邻时，只增强后续成局候选，不改变完整度事实。</x:v>
      </x:c>
      <x:c r="R13" s="68" t="str">
        <x:v>三支隔散、受冲刑或另成会合时，仅使后续成局效应复杂，不把完整结构改写为缺失。</x:v>
      </x:c>
      <x:c r="S13" s="90" t="str">
        <x:v>缺少申、子、辰中的任一支；同一支重复不能替代缺支。</x:v>
      </x:c>
      <x:c r="T13" s="68" t="str">
        <x:v>三支齐全只表示三合结构完整；是否成局、化为目标五行及优先级转M06。</x:v>
      </x:c>
      <x:c r="U13" s="68" t="str">
        <x:v>原局申子辰三合结构完整，生成合水局候选。</x:v>
      </x:c>
      <x:c r="V13" s="68" t="str">
        <x:v>不得直接输出已成水局、三支原五行消失或任一支必然增减力。</x:v>
      </x:c>
      <x:c r="W13" s="82" t="str">
        <x:v>P0_硬约束</x:v>
      </x:c>
      <x:c r="X13" s="82" t="str">
        <x:v>硬约束</x:v>
      </x:c>
      <x:c r="Y13" s="84" t="str">
        <x:v>申子辰三合完整</x:v>
      </x:c>
      <x:c r="Z13" s="84" t="str">
        <x:v>原局见申、子、辰，申子辰三合结构完整；合水局仅为候选，成局条件与实际效应转M06。</x:v>
      </x:c>
      <x:c r="AA13" s="82" t="str">
        <x:v>确定</x:v>
      </x:c>
      <x:c r="AB13" s="82" t="str">
        <x:v>跨流派共识</x:v>
      </x:c>
      <x:c r="AC13" s="68" t="str">
        <x:v>三合局以生、旺、墓三支齐全为完整结构；完整性与成局效应分开。</x:v>
      </x:c>
      <x:c r="AD13" s="68" t="str">
        <x:v>四支中同时见申、子、辰，不论排列顺序，均登记申子辰三合完整。</x:v>
      </x:c>
      <x:c r="AE13" s="90" t="str">
        <x:v>只见申、子而缺辰，不得标记申子辰三合完整。</x:v>
      </x:c>
      <x:c r="AF13" s="68" t="str">
        <x:v>https://zh.wikisource.org/wiki/淵海子平；https://zh.wikisource.org/zh-hans/三命通會_(四庫全書本)</x:v>
      </x:c>
      <x:c r="AG13" s="82" t="str">
        <x:v>采用</x:v>
      </x:c>
      <x:c r="AH13" s="82" t="str">
        <x:v>初审</x:v>
      </x:c>
      <x:c r="AI13" s="87" t="n">
        <x:v>46255</x:v>
      </x:c>
    </x:row>
    <x:row r="14">
      <x:c r="A14" s="72" t="str">
        <x:f>IF(OR(C14="",D14=""),"",B14&amp;"-"&amp;UPPER(C14)&amp;"-"&amp;TEXT(D14,"0000")&amp;"-"&amp;E14)</x:f>
        <x:v>M05-SANHE-0008-V1.0</x:v>
      </x:c>
      <x:c r="B14" s="74" t="str">
        <x:v>M05</x:v>
      </x:c>
      <x:c r="C14" s="74" t="str">
        <x:v>SANHE</x:v>
      </x:c>
      <x:c r="D14" s="79" t="n">
        <x:v>8</x:v>
      </x:c>
      <x:c r="E14" s="74" t="str">
        <x:v>V1.0</x:v>
      </x:c>
      <x:c r="F14" s="68" t="str">
        <x:v>亥卯未三合结构完整识别</x:v>
      </x:c>
      <x:c r="G14" s="82" t="str">
        <x:v>识别层</x:v>
      </x:c>
      <x:c r="H14" s="82" t="str">
        <x:v>三合</x:v>
      </x:c>
      <x:c r="I14" s="68" t="str">
        <x:v>亥、卯、未</x:v>
      </x:c>
      <x:c r="J14" s="82" t="str">
        <x:v>其他</x:v>
      </x:c>
      <x:c r="K14" s="82" t="str">
        <x:v>完整</x:v>
      </x:c>
      <x:c r="L14" s="68" t="str">
        <x:v>记录三支中哪一支为月支及中神是否得令；月令不决定三支是否齐全。</x:v>
      </x:c>
      <x:c r="M14" s="68" t="str">
        <x:v>相关藏干是否透出不影响关系识别；透干信息只供后续效应与旺衰判断。</x:v>
      </x:c>
      <x:c r="N14" s="68" t="str">
        <x:v>同时检查三支内部的半合、拱合、冲刑害破及与第四支的其他关系；完整结构优先保留为三合候选。</x:v>
      </x:c>
      <x:c r="O14" s="68" t="str">
        <x:v>四柱地支已按年、月、日、时标准化并保留柱位。</x:v>
      </x:c>
      <x:c r="P14" s="68" t="str">
        <x:v>四柱地支中亥、卯、未三支均至少出现一次，顺序与是否相邻不影响“齐全”判断。</x:v>
      </x:c>
      <x:c r="Q14" s="68" t="str">
        <x:v>中神临月令、相关五行透出或三支相邻时，只增强后续成局候选，不改变完整度事实。</x:v>
      </x:c>
      <x:c r="R14" s="68" t="str">
        <x:v>三支隔散、受冲刑或另成会合时，仅使后续成局效应复杂，不把完整结构改写为缺失。</x:v>
      </x:c>
      <x:c r="S14" s="90" t="str">
        <x:v>缺少亥、卯、未中的任一支；同一支重复不能替代缺支。</x:v>
      </x:c>
      <x:c r="T14" s="68" t="str">
        <x:v>三支齐全只表示三合结构完整；是否成局、化为目标五行及优先级转M06。</x:v>
      </x:c>
      <x:c r="U14" s="68" t="str">
        <x:v>原局亥卯未三合结构完整，生成合木局候选。</x:v>
      </x:c>
      <x:c r="V14" s="68" t="str">
        <x:v>不得直接输出已成木局、三支原五行消失或任一支必然增减力。</x:v>
      </x:c>
      <x:c r="W14" s="82" t="str">
        <x:v>P0_硬约束</x:v>
      </x:c>
      <x:c r="X14" s="82" t="str">
        <x:v>硬约束</x:v>
      </x:c>
      <x:c r="Y14" s="84" t="str">
        <x:v>亥卯未三合完整</x:v>
      </x:c>
      <x:c r="Z14" s="84" t="str">
        <x:v>原局见亥、卯、未，亥卯未三合结构完整；合木局仅为候选，成局条件与实际效应转M06。</x:v>
      </x:c>
      <x:c r="AA14" s="82" t="str">
        <x:v>确定</x:v>
      </x:c>
      <x:c r="AB14" s="82" t="str">
        <x:v>跨流派共识</x:v>
      </x:c>
      <x:c r="AC14" s="68" t="str">
        <x:v>三合局以生、旺、墓三支齐全为完整结构；完整性与成局效应分开。</x:v>
      </x:c>
      <x:c r="AD14" s="68" t="str">
        <x:v>四支中同时见亥、卯、未，不论排列顺序，均登记亥卯未三合完整。</x:v>
      </x:c>
      <x:c r="AE14" s="90" t="str">
        <x:v>只见亥、卯而缺未，不得标记亥卯未三合完整。</x:v>
      </x:c>
      <x:c r="AF14" s="68" t="str">
        <x:v>https://zh.wikisource.org/wiki/淵海子平；https://zh.wikisource.org/zh-hans/三命通會_(四庫全書本)</x:v>
      </x:c>
      <x:c r="AG14" s="82" t="str">
        <x:v>采用</x:v>
      </x:c>
      <x:c r="AH14" s="82" t="str">
        <x:v>初审</x:v>
      </x:c>
      <x:c r="AI14" s="87" t="n">
        <x:v>46255</x:v>
      </x:c>
    </x:row>
    <x:row r="15">
      <x:c r="A15" s="72" t="str">
        <x:f>IF(OR(C15="",D15=""),"",B15&amp;"-"&amp;UPPER(C15)&amp;"-"&amp;TEXT(D15,"0000")&amp;"-"&amp;E15)</x:f>
        <x:v>M05-SANHE-0009-V1.0</x:v>
      </x:c>
      <x:c r="B15" s="74" t="str">
        <x:v>M05</x:v>
      </x:c>
      <x:c r="C15" s="74" t="str">
        <x:v>SANHE</x:v>
      </x:c>
      <x:c r="D15" s="79" t="n">
        <x:v>9</x:v>
      </x:c>
      <x:c r="E15" s="74" t="str">
        <x:v>V1.0</x:v>
      </x:c>
      <x:c r="F15" s="68" t="str">
        <x:v>寅午戌三合结构完整识别</x:v>
      </x:c>
      <x:c r="G15" s="82" t="str">
        <x:v>识别层</x:v>
      </x:c>
      <x:c r="H15" s="82" t="str">
        <x:v>三合</x:v>
      </x:c>
      <x:c r="I15" s="68" t="str">
        <x:v>寅、午、戌</x:v>
      </x:c>
      <x:c r="J15" s="82" t="str">
        <x:v>其他</x:v>
      </x:c>
      <x:c r="K15" s="82" t="str">
        <x:v>完整</x:v>
      </x:c>
      <x:c r="L15" s="68" t="str">
        <x:v>记录三支中哪一支为月支及中神是否得令；月令不决定三支是否齐全。</x:v>
      </x:c>
      <x:c r="M15" s="68" t="str">
        <x:v>相关藏干是否透出不影响关系识别；透干信息只供后续效应与旺衰判断。</x:v>
      </x:c>
      <x:c r="N15" s="68" t="str">
        <x:v>同时检查三支内部的半合、拱合、冲刑害破及与第四支的其他关系；完整结构优先保留为三合候选。</x:v>
      </x:c>
      <x:c r="O15" s="68" t="str">
        <x:v>四柱地支已按年、月、日、时标准化并保留柱位。</x:v>
      </x:c>
      <x:c r="P15" s="68" t="str">
        <x:v>四柱地支中寅、午、戌三支均至少出现一次，顺序与是否相邻不影响“齐全”判断。</x:v>
      </x:c>
      <x:c r="Q15" s="68" t="str">
        <x:v>中神临月令、相关五行透出或三支相邻时，只增强后续成局候选，不改变完整度事实。</x:v>
      </x:c>
      <x:c r="R15" s="68" t="str">
        <x:v>三支隔散、受冲刑或另成会合时，仅使后续成局效应复杂，不把完整结构改写为缺失。</x:v>
      </x:c>
      <x:c r="S15" s="90" t="str">
        <x:v>缺少寅、午、戌中的任一支；同一支重复不能替代缺支。</x:v>
      </x:c>
      <x:c r="T15" s="68" t="str">
        <x:v>三支齐全只表示三合结构完整；是否成局、化为目标五行及优先级转M06。</x:v>
      </x:c>
      <x:c r="U15" s="68" t="str">
        <x:v>原局寅午戌三合结构完整，生成合火局候选。</x:v>
      </x:c>
      <x:c r="V15" s="68" t="str">
        <x:v>不得直接输出已成火局、三支原五行消失或任一支必然增减力。</x:v>
      </x:c>
      <x:c r="W15" s="82" t="str">
        <x:v>P0_硬约束</x:v>
      </x:c>
      <x:c r="X15" s="82" t="str">
        <x:v>硬约束</x:v>
      </x:c>
      <x:c r="Y15" s="84" t="str">
        <x:v>寅午戌三合完整</x:v>
      </x:c>
      <x:c r="Z15" s="84" t="str">
        <x:v>原局见寅、午、戌，寅午戌三合结构完整；合火局仅为候选，成局条件与实际效应转M06。</x:v>
      </x:c>
      <x:c r="AA15" s="82" t="str">
        <x:v>确定</x:v>
      </x:c>
      <x:c r="AB15" s="82" t="str">
        <x:v>跨流派共识</x:v>
      </x:c>
      <x:c r="AC15" s="68" t="str">
        <x:v>三合局以生、旺、墓三支齐全为完整结构；完整性与成局效应分开。</x:v>
      </x:c>
      <x:c r="AD15" s="68" t="str">
        <x:v>四支中同时见寅、午、戌，不论排列顺序，均登记寅午戌三合完整。</x:v>
      </x:c>
      <x:c r="AE15" s="90" t="str">
        <x:v>只见寅、午而缺戌，不得标记寅午戌三合完整。</x:v>
      </x:c>
      <x:c r="AF15" s="68" t="str">
        <x:v>https://zh.wikisource.org/wiki/淵海子平；https://zh.wikisource.org/zh-hans/三命通會_(四庫全書本)</x:v>
      </x:c>
      <x:c r="AG15" s="82" t="str">
        <x:v>采用</x:v>
      </x:c>
      <x:c r="AH15" s="82" t="str">
        <x:v>初审</x:v>
      </x:c>
      <x:c r="AI15" s="87" t="n">
        <x:v>46255</x:v>
      </x:c>
    </x:row>
    <x:row r="16">
      <x:c r="A16" s="72" t="str">
        <x:f>IF(OR(C16="",D16=""),"",B16&amp;"-"&amp;UPPER(C16)&amp;"-"&amp;TEXT(D16,"0000")&amp;"-"&amp;E16)</x:f>
        <x:v>M05-SANHE-0010-V1.0</x:v>
      </x:c>
      <x:c r="B16" s="74" t="str">
        <x:v>M05</x:v>
      </x:c>
      <x:c r="C16" s="74" t="str">
        <x:v>SANHE</x:v>
      </x:c>
      <x:c r="D16" s="79" t="n">
        <x:v>10</x:v>
      </x:c>
      <x:c r="E16" s="74" t="str">
        <x:v>V1.0</x:v>
      </x:c>
      <x:c r="F16" s="68" t="str">
        <x:v>巳酉丑三合结构完整识别</x:v>
      </x:c>
      <x:c r="G16" s="82" t="str">
        <x:v>识别层</x:v>
      </x:c>
      <x:c r="H16" s="82" t="str">
        <x:v>三合</x:v>
      </x:c>
      <x:c r="I16" s="68" t="str">
        <x:v>巳、酉、丑</x:v>
      </x:c>
      <x:c r="J16" s="82" t="str">
        <x:v>其他</x:v>
      </x:c>
      <x:c r="K16" s="82" t="str">
        <x:v>完整</x:v>
      </x:c>
      <x:c r="L16" s="68" t="str">
        <x:v>记录三支中哪一支为月支及中神是否得令；月令不决定三支是否齐全。</x:v>
      </x:c>
      <x:c r="M16" s="68" t="str">
        <x:v>相关藏干是否透出不影响关系识别；透干信息只供后续效应与旺衰判断。</x:v>
      </x:c>
      <x:c r="N16" s="68" t="str">
        <x:v>同时检查三支内部的半合、拱合、冲刑害破及与第四支的其他关系；完整结构优先保留为三合候选。</x:v>
      </x:c>
      <x:c r="O16" s="68" t="str">
        <x:v>四柱地支已按年、月、日、时标准化并保留柱位。</x:v>
      </x:c>
      <x:c r="P16" s="68" t="str">
        <x:v>四柱地支中巳、酉、丑三支均至少出现一次，顺序与是否相邻不影响“齐全”判断。</x:v>
      </x:c>
      <x:c r="Q16" s="68" t="str">
        <x:v>中神临月令、相关五行透出或三支相邻时，只增强后续成局候选，不改变完整度事实。</x:v>
      </x:c>
      <x:c r="R16" s="68" t="str">
        <x:v>三支隔散、受冲刑或另成会合时，仅使后续成局效应复杂，不把完整结构改写为缺失。</x:v>
      </x:c>
      <x:c r="S16" s="90" t="str">
        <x:v>缺少巳、酉、丑中的任一支；同一支重复不能替代缺支。</x:v>
      </x:c>
      <x:c r="T16" s="68" t="str">
        <x:v>三支齐全只表示三合结构完整；是否成局、化为目标五行及优先级转M06。</x:v>
      </x:c>
      <x:c r="U16" s="68" t="str">
        <x:v>原局巳酉丑三合结构完整，生成合金局候选。</x:v>
      </x:c>
      <x:c r="V16" s="68" t="str">
        <x:v>不得直接输出已成金局、三支原五行消失或任一支必然增减力。</x:v>
      </x:c>
      <x:c r="W16" s="82" t="str">
        <x:v>P0_硬约束</x:v>
      </x:c>
      <x:c r="X16" s="82" t="str">
        <x:v>硬约束</x:v>
      </x:c>
      <x:c r="Y16" s="84" t="str">
        <x:v>巳酉丑三合完整</x:v>
      </x:c>
      <x:c r="Z16" s="84" t="str">
        <x:v>原局见巳、酉、丑，巳酉丑三合结构完整；合金局仅为候选，成局条件与实际效应转M06。</x:v>
      </x:c>
      <x:c r="AA16" s="82" t="str">
        <x:v>确定</x:v>
      </x:c>
      <x:c r="AB16" s="82" t="str">
        <x:v>跨流派共识</x:v>
      </x:c>
      <x:c r="AC16" s="68" t="str">
        <x:v>三合局以生、旺、墓三支齐全为完整结构；完整性与成局效应分开。</x:v>
      </x:c>
      <x:c r="AD16" s="68" t="str">
        <x:v>四支中同时见巳、酉、丑，不论排列顺序，均登记巳酉丑三合完整。</x:v>
      </x:c>
      <x:c r="AE16" s="90" t="str">
        <x:v>只见巳、酉而缺丑，不得标记巳酉丑三合完整。</x:v>
      </x:c>
      <x:c r="AF16" s="68" t="str">
        <x:v>https://zh.wikisource.org/wiki/淵海子平；https://zh.wikisource.org/zh-hans/三命通會_(四庫全書本)</x:v>
      </x:c>
      <x:c r="AG16" s="82" t="str">
        <x:v>采用</x:v>
      </x:c>
      <x:c r="AH16" s="82" t="str">
        <x:v>初审</x:v>
      </x:c>
      <x:c r="AI16" s="87" t="n">
        <x:v>46255</x:v>
      </x:c>
    </x:row>
    <x:row r="17">
      <x:c r="A17" s="72" t="str">
        <x:f>IF(OR(C17="",D17=""),"",B17&amp;"-"&amp;UPPER(C17)&amp;"-"&amp;TEXT(D17,"0000")&amp;"-"&amp;E17)</x:f>
        <x:v>M05-BANHE-0011-V1.0</x:v>
      </x:c>
      <x:c r="B17" s="74" t="str">
        <x:v>M05</x:v>
      </x:c>
      <x:c r="C17" s="74" t="str">
        <x:v>BANHE</x:v>
      </x:c>
      <x:c r="D17" s="79" t="n">
        <x:v>11</x:v>
      </x:c>
      <x:c r="E17" s="74" t="str">
        <x:v>V1.0</x:v>
      </x:c>
      <x:c r="F17" s="68" t="str">
        <x:v>申子半合识别</x:v>
      </x:c>
      <x:c r="G17" s="82" t="str">
        <x:v>识别层</x:v>
      </x:c>
      <x:c r="H17" s="82" t="str">
        <x:v>半合</x:v>
      </x:c>
      <x:c r="I17" s="68" t="str">
        <x:v>申、子</x:v>
      </x:c>
      <x:c r="J17" s="82" t="str">
        <x:v>其他</x:v>
      </x:c>
      <x:c r="K17" s="82" t="str">
        <x:v>部分</x:v>
      </x:c>
      <x:c r="L17" s="68" t="str">
        <x:v>记录申、子中谁为月支，尤其记录中神是否得令；月令不改变两支同时出现的事实。</x:v>
      </x:c>
      <x:c r="M17" s="68" t="str">
        <x:v>相关藏干是否透出不影响关系识别；透干信息只供后续效应与旺衰判断。</x:v>
      </x:c>
      <x:c r="N17" s="68" t="str">
        <x:v>检查缺失支辰是否实际已出现；若出现，应另列完整三合结构，不再只以半合概括。</x:v>
      </x:c>
      <x:c r="O17" s="68" t="str">
        <x:v>四柱地支已按年、月、日、时标准化并保留柱位。</x:v>
      </x:c>
      <x:c r="P17" s="68" t="str">
        <x:v>四柱地支中同时出现申与子，且对应三合组的第三支辰未出现。</x:v>
      </x:c>
      <x:c r="Q17" s="68" t="str">
        <x:v>中神得令、两支相邻或目标五行透出时，仅提高后续成局可能。</x:v>
      </x:c>
      <x:c r="R17" s="68" t="str">
        <x:v>两支隔位、受其他合冲刑害牵连时，后续作用更不确定。</x:v>
      </x:c>
      <x:c r="S17" s="90" t="str">
        <x:v>缺少申或子；若辰同时出现，则应升级登记完整三合而非仅记半合。</x:v>
      </x:c>
      <x:c r="T17" s="68" t="str">
        <x:v>半合只表示三合结构部分成立；具体是否形成有效合势转M06。</x:v>
      </x:c>
      <x:c r="U17" s="68" t="str">
        <x:v>原局存在申子半合，为合水局的部分候选。</x:v>
      </x:c>
      <x:c r="V17" s="68" t="str">
        <x:v>不得直接输出已成水局、两支合化或原有支性消失。</x:v>
      </x:c>
      <x:c r="W17" s="82" t="str">
        <x:v>P1_高</x:v>
      </x:c>
      <x:c r="X17" s="82" t="str">
        <x:v>硬约束</x:v>
      </x:c>
      <x:c r="Y17" s="84" t="str">
        <x:v>申子半合</x:v>
      </x:c>
      <x:c r="Z17" s="84" t="str">
        <x:v>原局见申、子而缺辰，识别为申子半合；仅属三合结构部分，效应转M06。</x:v>
      </x:c>
      <x:c r="AA17" s="82" t="str">
        <x:v>较高</x:v>
      </x:c>
      <x:c r="AB17" s="82" t="str">
        <x:v>现代综合</x:v>
      </x:c>
      <x:c r="AC17" s="68" t="str">
        <x:v>半合通常指三合组中包含中神的两支组合；本库以第三支未见作为分类边界。</x:v>
      </x:c>
      <x:c r="AD17" s="68" t="str">
        <x:v>见申、子而不见辰，登记申子半合。</x:v>
      </x:c>
      <x:c r="AE17" s="90" t="str">
        <x:v>若申、子、辰齐全，应登记完整三合，不应只写半合。</x:v>
      </x:c>
      <x:c r="AF17" s="68" t="str">
        <x:v>内部结构化规则：识别层与效应层分离；https://zh.wikisource.org/wiki/淵海子平；https://zh.wikisource.org/zh-hans/三命通會_(四庫全書本)</x:v>
      </x:c>
      <x:c r="AG17" s="82" t="str">
        <x:v>采用</x:v>
      </x:c>
      <x:c r="AH17" s="82" t="str">
        <x:v>初审</x:v>
      </x:c>
      <x:c r="AI17" s="87" t="n">
        <x:v>46255</x:v>
      </x:c>
    </x:row>
    <x:row r="18">
      <x:c r="A18" s="72" t="str">
        <x:f>IF(OR(C18="",D18=""),"",B18&amp;"-"&amp;UPPER(C18)&amp;"-"&amp;TEXT(D18,"0000")&amp;"-"&amp;E18)</x:f>
        <x:v>M05-BANHE-0012-V1.0</x:v>
      </x:c>
      <x:c r="B18" s="74" t="str">
        <x:v>M05</x:v>
      </x:c>
      <x:c r="C18" s="74" t="str">
        <x:v>BANHE</x:v>
      </x:c>
      <x:c r="D18" s="79" t="n">
        <x:v>12</x:v>
      </x:c>
      <x:c r="E18" s="74" t="str">
        <x:v>V1.0</x:v>
      </x:c>
      <x:c r="F18" s="68" t="str">
        <x:v>子辰半合识别</x:v>
      </x:c>
      <x:c r="G18" s="82" t="str">
        <x:v>识别层</x:v>
      </x:c>
      <x:c r="H18" s="82" t="str">
        <x:v>半合</x:v>
      </x:c>
      <x:c r="I18" s="68" t="str">
        <x:v>子、辰</x:v>
      </x:c>
      <x:c r="J18" s="82" t="str">
        <x:v>其他</x:v>
      </x:c>
      <x:c r="K18" s="82" t="str">
        <x:v>部分</x:v>
      </x:c>
      <x:c r="L18" s="68" t="str">
        <x:v>记录子、辰中谁为月支，尤其记录中神是否得令；月令不改变两支同时出现的事实。</x:v>
      </x:c>
      <x:c r="M18" s="68" t="str">
        <x:v>相关藏干是否透出不影响关系识别；透干信息只供后续效应与旺衰判断。</x:v>
      </x:c>
      <x:c r="N18" s="68" t="str">
        <x:v>检查缺失支申是否实际已出现；若出现，应另列完整三合结构，不再只以半合概括。</x:v>
      </x:c>
      <x:c r="O18" s="68" t="str">
        <x:v>四柱地支已按年、月、日、时标准化并保留柱位。</x:v>
      </x:c>
      <x:c r="P18" s="68" t="str">
        <x:v>四柱地支中同时出现子与辰，且对应三合组的第三支申未出现。</x:v>
      </x:c>
      <x:c r="Q18" s="68" t="str">
        <x:v>中神得令、两支相邻或目标五行透出时，仅提高后续成局可能。</x:v>
      </x:c>
      <x:c r="R18" s="68" t="str">
        <x:v>两支隔位、受其他合冲刑害牵连时，后续作用更不确定。</x:v>
      </x:c>
      <x:c r="S18" s="90" t="str">
        <x:v>缺少子或辰；若申同时出现，则应升级登记完整三合而非仅记半合。</x:v>
      </x:c>
      <x:c r="T18" s="68" t="str">
        <x:v>半合只表示三合结构部分成立；具体是否形成有效合势转M06。</x:v>
      </x:c>
      <x:c r="U18" s="68" t="str">
        <x:v>原局存在子辰半合，为合水局的部分候选。</x:v>
      </x:c>
      <x:c r="V18" s="68" t="str">
        <x:v>不得直接输出已成水局、两支合化或原有支性消失。</x:v>
      </x:c>
      <x:c r="W18" s="82" t="str">
        <x:v>P1_高</x:v>
      </x:c>
      <x:c r="X18" s="82" t="str">
        <x:v>硬约束</x:v>
      </x:c>
      <x:c r="Y18" s="84" t="str">
        <x:v>子辰半合</x:v>
      </x:c>
      <x:c r="Z18" s="84" t="str">
        <x:v>原局见子、辰而缺申，识别为子辰半合；仅属三合结构部分，效应转M06。</x:v>
      </x:c>
      <x:c r="AA18" s="82" t="str">
        <x:v>较高</x:v>
      </x:c>
      <x:c r="AB18" s="82" t="str">
        <x:v>现代综合</x:v>
      </x:c>
      <x:c r="AC18" s="68" t="str">
        <x:v>半合通常指三合组中包含中神的两支组合；本库以第三支未见作为分类边界。</x:v>
      </x:c>
      <x:c r="AD18" s="68" t="str">
        <x:v>见子、辰而不见申，登记子辰半合。</x:v>
      </x:c>
      <x:c r="AE18" s="90" t="str">
        <x:v>若子、辰、申齐全，应登记完整三合，不应只写半合。</x:v>
      </x:c>
      <x:c r="AF18" s="68" t="str">
        <x:v>内部结构化规则：识别层与效应层分离；https://zh.wikisource.org/wiki/淵海子平；https://zh.wikisource.org/zh-hans/三命通會_(四庫全書本)</x:v>
      </x:c>
      <x:c r="AG18" s="82" t="str">
        <x:v>采用</x:v>
      </x:c>
      <x:c r="AH18" s="82" t="str">
        <x:v>初审</x:v>
      </x:c>
      <x:c r="AI18" s="87" t="n">
        <x:v>46255</x:v>
      </x:c>
    </x:row>
    <x:row r="19">
      <x:c r="A19" s="72" t="str">
        <x:f>IF(OR(C19="",D19=""),"",B19&amp;"-"&amp;UPPER(C19)&amp;"-"&amp;TEXT(D19,"0000")&amp;"-"&amp;E19)</x:f>
        <x:v>M05-BANHE-0013-V1.0</x:v>
      </x:c>
      <x:c r="B19" s="74" t="str">
        <x:v>M05</x:v>
      </x:c>
      <x:c r="C19" s="74" t="str">
        <x:v>BANHE</x:v>
      </x:c>
      <x:c r="D19" s="79" t="n">
        <x:v>13</x:v>
      </x:c>
      <x:c r="E19" s="74" t="str">
        <x:v>V1.0</x:v>
      </x:c>
      <x:c r="F19" s="68" t="str">
        <x:v>亥卯半合识别</x:v>
      </x:c>
      <x:c r="G19" s="82" t="str">
        <x:v>识别层</x:v>
      </x:c>
      <x:c r="H19" s="82" t="str">
        <x:v>半合</x:v>
      </x:c>
      <x:c r="I19" s="68" t="str">
        <x:v>亥、卯</x:v>
      </x:c>
      <x:c r="J19" s="82" t="str">
        <x:v>其他</x:v>
      </x:c>
      <x:c r="K19" s="82" t="str">
        <x:v>部分</x:v>
      </x:c>
      <x:c r="L19" s="68" t="str">
        <x:v>记录亥、卯中谁为月支，尤其记录中神是否得令；月令不改变两支同时出现的事实。</x:v>
      </x:c>
      <x:c r="M19" s="68" t="str">
        <x:v>相关藏干是否透出不影响关系识别；透干信息只供后续效应与旺衰判断。</x:v>
      </x:c>
      <x:c r="N19" s="68" t="str">
        <x:v>检查缺失支未是否实际已出现；若出现，应另列完整三合结构，不再只以半合概括。</x:v>
      </x:c>
      <x:c r="O19" s="68" t="str">
        <x:v>四柱地支已按年、月、日、时标准化并保留柱位。</x:v>
      </x:c>
      <x:c r="P19" s="68" t="str">
        <x:v>四柱地支中同时出现亥与卯，且对应三合组的第三支未未出现。</x:v>
      </x:c>
      <x:c r="Q19" s="68" t="str">
        <x:v>中神得令、两支相邻或目标五行透出时，仅提高后续成局可能。</x:v>
      </x:c>
      <x:c r="R19" s="68" t="str">
        <x:v>两支隔位、受其他合冲刑害牵连时，后续作用更不确定。</x:v>
      </x:c>
      <x:c r="S19" s="90" t="str">
        <x:v>缺少亥或卯；若未同时出现，则应升级登记完整三合而非仅记半合。</x:v>
      </x:c>
      <x:c r="T19" s="68" t="str">
        <x:v>半合只表示三合结构部分成立；具体是否形成有效合势转M06。</x:v>
      </x:c>
      <x:c r="U19" s="68" t="str">
        <x:v>原局存在亥卯半合，为合木局的部分候选。</x:v>
      </x:c>
      <x:c r="V19" s="68" t="str">
        <x:v>不得直接输出已成木局、两支合化或原有支性消失。</x:v>
      </x:c>
      <x:c r="W19" s="82" t="str">
        <x:v>P1_高</x:v>
      </x:c>
      <x:c r="X19" s="82" t="str">
        <x:v>硬约束</x:v>
      </x:c>
      <x:c r="Y19" s="84" t="str">
        <x:v>亥卯半合</x:v>
      </x:c>
      <x:c r="Z19" s="84" t="str">
        <x:v>原局见亥、卯而缺未，识别为亥卯半合；仅属三合结构部分，效应转M06。</x:v>
      </x:c>
      <x:c r="AA19" s="82" t="str">
        <x:v>较高</x:v>
      </x:c>
      <x:c r="AB19" s="82" t="str">
        <x:v>现代综合</x:v>
      </x:c>
      <x:c r="AC19" s="68" t="str">
        <x:v>半合通常指三合组中包含中神的两支组合；本库以第三支未见作为分类边界。</x:v>
      </x:c>
      <x:c r="AD19" s="68" t="str">
        <x:v>见亥、卯而不见未，登记亥卯半合。</x:v>
      </x:c>
      <x:c r="AE19" s="90" t="str">
        <x:v>若亥、卯、未齐全，应登记完整三合，不应只写半合。</x:v>
      </x:c>
      <x:c r="AF19" s="68" t="str">
        <x:v>内部结构化规则：识别层与效应层分离；https://zh.wikisource.org/wiki/淵海子平；https://zh.wikisource.org/zh-hans/三命通會_(四庫全書本)</x:v>
      </x:c>
      <x:c r="AG19" s="82" t="str">
        <x:v>采用</x:v>
      </x:c>
      <x:c r="AH19" s="82" t="str">
        <x:v>初审</x:v>
      </x:c>
      <x:c r="AI19" s="87" t="n">
        <x:v>46255</x:v>
      </x:c>
    </x:row>
    <x:row r="20">
      <x:c r="A20" s="72" t="str">
        <x:f>IF(OR(C20="",D20=""),"",B20&amp;"-"&amp;UPPER(C20)&amp;"-"&amp;TEXT(D20,"0000")&amp;"-"&amp;E20)</x:f>
        <x:v>M05-BANHE-0014-V1.0</x:v>
      </x:c>
      <x:c r="B20" s="74" t="str">
        <x:v>M05</x:v>
      </x:c>
      <x:c r="C20" s="74" t="str">
        <x:v>BANHE</x:v>
      </x:c>
      <x:c r="D20" s="79" t="n">
        <x:v>14</x:v>
      </x:c>
      <x:c r="E20" s="74" t="str">
        <x:v>V1.0</x:v>
      </x:c>
      <x:c r="F20" s="68" t="str">
        <x:v>卯未半合识别</x:v>
      </x:c>
      <x:c r="G20" s="82" t="str">
        <x:v>识别层</x:v>
      </x:c>
      <x:c r="H20" s="82" t="str">
        <x:v>半合</x:v>
      </x:c>
      <x:c r="I20" s="68" t="str">
        <x:v>卯、未</x:v>
      </x:c>
      <x:c r="J20" s="82" t="str">
        <x:v>其他</x:v>
      </x:c>
      <x:c r="K20" s="82" t="str">
        <x:v>部分</x:v>
      </x:c>
      <x:c r="L20" s="68" t="str">
        <x:v>记录卯、未中谁为月支，尤其记录中神是否得令；月令不改变两支同时出现的事实。</x:v>
      </x:c>
      <x:c r="M20" s="68" t="str">
        <x:v>相关藏干是否透出不影响关系识别；透干信息只供后续效应与旺衰判断。</x:v>
      </x:c>
      <x:c r="N20" s="68" t="str">
        <x:v>检查缺失支亥是否实际已出现；若出现，应另列完整三合结构，不再只以半合概括。</x:v>
      </x:c>
      <x:c r="O20" s="68" t="str">
        <x:v>四柱地支已按年、月、日、时标准化并保留柱位。</x:v>
      </x:c>
      <x:c r="P20" s="68" t="str">
        <x:v>四柱地支中同时出现卯与未，且对应三合组的第三支亥未出现。</x:v>
      </x:c>
      <x:c r="Q20" s="68" t="str">
        <x:v>中神得令、两支相邻或目标五行透出时，仅提高后续成局可能。</x:v>
      </x:c>
      <x:c r="R20" s="68" t="str">
        <x:v>两支隔位、受其他合冲刑害牵连时，后续作用更不确定。</x:v>
      </x:c>
      <x:c r="S20" s="90" t="str">
        <x:v>缺少卯或未；若亥同时出现，则应升级登记完整三合而非仅记半合。</x:v>
      </x:c>
      <x:c r="T20" s="68" t="str">
        <x:v>半合只表示三合结构部分成立；具体是否形成有效合势转M06。</x:v>
      </x:c>
      <x:c r="U20" s="68" t="str">
        <x:v>原局存在卯未半合，为合木局的部分候选。</x:v>
      </x:c>
      <x:c r="V20" s="68" t="str">
        <x:v>不得直接输出已成木局、两支合化或原有支性消失。</x:v>
      </x:c>
      <x:c r="W20" s="82" t="str">
        <x:v>P1_高</x:v>
      </x:c>
      <x:c r="X20" s="82" t="str">
        <x:v>硬约束</x:v>
      </x:c>
      <x:c r="Y20" s="84" t="str">
        <x:v>卯未半合</x:v>
      </x:c>
      <x:c r="Z20" s="84" t="str">
        <x:v>原局见卯、未而缺亥，识别为卯未半合；仅属三合结构部分，效应转M06。</x:v>
      </x:c>
      <x:c r="AA20" s="82" t="str">
        <x:v>较高</x:v>
      </x:c>
      <x:c r="AB20" s="82" t="str">
        <x:v>现代综合</x:v>
      </x:c>
      <x:c r="AC20" s="68" t="str">
        <x:v>半合通常指三合组中包含中神的两支组合；本库以第三支未见作为分类边界。</x:v>
      </x:c>
      <x:c r="AD20" s="68" t="str">
        <x:v>见卯、未而不见亥，登记卯未半合。</x:v>
      </x:c>
      <x:c r="AE20" s="90" t="str">
        <x:v>若卯、未、亥齐全，应登记完整三合，不应只写半合。</x:v>
      </x:c>
      <x:c r="AF20" s="68" t="str">
        <x:v>内部结构化规则：识别层与效应层分离；https://zh.wikisource.org/wiki/淵海子平；https://zh.wikisource.org/zh-hans/三命通會_(四庫全書本)</x:v>
      </x:c>
      <x:c r="AG20" s="82" t="str">
        <x:v>采用</x:v>
      </x:c>
      <x:c r="AH20" s="82" t="str">
        <x:v>初审</x:v>
      </x:c>
      <x:c r="AI20" s="87" t="n">
        <x:v>46255</x:v>
      </x:c>
    </x:row>
    <x:row r="21">
      <x:c r="A21" s="72" t="str">
        <x:f>IF(OR(C21="",D21=""),"",B21&amp;"-"&amp;UPPER(C21)&amp;"-"&amp;TEXT(D21,"0000")&amp;"-"&amp;E21)</x:f>
        <x:v>M05-BANHE-0015-V1.0</x:v>
      </x:c>
      <x:c r="B21" s="74" t="str">
        <x:v>M05</x:v>
      </x:c>
      <x:c r="C21" s="74" t="str">
        <x:v>BANHE</x:v>
      </x:c>
      <x:c r="D21" s="79" t="n">
        <x:v>15</x:v>
      </x:c>
      <x:c r="E21" s="74" t="str">
        <x:v>V1.0</x:v>
      </x:c>
      <x:c r="F21" s="68" t="str">
        <x:v>寅午半合识别</x:v>
      </x:c>
      <x:c r="G21" s="82" t="str">
        <x:v>识别层</x:v>
      </x:c>
      <x:c r="H21" s="82" t="str">
        <x:v>半合</x:v>
      </x:c>
      <x:c r="I21" s="68" t="str">
        <x:v>寅、午</x:v>
      </x:c>
      <x:c r="J21" s="82" t="str">
        <x:v>其他</x:v>
      </x:c>
      <x:c r="K21" s="82" t="str">
        <x:v>部分</x:v>
      </x:c>
      <x:c r="L21" s="68" t="str">
        <x:v>记录寅、午中谁为月支，尤其记录中神是否得令；月令不改变两支同时出现的事实。</x:v>
      </x:c>
      <x:c r="M21" s="68" t="str">
        <x:v>相关藏干是否透出不影响关系识别；透干信息只供后续效应与旺衰判断。</x:v>
      </x:c>
      <x:c r="N21" s="68" t="str">
        <x:v>检查缺失支戌是否实际已出现；若出现，应另列完整三合结构，不再只以半合概括。</x:v>
      </x:c>
      <x:c r="O21" s="68" t="str">
        <x:v>四柱地支已按年、月、日、时标准化并保留柱位。</x:v>
      </x:c>
      <x:c r="P21" s="68" t="str">
        <x:v>四柱地支中同时出现寅与午，且对应三合组的第三支戌未出现。</x:v>
      </x:c>
      <x:c r="Q21" s="68" t="str">
        <x:v>中神得令、两支相邻或目标五行透出时，仅提高后续成局可能。</x:v>
      </x:c>
      <x:c r="R21" s="68" t="str">
        <x:v>两支隔位、受其他合冲刑害牵连时，后续作用更不确定。</x:v>
      </x:c>
      <x:c r="S21" s="90" t="str">
        <x:v>缺少寅或午；若戌同时出现，则应升级登记完整三合而非仅记半合。</x:v>
      </x:c>
      <x:c r="T21" s="68" t="str">
        <x:v>半合只表示三合结构部分成立；具体是否形成有效合势转M06。</x:v>
      </x:c>
      <x:c r="U21" s="68" t="str">
        <x:v>原局存在寅午半合，为合火局的部分候选。</x:v>
      </x:c>
      <x:c r="V21" s="68" t="str">
        <x:v>不得直接输出已成火局、两支合化或原有支性消失。</x:v>
      </x:c>
      <x:c r="W21" s="82" t="str">
        <x:v>P1_高</x:v>
      </x:c>
      <x:c r="X21" s="82" t="str">
        <x:v>硬约束</x:v>
      </x:c>
      <x:c r="Y21" s="84" t="str">
        <x:v>寅午半合</x:v>
      </x:c>
      <x:c r="Z21" s="84" t="str">
        <x:v>原局见寅、午而缺戌，识别为寅午半合；仅属三合结构部分，效应转M06。</x:v>
      </x:c>
      <x:c r="AA21" s="82" t="str">
        <x:v>较高</x:v>
      </x:c>
      <x:c r="AB21" s="82" t="str">
        <x:v>现代综合</x:v>
      </x:c>
      <x:c r="AC21" s="68" t="str">
        <x:v>半合通常指三合组中包含中神的两支组合；本库以第三支未见作为分类边界。</x:v>
      </x:c>
      <x:c r="AD21" s="68" t="str">
        <x:v>见寅、午而不见戌，登记寅午半合。</x:v>
      </x:c>
      <x:c r="AE21" s="90" t="str">
        <x:v>若寅、午、戌齐全，应登记完整三合，不应只写半合。</x:v>
      </x:c>
      <x:c r="AF21" s="68" t="str">
        <x:v>内部结构化规则：识别层与效应层分离；https://zh.wikisource.org/wiki/淵海子平；https://zh.wikisource.org/zh-hans/三命通會_(四庫全書本)</x:v>
      </x:c>
      <x:c r="AG21" s="82" t="str">
        <x:v>采用</x:v>
      </x:c>
      <x:c r="AH21" s="82" t="str">
        <x:v>初审</x:v>
      </x:c>
      <x:c r="AI21" s="87" t="n">
        <x:v>46255</x:v>
      </x:c>
    </x:row>
    <x:row r="22">
      <x:c r="A22" s="72" t="str">
        <x:f>IF(OR(C22="",D22=""),"",B22&amp;"-"&amp;UPPER(C22)&amp;"-"&amp;TEXT(D22,"0000")&amp;"-"&amp;E22)</x:f>
        <x:v>M05-BANHE-0016-V1.0</x:v>
      </x:c>
      <x:c r="B22" s="74" t="str">
        <x:v>M05</x:v>
      </x:c>
      <x:c r="C22" s="74" t="str">
        <x:v>BANHE</x:v>
      </x:c>
      <x:c r="D22" s="79" t="n">
        <x:v>16</x:v>
      </x:c>
      <x:c r="E22" s="74" t="str">
        <x:v>V1.0</x:v>
      </x:c>
      <x:c r="F22" s="68" t="str">
        <x:v>午戌半合识别</x:v>
      </x:c>
      <x:c r="G22" s="82" t="str">
        <x:v>识别层</x:v>
      </x:c>
      <x:c r="H22" s="82" t="str">
        <x:v>半合</x:v>
      </x:c>
      <x:c r="I22" s="68" t="str">
        <x:v>午、戌</x:v>
      </x:c>
      <x:c r="J22" s="82" t="str">
        <x:v>其他</x:v>
      </x:c>
      <x:c r="K22" s="82" t="str">
        <x:v>部分</x:v>
      </x:c>
      <x:c r="L22" s="68" t="str">
        <x:v>记录午、戌中谁为月支，尤其记录中神是否得令；月令不改变两支同时出现的事实。</x:v>
      </x:c>
      <x:c r="M22" s="68" t="str">
        <x:v>相关藏干是否透出不影响关系识别；透干信息只供后续效应与旺衰判断。</x:v>
      </x:c>
      <x:c r="N22" s="68" t="str">
        <x:v>检查缺失支寅是否实际已出现；若出现，应另列完整三合结构，不再只以半合概括。</x:v>
      </x:c>
      <x:c r="O22" s="68" t="str">
        <x:v>四柱地支已按年、月、日、时标准化并保留柱位。</x:v>
      </x:c>
      <x:c r="P22" s="68" t="str">
        <x:v>四柱地支中同时出现午与戌，且对应三合组的第三支寅未出现。</x:v>
      </x:c>
      <x:c r="Q22" s="68" t="str">
        <x:v>中神得令、两支相邻或目标五行透出时，仅提高后续成局可能。</x:v>
      </x:c>
      <x:c r="R22" s="68" t="str">
        <x:v>两支隔位、受其他合冲刑害牵连时，后续作用更不确定。</x:v>
      </x:c>
      <x:c r="S22" s="90" t="str">
        <x:v>缺少午或戌；若寅同时出现，则应升级登记完整三合而非仅记半合。</x:v>
      </x:c>
      <x:c r="T22" s="68" t="str">
        <x:v>半合只表示三合结构部分成立；具体是否形成有效合势转M06。</x:v>
      </x:c>
      <x:c r="U22" s="68" t="str">
        <x:v>原局存在午戌半合，为合火局的部分候选。</x:v>
      </x:c>
      <x:c r="V22" s="68" t="str">
        <x:v>不得直接输出已成火局、两支合化或原有支性消失。</x:v>
      </x:c>
      <x:c r="W22" s="82" t="str">
        <x:v>P1_高</x:v>
      </x:c>
      <x:c r="X22" s="82" t="str">
        <x:v>硬约束</x:v>
      </x:c>
      <x:c r="Y22" s="84" t="str">
        <x:v>午戌半合</x:v>
      </x:c>
      <x:c r="Z22" s="84" t="str">
        <x:v>原局见午、戌而缺寅，识别为午戌半合；仅属三合结构部分，效应转M06。</x:v>
      </x:c>
      <x:c r="AA22" s="82" t="str">
        <x:v>较高</x:v>
      </x:c>
      <x:c r="AB22" s="82" t="str">
        <x:v>现代综合</x:v>
      </x:c>
      <x:c r="AC22" s="68" t="str">
        <x:v>半合通常指三合组中包含中神的两支组合；本库以第三支未见作为分类边界。</x:v>
      </x:c>
      <x:c r="AD22" s="68" t="str">
        <x:v>见午、戌而不见寅，登记午戌半合。</x:v>
      </x:c>
      <x:c r="AE22" s="90" t="str">
        <x:v>若午、戌、寅齐全，应登记完整三合，不应只写半合。</x:v>
      </x:c>
      <x:c r="AF22" s="68" t="str">
        <x:v>内部结构化规则：识别层与效应层分离；https://zh.wikisource.org/wiki/淵海子平；https://zh.wikisource.org/zh-hans/三命通會_(四庫全書本)</x:v>
      </x:c>
      <x:c r="AG22" s="82" t="str">
        <x:v>采用</x:v>
      </x:c>
      <x:c r="AH22" s="82" t="str">
        <x:v>初审</x:v>
      </x:c>
      <x:c r="AI22" s="87" t="n">
        <x:v>46255</x:v>
      </x:c>
    </x:row>
    <x:row r="23">
      <x:c r="A23" s="72" t="str">
        <x:f>IF(OR(C23="",D23=""),"",B23&amp;"-"&amp;UPPER(C23)&amp;"-"&amp;TEXT(D23,"0000")&amp;"-"&amp;E23)</x:f>
        <x:v>M05-BANHE-0017-V1.0</x:v>
      </x:c>
      <x:c r="B23" s="74" t="str">
        <x:v>M05</x:v>
      </x:c>
      <x:c r="C23" s="74" t="str">
        <x:v>BANHE</x:v>
      </x:c>
      <x:c r="D23" s="79" t="n">
        <x:v>17</x:v>
      </x:c>
      <x:c r="E23" s="74" t="str">
        <x:v>V1.0</x:v>
      </x:c>
      <x:c r="F23" s="68" t="str">
        <x:v>巳酉半合识别</x:v>
      </x:c>
      <x:c r="G23" s="82" t="str">
        <x:v>识别层</x:v>
      </x:c>
      <x:c r="H23" s="82" t="str">
        <x:v>半合</x:v>
      </x:c>
      <x:c r="I23" s="68" t="str">
        <x:v>巳、酉</x:v>
      </x:c>
      <x:c r="J23" s="82" t="str">
        <x:v>其他</x:v>
      </x:c>
      <x:c r="K23" s="82" t="str">
        <x:v>部分</x:v>
      </x:c>
      <x:c r="L23" s="68" t="str">
        <x:v>记录巳、酉中谁为月支，尤其记录中神是否得令；月令不改变两支同时出现的事实。</x:v>
      </x:c>
      <x:c r="M23" s="68" t="str">
        <x:v>相关藏干是否透出不影响关系识别；透干信息只供后续效应与旺衰判断。</x:v>
      </x:c>
      <x:c r="N23" s="68" t="str">
        <x:v>检查缺失支丑是否实际已出现；若出现，应另列完整三合结构，不再只以半合概括。</x:v>
      </x:c>
      <x:c r="O23" s="68" t="str">
        <x:v>四柱地支已按年、月、日、时标准化并保留柱位。</x:v>
      </x:c>
      <x:c r="P23" s="68" t="str">
        <x:v>四柱地支中同时出现巳与酉，且对应三合组的第三支丑未出现。</x:v>
      </x:c>
      <x:c r="Q23" s="68" t="str">
        <x:v>中神得令、两支相邻或目标五行透出时，仅提高后续成局可能。</x:v>
      </x:c>
      <x:c r="R23" s="68" t="str">
        <x:v>两支隔位、受其他合冲刑害牵连时，后续作用更不确定。</x:v>
      </x:c>
      <x:c r="S23" s="90" t="str">
        <x:v>缺少巳或酉；若丑同时出现，则应升级登记完整三合而非仅记半合。</x:v>
      </x:c>
      <x:c r="T23" s="68" t="str">
        <x:v>半合只表示三合结构部分成立；具体是否形成有效合势转M06。</x:v>
      </x:c>
      <x:c r="U23" s="68" t="str">
        <x:v>原局存在巳酉半合，为合金局的部分候选。</x:v>
      </x:c>
      <x:c r="V23" s="68" t="str">
        <x:v>不得直接输出已成金局、两支合化或原有支性消失。</x:v>
      </x:c>
      <x:c r="W23" s="82" t="str">
        <x:v>P1_高</x:v>
      </x:c>
      <x:c r="X23" s="82" t="str">
        <x:v>硬约束</x:v>
      </x:c>
      <x:c r="Y23" s="84" t="str">
        <x:v>巳酉半合</x:v>
      </x:c>
      <x:c r="Z23" s="84" t="str">
        <x:v>原局见巳、酉而缺丑，识别为巳酉半合；仅属三合结构部分，效应转M06。</x:v>
      </x:c>
      <x:c r="AA23" s="82" t="str">
        <x:v>较高</x:v>
      </x:c>
      <x:c r="AB23" s="82" t="str">
        <x:v>现代综合</x:v>
      </x:c>
      <x:c r="AC23" s="68" t="str">
        <x:v>半合通常指三合组中包含中神的两支组合；本库以第三支未见作为分类边界。</x:v>
      </x:c>
      <x:c r="AD23" s="68" t="str">
        <x:v>见巳、酉而不见丑，登记巳酉半合。</x:v>
      </x:c>
      <x:c r="AE23" s="90" t="str">
        <x:v>若巳、酉、丑齐全，应登记完整三合，不应只写半合。</x:v>
      </x:c>
      <x:c r="AF23" s="68" t="str">
        <x:v>内部结构化规则：识别层与效应层分离；https://zh.wikisource.org/wiki/淵海子平；https://zh.wikisource.org/zh-hans/三命通會_(四庫全書本)</x:v>
      </x:c>
      <x:c r="AG23" s="82" t="str">
        <x:v>采用</x:v>
      </x:c>
      <x:c r="AH23" s="82" t="str">
        <x:v>初审</x:v>
      </x:c>
      <x:c r="AI23" s="87" t="n">
        <x:v>46255</x:v>
      </x:c>
    </x:row>
    <x:row r="24">
      <x:c r="A24" s="72" t="str">
        <x:f>IF(OR(C24="",D24=""),"",B24&amp;"-"&amp;UPPER(C24)&amp;"-"&amp;TEXT(D24,"0000")&amp;"-"&amp;E24)</x:f>
        <x:v>M05-BANHE-0018-V1.0</x:v>
      </x:c>
      <x:c r="B24" s="74" t="str">
        <x:v>M05</x:v>
      </x:c>
      <x:c r="C24" s="74" t="str">
        <x:v>BANHE</x:v>
      </x:c>
      <x:c r="D24" s="79" t="n">
        <x:v>18</x:v>
      </x:c>
      <x:c r="E24" s="74" t="str">
        <x:v>V1.0</x:v>
      </x:c>
      <x:c r="F24" s="68" t="str">
        <x:v>酉丑半合识别</x:v>
      </x:c>
      <x:c r="G24" s="82" t="str">
        <x:v>识别层</x:v>
      </x:c>
      <x:c r="H24" s="82" t="str">
        <x:v>半合</x:v>
      </x:c>
      <x:c r="I24" s="68" t="str">
        <x:v>酉、丑</x:v>
      </x:c>
      <x:c r="J24" s="82" t="str">
        <x:v>其他</x:v>
      </x:c>
      <x:c r="K24" s="82" t="str">
        <x:v>部分</x:v>
      </x:c>
      <x:c r="L24" s="68" t="str">
        <x:v>记录酉、丑中谁为月支，尤其记录中神是否得令；月令不改变两支同时出现的事实。</x:v>
      </x:c>
      <x:c r="M24" s="68" t="str">
        <x:v>相关藏干是否透出不影响关系识别；透干信息只供后续效应与旺衰判断。</x:v>
      </x:c>
      <x:c r="N24" s="68" t="str">
        <x:v>检查缺失支巳是否实际已出现；若出现，应另列完整三合结构，不再只以半合概括。</x:v>
      </x:c>
      <x:c r="O24" s="68" t="str">
        <x:v>四柱地支已按年、月、日、时标准化并保留柱位。</x:v>
      </x:c>
      <x:c r="P24" s="68" t="str">
        <x:v>四柱地支中同时出现酉与丑，且对应三合组的第三支巳未出现。</x:v>
      </x:c>
      <x:c r="Q24" s="68" t="str">
        <x:v>中神得令、两支相邻或目标五行透出时，仅提高后续成局可能。</x:v>
      </x:c>
      <x:c r="R24" s="68" t="str">
        <x:v>两支隔位、受其他合冲刑害牵连时，后续作用更不确定。</x:v>
      </x:c>
      <x:c r="S24" s="90" t="str">
        <x:v>缺少酉或丑；若巳同时出现，则应升级登记完整三合而非仅记半合。</x:v>
      </x:c>
      <x:c r="T24" s="68" t="str">
        <x:v>半合只表示三合结构部分成立；具体是否形成有效合势转M06。</x:v>
      </x:c>
      <x:c r="U24" s="68" t="str">
        <x:v>原局存在酉丑半合，为合金局的部分候选。</x:v>
      </x:c>
      <x:c r="V24" s="68" t="str">
        <x:v>不得直接输出已成金局、两支合化或原有支性消失。</x:v>
      </x:c>
      <x:c r="W24" s="82" t="str">
        <x:v>P1_高</x:v>
      </x:c>
      <x:c r="X24" s="82" t="str">
        <x:v>硬约束</x:v>
      </x:c>
      <x:c r="Y24" s="84" t="str">
        <x:v>酉丑半合</x:v>
      </x:c>
      <x:c r="Z24" s="84" t="str">
        <x:v>原局见酉、丑而缺巳，识别为酉丑半合；仅属三合结构部分，效应转M06。</x:v>
      </x:c>
      <x:c r="AA24" s="82" t="str">
        <x:v>较高</x:v>
      </x:c>
      <x:c r="AB24" s="82" t="str">
        <x:v>现代综合</x:v>
      </x:c>
      <x:c r="AC24" s="68" t="str">
        <x:v>半合通常指三合组中包含中神的两支组合；本库以第三支未见作为分类边界。</x:v>
      </x:c>
      <x:c r="AD24" s="68" t="str">
        <x:v>见酉、丑而不见巳，登记酉丑半合。</x:v>
      </x:c>
      <x:c r="AE24" s="90" t="str">
        <x:v>若酉、丑、巳齐全，应登记完整三合，不应只写半合。</x:v>
      </x:c>
      <x:c r="AF24" s="68" t="str">
        <x:v>内部结构化规则：识别层与效应层分离；https://zh.wikisource.org/wiki/淵海子平；https://zh.wikisource.org/zh-hans/三命通會_(四庫全書本)</x:v>
      </x:c>
      <x:c r="AG24" s="82" t="str">
        <x:v>采用</x:v>
      </x:c>
      <x:c r="AH24" s="82" t="str">
        <x:v>初审</x:v>
      </x:c>
      <x:c r="AI24" s="87" t="n">
        <x:v>46255</x:v>
      </x:c>
    </x:row>
    <x:row r="25">
      <x:c r="A25" s="72" t="str">
        <x:f>IF(OR(C25="",D25=""),"",B25&amp;"-"&amp;UPPER(C25)&amp;"-"&amp;TEXT(D25,"0000")&amp;"-"&amp;E25)</x:f>
        <x:v>M05-GONGHE-0019-V1.0</x:v>
      </x:c>
      <x:c r="B25" s="74" t="str">
        <x:v>M05</x:v>
      </x:c>
      <x:c r="C25" s="74" t="str">
        <x:v>GONGHE</x:v>
      </x:c>
      <x:c r="D25" s="79" t="n">
        <x:v>19</x:v>
      </x:c>
      <x:c r="E25" s="74" t="str">
        <x:v>V1.0</x:v>
      </x:c>
      <x:c r="F25" s="68" t="str">
        <x:v>申辰拱合识别</x:v>
      </x:c>
      <x:c r="G25" s="82" t="str">
        <x:v>识别层</x:v>
      </x:c>
      <x:c r="H25" s="82" t="str">
        <x:v>拱合</x:v>
      </x:c>
      <x:c r="I25" s="68" t="str">
        <x:v>申、辰</x:v>
      </x:c>
      <x:c r="J25" s="82" t="str">
        <x:v>其他</x:v>
      </x:c>
      <x:c r="K25" s="82" t="str">
        <x:v>部分</x:v>
      </x:c>
      <x:c r="L25" s="68" t="str">
        <x:v>记录两端支中谁为月支；中神子缺失是本条分类条件。</x:v>
      </x:c>
      <x:c r="M25" s="68" t="str">
        <x:v>相关藏干是否透出不影响关系识别；透干信息只供后续效应与旺衰判断。</x:v>
      </x:c>
      <x:c r="N25" s="68" t="str">
        <x:v>检查中神子是否出现；若出现，改列完整三合结构。</x:v>
      </x:c>
      <x:c r="O25" s="68" t="str">
        <x:v>四柱地支已按年、月、日、时标准化并保留柱位。</x:v>
      </x:c>
      <x:c r="P25" s="68" t="str">
        <x:v>四柱地支中同时出现申与辰，对应三合中神子未出现。</x:v>
      </x:c>
      <x:c r="Q25" s="68" t="str">
        <x:v>两端相邻、目标五行透出或中神于岁运出现时，只增强后续候选。</x:v>
      </x:c>
      <x:c r="R25" s="68" t="str">
        <x:v>两端隔散或受强关系牵连时，后续拱势更不确定。</x:v>
      </x:c>
      <x:c r="S25" s="90" t="str">
        <x:v>缺少申或辰；若中神子已在原局出现，则不以“仅拱合”分类。</x:v>
      </x:c>
      <x:c r="T25" s="68" t="str">
        <x:v>拱合是结构候选；是否能拱出中神或形成实际合势转M06/D0。</x:v>
      </x:c>
      <x:c r="U25" s="68" t="str">
        <x:v>原局存在申辰拱合，为合水局的两端候选。</x:v>
      </x:c>
      <x:c r="V25" s="68" t="str">
        <x:v>不得直接视为中神子已经出现，也不得直接输出成水局。</x:v>
      </x:c>
      <x:c r="W25" s="82" t="str">
        <x:v>P1_高</x:v>
      </x:c>
      <x:c r="X25" s="82" t="str">
        <x:v>辅助证据</x:v>
      </x:c>
      <x:c r="Y25" s="84" t="str">
        <x:v>申辰拱合</x:v>
      </x:c>
      <x:c r="Z25" s="84" t="str">
        <x:v>原局见申、辰而缺中神子，识别为申辰拱合；不得把子当作实有地支。</x:v>
      </x:c>
      <x:c r="AA25" s="82" t="str">
        <x:v>较高</x:v>
      </x:c>
      <x:c r="AB25" s="82" t="str">
        <x:v>现代综合</x:v>
      </x:c>
      <x:c r="AC25" s="68" t="str">
        <x:v>拱合用于描述三合生墓两端齐而中神缺失的结构；中神仍是缺失状态。</x:v>
      </x:c>
      <x:c r="AD25" s="68" t="str">
        <x:v>见申、辰而不见子，登记申辰拱合。</x:v>
      </x:c>
      <x:c r="AE25" s="90" t="str">
        <x:v>原局已见子时，应登记完整三合，不应继续把中神视为缺失。</x:v>
      </x:c>
      <x:c r="AF25" s="68" t="str">
        <x:v>内部结构化规则：识别层与效应层分离；https://zh.wikisource.org/wiki/淵海子平；https://zh.wikisource.org/zh-hans/三命通會_(四庫全書本)</x:v>
      </x:c>
      <x:c r="AG25" s="82" t="str">
        <x:v>采用</x:v>
      </x:c>
      <x:c r="AH25" s="82" t="str">
        <x:v>初审</x:v>
      </x:c>
      <x:c r="AI25" s="87" t="n">
        <x:v>46255</x:v>
      </x:c>
    </x:row>
    <x:row r="26">
      <x:c r="A26" s="72" t="str">
        <x:f>IF(OR(C26="",D26=""),"",B26&amp;"-"&amp;UPPER(C26)&amp;"-"&amp;TEXT(D26,"0000")&amp;"-"&amp;E26)</x:f>
        <x:v>M05-GONGHE-0020-V1.0</x:v>
      </x:c>
      <x:c r="B26" s="74" t="str">
        <x:v>M05</x:v>
      </x:c>
      <x:c r="C26" s="74" t="str">
        <x:v>GONGHE</x:v>
      </x:c>
      <x:c r="D26" s="79" t="n">
        <x:v>20</x:v>
      </x:c>
      <x:c r="E26" s="74" t="str">
        <x:v>V1.0</x:v>
      </x:c>
      <x:c r="F26" s="68" t="str">
        <x:v>亥未拱合识别</x:v>
      </x:c>
      <x:c r="G26" s="82" t="str">
        <x:v>识别层</x:v>
      </x:c>
      <x:c r="H26" s="82" t="str">
        <x:v>拱合</x:v>
      </x:c>
      <x:c r="I26" s="68" t="str">
        <x:v>亥、未</x:v>
      </x:c>
      <x:c r="J26" s="82" t="str">
        <x:v>其他</x:v>
      </x:c>
      <x:c r="K26" s="82" t="str">
        <x:v>部分</x:v>
      </x:c>
      <x:c r="L26" s="68" t="str">
        <x:v>记录两端支中谁为月支；中神卯缺失是本条分类条件。</x:v>
      </x:c>
      <x:c r="M26" s="68" t="str">
        <x:v>相关藏干是否透出不影响关系识别；透干信息只供后续效应与旺衰判断。</x:v>
      </x:c>
      <x:c r="N26" s="68" t="str">
        <x:v>检查中神卯是否出现；若出现，改列完整三合结构。</x:v>
      </x:c>
      <x:c r="O26" s="68" t="str">
        <x:v>四柱地支已按年、月、日、时标准化并保留柱位。</x:v>
      </x:c>
      <x:c r="P26" s="68" t="str">
        <x:v>四柱地支中同时出现亥与未，对应三合中神卯未出现。</x:v>
      </x:c>
      <x:c r="Q26" s="68" t="str">
        <x:v>两端相邻、目标五行透出或中神于岁运出现时，只增强后续候选。</x:v>
      </x:c>
      <x:c r="R26" s="68" t="str">
        <x:v>两端隔散或受强关系牵连时，后续拱势更不确定。</x:v>
      </x:c>
      <x:c r="S26" s="90" t="str">
        <x:v>缺少亥或未；若中神卯已在原局出现，则不以“仅拱合”分类。</x:v>
      </x:c>
      <x:c r="T26" s="68" t="str">
        <x:v>拱合是结构候选；是否能拱出中神或形成实际合势转M06/D0。</x:v>
      </x:c>
      <x:c r="U26" s="68" t="str">
        <x:v>原局存在亥未拱合，为合木局的两端候选。</x:v>
      </x:c>
      <x:c r="V26" s="68" t="str">
        <x:v>不得直接视为中神卯已经出现，也不得直接输出成木局。</x:v>
      </x:c>
      <x:c r="W26" s="82" t="str">
        <x:v>P1_高</x:v>
      </x:c>
      <x:c r="X26" s="82" t="str">
        <x:v>辅助证据</x:v>
      </x:c>
      <x:c r="Y26" s="84" t="str">
        <x:v>亥未拱合</x:v>
      </x:c>
      <x:c r="Z26" s="84" t="str">
        <x:v>原局见亥、未而缺中神卯，识别为亥未拱合；不得把卯当作实有地支。</x:v>
      </x:c>
      <x:c r="AA26" s="82" t="str">
        <x:v>较高</x:v>
      </x:c>
      <x:c r="AB26" s="82" t="str">
        <x:v>现代综合</x:v>
      </x:c>
      <x:c r="AC26" s="68" t="str">
        <x:v>拱合用于描述三合生墓两端齐而中神缺失的结构；中神仍是缺失状态。</x:v>
      </x:c>
      <x:c r="AD26" s="68" t="str">
        <x:v>见亥、未而不见卯，登记亥未拱合。</x:v>
      </x:c>
      <x:c r="AE26" s="90" t="str">
        <x:v>原局已见卯时，应登记完整三合，不应继续把中神视为缺失。</x:v>
      </x:c>
      <x:c r="AF26" s="68" t="str">
        <x:v>内部结构化规则：识别层与效应层分离；https://zh.wikisource.org/wiki/淵海子平；https://zh.wikisource.org/zh-hans/三命通會_(四庫全書本)</x:v>
      </x:c>
      <x:c r="AG26" s="82" t="str">
        <x:v>采用</x:v>
      </x:c>
      <x:c r="AH26" s="82" t="str">
        <x:v>初审</x:v>
      </x:c>
      <x:c r="AI26" s="87" t="n">
        <x:v>46255</x:v>
      </x:c>
    </x:row>
    <x:row r="27">
      <x:c r="A27" s="72" t="str">
        <x:f>IF(OR(C27="",D27=""),"",B27&amp;"-"&amp;UPPER(C27)&amp;"-"&amp;TEXT(D27,"0000")&amp;"-"&amp;E27)</x:f>
        <x:v>M05-GONGHE-0021-V1.0</x:v>
      </x:c>
      <x:c r="B27" s="74" t="str">
        <x:v>M05</x:v>
      </x:c>
      <x:c r="C27" s="74" t="str">
        <x:v>GONGHE</x:v>
      </x:c>
      <x:c r="D27" s="79" t="n">
        <x:v>21</x:v>
      </x:c>
      <x:c r="E27" s="74" t="str">
        <x:v>V1.0</x:v>
      </x:c>
      <x:c r="F27" s="68" t="str">
        <x:v>寅戌拱合识别</x:v>
      </x:c>
      <x:c r="G27" s="82" t="str">
        <x:v>识别层</x:v>
      </x:c>
      <x:c r="H27" s="82" t="str">
        <x:v>拱合</x:v>
      </x:c>
      <x:c r="I27" s="68" t="str">
        <x:v>寅、戌</x:v>
      </x:c>
      <x:c r="J27" s="82" t="str">
        <x:v>其他</x:v>
      </x:c>
      <x:c r="K27" s="82" t="str">
        <x:v>部分</x:v>
      </x:c>
      <x:c r="L27" s="68" t="str">
        <x:v>记录两端支中谁为月支；中神午缺失是本条分类条件。</x:v>
      </x:c>
      <x:c r="M27" s="68" t="str">
        <x:v>相关藏干是否透出不影响关系识别；透干信息只供后续效应与旺衰判断。</x:v>
      </x:c>
      <x:c r="N27" s="68" t="str">
        <x:v>检查中神午是否出现；若出现，改列完整三合结构。</x:v>
      </x:c>
      <x:c r="O27" s="68" t="str">
        <x:v>四柱地支已按年、月、日、时标准化并保留柱位。</x:v>
      </x:c>
      <x:c r="P27" s="68" t="str">
        <x:v>四柱地支中同时出现寅与戌，对应三合中神午未出现。</x:v>
      </x:c>
      <x:c r="Q27" s="68" t="str">
        <x:v>两端相邻、目标五行透出或中神于岁运出现时，只增强后续候选。</x:v>
      </x:c>
      <x:c r="R27" s="68" t="str">
        <x:v>两端隔散或受强关系牵连时，后续拱势更不确定。</x:v>
      </x:c>
      <x:c r="S27" s="90" t="str">
        <x:v>缺少寅或戌；若中神午已在原局出现，则不以“仅拱合”分类。</x:v>
      </x:c>
      <x:c r="T27" s="68" t="str">
        <x:v>拱合是结构候选；是否能拱出中神或形成实际合势转M06/D0。</x:v>
      </x:c>
      <x:c r="U27" s="68" t="str">
        <x:v>原局存在寅戌拱合，为合火局的两端候选。</x:v>
      </x:c>
      <x:c r="V27" s="68" t="str">
        <x:v>不得直接视为中神午已经出现，也不得直接输出成火局。</x:v>
      </x:c>
      <x:c r="W27" s="82" t="str">
        <x:v>P1_高</x:v>
      </x:c>
      <x:c r="X27" s="82" t="str">
        <x:v>辅助证据</x:v>
      </x:c>
      <x:c r="Y27" s="84" t="str">
        <x:v>寅戌拱合</x:v>
      </x:c>
      <x:c r="Z27" s="84" t="str">
        <x:v>原局见寅、戌而缺中神午，识别为寅戌拱合；不得把午当作实有地支。</x:v>
      </x:c>
      <x:c r="AA27" s="82" t="str">
        <x:v>较高</x:v>
      </x:c>
      <x:c r="AB27" s="82" t="str">
        <x:v>现代综合</x:v>
      </x:c>
      <x:c r="AC27" s="68" t="str">
        <x:v>拱合用于描述三合生墓两端齐而中神缺失的结构；中神仍是缺失状态。</x:v>
      </x:c>
      <x:c r="AD27" s="68" t="str">
        <x:v>见寅、戌而不见午，登记寅戌拱合。</x:v>
      </x:c>
      <x:c r="AE27" s="90" t="str">
        <x:v>原局已见午时，应登记完整三合，不应继续把中神视为缺失。</x:v>
      </x:c>
      <x:c r="AF27" s="68" t="str">
        <x:v>内部结构化规则：识别层与效应层分离；https://zh.wikisource.org/wiki/淵海子平；https://zh.wikisource.org/zh-hans/三命通會_(四庫全書本)</x:v>
      </x:c>
      <x:c r="AG27" s="82" t="str">
        <x:v>采用</x:v>
      </x:c>
      <x:c r="AH27" s="82" t="str">
        <x:v>初审</x:v>
      </x:c>
      <x:c r="AI27" s="87" t="n">
        <x:v>46255</x:v>
      </x:c>
    </x:row>
    <x:row r="28">
      <x:c r="A28" s="72" t="str">
        <x:f>IF(OR(C28="",D28=""),"",B28&amp;"-"&amp;UPPER(C28)&amp;"-"&amp;TEXT(D28,"0000")&amp;"-"&amp;E28)</x:f>
        <x:v>M05-GONGHE-0022-V1.0</x:v>
      </x:c>
      <x:c r="B28" s="74" t="str">
        <x:v>M05</x:v>
      </x:c>
      <x:c r="C28" s="74" t="str">
        <x:v>GONGHE</x:v>
      </x:c>
      <x:c r="D28" s="79" t="n">
        <x:v>22</x:v>
      </x:c>
      <x:c r="E28" s="74" t="str">
        <x:v>V1.0</x:v>
      </x:c>
      <x:c r="F28" s="68" t="str">
        <x:v>巳丑拱合识别</x:v>
      </x:c>
      <x:c r="G28" s="82" t="str">
        <x:v>识别层</x:v>
      </x:c>
      <x:c r="H28" s="82" t="str">
        <x:v>拱合</x:v>
      </x:c>
      <x:c r="I28" s="68" t="str">
        <x:v>巳、丑</x:v>
      </x:c>
      <x:c r="J28" s="82" t="str">
        <x:v>其他</x:v>
      </x:c>
      <x:c r="K28" s="82" t="str">
        <x:v>部分</x:v>
      </x:c>
      <x:c r="L28" s="68" t="str">
        <x:v>记录两端支中谁为月支；中神酉缺失是本条分类条件。</x:v>
      </x:c>
      <x:c r="M28" s="68" t="str">
        <x:v>相关藏干是否透出不影响关系识别；透干信息只供后续效应与旺衰判断。</x:v>
      </x:c>
      <x:c r="N28" s="68" t="str">
        <x:v>检查中神酉是否出现；若出现，改列完整三合结构。</x:v>
      </x:c>
      <x:c r="O28" s="68" t="str">
        <x:v>四柱地支已按年、月、日、时标准化并保留柱位。</x:v>
      </x:c>
      <x:c r="P28" s="68" t="str">
        <x:v>四柱地支中同时出现巳与丑，对应三合中神酉未出现。</x:v>
      </x:c>
      <x:c r="Q28" s="68" t="str">
        <x:v>两端相邻、目标五行透出或中神于岁运出现时，只增强后续候选。</x:v>
      </x:c>
      <x:c r="R28" s="68" t="str">
        <x:v>两端隔散或受强关系牵连时，后续拱势更不确定。</x:v>
      </x:c>
      <x:c r="S28" s="90" t="str">
        <x:v>缺少巳或丑；若中神酉已在原局出现，则不以“仅拱合”分类。</x:v>
      </x:c>
      <x:c r="T28" s="68" t="str">
        <x:v>拱合是结构候选；是否能拱出中神或形成实际合势转M06/D0。</x:v>
      </x:c>
      <x:c r="U28" s="68" t="str">
        <x:v>原局存在巳丑拱合，为合金局的两端候选。</x:v>
      </x:c>
      <x:c r="V28" s="68" t="str">
        <x:v>不得直接视为中神酉已经出现，也不得直接输出成金局。</x:v>
      </x:c>
      <x:c r="W28" s="82" t="str">
        <x:v>P1_高</x:v>
      </x:c>
      <x:c r="X28" s="82" t="str">
        <x:v>辅助证据</x:v>
      </x:c>
      <x:c r="Y28" s="84" t="str">
        <x:v>巳丑拱合</x:v>
      </x:c>
      <x:c r="Z28" s="84" t="str">
        <x:v>原局见巳、丑而缺中神酉，识别为巳丑拱合；不得把酉当作实有地支。</x:v>
      </x:c>
      <x:c r="AA28" s="82" t="str">
        <x:v>较高</x:v>
      </x:c>
      <x:c r="AB28" s="82" t="str">
        <x:v>现代综合</x:v>
      </x:c>
      <x:c r="AC28" s="68" t="str">
        <x:v>拱合用于描述三合生墓两端齐而中神缺失的结构；中神仍是缺失状态。</x:v>
      </x:c>
      <x:c r="AD28" s="68" t="str">
        <x:v>见巳、丑而不见酉，登记巳丑拱合。</x:v>
      </x:c>
      <x:c r="AE28" s="90" t="str">
        <x:v>原局已见酉时，应登记完整三合，不应继续把中神视为缺失。</x:v>
      </x:c>
      <x:c r="AF28" s="68" t="str">
        <x:v>内部结构化规则：识别层与效应层分离；https://zh.wikisource.org/wiki/淵海子平；https://zh.wikisource.org/zh-hans/三命通會_(四庫全書本)</x:v>
      </x:c>
      <x:c r="AG28" s="82" t="str">
        <x:v>采用</x:v>
      </x:c>
      <x:c r="AH28" s="82" t="str">
        <x:v>初审</x:v>
      </x:c>
      <x:c r="AI28" s="87" t="n">
        <x:v>46255</x:v>
      </x:c>
    </x:row>
    <x:row r="29">
      <x:c r="A29" s="72" t="str">
        <x:f>IF(OR(C29="",D29=""),"",B29&amp;"-"&amp;UPPER(C29)&amp;"-"&amp;TEXT(D29,"0000")&amp;"-"&amp;E29)</x:f>
        <x:v>M05-SANHUI-0023-V1.0</x:v>
      </x:c>
      <x:c r="B29" s="74" t="str">
        <x:v>M05</x:v>
      </x:c>
      <x:c r="C29" s="74" t="str">
        <x:v>SANHUI</x:v>
      </x:c>
      <x:c r="D29" s="79" t="n">
        <x:v>23</x:v>
      </x:c>
      <x:c r="E29" s="74" t="str">
        <x:v>V1.0</x:v>
      </x:c>
      <x:c r="F29" s="68" t="str">
        <x:v>亥子丑三会结构完整识别</x:v>
      </x:c>
      <x:c r="G29" s="82" t="str">
        <x:v>识别层</x:v>
      </x:c>
      <x:c r="H29" s="82" t="str">
        <x:v>三会</x:v>
      </x:c>
      <x:c r="I29" s="68" t="str">
        <x:v>亥、子、丑</x:v>
      </x:c>
      <x:c r="J29" s="82" t="str">
        <x:v>其他</x:v>
      </x:c>
      <x:c r="K29" s="82" t="str">
        <x:v>完整</x:v>
      </x:c>
      <x:c r="L29" s="68" t="str">
        <x:v>记录三支中谁为月支；月令只影响后续会局强弱，不影响三支齐全判断。</x:v>
      </x:c>
      <x:c r="M29" s="68" t="str">
        <x:v>相关藏干是否透出不影响关系识别；透干信息只供后续效应与旺衰判断。</x:v>
      </x:c>
      <x:c r="N29" s="68" t="str">
        <x:v>同时检查三支是否另构成六合、冲刑害破或与第四支形成三合。</x:v>
      </x:c>
      <x:c r="O29" s="68" t="str">
        <x:v>四柱地支已按年、月、日、时标准化并保留柱位。</x:v>
      </x:c>
      <x:c r="P29" s="68" t="str">
        <x:v>四柱地支中亥、子、丑三支均至少出现一次，顺序与相邻性不作为齐全的必要条件。</x:v>
      </x:c>
      <x:c r="Q29" s="68" t="str">
        <x:v>三支连续相邻、得季令或目标五行透出时，只增强后续会势候选。</x:v>
      </x:c>
      <x:c r="R29" s="68" t="str">
        <x:v>三支隔散或参与其他强关系时，只使效应复杂，不否定完整结构。</x:v>
      </x:c>
      <x:c r="S29" s="90" t="str">
        <x:v>缺少亥、子、丑中的任一支；重复支不能补齐缺支。</x:v>
      </x:c>
      <x:c r="T29" s="68" t="str">
        <x:v>三支齐全仅表示三会结构完整；是否成会局及与三合谁优先转M06。</x:v>
      </x:c>
      <x:c r="U29" s="68" t="str">
        <x:v>原局亥子丑三会结构完整，生成会水局候选。</x:v>
      </x:c>
      <x:c r="V29" s="68" t="str">
        <x:v>不得直接输出已成水局、三支原性消失或力量固定增强。</x:v>
      </x:c>
      <x:c r="W29" s="82" t="str">
        <x:v>P0_硬约束</x:v>
      </x:c>
      <x:c r="X29" s="82" t="str">
        <x:v>硬约束</x:v>
      </x:c>
      <x:c r="Y29" s="84" t="str">
        <x:v>亥子丑三会完整</x:v>
      </x:c>
      <x:c r="Z29" s="84" t="str">
        <x:v>原局见亥、子、丑，亥子丑三会结构完整；会水局仅为候选，实际效应转M06。</x:v>
      </x:c>
      <x:c r="AA29" s="82" t="str">
        <x:v>确定</x:v>
      </x:c>
      <x:c r="AB29" s="82" t="str">
        <x:v>跨流派共识</x:v>
      </x:c>
      <x:c r="AC29" s="68" t="str">
        <x:v>三会以同一季节三支齐全为完整结构；完整性与成局成势分开。</x:v>
      </x:c>
      <x:c r="AD29" s="68" t="str">
        <x:v>四支中同时见亥、子、丑，登记亥子丑三会完整。</x:v>
      </x:c>
      <x:c r="AE29" s="90" t="str">
        <x:v>只见亥、子而缺丑，不得标记完整三会。</x:v>
      </x:c>
      <x:c r="AF29" s="68" t="str">
        <x:v>https://zh.wikisource.org/wiki/淵海子平；https://zh.wikisource.org/zh-hans/三命通會_(四庫全書本)</x:v>
      </x:c>
      <x:c r="AG29" s="82" t="str">
        <x:v>采用</x:v>
      </x:c>
      <x:c r="AH29" s="82" t="str">
        <x:v>初审</x:v>
      </x:c>
      <x:c r="AI29" s="87" t="n">
        <x:v>46255</x:v>
      </x:c>
    </x:row>
    <x:row r="30">
      <x:c r="A30" s="72" t="str">
        <x:f>IF(OR(C30="",D30=""),"",B30&amp;"-"&amp;UPPER(C30)&amp;"-"&amp;TEXT(D30,"0000")&amp;"-"&amp;E30)</x:f>
        <x:v>M05-SANHUI-0024-V1.0</x:v>
      </x:c>
      <x:c r="B30" s="74" t="str">
        <x:v>M05</x:v>
      </x:c>
      <x:c r="C30" s="74" t="str">
        <x:v>SANHUI</x:v>
      </x:c>
      <x:c r="D30" s="79" t="n">
        <x:v>24</x:v>
      </x:c>
      <x:c r="E30" s="74" t="str">
        <x:v>V1.0</x:v>
      </x:c>
      <x:c r="F30" s="68" t="str">
        <x:v>寅卯辰三会结构完整识别</x:v>
      </x:c>
      <x:c r="G30" s="82" t="str">
        <x:v>识别层</x:v>
      </x:c>
      <x:c r="H30" s="82" t="str">
        <x:v>三会</x:v>
      </x:c>
      <x:c r="I30" s="68" t="str">
        <x:v>寅、卯、辰</x:v>
      </x:c>
      <x:c r="J30" s="82" t="str">
        <x:v>其他</x:v>
      </x:c>
      <x:c r="K30" s="82" t="str">
        <x:v>完整</x:v>
      </x:c>
      <x:c r="L30" s="68" t="str">
        <x:v>记录三支中谁为月支；月令只影响后续会局强弱，不影响三支齐全判断。</x:v>
      </x:c>
      <x:c r="M30" s="68" t="str">
        <x:v>相关藏干是否透出不影响关系识别；透干信息只供后续效应与旺衰判断。</x:v>
      </x:c>
      <x:c r="N30" s="68" t="str">
        <x:v>同时检查三支是否另构成六合、冲刑害破或与第四支形成三合。</x:v>
      </x:c>
      <x:c r="O30" s="68" t="str">
        <x:v>四柱地支已按年、月、日、时标准化并保留柱位。</x:v>
      </x:c>
      <x:c r="P30" s="68" t="str">
        <x:v>四柱地支中寅、卯、辰三支均至少出现一次，顺序与相邻性不作为齐全的必要条件。</x:v>
      </x:c>
      <x:c r="Q30" s="68" t="str">
        <x:v>三支连续相邻、得季令或目标五行透出时，只增强后续会势候选。</x:v>
      </x:c>
      <x:c r="R30" s="68" t="str">
        <x:v>三支隔散或参与其他强关系时，只使效应复杂，不否定完整结构。</x:v>
      </x:c>
      <x:c r="S30" s="90" t="str">
        <x:v>缺少寅、卯、辰中的任一支；重复支不能补齐缺支。</x:v>
      </x:c>
      <x:c r="T30" s="68" t="str">
        <x:v>三支齐全仅表示三会结构完整；是否成会局及与三合谁优先转M06。</x:v>
      </x:c>
      <x:c r="U30" s="68" t="str">
        <x:v>原局寅卯辰三会结构完整，生成会木局候选。</x:v>
      </x:c>
      <x:c r="V30" s="68" t="str">
        <x:v>不得直接输出已成木局、三支原性消失或力量固定增强。</x:v>
      </x:c>
      <x:c r="W30" s="82" t="str">
        <x:v>P0_硬约束</x:v>
      </x:c>
      <x:c r="X30" s="82" t="str">
        <x:v>硬约束</x:v>
      </x:c>
      <x:c r="Y30" s="84" t="str">
        <x:v>寅卯辰三会完整</x:v>
      </x:c>
      <x:c r="Z30" s="84" t="str">
        <x:v>原局见寅、卯、辰，寅卯辰三会结构完整；会木局仅为候选，实际效应转M06。</x:v>
      </x:c>
      <x:c r="AA30" s="82" t="str">
        <x:v>确定</x:v>
      </x:c>
      <x:c r="AB30" s="82" t="str">
        <x:v>跨流派共识</x:v>
      </x:c>
      <x:c r="AC30" s="68" t="str">
        <x:v>三会以同一季节三支齐全为完整结构；完整性与成局成势分开。</x:v>
      </x:c>
      <x:c r="AD30" s="68" t="str">
        <x:v>四支中同时见寅、卯、辰，登记寅卯辰三会完整。</x:v>
      </x:c>
      <x:c r="AE30" s="90" t="str">
        <x:v>只见寅、卯而缺辰，不得标记完整三会。</x:v>
      </x:c>
      <x:c r="AF30" s="68" t="str">
        <x:v>https://zh.wikisource.org/wiki/淵海子平；https://zh.wikisource.org/zh-hans/三命通會_(四庫全書本)</x:v>
      </x:c>
      <x:c r="AG30" s="82" t="str">
        <x:v>采用</x:v>
      </x:c>
      <x:c r="AH30" s="82" t="str">
        <x:v>初审</x:v>
      </x:c>
      <x:c r="AI30" s="87" t="n">
        <x:v>46255</x:v>
      </x:c>
    </x:row>
    <x:row r="31">
      <x:c r="A31" s="72" t="str">
        <x:f>IF(OR(C31="",D31=""),"",B31&amp;"-"&amp;UPPER(C31)&amp;"-"&amp;TEXT(D31,"0000")&amp;"-"&amp;E31)</x:f>
        <x:v>M05-SANHUI-0025-V1.0</x:v>
      </x:c>
      <x:c r="B31" s="74" t="str">
        <x:v>M05</x:v>
      </x:c>
      <x:c r="C31" s="74" t="str">
        <x:v>SANHUI</x:v>
      </x:c>
      <x:c r="D31" s="79" t="n">
        <x:v>25</x:v>
      </x:c>
      <x:c r="E31" s="74" t="str">
        <x:v>V1.0</x:v>
      </x:c>
      <x:c r="F31" s="68" t="str">
        <x:v>巳午未三会结构完整识别</x:v>
      </x:c>
      <x:c r="G31" s="82" t="str">
        <x:v>识别层</x:v>
      </x:c>
      <x:c r="H31" s="82" t="str">
        <x:v>三会</x:v>
      </x:c>
      <x:c r="I31" s="68" t="str">
        <x:v>巳、午、未</x:v>
      </x:c>
      <x:c r="J31" s="82" t="str">
        <x:v>其他</x:v>
      </x:c>
      <x:c r="K31" s="82" t="str">
        <x:v>完整</x:v>
      </x:c>
      <x:c r="L31" s="68" t="str">
        <x:v>记录三支中谁为月支；月令只影响后续会局强弱，不影响三支齐全判断。</x:v>
      </x:c>
      <x:c r="M31" s="68" t="str">
        <x:v>相关藏干是否透出不影响关系识别；透干信息只供后续效应与旺衰判断。</x:v>
      </x:c>
      <x:c r="N31" s="68" t="str">
        <x:v>同时检查三支是否另构成六合、冲刑害破或与第四支形成三合。</x:v>
      </x:c>
      <x:c r="O31" s="68" t="str">
        <x:v>四柱地支已按年、月、日、时标准化并保留柱位。</x:v>
      </x:c>
      <x:c r="P31" s="68" t="str">
        <x:v>四柱地支中巳、午、未三支均至少出现一次，顺序与相邻性不作为齐全的必要条件。</x:v>
      </x:c>
      <x:c r="Q31" s="68" t="str">
        <x:v>三支连续相邻、得季令或目标五行透出时，只增强后续会势候选。</x:v>
      </x:c>
      <x:c r="R31" s="68" t="str">
        <x:v>三支隔散或参与其他强关系时，只使效应复杂，不否定完整结构。</x:v>
      </x:c>
      <x:c r="S31" s="90" t="str">
        <x:v>缺少巳、午、未中的任一支；重复支不能补齐缺支。</x:v>
      </x:c>
      <x:c r="T31" s="68" t="str">
        <x:v>三支齐全仅表示三会结构完整；是否成会局及与三合谁优先转M06。</x:v>
      </x:c>
      <x:c r="U31" s="68" t="str">
        <x:v>原局巳午未三会结构完整，生成会火局候选。</x:v>
      </x:c>
      <x:c r="V31" s="68" t="str">
        <x:v>不得直接输出已成火局、三支原性消失或力量固定增强。</x:v>
      </x:c>
      <x:c r="W31" s="82" t="str">
        <x:v>P0_硬约束</x:v>
      </x:c>
      <x:c r="X31" s="82" t="str">
        <x:v>硬约束</x:v>
      </x:c>
      <x:c r="Y31" s="84" t="str">
        <x:v>巳午未三会完整</x:v>
      </x:c>
      <x:c r="Z31" s="84" t="str">
        <x:v>原局见巳、午、未，巳午未三会结构完整；会火局仅为候选，实际效应转M06。</x:v>
      </x:c>
      <x:c r="AA31" s="82" t="str">
        <x:v>确定</x:v>
      </x:c>
      <x:c r="AB31" s="82" t="str">
        <x:v>跨流派共识</x:v>
      </x:c>
      <x:c r="AC31" s="68" t="str">
        <x:v>三会以同一季节三支齐全为完整结构；完整性与成局成势分开。</x:v>
      </x:c>
      <x:c r="AD31" s="68" t="str">
        <x:v>四支中同时见巳、午、未，登记巳午未三会完整。</x:v>
      </x:c>
      <x:c r="AE31" s="90" t="str">
        <x:v>只见巳、午而缺未，不得标记完整三会。</x:v>
      </x:c>
      <x:c r="AF31" s="68" t="str">
        <x:v>https://zh.wikisource.org/wiki/淵海子平；https://zh.wikisource.org/zh-hans/三命通會_(四庫全書本)</x:v>
      </x:c>
      <x:c r="AG31" s="82" t="str">
        <x:v>采用</x:v>
      </x:c>
      <x:c r="AH31" s="82" t="str">
        <x:v>初审</x:v>
      </x:c>
      <x:c r="AI31" s="87" t="n">
        <x:v>46255</x:v>
      </x:c>
    </x:row>
    <x:row r="32">
      <x:c r="A32" s="72" t="str">
        <x:f>IF(OR(C32="",D32=""),"",B32&amp;"-"&amp;UPPER(C32)&amp;"-"&amp;TEXT(D32,"0000")&amp;"-"&amp;E32)</x:f>
        <x:v>M05-SANHUI-0026-V1.0</x:v>
      </x:c>
      <x:c r="B32" s="74" t="str">
        <x:v>M05</x:v>
      </x:c>
      <x:c r="C32" s="74" t="str">
        <x:v>SANHUI</x:v>
      </x:c>
      <x:c r="D32" s="79" t="n">
        <x:v>26</x:v>
      </x:c>
      <x:c r="E32" s="74" t="str">
        <x:v>V1.0</x:v>
      </x:c>
      <x:c r="F32" s="68" t="str">
        <x:v>申酉戌三会结构完整识别</x:v>
      </x:c>
      <x:c r="G32" s="82" t="str">
        <x:v>识别层</x:v>
      </x:c>
      <x:c r="H32" s="82" t="str">
        <x:v>三会</x:v>
      </x:c>
      <x:c r="I32" s="68" t="str">
        <x:v>申、酉、戌</x:v>
      </x:c>
      <x:c r="J32" s="82" t="str">
        <x:v>其他</x:v>
      </x:c>
      <x:c r="K32" s="82" t="str">
        <x:v>完整</x:v>
      </x:c>
      <x:c r="L32" s="68" t="str">
        <x:v>记录三支中谁为月支；月令只影响后续会局强弱，不影响三支齐全判断。</x:v>
      </x:c>
      <x:c r="M32" s="68" t="str">
        <x:v>相关藏干是否透出不影响关系识别；透干信息只供后续效应与旺衰判断。</x:v>
      </x:c>
      <x:c r="N32" s="68" t="str">
        <x:v>同时检查三支是否另构成六合、冲刑害破或与第四支形成三合。</x:v>
      </x:c>
      <x:c r="O32" s="68" t="str">
        <x:v>四柱地支已按年、月、日、时标准化并保留柱位。</x:v>
      </x:c>
      <x:c r="P32" s="68" t="str">
        <x:v>四柱地支中申、酉、戌三支均至少出现一次，顺序与相邻性不作为齐全的必要条件。</x:v>
      </x:c>
      <x:c r="Q32" s="68" t="str">
        <x:v>三支连续相邻、得季令或目标五行透出时，只增强后续会势候选。</x:v>
      </x:c>
      <x:c r="R32" s="68" t="str">
        <x:v>三支隔散或参与其他强关系时，只使效应复杂，不否定完整结构。</x:v>
      </x:c>
      <x:c r="S32" s="90" t="str">
        <x:v>缺少申、酉、戌中的任一支；重复支不能补齐缺支。</x:v>
      </x:c>
      <x:c r="T32" s="68" t="str">
        <x:v>三支齐全仅表示三会结构完整；是否成会局及与三合谁优先转M06。</x:v>
      </x:c>
      <x:c r="U32" s="68" t="str">
        <x:v>原局申酉戌三会结构完整，生成会金局候选。</x:v>
      </x:c>
      <x:c r="V32" s="68" t="str">
        <x:v>不得直接输出已成金局、三支原性消失或力量固定增强。</x:v>
      </x:c>
      <x:c r="W32" s="82" t="str">
        <x:v>P0_硬约束</x:v>
      </x:c>
      <x:c r="X32" s="82" t="str">
        <x:v>硬约束</x:v>
      </x:c>
      <x:c r="Y32" s="84" t="str">
        <x:v>申酉戌三会完整</x:v>
      </x:c>
      <x:c r="Z32" s="84" t="str">
        <x:v>原局见申、酉、戌，申酉戌三会结构完整；会金局仅为候选，实际效应转M06。</x:v>
      </x:c>
      <x:c r="AA32" s="82" t="str">
        <x:v>确定</x:v>
      </x:c>
      <x:c r="AB32" s="82" t="str">
        <x:v>跨流派共识</x:v>
      </x:c>
      <x:c r="AC32" s="68" t="str">
        <x:v>三会以同一季节三支齐全为完整结构；完整性与成局成势分开。</x:v>
      </x:c>
      <x:c r="AD32" s="68" t="str">
        <x:v>四支中同时见申、酉、戌，登记申酉戌三会完整。</x:v>
      </x:c>
      <x:c r="AE32" s="90" t="str">
        <x:v>只见申、酉而缺戌，不得标记完整三会。</x:v>
      </x:c>
      <x:c r="AF32" s="68" t="str">
        <x:v>https://zh.wikisource.org/wiki/淵海子平；https://zh.wikisource.org/zh-hans/三命通會_(四庫全書本)</x:v>
      </x:c>
      <x:c r="AG32" s="82" t="str">
        <x:v>采用</x:v>
      </x:c>
      <x:c r="AH32" s="82" t="str">
        <x:v>初审</x:v>
      </x:c>
      <x:c r="AI32" s="87" t="n">
        <x:v>46255</x:v>
      </x:c>
    </x:row>
    <x:row r="33">
      <x:c r="A33" s="72" t="str">
        <x:f>IF(OR(C33="",D33=""),"",B33&amp;"-"&amp;UPPER(C33)&amp;"-"&amp;TEXT(D33,"0000")&amp;"-"&amp;E33)</x:f>
        <x:v>M05-CHONG-0027-V1.0</x:v>
      </x:c>
      <x:c r="B33" s="74" t="str">
        <x:v>M05</x:v>
      </x:c>
      <x:c r="C33" s="74" t="str">
        <x:v>CHONG</x:v>
      </x:c>
      <x:c r="D33" s="79" t="n">
        <x:v>27</x:v>
      </x:c>
      <x:c r="E33" s="74" t="str">
        <x:v>V1.0</x:v>
      </x:c>
      <x:c r="F33" s="68" t="str">
        <x:v>子午六冲识别</x:v>
      </x:c>
      <x:c r="G33" s="82" t="str">
        <x:v>识别层</x:v>
      </x:c>
      <x:c r="H33" s="82" t="str">
        <x:v>六冲</x:v>
      </x:c>
      <x:c r="I33" s="68" t="str">
        <x:v>子、午</x:v>
      </x:c>
      <x:c r="J33" s="82" t="str">
        <x:v>其他</x:v>
      </x:c>
      <x:c r="K33" s="82" t="str">
        <x:v>完整</x:v>
      </x:c>
      <x:c r="L33" s="68" t="str">
        <x:v>关系存在不以月支得令为必要条件；须另记录参与支中谁为月支。</x:v>
      </x:c>
      <x:c r="M33" s="68" t="str">
        <x:v>相关藏干是否透出不影响关系识别；透干信息只供后续效应与旺衰判断。</x:v>
      </x:c>
      <x:c r="N33" s="68" t="str">
        <x:v>检查两支是否还参与三合、三会、刑、害、破等其他关系。</x:v>
      </x:c>
      <x:c r="O33" s="68" t="str">
        <x:v>四柱地支已按年、月、日、时标准化并保留柱位。</x:v>
      </x:c>
      <x:c r="P33" s="68" t="str">
        <x:v>四柱地支中同时出现子与午。</x:v>
      </x:c>
      <x:c r="Q33" s="68" t="str">
        <x:v>两支相邻、其中一支临月令或岁运再引动时，只增强后续冲效应候选。</x:v>
      </x:c>
      <x:c r="R33" s="68" t="str">
        <x:v>两支隔位、其中一支同时被合或参与会局时，效应需综合，不否定冲关系存在。</x:v>
      </x:c>
      <x:c r="S33" s="90" t="str">
        <x:v>缺少子或午。</x:v>
      </x:c>
      <x:c r="T33" s="68" t="str">
        <x:v>冲动、冲散、冲旺、冲弱、冲开或冲去必须在M06逐支判断。</x:v>
      </x:c>
      <x:c r="U33" s="68" t="str">
        <x:v>原局存在子午六冲关系。</x:v>
      </x:c>
      <x:c r="V33" s="68" t="str">
        <x:v>不得直接推出子或午被冲掉、根气必失、双方同时减力或必然发生事件。</x:v>
      </x:c>
      <x:c r="W33" s="82" t="str">
        <x:v>P0_硬约束</x:v>
      </x:c>
      <x:c r="X33" s="82" t="str">
        <x:v>硬约束</x:v>
      </x:c>
      <x:c r="Y33" s="84" t="str">
        <x:v>子午冲</x:v>
      </x:c>
      <x:c r="Z33" s="84" t="str">
        <x:v>地支见子、午，识别为子午冲；实际是冲动、冲散、冲旺、冲弱还是作用有限，转M06判断。</x:v>
      </x:c>
      <x:c r="AA33" s="82" t="str">
        <x:v>确定</x:v>
      </x:c>
      <x:c r="AB33" s="82" t="str">
        <x:v>跨流派共识</x:v>
      </x:c>
      <x:c r="AC33" s="68" t="str">
        <x:v>六冲有固定六组对冲；识别关系与评估结果必须分离。</x:v>
      </x:c>
      <x:c r="AD33" s="68" t="str">
        <x:v>月支为子、日支为午，登记子午冲。</x:v>
      </x:c>
      <x:c r="AE33" s="90" t="str">
        <x:v>只见子而不见午，不能登记子午冲。</x:v>
      </x:c>
      <x:c r="AF33" s="68" t="str">
        <x:v>https://zh.wikisource.org/wiki/淵海子平；https://zh.wikisource.org/zh-hans/三命通會_(四庫全書本)</x:v>
      </x:c>
      <x:c r="AG33" s="82" t="str">
        <x:v>采用</x:v>
      </x:c>
      <x:c r="AH33" s="82" t="str">
        <x:v>初审</x:v>
      </x:c>
      <x:c r="AI33" s="87" t="n">
        <x:v>46255</x:v>
      </x:c>
    </x:row>
    <x:row r="34">
      <x:c r="A34" s="72" t="str">
        <x:f>IF(OR(C34="",D34=""),"",B34&amp;"-"&amp;UPPER(C34)&amp;"-"&amp;TEXT(D34,"0000")&amp;"-"&amp;E34)</x:f>
        <x:v>M05-CHONG-0028-V1.0</x:v>
      </x:c>
      <x:c r="B34" s="74" t="str">
        <x:v>M05</x:v>
      </x:c>
      <x:c r="C34" s="74" t="str">
        <x:v>CHONG</x:v>
      </x:c>
      <x:c r="D34" s="79" t="n">
        <x:v>28</x:v>
      </x:c>
      <x:c r="E34" s="74" t="str">
        <x:v>V1.0</x:v>
      </x:c>
      <x:c r="F34" s="68" t="str">
        <x:v>丑未六冲识别</x:v>
      </x:c>
      <x:c r="G34" s="82" t="str">
        <x:v>识别层</x:v>
      </x:c>
      <x:c r="H34" s="82" t="str">
        <x:v>六冲</x:v>
      </x:c>
      <x:c r="I34" s="68" t="str">
        <x:v>丑、未</x:v>
      </x:c>
      <x:c r="J34" s="82" t="str">
        <x:v>其他</x:v>
      </x:c>
      <x:c r="K34" s="82" t="str">
        <x:v>完整</x:v>
      </x:c>
      <x:c r="L34" s="68" t="str">
        <x:v>关系存在不以月支得令为必要条件；须另记录参与支中谁为月支。</x:v>
      </x:c>
      <x:c r="M34" s="68" t="str">
        <x:v>相关藏干是否透出不影响关系识别；透干信息只供后续效应与旺衰判断。</x:v>
      </x:c>
      <x:c r="N34" s="68" t="str">
        <x:v>同时独立检查丑未冲及丑未戌刑组的局部刑关系。</x:v>
      </x:c>
      <x:c r="O34" s="68" t="str">
        <x:v>四柱地支已按年、月、日、时标准化并保留柱位。</x:v>
      </x:c>
      <x:c r="P34" s="68" t="str">
        <x:v>四柱地支中同时出现丑与未。</x:v>
      </x:c>
      <x:c r="Q34" s="68" t="str">
        <x:v>两支相邻、其中一支临月令或岁运再引动时，只增强后续冲效应候选。</x:v>
      </x:c>
      <x:c r="R34" s="68" t="str">
        <x:v>两支隔位、其中一支同时被合或参与会局时，效应需综合，不否定冲关系存在。</x:v>
      </x:c>
      <x:c r="S34" s="90" t="str">
        <x:v>缺少丑或未。</x:v>
      </x:c>
      <x:c r="T34" s="68" t="str">
        <x:v>冲动、冲散、冲旺、冲弱、冲开或冲去必须在M06逐支判断。</x:v>
      </x:c>
      <x:c r="U34" s="68" t="str">
        <x:v>原局存在丑未六冲关系。</x:v>
      </x:c>
      <x:c r="V34" s="68" t="str">
        <x:v>不得直接推出丑或未被冲掉、根气必失、双方同时减力或必然发生事件。</x:v>
      </x:c>
      <x:c r="W34" s="82" t="str">
        <x:v>P0_硬约束</x:v>
      </x:c>
      <x:c r="X34" s="82" t="str">
        <x:v>硬约束</x:v>
      </x:c>
      <x:c r="Y34" s="84" t="str">
        <x:v>丑未冲</x:v>
      </x:c>
      <x:c r="Z34" s="84" t="str">
        <x:v>地支见丑、未，识别为丑未冲；实际是冲动、冲散、冲旺、冲弱还是作用有限，转M06判断。</x:v>
      </x:c>
      <x:c r="AA34" s="82" t="str">
        <x:v>确定</x:v>
      </x:c>
      <x:c r="AB34" s="82" t="str">
        <x:v>跨流派共识</x:v>
      </x:c>
      <x:c r="AC34" s="68" t="str">
        <x:v>六冲有固定六组对冲；识别关系与评估结果必须分离。</x:v>
      </x:c>
      <x:c r="AD34" s="68" t="str">
        <x:v>月支为丑、日支为未，登记丑未冲。</x:v>
      </x:c>
      <x:c r="AE34" s="90" t="str">
        <x:v>只见丑而不见未，不能登记丑未冲。</x:v>
      </x:c>
      <x:c r="AF34" s="68" t="str">
        <x:v>https://zh.wikisource.org/wiki/淵海子平；https://zh.wikisource.org/zh-hans/三命通會_(四庫全書本)</x:v>
      </x:c>
      <x:c r="AG34" s="82" t="str">
        <x:v>采用</x:v>
      </x:c>
      <x:c r="AH34" s="82" t="str">
        <x:v>初审</x:v>
      </x:c>
      <x:c r="AI34" s="87" t="n">
        <x:v>46255</x:v>
      </x:c>
    </x:row>
    <x:row r="35">
      <x:c r="A35" s="72" t="str">
        <x:f>IF(OR(C35="",D35=""),"",B35&amp;"-"&amp;UPPER(C35)&amp;"-"&amp;TEXT(D35,"0000")&amp;"-"&amp;E35)</x:f>
        <x:v>M05-CHONG-0029-V1.0</x:v>
      </x:c>
      <x:c r="B35" s="74" t="str">
        <x:v>M05</x:v>
      </x:c>
      <x:c r="C35" s="74" t="str">
        <x:v>CHONG</x:v>
      </x:c>
      <x:c r="D35" s="79" t="n">
        <x:v>29</x:v>
      </x:c>
      <x:c r="E35" s="74" t="str">
        <x:v>V1.0</x:v>
      </x:c>
      <x:c r="F35" s="68" t="str">
        <x:v>寅申六冲识别</x:v>
      </x:c>
      <x:c r="G35" s="82" t="str">
        <x:v>识别层</x:v>
      </x:c>
      <x:c r="H35" s="82" t="str">
        <x:v>六冲</x:v>
      </x:c>
      <x:c r="I35" s="68" t="str">
        <x:v>寅、申</x:v>
      </x:c>
      <x:c r="J35" s="82" t="str">
        <x:v>其他</x:v>
      </x:c>
      <x:c r="K35" s="82" t="str">
        <x:v>完整</x:v>
      </x:c>
      <x:c r="L35" s="68" t="str">
        <x:v>关系存在不以月支得令为必要条件；须另记录参与支中谁为月支。</x:v>
      </x:c>
      <x:c r="M35" s="68" t="str">
        <x:v>相关藏干是否透出不影响关系识别；透干信息只供后续效应与旺衰判断。</x:v>
      </x:c>
      <x:c r="N35" s="68" t="str">
        <x:v>同时独立检查寅申冲及寅巳申刑组的局部刑关系。</x:v>
      </x:c>
      <x:c r="O35" s="68" t="str">
        <x:v>四柱地支已按年、月、日、时标准化并保留柱位。</x:v>
      </x:c>
      <x:c r="P35" s="68" t="str">
        <x:v>四柱地支中同时出现寅与申。</x:v>
      </x:c>
      <x:c r="Q35" s="68" t="str">
        <x:v>两支相邻、其中一支临月令或岁运再引动时，只增强后续冲效应候选。</x:v>
      </x:c>
      <x:c r="R35" s="68" t="str">
        <x:v>两支隔位、其中一支同时被合或参与会局时，效应需综合，不否定冲关系存在。</x:v>
      </x:c>
      <x:c r="S35" s="90" t="str">
        <x:v>缺少寅或申。</x:v>
      </x:c>
      <x:c r="T35" s="68" t="str">
        <x:v>冲动、冲散、冲旺、冲弱、冲开或冲去必须在M06逐支判断。</x:v>
      </x:c>
      <x:c r="U35" s="68" t="str">
        <x:v>原局存在寅申六冲关系。</x:v>
      </x:c>
      <x:c r="V35" s="68" t="str">
        <x:v>不得直接推出寅或申被冲掉、根气必失、双方同时减力或必然发生事件。</x:v>
      </x:c>
      <x:c r="W35" s="82" t="str">
        <x:v>P0_硬约束</x:v>
      </x:c>
      <x:c r="X35" s="82" t="str">
        <x:v>硬约束</x:v>
      </x:c>
      <x:c r="Y35" s="84" t="str">
        <x:v>寅申冲</x:v>
      </x:c>
      <x:c r="Z35" s="84" t="str">
        <x:v>地支见寅、申，识别为寅申冲；实际是冲动、冲散、冲旺、冲弱还是作用有限，转M06判断。</x:v>
      </x:c>
      <x:c r="AA35" s="82" t="str">
        <x:v>确定</x:v>
      </x:c>
      <x:c r="AB35" s="82" t="str">
        <x:v>跨流派共识</x:v>
      </x:c>
      <x:c r="AC35" s="68" t="str">
        <x:v>六冲有固定六组对冲；识别关系与评估结果必须分离。</x:v>
      </x:c>
      <x:c r="AD35" s="68" t="str">
        <x:v>月支为寅、日支为申，登记寅申冲。</x:v>
      </x:c>
      <x:c r="AE35" s="90" t="str">
        <x:v>只见寅而不见申，不能登记寅申冲。</x:v>
      </x:c>
      <x:c r="AF35" s="68" t="str">
        <x:v>https://zh.wikisource.org/wiki/淵海子平；https://zh.wikisource.org/zh-hans/三命通會_(四庫全書本)</x:v>
      </x:c>
      <x:c r="AG35" s="82" t="str">
        <x:v>采用</x:v>
      </x:c>
      <x:c r="AH35" s="82" t="str">
        <x:v>初审</x:v>
      </x:c>
      <x:c r="AI35" s="87" t="n">
        <x:v>46255</x:v>
      </x:c>
    </x:row>
    <x:row r="36">
      <x:c r="A36" s="72" t="str">
        <x:f>IF(OR(C36="",D36=""),"",B36&amp;"-"&amp;UPPER(C36)&amp;"-"&amp;TEXT(D36,"0000")&amp;"-"&amp;E36)</x:f>
        <x:v>M05-CHONG-0030-V1.0</x:v>
      </x:c>
      <x:c r="B36" s="74" t="str">
        <x:v>M05</x:v>
      </x:c>
      <x:c r="C36" s="74" t="str">
        <x:v>CHONG</x:v>
      </x:c>
      <x:c r="D36" s="79" t="n">
        <x:v>30</x:v>
      </x:c>
      <x:c r="E36" s="74" t="str">
        <x:v>V1.0</x:v>
      </x:c>
      <x:c r="F36" s="68" t="str">
        <x:v>卯酉六冲识别</x:v>
      </x:c>
      <x:c r="G36" s="82" t="str">
        <x:v>识别层</x:v>
      </x:c>
      <x:c r="H36" s="82" t="str">
        <x:v>六冲</x:v>
      </x:c>
      <x:c r="I36" s="68" t="str">
        <x:v>卯、酉</x:v>
      </x:c>
      <x:c r="J36" s="82" t="str">
        <x:v>其他</x:v>
      </x:c>
      <x:c r="K36" s="82" t="str">
        <x:v>完整</x:v>
      </x:c>
      <x:c r="L36" s="68" t="str">
        <x:v>关系存在不以月支得令为必要条件；须另记录参与支中谁为月支。</x:v>
      </x:c>
      <x:c r="M36" s="68" t="str">
        <x:v>相关藏干是否透出不影响关系识别；透干信息只供后续效应与旺衰判断。</x:v>
      </x:c>
      <x:c r="N36" s="68" t="str">
        <x:v>检查两支是否还参与三合、三会、刑、害、破等其他关系。</x:v>
      </x:c>
      <x:c r="O36" s="68" t="str">
        <x:v>四柱地支已按年、月、日、时标准化并保留柱位。</x:v>
      </x:c>
      <x:c r="P36" s="68" t="str">
        <x:v>四柱地支中同时出现卯与酉。</x:v>
      </x:c>
      <x:c r="Q36" s="68" t="str">
        <x:v>两支相邻、其中一支临月令或岁运再引动时，只增强后续冲效应候选。</x:v>
      </x:c>
      <x:c r="R36" s="68" t="str">
        <x:v>两支隔位、其中一支同时被合或参与会局时，效应需综合，不否定冲关系存在。</x:v>
      </x:c>
      <x:c r="S36" s="90" t="str">
        <x:v>缺少卯或酉。</x:v>
      </x:c>
      <x:c r="T36" s="68" t="str">
        <x:v>冲动、冲散、冲旺、冲弱、冲开或冲去必须在M06逐支判断。</x:v>
      </x:c>
      <x:c r="U36" s="68" t="str">
        <x:v>原局存在卯酉六冲关系。</x:v>
      </x:c>
      <x:c r="V36" s="68" t="str">
        <x:v>不得直接推出卯或酉被冲掉、根气必失、双方同时减力或必然发生事件。</x:v>
      </x:c>
      <x:c r="W36" s="82" t="str">
        <x:v>P0_硬约束</x:v>
      </x:c>
      <x:c r="X36" s="82" t="str">
        <x:v>硬约束</x:v>
      </x:c>
      <x:c r="Y36" s="84" t="str">
        <x:v>卯酉冲</x:v>
      </x:c>
      <x:c r="Z36" s="84" t="str">
        <x:v>地支见卯、酉，识别为卯酉冲；实际是冲动、冲散、冲旺、冲弱还是作用有限，转M06判断。</x:v>
      </x:c>
      <x:c r="AA36" s="82" t="str">
        <x:v>确定</x:v>
      </x:c>
      <x:c r="AB36" s="82" t="str">
        <x:v>跨流派共识</x:v>
      </x:c>
      <x:c r="AC36" s="68" t="str">
        <x:v>六冲有固定六组对冲；识别关系与评估结果必须分离。</x:v>
      </x:c>
      <x:c r="AD36" s="68" t="str">
        <x:v>月支为卯、日支为酉，登记卯酉冲。</x:v>
      </x:c>
      <x:c r="AE36" s="90" t="str">
        <x:v>只见卯而不见酉，不能登记卯酉冲。</x:v>
      </x:c>
      <x:c r="AF36" s="68" t="str">
        <x:v>https://zh.wikisource.org/wiki/淵海子平；https://zh.wikisource.org/zh-hans/三命通會_(四庫全書本)</x:v>
      </x:c>
      <x:c r="AG36" s="82" t="str">
        <x:v>采用</x:v>
      </x:c>
      <x:c r="AH36" s="82" t="str">
        <x:v>初审</x:v>
      </x:c>
      <x:c r="AI36" s="87" t="n">
        <x:v>46255</x:v>
      </x:c>
    </x:row>
    <x:row r="37">
      <x:c r="A37" s="72" t="str">
        <x:f>IF(OR(C37="",D37=""),"",B37&amp;"-"&amp;UPPER(C37)&amp;"-"&amp;TEXT(D37,"0000")&amp;"-"&amp;E37)</x:f>
        <x:v>M05-CHONG-0031-V1.0</x:v>
      </x:c>
      <x:c r="B37" s="74" t="str">
        <x:v>M05</x:v>
      </x:c>
      <x:c r="C37" s="74" t="str">
        <x:v>CHONG</x:v>
      </x:c>
      <x:c r="D37" s="79" t="n">
        <x:v>31</x:v>
      </x:c>
      <x:c r="E37" s="74" t="str">
        <x:v>V1.0</x:v>
      </x:c>
      <x:c r="F37" s="68" t="str">
        <x:v>辰戌六冲识别</x:v>
      </x:c>
      <x:c r="G37" s="82" t="str">
        <x:v>识别层</x:v>
      </x:c>
      <x:c r="H37" s="82" t="str">
        <x:v>六冲</x:v>
      </x:c>
      <x:c r="I37" s="68" t="str">
        <x:v>辰、戌</x:v>
      </x:c>
      <x:c r="J37" s="82" t="str">
        <x:v>其他</x:v>
      </x:c>
      <x:c r="K37" s="82" t="str">
        <x:v>完整</x:v>
      </x:c>
      <x:c r="L37" s="68" t="str">
        <x:v>关系存在不以月支得令为必要条件；须另记录参与支中谁为月支。</x:v>
      </x:c>
      <x:c r="M37" s="68" t="str">
        <x:v>相关藏干是否透出不影响关系识别；透干信息只供后续效应与旺衰判断。</x:v>
      </x:c>
      <x:c r="N37" s="68" t="str">
        <x:v>检查两支是否还参与三合、三会、刑、害、破等其他关系。</x:v>
      </x:c>
      <x:c r="O37" s="68" t="str">
        <x:v>四柱地支已按年、月、日、时标准化并保留柱位。</x:v>
      </x:c>
      <x:c r="P37" s="68" t="str">
        <x:v>四柱地支中同时出现辰与戌。</x:v>
      </x:c>
      <x:c r="Q37" s="68" t="str">
        <x:v>两支相邻、其中一支临月令或岁运再引动时，只增强后续冲效应候选。</x:v>
      </x:c>
      <x:c r="R37" s="68" t="str">
        <x:v>两支隔位、其中一支同时被合或参与会局时，效应需综合，不否定冲关系存在。</x:v>
      </x:c>
      <x:c r="S37" s="90" t="str">
        <x:v>缺少辰或戌。</x:v>
      </x:c>
      <x:c r="T37" s="68" t="str">
        <x:v>冲动、冲散、冲旺、冲弱、冲开或冲去必须在M06逐支判断。</x:v>
      </x:c>
      <x:c r="U37" s="68" t="str">
        <x:v>原局存在辰戌六冲关系。</x:v>
      </x:c>
      <x:c r="V37" s="68" t="str">
        <x:v>不得直接推出辰或戌被冲掉、根气必失、双方同时减力或必然发生事件。</x:v>
      </x:c>
      <x:c r="W37" s="82" t="str">
        <x:v>P0_硬约束</x:v>
      </x:c>
      <x:c r="X37" s="82" t="str">
        <x:v>硬约束</x:v>
      </x:c>
      <x:c r="Y37" s="84" t="str">
        <x:v>辰戌冲</x:v>
      </x:c>
      <x:c r="Z37" s="84" t="str">
        <x:v>地支见辰、戌，识别为辰戌冲；实际是冲动、冲散、冲旺、冲弱还是作用有限，转M06判断。</x:v>
      </x:c>
      <x:c r="AA37" s="82" t="str">
        <x:v>确定</x:v>
      </x:c>
      <x:c r="AB37" s="82" t="str">
        <x:v>跨流派共识</x:v>
      </x:c>
      <x:c r="AC37" s="68" t="str">
        <x:v>六冲有固定六组对冲；识别关系与评估结果必须分离。</x:v>
      </x:c>
      <x:c r="AD37" s="68" t="str">
        <x:v>月支为辰、日支为戌，登记辰戌冲。</x:v>
      </x:c>
      <x:c r="AE37" s="90" t="str">
        <x:v>只见辰而不见戌，不能登记辰戌冲。</x:v>
      </x:c>
      <x:c r="AF37" s="68" t="str">
        <x:v>https://zh.wikisource.org/wiki/淵海子平；https://zh.wikisource.org/zh-hans/三命通會_(四庫全書本)</x:v>
      </x:c>
      <x:c r="AG37" s="82" t="str">
        <x:v>采用</x:v>
      </x:c>
      <x:c r="AH37" s="82" t="str">
        <x:v>初审</x:v>
      </x:c>
      <x:c r="AI37" s="87" t="n">
        <x:v>46255</x:v>
      </x:c>
    </x:row>
    <x:row r="38">
      <x:c r="A38" s="72" t="str">
        <x:f>IF(OR(C38="",D38=""),"",B38&amp;"-"&amp;UPPER(C38)&amp;"-"&amp;TEXT(D38,"0000")&amp;"-"&amp;E38)</x:f>
        <x:v>M05-CHONG-0032-V1.0</x:v>
      </x:c>
      <x:c r="B38" s="74" t="str">
        <x:v>M05</x:v>
      </x:c>
      <x:c r="C38" s="74" t="str">
        <x:v>CHONG</x:v>
      </x:c>
      <x:c r="D38" s="79" t="n">
        <x:v>32</x:v>
      </x:c>
      <x:c r="E38" s="74" t="str">
        <x:v>V1.0</x:v>
      </x:c>
      <x:c r="F38" s="68" t="str">
        <x:v>巳亥六冲识别</x:v>
      </x:c>
      <x:c r="G38" s="82" t="str">
        <x:v>识别层</x:v>
      </x:c>
      <x:c r="H38" s="82" t="str">
        <x:v>六冲</x:v>
      </x:c>
      <x:c r="I38" s="68" t="str">
        <x:v>巳、亥</x:v>
      </x:c>
      <x:c r="J38" s="82" t="str">
        <x:v>其他</x:v>
      </x:c>
      <x:c r="K38" s="82" t="str">
        <x:v>完整</x:v>
      </x:c>
      <x:c r="L38" s="68" t="str">
        <x:v>关系存在不以月支得令为必要条件；须另记录参与支中谁为月支。</x:v>
      </x:c>
      <x:c r="M38" s="68" t="str">
        <x:v>相关藏干是否透出不影响关系识别；透干信息只供后续效应与旺衰判断。</x:v>
      </x:c>
      <x:c r="N38" s="68" t="str">
        <x:v>检查两支是否还参与三合、三会、刑、害、破等其他关系。</x:v>
      </x:c>
      <x:c r="O38" s="68" t="str">
        <x:v>四柱地支已按年、月、日、时标准化并保留柱位。</x:v>
      </x:c>
      <x:c r="P38" s="68" t="str">
        <x:v>四柱地支中同时出现巳与亥。</x:v>
      </x:c>
      <x:c r="Q38" s="68" t="str">
        <x:v>两支相邻、其中一支临月令或岁运再引动时，只增强后续冲效应候选。</x:v>
      </x:c>
      <x:c r="R38" s="68" t="str">
        <x:v>两支隔位、其中一支同时被合或参与会局时，效应需综合，不否定冲关系存在。</x:v>
      </x:c>
      <x:c r="S38" s="90" t="str">
        <x:v>缺少巳或亥。</x:v>
      </x:c>
      <x:c r="T38" s="68" t="str">
        <x:v>冲动、冲散、冲旺、冲弱、冲开或冲去必须在M06逐支判断。</x:v>
      </x:c>
      <x:c r="U38" s="68" t="str">
        <x:v>原局存在巳亥六冲关系。</x:v>
      </x:c>
      <x:c r="V38" s="68" t="str">
        <x:v>不得直接推出巳或亥被冲掉、根气必失、双方同时减力或必然发生事件。</x:v>
      </x:c>
      <x:c r="W38" s="82" t="str">
        <x:v>P0_硬约束</x:v>
      </x:c>
      <x:c r="X38" s="82" t="str">
        <x:v>硬约束</x:v>
      </x:c>
      <x:c r="Y38" s="84" t="str">
        <x:v>巳亥冲</x:v>
      </x:c>
      <x:c r="Z38" s="84" t="str">
        <x:v>地支见巳、亥，识别为巳亥冲；实际是冲动、冲散、冲旺、冲弱还是作用有限，转M06判断。</x:v>
      </x:c>
      <x:c r="AA38" s="82" t="str">
        <x:v>确定</x:v>
      </x:c>
      <x:c r="AB38" s="82" t="str">
        <x:v>跨流派共识</x:v>
      </x:c>
      <x:c r="AC38" s="68" t="str">
        <x:v>六冲有固定六组对冲；识别关系与评估结果必须分离。</x:v>
      </x:c>
      <x:c r="AD38" s="68" t="str">
        <x:v>月支为巳、日支为亥，登记巳亥冲。</x:v>
      </x:c>
      <x:c r="AE38" s="90" t="str">
        <x:v>只见巳而不见亥，不能登记巳亥冲。</x:v>
      </x:c>
      <x:c r="AF38" s="68" t="str">
        <x:v>https://zh.wikisource.org/wiki/淵海子平；https://zh.wikisource.org/zh-hans/三命通會_(四庫全書本)</x:v>
      </x:c>
      <x:c r="AG38" s="82" t="str">
        <x:v>采用</x:v>
      </x:c>
      <x:c r="AH38" s="82" t="str">
        <x:v>初审</x:v>
      </x:c>
      <x:c r="AI38" s="87" t="n">
        <x:v>46255</x:v>
      </x:c>
    </x:row>
    <x:row r="39">
      <x:c r="A39" s="72" t="str">
        <x:f>IF(OR(C39="",D39=""),"",B39&amp;"-"&amp;UPPER(C39)&amp;"-"&amp;TEXT(D39,"0000")&amp;"-"&amp;E39)</x:f>
        <x:v>M05-XING-0033-V1.0</x:v>
      </x:c>
      <x:c r="B39" s="74" t="str">
        <x:v>M05</x:v>
      </x:c>
      <x:c r="C39" s="74" t="str">
        <x:v>XING</x:v>
      </x:c>
      <x:c r="D39" s="79" t="n">
        <x:v>33</x:v>
      </x:c>
      <x:c r="E39" s="74" t="str">
        <x:v>V1.0</x:v>
      </x:c>
      <x:c r="F39" s="68" t="str">
        <x:v>寅巳刑支局部关系识别</x:v>
      </x:c>
      <x:c r="G39" s="82" t="str">
        <x:v>识别层</x:v>
      </x:c>
      <x:c r="H39" s="82" t="str">
        <x:v>三刑</x:v>
      </x:c>
      <x:c r="I39" s="68" t="str">
        <x:v>寅、巳</x:v>
      </x:c>
      <x:c r="J39" s="82" t="str">
        <x:v>其他</x:v>
      </x:c>
      <x:c r="K39" s="82" t="str">
        <x:v>部分</x:v>
      </x:c>
      <x:c r="L39" s="68" t="str">
        <x:v>关系存在不以月支得令为必要条件；须另记录参与支中谁为月支。</x:v>
      </x:c>
      <x:c r="M39" s="68" t="str">
        <x:v>相关藏干是否透出不影响关系识别；透干信息只供后续效应与旺衰判断。</x:v>
      </x:c>
      <x:c r="N39" s="68" t="str">
        <x:v>同时独立检查寅巳害及寅巳申刑组的局部刑关系。</x:v>
      </x:c>
      <x:c r="O39" s="68" t="str">
        <x:v>四柱地支已按年、月、日、时标准化并保留柱位。</x:v>
      </x:c>
      <x:c r="P39" s="68" t="str">
        <x:v>四柱地支中同时出现寅与巳；同组第三支未齐时，标记为寅巳申刑组的局部关系。</x:v>
      </x:c>
      <x:c r="Q39" s="68" t="str">
        <x:v>同组第三支出现时，另列完整三刑；相邻或岁运引动只供后续效应判断。</x:v>
      </x:c>
      <x:c r="R39" s="68" t="str">
        <x:v>两支隔位或同时参与合冲破时，局部刑关系仍保留，效应待判。</x:v>
      </x:c>
      <x:c r="S39" s="90" t="str">
        <x:v>缺少寅或巳。</x:v>
      </x:c>
      <x:c r="T39" s="68" t="str">
        <x:v>若寅巳申三支齐全，必须另列完整三刑规则，不能只保留局部标签。</x:v>
      </x:c>
      <x:c r="U39" s="68" t="str">
        <x:v>原局存在寅巳刑支关系，属于寅巳申三刑组的部分结构。</x:v>
      </x:c>
      <x:c r="V39" s="68" t="str">
        <x:v>不得直接推出寅或巳受伤、减力、刑去，亦不得把部分结构写成完整三刑。</x:v>
      </x:c>
      <x:c r="W39" s="82" t="str">
        <x:v>P1_高</x:v>
      </x:c>
      <x:c r="X39" s="82" t="str">
        <x:v>硬约束</x:v>
      </x:c>
      <x:c r="Y39" s="84" t="str">
        <x:v>寅巳刑局部</x:v>
      </x:c>
      <x:c r="Z39" s="84" t="str">
        <x:v>原局见寅、巳，识别为寅巳申三刑组的局部刑关系；三支是否齐全及实际效应分别记录。</x:v>
      </x:c>
      <x:c r="AA39" s="82" t="str">
        <x:v>较高</x:v>
      </x:c>
      <x:c r="AB39" s="82" t="str">
        <x:v>现代综合</x:v>
      </x:c>
      <x:c r="AC39" s="68" t="str">
        <x:v>寅巳申三刑可拆为组内局部关系与三支完整结构；两者不能混写。</x:v>
      </x:c>
      <x:c r="AD39" s="68" t="str">
        <x:v>只见寅、巳时，登记寅巳局部刑关系。</x:v>
      </x:c>
      <x:c r="AE39" s="90" t="str">
        <x:v>只有寅而无巳时，不能登记寅巳刑。</x:v>
      </x:c>
      <x:c r="AF39" s="68" t="str">
        <x:v>内部结构化规则：识别层与效应层分离；https://zh.wikisource.org/wiki/淵海子平；https://zh.wikisource.org/zh-hans/三命通會_(四庫全書本)</x:v>
      </x:c>
      <x:c r="AG39" s="82" t="str">
        <x:v>采用</x:v>
      </x:c>
      <x:c r="AH39" s="82" t="str">
        <x:v>初审</x:v>
      </x:c>
      <x:c r="AI39" s="87" t="n">
        <x:v>46255</x:v>
      </x:c>
    </x:row>
    <x:row r="40">
      <x:c r="A40" s="72" t="str">
        <x:f>IF(OR(C40="",D40=""),"",B40&amp;"-"&amp;UPPER(C40)&amp;"-"&amp;TEXT(D40,"0000")&amp;"-"&amp;E40)</x:f>
        <x:v>M05-XING-0034-V1.0</x:v>
      </x:c>
      <x:c r="B40" s="74" t="str">
        <x:v>M05</x:v>
      </x:c>
      <x:c r="C40" s="74" t="str">
        <x:v>XING</x:v>
      </x:c>
      <x:c r="D40" s="79" t="n">
        <x:v>34</x:v>
      </x:c>
      <x:c r="E40" s="74" t="str">
        <x:v>V1.0</x:v>
      </x:c>
      <x:c r="F40" s="68" t="str">
        <x:v>巳申刑支局部关系识别</x:v>
      </x:c>
      <x:c r="G40" s="82" t="str">
        <x:v>识别层</x:v>
      </x:c>
      <x:c r="H40" s="82" t="str">
        <x:v>三刑</x:v>
      </x:c>
      <x:c r="I40" s="68" t="str">
        <x:v>巳、申</x:v>
      </x:c>
      <x:c r="J40" s="82" t="str">
        <x:v>其他</x:v>
      </x:c>
      <x:c r="K40" s="82" t="str">
        <x:v>部分</x:v>
      </x:c>
      <x:c r="L40" s="68" t="str">
        <x:v>关系存在不以月支得令为必要条件；须另记录参与支中谁为月支。</x:v>
      </x:c>
      <x:c r="M40" s="68" t="str">
        <x:v>相关藏干是否透出不影响关系识别；透干信息只供后续效应与旺衰判断。</x:v>
      </x:c>
      <x:c r="N40" s="68" t="str">
        <x:v>同时独立检查巳申刑与巳申破；三种关系可并存。</x:v>
      </x:c>
      <x:c r="O40" s="68" t="str">
        <x:v>四柱地支已按年、月、日、时标准化并保留柱位。</x:v>
      </x:c>
      <x:c r="P40" s="68" t="str">
        <x:v>四柱地支中同时出现巳与申；同组第三支未齐时，标记为寅巳申刑组的局部关系。</x:v>
      </x:c>
      <x:c r="Q40" s="68" t="str">
        <x:v>同组第三支出现时，另列完整三刑；相邻或岁运引动只供后续效应判断。</x:v>
      </x:c>
      <x:c r="R40" s="68" t="str">
        <x:v>两支隔位或同时参与合冲破时，局部刑关系仍保留，效应待判。</x:v>
      </x:c>
      <x:c r="S40" s="90" t="str">
        <x:v>缺少巳或申。</x:v>
      </x:c>
      <x:c r="T40" s="68" t="str">
        <x:v>若寅巳申三支齐全，必须另列完整三刑规则，不能只保留局部标签。</x:v>
      </x:c>
      <x:c r="U40" s="68" t="str">
        <x:v>原局存在巳申刑支关系，属于寅巳申三刑组的部分结构。</x:v>
      </x:c>
      <x:c r="V40" s="68" t="str">
        <x:v>不得直接推出巳或申受伤、减力、刑去，亦不得把部分结构写成完整三刑。</x:v>
      </x:c>
      <x:c r="W40" s="82" t="str">
        <x:v>P1_高</x:v>
      </x:c>
      <x:c r="X40" s="82" t="str">
        <x:v>硬约束</x:v>
      </x:c>
      <x:c r="Y40" s="84" t="str">
        <x:v>巳申刑局部</x:v>
      </x:c>
      <x:c r="Z40" s="84" t="str">
        <x:v>原局见巳、申，识别为寅巳申三刑组的局部刑关系；三支是否齐全及实际效应分别记录。</x:v>
      </x:c>
      <x:c r="AA40" s="82" t="str">
        <x:v>较高</x:v>
      </x:c>
      <x:c r="AB40" s="82" t="str">
        <x:v>现代综合</x:v>
      </x:c>
      <x:c r="AC40" s="68" t="str">
        <x:v>寅巳申三刑可拆为组内局部关系与三支完整结构；两者不能混写。</x:v>
      </x:c>
      <x:c r="AD40" s="68" t="str">
        <x:v>只见巳、申时，登记巳申局部刑关系。</x:v>
      </x:c>
      <x:c r="AE40" s="90" t="str">
        <x:v>只有巳而无申时，不能登记巳申刑。</x:v>
      </x:c>
      <x:c r="AF40" s="68" t="str">
        <x:v>内部结构化规则：识别层与效应层分离；https://zh.wikisource.org/wiki/淵海子平；https://zh.wikisource.org/zh-hans/三命通會_(四庫全書本)</x:v>
      </x:c>
      <x:c r="AG40" s="82" t="str">
        <x:v>采用</x:v>
      </x:c>
      <x:c r="AH40" s="82" t="str">
        <x:v>初审</x:v>
      </x:c>
      <x:c r="AI40" s="87" t="n">
        <x:v>46255</x:v>
      </x:c>
    </x:row>
    <x:row r="41">
      <x:c r="A41" s="72" t="str">
        <x:f>IF(OR(C41="",D41=""),"",B41&amp;"-"&amp;UPPER(C41)&amp;"-"&amp;TEXT(D41,"0000")&amp;"-"&amp;E41)</x:f>
        <x:v>M05-XING-0035-V1.0</x:v>
      </x:c>
      <x:c r="B41" s="74" t="str">
        <x:v>M05</x:v>
      </x:c>
      <x:c r="C41" s="74" t="str">
        <x:v>XING</x:v>
      </x:c>
      <x:c r="D41" s="79" t="n">
        <x:v>35</x:v>
      </x:c>
      <x:c r="E41" s="74" t="str">
        <x:v>V1.0</x:v>
      </x:c>
      <x:c r="F41" s="68" t="str">
        <x:v>寅申刑支局部关系识别</x:v>
      </x:c>
      <x:c r="G41" s="82" t="str">
        <x:v>识别层</x:v>
      </x:c>
      <x:c r="H41" s="82" t="str">
        <x:v>三刑</x:v>
      </x:c>
      <x:c r="I41" s="68" t="str">
        <x:v>寅、申</x:v>
      </x:c>
      <x:c r="J41" s="82" t="str">
        <x:v>其他</x:v>
      </x:c>
      <x:c r="K41" s="82" t="str">
        <x:v>部分</x:v>
      </x:c>
      <x:c r="L41" s="68" t="str">
        <x:v>关系存在不以月支得令为必要条件；须另记录参与支中谁为月支。</x:v>
      </x:c>
      <x:c r="M41" s="68" t="str">
        <x:v>相关藏干是否透出不影响关系识别；透干信息只供后续效应与旺衰判断。</x:v>
      </x:c>
      <x:c r="N41" s="68" t="str">
        <x:v>同时独立检查寅申冲及寅巳申刑组的局部刑关系。</x:v>
      </x:c>
      <x:c r="O41" s="68" t="str">
        <x:v>四柱地支已按年、月、日、时标准化并保留柱位。</x:v>
      </x:c>
      <x:c r="P41" s="68" t="str">
        <x:v>四柱地支中同时出现寅与申；同组第三支未齐时，标记为寅巳申刑组的局部关系。</x:v>
      </x:c>
      <x:c r="Q41" s="68" t="str">
        <x:v>同组第三支出现时，另列完整三刑；相邻或岁运引动只供后续效应判断。</x:v>
      </x:c>
      <x:c r="R41" s="68" t="str">
        <x:v>两支隔位或同时参与合冲破时，局部刑关系仍保留，效应待判。</x:v>
      </x:c>
      <x:c r="S41" s="90" t="str">
        <x:v>缺少寅或申。</x:v>
      </x:c>
      <x:c r="T41" s="68" t="str">
        <x:v>若寅巳申三支齐全，必须另列完整三刑规则，不能只保留局部标签。</x:v>
      </x:c>
      <x:c r="U41" s="68" t="str">
        <x:v>原局存在寅申刑支关系，属于寅巳申三刑组的部分结构。</x:v>
      </x:c>
      <x:c r="V41" s="68" t="str">
        <x:v>不得直接推出寅或申受伤、减力、刑去，亦不得把部分结构写成完整三刑。</x:v>
      </x:c>
      <x:c r="W41" s="82" t="str">
        <x:v>P1_高</x:v>
      </x:c>
      <x:c r="X41" s="82" t="str">
        <x:v>硬约束</x:v>
      </x:c>
      <x:c r="Y41" s="84" t="str">
        <x:v>寅申刑局部</x:v>
      </x:c>
      <x:c r="Z41" s="84" t="str">
        <x:v>原局见寅、申，识别为寅巳申三刑组的局部刑关系；三支是否齐全及实际效应分别记录。</x:v>
      </x:c>
      <x:c r="AA41" s="82" t="str">
        <x:v>较高</x:v>
      </x:c>
      <x:c r="AB41" s="82" t="str">
        <x:v>现代综合</x:v>
      </x:c>
      <x:c r="AC41" s="68" t="str">
        <x:v>寅巳申三刑可拆为组内局部关系与三支完整结构；两者不能混写。</x:v>
      </x:c>
      <x:c r="AD41" s="68" t="str">
        <x:v>只见寅、申时，登记寅申局部刑关系。</x:v>
      </x:c>
      <x:c r="AE41" s="90" t="str">
        <x:v>只有寅而无申时，不能登记寅申刑。</x:v>
      </x:c>
      <x:c r="AF41" s="68" t="str">
        <x:v>内部结构化规则：识别层与效应层分离；https://zh.wikisource.org/wiki/淵海子平；https://zh.wikisource.org/zh-hans/三命通會_(四庫全書本)</x:v>
      </x:c>
      <x:c r="AG41" s="82" t="str">
        <x:v>采用</x:v>
      </x:c>
      <x:c r="AH41" s="82" t="str">
        <x:v>初审</x:v>
      </x:c>
      <x:c r="AI41" s="87" t="n">
        <x:v>46255</x:v>
      </x:c>
    </x:row>
    <x:row r="42">
      <x:c r="A42" s="72" t="str">
        <x:f>IF(OR(C42="",D42=""),"",B42&amp;"-"&amp;UPPER(C42)&amp;"-"&amp;TEXT(D42,"0000")&amp;"-"&amp;E42)</x:f>
        <x:v>M05-XING-0036-V1.0</x:v>
      </x:c>
      <x:c r="B42" s="74" t="str">
        <x:v>M05</x:v>
      </x:c>
      <x:c r="C42" s="74" t="str">
        <x:v>XING</x:v>
      </x:c>
      <x:c r="D42" s="79" t="n">
        <x:v>36</x:v>
      </x:c>
      <x:c r="E42" s="74" t="str">
        <x:v>V1.0</x:v>
      </x:c>
      <x:c r="F42" s="68" t="str">
        <x:v>寅巳申三刑结构完整识别</x:v>
      </x:c>
      <x:c r="G42" s="82" t="str">
        <x:v>识别层</x:v>
      </x:c>
      <x:c r="H42" s="82" t="str">
        <x:v>三刑</x:v>
      </x:c>
      <x:c r="I42" s="68" t="str">
        <x:v>寅、巳、申</x:v>
      </x:c>
      <x:c r="J42" s="82" t="str">
        <x:v>其他</x:v>
      </x:c>
      <x:c r="K42" s="82" t="str">
        <x:v>完整</x:v>
      </x:c>
      <x:c r="L42" s="68" t="str">
        <x:v>分别记录寅、巳、申中谁为月支；月令不影响三支齐全事实。</x:v>
      </x:c>
      <x:c r="M42" s="68" t="str">
        <x:v>相关藏干是否透出不影响关系识别；透干信息只供后续效应与旺衰判断。</x:v>
      </x:c>
      <x:c r="N42" s="68" t="str">
        <x:v>同时独立记录寅申冲、寅巳害、巳申六合与巳申破等重叠关系。</x:v>
      </x:c>
      <x:c r="O42" s="68" t="str">
        <x:v>四柱地支已按年、月、日、时标准化并保留柱位。</x:v>
      </x:c>
      <x:c r="P42" s="68" t="str">
        <x:v>四柱地支中寅、巳、申三支均至少出现一次。</x:v>
      </x:c>
      <x:c r="Q42" s="68" t="str">
        <x:v>相关藏干透出、三支相邻或岁运再引动时，只增强后续作用候选。</x:v>
      </x:c>
      <x:c r="R42" s="68" t="str">
        <x:v>某支同时被强合、三支隔散或另成会局时，效应更复杂，但完整结构仍需记录。</x:v>
      </x:c>
      <x:c r="S42" s="90" t="str">
        <x:v>缺少寅、巳、申中的任一支；重复某一支不能替代缺失支。</x:v>
      </x:c>
      <x:c r="T42" s="68" t="str">
        <x:v>三刑完整只说明关系结构齐全；逐支受力与是否刑伤转M06。</x:v>
      </x:c>
      <x:c r="U42" s="68" t="str">
        <x:v>原局寅巳申三刑结构完整。</x:v>
      </x:c>
      <x:c r="V42" s="68" t="str">
        <x:v>不得直接推出巳火必然减弱、任一支必伤、三支都减力或日主旺衰改变。</x:v>
      </x:c>
      <x:c r="W42" s="82" t="str">
        <x:v>P0_硬约束</x:v>
      </x:c>
      <x:c r="X42" s="82" t="str">
        <x:v>硬约束</x:v>
      </x:c>
      <x:c r="Y42" s="84" t="str">
        <x:v>寅巳申三刑完整</x:v>
      </x:c>
      <x:c r="Z42" s="84" t="str">
        <x:v>原局寅、巳、申齐全，三刑结构完整；各支实际受力须结合月令、根气、透干及叠加关系进入M06逐支判断。</x:v>
      </x:c>
      <x:c r="AA42" s="82" t="str">
        <x:v>确定</x:v>
      </x:c>
      <x:c r="AB42" s="82" t="str">
        <x:v>跨流派共识</x:v>
      </x:c>
      <x:c r="AC42" s="68" t="str">
        <x:v>完整性是客观识别；三支的力量结果不能从“三刑”名称直接推出。</x:v>
      </x:c>
      <x:c r="AD42" s="68" t="str">
        <x:v>四支中同时见寅、巳、申，登记完整三刑。</x:v>
      </x:c>
      <x:c r="AE42" s="90" t="str">
        <x:v>仅见寅、巳时，只能登记局部刑，不能写原局完整三刑。</x:v>
      </x:c>
      <x:c r="AF42" s="68" t="str">
        <x:v>内部结构化规则：识别层与效应层分离；https://zh.wikisource.org/wiki/淵海子平；https://zh.wikisource.org/zh-hans/三命通會_(四庫全書本)</x:v>
      </x:c>
      <x:c r="AG42" s="82" t="str">
        <x:v>采用</x:v>
      </x:c>
      <x:c r="AH42" s="82" t="str">
        <x:v>初审</x:v>
      </x:c>
      <x:c r="AI42" s="87" t="n">
        <x:v>46255</x:v>
      </x:c>
    </x:row>
    <x:row r="43">
      <x:c r="A43" s="72" t="str">
        <x:f>IF(OR(C43="",D43=""),"",B43&amp;"-"&amp;UPPER(C43)&amp;"-"&amp;TEXT(D43,"0000")&amp;"-"&amp;E43)</x:f>
        <x:v>M05-XING-0037-V1.0</x:v>
      </x:c>
      <x:c r="B43" s="74" t="str">
        <x:v>M05</x:v>
      </x:c>
      <x:c r="C43" s="74" t="str">
        <x:v>XING</x:v>
      </x:c>
      <x:c r="D43" s="79" t="n">
        <x:v>37</x:v>
      </x:c>
      <x:c r="E43" s="74" t="str">
        <x:v>V1.0</x:v>
      </x:c>
      <x:c r="F43" s="68" t="str">
        <x:v>丑戌刑支局部关系识别</x:v>
      </x:c>
      <x:c r="G43" s="82" t="str">
        <x:v>识别层</x:v>
      </x:c>
      <x:c r="H43" s="82" t="str">
        <x:v>三刑</x:v>
      </x:c>
      <x:c r="I43" s="68" t="str">
        <x:v>丑、戌</x:v>
      </x:c>
      <x:c r="J43" s="82" t="str">
        <x:v>其他</x:v>
      </x:c>
      <x:c r="K43" s="82" t="str">
        <x:v>部分</x:v>
      </x:c>
      <x:c r="L43" s="68" t="str">
        <x:v>关系存在不以月支得令为必要条件；须另记录参与支中谁为月支。</x:v>
      </x:c>
      <x:c r="M43" s="68" t="str">
        <x:v>相关藏干是否透出不影响关系识别；透干信息只供后续效应与旺衰判断。</x:v>
      </x:c>
      <x:c r="N43" s="68" t="str">
        <x:v>检查同组第三支及其他冲合害破关系。</x:v>
      </x:c>
      <x:c r="O43" s="68" t="str">
        <x:v>四柱地支已按年、月、日、时标准化并保留柱位。</x:v>
      </x:c>
      <x:c r="P43" s="68" t="str">
        <x:v>四柱地支中同时出现丑与戌；同组第三支未齐时，标记为丑未戌刑组的局部关系。</x:v>
      </x:c>
      <x:c r="Q43" s="68" t="str">
        <x:v>同组第三支出现时，另列完整三刑；相邻或岁运引动只供后续效应判断。</x:v>
      </x:c>
      <x:c r="R43" s="68" t="str">
        <x:v>两支隔位或同时参与合冲破时，局部刑关系仍保留，效应待判。</x:v>
      </x:c>
      <x:c r="S43" s="90" t="str">
        <x:v>缺少丑或戌。</x:v>
      </x:c>
      <x:c r="T43" s="68" t="str">
        <x:v>若丑未戌三支齐全，必须另列完整三刑规则，不能只保留局部标签。</x:v>
      </x:c>
      <x:c r="U43" s="68" t="str">
        <x:v>原局存在丑戌刑支关系，属于丑未戌三刑组的部分结构。</x:v>
      </x:c>
      <x:c r="V43" s="68" t="str">
        <x:v>不得直接推出丑或戌受伤、减力、开库或刑去，亦不得把部分结构写成完整三刑。</x:v>
      </x:c>
      <x:c r="W43" s="82" t="str">
        <x:v>P1_高</x:v>
      </x:c>
      <x:c r="X43" s="82" t="str">
        <x:v>硬约束</x:v>
      </x:c>
      <x:c r="Y43" s="84" t="str">
        <x:v>丑戌刑局部</x:v>
      </x:c>
      <x:c r="Z43" s="84" t="str">
        <x:v>原局见丑、戌，识别为丑未戌三刑组的局部刑关系；三支是否齐全及实际效应分别记录。</x:v>
      </x:c>
      <x:c r="AA43" s="82" t="str">
        <x:v>较高</x:v>
      </x:c>
      <x:c r="AB43" s="82" t="str">
        <x:v>现代综合</x:v>
      </x:c>
      <x:c r="AC43" s="68" t="str">
        <x:v>丑未戌三刑可拆为组内局部关系与三支完整结构；土支效应尤其不能用固定减力替代。</x:v>
      </x:c>
      <x:c r="AD43" s="68" t="str">
        <x:v>只见丑、戌时，登记丑戌局部刑关系。</x:v>
      </x:c>
      <x:c r="AE43" s="90" t="str">
        <x:v>只有丑而无戌时，不能登记丑戌刑。</x:v>
      </x:c>
      <x:c r="AF43" s="68" t="str">
        <x:v>内部结构化规则：识别层与效应层分离；https://zh.wikisource.org/wiki/淵海子平；https://zh.wikisource.org/zh-hans/三命通會_(四庫全書本)</x:v>
      </x:c>
      <x:c r="AG43" s="82" t="str">
        <x:v>采用</x:v>
      </x:c>
      <x:c r="AH43" s="82" t="str">
        <x:v>初审</x:v>
      </x:c>
      <x:c r="AI43" s="87" t="n">
        <x:v>46255</x:v>
      </x:c>
    </x:row>
    <x:row r="44">
      <x:c r="A44" s="72" t="str">
        <x:f>IF(OR(C44="",D44=""),"",B44&amp;"-"&amp;UPPER(C44)&amp;"-"&amp;TEXT(D44,"0000")&amp;"-"&amp;E44)</x:f>
        <x:v>M05-XING-0038-V1.0</x:v>
      </x:c>
      <x:c r="B44" s="74" t="str">
        <x:v>M05</x:v>
      </x:c>
      <x:c r="C44" s="74" t="str">
        <x:v>XING</x:v>
      </x:c>
      <x:c r="D44" s="79" t="n">
        <x:v>38</x:v>
      </x:c>
      <x:c r="E44" s="74" t="str">
        <x:v>V1.0</x:v>
      </x:c>
      <x:c r="F44" s="68" t="str">
        <x:v>未戌刑支局部关系识别</x:v>
      </x:c>
      <x:c r="G44" s="82" t="str">
        <x:v>识别层</x:v>
      </x:c>
      <x:c r="H44" s="82" t="str">
        <x:v>三刑</x:v>
      </x:c>
      <x:c r="I44" s="68" t="str">
        <x:v>戌、未</x:v>
      </x:c>
      <x:c r="J44" s="82" t="str">
        <x:v>其他</x:v>
      </x:c>
      <x:c r="K44" s="82" t="str">
        <x:v>部分</x:v>
      </x:c>
      <x:c r="L44" s="68" t="str">
        <x:v>关系存在不以月支得令为必要条件；须另记录参与支中谁为月支。</x:v>
      </x:c>
      <x:c r="M44" s="68" t="str">
        <x:v>相关藏干是否透出不影响关系识别；透干信息只供后续效应与旺衰判断。</x:v>
      </x:c>
      <x:c r="N44" s="68" t="str">
        <x:v>同时独立检查未戌破及丑未戌刑组的局部刑关系。</x:v>
      </x:c>
      <x:c r="O44" s="68" t="str">
        <x:v>四柱地支已按年、月、日、时标准化并保留柱位。</x:v>
      </x:c>
      <x:c r="P44" s="68" t="str">
        <x:v>四柱地支中同时出现戌与未；同组第三支未齐时，标记为丑未戌刑组的局部关系。</x:v>
      </x:c>
      <x:c r="Q44" s="68" t="str">
        <x:v>同组第三支出现时，另列完整三刑；相邻或岁运引动只供后续效应判断。</x:v>
      </x:c>
      <x:c r="R44" s="68" t="str">
        <x:v>两支隔位或同时参与合冲破时，局部刑关系仍保留，效应待判。</x:v>
      </x:c>
      <x:c r="S44" s="90" t="str">
        <x:v>缺少戌或未。</x:v>
      </x:c>
      <x:c r="T44" s="68" t="str">
        <x:v>若丑未戌三支齐全，必须另列完整三刑规则，不能只保留局部标签。</x:v>
      </x:c>
      <x:c r="U44" s="68" t="str">
        <x:v>原局存在未戌刑支关系，属于丑未戌三刑组的部分结构。</x:v>
      </x:c>
      <x:c r="V44" s="68" t="str">
        <x:v>不得直接推出戌或未受伤、减力、开库或刑去，亦不得把部分结构写成完整三刑。</x:v>
      </x:c>
      <x:c r="W44" s="82" t="str">
        <x:v>P1_高</x:v>
      </x:c>
      <x:c r="X44" s="82" t="str">
        <x:v>硬约束</x:v>
      </x:c>
      <x:c r="Y44" s="84" t="str">
        <x:v>未戌刑局部</x:v>
      </x:c>
      <x:c r="Z44" s="84" t="str">
        <x:v>原局见戌、未，识别为丑未戌三刑组的局部刑关系；三支是否齐全及实际效应分别记录。</x:v>
      </x:c>
      <x:c r="AA44" s="82" t="str">
        <x:v>较高</x:v>
      </x:c>
      <x:c r="AB44" s="82" t="str">
        <x:v>现代综合</x:v>
      </x:c>
      <x:c r="AC44" s="68" t="str">
        <x:v>丑未戌三刑可拆为组内局部关系与三支完整结构；土支效应尤其不能用固定减力替代。</x:v>
      </x:c>
      <x:c r="AD44" s="68" t="str">
        <x:v>只见戌、未时，登记未戌局部刑关系。</x:v>
      </x:c>
      <x:c r="AE44" s="90" t="str">
        <x:v>只有戌而无未时，不能登记未戌刑。</x:v>
      </x:c>
      <x:c r="AF44" s="68" t="str">
        <x:v>内部结构化规则：识别层与效应层分离；https://zh.wikisource.org/wiki/淵海子平；https://zh.wikisource.org/zh-hans/三命通會_(四庫全書本)</x:v>
      </x:c>
      <x:c r="AG44" s="82" t="str">
        <x:v>采用</x:v>
      </x:c>
      <x:c r="AH44" s="82" t="str">
        <x:v>初审</x:v>
      </x:c>
      <x:c r="AI44" s="87" t="n">
        <x:v>46255</x:v>
      </x:c>
    </x:row>
    <x:row r="45">
      <x:c r="A45" s="72" t="str">
        <x:f>IF(OR(C45="",D45=""),"",B45&amp;"-"&amp;UPPER(C45)&amp;"-"&amp;TEXT(D45,"0000")&amp;"-"&amp;E45)</x:f>
        <x:v>M05-XING-0039-V1.0</x:v>
      </x:c>
      <x:c r="B45" s="74" t="str">
        <x:v>M05</x:v>
      </x:c>
      <x:c r="C45" s="74" t="str">
        <x:v>XING</x:v>
      </x:c>
      <x:c r="D45" s="79" t="n">
        <x:v>39</x:v>
      </x:c>
      <x:c r="E45" s="74" t="str">
        <x:v>V1.0</x:v>
      </x:c>
      <x:c r="F45" s="68" t="str">
        <x:v>丑未刑支局部关系识别</x:v>
      </x:c>
      <x:c r="G45" s="82" t="str">
        <x:v>识别层</x:v>
      </x:c>
      <x:c r="H45" s="82" t="str">
        <x:v>三刑</x:v>
      </x:c>
      <x:c r="I45" s="68" t="str">
        <x:v>丑、未</x:v>
      </x:c>
      <x:c r="J45" s="82" t="str">
        <x:v>其他</x:v>
      </x:c>
      <x:c r="K45" s="82" t="str">
        <x:v>部分</x:v>
      </x:c>
      <x:c r="L45" s="68" t="str">
        <x:v>关系存在不以月支得令为必要条件；须另记录参与支中谁为月支。</x:v>
      </x:c>
      <x:c r="M45" s="68" t="str">
        <x:v>相关藏干是否透出不影响关系识别；透干信息只供后续效应与旺衰判断。</x:v>
      </x:c>
      <x:c r="N45" s="68" t="str">
        <x:v>同时独立检查丑未冲及丑未戌刑组的局部刑关系。</x:v>
      </x:c>
      <x:c r="O45" s="68" t="str">
        <x:v>四柱地支已按年、月、日、时标准化并保留柱位。</x:v>
      </x:c>
      <x:c r="P45" s="68" t="str">
        <x:v>四柱地支中同时出现丑与未；同组第三支未齐时，标记为丑未戌刑组的局部关系。</x:v>
      </x:c>
      <x:c r="Q45" s="68" t="str">
        <x:v>同组第三支出现时，另列完整三刑；相邻或岁运引动只供后续效应判断。</x:v>
      </x:c>
      <x:c r="R45" s="68" t="str">
        <x:v>两支隔位或同时参与合冲破时，局部刑关系仍保留，效应待判。</x:v>
      </x:c>
      <x:c r="S45" s="90" t="str">
        <x:v>缺少丑或未。</x:v>
      </x:c>
      <x:c r="T45" s="68" t="str">
        <x:v>若丑未戌三支齐全，必须另列完整三刑规则，不能只保留局部标签。</x:v>
      </x:c>
      <x:c r="U45" s="68" t="str">
        <x:v>原局存在丑未刑支关系，属于丑未戌三刑组的部分结构。</x:v>
      </x:c>
      <x:c r="V45" s="68" t="str">
        <x:v>不得直接推出丑或未受伤、减力、开库或刑去，亦不得把部分结构写成完整三刑。</x:v>
      </x:c>
      <x:c r="W45" s="82" t="str">
        <x:v>P1_高</x:v>
      </x:c>
      <x:c r="X45" s="82" t="str">
        <x:v>硬约束</x:v>
      </x:c>
      <x:c r="Y45" s="84" t="str">
        <x:v>丑未刑局部</x:v>
      </x:c>
      <x:c r="Z45" s="84" t="str">
        <x:v>原局见丑、未，识别为丑未戌三刑组的局部刑关系；三支是否齐全及实际效应分别记录。</x:v>
      </x:c>
      <x:c r="AA45" s="82" t="str">
        <x:v>较高</x:v>
      </x:c>
      <x:c r="AB45" s="82" t="str">
        <x:v>现代综合</x:v>
      </x:c>
      <x:c r="AC45" s="68" t="str">
        <x:v>丑未戌三刑可拆为组内局部关系与三支完整结构；土支效应尤其不能用固定减力替代。</x:v>
      </x:c>
      <x:c r="AD45" s="68" t="str">
        <x:v>只见丑、未时，登记丑未局部刑关系。</x:v>
      </x:c>
      <x:c r="AE45" s="90" t="str">
        <x:v>只有丑而无未时，不能登记丑未刑。</x:v>
      </x:c>
      <x:c r="AF45" s="68" t="str">
        <x:v>内部结构化规则：识别层与效应层分离；https://zh.wikisource.org/wiki/淵海子平；https://zh.wikisource.org/zh-hans/三命通會_(四庫全書本)</x:v>
      </x:c>
      <x:c r="AG45" s="82" t="str">
        <x:v>采用</x:v>
      </x:c>
      <x:c r="AH45" s="82" t="str">
        <x:v>初审</x:v>
      </x:c>
      <x:c r="AI45" s="87" t="n">
        <x:v>46255</x:v>
      </x:c>
    </x:row>
    <x:row r="46">
      <x:c r="A46" s="72" t="str">
        <x:f>IF(OR(C46="",D46=""),"",B46&amp;"-"&amp;UPPER(C46)&amp;"-"&amp;TEXT(D46,"0000")&amp;"-"&amp;E46)</x:f>
        <x:v>M05-XING-0040-V1.0</x:v>
      </x:c>
      <x:c r="B46" s="74" t="str">
        <x:v>M05</x:v>
      </x:c>
      <x:c r="C46" s="74" t="str">
        <x:v>XING</x:v>
      </x:c>
      <x:c r="D46" s="79" t="n">
        <x:v>40</x:v>
      </x:c>
      <x:c r="E46" s="74" t="str">
        <x:v>V1.0</x:v>
      </x:c>
      <x:c r="F46" s="68" t="str">
        <x:v>丑未戌三刑结构完整识别</x:v>
      </x:c>
      <x:c r="G46" s="82" t="str">
        <x:v>识别层</x:v>
      </x:c>
      <x:c r="H46" s="82" t="str">
        <x:v>三刑</x:v>
      </x:c>
      <x:c r="I46" s="68" t="str">
        <x:v>丑、未、戌</x:v>
      </x:c>
      <x:c r="J46" s="82" t="str">
        <x:v>其他</x:v>
      </x:c>
      <x:c r="K46" s="82" t="str">
        <x:v>完整</x:v>
      </x:c>
      <x:c r="L46" s="68" t="str">
        <x:v>分别记录丑、未、戌中谁为月支；月令不影响三支齐全事实。</x:v>
      </x:c>
      <x:c r="M46" s="68" t="str">
        <x:v>相关藏干是否透出不影响关系识别；透干信息只供后续效应与旺衰判断。</x:v>
      </x:c>
      <x:c r="N46" s="68" t="str">
        <x:v>同时独立记录丑未冲、未戌破及三土支与其他支的合冲害破。</x:v>
      </x:c>
      <x:c r="O46" s="68" t="str">
        <x:v>四柱地支已按年、月、日、时标准化并保留柱位。</x:v>
      </x:c>
      <x:c r="P46" s="68" t="str">
        <x:v>四柱地支中丑、未、戌三支均至少出现一次。</x:v>
      </x:c>
      <x:c r="Q46" s="68" t="str">
        <x:v>相关藏干透出、三支相邻或岁运再引动时，只增强后续作用候选。</x:v>
      </x:c>
      <x:c r="R46" s="68" t="str">
        <x:v>某支同时被强合、三支隔散或另成会局时，效应更复杂，但完整结构仍需记录。</x:v>
      </x:c>
      <x:c r="S46" s="90" t="str">
        <x:v>缺少丑、未、戌中的任一支；重复某一支不能替代缺失支。</x:v>
      </x:c>
      <x:c r="T46" s="68" t="str">
        <x:v>三刑完整只说明关系结构齐全；土气增减、开库与逐支受力转M06。</x:v>
      </x:c>
      <x:c r="U46" s="68" t="str">
        <x:v>原局丑未戌三刑结构完整。</x:v>
      </x:c>
      <x:c r="V46" s="68" t="str">
        <x:v>不得直接推出三土皆弱、三土皆旺、必然开库、任一支必伤或日主旺衰改变。</x:v>
      </x:c>
      <x:c r="W46" s="82" t="str">
        <x:v>P0_硬约束</x:v>
      </x:c>
      <x:c r="X46" s="82" t="str">
        <x:v>硬约束</x:v>
      </x:c>
      <x:c r="Y46" s="84" t="str">
        <x:v>丑未戌三刑完整</x:v>
      </x:c>
      <x:c r="Z46" s="84" t="str">
        <x:v>原局丑、未、戌齐全，三刑结构完整；各支实际效应须结合月令、藏干、透干及叠加关系进入M06逐支判断。</x:v>
      </x:c>
      <x:c r="AA46" s="82" t="str">
        <x:v>确定</x:v>
      </x:c>
      <x:c r="AB46" s="82" t="str">
        <x:v>跨流派共识</x:v>
      </x:c>
      <x:c r="AC46" s="68" t="str">
        <x:v>完整性与效应分离；土支刑的增减、开库与湿燥变化均需条件判断。</x:v>
      </x:c>
      <x:c r="AD46" s="68" t="str">
        <x:v>四支中同时见丑、未、戌，登记完整三刑。</x:v>
      </x:c>
      <x:c r="AE46" s="90" t="str">
        <x:v>仅见丑、未时，只能登记局部刑并同时记录丑未冲。</x:v>
      </x:c>
      <x:c r="AF46" s="68" t="str">
        <x:v>内部结构化规则：识别层与效应层分离；https://zh.wikisource.org/wiki/淵海子平；https://zh.wikisource.org/zh-hans/三命通會_(四庫全書本)</x:v>
      </x:c>
      <x:c r="AG46" s="82" t="str">
        <x:v>采用</x:v>
      </x:c>
      <x:c r="AH46" s="82" t="str">
        <x:v>初审</x:v>
      </x:c>
      <x:c r="AI46" s="87" t="n">
        <x:v>46255</x:v>
      </x:c>
    </x:row>
    <x:row r="47">
      <x:c r="A47" s="72" t="str">
        <x:f>IF(OR(C47="",D47=""),"",B47&amp;"-"&amp;UPPER(C47)&amp;"-"&amp;TEXT(D47,"0000")&amp;"-"&amp;E47)</x:f>
        <x:v>M05-XING-0041-V1.0</x:v>
      </x:c>
      <x:c r="B47" s="74" t="str">
        <x:v>M05</x:v>
      </x:c>
      <x:c r="C47" s="74" t="str">
        <x:v>XING</x:v>
      </x:c>
      <x:c r="D47" s="79" t="n">
        <x:v>41</x:v>
      </x:c>
      <x:c r="E47" s="74" t="str">
        <x:v>V1.0</x:v>
      </x:c>
      <x:c r="F47" s="68" t="str">
        <x:v>子卯刑关系识别</x:v>
      </x:c>
      <x:c r="G47" s="82" t="str">
        <x:v>识别层</x:v>
      </x:c>
      <x:c r="H47" s="82" t="str">
        <x:v>三刑</x:v>
      </x:c>
      <x:c r="I47" s="68" t="str">
        <x:v>子、卯</x:v>
      </x:c>
      <x:c r="J47" s="82" t="str">
        <x:v>其他</x:v>
      </x:c>
      <x:c r="K47" s="82" t="str">
        <x:v>完整</x:v>
      </x:c>
      <x:c r="L47" s="68" t="str">
        <x:v>关系存在不以月支得令为必要条件；须另记录参与支中谁为月支。</x:v>
      </x:c>
      <x:c r="M47" s="68" t="str">
        <x:v>相关藏干是否透出不影响关系识别；透干信息只供后续效应与旺衰判断。</x:v>
      </x:c>
      <x:c r="N47" s="68" t="str">
        <x:v>检查子、卯是否分别参与三合、三会、六合、冲害破等其他关系。</x:v>
      </x:c>
      <x:c r="O47" s="68" t="str">
        <x:v>四柱地支已按年、月、日、时标准化并保留柱位。</x:v>
      </x:c>
      <x:c r="P47" s="68" t="str">
        <x:v>四柱地支中同时出现子与卯。</x:v>
      </x:c>
      <x:c r="Q47" s="68" t="str">
        <x:v>两支相邻或岁运再引动时，只增强后续刑效应候选。</x:v>
      </x:c>
      <x:c r="R47" s="68" t="str">
        <x:v>两支隔位或其中一支同时被合时，实际效应更复杂，不否定关系存在。</x:v>
      </x:c>
      <x:c r="S47" s="90" t="str">
        <x:v>缺少子或卯。</x:v>
      </x:c>
      <x:c r="T47" s="68" t="str">
        <x:v>子卯刑为两支即可识别的刑关系；是否刑伤、谁受力更重转M06。</x:v>
      </x:c>
      <x:c r="U47" s="68" t="str">
        <x:v>原局存在子卯刑关系。</x:v>
      </x:c>
      <x:c r="V47" s="68" t="str">
        <x:v>不得直接推出子水或卯木必弱、品行象义、事件结果或吉凶。</x:v>
      </x:c>
      <x:c r="W47" s="82" t="str">
        <x:v>P0_硬约束</x:v>
      </x:c>
      <x:c r="X47" s="82" t="str">
        <x:v>硬约束</x:v>
      </x:c>
      <x:c r="Y47" s="84" t="str">
        <x:v>子卯刑</x:v>
      </x:c>
      <x:c r="Z47" s="84" t="str">
        <x:v>地支见子、卯，识别为子卯刑；实际作用与力量结果转M06判断。</x:v>
      </x:c>
      <x:c r="AA47" s="82" t="str">
        <x:v>较高</x:v>
      </x:c>
      <x:c r="AB47" s="82" t="str">
        <x:v>跨流派共识</x:v>
      </x:c>
      <x:c r="AC47" s="68" t="str">
        <x:v>子卯为传统刑关系之一；关系名称不等同于固定吉凶象义。</x:v>
      </x:c>
      <x:c r="AD47" s="68" t="str">
        <x:v>月支子、日支卯，登记子卯刑。</x:v>
      </x:c>
      <x:c r="AE47" s="90" t="str">
        <x:v>只见子而不见卯，不能登记子卯刑。</x:v>
      </x:c>
      <x:c r="AF47" s="68" t="str">
        <x:v>https://zh.wikisource.org/wiki/淵海子平；https://zh.wikisource.org/zh-hans/三命通會_(四庫全書本)</x:v>
      </x:c>
      <x:c r="AG47" s="82" t="str">
        <x:v>采用</x:v>
      </x:c>
      <x:c r="AH47" s="82" t="str">
        <x:v>初审</x:v>
      </x:c>
      <x:c r="AI47" s="87" t="n">
        <x:v>46255</x:v>
      </x:c>
    </x:row>
    <x:row r="48">
      <x:c r="A48" s="72" t="str">
        <x:f>IF(OR(C48="",D48=""),"",B48&amp;"-"&amp;UPPER(C48)&amp;"-"&amp;TEXT(D48,"0000")&amp;"-"&amp;E48)</x:f>
        <x:v>M05-ZIXING-0042-V1.0</x:v>
      </x:c>
      <x:c r="B48" s="74" t="str">
        <x:v>M05</x:v>
      </x:c>
      <x:c r="C48" s="74" t="str">
        <x:v>ZIXING</x:v>
      </x:c>
      <x:c r="D48" s="79" t="n">
        <x:v>42</x:v>
      </x:c>
      <x:c r="E48" s="74" t="str">
        <x:v>V1.0</x:v>
      </x:c>
      <x:c r="F48" s="68" t="str">
        <x:v>辰辰自刑识别</x:v>
      </x:c>
      <x:c r="G48" s="82" t="str">
        <x:v>识别层</x:v>
      </x:c>
      <x:c r="H48" s="82" t="str">
        <x:v>自刑</x:v>
      </x:c>
      <x:c r="I48" s="68" t="str">
        <x:v>辰、辰</x:v>
      </x:c>
      <x:c r="J48" s="82" t="str">
        <x:v>其他</x:v>
      </x:c>
      <x:c r="K48" s="82" t="str">
        <x:v>完整</x:v>
      </x:c>
      <x:c r="L48" s="68" t="str">
        <x:v>记录重复辰中是否有一支为月支；月令不决定重复关系存在。</x:v>
      </x:c>
      <x:c r="M48" s="68" t="str">
        <x:v>辰中藏干是否透出不影响重复支与自刑候选的识别。</x:v>
      </x:c>
      <x:c r="N48" s="68" t="str">
        <x:v>两个或以上辰还须分别检查与其他支的合冲刑害破关系。</x:v>
      </x:c>
      <x:c r="O48" s="68" t="str">
        <x:v>四柱地支已按年、月、日、时标准化并保留柱位。</x:v>
      </x:c>
      <x:c r="P48" s="68" t="str">
        <x:v>四柱地支中辰至少出现两次，并按不同柱位保留独立节点。</x:v>
      </x:c>
      <x:c r="Q48" s="68" t="str">
        <x:v>重复支相邻或岁运再增一支时，只增强后续自刑效应候选。</x:v>
      </x:c>
      <x:c r="R48" s="68" t="str">
        <x:v>重复支隔位或其中一支参与其他强关系时，效应更不确定。</x:v>
      </x:c>
      <x:c r="S48" s="90" t="str">
        <x:v>原局只有一个辰；单支不能在原局静态层独自构成重复自刑结构。</x:v>
      </x:c>
      <x:c r="T48" s="68" t="str">
        <x:v>部分流派对自刑的启动条件和岁运引动要求不同；本库先以原局至少两支同见作为可计算识别标准。</x:v>
      </x:c>
      <x:c r="U48" s="68" t="str">
        <x:v>原局存在辰辰自刑候选。</x:v>
      </x:c>
      <x:c r="V48" s="68" t="str">
        <x:v>不得直接推出辰必伤、必减力、心理或事件象义；具体效应转M06。</x:v>
      </x:c>
      <x:c r="W48" s="82" t="str">
        <x:v>P1_高</x:v>
      </x:c>
      <x:c r="X48" s="82" t="str">
        <x:v>辅助证据</x:v>
      </x:c>
      <x:c r="Y48" s="84" t="str">
        <x:v>辰辰自刑</x:v>
      </x:c>
      <x:c r="Z48" s="84" t="str">
        <x:v>原局辰支重复至少两次，识别为辰辰自刑候选；效应强弱与流派差异转M06、M21。</x:v>
      </x:c>
      <x:c r="AA48" s="82" t="str">
        <x:v>中等</x:v>
      </x:c>
      <x:c r="AB48" s="82" t="str">
        <x:v>现代综合</x:v>
      </x:c>
      <x:c r="AC48" s="68" t="str">
        <x:v>自刑以同一自刑支重复出现为结构基础；具体启动和作用强度存在流派差异。</x:v>
      </x:c>
      <x:c r="AD48" s="68" t="str">
        <x:v>年支辰、时支辰，识别辰辰自刑候选。</x:v>
      </x:c>
      <x:c r="AE48" s="90" t="str">
        <x:v>原局仅有一个辰，不在M05直接标原局辰辰自刑成立。</x:v>
      </x:c>
      <x:c r="AF48" s="68" t="str">
        <x:v>内部结构化规则：识别层与效应层分离；https://zh.wikisource.org/wiki/淵海子平；https://zh.wikisource.org/zh-hans/三命通會_(四庫全書本)</x:v>
      </x:c>
      <x:c r="AG48" s="82" t="str">
        <x:v>待验证</x:v>
      </x:c>
      <x:c r="AH48" s="82" t="str">
        <x:v>初审</x:v>
      </x:c>
      <x:c r="AI48" s="87" t="n">
        <x:v>46255</x:v>
      </x:c>
    </x:row>
    <x:row r="49">
      <x:c r="A49" s="72" t="str">
        <x:f>IF(OR(C49="",D49=""),"",B49&amp;"-"&amp;UPPER(C49)&amp;"-"&amp;TEXT(D49,"0000")&amp;"-"&amp;E49)</x:f>
        <x:v>M05-ZIXING-0043-V1.0</x:v>
      </x:c>
      <x:c r="B49" s="74" t="str">
        <x:v>M05</x:v>
      </x:c>
      <x:c r="C49" s="74" t="str">
        <x:v>ZIXING</x:v>
      </x:c>
      <x:c r="D49" s="79" t="n">
        <x:v>43</x:v>
      </x:c>
      <x:c r="E49" s="74" t="str">
        <x:v>V1.0</x:v>
      </x:c>
      <x:c r="F49" s="68" t="str">
        <x:v>午午自刑识别</x:v>
      </x:c>
      <x:c r="G49" s="82" t="str">
        <x:v>识别层</x:v>
      </x:c>
      <x:c r="H49" s="82" t="str">
        <x:v>自刑</x:v>
      </x:c>
      <x:c r="I49" s="68" t="str">
        <x:v>午、午</x:v>
      </x:c>
      <x:c r="J49" s="82" t="str">
        <x:v>其他</x:v>
      </x:c>
      <x:c r="K49" s="82" t="str">
        <x:v>完整</x:v>
      </x:c>
      <x:c r="L49" s="68" t="str">
        <x:v>记录重复午中是否有一支为月支；月令不决定重复关系存在。</x:v>
      </x:c>
      <x:c r="M49" s="68" t="str">
        <x:v>午中藏干是否透出不影响重复支与自刑候选的识别。</x:v>
      </x:c>
      <x:c r="N49" s="68" t="str">
        <x:v>两个或以上午还须分别检查与其他支的合冲刑害破关系。</x:v>
      </x:c>
      <x:c r="O49" s="68" t="str">
        <x:v>四柱地支已按年、月、日、时标准化并保留柱位。</x:v>
      </x:c>
      <x:c r="P49" s="68" t="str">
        <x:v>四柱地支中午至少出现两次，并按不同柱位保留独立节点。</x:v>
      </x:c>
      <x:c r="Q49" s="68" t="str">
        <x:v>重复支相邻或岁运再增一支时，只增强后续自刑效应候选。</x:v>
      </x:c>
      <x:c r="R49" s="68" t="str">
        <x:v>重复支隔位或其中一支参与其他强关系时，效应更不确定。</x:v>
      </x:c>
      <x:c r="S49" s="90" t="str">
        <x:v>原局只有一个午；单支不能在原局静态层独自构成重复自刑结构。</x:v>
      </x:c>
      <x:c r="T49" s="68" t="str">
        <x:v>部分流派对自刑的启动条件和岁运引动要求不同；本库先以原局至少两支同见作为可计算识别标准。</x:v>
      </x:c>
      <x:c r="U49" s="68" t="str">
        <x:v>原局存在午午自刑候选。</x:v>
      </x:c>
      <x:c r="V49" s="68" t="str">
        <x:v>不得直接推出午必伤、必减力、心理或事件象义；具体效应转M06。</x:v>
      </x:c>
      <x:c r="W49" s="82" t="str">
        <x:v>P1_高</x:v>
      </x:c>
      <x:c r="X49" s="82" t="str">
        <x:v>辅助证据</x:v>
      </x:c>
      <x:c r="Y49" s="84" t="str">
        <x:v>午午自刑</x:v>
      </x:c>
      <x:c r="Z49" s="84" t="str">
        <x:v>原局午支重复至少两次，识别为午午自刑候选；效应强弱与流派差异转M06、M21。</x:v>
      </x:c>
      <x:c r="AA49" s="82" t="str">
        <x:v>中等</x:v>
      </x:c>
      <x:c r="AB49" s="82" t="str">
        <x:v>现代综合</x:v>
      </x:c>
      <x:c r="AC49" s="68" t="str">
        <x:v>自刑以同一自刑支重复出现为结构基础；具体启动和作用强度存在流派差异。</x:v>
      </x:c>
      <x:c r="AD49" s="68" t="str">
        <x:v>年支午、时支午，识别午午自刑候选。</x:v>
      </x:c>
      <x:c r="AE49" s="90" t="str">
        <x:v>原局仅有一个午，不在M05直接标原局午午自刑成立。</x:v>
      </x:c>
      <x:c r="AF49" s="68" t="str">
        <x:v>内部结构化规则：识别层与效应层分离；https://zh.wikisource.org/wiki/淵海子平；https://zh.wikisource.org/zh-hans/三命通會_(四庫全書本)</x:v>
      </x:c>
      <x:c r="AG49" s="82" t="str">
        <x:v>待验证</x:v>
      </x:c>
      <x:c r="AH49" s="82" t="str">
        <x:v>初审</x:v>
      </x:c>
      <x:c r="AI49" s="87" t="n">
        <x:v>46255</x:v>
      </x:c>
    </x:row>
    <x:row r="50">
      <x:c r="A50" s="72" t="str">
        <x:f>IF(OR(C50="",D50=""),"",B50&amp;"-"&amp;UPPER(C50)&amp;"-"&amp;TEXT(D50,"0000")&amp;"-"&amp;E50)</x:f>
        <x:v>M05-ZIXING-0044-V1.0</x:v>
      </x:c>
      <x:c r="B50" s="74" t="str">
        <x:v>M05</x:v>
      </x:c>
      <x:c r="C50" s="74" t="str">
        <x:v>ZIXING</x:v>
      </x:c>
      <x:c r="D50" s="79" t="n">
        <x:v>44</x:v>
      </x:c>
      <x:c r="E50" s="74" t="str">
        <x:v>V1.0</x:v>
      </x:c>
      <x:c r="F50" s="68" t="str">
        <x:v>酉酉自刑识别</x:v>
      </x:c>
      <x:c r="G50" s="82" t="str">
        <x:v>识别层</x:v>
      </x:c>
      <x:c r="H50" s="82" t="str">
        <x:v>自刑</x:v>
      </x:c>
      <x:c r="I50" s="68" t="str">
        <x:v>酉、酉</x:v>
      </x:c>
      <x:c r="J50" s="82" t="str">
        <x:v>其他</x:v>
      </x:c>
      <x:c r="K50" s="82" t="str">
        <x:v>完整</x:v>
      </x:c>
      <x:c r="L50" s="68" t="str">
        <x:v>记录重复酉中是否有一支为月支；月令不决定重复关系存在。</x:v>
      </x:c>
      <x:c r="M50" s="68" t="str">
        <x:v>酉中藏干是否透出不影响重复支与自刑候选的识别。</x:v>
      </x:c>
      <x:c r="N50" s="68" t="str">
        <x:v>两个或以上酉还须分别检查与其他支的合冲刑害破关系。</x:v>
      </x:c>
      <x:c r="O50" s="68" t="str">
        <x:v>四柱地支已按年、月、日、时标准化并保留柱位。</x:v>
      </x:c>
      <x:c r="P50" s="68" t="str">
        <x:v>四柱地支中酉至少出现两次，并按不同柱位保留独立节点。</x:v>
      </x:c>
      <x:c r="Q50" s="68" t="str">
        <x:v>重复支相邻或岁运再增一支时，只增强后续自刑效应候选。</x:v>
      </x:c>
      <x:c r="R50" s="68" t="str">
        <x:v>重复支隔位或其中一支参与其他强关系时，效应更不确定。</x:v>
      </x:c>
      <x:c r="S50" s="90" t="str">
        <x:v>原局只有一个酉；单支不能在原局静态层独自构成重复自刑结构。</x:v>
      </x:c>
      <x:c r="T50" s="68" t="str">
        <x:v>部分流派对自刑的启动条件和岁运引动要求不同；本库先以原局至少两支同见作为可计算识别标准。</x:v>
      </x:c>
      <x:c r="U50" s="68" t="str">
        <x:v>原局存在酉酉自刑候选。</x:v>
      </x:c>
      <x:c r="V50" s="68" t="str">
        <x:v>不得直接推出酉必伤、必减力、心理或事件象义；具体效应转M06。</x:v>
      </x:c>
      <x:c r="W50" s="82" t="str">
        <x:v>P1_高</x:v>
      </x:c>
      <x:c r="X50" s="82" t="str">
        <x:v>辅助证据</x:v>
      </x:c>
      <x:c r="Y50" s="84" t="str">
        <x:v>酉酉自刑</x:v>
      </x:c>
      <x:c r="Z50" s="84" t="str">
        <x:v>原局酉支重复至少两次，识别为酉酉自刑候选；效应强弱与流派差异转M06、M21。</x:v>
      </x:c>
      <x:c r="AA50" s="82" t="str">
        <x:v>中等</x:v>
      </x:c>
      <x:c r="AB50" s="82" t="str">
        <x:v>现代综合</x:v>
      </x:c>
      <x:c r="AC50" s="68" t="str">
        <x:v>自刑以同一自刑支重复出现为结构基础；具体启动和作用强度存在流派差异。</x:v>
      </x:c>
      <x:c r="AD50" s="68" t="str">
        <x:v>年支酉、时支酉，识别酉酉自刑候选。</x:v>
      </x:c>
      <x:c r="AE50" s="90" t="str">
        <x:v>原局仅有一个酉，不在M05直接标原局酉酉自刑成立。</x:v>
      </x:c>
      <x:c r="AF50" s="68" t="str">
        <x:v>内部结构化规则：识别层与效应层分离；https://zh.wikisource.org/wiki/淵海子平；https://zh.wikisource.org/zh-hans/三命通會_(四庫全書本)</x:v>
      </x:c>
      <x:c r="AG50" s="82" t="str">
        <x:v>待验证</x:v>
      </x:c>
      <x:c r="AH50" s="82" t="str">
        <x:v>初审</x:v>
      </x:c>
      <x:c r="AI50" s="87" t="n">
        <x:v>46255</x:v>
      </x:c>
    </x:row>
    <x:row r="51">
      <x:c r="A51" s="72" t="str">
        <x:f>IF(OR(C51="",D51=""),"",B51&amp;"-"&amp;UPPER(C51)&amp;"-"&amp;TEXT(D51,"0000")&amp;"-"&amp;E51)</x:f>
        <x:v>M05-ZIXING-0045-V1.0</x:v>
      </x:c>
      <x:c r="B51" s="74" t="str">
        <x:v>M05</x:v>
      </x:c>
      <x:c r="C51" s="74" t="str">
        <x:v>ZIXING</x:v>
      </x:c>
      <x:c r="D51" s="79" t="n">
        <x:v>45</x:v>
      </x:c>
      <x:c r="E51" s="74" t="str">
        <x:v>V1.0</x:v>
      </x:c>
      <x:c r="F51" s="68" t="str">
        <x:v>亥亥自刑识别</x:v>
      </x:c>
      <x:c r="G51" s="82" t="str">
        <x:v>识别层</x:v>
      </x:c>
      <x:c r="H51" s="82" t="str">
        <x:v>自刑</x:v>
      </x:c>
      <x:c r="I51" s="68" t="str">
        <x:v>亥、亥</x:v>
      </x:c>
      <x:c r="J51" s="82" t="str">
        <x:v>其他</x:v>
      </x:c>
      <x:c r="K51" s="82" t="str">
        <x:v>完整</x:v>
      </x:c>
      <x:c r="L51" s="68" t="str">
        <x:v>记录重复亥中是否有一支为月支；月令不决定重复关系存在。</x:v>
      </x:c>
      <x:c r="M51" s="68" t="str">
        <x:v>亥中藏干是否透出不影响重复支与自刑候选的识别。</x:v>
      </x:c>
      <x:c r="N51" s="68" t="str">
        <x:v>两个或以上亥还须分别检查与其他支的合冲刑害破关系。</x:v>
      </x:c>
      <x:c r="O51" s="68" t="str">
        <x:v>四柱地支已按年、月、日、时标准化并保留柱位。</x:v>
      </x:c>
      <x:c r="P51" s="68" t="str">
        <x:v>四柱地支中亥至少出现两次，并按不同柱位保留独立节点。</x:v>
      </x:c>
      <x:c r="Q51" s="68" t="str">
        <x:v>重复支相邻或岁运再增一支时，只增强后续自刑效应候选。</x:v>
      </x:c>
      <x:c r="R51" s="68" t="str">
        <x:v>重复支隔位或其中一支参与其他强关系时，效应更不确定。</x:v>
      </x:c>
      <x:c r="S51" s="90" t="str">
        <x:v>原局只有一个亥；单支不能在原局静态层独自构成重复自刑结构。</x:v>
      </x:c>
      <x:c r="T51" s="68" t="str">
        <x:v>部分流派对自刑的启动条件和岁运引动要求不同；本库先以原局至少两支同见作为可计算识别标准。</x:v>
      </x:c>
      <x:c r="U51" s="68" t="str">
        <x:v>原局存在亥亥自刑候选。</x:v>
      </x:c>
      <x:c r="V51" s="68" t="str">
        <x:v>不得直接推出亥必伤、必减力、心理或事件象义；具体效应转M06。</x:v>
      </x:c>
      <x:c r="W51" s="82" t="str">
        <x:v>P1_高</x:v>
      </x:c>
      <x:c r="X51" s="82" t="str">
        <x:v>辅助证据</x:v>
      </x:c>
      <x:c r="Y51" s="84" t="str">
        <x:v>亥亥自刑</x:v>
      </x:c>
      <x:c r="Z51" s="84" t="str">
        <x:v>原局亥支重复至少两次，识别为亥亥自刑候选；效应强弱与流派差异转M06、M21。</x:v>
      </x:c>
      <x:c r="AA51" s="82" t="str">
        <x:v>中等</x:v>
      </x:c>
      <x:c r="AB51" s="82" t="str">
        <x:v>现代综合</x:v>
      </x:c>
      <x:c r="AC51" s="68" t="str">
        <x:v>自刑以同一自刑支重复出现为结构基础；具体启动和作用强度存在流派差异。</x:v>
      </x:c>
      <x:c r="AD51" s="68" t="str">
        <x:v>年支亥、时支亥，识别亥亥自刑候选。</x:v>
      </x:c>
      <x:c r="AE51" s="90" t="str">
        <x:v>原局仅有一个亥，不在M05直接标原局亥亥自刑成立。</x:v>
      </x:c>
      <x:c r="AF51" s="68" t="str">
        <x:v>内部结构化规则：识别层与效应层分离；https://zh.wikisource.org/wiki/淵海子平；https://zh.wikisource.org/zh-hans/三命通會_(四庫全書本)</x:v>
      </x:c>
      <x:c r="AG51" s="82" t="str">
        <x:v>待验证</x:v>
      </x:c>
      <x:c r="AH51" s="82" t="str">
        <x:v>初审</x:v>
      </x:c>
      <x:c r="AI51" s="87" t="n">
        <x:v>46255</x:v>
      </x:c>
    </x:row>
    <x:row r="52">
      <x:c r="A52" s="72" t="str">
        <x:f>IF(OR(C52="",D52=""),"",B52&amp;"-"&amp;UPPER(C52)&amp;"-"&amp;TEXT(D52,"0000")&amp;"-"&amp;E52)</x:f>
        <x:v>M05-HAI-0046-V1.0</x:v>
      </x:c>
      <x:c r="B52" s="74" t="str">
        <x:v>M05</x:v>
      </x:c>
      <x:c r="C52" s="74" t="str">
        <x:v>HAI</x:v>
      </x:c>
      <x:c r="D52" s="79" t="n">
        <x:v>46</x:v>
      </x:c>
      <x:c r="E52" s="74" t="str">
        <x:v>V1.0</x:v>
      </x:c>
      <x:c r="F52" s="68" t="str">
        <x:v>子未六害识别</x:v>
      </x:c>
      <x:c r="G52" s="82" t="str">
        <x:v>识别层</x:v>
      </x:c>
      <x:c r="H52" s="82" t="str">
        <x:v>六害</x:v>
      </x:c>
      <x:c r="I52" s="68" t="str">
        <x:v>子、未</x:v>
      </x:c>
      <x:c r="J52" s="82" t="str">
        <x:v>其他</x:v>
      </x:c>
      <x:c r="K52" s="82" t="str">
        <x:v>完整</x:v>
      </x:c>
      <x:c r="L52" s="68" t="str">
        <x:v>关系存在不以月支得令为必要条件；须另记录参与支中谁为月支。</x:v>
      </x:c>
      <x:c r="M52" s="68" t="str">
        <x:v>相关藏干是否透出不影响关系识别；透干信息只供后续效应与旺衰判断。</x:v>
      </x:c>
      <x:c r="N52" s="68" t="str">
        <x:v>检查两支是否还参与六合、三合、三会、冲刑破等关系。</x:v>
      </x:c>
      <x:c r="O52" s="68" t="str">
        <x:v>四柱地支已按年、月、日、时标准化并保留柱位。</x:v>
      </x:c>
      <x:c r="P52" s="68" t="str">
        <x:v>四柱地支中同时出现子与未。</x:v>
      </x:c>
      <x:c r="Q52" s="68" t="str">
        <x:v>两支相邻或岁运再引动时，只增强后续害效应候选。</x:v>
      </x:c>
      <x:c r="R52" s="68" t="str">
        <x:v>两支隔位或其中一支同时参与合会时，实际效应更不确定。</x:v>
      </x:c>
      <x:c r="S52" s="90" t="str">
        <x:v>缺少子或未。</x:v>
      </x:c>
      <x:c r="T52" s="68" t="str">
        <x:v>害的具体阻碍、暗损或作用有限必须转M06，不在识别层定性。</x:v>
      </x:c>
      <x:c r="U52" s="68" t="str">
        <x:v>原局存在子未六害关系。</x:v>
      </x:c>
      <x:c r="V52" s="68" t="str">
        <x:v>不得直接推出子或未受伤、减力、关系必凶或具体人事事件。</x:v>
      </x:c>
      <x:c r="W52" s="82" t="str">
        <x:v>P1_高</x:v>
      </x:c>
      <x:c r="X52" s="82" t="str">
        <x:v>辅助证据</x:v>
      </x:c>
      <x:c r="Y52" s="84" t="str">
        <x:v>子未害</x:v>
      </x:c>
      <x:c r="Z52" s="84" t="str">
        <x:v>地支见子、未，识别为子未害；实际作用及力量结果转M06判断。</x:v>
      </x:c>
      <x:c r="AA52" s="82" t="str">
        <x:v>较高</x:v>
      </x:c>
      <x:c r="AB52" s="82" t="str">
        <x:v>跨流派共识</x:v>
      </x:c>
      <x:c r="AC52" s="68" t="str">
        <x:v>六害有固定六组配对；不同流派对其作用权重有差异，识别先统一。</x:v>
      </x:c>
      <x:c r="AD52" s="68" t="str">
        <x:v>年支子、月支未，登记子未害。</x:v>
      </x:c>
      <x:c r="AE52" s="90" t="str">
        <x:v>只见子而不见未，不能登记子未害。</x:v>
      </x:c>
      <x:c r="AF52" s="68" t="str">
        <x:v>https://zh.wikisource.org/wiki/淵海子平；https://zh.wikisource.org/zh-hans/三命通會_(四庫全書本)</x:v>
      </x:c>
      <x:c r="AG52" s="82" t="str">
        <x:v>采用</x:v>
      </x:c>
      <x:c r="AH52" s="82" t="str">
        <x:v>初审</x:v>
      </x:c>
      <x:c r="AI52" s="87" t="n">
        <x:v>46255</x:v>
      </x:c>
    </x:row>
    <x:row r="53">
      <x:c r="A53" s="72" t="str">
        <x:f>IF(OR(C53="",D53=""),"",B53&amp;"-"&amp;UPPER(C53)&amp;"-"&amp;TEXT(D53,"0000")&amp;"-"&amp;E53)</x:f>
        <x:v>M05-HAI-0047-V1.0</x:v>
      </x:c>
      <x:c r="B53" s="74" t="str">
        <x:v>M05</x:v>
      </x:c>
      <x:c r="C53" s="74" t="str">
        <x:v>HAI</x:v>
      </x:c>
      <x:c r="D53" s="79" t="n">
        <x:v>47</x:v>
      </x:c>
      <x:c r="E53" s="74" t="str">
        <x:v>V1.0</x:v>
      </x:c>
      <x:c r="F53" s="68" t="str">
        <x:v>丑午六害识别</x:v>
      </x:c>
      <x:c r="G53" s="82" t="str">
        <x:v>识别层</x:v>
      </x:c>
      <x:c r="H53" s="82" t="str">
        <x:v>六害</x:v>
      </x:c>
      <x:c r="I53" s="68" t="str">
        <x:v>丑、午</x:v>
      </x:c>
      <x:c r="J53" s="82" t="str">
        <x:v>其他</x:v>
      </x:c>
      <x:c r="K53" s="82" t="str">
        <x:v>完整</x:v>
      </x:c>
      <x:c r="L53" s="68" t="str">
        <x:v>关系存在不以月支得令为必要条件；须另记录参与支中谁为月支。</x:v>
      </x:c>
      <x:c r="M53" s="68" t="str">
        <x:v>相关藏干是否透出不影响关系识别；透干信息只供后续效应与旺衰判断。</x:v>
      </x:c>
      <x:c r="N53" s="68" t="str">
        <x:v>检查两支是否还参与六合、三合、三会、冲刑破等关系。</x:v>
      </x:c>
      <x:c r="O53" s="68" t="str">
        <x:v>四柱地支已按年、月、日、时标准化并保留柱位。</x:v>
      </x:c>
      <x:c r="P53" s="68" t="str">
        <x:v>四柱地支中同时出现丑与午。</x:v>
      </x:c>
      <x:c r="Q53" s="68" t="str">
        <x:v>两支相邻或岁运再引动时，只增强后续害效应候选。</x:v>
      </x:c>
      <x:c r="R53" s="68" t="str">
        <x:v>两支隔位或其中一支同时参与合会时，实际效应更不确定。</x:v>
      </x:c>
      <x:c r="S53" s="90" t="str">
        <x:v>缺少丑或午。</x:v>
      </x:c>
      <x:c r="T53" s="68" t="str">
        <x:v>害的具体阻碍、暗损或作用有限必须转M06，不在识别层定性。</x:v>
      </x:c>
      <x:c r="U53" s="68" t="str">
        <x:v>原局存在丑午六害关系。</x:v>
      </x:c>
      <x:c r="V53" s="68" t="str">
        <x:v>不得直接推出丑或午受伤、减力、关系必凶或具体人事事件。</x:v>
      </x:c>
      <x:c r="W53" s="82" t="str">
        <x:v>P1_高</x:v>
      </x:c>
      <x:c r="X53" s="82" t="str">
        <x:v>辅助证据</x:v>
      </x:c>
      <x:c r="Y53" s="84" t="str">
        <x:v>丑午害</x:v>
      </x:c>
      <x:c r="Z53" s="84" t="str">
        <x:v>地支见丑、午，识别为丑午害；实际作用及力量结果转M06判断。</x:v>
      </x:c>
      <x:c r="AA53" s="82" t="str">
        <x:v>较高</x:v>
      </x:c>
      <x:c r="AB53" s="82" t="str">
        <x:v>跨流派共识</x:v>
      </x:c>
      <x:c r="AC53" s="68" t="str">
        <x:v>六害有固定六组配对；不同流派对其作用权重有差异，识别先统一。</x:v>
      </x:c>
      <x:c r="AD53" s="68" t="str">
        <x:v>年支丑、月支午，登记丑午害。</x:v>
      </x:c>
      <x:c r="AE53" s="90" t="str">
        <x:v>只见丑而不见午，不能登记丑午害。</x:v>
      </x:c>
      <x:c r="AF53" s="68" t="str">
        <x:v>https://zh.wikisource.org/wiki/淵海子平；https://zh.wikisource.org/zh-hans/三命通會_(四庫全書本)</x:v>
      </x:c>
      <x:c r="AG53" s="82" t="str">
        <x:v>采用</x:v>
      </x:c>
      <x:c r="AH53" s="82" t="str">
        <x:v>初审</x:v>
      </x:c>
      <x:c r="AI53" s="87" t="n">
        <x:v>46255</x:v>
      </x:c>
    </x:row>
    <x:row r="54">
      <x:c r="A54" s="72" t="str">
        <x:f>IF(OR(C54="",D54=""),"",B54&amp;"-"&amp;UPPER(C54)&amp;"-"&amp;TEXT(D54,"0000")&amp;"-"&amp;E54)</x:f>
        <x:v>M05-HAI-0048-V1.0</x:v>
      </x:c>
      <x:c r="B54" s="74" t="str">
        <x:v>M05</x:v>
      </x:c>
      <x:c r="C54" s="74" t="str">
        <x:v>HAI</x:v>
      </x:c>
      <x:c r="D54" s="79" t="n">
        <x:v>48</x:v>
      </x:c>
      <x:c r="E54" s="74" t="str">
        <x:v>V1.0</x:v>
      </x:c>
      <x:c r="F54" s="68" t="str">
        <x:v>寅巳六害识别</x:v>
      </x:c>
      <x:c r="G54" s="82" t="str">
        <x:v>识别层</x:v>
      </x:c>
      <x:c r="H54" s="82" t="str">
        <x:v>六害</x:v>
      </x:c>
      <x:c r="I54" s="68" t="str">
        <x:v>寅、巳</x:v>
      </x:c>
      <x:c r="J54" s="82" t="str">
        <x:v>其他</x:v>
      </x:c>
      <x:c r="K54" s="82" t="str">
        <x:v>完整</x:v>
      </x:c>
      <x:c r="L54" s="68" t="str">
        <x:v>关系存在不以月支得令为必要条件；须另记录参与支中谁为月支。</x:v>
      </x:c>
      <x:c r="M54" s="68" t="str">
        <x:v>相关藏干是否透出不影响关系识别；透干信息只供后续效应与旺衰判断。</x:v>
      </x:c>
      <x:c r="N54" s="68" t="str">
        <x:v>同时独立检查寅巳害及寅巳申刑组的局部刑关系。</x:v>
      </x:c>
      <x:c r="O54" s="68" t="str">
        <x:v>四柱地支已按年、月、日、时标准化并保留柱位。</x:v>
      </x:c>
      <x:c r="P54" s="68" t="str">
        <x:v>四柱地支中同时出现寅与巳。</x:v>
      </x:c>
      <x:c r="Q54" s="68" t="str">
        <x:v>两支相邻或岁运再引动时，只增强后续害效应候选。</x:v>
      </x:c>
      <x:c r="R54" s="68" t="str">
        <x:v>两支隔位或其中一支同时参与合会时，实际效应更不确定。</x:v>
      </x:c>
      <x:c r="S54" s="90" t="str">
        <x:v>缺少寅或巳。</x:v>
      </x:c>
      <x:c r="T54" s="68" t="str">
        <x:v>害的具体阻碍、暗损或作用有限必须转M06，不在识别层定性。</x:v>
      </x:c>
      <x:c r="U54" s="68" t="str">
        <x:v>原局存在寅巳六害关系。</x:v>
      </x:c>
      <x:c r="V54" s="68" t="str">
        <x:v>不得直接推出寅或巳受伤、减力、关系必凶或具体人事事件。</x:v>
      </x:c>
      <x:c r="W54" s="82" t="str">
        <x:v>P1_高</x:v>
      </x:c>
      <x:c r="X54" s="82" t="str">
        <x:v>辅助证据</x:v>
      </x:c>
      <x:c r="Y54" s="84" t="str">
        <x:v>寅巳害</x:v>
      </x:c>
      <x:c r="Z54" s="84" t="str">
        <x:v>地支见寅、巳，识别为寅巳害；实际作用及力量结果转M06判断。</x:v>
      </x:c>
      <x:c r="AA54" s="82" t="str">
        <x:v>较高</x:v>
      </x:c>
      <x:c r="AB54" s="82" t="str">
        <x:v>跨流派共识</x:v>
      </x:c>
      <x:c r="AC54" s="68" t="str">
        <x:v>六害有固定六组配对；不同流派对其作用权重有差异，识别先统一。</x:v>
      </x:c>
      <x:c r="AD54" s="68" t="str">
        <x:v>年支寅、月支巳，登记寅巳害。</x:v>
      </x:c>
      <x:c r="AE54" s="90" t="str">
        <x:v>只见寅而不见巳，不能登记寅巳害。</x:v>
      </x:c>
      <x:c r="AF54" s="68" t="str">
        <x:v>https://zh.wikisource.org/wiki/淵海子平；https://zh.wikisource.org/zh-hans/三命通會_(四庫全書本)</x:v>
      </x:c>
      <x:c r="AG54" s="82" t="str">
        <x:v>采用</x:v>
      </x:c>
      <x:c r="AH54" s="82" t="str">
        <x:v>初审</x:v>
      </x:c>
      <x:c r="AI54" s="87" t="n">
        <x:v>46255</x:v>
      </x:c>
    </x:row>
    <x:row r="55">
      <x:c r="A55" s="72" t="str">
        <x:f>IF(OR(C55="",D55=""),"",B55&amp;"-"&amp;UPPER(C55)&amp;"-"&amp;TEXT(D55,"0000")&amp;"-"&amp;E55)</x:f>
        <x:v>M05-HAI-0049-V1.0</x:v>
      </x:c>
      <x:c r="B55" s="74" t="str">
        <x:v>M05</x:v>
      </x:c>
      <x:c r="C55" s="74" t="str">
        <x:v>HAI</x:v>
      </x:c>
      <x:c r="D55" s="79" t="n">
        <x:v>49</x:v>
      </x:c>
      <x:c r="E55" s="74" t="str">
        <x:v>V1.0</x:v>
      </x:c>
      <x:c r="F55" s="68" t="str">
        <x:v>卯辰六害识别</x:v>
      </x:c>
      <x:c r="G55" s="82" t="str">
        <x:v>识别层</x:v>
      </x:c>
      <x:c r="H55" s="82" t="str">
        <x:v>六害</x:v>
      </x:c>
      <x:c r="I55" s="68" t="str">
        <x:v>卯、辰</x:v>
      </x:c>
      <x:c r="J55" s="82" t="str">
        <x:v>其他</x:v>
      </x:c>
      <x:c r="K55" s="82" t="str">
        <x:v>完整</x:v>
      </x:c>
      <x:c r="L55" s="68" t="str">
        <x:v>关系存在不以月支得令为必要条件；须另记录参与支中谁为月支。</x:v>
      </x:c>
      <x:c r="M55" s="68" t="str">
        <x:v>相关藏干是否透出不影响关系识别；透干信息只供后续效应与旺衰判断。</x:v>
      </x:c>
      <x:c r="N55" s="68" t="str">
        <x:v>检查两支是否还参与六合、三合、三会、冲刑破等关系。</x:v>
      </x:c>
      <x:c r="O55" s="68" t="str">
        <x:v>四柱地支已按年、月、日、时标准化并保留柱位。</x:v>
      </x:c>
      <x:c r="P55" s="68" t="str">
        <x:v>四柱地支中同时出现卯与辰。</x:v>
      </x:c>
      <x:c r="Q55" s="68" t="str">
        <x:v>两支相邻或岁运再引动时，只增强后续害效应候选。</x:v>
      </x:c>
      <x:c r="R55" s="68" t="str">
        <x:v>两支隔位或其中一支同时参与合会时，实际效应更不确定。</x:v>
      </x:c>
      <x:c r="S55" s="90" t="str">
        <x:v>缺少卯或辰。</x:v>
      </x:c>
      <x:c r="T55" s="68" t="str">
        <x:v>害的具体阻碍、暗损或作用有限必须转M06，不在识别层定性。</x:v>
      </x:c>
      <x:c r="U55" s="68" t="str">
        <x:v>原局存在卯辰六害关系。</x:v>
      </x:c>
      <x:c r="V55" s="68" t="str">
        <x:v>不得直接推出卯或辰受伤、减力、关系必凶或具体人事事件。</x:v>
      </x:c>
      <x:c r="W55" s="82" t="str">
        <x:v>P1_高</x:v>
      </x:c>
      <x:c r="X55" s="82" t="str">
        <x:v>辅助证据</x:v>
      </x:c>
      <x:c r="Y55" s="84" t="str">
        <x:v>卯辰害</x:v>
      </x:c>
      <x:c r="Z55" s="84" t="str">
        <x:v>地支见卯、辰，识别为卯辰害；实际作用及力量结果转M06判断。</x:v>
      </x:c>
      <x:c r="AA55" s="82" t="str">
        <x:v>较高</x:v>
      </x:c>
      <x:c r="AB55" s="82" t="str">
        <x:v>跨流派共识</x:v>
      </x:c>
      <x:c r="AC55" s="68" t="str">
        <x:v>六害有固定六组配对；不同流派对其作用权重有差异，识别先统一。</x:v>
      </x:c>
      <x:c r="AD55" s="68" t="str">
        <x:v>年支卯、月支辰，登记卯辰害。</x:v>
      </x:c>
      <x:c r="AE55" s="90" t="str">
        <x:v>只见卯而不见辰，不能登记卯辰害。</x:v>
      </x:c>
      <x:c r="AF55" s="68" t="str">
        <x:v>https://zh.wikisource.org/wiki/淵海子平；https://zh.wikisource.org/zh-hans/三命通會_(四庫全書本)</x:v>
      </x:c>
      <x:c r="AG55" s="82" t="str">
        <x:v>采用</x:v>
      </x:c>
      <x:c r="AH55" s="82" t="str">
        <x:v>初审</x:v>
      </x:c>
      <x:c r="AI55" s="87" t="n">
        <x:v>46255</x:v>
      </x:c>
    </x:row>
    <x:row r="56">
      <x:c r="A56" s="72" t="str">
        <x:f>IF(OR(C56="",D56=""),"",B56&amp;"-"&amp;UPPER(C56)&amp;"-"&amp;TEXT(D56,"0000")&amp;"-"&amp;E56)</x:f>
        <x:v>M05-HAI-0050-V1.0</x:v>
      </x:c>
      <x:c r="B56" s="74" t="str">
        <x:v>M05</x:v>
      </x:c>
      <x:c r="C56" s="74" t="str">
        <x:v>HAI</x:v>
      </x:c>
      <x:c r="D56" s="79" t="n">
        <x:v>50</x:v>
      </x:c>
      <x:c r="E56" s="74" t="str">
        <x:v>V1.0</x:v>
      </x:c>
      <x:c r="F56" s="68" t="str">
        <x:v>申亥六害识别</x:v>
      </x:c>
      <x:c r="G56" s="82" t="str">
        <x:v>识别层</x:v>
      </x:c>
      <x:c r="H56" s="82" t="str">
        <x:v>六害</x:v>
      </x:c>
      <x:c r="I56" s="68" t="str">
        <x:v>申、亥</x:v>
      </x:c>
      <x:c r="J56" s="82" t="str">
        <x:v>其他</x:v>
      </x:c>
      <x:c r="K56" s="82" t="str">
        <x:v>完整</x:v>
      </x:c>
      <x:c r="L56" s="68" t="str">
        <x:v>关系存在不以月支得令为必要条件；须另记录参与支中谁为月支。</x:v>
      </x:c>
      <x:c r="M56" s="68" t="str">
        <x:v>相关藏干是否透出不影响关系识别；透干信息只供后续效应与旺衰判断。</x:v>
      </x:c>
      <x:c r="N56" s="68" t="str">
        <x:v>检查两支是否还参与六合、三合、三会、冲刑破等关系。</x:v>
      </x:c>
      <x:c r="O56" s="68" t="str">
        <x:v>四柱地支已按年、月、日、时标准化并保留柱位。</x:v>
      </x:c>
      <x:c r="P56" s="68" t="str">
        <x:v>四柱地支中同时出现申与亥。</x:v>
      </x:c>
      <x:c r="Q56" s="68" t="str">
        <x:v>两支相邻或岁运再引动时，只增强后续害效应候选。</x:v>
      </x:c>
      <x:c r="R56" s="68" t="str">
        <x:v>两支隔位或其中一支同时参与合会时，实际效应更不确定。</x:v>
      </x:c>
      <x:c r="S56" s="90" t="str">
        <x:v>缺少申或亥。</x:v>
      </x:c>
      <x:c r="T56" s="68" t="str">
        <x:v>害的具体阻碍、暗损或作用有限必须转M06，不在识别层定性。</x:v>
      </x:c>
      <x:c r="U56" s="68" t="str">
        <x:v>原局存在申亥六害关系。</x:v>
      </x:c>
      <x:c r="V56" s="68" t="str">
        <x:v>不得直接推出申或亥受伤、减力、关系必凶或具体人事事件。</x:v>
      </x:c>
      <x:c r="W56" s="82" t="str">
        <x:v>P1_高</x:v>
      </x:c>
      <x:c r="X56" s="82" t="str">
        <x:v>辅助证据</x:v>
      </x:c>
      <x:c r="Y56" s="84" t="str">
        <x:v>申亥害</x:v>
      </x:c>
      <x:c r="Z56" s="84" t="str">
        <x:v>地支见申、亥，识别为申亥害；实际作用及力量结果转M06判断。</x:v>
      </x:c>
      <x:c r="AA56" s="82" t="str">
        <x:v>较高</x:v>
      </x:c>
      <x:c r="AB56" s="82" t="str">
        <x:v>跨流派共识</x:v>
      </x:c>
      <x:c r="AC56" s="68" t="str">
        <x:v>六害有固定六组配对；不同流派对其作用权重有差异，识别先统一。</x:v>
      </x:c>
      <x:c r="AD56" s="68" t="str">
        <x:v>年支申、月支亥，登记申亥害。</x:v>
      </x:c>
      <x:c r="AE56" s="90" t="str">
        <x:v>只见申而不见亥，不能登记申亥害。</x:v>
      </x:c>
      <x:c r="AF56" s="68" t="str">
        <x:v>https://zh.wikisource.org/wiki/淵海子平；https://zh.wikisource.org/zh-hans/三命通會_(四庫全書本)</x:v>
      </x:c>
      <x:c r="AG56" s="82" t="str">
        <x:v>采用</x:v>
      </x:c>
      <x:c r="AH56" s="82" t="str">
        <x:v>初审</x:v>
      </x:c>
      <x:c r="AI56" s="87" t="n">
        <x:v>46255</x:v>
      </x:c>
    </x:row>
    <x:row r="57">
      <x:c r="A57" s="72" t="str">
        <x:f>IF(OR(C57="",D57=""),"",B57&amp;"-"&amp;UPPER(C57)&amp;"-"&amp;TEXT(D57,"0000")&amp;"-"&amp;E57)</x:f>
        <x:v>M05-HAI-0051-V1.0</x:v>
      </x:c>
      <x:c r="B57" s="74" t="str">
        <x:v>M05</x:v>
      </x:c>
      <x:c r="C57" s="74" t="str">
        <x:v>HAI</x:v>
      </x:c>
      <x:c r="D57" s="79" t="n">
        <x:v>51</x:v>
      </x:c>
      <x:c r="E57" s="74" t="str">
        <x:v>V1.0</x:v>
      </x:c>
      <x:c r="F57" s="68" t="str">
        <x:v>酉戌六害识别</x:v>
      </x:c>
      <x:c r="G57" s="82" t="str">
        <x:v>识别层</x:v>
      </x:c>
      <x:c r="H57" s="82" t="str">
        <x:v>六害</x:v>
      </x:c>
      <x:c r="I57" s="68" t="str">
        <x:v>酉、戌</x:v>
      </x:c>
      <x:c r="J57" s="82" t="str">
        <x:v>其他</x:v>
      </x:c>
      <x:c r="K57" s="82" t="str">
        <x:v>完整</x:v>
      </x:c>
      <x:c r="L57" s="68" t="str">
        <x:v>关系存在不以月支得令为必要条件；须另记录参与支中谁为月支。</x:v>
      </x:c>
      <x:c r="M57" s="68" t="str">
        <x:v>相关藏干是否透出不影响关系识别；透干信息只供后续效应与旺衰判断。</x:v>
      </x:c>
      <x:c r="N57" s="68" t="str">
        <x:v>检查两支是否还参与六合、三合、三会、冲刑破等关系。</x:v>
      </x:c>
      <x:c r="O57" s="68" t="str">
        <x:v>四柱地支已按年、月、日、时标准化并保留柱位。</x:v>
      </x:c>
      <x:c r="P57" s="68" t="str">
        <x:v>四柱地支中同时出现酉与戌。</x:v>
      </x:c>
      <x:c r="Q57" s="68" t="str">
        <x:v>两支相邻或岁运再引动时，只增强后续害效应候选。</x:v>
      </x:c>
      <x:c r="R57" s="68" t="str">
        <x:v>两支隔位或其中一支同时参与合会时，实际效应更不确定。</x:v>
      </x:c>
      <x:c r="S57" s="90" t="str">
        <x:v>缺少酉或戌。</x:v>
      </x:c>
      <x:c r="T57" s="68" t="str">
        <x:v>害的具体阻碍、暗损或作用有限必须转M06，不在识别层定性。</x:v>
      </x:c>
      <x:c r="U57" s="68" t="str">
        <x:v>原局存在酉戌六害关系。</x:v>
      </x:c>
      <x:c r="V57" s="68" t="str">
        <x:v>不得直接推出酉或戌受伤、减力、关系必凶或具体人事事件。</x:v>
      </x:c>
      <x:c r="W57" s="82" t="str">
        <x:v>P1_高</x:v>
      </x:c>
      <x:c r="X57" s="82" t="str">
        <x:v>辅助证据</x:v>
      </x:c>
      <x:c r="Y57" s="84" t="str">
        <x:v>酉戌害</x:v>
      </x:c>
      <x:c r="Z57" s="84" t="str">
        <x:v>地支见酉、戌，识别为酉戌害；实际作用及力量结果转M06判断。</x:v>
      </x:c>
      <x:c r="AA57" s="82" t="str">
        <x:v>较高</x:v>
      </x:c>
      <x:c r="AB57" s="82" t="str">
        <x:v>跨流派共识</x:v>
      </x:c>
      <x:c r="AC57" s="68" t="str">
        <x:v>六害有固定六组配对；不同流派对其作用权重有差异，识别先统一。</x:v>
      </x:c>
      <x:c r="AD57" s="68" t="str">
        <x:v>年支酉、月支戌，登记酉戌害。</x:v>
      </x:c>
      <x:c r="AE57" s="90" t="str">
        <x:v>只见酉而不见戌，不能登记酉戌害。</x:v>
      </x:c>
      <x:c r="AF57" s="68" t="str">
        <x:v>https://zh.wikisource.org/wiki/淵海子平；https://zh.wikisource.org/zh-hans/三命通會_(四庫全書本)</x:v>
      </x:c>
      <x:c r="AG57" s="82" t="str">
        <x:v>采用</x:v>
      </x:c>
      <x:c r="AH57" s="82" t="str">
        <x:v>初审</x:v>
      </x:c>
      <x:c r="AI57" s="87" t="n">
        <x:v>46255</x:v>
      </x:c>
    </x:row>
    <x:row r="58">
      <x:c r="A58" s="72" t="str">
        <x:f>IF(OR(C58="",D58=""),"",B58&amp;"-"&amp;UPPER(C58)&amp;"-"&amp;TEXT(D58,"0000")&amp;"-"&amp;E58)</x:f>
        <x:v>M05-PO-0052-V1.0</x:v>
      </x:c>
      <x:c r="B58" s="74" t="str">
        <x:v>M05</x:v>
      </x:c>
      <x:c r="C58" s="74" t="str">
        <x:v>PO</x:v>
      </x:c>
      <x:c r="D58" s="79" t="n">
        <x:v>52</x:v>
      </x:c>
      <x:c r="E58" s="74" t="str">
        <x:v>V1.0</x:v>
      </x:c>
      <x:c r="F58" s="68" t="str">
        <x:v>子酉六破识别</x:v>
      </x:c>
      <x:c r="G58" s="82" t="str">
        <x:v>识别层</x:v>
      </x:c>
      <x:c r="H58" s="82" t="str">
        <x:v>六破</x:v>
      </x:c>
      <x:c r="I58" s="68" t="str">
        <x:v>子、酉</x:v>
      </x:c>
      <x:c r="J58" s="82" t="str">
        <x:v>其他</x:v>
      </x:c>
      <x:c r="K58" s="82" t="str">
        <x:v>完整</x:v>
      </x:c>
      <x:c r="L58" s="68" t="str">
        <x:v>关系存在不以月支得令为必要条件；须另记录参与支中谁为月支。</x:v>
      </x:c>
      <x:c r="M58" s="68" t="str">
        <x:v>相关藏干是否透出不影响关系识别；透干信息只供后续效应与旺衰判断。</x:v>
      </x:c>
      <x:c r="N58" s="68" t="str">
        <x:v>检查两支是否还参与六合、三合、三会、冲刑害等关系。</x:v>
      </x:c>
      <x:c r="O58" s="68" t="str">
        <x:v>四柱地支已按年、月、日、时标准化并保留柱位。</x:v>
      </x:c>
      <x:c r="P58" s="68" t="str">
        <x:v>四柱地支中同时出现子与酉。</x:v>
      </x:c>
      <x:c r="Q58" s="68" t="str">
        <x:v>两支相邻或岁运再引动时，只增强后续破效应候选。</x:v>
      </x:c>
      <x:c r="R58" s="68" t="str">
        <x:v>两支隔位或其中一支参与其他强关系时，实际作用更不确定。</x:v>
      </x:c>
      <x:c r="S58" s="90" t="str">
        <x:v>缺少子或酉。</x:v>
      </x:c>
      <x:c r="T58" s="68" t="str">
        <x:v>六破的作用权重和具体解释存在流派差异；本表只保存固定配对。</x:v>
      </x:c>
      <x:c r="U58" s="68" t="str">
        <x:v>原局存在子酉六破关系。</x:v>
      </x:c>
      <x:c r="V58" s="68" t="str">
        <x:v>不得直接推出子或酉根气被破坏、必然减力、关系破裂或具体事件。</x:v>
      </x:c>
      <x:c r="W58" s="82" t="str">
        <x:v>P2_中</x:v>
      </x:c>
      <x:c r="X58" s="82" t="str">
        <x:v>辅助证据</x:v>
      </x:c>
      <x:c r="Y58" s="84" t="str">
        <x:v>子酉破</x:v>
      </x:c>
      <x:c r="Z58" s="84" t="str">
        <x:v>地支见子、酉，识别为子酉破；实际效应及权重转M06、M21判断。</x:v>
      </x:c>
      <x:c r="AA58" s="82" t="str">
        <x:v>中等</x:v>
      </x:c>
      <x:c r="AB58" s="82" t="str">
        <x:v>现代综合</x:v>
      </x:c>
      <x:c r="AC58" s="68" t="str">
        <x:v>六破配对在现代命理关系表中较常用，但具体效应权重存在较大流派差异。</x:v>
      </x:c>
      <x:c r="AD58" s="68" t="str">
        <x:v>年支子、时支酉，登记子酉破。</x:v>
      </x:c>
      <x:c r="AE58" s="90" t="str">
        <x:v>只见子而不见酉，不能登记子酉破。</x:v>
      </x:c>
      <x:c r="AF58" s="68" t="str">
        <x:v>内部结构化规则：识别层与效应层分离；https://zh.wikisource.org/wiki/淵海子平；https://zh.wikisource.org/zh-hans/三命通會_(四庫全書本)</x:v>
      </x:c>
      <x:c r="AG58" s="82" t="str">
        <x:v>待验证</x:v>
      </x:c>
      <x:c r="AH58" s="82" t="str">
        <x:v>初审</x:v>
      </x:c>
      <x:c r="AI58" s="87" t="n">
        <x:v>46255</x:v>
      </x:c>
    </x:row>
    <x:row r="59">
      <x:c r="A59" s="72" t="str">
        <x:f>IF(OR(C59="",D59=""),"",B59&amp;"-"&amp;UPPER(C59)&amp;"-"&amp;TEXT(D59,"0000")&amp;"-"&amp;E59)</x:f>
        <x:v>M05-PO-0053-V1.0</x:v>
      </x:c>
      <x:c r="B59" s="74" t="str">
        <x:v>M05</x:v>
      </x:c>
      <x:c r="C59" s="74" t="str">
        <x:v>PO</x:v>
      </x:c>
      <x:c r="D59" s="79" t="n">
        <x:v>53</x:v>
      </x:c>
      <x:c r="E59" s="74" t="str">
        <x:v>V1.0</x:v>
      </x:c>
      <x:c r="F59" s="68" t="str">
        <x:v>丑辰六破识别</x:v>
      </x:c>
      <x:c r="G59" s="82" t="str">
        <x:v>识别层</x:v>
      </x:c>
      <x:c r="H59" s="82" t="str">
        <x:v>六破</x:v>
      </x:c>
      <x:c r="I59" s="68" t="str">
        <x:v>丑、辰</x:v>
      </x:c>
      <x:c r="J59" s="82" t="str">
        <x:v>其他</x:v>
      </x:c>
      <x:c r="K59" s="82" t="str">
        <x:v>完整</x:v>
      </x:c>
      <x:c r="L59" s="68" t="str">
        <x:v>关系存在不以月支得令为必要条件；须另记录参与支中谁为月支。</x:v>
      </x:c>
      <x:c r="M59" s="68" t="str">
        <x:v>相关藏干是否透出不影响关系识别；透干信息只供后续效应与旺衰判断。</x:v>
      </x:c>
      <x:c r="N59" s="68" t="str">
        <x:v>检查两支是否还参与六合、三合、三会、冲刑害等关系。</x:v>
      </x:c>
      <x:c r="O59" s="68" t="str">
        <x:v>四柱地支已按年、月、日、时标准化并保留柱位。</x:v>
      </x:c>
      <x:c r="P59" s="68" t="str">
        <x:v>四柱地支中同时出现丑与辰。</x:v>
      </x:c>
      <x:c r="Q59" s="68" t="str">
        <x:v>两支相邻或岁运再引动时，只增强后续破效应候选。</x:v>
      </x:c>
      <x:c r="R59" s="68" t="str">
        <x:v>两支隔位或其中一支参与其他强关系时，实际作用更不确定。</x:v>
      </x:c>
      <x:c r="S59" s="90" t="str">
        <x:v>缺少丑或辰。</x:v>
      </x:c>
      <x:c r="T59" s="68" t="str">
        <x:v>六破的作用权重和具体解释存在流派差异；本表只保存固定配对。</x:v>
      </x:c>
      <x:c r="U59" s="68" t="str">
        <x:v>原局存在丑辰六破关系。</x:v>
      </x:c>
      <x:c r="V59" s="68" t="str">
        <x:v>不得直接推出丑或辰根气被破坏、必然减力、关系破裂或具体事件。</x:v>
      </x:c>
      <x:c r="W59" s="82" t="str">
        <x:v>P2_中</x:v>
      </x:c>
      <x:c r="X59" s="82" t="str">
        <x:v>辅助证据</x:v>
      </x:c>
      <x:c r="Y59" s="84" t="str">
        <x:v>丑辰破</x:v>
      </x:c>
      <x:c r="Z59" s="84" t="str">
        <x:v>地支见丑、辰，识别为丑辰破；实际效应及权重转M06、M21判断。</x:v>
      </x:c>
      <x:c r="AA59" s="82" t="str">
        <x:v>中等</x:v>
      </x:c>
      <x:c r="AB59" s="82" t="str">
        <x:v>现代综合</x:v>
      </x:c>
      <x:c r="AC59" s="68" t="str">
        <x:v>六破配对在现代命理关系表中较常用，但具体效应权重存在较大流派差异。</x:v>
      </x:c>
      <x:c r="AD59" s="68" t="str">
        <x:v>年支丑、时支辰，登记丑辰破。</x:v>
      </x:c>
      <x:c r="AE59" s="90" t="str">
        <x:v>只见丑而不见辰，不能登记丑辰破。</x:v>
      </x:c>
      <x:c r="AF59" s="68" t="str">
        <x:v>内部结构化规则：识别层与效应层分离；https://zh.wikisource.org/wiki/淵海子平；https://zh.wikisource.org/zh-hans/三命通會_(四庫全書本)</x:v>
      </x:c>
      <x:c r="AG59" s="82" t="str">
        <x:v>待验证</x:v>
      </x:c>
      <x:c r="AH59" s="82" t="str">
        <x:v>初审</x:v>
      </x:c>
      <x:c r="AI59" s="87" t="n">
        <x:v>46255</x:v>
      </x:c>
    </x:row>
    <x:row r="60">
      <x:c r="A60" s="72" t="str">
        <x:f>IF(OR(C60="",D60=""),"",B60&amp;"-"&amp;UPPER(C60)&amp;"-"&amp;TEXT(D60,"0000")&amp;"-"&amp;E60)</x:f>
        <x:v>M05-PO-0054-V1.0</x:v>
      </x:c>
      <x:c r="B60" s="74" t="str">
        <x:v>M05</x:v>
      </x:c>
      <x:c r="C60" s="74" t="str">
        <x:v>PO</x:v>
      </x:c>
      <x:c r="D60" s="79" t="n">
        <x:v>54</x:v>
      </x:c>
      <x:c r="E60" s="74" t="str">
        <x:v>V1.0</x:v>
      </x:c>
      <x:c r="F60" s="68" t="str">
        <x:v>寅亥六破识别</x:v>
      </x:c>
      <x:c r="G60" s="82" t="str">
        <x:v>识别层</x:v>
      </x:c>
      <x:c r="H60" s="82" t="str">
        <x:v>六破</x:v>
      </x:c>
      <x:c r="I60" s="68" t="str">
        <x:v>寅、亥</x:v>
      </x:c>
      <x:c r="J60" s="82" t="str">
        <x:v>其他</x:v>
      </x:c>
      <x:c r="K60" s="82" t="str">
        <x:v>完整</x:v>
      </x:c>
      <x:c r="L60" s="68" t="str">
        <x:v>关系存在不以月支得令为必要条件；须另记录参与支中谁为月支。</x:v>
      </x:c>
      <x:c r="M60" s="68" t="str">
        <x:v>相关藏干是否透出不影响关系识别；透干信息只供后续效应与旺衰判断。</x:v>
      </x:c>
      <x:c r="N60" s="68" t="str">
        <x:v>同时独立检查寅亥破；六合与破可并存。</x:v>
      </x:c>
      <x:c r="O60" s="68" t="str">
        <x:v>四柱地支已按年、月、日、时标准化并保留柱位。</x:v>
      </x:c>
      <x:c r="P60" s="68" t="str">
        <x:v>四柱地支中同时出现寅与亥。</x:v>
      </x:c>
      <x:c r="Q60" s="68" t="str">
        <x:v>两支相邻或岁运再引动时，只增强后续破效应候选。</x:v>
      </x:c>
      <x:c r="R60" s="68" t="str">
        <x:v>两支隔位或其中一支参与其他强关系时，实际作用更不确定。</x:v>
      </x:c>
      <x:c r="S60" s="90" t="str">
        <x:v>缺少寅或亥。</x:v>
      </x:c>
      <x:c r="T60" s="68" t="str">
        <x:v>六破的作用权重和具体解释存在流派差异；本表只保存固定配对。</x:v>
      </x:c>
      <x:c r="U60" s="68" t="str">
        <x:v>原局存在寅亥六破关系。</x:v>
      </x:c>
      <x:c r="V60" s="68" t="str">
        <x:v>不得直接推出寅或亥根气被破坏、必然减力、关系破裂或具体事件。</x:v>
      </x:c>
      <x:c r="W60" s="82" t="str">
        <x:v>P2_中</x:v>
      </x:c>
      <x:c r="X60" s="82" t="str">
        <x:v>辅助证据</x:v>
      </x:c>
      <x:c r="Y60" s="84" t="str">
        <x:v>寅亥破</x:v>
      </x:c>
      <x:c r="Z60" s="84" t="str">
        <x:v>地支见寅、亥，识别为寅亥破；实际效应及权重转M06、M21判断。</x:v>
      </x:c>
      <x:c r="AA60" s="82" t="str">
        <x:v>中等</x:v>
      </x:c>
      <x:c r="AB60" s="82" t="str">
        <x:v>现代综合</x:v>
      </x:c>
      <x:c r="AC60" s="68" t="str">
        <x:v>六破配对在现代命理关系表中较常用，但具体效应权重存在较大流派差异。</x:v>
      </x:c>
      <x:c r="AD60" s="68" t="str">
        <x:v>年支寅、时支亥，登记寅亥破。</x:v>
      </x:c>
      <x:c r="AE60" s="90" t="str">
        <x:v>只见寅而不见亥，不能登记寅亥破。</x:v>
      </x:c>
      <x:c r="AF60" s="68" t="str">
        <x:v>内部结构化规则：识别层与效应层分离；https://zh.wikisource.org/wiki/淵海子平；https://zh.wikisource.org/zh-hans/三命通會_(四庫全書本)</x:v>
      </x:c>
      <x:c r="AG60" s="82" t="str">
        <x:v>待验证</x:v>
      </x:c>
      <x:c r="AH60" s="82" t="str">
        <x:v>初审</x:v>
      </x:c>
      <x:c r="AI60" s="87" t="n">
        <x:v>46255</x:v>
      </x:c>
    </x:row>
    <x:row r="61">
      <x:c r="A61" s="72" t="str">
        <x:f>IF(OR(C61="",D61=""),"",B61&amp;"-"&amp;UPPER(C61)&amp;"-"&amp;TEXT(D61,"0000")&amp;"-"&amp;E61)</x:f>
        <x:v>M05-PO-0055-V1.0</x:v>
      </x:c>
      <x:c r="B61" s="74" t="str">
        <x:v>M05</x:v>
      </x:c>
      <x:c r="C61" s="74" t="str">
        <x:v>PO</x:v>
      </x:c>
      <x:c r="D61" s="79" t="n">
        <x:v>55</x:v>
      </x:c>
      <x:c r="E61" s="74" t="str">
        <x:v>V1.0</x:v>
      </x:c>
      <x:c r="F61" s="68" t="str">
        <x:v>卯午六破识别</x:v>
      </x:c>
      <x:c r="G61" s="82" t="str">
        <x:v>识别层</x:v>
      </x:c>
      <x:c r="H61" s="82" t="str">
        <x:v>六破</x:v>
      </x:c>
      <x:c r="I61" s="68" t="str">
        <x:v>卯、午</x:v>
      </x:c>
      <x:c r="J61" s="82" t="str">
        <x:v>其他</x:v>
      </x:c>
      <x:c r="K61" s="82" t="str">
        <x:v>完整</x:v>
      </x:c>
      <x:c r="L61" s="68" t="str">
        <x:v>关系存在不以月支得令为必要条件；须另记录参与支中谁为月支。</x:v>
      </x:c>
      <x:c r="M61" s="68" t="str">
        <x:v>相关藏干是否透出不影响关系识别；透干信息只供后续效应与旺衰判断。</x:v>
      </x:c>
      <x:c r="N61" s="68" t="str">
        <x:v>检查两支是否还参与六合、三合、三会、冲刑害等关系。</x:v>
      </x:c>
      <x:c r="O61" s="68" t="str">
        <x:v>四柱地支已按年、月、日、时标准化并保留柱位。</x:v>
      </x:c>
      <x:c r="P61" s="68" t="str">
        <x:v>四柱地支中同时出现卯与午。</x:v>
      </x:c>
      <x:c r="Q61" s="68" t="str">
        <x:v>两支相邻或岁运再引动时，只增强后续破效应候选。</x:v>
      </x:c>
      <x:c r="R61" s="68" t="str">
        <x:v>两支隔位或其中一支参与其他强关系时，实际作用更不确定。</x:v>
      </x:c>
      <x:c r="S61" s="90" t="str">
        <x:v>缺少卯或午。</x:v>
      </x:c>
      <x:c r="T61" s="68" t="str">
        <x:v>六破的作用权重和具体解释存在流派差异；本表只保存固定配对。</x:v>
      </x:c>
      <x:c r="U61" s="68" t="str">
        <x:v>原局存在卯午六破关系。</x:v>
      </x:c>
      <x:c r="V61" s="68" t="str">
        <x:v>不得直接推出卯或午根气被破坏、必然减力、关系破裂或具体事件。</x:v>
      </x:c>
      <x:c r="W61" s="82" t="str">
        <x:v>P2_中</x:v>
      </x:c>
      <x:c r="X61" s="82" t="str">
        <x:v>辅助证据</x:v>
      </x:c>
      <x:c r="Y61" s="84" t="str">
        <x:v>卯午破</x:v>
      </x:c>
      <x:c r="Z61" s="84" t="str">
        <x:v>地支见卯、午，识别为卯午破；实际效应及权重转M06、M21判断。</x:v>
      </x:c>
      <x:c r="AA61" s="82" t="str">
        <x:v>中等</x:v>
      </x:c>
      <x:c r="AB61" s="82" t="str">
        <x:v>现代综合</x:v>
      </x:c>
      <x:c r="AC61" s="68" t="str">
        <x:v>六破配对在现代命理关系表中较常用，但具体效应权重存在较大流派差异。</x:v>
      </x:c>
      <x:c r="AD61" s="68" t="str">
        <x:v>年支卯、时支午，登记卯午破。</x:v>
      </x:c>
      <x:c r="AE61" s="90" t="str">
        <x:v>只见卯而不见午，不能登记卯午破。</x:v>
      </x:c>
      <x:c r="AF61" s="68" t="str">
        <x:v>内部结构化规则：识别层与效应层分离；https://zh.wikisource.org/wiki/淵海子平；https://zh.wikisource.org/zh-hans/三命通會_(四庫全書本)</x:v>
      </x:c>
      <x:c r="AG61" s="82" t="str">
        <x:v>待验证</x:v>
      </x:c>
      <x:c r="AH61" s="82" t="str">
        <x:v>初审</x:v>
      </x:c>
      <x:c r="AI61" s="87" t="n">
        <x:v>46255</x:v>
      </x:c>
    </x:row>
    <x:row r="62">
      <x:c r="A62" s="72" t="str">
        <x:f>IF(OR(C62="",D62=""),"",B62&amp;"-"&amp;UPPER(C62)&amp;"-"&amp;TEXT(D62,"0000")&amp;"-"&amp;E62)</x:f>
        <x:v>M05-PO-0056-V1.0</x:v>
      </x:c>
      <x:c r="B62" s="74" t="str">
        <x:v>M05</x:v>
      </x:c>
      <x:c r="C62" s="74" t="str">
        <x:v>PO</x:v>
      </x:c>
      <x:c r="D62" s="79" t="n">
        <x:v>56</x:v>
      </x:c>
      <x:c r="E62" s="74" t="str">
        <x:v>V1.0</x:v>
      </x:c>
      <x:c r="F62" s="68" t="str">
        <x:v>巳申六破识别</x:v>
      </x:c>
      <x:c r="G62" s="82" t="str">
        <x:v>识别层</x:v>
      </x:c>
      <x:c r="H62" s="82" t="str">
        <x:v>六破</x:v>
      </x:c>
      <x:c r="I62" s="68" t="str">
        <x:v>巳、申</x:v>
      </x:c>
      <x:c r="J62" s="82" t="str">
        <x:v>其他</x:v>
      </x:c>
      <x:c r="K62" s="82" t="str">
        <x:v>完整</x:v>
      </x:c>
      <x:c r="L62" s="68" t="str">
        <x:v>关系存在不以月支得令为必要条件；须另记录参与支中谁为月支。</x:v>
      </x:c>
      <x:c r="M62" s="68" t="str">
        <x:v>相关藏干是否透出不影响关系识别；透干信息只供后续效应与旺衰判断。</x:v>
      </x:c>
      <x:c r="N62" s="68" t="str">
        <x:v>同时独立检查巳申刑与巳申破；三种关系可并存。</x:v>
      </x:c>
      <x:c r="O62" s="68" t="str">
        <x:v>四柱地支已按年、月、日、时标准化并保留柱位。</x:v>
      </x:c>
      <x:c r="P62" s="68" t="str">
        <x:v>四柱地支中同时出现巳与申。</x:v>
      </x:c>
      <x:c r="Q62" s="68" t="str">
        <x:v>两支相邻或岁运再引动时，只增强后续破效应候选。</x:v>
      </x:c>
      <x:c r="R62" s="68" t="str">
        <x:v>两支隔位或其中一支参与其他强关系时，实际作用更不确定。</x:v>
      </x:c>
      <x:c r="S62" s="90" t="str">
        <x:v>缺少巳或申。</x:v>
      </x:c>
      <x:c r="T62" s="68" t="str">
        <x:v>六破的作用权重和具体解释存在流派差异；本表只保存固定配对。</x:v>
      </x:c>
      <x:c r="U62" s="68" t="str">
        <x:v>原局存在巳申六破关系。</x:v>
      </x:c>
      <x:c r="V62" s="68" t="str">
        <x:v>不得直接推出巳或申根气被破坏、必然减力、关系破裂或具体事件。</x:v>
      </x:c>
      <x:c r="W62" s="82" t="str">
        <x:v>P2_中</x:v>
      </x:c>
      <x:c r="X62" s="82" t="str">
        <x:v>辅助证据</x:v>
      </x:c>
      <x:c r="Y62" s="84" t="str">
        <x:v>巳申破</x:v>
      </x:c>
      <x:c r="Z62" s="84" t="str">
        <x:v>地支见巳、申，识别为巳申破；实际效应及权重转M06、M21判断。</x:v>
      </x:c>
      <x:c r="AA62" s="82" t="str">
        <x:v>中等</x:v>
      </x:c>
      <x:c r="AB62" s="82" t="str">
        <x:v>现代综合</x:v>
      </x:c>
      <x:c r="AC62" s="68" t="str">
        <x:v>六破配对在现代命理关系表中较常用，但具体效应权重存在较大流派差异。</x:v>
      </x:c>
      <x:c r="AD62" s="68" t="str">
        <x:v>年支巳、时支申，登记巳申破。</x:v>
      </x:c>
      <x:c r="AE62" s="90" t="str">
        <x:v>只见巳而不见申，不能登记巳申破。</x:v>
      </x:c>
      <x:c r="AF62" s="68" t="str">
        <x:v>内部结构化规则：识别层与效应层分离；https://zh.wikisource.org/wiki/淵海子平；https://zh.wikisource.org/zh-hans/三命通會_(四庫全書本)</x:v>
      </x:c>
      <x:c r="AG62" s="82" t="str">
        <x:v>待验证</x:v>
      </x:c>
      <x:c r="AH62" s="82" t="str">
        <x:v>初审</x:v>
      </x:c>
      <x:c r="AI62" s="87" t="n">
        <x:v>46255</x:v>
      </x:c>
    </x:row>
    <x:row r="63">
      <x:c r="A63" s="72" t="str">
        <x:f>IF(OR(C63="",D63=""),"",B63&amp;"-"&amp;UPPER(C63)&amp;"-"&amp;TEXT(D63,"0000")&amp;"-"&amp;E63)</x:f>
        <x:v>M05-PO-0057-V1.0</x:v>
      </x:c>
      <x:c r="B63" s="74" t="str">
        <x:v>M05</x:v>
      </x:c>
      <x:c r="C63" s="74" t="str">
        <x:v>PO</x:v>
      </x:c>
      <x:c r="D63" s="79" t="n">
        <x:v>57</x:v>
      </x:c>
      <x:c r="E63" s="74" t="str">
        <x:v>V1.0</x:v>
      </x:c>
      <x:c r="F63" s="68" t="str">
        <x:v>未戌六破识别</x:v>
      </x:c>
      <x:c r="G63" s="82" t="str">
        <x:v>识别层</x:v>
      </x:c>
      <x:c r="H63" s="82" t="str">
        <x:v>六破</x:v>
      </x:c>
      <x:c r="I63" s="68" t="str">
        <x:v>未、戌</x:v>
      </x:c>
      <x:c r="J63" s="82" t="str">
        <x:v>其他</x:v>
      </x:c>
      <x:c r="K63" s="82" t="str">
        <x:v>完整</x:v>
      </x:c>
      <x:c r="L63" s="68" t="str">
        <x:v>关系存在不以月支得令为必要条件；须另记录参与支中谁为月支。</x:v>
      </x:c>
      <x:c r="M63" s="68" t="str">
        <x:v>相关藏干是否透出不影响关系识别；透干信息只供后续效应与旺衰判断。</x:v>
      </x:c>
      <x:c r="N63" s="68" t="str">
        <x:v>同时独立检查未戌破及丑未戌刑组的局部刑关系。</x:v>
      </x:c>
      <x:c r="O63" s="68" t="str">
        <x:v>四柱地支已按年、月、日、时标准化并保留柱位。</x:v>
      </x:c>
      <x:c r="P63" s="68" t="str">
        <x:v>四柱地支中同时出现未与戌。</x:v>
      </x:c>
      <x:c r="Q63" s="68" t="str">
        <x:v>两支相邻或岁运再引动时，只增强后续破效应候选。</x:v>
      </x:c>
      <x:c r="R63" s="68" t="str">
        <x:v>两支隔位或其中一支参与其他强关系时，实际作用更不确定。</x:v>
      </x:c>
      <x:c r="S63" s="90" t="str">
        <x:v>缺少未或戌。</x:v>
      </x:c>
      <x:c r="T63" s="68" t="str">
        <x:v>六破的作用权重和具体解释存在流派差异；本表只保存固定配对。</x:v>
      </x:c>
      <x:c r="U63" s="68" t="str">
        <x:v>原局存在未戌六破关系。</x:v>
      </x:c>
      <x:c r="V63" s="68" t="str">
        <x:v>不得直接推出未或戌根气被破坏、必然减力、关系破裂或具体事件。</x:v>
      </x:c>
      <x:c r="W63" s="82" t="str">
        <x:v>P2_中</x:v>
      </x:c>
      <x:c r="X63" s="82" t="str">
        <x:v>辅助证据</x:v>
      </x:c>
      <x:c r="Y63" s="84" t="str">
        <x:v>未戌破</x:v>
      </x:c>
      <x:c r="Z63" s="84" t="str">
        <x:v>地支见未、戌，识别为未戌破；实际效应及权重转M06、M21判断。</x:v>
      </x:c>
      <x:c r="AA63" s="82" t="str">
        <x:v>中等</x:v>
      </x:c>
      <x:c r="AB63" s="82" t="str">
        <x:v>现代综合</x:v>
      </x:c>
      <x:c r="AC63" s="68" t="str">
        <x:v>六破配对在现代命理关系表中较常用，但具体效应权重存在较大流派差异。</x:v>
      </x:c>
      <x:c r="AD63" s="68" t="str">
        <x:v>年支未、时支戌，登记未戌破。</x:v>
      </x:c>
      <x:c r="AE63" s="90" t="str">
        <x:v>只见未而不见戌，不能登记未戌破。</x:v>
      </x:c>
      <x:c r="AF63" s="68" t="str">
        <x:v>内部结构化规则：识别层与效应层分离；https://zh.wikisource.org/wiki/淵海子平；https://zh.wikisource.org/zh-hans/三命通會_(四庫全書本)</x:v>
      </x:c>
      <x:c r="AG63" s="82" t="str">
        <x:v>待验证</x:v>
      </x:c>
      <x:c r="AH63" s="82" t="str">
        <x:v>初审</x:v>
      </x:c>
      <x:c r="AI63" s="87" t="n">
        <x:v>46255</x:v>
      </x:c>
    </x:row>
    <x:row r="64">
      <x:c r="A64" s="72" t="str">
        <x:f>IF(OR(C64="",D64=""),"",B64&amp;"-"&amp;UPPER(C64)&amp;"-"&amp;TEXT(D64,"0000")&amp;"-"&amp;E64)</x:f>
        <x:v>M05-POS-0058-V1.0</x:v>
      </x:c>
      <x:c r="B64" s="74" t="str">
        <x:v>M05</x:v>
      </x:c>
      <x:c r="C64" s="74" t="str">
        <x:v>POS</x:v>
      </x:c>
      <x:c r="D64" s="79" t="n">
        <x:v>58</x:v>
      </x:c>
      <x:c r="E64" s="74" t="str">
        <x:v>V1.0</x:v>
      </x:c>
      <x:c r="F64" s="68" t="str">
        <x:v>年月地支关系位置标记</x:v>
      </x:c>
      <x:c r="G64" s="82" t="str">
        <x:v>识别层</x:v>
      </x:c>
      <x:c r="H64" s="82" t="str">
        <x:v>其他</x:v>
      </x:c>
      <x:c r="I64" s="68" t="str">
        <x:v>年支、月支</x:v>
      </x:c>
      <x:c r="J64" s="82" t="str">
        <x:v>年月</x:v>
      </x:c>
      <x:c r="K64" s="82" t="str">
        <x:v>完整</x:v>
      </x:c>
      <x:c r="L64" s="68" t="str">
        <x:v>本条只标记柱位；若月支参与，另在“月令归属”记录。</x:v>
      </x:c>
      <x:c r="M64" s="68" t="str">
        <x:v>本条不以藏干透出为条件。</x:v>
      </x:c>
      <x:c r="N64" s="68" t="str">
        <x:v>同一对地支若满足具体六合、冲、刑、害、破等关系，须另引用相应规则。</x:v>
      </x:c>
      <x:c r="O64" s="68" t="str">
        <x:v>四柱地支已按年、月、日、时标准化并保留柱位。</x:v>
      </x:c>
      <x:c r="P64" s="68" t="str">
        <x:v>已识别的两个参与地支分别位于年月两柱。</x:v>
      </x:c>
      <x:c r="Q64" s="68" t="str">
        <x:v>年月属于相邻位置；该信息供M06评估接触路径，不在本条换算强弱。</x:v>
      </x:c>
      <x:c r="R64" s="68" t="str">
        <x:v>同一地支重复时，必须用柱位区分不同关系实例。</x:v>
      </x:c>
      <x:c r="S64" s="90" t="str">
        <x:v>参与支不位于年月两柱。</x:v>
      </x:c>
      <x:c r="T64" s="68" t="str">
        <x:v>位置只描述四柱顺序，不决定关系是否成局、谁强谁弱。</x:v>
      </x:c>
      <x:c r="U64" s="68" t="str">
        <x:v>该地支关系实例的位置标记为年月，位置类别为相邻。</x:v>
      </x:c>
      <x:c r="V64" s="68" t="str">
        <x:v>不得仅凭相邻、隔位或遥隔直接判关系有效、无效、增强或减弱。</x:v>
      </x:c>
      <x:c r="W64" s="82" t="str">
        <x:v>P1_高</x:v>
      </x:c>
      <x:c r="X64" s="82" t="str">
        <x:v>辅助证据</x:v>
      </x:c>
      <x:c r="Y64" s="84" t="str">
        <x:v>年月位置</x:v>
      </x:c>
      <x:c r="Z64" s="84" t="str">
        <x:v>该地支关系发生于年月，归入相邻位置；基础关系与实际效应分别记录。</x:v>
      </x:c>
      <x:c r="AA64" s="82" t="str">
        <x:v>确定</x:v>
      </x:c>
      <x:c r="AB64" s="82" t="str">
        <x:v>现代综合</x:v>
      </x:c>
      <x:c r="AC64" s="68" t="str">
        <x:v>四柱地支共有年月、月日、日时三个相邻组合，年日与月时为隔位，年时为遥隔。</x:v>
      </x:c>
      <x:c r="AD64" s="68" t="str">
        <x:v>关系两端分别位于年月，按本条记录。</x:v>
      </x:c>
      <x:c r="AE64" s="90" t="str">
        <x:v>关系两端实际位于其他柱位，不能标记为年月。</x:v>
      </x:c>
      <x:c r="AF64" s="68" t="str">
        <x:v>内部结构化规则：识别层与效应层分离；https://zh.wikisource.org/wiki/淵海子平；https://zh.wikisource.org/zh-hans/三命通會_(四庫全書本)</x:v>
      </x:c>
      <x:c r="AG64" s="82" t="str">
        <x:v>采用</x:v>
      </x:c>
      <x:c r="AH64" s="82" t="str">
        <x:v>初审</x:v>
      </x:c>
      <x:c r="AI64" s="87" t="n">
        <x:v>46255</x:v>
      </x:c>
    </x:row>
    <x:row r="65">
      <x:c r="A65" s="72" t="str">
        <x:f>IF(OR(C65="",D65=""),"",B65&amp;"-"&amp;UPPER(C65)&amp;"-"&amp;TEXT(D65,"0000")&amp;"-"&amp;E65)</x:f>
        <x:v>M05-POS-0059-V1.0</x:v>
      </x:c>
      <x:c r="B65" s="74" t="str">
        <x:v>M05</x:v>
      </x:c>
      <x:c r="C65" s="74" t="str">
        <x:v>POS</x:v>
      </x:c>
      <x:c r="D65" s="79" t="n">
        <x:v>59</x:v>
      </x:c>
      <x:c r="E65" s="74" t="str">
        <x:v>V1.0</x:v>
      </x:c>
      <x:c r="F65" s="68" t="str">
        <x:v>月日地支关系位置标记</x:v>
      </x:c>
      <x:c r="G65" s="82" t="str">
        <x:v>识别层</x:v>
      </x:c>
      <x:c r="H65" s="82" t="str">
        <x:v>其他</x:v>
      </x:c>
      <x:c r="I65" s="68" t="str">
        <x:v>月支、日支</x:v>
      </x:c>
      <x:c r="J65" s="82" t="str">
        <x:v>月日</x:v>
      </x:c>
      <x:c r="K65" s="82" t="str">
        <x:v>完整</x:v>
      </x:c>
      <x:c r="L65" s="68" t="str">
        <x:v>本条只标记柱位；若月支参与，另在“月令归属”记录。</x:v>
      </x:c>
      <x:c r="M65" s="68" t="str">
        <x:v>本条不以藏干透出为条件。</x:v>
      </x:c>
      <x:c r="N65" s="68" t="str">
        <x:v>同一对地支若满足具体六合、冲、刑、害、破等关系，须另引用相应规则。</x:v>
      </x:c>
      <x:c r="O65" s="68" t="str">
        <x:v>四柱地支已按年、月、日、时标准化并保留柱位。</x:v>
      </x:c>
      <x:c r="P65" s="68" t="str">
        <x:v>已识别的两个参与地支分别位于月日两柱。</x:v>
      </x:c>
      <x:c r="Q65" s="68" t="str">
        <x:v>月日属于相邻位置；该信息供M06评估接触路径，不在本条换算强弱。</x:v>
      </x:c>
      <x:c r="R65" s="68" t="str">
        <x:v>同一地支重复时，必须用柱位区分不同关系实例。</x:v>
      </x:c>
      <x:c r="S65" s="90" t="str">
        <x:v>参与支不位于月日两柱。</x:v>
      </x:c>
      <x:c r="T65" s="68" t="str">
        <x:v>位置只描述四柱顺序，不决定关系是否成局、谁强谁弱。</x:v>
      </x:c>
      <x:c r="U65" s="68" t="str">
        <x:v>该地支关系实例的位置标记为月日，位置类别为相邻。</x:v>
      </x:c>
      <x:c r="V65" s="68" t="str">
        <x:v>不得仅凭相邻、隔位或遥隔直接判关系有效、无效、增强或减弱。</x:v>
      </x:c>
      <x:c r="W65" s="82" t="str">
        <x:v>P1_高</x:v>
      </x:c>
      <x:c r="X65" s="82" t="str">
        <x:v>辅助证据</x:v>
      </x:c>
      <x:c r="Y65" s="84" t="str">
        <x:v>月日位置</x:v>
      </x:c>
      <x:c r="Z65" s="84" t="str">
        <x:v>该地支关系发生于月日，归入相邻位置；基础关系与实际效应分别记录。</x:v>
      </x:c>
      <x:c r="AA65" s="82" t="str">
        <x:v>确定</x:v>
      </x:c>
      <x:c r="AB65" s="82" t="str">
        <x:v>现代综合</x:v>
      </x:c>
      <x:c r="AC65" s="68" t="str">
        <x:v>四柱地支共有年月、月日、日时三个相邻组合，年日与月时为隔位，年时为遥隔。</x:v>
      </x:c>
      <x:c r="AD65" s="68" t="str">
        <x:v>关系两端分别位于月日，按本条记录。</x:v>
      </x:c>
      <x:c r="AE65" s="90" t="str">
        <x:v>关系两端实际位于其他柱位，不能标记为月日。</x:v>
      </x:c>
      <x:c r="AF65" s="68" t="str">
        <x:v>内部结构化规则：识别层与效应层分离；https://zh.wikisource.org/wiki/淵海子平；https://zh.wikisource.org/zh-hans/三命通會_(四庫全書本)</x:v>
      </x:c>
      <x:c r="AG65" s="82" t="str">
        <x:v>采用</x:v>
      </x:c>
      <x:c r="AH65" s="82" t="str">
        <x:v>初审</x:v>
      </x:c>
      <x:c r="AI65" s="87" t="n">
        <x:v>46255</x:v>
      </x:c>
    </x:row>
    <x:row r="66">
      <x:c r="A66" s="72" t="str">
        <x:f>IF(OR(C66="",D66=""),"",B66&amp;"-"&amp;UPPER(C66)&amp;"-"&amp;TEXT(D66,"0000")&amp;"-"&amp;E66)</x:f>
        <x:v>M05-POS-0060-V1.0</x:v>
      </x:c>
      <x:c r="B66" s="74" t="str">
        <x:v>M05</x:v>
      </x:c>
      <x:c r="C66" s="74" t="str">
        <x:v>POS</x:v>
      </x:c>
      <x:c r="D66" s="79" t="n">
        <x:v>60</x:v>
      </x:c>
      <x:c r="E66" s="74" t="str">
        <x:v>V1.0</x:v>
      </x:c>
      <x:c r="F66" s="68" t="str">
        <x:v>日时地支关系位置标记</x:v>
      </x:c>
      <x:c r="G66" s="82" t="str">
        <x:v>识别层</x:v>
      </x:c>
      <x:c r="H66" s="82" t="str">
        <x:v>其他</x:v>
      </x:c>
      <x:c r="I66" s="68" t="str">
        <x:v>日支、时支</x:v>
      </x:c>
      <x:c r="J66" s="82" t="str">
        <x:v>日时</x:v>
      </x:c>
      <x:c r="K66" s="82" t="str">
        <x:v>完整</x:v>
      </x:c>
      <x:c r="L66" s="68" t="str">
        <x:v>本条只标记柱位；若月支参与，另在“月令归属”记录。</x:v>
      </x:c>
      <x:c r="M66" s="68" t="str">
        <x:v>本条不以藏干透出为条件。</x:v>
      </x:c>
      <x:c r="N66" s="68" t="str">
        <x:v>同一对地支若满足具体六合、冲、刑、害、破等关系，须另引用相应规则。</x:v>
      </x:c>
      <x:c r="O66" s="68" t="str">
        <x:v>四柱地支已按年、月、日、时标准化并保留柱位。</x:v>
      </x:c>
      <x:c r="P66" s="68" t="str">
        <x:v>已识别的两个参与地支分别位于日时两柱。</x:v>
      </x:c>
      <x:c r="Q66" s="68" t="str">
        <x:v>日时属于相邻位置；该信息供M06评估接触路径，不在本条换算强弱。</x:v>
      </x:c>
      <x:c r="R66" s="68" t="str">
        <x:v>同一地支重复时，必须用柱位区分不同关系实例。</x:v>
      </x:c>
      <x:c r="S66" s="90" t="str">
        <x:v>参与支不位于日时两柱。</x:v>
      </x:c>
      <x:c r="T66" s="68" t="str">
        <x:v>位置只描述四柱顺序，不决定关系是否成局、谁强谁弱。</x:v>
      </x:c>
      <x:c r="U66" s="68" t="str">
        <x:v>该地支关系实例的位置标记为日时，位置类别为相邻。</x:v>
      </x:c>
      <x:c r="V66" s="68" t="str">
        <x:v>不得仅凭相邻、隔位或遥隔直接判关系有效、无效、增强或减弱。</x:v>
      </x:c>
      <x:c r="W66" s="82" t="str">
        <x:v>P1_高</x:v>
      </x:c>
      <x:c r="X66" s="82" t="str">
        <x:v>辅助证据</x:v>
      </x:c>
      <x:c r="Y66" s="84" t="str">
        <x:v>日时位置</x:v>
      </x:c>
      <x:c r="Z66" s="84" t="str">
        <x:v>该地支关系发生于日时，归入相邻位置；基础关系与实际效应分别记录。</x:v>
      </x:c>
      <x:c r="AA66" s="82" t="str">
        <x:v>确定</x:v>
      </x:c>
      <x:c r="AB66" s="82" t="str">
        <x:v>现代综合</x:v>
      </x:c>
      <x:c r="AC66" s="68" t="str">
        <x:v>四柱地支共有年月、月日、日时三个相邻组合，年日与月时为隔位，年时为遥隔。</x:v>
      </x:c>
      <x:c r="AD66" s="68" t="str">
        <x:v>关系两端分别位于日时，按本条记录。</x:v>
      </x:c>
      <x:c r="AE66" s="90" t="str">
        <x:v>关系两端实际位于其他柱位，不能标记为日时。</x:v>
      </x:c>
      <x:c r="AF66" s="68" t="str">
        <x:v>内部结构化规则：识别层与效应层分离；https://zh.wikisource.org/wiki/淵海子平；https://zh.wikisource.org/zh-hans/三命通會_(四庫全書本)</x:v>
      </x:c>
      <x:c r="AG66" s="82" t="str">
        <x:v>采用</x:v>
      </x:c>
      <x:c r="AH66" s="82" t="str">
        <x:v>初审</x:v>
      </x:c>
      <x:c r="AI66" s="87" t="n">
        <x:v>46255</x:v>
      </x:c>
    </x:row>
    <x:row r="67">
      <x:c r="A67" s="72" t="str">
        <x:f>IF(OR(C67="",D67=""),"",B67&amp;"-"&amp;UPPER(C67)&amp;"-"&amp;TEXT(D67,"0000")&amp;"-"&amp;E67)</x:f>
        <x:v>M05-POS-0061-V1.0</x:v>
      </x:c>
      <x:c r="B67" s="74" t="str">
        <x:v>M05</x:v>
      </x:c>
      <x:c r="C67" s="74" t="str">
        <x:v>POS</x:v>
      </x:c>
      <x:c r="D67" s="79" t="n">
        <x:v>61</x:v>
      </x:c>
      <x:c r="E67" s="74" t="str">
        <x:v>V1.0</x:v>
      </x:c>
      <x:c r="F67" s="68" t="str">
        <x:v>年日地支关系位置标记</x:v>
      </x:c>
      <x:c r="G67" s="82" t="str">
        <x:v>识别层</x:v>
      </x:c>
      <x:c r="H67" s="82" t="str">
        <x:v>其他</x:v>
      </x:c>
      <x:c r="I67" s="68" t="str">
        <x:v>年支、日支</x:v>
      </x:c>
      <x:c r="J67" s="82" t="str">
        <x:v>年日</x:v>
      </x:c>
      <x:c r="K67" s="82" t="str">
        <x:v>完整</x:v>
      </x:c>
      <x:c r="L67" s="68" t="str">
        <x:v>本条只标记柱位；若月支参与，另在“月令归属”记录。</x:v>
      </x:c>
      <x:c r="M67" s="68" t="str">
        <x:v>本条不以藏干透出为条件。</x:v>
      </x:c>
      <x:c r="N67" s="68" t="str">
        <x:v>同一对地支若满足具体六合、冲、刑、害、破等关系，须另引用相应规则。</x:v>
      </x:c>
      <x:c r="O67" s="68" t="str">
        <x:v>四柱地支已按年、月、日、时标准化并保留柱位。</x:v>
      </x:c>
      <x:c r="P67" s="68" t="str">
        <x:v>已识别的两个参与地支分别位于年日两柱。</x:v>
      </x:c>
      <x:c r="Q67" s="68" t="str">
        <x:v>年日属于隔位位置；该信息供M06评估接触路径，不在本条换算强弱。</x:v>
      </x:c>
      <x:c r="R67" s="68" t="str">
        <x:v>同一地支重复时，必须用柱位区分不同关系实例。</x:v>
      </x:c>
      <x:c r="S67" s="90" t="str">
        <x:v>参与支不位于年日两柱。</x:v>
      </x:c>
      <x:c r="T67" s="68" t="str">
        <x:v>位置只描述四柱顺序，不决定关系是否成局、谁强谁弱。</x:v>
      </x:c>
      <x:c r="U67" s="68" t="str">
        <x:v>该地支关系实例的位置标记为年日，位置类别为隔位。</x:v>
      </x:c>
      <x:c r="V67" s="68" t="str">
        <x:v>不得仅凭相邻、隔位或遥隔直接判关系有效、无效、增强或减弱。</x:v>
      </x:c>
      <x:c r="W67" s="82" t="str">
        <x:v>P1_高</x:v>
      </x:c>
      <x:c r="X67" s="82" t="str">
        <x:v>辅助证据</x:v>
      </x:c>
      <x:c r="Y67" s="84" t="str">
        <x:v>年日位置</x:v>
      </x:c>
      <x:c r="Z67" s="84" t="str">
        <x:v>该地支关系发生于年日，归入隔位位置；基础关系与实际效应分别记录。</x:v>
      </x:c>
      <x:c r="AA67" s="82" t="str">
        <x:v>确定</x:v>
      </x:c>
      <x:c r="AB67" s="82" t="str">
        <x:v>现代综合</x:v>
      </x:c>
      <x:c r="AC67" s="68" t="str">
        <x:v>四柱地支共有年月、月日、日时三个相邻组合，年日与月时为隔位，年时为遥隔。</x:v>
      </x:c>
      <x:c r="AD67" s="68" t="str">
        <x:v>关系两端分别位于年日，按本条记录。</x:v>
      </x:c>
      <x:c r="AE67" s="90" t="str">
        <x:v>关系两端实际位于其他柱位，不能标记为年日。</x:v>
      </x:c>
      <x:c r="AF67" s="68" t="str">
        <x:v>内部结构化规则：识别层与效应层分离；https://zh.wikisource.org/wiki/淵海子平；https://zh.wikisource.org/zh-hans/三命通會_(四庫全書本)</x:v>
      </x:c>
      <x:c r="AG67" s="82" t="str">
        <x:v>采用</x:v>
      </x:c>
      <x:c r="AH67" s="82" t="str">
        <x:v>初审</x:v>
      </x:c>
      <x:c r="AI67" s="87" t="n">
        <x:v>46255</x:v>
      </x:c>
    </x:row>
    <x:row r="68">
      <x:c r="A68" s="72" t="str">
        <x:f>IF(OR(C68="",D68=""),"",B68&amp;"-"&amp;UPPER(C68)&amp;"-"&amp;TEXT(D68,"0000")&amp;"-"&amp;E68)</x:f>
        <x:v>M05-POS-0062-V1.0</x:v>
      </x:c>
      <x:c r="B68" s="74" t="str">
        <x:v>M05</x:v>
      </x:c>
      <x:c r="C68" s="74" t="str">
        <x:v>POS</x:v>
      </x:c>
      <x:c r="D68" s="79" t="n">
        <x:v>62</x:v>
      </x:c>
      <x:c r="E68" s="74" t="str">
        <x:v>V1.0</x:v>
      </x:c>
      <x:c r="F68" s="68" t="str">
        <x:v>月时地支关系位置标记</x:v>
      </x:c>
      <x:c r="G68" s="82" t="str">
        <x:v>识别层</x:v>
      </x:c>
      <x:c r="H68" s="82" t="str">
        <x:v>其他</x:v>
      </x:c>
      <x:c r="I68" s="68" t="str">
        <x:v>月支、时支</x:v>
      </x:c>
      <x:c r="J68" s="82" t="str">
        <x:v>月时</x:v>
      </x:c>
      <x:c r="K68" s="82" t="str">
        <x:v>完整</x:v>
      </x:c>
      <x:c r="L68" s="68" t="str">
        <x:v>本条只标记柱位；若月支参与，另在“月令归属”记录。</x:v>
      </x:c>
      <x:c r="M68" s="68" t="str">
        <x:v>本条不以藏干透出为条件。</x:v>
      </x:c>
      <x:c r="N68" s="68" t="str">
        <x:v>同一对地支若满足具体六合、冲、刑、害、破等关系，须另引用相应规则。</x:v>
      </x:c>
      <x:c r="O68" s="68" t="str">
        <x:v>四柱地支已按年、月、日、时标准化并保留柱位。</x:v>
      </x:c>
      <x:c r="P68" s="68" t="str">
        <x:v>已识别的两个参与地支分别位于月时两柱。</x:v>
      </x:c>
      <x:c r="Q68" s="68" t="str">
        <x:v>月时属于隔位位置；该信息供M06评估接触路径，不在本条换算强弱。</x:v>
      </x:c>
      <x:c r="R68" s="68" t="str">
        <x:v>同一地支重复时，必须用柱位区分不同关系实例。</x:v>
      </x:c>
      <x:c r="S68" s="90" t="str">
        <x:v>参与支不位于月时两柱。</x:v>
      </x:c>
      <x:c r="T68" s="68" t="str">
        <x:v>位置只描述四柱顺序，不决定关系是否成局、谁强谁弱。</x:v>
      </x:c>
      <x:c r="U68" s="68" t="str">
        <x:v>该地支关系实例的位置标记为月时，位置类别为隔位。</x:v>
      </x:c>
      <x:c r="V68" s="68" t="str">
        <x:v>不得仅凭相邻、隔位或遥隔直接判关系有效、无效、增强或减弱。</x:v>
      </x:c>
      <x:c r="W68" s="82" t="str">
        <x:v>P1_高</x:v>
      </x:c>
      <x:c r="X68" s="82" t="str">
        <x:v>辅助证据</x:v>
      </x:c>
      <x:c r="Y68" s="84" t="str">
        <x:v>月时位置</x:v>
      </x:c>
      <x:c r="Z68" s="84" t="str">
        <x:v>该地支关系发生于月时，归入隔位位置；基础关系与实际效应分别记录。</x:v>
      </x:c>
      <x:c r="AA68" s="82" t="str">
        <x:v>确定</x:v>
      </x:c>
      <x:c r="AB68" s="82" t="str">
        <x:v>现代综合</x:v>
      </x:c>
      <x:c r="AC68" s="68" t="str">
        <x:v>四柱地支共有年月、月日、日时三个相邻组合，年日与月时为隔位，年时为遥隔。</x:v>
      </x:c>
      <x:c r="AD68" s="68" t="str">
        <x:v>关系两端分别位于月时，按本条记录。</x:v>
      </x:c>
      <x:c r="AE68" s="90" t="str">
        <x:v>关系两端实际位于其他柱位，不能标记为月时。</x:v>
      </x:c>
      <x:c r="AF68" s="68" t="str">
        <x:v>内部结构化规则：识别层与效应层分离；https://zh.wikisource.org/wiki/淵海子平；https://zh.wikisource.org/zh-hans/三命通會_(四庫全書本)</x:v>
      </x:c>
      <x:c r="AG68" s="82" t="str">
        <x:v>采用</x:v>
      </x:c>
      <x:c r="AH68" s="82" t="str">
        <x:v>初审</x:v>
      </x:c>
      <x:c r="AI68" s="87" t="n">
        <x:v>46255</x:v>
      </x:c>
    </x:row>
    <x:row r="69">
      <x:c r="A69" s="72" t="str">
        <x:f>IF(OR(C69="",D69=""),"",B69&amp;"-"&amp;UPPER(C69)&amp;"-"&amp;TEXT(D69,"0000")&amp;"-"&amp;E69)</x:f>
        <x:v>M05-POS-0063-V1.0</x:v>
      </x:c>
      <x:c r="B69" s="74" t="str">
        <x:v>M05</x:v>
      </x:c>
      <x:c r="C69" s="74" t="str">
        <x:v>POS</x:v>
      </x:c>
      <x:c r="D69" s="79" t="n">
        <x:v>63</x:v>
      </x:c>
      <x:c r="E69" s="74" t="str">
        <x:v>V1.0</x:v>
      </x:c>
      <x:c r="F69" s="68" t="str">
        <x:v>年时地支关系位置标记</x:v>
      </x:c>
      <x:c r="G69" s="82" t="str">
        <x:v>识别层</x:v>
      </x:c>
      <x:c r="H69" s="82" t="str">
        <x:v>其他</x:v>
      </x:c>
      <x:c r="I69" s="68" t="str">
        <x:v>年支、时支</x:v>
      </x:c>
      <x:c r="J69" s="82" t="str">
        <x:v>年时</x:v>
      </x:c>
      <x:c r="K69" s="82" t="str">
        <x:v>完整</x:v>
      </x:c>
      <x:c r="L69" s="68" t="str">
        <x:v>本条只标记柱位；若月支参与，另在“月令归属”记录。</x:v>
      </x:c>
      <x:c r="M69" s="68" t="str">
        <x:v>本条不以藏干透出为条件。</x:v>
      </x:c>
      <x:c r="N69" s="68" t="str">
        <x:v>同一对地支若满足具体六合、冲、刑、害、破等关系，须另引用相应规则。</x:v>
      </x:c>
      <x:c r="O69" s="68" t="str">
        <x:v>四柱地支已按年、月、日、时标准化并保留柱位。</x:v>
      </x:c>
      <x:c r="P69" s="68" t="str">
        <x:v>已识别的两个参与地支分别位于年时两柱。</x:v>
      </x:c>
      <x:c r="Q69" s="68" t="str">
        <x:v>年时属于遥隔位置；该信息供M06评估接触路径，不在本条换算强弱。</x:v>
      </x:c>
      <x:c r="R69" s="68" t="str">
        <x:v>同一地支重复时，必须用柱位区分不同关系实例。</x:v>
      </x:c>
      <x:c r="S69" s="90" t="str">
        <x:v>参与支不位于年时两柱。</x:v>
      </x:c>
      <x:c r="T69" s="68" t="str">
        <x:v>位置只描述四柱顺序，不决定关系是否成局、谁强谁弱。</x:v>
      </x:c>
      <x:c r="U69" s="68" t="str">
        <x:v>该地支关系实例的位置标记为年时，位置类别为遥隔。</x:v>
      </x:c>
      <x:c r="V69" s="68" t="str">
        <x:v>不得仅凭相邻、隔位或遥隔直接判关系有效、无效、增强或减弱。</x:v>
      </x:c>
      <x:c r="W69" s="82" t="str">
        <x:v>P1_高</x:v>
      </x:c>
      <x:c r="X69" s="82" t="str">
        <x:v>辅助证据</x:v>
      </x:c>
      <x:c r="Y69" s="84" t="str">
        <x:v>年时位置</x:v>
      </x:c>
      <x:c r="Z69" s="84" t="str">
        <x:v>该地支关系发生于年时，归入遥隔位置；基础关系与实际效应分别记录。</x:v>
      </x:c>
      <x:c r="AA69" s="82" t="str">
        <x:v>确定</x:v>
      </x:c>
      <x:c r="AB69" s="82" t="str">
        <x:v>现代综合</x:v>
      </x:c>
      <x:c r="AC69" s="68" t="str">
        <x:v>四柱地支共有年月、月日、日时三个相邻组合，年日与月时为隔位，年时为遥隔。</x:v>
      </x:c>
      <x:c r="AD69" s="68" t="str">
        <x:v>关系两端分别位于年时，按本条记录。</x:v>
      </x:c>
      <x:c r="AE69" s="90" t="str">
        <x:v>关系两端实际位于其他柱位，不能标记为年时。</x:v>
      </x:c>
      <x:c r="AF69" s="68" t="str">
        <x:v>内部结构化规则：识别层与效应层分离；https://zh.wikisource.org/wiki/淵海子平；https://zh.wikisource.org/zh-hans/三命通會_(四庫全書本)</x:v>
      </x:c>
      <x:c r="AG69" s="82" t="str">
        <x:v>采用</x:v>
      </x:c>
      <x:c r="AH69" s="82" t="str">
        <x:v>初审</x:v>
      </x:c>
      <x:c r="AI69" s="87" t="n">
        <x:v>46255</x:v>
      </x:c>
    </x:row>
    <x:row r="70">
      <x:c r="A70" s="72" t="str">
        <x:f>IF(OR(C70="",D70=""),"",B70&amp;"-"&amp;UPPER(C70)&amp;"-"&amp;TEXT(D70,"0000")&amp;"-"&amp;E70)</x:f>
        <x:v>M05-BOUND-0064-V1.0</x:v>
      </x:c>
      <x:c r="B70" s="74" t="str">
        <x:v>M05</x:v>
      </x:c>
      <x:c r="C70" s="74" t="str">
        <x:v>BOUND</x:v>
      </x:c>
      <x:c r="D70" s="79" t="n">
        <x:v>64</x:v>
      </x:c>
      <x:c r="E70" s="74" t="str">
        <x:v>V1.0</x:v>
      </x:c>
      <x:c r="F70" s="68" t="str">
        <x:v>月令归属只作关系元数据</x:v>
      </x:c>
      <x:c r="G70" s="82" t="str">
        <x:v>识别层</x:v>
      </x:c>
      <x:c r="H70" s="82" t="str">
        <x:v>其他</x:v>
      </x:c>
      <x:c r="I70" s="68" t="str">
        <x:v>任一已识别地支关系</x:v>
      </x:c>
      <x:c r="J70" s="82" t="str">
        <x:v>其他</x:v>
      </x:c>
      <x:c r="K70" s="82" t="str">
        <x:v>待定</x:v>
      </x:c>
      <x:c r="L70" s="68" t="str">
        <x:v>必须标记参与支中哪一支为月支；没有参与支临月令时也应明确记录。</x:v>
      </x:c>
      <x:c r="M70" s="68" t="str">
        <x:v>不适用。</x:v>
      </x:c>
      <x:c r="N70" s="68" t="str">
        <x:v>把月令信息传递至M06、M08、M14，不在M05改变关系是否存在。</x:v>
      </x:c>
      <x:c r="O70" s="68" t="str">
        <x:v>四柱地支已按年、月、日、时标准化并保留柱位。</x:v>
      </x:c>
      <x:c r="P70" s="68" t="str">
        <x:v>至少一条地支关系已经识别。</x:v>
      </x:c>
      <x:c r="Q70" s="68"/>
      <x:c r="R70" s="68"/>
      <x:c r="S70" s="90" t="str">
        <x:v>不得因关系双方均不得令就删除基础关系。</x:v>
      </x:c>
      <x:c r="T70" s="68" t="str">
        <x:v>月令可影响成局、冲刑强弱与根气，但属于后续效应。</x:v>
      </x:c>
      <x:c r="U70" s="68" t="str">
        <x:v>关系存在性与月令归属分栏记录。</x:v>
      </x:c>
      <x:c r="V70" s="68" t="str">
        <x:v>不得把“得令”写成六合、冲、刑、害、破存在的必要条件。</x:v>
      </x:c>
      <x:c r="W70" s="82" t="str">
        <x:v>P0_硬约束</x:v>
      </x:c>
      <x:c r="X70" s="82" t="str">
        <x:v>硬约束</x:v>
      </x:c>
      <x:c r="Y70" s="84" t="str">
        <x:v>月令元数据</x:v>
      </x:c>
      <x:c r="Z70" s="84" t="str">
        <x:v>该关系已识别；参与支的月令归属另行标注，仅供后续效应判断。</x:v>
      </x:c>
      <x:c r="AA70" s="82" t="str">
        <x:v>确定</x:v>
      </x:c>
      <x:c r="AB70" s="82" t="str">
        <x:v>现代综合</x:v>
      </x:c>
      <x:c r="AC70" s="68" t="str">
        <x:v>关系配对由地支组合决定，月令决定力量背景，两者不可混为一层。</x:v>
      </x:c>
      <x:c r="AD70" s="68" t="str">
        <x:v>子午同时出现即登记冲，再注明子或午是否为月支。</x:v>
      </x:c>
      <x:c r="AE70" s="90" t="str">
        <x:v>因子午均不得令而否定子午冲，属于把效应条件错当存在条件。</x:v>
      </x:c>
      <x:c r="AF70" s="68" t="str">
        <x:v>内部结构化规则：识别层与效应层分离；https://zh.wikisource.org/wiki/淵海子平；https://zh.wikisource.org/zh-hans/三命通會_(四庫全書本)</x:v>
      </x:c>
      <x:c r="AG70" s="82" t="str">
        <x:v>采用</x:v>
      </x:c>
      <x:c r="AH70" s="82" t="str">
        <x:v>初审</x:v>
      </x:c>
      <x:c r="AI70" s="87" t="n">
        <x:v>46255</x:v>
      </x:c>
    </x:row>
    <x:row r="71">
      <x:c r="A71" s="72" t="str">
        <x:f>IF(OR(C71="",D71=""),"",B71&amp;"-"&amp;UPPER(C71)&amp;"-"&amp;TEXT(D71,"0000")&amp;"-"&amp;E71)</x:f>
        <x:v>M05-BOUND-0065-V1.0</x:v>
      </x:c>
      <x:c r="B71" s="74" t="str">
        <x:v>M05</x:v>
      </x:c>
      <x:c r="C71" s="74" t="str">
        <x:v>BOUND</x:v>
      </x:c>
      <x:c r="D71" s="79" t="n">
        <x:v>65</x:v>
      </x:c>
      <x:c r="E71" s="74" t="str">
        <x:v>V1.0</x:v>
      </x:c>
      <x:c r="F71" s="68" t="str">
        <x:v>藏干透出不决定地支关系存在</x:v>
      </x:c>
      <x:c r="G71" s="82" t="str">
        <x:v>识别层</x:v>
      </x:c>
      <x:c r="H71" s="82" t="str">
        <x:v>其他</x:v>
      </x:c>
      <x:c r="I71" s="68" t="str">
        <x:v>任一已识别地支关系</x:v>
      </x:c>
      <x:c r="J71" s="82" t="str">
        <x:v>其他</x:v>
      </x:c>
      <x:c r="K71" s="82" t="str">
        <x:v>待定</x:v>
      </x:c>
      <x:c r="L71" s="68" t="str">
        <x:v>不适用。</x:v>
      </x:c>
      <x:c r="M71" s="68" t="str">
        <x:v>必须记录相关藏干是否透出，但透出与否不改变地支配对事实。</x:v>
      </x:c>
      <x:c r="N71" s="68" t="str">
        <x:v>透干信息传递至M06、M08、M10。</x:v>
      </x:c>
      <x:c r="O71" s="68" t="str">
        <x:v>四柱地支已按年、月、日、时标准化并保留柱位。</x:v>
      </x:c>
      <x:c r="P71" s="68" t="str">
        <x:v>地支配对或完整结构已经满足。</x:v>
      </x:c>
      <x:c r="Q71" s="68"/>
      <x:c r="R71" s="68"/>
      <x:c r="S71" s="90" t="str">
        <x:v>不得因藏干未透就删除六合、冲刑害破等关系。</x:v>
      </x:c>
      <x:c r="T71" s="68" t="str">
        <x:v>透干可使某一藏干作用更显，但属于效应层。</x:v>
      </x:c>
      <x:c r="U71" s="68" t="str">
        <x:v>关系保留，透干状态作为独立元数据。</x:v>
      </x:c>
      <x:c r="V71" s="68" t="str">
        <x:v>不得把“未透”写成地支关系不存在，也不得把“透出”写成关系必强。</x:v>
      </x:c>
      <x:c r="W71" s="82" t="str">
        <x:v>P0_硬约束</x:v>
      </x:c>
      <x:c r="X71" s="82" t="str">
        <x:v>硬约束</x:v>
      </x:c>
      <x:c r="Y71" s="84" t="str">
        <x:v>透干元数据</x:v>
      </x:c>
      <x:c r="Z71" s="84" t="str">
        <x:v>地支关系按支位成立；相关藏干透出情况另记，不影响本层识别。</x:v>
      </x:c>
      <x:c r="AA71" s="82" t="str">
        <x:v>确定</x:v>
      </x:c>
      <x:c r="AB71" s="82" t="str">
        <x:v>现代综合</x:v>
      </x:c>
      <x:c r="AC71" s="68" t="str">
        <x:v>地支关系的参与对象是地支，藏干透出是后续作用通道。</x:v>
      </x:c>
      <x:c r="AD71" s="68" t="str">
        <x:v>寅申同见即登记冲，不因甲庚未透而取消。</x:v>
      </x:c>
      <x:c r="AE71" s="90" t="str">
        <x:v>只有甲庚透干而地支无寅申，不能反向登记寅申冲。</x:v>
      </x:c>
      <x:c r="AF71" s="68" t="str">
        <x:v>内部结构化规则：识别层与效应层分离；https://zh.wikisource.org/wiki/淵海子平；https://zh.wikisource.org/zh-hans/三命通會_(四庫全書本)</x:v>
      </x:c>
      <x:c r="AG71" s="82" t="str">
        <x:v>采用</x:v>
      </x:c>
      <x:c r="AH71" s="82" t="str">
        <x:v>初审</x:v>
      </x:c>
      <x:c r="AI71" s="87" t="n">
        <x:v>46255</x:v>
      </x:c>
    </x:row>
    <x:row r="72">
      <x:c r="A72" s="72" t="str">
        <x:f>IF(OR(C72="",D72=""),"",B72&amp;"-"&amp;UPPER(C72)&amp;"-"&amp;TEXT(D72,"0000")&amp;"-"&amp;E72)</x:f>
        <x:v>M05-BOUND-0066-V1.0</x:v>
      </x:c>
      <x:c r="B72" s="74" t="str">
        <x:v>M05</x:v>
      </x:c>
      <x:c r="C72" s="74" t="str">
        <x:v>BOUND</x:v>
      </x:c>
      <x:c r="D72" s="79" t="n">
        <x:v>66</x:v>
      </x:c>
      <x:c r="E72" s="74" t="str">
        <x:v>V1.0</x:v>
      </x:c>
      <x:c r="F72" s="68" t="str">
        <x:v>藏干不得替代缺失地支补齐关系</x:v>
      </x:c>
      <x:c r="G72" s="82" t="str">
        <x:v>识别层</x:v>
      </x:c>
      <x:c r="H72" s="82" t="str">
        <x:v>其他</x:v>
      </x:c>
      <x:c r="I72" s="68" t="str">
        <x:v>地支与藏干</x:v>
      </x:c>
      <x:c r="J72" s="82" t="str">
        <x:v>其他</x:v>
      </x:c>
      <x:c r="K72" s="82" t="str">
        <x:v>缺失</x:v>
      </x:c>
      <x:c r="L72" s="68" t="str">
        <x:v>不适用。</x:v>
      </x:c>
      <x:c r="M72" s="68" t="str">
        <x:v>藏干即使透出，也不能在地支层替代一个实际缺失的地支。</x:v>
      </x:c>
      <x:c r="N72" s="68" t="str">
        <x:v>藏干存在与透出转M02、M03、M10处理。</x:v>
      </x:c>
      <x:c r="O72" s="68" t="str">
        <x:v>四柱地支已按年、月、日、时标准化并保留柱位。</x:v>
      </x:c>
      <x:c r="P72" s="68" t="str">
        <x:v>拟建立的地支关系缺少某一实际地支，仅有该支常藏之天干或同五行出现。</x:v>
      </x:c>
      <x:c r="Q72" s="68"/>
      <x:c r="R72" s="68"/>
      <x:c r="S72" s="90" t="str">
        <x:v>若缺失地支在四柱中真实出现，则按对应规则重新识别。</x:v>
      </x:c>
      <x:c r="T72" s="68" t="str">
        <x:v>岁运出现该地支可在D0标记补齐，但不改写原局。</x:v>
      </x:c>
      <x:c r="U72" s="68" t="str">
        <x:v>该地支关系保持缺失或部分状态。</x:v>
      </x:c>
      <x:c r="V72" s="68" t="str">
        <x:v>不得以藏干、同五行或天干名称替代缺失地支。</x:v>
      </x:c>
      <x:c r="W72" s="82" t="str">
        <x:v>P0_硬约束</x:v>
      </x:c>
      <x:c r="X72" s="82" t="str">
        <x:v>否决规则</x:v>
      </x:c>
      <x:c r="Y72" s="84" t="str">
        <x:v>藏干不补支</x:v>
      </x:c>
      <x:c r="Z72" s="84" t="str">
        <x:v>缺失的是实际地支，藏干或同五行不能替代，因此该关系未在原局补齐。</x:v>
      </x:c>
      <x:c r="AA72" s="82" t="str">
        <x:v>确定</x:v>
      </x:c>
      <x:c r="AB72" s="82" t="str">
        <x:v>跨流派共识</x:v>
      </x:c>
      <x:c r="AC72" s="68" t="str">
        <x:v>关系结构由具体地支节点构成，不由抽象五行或藏干替代。</x:v>
      </x:c>
      <x:c r="AD72" s="68" t="str">
        <x:v>申子辰缺辰，天干见戊不等于辰支出现。</x:v>
      </x:c>
      <x:c r="AE72" s="90" t="str">
        <x:v>原局真实见辰时，应按申子辰三支重新检查完整性。</x:v>
      </x:c>
      <x:c r="AF72" s="68" t="str">
        <x:v>内部结构化规则：识别层与效应层分离；https://zh.wikisource.org/wiki/淵海子平；https://zh.wikisource.org/zh-hans/三命通會_(四庫全書本)</x:v>
      </x:c>
      <x:c r="AG72" s="82" t="str">
        <x:v>采用</x:v>
      </x:c>
      <x:c r="AH72" s="82" t="str">
        <x:v>初审</x:v>
      </x:c>
      <x:c r="AI72" s="87" t="n">
        <x:v>46255</x:v>
      </x:c>
    </x:row>
    <x:row r="73">
      <x:c r="A73" s="72" t="str">
        <x:f>IF(OR(C73="",D73=""),"",B73&amp;"-"&amp;UPPER(C73)&amp;"-"&amp;TEXT(D73,"0000")&amp;"-"&amp;E73)</x:f>
        <x:v>M05-BOUND-0067-V1.0</x:v>
      </x:c>
      <x:c r="B73" s="74" t="str">
        <x:v>M05</x:v>
      </x:c>
      <x:c r="C73" s="74" t="str">
        <x:v>BOUND</x:v>
      </x:c>
      <x:c r="D73" s="79" t="n">
        <x:v>67</x:v>
      </x:c>
      <x:c r="E73" s="74" t="str">
        <x:v>V1.0</x:v>
      </x:c>
      <x:c r="F73" s="68" t="str">
        <x:v>重复地支按柱位保留独立节点</x:v>
      </x:c>
      <x:c r="G73" s="82" t="str">
        <x:v>识别层</x:v>
      </x:c>
      <x:c r="H73" s="82" t="str">
        <x:v>其他</x:v>
      </x:c>
      <x:c r="I73" s="68" t="str">
        <x:v>任一重复地支</x:v>
      </x:c>
      <x:c r="J73" s="82" t="str">
        <x:v>其他</x:v>
      </x:c>
      <x:c r="K73" s="82" t="str">
        <x:v>完整</x:v>
      </x:c>
      <x:c r="L73" s="68" t="str">
        <x:v>若重复支之一为月支，须标明具体柱位。</x:v>
      </x:c>
      <x:c r="M73" s="68" t="str">
        <x:v>重复支可有相同藏干，但仍是不同柱位节点。</x:v>
      </x:c>
      <x:c r="N73" s="68" t="str">
        <x:v>每个节点分别检查与其他支的合冲刑害破；自刑另按规则判断。</x:v>
      </x:c>
      <x:c r="O73" s="68" t="str">
        <x:v>四柱地支已按年、月、日、时标准化并保留柱位。</x:v>
      </x:c>
      <x:c r="P73" s="68" t="str">
        <x:v>同一地支在年、月、日、时中出现两次或以上。</x:v>
      </x:c>
      <x:c r="Q73" s="68" t="str">
        <x:v>柱位清楚时可准确生成多重关系实例。</x:v>
      </x:c>
      <x:c r="R73" s="68" t="str">
        <x:v>不得因支名相同而合并为一个抽象节点。</x:v>
      </x:c>
      <x:c r="S73" s="90" t="str">
        <x:v>该地支只出现一次。</x:v>
      </x:c>
      <x:c r="T73" s="68" t="str">
        <x:v>汇总统计可以计数，底层关系图仍保留逐柱节点。</x:v>
      </x:c>
      <x:c r="U73" s="68" t="str">
        <x:v>重复地支按柱位分别编号，不合并。</x:v>
      </x:c>
      <x:c r="V73" s="68" t="str">
        <x:v>不得把一个支节点的关系复制给全部同名支，也不得丢失自刑与多重关系信息。</x:v>
      </x:c>
      <x:c r="W73" s="82" t="str">
        <x:v>P0_硬约束</x:v>
      </x:c>
      <x:c r="X73" s="82" t="str">
        <x:v>硬约束</x:v>
      </x:c>
      <x:c r="Y73" s="84" t="str">
        <x:v>重复支节点</x:v>
      </x:c>
      <x:c r="Z73" s="84" t="str">
        <x:v>原局存在同名地支重复；已按柱位拆分独立节点，再分别建立关系。</x:v>
      </x:c>
      <x:c r="AA73" s="82" t="str">
        <x:v>确定</x:v>
      </x:c>
      <x:c r="AB73" s="82" t="str">
        <x:v>现代综合</x:v>
      </x:c>
      <x:c r="AC73" s="68" t="str">
        <x:v>关系识别需要区分年辰、月辰、日辰、时辰等具体节点。</x:v>
      </x:c>
      <x:c r="AD73" s="68" t="str">
        <x:v>年支辰、时支辰分别作为两个节点，并检查辰辰自刑及各自与其他支的关系。</x:v>
      </x:c>
      <x:c r="AE73" s="90" t="str">
        <x:v>把两个辰合并为一个辰，会遗漏自刑与柱位差异。</x:v>
      </x:c>
      <x:c r="AF73" s="68" t="str">
        <x:v>内部结构化规则：识别层与效应层分离；https://zh.wikisource.org/wiki/淵海子平；https://zh.wikisource.org/zh-hans/三命通會_(四庫全書本)</x:v>
      </x:c>
      <x:c r="AG73" s="82" t="str">
        <x:v>采用</x:v>
      </x:c>
      <x:c r="AH73" s="82" t="str">
        <x:v>初审</x:v>
      </x:c>
      <x:c r="AI73" s="87" t="n">
        <x:v>46255</x:v>
      </x:c>
    </x:row>
    <x:row r="74">
      <x:c r="A74" s="72" t="str">
        <x:f>IF(OR(C74="",D74=""),"",B74&amp;"-"&amp;UPPER(C74)&amp;"-"&amp;TEXT(D74,"0000")&amp;"-"&amp;E74)</x:f>
        <x:v>M05-OVER-0068-V1.0</x:v>
      </x:c>
      <x:c r="B74" s="74" t="str">
        <x:v>M05</x:v>
      </x:c>
      <x:c r="C74" s="74" t="str">
        <x:v>OVER</x:v>
      </x:c>
      <x:c r="D74" s="79" t="n">
        <x:v>68</x:v>
      </x:c>
      <x:c r="E74" s="74" t="str">
        <x:v>V1.0</x:v>
      </x:c>
      <x:c r="F74" s="68" t="str">
        <x:v>同一地支可同时参与多种关系</x:v>
      </x:c>
      <x:c r="G74" s="82" t="str">
        <x:v>识别层</x:v>
      </x:c>
      <x:c r="H74" s="82" t="str">
        <x:v>其他</x:v>
      </x:c>
      <x:c r="I74" s="68" t="str">
        <x:v>任一共享地支节点</x:v>
      </x:c>
      <x:c r="J74" s="82" t="str">
        <x:v>其他</x:v>
      </x:c>
      <x:c r="K74" s="82" t="str">
        <x:v>完整</x:v>
      </x:c>
      <x:c r="L74" s="68" t="str">
        <x:v>关系存在不以月支得令为必要条件；须另记录参与支中谁为月支。</x:v>
      </x:c>
      <x:c r="M74" s="68" t="str">
        <x:v>相关藏干是否透出不影响关系识别；透干信息只供后续效应与旺衰判断。</x:v>
      </x:c>
      <x:c r="N74" s="68" t="str">
        <x:v>检查参与支是否同时构成合、冲、刑、害、破、三合或三会的其他关系。</x:v>
      </x:c>
      <x:c r="O74" s="68" t="str">
        <x:v>四柱地支已按年、月、日、时标准化并保留柱位。</x:v>
      </x:c>
      <x:c r="P74" s="68" t="str">
        <x:v>同一地支节点与不同地支，或与同一地支，满足两种及以上固定关系。</x:v>
      </x:c>
      <x:c r="Q74" s="68" t="str">
        <x:v>关系实例均有明确柱位与类型。</x:v>
      </x:c>
      <x:c r="R74" s="68" t="str">
        <x:v>多重关系越多，后续效应越需逐对象裁决。</x:v>
      </x:c>
      <x:c r="S74" s="90" t="str">
        <x:v>基础关系配对并不成立。</x:v>
      </x:c>
      <x:c r="T74" s="68" t="str">
        <x:v>同一节点参与多关系不表示这些关系效应同强，也不预设优先级。</x:v>
      </x:c>
      <x:c r="U74" s="68" t="str">
        <x:v>保留该地支参与的全部关系边。</x:v>
      </x:c>
      <x:c r="V74" s="68" t="str">
        <x:v>不得只保留一种关系、删除其他客观关系，也不得据数量直接定旺衰。</x:v>
      </x:c>
      <x:c r="W74" s="82" t="str">
        <x:v>P0_硬约束</x:v>
      </x:c>
      <x:c r="X74" s="82" t="str">
        <x:v>硬约束</x:v>
      </x:c>
      <x:c r="Y74" s="84" t="str">
        <x:v>多重关系节点</x:v>
      </x:c>
      <x:c r="Z74" s="84" t="str">
        <x:v>该地支同时参与多种关系；所有关系已独立列出，效应优先级转M06。</x:v>
      </x:c>
      <x:c r="AA74" s="82" t="str">
        <x:v>确定</x:v>
      </x:c>
      <x:c r="AB74" s="82" t="str">
        <x:v>现代综合</x:v>
      </x:c>
      <x:c r="AC74" s="68" t="str">
        <x:v>地支关系形成网络而非互斥标签；识别层必须完整保存。</x:v>
      </x:c>
      <x:c r="AD74" s="68" t="str">
        <x:v>巳申同见，六合、刑、破三种关系均需记录。</x:v>
      </x:c>
      <x:c r="AE74" s="90" t="str">
        <x:v>因巳申六合就删除巳申刑或巳申破，会丢失客观关系。</x:v>
      </x:c>
      <x:c r="AF74" s="68" t="str">
        <x:v>内部结构化规则：识别层与效应层分离；https://zh.wikisource.org/wiki/淵海子平；https://zh.wikisource.org/zh-hans/三命通會_(四庫全書本)</x:v>
      </x:c>
      <x:c r="AG74" s="82" t="str">
        <x:v>采用</x:v>
      </x:c>
      <x:c r="AH74" s="82" t="str">
        <x:v>初审</x:v>
      </x:c>
      <x:c r="AI74" s="87" t="n">
        <x:v>46255</x:v>
      </x:c>
    </x:row>
    <x:row r="75">
      <x:c r="A75" s="72" t="str">
        <x:f>IF(OR(C75="",D75=""),"",B75&amp;"-"&amp;UPPER(C75)&amp;"-"&amp;TEXT(D75,"0000")&amp;"-"&amp;E75)</x:f>
        <x:v>M05-OVER-0069-V1.0</x:v>
      </x:c>
      <x:c r="B75" s="74" t="str">
        <x:v>M05</x:v>
      </x:c>
      <x:c r="C75" s="74" t="str">
        <x:v>OVER</x:v>
      </x:c>
      <x:c r="D75" s="79" t="n">
        <x:v>69</x:v>
      </x:c>
      <x:c r="E75" s="74" t="str">
        <x:v>V1.0</x:v>
      </x:c>
      <x:c r="F75" s="68" t="str">
        <x:v>多重地支关系按实例独立列出</x:v>
      </x:c>
      <x:c r="G75" s="82" t="str">
        <x:v>识别层</x:v>
      </x:c>
      <x:c r="H75" s="82" t="str">
        <x:v>其他</x:v>
      </x:c>
      <x:c r="I75" s="68" t="str">
        <x:v>全部关系实例</x:v>
      </x:c>
      <x:c r="J75" s="82" t="str">
        <x:v>其他</x:v>
      </x:c>
      <x:c r="K75" s="82" t="str">
        <x:v>完整</x:v>
      </x:c>
      <x:c r="L75" s="68" t="str">
        <x:v>关系存在不以月支得令为必要条件；须另记录参与支中谁为月支。</x:v>
      </x:c>
      <x:c r="M75" s="68" t="str">
        <x:v>相关藏干是否透出不影响关系识别；透干信息只供后续效应与旺衰判断。</x:v>
      </x:c>
      <x:c r="N75" s="68" t="str">
        <x:v>检查参与支是否同时构成合、冲、刑、害、破、三合或三会的其他关系。</x:v>
      </x:c>
      <x:c r="O75" s="68" t="str">
        <x:v>四柱地支已按年、月、日、时标准化并保留柱位。</x:v>
      </x:c>
      <x:c r="P75" s="68" t="str">
        <x:v>原局存在两条或以上共享节点或相互叠加的地支关系。</x:v>
      </x:c>
      <x:c r="Q75" s="68" t="str">
        <x:v>每条关系均记录类型、参与支、柱位、完整度和同时关系。</x:v>
      </x:c>
      <x:c r="R75" s="68" t="str">
        <x:v>不得用一个总括词替代具体关系。</x:v>
      </x:c>
      <x:c r="S75" s="90" t="str">
        <x:v>无基础关系时不生成关系实例。</x:v>
      </x:c>
      <x:c r="T75" s="68" t="str">
        <x:v>后续可建立关系组，但不能删除底层单条关系。</x:v>
      </x:c>
      <x:c r="U75" s="68" t="str">
        <x:v>每条关系独立成行或成边，并以关系组关联。</x:v>
      </x:c>
      <x:c r="V75" s="68" t="str">
        <x:v>不得在M05裁定哪个关系吞并哪个关系，也不得先做力量抵消。</x:v>
      </x:c>
      <x:c r="W75" s="82" t="str">
        <x:v>P0_硬约束</x:v>
      </x:c>
      <x:c r="X75" s="82" t="str">
        <x:v>硬约束</x:v>
      </x:c>
      <x:c r="Y75" s="84" t="str">
        <x:v>关系实例化</x:v>
      </x:c>
      <x:c r="Z75" s="84" t="str">
        <x:v>原局地支关系已逐条实例化；叠加、竞争与优先级转M06处理。</x:v>
      </x:c>
      <x:c r="AA75" s="82" t="str">
        <x:v>确定</x:v>
      </x:c>
      <x:c r="AB75" s="82" t="str">
        <x:v>现代综合</x:v>
      </x:c>
      <x:c r="AC75" s="68" t="str">
        <x:v>只有保留底层关系明细，后续才能逐支判断实际效应。</x:v>
      </x:c>
      <x:c r="AD75" s="68" t="str">
        <x:v>寅、巳、申齐全时，同时列三刑完整、寅申冲、寅巳害、巳申六合与破。</x:v>
      </x:c>
      <x:c r="AE75" s="90" t="str">
        <x:v>只写“寅巳申复杂”而不列具体关系，无法回溯。</x:v>
      </x:c>
      <x:c r="AF75" s="68" t="str">
        <x:v>内部结构化规则：识别层与效应层分离；https://zh.wikisource.org/wiki/淵海子平；https://zh.wikisource.org/zh-hans/三命通會_(四庫全書本)</x:v>
      </x:c>
      <x:c r="AG75" s="82" t="str">
        <x:v>采用</x:v>
      </x:c>
      <x:c r="AH75" s="82" t="str">
        <x:v>初审</x:v>
      </x:c>
      <x:c r="AI75" s="87" t="n">
        <x:v>46255</x:v>
      </x:c>
    </x:row>
    <x:row r="76">
      <x:c r="A76" s="72" t="str">
        <x:f>IF(OR(C76="",D76=""),"",B76&amp;"-"&amp;UPPER(C76)&amp;"-"&amp;TEXT(D76,"0000")&amp;"-"&amp;E76)</x:f>
        <x:v>M05-BOUND-0070-V1.0</x:v>
      </x:c>
      <x:c r="B76" s="74" t="str">
        <x:v>M05</x:v>
      </x:c>
      <x:c r="C76" s="74" t="str">
        <x:v>BOUND</x:v>
      </x:c>
      <x:c r="D76" s="79" t="n">
        <x:v>70</x:v>
      </x:c>
      <x:c r="E76" s="74" t="str">
        <x:v>V1.0</x:v>
      </x:c>
      <x:c r="F76" s="68" t="str">
        <x:v>三支结构缺一不得标记原局完整</x:v>
      </x:c>
      <x:c r="G76" s="82" t="str">
        <x:v>识别层</x:v>
      </x:c>
      <x:c r="H76" s="82" t="str">
        <x:v>其他</x:v>
      </x:c>
      <x:c r="I76" s="68" t="str">
        <x:v>任一三合、三会或三刑三支组</x:v>
      </x:c>
      <x:c r="J76" s="82" t="str">
        <x:v>其他</x:v>
      </x:c>
      <x:c r="K76" s="82" t="str">
        <x:v>部分</x:v>
      </x:c>
      <x:c r="L76" s="68" t="str">
        <x:v>关系存在不以月支得令为必要条件；须另记录参与支中谁为月支。</x:v>
      </x:c>
      <x:c r="M76" s="68" t="str">
        <x:v>相关藏干是否透出不影响关系识别；透干信息只供后续效应与旺衰判断。</x:v>
      </x:c>
      <x:c r="N76" s="68" t="str">
        <x:v>检查参与支是否同时构成合、冲、刑、害、破、三合或三会的其他关系。</x:v>
      </x:c>
      <x:c r="O76" s="68" t="str">
        <x:v>四柱地支已按年、月、日、时标准化并保留柱位。</x:v>
      </x:c>
      <x:c r="P76" s="68" t="str">
        <x:v>目标三支组只出现其中一支或两支。</x:v>
      </x:c>
      <x:c r="Q76" s="68"/>
      <x:c r="R76" s="68"/>
      <x:c r="S76" s="90" t="str">
        <x:v>三支已经全部真实出现时，应按完整规则登记。</x:v>
      </x:c>
      <x:c r="T76" s="68" t="str">
        <x:v>两支可能另构成半合、拱合或局部刑，须按对应子类精确分类。</x:v>
      </x:c>
      <x:c r="U76" s="68" t="str">
        <x:v>该三支结构标记为部分或缺失，不标原局完整。</x:v>
      </x:c>
      <x:c r="V76" s="68" t="str">
        <x:v>不得用同五行、藏干、重复支或“气势相近”代替缺失支。</x:v>
      </x:c>
      <x:c r="W76" s="82" t="str">
        <x:v>P0_硬约束</x:v>
      </x:c>
      <x:c r="X76" s="82" t="str">
        <x:v>否决规则</x:v>
      </x:c>
      <x:c r="Y76" s="84" t="str">
        <x:v>三支完整性边界</x:v>
      </x:c>
      <x:c r="Z76" s="84" t="str">
        <x:v>该三支结构尚未齐全；只记录实际存在的部分关系，不写原局完整三合、三会或三刑。</x:v>
      </x:c>
      <x:c r="AA76" s="82" t="str">
        <x:v>确定</x:v>
      </x:c>
      <x:c r="AB76" s="82" t="str">
        <x:v>现代综合</x:v>
      </x:c>
      <x:c r="AC76" s="68" t="str">
        <x:v>完整度是集合成员是否齐全的客观事实，不能由力量或象义替代。</x:v>
      </x:c>
      <x:c r="AD76" s="68" t="str">
        <x:v>寅、巳而无申，只记寅巳局部刑。</x:v>
      </x:c>
      <x:c r="AE76" s="90" t="str">
        <x:v>因申金透干或金旺就把缺申的寅巳补成完整三刑。</x:v>
      </x:c>
      <x:c r="AF76" s="68" t="str">
        <x:v>内部结构化规则：识别层与效应层分离；https://zh.wikisource.org/wiki/淵海子平；https://zh.wikisource.org/zh-hans/三命通會_(四庫全書本)</x:v>
      </x:c>
      <x:c r="AG76" s="82" t="str">
        <x:v>采用</x:v>
      </x:c>
      <x:c r="AH76" s="82" t="str">
        <x:v>初审</x:v>
      </x:c>
      <x:c r="AI76" s="87" t="n">
        <x:v>46255</x:v>
      </x:c>
    </x:row>
    <x:row r="77">
      <x:c r="A77" s="72" t="str">
        <x:f>IF(OR(C77="",D77=""),"",B77&amp;"-"&amp;UPPER(C77)&amp;"-"&amp;TEXT(D77,"0000")&amp;"-"&amp;E77)</x:f>
        <x:v>M05-SUIYUN-0071-V1.0</x:v>
      </x:c>
      <x:c r="B77" s="74" t="str">
        <x:v>M05</x:v>
      </x:c>
      <x:c r="C77" s="74" t="str">
        <x:v>SUIYUN</x:v>
      </x:c>
      <x:c r="D77" s="79" t="n">
        <x:v>71</x:v>
      </x:c>
      <x:c r="E77" s="74" t="str">
        <x:v>V1.0</x:v>
      </x:c>
      <x:c r="F77" s="68" t="str">
        <x:v>三合结构岁运补齐标记</x:v>
      </x:c>
      <x:c r="G77" s="82" t="str">
        <x:v>识别层</x:v>
      </x:c>
      <x:c r="H77" s="82" t="str">
        <x:v>三合</x:v>
      </x:c>
      <x:c r="I77" s="68" t="str">
        <x:v>原局部分三合＋岁运补入缺支</x:v>
      </x:c>
      <x:c r="J77" s="82" t="str">
        <x:v>其他</x:v>
      </x:c>
      <x:c r="K77" s="82" t="str">
        <x:v>岁运补齐</x:v>
      </x:c>
      <x:c r="L77" s="68" t="str">
        <x:v>原局月令保持不变；新增岁运支另记录其时间层级。</x:v>
      </x:c>
      <x:c r="M77" s="68" t="str">
        <x:v>岁运透干与原局透干分层记录。</x:v>
      </x:c>
      <x:c r="N77" s="68" t="str">
        <x:v>补齐后重新识别所有新生的合冲刑害破关系，但不得改写原局静态清单。</x:v>
      </x:c>
      <x:c r="O77" s="68" t="str">
        <x:v>四柱地支已按年、月、日、时标准化并保留柱位。</x:v>
      </x:c>
      <x:c r="P77" s="68" t="str">
        <x:v>原局仅部分具备某组三合，大运或流年真实出现唯一缺失地支。</x:v>
      </x:c>
      <x:c r="Q77" s="68" t="str">
        <x:v>补入支与原局支相邻性由动态模型按作用层级判断。</x:v>
      </x:c>
      <x:c r="R77" s="68" t="str">
        <x:v>岁运支同时被其他关系牵制时，只影响动态效应，不影响“曾补齐”事实。</x:v>
      </x:c>
      <x:c r="S77" s="90" t="str">
        <x:v>缺失支未在该岁运真实出现，或原局本已完整。</x:v>
      </x:c>
      <x:c r="T77" s="68" t="str">
        <x:v>M0只输出原局部分结构与可补齐接口；具体年份和事件由D0处理。</x:v>
      </x:c>
      <x:c r="U77" s="68" t="str">
        <x:v>该时段标记为三合结构岁运补齐，原局状态仍为部分。</x:v>
      </x:c>
      <x:c r="V77" s="68" t="str">
        <x:v>不得把岁运补齐写成原局天生完整，也不得在M05直接断吉凶事件。</x:v>
      </x:c>
      <x:c r="W77" s="82" t="str">
        <x:v>P1_高</x:v>
      </x:c>
      <x:c r="X77" s="82" t="str">
        <x:v>硬约束</x:v>
      </x:c>
      <x:c r="Y77" s="84" t="str">
        <x:v>三合岁运补齐</x:v>
      </x:c>
      <x:c r="Z77" s="84" t="str">
        <x:v>原局三合结构未全；该岁运补入缺支后可标记“岁运补齐”，动态效应转D0/M06。</x:v>
      </x:c>
      <x:c r="AA77" s="82" t="str">
        <x:v>确定</x:v>
      </x:c>
      <x:c r="AB77" s="82" t="str">
        <x:v>现代综合</x:v>
      </x:c>
      <x:c r="AC77" s="68" t="str">
        <x:v>静态原局与动态岁运必须分层；补齐是时间条件，不是回写原局。</x:v>
      </x:c>
      <x:c r="AD77" s="68" t="str">
        <x:v>原局申子而缺辰，流年辰到，可标记申子辰三合岁运补齐。</x:v>
      </x:c>
      <x:c r="AE77" s="90" t="str">
        <x:v>流年未见缺支时，不能仅凭同五行旺就标记三合补齐。</x:v>
      </x:c>
      <x:c r="AF77" s="68" t="str">
        <x:v>内部结构化规则：识别层与效应层分离；https://zh.wikisource.org/wiki/淵海子平；https://zh.wikisource.org/zh-hans/三命通會_(四庫全書本)</x:v>
      </x:c>
      <x:c r="AG77" s="82" t="str">
        <x:v>采用</x:v>
      </x:c>
      <x:c r="AH77" s="82" t="str">
        <x:v>初审</x:v>
      </x:c>
      <x:c r="AI77" s="87" t="n">
        <x:v>46255</x:v>
      </x:c>
    </x:row>
    <x:row r="78">
      <x:c r="A78" s="72" t="str">
        <x:f>IF(OR(C78="",D78=""),"",B78&amp;"-"&amp;UPPER(C78)&amp;"-"&amp;TEXT(D78,"0000")&amp;"-"&amp;E78)</x:f>
        <x:v>M05-SUIYUN-0072-V1.0</x:v>
      </x:c>
      <x:c r="B78" s="74" t="str">
        <x:v>M05</x:v>
      </x:c>
      <x:c r="C78" s="74" t="str">
        <x:v>SUIYUN</x:v>
      </x:c>
      <x:c r="D78" s="79" t="n">
        <x:v>72</x:v>
      </x:c>
      <x:c r="E78" s="74" t="str">
        <x:v>V1.0</x:v>
      </x:c>
      <x:c r="F78" s="68" t="str">
        <x:v>三会结构岁运补齐标记</x:v>
      </x:c>
      <x:c r="G78" s="82" t="str">
        <x:v>识别层</x:v>
      </x:c>
      <x:c r="H78" s="82" t="str">
        <x:v>三会</x:v>
      </x:c>
      <x:c r="I78" s="68" t="str">
        <x:v>原局部分三会＋岁运补入缺支</x:v>
      </x:c>
      <x:c r="J78" s="82" t="str">
        <x:v>其他</x:v>
      </x:c>
      <x:c r="K78" s="82" t="str">
        <x:v>岁运补齐</x:v>
      </x:c>
      <x:c r="L78" s="68" t="str">
        <x:v>原局月令保持不变；新增岁运支另记录其时间层级。</x:v>
      </x:c>
      <x:c r="M78" s="68" t="str">
        <x:v>岁运透干与原局透干分层记录。</x:v>
      </x:c>
      <x:c r="N78" s="68" t="str">
        <x:v>补齐后重新识别所有新生的合冲刑害破关系，但不得改写原局静态清单。</x:v>
      </x:c>
      <x:c r="O78" s="68" t="str">
        <x:v>四柱地支已按年、月、日、时标准化并保留柱位。</x:v>
      </x:c>
      <x:c r="P78" s="68" t="str">
        <x:v>原局仅部分具备某组三会，大运或流年真实出现唯一缺失地支。</x:v>
      </x:c>
      <x:c r="Q78" s="68" t="str">
        <x:v>补入支与原局支相邻性由动态模型按作用层级判断。</x:v>
      </x:c>
      <x:c r="R78" s="68" t="str">
        <x:v>岁运支同时被其他关系牵制时，只影响动态效应，不影响“曾补齐”事实。</x:v>
      </x:c>
      <x:c r="S78" s="90" t="str">
        <x:v>缺失支未在该岁运真实出现，或原局本已完整。</x:v>
      </x:c>
      <x:c r="T78" s="68" t="str">
        <x:v>M0只输出原局部分结构与可补齐接口；具体年份和事件由D0处理。</x:v>
      </x:c>
      <x:c r="U78" s="68" t="str">
        <x:v>该时段标记为三会结构岁运补齐，原局状态仍为部分。</x:v>
      </x:c>
      <x:c r="V78" s="68" t="str">
        <x:v>不得把岁运补齐写成原局天生完整，也不得在M05直接断吉凶事件。</x:v>
      </x:c>
      <x:c r="W78" s="82" t="str">
        <x:v>P1_高</x:v>
      </x:c>
      <x:c r="X78" s="82" t="str">
        <x:v>硬约束</x:v>
      </x:c>
      <x:c r="Y78" s="84" t="str">
        <x:v>三会岁运补齐</x:v>
      </x:c>
      <x:c r="Z78" s="84" t="str">
        <x:v>原局三会结构未全；该岁运补入缺支后可标记“岁运补齐”，动态效应转D0/M06。</x:v>
      </x:c>
      <x:c r="AA78" s="82" t="str">
        <x:v>确定</x:v>
      </x:c>
      <x:c r="AB78" s="82" t="str">
        <x:v>现代综合</x:v>
      </x:c>
      <x:c r="AC78" s="68" t="str">
        <x:v>静态原局与动态岁运必须分层；补齐是时间条件，不是回写原局。</x:v>
      </x:c>
      <x:c r="AD78" s="68" t="str">
        <x:v>原局申子而缺辰，流年辰到，可标记申子辰三合岁运补齐。</x:v>
      </x:c>
      <x:c r="AE78" s="90" t="str">
        <x:v>流年未见缺支时，不能仅凭同五行旺就标记三会补齐。</x:v>
      </x:c>
      <x:c r="AF78" s="68" t="str">
        <x:v>内部结构化规则：识别层与效应层分离；https://zh.wikisource.org/wiki/淵海子平；https://zh.wikisource.org/zh-hans/三命通會_(四庫全書本)</x:v>
      </x:c>
      <x:c r="AG78" s="82" t="str">
        <x:v>采用</x:v>
      </x:c>
      <x:c r="AH78" s="82" t="str">
        <x:v>初审</x:v>
      </x:c>
      <x:c r="AI78" s="87" t="n">
        <x:v>46255</x:v>
      </x:c>
    </x:row>
    <x:row r="79">
      <x:c r="A79" s="72" t="str">
        <x:f>IF(OR(C79="",D79=""),"",B79&amp;"-"&amp;UPPER(C79)&amp;"-"&amp;TEXT(D79,"0000")&amp;"-"&amp;E79)</x:f>
        <x:v>M05-SUIYUN-0073-V1.0</x:v>
      </x:c>
      <x:c r="B79" s="74" t="str">
        <x:v>M05</x:v>
      </x:c>
      <x:c r="C79" s="74" t="str">
        <x:v>SUIYUN</x:v>
      </x:c>
      <x:c r="D79" s="79" t="n">
        <x:v>73</x:v>
      </x:c>
      <x:c r="E79" s="74" t="str">
        <x:v>V1.0</x:v>
      </x:c>
      <x:c r="F79" s="68" t="str">
        <x:v>三刑结构岁运补齐标记</x:v>
      </x:c>
      <x:c r="G79" s="82" t="str">
        <x:v>识别层</x:v>
      </x:c>
      <x:c r="H79" s="82" t="str">
        <x:v>三刑</x:v>
      </x:c>
      <x:c r="I79" s="68" t="str">
        <x:v>原局部分三刑＋岁运补入缺支</x:v>
      </x:c>
      <x:c r="J79" s="82" t="str">
        <x:v>其他</x:v>
      </x:c>
      <x:c r="K79" s="82" t="str">
        <x:v>岁运补齐</x:v>
      </x:c>
      <x:c r="L79" s="68" t="str">
        <x:v>原局月令保持不变；新增岁运支另记录其时间层级。</x:v>
      </x:c>
      <x:c r="M79" s="68" t="str">
        <x:v>岁运透干与原局透干分层记录。</x:v>
      </x:c>
      <x:c r="N79" s="68" t="str">
        <x:v>补齐后重新识别所有新生的合冲刑害破关系，但不得改写原局静态清单。</x:v>
      </x:c>
      <x:c r="O79" s="68" t="str">
        <x:v>四柱地支已按年、月、日、时标准化并保留柱位。</x:v>
      </x:c>
      <x:c r="P79" s="68" t="str">
        <x:v>原局仅部分具备某组三刑，大运或流年真实出现唯一缺失地支。</x:v>
      </x:c>
      <x:c r="Q79" s="68" t="str">
        <x:v>补入支与原局支相邻性由动态模型按作用层级判断。</x:v>
      </x:c>
      <x:c r="R79" s="68" t="str">
        <x:v>岁运支同时被其他关系牵制时，只影响动态效应，不影响“曾补齐”事实。</x:v>
      </x:c>
      <x:c r="S79" s="90" t="str">
        <x:v>缺失支未在该岁运真实出现，或原局本已完整。</x:v>
      </x:c>
      <x:c r="T79" s="68" t="str">
        <x:v>M0只输出原局部分结构与可补齐接口；具体年份和事件由D0处理。</x:v>
      </x:c>
      <x:c r="U79" s="68" t="str">
        <x:v>该时段标记为三刑结构岁运补齐，原局状态仍为部分。</x:v>
      </x:c>
      <x:c r="V79" s="68" t="str">
        <x:v>不得把岁运补齐写成原局天生完整，也不得在M05直接断吉凶事件。</x:v>
      </x:c>
      <x:c r="W79" s="82" t="str">
        <x:v>P1_高</x:v>
      </x:c>
      <x:c r="X79" s="82" t="str">
        <x:v>硬约束</x:v>
      </x:c>
      <x:c r="Y79" s="84" t="str">
        <x:v>三刑岁运补齐</x:v>
      </x:c>
      <x:c r="Z79" s="84" t="str">
        <x:v>原局三刑结构未全；该岁运补入缺支后可标记“岁运补齐”，动态效应转D0/M06。</x:v>
      </x:c>
      <x:c r="AA79" s="82" t="str">
        <x:v>确定</x:v>
      </x:c>
      <x:c r="AB79" s="82" t="str">
        <x:v>现代综合</x:v>
      </x:c>
      <x:c r="AC79" s="68" t="str">
        <x:v>静态原局与动态岁运必须分层；补齐是时间条件，不是回写原局。</x:v>
      </x:c>
      <x:c r="AD79" s="68" t="str">
        <x:v>原局申子而缺辰，流年辰到，可标记申子辰三合岁运补齐。</x:v>
      </x:c>
      <x:c r="AE79" s="90" t="str">
        <x:v>流年未见缺支时，不能仅凭同五行旺就标记三刑补齐。</x:v>
      </x:c>
      <x:c r="AF79" s="68" t="str">
        <x:v>内部结构化规则：识别层与效应层分离；https://zh.wikisource.org/wiki/淵海子平；https://zh.wikisource.org/zh-hans/三命通會_(四庫全書本)</x:v>
      </x:c>
      <x:c r="AG79" s="82" t="str">
        <x:v>采用</x:v>
      </x:c>
      <x:c r="AH79" s="82" t="str">
        <x:v>初审</x:v>
      </x:c>
      <x:c r="AI79" s="87" t="n">
        <x:v>46255</x:v>
      </x:c>
    </x:row>
    <x:row r="80">
      <x:c r="A80" s="72" t="str">
        <x:f>IF(OR(C80="",D80=""),"",B80&amp;"-"&amp;UPPER(C80)&amp;"-"&amp;TEXT(D80,"0000")&amp;"-"&amp;E80)</x:f>
        <x:v>M05-BOUND-0074-V1.0</x:v>
      </x:c>
      <x:c r="B80" s="74" t="str">
        <x:v>M05</x:v>
      </x:c>
      <x:c r="C80" s="74" t="str">
        <x:v>BOUND</x:v>
      </x:c>
      <x:c r="D80" s="79" t="n">
        <x:v>74</x:v>
      </x:c>
      <x:c r="E80" s="74" t="str">
        <x:v>V1.0</x:v>
      </x:c>
      <x:c r="F80" s="68" t="str">
        <x:v>六合识别不等于合化成立</x:v>
      </x:c>
      <x:c r="G80" s="82" t="str">
        <x:v>识别层</x:v>
      </x:c>
      <x:c r="H80" s="82" t="str">
        <x:v>六合</x:v>
      </x:c>
      <x:c r="I80" s="68" t="str">
        <x:v>任一六合配对</x:v>
      </x:c>
      <x:c r="J80" s="82" t="str">
        <x:v>其他</x:v>
      </x:c>
      <x:c r="K80" s="82" t="str">
        <x:v>完整</x:v>
      </x:c>
      <x:c r="L80" s="68" t="str">
        <x:v>关系存在不以月支得令为必要条件；须另记录参与支中谁为月支。</x:v>
      </x:c>
      <x:c r="M80" s="68" t="str">
        <x:v>相关藏干是否透出不影响关系识别；透干信息只供后续效应与旺衰判断。</x:v>
      </x:c>
      <x:c r="N80" s="68" t="str">
        <x:v>检查参与支是否同时构成合、冲、刑、害、破、三合或三会的其他关系。</x:v>
      </x:c>
      <x:c r="O80" s="68" t="str">
        <x:v>四柱地支已按年、月、日、时标准化并保留柱位。</x:v>
      </x:c>
      <x:c r="P80" s="68" t="str">
        <x:v>基础六合配对已经识别。</x:v>
      </x:c>
      <x:c r="Q80" s="68"/>
      <x:c r="R80" s="68"/>
      <x:c r="S80" s="90" t="str">
        <x:v>无六合配对时不生成本边界提示。</x:v>
      </x:c>
      <x:c r="T80" s="68" t="str">
        <x:v>合绊、合住、合动、合化及化神条件由M06判断。</x:v>
      </x:c>
      <x:c r="U80" s="68" t="str">
        <x:v>六合关系存在，效应状态为待判。</x:v>
      </x:c>
      <x:c r="V80" s="68" t="str">
        <x:v>不得直接把两支改写为化神五行、删除原支或固定减力。</x:v>
      </x:c>
      <x:c r="W80" s="82" t="str">
        <x:v>P0_硬约束</x:v>
      </x:c>
      <x:c r="X80" s="82" t="str">
        <x:v>硬约束</x:v>
      </x:c>
      <x:c r="Y80" s="84" t="str">
        <x:v>六合效应边界</x:v>
      </x:c>
      <x:c r="Z80" s="84" t="str">
        <x:v>六合已经识别，但并不等于合化；实际作用转M06。</x:v>
      </x:c>
      <x:c r="AA80" s="82" t="str">
        <x:v>确定</x:v>
      </x:c>
      <x:c r="AB80" s="82" t="str">
        <x:v>现代综合</x:v>
      </x:c>
      <x:c r="AC80" s="68" t="str">
        <x:v>配对存在与合化成败是两层结论。</x:v>
      </x:c>
      <x:c r="AD80" s="68" t="str">
        <x:v>子丑同见只先写子丑合，不直接写已化土。</x:v>
      </x:c>
      <x:c r="AE80" s="90" t="str">
        <x:v>看到巳申就直接改成水局，属于越层推断。</x:v>
      </x:c>
      <x:c r="AF80" s="68" t="str">
        <x:v>内部结构化规则：识别层与效应层分离；https://zh.wikisource.org/wiki/淵海子平；https://zh.wikisource.org/zh-hans/三命通會_(四庫全書本)</x:v>
      </x:c>
      <x:c r="AG80" s="82" t="str">
        <x:v>采用</x:v>
      </x:c>
      <x:c r="AH80" s="82" t="str">
        <x:v>初审</x:v>
      </x:c>
      <x:c r="AI80" s="87" t="n">
        <x:v>46255</x:v>
      </x:c>
    </x:row>
    <x:row r="81">
      <x:c r="A81" s="72" t="str">
        <x:f>IF(OR(C81="",D81=""),"",B81&amp;"-"&amp;UPPER(C81)&amp;"-"&amp;TEXT(D81,"0000")&amp;"-"&amp;E81)</x:f>
        <x:v>M05-BOUND-0075-V1.0</x:v>
      </x:c>
      <x:c r="B81" s="74" t="str">
        <x:v>M05</x:v>
      </x:c>
      <x:c r="C81" s="74" t="str">
        <x:v>BOUND</x:v>
      </x:c>
      <x:c r="D81" s="79" t="n">
        <x:v>75</x:v>
      </x:c>
      <x:c r="E81" s="74" t="str">
        <x:v>V1.0</x:v>
      </x:c>
      <x:c r="F81" s="68" t="str">
        <x:v>三合完整不等于三合成局</x:v>
      </x:c>
      <x:c r="G81" s="82" t="str">
        <x:v>识别层</x:v>
      </x:c>
      <x:c r="H81" s="82" t="str">
        <x:v>三合</x:v>
      </x:c>
      <x:c r="I81" s="68" t="str">
        <x:v>任一完整三合组</x:v>
      </x:c>
      <x:c r="J81" s="82" t="str">
        <x:v>其他</x:v>
      </x:c>
      <x:c r="K81" s="82" t="str">
        <x:v>完整</x:v>
      </x:c>
      <x:c r="L81" s="68" t="str">
        <x:v>关系存在不以月支得令为必要条件；须另记录参与支中谁为月支。</x:v>
      </x:c>
      <x:c r="M81" s="68" t="str">
        <x:v>相关藏干是否透出不影响关系识别；透干信息只供后续效应与旺衰判断。</x:v>
      </x:c>
      <x:c r="N81" s="68" t="str">
        <x:v>检查参与支是否同时构成合、冲、刑、害、破、三合或三会的其他关系。</x:v>
      </x:c>
      <x:c r="O81" s="68" t="str">
        <x:v>四柱地支已按年、月、日、时标准化并保留柱位。</x:v>
      </x:c>
      <x:c r="P81" s="68" t="str">
        <x:v>三合三支已经齐全。</x:v>
      </x:c>
      <x:c r="Q81" s="68"/>
      <x:c r="R81" s="68"/>
      <x:c r="S81" s="90" t="str">
        <x:v>三支未齐时不能使用本条的“完整”前提。</x:v>
      </x:c>
      <x:c r="T81" s="68" t="str">
        <x:v>成局须综合月令、中神、透干、根气、冲破与全局势，转M06。</x:v>
      </x:c>
      <x:c r="U81" s="68" t="str">
        <x:v>三合完整结构与成局状态分开记录。</x:v>
      </x:c>
      <x:c r="V81" s="68" t="str">
        <x:v>不得直接输出三支合化、目标五行极旺或其他五行消失。</x:v>
      </x:c>
      <x:c r="W81" s="82" t="str">
        <x:v>P0_硬约束</x:v>
      </x:c>
      <x:c r="X81" s="82" t="str">
        <x:v>硬约束</x:v>
      </x:c>
      <x:c r="Y81" s="84" t="str">
        <x:v>三合成局边界</x:v>
      </x:c>
      <x:c r="Z81" s="84" t="str">
        <x:v>三合三支齐全，但成局尚未判定；目标五行只作为候选。</x:v>
      </x:c>
      <x:c r="AA81" s="82" t="str">
        <x:v>确定</x:v>
      </x:c>
      <x:c r="AB81" s="82" t="str">
        <x:v>现代综合</x:v>
      </x:c>
      <x:c r="AC81" s="68" t="str">
        <x:v>集合齐全是必要事实之一，不足以单独证明有效成局。</x:v>
      </x:c>
      <x:c r="AD81" s="68" t="str">
        <x:v>申子辰齐全，先记完整三合水候选。</x:v>
      </x:c>
      <x:c r="AE81" s="90" t="str">
        <x:v>不查月令与破坏条件就直接判水局成立。</x:v>
      </x:c>
      <x:c r="AF81" s="68" t="str">
        <x:v>内部结构化规则：识别层与效应层分离；https://zh.wikisource.org/wiki/淵海子平；https://zh.wikisource.org/zh-hans/三命通會_(四庫全書本)</x:v>
      </x:c>
      <x:c r="AG81" s="82" t="str">
        <x:v>采用</x:v>
      </x:c>
      <x:c r="AH81" s="82" t="str">
        <x:v>初审</x:v>
      </x:c>
      <x:c r="AI81" s="87" t="n">
        <x:v>46255</x:v>
      </x:c>
    </x:row>
    <x:row r="82">
      <x:c r="A82" s="72" t="str">
        <x:f>IF(OR(C82="",D82=""),"",B82&amp;"-"&amp;UPPER(C82)&amp;"-"&amp;TEXT(D82,"0000")&amp;"-"&amp;E82)</x:f>
        <x:v>M05-BOUND-0076-V1.0</x:v>
      </x:c>
      <x:c r="B82" s="74" t="str">
        <x:v>M05</x:v>
      </x:c>
      <x:c r="C82" s="74" t="str">
        <x:v>BOUND</x:v>
      </x:c>
      <x:c r="D82" s="79" t="n">
        <x:v>76</x:v>
      </x:c>
      <x:c r="E82" s="74" t="str">
        <x:v>V1.0</x:v>
      </x:c>
      <x:c r="F82" s="68" t="str">
        <x:v>三会完整不等于三会成局</x:v>
      </x:c>
      <x:c r="G82" s="82" t="str">
        <x:v>识别层</x:v>
      </x:c>
      <x:c r="H82" s="82" t="str">
        <x:v>三会</x:v>
      </x:c>
      <x:c r="I82" s="68" t="str">
        <x:v>任一完整三会组</x:v>
      </x:c>
      <x:c r="J82" s="82" t="str">
        <x:v>其他</x:v>
      </x:c>
      <x:c r="K82" s="82" t="str">
        <x:v>完整</x:v>
      </x:c>
      <x:c r="L82" s="68" t="str">
        <x:v>关系存在不以月支得令为必要条件；须另记录参与支中谁为月支。</x:v>
      </x:c>
      <x:c r="M82" s="68" t="str">
        <x:v>相关藏干是否透出不影响关系识别；透干信息只供后续效应与旺衰判断。</x:v>
      </x:c>
      <x:c r="N82" s="68" t="str">
        <x:v>检查参与支是否同时构成合、冲、刑、害、破、三合或三会的其他关系。</x:v>
      </x:c>
      <x:c r="O82" s="68" t="str">
        <x:v>四柱地支已按年、月、日、时标准化并保留柱位。</x:v>
      </x:c>
      <x:c r="P82" s="68" t="str">
        <x:v>三会三支已经齐全。</x:v>
      </x:c>
      <x:c r="Q82" s="68"/>
      <x:c r="R82" s="68"/>
      <x:c r="S82" s="90" t="str">
        <x:v>三支未齐时不能使用本条的“完整”前提。</x:v>
      </x:c>
      <x:c r="T82" s="68" t="str">
        <x:v>成会须综合季令、透干、根气、冲破与全局势，转M06。</x:v>
      </x:c>
      <x:c r="U82" s="68" t="str">
        <x:v>三会完整结构与成会状态分开记录。</x:v>
      </x:c>
      <x:c r="V82" s="68" t="str">
        <x:v>不得直接输出目标五行已成专势、三支原性消失或力量固定最大。</x:v>
      </x:c>
      <x:c r="W82" s="82" t="str">
        <x:v>P0_硬约束</x:v>
      </x:c>
      <x:c r="X82" s="82" t="str">
        <x:v>硬约束</x:v>
      </x:c>
      <x:c r="Y82" s="84" t="str">
        <x:v>三会成局边界</x:v>
      </x:c>
      <x:c r="Z82" s="84" t="str">
        <x:v>三会三支齐全，但成会尚未判定；目标五行只作为候选。</x:v>
      </x:c>
      <x:c r="AA82" s="82" t="str">
        <x:v>确定</x:v>
      </x:c>
      <x:c r="AB82" s="82" t="str">
        <x:v>现代综合</x:v>
      </x:c>
      <x:c r="AC82" s="68" t="str">
        <x:v>三会完整与会局有效性是不同层次。</x:v>
      </x:c>
      <x:c r="AD82" s="68" t="str">
        <x:v>寅卯辰齐全，先记完整三会木候选。</x:v>
      </x:c>
      <x:c r="AE82" s="90" t="str">
        <x:v>仅因三支齐全就不再检查冲破和季令。</x:v>
      </x:c>
      <x:c r="AF82" s="68" t="str">
        <x:v>内部结构化规则：识别层与效应层分离；https://zh.wikisource.org/wiki/淵海子平；https://zh.wikisource.org/zh-hans/三命通會_(四庫全書本)</x:v>
      </x:c>
      <x:c r="AG82" s="82" t="str">
        <x:v>采用</x:v>
      </x:c>
      <x:c r="AH82" s="82" t="str">
        <x:v>初审</x:v>
      </x:c>
      <x:c r="AI82" s="87" t="n">
        <x:v>46255</x:v>
      </x:c>
    </x:row>
    <x:row r="83">
      <x:c r="A83" s="72" t="str">
        <x:f>IF(OR(C83="",D83=""),"",B83&amp;"-"&amp;UPPER(C83)&amp;"-"&amp;TEXT(D83,"0000")&amp;"-"&amp;E83)</x:f>
        <x:v>M05-BOUND-0077-V1.0</x:v>
      </x:c>
      <x:c r="B83" s="74" t="str">
        <x:v>M05</x:v>
      </x:c>
      <x:c r="C83" s="74" t="str">
        <x:v>BOUND</x:v>
      </x:c>
      <x:c r="D83" s="79" t="n">
        <x:v>77</x:v>
      </x:c>
      <x:c r="E83" s="74" t="str">
        <x:v>V1.0</x:v>
      </x:c>
      <x:c r="F83" s="68" t="str">
        <x:v>六冲识别不等于冲散或冲去</x:v>
      </x:c>
      <x:c r="G83" s="82" t="str">
        <x:v>识别层</x:v>
      </x:c>
      <x:c r="H83" s="82" t="str">
        <x:v>六冲</x:v>
      </x:c>
      <x:c r="I83" s="68" t="str">
        <x:v>任一六冲配对</x:v>
      </x:c>
      <x:c r="J83" s="82" t="str">
        <x:v>其他</x:v>
      </x:c>
      <x:c r="K83" s="82" t="str">
        <x:v>完整</x:v>
      </x:c>
      <x:c r="L83" s="68" t="str">
        <x:v>关系存在不以月支得令为必要条件；须另记录参与支中谁为月支。</x:v>
      </x:c>
      <x:c r="M83" s="68" t="str">
        <x:v>相关藏干是否透出不影响关系识别；透干信息只供后续效应与旺衰判断。</x:v>
      </x:c>
      <x:c r="N83" s="68" t="str">
        <x:v>检查参与支是否同时构成合、冲、刑、害、破、三合或三会的其他关系。</x:v>
      </x:c>
      <x:c r="O83" s="68" t="str">
        <x:v>四柱地支已按年、月、日、时标准化并保留柱位。</x:v>
      </x:c>
      <x:c r="P83" s="68" t="str">
        <x:v>基础六冲配对已经识别。</x:v>
      </x:c>
      <x:c r="Q83" s="68"/>
      <x:c r="R83" s="68"/>
      <x:c r="S83" s="90" t="str">
        <x:v>无六冲配对时不生成本边界提示。</x:v>
      </x:c>
      <x:c r="T83" s="68" t="str">
        <x:v>冲动、冲散、冲开、冲旺、冲弱、冲去或作用有限转M06逐支判断。</x:v>
      </x:c>
      <x:c r="U83" s="68" t="str">
        <x:v>六冲关系存在，具体冲效应待判。</x:v>
      </x:c>
      <x:c r="V83" s="68" t="str">
        <x:v>不得直接删除被冲支、判根气全失或认定双方同幅减力。</x:v>
      </x:c>
      <x:c r="W83" s="82" t="str">
        <x:v>P0_硬约束</x:v>
      </x:c>
      <x:c r="X83" s="82" t="str">
        <x:v>硬约束</x:v>
      </x:c>
      <x:c r="Y83" s="84" t="str">
        <x:v>六冲效应边界</x:v>
      </x:c>
      <x:c r="Z83" s="84" t="str">
        <x:v>六冲已经识别；冲的实际结果需逐支评估，不能由“冲”字直接替代。</x:v>
      </x:c>
      <x:c r="AA83" s="82" t="str">
        <x:v>确定</x:v>
      </x:c>
      <x:c r="AB83" s="82" t="str">
        <x:v>现代综合</x:v>
      </x:c>
      <x:c r="AC83" s="68" t="str">
        <x:v>冲是关系类别，冲的结果受旺衰、位置、根气和叠加关系影响。</x:v>
      </x:c>
      <x:c r="AD83" s="68" t="str">
        <x:v>寅申同见先记冲，再判断谁动、谁受损或是否冲旺。</x:v>
      </x:c>
      <x:c r="AE83" s="90" t="str">
        <x:v>见寅申就把寅根删除。</x:v>
      </x:c>
      <x:c r="AF83" s="68" t="str">
        <x:v>内部结构化规则：识别层与效应层分离；https://zh.wikisource.org/wiki/淵海子平；https://zh.wikisource.org/zh-hans/三命通會_(四庫全書本)</x:v>
      </x:c>
      <x:c r="AG83" s="82" t="str">
        <x:v>采用</x:v>
      </x:c>
      <x:c r="AH83" s="82" t="str">
        <x:v>初审</x:v>
      </x:c>
      <x:c r="AI83" s="87" t="n">
        <x:v>46255</x:v>
      </x:c>
    </x:row>
    <x:row r="84">
      <x:c r="A84" s="72" t="str">
        <x:f>IF(OR(C84="",D84=""),"",B84&amp;"-"&amp;UPPER(C84)&amp;"-"&amp;TEXT(D84,"0000")&amp;"-"&amp;E84)</x:f>
        <x:v>M05-BOUND-0078-V1.0</x:v>
      </x:c>
      <x:c r="B84" s="74" t="str">
        <x:v>M05</x:v>
      </x:c>
      <x:c r="C84" s="74" t="str">
        <x:v>BOUND</x:v>
      </x:c>
      <x:c r="D84" s="79" t="n">
        <x:v>78</x:v>
      </x:c>
      <x:c r="E84" s="74" t="str">
        <x:v>V1.0</x:v>
      </x:c>
      <x:c r="F84" s="68" t="str">
        <x:v>三刑与自刑识别不等于固定减力</x:v>
      </x:c>
      <x:c r="G84" s="82" t="str">
        <x:v>识别层</x:v>
      </x:c>
      <x:c r="H84" s="82" t="str">
        <x:v>三刑</x:v>
      </x:c>
      <x:c r="I84" s="68" t="str">
        <x:v>任一刑关系</x:v>
      </x:c>
      <x:c r="J84" s="82" t="str">
        <x:v>其他</x:v>
      </x:c>
      <x:c r="K84" s="82" t="str">
        <x:v>待定</x:v>
      </x:c>
      <x:c r="L84" s="68" t="str">
        <x:v>关系存在不以月支得令为必要条件；须另记录参与支中谁为月支。</x:v>
      </x:c>
      <x:c r="M84" s="68" t="str">
        <x:v>相关藏干是否透出不影响关系识别；透干信息只供后续效应与旺衰判断。</x:v>
      </x:c>
      <x:c r="N84" s="68" t="str">
        <x:v>检查参与支是否同时构成合、冲、刑、害、破、三合或三会的其他关系。</x:v>
      </x:c>
      <x:c r="O84" s="68" t="str">
        <x:v>四柱地支已按年、月、日、时标准化并保留柱位。</x:v>
      </x:c>
      <x:c r="P84" s="68" t="str">
        <x:v>基础三刑、局部刑或自刑候选已经识别。</x:v>
      </x:c>
      <x:c r="Q84" s="68"/>
      <x:c r="R84" s="68"/>
      <x:c r="S84" s="90" t="str">
        <x:v>无刑关系时不生成本边界提示。</x:v>
      </x:c>
      <x:c r="T84" s="68" t="str">
        <x:v>刑动、刑伤、激活、阻滞或作用有限转M06；自刑争议转M21。</x:v>
      </x:c>
      <x:c r="U84" s="68" t="str">
        <x:v>刑关系存在，逐支力量结果待判。</x:v>
      </x:c>
      <x:c r="V84" s="68" t="str">
        <x:v>不得直接推出参与支都减力、某一支必弱、必伤或必发生灾象。</x:v>
      </x:c>
      <x:c r="W84" s="82" t="str">
        <x:v>P0_硬约束</x:v>
      </x:c>
      <x:c r="X84" s="82" t="str">
        <x:v>硬约束</x:v>
      </x:c>
      <x:c r="Y84" s="84" t="str">
        <x:v>刑效应边界</x:v>
      </x:c>
      <x:c r="Z84" s="84" t="str">
        <x:v>刑关系已经识别；实际是刑动、刑伤、激活还是作用有限，须在M06逐支判断。</x:v>
      </x:c>
      <x:c r="AA84" s="82" t="str">
        <x:v>确定</x:v>
      </x:c>
      <x:c r="AB84" s="82" t="str">
        <x:v>现代综合</x:v>
      </x:c>
      <x:c r="AC84" s="68" t="str">
        <x:v>刑名只表示结构，不内置统一的力量符号。</x:v>
      </x:c>
      <x:c r="AD84" s="68" t="str">
        <x:v>寅巳申齐全仍需分别判断寅、巳、申受力。</x:v>
      </x:c>
      <x:c r="AE84" s="90" t="str">
        <x:v>因三刑就统一给三支扣固定分值。</x:v>
      </x:c>
      <x:c r="AF84" s="68" t="str">
        <x:v>内部结构化规则：识别层与效应层分离；https://zh.wikisource.org/wiki/淵海子平；https://zh.wikisource.org/zh-hans/三命通會_(四庫全書本)</x:v>
      </x:c>
      <x:c r="AG84" s="82" t="str">
        <x:v>采用</x:v>
      </x:c>
      <x:c r="AH84" s="82" t="str">
        <x:v>初审</x:v>
      </x:c>
      <x:c r="AI84" s="87" t="n">
        <x:v>46255</x:v>
      </x:c>
    </x:row>
    <x:row r="85">
      <x:c r="A85" s="72" t="str">
        <x:f>IF(OR(C85="",D85=""),"",B85&amp;"-"&amp;UPPER(C85)&amp;"-"&amp;TEXT(D85,"0000")&amp;"-"&amp;E85)</x:f>
        <x:v>M05-BOUND-0079-V1.0</x:v>
      </x:c>
      <x:c r="B85" s="74" t="str">
        <x:v>M05</x:v>
      </x:c>
      <x:c r="C85" s="74" t="str">
        <x:v>BOUND</x:v>
      </x:c>
      <x:c r="D85" s="79" t="n">
        <x:v>79</x:v>
      </x:c>
      <x:c r="E85" s="74" t="str">
        <x:v>V1.0</x:v>
      </x:c>
      <x:c r="F85" s="68" t="str">
        <x:v>六害识别不等于受伤或减力</x:v>
      </x:c>
      <x:c r="G85" s="82" t="str">
        <x:v>识别层</x:v>
      </x:c>
      <x:c r="H85" s="82" t="str">
        <x:v>六害</x:v>
      </x:c>
      <x:c r="I85" s="68" t="str">
        <x:v>任一六害配对</x:v>
      </x:c>
      <x:c r="J85" s="82" t="str">
        <x:v>其他</x:v>
      </x:c>
      <x:c r="K85" s="82" t="str">
        <x:v>完整</x:v>
      </x:c>
      <x:c r="L85" s="68" t="str">
        <x:v>关系存在不以月支得令为必要条件；须另记录参与支中谁为月支。</x:v>
      </x:c>
      <x:c r="M85" s="68" t="str">
        <x:v>相关藏干是否透出不影响关系识别；透干信息只供后续效应与旺衰判断。</x:v>
      </x:c>
      <x:c r="N85" s="68" t="str">
        <x:v>检查参与支是否同时构成合、冲、刑、害、破、三合或三会的其他关系。</x:v>
      </x:c>
      <x:c r="O85" s="68" t="str">
        <x:v>四柱地支已按年、月、日、时标准化并保留柱位。</x:v>
      </x:c>
      <x:c r="P85" s="68" t="str">
        <x:v>基础六害配对已经识别。</x:v>
      </x:c>
      <x:c r="Q85" s="68"/>
      <x:c r="R85" s="68"/>
      <x:c r="S85" s="90" t="str">
        <x:v>无六害配对时不生成本边界提示。</x:v>
      </x:c>
      <x:c r="T85" s="68" t="str">
        <x:v>害的阻碍、暗损、牵制或作用有限转M06。</x:v>
      </x:c>
      <x:c r="U85" s="68" t="str">
        <x:v>六害关系存在，实际效应待判。</x:v>
      </x:c>
      <x:c r="V85" s="68" t="str">
        <x:v>不得直接把“害”翻译为受伤、关系必坏或力量固定下降。</x:v>
      </x:c>
      <x:c r="W85" s="82" t="str">
        <x:v>P0_硬约束</x:v>
      </x:c>
      <x:c r="X85" s="82" t="str">
        <x:v>硬约束</x:v>
      </x:c>
      <x:c r="Y85" s="84" t="str">
        <x:v>六害效应边界</x:v>
      </x:c>
      <x:c r="Z85" s="84" t="str">
        <x:v>六害已经识别；具体作用及权重转M06，不在识别层定吉凶。</x:v>
      </x:c>
      <x:c r="AA85" s="82" t="str">
        <x:v>确定</x:v>
      </x:c>
      <x:c r="AB85" s="82" t="str">
        <x:v>现代综合</x:v>
      </x:c>
      <x:c r="AC85" s="68" t="str">
        <x:v>六害的象义和权重差异较大，必须先保留结构、后判效应。</x:v>
      </x:c>
      <x:c r="AD85" s="68" t="str">
        <x:v>子未同见先记害，不直接扣减子水或未土。</x:v>
      </x:c>
      <x:c r="AE85" s="90" t="str">
        <x:v>仅凭六害就断定某支根气受损。</x:v>
      </x:c>
      <x:c r="AF85" s="68" t="str">
        <x:v>内部结构化规则：识别层与效应层分离；https://zh.wikisource.org/wiki/淵海子平；https://zh.wikisource.org/zh-hans/三命通會_(四庫全書本)</x:v>
      </x:c>
      <x:c r="AG85" s="82" t="str">
        <x:v>采用</x:v>
      </x:c>
      <x:c r="AH85" s="82" t="str">
        <x:v>初审</x:v>
      </x:c>
      <x:c r="AI85" s="87" t="n">
        <x:v>46255</x:v>
      </x:c>
    </x:row>
    <x:row r="86">
      <x:c r="A86" s="72" t="str">
        <x:f>IF(OR(C86="",D86=""),"",B86&amp;"-"&amp;UPPER(C86)&amp;"-"&amp;TEXT(D86,"0000")&amp;"-"&amp;E86)</x:f>
        <x:v>M05-BOUND-0080-V1.0</x:v>
      </x:c>
      <x:c r="B86" s="74" t="str">
        <x:v>M05</x:v>
      </x:c>
      <x:c r="C86" s="74" t="str">
        <x:v>BOUND</x:v>
      </x:c>
      <x:c r="D86" s="79" t="n">
        <x:v>80</x:v>
      </x:c>
      <x:c r="E86" s="74" t="str">
        <x:v>V1.0</x:v>
      </x:c>
      <x:c r="F86" s="68" t="str">
        <x:v>六破识别不等于根气被破坏</x:v>
      </x:c>
      <x:c r="G86" s="82" t="str">
        <x:v>识别层</x:v>
      </x:c>
      <x:c r="H86" s="82" t="str">
        <x:v>六破</x:v>
      </x:c>
      <x:c r="I86" s="68" t="str">
        <x:v>任一六破配对</x:v>
      </x:c>
      <x:c r="J86" s="82" t="str">
        <x:v>其他</x:v>
      </x:c>
      <x:c r="K86" s="82" t="str">
        <x:v>完整</x:v>
      </x:c>
      <x:c r="L86" s="68" t="str">
        <x:v>关系存在不以月支得令为必要条件；须另记录参与支中谁为月支。</x:v>
      </x:c>
      <x:c r="M86" s="68" t="str">
        <x:v>相关藏干是否透出不影响关系识别；透干信息只供后续效应与旺衰判断。</x:v>
      </x:c>
      <x:c r="N86" s="68" t="str">
        <x:v>检查参与支是否同时构成合、冲、刑、害、破、三合或三会的其他关系。</x:v>
      </x:c>
      <x:c r="O86" s="68" t="str">
        <x:v>四柱地支已按年、月、日、时标准化并保留柱位。</x:v>
      </x:c>
      <x:c r="P86" s="68" t="str">
        <x:v>基础六破配对已经识别。</x:v>
      </x:c>
      <x:c r="Q86" s="68"/>
      <x:c r="R86" s="68"/>
      <x:c r="S86" s="90" t="str">
        <x:v>无六破配对时不生成本边界提示。</x:v>
      </x:c>
      <x:c r="T86" s="68" t="str">
        <x:v>破的实际作用与权重转M06、M21。</x:v>
      </x:c>
      <x:c r="U86" s="68" t="str">
        <x:v>六破关系存在，实际效应待判。</x:v>
      </x:c>
      <x:c r="V86" s="68" t="str">
        <x:v>不得直接推出根气被破坏、关系破裂、地支消失或力量固定下降。</x:v>
      </x:c>
      <x:c r="W86" s="82" t="str">
        <x:v>P0_硬约束</x:v>
      </x:c>
      <x:c r="X86" s="82" t="str">
        <x:v>硬约束</x:v>
      </x:c>
      <x:c r="Y86" s="84" t="str">
        <x:v>六破效应边界</x:v>
      </x:c>
      <x:c r="Z86" s="84" t="str">
        <x:v>六破已经识别；“破”不是自动破坏根气，需结合全局转M06判断。</x:v>
      </x:c>
      <x:c r="AA86" s="82" t="str">
        <x:v>确定</x:v>
      </x:c>
      <x:c r="AB86" s="82" t="str">
        <x:v>现代综合</x:v>
      </x:c>
      <x:c r="AC86" s="68" t="str">
        <x:v>六破的固定配对与实际作用权重应分开管理。</x:v>
      </x:c>
      <x:c r="AD86" s="68" t="str">
        <x:v>寅亥同见可同时记六合与破，但不直接判亥水根破。</x:v>
      </x:c>
      <x:c r="AE86" s="90" t="str">
        <x:v>把六破名称直接等同于破根。</x:v>
      </x:c>
      <x:c r="AF86" s="68" t="str">
        <x:v>内部结构化规则：识别层与效应层分离；https://zh.wikisource.org/wiki/淵海子平；https://zh.wikisource.org/zh-hans/三命通會_(四庫全書本)</x:v>
      </x:c>
      <x:c r="AG86" s="82" t="str">
        <x:v>采用</x:v>
      </x:c>
      <x:c r="AH86" s="82" t="str">
        <x:v>初审</x:v>
      </x:c>
      <x:c r="AI86" s="87" t="n">
        <x:v>46255</x:v>
      </x:c>
    </x:row>
    <x:row r="87">
      <x:c r="A87" s="72" t="str">
        <x:f>IF(OR(C87="",D87=""),"",B87&amp;"-"&amp;UPPER(C87)&amp;"-"&amp;TEXT(D87,"0000")&amp;"-"&amp;E87)</x:f>
        <x:v>M05-OVER-0081-V1.0</x:v>
      </x:c>
      <x:c r="B87" s="74" t="str">
        <x:v>M05</x:v>
      </x:c>
      <x:c r="C87" s="74" t="str">
        <x:v>OVER</x:v>
      </x:c>
      <x:c r="D87" s="79" t="n">
        <x:v>81</x:v>
      </x:c>
      <x:c r="E87" s="74" t="str">
        <x:v>V1.0</x:v>
      </x:c>
      <x:c r="F87" s="68" t="str">
        <x:v>巳申三重关系独立识别</x:v>
      </x:c>
      <x:c r="G87" s="82" t="str">
        <x:v>识别层</x:v>
      </x:c>
      <x:c r="H87" s="82" t="str">
        <x:v>其他</x:v>
      </x:c>
      <x:c r="I87" s="68" t="str">
        <x:v>巳、申</x:v>
      </x:c>
      <x:c r="J87" s="82" t="str">
        <x:v>其他</x:v>
      </x:c>
      <x:c r="K87" s="82" t="str">
        <x:v>完整</x:v>
      </x:c>
      <x:c r="L87" s="68" t="str">
        <x:v>关系存在不以月支得令为必要条件；须另记录参与支中谁为月支。</x:v>
      </x:c>
      <x:c r="M87" s="68" t="str">
        <x:v>相关藏干是否透出不影响关系识别；透干信息只供后续效应与旺衰判断。</x:v>
      </x:c>
      <x:c r="N87" s="68" t="str">
        <x:v>必须同时列出：巳申六合、巳申刑、巳申破。</x:v>
      </x:c>
      <x:c r="O87" s="68" t="str">
        <x:v>四柱地支已按年、月、日、时标准化并保留柱位。</x:v>
      </x:c>
      <x:c r="P87" s="68" t="str">
        <x:v>四柱地支中同时出现巳、申，且各基础关系配对规则均成立。</x:v>
      </x:c>
      <x:c r="Q87" s="68" t="str">
        <x:v>两支相邻或在月日等核心位置，只供后续效应判断。</x:v>
      </x:c>
      <x:c r="R87" s="68" t="str">
        <x:v>其中一支同时参与更多关系时，结构更复杂，但本组关系不删除。</x:v>
      </x:c>
      <x:c r="S87" s="90" t="str">
        <x:v>缺少巳或申中的任一支。</x:v>
      </x:c>
      <x:c r="T87" s="68" t="str">
        <x:v>多重关系的实际优先级、抵消、强化或转化由M06裁决。</x:v>
      </x:c>
      <x:c r="U87" s="68" t="str">
        <x:v>原局存在巳申三重关系，各关系独立保留。</x:v>
      </x:c>
      <x:c r="V87" s="68" t="str">
        <x:v>不得选择性只保留其中一种关系，也不得在识别层预判哪一种生效。</x:v>
      </x:c>
      <x:c r="W87" s="82" t="str">
        <x:v>P0_硬约束</x:v>
      </x:c>
      <x:c r="X87" s="82" t="str">
        <x:v>硬约束</x:v>
      </x:c>
      <x:c r="Y87" s="84" t="str">
        <x:v>巳申三重关系</x:v>
      </x:c>
      <x:c r="Z87" s="84" t="str">
        <x:v>地支见巳、申，同时登记巳申六合、巳申刑、巳申破；多重关系的实际效应转M06。</x:v>
      </x:c>
      <x:c r="AA87" s="82" t="str">
        <x:v>确定</x:v>
      </x:c>
      <x:c r="AB87" s="82" t="str">
        <x:v>现代综合</x:v>
      </x:c>
      <x:c r="AC87" s="68" t="str">
        <x:v>同一对地支可以满足多套固定关系映射，关系类别并非互斥。</x:v>
      </x:c>
      <x:c r="AD87" s="68" t="str">
        <x:v>见巳、申时，同时列出巳申六合、巳申刑、巳申破。</x:v>
      </x:c>
      <x:c r="AE87" s="90" t="str">
        <x:v>因其中一种关系较常用就删除其他关系。</x:v>
      </x:c>
      <x:c r="AF87" s="68" t="str">
        <x:v>内部结构化规则：识别层与效应层分离；https://zh.wikisource.org/wiki/淵海子平；https://zh.wikisource.org/zh-hans/三命通會_(四庫全書本)</x:v>
      </x:c>
      <x:c r="AG87" s="82" t="str">
        <x:v>采用</x:v>
      </x:c>
      <x:c r="AH87" s="82" t="str">
        <x:v>初审</x:v>
      </x:c>
      <x:c r="AI87" s="87" t="n">
        <x:v>46255</x:v>
      </x:c>
    </x:row>
    <x:row r="88">
      <x:c r="A88" s="72" t="str">
        <x:f>IF(OR(C88="",D88=""),"",B88&amp;"-"&amp;UPPER(C88)&amp;"-"&amp;TEXT(D88,"0000")&amp;"-"&amp;E88)</x:f>
        <x:v>M05-OVER-0082-V1.0</x:v>
      </x:c>
      <x:c r="B88" s="74" t="str">
        <x:v>M05</x:v>
      </x:c>
      <x:c r="C88" s="74" t="str">
        <x:v>OVER</x:v>
      </x:c>
      <x:c r="D88" s="79" t="n">
        <x:v>82</x:v>
      </x:c>
      <x:c r="E88" s="74" t="str">
        <x:v>V1.0</x:v>
      </x:c>
      <x:c r="F88" s="68" t="str">
        <x:v>寅申冲刑并见独立识别</x:v>
      </x:c>
      <x:c r="G88" s="82" t="str">
        <x:v>识别层</x:v>
      </x:c>
      <x:c r="H88" s="82" t="str">
        <x:v>其他</x:v>
      </x:c>
      <x:c r="I88" s="68" t="str">
        <x:v>寅、申</x:v>
      </x:c>
      <x:c r="J88" s="82" t="str">
        <x:v>其他</x:v>
      </x:c>
      <x:c r="K88" s="82" t="str">
        <x:v>完整</x:v>
      </x:c>
      <x:c r="L88" s="68" t="str">
        <x:v>关系存在不以月支得令为必要条件；须另记录参与支中谁为月支。</x:v>
      </x:c>
      <x:c r="M88" s="68" t="str">
        <x:v>相关藏干是否透出不影响关系识别；透干信息只供后续效应与旺衰判断。</x:v>
      </x:c>
      <x:c r="N88" s="68" t="str">
        <x:v>必须同时列出：寅申冲、寅申刑支局部关系。</x:v>
      </x:c>
      <x:c r="O88" s="68" t="str">
        <x:v>四柱地支已按年、月、日、时标准化并保留柱位。</x:v>
      </x:c>
      <x:c r="P88" s="68" t="str">
        <x:v>四柱地支中同时出现寅、申，且各基础关系配对规则均成立。</x:v>
      </x:c>
      <x:c r="Q88" s="68" t="str">
        <x:v>两支相邻或在月日等核心位置，只供后续效应判断。</x:v>
      </x:c>
      <x:c r="R88" s="68" t="str">
        <x:v>其中一支同时参与更多关系时，结构更复杂，但本组关系不删除。</x:v>
      </x:c>
      <x:c r="S88" s="90" t="str">
        <x:v>缺少寅或申中的任一支。</x:v>
      </x:c>
      <x:c r="T88" s="68" t="str">
        <x:v>多重关系的实际优先级、抵消、强化或转化由M06裁决。</x:v>
      </x:c>
      <x:c r="U88" s="68" t="str">
        <x:v>原局存在寅申冲刑并见，各关系独立保留。</x:v>
      </x:c>
      <x:c r="V88" s="68" t="str">
        <x:v>不得选择性只保留其中一种关系，也不得在识别层预判哪一种生效。</x:v>
      </x:c>
      <x:c r="W88" s="82" t="str">
        <x:v>P0_硬约束</x:v>
      </x:c>
      <x:c r="X88" s="82" t="str">
        <x:v>硬约束</x:v>
      </x:c>
      <x:c r="Y88" s="84" t="str">
        <x:v>寅申冲刑并见</x:v>
      </x:c>
      <x:c r="Z88" s="84" t="str">
        <x:v>地支见寅、申，同时登记寅申冲、寅申刑支局部关系；多重关系的实际效应转M06。</x:v>
      </x:c>
      <x:c r="AA88" s="82" t="str">
        <x:v>确定</x:v>
      </x:c>
      <x:c r="AB88" s="82" t="str">
        <x:v>现代综合</x:v>
      </x:c>
      <x:c r="AC88" s="68" t="str">
        <x:v>同一对地支可以满足多套固定关系映射，关系类别并非互斥。</x:v>
      </x:c>
      <x:c r="AD88" s="68" t="str">
        <x:v>见寅、申时，同时列出寅申冲、寅申刑支局部关系。</x:v>
      </x:c>
      <x:c r="AE88" s="90" t="str">
        <x:v>因其中一种关系较常用就删除其他关系。</x:v>
      </x:c>
      <x:c r="AF88" s="68" t="str">
        <x:v>内部结构化规则：识别层与效应层分离；https://zh.wikisource.org/wiki/淵海子平；https://zh.wikisource.org/zh-hans/三命通會_(四庫全書本)</x:v>
      </x:c>
      <x:c r="AG88" s="82" t="str">
        <x:v>采用</x:v>
      </x:c>
      <x:c r="AH88" s="82" t="str">
        <x:v>初审</x:v>
      </x:c>
      <x:c r="AI88" s="87" t="n">
        <x:v>46255</x:v>
      </x:c>
    </x:row>
    <x:row r="89">
      <x:c r="A89" s="72" t="str">
        <x:f>IF(OR(C89="",D89=""),"",B89&amp;"-"&amp;UPPER(C89)&amp;"-"&amp;TEXT(D89,"0000")&amp;"-"&amp;E89)</x:f>
        <x:v>M05-OVER-0083-V1.0</x:v>
      </x:c>
      <x:c r="B89" s="74" t="str">
        <x:v>M05</x:v>
      </x:c>
      <x:c r="C89" s="74" t="str">
        <x:v>OVER</x:v>
      </x:c>
      <x:c r="D89" s="79" t="n">
        <x:v>83</x:v>
      </x:c>
      <x:c r="E89" s="74" t="str">
        <x:v>V1.0</x:v>
      </x:c>
      <x:c r="F89" s="68" t="str">
        <x:v>丑未冲刑并见独立识别</x:v>
      </x:c>
      <x:c r="G89" s="82" t="str">
        <x:v>识别层</x:v>
      </x:c>
      <x:c r="H89" s="82" t="str">
        <x:v>其他</x:v>
      </x:c>
      <x:c r="I89" s="68" t="str">
        <x:v>丑、未</x:v>
      </x:c>
      <x:c r="J89" s="82" t="str">
        <x:v>其他</x:v>
      </x:c>
      <x:c r="K89" s="82" t="str">
        <x:v>完整</x:v>
      </x:c>
      <x:c r="L89" s="68" t="str">
        <x:v>关系存在不以月支得令为必要条件；须另记录参与支中谁为月支。</x:v>
      </x:c>
      <x:c r="M89" s="68" t="str">
        <x:v>相关藏干是否透出不影响关系识别；透干信息只供后续效应与旺衰判断。</x:v>
      </x:c>
      <x:c r="N89" s="68" t="str">
        <x:v>必须同时列出：丑未冲、丑未刑支局部关系。</x:v>
      </x:c>
      <x:c r="O89" s="68" t="str">
        <x:v>四柱地支已按年、月、日、时标准化并保留柱位。</x:v>
      </x:c>
      <x:c r="P89" s="68" t="str">
        <x:v>四柱地支中同时出现丑、未，且各基础关系配对规则均成立。</x:v>
      </x:c>
      <x:c r="Q89" s="68" t="str">
        <x:v>两支相邻或在月日等核心位置，只供后续效应判断。</x:v>
      </x:c>
      <x:c r="R89" s="68" t="str">
        <x:v>其中一支同时参与更多关系时，结构更复杂，但本组关系不删除。</x:v>
      </x:c>
      <x:c r="S89" s="90" t="str">
        <x:v>缺少丑或未中的任一支。</x:v>
      </x:c>
      <x:c r="T89" s="68" t="str">
        <x:v>多重关系的实际优先级、抵消、强化或转化由M06裁决。</x:v>
      </x:c>
      <x:c r="U89" s="68" t="str">
        <x:v>原局存在丑未冲刑并见，各关系独立保留。</x:v>
      </x:c>
      <x:c r="V89" s="68" t="str">
        <x:v>不得选择性只保留其中一种关系，也不得在识别层预判哪一种生效。</x:v>
      </x:c>
      <x:c r="W89" s="82" t="str">
        <x:v>P0_硬约束</x:v>
      </x:c>
      <x:c r="X89" s="82" t="str">
        <x:v>硬约束</x:v>
      </x:c>
      <x:c r="Y89" s="84" t="str">
        <x:v>丑未冲刑并见</x:v>
      </x:c>
      <x:c r="Z89" s="84" t="str">
        <x:v>地支见丑、未，同时登记丑未冲、丑未刑支局部关系；多重关系的实际效应转M06。</x:v>
      </x:c>
      <x:c r="AA89" s="82" t="str">
        <x:v>确定</x:v>
      </x:c>
      <x:c r="AB89" s="82" t="str">
        <x:v>现代综合</x:v>
      </x:c>
      <x:c r="AC89" s="68" t="str">
        <x:v>同一对地支可以满足多套固定关系映射，关系类别并非互斥。</x:v>
      </x:c>
      <x:c r="AD89" s="68" t="str">
        <x:v>见丑、未时，同时列出丑未冲、丑未刑支局部关系。</x:v>
      </x:c>
      <x:c r="AE89" s="90" t="str">
        <x:v>因其中一种关系较常用就删除其他关系。</x:v>
      </x:c>
      <x:c r="AF89" s="68" t="str">
        <x:v>内部结构化规则：识别层与效应层分离；https://zh.wikisource.org/wiki/淵海子平；https://zh.wikisource.org/zh-hans/三命通會_(四庫全書本)</x:v>
      </x:c>
      <x:c r="AG89" s="82" t="str">
        <x:v>采用</x:v>
      </x:c>
      <x:c r="AH89" s="82" t="str">
        <x:v>初审</x:v>
      </x:c>
      <x:c r="AI89" s="87" t="n">
        <x:v>46255</x:v>
      </x:c>
    </x:row>
    <x:row r="90">
      <x:c r="A90" s="72" t="str">
        <x:f>IF(OR(C90="",D90=""),"",B90&amp;"-"&amp;UPPER(C90)&amp;"-"&amp;TEXT(D90,"0000")&amp;"-"&amp;E90)</x:f>
        <x:v>M05-OVER-0084-V1.0</x:v>
      </x:c>
      <x:c r="B90" s="74" t="str">
        <x:v>M05</x:v>
      </x:c>
      <x:c r="C90" s="74" t="str">
        <x:v>OVER</x:v>
      </x:c>
      <x:c r="D90" s="79" t="n">
        <x:v>84</x:v>
      </x:c>
      <x:c r="E90" s="74" t="str">
        <x:v>V1.0</x:v>
      </x:c>
      <x:c r="F90" s="68" t="str">
        <x:v>寅巳刑害并见独立识别</x:v>
      </x:c>
      <x:c r="G90" s="82" t="str">
        <x:v>识别层</x:v>
      </x:c>
      <x:c r="H90" s="82" t="str">
        <x:v>其他</x:v>
      </x:c>
      <x:c r="I90" s="68" t="str">
        <x:v>寅、巳</x:v>
      </x:c>
      <x:c r="J90" s="82" t="str">
        <x:v>其他</x:v>
      </x:c>
      <x:c r="K90" s="82" t="str">
        <x:v>完整</x:v>
      </x:c>
      <x:c r="L90" s="68" t="str">
        <x:v>关系存在不以月支得令为必要条件；须另记录参与支中谁为月支。</x:v>
      </x:c>
      <x:c r="M90" s="68" t="str">
        <x:v>相关藏干是否透出不影响关系识别；透干信息只供后续效应与旺衰判断。</x:v>
      </x:c>
      <x:c r="N90" s="68" t="str">
        <x:v>必须同时列出：寅巳害、寅巳刑支局部关系。</x:v>
      </x:c>
      <x:c r="O90" s="68" t="str">
        <x:v>四柱地支已按年、月、日、时标准化并保留柱位。</x:v>
      </x:c>
      <x:c r="P90" s="68" t="str">
        <x:v>四柱地支中同时出现寅、巳，且各基础关系配对规则均成立。</x:v>
      </x:c>
      <x:c r="Q90" s="68" t="str">
        <x:v>两支相邻或在月日等核心位置，只供后续效应判断。</x:v>
      </x:c>
      <x:c r="R90" s="68" t="str">
        <x:v>其中一支同时参与更多关系时，结构更复杂，但本组关系不删除。</x:v>
      </x:c>
      <x:c r="S90" s="90" t="str">
        <x:v>缺少寅或巳中的任一支。</x:v>
      </x:c>
      <x:c r="T90" s="68" t="str">
        <x:v>多重关系的实际优先级、抵消、强化或转化由M06裁决。</x:v>
      </x:c>
      <x:c r="U90" s="68" t="str">
        <x:v>原局存在寅巳刑害并见，各关系独立保留。</x:v>
      </x:c>
      <x:c r="V90" s="68" t="str">
        <x:v>不得选择性只保留其中一种关系，也不得在识别层预判哪一种生效。</x:v>
      </x:c>
      <x:c r="W90" s="82" t="str">
        <x:v>P0_硬约束</x:v>
      </x:c>
      <x:c r="X90" s="82" t="str">
        <x:v>硬约束</x:v>
      </x:c>
      <x:c r="Y90" s="84" t="str">
        <x:v>寅巳刑害并见</x:v>
      </x:c>
      <x:c r="Z90" s="84" t="str">
        <x:v>地支见寅、巳，同时登记寅巳害、寅巳刑支局部关系；多重关系的实际效应转M06。</x:v>
      </x:c>
      <x:c r="AA90" s="82" t="str">
        <x:v>确定</x:v>
      </x:c>
      <x:c r="AB90" s="82" t="str">
        <x:v>现代综合</x:v>
      </x:c>
      <x:c r="AC90" s="68" t="str">
        <x:v>同一对地支可以满足多套固定关系映射，关系类别并非互斥。</x:v>
      </x:c>
      <x:c r="AD90" s="68" t="str">
        <x:v>见寅、巳时，同时列出寅巳害、寅巳刑支局部关系。</x:v>
      </x:c>
      <x:c r="AE90" s="90" t="str">
        <x:v>因其中一种关系较常用就删除其他关系。</x:v>
      </x:c>
      <x:c r="AF90" s="68" t="str">
        <x:v>内部结构化规则：识别层与效应层分离；https://zh.wikisource.org/wiki/淵海子平；https://zh.wikisource.org/zh-hans/三命通會_(四庫全書本)</x:v>
      </x:c>
      <x:c r="AG90" s="82" t="str">
        <x:v>采用</x:v>
      </x:c>
      <x:c r="AH90" s="82" t="str">
        <x:v>初审</x:v>
      </x:c>
      <x:c r="AI90" s="87" t="n">
        <x:v>46255</x:v>
      </x:c>
    </x:row>
    <x:row r="91">
      <x:c r="A91" s="72" t="str">
        <x:f>IF(OR(C91="",D91=""),"",B91&amp;"-"&amp;UPPER(C91)&amp;"-"&amp;TEXT(D91,"0000")&amp;"-"&amp;E91)</x:f>
        <x:v>M05-OVER-0085-V1.0</x:v>
      </x:c>
      <x:c r="B91" s="74" t="str">
        <x:v>M05</x:v>
      </x:c>
      <x:c r="C91" s="74" t="str">
        <x:v>OVER</x:v>
      </x:c>
      <x:c r="D91" s="79" t="n">
        <x:v>85</x:v>
      </x:c>
      <x:c r="E91" s="74" t="str">
        <x:v>V1.0</x:v>
      </x:c>
      <x:c r="F91" s="68" t="str">
        <x:v>寅亥合破并见独立识别</x:v>
      </x:c>
      <x:c r="G91" s="82" t="str">
        <x:v>识别层</x:v>
      </x:c>
      <x:c r="H91" s="82" t="str">
        <x:v>其他</x:v>
      </x:c>
      <x:c r="I91" s="68" t="str">
        <x:v>寅、亥</x:v>
      </x:c>
      <x:c r="J91" s="82" t="str">
        <x:v>其他</x:v>
      </x:c>
      <x:c r="K91" s="82" t="str">
        <x:v>完整</x:v>
      </x:c>
      <x:c r="L91" s="68" t="str">
        <x:v>关系存在不以月支得令为必要条件；须另记录参与支中谁为月支。</x:v>
      </x:c>
      <x:c r="M91" s="68" t="str">
        <x:v>相关藏干是否透出不影响关系识别；透干信息只供后续效应与旺衰判断。</x:v>
      </x:c>
      <x:c r="N91" s="68" t="str">
        <x:v>必须同时列出：寅亥六合、寅亥破。</x:v>
      </x:c>
      <x:c r="O91" s="68" t="str">
        <x:v>四柱地支已按年、月、日、时标准化并保留柱位。</x:v>
      </x:c>
      <x:c r="P91" s="68" t="str">
        <x:v>四柱地支中同时出现寅、亥，且各基础关系配对规则均成立。</x:v>
      </x:c>
      <x:c r="Q91" s="68" t="str">
        <x:v>两支相邻或在月日等核心位置，只供后续效应判断。</x:v>
      </x:c>
      <x:c r="R91" s="68" t="str">
        <x:v>其中一支同时参与更多关系时，结构更复杂，但本组关系不删除。</x:v>
      </x:c>
      <x:c r="S91" s="90" t="str">
        <x:v>缺少寅或亥中的任一支。</x:v>
      </x:c>
      <x:c r="T91" s="68" t="str">
        <x:v>多重关系的实际优先级、抵消、强化或转化由M06裁决。</x:v>
      </x:c>
      <x:c r="U91" s="68" t="str">
        <x:v>原局存在寅亥合破并见，各关系独立保留。</x:v>
      </x:c>
      <x:c r="V91" s="68" t="str">
        <x:v>不得选择性只保留其中一种关系，也不得在识别层预判哪一种生效。</x:v>
      </x:c>
      <x:c r="W91" s="82" t="str">
        <x:v>P0_硬约束</x:v>
      </x:c>
      <x:c r="X91" s="82" t="str">
        <x:v>硬约束</x:v>
      </x:c>
      <x:c r="Y91" s="84" t="str">
        <x:v>寅亥合破并见</x:v>
      </x:c>
      <x:c r="Z91" s="84" t="str">
        <x:v>地支见寅、亥，同时登记寅亥六合、寅亥破；多重关系的实际效应转M06。</x:v>
      </x:c>
      <x:c r="AA91" s="82" t="str">
        <x:v>确定</x:v>
      </x:c>
      <x:c r="AB91" s="82" t="str">
        <x:v>现代综合</x:v>
      </x:c>
      <x:c r="AC91" s="68" t="str">
        <x:v>同一对地支可以满足多套固定关系映射，关系类别并非互斥。</x:v>
      </x:c>
      <x:c r="AD91" s="68" t="str">
        <x:v>见寅、亥时，同时列出寅亥六合、寅亥破。</x:v>
      </x:c>
      <x:c r="AE91" s="90" t="str">
        <x:v>因其中一种关系较常用就删除其他关系。</x:v>
      </x:c>
      <x:c r="AF91" s="68" t="str">
        <x:v>内部结构化规则：识别层与效应层分离；https://zh.wikisource.org/wiki/淵海子平；https://zh.wikisource.org/zh-hans/三命通會_(四庫全書本)</x:v>
      </x:c>
      <x:c r="AG91" s="82" t="str">
        <x:v>采用</x:v>
      </x:c>
      <x:c r="AH91" s="82" t="str">
        <x:v>初审</x:v>
      </x:c>
      <x:c r="AI91" s="87" t="n">
        <x:v>46255</x:v>
      </x:c>
    </x:row>
    <x:row r="92">
      <x:c r="A92" s="72" t="str">
        <x:f>IF(OR(C92="",D92=""),"",B92&amp;"-"&amp;UPPER(C92)&amp;"-"&amp;TEXT(D92,"0000")&amp;"-"&amp;E92)</x:f>
        <x:v>M05-OVER-0086-V1.0</x:v>
      </x:c>
      <x:c r="B92" s="74" t="str">
        <x:v>M05</x:v>
      </x:c>
      <x:c r="C92" s="74" t="str">
        <x:v>OVER</x:v>
      </x:c>
      <x:c r="D92" s="79" t="n">
        <x:v>86</x:v>
      </x:c>
      <x:c r="E92" s="74" t="str">
        <x:v>V1.0</x:v>
      </x:c>
      <x:c r="F92" s="68" t="str">
        <x:v>未戌刑破并见独立识别</x:v>
      </x:c>
      <x:c r="G92" s="82" t="str">
        <x:v>识别层</x:v>
      </x:c>
      <x:c r="H92" s="82" t="str">
        <x:v>其他</x:v>
      </x:c>
      <x:c r="I92" s="68" t="str">
        <x:v>未、戌</x:v>
      </x:c>
      <x:c r="J92" s="82" t="str">
        <x:v>其他</x:v>
      </x:c>
      <x:c r="K92" s="82" t="str">
        <x:v>完整</x:v>
      </x:c>
      <x:c r="L92" s="68" t="str">
        <x:v>关系存在不以月支得令为必要条件；须另记录参与支中谁为月支。</x:v>
      </x:c>
      <x:c r="M92" s="68" t="str">
        <x:v>相关藏干是否透出不影响关系识别；透干信息只供后续效应与旺衰判断。</x:v>
      </x:c>
      <x:c r="N92" s="68" t="str">
        <x:v>必须同时列出：未戌刑支局部关系、未戌破。</x:v>
      </x:c>
      <x:c r="O92" s="68" t="str">
        <x:v>四柱地支已按年、月、日、时标准化并保留柱位。</x:v>
      </x:c>
      <x:c r="P92" s="68" t="str">
        <x:v>四柱地支中同时出现未、戌，且各基础关系配对规则均成立。</x:v>
      </x:c>
      <x:c r="Q92" s="68" t="str">
        <x:v>两支相邻或在月日等核心位置，只供后续效应判断。</x:v>
      </x:c>
      <x:c r="R92" s="68" t="str">
        <x:v>其中一支同时参与更多关系时，结构更复杂，但本组关系不删除。</x:v>
      </x:c>
      <x:c r="S92" s="90" t="str">
        <x:v>缺少未或戌中的任一支。</x:v>
      </x:c>
      <x:c r="T92" s="68" t="str">
        <x:v>多重关系的实际优先级、抵消、强化或转化由M06裁决。</x:v>
      </x:c>
      <x:c r="U92" s="68" t="str">
        <x:v>原局存在未戌刑破并见，各关系独立保留。</x:v>
      </x:c>
      <x:c r="V92" s="68" t="str">
        <x:v>不得选择性只保留其中一种关系，也不得在识别层预判哪一种生效。</x:v>
      </x:c>
      <x:c r="W92" s="82" t="str">
        <x:v>P0_硬约束</x:v>
      </x:c>
      <x:c r="X92" s="82" t="str">
        <x:v>硬约束</x:v>
      </x:c>
      <x:c r="Y92" s="84" t="str">
        <x:v>未戌刑破并见</x:v>
      </x:c>
      <x:c r="Z92" s="84" t="str">
        <x:v>地支见未、戌，同时登记未戌刑支局部关系、未戌破；多重关系的实际效应转M06。</x:v>
      </x:c>
      <x:c r="AA92" s="82" t="str">
        <x:v>确定</x:v>
      </x:c>
      <x:c r="AB92" s="82" t="str">
        <x:v>现代综合</x:v>
      </x:c>
      <x:c r="AC92" s="68" t="str">
        <x:v>同一对地支可以满足多套固定关系映射，关系类别并非互斥。</x:v>
      </x:c>
      <x:c r="AD92" s="68" t="str">
        <x:v>见未、戌时，同时列出未戌刑支局部关系、未戌破。</x:v>
      </x:c>
      <x:c r="AE92" s="90" t="str">
        <x:v>因其中一种关系较常用就删除其他关系。</x:v>
      </x:c>
      <x:c r="AF92" s="68" t="str">
        <x:v>内部结构化规则：识别层与效应层分离；https://zh.wikisource.org/wiki/淵海子平；https://zh.wikisource.org/zh-hans/三命通會_(四庫全書本)</x:v>
      </x:c>
      <x:c r="AG92" s="82" t="str">
        <x:v>采用</x:v>
      </x:c>
      <x:c r="AH92" s="82" t="str">
        <x:v>初审</x:v>
      </x:c>
      <x:c r="AI92" s="87" t="n">
        <x:v>46255</x:v>
      </x:c>
    </x:row>
    <x:row r="93">
      <x:c r="A93" s="72" t="str">
        <x:f>IF(OR(C93="",D93=""),"",B93&amp;"-"&amp;UPPER(C93)&amp;"-"&amp;TEXT(D93,"0000")&amp;"-"&amp;E93)</x:f>
        <x:v>M05-BOUND-0087-V1.0</x:v>
      </x:c>
      <x:c r="B93" s="74" t="str">
        <x:v>M05</x:v>
      </x:c>
      <x:c r="C93" s="74" t="str">
        <x:v>BOUND</x:v>
      </x:c>
      <x:c r="D93" s="79" t="n">
        <x:v>87</x:v>
      </x:c>
      <x:c r="E93" s="74" t="str">
        <x:v>V1.0</x:v>
      </x:c>
      <x:c r="F93" s="68" t="str">
        <x:v>三合两端组合应分类为拱合而非半合</x:v>
      </x:c>
      <x:c r="G93" s="82" t="str">
        <x:v>识别层</x:v>
      </x:c>
      <x:c r="H93" s="82" t="str">
        <x:v>拱合</x:v>
      </x:c>
      <x:c r="I93" s="68" t="str">
        <x:v>任一三合生支与墓支</x:v>
      </x:c>
      <x:c r="J93" s="82" t="str">
        <x:v>其他</x:v>
      </x:c>
      <x:c r="K93" s="82" t="str">
        <x:v>部分</x:v>
      </x:c>
      <x:c r="L93" s="68" t="str">
        <x:v>关系存在不以月支得令为必要条件；须另记录参与支中谁为月支。</x:v>
      </x:c>
      <x:c r="M93" s="68" t="str">
        <x:v>相关藏干是否透出不影响关系识别；透干信息只供后续效应与旺衰判断。</x:v>
      </x:c>
      <x:c r="N93" s="68" t="str">
        <x:v>检查参与支是否同时构成合、冲、刑、害、破、三合或三会的其他关系。</x:v>
      </x:c>
      <x:c r="O93" s="68" t="str">
        <x:v>四柱地支已按年、月、日、时标准化并保留柱位。</x:v>
      </x:c>
      <x:c r="P93" s="68" t="str">
        <x:v>只见三合组的两端支，且中神缺失。</x:v>
      </x:c>
      <x:c r="Q93" s="68"/>
      <x:c r="R93" s="68"/>
      <x:c r="S93" s="90" t="str">
        <x:v>中神已经出现时应登记完整三合；含中神的两支组合按半合分类。</x:v>
      </x:c>
      <x:c r="T93" s="68" t="str">
        <x:v>部分流派会泛称半合，本库为提高可计算性固定区分“含中神半合”与“两端拱合”。</x:v>
      </x:c>
      <x:c r="U93" s="68" t="str">
        <x:v>该两支结构归入拱合，不归入本库的半合子类。</x:v>
      </x:c>
      <x:c r="V93" s="68" t="str">
        <x:v>不得把缺失中神当作已经被拱出，也不得混淆分类。</x:v>
      </x:c>
      <x:c r="W93" s="82" t="str">
        <x:v>P0_硬约束</x:v>
      </x:c>
      <x:c r="X93" s="82" t="str">
        <x:v>硬约束</x:v>
      </x:c>
      <x:c r="Y93" s="84" t="str">
        <x:v>半合拱合分类</x:v>
      </x:c>
      <x:c r="Z93" s="84" t="str">
        <x:v>该组合为三合两端齐、中神缺，按本库分类记为拱合；含中神的两支才记半合。</x:v>
      </x:c>
      <x:c r="AA93" s="82" t="str">
        <x:v>较高</x:v>
      </x:c>
      <x:c r="AB93" s="82" t="str">
        <x:v>现代综合</x:v>
      </x:c>
      <x:c r="AC93" s="68" t="str">
        <x:v>明确分类能避免同一两支同时被重复标为半合与拱合。</x:v>
      </x:c>
      <x:c r="AD93" s="68" t="str">
        <x:v>申辰缺子，记申辰拱合。</x:v>
      </x:c>
      <x:c r="AE93" s="90" t="str">
        <x:v>申子含中神子，应记半合，不记两端拱合。</x:v>
      </x:c>
      <x:c r="AF93" s="68" t="str">
        <x:v>内部结构化规则：识别层与效应层分离；https://zh.wikisource.org/wiki/淵海子平；https://zh.wikisource.org/zh-hans/三命通會_(四庫全書本)</x:v>
      </x:c>
      <x:c r="AG93" s="82" t="str">
        <x:v>采用</x:v>
      </x:c>
      <x:c r="AH93" s="82" t="str">
        <x:v>初审</x:v>
      </x:c>
      <x:c r="AI93" s="87" t="n">
        <x:v>46255</x:v>
      </x:c>
    </x:row>
    <x:row r="94">
      <x:c r="A94" s="72" t="str">
        <x:f>IF(OR(C94="",D94=""),"",B94&amp;"-"&amp;UPPER(C94)&amp;"-"&amp;TEXT(D94,"0000")&amp;"-"&amp;E94)</x:f>
        <x:v>M05-BOUND-0088-V1.0</x:v>
      </x:c>
      <x:c r="B94" s="74" t="str">
        <x:v>M05</x:v>
      </x:c>
      <x:c r="C94" s="74" t="str">
        <x:v>BOUND</x:v>
      </x:c>
      <x:c r="D94" s="79" t="n">
        <x:v>88</x:v>
      </x:c>
      <x:c r="E94" s="74" t="str">
        <x:v>V1.0</x:v>
      </x:c>
      <x:c r="F94" s="68" t="str">
        <x:v>三会只见两支时标记部分候选</x:v>
      </x:c>
      <x:c r="G94" s="82" t="str">
        <x:v>识别层</x:v>
      </x:c>
      <x:c r="H94" s="82" t="str">
        <x:v>三会</x:v>
      </x:c>
      <x:c r="I94" s="68" t="str">
        <x:v>任一三会组的两支</x:v>
      </x:c>
      <x:c r="J94" s="82" t="str">
        <x:v>其他</x:v>
      </x:c>
      <x:c r="K94" s="82" t="str">
        <x:v>部分</x:v>
      </x:c>
      <x:c r="L94" s="68" t="str">
        <x:v>关系存在不以月支得令为必要条件；须另记录参与支中谁为月支。</x:v>
      </x:c>
      <x:c r="M94" s="68" t="str">
        <x:v>相关藏干是否透出不影响关系识别；透干信息只供后续效应与旺衰判断。</x:v>
      </x:c>
      <x:c r="N94" s="68" t="str">
        <x:v>检查参与支是否同时构成合、冲、刑、害、破、三合或三会的其他关系。</x:v>
      </x:c>
      <x:c r="O94" s="68" t="str">
        <x:v>四柱地支已按年、月、日、时标准化并保留柱位。</x:v>
      </x:c>
      <x:c r="P94" s="68" t="str">
        <x:v>同一三会组只出现其中两支，第三支缺失。</x:v>
      </x:c>
      <x:c r="Q94" s="68" t="str">
        <x:v>两支相邻、同季得令时，只增强后续会势候选。</x:v>
      </x:c>
      <x:c r="R94" s="68" t="str">
        <x:v>两支隔位或参与其他关系时，后续效应更不确定。</x:v>
      </x:c>
      <x:c r="S94" s="90" t="str">
        <x:v>三支已齐时应登记完整三会；只见一支时不形成两支候选。</x:v>
      </x:c>
      <x:c r="T94" s="68" t="str">
        <x:v>本库不另设“半会”关系类型，统一标记为三会部分候选。</x:v>
      </x:c>
      <x:c r="U94" s="68" t="str">
        <x:v>该三会组为部分状态，不标完整三会。</x:v>
      </x:c>
      <x:c r="V94" s="68" t="str">
        <x:v>不得直接输出成会局，也不得把缺失支视为存在。</x:v>
      </x:c>
      <x:c r="W94" s="82" t="str">
        <x:v>P1_高</x:v>
      </x:c>
      <x:c r="X94" s="82" t="str">
        <x:v>辅助证据</x:v>
      </x:c>
      <x:c r="Y94" s="84" t="str">
        <x:v>三会部分候选</x:v>
      </x:c>
      <x:c r="Z94" s="84" t="str">
        <x:v>同一三会组仅见两支，记录为三会部分候选；第三支缺失，完整度为部分。</x:v>
      </x:c>
      <x:c r="AA94" s="82" t="str">
        <x:v>较高</x:v>
      </x:c>
      <x:c r="AB94" s="82" t="str">
        <x:v>现代综合</x:v>
      </x:c>
      <x:c r="AC94" s="68" t="str">
        <x:v>三会完整需要三支齐全；两支可保留候选信息，但避免发明统一效应。</x:v>
      </x:c>
      <x:c r="AD94" s="68" t="str">
        <x:v>寅卯同见而无辰，记寅卯辰三会部分候选。</x:v>
      </x:c>
      <x:c r="AE94" s="90" t="str">
        <x:v>寅卯辰齐全仍只写部分候选。</x:v>
      </x:c>
      <x:c r="AF94" s="68" t="str">
        <x:v>内部结构化规则：识别层与效应层分离；https://zh.wikisource.org/wiki/淵海子平；https://zh.wikisource.org/zh-hans/三命通會_(四庫全書本)</x:v>
      </x:c>
      <x:c r="AG94" s="82" t="str">
        <x:v>采用</x:v>
      </x:c>
      <x:c r="AH94" s="82" t="str">
        <x:v>初审</x:v>
      </x:c>
      <x:c r="AI94" s="87" t="n">
        <x:v>46255</x:v>
      </x:c>
    </x:row>
    <x:row r="95">
      <x:c r="A95" s="72" t="str">
        <x:f>IF(OR(C95="",D95=""),"",B95&amp;"-"&amp;UPPER(C95)&amp;"-"&amp;TEXT(D95,"0000")&amp;"-"&amp;E95)</x:f>
        <x:v>M05-BOUND-0089-V1.0</x:v>
      </x:c>
      <x:c r="B95" s="74" t="str">
        <x:v>M05</x:v>
      </x:c>
      <x:c r="C95" s="74" t="str">
        <x:v>BOUND</x:v>
      </x:c>
      <x:c r="D95" s="79" t="n">
        <x:v>89</x:v>
      </x:c>
      <x:c r="E95" s="74" t="str">
        <x:v>V1.0</x:v>
      </x:c>
      <x:c r="F95" s="68" t="str">
        <x:v>重复同一地支不得替代三支组缺支</x:v>
      </x:c>
      <x:c r="G95" s="82" t="str">
        <x:v>识别层</x:v>
      </x:c>
      <x:c r="H95" s="82" t="str">
        <x:v>其他</x:v>
      </x:c>
      <x:c r="I95" s="68" t="str">
        <x:v>任一三合、三会或三刑三支组</x:v>
      </x:c>
      <x:c r="J95" s="82" t="str">
        <x:v>其他</x:v>
      </x:c>
      <x:c r="K95" s="82" t="str">
        <x:v>部分</x:v>
      </x:c>
      <x:c r="L95" s="68" t="str">
        <x:v>关系存在不以月支得令为必要条件；须另记录参与支中谁为月支。</x:v>
      </x:c>
      <x:c r="M95" s="68" t="str">
        <x:v>相关藏干是否透出不影响关系识别；透干信息只供后续效应与旺衰判断。</x:v>
      </x:c>
      <x:c r="N95" s="68" t="str">
        <x:v>检查参与支是否同时构成合、冲、刑、害、破、三合或三会的其他关系。</x:v>
      </x:c>
      <x:c r="O95" s="68" t="str">
        <x:v>四柱地支已按年、月、日、时标准化并保留柱位。</x:v>
      </x:c>
      <x:c r="P95" s="68" t="str">
        <x:v>三支组中一支重复出现，但另一成员地支缺失。</x:v>
      </x:c>
      <x:c r="Q95" s="68"/>
      <x:c r="R95" s="68"/>
      <x:c r="S95" s="90" t="str">
        <x:v>三种不同成员支均已出现时，按完整结构登记。</x:v>
      </x:c>
      <x:c r="T95" s="68" t="str">
        <x:v>重复支可形成自刑或多重关系，但不增加集合中的不同成员数。</x:v>
      </x:c>
      <x:c r="U95" s="68" t="str">
        <x:v>完整度仍为部分；重复支另按节点与自刑规则处理。</x:v>
      </x:c>
      <x:c r="V95" s="68" t="str">
        <x:v>不得把两个相同支当作两个不同成员来补齐三合、三会或三刑。</x:v>
      </x:c>
      <x:c r="W95" s="82" t="str">
        <x:v>P0_硬约束</x:v>
      </x:c>
      <x:c r="X95" s="82" t="str">
        <x:v>否决规则</x:v>
      </x:c>
      <x:c r="Y95" s="84" t="str">
        <x:v>重复支不补组</x:v>
      </x:c>
      <x:c r="Z95" s="84" t="str">
        <x:v>同支重复不能替代缺失成员；该三支组仍未完整，重复支另行处理。</x:v>
      </x:c>
      <x:c r="AA95" s="82" t="str">
        <x:v>确定</x:v>
      </x:c>
      <x:c r="AB95" s="82" t="str">
        <x:v>现代综合</x:v>
      </x:c>
      <x:c r="AC95" s="68" t="str">
        <x:v>集合完整度按不同地支成员计数，而非按地支总数量计数。</x:v>
      </x:c>
      <x:c r="AD95" s="68" t="str">
        <x:v>申、申、子而无辰，申子辰三合仍为部分。</x:v>
      </x:c>
      <x:c r="AE95" s="90" t="str">
        <x:v>把两个申分别当作申与辰来判完整三合。</x:v>
      </x:c>
      <x:c r="AF95" s="68" t="str">
        <x:v>内部结构化规则：识别层与效应层分离；https://zh.wikisource.org/wiki/淵海子平；https://zh.wikisource.org/zh-hans/三命通會_(四庫全書本)</x:v>
      </x:c>
      <x:c r="AG95" s="82" t="str">
        <x:v>采用</x:v>
      </x:c>
      <x:c r="AH95" s="82" t="str">
        <x:v>初审</x:v>
      </x:c>
      <x:c r="AI95" s="87" t="n">
        <x:v>46255</x:v>
      </x:c>
    </x:row>
    <x:row r="96">
      <x:c r="A96" s="72" t="str">
        <x:f>IF(OR(C96="",D96=""),"",B96&amp;"-"&amp;UPPER(C96)&amp;"-"&amp;TEXT(D96,"0000")&amp;"-"&amp;E96)</x:f>
        <x:v>M05-BOUND-0090-V1.0</x:v>
      </x:c>
      <x:c r="B96" s="74" t="str">
        <x:v>M05</x:v>
      </x:c>
      <x:c r="C96" s="74" t="str">
        <x:v>BOUND</x:v>
      </x:c>
      <x:c r="D96" s="79" t="n">
        <x:v>90</x:v>
      </x:c>
      <x:c r="E96" s="74" t="str">
        <x:v>V1.0</x:v>
      </x:c>
      <x:c r="F96" s="68" t="str">
        <x:v>地支识别层不裁定关系优先级与力量结果</x:v>
      </x:c>
      <x:c r="G96" s="82" t="str">
        <x:v>识别层</x:v>
      </x:c>
      <x:c r="H96" s="82" t="str">
        <x:v>其他</x:v>
      </x:c>
      <x:c r="I96" s="68" t="str">
        <x:v>全部地支关系</x:v>
      </x:c>
      <x:c r="J96" s="82" t="str">
        <x:v>其他</x:v>
      </x:c>
      <x:c r="K96" s="82" t="str">
        <x:v>待定</x:v>
      </x:c>
      <x:c r="L96" s="68" t="str">
        <x:v>月令、根气、透干与成势用于效应层，不删除已识别关系。</x:v>
      </x:c>
      <x:c r="M96" s="68" t="str">
        <x:v>透干只作为后续作用通道。</x:v>
      </x:c>
      <x:c r="N96" s="68" t="str">
        <x:v>所有六合、三合、半合、拱合、三会、冲刑害破完整传递至M06。</x:v>
      </x:c>
      <x:c r="O96" s="68" t="str">
        <x:v>四柱地支已按年、月、日、时标准化并保留柱位。</x:v>
      </x:c>
      <x:c r="P96" s="68" t="str">
        <x:v>M05已经识别出至少一条地支关系。</x:v>
      </x:c>
      <x:c r="Q96" s="68"/>
      <x:c r="R96" s="68"/>
      <x:c r="S96" s="90" t="str">
        <x:v>无关系实例时不生成效应任务。</x:v>
      </x:c>
      <x:c r="T96" s="68" t="str">
        <x:v>错误配对可以在识别层否决；效应未成立不能反向删除基础关系事实。</x:v>
      </x:c>
      <x:c r="U96" s="68" t="str">
        <x:v>输出关系清单、柱位、完整度、月令与叠加关系；实际效应统一标记为待M06。</x:v>
      </x:c>
      <x:c r="V96" s="68" t="str">
        <x:v>不得在M05直接输出合化成局、冲散、刑伤、开库、破根、增减力、吉凶或喜忌用神。</x:v>
      </x:c>
      <x:c r="W96" s="82" t="str">
        <x:v>P0_硬约束</x:v>
      </x:c>
      <x:c r="X96" s="82" t="str">
        <x:v>硬约束</x:v>
      </x:c>
      <x:c r="Y96" s="84" t="str">
        <x:v>识别效应分层</x:v>
      </x:c>
      <x:c r="Z96" s="84" t="str">
        <x:v>地支关系已经客观识别；所有成局、冲刑结果、根气变化与力量修正转M06及后续模块判断。</x:v>
      </x:c>
      <x:c r="AA96" s="82" t="str">
        <x:v>确定</x:v>
      </x:c>
      <x:c r="AB96" s="82" t="str">
        <x:v>现代综合</x:v>
      </x:c>
      <x:c r="AC96" s="68" t="str">
        <x:v>识别层与效应层分离是本知识库的核心治理原则。</x:v>
      </x:c>
      <x:c r="AD96" s="68" t="str">
        <x:v>见寅巳申只输出完整三刑与重叠关系，不直接写巳火被刑弱。</x:v>
      </x:c>
      <x:c r="AE96" s="90" t="str">
        <x:v>一识别冲刑就统一扣减参与支力量，属于越层推断。</x:v>
      </x:c>
      <x:c r="AF96" s="68" t="str">
        <x:v>内部结构化规则：识别层与效应层分离；https://zh.wikisource.org/wiki/淵海子平；https://zh.wikisource.org/zh-hans/三命通會_(四庫全書本)</x:v>
      </x:c>
      <x:c r="AG96" s="82" t="str">
        <x:v>采用</x:v>
      </x:c>
      <x:c r="AH96" s="82" t="str">
        <x:v>初审</x:v>
      </x:c>
      <x:c r="AI96" s="87" t="n">
        <x:v>46255</x:v>
      </x:c>
    </x:row>
    <x:row r="97">
      <x:c r="A97" s="72" t="str">
        <x:f>IF(OR(C97="",D97=""),"",B97&amp;"-"&amp;UPPER(C97)&amp;"-"&amp;TEXT(D97,"0000")&amp;"-"&amp;E97)</x:f>
      </x:c>
      <x:c r="B97" s="74" t="str">
        <x:v>M05</x:v>
      </x:c>
      <x:c r="C97" s="74"/>
      <x:c r="D97" s="79"/>
      <x:c r="E97" s="74" t="str">
        <x:v>V1.0</x:v>
      </x:c>
      <x:c r="F97" s="68"/>
      <x:c r="G97" s="82"/>
      <x:c r="H97" s="82"/>
      <x:c r="I97" s="68"/>
      <x:c r="J97" s="82"/>
      <x:c r="K97" s="82"/>
      <x:c r="L97" s="68"/>
      <x:c r="M97" s="68"/>
      <x:c r="N97" s="68"/>
      <x:c r="O97" s="68"/>
      <x:c r="P97" s="68"/>
      <x:c r="Q97" s="68"/>
      <x:c r="R97" s="68"/>
      <x:c r="S97" s="90"/>
      <x:c r="T97" s="68"/>
      <x:c r="U97" s="68"/>
      <x:c r="V97" s="68"/>
      <x:c r="W97" s="82"/>
      <x:c r="X97" s="82"/>
      <x:c r="Y97" s="84"/>
      <x:c r="Z97" s="84"/>
      <x:c r="AA97" s="82"/>
      <x:c r="AB97" s="82"/>
      <x:c r="AC97" s="68"/>
      <x:c r="AD97" s="68"/>
      <x:c r="AE97" s="90"/>
      <x:c r="AF97" s="68"/>
      <x:c r="AG97" s="82"/>
      <x:c r="AH97" s="82"/>
      <x:c r="AI97" s="87"/>
    </x:row>
    <x:row r="98">
      <x:c r="A98" s="72" t="str">
        <x:f>IF(OR(C98="",D98=""),"",B98&amp;"-"&amp;UPPER(C98)&amp;"-"&amp;TEXT(D98,"0000")&amp;"-"&amp;E98)</x:f>
      </x:c>
      <x:c r="B98" s="74" t="str">
        <x:v>M05</x:v>
      </x:c>
      <x:c r="C98" s="74"/>
      <x:c r="D98" s="79"/>
      <x:c r="E98" s="74" t="str">
        <x:v>V1.0</x:v>
      </x:c>
      <x:c r="F98" s="68"/>
      <x:c r="G98" s="82"/>
      <x:c r="H98" s="82"/>
      <x:c r="I98" s="68"/>
      <x:c r="J98" s="82"/>
      <x:c r="K98" s="82"/>
      <x:c r="L98" s="68"/>
      <x:c r="M98" s="68"/>
      <x:c r="N98" s="68"/>
      <x:c r="O98" s="68"/>
      <x:c r="P98" s="68"/>
      <x:c r="Q98" s="68"/>
      <x:c r="R98" s="68"/>
      <x:c r="S98" s="90"/>
      <x:c r="T98" s="68"/>
      <x:c r="U98" s="68"/>
      <x:c r="V98" s="68"/>
      <x:c r="W98" s="82"/>
      <x:c r="X98" s="82"/>
      <x:c r="Y98" s="84"/>
      <x:c r="Z98" s="84"/>
      <x:c r="AA98" s="82"/>
      <x:c r="AB98" s="82"/>
      <x:c r="AC98" s="68"/>
      <x:c r="AD98" s="68"/>
      <x:c r="AE98" s="90"/>
      <x:c r="AF98" s="68"/>
      <x:c r="AG98" s="82"/>
      <x:c r="AH98" s="82"/>
      <x:c r="AI98" s="87"/>
    </x:row>
    <x:row r="99">
      <x:c r="A99" s="72" t="str">
        <x:f>IF(OR(C99="",D99=""),"",B99&amp;"-"&amp;UPPER(C99)&amp;"-"&amp;TEXT(D99,"0000")&amp;"-"&amp;E99)</x:f>
      </x:c>
      <x:c r="B99" s="74" t="str">
        <x:v>M05</x:v>
      </x:c>
      <x:c r="C99" s="74"/>
      <x:c r="D99" s="79"/>
      <x:c r="E99" s="74" t="str">
        <x:v>V1.0</x:v>
      </x:c>
      <x:c r="F99" s="68"/>
      <x:c r="G99" s="82"/>
      <x:c r="H99" s="82"/>
      <x:c r="I99" s="68"/>
      <x:c r="J99" s="82"/>
      <x:c r="K99" s="82"/>
      <x:c r="L99" s="68"/>
      <x:c r="M99" s="68"/>
      <x:c r="N99" s="68"/>
      <x:c r="O99" s="68"/>
      <x:c r="P99" s="68"/>
      <x:c r="Q99" s="68"/>
      <x:c r="R99" s="68"/>
      <x:c r="S99" s="90"/>
      <x:c r="T99" s="68"/>
      <x:c r="U99" s="68"/>
      <x:c r="V99" s="68"/>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M05</x:v>
      </x:c>
      <x:c r="C100" s="74"/>
      <x:c r="D100" s="79"/>
      <x:c r="E100" s="74" t="str">
        <x:v>V1.0</x:v>
      </x:c>
      <x:c r="F100" s="68"/>
      <x:c r="G100" s="82"/>
      <x:c r="H100" s="82"/>
      <x:c r="I100" s="68"/>
      <x:c r="J100" s="82"/>
      <x:c r="K100" s="82"/>
      <x:c r="L100" s="68"/>
      <x:c r="M100" s="68"/>
      <x:c r="N100" s="68"/>
      <x:c r="O100" s="68"/>
      <x:c r="P100" s="68"/>
      <x:c r="Q100" s="68"/>
      <x:c r="R100" s="68"/>
      <x:c r="S100" s="90"/>
      <x:c r="T100" s="68"/>
      <x:c r="U100" s="68"/>
      <x:c r="V100" s="68"/>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M05</x:v>
      </x:c>
      <x:c r="C101" s="74"/>
      <x:c r="D101" s="79"/>
      <x:c r="E101" s="74" t="str">
        <x:v>V1.0</x:v>
      </x:c>
      <x:c r="F101" s="68"/>
      <x:c r="G101" s="82"/>
      <x:c r="H101" s="82"/>
      <x:c r="I101" s="68"/>
      <x:c r="J101" s="82"/>
      <x:c r="K101" s="82"/>
      <x:c r="L101" s="68"/>
      <x:c r="M101" s="68"/>
      <x:c r="N101" s="68"/>
      <x:c r="O101" s="68"/>
      <x:c r="P101" s="68"/>
      <x:c r="Q101" s="68"/>
      <x:c r="R101" s="68"/>
      <x:c r="S101" s="90"/>
      <x:c r="T101" s="68"/>
      <x:c r="U101" s="68"/>
      <x:c r="V101" s="68"/>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M05</x:v>
      </x:c>
      <x:c r="C102" s="74"/>
      <x:c r="D102" s="79"/>
      <x:c r="E102" s="74" t="str">
        <x:v>V1.0</x:v>
      </x:c>
      <x:c r="F102" s="68"/>
      <x:c r="G102" s="82"/>
      <x:c r="H102" s="82"/>
      <x:c r="I102" s="68"/>
      <x:c r="J102" s="82"/>
      <x:c r="K102" s="82"/>
      <x:c r="L102" s="68"/>
      <x:c r="M102" s="68"/>
      <x:c r="N102" s="68"/>
      <x:c r="O102" s="68"/>
      <x:c r="P102" s="68"/>
      <x:c r="Q102" s="68"/>
      <x:c r="R102" s="68"/>
      <x:c r="S102" s="90"/>
      <x:c r="T102" s="68"/>
      <x:c r="U102" s="68"/>
      <x:c r="V102" s="68"/>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M05</x:v>
      </x:c>
      <x:c r="C103" s="74"/>
      <x:c r="D103" s="79"/>
      <x:c r="E103" s="74" t="str">
        <x:v>V1.0</x:v>
      </x:c>
      <x:c r="F103" s="68"/>
      <x:c r="G103" s="82"/>
      <x:c r="H103" s="82"/>
      <x:c r="I103" s="68"/>
      <x:c r="J103" s="82"/>
      <x:c r="K103" s="82"/>
      <x:c r="L103" s="68"/>
      <x:c r="M103" s="68"/>
      <x:c r="N103" s="68"/>
      <x:c r="O103" s="68"/>
      <x:c r="P103" s="68"/>
      <x:c r="Q103" s="68"/>
      <x:c r="R103" s="68"/>
      <x:c r="S103" s="90"/>
      <x:c r="T103" s="68"/>
      <x:c r="U103" s="68"/>
      <x:c r="V103" s="68"/>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M05</x:v>
      </x:c>
      <x:c r="C104" s="74"/>
      <x:c r="D104" s="79"/>
      <x:c r="E104" s="74" t="str">
        <x:v>V1.0</x:v>
      </x:c>
      <x:c r="F104" s="68"/>
      <x:c r="G104" s="82"/>
      <x:c r="H104" s="82"/>
      <x:c r="I104" s="68"/>
      <x:c r="J104" s="82"/>
      <x:c r="K104" s="82"/>
      <x:c r="L104" s="68"/>
      <x:c r="M104" s="68"/>
      <x:c r="N104" s="68"/>
      <x:c r="O104" s="68"/>
      <x:c r="P104" s="68"/>
      <x:c r="Q104" s="68"/>
      <x:c r="R104" s="68"/>
      <x:c r="S104" s="90"/>
      <x:c r="T104" s="68"/>
      <x:c r="U104" s="68"/>
      <x:c r="V104" s="68"/>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M05</x:v>
      </x:c>
      <x:c r="C105" s="74"/>
      <x:c r="D105" s="79"/>
      <x:c r="E105" s="74" t="str">
        <x:v>V1.0</x:v>
      </x:c>
      <x:c r="F105" s="68"/>
      <x:c r="G105" s="82"/>
      <x:c r="H105" s="82"/>
      <x:c r="I105" s="68"/>
      <x:c r="J105" s="82"/>
      <x:c r="K105" s="82"/>
      <x:c r="L105" s="68"/>
      <x:c r="M105" s="68"/>
      <x:c r="N105" s="68"/>
      <x:c r="O105" s="68"/>
      <x:c r="P105" s="68"/>
      <x:c r="Q105" s="68"/>
      <x:c r="R105" s="68"/>
      <x:c r="S105" s="90"/>
      <x:c r="T105" s="68"/>
      <x:c r="U105" s="68"/>
      <x:c r="V105" s="68"/>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3" priority="1">
      <x:formula>AND(A6&lt;&gt;"",COUNTIF($A$6:$A$105,A6)&gt;1)</x:formula>
    </x:cfRule>
  </x:conditionalFormatting>
  <x:dataValidations count="13">
    <x:dataValidation type="list" sqref="E6:E105">
      <x:formula1>'99_下拉选项'!$BG$4:$BG$12</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'99_下拉选项'!$BG$4:$BG$19</x:formula1>
    </x:dataValidation>
  </x:dataValidations>
  <x:pageMargins left="0.7" right="0.7" top="0.75" bottom="0.75" header="0.3" footer="0.3"/>
  <x:tableParts count="1">
    <x:tablePart xmlns:r="http://schemas.openxmlformats.org/officeDocument/2006/relationships" r:id="R370a59c72757420a"/>
  </x:tableParts>
</x:worksheet>
</file>

<file path=xl/worksheets/sheet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30" hidden="0" customWidth="1"/>
    <x:col min="12" max="12" width="16" hidden="0" customWidth="1"/>
    <x:col min="13" max="13" width="16"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16" hidden="0" customWidth="1"/>
    <x:col min="21" max="21" width="16" hidden="0" customWidth="1"/>
    <x:col min="22" max="22" width="16" hidden="0" customWidth="1"/>
    <x:col min="23" max="23" width="16" hidden="0" customWidth="1"/>
    <x:col min="24" max="24" width="16"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30" hidden="0" customWidth="1"/>
    <x:col min="33" max="33" width="30" hidden="0" customWidth="1"/>
    <x:col min="34" max="34" width="16" hidden="0" customWidth="1"/>
    <x:col min="35" max="35" width="16" hidden="0" customWidth="1"/>
    <x:col min="36" max="36" width="30" hidden="0" customWidth="1"/>
    <x:col min="37" max="37" width="16" hidden="0" customWidth="1"/>
    <x:col min="38" max="38" width="16" hidden="0" customWidth="1"/>
    <x:col min="39" max="39" width="30" hidden="0" customWidth="1"/>
    <x:col min="40" max="40" width="30" hidden="0" customWidth="1"/>
    <x:col min="41" max="41" width="13" hidden="0" customWidth="1"/>
  </x:cols>
  <x:sheetData>
    <x:row r="1" ht="28" customHeight="1">
      <x:c r="A1" s="32" t="str">
        <x:v>M06｜干支关系实际效应判定规则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c r="AN1" s="32"/>
      <x:c r="AO1" s="32"/>
    </x:row>
    <x:row r="2" ht="36" customHeight="1">
      <x:c r="A2" s="39" t="str">
        <x:v>将已识别的合冲刑害转化为实际效应。本版录入120条正式规则，统一拆分合动/合绊/合化、冲动/冲旺/冲弱/冲散/冲开/冲去、刑动/刑伤、根气与藏干变化，并要求逐对象输出。</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c r="AN2" s="39"/>
      <x:c r="AO2" s="39"/>
    </x:row>
    <x:row r="3" ht="30" customHeight="1">
      <x:c r="A3" s="47" t="str">
        <x:v>前置依赖：M03/M04/M05　｜　主要输出：关系的实际增减、转化、激活与阻断　｜　直接下游：M08/M09/M10/M11/M12/M14/M15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c r="AN3" s="47"/>
      <x:c r="AO3" s="47"/>
    </x:row>
    <x:row r="4" ht="34" customHeight="1">
      <x:c r="A4" s="54" t="str">
        <x:v>填写约束：一行只写一条原子规则；关系名称不得换算固定分值；五行改性只允许由已验证合化或成局触发；根气变化必须落实到具体根位；示例行序号9999，不计入正式规则。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c r="AN4" s="54"/>
      <x:c r="AO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来源关系Rule_ID</x:v>
      </x:c>
      <x:c r="I5" s="61" t="str">
        <x:v>关系类型</x:v>
      </x:c>
      <x:c r="J5" s="61" t="str">
        <x:v>参与对象</x:v>
      </x:c>
      <x:c r="K5" s="61" t="str">
        <x:v>作用对象</x:v>
      </x:c>
      <x:c r="L5" s="61" t="str">
        <x:v>对象原始旺衰</x:v>
      </x:c>
      <x:c r="M5" s="61" t="str">
        <x:v>月令地位</x:v>
      </x:c>
      <x:c r="N5" s="61" t="str">
        <x:v>透干状态</x:v>
      </x:c>
      <x:c r="O5" s="61" t="str">
        <x:v>根气状态</x:v>
      </x:c>
      <x:c r="P5" s="61" t="str">
        <x:v>叠加关系</x:v>
      </x:c>
      <x:c r="Q5" s="61" t="str">
        <x:v>效应类型</x:v>
      </x:c>
      <x:c r="R5" s="61" t="str">
        <x:v>作用方向</x:v>
      </x:c>
      <x:c r="S5" s="61" t="str">
        <x:v>作用等级</x:v>
      </x:c>
      <x:c r="T5" s="61" t="str">
        <x:v>是否改变五行性质</x:v>
      </x:c>
      <x:c r="U5" s="61" t="str">
        <x:v>是否改变根气</x:v>
      </x:c>
      <x:c r="V5" s="61" t="str">
        <x:v>是否改变藏干可用性</x:v>
      </x:c>
      <x:c r="W5" s="61" t="str">
        <x:v>是否增力</x:v>
      </x:c>
      <x:c r="X5" s="61" t="str">
        <x:v>是否减力</x:v>
      </x:c>
      <x:c r="Y5" s="61" t="str">
        <x:v>流通影响</x:v>
      </x:c>
      <x:c r="Z5" s="61" t="str">
        <x:v>前置条件</x:v>
      </x:c>
      <x:c r="AA5" s="61" t="str">
        <x:v>必要条件</x:v>
      </x:c>
      <x:c r="AB5" s="61" t="str">
        <x:v>增强条件</x:v>
      </x:c>
      <x:c r="AC5" s="61" t="str">
        <x:v>削弱条件</x:v>
      </x:c>
      <x:c r="AD5" s="61" t="str">
        <x:v>否决条件</x:v>
      </x:c>
      <x:c r="AE5" s="61" t="str">
        <x:v>例外条件</x:v>
      </x:c>
      <x:c r="AF5" s="61" t="str">
        <x:v>实际效应结论</x:v>
      </x:c>
      <x:c r="AG5" s="61" t="str">
        <x:v>标准输出</x:v>
      </x:c>
      <x:c r="AH5" s="61" t="str">
        <x:v>置信等级</x:v>
      </x:c>
      <x:c r="AI5" s="61" t="str">
        <x:v>流派标签</x:v>
      </x:c>
      <x:c r="AJ5" s="61" t="str">
        <x:v>依据说明</x:v>
      </x:c>
      <x:c r="AK5" s="61" t="str">
        <x:v>正例</x:v>
      </x:c>
      <x:c r="AL5" s="61" t="str">
        <x:v>反例</x:v>
      </x:c>
      <x:c r="AM5" s="61" t="str">
        <x:v>规则状态</x:v>
      </x:c>
      <x:c r="AN5" s="61" t="str">
        <x:v>审核状态</x:v>
      </x:c>
      <x:c r="AO5" s="61" t="str">
        <x:v>更新日期</x:v>
      </x:c>
    </x:row>
    <x:row r="6" ht="66" customHeight="1">
      <x:c r="A6" s="76" t="str">
        <x:f>IF(OR(C6="",D6=""),"",B6&amp;"-"&amp;UPPER(C6)&amp;"-"&amp;TEXT(D6,"0000")&amp;"-"&amp;E6)</x:f>
        <x:v>M06-DEMO-9999-V0.1</x:v>
      </x:c>
      <x:c r="B6" s="76" t="str">
        <x:v>M06</x:v>
      </x:c>
      <x:c r="C6" s="76" t="str">
        <x:v>DEMO</x:v>
      </x:c>
      <x:c r="D6" s="78" t="n">
        <x:v>9999</x:v>
      </x:c>
      <x:c r="E6" s="76" t="str">
        <x:v>V0.1</x:v>
      </x:c>
      <x:c r="F6" s="76" t="str">
        <x:v>相冲成立不等于被冲支自动归零</x:v>
      </x:c>
      <x:c r="G6" s="76" t="str">
        <x:v>效应层</x:v>
      </x:c>
      <x:c r="H6" s="76" t="str">
        <x:v>M05-CHONG-待填写</x:v>
      </x:c>
      <x:c r="I6" s="76" t="str">
        <x:v>六冲</x:v>
      </x:c>
      <x:c r="J6" s="76" t="str">
        <x:v>相冲两支</x:v>
      </x:c>
      <x:c r="K6" s="76" t="str">
        <x:v>逐支判断</x:v>
      </x:c>
      <x:c r="L6" s="76" t="str">
        <x:v>待定</x:v>
      </x:c>
      <x:c r="M6" s="76" t="str">
        <x:v>分别记录是否得令</x:v>
      </x:c>
      <x:c r="N6" s="76" t="str">
        <x:v>分别记录藏干是否透出</x:v>
      </x:c>
      <x:c r="O6" s="76" t="str">
        <x:v>分别记录根气深浅</x:v>
      </x:c>
      <x:c r="P6" s="76" t="str">
        <x:v>检查合、会、刑及同党</x:v>
      </x:c>
      <x:c r="Q6" s="76" t="str">
        <x:v>冲动</x:v>
      </x:c>
      <x:c r="R6" s="76" t="str">
        <x:v>条件性</x:v>
      </x:c>
      <x:c r="S6" s="76" t="str">
        <x:v>待定</x:v>
      </x:c>
      <x:c r="T6" s="76" t="str">
        <x:v>否</x:v>
      </x:c>
      <x:c r="U6" s="76" t="str">
        <x:v>条件性</x:v>
      </x:c>
      <x:c r="V6" s="76" t="str">
        <x:v>条件性</x:v>
      </x:c>
      <x:c r="W6" s="76" t="str">
        <x:v>条件性</x:v>
      </x:c>
      <x:c r="X6" s="76" t="str">
        <x:v>条件性</x:v>
      </x:c>
      <x:c r="Y6" s="76" t="str">
        <x:v>可能激活、打断、开库或造成对战</x:v>
      </x:c>
      <x:c r="Z6" s="76" t="str">
        <x:v>M05已确认相冲关系存在</x:v>
      </x:c>
      <x:c r="AA6" s="76" t="str">
        <x:v>比较双方有效力量、月令、根气及叠加关系</x:v>
      </x:c>
      <x:c r="AB6" s="76" t="str">
        <x:v>一方得令成势、另一方孤弱无援</x:v>
      </x:c>
      <x:c r="AC6" s="76" t="str">
        <x:v>双方均有根有援或有合会缓冲</x:v>
      </x:c>
      <x:c r="AD6" s="76" t="str">
        <x:v>禁止仅凭“有冲”将任一地支记为零力量</x:v>
      </x:c>
      <x:c r="AE6" s="76" t="str">
        <x:v>极端强弱悬殊且根气被实质破坏时，可判明显减力或冲去</x:v>
      </x:c>
      <x:c r="AF6" s="76" t="str">
        <x:v>冲的效应必须在冲动、冲散、冲开、冲旺、冲弱等候选中择一或并列条件结论</x:v>
      </x:c>
      <x:c r="AG6" s="76" t="str">
        <x:v>相冲关系成立，但被冲对象是否减力及减力程度需逐支判断，不能直接视为失去根气。</x:v>
      </x:c>
      <x:c r="AH6" s="76" t="str">
        <x:v>较高</x:v>
      </x:c>
      <x:c r="AI6" s="76" t="str">
        <x:v>现代综合</x:v>
      </x:c>
      <x:c r="AJ6" s="76" t="str">
        <x:v>关系名不等于统一的力学结果。</x:v>
      </x:c>
      <x:c r="AK6" s="76" t="str">
        <x:v>强支冲弱支并破坏其唯一根气时，可判明显减力。</x:v>
      </x:c>
      <x:c r="AL6" s="76" t="str">
        <x:v>两支均有根有势，仅因相冲就把其中一支归零。</x:v>
      </x:c>
      <x:c r="AM6" s="76" t="str">
        <x:v>示例</x:v>
      </x:c>
      <x:c r="AN6" s="76" t="str">
        <x:v>未审核</x:v>
      </x:c>
      <x:c r="AO6" s="86" t="n">
        <x:v>46254</x:v>
      </x:c>
    </x:row>
    <x:row r="7">
      <x:c r="A7" s="72" t="str">
        <x:f>IF(OR(C7="",D7=""),"",B7&amp;"-"&amp;UPPER(C7)&amp;"-"&amp;TEXT(D7,"0000")&amp;"-"&amp;E7)</x:f>
        <x:v>M06-TGHE-0001-V1.0</x:v>
      </x:c>
      <x:c r="B7" s="74" t="str">
        <x:v>M06</x:v>
      </x:c>
      <x:c r="C7" s="74" t="str">
        <x:v>TGHE</x:v>
      </x:c>
      <x:c r="D7" s="79" t="n">
        <x:v>1</x:v>
      </x:c>
      <x:c r="E7" s="74" t="str">
        <x:v>V1.0</x:v>
      </x:c>
      <x:c r="F7" s="68" t="str">
        <x:v>天干五合先判合意再判合化</x:v>
      </x:c>
      <x:c r="G7" s="82" t="str">
        <x:v>效应层</x:v>
      </x:c>
      <x:c r="H7" s="68" t="str">
        <x:v>M04-HE-0001-V1.0—M04-HE-0005-V1.0</x:v>
      </x:c>
      <x:c r="I7" s="82" t="str">
        <x:v>天干五合</x:v>
      </x:c>
      <x:c r="J7" s="68" t="str">
        <x:v>任一五合配对</x:v>
      </x:c>
      <x:c r="K7" s="68" t="str">
        <x:v>参与两干</x:v>
      </x:c>
      <x:c r="L7" s="82" t="str">
        <x:v>逐对象比较得令、得地、得势与相对强弱</x:v>
      </x:c>
      <x:c r="M7" s="68" t="str">
        <x:v>记录参与对象中谁得令、谁受季节支持</x:v>
      </x:c>
      <x:c r="N7" s="68" t="str">
        <x:v>记录明干及相关藏干的透出通道</x:v>
      </x:c>
      <x:c r="O7" s="68" t="str">
        <x:v>记录各对象根气层级、数量及是否唯一根</x:v>
      </x:c>
      <x:c r="P7" s="68" t="str">
        <x:v>检查同节点的合、冲、刑、害、破、会及生克</x:v>
      </x:c>
      <x:c r="Q7" s="82" t="str">
        <x:v>合动</x:v>
      </x:c>
      <x:c r="R7" s="82" t="str">
        <x:v>条件性</x:v>
      </x:c>
      <x:c r="S7" s="82" t="str">
        <x:v>中</x:v>
      </x:c>
      <x:c r="T7" s="82" t="str">
        <x:v>条件性</x:v>
      </x:c>
      <x:c r="U7" s="82" t="str">
        <x:v>否</x:v>
      </x:c>
      <x:c r="V7" s="82" t="str">
        <x:v>否</x:v>
      </x:c>
      <x:c r="W7" s="82" t="str">
        <x:v>条件性</x:v>
      </x:c>
      <x:c r="X7" s="82" t="str">
        <x:v>条件性</x:v>
      </x:c>
      <x:c r="Y7" s="68" t="str">
        <x:v>原有生克通道可能被牵引或暂缓</x:v>
      </x:c>
      <x:c r="Z7" s="68" t="str">
        <x:v>M04/M05已识别关系，柱位、完整度与参与对象已标准化</x:v>
      </x:c>
      <x:c r="AA7" s="68" t="str">
        <x:v>两干明现且M04已建立具体关系实例</x:v>
      </x:c>
      <x:c r="AB7" s="68" t="str">
        <x:v>关系相邻、得令、得地、成势且无强力反制</x:v>
      </x:c>
      <x:c r="AC7" s="68" t="str">
        <x:v>遥隔、争合、节点被其他关系牵制或双方各有强根</x:v>
      </x:c>
      <x:c r="AD7" s="90" t="str">
        <x:v>仅凭关系名称不得直接判性质改变、归零或固定吉凶</x:v>
      </x:c>
      <x:c r="AE7" s="68" t="str">
        <x:v>特殊格局或岁运动态补齐须另建实例重新裁决</x:v>
      </x:c>
      <x:c r="AF7" s="84" t="str">
        <x:v>五合关系首先表示双方发生牵引或功能重排；只有另满足化神条件时才进入合化。</x:v>
      </x:c>
      <x:c r="AG7" s="84" t="str">
        <x:v>天干五合已形成合意，当前先按合动或合绊评估；合化须另行验证。</x:v>
      </x:c>
      <x:c r="AH7" s="82" t="str">
        <x:v>较高</x:v>
      </x:c>
      <x:c r="AI7" s="82" t="str">
        <x:v>现代综合</x:v>
      </x:c>
      <x:c r="AJ7" s="68" t="str">
        <x:v>五合固定配对与合化候选应分层处理。参考：https://zh.wikisource.org/zh-hans/淵海子平；https://zh.wikisource.org/wiki/三命通會/卷二</x:v>
      </x:c>
      <x:c r="AK7" s="68" t="str">
        <x:v>甲己同时明现，但土势不足，先记合意而不判化土。</x:v>
      </x:c>
      <x:c r="AL7" s="90" t="str">
        <x:v>甲己一见即把甲、己都改记为土。</x:v>
      </x:c>
      <x:c r="AM7" s="82" t="str">
        <x:v>采用</x:v>
      </x:c>
      <x:c r="AN7" s="82" t="str">
        <x:v>初审</x:v>
      </x:c>
      <x:c r="AO7" s="87" t="n">
        <x:v>46255</x:v>
      </x:c>
    </x:row>
    <x:row r="8">
      <x:c r="A8" s="72" t="str">
        <x:f>IF(OR(C8="",D8=""),"",B8&amp;"-"&amp;UPPER(C8)&amp;"-"&amp;TEXT(D8,"0000")&amp;"-"&amp;E8)</x:f>
        <x:v>M06-TGHE-0002-V1.0</x:v>
      </x:c>
      <x:c r="B8" s="74" t="str">
        <x:v>M06</x:v>
      </x:c>
      <x:c r="C8" s="74" t="str">
        <x:v>TGHE</x:v>
      </x:c>
      <x:c r="D8" s="79" t="n">
        <x:v>2</x:v>
      </x:c>
      <x:c r="E8" s="74" t="str">
        <x:v>V1.0</x:v>
      </x:c>
      <x:c r="F8" s="68" t="str">
        <x:v>天干相邻增强合的直接作用</x:v>
      </x:c>
      <x:c r="G8" s="82" t="str">
        <x:v>效应层</x:v>
      </x:c>
      <x:c r="H8" s="68" t="str">
        <x:v>M04-POS-0026-V1.0—M04-POS-0028-V1.0；M04-HE-0001-V1.0—M04-HE-0005-V1.0</x:v>
      </x:c>
      <x:c r="I8" s="82" t="str">
        <x:v>天干五合</x:v>
      </x:c>
      <x:c r="J8" s="68" t="str">
        <x:v>相邻柱位的五合两干</x:v>
      </x:c>
      <x:c r="K8" s="68" t="str">
        <x:v>参与两干</x:v>
      </x:c>
      <x:c r="L8" s="82" t="str">
        <x:v>逐对象比较得令、得地、得势与相对强弱</x:v>
      </x:c>
      <x:c r="M8" s="68" t="str">
        <x:v>记录参与对象中谁得令、谁受季节支持</x:v>
      </x:c>
      <x:c r="N8" s="68" t="str">
        <x:v>记录明干及相关藏干的透出通道</x:v>
      </x:c>
      <x:c r="O8" s="68" t="str">
        <x:v>记录各对象根气层级、数量及是否唯一根</x:v>
      </x:c>
      <x:c r="P8" s="68" t="str">
        <x:v>检查同节点的合、冲、刑、害、破、会及生克</x:v>
      </x:c>
      <x:c r="Q8" s="82" t="str">
        <x:v>合绊</x:v>
      </x:c>
      <x:c r="R8" s="82" t="str">
        <x:v>冻结</x:v>
      </x:c>
      <x:c r="S8" s="82" t="str">
        <x:v>中</x:v>
      </x:c>
      <x:c r="T8" s="82" t="str">
        <x:v>否</x:v>
      </x:c>
      <x:c r="U8" s="82" t="str">
        <x:v>条件性</x:v>
      </x:c>
      <x:c r="V8" s="82" t="str">
        <x:v>条件性</x:v>
      </x:c>
      <x:c r="W8" s="82" t="str">
        <x:v>条件性</x:v>
      </x:c>
      <x:c r="X8" s="82" t="str">
        <x:v>条件性</x:v>
      </x:c>
      <x:c r="Y8" s="68" t="str">
        <x:v>可能改变原有生克路径，须在M12复核</x:v>
      </x:c>
      <x:c r="Z8" s="68" t="str">
        <x:v>M04/M05已识别关系，柱位、完整度与参与对象已标准化</x:v>
      </x:c>
      <x:c r="AA8" s="68" t="str">
        <x:v>必须指向具体作用对象，并比较各方力量、根气和通道</x:v>
      </x:c>
      <x:c r="AB8" s="68" t="str">
        <x:v>两干相邻且关系单一、无强克冲破坏</x:v>
      </x:c>
      <x:c r="AC8" s="68" t="str">
        <x:v>双方均强根或同时被第三干牵制</x:v>
      </x:c>
      <x:c r="AD8" s="90" t="str">
        <x:v>仅凭关系名称不得直接判性质改变、归零或固定吉凶</x:v>
      </x:c>
      <x:c r="AE8" s="68" t="str">
        <x:v>特殊格局或岁运动态补齐须另建实例重新裁决</x:v>
      </x:c>
      <x:c r="AF8" s="84" t="str">
        <x:v>相邻使双方作用路径更直接，合绊或合住的可见度通常高于隔位、遥隔。</x:v>
      </x:c>
      <x:c r="AG8" s="84" t="str">
        <x:v>该五合相邻，直接牵制较明显；是否达到合住仍须看双方强弱与第三方作用。</x:v>
      </x:c>
      <x:c r="AH8" s="82" t="str">
        <x:v>较高</x:v>
      </x:c>
      <x:c r="AI8" s="82" t="str">
        <x:v>现代综合</x:v>
      </x:c>
      <x:c r="AJ8" s="68" t="str">
        <x:v>位置近远作为效应强弱信息，而不是关系存在条件。参考：https://ctext.org/wiki.pl?chapter=435028&amp;if=gb&amp;remap=gb</x:v>
      </x:c>
      <x:c r="AK8" s="68" t="str">
        <x:v>月干与日干成五合且无第三干争合，合绊较直接。</x:v>
      </x:c>
      <x:c r="AL8" s="90" t="str">
        <x:v>年时遥合与月日相邻合一律记同等作用。</x:v>
      </x:c>
      <x:c r="AM8" s="82" t="str">
        <x:v>采用</x:v>
      </x:c>
      <x:c r="AN8" s="82" t="str">
        <x:v>初审</x:v>
      </x:c>
      <x:c r="AO8" s="87" t="n">
        <x:v>46255</x:v>
      </x:c>
    </x:row>
    <x:row r="9">
      <x:c r="A9" s="72" t="str">
        <x:f>IF(OR(C9="",D9=""),"",B9&amp;"-"&amp;UPPER(C9)&amp;"-"&amp;TEXT(D9,"0000")&amp;"-"&amp;E9)</x:f>
        <x:v>M06-TGHE-0003-V1.0</x:v>
      </x:c>
      <x:c r="B9" s="74" t="str">
        <x:v>M06</x:v>
      </x:c>
      <x:c r="C9" s="74" t="str">
        <x:v>TGHE</x:v>
      </x:c>
      <x:c r="D9" s="79" t="n">
        <x:v>3</x:v>
      </x:c>
      <x:c r="E9" s="74" t="str">
        <x:v>V1.0</x:v>
      </x:c>
      <x:c r="F9" s="68" t="str">
        <x:v>天干隔合降低直接牵制强度</x:v>
      </x:c>
      <x:c r="G9" s="82" t="str">
        <x:v>效应层</x:v>
      </x:c>
      <x:c r="H9" s="68" t="str">
        <x:v>M04-GEHE-0044-V1.0</x:v>
      </x:c>
      <x:c r="I9" s="82" t="str">
        <x:v>隔合</x:v>
      </x:c>
      <x:c r="J9" s="68" t="str">
        <x:v>隔位五合两干</x:v>
      </x:c>
      <x:c r="K9" s="68" t="str">
        <x:v>参与两干</x:v>
      </x:c>
      <x:c r="L9" s="82" t="str">
        <x:v>逐对象比较得令、得地、得势与相对强弱</x:v>
      </x:c>
      <x:c r="M9" s="68" t="str">
        <x:v>记录参与对象中谁得令、谁受季节支持</x:v>
      </x:c>
      <x:c r="N9" s="68" t="str">
        <x:v>记录明干及相关藏干的透出通道</x:v>
      </x:c>
      <x:c r="O9" s="68" t="str">
        <x:v>记录各对象根气层级、数量及是否唯一根</x:v>
      </x:c>
      <x:c r="P9" s="68" t="str">
        <x:v>检查同节点的合、冲、刑、害、破、会及生克</x:v>
      </x:c>
      <x:c r="Q9" s="82" t="str">
        <x:v>合动</x:v>
      </x:c>
      <x:c r="R9" s="82" t="str">
        <x:v>条件性</x:v>
      </x:c>
      <x:c r="S9" s="82" t="str">
        <x:v>弱</x:v>
      </x:c>
      <x:c r="T9" s="82" t="str">
        <x:v>否</x:v>
      </x:c>
      <x:c r="U9" s="82" t="str">
        <x:v>条件性</x:v>
      </x:c>
      <x:c r="V9" s="82" t="str">
        <x:v>条件性</x:v>
      </x:c>
      <x:c r="W9" s="82" t="str">
        <x:v>条件性</x:v>
      </x:c>
      <x:c r="X9" s="82" t="str">
        <x:v>条件性</x:v>
      </x:c>
      <x:c r="Y9" s="68" t="str">
        <x:v>可能改变原有生克路径，须在M12复核</x:v>
      </x:c>
      <x:c r="Z9" s="68" t="str">
        <x:v>M04/M05已识别关系，柱位、完整度与参与对象已标准化</x:v>
      </x:c>
      <x:c r="AA9" s="68" t="str">
        <x:v>必须指向具体作用对象，并比较各方力量、根气和通道</x:v>
      </x:c>
      <x:c r="AB9" s="68" t="str">
        <x:v>中间天干生助化神或不构成阻隔</x:v>
      </x:c>
      <x:c r="AC9" s="68" t="str">
        <x:v>中间天干直接克制其中一方或引走其中一方</x:v>
      </x:c>
      <x:c r="AD9" s="90" t="str">
        <x:v>仅凭关系名称不得直接判性质改变、归零或固定吉凶</x:v>
      </x:c>
      <x:c r="AE9" s="68" t="str">
        <x:v>特殊格局或岁运动态补齐须另建实例重新裁决</x:v>
      </x:c>
      <x:c r="AF9" s="84" t="str">
        <x:v>隔位仍保留合意，但直接冻结或合住的证据较弱，须检查中间天干是否生克阻隔。</x:v>
      </x:c>
      <x:c r="AG9" s="84" t="str">
        <x:v>该五合属隔合，保留牵引候选；未见额外支持时不判强合住。</x:v>
      </x:c>
      <x:c r="AH9" s="82" t="str">
        <x:v>较高</x:v>
      </x:c>
      <x:c r="AI9" s="82" t="str">
        <x:v>现代综合</x:v>
      </x:c>
      <x:c r="AJ9" s="68" t="str">
        <x:v>隔位关系需要额外通道支持。参考：https://ctext.org/wiki.pl?chapter=435028&amp;if=gb&amp;remap=gb</x:v>
      </x:c>
      <x:c r="AK9" s="68" t="str">
        <x:v>年干与日干五合，中间月干不阻隔，可记弱至中等合意。</x:v>
      </x:c>
      <x:c r="AL9" s="90" t="str">
        <x:v>隔位五合未经检查中间干即判双方完全失效。</x:v>
      </x:c>
      <x:c r="AM9" s="82" t="str">
        <x:v>采用</x:v>
      </x:c>
      <x:c r="AN9" s="82" t="str">
        <x:v>初审</x:v>
      </x:c>
      <x:c r="AO9" s="87" t="n">
        <x:v>46255</x:v>
      </x:c>
    </x:row>
    <x:row r="10">
      <x:c r="A10" s="72" t="str">
        <x:f>IF(OR(C10="",D10=""),"",B10&amp;"-"&amp;UPPER(C10)&amp;"-"&amp;TEXT(D10,"0000")&amp;"-"&amp;E10)</x:f>
        <x:v>M06-TGHE-0004-V1.0</x:v>
      </x:c>
      <x:c r="B10" s="74" t="str">
        <x:v>M06</x:v>
      </x:c>
      <x:c r="C10" s="74" t="str">
        <x:v>TGHE</x:v>
      </x:c>
      <x:c r="D10" s="79" t="n">
        <x:v>4</x:v>
      </x:c>
      <x:c r="E10" s="74" t="str">
        <x:v>V1.0</x:v>
      </x:c>
      <x:c r="F10" s="68" t="str">
        <x:v>天干遥合只保留弱牵引候选</x:v>
      </x:c>
      <x:c r="G10" s="82" t="str">
        <x:v>效应层</x:v>
      </x:c>
      <x:c r="H10" s="68" t="str">
        <x:v>M04-YAOHE-0045-V1.0</x:v>
      </x:c>
      <x:c r="I10" s="82" t="str">
        <x:v>遥合</x:v>
      </x:c>
      <x:c r="J10" s="68" t="str">
        <x:v>年时五合两干</x:v>
      </x:c>
      <x:c r="K10" s="68" t="str">
        <x:v>参与两干</x:v>
      </x:c>
      <x:c r="L10" s="82" t="str">
        <x:v>逐对象比较得令、得地、得势与相对强弱</x:v>
      </x:c>
      <x:c r="M10" s="68" t="str">
        <x:v>记录参与对象中谁得令、谁受季节支持</x:v>
      </x:c>
      <x:c r="N10" s="68" t="str">
        <x:v>记录明干及相关藏干的透出通道</x:v>
      </x:c>
      <x:c r="O10" s="68" t="str">
        <x:v>记录各对象根气层级、数量及是否唯一根</x:v>
      </x:c>
      <x:c r="P10" s="68" t="str">
        <x:v>检查同节点的合、冲、刑、害、破、会及生克</x:v>
      </x:c>
      <x:c r="Q10" s="82" t="str">
        <x:v>合动</x:v>
      </x:c>
      <x:c r="R10" s="82" t="str">
        <x:v>条件性</x:v>
      </x:c>
      <x:c r="S10" s="82" t="str">
        <x:v>弱</x:v>
      </x:c>
      <x:c r="T10" s="82" t="str">
        <x:v>否</x:v>
      </x:c>
      <x:c r="U10" s="82" t="str">
        <x:v>条件性</x:v>
      </x:c>
      <x:c r="V10" s="82" t="str">
        <x:v>条件性</x:v>
      </x:c>
      <x:c r="W10" s="82" t="str">
        <x:v>条件性</x:v>
      </x:c>
      <x:c r="X10" s="82" t="str">
        <x:v>条件性</x:v>
      </x:c>
      <x:c r="Y10" s="68" t="str">
        <x:v>可能改变原有生克路径，须在M12复核</x:v>
      </x:c>
      <x:c r="Z10" s="68" t="str">
        <x:v>M04/M05已识别关系，柱位、完整度与参与对象已标准化</x:v>
      </x:c>
      <x:c r="AA10" s="68" t="str">
        <x:v>必须指向具体作用对象，并比较各方力量、根气和通道</x:v>
      </x:c>
      <x:c r="AB10" s="68" t="str">
        <x:v>化神得令成势，或月日形成连续生扶通道</x:v>
      </x:c>
      <x:c r="AC10" s="68" t="str">
        <x:v>中间两干形成强克制或争合</x:v>
      </x:c>
      <x:c r="AD10" s="90" t="str">
        <x:v>仅凭关系名称不得直接判性质改变、归零或固定吉凶</x:v>
      </x:c>
      <x:c r="AE10" s="68" t="str">
        <x:v>特殊格局或岁运动态补齐须另建实例重新裁决</x:v>
      </x:c>
      <x:c r="AF10" s="84" t="str">
        <x:v>年时遥隔时，关系存在但直接合绊通常较弱；须有化神成势、同党或中间通道才可升级。</x:v>
      </x:c>
      <x:c r="AG10" s="84" t="str">
        <x:v>该关系为遥合，暂记弱牵引；不得仅凭遥合判合住或合化。</x:v>
      </x:c>
      <x:c r="AH10" s="82" t="str">
        <x:v>较高</x:v>
      </x:c>
      <x:c r="AI10" s="82" t="str">
        <x:v>现代综合</x:v>
      </x:c>
      <x:c r="AJ10" s="68" t="str">
        <x:v>遥隔降低直接作用，不删除关系本身。参考：https://ctext.org/wiki.pl?chapter=435028&amp;if=gb&amp;remap=gb</x:v>
      </x:c>
      <x:c r="AK10" s="68" t="str">
        <x:v>年干丁、时干壬，木势成党时可提高丁壬遥合的作用等级。</x:v>
      </x:c>
      <x:c r="AL10" s="90" t="str">
        <x:v>年时丁壬遥合无木势也直接判丁壬化木。</x:v>
      </x:c>
      <x:c r="AM10" s="82" t="str">
        <x:v>采用</x:v>
      </x:c>
      <x:c r="AN10" s="82" t="str">
        <x:v>初审</x:v>
      </x:c>
      <x:c r="AO10" s="87" t="n">
        <x:v>46255</x:v>
      </x:c>
    </x:row>
    <x:row r="11">
      <x:c r="A11" s="72" t="str">
        <x:f>IF(OR(C11="",D11=""),"",B11&amp;"-"&amp;UPPER(C11)&amp;"-"&amp;TEXT(D11,"0000")&amp;"-"&amp;E11)</x:f>
        <x:v>M06-TGHE-0005-V1.0</x:v>
      </x:c>
      <x:c r="B11" s="74" t="str">
        <x:v>M06</x:v>
      </x:c>
      <x:c r="C11" s="74" t="str">
        <x:v>TGHE</x:v>
      </x:c>
      <x:c r="D11" s="79" t="n">
        <x:v>5</x:v>
      </x:c>
      <x:c r="E11" s="74" t="str">
        <x:v>V1.0</x:v>
      </x:c>
      <x:c r="F11" s="68" t="str">
        <x:v>一强一弱时弱干更易受合绊</x:v>
      </x:c>
      <x:c r="G11" s="82" t="str">
        <x:v>效应层</x:v>
      </x:c>
      <x:c r="H11" s="68" t="str">
        <x:v>M04-HE-0001-V1.0—M04-HE-0005-V1.0</x:v>
      </x:c>
      <x:c r="I11" s="82" t="str">
        <x:v>天干五合</x:v>
      </x:c>
      <x:c r="J11" s="68" t="str">
        <x:v>强弱悬殊的五合两干</x:v>
      </x:c>
      <x:c r="K11" s="68" t="str">
        <x:v>较弱一干</x:v>
      </x:c>
      <x:c r="L11" s="82" t="str">
        <x:v>一方旺或中和偏旺，另一方弱或极弱</x:v>
      </x:c>
      <x:c r="M11" s="68" t="str">
        <x:v>记录参与对象中谁得令、谁受季节支持</x:v>
      </x:c>
      <x:c r="N11" s="68" t="str">
        <x:v>记录明干及相关藏干的透出通道</x:v>
      </x:c>
      <x:c r="O11" s="68" t="str">
        <x:v>记录各对象根气层级、数量及是否唯一根</x:v>
      </x:c>
      <x:c r="P11" s="68" t="str">
        <x:v>检查同节点的合、冲、刑、害、破、会及生克</x:v>
      </x:c>
      <x:c r="Q11" s="82" t="str">
        <x:v>合住</x:v>
      </x:c>
      <x:c r="R11" s="82" t="str">
        <x:v>冻结</x:v>
      </x:c>
      <x:c r="S11" s="82" t="str">
        <x:v>强</x:v>
      </x:c>
      <x:c r="T11" s="82" t="str">
        <x:v>否</x:v>
      </x:c>
      <x:c r="U11" s="82" t="str">
        <x:v>条件性</x:v>
      </x:c>
      <x:c r="V11" s="82" t="str">
        <x:v>条件性</x:v>
      </x:c>
      <x:c r="W11" s="82" t="str">
        <x:v>条件性</x:v>
      </x:c>
      <x:c r="X11" s="82" t="str">
        <x:v>条件性</x:v>
      </x:c>
      <x:c r="Y11" s="68" t="str">
        <x:v>可能改变原有生克路径，须在M12复核</x:v>
      </x:c>
      <x:c r="Z11" s="68" t="str">
        <x:v>M04/M05已识别关系，柱位、完整度与参与对象已标准化</x:v>
      </x:c>
      <x:c r="AA11" s="68" t="str">
        <x:v>必须指向具体作用对象，并比较各方力量、根气和通道</x:v>
      </x:c>
      <x:c r="AB11" s="68" t="str">
        <x:v>强方得令多根，弱方无根且无同党</x:v>
      </x:c>
      <x:c r="AC11" s="68" t="str">
        <x:v>弱方另有强根、印比或第三方解合</x:v>
      </x:c>
      <x:c r="AD11" s="90" t="str">
        <x:v>仅凭关系名称不得直接判性质改变、归零或固定吉凶</x:v>
      </x:c>
      <x:c r="AE11" s="68" t="str">
        <x:v>特殊格局或岁运动态补齐须另建实例重新裁决</x:v>
      </x:c>
      <x:c r="AF11" s="84" t="str">
        <x:v>当一方得令有根成势、另一方无根孤弱时，弱方更易被牵制，强方不必同步失去原功能。</x:v>
      </x:c>
      <x:c r="AG11" s="84" t="str">
        <x:v>五合双方力量悬殊，弱干受合绊较重；强干仍保留主要功能。</x:v>
      </x:c>
      <x:c r="AH11" s="82" t="str">
        <x:v>较高</x:v>
      </x:c>
      <x:c r="AI11" s="82" t="str">
        <x:v>现代综合</x:v>
      </x:c>
      <x:c r="AJ11" s="68" t="str">
        <x:v>实际效应必须逐对象判断，不能把两干作等量扣减。参考：https://zh.wikisource.org/zh-hans/滴天髓</x:v>
      </x:c>
      <x:c r="AK11" s="68" t="str">
        <x:v>庚强有根、乙弱无根，乙庚合时乙受牵制更明显。</x:v>
      </x:c>
      <x:c r="AL11" s="90" t="str">
        <x:v>乙庚合便把庚、乙同时按相同比例减力。</x:v>
      </x:c>
      <x:c r="AM11" s="82" t="str">
        <x:v>采用</x:v>
      </x:c>
      <x:c r="AN11" s="82" t="str">
        <x:v>初审</x:v>
      </x:c>
      <x:c r="AO11" s="87" t="n">
        <x:v>46255</x:v>
      </x:c>
    </x:row>
    <x:row r="12">
      <x:c r="A12" s="72" t="str">
        <x:f>IF(OR(C12="",D12=""),"",B12&amp;"-"&amp;UPPER(C12)&amp;"-"&amp;TEXT(D12,"0000")&amp;"-"&amp;E12)</x:f>
        <x:v>M06-TGHE-0006-V1.0</x:v>
      </x:c>
      <x:c r="B12" s="74" t="str">
        <x:v>M06</x:v>
      </x:c>
      <x:c r="C12" s="74" t="str">
        <x:v>TGHE</x:v>
      </x:c>
      <x:c r="D12" s="79" t="n">
        <x:v>6</x:v>
      </x:c>
      <x:c r="E12" s="74" t="str">
        <x:v>V1.0</x:v>
      </x:c>
      <x:c r="F12" s="68" t="str">
        <x:v>双方强根时优先判合绊而非消失</x:v>
      </x:c>
      <x:c r="G12" s="82" t="str">
        <x:v>效应层</x:v>
      </x:c>
      <x:c r="H12" s="68" t="str">
        <x:v>M04-HE-0001-V1.0—M04-HE-0005-V1.0</x:v>
      </x:c>
      <x:c r="I12" s="82" t="str">
        <x:v>天干五合</x:v>
      </x:c>
      <x:c r="J12" s="68" t="str">
        <x:v>双方均有强根的五合两干</x:v>
      </x:c>
      <x:c r="K12" s="68" t="str">
        <x:v>参与两干</x:v>
      </x:c>
      <x:c r="L12" s="82" t="str">
        <x:v>逐对象比较得令、得地、得势与相对强弱</x:v>
      </x:c>
      <x:c r="M12" s="68" t="str">
        <x:v>记录参与对象中谁得令、谁受季节支持</x:v>
      </x:c>
      <x:c r="N12" s="68" t="str">
        <x:v>记录明干及相关藏干的透出通道</x:v>
      </x:c>
      <x:c r="O12" s="68" t="str">
        <x:v>记录各对象根气层级、数量及是否唯一根</x:v>
      </x:c>
      <x:c r="P12" s="68" t="str">
        <x:v>检查同节点的合、冲、刑、害、破、会及生克</x:v>
      </x:c>
      <x:c r="Q12" s="82" t="str">
        <x:v>合绊</x:v>
      </x:c>
      <x:c r="R12" s="82" t="str">
        <x:v>冻结</x:v>
      </x:c>
      <x:c r="S12" s="82" t="str">
        <x:v>中</x:v>
      </x:c>
      <x:c r="T12" s="82" t="str">
        <x:v>否</x:v>
      </x:c>
      <x:c r="U12" s="82" t="str">
        <x:v>否</x:v>
      </x:c>
      <x:c r="V12" s="82" t="str">
        <x:v>否</x:v>
      </x:c>
      <x:c r="W12" s="82" t="str">
        <x:v>条件性</x:v>
      </x:c>
      <x:c r="X12" s="82" t="str">
        <x:v>条件性</x:v>
      </x:c>
      <x:c r="Y12" s="68" t="str">
        <x:v>可能改变原有生克路径，须在M12复核</x:v>
      </x:c>
      <x:c r="Z12" s="68" t="str">
        <x:v>M04/M05已识别关系，柱位、完整度与参与对象已标准化</x:v>
      </x:c>
      <x:c r="AA12" s="68" t="str">
        <x:v>必须指向具体作用对象，并比较各方力量、根气和通道</x:v>
      </x:c>
      <x:c r="AB12" s="68" t="str">
        <x:v>双方相邻且无第三方解合</x:v>
      </x:c>
      <x:c r="AC12" s="68" t="str">
        <x:v>一方得势远胜另一方，或化神另成强势</x:v>
      </x:c>
      <x:c r="AD12" s="90" t="str">
        <x:v>仅凭关系名称不得直接判性质改变、归零或固定吉凶</x:v>
      </x:c>
      <x:c r="AE12" s="68" t="str">
        <x:v>特殊格局或岁运动态补齐须另建实例重新裁决</x:v>
      </x:c>
      <x:c r="AF12" s="84" t="str">
        <x:v>双方各有强根与同党时，多表现为彼此牵制或功能暂缓，不宜判任一方被合没。</x:v>
      </x:c>
      <x:c r="AG12" s="84" t="str">
        <x:v>双方根气均实，本条判为相互合绊；原五行性质和基本存在仍保留。</x:v>
      </x:c>
      <x:c r="AH12" s="82" t="str">
        <x:v>较高</x:v>
      </x:c>
      <x:c r="AI12" s="82" t="str">
        <x:v>现代综合</x:v>
      </x:c>
      <x:c r="AJ12" s="68" t="str">
        <x:v>有根者不因一合自动失去存在。参考：https://ctext.org/wiki.pl?chapter=974137&amp;if=gb&amp;remap=gb</x:v>
      </x:c>
      <x:c r="AK12" s="68" t="str">
        <x:v>丙、辛各有强根且水势不足，判丙辛合绊而不化水。</x:v>
      </x:c>
      <x:c r="AL12" s="90" t="str">
        <x:v>双方均旺有根仍直接判两干消失。</x:v>
      </x:c>
      <x:c r="AM12" s="82" t="str">
        <x:v>采用</x:v>
      </x:c>
      <x:c r="AN12" s="82" t="str">
        <x:v>初审</x:v>
      </x:c>
      <x:c r="AO12" s="87" t="n">
        <x:v>46255</x:v>
      </x:c>
    </x:row>
    <x:row r="13">
      <x:c r="A13" s="72" t="str">
        <x:f>IF(OR(C13="",D13=""),"",B13&amp;"-"&amp;UPPER(C13)&amp;"-"&amp;TEXT(D13,"0000")&amp;"-"&amp;E13)</x:f>
        <x:v>M06-TGHE-0007-V1.0</x:v>
      </x:c>
      <x:c r="B13" s="74" t="str">
        <x:v>M06</x:v>
      </x:c>
      <x:c r="C13" s="74" t="str">
        <x:v>TGHE</x:v>
      </x:c>
      <x:c r="D13" s="79" t="n">
        <x:v>7</x:v>
      </x:c>
      <x:c r="E13" s="74" t="str">
        <x:v>V1.0</x:v>
      </x:c>
      <x:c r="F13" s="68" t="str">
        <x:v>独立根气使被合天干保留本气</x:v>
      </x:c>
      <x:c r="G13" s="82" t="str">
        <x:v>效应层</x:v>
      </x:c>
      <x:c r="H13" s="68" t="str">
        <x:v>M04-HE-0001-V1.0—M04-HE-0005-V1.0；M03-RTCT-0040-V1.0—M03-RTCT-0045-V1.0；M03-RTEF-0046-V1.0—M03-RTEF-0052-V1.0</x:v>
      </x:c>
      <x:c r="I13" s="82" t="str">
        <x:v>天干五合</x:v>
      </x:c>
      <x:c r="J13" s="68" t="str">
        <x:v>有独立根气的被合天干</x:v>
      </x:c>
      <x:c r="K13" s="68" t="str">
        <x:v>有根一干</x:v>
      </x:c>
      <x:c r="L13" s="82" t="str">
        <x:v>逐对象比较得令、得地、得势与相对强弱</x:v>
      </x:c>
      <x:c r="M13" s="68" t="str">
        <x:v>记录参与对象中谁得令、谁受季节支持</x:v>
      </x:c>
      <x:c r="N13" s="68" t="str">
        <x:v>记录明干及相关藏干的透出通道</x:v>
      </x:c>
      <x:c r="O13" s="68" t="str">
        <x:v>记录各对象根气层级、数量及是否唯一根</x:v>
      </x:c>
      <x:c r="P13" s="68" t="str">
        <x:v>检查同节点的合、冲、刑、害、破、会及生克</x:v>
      </x:c>
      <x:c r="Q13" s="82" t="str">
        <x:v>合绊</x:v>
      </x:c>
      <x:c r="R13" s="82" t="str">
        <x:v>条件性</x:v>
      </x:c>
      <x:c r="S13" s="82" t="str">
        <x:v>中</x:v>
      </x:c>
      <x:c r="T13" s="82" t="str">
        <x:v>否</x:v>
      </x:c>
      <x:c r="U13" s="82" t="str">
        <x:v>否</x:v>
      </x:c>
      <x:c r="V13" s="82" t="str">
        <x:v>否</x:v>
      </x:c>
      <x:c r="W13" s="82" t="str">
        <x:v>条件性</x:v>
      </x:c>
      <x:c r="X13" s="82" t="str">
        <x:v>条件性</x:v>
      </x:c>
      <x:c r="Y13" s="68" t="str">
        <x:v>可能改变原有生克路径，须在M12复核</x:v>
      </x:c>
      <x:c r="Z13" s="68" t="str">
        <x:v>M04/M05已识别关系，柱位、完整度与参与对象已标准化</x:v>
      </x:c>
      <x:c r="AA13" s="68" t="str">
        <x:v>确认根气未被M06其他关系实质破坏</x:v>
      </x:c>
      <x:c r="AB13" s="68" t="str">
        <x:v>关系相邻、得令、得地、成势且无强力反制</x:v>
      </x:c>
      <x:c r="AC13" s="68" t="str">
        <x:v>遥隔、争合、节点被其他关系牵制或双方各有强根</x:v>
      </x:c>
      <x:c r="AD13" s="90" t="str">
        <x:v>仅凭关系名称不得直接判性质改变、归零或固定吉凶</x:v>
      </x:c>
      <x:c r="AE13" s="68" t="str">
        <x:v>特殊格局或岁运动态补齐须另建实例重新裁决</x:v>
      </x:c>
      <x:c r="AF13" s="84" t="str">
        <x:v>天干虽受合，其地支根仍独立存在；除非根也被实质冲散、合化或制损，否则本气功能不能归零。</x:v>
      </x:c>
      <x:c r="AG13" s="84" t="str">
        <x:v>该干虽被合，但根气未失，仍保留本气；合主要限制其直接发挥。</x:v>
      </x:c>
      <x:c r="AH13" s="82" t="str">
        <x:v>较高</x:v>
      </x:c>
      <x:c r="AI13" s="82" t="str">
        <x:v>现代综合</x:v>
      </x:c>
      <x:c r="AJ13" s="68" t="str">
        <x:v>天干关系与地支根气是不同层级。参考：https://zh.wikisource.org/zh-hans/滴天髓</x:v>
      </x:c>
      <x:c r="AK13" s="68" t="str">
        <x:v>甲被己合但寅卯根完整，甲木仍有基础力量。</x:v>
      </x:c>
      <x:c r="AL13" s="90" t="str">
        <x:v>甲己合后不检查寅卯根便判甲木为零。</x:v>
      </x:c>
      <x:c r="AM13" s="82" t="str">
        <x:v>采用</x:v>
      </x:c>
      <x:c r="AN13" s="82" t="str">
        <x:v>初审</x:v>
      </x:c>
      <x:c r="AO13" s="87" t="n">
        <x:v>46255</x:v>
      </x:c>
    </x:row>
    <x:row r="14">
      <x:c r="A14" s="72" t="str">
        <x:f>IF(OR(C14="",D14=""),"",B14&amp;"-"&amp;UPPER(C14)&amp;"-"&amp;TEXT(D14,"0000")&amp;"-"&amp;E14)</x:f>
        <x:v>M06-TGHE-0008-V1.0</x:v>
      </x:c>
      <x:c r="B14" s="74" t="str">
        <x:v>M06</x:v>
      </x:c>
      <x:c r="C14" s="74" t="str">
        <x:v>TGHE</x:v>
      </x:c>
      <x:c r="D14" s="79" t="n">
        <x:v>8</x:v>
      </x:c>
      <x:c r="E14" s="74" t="str">
        <x:v>V1.0</x:v>
      </x:c>
      <x:c r="F14" s="68" t="str">
        <x:v>天干合可暂缓原有直接克制路径</x:v>
      </x:c>
      <x:c r="G14" s="82" t="str">
        <x:v>效应层</x:v>
      </x:c>
      <x:c r="H14" s="68" t="str">
        <x:v>M04-OVER-0046-V1.0；M04-HE-0001-V1.0—M04-HE-0005-V1.0</x:v>
      </x:c>
      <x:c r="I14" s="82" t="str">
        <x:v>其他</x:v>
      </x:c>
      <x:c r="J14" s="68" t="str">
        <x:v>合与克并见的共享天干</x:v>
      </x:c>
      <x:c r="K14" s="68" t="str">
        <x:v>原克制路径</x:v>
      </x:c>
      <x:c r="L14" s="82" t="str">
        <x:v>逐对象比较得令、得地、得势与相对强弱</x:v>
      </x:c>
      <x:c r="M14" s="68" t="str">
        <x:v>记录参与对象中谁得令、谁受季节支持</x:v>
      </x:c>
      <x:c r="N14" s="68" t="str">
        <x:v>记录明干及相关藏干的透出通道</x:v>
      </x:c>
      <x:c r="O14" s="68" t="str">
        <x:v>记录各对象根气层级、数量及是否唯一根</x:v>
      </x:c>
      <x:c r="P14" s="68" t="str">
        <x:v>检查同节点的合、冲、刑、害、破、会及生克</x:v>
      </x:c>
      <x:c r="Q14" s="82" t="str">
        <x:v>阻断</x:v>
      </x:c>
      <x:c r="R14" s="82" t="str">
        <x:v>阻断</x:v>
      </x:c>
      <x:c r="S14" s="82" t="str">
        <x:v>中</x:v>
      </x:c>
      <x:c r="T14" s="82" t="str">
        <x:v>否</x:v>
      </x:c>
      <x:c r="U14" s="82" t="str">
        <x:v>否</x:v>
      </x:c>
      <x:c r="V14" s="82" t="str">
        <x:v>否</x:v>
      </x:c>
      <x:c r="W14" s="82" t="str">
        <x:v>否</x:v>
      </x:c>
      <x:c r="X14" s="82" t="str">
        <x:v>条件性</x:v>
      </x:c>
      <x:c r="Y14" s="68" t="str">
        <x:v>原生克路径局部阻断，需在M12重建通路</x:v>
      </x:c>
      <x:c r="Z14" s="68" t="str">
        <x:v>M04/M05已识别关系，柱位、完整度与参与对象已标准化</x:v>
      </x:c>
      <x:c r="AA14" s="68" t="str">
        <x:v>必须指向具体作用对象，并比较各方力量、根气和通道</x:v>
      </x:c>
      <x:c r="AB14" s="68" t="str">
        <x:v>合相邻、关系单一且被合干弱</x:v>
      </x:c>
      <x:c r="AC14" s="68" t="str">
        <x:v>被合干强根或另有同类接力</x:v>
      </x:c>
      <x:c r="AD14" s="90" t="str">
        <x:v>仅凭关系名称不得直接判性质改变、归零或固定吉凶</x:v>
      </x:c>
      <x:c r="AE14" s="68" t="str">
        <x:v>特殊格局或岁运动态补齐须另建实例重新裁决</x:v>
      </x:c>
      <x:c r="AF14" s="84" t="str">
        <x:v>当克者或被克者被另一干强力合绊时，原直接克制路径可能减弱或延后，但不能自动视为完全解除。</x:v>
      </x:c>
      <x:c r="AG14" s="84" t="str">
        <x:v>共享天干受合，原克制路径被削弱；是否完全解除须看合的强度与第三方力量。</x:v>
      </x:c>
      <x:c r="AH14" s="82" t="str">
        <x:v>较高</x:v>
      </x:c>
      <x:c r="AI14" s="82" t="str">
        <x:v>现代综合</x:v>
      </x:c>
      <x:c r="AJ14" s="68" t="str">
        <x:v>会合可作为解冲解克机制，但必须比较结构强弱。参考：https://ctext.org/wiki.pl?chapter=974137&amp;if=gb&amp;remap=gb</x:v>
      </x:c>
      <x:c r="AK14" s="68" t="str">
        <x:v>庚欲克甲，而庚被乙强合，庚克甲的直接性下降。</x:v>
      </x:c>
      <x:c r="AL14" s="90" t="str">
        <x:v>庚被乙弱遥合便认定庚完全不能克甲。</x:v>
      </x:c>
      <x:c r="AM14" s="82" t="str">
        <x:v>采用</x:v>
      </x:c>
      <x:c r="AN14" s="82" t="str">
        <x:v>初审</x:v>
      </x:c>
      <x:c r="AO14" s="87" t="n">
        <x:v>46255</x:v>
      </x:c>
    </x:row>
    <x:row r="15">
      <x:c r="A15" s="72" t="str">
        <x:f>IF(OR(C15="",D15=""),"",B15&amp;"-"&amp;UPPER(C15)&amp;"-"&amp;TEXT(D15,"0000")&amp;"-"&amp;E15)</x:f>
        <x:v>M06-TGHE-0009-V1.0</x:v>
      </x:c>
      <x:c r="B15" s="74" t="str">
        <x:v>M06</x:v>
      </x:c>
      <x:c r="C15" s="74" t="str">
        <x:v>TGHE</x:v>
      </x:c>
      <x:c r="D15" s="79" t="n">
        <x:v>9</x:v>
      </x:c>
      <x:c r="E15" s="74" t="str">
        <x:v>V1.0</x:v>
      </x:c>
      <x:c r="F15" s="68" t="str">
        <x:v>第三干仍可作用于被合天干</x:v>
      </x:c>
      <x:c r="G15" s="82" t="str">
        <x:v>效应层</x:v>
      </x:c>
      <x:c r="H15" s="68" t="str">
        <x:v>M04-OVER-0046-V1.0</x:v>
      </x:c>
      <x:c r="I15" s="82" t="str">
        <x:v>其他</x:v>
      </x:c>
      <x:c r="J15" s="68" t="str">
        <x:v>五合两干及第三干</x:v>
      </x:c>
      <x:c r="K15" s="68" t="str">
        <x:v>被合天干</x:v>
      </x:c>
      <x:c r="L15" s="82" t="str">
        <x:v>逐对象比较得令、得地、得势与相对强弱</x:v>
      </x:c>
      <x:c r="M15" s="68" t="str">
        <x:v>记录参与对象中谁得令、谁受季节支持</x:v>
      </x:c>
      <x:c r="N15" s="68" t="str">
        <x:v>记录明干及相关藏干的透出通道</x:v>
      </x:c>
      <x:c r="O15" s="68" t="str">
        <x:v>记录各对象根气层级、数量及是否唯一根</x:v>
      </x:c>
      <x:c r="P15" s="68" t="str">
        <x:v>必须列出合与第三干生克的全部关系实例</x:v>
      </x:c>
      <x:c r="Q15" s="82" t="str">
        <x:v>克</x:v>
      </x:c>
      <x:c r="R15" s="82" t="str">
        <x:v>条件性</x:v>
      </x:c>
      <x:c r="S15" s="82" t="str">
        <x:v>中</x:v>
      </x:c>
      <x:c r="T15" s="82" t="str">
        <x:v>否</x:v>
      </x:c>
      <x:c r="U15" s="82" t="str">
        <x:v>条件性</x:v>
      </x:c>
      <x:c r="V15" s="82" t="str">
        <x:v>条件性</x:v>
      </x:c>
      <x:c r="W15" s="82" t="str">
        <x:v>条件性</x:v>
      </x:c>
      <x:c r="X15" s="82" t="str">
        <x:v>条件性</x:v>
      </x:c>
      <x:c r="Y15" s="68" t="str">
        <x:v>可能改变原有生克路径，须在M12复核</x:v>
      </x:c>
      <x:c r="Z15" s="68" t="str">
        <x:v>M04/M05已识别关系，柱位、完整度与参与对象已标准化</x:v>
      </x:c>
      <x:c r="AA15" s="68" t="str">
        <x:v>必须指向具体作用对象，并比较各方力量、根气和通道</x:v>
      </x:c>
      <x:c r="AB15" s="68" t="str">
        <x:v>关系相邻、得令、得地、成势且无强力反制</x:v>
      </x:c>
      <x:c r="AC15" s="68" t="str">
        <x:v>遥隔、争合、节点被其他关系牵制或双方各有强根</x:v>
      </x:c>
      <x:c r="AD15" s="90" t="str">
        <x:v>仅凭关系名称不得直接判性质改变、归零或固定吉凶</x:v>
      </x:c>
      <x:c r="AE15" s="68" t="str">
        <x:v>特殊格局或岁运动态补齐须另建实例重新裁决</x:v>
      </x:c>
      <x:c r="AF15" s="84" t="str">
        <x:v>被合不等于获得隔离保护；第三干的生克仍须登记，只是效果需与合绊同时裁决。</x:v>
      </x:c>
      <x:c r="AG15" s="84" t="str">
        <x:v>该干虽参与五合，仍接受第三干生克；最终效应按多重关系综合。</x:v>
      </x:c>
      <x:c r="AH15" s="82" t="str">
        <x:v>较高</x:v>
      </x:c>
      <x:c r="AI15" s="82" t="str">
        <x:v>现代综合</x:v>
      </x:c>
      <x:c r="AJ15" s="68" t="str">
        <x:v>多重关系不能因先见合而删除后续生克。参考：https://ctext.org/wiki.pl?chapter=974137&amp;if=gb&amp;remap=gb</x:v>
      </x:c>
      <x:c r="AK15" s="68" t="str">
        <x:v>甲己合同时庚克甲，合与克均保留并比较。</x:v>
      </x:c>
      <x:c r="AL15" s="90" t="str">
        <x:v>甲被己合后直接忽略庚克甲。</x:v>
      </x:c>
      <x:c r="AM15" s="82" t="str">
        <x:v>采用</x:v>
      </x:c>
      <x:c r="AN15" s="82" t="str">
        <x:v>初审</x:v>
      </x:c>
      <x:c r="AO15" s="87" t="n">
        <x:v>46255</x:v>
      </x:c>
    </x:row>
    <x:row r="16">
      <x:c r="A16" s="72" t="str">
        <x:f>IF(OR(C16="",D16=""),"",B16&amp;"-"&amp;UPPER(C16)&amp;"-"&amp;TEXT(D16,"0000")&amp;"-"&amp;E16)</x:f>
        <x:v>M06-TGHE-0010-V1.0</x:v>
      </x:c>
      <x:c r="B16" s="74" t="str">
        <x:v>M06</x:v>
      </x:c>
      <x:c r="C16" s="74" t="str">
        <x:v>TGHE</x:v>
      </x:c>
      <x:c r="D16" s="79" t="n">
        <x:v>10</x:v>
      </x:c>
      <x:c r="E16" s="74" t="str">
        <x:v>V1.0</x:v>
      </x:c>
      <x:c r="F16" s="68" t="str">
        <x:v>争合降低单一合关系的稳定性</x:v>
      </x:c>
      <x:c r="G16" s="82" t="str">
        <x:v>效应层</x:v>
      </x:c>
      <x:c r="H16" s="68" t="str">
        <x:v>M04-ZHENG-0037-V1.0—M04-ZHENG-0042-V1.0；M04-DUHE-0043-V1.0</x:v>
      </x:c>
      <x:c r="I16" s="82" t="str">
        <x:v>争合</x:v>
      </x:c>
      <x:c r="J16" s="68" t="str">
        <x:v>一干与两个配对干</x:v>
      </x:c>
      <x:c r="K16" s="68" t="str">
        <x:v>共享天干及各关系实例</x:v>
      </x:c>
      <x:c r="L16" s="82" t="str">
        <x:v>逐对象比较得令、得地、得势与相对强弱</x:v>
      </x:c>
      <x:c r="M16" s="68" t="str">
        <x:v>记录参与对象中谁得令、谁受季节支持</x:v>
      </x:c>
      <x:c r="N16" s="68" t="str">
        <x:v>记录明干及相关藏干的透出通道</x:v>
      </x:c>
      <x:c r="O16" s="68" t="str">
        <x:v>记录各对象根气层级、数量及是否唯一根</x:v>
      </x:c>
      <x:c r="P16" s="68" t="str">
        <x:v>检查同节点的合、冲、刑、害、破、会及生克</x:v>
      </x:c>
      <x:c r="Q16" s="82" t="str">
        <x:v>合动</x:v>
      </x:c>
      <x:c r="R16" s="82" t="str">
        <x:v>待定</x:v>
      </x:c>
      <x:c r="S16" s="82" t="str">
        <x:v>中</x:v>
      </x:c>
      <x:c r="T16" s="82" t="str">
        <x:v>否</x:v>
      </x:c>
      <x:c r="U16" s="82" t="str">
        <x:v>条件性</x:v>
      </x:c>
      <x:c r="V16" s="82" t="str">
        <x:v>条件性</x:v>
      </x:c>
      <x:c r="W16" s="82" t="str">
        <x:v>条件性</x:v>
      </x:c>
      <x:c r="X16" s="82" t="str">
        <x:v>条件性</x:v>
      </x:c>
      <x:c r="Y16" s="68" t="str">
        <x:v>可能改变原有生克路径，须在M12复核</x:v>
      </x:c>
      <x:c r="Z16" s="68" t="str">
        <x:v>M04/M05已识别关系，柱位、完整度与参与对象已标准化</x:v>
      </x:c>
      <x:c r="AA16" s="68" t="str">
        <x:v>必须指向具体作用对象，并比较各方力量、根气和通道</x:v>
      </x:c>
      <x:c r="AB16" s="68" t="str">
        <x:v>一组相邻且强势，另一组遥隔弱势</x:v>
      </x:c>
      <x:c r="AC16" s="68" t="str">
        <x:v>两组力量接近且共享节点有强根</x:v>
      </x:c>
      <x:c r="AD16" s="90" t="str">
        <x:v>不得把共享天干同时完整化入两个不同结果</x:v>
      </x:c>
      <x:c r="AE16" s="68" t="str">
        <x:v>若两组候选化神相同且全局一气成势，仍须以特殊规则复核</x:v>
      </x:c>
      <x:c r="AF16" s="84" t="str">
        <x:v>同一节点被两个合关系竞争时，不宜把两组关系都判为完整合住或同时合化；须按位置、强弱、根气确定主次。</x:v>
      </x:c>
      <x:c r="AG16" s="84" t="str">
        <x:v>该结构存在争合，各合关系稳定性下降；需指定主合、次合或均不成强合。</x:v>
      </x:c>
      <x:c r="AH16" s="82" t="str">
        <x:v>中等</x:v>
      </x:c>
      <x:c r="AI16" s="82" t="str">
        <x:v>现代综合</x:v>
      </x:c>
      <x:c r="AJ16" s="68" t="str">
        <x:v>争合是多关系共享节点问题，必须分配作用优先级。参考：https://ctext.org/wiki.pl?chapter=435028&amp;if=gb&amp;remap=gb</x:v>
      </x:c>
      <x:c r="AK16" s="68" t="str">
        <x:v>两甲争一己时，月日相邻一组可列主合，年时遥隔一组列次合。</x:v>
      </x:c>
      <x:c r="AL16" s="90" t="str">
        <x:v>一己同时被两甲完整合化，且两组均判决定性。</x:v>
      </x:c>
      <x:c r="AM16" s="82" t="str">
        <x:v>采用</x:v>
      </x:c>
      <x:c r="AN16" s="82" t="str">
        <x:v>初审</x:v>
      </x:c>
      <x:c r="AO16" s="87" t="n">
        <x:v>46255</x:v>
      </x:c>
    </x:row>
    <x:row r="17">
      <x:c r="A17" s="72" t="str">
        <x:f>IF(OR(C17="",D17=""),"",B17&amp;"-"&amp;UPPER(C17)&amp;"-"&amp;TEXT(D17,"0000")&amp;"-"&amp;E17)</x:f>
        <x:v>M06-TGHUA-0011-V1.0</x:v>
      </x:c>
      <x:c r="B17" s="74" t="str">
        <x:v>M06</x:v>
      </x:c>
      <x:c r="C17" s="74" t="str">
        <x:v>TGHUA</x:v>
      </x:c>
      <x:c r="D17" s="79" t="n">
        <x:v>11</x:v>
      </x:c>
      <x:c r="E17" s="74" t="str">
        <x:v>V1.0</x:v>
      </x:c>
      <x:c r="F17" s="68" t="str">
        <x:v>天干合化成立的四项联合门槛</x:v>
      </x:c>
      <x:c r="G17" s="82" t="str">
        <x:v>效应层</x:v>
      </x:c>
      <x:c r="H17" s="68" t="str">
        <x:v>M04-HHC-0032-V1.0—M04-HHC-0036-V1.0</x:v>
      </x:c>
      <x:c r="I17" s="82" t="str">
        <x:v>天干五合</x:v>
      </x:c>
      <x:c r="J17" s="68" t="str">
        <x:v>任一五合配对及候选化神</x:v>
      </x:c>
      <x:c r="K17" s="68" t="str">
        <x:v>参与两干与化神</x:v>
      </x:c>
      <x:c r="L17" s="82" t="str">
        <x:v>逐对象比较得令、得地、得势与相对强弱</x:v>
      </x:c>
      <x:c r="M17" s="68" t="str">
        <x:v>记录参与对象中谁得令、谁受季节支持</x:v>
      </x:c>
      <x:c r="N17" s="68" t="str">
        <x:v>记录明干及相关藏干的透出通道</x:v>
      </x:c>
      <x:c r="O17" s="68" t="str">
        <x:v>记录各对象根气层级、数量及是否唯一根</x:v>
      </x:c>
      <x:c r="P17" s="68" t="str">
        <x:v>检查同节点的合、冲、刑、害、破、会及生克</x:v>
      </x:c>
      <x:c r="Q17" s="82" t="str">
        <x:v>合化</x:v>
      </x:c>
      <x:c r="R17" s="82" t="str">
        <x:v>转化</x:v>
      </x:c>
      <x:c r="S17" s="82" t="str">
        <x:v>决定性</x:v>
      </x:c>
      <x:c r="T17" s="82" t="str">
        <x:v>是</x:v>
      </x:c>
      <x:c r="U17" s="82" t="str">
        <x:v>条件性</x:v>
      </x:c>
      <x:c r="V17" s="82" t="str">
        <x:v>条件性</x:v>
      </x:c>
      <x:c r="W17" s="82" t="str">
        <x:v>是</x:v>
      </x:c>
      <x:c r="X17" s="82" t="str">
        <x:v>是</x:v>
      </x:c>
      <x:c r="Y17" s="68" t="str">
        <x:v>原两干通道重组为化神通道</x:v>
      </x:c>
      <x:c r="Z17" s="68" t="str">
        <x:v>M04/M05已识别关系，柱位、完整度与参与对象已标准化</x:v>
      </x:c>
      <x:c r="AA17" s="68" t="str">
        <x:v>五合配对完整；化神有实质承载；双方原气不过度固着；无否决性破坏</x:v>
      </x:c>
      <x:c r="AB17" s="68" t="str">
        <x:v>化神临月令、透干、得根并有同党</x:v>
      </x:c>
      <x:c r="AC17" s="68" t="str">
        <x:v>化神仅虚浮无根，或原两干各自强根</x:v>
      </x:c>
      <x:c r="AD17" s="90" t="str">
        <x:v>化神被强克、争合严重、双方原气均强而拒化</x:v>
      </x:c>
      <x:c r="AE17" s="68" t="str">
        <x:v>从化、化气格须转M14/M15按更严格条件复核</x:v>
      </x:c>
      <x:c r="AF17" s="84" t="str">
        <x:v>完整合化至少同时满足：关系明确、化神得时得地或成势、原干从化条件具备、无强力反化或争合。</x:v>
      </x:c>
      <x:c r="AG17" s="84" t="str">
        <x:v>当前满足合化联合门槛，方可把两干的主要有效性质转向化神；否则退回合绊或合动。</x:v>
      </x:c>
      <x:c r="AH17" s="82" t="str">
        <x:v>较高</x:v>
      </x:c>
      <x:c r="AI17" s="82" t="str">
        <x:v>跨流派共识</x:v>
      </x:c>
      <x:c r="AJ17" s="68" t="str">
        <x:v>传统五合化气不能仅凭配对成立，需考察月令与气势。参考：https://zh.wikisource.org/zh-hans/淵海子平；https://zh.wikisource.org/wiki/三命通會/卷二</x:v>
      </x:c>
      <x:c r="AK17" s="68" t="str">
        <x:v>丙辛合，水得令得根且丙辛原根薄弱，无强土制水，可判化水。</x:v>
      </x:c>
      <x:c r="AL17" s="90" t="str">
        <x:v>丙辛一见便化水，不查季节、根气和制化。</x:v>
      </x:c>
      <x:c r="AM17" s="82" t="str">
        <x:v>采用</x:v>
      </x:c>
      <x:c r="AN17" s="82" t="str">
        <x:v>初审</x:v>
      </x:c>
      <x:c r="AO17" s="87" t="n">
        <x:v>46255</x:v>
      </x:c>
    </x:row>
    <x:row r="18">
      <x:c r="A18" s="72" t="str">
        <x:f>IF(OR(C18="",D18=""),"",B18&amp;"-"&amp;UPPER(C18)&amp;"-"&amp;TEXT(D18,"0000")&amp;"-"&amp;E18)</x:f>
        <x:v>M06-TGHUA-0012-V1.0</x:v>
      </x:c>
      <x:c r="B18" s="74" t="str">
        <x:v>M06</x:v>
      </x:c>
      <x:c r="C18" s="74" t="str">
        <x:v>TGHUA</x:v>
      </x:c>
      <x:c r="D18" s="79" t="n">
        <x:v>12</x:v>
      </x:c>
      <x:c r="E18" s="74" t="str">
        <x:v>V1.0</x:v>
      </x:c>
      <x:c r="F18" s="68" t="str">
        <x:v>甲己合化土的化神方向</x:v>
      </x:c>
      <x:c r="G18" s="82" t="str">
        <x:v>效应层</x:v>
      </x:c>
      <x:c r="H18" s="68" t="str">
        <x:v>M04-HHC-0032-V1.0</x:v>
      </x:c>
      <x:c r="I18" s="82" t="str">
        <x:v>天干五合</x:v>
      </x:c>
      <x:c r="J18" s="68" t="str">
        <x:v>甲、己</x:v>
      </x:c>
      <x:c r="K18" s="68" t="str">
        <x:v>甲、己及化神土</x:v>
      </x:c>
      <x:c r="L18" s="82" t="str">
        <x:v>逐对象比较得令、得地、得势与相对强弱</x:v>
      </x:c>
      <x:c r="M18" s="68" t="str">
        <x:v>记录参与对象中谁得令、谁受季节支持</x:v>
      </x:c>
      <x:c r="N18" s="68" t="str">
        <x:v>记录明干及相关藏干的透出通道</x:v>
      </x:c>
      <x:c r="O18" s="68" t="str">
        <x:v>记录各对象根气层级、数量及是否唯一根</x:v>
      </x:c>
      <x:c r="P18" s="68" t="str">
        <x:v>检查同节点的合、冲、刑、害、破、会及生克</x:v>
      </x:c>
      <x:c r="Q18" s="82" t="str">
        <x:v>合化</x:v>
      </x:c>
      <x:c r="R18" s="82" t="str">
        <x:v>转化</x:v>
      </x:c>
      <x:c r="S18" s="82" t="str">
        <x:v>强</x:v>
      </x:c>
      <x:c r="T18" s="82" t="str">
        <x:v>是</x:v>
      </x:c>
      <x:c r="U18" s="82" t="str">
        <x:v>条件性</x:v>
      </x:c>
      <x:c r="V18" s="82" t="str">
        <x:v>条件性</x:v>
      </x:c>
      <x:c r="W18" s="82" t="str">
        <x:v>是</x:v>
      </x:c>
      <x:c r="X18" s="82" t="str">
        <x:v>是</x:v>
      </x:c>
      <x:c r="Y18" s="68" t="str">
        <x:v>原有两干通道转入土的生克链</x:v>
      </x:c>
      <x:c r="Z18" s="68" t="str">
        <x:v>M04/M05已识别关系，柱位、完整度与参与对象已标准化</x:v>
      </x:c>
      <x:c r="AA18" s="68" t="str">
        <x:v>土得时、得地或成势，且双方具备从化条件</x:v>
      </x:c>
      <x:c r="AB18" s="68" t="str">
        <x:v>土临辰戌丑未或火土成势，戊己透出承接</x:v>
      </x:c>
      <x:c r="AC18" s="68" t="str">
        <x:v>木势或水势强，甲有强根拒化</x:v>
      </x:c>
      <x:c r="AD18" s="90" t="str">
        <x:v>土无根无势或受强力反制；任一方原气根深拒化</x:v>
      </x:c>
      <x:c r="AE18" s="68" t="str">
        <x:v>仅有化意但未达完整门槛时，降级为条件性合动或合绊</x:v>
      </x:c>
      <x:c r="AF18" s="84" t="str">
        <x:v>甲己合只生成化土方向；土得令、得根、成势且甲己能从化时，才可判主要性质转土。</x:v>
      </x:c>
      <x:c r="AG18" s="84" t="str">
        <x:v>甲己合化土条件成立，甲己主要有效作用转向土；若条件不足则仍按合绊处理。</x:v>
      </x:c>
      <x:c r="AH18" s="82" t="str">
        <x:v>较高</x:v>
      </x:c>
      <x:c r="AI18" s="82" t="str">
        <x:v>现代综合</x:v>
      </x:c>
      <x:c r="AJ18" s="68" t="str">
        <x:v>本条只规定固定化神方向与条件，不把候选等同成立。参考：https://zh.wikisource.org/zh-hans/淵海子平；https://zh.wikisource.org/wiki/三命通會/卷二</x:v>
      </x:c>
      <x:c r="AK18" s="68" t="str">
        <x:v>甲己合化土条件成立，甲己主要有效作用转向土；若条件不足则仍按合绊处理。</x:v>
      </x:c>
      <x:c r="AL18" s="90" t="str">
        <x:v>甲己见而土虚弱、木强破土</x:v>
      </x:c>
      <x:c r="AM18" s="82" t="str">
        <x:v>采用</x:v>
      </x:c>
      <x:c r="AN18" s="82" t="str">
        <x:v>初审</x:v>
      </x:c>
      <x:c r="AO18" s="87" t="n">
        <x:v>46255</x:v>
      </x:c>
    </x:row>
    <x:row r="19">
      <x:c r="A19" s="72" t="str">
        <x:f>IF(OR(C19="",D19=""),"",B19&amp;"-"&amp;UPPER(C19)&amp;"-"&amp;TEXT(D19,"0000")&amp;"-"&amp;E19)</x:f>
        <x:v>M06-TGHUA-0013-V1.0</x:v>
      </x:c>
      <x:c r="B19" s="74" t="str">
        <x:v>M06</x:v>
      </x:c>
      <x:c r="C19" s="74" t="str">
        <x:v>TGHUA</x:v>
      </x:c>
      <x:c r="D19" s="79" t="n">
        <x:v>13</x:v>
      </x:c>
      <x:c r="E19" s="74" t="str">
        <x:v>V1.0</x:v>
      </x:c>
      <x:c r="F19" s="68" t="str">
        <x:v>乙庚合化金的化神方向</x:v>
      </x:c>
      <x:c r="G19" s="82" t="str">
        <x:v>效应层</x:v>
      </x:c>
      <x:c r="H19" s="68" t="str">
        <x:v>M04-HHC-0033-V1.0</x:v>
      </x:c>
      <x:c r="I19" s="82" t="str">
        <x:v>天干五合</x:v>
      </x:c>
      <x:c r="J19" s="68" t="str">
        <x:v>乙、庚</x:v>
      </x:c>
      <x:c r="K19" s="68" t="str">
        <x:v>乙、庚及化神金</x:v>
      </x:c>
      <x:c r="L19" s="82" t="str">
        <x:v>逐对象比较得令、得地、得势与相对强弱</x:v>
      </x:c>
      <x:c r="M19" s="68" t="str">
        <x:v>记录参与对象中谁得令、谁受季节支持</x:v>
      </x:c>
      <x:c r="N19" s="68" t="str">
        <x:v>记录明干及相关藏干的透出通道</x:v>
      </x:c>
      <x:c r="O19" s="68" t="str">
        <x:v>记录各对象根气层级、数量及是否唯一根</x:v>
      </x:c>
      <x:c r="P19" s="68" t="str">
        <x:v>检查同节点的合、冲、刑、害、破、会及生克</x:v>
      </x:c>
      <x:c r="Q19" s="82" t="str">
        <x:v>合化</x:v>
      </x:c>
      <x:c r="R19" s="82" t="str">
        <x:v>转化</x:v>
      </x:c>
      <x:c r="S19" s="82" t="str">
        <x:v>强</x:v>
      </x:c>
      <x:c r="T19" s="82" t="str">
        <x:v>是</x:v>
      </x:c>
      <x:c r="U19" s="82" t="str">
        <x:v>条件性</x:v>
      </x:c>
      <x:c r="V19" s="82" t="str">
        <x:v>条件性</x:v>
      </x:c>
      <x:c r="W19" s="82" t="str">
        <x:v>是</x:v>
      </x:c>
      <x:c r="X19" s="82" t="str">
        <x:v>是</x:v>
      </x:c>
      <x:c r="Y19" s="68" t="str">
        <x:v>原有两干通道转入金的生克链</x:v>
      </x:c>
      <x:c r="Z19" s="68" t="str">
        <x:v>M04/M05已识别关系，柱位、完整度与参与对象已标准化</x:v>
      </x:c>
      <x:c r="AA19" s="68" t="str">
        <x:v>金得时、得地或成势，且双方具备从化条件</x:v>
      </x:c>
      <x:c r="AB19" s="68" t="str">
        <x:v>申酉月或巳酉丑金势成，庚辛有根透出</x:v>
      </x:c>
      <x:c r="AC19" s="68" t="str">
        <x:v>木火强势，乙根深或火克金</x:v>
      </x:c>
      <x:c r="AD19" s="90" t="str">
        <x:v>金无根无势或受强力反制；任一方原气根深拒化</x:v>
      </x:c>
      <x:c r="AE19" s="68" t="str">
        <x:v>仅有化意但未达完整门槛时，降级为条件性合动或合绊</x:v>
      </x:c>
      <x:c r="AF19" s="84" t="str">
        <x:v>乙庚合只生成化金方向；金得令、得根、成势且乙庚能从化时，才可判主要性质转金。</x:v>
      </x:c>
      <x:c r="AG19" s="84" t="str">
        <x:v>乙庚合化金条件成立，乙庚主要有效作用转向金；若条件不足则仍按合绊处理。</x:v>
      </x:c>
      <x:c r="AH19" s="82" t="str">
        <x:v>较高</x:v>
      </x:c>
      <x:c r="AI19" s="82" t="str">
        <x:v>现代综合</x:v>
      </x:c>
      <x:c r="AJ19" s="68" t="str">
        <x:v>本条只规定固定化神方向与条件，不把候选等同成立。参考：https://zh.wikisource.org/zh-hans/淵海子平；https://zh.wikisource.org/wiki/三命通會/卷二</x:v>
      </x:c>
      <x:c r="AK19" s="68" t="str">
        <x:v>乙庚合化金条件成立，乙庚主要有效作用转向金；若条件不足则仍按合绊处理。</x:v>
      </x:c>
      <x:c r="AL19" s="90" t="str">
        <x:v>乙庚见而金无根、火旺制金</x:v>
      </x:c>
      <x:c r="AM19" s="82" t="str">
        <x:v>采用</x:v>
      </x:c>
      <x:c r="AN19" s="82" t="str">
        <x:v>初审</x:v>
      </x:c>
      <x:c r="AO19" s="87" t="n">
        <x:v>46255</x:v>
      </x:c>
    </x:row>
    <x:row r="20">
      <x:c r="A20" s="72" t="str">
        <x:f>IF(OR(C20="",D20=""),"",B20&amp;"-"&amp;UPPER(C20)&amp;"-"&amp;TEXT(D20,"0000")&amp;"-"&amp;E20)</x:f>
        <x:v>M06-TGHUA-0014-V1.0</x:v>
      </x:c>
      <x:c r="B20" s="74" t="str">
        <x:v>M06</x:v>
      </x:c>
      <x:c r="C20" s="74" t="str">
        <x:v>TGHUA</x:v>
      </x:c>
      <x:c r="D20" s="79" t="n">
        <x:v>14</x:v>
      </x:c>
      <x:c r="E20" s="74" t="str">
        <x:v>V1.0</x:v>
      </x:c>
      <x:c r="F20" s="68" t="str">
        <x:v>丙辛合化水的化神方向</x:v>
      </x:c>
      <x:c r="G20" s="82" t="str">
        <x:v>效应层</x:v>
      </x:c>
      <x:c r="H20" s="68" t="str">
        <x:v>M04-HHC-0034-V1.0</x:v>
      </x:c>
      <x:c r="I20" s="82" t="str">
        <x:v>天干五合</x:v>
      </x:c>
      <x:c r="J20" s="68" t="str">
        <x:v>丙、辛</x:v>
      </x:c>
      <x:c r="K20" s="68" t="str">
        <x:v>丙、辛及化神水</x:v>
      </x:c>
      <x:c r="L20" s="82" t="str">
        <x:v>逐对象比较得令、得地、得势与相对强弱</x:v>
      </x:c>
      <x:c r="M20" s="68" t="str">
        <x:v>记录参与对象中谁得令、谁受季节支持</x:v>
      </x:c>
      <x:c r="N20" s="68" t="str">
        <x:v>记录明干及相关藏干的透出通道</x:v>
      </x:c>
      <x:c r="O20" s="68" t="str">
        <x:v>记录各对象根气层级、数量及是否唯一根</x:v>
      </x:c>
      <x:c r="P20" s="68" t="str">
        <x:v>检查同节点的合、冲、刑、害、破、会及生克</x:v>
      </x:c>
      <x:c r="Q20" s="82" t="str">
        <x:v>合化</x:v>
      </x:c>
      <x:c r="R20" s="82" t="str">
        <x:v>转化</x:v>
      </x:c>
      <x:c r="S20" s="82" t="str">
        <x:v>强</x:v>
      </x:c>
      <x:c r="T20" s="82" t="str">
        <x:v>是</x:v>
      </x:c>
      <x:c r="U20" s="82" t="str">
        <x:v>条件性</x:v>
      </x:c>
      <x:c r="V20" s="82" t="str">
        <x:v>条件性</x:v>
      </x:c>
      <x:c r="W20" s="82" t="str">
        <x:v>是</x:v>
      </x:c>
      <x:c r="X20" s="82" t="str">
        <x:v>是</x:v>
      </x:c>
      <x:c r="Y20" s="68" t="str">
        <x:v>原有两干通道转入水的生克链</x:v>
      </x:c>
      <x:c r="Z20" s="68" t="str">
        <x:v>M04/M05已识别关系，柱位、完整度与参与对象已标准化</x:v>
      </x:c>
      <x:c r="AA20" s="68" t="str">
        <x:v>水得时、得地或成势，且双方具备从化条件</x:v>
      </x:c>
      <x:c r="AB20" s="68" t="str">
        <x:v>亥子月或申子辰水势成，壬癸透出承接</x:v>
      </x:c>
      <x:c r="AC20" s="68" t="str">
        <x:v>火土强势，丙有强根或土重制水</x:v>
      </x:c>
      <x:c r="AD20" s="90" t="str">
        <x:v>水无根无势或受强力反制；任一方原气根深拒化</x:v>
      </x:c>
      <x:c r="AE20" s="68" t="str">
        <x:v>仅有化意但未达完整门槛时，降级为条件性合动或合绊</x:v>
      </x:c>
      <x:c r="AF20" s="84" t="str">
        <x:v>丙辛合只生成化水方向；水得令、得根、成势且丙辛能从化时，才可判主要性质转水。</x:v>
      </x:c>
      <x:c r="AG20" s="84" t="str">
        <x:v>丙辛合化水条件成立，丙辛主要有效作用转向水；若条件不足则仍按合绊处理。</x:v>
      </x:c>
      <x:c r="AH20" s="82" t="str">
        <x:v>较高</x:v>
      </x:c>
      <x:c r="AI20" s="82" t="str">
        <x:v>现代综合</x:v>
      </x:c>
      <x:c r="AJ20" s="68" t="str">
        <x:v>本条只规定固定化神方向与条件，不把候选等同成立。参考：https://zh.wikisource.org/zh-hans/淵海子平；https://zh.wikisource.org/wiki/三命通會/卷二</x:v>
      </x:c>
      <x:c r="AK20" s="68" t="str">
        <x:v>丙辛合化水条件成立，丙辛主要有效作用转向水；若条件不足则仍按合绊处理。</x:v>
      </x:c>
      <x:c r="AL20" s="90" t="str">
        <x:v>丙辛见而水无根、火土旺</x:v>
      </x:c>
      <x:c r="AM20" s="82" t="str">
        <x:v>采用</x:v>
      </x:c>
      <x:c r="AN20" s="82" t="str">
        <x:v>初审</x:v>
      </x:c>
      <x:c r="AO20" s="87" t="n">
        <x:v>46255</x:v>
      </x:c>
    </x:row>
    <x:row r="21">
      <x:c r="A21" s="72" t="str">
        <x:f>IF(OR(C21="",D21=""),"",B21&amp;"-"&amp;UPPER(C21)&amp;"-"&amp;TEXT(D21,"0000")&amp;"-"&amp;E21)</x:f>
        <x:v>M06-TGHUA-0015-V1.0</x:v>
      </x:c>
      <x:c r="B21" s="74" t="str">
        <x:v>M06</x:v>
      </x:c>
      <x:c r="C21" s="74" t="str">
        <x:v>TGHUA</x:v>
      </x:c>
      <x:c r="D21" s="79" t="n">
        <x:v>15</x:v>
      </x:c>
      <x:c r="E21" s="74" t="str">
        <x:v>V1.0</x:v>
      </x:c>
      <x:c r="F21" s="68" t="str">
        <x:v>丁壬合化木的化神方向</x:v>
      </x:c>
      <x:c r="G21" s="82" t="str">
        <x:v>效应层</x:v>
      </x:c>
      <x:c r="H21" s="68" t="str">
        <x:v>M04-HHC-0035-V1.0</x:v>
      </x:c>
      <x:c r="I21" s="82" t="str">
        <x:v>天干五合</x:v>
      </x:c>
      <x:c r="J21" s="68" t="str">
        <x:v>丁、壬</x:v>
      </x:c>
      <x:c r="K21" s="68" t="str">
        <x:v>丁、壬及化神木</x:v>
      </x:c>
      <x:c r="L21" s="82" t="str">
        <x:v>逐对象比较得令、得地、得势与相对强弱</x:v>
      </x:c>
      <x:c r="M21" s="68" t="str">
        <x:v>记录参与对象中谁得令、谁受季节支持</x:v>
      </x:c>
      <x:c r="N21" s="68" t="str">
        <x:v>记录明干及相关藏干的透出通道</x:v>
      </x:c>
      <x:c r="O21" s="68" t="str">
        <x:v>记录各对象根气层级、数量及是否唯一根</x:v>
      </x:c>
      <x:c r="P21" s="68" t="str">
        <x:v>检查同节点的合、冲、刑、害、破、会及生克</x:v>
      </x:c>
      <x:c r="Q21" s="82" t="str">
        <x:v>合化</x:v>
      </x:c>
      <x:c r="R21" s="82" t="str">
        <x:v>转化</x:v>
      </x:c>
      <x:c r="S21" s="82" t="str">
        <x:v>强</x:v>
      </x:c>
      <x:c r="T21" s="82" t="str">
        <x:v>是</x:v>
      </x:c>
      <x:c r="U21" s="82" t="str">
        <x:v>条件性</x:v>
      </x:c>
      <x:c r="V21" s="82" t="str">
        <x:v>条件性</x:v>
      </x:c>
      <x:c r="W21" s="82" t="str">
        <x:v>是</x:v>
      </x:c>
      <x:c r="X21" s="82" t="str">
        <x:v>是</x:v>
      </x:c>
      <x:c r="Y21" s="68" t="str">
        <x:v>原有两干通道转入木的生克链</x:v>
      </x:c>
      <x:c r="Z21" s="68" t="str">
        <x:v>M04/M05已识别关系，柱位、完整度与参与对象已标准化</x:v>
      </x:c>
      <x:c r="AA21" s="68" t="str">
        <x:v>木得时、得地或成势，且双方具备从化条件</x:v>
      </x:c>
      <x:c r="AB21" s="68" t="str">
        <x:v>寅卯月或亥卯未木势成，甲乙透出承接</x:v>
      </x:c>
      <x:c r="AC21" s="68" t="str">
        <x:v>金土强势，丁壬各有强根或金克木</x:v>
      </x:c>
      <x:c r="AD21" s="90" t="str">
        <x:v>木无根无势或受强力反制；任一方原气根深拒化</x:v>
      </x:c>
      <x:c r="AE21" s="68" t="str">
        <x:v>仅有化意但未达完整门槛时，降级为条件性合动或合绊</x:v>
      </x:c>
      <x:c r="AF21" s="84" t="str">
        <x:v>丁壬合只生成化木方向；木得令、得根、成势且丁壬能从化时，才可判主要性质转木。</x:v>
      </x:c>
      <x:c r="AG21" s="84" t="str">
        <x:v>丁壬合化木条件成立，丁壬主要有效作用转向木；若条件不足则仍按合绊处理。</x:v>
      </x:c>
      <x:c r="AH21" s="82" t="str">
        <x:v>较高</x:v>
      </x:c>
      <x:c r="AI21" s="82" t="str">
        <x:v>现代综合</x:v>
      </x:c>
      <x:c r="AJ21" s="68" t="str">
        <x:v>本条只规定固定化神方向与条件，不把候选等同成立。参考：https://zh.wikisource.org/zh-hans/淵海子平；https://zh.wikisource.org/wiki/三命通會/卷二</x:v>
      </x:c>
      <x:c r="AK21" s="68" t="str">
        <x:v>丁壬合化木条件成立，丁壬主要有效作用转向木；若条件不足则仍按合绊处理。</x:v>
      </x:c>
      <x:c r="AL21" s="90" t="str">
        <x:v>丁壬见而木无根、金旺伐木</x:v>
      </x:c>
      <x:c r="AM21" s="82" t="str">
        <x:v>采用</x:v>
      </x:c>
      <x:c r="AN21" s="82" t="str">
        <x:v>初审</x:v>
      </x:c>
      <x:c r="AO21" s="87" t="n">
        <x:v>46255</x:v>
      </x:c>
    </x:row>
    <x:row r="22">
      <x:c r="A22" s="72" t="str">
        <x:f>IF(OR(C22="",D22=""),"",B22&amp;"-"&amp;UPPER(C22)&amp;"-"&amp;TEXT(D22,"0000")&amp;"-"&amp;E22)</x:f>
        <x:v>M06-TGHUA-0016-V1.0</x:v>
      </x:c>
      <x:c r="B22" s="74" t="str">
        <x:v>M06</x:v>
      </x:c>
      <x:c r="C22" s="74" t="str">
        <x:v>TGHUA</x:v>
      </x:c>
      <x:c r="D22" s="79" t="n">
        <x:v>16</x:v>
      </x:c>
      <x:c r="E22" s="74" t="str">
        <x:v>V1.0</x:v>
      </x:c>
      <x:c r="F22" s="68" t="str">
        <x:v>戊癸合化火的化神方向</x:v>
      </x:c>
      <x:c r="G22" s="82" t="str">
        <x:v>效应层</x:v>
      </x:c>
      <x:c r="H22" s="68" t="str">
        <x:v>M04-HHC-0036-V1.0</x:v>
      </x:c>
      <x:c r="I22" s="82" t="str">
        <x:v>天干五合</x:v>
      </x:c>
      <x:c r="J22" s="68" t="str">
        <x:v>戊、癸</x:v>
      </x:c>
      <x:c r="K22" s="68" t="str">
        <x:v>戊、癸及化神火</x:v>
      </x:c>
      <x:c r="L22" s="82" t="str">
        <x:v>逐对象比较得令、得地、得势与相对强弱</x:v>
      </x:c>
      <x:c r="M22" s="68" t="str">
        <x:v>记录参与对象中谁得令、谁受季节支持</x:v>
      </x:c>
      <x:c r="N22" s="68" t="str">
        <x:v>记录明干及相关藏干的透出通道</x:v>
      </x:c>
      <x:c r="O22" s="68" t="str">
        <x:v>记录各对象根气层级、数量及是否唯一根</x:v>
      </x:c>
      <x:c r="P22" s="68" t="str">
        <x:v>检查同节点的合、冲、刑、害、破、会及生克</x:v>
      </x:c>
      <x:c r="Q22" s="82" t="str">
        <x:v>合化</x:v>
      </x:c>
      <x:c r="R22" s="82" t="str">
        <x:v>转化</x:v>
      </x:c>
      <x:c r="S22" s="82" t="str">
        <x:v>强</x:v>
      </x:c>
      <x:c r="T22" s="82" t="str">
        <x:v>是</x:v>
      </x:c>
      <x:c r="U22" s="82" t="str">
        <x:v>条件性</x:v>
      </x:c>
      <x:c r="V22" s="82" t="str">
        <x:v>条件性</x:v>
      </x:c>
      <x:c r="W22" s="82" t="str">
        <x:v>是</x:v>
      </x:c>
      <x:c r="X22" s="82" t="str">
        <x:v>是</x:v>
      </x:c>
      <x:c r="Y22" s="68" t="str">
        <x:v>原有两干通道转入火的生克链</x:v>
      </x:c>
      <x:c r="Z22" s="68" t="str">
        <x:v>M04/M05已识别关系，柱位、完整度与参与对象已标准化</x:v>
      </x:c>
      <x:c r="AA22" s="68" t="str">
        <x:v>火得时、得地或成势，且双方具备从化条件</x:v>
      </x:c>
      <x:c r="AB22" s="68" t="str">
        <x:v>巳午月或寅午戌火势成，丙丁透出承接</x:v>
      </x:c>
      <x:c r="AC22" s="68" t="str">
        <x:v>水金强势，癸根深或水制火</x:v>
      </x:c>
      <x:c r="AD22" s="90" t="str">
        <x:v>火无根无势或受强力反制；任一方原气根深拒化</x:v>
      </x:c>
      <x:c r="AE22" s="68" t="str">
        <x:v>仅有化意但未达完整门槛时，降级为条件性合动或合绊</x:v>
      </x:c>
      <x:c r="AF22" s="84" t="str">
        <x:v>戊癸合只生成化火方向；火得令、得根、成势且戊癸能从化时，才可判主要性质转火。</x:v>
      </x:c>
      <x:c r="AG22" s="84" t="str">
        <x:v>戊癸合化火条件成立，戊癸主要有效作用转向火；若条件不足则仍按合绊处理。</x:v>
      </x:c>
      <x:c r="AH22" s="82" t="str">
        <x:v>较高</x:v>
      </x:c>
      <x:c r="AI22" s="82" t="str">
        <x:v>现代综合</x:v>
      </x:c>
      <x:c r="AJ22" s="68" t="str">
        <x:v>本条只规定固定化神方向与条件，不把候选等同成立。参考：https://zh.wikisource.org/zh-hans/淵海子平；https://zh.wikisource.org/wiki/三命通會/卷二</x:v>
      </x:c>
      <x:c r="AK22" s="68" t="str">
        <x:v>戊癸合化火条件成立，戊癸主要有效作用转向火；若条件不足则仍按合绊处理。</x:v>
      </x:c>
      <x:c r="AL22" s="90" t="str">
        <x:v>戊癸见而火无根、水旺灭火</x:v>
      </x:c>
      <x:c r="AM22" s="82" t="str">
        <x:v>采用</x:v>
      </x:c>
      <x:c r="AN22" s="82" t="str">
        <x:v>初审</x:v>
      </x:c>
      <x:c r="AO22" s="87" t="n">
        <x:v>46255</x:v>
      </x:c>
    </x:row>
    <x:row r="23">
      <x:c r="A23" s="72" t="str">
        <x:f>IF(OR(C23="",D23=""),"",B23&amp;"-"&amp;UPPER(C23)&amp;"-"&amp;TEXT(D23,"0000")&amp;"-"&amp;E23)</x:f>
        <x:v>M06-TGHUA-0017-V1.0</x:v>
      </x:c>
      <x:c r="B23" s="74" t="str">
        <x:v>M06</x:v>
      </x:c>
      <x:c r="C23" s="74" t="str">
        <x:v>TGHUA</x:v>
      </x:c>
      <x:c r="D23" s="79" t="n">
        <x:v>17</x:v>
      </x:c>
      <x:c r="E23" s="74" t="str">
        <x:v>V1.0</x:v>
      </x:c>
      <x:c r="F23" s="68" t="str">
        <x:v>化神得令得地成势显著增强合化</x:v>
      </x:c>
      <x:c r="G23" s="82" t="str">
        <x:v>效应层</x:v>
      </x:c>
      <x:c r="H23" s="68" t="str">
        <x:v>M04-HHC-0032-V1.0—M04-HHC-0036-V1.0；M03-ML-0001-V1.0—M03-ML-0012-V1.0；M03-PROC-0020-V1.0</x:v>
      </x:c>
      <x:c r="I23" s="82" t="str">
        <x:v>天干五合</x:v>
      </x:c>
      <x:c r="J23" s="68" t="str">
        <x:v>五合两干与候选化神</x:v>
      </x:c>
      <x:c r="K23" s="68" t="str">
        <x:v>候选化神</x:v>
      </x:c>
      <x:c r="L23" s="82" t="str">
        <x:v>逐对象比较得令、得地、得势与相对强弱</x:v>
      </x:c>
      <x:c r="M23" s="68" t="str">
        <x:v>记录参与对象中谁得令、谁受季节支持</x:v>
      </x:c>
      <x:c r="N23" s="68" t="str">
        <x:v>记录明干及相关藏干的透出通道</x:v>
      </x:c>
      <x:c r="O23" s="68" t="str">
        <x:v>记录各对象根气层级、数量及是否唯一根</x:v>
      </x:c>
      <x:c r="P23" s="68" t="str">
        <x:v>检查同节点的合、冲、刑、害、破、会及生克</x:v>
      </x:c>
      <x:c r="Q23" s="82" t="str">
        <x:v>合化</x:v>
      </x:c>
      <x:c r="R23" s="82" t="str">
        <x:v>增强</x:v>
      </x:c>
      <x:c r="S23" s="82" t="str">
        <x:v>强</x:v>
      </x:c>
      <x:c r="T23" s="82" t="str">
        <x:v>条件性</x:v>
      </x:c>
      <x:c r="U23" s="82" t="str">
        <x:v>条件性</x:v>
      </x:c>
      <x:c r="V23" s="82" t="str">
        <x:v>条件性</x:v>
      </x:c>
      <x:c r="W23" s="82" t="str">
        <x:v>是</x:v>
      </x:c>
      <x:c r="X23" s="82" t="str">
        <x:v>条件性</x:v>
      </x:c>
      <x:c r="Y23" s="68" t="str">
        <x:v>可能改变原有生克路径，须在M12复核</x:v>
      </x:c>
      <x:c r="Z23" s="68" t="str">
        <x:v>M04/M05已识别关系，柱位、完整度与参与对象已标准化</x:v>
      </x:c>
      <x:c r="AA23" s="68" t="str">
        <x:v>化神至少具有真实根气或成势通道，不能仅凭名称</x:v>
      </x:c>
      <x:c r="AB23" s="68" t="str">
        <x:v>关系相邻、得令、得地、成势且无强力反制</x:v>
      </x:c>
      <x:c r="AC23" s="68" t="str">
        <x:v>遥隔、争合、节点被其他关系牵制或双方各有强根</x:v>
      </x:c>
      <x:c r="AD23" s="90" t="str">
        <x:v>仅凭关系名称不得直接判性质改变、归零或固定吉凶</x:v>
      </x:c>
      <x:c r="AE23" s="68" t="str">
        <x:v>特殊格局或岁运动态补齐须另建实例重新裁决</x:v>
      </x:c>
      <x:c r="AF23" s="84" t="str">
        <x:v>化神同时得月令、通根并有同党时，合化从候选升级为明显成立的关键证据。</x:v>
      </x:c>
      <x:c r="AG23" s="84" t="str">
        <x:v>化神得令得地成势，合化证据显著增强；仍需确认无拒化与争合。</x:v>
      </x:c>
      <x:c r="AH23" s="82" t="str">
        <x:v>较高</x:v>
      </x:c>
      <x:c r="AI23" s="82" t="str">
        <x:v>现代综合</x:v>
      </x:c>
      <x:c r="AJ23" s="68" t="str">
        <x:v>月令和气势是传统合化判定的核心条件。参考：https://zh.wikisource.org/zh-hans/淵海子平；https://zh.wikisource.org/wiki/三命通會/卷二</x:v>
      </x:c>
      <x:c r="AK23" s="68" t="str">
        <x:v>丙辛合而水临子月、壬癸透、亥子有根，化水证据强。</x:v>
      </x:c>
      <x:c r="AL23" s="90" t="str">
        <x:v>化神仅在名称上存在，原局毫无该五行承载却判合化。</x:v>
      </x:c>
      <x:c r="AM23" s="82" t="str">
        <x:v>采用</x:v>
      </x:c>
      <x:c r="AN23" s="82" t="str">
        <x:v>初审</x:v>
      </x:c>
      <x:c r="AO23" s="87" t="n">
        <x:v>46255</x:v>
      </x:c>
    </x:row>
    <x:row r="24">
      <x:c r="A24" s="72" t="str">
        <x:f>IF(OR(C24="",D24=""),"",B24&amp;"-"&amp;UPPER(C24)&amp;"-"&amp;TEXT(D24,"0000")&amp;"-"&amp;E24)</x:f>
        <x:v>M06-TGHUA-0018-V1.0</x:v>
      </x:c>
      <x:c r="B24" s="74" t="str">
        <x:v>M06</x:v>
      </x:c>
      <x:c r="C24" s="74" t="str">
        <x:v>TGHUA</x:v>
      </x:c>
      <x:c r="D24" s="79" t="n">
        <x:v>18</x:v>
      </x:c>
      <x:c r="E24" s="74" t="str">
        <x:v>V1.0</x:v>
      </x:c>
      <x:c r="F24" s="68" t="str">
        <x:v>原干强根拒化使完整合化降级</x:v>
      </x:c>
      <x:c r="G24" s="82" t="str">
        <x:v>效应层</x:v>
      </x:c>
      <x:c r="H24" s="68" t="str">
        <x:v>M04-HHC-0032-V1.0—M04-HHC-0036-V1.0；M03-RTCT-0040-V1.0—M03-RTCT-0045-V1.0；M03-RTEF-0046-V1.0—M03-RTEF-0052-V1.0</x:v>
      </x:c>
      <x:c r="I24" s="82" t="str">
        <x:v>天干五合</x:v>
      </x:c>
      <x:c r="J24" s="68" t="str">
        <x:v>五合两干</x:v>
      </x:c>
      <x:c r="K24" s="68" t="str">
        <x:v>强根一方或双方</x:v>
      </x:c>
      <x:c r="L24" s="82" t="str">
        <x:v>逐对象比较得令、得地、得势与相对强弱</x:v>
      </x:c>
      <x:c r="M24" s="68" t="str">
        <x:v>记录参与对象中谁得令、谁受季节支持</x:v>
      </x:c>
      <x:c r="N24" s="68" t="str">
        <x:v>记录明干及相关藏干的透出通道</x:v>
      </x:c>
      <x:c r="O24" s="68" t="str">
        <x:v>记录各对象根气层级、数量及是否唯一根</x:v>
      </x:c>
      <x:c r="P24" s="68" t="str">
        <x:v>检查同节点的合、冲、刑、害、破、会及生克</x:v>
      </x:c>
      <x:c r="Q24" s="82" t="str">
        <x:v>合绊</x:v>
      </x:c>
      <x:c r="R24" s="82" t="str">
        <x:v>冻结</x:v>
      </x:c>
      <x:c r="S24" s="82" t="str">
        <x:v>强</x:v>
      </x:c>
      <x:c r="T24" s="82" t="str">
        <x:v>否</x:v>
      </x:c>
      <x:c r="U24" s="82" t="str">
        <x:v>否</x:v>
      </x:c>
      <x:c r="V24" s="82" t="str">
        <x:v>否</x:v>
      </x:c>
      <x:c r="W24" s="82" t="str">
        <x:v>否</x:v>
      </x:c>
      <x:c r="X24" s="82" t="str">
        <x:v>条件性</x:v>
      </x:c>
      <x:c r="Y24" s="68" t="str">
        <x:v>可能改变原有生克路径，须在M12复核</x:v>
      </x:c>
      <x:c r="Z24" s="68" t="str">
        <x:v>M04/M05已识别关系，柱位、完整度与参与对象已标准化</x:v>
      </x:c>
      <x:c r="AA24" s="68" t="str">
        <x:v>必须指向具体作用对象，并比较各方力量、根气和通道</x:v>
      </x:c>
      <x:c r="AB24" s="68" t="str">
        <x:v>双方或一方临旺令且根多党众</x:v>
      </x:c>
      <x:c r="AC24" s="68" t="str">
        <x:v>原根被冲散或原气无援</x:v>
      </x:c>
      <x:c r="AD24" s="90" t="str">
        <x:v>仅凭关系名称不得直接判性质改变、归零或固定吉凶</x:v>
      </x:c>
      <x:c r="AE24" s="68" t="str">
        <x:v>特殊格局或岁运动态补齐须另建实例重新裁决</x:v>
      </x:c>
      <x:c r="AF24" s="84" t="str">
        <x:v>任一原干得令、多根成势时，其本气不易完全转化；完整合化应降级为合绊、合动或局部化意。</x:v>
      </x:c>
      <x:c r="AG24" s="84" t="str">
        <x:v>原干根气坚固，拒化证据明显；本条不判完整合化。</x:v>
      </x:c>
      <x:c r="AH24" s="82" t="str">
        <x:v>较高</x:v>
      </x:c>
      <x:c r="AI24" s="82" t="str">
        <x:v>现代综合</x:v>
      </x:c>
      <x:c r="AJ24" s="68" t="str">
        <x:v>化神成立不能忽略原气是否有能力从化。参考：https://zh.wikisource.org/zh-hans/滴天髓</x:v>
      </x:c>
      <x:c r="AK24" s="68" t="str">
        <x:v>甲己合而甲临寅卯月、多根木旺，甲不从土，判合绊。</x:v>
      </x:c>
      <x:c r="AL24" s="90" t="str">
        <x:v>原干强旺有根仍按完整合化处理。</x:v>
      </x:c>
      <x:c r="AM24" s="82" t="str">
        <x:v>采用</x:v>
      </x:c>
      <x:c r="AN24" s="82" t="str">
        <x:v>初审</x:v>
      </x:c>
      <x:c r="AO24" s="87" t="n">
        <x:v>46255</x:v>
      </x:c>
    </x:row>
    <x:row r="25">
      <x:c r="A25" s="72" t="str">
        <x:f>IF(OR(C25="",D25=""),"",B25&amp;"-"&amp;UPPER(C25)&amp;"-"&amp;TEXT(D25,"0000")&amp;"-"&amp;E25)</x:f>
        <x:v>M06-TGHUA-0019-V1.0</x:v>
      </x:c>
      <x:c r="B25" s="74" t="str">
        <x:v>M06</x:v>
      </x:c>
      <x:c r="C25" s="74" t="str">
        <x:v>TGHUA</x:v>
      </x:c>
      <x:c r="D25" s="79" t="n">
        <x:v>19</x:v>
      </x:c>
      <x:c r="E25" s="74" t="str">
        <x:v>V1.0</x:v>
      </x:c>
      <x:c r="F25" s="68" t="str">
        <x:v>强力反化五行可否决完整合化</x:v>
      </x:c>
      <x:c r="G25" s="82" t="str">
        <x:v>效应层</x:v>
      </x:c>
      <x:c r="H25" s="68" t="str">
        <x:v>M04-HHC-0032-V1.0—M04-HHC-0036-V1.0；M04-OVER-0046-V1.0</x:v>
      </x:c>
      <x:c r="I25" s="82" t="str">
        <x:v>其他</x:v>
      </x:c>
      <x:c r="J25" s="68" t="str">
        <x:v>五合两干、化神及反化五行</x:v>
      </x:c>
      <x:c r="K25" s="68" t="str">
        <x:v>候选化神</x:v>
      </x:c>
      <x:c r="L25" s="82" t="str">
        <x:v>逐对象比较得令、得地、得势与相对强弱</x:v>
      </x:c>
      <x:c r="M25" s="68" t="str">
        <x:v>记录参与对象中谁得令、谁受季节支持</x:v>
      </x:c>
      <x:c r="N25" s="68" t="str">
        <x:v>记录明干及相关藏干的透出通道</x:v>
      </x:c>
      <x:c r="O25" s="68" t="str">
        <x:v>记录各对象根气层级、数量及是否唯一根</x:v>
      </x:c>
      <x:c r="P25" s="68" t="str">
        <x:v>检查同节点的合、冲、刑、害、破、会及生克</x:v>
      </x:c>
      <x:c r="Q25" s="82" t="str">
        <x:v>克</x:v>
      </x:c>
      <x:c r="R25" s="82" t="str">
        <x:v>减弱</x:v>
      </x:c>
      <x:c r="S25" s="82" t="str">
        <x:v>强</x:v>
      </x:c>
      <x:c r="T25" s="82" t="str">
        <x:v>否</x:v>
      </x:c>
      <x:c r="U25" s="82" t="str">
        <x:v>否</x:v>
      </x:c>
      <x:c r="V25" s="82" t="str">
        <x:v>否</x:v>
      </x:c>
      <x:c r="W25" s="82" t="str">
        <x:v>否</x:v>
      </x:c>
      <x:c r="X25" s="82" t="str">
        <x:v>是</x:v>
      </x:c>
      <x:c r="Y25" s="68" t="str">
        <x:v>可能改变原有生克路径，须在M12复核</x:v>
      </x:c>
      <x:c r="Z25" s="68" t="str">
        <x:v>M04/M05已识别关系，柱位、完整度与参与对象已标准化</x:v>
      </x:c>
      <x:c r="AA25" s="68" t="str">
        <x:v>反化五行须真实有力并能直接作用化神</x:v>
      </x:c>
      <x:c r="AB25" s="68" t="str">
        <x:v>关系相邻、得令、得地、成势且无强力反制</x:v>
      </x:c>
      <x:c r="AC25" s="68" t="str">
        <x:v>遥隔、争合、节点被其他关系牵制或双方各有强根</x:v>
      </x:c>
      <x:c r="AD25" s="90" t="str">
        <x:v>仅凭关系名称不得直接判性质改变、归零或固定吉凶</x:v>
      </x:c>
      <x:c r="AE25" s="68" t="str">
        <x:v>特殊格局或岁运动态补齐须另建实例重新裁决</x:v>
      </x:c>
      <x:c r="AF25" s="84" t="str">
        <x:v>化神被得令成势的克神直接压制时，合化缺乏承载，通常只能保留合意或局部化意。</x:v>
      </x:c>
      <x:c r="AG25" s="84" t="str">
        <x:v>化神受强力反制，完整合化被否决；退回合绊或合动。</x:v>
      </x:c>
      <x:c r="AH25" s="82" t="str">
        <x:v>较高</x:v>
      </x:c>
      <x:c r="AI25" s="82" t="str">
        <x:v>现代综合</x:v>
      </x:c>
      <x:c r="AJ25" s="68" t="str">
        <x:v>合化必须能在全局生克中存续。参考：https://zh.wikisource.org/zh-hans/淵海子平；https://zh.wikisource.org/wiki/三命通會/卷二</x:v>
      </x:c>
      <x:c r="AK25" s="68" t="str">
        <x:v>丙辛欲化水而戊己土得令成势，水无根，完整化水不成立。</x:v>
      </x:c>
      <x:c r="AL25" s="90" t="str">
        <x:v>化神被强克仍不作任何修正。</x:v>
      </x:c>
      <x:c r="AM25" s="82" t="str">
        <x:v>采用</x:v>
      </x:c>
      <x:c r="AN25" s="82" t="str">
        <x:v>初审</x:v>
      </x:c>
      <x:c r="AO25" s="87" t="n">
        <x:v>46255</x:v>
      </x:c>
    </x:row>
    <x:row r="26">
      <x:c r="A26" s="72" t="str">
        <x:f>IF(OR(C26="",D26=""),"",B26&amp;"-"&amp;UPPER(C26)&amp;"-"&amp;TEXT(D26,"0000")&amp;"-"&amp;E26)</x:f>
        <x:v>M06-TGHUA-0020-V1.0</x:v>
      </x:c>
      <x:c r="B26" s="74" t="str">
        <x:v>M06</x:v>
      </x:c>
      <x:c r="C26" s="74" t="str">
        <x:v>TGHUA</x:v>
      </x:c>
      <x:c r="D26" s="79" t="n">
        <x:v>20</x:v>
      </x:c>
      <x:c r="E26" s="74" t="str">
        <x:v>V1.0</x:v>
      </x:c>
      <x:c r="F26" s="68" t="str">
        <x:v>争合与妒合可破坏单一化神归属</x:v>
      </x:c>
      <x:c r="G26" s="82" t="str">
        <x:v>效应层</x:v>
      </x:c>
      <x:c r="H26" s="68" t="str">
        <x:v>M04-ZHENG-0037-V1.0—M04-ZHENG-0042-V1.0；M04-DUHE-0043-V1.0</x:v>
      </x:c>
      <x:c r="I26" s="82" t="str">
        <x:v>争合</x:v>
      </x:c>
      <x:c r="J26" s="68" t="str">
        <x:v>共享天干及两个配对干</x:v>
      </x:c>
      <x:c r="K26" s="68" t="str">
        <x:v>化神归属</x:v>
      </x:c>
      <x:c r="L26" s="82" t="str">
        <x:v>逐对象比较得令、得地、得势与相对强弱</x:v>
      </x:c>
      <x:c r="M26" s="68" t="str">
        <x:v>记录参与对象中谁得令、谁受季节支持</x:v>
      </x:c>
      <x:c r="N26" s="68" t="str">
        <x:v>记录明干及相关藏干的透出通道</x:v>
      </x:c>
      <x:c r="O26" s="68" t="str">
        <x:v>记录各对象根气层级、数量及是否唯一根</x:v>
      </x:c>
      <x:c r="P26" s="68" t="str">
        <x:v>检查同节点的合、冲、刑、害、破、会及生克</x:v>
      </x:c>
      <x:c r="Q26" s="82" t="str">
        <x:v>阻断</x:v>
      </x:c>
      <x:c r="R26" s="82" t="str">
        <x:v>阻断</x:v>
      </x:c>
      <x:c r="S26" s="82" t="str">
        <x:v>强</x:v>
      </x:c>
      <x:c r="T26" s="82" t="str">
        <x:v>否</x:v>
      </x:c>
      <x:c r="U26" s="82" t="str">
        <x:v>否</x:v>
      </x:c>
      <x:c r="V26" s="82" t="str">
        <x:v>否</x:v>
      </x:c>
      <x:c r="W26" s="82" t="str">
        <x:v>否</x:v>
      </x:c>
      <x:c r="X26" s="82" t="str">
        <x:v>条件性</x:v>
      </x:c>
      <x:c r="Y26" s="68" t="str">
        <x:v>可能改变原有生克路径，须在M12复核</x:v>
      </x:c>
      <x:c r="Z26" s="68" t="str">
        <x:v>M04/M05已识别关系，柱位、完整度与参与对象已标准化</x:v>
      </x:c>
      <x:c r="AA26" s="68" t="str">
        <x:v>必须指向具体作用对象，并比较各方力量、根气和通道</x:v>
      </x:c>
      <x:c r="AB26" s="68" t="str">
        <x:v>关系相邻、得令、得地、成势且无强力反制</x:v>
      </x:c>
      <x:c r="AC26" s="68" t="str">
        <x:v>遥隔、争合、节点被其他关系牵制或双方各有强根</x:v>
      </x:c>
      <x:c r="AD26" s="90" t="str">
        <x:v>共享干同时完整化入两个关系</x:v>
      </x:c>
      <x:c r="AE26" s="68" t="str">
        <x:v>特殊格局或岁运动态补齐须另建实例重新裁决</x:v>
      </x:c>
      <x:c r="AF26" s="84" t="str">
        <x:v>争合使共享节点无法稳定从属于单一配对；未裁定主次前，不得判两组关系同时完整合化。</x:v>
      </x:c>
      <x:c r="AG26" s="84" t="str">
        <x:v>争合破坏单一化神归属，合化暂不成立或仅保留主关系的条件性候选。</x:v>
      </x:c>
      <x:c r="AH26" s="82" t="str">
        <x:v>中等</x:v>
      </x:c>
      <x:c r="AI26" s="82" t="str">
        <x:v>现代综合</x:v>
      </x:c>
      <x:c r="AJ26" s="68" t="str">
        <x:v>争合属于合化稳定性的否决或降级因素。参考：https://ctext.org/wiki.pl?chapter=435028&amp;if=gb&amp;remap=gb</x:v>
      </x:c>
      <x:c r="AK26" s="68" t="str">
        <x:v>两乙争庚，未能确定主合前，不判两组乙庚同时化金。</x:v>
      </x:c>
      <x:c r="AL26" s="90" t="str">
        <x:v>共享庚同时完整化入两组乙庚合。</x:v>
      </x:c>
      <x:c r="AM26" s="82" t="str">
        <x:v>采用</x:v>
      </x:c>
      <x:c r="AN26" s="82" t="str">
        <x:v>初审</x:v>
      </x:c>
      <x:c r="AO26" s="87" t="n">
        <x:v>46255</x:v>
      </x:c>
    </x:row>
    <x:row r="27">
      <x:c r="A27" s="72" t="str">
        <x:f>IF(OR(C27="",D27=""),"",B27&amp;"-"&amp;UPPER(C27)&amp;"-"&amp;TEXT(D27,"0000")&amp;"-"&amp;E27)</x:f>
        <x:v>M06-TGHUA-0021-V1.0</x:v>
      </x:c>
      <x:c r="B27" s="74" t="str">
        <x:v>M06</x:v>
      </x:c>
      <x:c r="C27" s="74" t="str">
        <x:v>TGHUA</x:v>
      </x:c>
      <x:c r="D27" s="79" t="n">
        <x:v>21</x:v>
      </x:c>
      <x:c r="E27" s="74" t="str">
        <x:v>V1.0</x:v>
      </x:c>
      <x:c r="F27" s="68" t="str">
        <x:v>局部化意不得等同完整五行改性</x:v>
      </x:c>
      <x:c r="G27" s="82" t="str">
        <x:v>效应层</x:v>
      </x:c>
      <x:c r="H27" s="68" t="str">
        <x:v>M04-HHC-0032-V1.0—M04-HHC-0036-V1.0</x:v>
      </x:c>
      <x:c r="I27" s="82" t="str">
        <x:v>天干五合</x:v>
      </x:c>
      <x:c r="J27" s="68" t="str">
        <x:v>五合两干与弱化神</x:v>
      </x:c>
      <x:c r="K27" s="68" t="str">
        <x:v>参与两干</x:v>
      </x:c>
      <x:c r="L27" s="82" t="str">
        <x:v>逐对象比较得令、得地、得势与相对强弱</x:v>
      </x:c>
      <x:c r="M27" s="68" t="str">
        <x:v>记录参与对象中谁得令、谁受季节支持</x:v>
      </x:c>
      <x:c r="N27" s="68" t="str">
        <x:v>记录明干及相关藏干的透出通道</x:v>
      </x:c>
      <x:c r="O27" s="68" t="str">
        <x:v>记录各对象根气层级、数量及是否唯一根</x:v>
      </x:c>
      <x:c r="P27" s="68" t="str">
        <x:v>检查同节点的合、冲、刑、害、破、会及生克</x:v>
      </x:c>
      <x:c r="Q27" s="82" t="str">
        <x:v>合动</x:v>
      </x:c>
      <x:c r="R27" s="82" t="str">
        <x:v>条件性</x:v>
      </x:c>
      <x:c r="S27" s="82" t="str">
        <x:v>中</x:v>
      </x:c>
      <x:c r="T27" s="82" t="str">
        <x:v>条件性</x:v>
      </x:c>
      <x:c r="U27" s="82" t="str">
        <x:v>否</x:v>
      </x:c>
      <x:c r="V27" s="82" t="str">
        <x:v>否</x:v>
      </x:c>
      <x:c r="W27" s="82" t="str">
        <x:v>条件性</x:v>
      </x:c>
      <x:c r="X27" s="82" t="str">
        <x:v>条件性</x:v>
      </x:c>
      <x:c r="Y27" s="68" t="str">
        <x:v>可能改变原有生克路径，须在M12复核</x:v>
      </x:c>
      <x:c r="Z27" s="68" t="str">
        <x:v>M04/M05已识别关系，柱位、完整度与参与对象已标准化</x:v>
      </x:c>
      <x:c r="AA27" s="68" t="str">
        <x:v>化神有一定根气或同党，但存在一项以上关键缺口</x:v>
      </x:c>
      <x:c r="AB27" s="68" t="str">
        <x:v>关系相邻、得令、得地、成势且无强力反制</x:v>
      </x:c>
      <x:c r="AC27" s="68" t="str">
        <x:v>遥隔、争合、节点被其他关系牵制或双方各有强根</x:v>
      </x:c>
      <x:c r="AD27" s="90" t="str">
        <x:v>仅凭关系名称不得直接判性质改变、归零或固定吉凶</x:v>
      </x:c>
      <x:c r="AE27" s="68" t="str">
        <x:v>特殊格局或岁运动态补齐须另建实例重新裁决</x:v>
      </x:c>
      <x:c r="AF27" s="84" t="str">
        <x:v>化神有部分支持但未达联合门槛时，可记录趋向化神的功能偏移，不得把两干全部改性。</x:v>
      </x:c>
      <x:c r="AG27" s="84" t="str">
        <x:v>当前仅有化意：合对功能有偏移，但原五行仍保留，不能按完整合化计。</x:v>
      </x:c>
      <x:c r="AH27" s="82" t="str">
        <x:v>较高</x:v>
      </x:c>
      <x:c r="AI27" s="82" t="str">
        <x:v>现代综合</x:v>
      </x:c>
      <x:c r="AJ27" s="68" t="str">
        <x:v>设置局部化意可避免“非化即无效”的二分错误。参考：https://ctext.org/wiki.pl?chapter=435028&amp;if=gb&amp;remap=gb</x:v>
      </x:c>
      <x:c r="AK27" s="68" t="str">
        <x:v>丁壬合见少量木根但木不得令，记木意增强而不判丁壬全化木。</x:v>
      </x:c>
      <x:c r="AL27" s="90" t="str">
        <x:v>只要有一点化神就把两干完全改性。</x:v>
      </x:c>
      <x:c r="AM27" s="82" t="str">
        <x:v>采用</x:v>
      </x:c>
      <x:c r="AN27" s="82" t="str">
        <x:v>初审</x:v>
      </x:c>
      <x:c r="AO27" s="87" t="n">
        <x:v>46255</x:v>
      </x:c>
    </x:row>
    <x:row r="28">
      <x:c r="A28" s="72" t="str">
        <x:f>IF(OR(C28="",D28=""),"",B28&amp;"-"&amp;UPPER(C28)&amp;"-"&amp;TEXT(D28,"0000")&amp;"-"&amp;E28)</x:f>
        <x:v>M06-TGHUA-0022-V1.0</x:v>
      </x:c>
      <x:c r="B28" s="74" t="str">
        <x:v>M06</x:v>
      </x:c>
      <x:c r="C28" s="74" t="str">
        <x:v>TGHUA</x:v>
      </x:c>
      <x:c r="D28" s="79" t="n">
        <x:v>22</x:v>
      </x:c>
      <x:c r="E28" s="74" t="str">
        <x:v>V1.0</x:v>
      </x:c>
      <x:c r="F28" s="68" t="str">
        <x:v>完整合化后原干不作物理删除</x:v>
      </x:c>
      <x:c r="G28" s="82" t="str">
        <x:v>效应层</x:v>
      </x:c>
      <x:c r="H28" s="68" t="str">
        <x:v>M04-HHC-0032-V1.0—M04-HHC-0036-V1.0</x:v>
      </x:c>
      <x:c r="I28" s="82" t="str">
        <x:v>天干五合</x:v>
      </x:c>
      <x:c r="J28" s="68" t="str">
        <x:v>已验证合化的两干</x:v>
      </x:c>
      <x:c r="K28" s="68" t="str">
        <x:v>参与两干的有效功能</x:v>
      </x:c>
      <x:c r="L28" s="82" t="str">
        <x:v>逐对象比较得令、得地、得势与相对强弱</x:v>
      </x:c>
      <x:c r="M28" s="68" t="str">
        <x:v>记录参与对象中谁得令、谁受季节支持</x:v>
      </x:c>
      <x:c r="N28" s="68" t="str">
        <x:v>记录明干及相关藏干的透出通道</x:v>
      </x:c>
      <x:c r="O28" s="68" t="str">
        <x:v>记录各对象根气层级、数量及是否唯一根</x:v>
      </x:c>
      <x:c r="P28" s="68" t="str">
        <x:v>检查同节点的合、冲、刑、害、破、会及生克</x:v>
      </x:c>
      <x:c r="Q28" s="82" t="str">
        <x:v>合化</x:v>
      </x:c>
      <x:c r="R28" s="82" t="str">
        <x:v>转化</x:v>
      </x:c>
      <x:c r="S28" s="82" t="str">
        <x:v>决定性</x:v>
      </x:c>
      <x:c r="T28" s="82" t="str">
        <x:v>是</x:v>
      </x:c>
      <x:c r="U28" s="82" t="str">
        <x:v>条件性</x:v>
      </x:c>
      <x:c r="V28" s="82" t="str">
        <x:v>条件性</x:v>
      </x:c>
      <x:c r="W28" s="82" t="str">
        <x:v>是</x:v>
      </x:c>
      <x:c r="X28" s="82" t="str">
        <x:v>是</x:v>
      </x:c>
      <x:c r="Y28" s="68" t="str">
        <x:v>有效通道改按化神处理，但保留原始节点</x:v>
      </x:c>
      <x:c r="Z28" s="68" t="str">
        <x:v>M04/M05已识别关系，柱位、完整度与参与对象已标准化</x:v>
      </x:c>
      <x:c r="AA28" s="68" t="str">
        <x:v>M06已确认完整合化</x:v>
      </x:c>
      <x:c r="AB28" s="68" t="str">
        <x:v>关系相邻、得令、得地、成势且无强力反制</x:v>
      </x:c>
      <x:c r="AC28" s="68" t="str">
        <x:v>遥隔、争合、节点被其他关系牵制或双方各有强根</x:v>
      </x:c>
      <x:c r="AD28" s="90" t="str">
        <x:v>仅凭关系名称不得直接判性质改变、归零或固定吉凶</x:v>
      </x:c>
      <x:c r="AE28" s="68" t="str">
        <x:v>特殊格局或岁运动态补齐须另建实例重新裁决</x:v>
      </x:c>
      <x:c r="AF28" s="84" t="str">
        <x:v>合化成立表示主要有效性质和作用路径转向化神，不是从原局数据层删除两干；原始存在仍保留供岁运复核。</x:v>
      </x:c>
      <x:c r="AG28" s="84" t="str">
        <x:v>合化成立：两干原始记录保留，当前有效功能按化神计入；后续破合时可恢复原气评估。</x:v>
      </x:c>
      <x:c r="AH28" s="82" t="str">
        <x:v>较高</x:v>
      </x:c>
      <x:c r="AI28" s="82" t="str">
        <x:v>现代综合</x:v>
      </x:c>
      <x:c r="AJ28" s="68" t="str">
        <x:v>区分原始存在与有效性质，便于后续岁运破合与回溯。参考：https://zh.wikisource.org/zh-hans/滴天髓</x:v>
      </x:c>
      <x:c r="AK28" s="68" t="str">
        <x:v>丙辛化水成立，数据中仍保留丙辛原始节点，同时有效力量计入水。</x:v>
      </x:c>
      <x:c r="AL28" s="90" t="str">
        <x:v>合化后从四柱记录中彻底删除丙辛，导致后续无法判断破合。</x:v>
      </x:c>
      <x:c r="AM28" s="82" t="str">
        <x:v>采用</x:v>
      </x:c>
      <x:c r="AN28" s="82" t="str">
        <x:v>初审</x:v>
      </x:c>
      <x:c r="AO28" s="87" t="n">
        <x:v>46255</x:v>
      </x:c>
    </x:row>
    <x:row r="29">
      <x:c r="A29" s="72" t="str">
        <x:f>IF(OR(C29="",D29=""),"",B29&amp;"-"&amp;UPPER(C29)&amp;"-"&amp;TEXT(D29,"0000")&amp;"-"&amp;E29)</x:f>
        <x:v>M06-TGKE-0023-V1.0</x:v>
      </x:c>
      <x:c r="B29" s="74" t="str">
        <x:v>M06</x:v>
      </x:c>
      <x:c r="C29" s="74" t="str">
        <x:v>TGKE</x:v>
      </x:c>
      <x:c r="D29" s="79" t="n">
        <x:v>23</x:v>
      </x:c>
      <x:c r="E29" s="74" t="str">
        <x:v>V1.0</x:v>
      </x:c>
      <x:c r="F29" s="68" t="str">
        <x:v>天干相克必须分别记录克者与受克者</x:v>
      </x:c>
      <x:c r="G29" s="82" t="str">
        <x:v>效应层</x:v>
      </x:c>
      <x:c r="H29" s="68" t="str">
        <x:v>M04-KE-0006-V1.0—M04-KE-0025-V1.0</x:v>
      </x:c>
      <x:c r="I29" s="82" t="str">
        <x:v>天干相克</x:v>
      </x:c>
      <x:c r="J29" s="68" t="str">
        <x:v>任一有向相克两干</x:v>
      </x:c>
      <x:c r="K29" s="68" t="str">
        <x:v>克者与受克者</x:v>
      </x:c>
      <x:c r="L29" s="82" t="str">
        <x:v>逐对象比较得令、得地、得势与相对强弱</x:v>
      </x:c>
      <x:c r="M29" s="68" t="str">
        <x:v>记录参与对象中谁得令、谁受季节支持</x:v>
      </x:c>
      <x:c r="N29" s="68" t="str">
        <x:v>记录明干及相关藏干的透出通道</x:v>
      </x:c>
      <x:c r="O29" s="68" t="str">
        <x:v>记录各对象根气层级、数量及是否唯一根</x:v>
      </x:c>
      <x:c r="P29" s="68" t="str">
        <x:v>检查同节点的合、冲、刑、害、破、会及生克</x:v>
      </x:c>
      <x:c r="Q29" s="82" t="str">
        <x:v>克</x:v>
      </x:c>
      <x:c r="R29" s="82" t="str">
        <x:v>条件性</x:v>
      </x:c>
      <x:c r="S29" s="82" t="str">
        <x:v>中</x:v>
      </x:c>
      <x:c r="T29" s="82" t="str">
        <x:v>否</x:v>
      </x:c>
      <x:c r="U29" s="82" t="str">
        <x:v>否</x:v>
      </x:c>
      <x:c r="V29" s="82" t="str">
        <x:v>否</x:v>
      </x:c>
      <x:c r="W29" s="82" t="str">
        <x:v>否</x:v>
      </x:c>
      <x:c r="X29" s="82" t="str">
        <x:v>条件性</x:v>
      </x:c>
      <x:c r="Y29" s="68" t="str">
        <x:v>原有生化链可能被截断或转向制化</x:v>
      </x:c>
      <x:c r="Z29" s="68" t="str">
        <x:v>M04/M05已识别关系，柱位、完整度与参与对象已标准化</x:v>
      </x:c>
      <x:c r="AA29" s="68" t="str">
        <x:v>明确谁克谁，并保留柱位</x:v>
      </x:c>
      <x:c r="AB29" s="68" t="str">
        <x:v>关系相邻、得令、得地、成势且无强力反制</x:v>
      </x:c>
      <x:c r="AC29" s="68" t="str">
        <x:v>遥隔、争合、节点被其他关系牵制或双方各有强根</x:v>
      </x:c>
      <x:c r="AD29" s="90" t="str">
        <x:v>仅凭关系名称不得直接判性质改变、归零或固定吉凶</x:v>
      </x:c>
      <x:c r="AE29" s="68" t="str">
        <x:v>特殊格局或岁运动态补齐须另建实例重新裁决</x:v>
      </x:c>
      <x:c r="AF29" s="84" t="str">
        <x:v>相克至少产生定向作用，但克者耗力、受克者受制的程度不同，必须分对象输出。</x:v>
      </x:c>
      <x:c r="AG29" s="84" t="str">
        <x:v>该天干相克关系成立；克者耗力与受克者减力分别评估，不作等量扣减。</x:v>
      </x:c>
      <x:c r="AH29" s="82" t="str">
        <x:v>较高</x:v>
      </x:c>
      <x:c r="AI29" s="82" t="str">
        <x:v>现代综合</x:v>
      </x:c>
      <x:c r="AJ29" s="68" t="str">
        <x:v>五行相克是有方向的，效应需分角色。参考：https://zh.wikisource.org/zh-hans/淵海子平；https://zh.wikisource.org/wiki/三命通會/卷二</x:v>
      </x:c>
      <x:c r="AK29" s="68" t="str">
        <x:v>庚克甲，分别记录庚的耗力和甲的受制。</x:v>
      </x:c>
      <x:c r="AL29" s="90" t="str">
        <x:v>只记“金木相战”，不区分庚与甲的作用方向。</x:v>
      </x:c>
      <x:c r="AM29" s="82" t="str">
        <x:v>采用</x:v>
      </x:c>
      <x:c r="AN29" s="82" t="str">
        <x:v>初审</x:v>
      </x:c>
      <x:c r="AO29" s="87" t="n">
        <x:v>46255</x:v>
      </x:c>
    </x:row>
    <x:row r="30">
      <x:c r="A30" s="72" t="str">
        <x:f>IF(OR(C30="",D30=""),"",B30&amp;"-"&amp;UPPER(C30)&amp;"-"&amp;TEXT(D30,"0000")&amp;"-"&amp;E30)</x:f>
        <x:v>M06-TGKE-0024-V1.0</x:v>
      </x:c>
      <x:c r="B30" s="74" t="str">
        <x:v>M06</x:v>
      </x:c>
      <x:c r="C30" s="74" t="str">
        <x:v>TGKE</x:v>
      </x:c>
      <x:c r="D30" s="79" t="n">
        <x:v>24</x:v>
      </x:c>
      <x:c r="E30" s="74" t="str">
        <x:v>V1.0</x:v>
      </x:c>
      <x:c r="F30" s="68" t="str">
        <x:v>强干克弱干时弱干明显受制</x:v>
      </x:c>
      <x:c r="G30" s="82" t="str">
        <x:v>效应层</x:v>
      </x:c>
      <x:c r="H30" s="68" t="str">
        <x:v>M04-KE-0006-V1.0—M04-KE-0025-V1.0</x:v>
      </x:c>
      <x:c r="I30" s="82" t="str">
        <x:v>天干相克</x:v>
      </x:c>
      <x:c r="J30" s="68" t="str">
        <x:v>强克者与弱受克者</x:v>
      </x:c>
      <x:c r="K30" s="68" t="str">
        <x:v>弱受克者</x:v>
      </x:c>
      <x:c r="L30" s="82" t="str">
        <x:v>克者旺或中和偏旺，受克者弱或极弱</x:v>
      </x:c>
      <x:c r="M30" s="68" t="str">
        <x:v>记录参与对象中谁得令、谁受季节支持</x:v>
      </x:c>
      <x:c r="N30" s="68" t="str">
        <x:v>记录明干及相关藏干的透出通道</x:v>
      </x:c>
      <x:c r="O30" s="68" t="str">
        <x:v>记录各对象根气层级、数量及是否唯一根</x:v>
      </x:c>
      <x:c r="P30" s="68" t="str">
        <x:v>检查同节点的合、冲、刑、害、破、会及生克</x:v>
      </x:c>
      <x:c r="Q30" s="82" t="str">
        <x:v>克</x:v>
      </x:c>
      <x:c r="R30" s="82" t="str">
        <x:v>减弱</x:v>
      </x:c>
      <x:c r="S30" s="82" t="str">
        <x:v>强</x:v>
      </x:c>
      <x:c r="T30" s="82" t="str">
        <x:v>否</x:v>
      </x:c>
      <x:c r="U30" s="82" t="str">
        <x:v>条件性</x:v>
      </x:c>
      <x:c r="V30" s="82" t="str">
        <x:v>条件性</x:v>
      </x:c>
      <x:c r="W30" s="82" t="str">
        <x:v>条件性</x:v>
      </x:c>
      <x:c r="X30" s="82" t="str">
        <x:v>条件性</x:v>
      </x:c>
      <x:c r="Y30" s="68" t="str">
        <x:v>可能改变原有生克路径，须在M12复核</x:v>
      </x:c>
      <x:c r="Z30" s="68" t="str">
        <x:v>M04/M05已识别关系，柱位、完整度与参与对象已标准化</x:v>
      </x:c>
      <x:c r="AA30" s="68" t="str">
        <x:v>必须指向具体作用对象，并比较各方力量、根气和通道</x:v>
      </x:c>
      <x:c r="AB30" s="68" t="str">
        <x:v>克者相邻、得令多根；受克者无根无救</x:v>
      </x:c>
      <x:c r="AC30" s="68" t="str">
        <x:v>受克者有生源、同党或通关</x:v>
      </x:c>
      <x:c r="AD30" s="90" t="str">
        <x:v>仅凭关系名称不得直接判性质改变、归零或固定吉凶</x:v>
      </x:c>
      <x:c r="AE30" s="68" t="str">
        <x:v>特殊格局或岁运动态补齐须另建实例重新裁决</x:v>
      </x:c>
      <x:c r="AF30" s="84" t="str">
        <x:v>克者得令有根成势、受克者无根无援时，受克者有效功能明显下降，克者仅承担相应耗力。</x:v>
      </x:c>
      <x:c r="AG30" s="84" t="str">
        <x:v>强克弱成立，受克干明显减力；克者仍保留主要力量。</x:v>
      </x:c>
      <x:c r="AH30" s="82" t="str">
        <x:v>较高</x:v>
      </x:c>
      <x:c r="AI30" s="82" t="str">
        <x:v>现代综合</x:v>
      </x:c>
      <x:c r="AJ30" s="68" t="str">
        <x:v>强弱决定克制是否落实。参考：https://zh.wikisource.org/zh-hans/滴天髓</x:v>
      </x:c>
      <x:c r="AK30" s="68" t="str">
        <x:v>庚旺有根克无根甲，甲木受制明显。</x:v>
      </x:c>
      <x:c r="AL30" s="90" t="str">
        <x:v>弱庚克旺甲仍判甲被重伤。</x:v>
      </x:c>
      <x:c r="AM30" s="82" t="str">
        <x:v>采用</x:v>
      </x:c>
      <x:c r="AN30" s="82" t="str">
        <x:v>初审</x:v>
      </x:c>
      <x:c r="AO30" s="87" t="n">
        <x:v>46255</x:v>
      </x:c>
    </x:row>
    <x:row r="31">
      <x:c r="A31" s="72" t="str">
        <x:f>IF(OR(C31="",D31=""),"",B31&amp;"-"&amp;UPPER(C31)&amp;"-"&amp;TEXT(D31,"0000")&amp;"-"&amp;E31)</x:f>
        <x:v>M06-TGKE-0025-V1.0</x:v>
      </x:c>
      <x:c r="B31" s="74" t="str">
        <x:v>M06</x:v>
      </x:c>
      <x:c r="C31" s="74" t="str">
        <x:v>TGKE</x:v>
      </x:c>
      <x:c r="D31" s="79" t="n">
        <x:v>25</x:v>
      </x:c>
      <x:c r="E31" s="74" t="str">
        <x:v>V1.0</x:v>
      </x:c>
      <x:c r="F31" s="68" t="str">
        <x:v>弱干克强干时克者先耗而难制强</x:v>
      </x:c>
      <x:c r="G31" s="82" t="str">
        <x:v>效应层</x:v>
      </x:c>
      <x:c r="H31" s="68" t="str">
        <x:v>M04-KE-0006-V1.0—M04-KE-0025-V1.0</x:v>
      </x:c>
      <x:c r="I31" s="82" t="str">
        <x:v>天干相克</x:v>
      </x:c>
      <x:c r="J31" s="68" t="str">
        <x:v>弱克者与强受克者</x:v>
      </x:c>
      <x:c r="K31" s="68" t="str">
        <x:v>弱克者</x:v>
      </x:c>
      <x:c r="L31" s="82" t="str">
        <x:v>克者弱或极弱，受克者旺或极旺</x:v>
      </x:c>
      <x:c r="M31" s="68" t="str">
        <x:v>记录参与对象中谁得令、谁受季节支持</x:v>
      </x:c>
      <x:c r="N31" s="68" t="str">
        <x:v>记录明干及相关藏干的透出通道</x:v>
      </x:c>
      <x:c r="O31" s="68" t="str">
        <x:v>记录各对象根气层级、数量及是否唯一根</x:v>
      </x:c>
      <x:c r="P31" s="68" t="str">
        <x:v>检查同节点的合、冲、刑、害、破、会及生克</x:v>
      </x:c>
      <x:c r="Q31" s="82" t="str">
        <x:v>耗</x:v>
      </x:c>
      <x:c r="R31" s="82" t="str">
        <x:v>减弱</x:v>
      </x:c>
      <x:c r="S31" s="82" t="str">
        <x:v>中</x:v>
      </x:c>
      <x:c r="T31" s="82" t="str">
        <x:v>否</x:v>
      </x:c>
      <x:c r="U31" s="82" t="str">
        <x:v>否</x:v>
      </x:c>
      <x:c r="V31" s="82" t="str">
        <x:v>否</x:v>
      </x:c>
      <x:c r="W31" s="82" t="str">
        <x:v>否</x:v>
      </x:c>
      <x:c r="X31" s="82" t="str">
        <x:v>是</x:v>
      </x:c>
      <x:c r="Y31" s="68" t="str">
        <x:v>可能改变原有生克路径，须在M12复核</x:v>
      </x:c>
      <x:c r="Z31" s="68" t="str">
        <x:v>M04/M05已识别关系，柱位、完整度与参与对象已标准化</x:v>
      </x:c>
      <x:c r="AA31" s="68" t="str">
        <x:v>必须指向具体作用对象，并比较各方力量、根气和通道</x:v>
      </x:c>
      <x:c r="AB31" s="68" t="str">
        <x:v>受克者得令多根、克者孤弱</x:v>
      </x:c>
      <x:c r="AC31" s="68" t="str">
        <x:v>另有同类克者成党或受克者根被破坏</x:v>
      </x:c>
      <x:c r="AD31" s="90" t="str">
        <x:v>仅凭关系名称不得直接判性质改变、归零或固定吉凶</x:v>
      </x:c>
      <x:c r="AE31" s="68" t="str">
        <x:v>特殊格局或岁运动态补齐须另建实例重新裁决</x:v>
      </x:c>
      <x:c r="AF31" s="84" t="str">
        <x:v>克者弱而受克者旺有根时，克制难落实，弱克者反因输出而耗力，强者可被激活但不宜判明显减力。</x:v>
      </x:c>
      <x:c r="AG31" s="84" t="str">
        <x:v>弱克强：克者耗力较明显，受克者仅受扰动或被激活。</x:v>
      </x:c>
      <x:c r="AH31" s="82" t="str">
        <x:v>较高</x:v>
      </x:c>
      <x:c r="AI31" s="82" t="str">
        <x:v>现代综合</x:v>
      </x:c>
      <x:c r="AJ31" s="68" t="str">
        <x:v>相克不是固定单向减分，弱者强行克制也会耗损。参考：https://zh.wikisource.org/zh-hans/滴天髓</x:v>
      </x:c>
      <x:c r="AK31" s="68" t="str">
        <x:v>弱壬克旺丙，壬耗而丙受扰，不判丙重减。</x:v>
      </x:c>
      <x:c r="AL31" s="90" t="str">
        <x:v>只因壬克丙就无视丙旺壬弱。</x:v>
      </x:c>
      <x:c r="AM31" s="82" t="str">
        <x:v>采用</x:v>
      </x:c>
      <x:c r="AN31" s="82" t="str">
        <x:v>初审</x:v>
      </x:c>
      <x:c r="AO31" s="87" t="n">
        <x:v>46255</x:v>
      </x:c>
    </x:row>
    <x:row r="32">
      <x:c r="A32" s="72" t="str">
        <x:f>IF(OR(C32="",D32=""),"",B32&amp;"-"&amp;UPPER(C32)&amp;"-"&amp;TEXT(D32,"0000")&amp;"-"&amp;E32)</x:f>
        <x:v>M06-TGKE-0026-V1.0</x:v>
      </x:c>
      <x:c r="B32" s="74" t="str">
        <x:v>M06</x:v>
      </x:c>
      <x:c r="C32" s="74" t="str">
        <x:v>TGKE</x:v>
      </x:c>
      <x:c r="D32" s="79" t="n">
        <x:v>26</x:v>
      </x:c>
      <x:c r="E32" s="74" t="str">
        <x:v>V1.0</x:v>
      </x:c>
      <x:c r="F32" s="68" t="str">
        <x:v>势均力敌的天干相克形成互耗</x:v>
      </x:c>
      <x:c r="G32" s="82" t="str">
        <x:v>效应层</x:v>
      </x:c>
      <x:c r="H32" s="68" t="str">
        <x:v>M04-KE-0006-V1.0—M04-KE-0025-V1.0</x:v>
      </x:c>
      <x:c r="I32" s="82" t="str">
        <x:v>天干相克</x:v>
      </x:c>
      <x:c r="J32" s="68" t="str">
        <x:v>力量接近的相克两干</x:v>
      </x:c>
      <x:c r="K32" s="68" t="str">
        <x:v>双方</x:v>
      </x:c>
      <x:c r="L32" s="82" t="str">
        <x:v>逐对象比较得令、得地、得势与相对强弱</x:v>
      </x:c>
      <x:c r="M32" s="68" t="str">
        <x:v>记录参与对象中谁得令、谁受季节支持</x:v>
      </x:c>
      <x:c r="N32" s="68" t="str">
        <x:v>记录明干及相关藏干的透出通道</x:v>
      </x:c>
      <x:c r="O32" s="68" t="str">
        <x:v>记录各对象根气层级、数量及是否唯一根</x:v>
      </x:c>
      <x:c r="P32" s="68" t="str">
        <x:v>检查同节点的合、冲、刑、害、破、会及生克</x:v>
      </x:c>
      <x:c r="Q32" s="82" t="str">
        <x:v>耗</x:v>
      </x:c>
      <x:c r="R32" s="82" t="str">
        <x:v>减弱</x:v>
      </x:c>
      <x:c r="S32" s="82" t="str">
        <x:v>中</x:v>
      </x:c>
      <x:c r="T32" s="82" t="str">
        <x:v>否</x:v>
      </x:c>
      <x:c r="U32" s="82" t="str">
        <x:v>否</x:v>
      </x:c>
      <x:c r="V32" s="82" t="str">
        <x:v>否</x:v>
      </x:c>
      <x:c r="W32" s="82" t="str">
        <x:v>否</x:v>
      </x:c>
      <x:c r="X32" s="82" t="str">
        <x:v>是</x:v>
      </x:c>
      <x:c r="Y32" s="68" t="str">
        <x:v>形成两强相战或局部阻塞</x:v>
      </x:c>
      <x:c r="Z32" s="68" t="str">
        <x:v>M04/M05已识别关系，柱位、完整度与参与对象已标准化</x:v>
      </x:c>
      <x:c r="AA32" s="68" t="str">
        <x:v>必须指向具体作用对象，并比较各方力量、根气和通道</x:v>
      </x:c>
      <x:c r="AB32" s="68" t="str">
        <x:v>关系相邻、得令、得地、成势且无强力反制</x:v>
      </x:c>
      <x:c r="AC32" s="68" t="str">
        <x:v>遥隔、争合、节点被其他关系牵制或双方各有强根</x:v>
      </x:c>
      <x:c r="AD32" s="90" t="str">
        <x:v>仅凭关系名称不得直接判性质改变、归零或固定吉凶</x:v>
      </x:c>
      <x:c r="AE32" s="68" t="str">
        <x:v>特殊格局或岁运动态补齐须另建实例重新裁决</x:v>
      </x:c>
      <x:c r="AF32" s="84" t="str">
        <x:v>双方有根有援且力量接近时，关系表现为持续对抗与互耗，通常形成流通卡点。</x:v>
      </x:c>
      <x:c r="AG32" s="84" t="str">
        <x:v>双方力量接近，判为相克互耗；需在M12检查是否有通关。</x:v>
      </x:c>
      <x:c r="AH32" s="82" t="str">
        <x:v>较高</x:v>
      </x:c>
      <x:c r="AI32" s="82" t="str">
        <x:v>现代综合</x:v>
      </x:c>
      <x:c r="AJ32" s="68" t="str">
        <x:v>相战结构应进入通关与病药模块，而非只削弱一方。参考：https://zh.wikisource.org/zh-hans/滴天髓</x:v>
      </x:c>
      <x:c r="AK32" s="68" t="str">
        <x:v>庚甲均旺有根，庚克甲形成持续金木相战。</x:v>
      </x:c>
      <x:c r="AL32" s="90" t="str">
        <x:v>势均力敌仍只判甲减力、庚不耗。</x:v>
      </x:c>
      <x:c r="AM32" s="82" t="str">
        <x:v>采用</x:v>
      </x:c>
      <x:c r="AN32" s="82" t="str">
        <x:v>初审</x:v>
      </x:c>
      <x:c r="AO32" s="87" t="n">
        <x:v>46255</x:v>
      </x:c>
    </x:row>
    <x:row r="33">
      <x:c r="A33" s="72" t="str">
        <x:f>IF(OR(C33="",D33=""),"",B33&amp;"-"&amp;UPPER(C33)&amp;"-"&amp;TEXT(D33,"0000")&amp;"-"&amp;E33)</x:f>
        <x:v>M06-TGKE-0027-V1.0</x:v>
      </x:c>
      <x:c r="B33" s="74" t="str">
        <x:v>M06</x:v>
      </x:c>
      <x:c r="C33" s="74" t="str">
        <x:v>TGKE</x:v>
      </x:c>
      <x:c r="D33" s="79" t="n">
        <x:v>27</x:v>
      </x:c>
      <x:c r="E33" s="74" t="str">
        <x:v>V1.0</x:v>
      </x:c>
      <x:c r="F33" s="68" t="str">
        <x:v>受克干得生扶可降低制伤</x:v>
      </x:c>
      <x:c r="G33" s="82" t="str">
        <x:v>效应层</x:v>
      </x:c>
      <x:c r="H33" s="68" t="str">
        <x:v>M04-KE-0006-V1.0—M04-KE-0025-V1.0</x:v>
      </x:c>
      <x:c r="I33" s="82" t="str">
        <x:v>天干相克</x:v>
      </x:c>
      <x:c r="J33" s="68" t="str">
        <x:v>受克干及其生源同党</x:v>
      </x:c>
      <x:c r="K33" s="68" t="str">
        <x:v>受克干</x:v>
      </x:c>
      <x:c r="L33" s="82" t="str">
        <x:v>逐对象比较得令、得地、得势与相对强弱</x:v>
      </x:c>
      <x:c r="M33" s="68" t="str">
        <x:v>记录参与对象中谁得令、谁受季节支持</x:v>
      </x:c>
      <x:c r="N33" s="68" t="str">
        <x:v>记录明干及相关藏干的透出通道</x:v>
      </x:c>
      <x:c r="O33" s="68" t="str">
        <x:v>记录各对象根气层级、数量及是否唯一根</x:v>
      </x:c>
      <x:c r="P33" s="68" t="str">
        <x:v>检查同节点的合、冲、刑、害、破、会及生克</x:v>
      </x:c>
      <x:c r="Q33" s="82" t="str">
        <x:v>生</x:v>
      </x:c>
      <x:c r="R33" s="82" t="str">
        <x:v>增强</x:v>
      </x:c>
      <x:c r="S33" s="82" t="str">
        <x:v>中</x:v>
      </x:c>
      <x:c r="T33" s="82" t="str">
        <x:v>否</x:v>
      </x:c>
      <x:c r="U33" s="82" t="str">
        <x:v>条件性</x:v>
      </x:c>
      <x:c r="V33" s="82" t="str">
        <x:v>条件性</x:v>
      </x:c>
      <x:c r="W33" s="82" t="str">
        <x:v>是</x:v>
      </x:c>
      <x:c r="X33" s="82" t="str">
        <x:v>条件性</x:v>
      </x:c>
      <x:c r="Y33" s="68" t="str">
        <x:v>可能改变原有生克路径，须在M12复核</x:v>
      </x:c>
      <x:c r="Z33" s="68" t="str">
        <x:v>M04/M05已识别关系，柱位、完整度与参与对象已标准化</x:v>
      </x:c>
      <x:c r="AA33" s="68" t="str">
        <x:v>生源或同党自身有效且能到达受克干</x:v>
      </x:c>
      <x:c r="AB33" s="68" t="str">
        <x:v>关系相邻、得令、得地、成势且无强力反制</x:v>
      </x:c>
      <x:c r="AC33" s="68" t="str">
        <x:v>遥隔、争合、节点被其他关系牵制或双方各有强根</x:v>
      </x:c>
      <x:c r="AD33" s="90" t="str">
        <x:v>仅凭关系名称不得直接判性质改变、归零或固定吉凶</x:v>
      </x:c>
      <x:c r="AE33" s="68" t="str">
        <x:v>特殊格局或岁运动态补齐须另建实例重新裁决</x:v>
      </x:c>
      <x:c r="AF33" s="84" t="str">
        <x:v>受克干有得力生源、同类接力或根气时，克制仍存在但伤害程度下降，功能可能维持。</x:v>
      </x:c>
      <x:c r="AG33" s="84" t="str">
        <x:v>受克干有生扶承接，克制被缓冲；不判完全失效。</x:v>
      </x:c>
      <x:c r="AH33" s="82" t="str">
        <x:v>较高</x:v>
      </x:c>
      <x:c r="AI33" s="82" t="str">
        <x:v>现代综合</x:v>
      </x:c>
      <x:c r="AJ33" s="68" t="str">
        <x:v>制化须看是否有救应和承载。参考：https://zh.wikisource.org/zh-hans/淵海子平；https://zh.wikisource.org/wiki/三命通會/卷二</x:v>
      </x:c>
      <x:c r="AK33" s="68" t="str">
        <x:v>庚克甲，但壬水有力生甲，甲受制而不至于失效。</x:v>
      </x:c>
      <x:c r="AL33" s="90" t="str">
        <x:v>甲有强印生仍按无救重伤处理。</x:v>
      </x:c>
      <x:c r="AM33" s="82" t="str">
        <x:v>采用</x:v>
      </x:c>
      <x:c r="AN33" s="82" t="str">
        <x:v>初审</x:v>
      </x:c>
      <x:c r="AO33" s="87" t="n">
        <x:v>46255</x:v>
      </x:c>
    </x:row>
    <x:row r="34">
      <x:c r="A34" s="72" t="str">
        <x:f>IF(OR(C34="",D34=""),"",B34&amp;"-"&amp;UPPER(C34)&amp;"-"&amp;TEXT(D34,"0000")&amp;"-"&amp;E34)</x:f>
        <x:v>M06-TGKE-0028-V1.0</x:v>
      </x:c>
      <x:c r="B34" s="74" t="str">
        <x:v>M06</x:v>
      </x:c>
      <x:c r="C34" s="74" t="str">
        <x:v>TGKE</x:v>
      </x:c>
      <x:c r="D34" s="79" t="n">
        <x:v>28</x:v>
      </x:c>
      <x:c r="E34" s="74" t="str">
        <x:v>V1.0</x:v>
      </x:c>
      <x:c r="F34" s="68" t="str">
        <x:v>克者被合绊会降低实际克制效率</x:v>
      </x:c>
      <x:c r="G34" s="82" t="str">
        <x:v>效应层</x:v>
      </x:c>
      <x:c r="H34" s="68" t="str">
        <x:v>M04-OVER-0046-V1.0；M04-KE-0006-V1.0—M04-KE-0025-V1.0</x:v>
      </x:c>
      <x:c r="I34" s="82" t="str">
        <x:v>其他</x:v>
      </x:c>
      <x:c r="J34" s="68" t="str">
        <x:v>克者、受克者及合克者</x:v>
      </x:c>
      <x:c r="K34" s="68" t="str">
        <x:v>克者的直接克制功能</x:v>
      </x:c>
      <x:c r="L34" s="82" t="str">
        <x:v>逐对象比较得令、得地、得势与相对强弱</x:v>
      </x:c>
      <x:c r="M34" s="68" t="str">
        <x:v>记录参与对象中谁得令、谁受季节支持</x:v>
      </x:c>
      <x:c r="N34" s="68" t="str">
        <x:v>记录明干及相关藏干的透出通道</x:v>
      </x:c>
      <x:c r="O34" s="68" t="str">
        <x:v>记录各对象根气层级、数量及是否唯一根</x:v>
      </x:c>
      <x:c r="P34" s="68" t="str">
        <x:v>检查同节点的合、冲、刑、害、破、会及生克</x:v>
      </x:c>
      <x:c r="Q34" s="82" t="str">
        <x:v>合绊</x:v>
      </x:c>
      <x:c r="R34" s="82" t="str">
        <x:v>冻结</x:v>
      </x:c>
      <x:c r="S34" s="82" t="str">
        <x:v>中</x:v>
      </x:c>
      <x:c r="T34" s="82" t="str">
        <x:v>否</x:v>
      </x:c>
      <x:c r="U34" s="82" t="str">
        <x:v>否</x:v>
      </x:c>
      <x:c r="V34" s="82" t="str">
        <x:v>否</x:v>
      </x:c>
      <x:c r="W34" s="82" t="str">
        <x:v>否</x:v>
      </x:c>
      <x:c r="X34" s="82" t="str">
        <x:v>条件性</x:v>
      </x:c>
      <x:c r="Y34" s="68" t="str">
        <x:v>克制通道局部冻结</x:v>
      </x:c>
      <x:c r="Z34" s="68" t="str">
        <x:v>M04/M05已识别关系，柱位、完整度与参与对象已标准化</x:v>
      </x:c>
      <x:c r="AA34" s="68" t="str">
        <x:v>必须指向具体作用对象，并比较各方力量、根气和通道</x:v>
      </x:c>
      <x:c r="AB34" s="68" t="str">
        <x:v>关系相邻、得令、得地、成势且无强力反制</x:v>
      </x:c>
      <x:c r="AC34" s="68" t="str">
        <x:v>遥隔、争合、节点被其他关系牵制或双方各有强根</x:v>
      </x:c>
      <x:c r="AD34" s="90" t="str">
        <x:v>仅凭关系名称不得直接判性质改变、归零或固定吉凶</x:v>
      </x:c>
      <x:c r="AE34" s="68" t="str">
        <x:v>特殊格局或岁运动态补齐须另建实例重新裁决</x:v>
      </x:c>
      <x:c r="AF34" s="84" t="str">
        <x:v>克者被强合绊时，其对目标的直接作用受限；若合弱或克者根深，则只作部分削弱。</x:v>
      </x:c>
      <x:c r="AG34" s="84" t="str">
        <x:v>克者受合绊，原克制路径下降；是否解除取决于合绊强度。</x:v>
      </x:c>
      <x:c r="AH34" s="82" t="str">
        <x:v>较高</x:v>
      </x:c>
      <x:c r="AI34" s="82" t="str">
        <x:v>现代综合</x:v>
      </x:c>
      <x:c r="AJ34" s="68" t="str">
        <x:v>合与克并见要综合，不可只保留其中一项。参考：https://ctext.org/wiki.pl?chapter=974137&amp;if=gb&amp;remap=gb</x:v>
      </x:c>
      <x:c r="AK34" s="68" t="str">
        <x:v>庚克甲，同时乙强合庚，庚克甲效率下降。</x:v>
      </x:c>
      <x:c r="AL34" s="90" t="str">
        <x:v>乙庚仅弱遥合就判庚完全不克甲。</x:v>
      </x:c>
      <x:c r="AM34" s="82" t="str">
        <x:v>采用</x:v>
      </x:c>
      <x:c r="AN34" s="82" t="str">
        <x:v>初审</x:v>
      </x:c>
      <x:c r="AO34" s="87" t="n">
        <x:v>46255</x:v>
      </x:c>
    </x:row>
    <x:row r="35">
      <x:c r="A35" s="72" t="str">
        <x:f>IF(OR(C35="",D35=""),"",B35&amp;"-"&amp;UPPER(C35)&amp;"-"&amp;TEXT(D35,"0000")&amp;"-"&amp;E35)</x:f>
        <x:v>M06-TGKE-0029-V1.0</x:v>
      </x:c>
      <x:c r="B35" s="74" t="str">
        <x:v>M06</x:v>
      </x:c>
      <x:c r="C35" s="74" t="str">
        <x:v>TGKE</x:v>
      </x:c>
      <x:c r="D35" s="79" t="n">
        <x:v>29</x:v>
      </x:c>
      <x:c r="E35" s="74" t="str">
        <x:v>V1.0</x:v>
      </x:c>
      <x:c r="F35" s="68" t="str">
        <x:v>受克干被合住不等于免受克</x:v>
      </x:c>
      <x:c r="G35" s="82" t="str">
        <x:v>效应层</x:v>
      </x:c>
      <x:c r="H35" s="68" t="str">
        <x:v>M04-OVER-0046-V1.0；M04-KE-0006-V1.0—M04-KE-0025-V1.0</x:v>
      </x:c>
      <x:c r="I35" s="82" t="str">
        <x:v>其他</x:v>
      </x:c>
      <x:c r="J35" s="68" t="str">
        <x:v>克者、被克者及合住者</x:v>
      </x:c>
      <x:c r="K35" s="68" t="str">
        <x:v>被克干</x:v>
      </x:c>
      <x:c r="L35" s="82" t="str">
        <x:v>逐对象比较得令、得地、得势与相对强弱</x:v>
      </x:c>
      <x:c r="M35" s="68" t="str">
        <x:v>记录参与对象中谁得令、谁受季节支持</x:v>
      </x:c>
      <x:c r="N35" s="68" t="str">
        <x:v>记录明干及相关藏干的透出通道</x:v>
      </x:c>
      <x:c r="O35" s="68" t="str">
        <x:v>记录各对象根气层级、数量及是否唯一根</x:v>
      </x:c>
      <x:c r="P35" s="68" t="str">
        <x:v>合、克两组实例同时保留</x:v>
      </x:c>
      <x:c r="Q35" s="82" t="str">
        <x:v>克</x:v>
      </x:c>
      <x:c r="R35" s="82" t="str">
        <x:v>条件性</x:v>
      </x:c>
      <x:c r="S35" s="82" t="str">
        <x:v>中</x:v>
      </x:c>
      <x:c r="T35" s="82" t="str">
        <x:v>否</x:v>
      </x:c>
      <x:c r="U35" s="82" t="str">
        <x:v>条件性</x:v>
      </x:c>
      <x:c r="V35" s="82" t="str">
        <x:v>条件性</x:v>
      </x:c>
      <x:c r="W35" s="82" t="str">
        <x:v>条件性</x:v>
      </x:c>
      <x:c r="X35" s="82" t="str">
        <x:v>条件性</x:v>
      </x:c>
      <x:c r="Y35" s="68" t="str">
        <x:v>可能改变原有生克路径，须在M12复核</x:v>
      </x:c>
      <x:c r="Z35" s="68" t="str">
        <x:v>M04/M05已识别关系，柱位、完整度与参与对象已标准化</x:v>
      </x:c>
      <x:c r="AA35" s="68" t="str">
        <x:v>必须指向具体作用对象，并比较各方力量、根气和通道</x:v>
      </x:c>
      <x:c r="AB35" s="68" t="str">
        <x:v>关系相邻、得令、得地、成势且无强力反制</x:v>
      </x:c>
      <x:c r="AC35" s="68" t="str">
        <x:v>遥隔、争合、节点被其他关系牵制或双方各有强根</x:v>
      </x:c>
      <x:c r="AD35" s="90" t="str">
        <x:v>仅凭关系名称不得直接判性质改变、归零或固定吉凶</x:v>
      </x:c>
      <x:c r="AE35" s="68" t="str">
        <x:v>特殊格局或岁运动态补齐须另建实例重新裁决</x:v>
      </x:c>
      <x:c r="AF35" s="84" t="str">
        <x:v>被克干参与五合时，既可能因合被牵离克路，也可能因受限而更难自救；必须比较两条关系，不能自动视为解克。</x:v>
      </x:c>
      <x:c r="AG35" s="84" t="str">
        <x:v>被克干同时受合与克，当前不直接判解克；按主导关系决定其功能。</x:v>
      </x:c>
      <x:c r="AH35" s="82" t="str">
        <x:v>中等</x:v>
      </x:c>
      <x:c r="AI35" s="82" t="str">
        <x:v>现代综合</x:v>
      </x:c>
      <x:c r="AJ35" s="68" t="str">
        <x:v>会合是否解克依赖节点归属和强弱。参考：https://ctext.org/wiki.pl?chapter=974137&amp;if=gb&amp;remap=gb</x:v>
      </x:c>
      <x:c r="AK35" s="68" t="str">
        <x:v>甲被己合又受庚克，若己合强可缓冲，若己弱则庚克仍落实。</x:v>
      </x:c>
      <x:c r="AL35" s="90" t="str">
        <x:v>被克干一有合就一律判免受克。</x:v>
      </x:c>
      <x:c r="AM35" s="82" t="str">
        <x:v>采用</x:v>
      </x:c>
      <x:c r="AN35" s="82" t="str">
        <x:v>初审</x:v>
      </x:c>
      <x:c r="AO35" s="87" t="n">
        <x:v>46255</x:v>
      </x:c>
    </x:row>
    <x:row r="36">
      <x:c r="A36" s="72" t="str">
        <x:f>IF(OR(C36="",D36=""),"",B36&amp;"-"&amp;UPPER(C36)&amp;"-"&amp;TEXT(D36,"0000")&amp;"-"&amp;E36)</x:f>
        <x:v>M06-TGKE-0030-V1.0</x:v>
      </x:c>
      <x:c r="B36" s="74" t="str">
        <x:v>M06</x:v>
      </x:c>
      <x:c r="C36" s="74" t="str">
        <x:v>TGKE</x:v>
      </x:c>
      <x:c r="D36" s="79" t="n">
        <x:v>30</x:v>
      </x:c>
      <x:c r="E36" s="74" t="str">
        <x:v>V1.0</x:v>
      </x:c>
      <x:c r="F36" s="68" t="str">
        <x:v>距离与中间通道修正天干克制</x:v>
      </x:c>
      <x:c r="G36" s="82" t="str">
        <x:v>效应层</x:v>
      </x:c>
      <x:c r="H36" s="68" t="str">
        <x:v>M04-POS-0026-V1.0—M04-POS-0031-V1.0；M04-KE-0006-V1.0—M04-KE-0025-V1.0</x:v>
      </x:c>
      <x:c r="I36" s="82" t="str">
        <x:v>天干相克</x:v>
      </x:c>
      <x:c r="J36" s="68" t="str">
        <x:v>不同柱位的相克两干</x:v>
      </x:c>
      <x:c r="K36" s="68" t="str">
        <x:v>克制路径</x:v>
      </x:c>
      <x:c r="L36" s="82" t="str">
        <x:v>逐对象比较得令、得地、得势与相对强弱</x:v>
      </x:c>
      <x:c r="M36" s="68" t="str">
        <x:v>记录参与对象中谁得令、谁受季节支持</x:v>
      </x:c>
      <x:c r="N36" s="68" t="str">
        <x:v>记录明干及相关藏干的透出通道</x:v>
      </x:c>
      <x:c r="O36" s="68" t="str">
        <x:v>记录各对象根气层级、数量及是否唯一根</x:v>
      </x:c>
      <x:c r="P36" s="68" t="str">
        <x:v>检查同节点的合、冲、刑、害、破、会及生克</x:v>
      </x:c>
      <x:c r="Q36" s="82" t="str">
        <x:v>克</x:v>
      </x:c>
      <x:c r="R36" s="82" t="str">
        <x:v>条件性</x:v>
      </x:c>
      <x:c r="S36" s="82" t="str">
        <x:v>弱</x:v>
      </x:c>
      <x:c r="T36" s="82" t="str">
        <x:v>否</x:v>
      </x:c>
      <x:c r="U36" s="82" t="str">
        <x:v>条件性</x:v>
      </x:c>
      <x:c r="V36" s="82" t="str">
        <x:v>条件性</x:v>
      </x:c>
      <x:c r="W36" s="82" t="str">
        <x:v>条件性</x:v>
      </x:c>
      <x:c r="X36" s="82" t="str">
        <x:v>条件性</x:v>
      </x:c>
      <x:c r="Y36" s="68" t="str">
        <x:v>可能改变原有生克路径，须在M12复核</x:v>
      </x:c>
      <x:c r="Z36" s="68" t="str">
        <x:v>M04/M05已识别关系，柱位、完整度与参与对象已标准化</x:v>
      </x:c>
      <x:c r="AA36" s="68" t="str">
        <x:v>必须指向具体作用对象，并比较各方力量、根气和通道</x:v>
      </x:c>
      <x:c r="AB36" s="68" t="str">
        <x:v>相邻且中间无通关</x:v>
      </x:c>
      <x:c r="AC36" s="68" t="str">
        <x:v>隔位、遥隔或中间干形成通关</x:v>
      </x:c>
      <x:c r="AD36" s="90" t="str">
        <x:v>仅凭关系名称不得直接判性质改变、归零或固定吉凶</x:v>
      </x:c>
      <x:c r="AE36" s="68" t="str">
        <x:v>特殊格局或岁运动态补齐须另建实例重新裁决</x:v>
      </x:c>
      <x:c r="AF36" s="84" t="str">
        <x:v>相邻且无中介时克制更直接；隔位或遥隔时须检查中间干是否通关、生助或阻隔。</x:v>
      </x:c>
      <x:c r="AG36" s="84" t="str">
        <x:v>该克制路径受柱位修正；相邻从强评估，隔位遥隔从弱评估并检查中间通道。</x:v>
      </x:c>
      <x:c r="AH36" s="82" t="str">
        <x:v>较高</x:v>
      </x:c>
      <x:c r="AI36" s="82" t="str">
        <x:v>现代综合</x:v>
      </x:c>
      <x:c r="AJ36" s="68" t="str">
        <x:v>位置只修正效应，不改变有向相克事实。参考：https://ctext.org/wiki.pl?chapter=435028&amp;if=gb&amp;remap=gb</x:v>
      </x:c>
      <x:c r="AK36" s="68" t="str">
        <x:v>月干庚直接克日干甲，比年干庚遥克时干甲作用更直接。</x:v>
      </x:c>
      <x:c r="AL36" s="90" t="str">
        <x:v>所有柱位的天干相克一律按同强度。</x:v>
      </x:c>
      <x:c r="AM36" s="82" t="str">
        <x:v>采用</x:v>
      </x:c>
      <x:c r="AN36" s="82" t="str">
        <x:v>初审</x:v>
      </x:c>
      <x:c r="AO36" s="87" t="n">
        <x:v>46255</x:v>
      </x:c>
    </x:row>
    <x:row r="37">
      <x:c r="A37" s="72" t="str">
        <x:f>IF(OR(C37="",D37=""),"",B37&amp;"-"&amp;UPPER(C37)&amp;"-"&amp;TEXT(D37,"0000")&amp;"-"&amp;E37)</x:f>
        <x:v>M06-LIUHE-0031-V1.0</x:v>
      </x:c>
      <x:c r="B37" s="74" t="str">
        <x:v>M06</x:v>
      </x:c>
      <x:c r="C37" s="74" t="str">
        <x:v>LIUHE</x:v>
      </x:c>
      <x:c r="D37" s="79" t="n">
        <x:v>31</x:v>
      </x:c>
      <x:c r="E37" s="74" t="str">
        <x:v>V1.0</x:v>
      </x:c>
      <x:c r="F37" s="68" t="str">
        <x:v>地支六合先判牵引再判合化</x:v>
      </x:c>
      <x:c r="G37" s="82" t="str">
        <x:v>效应层</x:v>
      </x:c>
      <x:c r="H37" s="68" t="str">
        <x:v>M05-LIUHE-0001-V1.0—M05-LIUHE-0006-V1.0；M05-BOUND-0074-V1.0</x:v>
      </x:c>
      <x:c r="I37" s="82" t="str">
        <x:v>六合</x:v>
      </x:c>
      <x:c r="J37" s="68" t="str">
        <x:v>任一六合配对</x:v>
      </x:c>
      <x:c r="K37" s="68" t="str">
        <x:v>参与两支</x:v>
      </x:c>
      <x:c r="L37" s="82" t="str">
        <x:v>逐对象比较得令、得地、得势与相对强弱</x:v>
      </x:c>
      <x:c r="M37" s="68" t="str">
        <x:v>记录参与对象中谁得令、谁受季节支持</x:v>
      </x:c>
      <x:c r="N37" s="68" t="str">
        <x:v>记录明干及相关藏干的透出通道</x:v>
      </x:c>
      <x:c r="O37" s="68" t="str">
        <x:v>记录各对象根气层级、数量及是否唯一根</x:v>
      </x:c>
      <x:c r="P37" s="68" t="str">
        <x:v>检查同节点的合、冲、刑、害、破、会及生克</x:v>
      </x:c>
      <x:c r="Q37" s="82" t="str">
        <x:v>合动</x:v>
      </x:c>
      <x:c r="R37" s="82" t="str">
        <x:v>条件性</x:v>
      </x:c>
      <x:c r="S37" s="82" t="str">
        <x:v>中</x:v>
      </x:c>
      <x:c r="T37" s="82" t="str">
        <x:v>条件性</x:v>
      </x:c>
      <x:c r="U37" s="82" t="str">
        <x:v>条件性</x:v>
      </x:c>
      <x:c r="V37" s="82" t="str">
        <x:v>条件性</x:v>
      </x:c>
      <x:c r="W37" s="82" t="str">
        <x:v>条件性</x:v>
      </x:c>
      <x:c r="X37" s="82" t="str">
        <x:v>条件性</x:v>
      </x:c>
      <x:c r="Y37" s="68" t="str">
        <x:v>地支内部生克与藏干通道可能重排</x:v>
      </x:c>
      <x:c r="Z37" s="68" t="str">
        <x:v>M04/M05已识别关系，柱位、完整度与参与对象已标准化</x:v>
      </x:c>
      <x:c r="AA37" s="68" t="str">
        <x:v>M05已识别具体六合配对并保留柱位</x:v>
      </x:c>
      <x:c r="AB37" s="68" t="str">
        <x:v>关系相邻、得令、得地、成势且无强力反制</x:v>
      </x:c>
      <x:c r="AC37" s="68" t="str">
        <x:v>遥隔、争合、节点被其他关系牵制或双方各有强根</x:v>
      </x:c>
      <x:c r="AD37" s="90" t="str">
        <x:v>仅凭关系名称不得直接判性质改变、归零或固定吉凶</x:v>
      </x:c>
      <x:c r="AE37" s="68" t="str">
        <x:v>特殊格局或岁运动态补齐须另建实例重新裁决</x:v>
      </x:c>
      <x:c r="AF37" s="84" t="str">
        <x:v>六合首先表示两支发生牵引、趋同或局部绊住；只有化神有力且无破坏时才可升级为合化。</x:v>
      </x:c>
      <x:c r="AG37" s="84" t="str">
        <x:v>六合关系成立，当前先按合动或合绊处理；合化另验。</x:v>
      </x:c>
      <x:c r="AH37" s="82" t="str">
        <x:v>较高</x:v>
      </x:c>
      <x:c r="AI37" s="82" t="str">
        <x:v>现代综合</x:v>
      </x:c>
      <x:c r="AJ37" s="68" t="str">
        <x:v>六合配对与实际化气必须分层。参考：https://zh.wikisource.org/zh-hans/淵海子平；https://zh.wikisource.org/wiki/三命通會/卷二</x:v>
      </x:c>
      <x:c r="AK37" s="68" t="str">
        <x:v>子丑同时出现，但土势不足时只判合意。</x:v>
      </x:c>
      <x:c r="AL37" s="90" t="str">
        <x:v>六合一出现便把两支全部改记化神。</x:v>
      </x:c>
      <x:c r="AM37" s="82" t="str">
        <x:v>采用</x:v>
      </x:c>
      <x:c r="AN37" s="82" t="str">
        <x:v>初审</x:v>
      </x:c>
      <x:c r="AO37" s="87" t="n">
        <x:v>46255</x:v>
      </x:c>
    </x:row>
    <x:row r="38">
      <x:c r="A38" s="72" t="str">
        <x:f>IF(OR(C38="",D38=""),"",B38&amp;"-"&amp;UPPER(C38)&amp;"-"&amp;TEXT(D38,"0000")&amp;"-"&amp;E38)</x:f>
        <x:v>M06-LIUHE-0032-V1.0</x:v>
      </x:c>
      <x:c r="B38" s="74" t="str">
        <x:v>M06</x:v>
      </x:c>
      <x:c r="C38" s="74" t="str">
        <x:v>LIUHE</x:v>
      </x:c>
      <x:c r="D38" s="79" t="n">
        <x:v>32</x:v>
      </x:c>
      <x:c r="E38" s="74" t="str">
        <x:v>V1.0</x:v>
      </x:c>
      <x:c r="F38" s="68" t="str">
        <x:v>六合相邻时合绊作用更直接</x:v>
      </x:c>
      <x:c r="G38" s="82" t="str">
        <x:v>效应层</x:v>
      </x:c>
      <x:c r="H38" s="68" t="str">
        <x:v>M05-POS-0058-V1.0—M05-POS-0060-V1.0；M05-LIUHE-0001-V1.0—M05-LIUHE-0006-V1.0</x:v>
      </x:c>
      <x:c r="I38" s="82" t="str">
        <x:v>六合</x:v>
      </x:c>
      <x:c r="J38" s="68" t="str">
        <x:v>相邻柱位的六合两支</x:v>
      </x:c>
      <x:c r="K38" s="68" t="str">
        <x:v>参与两支</x:v>
      </x:c>
      <x:c r="L38" s="82" t="str">
        <x:v>逐对象比较得令、得地、得势与相对强弱</x:v>
      </x:c>
      <x:c r="M38" s="68" t="str">
        <x:v>记录参与对象中谁得令、谁受季节支持</x:v>
      </x:c>
      <x:c r="N38" s="68" t="str">
        <x:v>记录明干及相关藏干的透出通道</x:v>
      </x:c>
      <x:c r="O38" s="68" t="str">
        <x:v>记录各对象根气层级、数量及是否唯一根</x:v>
      </x:c>
      <x:c r="P38" s="68" t="str">
        <x:v>检查同节点的合、冲、刑、害、破、会及生克</x:v>
      </x:c>
      <x:c r="Q38" s="82" t="str">
        <x:v>合绊</x:v>
      </x:c>
      <x:c r="R38" s="82" t="str">
        <x:v>冻结</x:v>
      </x:c>
      <x:c r="S38" s="82" t="str">
        <x:v>中</x:v>
      </x:c>
      <x:c r="T38" s="82" t="str">
        <x:v>否</x:v>
      </x:c>
      <x:c r="U38" s="82" t="str">
        <x:v>条件性</x:v>
      </x:c>
      <x:c r="V38" s="82" t="str">
        <x:v>条件性</x:v>
      </x:c>
      <x:c r="W38" s="82" t="str">
        <x:v>条件性</x:v>
      </x:c>
      <x:c r="X38" s="82" t="str">
        <x:v>条件性</x:v>
      </x:c>
      <x:c r="Y38" s="68" t="str">
        <x:v>可能改变原有生克路径，须在M12复核</x:v>
      </x:c>
      <x:c r="Z38" s="68" t="str">
        <x:v>M04/M05已识别关系，柱位、完整度与参与对象已标准化</x:v>
      </x:c>
      <x:c r="AA38" s="68" t="str">
        <x:v>必须指向具体作用对象，并比较各方力量、根气和通道</x:v>
      </x:c>
      <x:c r="AB38" s="68" t="str">
        <x:v>相邻、关系单一且无强冲</x:v>
      </x:c>
      <x:c r="AC38" s="68" t="str">
        <x:v>双方均强根成势或同节点另入三合三会</x:v>
      </x:c>
      <x:c r="AD38" s="90" t="str">
        <x:v>仅凭关系名称不得直接判性质改变、归零或固定吉凶</x:v>
      </x:c>
      <x:c r="AE38" s="68" t="str">
        <x:v>特殊格局或岁运动态补齐须另建实例重新裁决</x:v>
      </x:c>
      <x:c r="AF38" s="84" t="str">
        <x:v>年月、月日或日时相邻六合时，节点互动更直接；若无冲会争夺，可提高合绊等级。</x:v>
      </x:c>
      <x:c r="AG38" s="84" t="str">
        <x:v>该六合相邻，合绊较直接；是否合住或合化仍须看强弱与叠加关系。</x:v>
      </x:c>
      <x:c r="AH38" s="82" t="str">
        <x:v>较高</x:v>
      </x:c>
      <x:c r="AI38" s="82" t="str">
        <x:v>现代综合</x:v>
      </x:c>
      <x:c r="AJ38" s="68" t="str">
        <x:v>位置近远是效应强弱信息。参考：https://ctext.org/wiki.pl?chapter=435028&amp;if=gb&amp;remap=gb</x:v>
      </x:c>
      <x:c r="AK38" s="68" t="str">
        <x:v>月支与日支六合且无其他争夺，合绊从中等评估。</x:v>
      </x:c>
      <x:c r="AL38" s="90" t="str">
        <x:v>年时遥隔六合与月日六合一律同强度。</x:v>
      </x:c>
      <x:c r="AM38" s="82" t="str">
        <x:v>采用</x:v>
      </x:c>
      <x:c r="AN38" s="82" t="str">
        <x:v>初审</x:v>
      </x:c>
      <x:c r="AO38" s="87" t="n">
        <x:v>46255</x:v>
      </x:c>
    </x:row>
    <x:row r="39">
      <x:c r="A39" s="72" t="str">
        <x:f>IF(OR(C39="",D39=""),"",B39&amp;"-"&amp;UPPER(C39)&amp;"-"&amp;TEXT(D39,"0000")&amp;"-"&amp;E39)</x:f>
        <x:v>M06-LIUHE-0033-V1.0</x:v>
      </x:c>
      <x:c r="B39" s="74" t="str">
        <x:v>M06</x:v>
      </x:c>
      <x:c r="C39" s="74" t="str">
        <x:v>LIUHE</x:v>
      </x:c>
      <x:c r="D39" s="79" t="n">
        <x:v>33</x:v>
      </x:c>
      <x:c r="E39" s="74" t="str">
        <x:v>V1.0</x:v>
      </x:c>
      <x:c r="F39" s="68" t="str">
        <x:v>六合一强一弱时弱支更易被牵制</x:v>
      </x:c>
      <x:c r="G39" s="82" t="str">
        <x:v>效应层</x:v>
      </x:c>
      <x:c r="H39" s="68" t="str">
        <x:v>M05-LIUHE-0001-V1.0—M05-LIUHE-0006-V1.0</x:v>
      </x:c>
      <x:c r="I39" s="82" t="str">
        <x:v>六合</x:v>
      </x:c>
      <x:c r="J39" s="68" t="str">
        <x:v>强弱悬殊的六合两支</x:v>
      </x:c>
      <x:c r="K39" s="68" t="str">
        <x:v>较弱一支</x:v>
      </x:c>
      <x:c r="L39" s="82" t="str">
        <x:v>一支旺或极旺，另一支弱或极弱</x:v>
      </x:c>
      <x:c r="M39" s="68" t="str">
        <x:v>记录参与对象中谁得令、谁受季节支持</x:v>
      </x:c>
      <x:c r="N39" s="68" t="str">
        <x:v>记录明干及相关藏干的透出通道</x:v>
      </x:c>
      <x:c r="O39" s="68" t="str">
        <x:v>记录各对象根气层级、数量及是否唯一根</x:v>
      </x:c>
      <x:c r="P39" s="68" t="str">
        <x:v>检查同节点的合、冲、刑、害、破、会及生克</x:v>
      </x:c>
      <x:c r="Q39" s="82" t="str">
        <x:v>合住</x:v>
      </x:c>
      <x:c r="R39" s="82" t="str">
        <x:v>冻结</x:v>
      </x:c>
      <x:c r="S39" s="82" t="str">
        <x:v>强</x:v>
      </x:c>
      <x:c r="T39" s="82" t="str">
        <x:v>否</x:v>
      </x:c>
      <x:c r="U39" s="82" t="str">
        <x:v>条件性</x:v>
      </x:c>
      <x:c r="V39" s="82" t="str">
        <x:v>条件性</x:v>
      </x:c>
      <x:c r="W39" s="82" t="str">
        <x:v>条件性</x:v>
      </x:c>
      <x:c r="X39" s="82" t="str">
        <x:v>条件性</x:v>
      </x:c>
      <x:c r="Y39" s="68" t="str">
        <x:v>可能改变原有生克路径，须在M12复核</x:v>
      </x:c>
      <x:c r="Z39" s="68" t="str">
        <x:v>M04/M05已识别关系，柱位、完整度与参与对象已标准化</x:v>
      </x:c>
      <x:c r="AA39" s="68" t="str">
        <x:v>必须指向具体作用对象，并比较各方力量、根气和通道</x:v>
      </x:c>
      <x:c r="AB39" s="68" t="str">
        <x:v>强支临月令、有同党；弱支为唯一弱根且无援</x:v>
      </x:c>
      <x:c r="AC39" s="68" t="str">
        <x:v>弱支另有同党、三合三会或透干承接</x:v>
      </x:c>
      <x:c r="AD39" s="90" t="str">
        <x:v>仅凭关系名称不得直接判性质改变、归零或固定吉凶</x:v>
      </x:c>
      <x:c r="AE39" s="68" t="str">
        <x:v>特殊格局或岁运动态补齐须另建实例重新裁决</x:v>
      </x:c>
      <x:c r="AF39" s="84" t="str">
        <x:v>一支得令成势、另一支孤弱无援时，弱支更易被牵入强支或化神方向；强支不必同步失去原功能。</x:v>
      </x:c>
      <x:c r="AG39" s="84" t="str">
        <x:v>六合双方力量悬殊，弱支受牵制更重；强支保留主导作用。</x:v>
      </x:c>
      <x:c r="AH39" s="82" t="str">
        <x:v>较高</x:v>
      </x:c>
      <x:c r="AI39" s="82" t="str">
        <x:v>现代综合</x:v>
      </x:c>
      <x:c r="AJ39" s="68" t="str">
        <x:v>六合效应也必须逐支判断。参考：https://zh.wikisource.org/zh-hans/滴天髓</x:v>
      </x:c>
      <x:c r="AK39" s="68" t="str">
        <x:v>亥旺有援、寅弱无根，寅亥合时寅受牵较重。</x:v>
      </x:c>
      <x:c r="AL39" s="90" t="str">
        <x:v>两支合便等量扣减。</x:v>
      </x:c>
      <x:c r="AM39" s="82" t="str">
        <x:v>采用</x:v>
      </x:c>
      <x:c r="AN39" s="82" t="str">
        <x:v>初审</x:v>
      </x:c>
      <x:c r="AO39" s="87" t="n">
        <x:v>46255</x:v>
      </x:c>
    </x:row>
    <x:row r="40">
      <x:c r="A40" s="72" t="str">
        <x:f>IF(OR(C40="",D40=""),"",B40&amp;"-"&amp;UPPER(C40)&amp;"-"&amp;TEXT(D40,"0000")&amp;"-"&amp;E40)</x:f>
        <x:v>M06-LIUHE-0034-V1.0</x:v>
      </x:c>
      <x:c r="B40" s="74" t="str">
        <x:v>M06</x:v>
      </x:c>
      <x:c r="C40" s="74" t="str">
        <x:v>LIUHE</x:v>
      </x:c>
      <x:c r="D40" s="79" t="n">
        <x:v>34</x:v>
      </x:c>
      <x:c r="E40" s="74" t="str">
        <x:v>V1.0</x:v>
      </x:c>
      <x:c r="F40" s="68" t="str">
        <x:v>六合双方均强时优先判合绊不判消失</x:v>
      </x:c>
      <x:c r="G40" s="82" t="str">
        <x:v>效应层</x:v>
      </x:c>
      <x:c r="H40" s="68" t="str">
        <x:v>M05-LIUHE-0001-V1.0—M05-LIUHE-0006-V1.0</x:v>
      </x:c>
      <x:c r="I40" s="82" t="str">
        <x:v>六合</x:v>
      </x:c>
      <x:c r="J40" s="68" t="str">
        <x:v>双方均强的六合两支</x:v>
      </x:c>
      <x:c r="K40" s="68" t="str">
        <x:v>参与两支</x:v>
      </x:c>
      <x:c r="L40" s="82" t="str">
        <x:v>逐对象比较得令、得地、得势与相对强弱</x:v>
      </x:c>
      <x:c r="M40" s="68" t="str">
        <x:v>记录参与对象中谁得令、谁受季节支持</x:v>
      </x:c>
      <x:c r="N40" s="68" t="str">
        <x:v>记录明干及相关藏干的透出通道</x:v>
      </x:c>
      <x:c r="O40" s="68" t="str">
        <x:v>记录各对象根气层级、数量及是否唯一根</x:v>
      </x:c>
      <x:c r="P40" s="68" t="str">
        <x:v>检查同节点的合、冲、刑、害、破、会及生克</x:v>
      </x:c>
      <x:c r="Q40" s="82" t="str">
        <x:v>合绊</x:v>
      </x:c>
      <x:c r="R40" s="82" t="str">
        <x:v>冻结</x:v>
      </x:c>
      <x:c r="S40" s="82" t="str">
        <x:v>中</x:v>
      </x:c>
      <x:c r="T40" s="82" t="str">
        <x:v>否</x:v>
      </x:c>
      <x:c r="U40" s="82" t="str">
        <x:v>否</x:v>
      </x:c>
      <x:c r="V40" s="82" t="str">
        <x:v>条件性</x:v>
      </x:c>
      <x:c r="W40" s="82" t="str">
        <x:v>条件性</x:v>
      </x:c>
      <x:c r="X40" s="82" t="str">
        <x:v>条件性</x:v>
      </x:c>
      <x:c r="Y40" s="68" t="str">
        <x:v>可能改变原有生克路径，须在M12复核</x:v>
      </x:c>
      <x:c r="Z40" s="68" t="str">
        <x:v>M04/M05已识别关系，柱位、完整度与参与对象已标准化</x:v>
      </x:c>
      <x:c r="AA40" s="68" t="str">
        <x:v>必须指向具体作用对象，并比较各方力量、根气和通道</x:v>
      </x:c>
      <x:c r="AB40" s="68" t="str">
        <x:v>相邻且无第三关系</x:v>
      </x:c>
      <x:c r="AC40" s="68" t="str">
        <x:v>一方另入更强三合三会或遭强冲</x:v>
      </x:c>
      <x:c r="AD40" s="90" t="str">
        <x:v>仅凭关系名称不得直接判性质改变、归零或固定吉凶</x:v>
      </x:c>
      <x:c r="AE40" s="68" t="str">
        <x:v>特殊格局或岁运动态补齐须另建实例重新裁决</x:v>
      </x:c>
      <x:c r="AF40" s="84" t="str">
        <x:v>双方得令、得地或各成体系时，多表现为相互牵制与功能重排，不宜直接删除任一地支或根气。</x:v>
      </x:c>
      <x:c r="AG40" s="84" t="str">
        <x:v>双方均有实根，六合按相互牵制处理；两支原始存在与根气均保留。</x:v>
      </x:c>
      <x:c r="AH40" s="82" t="str">
        <x:v>较高</x:v>
      </x:c>
      <x:c r="AI40" s="82" t="str">
        <x:v>现代综合</x:v>
      </x:c>
      <x:c r="AJ40" s="68" t="str">
        <x:v>有根有势者不因六合自动失根。参考：https://ctext.org/wiki.pl?chapter=974137&amp;if=gb&amp;remap=gb</x:v>
      </x:c>
      <x:c r="AK40" s="68" t="str">
        <x:v>寅亥均旺有根，先判合绊而非寅亥消失。</x:v>
      </x:c>
      <x:c r="AL40" s="90" t="str">
        <x:v>双方均旺仍把一方合没。</x:v>
      </x:c>
      <x:c r="AM40" s="82" t="str">
        <x:v>采用</x:v>
      </x:c>
      <x:c r="AN40" s="82" t="str">
        <x:v>初审</x:v>
      </x:c>
      <x:c r="AO40" s="87" t="n">
        <x:v>46255</x:v>
      </x:c>
    </x:row>
    <x:row r="41">
      <x:c r="A41" s="72" t="str">
        <x:f>IF(OR(C41="",D41=""),"",B41&amp;"-"&amp;UPPER(C41)&amp;"-"&amp;TEXT(D41,"0000")&amp;"-"&amp;E41)</x:f>
        <x:v>M06-LIUHE-0035-V1.0</x:v>
      </x:c>
      <x:c r="B41" s="74" t="str">
        <x:v>M06</x:v>
      </x:c>
      <x:c r="C41" s="74" t="str">
        <x:v>LIUHE</x:v>
      </x:c>
      <x:c r="D41" s="79" t="n">
        <x:v>35</x:v>
      </x:c>
      <x:c r="E41" s="74" t="str">
        <x:v>V1.0</x:v>
      </x:c>
      <x:c r="F41" s="68" t="str">
        <x:v>子丑合土的效应方向</x:v>
      </x:c>
      <x:c r="G41" s="82" t="str">
        <x:v>效应层</x:v>
      </x:c>
      <x:c r="H41" s="68" t="str">
        <x:v>M05-LIUHE-0001-V1.0</x:v>
      </x:c>
      <x:c r="I41" s="82" t="str">
        <x:v>六合</x:v>
      </x:c>
      <x:c r="J41" s="68" t="str">
        <x:v>子、丑</x:v>
      </x:c>
      <x:c r="K41" s="68" t="str">
        <x:v>子、丑及土</x:v>
      </x:c>
      <x:c r="L41" s="82" t="str">
        <x:v>逐对象比较得令、得地、得势与相对强弱</x:v>
      </x:c>
      <x:c r="M41" s="68" t="str">
        <x:v>记录参与对象中谁得令、谁受季节支持</x:v>
      </x:c>
      <x:c r="N41" s="68" t="str">
        <x:v>记录明干及相关藏干的透出通道</x:v>
      </x:c>
      <x:c r="O41" s="68" t="str">
        <x:v>记录各对象根气层级、数量及是否唯一根</x:v>
      </x:c>
      <x:c r="P41" s="68" t="str">
        <x:v>检查同节点的合、冲、刑、害、破、会及生克</x:v>
      </x:c>
      <x:c r="Q41" s="82" t="str">
        <x:v>合化</x:v>
      </x:c>
      <x:c r="R41" s="82" t="str">
        <x:v>转化</x:v>
      </x:c>
      <x:c r="S41" s="82" t="str">
        <x:v>强</x:v>
      </x:c>
      <x:c r="T41" s="82" t="str">
        <x:v>条件性</x:v>
      </x:c>
      <x:c r="U41" s="82" t="str">
        <x:v>条件性</x:v>
      </x:c>
      <x:c r="V41" s="82" t="str">
        <x:v>条件性</x:v>
      </x:c>
      <x:c r="W41" s="82" t="str">
        <x:v>是</x:v>
      </x:c>
      <x:c r="X41" s="82" t="str">
        <x:v>条件性</x:v>
      </x:c>
      <x:c r="Y41" s="68" t="str">
        <x:v>两支藏干通道向土集中</x:v>
      </x:c>
      <x:c r="Z41" s="68" t="str">
        <x:v>M04/M05已识别关系，柱位、完整度与参与对象已标准化</x:v>
      </x:c>
      <x:c r="AA41" s="68" t="str">
        <x:v>土有真实承载且无强力破坏；只生成方向不自动成化</x:v>
      </x:c>
      <x:c r="AB41" s="68" t="str">
        <x:v>土得令、有戊己透出或火土成势</x:v>
      </x:c>
      <x:c r="AC41" s="68" t="str">
        <x:v>水势强、子得令且壬癸成党</x:v>
      </x:c>
      <x:c r="AD41" s="90" t="str">
        <x:v>土无根无势或同节点受更强冲会牵引</x:v>
      </x:c>
      <x:c r="AE41" s="68" t="str">
        <x:v>仅有趋向时标记合动或合绊，不改写两支全部性质</x:v>
      </x:c>
      <x:c r="AF41" s="84" t="str">
        <x:v>子丑六合只生成土向候选；土得时得地、丑土主导且水势不过强时，才可判土向明显。</x:v>
      </x:c>
      <x:c r="AG41" s="84" t="str">
        <x:v>子丑合的土向条件成立，土的有效作用增强；条件不足时仍按水土相牵。</x:v>
      </x:c>
      <x:c r="AH41" s="82" t="str">
        <x:v>中等</x:v>
      </x:c>
      <x:c r="AI41" s="82" t="str">
        <x:v>现代综合</x:v>
      </x:c>
      <x:c r="AJ41" s="68" t="str">
        <x:v>六合化气在不同流派中条件差异较大，本库只保留条件性方向。参考：https://ctext.org/wiki.pl?chapter=435028&amp;if=gb&amp;remap=gb</x:v>
      </x:c>
      <x:c r="AK41" s="68" t="str">
        <x:v>子丑合的土向条件成立，土的有效作用增强；条件不足时仍按水土相牵。</x:v>
      </x:c>
      <x:c r="AL41" s="90" t="str">
        <x:v>子丑一见即把子水完全化土</x:v>
      </x:c>
      <x:c r="AM41" s="82" t="str">
        <x:v>待验证</x:v>
      </x:c>
      <x:c r="AN41" s="82" t="str">
        <x:v>初审</x:v>
      </x:c>
      <x:c r="AO41" s="87" t="n">
        <x:v>46255</x:v>
      </x:c>
    </x:row>
    <x:row r="42">
      <x:c r="A42" s="72" t="str">
        <x:f>IF(OR(C42="",D42=""),"",B42&amp;"-"&amp;UPPER(C42)&amp;"-"&amp;TEXT(D42,"0000")&amp;"-"&amp;E42)</x:f>
        <x:v>M06-LIUHE-0036-V1.0</x:v>
      </x:c>
      <x:c r="B42" s="74" t="str">
        <x:v>M06</x:v>
      </x:c>
      <x:c r="C42" s="74" t="str">
        <x:v>LIUHE</x:v>
      </x:c>
      <x:c r="D42" s="79" t="n">
        <x:v>36</x:v>
      </x:c>
      <x:c r="E42" s="74" t="str">
        <x:v>V1.0</x:v>
      </x:c>
      <x:c r="F42" s="68" t="str">
        <x:v>寅亥合木的效应方向</x:v>
      </x:c>
      <x:c r="G42" s="82" t="str">
        <x:v>效应层</x:v>
      </x:c>
      <x:c r="H42" s="68" t="str">
        <x:v>M05-LIUHE-0002-V1.0</x:v>
      </x:c>
      <x:c r="I42" s="82" t="str">
        <x:v>六合</x:v>
      </x:c>
      <x:c r="J42" s="68" t="str">
        <x:v>寅、亥</x:v>
      </x:c>
      <x:c r="K42" s="68" t="str">
        <x:v>寅、亥及木</x:v>
      </x:c>
      <x:c r="L42" s="82" t="str">
        <x:v>逐对象比较得令、得地、得势与相对强弱</x:v>
      </x:c>
      <x:c r="M42" s="68" t="str">
        <x:v>记录参与对象中谁得令、谁受季节支持</x:v>
      </x:c>
      <x:c r="N42" s="68" t="str">
        <x:v>记录明干及相关藏干的透出通道</x:v>
      </x:c>
      <x:c r="O42" s="68" t="str">
        <x:v>记录各对象根气层级、数量及是否唯一根</x:v>
      </x:c>
      <x:c r="P42" s="68" t="str">
        <x:v>检查同节点的合、冲、刑、害、破、会及生克</x:v>
      </x:c>
      <x:c r="Q42" s="82" t="str">
        <x:v>合化</x:v>
      </x:c>
      <x:c r="R42" s="82" t="str">
        <x:v>转化</x:v>
      </x:c>
      <x:c r="S42" s="82" t="str">
        <x:v>强</x:v>
      </x:c>
      <x:c r="T42" s="82" t="str">
        <x:v>条件性</x:v>
      </x:c>
      <x:c r="U42" s="82" t="str">
        <x:v>条件性</x:v>
      </x:c>
      <x:c r="V42" s="82" t="str">
        <x:v>条件性</x:v>
      </x:c>
      <x:c r="W42" s="82" t="str">
        <x:v>是</x:v>
      </x:c>
      <x:c r="X42" s="82" t="str">
        <x:v>条件性</x:v>
      </x:c>
      <x:c r="Y42" s="68" t="str">
        <x:v>两支藏干通道向木集中</x:v>
      </x:c>
      <x:c r="Z42" s="68" t="str">
        <x:v>M04/M05已识别关系，柱位、完整度与参与对象已标准化</x:v>
      </x:c>
      <x:c r="AA42" s="68" t="str">
        <x:v>木有真实承载且无强力破坏；只生成方向不自动成化</x:v>
      </x:c>
      <x:c r="AB42" s="68" t="str">
        <x:v>寅卯月、甲乙透出或亥卯未木势相助</x:v>
      </x:c>
      <x:c r="AC42" s="68" t="str">
        <x:v>金旺克木、亥水自成强势或寅受重冲</x:v>
      </x:c>
      <x:c r="AD42" s="90" t="str">
        <x:v>木无根无势或同节点受更强冲会牵引</x:v>
      </x:c>
      <x:c r="AE42" s="68" t="str">
        <x:v>仅有趋向时标记合动或合绊，不改写两支全部性质</x:v>
      </x:c>
      <x:c r="AF42" s="84" t="str">
        <x:v>寅亥六合只生成木向候选；木得令得根、甲乙透出且金势不强时，木向才可明显落实。</x:v>
      </x:c>
      <x:c r="AG42" s="84" t="str">
        <x:v>寅亥合的木向条件成立，木的生发通道增强；条件不足时按合动处理。</x:v>
      </x:c>
      <x:c r="AH42" s="82" t="str">
        <x:v>中等</x:v>
      </x:c>
      <x:c r="AI42" s="82" t="str">
        <x:v>现代综合</x:v>
      </x:c>
      <x:c r="AJ42" s="68" t="str">
        <x:v>六合化气在不同流派中条件差异较大，本库只保留条件性方向。参考：https://ctext.org/wiki.pl?chapter=435028&amp;if=gb&amp;remap=gb</x:v>
      </x:c>
      <x:c r="AK42" s="68" t="str">
        <x:v>寅亥合的木向条件成立，木的生发通道增强；条件不足时按合动处理。</x:v>
      </x:c>
      <x:c r="AL42" s="90" t="str">
        <x:v>寅亥一见即判两支全化木</x:v>
      </x:c>
      <x:c r="AM42" s="82" t="str">
        <x:v>待验证</x:v>
      </x:c>
      <x:c r="AN42" s="82" t="str">
        <x:v>初审</x:v>
      </x:c>
      <x:c r="AO42" s="87" t="n">
        <x:v>46255</x:v>
      </x:c>
    </x:row>
    <x:row r="43">
      <x:c r="A43" s="72" t="str">
        <x:f>IF(OR(C43="",D43=""),"",B43&amp;"-"&amp;UPPER(C43)&amp;"-"&amp;TEXT(D43,"0000")&amp;"-"&amp;E43)</x:f>
        <x:v>M06-LIUHE-0037-V1.0</x:v>
      </x:c>
      <x:c r="B43" s="74" t="str">
        <x:v>M06</x:v>
      </x:c>
      <x:c r="C43" s="74" t="str">
        <x:v>LIUHE</x:v>
      </x:c>
      <x:c r="D43" s="79" t="n">
        <x:v>37</x:v>
      </x:c>
      <x:c r="E43" s="74" t="str">
        <x:v>V1.0</x:v>
      </x:c>
      <x:c r="F43" s="68" t="str">
        <x:v>卯戌合火的效应方向</x:v>
      </x:c>
      <x:c r="G43" s="82" t="str">
        <x:v>效应层</x:v>
      </x:c>
      <x:c r="H43" s="68" t="str">
        <x:v>M05-LIUHE-0003-V1.0</x:v>
      </x:c>
      <x:c r="I43" s="82" t="str">
        <x:v>六合</x:v>
      </x:c>
      <x:c r="J43" s="68" t="str">
        <x:v>卯、戌</x:v>
      </x:c>
      <x:c r="K43" s="68" t="str">
        <x:v>卯、戌及火</x:v>
      </x:c>
      <x:c r="L43" s="82" t="str">
        <x:v>逐对象比较得令、得地、得势与相对强弱</x:v>
      </x:c>
      <x:c r="M43" s="68" t="str">
        <x:v>记录参与对象中谁得令、谁受季节支持</x:v>
      </x:c>
      <x:c r="N43" s="68" t="str">
        <x:v>记录明干及相关藏干的透出通道</x:v>
      </x:c>
      <x:c r="O43" s="68" t="str">
        <x:v>记录各对象根气层级、数量及是否唯一根</x:v>
      </x:c>
      <x:c r="P43" s="68" t="str">
        <x:v>检查同节点的合、冲、刑、害、破、会及生克</x:v>
      </x:c>
      <x:c r="Q43" s="82" t="str">
        <x:v>合化</x:v>
      </x:c>
      <x:c r="R43" s="82" t="str">
        <x:v>转化</x:v>
      </x:c>
      <x:c r="S43" s="82" t="str">
        <x:v>强</x:v>
      </x:c>
      <x:c r="T43" s="82" t="str">
        <x:v>条件性</x:v>
      </x:c>
      <x:c r="U43" s="82" t="str">
        <x:v>条件性</x:v>
      </x:c>
      <x:c r="V43" s="82" t="str">
        <x:v>条件性</x:v>
      </x:c>
      <x:c r="W43" s="82" t="str">
        <x:v>是</x:v>
      </x:c>
      <x:c r="X43" s="82" t="str">
        <x:v>条件性</x:v>
      </x:c>
      <x:c r="Y43" s="68" t="str">
        <x:v>两支藏干通道向火集中</x:v>
      </x:c>
      <x:c r="Z43" s="68" t="str">
        <x:v>M04/M05已识别关系，柱位、完整度与参与对象已标准化</x:v>
      </x:c>
      <x:c r="AA43" s="68" t="str">
        <x:v>火有真实承载且无强力破坏；只生成方向不自动成化</x:v>
      </x:c>
      <x:c r="AB43" s="68" t="str">
        <x:v>巳午火有根、丙丁透出或寅午戌火势相助</x:v>
      </x:c>
      <x:c r="AC43" s="68" t="str">
        <x:v>水旺制火、卯木强而戌受冲</x:v>
      </x:c>
      <x:c r="AD43" s="90" t="str">
        <x:v>火无根无势或同节点受更强冲会牵引</x:v>
      </x:c>
      <x:c r="AE43" s="68" t="str">
        <x:v>仅有趋向时标记合动或合绊，不改写两支全部性质</x:v>
      </x:c>
      <x:c r="AF43" s="84" t="str">
        <x:v>卯戌六合只生成火向候选；火有根有透、木能生火且水势不强时，火向才可明显。</x:v>
      </x:c>
      <x:c r="AG43" s="84" t="str">
        <x:v>卯戌合的火向条件成立，火的有效通道增强；条件不足时按木土相牵。</x:v>
      </x:c>
      <x:c r="AH43" s="82" t="str">
        <x:v>中等</x:v>
      </x:c>
      <x:c r="AI43" s="82" t="str">
        <x:v>现代综合</x:v>
      </x:c>
      <x:c r="AJ43" s="68" t="str">
        <x:v>六合化气在不同流派中条件差异较大，本库只保留条件性方向。参考：https://ctext.org/wiki.pl?chapter=435028&amp;if=gb&amp;remap=gb</x:v>
      </x:c>
      <x:c r="AK43" s="68" t="str">
        <x:v>卯戌合的火向条件成立，火的有效通道增强；条件不足时按木土相牵。</x:v>
      </x:c>
      <x:c r="AL43" s="90" t="str">
        <x:v>卯戌一见即判卯木戌土消失</x:v>
      </x:c>
      <x:c r="AM43" s="82" t="str">
        <x:v>待验证</x:v>
      </x:c>
      <x:c r="AN43" s="82" t="str">
        <x:v>初审</x:v>
      </x:c>
      <x:c r="AO43" s="87" t="n">
        <x:v>46255</x:v>
      </x:c>
    </x:row>
    <x:row r="44">
      <x:c r="A44" s="72" t="str">
        <x:f>IF(OR(C44="",D44=""),"",B44&amp;"-"&amp;UPPER(C44)&amp;"-"&amp;TEXT(D44,"0000")&amp;"-"&amp;E44)</x:f>
        <x:v>M06-LIUHE-0038-V1.0</x:v>
      </x:c>
      <x:c r="B44" s="74" t="str">
        <x:v>M06</x:v>
      </x:c>
      <x:c r="C44" s="74" t="str">
        <x:v>LIUHE</x:v>
      </x:c>
      <x:c r="D44" s="79" t="n">
        <x:v>38</x:v>
      </x:c>
      <x:c r="E44" s="74" t="str">
        <x:v>V1.0</x:v>
      </x:c>
      <x:c r="F44" s="68" t="str">
        <x:v>辰酉合金的效应方向</x:v>
      </x:c>
      <x:c r="G44" s="82" t="str">
        <x:v>效应层</x:v>
      </x:c>
      <x:c r="H44" s="68" t="str">
        <x:v>M05-LIUHE-0004-V1.0</x:v>
      </x:c>
      <x:c r="I44" s="82" t="str">
        <x:v>六合</x:v>
      </x:c>
      <x:c r="J44" s="68" t="str">
        <x:v>辰、酉</x:v>
      </x:c>
      <x:c r="K44" s="68" t="str">
        <x:v>辰、酉及金</x:v>
      </x:c>
      <x:c r="L44" s="82" t="str">
        <x:v>逐对象比较得令、得地、得势与相对强弱</x:v>
      </x:c>
      <x:c r="M44" s="68" t="str">
        <x:v>记录参与对象中谁得令、谁受季节支持</x:v>
      </x:c>
      <x:c r="N44" s="68" t="str">
        <x:v>记录明干及相关藏干的透出通道</x:v>
      </x:c>
      <x:c r="O44" s="68" t="str">
        <x:v>记录各对象根气层级、数量及是否唯一根</x:v>
      </x:c>
      <x:c r="P44" s="68" t="str">
        <x:v>检查同节点的合、冲、刑、害、破、会及生克</x:v>
      </x:c>
      <x:c r="Q44" s="82" t="str">
        <x:v>合化</x:v>
      </x:c>
      <x:c r="R44" s="82" t="str">
        <x:v>转化</x:v>
      </x:c>
      <x:c r="S44" s="82" t="str">
        <x:v>强</x:v>
      </x:c>
      <x:c r="T44" s="82" t="str">
        <x:v>条件性</x:v>
      </x:c>
      <x:c r="U44" s="82" t="str">
        <x:v>条件性</x:v>
      </x:c>
      <x:c r="V44" s="82" t="str">
        <x:v>条件性</x:v>
      </x:c>
      <x:c r="W44" s="82" t="str">
        <x:v>是</x:v>
      </x:c>
      <x:c r="X44" s="82" t="str">
        <x:v>条件性</x:v>
      </x:c>
      <x:c r="Y44" s="68" t="str">
        <x:v>两支藏干通道向金集中</x:v>
      </x:c>
      <x:c r="Z44" s="68" t="str">
        <x:v>M04/M05已识别关系，柱位、完整度与参与对象已标准化</x:v>
      </x:c>
      <x:c r="AA44" s="68" t="str">
        <x:v>金有真实承载且无强力破坏；只生成方向不自动成化</x:v>
      </x:c>
      <x:c r="AB44" s="68" t="str">
        <x:v>申酉月、庚辛透出或巳酉丑金势相助</x:v>
      </x:c>
      <x:c r="AC44" s="68" t="str">
        <x:v>火旺克金、辰湿土水势过重或酉受重冲</x:v>
      </x:c>
      <x:c r="AD44" s="90" t="str">
        <x:v>金无根无势或同节点受更强冲会牵引</x:v>
      </x:c>
      <x:c r="AE44" s="68" t="str">
        <x:v>仅有趋向时标记合动或合绊，不改写两支全部性质</x:v>
      </x:c>
      <x:c r="AF44" s="84" t="str">
        <x:v>辰酉六合只生成金向候选；金得令得地、庚辛透出且火势不强时，金向才可明显。</x:v>
      </x:c>
      <x:c r="AG44" s="84" t="str">
        <x:v>辰酉合的金向条件成立，金的有效作用增强；条件不足时按合绊处理。</x:v>
      </x:c>
      <x:c r="AH44" s="82" t="str">
        <x:v>中等</x:v>
      </x:c>
      <x:c r="AI44" s="82" t="str">
        <x:v>现代综合</x:v>
      </x:c>
      <x:c r="AJ44" s="68" t="str">
        <x:v>六合化气在不同流派中条件差异较大，本库只保留条件性方向。参考：https://ctext.org/wiki.pl?chapter=435028&amp;if=gb&amp;remap=gb</x:v>
      </x:c>
      <x:c r="AK44" s="68" t="str">
        <x:v>辰酉合的金向条件成立，金的有效作用增强；条件不足时按合绊处理。</x:v>
      </x:c>
      <x:c r="AL44" s="90" t="str">
        <x:v>辰酉一见即判辰土全化金</x:v>
      </x:c>
      <x:c r="AM44" s="82" t="str">
        <x:v>待验证</x:v>
      </x:c>
      <x:c r="AN44" s="82" t="str">
        <x:v>初审</x:v>
      </x:c>
      <x:c r="AO44" s="87" t="n">
        <x:v>46255</x:v>
      </x:c>
    </x:row>
    <x:row r="45">
      <x:c r="A45" s="72" t="str">
        <x:f>IF(OR(C45="",D45=""),"",B45&amp;"-"&amp;UPPER(C45)&amp;"-"&amp;TEXT(D45,"0000")&amp;"-"&amp;E45)</x:f>
        <x:v>M06-LIUHE-0039-V1.0</x:v>
      </x:c>
      <x:c r="B45" s="74" t="str">
        <x:v>M06</x:v>
      </x:c>
      <x:c r="C45" s="74" t="str">
        <x:v>LIUHE</x:v>
      </x:c>
      <x:c r="D45" s="79" t="n">
        <x:v>39</x:v>
      </x:c>
      <x:c r="E45" s="74" t="str">
        <x:v>V1.0</x:v>
      </x:c>
      <x:c r="F45" s="68" t="str">
        <x:v>巳申合水的效应方向</x:v>
      </x:c>
      <x:c r="G45" s="82" t="str">
        <x:v>效应层</x:v>
      </x:c>
      <x:c r="H45" s="68" t="str">
        <x:v>M05-LIUHE-0005-V1.0</x:v>
      </x:c>
      <x:c r="I45" s="82" t="str">
        <x:v>六合</x:v>
      </x:c>
      <x:c r="J45" s="68" t="str">
        <x:v>巳、申</x:v>
      </x:c>
      <x:c r="K45" s="68" t="str">
        <x:v>巳、申及水</x:v>
      </x:c>
      <x:c r="L45" s="82" t="str">
        <x:v>逐对象比较得令、得地、得势与相对强弱</x:v>
      </x:c>
      <x:c r="M45" s="68" t="str">
        <x:v>记录参与对象中谁得令、谁受季节支持</x:v>
      </x:c>
      <x:c r="N45" s="68" t="str">
        <x:v>记录明干及相关藏干的透出通道</x:v>
      </x:c>
      <x:c r="O45" s="68" t="str">
        <x:v>记录各对象根气层级、数量及是否唯一根</x:v>
      </x:c>
      <x:c r="P45" s="68" t="str">
        <x:v>检查同节点的合、冲、刑、害、破、会及生克</x:v>
      </x:c>
      <x:c r="Q45" s="82" t="str">
        <x:v>合化</x:v>
      </x:c>
      <x:c r="R45" s="82" t="str">
        <x:v>转化</x:v>
      </x:c>
      <x:c r="S45" s="82" t="str">
        <x:v>强</x:v>
      </x:c>
      <x:c r="T45" s="82" t="str">
        <x:v>条件性</x:v>
      </x:c>
      <x:c r="U45" s="82" t="str">
        <x:v>条件性</x:v>
      </x:c>
      <x:c r="V45" s="82" t="str">
        <x:v>条件性</x:v>
      </x:c>
      <x:c r="W45" s="82" t="str">
        <x:v>是</x:v>
      </x:c>
      <x:c r="X45" s="82" t="str">
        <x:v>条件性</x:v>
      </x:c>
      <x:c r="Y45" s="68" t="str">
        <x:v>两支藏干通道向水集中</x:v>
      </x:c>
      <x:c r="Z45" s="68" t="str">
        <x:v>M04/M05已识别关系，柱位、完整度与参与对象已标准化</x:v>
      </x:c>
      <x:c r="AA45" s="68" t="str">
        <x:v>水有真实承载且无强力破坏；只生成方向不自动成化</x:v>
      </x:c>
      <x:c r="AB45" s="68" t="str">
        <x:v>亥子月、壬癸透出或申子辰水势相助</x:v>
      </x:c>
      <x:c r="AC45" s="68" t="str">
        <x:v>火土强、巳得令或巳申刑破作用占主导</x:v>
      </x:c>
      <x:c r="AD45" s="90" t="str">
        <x:v>水无根无势或同节点受更强冲会牵引</x:v>
      </x:c>
      <x:c r="AE45" s="68" t="str">
        <x:v>仅有趋向时标记合动或合绊，不改写两支全部性质</x:v>
      </x:c>
      <x:c r="AF45" s="84" t="str">
        <x:v>巳申六合只生成水向候选；水得令有根、壬癸透出且火土不过强时，水向才可明显。</x:v>
      </x:c>
      <x:c r="AG45" s="84" t="str">
        <x:v>巳申合的水向条件成立，水的有效通道增强；条件不足时须同时保留刑与破的叠加作用。</x:v>
      </x:c>
      <x:c r="AH45" s="82" t="str">
        <x:v>中等</x:v>
      </x:c>
      <x:c r="AI45" s="82" t="str">
        <x:v>现代综合</x:v>
      </x:c>
      <x:c r="AJ45" s="68" t="str">
        <x:v>六合化气在不同流派中条件差异较大，本库只保留条件性方向。参考：https://ctext.org/wiki.pl?chapter=435028&amp;if=gb&amp;remap=gb</x:v>
      </x:c>
      <x:c r="AK45" s="68" t="str">
        <x:v>巳申合的水向条件成立，水的有效通道增强；条件不足时须同时保留刑与破的叠加作用。</x:v>
      </x:c>
      <x:c r="AL45" s="90" t="str">
        <x:v>巳申同时见便只判化水而删除刑破</x:v>
      </x:c>
      <x:c r="AM45" s="82" t="str">
        <x:v>待验证</x:v>
      </x:c>
      <x:c r="AN45" s="82" t="str">
        <x:v>初审</x:v>
      </x:c>
      <x:c r="AO45" s="87" t="n">
        <x:v>46255</x:v>
      </x:c>
    </x:row>
    <x:row r="46">
      <x:c r="A46" s="72" t="str">
        <x:f>IF(OR(C46="",D46=""),"",B46&amp;"-"&amp;UPPER(C46)&amp;"-"&amp;TEXT(D46,"0000")&amp;"-"&amp;E46)</x:f>
        <x:v>M06-LIUHE-0040-V1.0</x:v>
      </x:c>
      <x:c r="B46" s="74" t="str">
        <x:v>M06</x:v>
      </x:c>
      <x:c r="C46" s="74" t="str">
        <x:v>LIUHE</x:v>
      </x:c>
      <x:c r="D46" s="79" t="n">
        <x:v>40</x:v>
      </x:c>
      <x:c r="E46" s="74" t="str">
        <x:v>V1.0</x:v>
      </x:c>
      <x:c r="F46" s="68" t="str">
        <x:v>午未合土的效应方向</x:v>
      </x:c>
      <x:c r="G46" s="82" t="str">
        <x:v>效应层</x:v>
      </x:c>
      <x:c r="H46" s="68" t="str">
        <x:v>M05-LIUHE-0006-V1.0</x:v>
      </x:c>
      <x:c r="I46" s="82" t="str">
        <x:v>六合</x:v>
      </x:c>
      <x:c r="J46" s="68" t="str">
        <x:v>午、未</x:v>
      </x:c>
      <x:c r="K46" s="68" t="str">
        <x:v>午、未及土</x:v>
      </x:c>
      <x:c r="L46" s="82" t="str">
        <x:v>逐对象比较得令、得地、得势与相对强弱</x:v>
      </x:c>
      <x:c r="M46" s="68" t="str">
        <x:v>记录参与对象中谁得令、谁受季节支持</x:v>
      </x:c>
      <x:c r="N46" s="68" t="str">
        <x:v>记录明干及相关藏干的透出通道</x:v>
      </x:c>
      <x:c r="O46" s="68" t="str">
        <x:v>记录各对象根气层级、数量及是否唯一根</x:v>
      </x:c>
      <x:c r="P46" s="68" t="str">
        <x:v>检查同节点的合、冲、刑、害、破、会及生克</x:v>
      </x:c>
      <x:c r="Q46" s="82" t="str">
        <x:v>合化</x:v>
      </x:c>
      <x:c r="R46" s="82" t="str">
        <x:v>转化</x:v>
      </x:c>
      <x:c r="S46" s="82" t="str">
        <x:v>强</x:v>
      </x:c>
      <x:c r="T46" s="82" t="str">
        <x:v>条件性</x:v>
      </x:c>
      <x:c r="U46" s="82" t="str">
        <x:v>条件性</x:v>
      </x:c>
      <x:c r="V46" s="82" t="str">
        <x:v>条件性</x:v>
      </x:c>
      <x:c r="W46" s="82" t="str">
        <x:v>是</x:v>
      </x:c>
      <x:c r="X46" s="82" t="str">
        <x:v>条件性</x:v>
      </x:c>
      <x:c r="Y46" s="68" t="str">
        <x:v>两支藏干通道向土集中</x:v>
      </x:c>
      <x:c r="Z46" s="68" t="str">
        <x:v>M04/M05已识别关系，柱位、完整度与参与对象已标准化</x:v>
      </x:c>
      <x:c r="AA46" s="68" t="str">
        <x:v>土有真实承载且无强力破坏；只生成方向不自动成化</x:v>
      </x:c>
      <x:c r="AB46" s="68" t="str">
        <x:v>火土得令、戊己透出或未土有根承接</x:v>
      </x:c>
      <x:c r="AC46" s="68" t="str">
        <x:v>水旺灭火、木旺克土或午未同时入更强会局</x:v>
      </x:c>
      <x:c r="AD46" s="90" t="str">
        <x:v>土无根无势或同节点受更强冲会牵引</x:v>
      </x:c>
      <x:c r="AE46" s="68" t="str">
        <x:v>仅有趋向时标记合动或合绊，不改写两支全部性质</x:v>
      </x:c>
      <x:c r="AF46" s="84" t="str">
        <x:v>午未六合只生成土向候选；火能生土、土得根透出且水木不过强时，土向才可明显。</x:v>
      </x:c>
      <x:c r="AG46" s="84" t="str">
        <x:v>午未合的土向条件成立，火土连续通道增强；条件不足时按合绊处理。</x:v>
      </x:c>
      <x:c r="AH46" s="82" t="str">
        <x:v>中等</x:v>
      </x:c>
      <x:c r="AI46" s="82" t="str">
        <x:v>现代综合</x:v>
      </x:c>
      <x:c r="AJ46" s="68" t="str">
        <x:v>六合化气在不同流派中条件差异较大，本库只保留条件性方向。参考：https://ctext.org/wiki.pl?chapter=435028&amp;if=gb&amp;remap=gb</x:v>
      </x:c>
      <x:c r="AK46" s="68" t="str">
        <x:v>午未合的土向条件成立，火土连续通道增强；条件不足时按合绊处理。</x:v>
      </x:c>
      <x:c r="AL46" s="90" t="str">
        <x:v>午未一见即把午火完全化土</x:v>
      </x:c>
      <x:c r="AM46" s="82" t="str">
        <x:v>待验证</x:v>
      </x:c>
      <x:c r="AN46" s="82" t="str">
        <x:v>初审</x:v>
      </x:c>
      <x:c r="AO46" s="87" t="n">
        <x:v>46255</x:v>
      </x:c>
    </x:row>
    <x:row r="47">
      <x:c r="A47" s="72" t="str">
        <x:f>IF(OR(C47="",D47=""),"",B47&amp;"-"&amp;UPPER(C47)&amp;"-"&amp;TEXT(D47,"0000")&amp;"-"&amp;E47)</x:f>
        <x:v>M06-LIUHE-0041-V1.0</x:v>
      </x:c>
      <x:c r="B47" s="74" t="str">
        <x:v>M06</x:v>
      </x:c>
      <x:c r="C47" s="74" t="str">
        <x:v>LIUHE</x:v>
      </x:c>
      <x:c r="D47" s="79" t="n">
        <x:v>41</x:v>
      </x:c>
      <x:c r="E47" s="74" t="str">
        <x:v>V1.0</x:v>
      </x:c>
      <x:c r="F47" s="68" t="str">
        <x:v>六合可缓冲相冲但必须比较节点归属</x:v>
      </x:c>
      <x:c r="G47" s="82" t="str">
        <x:v>效应层</x:v>
      </x:c>
      <x:c r="H47" s="68" t="str">
        <x:v>M05-OVER-0068-V1.0—M05-OVER-0069-V1.0；M05-CHONG-0027-V1.0—M05-CHONG-0032-V1.0</x:v>
      </x:c>
      <x:c r="I47" s="82" t="str">
        <x:v>其他</x:v>
      </x:c>
      <x:c r="J47" s="68" t="str">
        <x:v>同一地支同时参与六合与六冲</x:v>
      </x:c>
      <x:c r="K47" s="68" t="str">
        <x:v>共享地支</x:v>
      </x:c>
      <x:c r="L47" s="82" t="str">
        <x:v>逐对象比较得令、得地、得势与相对强弱</x:v>
      </x:c>
      <x:c r="M47" s="68" t="str">
        <x:v>记录参与对象中谁得令、谁受季节支持</x:v>
      </x:c>
      <x:c r="N47" s="68" t="str">
        <x:v>记录明干及相关藏干的透出通道</x:v>
      </x:c>
      <x:c r="O47" s="68" t="str">
        <x:v>记录各对象根气层级、数量及是否唯一根</x:v>
      </x:c>
      <x:c r="P47" s="68" t="str">
        <x:v>必须同时列出合、冲并比较月令、位置、成势与第三支</x:v>
      </x:c>
      <x:c r="Q47" s="82" t="str">
        <x:v>阻断</x:v>
      </x:c>
      <x:c r="R47" s="82" t="str">
        <x:v>条件性</x:v>
      </x:c>
      <x:c r="S47" s="82" t="str">
        <x:v>中</x:v>
      </x:c>
      <x:c r="T47" s="82" t="str">
        <x:v>否</x:v>
      </x:c>
      <x:c r="U47" s="82" t="str">
        <x:v>条件性</x:v>
      </x:c>
      <x:c r="V47" s="82" t="str">
        <x:v>条件性</x:v>
      </x:c>
      <x:c r="W47" s="82" t="str">
        <x:v>条件性</x:v>
      </x:c>
      <x:c r="X47" s="82" t="str">
        <x:v>条件性</x:v>
      </x:c>
      <x:c r="Y47" s="68" t="str">
        <x:v>可能改变原有生克路径，须在M12复核</x:v>
      </x:c>
      <x:c r="Z47" s="68" t="str">
        <x:v>M04/M05已识别关系，柱位、完整度与参与对象已标准化</x:v>
      </x:c>
      <x:c r="AA47" s="68" t="str">
        <x:v>共享节点只能有一个主导归属，需明确主关系</x:v>
      </x:c>
      <x:c r="AB47" s="68" t="str">
        <x:v>关系相邻、得令、得地、成势且无强力反制</x:v>
      </x:c>
      <x:c r="AC47" s="68" t="str">
        <x:v>遥隔、争合、节点被其他关系牵制或双方各有强根</x:v>
      </x:c>
      <x:c r="AD47" s="90" t="str">
        <x:v>仅凭关系名称不得直接判性质改变、归零或固定吉凶</x:v>
      </x:c>
      <x:c r="AE47" s="68" t="str">
        <x:v>特殊格局或岁运动态补齐须另建实例重新裁决</x:v>
      </x:c>
      <x:c r="AF47" s="84" t="str">
        <x:v>六合可能牵住冲的一方而缓冲冲势，但只有合关系更强且共享节点确实转入合局时才成立。</x:v>
      </x:c>
      <x:c r="AG47" s="84" t="str">
        <x:v>合与冲并见：若合强于冲，可缓冲冲势；若冲强或节点另有主局，则不能视为解冲。</x:v>
      </x:c>
      <x:c r="AH47" s="82" t="str">
        <x:v>中等</x:v>
      </x:c>
      <x:c r="AI47" s="82" t="str">
        <x:v>现代综合</x:v>
      </x:c>
      <x:c r="AJ47" s="68" t="str">
        <x:v>会合能否解刑冲是条件性问题。参考：https://ctext.org/wiki.pl?chapter=974137&amp;if=gb&amp;remap=gb</x:v>
      </x:c>
      <x:c r="AK47" s="68" t="str">
        <x:v>子午冲同时丑合子，丑子合强且无巳酉会丑时，子午冲可缓冲。</x:v>
      </x:c>
      <x:c r="AL47" s="90" t="str">
        <x:v>只要有六合就一律删除同节点的六冲。</x:v>
      </x:c>
      <x:c r="AM47" s="82" t="str">
        <x:v>采用</x:v>
      </x:c>
      <x:c r="AN47" s="82" t="str">
        <x:v>初审</x:v>
      </x:c>
      <x:c r="AO47" s="87" t="n">
        <x:v>46255</x:v>
      </x:c>
    </x:row>
    <x:row r="48">
      <x:c r="A48" s="72" t="str">
        <x:f>IF(OR(C48="",D48=""),"",B48&amp;"-"&amp;UPPER(C48)&amp;"-"&amp;TEXT(D48,"0000")&amp;"-"&amp;E48)</x:f>
        <x:v>M06-LIUHE-0042-V1.0</x:v>
      </x:c>
      <x:c r="B48" s="74" t="str">
        <x:v>M06</x:v>
      </x:c>
      <x:c r="C48" s="74" t="str">
        <x:v>LIUHE</x:v>
      </x:c>
      <x:c r="D48" s="79" t="n">
        <x:v>42</x:v>
      </x:c>
      <x:c r="E48" s="74" t="str">
        <x:v>V1.0</x:v>
      </x:c>
      <x:c r="F48" s="68" t="str">
        <x:v>强冲或强会可松解原有六合</x:v>
      </x:c>
      <x:c r="G48" s="82" t="str">
        <x:v>效应层</x:v>
      </x:c>
      <x:c r="H48" s="68" t="str">
        <x:v>M05-LIUHE-0001-V1.0—M05-LIUHE-0006-V1.0；M05-OVER-0068-V1.0</x:v>
      </x:c>
      <x:c r="I48" s="82" t="str">
        <x:v>其他</x:v>
      </x:c>
      <x:c r="J48" s="68" t="str">
        <x:v>六合节点及其冲会关系</x:v>
      </x:c>
      <x:c r="K48" s="68" t="str">
        <x:v>原六合稳定性</x:v>
      </x:c>
      <x:c r="L48" s="82" t="str">
        <x:v>逐对象比较得令、得地、得势与相对强弱</x:v>
      </x:c>
      <x:c r="M48" s="68" t="str">
        <x:v>记录参与对象中谁得令、谁受季节支持</x:v>
      </x:c>
      <x:c r="N48" s="68" t="str">
        <x:v>记录明干及相关藏干的透出通道</x:v>
      </x:c>
      <x:c r="O48" s="68" t="str">
        <x:v>记录各对象根气层级、数量及是否唯一根</x:v>
      </x:c>
      <x:c r="P48" s="68" t="str">
        <x:v>检查同节点的合、冲、刑、害、破、会及生克</x:v>
      </x:c>
      <x:c r="Q48" s="82" t="str">
        <x:v>冲散</x:v>
      </x:c>
      <x:c r="R48" s="82" t="str">
        <x:v>减弱</x:v>
      </x:c>
      <x:c r="S48" s="82" t="str">
        <x:v>强</x:v>
      </x:c>
      <x:c r="T48" s="82" t="str">
        <x:v>条件性</x:v>
      </x:c>
      <x:c r="U48" s="82" t="str">
        <x:v>条件性</x:v>
      </x:c>
      <x:c r="V48" s="82" t="str">
        <x:v>条件性</x:v>
      </x:c>
      <x:c r="W48" s="82" t="str">
        <x:v>否</x:v>
      </x:c>
      <x:c r="X48" s="82" t="str">
        <x:v>是</x:v>
      </x:c>
      <x:c r="Y48" s="68" t="str">
        <x:v>可能改变原有生克路径，须在M12复核</x:v>
      </x:c>
      <x:c r="Z48" s="68" t="str">
        <x:v>M04/M05已识别关系，柱位、完整度与参与对象已标准化</x:v>
      </x:c>
      <x:c r="AA48" s="68" t="str">
        <x:v>冲会关系须真实成势并直接作用共享节点</x:v>
      </x:c>
      <x:c r="AB48" s="68" t="str">
        <x:v>关系相邻、得令、得地、成势且无强力反制</x:v>
      </x:c>
      <x:c r="AC48" s="68" t="str">
        <x:v>遥隔、争合、节点被其他关系牵制或双方各有强根</x:v>
      </x:c>
      <x:c r="AD48" s="90" t="str">
        <x:v>仅凭关系名称不得直接判性质改变、归零或固定吉凶</x:v>
      </x:c>
      <x:c r="AE48" s="68" t="str">
        <x:v>特殊格局或岁运动态补齐须另建实例重新裁决</x:v>
      </x:c>
      <x:c r="AF48" s="84" t="str">
        <x:v>六合一方被更强冲击、三合或三会牵走时，原六合可能松解、降级或暂时失效。</x:v>
      </x:c>
      <x:c r="AG48" s="84" t="str">
        <x:v>原六合受到更强关系争夺，合的稳定性下降；需按主导关系重算。</x:v>
      </x:c>
      <x:c r="AH48" s="82" t="str">
        <x:v>较高</x:v>
      </x:c>
      <x:c r="AI48" s="82" t="str">
        <x:v>现代综合</x:v>
      </x:c>
      <x:c r="AJ48" s="68" t="str">
        <x:v>关系优先级不能预设，须看具体结构。参考：https://ctext.org/wiki.pl?chapter=974137&amp;if=gb&amp;remap=gb</x:v>
      </x:c>
      <x:c r="AK48" s="68" t="str">
        <x:v>丑与子合，但丑同时被巳酉会金强牵，子丑合可被削弱。</x:v>
      </x:c>
      <x:c r="AL48" s="90" t="str">
        <x:v>六合已见便永久有效，后续任何冲会都不影响。</x:v>
      </x:c>
      <x:c r="AM48" s="82" t="str">
        <x:v>采用</x:v>
      </x:c>
      <x:c r="AN48" s="82" t="str">
        <x:v>初审</x:v>
      </x:c>
      <x:c r="AO48" s="87" t="n">
        <x:v>46255</x:v>
      </x:c>
    </x:row>
    <x:row r="49">
      <x:c r="A49" s="72" t="str">
        <x:f>IF(OR(C49="",D49=""),"",B49&amp;"-"&amp;UPPER(C49)&amp;"-"&amp;TEXT(D49,"0000")&amp;"-"&amp;E49)</x:f>
        <x:v>M06-SANHE-0043-V1.0</x:v>
      </x:c>
      <x:c r="B49" s="74" t="str">
        <x:v>M06</x:v>
      </x:c>
      <x:c r="C49" s="74" t="str">
        <x:v>SANHE</x:v>
      </x:c>
      <x:c r="D49" s="79" t="n">
        <x:v>43</x:v>
      </x:c>
      <x:c r="E49" s="74" t="str">
        <x:v>V1.0</x:v>
      </x:c>
      <x:c r="F49" s="68" t="str">
        <x:v>三合三支齐全不等于成局</x:v>
      </x:c>
      <x:c r="G49" s="82" t="str">
        <x:v>效应层</x:v>
      </x:c>
      <x:c r="H49" s="68" t="str">
        <x:v>M05-SANHE-0007-V1.0—M05-SANHE-0010-V1.0；M05-BOUND-0075-V1.0</x:v>
      </x:c>
      <x:c r="I49" s="82" t="str">
        <x:v>三合</x:v>
      </x:c>
      <x:c r="J49" s="68" t="str">
        <x:v>任一完整三合组</x:v>
      </x:c>
      <x:c r="K49" s="68" t="str">
        <x:v>三支与候选局气</x:v>
      </x:c>
      <x:c r="L49" s="82" t="str">
        <x:v>逐对象比较得令、得地、得势与相对强弱</x:v>
      </x:c>
      <x:c r="M49" s="68" t="str">
        <x:v>记录参与对象中谁得令、谁受季节支持</x:v>
      </x:c>
      <x:c r="N49" s="68" t="str">
        <x:v>记录明干及相关藏干的透出通道</x:v>
      </x:c>
      <x:c r="O49" s="68" t="str">
        <x:v>记录各对象根气层级、数量及是否唯一根</x:v>
      </x:c>
      <x:c r="P49" s="68" t="str">
        <x:v>检查同节点的合、冲、刑、害、破、会及生克</x:v>
      </x:c>
      <x:c r="Q49" s="82" t="str">
        <x:v>合动</x:v>
      </x:c>
      <x:c r="R49" s="82" t="str">
        <x:v>条件性</x:v>
      </x:c>
      <x:c r="S49" s="82" t="str">
        <x:v>中</x:v>
      </x:c>
      <x:c r="T49" s="82" t="str">
        <x:v>条件性</x:v>
      </x:c>
      <x:c r="U49" s="82" t="str">
        <x:v>条件性</x:v>
      </x:c>
      <x:c r="V49" s="82" t="str">
        <x:v>条件性</x:v>
      </x:c>
      <x:c r="W49" s="82" t="str">
        <x:v>条件性</x:v>
      </x:c>
      <x:c r="X49" s="82" t="str">
        <x:v>条件性</x:v>
      </x:c>
      <x:c r="Y49" s="68" t="str">
        <x:v>三支可能形成连续生旺墓通道</x:v>
      </x:c>
      <x:c r="Z49" s="68" t="str">
        <x:v>M04/M05已识别关系，柱位、完整度与参与对象已标准化</x:v>
      </x:c>
      <x:c r="AA49" s="68" t="str">
        <x:v>M05确认三支齐全；中神与局气有实际承载</x:v>
      </x:c>
      <x:c r="AB49" s="68" t="str">
        <x:v>关系相邻、得令、得地、成势且无强力反制</x:v>
      </x:c>
      <x:c r="AC49" s="68" t="str">
        <x:v>遥隔、争合、节点被其他关系牵制或双方各有强根</x:v>
      </x:c>
      <x:c r="AD49" s="90" t="str">
        <x:v>仅凭关系名称不得直接判性质改变、归零或固定吉凶</x:v>
      </x:c>
      <x:c r="AE49" s="68" t="str">
        <x:v>特殊格局或岁运动态补齐须另建实例重新裁决</x:v>
      </x:c>
      <x:c r="AF49" s="84" t="str">
        <x:v>三支齐全只满足结构完整；成局还须中神、月令、透干、根气与反制条件。</x:v>
      </x:c>
      <x:c r="AG49" s="84" t="str">
        <x:v>三合结构完整，当前生成成局候选；未验证条件前不改写三支性质。</x:v>
      </x:c>
      <x:c r="AH49" s="82" t="str">
        <x:v>较高</x:v>
      </x:c>
      <x:c r="AI49" s="82" t="str">
        <x:v>现代综合</x:v>
      </x:c>
      <x:c r="AJ49" s="68" t="str">
        <x:v>三合配对事实与成局需分层。参考：https://zh.wikisource.org/zh-hans/淵海子平；https://zh.wikisource.org/wiki/三命通會/卷二</x:v>
      </x:c>
      <x:c r="AK49" s="68" t="str">
        <x:v>申子辰齐全但火土强、水弱，先记候选而不判水局。</x:v>
      </x:c>
      <x:c r="AL49" s="90" t="str">
        <x:v>三支齐全即无条件成局。</x:v>
      </x:c>
      <x:c r="AM49" s="82" t="str">
        <x:v>采用</x:v>
      </x:c>
      <x:c r="AN49" s="82" t="str">
        <x:v>初审</x:v>
      </x:c>
      <x:c r="AO49" s="87" t="n">
        <x:v>46255</x:v>
      </x:c>
    </x:row>
    <x:row r="50">
      <x:c r="A50" s="72" t="str">
        <x:f>IF(OR(C50="",D50=""),"",B50&amp;"-"&amp;UPPER(C50)&amp;"-"&amp;TEXT(D50,"0000")&amp;"-"&amp;E50)</x:f>
        <x:v>M06-SANHE-0044-V1.0</x:v>
      </x:c>
      <x:c r="B50" s="74" t="str">
        <x:v>M06</x:v>
      </x:c>
      <x:c r="C50" s="74" t="str">
        <x:v>SANHE</x:v>
      </x:c>
      <x:c r="D50" s="79" t="n">
        <x:v>44</x:v>
      </x:c>
      <x:c r="E50" s="74" t="str">
        <x:v>V1.0</x:v>
      </x:c>
      <x:c r="F50" s="68" t="str">
        <x:v>申子辰三合水局的成立方向</x:v>
      </x:c>
      <x:c r="G50" s="82" t="str">
        <x:v>效应层</x:v>
      </x:c>
      <x:c r="H50" s="68" t="str">
        <x:v>M05-SANHE-0007-V1.0</x:v>
      </x:c>
      <x:c r="I50" s="82" t="str">
        <x:v>三合</x:v>
      </x:c>
      <x:c r="J50" s="68" t="str">
        <x:v>申、子、辰</x:v>
      </x:c>
      <x:c r="K50" s="68" t="str">
        <x:v>三支及水局</x:v>
      </x:c>
      <x:c r="L50" s="82" t="str">
        <x:v>逐对象比较得令、得地、得势与相对强弱</x:v>
      </x:c>
      <x:c r="M50" s="68" t="str">
        <x:v>记录参与对象中谁得令、谁受季节支持</x:v>
      </x:c>
      <x:c r="N50" s="68" t="str">
        <x:v>记录明干及相关藏干的透出通道</x:v>
      </x:c>
      <x:c r="O50" s="68" t="str">
        <x:v>记录各对象根气层级、数量及是否唯一根</x:v>
      </x:c>
      <x:c r="P50" s="68" t="str">
        <x:v>检查同节点的合、冲、刑、害、破、会及生克</x:v>
      </x:c>
      <x:c r="Q50" s="82" t="str">
        <x:v>合化</x:v>
      </x:c>
      <x:c r="R50" s="82" t="str">
        <x:v>转化</x:v>
      </x:c>
      <x:c r="S50" s="82" t="str">
        <x:v>决定性</x:v>
      </x:c>
      <x:c r="T50" s="82" t="str">
        <x:v>条件性</x:v>
      </x:c>
      <x:c r="U50" s="82" t="str">
        <x:v>条件性</x:v>
      </x:c>
      <x:c r="V50" s="82" t="str">
        <x:v>条件性</x:v>
      </x:c>
      <x:c r="W50" s="82" t="str">
        <x:v>是</x:v>
      </x:c>
      <x:c r="X50" s="82" t="str">
        <x:v>条件性</x:v>
      </x:c>
      <x:c r="Y50" s="68" t="str">
        <x:v>三支生旺墓路径向水汇聚</x:v>
      </x:c>
      <x:c r="Z50" s="68" t="str">
        <x:v>M04/M05已识别关系，柱位、完整度与参与对象已标准化</x:v>
      </x:c>
      <x:c r="AA50" s="68" t="str">
        <x:v>三支齐全；中神子有效；水得时得地或成势</x:v>
      </x:c>
      <x:c r="AB50" s="68" t="str">
        <x:v>子得令或壬癸透出，申生水、辰蓄水且无强土火</x:v>
      </x:c>
      <x:c r="AC50" s="68" t="str">
        <x:v>土火强、子受重冲或三支之一被强合会牵走</x:v>
      </x:c>
      <x:c r="AD50" s="90" t="str">
        <x:v>中神子被重冲或水受强力反制且无救</x:v>
      </x:c>
      <x:c r="AE50" s="68" t="str">
        <x:v>成局不足时保留局气趋向，不把三支全部改性</x:v>
      </x:c>
      <x:c r="AF50" s="84" t="str">
        <x:v>申子辰齐全且水得令、子中神有力、壬癸透出或水根成势时，水局效应明显。</x:v>
      </x:c>
      <x:c r="AG50" s="84" t="str">
        <x:v>申子辰水局条件成立，三支主要有效通道向水集中。</x:v>
      </x:c>
      <x:c r="AH50" s="82" t="str">
        <x:v>较高</x:v>
      </x:c>
      <x:c r="AI50" s="82" t="str">
        <x:v>子平格局</x:v>
      </x:c>
      <x:c r="AJ50" s="68" t="str">
        <x:v>三合以生、旺、墓三支围绕中神成局，仍需结合月令与气势。参考：https://zh.wikisource.org/zh-hans/淵海子平；https://zh.wikisource.org/wiki/三命通會/卷二</x:v>
      </x:c>
      <x:c r="AK50" s="68" t="str">
        <x:v>申子辰水局条件成立，三支主要有效通道向水集中。</x:v>
      </x:c>
      <x:c r="AL50" s="90" t="str">
        <x:v>申、子、辰齐全但水无势仍直接判完整水局。</x:v>
      </x:c>
      <x:c r="AM50" s="82" t="str">
        <x:v>采用</x:v>
      </x:c>
      <x:c r="AN50" s="82" t="str">
        <x:v>初审</x:v>
      </x:c>
      <x:c r="AO50" s="87" t="n">
        <x:v>46255</x:v>
      </x:c>
    </x:row>
    <x:row r="51">
      <x:c r="A51" s="72" t="str">
        <x:f>IF(OR(C51="",D51=""),"",B51&amp;"-"&amp;UPPER(C51)&amp;"-"&amp;TEXT(D51,"0000")&amp;"-"&amp;E51)</x:f>
        <x:v>M06-SANHE-0045-V1.0</x:v>
      </x:c>
      <x:c r="B51" s="74" t="str">
        <x:v>M06</x:v>
      </x:c>
      <x:c r="C51" s="74" t="str">
        <x:v>SANHE</x:v>
      </x:c>
      <x:c r="D51" s="79" t="n">
        <x:v>45</x:v>
      </x:c>
      <x:c r="E51" s="74" t="str">
        <x:v>V1.0</x:v>
      </x:c>
      <x:c r="F51" s="68" t="str">
        <x:v>亥卯未三合木局的成立方向</x:v>
      </x:c>
      <x:c r="G51" s="82" t="str">
        <x:v>效应层</x:v>
      </x:c>
      <x:c r="H51" s="68" t="str">
        <x:v>M05-SANHE-0008-V1.0</x:v>
      </x:c>
      <x:c r="I51" s="82" t="str">
        <x:v>三合</x:v>
      </x:c>
      <x:c r="J51" s="68" t="str">
        <x:v>亥、卯、未</x:v>
      </x:c>
      <x:c r="K51" s="68" t="str">
        <x:v>三支及木局</x:v>
      </x:c>
      <x:c r="L51" s="82" t="str">
        <x:v>逐对象比较得令、得地、得势与相对强弱</x:v>
      </x:c>
      <x:c r="M51" s="68" t="str">
        <x:v>记录参与对象中谁得令、谁受季节支持</x:v>
      </x:c>
      <x:c r="N51" s="68" t="str">
        <x:v>记录明干及相关藏干的透出通道</x:v>
      </x:c>
      <x:c r="O51" s="68" t="str">
        <x:v>记录各对象根气层级、数量及是否唯一根</x:v>
      </x:c>
      <x:c r="P51" s="68" t="str">
        <x:v>检查同节点的合、冲、刑、害、破、会及生克</x:v>
      </x:c>
      <x:c r="Q51" s="82" t="str">
        <x:v>合化</x:v>
      </x:c>
      <x:c r="R51" s="82" t="str">
        <x:v>转化</x:v>
      </x:c>
      <x:c r="S51" s="82" t="str">
        <x:v>决定性</x:v>
      </x:c>
      <x:c r="T51" s="82" t="str">
        <x:v>条件性</x:v>
      </x:c>
      <x:c r="U51" s="82" t="str">
        <x:v>条件性</x:v>
      </x:c>
      <x:c r="V51" s="82" t="str">
        <x:v>条件性</x:v>
      </x:c>
      <x:c r="W51" s="82" t="str">
        <x:v>是</x:v>
      </x:c>
      <x:c r="X51" s="82" t="str">
        <x:v>条件性</x:v>
      </x:c>
      <x:c r="Y51" s="68" t="str">
        <x:v>三支生旺墓路径向木汇聚</x:v>
      </x:c>
      <x:c r="Z51" s="68" t="str">
        <x:v>M04/M05已识别关系，柱位、完整度与参与对象已标准化</x:v>
      </x:c>
      <x:c r="AA51" s="68" t="str">
        <x:v>三支齐全；中神卯有效；木得时得地或成势</x:v>
      </x:c>
      <x:c r="AB51" s="68" t="str">
        <x:v>卯得令或甲乙透出，亥生木、未藏木且无强金</x:v>
      </x:c>
      <x:c r="AC51" s="68" t="str">
        <x:v>金强、卯受重冲或三支之一被强关系牵走</x:v>
      </x:c>
      <x:c r="AD51" s="90" t="str">
        <x:v>中神卯被重冲或木受强力反制且无救</x:v>
      </x:c>
      <x:c r="AE51" s="68" t="str">
        <x:v>成局不足时保留局气趋向，不把三支全部改性</x:v>
      </x:c>
      <x:c r="AF51" s="84" t="str">
        <x:v>亥卯未齐全且木得令、卯中神有力、甲乙透出或木根成势时，木局效应明显。</x:v>
      </x:c>
      <x:c r="AG51" s="84" t="str">
        <x:v>亥卯未木局条件成立，三支主要有效通道向木集中。</x:v>
      </x:c>
      <x:c r="AH51" s="82" t="str">
        <x:v>较高</x:v>
      </x:c>
      <x:c r="AI51" s="82" t="str">
        <x:v>子平格局</x:v>
      </x:c>
      <x:c r="AJ51" s="68" t="str">
        <x:v>三合以生、旺、墓三支围绕中神成局，仍需结合月令与气势。参考：https://zh.wikisource.org/zh-hans/淵海子平；https://zh.wikisource.org/wiki/三命通會/卷二</x:v>
      </x:c>
      <x:c r="AK51" s="68" t="str">
        <x:v>亥卯未木局条件成立，三支主要有效通道向木集中。</x:v>
      </x:c>
      <x:c r="AL51" s="90" t="str">
        <x:v>亥、卯、未齐全但木无势仍直接判完整木局。</x:v>
      </x:c>
      <x:c r="AM51" s="82" t="str">
        <x:v>采用</x:v>
      </x:c>
      <x:c r="AN51" s="82" t="str">
        <x:v>初审</x:v>
      </x:c>
      <x:c r="AO51" s="87" t="n">
        <x:v>46255</x:v>
      </x:c>
    </x:row>
    <x:row r="52">
      <x:c r="A52" s="72" t="str">
        <x:f>IF(OR(C52="",D52=""),"",B52&amp;"-"&amp;UPPER(C52)&amp;"-"&amp;TEXT(D52,"0000")&amp;"-"&amp;E52)</x:f>
        <x:v>M06-SANHE-0046-V1.0</x:v>
      </x:c>
      <x:c r="B52" s="74" t="str">
        <x:v>M06</x:v>
      </x:c>
      <x:c r="C52" s="74" t="str">
        <x:v>SANHE</x:v>
      </x:c>
      <x:c r="D52" s="79" t="n">
        <x:v>46</x:v>
      </x:c>
      <x:c r="E52" s="74" t="str">
        <x:v>V1.0</x:v>
      </x:c>
      <x:c r="F52" s="68" t="str">
        <x:v>寅午戌三合火局的成立方向</x:v>
      </x:c>
      <x:c r="G52" s="82" t="str">
        <x:v>效应层</x:v>
      </x:c>
      <x:c r="H52" s="68" t="str">
        <x:v>M05-SANHE-0009-V1.0</x:v>
      </x:c>
      <x:c r="I52" s="82" t="str">
        <x:v>三合</x:v>
      </x:c>
      <x:c r="J52" s="68" t="str">
        <x:v>寅、午、戌</x:v>
      </x:c>
      <x:c r="K52" s="68" t="str">
        <x:v>三支及火局</x:v>
      </x:c>
      <x:c r="L52" s="82" t="str">
        <x:v>逐对象比较得令、得地、得势与相对强弱</x:v>
      </x:c>
      <x:c r="M52" s="68" t="str">
        <x:v>记录参与对象中谁得令、谁受季节支持</x:v>
      </x:c>
      <x:c r="N52" s="68" t="str">
        <x:v>记录明干及相关藏干的透出通道</x:v>
      </x:c>
      <x:c r="O52" s="68" t="str">
        <x:v>记录各对象根气层级、数量及是否唯一根</x:v>
      </x:c>
      <x:c r="P52" s="68" t="str">
        <x:v>检查同节点的合、冲、刑、害、破、会及生克</x:v>
      </x:c>
      <x:c r="Q52" s="82" t="str">
        <x:v>合化</x:v>
      </x:c>
      <x:c r="R52" s="82" t="str">
        <x:v>转化</x:v>
      </x:c>
      <x:c r="S52" s="82" t="str">
        <x:v>决定性</x:v>
      </x:c>
      <x:c r="T52" s="82" t="str">
        <x:v>条件性</x:v>
      </x:c>
      <x:c r="U52" s="82" t="str">
        <x:v>条件性</x:v>
      </x:c>
      <x:c r="V52" s="82" t="str">
        <x:v>条件性</x:v>
      </x:c>
      <x:c r="W52" s="82" t="str">
        <x:v>是</x:v>
      </x:c>
      <x:c r="X52" s="82" t="str">
        <x:v>条件性</x:v>
      </x:c>
      <x:c r="Y52" s="68" t="str">
        <x:v>三支生旺墓路径向火汇聚</x:v>
      </x:c>
      <x:c r="Z52" s="68" t="str">
        <x:v>M04/M05已识别关系，柱位、完整度与参与对象已标准化</x:v>
      </x:c>
      <x:c r="AA52" s="68" t="str">
        <x:v>三支齐全；中神午有效；火得时得地或成势</x:v>
      </x:c>
      <x:c r="AB52" s="68" t="str">
        <x:v>午得令或丙丁透出，寅生火、戌藏火且无强水</x:v>
      </x:c>
      <x:c r="AC52" s="68" t="str">
        <x:v>水强、午受重冲或三支之一被强关系牵走</x:v>
      </x:c>
      <x:c r="AD52" s="90" t="str">
        <x:v>中神午被重冲或火受强力反制且无救</x:v>
      </x:c>
      <x:c r="AE52" s="68" t="str">
        <x:v>成局不足时保留局气趋向，不把三支全部改性</x:v>
      </x:c>
      <x:c r="AF52" s="84" t="str">
        <x:v>寅午戌齐全且火得令、午中神有力、丙丁透出或火根成势时，火局效应明显。</x:v>
      </x:c>
      <x:c r="AG52" s="84" t="str">
        <x:v>寅午戌火局条件成立，三支主要有效通道向火集中。</x:v>
      </x:c>
      <x:c r="AH52" s="82" t="str">
        <x:v>较高</x:v>
      </x:c>
      <x:c r="AI52" s="82" t="str">
        <x:v>子平格局</x:v>
      </x:c>
      <x:c r="AJ52" s="68" t="str">
        <x:v>三合以生、旺、墓三支围绕中神成局，仍需结合月令与气势。参考：https://zh.wikisource.org/zh-hans/淵海子平；https://zh.wikisource.org/wiki/三命通會/卷二</x:v>
      </x:c>
      <x:c r="AK52" s="68" t="str">
        <x:v>寅午戌火局条件成立，三支主要有效通道向火集中。</x:v>
      </x:c>
      <x:c r="AL52" s="90" t="str">
        <x:v>寅、午、戌齐全但火无势仍直接判完整火局。</x:v>
      </x:c>
      <x:c r="AM52" s="82" t="str">
        <x:v>采用</x:v>
      </x:c>
      <x:c r="AN52" s="82" t="str">
        <x:v>初审</x:v>
      </x:c>
      <x:c r="AO52" s="87" t="n">
        <x:v>46255</x:v>
      </x:c>
    </x:row>
    <x:row r="53">
      <x:c r="A53" s="72" t="str">
        <x:f>IF(OR(C53="",D53=""),"",B53&amp;"-"&amp;UPPER(C53)&amp;"-"&amp;TEXT(D53,"0000")&amp;"-"&amp;E53)</x:f>
        <x:v>M06-SANHE-0047-V1.0</x:v>
      </x:c>
      <x:c r="B53" s="74" t="str">
        <x:v>M06</x:v>
      </x:c>
      <x:c r="C53" s="74" t="str">
        <x:v>SANHE</x:v>
      </x:c>
      <x:c r="D53" s="79" t="n">
        <x:v>47</x:v>
      </x:c>
      <x:c r="E53" s="74" t="str">
        <x:v>V1.0</x:v>
      </x:c>
      <x:c r="F53" s="68" t="str">
        <x:v>巳酉丑三合金局的成立方向</x:v>
      </x:c>
      <x:c r="G53" s="82" t="str">
        <x:v>效应层</x:v>
      </x:c>
      <x:c r="H53" s="68" t="str">
        <x:v>M05-SANHE-0010-V1.0</x:v>
      </x:c>
      <x:c r="I53" s="82" t="str">
        <x:v>三合</x:v>
      </x:c>
      <x:c r="J53" s="68" t="str">
        <x:v>巳、酉、丑</x:v>
      </x:c>
      <x:c r="K53" s="68" t="str">
        <x:v>三支及金局</x:v>
      </x:c>
      <x:c r="L53" s="82" t="str">
        <x:v>逐对象比较得令、得地、得势与相对强弱</x:v>
      </x:c>
      <x:c r="M53" s="68" t="str">
        <x:v>记录参与对象中谁得令、谁受季节支持</x:v>
      </x:c>
      <x:c r="N53" s="68" t="str">
        <x:v>记录明干及相关藏干的透出通道</x:v>
      </x:c>
      <x:c r="O53" s="68" t="str">
        <x:v>记录各对象根气层级、数量及是否唯一根</x:v>
      </x:c>
      <x:c r="P53" s="68" t="str">
        <x:v>检查同节点的合、冲、刑、害、破、会及生克</x:v>
      </x:c>
      <x:c r="Q53" s="82" t="str">
        <x:v>合化</x:v>
      </x:c>
      <x:c r="R53" s="82" t="str">
        <x:v>转化</x:v>
      </x:c>
      <x:c r="S53" s="82" t="str">
        <x:v>决定性</x:v>
      </x:c>
      <x:c r="T53" s="82" t="str">
        <x:v>条件性</x:v>
      </x:c>
      <x:c r="U53" s="82" t="str">
        <x:v>条件性</x:v>
      </x:c>
      <x:c r="V53" s="82" t="str">
        <x:v>条件性</x:v>
      </x:c>
      <x:c r="W53" s="82" t="str">
        <x:v>是</x:v>
      </x:c>
      <x:c r="X53" s="82" t="str">
        <x:v>条件性</x:v>
      </x:c>
      <x:c r="Y53" s="68" t="str">
        <x:v>三支生旺墓路径向金汇聚</x:v>
      </x:c>
      <x:c r="Z53" s="68" t="str">
        <x:v>M04/M05已识别关系，柱位、完整度与参与对象已标准化</x:v>
      </x:c>
      <x:c r="AA53" s="68" t="str">
        <x:v>三支齐全；中神酉有效；金得时得地或成势</x:v>
      </x:c>
      <x:c r="AB53" s="68" t="str">
        <x:v>酉得令或庚辛透出，丑生藏金且无强火</x:v>
      </x:c>
      <x:c r="AC53" s="68" t="str">
        <x:v>火强、酉受重冲或三支之一被强关系牵走</x:v>
      </x:c>
      <x:c r="AD53" s="90" t="str">
        <x:v>中神酉被重冲或金受强力反制且无救</x:v>
      </x:c>
      <x:c r="AE53" s="68" t="str">
        <x:v>成局不足时保留局气趋向，不把三支全部改性</x:v>
      </x:c>
      <x:c r="AF53" s="84" t="str">
        <x:v>巳酉丑齐全且金得令、酉中神有力、庚辛透出或金根成势时，金局效应明显。</x:v>
      </x:c>
      <x:c r="AG53" s="84" t="str">
        <x:v>巳酉丑金局条件成立，三支主要有效通道向金集中。</x:v>
      </x:c>
      <x:c r="AH53" s="82" t="str">
        <x:v>较高</x:v>
      </x:c>
      <x:c r="AI53" s="82" t="str">
        <x:v>子平格局</x:v>
      </x:c>
      <x:c r="AJ53" s="68" t="str">
        <x:v>三合以生、旺、墓三支围绕中神成局，仍需结合月令与气势。参考：https://zh.wikisource.org/zh-hans/淵海子平；https://zh.wikisource.org/wiki/三命通會/卷二</x:v>
      </x:c>
      <x:c r="AK53" s="68" t="str">
        <x:v>巳酉丑金局条件成立，三支主要有效通道向金集中。</x:v>
      </x:c>
      <x:c r="AL53" s="90" t="str">
        <x:v>巳、酉、丑齐全但金无势仍直接判完整金局。</x:v>
      </x:c>
      <x:c r="AM53" s="82" t="str">
        <x:v>采用</x:v>
      </x:c>
      <x:c r="AN53" s="82" t="str">
        <x:v>初审</x:v>
      </x:c>
      <x:c r="AO53" s="87" t="n">
        <x:v>46255</x:v>
      </x:c>
    </x:row>
    <x:row r="54">
      <x:c r="A54" s="72" t="str">
        <x:f>IF(OR(C54="",D54=""),"",B54&amp;"-"&amp;UPPER(C54)&amp;"-"&amp;TEXT(D54,"0000")&amp;"-"&amp;E54)</x:f>
        <x:v>M06-SANHE-0048-V1.0</x:v>
      </x:c>
      <x:c r="B54" s="74" t="str">
        <x:v>M06</x:v>
      </x:c>
      <x:c r="C54" s="74" t="str">
        <x:v>SANHE</x:v>
      </x:c>
      <x:c r="D54" s="79" t="n">
        <x:v>48</x:v>
      </x:c>
      <x:c r="E54" s="74" t="str">
        <x:v>V1.0</x:v>
      </x:c>
      <x:c r="F54" s="68" t="str">
        <x:v>三合中神得令是成局强证据</x:v>
      </x:c>
      <x:c r="G54" s="82" t="str">
        <x:v>效应层</x:v>
      </x:c>
      <x:c r="H54" s="68" t="str">
        <x:v>M05-SANHE-0007-V1.0—M05-SANHE-0010-V1.0</x:v>
      </x:c>
      <x:c r="I54" s="82" t="str">
        <x:v>三合</x:v>
      </x:c>
      <x:c r="J54" s="68" t="str">
        <x:v>完整三合组</x:v>
      </x:c>
      <x:c r="K54" s="68" t="str">
        <x:v>中神</x:v>
      </x:c>
      <x:c r="L54" s="82" t="str">
        <x:v>逐对象比较得令、得地、得势与相对强弱</x:v>
      </x:c>
      <x:c r="M54" s="68" t="str">
        <x:v>记录参与对象中谁得令、谁受季节支持</x:v>
      </x:c>
      <x:c r="N54" s="68" t="str">
        <x:v>记录明干及相关藏干的透出通道</x:v>
      </x:c>
      <x:c r="O54" s="68" t="str">
        <x:v>记录各对象根气层级、数量及是否唯一根</x:v>
      </x:c>
      <x:c r="P54" s="68" t="str">
        <x:v>检查同节点的合、冲、刑、害、破、会及生克</x:v>
      </x:c>
      <x:c r="Q54" s="82" t="str">
        <x:v>激活</x:v>
      </x:c>
      <x:c r="R54" s="82" t="str">
        <x:v>增强</x:v>
      </x:c>
      <x:c r="S54" s="82" t="str">
        <x:v>强</x:v>
      </x:c>
      <x:c r="T54" s="82" t="str">
        <x:v>否</x:v>
      </x:c>
      <x:c r="U54" s="82" t="str">
        <x:v>条件性</x:v>
      </x:c>
      <x:c r="V54" s="82" t="str">
        <x:v>条件性</x:v>
      </x:c>
      <x:c r="W54" s="82" t="str">
        <x:v>是</x:v>
      </x:c>
      <x:c r="X54" s="82" t="str">
        <x:v>否</x:v>
      </x:c>
      <x:c r="Y54" s="68" t="str">
        <x:v>可能改变原有生克路径，须在M12复核</x:v>
      </x:c>
      <x:c r="Z54" s="68" t="str">
        <x:v>M04/M05已识别关系，柱位、完整度与参与对象已标准化</x:v>
      </x:c>
      <x:c r="AA54" s="68" t="str">
        <x:v>中神确为月支或获得等效强势支持</x:v>
      </x:c>
      <x:c r="AB54" s="68" t="str">
        <x:v>关系相邻、得令、得地、成势且无强力反制</x:v>
      </x:c>
      <x:c r="AC54" s="68" t="str">
        <x:v>遥隔、争合、节点被其他关系牵制或双方各有强根</x:v>
      </x:c>
      <x:c r="AD54" s="90" t="str">
        <x:v>仅凭关系名称不得直接判性质改变、归零或固定吉凶</x:v>
      </x:c>
      <x:c r="AE54" s="68" t="str">
        <x:v>特殊格局或岁运动态补齐须另建实例重新裁决</x:v>
      </x:c>
      <x:c r="AF54" s="84" t="str">
        <x:v>中神临月令或得强根时，局气获得核心支点，三合效应显著增强。</x:v>
      </x:c>
      <x:c r="AG54" s="84" t="str">
        <x:v>三合中神得令，成局证据显著增强；仍需检查反制和节点被牵走。</x:v>
      </x:c>
      <x:c r="AH54" s="82" t="str">
        <x:v>较高</x:v>
      </x:c>
      <x:c r="AI54" s="82" t="str">
        <x:v>现代综合</x:v>
      </x:c>
      <x:c r="AJ54" s="68" t="str">
        <x:v>中神是三合局的核心旺点。参考：https://zh.wikisource.org/zh-hans/淵海子平；https://zh.wikisource.org/wiki/三命通會/卷二</x:v>
      </x:c>
      <x:c r="AK54" s="68" t="str">
        <x:v>申子辰中子临月令，水局强度上调。</x:v>
      </x:c>
      <x:c r="AL54" s="90" t="str">
        <x:v>中神被重冲且无根仍只因三支齐全判强局。</x:v>
      </x:c>
      <x:c r="AM54" s="82" t="str">
        <x:v>采用</x:v>
      </x:c>
      <x:c r="AN54" s="82" t="str">
        <x:v>初审</x:v>
      </x:c>
      <x:c r="AO54" s="87" t="n">
        <x:v>46255</x:v>
      </x:c>
    </x:row>
    <x:row r="55">
      <x:c r="A55" s="72" t="str">
        <x:f>IF(OR(C55="",D55=""),"",B55&amp;"-"&amp;UPPER(C55)&amp;"-"&amp;TEXT(D55,"0000")&amp;"-"&amp;E55)</x:f>
        <x:v>M06-SANHE-0049-V1.0</x:v>
      </x:c>
      <x:c r="B55" s="74" t="str">
        <x:v>M06</x:v>
      </x:c>
      <x:c r="C55" s="74" t="str">
        <x:v>SANHE</x:v>
      </x:c>
      <x:c r="D55" s="79" t="n">
        <x:v>49</x:v>
      </x:c>
      <x:c r="E55" s="74" t="str">
        <x:v>V1.0</x:v>
      </x:c>
      <x:c r="F55" s="68" t="str">
        <x:v>局气透干与同党使三合由支内走向全局</x:v>
      </x:c>
      <x:c r="G55" s="82" t="str">
        <x:v>效应层</x:v>
      </x:c>
      <x:c r="H55" s="68" t="str">
        <x:v>M05-SANHE-0007-V1.0—M05-SANHE-0010-V1.0</x:v>
      </x:c>
      <x:c r="I55" s="82" t="str">
        <x:v>三合</x:v>
      </x:c>
      <x:c r="J55" s="68" t="str">
        <x:v>完整三合组及局气天干</x:v>
      </x:c>
      <x:c r="K55" s="68" t="str">
        <x:v>候选局气</x:v>
      </x:c>
      <x:c r="L55" s="82" t="str">
        <x:v>逐对象比较得令、得地、得势与相对强弱</x:v>
      </x:c>
      <x:c r="M55" s="68" t="str">
        <x:v>记录参与对象中谁得令、谁受季节支持</x:v>
      </x:c>
      <x:c r="N55" s="68" t="str">
        <x:v>局气天干明透且有根</x:v>
      </x:c>
      <x:c r="O55" s="68" t="str">
        <x:v>记录各对象根气层级、数量及是否唯一根</x:v>
      </x:c>
      <x:c r="P55" s="68" t="str">
        <x:v>检查同节点的合、冲、刑、害、破、会及生克</x:v>
      </x:c>
      <x:c r="Q55" s="82" t="str">
        <x:v>激活</x:v>
      </x:c>
      <x:c r="R55" s="82" t="str">
        <x:v>增强</x:v>
      </x:c>
      <x:c r="S55" s="82" t="str">
        <x:v>强</x:v>
      </x:c>
      <x:c r="T55" s="82" t="str">
        <x:v>否</x:v>
      </x:c>
      <x:c r="U55" s="82" t="str">
        <x:v>条件性</x:v>
      </x:c>
      <x:c r="V55" s="82" t="str">
        <x:v>条件性</x:v>
      </x:c>
      <x:c r="W55" s="82" t="str">
        <x:v>是</x:v>
      </x:c>
      <x:c r="X55" s="82" t="str">
        <x:v>否</x:v>
      </x:c>
      <x:c r="Y55" s="68" t="str">
        <x:v>可能改变原有生克路径，须在M12复核</x:v>
      </x:c>
      <x:c r="Z55" s="68" t="str">
        <x:v>M04/M05已识别关系，柱位、完整度与参与对象已标准化</x:v>
      </x:c>
      <x:c r="AA55" s="68" t="str">
        <x:v>必须指向具体作用对象，并比较各方力量、根气和通道</x:v>
      </x:c>
      <x:c r="AB55" s="68" t="str">
        <x:v>关系相邻、得令、得地、成势且无强力反制</x:v>
      </x:c>
      <x:c r="AC55" s="68" t="str">
        <x:v>遥隔、争合、节点被其他关系牵制或双方各有强根</x:v>
      </x:c>
      <x:c r="AD55" s="90" t="str">
        <x:v>仅凭关系名称不得直接判性质改变、归零或固定吉凶</x:v>
      </x:c>
      <x:c r="AE55" s="68" t="str">
        <x:v>特殊格局或岁运动态补齐须另建实例重新裁决</x:v>
      </x:c>
      <x:c r="AF55" s="84" t="str">
        <x:v>局气透出天干并有同党时，地支集合获得外显通道，成局与功能输出更稳定。</x:v>
      </x:c>
      <x:c r="AG55" s="84" t="str">
        <x:v>局气透干有根，三合从支内趋向全局发挥。</x:v>
      </x:c>
      <x:c r="AH55" s="82" t="str">
        <x:v>较高</x:v>
      </x:c>
      <x:c r="AI55" s="82" t="str">
        <x:v>现代综合</x:v>
      </x:c>
      <x:c r="AJ55" s="68" t="str">
        <x:v>透干使支内局气有明确作用通道。参考：https://zh.wikisource.org/zh-hans/淵海子平；https://zh.wikisource.org/wiki/三命通會/卷二</x:v>
      </x:c>
      <x:c r="AK55" s="68" t="str">
        <x:v>亥卯未齐全且甲乙透出有根，木局功能更明确。</x:v>
      </x:c>
      <x:c r="AL55" s="90" t="str">
        <x:v>局气未透未成势却按全局决定性处理。</x:v>
      </x:c>
      <x:c r="AM55" s="82" t="str">
        <x:v>采用</x:v>
      </x:c>
      <x:c r="AN55" s="82" t="str">
        <x:v>初审</x:v>
      </x:c>
      <x:c r="AO55" s="87" t="n">
        <x:v>46255</x:v>
      </x:c>
    </x:row>
    <x:row r="56">
      <x:c r="A56" s="72" t="str">
        <x:f>IF(OR(C56="",D56=""),"",B56&amp;"-"&amp;UPPER(C56)&amp;"-"&amp;TEXT(D56,"0000")&amp;"-"&amp;E56)</x:f>
        <x:v>M06-SANHE-0050-V1.0</x:v>
      </x:c>
      <x:c r="B56" s="74" t="str">
        <x:v>M06</x:v>
      </x:c>
      <x:c r="C56" s="74" t="str">
        <x:v>SANHE</x:v>
      </x:c>
      <x:c r="D56" s="79" t="n">
        <x:v>50</x:v>
      </x:c>
      <x:c r="E56" s="74" t="str">
        <x:v>V1.0</x:v>
      </x:c>
      <x:c r="F56" s="68" t="str">
        <x:v>三合成员被强冲强合牵走会破坏局气连续性</x:v>
      </x:c>
      <x:c r="G56" s="82" t="str">
        <x:v>效应层</x:v>
      </x:c>
      <x:c r="H56" s="68" t="str">
        <x:v>M05-SANHE-0007-V1.0—M05-SANHE-0010-V1.0；M05-OVER-0068-V1.0</x:v>
      </x:c>
      <x:c r="I56" s="82" t="str">
        <x:v>其他</x:v>
      </x:c>
      <x:c r="J56" s="68" t="str">
        <x:v>三合成员及竞争关系</x:v>
      </x:c>
      <x:c r="K56" s="68" t="str">
        <x:v>三合局连续性</x:v>
      </x:c>
      <x:c r="L56" s="82" t="str">
        <x:v>逐对象比较得令、得地、得势与相对强弱</x:v>
      </x:c>
      <x:c r="M56" s="68" t="str">
        <x:v>记录参与对象中谁得令、谁受季节支持</x:v>
      </x:c>
      <x:c r="N56" s="68" t="str">
        <x:v>记录明干及相关藏干的透出通道</x:v>
      </x:c>
      <x:c r="O56" s="68" t="str">
        <x:v>记录各对象根气层级、数量及是否唯一根</x:v>
      </x:c>
      <x:c r="P56" s="68" t="str">
        <x:v>检查同节点的合、冲、刑、害、破、会及生克</x:v>
      </x:c>
      <x:c r="Q56" s="82" t="str">
        <x:v>阻断</x:v>
      </x:c>
      <x:c r="R56" s="82" t="str">
        <x:v>减弱</x:v>
      </x:c>
      <x:c r="S56" s="82" t="str">
        <x:v>强</x:v>
      </x:c>
      <x:c r="T56" s="82" t="str">
        <x:v>条件性</x:v>
      </x:c>
      <x:c r="U56" s="82" t="str">
        <x:v>条件性</x:v>
      </x:c>
      <x:c r="V56" s="82" t="str">
        <x:v>条件性</x:v>
      </x:c>
      <x:c r="W56" s="82" t="str">
        <x:v>否</x:v>
      </x:c>
      <x:c r="X56" s="82" t="str">
        <x:v>是</x:v>
      </x:c>
      <x:c r="Y56" s="68" t="str">
        <x:v>可能改变原有生克路径，须在M12复核</x:v>
      </x:c>
      <x:c r="Z56" s="68" t="str">
        <x:v>M04/M05已识别关系，柱位、完整度与参与对象已标准化</x:v>
      </x:c>
      <x:c r="AA56" s="68" t="str">
        <x:v>竞争关系真实成势并作用于关键成员</x:v>
      </x:c>
      <x:c r="AB56" s="68" t="str">
        <x:v>关系相邻、得令、得地、成势且无强力反制</x:v>
      </x:c>
      <x:c r="AC56" s="68" t="str">
        <x:v>遥隔、争合、节点被其他关系牵制或双方各有强根</x:v>
      </x:c>
      <x:c r="AD56" s="90" t="str">
        <x:v>仅凭关系名称不得直接判性质改变、归零或固定吉凶</x:v>
      </x:c>
      <x:c r="AE56" s="68" t="str">
        <x:v>特殊格局或岁运动态补齐须另建实例重新裁决</x:v>
      </x:c>
      <x:c r="AF56" s="84" t="str">
        <x:v>三合任一关键成员，尤其中神，被强冲、强合或更强三会牵走时，生旺墓链中断，成局降级。</x:v>
      </x:c>
      <x:c r="AG56" s="84" t="str">
        <x:v>三合成员被更强关系牵制，局气连续性下降；完整成局暂不成立或降级。</x:v>
      </x:c>
      <x:c r="AH56" s="82" t="str">
        <x:v>较高</x:v>
      </x:c>
      <x:c r="AI56" s="82" t="str">
        <x:v>现代综合</x:v>
      </x:c>
      <x:c r="AJ56" s="68" t="str">
        <x:v>会合能否解冲或被冲破必须比较结构。参考：https://ctext.org/wiki.pl?chapter=974137&amp;if=gb&amp;remap=gb</x:v>
      </x:c>
      <x:c r="AK56" s="68" t="str">
        <x:v>申子辰中子受午强冲且无救，水局明显受损。</x:v>
      </x:c>
      <x:c r="AL56" s="90" t="str">
        <x:v>中神被重冲仍把三合局视为完全不变。</x:v>
      </x:c>
      <x:c r="AM56" s="82" t="str">
        <x:v>采用</x:v>
      </x:c>
      <x:c r="AN56" s="82" t="str">
        <x:v>初审</x:v>
      </x:c>
      <x:c r="AO56" s="87" t="n">
        <x:v>46255</x:v>
      </x:c>
    </x:row>
    <x:row r="57">
      <x:c r="A57" s="72" t="str">
        <x:f>IF(OR(C57="",D57=""),"",B57&amp;"-"&amp;UPPER(C57)&amp;"-"&amp;TEXT(D57,"0000")&amp;"-"&amp;E57)</x:f>
        <x:v>M06-SANHE-0051-V1.0</x:v>
      </x:c>
      <x:c r="B57" s="74" t="str">
        <x:v>M06</x:v>
      </x:c>
      <x:c r="C57" s="74" t="str">
        <x:v>SANHE</x:v>
      </x:c>
      <x:c r="D57" s="79" t="n">
        <x:v>51</x:v>
      </x:c>
      <x:c r="E57" s="74" t="str">
        <x:v>V1.0</x:v>
      </x:c>
      <x:c r="F57" s="68" t="str">
        <x:v>三合成局后原支本气不必全部归零</x:v>
      </x:c>
      <x:c r="G57" s="82" t="str">
        <x:v>效应层</x:v>
      </x:c>
      <x:c r="H57" s="68" t="str">
        <x:v>M05-SANHE-0007-V1.0—M05-SANHE-0010-V1.0</x:v>
      </x:c>
      <x:c r="I57" s="82" t="str">
        <x:v>三合</x:v>
      </x:c>
      <x:c r="J57" s="68" t="str">
        <x:v>已验证成局的三支</x:v>
      </x:c>
      <x:c r="K57" s="68" t="str">
        <x:v>各支原始本气与藏干</x:v>
      </x:c>
      <x:c r="L57" s="82" t="str">
        <x:v>逐对象比较得令、得地、得势与相对强弱</x:v>
      </x:c>
      <x:c r="M57" s="68" t="str">
        <x:v>记录参与对象中谁得令、谁受季节支持</x:v>
      </x:c>
      <x:c r="N57" s="68" t="str">
        <x:v>记录明干及相关藏干的透出通道</x:v>
      </x:c>
      <x:c r="O57" s="68" t="str">
        <x:v>记录各对象根气层级、数量及是否唯一根</x:v>
      </x:c>
      <x:c r="P57" s="68" t="str">
        <x:v>检查同节点的合、冲、刑、害、破、会及生克</x:v>
      </x:c>
      <x:c r="Q57" s="82" t="str">
        <x:v>合化</x:v>
      </x:c>
      <x:c r="R57" s="82" t="str">
        <x:v>转化</x:v>
      </x:c>
      <x:c r="S57" s="82" t="str">
        <x:v>决定性</x:v>
      </x:c>
      <x:c r="T57" s="82" t="str">
        <x:v>条件性</x:v>
      </x:c>
      <x:c r="U57" s="82" t="str">
        <x:v>条件性</x:v>
      </x:c>
      <x:c r="V57" s="82" t="str">
        <x:v>条件性</x:v>
      </x:c>
      <x:c r="W57" s="82" t="str">
        <x:v>是</x:v>
      </x:c>
      <x:c r="X57" s="82" t="str">
        <x:v>条件性</x:v>
      </x:c>
      <x:c r="Y57" s="68" t="str">
        <x:v>主通道改按局气处理，原始节点保留</x:v>
      </x:c>
      <x:c r="Z57" s="68" t="str">
        <x:v>M04/M05已识别关系，柱位、完整度与参与对象已标准化</x:v>
      </x:c>
      <x:c r="AA57" s="68" t="str">
        <x:v>必须指向具体作用对象，并比较各方力量、根气和通道</x:v>
      </x:c>
      <x:c r="AB57" s="68" t="str">
        <x:v>关系相邻、得令、得地、成势且无强力反制</x:v>
      </x:c>
      <x:c r="AC57" s="68" t="str">
        <x:v>遥隔、争合、节点被其他关系牵制或双方各有强根</x:v>
      </x:c>
      <x:c r="AD57" s="90" t="str">
        <x:v>仅凭关系名称不得直接判性质改变、归零或固定吉凶</x:v>
      </x:c>
      <x:c r="AE57" s="68" t="str">
        <x:v>特殊格局或岁运动态补齐须另建实例重新裁决</x:v>
      </x:c>
      <x:c r="AF57" s="84" t="str">
        <x:v>成局表示主要有效力量向局气集中；原支本气与藏干的原始存在仍保留，只有在严格从化时才大幅降级。</x:v>
      </x:c>
      <x:c r="AG57" s="84" t="str">
        <x:v>三合成局：有效力量以局气为主，同时保留各支原始节点供破局与岁运复核。</x:v>
      </x:c>
      <x:c r="AH57" s="82" t="str">
        <x:v>较高</x:v>
      </x:c>
      <x:c r="AI57" s="82" t="str">
        <x:v>现代综合</x:v>
      </x:c>
      <x:c r="AJ57" s="68" t="str">
        <x:v>区分原始存在与有效作用，避免把地支物理删除。参考：https://zh.wikisource.org/zh-hans/滴天髓</x:v>
      </x:c>
      <x:c r="AK57" s="68" t="str">
        <x:v>巳酉丑成金局，主要计金，但巳中丙戊原始信息仍保留。</x:v>
      </x:c>
      <x:c r="AL57" s="90" t="str">
        <x:v>成局后删除三支全部原藏干。</x:v>
      </x:c>
      <x:c r="AM57" s="82" t="str">
        <x:v>采用</x:v>
      </x:c>
      <x:c r="AN57" s="82" t="str">
        <x:v>初审</x:v>
      </x:c>
      <x:c r="AO57" s="87" t="n">
        <x:v>46255</x:v>
      </x:c>
    </x:row>
    <x:row r="58">
      <x:c r="A58" s="72" t="str">
        <x:f>IF(OR(C58="",D58=""),"",B58&amp;"-"&amp;UPPER(C58)&amp;"-"&amp;TEXT(D58,"0000")&amp;"-"&amp;E58)</x:f>
        <x:v>M06-SANHE-0052-V1.0</x:v>
      </x:c>
      <x:c r="B58" s="74" t="str">
        <x:v>M06</x:v>
      </x:c>
      <x:c r="C58" s="74" t="str">
        <x:v>SANHE</x:v>
      </x:c>
      <x:c r="D58" s="79" t="n">
        <x:v>52</x:v>
      </x:c>
      <x:c r="E58" s="74" t="str">
        <x:v>V1.0</x:v>
      </x:c>
      <x:c r="F58" s="68" t="str">
        <x:v>三合局气失令但成势时可条件成立</x:v>
      </x:c>
      <x:c r="G58" s="82" t="str">
        <x:v>效应层</x:v>
      </x:c>
      <x:c r="H58" s="68" t="str">
        <x:v>M05-SANHE-0007-V1.0—M05-SANHE-0010-V1.0</x:v>
      </x:c>
      <x:c r="I58" s="82" t="str">
        <x:v>三合</x:v>
      </x:c>
      <x:c r="J58" s="68" t="str">
        <x:v>完整三合组及失令局气</x:v>
      </x:c>
      <x:c r="K58" s="68" t="str">
        <x:v>候选局气</x:v>
      </x:c>
      <x:c r="L58" s="82" t="str">
        <x:v>逐对象比较得令、得地、得势与相对强弱</x:v>
      </x:c>
      <x:c r="M58" s="68" t="str">
        <x:v>记录参与对象中谁得令、谁受季节支持</x:v>
      </x:c>
      <x:c r="N58" s="68" t="str">
        <x:v>记录明干及相关藏干的透出通道</x:v>
      </x:c>
      <x:c r="O58" s="68" t="str">
        <x:v>记录各对象根气层级、数量及是否唯一根</x:v>
      </x:c>
      <x:c r="P58" s="68" t="str">
        <x:v>检查同节点的合、冲、刑、害、破、会及生克</x:v>
      </x:c>
      <x:c r="Q58" s="82" t="str">
        <x:v>合化</x:v>
      </x:c>
      <x:c r="R58" s="82" t="str">
        <x:v>转化</x:v>
      </x:c>
      <x:c r="S58" s="82" t="str">
        <x:v>强</x:v>
      </x:c>
      <x:c r="T58" s="82" t="str">
        <x:v>条件性</x:v>
      </x:c>
      <x:c r="U58" s="82" t="str">
        <x:v>条件性</x:v>
      </x:c>
      <x:c r="V58" s="82" t="str">
        <x:v>条件性</x:v>
      </x:c>
      <x:c r="W58" s="82" t="str">
        <x:v>是</x:v>
      </x:c>
      <x:c r="X58" s="82" t="str">
        <x:v>条件性</x:v>
      </x:c>
      <x:c r="Y58" s="68" t="str">
        <x:v>可能改变原有生克路径，须在M12复核</x:v>
      </x:c>
      <x:c r="Z58" s="68" t="str">
        <x:v>M04/M05已识别关系，柱位、完整度与参与对象已标准化</x:v>
      </x:c>
      <x:c r="AA58" s="68" t="str">
        <x:v>局气虽失令但有根、透干、同党与连续生扶，且无强反制</x:v>
      </x:c>
      <x:c r="AB58" s="68" t="str">
        <x:v>局气多根透干、三支均未受损</x:v>
      </x:c>
      <x:c r="AC58" s="68" t="str">
        <x:v>月令强烈反制局气或中神被冲</x:v>
      </x:c>
      <x:c r="AD58" s="90" t="str">
        <x:v>仅凭关系名称不得直接判性质改变、归零或固定吉凶</x:v>
      </x:c>
      <x:c r="AE58" s="68" t="str">
        <x:v>特殊格局或岁运动态补齐须另建实例重新裁决</x:v>
      </x:c>
      <x:c r="AF58" s="84" t="str">
        <x:v>局气虽不临月令，但三支齐全、局气透干有根并获连续生扶时，可条件性成局；强度低于得令成局。</x:v>
      </x:c>
      <x:c r="AG58" s="84" t="str">
        <x:v>三合局气失令但得地得势，判条件性成局；需明确其强度低于得令成局。</x:v>
      </x:c>
      <x:c r="AH58" s="82" t="str">
        <x:v>中等</x:v>
      </x:c>
      <x:c r="AI58" s="82" t="str">
        <x:v>现代综合</x:v>
      </x:c>
      <x:c r="AJ58" s="68" t="str">
        <x:v>月令是强证据而非唯一条件，仍须看全局气势。参考：https://zh.wikisource.org/zh-hans/滴天髓</x:v>
      </x:c>
      <x:c r="AK58" s="68" t="str">
        <x:v>亥卯未在非春月，但甲乙多透有根、金弱，可判条件性木局。</x:v>
      </x:c>
      <x:c r="AL58" s="90" t="str">
        <x:v>局气失令且无根无透，仅因三支齐全仍判强局。</x:v>
      </x:c>
      <x:c r="AM58" s="82" t="str">
        <x:v>采用</x:v>
      </x:c>
      <x:c r="AN58" s="82" t="str">
        <x:v>初审</x:v>
      </x:c>
      <x:c r="AO58" s="87" t="n">
        <x:v>46255</x:v>
      </x:c>
    </x:row>
    <x:row r="59">
      <x:c r="A59" s="72" t="str">
        <x:f>IF(OR(C59="",D59=""),"",B59&amp;"-"&amp;UPPER(C59)&amp;"-"&amp;TEXT(D59,"0000")&amp;"-"&amp;E59)</x:f>
        <x:v>M06-SANHUI-0053-V1.0</x:v>
      </x:c>
      <x:c r="B59" s="74" t="str">
        <x:v>M06</x:v>
      </x:c>
      <x:c r="C59" s="74" t="str">
        <x:v>SANHUI</x:v>
      </x:c>
      <x:c r="D59" s="79" t="n">
        <x:v>53</x:v>
      </x:c>
      <x:c r="E59" s="74" t="str">
        <x:v>V1.0</x:v>
      </x:c>
      <x:c r="F59" s="68" t="str">
        <x:v>三会三支齐全不等于会局完成</x:v>
      </x:c>
      <x:c r="G59" s="82" t="str">
        <x:v>效应层</x:v>
      </x:c>
      <x:c r="H59" s="68" t="str">
        <x:v>M05-SANHUI-0023-V1.0—M05-SANHUI-0026-V1.0；M05-BOUND-0076-V1.0</x:v>
      </x:c>
      <x:c r="I59" s="82" t="str">
        <x:v>三会</x:v>
      </x:c>
      <x:c r="J59" s="68" t="str">
        <x:v>任一完整三会组</x:v>
      </x:c>
      <x:c r="K59" s="68" t="str">
        <x:v>三支与方气</x:v>
      </x:c>
      <x:c r="L59" s="82" t="str">
        <x:v>逐对象比较得令、得地、得势与相对强弱</x:v>
      </x:c>
      <x:c r="M59" s="68" t="str">
        <x:v>记录参与对象中谁得令、谁受季节支持</x:v>
      </x:c>
      <x:c r="N59" s="68" t="str">
        <x:v>记录明干及相关藏干的透出通道</x:v>
      </x:c>
      <x:c r="O59" s="68" t="str">
        <x:v>记录各对象根气层级、数量及是否唯一根</x:v>
      </x:c>
      <x:c r="P59" s="68" t="str">
        <x:v>检查同节点的合、冲、刑、害、破、会及生克</x:v>
      </x:c>
      <x:c r="Q59" s="82" t="str">
        <x:v>合动</x:v>
      </x:c>
      <x:c r="R59" s="82" t="str">
        <x:v>条件性</x:v>
      </x:c>
      <x:c r="S59" s="82" t="str">
        <x:v>中</x:v>
      </x:c>
      <x:c r="T59" s="82" t="str">
        <x:v>条件性</x:v>
      </x:c>
      <x:c r="U59" s="82" t="str">
        <x:v>条件性</x:v>
      </x:c>
      <x:c r="V59" s="82" t="str">
        <x:v>条件性</x:v>
      </x:c>
      <x:c r="W59" s="82" t="str">
        <x:v>条件性</x:v>
      </x:c>
      <x:c r="X59" s="82" t="str">
        <x:v>条件性</x:v>
      </x:c>
      <x:c r="Y59" s="68" t="str">
        <x:v>相邻方位气可能形成连续成势</x:v>
      </x:c>
      <x:c r="Z59" s="68" t="str">
        <x:v>M04/M05已识别关系，柱位、完整度与参与对象已标准化</x:v>
      </x:c>
      <x:c r="AA59" s="68" t="str">
        <x:v>必须指向具体作用对象，并比较各方力量、根气和通道</x:v>
      </x:c>
      <x:c r="AB59" s="68" t="str">
        <x:v>关系相邻、得令、得地、成势且无强力反制</x:v>
      </x:c>
      <x:c r="AC59" s="68" t="str">
        <x:v>遥隔、争合、节点被其他关系牵制或双方各有强根</x:v>
      </x:c>
      <x:c r="AD59" s="90" t="str">
        <x:v>仅凭关系名称不得直接判性质改变、归零或固定吉凶</x:v>
      </x:c>
      <x:c r="AE59" s="68" t="str">
        <x:v>特殊格局或岁运动态补齐须另建实例重新裁决</x:v>
      </x:c>
      <x:c r="AF59" s="84" t="str">
        <x:v>三支齐全只确认方位集合；会局完成仍须方气得令、成势、透干且关键支未被强力牵走。</x:v>
      </x:c>
      <x:c r="AG59" s="84" t="str">
        <x:v>三会结构完整，生成方局候选；未验证气势前不改写三支全部性质。</x:v>
      </x:c>
      <x:c r="AH59" s="82" t="str">
        <x:v>较高</x:v>
      </x:c>
      <x:c r="AI59" s="82" t="str">
        <x:v>现代综合</x:v>
      </x:c>
      <x:c r="AJ59" s="68" t="str">
        <x:v>三会以方位季节气势为核心，结构完整与成局分开。参考：https://zh.wikisource.org/zh-hans/淵海子平；https://zh.wikisource.org/wiki/三命通會/卷二</x:v>
      </x:c>
      <x:c r="AK59" s="68" t="str">
        <x:v>寅卯辰齐全但金强木弱，先记候选。</x:v>
      </x:c>
      <x:c r="AL59" s="90" t="str">
        <x:v>三支齐全即无条件会成木局。</x:v>
      </x:c>
      <x:c r="AM59" s="82" t="str">
        <x:v>采用</x:v>
      </x:c>
      <x:c r="AN59" s="82" t="str">
        <x:v>初审</x:v>
      </x:c>
      <x:c r="AO59" s="87" t="n">
        <x:v>46255</x:v>
      </x:c>
    </x:row>
    <x:row r="60">
      <x:c r="A60" s="72" t="str">
        <x:f>IF(OR(C60="",D60=""),"",B60&amp;"-"&amp;UPPER(C60)&amp;"-"&amp;TEXT(D60,"0000")&amp;"-"&amp;E60)</x:f>
        <x:v>M06-SANHUI-0054-V1.0</x:v>
      </x:c>
      <x:c r="B60" s="74" t="str">
        <x:v>M06</x:v>
      </x:c>
      <x:c r="C60" s="74" t="str">
        <x:v>SANHUI</x:v>
      </x:c>
      <x:c r="D60" s="79" t="n">
        <x:v>54</x:v>
      </x:c>
      <x:c r="E60" s="74" t="str">
        <x:v>V1.0</x:v>
      </x:c>
      <x:c r="F60" s="68" t="str">
        <x:v>亥子丑三会水方的成立方向</x:v>
      </x:c>
      <x:c r="G60" s="82" t="str">
        <x:v>效应层</x:v>
      </x:c>
      <x:c r="H60" s="68" t="str">
        <x:v>M05-SANHUI-0023-V1.0</x:v>
      </x:c>
      <x:c r="I60" s="82" t="str">
        <x:v>三会</x:v>
      </x:c>
      <x:c r="J60" s="68" t="str">
        <x:v>亥、子、丑</x:v>
      </x:c>
      <x:c r="K60" s="68" t="str">
        <x:v>三支及水方局</x:v>
      </x:c>
      <x:c r="L60" s="82" t="str">
        <x:v>逐对象比较得令、得地、得势与相对强弱</x:v>
      </x:c>
      <x:c r="M60" s="68" t="str">
        <x:v>记录参与对象中谁得令、谁受季节支持</x:v>
      </x:c>
      <x:c r="N60" s="68" t="str">
        <x:v>记录明干及相关藏干的透出通道</x:v>
      </x:c>
      <x:c r="O60" s="68" t="str">
        <x:v>记录各对象根气层级、数量及是否唯一根</x:v>
      </x:c>
      <x:c r="P60" s="68" t="str">
        <x:v>检查同节点的合、冲、刑、害、破、会及生克</x:v>
      </x:c>
      <x:c r="Q60" s="82" t="str">
        <x:v>合化</x:v>
      </x:c>
      <x:c r="R60" s="82" t="str">
        <x:v>转化</x:v>
      </x:c>
      <x:c r="S60" s="82" t="str">
        <x:v>决定性</x:v>
      </x:c>
      <x:c r="T60" s="82" t="str">
        <x:v>条件性</x:v>
      </x:c>
      <x:c r="U60" s="82" t="str">
        <x:v>条件性</x:v>
      </x:c>
      <x:c r="V60" s="82" t="str">
        <x:v>条件性</x:v>
      </x:c>
      <x:c r="W60" s="82" t="str">
        <x:v>是</x:v>
      </x:c>
      <x:c r="X60" s="82" t="str">
        <x:v>条件性</x:v>
      </x:c>
      <x:c r="Y60" s="68" t="str">
        <x:v>三支连续方气向水集中</x:v>
      </x:c>
      <x:c r="Z60" s="68" t="str">
        <x:v>M04/M05已识别关系，柱位、完整度与参与对象已标准化</x:v>
      </x:c>
      <x:c r="AA60" s="68" t="str">
        <x:v>三支齐全，水得令成势并有透达通道</x:v>
      </x:c>
      <x:c r="AB60" s="68" t="str">
        <x:v>冬令、水透根强且无厚土阻断</x:v>
      </x:c>
      <x:c r="AC60" s="68" t="str">
        <x:v>水失令无根、关键支受重冲或被更强关系牵走</x:v>
      </x:c>
      <x:c r="AD60" s="90" t="str">
        <x:v>水被强力反制且无救；三支虽齐但方气不成势</x:v>
      </x:c>
      <x:c r="AE60" s="68" t="str">
        <x:v>仅有方气趋向时不改写三支全部性质</x:v>
      </x:c>
      <x:c r="AF60" s="84" t="str">
        <x:v>亥、子、丑齐全且冬令、水透根强且无厚土阻断时，水方局效应明显；否则只保留方气趋向。</x:v>
      </x:c>
      <x:c r="AG60" s="84" t="str">
        <x:v>亥、子、丑三会水方条件成立，三支主要有效力量向水集中。</x:v>
      </x:c>
      <x:c r="AH60" s="82" t="str">
        <x:v>较高</x:v>
      </x:c>
      <x:c r="AI60" s="82" t="str">
        <x:v>现代综合</x:v>
      </x:c>
      <x:c r="AJ60" s="68" t="str">
        <x:v>三会的核心是季节方气连续成势。参考：https://zh.wikisource.org/zh-hans/淵海子平；https://zh.wikisource.org/wiki/三命通會/卷二</x:v>
      </x:c>
      <x:c r="AK60" s="68" t="str">
        <x:v>亥、子、丑齐全并满足冬令、水透根强且无厚土阻断，可判水方局明显。</x:v>
      </x:c>
      <x:c r="AL60" s="90" t="str">
        <x:v>亥、子、丑齐全但水失令无势仍判决定性会局。</x:v>
      </x:c>
      <x:c r="AM60" s="82" t="str">
        <x:v>采用</x:v>
      </x:c>
      <x:c r="AN60" s="82" t="str">
        <x:v>初审</x:v>
      </x:c>
      <x:c r="AO60" s="87" t="n">
        <x:v>46255</x:v>
      </x:c>
    </x:row>
    <x:row r="61">
      <x:c r="A61" s="72" t="str">
        <x:f>IF(OR(C61="",D61=""),"",B61&amp;"-"&amp;UPPER(C61)&amp;"-"&amp;TEXT(D61,"0000")&amp;"-"&amp;E61)</x:f>
        <x:v>M06-SANHUI-0055-V1.0</x:v>
      </x:c>
      <x:c r="B61" s="74" t="str">
        <x:v>M06</x:v>
      </x:c>
      <x:c r="C61" s="74" t="str">
        <x:v>SANHUI</x:v>
      </x:c>
      <x:c r="D61" s="79" t="n">
        <x:v>55</x:v>
      </x:c>
      <x:c r="E61" s="74" t="str">
        <x:v>V1.0</x:v>
      </x:c>
      <x:c r="F61" s="68" t="str">
        <x:v>寅卯辰三会木方的成立方向</x:v>
      </x:c>
      <x:c r="G61" s="82" t="str">
        <x:v>效应层</x:v>
      </x:c>
      <x:c r="H61" s="68" t="str">
        <x:v>M05-SANHUI-0024-V1.0</x:v>
      </x:c>
      <x:c r="I61" s="82" t="str">
        <x:v>三会</x:v>
      </x:c>
      <x:c r="J61" s="68" t="str">
        <x:v>寅、卯、辰</x:v>
      </x:c>
      <x:c r="K61" s="68" t="str">
        <x:v>三支及木方局</x:v>
      </x:c>
      <x:c r="L61" s="82" t="str">
        <x:v>逐对象比较得令、得地、得势与相对强弱</x:v>
      </x:c>
      <x:c r="M61" s="68" t="str">
        <x:v>记录参与对象中谁得令、谁受季节支持</x:v>
      </x:c>
      <x:c r="N61" s="68" t="str">
        <x:v>记录明干及相关藏干的透出通道</x:v>
      </x:c>
      <x:c r="O61" s="68" t="str">
        <x:v>记录各对象根气层级、数量及是否唯一根</x:v>
      </x:c>
      <x:c r="P61" s="68" t="str">
        <x:v>检查同节点的合、冲、刑、害、破、会及生克</x:v>
      </x:c>
      <x:c r="Q61" s="82" t="str">
        <x:v>合化</x:v>
      </x:c>
      <x:c r="R61" s="82" t="str">
        <x:v>转化</x:v>
      </x:c>
      <x:c r="S61" s="82" t="str">
        <x:v>决定性</x:v>
      </x:c>
      <x:c r="T61" s="82" t="str">
        <x:v>条件性</x:v>
      </x:c>
      <x:c r="U61" s="82" t="str">
        <x:v>条件性</x:v>
      </x:c>
      <x:c r="V61" s="82" t="str">
        <x:v>条件性</x:v>
      </x:c>
      <x:c r="W61" s="82" t="str">
        <x:v>是</x:v>
      </x:c>
      <x:c r="X61" s="82" t="str">
        <x:v>条件性</x:v>
      </x:c>
      <x:c r="Y61" s="68" t="str">
        <x:v>三支连续方气向木集中</x:v>
      </x:c>
      <x:c r="Z61" s="68" t="str">
        <x:v>M04/M05已识别关系，柱位、完整度与参与对象已标准化</x:v>
      </x:c>
      <x:c r="AA61" s="68" t="str">
        <x:v>三支齐全，木得令成势并有透达通道</x:v>
      </x:c>
      <x:c r="AB61" s="68" t="str">
        <x:v>春令、木透根强且无强金伐木</x:v>
      </x:c>
      <x:c r="AC61" s="68" t="str">
        <x:v>木失令无根、关键支受重冲或被更强关系牵走</x:v>
      </x:c>
      <x:c r="AD61" s="90" t="str">
        <x:v>木被强力反制且无救；三支虽齐但方气不成势</x:v>
      </x:c>
      <x:c r="AE61" s="68" t="str">
        <x:v>仅有方气趋向时不改写三支全部性质</x:v>
      </x:c>
      <x:c r="AF61" s="84" t="str">
        <x:v>寅、卯、辰齐全且春令、木透根强且无强金伐木时，木方局效应明显；否则只保留方气趋向。</x:v>
      </x:c>
      <x:c r="AG61" s="84" t="str">
        <x:v>寅、卯、辰三会木方条件成立，三支主要有效力量向木集中。</x:v>
      </x:c>
      <x:c r="AH61" s="82" t="str">
        <x:v>较高</x:v>
      </x:c>
      <x:c r="AI61" s="82" t="str">
        <x:v>现代综合</x:v>
      </x:c>
      <x:c r="AJ61" s="68" t="str">
        <x:v>三会的核心是季节方气连续成势。参考：https://zh.wikisource.org/zh-hans/淵海子平；https://zh.wikisource.org/wiki/三命通會/卷二</x:v>
      </x:c>
      <x:c r="AK61" s="68" t="str">
        <x:v>寅、卯、辰齐全并满足春令、木透根强且无强金伐木，可判木方局明显。</x:v>
      </x:c>
      <x:c r="AL61" s="90" t="str">
        <x:v>寅、卯、辰齐全但木失令无势仍判决定性会局。</x:v>
      </x:c>
      <x:c r="AM61" s="82" t="str">
        <x:v>采用</x:v>
      </x:c>
      <x:c r="AN61" s="82" t="str">
        <x:v>初审</x:v>
      </x:c>
      <x:c r="AO61" s="87" t="n">
        <x:v>46255</x:v>
      </x:c>
    </x:row>
    <x:row r="62">
      <x:c r="A62" s="72" t="str">
        <x:f>IF(OR(C62="",D62=""),"",B62&amp;"-"&amp;UPPER(C62)&amp;"-"&amp;TEXT(D62,"0000")&amp;"-"&amp;E62)</x:f>
        <x:v>M06-SANHUI-0056-V1.0</x:v>
      </x:c>
      <x:c r="B62" s="74" t="str">
        <x:v>M06</x:v>
      </x:c>
      <x:c r="C62" s="74" t="str">
        <x:v>SANHUI</x:v>
      </x:c>
      <x:c r="D62" s="79" t="n">
        <x:v>56</x:v>
      </x:c>
      <x:c r="E62" s="74" t="str">
        <x:v>V1.0</x:v>
      </x:c>
      <x:c r="F62" s="68" t="str">
        <x:v>巳午未三会火方的成立方向</x:v>
      </x:c>
      <x:c r="G62" s="82" t="str">
        <x:v>效应层</x:v>
      </x:c>
      <x:c r="H62" s="68" t="str">
        <x:v>M05-SANHUI-0025-V1.0</x:v>
      </x:c>
      <x:c r="I62" s="82" t="str">
        <x:v>三会</x:v>
      </x:c>
      <x:c r="J62" s="68" t="str">
        <x:v>巳、午、未</x:v>
      </x:c>
      <x:c r="K62" s="68" t="str">
        <x:v>三支及火方局</x:v>
      </x:c>
      <x:c r="L62" s="82" t="str">
        <x:v>逐对象比较得令、得地、得势与相对强弱</x:v>
      </x:c>
      <x:c r="M62" s="68" t="str">
        <x:v>记录参与对象中谁得令、谁受季节支持</x:v>
      </x:c>
      <x:c r="N62" s="68" t="str">
        <x:v>记录明干及相关藏干的透出通道</x:v>
      </x:c>
      <x:c r="O62" s="68" t="str">
        <x:v>记录各对象根气层级、数量及是否唯一根</x:v>
      </x:c>
      <x:c r="P62" s="68" t="str">
        <x:v>检查同节点的合、冲、刑、害、破、会及生克</x:v>
      </x:c>
      <x:c r="Q62" s="82" t="str">
        <x:v>合化</x:v>
      </x:c>
      <x:c r="R62" s="82" t="str">
        <x:v>转化</x:v>
      </x:c>
      <x:c r="S62" s="82" t="str">
        <x:v>决定性</x:v>
      </x:c>
      <x:c r="T62" s="82" t="str">
        <x:v>条件性</x:v>
      </x:c>
      <x:c r="U62" s="82" t="str">
        <x:v>条件性</x:v>
      </x:c>
      <x:c r="V62" s="82" t="str">
        <x:v>条件性</x:v>
      </x:c>
      <x:c r="W62" s="82" t="str">
        <x:v>是</x:v>
      </x:c>
      <x:c r="X62" s="82" t="str">
        <x:v>条件性</x:v>
      </x:c>
      <x:c r="Y62" s="68" t="str">
        <x:v>三支连续方气向火集中</x:v>
      </x:c>
      <x:c r="Z62" s="68" t="str">
        <x:v>M04/M05已识别关系，柱位、完整度与参与对象已标准化</x:v>
      </x:c>
      <x:c r="AA62" s="68" t="str">
        <x:v>三支齐全，火得令成势并有透达通道</x:v>
      </x:c>
      <x:c r="AB62" s="68" t="str">
        <x:v>夏令、火透根强且无强水制火</x:v>
      </x:c>
      <x:c r="AC62" s="68" t="str">
        <x:v>火失令无根、关键支受重冲或被更强关系牵走</x:v>
      </x:c>
      <x:c r="AD62" s="90" t="str">
        <x:v>火被强力反制且无救；三支虽齐但方气不成势</x:v>
      </x:c>
      <x:c r="AE62" s="68" t="str">
        <x:v>仅有方气趋向时不改写三支全部性质</x:v>
      </x:c>
      <x:c r="AF62" s="84" t="str">
        <x:v>巳、午、未齐全且夏令、火透根强且无强水制火时，火方局效应明显；否则只保留方气趋向。</x:v>
      </x:c>
      <x:c r="AG62" s="84" t="str">
        <x:v>巳、午、未三会火方条件成立，三支主要有效力量向火集中。</x:v>
      </x:c>
      <x:c r="AH62" s="82" t="str">
        <x:v>较高</x:v>
      </x:c>
      <x:c r="AI62" s="82" t="str">
        <x:v>现代综合</x:v>
      </x:c>
      <x:c r="AJ62" s="68" t="str">
        <x:v>三会的核心是季节方气连续成势。参考：https://zh.wikisource.org/zh-hans/淵海子平；https://zh.wikisource.org/wiki/三命通會/卷二</x:v>
      </x:c>
      <x:c r="AK62" s="68" t="str">
        <x:v>巳、午、未齐全并满足夏令、火透根强且无强水制火，可判火方局明显。</x:v>
      </x:c>
      <x:c r="AL62" s="90" t="str">
        <x:v>巳、午、未齐全但火失令无势仍判决定性会局。</x:v>
      </x:c>
      <x:c r="AM62" s="82" t="str">
        <x:v>采用</x:v>
      </x:c>
      <x:c r="AN62" s="82" t="str">
        <x:v>初审</x:v>
      </x:c>
      <x:c r="AO62" s="87" t="n">
        <x:v>46255</x:v>
      </x:c>
    </x:row>
    <x:row r="63">
      <x:c r="A63" s="72" t="str">
        <x:f>IF(OR(C63="",D63=""),"",B63&amp;"-"&amp;UPPER(C63)&amp;"-"&amp;TEXT(D63,"0000")&amp;"-"&amp;E63)</x:f>
        <x:v>M06-SANHUI-0057-V1.0</x:v>
      </x:c>
      <x:c r="B63" s="74" t="str">
        <x:v>M06</x:v>
      </x:c>
      <x:c r="C63" s="74" t="str">
        <x:v>SANHUI</x:v>
      </x:c>
      <x:c r="D63" s="79" t="n">
        <x:v>57</x:v>
      </x:c>
      <x:c r="E63" s="74" t="str">
        <x:v>V1.0</x:v>
      </x:c>
      <x:c r="F63" s="68" t="str">
        <x:v>申酉戌三会金方的成立方向</x:v>
      </x:c>
      <x:c r="G63" s="82" t="str">
        <x:v>效应层</x:v>
      </x:c>
      <x:c r="H63" s="68" t="str">
        <x:v>M05-SANHUI-0026-V1.0</x:v>
      </x:c>
      <x:c r="I63" s="82" t="str">
        <x:v>三会</x:v>
      </x:c>
      <x:c r="J63" s="68" t="str">
        <x:v>申、酉、戌</x:v>
      </x:c>
      <x:c r="K63" s="68" t="str">
        <x:v>三支及金方局</x:v>
      </x:c>
      <x:c r="L63" s="82" t="str">
        <x:v>逐对象比较得令、得地、得势与相对强弱</x:v>
      </x:c>
      <x:c r="M63" s="68" t="str">
        <x:v>记录参与对象中谁得令、谁受季节支持</x:v>
      </x:c>
      <x:c r="N63" s="68" t="str">
        <x:v>记录明干及相关藏干的透出通道</x:v>
      </x:c>
      <x:c r="O63" s="68" t="str">
        <x:v>记录各对象根气层级、数量及是否唯一根</x:v>
      </x:c>
      <x:c r="P63" s="68" t="str">
        <x:v>检查同节点的合、冲、刑、害、破、会及生克</x:v>
      </x:c>
      <x:c r="Q63" s="82" t="str">
        <x:v>合化</x:v>
      </x:c>
      <x:c r="R63" s="82" t="str">
        <x:v>转化</x:v>
      </x:c>
      <x:c r="S63" s="82" t="str">
        <x:v>决定性</x:v>
      </x:c>
      <x:c r="T63" s="82" t="str">
        <x:v>条件性</x:v>
      </x:c>
      <x:c r="U63" s="82" t="str">
        <x:v>条件性</x:v>
      </x:c>
      <x:c r="V63" s="82" t="str">
        <x:v>条件性</x:v>
      </x:c>
      <x:c r="W63" s="82" t="str">
        <x:v>是</x:v>
      </x:c>
      <x:c r="X63" s="82" t="str">
        <x:v>条件性</x:v>
      </x:c>
      <x:c r="Y63" s="68" t="str">
        <x:v>三支连续方气向金集中</x:v>
      </x:c>
      <x:c r="Z63" s="68" t="str">
        <x:v>M04/M05已识别关系，柱位、完整度与参与对象已标准化</x:v>
      </x:c>
      <x:c r="AA63" s="68" t="str">
        <x:v>三支齐全，金得令成势并有透达通道</x:v>
      </x:c>
      <x:c r="AB63" s="68" t="str">
        <x:v>秋令、金透根强且无强火制金</x:v>
      </x:c>
      <x:c r="AC63" s="68" t="str">
        <x:v>金失令无根、关键支受重冲或被更强关系牵走</x:v>
      </x:c>
      <x:c r="AD63" s="90" t="str">
        <x:v>金被强力反制且无救；三支虽齐但方气不成势</x:v>
      </x:c>
      <x:c r="AE63" s="68" t="str">
        <x:v>仅有方气趋向时不改写三支全部性质</x:v>
      </x:c>
      <x:c r="AF63" s="84" t="str">
        <x:v>申、酉、戌齐全且秋令、金透根强且无强火制金时，金方局效应明显；否则只保留方气趋向。</x:v>
      </x:c>
      <x:c r="AG63" s="84" t="str">
        <x:v>申、酉、戌三会金方条件成立，三支主要有效力量向金集中。</x:v>
      </x:c>
      <x:c r="AH63" s="82" t="str">
        <x:v>较高</x:v>
      </x:c>
      <x:c r="AI63" s="82" t="str">
        <x:v>现代综合</x:v>
      </x:c>
      <x:c r="AJ63" s="68" t="str">
        <x:v>三会的核心是季节方气连续成势。参考：https://zh.wikisource.org/zh-hans/淵海子平；https://zh.wikisource.org/wiki/三命通會/卷二</x:v>
      </x:c>
      <x:c r="AK63" s="68" t="str">
        <x:v>申、酉、戌齐全并满足秋令、金透根强且无强火制金，可判金方局明显。</x:v>
      </x:c>
      <x:c r="AL63" s="90" t="str">
        <x:v>申、酉、戌齐全但金失令无势仍判决定性会局。</x:v>
      </x:c>
      <x:c r="AM63" s="82" t="str">
        <x:v>采用</x:v>
      </x:c>
      <x:c r="AN63" s="82" t="str">
        <x:v>初审</x:v>
      </x:c>
      <x:c r="AO63" s="87" t="n">
        <x:v>46255</x:v>
      </x:c>
    </x:row>
    <x:row r="64">
      <x:c r="A64" s="72" t="str">
        <x:f>IF(OR(C64="",D64=""),"",B64&amp;"-"&amp;UPPER(C64)&amp;"-"&amp;TEXT(D64,"0000")&amp;"-"&amp;E64)</x:f>
        <x:v>M06-SANHUI-0058-V1.0</x:v>
      </x:c>
      <x:c r="B64" s="74" t="str">
        <x:v>M06</x:v>
      </x:c>
      <x:c r="C64" s="74" t="str">
        <x:v>SANHUI</x:v>
      </x:c>
      <x:c r="D64" s="79" t="n">
        <x:v>58</x:v>
      </x:c>
      <x:c r="E64" s="74" t="str">
        <x:v>V1.0</x:v>
      </x:c>
      <x:c r="F64" s="68" t="str">
        <x:v>三会成势通常优先牵引同节点的局部六合半合</x:v>
      </x:c>
      <x:c r="G64" s="82" t="str">
        <x:v>效应层</x:v>
      </x:c>
      <x:c r="H64" s="68" t="str">
        <x:v>M05-SANHUI-0023-V1.0—M05-SANHUI-0026-V1.0；M05-OVER-0068-V1.0</x:v>
      </x:c>
      <x:c r="I64" s="82" t="str">
        <x:v>其他</x:v>
      </x:c>
      <x:c r="J64" s="68" t="str">
        <x:v>三会成员及其六合半合关系</x:v>
      </x:c>
      <x:c r="K64" s="68" t="str">
        <x:v>共享地支归属</x:v>
      </x:c>
      <x:c r="L64" s="82" t="str">
        <x:v>逐对象比较得令、得地、得势与相对强弱</x:v>
      </x:c>
      <x:c r="M64" s="68" t="str">
        <x:v>记录参与对象中谁得令、谁受季节支持</x:v>
      </x:c>
      <x:c r="N64" s="68" t="str">
        <x:v>记录明干及相关藏干的透出通道</x:v>
      </x:c>
      <x:c r="O64" s="68" t="str">
        <x:v>记录各对象根气层级、数量及是否唯一根</x:v>
      </x:c>
      <x:c r="P64" s="68" t="str">
        <x:v>检查同节点的合、冲、刑、害、破、会及生克</x:v>
      </x:c>
      <x:c r="Q64" s="82" t="str">
        <x:v>合化</x:v>
      </x:c>
      <x:c r="R64" s="82" t="str">
        <x:v>转化</x:v>
      </x:c>
      <x:c r="S64" s="82" t="str">
        <x:v>强</x:v>
      </x:c>
      <x:c r="T64" s="82" t="str">
        <x:v>否</x:v>
      </x:c>
      <x:c r="U64" s="82" t="str">
        <x:v>条件性</x:v>
      </x:c>
      <x:c r="V64" s="82" t="str">
        <x:v>条件性</x:v>
      </x:c>
      <x:c r="W64" s="82" t="str">
        <x:v>条件性</x:v>
      </x:c>
      <x:c r="X64" s="82" t="str">
        <x:v>条件性</x:v>
      </x:c>
      <x:c r="Y64" s="68" t="str">
        <x:v>可能改变原有生克路径，须在M12复核</x:v>
      </x:c>
      <x:c r="Z64" s="68" t="str">
        <x:v>M04/M05已识别关系，柱位、完整度与参与对象已标准化</x:v>
      </x:c>
      <x:c r="AA64" s="68" t="str">
        <x:v>三会已通过成势条件，局部关系未另有更强证据</x:v>
      </x:c>
      <x:c r="AB64" s="68" t="str">
        <x:v>关系相邻、得令、得地、成势且无强力反制</x:v>
      </x:c>
      <x:c r="AC64" s="68" t="str">
        <x:v>遥隔、争合、节点被其他关系牵制或双方各有强根</x:v>
      </x:c>
      <x:c r="AD64" s="90" t="str">
        <x:v>仅凭关系名称不得直接判性质改变、归零或固定吉凶</x:v>
      </x:c>
      <x:c r="AE64" s="68" t="str">
        <x:v>特殊格局或岁运动态补齐须另建实例重新裁决</x:v>
      </x:c>
      <x:c r="AF64" s="84" t="str">
        <x:v>三会若得令成势，连续方气通常比单一六合、半合更能主导共享节点；但不得预设，仍需比较冲破与月令。</x:v>
      </x:c>
      <x:c r="AG64" s="84" t="str">
        <x:v>三会方气成势，共享节点优先归入方局；其他合关系降为次级。</x:v>
      </x:c>
      <x:c r="AH64" s="82" t="str">
        <x:v>中等</x:v>
      </x:c>
      <x:c r="AI64" s="82" t="str">
        <x:v>现代综合</x:v>
      </x:c>
      <x:c r="AJ64" s="68" t="str">
        <x:v>多重会合须按气势与完整性裁决。参考：https://ctext.org/wiki.pl?chapter=974137&amp;if=gb&amp;remap=gb</x:v>
      </x:c>
      <x:c r="AK64" s="68" t="str">
        <x:v>巳午未会火成势时，午未六合可并入火方解释而不独立主导。</x:v>
      </x:c>
      <x:c r="AL64" s="90" t="str">
        <x:v>三会未成势却无条件压过所有六合。</x:v>
      </x:c>
      <x:c r="AM64" s="82" t="str">
        <x:v>采用</x:v>
      </x:c>
      <x:c r="AN64" s="82" t="str">
        <x:v>初审</x:v>
      </x:c>
      <x:c r="AO64" s="87" t="n">
        <x:v>46255</x:v>
      </x:c>
    </x:row>
    <x:row r="65">
      <x:c r="A65" s="72" t="str">
        <x:f>IF(OR(C65="",D65=""),"",B65&amp;"-"&amp;UPPER(C65)&amp;"-"&amp;TEXT(D65,"0000")&amp;"-"&amp;E65)</x:f>
        <x:v>M06-BANGONG-0059-V1.0</x:v>
      </x:c>
      <x:c r="B65" s="74" t="str">
        <x:v>M06</x:v>
      </x:c>
      <x:c r="C65" s="74" t="str">
        <x:v>BANGONG</x:v>
      </x:c>
      <x:c r="D65" s="79" t="n">
        <x:v>59</x:v>
      </x:c>
      <x:c r="E65" s="74" t="str">
        <x:v>V1.0</x:v>
      </x:c>
      <x:c r="F65" s="68" t="str">
        <x:v>含中神的半合通常强于缺中神的拱合</x:v>
      </x:c>
      <x:c r="G65" s="82" t="str">
        <x:v>效应层</x:v>
      </x:c>
      <x:c r="H65" s="68" t="str">
        <x:v>M05-BANHE-0011-V1.0—M05-BANHE-0018-V1.0；M05-GONGHE-0019-V1.0—M05-GONGHE-0022-V1.0</x:v>
      </x:c>
      <x:c r="I65" s="82" t="str">
        <x:v>其他</x:v>
      </x:c>
      <x:c r="J65" s="68" t="str">
        <x:v>同一三合体系的半合与拱合</x:v>
      </x:c>
      <x:c r="K65" s="68" t="str">
        <x:v>局气趋向</x:v>
      </x:c>
      <x:c r="L65" s="82" t="str">
        <x:v>逐对象比较得令、得地、得势与相对强弱</x:v>
      </x:c>
      <x:c r="M65" s="68" t="str">
        <x:v>记录参与对象中谁得令、谁受季节支持</x:v>
      </x:c>
      <x:c r="N65" s="68" t="str">
        <x:v>记录明干及相关藏干的透出通道</x:v>
      </x:c>
      <x:c r="O65" s="68" t="str">
        <x:v>记录各对象根气层级、数量及是否唯一根</x:v>
      </x:c>
      <x:c r="P65" s="68" t="str">
        <x:v>检查同节点的合、冲、刑、害、破、会及生克</x:v>
      </x:c>
      <x:c r="Q65" s="82" t="str">
        <x:v>合动</x:v>
      </x:c>
      <x:c r="R65" s="82" t="str">
        <x:v>增强</x:v>
      </x:c>
      <x:c r="S65" s="82" t="str">
        <x:v>中</x:v>
      </x:c>
      <x:c r="T65" s="82" t="str">
        <x:v>否</x:v>
      </x:c>
      <x:c r="U65" s="82" t="str">
        <x:v>否</x:v>
      </x:c>
      <x:c r="V65" s="82" t="str">
        <x:v>条件性</x:v>
      </x:c>
      <x:c r="W65" s="82" t="str">
        <x:v>条件性</x:v>
      </x:c>
      <x:c r="X65" s="82" t="str">
        <x:v>条件性</x:v>
      </x:c>
      <x:c r="Y65" s="68" t="str">
        <x:v>可能改变原有生克路径，须在M12复核</x:v>
      </x:c>
      <x:c r="Z65" s="68" t="str">
        <x:v>M04/M05已识别关系，柱位、完整度与参与对象已标准化</x:v>
      </x:c>
      <x:c r="AA65" s="68" t="str">
        <x:v>必须指向具体作用对象，并比较各方力量、根气和通道</x:v>
      </x:c>
      <x:c r="AB65" s="68" t="str">
        <x:v>关系相邻、得令、得地、成势且无强力反制</x:v>
      </x:c>
      <x:c r="AC65" s="68" t="str">
        <x:v>遥隔、争合、节点被其他关系牵制或双方各有强根</x:v>
      </x:c>
      <x:c r="AD65" s="90" t="str">
        <x:v>仅凭关系名称不得直接判性质改变、归零或固定吉凶</x:v>
      </x:c>
      <x:c r="AE65" s="68" t="str">
        <x:v>特殊格局或岁运动态补齐须另建实例重新裁决</x:v>
      </x:c>
      <x:c r="AF65" s="84" t="str">
        <x:v>半合包含中神，局气支点较明确；拱合缺中神，通常只能作为较弱趋向。两者均不等于完整三合。</x:v>
      </x:c>
      <x:c r="AG65" s="84" t="str">
        <x:v>该两支关系按半合或拱合分级：含中神者作用较强，缺中神者只记弱趋向。</x:v>
      </x:c>
      <x:c r="AH65" s="82" t="str">
        <x:v>较高</x:v>
      </x:c>
      <x:c r="AI65" s="82" t="str">
        <x:v>现代综合</x:v>
      </x:c>
      <x:c r="AJ65" s="68" t="str">
        <x:v>中神是三合局的核心，不应把拱合与半合等量处理。参考：https://zh.wikisource.org/zh-hans/淵海子平；https://zh.wikisource.org/wiki/三命通會/卷二</x:v>
      </x:c>
      <x:c r="AK65" s="68" t="str">
        <x:v>申子半合水通常比申辰拱水更有直接水意。</x:v>
      </x:c>
      <x:c r="AL65" s="90" t="str">
        <x:v>申子与申辰一律判同等水局。</x:v>
      </x:c>
      <x:c r="AM65" s="82" t="str">
        <x:v>采用</x:v>
      </x:c>
      <x:c r="AN65" s="82" t="str">
        <x:v>初审</x:v>
      </x:c>
      <x:c r="AO65" s="87" t="n">
        <x:v>46255</x:v>
      </x:c>
    </x:row>
    <x:row r="66">
      <x:c r="A66" s="72" t="str">
        <x:f>IF(OR(C66="",D66=""),"",B66&amp;"-"&amp;UPPER(C66)&amp;"-"&amp;TEXT(D66,"0000")&amp;"-"&amp;E66)</x:f>
        <x:v>M06-BANGONG-0060-V1.0</x:v>
      </x:c>
      <x:c r="B66" s="74" t="str">
        <x:v>M06</x:v>
      </x:c>
      <x:c r="C66" s="74" t="str">
        <x:v>BANGONG</x:v>
      </x:c>
      <x:c r="D66" s="79" t="n">
        <x:v>60</x:v>
      </x:c>
      <x:c r="E66" s="74" t="str">
        <x:v>V1.0</x:v>
      </x:c>
      <x:c r="F66" s="68" t="str">
        <x:v>半合中神得令可形成明显局气</x:v>
      </x:c>
      <x:c r="G66" s="82" t="str">
        <x:v>效应层</x:v>
      </x:c>
      <x:c r="H66" s="68" t="str">
        <x:v>M05-BANHE-0011-V1.0—M05-BANHE-0018-V1.0</x:v>
      </x:c>
      <x:c r="I66" s="82" t="str">
        <x:v>半合</x:v>
      </x:c>
      <x:c r="J66" s="68" t="str">
        <x:v>含中神的两支</x:v>
      </x:c>
      <x:c r="K66" s="68" t="str">
        <x:v>中神与候选局气</x:v>
      </x:c>
      <x:c r="L66" s="82" t="str">
        <x:v>逐对象比较得令、得地、得势与相对强弱</x:v>
      </x:c>
      <x:c r="M66" s="68" t="str">
        <x:v>记录参与对象中谁得令、谁受季节支持</x:v>
      </x:c>
      <x:c r="N66" s="68" t="str">
        <x:v>记录明干及相关藏干的透出通道</x:v>
      </x:c>
      <x:c r="O66" s="68" t="str">
        <x:v>记录各对象根气层级、数量及是否唯一根</x:v>
      </x:c>
      <x:c r="P66" s="68" t="str">
        <x:v>检查同节点的合、冲、刑、害、破、会及生克</x:v>
      </x:c>
      <x:c r="Q66" s="82" t="str">
        <x:v>激活</x:v>
      </x:c>
      <x:c r="R66" s="82" t="str">
        <x:v>增强</x:v>
      </x:c>
      <x:c r="S66" s="82" t="str">
        <x:v>强</x:v>
      </x:c>
      <x:c r="T66" s="82" t="str">
        <x:v>条件性</x:v>
      </x:c>
      <x:c r="U66" s="82" t="str">
        <x:v>条件性</x:v>
      </x:c>
      <x:c r="V66" s="82" t="str">
        <x:v>条件性</x:v>
      </x:c>
      <x:c r="W66" s="82" t="str">
        <x:v>是</x:v>
      </x:c>
      <x:c r="X66" s="82" t="str">
        <x:v>条件性</x:v>
      </x:c>
      <x:c r="Y66" s="68" t="str">
        <x:v>可能改变原有生克路径，须在M12复核</x:v>
      </x:c>
      <x:c r="Z66" s="68" t="str">
        <x:v>M04/M05已识别关系，柱位、完整度与参与对象已标准化</x:v>
      </x:c>
      <x:c r="AA66" s="68" t="str">
        <x:v>中神有效且局气有透达通道</x:v>
      </x:c>
      <x:c r="AB66" s="68" t="str">
        <x:v>关系相邻、得令、得地、成势且无强力反制</x:v>
      </x:c>
      <x:c r="AC66" s="68" t="str">
        <x:v>遥隔、争合、节点被其他关系牵制或双方各有强根</x:v>
      </x:c>
      <x:c r="AD66" s="90" t="str">
        <x:v>仅凭关系名称不得直接判性质改变、归零或固定吉凶</x:v>
      </x:c>
      <x:c r="AE66" s="68" t="str">
        <x:v>特殊格局或岁运动态补齐须另建实例重新裁决</x:v>
      </x:c>
      <x:c r="AF66" s="84" t="str">
        <x:v>半合中的中神临月令、局气透干有根时，可形成明显的局部成势，但仍不能自动等同完整三合。</x:v>
      </x:c>
      <x:c r="AG66" s="84" t="str">
        <x:v>半合中神得令，局气明显增强；输出为强半合或局部成势，不标完整三合。</x:v>
      </x:c>
      <x:c r="AH66" s="82" t="str">
        <x:v>较高</x:v>
      </x:c>
      <x:c r="AI66" s="82" t="str">
        <x:v>现代综合</x:v>
      </x:c>
      <x:c r="AJ66" s="68" t="str">
        <x:v>半合强弱由中神与局气承载决定。参考：https://zh.wikisource.org/zh-hans/淵海子平；https://zh.wikisource.org/wiki/三命通會/卷二</x:v>
      </x:c>
      <x:c r="AK66" s="68" t="str">
        <x:v>申子半合且子临月令、壬透有根，水意明显。</x:v>
      </x:c>
      <x:c r="AL66" s="90" t="str">
        <x:v>中神失令受冲仍按完整三合局。</x:v>
      </x:c>
      <x:c r="AM66" s="82" t="str">
        <x:v>采用</x:v>
      </x:c>
      <x:c r="AN66" s="82" t="str">
        <x:v>初审</x:v>
      </x:c>
      <x:c r="AO66" s="87" t="n">
        <x:v>46255</x:v>
      </x:c>
    </x:row>
    <x:row r="67">
      <x:c r="A67" s="72" t="str">
        <x:f>IF(OR(C67="",D67=""),"",B67&amp;"-"&amp;UPPER(C67)&amp;"-"&amp;TEXT(D67,"0000")&amp;"-"&amp;E67)</x:f>
        <x:v>M06-BANGONG-0061-V1.0</x:v>
      </x:c>
      <x:c r="B67" s="74" t="str">
        <x:v>M06</x:v>
      </x:c>
      <x:c r="C67" s="74" t="str">
        <x:v>BANGONG</x:v>
      </x:c>
      <x:c r="D67" s="79" t="n">
        <x:v>61</x:v>
      </x:c>
      <x:c r="E67" s="74" t="str">
        <x:v>V1.0</x:v>
      </x:c>
      <x:c r="F67" s="68" t="str">
        <x:v>半合无中神支持或受强克时只保留弱趋向</x:v>
      </x:c>
      <x:c r="G67" s="82" t="str">
        <x:v>效应层</x:v>
      </x:c>
      <x:c r="H67" s="68" t="str">
        <x:v>M05-BANHE-0011-V1.0—M05-BANHE-0018-V1.0</x:v>
      </x:c>
      <x:c r="I67" s="82" t="str">
        <x:v>半合</x:v>
      </x:c>
      <x:c r="J67" s="68" t="str">
        <x:v>半合两支</x:v>
      </x:c>
      <x:c r="K67" s="68" t="str">
        <x:v>候选局气</x:v>
      </x:c>
      <x:c r="L67" s="82" t="str">
        <x:v>逐对象比较得令、得地、得势与相对强弱</x:v>
      </x:c>
      <x:c r="M67" s="68" t="str">
        <x:v>记录参与对象中谁得令、谁受季节支持</x:v>
      </x:c>
      <x:c r="N67" s="68" t="str">
        <x:v>记录明干及相关藏干的透出通道</x:v>
      </x:c>
      <x:c r="O67" s="68" t="str">
        <x:v>记录各对象根气层级、数量及是否唯一根</x:v>
      </x:c>
      <x:c r="P67" s="68" t="str">
        <x:v>检查同节点的合、冲、刑、害、破、会及生克</x:v>
      </x:c>
      <x:c r="Q67" s="82" t="str">
        <x:v>合动</x:v>
      </x:c>
      <x:c r="R67" s="82" t="str">
        <x:v>条件性</x:v>
      </x:c>
      <x:c r="S67" s="82" t="str">
        <x:v>弱</x:v>
      </x:c>
      <x:c r="T67" s="82" t="str">
        <x:v>否</x:v>
      </x:c>
      <x:c r="U67" s="82" t="str">
        <x:v>否</x:v>
      </x:c>
      <x:c r="V67" s="82" t="str">
        <x:v>条件性</x:v>
      </x:c>
      <x:c r="W67" s="82" t="str">
        <x:v>条件性</x:v>
      </x:c>
      <x:c r="X67" s="82" t="str">
        <x:v>否</x:v>
      </x:c>
      <x:c r="Y67" s="68" t="str">
        <x:v>可能改变原有生克路径，须在M12复核</x:v>
      </x:c>
      <x:c r="Z67" s="68" t="str">
        <x:v>M04/M05已识别关系，柱位、完整度与参与对象已标准化</x:v>
      </x:c>
      <x:c r="AA67" s="68" t="str">
        <x:v>必须指向具体作用对象，并比较各方力量、根气和通道</x:v>
      </x:c>
      <x:c r="AB67" s="68" t="str">
        <x:v>关系相邻、得令、得地、成势且无强力反制</x:v>
      </x:c>
      <x:c r="AC67" s="68" t="str">
        <x:v>遥隔、争合、节点被其他关系牵制或双方各有强根</x:v>
      </x:c>
      <x:c r="AD67" s="90" t="str">
        <x:v>仅凭关系名称不得直接判性质改变、归零或固定吉凶</x:v>
      </x:c>
      <x:c r="AE67" s="68" t="str">
        <x:v>特殊格局或岁运动态补齐须另建实例重新裁决</x:v>
      </x:c>
      <x:c r="AF67" s="84" t="str">
        <x:v>中神虽在组合中，但失令受冲、局气无根无透且受强克时，半合仅保留弱牵引。</x:v>
      </x:c>
      <x:c r="AG67" s="84" t="str">
        <x:v>该半合缺乏局气承载，降级为弱合意；不按成局计。</x:v>
      </x:c>
      <x:c r="AH67" s="82" t="str">
        <x:v>较高</x:v>
      </x:c>
      <x:c r="AI67" s="82" t="str">
        <x:v>现代综合</x:v>
      </x:c>
      <x:c r="AJ67" s="68" t="str">
        <x:v>两支出现不保证局气能输出。参考：https://ctext.org/wiki.pl?chapter=435028&amp;if=gb&amp;remap=gb</x:v>
      </x:c>
      <x:c r="AK67" s="68" t="str">
        <x:v>午戌半合火但午受子冲、火无根，火意有限。</x:v>
      </x:c>
      <x:c r="AL67" s="90" t="str">
        <x:v>半合一见便按强局。</x:v>
      </x:c>
      <x:c r="AM67" s="82" t="str">
        <x:v>采用</x:v>
      </x:c>
      <x:c r="AN67" s="82" t="str">
        <x:v>初审</x:v>
      </x:c>
      <x:c r="AO67" s="87" t="n">
        <x:v>46255</x:v>
      </x:c>
    </x:row>
    <x:row r="68">
      <x:c r="A68" s="72" t="str">
        <x:f>IF(OR(C68="",D68=""),"",B68&amp;"-"&amp;UPPER(C68)&amp;"-"&amp;TEXT(D68,"0000")&amp;"-"&amp;E68)</x:f>
        <x:v>M06-BANGONG-0062-V1.0</x:v>
      </x:c>
      <x:c r="B68" s="74" t="str">
        <x:v>M06</x:v>
      </x:c>
      <x:c r="C68" s="74" t="str">
        <x:v>BANGONG</x:v>
      </x:c>
      <x:c r="D68" s="79" t="n">
        <x:v>62</x:v>
      </x:c>
      <x:c r="E68" s="74" t="str">
        <x:v>V1.0</x:v>
      </x:c>
      <x:c r="F68" s="68" t="str">
        <x:v>拱合缺中神不得直接成局</x:v>
      </x:c>
      <x:c r="G68" s="82" t="str">
        <x:v>效应层</x:v>
      </x:c>
      <x:c r="H68" s="68" t="str">
        <x:v>M05-GONGHE-0019-V1.0—M05-GONGHE-0022-V1.0；M05-BOUND-0087-V1.0</x:v>
      </x:c>
      <x:c r="I68" s="82" t="str">
        <x:v>拱合</x:v>
      </x:c>
      <x:c r="J68" s="68" t="str">
        <x:v>三合两端支</x:v>
      </x:c>
      <x:c r="K68" s="68" t="str">
        <x:v>缺失的中神与候选局气</x:v>
      </x:c>
      <x:c r="L68" s="82" t="str">
        <x:v>逐对象比较得令、得地、得势与相对强弱</x:v>
      </x:c>
      <x:c r="M68" s="68" t="str">
        <x:v>记录参与对象中谁得令、谁受季节支持</x:v>
      </x:c>
      <x:c r="N68" s="68" t="str">
        <x:v>记录明干及相关藏干的透出通道</x:v>
      </x:c>
      <x:c r="O68" s="68" t="str">
        <x:v>记录各对象根气层级、数量及是否唯一根</x:v>
      </x:c>
      <x:c r="P68" s="68" t="str">
        <x:v>检查同节点的合、冲、刑、害、破、会及生克</x:v>
      </x:c>
      <x:c r="Q68" s="82" t="str">
        <x:v>合动</x:v>
      </x:c>
      <x:c r="R68" s="82" t="str">
        <x:v>条件性</x:v>
      </x:c>
      <x:c r="S68" s="82" t="str">
        <x:v>弱</x:v>
      </x:c>
      <x:c r="T68" s="82" t="str">
        <x:v>否</x:v>
      </x:c>
      <x:c r="U68" s="82" t="str">
        <x:v>否</x:v>
      </x:c>
      <x:c r="V68" s="82" t="str">
        <x:v>否</x:v>
      </x:c>
      <x:c r="W68" s="82" t="str">
        <x:v>条件性</x:v>
      </x:c>
      <x:c r="X68" s="82" t="str">
        <x:v>否</x:v>
      </x:c>
      <x:c r="Y68" s="68" t="str">
        <x:v>可能改变原有生克路径，须在M12复核</x:v>
      </x:c>
      <x:c r="Z68" s="68" t="str">
        <x:v>M04/M05已识别关系，柱位、完整度与参与对象已标准化</x:v>
      </x:c>
      <x:c r="AA68" s="68" t="str">
        <x:v>两端支齐且中神确实缺失</x:v>
      </x:c>
      <x:c r="AB68" s="68" t="str">
        <x:v>关系相邻、得令、得地、成势且无强力反制</x:v>
      </x:c>
      <x:c r="AC68" s="68" t="str">
        <x:v>遥隔、争合、节点被其他关系牵制或双方各有强根</x:v>
      </x:c>
      <x:c r="AD68" s="90" t="str">
        <x:v>仅凭关系名称不得直接判性质改变、归零或固定吉凶</x:v>
      </x:c>
      <x:c r="AE68" s="68" t="str">
        <x:v>特殊格局或岁运动态补齐须另建实例重新裁决</x:v>
      </x:c>
      <x:c r="AF68" s="84" t="str">
        <x:v>拱合缺少中神，只能记录向缺失中神与局气的弱趋向；原局静态层不得标成完整三合。</x:v>
      </x:c>
      <x:c r="AG68" s="84" t="str">
        <x:v>该结构为拱合，中神缺失；只保留弱局气候选，不判成局。</x:v>
      </x:c>
      <x:c r="AH68" s="82" t="str">
        <x:v>较高</x:v>
      </x:c>
      <x:c r="AI68" s="82" t="str">
        <x:v>现代综合</x:v>
      </x:c>
      <x:c r="AJ68" s="68" t="str">
        <x:v>拱合与完整三合必须保持分类边界。参考：https://ctext.org/wiki.pl?chapter=435028&amp;if=gb&amp;remap=gb</x:v>
      </x:c>
      <x:c r="AK68" s="68" t="str">
        <x:v>申辰齐而无子，只记拱水。</x:v>
      </x:c>
      <x:c r="AL68" s="90" t="str">
        <x:v>申辰直接按申子辰完整水局。</x:v>
      </x:c>
      <x:c r="AM68" s="82" t="str">
        <x:v>采用</x:v>
      </x:c>
      <x:c r="AN68" s="82" t="str">
        <x:v>初审</x:v>
      </x:c>
      <x:c r="AO68" s="87" t="n">
        <x:v>46255</x:v>
      </x:c>
    </x:row>
    <x:row r="69">
      <x:c r="A69" s="72" t="str">
        <x:f>IF(OR(C69="",D69=""),"",B69&amp;"-"&amp;UPPER(C69)&amp;"-"&amp;TEXT(D69,"0000")&amp;"-"&amp;E69)</x:f>
        <x:v>M06-BANGONG-0063-V1.0</x:v>
      </x:c>
      <x:c r="B69" s="74" t="str">
        <x:v>M06</x:v>
      </x:c>
      <x:c r="C69" s="74" t="str">
        <x:v>BANGONG</x:v>
      </x:c>
      <x:c r="D69" s="79" t="n">
        <x:v>63</x:v>
      </x:c>
      <x:c r="E69" s="74" t="str">
        <x:v>V1.0</x:v>
      </x:c>
      <x:c r="F69" s="68" t="str">
        <x:v>岁运补入中神时拱合转动态完整候选</x:v>
      </x:c>
      <x:c r="G69" s="82" t="str">
        <x:v>效应层</x:v>
      </x:c>
      <x:c r="H69" s="68" t="str">
        <x:v>M05-SUIYUN-0071-V1.0；M05-GONGHE-0019-V1.0—M05-GONGHE-0022-V1.0</x:v>
      </x:c>
      <x:c r="I69" s="82" t="str">
        <x:v>拱合</x:v>
      </x:c>
      <x:c r="J69" s="68" t="str">
        <x:v>原局两端支与岁运中神</x:v>
      </x:c>
      <x:c r="K69" s="68" t="str">
        <x:v>动态三合结构</x:v>
      </x:c>
      <x:c r="L69" s="82" t="str">
        <x:v>逐对象比较得令、得地、得势与相对强弱</x:v>
      </x:c>
      <x:c r="M69" s="68" t="str">
        <x:v>记录参与对象中谁得令、谁受季节支持</x:v>
      </x:c>
      <x:c r="N69" s="68" t="str">
        <x:v>记录明干及相关藏干的透出通道</x:v>
      </x:c>
      <x:c r="O69" s="68" t="str">
        <x:v>记录各对象根气层级、数量及是否唯一根</x:v>
      </x:c>
      <x:c r="P69" s="68" t="str">
        <x:v>检查同节点的合、冲、刑、害、破、会及生克</x:v>
      </x:c>
      <x:c r="Q69" s="82" t="str">
        <x:v>激活</x:v>
      </x:c>
      <x:c r="R69" s="82" t="str">
        <x:v>增强</x:v>
      </x:c>
      <x:c r="S69" s="82" t="str">
        <x:v>强</x:v>
      </x:c>
      <x:c r="T69" s="82" t="str">
        <x:v>条件性</x:v>
      </x:c>
      <x:c r="U69" s="82" t="str">
        <x:v>条件性</x:v>
      </x:c>
      <x:c r="V69" s="82" t="str">
        <x:v>条件性</x:v>
      </x:c>
      <x:c r="W69" s="82" t="str">
        <x:v>是</x:v>
      </x:c>
      <x:c r="X69" s="82" t="str">
        <x:v>条件性</x:v>
      </x:c>
      <x:c r="Y69" s="68" t="str">
        <x:v>可能改变原有生克路径，须在M12复核</x:v>
      </x:c>
      <x:c r="Z69" s="68" t="str">
        <x:v>M04/M05已识别关系，柱位、完整度与参与对象已标准化</x:v>
      </x:c>
      <x:c r="AA69" s="68" t="str">
        <x:v>时间层级分开记录，补入中神在该运年有效</x:v>
      </x:c>
      <x:c r="AB69" s="68" t="str">
        <x:v>关系相邻、得令、得地、成势且无强力反制</x:v>
      </x:c>
      <x:c r="AC69" s="68" t="str">
        <x:v>遥隔、争合、节点被其他关系牵制或双方各有强根</x:v>
      </x:c>
      <x:c r="AD69" s="90" t="str">
        <x:v>仅凭关系名称不得直接判性质改变、归零或固定吉凶</x:v>
      </x:c>
      <x:c r="AE69" s="68" t="str">
        <x:v>特殊格局或岁运动态补齐须另建实例重新裁决</x:v>
      </x:c>
      <x:c r="AF69" s="84" t="str">
        <x:v>岁运补入缺失中神时，原拱合可在对应时段升级为动态三合候选，但不能倒写为原局静态完整。</x:v>
      </x:c>
      <x:c r="AG69" s="84" t="str">
        <x:v>岁运补中神，拱合在该时段升级为动态三合候选；原局仍记部分结构。</x:v>
      </x:c>
      <x:c r="AH69" s="82" t="str">
        <x:v>较高</x:v>
      </x:c>
      <x:c r="AI69" s="82" t="str">
        <x:v>现代综合</x:v>
      </x:c>
      <x:c r="AJ69" s="68" t="str">
        <x:v>静态原局与动态补齐必须分层。参考：https://ctext.org/wiki.pl?chapter=435028&amp;if=gb&amp;remap=gb</x:v>
      </x:c>
      <x:c r="AK69" s="68" t="str">
        <x:v>原局申辰，流年子到，流年内生成申子辰动态候选。</x:v>
      </x:c>
      <x:c r="AL69" s="90" t="str">
        <x:v>因未来可能遇子便把原局申辰永久记成水局。</x:v>
      </x:c>
      <x:c r="AM69" s="82" t="str">
        <x:v>采用</x:v>
      </x:c>
      <x:c r="AN69" s="82" t="str">
        <x:v>初审</x:v>
      </x:c>
      <x:c r="AO69" s="87" t="n">
        <x:v>46255</x:v>
      </x:c>
    </x:row>
    <x:row r="70">
      <x:c r="A70" s="72" t="str">
        <x:f>IF(OR(C70="",D70=""),"",B70&amp;"-"&amp;UPPER(C70)&amp;"-"&amp;TEXT(D70,"0000")&amp;"-"&amp;E70)</x:f>
        <x:v>M06-BANGONG-0064-V1.0</x:v>
      </x:c>
      <x:c r="B70" s="74" t="str">
        <x:v>M06</x:v>
      </x:c>
      <x:c r="C70" s="74" t="str">
        <x:v>BANGONG</x:v>
      </x:c>
      <x:c r="D70" s="79" t="n">
        <x:v>64</x:v>
      </x:c>
      <x:c r="E70" s="74" t="str">
        <x:v>V1.0</x:v>
      </x:c>
      <x:c r="F70" s="68" t="str">
        <x:v>半合拱合均不得自动改写两支全部性质</x:v>
      </x:c>
      <x:c r="G70" s="82" t="str">
        <x:v>效应层</x:v>
      </x:c>
      <x:c r="H70" s="68" t="str">
        <x:v>M05-BANHE-0011-V1.0—M05-GONGHE-0022-V1.0</x:v>
      </x:c>
      <x:c r="I70" s="82" t="str">
        <x:v>其他</x:v>
      </x:c>
      <x:c r="J70" s="68" t="str">
        <x:v>任一半合或拱合</x:v>
      </x:c>
      <x:c r="K70" s="68" t="str">
        <x:v>参与两支</x:v>
      </x:c>
      <x:c r="L70" s="82" t="str">
        <x:v>逐对象比较得令、得地、得势与相对强弱</x:v>
      </x:c>
      <x:c r="M70" s="68" t="str">
        <x:v>记录参与对象中谁得令、谁受季节支持</x:v>
      </x:c>
      <x:c r="N70" s="68" t="str">
        <x:v>记录明干及相关藏干的透出通道</x:v>
      </x:c>
      <x:c r="O70" s="68" t="str">
        <x:v>记录各对象根气层级、数量及是否唯一根</x:v>
      </x:c>
      <x:c r="P70" s="68" t="str">
        <x:v>检查同节点的合、冲、刑、害、破、会及生克</x:v>
      </x:c>
      <x:c r="Q70" s="82" t="str">
        <x:v>合动</x:v>
      </x:c>
      <x:c r="R70" s="82" t="str">
        <x:v>条件性</x:v>
      </x:c>
      <x:c r="S70" s="82" t="str">
        <x:v>中</x:v>
      </x:c>
      <x:c r="T70" s="82" t="str">
        <x:v>否</x:v>
      </x:c>
      <x:c r="U70" s="82" t="str">
        <x:v>否</x:v>
      </x:c>
      <x:c r="V70" s="82" t="str">
        <x:v>条件性</x:v>
      </x:c>
      <x:c r="W70" s="82" t="str">
        <x:v>条件性</x:v>
      </x:c>
      <x:c r="X70" s="82" t="str">
        <x:v>条件性</x:v>
      </x:c>
      <x:c r="Y70" s="68" t="str">
        <x:v>可能改变原有生克路径，须在M12复核</x:v>
      </x:c>
      <x:c r="Z70" s="68" t="str">
        <x:v>M04/M05已识别关系，柱位、完整度与参与对象已标准化</x:v>
      </x:c>
      <x:c r="AA70" s="68" t="str">
        <x:v>必须指向具体作用对象，并比较各方力量、根气和通道</x:v>
      </x:c>
      <x:c r="AB70" s="68" t="str">
        <x:v>关系相邻、得令、得地、成势且无强力反制</x:v>
      </x:c>
      <x:c r="AC70" s="68" t="str">
        <x:v>遥隔、争合、节点被其他关系牵制或双方各有强根</x:v>
      </x:c>
      <x:c r="AD70" s="90" t="str">
        <x:v>仅凭关系名称不得直接判性质改变、归零或固定吉凶</x:v>
      </x:c>
      <x:c r="AE70" s="68" t="str">
        <x:v>特殊格局或岁运动态补齐须另建实例重新裁决</x:v>
      </x:c>
      <x:c r="AF70" s="84" t="str">
        <x:v>部分结构通常只调整局气倾向和流通，不足以把两支原始五行与全部藏干改为候选局气。</x:v>
      </x:c>
      <x:c r="AG70" s="84" t="str">
        <x:v>半合或拱合只修正局气倾向；两支原始性质和根气继续保留。</x:v>
      </x:c>
      <x:c r="AH70" s="82" t="str">
        <x:v>较高</x:v>
      </x:c>
      <x:c r="AI70" s="82" t="str">
        <x:v>现代综合</x:v>
      </x:c>
      <x:c r="AJ70" s="68" t="str">
        <x:v>部分结构不能套用完整合化结果。参考：https://ctext.org/wiki.pl?chapter=435028&amp;if=gb&amp;remap=gb</x:v>
      </x:c>
      <x:c r="AK70" s="68" t="str">
        <x:v>亥卯半合木，木意增强但亥水原始作用仍保留。</x:v>
      </x:c>
      <x:c r="AL70" s="90" t="str">
        <x:v>亥卯半合后把亥水完全删除。</x:v>
      </x:c>
      <x:c r="AM70" s="82" t="str">
        <x:v>采用</x:v>
      </x:c>
      <x:c r="AN70" s="82" t="str">
        <x:v>初审</x:v>
      </x:c>
      <x:c r="AO70" s="87" t="n">
        <x:v>46255</x:v>
      </x:c>
    </x:row>
    <x:row r="71">
      <x:c r="A71" s="72" t="str">
        <x:f>IF(OR(C71="",D71=""),"",B71&amp;"-"&amp;UPPER(C71)&amp;"-"&amp;TEXT(D71,"0000")&amp;"-"&amp;E71)</x:f>
        <x:v>M06-CHONG-0065-V1.0</x:v>
      </x:c>
      <x:c r="B71" s="74" t="str">
        <x:v>M06</x:v>
      </x:c>
      <x:c r="C71" s="74" t="str">
        <x:v>CHONG</x:v>
      </x:c>
      <x:c r="D71" s="79" t="n">
        <x:v>65</x:v>
      </x:c>
      <x:c r="E71" s="74" t="str">
        <x:v>V1.0</x:v>
      </x:c>
      <x:c r="F71" s="68" t="str">
        <x:v>六冲至少产生冲动但不自动减力</x:v>
      </x:c>
      <x:c r="G71" s="82" t="str">
        <x:v>效应层</x:v>
      </x:c>
      <x:c r="H71" s="68" t="str">
        <x:v>M05-CHONG-0027-V1.0—M05-CHONG-0032-V1.0；M05-BOUND-0077-V1.0</x:v>
      </x:c>
      <x:c r="I71" s="82" t="str">
        <x:v>六冲</x:v>
      </x:c>
      <x:c r="J71" s="68" t="str">
        <x:v>任一六冲配对</x:v>
      </x:c>
      <x:c r="K71" s="68" t="str">
        <x:v>参与两支</x:v>
      </x:c>
      <x:c r="L71" s="82" t="str">
        <x:v>逐对象比较得令、得地、得势与相对强弱</x:v>
      </x:c>
      <x:c r="M71" s="68" t="str">
        <x:v>记录参与对象中谁得令、谁受季节支持</x:v>
      </x:c>
      <x:c r="N71" s="68" t="str">
        <x:v>记录明干及相关藏干的透出通道</x:v>
      </x:c>
      <x:c r="O71" s="68" t="str">
        <x:v>记录各对象根气层级、数量及是否唯一根</x:v>
      </x:c>
      <x:c r="P71" s="68" t="str">
        <x:v>检查同节点的合、冲、刑、害、破、会及生克</x:v>
      </x:c>
      <x:c r="Q71" s="82" t="str">
        <x:v>冲动</x:v>
      </x:c>
      <x:c r="R71" s="82" t="str">
        <x:v>激活</x:v>
      </x:c>
      <x:c r="S71" s="82" t="str">
        <x:v>中</x:v>
      </x:c>
      <x:c r="T71" s="82" t="str">
        <x:v>否</x:v>
      </x:c>
      <x:c r="U71" s="82" t="str">
        <x:v>条件性</x:v>
      </x:c>
      <x:c r="V71" s="82" t="str">
        <x:v>条件性</x:v>
      </x:c>
      <x:c r="W71" s="82" t="str">
        <x:v>条件性</x:v>
      </x:c>
      <x:c r="X71" s="82" t="str">
        <x:v>条件性</x:v>
      </x:c>
      <x:c r="Y71" s="68" t="str">
        <x:v>可能打断原路径、释放被合节点或引动藏干</x:v>
      </x:c>
      <x:c r="Z71" s="68" t="str">
        <x:v>M04/M05已识别关系，柱位、完整度与参与对象已标准化</x:v>
      </x:c>
      <x:c r="AA71" s="68" t="str">
        <x:v>M05已识别具体六冲配对并保留柱位</x:v>
      </x:c>
      <x:c r="AB71" s="68" t="str">
        <x:v>关系相邻、得令、得地、成势且无强力反制</x:v>
      </x:c>
      <x:c r="AC71" s="68" t="str">
        <x:v>遥隔、争合、节点被其他关系牵制或双方各有强根</x:v>
      </x:c>
      <x:c r="AD71" s="90" t="str">
        <x:v>仅凭关系名称不得直接判性质改变、归零或固定吉凶</x:v>
      </x:c>
      <x:c r="AE71" s="68" t="str">
        <x:v>特殊格局或岁运动态补齐须另建实例重新裁决</x:v>
      </x:c>
      <x:c r="AF71" s="84" t="str">
        <x:v>六冲的最低效应是节点被引动、原状态发生变化；是否冲弱、冲散、冲开或冲去须另验。</x:v>
      </x:c>
      <x:c r="AG71" s="84" t="str">
        <x:v>六冲关系使双方被引动；当前不直接判任何一支归零或必然减力。</x:v>
      </x:c>
      <x:c r="AH71" s="82" t="str">
        <x:v>较高</x:v>
      </x:c>
      <x:c r="AI71" s="82" t="str">
        <x:v>现代综合</x:v>
      </x:c>
      <x:c r="AJ71" s="68" t="str">
        <x:v>传统地支论以冲为动，但动后的强弱结果须细裁。参考：https://zh.wikisource.org/zh-hans/滴天髓</x:v>
      </x:c>
      <x:c r="AK71" s="68" t="str">
        <x:v>子午冲先记双方被引动，再比较谁旺谁衰。</x:v>
      </x:c>
      <x:c r="AL71" s="90" t="str">
        <x:v>见冲便把双方一律减半。</x:v>
      </x:c>
      <x:c r="AM71" s="82" t="str">
        <x:v>采用</x:v>
      </x:c>
      <x:c r="AN71" s="82" t="str">
        <x:v>初审</x:v>
      </x:c>
      <x:c r="AO71" s="87" t="n">
        <x:v>46255</x:v>
      </x:c>
    </x:row>
    <x:row r="72">
      <x:c r="A72" s="72" t="str">
        <x:f>IF(OR(C72="",D72=""),"",B72&amp;"-"&amp;UPPER(C72)&amp;"-"&amp;TEXT(D72,"0000")&amp;"-"&amp;E72)</x:f>
        <x:v>M06-CHONG-0066-V1.0</x:v>
      </x:c>
      <x:c r="B72" s="74" t="str">
        <x:v>M06</x:v>
      </x:c>
      <x:c r="C72" s="74" t="str">
        <x:v>CHONG</x:v>
      </x:c>
      <x:c r="D72" s="79" t="n">
        <x:v>66</x:v>
      </x:c>
      <x:c r="E72" s="74" t="str">
        <x:v>V1.0</x:v>
      </x:c>
      <x:c r="F72" s="68" t="str">
        <x:v>旺支冲衰支时衰支可被冲拔</x:v>
      </x:c>
      <x:c r="G72" s="82" t="str">
        <x:v>效应层</x:v>
      </x:c>
      <x:c r="H72" s="68" t="str">
        <x:v>M05-CHONG-0027-V1.0—M05-CHONG-0032-V1.0</x:v>
      </x:c>
      <x:c r="I72" s="82" t="str">
        <x:v>六冲</x:v>
      </x:c>
      <x:c r="J72" s="68" t="str">
        <x:v>旺支与衰支</x:v>
      </x:c>
      <x:c r="K72" s="68" t="str">
        <x:v>衰支</x:v>
      </x:c>
      <x:c r="L72" s="82" t="str">
        <x:v>一支旺或极旺，另一支弱或极弱</x:v>
      </x:c>
      <x:c r="M72" s="68" t="str">
        <x:v>记录参与对象中谁得令、谁受季节支持</x:v>
      </x:c>
      <x:c r="N72" s="68" t="str">
        <x:v>记录明干及相关藏干的透出通道</x:v>
      </x:c>
      <x:c r="O72" s="68" t="str">
        <x:v>记录各对象根气层级、数量及是否唯一根</x:v>
      </x:c>
      <x:c r="P72" s="68" t="str">
        <x:v>检查同节点的合、冲、刑、害、破、会及生克</x:v>
      </x:c>
      <x:c r="Q72" s="82" t="str">
        <x:v>冲去</x:v>
      </x:c>
      <x:c r="R72" s="82" t="str">
        <x:v>减弱</x:v>
      </x:c>
      <x:c r="S72" s="82" t="str">
        <x:v>强</x:v>
      </x:c>
      <x:c r="T72" s="82" t="str">
        <x:v>否</x:v>
      </x:c>
      <x:c r="U72" s="82" t="str">
        <x:v>是</x:v>
      </x:c>
      <x:c r="V72" s="82" t="str">
        <x:v>条件性</x:v>
      </x:c>
      <x:c r="W72" s="82" t="str">
        <x:v>否</x:v>
      </x:c>
      <x:c r="X72" s="82" t="str">
        <x:v>是</x:v>
      </x:c>
      <x:c r="Y72" s="68" t="str">
        <x:v>弱支原通道可能被切断</x:v>
      </x:c>
      <x:c r="Z72" s="68" t="str">
        <x:v>M04/M05已识别关系，柱位、完整度与参与对象已标准化</x:v>
      </x:c>
      <x:c r="AA72" s="68" t="str">
        <x:v>强弱悬殊且弱支的具体根气确实受作用</x:v>
      </x:c>
      <x:c r="AB72" s="68" t="str">
        <x:v>旺支临月令、多党；弱支无援、唯一根且同节点再受刑害</x:v>
      </x:c>
      <x:c r="AC72" s="68" t="str">
        <x:v>弱支另有同党、透干承接或合会救应</x:v>
      </x:c>
      <x:c r="AD72" s="90" t="str">
        <x:v>仅凭关系名称不得直接判性质改变、归零或固定吉凶</x:v>
      </x:c>
      <x:c r="AE72" s="68" t="str">
        <x:v>特殊格局或岁运动态补齐须另建实例重新裁决</x:v>
      </x:c>
      <x:c r="AF72" s="84" t="str">
        <x:v>一方得令成势，另一方为孤弱唯一根且无援时，弱支可能被冲散、冲去或失去主要根功能。</x:v>
      </x:c>
      <x:c r="AG72" s="84" t="str">
        <x:v>强冲弱成立，弱支明显受损；若为唯一根，可判该根功能大幅下降。</x:v>
      </x:c>
      <x:c r="AH72" s="82" t="str">
        <x:v>较高</x:v>
      </x:c>
      <x:c r="AI72" s="82" t="str">
        <x:v>现代综合</x:v>
      </x:c>
      <x:c r="AJ72" s="68" t="str">
        <x:v>“旺者冲衰，衰者拔”强调强弱悬殊时的结果。参考：https://zh.wikisource.org/zh-hans/滴天髓</x:v>
      </x:c>
      <x:c r="AK72" s="68" t="str">
        <x:v>子旺成势冲孤弱午，午为丙唯一根且无援，可判午根重损。</x:v>
      </x:c>
      <x:c r="AL72" s="90" t="str">
        <x:v>双方力量接近仍判一方被拔。</x:v>
      </x:c>
      <x:c r="AM72" s="82" t="str">
        <x:v>采用</x:v>
      </x:c>
      <x:c r="AN72" s="82" t="str">
        <x:v>初审</x:v>
      </x:c>
      <x:c r="AO72" s="87" t="n">
        <x:v>46255</x:v>
      </x:c>
    </x:row>
    <x:row r="73">
      <x:c r="A73" s="72" t="str">
        <x:f>IF(OR(C73="",D73=""),"",B73&amp;"-"&amp;UPPER(C73)&amp;"-"&amp;TEXT(D73,"0000")&amp;"-"&amp;E73)</x:f>
        <x:v>M06-CHONG-0067-V1.0</x:v>
      </x:c>
      <x:c r="B73" s="74" t="str">
        <x:v>M06</x:v>
      </x:c>
      <x:c r="C73" s="74" t="str">
        <x:v>CHONG</x:v>
      </x:c>
      <x:c r="D73" s="79" t="n">
        <x:v>67</x:v>
      </x:c>
      <x:c r="E73" s="74" t="str">
        <x:v>V1.0</x:v>
      </x:c>
      <x:c r="F73" s="68" t="str">
        <x:v>衰支冲旺支时旺支多被激发</x:v>
      </x:c>
      <x:c r="G73" s="82" t="str">
        <x:v>效应层</x:v>
      </x:c>
      <x:c r="H73" s="68" t="str">
        <x:v>M05-CHONG-0027-V1.0—M05-CHONG-0032-V1.0</x:v>
      </x:c>
      <x:c r="I73" s="82" t="str">
        <x:v>六冲</x:v>
      </x:c>
      <x:c r="J73" s="68" t="str">
        <x:v>衰支与旺支</x:v>
      </x:c>
      <x:c r="K73" s="68" t="str">
        <x:v>旺支</x:v>
      </x:c>
      <x:c r="L73" s="82" t="str">
        <x:v>冲者弱或极弱，被冲者旺或极旺</x:v>
      </x:c>
      <x:c r="M73" s="68" t="str">
        <x:v>记录参与对象中谁得令、谁受季节支持</x:v>
      </x:c>
      <x:c r="N73" s="68" t="str">
        <x:v>记录明干及相关藏干的透出通道</x:v>
      </x:c>
      <x:c r="O73" s="68" t="str">
        <x:v>记录各对象根气层级、数量及是否唯一根</x:v>
      </x:c>
      <x:c r="P73" s="68" t="str">
        <x:v>检查同节点的合、冲、刑、害、破、会及生克</x:v>
      </x:c>
      <x:c r="Q73" s="82" t="str">
        <x:v>冲旺</x:v>
      </x:c>
      <x:c r="R73" s="82" t="str">
        <x:v>增强</x:v>
      </x:c>
      <x:c r="S73" s="82" t="str">
        <x:v>强</x:v>
      </x:c>
      <x:c r="T73" s="82" t="str">
        <x:v>否</x:v>
      </x:c>
      <x:c r="U73" s="82" t="str">
        <x:v>否</x:v>
      </x:c>
      <x:c r="V73" s="82" t="str">
        <x:v>是</x:v>
      </x:c>
      <x:c r="W73" s="82" t="str">
        <x:v>是</x:v>
      </x:c>
      <x:c r="X73" s="82" t="str">
        <x:v>否</x:v>
      </x:c>
      <x:c r="Y73" s="68" t="str">
        <x:v>旺支藏干与功能被加速引动</x:v>
      </x:c>
      <x:c r="Z73" s="68" t="str">
        <x:v>M04/M05已识别关系，柱位、完整度与参与对象已标准化</x:v>
      </x:c>
      <x:c r="AA73" s="68" t="str">
        <x:v>必须指向具体作用对象，并比较各方力量、根气和通道</x:v>
      </x:c>
      <x:c r="AB73" s="68" t="str">
        <x:v>旺支得令多根，弱支孤立</x:v>
      </x:c>
      <x:c r="AC73" s="68" t="str">
        <x:v>旺支同时受多方围冲或根气已损</x:v>
      </x:c>
      <x:c r="AD73" s="90" t="str">
        <x:v>仅凭关系名称不得直接判性质改变、归零或固定吉凶</x:v>
      </x:c>
      <x:c r="AE73" s="68" t="str">
        <x:v>特殊格局或岁运动态补齐须另建实例重新裁决</x:v>
      </x:c>
      <x:c r="AF73" s="84" t="str">
        <x:v>弱支冲击旺支时，旺支通常难被冲散，反而因引动而加速发挥；弱支自身承担更大耗损。</x:v>
      </x:c>
      <x:c r="AG73" s="84" t="str">
        <x:v>弱冲强：旺支被激活或冲旺，弱支耗损；不判旺支明显减力。</x:v>
      </x:c>
      <x:c r="AH73" s="82" t="str">
        <x:v>较高</x:v>
      </x:c>
      <x:c r="AI73" s="82" t="str">
        <x:v>现代综合</x:v>
      </x:c>
      <x:c r="AJ73" s="68" t="str">
        <x:v>“衰者冲旺，旺神发”用于区分冲旺与冲弱。参考：https://zh.wikisource.org/zh-hans/滴天髓</x:v>
      </x:c>
      <x:c r="AK73" s="68" t="str">
        <x:v>弱子冲旺午，午火得令有党，可判午被激发。</x:v>
      </x:c>
      <x:c r="AL73" s="90" t="str">
        <x:v>弱冲强仍把强支判为被冲散。</x:v>
      </x:c>
      <x:c r="AM73" s="82" t="str">
        <x:v>采用</x:v>
      </x:c>
      <x:c r="AN73" s="82" t="str">
        <x:v>初审</x:v>
      </x:c>
      <x:c r="AO73" s="87" t="n">
        <x:v>46255</x:v>
      </x:c>
    </x:row>
    <x:row r="74">
      <x:c r="A74" s="72" t="str">
        <x:f>IF(OR(C74="",D74=""),"",B74&amp;"-"&amp;UPPER(C74)&amp;"-"&amp;TEXT(D74,"0000")&amp;"-"&amp;E74)</x:f>
        <x:v>M06-CHONG-0068-V1.0</x:v>
      </x:c>
      <x:c r="B74" s="74" t="str">
        <x:v>M06</x:v>
      </x:c>
      <x:c r="C74" s="74" t="str">
        <x:v>CHONG</x:v>
      </x:c>
      <x:c r="D74" s="79" t="n">
        <x:v>68</x:v>
      </x:c>
      <x:c r="E74" s="74" t="str">
        <x:v>V1.0</x:v>
      </x:c>
      <x:c r="F74" s="68" t="str">
        <x:v>双方皆旺时六冲形成持续对战互耗</x:v>
      </x:c>
      <x:c r="G74" s="82" t="str">
        <x:v>效应层</x:v>
      </x:c>
      <x:c r="H74" s="68" t="str">
        <x:v>M05-CHONG-0027-V1.0—M05-CHONG-0032-V1.0</x:v>
      </x:c>
      <x:c r="I74" s="82" t="str">
        <x:v>六冲</x:v>
      </x:c>
      <x:c r="J74" s="68" t="str">
        <x:v>双方均旺的相冲两支</x:v>
      </x:c>
      <x:c r="K74" s="68" t="str">
        <x:v>双方</x:v>
      </x:c>
      <x:c r="L74" s="82" t="str">
        <x:v>逐对象比较得令、得地、得势与相对强弱</x:v>
      </x:c>
      <x:c r="M74" s="68" t="str">
        <x:v>记录参与对象中谁得令、谁受季节支持</x:v>
      </x:c>
      <x:c r="N74" s="68" t="str">
        <x:v>记录明干及相关藏干的透出通道</x:v>
      </x:c>
      <x:c r="O74" s="68" t="str">
        <x:v>记录各对象根气层级、数量及是否唯一根</x:v>
      </x:c>
      <x:c r="P74" s="68" t="str">
        <x:v>检查同节点的合、冲、刑、害、破、会及生克</x:v>
      </x:c>
      <x:c r="Q74" s="82" t="str">
        <x:v>冲动</x:v>
      </x:c>
      <x:c r="R74" s="82" t="str">
        <x:v>减弱</x:v>
      </x:c>
      <x:c r="S74" s="82" t="str">
        <x:v>强</x:v>
      </x:c>
      <x:c r="T74" s="82" t="str">
        <x:v>否</x:v>
      </x:c>
      <x:c r="U74" s="82" t="str">
        <x:v>条件性</x:v>
      </x:c>
      <x:c r="V74" s="82" t="str">
        <x:v>是</x:v>
      </x:c>
      <x:c r="W74" s="82" t="str">
        <x:v>条件性</x:v>
      </x:c>
      <x:c r="X74" s="82" t="str">
        <x:v>是</x:v>
      </x:c>
      <x:c r="Y74" s="68" t="str">
        <x:v>形成两强相战或反复引动</x:v>
      </x:c>
      <x:c r="Z74" s="68" t="str">
        <x:v>M04/M05已识别关系，柱位、完整度与参与对象已标准化</x:v>
      </x:c>
      <x:c r="AA74" s="68" t="str">
        <x:v>必须指向具体作用对象，并比较各方力量、根气和通道</x:v>
      </x:c>
      <x:c r="AB74" s="68" t="str">
        <x:v>关系相邻、得令、得地、成势且无强力反制</x:v>
      </x:c>
      <x:c r="AC74" s="68" t="str">
        <x:v>遥隔、争合、节点被其他关系牵制或双方各有强根</x:v>
      </x:c>
      <x:c r="AD74" s="90" t="str">
        <x:v>仅凭关系名称不得直接判性质改变、归零或固定吉凶</x:v>
      </x:c>
      <x:c r="AE74" s="68" t="str">
        <x:v>特殊格局或岁运动态补齐须另建实例重新裁决</x:v>
      </x:c>
      <x:c r="AF74" s="84" t="str">
        <x:v>双方均有根有援时，六冲多形成持续对抗与互耗，未必有一方被拔；流通层面常见卡点。</x:v>
      </x:c>
      <x:c r="AG74" s="84" t="str">
        <x:v>双方皆旺，判为强冲对战与互耗；不指定一方被冲去。</x:v>
      </x:c>
      <x:c r="AH74" s="82" t="str">
        <x:v>较高</x:v>
      </x:c>
      <x:c r="AI74" s="82" t="str">
        <x:v>现代综合</x:v>
      </x:c>
      <x:c r="AJ74" s="68" t="str">
        <x:v>强强相冲需进入通关与病药判断。参考：https://zh.wikisource.org/zh-hans/滴天髓</x:v>
      </x:c>
      <x:c r="AK74" s="68" t="str">
        <x:v>寅申两支均得势，判金木强冲互耗。</x:v>
      </x:c>
      <x:c r="AL74" s="90" t="str">
        <x:v>强强相冲仍机械认定其中一支消失。</x:v>
      </x:c>
      <x:c r="AM74" s="82" t="str">
        <x:v>采用</x:v>
      </x:c>
      <x:c r="AN74" s="82" t="str">
        <x:v>初审</x:v>
      </x:c>
      <x:c r="AO74" s="87" t="n">
        <x:v>46255</x:v>
      </x:c>
    </x:row>
    <x:row r="75">
      <x:c r="A75" s="72" t="str">
        <x:f>IF(OR(C75="",D75=""),"",B75&amp;"-"&amp;UPPER(C75)&amp;"-"&amp;TEXT(D75,"0000")&amp;"-"&amp;E75)</x:f>
        <x:v>M06-CHONG-0069-V1.0</x:v>
      </x:c>
      <x:c r="B75" s="74" t="str">
        <x:v>M06</x:v>
      </x:c>
      <x:c r="C75" s="74" t="str">
        <x:v>CHONG</x:v>
      </x:c>
      <x:c r="D75" s="79" t="n">
        <x:v>69</x:v>
      </x:c>
      <x:c r="E75" s="74" t="str">
        <x:v>V1.0</x:v>
      </x:c>
      <x:c r="F75" s="68" t="str">
        <x:v>双方皆弱时六冲以扰动为主</x:v>
      </x:c>
      <x:c r="G75" s="82" t="str">
        <x:v>效应层</x:v>
      </x:c>
      <x:c r="H75" s="68" t="str">
        <x:v>M05-CHONG-0027-V1.0—M05-CHONG-0032-V1.0</x:v>
      </x:c>
      <x:c r="I75" s="82" t="str">
        <x:v>六冲</x:v>
      </x:c>
      <x:c r="J75" s="68" t="str">
        <x:v>双方均弱的相冲两支</x:v>
      </x:c>
      <x:c r="K75" s="68" t="str">
        <x:v>双方</x:v>
      </x:c>
      <x:c r="L75" s="82" t="str">
        <x:v>逐对象比较得令、得地、得势与相对强弱</x:v>
      </x:c>
      <x:c r="M75" s="68" t="str">
        <x:v>记录参与对象中谁得令、谁受季节支持</x:v>
      </x:c>
      <x:c r="N75" s="68" t="str">
        <x:v>记录明干及相关藏干的透出通道</x:v>
      </x:c>
      <x:c r="O75" s="68" t="str">
        <x:v>记录各对象根气层级、数量及是否唯一根</x:v>
      </x:c>
      <x:c r="P75" s="68" t="str">
        <x:v>检查同节点的合、冲、刑、害、破、会及生克</x:v>
      </x:c>
      <x:c r="Q75" s="82" t="str">
        <x:v>冲动</x:v>
      </x:c>
      <x:c r="R75" s="82" t="str">
        <x:v>激活</x:v>
      </x:c>
      <x:c r="S75" s="82" t="str">
        <x:v>弱</x:v>
      </x:c>
      <x:c r="T75" s="82" t="str">
        <x:v>否</x:v>
      </x:c>
      <x:c r="U75" s="82" t="str">
        <x:v>条件性</x:v>
      </x:c>
      <x:c r="V75" s="82" t="str">
        <x:v>条件性</x:v>
      </x:c>
      <x:c r="W75" s="82" t="str">
        <x:v>条件性</x:v>
      </x:c>
      <x:c r="X75" s="82" t="str">
        <x:v>条件性</x:v>
      </x:c>
      <x:c r="Y75" s="68" t="str">
        <x:v>可能改变原有生克路径，须在M12复核</x:v>
      </x:c>
      <x:c r="Z75" s="68" t="str">
        <x:v>M04/M05已识别关系，柱位、完整度与参与对象已标准化</x:v>
      </x:c>
      <x:c r="AA75" s="68" t="str">
        <x:v>必须指向具体作用对象，并比较各方力量、根气和通道</x:v>
      </x:c>
      <x:c r="AB75" s="68" t="str">
        <x:v>岁运补入一方同党或使一方得势</x:v>
      </x:c>
      <x:c r="AC75" s="68" t="str">
        <x:v>双方均无透干、无同党且遥隔</x:v>
      </x:c>
      <x:c r="AD75" s="90" t="str">
        <x:v>仅凭关系名称不得直接判性质改变、归零或固定吉凶</x:v>
      </x:c>
      <x:c r="AE75" s="68" t="str">
        <x:v>特殊格局或岁运动态补齐须另建实例重新裁决</x:v>
      </x:c>
      <x:c r="AF75" s="84" t="str">
        <x:v>双方均失令无根时，冲仍产生动象，但实际破坏力有限，不宜夸大为冲散或拔根。</x:v>
      </x:c>
      <x:c r="AG75" s="84" t="str">
        <x:v>双方皆弱，六冲以弱扰动为主；力量修正从轻。</x:v>
      </x:c>
      <x:c r="AH75" s="82" t="str">
        <x:v>较高</x:v>
      </x:c>
      <x:c r="AI75" s="82" t="str">
        <x:v>现代综合</x:v>
      </x:c>
      <x:c r="AJ75" s="68" t="str">
        <x:v>关系存在不代表作用等级固定。参考：https://zh.wikisource.org/zh-hans/滴天髓</x:v>
      </x:c>
      <x:c r="AK75" s="68" t="str">
        <x:v>卯酉均弱无根，先记轻度冲动。</x:v>
      </x:c>
      <x:c r="AL75" s="90" t="str">
        <x:v>两弱相冲仍判决定性破坏。</x:v>
      </x:c>
      <x:c r="AM75" s="82" t="str">
        <x:v>采用</x:v>
      </x:c>
      <x:c r="AN75" s="82" t="str">
        <x:v>初审</x:v>
      </x:c>
      <x:c r="AO75" s="87" t="n">
        <x:v>46255</x:v>
      </x:c>
    </x:row>
    <x:row r="76">
      <x:c r="A76" s="72" t="str">
        <x:f>IF(OR(C76="",D76=""),"",B76&amp;"-"&amp;UPPER(C76)&amp;"-"&amp;TEXT(D76,"0000")&amp;"-"&amp;E76)</x:f>
        <x:v>M06-CHONG-0070-V1.0</x:v>
      </x:c>
      <x:c r="B76" s="74" t="str">
        <x:v>M06</x:v>
      </x:c>
      <x:c r="C76" s="74" t="str">
        <x:v>CHONG</x:v>
      </x:c>
      <x:c r="D76" s="79" t="n">
        <x:v>70</x:v>
      </x:c>
      <x:c r="E76" s="74" t="str">
        <x:v>V1.0</x:v>
      </x:c>
      <x:c r="F76" s="68" t="str">
        <x:v>月支参与六冲提高结构权重</x:v>
      </x:c>
      <x:c r="G76" s="82" t="str">
        <x:v>效应层</x:v>
      </x:c>
      <x:c r="H76" s="68" t="str">
        <x:v>M05-BOUND-0064-V1.0；M05-CHONG-0027-V1.0—M05-CHONG-0032-V1.0</x:v>
      </x:c>
      <x:c r="I76" s="82" t="str">
        <x:v>六冲</x:v>
      </x:c>
      <x:c r="J76" s="68" t="str">
        <x:v>月支与其他地支</x:v>
      </x:c>
      <x:c r="K76" s="68" t="str">
        <x:v>月令及被冲对象</x:v>
      </x:c>
      <x:c r="L76" s="82" t="str">
        <x:v>逐对象比较得令、得地、得势与相对强弱</x:v>
      </x:c>
      <x:c r="M76" s="68" t="str">
        <x:v>一方为月支，必须明确月令是否支持其本气</x:v>
      </x:c>
      <x:c r="N76" s="68" t="str">
        <x:v>记录明干及相关藏干的透出通道</x:v>
      </x:c>
      <x:c r="O76" s="68" t="str">
        <x:v>记录各对象根气层级、数量及是否唯一根</x:v>
      </x:c>
      <x:c r="P76" s="68" t="str">
        <x:v>检查同节点的合、冲、刑、害、破、会及生克</x:v>
      </x:c>
      <x:c r="Q76" s="82" t="str">
        <x:v>冲动</x:v>
      </x:c>
      <x:c r="R76" s="82" t="str">
        <x:v>激活</x:v>
      </x:c>
      <x:c r="S76" s="82" t="str">
        <x:v>强</x:v>
      </x:c>
      <x:c r="T76" s="82" t="str">
        <x:v>否</x:v>
      </x:c>
      <x:c r="U76" s="82" t="str">
        <x:v>条件性</x:v>
      </x:c>
      <x:c r="V76" s="82" t="str">
        <x:v>条件性</x:v>
      </x:c>
      <x:c r="W76" s="82" t="str">
        <x:v>条件性</x:v>
      </x:c>
      <x:c r="X76" s="82" t="str">
        <x:v>条件性</x:v>
      </x:c>
      <x:c r="Y76" s="68" t="str">
        <x:v>可能改变原有生克路径，须在M12复核</x:v>
      </x:c>
      <x:c r="Z76" s="68" t="str">
        <x:v>M04/M05已识别关系，柱位、完整度与参与对象已标准化</x:v>
      </x:c>
      <x:c r="AA76" s="68" t="str">
        <x:v>必须指向具体作用对象，并比较各方力量、根气和通道</x:v>
      </x:c>
      <x:c r="AB76" s="68" t="str">
        <x:v>关系相邻、得令、得地、成势且无强力反制</x:v>
      </x:c>
      <x:c r="AC76" s="68" t="str">
        <x:v>遥隔、争合、节点被其他关系牵制或双方各有强根</x:v>
      </x:c>
      <x:c r="AD76" s="90" t="str">
        <x:v>仅凭关系名称不得直接判性质改变、归零或固定吉凶</x:v>
      </x:c>
      <x:c r="AE76" s="68" t="str">
        <x:v>特殊格局或岁运动态补齐须另建实例重新裁决</x:v>
      </x:c>
      <x:c r="AF76" s="84" t="str">
        <x:v>月支代表司令与全局基础气候，其参与六冲时影响通常高于非月令支，但并不保证月支被冲败。</x:v>
      </x:c>
      <x:c r="AG76" s="84" t="str">
        <x:v>月令参与六冲，结构权重上调；仍按双方实际强弱判断冲旺、冲弱或互耗。</x:v>
      </x:c>
      <x:c r="AH76" s="82" t="str">
        <x:v>较高</x:v>
      </x:c>
      <x:c r="AI76" s="82" t="str">
        <x:v>现代综合</x:v>
      </x:c>
      <x:c r="AJ76" s="68" t="str">
        <x:v>月令提升关系的重要性而非自动决定输赢。参考：https://zh.wikisource.org/zh-hans/滴天髓</x:v>
      </x:c>
      <x:c r="AK76" s="68" t="str">
        <x:v>月支午受子冲，需重点评估，但午得令时未必受损。</x:v>
      </x:c>
      <x:c r="AL76" s="90" t="str">
        <x:v>月支被冲便一律判月令失效。</x:v>
      </x:c>
      <x:c r="AM76" s="82" t="str">
        <x:v>采用</x:v>
      </x:c>
      <x:c r="AN76" s="82" t="str">
        <x:v>初审</x:v>
      </x:c>
      <x:c r="AO76" s="87" t="n">
        <x:v>46255</x:v>
      </x:c>
    </x:row>
    <x:row r="77">
      <x:c r="A77" s="72" t="str">
        <x:f>IF(OR(C77="",D77=""),"",B77&amp;"-"&amp;UPPER(C77)&amp;"-"&amp;TEXT(D77,"0000")&amp;"-"&amp;E77)</x:f>
        <x:v>M06-CHONG-0071-V1.0</x:v>
      </x:c>
      <x:c r="B77" s="74" t="str">
        <x:v>M06</x:v>
      </x:c>
      <x:c r="C77" s="74" t="str">
        <x:v>CHONG</x:v>
      </x:c>
      <x:c r="D77" s="79" t="n">
        <x:v>71</x:v>
      </x:c>
      <x:c r="E77" s="74" t="str">
        <x:v>V1.0</x:v>
      </x:c>
      <x:c r="F77" s="68" t="str">
        <x:v>唯一根被强冲时可判根气实质受损</x:v>
      </x:c>
      <x:c r="G77" s="82" t="str">
        <x:v>效应层</x:v>
      </x:c>
      <x:c r="H77" s="68" t="str">
        <x:v>M05-CHONG-0027-V1.0—M05-CHONG-0032-V1.0；M03-RTCT-0040-V1.0—M03-RTCT-0045-V1.0；M03-RTEF-0046-V1.0—M03-RTEF-0052-V1.0</x:v>
      </x:c>
      <x:c r="I77" s="82" t="str">
        <x:v>六冲</x:v>
      </x:c>
      <x:c r="J77" s="68" t="str">
        <x:v>相冲支及依附其上的天干</x:v>
      </x:c>
      <x:c r="K77" s="68" t="str">
        <x:v>被冲支所承载的唯一根</x:v>
      </x:c>
      <x:c r="L77" s="82" t="str">
        <x:v>逐对象比较得令、得地、得势与相对强弱</x:v>
      </x:c>
      <x:c r="M77" s="68" t="str">
        <x:v>记录参与对象中谁得令、谁受季节支持</x:v>
      </x:c>
      <x:c r="N77" s="68" t="str">
        <x:v>记录明干及相关藏干的透出通道</x:v>
      </x:c>
      <x:c r="O77" s="68" t="str">
        <x:v>记录各对象根气层级、数量及是否唯一根</x:v>
      </x:c>
      <x:c r="P77" s="68" t="str">
        <x:v>检查同节点的合、冲、刑、害、破、会及生克</x:v>
      </x:c>
      <x:c r="Q77" s="82" t="str">
        <x:v>破坏根气</x:v>
      </x:c>
      <x:c r="R77" s="82" t="str">
        <x:v>减弱</x:v>
      </x:c>
      <x:c r="S77" s="82" t="str">
        <x:v>强</x:v>
      </x:c>
      <x:c r="T77" s="82" t="str">
        <x:v>否</x:v>
      </x:c>
      <x:c r="U77" s="82" t="str">
        <x:v>是</x:v>
      </x:c>
      <x:c r="V77" s="82" t="str">
        <x:v>是</x:v>
      </x:c>
      <x:c r="W77" s="82" t="str">
        <x:v>否</x:v>
      </x:c>
      <x:c r="X77" s="82" t="str">
        <x:v>是</x:v>
      </x:c>
      <x:c r="Y77" s="68" t="str">
        <x:v>可能改变原有生克路径，须在M12复核</x:v>
      </x:c>
      <x:c r="Z77" s="68" t="str">
        <x:v>M04/M05已识别关系，柱位、完整度与参与对象已标准化</x:v>
      </x:c>
      <x:c r="AA77" s="68" t="str">
        <x:v>先确认是唯一根、根层级较低且冲方显著更强</x:v>
      </x:c>
      <x:c r="AB77" s="68" t="str">
        <x:v>关系相邻、得令、得地、成势且无强力反制</x:v>
      </x:c>
      <x:c r="AC77" s="68" t="str">
        <x:v>遥隔、争合、节点被其他关系牵制或双方各有强根</x:v>
      </x:c>
      <x:c r="AD77" s="90" t="str">
        <x:v>仅凭关系名称不得直接判性质改变、归零或固定吉凶</x:v>
      </x:c>
      <x:c r="AE77" s="68" t="str">
        <x:v>特殊格局或岁运动态补齐须另建实例重新裁决</x:v>
      </x:c>
      <x:c r="AF77" s="84" t="str">
        <x:v>某天干仅有一处弱根，而该支被强势对冲且无合会救应时，根气可从有效降为受损或近无根。</x:v>
      </x:c>
      <x:c r="AG77" s="84" t="str">
        <x:v>被冲支承载唯一弱根，且强冲落实；该根有效性显著下降。</x:v>
      </x:c>
      <x:c r="AH77" s="82" t="str">
        <x:v>较高</x:v>
      </x:c>
      <x:c r="AI77" s="82" t="str">
        <x:v>现代综合</x:v>
      </x:c>
      <x:c r="AJ77" s="68" t="str">
        <x:v>拔根必须落实到具体根位，不能由“有冲”直接推出。参考：https://zh.wikisource.org/zh-hans/滴天髓</x:v>
      </x:c>
      <x:c r="AK77" s="68" t="str">
        <x:v>甲仅根寅，寅弱受旺申冲且无援，可判甲根重损。</x:v>
      </x:c>
      <x:c r="AL77" s="90" t="str">
        <x:v>甲另有卯亥多根仍因寅申冲判甲完全无根。</x:v>
      </x:c>
      <x:c r="AM77" s="82" t="str">
        <x:v>采用</x:v>
      </x:c>
      <x:c r="AN77" s="82" t="str">
        <x:v>初审</x:v>
      </x:c>
      <x:c r="AO77" s="87" t="n">
        <x:v>46255</x:v>
      </x:c>
    </x:row>
    <x:row r="78">
      <x:c r="A78" s="72" t="str">
        <x:f>IF(OR(C78="",D78=""),"",B78&amp;"-"&amp;UPPER(C78)&amp;"-"&amp;TEXT(D78,"0000")&amp;"-"&amp;E78)</x:f>
        <x:v>M06-CHONG-0072-V1.0</x:v>
      </x:c>
      <x:c r="B78" s="74" t="str">
        <x:v>M06</x:v>
      </x:c>
      <x:c r="C78" s="74" t="str">
        <x:v>CHONG</x:v>
      </x:c>
      <x:c r="D78" s="79" t="n">
        <x:v>72</x:v>
      </x:c>
      <x:c r="E78" s="74" t="str">
        <x:v>V1.0</x:v>
      </x:c>
      <x:c r="F78" s="68" t="str">
        <x:v>多根或强根结构不因单点受冲而无根</x:v>
      </x:c>
      <x:c r="G78" s="82" t="str">
        <x:v>效应层</x:v>
      </x:c>
      <x:c r="H78" s="68" t="str">
        <x:v>M05-CHONG-0027-V1.0—M05-CHONG-0032-V1.0；M03-RTCT-0040-V1.0—M03-RTCT-0045-V1.0；M03-RTEF-0046-V1.0—M03-RTEF-0052-V1.0</x:v>
      </x:c>
      <x:c r="I78" s="82" t="str">
        <x:v>六冲</x:v>
      </x:c>
      <x:c r="J78" s="68" t="str">
        <x:v>被冲支及同五行其他根</x:v>
      </x:c>
      <x:c r="K78" s="68" t="str">
        <x:v>整体根系</x:v>
      </x:c>
      <x:c r="L78" s="82" t="str">
        <x:v>逐对象比较得令、得地、得势与相对强弱</x:v>
      </x:c>
      <x:c r="M78" s="68" t="str">
        <x:v>记录参与对象中谁得令、谁受季节支持</x:v>
      </x:c>
      <x:c r="N78" s="68" t="str">
        <x:v>记录明干及相关藏干的透出通道</x:v>
      </x:c>
      <x:c r="O78" s="68" t="str">
        <x:v>记录各对象根气层级、数量及是否唯一根</x:v>
      </x:c>
      <x:c r="P78" s="68" t="str">
        <x:v>检查同节点的合、冲、刑、害、破、会及生克</x:v>
      </x:c>
      <x:c r="Q78" s="82" t="str">
        <x:v>冲弱</x:v>
      </x:c>
      <x:c r="R78" s="82" t="str">
        <x:v>减弱</x:v>
      </x:c>
      <x:c r="S78" s="82" t="str">
        <x:v>中</x:v>
      </x:c>
      <x:c r="T78" s="82" t="str">
        <x:v>否</x:v>
      </x:c>
      <x:c r="U78" s="82" t="str">
        <x:v>条件性</x:v>
      </x:c>
      <x:c r="V78" s="82" t="str">
        <x:v>条件性</x:v>
      </x:c>
      <x:c r="W78" s="82" t="str">
        <x:v>否</x:v>
      </x:c>
      <x:c r="X78" s="82" t="str">
        <x:v>是</x:v>
      </x:c>
      <x:c r="Y78" s="68" t="str">
        <x:v>可能改变原有生克路径，须在M12复核</x:v>
      </x:c>
      <x:c r="Z78" s="68" t="str">
        <x:v>M04/M05已识别关系，柱位、完整度与参与对象已标准化</x:v>
      </x:c>
      <x:c r="AA78" s="68" t="str">
        <x:v>明确列出其他根位及其有效性</x:v>
      </x:c>
      <x:c r="AB78" s="68" t="str">
        <x:v>关系相邻、得令、得地、成势且无强力反制</x:v>
      </x:c>
      <x:c r="AC78" s="68" t="str">
        <x:v>遥隔、争合、节点被其他关系牵制或双方各有强根</x:v>
      </x:c>
      <x:c r="AD78" s="90" t="str">
        <x:v>仅凭关系名称不得直接判性质改变、归零或固定吉凶</x:v>
      </x:c>
      <x:c r="AE78" s="68" t="str">
        <x:v>特殊格局或岁运动态补齐须另建实例重新裁决</x:v>
      </x:c>
      <x:c r="AF78" s="84" t="str">
        <x:v>天干有多处根或被冲支本身得令有党时，单点六冲只能修正该根，不得把整体根系判为消失。</x:v>
      </x:c>
      <x:c r="AG78" s="84" t="str">
        <x:v>一处根受冲，但其他根仍在；整体仍有根，只下调有效根力。</x:v>
      </x:c>
      <x:c r="AH78" s="82" t="str">
        <x:v>较高</x:v>
      </x:c>
      <x:c r="AI78" s="82" t="str">
        <x:v>现代综合</x:v>
      </x:c>
      <x:c r="AJ78" s="68" t="str">
        <x:v>根气判断必须区分单点与整体。参考：https://zh.wikisource.org/zh-hans/滴天髓</x:v>
      </x:c>
      <x:c r="AK78" s="68" t="str">
        <x:v>甲有寅卯两根，寅受申冲后仍有卯根。</x:v>
      </x:c>
      <x:c r="AL78" s="90" t="str">
        <x:v>一根受冲便把所有同类根全部删除。</x:v>
      </x:c>
      <x:c r="AM78" s="82" t="str">
        <x:v>采用</x:v>
      </x:c>
      <x:c r="AN78" s="82" t="str">
        <x:v>初审</x:v>
      </x:c>
      <x:c r="AO78" s="87" t="n">
        <x:v>46255</x:v>
      </x:c>
    </x:row>
    <x:row r="79">
      <x:c r="A79" s="72" t="str">
        <x:f>IF(OR(C79="",D79=""),"",B79&amp;"-"&amp;UPPER(C79)&amp;"-"&amp;TEXT(D79,"0000")&amp;"-"&amp;E79)</x:f>
        <x:v>M06-CHONG-0073-V1.0</x:v>
      </x:c>
      <x:c r="B79" s="74" t="str">
        <x:v>M06</x:v>
      </x:c>
      <x:c r="C79" s="74" t="str">
        <x:v>CHONG</x:v>
      </x:c>
      <x:c r="D79" s="79" t="n">
        <x:v>73</x:v>
      </x:c>
      <x:c r="E79" s="74" t="str">
        <x:v>V1.0</x:v>
      </x:c>
      <x:c r="F79" s="68" t="str">
        <x:v>六冲可引动双方藏干进入作用层</x:v>
      </x:c>
      <x:c r="G79" s="82" t="str">
        <x:v>效应层</x:v>
      </x:c>
      <x:c r="H79" s="68" t="str">
        <x:v>M05-CHONG-0027-V1.0—M05-CHONG-0032-V1.0</x:v>
      </x:c>
      <x:c r="I79" s="82" t="str">
        <x:v>六冲</x:v>
      </x:c>
      <x:c r="J79" s="68" t="str">
        <x:v>相冲两支</x:v>
      </x:c>
      <x:c r="K79" s="68" t="str">
        <x:v>双方藏干</x:v>
      </x:c>
      <x:c r="L79" s="82" t="str">
        <x:v>逐对象比较得令、得地、得势与相对强弱</x:v>
      </x:c>
      <x:c r="M79" s="68" t="str">
        <x:v>记录参与对象中谁得令、谁受季节支持</x:v>
      </x:c>
      <x:c r="N79" s="68" t="str">
        <x:v>记录明干及相关藏干的透出通道</x:v>
      </x:c>
      <x:c r="O79" s="68" t="str">
        <x:v>记录各对象根气层级、数量及是否唯一根</x:v>
      </x:c>
      <x:c r="P79" s="68" t="str">
        <x:v>检查同节点的合、冲、刑、害、破、会及生克</x:v>
      </x:c>
      <x:c r="Q79" s="82" t="str">
        <x:v>引动藏干</x:v>
      </x:c>
      <x:c r="R79" s="82" t="str">
        <x:v>激活</x:v>
      </x:c>
      <x:c r="S79" s="82" t="str">
        <x:v>中</x:v>
      </x:c>
      <x:c r="T79" s="82" t="str">
        <x:v>否</x:v>
      </x:c>
      <x:c r="U79" s="82" t="str">
        <x:v>条件性</x:v>
      </x:c>
      <x:c r="V79" s="82" t="str">
        <x:v>是</x:v>
      </x:c>
      <x:c r="W79" s="82" t="str">
        <x:v>条件性</x:v>
      </x:c>
      <x:c r="X79" s="82" t="str">
        <x:v>条件性</x:v>
      </x:c>
      <x:c r="Y79" s="68" t="str">
        <x:v>支内潜在生克通道被打开或加速</x:v>
      </x:c>
      <x:c r="Z79" s="68" t="str">
        <x:v>M04/M05已识别关系，柱位、完整度与参与对象已标准化</x:v>
      </x:c>
      <x:c r="AA79" s="68" t="str">
        <x:v>必须指向具体作用对象，并比较各方力量、根气和通道</x:v>
      </x:c>
      <x:c r="AB79" s="68" t="str">
        <x:v>关系相邻、得令、得地、成势且无强力反制</x:v>
      </x:c>
      <x:c r="AC79" s="68" t="str">
        <x:v>遥隔、争合、节点被其他关系牵制或双方各有强根</x:v>
      </x:c>
      <x:c r="AD79" s="90" t="str">
        <x:v>仅凭关系名称不得直接判性质改变、归零或固定吉凶</x:v>
      </x:c>
      <x:c r="AE79" s="68" t="str">
        <x:v>特殊格局或岁运动态补齐须另建实例重新裁决</x:v>
      </x:c>
      <x:c r="AF79" s="84" t="str">
        <x:v>六冲使支内藏干由潜伏转为较活跃，但活跃程度仍受透干、根气和强弱控制。</x:v>
      </x:c>
      <x:c r="AG79" s="84" t="str">
        <x:v>六冲引动相关藏干；哪些藏干有效输出须逐项评估。</x:v>
      </x:c>
      <x:c r="AH79" s="82" t="str">
        <x:v>较高</x:v>
      </x:c>
      <x:c r="AI79" s="82" t="str">
        <x:v>现代综合</x:v>
      </x:c>
      <x:c r="AJ79" s="68" t="str">
        <x:v>冲的核心之一是动，动可使藏干参与。参考：https://zh.wikisource.org/zh-hans/滴天髓</x:v>
      </x:c>
      <x:c r="AK79" s="68" t="str">
        <x:v>辰戌冲可引动两支戊、乙、癸、辛、丁等藏干，但不等于全部同强。</x:v>
      </x:c>
      <x:c r="AL79" s="90" t="str">
        <x:v>冲后把所有藏干一律视为透干。</x:v>
      </x:c>
      <x:c r="AM79" s="82" t="str">
        <x:v>采用</x:v>
      </x:c>
      <x:c r="AN79" s="82" t="str">
        <x:v>初审</x:v>
      </x:c>
      <x:c r="AO79" s="87" t="n">
        <x:v>46255</x:v>
      </x:c>
    </x:row>
    <x:row r="80">
      <x:c r="A80" s="72" t="str">
        <x:f>IF(OR(C80="",D80=""),"",B80&amp;"-"&amp;UPPER(C80)&amp;"-"&amp;TEXT(D80,"0000")&amp;"-"&amp;E80)</x:f>
        <x:v>M06-CHONG-0074-V1.0</x:v>
      </x:c>
      <x:c r="B80" s="74" t="str">
        <x:v>M06</x:v>
      </x:c>
      <x:c r="C80" s="74" t="str">
        <x:v>CHONG</x:v>
      </x:c>
      <x:c r="D80" s="79" t="n">
        <x:v>74</x:v>
      </x:c>
      <x:c r="E80" s="74" t="str">
        <x:v>V1.0</x:v>
      </x:c>
      <x:c r="F80" s="68" t="str">
        <x:v>六冲可破坏共享节点的六合或半合稳定性</x:v>
      </x:c>
      <x:c r="G80" s="82" t="str">
        <x:v>效应层</x:v>
      </x:c>
      <x:c r="H80" s="68" t="str">
        <x:v>M05-OVER-0068-V1.0；M05-CHONG-0027-V1.0—M05-CHONG-0032-V1.0</x:v>
      </x:c>
      <x:c r="I80" s="82" t="str">
        <x:v>其他</x:v>
      </x:c>
      <x:c r="J80" s="68" t="str">
        <x:v>冲、合共享的地支节点</x:v>
      </x:c>
      <x:c r="K80" s="68" t="str">
        <x:v>原合关系</x:v>
      </x:c>
      <x:c r="L80" s="82" t="str">
        <x:v>逐对象比较得令、得地、得势与相对强弱</x:v>
      </x:c>
      <x:c r="M80" s="68" t="str">
        <x:v>记录参与对象中谁得令、谁受季节支持</x:v>
      </x:c>
      <x:c r="N80" s="68" t="str">
        <x:v>记录明干及相关藏干的透出通道</x:v>
      </x:c>
      <x:c r="O80" s="68" t="str">
        <x:v>记录各对象根气层级、数量及是否唯一根</x:v>
      </x:c>
      <x:c r="P80" s="68" t="str">
        <x:v>检查同节点的合、冲、刑、害、破、会及生克</x:v>
      </x:c>
      <x:c r="Q80" s="82" t="str">
        <x:v>冲散</x:v>
      </x:c>
      <x:c r="R80" s="82" t="str">
        <x:v>阻断</x:v>
      </x:c>
      <x:c r="S80" s="82" t="str">
        <x:v>强</x:v>
      </x:c>
      <x:c r="T80" s="82" t="str">
        <x:v>条件性</x:v>
      </x:c>
      <x:c r="U80" s="82" t="str">
        <x:v>条件性</x:v>
      </x:c>
      <x:c r="V80" s="82" t="str">
        <x:v>是</x:v>
      </x:c>
      <x:c r="W80" s="82" t="str">
        <x:v>条件性</x:v>
      </x:c>
      <x:c r="X80" s="82" t="str">
        <x:v>条件性</x:v>
      </x:c>
      <x:c r="Y80" s="68" t="str">
        <x:v>可能改变原有生克路径，须在M12复核</x:v>
      </x:c>
      <x:c r="Z80" s="68" t="str">
        <x:v>M04/M05已识别关系，柱位、完整度与参与对象已标准化</x:v>
      </x:c>
      <x:c r="AA80" s="68" t="str">
        <x:v>冲关系真实强于原合，并非弱冲强合</x:v>
      </x:c>
      <x:c r="AB80" s="68" t="str">
        <x:v>关系相邻、得令、得地、成势且无强力反制</x:v>
      </x:c>
      <x:c r="AC80" s="68" t="str">
        <x:v>遥隔、争合、节点被其他关系牵制或双方各有强根</x:v>
      </x:c>
      <x:c r="AD80" s="90" t="str">
        <x:v>仅凭关系名称不得直接判性质改变、归零或固定吉凶</x:v>
      </x:c>
      <x:c r="AE80" s="68" t="str">
        <x:v>特殊格局或岁运动态补齐须另建实例重新裁决</x:v>
      </x:c>
      <x:c r="AF80" s="84" t="str">
        <x:v>冲方强于原合且直接作用共享节点时，可松解或破坏原六合、半合，使节点恢复原功能或转入冲局。</x:v>
      </x:c>
      <x:c r="AG80" s="84" t="str">
        <x:v>强冲作用于合局节点，原合关系降级或解开；需重算节点有效力量。</x:v>
      </x:c>
      <x:c r="AH80" s="82" t="str">
        <x:v>较高</x:v>
      </x:c>
      <x:c r="AI80" s="82" t="str">
        <x:v>现代综合</x:v>
      </x:c>
      <x:c r="AJ80" s="68" t="str">
        <x:v>刑冲会合之间可相互解构，但非固定优先级。参考：https://ctext.org/wiki.pl?chapter=974137&amp;if=gb&amp;remap=gb</x:v>
      </x:c>
      <x:c r="AK80" s="68" t="str">
        <x:v>子丑合中丑受未强冲，子丑合可松解。</x:v>
      </x:c>
      <x:c r="AL80" s="90" t="str">
        <x:v>任何弱冲都必然破掉强合局。</x:v>
      </x:c>
      <x:c r="AM80" s="82" t="str">
        <x:v>采用</x:v>
      </x:c>
      <x:c r="AN80" s="82" t="str">
        <x:v>初审</x:v>
      </x:c>
      <x:c r="AO80" s="87" t="n">
        <x:v>46255</x:v>
      </x:c>
    </x:row>
    <x:row r="81">
      <x:c r="A81" s="72" t="str">
        <x:f>IF(OR(C81="",D81=""),"",B81&amp;"-"&amp;UPPER(C81)&amp;"-"&amp;TEXT(D81,"0000")&amp;"-"&amp;E81)</x:f>
        <x:v>M06-CHONG-0075-V1.0</x:v>
      </x:c>
      <x:c r="B81" s="74" t="str">
        <x:v>M06</x:v>
      </x:c>
      <x:c r="C81" s="74" t="str">
        <x:v>CHONG</x:v>
      </x:c>
      <x:c r="D81" s="79" t="n">
        <x:v>75</x:v>
      </x:c>
      <x:c r="E81" s="74" t="str">
        <x:v>V1.0</x:v>
      </x:c>
      <x:c r="F81" s="68" t="str">
        <x:v>六冲可释放被合绊对象的原有功能</x:v>
      </x:c>
      <x:c r="G81" s="82" t="str">
        <x:v>效应层</x:v>
      </x:c>
      <x:c r="H81" s="68" t="str">
        <x:v>M05-OVER-0068-V1.0；M05-CHONG-0027-V1.0—M05-CHONG-0032-V1.0</x:v>
      </x:c>
      <x:c r="I81" s="82" t="str">
        <x:v>其他</x:v>
      </x:c>
      <x:c r="J81" s="68" t="str">
        <x:v>被合支及其冲支</x:v>
      </x:c>
      <x:c r="K81" s="68" t="str">
        <x:v>被合支的原功能</x:v>
      </x:c>
      <x:c r="L81" s="82" t="str">
        <x:v>逐对象比较得令、得地、得势与相对强弱</x:v>
      </x:c>
      <x:c r="M81" s="68" t="str">
        <x:v>记录参与对象中谁得令、谁受季节支持</x:v>
      </x:c>
      <x:c r="N81" s="68" t="str">
        <x:v>记录明干及相关藏干的透出通道</x:v>
      </x:c>
      <x:c r="O81" s="68" t="str">
        <x:v>记录各对象根气层级、数量及是否唯一根</x:v>
      </x:c>
      <x:c r="P81" s="68" t="str">
        <x:v>检查同节点的合、冲、刑、害、破、会及生克</x:v>
      </x:c>
      <x:c r="Q81" s="82" t="str">
        <x:v>冲开</x:v>
      </x:c>
      <x:c r="R81" s="82" t="str">
        <x:v>激活</x:v>
      </x:c>
      <x:c r="S81" s="82" t="str">
        <x:v>中</x:v>
      </x:c>
      <x:c r="T81" s="82" t="str">
        <x:v>条件性</x:v>
      </x:c>
      <x:c r="U81" s="82" t="str">
        <x:v>条件性</x:v>
      </x:c>
      <x:c r="V81" s="82" t="str">
        <x:v>是</x:v>
      </x:c>
      <x:c r="W81" s="82" t="str">
        <x:v>是</x:v>
      </x:c>
      <x:c r="X81" s="82" t="str">
        <x:v>条件性</x:v>
      </x:c>
      <x:c r="Y81" s="68" t="str">
        <x:v>可能改变原有生克路径，须在M12复核</x:v>
      </x:c>
      <x:c r="Z81" s="68" t="str">
        <x:v>M04/M05已识别关系，柱位、完整度与参与对象已标准化</x:v>
      </x:c>
      <x:c r="AA81" s="68" t="str">
        <x:v>先确认原合确实形成合绊，冲方足以破合</x:v>
      </x:c>
      <x:c r="AB81" s="68" t="str">
        <x:v>关系相邻、得令、得地、成势且无强力反制</x:v>
      </x:c>
      <x:c r="AC81" s="68" t="str">
        <x:v>遥隔、争合、节点被其他关系牵制或双方各有强根</x:v>
      </x:c>
      <x:c r="AD81" s="90" t="str">
        <x:v>仅凭关系名称不得直接判性质改变、归零或固定吉凶</x:v>
      </x:c>
      <x:c r="AE81" s="68" t="str">
        <x:v>特殊格局或岁运动态补齐须另建实例重新裁决</x:v>
      </x:c>
      <x:c r="AF81" s="84" t="str">
        <x:v>被合支受足够强的冲击时，合绊可能解除，原本被限制的本气与藏干通道重新活跃。</x:v>
      </x:c>
      <x:c r="AG81" s="84" t="str">
        <x:v>冲开原合：被合支的本气和相关藏干重新进入作用层。</x:v>
      </x:c>
      <x:c r="AH81" s="82" t="str">
        <x:v>较高</x:v>
      </x:c>
      <x:c r="AI81" s="82" t="str">
        <x:v>现代综合</x:v>
      </x:c>
      <x:c r="AJ81" s="68" t="str">
        <x:v>冲可解合是条件性释放机制。参考：https://ctext.org/wiki.pl?chapter=974137&amp;if=gb&amp;remap=gb</x:v>
      </x:c>
      <x:c r="AK81" s="68" t="str">
        <x:v>酉被辰合绊，卯强冲酉可使辰酉合松动，酉金重新显作用。</x:v>
      </x:c>
      <x:c r="AL81" s="90" t="str">
        <x:v>原合未成立仍说被冲开。</x:v>
      </x:c>
      <x:c r="AM81" s="82" t="str">
        <x:v>采用</x:v>
      </x:c>
      <x:c r="AN81" s="82" t="str">
        <x:v>初审</x:v>
      </x:c>
      <x:c r="AO81" s="87" t="n">
        <x:v>46255</x:v>
      </x:c>
    </x:row>
    <x:row r="82">
      <x:c r="A82" s="72" t="str">
        <x:f>IF(OR(C82="",D82=""),"",B82&amp;"-"&amp;UPPER(C82)&amp;"-"&amp;TEXT(D82,"0000")&amp;"-"&amp;E82)</x:f>
        <x:v>M06-CHONG-0076-V1.0</x:v>
      </x:c>
      <x:c r="B82" s="74" t="str">
        <x:v>M06</x:v>
      </x:c>
      <x:c r="C82" s="74" t="str">
        <x:v>CHONG</x:v>
      </x:c>
      <x:c r="D82" s="79" t="n">
        <x:v>76</x:v>
      </x:c>
      <x:c r="E82" s="74" t="str">
        <x:v>V1.0</x:v>
      </x:c>
      <x:c r="F82" s="68" t="str">
        <x:v>四生地相冲重在位移与生机受扰</x:v>
      </x:c>
      <x:c r="G82" s="82" t="str">
        <x:v>效应层</x:v>
      </x:c>
      <x:c r="H82" s="68" t="str">
        <x:v>M05-CHONG-0029-V1.0；M05-CHONG-0032-V1.0</x:v>
      </x:c>
      <x:c r="I82" s="82" t="str">
        <x:v>六冲</x:v>
      </x:c>
      <x:c r="J82" s="68" t="str">
        <x:v>寅申或巳亥</x:v>
      </x:c>
      <x:c r="K82" s="68" t="str">
        <x:v>四生地及其藏干</x:v>
      </x:c>
      <x:c r="L82" s="82" t="str">
        <x:v>逐对象比较得令、得地、得势与相对强弱</x:v>
      </x:c>
      <x:c r="M82" s="68" t="str">
        <x:v>记录参与对象中谁得令、谁受季节支持</x:v>
      </x:c>
      <x:c r="N82" s="68" t="str">
        <x:v>记录明干及相关藏干的透出通道</x:v>
      </x:c>
      <x:c r="O82" s="68" t="str">
        <x:v>记录各对象根气层级、数量及是否唯一根</x:v>
      </x:c>
      <x:c r="P82" s="68" t="str">
        <x:v>检查同节点的合、冲、刑、害、破、会及生克</x:v>
      </x:c>
      <x:c r="Q82" s="82" t="str">
        <x:v>冲动</x:v>
      </x:c>
      <x:c r="R82" s="82" t="str">
        <x:v>激活</x:v>
      </x:c>
      <x:c r="S82" s="82" t="str">
        <x:v>强</x:v>
      </x:c>
      <x:c r="T82" s="82" t="str">
        <x:v>否</x:v>
      </x:c>
      <x:c r="U82" s="82" t="str">
        <x:v>条件性</x:v>
      </x:c>
      <x:c r="V82" s="82" t="str">
        <x:v>是</x:v>
      </x:c>
      <x:c r="W82" s="82" t="str">
        <x:v>条件性</x:v>
      </x:c>
      <x:c r="X82" s="82" t="str">
        <x:v>条件性</x:v>
      </x:c>
      <x:c r="Y82" s="68" t="str">
        <x:v>多层藏干和生源路径被强烈引动</x:v>
      </x:c>
      <x:c r="Z82" s="68" t="str">
        <x:v>M04/M05已识别关系，柱位、完整度与参与对象已标准化</x:v>
      </x:c>
      <x:c r="AA82" s="68" t="str">
        <x:v>必须指向具体作用对象，并比较各方力量、根气和通道</x:v>
      </x:c>
      <x:c r="AB82" s="68" t="str">
        <x:v>关系相邻、得令、得地、成势且无强力反制</x:v>
      </x:c>
      <x:c r="AC82" s="68" t="str">
        <x:v>遥隔、争合、节点被其他关系牵制或双方各有强根</x:v>
      </x:c>
      <x:c r="AD82" s="90" t="str">
        <x:v>仅凭关系名称不得直接判性质改变、归零或固定吉凶</x:v>
      </x:c>
      <x:c r="AE82" s="68" t="str">
        <x:v>特殊格局或岁运动态补齐须另建实例重新裁决</x:v>
      </x:c>
      <x:c r="AF82" s="84" t="str">
        <x:v>寅申、巳亥为四生地相冲，常引动多层藏干与生发路径；是否伤根仍看强弱，不作统一凶断。</x:v>
      </x:c>
      <x:c r="AG82" s="84" t="str">
        <x:v>四生地相冲，重点记录位移、藏干引动与生发路径受扰；不直接判一方消失。</x:v>
      </x:c>
      <x:c r="AH82" s="82" t="str">
        <x:v>较高</x:v>
      </x:c>
      <x:c r="AI82" s="82" t="str">
        <x:v>现代综合</x:v>
      </x:c>
      <x:c r="AJ82" s="68" t="str">
        <x:v>生方怕动强调生发节点受冲需细察。参考：https://zh.wikisource.org/zh-hans/滴天髓</x:v>
      </x:c>
      <x:c r="AK82" s="68" t="str">
        <x:v>寅申冲同时引动甲丙戊与庚壬戊等藏干通道。</x:v>
      </x:c>
      <x:c r="AL82" s="90" t="str">
        <x:v>四生地一冲便固定判某支死亡。</x:v>
      </x:c>
      <x:c r="AM82" s="82" t="str">
        <x:v>采用</x:v>
      </x:c>
      <x:c r="AN82" s="82" t="str">
        <x:v>初审</x:v>
      </x:c>
      <x:c r="AO82" s="87" t="n">
        <x:v>46255</x:v>
      </x:c>
    </x:row>
    <x:row r="83">
      <x:c r="A83" s="72" t="str">
        <x:f>IF(OR(C83="",D83=""),"",B83&amp;"-"&amp;UPPER(C83)&amp;"-"&amp;TEXT(D83,"0000")&amp;"-"&amp;E83)</x:f>
        <x:v>M06-CHONG-0077-V1.0</x:v>
      </x:c>
      <x:c r="B83" s="74" t="str">
        <x:v>M06</x:v>
      </x:c>
      <x:c r="C83" s="74" t="str">
        <x:v>CHONG</x:v>
      </x:c>
      <x:c r="D83" s="79" t="n">
        <x:v>77</x:v>
      </x:c>
      <x:c r="E83" s="74" t="str">
        <x:v>V1.0</x:v>
      </x:c>
      <x:c r="F83" s="68" t="str">
        <x:v>四正地相冲直接性高但仍须比较旺衰</x:v>
      </x:c>
      <x:c r="G83" s="82" t="str">
        <x:v>效应层</x:v>
      </x:c>
      <x:c r="H83" s="68" t="str">
        <x:v>M05-CHONG-0027-V1.0；M05-CHONG-0030-V1.0</x:v>
      </x:c>
      <x:c r="I83" s="82" t="str">
        <x:v>六冲</x:v>
      </x:c>
      <x:c r="J83" s="68" t="str">
        <x:v>子午或卯酉</x:v>
      </x:c>
      <x:c r="K83" s="68" t="str">
        <x:v>四正地</x:v>
      </x:c>
      <x:c r="L83" s="82" t="str">
        <x:v>逐对象比较得令、得地、得势与相对强弱</x:v>
      </x:c>
      <x:c r="M83" s="68" t="str">
        <x:v>记录参与对象中谁得令、谁受季节支持</x:v>
      </x:c>
      <x:c r="N83" s="68" t="str">
        <x:v>记录明干及相关藏干的透出通道</x:v>
      </x:c>
      <x:c r="O83" s="68" t="str">
        <x:v>记录各对象根气层级、数量及是否唯一根</x:v>
      </x:c>
      <x:c r="P83" s="68" t="str">
        <x:v>检查同节点的合、冲、刑、害、破、会及生克</x:v>
      </x:c>
      <x:c r="Q83" s="82" t="str">
        <x:v>冲动</x:v>
      </x:c>
      <x:c r="R83" s="82" t="str">
        <x:v>减弱</x:v>
      </x:c>
      <x:c r="S83" s="82" t="str">
        <x:v>强</x:v>
      </x:c>
      <x:c r="T83" s="82" t="str">
        <x:v>否</x:v>
      </x:c>
      <x:c r="U83" s="82" t="str">
        <x:v>条件性</x:v>
      </x:c>
      <x:c r="V83" s="82" t="str">
        <x:v>条件性</x:v>
      </x:c>
      <x:c r="W83" s="82" t="str">
        <x:v>条件性</x:v>
      </x:c>
      <x:c r="X83" s="82" t="str">
        <x:v>条件性</x:v>
      </x:c>
      <x:c r="Y83" s="68" t="str">
        <x:v>可能改变原有生克路径，须在M12复核</x:v>
      </x:c>
      <x:c r="Z83" s="68" t="str">
        <x:v>M04/M05已识别关系，柱位、完整度与参与对象已标准化</x:v>
      </x:c>
      <x:c r="AA83" s="68" t="str">
        <x:v>必须指向具体作用对象，并比较各方力量、根气和通道</x:v>
      </x:c>
      <x:c r="AB83" s="68" t="str">
        <x:v>关系相邻、得令、得地、成势且无强力反制</x:v>
      </x:c>
      <x:c r="AC83" s="68" t="str">
        <x:v>遥隔、争合、节点被其他关系牵制或双方各有强根</x:v>
      </x:c>
      <x:c r="AD83" s="90" t="str">
        <x:v>仅凭关系名称不得直接判性质改变、归零或固定吉凶</x:v>
      </x:c>
      <x:c r="AE83" s="68" t="str">
        <x:v>特殊格局或岁运动态补齐须另建实例重新裁决</x:v>
      </x:c>
      <x:c r="AF83" s="84" t="str">
        <x:v>子午、卯酉本气较专，相冲路径直接；但结果仍按旺衰判冲旺、冲弱或互耗。</x:v>
      </x:c>
      <x:c r="AG83" s="84" t="str">
        <x:v>四正之冲作用直接，强度上调；输赢仍由月令、根气和成势决定。</x:v>
      </x:c>
      <x:c r="AH83" s="82" t="str">
        <x:v>较高</x:v>
      </x:c>
      <x:c r="AI83" s="82" t="str">
        <x:v>现代综合</x:v>
      </x:c>
      <x:c r="AJ83" s="68" t="str">
        <x:v>败地逢冲须细裁，不能仅凭类别定吉凶。参考：https://zh.wikisource.org/zh-hans/滴天髓</x:v>
      </x:c>
      <x:c r="AK83" s="68" t="str">
        <x:v>子午均旺则强冲互耗，午旺子弱则午被激活。</x:v>
      </x:c>
      <x:c r="AL83" s="90" t="str">
        <x:v>四正冲一律判两支同等受损。</x:v>
      </x:c>
      <x:c r="AM83" s="82" t="str">
        <x:v>采用</x:v>
      </x:c>
      <x:c r="AN83" s="82" t="str">
        <x:v>初审</x:v>
      </x:c>
      <x:c r="AO83" s="87" t="n">
        <x:v>46255</x:v>
      </x:c>
    </x:row>
    <x:row r="84">
      <x:c r="A84" s="72" t="str">
        <x:f>IF(OR(C84="",D84=""),"",B84&amp;"-"&amp;UPPER(C84)&amp;"-"&amp;TEXT(D84,"0000")&amp;"-"&amp;E84)</x:f>
        <x:v>M06-CHONG-0078-V1.0</x:v>
      </x:c>
      <x:c r="B84" s="74" t="str">
        <x:v>M06</x:v>
      </x:c>
      <x:c r="C84" s="74" t="str">
        <x:v>CHONG</x:v>
      </x:c>
      <x:c r="D84" s="79" t="n">
        <x:v>78</x:v>
      </x:c>
      <x:c r="E84" s="74" t="str">
        <x:v>V1.0</x:v>
      </x:c>
      <x:c r="F84" s="68" t="str">
        <x:v>四库地相冲生成开库候选而非自动开库</x:v>
      </x:c>
      <x:c r="G84" s="82" t="str">
        <x:v>效应层</x:v>
      </x:c>
      <x:c r="H84" s="68" t="str">
        <x:v>M05-CHONG-0028-V1.0；M05-CHONG-0031-V1.0</x:v>
      </x:c>
      <x:c r="I84" s="82" t="str">
        <x:v>六冲</x:v>
      </x:c>
      <x:c r="J84" s="68" t="str">
        <x:v>丑未或辰戌</x:v>
      </x:c>
      <x:c r="K84" s="68" t="str">
        <x:v>四库支及库中藏干</x:v>
      </x:c>
      <x:c r="L84" s="82" t="str">
        <x:v>逐对象比较得令、得地、得势与相对强弱</x:v>
      </x:c>
      <x:c r="M84" s="68" t="str">
        <x:v>记录参与对象中谁得令、谁受季节支持</x:v>
      </x:c>
      <x:c r="N84" s="68" t="str">
        <x:v>记录明干及相关藏干的透出通道</x:v>
      </x:c>
      <x:c r="O84" s="68" t="str">
        <x:v>记录各对象根气层级、数量及是否唯一根</x:v>
      </x:c>
      <x:c r="P84" s="68" t="str">
        <x:v>检查同节点的合、冲、刑、害、破、会及生克</x:v>
      </x:c>
      <x:c r="Q84" s="82" t="str">
        <x:v>开库</x:v>
      </x:c>
      <x:c r="R84" s="82" t="str">
        <x:v>激活</x:v>
      </x:c>
      <x:c r="S84" s="82" t="str">
        <x:v>强</x:v>
      </x:c>
      <x:c r="T84" s="82" t="str">
        <x:v>否</x:v>
      </x:c>
      <x:c r="U84" s="82" t="str">
        <x:v>条件性</x:v>
      </x:c>
      <x:c r="V84" s="82" t="str">
        <x:v>是</x:v>
      </x:c>
      <x:c r="W84" s="82" t="str">
        <x:v>条件性</x:v>
      </x:c>
      <x:c r="X84" s="82" t="str">
        <x:v>条件性</x:v>
      </x:c>
      <x:c r="Y84" s="68" t="str">
        <x:v>库中藏干可能被释放，也可能形成土战与阻塞</x:v>
      </x:c>
      <x:c r="Z84" s="68" t="str">
        <x:v>M04/M05已识别关系，柱位、完整度与参与对象已标准化</x:v>
      </x:c>
      <x:c r="AA84" s="68" t="str">
        <x:v>必须指向具体作用对象，并比较各方力量、根气和通道</x:v>
      </x:c>
      <x:c r="AB84" s="68" t="str">
        <x:v>关系相邻、得令、得地、成势且无强力反制</x:v>
      </x:c>
      <x:c r="AC84" s="68" t="str">
        <x:v>遥隔、争合、节点被其他关系牵制或双方各有强根</x:v>
      </x:c>
      <x:c r="AD84" s="90" t="str">
        <x:v>仅凭关系名称不得直接判性质改变、归零或固定吉凶</x:v>
      </x:c>
      <x:c r="AE84" s="68" t="str">
        <x:v>特殊格局或岁运动态补齐须另建实例重新裁决</x:v>
      </x:c>
      <x:c r="AF84" s="84" t="str">
        <x:v>辰戌、丑未相冲可扰动库气并生成开库候选；是否真正释放某藏干须看库中有物、力量与承接。</x:v>
      </x:c>
      <x:c r="AG84" s="84" t="str">
        <x:v>四库相冲，生成开库与藏干引动候选；未验证前不直接判库中全部透出。</x:v>
      </x:c>
      <x:c r="AH84" s="82" t="str">
        <x:v>较高</x:v>
      </x:c>
      <x:c r="AI84" s="82" t="str">
        <x:v>现代综合</x:v>
      </x:c>
      <x:c r="AJ84" s="68" t="str">
        <x:v>库宜开只是方向，仍需详细裁定。参考：https://zh.wikisource.org/zh-hans/滴天髓</x:v>
      </x:c>
      <x:c r="AK84" s="68" t="str">
        <x:v>辰戌冲且壬癸有承接，可评估辰中癸水被引动。</x:v>
      </x:c>
      <x:c r="AL84" s="90" t="str">
        <x:v>辰戌一冲就把所有库中藏干按透干计。</x:v>
      </x:c>
      <x:c r="AM84" s="82" t="str">
        <x:v>采用</x:v>
      </x:c>
      <x:c r="AN84" s="82" t="str">
        <x:v>初审</x:v>
      </x:c>
      <x:c r="AO84" s="87" t="n">
        <x:v>46255</x:v>
      </x:c>
    </x:row>
    <x:row r="85">
      <x:c r="A85" s="72" t="str">
        <x:f>IF(OR(C85="",D85=""),"",B85&amp;"-"&amp;UPPER(C85)&amp;"-"&amp;TEXT(D85,"0000")&amp;"-"&amp;E85)</x:f>
        <x:v>M06-CHONG-0079-V1.0</x:v>
      </x:c>
      <x:c r="B85" s="74" t="str">
        <x:v>M06</x:v>
      </x:c>
      <x:c r="C85" s="74" t="str">
        <x:v>CHONG</x:v>
      </x:c>
      <x:c r="D85" s="79" t="n">
        <x:v>79</x:v>
      </x:c>
      <x:c r="E85" s="74" t="str">
        <x:v>V1.0</x:v>
      </x:c>
      <x:c r="F85" s="68" t="str">
        <x:v>开库成立需有库物、承接与非毁损条件</x:v>
      </x:c>
      <x:c r="G85" s="82" t="str">
        <x:v>效应层</x:v>
      </x:c>
      <x:c r="H85" s="68" t="str">
        <x:v>M05-CHONG-0028-V1.0；M05-CHONG-0031-V1.0</x:v>
      </x:c>
      <x:c r="I85" s="82" t="str">
        <x:v>六冲</x:v>
      </x:c>
      <x:c r="J85" s="68" t="str">
        <x:v>四库相冲及库内藏干</x:v>
      </x:c>
      <x:c r="K85" s="68" t="str">
        <x:v>拟释放的具体藏干</x:v>
      </x:c>
      <x:c r="L85" s="82" t="str">
        <x:v>逐对象比较得令、得地、得势与相对强弱</x:v>
      </x:c>
      <x:c r="M85" s="68" t="str">
        <x:v>记录参与对象中谁得令、谁受季节支持</x:v>
      </x:c>
      <x:c r="N85" s="68" t="str">
        <x:v>记录明干及相关藏干的透出通道</x:v>
      </x:c>
      <x:c r="O85" s="68" t="str">
        <x:v>记录各对象根气层级、数量及是否唯一根</x:v>
      </x:c>
      <x:c r="P85" s="68" t="str">
        <x:v>检查同节点的合、冲、刑、害、破、会及生克</x:v>
      </x:c>
      <x:c r="Q85" s="82" t="str">
        <x:v>开库</x:v>
      </x:c>
      <x:c r="R85" s="82" t="str">
        <x:v>激活</x:v>
      </x:c>
      <x:c r="S85" s="82" t="str">
        <x:v>中</x:v>
      </x:c>
      <x:c r="T85" s="82" t="str">
        <x:v>否</x:v>
      </x:c>
      <x:c r="U85" s="82" t="str">
        <x:v>条件性</x:v>
      </x:c>
      <x:c r="V85" s="82" t="str">
        <x:v>是</x:v>
      </x:c>
      <x:c r="W85" s="82" t="str">
        <x:v>条件性</x:v>
      </x:c>
      <x:c r="X85" s="82" t="str">
        <x:v>条件性</x:v>
      </x:c>
      <x:c r="Y85" s="68" t="str">
        <x:v>可能改变原有生克路径，须在M12复核</x:v>
      </x:c>
      <x:c r="Z85" s="68" t="str">
        <x:v>M04/M05已识别关系，柱位、完整度与参与对象已标准化</x:v>
      </x:c>
      <x:c r="AA85" s="68" t="str">
        <x:v>指定库物；确认其有承接通道；比较土势与克制</x:v>
      </x:c>
      <x:c r="AB85" s="68" t="str">
        <x:v>库物透干、有同党或为全局所需通道</x:v>
      </x:c>
      <x:c r="AC85" s="68" t="str">
        <x:v>库物无根无透、被强克或土战壅塞</x:v>
      </x:c>
      <x:c r="AD85" s="90" t="str">
        <x:v>未指定库物便直接判全部开库</x:v>
      </x:c>
      <x:c r="AE85" s="68" t="str">
        <x:v>特殊格局或岁运动态补齐须另建实例重新裁决</x:v>
      </x:c>
      <x:c r="AF85" s="84" t="str">
        <x:v>开库必须明确释放对象，且该藏干在局中有根源、透达或承接；若土战过重、藏干受克，可能是库损而非有效释放。</x:v>
      </x:c>
      <x:c r="AG85" s="84" t="str">
        <x:v>本次库冲对指定藏干形成有效释放/仅引动/受损，三者择一，不可笼统写“开库”。</x:v>
      </x:c>
      <x:c r="AH85" s="82" t="str">
        <x:v>较高</x:v>
      </x:c>
      <x:c r="AI85" s="82" t="str">
        <x:v>现代综合</x:v>
      </x:c>
      <x:c r="AJ85" s="68" t="str">
        <x:v>库冲的结果可能是释放、扰动或毁损。参考：https://zh.wikisource.org/zh-hans/滴天髓</x:v>
      </x:c>
      <x:c r="AK85" s="68" t="str">
        <x:v>辰戌冲后只评估辰中癸水是否有壬癸承接，不泛化全部藏干。</x:v>
      </x:c>
      <x:c r="AL85" s="90" t="str">
        <x:v>只写“墓库被冲开”，不说明开出什么、是否可用。</x:v>
      </x:c>
      <x:c r="AM85" s="82" t="str">
        <x:v>采用</x:v>
      </x:c>
      <x:c r="AN85" s="82" t="str">
        <x:v>初审</x:v>
      </x:c>
      <x:c r="AO85" s="87" t="n">
        <x:v>46255</x:v>
      </x:c>
    </x:row>
    <x:row r="86">
      <x:c r="A86" s="72" t="str">
        <x:f>IF(OR(C86="",D86=""),"",B86&amp;"-"&amp;UPPER(C86)&amp;"-"&amp;TEXT(D86,"0000")&amp;"-"&amp;E86)</x:f>
        <x:v>M06-CHONG-0080-V1.0</x:v>
      </x:c>
      <x:c r="B86" s="74" t="str">
        <x:v>M06</x:v>
      </x:c>
      <x:c r="C86" s="74" t="str">
        <x:v>CHONG</x:v>
      </x:c>
      <x:c r="D86" s="79" t="n">
        <x:v>80</x:v>
      </x:c>
      <x:c r="E86" s="74" t="str">
        <x:v>V1.0</x:v>
      </x:c>
      <x:c r="F86" s="68" t="str">
        <x:v>一支受多方冲击时冲效应可累积升级</x:v>
      </x:c>
      <x:c r="G86" s="82" t="str">
        <x:v>效应层</x:v>
      </x:c>
      <x:c r="H86" s="68" t="str">
        <x:v>M05-OVER-0068-V1.0—M05-OVER-0069-V1.0；M05-CHONG-0027-V1.0—M05-CHONG-0032-V1.0</x:v>
      </x:c>
      <x:c r="I86" s="82" t="str">
        <x:v>六冲</x:v>
      </x:c>
      <x:c r="J86" s="68" t="str">
        <x:v>重复冲方或同一支受多次冲</x:v>
      </x:c>
      <x:c r="K86" s="68" t="str">
        <x:v>被集中冲击的地支</x:v>
      </x:c>
      <x:c r="L86" s="82" t="str">
        <x:v>逐对象比较得令、得地、得势与相对强弱</x:v>
      </x:c>
      <x:c r="M86" s="68" t="str">
        <x:v>记录参与对象中谁得令、谁受季节支持</x:v>
      </x:c>
      <x:c r="N86" s="68" t="str">
        <x:v>记录明干及相关藏干的透出通道</x:v>
      </x:c>
      <x:c r="O86" s="68" t="str">
        <x:v>记录各对象根气层级、数量及是否唯一根</x:v>
      </x:c>
      <x:c r="P86" s="68" t="str">
        <x:v>检查同节点的合、冲、刑、害、破、会及生克</x:v>
      </x:c>
      <x:c r="Q86" s="82" t="str">
        <x:v>冲散</x:v>
      </x:c>
      <x:c r="R86" s="82" t="str">
        <x:v>减弱</x:v>
      </x:c>
      <x:c r="S86" s="82" t="str">
        <x:v>强</x:v>
      </x:c>
      <x:c r="T86" s="82" t="str">
        <x:v>否</x:v>
      </x:c>
      <x:c r="U86" s="82" t="str">
        <x:v>条件性</x:v>
      </x:c>
      <x:c r="V86" s="82" t="str">
        <x:v>是</x:v>
      </x:c>
      <x:c r="W86" s="82" t="str">
        <x:v>条件性</x:v>
      </x:c>
      <x:c r="X86" s="82" t="str">
        <x:v>是</x:v>
      </x:c>
      <x:c r="Y86" s="68" t="str">
        <x:v>可能改变原有生克路径，须在M12复核</x:v>
      </x:c>
      <x:c r="Z86" s="68" t="str">
        <x:v>M04/M05已识别关系，柱位、完整度与参与对象已标准化</x:v>
      </x:c>
      <x:c r="AA86" s="68" t="str">
        <x:v>冲击来自独立节点或不同时间层级，不是同一关系重复登记</x:v>
      </x:c>
      <x:c r="AB86" s="68" t="str">
        <x:v>关系相邻、得令、得地、成势且无强力反制</x:v>
      </x:c>
      <x:c r="AC86" s="68" t="str">
        <x:v>遥隔、争合、节点被其他关系牵制或双方各有强根</x:v>
      </x:c>
      <x:c r="AD86" s="90" t="str">
        <x:v>仅凭关系名称不得直接判性质改变、归零或固定吉凶</x:v>
      </x:c>
      <x:c r="AE86" s="68" t="str">
        <x:v>特殊格局或岁运动态补齐须另建实例重新裁决</x:v>
      </x:c>
      <x:c r="AF86" s="84" t="str">
        <x:v>同一弱支在不同柱位被多次冲击，或岁运再叠加冲时，效应可由冲动升级为冲弱、冲散；但需防止重复计算同一关系。</x:v>
      </x:c>
      <x:c r="AG86" s="84" t="str">
        <x:v>该支受多重独立冲击，冲效应升级；已去重后再评估根气与藏干。</x:v>
      </x:c>
      <x:c r="AH86" s="82" t="str">
        <x:v>较高</x:v>
      </x:c>
      <x:c r="AI86" s="82" t="str">
        <x:v>现代综合</x:v>
      </x:c>
      <x:c r="AJ86" s="68" t="str">
        <x:v>多重关系需按实例计数再综合。参考：https://ctext.org/wiki.pl?chapter=435028&amp;if=gb&amp;remap=gb</x:v>
      </x:c>
      <x:c r="AK86" s="68" t="str">
        <x:v>两申分别冲一寅，且寅弱无援，可提高寅受损等级。</x:v>
      </x:c>
      <x:c r="AL86" s="90" t="str">
        <x:v>同一寅申冲被重复登记三次后虚增权重。</x:v>
      </x:c>
      <x:c r="AM86" s="82" t="str">
        <x:v>采用</x:v>
      </x:c>
      <x:c r="AN86" s="82" t="str">
        <x:v>初审</x:v>
      </x:c>
      <x:c r="AO86" s="87" t="n">
        <x:v>46255</x:v>
      </x:c>
    </x:row>
    <x:row r="87">
      <x:c r="A87" s="72" t="str">
        <x:f>IF(OR(C87="",D87=""),"",B87&amp;"-"&amp;UPPER(C87)&amp;"-"&amp;TEXT(D87,"0000")&amp;"-"&amp;E87)</x:f>
        <x:v>M06-CHONG-0081-V1.0</x:v>
      </x:c>
      <x:c r="B87" s="74" t="str">
        <x:v>M06</x:v>
      </x:c>
      <x:c r="C87" s="74" t="str">
        <x:v>CHONG</x:v>
      </x:c>
      <x:c r="D87" s="79" t="n">
        <x:v>81</x:v>
      </x:c>
      <x:c r="E87" s="74" t="str">
        <x:v>V1.0</x:v>
      </x:c>
      <x:c r="F87" s="68" t="str">
        <x:v>六冲结论必须按对象选择具体效应标签</x:v>
      </x:c>
      <x:c r="G87" s="82" t="str">
        <x:v>效应层</x:v>
      </x:c>
      <x:c r="H87" s="68" t="str">
        <x:v>M05-BOUND-0077-V1.0；M05-BOUND-0090-V1.0</x:v>
      </x:c>
      <x:c r="I87" s="82" t="str">
        <x:v>六冲</x:v>
      </x:c>
      <x:c r="J87" s="68" t="str">
        <x:v>任一六冲配对</x:v>
      </x:c>
      <x:c r="K87" s="68" t="str">
        <x:v>双方分别输出</x:v>
      </x:c>
      <x:c r="L87" s="82" t="str">
        <x:v>逐对象比较得令、得地、得势与相对强弱</x:v>
      </x:c>
      <x:c r="M87" s="68" t="str">
        <x:v>记录参与对象中谁得令、谁受季节支持</x:v>
      </x:c>
      <x:c r="N87" s="68" t="str">
        <x:v>记录明干及相关藏干的透出通道</x:v>
      </x:c>
      <x:c r="O87" s="68" t="str">
        <x:v>记录各对象根气层级、数量及是否唯一根</x:v>
      </x:c>
      <x:c r="P87" s="68" t="str">
        <x:v>检查同节点的合、冲、刑、害、破、会及生克</x:v>
      </x:c>
      <x:c r="Q87" s="82" t="str">
        <x:v>其他</x:v>
      </x:c>
      <x:c r="R87" s="82" t="str">
        <x:v>条件性</x:v>
      </x:c>
      <x:c r="S87" s="82" t="str">
        <x:v>待定</x:v>
      </x:c>
      <x:c r="T87" s="82" t="str">
        <x:v>否</x:v>
      </x:c>
      <x:c r="U87" s="82" t="str">
        <x:v>条件性</x:v>
      </x:c>
      <x:c r="V87" s="82" t="str">
        <x:v>条件性</x:v>
      </x:c>
      <x:c r="W87" s="82" t="str">
        <x:v>条件性</x:v>
      </x:c>
      <x:c r="X87" s="82" t="str">
        <x:v>条件性</x:v>
      </x:c>
      <x:c r="Y87" s="68" t="str">
        <x:v>输出结果转入M08有效旺衰与M12流通</x:v>
      </x:c>
      <x:c r="Z87" s="68" t="str">
        <x:v>M04/M05已识别关系，柱位、完整度与参与对象已标准化</x:v>
      </x:c>
      <x:c r="AA87" s="68" t="str">
        <x:v>双方分别给出支持证据与反向证据</x:v>
      </x:c>
      <x:c r="AB87" s="68" t="str">
        <x:v>关系相邻、得令、得地、成势且无强力反制</x:v>
      </x:c>
      <x:c r="AC87" s="68" t="str">
        <x:v>遥隔、争合、节点被其他关系牵制或双方各有强根</x:v>
      </x:c>
      <x:c r="AD87" s="90" t="str">
        <x:v>用一个统一结论覆盖双方</x:v>
      </x:c>
      <x:c r="AE87" s="68" t="str">
        <x:v>特殊格局或岁运动态补齐须另建实例重新裁决</x:v>
      </x:c>
      <x:c r="AF87" s="84" t="str">
        <x:v>M06不得只写“有冲”；每一方至少在冲动、冲旺、冲弱、冲散、冲开、冲去中选择适用标签并说明条件。</x:v>
      </x:c>
      <x:c r="AG87" s="84" t="str">
        <x:v>对象A：____；对象B：____；依据为月令、根气、成势及叠加关系。</x:v>
      </x:c>
      <x:c r="AH87" s="82" t="str">
        <x:v>较高</x:v>
      </x:c>
      <x:c r="AI87" s="82" t="str">
        <x:v>现代综合</x:v>
      </x:c>
      <x:c r="AJ87" s="68" t="str">
        <x:v>冲的结果是对象依赖的，不是关系名自带的。参考：https://zh.wikisource.org/zh-hans/滴天髓</x:v>
      </x:c>
      <x:c r="AK87" s="68" t="str">
        <x:v>寅申冲：寅冲弱、申冲旺，分别记录。</x:v>
      </x:c>
      <x:c r="AL87" s="90" t="str">
        <x:v>只写“寅申冲，双方减力”。</x:v>
      </x:c>
      <x:c r="AM87" s="82" t="str">
        <x:v>采用</x:v>
      </x:c>
      <x:c r="AN87" s="82" t="str">
        <x:v>初审</x:v>
      </x:c>
      <x:c r="AO87" s="87" t="n">
        <x:v>46255</x:v>
      </x:c>
    </x:row>
    <x:row r="88">
      <x:c r="A88" s="72" t="str">
        <x:f>IF(OR(C88="",D88=""),"",B88&amp;"-"&amp;UPPER(C88)&amp;"-"&amp;TEXT(D88,"0000")&amp;"-"&amp;E88)</x:f>
        <x:v>M06-CHONG-0082-V1.0</x:v>
      </x:c>
      <x:c r="B88" s="74" t="str">
        <x:v>M06</x:v>
      </x:c>
      <x:c r="C88" s="74" t="str">
        <x:v>CHONG</x:v>
      </x:c>
      <x:c r="D88" s="79" t="n">
        <x:v>82</x:v>
      </x:c>
      <x:c r="E88" s="74" t="str">
        <x:v>V1.0</x:v>
      </x:c>
      <x:c r="F88" s="68" t="str">
        <x:v>冲去必须满足极端强弱与唯一根门槛</x:v>
      </x:c>
      <x:c r="G88" s="82" t="str">
        <x:v>效应层</x:v>
      </x:c>
      <x:c r="H88" s="68" t="str">
        <x:v>M05-CHONG-0027-V1.0—M05-CHONG-0032-V1.0</x:v>
      </x:c>
      <x:c r="I88" s="82" t="str">
        <x:v>六冲</x:v>
      </x:c>
      <x:c r="J88" s="68" t="str">
        <x:v>强冲方与孤弱被冲支</x:v>
      </x:c>
      <x:c r="K88" s="68" t="str">
        <x:v>拟被冲去的地支</x:v>
      </x:c>
      <x:c r="L88" s="82" t="str">
        <x:v>冲方旺极或成局，被冲支极弱孤立</x:v>
      </x:c>
      <x:c r="M88" s="68" t="str">
        <x:v>记录参与对象中谁得令、谁受季节支持</x:v>
      </x:c>
      <x:c r="N88" s="68" t="str">
        <x:v>记录明干及相关藏干的透出通道</x:v>
      </x:c>
      <x:c r="O88" s="68" t="str">
        <x:v>记录各对象根气层级、数量及是否唯一根</x:v>
      </x:c>
      <x:c r="P88" s="68" t="str">
        <x:v>检查同节点的合、冲、刑、害、破、会及生克</x:v>
      </x:c>
      <x:c r="Q88" s="82" t="str">
        <x:v>冲去</x:v>
      </x:c>
      <x:c r="R88" s="82" t="str">
        <x:v>减弱</x:v>
      </x:c>
      <x:c r="S88" s="82" t="str">
        <x:v>决定性</x:v>
      </x:c>
      <x:c r="T88" s="82" t="str">
        <x:v>否</x:v>
      </x:c>
      <x:c r="U88" s="82" t="str">
        <x:v>是</x:v>
      </x:c>
      <x:c r="V88" s="82" t="str">
        <x:v>是</x:v>
      </x:c>
      <x:c r="W88" s="82" t="str">
        <x:v>否</x:v>
      </x:c>
      <x:c r="X88" s="82" t="str">
        <x:v>是</x:v>
      </x:c>
      <x:c r="Y88" s="68" t="str">
        <x:v>被冲支原有通道近乎中断</x:v>
      </x:c>
      <x:c r="Z88" s="68" t="str">
        <x:v>M04/M05已识别关系，柱位、完整度与参与对象已标准化</x:v>
      </x:c>
      <x:c r="AA88" s="68" t="str">
        <x:v>四项同时满足：强弱悬殊、无援、唯一弱根、无救应</x:v>
      </x:c>
      <x:c r="AB88" s="68" t="str">
        <x:v>同节点再受刑害破或岁运重复冲</x:v>
      </x:c>
      <x:c r="AC88" s="68" t="str">
        <x:v>存在任何有效同党、强根或解冲结构</x:v>
      </x:c>
      <x:c r="AD88" s="90" t="str">
        <x:v>只凭相冲配对使用“冲去”</x:v>
      </x:c>
      <x:c r="AE88" s="68" t="str">
        <x:v>冲去是当前有效状态，不从原始四柱数据删除该支</x:v>
      </x:c>
      <x:c r="AF88" s="84" t="str">
        <x:v>只有强弱极悬殊、被冲支无援、为唯一弱根且无合会救应时，才可使用“冲去”；一般六冲不得采用该标签。</x:v>
      </x:c>
      <x:c r="AG88" s="84" t="str">
        <x:v>满足冲去门槛：该支主要有效功能近乎退出；原始节点仍保留供岁运复核。</x:v>
      </x:c>
      <x:c r="AH88" s="82" t="str">
        <x:v>较高</x:v>
      </x:c>
      <x:c r="AI88" s="82" t="str">
        <x:v>现代综合</x:v>
      </x:c>
      <x:c r="AJ88" s="68" t="str">
        <x:v>把“冲去”设为高门槛可防止将一般冲动夸大。参考：https://zh.wikisource.org/zh-hans/滴天髓</x:v>
      </x:c>
      <x:c r="AK88" s="68" t="str">
        <x:v>旺申多党冲孤弱寅，寅为甲唯一余气根且无救，可判近冲去。</x:v>
      </x:c>
      <x:c r="AL88" s="90" t="str">
        <x:v>寅申力量相近仍写寅被冲去。</x:v>
      </x:c>
      <x:c r="AM88" s="82" t="str">
        <x:v>采用</x:v>
      </x:c>
      <x:c r="AN88" s="82" t="str">
        <x:v>初审</x:v>
      </x:c>
      <x:c r="AO88" s="87" t="n">
        <x:v>46255</x:v>
      </x:c>
    </x:row>
    <x:row r="89">
      <x:c r="A89" s="72" t="str">
        <x:f>IF(OR(C89="",D89=""),"",B89&amp;"-"&amp;UPPER(C89)&amp;"-"&amp;TEXT(D89,"0000")&amp;"-"&amp;E89)</x:f>
        <x:v>M06-XING-0083-V1.0</x:v>
      </x:c>
      <x:c r="B89" s="74" t="str">
        <x:v>M06</x:v>
      </x:c>
      <x:c r="C89" s="74" t="str">
        <x:v>XING</x:v>
      </x:c>
      <x:c r="D89" s="79" t="n">
        <x:v>83</x:v>
      </x:c>
      <x:c r="E89" s="74" t="str">
        <x:v>V1.0</x:v>
      </x:c>
      <x:c r="F89" s="68" t="str">
        <x:v>三刑只生成刑动刑伤候选不固定减力</x:v>
      </x:c>
      <x:c r="G89" s="82" t="str">
        <x:v>效应层</x:v>
      </x:c>
      <x:c r="H89" s="68" t="str">
        <x:v>M05-XING-0033-V1.0—M05-XING-0041-V1.0；M05-BOUND-0078-V1.0</x:v>
      </x:c>
      <x:c r="I89" s="82" t="str">
        <x:v>三刑</x:v>
      </x:c>
      <x:c r="J89" s="68" t="str">
        <x:v>任一局部或完整刑关系</x:v>
      </x:c>
      <x:c r="K89" s="68" t="str">
        <x:v>参与各支</x:v>
      </x:c>
      <x:c r="L89" s="82" t="str">
        <x:v>逐对象比较得令、得地、得势与相对强弱</x:v>
      </x:c>
      <x:c r="M89" s="68" t="str">
        <x:v>记录参与对象中谁得令、谁受季节支持</x:v>
      </x:c>
      <x:c r="N89" s="68" t="str">
        <x:v>记录明干及相关藏干的透出通道</x:v>
      </x:c>
      <x:c r="O89" s="68" t="str">
        <x:v>记录各对象根气层级、数量及是否唯一根</x:v>
      </x:c>
      <x:c r="P89" s="68" t="str">
        <x:v>检查同节点的合、冲、刑、害、破、会及生克</x:v>
      </x:c>
      <x:c r="Q89" s="82" t="str">
        <x:v>刑动</x:v>
      </x:c>
      <x:c r="R89" s="82" t="str">
        <x:v>激活</x:v>
      </x:c>
      <x:c r="S89" s="82" t="str">
        <x:v>中</x:v>
      </x:c>
      <x:c r="T89" s="82" t="str">
        <x:v>否</x:v>
      </x:c>
      <x:c r="U89" s="82" t="str">
        <x:v>条件性</x:v>
      </x:c>
      <x:c r="V89" s="82" t="str">
        <x:v>条件性</x:v>
      </x:c>
      <x:c r="W89" s="82" t="str">
        <x:v>条件性</x:v>
      </x:c>
      <x:c r="X89" s="82" t="str">
        <x:v>条件性</x:v>
      </x:c>
      <x:c r="Y89" s="68" t="str">
        <x:v>可能形成局部阻滞、反复引动或藏干冲突</x:v>
      </x:c>
      <x:c r="Z89" s="68" t="str">
        <x:v>M04/M05已识别关系，柱位、完整度与参与对象已标准化</x:v>
      </x:c>
      <x:c r="AA89" s="68" t="str">
        <x:v>M05已区分局部刑与完整三刑</x:v>
      </x:c>
      <x:c r="AB89" s="68" t="str">
        <x:v>关系相邻、得令、得地、成势且无强力反制</x:v>
      </x:c>
      <x:c r="AC89" s="68" t="str">
        <x:v>遥隔、争合、节点被其他关系牵制或双方各有强根</x:v>
      </x:c>
      <x:c r="AD89" s="90" t="str">
        <x:v>仅凭关系名称不得直接判性质改变、归零或固定吉凶</x:v>
      </x:c>
      <x:c r="AE89" s="68" t="str">
        <x:v>特殊格局或岁运动态补齐须另建实例重新裁决</x:v>
      </x:c>
      <x:c r="AF89" s="84" t="str">
        <x:v>刑关系首先表示内部牵扯、失序或反复引动；是否达到刑伤、根损或流通阻断须看各支强弱与重叠关系。</x:v>
      </x:c>
      <x:c r="AG89" s="84" t="str">
        <x:v>三刑关系成立，先判刑动；是否刑伤及减力程度逐支确认。</x:v>
      </x:c>
      <x:c r="AH89" s="82" t="str">
        <x:v>较高</x:v>
      </x:c>
      <x:c r="AI89" s="82" t="str">
        <x:v>现代综合</x:v>
      </x:c>
      <x:c r="AJ89" s="68" t="str">
        <x:v>刑害有动不动之异，不宜把刑直接换算为统一减力。参考：https://zh.wikisource.org/zh-hans/滴天髓</x:v>
      </x:c>
      <x:c r="AK89" s="68" t="str">
        <x:v>寅巳刑先记刑动，再看寅木、巳火谁得令有根。</x:v>
      </x:c>
      <x:c r="AL89" s="90" t="str">
        <x:v>见刑便把参与支全部扣同等力量。</x:v>
      </x:c>
      <x:c r="AM89" s="82" t="str">
        <x:v>采用</x:v>
      </x:c>
      <x:c r="AN89" s="82" t="str">
        <x:v>初审</x:v>
      </x:c>
      <x:c r="AO89" s="87" t="n">
        <x:v>46255</x:v>
      </x:c>
    </x:row>
    <x:row r="90">
      <x:c r="A90" s="72" t="str">
        <x:f>IF(OR(C90="",D90=""),"",B90&amp;"-"&amp;UPPER(C90)&amp;"-"&amp;TEXT(D90,"0000")&amp;"-"&amp;E90)</x:f>
        <x:v>M06-XING-0084-V1.0</x:v>
      </x:c>
      <x:c r="B90" s="74" t="str">
        <x:v>M06</x:v>
      </x:c>
      <x:c r="C90" s="74" t="str">
        <x:v>XING</x:v>
      </x:c>
      <x:c r="D90" s="79" t="n">
        <x:v>84</x:v>
      </x:c>
      <x:c r="E90" s="74" t="str">
        <x:v>V1.0</x:v>
      </x:c>
      <x:c r="F90" s="68" t="str">
        <x:v>寅巳申完整三刑提高结构复杂度而非全员受伤</x:v>
      </x:c>
      <x:c r="G90" s="82" t="str">
        <x:v>效应层</x:v>
      </x:c>
      <x:c r="H90" s="68" t="str">
        <x:v>M05-XING-0036-V1.0</x:v>
      </x:c>
      <x:c r="I90" s="82" t="str">
        <x:v>三刑</x:v>
      </x:c>
      <x:c r="J90" s="68" t="str">
        <x:v>寅、巳、申</x:v>
      </x:c>
      <x:c r="K90" s="68" t="str">
        <x:v>寅、巳、申分别输出</x:v>
      </x:c>
      <x:c r="L90" s="82" t="str">
        <x:v>逐对象比较得令、得地、得势与相对强弱</x:v>
      </x:c>
      <x:c r="M90" s="68" t="str">
        <x:v>记录参与对象中谁得令、谁受季节支持</x:v>
      </x:c>
      <x:c r="N90" s="68" t="str">
        <x:v>记录明干及相关藏干的透出通道</x:v>
      </x:c>
      <x:c r="O90" s="68" t="str">
        <x:v>记录各对象根气层级、数量及是否唯一根</x:v>
      </x:c>
      <x:c r="P90" s="68" t="str">
        <x:v>检查同节点的合、冲、刑、害、破、会及生克</x:v>
      </x:c>
      <x:c r="Q90" s="82" t="str">
        <x:v>刑动</x:v>
      </x:c>
      <x:c r="R90" s="82" t="str">
        <x:v>激活</x:v>
      </x:c>
      <x:c r="S90" s="82" t="str">
        <x:v>强</x:v>
      </x:c>
      <x:c r="T90" s="82" t="str">
        <x:v>否</x:v>
      </x:c>
      <x:c r="U90" s="82" t="str">
        <x:v>条件性</x:v>
      </x:c>
      <x:c r="V90" s="82" t="str">
        <x:v>是</x:v>
      </x:c>
      <x:c r="W90" s="82" t="str">
        <x:v>条件性</x:v>
      </x:c>
      <x:c r="X90" s="82" t="str">
        <x:v>条件性</x:v>
      </x:c>
      <x:c r="Y90" s="68" t="str">
        <x:v>木火金路径交错，易形成多节点卡点</x:v>
      </x:c>
      <x:c r="Z90" s="68" t="str">
        <x:v>M04/M05已识别关系，柱位、完整度与参与对象已标准化</x:v>
      </x:c>
      <x:c r="AA90" s="68" t="str">
        <x:v>分别比较寅、巳、申的月令、根气、透干和同党</x:v>
      </x:c>
      <x:c r="AB90" s="68" t="str">
        <x:v>关系相邻、得令、得地、成势且无强力反制</x:v>
      </x:c>
      <x:c r="AC90" s="68" t="str">
        <x:v>遥隔、争合、节点被其他关系牵制或双方各有强根</x:v>
      </x:c>
      <x:c r="AD90" s="90" t="str">
        <x:v>仅凭关系名称不得直接判性质改变、归零或固定吉凶</x:v>
      </x:c>
      <x:c r="AE90" s="68" t="str">
        <x:v>特殊格局或岁运动态补齐须另建实例重新裁决</x:v>
      </x:c>
      <x:c r="AF90" s="84" t="str">
        <x:v>三支齐全使木火金及多层藏干同时被引动，但每支结果可能不同：有的受制、有的被激活、有的仅牵制。</x:v>
      </x:c>
      <x:c r="AG90" s="84" t="str">
        <x:v>寅巳申三刑完整，逐支输出刑动、刑伤或作用有限；禁止统一判三支减力。</x:v>
      </x:c>
      <x:c r="AH90" s="82" t="str">
        <x:v>较高</x:v>
      </x:c>
      <x:c r="AI90" s="82" t="str">
        <x:v>现代综合</x:v>
      </x:c>
      <x:c r="AJ90" s="68" t="str">
        <x:v>完整三刑是关系网络，不是统一伤害公式。参考：https://zh.wikisource.org/zh-hans/滴天髓</x:v>
      </x:c>
      <x:c r="AK90" s="68" t="str">
        <x:v>申得令、巳有根、寅弱时，可判寅受损较重、申被激活、巳受牵。</x:v>
      </x:c>
      <x:c r="AL90" s="90" t="str">
        <x:v>寅巳申一齐便认定巳火必然最弱。</x:v>
      </x:c>
      <x:c r="AM90" s="82" t="str">
        <x:v>采用</x:v>
      </x:c>
      <x:c r="AN90" s="82" t="str">
        <x:v>初审</x:v>
      </x:c>
      <x:c r="AO90" s="87" t="n">
        <x:v>46255</x:v>
      </x:c>
    </x:row>
    <x:row r="91">
      <x:c r="A91" s="72" t="str">
        <x:f>IF(OR(C91="",D91=""),"",B91&amp;"-"&amp;UPPER(C91)&amp;"-"&amp;TEXT(D91,"0000")&amp;"-"&amp;E91)</x:f>
        <x:v>M06-XING-0085-V1.0</x:v>
      </x:c>
      <x:c r="B91" s="74" t="str">
        <x:v>M06</x:v>
      </x:c>
      <x:c r="C91" s="74" t="str">
        <x:v>XING</x:v>
      </x:c>
      <x:c r="D91" s="79" t="n">
        <x:v>85</x:v>
      </x:c>
      <x:c r="E91" s="74" t="str">
        <x:v>V1.0</x:v>
      </x:c>
      <x:c r="F91" s="68" t="str">
        <x:v>寅巳申须同时保留冲合害破的叠加效应</x:v>
      </x:c>
      <x:c r="G91" s="82" t="str">
        <x:v>效应层</x:v>
      </x:c>
      <x:c r="H91" s="68" t="str">
        <x:v>M05-OVER-0081-V1.0；M05-OVER-0082-V1.0；M05-OVER-0084-V1.0</x:v>
      </x:c>
      <x:c r="I91" s="82" t="str">
        <x:v>其他</x:v>
      </x:c>
      <x:c r="J91" s="68" t="str">
        <x:v>寅、巳、申及其两两关系</x:v>
      </x:c>
      <x:c r="K91" s="68" t="str">
        <x:v>共享节点与各关系实例</x:v>
      </x:c>
      <x:c r="L91" s="82" t="str">
        <x:v>逐对象比较得令、得地、得势与相对强弱</x:v>
      </x:c>
      <x:c r="M91" s="68" t="str">
        <x:v>记录参与对象中谁得令、谁受季节支持</x:v>
      </x:c>
      <x:c r="N91" s="68" t="str">
        <x:v>记录明干及相关藏干的透出通道</x:v>
      </x:c>
      <x:c r="O91" s="68" t="str">
        <x:v>记录各对象根气层级、数量及是否唯一根</x:v>
      </x:c>
      <x:c r="P91" s="68" t="str">
        <x:v>检查同节点的合、冲、刑、害、破、会及生克</x:v>
      </x:c>
      <x:c r="Q91" s="82" t="str">
        <x:v>其他</x:v>
      </x:c>
      <x:c r="R91" s="82" t="str">
        <x:v>条件性</x:v>
      </x:c>
      <x:c r="S91" s="82" t="str">
        <x:v>强</x:v>
      </x:c>
      <x:c r="T91" s="82" t="str">
        <x:v>条件性</x:v>
      </x:c>
      <x:c r="U91" s="82" t="str">
        <x:v>条件性</x:v>
      </x:c>
      <x:c r="V91" s="82" t="str">
        <x:v>是</x:v>
      </x:c>
      <x:c r="W91" s="82" t="str">
        <x:v>条件性</x:v>
      </x:c>
      <x:c r="X91" s="82" t="str">
        <x:v>条件性</x:v>
      </x:c>
      <x:c r="Y91" s="68" t="str">
        <x:v>多重关系可能相互强化、抵消或改道</x:v>
      </x:c>
      <x:c r="Z91" s="68" t="str">
        <x:v>M04/M05已识别关系，柱位、完整度与参与对象已标准化</x:v>
      </x:c>
      <x:c r="AA91" s="68" t="str">
        <x:v>全部关系实例已去重并指向具体对象</x:v>
      </x:c>
      <x:c r="AB91" s="68" t="str">
        <x:v>关系相邻、得令、得地、成势且无强力反制</x:v>
      </x:c>
      <x:c r="AC91" s="68" t="str">
        <x:v>遥隔、争合、节点被其他关系牵制或双方各有强根</x:v>
      </x:c>
      <x:c r="AD91" s="90" t="str">
        <x:v>仅凭关系名称不得直接判性质改变、归零或固定吉凶</x:v>
      </x:c>
      <x:c r="AE91" s="68" t="str">
        <x:v>特殊格局或岁运动态补齐须另建实例重新裁决</x:v>
      </x:c>
      <x:c r="AF91" s="84" t="str">
        <x:v>寅申同时有冲刑，寅巳有刑害，巳申有合刑破；M06必须先分别判断，再综合主次。</x:v>
      </x:c>
      <x:c r="AG91" s="84" t="str">
        <x:v>寅巳申关系网络已拆分：冲、合、刑、害、破分别评估后再合成，不设固定优先级。</x:v>
      </x:c>
      <x:c r="AH91" s="82" t="str">
        <x:v>中等</x:v>
      </x:c>
      <x:c r="AI91" s="82" t="str">
        <x:v>现代综合</x:v>
      </x:c>
      <x:c r="AJ91" s="68" t="str">
        <x:v>同一节点可同时参与多种关系，效果不能被单一“三刑”覆盖。参考：https://ctext.org/wiki.pl?chapter=974137&amp;if=gb&amp;remap=gb</x:v>
      </x:c>
      <x:c r="AK91" s="68" t="str">
        <x:v>巳申合弱而寅申冲强时，申先按冲刑主导，巳申合列次级。</x:v>
      </x:c>
      <x:c r="AL91" s="90" t="str">
        <x:v>只用“三刑”标签覆盖寅申冲和巳申合。</x:v>
      </x:c>
      <x:c r="AM91" s="82" t="str">
        <x:v>采用</x:v>
      </x:c>
      <x:c r="AN91" s="82" t="str">
        <x:v>初审</x:v>
      </x:c>
      <x:c r="AO91" s="87" t="n">
        <x:v>46255</x:v>
      </x:c>
    </x:row>
    <x:row r="92">
      <x:c r="A92" s="72" t="str">
        <x:f>IF(OR(C92="",D92=""),"",B92&amp;"-"&amp;UPPER(C92)&amp;"-"&amp;TEXT(D92,"0000")&amp;"-"&amp;E92)</x:f>
        <x:v>M06-XING-0086-V1.0</x:v>
      </x:c>
      <x:c r="B92" s="74" t="str">
        <x:v>M06</x:v>
      </x:c>
      <x:c r="C92" s="74" t="str">
        <x:v>XING</x:v>
      </x:c>
      <x:c r="D92" s="79" t="n">
        <x:v>86</x:v>
      </x:c>
      <x:c r="E92" s="74" t="str">
        <x:v>V1.0</x:v>
      </x:c>
      <x:c r="F92" s="68" t="str">
        <x:v>丑未戌完整三刑重在土气交战与库气扰动</x:v>
      </x:c>
      <x:c r="G92" s="82" t="str">
        <x:v>效应层</x:v>
      </x:c>
      <x:c r="H92" s="68" t="str">
        <x:v>M05-XING-0040-V1.0</x:v>
      </x:c>
      <x:c r="I92" s="82" t="str">
        <x:v>三刑</x:v>
      </x:c>
      <x:c r="J92" s="68" t="str">
        <x:v>丑、未、戌</x:v>
      </x:c>
      <x:c r="K92" s="68" t="str">
        <x:v>三土支及库中藏干</x:v>
      </x:c>
      <x:c r="L92" s="82" t="str">
        <x:v>逐对象比较得令、得地、得势与相对强弱</x:v>
      </x:c>
      <x:c r="M92" s="68" t="str">
        <x:v>记录参与对象中谁得令、谁受季节支持</x:v>
      </x:c>
      <x:c r="N92" s="68" t="str">
        <x:v>记录明干及相关藏干的透出通道</x:v>
      </x:c>
      <x:c r="O92" s="68" t="str">
        <x:v>记录各对象根气层级、数量及是否唯一根</x:v>
      </x:c>
      <x:c r="P92" s="68" t="str">
        <x:v>检查同节点的合、冲、刑、害、破、会及生克</x:v>
      </x:c>
      <x:c r="Q92" s="82" t="str">
        <x:v>刑动</x:v>
      </x:c>
      <x:c r="R92" s="82" t="str">
        <x:v>激活</x:v>
      </x:c>
      <x:c r="S92" s="82" t="str">
        <x:v>强</x:v>
      </x:c>
      <x:c r="T92" s="82" t="str">
        <x:v>否</x:v>
      </x:c>
      <x:c r="U92" s="82" t="str">
        <x:v>条件性</x:v>
      </x:c>
      <x:c r="V92" s="82" t="str">
        <x:v>是</x:v>
      </x:c>
      <x:c r="W92" s="82" t="str">
        <x:v>条件性</x:v>
      </x:c>
      <x:c r="X92" s="82" t="str">
        <x:v>条件性</x:v>
      </x:c>
      <x:c r="Y92" s="68" t="str">
        <x:v>土气可能壅塞，也可能释放部分库物</x:v>
      </x:c>
      <x:c r="Z92" s="68" t="str">
        <x:v>M04/M05已识别关系，柱位、完整度与参与对象已标准化</x:v>
      </x:c>
      <x:c r="AA92" s="68" t="str">
        <x:v>分别记录丑湿、未燥、戌燥及各藏干承接</x:v>
      </x:c>
      <x:c r="AB92" s="68" t="str">
        <x:v>关系相邻、得令、得地、成势且无强力反制</x:v>
      </x:c>
      <x:c r="AC92" s="68" t="str">
        <x:v>遥隔、争合、节点被其他关系牵制或双方各有强根</x:v>
      </x:c>
      <x:c r="AD92" s="90" t="str">
        <x:v>仅凭关系名称不得直接判性质改变、归零或固定吉凶</x:v>
      </x:c>
      <x:c r="AE92" s="68" t="str">
        <x:v>特殊格局或岁运动态补齐须另建实例重新裁决</x:v>
      </x:c>
      <x:c r="AF92" s="84" t="str">
        <x:v>丑未戌齐全时，燥湿土与库气多重牵扯，可能引动藏干、形成土战或阻塞；不自动等同开库或三支皆伤。</x:v>
      </x:c>
      <x:c r="AG92" s="84" t="str">
        <x:v>丑未戌三刑完整，重点评估土战、燥湿冲突和库气引动；逐支判断受损与否。</x:v>
      </x:c>
      <x:c r="AH92" s="82" t="str">
        <x:v>较高</x:v>
      </x:c>
      <x:c r="AI92" s="82" t="str">
        <x:v>现代综合</x:v>
      </x:c>
      <x:c r="AJ92" s="68" t="str">
        <x:v>四库关系需区分开库、土战与藏干受损。参考：https://zh.wikisource.org/zh-hans/滴天髓</x:v>
      </x:c>
      <x:c r="AK92" s="68" t="str">
        <x:v>丑未戌齐全而土旺无泄，可判土战壅塞，非简单开库。</x:v>
      </x:c>
      <x:c r="AL92" s="90" t="str">
        <x:v>三土一刑便把所有库中藏干视为透出。</x:v>
      </x:c>
      <x:c r="AM92" s="82" t="str">
        <x:v>采用</x:v>
      </x:c>
      <x:c r="AN92" s="82" t="str">
        <x:v>初审</x:v>
      </x:c>
      <x:c r="AO92" s="87" t="n">
        <x:v>46255</x:v>
      </x:c>
    </x:row>
    <x:row r="93">
      <x:c r="A93" s="72" t="str">
        <x:f>IF(OR(C93="",D93=""),"",B93&amp;"-"&amp;UPPER(C93)&amp;"-"&amp;TEXT(D93,"0000")&amp;"-"&amp;E93)</x:f>
        <x:v>M06-XING-0087-V1.0</x:v>
      </x:c>
      <x:c r="B93" s="74" t="str">
        <x:v>M06</x:v>
      </x:c>
      <x:c r="C93" s="74" t="str">
        <x:v>XING</x:v>
      </x:c>
      <x:c r="D93" s="79" t="n">
        <x:v>87</x:v>
      </x:c>
      <x:c r="E93" s="74" t="str">
        <x:v>V1.0</x:v>
      </x:c>
      <x:c r="F93" s="68" t="str">
        <x:v>子卯刑以关系失调候选为主并需强弱验证</x:v>
      </x:c>
      <x:c r="G93" s="82" t="str">
        <x:v>效应层</x:v>
      </x:c>
      <x:c r="H93" s="68" t="str">
        <x:v>M05-XING-0041-V1.0</x:v>
      </x:c>
      <x:c r="I93" s="82" t="str">
        <x:v>三刑</x:v>
      </x:c>
      <x:c r="J93" s="68" t="str">
        <x:v>子、卯</x:v>
      </x:c>
      <x:c r="K93" s="68" t="str">
        <x:v>子水、卯木及水生木路径</x:v>
      </x:c>
      <x:c r="L93" s="82" t="str">
        <x:v>逐对象比较得令、得地、得势与相对强弱</x:v>
      </x:c>
      <x:c r="M93" s="68" t="str">
        <x:v>记录参与对象中谁得令、谁受季节支持</x:v>
      </x:c>
      <x:c r="N93" s="68" t="str">
        <x:v>记录明干及相关藏干的透出通道</x:v>
      </x:c>
      <x:c r="O93" s="68" t="str">
        <x:v>记录各对象根气层级、数量及是否唯一根</x:v>
      </x:c>
      <x:c r="P93" s="68" t="str">
        <x:v>检查同节点的合、冲、刑、害、破、会及生克</x:v>
      </x:c>
      <x:c r="Q93" s="82" t="str">
        <x:v>刑动</x:v>
      </x:c>
      <x:c r="R93" s="82" t="str">
        <x:v>条件性</x:v>
      </x:c>
      <x:c r="S93" s="82" t="str">
        <x:v>中</x:v>
      </x:c>
      <x:c r="T93" s="82" t="str">
        <x:v>否</x:v>
      </x:c>
      <x:c r="U93" s="82" t="str">
        <x:v>条件性</x:v>
      </x:c>
      <x:c r="V93" s="82" t="str">
        <x:v>条件性</x:v>
      </x:c>
      <x:c r="W93" s="82" t="str">
        <x:v>条件性</x:v>
      </x:c>
      <x:c r="X93" s="82" t="str">
        <x:v>条件性</x:v>
      </x:c>
      <x:c r="Y93" s="68" t="str">
        <x:v>水生木路径可能过度、受阻或失衡</x:v>
      </x:c>
      <x:c r="Z93" s="68" t="str">
        <x:v>M04/M05已识别关系，柱位、完整度与参与对象已标准化</x:v>
      </x:c>
      <x:c r="AA93" s="68" t="str">
        <x:v>必须指向具体作用对象，并比较各方力量、根气和通道</x:v>
      </x:c>
      <x:c r="AB93" s="68" t="str">
        <x:v>关系相邻、得令、得地、成势且无强力反制</x:v>
      </x:c>
      <x:c r="AC93" s="68" t="str">
        <x:v>遥隔、争合、节点被其他关系牵制或双方各有强根</x:v>
      </x:c>
      <x:c r="AD93" s="90" t="str">
        <x:v>仅凭关系名称不得直接判性质改变、归零或固定吉凶</x:v>
      </x:c>
      <x:c r="AE93" s="68" t="str">
        <x:v>特殊格局或岁运动态补齐须另建实例重新裁决</x:v>
      </x:c>
      <x:c r="AF93" s="84" t="str">
        <x:v>子卯有生中带刑的特殊性，可能表现为生化不顺、关系失调或一方过度；不能仅凭相刑判双方受伤。</x:v>
      </x:c>
      <x:c r="AG93" s="84" t="str">
        <x:v>子卯刑成立，先评估水木生化是否顺畅；再决定是刑动、刑伤或作用有限。</x:v>
      </x:c>
      <x:c r="AH93" s="82" t="str">
        <x:v>中等</x:v>
      </x:c>
      <x:c r="AI93" s="82" t="str">
        <x:v>现代综合</x:v>
      </x:c>
      <x:c r="AJ93" s="68" t="str">
        <x:v>刑与害可能同时存在相生关系，故动不动、伤不伤须细察。参考：https://zh.wikisource.org/zh-hans/滴天髓</x:v>
      </x:c>
      <x:c r="AK93" s="68" t="str">
        <x:v>子旺卯弱且水多漂木，可判卯受扰；木旺水弱则结果不同。</x:v>
      </x:c>
      <x:c r="AL93" s="90" t="str">
        <x:v>子卯刑一律判水木同时减力。</x:v>
      </x:c>
      <x:c r="AM93" s="82" t="str">
        <x:v>采用</x:v>
      </x:c>
      <x:c r="AN93" s="82" t="str">
        <x:v>初审</x:v>
      </x:c>
      <x:c r="AO93" s="87" t="n">
        <x:v>46255</x:v>
      </x:c>
    </x:row>
    <x:row r="94">
      <x:c r="A94" s="72" t="str">
        <x:f>IF(OR(C94="",D94=""),"",B94&amp;"-"&amp;UPPER(C94)&amp;"-"&amp;TEXT(D94,"0000")&amp;"-"&amp;E94)</x:f>
        <x:v>M06-XING-0088-V1.0</x:v>
      </x:c>
      <x:c r="B94" s="74" t="str">
        <x:v>M06</x:v>
      </x:c>
      <x:c r="C94" s="74" t="str">
        <x:v>XING</x:v>
      </x:c>
      <x:c r="D94" s="79" t="n">
        <x:v>88</x:v>
      </x:c>
      <x:c r="E94" s="74" t="str">
        <x:v>V1.0</x:v>
      </x:c>
      <x:c r="F94" s="68" t="str">
        <x:v>三刑可引动藏干但不等于全部透出</x:v>
      </x:c>
      <x:c r="G94" s="82" t="str">
        <x:v>效应层</x:v>
      </x:c>
      <x:c r="H94" s="68" t="str">
        <x:v>M05-XING-0033-V1.0—M05-XING-0041-V1.0</x:v>
      </x:c>
      <x:c r="I94" s="82" t="str">
        <x:v>三刑</x:v>
      </x:c>
      <x:c r="J94" s="68" t="str">
        <x:v>参与刑关系的地支</x:v>
      </x:c>
      <x:c r="K94" s="68" t="str">
        <x:v>相关藏干</x:v>
      </x:c>
      <x:c r="L94" s="82" t="str">
        <x:v>逐对象比较得令、得地、得势与相对强弱</x:v>
      </x:c>
      <x:c r="M94" s="68" t="str">
        <x:v>记录参与对象中谁得令、谁受季节支持</x:v>
      </x:c>
      <x:c r="N94" s="68" t="str">
        <x:v>记录明干及相关藏干的透出通道</x:v>
      </x:c>
      <x:c r="O94" s="68" t="str">
        <x:v>记录各对象根气层级、数量及是否唯一根</x:v>
      </x:c>
      <x:c r="P94" s="68" t="str">
        <x:v>检查同节点的合、冲、刑、害、破、会及生克</x:v>
      </x:c>
      <x:c r="Q94" s="82" t="str">
        <x:v>引动藏干</x:v>
      </x:c>
      <x:c r="R94" s="82" t="str">
        <x:v>激活</x:v>
      </x:c>
      <x:c r="S94" s="82" t="str">
        <x:v>中</x:v>
      </x:c>
      <x:c r="T94" s="82" t="str">
        <x:v>否</x:v>
      </x:c>
      <x:c r="U94" s="82" t="str">
        <x:v>条件性</x:v>
      </x:c>
      <x:c r="V94" s="82" t="str">
        <x:v>是</x:v>
      </x:c>
      <x:c r="W94" s="82" t="str">
        <x:v>条件性</x:v>
      </x:c>
      <x:c r="X94" s="82" t="str">
        <x:v>条件性</x:v>
      </x:c>
      <x:c r="Y94" s="68" t="str">
        <x:v>可能改变原有生克路径，须在M12复核</x:v>
      </x:c>
      <x:c r="Z94" s="68" t="str">
        <x:v>M04/M05已识别关系，柱位、完整度与参与对象已标准化</x:v>
      </x:c>
      <x:c r="AA94" s="68" t="str">
        <x:v>必须指向具体作用对象，并比较各方力量、根气和通道</x:v>
      </x:c>
      <x:c r="AB94" s="68" t="str">
        <x:v>关系相邻、得令、得地、成势且无强力反制</x:v>
      </x:c>
      <x:c r="AC94" s="68" t="str">
        <x:v>遥隔、争合、节点被其他关系牵制或双方各有强根</x:v>
      </x:c>
      <x:c r="AD94" s="90" t="str">
        <x:v>仅凭关系名称不得直接判性质改变、归零或固定吉凶</x:v>
      </x:c>
      <x:c r="AE94" s="68" t="str">
        <x:v>特殊格局或岁运动态补齐须另建实例重新裁决</x:v>
      </x:c>
      <x:c r="AF94" s="84" t="str">
        <x:v>刑可使支内潜在矛盾与藏干通道活跃，但各藏干的有效性仍由本中余气、透干和承接决定。</x:v>
      </x:c>
      <x:c r="AG94" s="84" t="str">
        <x:v>三刑引动相关藏干；逐个标记增强、受制或仅被触发，不按透干同级处理。</x:v>
      </x:c>
      <x:c r="AH94" s="82" t="str">
        <x:v>较高</x:v>
      </x:c>
      <x:c r="AI94" s="82" t="str">
        <x:v>现代综合</x:v>
      </x:c>
      <x:c r="AJ94" s="68" t="str">
        <x:v>引动藏干与藏干透出是两个不同结论。参考：https://zh.wikisource.org/zh-hans/滴天髓</x:v>
      </x:c>
      <x:c r="AK94" s="68" t="str">
        <x:v>寅巳申刑可引动甲丙戊庚壬等，但分别评估。</x:v>
      </x:c>
      <x:c r="AL94" s="90" t="str">
        <x:v>刑一成立就把所有藏干都当作明透。</x:v>
      </x:c>
      <x:c r="AM94" s="82" t="str">
        <x:v>采用</x:v>
      </x:c>
      <x:c r="AN94" s="82" t="str">
        <x:v>初审</x:v>
      </x:c>
      <x:c r="AO94" s="87" t="n">
        <x:v>46255</x:v>
      </x:c>
    </x:row>
    <x:row r="95">
      <x:c r="A95" s="72" t="str">
        <x:f>IF(OR(C95="",D95=""),"",B95&amp;"-"&amp;UPPER(C95)&amp;"-"&amp;TEXT(D95,"0000")&amp;"-"&amp;E95)</x:f>
        <x:v>M06-XING-0089-V1.0</x:v>
      </x:c>
      <x:c r="B95" s="74" t="str">
        <x:v>M06</x:v>
      </x:c>
      <x:c r="C95" s="74" t="str">
        <x:v>XING</x:v>
      </x:c>
      <x:c r="D95" s="79" t="n">
        <x:v>89</x:v>
      </x:c>
      <x:c r="E95" s="74" t="str">
        <x:v>V1.0</x:v>
      </x:c>
      <x:c r="F95" s="68" t="str">
        <x:v>弱支唯一根叠加刑伤时可下调根气</x:v>
      </x:c>
      <x:c r="G95" s="82" t="str">
        <x:v>效应层</x:v>
      </x:c>
      <x:c r="H95" s="68" t="str">
        <x:v>M05-XING-0033-V1.0—M05-XING-0041-V1.0；M03-RTCT-0040-V1.0—M03-RTCT-0045-V1.0；M03-RTEF-0046-V1.0—M03-RTEF-0052-V1.0</x:v>
      </x:c>
      <x:c r="I95" s="82" t="str">
        <x:v>三刑</x:v>
      </x:c>
      <x:c r="J95" s="68" t="str">
        <x:v>刑关系中的孤弱地支</x:v>
      </x:c>
      <x:c r="K95" s="68" t="str">
        <x:v>该支承载的唯一根</x:v>
      </x:c>
      <x:c r="L95" s="82" t="str">
        <x:v>逐对象比较得令、得地、得势与相对强弱</x:v>
      </x:c>
      <x:c r="M95" s="68" t="str">
        <x:v>记录参与对象中谁得令、谁受季节支持</x:v>
      </x:c>
      <x:c r="N95" s="68" t="str">
        <x:v>记录明干及相关藏干的透出通道</x:v>
      </x:c>
      <x:c r="O95" s="68" t="str">
        <x:v>记录各对象根气层级、数量及是否唯一根</x:v>
      </x:c>
      <x:c r="P95" s="68" t="str">
        <x:v>检查同节点的合、冲、刑、害、破、会及生克</x:v>
      </x:c>
      <x:c r="Q95" s="82" t="str">
        <x:v>刑伤</x:v>
      </x:c>
      <x:c r="R95" s="82" t="str">
        <x:v>减弱</x:v>
      </x:c>
      <x:c r="S95" s="82" t="str">
        <x:v>强</x:v>
      </x:c>
      <x:c r="T95" s="82" t="str">
        <x:v>否</x:v>
      </x:c>
      <x:c r="U95" s="82" t="str">
        <x:v>是</x:v>
      </x:c>
      <x:c r="V95" s="82" t="str">
        <x:v>条件性</x:v>
      </x:c>
      <x:c r="W95" s="82" t="str">
        <x:v>否</x:v>
      </x:c>
      <x:c r="X95" s="82" t="str">
        <x:v>是</x:v>
      </x:c>
      <x:c r="Y95" s="68" t="str">
        <x:v>可能改变原有生克路径，须在M12复核</x:v>
      </x:c>
      <x:c r="Z95" s="68" t="str">
        <x:v>M04/M05已识别关系，柱位、完整度与参与对象已标准化</x:v>
      </x:c>
      <x:c r="AA95" s="68" t="str">
        <x:v>唯一根、弱支、刑方有势、无救四项同时具备</x:v>
      </x:c>
      <x:c r="AB95" s="68" t="str">
        <x:v>关系相邻、得令、得地、成势且无强力反制</x:v>
      </x:c>
      <x:c r="AC95" s="68" t="str">
        <x:v>遥隔、争合、节点被其他关系牵制或双方各有强根</x:v>
      </x:c>
      <x:c r="AD95" s="90" t="str">
        <x:v>仅凭关系名称不得直接判性质改变、归零或固定吉凶</x:v>
      </x:c>
      <x:c r="AE95" s="68" t="str">
        <x:v>特殊格局或岁运动态补齐须另建实例重新裁决</x:v>
      </x:c>
      <x:c r="AF95" s="84" t="str">
        <x:v>孤弱支既是某天干唯一根，又被得势刑方持续作用且无援时，根气可实质下降；仅有刑名不足。</x:v>
      </x:c>
      <x:c r="AG95" s="84" t="str">
        <x:v>该支为唯一弱根且刑伤落实，根气有效性下调；仍保留原始根记录。</x:v>
      </x:c>
      <x:c r="AH95" s="82" t="str">
        <x:v>较高</x:v>
      </x:c>
      <x:c r="AI95" s="82" t="str">
        <x:v>现代综合</x:v>
      </x:c>
      <x:c r="AJ95" s="68" t="str">
        <x:v>刑伤根气必须落实到具体根位和强弱。参考：https://zh.wikisource.org/zh-hans/滴天髓</x:v>
      </x:c>
      <x:c r="AK95" s="68" t="str">
        <x:v>甲仅根寅，寅弱而巳申成势夹刑，可下调甲根。</x:v>
      </x:c>
      <x:c r="AL95" s="90" t="str">
        <x:v>甲另有卯亥根仍因寅受刑判甲无根。</x:v>
      </x:c>
      <x:c r="AM95" s="82" t="str">
        <x:v>采用</x:v>
      </x:c>
      <x:c r="AN95" s="82" t="str">
        <x:v>初审</x:v>
      </x:c>
      <x:c r="AO95" s="87" t="n">
        <x:v>46255</x:v>
      </x:c>
    </x:row>
    <x:row r="96">
      <x:c r="A96" s="72" t="str">
        <x:f>IF(OR(C96="",D96=""),"",B96&amp;"-"&amp;UPPER(C96)&amp;"-"&amp;TEXT(D96,"0000")&amp;"-"&amp;E96)</x:f>
        <x:v>M06-XING-0090-V1.0</x:v>
      </x:c>
      <x:c r="B96" s="74" t="str">
        <x:v>M06</x:v>
      </x:c>
      <x:c r="C96" s="74" t="str">
        <x:v>XING</x:v>
      </x:c>
      <x:c r="D96" s="79" t="n">
        <x:v>90</x:v>
      </x:c>
      <x:c r="E96" s="74" t="str">
        <x:v>V1.0</x:v>
      </x:c>
      <x:c r="F96" s="68" t="str">
        <x:v>参与支均强时三刑可表现为激烈运作而非衰减</x:v>
      </x:c>
      <x:c r="G96" s="82" t="str">
        <x:v>效应层</x:v>
      </x:c>
      <x:c r="H96" s="68" t="str">
        <x:v>M05-XING-0036-V1.0；M05-XING-0040-V1.0</x:v>
      </x:c>
      <x:c r="I96" s="82" t="str">
        <x:v>三刑</x:v>
      </x:c>
      <x:c r="J96" s="68" t="str">
        <x:v>完整三刑且各支有力</x:v>
      </x:c>
      <x:c r="K96" s="68" t="str">
        <x:v>参与各支</x:v>
      </x:c>
      <x:c r="L96" s="82" t="str">
        <x:v>逐对象比较得令、得地、得势与相对强弱</x:v>
      </x:c>
      <x:c r="M96" s="68" t="str">
        <x:v>记录参与对象中谁得令、谁受季节支持</x:v>
      </x:c>
      <x:c r="N96" s="68" t="str">
        <x:v>记录明干及相关藏干的透出通道</x:v>
      </x:c>
      <x:c r="O96" s="68" t="str">
        <x:v>记录各对象根气层级、数量及是否唯一根</x:v>
      </x:c>
      <x:c r="P96" s="68" t="str">
        <x:v>检查同节点的合、冲、刑、害、破、会及生克</x:v>
      </x:c>
      <x:c r="Q96" s="82" t="str">
        <x:v>刑动</x:v>
      </x:c>
      <x:c r="R96" s="82" t="str">
        <x:v>激活</x:v>
      </x:c>
      <x:c r="S96" s="82" t="str">
        <x:v>强</x:v>
      </x:c>
      <x:c r="T96" s="82" t="str">
        <x:v>否</x:v>
      </x:c>
      <x:c r="U96" s="82" t="str">
        <x:v>否</x:v>
      </x:c>
      <x:c r="V96" s="82" t="str">
        <x:v>是</x:v>
      </x:c>
      <x:c r="W96" s="82" t="str">
        <x:v>条件性</x:v>
      </x:c>
      <x:c r="X96" s="82" t="str">
        <x:v>条件性</x:v>
      </x:c>
      <x:c r="Y96" s="68" t="str">
        <x:v>多节点高频作用，易造成流通不稳</x:v>
      </x:c>
      <x:c r="Z96" s="68" t="str">
        <x:v>M04/M05已识别关系，柱位、完整度与参与对象已标准化</x:v>
      </x:c>
      <x:c r="AA96" s="68" t="str">
        <x:v>必须指向具体作用对象，并比较各方力量、根气和通道</x:v>
      </x:c>
      <x:c r="AB96" s="68" t="str">
        <x:v>关系相邻、得令、得地、成势且无强力反制</x:v>
      </x:c>
      <x:c r="AC96" s="68" t="str">
        <x:v>遥隔、争合、节点被其他关系牵制或双方各有强根</x:v>
      </x:c>
      <x:c r="AD96" s="90" t="str">
        <x:v>仅凭关系名称不得直接判性质改变、归零或固定吉凶</x:v>
      </x:c>
      <x:c r="AE96" s="68" t="str">
        <x:v>特殊格局或岁运动态补齐须另建实例重新裁决</x:v>
      </x:c>
      <x:c r="AF96" s="84" t="str">
        <x:v>各支均得根有党时，三刑更可能表现为反复运作、牵扯与结构不稳，而不是把各方都打弱。</x:v>
      </x:c>
      <x:c r="AG96" s="84" t="str">
        <x:v>三刑各方均强，判强烈刑动与结构扰动；减力仅作次级条件。</x:v>
      </x:c>
      <x:c r="AH96" s="82" t="str">
        <x:v>较高</x:v>
      </x:c>
      <x:c r="AI96" s="82" t="str">
        <x:v>现代综合</x:v>
      </x:c>
      <x:c r="AJ96" s="68" t="str">
        <x:v>旺者受刑未必衰，可能因动而更显。参考：https://zh.wikisource.org/zh-hans/滴天髓</x:v>
      </x:c>
      <x:c r="AK96" s="68" t="str">
        <x:v>寅巳申各有根有援，三刑可使木火金通道剧烈互动。</x:v>
      </x:c>
      <x:c r="AL96" s="90" t="str">
        <x:v>三支均旺仍统一扣减。</x:v>
      </x:c>
      <x:c r="AM96" s="82" t="str">
        <x:v>采用</x:v>
      </x:c>
      <x:c r="AN96" s="82" t="str">
        <x:v>初审</x:v>
      </x:c>
      <x:c r="AO96" s="87" t="n">
        <x:v>46255</x:v>
      </x:c>
    </x:row>
    <x:row r="97">
      <x:c r="A97" s="72" t="str">
        <x:f>IF(OR(C97="",D97=""),"",B97&amp;"-"&amp;UPPER(C97)&amp;"-"&amp;TEXT(D97,"0000")&amp;"-"&amp;E97)</x:f>
        <x:v>M06-XING-0091-V1.0</x:v>
      </x:c>
      <x:c r="B97" s="74" t="str">
        <x:v>M06</x:v>
      </x:c>
      <x:c r="C97" s="74" t="str">
        <x:v>XING</x:v>
      </x:c>
      <x:c r="D97" s="79" t="n">
        <x:v>91</x:v>
      </x:c>
      <x:c r="E97" s="74" t="str">
        <x:v>V1.0</x:v>
      </x:c>
      <x:c r="F97" s="68" t="str">
        <x:v>局部三刑与岁运补齐必须分层定级</x:v>
      </x:c>
      <x:c r="G97" s="82" t="str">
        <x:v>效应层</x:v>
      </x:c>
      <x:c r="H97" s="68" t="str">
        <x:v>M05-XING-0033-V1.0—M05-XING-0040-V1.0；M05-SUIYUN-0073-V1.0</x:v>
      </x:c>
      <x:c r="I97" s="82" t="str">
        <x:v>三刑</x:v>
      </x:c>
      <x:c r="J97" s="68" t="str">
        <x:v>原局局部刑与岁运补入缺支</x:v>
      </x:c>
      <x:c r="K97" s="68" t="str">
        <x:v>动态三刑结构</x:v>
      </x:c>
      <x:c r="L97" s="82" t="str">
        <x:v>逐对象比较得令、得地、得势与相对强弱</x:v>
      </x:c>
      <x:c r="M97" s="68" t="str">
        <x:v>记录参与对象中谁得令、谁受季节支持</x:v>
      </x:c>
      <x:c r="N97" s="68" t="str">
        <x:v>记录明干及相关藏干的透出通道</x:v>
      </x:c>
      <x:c r="O97" s="68" t="str">
        <x:v>记录各对象根气层级、数量及是否唯一根</x:v>
      </x:c>
      <x:c r="P97" s="68" t="str">
        <x:v>检查同节点的合、冲、刑、害、破、会及生克</x:v>
      </x:c>
      <x:c r="Q97" s="82" t="str">
        <x:v>刑动</x:v>
      </x:c>
      <x:c r="R97" s="82" t="str">
        <x:v>激活</x:v>
      </x:c>
      <x:c r="S97" s="82" t="str">
        <x:v>强</x:v>
      </x:c>
      <x:c r="T97" s="82" t="str">
        <x:v>否</x:v>
      </x:c>
      <x:c r="U97" s="82" t="str">
        <x:v>条件性</x:v>
      </x:c>
      <x:c r="V97" s="82" t="str">
        <x:v>是</x:v>
      </x:c>
      <x:c r="W97" s="82" t="str">
        <x:v>条件性</x:v>
      </x:c>
      <x:c r="X97" s="82" t="str">
        <x:v>条件性</x:v>
      </x:c>
      <x:c r="Y97" s="68" t="str">
        <x:v>可能改变原有生克路径，须在M12复核</x:v>
      </x:c>
      <x:c r="Z97" s="68" t="str">
        <x:v>M04/M05已识别关系，柱位、完整度与参与对象已标准化</x:v>
      </x:c>
      <x:c r="AA97" s="68" t="str">
        <x:v>明确原局、运、年三个时间层级</x:v>
      </x:c>
      <x:c r="AB97" s="68" t="str">
        <x:v>关系相邻、得令、得地、成势且无强力反制</x:v>
      </x:c>
      <x:c r="AC97" s="68" t="str">
        <x:v>遥隔、争合、节点被其他关系牵制或双方各有强根</x:v>
      </x:c>
      <x:c r="AD97" s="90" t="str">
        <x:v>仅凭关系名称不得直接判性质改变、归零或固定吉凶</x:v>
      </x:c>
      <x:c r="AE97" s="68" t="str">
        <x:v>特殊格局或岁运动态补齐须另建实例重新裁决</x:v>
      </x:c>
      <x:c r="AF97" s="84" t="str">
        <x:v>原局只见两支时按局部刑；岁运补齐第三支时，仅在对应时段升级为动态完整三刑，不能倒写原局。</x:v>
      </x:c>
      <x:c r="AG97" s="84" t="str">
        <x:v>原局为局部刑；岁运补齐后在该时段升级为完整三刑并重新逐支评估。</x:v>
      </x:c>
      <x:c r="AH97" s="82" t="str">
        <x:v>较高</x:v>
      </x:c>
      <x:c r="AI97" s="82" t="str">
        <x:v>现代综合</x:v>
      </x:c>
      <x:c r="AJ97" s="68" t="str">
        <x:v>动态补齐是时段效应，不改变原局静态结构。参考：https://ctext.org/wiki.pl?chapter=435028&amp;if=gb&amp;remap=gb</x:v>
      </x:c>
      <x:c r="AK97" s="68" t="str">
        <x:v>原局寅巳，流年申到，流年内形成动态寅巳申三刑。</x:v>
      </x:c>
      <x:c r="AL97" s="90" t="str">
        <x:v>因未来可能来申，原局长期按完整三刑。</x:v>
      </x:c>
      <x:c r="AM97" s="82" t="str">
        <x:v>采用</x:v>
      </x:c>
      <x:c r="AN97" s="82" t="str">
        <x:v>初审</x:v>
      </x:c>
      <x:c r="AO97" s="87" t="n">
        <x:v>46255</x:v>
      </x:c>
    </x:row>
    <x:row r="98">
      <x:c r="A98" s="72" t="str">
        <x:f>IF(OR(C98="",D98=""),"",B98&amp;"-"&amp;UPPER(C98)&amp;"-"&amp;TEXT(D98,"0000")&amp;"-"&amp;E98)</x:f>
        <x:v>M06-ZIXING-0092-V1.0</x:v>
      </x:c>
      <x:c r="B98" s="74" t="str">
        <x:v>M06</x:v>
      </x:c>
      <x:c r="C98" s="74" t="str">
        <x:v>ZIXING</x:v>
      </x:c>
      <x:c r="D98" s="79" t="n">
        <x:v>92</x:v>
      </x:c>
      <x:c r="E98" s="74" t="str">
        <x:v>V1.0</x:v>
      </x:c>
      <x:c r="F98" s="68" t="str">
        <x:v>重复地支只生成自刑候选不自动受伤</x:v>
      </x:c>
      <x:c r="G98" s="82" t="str">
        <x:v>效应层</x:v>
      </x:c>
      <x:c r="H98" s="68" t="str">
        <x:v>M05-ZIXING-0042-V1.0—M05-ZIXING-0045-V1.0</x:v>
      </x:c>
      <x:c r="I98" s="82" t="str">
        <x:v>自刑</x:v>
      </x:c>
      <x:c r="J98" s="68" t="str">
        <x:v>辰辰、午午、酉酉或亥亥</x:v>
      </x:c>
      <x:c r="K98" s="68" t="str">
        <x:v>重复支</x:v>
      </x:c>
      <x:c r="L98" s="82" t="str">
        <x:v>逐对象比较得令、得地、得势与相对强弱</x:v>
      </x:c>
      <x:c r="M98" s="68" t="str">
        <x:v>记录参与对象中谁得令、谁受季节支持</x:v>
      </x:c>
      <x:c r="N98" s="68" t="str">
        <x:v>记录明干及相关藏干的透出通道</x:v>
      </x:c>
      <x:c r="O98" s="68" t="str">
        <x:v>记录各对象根气层级、数量及是否唯一根</x:v>
      </x:c>
      <x:c r="P98" s="68" t="str">
        <x:v>检查同节点的合、冲、刑、害、破、会及生克</x:v>
      </x:c>
      <x:c r="Q98" s="82" t="str">
        <x:v>刑动</x:v>
      </x:c>
      <x:c r="R98" s="82" t="str">
        <x:v>条件性</x:v>
      </x:c>
      <x:c r="S98" s="82" t="str">
        <x:v>中</x:v>
      </x:c>
      <x:c r="T98" s="82" t="str">
        <x:v>否</x:v>
      </x:c>
      <x:c r="U98" s="82" t="str">
        <x:v>条件性</x:v>
      </x:c>
      <x:c r="V98" s="82" t="str">
        <x:v>条件性</x:v>
      </x:c>
      <x:c r="W98" s="82" t="str">
        <x:v>条件性</x:v>
      </x:c>
      <x:c r="X98" s="82" t="str">
        <x:v>条件性</x:v>
      </x:c>
      <x:c r="Y98" s="68" t="str">
        <x:v>可能改变原有生克路径，须在M12复核</x:v>
      </x:c>
      <x:c r="Z98" s="68" t="str">
        <x:v>M04/M05已识别关系，柱位、完整度与参与对象已标准化</x:v>
      </x:c>
      <x:c r="AA98" s="68" t="str">
        <x:v>必须指向具体作用对象，并比较各方力量、根气和通道</x:v>
      </x:c>
      <x:c r="AB98" s="68" t="str">
        <x:v>关系相邻、得令、得地、成势且无强力反制</x:v>
      </x:c>
      <x:c r="AC98" s="68" t="str">
        <x:v>遥隔、争合、节点被其他关系牵制或双方各有强根</x:v>
      </x:c>
      <x:c r="AD98" s="90" t="str">
        <x:v>仅凭关系名称不得直接判性质改变、归零或固定吉凶</x:v>
      </x:c>
      <x:c r="AE98" s="68" t="str">
        <x:v>特殊格局或岁运动态补齐须另建实例重新裁决</x:v>
      </x:c>
      <x:c r="AF98" s="84" t="str">
        <x:v>重复支满足自刑候选，但是否形成内部壅滞、反复或自我消耗，须看该支强弱与其他关系。</x:v>
      </x:c>
      <x:c r="AG98" s="84" t="str">
        <x:v>重复支存在自刑候选，先评估同气叠加与阻塞；不直接判两支互相减力。</x:v>
      </x:c>
      <x:c r="AH98" s="82" t="str">
        <x:v>中等</x:v>
      </x:c>
      <x:c r="AI98" s="82" t="str">
        <x:v>现代综合</x:v>
      </x:c>
      <x:c r="AJ98" s="68" t="str">
        <x:v>自刑的启动与权重存在流派差异，本库采用条件式表达。参考：https://ctext.org/wiki.pl?chapter=435028&amp;if=gb&amp;remap=gb</x:v>
      </x:c>
      <x:c r="AK98" s="68" t="str">
        <x:v>午午并见且火过旺无泄，可判同气壅滞与反复引动。</x:v>
      </x:c>
      <x:c r="AL98" s="90" t="str">
        <x:v>只因两午出现便固定判火减半。</x:v>
      </x:c>
      <x:c r="AM98" s="82" t="str">
        <x:v>待验证</x:v>
      </x:c>
      <x:c r="AN98" s="82" t="str">
        <x:v>初审</x:v>
      </x:c>
      <x:c r="AO98" s="87" t="n">
        <x:v>46255</x:v>
      </x:c>
    </x:row>
    <x:row r="99">
      <x:c r="A99" s="72" t="str">
        <x:f>IF(OR(C99="",D99=""),"",B99&amp;"-"&amp;UPPER(C99)&amp;"-"&amp;TEXT(D99,"0000")&amp;"-"&amp;E99)</x:f>
        <x:v>M06-ZIXING-0093-V1.0</x:v>
      </x:c>
      <x:c r="B99" s="74" t="str">
        <x:v>M06</x:v>
      </x:c>
      <x:c r="C99" s="74" t="str">
        <x:v>ZIXING</x:v>
      </x:c>
      <x:c r="D99" s="79" t="n">
        <x:v>93</x:v>
      </x:c>
      <x:c r="E99" s="74" t="str">
        <x:v>V1.0</x:v>
      </x:c>
      <x:c r="F99" s="68" t="str">
        <x:v>自刑支旺而无泄时偏向回流壅滞</x:v>
      </x:c>
      <x:c r="G99" s="82" t="str">
        <x:v>效应层</x:v>
      </x:c>
      <x:c r="H99" s="68" t="str">
        <x:v>M05-ZIXING-0042-V1.0—M05-ZIXING-0045-V1.0</x:v>
      </x:c>
      <x:c r="I99" s="82" t="str">
        <x:v>自刑</x:v>
      </x:c>
      <x:c r="J99" s="68" t="str">
        <x:v>重复且旺的自刑支</x:v>
      </x:c>
      <x:c r="K99" s="68" t="str">
        <x:v>该五行流通</x:v>
      </x:c>
      <x:c r="L99" s="82" t="str">
        <x:v>逐对象比较得令、得地、得势与相对强弱</x:v>
      </x:c>
      <x:c r="M99" s="68" t="str">
        <x:v>记录参与对象中谁得令、谁受季节支持</x:v>
      </x:c>
      <x:c r="N99" s="68" t="str">
        <x:v>记录明干及相关藏干的透出通道</x:v>
      </x:c>
      <x:c r="O99" s="68" t="str">
        <x:v>记录各对象根气层级、数量及是否唯一根</x:v>
      </x:c>
      <x:c r="P99" s="68" t="str">
        <x:v>检查同节点的合、冲、刑、害、破、会及生克</x:v>
      </x:c>
      <x:c r="Q99" s="82" t="str">
        <x:v>阻断</x:v>
      </x:c>
      <x:c r="R99" s="82" t="str">
        <x:v>阻断</x:v>
      </x:c>
      <x:c r="S99" s="82" t="str">
        <x:v>强</x:v>
      </x:c>
      <x:c r="T99" s="82" t="str">
        <x:v>否</x:v>
      </x:c>
      <x:c r="U99" s="82" t="str">
        <x:v>否</x:v>
      </x:c>
      <x:c r="V99" s="82" t="str">
        <x:v>是</x:v>
      </x:c>
      <x:c r="W99" s="82" t="str">
        <x:v>是</x:v>
      </x:c>
      <x:c r="X99" s="82" t="str">
        <x:v>条件性</x:v>
      </x:c>
      <x:c r="Y99" s="68" t="str">
        <x:v>同气回流壅塞，转M12定位泄化通道</x:v>
      </x:c>
      <x:c r="Z99" s="68" t="str">
        <x:v>M04/M05已识别关系，柱位、完整度与参与对象已标准化</x:v>
      </x:c>
      <x:c r="AA99" s="68" t="str">
        <x:v>重复支真实旺强且缺乏有效泄化</x:v>
      </x:c>
      <x:c r="AB99" s="68" t="str">
        <x:v>关系相邻、得令、得地、成势且无强力反制</x:v>
      </x:c>
      <x:c r="AC99" s="68" t="str">
        <x:v>遥隔、争合、节点被其他关系牵制或双方各有强根</x:v>
      </x:c>
      <x:c r="AD99" s="90" t="str">
        <x:v>仅凭关系名称不得直接判性质改变、归零或固定吉凶</x:v>
      </x:c>
      <x:c r="AE99" s="68" t="str">
        <x:v>特殊格局或岁运动态补齐须另建实例重新裁决</x:v>
      </x:c>
      <x:c r="AF99" s="84" t="str">
        <x:v>重复支得令成势但无泄化通道时，同气反复叠加可形成壅滞或功能过度，而非简单变弱。</x:v>
      </x:c>
      <x:c r="AG99" s="84" t="str">
        <x:v>自刑支旺而无泄，判同气回流与局部阻塞；力量未必下降。</x:v>
      </x:c>
      <x:c r="AH99" s="82" t="str">
        <x:v>较高</x:v>
      </x:c>
      <x:c r="AI99" s="82" t="str">
        <x:v>现代综合</x:v>
      </x:c>
      <x:c r="AJ99" s="68" t="str">
        <x:v>同气过旺的问题常在不流通，而非力量不足。参考：https://zh.wikisource.org/zh-hans/滴天髓</x:v>
      </x:c>
      <x:c r="AK99" s="68" t="str">
        <x:v>酉酉得令、金旺无水泄，判金气壅滞。</x:v>
      </x:c>
      <x:c r="AL99" s="90" t="str">
        <x:v>金旺自刑仍只写金弱。</x:v>
      </x:c>
      <x:c r="AM99" s="82" t="str">
        <x:v>采用</x:v>
      </x:c>
      <x:c r="AN99" s="82" t="str">
        <x:v>初审</x:v>
      </x:c>
      <x:c r="AO99" s="87" t="n">
        <x:v>46255</x:v>
      </x:c>
    </x:row>
    <x:row r="100">
      <x:c r="A100" s="72" t="str">
        <x:f>IF(OR(C100="",D100=""),"",B100&amp;"-"&amp;UPPER(C100)&amp;"-"&amp;TEXT(D100,"0000")&amp;"-"&amp;E100)</x:f>
        <x:v>M06-ZIXING-0094-V1.0</x:v>
      </x:c>
      <x:c r="B100" s="74" t="str">
        <x:v>M06</x:v>
      </x:c>
      <x:c r="C100" s="74" t="str">
        <x:v>ZIXING</x:v>
      </x:c>
      <x:c r="D100" s="79" t="n">
        <x:v>94</x:v>
      </x:c>
      <x:c r="E100" s="74" t="str">
        <x:v>V1.0</x:v>
      </x:c>
      <x:c r="F100" s="68" t="str">
        <x:v>自刑支弱时不得双重扣减</x:v>
      </x:c>
      <x:c r="G100" s="82" t="str">
        <x:v>效应层</x:v>
      </x:c>
      <x:c r="H100" s="68" t="str">
        <x:v>M05-ZIXING-0042-V1.0—M05-ZIXING-0045-V1.0</x:v>
      </x:c>
      <x:c r="I100" s="82" t="str">
        <x:v>自刑</x:v>
      </x:c>
      <x:c r="J100" s="68" t="str">
        <x:v>重复但均弱的自刑支</x:v>
      </x:c>
      <x:c r="K100" s="68" t="str">
        <x:v>重复支</x:v>
      </x:c>
      <x:c r="L100" s="82" t="str">
        <x:v>逐对象比较得令、得地、得势与相对强弱</x:v>
      </x:c>
      <x:c r="M100" s="68" t="str">
        <x:v>记录参与对象中谁得令、谁受季节支持</x:v>
      </x:c>
      <x:c r="N100" s="68" t="str">
        <x:v>记录明干及相关藏干的透出通道</x:v>
      </x:c>
      <x:c r="O100" s="68" t="str">
        <x:v>记录各对象根气层级、数量及是否唯一根</x:v>
      </x:c>
      <x:c r="P100" s="68" t="str">
        <x:v>检查同节点的合、冲、刑、害、破、会及生克</x:v>
      </x:c>
      <x:c r="Q100" s="82" t="str">
        <x:v>刑动</x:v>
      </x:c>
      <x:c r="R100" s="82" t="str">
        <x:v>条件性</x:v>
      </x:c>
      <x:c r="S100" s="82" t="str">
        <x:v>弱</x:v>
      </x:c>
      <x:c r="T100" s="82" t="str">
        <x:v>否</x:v>
      </x:c>
      <x:c r="U100" s="82" t="str">
        <x:v>否</x:v>
      </x:c>
      <x:c r="V100" s="82" t="str">
        <x:v>条件性</x:v>
      </x:c>
      <x:c r="W100" s="82" t="str">
        <x:v>条件性</x:v>
      </x:c>
      <x:c r="X100" s="82" t="str">
        <x:v>否</x:v>
      </x:c>
      <x:c r="Y100" s="68" t="str">
        <x:v>可能改变原有生克路径，须在M12复核</x:v>
      </x:c>
      <x:c r="Z100" s="68" t="str">
        <x:v>M04/M05已识别关系，柱位、完整度与参与对象已标准化</x:v>
      </x:c>
      <x:c r="AA100" s="68" t="str">
        <x:v>必须指向具体作用对象，并比较各方力量、根气和通道</x:v>
      </x:c>
      <x:c r="AB100" s="68" t="str">
        <x:v>关系相邻、得令、得地、成势且无强力反制</x:v>
      </x:c>
      <x:c r="AC100" s="68" t="str">
        <x:v>遥隔、争合、节点被其他关系牵制或双方各有强根</x:v>
      </x:c>
      <x:c r="AD100" s="90" t="str">
        <x:v>仅凭关系名称不得直接判性质改变、归零或固定吉凶</x:v>
      </x:c>
      <x:c r="AE100" s="68" t="str">
        <x:v>特殊格局或岁运动态补齐须另建实例重新裁决</x:v>
      </x:c>
      <x:c r="AF100" s="84" t="str">
        <x:v>两处同支均失令无援时，自刑效应较轻；重复本身可能增加该五行数量，不得同时把每一支重复减损。</x:v>
      </x:c>
      <x:c r="AG100" s="84" t="str">
        <x:v>自刑支均弱，保留轻度反复候选；不作双重减力。</x:v>
      </x:c>
      <x:c r="AH100" s="82" t="str">
        <x:v>较高</x:v>
      </x:c>
      <x:c r="AI100" s="82" t="str">
        <x:v>现代综合</x:v>
      </x:c>
      <x:c r="AJ100" s="68" t="str">
        <x:v>重复节点与自刑效应必须分别计量，避免重复惩罚。参考：https://ctext.org/wiki.pl?chapter=435028&amp;if=gb&amp;remap=gb</x:v>
      </x:c>
      <x:c r="AK100" s="68" t="str">
        <x:v>两亥均弱无援，先计两处水根，再从轻评估自刑。</x:v>
      </x:c>
      <x:c r="AL100" s="90" t="str">
        <x:v>先算两亥力量，再因自刑各扣一次导致重复扣减。</x:v>
      </x:c>
      <x:c r="AM100" s="82" t="str">
        <x:v>采用</x:v>
      </x:c>
      <x:c r="AN100" s="82" t="str">
        <x:v>初审</x:v>
      </x:c>
      <x:c r="AO100" s="87" t="n">
        <x:v>46255</x:v>
      </x:c>
    </x:row>
    <x:row r="101">
      <x:c r="A101" s="72" t="str">
        <x:f>IF(OR(C101="",D101=""),"",B101&amp;"-"&amp;UPPER(C101)&amp;"-"&amp;TEXT(D101,"0000")&amp;"-"&amp;E101)</x:f>
        <x:v>M06-ZIXING-0095-V1.0</x:v>
      </x:c>
      <x:c r="B101" s="74" t="str">
        <x:v>M06</x:v>
      </x:c>
      <x:c r="C101" s="74" t="str">
        <x:v>ZIXING</x:v>
      </x:c>
      <x:c r="D101" s="79" t="n">
        <x:v>95</x:v>
      </x:c>
      <x:c r="E101" s="74" t="str">
        <x:v>V1.0</x:v>
      </x:c>
      <x:c r="F101" s="68" t="str">
        <x:v>强冲强合存在时自刑通常列次级效应</x:v>
      </x:c>
      <x:c r="G101" s="82" t="str">
        <x:v>效应层</x:v>
      </x:c>
      <x:c r="H101" s="68" t="str">
        <x:v>M05-ZIXING-0042-V1.0—M05-ZIXING-0045-V1.0；M05-OVER-0068-V1.0</x:v>
      </x:c>
      <x:c r="I101" s="82" t="str">
        <x:v>其他</x:v>
      </x:c>
      <x:c r="J101" s="68" t="str">
        <x:v>自刑支及其强冲强合关系</x:v>
      </x:c>
      <x:c r="K101" s="68" t="str">
        <x:v>自刑效应权重</x:v>
      </x:c>
      <x:c r="L101" s="82" t="str">
        <x:v>逐对象比较得令、得地、得势与相对强弱</x:v>
      </x:c>
      <x:c r="M101" s="68" t="str">
        <x:v>记录参与对象中谁得令、谁受季节支持</x:v>
      </x:c>
      <x:c r="N101" s="68" t="str">
        <x:v>记录明干及相关藏干的透出通道</x:v>
      </x:c>
      <x:c r="O101" s="68" t="str">
        <x:v>记录各对象根气层级、数量及是否唯一根</x:v>
      </x:c>
      <x:c r="P101" s="68" t="str">
        <x:v>检查同节点的合、冲、刑、害、破、会及生克</x:v>
      </x:c>
      <x:c r="Q101" s="82" t="str">
        <x:v>其他</x:v>
      </x:c>
      <x:c r="R101" s="82" t="str">
        <x:v>条件性</x:v>
      </x:c>
      <x:c r="S101" s="82" t="str">
        <x:v>中</x:v>
      </x:c>
      <x:c r="T101" s="82" t="str">
        <x:v>否</x:v>
      </x:c>
      <x:c r="U101" s="82" t="str">
        <x:v>条件性</x:v>
      </x:c>
      <x:c r="V101" s="82" t="str">
        <x:v>条件性</x:v>
      </x:c>
      <x:c r="W101" s="82" t="str">
        <x:v>条件性</x:v>
      </x:c>
      <x:c r="X101" s="82" t="str">
        <x:v>条件性</x:v>
      </x:c>
      <x:c r="Y101" s="68" t="str">
        <x:v>可能改变原有生克路径，须在M12复核</x:v>
      </x:c>
      <x:c r="Z101" s="68" t="str">
        <x:v>M04/M05已识别关系，柱位、完整度与参与对象已标准化</x:v>
      </x:c>
      <x:c r="AA101" s="68" t="str">
        <x:v>必须指向具体作用对象，并比较各方力量、根气和通道</x:v>
      </x:c>
      <x:c r="AB101" s="68" t="str">
        <x:v>关系相邻、得令、得地、成势且无强力反制</x:v>
      </x:c>
      <x:c r="AC101" s="68" t="str">
        <x:v>遥隔、争合、节点被其他关系牵制或双方各有强根</x:v>
      </x:c>
      <x:c r="AD101" s="90" t="str">
        <x:v>仅凭关系名称不得直接判性质改变、归零或固定吉凶</x:v>
      </x:c>
      <x:c r="AE101" s="68" t="str">
        <x:v>特殊格局或岁运动态补齐须另建实例重新裁决</x:v>
      </x:c>
      <x:c r="AF101" s="84" t="str">
        <x:v>重复支若同时被强冲、强合或三会牵引，主导效应通常来自更直接关系；自刑作为次级反复或壅滞证据。</x:v>
      </x:c>
      <x:c r="AG101" s="84" t="str">
        <x:v>自刑与强关系并见，先裁定强冲强合，自刑列次级修正。</x:v>
      </x:c>
      <x:c r="AH101" s="82" t="str">
        <x:v>中等</x:v>
      </x:c>
      <x:c r="AI101" s="82" t="str">
        <x:v>现代综合</x:v>
      </x:c>
      <x:c r="AJ101" s="68" t="str">
        <x:v>多重关系应按直接性与气势裁决。参考：https://ctext.org/wiki.pl?chapter=974137&amp;if=gb&amp;remap=gb</x:v>
      </x:c>
      <x:c r="AK101" s="68" t="str">
        <x:v>午午自刑同时子强冲午，先评估子午冲，再看火气反复。</x:v>
      </x:c>
      <x:c r="AL101" s="90" t="str">
        <x:v>忽略强冲，只按自刑解释全部结果。</x:v>
      </x:c>
      <x:c r="AM101" s="82" t="str">
        <x:v>待验证</x:v>
      </x:c>
      <x:c r="AN101" s="82" t="str">
        <x:v>初审</x:v>
      </x:c>
      <x:c r="AO101" s="87" t="n">
        <x:v>46255</x:v>
      </x:c>
    </x:row>
    <x:row r="102">
      <x:c r="A102" s="72" t="str">
        <x:f>IF(OR(C102="",D102=""),"",B102&amp;"-"&amp;UPPER(C102)&amp;"-"&amp;TEXT(D102,"0000")&amp;"-"&amp;E102)</x:f>
        <x:v>M06-HAI-0096-V1.0</x:v>
      </x:c>
      <x:c r="B102" s="74" t="str">
        <x:v>M06</x:v>
      </x:c>
      <x:c r="C102" s="74" t="str">
        <x:v>HAI</x:v>
      </x:c>
      <x:c r="D102" s="79" t="n">
        <x:v>96</x:v>
      </x:c>
      <x:c r="E102" s="74" t="str">
        <x:v>V1.0</x:v>
      </x:c>
      <x:c r="F102" s="68" t="str">
        <x:v>六害只生成暗损阻滞候选不自动减力</x:v>
      </x:c>
      <x:c r="G102" s="82" t="str">
        <x:v>效应层</x:v>
      </x:c>
      <x:c r="H102" s="68" t="str">
        <x:v>M05-HAI-0046-V1.0—M05-HAI-0051-V1.0；M05-BOUND-0079-V1.0</x:v>
      </x:c>
      <x:c r="I102" s="82" t="str">
        <x:v>六害</x:v>
      </x:c>
      <x:c r="J102" s="68" t="str">
        <x:v>任一六害配对</x:v>
      </x:c>
      <x:c r="K102" s="68" t="str">
        <x:v>参与两支及其功能连接</x:v>
      </x:c>
      <x:c r="L102" s="82" t="str">
        <x:v>逐对象比较得令、得地、得势与相对强弱</x:v>
      </x:c>
      <x:c r="M102" s="68" t="str">
        <x:v>记录参与对象中谁得令、谁受季节支持</x:v>
      </x:c>
      <x:c r="N102" s="68" t="str">
        <x:v>记录明干及相关藏干的透出通道</x:v>
      </x:c>
      <x:c r="O102" s="68" t="str">
        <x:v>记录各对象根气层级、数量及是否唯一根</x:v>
      </x:c>
      <x:c r="P102" s="68" t="str">
        <x:v>检查同节点的合、冲、刑、害、破、会及生克</x:v>
      </x:c>
      <x:c r="Q102" s="82" t="str">
        <x:v>阻断</x:v>
      </x:c>
      <x:c r="R102" s="82" t="str">
        <x:v>条件性</x:v>
      </x:c>
      <x:c r="S102" s="82" t="str">
        <x:v>弱</x:v>
      </x:c>
      <x:c r="T102" s="82" t="str">
        <x:v>否</x:v>
      </x:c>
      <x:c r="U102" s="82" t="str">
        <x:v>条件性</x:v>
      </x:c>
      <x:c r="V102" s="82" t="str">
        <x:v>条件性</x:v>
      </x:c>
      <x:c r="W102" s="82" t="str">
        <x:v>否</x:v>
      </x:c>
      <x:c r="X102" s="82" t="str">
        <x:v>条件性</x:v>
      </x:c>
      <x:c r="Y102" s="68" t="str">
        <x:v>可能使原本的生合通道不顺</x:v>
      </x:c>
      <x:c r="Z102" s="68" t="str">
        <x:v>M04/M05已识别关系，柱位、完整度与参与对象已标准化</x:v>
      </x:c>
      <x:c r="AA102" s="68" t="str">
        <x:v>必须指向具体作用对象，并比较各方力量、根气和通道</x:v>
      </x:c>
      <x:c r="AB102" s="68" t="str">
        <x:v>关系相邻、得令、得地、成势且无强力反制</x:v>
      </x:c>
      <x:c r="AC102" s="68" t="str">
        <x:v>遥隔、争合、节点被其他关系牵制或双方各有强根</x:v>
      </x:c>
      <x:c r="AD102" s="90" t="str">
        <x:v>仅凭关系名称不得直接判性质改变、归零或固定吉凶</x:v>
      </x:c>
      <x:c r="AE102" s="68" t="str">
        <x:v>特殊格局或岁运动态补齐须另建实例重新裁决</x:v>
      </x:c>
      <x:c r="AF102" s="84" t="str">
        <x:v>六害通常作为隐性牵制、连接不顺或局部暗损候选；是否落实为减力须看双方强弱和结构功能。</x:v>
      </x:c>
      <x:c r="AG102" s="84" t="str">
        <x:v>六害关系存在，先标记潜在阻滞；未见落实条件时不作固定减力。</x:v>
      </x:c>
      <x:c r="AH102" s="82" t="str">
        <x:v>中等</x:v>
      </x:c>
      <x:c r="AI102" s="82" t="str">
        <x:v>现代综合</x:v>
      </x:c>
      <x:c r="AJ102" s="68" t="str">
        <x:v>刑害有动不动之异，害的力量不宜与冲等量。参考：https://zh.wikisource.org/zh-hans/滴天髓</x:v>
      </x:c>
      <x:c r="AK102" s="68" t="str">
        <x:v>卯辰害若正好损及木土关键通道，可列阻滞。</x:v>
      </x:c>
      <x:c r="AL102" s="90" t="str">
        <x:v>六害一见便把双方都判重伤。</x:v>
      </x:c>
      <x:c r="AM102" s="82" t="str">
        <x:v>待验证</x:v>
      </x:c>
      <x:c r="AN102" s="82" t="str">
        <x:v>初审</x:v>
      </x:c>
      <x:c r="AO102" s="87" t="n">
        <x:v>46255</x:v>
      </x:c>
    </x:row>
    <x:row r="103">
      <x:c r="A103" s="72" t="str">
        <x:f>IF(OR(C103="",D103=""),"",B103&amp;"-"&amp;UPPER(C103)&amp;"-"&amp;TEXT(D103,"0000")&amp;"-"&amp;E103)</x:f>
        <x:v>M06-HAI-0097-V1.0</x:v>
      </x:c>
      <x:c r="B103" s="74" t="str">
        <x:v>M06</x:v>
      </x:c>
      <x:c r="C103" s="74" t="str">
        <x:v>HAI</x:v>
      </x:c>
      <x:c r="D103" s="79" t="n">
        <x:v>97</x:v>
      </x:c>
      <x:c r="E103" s="74" t="str">
        <x:v>V1.0</x:v>
      </x:c>
      <x:c r="F103" s="68" t="str">
        <x:v>六害作用于关键桥梁时可形成流通卡点</x:v>
      </x:c>
      <x:c r="G103" s="82" t="str">
        <x:v>效应层</x:v>
      </x:c>
      <x:c r="H103" s="68" t="str">
        <x:v>M05-HAI-0046-V1.0—M05-HAI-0051-V1.0</x:v>
      </x:c>
      <x:c r="I103" s="82" t="str">
        <x:v>六害</x:v>
      </x:c>
      <x:c r="J103" s="68" t="str">
        <x:v>六害两支及其承担的生化桥梁</x:v>
      </x:c>
      <x:c r="K103" s="68" t="str">
        <x:v>关键桥梁支</x:v>
      </x:c>
      <x:c r="L103" s="82" t="str">
        <x:v>逐对象比较得令、得地、得势与相对强弱</x:v>
      </x:c>
      <x:c r="M103" s="68" t="str">
        <x:v>记录参与对象中谁得令、谁受季节支持</x:v>
      </x:c>
      <x:c r="N103" s="68" t="str">
        <x:v>记录明干及相关藏干的透出通道</x:v>
      </x:c>
      <x:c r="O103" s="68" t="str">
        <x:v>记录各对象根气层级、数量及是否唯一根</x:v>
      </x:c>
      <x:c r="P103" s="68" t="str">
        <x:v>检查同节点的合、冲、刑、害、破、会及生克</x:v>
      </x:c>
      <x:c r="Q103" s="82" t="str">
        <x:v>阻断</x:v>
      </x:c>
      <x:c r="R103" s="82" t="str">
        <x:v>阻断</x:v>
      </x:c>
      <x:c r="S103" s="82" t="str">
        <x:v>中</x:v>
      </x:c>
      <x:c r="T103" s="82" t="str">
        <x:v>否</x:v>
      </x:c>
      <x:c r="U103" s="82" t="str">
        <x:v>条件性</x:v>
      </x:c>
      <x:c r="V103" s="82" t="str">
        <x:v>条件性</x:v>
      </x:c>
      <x:c r="W103" s="82" t="str">
        <x:v>否</x:v>
      </x:c>
      <x:c r="X103" s="82" t="str">
        <x:v>条件性</x:v>
      </x:c>
      <x:c r="Y103" s="68" t="str">
        <x:v>可能改变原有生克路径，须在M12复核</x:v>
      </x:c>
      <x:c r="Z103" s="68" t="str">
        <x:v>M04/M05已识别关系，柱位、完整度与参与对象已标准化</x:v>
      </x:c>
      <x:c r="AA103" s="68" t="str">
        <x:v>桥梁唯一、支弱且害关系与该功能直接相关</x:v>
      </x:c>
      <x:c r="AB103" s="68" t="str">
        <x:v>关系相邻、得令、得地、成势且无强力反制</x:v>
      </x:c>
      <x:c r="AC103" s="68" t="str">
        <x:v>遥隔、争合、节点被其他关系牵制或双方各有强根</x:v>
      </x:c>
      <x:c r="AD103" s="90" t="str">
        <x:v>仅凭关系名称不得直接判性质改变、归零或固定吉凶</x:v>
      </x:c>
      <x:c r="AE103" s="68" t="str">
        <x:v>特殊格局或岁运动态补齐须另建实例重新裁决</x:v>
      </x:c>
      <x:c r="AF103" s="84" t="str">
        <x:v>若被害支正承担全局唯一生化桥梁，且本身弱、无替代通道，六害可作为桥梁受限的辅助证据。</x:v>
      </x:c>
      <x:c r="AG103" s="84" t="str">
        <x:v>六害落在唯一桥梁，流通受限；转M12验证是否存在替代路径。</x:v>
      </x:c>
      <x:c r="AH103" s="82" t="str">
        <x:v>较高</x:v>
      </x:c>
      <x:c r="AI103" s="82" t="str">
        <x:v>现代综合</x:v>
      </x:c>
      <x:c r="AJ103" s="68" t="str">
        <x:v>害是否重要取决于它是否命中关键功能节点。参考：https://ctext.org/wiki.pl?chapter=435028&amp;if=gb&amp;remap=gb</x:v>
      </x:c>
      <x:c r="AK103" s="68" t="str">
        <x:v>唯一木桥卯弱又受辰害，可下调水生火的传递效率。</x:v>
      </x:c>
      <x:c r="AL103" s="90" t="str">
        <x:v>害不在关键路径仍夸大为全局阻断。</x:v>
      </x:c>
      <x:c r="AM103" s="82" t="str">
        <x:v>采用</x:v>
      </x:c>
      <x:c r="AN103" s="82" t="str">
        <x:v>初审</x:v>
      </x:c>
      <x:c r="AO103" s="87" t="n">
        <x:v>46255</x:v>
      </x:c>
    </x:row>
    <x:row r="104">
      <x:c r="A104" s="72" t="str">
        <x:f>IF(OR(C104="",D104=""),"",B104&amp;"-"&amp;UPPER(C104)&amp;"-"&amp;TEXT(D104,"0000")&amp;"-"&amp;E104)</x:f>
        <x:v>M06-HAI-0098-V1.0</x:v>
      </x:c>
      <x:c r="B104" s="74" t="str">
        <x:v>M06</x:v>
      </x:c>
      <x:c r="C104" s="74" t="str">
        <x:v>HAI</x:v>
      </x:c>
      <x:c r="D104" s="79" t="n">
        <x:v>98</x:v>
      </x:c>
      <x:c r="E104" s="74" t="str">
        <x:v>V1.0</x:v>
      </x:c>
      <x:c r="F104" s="68" t="str">
        <x:v>强害弱且命中唯一根时可下调有效根气</x:v>
      </x:c>
      <x:c r="G104" s="82" t="str">
        <x:v>效应层</x:v>
      </x:c>
      <x:c r="H104" s="68" t="str">
        <x:v>M05-HAI-0046-V1.0—M05-HAI-0051-V1.0；M03-RTCT-0040-V1.0—M03-RTCT-0045-V1.0；M03-RTEF-0046-V1.0—M03-RTEF-0052-V1.0</x:v>
      </x:c>
      <x:c r="I104" s="82" t="str">
        <x:v>六害</x:v>
      </x:c>
      <x:c r="J104" s="68" t="str">
        <x:v>强势害方与孤弱被害支</x:v>
      </x:c>
      <x:c r="K104" s="68" t="str">
        <x:v>被害支承载的唯一根</x:v>
      </x:c>
      <x:c r="L104" s="82" t="str">
        <x:v>逐对象比较得令、得地、得势与相对强弱</x:v>
      </x:c>
      <x:c r="M104" s="68" t="str">
        <x:v>记录参与对象中谁得令、谁受季节支持</x:v>
      </x:c>
      <x:c r="N104" s="68" t="str">
        <x:v>记录明干及相关藏干的透出通道</x:v>
      </x:c>
      <x:c r="O104" s="68" t="str">
        <x:v>记录各对象根气层级、数量及是否唯一根</x:v>
      </x:c>
      <x:c r="P104" s="68" t="str">
        <x:v>检查同节点的合、冲、刑、害、破、会及生克</x:v>
      </x:c>
      <x:c r="Q104" s="82" t="str">
        <x:v>刑伤</x:v>
      </x:c>
      <x:c r="R104" s="82" t="str">
        <x:v>减弱</x:v>
      </x:c>
      <x:c r="S104" s="82" t="str">
        <x:v>中</x:v>
      </x:c>
      <x:c r="T104" s="82" t="str">
        <x:v>否</x:v>
      </x:c>
      <x:c r="U104" s="82" t="str">
        <x:v>条件性</x:v>
      </x:c>
      <x:c r="V104" s="82" t="str">
        <x:v>条件性</x:v>
      </x:c>
      <x:c r="W104" s="82" t="str">
        <x:v>否</x:v>
      </x:c>
      <x:c r="X104" s="82" t="str">
        <x:v>是</x:v>
      </x:c>
      <x:c r="Y104" s="68" t="str">
        <x:v>可能改变原有生克路径，须在M12复核</x:v>
      </x:c>
      <x:c r="Z104" s="68" t="str">
        <x:v>M04/M05已识别关系，柱位、完整度与参与对象已标准化</x:v>
      </x:c>
      <x:c r="AA104" s="68" t="str">
        <x:v>强弱悬殊、唯一根、无替代路径</x:v>
      </x:c>
      <x:c r="AB104" s="68" t="str">
        <x:v>关系相邻、得令、得地、成势且无强力反制</x:v>
      </x:c>
      <x:c r="AC104" s="68" t="str">
        <x:v>遥隔、争合、节点被其他关系牵制或双方各有强根</x:v>
      </x:c>
      <x:c r="AD104" s="90" t="str">
        <x:v>仅凭关系名称不得直接判性质改变、归零或固定吉凶</x:v>
      </x:c>
      <x:c r="AE104" s="68" t="str">
        <x:v>特殊格局或岁运动态补齐须另建实例重新裁决</x:v>
      </x:c>
      <x:c r="AF104" s="84" t="str">
        <x:v>害方有势、被害支孤弱且为唯一根时，可把六害从弱候选升级为根气受限；仍低于同等级强冲的权重。</x:v>
      </x:c>
      <x:c r="AG104" s="84" t="str">
        <x:v>六害命中唯一弱根，根气有效性下调；不直接判根被拔。</x:v>
      </x:c>
      <x:c r="AH104" s="82" t="str">
        <x:v>低</x:v>
      </x:c>
      <x:c r="AI104" s="82" t="str">
        <x:v>现代综合</x:v>
      </x:c>
      <x:c r="AJ104" s="68" t="str">
        <x:v>六害的力量权重存在争议，本条仅作为条件性辅助规则。参考：https://ctext.org/wiki.pl?chapter=435028&amp;if=gb&amp;remap=gb</x:v>
      </x:c>
      <x:c r="AK104" s="68" t="str">
        <x:v>卯为甲唯一弱根且受强辰害，可从弱根下调为受限根。</x:v>
      </x:c>
      <x:c r="AL104" s="90" t="str">
        <x:v>任意六害都按拔根处理。</x:v>
      </x:c>
      <x:c r="AM104" s="82" t="str">
        <x:v>待验证</x:v>
      </x:c>
      <x:c r="AN104" s="82" t="str">
        <x:v>未审核</x:v>
      </x:c>
      <x:c r="AO104" s="87" t="n">
        <x:v>46255</x:v>
      </x:c>
    </x:row>
    <x:row r="105">
      <x:c r="A105" s="72" t="str">
        <x:f>IF(OR(C105="",D105=""),"",B105&amp;"-"&amp;UPPER(C105)&amp;"-"&amp;TEXT(D105,"0000")&amp;"-"&amp;E105)</x:f>
        <x:v>M06-HAI-0099-V1.0</x:v>
      </x:c>
      <x:c r="B105" s="74" t="str">
        <x:v>M06</x:v>
      </x:c>
      <x:c r="C105" s="74" t="str">
        <x:v>HAI</x:v>
      </x:c>
      <x:c r="D105" s="79" t="n">
        <x:v>99</x:v>
      </x:c>
      <x:c r="E105" s="74" t="str">
        <x:v>V1.0</x:v>
      </x:c>
      <x:c r="F105" s="68" t="str">
        <x:v>六害与冲刑合并见时通常作为次级修正</x:v>
      </x:c>
      <x:c r="G105" s="82" t="str">
        <x:v>效应层</x:v>
      </x:c>
      <x:c r="H105" s="68" t="str">
        <x:v>M05-OVER-0084-V1.0；M05-OVER-0068-V1.0</x:v>
      </x:c>
      <x:c r="I105" s="82" t="str">
        <x:v>其他</x:v>
      </x:c>
      <x:c r="J105" s="68" t="str">
        <x:v>同节点的害、冲、刑、合关系</x:v>
      </x:c>
      <x:c r="K105" s="68" t="str">
        <x:v>六害权重</x:v>
      </x:c>
      <x:c r="L105" s="82" t="str">
        <x:v>逐对象比较得令、得地、得势与相对强弱</x:v>
      </x:c>
      <x:c r="M105" s="68" t="str">
        <x:v>记录参与对象中谁得令、谁受季节支持</x:v>
      </x:c>
      <x:c r="N105" s="68" t="str">
        <x:v>记录明干及相关藏干的透出通道</x:v>
      </x:c>
      <x:c r="O105" s="68" t="str">
        <x:v>记录各对象根气层级、数量及是否唯一根</x:v>
      </x:c>
      <x:c r="P105" s="68" t="str">
        <x:v>检查同节点的合、冲、刑、害、破、会及生克</x:v>
      </x:c>
      <x:c r="Q105" s="82" t="str">
        <x:v>其他</x:v>
      </x:c>
      <x:c r="R105" s="82" t="str">
        <x:v>条件性</x:v>
      </x:c>
      <x:c r="S105" s="82" t="str">
        <x:v>中</x:v>
      </x:c>
      <x:c r="T105" s="82" t="str">
        <x:v>否</x:v>
      </x:c>
      <x:c r="U105" s="82" t="str">
        <x:v>条件性</x:v>
      </x:c>
      <x:c r="V105" s="82" t="str">
        <x:v>条件性</x:v>
      </x:c>
      <x:c r="W105" s="82" t="str">
        <x:v>条件性</x:v>
      </x:c>
      <x:c r="X105" s="82" t="str">
        <x:v>条件性</x:v>
      </x:c>
      <x:c r="Y105" s="68" t="str">
        <x:v>可能改变原有生克路径，须在M12复核</x:v>
      </x:c>
      <x:c r="Z105" s="68" t="str">
        <x:v>M04/M05已识别关系，柱位、完整度与参与对象已标准化</x:v>
      </x:c>
      <x:c r="AA105" s="68" t="str">
        <x:v>必须指向具体作用对象，并比较各方力量、根气和通道</x:v>
      </x:c>
      <x:c r="AB105" s="68" t="str">
        <x:v>关系相邻、得令、得地、成势且无强力反制</x:v>
      </x:c>
      <x:c r="AC105" s="68" t="str">
        <x:v>遥隔、争合、节点被其他关系牵制或双方各有强根</x:v>
      </x:c>
      <x:c r="AD105" s="90" t="str">
        <x:v>仅凭关系名称不得直接判性质改变、归零或固定吉凶</x:v>
      </x:c>
      <x:c r="AE105" s="68" t="str">
        <x:v>特殊格局或岁运动态补齐须另建实例重新裁决</x:v>
      </x:c>
      <x:c r="AF105" s="84" t="str">
        <x:v>同一节点存在更直接的冲、刑或强合时，先判断主关系；六害只补充隐性阻滞，不单独覆盖主效应。</x:v>
      </x:c>
      <x:c r="AG105" s="84" t="str">
        <x:v>六害与强关系并见，列为次级阻滞证据；主效应由冲、刑、合的实际强度决定。</x:v>
      </x:c>
      <x:c r="AH105" s="82" t="str">
        <x:v>中等</x:v>
      </x:c>
      <x:c r="AI105" s="82" t="str">
        <x:v>现代综合</x:v>
      </x:c>
      <x:c r="AJ105" s="68" t="str">
        <x:v>多重关系不能机械叠加，需指定主次。参考：https://ctext.org/wiki.pl?chapter=974137&amp;if=gb&amp;remap=gb</x:v>
      </x:c>
      <x:c r="AK105" s="68" t="str">
        <x:v>寅巳既刑又害，先评估刑与火木强弱，害列次级。</x:v>
      </x:c>
      <x:c r="AL105" s="90" t="str">
        <x:v>寅巳刑害各独立重扣一次。</x:v>
      </x:c>
      <x:c r="AM105" s="82" t="str">
        <x:v>待验证</x:v>
      </x:c>
      <x:c r="AN105" s="82" t="str">
        <x:v>初审</x:v>
      </x:c>
      <x:c r="AO105" s="87" t="n">
        <x:v>46255</x:v>
      </x:c>
    </x:row>
    <x:row r="106">
      <x:c r="A106" t="str">
        <x:f>IF(OR(C106="",D106=""),"",B106&amp;"-"&amp;UPPER(C106)&amp;"-"&amp;TEXT(D106,"0000")&amp;"-"&amp;E106)</x:f>
        <x:v>M06-PO-0100-V1.0</x:v>
      </x:c>
      <x:c r="B106" t="str">
        <x:v>M06</x:v>
      </x:c>
      <x:c r="C106" t="str">
        <x:v>PO</x:v>
      </x:c>
      <x:c r="D106" t="n">
        <x:v>100</x:v>
      </x:c>
      <x:c r="E106" t="str">
        <x:v>V1.0</x:v>
      </x:c>
      <x:c r="F106" t="str">
        <x:v>六破只生成连接松动候选不自动破根</x:v>
      </x:c>
      <x:c r="G106" t="str">
        <x:v>效应层</x:v>
      </x:c>
      <x:c r="H106" t="str">
        <x:v>M05-PO-0052-V1.0—M05-PO-0057-V1.0；M05-BOUND-0080-V1.0</x:v>
      </x:c>
      <x:c r="I106" t="str">
        <x:v>六破</x:v>
      </x:c>
      <x:c r="J106" t="str">
        <x:v>任一六破配对</x:v>
      </x:c>
      <x:c r="K106" t="str">
        <x:v>参与两支及其连接</x:v>
      </x:c>
      <x:c r="L106" t="str">
        <x:v>逐对象比较得令、得地、得势与相对强弱</x:v>
      </x:c>
      <x:c r="M106" t="str">
        <x:v>记录参与对象中谁得令、谁受季节支持</x:v>
      </x:c>
      <x:c r="N106" t="str">
        <x:v>记录明干及相关藏干的透出通道</x:v>
      </x:c>
      <x:c r="O106" t="str">
        <x:v>记录各对象根气层级、数量及是否唯一根</x:v>
      </x:c>
      <x:c r="P106" t="str">
        <x:v>检查同节点的合、冲、刑、害、破、会及生克</x:v>
      </x:c>
      <x:c r="Q106" t="str">
        <x:v>阻断</x:v>
      </x:c>
      <x:c r="R106" t="str">
        <x:v>条件性</x:v>
      </x:c>
      <x:c r="S106" t="str">
        <x:v>弱</x:v>
      </x:c>
      <x:c r="T106" t="str">
        <x:v>否</x:v>
      </x:c>
      <x:c r="U106" t="str">
        <x:v>条件性</x:v>
      </x:c>
      <x:c r="V106" t="str">
        <x:v>条件性</x:v>
      </x:c>
      <x:c r="W106" t="str">
        <x:v>否</x:v>
      </x:c>
      <x:c r="X106" t="str">
        <x:v>条件性</x:v>
      </x:c>
      <x:c r="Y106" t="str">
        <x:v>可能改变原有生克路径，须在M12复核</x:v>
      </x:c>
      <x:c r="Z106" t="str">
        <x:v>M04/M05已识别关系，柱位、完整度与参与对象已标准化</x:v>
      </x:c>
      <x:c r="AA106" t="str">
        <x:v>必须指向具体作用对象，并比较各方力量、根气和通道</x:v>
      </x:c>
      <x:c r="AB106" t="str">
        <x:v>关系相邻、得令、得地、成势且无强力反制</x:v>
      </x:c>
      <x:c r="AC106" t="str">
        <x:v>遥隔、争合、节点被其他关系牵制或双方各有强根</x:v>
      </x:c>
      <x:c r="AD106" t="str">
        <x:v>仅凭关系名称不得直接判性质改变、归零或固定吉凶</x:v>
      </x:c>
      <x:c r="AE106" t="str">
        <x:v>特殊格局或岁运动态补齐须另建实例重新裁决</x:v>
      </x:c>
      <x:c r="AF106" t="str">
        <x:v>六破可作为关系松动、连接不稳或局部破坏候选；不得仅凭“破”字判根气被毁。</x:v>
      </x:c>
      <x:c r="AG106" t="str">
        <x:v>六破关系存在，先标记连接不稳；是否影响根气和流通须另验。</x:v>
      </x:c>
      <x:c r="AH106" t="str">
        <x:v>低</x:v>
      </x:c>
      <x:c r="AI106" t="str">
        <x:v>现代综合</x:v>
      </x:c>
      <x:c r="AJ106" t="str">
        <x:v>六破的具体权重流派分歧较大，本库从低权重条件规则处理。参考：https://ctext.org/wiki.pl?chapter=435028&amp;if=gb&amp;remap=gb</x:v>
      </x:c>
      <x:c r="AK106" t="str">
        <x:v>未戌破可作为土气连接不稳的辅助证据。</x:v>
      </x:c>
      <x:c r="AL106" t="str">
        <x:v>六破一见即判某支完全失根。</x:v>
      </x:c>
      <x:c r="AM106" t="str">
        <x:v>待验证</x:v>
      </x:c>
      <x:c r="AN106" t="str">
        <x:v>未审核</x:v>
      </x:c>
      <x:c r="AO106" s="213" t="n">
        <x:v>46255</x:v>
      </x:c>
    </x:row>
    <x:row r="107">
      <x:c r="A107" t="str">
        <x:f>IF(OR(C107="",D107=""),"",B107&amp;"-"&amp;UPPER(C107)&amp;"-"&amp;TEXT(D107,"0000")&amp;"-"&amp;E107)</x:f>
        <x:v>M06-PO-0101-V1.0</x:v>
      </x:c>
      <x:c r="B107" t="str">
        <x:v>M06</x:v>
      </x:c>
      <x:c r="C107" t="str">
        <x:v>PO</x:v>
      </x:c>
      <x:c r="D107" t="n">
        <x:v>101</x:v>
      </x:c>
      <x:c r="E107" t="str">
        <x:v>V1.0</x:v>
      </x:c>
      <x:c r="F107" t="str">
        <x:v>六破命中弱合局节点时可使合关系松解</x:v>
      </x:c>
      <x:c r="G107" t="str">
        <x:v>效应层</x:v>
      </x:c>
      <x:c r="H107" t="str">
        <x:v>M05-PO-0052-V1.0—M05-PO-0057-V1.0；M05-OVER-0068-V1.0</x:v>
      </x:c>
      <x:c r="I107" t="str">
        <x:v>六破</x:v>
      </x:c>
      <x:c r="J107" t="str">
        <x:v>六破两支及既有弱合关系</x:v>
      </x:c>
      <x:c r="K107" t="str">
        <x:v>原合关系</x:v>
      </x:c>
      <x:c r="L107" t="str">
        <x:v>逐对象比较得令、得地、得势与相对强弱</x:v>
      </x:c>
      <x:c r="M107" t="str">
        <x:v>记录参与对象中谁得令、谁受季节支持</x:v>
      </x:c>
      <x:c r="N107" t="str">
        <x:v>记录明干及相关藏干的透出通道</x:v>
      </x:c>
      <x:c r="O107" t="str">
        <x:v>记录各对象根气层级、数量及是否唯一根</x:v>
      </x:c>
      <x:c r="P107" t="str">
        <x:v>检查同节点的合、冲、刑、害、破、会及生克</x:v>
      </x:c>
      <x:c r="Q107" t="str">
        <x:v>冲散</x:v>
      </x:c>
      <x:c r="R107" t="str">
        <x:v>减弱</x:v>
      </x:c>
      <x:c r="S107" t="str">
        <x:v>中</x:v>
      </x:c>
      <x:c r="T107" t="str">
        <x:v>条件性</x:v>
      </x:c>
      <x:c r="U107" t="str">
        <x:v>条件性</x:v>
      </x:c>
      <x:c r="V107" t="str">
        <x:v>条件性</x:v>
      </x:c>
      <x:c r="W107" t="str">
        <x:v>否</x:v>
      </x:c>
      <x:c r="X107" t="str">
        <x:v>条件性</x:v>
      </x:c>
      <x:c r="Y107" t="str">
        <x:v>可能改变原有生克路径，须在M12复核</x:v>
      </x:c>
      <x:c r="Z107" t="str">
        <x:v>M04/M05已识别关系，柱位、完整度与参与对象已标准化</x:v>
      </x:c>
      <x:c r="AA107" t="str">
        <x:v>原合本就弱、共享节点被破且无其他维系</x:v>
      </x:c>
      <x:c r="AB107" t="str">
        <x:v>关系相邻、得令、得地、成势且无强力反制</x:v>
      </x:c>
      <x:c r="AC107" t="str">
        <x:v>遥隔、争合、节点被其他关系牵制或双方各有强根</x:v>
      </x:c>
      <x:c r="AD107" t="str">
        <x:v>仅凭关系名称不得直接判性质改变、归零或固定吉凶</x:v>
      </x:c>
      <x:c r="AE107" t="str">
        <x:v>特殊格局或岁运动态补齐须另建实例重新裁决</x:v>
      </x:c>
      <x:c r="AF107" t="str">
        <x:v>若六破直接作用于本就不稳的六合、半合节点，可作为合局松解的辅助证据；强合成局不因一破自动解体。</x:v>
      </x:c>
      <x:c r="AG107" t="str">
        <x:v>六破命中弱合节点，原合稳定性下调；强合局仍需更强破坏条件。</x:v>
      </x:c>
      <x:c r="AH107" t="str">
        <x:v>低</x:v>
      </x:c>
      <x:c r="AI107" t="str">
        <x:v>现代综合</x:v>
      </x:c>
      <x:c r="AJ107" t="str">
        <x:v>破更适合作为稳定性修正，而非决定性关系。参考：https://ctext.org/wiki.pl?chapter=435028&amp;if=gb&amp;remap=gb</x:v>
      </x:c>
      <x:c r="AK107" t="str">
        <x:v>寅亥弱合同时寅亥又属破，可把合稳定性降级。</x:v>
      </x:c>
      <x:c r="AL107" t="str">
        <x:v>任何六破都自动破掉强三合局。</x:v>
      </x:c>
      <x:c r="AM107" t="str">
        <x:v>待验证</x:v>
      </x:c>
      <x:c r="AN107" t="str">
        <x:v>初审</x:v>
      </x:c>
      <x:c r="AO107" s="213" t="n">
        <x:v>46255</x:v>
      </x:c>
    </x:row>
    <x:row r="108">
      <x:c r="A108" t="str">
        <x:f>IF(OR(C108="",D108=""),"",B108&amp;"-"&amp;UPPER(C108)&amp;"-"&amp;TEXT(D108,"0000")&amp;"-"&amp;E108)</x:f>
        <x:v>M06-PO-0102-V1.0</x:v>
      </x:c>
      <x:c r="B108" t="str">
        <x:v>M06</x:v>
      </x:c>
      <x:c r="C108" t="str">
        <x:v>PO</x:v>
      </x:c>
      <x:c r="D108" t="n">
        <x:v>102</x:v>
      </x:c>
      <x:c r="E108" t="str">
        <x:v>V1.0</x:v>
      </x:c>
      <x:c r="F108" t="str">
        <x:v>六破双方强根时通常只记不稳定不记减力</x:v>
      </x:c>
      <x:c r="G108" t="str">
        <x:v>效应层</x:v>
      </x:c>
      <x:c r="H108" t="str">
        <x:v>M05-PO-0052-V1.0—M05-PO-0057-V1.0</x:v>
      </x:c>
      <x:c r="I108" t="str">
        <x:v>六破</x:v>
      </x:c>
      <x:c r="J108" t="str">
        <x:v>双方均强的六破两支</x:v>
      </x:c>
      <x:c r="K108" t="str">
        <x:v>参与两支</x:v>
      </x:c>
      <x:c r="L108" t="str">
        <x:v>逐对象比较得令、得地、得势与相对强弱</x:v>
      </x:c>
      <x:c r="M108" t="str">
        <x:v>记录参与对象中谁得令、谁受季节支持</x:v>
      </x:c>
      <x:c r="N108" t="str">
        <x:v>记录明干及相关藏干的透出通道</x:v>
      </x:c>
      <x:c r="O108" t="str">
        <x:v>记录各对象根气层级、数量及是否唯一根</x:v>
      </x:c>
      <x:c r="P108" t="str">
        <x:v>检查同节点的合、冲、刑、害、破、会及生克</x:v>
      </x:c>
      <x:c r="Q108" t="str">
        <x:v>其他</x:v>
      </x:c>
      <x:c r="R108" t="str">
        <x:v>不变</x:v>
      </x:c>
      <x:c r="S108" t="str">
        <x:v>弱</x:v>
      </x:c>
      <x:c r="T108" t="str">
        <x:v>否</x:v>
      </x:c>
      <x:c r="U108" t="str">
        <x:v>否</x:v>
      </x:c>
      <x:c r="V108" t="str">
        <x:v>否</x:v>
      </x:c>
      <x:c r="W108" t="str">
        <x:v>否</x:v>
      </x:c>
      <x:c r="X108" t="str">
        <x:v>否</x:v>
      </x:c>
      <x:c r="Y108" t="str">
        <x:v>可能改变原有生克路径，须在M12复核</x:v>
      </x:c>
      <x:c r="Z108" t="str">
        <x:v>M04/M05已识别关系，柱位、完整度与参与对象已标准化</x:v>
      </x:c>
      <x:c r="AA108" t="str">
        <x:v>必须指向具体作用对象，并比较各方力量、根气和通道</x:v>
      </x:c>
      <x:c r="AB108" t="str">
        <x:v>关系相邻、得令、得地、成势且无强力反制</x:v>
      </x:c>
      <x:c r="AC108" t="str">
        <x:v>遥隔、争合、节点被其他关系牵制或双方各有强根</x:v>
      </x:c>
      <x:c r="AD108" t="str">
        <x:v>仅凭关系名称不得直接判性质改变、归零或固定吉凶</x:v>
      </x:c>
      <x:c r="AE108" t="str">
        <x:v>特殊格局或岁运动态补齐须另建实例重新裁决</x:v>
      </x:c>
      <x:c r="AF108" t="str">
        <x:v>双方得令有根时，六破通常不足以单独造成显著减力，只保留关系不稳与潜在松动标签。</x:v>
      </x:c>
      <x:c r="AG108" t="str">
        <x:v>六破双方均强，力量暂不下调；仅标记连接不稳定。</x:v>
      </x:c>
      <x:c r="AH108" t="str">
        <x:v>低</x:v>
      </x:c>
      <x:c r="AI108" t="str">
        <x:v>现代综合</x:v>
      </x:c>
      <x:c r="AJ108" t="str">
        <x:v>低权重关系须有落实条件才进入旺衰修正。参考：https://ctext.org/wiki.pl?chapter=435028&amp;if=gb&amp;remap=gb</x:v>
      </x:c>
      <x:c r="AK108" t="str">
        <x:v>巳申双方强根时，六破本身不单独扣力，另看合刑。</x:v>
      </x:c>
      <x:c r="AL108" t="str">
        <x:v>双方均旺仍仅凭六破重扣。</x:v>
      </x:c>
      <x:c r="AM108" t="str">
        <x:v>待验证</x:v>
      </x:c>
      <x:c r="AN108" t="str">
        <x:v>初审</x:v>
      </x:c>
      <x:c r="AO108" s="213" t="n">
        <x:v>46255</x:v>
      </x:c>
    </x:row>
    <x:row r="109">
      <x:c r="A109" t="str">
        <x:f>IF(OR(C109="",D109=""),"",B109&amp;"-"&amp;UPPER(C109)&amp;"-"&amp;TEXT(D109,"0000")&amp;"-"&amp;E109)</x:f>
        <x:v>M06-PO-0103-V1.0</x:v>
      </x:c>
      <x:c r="B109" t="str">
        <x:v>M06</x:v>
      </x:c>
      <x:c r="C109" t="str">
        <x:v>PO</x:v>
      </x:c>
      <x:c r="D109" t="n">
        <x:v>103</x:v>
      </x:c>
      <x:c r="E109" t="str">
        <x:v>V1.0</x:v>
      </x:c>
      <x:c r="F109" t="str">
        <x:v>六破与强冲刑合并见时列最次级证据</x:v>
      </x:c>
      <x:c r="G109" t="str">
        <x:v>效应层</x:v>
      </x:c>
      <x:c r="H109" t="str">
        <x:v>M05-OVER-0081-V1.0；M05-OVER-0085-V1.0；M05-OVER-0086-V1.0</x:v>
      </x:c>
      <x:c r="I109" t="str">
        <x:v>其他</x:v>
      </x:c>
      <x:c r="J109" t="str">
        <x:v>同节点的破、冲、刑、合关系</x:v>
      </x:c>
      <x:c r="K109" t="str">
        <x:v>六破权重</x:v>
      </x:c>
      <x:c r="L109" t="str">
        <x:v>逐对象比较得令、得地、得势与相对强弱</x:v>
      </x:c>
      <x:c r="M109" t="str">
        <x:v>记录参与对象中谁得令、谁受季节支持</x:v>
      </x:c>
      <x:c r="N109" t="str">
        <x:v>记录明干及相关藏干的透出通道</x:v>
      </x:c>
      <x:c r="O109" t="str">
        <x:v>记录各对象根气层级、数量及是否唯一根</x:v>
      </x:c>
      <x:c r="P109" t="str">
        <x:v>检查同节点的合、冲、刑、害、破、会及生克</x:v>
      </x:c>
      <x:c r="Q109" t="str">
        <x:v>其他</x:v>
      </x:c>
      <x:c r="R109" t="str">
        <x:v>条件性</x:v>
      </x:c>
      <x:c r="S109" t="str">
        <x:v>弱</x:v>
      </x:c>
      <x:c r="T109" t="str">
        <x:v>否</x:v>
      </x:c>
      <x:c r="U109" t="str">
        <x:v>条件性</x:v>
      </x:c>
      <x:c r="V109" t="str">
        <x:v>条件性</x:v>
      </x:c>
      <x:c r="W109" t="str">
        <x:v>条件性</x:v>
      </x:c>
      <x:c r="X109" t="str">
        <x:v>条件性</x:v>
      </x:c>
      <x:c r="Y109" t="str">
        <x:v>可能改变原有生克路径，须在M12复核</x:v>
      </x:c>
      <x:c r="Z109" t="str">
        <x:v>M04/M05已识别关系，柱位、完整度与参与对象已标准化</x:v>
      </x:c>
      <x:c r="AA109" t="str">
        <x:v>必须指向具体作用对象，并比较各方力量、根气和通道</x:v>
      </x:c>
      <x:c r="AB109" t="str">
        <x:v>关系相邻、得令、得地、成势且无强力反制</x:v>
      </x:c>
      <x:c r="AC109" t="str">
        <x:v>遥隔、争合、节点被其他关系牵制或双方各有强根</x:v>
      </x:c>
      <x:c r="AD109" t="str">
        <x:v>仅凭关系名称不得直接判性质改变、归零或固定吉凶</x:v>
      </x:c>
      <x:c r="AE109" t="str">
        <x:v>特殊格局或岁运动态补齐须另建实例重新裁决</x:v>
      </x:c>
      <x:c r="AF109" t="str">
        <x:v>同一对支同时有冲、刑、合或害时，六破通常只作补充标签，不能与强关系等量叠加。</x:v>
      </x:c>
      <x:c r="AG109" t="str">
        <x:v>六破列次级证据；主效应由冲、刑、合及实际强弱决定。</x:v>
      </x:c>
      <x:c r="AH109" t="str">
        <x:v>低</x:v>
      </x:c>
      <x:c r="AI109" t="str">
        <x:v>现代综合</x:v>
      </x:c>
      <x:c r="AJ109" t="str">
        <x:v>多重关系需要去重和权重分层。参考：https://ctext.org/wiki.pl?chapter=974137&amp;if=gb&amp;remap=gb</x:v>
      </x:c>
      <x:c r="AK109" t="str">
        <x:v>巳申合刑破并见，破列次级，不另作决定性扣减。</x:v>
      </x:c>
      <x:c r="AL109" t="str">
        <x:v>合、刑、破各重扣一次造成重复计算。</x:v>
      </x:c>
      <x:c r="AM109" t="str">
        <x:v>待验证</x:v>
      </x:c>
      <x:c r="AN109" t="str">
        <x:v>初审</x:v>
      </x:c>
      <x:c r="AO109" s="213" t="n">
        <x:v>46255</x:v>
      </x:c>
    </x:row>
    <x:row r="110">
      <x:c r="A110" t="str">
        <x:f>IF(OR(C110="",D110=""),"",B110&amp;"-"&amp;UPPER(C110)&amp;"-"&amp;TEXT(D110,"0000")&amp;"-"&amp;E110)</x:f>
        <x:v>M06-OVER-0104-V1.0</x:v>
      </x:c>
      <x:c r="B110" t="str">
        <x:v>M06</x:v>
      </x:c>
      <x:c r="C110" t="str">
        <x:v>OVER</x:v>
      </x:c>
      <x:c r="D110" t="n">
        <x:v>104</x:v>
      </x:c>
      <x:c r="E110" t="str">
        <x:v>V1.0</x:v>
      </x:c>
      <x:c r="F110" t="str">
        <x:v>多重关系全部保留候选后再判主次</x:v>
      </x:c>
      <x:c r="G110" t="str">
        <x:v>效应层</x:v>
      </x:c>
      <x:c r="H110" t="str">
        <x:v>M04-OVER-0046-V1.0；M05-OVER-0068-V1.0—M05-OVER-0069-V1.0</x:v>
      </x:c>
      <x:c r="I110" t="str">
        <x:v>其他</x:v>
      </x:c>
      <x:c r="J110" t="str">
        <x:v>共享天干或地支的全部关系</x:v>
      </x:c>
      <x:c r="K110" t="str">
        <x:v>共享节点</x:v>
      </x:c>
      <x:c r="L110" t="str">
        <x:v>逐对象比较得令、得地、得势与相对强弱</x:v>
      </x:c>
      <x:c r="M110" t="str">
        <x:v>记录参与对象中谁得令、谁受季节支持</x:v>
      </x:c>
      <x:c r="N110" t="str">
        <x:v>记录明干及相关藏干的透出通道</x:v>
      </x:c>
      <x:c r="O110" t="str">
        <x:v>记录各对象根气层级、数量及是否唯一根</x:v>
      </x:c>
      <x:c r="P110" t="str">
        <x:v>检查同节点的合、冲、刑、害、破、会及生克</x:v>
      </x:c>
      <x:c r="Q110" t="str">
        <x:v>其他</x:v>
      </x:c>
      <x:c r="R110" t="str">
        <x:v>条件性</x:v>
      </x:c>
      <x:c r="S110" t="str">
        <x:v>强</x:v>
      </x:c>
      <x:c r="T110" t="str">
        <x:v>条件性</x:v>
      </x:c>
      <x:c r="U110" t="str">
        <x:v>条件性</x:v>
      </x:c>
      <x:c r="V110" t="str">
        <x:v>条件性</x:v>
      </x:c>
      <x:c r="W110" t="str">
        <x:v>条件性</x:v>
      </x:c>
      <x:c r="X110" t="str">
        <x:v>条件性</x:v>
      </x:c>
      <x:c r="Y110" t="str">
        <x:v>主关系决定主要通道，次关系作为修正</x:v>
      </x:c>
      <x:c r="Z110" t="str">
        <x:v>M04/M05已识别关系，柱位、完整度与参与对象已标准化</x:v>
      </x:c>
      <x:c r="AA110" t="str">
        <x:v>每个关系实例有唯一ID并已去重</x:v>
      </x:c>
      <x:c r="AB110" t="str">
        <x:v>关系相邻、得令、得地、成势且无强力反制</x:v>
      </x:c>
      <x:c r="AC110" t="str">
        <x:v>遥隔、争合、节点被其他关系牵制或双方各有强根</x:v>
      </x:c>
      <x:c r="AD110" t="str">
        <x:v>仅凭关系名称不得直接判性质改变、归零或固定吉凶</x:v>
      </x:c>
      <x:c r="AE110" t="str">
        <x:v>特殊格局或岁运动态补齐须另建实例重新裁决</x:v>
      </x:c>
      <x:c r="AF110" t="str">
        <x:v>识别层发现的关系不得因先见某一关系而删除；M06先逐条求效应，再按完整度、月令、强弱、位置与成势裁定主次。</x:v>
      </x:c>
      <x:c r="AG110" t="str">
        <x:v>共享节点存在多重关系：全部保留，已指定主关系、次关系及被抑制关系。</x:v>
      </x:c>
      <x:c r="AH110" t="str">
        <x:v>较高</x:v>
      </x:c>
      <x:c r="AI110" t="str">
        <x:v>现代综合</x:v>
      </x:c>
      <x:c r="AJ110" t="str">
        <x:v>会合刑冲的解法取决于具体结构，不可预设一刀切优先级。参考：https://ctext.org/wiki.pl?chapter=974137&amp;if=gb&amp;remap=gb</x:v>
      </x:c>
      <x:c r="AK110" t="str">
        <x:v>巳申合刑破并见，三条关系均保留后裁定。</x:v>
      </x:c>
      <x:c r="AL110" t="str">
        <x:v>先看到六合便删除刑破。</x:v>
      </x:c>
      <x:c r="AM110" t="str">
        <x:v>采用</x:v>
      </x:c>
      <x:c r="AN110" t="str">
        <x:v>初审</x:v>
      </x:c>
      <x:c r="AO110" s="213" t="n">
        <x:v>46255</x:v>
      </x:c>
    </x:row>
    <x:row r="111">
      <x:c r="A111" t="str">
        <x:f>IF(OR(C111="",D111=""),"",B111&amp;"-"&amp;UPPER(C111)&amp;"-"&amp;TEXT(D111,"0000")&amp;"-"&amp;E111)</x:f>
        <x:v>M06-OVER-0105-V1.0</x:v>
      </x:c>
      <x:c r="B111" t="str">
        <x:v>M06</x:v>
      </x:c>
      <x:c r="C111" t="str">
        <x:v>OVER</x:v>
      </x:c>
      <x:c r="D111" t="n">
        <x:v>105</x:v>
      </x:c>
      <x:c r="E111" t="str">
        <x:v>V1.0</x:v>
      </x:c>
      <x:c r="F111" t="str">
        <x:v>巳申合刑破并见必须拆分三种效应</x:v>
      </x:c>
      <x:c r="G111" t="str">
        <x:v>效应层</x:v>
      </x:c>
      <x:c r="H111" t="str">
        <x:v>M05-OVER-0081-V1.0</x:v>
      </x:c>
      <x:c r="I111" t="str">
        <x:v>其他</x:v>
      </x:c>
      <x:c r="J111" t="str">
        <x:v>巳、申</x:v>
      </x:c>
      <x:c r="K111" t="str">
        <x:v>巳与申分别输出</x:v>
      </x:c>
      <x:c r="L111" t="str">
        <x:v>逐对象比较得令、得地、得势与相对强弱</x:v>
      </x:c>
      <x:c r="M111" t="str">
        <x:v>记录参与对象中谁得令、谁受季节支持</x:v>
      </x:c>
      <x:c r="N111" t="str">
        <x:v>记录明干及相关藏干的透出通道</x:v>
      </x:c>
      <x:c r="O111" t="str">
        <x:v>记录各对象根气层级、数量及是否唯一根</x:v>
      </x:c>
      <x:c r="P111" t="str">
        <x:v>检查同节点的合、冲、刑、害、破、会及生克</x:v>
      </x:c>
      <x:c r="Q111" t="str">
        <x:v>其他</x:v>
      </x:c>
      <x:c r="R111" t="str">
        <x:v>条件性</x:v>
      </x:c>
      <x:c r="S111" t="str">
        <x:v>强</x:v>
      </x:c>
      <x:c r="T111" t="str">
        <x:v>条件性</x:v>
      </x:c>
      <x:c r="U111" t="str">
        <x:v>条件性</x:v>
      </x:c>
      <x:c r="V111" t="str">
        <x:v>是</x:v>
      </x:c>
      <x:c r="W111" t="str">
        <x:v>条件性</x:v>
      </x:c>
      <x:c r="X111" t="str">
        <x:v>条件性</x:v>
      </x:c>
      <x:c r="Y111" t="str">
        <x:v>可能改变原有生克路径，须在M12复核</x:v>
      </x:c>
      <x:c r="Z111" t="str">
        <x:v>M04/M05已识别关系，柱位、完整度与参与对象已标准化</x:v>
      </x:c>
      <x:c r="AA111" t="str">
        <x:v>必须指向具体作用对象，并比较各方力量、根气和通道</x:v>
      </x:c>
      <x:c r="AB111" t="str">
        <x:v>关系相邻、得令、得地、成势且无强力反制</x:v>
      </x:c>
      <x:c r="AC111" t="str">
        <x:v>遥隔、争合、节点被其他关系牵制或双方各有强根</x:v>
      </x:c>
      <x:c r="AD111" t="str">
        <x:v>仅凭关系名称不得直接判性质改变、归零或固定吉凶</x:v>
      </x:c>
      <x:c r="AE111" t="str">
        <x:v>特殊格局或岁运动态补齐须另建实例重新裁决</x:v>
      </x:c>
      <x:c r="AF111" t="str">
        <x:v>巳申同时具六合、刑与破；合可能牵引，刑可能扰动，破只作稳定性修正，三者不得互相替代。</x:v>
      </x:c>
      <x:c r="AG111" t="str">
        <x:v>巳申已分别评估合、刑、破：主效应____，次效应____，六破仅作____修正。</x:v>
      </x:c>
      <x:c r="AH111" t="str">
        <x:v>中等</x:v>
      </x:c>
      <x:c r="AI111" t="str">
        <x:v>现代综合</x:v>
      </x:c>
      <x:c r="AJ111" t="str">
        <x:v>同一对支多关系并存是测试规则去重能力的关键案例。参考：https://ctext.org/wiki.pl?chapter=974137&amp;if=gb&amp;remap=gb</x:v>
      </x:c>
      <x:c r="AK111" t="str">
        <x:v>水势强时巳申合水可主导，刑动次之，破为稳定性修正。</x:v>
      </x:c>
      <x:c r="AL111" t="str">
        <x:v>巳申只按六合或只按三刑。</x:v>
      </x:c>
      <x:c r="AM111" t="str">
        <x:v>采用</x:v>
      </x:c>
      <x:c r="AN111" t="str">
        <x:v>初审</x:v>
      </x:c>
      <x:c r="AO111" s="213" t="n">
        <x:v>46255</x:v>
      </x:c>
    </x:row>
    <x:row r="112">
      <x:c r="A112" t="str">
        <x:f>IF(OR(C112="",D112=""),"",B112&amp;"-"&amp;UPPER(C112)&amp;"-"&amp;TEXT(D112,"0000")&amp;"-"&amp;E112)</x:f>
        <x:v>M06-OVER-0106-V1.0</x:v>
      </x:c>
      <x:c r="B112" t="str">
        <x:v>M06</x:v>
      </x:c>
      <x:c r="C112" t="str">
        <x:v>OVER</x:v>
      </x:c>
      <x:c r="D112" t="n">
        <x:v>106</x:v>
      </x:c>
      <x:c r="E112" t="str">
        <x:v>V1.0</x:v>
      </x:c>
      <x:c r="F112" t="str">
        <x:v>合可解冲属于条件性而非固定优先</x:v>
      </x:c>
      <x:c r="G112" t="str">
        <x:v>效应层</x:v>
      </x:c>
      <x:c r="H112" t="str">
        <x:v>M05-OVER-0068-V1.0；M05-CHONG-0027-V1.0—M05-CHONG-0032-V1.0</x:v>
      </x:c>
      <x:c r="I112" t="str">
        <x:v>其他</x:v>
      </x:c>
      <x:c r="J112" t="str">
        <x:v>共享节点的六合与六冲</x:v>
      </x:c>
      <x:c r="K112" t="str">
        <x:v>冲效应</x:v>
      </x:c>
      <x:c r="L112" t="str">
        <x:v>逐对象比较得令、得地、得势与相对强弱</x:v>
      </x:c>
      <x:c r="M112" t="str">
        <x:v>记录参与对象中谁得令、谁受季节支持</x:v>
      </x:c>
      <x:c r="N112" t="str">
        <x:v>记录明干及相关藏干的透出通道</x:v>
      </x:c>
      <x:c r="O112" t="str">
        <x:v>记录各对象根气层级、数量及是否唯一根</x:v>
      </x:c>
      <x:c r="P112" t="str">
        <x:v>检查同节点的合、冲、刑、害、破、会及生克</x:v>
      </x:c>
      <x:c r="Q112" t="str">
        <x:v>阻断</x:v>
      </x:c>
      <x:c r="R112" t="str">
        <x:v>阻断</x:v>
      </x:c>
      <x:c r="S112" t="str">
        <x:v>中</x:v>
      </x:c>
      <x:c r="T112" t="str">
        <x:v>否</x:v>
      </x:c>
      <x:c r="U112" t="str">
        <x:v>条件性</x:v>
      </x:c>
      <x:c r="V112" t="str">
        <x:v>条件性</x:v>
      </x:c>
      <x:c r="W112" t="str">
        <x:v>条件性</x:v>
      </x:c>
      <x:c r="X112" t="str">
        <x:v>条件性</x:v>
      </x:c>
      <x:c r="Y112" t="str">
        <x:v>可能改变原有生克路径，须在M12复核</x:v>
      </x:c>
      <x:c r="Z112" t="str">
        <x:v>M04/M05已识别关系，柱位、完整度与参与对象已标准化</x:v>
      </x:c>
      <x:c r="AA112" t="str">
        <x:v>明确共享节点主导归属，并比较关系强度</x:v>
      </x:c>
      <x:c r="AB112" t="str">
        <x:v>关系相邻、得令、得地、成势且无强力反制</x:v>
      </x:c>
      <x:c r="AC112" t="str">
        <x:v>遥隔、争合、节点被其他关系牵制或双方各有强根</x:v>
      </x:c>
      <x:c r="AD112" t="str">
        <x:v>仅凭关系名称不得直接判性质改变、归零或固定吉凶</x:v>
      </x:c>
      <x:c r="AE112" t="str">
        <x:v>特殊格局或岁运动态补齐须另建实例重新裁决</x:v>
      </x:c>
      <x:c r="AF112" t="str">
        <x:v>合关系更强、共享节点稳定归入合且无第三关系夺取时，合可缓冲或解除冲；否则冲仍落实。</x:v>
      </x:c>
      <x:c r="AG112" t="str">
        <x:v>合能否解冲已比较：合强则冲降级；冲强或合被夺则不解。</x:v>
      </x:c>
      <x:c r="AH112" t="str">
        <x:v>中等</x:v>
      </x:c>
      <x:c r="AI112" t="str">
        <x:v>现代综合</x:v>
      </x:c>
      <x:c r="AJ112" t="str">
        <x:v>经典案例表明会合有时能解刑冲、有时不能。参考：https://ctext.org/wiki.pl?chapter=974137&amp;if=gb&amp;remap=gb</x:v>
      </x:c>
      <x:c r="AK112" t="str">
        <x:v>子午冲，丑合子且子丑合强时可缓冲；丑又入巳酉会时则未必。</x:v>
      </x:c>
      <x:c r="AL112" t="str">
        <x:v>只要出现六合便自动删除六冲。</x:v>
      </x:c>
      <x:c r="AM112" t="str">
        <x:v>采用</x:v>
      </x:c>
      <x:c r="AN112" t="str">
        <x:v>初审</x:v>
      </x:c>
      <x:c r="AO112" s="213" t="n">
        <x:v>46255</x:v>
      </x:c>
    </x:row>
    <x:row r="113">
      <x:c r="A113" t="str">
        <x:f>IF(OR(C113="",D113=""),"",B113&amp;"-"&amp;UPPER(C113)&amp;"-"&amp;TEXT(D113,"0000")&amp;"-"&amp;E113)</x:f>
        <x:v>M06-OVER-0107-V1.0</x:v>
      </x:c>
      <x:c r="B113" t="str">
        <x:v>M06</x:v>
      </x:c>
      <x:c r="C113" t="str">
        <x:v>OVER</x:v>
      </x:c>
      <x:c r="D113" t="n">
        <x:v>107</x:v>
      </x:c>
      <x:c r="E113" t="str">
        <x:v>V1.0</x:v>
      </x:c>
      <x:c r="F113" t="str">
        <x:v>冲可解合也属于条件性释放</x:v>
      </x:c>
      <x:c r="G113" t="str">
        <x:v>效应层</x:v>
      </x:c>
      <x:c r="H113" t="str">
        <x:v>M05-OVER-0068-V1.0；M05-CHONG-0027-V1.0—M05-CHONG-0032-V1.0</x:v>
      </x:c>
      <x:c r="I113" t="str">
        <x:v>其他</x:v>
      </x:c>
      <x:c r="J113" t="str">
        <x:v>共享节点的合与冲</x:v>
      </x:c>
      <x:c r="K113" t="str">
        <x:v>原合效应</x:v>
      </x:c>
      <x:c r="L113" t="str">
        <x:v>逐对象比较得令、得地、得势与相对强弱</x:v>
      </x:c>
      <x:c r="M113" t="str">
        <x:v>记录参与对象中谁得令、谁受季节支持</x:v>
      </x:c>
      <x:c r="N113" t="str">
        <x:v>记录明干及相关藏干的透出通道</x:v>
      </x:c>
      <x:c r="O113" t="str">
        <x:v>记录各对象根气层级、数量及是否唯一根</x:v>
      </x:c>
      <x:c r="P113" t="str">
        <x:v>检查同节点的合、冲、刑、害、破、会及生克</x:v>
      </x:c>
      <x:c r="Q113" t="str">
        <x:v>冲开</x:v>
      </x:c>
      <x:c r="R113" t="str">
        <x:v>激活</x:v>
      </x:c>
      <x:c r="S113" t="str">
        <x:v>中</x:v>
      </x:c>
      <x:c r="T113" t="str">
        <x:v>否</x:v>
      </x:c>
      <x:c r="U113" t="str">
        <x:v>条件性</x:v>
      </x:c>
      <x:c r="V113" t="str">
        <x:v>条件性</x:v>
      </x:c>
      <x:c r="W113" t="str">
        <x:v>条件性</x:v>
      </x:c>
      <x:c r="X113" t="str">
        <x:v>条件性</x:v>
      </x:c>
      <x:c r="Y113" t="str">
        <x:v>可能改变原有生克路径，须在M12复核</x:v>
      </x:c>
      <x:c r="Z113" t="str">
        <x:v>M04/M05已识别关系，柱位、完整度与参与对象已标准化</x:v>
      </x:c>
      <x:c r="AA113" t="str">
        <x:v>原合已形成实际合绊，冲方力量足以破合</x:v>
      </x:c>
      <x:c r="AB113" t="str">
        <x:v>关系相邻、得令、得地、成势且无强力反制</x:v>
      </x:c>
      <x:c r="AC113" t="str">
        <x:v>遥隔、争合、节点被其他关系牵制或双方各有强根</x:v>
      </x:c>
      <x:c r="AD113" t="str">
        <x:v>仅凭关系名称不得直接判性质改变、归零或固定吉凶</x:v>
      </x:c>
      <x:c r="AE113" t="str">
        <x:v>特殊格局或岁运动态补齐须另建实例重新裁决</x:v>
      </x:c>
      <x:c r="AF113" t="str">
        <x:v>冲方足够强且直接命中合局节点时，可使原合松解并释放本气；弱冲强合则不能解。</x:v>
      </x:c>
      <x:c r="AG113" t="str">
        <x:v>冲能否解合已比较：强冲可冲开，弱冲只扰动，原合仍保留。</x:v>
      </x:c>
      <x:c r="AH113" t="str">
        <x:v>中等</x:v>
      </x:c>
      <x:c r="AI113" t="str">
        <x:v>现代综合</x:v>
      </x:c>
      <x:c r="AJ113" t="str">
        <x:v>刑冲会合之间的相互解除依结构而定。参考：https://ctext.org/wiki.pl?chapter=974137&amp;if=gb&amp;remap=gb</x:v>
      </x:c>
      <x:c r="AK113" t="str">
        <x:v>辰酉合弱而卯强冲酉，可冲开。</x:v>
      </x:c>
      <x:c r="AL113" t="str">
        <x:v>任何冲都必然破合。</x:v>
      </x:c>
      <x:c r="AM113" t="str">
        <x:v>采用</x:v>
      </x:c>
      <x:c r="AN113" t="str">
        <x:v>初审</x:v>
      </x:c>
      <x:c r="AO113" s="213" t="n">
        <x:v>46255</x:v>
      </x:c>
    </x:row>
    <x:row r="114">
      <x:c r="A114" t="str">
        <x:f>IF(OR(C114="",D114=""),"",B114&amp;"-"&amp;UPPER(C114)&amp;"-"&amp;TEXT(D114,"0000")&amp;"-"&amp;E114)</x:f>
        <x:v>M06-OVER-0108-V1.0</x:v>
      </x:c>
      <x:c r="B114" t="str">
        <x:v>M06</x:v>
      </x:c>
      <x:c r="C114" t="str">
        <x:v>OVER</x:v>
      </x:c>
      <x:c r="D114" t="n">
        <x:v>108</x:v>
      </x:c>
      <x:c r="E114" t="str">
        <x:v>V1.0</x:v>
      </x:c>
      <x:c r="F114" t="str">
        <x:v>三合三会成势可牵走六合共享节点</x:v>
      </x:c>
      <x:c r="G114" t="str">
        <x:v>效应层</x:v>
      </x:c>
      <x:c r="H114" t="str">
        <x:v>M05-SANHE-0007-V1.0—M05-SANHUI-0026-V1.0；M05-OVER-0068-V1.0</x:v>
      </x:c>
      <x:c r="I114" t="str">
        <x:v>其他</x:v>
      </x:c>
      <x:c r="J114" t="str">
        <x:v>三合或三会成员及其六合对象</x:v>
      </x:c>
      <x:c r="K114" t="str">
        <x:v>共享地支</x:v>
      </x:c>
      <x:c r="L114" t="str">
        <x:v>逐对象比较得令、得地、得势与相对强弱</x:v>
      </x:c>
      <x:c r="M114" t="str">
        <x:v>记录参与对象中谁得令、谁受季节支持</x:v>
      </x:c>
      <x:c r="N114" t="str">
        <x:v>记录明干及相关藏干的透出通道</x:v>
      </x:c>
      <x:c r="O114" t="str">
        <x:v>记录各对象根气层级、数量及是否唯一根</x:v>
      </x:c>
      <x:c r="P114" t="str">
        <x:v>检查同节点的合、冲、刑、害、破、会及生克</x:v>
      </x:c>
      <x:c r="Q114" t="str">
        <x:v>合化</x:v>
      </x:c>
      <x:c r="R114" t="str">
        <x:v>转化</x:v>
      </x:c>
      <x:c r="S114" t="str">
        <x:v>强</x:v>
      </x:c>
      <x:c r="T114" t="str">
        <x:v>条件性</x:v>
      </x:c>
      <x:c r="U114" t="str">
        <x:v>条件性</x:v>
      </x:c>
      <x:c r="V114" t="str">
        <x:v>条件性</x:v>
      </x:c>
      <x:c r="W114" t="str">
        <x:v>条件性</x:v>
      </x:c>
      <x:c r="X114" t="str">
        <x:v>条件性</x:v>
      </x:c>
      <x:c r="Y114" t="str">
        <x:v>可能改变原有生克路径，须在M12复核</x:v>
      </x:c>
      <x:c r="Z114" t="str">
        <x:v>M04/M05已识别关系，柱位、完整度与参与对象已标准化</x:v>
      </x:c>
      <x:c r="AA114" t="str">
        <x:v>必须指向具体作用对象，并比较各方力量、根气和通道</x:v>
      </x:c>
      <x:c r="AB114" t="str">
        <x:v>关系相邻、得令、得地、成势且无强力反制</x:v>
      </x:c>
      <x:c r="AC114" t="str">
        <x:v>遥隔、争合、节点被其他关系牵制或双方各有强根</x:v>
      </x:c>
      <x:c r="AD114" t="str">
        <x:v>仅凭关系名称不得直接判性质改变、归零或固定吉凶</x:v>
      </x:c>
      <x:c r="AE114" t="str">
        <x:v>特殊格局或岁运动态补齐须另建实例重新裁决</x:v>
      </x:c>
      <x:c r="AF114" t="str">
        <x:v>完整三合或三会得令成势时，通常能主导共享节点，使单一六合降级；若局势不成，则不得反向预设。</x:v>
      </x:c>
      <x:c r="AG114" t="str">
        <x:v>三合/三会成势，共享节点归入大局，六合降为次级；若大局未成则重新比较。</x:v>
      </x:c>
      <x:c r="AH114" t="str">
        <x:v>中等</x:v>
      </x:c>
      <x:c r="AI114" t="str">
        <x:v>现代综合</x:v>
      </x:c>
      <x:c r="AJ114" t="str">
        <x:v>完整度和气势共同决定多重会合的主次。参考：https://ctext.org/wiki.pl?chapter=974137&amp;if=gb&amp;remap=gb</x:v>
      </x:c>
      <x:c r="AK114" t="str">
        <x:v>丑入巳酉丑金局成势时，子丑六合可降级。</x:v>
      </x:c>
      <x:c r="AL114" t="str">
        <x:v>三合仅三支齐而未成势也无条件压过六合。</x:v>
      </x:c>
      <x:c r="AM114" t="str">
        <x:v>采用</x:v>
      </x:c>
      <x:c r="AN114" t="str">
        <x:v>初审</x:v>
      </x:c>
      <x:c r="AO114" s="213" t="n">
        <x:v>46255</x:v>
      </x:c>
    </x:row>
    <x:row r="115">
      <x:c r="A115" t="str">
        <x:f>IF(OR(C115="",D115=""),"",B115&amp;"-"&amp;UPPER(C115)&amp;"-"&amp;TEXT(D115,"0000")&amp;"-"&amp;E115)</x:f>
        <x:v>M06-OVER-0109-V1.0</x:v>
      </x:c>
      <x:c r="B115" t="str">
        <x:v>M06</x:v>
      </x:c>
      <x:c r="C115" t="str">
        <x:v>OVER</x:v>
      </x:c>
      <x:c r="D115" t="n">
        <x:v>109</x:v>
      </x:c>
      <x:c r="E115" t="str">
        <x:v>V1.0</x:v>
      </x:c>
      <x:c r="F115" t="str">
        <x:v>共享节点不能同时完整归属互斥结果</x:v>
      </x:c>
      <x:c r="G115" t="str">
        <x:v>效应层</x:v>
      </x:c>
      <x:c r="H115" t="str">
        <x:v>M04-ZHENG-0037-V1.0—M04-ZHENG-0042-V1.0；M05-OVER-0068-V1.0</x:v>
      </x:c>
      <x:c r="I115" t="str">
        <x:v>其他</x:v>
      </x:c>
      <x:c r="J115" t="str">
        <x:v>被多个关系共享的干支</x:v>
      </x:c>
      <x:c r="K115" t="str">
        <x:v>共享节点的有效归属</x:v>
      </x:c>
      <x:c r="L115" t="str">
        <x:v>逐对象比较得令、得地、得势与相对强弱</x:v>
      </x:c>
      <x:c r="M115" t="str">
        <x:v>记录参与对象中谁得令、谁受季节支持</x:v>
      </x:c>
      <x:c r="N115" t="str">
        <x:v>记录明干及相关藏干的透出通道</x:v>
      </x:c>
      <x:c r="O115" t="str">
        <x:v>记录各对象根气层级、数量及是否唯一根</x:v>
      </x:c>
      <x:c r="P115" t="str">
        <x:v>检查同节点的合、冲、刑、害、破、会及生克</x:v>
      </x:c>
      <x:c r="Q115" t="str">
        <x:v>阻断</x:v>
      </x:c>
      <x:c r="R115" t="str">
        <x:v>条件性</x:v>
      </x:c>
      <x:c r="S115" t="str">
        <x:v>决定性</x:v>
      </x:c>
      <x:c r="T115" t="str">
        <x:v>条件性</x:v>
      </x:c>
      <x:c r="U115" t="str">
        <x:v>条件性</x:v>
      </x:c>
      <x:c r="V115" t="str">
        <x:v>条件性</x:v>
      </x:c>
      <x:c r="W115" t="str">
        <x:v>条件性</x:v>
      </x:c>
      <x:c r="X115" t="str">
        <x:v>条件性</x:v>
      </x:c>
      <x:c r="Y115" t="str">
        <x:v>可能改变原有生克路径，须在M12复核</x:v>
      </x:c>
      <x:c r="Z115" t="str">
        <x:v>M04/M05已识别关系，柱位、完整度与参与对象已标准化</x:v>
      </x:c>
      <x:c r="AA115" t="str">
        <x:v>列出互斥结果并给出裁决证据</x:v>
      </x:c>
      <x:c r="AB115" t="str">
        <x:v>关系相邻、得令、得地、成势且无强力反制</x:v>
      </x:c>
      <x:c r="AC115" t="str">
        <x:v>遥隔、争合、节点被其他关系牵制或双方各有强根</x:v>
      </x:c>
      <x:c r="AD115" t="str">
        <x:v>把同一节点同时100%计入两个互斥结果</x:v>
      </x:c>
      <x:c r="AE115" t="str">
        <x:v>特殊格局或岁运动态补齐须另建实例重新裁决</x:v>
      </x:c>
      <x:c r="AF115" t="str">
        <x:v>同一节点可同时存在多种关系候选，但在同一分析层级不能同时完整化入两个互斥五行或两个相反主局。</x:v>
      </x:c>
      <x:c r="AG115" t="str">
        <x:v>共享节点已指定唯一主导归属；其他关系保留为次级、受抑制或未成立。</x:v>
      </x:c>
      <x:c r="AH115" t="str">
        <x:v>较高</x:v>
      </x:c>
      <x:c r="AI115" t="str">
        <x:v>现代综合</x:v>
      </x:c>
      <x:c r="AJ115" t="str">
        <x:v>关系并存不等于效应可无损叠加。参考：https://ctext.org/wiki.pl?chapter=974137&amp;if=gb&amp;remap=gb</x:v>
      </x:c>
      <x:c r="AK115" t="str">
        <x:v>丑不能同时完整化入子丑土与巳酉丑金，须定主次。</x:v>
      </x:c>
      <x:c r="AL115" t="str">
        <x:v>同一丑支在两个完整局中重复全额计力。</x:v>
      </x:c>
      <x:c r="AM115" t="str">
        <x:v>采用</x:v>
      </x:c>
      <x:c r="AN115" t="str">
        <x:v>初审</x:v>
      </x:c>
      <x:c r="AO115" s="213" t="n">
        <x:v>46255</x:v>
      </x:c>
    </x:row>
    <x:row r="116">
      <x:c r="A116" t="str">
        <x:f>IF(OR(C116="",D116=""),"",B116&amp;"-"&amp;UPPER(C116)&amp;"-"&amp;TEXT(D116,"0000")&amp;"-"&amp;E116)</x:f>
        <x:v>M06-OVER-0110-V1.0</x:v>
      </x:c>
      <x:c r="B116" t="str">
        <x:v>M06</x:v>
      </x:c>
      <x:c r="C116" t="str">
        <x:v>OVER</x:v>
      </x:c>
      <x:c r="D116" t="n">
        <x:v>110</x:v>
      </x:c>
      <x:c r="E116" t="str">
        <x:v>V1.0</x:v>
      </x:c>
      <x:c r="F116" t="str">
        <x:v>关系效应采用五步链式裁决顺序</x:v>
      </x:c>
      <x:c r="G116" t="str">
        <x:v>效应层</x:v>
      </x:c>
      <x:c r="H116" t="str">
        <x:v>M04-BOUND-0050-V1.0；M05-BOUND-0090-V1.0</x:v>
      </x:c>
      <x:c r="I116" t="str">
        <x:v>其他</x:v>
      </x:c>
      <x:c r="J116" t="str">
        <x:v>全部干支关系</x:v>
      </x:c>
      <x:c r="K116" t="str">
        <x:v>效应推理流程</x:v>
      </x:c>
      <x:c r="L116" t="str">
        <x:v>逐对象比较得令、得地、得势与相对强弱</x:v>
      </x:c>
      <x:c r="M116" t="str">
        <x:v>记录参与对象中谁得令、谁受季节支持</x:v>
      </x:c>
      <x:c r="N116" t="str">
        <x:v>记录明干及相关藏干的透出通道</x:v>
      </x:c>
      <x:c r="O116" t="str">
        <x:v>记录各对象根气层级、数量及是否唯一根</x:v>
      </x:c>
      <x:c r="P116" t="str">
        <x:v>检查同节点的合、冲、刑、害、破、会及生克</x:v>
      </x:c>
      <x:c r="Q116" t="str">
        <x:v>其他</x:v>
      </x:c>
      <x:c r="R116" t="str">
        <x:v>条件性</x:v>
      </x:c>
      <x:c r="S116" t="str">
        <x:v>决定性</x:v>
      </x:c>
      <x:c r="T116" t="str">
        <x:v>条件性</x:v>
      </x:c>
      <x:c r="U116" t="str">
        <x:v>条件性</x:v>
      </x:c>
      <x:c r="V116" t="str">
        <x:v>条件性</x:v>
      </x:c>
      <x:c r="W116" t="str">
        <x:v>条件性</x:v>
      </x:c>
      <x:c r="X116" t="str">
        <x:v>条件性</x:v>
      </x:c>
      <x:c r="Y116" t="str">
        <x:v>输出统一转M08与M12</x:v>
      </x:c>
      <x:c r="Z116" t="str">
        <x:v>M04/M05已识别关系，柱位、完整度与参与对象已标准化</x:v>
      </x:c>
      <x:c r="AA116" t="str">
        <x:v>五步均有可追溯证据</x:v>
      </x:c>
      <x:c r="AB116" t="str">
        <x:v>关系相邻、得令、得地、成势且无强力反制</x:v>
      </x:c>
      <x:c r="AC116" t="str">
        <x:v>遥隔、争合、节点被其他关系牵制或双方各有强根</x:v>
      </x:c>
      <x:c r="AD116" t="str">
        <x:v>仅凭关系名称不得直接判性质改变、归零或固定吉凶</x:v>
      </x:c>
      <x:c r="AE116" t="str">
        <x:v>特殊格局或岁运动态补齐须另建实例重新裁决</x:v>
      </x:c>
      <x:c r="AF116" t="str">
        <x:v>固定顺序为：识别关系→记录原始强弱证据→逐对象求效应→处理重叠主次→输出有效力量修正。</x:v>
      </x:c>
      <x:c r="AG116" t="str">
        <x:v>本关系已按五步链完成，不存在由关系名称直接跳到喜忌或旺衰结论。</x:v>
      </x:c>
      <x:c r="AH116" t="str">
        <x:v>较高</x:v>
      </x:c>
      <x:c r="AI116" t="str">
        <x:v>现代综合</x:v>
      </x:c>
      <x:c r="AJ116" t="str">
        <x:v>分层流程用于防止循环论证和重复计算。参考：https://ctext.org/wiki.pl?chapter=435028&amp;if=gb&amp;remap=gb</x:v>
      </x:c>
      <x:c r="AK116" t="str">
        <x:v>先识别寅申冲，再比较强弱，再判寅弱申旺，最后修正木金有效力。</x:v>
      </x:c>
      <x:c r="AL116" t="str">
        <x:v>先认定木弱，再用寅申冲反向证明木弱。</x:v>
      </x:c>
      <x:c r="AM116" t="str">
        <x:v>采用</x:v>
      </x:c>
      <x:c r="AN116" t="str">
        <x:v>初审</x:v>
      </x:c>
      <x:c r="AO116" s="213" t="n">
        <x:v>46255</x:v>
      </x:c>
    </x:row>
    <x:row r="117">
      <x:c r="A117" t="str">
        <x:f>IF(OR(C117="",D117=""),"",B117&amp;"-"&amp;UPPER(C117)&amp;"-"&amp;TEXT(D117,"0000")&amp;"-"&amp;E117)</x:f>
        <x:v>M06-BOUND-0111-V1.0</x:v>
      </x:c>
      <x:c r="B117" t="str">
        <x:v>M06</x:v>
      </x:c>
      <x:c r="C117" t="str">
        <x:v>BOUND</x:v>
      </x:c>
      <x:c r="D117" t="n">
        <x:v>111</x:v>
      </x:c>
      <x:c r="E117" t="str">
        <x:v>V1.0</x:v>
      </x:c>
      <x:c r="F117" t="str">
        <x:v>关系名称不得换算固定分值</x:v>
      </x:c>
      <x:c r="G117" t="str">
        <x:v>效应层</x:v>
      </x:c>
      <x:c r="H117" t="str">
        <x:v>M04-BOUND-0050-V1.0；M05-BOUND-0090-V1.0</x:v>
      </x:c>
      <x:c r="I117" t="str">
        <x:v>其他</x:v>
      </x:c>
      <x:c r="J117" t="str">
        <x:v>全部干支关系</x:v>
      </x:c>
      <x:c r="K117" t="str">
        <x:v>力量修正规则</x:v>
      </x:c>
      <x:c r="L117" t="str">
        <x:v>逐对象比较得令、得地、得势与相对强弱</x:v>
      </x:c>
      <x:c r="M117" t="str">
        <x:v>记录参与对象中谁得令、谁受季节支持</x:v>
      </x:c>
      <x:c r="N117" t="str">
        <x:v>记录明干及相关藏干的透出通道</x:v>
      </x:c>
      <x:c r="O117" t="str">
        <x:v>记录各对象根气层级、数量及是否唯一根</x:v>
      </x:c>
      <x:c r="P117" t="str">
        <x:v>检查同节点的合、冲、刑、害、破、会及生克</x:v>
      </x:c>
      <x:c r="Q117" t="str">
        <x:v>其他</x:v>
      </x:c>
      <x:c r="R117" t="str">
        <x:v>条件性</x:v>
      </x:c>
      <x:c r="S117" t="str">
        <x:v>决定性</x:v>
      </x:c>
      <x:c r="T117" t="str">
        <x:v>否</x:v>
      </x:c>
      <x:c r="U117" t="str">
        <x:v>条件性</x:v>
      </x:c>
      <x:c r="V117" t="str">
        <x:v>条件性</x:v>
      </x:c>
      <x:c r="W117" t="str">
        <x:v>条件性</x:v>
      </x:c>
      <x:c r="X117" t="str">
        <x:v>条件性</x:v>
      </x:c>
      <x:c r="Y117" t="str">
        <x:v>可能改变原有生克路径，须在M12复核</x:v>
      </x:c>
      <x:c r="Z117" t="str">
        <x:v>M04/M05已识别关系，柱位、完整度与参与对象已标准化</x:v>
      </x:c>
      <x:c r="AA117" t="str">
        <x:v>每次修正必须引用具体强弱和结构证据</x:v>
      </x:c>
      <x:c r="AB117" t="str">
        <x:v>关系相邻、得令、得地、成势且无强力反制</x:v>
      </x:c>
      <x:c r="AC117" t="str">
        <x:v>遥隔、争合、节点被其他关系牵制或双方各有强根</x:v>
      </x:c>
      <x:c r="AD117" t="str">
        <x:v>仅凭关系名称不得直接判性质改变、归零或固定吉凶</x:v>
      </x:c>
      <x:c r="AE117" t="str">
        <x:v>特殊格局或岁运动态补齐须另建实例重新裁决</x:v>
      </x:c>
      <x:c r="AF117" t="str">
        <x:v>合、冲、刑、害、破不得预设统一加减百分比；同名关系在不同强弱和结构中可产生不同结果。</x:v>
      </x:c>
      <x:c r="AG117" t="str">
        <x:v>本条只给条件性效应，不使用“见冲减X分、见合减Y分”的固定算法。</x:v>
      </x:c>
      <x:c r="AH117" t="str">
        <x:v>较高</x:v>
      </x:c>
      <x:c r="AI117" t="str">
        <x:v>现代综合</x:v>
      </x:c>
      <x:c r="AJ117" t="str">
        <x:v>关系不是固定力学常数。参考：https://zh.wikisource.org/zh-hans/滴天髓</x:v>
      </x:c>
      <x:c r="AK117" t="str">
        <x:v>子午冲在午旺子弱时判午发、子损。</x:v>
      </x:c>
      <x:c r="AL117" t="str">
        <x:v>所有六冲双方各减30%。</x:v>
      </x:c>
      <x:c r="AM117" t="str">
        <x:v>采用</x:v>
      </x:c>
      <x:c r="AN117" t="str">
        <x:v>初审</x:v>
      </x:c>
      <x:c r="AO117" s="213" t="n">
        <x:v>46255</x:v>
      </x:c>
    </x:row>
    <x:row r="118">
      <x:c r="A118" t="str">
        <x:f>IF(OR(C118="",D118=""),"",B118&amp;"-"&amp;UPPER(C118)&amp;"-"&amp;TEXT(D118,"0000")&amp;"-"&amp;E118)</x:f>
        <x:v>M06-BOUND-0112-V1.0</x:v>
      </x:c>
      <x:c r="B118" t="str">
        <x:v>M06</x:v>
      </x:c>
      <x:c r="C118" t="str">
        <x:v>BOUND</x:v>
      </x:c>
      <x:c r="D118" t="n">
        <x:v>112</x:v>
      </x:c>
      <x:c r="E118" t="str">
        <x:v>V1.0</x:v>
      </x:c>
      <x:c r="F118" t="str">
        <x:v>任何关系都不得自动把干支归零</x:v>
      </x:c>
      <x:c r="G118" t="str">
        <x:v>效应层</x:v>
      </x:c>
      <x:c r="H118" t="str">
        <x:v>M04-BOUND-0050-V1.0；M05-BOUND-0077-V1.0—M05-BOUND-0080-V1.0</x:v>
      </x:c>
      <x:c r="I118" t="str">
        <x:v>其他</x:v>
      </x:c>
      <x:c r="J118" t="str">
        <x:v>全部干支关系</x:v>
      </x:c>
      <x:c r="K118" t="str">
        <x:v>参与干支</x:v>
      </x:c>
      <x:c r="L118" t="str">
        <x:v>逐对象比较得令、得地、得势与相对强弱</x:v>
      </x:c>
      <x:c r="M118" t="str">
        <x:v>记录参与对象中谁得令、谁受季节支持</x:v>
      </x:c>
      <x:c r="N118" t="str">
        <x:v>记录明干及相关藏干的透出通道</x:v>
      </x:c>
      <x:c r="O118" t="str">
        <x:v>记录各对象根气层级、数量及是否唯一根</x:v>
      </x:c>
      <x:c r="P118" t="str">
        <x:v>检查同节点的合、冲、刑、害、破、会及生克</x:v>
      </x:c>
      <x:c r="Q118" t="str">
        <x:v>其他</x:v>
      </x:c>
      <x:c r="R118" t="str">
        <x:v>不变</x:v>
      </x:c>
      <x:c r="S118" t="str">
        <x:v>决定性</x:v>
      </x:c>
      <x:c r="T118" t="str">
        <x:v>否</x:v>
      </x:c>
      <x:c r="U118" t="str">
        <x:v>条件性</x:v>
      </x:c>
      <x:c r="V118" t="str">
        <x:v>条件性</x:v>
      </x:c>
      <x:c r="W118" t="str">
        <x:v>条件性</x:v>
      </x:c>
      <x:c r="X118" t="str">
        <x:v>条件性</x:v>
      </x:c>
      <x:c r="Y118" t="str">
        <x:v>可能改变原有生克路径，须在M12复核</x:v>
      </x:c>
      <x:c r="Z118" t="str">
        <x:v>M04/M05已识别关系，柱位、完整度与参与对象已标准化</x:v>
      </x:c>
      <x:c r="AA118" t="str">
        <x:v>必须指向具体作用对象，并比较各方力量、根气和通道</x:v>
      </x:c>
      <x:c r="AB118" t="str">
        <x:v>关系相邻、得令、得地、成势且无强力反制</x:v>
      </x:c>
      <x:c r="AC118" t="str">
        <x:v>遥隔、争合、节点被其他关系牵制或双方各有强根</x:v>
      </x:c>
      <x:c r="AD118" t="str">
        <x:v>只因有合冲刑害破便删除对象</x:v>
      </x:c>
      <x:c r="AE118" t="str">
        <x:v>特殊格局或岁运动态补齐须另建实例重新裁决</x:v>
      </x:c>
      <x:c r="AF118" t="str">
        <x:v>除非满足冲去、严格合化或根气实质破坏等高门槛，关系成立不能把对象力量直接记为零。</x:v>
      </x:c>
      <x:c r="AG118" t="str">
        <x:v>对象原始存在保留；当前仅按已验证效应调整有效力量。</x:v>
      </x:c>
      <x:c r="AH118" t="str">
        <x:v>较高</x:v>
      </x:c>
      <x:c r="AI118" t="str">
        <x:v>现代综合</x:v>
      </x:c>
      <x:c r="AJ118" t="str">
        <x:v>原始存在与有效作用必须分开。参考：https://zh.wikisource.org/zh-hans/滴天髓</x:v>
      </x:c>
      <x:c r="AK118" t="str">
        <x:v>甲被合绊仍保留甲和其根，只下调直接发挥。</x:v>
      </x:c>
      <x:c r="AL118" t="str">
        <x:v>甲己合后甲直接记0。</x:v>
      </x:c>
      <x:c r="AM118" t="str">
        <x:v>采用</x:v>
      </x:c>
      <x:c r="AN118" t="str">
        <x:v>初审</x:v>
      </x:c>
      <x:c r="AO118" s="213" t="n">
        <x:v>46255</x:v>
      </x:c>
    </x:row>
    <x:row r="119">
      <x:c r="A119" t="str">
        <x:f>IF(OR(C119="",D119=""),"",B119&amp;"-"&amp;UPPER(C119)&amp;"-"&amp;TEXT(D119,"0000")&amp;"-"&amp;E119)</x:f>
        <x:v>M06-BOUND-0113-V1.0</x:v>
      </x:c>
      <x:c r="B119" t="str">
        <x:v>M06</x:v>
      </x:c>
      <x:c r="C119" t="str">
        <x:v>BOUND</x:v>
      </x:c>
      <x:c r="D119" t="n">
        <x:v>113</x:v>
      </x:c>
      <x:c r="E119" t="str">
        <x:v>V1.0</x:v>
      </x:c>
      <x:c r="F119" t="str">
        <x:v>五行性质改变只允许由已验证合化成局触发</x:v>
      </x:c>
      <x:c r="G119" t="str">
        <x:v>效应层</x:v>
      </x:c>
      <x:c r="H119" t="str">
        <x:v>M04-HHC-0032-V1.0—M04-HHC-0036-V1.0；M05-BOUND-0074-V1.0—M05-BOUND-0076-V1.0</x:v>
      </x:c>
      <x:c r="I119" t="str">
        <x:v>其他</x:v>
      </x:c>
      <x:c r="J119" t="str">
        <x:v>候选合化或成局关系</x:v>
      </x:c>
      <x:c r="K119" t="str">
        <x:v>参与干支的有效五行性质</x:v>
      </x:c>
      <x:c r="L119" t="str">
        <x:v>逐对象比较得令、得地、得势与相对强弱</x:v>
      </x:c>
      <x:c r="M119" t="str">
        <x:v>记录参与对象中谁得令、谁受季节支持</x:v>
      </x:c>
      <x:c r="N119" t="str">
        <x:v>记录明干及相关藏干的透出通道</x:v>
      </x:c>
      <x:c r="O119" t="str">
        <x:v>记录各对象根气层级、数量及是否唯一根</x:v>
      </x:c>
      <x:c r="P119" t="str">
        <x:v>检查同节点的合、冲、刑、害、破、会及生克</x:v>
      </x:c>
      <x:c r="Q119" t="str">
        <x:v>合化</x:v>
      </x:c>
      <x:c r="R119" t="str">
        <x:v>转化</x:v>
      </x:c>
      <x:c r="S119" t="str">
        <x:v>决定性</x:v>
      </x:c>
      <x:c r="T119" t="str">
        <x:v>条件性</x:v>
      </x:c>
      <x:c r="U119" t="str">
        <x:v>条件性</x:v>
      </x:c>
      <x:c r="V119" t="str">
        <x:v>条件性</x:v>
      </x:c>
      <x:c r="W119" t="str">
        <x:v>条件性</x:v>
      </x:c>
      <x:c r="X119" t="str">
        <x:v>条件性</x:v>
      </x:c>
      <x:c r="Y119" t="str">
        <x:v>可能改变原有生克路径，须在M12复核</x:v>
      </x:c>
      <x:c r="Z119" t="str">
        <x:v>M04/M05已识别关系，柱位、完整度与参与对象已标准化</x:v>
      </x:c>
      <x:c r="AA119" t="str">
        <x:v>引用已成立的TGHUA、LIUHE、SANHE或SANHUI规则</x:v>
      </x:c>
      <x:c r="AB119" t="str">
        <x:v>关系相邻、得令、得地、成势且无强力反制</x:v>
      </x:c>
      <x:c r="AC119" t="str">
        <x:v>遥隔、争合、节点被其他关系牵制或双方各有强根</x:v>
      </x:c>
      <x:c r="AD119" t="str">
        <x:v>用合绊、冲动、刑伤直接改写五行</x:v>
      </x:c>
      <x:c r="AE119" t="str">
        <x:v>特殊格局或岁运动态补齐须另建实例重新裁决</x:v>
      </x:c>
      <x:c r="AF119" t="str">
        <x:v>只有M06通过完整合化或成局门槛，T列才标“是”；合动、合绊、冲刑害破均不得直接改性。</x:v>
      </x:c>
      <x:c r="AG119" t="str">
        <x:v>五行性质是否改变：是/否/条件性；依据为具体合化成局规则。</x:v>
      </x:c>
      <x:c r="AH119" t="str">
        <x:v>较高</x:v>
      </x:c>
      <x:c r="AI119" t="str">
        <x:v>现代综合</x:v>
      </x:c>
      <x:c r="AJ119" t="str">
        <x:v>性质改变是高等级结论，需严格门槛。参考：https://zh.wikisource.org/zh-hans/淵海子平；https://zh.wikisource.org/wiki/三命通會/卷二</x:v>
      </x:c>
      <x:c r="AK119" t="str">
        <x:v>丙辛完整化水后标改性；丙辛仅合绊则不改性。</x:v>
      </x:c>
      <x:c r="AL119" t="str">
        <x:v>辰酉一合便把辰全部改金。</x:v>
      </x:c>
      <x:c r="AM119" t="str">
        <x:v>采用</x:v>
      </x:c>
      <x:c r="AN119" t="str">
        <x:v>初审</x:v>
      </x:c>
      <x:c r="AO119" s="213" t="n">
        <x:v>46255</x:v>
      </x:c>
    </x:row>
    <x:row r="120">
      <x:c r="A120" t="str">
        <x:f>IF(OR(C120="",D120=""),"",B120&amp;"-"&amp;UPPER(C120)&amp;"-"&amp;TEXT(D120,"0000")&amp;"-"&amp;E120)</x:f>
        <x:v>M06-BOUND-0114-V1.0</x:v>
      </x:c>
      <x:c r="B120" t="str">
        <x:v>M06</x:v>
      </x:c>
      <x:c r="C120" t="str">
        <x:v>BOUND</x:v>
      </x:c>
      <x:c r="D120" t="n">
        <x:v>114</x:v>
      </x:c>
      <x:c r="E120" t="str">
        <x:v>V1.0</x:v>
      </x:c>
      <x:c r="F120" t="str">
        <x:v>合住不等于对象消失</x:v>
      </x:c>
      <x:c r="G120" t="str">
        <x:v>效应层</x:v>
      </x:c>
      <x:c r="H120" t="str">
        <x:v>M04-HE-0001-V1.0—M04-HE-0005-V1.0；M05-LIUHE-0001-V1.0—M05-LIUHE-0006-V1.0</x:v>
      </x:c>
      <x:c r="I120" t="str">
        <x:v>其他</x:v>
      </x:c>
      <x:c r="J120" t="str">
        <x:v>被合住的干支</x:v>
      </x:c>
      <x:c r="K120" t="str">
        <x:v>对象的存在与功能</x:v>
      </x:c>
      <x:c r="L120" t="str">
        <x:v>逐对象比较得令、得地、得势与相对强弱</x:v>
      </x:c>
      <x:c r="M120" t="str">
        <x:v>记录参与对象中谁得令、谁受季节支持</x:v>
      </x:c>
      <x:c r="N120" t="str">
        <x:v>记录明干及相关藏干的透出通道</x:v>
      </x:c>
      <x:c r="O120" t="str">
        <x:v>记录各对象根气层级、数量及是否唯一根</x:v>
      </x:c>
      <x:c r="P120" t="str">
        <x:v>检查同节点的合、冲、刑、害、破、会及生克</x:v>
      </x:c>
      <x:c r="Q120" t="str">
        <x:v>合住</x:v>
      </x:c>
      <x:c r="R120" t="str">
        <x:v>冻结</x:v>
      </x:c>
      <x:c r="S120" t="str">
        <x:v>强</x:v>
      </x:c>
      <x:c r="T120" t="str">
        <x:v>否</x:v>
      </x:c>
      <x:c r="U120" t="str">
        <x:v>否</x:v>
      </x:c>
      <x:c r="V120" t="str">
        <x:v>条件性</x:v>
      </x:c>
      <x:c r="W120" t="str">
        <x:v>否</x:v>
      </x:c>
      <x:c r="X120" t="str">
        <x:v>条件性</x:v>
      </x:c>
      <x:c r="Y120" t="str">
        <x:v>可能改变原有生克路径，须在M12复核</x:v>
      </x:c>
      <x:c r="Z120" t="str">
        <x:v>M04/M05已识别关系，柱位、完整度与参与对象已标准化</x:v>
      </x:c>
      <x:c r="AA120" t="str">
        <x:v>必须指向具体作用对象，并比较各方力量、根气和通道</x:v>
      </x:c>
      <x:c r="AB120" t="str">
        <x:v>关系相邻、得令、得地、成势且无强力反制</x:v>
      </x:c>
      <x:c r="AC120" t="str">
        <x:v>遥隔、争合、节点被其他关系牵制或双方各有强根</x:v>
      </x:c>
      <x:c r="AD120" t="str">
        <x:v>仅凭关系名称不得直接判性质改变、归零或固定吉凶</x:v>
      </x:c>
      <x:c r="AE120" t="str">
        <x:v>特殊格局或岁运动态补齐须另建实例重新裁决</x:v>
      </x:c>
      <x:c r="AF120" t="str">
        <x:v>合住表示直接功能受限或暂缓，原始节点、根气和潜在功能仍保留；破合或岁运变化后可恢复。</x:v>
      </x:c>
      <x:c r="AG120" t="str">
        <x:v>该对象被合住，当前功能受限但未消失；原始力量与根气继续记录。</x:v>
      </x:c>
      <x:c r="AH120" t="str">
        <x:v>较高</x:v>
      </x:c>
      <x:c r="AI120" t="str">
        <x:v>现代综合</x:v>
      </x:c>
      <x:c r="AJ120" t="str">
        <x:v>冻结与删除是不同数据状态。参考：https://ctext.org/wiki.pl?chapter=974137&amp;if=gb&amp;remap=gb</x:v>
      </x:c>
      <x:c r="AK120" t="str">
        <x:v>庚被乙强合住，庚克木功能受限但庚仍存在。</x:v>
      </x:c>
      <x:c r="AL120" t="str">
        <x:v>合住后从十神和五行统计中彻底删除。</x:v>
      </x:c>
      <x:c r="AM120" t="str">
        <x:v>采用</x:v>
      </x:c>
      <x:c r="AN120" t="str">
        <x:v>初审</x:v>
      </x:c>
      <x:c r="AO120" s="213" t="n">
        <x:v>46255</x:v>
      </x:c>
    </x:row>
    <x:row r="121">
      <x:c r="A121" t="str">
        <x:f>IF(OR(C121="",D121=""),"",B121&amp;"-"&amp;UPPER(C121)&amp;"-"&amp;TEXT(D121,"0000")&amp;"-"&amp;E121)</x:f>
        <x:v>M06-BOUND-0115-V1.0</x:v>
      </x:c>
      <x:c r="B121" t="str">
        <x:v>M06</x:v>
      </x:c>
      <x:c r="C121" t="str">
        <x:v>BOUND</x:v>
      </x:c>
      <x:c r="D121" t="n">
        <x:v>115</x:v>
      </x:c>
      <x:c r="E121" t="str">
        <x:v>V1.0</x:v>
      </x:c>
      <x:c r="F121" t="str">
        <x:v>根气改变必须落实到具体根位</x:v>
      </x:c>
      <x:c r="G121" t="str">
        <x:v>效应层</x:v>
      </x:c>
      <x:c r="H121" t="str">
        <x:v>M03-RTCT-0040-V1.0—M03-RTCT-0045-V1.0；M03-RTEF-0046-V1.0—M03-RTEF-0052-V1.0；M05-BOUND-0077-V1.0—M05-BOUND-0080-V1.0</x:v>
      </x:c>
      <x:c r="I121" t="str">
        <x:v>其他</x:v>
      </x:c>
      <x:c r="J121" t="str">
        <x:v>地支关系及依附其上的天干</x:v>
      </x:c>
      <x:c r="K121" t="str">
        <x:v>具体根位</x:v>
      </x:c>
      <x:c r="L121" t="str">
        <x:v>逐对象比较得令、得地、得势与相对强弱</x:v>
      </x:c>
      <x:c r="M121" t="str">
        <x:v>记录参与对象中谁得令、谁受季节支持</x:v>
      </x:c>
      <x:c r="N121" t="str">
        <x:v>记录明干及相关藏干的透出通道</x:v>
      </x:c>
      <x:c r="O121" t="str">
        <x:v>记录各对象根气层级、数量及是否唯一根</x:v>
      </x:c>
      <x:c r="P121" t="str">
        <x:v>检查同节点的合、冲、刑、害、破、会及生克</x:v>
      </x:c>
      <x:c r="Q121" t="str">
        <x:v>破坏根气</x:v>
      </x:c>
      <x:c r="R121" t="str">
        <x:v>条件性</x:v>
      </x:c>
      <x:c r="S121" t="str">
        <x:v>强</x:v>
      </x:c>
      <x:c r="T121" t="str">
        <x:v>否</x:v>
      </x:c>
      <x:c r="U121" t="str">
        <x:v>条件性</x:v>
      </x:c>
      <x:c r="V121" t="str">
        <x:v>条件性</x:v>
      </x:c>
      <x:c r="W121" t="str">
        <x:v>条件性</x:v>
      </x:c>
      <x:c r="X121" t="str">
        <x:v>条件性</x:v>
      </x:c>
      <x:c r="Y121" t="str">
        <x:v>可能改变原有生克路径，须在M12复核</x:v>
      </x:c>
      <x:c r="Z121" t="str">
        <x:v>M04/M05已识别关系，柱位、完整度与参与对象已标准化</x:v>
      </x:c>
      <x:c r="AA121" t="str">
        <x:v>指定天干、根支、根层级和关系效应</x:v>
      </x:c>
      <x:c r="AB121" t="str">
        <x:v>关系相邻、得令、得地、成势且无强力反制</x:v>
      </x:c>
      <x:c r="AC121" t="str">
        <x:v>遥隔、争合、节点被其他关系牵制或双方各有强根</x:v>
      </x:c>
      <x:c r="AD121" t="str">
        <x:v>不指明根位便写“根被破坏”</x:v>
      </x:c>
      <x:c r="AE121" t="str">
        <x:v>特殊格局或岁运动态补齐须另建实例重新裁决</x:v>
      </x:c>
      <x:c r="AF121" t="str">
        <x:v>U列只有在该地支确实承载目标天干根气，且关系实际损伤、转化或释放该根时才可标记变化。</x:v>
      </x:c>
      <x:c r="AG121" t="str">
        <x:v>根气变化对象：____根于____；变化为____；其他根位____仍保留。</x:v>
      </x:c>
      <x:c r="AH121" t="str">
        <x:v>较高</x:v>
      </x:c>
      <x:c r="AI121" t="str">
        <x:v>现代综合</x:v>
      </x:c>
      <x:c r="AJ121" t="str">
        <x:v>根气是对象化证据，不能笼统归因。参考：https://zh.wikisource.org/zh-hans/滴天髓</x:v>
      </x:c>
      <x:c r="AK121" t="str">
        <x:v>甲根寅，寅受旺申强冲，明确下调该寅根。</x:v>
      </x:c>
      <x:c r="AL121" t="str">
        <x:v>有寅申冲就写全局木根尽毁。</x:v>
      </x:c>
      <x:c r="AM121" t="str">
        <x:v>采用</x:v>
      </x:c>
      <x:c r="AN121" t="str">
        <x:v>初审</x:v>
      </x:c>
      <x:c r="AO121" s="213" t="n">
        <x:v>46255</x:v>
      </x:c>
    </x:row>
    <x:row r="122">
      <x:c r="A122" t="str">
        <x:f>IF(OR(C122="",D122=""),"",B122&amp;"-"&amp;UPPER(C122)&amp;"-"&amp;TEXT(D122,"0000")&amp;"-"&amp;E122)</x:f>
        <x:v>M06-BOUND-0116-V1.0</x:v>
      </x:c>
      <x:c r="B122" t="str">
        <x:v>M06</x:v>
      </x:c>
      <x:c r="C122" t="str">
        <x:v>BOUND</x:v>
      </x:c>
      <x:c r="D122" t="n">
        <x:v>116</x:v>
      </x:c>
      <x:c r="E122" t="str">
        <x:v>V1.0</x:v>
      </x:c>
      <x:c r="F122" t="str">
        <x:v>藏干可用性变化不等于地支被删除</x:v>
      </x:c>
      <x:c r="G122" t="str">
        <x:v>效应层</x:v>
      </x:c>
      <x:c r="H122" t="str">
        <x:v>M05-BOUND-0065-V1.0；M05-BOUND-0090-V1.0</x:v>
      </x:c>
      <x:c r="I122" t="str">
        <x:v>其他</x:v>
      </x:c>
      <x:c r="J122" t="str">
        <x:v>受关系作用的地支</x:v>
      </x:c>
      <x:c r="K122" t="str">
        <x:v>该支各层藏干</x:v>
      </x:c>
      <x:c r="L122" t="str">
        <x:v>逐对象比较得令、得地、得势与相对强弱</x:v>
      </x:c>
      <x:c r="M122" t="str">
        <x:v>记录参与对象中谁得令、谁受季节支持</x:v>
      </x:c>
      <x:c r="N122" t="str">
        <x:v>记录明干及相关藏干的透出通道</x:v>
      </x:c>
      <x:c r="O122" t="str">
        <x:v>记录各对象根气层级、数量及是否唯一根</x:v>
      </x:c>
      <x:c r="P122" t="str">
        <x:v>检查同节点的合、冲、刑、害、破、会及生克</x:v>
      </x:c>
      <x:c r="Q122" t="str">
        <x:v>引动藏干</x:v>
      </x:c>
      <x:c r="R122" t="str">
        <x:v>条件性</x:v>
      </x:c>
      <x:c r="S122" t="str">
        <x:v>中</x:v>
      </x:c>
      <x:c r="T122" t="str">
        <x:v>否</x:v>
      </x:c>
      <x:c r="U122" t="str">
        <x:v>条件性</x:v>
      </x:c>
      <x:c r="V122" t="str">
        <x:v>是</x:v>
      </x:c>
      <x:c r="W122" t="str">
        <x:v>条件性</x:v>
      </x:c>
      <x:c r="X122" t="str">
        <x:v>条件性</x:v>
      </x:c>
      <x:c r="Y122" t="str">
        <x:v>可能改变原有生克路径，须在M12复核</x:v>
      </x:c>
      <x:c r="Z122" t="str">
        <x:v>M04/M05已识别关系，柱位、完整度与参与对象已标准化</x:v>
      </x:c>
      <x:c r="AA122" t="str">
        <x:v>至少指定一个具体藏干与作用通道</x:v>
      </x:c>
      <x:c r="AB122" t="str">
        <x:v>关系相邻、得令、得地、成势且无强力反制</x:v>
      </x:c>
      <x:c r="AC122" t="str">
        <x:v>遥隔、争合、节点被其他关系牵制或双方各有强根</x:v>
      </x:c>
      <x:c r="AD122" t="str">
        <x:v>仅凭关系名称不得直接判性质改变、归零或固定吉凶</x:v>
      </x:c>
      <x:c r="AE122" t="str">
        <x:v>特殊格局或岁运动态补齐须另建实例重新裁决</x:v>
      </x:c>
      <x:c r="AF122" t="str">
        <x:v>关系可使某藏干被引动、受制或转化，但地支及其他藏干仍须分别保留；V列必须逐藏干说明。</x:v>
      </x:c>
      <x:c r="AG122" t="str">
        <x:v>藏干可用性已逐项评估：____被引动，____受制，____保持；地支节点仍存在。</x:v>
      </x:c>
      <x:c r="AH122" t="str">
        <x:v>较高</x:v>
      </x:c>
      <x:c r="AI122" t="str">
        <x:v>现代综合</x:v>
      </x:c>
      <x:c r="AJ122" t="str">
        <x:v>地支是多藏干容器，不能用单一标签覆盖全部内容。参考：https://zh.wikisource.org/zh-hans/滴天髓</x:v>
      </x:c>
      <x:c r="AK122" t="str">
        <x:v>辰戌冲引动辰中癸，但不等于乙戊同等增强。</x:v>
      </x:c>
      <x:c r="AL122" t="str">
        <x:v>地支受冲后全部藏干一起清零。</x:v>
      </x:c>
      <x:c r="AM122" t="str">
        <x:v>采用</x:v>
      </x:c>
      <x:c r="AN122" t="str">
        <x:v>初审</x:v>
      </x:c>
      <x:c r="AO122" s="213" t="n">
        <x:v>46255</x:v>
      </x:c>
    </x:row>
    <x:row r="123">
      <x:c r="A123" t="str">
        <x:f>IF(OR(C123="",D123=""),"",B123&amp;"-"&amp;UPPER(C123)&amp;"-"&amp;TEXT(D123,"0000")&amp;"-"&amp;E123)</x:f>
        <x:v>M06-BOUND-0117-V1.0</x:v>
      </x:c>
      <x:c r="B123" t="str">
        <x:v>M06</x:v>
      </x:c>
      <x:c r="C123" t="str">
        <x:v>BOUND</x:v>
      </x:c>
      <x:c r="D123" t="n">
        <x:v>117</x:v>
      </x:c>
      <x:c r="E123" t="str">
        <x:v>V1.0</x:v>
      </x:c>
      <x:c r="F123" t="str">
        <x:v>同一关系必须逐对象输出非对称结果</x:v>
      </x:c>
      <x:c r="G123" t="str">
        <x:v>效应层</x:v>
      </x:c>
      <x:c r="H123" t="str">
        <x:v>M04-BOUND-0050-V1.0；M05-BOUND-0090-V1.0</x:v>
      </x:c>
      <x:c r="I123" t="str">
        <x:v>其他</x:v>
      </x:c>
      <x:c r="J123" t="str">
        <x:v>全部双边或多边关系</x:v>
      </x:c>
      <x:c r="K123" t="str">
        <x:v>每个参与对象</x:v>
      </x:c>
      <x:c r="L123" t="str">
        <x:v>逐对象比较得令、得地、得势与相对强弱</x:v>
      </x:c>
      <x:c r="M123" t="str">
        <x:v>记录参与对象中谁得令、谁受季节支持</x:v>
      </x:c>
      <x:c r="N123" t="str">
        <x:v>记录明干及相关藏干的透出通道</x:v>
      </x:c>
      <x:c r="O123" t="str">
        <x:v>记录各对象根气层级、数量及是否唯一根</x:v>
      </x:c>
      <x:c r="P123" t="str">
        <x:v>检查同节点的合、冲、刑、害、破、会及生克</x:v>
      </x:c>
      <x:c r="Q123" t="str">
        <x:v>其他</x:v>
      </x:c>
      <x:c r="R123" t="str">
        <x:v>条件性</x:v>
      </x:c>
      <x:c r="S123" t="str">
        <x:v>决定性</x:v>
      </x:c>
      <x:c r="T123" t="str">
        <x:v>条件性</x:v>
      </x:c>
      <x:c r="U123" t="str">
        <x:v>条件性</x:v>
      </x:c>
      <x:c r="V123" t="str">
        <x:v>条件性</x:v>
      </x:c>
      <x:c r="W123" t="str">
        <x:v>条件性</x:v>
      </x:c>
      <x:c r="X123" t="str">
        <x:v>条件性</x:v>
      </x:c>
      <x:c r="Y123" t="str">
        <x:v>可能改变原有生克路径，须在M12复核</x:v>
      </x:c>
      <x:c r="Z123" t="str">
        <x:v>M04/M05已识别关系，柱位、完整度与参与对象已标准化</x:v>
      </x:c>
      <x:c r="AA123" t="str">
        <x:v>每个对象至少有一个支持证据和一个反向证据</x:v>
      </x:c>
      <x:c r="AB123" t="str">
        <x:v>关系相邻、得令、得地、成势且无强力反制</x:v>
      </x:c>
      <x:c r="AC123" t="str">
        <x:v>遥隔、争合、节点被其他关系牵制或双方各有强根</x:v>
      </x:c>
      <x:c r="AD123" t="str">
        <x:v>仅凭关系名称不得直接判性质改变、归零或固定吉凶</x:v>
      </x:c>
      <x:c r="AE123" t="str">
        <x:v>特殊格局或岁运动态补齐须另建实例重新裁决</x:v>
      </x:c>
      <x:c r="AF123" t="str">
        <x:v>同一关系中各对象可分别增强、减弱、冻结、激活或不变；禁止用一个结论覆盖全体。</x:v>
      </x:c>
      <x:c r="AG123" t="str">
        <x:v>对象A效应：____；对象B效应：____；对象C效应：____；主导证据：____。</x:v>
      </x:c>
      <x:c r="AH123" t="str">
        <x:v>较高</x:v>
      </x:c>
      <x:c r="AI123" t="str">
        <x:v>现代综合</x:v>
      </x:c>
      <x:c r="AJ123" t="str">
        <x:v>非对称输出是避免机械推断的核心。参考：https://zh.wikisource.org/zh-hans/滴天髓</x:v>
      </x:c>
      <x:c r="AK123" t="str">
        <x:v>寅申冲可判寅冲弱、申冲旺。</x:v>
      </x:c>
      <x:c r="AL123" t="str">
        <x:v>寅申冲统一写“双方减力”。</x:v>
      </x:c>
      <x:c r="AM123" t="str">
        <x:v>采用</x:v>
      </x:c>
      <x:c r="AN123" t="str">
        <x:v>初审</x:v>
      </x:c>
      <x:c r="AO123" s="213" t="n">
        <x:v>46255</x:v>
      </x:c>
    </x:row>
    <x:row r="124">
      <x:c r="A124" t="str">
        <x:f>IF(OR(C124="",D124=""),"",B124&amp;"-"&amp;UPPER(C124)&amp;"-"&amp;TEXT(D124,"0000")&amp;"-"&amp;E124)</x:f>
        <x:v>M06-BOUND-0118-V1.0</x:v>
      </x:c>
      <x:c r="B124" t="str">
        <x:v>M06</x:v>
      </x:c>
      <x:c r="C124" t="str">
        <x:v>BOUND</x:v>
      </x:c>
      <x:c r="D124" t="n">
        <x:v>118</x:v>
      </x:c>
      <x:c r="E124" t="str">
        <x:v>V1.0</x:v>
      </x:c>
      <x:c r="F124" t="str">
        <x:v>原局静态效应与岁运动态效应必须分层</x:v>
      </x:c>
      <x:c r="G124" t="str">
        <x:v>效应层</x:v>
      </x:c>
      <x:c r="H124" t="str">
        <x:v>M05-SUIYUN-0071-V1.0—M05-SUIYUN-0073-V1.0</x:v>
      </x:c>
      <x:c r="I124" t="str">
        <x:v>其他</x:v>
      </x:c>
      <x:c r="J124" t="str">
        <x:v>原局关系与岁运新增干支</x:v>
      </x:c>
      <x:c r="K124" t="str">
        <x:v>时间层级</x:v>
      </x:c>
      <x:c r="L124" t="str">
        <x:v>逐对象比较得令、得地、得势与相对强弱</x:v>
      </x:c>
      <x:c r="M124" t="str">
        <x:v>记录参与对象中谁得令、谁受季节支持</x:v>
      </x:c>
      <x:c r="N124" t="str">
        <x:v>记录明干及相关藏干的透出通道</x:v>
      </x:c>
      <x:c r="O124" t="str">
        <x:v>记录各对象根气层级、数量及是否唯一根</x:v>
      </x:c>
      <x:c r="P124" t="str">
        <x:v>检查同节点的合、冲、刑、害、破、会及生克</x:v>
      </x:c>
      <x:c r="Q124" t="str">
        <x:v>激活</x:v>
      </x:c>
      <x:c r="R124" t="str">
        <x:v>条件性</x:v>
      </x:c>
      <x:c r="S124" t="str">
        <x:v>强</x:v>
      </x:c>
      <x:c r="T124" t="str">
        <x:v>条件性</x:v>
      </x:c>
      <x:c r="U124" t="str">
        <x:v>条件性</x:v>
      </x:c>
      <x:c r="V124" t="str">
        <x:v>条件性</x:v>
      </x:c>
      <x:c r="W124" t="str">
        <x:v>条件性</x:v>
      </x:c>
      <x:c r="X124" t="str">
        <x:v>条件性</x:v>
      </x:c>
      <x:c r="Y124" t="str">
        <x:v>可能改变原有生克路径，须在M12复核</x:v>
      </x:c>
      <x:c r="Z124" t="str">
        <x:v>M04/M05已识别关系，柱位、完整度与参与对象已标准化</x:v>
      </x:c>
      <x:c r="AA124" t="str">
        <x:v>每个新增节点标明运或年</x:v>
      </x:c>
      <x:c r="AB124" t="str">
        <x:v>关系相邻、得令、得地、成势且无强力反制</x:v>
      </x:c>
      <x:c r="AC124" t="str">
        <x:v>遥隔、争合、节点被其他关系牵制或双方各有强根</x:v>
      </x:c>
      <x:c r="AD124" t="str">
        <x:v>仅凭关系名称不得直接判性质改变、归零或固定吉凶</x:v>
      </x:c>
      <x:c r="AE124" t="str">
        <x:v>特殊格局或岁运动态补齐须另建实例重新裁决</x:v>
      </x:c>
      <x:c r="AF124" t="str">
        <x:v>原局只保存静态关系；岁运补齐、冲合或破局应另建时间实例，不得倒写为原局永久状态。</x:v>
      </x:c>
      <x:c r="AG124" t="str">
        <x:v>原局效应：____；大运效应：____；流年效应：____；生效时段分别记录。</x:v>
      </x:c>
      <x:c r="AH124" t="str">
        <x:v>较高</x:v>
      </x:c>
      <x:c r="AI124" t="str">
        <x:v>现代综合</x:v>
      </x:c>
      <x:c r="AJ124" t="str">
        <x:v>时间层级分开可防止把阶段性引动当成先天常态。参考：https://ctext.org/wiki.pl?chapter=435028&amp;if=gb&amp;remap=gb</x:v>
      </x:c>
      <x:c r="AK124" t="str">
        <x:v>原局申辰拱水，流年子到仅流年内升级三合候选。</x:v>
      </x:c>
      <x:c r="AL124" t="str">
        <x:v>未来流年补齐便把原局永久写成完整局。</x:v>
      </x:c>
      <x:c r="AM124" t="str">
        <x:v>采用</x:v>
      </x:c>
      <x:c r="AN124" t="str">
        <x:v>初审</x:v>
      </x:c>
      <x:c r="AO124" s="213" t="n">
        <x:v>46255</x:v>
      </x:c>
    </x:row>
    <x:row r="125">
      <x:c r="A125" t="str">
        <x:f>IF(OR(C125="",D125=""),"",B125&amp;"-"&amp;UPPER(C125)&amp;"-"&amp;TEXT(D125,"0000")&amp;"-"&amp;E125)</x:f>
        <x:v>M06-BOUND-0119-V1.0</x:v>
      </x:c>
      <x:c r="B125" t="str">
        <x:v>M06</x:v>
      </x:c>
      <x:c r="C125" t="str">
        <x:v>BOUND</x:v>
      </x:c>
      <x:c r="D125" t="n">
        <x:v>119</x:v>
      </x:c>
      <x:c r="E125" t="str">
        <x:v>V1.0</x:v>
      </x:c>
      <x:c r="F125" t="str">
        <x:v>月令根气成势与叠加关系构成最低证据框架</x:v>
      </x:c>
      <x:c r="G125" t="str">
        <x:v>效应层</x:v>
      </x:c>
      <x:c r="H125" t="str">
        <x:v>M03-PROC-0020-V1.0；M03-RTCT-0040-V1.0—M03-RTCT-0045-V1.0；M03-DIM-0054-V1.0—M03-DIM-0057-V1.0；M04-BOUND-0050-V1.0；M05-BOUND-0090-V1.0</x:v>
      </x:c>
      <x:c r="I125" t="str">
        <x:v>其他</x:v>
      </x:c>
      <x:c r="J125" t="str">
        <x:v>全部关系效应</x:v>
      </x:c>
      <x:c r="K125" t="str">
        <x:v>效应证据集</x:v>
      </x:c>
      <x:c r="L125" t="str">
        <x:v>逐对象比较得令、得地、得势与相对强弱</x:v>
      </x:c>
      <x:c r="M125" t="str">
        <x:v>记录参与对象中谁得令、谁受季节支持</x:v>
      </x:c>
      <x:c r="N125" t="str">
        <x:v>记录明干及相关藏干的透出通道</x:v>
      </x:c>
      <x:c r="O125" t="str">
        <x:v>记录各对象根气层级、数量及是否唯一根</x:v>
      </x:c>
      <x:c r="P125" t="str">
        <x:v>检查同节点的合、冲、刑、害、破、会及生克</x:v>
      </x:c>
      <x:c r="Q125" t="str">
        <x:v>其他</x:v>
      </x:c>
      <x:c r="R125" t="str">
        <x:v>条件性</x:v>
      </x:c>
      <x:c r="S125" t="str">
        <x:v>强</x:v>
      </x:c>
      <x:c r="T125" t="str">
        <x:v>条件性</x:v>
      </x:c>
      <x:c r="U125" t="str">
        <x:v>条件性</x:v>
      </x:c>
      <x:c r="V125" t="str">
        <x:v>条件性</x:v>
      </x:c>
      <x:c r="W125" t="str">
        <x:v>条件性</x:v>
      </x:c>
      <x:c r="X125" t="str">
        <x:v>条件性</x:v>
      </x:c>
      <x:c r="Y125" t="str">
        <x:v>可能改变原有生克路径，须在M12复核</x:v>
      </x:c>
      <x:c r="Z125" t="str">
        <x:v>M04/M05已识别关系，柱位、完整度与参与对象已标准化</x:v>
      </x:c>
      <x:c r="AA125" t="str">
        <x:v>五项证据至少记录已知/未知，不得空缺后伪装确定</x:v>
      </x:c>
      <x:c r="AB125" t="str">
        <x:v>关系相邻、得令、得地、成势且无强力反制</x:v>
      </x:c>
      <x:c r="AC125" t="str">
        <x:v>遥隔、争合、节点被其他关系牵制或双方各有强根</x:v>
      </x:c>
      <x:c r="AD125" t="str">
        <x:v>仅凭关系名称不得直接判性质改变、归零或固定吉凶</x:v>
      </x:c>
      <x:c r="AE125" t="str">
        <x:v>特殊格局或岁运动态补齐须另建实例重新裁决</x:v>
      </x:c>
      <x:c r="AF125" t="str">
        <x:v>每条效应至少检查月令、根气、同党成势、位置和重叠关系；任何单一因素都不自动成为最终结论。</x:v>
      </x:c>
      <x:c r="AG125" t="str">
        <x:v>本效应证据已覆盖月令、根气、成势、位置、叠加五项；缺项已标记置信度下降。</x:v>
      </x:c>
      <x:c r="AH125" t="str">
        <x:v>较高</x:v>
      </x:c>
      <x:c r="AI125" t="str">
        <x:v>现代综合</x:v>
      </x:c>
      <x:c r="AJ125" t="str">
        <x:v>多证据框架用于提高可复核性。参考：https://zh.wikisource.org/zh-hans/滴天髓</x:v>
      </x:c>
      <x:c r="AK125" t="str">
        <x:v>判断巳火受刑时同时查巳是否得令、有根、透丙丁、同党及巳申合破。</x:v>
      </x:c>
      <x:c r="AL125" t="str">
        <x:v>只看三刑名称便判巳火弱。</x:v>
      </x:c>
      <x:c r="AM125" t="str">
        <x:v>采用</x:v>
      </x:c>
      <x:c r="AN125" t="str">
        <x:v>初审</x:v>
      </x:c>
      <x:c r="AO125" s="213" t="n">
        <x:v>46255</x:v>
      </x:c>
    </x:row>
    <x:row r="126">
      <x:c r="A126" t="str">
        <x:f>IF(OR(C126="",D126=""),"",B126&amp;"-"&amp;UPPER(C126)&amp;"-"&amp;TEXT(D126,"0000")&amp;"-"&amp;E126)</x:f>
        <x:v>M06-BOUND-0120-V1.0</x:v>
      </x:c>
      <x:c r="B126" t="str">
        <x:v>M06</x:v>
      </x:c>
      <x:c r="C126" t="str">
        <x:v>BOUND</x:v>
      </x:c>
      <x:c r="D126" t="n">
        <x:v>120</x:v>
      </x:c>
      <x:c r="E126" t="str">
        <x:v>V1.0</x:v>
      </x:c>
      <x:c r="F126" t="str">
        <x:v>M06只输出效应修正不得直接定喜忌用神</x:v>
      </x:c>
      <x:c r="G126" t="str">
        <x:v>效应层</x:v>
      </x:c>
      <x:c r="H126" t="str">
        <x:v>M04-BOUND-0050-V1.0；M05-BOUND-0090-V1.0</x:v>
      </x:c>
      <x:c r="I126" t="str">
        <x:v>其他</x:v>
      </x:c>
      <x:c r="J126" t="str">
        <x:v>全部干支关系</x:v>
      </x:c>
      <x:c r="K126" t="str">
        <x:v>M06输出边界</x:v>
      </x:c>
      <x:c r="L126" t="str">
        <x:v>逐对象比较得令、得地、得势与相对强弱</x:v>
      </x:c>
      <x:c r="M126" t="str">
        <x:v>记录参与对象中谁得令、谁受季节支持</x:v>
      </x:c>
      <x:c r="N126" t="str">
        <x:v>记录明干及相关藏干的透出通道</x:v>
      </x:c>
      <x:c r="O126" t="str">
        <x:v>记录各对象根气层级、数量及是否唯一根</x:v>
      </x:c>
      <x:c r="P126" t="str">
        <x:v>检查同节点的合、冲、刑、害、破、会及生克</x:v>
      </x:c>
      <x:c r="Q126" t="str">
        <x:v>其他</x:v>
      </x:c>
      <x:c r="R126" t="str">
        <x:v>条件性</x:v>
      </x:c>
      <x:c r="S126" t="str">
        <x:v>决定性</x:v>
      </x:c>
      <x:c r="T126" t="str">
        <x:v>条件性</x:v>
      </x:c>
      <x:c r="U126" t="str">
        <x:v>条件性</x:v>
      </x:c>
      <x:c r="V126" t="str">
        <x:v>条件性</x:v>
      </x:c>
      <x:c r="W126" t="str">
        <x:v>条件性</x:v>
      </x:c>
      <x:c r="X126" t="str">
        <x:v>条件性</x:v>
      </x:c>
      <x:c r="Y126" t="str">
        <x:v>强制转M08/M12，禁止越级</x:v>
      </x:c>
      <x:c r="Z126" t="str">
        <x:v>M04/M05已识别关系，柱位、完整度与参与对象已标准化</x:v>
      </x:c>
      <x:c r="AA126" t="str">
        <x:v>标准输出包含对象、效应、条件、反证与置信度</x:v>
      </x:c>
      <x:c r="AB126" t="str">
        <x:v>关系相邻、得令、得地、成势且无强力反制</x:v>
      </x:c>
      <x:c r="AC126" t="str">
        <x:v>遥隔、争合、节点被其他关系牵制或双方各有强根</x:v>
      </x:c>
      <x:c r="AD126" t="str">
        <x:v>从“有冲/有合/有刑”直接推出喜某五行或忌某五行</x:v>
      </x:c>
      <x:c r="AE126" t="str">
        <x:v>特殊格局或岁运动态补齐须另建实例重新裁决</x:v>
      </x:c>
      <x:c r="AF126" t="str">
        <x:v>M06终点是对象的增减、冻结、激活、改性、根气与流通修正；喜忌、格局和用神必须转M08—M18综合。</x:v>
      </x:c>
      <x:c r="AG126" t="str">
        <x:v>M06效应已完成，结论转入M08有效旺衰与M12流通；本层不直接输出喜忌。</x:v>
      </x:c>
      <x:c r="AH126" t="str">
        <x:v>较高</x:v>
      </x:c>
      <x:c r="AI126" t="str">
        <x:v>现代综合</x:v>
      </x:c>
      <x:c r="AJ126" t="str">
        <x:v>效应层与综合层分离可避免循环论证。参考：https://ctext.org/wiki.pl?chapter=435028&amp;if=gb&amp;remap=gb</x:v>
      </x:c>
      <x:c r="AK126" t="str">
        <x:v>寅申冲后只修正木金有效力，再由M17定喜忌。</x:v>
      </x:c>
      <x:c r="AL126" t="str">
        <x:v>见寅申冲就直接说忌金喜木。</x:v>
      </x:c>
      <x:c r="AM126" t="str">
        <x:v>采用</x:v>
      </x:c>
      <x:c r="AN126" t="str">
        <x:v>初审</x:v>
      </x:c>
      <x:c r="AO126" s="213" t="n">
        <x:v>46255</x:v>
      </x:c>
    </x:row>
  </x:sheetData>
  <x:mergeCells>
    <x:mergeCell ref="A1:O1"/>
    <x:mergeCell ref="A2:O2"/>
    <x:mergeCell ref="A3:O3"/>
    <x:mergeCell ref="A4:O4"/>
  </x:mergeCells>
  <x:conditionalFormatting sqref="A6:A105">
    <x:cfRule type="expression" dxfId="4" priority="1">
      <x:formula>AND(A6&lt;&gt;"",COUNTIF($A$6:$A$105,A6)&gt;1)</x:formula>
    </x:cfRule>
  </x:conditionalFormatting>
  <x:dataValidations count="19">
    <x:dataValidation type="list" sqref="E6:E105">
      <x:formula1>'99_下拉选项'!$BG$4:$BG$9</x:formula1>
    </x:dataValidation>
    <x:dataValidation type="list" sqref="G6:G105">
      <x:formula1>'99_下拉选项'!$F$4:$F$7</x:formula1>
    </x:dataValidation>
    <x:dataValidation type="list" sqref="I6:I105">
      <x:formula1>'99_下拉选项'!$G$4:$G$20</x:formula1>
    </x:dataValidation>
    <x:dataValidation type="list" sqref="L6:L105">
      <x:formula1>'99_下拉选项'!$U$4:$U$11</x:formula1>
    </x:dataValidation>
    <x:dataValidation type="list" sqref="Q6:Q105">
      <x:formula1>'99_下拉选项'!$L$4:$L$34</x:formula1>
    </x:dataValidation>
    <x:dataValidation type="list" sqref="R6:R105">
      <x:formula1>'99_下拉选项'!$M$4:$M$12</x:formula1>
    </x:dataValidation>
    <x:dataValidation type="list" sqref="S6:S105">
      <x:formula1>'99_下拉选项'!$N$4:$N$8</x:formula1>
    </x:dataValidation>
    <x:dataValidation type="list" sqref="T6:T105">
      <x:formula1>'99_下拉选项'!$X$4:$X$7</x:formula1>
    </x:dataValidation>
    <x:dataValidation type="list" sqref="U6:U105">
      <x:formula1>'99_下拉选项'!$X$4:$X$7</x:formula1>
    </x:dataValidation>
    <x:dataValidation type="list" sqref="V6:V105">
      <x:formula1>'99_下拉选项'!$X$4:$X$7</x:formula1>
    </x:dataValidation>
    <x:dataValidation type="list" sqref="W6:W105">
      <x:formula1>'99_下拉选项'!$X$4:$X$7</x:formula1>
    </x:dataValidation>
    <x:dataValidation type="list" sqref="X6:X105">
      <x:formula1>'99_下拉选项'!$X$4:$X$7</x:formula1>
    </x:dataValidation>
    <x:dataValidation type="list" sqref="AH6:AH105">
      <x:formula1>'99_下拉选项'!$Q$4:$Q$8</x:formula1>
    </x:dataValidation>
    <x:dataValidation type="list" sqref="AI6:AI105">
      <x:formula1>'99_下拉选项'!$R$4:$R$11</x:formula1>
    </x:dataValidation>
    <x:dataValidation type="list" sqref="AM6:AM105">
      <x:formula1>'99_下拉选项'!$S$4:$S$9</x:formula1>
    </x:dataValidation>
    <x:dataValidation type="list" sqref="AN6:AN105">
      <x:formula1>'99_下拉选项'!$T$4:$T$8</x:formula1>
    </x:dataValidation>
    <x:dataValidation type="list" sqref="E6:E126">
      <x:formula1>'99_下拉选项'!$BG$4:$BG$12</x:formula1>
    </x:dataValidation>
    <x:dataValidation type="list" sqref="E6:E130">
      <x:formula1>'99_下拉选项'!$BG$4:$BG$14</x:formula1>
    </x:dataValidation>
    <x:dataValidation type="list" sqref="E7:E126">
      <x:formula1>'99_下拉选项'!$BG$4:$BG$19</x:formula1>
    </x:dataValidation>
  </x:dataValidations>
  <x:pageMargins left="0.7" right="0.7" top="0.75" bottom="0.75" header="0.3" footer="0.3"/>
  <x:tableParts count="1">
    <x:tablePart xmlns:r="http://schemas.openxmlformats.org/officeDocument/2006/relationships" r:id="Rdef6980a06414302"/>
  </x:tableParts>
</x:worksheet>
</file>

<file path=xl/worksheets/sheet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2" hidden="0" customWidth="1"/>
    <x:col min="10" max="10" width="30"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16" hidden="0" customWidth="1"/>
    <x:col min="30" max="30" width="30" hidden="0" customWidth="1"/>
    <x:col min="31" max="31" width="30" hidden="0" customWidth="1"/>
    <x:col min="32" max="32" width="30" hidden="0" customWidth="1"/>
    <x:col min="33" max="33" width="13" hidden="0" customWidth="1"/>
  </x:cols>
  <x:sheetData>
    <x:row r="1" ht="28" customHeight="1">
      <x:c r="A1" s="32" t="str">
        <x:v>M07｜五行原始力量评估规则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在复杂合冲效应修正前，按季令、根气、透干、生源、同党、成势与连续生扶评估五行基础力量。本版录入80条正式规则，建立七级候选、反证机制、证据去重与容量约束；禁止机械总分代替判断。</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前置依赖：M02/M03　｜　主要输出：五行原始旺衰证据与候选等级　｜　直接下游：M08/M09/M10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填写约束：一行只写一条原子规则；原始层不得提前应用合冲刑害增减与改性；月令、根、透、源、党须标注独立性与共源；参考权重不得换算固定百分比；示例行序号9999，不计入正式规则。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适用五行</x:v>
      </x:c>
      <x:c r="J5" s="61" t="str">
        <x:v>判断条件</x:v>
      </x:c>
      <x:c r="K5" s="61" t="str">
        <x:v>取值/表现</x:v>
      </x:c>
      <x:c r="L5" s="61" t="str">
        <x:v>原始力量修正</x:v>
      </x:c>
      <x:c r="M5" s="61" t="str">
        <x:v>作用方向</x:v>
      </x:c>
      <x:c r="N5" s="61" t="str">
        <x:v>参考权重</x:v>
      </x:c>
      <x:c r="O5" s="61" t="str">
        <x:v>作用等级</x:v>
      </x:c>
      <x:c r="P5" s="61" t="str">
        <x:v>前置条件</x:v>
      </x:c>
      <x:c r="Q5" s="61" t="str">
        <x:v>必要条件</x:v>
      </x:c>
      <x:c r="R5" s="61" t="str">
        <x:v>增强条件</x:v>
      </x:c>
      <x:c r="S5" s="61" t="str">
        <x:v>削弱条件</x:v>
      </x:c>
      <x:c r="T5" s="61" t="str">
        <x:v>否决条件</x:v>
      </x:c>
      <x:c r="U5" s="61" t="str">
        <x:v>例外条件</x:v>
      </x:c>
      <x:c r="V5" s="61" t="str">
        <x:v>是否可单独定性</x:v>
      </x:c>
      <x:c r="W5" s="61" t="str">
        <x:v>结论标签</x:v>
      </x:c>
      <x:c r="X5" s="61" t="str">
        <x:v>标准输出</x:v>
      </x:c>
      <x:c r="Y5" s="61" t="str">
        <x:v>置信等级</x:v>
      </x:c>
      <x:c r="Z5" s="61" t="str">
        <x:v>流派标签</x:v>
      </x:c>
      <x:c r="AA5" s="61" t="str">
        <x:v>依据说明</x:v>
      </x:c>
      <x:c r="AB5" s="61" t="str">
        <x:v>正例</x:v>
      </x:c>
      <x:c r="AC5" s="61" t="str">
        <x:v>反例</x:v>
      </x:c>
      <x:c r="AD5" s="61" t="str">
        <x:v>来源/备注</x:v>
      </x:c>
      <x:c r="AE5" s="61" t="str">
        <x:v>规则状态</x:v>
      </x:c>
      <x:c r="AF5" s="61" t="str">
        <x:v>审核状态</x:v>
      </x:c>
      <x:c r="AG5" s="61" t="str">
        <x:v>更新日期</x:v>
      </x:c>
    </x:row>
    <x:row r="6" ht="66" customHeight="1">
      <x:c r="A6" s="76" t="str">
        <x:f>IF(OR(C6="",D6=""),"",B6&amp;"-"&amp;UPPER(C6)&amp;"-"&amp;TEXT(D6,"0000")&amp;"-"&amp;E6)</x:f>
        <x:v>M07-DEMO-9999-V0.1</x:v>
      </x:c>
      <x:c r="B6" s="76" t="str">
        <x:v>M07</x:v>
      </x:c>
      <x:c r="C6" s="76" t="str">
        <x:v>DEMO</x:v>
      </x:c>
      <x:c r="D6" s="78" t="n">
        <x:v>9999</x:v>
      </x:c>
      <x:c r="E6" s="76" t="str">
        <x:v>V0.1</x:v>
      </x:c>
      <x:c r="F6" s="76" t="str">
        <x:v>得令对原始力量形成显著加权</x:v>
      </x:c>
      <x:c r="G6" s="76" t="str">
        <x:v>结构层</x:v>
      </x:c>
      <x:c r="H6" s="76" t="str">
        <x:v>得令</x:v>
      </x:c>
      <x:c r="I6" s="76" t="str">
        <x:v>水</x:v>
      </x:c>
      <x:c r="J6" s="76" t="str">
        <x:v>月令本气直接支持该五行</x:v>
      </x:c>
      <x:c r="K6" s="76" t="str">
        <x:v>季节气势明显</x:v>
      </x:c>
      <x:c r="L6" s="76" t="str">
        <x:v>提高一个或多个证据等级，具体幅度由根气与全局配合校正</x:v>
      </x:c>
      <x:c r="M6" s="76" t="str">
        <x:v>增强</x:v>
      </x:c>
      <x:c r="N6" s="76" t="str">
        <x:v>高权重但非一票定性</x:v>
      </x:c>
      <x:c r="O6" s="76" t="str">
        <x:v>强</x:v>
      </x:c>
      <x:c r="P6" s="76" t="str">
        <x:v>M03月令判定完成</x:v>
      </x:c>
      <x:c r="Q6" s="76" t="str">
        <x:v>月令对该五行形成真实支持</x:v>
      </x:c>
      <x:c r="R6" s="76" t="str">
        <x:v>透干、有根、有生源、同党成势</x:v>
      </x:c>
      <x:c r="S6" s="76" t="str">
        <x:v>无根、受强泄耗或气势不能透达</x:v>
      </x:c>
      <x:c r="T6" s="76" t="str">
        <x:v>不得仅凭得令直接判极旺</x:v>
      </x:c>
      <x:c r="U6" s="76" t="str">
        <x:v>特殊格局转入M14</x:v>
      </x:c>
      <x:c r="V6" s="76" t="str">
        <x:v>否</x:v>
      </x:c>
      <x:c r="W6" s="76" t="str">
        <x:v>原始旺衰加权</x:v>
      </x:c>
      <x:c r="X6" s="76" t="str">
        <x:v>该五行得令，原始力量明显增强；最终等级仍须合并根气、透干、生源和同党证据。</x:v>
      </x:c>
      <x:c r="Y6" s="76" t="str">
        <x:v>较高</x:v>
      </x:c>
      <x:c r="Z6" s="76" t="str">
        <x:v>旺衰扶抑</x:v>
      </x:c>
      <x:c r="AA6" s="76" t="str">
        <x:v>原始力量是后续有效力量修正的起点。</x:v>
      </x:c>
      <x:c r="AB6" s="76" t="str">
        <x:v>得令并多根透干，可进入旺或极旺候选。</x:v>
      </x:c>
      <x:c r="AC6" s="76" t="str">
        <x:v>得令但孤立无根，不应仅据此定极旺。</x:v>
      </x:c>
      <x:c r="AD6" s="76" t="str">
        <x:v>示例，仅演示字段用法</x:v>
      </x:c>
      <x:c r="AE6" s="76" t="str">
        <x:v>示例</x:v>
      </x:c>
      <x:c r="AF6" s="76" t="str">
        <x:v>未审核</x:v>
      </x:c>
      <x:c r="AG6" s="86" t="n">
        <x:v>46254</x:v>
      </x:c>
    </x:row>
    <x:row r="7">
      <x:c r="A7" s="72" t="str">
        <x:f>IF(OR(C7="",D7=""),"",B7&amp;"-"&amp;UPPER(C7)&amp;"-"&amp;TEXT(D7,"0000")&amp;"-"&amp;E7)</x:f>
        <x:v>M07-SEAS-0001-V1.0</x:v>
      </x:c>
      <x:c r="B7" s="74" t="str">
        <x:v>M07</x:v>
      </x:c>
      <x:c r="C7" s="74" t="str">
        <x:v>SEAS</x:v>
      </x:c>
      <x:c r="D7" s="79" t="n">
        <x:v>1</x:v>
      </x:c>
      <x:c r="E7" s="74" t="str">
        <x:v>V1.0</x:v>
      </x:c>
      <x:c r="F7" s="68" t="str">
        <x:v>月令本气同类构成最高等级季令支持</x:v>
      </x:c>
      <x:c r="G7" s="82" t="str">
        <x:v>结构层</x:v>
      </x:c>
      <x:c r="H7" s="68" t="str">
        <x:v>季令/得令</x:v>
      </x:c>
      <x:c r="I7" s="82"/>
      <x:c r="J7" s="68" t="str">
        <x:v>目标五行与月支本气五行相同</x:v>
      </x:c>
      <x:c r="K7" s="68" t="str">
        <x:v>旺令或本气得令</x:v>
      </x:c>
      <x:c r="L7" s="68" t="str">
        <x:v>将季令证据记为强正向，但不直接确定最终旺衰</x:v>
      </x:c>
      <x:c r="M7" s="82" t="str">
        <x:v>增强</x:v>
      </x:c>
      <x:c r="N7" s="68" t="str">
        <x:v>高</x:v>
      </x:c>
      <x:c r="O7" s="82" t="str">
        <x:v>强</x:v>
      </x:c>
      <x:c r="P7" s="68" t="str">
        <x:v>M03已完成节气定月与月支本气识别</x:v>
      </x:c>
      <x:c r="Q7" s="68" t="str">
        <x:v>出生时刻不在交节误差内，月支本气与目标五行同类</x:v>
      </x:c>
      <x:c r="R7" s="68" t="str">
        <x:v>目标五行同时透干、通根、得生或有同党</x:v>
      </x:c>
      <x:c r="S7" s="68" t="str">
        <x:v>目标五行虽得令但孤立、无根、无透且大量泄耗证据待M08修正</x:v>
      </x:c>
      <x:c r="T7" s="90" t="str">
        <x:v>不得把月令本气同类直接等同于极旺</x:v>
      </x:c>
      <x:c r="U7" s="68" t="str">
        <x:v>从格、化气格等特殊结构另由M14裁决</x:v>
      </x:c>
      <x:c r="V7" s="82" t="str">
        <x:v>否</x:v>
      </x:c>
      <x:c r="W7" s="84" t="str">
        <x:v>季令强支持</x:v>
      </x:c>
      <x:c r="X7" s="84" t="str">
        <x:v>目标五行得月令本气支持，原始力量获得最高等级季令加权；仍须合并根、透、源、党判断。</x:v>
      </x:c>
      <x:c r="Y7" s="82" t="str">
        <x:v>较高</x:v>
      </x:c>
      <x:c r="Z7" s="82" t="str">
        <x:v>旺衰扶抑</x:v>
      </x:c>
      <x:c r="AA7" s="68" t="str">
        <x:v>月令是原始气势的首要环境证据，但不是唯一证据。</x:v>
      </x:c>
      <x:c r="AB7" s="68" t="str">
        <x:v>寅月评木，木得本气季令支持，并见寅卯根与甲乙透出，可进入旺候选。</x:v>
      </x:c>
      <x:c r="AC7" s="90" t="str">
        <x:v>寅月只见一枚无根甲木，便仅凭得令判极旺。</x:v>
      </x:c>
      <x:c r="AD7" s="68" t="str">
        <x:v>https://zh.wikisource.org/wiki/三命通會/卷二；https://zh.wikisource.org/zh-hans/淵海子平</x:v>
      </x:c>
      <x:c r="AE7" s="82" t="str">
        <x:v>采用</x:v>
      </x:c>
      <x:c r="AF7" s="82" t="str">
        <x:v>初审</x:v>
      </x:c>
      <x:c r="AG7" s="87" t="n">
        <x:v>46255</x:v>
      </x:c>
    </x:row>
    <x:row r="8">
      <x:c r="A8" s="72" t="str">
        <x:f>IF(OR(C8="",D8=""),"",B8&amp;"-"&amp;UPPER(C8)&amp;"-"&amp;TEXT(D8,"0000")&amp;"-"&amp;E8)</x:f>
        <x:v>M07-SEAS-0002-V1.0</x:v>
      </x:c>
      <x:c r="B8" s="74" t="str">
        <x:v>M07</x:v>
      </x:c>
      <x:c r="C8" s="74" t="str">
        <x:v>SEAS</x:v>
      </x:c>
      <x:c r="D8" s="79" t="n">
        <x:v>2</x:v>
      </x:c>
      <x:c r="E8" s="74" t="str">
        <x:v>V1.0</x:v>
      </x:c>
      <x:c r="F8" s="68" t="str">
        <x:v>月令藏中气或余气同类只形成次级季令支持</x:v>
      </x:c>
      <x:c r="G8" s="82" t="str">
        <x:v>结构层</x:v>
      </x:c>
      <x:c r="H8" s="68" t="str">
        <x:v>季令/杂气</x:v>
      </x:c>
      <x:c r="I8" s="82"/>
      <x:c r="J8" s="68" t="str">
        <x:v>目标五行仅见于月支中气或余气，而非月支本气</x:v>
      </x:c>
      <x:c r="K8" s="68" t="str">
        <x:v>杂气得时或余气支持</x:v>
      </x:c>
      <x:c r="L8" s="68" t="str">
        <x:v>保留弱至中等季令正证，不按本气得令处理</x:v>
      </x:c>
      <x:c r="M8" s="82" t="str">
        <x:v>增强</x:v>
      </x:c>
      <x:c r="N8" s="68" t="str">
        <x:v>中</x:v>
      </x:c>
      <x:c r="O8" s="82" t="str">
        <x:v>中</x:v>
      </x:c>
      <x:c r="P8" s="68" t="str">
        <x:v>M03已标注月支藏干层级</x:v>
      </x:c>
      <x:c r="Q8" s="68" t="str">
        <x:v>目标五行确为月支中气或余气</x:v>
      </x:c>
      <x:c r="R8" s="68" t="str">
        <x:v>该藏干透出、在他支另有本气根或获生源</x:v>
      </x:c>
      <x:c r="S8" s="68" t="str">
        <x:v>藏气不透、无同党、处于季节衰退段</x:v>
      </x:c>
      <x:c r="T8" s="90" t="str">
        <x:v>不得把月支中余气写成与本气同等得令</x:v>
      </x:c>
      <x:c r="U8" s="68" t="str">
        <x:v>具体司令分日有流派差异时转M21</x:v>
      </x:c>
      <x:c r="V8" s="82" t="str">
        <x:v>否</x:v>
      </x:c>
      <x:c r="W8" s="84" t="str">
        <x:v>季令次级支持</x:v>
      </x:c>
      <x:c r="X8" s="84" t="str">
        <x:v>目标五行仅得月令中气或余气支持，原始力量有季节落点，但低于月支本气得令。</x:v>
      </x:c>
      <x:c r="Y8" s="82" t="str">
        <x:v>较高</x:v>
      </x:c>
      <x:c r="Z8" s="82" t="str">
        <x:v>现代综合</x:v>
      </x:c>
      <x:c r="AA8" s="68" t="str">
        <x:v>杂气月中不同藏气均可作为证据，但层级不能混同。</x:v>
      </x:c>
      <x:c r="AB8" s="68" t="str">
        <x:v>辰月评水，癸为余气且另见亥子根，可保留次级季令支持。</x:v>
      </x:c>
      <x:c r="AC8" s="90" t="str">
        <x:v>辰月见癸余气即按水当令旺论。</x:v>
      </x:c>
      <x:c r="AD8" s="68" t="str">
        <x:v>https://zh.wikisource.org/wiki/三命通會/卷二；https://zh.wikisource.org/zh-hans/淵海子平</x:v>
      </x:c>
      <x:c r="AE8" s="82" t="str">
        <x:v>采用</x:v>
      </x:c>
      <x:c r="AF8" s="82" t="str">
        <x:v>初审</x:v>
      </x:c>
      <x:c r="AG8" s="87" t="n">
        <x:v>46255</x:v>
      </x:c>
    </x:row>
    <x:row r="9">
      <x:c r="A9" s="72" t="str">
        <x:f>IF(OR(C9="",D9=""),"",B9&amp;"-"&amp;UPPER(C9)&amp;"-"&amp;TEXT(D9,"0000")&amp;"-"&amp;E9)</x:f>
        <x:v>M07-SEAS-0003-V1.0</x:v>
      </x:c>
      <x:c r="B9" s="74" t="str">
        <x:v>M07</x:v>
      </x:c>
      <x:c r="C9" s="74" t="str">
        <x:v>SEAS</x:v>
      </x:c>
      <x:c r="D9" s="79" t="n">
        <x:v>3</x:v>
      </x:c>
      <x:c r="E9" s="74" t="str">
        <x:v>V1.0</x:v>
      </x:c>
      <x:c r="F9" s="68" t="str">
        <x:v>旺相休囚死之旺为强正向季节证据</x:v>
      </x:c>
      <x:c r="G9" s="82" t="str">
        <x:v>结构层</x:v>
      </x:c>
      <x:c r="H9" s="68" t="str">
        <x:v>季令/旺相休囚死</x:v>
      </x:c>
      <x:c r="I9" s="82"/>
      <x:c r="J9" s="68" t="str">
        <x:v>按M03五行季节关系判定目标五行为旺</x:v>
      </x:c>
      <x:c r="K9" s="68" t="str">
        <x:v>旺</x:v>
      </x:c>
      <x:c r="L9" s="68" t="str">
        <x:v>季令证据显著增强，可提高原始旺衰候选但不可越级定极旺</x:v>
      </x:c>
      <x:c r="M9" s="82" t="str">
        <x:v>增强</x:v>
      </x:c>
      <x:c r="N9" s="68" t="str">
        <x:v>高</x:v>
      </x:c>
      <x:c r="O9" s="82" t="str">
        <x:v>强</x:v>
      </x:c>
      <x:c r="P9" s="68" t="str">
        <x:v>M03旺相休囚死映射完成</x:v>
      </x:c>
      <x:c r="Q9" s="68" t="str">
        <x:v>目标五行与当令五行同类</x:v>
      </x:c>
      <x:c r="R9" s="68" t="str">
        <x:v>有根、透干、同党或连续生扶</x:v>
      </x:c>
      <x:c r="S9" s="68" t="str">
        <x:v>无根无源且仅单点出现</x:v>
      </x:c>
      <x:c r="T9" s="90" t="str">
        <x:v>不得与“月令本气同类”重复全额加权</x:v>
      </x:c>
      <x:c r="U9" s="68" t="str">
        <x:v>月令杂气与节气边界争议另行标注</x:v>
      </x:c>
      <x:c r="V9" s="82" t="str">
        <x:v>否</x:v>
      </x:c>
      <x:c r="W9" s="84" t="str">
        <x:v>旺令证据</x:v>
      </x:c>
      <x:c r="X9" s="84" t="str">
        <x:v>目标五行处于季节之旺，原始力量获得强正向证据；与月令同类事实合并而非重复计权。</x:v>
      </x:c>
      <x:c r="Y9" s="82" t="str">
        <x:v>较高</x:v>
      </x:c>
      <x:c r="Z9" s="82" t="str">
        <x:v>旺衰扶抑</x:v>
      </x:c>
      <x:c r="AA9" s="68" t="str">
        <x:v>旺是季节状态标签，需与根透源党合并。</x:v>
      </x:c>
      <x:c r="AB9" s="68" t="str">
        <x:v>亥子月水旺，壬癸多透又有亥子根，水原始力量明显偏强。</x:v>
      </x:c>
      <x:c r="AC9" s="90" t="str">
        <x:v>水旺季仅一枚辰中癸余气，也直接判水极旺。</x:v>
      </x:c>
      <x:c r="AD9" s="68" t="str">
        <x:v>https://zh.wikisource.org/zh-hans/淵海子平；https://zh.wikisource.org/zh-hans/滴天髓</x:v>
      </x:c>
      <x:c r="AE9" s="82" t="str">
        <x:v>采用</x:v>
      </x:c>
      <x:c r="AF9" s="82" t="str">
        <x:v>初审</x:v>
      </x:c>
      <x:c r="AG9" s="87" t="n">
        <x:v>46255</x:v>
      </x:c>
    </x:row>
    <x:row r="10">
      <x:c r="A10" s="72" t="str">
        <x:f>IF(OR(C10="",D10=""),"",B10&amp;"-"&amp;UPPER(C10)&amp;"-"&amp;TEXT(D10,"0000")&amp;"-"&amp;E10)</x:f>
        <x:v>M07-SEAS-0004-V1.0</x:v>
      </x:c>
      <x:c r="B10" s="74" t="str">
        <x:v>M07</x:v>
      </x:c>
      <x:c r="C10" s="74" t="str">
        <x:v>SEAS</x:v>
      </x:c>
      <x:c r="D10" s="79" t="n">
        <x:v>4</x:v>
      </x:c>
      <x:c r="E10" s="74" t="str">
        <x:v>V1.0</x:v>
      </x:c>
      <x:c r="F10" s="68" t="str">
        <x:v>旺相休囚死之相为中高等级正向季节证据</x:v>
      </x:c>
      <x:c r="G10" s="82" t="str">
        <x:v>结构层</x:v>
      </x:c>
      <x:c r="H10" s="68" t="str">
        <x:v>季令/旺相休囚死</x:v>
      </x:c>
      <x:c r="I10" s="82"/>
      <x:c r="J10" s="68" t="str">
        <x:v>按M03五行季节关系判定目标五行为相</x:v>
      </x:c>
      <x:c r="K10" s="68" t="str">
        <x:v>相</x:v>
      </x:c>
      <x:c r="L10" s="68" t="str">
        <x:v>给予次于旺令的季节支持</x:v>
      </x:c>
      <x:c r="M10" s="82" t="str">
        <x:v>增强</x:v>
      </x:c>
      <x:c r="N10" s="68" t="str">
        <x:v>中高</x:v>
      </x:c>
      <x:c r="O10" s="82" t="str">
        <x:v>中</x:v>
      </x:c>
      <x:c r="P10" s="68" t="str">
        <x:v>M03旺相休囚死映射完成</x:v>
      </x:c>
      <x:c r="Q10" s="68" t="str">
        <x:v>当令五行能够生目标五行</x:v>
      </x:c>
      <x:c r="R10" s="68" t="str">
        <x:v>目标五行有根、透干且生源本身得令</x:v>
      </x:c>
      <x:c r="S10" s="68" t="str">
        <x:v>生源虽当令但目标无根无透或生路过长</x:v>
      </x:c>
      <x:c r="T10" s="90" t="str">
        <x:v>不得把相等同于目标五行自身当令</x:v>
      </x:c>
      <x:c r="U10" s="68" t="str">
        <x:v>若生源被M06/M08判失效，转M08下调</x:v>
      </x:c>
      <x:c r="V10" s="82" t="str">
        <x:v>否</x:v>
      </x:c>
      <x:c r="W10" s="84" t="str">
        <x:v>相令证据</x:v>
      </x:c>
      <x:c r="X10" s="84" t="str">
        <x:v>目标五行得当令五行所生，属于相令，原始力量获得中高等级季节支持。</x:v>
      </x:c>
      <x:c r="Y10" s="82" t="str">
        <x:v>较高</x:v>
      </x:c>
      <x:c r="Z10" s="82" t="str">
        <x:v>旺衰扶抑</x:v>
      </x:c>
      <x:c r="AA10" s="68" t="str">
        <x:v>相表示季节环境能生目标，但仍弱于同类当令。</x:v>
      </x:c>
      <x:c r="AB10" s="68" t="str">
        <x:v>冬月水旺生木，甲乙有寅卯根时，木可获相令支持。</x:v>
      </x:c>
      <x:c r="AC10" s="90" t="str">
        <x:v>冬月木无根无透，仅因水旺便判木旺。</x:v>
      </x:c>
      <x:c r="AD10" s="68" t="str">
        <x:v>https://zh.wikisource.org/zh-hans/淵海子平；https://zh.wikisource.org/zh-hans/滴天髓</x:v>
      </x:c>
      <x:c r="AE10" s="82" t="str">
        <x:v>采用</x:v>
      </x:c>
      <x:c r="AF10" s="82" t="str">
        <x:v>初审</x:v>
      </x:c>
      <x:c r="AG10" s="87" t="n">
        <x:v>46255</x:v>
      </x:c>
    </x:row>
    <x:row r="11">
      <x:c r="A11" s="72" t="str">
        <x:f>IF(OR(C11="",D11=""),"",B11&amp;"-"&amp;UPPER(C11)&amp;"-"&amp;TEXT(D11,"0000")&amp;"-"&amp;E11)</x:f>
        <x:v>M07-SEAS-0005-V1.0</x:v>
      </x:c>
      <x:c r="B11" s="74" t="str">
        <x:v>M07</x:v>
      </x:c>
      <x:c r="C11" s="74" t="str">
        <x:v>SEAS</x:v>
      </x:c>
      <x:c r="D11" s="79" t="n">
        <x:v>5</x:v>
      </x:c>
      <x:c r="E11" s="74" t="str">
        <x:v>V1.0</x:v>
      </x:c>
      <x:c r="F11" s="68" t="str">
        <x:v>旺相休囚死之休表示季节支持有限</x:v>
      </x:c>
      <x:c r="G11" s="82" t="str">
        <x:v>结构层</x:v>
      </x:c>
      <x:c r="H11" s="68" t="str">
        <x:v>季令/旺相休囚死</x:v>
      </x:c>
      <x:c r="I11" s="82"/>
      <x:c r="J11" s="68" t="str">
        <x:v>按M03五行季节关系判定目标五行为休</x:v>
      </x:c>
      <x:c r="K11" s="68" t="str">
        <x:v>休</x:v>
      </x:c>
      <x:c r="L11" s="68" t="str">
        <x:v>季令不作正向加权，并记录目标向当令五行泄出的环境倾向</x:v>
      </x:c>
      <x:c r="M11" s="82" t="str">
        <x:v>减弱</x:v>
      </x:c>
      <x:c r="N11" s="68" t="str">
        <x:v>中</x:v>
      </x:c>
      <x:c r="O11" s="82" t="str">
        <x:v>中</x:v>
      </x:c>
      <x:c r="P11" s="68" t="str">
        <x:v>M03旺相休囚死映射完成</x:v>
      </x:c>
      <x:c r="Q11" s="68" t="str">
        <x:v>目标五行生当令五行</x:v>
      </x:c>
      <x:c r="R11" s="68" t="str">
        <x:v>目标有多根、多透、强生源与同党，可抵消季节不利</x:v>
      </x:c>
      <x:c r="S11" s="68" t="str">
        <x:v>目标孤立、无根、主要力量持续生向月令</x:v>
      </x:c>
      <x:c r="T11" s="90" t="str">
        <x:v>不得把休直接解释为无力或不存在</x:v>
      </x:c>
      <x:c r="U11" s="68" t="str">
        <x:v>特殊格局中泄秀可能有结构价值，但不改变原始季令证据</x:v>
      </x:c>
      <x:c r="V11" s="82" t="str">
        <x:v>否</x:v>
      </x:c>
      <x:c r="W11" s="84" t="str">
        <x:v>休令证据</x:v>
      </x:c>
      <x:c r="X11" s="84" t="str">
        <x:v>目标五行处于休令，季节支持有限；是否仍旺须看根、透、源、党能否形成反向证据。</x:v>
      </x:c>
      <x:c r="Y11" s="82" t="str">
        <x:v>较高</x:v>
      </x:c>
      <x:c r="Z11" s="82" t="str">
        <x:v>旺衰扶抑</x:v>
      </x:c>
      <x:c r="AA11" s="68" t="str">
        <x:v>休是季节不占优势，不是力量清零。</x:v>
      </x:c>
      <x:c r="AB11" s="68" t="str">
        <x:v>夏月木休，但寅卯成片、甲乙多透，木仍可原始偏旺。</x:v>
      </x:c>
      <x:c r="AC11" s="90" t="str">
        <x:v>夏月见木休便一概判木弱。</x:v>
      </x:c>
      <x:c r="AD11" s="68" t="str">
        <x:v>https://zh.wikisource.org/zh-hans/淵海子平；https://zh.wikisource.org/zh-hans/滴天髓</x:v>
      </x:c>
      <x:c r="AE11" s="82" t="str">
        <x:v>采用</x:v>
      </x:c>
      <x:c r="AF11" s="82" t="str">
        <x:v>初审</x:v>
      </x:c>
      <x:c r="AG11" s="87" t="n">
        <x:v>46255</x:v>
      </x:c>
    </x:row>
    <x:row r="12">
      <x:c r="A12" s="72" t="str">
        <x:f>IF(OR(C12="",D12=""),"",B12&amp;"-"&amp;UPPER(C12)&amp;"-"&amp;TEXT(D12,"0000")&amp;"-"&amp;E12)</x:f>
        <x:v>M07-SEAS-0006-V1.0</x:v>
      </x:c>
      <x:c r="B12" s="74" t="str">
        <x:v>M07</x:v>
      </x:c>
      <x:c r="C12" s="74" t="str">
        <x:v>SEAS</x:v>
      </x:c>
      <x:c r="D12" s="79" t="n">
        <x:v>6</x:v>
      </x:c>
      <x:c r="E12" s="74" t="str">
        <x:v>V1.0</x:v>
      </x:c>
      <x:c r="F12" s="68" t="str">
        <x:v>旺相休囚死之囚为明确不利季节证据</x:v>
      </x:c>
      <x:c r="G12" s="82" t="str">
        <x:v>结构层</x:v>
      </x:c>
      <x:c r="H12" s="68" t="str">
        <x:v>季令/旺相休囚死</x:v>
      </x:c>
      <x:c r="I12" s="82"/>
      <x:c r="J12" s="68" t="str">
        <x:v>按M03五行季节关系判定目标五行为囚</x:v>
      </x:c>
      <x:c r="K12" s="68" t="str">
        <x:v>囚</x:v>
      </x:c>
      <x:c r="L12" s="68" t="str">
        <x:v>下调季令支持，记录目标需耗力制约当令五行</x:v>
      </x:c>
      <x:c r="M12" s="82" t="str">
        <x:v>减弱</x:v>
      </x:c>
      <x:c r="N12" s="68" t="str">
        <x:v>中高</x:v>
      </x:c>
      <x:c r="O12" s="82" t="str">
        <x:v>中</x:v>
      </x:c>
      <x:c r="P12" s="68" t="str">
        <x:v>M03旺相休囚死映射完成</x:v>
      </x:c>
      <x:c r="Q12" s="68" t="str">
        <x:v>目标五行克当令五行</x:v>
      </x:c>
      <x:c r="R12" s="68" t="str">
        <x:v>目标多根多透且有强生源，可形成反季节力量</x:v>
      </x:c>
      <x:c r="S12" s="68" t="str">
        <x:v>目标无根、无源，仅孤干或弱藏</x:v>
      </x:c>
      <x:c r="T12" s="90" t="str">
        <x:v>不得仅凭囚令直接判极弱</x:v>
      </x:c>
      <x:c r="U12" s="68" t="str">
        <x:v>目标成专旺或从势候选时转M14</x:v>
      </x:c>
      <x:c r="V12" s="82" t="str">
        <x:v>否</x:v>
      </x:c>
      <x:c r="W12" s="84" t="str">
        <x:v>囚令证据</x:v>
      </x:c>
      <x:c r="X12" s="84" t="str">
        <x:v>目标五行处于囚令，季节环境不利，原始力量需由强根、透干和生源补偿。</x:v>
      </x:c>
      <x:c r="Y12" s="82" t="str">
        <x:v>较高</x:v>
      </x:c>
      <x:c r="Z12" s="82" t="str">
        <x:v>旺衰扶抑</x:v>
      </x:c>
      <x:c r="AA12" s="68" t="str">
        <x:v>囚令强调环境消耗，不否定其他来源。</x:v>
      </x:c>
      <x:c r="AB12" s="68" t="str">
        <x:v>春月土囚，但辰戌丑未多见并戊己透出，土仍可能有力。</x:v>
      </x:c>
      <x:c r="AC12" s="90" t="str">
        <x:v>春月土囚即无视多重土根而判极弱。</x:v>
      </x:c>
      <x:c r="AD12" s="68" t="str">
        <x:v>https://zh.wikisource.org/zh-hans/淵海子平；https://zh.wikisource.org/zh-hans/滴天髓</x:v>
      </x:c>
      <x:c r="AE12" s="82" t="str">
        <x:v>采用</x:v>
      </x:c>
      <x:c r="AF12" s="82" t="str">
        <x:v>初审</x:v>
      </x:c>
      <x:c r="AG12" s="87" t="n">
        <x:v>46255</x:v>
      </x:c>
    </x:row>
    <x:row r="13">
      <x:c r="A13" s="72" t="str">
        <x:f>IF(OR(C13="",D13=""),"",B13&amp;"-"&amp;UPPER(C13)&amp;"-"&amp;TEXT(D13,"0000")&amp;"-"&amp;E13)</x:f>
        <x:v>M07-SEAS-0007-V1.0</x:v>
      </x:c>
      <x:c r="B13" s="74" t="str">
        <x:v>M07</x:v>
      </x:c>
      <x:c r="C13" s="74" t="str">
        <x:v>SEAS</x:v>
      </x:c>
      <x:c r="D13" s="79" t="n">
        <x:v>7</x:v>
      </x:c>
      <x:c r="E13" s="74" t="str">
        <x:v>V1.0</x:v>
      </x:c>
      <x:c r="F13" s="68" t="str">
        <x:v>旺相休囚死之死为最高等级负向季节证据</x:v>
      </x:c>
      <x:c r="G13" s="82" t="str">
        <x:v>结构层</x:v>
      </x:c>
      <x:c r="H13" s="68" t="str">
        <x:v>季令/旺相休囚死</x:v>
      </x:c>
      <x:c r="I13" s="82"/>
      <x:c r="J13" s="68" t="str">
        <x:v>按M03五行季节关系判定目标五行为死</x:v>
      </x:c>
      <x:c r="K13" s="68" t="str">
        <x:v>死</x:v>
      </x:c>
      <x:c r="L13" s="68" t="str">
        <x:v>给予强负向季令证据，但不删除根气与透干</x:v>
      </x:c>
      <x:c r="M13" s="82" t="str">
        <x:v>减弱</x:v>
      </x:c>
      <x:c r="N13" s="68" t="str">
        <x:v>高</x:v>
      </x:c>
      <x:c r="O13" s="82" t="str">
        <x:v>强</x:v>
      </x:c>
      <x:c r="P13" s="68" t="str">
        <x:v>M03旺相休囚死映射完成</x:v>
      </x:c>
      <x:c r="Q13" s="68" t="str">
        <x:v>当令五行克目标五行</x:v>
      </x:c>
      <x:c r="R13" s="68" t="str">
        <x:v>目标有多重本气根、强生源、透干成党</x:v>
      </x:c>
      <x:c r="S13" s="68" t="str">
        <x:v>目标无根无源且只见余气或孤干</x:v>
      </x:c>
      <x:c r="T13" s="90" t="str">
        <x:v>不得把死令直接等同于不存在或必极弱</x:v>
      </x:c>
      <x:c r="U13" s="68" t="str">
        <x:v>特殊成势结构另由M14验证</x:v>
      </x:c>
      <x:c r="V13" s="82" t="str">
        <x:v>否</x:v>
      </x:c>
      <x:c r="W13" s="84" t="str">
        <x:v>死令证据</x:v>
      </x:c>
      <x:c r="X13" s="84" t="str">
        <x:v>目标五行处于死令，季节环境强烈不利；若无根、无源、无党，才接近极弱候选。</x:v>
      </x:c>
      <x:c r="Y13" s="82" t="str">
        <x:v>较高</x:v>
      </x:c>
      <x:c r="Z13" s="82" t="str">
        <x:v>旺衰扶抑</x:v>
      </x:c>
      <x:c r="AA13" s="68" t="str">
        <x:v>死令是强负证据，仍须接受根气与成势反证。</x:v>
      </x:c>
      <x:c r="AB13" s="68" t="str">
        <x:v>秋月木死且无寅卯亥根、甲乙不透，可进入极弱候选。</x:v>
      </x:c>
      <x:c r="AC13" s="90" t="str">
        <x:v>秋月木死但寅卯成片、壬癸生木，仍判木不存在。</x:v>
      </x:c>
      <x:c r="AD13" s="68" t="str">
        <x:v>https://zh.wikisource.org/zh-hans/淵海子平；https://zh.wikisource.org/zh-hans/滴天髓</x:v>
      </x:c>
      <x:c r="AE13" s="82" t="str">
        <x:v>采用</x:v>
      </x:c>
      <x:c r="AF13" s="82" t="str">
        <x:v>初审</x:v>
      </x:c>
      <x:c r="AG13" s="87" t="n">
        <x:v>46255</x:v>
      </x:c>
    </x:row>
    <x:row r="14">
      <x:c r="A14" s="72" t="str">
        <x:f>IF(OR(C14="",D14=""),"",B14&amp;"-"&amp;UPPER(C14)&amp;"-"&amp;TEXT(D14,"0000")&amp;"-"&amp;E14)</x:f>
        <x:v>M07-SEAS-0008-V1.0</x:v>
      </x:c>
      <x:c r="B14" s="74" t="str">
        <x:v>M07</x:v>
      </x:c>
      <x:c r="C14" s="74" t="str">
        <x:v>SEAS</x:v>
      </x:c>
      <x:c r="D14" s="79" t="n">
        <x:v>8</x:v>
      </x:c>
      <x:c r="E14" s="74" t="str">
        <x:v>V1.0</x:v>
      </x:c>
      <x:c r="F14" s="68" t="str">
        <x:v>辰戌丑未月须同时记录土本气与杂气证据</x:v>
      </x:c>
      <x:c r="G14" s="82" t="str">
        <x:v>结构层</x:v>
      </x:c>
      <x:c r="H14" s="68" t="str">
        <x:v>季令/四季土月</x:v>
      </x:c>
      <x:c r="I14" s="82" t="str">
        <x:v>土</x:v>
      </x:c>
      <x:c r="J14" s="68" t="str">
        <x:v>月支为辰、戌、丑、未</x:v>
      </x:c>
      <x:c r="K14" s="68" t="str">
        <x:v>土得本气，其他藏气保留次级季令证据</x:v>
      </x:c>
      <x:c r="L14" s="68" t="str">
        <x:v>土获强季令支持；木火金水按藏气层级与节气段另记辅助证据</x:v>
      </x:c>
      <x:c r="M14" s="82" t="str">
        <x:v>条件性</x:v>
      </x:c>
      <x:c r="N14" s="68" t="str">
        <x:v>高</x:v>
      </x:c>
      <x:c r="O14" s="82" t="str">
        <x:v>强</x:v>
      </x:c>
      <x:c r="P14" s="68" t="str">
        <x:v>M03已识别四季月及藏干层级</x:v>
      </x:c>
      <x:c r="Q14" s="68" t="str">
        <x:v>不得省略月支本气土与中余气的并存事实</x:v>
      </x:c>
      <x:c r="R14" s="68" t="str">
        <x:v>目标藏气透出、在他支另得根、接近相应节气阶段</x:v>
      </x:c>
      <x:c r="S14" s="68" t="str">
        <x:v>目标仅余气且无透无根</x:v>
      </x:c>
      <x:c r="T14" s="90" t="str">
        <x:v>不得把四季月简化为“只有土有效”或“所有藏气同权”</x:v>
      </x:c>
      <x:c r="U14" s="68" t="str">
        <x:v>司令分日及进退气细则存在流派差异，转M21管理</x:v>
      </x:c>
      <x:c r="V14" s="82" t="str">
        <x:v>否</x:v>
      </x:c>
      <x:c r="W14" s="84" t="str">
        <x:v>四季月复合证据</x:v>
      </x:c>
      <x:c r="X14" s="84" t="str">
        <x:v>四季土月先确认土的本气优势，再分别保留月支中余气对其他五行的次级支持。</x:v>
      </x:c>
      <x:c r="Y14" s="82" t="str">
        <x:v>中等</x:v>
      </x:c>
      <x:c r="Z14" s="82" t="str">
        <x:v>现代综合</x:v>
      </x:c>
      <x:c r="AA14" s="68" t="str">
        <x:v>四季月是复合气场，需分层而非单一化。</x:v>
      </x:c>
      <x:c r="AB14" s="68" t="str">
        <x:v>丑月土得本气，癸水与辛金仍可作为月令藏气证据，强度另判。</x:v>
      </x:c>
      <x:c r="AC14" s="90" t="str">
        <x:v>丑月直接把癸辛视为不存在，或与己土等权。</x:v>
      </x:c>
      <x:c r="AD14" s="68" t="str">
        <x:v>https://zh.wikisource.org/wiki/三命通會/卷二；https://zh.wikisource.org/zh-hans/淵海子平</x:v>
      </x:c>
      <x:c r="AE14" s="82" t="str">
        <x:v>待验证</x:v>
      </x:c>
      <x:c r="AF14" s="82" t="str">
        <x:v>初审</x:v>
      </x:c>
      <x:c r="AG14" s="87" t="n">
        <x:v>46255</x:v>
      </x:c>
    </x:row>
    <x:row r="15">
      <x:c r="A15" s="72" t="str">
        <x:f>IF(OR(C15="",D15=""),"",B15&amp;"-"&amp;UPPER(C15)&amp;"-"&amp;TEXT(D15,"0000")&amp;"-"&amp;E15)</x:f>
        <x:v>M07-SEAS-0009-V1.0</x:v>
      </x:c>
      <x:c r="B15" s="74" t="str">
        <x:v>M07</x:v>
      </x:c>
      <x:c r="C15" s="74" t="str">
        <x:v>SEAS</x:v>
      </x:c>
      <x:c r="D15" s="79" t="n">
        <x:v>9</x:v>
      </x:c>
      <x:c r="E15" s="74" t="str">
        <x:v>V1.0</x:v>
      </x:c>
      <x:c r="F15" s="68" t="str">
        <x:v>交节附近必须先核准月令再评季令强弱</x:v>
      </x:c>
      <x:c r="G15" s="82" t="str">
        <x:v>结构层</x:v>
      </x:c>
      <x:c r="H15" s="68" t="str">
        <x:v>季令/程序</x:v>
      </x:c>
      <x:c r="I15" s="82"/>
      <x:c r="J15" s="68" t="str">
        <x:v>出生时刻接近节气交接</x:v>
      </x:c>
      <x:c r="K15" s="68" t="str">
        <x:v>月令存在边界风险</x:v>
      </x:c>
      <x:c r="L15" s="68" t="str">
        <x:v>暂缓季令定性，要求核对时区、真太阳时口径与交节时刻</x:v>
      </x:c>
      <x:c r="M15" s="82" t="str">
        <x:v>条件性</x:v>
      </x:c>
      <x:c r="N15" s="68" t="str">
        <x:v>高</x:v>
      </x:c>
      <x:c r="O15" s="82" t="str">
        <x:v>决定性</x:v>
      </x:c>
      <x:c r="P15" s="68" t="str">
        <x:v>具有准确出生时间与地点</x:v>
      </x:c>
      <x:c r="Q15" s="68" t="str">
        <x:v>月令边界尚未核准时不得输出确定季令结论</x:v>
      </x:c>
      <x:c r="R15" s="68" t="str">
        <x:v>权威历表与时区信息一致</x:v>
      </x:c>
      <x:c r="S15" s="68" t="str">
        <x:v>时间只到日期、地点不明或夏令时口径不清</x:v>
      </x:c>
      <x:c r="T15" s="90" t="str">
        <x:v>禁止以公历月份或农历初一替代节气月令</x:v>
      </x:c>
      <x:c r="U15" s="68" t="str">
        <x:v>若两种月令均可能，建立双分支测试</x:v>
      </x:c>
      <x:c r="V15" s="82" t="str">
        <x:v>条件性</x:v>
      </x:c>
      <x:c r="W15" s="84" t="str">
        <x:v>月令边界校验</x:v>
      </x:c>
      <x:c r="X15" s="84" t="str">
        <x:v>出生接近交节，季令证据暂列待定；应先完成月令校验，再进入原始旺衰。</x:v>
      </x:c>
      <x:c r="Y15" s="82" t="str">
        <x:v>确定</x:v>
      </x:c>
      <x:c r="Z15" s="82" t="str">
        <x:v>跨流派共识</x:v>
      </x:c>
      <x:c r="AA15" s="68" t="str">
        <x:v>月令输入错误会系统性污染后续旺衰判断。</x:v>
      </x:c>
      <x:c r="AB15" s="68" t="str">
        <x:v>立春交接前后数分钟出生，分别以丑月、寅月建立候选盘复核。</x:v>
      </x:c>
      <x:c r="AC15" s="90" t="str">
        <x:v>仅按出生日期中的“二月”直接认定卯月。</x:v>
      </x:c>
      <x:c r="AD15" s="68" t="str">
        <x:v>https://zh.wikisource.org/wiki/三命通會/卷二；https://zh.wikisource.org/zh-hans/淵海子平</x:v>
      </x:c>
      <x:c r="AE15" s="82" t="str">
        <x:v>采用</x:v>
      </x:c>
      <x:c r="AF15" s="82" t="str">
        <x:v>初审</x:v>
      </x:c>
      <x:c r="AG15" s="87" t="n">
        <x:v>46255</x:v>
      </x:c>
    </x:row>
    <x:row r="16">
      <x:c r="A16" s="72" t="str">
        <x:f>IF(OR(C16="",D16=""),"",B16&amp;"-"&amp;UPPER(C16)&amp;"-"&amp;TEXT(D16,"0000")&amp;"-"&amp;E16)</x:f>
        <x:v>M07-SEAS-0010-V1.0</x:v>
      </x:c>
      <x:c r="B16" s="74" t="str">
        <x:v>M07</x:v>
      </x:c>
      <x:c r="C16" s="74" t="str">
        <x:v>SEAS</x:v>
      </x:c>
      <x:c r="D16" s="79" t="n">
        <x:v>10</x:v>
      </x:c>
      <x:c r="E16" s="74" t="str">
        <x:v>V1.0</x:v>
      </x:c>
      <x:c r="F16" s="68" t="str">
        <x:v>季令证据只能计入一个主标签并保留辅助说明</x:v>
      </x:c>
      <x:c r="G16" s="82" t="str">
        <x:v>结构层</x:v>
      </x:c>
      <x:c r="H16" s="68" t="str">
        <x:v>季令/防重复</x:v>
      </x:c>
      <x:c r="I16" s="82"/>
      <x:c r="J16" s="68" t="str">
        <x:v>同一月令事实可同时被描述为本气同类、旺或相等术语</x:v>
      </x:c>
      <x:c r="K16" s="68" t="str">
        <x:v>同源证据重叠</x:v>
      </x:c>
      <x:c r="L16" s="68" t="str">
        <x:v>合并为一个主季令证据，其他术语只作解释，不重复全额加权</x:v>
      </x:c>
      <x:c r="M16" s="82" t="str">
        <x:v>不变</x:v>
      </x:c>
      <x:c r="N16" s="68" t="str">
        <x:v>高</x:v>
      </x:c>
      <x:c r="O16" s="82" t="str">
        <x:v>强</x:v>
      </x:c>
      <x:c r="P16" s="68" t="str">
        <x:v>M03月令与旺相休囚死均已生成</x:v>
      </x:c>
      <x:c r="Q16" s="68" t="str">
        <x:v>确认多个标签来自同一月令事实</x:v>
      </x:c>
      <x:c r="R16" s="68" t="str">
        <x:v>不同证据来自独立根、透、源或党</x:v>
      </x:c>
      <x:c r="S16" s="68" t="str">
        <x:v>把同一月令事实拆成多个独立加分项</x:v>
      </x:c>
      <x:c r="T16" s="90" t="str">
        <x:v>禁止“得令一次＋旺一次＋月支根一次”机械三重满额累加</x:v>
      </x:c>
      <x:c r="U16" s="68" t="str">
        <x:v>月支同时承担根气时可分别记录，但汇总时标注共源</x:v>
      </x:c>
      <x:c r="V16" s="82" t="str">
        <x:v>否</x:v>
      </x:c>
      <x:c r="W16" s="84" t="str">
        <x:v>季令去重</x:v>
      </x:c>
      <x:c r="X16" s="84" t="str">
        <x:v>本条季令事实只计一次主权重；相关旺相术语与月支根气作为关联证据说明，避免重复计权。</x:v>
      </x:c>
      <x:c r="Y16" s="82" t="str">
        <x:v>较高</x:v>
      </x:c>
      <x:c r="Z16" s="82" t="str">
        <x:v>现代综合</x:v>
      </x:c>
      <x:c r="AA16" s="68" t="str">
        <x:v>同源证据必须识别相关性，否则会夸大月令作用。</x:v>
      </x:c>
      <x:c r="AB16" s="68" t="str">
        <x:v>寅月木旺，记录“木得令（旺）”，月支寅根另标共源而非三次独立强证据。</x:v>
      </x:c>
      <x:c r="AC16" s="90" t="str">
        <x:v>把寅月木同类、木旺、寅为木根各算一次决定性加权。</x:v>
      </x:c>
      <x:c r="AD16" s="68" t="str">
        <x:v>经典原则经结构化整理；参见：https://zh.wikisource.org/zh-hans/滴天髓</x:v>
      </x:c>
      <x:c r="AE16" s="82" t="str">
        <x:v>采用</x:v>
      </x:c>
      <x:c r="AF16" s="82" t="str">
        <x:v>初审</x:v>
      </x:c>
      <x:c r="AG16" s="87" t="n">
        <x:v>46255</x:v>
      </x:c>
    </x:row>
    <x:row r="17">
      <x:c r="A17" s="72" t="str">
        <x:f>IF(OR(C17="",D17=""),"",B17&amp;"-"&amp;UPPER(C17)&amp;"-"&amp;TEXT(D17,"0000")&amp;"-"&amp;E17)</x:f>
        <x:v>M07-ROOT-0011-V1.0</x:v>
      </x:c>
      <x:c r="B17" s="74" t="str">
        <x:v>M07</x:v>
      </x:c>
      <x:c r="C17" s="74" t="str">
        <x:v>ROOT</x:v>
      </x:c>
      <x:c r="D17" s="79" t="n">
        <x:v>11</x:v>
      </x:c>
      <x:c r="E17" s="74" t="str">
        <x:v>V1.0</x:v>
      </x:c>
      <x:c r="F17" s="68" t="str">
        <x:v>本气根构成最高等级原始根气</x:v>
      </x:c>
      <x:c r="G17" s="82" t="str">
        <x:v>结构层</x:v>
      </x:c>
      <x:c r="H17" s="68" t="str">
        <x:v>根气/本气根</x:v>
      </x:c>
      <x:c r="I17" s="82"/>
      <x:c r="J17" s="68" t="str">
        <x:v>目标五行在某地支本气中出现</x:v>
      </x:c>
      <x:c r="K17" s="68" t="str">
        <x:v>本气根</x:v>
      </x:c>
      <x:c r="L17" s="68" t="str">
        <x:v>形成稳定落点，给予强正向根气证据</x:v>
      </x:c>
      <x:c r="M17" s="82" t="str">
        <x:v>增强</x:v>
      </x:c>
      <x:c r="N17" s="68" t="str">
        <x:v>高</x:v>
      </x:c>
      <x:c r="O17" s="82" t="str">
        <x:v>强</x:v>
      </x:c>
      <x:c r="P17" s="68" t="str">
        <x:v>M02藏干与M03根气映射完成</x:v>
      </x:c>
      <x:c r="Q17" s="68" t="str">
        <x:v>目标五行确为该支本气</x:v>
      </x:c>
      <x:c r="R17" s="68" t="str">
        <x:v>根位得令、透干、同类根重复或有生源</x:v>
      </x:c>
      <x:c r="S17" s="68" t="str">
        <x:v>根位处季节衰弱且目标无透无源</x:v>
      </x:c>
      <x:c r="T17" s="90" t="str">
        <x:v>不得仅凭一处本气根直接判旺</x:v>
      </x:c>
      <x:c r="U17" s="68" t="str">
        <x:v>根位后续受合冲刑害的有效性转M06/M08</x:v>
      </x:c>
      <x:c r="V17" s="82" t="str">
        <x:v>否</x:v>
      </x:c>
      <x:c r="W17" s="84" t="str">
        <x:v>本气强根</x:v>
      </x:c>
      <x:c r="X17" s="84" t="str">
        <x:v>目标五行在该支得本气根，原始力量获得强根证据；有效根是否受损另由M08处理。</x:v>
      </x:c>
      <x:c r="Y17" s="82" t="str">
        <x:v>较高</x:v>
      </x:c>
      <x:c r="Z17" s="82" t="str">
        <x:v>旺衰扶抑</x:v>
      </x:c>
      <x:c r="AA17" s="68" t="str">
        <x:v>本气根是原始得地的核心证据。</x:v>
      </x:c>
      <x:c r="AB17" s="68" t="str">
        <x:v>甲乙木见寅卯本气木根，木有明确落点。</x:v>
      </x:c>
      <x:c r="AC17" s="90" t="str">
        <x:v>只有一处卯根便不看季令与全局而判木极旺。</x:v>
      </x:c>
      <x:c r="AD17" s="68" t="str">
        <x:v>https://zh.wikisource.org/wiki/三命通會/卷二；https://zh.wikisource.org/zh-hans/淵海子平</x:v>
      </x:c>
      <x:c r="AE17" s="82" t="str">
        <x:v>采用</x:v>
      </x:c>
      <x:c r="AF17" s="82" t="str">
        <x:v>初审</x:v>
      </x:c>
      <x:c r="AG17" s="87" t="n">
        <x:v>46255</x:v>
      </x:c>
    </x:row>
    <x:row r="18">
      <x:c r="A18" s="72" t="str">
        <x:f>IF(OR(C18="",D18=""),"",B18&amp;"-"&amp;UPPER(C18)&amp;"-"&amp;TEXT(D18,"0000")&amp;"-"&amp;E18)</x:f>
        <x:v>M07-ROOT-0012-V1.0</x:v>
      </x:c>
      <x:c r="B18" s="74" t="str">
        <x:v>M07</x:v>
      </x:c>
      <x:c r="C18" s="74" t="str">
        <x:v>ROOT</x:v>
      </x:c>
      <x:c r="D18" s="79" t="n">
        <x:v>12</x:v>
      </x:c>
      <x:c r="E18" s="74" t="str">
        <x:v>V1.0</x:v>
      </x:c>
      <x:c r="F18" s="68" t="str">
        <x:v>中气根构成中等级原始根气</x:v>
      </x:c>
      <x:c r="G18" s="82" t="str">
        <x:v>结构层</x:v>
      </x:c>
      <x:c r="H18" s="68" t="str">
        <x:v>根气/中气根</x:v>
      </x:c>
      <x:c r="I18" s="82"/>
      <x:c r="J18" s="68" t="str">
        <x:v>目标五行在某地支中气中出现</x:v>
      </x:c>
      <x:c r="K18" s="68" t="str">
        <x:v>中气根</x:v>
      </x:c>
      <x:c r="L18" s="68" t="str">
        <x:v>给予中等正向根气证据</x:v>
      </x:c>
      <x:c r="M18" s="82" t="str">
        <x:v>增强</x:v>
      </x:c>
      <x:c r="N18" s="68" t="str">
        <x:v>中</x:v>
      </x:c>
      <x:c r="O18" s="82" t="str">
        <x:v>中</x:v>
      </x:c>
      <x:c r="P18" s="68" t="str">
        <x:v>M02藏干层级已确定</x:v>
      </x:c>
      <x:c r="Q18" s="68" t="str">
        <x:v>目标五行确为该支中气</x:v>
      </x:c>
      <x:c r="R18" s="68" t="str">
        <x:v>中气透出、另有本气根或生源支持</x:v>
      </x:c>
      <x:c r="S18" s="68" t="str">
        <x:v>仅一处中气且季令不利、无透无源</x:v>
      </x:c>
      <x:c r="T18" s="90" t="str">
        <x:v>不得与本气根等权</x:v>
      </x:c>
      <x:c r="U18" s="68" t="str">
        <x:v>部分地支藏干层级存在流派差异时转M21</x:v>
      </x:c>
      <x:c r="V18" s="82" t="str">
        <x:v>否</x:v>
      </x:c>
      <x:c r="W18" s="84" t="str">
        <x:v>中气根</x:v>
      </x:c>
      <x:c r="X18" s="84" t="str">
        <x:v>目标五行得中气根，原始力量具备中等落点，强度低于本气根。</x:v>
      </x:c>
      <x:c r="Y18" s="82" t="str">
        <x:v>较高</x:v>
      </x:c>
      <x:c r="Z18" s="82" t="str">
        <x:v>现代综合</x:v>
      </x:c>
      <x:c r="AA18" s="68" t="str">
        <x:v>藏干层级反映根气深浅。</x:v>
      </x:c>
      <x:c r="AB18" s="68" t="str">
        <x:v>丙火见寅中丙，中气根并另有巳午，可增强火的原始力量。</x:v>
      </x:c>
      <x:c r="AC18" s="90" t="str">
        <x:v>寅中丙一处中气与午中丁本气根完全等权。</x:v>
      </x:c>
      <x:c r="AD18" s="68" t="str">
        <x:v>https://zh.wikisource.org/wiki/三命通會/卷二；https://zh.wikisource.org/zh-hans/淵海子平</x:v>
      </x:c>
      <x:c r="AE18" s="82" t="str">
        <x:v>采用</x:v>
      </x:c>
      <x:c r="AF18" s="82" t="str">
        <x:v>初审</x:v>
      </x:c>
      <x:c r="AG18" s="87" t="n">
        <x:v>46255</x:v>
      </x:c>
    </x:row>
    <x:row r="19">
      <x:c r="A19" s="72" t="str">
        <x:f>IF(OR(C19="",D19=""),"",B19&amp;"-"&amp;UPPER(C19)&amp;"-"&amp;TEXT(D19,"0000")&amp;"-"&amp;E19)</x:f>
        <x:v>M07-ROOT-0013-V1.0</x:v>
      </x:c>
      <x:c r="B19" s="74" t="str">
        <x:v>M07</x:v>
      </x:c>
      <x:c r="C19" s="74" t="str">
        <x:v>ROOT</x:v>
      </x:c>
      <x:c r="D19" s="79" t="n">
        <x:v>13</x:v>
      </x:c>
      <x:c r="E19" s="74" t="str">
        <x:v>V1.0</x:v>
      </x:c>
      <x:c r="F19" s="68" t="str">
        <x:v>余气根构成弱等级原始根气</x:v>
      </x:c>
      <x:c r="G19" s="82" t="str">
        <x:v>结构层</x:v>
      </x:c>
      <x:c r="H19" s="68" t="str">
        <x:v>根气/余气根</x:v>
      </x:c>
      <x:c r="I19" s="82"/>
      <x:c r="J19" s="68" t="str">
        <x:v>目标五行在某地支余气中出现</x:v>
      </x:c>
      <x:c r="K19" s="68" t="str">
        <x:v>余气根</x:v>
      </x:c>
      <x:c r="L19" s="68" t="str">
        <x:v>给予弱正向根气证据，主要用于否定完全无根</x:v>
      </x:c>
      <x:c r="M19" s="82" t="str">
        <x:v>增强</x:v>
      </x:c>
      <x:c r="N19" s="68" t="str">
        <x:v>低</x:v>
      </x:c>
      <x:c r="O19" s="82" t="str">
        <x:v>弱</x:v>
      </x:c>
      <x:c r="P19" s="68" t="str">
        <x:v>M02藏干层级已确定</x:v>
      </x:c>
      <x:c r="Q19" s="68" t="str">
        <x:v>目标五行确为该支余气</x:v>
      </x:c>
      <x:c r="R19" s="68" t="str">
        <x:v>余气透出、同类在他支另有根或月令支持</x:v>
      </x:c>
      <x:c r="S19" s="68" t="str">
        <x:v>仅一处余气、无透、无源且季令不利</x:v>
      </x:c>
      <x:c r="T19" s="90" t="str">
        <x:v>不得把余气根写成强根</x:v>
      </x:c>
      <x:c r="U19" s="68" t="str">
        <x:v>藏干层级争议另标待验证</x:v>
      </x:c>
      <x:c r="V19" s="82" t="str">
        <x:v>否</x:v>
      </x:c>
      <x:c r="W19" s="84" t="str">
        <x:v>余气弱根</x:v>
      </x:c>
      <x:c r="X19" s="84" t="str">
        <x:v>目标五行虽仅得余气根，但不能视为完全无根；其原始根力偏弱。</x:v>
      </x:c>
      <x:c r="Y19" s="82" t="str">
        <x:v>较高</x:v>
      </x:c>
      <x:c r="Z19" s="82" t="str">
        <x:v>现代综合</x:v>
      </x:c>
      <x:c r="AA19" s="68" t="str">
        <x:v>余气保留存在与微弱落点，不能抹除。</x:v>
      </x:c>
      <x:c r="AB19" s="68" t="str">
        <x:v>壬癸见辰中癸余气，水非完全无根，但单凭此不足以判强。</x:v>
      </x:c>
      <x:c r="AC19" s="90" t="str">
        <x:v>辰中癸余气一见即称水根深。</x:v>
      </x:c>
      <x:c r="AD19" s="68" t="str">
        <x:v>https://zh.wikisource.org/wiki/三命通會/卷二；https://zh.wikisource.org/zh-hans/淵海子平</x:v>
      </x:c>
      <x:c r="AE19" s="82" t="str">
        <x:v>采用</x:v>
      </x:c>
      <x:c r="AF19" s="82" t="str">
        <x:v>初审</x:v>
      </x:c>
      <x:c r="AG19" s="87" t="n">
        <x:v>46255</x:v>
      </x:c>
    </x:row>
    <x:row r="20">
      <x:c r="A20" s="72" t="str">
        <x:f>IF(OR(C20="",D20=""),"",B20&amp;"-"&amp;UPPER(C20)&amp;"-"&amp;TEXT(D20,"0000")&amp;"-"&amp;E20)</x:f>
        <x:v>M07-ROOT-0014-V1.0</x:v>
      </x:c>
      <x:c r="B20" s="74" t="str">
        <x:v>M07</x:v>
      </x:c>
      <x:c r="C20" s="74" t="str">
        <x:v>ROOT</x:v>
      </x:c>
      <x:c r="D20" s="79" t="n">
        <x:v>14</x:v>
      </x:c>
      <x:c r="E20" s="74" t="str">
        <x:v>V1.0</x:v>
      </x:c>
      <x:c r="F20" s="68" t="str">
        <x:v>同五行异阴阳根仍属于五行层面的有效根</x:v>
      </x:c>
      <x:c r="G20" s="82" t="str">
        <x:v>结构层</x:v>
      </x:c>
      <x:c r="H20" s="68" t="str">
        <x:v>根气/同类根</x:v>
      </x:c>
      <x:c r="I20" s="82"/>
      <x:c r="J20" s="68" t="str">
        <x:v>评估五行总量时，地支藏干与目标天干同五行但阴阳不同</x:v>
      </x:c>
      <x:c r="K20" s="68" t="str">
        <x:v>同类五行根</x:v>
      </x:c>
      <x:c r="L20" s="68" t="str">
        <x:v>在五行原始旺衰层计为根气；十干直接根差异留给M09/M10</x:v>
      </x:c>
      <x:c r="M20" s="82" t="str">
        <x:v>增强</x:v>
      </x:c>
      <x:c r="N20" s="68" t="str">
        <x:v>中</x:v>
      </x:c>
      <x:c r="O20" s="82" t="str">
        <x:v>中</x:v>
      </x:c>
      <x:c r="P20" s="68" t="str">
        <x:v>明确当前评估对象是五行而非单一天干</x:v>
      </x:c>
      <x:c r="Q20" s="68" t="str">
        <x:v>藏干与目标属于同一五行</x:v>
      </x:c>
      <x:c r="R20" s="68" t="str">
        <x:v>同类根为本气、得令或多处出现</x:v>
      </x:c>
      <x:c r="S20" s="68" t="str">
        <x:v>仅余气且无其他支持</x:v>
      </x:c>
      <x:c r="T20" s="90" t="str">
        <x:v>不得因阴阳不同就把同五行根完全排除</x:v>
      </x:c>
      <x:c r="U20" s="68" t="str">
        <x:v>判断某一日干直接通根时回到M03细分</x:v>
      </x:c>
      <x:c r="V20" s="82" t="str">
        <x:v>否</x:v>
      </x:c>
      <x:c r="W20" s="84" t="str">
        <x:v>五行同类根</x:v>
      </x:c>
      <x:c r="X20" s="84" t="str">
        <x:v>在五行层面，该支所藏同五行之气可作为根；阴阳同异不改变五行归属。</x:v>
      </x:c>
      <x:c r="Y20" s="82" t="str">
        <x:v>较高</x:v>
      </x:c>
      <x:c r="Z20" s="82" t="str">
        <x:v>现代综合</x:v>
      </x:c>
      <x:c r="AA20" s="68" t="str">
        <x:v>M07评估五行，不应把十干直接根概念机械套用。</x:v>
      </x:c>
      <x:c r="AB20" s="68" t="str">
        <x:v>甲木评木旺衰时，卯中乙仍提供木根；判断甲日主直接根时再细分。</x:v>
      </x:c>
      <x:c r="AC20" s="90" t="str">
        <x:v>因卯藏乙而认定甲木在卯完全无根。</x:v>
      </x:c>
      <x:c r="AD20" s="68" t="str">
        <x:v>经典原则经结构化整理；参见：https://zh.wikisource.org/zh-hans/滴天髓</x:v>
      </x:c>
      <x:c r="AE20" s="82" t="str">
        <x:v>采用</x:v>
      </x:c>
      <x:c r="AF20" s="82" t="str">
        <x:v>初审</x:v>
      </x:c>
      <x:c r="AG20" s="87" t="n">
        <x:v>46255</x:v>
      </x:c>
    </x:row>
    <x:row r="21">
      <x:c r="A21" s="72" t="str">
        <x:f>IF(OR(C21="",D21=""),"",B21&amp;"-"&amp;UPPER(C21)&amp;"-"&amp;TEXT(D21,"0000")&amp;"-"&amp;E21)</x:f>
        <x:v>M07-ROOT-0015-V1.0</x:v>
      </x:c>
      <x:c r="B21" s="74" t="str">
        <x:v>M07</x:v>
      </x:c>
      <x:c r="C21" s="74" t="str">
        <x:v>ROOT</x:v>
      </x:c>
      <x:c r="D21" s="79" t="n">
        <x:v>15</x:v>
      </x:c>
      <x:c r="E21" s="74" t="str">
        <x:v>V1.0</x:v>
      </x:c>
      <x:c r="F21" s="68" t="str">
        <x:v>月支根具有季令与根气共源属性</x:v>
      </x:c>
      <x:c r="G21" s="82" t="str">
        <x:v>结构层</x:v>
      </x:c>
      <x:c r="H21" s="68" t="str">
        <x:v>根气/月支根</x:v>
      </x:c>
      <x:c r="I21" s="82"/>
      <x:c r="J21" s="68" t="str">
        <x:v>目标五行在月支藏干中得根</x:v>
      </x:c>
      <x:c r="K21" s="68" t="str">
        <x:v>月支根</x:v>
      </x:c>
      <x:c r="L21" s="68" t="str">
        <x:v>根气可获月令环境放大，但汇总时须标记与季令共源</x:v>
      </x:c>
      <x:c r="M21" s="82" t="str">
        <x:v>增强</x:v>
      </x:c>
      <x:c r="N21" s="68" t="str">
        <x:v>高</x:v>
      </x:c>
      <x:c r="O21" s="82" t="str">
        <x:v>强</x:v>
      </x:c>
      <x:c r="P21" s="68" t="str">
        <x:v>M03已识别月令与藏干层级</x:v>
      </x:c>
      <x:c r="Q21" s="68" t="str">
        <x:v>目标五行确在月支有根</x:v>
      </x:c>
      <x:c r="R21" s="68" t="str">
        <x:v>根为本气并透出、另有独立根</x:v>
      </x:c>
      <x:c r="S21" s="68" t="str">
        <x:v>仅中余气且节令不支持</x:v>
      </x:c>
      <x:c r="T21" s="90" t="str">
        <x:v>不得把同一月支事实作为季令与根气两个独立决定性证据满额叠加</x:v>
      </x:c>
      <x:c r="U21" s="68" t="str">
        <x:v>杂气月需区分本中余气</x:v>
      </x:c>
      <x:c r="V21" s="82" t="str">
        <x:v>否</x:v>
      </x:c>
      <x:c r="W21" s="84" t="str">
        <x:v>月支共源根</x:v>
      </x:c>
      <x:c r="X21" s="84" t="str">
        <x:v>目标五行在月支得根，根气较关键；该证据与季令相关，汇总时应去重而非双倍计算。</x:v>
      </x:c>
      <x:c r="Y21" s="82" t="str">
        <x:v>较高</x:v>
      </x:c>
      <x:c r="Z21" s="82" t="str">
        <x:v>现代综合</x:v>
      </x:c>
      <x:c r="AA21" s="68" t="str">
        <x:v>月支同时承载时间与地支根，相关性高。</x:v>
      </x:c>
      <x:c r="AB21" s="68" t="str">
        <x:v>寅月木得寅本气根，记录“得令兼月支强根”，而非两个互不相关的满分。</x:v>
      </x:c>
      <x:c r="AC21" s="90" t="str">
        <x:v>月支根与得令分别作为两项决定性证据机械相加。</x:v>
      </x:c>
      <x:c r="AD21" s="68" t="str">
        <x:v>经典原则经结构化整理；参见：https://zh.wikisource.org/zh-hans/滴天髓</x:v>
      </x:c>
      <x:c r="AE21" s="82" t="str">
        <x:v>采用</x:v>
      </x:c>
      <x:c r="AF21" s="82" t="str">
        <x:v>初审</x:v>
      </x:c>
      <x:c r="AG21" s="87" t="n">
        <x:v>46255</x:v>
      </x:c>
    </x:row>
    <x:row r="22">
      <x:c r="A22" s="72" t="str">
        <x:f>IF(OR(C22="",D22=""),"",B22&amp;"-"&amp;UPPER(C22)&amp;"-"&amp;TEXT(D22,"0000")&amp;"-"&amp;E22)</x:f>
        <x:v>M07-ROOT-0016-V1.0</x:v>
      </x:c>
      <x:c r="B22" s="74" t="str">
        <x:v>M07</x:v>
      </x:c>
      <x:c r="C22" s="74" t="str">
        <x:v>ROOT</x:v>
      </x:c>
      <x:c r="D22" s="79" t="n">
        <x:v>16</x:v>
      </x:c>
      <x:c r="E22" s="74" t="str">
        <x:v>V1.0</x:v>
      </x:c>
      <x:c r="F22" s="68" t="str">
        <x:v>日支根提供中心位置的稳定落点</x:v>
      </x:c>
      <x:c r="G22" s="82" t="str">
        <x:v>结构层</x:v>
      </x:c>
      <x:c r="H22" s="68" t="str">
        <x:v>根气/日支根</x:v>
      </x:c>
      <x:c r="I22" s="82"/>
      <x:c r="J22" s="68" t="str">
        <x:v>目标五行在日支藏干中得根</x:v>
      </x:c>
      <x:c r="K22" s="68" t="str">
        <x:v>日支根</x:v>
      </x:c>
      <x:c r="L22" s="68" t="str">
        <x:v>给予中高等级根气证据，强调与日柱核心位置的连接</x:v>
      </x:c>
      <x:c r="M22" s="82" t="str">
        <x:v>增强</x:v>
      </x:c>
      <x:c r="N22" s="68" t="str">
        <x:v>中高</x:v>
      </x:c>
      <x:c r="O22" s="82" t="str">
        <x:v>中</x:v>
      </x:c>
      <x:c r="P22" s="68" t="str">
        <x:v>M02藏干映射完成</x:v>
      </x:c>
      <x:c r="Q22" s="68" t="str">
        <x:v>目标五行在日支确有本中余气根</x:v>
      </x:c>
      <x:c r="R22" s="68" t="str">
        <x:v>根为本气、对应天干透出或另得生源</x:v>
      </x:c>
      <x:c r="S22" s="68" t="str">
        <x:v>仅余气且全局孤立</x:v>
      </x:c>
      <x:c r="T22" s="90" t="str">
        <x:v>不得以日支位置替代根气层级判断</x:v>
      </x:c>
      <x:c r="U22" s="68" t="str">
        <x:v>评估非日主五行时位置权重宜降为辅助</x:v>
      </x:c>
      <x:c r="V22" s="82" t="str">
        <x:v>否</x:v>
      </x:c>
      <x:c r="W22" s="84" t="str">
        <x:v>日支根</x:v>
      </x:c>
      <x:c r="X22" s="84" t="str">
        <x:v>目标五行在日支有根，原始力量具备中心落点；具体强度仍按本中余气与全局配合确定。</x:v>
      </x:c>
      <x:c r="Y22" s="82" t="str">
        <x:v>中等</x:v>
      </x:c>
      <x:c r="Z22" s="82" t="str">
        <x:v>现代综合</x:v>
      </x:c>
      <x:c r="AA22" s="68" t="str">
        <x:v>位置可影响可见度与稳定性，但不应压过藏干层级。</x:v>
      </x:c>
      <x:c r="AB22" s="68" t="str">
        <x:v>日干甲坐寅，甲有中心本气根；若另见水生木，根力更稳。</x:v>
      </x:c>
      <x:c r="AC22" s="90" t="str">
        <x:v>日支只藏目标余气，也一律按强根处理。</x:v>
      </x:c>
      <x:c r="AD22" s="68" t="str">
        <x:v>经典原则经结构化整理；参见：https://zh.wikisource.org/zh-hans/滴天髓</x:v>
      </x:c>
      <x:c r="AE22" s="82" t="str">
        <x:v>待验证</x:v>
      </x:c>
      <x:c r="AF22" s="82" t="str">
        <x:v>初审</x:v>
      </x:c>
      <x:c r="AG22" s="87" t="n">
        <x:v>46255</x:v>
      </x:c>
    </x:row>
    <x:row r="23">
      <x:c r="A23" s="72" t="str">
        <x:f>IF(OR(C23="",D23=""),"",B23&amp;"-"&amp;UPPER(C23)&amp;"-"&amp;TEXT(D23,"0000")&amp;"-"&amp;E23)</x:f>
        <x:v>M07-ROOT-0017-V1.0</x:v>
      </x:c>
      <x:c r="B23" s="74" t="str">
        <x:v>M07</x:v>
      </x:c>
      <x:c r="C23" s="74" t="str">
        <x:v>ROOT</x:v>
      </x:c>
      <x:c r="D23" s="79" t="n">
        <x:v>17</x:v>
      </x:c>
      <x:c r="E23" s="74" t="str">
        <x:v>V1.0</x:v>
      </x:c>
      <x:c r="F23" s="68" t="str">
        <x:v>年支与时支根同样有效但位置只作次级修正</x:v>
      </x:c>
      <x:c r="G23" s="82" t="str">
        <x:v>结构层</x:v>
      </x:c>
      <x:c r="H23" s="68" t="str">
        <x:v>根气/边支根</x:v>
      </x:c>
      <x:c r="I23" s="82"/>
      <x:c r="J23" s="68" t="str">
        <x:v>目标五行仅在年支或时支得根</x:v>
      </x:c>
      <x:c r="K23" s="68" t="str">
        <x:v>边支根</x:v>
      </x:c>
      <x:c r="L23" s="68" t="str">
        <x:v>保留真实根气，位置远近只作低阶修正</x:v>
      </x:c>
      <x:c r="M23" s="82" t="str">
        <x:v>增强</x:v>
      </x:c>
      <x:c r="N23" s="68" t="str">
        <x:v>中</x:v>
      </x:c>
      <x:c r="O23" s="82" t="str">
        <x:v>中</x:v>
      </x:c>
      <x:c r="P23" s="68" t="str">
        <x:v>M02藏干映射完成</x:v>
      </x:c>
      <x:c r="Q23" s="68" t="str">
        <x:v>年支或时支确有目标五行根</x:v>
      </x:c>
      <x:c r="R23" s="68" t="str">
        <x:v>根为本气、透干相应、另有同类根</x:v>
      </x:c>
      <x:c r="S23" s="68" t="str">
        <x:v>根为余气且无透无源</x:v>
      </x:c>
      <x:c r="T23" s="90" t="str">
        <x:v>不得因位于年时便判为无根</x:v>
      </x:c>
      <x:c r="U23" s="68" t="str">
        <x:v>具体柱位象义不属于M07</x:v>
      </x:c>
      <x:c r="V23" s="82" t="str">
        <x:v>否</x:v>
      </x:c>
      <x:c r="W23" s="84" t="str">
        <x:v>边支根</x:v>
      </x:c>
      <x:c r="X23" s="84" t="str">
        <x:v>目标五行在年支或时支仍属有根；其原始根力以本中余气为主，位置仅作辅助说明。</x:v>
      </x:c>
      <x:c r="Y23" s="82" t="str">
        <x:v>较高</x:v>
      </x:c>
      <x:c r="Z23" s="82" t="str">
        <x:v>现代综合</x:v>
      </x:c>
      <x:c r="AA23" s="68" t="str">
        <x:v>任何四支的真实藏气均不能因位置被删除。</x:v>
      </x:c>
      <x:c r="AB23" s="68" t="str">
        <x:v>甲木只在时支寅得本气根，仍不能称完全无根。</x:v>
      </x:c>
      <x:c r="AC23" s="90" t="str">
        <x:v>根在时支便一概视作无效。</x:v>
      </x:c>
      <x:c r="AD23" s="68" t="str">
        <x:v>经典原则经结构化整理；参见：https://zh.wikisource.org/zh-hans/滴天髓</x:v>
      </x:c>
      <x:c r="AE23" s="82" t="str">
        <x:v>采用</x:v>
      </x:c>
      <x:c r="AF23" s="82" t="str">
        <x:v>初审</x:v>
      </x:c>
      <x:c r="AG23" s="87" t="n">
        <x:v>46255</x:v>
      </x:c>
    </x:row>
    <x:row r="24">
      <x:c r="A24" s="72" t="str">
        <x:f>IF(OR(C24="",D24=""),"",B24&amp;"-"&amp;UPPER(C24)&amp;"-"&amp;TEXT(D24,"0000")&amp;"-"&amp;E24)</x:f>
        <x:v>M07-ROOT-0018-V1.0</x:v>
      </x:c>
      <x:c r="B24" s="74" t="str">
        <x:v>M07</x:v>
      </x:c>
      <x:c r="C24" s="74" t="str">
        <x:v>ROOT</x:v>
      </x:c>
      <x:c r="D24" s="79" t="n">
        <x:v>18</x:v>
      </x:c>
      <x:c r="E24" s="74" t="str">
        <x:v>V1.0</x:v>
      </x:c>
      <x:c r="F24" s="68" t="str">
        <x:v>多处独立根比单一根更稳固</x:v>
      </x:c>
      <x:c r="G24" s="82" t="str">
        <x:v>结构层</x:v>
      </x:c>
      <x:c r="H24" s="68" t="str">
        <x:v>根气/多根</x:v>
      </x:c>
      <x:c r="I24" s="82"/>
      <x:c r="J24" s="68" t="str">
        <x:v>目标五行在两个及以上不同地支得根</x:v>
      </x:c>
      <x:c r="K24" s="68" t="str">
        <x:v>多重独立根</x:v>
      </x:c>
      <x:c r="L24" s="68" t="str">
        <x:v>提高原始根气等级并增强稳定性</x:v>
      </x:c>
      <x:c r="M24" s="82" t="str">
        <x:v>增强</x:v>
      </x:c>
      <x:c r="N24" s="68" t="str">
        <x:v>高</x:v>
      </x:c>
      <x:c r="O24" s="82" t="str">
        <x:v>强</x:v>
      </x:c>
      <x:c r="P24" s="68" t="str">
        <x:v>各根位已按本中余气分别识别</x:v>
      </x:c>
      <x:c r="Q24" s="68" t="str">
        <x:v>至少两个不同地支含目标五行</x:v>
      </x:c>
      <x:c r="R24" s="68" t="str">
        <x:v>根位分布于月日或多为本气根</x:v>
      </x:c>
      <x:c r="S24" s="68" t="str">
        <x:v>多为余气且季令不利</x:v>
      </x:c>
      <x:c r="T24" s="90" t="str">
        <x:v>不得把同一地支的本中余气拆成多个独立根</x:v>
      </x:c>
      <x:c r="U24" s="68" t="str">
        <x:v>重复地支仍按实际支位计，但汇总需防线性倍增</x:v>
      </x:c>
      <x:c r="V24" s="82" t="str">
        <x:v>否</x:v>
      </x:c>
      <x:c r="W24" s="84" t="str">
        <x:v>多根增强</x:v>
      </x:c>
      <x:c r="X24" s="84" t="str">
        <x:v>目标五行在多个地支有独立根，原始力量与稳定性均高于单根结构。</x:v>
      </x:c>
      <x:c r="Y24" s="82" t="str">
        <x:v>较高</x:v>
      </x:c>
      <x:c r="Z24" s="82" t="str">
        <x:v>旺衰扶抑</x:v>
      </x:c>
      <x:c r="AA24" s="68" t="str">
        <x:v>独立落点越多，五行越不易成为浮气。</x:v>
      </x:c>
      <x:c r="AB24" s="68" t="str">
        <x:v>木在寅、卯、亥三支均有根，原始木气明显强于仅一处辰中乙。</x:v>
      </x:c>
      <x:c r="AC24" s="90" t="str">
        <x:v>把寅中甲、丙、戊中的同一木只因多藏干而算三根。</x:v>
      </x:c>
      <x:c r="AD24" s="68" t="str">
        <x:v>https://zh.wikisource.org/zh-hans/淵海子平；https://zh.wikisource.org/zh-hans/滴天髓</x:v>
      </x:c>
      <x:c r="AE24" s="82" t="str">
        <x:v>采用</x:v>
      </x:c>
      <x:c r="AF24" s="82" t="str">
        <x:v>初审</x:v>
      </x:c>
      <x:c r="AG24" s="87" t="n">
        <x:v>46255</x:v>
      </x:c>
    </x:row>
    <x:row r="25">
      <x:c r="A25" s="72" t="str">
        <x:f>IF(OR(C25="",D25=""),"",B25&amp;"-"&amp;UPPER(C25)&amp;"-"&amp;TEXT(D25,"0000")&amp;"-"&amp;E25)</x:f>
        <x:v>M07-ROOT-0019-V1.0</x:v>
      </x:c>
      <x:c r="B25" s="74" t="str">
        <x:v>M07</x:v>
      </x:c>
      <x:c r="C25" s="74" t="str">
        <x:v>ROOT</x:v>
      </x:c>
      <x:c r="D25" s="79" t="n">
        <x:v>19</x:v>
      </x:c>
      <x:c r="E25" s="74" t="str">
        <x:v>V1.0</x:v>
      </x:c>
      <x:c r="F25" s="68" t="str">
        <x:v>多根加权采用递减边际而非线性累加</x:v>
      </x:c>
      <x:c r="G25" s="82" t="str">
        <x:v>结构层</x:v>
      </x:c>
      <x:c r="H25" s="68" t="str">
        <x:v>根气/边际递减</x:v>
      </x:c>
      <x:c r="I25" s="82"/>
      <x:c r="J25" s="68" t="str">
        <x:v>目标五行已有一处强根又出现更多根位</x:v>
      </x:c>
      <x:c r="K25" s="68" t="str">
        <x:v>第二、第三及后续根</x:v>
      </x:c>
      <x:c r="L25" s="68" t="str">
        <x:v>继续增强但每新增一根的边际权重递减</x:v>
      </x:c>
      <x:c r="M25" s="82" t="str">
        <x:v>增强</x:v>
      </x:c>
      <x:c r="N25" s="68" t="str">
        <x:v>中</x:v>
      </x:c>
      <x:c r="O25" s="82" t="str">
        <x:v>中</x:v>
      </x:c>
      <x:c r="P25" s="68" t="str">
        <x:v>至少已有一处有效原始根</x:v>
      </x:c>
      <x:c r="Q25" s="68" t="str">
        <x:v>新增根来自独立地支</x:v>
      </x:c>
      <x:c r="R25" s="68" t="str">
        <x:v>新增根为本气且分布独立、得令</x:v>
      </x:c>
      <x:c r="S25" s="68" t="str">
        <x:v>新增根仅余气或与既有根高度共源</x:v>
      </x:c>
      <x:c r="T25" s="90" t="str">
        <x:v>禁止每一根都按第一强根同权相加</x:v>
      </x:c>
      <x:c r="U25" s="68" t="str">
        <x:v>极端成势时转MOMENT综合判断</x:v>
      </x:c>
      <x:c r="V25" s="82" t="str">
        <x:v>否</x:v>
      </x:c>
      <x:c r="W25" s="84" t="str">
        <x:v>多根递减</x:v>
      </x:c>
      <x:c r="X25" s="84" t="str">
        <x:v>新增根继续增强目标五行，但采用边际递减；多根是否成势另行综合。</x:v>
      </x:c>
      <x:c r="Y25" s="82" t="str">
        <x:v>中等</x:v>
      </x:c>
      <x:c r="Z25" s="82" t="str">
        <x:v>现代综合</x:v>
      </x:c>
      <x:c r="AA25" s="68" t="str">
        <x:v>非线性处理可避免数量造成虚假极旺。</x:v>
      </x:c>
      <x:c r="AB25" s="68" t="str">
        <x:v>一处强根奠定基础，第二强根显著增强，第三弱根只作补充。</x:v>
      </x:c>
      <x:c r="AC25" s="90" t="str">
        <x:v>四个根简单按四倍单根力量计算。</x:v>
      </x:c>
      <x:c r="AD25" s="68" t="str">
        <x:v>经典原则经结构化整理；参见：https://zh.wikisource.org/zh-hans/滴天髓</x:v>
      </x:c>
      <x:c r="AE25" s="82" t="str">
        <x:v>采用</x:v>
      </x:c>
      <x:c r="AF25" s="82" t="str">
        <x:v>初审</x:v>
      </x:c>
      <x:c r="AG25" s="87" t="n">
        <x:v>46255</x:v>
      </x:c>
    </x:row>
    <x:row r="26">
      <x:c r="A26" s="72" t="str">
        <x:f>IF(OR(C26="",D26=""),"",B26&amp;"-"&amp;UPPER(C26)&amp;"-"&amp;TEXT(D26,"0000")&amp;"-"&amp;E26)</x:f>
        <x:v>M07-ROOT-0020-V1.0</x:v>
      </x:c>
      <x:c r="B26" s="74" t="str">
        <x:v>M07</x:v>
      </x:c>
      <x:c r="C26" s="74" t="str">
        <x:v>ROOT</x:v>
      </x:c>
      <x:c r="D26" s="79" t="n">
        <x:v>20</x:v>
      </x:c>
      <x:c r="E26" s="74" t="str">
        <x:v>V1.0</x:v>
      </x:c>
      <x:c r="F26" s="68" t="str">
        <x:v>分布于不同支位的根比单点集中更具稳定性</x:v>
      </x:c>
      <x:c r="G26" s="82" t="str">
        <x:v>结构层</x:v>
      </x:c>
      <x:c r="H26" s="68" t="str">
        <x:v>根气/根位分布</x:v>
      </x:c>
      <x:c r="I26" s="82"/>
      <x:c r="J26" s="68" t="str">
        <x:v>目标五行根气分布在两个以上不同柱位</x:v>
      </x:c>
      <x:c r="K26" s="68" t="str">
        <x:v>分散独立根</x:v>
      </x:c>
      <x:c r="L26" s="68" t="str">
        <x:v>提高结构稳定性，降低单点依赖</x:v>
      </x:c>
      <x:c r="M26" s="82" t="str">
        <x:v>增强</x:v>
      </x:c>
      <x:c r="N26" s="68" t="str">
        <x:v>中</x:v>
      </x:c>
      <x:c r="O26" s="82" t="str">
        <x:v>中</x:v>
      </x:c>
      <x:c r="P26" s="68" t="str">
        <x:v>根位已逐支识别</x:v>
      </x:c>
      <x:c r="Q26" s="68" t="str">
        <x:v>至少两个独立支位有根</x:v>
      </x:c>
      <x:c r="R26" s="68" t="str">
        <x:v>月日均有根、根位层级较高</x:v>
      </x:c>
      <x:c r="S26" s="68" t="str">
        <x:v>所有根均为弱余气或同一关系链共源</x:v>
      </x:c>
      <x:c r="T26" s="90" t="str">
        <x:v>不得把稳定性等同于绝对旺度</x:v>
      </x:c>
      <x:c r="U26" s="68" t="str">
        <x:v>岁运动态稳定性另由D0模型处理</x:v>
      </x:c>
      <x:c r="V26" s="82" t="str">
        <x:v>否</x:v>
      </x:c>
      <x:c r="W26" s="84" t="str">
        <x:v>根位稳定</x:v>
      </x:c>
      <x:c r="X26" s="84" t="str">
        <x:v>目标五行根气分布于多个支位，原始承载更稳定；旺度仍须结合季令与透源。</x:v>
      </x:c>
      <x:c r="Y26" s="82" t="str">
        <x:v>中等</x:v>
      </x:c>
      <x:c r="Z26" s="82" t="str">
        <x:v>现代综合</x:v>
      </x:c>
      <x:c r="AA26" s="68" t="str">
        <x:v>分布反映抗单点失效能力，但不直接决定总量。</x:v>
      </x:c>
      <x:c r="AB26" s="68" t="str">
        <x:v>水在年支亥、日支子均有本气根，结构比只在辰中一余气根稳定。</x:v>
      </x:c>
      <x:c r="AC26" s="90" t="str">
        <x:v>根位分散便不看季令而判极旺。</x:v>
      </x:c>
      <x:c r="AD26" s="68" t="str">
        <x:v>经典原则经结构化整理；参见：https://zh.wikisource.org/zh-hans/滴天髓</x:v>
      </x:c>
      <x:c r="AE26" s="82" t="str">
        <x:v>待验证</x:v>
      </x:c>
      <x:c r="AF26" s="82" t="str">
        <x:v>初审</x:v>
      </x:c>
      <x:c r="AG26" s="87" t="n">
        <x:v>46255</x:v>
      </x:c>
    </x:row>
    <x:row r="27">
      <x:c r="A27" s="72" t="str">
        <x:f>IF(OR(C27="",D27=""),"",B27&amp;"-"&amp;UPPER(C27)&amp;"-"&amp;TEXT(D27,"0000")&amp;"-"&amp;E27)</x:f>
        <x:v>M07-ROOT-0021-V1.0</x:v>
      </x:c>
      <x:c r="B27" s="74" t="str">
        <x:v>M07</x:v>
      </x:c>
      <x:c r="C27" s="74" t="str">
        <x:v>ROOT</x:v>
      </x:c>
      <x:c r="D27" s="79" t="n">
        <x:v>21</x:v>
      </x:c>
      <x:c r="E27" s="74" t="str">
        <x:v>V1.0</x:v>
      </x:c>
      <x:c r="F27" s="68" t="str">
        <x:v>库根属于储藏性根气而非自动显用</x:v>
      </x:c>
      <x:c r="G27" s="82" t="str">
        <x:v>结构层</x:v>
      </x:c>
      <x:c r="H27" s="68" t="str">
        <x:v>根气/库根</x:v>
      </x:c>
      <x:c r="I27" s="82"/>
      <x:c r="J27" s="68" t="str">
        <x:v>目标五行藏于辰戌丑未并被识别为库根或墓库藏气</x:v>
      </x:c>
      <x:c r="K27" s="68" t="str">
        <x:v>库根/储藏根</x:v>
      </x:c>
      <x:c r="L27" s="68" t="str">
        <x:v>保留根气存在，原始可见度低于同等级开放本气根</x:v>
      </x:c>
      <x:c r="M27" s="82" t="str">
        <x:v>增强</x:v>
      </x:c>
      <x:c r="N27" s="68" t="str">
        <x:v>中</x:v>
      </x:c>
      <x:c r="O27" s="82" t="str">
        <x:v>中</x:v>
      </x:c>
      <x:c r="P27" s="68" t="str">
        <x:v>M03已标记库根</x:v>
      </x:c>
      <x:c r="Q27" s="68" t="str">
        <x:v>目标五行确在对应墓库中有藏气</x:v>
      </x:c>
      <x:c r="R27" s="68" t="str">
        <x:v>同气透干、另有同类根或月令支持</x:v>
      </x:c>
      <x:c r="S27" s="68" t="str">
        <x:v>仅孤库、无透、无源</x:v>
      </x:c>
      <x:c r="T27" s="90" t="str">
        <x:v>不得因称“入库”就判消失，也不得自动按开库后力量计算</x:v>
      </x:c>
      <x:c r="U27" s="68" t="str">
        <x:v>是否冲开、冲坏或可用转M06/M08</x:v>
      </x:c>
      <x:c r="V27" s="82" t="str">
        <x:v>否</x:v>
      </x:c>
      <x:c r="W27" s="84" t="str">
        <x:v>库根证据</x:v>
      </x:c>
      <x:c r="X27" s="84" t="str">
        <x:v>目标五行在墓库中有储藏性根气，原始上仍属有根；能否透达与启用另行判断。</x:v>
      </x:c>
      <x:c r="Y27" s="82" t="str">
        <x:v>中等</x:v>
      </x:c>
      <x:c r="Z27" s="82" t="str">
        <x:v>现代综合</x:v>
      </x:c>
      <x:c r="AA27" s="68" t="str">
        <x:v>库是存在方式，不是自动归零或自动释放。</x:v>
      </x:c>
      <x:c r="AB27" s="68" t="str">
        <x:v>水在辰中有癸库气，仍保留根；若壬癸透出则联系增强。</x:v>
      </x:c>
      <x:c r="AC27" s="90" t="str">
        <x:v>见辰库便把水视为不存在，或直接当作完全开库强根。</x:v>
      </x:c>
      <x:c r="AD27" s="68" t="str">
        <x:v>https://zh.wikisource.org/zh-hans/淵海子平；https://zh.wikisource.org/zh-hans/滴天髓</x:v>
      </x:c>
      <x:c r="AE27" s="82" t="str">
        <x:v>采用</x:v>
      </x:c>
      <x:c r="AF27" s="82" t="str">
        <x:v>初审</x:v>
      </x:c>
      <x:c r="AG27" s="87" t="n">
        <x:v>46255</x:v>
      </x:c>
    </x:row>
    <x:row r="28">
      <x:c r="A28" s="72" t="str">
        <x:f>IF(OR(C28="",D28=""),"",B28&amp;"-"&amp;UPPER(C28)&amp;"-"&amp;TEXT(D28,"0000")&amp;"-"&amp;E28)</x:f>
        <x:v>M07-ROOT-0022-V1.0</x:v>
      </x:c>
      <x:c r="B28" s="74" t="str">
        <x:v>M07</x:v>
      </x:c>
      <x:c r="C28" s="74" t="str">
        <x:v>ROOT</x:v>
      </x:c>
      <x:c r="D28" s="79" t="n">
        <x:v>22</x:v>
      </x:c>
      <x:c r="E28" s="74" t="str">
        <x:v>V1.0</x:v>
      </x:c>
      <x:c r="F28" s="68" t="str">
        <x:v>单一弱根主要用于否定完全无根</x:v>
      </x:c>
      <x:c r="G28" s="82" t="str">
        <x:v>结构层</x:v>
      </x:c>
      <x:c r="H28" s="68" t="str">
        <x:v>根气/微根</x:v>
      </x:c>
      <x:c r="I28" s="82"/>
      <x:c r="J28" s="68" t="str">
        <x:v>目标五行只有一处中气或余气根且无其他根</x:v>
      </x:c>
      <x:c r="K28" s="68" t="str">
        <x:v>孤弱根</x:v>
      </x:c>
      <x:c r="L28" s="68" t="str">
        <x:v>只提供低等级正证，通常不足以改变整体弱势候选</x:v>
      </x:c>
      <x:c r="M28" s="82" t="str">
        <x:v>增强</x:v>
      </x:c>
      <x:c r="N28" s="68" t="str">
        <x:v>低</x:v>
      </x:c>
      <x:c r="O28" s="82" t="str">
        <x:v>弱</x:v>
      </x:c>
      <x:c r="P28" s="68" t="str">
        <x:v>根气层级与数量已明确</x:v>
      </x:c>
      <x:c r="Q28" s="68" t="str">
        <x:v>仅一处弱根</x:v>
      </x:c>
      <x:c r="R28" s="68" t="str">
        <x:v>该根透出、得令或有强生源</x:v>
      </x:c>
      <x:c r="S28" s="68" t="str">
        <x:v>季令不利、无透无源、同类不见</x:v>
      </x:c>
      <x:c r="T28" s="90" t="str">
        <x:v>不得把有微根直接升级为中和或旺</x:v>
      </x:c>
      <x:c r="U28" s="68" t="str">
        <x:v>若该根为唯一关键桥梁，功能评价转M12</x:v>
      </x:c>
      <x:c r="V28" s="82" t="str">
        <x:v>否</x:v>
      </x:c>
      <x:c r="W28" s="84" t="str">
        <x:v>孤弱根</x:v>
      </x:c>
      <x:c r="X28" s="84" t="str">
        <x:v>目标五行并非完全无根，但仅有孤弱根；原始力量仍偏弱，需其他证据补强。</x:v>
      </x:c>
      <x:c r="Y28" s="82" t="str">
        <x:v>较高</x:v>
      </x:c>
      <x:c r="Z28" s="82" t="str">
        <x:v>现代综合</x:v>
      </x:c>
      <x:c r="AA28" s="68" t="str">
        <x:v>“有根”是存在判断，不等于旺度判断。</x:v>
      </x:c>
      <x:c r="AB28" s="68" t="str">
        <x:v>秋月木只藏辰中乙余气，无甲乙透出，木非零但仍可弱。</x:v>
      </x:c>
      <x:c r="AC28" s="90" t="str">
        <x:v>一处余气根便断言木根深身旺。</x:v>
      </x:c>
      <x:c r="AD28" s="68" t="str">
        <x:v>经典原则经结构化整理；参见：https://zh.wikisource.org/zh-hans/滴天髓</x:v>
      </x:c>
      <x:c r="AE28" s="82" t="str">
        <x:v>采用</x:v>
      </x:c>
      <x:c r="AF28" s="82" t="str">
        <x:v>初审</x:v>
      </x:c>
      <x:c r="AG28" s="87" t="n">
        <x:v>46255</x:v>
      </x:c>
    </x:row>
    <x:row r="29">
      <x:c r="A29" s="72" t="str">
        <x:f>IF(OR(C29="",D29=""),"",B29&amp;"-"&amp;UPPER(C29)&amp;"-"&amp;TEXT(D29,"0000")&amp;"-"&amp;E29)</x:f>
        <x:v>M07-ROOT-0023-V1.0</x:v>
      </x:c>
      <x:c r="B29" s="74" t="str">
        <x:v>M07</x:v>
      </x:c>
      <x:c r="C29" s="74" t="str">
        <x:v>ROOT</x:v>
      </x:c>
      <x:c r="D29" s="79" t="n">
        <x:v>23</x:v>
      </x:c>
      <x:c r="E29" s="74" t="str">
        <x:v>V1.0</x:v>
      </x:c>
      <x:c r="F29" s="68" t="str">
        <x:v>无根只表示得地不足而非自动极弱</x:v>
      </x:c>
      <x:c r="G29" s="82" t="str">
        <x:v>结构层</x:v>
      </x:c>
      <x:c r="H29" s="68" t="str">
        <x:v>根气/无根</x:v>
      </x:c>
      <x:c r="I29" s="82"/>
      <x:c r="J29" s="68" t="str">
        <x:v>四支藏干均无目标五行</x:v>
      </x:c>
      <x:c r="K29" s="68" t="str">
        <x:v>无根</x:v>
      </x:c>
      <x:c r="L29" s="68" t="str">
        <x:v>给予明显负向根气证据</x:v>
      </x:c>
      <x:c r="M29" s="82" t="str">
        <x:v>减弱</x:v>
      </x:c>
      <x:c r="N29" s="68" t="str">
        <x:v>高</x:v>
      </x:c>
      <x:c r="O29" s="82" t="str">
        <x:v>强</x:v>
      </x:c>
      <x:c r="P29" s="68" t="str">
        <x:v>M02藏干映射完整</x:v>
      </x:c>
      <x:c r="Q29" s="68" t="str">
        <x:v>确认四支均无目标五行</x:v>
      </x:c>
      <x:c r="R29" s="68" t="str">
        <x:v>目标多透、得令、得强生源与同党</x:v>
      </x:c>
      <x:c r="S29" s="68" t="str">
        <x:v>目标仅孤干且季令不利、无源无党</x:v>
      </x:c>
      <x:c r="T29" s="90" t="str">
        <x:v>不得仅凭无根直接判极弱或从格</x:v>
      </x:c>
      <x:c r="U29" s="68" t="str">
        <x:v>合化成局产生的新五行不属于M07原始根气</x:v>
      </x:c>
      <x:c r="V29" s="82" t="str">
        <x:v>否</x:v>
      </x:c>
      <x:c r="W29" s="84" t="str">
        <x:v>无根证据</x:v>
      </x:c>
      <x:c r="X29" s="84" t="str">
        <x:v>目标五行在四支无根，原始得地不足；是否极弱仍须看季令、透干、生源与同党。</x:v>
      </x:c>
      <x:c r="Y29" s="82" t="str">
        <x:v>较高</x:v>
      </x:c>
      <x:c r="Z29" s="82" t="str">
        <x:v>旺衰扶抑</x:v>
      </x:c>
      <x:c r="AA29" s="68" t="str">
        <x:v>无根是重要负证据，但不是唯一结论。</x:v>
      </x:c>
      <x:c r="AB29" s="68" t="str">
        <x:v>木无寅卯亥辰未等藏木，但甲乙多透又得水旺相生，仍不能仅凭无根判极弱。</x:v>
      </x:c>
      <x:c r="AC29" s="90" t="str">
        <x:v>任何无根天干一律按极弱或从格处理。</x:v>
      </x:c>
      <x:c r="AD29" s="68" t="str">
        <x:v>https://zh.wikisource.org/zh-hans/淵海子平；https://zh.wikisource.org/zh-hans/滴天髓</x:v>
      </x:c>
      <x:c r="AE29" s="82" t="str">
        <x:v>采用</x:v>
      </x:c>
      <x:c r="AF29" s="82" t="str">
        <x:v>初审</x:v>
      </x:c>
      <x:c r="AG29" s="87" t="n">
        <x:v>46255</x:v>
      </x:c>
    </x:row>
    <x:row r="30">
      <x:c r="A30" s="72" t="str">
        <x:f>IF(OR(C30="",D30=""),"",B30&amp;"-"&amp;UPPER(C30)&amp;"-"&amp;TEXT(D30,"0000")&amp;"-"&amp;E30)</x:f>
        <x:v>M07-ROOT-0024-V1.0</x:v>
      </x:c>
      <x:c r="B30" s="74" t="str">
        <x:v>M07</x:v>
      </x:c>
      <x:c r="C30" s="74" t="str">
        <x:v>ROOT</x:v>
      </x:c>
      <x:c r="D30" s="79" t="n">
        <x:v>24</x:v>
      </x:c>
      <x:c r="E30" s="74" t="str">
        <x:v>V1.0</x:v>
      </x:c>
      <x:c r="F30" s="68" t="str">
        <x:v>根与透干相应时原始承载显著增强</x:v>
      </x:c>
      <x:c r="G30" s="82" t="str">
        <x:v>结构层</x:v>
      </x:c>
      <x:c r="H30" s="68" t="str">
        <x:v>根气/透根相应</x:v>
      </x:c>
      <x:c r="I30" s="82"/>
      <x:c r="J30" s="68" t="str">
        <x:v>目标五行既在天干明现又在地支得根</x:v>
      </x:c>
      <x:c r="K30" s="68" t="str">
        <x:v>透而有根</x:v>
      </x:c>
      <x:c r="L30" s="68" t="str">
        <x:v>形成显露与落点的组合强证据</x:v>
      </x:c>
      <x:c r="M30" s="82" t="str">
        <x:v>增强</x:v>
      </x:c>
      <x:c r="N30" s="68" t="str">
        <x:v>高</x:v>
      </x:c>
      <x:c r="O30" s="82" t="str">
        <x:v>强</x:v>
      </x:c>
      <x:c r="P30" s="68" t="str">
        <x:v>M02天干五行与藏干映射完成</x:v>
      </x:c>
      <x:c r="Q30" s="68" t="str">
        <x:v>至少一处目标天干明现且至少一支有目标五行根</x:v>
      </x:c>
      <x:c r="R30" s="68" t="str">
        <x:v>根为本气、透干多见、季令支持</x:v>
      </x:c>
      <x:c r="S30" s="68" t="str">
        <x:v>透干与根均弱、彼此隔远且无生源</x:v>
      </x:c>
      <x:c r="T30" s="90" t="str">
        <x:v>不得将透干和根气机械按两个决定性满分相加</x:v>
      </x:c>
      <x:c r="U30" s="68" t="str">
        <x:v>十神功能与具体天干连接转M10</x:v>
      </x:c>
      <x:c r="V30" s="82" t="str">
        <x:v>否</x:v>
      </x:c>
      <x:c r="W30" s="84" t="str">
        <x:v>透根相应</x:v>
      </x:c>
      <x:c r="X30" s="84" t="str">
        <x:v>目标五行透干并有根，既能显露又有承载，原始力量明显高于有透无根或有根不透。</x:v>
      </x:c>
      <x:c r="Y30" s="82" t="str">
        <x:v>较高</x:v>
      </x:c>
      <x:c r="Z30" s="82" t="str">
        <x:v>跨流派共识</x:v>
      </x:c>
      <x:c r="AA30" s="68" t="str">
        <x:v>透与根构成互相验证的强证据。</x:v>
      </x:c>
      <x:c r="AB30" s="68" t="str">
        <x:v>甲木透年干，地支见寅卯根，木原始力量具备显露与落点。</x:v>
      </x:c>
      <x:c r="AC30" s="90" t="str">
        <x:v>甲木一透一根便不看季令、数量而判极旺。</x:v>
      </x:c>
      <x:c r="AD30" s="68" t="str">
        <x:v>https://zh.wikisource.org/zh-hans/淵海子平；https://zh.wikisource.org/zh-hans/滴天髓</x:v>
      </x:c>
      <x:c r="AE30" s="82" t="str">
        <x:v>采用</x:v>
      </x:c>
      <x:c r="AF30" s="82" t="str">
        <x:v>初审</x:v>
      </x:c>
      <x:c r="AG30" s="87" t="n">
        <x:v>46255</x:v>
      </x:c>
    </x:row>
    <x:row r="31">
      <x:c r="A31" s="72" t="str">
        <x:f>IF(OR(C31="",D31=""),"",B31&amp;"-"&amp;UPPER(C31)&amp;"-"&amp;TEXT(D31,"0000")&amp;"-"&amp;E31)</x:f>
        <x:v>M07-ROOT-0025-V1.0</x:v>
      </x:c>
      <x:c r="B31" s="74" t="str">
        <x:v>M07</x:v>
      </x:c>
      <x:c r="C31" s="74" t="str">
        <x:v>ROOT</x:v>
      </x:c>
      <x:c r="D31" s="79" t="n">
        <x:v>25</x:v>
      </x:c>
      <x:c r="E31" s="74" t="str">
        <x:v>V1.0</x:v>
      </x:c>
      <x:c r="F31" s="68" t="str">
        <x:v>多根并得令可形成旺势基础但仍需透源党验证</x:v>
      </x:c>
      <x:c r="G31" s="82" t="str">
        <x:v>结构层</x:v>
      </x:c>
      <x:c r="H31" s="68" t="str">
        <x:v>根气/强根群</x:v>
      </x:c>
      <x:c r="I31" s="82"/>
      <x:c r="J31" s="68" t="str">
        <x:v>目标五行得令并在两个以上地支有根</x:v>
      </x:c>
      <x:c r="K31" s="68" t="str">
        <x:v>得令多根</x:v>
      </x:c>
      <x:c r="L31" s="68" t="str">
        <x:v>将原始旺衰提升至中和偏旺或旺候选</x:v>
      </x:c>
      <x:c r="M31" s="82" t="str">
        <x:v>增强</x:v>
      </x:c>
      <x:c r="N31" s="68" t="str">
        <x:v>高</x:v>
      </x:c>
      <x:c r="O31" s="82" t="str">
        <x:v>强</x:v>
      </x:c>
      <x:c r="P31" s="68" t="str">
        <x:v>季令与根气已分别识别并去重</x:v>
      </x:c>
      <x:c r="Q31" s="68" t="str">
        <x:v>得令且至少两处独立根</x:v>
      </x:c>
      <x:c r="R31" s="68" t="str">
        <x:v>透干、多同党、强生源</x:v>
      </x:c>
      <x:c r="S31" s="68" t="str">
        <x:v>根多但均弱余气或无任何显露</x:v>
      </x:c>
      <x:c r="T31" s="90" t="str">
        <x:v>不得仅凭得令多根直接判极旺</x:v>
      </x:c>
      <x:c r="U31" s="68" t="str">
        <x:v>专旺、从旺候选转M14</x:v>
      </x:c>
      <x:c r="V31" s="82" t="str">
        <x:v>条件性</x:v>
      </x:c>
      <x:c r="W31" s="84" t="str">
        <x:v>旺势基础</x:v>
      </x:c>
      <x:c r="X31" s="84" t="str">
        <x:v>目标五行得令又多根，已具旺势基础；是否达到旺或极旺须再看透干、同党与生源。</x:v>
      </x:c>
      <x:c r="Y31" s="82" t="str">
        <x:v>较高</x:v>
      </x:c>
      <x:c r="Z31" s="82" t="str">
        <x:v>旺衰扶抑</x:v>
      </x:c>
      <x:c r="AA31" s="68" t="str">
        <x:v>得令多根是旺的重要基础组合，但极端等级仍需更多汇合证据。</x:v>
      </x:c>
      <x:c r="AB31" s="68" t="str">
        <x:v>春月木得令，寅卯亥多根且甲乙透出，可判木旺候选。</x:v>
      </x:c>
      <x:c r="AC31" s="90" t="str">
        <x:v>春月木只在辰未余气多见便直接判极旺。</x:v>
      </x:c>
      <x:c r="AD31" s="68" t="str">
        <x:v>https://zh.wikisource.org/zh-hans/淵海子平；https://zh.wikisource.org/zh-hans/滴天髓</x:v>
      </x:c>
      <x:c r="AE31" s="82" t="str">
        <x:v>采用</x:v>
      </x:c>
      <x:c r="AF31" s="82" t="str">
        <x:v>初审</x:v>
      </x:c>
      <x:c r="AG31" s="87" t="n">
        <x:v>46255</x:v>
      </x:c>
    </x:row>
    <x:row r="32">
      <x:c r="A32" s="72" t="str">
        <x:f>IF(OR(C32="",D32=""),"",B32&amp;"-"&amp;UPPER(C32)&amp;"-"&amp;TEXT(D32,"0000")&amp;"-"&amp;E32)</x:f>
        <x:v>M07-ROOT-0026-V1.0</x:v>
      </x:c>
      <x:c r="B32" s="74" t="str">
        <x:v>M07</x:v>
      </x:c>
      <x:c r="C32" s="74" t="str">
        <x:v>ROOT</x:v>
      </x:c>
      <x:c r="D32" s="79" t="n">
        <x:v>26</x:v>
      </x:c>
      <x:c r="E32" s="74" t="str">
        <x:v>V1.0</x:v>
      </x:c>
      <x:c r="F32" s="68" t="str">
        <x:v>M07只记录原始根气不提前应用合冲刑害修正</x:v>
      </x:c>
      <x:c r="G32" s="82" t="str">
        <x:v>结构层</x:v>
      </x:c>
      <x:c r="H32" s="68" t="str">
        <x:v>根气/模块边界</x:v>
      </x:c>
      <x:c r="I32" s="82"/>
      <x:c r="J32" s="68" t="str">
        <x:v>根位同时参与合、冲、刑、害、破或会局</x:v>
      </x:c>
      <x:c r="K32" s="68" t="str">
        <x:v>原始根仍先保留</x:v>
      </x:c>
      <x:c r="L32" s="68" t="str">
        <x:v>根气不在M07删除或改性，待M06效应与M08有效力量修正</x:v>
      </x:c>
      <x:c r="M32" s="82" t="str">
        <x:v>不变</x:v>
      </x:c>
      <x:c r="N32" s="68" t="str">
        <x:v>高</x:v>
      </x:c>
      <x:c r="O32" s="82" t="str">
        <x:v>决定性</x:v>
      </x:c>
      <x:c r="P32" s="68" t="str">
        <x:v>M05/M06关系已识别或待识别</x:v>
      </x:c>
      <x:c r="Q32" s="68" t="str">
        <x:v>原始藏干事实未发生输入错误</x:v>
      </x:c>
      <x:c r="R32" s="68" t="str">
        <x:v>无</x:v>
      </x:c>
      <x:c r="S32" s="68" t="str">
        <x:v>无</x:v>
      </x:c>
      <x:c r="T32" s="90" t="str">
        <x:v>禁止因见冲刑合害就在M07把根记为零</x:v>
      </x:c>
      <x:c r="U32" s="68" t="str">
        <x:v>合化或成局经M06确认后由M08处理性质改变</x:v>
      </x:c>
      <x:c r="V32" s="82" t="str">
        <x:v>否</x:v>
      </x:c>
      <x:c r="W32" s="84" t="str">
        <x:v>原始根保留</x:v>
      </x:c>
      <x:c r="X32" s="84" t="str">
        <x:v>该根位在原始层仍予保留；关系造成的冲动、冲散、合绊或改性转入M08修正。</x:v>
      </x:c>
      <x:c r="Y32" s="82" t="str">
        <x:v>确定</x:v>
      </x:c>
      <x:c r="Z32" s="82" t="str">
        <x:v>现代综合</x:v>
      </x:c>
      <x:c r="AA32" s="68" t="str">
        <x:v>原始力量与有效力量必须分层，避免循环论证。</x:v>
      </x:c>
      <x:c r="AB32" s="68" t="str">
        <x:v>寅申冲中，M07先记录寅木根与申金根，M08再分别判断有效性。</x:v>
      </x:c>
      <x:c r="AC32" s="90" t="str">
        <x:v>一见寅申冲便在M07删除寅或申的根气。</x:v>
      </x:c>
      <x:c r="AD32" s="68" t="str">
        <x:v>经典原则经结构化整理；参见：https://zh.wikisource.org/zh-hans/滴天髓</x:v>
      </x:c>
      <x:c r="AE32" s="82" t="str">
        <x:v>采用</x:v>
      </x:c>
      <x:c r="AF32" s="82" t="str">
        <x:v>初审</x:v>
      </x:c>
      <x:c r="AG32" s="87" t="n">
        <x:v>46255</x:v>
      </x:c>
    </x:row>
    <x:row r="33">
      <x:c r="A33" s="72" t="str">
        <x:f>IF(OR(C33="",D33=""),"",B33&amp;"-"&amp;UPPER(C33)&amp;"-"&amp;TEXT(D33,"0000")&amp;"-"&amp;E33)</x:f>
        <x:v>M07-STEM-0027-V1.0</x:v>
      </x:c>
      <x:c r="B33" s="74" t="str">
        <x:v>M07</x:v>
      </x:c>
      <x:c r="C33" s="74" t="str">
        <x:v>STEM</x:v>
      </x:c>
      <x:c r="D33" s="79" t="n">
        <x:v>27</x:v>
      </x:c>
      <x:c r="E33" s="74" t="str">
        <x:v>V1.0</x:v>
      </x:c>
      <x:c r="F33" s="68" t="str">
        <x:v>单一透干提升五行显露度与直接作用能力</x:v>
      </x:c>
      <x:c r="G33" s="82" t="str">
        <x:v>结构层</x:v>
      </x:c>
      <x:c r="H33" s="68" t="str">
        <x:v>透干/显露</x:v>
      </x:c>
      <x:c r="I33" s="82"/>
      <x:c r="J33" s="68" t="str">
        <x:v>目标五行至少有一个天干明现</x:v>
      </x:c>
      <x:c r="K33" s="68" t="str">
        <x:v>单透</x:v>
      </x:c>
      <x:c r="L33" s="68" t="str">
        <x:v>给予中等正向显露证据</x:v>
      </x:c>
      <x:c r="M33" s="82" t="str">
        <x:v>增强</x:v>
      </x:c>
      <x:c r="N33" s="68" t="str">
        <x:v>中</x:v>
      </x:c>
      <x:c r="O33" s="82" t="str">
        <x:v>中</x:v>
      </x:c>
      <x:c r="P33" s="68" t="str">
        <x:v>M02天干五行映射完成</x:v>
      </x:c>
      <x:c r="Q33" s="68" t="str">
        <x:v>至少一个天干属于目标五行</x:v>
      </x:c>
      <x:c r="R33" s="68" t="str">
        <x:v>透干有根、得令或获生源</x:v>
      </x:c>
      <x:c r="S33" s="68" t="str">
        <x:v>透干无根、失令且无同党</x:v>
      </x:c>
      <x:c r="T33" s="90" t="str">
        <x:v>不得把一枚透干直接判为旺</x:v>
      </x:c>
      <x:c r="U33" s="68" t="str">
        <x:v>天干合克实际效应转M06/M08</x:v>
      </x:c>
      <x:c r="V33" s="82" t="str">
        <x:v>否</x:v>
      </x:c>
      <x:c r="W33" s="84" t="str">
        <x:v>单透证据</x:v>
      </x:c>
      <x:c r="X33" s="84" t="str">
        <x:v>目标五行有一处透干，具备直接显露与作用通道；力量大小仍取决于根、令、源、党。</x:v>
      </x:c>
      <x:c r="Y33" s="82" t="str">
        <x:v>较高</x:v>
      </x:c>
      <x:c r="Z33" s="82" t="str">
        <x:v>现代综合</x:v>
      </x:c>
      <x:c r="AA33" s="68" t="str">
        <x:v>透干提高可见度，但不是独立旺度结论。</x:v>
      </x:c>
      <x:c r="AB33" s="68" t="str">
        <x:v>壬水透月干并有亥子根，水的显露与承载均清楚。</x:v>
      </x:c>
      <x:c r="AC33" s="90" t="str">
        <x:v>一枚无根壬水透出便判水旺。</x:v>
      </x:c>
      <x:c r="AD33" s="68" t="str">
        <x:v>https://zh.wikisource.org/zh-hans/淵海子平；https://zh.wikisource.org/zh-hans/滴天髓</x:v>
      </x:c>
      <x:c r="AE33" s="82" t="str">
        <x:v>采用</x:v>
      </x:c>
      <x:c r="AF33" s="82" t="str">
        <x:v>初审</x:v>
      </x:c>
      <x:c r="AG33" s="87" t="n">
        <x:v>46255</x:v>
      </x:c>
    </x:row>
    <x:row r="34">
      <x:c r="A34" s="72" t="str">
        <x:f>IF(OR(C34="",D34=""),"",B34&amp;"-"&amp;UPPER(C34)&amp;"-"&amp;TEXT(D34,"0000")&amp;"-"&amp;E34)</x:f>
        <x:v>M07-STEM-0028-V1.0</x:v>
      </x:c>
      <x:c r="B34" s="74" t="str">
        <x:v>M07</x:v>
      </x:c>
      <x:c r="C34" s="74" t="str">
        <x:v>STEM</x:v>
      </x:c>
      <x:c r="D34" s="79" t="n">
        <x:v>28</x:v>
      </x:c>
      <x:c r="E34" s="74" t="str">
        <x:v>V1.0</x:v>
      </x:c>
      <x:c r="F34" s="68" t="str">
        <x:v>透干有根显著强于透干无根</x:v>
      </x:c>
      <x:c r="G34" s="82" t="str">
        <x:v>结构层</x:v>
      </x:c>
      <x:c r="H34" s="68" t="str">
        <x:v>透干/有根</x:v>
      </x:c>
      <x:c r="I34" s="82"/>
      <x:c r="J34" s="68" t="str">
        <x:v>目标五行透干且至少一支有同五行根</x:v>
      </x:c>
      <x:c r="K34" s="68" t="str">
        <x:v>透而有根</x:v>
      </x:c>
      <x:c r="L34" s="68" t="str">
        <x:v>提高透干有效承载的原始候选</x:v>
      </x:c>
      <x:c r="M34" s="82" t="str">
        <x:v>增强</x:v>
      </x:c>
      <x:c r="N34" s="68" t="str">
        <x:v>高</x:v>
      </x:c>
      <x:c r="O34" s="82" t="str">
        <x:v>强</x:v>
      </x:c>
      <x:c r="P34" s="68" t="str">
        <x:v>M07根气证据已生成</x:v>
      </x:c>
      <x:c r="Q34" s="68" t="str">
        <x:v>透干与根同属目标五行</x:v>
      </x:c>
      <x:c r="R34" s="68" t="str">
        <x:v>根为本气、得令、同党多</x:v>
      </x:c>
      <x:c r="S34" s="68" t="str">
        <x:v>根仅余气且季令不利</x:v>
      </x:c>
      <x:c r="T34" s="90" t="str">
        <x:v>不得因有根就忽略根层级与来源共线</x:v>
      </x:c>
      <x:c r="U34" s="68" t="str">
        <x:v>具体天干能否联结该根可在M09/M10细化</x:v>
      </x:c>
      <x:c r="V34" s="82" t="str">
        <x:v>否</x:v>
      </x:c>
      <x:c r="W34" s="84" t="str">
        <x:v>透根强证</x:v>
      </x:c>
      <x:c r="X34" s="84" t="str">
        <x:v>目标五行透而有根，原始力量明显高于浮干；根的层级和季令决定增强幅度。</x:v>
      </x:c>
      <x:c r="Y34" s="82" t="str">
        <x:v>较高</x:v>
      </x:c>
      <x:c r="Z34" s="82" t="str">
        <x:v>旺衰扶抑</x:v>
      </x:c>
      <x:c r="AA34" s="68" t="str">
        <x:v>透根结合是五行可用力量的基础。</x:v>
      </x:c>
      <x:c r="AB34" s="68" t="str">
        <x:v>丙火透干，地支巳午有根，火原始力量明显有力。</x:v>
      </x:c>
      <x:c r="AC34" s="90" t="str">
        <x:v>丙火仅在辰中一弱余气也与巳午强根同论。</x:v>
      </x:c>
      <x:c r="AD34" s="68" t="str">
        <x:v>https://zh.wikisource.org/zh-hans/淵海子平；https://zh.wikisource.org/zh-hans/滴天髓</x:v>
      </x:c>
      <x:c r="AE34" s="82" t="str">
        <x:v>采用</x:v>
      </x:c>
      <x:c r="AF34" s="82" t="str">
        <x:v>初审</x:v>
      </x:c>
      <x:c r="AG34" s="87" t="n">
        <x:v>46255</x:v>
      </x:c>
    </x:row>
    <x:row r="35">
      <x:c r="A35" s="72" t="str">
        <x:f>IF(OR(C35="",D35=""),"",B35&amp;"-"&amp;UPPER(C35)&amp;"-"&amp;TEXT(D35,"0000")&amp;"-"&amp;E35)</x:f>
        <x:v>M07-STEM-0029-V1.0</x:v>
      </x:c>
      <x:c r="B35" s="74" t="str">
        <x:v>M07</x:v>
      </x:c>
      <x:c r="C35" s="74" t="str">
        <x:v>STEM</x:v>
      </x:c>
      <x:c r="D35" s="79" t="n">
        <x:v>29</x:v>
      </x:c>
      <x:c r="E35" s="74" t="str">
        <x:v>V1.0</x:v>
      </x:c>
      <x:c r="F35" s="68" t="str">
        <x:v>透干无根属于浮露而非完全无气</x:v>
      </x:c>
      <x:c r="G35" s="82" t="str">
        <x:v>结构层</x:v>
      </x:c>
      <x:c r="H35" s="68" t="str">
        <x:v>透干/无根</x:v>
      </x:c>
      <x:c r="I35" s="82"/>
      <x:c r="J35" s="68" t="str">
        <x:v>目标五行透于天干但四支无根</x:v>
      </x:c>
      <x:c r="K35" s="68" t="str">
        <x:v>浮干</x:v>
      </x:c>
      <x:c r="L35" s="68" t="str">
        <x:v>保留存在与显露，原始承载下调</x:v>
      </x:c>
      <x:c r="M35" s="82" t="str">
        <x:v>减弱</x:v>
      </x:c>
      <x:c r="N35" s="68" t="str">
        <x:v>中高</x:v>
      </x:c>
      <x:c r="O35" s="82" t="str">
        <x:v>中</x:v>
      </x:c>
      <x:c r="P35" s="68" t="str">
        <x:v>四支根气已核验</x:v>
      </x:c>
      <x:c r="Q35" s="68" t="str">
        <x:v>目标有透干但无任何根</x:v>
      </x:c>
      <x:c r="R35" s="68" t="str">
        <x:v>得令、同类多透、强生源连续相生</x:v>
      </x:c>
      <x:c r="S35" s="68" t="str">
        <x:v>失令、孤干、无源无党</x:v>
      </x:c>
      <x:c r="T35" s="90" t="str">
        <x:v>不得把浮干直接归零，也不得按有根透干同权</x:v>
      </x:c>
      <x:c r="U35" s="68" t="str">
        <x:v>从格条件另由M14严格验证</x:v>
      </x:c>
      <x:c r="V35" s="82" t="str">
        <x:v>否</x:v>
      </x:c>
      <x:c r="W35" s="84" t="str">
        <x:v>浮干证据</x:v>
      </x:c>
      <x:c r="X35" s="84" t="str">
        <x:v>目标五行虽透干但无根，属于浮露；仍有存在和作用通道，但原始承载偏弱。</x:v>
      </x:c>
      <x:c r="Y35" s="82" t="str">
        <x:v>较高</x:v>
      </x:c>
      <x:c r="Z35" s="82" t="str">
        <x:v>现代综合</x:v>
      </x:c>
      <x:c r="AA35" s="68" t="str">
        <x:v>无根限制持续性，不等于不存在。</x:v>
      </x:c>
      <x:c r="AB35" s="68" t="str">
        <x:v>冬月甲木无根但壬癸旺生，甲仍有一定原始力量。</x:v>
      </x:c>
      <x:c r="AC35" s="90" t="str">
        <x:v>无根甲木完全不计，或与有寅卯根同权。</x:v>
      </x:c>
      <x:c r="AD35" s="68" t="str">
        <x:v>经典原则经结构化整理；参见：https://zh.wikisource.org/zh-hans/滴天髓</x:v>
      </x:c>
      <x:c r="AE35" s="82" t="str">
        <x:v>采用</x:v>
      </x:c>
      <x:c r="AF35" s="82" t="str">
        <x:v>初审</x:v>
      </x:c>
      <x:c r="AG35" s="87" t="n">
        <x:v>46255</x:v>
      </x:c>
    </x:row>
    <x:row r="36">
      <x:c r="A36" s="72" t="str">
        <x:f>IF(OR(C36="",D36=""),"",B36&amp;"-"&amp;UPPER(C36)&amp;"-"&amp;TEXT(D36,"0000")&amp;"-"&amp;E36)</x:f>
        <x:v>M07-STEM-0030-V1.0</x:v>
      </x:c>
      <x:c r="B36" s="74" t="str">
        <x:v>M07</x:v>
      </x:c>
      <x:c r="C36" s="74" t="str">
        <x:v>STEM</x:v>
      </x:c>
      <x:c r="D36" s="79" t="n">
        <x:v>30</x:v>
      </x:c>
      <x:c r="E36" s="74" t="str">
        <x:v>V1.0</x:v>
      </x:c>
      <x:c r="F36" s="68" t="str">
        <x:v>多处同五行透干增强显露但采用递减边际</x:v>
      </x:c>
      <x:c r="G36" s="82" t="str">
        <x:v>结构层</x:v>
      </x:c>
      <x:c r="H36" s="68" t="str">
        <x:v>透干/多透</x:v>
      </x:c>
      <x:c r="I36" s="82"/>
      <x:c r="J36" s="68" t="str">
        <x:v>目标五行在两个以上天干明现</x:v>
      </x:c>
      <x:c r="K36" s="68" t="str">
        <x:v>多透</x:v>
      </x:c>
      <x:c r="L36" s="68" t="str">
        <x:v>增加显露与同党证据，后续透干边际递减</x:v>
      </x:c>
      <x:c r="M36" s="82" t="str">
        <x:v>增强</x:v>
      </x:c>
      <x:c r="N36" s="68" t="str">
        <x:v>中高</x:v>
      </x:c>
      <x:c r="O36" s="82" t="str">
        <x:v>中</x:v>
      </x:c>
      <x:c r="P36" s="68" t="str">
        <x:v>天干五行已逐柱识别</x:v>
      </x:c>
      <x:c r="Q36" s="68" t="str">
        <x:v>至少两干同属目标五行</x:v>
      </x:c>
      <x:c r="R36" s="68" t="str">
        <x:v>多透均有根、得令或有强生源</x:v>
      </x:c>
      <x:c r="S36" s="68" t="str">
        <x:v>多透均无根且失令</x:v>
      </x:c>
      <x:c r="T36" s="90" t="str">
        <x:v>禁止按透干数量线性倍增</x:v>
      </x:c>
      <x:c r="U36" s="68" t="str">
        <x:v>同一五合或争合效应不在M07处理</x:v>
      </x:c>
      <x:c r="V36" s="82" t="str">
        <x:v>否</x:v>
      </x:c>
      <x:c r="W36" s="84" t="str">
        <x:v>多透增强</x:v>
      </x:c>
      <x:c r="X36" s="84" t="str">
        <x:v>目标五行多处透干，显露度与同党性增强；新增透干采用边际递减，不直接等同成势。</x:v>
      </x:c>
      <x:c r="Y36" s="82" t="str">
        <x:v>较高</x:v>
      </x:c>
      <x:c r="Z36" s="82" t="str">
        <x:v>现代综合</x:v>
      </x:c>
      <x:c r="AA36" s="68" t="str">
        <x:v>数量提供证据但不能替代承载。</x:v>
      </x:c>
      <x:c r="AB36" s="68" t="str">
        <x:v>甲乙双透并有寅卯根，木原始力量高于单透。</x:v>
      </x:c>
      <x:c r="AC36" s="90" t="str">
        <x:v>三枚无根水干按三倍强根水计算。</x:v>
      </x:c>
      <x:c r="AD36" s="68" t="str">
        <x:v>经典原则经结构化整理；参见：https://zh.wikisource.org/zh-hans/滴天髓</x:v>
      </x:c>
      <x:c r="AE36" s="82" t="str">
        <x:v>采用</x:v>
      </x:c>
      <x:c r="AF36" s="82" t="str">
        <x:v>初审</x:v>
      </x:c>
      <x:c r="AG36" s="87" t="n">
        <x:v>46255</x:v>
      </x:c>
    </x:row>
    <x:row r="37">
      <x:c r="A37" s="72" t="str">
        <x:f>IF(OR(C37="",D37=""),"",B37&amp;"-"&amp;UPPER(C37)&amp;"-"&amp;TEXT(D37,"0000")&amp;"-"&amp;E37)</x:f>
        <x:v>M07-STEM-0031-V1.0</x:v>
      </x:c>
      <x:c r="B37" s="74" t="str">
        <x:v>M07</x:v>
      </x:c>
      <x:c r="C37" s="74" t="str">
        <x:v>STEM</x:v>
      </x:c>
      <x:c r="D37" s="79" t="n">
        <x:v>31</x:v>
      </x:c>
      <x:c r="E37" s="74" t="str">
        <x:v>V1.0</x:v>
      </x:c>
      <x:c r="F37" s="68" t="str">
        <x:v>藏支不透仍计存在与根气但显露度较低</x:v>
      </x:c>
      <x:c r="G37" s="82" t="str">
        <x:v>结构层</x:v>
      </x:c>
      <x:c r="H37" s="68" t="str">
        <x:v>透干/藏而不透</x:v>
      </x:c>
      <x:c r="I37" s="82"/>
      <x:c r="J37" s="68" t="str">
        <x:v>目标五行仅藏于地支，天干不见</x:v>
      </x:c>
      <x:c r="K37" s="68" t="str">
        <x:v>藏而不透</x:v>
      </x:c>
      <x:c r="L37" s="68" t="str">
        <x:v>保留根气与季令证据，不给予透干显露加权</x:v>
      </x:c>
      <x:c r="M37" s="82" t="str">
        <x:v>不变</x:v>
      </x:c>
      <x:c r="N37" s="68" t="str">
        <x:v>中</x:v>
      </x:c>
      <x:c r="O37" s="82" t="str">
        <x:v>中</x:v>
      </x:c>
      <x:c r="P37" s="68" t="str">
        <x:v>M02藏干与天干映射完成</x:v>
      </x:c>
      <x:c r="Q37" s="68" t="str">
        <x:v>天干无目标五行、地支有目标五行</x:v>
      </x:c>
      <x:c r="R37" s="68" t="str">
        <x:v>藏于月支本气、多根、得令</x:v>
      </x:c>
      <x:c r="S37" s="68" t="str">
        <x:v>仅一处余气且季令不利</x:v>
      </x:c>
      <x:c r="T37" s="90" t="str">
        <x:v>不得因不透就判目标五行不存在</x:v>
      </x:c>
      <x:c r="U37" s="68" t="str">
        <x:v>格局取用是否要求透出转M14/M15</x:v>
      </x:c>
      <x:c r="V37" s="82" t="str">
        <x:v>否</x:v>
      </x:c>
      <x:c r="W37" s="84" t="str">
        <x:v>藏而不透</x:v>
      </x:c>
      <x:c r="X37" s="84" t="str">
        <x:v>目标五行虽未透干，但在地支有实际藏气与根；原始存在不被否定，只是显露度较低。</x:v>
      </x:c>
      <x:c r="Y37" s="82" t="str">
        <x:v>较高</x:v>
      </x:c>
      <x:c r="Z37" s="82" t="str">
        <x:v>跨流派共识</x:v>
      </x:c>
      <x:c r="AA37" s="68" t="str">
        <x:v>藏气与透干是不同维度。</x:v>
      </x:c>
      <x:c r="AB37" s="68" t="str">
        <x:v>木不透但寅卯成片，木原始力量仍可很强。</x:v>
      </x:c>
      <x:c r="AC37" s="90" t="str">
        <x:v>五行不透就一律判弱或不存在。</x:v>
      </x:c>
      <x:c r="AD37" s="68" t="str">
        <x:v>https://zh.wikisource.org/zh-hans/淵海子平；https://zh.wikisource.org/zh-hans/滴天髓</x:v>
      </x:c>
      <x:c r="AE37" s="82" t="str">
        <x:v>采用</x:v>
      </x:c>
      <x:c r="AF37" s="82" t="str">
        <x:v>初审</x:v>
      </x:c>
      <x:c r="AG37" s="87" t="n">
        <x:v>46255</x:v>
      </x:c>
    </x:row>
    <x:row r="38">
      <x:c r="A38" s="72" t="str">
        <x:f>IF(OR(C38="",D38=""),"",B38&amp;"-"&amp;UPPER(C38)&amp;"-"&amp;TEXT(D38,"0000")&amp;"-"&amp;E38)</x:f>
        <x:v>M07-STEM-0032-V1.0</x:v>
      </x:c>
      <x:c r="B38" s="74" t="str">
        <x:v>M07</x:v>
      </x:c>
      <x:c r="C38" s="74" t="str">
        <x:v>STEM</x:v>
      </x:c>
      <x:c r="D38" s="79" t="n">
        <x:v>32</x:v>
      </x:c>
      <x:c r="E38" s="74" t="str">
        <x:v>V1.0</x:v>
      </x:c>
      <x:c r="F38" s="68" t="str">
        <x:v>月令本气藏而不透仍可具强原始力量</x:v>
      </x:c>
      <x:c r="G38" s="82" t="str">
        <x:v>结构层</x:v>
      </x:c>
      <x:c r="H38" s="68" t="str">
        <x:v>透干/月令藏气</x:v>
      </x:c>
      <x:c r="I38" s="82"/>
      <x:c r="J38" s="68" t="str">
        <x:v>目标五行为月支本气但天干不透</x:v>
      </x:c>
      <x:c r="K38" s="68" t="str">
        <x:v>当令而不透</x:v>
      </x:c>
      <x:c r="L38" s="68" t="str">
        <x:v>季令与根气可支持偏旺候选，显露度单独记低</x:v>
      </x:c>
      <x:c r="M38" s="82" t="str">
        <x:v>增强</x:v>
      </x:c>
      <x:c r="N38" s="68" t="str">
        <x:v>高</x:v>
      </x:c>
      <x:c r="O38" s="82" t="str">
        <x:v>强</x:v>
      </x:c>
      <x:c r="P38" s="68" t="str">
        <x:v>月令本气与透干状态已识别</x:v>
      </x:c>
      <x:c r="Q38" s="68" t="str">
        <x:v>目标五行确为月支本气且不透</x:v>
      </x:c>
      <x:c r="R38" s="68" t="str">
        <x:v>另有同类根、同党或强生源</x:v>
      </x:c>
      <x:c r="S38" s="68" t="str">
        <x:v>仅月支单点且受大量异类包围</x:v>
      </x:c>
      <x:c r="T38" s="90" t="str">
        <x:v>不得把“不透”直接否定“得令”</x:v>
      </x:c>
      <x:c r="U38" s="68" t="str">
        <x:v>是否承担格神或十神功能转M10/M14</x:v>
      </x:c>
      <x:c r="V38" s="82" t="str">
        <x:v>否</x:v>
      </x:c>
      <x:c r="W38" s="84" t="str">
        <x:v>当令不透</x:v>
      </x:c>
      <x:c r="X38" s="84" t="str">
        <x:v>目标五行虽不透干，但得月令本气与月支根，原始力量可以较强；仅其显露与功能通道较低。</x:v>
      </x:c>
      <x:c r="Y38" s="82" t="str">
        <x:v>较高</x:v>
      </x:c>
      <x:c r="Z38" s="82" t="str">
        <x:v>旺衰扶抑</x:v>
      </x:c>
      <x:c r="AA38" s="68" t="str">
        <x:v>强弱与显露必须分开。</x:v>
      </x:c>
      <x:c r="AB38" s="68" t="str">
        <x:v>卯月木不透但寅卯多见，木可原始偏旺。</x:v>
      </x:c>
      <x:c r="AC38" s="90" t="str">
        <x:v>卯月无甲乙透干便断木弱。</x:v>
      </x:c>
      <x:c r="AD38" s="68" t="str">
        <x:v>https://zh.wikisource.org/zh-hans/淵海子平；https://zh.wikisource.org/zh-hans/滴天髓</x:v>
      </x:c>
      <x:c r="AE38" s="82" t="str">
        <x:v>采用</x:v>
      </x:c>
      <x:c r="AF38" s="82" t="str">
        <x:v>初审</x:v>
      </x:c>
      <x:c r="AG38" s="87" t="n">
        <x:v>46255</x:v>
      </x:c>
    </x:row>
    <x:row r="39">
      <x:c r="A39" s="72" t="str">
        <x:f>IF(OR(C39="",D39=""),"",B39&amp;"-"&amp;UPPER(C39)&amp;"-"&amp;TEXT(D39,"0000")&amp;"-"&amp;E39)</x:f>
        <x:v>M07-STEM-0033-V1.0</x:v>
      </x:c>
      <x:c r="B39" s="74" t="str">
        <x:v>M07</x:v>
      </x:c>
      <x:c r="C39" s="74" t="str">
        <x:v>STEM</x:v>
      </x:c>
      <x:c r="D39" s="79" t="n">
        <x:v>33</x:v>
      </x:c>
      <x:c r="E39" s="74" t="str">
        <x:v>V1.0</x:v>
      </x:c>
      <x:c r="F39" s="68" t="str">
        <x:v>月干日干位置只作显露通道的次级修正</x:v>
      </x:c>
      <x:c r="G39" s="82" t="str">
        <x:v>结构层</x:v>
      </x:c>
      <x:c r="H39" s="68" t="str">
        <x:v>透干/位置</x:v>
      </x:c>
      <x:c r="I39" s="82"/>
      <x:c r="J39" s="68" t="str">
        <x:v>目标五行透于月干或日干</x:v>
      </x:c>
      <x:c r="K39" s="68" t="str">
        <x:v>中心透干</x:v>
      </x:c>
      <x:c r="L39" s="68" t="str">
        <x:v>提高直接参与全局生克的可见度，但不改变五行本质权重</x:v>
      </x:c>
      <x:c r="M39" s="82" t="str">
        <x:v>增强</x:v>
      </x:c>
      <x:c r="N39" s="68" t="str">
        <x:v>低</x:v>
      </x:c>
      <x:c r="O39" s="82" t="str">
        <x:v>弱</x:v>
      </x:c>
      <x:c r="P39" s="68" t="str">
        <x:v>天干柱位已识别</x:v>
      </x:c>
      <x:c r="Q39" s="68" t="str">
        <x:v>目标五行确透于月干或日干</x:v>
      </x:c>
      <x:c r="R39" s="68" t="str">
        <x:v>透干有根并与相邻生源同党连接</x:v>
      </x:c>
      <x:c r="S39" s="68" t="str">
        <x:v>无根失令且被孤立</x:v>
      </x:c>
      <x:c r="T39" s="90" t="str">
        <x:v>不得仅凭位置把弱干判强</x:v>
      </x:c>
      <x:c r="U39" s="68" t="str">
        <x:v>日干为命主本身时旺衰专入M09</x:v>
      </x:c>
      <x:c r="V39" s="82" t="str">
        <x:v>否</x:v>
      </x:c>
      <x:c r="W39" s="84" t="str">
        <x:v>中心显露</x:v>
      </x:c>
      <x:c r="X39" s="84" t="str">
        <x:v>目标五行透于中心干位，作用通道较直接；位置只作辅助，根令源党仍为主。</x:v>
      </x:c>
      <x:c r="Y39" s="82" t="str">
        <x:v>中等</x:v>
      </x:c>
      <x:c r="Z39" s="82" t="str">
        <x:v>现代综合</x:v>
      </x:c>
      <x:c r="AA39" s="68" t="str">
        <x:v>位置影响直接性，不应成为固定分值。</x:v>
      </x:c>
      <x:c r="AB39" s="68" t="str">
        <x:v>月干庚金有申酉根，其直接参与结构的通道较清晰。</x:v>
      </x:c>
      <x:c r="AC39" s="90" t="str">
        <x:v>月干无根庚金只因居月干就判旺。</x:v>
      </x:c>
      <x:c r="AD39" s="68" t="str">
        <x:v>经典原则经结构化整理；参见：https://zh.wikisource.org/zh-hans/滴天髓</x:v>
      </x:c>
      <x:c r="AE39" s="82" t="str">
        <x:v>待验证</x:v>
      </x:c>
      <x:c r="AF39" s="82" t="str">
        <x:v>初审</x:v>
      </x:c>
      <x:c r="AG39" s="87" t="n">
        <x:v>46255</x:v>
      </x:c>
    </x:row>
    <x:row r="40">
      <x:c r="A40" s="72" t="str">
        <x:f>IF(OR(C40="",D40=""),"",B40&amp;"-"&amp;UPPER(C40)&amp;"-"&amp;TEXT(D40,"0000")&amp;"-"&amp;E40)</x:f>
        <x:v>M07-STEM-0034-V1.0</x:v>
      </x:c>
      <x:c r="B40" s="74" t="str">
        <x:v>M07</x:v>
      </x:c>
      <x:c r="C40" s="74" t="str">
        <x:v>STEM</x:v>
      </x:c>
      <x:c r="D40" s="79" t="n">
        <x:v>34</x:v>
      </x:c>
      <x:c r="E40" s="74" t="str">
        <x:v>V1.0</x:v>
      </x:c>
      <x:c r="F40" s="68" t="str">
        <x:v>年干时干透出仍有效不因边位被删除</x:v>
      </x:c>
      <x:c r="G40" s="82" t="str">
        <x:v>结构层</x:v>
      </x:c>
      <x:c r="H40" s="68" t="str">
        <x:v>透干/边位</x:v>
      </x:c>
      <x:c r="I40" s="82"/>
      <x:c r="J40" s="68" t="str">
        <x:v>目标五行仅透于年干或时干</x:v>
      </x:c>
      <x:c r="K40" s="68" t="str">
        <x:v>边位透干</x:v>
      </x:c>
      <x:c r="L40" s="68" t="str">
        <x:v>保留显露证据，位置远近仅作低阶说明</x:v>
      </x:c>
      <x:c r="M40" s="82" t="str">
        <x:v>增强</x:v>
      </x:c>
      <x:c r="N40" s="68" t="str">
        <x:v>低</x:v>
      </x:c>
      <x:c r="O40" s="82" t="str">
        <x:v>弱</x:v>
      </x:c>
      <x:c r="P40" s="68" t="str">
        <x:v>天干柱位已识别</x:v>
      </x:c>
      <x:c r="Q40" s="68" t="str">
        <x:v>年干或时干属于目标五行</x:v>
      </x:c>
      <x:c r="R40" s="68" t="str">
        <x:v>有根、得令、与其他同类或生源相连</x:v>
      </x:c>
      <x:c r="S40" s="68" t="str">
        <x:v>孤干无根且季令不利</x:v>
      </x:c>
      <x:c r="T40" s="90" t="str">
        <x:v>不得因位于年时便视为无效</x:v>
      </x:c>
      <x:c r="U40" s="68" t="str">
        <x:v>具体宫位象义不属于M07</x:v>
      </x:c>
      <x:c r="V40" s="82" t="str">
        <x:v>否</x:v>
      </x:c>
      <x:c r="W40" s="84" t="str">
        <x:v>边位显露</x:v>
      </x:c>
      <x:c r="X40" s="84" t="str">
        <x:v>目标五行在年干或时干仍属明现，原始力量不能删除；其强弱仍由令根源党决定。</x:v>
      </x:c>
      <x:c r="Y40" s="82" t="str">
        <x:v>较高</x:v>
      </x:c>
      <x:c r="Z40" s="82" t="str">
        <x:v>现代综合</x:v>
      </x:c>
      <x:c r="AA40" s="68" t="str">
        <x:v>四干均是客观存在，位置不能替代力量判断。</x:v>
      </x:c>
      <x:c r="AB40" s="68" t="str">
        <x:v>时干壬水有亥子根，仍是清晰水力。</x:v>
      </x:c>
      <x:c r="AC40" s="90" t="str">
        <x:v>时干一律按无效或虚浮处理。</x:v>
      </x:c>
      <x:c r="AD40" s="68" t="str">
        <x:v>经典原则经结构化整理；参见：https://zh.wikisource.org/zh-hans/滴天髓</x:v>
      </x:c>
      <x:c r="AE40" s="82" t="str">
        <x:v>采用</x:v>
      </x:c>
      <x:c r="AF40" s="82" t="str">
        <x:v>初审</x:v>
      </x:c>
      <x:c r="AG40" s="87" t="n">
        <x:v>46255</x:v>
      </x:c>
    </x:row>
    <x:row r="41">
      <x:c r="A41" s="72" t="str">
        <x:f>IF(OR(C41="",D41=""),"",B41&amp;"-"&amp;UPPER(C41)&amp;"-"&amp;TEXT(D41,"0000")&amp;"-"&amp;E41)</x:f>
        <x:v>M07-STEM-0035-V1.0</x:v>
      </x:c>
      <x:c r="B41" s="74" t="str">
        <x:v>M07</x:v>
      </x:c>
      <x:c r="C41" s="74" t="str">
        <x:v>STEM</x:v>
      </x:c>
      <x:c r="D41" s="79" t="n">
        <x:v>35</x:v>
      </x:c>
      <x:c r="E41" s="74" t="str">
        <x:v>V1.0</x:v>
      </x:c>
      <x:c r="F41" s="68" t="str">
        <x:v>透干与生源同现可提升显露力量候选</x:v>
      </x:c>
      <x:c r="G41" s="82" t="str">
        <x:v>结构层</x:v>
      </x:c>
      <x:c r="H41" s="68" t="str">
        <x:v>透干/受生</x:v>
      </x:c>
      <x:c r="I41" s="82"/>
      <x:c r="J41" s="68" t="str">
        <x:v>目标五行透干，且其生源五行也明现或有强根</x:v>
      </x:c>
      <x:c r="K41" s="68" t="str">
        <x:v>透干得生</x:v>
      </x:c>
      <x:c r="L41" s="68" t="str">
        <x:v>在透干基础上增加生源支持</x:v>
      </x:c>
      <x:c r="M41" s="82" t="str">
        <x:v>增强</x:v>
      </x:c>
      <x:c r="N41" s="68" t="str">
        <x:v>中</x:v>
      </x:c>
      <x:c r="O41" s="82" t="str">
        <x:v>中</x:v>
      </x:c>
      <x:c r="P41" s="68" t="str">
        <x:v>生源关系已按五行生克映射</x:v>
      </x:c>
      <x:c r="Q41" s="68" t="str">
        <x:v>生源自身至少具中等原始力量</x:v>
      </x:c>
      <x:c r="R41" s="68" t="str">
        <x:v>生源得令、有根、与目标相邻或路径短</x:v>
      </x:c>
      <x:c r="S41" s="68" t="str">
        <x:v>生源无根失令或需多级传递</x:v>
      </x:c>
      <x:c r="T41" s="90" t="str">
        <x:v>不得只因生源出现就假定已经有效相生</x:v>
      </x:c>
      <x:c r="U41" s="68" t="str">
        <x:v>生克实际受合克阻断转M08</x:v>
      </x:c>
      <x:c r="V41" s="82" t="str">
        <x:v>否</x:v>
      </x:c>
      <x:c r="W41" s="84" t="str">
        <x:v>透干得生</x:v>
      </x:c>
      <x:c r="X41" s="84" t="str">
        <x:v>目标五行透干且有可识别生源，原始显露力量获得进一步支持；生源有效性后续复核。</x:v>
      </x:c>
      <x:c r="Y41" s="82" t="str">
        <x:v>较高</x:v>
      </x:c>
      <x:c r="Z41" s="82" t="str">
        <x:v>现代综合</x:v>
      </x:c>
      <x:c r="AA41" s="68" t="str">
        <x:v>透干有源通常优于孤透。</x:v>
      </x:c>
      <x:c r="AB41" s="68" t="str">
        <x:v>甲木透干，壬癸有根并明现，木获直接生源。</x:v>
      </x:c>
      <x:c r="AC41" s="90" t="str">
        <x:v>一枚无根癸水出现就认定能充分生旺多木。</x:v>
      </x:c>
      <x:c r="AD41" s="68" t="str">
        <x:v>经典原则经结构化整理；参见：https://zh.wikisource.org/zh-hans/滴天髓</x:v>
      </x:c>
      <x:c r="AE41" s="82" t="str">
        <x:v>采用</x:v>
      </x:c>
      <x:c r="AF41" s="82" t="str">
        <x:v>初审</x:v>
      </x:c>
      <x:c r="AG41" s="87" t="n">
        <x:v>46255</x:v>
      </x:c>
    </x:row>
    <x:row r="42">
      <x:c r="A42" s="72" t="str">
        <x:f>IF(OR(C42="",D42=""),"",B42&amp;"-"&amp;UPPER(C42)&amp;"-"&amp;TEXT(D42,"0000")&amp;"-"&amp;E42)</x:f>
        <x:v>M07-STEM-0036-V1.0</x:v>
      </x:c>
      <x:c r="B42" s="74" t="str">
        <x:v>M07</x:v>
      </x:c>
      <x:c r="C42" s="74" t="str">
        <x:v>STEM</x:v>
      </x:c>
      <x:c r="D42" s="79" t="n">
        <x:v>36</x:v>
      </x:c>
      <x:c r="E42" s="74" t="str">
        <x:v>V1.0</x:v>
      </x:c>
      <x:c r="F42" s="68" t="str">
        <x:v>透干、根气与同党属于相关证据须避免三重满额累加</x:v>
      </x:c>
      <x:c r="G42" s="82" t="str">
        <x:v>结构层</x:v>
      </x:c>
      <x:c r="H42" s="68" t="str">
        <x:v>透干/防重复</x:v>
      </x:c>
      <x:c r="I42" s="82"/>
      <x:c r="J42" s="68" t="str">
        <x:v>同一五行的透干、根气和同党来自同一组干支节点</x:v>
      </x:c>
      <x:c r="K42" s="68" t="str">
        <x:v>证据相关</x:v>
      </x:c>
      <x:c r="L42" s="68" t="str">
        <x:v>保留三个维度描述，但汇总时降低重复权重</x:v>
      </x:c>
      <x:c r="M42" s="82" t="str">
        <x:v>不变</x:v>
      </x:c>
      <x:c r="N42" s="68" t="str">
        <x:v>高</x:v>
      </x:c>
      <x:c r="O42" s="82" t="str">
        <x:v>强</x:v>
      </x:c>
      <x:c r="P42" s="68" t="str">
        <x:v>各证据来源节点已标注</x:v>
      </x:c>
      <x:c r="Q42" s="68" t="str">
        <x:v>确认多个证据高度共源</x:v>
      </x:c>
      <x:c r="R42" s="68" t="str">
        <x:v>另有独立根、独立生源或不同柱位同党</x:v>
      </x:c>
      <x:c r="S42" s="68" t="str">
        <x:v>所有证据均围绕同一单点</x:v>
      </x:c>
      <x:c r="T42" s="90" t="str">
        <x:v>禁止把“一干一根”拆成三个决定性加分项</x:v>
      </x:c>
      <x:c r="U42" s="68" t="str">
        <x:v>若证据来自独立节点，可分别保留较高权重</x:v>
      </x:c>
      <x:c r="V42" s="82" t="str">
        <x:v>否</x:v>
      </x:c>
      <x:c r="W42" s="84" t="str">
        <x:v>显露证据去重</x:v>
      </x:c>
      <x:c r="X42" s="84" t="str">
        <x:v>透、根、党均予记录，但共源节点不重复满额计权；原始等级由独立证据数量决定。</x:v>
      </x:c>
      <x:c r="Y42" s="82" t="str">
        <x:v>较高</x:v>
      </x:c>
      <x:c r="Z42" s="82" t="str">
        <x:v>现代综合</x:v>
      </x:c>
      <x:c r="AA42" s="68" t="str">
        <x:v>证据相关性是防止机械打分的核心。</x:v>
      </x:c>
      <x:c r="AB42" s="68" t="str">
        <x:v>甲透坐寅，记录透干与本气根相应；不再额外把甲寅视作第三个独立强证。</x:v>
      </x:c>
      <x:c r="AC42" s="90" t="str">
        <x:v>同一甲寅分别按透、根、同党三次满额加权。</x:v>
      </x:c>
      <x:c r="AD42" s="68" t="str">
        <x:v>经典原则经结构化整理；参见：https://zh.wikisource.org/zh-hans/滴天髓</x:v>
      </x:c>
      <x:c r="AE42" s="82" t="str">
        <x:v>采用</x:v>
      </x:c>
      <x:c r="AF42" s="82" t="str">
        <x:v>初审</x:v>
      </x:c>
      <x:c r="AG42" s="87" t="n">
        <x:v>46255</x:v>
      </x:c>
    </x:row>
    <x:row r="43">
      <x:c r="A43" s="72" t="str">
        <x:f>IF(OR(C43="",D43=""),"",B43&amp;"-"&amp;UPPER(C43)&amp;"-"&amp;TEXT(D43,"0000")&amp;"-"&amp;E43)</x:f>
        <x:v>M07-SOURCE-0037-V1.0</x:v>
      </x:c>
      <x:c r="B43" s="74" t="str">
        <x:v>M07</x:v>
      </x:c>
      <x:c r="C43" s="74" t="str">
        <x:v>SOURCE</x:v>
      </x:c>
      <x:c r="D43" s="79" t="n">
        <x:v>37</x:v>
      </x:c>
      <x:c r="E43" s="74" t="str">
        <x:v>V1.0</x:v>
      </x:c>
      <x:c r="F43" s="68" t="str">
        <x:v>生我五行有力时构成直接生源</x:v>
      </x:c>
      <x:c r="G43" s="82" t="str">
        <x:v>结构层</x:v>
      </x:c>
      <x:c r="H43" s="68" t="str">
        <x:v>生源/直接相生</x:v>
      </x:c>
      <x:c r="I43" s="82"/>
      <x:c r="J43" s="68" t="str">
        <x:v>目标五行的生源五行在原局存在且具备原始力量</x:v>
      </x:c>
      <x:c r="K43" s="68" t="str">
        <x:v>直接生源</x:v>
      </x:c>
      <x:c r="L43" s="68" t="str">
        <x:v>按生源自身强弱给予正向支持</x:v>
      </x:c>
      <x:c r="M43" s="82" t="str">
        <x:v>增强</x:v>
      </x:c>
      <x:c r="N43" s="68" t="str">
        <x:v>中高</x:v>
      </x:c>
      <x:c r="O43" s="82" t="str">
        <x:v>中</x:v>
      </x:c>
      <x:c r="P43" s="68" t="str">
        <x:v>M02五行生克与生源五行已确定</x:v>
      </x:c>
      <x:c r="Q43" s="68" t="str">
        <x:v>生源不只是名义出现，至少有根、透、得令或同党之一</x:v>
      </x:c>
      <x:c r="R43" s="68" t="str">
        <x:v>生源得令、多根、透干、路径短</x:v>
      </x:c>
      <x:c r="S43" s="68" t="str">
        <x:v>生源孤弱无根、失令或只藏余气</x:v>
      </x:c>
      <x:c r="T43" s="90" t="str">
        <x:v>不得只看生源数量而不评生源自身力量</x:v>
      </x:c>
      <x:c r="U43" s="68" t="str">
        <x:v>实际生路被合克阻断转M08</x:v>
      </x:c>
      <x:c r="V43" s="82" t="str">
        <x:v>否</x:v>
      </x:c>
      <x:c r="W43" s="84" t="str">
        <x:v>直接生源</x:v>
      </x:c>
      <x:c r="X43" s="84" t="str">
        <x:v>目标五行得到有力生源，原始力量获得支持；支持幅度取决于生源自身的令、根、透、党。</x:v>
      </x:c>
      <x:c r="Y43" s="82" t="str">
        <x:v>较高</x:v>
      </x:c>
      <x:c r="Z43" s="82" t="str">
        <x:v>现代综合</x:v>
      </x:c>
      <x:c r="AA43" s="68" t="str">
        <x:v>能生者先须有力，名义生源不等于有效供给。</x:v>
      </x:c>
      <x:c r="AB43" s="68" t="str">
        <x:v>水有根有透而生木，木获可靠生源。</x:v>
      </x:c>
      <x:c r="AC43" s="90" t="str">
        <x:v>一处辰中癸余气就视为足以生旺全局木。</x:v>
      </x:c>
      <x:c r="AD43" s="68" t="str">
        <x:v>https://zh.wikisource.org/zh-hans/淵海子平；https://zh.wikisource.org/zh-hans/滴天髓</x:v>
      </x:c>
      <x:c r="AE43" s="82" t="str">
        <x:v>采用</x:v>
      </x:c>
      <x:c r="AF43" s="82" t="str">
        <x:v>初审</x:v>
      </x:c>
      <x:c r="AG43" s="87" t="n">
        <x:v>46255</x:v>
      </x:c>
    </x:row>
    <x:row r="44">
      <x:c r="A44" s="72" t="str">
        <x:f>IF(OR(C44="",D44=""),"",B44&amp;"-"&amp;UPPER(C44)&amp;"-"&amp;TEXT(D44,"0000")&amp;"-"&amp;E44)</x:f>
        <x:v>M07-SOURCE-0038-V1.0</x:v>
      </x:c>
      <x:c r="B44" s="74" t="str">
        <x:v>M07</x:v>
      </x:c>
      <x:c r="C44" s="74" t="str">
        <x:v>SOURCE</x:v>
      </x:c>
      <x:c r="D44" s="79" t="n">
        <x:v>38</x:v>
      </x:c>
      <x:c r="E44" s="74" t="str">
        <x:v>V1.0</x:v>
      </x:c>
      <x:c r="F44" s="68" t="str">
        <x:v>生源得令时对目标的原始支持增强</x:v>
      </x:c>
      <x:c r="G44" s="82" t="str">
        <x:v>结构层</x:v>
      </x:c>
      <x:c r="H44" s="68" t="str">
        <x:v>生源/得令</x:v>
      </x:c>
      <x:c r="I44" s="82"/>
      <x:c r="J44" s="68" t="str">
        <x:v>生源五行处于旺或相令</x:v>
      </x:c>
      <x:c r="K44" s="68" t="str">
        <x:v>强季令生源</x:v>
      </x:c>
      <x:c r="L44" s="68" t="str">
        <x:v>提升生源支持等级</x:v>
      </x:c>
      <x:c r="M44" s="82" t="str">
        <x:v>增强</x:v>
      </x:c>
      <x:c r="N44" s="68" t="str">
        <x:v>高</x:v>
      </x:c>
      <x:c r="O44" s="82" t="str">
        <x:v>强</x:v>
      </x:c>
      <x:c r="P44" s="68" t="str">
        <x:v>生源季令状态已判定</x:v>
      </x:c>
      <x:c r="Q44" s="68" t="str">
        <x:v>生源确为目标之母且得旺相季令</x:v>
      </x:c>
      <x:c r="R44" s="68" t="str">
        <x:v>生源自身有根透、目标有承载根</x:v>
      </x:c>
      <x:c r="S44" s="68" t="str">
        <x:v>生源虽得令但目标完全无根无透</x:v>
      </x:c>
      <x:c r="T44" s="90" t="str">
        <x:v>不得把母旺直接等同子旺</x:v>
      </x:c>
      <x:c r="U44" s="68" t="str">
        <x:v>生源过旺造成壅塞属M12/M16问题</x:v>
      </x:c>
      <x:c r="V44" s="82" t="str">
        <x:v>否</x:v>
      </x:c>
      <x:c r="W44" s="84" t="str">
        <x:v>得令生源</x:v>
      </x:c>
      <x:c r="X44" s="84" t="str">
        <x:v>目标五行之生源得令，原始供给能力较强；目标能否承接仍须看自身根透。</x:v>
      </x:c>
      <x:c r="Y44" s="82" t="str">
        <x:v>较高</x:v>
      </x:c>
      <x:c r="Z44" s="82" t="str">
        <x:v>旺衰扶抑</x:v>
      </x:c>
      <x:c r="AA44" s="68" t="str">
        <x:v>母旺有利于子，但子是否得力取决于承接条件。</x:v>
      </x:c>
      <x:c r="AB44" s="68" t="str">
        <x:v>冬水旺生木，木有寅卯根时生扶明显。</x:v>
      </x:c>
      <x:c r="AC44" s="90" t="str">
        <x:v>冬水旺而木完全不现，也判木旺。</x:v>
      </x:c>
      <x:c r="AD44" s="68" t="str">
        <x:v>https://zh.wikisource.org/zh-hans/淵海子平；https://zh.wikisource.org/zh-hans/滴天髓</x:v>
      </x:c>
      <x:c r="AE44" s="82" t="str">
        <x:v>采用</x:v>
      </x:c>
      <x:c r="AF44" s="82" t="str">
        <x:v>初审</x:v>
      </x:c>
      <x:c r="AG44" s="87" t="n">
        <x:v>46255</x:v>
      </x:c>
    </x:row>
    <x:row r="45">
      <x:c r="A45" s="72" t="str">
        <x:f>IF(OR(C45="",D45=""),"",B45&amp;"-"&amp;UPPER(C45)&amp;"-"&amp;TEXT(D45,"0000")&amp;"-"&amp;E45)</x:f>
        <x:v>M07-SOURCE-0039-V1.0</x:v>
      </x:c>
      <x:c r="B45" s="74" t="str">
        <x:v>M07</x:v>
      </x:c>
      <x:c r="C45" s="74" t="str">
        <x:v>SOURCE</x:v>
      </x:c>
      <x:c r="D45" s="79" t="n">
        <x:v>39</x:v>
      </x:c>
      <x:c r="E45" s="74" t="str">
        <x:v>V1.0</x:v>
      </x:c>
      <x:c r="F45" s="68" t="str">
        <x:v>生源有根有透时供给稳定性提高</x:v>
      </x:c>
      <x:c r="G45" s="82" t="str">
        <x:v>结构层</x:v>
      </x:c>
      <x:c r="H45" s="68" t="str">
        <x:v>生源/根透</x:v>
      </x:c>
      <x:c r="I45" s="82"/>
      <x:c r="J45" s="68" t="str">
        <x:v>生源五行同时透干并有根</x:v>
      </x:c>
      <x:c r="K45" s="68" t="str">
        <x:v>根透生源</x:v>
      </x:c>
      <x:c r="L45" s="68" t="str">
        <x:v>给予中高等级持续生扶证据</x:v>
      </x:c>
      <x:c r="M45" s="82" t="str">
        <x:v>增强</x:v>
      </x:c>
      <x:c r="N45" s="68" t="str">
        <x:v>中高</x:v>
      </x:c>
      <x:c r="O45" s="82" t="str">
        <x:v>中</x:v>
      </x:c>
      <x:c r="P45" s="68" t="str">
        <x:v>生源自身M07证据已生成</x:v>
      </x:c>
      <x:c r="Q45" s="68" t="str">
        <x:v>生源透而有根</x:v>
      </x:c>
      <x:c r="R45" s="68" t="str">
        <x:v>生源得令、同党多、与目标相邻</x:v>
      </x:c>
      <x:c r="S45" s="68" t="str">
        <x:v>生源仅弱根或目标无承接</x:v>
      </x:c>
      <x:c r="T45" s="90" t="str">
        <x:v>不得重复把生源透根作为多次独立满额加权</x:v>
      </x:c>
      <x:c r="U45" s="68" t="str">
        <x:v>具体生克通道受关系影响转M08</x:v>
      </x:c>
      <x:c r="V45" s="82" t="str">
        <x:v>否</x:v>
      </x:c>
      <x:c r="W45" s="84" t="str">
        <x:v>稳定生源</x:v>
      </x:c>
      <x:c r="X45" s="84" t="str">
        <x:v>生源透而有根，具备较稳定的原始供给能力，可提高目标五行的生扶证据。</x:v>
      </x:c>
      <x:c r="Y45" s="82" t="str">
        <x:v>较高</x:v>
      </x:c>
      <x:c r="Z45" s="82" t="str">
        <x:v>现代综合</x:v>
      </x:c>
      <x:c r="AA45" s="68" t="str">
        <x:v>生源稳定性依赖自身承载。</x:v>
      </x:c>
      <x:c r="AB45" s="68" t="str">
        <x:v>壬水透干又有亥子根，可持续支持甲乙木。</x:v>
      </x:c>
      <x:c r="AC45" s="90" t="str">
        <x:v>无根壬水与亥子根透壬同等供给。</x:v>
      </x:c>
      <x:c r="AD45" s="68" t="str">
        <x:v>经典原则经结构化整理；参见：https://zh.wikisource.org/zh-hans/滴天髓</x:v>
      </x:c>
      <x:c r="AE45" s="82" t="str">
        <x:v>采用</x:v>
      </x:c>
      <x:c r="AF45" s="82" t="str">
        <x:v>初审</x:v>
      </x:c>
      <x:c r="AG45" s="87" t="n">
        <x:v>46255</x:v>
      </x:c>
    </x:row>
    <x:row r="46">
      <x:c r="A46" s="72" t="str">
        <x:f>IF(OR(C46="",D46=""),"",B46&amp;"-"&amp;UPPER(C46)&amp;"-"&amp;TEXT(D46,"0000")&amp;"-"&amp;E46)</x:f>
        <x:v>M07-SOURCE-0040-V1.0</x:v>
      </x:c>
      <x:c r="B46" s="74" t="str">
        <x:v>M07</x:v>
      </x:c>
      <x:c r="C46" s="74" t="str">
        <x:v>SOURCE</x:v>
      </x:c>
      <x:c r="D46" s="79" t="n">
        <x:v>40</x:v>
      </x:c>
      <x:c r="E46" s="74" t="str">
        <x:v>V1.0</x:v>
      </x:c>
      <x:c r="F46" s="68" t="str">
        <x:v>生源与目标相邻或路径短时支持更直接</x:v>
      </x:c>
      <x:c r="G46" s="82" t="str">
        <x:v>结构层</x:v>
      </x:c>
      <x:c r="H46" s="68" t="str">
        <x:v>生源/路径</x:v>
      </x:c>
      <x:c r="I46" s="82"/>
      <x:c r="J46" s="68" t="str">
        <x:v>生源与目标在相邻干位、同柱干支或连续支位形成短路径</x:v>
      </x:c>
      <x:c r="K46" s="68" t="str">
        <x:v>短程生扶</x:v>
      </x:c>
      <x:c r="L46" s="68" t="str">
        <x:v>提高生扶直接性，权重只作辅助修正</x:v>
      </x:c>
      <x:c r="M46" s="82" t="str">
        <x:v>增强</x:v>
      </x:c>
      <x:c r="N46" s="68" t="str">
        <x:v>低</x:v>
      </x:c>
      <x:c r="O46" s="82" t="str">
        <x:v>弱</x:v>
      </x:c>
      <x:c r="P46" s="68" t="str">
        <x:v>已定位生源与目标节点</x:v>
      </x:c>
      <x:c r="Q46" s="68" t="str">
        <x:v>存在明确短路径</x:v>
      </x:c>
      <x:c r="R46" s="68" t="str">
        <x:v>双方均有根、无明显中间阻隔</x:v>
      </x:c>
      <x:c r="S46" s="68" t="str">
        <x:v>双方一强一弱或仅藏气遥隔</x:v>
      </x:c>
      <x:c r="T46" s="90" t="str">
        <x:v>不得把位置相邻替代双方力量判断</x:v>
      </x:c>
      <x:c r="U46" s="68" t="str">
        <x:v>实际合克阻断由M06/M08处理</x:v>
      </x:c>
      <x:c r="V46" s="82" t="str">
        <x:v>否</x:v>
      </x:c>
      <x:c r="W46" s="84" t="str">
        <x:v>短程生源</x:v>
      </x:c>
      <x:c r="X46" s="84" t="str">
        <x:v>生源与目标路径较短，原始生扶较直接；但支持强度仍以双方自身力量为主。</x:v>
      </x:c>
      <x:c r="Y46" s="82" t="str">
        <x:v>中等</x:v>
      </x:c>
      <x:c r="Z46" s="82" t="str">
        <x:v>现代综合</x:v>
      </x:c>
      <x:c r="AA46" s="68" t="str">
        <x:v>位置影响传递效率，是次级而非硬权重。</x:v>
      </x:c>
      <x:c r="AB46" s="68" t="str">
        <x:v>月干壬生日干甲，壬有亥根、甲有寅根，生路较直接。</x:v>
      </x:c>
      <x:c r="AC46" s="90" t="str">
        <x:v>两个无根天干只因相邻就判强生。</x:v>
      </x:c>
      <x:c r="AD46" s="68" t="str">
        <x:v>经典原则经结构化整理；参见：https://zh.wikisource.org/zh-hans/滴天髓</x:v>
      </x:c>
      <x:c r="AE46" s="82" t="str">
        <x:v>待验证</x:v>
      </x:c>
      <x:c r="AF46" s="82" t="str">
        <x:v>初审</x:v>
      </x:c>
      <x:c r="AG46" s="87" t="n">
        <x:v>46255</x:v>
      </x:c>
    </x:row>
    <x:row r="47">
      <x:c r="A47" s="72" t="str">
        <x:f>IF(OR(C47="",D47=""),"",B47&amp;"-"&amp;UPPER(C47)&amp;"-"&amp;TEXT(D47,"0000")&amp;"-"&amp;E47)</x:f>
        <x:v>M07-SOURCE-0041-V1.0</x:v>
      </x:c>
      <x:c r="B47" s="74" t="str">
        <x:v>M07</x:v>
      </x:c>
      <x:c r="C47" s="74" t="str">
        <x:v>SOURCE</x:v>
      </x:c>
      <x:c r="D47" s="79" t="n">
        <x:v>41</x:v>
      </x:c>
      <x:c r="E47" s="74" t="str">
        <x:v>V1.0</x:v>
      </x:c>
      <x:c r="F47" s="68" t="str">
        <x:v>生源孤弱无根时只保留名义支持</x:v>
      </x:c>
      <x:c r="G47" s="82" t="str">
        <x:v>结构层</x:v>
      </x:c>
      <x:c r="H47" s="68" t="str">
        <x:v>生源/弱源</x:v>
      </x:c>
      <x:c r="I47" s="82"/>
      <x:c r="J47" s="68" t="str">
        <x:v>生源五行仅单点出现且无根失令</x:v>
      </x:c>
      <x:c r="K47" s="68" t="str">
        <x:v>弱生源</x:v>
      </x:c>
      <x:c r="L47" s="68" t="str">
        <x:v>仅给予低等级正证，不能承担主要生扶</x:v>
      </x:c>
      <x:c r="M47" s="82" t="str">
        <x:v>增强</x:v>
      </x:c>
      <x:c r="N47" s="68" t="str">
        <x:v>低</x:v>
      </x:c>
      <x:c r="O47" s="82" t="str">
        <x:v>弱</x:v>
      </x:c>
      <x:c r="P47" s="68" t="str">
        <x:v>生源原始旺衰已评估</x:v>
      </x:c>
      <x:c r="Q47" s="68" t="str">
        <x:v>生源无根、少量、季令不利</x:v>
      </x:c>
      <x:c r="R47" s="68" t="str">
        <x:v>生源虽无根但得令、多透或有上游强生</x:v>
      </x:c>
      <x:c r="S47" s="68" t="str">
        <x:v>生源又被大量泄耗克制的实际效应待M08</x:v>
      </x:c>
      <x:c r="T47" s="90" t="str">
        <x:v>不得把弱源与强源等权</x:v>
      </x:c>
      <x:c r="U47" s="68" t="str">
        <x:v>若特殊格局要求某一点引化，转M14/M15</x:v>
      </x:c>
      <x:c r="V47" s="82" t="str">
        <x:v>否</x:v>
      </x:c>
      <x:c r="W47" s="84" t="str">
        <x:v>名义生源</x:v>
      </x:c>
      <x:c r="X47" s="84" t="str">
        <x:v>生源虽出现，但自身孤弱无根，只能提供名义或低等级支持，不能据此显著上调目标。</x:v>
      </x:c>
      <x:c r="Y47" s="82" t="str">
        <x:v>较高</x:v>
      </x:c>
      <x:c r="Z47" s="82" t="str">
        <x:v>现代综合</x:v>
      </x:c>
      <x:c r="AA47" s="68" t="str">
        <x:v>供给能力受供给者自身强弱限制。</x:v>
      </x:c>
      <x:c r="AB47" s="68" t="str">
        <x:v>夏月一枚无根癸水生木，支持有限。</x:v>
      </x:c>
      <x:c r="AC47" s="90" t="str">
        <x:v>任何印星或母五行出现都按强生扶。</x:v>
      </x:c>
      <x:c r="AD47" s="68" t="str">
        <x:v>经典原则经结构化整理；参见：https://zh.wikisource.org/zh-hans/滴天髓</x:v>
      </x:c>
      <x:c r="AE47" s="82" t="str">
        <x:v>采用</x:v>
      </x:c>
      <x:c r="AF47" s="82" t="str">
        <x:v>初审</x:v>
      </x:c>
      <x:c r="AG47" s="87" t="n">
        <x:v>46255</x:v>
      </x:c>
    </x:row>
    <x:row r="48">
      <x:c r="A48" s="72" t="str">
        <x:f>IF(OR(C48="",D48=""),"",B48&amp;"-"&amp;UPPER(C48)&amp;"-"&amp;TEXT(D48,"0000")&amp;"-"&amp;E48)</x:f>
        <x:v>M07-SOURCE-0042-V1.0</x:v>
      </x:c>
      <x:c r="B48" s="74" t="str">
        <x:v>M07</x:v>
      </x:c>
      <x:c r="C48" s="74" t="str">
        <x:v>SOURCE</x:v>
      </x:c>
      <x:c r="D48" s="79" t="n">
        <x:v>42</x:v>
      </x:c>
      <x:c r="E48" s="74" t="str">
        <x:v>V1.0</x:v>
      </x:c>
      <x:c r="F48" s="68" t="str">
        <x:v>多个生源节点增强供给但共享同一根时需去重</x:v>
      </x:c>
      <x:c r="G48" s="82" t="str">
        <x:v>结构层</x:v>
      </x:c>
      <x:c r="H48" s="68" t="str">
        <x:v>生源/多源</x:v>
      </x:c>
      <x:c r="I48" s="82"/>
      <x:c r="J48" s="68" t="str">
        <x:v>目标五行有两个以上生源节点</x:v>
      </x:c>
      <x:c r="K48" s="68" t="str">
        <x:v>多生源</x:v>
      </x:c>
      <x:c r="L48" s="68" t="str">
        <x:v>增加供给证据，独立节点权重大于共源节点</x:v>
      </x:c>
      <x:c r="M48" s="82" t="str">
        <x:v>增强</x:v>
      </x:c>
      <x:c r="N48" s="68" t="str">
        <x:v>中</x:v>
      </x:c>
      <x:c r="O48" s="82" t="str">
        <x:v>中</x:v>
      </x:c>
      <x:c r="P48" s="68" t="str">
        <x:v>生源节点与根位已标注</x:v>
      </x:c>
      <x:c r="Q48" s="68" t="str">
        <x:v>至少两个生源表现</x:v>
      </x:c>
      <x:c r="R48" s="68" t="str">
        <x:v>生源分布独立、各有根或得令</x:v>
      </x:c>
      <x:c r="S48" s="68" t="str">
        <x:v>多干共用同一弱根或均无根</x:v>
      </x:c>
      <x:c r="T48" s="90" t="str">
        <x:v>禁止按生源个数线性倍增</x:v>
      </x:c>
      <x:c r="U48" s="68" t="str">
        <x:v>同一生源同时供给多个目标时采用共享容量规则</x:v>
      </x:c>
      <x:c r="V48" s="82" t="str">
        <x:v>否</x:v>
      </x:c>
      <x:c r="W48" s="84" t="str">
        <x:v>多源增强</x:v>
      </x:c>
      <x:c r="X48" s="84" t="str">
        <x:v>目标五行有多个生源，原始供给增强；若多个生源共用同一根或同一气源，应降低重复权重。</x:v>
      </x:c>
      <x:c r="Y48" s="82" t="str">
        <x:v>中等</x:v>
      </x:c>
      <x:c r="Z48" s="82" t="str">
        <x:v>现代综合</x:v>
      </x:c>
      <x:c r="AA48" s="68" t="str">
        <x:v>多源的独立性比表面数量更重要。</x:v>
      </x:c>
      <x:c r="AB48" s="68" t="str">
        <x:v>壬癸双透且分别有亥子根，木的生源明显强。</x:v>
      </x:c>
      <x:c r="AC48" s="90" t="str">
        <x:v>壬癸双透共用一处辰余气，也按两套强源计算。</x:v>
      </x:c>
      <x:c r="AD48" s="68" t="str">
        <x:v>经典原则经结构化整理；参见：https://zh.wikisource.org/zh-hans/滴天髓</x:v>
      </x:c>
      <x:c r="AE48" s="82" t="str">
        <x:v>采用</x:v>
      </x:c>
      <x:c r="AF48" s="82" t="str">
        <x:v>初审</x:v>
      </x:c>
      <x:c r="AG48" s="87" t="n">
        <x:v>46255</x:v>
      </x:c>
    </x:row>
    <x:row r="49">
      <x:c r="A49" s="72" t="str">
        <x:f>IF(OR(C49="",D49=""),"",B49&amp;"-"&amp;UPPER(C49)&amp;"-"&amp;TEXT(D49,"0000")&amp;"-"&amp;E49)</x:f>
        <x:v>M07-SOURCE-0043-V1.0</x:v>
      </x:c>
      <x:c r="B49" s="74" t="str">
        <x:v>M07</x:v>
      </x:c>
      <x:c r="C49" s="74" t="str">
        <x:v>SOURCE</x:v>
      </x:c>
      <x:c r="D49" s="79" t="n">
        <x:v>43</x:v>
      </x:c>
      <x:c r="E49" s="74" t="str">
        <x:v>V1.0</x:v>
      </x:c>
      <x:c r="F49" s="68" t="str">
        <x:v>上游生源之源形成两级连续支持</x:v>
      </x:c>
      <x:c r="G49" s="82" t="str">
        <x:v>结构层</x:v>
      </x:c>
      <x:c r="H49" s="68" t="str">
        <x:v>生源/两级链</x:v>
      </x:c>
      <x:c r="I49" s="82"/>
      <x:c r="J49" s="68" t="str">
        <x:v>存在上游五行生生源，再由生源生目标</x:v>
      </x:c>
      <x:c r="K49" s="68" t="str">
        <x:v>两级生扶链</x:v>
      </x:c>
      <x:c r="L49" s="68" t="str">
        <x:v>给予辅助正证，强度低于直接强生源</x:v>
      </x:c>
      <x:c r="M49" s="82" t="str">
        <x:v>增强</x:v>
      </x:c>
      <x:c r="N49" s="68" t="str">
        <x:v>中</x:v>
      </x:c>
      <x:c r="O49" s="82" t="str">
        <x:v>中</x:v>
      </x:c>
      <x:c r="P49" s="68" t="str">
        <x:v>五行生序与各节点已识别</x:v>
      </x:c>
      <x:c r="Q49" s="68" t="str">
        <x:v>中间生源存在且至少具基础承载</x:v>
      </x:c>
      <x:c r="R49" s="68" t="str">
        <x:v>上游、中间与目标均有根透，路径连续</x:v>
      </x:c>
      <x:c r="S49" s="68" t="str">
        <x:v>中间五行缺失、无根或仅余气</x:v>
      </x:c>
      <x:c r="T49" s="90" t="str">
        <x:v>不得把长链各段都按直接相生同权</x:v>
      </x:c>
      <x:c r="U49" s="68" t="str">
        <x:v>链路过长或卡点转M12</x:v>
      </x:c>
      <x:c r="V49" s="82" t="str">
        <x:v>否</x:v>
      </x:c>
      <x:c r="W49" s="84" t="str">
        <x:v>两级生扶</x:v>
      </x:c>
      <x:c r="X49" s="84" t="str">
        <x:v>目标五行得到上游—生源—目标的连续支持；链条完整可增强原始力量，但低于直接强源。</x:v>
      </x:c>
      <x:c r="Y49" s="82" t="str">
        <x:v>中等</x:v>
      </x:c>
      <x:c r="Z49" s="82" t="str">
        <x:v>现代综合</x:v>
      </x:c>
      <x:c r="AA49" s="68" t="str">
        <x:v>生化链可传递气势，但会随链长衰减。</x:v>
      </x:c>
      <x:c r="AB49" s="68" t="str">
        <x:v>金生水、水生木，金水均有根透，木获连续生扶。</x:v>
      </x:c>
      <x:c r="AC49" s="90" t="str">
        <x:v>只有金与木而缺水，也称金直接生木。</x:v>
      </x:c>
      <x:c r="AD49" s="68" t="str">
        <x:v>经典原则经结构化整理；参见：https://zh.wikisource.org/zh-hans/滴天髓</x:v>
      </x:c>
      <x:c r="AE49" s="82" t="str">
        <x:v>采用</x:v>
      </x:c>
      <x:c r="AF49" s="82" t="str">
        <x:v>初审</x:v>
      </x:c>
      <x:c r="AG49" s="87" t="n">
        <x:v>46255</x:v>
      </x:c>
    </x:row>
    <x:row r="50">
      <x:c r="A50" s="72" t="str">
        <x:f>IF(OR(C50="",D50=""),"",B50&amp;"-"&amp;UPPER(C50)&amp;"-"&amp;TEXT(D50,"0000")&amp;"-"&amp;E50)</x:f>
        <x:v>M07-SOURCE-0044-V1.0</x:v>
      </x:c>
      <x:c r="B50" s="74" t="str">
        <x:v>M07</x:v>
      </x:c>
      <x:c r="C50" s="74" t="str">
        <x:v>SOURCE</x:v>
      </x:c>
      <x:c r="D50" s="79" t="n">
        <x:v>44</x:v>
      </x:c>
      <x:c r="E50" s="74" t="str">
        <x:v>V1.0</x:v>
      </x:c>
      <x:c r="F50" s="68" t="str">
        <x:v>生源缺失不等于目标必弱</x:v>
      </x:c>
      <x:c r="G50" s="82" t="str">
        <x:v>结构层</x:v>
      </x:c>
      <x:c r="H50" s="68" t="str">
        <x:v>生源/缺源</x:v>
      </x:c>
      <x:c r="I50" s="82"/>
      <x:c r="J50" s="68" t="str">
        <x:v>原局不见目标五行的生源</x:v>
      </x:c>
      <x:c r="K50" s="68" t="str">
        <x:v>无直接生源</x:v>
      </x:c>
      <x:c r="L50" s="68" t="str">
        <x:v>记录生扶不足的负证据，但保留目标自身令根党</x:v>
      </x:c>
      <x:c r="M50" s="82" t="str">
        <x:v>减弱</x:v>
      </x:c>
      <x:c r="N50" s="68" t="str">
        <x:v>中</x:v>
      </x:c>
      <x:c r="O50" s="82" t="str">
        <x:v>中</x:v>
      </x:c>
      <x:c r="P50" s="68" t="str">
        <x:v>五行分布已核验</x:v>
      </x:c>
      <x:c r="Q50" s="68" t="str">
        <x:v>生源五行完全不现</x:v>
      </x:c>
      <x:c r="R50" s="68" t="str">
        <x:v>目标自身得令、多根、多透、同党成势</x:v>
      </x:c>
      <x:c r="S50" s="68" t="str">
        <x:v>目标又失令、无根、少量</x:v>
      </x:c>
      <x:c r="T50" s="90" t="str">
        <x:v>不得仅凭无生源判极弱</x:v>
      </x:c>
      <x:c r="U50" s="68" t="str">
        <x:v>专旺结构可能本就不依赖生源，转M14</x:v>
      </x:c>
      <x:c r="V50" s="82" t="str">
        <x:v>否</x:v>
      </x:c>
      <x:c r="W50" s="84" t="str">
        <x:v>无源证据</x:v>
      </x:c>
      <x:c r="X50" s="84" t="str">
        <x:v>目标五行无直接生源，原始生扶不足；若自身得令有根成党，仍可保持较强力量。</x:v>
      </x:c>
      <x:c r="Y50" s="82" t="str">
        <x:v>较高</x:v>
      </x:c>
      <x:c r="Z50" s="82" t="str">
        <x:v>现代综合</x:v>
      </x:c>
      <x:c r="AA50" s="68" t="str">
        <x:v>自身基础与外部供给需分开。</x:v>
      </x:c>
      <x:c r="AB50" s="68" t="str">
        <x:v>卯月木多根多透，即使无水，木原始仍可能旺。</x:v>
      </x:c>
      <x:c r="AC50" s="90" t="str">
        <x:v>无水便认定春木必弱。</x:v>
      </x:c>
      <x:c r="AD50" s="68" t="str">
        <x:v>https://zh.wikisource.org/zh-hans/淵海子平；https://zh.wikisource.org/zh-hans/滴天髓</x:v>
      </x:c>
      <x:c r="AE50" s="82" t="str">
        <x:v>采用</x:v>
      </x:c>
      <x:c r="AF50" s="82" t="str">
        <x:v>初审</x:v>
      </x:c>
      <x:c r="AG50" s="87" t="n">
        <x:v>46255</x:v>
      </x:c>
    </x:row>
    <x:row r="51">
      <x:c r="A51" s="72" t="str">
        <x:f>IF(OR(C51="",D51=""),"",B51&amp;"-"&amp;UPPER(C51)&amp;"-"&amp;TEXT(D51,"0000")&amp;"-"&amp;E51)</x:f>
        <x:v>M07-SOURCE-0045-V1.0</x:v>
      </x:c>
      <x:c r="B51" s="74" t="str">
        <x:v>M07</x:v>
      </x:c>
      <x:c r="C51" s="74" t="str">
        <x:v>SOURCE</x:v>
      </x:c>
      <x:c r="D51" s="79" t="n">
        <x:v>45</x:v>
      </x:c>
      <x:c r="E51" s="74" t="str">
        <x:v>V1.0</x:v>
      </x:c>
      <x:c r="F51" s="68" t="str">
        <x:v>目标极旺时生源只记录增势不在M07判断壅塞吉凶</x:v>
      </x:c>
      <x:c r="G51" s="82" t="str">
        <x:v>结构层</x:v>
      </x:c>
      <x:c r="H51" s="68" t="str">
        <x:v>生源/过度候选</x:v>
      </x:c>
      <x:c r="I51" s="82"/>
      <x:c r="J51" s="68" t="str">
        <x:v>目标已具强季令、多根、多透，又有强生源</x:v>
      </x:c>
      <x:c r="K51" s="68" t="str">
        <x:v>生扶继续累积</x:v>
      </x:c>
      <x:c r="L51" s="68" t="str">
        <x:v>原始力量继续增强，并标记过度累积候选</x:v>
      </x:c>
      <x:c r="M51" s="82" t="str">
        <x:v>增强</x:v>
      </x:c>
      <x:c r="N51" s="68" t="str">
        <x:v>中</x:v>
      </x:c>
      <x:c r="O51" s="82" t="str">
        <x:v>中</x:v>
      </x:c>
      <x:c r="P51" s="68" t="str">
        <x:v>目标旺势基础已形成</x:v>
      </x:c>
      <x:c r="Q51" s="68" t="str">
        <x:v>强生源确实存在</x:v>
      </x:c>
      <x:c r="R51" s="68" t="str">
        <x:v>同党继续集中、无泄出通道</x:v>
      </x:c>
      <x:c r="S51" s="68" t="str">
        <x:v>有明显异类制泄但效应未在M08处理</x:v>
      </x:c>
      <x:c r="T51" s="90" t="str">
        <x:v>不得在M07直接把强生源判为忌神或病</x:v>
      </x:c>
      <x:c r="U51" s="68" t="str">
        <x:v>壅塞、闭塞与喜忌转M12/M16/M17</x:v>
      </x:c>
      <x:c r="V51" s="82" t="str">
        <x:v>否</x:v>
      </x:c>
      <x:c r="W51" s="84" t="str">
        <x:v>生源增势</x:v>
      </x:c>
      <x:c r="X51" s="84" t="str">
        <x:v>目标已强又得生源，原始力量继续集中；是否构成壅塞或为忌不在M07裁定。</x:v>
      </x:c>
      <x:c r="Y51" s="82" t="str">
        <x:v>较高</x:v>
      </x:c>
      <x:c r="Z51" s="82" t="str">
        <x:v>现代综合</x:v>
      </x:c>
      <x:c r="AA51" s="68" t="str">
        <x:v>强弱事实与价值判断必须分离。</x:v>
      </x:c>
      <x:c r="AB51" s="68" t="str">
        <x:v>春木成势又见旺水，木的原始力量进一步增强。</x:v>
      </x:c>
      <x:c r="AC51" s="90" t="str">
        <x:v>因木已旺就直接在M07把水标成忌神。</x:v>
      </x:c>
      <x:c r="AD51" s="68" t="str">
        <x:v>经典原则经结构化整理；参见：https://zh.wikisource.org/zh-hans/滴天髓</x:v>
      </x:c>
      <x:c r="AE51" s="82" t="str">
        <x:v>采用</x:v>
      </x:c>
      <x:c r="AF51" s="82" t="str">
        <x:v>初审</x:v>
      </x:c>
      <x:c r="AG51" s="87" t="n">
        <x:v>46255</x:v>
      </x:c>
    </x:row>
    <x:row r="52">
      <x:c r="A52" s="72" t="str">
        <x:f>IF(OR(C52="",D52=""),"",B52&amp;"-"&amp;UPPER(C52)&amp;"-"&amp;TEXT(D52,"0000")&amp;"-"&amp;E52)</x:f>
        <x:v>M07-SOURCE-0046-V1.0</x:v>
      </x:c>
      <x:c r="B52" s="74" t="str">
        <x:v>M07</x:v>
      </x:c>
      <x:c r="C52" s="74" t="str">
        <x:v>SOURCE</x:v>
      </x:c>
      <x:c r="D52" s="79" t="n">
        <x:v>46</x:v>
      </x:c>
      <x:c r="E52" s="74" t="str">
        <x:v>V1.0</x:v>
      </x:c>
      <x:c r="F52" s="68" t="str">
        <x:v>生源支持必须以生源自身原始等级为上限</x:v>
      </x:c>
      <x:c r="G52" s="82" t="str">
        <x:v>结构层</x:v>
      </x:c>
      <x:c r="H52" s="68" t="str">
        <x:v>生源/上限</x:v>
      </x:c>
      <x:c r="I52" s="82"/>
      <x:c r="J52" s="68" t="str">
        <x:v>需要给目标分配生源权重</x:v>
      </x:c>
      <x:c r="K52" s="68" t="str">
        <x:v>供给上限</x:v>
      </x:c>
      <x:c r="L52" s="68" t="str">
        <x:v>目标获得的生源支持不得高于生源自身可提供的等级</x:v>
      </x:c>
      <x:c r="M52" s="82" t="str">
        <x:v>条件性</x:v>
      </x:c>
      <x:c r="N52" s="68" t="str">
        <x:v>高</x:v>
      </x:c>
      <x:c r="O52" s="82" t="str">
        <x:v>强</x:v>
      </x:c>
      <x:c r="P52" s="68" t="str">
        <x:v>生源自身M07等级已生成</x:v>
      </x:c>
      <x:c r="Q52" s="68" t="str">
        <x:v>生源权重可追溯</x:v>
      </x:c>
      <x:c r="R52" s="68" t="str">
        <x:v>生源得令根透且供给对象单一</x:v>
      </x:c>
      <x:c r="S52" s="68" t="str">
        <x:v>生源弱、共享多目标或链路长</x:v>
      </x:c>
      <x:c r="T52" s="90" t="str">
        <x:v>禁止弱生源产生决定性强生扶结论</x:v>
      </x:c>
      <x:c r="U52" s="68" t="str">
        <x:v>有效生克修正后可在M08进一步下调</x:v>
      </x:c>
      <x:c r="V52" s="82" t="str">
        <x:v>否</x:v>
      </x:c>
      <x:c r="W52" s="84" t="str">
        <x:v>生源容量约束</x:v>
      </x:c>
      <x:c r="X52" s="84" t="str">
        <x:v>生源对目标的支持以上游自身原始力量为上限；弱源不能产生强供给。</x:v>
      </x:c>
      <x:c r="Y52" s="82" t="str">
        <x:v>较高</x:v>
      </x:c>
      <x:c r="Z52" s="82" t="str">
        <x:v>现代综合</x:v>
      </x:c>
      <x:c r="AA52" s="68" t="str">
        <x:v>容量约束可避免仅按五行相生关系夸大支持。</x:v>
      </x:c>
      <x:c r="AB52" s="68" t="str">
        <x:v>弱水只能给木低等级生源证据，不能把木直接推至旺。</x:v>
      </x:c>
      <x:c r="AC52" s="90" t="str">
        <x:v>一滴无根水也按完整印源生旺全局木。</x:v>
      </x:c>
      <x:c r="AD52" s="68" t="str">
        <x:v>经典原则经结构化整理；参见：https://zh.wikisource.org/zh-hans/滴天髓</x:v>
      </x:c>
      <x:c r="AE52" s="82" t="str">
        <x:v>采用</x:v>
      </x:c>
      <x:c r="AF52" s="82" t="str">
        <x:v>初审</x:v>
      </x:c>
      <x:c r="AG52" s="87" t="n">
        <x:v>46255</x:v>
      </x:c>
    </x:row>
    <x:row r="53">
      <x:c r="A53" s="72" t="str">
        <x:f>IF(OR(C53="",D53=""),"",B53&amp;"-"&amp;UPPER(C53)&amp;"-"&amp;TEXT(D53,"0000")&amp;"-"&amp;E53)</x:f>
        <x:v>M07-ALLY-0047-V1.0</x:v>
      </x:c>
      <x:c r="B53" s="74" t="str">
        <x:v>M07</x:v>
      </x:c>
      <x:c r="C53" s="74" t="str">
        <x:v>ALLY</x:v>
      </x:c>
      <x:c r="D53" s="79" t="n">
        <x:v>47</x:v>
      </x:c>
      <x:c r="E53" s="74" t="str">
        <x:v>V1.0</x:v>
      </x:c>
      <x:c r="F53" s="68" t="str">
        <x:v>同五行天干构成明同党</x:v>
      </x:c>
      <x:c r="G53" s="82" t="str">
        <x:v>结构层</x:v>
      </x:c>
      <x:c r="H53" s="68" t="str">
        <x:v>同党/天干</x:v>
      </x:c>
      <x:c r="I53" s="82"/>
      <x:c r="J53" s="68" t="str">
        <x:v>两个或以上天干同属目标五行</x:v>
      </x:c>
      <x:c r="K53" s="68" t="str">
        <x:v>明同党</x:v>
      </x:c>
      <x:c r="L53" s="68" t="str">
        <x:v>增强同类支持与显露度</x:v>
      </x:c>
      <x:c r="M53" s="82" t="str">
        <x:v>增强</x:v>
      </x:c>
      <x:c r="N53" s="68" t="str">
        <x:v>中</x:v>
      </x:c>
      <x:c r="O53" s="82" t="str">
        <x:v>中</x:v>
      </x:c>
      <x:c r="P53" s="68" t="str">
        <x:v>天干五行映射完成</x:v>
      </x:c>
      <x:c r="Q53" s="68" t="str">
        <x:v>至少两个同五行天干</x:v>
      </x:c>
      <x:c r="R53" s="68" t="str">
        <x:v>各自有根、得令或有生源</x:v>
      </x:c>
      <x:c r="S53" s="68" t="str">
        <x:v>均无根失令、同受单一弱源</x:v>
      </x:c>
      <x:c r="T53" s="90" t="str">
        <x:v>不得只按数量判旺</x:v>
      </x:c>
      <x:c r="U53" s="68" t="str">
        <x:v>天干合克效应转M06/M08</x:v>
      </x:c>
      <x:c r="V53" s="82" t="str">
        <x:v>否</x:v>
      </x:c>
      <x:c r="W53" s="84" t="str">
        <x:v>明同党</x:v>
      </x:c>
      <x:c r="X53" s="84" t="str">
        <x:v>目标五行在天干有同党，原始力量与显露度增强；同党是否有力仍须看根令源。</x:v>
      </x:c>
      <x:c r="Y53" s="82" t="str">
        <x:v>较高</x:v>
      </x:c>
      <x:c r="Z53" s="82" t="str">
        <x:v>现代综合</x:v>
      </x:c>
      <x:c r="AA53" s="68" t="str">
        <x:v>同类数量提供帮扶与党势证据。</x:v>
      </x:c>
      <x:c r="AB53" s="68" t="str">
        <x:v>甲乙并透且地支寅卯有根，木同党明显。</x:v>
      </x:c>
      <x:c r="AC53" s="90" t="str">
        <x:v>甲乙双透无根便直接判木旺。</x:v>
      </x:c>
      <x:c r="AD53" s="68" t="str">
        <x:v>https://zh.wikisource.org/zh-hans/淵海子平；https://zh.wikisource.org/zh-hans/滴天髓</x:v>
      </x:c>
      <x:c r="AE53" s="82" t="str">
        <x:v>采用</x:v>
      </x:c>
      <x:c r="AF53" s="82" t="str">
        <x:v>初审</x:v>
      </x:c>
      <x:c r="AG53" s="87" t="n">
        <x:v>46255</x:v>
      </x:c>
    </x:row>
    <x:row r="54">
      <x:c r="A54" s="72" t="str">
        <x:f>IF(OR(C54="",D54=""),"",B54&amp;"-"&amp;UPPER(C54)&amp;"-"&amp;TEXT(D54,"0000")&amp;"-"&amp;E54)</x:f>
        <x:v>M07-ALLY-0048-V1.0</x:v>
      </x:c>
      <x:c r="B54" s="74" t="str">
        <x:v>M07</x:v>
      </x:c>
      <x:c r="C54" s="74" t="str">
        <x:v>ALLY</x:v>
      </x:c>
      <x:c r="D54" s="79" t="n">
        <x:v>48</x:v>
      </x:c>
      <x:c r="E54" s="74" t="str">
        <x:v>V1.0</x:v>
      </x:c>
      <x:c r="F54" s="68" t="str">
        <x:v>地支本气同五行构成强同党</x:v>
      </x:c>
      <x:c r="G54" s="82" t="str">
        <x:v>结构层</x:v>
      </x:c>
      <x:c r="H54" s="68" t="str">
        <x:v>同党/地支本气</x:v>
      </x:c>
      <x:c r="I54" s="82"/>
      <x:c r="J54" s="68" t="str">
        <x:v>两个或以上地支本气同属目标五行</x:v>
      </x:c>
      <x:c r="K54" s="68" t="str">
        <x:v>本气同党</x:v>
      </x:c>
      <x:c r="L54" s="68" t="str">
        <x:v>增强根气数量与同类聚集</x:v>
      </x:c>
      <x:c r="M54" s="82" t="str">
        <x:v>增强</x:v>
      </x:c>
      <x:c r="N54" s="68" t="str">
        <x:v>高</x:v>
      </x:c>
      <x:c r="O54" s="82" t="str">
        <x:v>强</x:v>
      </x:c>
      <x:c r="P54" s="68" t="str">
        <x:v>地支本气五行已识别</x:v>
      </x:c>
      <x:c r="Q54" s="68" t="str">
        <x:v>至少两个支本气同五行</x:v>
      </x:c>
      <x:c r="R54" s="68" t="str">
        <x:v>月令支持、同气透干或生源强</x:v>
      </x:c>
      <x:c r="S54" s="68" t="str">
        <x:v>地支虽同类但均处衰令且无透</x:v>
      </x:c>
      <x:c r="T54" s="90" t="str">
        <x:v>不得把同党与每支根气重复满额累加</x:v>
      </x:c>
      <x:c r="U54" s="68" t="str">
        <x:v>三合三会改性须M06确认</x:v>
      </x:c>
      <x:c r="V54" s="82" t="str">
        <x:v>否</x:v>
      </x:c>
      <x:c r="W54" s="84" t="str">
        <x:v>本气同党</x:v>
      </x:c>
      <x:c r="X54" s="84" t="str">
        <x:v>目标五行在多个地支本气成同党，原始根气与聚集度显著增强。</x:v>
      </x:c>
      <x:c r="Y54" s="82" t="str">
        <x:v>较高</x:v>
      </x:c>
      <x:c r="Z54" s="82" t="str">
        <x:v>旺衰扶抑</x:v>
      </x:c>
      <x:c r="AA54" s="68" t="str">
        <x:v>本气同类比中余气同类更能形成党势。</x:v>
      </x:c>
      <x:c r="AB54" s="68" t="str">
        <x:v>寅卯同见，木有两处本气同党。</x:v>
      </x:c>
      <x:c r="AC54" s="90" t="str">
        <x:v>申辰两支因可能拱水便在M07直接当水本气同党。</x:v>
      </x:c>
      <x:c r="AD54" s="68" t="str">
        <x:v>https://zh.wikisource.org/zh-hans/淵海子平；https://zh.wikisource.org/zh-hans/滴天髓</x:v>
      </x:c>
      <x:c r="AE54" s="82" t="str">
        <x:v>采用</x:v>
      </x:c>
      <x:c r="AF54" s="82" t="str">
        <x:v>初审</x:v>
      </x:c>
      <x:c r="AG54" s="87" t="n">
        <x:v>46255</x:v>
      </x:c>
    </x:row>
    <x:row r="55">
      <x:c r="A55" s="72" t="str">
        <x:f>IF(OR(C55="",D55=""),"",B55&amp;"-"&amp;UPPER(C55)&amp;"-"&amp;TEXT(D55,"0000")&amp;"-"&amp;E55)</x:f>
        <x:v>M07-ALLY-0049-V1.0</x:v>
      </x:c>
      <x:c r="B55" s="74" t="str">
        <x:v>M07</x:v>
      </x:c>
      <x:c r="C55" s="74" t="str">
        <x:v>ALLY</x:v>
      </x:c>
      <x:c r="D55" s="79" t="n">
        <x:v>49</x:v>
      </x:c>
      <x:c r="E55" s="74" t="str">
        <x:v>V1.0</x:v>
      </x:c>
      <x:c r="F55" s="68" t="str">
        <x:v>中余气同类只形成弱至中等同党证据</x:v>
      </x:c>
      <x:c r="G55" s="82" t="str">
        <x:v>结构层</x:v>
      </x:c>
      <x:c r="H55" s="68" t="str">
        <x:v>同党/藏气</x:v>
      </x:c>
      <x:c r="I55" s="82"/>
      <x:c r="J55" s="68" t="str">
        <x:v>多个地支中气或余气含目标五行</x:v>
      </x:c>
      <x:c r="K55" s="68" t="str">
        <x:v>隐同党</x:v>
      </x:c>
      <x:c r="L55" s="68" t="str">
        <x:v>增加存在与潜在同类，但低于本气同党</x:v>
      </x:c>
      <x:c r="M55" s="82" t="str">
        <x:v>增强</x:v>
      </x:c>
      <x:c r="N55" s="68" t="str">
        <x:v>低</x:v>
      </x:c>
      <x:c r="O55" s="82" t="str">
        <x:v>弱</x:v>
      </x:c>
      <x:c r="P55" s="68" t="str">
        <x:v>藏干层级已识别</x:v>
      </x:c>
      <x:c r="Q55" s="68" t="str">
        <x:v>至少两处中余气同五行</x:v>
      </x:c>
      <x:c r="R55" s="68" t="str">
        <x:v>有一处透出或另有本气根</x:v>
      </x:c>
      <x:c r="S55" s="68" t="str">
        <x:v>全部为余气、季令不利、无透</x:v>
      </x:c>
      <x:c r="T55" s="90" t="str">
        <x:v>不得把多处余气等同多处本气根</x:v>
      </x:c>
      <x:c r="U55" s="68" t="str">
        <x:v>若中余气因成局改性转M08</x:v>
      </x:c>
      <x:c r="V55" s="82" t="str">
        <x:v>否</x:v>
      </x:c>
      <x:c r="W55" s="84" t="str">
        <x:v>隐同党</x:v>
      </x:c>
      <x:c r="X55" s="84" t="str">
        <x:v>目标五行在多个支的中余气中有同类，形成弱至中等隐性同党，不能与本气同党等权。</x:v>
      </x:c>
      <x:c r="Y55" s="82" t="str">
        <x:v>较高</x:v>
      </x:c>
      <x:c r="Z55" s="82" t="str">
        <x:v>现代综合</x:v>
      </x:c>
      <x:c r="AA55" s="68" t="str">
        <x:v>藏气层级决定同党证据强度。</x:v>
      </x:c>
      <x:c r="AB55" s="68" t="str">
        <x:v>辰未均藏乙，木有隐性同党，但弱于寅卯。</x:v>
      </x:c>
      <x:c r="AC55" s="90" t="str">
        <x:v>三处余气木按三处卯木本气计算。</x:v>
      </x:c>
      <x:c r="AD55" s="68" t="str">
        <x:v>经典原则经结构化整理；参见：https://zh.wikisource.org/zh-hans/滴天髓</x:v>
      </x:c>
      <x:c r="AE55" s="82" t="str">
        <x:v>采用</x:v>
      </x:c>
      <x:c r="AF55" s="82" t="str">
        <x:v>初审</x:v>
      </x:c>
      <x:c r="AG55" s="87" t="n">
        <x:v>46255</x:v>
      </x:c>
    </x:row>
    <x:row r="56">
      <x:c r="A56" s="72" t="str">
        <x:f>IF(OR(C56="",D56=""),"",B56&amp;"-"&amp;UPPER(C56)&amp;"-"&amp;TEXT(D56,"0000")&amp;"-"&amp;E56)</x:f>
        <x:v>M07-ALLY-0050-V1.0</x:v>
      </x:c>
      <x:c r="B56" s="74" t="str">
        <x:v>M07</x:v>
      </x:c>
      <x:c r="C56" s="74" t="str">
        <x:v>ALLY</x:v>
      </x:c>
      <x:c r="D56" s="79" t="n">
        <x:v>50</x:v>
      </x:c>
      <x:c r="E56" s="74" t="str">
        <x:v>V1.0</x:v>
      </x:c>
      <x:c r="F56" s="68" t="str">
        <x:v>干支同类同时出现形成上下呼应</x:v>
      </x:c>
      <x:c r="G56" s="82" t="str">
        <x:v>结构层</x:v>
      </x:c>
      <x:c r="H56" s="68" t="str">
        <x:v>同党/干支呼应</x:v>
      </x:c>
      <x:c r="I56" s="82"/>
      <x:c r="J56" s="68" t="str">
        <x:v>目标五行既在天干有同党又在地支有同类本气或根</x:v>
      </x:c>
      <x:c r="K56" s="68" t="str">
        <x:v>干支呼应</x:v>
      </x:c>
      <x:c r="L56" s="68" t="str">
        <x:v>提高同党有效性与结构完整度</x:v>
      </x:c>
      <x:c r="M56" s="82" t="str">
        <x:v>增强</x:v>
      </x:c>
      <x:c r="N56" s="68" t="str">
        <x:v>高</x:v>
      </x:c>
      <x:c r="O56" s="82" t="str">
        <x:v>强</x:v>
      </x:c>
      <x:c r="P56" s="68" t="str">
        <x:v>透干与根气证据已生成</x:v>
      </x:c>
      <x:c r="Q56" s="68" t="str">
        <x:v>至少一干一支同属目标五行</x:v>
      </x:c>
      <x:c r="R56" s="68" t="str">
        <x:v>多干多根、得令或有强生源</x:v>
      </x:c>
      <x:c r="S56" s="68" t="str">
        <x:v>仅一弱干对应一余气根</x:v>
      </x:c>
      <x:c r="T56" s="90" t="str">
        <x:v>不得忽略证据共源与边际递减</x:v>
      </x:c>
      <x:c r="U56" s="68" t="str">
        <x:v>具体十神同异转M10</x:v>
      </x:c>
      <x:c r="V56" s="82" t="str">
        <x:v>否</x:v>
      </x:c>
      <x:c r="W56" s="84" t="str">
        <x:v>干支呼应</x:v>
      </x:c>
      <x:c r="X56" s="84" t="str">
        <x:v>目标五行干支均有同类，形成显露与承载的上下呼应，原始力量明显增强。</x:v>
      </x:c>
      <x:c r="Y56" s="82" t="str">
        <x:v>较高</x:v>
      </x:c>
      <x:c r="Z56" s="82" t="str">
        <x:v>现代综合</x:v>
      </x:c>
      <x:c r="AA56" s="68" t="str">
        <x:v>干支两层同时出现比单层堆积更完整。</x:v>
      </x:c>
      <x:c r="AB56" s="68" t="str">
        <x:v>甲乙透、寅卯见，木有明显上下同党。</x:v>
      </x:c>
      <x:c r="AC56" s="90" t="str">
        <x:v>一枚无根甲与辰中乙余气也一概称成党。</x:v>
      </x:c>
      <x:c r="AD56" s="68" t="str">
        <x:v>https://zh.wikisource.org/zh-hans/淵海子平；https://zh.wikisource.org/zh-hans/滴天髓</x:v>
      </x:c>
      <x:c r="AE56" s="82" t="str">
        <x:v>采用</x:v>
      </x:c>
      <x:c r="AF56" s="82" t="str">
        <x:v>初审</x:v>
      </x:c>
      <x:c r="AG56" s="87" t="n">
        <x:v>46255</x:v>
      </x:c>
    </x:row>
    <x:row r="57">
      <x:c r="A57" s="72" t="str">
        <x:f>IF(OR(C57="",D57=""),"",B57&amp;"-"&amp;UPPER(C57)&amp;"-"&amp;TEXT(D57,"0000")&amp;"-"&amp;E57)</x:f>
        <x:v>M07-ALLY-0051-V1.0</x:v>
      </x:c>
      <x:c r="B57" s="74" t="str">
        <x:v>M07</x:v>
      </x:c>
      <x:c r="C57" s="74" t="str">
        <x:v>ALLY</x:v>
      </x:c>
      <x:c r="D57" s="79" t="n">
        <x:v>51</x:v>
      </x:c>
      <x:c r="E57" s="74" t="str">
        <x:v>V1.0</x:v>
      </x:c>
      <x:c r="F57" s="68" t="str">
        <x:v>同党数量增加采用边际递减</x:v>
      </x:c>
      <x:c r="G57" s="82" t="str">
        <x:v>结构层</x:v>
      </x:c>
      <x:c r="H57" s="68" t="str">
        <x:v>同党/数量</x:v>
      </x:c>
      <x:c r="I57" s="82"/>
      <x:c r="J57" s="68" t="str">
        <x:v>目标五行已具同党，又新增同类节点</x:v>
      </x:c>
      <x:c r="K57" s="68" t="str">
        <x:v>多同党</x:v>
      </x:c>
      <x:c r="L57" s="68" t="str">
        <x:v>继续增强但后续节点权重递减</x:v>
      </x:c>
      <x:c r="M57" s="82" t="str">
        <x:v>增强</x:v>
      </x:c>
      <x:c r="N57" s="68" t="str">
        <x:v>中</x:v>
      </x:c>
      <x:c r="O57" s="82" t="str">
        <x:v>中</x:v>
      </x:c>
      <x:c r="P57" s="68" t="str">
        <x:v>同党节点已去重</x:v>
      </x:c>
      <x:c r="Q57" s="68" t="str">
        <x:v>新增节点确属独立干支位置</x:v>
      </x:c>
      <x:c r="R57" s="68" t="str">
        <x:v>新增节点有根、得令或为本气</x:v>
      </x:c>
      <x:c r="S57" s="68" t="str">
        <x:v>新增节点无根或仅余气</x:v>
      </x:c>
      <x:c r="T57" s="90" t="str">
        <x:v>禁止按同党个数线性累加到极旺</x:v>
      </x:c>
      <x:c r="U57" s="68" t="str">
        <x:v>达到聚势门槛转MOMENT综合</x:v>
      </x:c>
      <x:c r="V57" s="82" t="str">
        <x:v>否</x:v>
      </x:c>
      <x:c r="W57" s="84" t="str">
        <x:v>同党递减</x:v>
      </x:c>
      <x:c r="X57" s="84" t="str">
        <x:v>新增同党继续增强目标五行，但采用边际递减；是否成势由季令、根透与集中度共同决定。</x:v>
      </x:c>
      <x:c r="Y57" s="82" t="str">
        <x:v>中等</x:v>
      </x:c>
      <x:c r="Z57" s="82" t="str">
        <x:v>现代综合</x:v>
      </x:c>
      <x:c r="AA57" s="68" t="str">
        <x:v>数量效应非线性。</x:v>
      </x:c>
      <x:c r="AB57" s="68" t="str">
        <x:v>第二处本气同党显著增强，第四处弱藏气只作补充。</x:v>
      </x:c>
      <x:c r="AC57" s="90" t="str">
        <x:v>四个同党直接等于四倍力量。</x:v>
      </x:c>
      <x:c r="AD57" s="68" t="str">
        <x:v>经典原则经结构化整理；参见：https://zh.wikisource.org/zh-hans/滴天髓</x:v>
      </x:c>
      <x:c r="AE57" s="82" t="str">
        <x:v>采用</x:v>
      </x:c>
      <x:c r="AF57" s="82" t="str">
        <x:v>初审</x:v>
      </x:c>
      <x:c r="AG57" s="87" t="n">
        <x:v>46255</x:v>
      </x:c>
    </x:row>
    <x:row r="58">
      <x:c r="A58" s="72" t="str">
        <x:f>IF(OR(C58="",D58=""),"",B58&amp;"-"&amp;UPPER(C58)&amp;"-"&amp;TEXT(D58,"0000")&amp;"-"&amp;E58)</x:f>
        <x:v>M07-ALLY-0052-V1.0</x:v>
      </x:c>
      <x:c r="B58" s="74" t="str">
        <x:v>M07</x:v>
      </x:c>
      <x:c r="C58" s="74" t="str">
        <x:v>ALLY</x:v>
      </x:c>
      <x:c r="D58" s="79" t="n">
        <x:v>52</x:v>
      </x:c>
      <x:c r="E58" s="74" t="str">
        <x:v>V1.0</x:v>
      </x:c>
      <x:c r="F58" s="68" t="str">
        <x:v>同党得令时支持效应放大</x:v>
      </x:c>
      <x:c r="G58" s="82" t="str">
        <x:v>结构层</x:v>
      </x:c>
      <x:c r="H58" s="68" t="str">
        <x:v>同党/得令</x:v>
      </x:c>
      <x:c r="I58" s="82"/>
      <x:c r="J58" s="68" t="str">
        <x:v>同党五行与月令同类或处旺相</x:v>
      </x:c>
      <x:c r="K58" s="68" t="str">
        <x:v>得令同党</x:v>
      </x:c>
      <x:c r="L58" s="68" t="str">
        <x:v>提高同党权重与聚势候选</x:v>
      </x:c>
      <x:c r="M58" s="82" t="str">
        <x:v>增强</x:v>
      </x:c>
      <x:c r="N58" s="68" t="str">
        <x:v>高</x:v>
      </x:c>
      <x:c r="O58" s="82" t="str">
        <x:v>强</x:v>
      </x:c>
      <x:c r="P58" s="68" t="str">
        <x:v>季令与同党证据已生成</x:v>
      </x:c>
      <x:c r="Q58" s="68" t="str">
        <x:v>同党确受季节支持</x:v>
      </x:c>
      <x:c r="R58" s="68" t="str">
        <x:v>同党多根、多透、分布集中</x:v>
      </x:c>
      <x:c r="S58" s="68" t="str">
        <x:v>同党虽多但均弱藏气</x:v>
      </x:c>
      <x:c r="T58" s="90" t="str">
        <x:v>不得与季令事实重复满额加权</x:v>
      </x:c>
      <x:c r="U58" s="68" t="str">
        <x:v>月令共源节点需标记</x:v>
      </x:c>
      <x:c r="V58" s="82" t="str">
        <x:v>否</x:v>
      </x:c>
      <x:c r="W58" s="84" t="str">
        <x:v>得令同党</x:v>
      </x:c>
      <x:c r="X58" s="84" t="str">
        <x:v>目标五行同党又得季令支持，原始聚势明显；汇总时需处理与月令的共源关系。</x:v>
      </x:c>
      <x:c r="Y58" s="82" t="str">
        <x:v>较高</x:v>
      </x:c>
      <x:c r="Z58" s="82" t="str">
        <x:v>旺衰扶抑</x:v>
      </x:c>
      <x:c r="AA58" s="68" t="str">
        <x:v>季节可放大同类群体。</x:v>
      </x:c>
      <x:c r="AB58" s="68" t="str">
        <x:v>春木甲乙多透、寅卯同见，木党势强。</x:v>
      </x:c>
      <x:c r="AC58" s="90" t="str">
        <x:v>春月只有辰未余气木也按强党势。</x:v>
      </x:c>
      <x:c r="AD58" s="68" t="str">
        <x:v>https://zh.wikisource.org/zh-hans/淵海子平；https://zh.wikisource.org/zh-hans/滴天髓</x:v>
      </x:c>
      <x:c r="AE58" s="82" t="str">
        <x:v>采用</x:v>
      </x:c>
      <x:c r="AF58" s="82" t="str">
        <x:v>初审</x:v>
      </x:c>
      <x:c r="AG58" s="87" t="n">
        <x:v>46255</x:v>
      </x:c>
    </x:row>
    <x:row r="59">
      <x:c r="A59" s="72" t="str">
        <x:f>IF(OR(C59="",D59=""),"",B59&amp;"-"&amp;UPPER(C59)&amp;"-"&amp;TEXT(D59,"0000")&amp;"-"&amp;E59)</x:f>
        <x:v>M07-ALLY-0053-V1.0</x:v>
      </x:c>
      <x:c r="B59" s="74" t="str">
        <x:v>M07</x:v>
      </x:c>
      <x:c r="C59" s="74" t="str">
        <x:v>ALLY</x:v>
      </x:c>
      <x:c r="D59" s="79" t="n">
        <x:v>53</x:v>
      </x:c>
      <x:c r="E59" s="74" t="str">
        <x:v>V1.0</x:v>
      </x:c>
      <x:c r="F59" s="68" t="str">
        <x:v>同党集中在相邻或中心位置时凝聚度较高</x:v>
      </x:c>
      <x:c r="G59" s="82" t="str">
        <x:v>结构层</x:v>
      </x:c>
      <x:c r="H59" s="68" t="str">
        <x:v>同党/集中度</x:v>
      </x:c>
      <x:c r="I59" s="82"/>
      <x:c r="J59" s="68" t="str">
        <x:v>多个同类节点集中在月日或相邻柱位</x:v>
      </x:c>
      <x:c r="K59" s="68" t="str">
        <x:v>集中同党</x:v>
      </x:c>
      <x:c r="L59" s="68" t="str">
        <x:v>提高凝聚度，作为次级成势证据</x:v>
      </x:c>
      <x:c r="M59" s="82" t="str">
        <x:v>增强</x:v>
      </x:c>
      <x:c r="N59" s="68" t="str">
        <x:v>低</x:v>
      </x:c>
      <x:c r="O59" s="82" t="str">
        <x:v>弱</x:v>
      </x:c>
      <x:c r="P59" s="68" t="str">
        <x:v>同党节点与位置已标注</x:v>
      </x:c>
      <x:c r="Q59" s="68" t="str">
        <x:v>至少两个同类节点相邻或中心聚集</x:v>
      </x:c>
      <x:c r="R59" s="68" t="str">
        <x:v>各节点有根有源、季令支持</x:v>
      </x:c>
      <x:c r="S59" s="68" t="str">
        <x:v>节点均弱或仅表面相邻</x:v>
      </x:c>
      <x:c r="T59" s="90" t="str">
        <x:v>不得用位置集中替代力量来源</x:v>
      </x:c>
      <x:c r="U59" s="68" t="str">
        <x:v>宫位象义不属于M07</x:v>
      </x:c>
      <x:c r="V59" s="82" t="str">
        <x:v>否</x:v>
      </x:c>
      <x:c r="W59" s="84" t="str">
        <x:v>同党凝聚</x:v>
      </x:c>
      <x:c r="X59" s="84" t="str">
        <x:v>同党在结构中较集中，凝聚度较高；该项只作辅助，不能单独确定旺衰。</x:v>
      </x:c>
      <x:c r="Y59" s="82" t="str">
        <x:v>中等</x:v>
      </x:c>
      <x:c r="Z59" s="82" t="str">
        <x:v>现代综合</x:v>
      </x:c>
      <x:c r="AA59" s="68" t="str">
        <x:v>空间集中可能提高协同，但属于低阶证据。</x:v>
      </x:c>
      <x:c r="AB59" s="68" t="str">
        <x:v>月日两柱木干支连续出现且有根，木的党势更清楚。</x:v>
      </x:c>
      <x:c r="AC59" s="90" t="str">
        <x:v>两个无根同类相邻即判成势。</x:v>
      </x:c>
      <x:c r="AD59" s="68" t="str">
        <x:v>经典原则经结构化整理；参见：https://zh.wikisource.org/zh-hans/滴天髓</x:v>
      </x:c>
      <x:c r="AE59" s="82" t="str">
        <x:v>待验证</x:v>
      </x:c>
      <x:c r="AF59" s="82" t="str">
        <x:v>初审</x:v>
      </x:c>
      <x:c r="AG59" s="87" t="n">
        <x:v>46255</x:v>
      </x:c>
    </x:row>
    <x:row r="60">
      <x:c r="A60" s="72" t="str">
        <x:f>IF(OR(C60="",D60=""),"",B60&amp;"-"&amp;UPPER(C60)&amp;"-"&amp;TEXT(D60,"0000")&amp;"-"&amp;E60)</x:f>
        <x:v>M07-ALLY-0054-V1.0</x:v>
      </x:c>
      <x:c r="B60" s="74" t="str">
        <x:v>M07</x:v>
      </x:c>
      <x:c r="C60" s="74" t="str">
        <x:v>ALLY</x:v>
      </x:c>
      <x:c r="D60" s="79" t="n">
        <x:v>54</x:v>
      </x:c>
      <x:c r="E60" s="74" t="str">
        <x:v>V1.0</x:v>
      </x:c>
      <x:c r="F60" s="68" t="str">
        <x:v>同党分散仍计数量但凝聚度较低</x:v>
      </x:c>
      <x:c r="G60" s="82" t="str">
        <x:v>结构层</x:v>
      </x:c>
      <x:c r="H60" s="68" t="str">
        <x:v>同党/分散</x:v>
      </x:c>
      <x:c r="I60" s="82"/>
      <x:c r="J60" s="68" t="str">
        <x:v>同类节点分布于年时等相隔位置</x:v>
      </x:c>
      <x:c r="K60" s="68" t="str">
        <x:v>分散同党</x:v>
      </x:c>
      <x:c r="L60" s="68" t="str">
        <x:v>保留同党数量，降低聚势协同权重</x:v>
      </x:c>
      <x:c r="M60" s="82" t="str">
        <x:v>增强</x:v>
      </x:c>
      <x:c r="N60" s="68" t="str">
        <x:v>低</x:v>
      </x:c>
      <x:c r="O60" s="82" t="str">
        <x:v>弱</x:v>
      </x:c>
      <x:c r="P60" s="68" t="str">
        <x:v>同党节点已识别</x:v>
      </x:c>
      <x:c r="Q60" s="68" t="str">
        <x:v>同类节点确属独立位置</x:v>
      </x:c>
      <x:c r="R60" s="68" t="str">
        <x:v>各自有根或受同一强季令支持</x:v>
      </x:c>
      <x:c r="S60" s="68" t="str">
        <x:v>均无根且彼此无连续生扶</x:v>
      </x:c>
      <x:c r="T60" s="90" t="str">
        <x:v>不得因分散就删除同党</x:v>
      </x:c>
      <x:c r="U60" s="68" t="str">
        <x:v>位置效应只作辅助</x:v>
      </x:c>
      <x:c r="V60" s="82" t="str">
        <x:v>否</x:v>
      </x:c>
      <x:c r="W60" s="84" t="str">
        <x:v>分散同党</x:v>
      </x:c>
      <x:c r="X60" s="84" t="str">
        <x:v>目标五行虽有分散同党，仍增加原始数量；但凝聚成势证据低于集中同党。</x:v>
      </x:c>
      <x:c r="Y60" s="82" t="str">
        <x:v>中等</x:v>
      </x:c>
      <x:c r="Z60" s="82" t="str">
        <x:v>现代综合</x:v>
      </x:c>
      <x:c r="AA60" s="68" t="str">
        <x:v>数量与凝聚度需分开。</x:v>
      </x:c>
      <x:c r="AB60" s="68" t="str">
        <x:v>年干甲、时干乙各有根，木仍有同党但结构较分散。</x:v>
      </x:c>
      <x:c r="AC60" s="90" t="str">
        <x:v>年时相隔便把其中一干完全不计。</x:v>
      </x:c>
      <x:c r="AD60" s="68" t="str">
        <x:v>经典原则经结构化整理；参见：https://zh.wikisource.org/zh-hans/滴天髓</x:v>
      </x:c>
      <x:c r="AE60" s="82" t="str">
        <x:v>待验证</x:v>
      </x:c>
      <x:c r="AF60" s="82" t="str">
        <x:v>初审</x:v>
      </x:c>
      <x:c r="AG60" s="87" t="n">
        <x:v>46255</x:v>
      </x:c>
    </x:row>
    <x:row r="61">
      <x:c r="A61" s="72" t="str">
        <x:f>IF(OR(C61="",D61=""),"",B61&amp;"-"&amp;UPPER(C61)&amp;"-"&amp;TEXT(D61,"0000")&amp;"-"&amp;E61)</x:f>
        <x:v>M07-ALLY-0055-V1.0</x:v>
      </x:c>
      <x:c r="B61" s="74" t="str">
        <x:v>M07</x:v>
      </x:c>
      <x:c r="C61" s="74" t="str">
        <x:v>ALLY</x:v>
      </x:c>
      <x:c r="D61" s="79" t="n">
        <x:v>55</x:v>
      </x:c>
      <x:c r="E61" s="74" t="str">
        <x:v>V1.0</x:v>
      </x:c>
      <x:c r="F61" s="68" t="str">
        <x:v>阴阳不同不取消五行层面的同党关系</x:v>
      </x:c>
      <x:c r="G61" s="82" t="str">
        <x:v>结构层</x:v>
      </x:c>
      <x:c r="H61" s="68" t="str">
        <x:v>同党/阴阳</x:v>
      </x:c>
      <x:c r="I61" s="82"/>
      <x:c r="J61" s="68" t="str">
        <x:v>同类节点同五行但阴阳不同</x:v>
      </x:c>
      <x:c r="K61" s="68" t="str">
        <x:v>异阴阳同党</x:v>
      </x:c>
      <x:c r="L61" s="68" t="str">
        <x:v>在五行旺衰层仍计同类支持</x:v>
      </x:c>
      <x:c r="M61" s="82" t="str">
        <x:v>增强</x:v>
      </x:c>
      <x:c r="N61" s="68" t="str">
        <x:v>中</x:v>
      </x:c>
      <x:c r="O61" s="82" t="str">
        <x:v>中</x:v>
      </x:c>
      <x:c r="P61" s="68" t="str">
        <x:v>当前评估对象为五行</x:v>
      </x:c>
      <x:c r="Q61" s="68" t="str">
        <x:v>节点五行相同</x:v>
      </x:c>
      <x:c r="R61" s="68" t="str">
        <x:v>各自有根或得令</x:v>
      </x:c>
      <x:c r="S61" s="68" t="str">
        <x:v>节点均弱且无承载</x:v>
      </x:c>
      <x:c r="T61" s="90" t="str">
        <x:v>不得因阴阳不同就把同党改记为异类</x:v>
      </x:c>
      <x:c r="U61" s="68" t="str">
        <x:v>十神比肩劫财差异转M10</x:v>
      </x:c>
      <x:c r="V61" s="82" t="str">
        <x:v>否</x:v>
      </x:c>
      <x:c r="W61" s="84" t="str">
        <x:v>五行同党</x:v>
      </x:c>
      <x:c r="X61" s="84" t="str">
        <x:v>甲乙、丙丁等阴阳虽异，在五行原始旺衰层仍属于同类；十神功能另行区分。</x:v>
      </x:c>
      <x:c r="Y61" s="82" t="str">
        <x:v>确定</x:v>
      </x:c>
      <x:c r="Z61" s="82" t="str">
        <x:v>跨流派共识</x:v>
      </x:c>
      <x:c r="AA61" s="68" t="str">
        <x:v>五行总量与十神阴阳分类是不同层次。</x:v>
      </x:c>
      <x:c r="AB61" s="68" t="str">
        <x:v>甲乙同见均增加木的原始同类证据。</x:v>
      </x:c>
      <x:c r="AC61" s="90" t="str">
        <x:v>甲木评木强弱时完全排除乙木。</x:v>
      </x:c>
      <x:c r="AD61" s="68" t="str">
        <x:v>经典原则经结构化整理；参见：https://zh.wikisource.org/zh-hans/滴天髓</x:v>
      </x:c>
      <x:c r="AE61" s="82" t="str">
        <x:v>采用</x:v>
      </x:c>
      <x:c r="AF61" s="82" t="str">
        <x:v>初审</x:v>
      </x:c>
      <x:c r="AG61" s="87" t="n">
        <x:v>46255</x:v>
      </x:c>
    </x:row>
    <x:row r="62">
      <x:c r="A62" s="72" t="str">
        <x:f>IF(OR(C62="",D62=""),"",B62&amp;"-"&amp;UPPER(C62)&amp;"-"&amp;TEXT(D62,"0000")&amp;"-"&amp;E62)</x:f>
        <x:v>M07-ALLY-0056-V1.0</x:v>
      </x:c>
      <x:c r="B62" s="74" t="str">
        <x:v>M07</x:v>
      </x:c>
      <x:c r="C62" s="74" t="str">
        <x:v>ALLY</x:v>
      </x:c>
      <x:c r="D62" s="79" t="n">
        <x:v>56</x:v>
      </x:c>
      <x:c r="E62" s="74" t="str">
        <x:v>V1.0</x:v>
      </x:c>
      <x:c r="F62" s="68" t="str">
        <x:v>同党数量不能覆盖季令、根气与生源反证</x:v>
      </x:c>
      <x:c r="G62" s="82" t="str">
        <x:v>结构层</x:v>
      </x:c>
      <x:c r="H62" s="68" t="str">
        <x:v>同党/边界</x:v>
      </x:c>
      <x:c r="I62" s="82"/>
      <x:c r="J62" s="68" t="str">
        <x:v>目标五行数量较多但失令、无根或无源</x:v>
      </x:c>
      <x:c r="K62" s="68" t="str">
        <x:v>多而不实候选</x:v>
      </x:c>
      <x:c r="L62" s="68" t="str">
        <x:v>数量仅作中等证据，不自动判旺</x:v>
      </x:c>
      <x:c r="M62" s="82" t="str">
        <x:v>条件性</x:v>
      </x:c>
      <x:c r="N62" s="68" t="str">
        <x:v>高</x:v>
      </x:c>
      <x:c r="O62" s="82" t="str">
        <x:v>强</x:v>
      </x:c>
      <x:c r="P62" s="68" t="str">
        <x:v>令根源党四类证据均已生成</x:v>
      </x:c>
      <x:c r="Q62" s="68" t="str">
        <x:v>同党多但关键承载证据不足</x:v>
      </x:c>
      <x:c r="R62" s="68" t="str">
        <x:v>多透同时有根、强生源或反季节成势</x:v>
      </x:c>
      <x:c r="S62" s="68" t="str">
        <x:v>全部无根、失令、弱源</x:v>
      </x:c>
      <x:c r="T62" s="90" t="str">
        <x:v>禁止“数几个五行”直接定旺衰</x:v>
      </x:c>
      <x:c r="U62" s="68" t="str">
        <x:v>特殊从势结构转M14</x:v>
      </x:c>
      <x:c r="V62" s="82" t="str">
        <x:v>否</x:v>
      </x:c>
      <x:c r="W62" s="84" t="str">
        <x:v>数量非旺衰</x:v>
      </x:c>
      <x:c r="X62" s="84" t="str">
        <x:v>目标五行虽数量较多，但失令无根无源时可能多而不实；不得仅凭数量判旺。</x:v>
      </x:c>
      <x:c r="Y62" s="82" t="str">
        <x:v>较高</x:v>
      </x:c>
      <x:c r="Z62" s="82" t="str">
        <x:v>现代综合</x:v>
      </x:c>
      <x:c r="AA62" s="68" t="str">
        <x:v>数量是表象，承载与环境决定实质。</x:v>
      </x:c>
      <x:c r="AB62" s="68" t="str">
        <x:v>秋月三枚无根甲乙木，未必强于一枚得令有根之木。</x:v>
      </x:c>
      <x:c r="AC62" s="90" t="str">
        <x:v>天干三木便不看根令直接判木旺。</x:v>
      </x:c>
      <x:c r="AD62" s="68" t="str">
        <x:v>经典原则经结构化整理；参见：https://zh.wikisource.org/zh-hans/滴天髓</x:v>
      </x:c>
      <x:c r="AE62" s="82" t="str">
        <x:v>采用</x:v>
      </x:c>
      <x:c r="AF62" s="82" t="str">
        <x:v>初审</x:v>
      </x:c>
      <x:c r="AG62" s="87" t="n">
        <x:v>46255</x:v>
      </x:c>
    </x:row>
    <x:row r="63">
      <x:c r="A63" s="72" t="str">
        <x:f>IF(OR(C63="",D63=""),"",B63&amp;"-"&amp;UPPER(C63)&amp;"-"&amp;TEXT(D63,"0000")&amp;"-"&amp;E63)</x:f>
        <x:v>M07-MOMENT-0057-V1.0</x:v>
      </x:c>
      <x:c r="B63" s="74" t="str">
        <x:v>M07</x:v>
      </x:c>
      <x:c r="C63" s="74" t="str">
        <x:v>MOMENT</x:v>
      </x:c>
      <x:c r="D63" s="79" t="n">
        <x:v>57</x:v>
      </x:c>
      <x:c r="E63" s="74" t="str">
        <x:v>V1.0</x:v>
      </x:c>
      <x:c r="F63" s="68" t="str">
        <x:v>得令、多根、透干与同党汇合时形成成势候选</x:v>
      </x:c>
      <x:c r="G63" s="82" t="str">
        <x:v>结构层</x:v>
      </x:c>
      <x:c r="H63" s="68" t="str">
        <x:v>成势/汇合</x:v>
      </x:c>
      <x:c r="I63" s="82"/>
      <x:c r="J63" s="68" t="str">
        <x:v>季令、根气、透干、同党至少三类强证据同时指向目标五行</x:v>
      </x:c>
      <x:c r="K63" s="68" t="str">
        <x:v>成势候选</x:v>
      </x:c>
      <x:c r="L63" s="68" t="str">
        <x:v>将原始旺衰提升至旺势候选</x:v>
      </x:c>
      <x:c r="M63" s="82" t="str">
        <x:v>增强</x:v>
      </x:c>
      <x:c r="N63" s="68" t="str">
        <x:v>高</x:v>
      </x:c>
      <x:c r="O63" s="82" t="str">
        <x:v>强</x:v>
      </x:c>
      <x:c r="P63" s="68" t="str">
        <x:v>各证据已去重并标注来源</x:v>
      </x:c>
      <x:c r="Q63" s="68" t="str">
        <x:v>至少三类独立强证据汇合</x:v>
      </x:c>
      <x:c r="R63" s="68" t="str">
        <x:v>另有强生源或四柱多位置占据</x:v>
      </x:c>
      <x:c r="S63" s="68" t="str">
        <x:v>证据高度共源或多数仅弱藏气</x:v>
      </x:c>
      <x:c r="T63" s="90" t="str">
        <x:v>不得由单一证据宣告成势</x:v>
      </x:c>
      <x:c r="U63" s="68" t="str">
        <x:v>特殊格局成立与否转M14</x:v>
      </x:c>
      <x:c r="V63" s="82" t="str">
        <x:v>条件性</x:v>
      </x:c>
      <x:c r="W63" s="84" t="str">
        <x:v>五行成势候选</x:v>
      </x:c>
      <x:c r="X63" s="84" t="str">
        <x:v>目标五行的令、根、透、党多维汇合，已形成原始成势候选；是否极旺仍需反证检查。</x:v>
      </x:c>
      <x:c r="Y63" s="82" t="str">
        <x:v>较高</x:v>
      </x:c>
      <x:c r="Z63" s="82" t="str">
        <x:v>现代综合</x:v>
      </x:c>
      <x:c r="AA63" s="68" t="str">
        <x:v>成势是多维收敛，不是数量标签。</x:v>
      </x:c>
      <x:c r="AB63" s="68" t="str">
        <x:v>春木得令，寅卯多根，甲乙透干并有水生，木可判旺势。</x:v>
      </x:c>
      <x:c r="AC63" s="90" t="str">
        <x:v>只因寅卯两个地支就称木极旺成势。</x:v>
      </x:c>
      <x:c r="AD63" s="68" t="str">
        <x:v>https://zh.wikisource.org/zh-hans/淵海子平；https://zh.wikisource.org/zh-hans/滴天髓</x:v>
      </x:c>
      <x:c r="AE63" s="82" t="str">
        <x:v>采用</x:v>
      </x:c>
      <x:c r="AF63" s="82" t="str">
        <x:v>初审</x:v>
      </x:c>
      <x:c r="AG63" s="87" t="n">
        <x:v>46255</x:v>
      </x:c>
    </x:row>
    <x:row r="64">
      <x:c r="A64" s="72" t="str">
        <x:f>IF(OR(C64="",D64=""),"",B64&amp;"-"&amp;UPPER(C64)&amp;"-"&amp;TEXT(D64,"0000")&amp;"-"&amp;E64)</x:f>
        <x:v>M07-MOMENT-0058-V1.0</x:v>
      </x:c>
      <x:c r="B64" s="74" t="str">
        <x:v>M07</x:v>
      </x:c>
      <x:c r="C64" s="74" t="str">
        <x:v>MOMENT</x:v>
      </x:c>
      <x:c r="D64" s="79" t="n">
        <x:v>58</x:v>
      </x:c>
      <x:c r="E64" s="74" t="str">
        <x:v>V1.0</x:v>
      </x:c>
      <x:c r="F64" s="68" t="str">
        <x:v>占据三个以上独立干支位置可形成党势候选</x:v>
      </x:c>
      <x:c r="G64" s="82" t="str">
        <x:v>结构层</x:v>
      </x:c>
      <x:c r="H64" s="68" t="str">
        <x:v>成势/位置覆盖</x:v>
      </x:c>
      <x:c r="I64" s="82"/>
      <x:c r="J64" s="68" t="str">
        <x:v>目标五行在至少三个独立干支位置有较强表现</x:v>
      </x:c>
      <x:c r="K64" s="68" t="str">
        <x:v>多位置覆盖</x:v>
      </x:c>
      <x:c r="L64" s="68" t="str">
        <x:v>提高党势与稳定性候选</x:v>
      </x:c>
      <x:c r="M64" s="82" t="str">
        <x:v>增强</x:v>
      </x:c>
      <x:c r="N64" s="68" t="str">
        <x:v>中高</x:v>
      </x:c>
      <x:c r="O64" s="82" t="str">
        <x:v>中</x:v>
      </x:c>
      <x:c r="P64" s="68" t="str">
        <x:v>节点已按干支位置去重</x:v>
      </x:c>
      <x:c r="Q64" s="68" t="str">
        <x:v>至少三个独立位置，且不全为余气</x:v>
      </x:c>
      <x:c r="R64" s="68" t="str">
        <x:v>其中含月令、本气根或透根相应</x:v>
      </x:c>
      <x:c r="S64" s="68" t="str">
        <x:v>多数节点无根或仅弱藏</x:v>
      </x:c>
      <x:c r="T64" s="90" t="str">
        <x:v>不得把一个地支的多个标签视为多个位置</x:v>
      </x:c>
      <x:c r="U64" s="68" t="str">
        <x:v>正式三合三会不在M07自动改性</x:v>
      </x:c>
      <x:c r="V64" s="82" t="str">
        <x:v>否</x:v>
      </x:c>
      <x:c r="W64" s="84" t="str">
        <x:v>位置成党</x:v>
      </x:c>
      <x:c r="X64" s="84" t="str">
        <x:v>目标五行覆盖多个独立位置，具备党势基础；仍须看季令、层级与生源。</x:v>
      </x:c>
      <x:c r="Y64" s="82" t="str">
        <x:v>中等</x:v>
      </x:c>
      <x:c r="Z64" s="82" t="str">
        <x:v>现代综合</x:v>
      </x:c>
      <x:c r="AA64" s="68" t="str">
        <x:v>位置覆盖可反映全局集中度。</x:v>
      </x:c>
      <x:c r="AB64" s="68" t="str">
        <x:v>甲透、乙透、寅卯两支同见，木覆盖多个独立节点。</x:v>
      </x:c>
      <x:c r="AC64" s="90" t="str">
        <x:v>寅一支既算木根、同党、月令后当作三个位置。</x:v>
      </x:c>
      <x:c r="AD64" s="68" t="str">
        <x:v>经典原则经结构化整理；参见：https://zh.wikisource.org/zh-hans/滴天髓</x:v>
      </x:c>
      <x:c r="AE64" s="82" t="str">
        <x:v>采用</x:v>
      </x:c>
      <x:c r="AF64" s="82" t="str">
        <x:v>初审</x:v>
      </x:c>
      <x:c r="AG64" s="87" t="n">
        <x:v>46255</x:v>
      </x:c>
    </x:row>
    <x:row r="65">
      <x:c r="A65" s="72" t="str">
        <x:f>IF(OR(C65="",D65=""),"",B65&amp;"-"&amp;UPPER(C65)&amp;"-"&amp;TEXT(D65,"0000")&amp;"-"&amp;E65)</x:f>
        <x:v>M07-MOMENT-0059-V1.0</x:v>
      </x:c>
      <x:c r="B65" s="74" t="str">
        <x:v>M07</x:v>
      </x:c>
      <x:c r="C65" s="74" t="str">
        <x:v>MOMENT</x:v>
      </x:c>
      <x:c r="D65" s="79" t="n">
        <x:v>59</x:v>
      </x:c>
      <x:c r="E65" s="74" t="str">
        <x:v>V1.0</x:v>
      </x:c>
      <x:c r="F65" s="68" t="str">
        <x:v>大量中余气堆积不能等同本气成势</x:v>
      </x:c>
      <x:c r="G65" s="82" t="str">
        <x:v>结构层</x:v>
      </x:c>
      <x:c r="H65" s="68" t="str">
        <x:v>成势/藏气质量</x:v>
      </x:c>
      <x:c r="I65" s="82"/>
      <x:c r="J65" s="68" t="str">
        <x:v>目标五行出现次数多，但主要来自中气或余气</x:v>
      </x:c>
      <x:c r="K65" s="68" t="str">
        <x:v>多而隐弱</x:v>
      </x:c>
      <x:c r="L65" s="68" t="str">
        <x:v>限制成势等级，通常不超过中等候选</x:v>
      </x:c>
      <x:c r="M65" s="82" t="str">
        <x:v>减弱</x:v>
      </x:c>
      <x:c r="N65" s="68" t="str">
        <x:v>中高</x:v>
      </x:c>
      <x:c r="O65" s="82" t="str">
        <x:v>中</x:v>
      </x:c>
      <x:c r="P65" s="68" t="str">
        <x:v>各节点藏干层级已标注</x:v>
      </x:c>
      <x:c r="Q65" s="68" t="str">
        <x:v>多数目标节点为中余气且不透</x:v>
      </x:c>
      <x:c r="R65" s="68" t="str">
        <x:v>有本气根、得令或同气透出</x:v>
      </x:c>
      <x:c r="S65" s="68" t="str">
        <x:v>全部余气、失令、无源</x:v>
      </x:c>
      <x:c r="T65" s="90" t="str">
        <x:v>禁止按出现次数忽略藏气质量</x:v>
      </x:c>
      <x:c r="U65" s="68" t="str">
        <x:v>若M06确认成局改性，转M08重算</x:v>
      </x:c>
      <x:c r="V65" s="82" t="str">
        <x:v>否</x:v>
      </x:c>
      <x:c r="W65" s="84" t="str">
        <x:v>隐气不成势</x:v>
      </x:c>
      <x:c r="X65" s="84" t="str">
        <x:v>目标五行虽多处潜藏，但主要为中余气，原始上不宜与本气多根成势等同。</x:v>
      </x:c>
      <x:c r="Y65" s="82" t="str">
        <x:v>较高</x:v>
      </x:c>
      <x:c r="Z65" s="82" t="str">
        <x:v>现代综合</x:v>
      </x:c>
      <x:c r="AA65" s="68" t="str">
        <x:v>质量与层级优先于纯数量。</x:v>
      </x:c>
      <x:c r="AB65" s="68" t="str">
        <x:v>辰未多藏乙但无寅卯、甲乙不透，木不宜仅按次数判旺势。</x:v>
      </x:c>
      <x:c r="AC65" s="90" t="str">
        <x:v>四个余气藏干等同四个本气根。</x:v>
      </x:c>
      <x:c r="AD65" s="68" t="str">
        <x:v>经典原则经结构化整理；参见：https://zh.wikisource.org/zh-hans/滴天髓</x:v>
      </x:c>
      <x:c r="AE65" s="82" t="str">
        <x:v>采用</x:v>
      </x:c>
      <x:c r="AF65" s="82" t="str">
        <x:v>初审</x:v>
      </x:c>
      <x:c r="AG65" s="87" t="n">
        <x:v>46255</x:v>
      </x:c>
    </x:row>
    <x:row r="66">
      <x:c r="A66" s="72" t="str">
        <x:f>IF(OR(C66="",D66=""),"",B66&amp;"-"&amp;UPPER(C66)&amp;"-"&amp;TEXT(D66,"0000")&amp;"-"&amp;E66)</x:f>
        <x:v>M07-MOMENT-0060-V1.0</x:v>
      </x:c>
      <x:c r="B66" s="74" t="str">
        <x:v>M07</x:v>
      </x:c>
      <x:c r="C66" s="74" t="str">
        <x:v>MOMENT</x:v>
      </x:c>
      <x:c r="D66" s="79" t="n">
        <x:v>60</x:v>
      </x:c>
      <x:c r="E66" s="74" t="str">
        <x:v>V1.0</x:v>
      </x:c>
      <x:c r="F66" s="68" t="str">
        <x:v>强生源与同党共同指向目标时形成方向性聚势</x:v>
      </x:c>
      <x:c r="G66" s="82" t="str">
        <x:v>结构层</x:v>
      </x:c>
      <x:c r="H66" s="68" t="str">
        <x:v>成势/生扶方向</x:v>
      </x:c>
      <x:c r="I66" s="82"/>
      <x:c r="J66" s="68" t="str">
        <x:v>生源有力且目标同党多，生化方向持续汇入目标</x:v>
      </x:c>
      <x:c r="K66" s="68" t="str">
        <x:v>生扶聚势</x:v>
      </x:c>
      <x:c r="L66" s="68" t="str">
        <x:v>提高成势候选与原始集中度</x:v>
      </x:c>
      <x:c r="M66" s="82" t="str">
        <x:v>增强</x:v>
      </x:c>
      <x:c r="N66" s="68" t="str">
        <x:v>高</x:v>
      </x:c>
      <x:c r="O66" s="82" t="str">
        <x:v>强</x:v>
      </x:c>
      <x:c r="P66" s="68" t="str">
        <x:v>生源与同党证据已生成</x:v>
      </x:c>
      <x:c r="Q66" s="68" t="str">
        <x:v>生源自身有力且目标有承接根透</x:v>
      </x:c>
      <x:c r="R66" s="68" t="str">
        <x:v>季令也支持目标或生源、路径短</x:v>
      </x:c>
      <x:c r="S66" s="68" t="str">
        <x:v>中间缺桥或目标无根</x:v>
      </x:c>
      <x:c r="T66" s="90" t="str">
        <x:v>不得在M07判断流通最终吉凶</x:v>
      </x:c>
      <x:c r="U66" s="68" t="str">
        <x:v>卡点与壅塞转M12/M16</x:v>
      </x:c>
      <x:c r="V66" s="82" t="str">
        <x:v>否</x:v>
      </x:c>
      <x:c r="W66" s="84" t="str">
        <x:v>方向性聚势</x:v>
      </x:c>
      <x:c r="X66" s="84" t="str">
        <x:v>有力生源持续汇入目标，同党又多，原始气势向该五行集中。</x:v>
      </x:c>
      <x:c r="Y66" s="82" t="str">
        <x:v>较高</x:v>
      </x:c>
      <x:c r="Z66" s="82" t="str">
        <x:v>现代综合</x:v>
      </x:c>
      <x:c r="AA66" s="68" t="str">
        <x:v>气势方向不仅看静态数量，也看生化来源。</x:v>
      </x:c>
      <x:c r="AB66" s="68" t="str">
        <x:v>金旺生水，壬癸多透并有亥子根，水形成方向性聚势。</x:v>
      </x:c>
      <x:c r="AC66" s="90" t="str">
        <x:v>只有金多而水不现，也判水成势。</x:v>
      </x:c>
      <x:c r="AD66" s="68" t="str">
        <x:v>经典原则经结构化整理；参见：https://zh.wikisource.org/zh-hans/滴天髓</x:v>
      </x:c>
      <x:c r="AE66" s="82" t="str">
        <x:v>采用</x:v>
      </x:c>
      <x:c r="AF66" s="82" t="str">
        <x:v>初审</x:v>
      </x:c>
      <x:c r="AG66" s="87" t="n">
        <x:v>46255</x:v>
      </x:c>
    </x:row>
    <x:row r="67">
      <x:c r="A67" s="72" t="str">
        <x:f>IF(OR(C67="",D67=""),"",B67&amp;"-"&amp;UPPER(C67)&amp;"-"&amp;TEXT(D67,"0000")&amp;"-"&amp;E67)</x:f>
        <x:v>M07-MOMENT-0061-V1.0</x:v>
      </x:c>
      <x:c r="B67" s="74" t="str">
        <x:v>M07</x:v>
      </x:c>
      <x:c r="C67" s="74" t="str">
        <x:v>MOMENT</x:v>
      </x:c>
      <x:c r="D67" s="79" t="n">
        <x:v>61</x:v>
      </x:c>
      <x:c r="E67" s="74" t="str">
        <x:v>V1.0</x:v>
      </x:c>
      <x:c r="F67" s="68" t="str">
        <x:v>同类集中但失令无源时只列弱成势候选</x:v>
      </x:c>
      <x:c r="G67" s="82" t="str">
        <x:v>结构层</x:v>
      </x:c>
      <x:c r="H67" s="68" t="str">
        <x:v>成势/反季节</x:v>
      </x:c>
      <x:c r="I67" s="82"/>
      <x:c r="J67" s="68" t="str">
        <x:v>目标同党多但季令不利、生源不足</x:v>
      </x:c>
      <x:c r="K67" s="68" t="str">
        <x:v>反季节党势</x:v>
      </x:c>
      <x:c r="L67" s="68" t="str">
        <x:v>保留成党证据，限制旺势等级</x:v>
      </x:c>
      <x:c r="M67" s="82" t="str">
        <x:v>条件性</x:v>
      </x:c>
      <x:c r="N67" s="68" t="str">
        <x:v>中</x:v>
      </x:c>
      <x:c r="O67" s="82" t="str">
        <x:v>中</x:v>
      </x:c>
      <x:c r="P67" s="68" t="str">
        <x:v>同党数量与季令生源已评估</x:v>
      </x:c>
      <x:c r="Q67" s="68" t="str">
        <x:v>同党多而令源弱</x:v>
      </x:c>
      <x:c r="R67" s="68" t="str">
        <x:v>多重本气根、透干有根，可形成反季节力量</x:v>
      </x:c>
      <x:c r="S67" s="68" t="str">
        <x:v>同党多为无根浮干或弱藏</x:v>
      </x:c>
      <x:c r="T67" s="90" t="str">
        <x:v>不得因数量多直接忽略季令逆势</x:v>
      </x:c>
      <x:c r="U67" s="68" t="str">
        <x:v>专旺候选转M14</x:v>
      </x:c>
      <x:c r="V67" s="82" t="str">
        <x:v>否</x:v>
      </x:c>
      <x:c r="W67" s="84" t="str">
        <x:v>反季节成党</x:v>
      </x:c>
      <x:c r="X67" s="84" t="str">
        <x:v>目标五行虽同党较多，但失令无源；可形成反季节党势，是否真正旺须看根气质量。</x:v>
      </x:c>
      <x:c r="Y67" s="82" t="str">
        <x:v>中等</x:v>
      </x:c>
      <x:c r="Z67" s="82" t="str">
        <x:v>现代综合</x:v>
      </x:c>
      <x:c r="AA67" s="68" t="str">
        <x:v>反季节旺需要更强根党证据。</x:v>
      </x:c>
      <x:c r="AB67" s="68" t="str">
        <x:v>秋木多透且寅卯多根，可有反季节力量。</x:v>
      </x:c>
      <x:c r="AC67" s="90" t="str">
        <x:v>秋月三枚无根木干直接判木旺势。</x:v>
      </x:c>
      <x:c r="AD67" s="68" t="str">
        <x:v>经典原则经结构化整理；参见：https://zh.wikisource.org/zh-hans/滴天髓</x:v>
      </x:c>
      <x:c r="AE67" s="82" t="str">
        <x:v>采用</x:v>
      </x:c>
      <x:c r="AF67" s="82" t="str">
        <x:v>初审</x:v>
      </x:c>
      <x:c r="AG67" s="87" t="n">
        <x:v>46255</x:v>
      </x:c>
    </x:row>
    <x:row r="68">
      <x:c r="A68" s="72" t="str">
        <x:f>IF(OR(C68="",D68=""),"",B68&amp;"-"&amp;UPPER(C68)&amp;"-"&amp;TEXT(D68,"0000")&amp;"-"&amp;E68)</x:f>
        <x:v>M07-MOMENT-0062-V1.0</x:v>
      </x:c>
      <x:c r="B68" s="74" t="str">
        <x:v>M07</x:v>
      </x:c>
      <x:c r="C68" s="74" t="str">
        <x:v>MOMENT</x:v>
      </x:c>
      <x:c r="D68" s="79" t="n">
        <x:v>62</x:v>
      </x:c>
      <x:c r="E68" s="74" t="str">
        <x:v>V1.0</x:v>
      </x:c>
      <x:c r="F68" s="68" t="str">
        <x:v>三合三会之化出五行不得在M07提前计入</x:v>
      </x:c>
      <x:c r="G68" s="82" t="str">
        <x:v>结构层</x:v>
      </x:c>
      <x:c r="H68" s="68" t="str">
        <x:v>成势/关系边界</x:v>
      </x:c>
      <x:c r="I68" s="82"/>
      <x:c r="J68" s="68" t="str">
        <x:v>原局出现三合、三会、半合或拱合候选</x:v>
      </x:c>
      <x:c r="K68" s="68" t="str">
        <x:v>关系成势候选</x:v>
      </x:c>
      <x:c r="L68" s="68" t="str">
        <x:v>仅记录原支本来五行，不把候选化神加入原始五行</x:v>
      </x:c>
      <x:c r="M68" s="82" t="str">
        <x:v>不变</x:v>
      </x:c>
      <x:c r="N68" s="68" t="str">
        <x:v>高</x:v>
      </x:c>
      <x:c r="O68" s="82" t="str">
        <x:v>决定性</x:v>
      </x:c>
      <x:c r="P68" s="68" t="str">
        <x:v>M05关系识别完成</x:v>
      </x:c>
      <x:c r="Q68" s="68" t="str">
        <x:v>M06尚未确认合化或成局</x:v>
      </x:c>
      <x:c r="R68" s="68" t="str">
        <x:v>无</x:v>
      </x:c>
      <x:c r="S68" s="68" t="str">
        <x:v>无</x:v>
      </x:c>
      <x:c r="T68" s="90" t="str">
        <x:v>禁止把三合三会候选直接改写各支五行</x:v>
      </x:c>
      <x:c r="U68" s="68" t="str">
        <x:v>经M06确认成局后由M08计算有效化神力量</x:v>
      </x:c>
      <x:c r="V68" s="82" t="str">
        <x:v>否</x:v>
      </x:c>
      <x:c r="W68" s="84" t="str">
        <x:v>原始五行保真</x:v>
      </x:c>
      <x:c r="X68" s="84" t="str">
        <x:v>M07按各干支原始五行计力；三合三会是否转化成局，须待M06确认后进入M08。</x:v>
      </x:c>
      <x:c r="Y68" s="82" t="str">
        <x:v>确定</x:v>
      </x:c>
      <x:c r="Z68" s="82" t="str">
        <x:v>现代综合</x:v>
      </x:c>
      <x:c r="AA68" s="68" t="str">
        <x:v>原始层必须保留输入事实，避免预设合化。</x:v>
      </x:c>
      <x:c r="AB68" s="68" t="str">
        <x:v>申子辰在M07仍分别记录金、水、土及藏干，M08再按成局结论修正水势。</x:v>
      </x:c>
      <x:c r="AC68" s="90" t="str">
        <x:v>申子辰一见就在M07把三支全改成水。</x:v>
      </x:c>
      <x:c r="AD68" s="68" t="str">
        <x:v>经典原则经结构化整理；参见：https://zh.wikisource.org/zh-hans/滴天髓</x:v>
      </x:c>
      <x:c r="AE68" s="82" t="str">
        <x:v>采用</x:v>
      </x:c>
      <x:c r="AF68" s="82" t="str">
        <x:v>初审</x:v>
      </x:c>
      <x:c r="AG68" s="87" t="n">
        <x:v>46255</x:v>
      </x:c>
    </x:row>
    <x:row r="69">
      <x:c r="A69" s="72" t="str">
        <x:f>IF(OR(C69="",D69=""),"",B69&amp;"-"&amp;UPPER(C69)&amp;"-"&amp;TEXT(D69,"0000")&amp;"-"&amp;E69)</x:f>
        <x:v>M07-MOMENT-0063-V1.0</x:v>
      </x:c>
      <x:c r="B69" s="74" t="str">
        <x:v>M07</x:v>
      </x:c>
      <x:c r="C69" s="74" t="str">
        <x:v>MOMENT</x:v>
      </x:c>
      <x:c r="D69" s="79" t="n">
        <x:v>63</x:v>
      </x:c>
      <x:c r="E69" s="74" t="str">
        <x:v>V1.0</x:v>
      </x:c>
      <x:c r="F69" s="68" t="str">
        <x:v>成势后仍须保留克泄耗与弱项反证</x:v>
      </x:c>
      <x:c r="G69" s="82" t="str">
        <x:v>结构层</x:v>
      </x:c>
      <x:c r="H69" s="68" t="str">
        <x:v>成势/反证</x:v>
      </x:c>
      <x:c r="I69" s="82"/>
      <x:c r="J69" s="68" t="str">
        <x:v>目标已被判为成势候选</x:v>
      </x:c>
      <x:c r="K69" s="68" t="str">
        <x:v>旺势候选</x:v>
      </x:c>
      <x:c r="L69" s="68" t="str">
        <x:v>要求同步记录不利季令、无源、无透或异类集中等反向证据</x:v>
      </x:c>
      <x:c r="M69" s="82" t="str">
        <x:v>条件性</x:v>
      </x:c>
      <x:c r="N69" s="68" t="str">
        <x:v>高</x:v>
      </x:c>
      <x:c r="O69" s="82" t="str">
        <x:v>强</x:v>
      </x:c>
      <x:c r="P69" s="68" t="str">
        <x:v>成势候选已生成</x:v>
      </x:c>
      <x:c r="Q69" s="68" t="str">
        <x:v>至少列出一项反向检查</x:v>
      </x:c>
      <x:c r="R69" s="68" t="str">
        <x:v>反向证据弱或可由独立强证抵消</x:v>
      </x:c>
      <x:c r="S69" s="68" t="str">
        <x:v>反向证据触及无根、无源或季令强克等核心条件</x:v>
      </x:c>
      <x:c r="T69" s="90" t="str">
        <x:v>禁止只有支持证据没有反证</x:v>
      </x:c>
      <x:c r="U69" s="68" t="str">
        <x:v>极端清纯结构反证可为空但需说明原因</x:v>
      </x:c>
      <x:c r="V69" s="82" t="str">
        <x:v>否</x:v>
      </x:c>
      <x:c r="W69" s="84" t="str">
        <x:v>成势反证</x:v>
      </x:c>
      <x:c r="X69" s="84" t="str">
        <x:v>目标五行具成势候选，同时保留反向证据；最终等级根据支持与反证的独立性裁定。</x:v>
      </x:c>
      <x:c r="Y69" s="82" t="str">
        <x:v>较高</x:v>
      </x:c>
      <x:c r="Z69" s="82" t="str">
        <x:v>现代综合</x:v>
      </x:c>
      <x:c r="AA69" s="68" t="str">
        <x:v>反证机制防止确认偏误。</x:v>
      </x:c>
      <x:c r="AB69" s="68" t="str">
        <x:v>木得令多根透干，但火土大量泄耗，记录后再定旺或中和偏旺。</x:v>
      </x:c>
      <x:c r="AC69" s="90" t="str">
        <x:v>看到木多便完全忽略火泄、金制等反向事实。</x:v>
      </x:c>
      <x:c r="AD69" s="68" t="str">
        <x:v>经典原则经结构化整理；参见：https://zh.wikisource.org/zh-hans/滴天髓</x:v>
      </x:c>
      <x:c r="AE69" s="82" t="str">
        <x:v>采用</x:v>
      </x:c>
      <x:c r="AF69" s="82" t="str">
        <x:v>初审</x:v>
      </x:c>
      <x:c r="AG69" s="87" t="n">
        <x:v>46255</x:v>
      </x:c>
    </x:row>
    <x:row r="70">
      <x:c r="A70" s="72" t="str">
        <x:f>IF(OR(C70="",D70=""),"",B70&amp;"-"&amp;UPPER(C70)&amp;"-"&amp;TEXT(D70,"0000")&amp;"-"&amp;E70)</x:f>
        <x:v>M07-MOMENT-0064-V1.0</x:v>
      </x:c>
      <x:c r="B70" s="74" t="str">
        <x:v>M07</x:v>
      </x:c>
      <x:c r="C70" s="74" t="str">
        <x:v>MOMENT</x:v>
      </x:c>
      <x:c r="D70" s="79" t="n">
        <x:v>64</x:v>
      </x:c>
      <x:c r="E70" s="74" t="str">
        <x:v>V1.0</x:v>
      </x:c>
      <x:c r="F70" s="68" t="str">
        <x:v>成势是综合结论不得继续把全部子证据线性相加</x:v>
      </x:c>
      <x:c r="G70" s="82" t="str">
        <x:v>结构层</x:v>
      </x:c>
      <x:c r="H70" s="68" t="str">
        <x:v>成势/汇总去重</x:v>
      </x:c>
      <x:c r="I70" s="82"/>
      <x:c r="J70" s="68" t="str">
        <x:v>已经形成成势候选</x:v>
      </x:c>
      <x:c r="K70" s="68" t="str">
        <x:v>综合成势标签</x:v>
      </x:c>
      <x:c r="L70" s="68" t="str">
        <x:v>以成势标签替代对子证据的机械再加总</x:v>
      </x:c>
      <x:c r="M70" s="82" t="str">
        <x:v>不变</x:v>
      </x:c>
      <x:c r="N70" s="68" t="str">
        <x:v>高</x:v>
      </x:c>
      <x:c r="O70" s="82" t="str">
        <x:v>强</x:v>
      </x:c>
      <x:c r="P70" s="68" t="str">
        <x:v>支持证据已汇总</x:v>
      </x:c>
      <x:c r="Q70" s="68" t="str">
        <x:v>成势结论可追溯到独立证据</x:v>
      </x:c>
      <x:c r="R70" s="68" t="str">
        <x:v>无</x:v>
      </x:c>
      <x:c r="S70" s="68" t="str">
        <x:v>无</x:v>
      </x:c>
      <x:c r="T70" s="90" t="str">
        <x:v>禁止“令＋根＋透＋党＋成势”五次满额累加</x:v>
      </x:c>
      <x:c r="U70" s="68" t="str">
        <x:v>需要比较五行排序时保留原始证据矩阵</x:v>
      </x:c>
      <x:c r="V70" s="82" t="str">
        <x:v>否</x:v>
      </x:c>
      <x:c r="W70" s="84" t="str">
        <x:v>成势汇总</x:v>
      </x:c>
      <x:c r="X70" s="84" t="str">
        <x:v>成势是令根透源党汇合后的综合标签，不应在子证据总和之外再作为独立满额加权。</x:v>
      </x:c>
      <x:c r="Y70" s="82" t="str">
        <x:v>较高</x:v>
      </x:c>
      <x:c r="Z70" s="82" t="str">
        <x:v>现代综合</x:v>
      </x:c>
      <x:c r="AA70" s="68" t="str">
        <x:v>综合变量不能与其组成变量重复累计。</x:v>
      </x:c>
      <x:c r="AB70" s="68" t="str">
        <x:v>用“旺势成立”概括多维汇合，不再额外加一份成势分。</x:v>
      </x:c>
      <x:c r="AC70" s="90" t="str">
        <x:v>先累加全部证据，再把成势当新强证重复加权。</x:v>
      </x:c>
      <x:c r="AD70" s="68" t="str">
        <x:v>经典原则经结构化整理；参见：https://zh.wikisource.org/zh-hans/滴天髓</x:v>
      </x:c>
      <x:c r="AE70" s="82" t="str">
        <x:v>采用</x:v>
      </x:c>
      <x:c r="AF70" s="82" t="str">
        <x:v>初审</x:v>
      </x:c>
      <x:c r="AG70" s="87" t="n">
        <x:v>46255</x:v>
      </x:c>
    </x:row>
    <x:row r="71">
      <x:c r="A71" s="72" t="str">
        <x:f>IF(OR(C71="",D71=""),"",B71&amp;"-"&amp;UPPER(C71)&amp;"-"&amp;TEXT(D71,"0000")&amp;"-"&amp;E71)</x:f>
        <x:v>M07-CHAIN-0065-V1.0</x:v>
      </x:c>
      <x:c r="B71" s="74" t="str">
        <x:v>M07</x:v>
      </x:c>
      <x:c r="C71" s="74" t="str">
        <x:v>CHAIN</x:v>
      </x:c>
      <x:c r="D71" s="79" t="n">
        <x:v>65</x:v>
      </x:c>
      <x:c r="E71" s="74" t="str">
        <x:v>V1.0</x:v>
      </x:c>
      <x:c r="F71" s="68" t="str">
        <x:v>生源到目标的直接一段链最具原始传递效率</x:v>
      </x:c>
      <x:c r="G71" s="82" t="str">
        <x:v>结构层</x:v>
      </x:c>
      <x:c r="H71" s="68" t="str">
        <x:v>连续生扶/一段链</x:v>
      </x:c>
      <x:c r="I71" s="82"/>
      <x:c r="J71" s="68" t="str">
        <x:v>存在生源五行直接生目标五行</x:v>
      </x:c>
      <x:c r="K71" s="68" t="str">
        <x:v>母→子一段链</x:v>
      </x:c>
      <x:c r="L71" s="68" t="str">
        <x:v>给予直接生扶证据</x:v>
      </x:c>
      <x:c r="M71" s="82" t="str">
        <x:v>增强</x:v>
      </x:c>
      <x:c r="N71" s="68" t="str">
        <x:v>中高</x:v>
      </x:c>
      <x:c r="O71" s="82" t="str">
        <x:v>中</x:v>
      </x:c>
      <x:c r="P71" s="68" t="str">
        <x:v>五行生克关系已映射</x:v>
      </x:c>
      <x:c r="Q71" s="68" t="str">
        <x:v>母与子均在原局存在</x:v>
      </x:c>
      <x:c r="R71" s="68" t="str">
        <x:v>母有力、子有根透、路径短</x:v>
      </x:c>
      <x:c r="S71" s="68" t="str">
        <x:v>母弱、子无承接或仅藏余气</x:v>
      </x:c>
      <x:c r="T71" s="90" t="str">
        <x:v>不得只凭五行相邻就假定传递充分</x:v>
      </x:c>
      <x:c r="U71" s="68" t="str">
        <x:v>实际阻断转M08/M12</x:v>
      </x:c>
      <x:c r="V71" s="82" t="str">
        <x:v>否</x:v>
      </x:c>
      <x:c r="W71" s="84" t="str">
        <x:v>直接生扶链</x:v>
      </x:c>
      <x:c r="X71" s="84" t="str">
        <x:v>原局存在生源直接流向目标的一段链；母强子能承接时，原始生扶较有效。</x:v>
      </x:c>
      <x:c r="Y71" s="82" t="str">
        <x:v>较高</x:v>
      </x:c>
      <x:c r="Z71" s="82" t="str">
        <x:v>现代综合</x:v>
      </x:c>
      <x:c r="AA71" s="68" t="str">
        <x:v>链越短，名义传递越直接。</x:v>
      </x:c>
      <x:c r="AB71" s="68" t="str">
        <x:v>水有力直接生木，木有根透，形成清楚一段链。</x:v>
      </x:c>
      <x:c r="AC71" s="90" t="str">
        <x:v>水木各一处弱藏也判强连续生扶。</x:v>
      </x:c>
      <x:c r="AD71" s="68" t="str">
        <x:v>经典原则经结构化整理；参见：https://zh.wikisource.org/zh-hans/滴天髓</x:v>
      </x:c>
      <x:c r="AE71" s="82" t="str">
        <x:v>采用</x:v>
      </x:c>
      <x:c r="AF71" s="82" t="str">
        <x:v>初审</x:v>
      </x:c>
      <x:c r="AG71" s="87" t="n">
        <x:v>46255</x:v>
      </x:c>
    </x:row>
    <x:row r="72">
      <x:c r="A72" s="72" t="str">
        <x:f>IF(OR(C72="",D72=""),"",B72&amp;"-"&amp;UPPER(C72)&amp;"-"&amp;TEXT(D72,"0000")&amp;"-"&amp;E72)</x:f>
        <x:v>M07-CHAIN-0066-V1.0</x:v>
      </x:c>
      <x:c r="B72" s="74" t="str">
        <x:v>M07</x:v>
      </x:c>
      <x:c r="C72" s="74" t="str">
        <x:v>CHAIN</x:v>
      </x:c>
      <x:c r="D72" s="79" t="n">
        <x:v>66</x:v>
      </x:c>
      <x:c r="E72" s="74" t="str">
        <x:v>V1.0</x:v>
      </x:c>
      <x:c r="F72" s="68" t="str">
        <x:v>两段连续链须中间五行真实存在且有承载</x:v>
      </x:c>
      <x:c r="G72" s="82" t="str">
        <x:v>结构层</x:v>
      </x:c>
      <x:c r="H72" s="68" t="str">
        <x:v>连续生扶/两段链</x:v>
      </x:c>
      <x:c r="I72" s="82"/>
      <x:c r="J72" s="68" t="str">
        <x:v>存在上游→生源→目标的两段相生</x:v>
      </x:c>
      <x:c r="K72" s="68" t="str">
        <x:v>祖→母→子两段链</x:v>
      </x:c>
      <x:c r="L72" s="68" t="str">
        <x:v>给予中等连续支持，低于直接强源</x:v>
      </x:c>
      <x:c r="M72" s="82" t="str">
        <x:v>增强</x:v>
      </x:c>
      <x:c r="N72" s="68" t="str">
        <x:v>中</x:v>
      </x:c>
      <x:c r="O72" s="82" t="str">
        <x:v>中</x:v>
      </x:c>
      <x:c r="P72" s="68" t="str">
        <x:v>三类五行均已识别</x:v>
      </x:c>
      <x:c r="Q72" s="68" t="str">
        <x:v>中间五行不缺失且至少有基础力量</x:v>
      </x:c>
      <x:c r="R72" s="68" t="str">
        <x:v>三节点均有根透、季令支持、路径连续</x:v>
      </x:c>
      <x:c r="S72" s="68" t="str">
        <x:v>中间五行无根无透或仅弱余气</x:v>
      </x:c>
      <x:c r="T72" s="90" t="str">
        <x:v>不得跨越缺失中间五行建立虚假链</x:v>
      </x:c>
      <x:c r="U72" s="68" t="str">
        <x:v>更长链转M12评估衰减</x:v>
      </x:c>
      <x:c r="V72" s="82" t="str">
        <x:v>否</x:v>
      </x:c>
      <x:c r="W72" s="84" t="str">
        <x:v>两段生扶链</x:v>
      </x:c>
      <x:c r="X72" s="84" t="str">
        <x:v>上游经中间五行生到目标，链条完整可提供连续支持；中间节点决定链的上限。</x:v>
      </x:c>
      <x:c r="Y72" s="82" t="str">
        <x:v>中等</x:v>
      </x:c>
      <x:c r="Z72" s="82" t="str">
        <x:v>现代综合</x:v>
      </x:c>
      <x:c r="AA72" s="68" t="str">
        <x:v>链的强度受最弱节点限制。</x:v>
      </x:c>
      <x:c r="AB72" s="68" t="str">
        <x:v>金有力生水，水有根透再生木，木获两段支持。</x:v>
      </x:c>
      <x:c r="AC72" s="90" t="str">
        <x:v>金与木同见而水缺失，仍称金水木连续流通。</x:v>
      </x:c>
      <x:c r="AD72" s="68" t="str">
        <x:v>经典原则经结构化整理；参见：https://zh.wikisource.org/zh-hans/滴天髓</x:v>
      </x:c>
      <x:c r="AE72" s="82" t="str">
        <x:v>采用</x:v>
      </x:c>
      <x:c r="AF72" s="82" t="str">
        <x:v>初审</x:v>
      </x:c>
      <x:c r="AG72" s="87" t="n">
        <x:v>46255</x:v>
      </x:c>
    </x:row>
    <x:row r="73">
      <x:c r="A73" s="72" t="str">
        <x:f>IF(OR(C73="",D73=""),"",B73&amp;"-"&amp;UPPER(C73)&amp;"-"&amp;TEXT(D73,"0000")&amp;"-"&amp;E73)</x:f>
        <x:v>M07-CHAIN-0067-V1.0</x:v>
      </x:c>
      <x:c r="B73" s="74" t="str">
        <x:v>M07</x:v>
      </x:c>
      <x:c r="C73" s="74" t="str">
        <x:v>CHAIN</x:v>
      </x:c>
      <x:c r="D73" s="79" t="n">
        <x:v>67</x:v>
      </x:c>
      <x:c r="E73" s="74" t="str">
        <x:v>V1.0</x:v>
      </x:c>
      <x:c r="F73" s="68" t="str">
        <x:v>透干连续链比全藏链显露度更高</x:v>
      </x:c>
      <x:c r="G73" s="82" t="str">
        <x:v>结构层</x:v>
      </x:c>
      <x:c r="H73" s="68" t="str">
        <x:v>连续生扶/显露</x:v>
      </x:c>
      <x:c r="I73" s="82"/>
      <x:c r="J73" s="68" t="str">
        <x:v>生扶链各节点至少两段在天干明现</x:v>
      </x:c>
      <x:c r="K73" s="68" t="str">
        <x:v>明链</x:v>
      </x:c>
      <x:c r="L73" s="68" t="str">
        <x:v>提高链路可见度与直接性</x:v>
      </x:c>
      <x:c r="M73" s="82" t="str">
        <x:v>增强</x:v>
      </x:c>
      <x:c r="N73" s="68" t="str">
        <x:v>低</x:v>
      </x:c>
      <x:c r="O73" s="82" t="str">
        <x:v>弱</x:v>
      </x:c>
      <x:c r="P73" s="68" t="str">
        <x:v>链条成立且透干状态已标注</x:v>
      </x:c>
      <x:c r="Q73" s="68" t="str">
        <x:v>生源与目标或中间节点明现</x:v>
      </x:c>
      <x:c r="R73" s="68" t="str">
        <x:v>各节点有根、位置相邻</x:v>
      </x:c>
      <x:c r="S73" s="68" t="str">
        <x:v>虽透但均无根或链路遥隔</x:v>
      </x:c>
      <x:c r="T73" s="90" t="str">
        <x:v>不得把明链直接等同有效流通完成</x:v>
      </x:c>
      <x:c r="U73" s="68" t="str">
        <x:v>合克阻断转M06/M08</x:v>
      </x:c>
      <x:c r="V73" s="82" t="str">
        <x:v>否</x:v>
      </x:c>
      <x:c r="W73" s="84" t="str">
        <x:v>显露生扶链</x:v>
      </x:c>
      <x:c r="X73" s="84" t="str">
        <x:v>生扶链在天干明现，传递路径较清楚；根气与实际阻断仍需后续判断。</x:v>
      </x:c>
      <x:c r="Y73" s="82" t="str">
        <x:v>中等</x:v>
      </x:c>
      <x:c r="Z73" s="82" t="str">
        <x:v>现代综合</x:v>
      </x:c>
      <x:c r="AA73" s="68" t="str">
        <x:v>显露提高观察到的作用通道，但不是绝对效力。</x:v>
      </x:c>
      <x:c r="AB73" s="68" t="str">
        <x:v>庚壬甲连续透干且各有根，金水木生链较清楚。</x:v>
      </x:c>
      <x:c r="AC73" s="90" t="str">
        <x:v>庚壬甲均无根，只因连续排列便判强流通。</x:v>
      </x:c>
      <x:c r="AD73" s="68" t="str">
        <x:v>经典原则经结构化整理；参见：https://zh.wikisource.org/zh-hans/滴天髓</x:v>
      </x:c>
      <x:c r="AE73" s="82" t="str">
        <x:v>待验证</x:v>
      </x:c>
      <x:c r="AF73" s="82" t="str">
        <x:v>初审</x:v>
      </x:c>
      <x:c r="AG73" s="87" t="n">
        <x:v>46255</x:v>
      </x:c>
    </x:row>
    <x:row r="74">
      <x:c r="A74" s="72" t="str">
        <x:f>IF(OR(C74="",D74=""),"",B74&amp;"-"&amp;UPPER(C74)&amp;"-"&amp;TEXT(D74,"0000")&amp;"-"&amp;E74)</x:f>
        <x:v>M07-CHAIN-0068-V1.0</x:v>
      </x:c>
      <x:c r="B74" s="74" t="str">
        <x:v>M07</x:v>
      </x:c>
      <x:c r="C74" s="74" t="str">
        <x:v>CHAIN</x:v>
      </x:c>
      <x:c r="D74" s="79" t="n">
        <x:v>68</x:v>
      </x:c>
      <x:c r="E74" s="74" t="str">
        <x:v>V1.0</x:v>
      </x:c>
      <x:c r="F74" s="68" t="str">
        <x:v>全链有根时连续生扶稳定性提高</x:v>
      </x:c>
      <x:c r="G74" s="82" t="str">
        <x:v>结构层</x:v>
      </x:c>
      <x:c r="H74" s="68" t="str">
        <x:v>连续生扶/根系</x:v>
      </x:c>
      <x:c r="I74" s="82"/>
      <x:c r="J74" s="68" t="str">
        <x:v>生扶链各关键节点均有根</x:v>
      </x:c>
      <x:c r="K74" s="68" t="str">
        <x:v>有根链</x:v>
      </x:c>
      <x:c r="L74" s="68" t="str">
        <x:v>提高连续支持的稳定性</x:v>
      </x:c>
      <x:c r="M74" s="82" t="str">
        <x:v>增强</x:v>
      </x:c>
      <x:c r="N74" s="68" t="str">
        <x:v>中高</x:v>
      </x:c>
      <x:c r="O74" s="82" t="str">
        <x:v>中</x:v>
      </x:c>
      <x:c r="P74" s="68" t="str">
        <x:v>链条与各节点根气已识别</x:v>
      </x:c>
      <x:c r="Q74" s="68" t="str">
        <x:v>至少生源、中间、目标均有根</x:v>
      </x:c>
      <x:c r="R74" s="68" t="str">
        <x:v>根为本气、得令或透干相应</x:v>
      </x:c>
      <x:c r="S74" s="68" t="str">
        <x:v>关键节点仅余气或共享单一弱根</x:v>
      </x:c>
      <x:c r="T74" s="90" t="str">
        <x:v>不得忽略最弱节点</x:v>
      </x:c>
      <x:c r="U74" s="68" t="str">
        <x:v>实际有效根转M08</x:v>
      </x:c>
      <x:c r="V74" s="82" t="str">
        <x:v>否</x:v>
      </x:c>
      <x:c r="W74" s="84" t="str">
        <x:v>有根生扶链</x:v>
      </x:c>
      <x:c r="X74" s="84" t="str">
        <x:v>生扶链关键节点均有根，原始传递稳定性较高；链强度仍受最弱节点限制。</x:v>
      </x:c>
      <x:c r="Y74" s="82" t="str">
        <x:v>较高</x:v>
      </x:c>
      <x:c r="Z74" s="82" t="str">
        <x:v>现代综合</x:v>
      </x:c>
      <x:c r="AA74" s="68" t="str">
        <x:v>连续链必须逐节点承载。</x:v>
      </x:c>
      <x:c r="AB74" s="68" t="str">
        <x:v>金、水、木各有根，金生水生木的原始链较稳。</x:v>
      </x:c>
      <x:c r="AC74" s="90" t="str">
        <x:v>中间水无根却按完整强链处理。</x:v>
      </x:c>
      <x:c r="AD74" s="68" t="str">
        <x:v>经典原则经结构化整理；参见：https://zh.wikisource.org/zh-hans/滴天髓</x:v>
      </x:c>
      <x:c r="AE74" s="82" t="str">
        <x:v>采用</x:v>
      </x:c>
      <x:c r="AF74" s="82" t="str">
        <x:v>初审</x:v>
      </x:c>
      <x:c r="AG74" s="87" t="n">
        <x:v>46255</x:v>
      </x:c>
    </x:row>
    <x:row r="75">
      <x:c r="A75" s="72" t="str">
        <x:f>IF(OR(C75="",D75=""),"",B75&amp;"-"&amp;UPPER(C75)&amp;"-"&amp;TEXT(D75,"0000")&amp;"-"&amp;E75)</x:f>
        <x:v>M07-CHAIN-0069-V1.0</x:v>
      </x:c>
      <x:c r="B75" s="74" t="str">
        <x:v>M07</x:v>
      </x:c>
      <x:c r="C75" s="74" t="str">
        <x:v>CHAIN</x:v>
      </x:c>
      <x:c r="D75" s="79" t="n">
        <x:v>69</x:v>
      </x:c>
      <x:c r="E75" s="74" t="str">
        <x:v>V1.0</x:v>
      </x:c>
      <x:c r="F75" s="68" t="str">
        <x:v>中间桥梁缺失时不得判连续生扶</x:v>
      </x:c>
      <x:c r="G75" s="82" t="str">
        <x:v>结构层</x:v>
      </x:c>
      <x:c r="H75" s="68" t="str">
        <x:v>连续生扶/断点</x:v>
      </x:c>
      <x:c r="I75" s="82"/>
      <x:c r="J75" s="68" t="str">
        <x:v>上游与目标存在，但相生所需中间五行缺失</x:v>
      </x:c>
      <x:c r="K75" s="68" t="str">
        <x:v>缺桥</x:v>
      </x:c>
      <x:c r="L75" s="68" t="str">
        <x:v>不建立连续生扶正证，并标记潜在断点</x:v>
      </x:c>
      <x:c r="M75" s="82" t="str">
        <x:v>阻断</x:v>
      </x:c>
      <x:c r="N75" s="68" t="str">
        <x:v>高</x:v>
      </x:c>
      <x:c r="O75" s="82" t="str">
        <x:v>强</x:v>
      </x:c>
      <x:c r="P75" s="68" t="str">
        <x:v>五行生序已确定</x:v>
      </x:c>
      <x:c r="Q75" s="68" t="str">
        <x:v>中间桥梁确实不现</x:v>
      </x:c>
      <x:c r="R75" s="68" t="str">
        <x:v>无</x:v>
      </x:c>
      <x:c r="S75" s="68" t="str">
        <x:v>岁运补齐不属于原局M07</x:v>
      </x:c>
      <x:c r="T75" s="90" t="str">
        <x:v>禁止跨级相生或凭意象补桥</x:v>
      </x:c>
      <x:c r="U75" s="68" t="str">
        <x:v>通关候选转M12/D0</x:v>
      </x:c>
      <x:c r="V75" s="82" t="str">
        <x:v>否</x:v>
      </x:c>
      <x:c r="W75" s="84" t="str">
        <x:v>原始链断</x:v>
      </x:c>
      <x:c r="X75" s="84" t="str">
        <x:v>原局中间桥梁缺失，不能建立连续生扶链；是否需要通关由M12判断。</x:v>
      </x:c>
      <x:c r="Y75" s="82" t="str">
        <x:v>确定</x:v>
      </x:c>
      <x:c r="Z75" s="82" t="str">
        <x:v>现代综合</x:v>
      </x:c>
      <x:c r="AA75" s="68" t="str">
        <x:v>五行相生必须逐段存在。</x:v>
      </x:c>
      <x:c r="AB75" s="68" t="str">
        <x:v>金与木同见而水不现，金不能直接生木。</x:v>
      </x:c>
      <x:c r="AC75" s="90" t="str">
        <x:v>把金克木的关系解释为金绕过水直接生木。</x:v>
      </x:c>
      <x:c r="AD75" s="68" t="str">
        <x:v>经典原则经结构化整理；参见：https://zh.wikisource.org/zh-hans/滴天髓</x:v>
      </x:c>
      <x:c r="AE75" s="82" t="str">
        <x:v>采用</x:v>
      </x:c>
      <x:c r="AF75" s="82" t="str">
        <x:v>初审</x:v>
      </x:c>
      <x:c r="AG75" s="87" t="n">
        <x:v>46255</x:v>
      </x:c>
    </x:row>
    <x:row r="76">
      <x:c r="A76" s="72" t="str">
        <x:f>IF(OR(C76="",D76=""),"",B76&amp;"-"&amp;UPPER(C76)&amp;"-"&amp;TEXT(D76,"0000")&amp;"-"&amp;E76)</x:f>
        <x:v>M07-CHAIN-0070-V1.0</x:v>
      </x:c>
      <x:c r="B76" s="74" t="str">
        <x:v>M07</x:v>
      </x:c>
      <x:c r="C76" s="74" t="str">
        <x:v>CHAIN</x:v>
      </x:c>
      <x:c r="D76" s="79" t="n">
        <x:v>70</x:v>
      </x:c>
      <x:c r="E76" s="74" t="str">
        <x:v>V1.0</x:v>
      </x:c>
      <x:c r="F76" s="68" t="str">
        <x:v>链路越长原始传递权重越递减</x:v>
      </x:c>
      <x:c r="G76" s="82" t="str">
        <x:v>结构层</x:v>
      </x:c>
      <x:c r="H76" s="68" t="str">
        <x:v>连续生扶/链长</x:v>
      </x:c>
      <x:c r="I76" s="82"/>
      <x:c r="J76" s="68" t="str">
        <x:v>生扶路径包含三段及以上</x:v>
      </x:c>
      <x:c r="K76" s="68" t="str">
        <x:v>长链</x:v>
      </x:c>
      <x:c r="L76" s="68" t="str">
        <x:v>保留方向性证据但降低末端支持权重</x:v>
      </x:c>
      <x:c r="M76" s="82" t="str">
        <x:v>增强</x:v>
      </x:c>
      <x:c r="N76" s="68" t="str">
        <x:v>低</x:v>
      </x:c>
      <x:c r="O76" s="82" t="str">
        <x:v>弱</x:v>
      </x:c>
      <x:c r="P76" s="68" t="str">
        <x:v>所有中间节点真实存在</x:v>
      </x:c>
      <x:c r="Q76" s="68" t="str">
        <x:v>链条连续</x:v>
      </x:c>
      <x:c r="R76" s="68" t="str">
        <x:v>节点均强且有根透</x:v>
      </x:c>
      <x:c r="S76" s="68" t="str">
        <x:v>任一节点弱、无根或共享容量</x:v>
      </x:c>
      <x:c r="T76" s="90" t="str">
        <x:v>不得把长链末端与直接生扶同权</x:v>
      </x:c>
      <x:c r="U76" s="68" t="str">
        <x:v>具体卡点与回流转M12</x:v>
      </x:c>
      <x:c r="V76" s="82" t="str">
        <x:v>否</x:v>
      </x:c>
      <x:c r="W76" s="84" t="str">
        <x:v>长链衰减</x:v>
      </x:c>
      <x:c r="X76" s="84" t="str">
        <x:v>原局存在较长生扶链，末端仍可获方向性支持，但权重随链长递减并受最弱节点限制。</x:v>
      </x:c>
      <x:c r="Y76" s="82" t="str">
        <x:v>中等</x:v>
      </x:c>
      <x:c r="Z76" s="82" t="str">
        <x:v>现代综合</x:v>
      </x:c>
      <x:c r="AA76" s="68" t="str">
        <x:v>传递链存在衰减与容量约束。</x:v>
      </x:c>
      <x:c r="AB76" s="68" t="str">
        <x:v>土金水木四段连续且各有力，木可获辅助支持但不等同水直接旺生。</x:v>
      </x:c>
      <x:c r="AC76" s="90" t="str">
        <x:v>三四段长链的末端按直接强生源计算。</x:v>
      </x:c>
      <x:c r="AD76" s="68" t="str">
        <x:v>经典原则经结构化整理；参见：https://zh.wikisource.org/zh-hans/滴天髓</x:v>
      </x:c>
      <x:c r="AE76" s="82" t="str">
        <x:v>采用</x:v>
      </x:c>
      <x:c r="AF76" s="82" t="str">
        <x:v>初审</x:v>
      </x:c>
      <x:c r="AG76" s="87" t="n">
        <x:v>46255</x:v>
      </x:c>
    </x:row>
    <x:row r="77">
      <x:c r="A77" s="72" t="str">
        <x:f>IF(OR(C77="",D77=""),"",B77&amp;"-"&amp;UPPER(C77)&amp;"-"&amp;TEXT(D77,"0000")&amp;"-"&amp;E77)</x:f>
        <x:v>M07-AGG-0071-V1.0</x:v>
      </x:c>
      <x:c r="B77" s="74" t="str">
        <x:v>M07</x:v>
      </x:c>
      <x:c r="C77" s="74" t="str">
        <x:v>AGG</x:v>
      </x:c>
      <x:c r="D77" s="79" t="n">
        <x:v>71</x:v>
      </x:c>
      <x:c r="E77" s="74" t="str">
        <x:v>V1.0</x:v>
      </x:c>
      <x:c r="F77" s="68" t="str">
        <x:v>五行原始旺衰必须按证据矩阵而非单一总分汇总</x:v>
      </x:c>
      <x:c r="G77" s="82" t="str">
        <x:v>结构层</x:v>
      </x:c>
      <x:c r="H77" s="68" t="str">
        <x:v>综合/证据矩阵</x:v>
      </x:c>
      <x:c r="I77" s="82"/>
      <x:c r="J77" s="68" t="str">
        <x:v>季令、根气、透干、生源、同党、成势与链路证据已生成</x:v>
      </x:c>
      <x:c r="K77" s="68" t="str">
        <x:v>多维证据矩阵</x:v>
      </x:c>
      <x:c r="L77" s="68" t="str">
        <x:v>按独立性、强弱与方向汇总，允许保留正反并存</x:v>
      </x:c>
      <x:c r="M77" s="82" t="str">
        <x:v>条件性</x:v>
      </x:c>
      <x:c r="N77" s="68" t="str">
        <x:v>高</x:v>
      </x:c>
      <x:c r="O77" s="82" t="str">
        <x:v>决定性</x:v>
      </x:c>
      <x:c r="P77" s="68" t="str">
        <x:v>M07各子模块完成</x:v>
      </x:c>
      <x:c r="Q77" s="68" t="str">
        <x:v>每项证据可追溯到具体干支节点</x:v>
      </x:c>
      <x:c r="R77" s="68" t="str">
        <x:v>多类独立证据同向</x:v>
      </x:c>
      <x:c r="S77" s="68" t="str">
        <x:v>证据共源、互相依赖或方向冲突</x:v>
      </x:c>
      <x:c r="T77" s="90" t="str">
        <x:v>禁止以固定分数和简单相加代替结构判断</x:v>
      </x:c>
      <x:c r="U77" s="68" t="str">
        <x:v>可保留内部辅助权重，但不得越过规则裁决</x:v>
      </x:c>
      <x:c r="V77" s="82" t="str">
        <x:v>否</x:v>
      </x:c>
      <x:c r="W77" s="84" t="str">
        <x:v>原始旺衰矩阵</x:v>
      </x:c>
      <x:c r="X77" s="84" t="str">
        <x:v>原始旺衰由季令、根、透、源、党、势、链的证据矩阵综合，不采用单一计数或固定总分。</x:v>
      </x:c>
      <x:c r="Y77" s="82" t="str">
        <x:v>确定</x:v>
      </x:c>
      <x:c r="Z77" s="82" t="str">
        <x:v>现代综合</x:v>
      </x:c>
      <x:c r="AA77" s="68" t="str">
        <x:v>结构化证据比机械分值更能处理相关性与例外。</x:v>
      </x:c>
      <x:c r="AB77" s="68" t="str">
        <x:v>木得令、多根、多透但无水源，支持与缺源同时记录后判旺。</x:v>
      </x:c>
      <x:c r="AC77" s="90" t="str">
        <x:v>把所有证据换成固定百分比后直接相加。</x:v>
      </x:c>
      <x:c r="AD77" s="68" t="str">
        <x:v>经典原则经结构化整理；参见：https://zh.wikisource.org/zh-hans/滴天髓</x:v>
      </x:c>
      <x:c r="AE77" s="82" t="str">
        <x:v>采用</x:v>
      </x:c>
      <x:c r="AF77" s="82" t="str">
        <x:v>初审</x:v>
      </x:c>
      <x:c r="AG77" s="87" t="n">
        <x:v>46255</x:v>
      </x:c>
    </x:row>
    <x:row r="78">
      <x:c r="A78" s="72" t="str">
        <x:f>IF(OR(C78="",D78=""),"",B78&amp;"-"&amp;UPPER(C78)&amp;"-"&amp;TEXT(D78,"0000")&amp;"-"&amp;E78)</x:f>
        <x:v>M07-AGG-0072-V1.0</x:v>
      </x:c>
      <x:c r="B78" s="74" t="str">
        <x:v>M07</x:v>
      </x:c>
      <x:c r="C78" s="74" t="str">
        <x:v>AGG</x:v>
      </x:c>
      <x:c r="D78" s="79" t="n">
        <x:v>72</x:v>
      </x:c>
      <x:c r="E78" s="74" t="str">
        <x:v>V1.0</x:v>
      </x:c>
      <x:c r="F78" s="68" t="str">
        <x:v>原始旺衰统一输出七级候选</x:v>
      </x:c>
      <x:c r="G78" s="82" t="str">
        <x:v>结构层</x:v>
      </x:c>
      <x:c r="H78" s="68" t="str">
        <x:v>综合/七级制</x:v>
      </x:c>
      <x:c r="I78" s="82"/>
      <x:c r="J78" s="68" t="str">
        <x:v>证据矩阵完成并需形成等级结论</x:v>
      </x:c>
      <x:c r="K78" s="68" t="str">
        <x:v>极弱至极旺七级</x:v>
      </x:c>
      <x:c r="L78" s="68" t="str">
        <x:v>在极弱、弱、中和偏弱、中和、中和偏旺、旺、极旺中择一候选</x:v>
      </x:c>
      <x:c r="M78" s="82" t="str">
        <x:v>条件性</x:v>
      </x:c>
      <x:c r="N78" s="68" t="str">
        <x:v>高</x:v>
      </x:c>
      <x:c r="O78" s="82" t="str">
        <x:v>强</x:v>
      </x:c>
      <x:c r="P78" s="68" t="str">
        <x:v>正向、负向与反证均已列出</x:v>
      </x:c>
      <x:c r="Q78" s="68" t="str">
        <x:v>等级选择有明确依据</x:v>
      </x:c>
      <x:c r="R78" s="68" t="str">
        <x:v>证据高度一致、边界清晰</x:v>
      </x:c>
      <x:c r="S78" s="68" t="str">
        <x:v>关键证据缺失或存在流派争议</x:v>
      </x:c>
      <x:c r="T78" s="90" t="str">
        <x:v>不得只输出“旺/弱”而不说明偏度与置信度</x:v>
      </x:c>
      <x:c r="U78" s="68" t="str">
        <x:v>特殊格局不改变原始力量事实，但格局判断另行</x:v>
      </x:c>
      <x:c r="V78" s="82" t="str">
        <x:v>条件性</x:v>
      </x:c>
      <x:c r="W78" s="84" t="str">
        <x:v>七级原始旺衰</x:v>
      </x:c>
      <x:c r="X78" s="84" t="str">
        <x:v>目标五行原始旺衰暂定为【七级之一】，并附主要支持、主要反证与置信度。</x:v>
      </x:c>
      <x:c r="Y78" s="82" t="str">
        <x:v>较高</x:v>
      </x:c>
      <x:c r="Z78" s="82" t="str">
        <x:v>现代综合</x:v>
      </x:c>
      <x:c r="AA78" s="68" t="str">
        <x:v>七级制提高边界表达精度。</x:v>
      </x:c>
      <x:c r="AB78" s="68" t="str">
        <x:v>正负证据接近但略偏支持，可定中和偏旺而非简单旺。</x:v>
      </x:c>
      <x:c r="AC78" s="90" t="str">
        <x:v>证据混合仍强行二分为旺或弱。</x:v>
      </x:c>
      <x:c r="AD78" s="68" t="str">
        <x:v>经典原则经结构化整理；参见：https://zh.wikisource.org/zh-hans/滴天髓</x:v>
      </x:c>
      <x:c r="AE78" s="82" t="str">
        <x:v>采用</x:v>
      </x:c>
      <x:c r="AF78" s="82" t="str">
        <x:v>初审</x:v>
      </x:c>
      <x:c r="AG78" s="87" t="n">
        <x:v>46255</x:v>
      </x:c>
    </x:row>
    <x:row r="79">
      <x:c r="A79" s="72" t="str">
        <x:f>IF(OR(C79="",D79=""),"",B79&amp;"-"&amp;UPPER(C79)&amp;"-"&amp;TEXT(D79,"0000")&amp;"-"&amp;E79)</x:f>
        <x:v>M07-AGG-0073-V1.0</x:v>
      </x:c>
      <x:c r="B79" s="74" t="str">
        <x:v>M07</x:v>
      </x:c>
      <x:c r="C79" s="74" t="str">
        <x:v>AGG</x:v>
      </x:c>
      <x:c r="D79" s="79" t="n">
        <x:v>73</x:v>
      </x:c>
      <x:c r="E79" s="74" t="str">
        <x:v>V1.0</x:v>
      </x:c>
      <x:c r="F79" s="68" t="str">
        <x:v>极弱候选须同时满足多项核心缺失或强负证据</x:v>
      </x:c>
      <x:c r="G79" s="82" t="str">
        <x:v>结构层</x:v>
      </x:c>
      <x:c r="H79" s="68" t="str">
        <x:v>综合/极弱门槛</x:v>
      </x:c>
      <x:c r="I79" s="82"/>
      <x:c r="J79" s="68" t="str">
        <x:v>拟将目标五行判为极弱</x:v>
      </x:c>
      <x:c r="K79" s="68" t="str">
        <x:v>极弱候选</x:v>
      </x:c>
      <x:c r="L79" s="68" t="str">
        <x:v>要求季令强不利、无根或仅微根、无透或浮透、无强源党等多项共现</x:v>
      </x:c>
      <x:c r="M79" s="82" t="str">
        <x:v>减弱</x:v>
      </x:c>
      <x:c r="N79" s="68" t="str">
        <x:v>高</x:v>
      </x:c>
      <x:c r="O79" s="82" t="str">
        <x:v>决定性</x:v>
      </x:c>
      <x:c r="P79" s="68" t="str">
        <x:v>七级评估进入极弱边界</x:v>
      </x:c>
      <x:c r="Q79" s="68" t="str">
        <x:v>至少三类核心证据共同指向弱，且无强反证</x:v>
      </x:c>
      <x:c r="R79" s="68" t="str">
        <x:v>死囚令、完全无根、完全不现或仅孤弱点</x:v>
      </x:c>
      <x:c r="S79" s="68" t="str">
        <x:v>任何得令、多本气根、强源成党反证</x:v>
      </x:c>
      <x:c r="T79" s="90" t="str">
        <x:v>禁止由一项“失令”或“无根”单独判极弱</x:v>
      </x:c>
      <x:c r="U79" s="68" t="str">
        <x:v>从格是否成立仍转M14</x:v>
      </x:c>
      <x:c r="V79" s="82" t="str">
        <x:v>条件性</x:v>
      </x:c>
      <x:c r="W79" s="84" t="str">
        <x:v>极弱门槛</x:v>
      </x:c>
      <x:c r="X79" s="84" t="str">
        <x:v>目标五行只有在季令、根、透、源、党多项共同缺失或受限时，才进入极弱候选。</x:v>
      </x:c>
      <x:c r="Y79" s="82" t="str">
        <x:v>较高</x:v>
      </x:c>
      <x:c r="Z79" s="82" t="str">
        <x:v>现代综合</x:v>
      </x:c>
      <x:c r="AA79" s="68" t="str">
        <x:v>极端等级需要多证据收敛。</x:v>
      </x:c>
      <x:c r="AB79" s="68" t="str">
        <x:v>秋木死令、无寅卯亥根、甲乙不透、无水源，可判极弱候选。</x:v>
      </x:c>
      <x:c r="AC79" s="90" t="str">
        <x:v>木失令一项便判极弱。</x:v>
      </x:c>
      <x:c r="AD79" s="68" t="str">
        <x:v>经典原则经结构化整理；参见：https://zh.wikisource.org/zh-hans/滴天髓</x:v>
      </x:c>
      <x:c r="AE79" s="82" t="str">
        <x:v>采用</x:v>
      </x:c>
      <x:c r="AF79" s="82" t="str">
        <x:v>初审</x:v>
      </x:c>
      <x:c r="AG79" s="87" t="n">
        <x:v>46255</x:v>
      </x:c>
    </x:row>
    <x:row r="80">
      <x:c r="A80" s="72" t="str">
        <x:f>IF(OR(C80="",D80=""),"",B80&amp;"-"&amp;UPPER(C80)&amp;"-"&amp;TEXT(D80,"0000")&amp;"-"&amp;E80)</x:f>
        <x:v>M07-AGG-0074-V1.0</x:v>
      </x:c>
      <x:c r="B80" s="74" t="str">
        <x:v>M07</x:v>
      </x:c>
      <x:c r="C80" s="74" t="str">
        <x:v>AGG</x:v>
      </x:c>
      <x:c r="D80" s="79" t="n">
        <x:v>74</x:v>
      </x:c>
      <x:c r="E80" s="74" t="str">
        <x:v>V1.0</x:v>
      </x:c>
      <x:c r="F80" s="68" t="str">
        <x:v>极旺候选须具多维汇合且缺少有效反证</x:v>
      </x:c>
      <x:c r="G80" s="82" t="str">
        <x:v>结构层</x:v>
      </x:c>
      <x:c r="H80" s="68" t="str">
        <x:v>综合/极旺门槛</x:v>
      </x:c>
      <x:c r="I80" s="82"/>
      <x:c r="J80" s="68" t="str">
        <x:v>拟将目标五行判为极旺</x:v>
      </x:c>
      <x:c r="K80" s="68" t="str">
        <x:v>极旺候选</x:v>
      </x:c>
      <x:c r="L80" s="68" t="str">
        <x:v>要求得令或强相、多重本气根、多透同党、强生源或明显成势共同成立</x:v>
      </x:c>
      <x:c r="M80" s="82" t="str">
        <x:v>增强</x:v>
      </x:c>
      <x:c r="N80" s="68" t="str">
        <x:v>高</x:v>
      </x:c>
      <x:c r="O80" s="82" t="str">
        <x:v>决定性</x:v>
      </x:c>
      <x:c r="P80" s="68" t="str">
        <x:v>七级评估进入极旺边界</x:v>
      </x:c>
      <x:c r="Q80" s="68" t="str">
        <x:v>至少四类独立强证据汇合且反证不足</x:v>
      </x:c>
      <x:c r="R80" s="68" t="str">
        <x:v>全局气势高度集中、异类少且无法形成有效制泄候选</x:v>
      </x:c>
      <x:c r="S80" s="68" t="str">
        <x:v>失令、无根、无源、强异类集中等任一核心反证</x:v>
      </x:c>
      <x:c r="T80" s="90" t="str">
        <x:v>禁止由数量多或一处得令单独判极旺</x:v>
      </x:c>
      <x:c r="U80" s="68" t="str">
        <x:v>专旺或从旺格局另由M14严格验证</x:v>
      </x:c>
      <x:c r="V80" s="82" t="str">
        <x:v>条件性</x:v>
      </x:c>
      <x:c r="W80" s="84" t="str">
        <x:v>极旺门槛</x:v>
      </x:c>
      <x:c r="X80" s="84" t="str">
        <x:v>目标五行需令、根、透、源、党、势多维高度汇合且缺乏强反证，才可判极旺候选。</x:v>
      </x:c>
      <x:c r="Y80" s="82" t="str">
        <x:v>较高</x:v>
      </x:c>
      <x:c r="Z80" s="82" t="str">
        <x:v>现代综合</x:v>
      </x:c>
      <x:c r="AA80" s="68" t="str">
        <x:v>极旺比旺需要更严格的独立证据门槛。</x:v>
      </x:c>
      <x:c r="AB80" s="68" t="str">
        <x:v>春木得令，寅卯亥多根、甲乙多透、水源有力、全局木势集中，可判极旺候选。</x:v>
      </x:c>
      <x:c r="AC80" s="90" t="str">
        <x:v>四个木字一数便判极旺。</x:v>
      </x:c>
      <x:c r="AD80" s="68" t="str">
        <x:v>经典原则经结构化整理；参见：https://zh.wikisource.org/zh-hans/滴天髓</x:v>
      </x:c>
      <x:c r="AE80" s="82" t="str">
        <x:v>采用</x:v>
      </x:c>
      <x:c r="AF80" s="82" t="str">
        <x:v>初审</x:v>
      </x:c>
      <x:c r="AG80" s="87" t="n">
        <x:v>46255</x:v>
      </x:c>
    </x:row>
    <x:row r="81">
      <x:c r="A81" s="72" t="str">
        <x:f>IF(OR(C81="",D81=""),"",B81&amp;"-"&amp;UPPER(C81)&amp;"-"&amp;TEXT(D81,"0000")&amp;"-"&amp;E81)</x:f>
        <x:v>M07-AGG-0075-V1.0</x:v>
      </x:c>
      <x:c r="B81" s="74" t="str">
        <x:v>M07</x:v>
      </x:c>
      <x:c r="C81" s="74" t="str">
        <x:v>AGG</x:v>
      </x:c>
      <x:c r="D81" s="79" t="n">
        <x:v>75</x:v>
      </x:c>
      <x:c r="E81" s="74" t="str">
        <x:v>V1.0</x:v>
      </x:c>
      <x:c r="F81" s="68" t="str">
        <x:v>正负证据接近时使用中和三区间并说明偏向</x:v>
      </x:c>
      <x:c r="G81" s="82" t="str">
        <x:v>结构层</x:v>
      </x:c>
      <x:c r="H81" s="68" t="str">
        <x:v>综合/中和区间</x:v>
      </x:c>
      <x:c r="I81" s="82"/>
      <x:c r="J81" s="68" t="str">
        <x:v>支持与削弱证据均明显且无一方压倒</x:v>
      </x:c>
      <x:c r="K81" s="68" t="str">
        <x:v>中和偏弱/中和/中和偏旺</x:v>
      </x:c>
      <x:c r="L81" s="68" t="str">
        <x:v>根据独立证据优势方向选择中和三区间</x:v>
      </x:c>
      <x:c r="M81" s="82" t="str">
        <x:v>条件性</x:v>
      </x:c>
      <x:c r="N81" s="68" t="str">
        <x:v>中高</x:v>
      </x:c>
      <x:c r="O81" s="82" t="str">
        <x:v>中</x:v>
      </x:c>
      <x:c r="P81" s="68" t="str">
        <x:v>证据矩阵已去重</x:v>
      </x:c>
      <x:c r="Q81" s="68" t="str">
        <x:v>正负证据均有实质基础</x:v>
      </x:c>
      <x:c r="R81" s="68" t="str">
        <x:v>一方在季令或根气上略占优势</x:v>
      </x:c>
      <x:c r="S81" s="68" t="str">
        <x:v>证据缺失或高度争议</x:v>
      </x:c>
      <x:c r="T81" s="90" t="str">
        <x:v>不得为追求确定性强行判旺或弱</x:v>
      </x:c>
      <x:c r="U81" s="68" t="str">
        <x:v>置信度低时保留双候选并列</x:v>
      </x:c>
      <x:c r="V81" s="82" t="str">
        <x:v>条件性</x:v>
      </x:c>
      <x:c r="W81" s="84" t="str">
        <x:v>中和区间</x:v>
      </x:c>
      <x:c r="X81" s="84" t="str">
        <x:v>目标五行正负证据相近，按略占优势的一方定为中和偏弱、中和或中和偏旺，并明确反证。</x:v>
      </x:c>
      <x:c r="Y81" s="82" t="str">
        <x:v>较高</x:v>
      </x:c>
      <x:c r="Z81" s="82" t="str">
        <x:v>现代综合</x:v>
      </x:c>
      <x:c r="AA81" s="68" t="str">
        <x:v>中间区间能减少边界案例的过度二分。</x:v>
      </x:c>
      <x:c r="AB81" s="68" t="str">
        <x:v>木失令但多根有水生，金火亦有制泄，可能定中和偏旺而非旺。</x:v>
      </x:c>
      <x:c r="AC81" s="90" t="str">
        <x:v>证据均衡仍武断判极旺。</x:v>
      </x:c>
      <x:c r="AD81" s="68" t="str">
        <x:v>经典原则经结构化整理；参见：https://zh.wikisource.org/zh-hans/滴天髓</x:v>
      </x:c>
      <x:c r="AE81" s="82" t="str">
        <x:v>采用</x:v>
      </x:c>
      <x:c r="AF81" s="82" t="str">
        <x:v>初审</x:v>
      </x:c>
      <x:c r="AG81" s="87" t="n">
        <x:v>46255</x:v>
      </x:c>
    </x:row>
    <x:row r="82">
      <x:c r="A82" s="72" t="str">
        <x:f>IF(OR(C82="",D82=""),"",B82&amp;"-"&amp;UPPER(C82)&amp;"-"&amp;TEXT(D82,"0000")&amp;"-"&amp;E82)</x:f>
        <x:v>M07-AGG-0076-V1.0</x:v>
      </x:c>
      <x:c r="B82" s="74" t="str">
        <x:v>M07</x:v>
      </x:c>
      <x:c r="C82" s="74" t="str">
        <x:v>AGG</x:v>
      </x:c>
      <x:c r="D82" s="79" t="n">
        <x:v>76</x:v>
      </x:c>
      <x:c r="E82" s="74" t="str">
        <x:v>V1.0</x:v>
      </x:c>
      <x:c r="F82" s="68" t="str">
        <x:v>原始旺衰输出必须包含主证、反证、等级与置信度</x:v>
      </x:c>
      <x:c r="G82" s="82" t="str">
        <x:v>结构层</x:v>
      </x:c>
      <x:c r="H82" s="68" t="str">
        <x:v>综合/输出规范</x:v>
      </x:c>
      <x:c r="I82" s="82"/>
      <x:c r="J82" s="68" t="str">
        <x:v>完成任一五行原始旺衰判断</x:v>
      </x:c>
      <x:c r="K82" s="68" t="str">
        <x:v>结构化输出</x:v>
      </x:c>
      <x:c r="L82" s="68" t="str">
        <x:v>输出原始等级、季令、根、透、源、党、势、主要反证及置信度</x:v>
      </x:c>
      <x:c r="M82" s="82" t="str">
        <x:v>不变</x:v>
      </x:c>
      <x:c r="N82" s="68" t="str">
        <x:v>高</x:v>
      </x:c>
      <x:c r="O82" s="82" t="str">
        <x:v>强</x:v>
      </x:c>
      <x:c r="P82" s="68" t="str">
        <x:v>M07评估完成</x:v>
      </x:c>
      <x:c r="Q82" s="68" t="str">
        <x:v>至少一项主证与一项反证或无反证说明</x:v>
      </x:c>
      <x:c r="R82" s="68" t="str">
        <x:v>证据来源Rule_ID与干支节点完整</x:v>
      </x:c>
      <x:c r="S82" s="68" t="str">
        <x:v>输入缺失、月令边界或流派争议</x:v>
      </x:c>
      <x:c r="T82" s="90" t="str">
        <x:v>禁止只输出一个等级标签</x:v>
      </x:c>
      <x:c r="U82" s="68" t="str">
        <x:v>五行完全不现时仍需说明无根无透无源等依据</x:v>
      </x:c>
      <x:c r="V82" s="82" t="str">
        <x:v>否</x:v>
      </x:c>
      <x:c r="W82" s="84" t="str">
        <x:v>原始旺衰输出</x:v>
      </x:c>
      <x:c r="X82" s="84" t="str">
        <x:v>原始旺衰：【等级】；主证：【令/根/透/源/党/势】；反证：【内容】；置信度：【等级】。</x:v>
      </x:c>
      <x:c r="Y82" s="82" t="str">
        <x:v>确定</x:v>
      </x:c>
      <x:c r="Z82" s="82" t="str">
        <x:v>现代综合</x:v>
      </x:c>
      <x:c r="AA82" s="68" t="str">
        <x:v>可追溯输出是后续M08修正的接口。</x:v>
      </x:c>
      <x:c r="AB82" s="68" t="str">
        <x:v>输出“水原始旺：得令、多根、双透；反证为火土泄耗候选；置信度较高”。</x:v>
      </x:c>
      <x:c r="AC82" s="90" t="str">
        <x:v>只写“水旺”，不说明任何证据。</x:v>
      </x:c>
      <x:c r="AD82" s="68" t="str">
        <x:v>经典原则经结构化整理；参见：https://zh.wikisource.org/zh-hans/滴天髓</x:v>
      </x:c>
      <x:c r="AE82" s="82" t="str">
        <x:v>采用</x:v>
      </x:c>
      <x:c r="AF82" s="82" t="str">
        <x:v>初审</x:v>
      </x:c>
      <x:c r="AG82" s="87" t="n">
        <x:v>46255</x:v>
      </x:c>
    </x:row>
    <x:row r="83">
      <x:c r="A83" s="72" t="str">
        <x:f>IF(OR(C83="",D83=""),"",B83&amp;"-"&amp;UPPER(C83)&amp;"-"&amp;TEXT(D83,"0000")&amp;"-"&amp;E83)</x:f>
        <x:v>M07-BOUND-0077-V1.0</x:v>
      </x:c>
      <x:c r="B83" s="74" t="str">
        <x:v>M07</x:v>
      </x:c>
      <x:c r="C83" s="74" t="str">
        <x:v>BOUND</x:v>
      </x:c>
      <x:c r="D83" s="79" t="n">
        <x:v>77</x:v>
      </x:c>
      <x:c r="E83" s="74" t="str">
        <x:v>V1.0</x:v>
      </x:c>
      <x:c r="F83" s="68" t="str">
        <x:v>M07不得提前应用合冲刑害造成的增减与改性</x:v>
      </x:c>
      <x:c r="G83" s="82" t="str">
        <x:v>结构层</x:v>
      </x:c>
      <x:c r="H83" s="68" t="str">
        <x:v>边界/原始有效分层</x:v>
      </x:c>
      <x:c r="I83" s="82"/>
      <x:c r="J83" s="68" t="str">
        <x:v>目标节点参与M04—M06关系</x:v>
      </x:c>
      <x:c r="K83" s="68" t="str">
        <x:v>关系效应尚未进入有效力量层</x:v>
      </x:c>
      <x:c r="L83" s="68" t="str">
        <x:v>M07按原始干支与藏干事实计力，关系修正全部转M08</x:v>
      </x:c>
      <x:c r="M83" s="82" t="str">
        <x:v>不变</x:v>
      </x:c>
      <x:c r="N83" s="68" t="str">
        <x:v>高</x:v>
      </x:c>
      <x:c r="O83" s="82" t="str">
        <x:v>决定性</x:v>
      </x:c>
      <x:c r="P83" s="68" t="str">
        <x:v>M02/M03事实层完成</x:v>
      </x:c>
      <x:c r="Q83" s="68" t="str">
        <x:v>原始输入未变</x:v>
      </x:c>
      <x:c r="R83" s="68" t="str">
        <x:v>无</x:v>
      </x:c>
      <x:c r="S83" s="68" t="str">
        <x:v>无</x:v>
      </x:c>
      <x:c r="T83" s="90" t="str">
        <x:v>禁止在M07因合冲刑害直接加减、归零或改五行</x:v>
      </x:c>
      <x:c r="U83" s="68" t="str">
        <x:v>M06已确认的效应只作为M08输入，不回写原始层</x:v>
      </x:c>
      <x:c r="V83" s="82" t="str">
        <x:v>否</x:v>
      </x:c>
      <x:c r="W83" s="84" t="str">
        <x:v>原始层边界</x:v>
      </x:c>
      <x:c r="X83" s="84" t="str">
        <x:v>本模块仅评估关系修正前的原始力量；合冲刑害的增减、冻结、激活与改性由M08处理。</x:v>
      </x:c>
      <x:c r="Y83" s="82" t="str">
        <x:v>确定</x:v>
      </x:c>
      <x:c r="Z83" s="82" t="str">
        <x:v>现代综合</x:v>
      </x:c>
      <x:c r="AA83" s="68" t="str">
        <x:v>原始—有效双系统必须保持单向依赖。</x:v>
      </x:c>
      <x:c r="AB83" s="68" t="str">
        <x:v>申子辰仍按原始三支入M07，成水局效应在M08修正。</x:v>
      </x:c>
      <x:c r="AC83" s="90" t="str">
        <x:v>一见三合就在M07覆盖原支五行。</x:v>
      </x:c>
      <x:c r="AD83" s="68" t="str">
        <x:v>经典原则经结构化整理；参见：https://zh.wikisource.org/zh-hans/滴天髓</x:v>
      </x:c>
      <x:c r="AE83" s="82" t="str">
        <x:v>采用</x:v>
      </x:c>
      <x:c r="AF83" s="82" t="str">
        <x:v>初审</x:v>
      </x:c>
      <x:c r="AG83" s="87" t="n">
        <x:v>46255</x:v>
      </x:c>
    </x:row>
    <x:row r="84">
      <x:c r="A84" s="72" t="str">
        <x:f>IF(OR(C84="",D84=""),"",B84&amp;"-"&amp;UPPER(C84)&amp;"-"&amp;TEXT(D84,"0000")&amp;"-"&amp;E84)</x:f>
        <x:v>M07-BOUND-0078-V1.0</x:v>
      </x:c>
      <x:c r="B84" s="74" t="str">
        <x:v>M07</x:v>
      </x:c>
      <x:c r="C84" s="74" t="str">
        <x:v>BOUND</x:v>
      </x:c>
      <x:c r="D84" s="79" t="n">
        <x:v>78</x:v>
      </x:c>
      <x:c r="E84" s="74" t="str">
        <x:v>V1.0</x:v>
      </x:c>
      <x:c r="F84" s="68" t="str">
        <x:v>参考权重不得转换为固定百分比或机械总分</x:v>
      </x:c>
      <x:c r="G84" s="82" t="str">
        <x:v>结构层</x:v>
      </x:c>
      <x:c r="H84" s="68" t="str">
        <x:v>边界/禁止固定分值</x:v>
      </x:c>
      <x:c r="I84" s="82"/>
      <x:c r="J84" s="68" t="str">
        <x:v>需要比较多类证据强弱</x:v>
      </x:c>
      <x:c r="K84" s="68" t="str">
        <x:v>高、中、低等参考权重</x:v>
      </x:c>
      <x:c r="L84" s="68" t="str">
        <x:v>仅用于排序与解释，不生成固定百分比</x:v>
      </x:c>
      <x:c r="M84" s="82" t="str">
        <x:v>不变</x:v>
      </x:c>
      <x:c r="N84" s="68" t="str">
        <x:v>高</x:v>
      </x:c>
      <x:c r="O84" s="82" t="str">
        <x:v>决定性</x:v>
      </x:c>
      <x:c r="P84" s="68" t="str">
        <x:v>规则权重标签已定义</x:v>
      </x:c>
      <x:c r="Q84" s="68" t="str">
        <x:v>输出保留结构判断</x:v>
      </x:c>
      <x:c r="R84" s="68" t="str">
        <x:v>案例测试可校准相对优先级</x:v>
      </x:c>
      <x:c r="S84" s="68" t="str">
        <x:v>试图跨八字使用统一分数阈值</x:v>
      </x:c>
      <x:c r="T84" s="90" t="str">
        <x:v>禁止“得令40分、根气30分”等固定公式直接定旺衰</x:v>
      </x:c>
      <x:c r="U84" s="68" t="str">
        <x:v>内部实验分值必须与正式结论分离并转M20验证</x:v>
      </x:c>
      <x:c r="V84" s="82" t="str">
        <x:v>否</x:v>
      </x:c>
      <x:c r="W84" s="84" t="str">
        <x:v>非机械计分</x:v>
      </x:c>
      <x:c r="X84" s="84" t="str">
        <x:v>本库权重只表示证据优先级，不换算固定百分比；最终等级由条件、反证与边界规则裁定。</x:v>
      </x:c>
      <x:c r="Y84" s="82" t="str">
        <x:v>确定</x:v>
      </x:c>
      <x:c r="Z84" s="82" t="str">
        <x:v>现代综合</x:v>
      </x:c>
      <x:c r="AA84" s="68" t="str">
        <x:v>固定分值难以处理共源、例外与非线性。</x:v>
      </x:c>
      <x:c r="AB84" s="68" t="str">
        <x:v>用高/中/低描述证据，再由规则门槛判等级。</x:v>
      </x:c>
      <x:c r="AC84" s="90" t="str">
        <x:v>所有八字统一按相同百分比相加。</x:v>
      </x:c>
      <x:c r="AD84" s="68" t="str">
        <x:v>经典原则经结构化整理；参见：https://zh.wikisource.org/zh-hans/滴天髓</x:v>
      </x:c>
      <x:c r="AE84" s="82" t="str">
        <x:v>采用</x:v>
      </x:c>
      <x:c r="AF84" s="82" t="str">
        <x:v>初审</x:v>
      </x:c>
      <x:c r="AG84" s="87" t="n">
        <x:v>46255</x:v>
      </x:c>
    </x:row>
    <x:row r="85">
      <x:c r="A85" s="72" t="str">
        <x:f>IF(OR(C85="",D85=""),"",B85&amp;"-"&amp;UPPER(C85)&amp;"-"&amp;TEXT(D85,"0000")&amp;"-"&amp;E85)</x:f>
        <x:v>M07-BOUND-0079-V1.0</x:v>
      </x:c>
      <x:c r="B85" s="74" t="str">
        <x:v>M07</x:v>
      </x:c>
      <x:c r="C85" s="74" t="str">
        <x:v>BOUND</x:v>
      </x:c>
      <x:c r="D85" s="79" t="n">
        <x:v>79</x:v>
      </x:c>
      <x:c r="E85" s="74" t="str">
        <x:v>V1.0</x:v>
      </x:c>
      <x:c r="F85" s="68" t="str">
        <x:v>原始旺衰不能直接推出喜神忌神或吉凶</x:v>
      </x:c>
      <x:c r="G85" s="82" t="str">
        <x:v>结构层</x:v>
      </x:c>
      <x:c r="H85" s="68" t="str">
        <x:v>边界/强弱喜忌分离</x:v>
      </x:c>
      <x:c r="I85" s="82"/>
      <x:c r="J85" s="68" t="str">
        <x:v>已得到某五行原始旺或弱结论</x:v>
      </x:c>
      <x:c r="K85" s="68" t="str">
        <x:v>强弱事实</x:v>
      </x:c>
      <x:c r="L85" s="68" t="str">
        <x:v>只向M08/M09/M10输出力量证据，不在M07评价喜忌</x:v>
      </x:c>
      <x:c r="M85" s="82" t="str">
        <x:v>不变</x:v>
      </x:c>
      <x:c r="N85" s="68" t="str">
        <x:v>高</x:v>
      </x:c>
      <x:c r="O85" s="82" t="str">
        <x:v>决定性</x:v>
      </x:c>
      <x:c r="P85" s="68" t="str">
        <x:v>M07等级已生成</x:v>
      </x:c>
      <x:c r="Q85" s="68" t="str">
        <x:v>明确当前结论仅为原始力量</x:v>
      </x:c>
      <x:c r="R85" s="68" t="str">
        <x:v>无</x:v>
      </x:c>
      <x:c r="S85" s="68" t="str">
        <x:v>无</x:v>
      </x:c>
      <x:c r="T85" s="90" t="str">
        <x:v>禁止“旺即忌、弱即喜”或“缺即补”</x:v>
      </x:c>
      <x:c r="U85" s="68" t="str">
        <x:v>喜忌由格局、调候、通关、病药与承载综合裁决</x:v>
      </x:c>
      <x:c r="V85" s="82" t="str">
        <x:v>否</x:v>
      </x:c>
      <x:c r="W85" s="84" t="str">
        <x:v>强弱喜忌分离</x:v>
      </x:c>
      <x:c r="X85" s="84" t="str">
        <x:v>目标五行原始强弱只描述力量，不直接决定吉凶与喜忌；用神判断须进入M17/M18。</x:v>
      </x:c>
      <x:c r="Y85" s="82" t="str">
        <x:v>确定</x:v>
      </x:c>
      <x:c r="Z85" s="82" t="str">
        <x:v>跨流派共识</x:v>
      </x:c>
      <x:c r="AA85" s="68" t="str">
        <x:v>同一强五行可能有用或有害，取决于结构功能。</x:v>
      </x:c>
      <x:c r="AB85" s="68" t="str">
        <x:v>官杀旺但有印化、食制时，旺不必然为忌。</x:v>
      </x:c>
      <x:c r="AC85" s="90" t="str">
        <x:v>见某五行弱就直接列为喜神。</x:v>
      </x:c>
      <x:c r="AD85" s="68" t="str">
        <x:v>经典原则经结构化整理；参见：https://zh.wikisource.org/zh-hans/滴天髓</x:v>
      </x:c>
      <x:c r="AE85" s="82" t="str">
        <x:v>采用</x:v>
      </x:c>
      <x:c r="AF85" s="82" t="str">
        <x:v>初审</x:v>
      </x:c>
      <x:c r="AG85" s="87" t="n">
        <x:v>46255</x:v>
      </x:c>
    </x:row>
    <x:row r="86">
      <x:c r="A86" s="72" t="str">
        <x:f>IF(OR(C86="",D86=""),"",B86&amp;"-"&amp;UPPER(C86)&amp;"-"&amp;TEXT(D86,"0000")&amp;"-"&amp;E86)</x:f>
        <x:v>M07-BOUND-0080-V1.0</x:v>
      </x:c>
      <x:c r="B86" s="74" t="str">
        <x:v>M07</x:v>
      </x:c>
      <x:c r="C86" s="74" t="str">
        <x:v>BOUND</x:v>
      </x:c>
      <x:c r="D86" s="79" t="n">
        <x:v>80</x:v>
      </x:c>
      <x:c r="E86" s="74" t="str">
        <x:v>V1.0</x:v>
      </x:c>
      <x:c r="F86" s="68" t="str">
        <x:v>共享节点与共源证据不得重复全额调用</x:v>
      </x:c>
      <x:c r="G86" s="82" t="str">
        <x:v>结构层</x:v>
      </x:c>
      <x:c r="H86" s="68" t="str">
        <x:v>边界/证据容量</x:v>
      </x:c>
      <x:c r="I86" s="82"/>
      <x:c r="J86" s="68" t="str">
        <x:v>同一干支节点同时承担季令、根、透、同党、生源等多个标签</x:v>
      </x:c>
      <x:c r="K86" s="68" t="str">
        <x:v>共享证据</x:v>
      </x:c>
      <x:c r="L86" s="68" t="str">
        <x:v>保留多维标签但按共享容量与相关性降低汇总权重</x:v>
      </x:c>
      <x:c r="M86" s="82" t="str">
        <x:v>不变</x:v>
      </x:c>
      <x:c r="N86" s="68" t="str">
        <x:v>高</x:v>
      </x:c>
      <x:c r="O86" s="82" t="str">
        <x:v>决定性</x:v>
      </x:c>
      <x:c r="P86" s="68" t="str">
        <x:v>每条证据已标注来源节点</x:v>
      </x:c>
      <x:c r="Q86" s="68" t="str">
        <x:v>能够识别证据共源</x:v>
      </x:c>
      <x:c r="R86" s="68" t="str">
        <x:v>另有独立节点提供同类证据</x:v>
      </x:c>
      <x:c r="S86" s="68" t="str">
        <x:v>所有支持集中于同一节点</x:v>
      </x:c>
      <x:c r="T86" s="90" t="str">
        <x:v>禁止同一节点在多个维度中被重复全额计力</x:v>
      </x:c>
      <x:c r="U86" s="68" t="str">
        <x:v>后续M08多重关系同样遵守共享容量原则</x:v>
      </x:c>
      <x:c r="V86" s="82" t="str">
        <x:v>否</x:v>
      </x:c>
      <x:c r="W86" s="84" t="str">
        <x:v>证据容量约束</x:v>
      </x:c>
      <x:c r="X86" s="84" t="str">
        <x:v>同一干支可承担多个解释标签，但有效证据容量不能被重复全额调用；独立节点才形成新增支持。</x:v>
      </x:c>
      <x:c r="Y86" s="82" t="str">
        <x:v>确定</x:v>
      </x:c>
      <x:c r="Z86" s="82" t="str">
        <x:v>现代综合</x:v>
      </x:c>
      <x:c r="AA86" s="68" t="str">
        <x:v>去重是原始旺衰稳定性的最终保障。</x:v>
      </x:c>
      <x:c r="AB86" s="68" t="str">
        <x:v>寅月甲木同时具有得令、月支根与同党含义，汇总时标记共源。</x:v>
      </x:c>
      <x:c r="AC86" s="90" t="str">
        <x:v>同一寅木被按得令、强根、同党、成势四次满额计算。</x:v>
      </x:c>
      <x:c r="AD86" s="68" t="str">
        <x:v>经典原则经结构化整理；参见：https://zh.wikisource.org/zh-hans/滴天髓</x:v>
      </x:c>
      <x:c r="AE86" s="82" t="str">
        <x:v>采用</x:v>
      </x:c>
      <x:c r="AF86" s="82" t="str">
        <x:v>初审</x:v>
      </x:c>
      <x:c r="AG86" s="87" t="n">
        <x:v>46255</x:v>
      </x:c>
    </x:row>
    <x:row r="87">
      <x:c r="A87" s="72" t="str">
        <x:f>IF(OR(C87="",D87=""),"",B87&amp;"-"&amp;UPPER(C87)&amp;"-"&amp;TEXT(D87,"0000")&amp;"-"&amp;E87)</x:f>
      </x:c>
      <x:c r="B87" s="74" t="str">
        <x:v>M07</x:v>
      </x:c>
      <x:c r="C87" s="74"/>
      <x:c r="D87" s="79"/>
      <x:c r="E87" s="74" t="str">
        <x:v>V1.0</x:v>
      </x:c>
      <x:c r="F87" s="68"/>
      <x:c r="G87" s="82"/>
      <x:c r="H87" s="68"/>
      <x:c r="I87" s="82"/>
      <x:c r="J87" s="68"/>
      <x:c r="K87" s="68"/>
      <x:c r="L87" s="68"/>
      <x:c r="M87" s="82"/>
      <x:c r="N87" s="68"/>
      <x:c r="O87" s="82"/>
      <x:c r="P87" s="68"/>
      <x:c r="Q87" s="68"/>
      <x:c r="R87" s="68"/>
      <x:c r="S87" s="68"/>
      <x:c r="T87" s="90"/>
      <x:c r="U87" s="68"/>
      <x:c r="V87" s="82"/>
      <x:c r="W87" s="84"/>
      <x:c r="X87" s="84"/>
      <x:c r="Y87" s="82"/>
      <x:c r="Z87" s="82"/>
      <x:c r="AA87" s="68"/>
      <x:c r="AB87" s="68"/>
      <x:c r="AC87" s="90"/>
      <x:c r="AD87" s="68"/>
      <x:c r="AE87" s="82"/>
      <x:c r="AF87" s="82"/>
      <x:c r="AG87" s="87"/>
    </x:row>
    <x:row r="88">
      <x:c r="A88" s="72" t="str">
        <x:f>IF(OR(C88="",D88=""),"",B88&amp;"-"&amp;UPPER(C88)&amp;"-"&amp;TEXT(D88,"0000")&amp;"-"&amp;E88)</x:f>
      </x:c>
      <x:c r="B88" s="74" t="str">
        <x:v>M07</x:v>
      </x:c>
      <x:c r="C88" s="74"/>
      <x:c r="D88" s="79"/>
      <x:c r="E88" s="74" t="str">
        <x:v>V1.0</x:v>
      </x:c>
      <x:c r="F88" s="68"/>
      <x:c r="G88" s="82"/>
      <x:c r="H88" s="68"/>
      <x:c r="I88" s="82"/>
      <x:c r="J88" s="68"/>
      <x:c r="K88" s="68"/>
      <x:c r="L88" s="68"/>
      <x:c r="M88" s="82"/>
      <x:c r="N88" s="68"/>
      <x:c r="O88" s="82"/>
      <x:c r="P88" s="68"/>
      <x:c r="Q88" s="68"/>
      <x:c r="R88" s="68"/>
      <x:c r="S88" s="68"/>
      <x:c r="T88" s="90"/>
      <x:c r="U88" s="68"/>
      <x:c r="V88" s="82"/>
      <x:c r="W88" s="84"/>
      <x:c r="X88" s="84"/>
      <x:c r="Y88" s="82"/>
      <x:c r="Z88" s="82"/>
      <x:c r="AA88" s="68"/>
      <x:c r="AB88" s="68"/>
      <x:c r="AC88" s="90"/>
      <x:c r="AD88" s="68"/>
      <x:c r="AE88" s="82"/>
      <x:c r="AF88" s="82"/>
      <x:c r="AG88" s="87"/>
    </x:row>
    <x:row r="89">
      <x:c r="A89" s="72" t="str">
        <x:f>IF(OR(C89="",D89=""),"",B89&amp;"-"&amp;UPPER(C89)&amp;"-"&amp;TEXT(D89,"0000")&amp;"-"&amp;E89)</x:f>
      </x:c>
      <x:c r="B89" s="74" t="str">
        <x:v>M07</x:v>
      </x:c>
      <x:c r="C89" s="74"/>
      <x:c r="D89" s="79"/>
      <x:c r="E89" s="74" t="str">
        <x:v>V1.0</x:v>
      </x:c>
      <x:c r="F89" s="68"/>
      <x:c r="G89" s="82"/>
      <x:c r="H89" s="68"/>
      <x:c r="I89" s="82"/>
      <x:c r="J89" s="68"/>
      <x:c r="K89" s="68"/>
      <x:c r="L89" s="68"/>
      <x:c r="M89" s="82"/>
      <x:c r="N89" s="68"/>
      <x:c r="O89" s="82"/>
      <x:c r="P89" s="68"/>
      <x:c r="Q89" s="68"/>
      <x:c r="R89" s="68"/>
      <x:c r="S89" s="68"/>
      <x:c r="T89" s="90"/>
      <x:c r="U89" s="68"/>
      <x:c r="V89" s="82"/>
      <x:c r="W89" s="84"/>
      <x:c r="X89" s="84"/>
      <x:c r="Y89" s="82"/>
      <x:c r="Z89" s="82"/>
      <x:c r="AA89" s="68"/>
      <x:c r="AB89" s="68"/>
      <x:c r="AC89" s="90"/>
      <x:c r="AD89" s="68"/>
      <x:c r="AE89" s="82"/>
      <x:c r="AF89" s="82"/>
      <x:c r="AG89" s="87"/>
    </x:row>
    <x:row r="90">
      <x:c r="A90" s="72" t="str">
        <x:f>IF(OR(C90="",D90=""),"",B90&amp;"-"&amp;UPPER(C90)&amp;"-"&amp;TEXT(D90,"0000")&amp;"-"&amp;E90)</x:f>
      </x:c>
      <x:c r="B90" s="74" t="str">
        <x:v>M07</x:v>
      </x:c>
      <x:c r="C90" s="74"/>
      <x:c r="D90" s="79"/>
      <x:c r="E90" s="74" t="str">
        <x:v>V1.0</x:v>
      </x:c>
      <x:c r="F90" s="68"/>
      <x:c r="G90" s="82"/>
      <x:c r="H90" s="68"/>
      <x:c r="I90" s="82"/>
      <x:c r="J90" s="68"/>
      <x:c r="K90" s="68"/>
      <x:c r="L90" s="68"/>
      <x:c r="M90" s="82"/>
      <x:c r="N90" s="68"/>
      <x:c r="O90" s="82"/>
      <x:c r="P90" s="68"/>
      <x:c r="Q90" s="68"/>
      <x:c r="R90" s="68"/>
      <x:c r="S90" s="68"/>
      <x:c r="T90" s="90"/>
      <x:c r="U90" s="68"/>
      <x:c r="V90" s="82"/>
      <x:c r="W90" s="84"/>
      <x:c r="X90" s="84"/>
      <x:c r="Y90" s="82"/>
      <x:c r="Z90" s="82"/>
      <x:c r="AA90" s="68"/>
      <x:c r="AB90" s="68"/>
      <x:c r="AC90" s="90"/>
      <x:c r="AD90" s="68"/>
      <x:c r="AE90" s="82"/>
      <x:c r="AF90" s="82"/>
      <x:c r="AG90" s="87"/>
    </x:row>
    <x:row r="91">
      <x:c r="A91" s="72" t="str">
        <x:f>IF(OR(C91="",D91=""),"",B91&amp;"-"&amp;UPPER(C91)&amp;"-"&amp;TEXT(D91,"0000")&amp;"-"&amp;E91)</x:f>
      </x:c>
      <x:c r="B91" s="74" t="str">
        <x:v>M07</x:v>
      </x:c>
      <x:c r="C91" s="74"/>
      <x:c r="D91" s="79"/>
      <x:c r="E91" s="74" t="str">
        <x:v>V1.0</x:v>
      </x:c>
      <x:c r="F91" s="68"/>
      <x:c r="G91" s="82"/>
      <x:c r="H91" s="68"/>
      <x:c r="I91" s="82"/>
      <x:c r="J91" s="68"/>
      <x:c r="K91" s="68"/>
      <x:c r="L91" s="68"/>
      <x:c r="M91" s="82"/>
      <x:c r="N91" s="68"/>
      <x:c r="O91" s="82"/>
      <x:c r="P91" s="68"/>
      <x:c r="Q91" s="68"/>
      <x:c r="R91" s="68"/>
      <x:c r="S91" s="68"/>
      <x:c r="T91" s="90"/>
      <x:c r="U91" s="68"/>
      <x:c r="V91" s="82"/>
      <x:c r="W91" s="84"/>
      <x:c r="X91" s="84"/>
      <x:c r="Y91" s="82"/>
      <x:c r="Z91" s="82"/>
      <x:c r="AA91" s="68"/>
      <x:c r="AB91" s="68"/>
      <x:c r="AC91" s="90"/>
      <x:c r="AD91" s="68"/>
      <x:c r="AE91" s="82"/>
      <x:c r="AF91" s="82"/>
      <x:c r="AG91" s="87"/>
    </x:row>
    <x:row r="92">
      <x:c r="A92" s="72" t="str">
        <x:f>IF(OR(C92="",D92=""),"",B92&amp;"-"&amp;UPPER(C92)&amp;"-"&amp;TEXT(D92,"0000")&amp;"-"&amp;E92)</x:f>
      </x:c>
      <x:c r="B92" s="74" t="str">
        <x:v>M07</x:v>
      </x:c>
      <x:c r="C92" s="74"/>
      <x:c r="D92" s="79"/>
      <x:c r="E92" s="74" t="str">
        <x:v>V1.0</x:v>
      </x:c>
      <x:c r="F92" s="68"/>
      <x:c r="G92" s="82"/>
      <x:c r="H92" s="68"/>
      <x:c r="I92" s="82"/>
      <x:c r="J92" s="68"/>
      <x:c r="K92" s="68"/>
      <x:c r="L92" s="68"/>
      <x:c r="M92" s="82"/>
      <x:c r="N92" s="68"/>
      <x:c r="O92" s="82"/>
      <x:c r="P92" s="68"/>
      <x:c r="Q92" s="68"/>
      <x:c r="R92" s="68"/>
      <x:c r="S92" s="68"/>
      <x:c r="T92" s="90"/>
      <x:c r="U92" s="68"/>
      <x:c r="V92" s="82"/>
      <x:c r="W92" s="84"/>
      <x:c r="X92" s="84"/>
      <x:c r="Y92" s="82"/>
      <x:c r="Z92" s="82"/>
      <x:c r="AA92" s="68"/>
      <x:c r="AB92" s="68"/>
      <x:c r="AC92" s="90"/>
      <x:c r="AD92" s="68"/>
      <x:c r="AE92" s="82"/>
      <x:c r="AF92" s="82"/>
      <x:c r="AG92" s="87"/>
    </x:row>
    <x:row r="93">
      <x:c r="A93" s="72" t="str">
        <x:f>IF(OR(C93="",D93=""),"",B93&amp;"-"&amp;UPPER(C93)&amp;"-"&amp;TEXT(D93,"0000")&amp;"-"&amp;E93)</x:f>
      </x:c>
      <x:c r="B93" s="74" t="str">
        <x:v>M07</x:v>
      </x:c>
      <x:c r="C93" s="74"/>
      <x:c r="D93" s="79"/>
      <x:c r="E93" s="74" t="str">
        <x:v>V1.0</x:v>
      </x:c>
      <x:c r="F93" s="68"/>
      <x:c r="G93" s="82"/>
      <x:c r="H93" s="68"/>
      <x:c r="I93" s="82"/>
      <x:c r="J93" s="68"/>
      <x:c r="K93" s="68"/>
      <x:c r="L93" s="68"/>
      <x:c r="M93" s="82"/>
      <x:c r="N93" s="68"/>
      <x:c r="O93" s="82"/>
      <x:c r="P93" s="68"/>
      <x:c r="Q93" s="68"/>
      <x:c r="R93" s="68"/>
      <x:c r="S93" s="68"/>
      <x:c r="T93" s="90"/>
      <x:c r="U93" s="68"/>
      <x:c r="V93" s="82"/>
      <x:c r="W93" s="84"/>
      <x:c r="X93" s="84"/>
      <x:c r="Y93" s="82"/>
      <x:c r="Z93" s="82"/>
      <x:c r="AA93" s="68"/>
      <x:c r="AB93" s="68"/>
      <x:c r="AC93" s="90"/>
      <x:c r="AD93" s="68"/>
      <x:c r="AE93" s="82"/>
      <x:c r="AF93" s="82"/>
      <x:c r="AG93" s="87"/>
    </x:row>
    <x:row r="94">
      <x:c r="A94" s="72" t="str">
        <x:f>IF(OR(C94="",D94=""),"",B94&amp;"-"&amp;UPPER(C94)&amp;"-"&amp;TEXT(D94,"0000")&amp;"-"&amp;E94)</x:f>
      </x:c>
      <x:c r="B94" s="74" t="str">
        <x:v>M07</x:v>
      </x:c>
      <x:c r="C94" s="74"/>
      <x:c r="D94" s="79"/>
      <x:c r="E94" s="74" t="str">
        <x:v>V1.0</x:v>
      </x:c>
      <x:c r="F94" s="68"/>
      <x:c r="G94" s="82"/>
      <x:c r="H94" s="68"/>
      <x:c r="I94" s="82"/>
      <x:c r="J94" s="68"/>
      <x:c r="K94" s="68"/>
      <x:c r="L94" s="68"/>
      <x:c r="M94" s="82"/>
      <x:c r="N94" s="68"/>
      <x:c r="O94" s="82"/>
      <x:c r="P94" s="68"/>
      <x:c r="Q94" s="68"/>
      <x:c r="R94" s="68"/>
      <x:c r="S94" s="68"/>
      <x:c r="T94" s="90"/>
      <x:c r="U94" s="68"/>
      <x:c r="V94" s="82"/>
      <x:c r="W94" s="84"/>
      <x:c r="X94" s="84"/>
      <x:c r="Y94" s="82"/>
      <x:c r="Z94" s="82"/>
      <x:c r="AA94" s="68"/>
      <x:c r="AB94" s="68"/>
      <x:c r="AC94" s="90"/>
      <x:c r="AD94" s="68"/>
      <x:c r="AE94" s="82"/>
      <x:c r="AF94" s="82"/>
      <x:c r="AG94" s="87"/>
    </x:row>
    <x:row r="95">
      <x:c r="A95" s="72" t="str">
        <x:f>IF(OR(C95="",D95=""),"",B95&amp;"-"&amp;UPPER(C95)&amp;"-"&amp;TEXT(D95,"0000")&amp;"-"&amp;E95)</x:f>
      </x:c>
      <x:c r="B95" s="74" t="str">
        <x:v>M07</x:v>
      </x:c>
      <x:c r="C95" s="74"/>
      <x:c r="D95" s="79"/>
      <x:c r="E95" s="74" t="str">
        <x:v>V1.0</x:v>
      </x:c>
      <x:c r="F95" s="68"/>
      <x:c r="G95" s="82"/>
      <x:c r="H95" s="68"/>
      <x:c r="I95" s="82"/>
      <x:c r="J95" s="68"/>
      <x:c r="K95" s="68"/>
      <x:c r="L95" s="68"/>
      <x:c r="M95" s="82"/>
      <x:c r="N95" s="68"/>
      <x:c r="O95" s="82"/>
      <x:c r="P95" s="68"/>
      <x:c r="Q95" s="68"/>
      <x:c r="R95" s="68"/>
      <x:c r="S95" s="68"/>
      <x:c r="T95" s="90"/>
      <x:c r="U95" s="68"/>
      <x:c r="V95" s="82"/>
      <x:c r="W95" s="84"/>
      <x:c r="X95" s="84"/>
      <x:c r="Y95" s="82"/>
      <x:c r="Z95" s="82"/>
      <x:c r="AA95" s="68"/>
      <x:c r="AB95" s="68"/>
      <x:c r="AC95" s="90"/>
      <x:c r="AD95" s="68"/>
      <x:c r="AE95" s="82"/>
      <x:c r="AF95" s="82"/>
      <x:c r="AG95" s="87"/>
    </x:row>
    <x:row r="96">
      <x:c r="A96" s="72" t="str">
        <x:f>IF(OR(C96="",D96=""),"",B96&amp;"-"&amp;UPPER(C96)&amp;"-"&amp;TEXT(D96,"0000")&amp;"-"&amp;E96)</x:f>
      </x:c>
      <x:c r="B96" s="74" t="str">
        <x:v>M07</x:v>
      </x:c>
      <x:c r="C96" s="74"/>
      <x:c r="D96" s="79"/>
      <x:c r="E96" s="74" t="str">
        <x:v>V1.0</x:v>
      </x:c>
      <x:c r="F96" s="68"/>
      <x:c r="G96" s="82"/>
      <x:c r="H96" s="68"/>
      <x:c r="I96" s="82"/>
      <x:c r="J96" s="68"/>
      <x:c r="K96" s="68"/>
      <x:c r="L96" s="68"/>
      <x:c r="M96" s="82"/>
      <x:c r="N96" s="68"/>
      <x:c r="O96" s="82"/>
      <x:c r="P96" s="68"/>
      <x:c r="Q96" s="68"/>
      <x:c r="R96" s="68"/>
      <x:c r="S96" s="68"/>
      <x:c r="T96" s="90"/>
      <x:c r="U96" s="68"/>
      <x:c r="V96" s="82"/>
      <x:c r="W96" s="84"/>
      <x:c r="X96" s="84"/>
      <x:c r="Y96" s="82"/>
      <x:c r="Z96" s="82"/>
      <x:c r="AA96" s="68"/>
      <x:c r="AB96" s="68"/>
      <x:c r="AC96" s="90"/>
      <x:c r="AD96" s="68"/>
      <x:c r="AE96" s="82"/>
      <x:c r="AF96" s="82"/>
      <x:c r="AG96" s="87"/>
    </x:row>
    <x:row r="97">
      <x:c r="A97" s="72" t="str">
        <x:f>IF(OR(C97="",D97=""),"",B97&amp;"-"&amp;UPPER(C97)&amp;"-"&amp;TEXT(D97,"0000")&amp;"-"&amp;E97)</x:f>
      </x:c>
      <x:c r="B97" s="74" t="str">
        <x:v>M07</x:v>
      </x:c>
      <x:c r="C97" s="74"/>
      <x:c r="D97" s="79"/>
      <x:c r="E97" s="74" t="str">
        <x:v>V1.0</x:v>
      </x:c>
      <x:c r="F97" s="68"/>
      <x:c r="G97" s="82"/>
      <x:c r="H97" s="68"/>
      <x:c r="I97" s="82"/>
      <x:c r="J97" s="68"/>
      <x:c r="K97" s="68"/>
      <x:c r="L97" s="68"/>
      <x:c r="M97" s="82"/>
      <x:c r="N97" s="68"/>
      <x:c r="O97" s="82"/>
      <x:c r="P97" s="68"/>
      <x:c r="Q97" s="68"/>
      <x:c r="R97" s="68"/>
      <x:c r="S97" s="68"/>
      <x:c r="T97" s="90"/>
      <x:c r="U97" s="68"/>
      <x:c r="V97" s="82"/>
      <x:c r="W97" s="84"/>
      <x:c r="X97" s="84"/>
      <x:c r="Y97" s="82"/>
      <x:c r="Z97" s="82"/>
      <x:c r="AA97" s="68"/>
      <x:c r="AB97" s="68"/>
      <x:c r="AC97" s="90"/>
      <x:c r="AD97" s="68"/>
      <x:c r="AE97" s="82"/>
      <x:c r="AF97" s="82"/>
      <x:c r="AG97" s="87"/>
    </x:row>
    <x:row r="98">
      <x:c r="A98" s="72" t="str">
        <x:f>IF(OR(C98="",D98=""),"",B98&amp;"-"&amp;UPPER(C98)&amp;"-"&amp;TEXT(D98,"0000")&amp;"-"&amp;E98)</x:f>
      </x:c>
      <x:c r="B98" s="74" t="str">
        <x:v>M07</x:v>
      </x:c>
      <x:c r="C98" s="74"/>
      <x:c r="D98" s="79"/>
      <x:c r="E98" s="74" t="str">
        <x:v>V1.0</x:v>
      </x:c>
      <x:c r="F98" s="68"/>
      <x:c r="G98" s="82"/>
      <x:c r="H98" s="68"/>
      <x:c r="I98" s="82"/>
      <x:c r="J98" s="68"/>
      <x:c r="K98" s="68"/>
      <x:c r="L98" s="68"/>
      <x:c r="M98" s="82"/>
      <x:c r="N98" s="68"/>
      <x:c r="O98" s="82"/>
      <x:c r="P98" s="68"/>
      <x:c r="Q98" s="68"/>
      <x:c r="R98" s="68"/>
      <x:c r="S98" s="68"/>
      <x:c r="T98" s="90"/>
      <x:c r="U98" s="68"/>
      <x:c r="V98" s="82"/>
      <x:c r="W98" s="84"/>
      <x:c r="X98" s="84"/>
      <x:c r="Y98" s="82"/>
      <x:c r="Z98" s="82"/>
      <x:c r="AA98" s="68"/>
      <x:c r="AB98" s="68"/>
      <x:c r="AC98" s="90"/>
      <x:c r="AD98" s="68"/>
      <x:c r="AE98" s="82"/>
      <x:c r="AF98" s="82"/>
      <x:c r="AG98" s="87"/>
    </x:row>
    <x:row r="99">
      <x:c r="A99" s="72" t="str">
        <x:f>IF(OR(C99="",D99=""),"",B99&amp;"-"&amp;UPPER(C99)&amp;"-"&amp;TEXT(D99,"0000")&amp;"-"&amp;E99)</x:f>
      </x:c>
      <x:c r="B99" s="74" t="str">
        <x:v>M07</x:v>
      </x:c>
      <x:c r="C99" s="74"/>
      <x:c r="D99" s="79"/>
      <x:c r="E99" s="74" t="str">
        <x:v>V1.0</x:v>
      </x:c>
      <x:c r="F99" s="68"/>
      <x:c r="G99" s="82"/>
      <x:c r="H99" s="68"/>
      <x:c r="I99" s="82"/>
      <x:c r="J99" s="68"/>
      <x:c r="K99" s="68"/>
      <x:c r="L99" s="68"/>
      <x:c r="M99" s="82"/>
      <x:c r="N99" s="68"/>
      <x:c r="O99" s="82"/>
      <x:c r="P99" s="68"/>
      <x:c r="Q99" s="68"/>
      <x:c r="R99" s="68"/>
      <x:c r="S99" s="68"/>
      <x:c r="T99" s="90"/>
      <x:c r="U99" s="68"/>
      <x:c r="V99" s="82"/>
      <x:c r="W99" s="84"/>
      <x:c r="X99" s="84"/>
      <x:c r="Y99" s="82"/>
      <x:c r="Z99" s="82"/>
      <x:c r="AA99" s="68"/>
      <x:c r="AB99" s="68"/>
      <x:c r="AC99" s="90"/>
      <x:c r="AD99" s="68"/>
      <x:c r="AE99" s="82"/>
      <x:c r="AF99" s="82"/>
      <x:c r="AG99" s="87"/>
    </x:row>
    <x:row r="100">
      <x:c r="A100" s="72" t="str">
        <x:f>IF(OR(C100="",D100=""),"",B100&amp;"-"&amp;UPPER(C100)&amp;"-"&amp;TEXT(D100,"0000")&amp;"-"&amp;E100)</x:f>
      </x:c>
      <x:c r="B100" s="74" t="str">
        <x:v>M07</x:v>
      </x:c>
      <x:c r="C100" s="74"/>
      <x:c r="D100" s="79"/>
      <x:c r="E100" s="74" t="str">
        <x:v>V1.0</x:v>
      </x:c>
      <x:c r="F100" s="68"/>
      <x:c r="G100" s="82"/>
      <x:c r="H100" s="68"/>
      <x:c r="I100" s="82"/>
      <x:c r="J100" s="68"/>
      <x:c r="K100" s="68"/>
      <x:c r="L100" s="68"/>
      <x:c r="M100" s="82"/>
      <x:c r="N100" s="68"/>
      <x:c r="O100" s="82"/>
      <x:c r="P100" s="68"/>
      <x:c r="Q100" s="68"/>
      <x:c r="R100" s="68"/>
      <x:c r="S100" s="68"/>
      <x:c r="T100" s="90"/>
      <x:c r="U100" s="68"/>
      <x:c r="V100" s="82"/>
      <x:c r="W100" s="84"/>
      <x:c r="X100" s="84"/>
      <x:c r="Y100" s="82"/>
      <x:c r="Z100" s="82"/>
      <x:c r="AA100" s="68"/>
      <x:c r="AB100" s="68"/>
      <x:c r="AC100" s="90"/>
      <x:c r="AD100" s="68"/>
      <x:c r="AE100" s="82"/>
      <x:c r="AF100" s="82"/>
      <x:c r="AG100" s="87"/>
    </x:row>
    <x:row r="101">
      <x:c r="A101" s="72" t="str">
        <x:f>IF(OR(C101="",D101=""),"",B101&amp;"-"&amp;UPPER(C101)&amp;"-"&amp;TEXT(D101,"0000")&amp;"-"&amp;E101)</x:f>
      </x:c>
      <x:c r="B101" s="74" t="str">
        <x:v>M07</x:v>
      </x:c>
      <x:c r="C101" s="74"/>
      <x:c r="D101" s="79"/>
      <x:c r="E101" s="74" t="str">
        <x:v>V1.0</x:v>
      </x:c>
      <x:c r="F101" s="68"/>
      <x:c r="G101" s="82"/>
      <x:c r="H101" s="68"/>
      <x:c r="I101" s="82"/>
      <x:c r="J101" s="68"/>
      <x:c r="K101" s="68"/>
      <x:c r="L101" s="68"/>
      <x:c r="M101" s="82"/>
      <x:c r="N101" s="68"/>
      <x:c r="O101" s="82"/>
      <x:c r="P101" s="68"/>
      <x:c r="Q101" s="68"/>
      <x:c r="R101" s="68"/>
      <x:c r="S101" s="68"/>
      <x:c r="T101" s="90"/>
      <x:c r="U101" s="68"/>
      <x:c r="V101" s="82"/>
      <x:c r="W101" s="84"/>
      <x:c r="X101" s="84"/>
      <x:c r="Y101" s="82"/>
      <x:c r="Z101" s="82"/>
      <x:c r="AA101" s="68"/>
      <x:c r="AB101" s="68"/>
      <x:c r="AC101" s="90"/>
      <x:c r="AD101" s="68"/>
      <x:c r="AE101" s="82"/>
      <x:c r="AF101" s="82"/>
      <x:c r="AG101" s="87"/>
    </x:row>
    <x:row r="102">
      <x:c r="A102" s="72" t="str">
        <x:f>IF(OR(C102="",D102=""),"",B102&amp;"-"&amp;UPPER(C102)&amp;"-"&amp;TEXT(D102,"0000")&amp;"-"&amp;E102)</x:f>
      </x:c>
      <x:c r="B102" s="74" t="str">
        <x:v>M07</x:v>
      </x:c>
      <x:c r="C102" s="74"/>
      <x:c r="D102" s="79"/>
      <x:c r="E102" s="74" t="str">
        <x:v>V1.0</x:v>
      </x:c>
      <x:c r="F102" s="68"/>
      <x:c r="G102" s="82"/>
      <x:c r="H102" s="68"/>
      <x:c r="I102" s="82"/>
      <x:c r="J102" s="68"/>
      <x:c r="K102" s="68"/>
      <x:c r="L102" s="68"/>
      <x:c r="M102" s="82"/>
      <x:c r="N102" s="68"/>
      <x:c r="O102" s="82"/>
      <x:c r="P102" s="68"/>
      <x:c r="Q102" s="68"/>
      <x:c r="R102" s="68"/>
      <x:c r="S102" s="68"/>
      <x:c r="T102" s="90"/>
      <x:c r="U102" s="68"/>
      <x:c r="V102" s="82"/>
      <x:c r="W102" s="84"/>
      <x:c r="X102" s="84"/>
      <x:c r="Y102" s="82"/>
      <x:c r="Z102" s="82"/>
      <x:c r="AA102" s="68"/>
      <x:c r="AB102" s="68"/>
      <x:c r="AC102" s="90"/>
      <x:c r="AD102" s="68"/>
      <x:c r="AE102" s="82"/>
      <x:c r="AF102" s="82"/>
      <x:c r="AG102" s="87"/>
    </x:row>
    <x:row r="103">
      <x:c r="A103" s="72" t="str">
        <x:f>IF(OR(C103="",D103=""),"",B103&amp;"-"&amp;UPPER(C103)&amp;"-"&amp;TEXT(D103,"0000")&amp;"-"&amp;E103)</x:f>
      </x:c>
      <x:c r="B103" s="74" t="str">
        <x:v>M07</x:v>
      </x:c>
      <x:c r="C103" s="74"/>
      <x:c r="D103" s="79"/>
      <x:c r="E103" s="74" t="str">
        <x:v>V1.0</x:v>
      </x:c>
      <x:c r="F103" s="68"/>
      <x:c r="G103" s="82"/>
      <x:c r="H103" s="68"/>
      <x:c r="I103" s="82"/>
      <x:c r="J103" s="68"/>
      <x:c r="K103" s="68"/>
      <x:c r="L103" s="68"/>
      <x:c r="M103" s="82"/>
      <x:c r="N103" s="68"/>
      <x:c r="O103" s="82"/>
      <x:c r="P103" s="68"/>
      <x:c r="Q103" s="68"/>
      <x:c r="R103" s="68"/>
      <x:c r="S103" s="68"/>
      <x:c r="T103" s="90"/>
      <x:c r="U103" s="68"/>
      <x:c r="V103" s="82"/>
      <x:c r="W103" s="84"/>
      <x:c r="X103" s="84"/>
      <x:c r="Y103" s="82"/>
      <x:c r="Z103" s="82"/>
      <x:c r="AA103" s="68"/>
      <x:c r="AB103" s="68"/>
      <x:c r="AC103" s="90"/>
      <x:c r="AD103" s="68"/>
      <x:c r="AE103" s="82"/>
      <x:c r="AF103" s="82"/>
      <x:c r="AG103" s="87"/>
    </x:row>
    <x:row r="104">
      <x:c r="A104" s="72" t="str">
        <x:f>IF(OR(C104="",D104=""),"",B104&amp;"-"&amp;UPPER(C104)&amp;"-"&amp;TEXT(D104,"0000")&amp;"-"&amp;E104)</x:f>
      </x:c>
      <x:c r="B104" s="74" t="str">
        <x:v>M07</x:v>
      </x:c>
      <x:c r="C104" s="74"/>
      <x:c r="D104" s="79"/>
      <x:c r="E104" s="74" t="str">
        <x:v>V1.0</x:v>
      </x:c>
      <x:c r="F104" s="68"/>
      <x:c r="G104" s="82"/>
      <x:c r="H104" s="68"/>
      <x:c r="I104" s="82"/>
      <x:c r="J104" s="68"/>
      <x:c r="K104" s="68"/>
      <x:c r="L104" s="68"/>
      <x:c r="M104" s="82"/>
      <x:c r="N104" s="68"/>
      <x:c r="O104" s="82"/>
      <x:c r="P104" s="68"/>
      <x:c r="Q104" s="68"/>
      <x:c r="R104" s="68"/>
      <x:c r="S104" s="68"/>
      <x:c r="T104" s="90"/>
      <x:c r="U104" s="68"/>
      <x:c r="V104" s="82"/>
      <x:c r="W104" s="84"/>
      <x:c r="X104" s="84"/>
      <x:c r="Y104" s="82"/>
      <x:c r="Z104" s="82"/>
      <x:c r="AA104" s="68"/>
      <x:c r="AB104" s="68"/>
      <x:c r="AC104" s="90"/>
      <x:c r="AD104" s="68"/>
      <x:c r="AE104" s="82"/>
      <x:c r="AF104" s="82"/>
      <x:c r="AG104" s="87"/>
    </x:row>
    <x:row r="105">
      <x:c r="A105" s="72" t="str">
        <x:f>IF(OR(C105="",D105=""),"",B105&amp;"-"&amp;UPPER(C105)&amp;"-"&amp;TEXT(D105,"0000")&amp;"-"&amp;E105)</x:f>
      </x:c>
      <x:c r="B105" s="74" t="str">
        <x:v>M07</x:v>
      </x:c>
      <x:c r="C105" s="74"/>
      <x:c r="D105" s="79"/>
      <x:c r="E105" s="74" t="str">
        <x:v>V1.0</x:v>
      </x:c>
      <x:c r="F105" s="68"/>
      <x:c r="G105" s="82"/>
      <x:c r="H105" s="68"/>
      <x:c r="I105" s="82"/>
      <x:c r="J105" s="68"/>
      <x:c r="K105" s="68"/>
      <x:c r="L105" s="68"/>
      <x:c r="M105" s="82"/>
      <x:c r="N105" s="68"/>
      <x:c r="O105" s="82"/>
      <x:c r="P105" s="68"/>
      <x:c r="Q105" s="68"/>
      <x:c r="R105" s="68"/>
      <x:c r="S105" s="68"/>
      <x:c r="T105" s="90"/>
      <x:c r="U105" s="68"/>
      <x:c r="V105" s="82"/>
      <x:c r="W105" s="84"/>
      <x:c r="X105" s="84"/>
      <x:c r="Y105" s="82"/>
      <x:c r="Z105" s="82"/>
      <x:c r="AA105" s="68"/>
      <x:c r="AB105" s="68"/>
      <x:c r="AC105" s="90"/>
      <x:c r="AD105" s="68"/>
      <x:c r="AE105" s="82"/>
      <x:c r="AF105" s="82"/>
      <x:c r="AG105" s="87"/>
    </x:row>
  </x:sheetData>
  <x:mergeCells>
    <x:mergeCell ref="A1:O1"/>
    <x:mergeCell ref="A2:O2"/>
    <x:mergeCell ref="A3:O3"/>
    <x:mergeCell ref="A4:O4"/>
  </x:mergeCells>
  <x:conditionalFormatting sqref="A6:A105">
    <x:cfRule type="expression" dxfId="5" priority="1">
      <x:formula>AND(A6&lt;&gt;"",COUNTIF($A$6:$A$105,A6)&gt;1)</x:formula>
    </x:cfRule>
  </x:conditionalFormatting>
  <x:dataValidations count="12">
    <x:dataValidation type="list" sqref="E6:E105">
      <x:formula1>'99_下拉选项'!$BG$4:$BG$12</x:formula1>
    </x:dataValidation>
    <x:dataValidation type="list" sqref="G6:G105">
      <x:formula1>'99_下拉选项'!$F$4:$F$7</x:formula1>
    </x:dataValidation>
    <x:dataValidation type="list" sqref="I6:I105">
      <x:formula1>'99_下拉选项'!$D$4:$D$8</x:formula1>
    </x:dataValidation>
    <x:dataValidation type="list" sqref="M6:M105">
      <x:formula1>'99_下拉选项'!$M$4:$M$12</x:formula1>
    </x:dataValidation>
    <x:dataValidation type="list" sqref="O6:O105">
      <x:formula1>'99_下拉选项'!$N$4:$N$8</x:formula1>
    </x:dataValidation>
    <x:dataValidation type="list" sqref="V6:V105">
      <x:formula1>'99_下拉选项'!$X$4:$X$7</x:formula1>
    </x:dataValidation>
    <x:dataValidation type="list" sqref="Y6:Y105">
      <x:formula1>'99_下拉选项'!$Q$4:$Q$8</x:formula1>
    </x:dataValidation>
    <x:dataValidation type="list" sqref="Z6:Z105">
      <x:formula1>'99_下拉选项'!$R$4:$R$11</x:formula1>
    </x:dataValidation>
    <x:dataValidation type="list" sqref="AE6:AE105">
      <x:formula1>'99_下拉选项'!$S$4:$S$9</x:formula1>
    </x:dataValidation>
    <x:dataValidation type="list" sqref="AF6:AF105">
      <x:formula1>'99_下拉选项'!$T$4:$T$8</x:formula1>
    </x:dataValidation>
    <x:dataValidation type="list" sqref="E6:E130">
      <x:formula1>'99_下拉选项'!$BG$4:$BG$14</x:formula1>
    </x:dataValidation>
    <x:dataValidation type="list" sqref="E7:E105">
      <x:formula1>'99_下拉选项'!$BG$4:$BG$19</x:formula1>
    </x:dataValidation>
  </x:dataValidations>
  <x:pageMargins left="0.7" right="0.7" top="0.75" bottom="0.75" header="0.3" footer="0.3"/>
  <x:tableParts count="1">
    <x:tablePart xmlns:r="http://schemas.openxmlformats.org/officeDocument/2006/relationships" r:id="R1e820e0638fe495b"/>
  </x:tableParts>
</x:worksheet>
</file>

<file path=xl/worksheets/sheet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30" hidden="0" customWidth="1"/>
    <x:col min="10" max="10" width="30" hidden="0" customWidth="1"/>
    <x:col min="11" max="11" width="30"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M08｜五行有效力量修正规则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将M07原始力量经合冲刑害、生克泄耗、根气变化、合化成局、寒凝燥枯与流通状态修正为真正可发挥的有效力量。本版录入110条正式规则，形成根源透达、克泄耗、改性、气候与流通的统一修正链。</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前置依赖：M06/M07　｜　主要输出：五行有效旺衰、可用性与修正原因　｜　直接下游：M09/M10/M11/M12/M13/M14/M16/M17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填写约束：一行只写一条原子规则；M08只承接M06实际效应，不直接读取M05关系名；同源证据必须去重；固定百分比不得作为最终裁决；有效旺衰与喜忌用神严格分离。示例行序号9999，不计入正式规则。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修正来源</x:v>
      </x:c>
      <x:c r="I5" s="61" t="str">
        <x:v>作用对象</x:v>
      </x:c>
      <x:c r="J5" s="61" t="str">
        <x:v>原始状态</x:v>
      </x:c>
      <x:c r="K5" s="61" t="str">
        <x:v>相互作用</x:v>
      </x:c>
      <x:c r="L5" s="61" t="str">
        <x:v>有效力量修正</x:v>
      </x:c>
      <x:c r="M5" s="61" t="str">
        <x:v>作用方向</x:v>
      </x:c>
      <x:c r="N5" s="61" t="str">
        <x:v>作用等级</x:v>
      </x:c>
      <x:c r="O5" s="61" t="str">
        <x:v>是否改变根气</x:v>
      </x:c>
      <x:c r="P5" s="61" t="str">
        <x:v>是否改变生源</x:v>
      </x:c>
      <x:c r="Q5" s="61" t="str">
        <x:v>是否改变透达</x:v>
      </x:c>
      <x:c r="R5" s="61" t="str">
        <x:v>是否影响流通</x:v>
      </x:c>
      <x:c r="S5" s="61" t="str">
        <x:v>前置条件</x:v>
      </x:c>
      <x:c r="T5" s="61" t="str">
        <x:v>必要条件</x:v>
      </x:c>
      <x:c r="U5" s="61" t="str">
        <x:v>增强条件</x:v>
      </x:c>
      <x:c r="V5" s="61" t="str">
        <x:v>削弱条件</x:v>
      </x:c>
      <x:c r="W5" s="61" t="str">
        <x:v>否决条件</x:v>
      </x:c>
      <x:c r="X5" s="61" t="str">
        <x:v>例外条件</x:v>
      </x:c>
      <x:c r="Y5" s="61" t="str">
        <x:v>有效旺衰结论</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M08-DEMO-9999-V0.1</x:v>
      </x:c>
      <x:c r="B6" s="76" t="str">
        <x:v>M08</x:v>
      </x:c>
      <x:c r="C6" s="76" t="str">
        <x:v>DEMO</x:v>
      </x:c>
      <x:c r="D6" s="78" t="n">
        <x:v>9999</x:v>
      </x:c>
      <x:c r="E6" s="76" t="str">
        <x:v>V0.1</x:v>
      </x:c>
      <x:c r="F6" s="76" t="str">
        <x:v>根被冲需评估有效性而非自动删除</x:v>
      </x:c>
      <x:c r="G6" s="76" t="str">
        <x:v>结构层</x:v>
      </x:c>
      <x:c r="H6" s="76" t="str">
        <x:v>M06冲的实际效应</x:v>
      </x:c>
      <x:c r="I6" s="76" t="str">
        <x:v>被冲地支所承载五行</x:v>
      </x:c>
      <x:c r="J6" s="76" t="str">
        <x:v>有根</x:v>
      </x:c>
      <x:c r="K6" s="76" t="str">
        <x:v>根支受冲</x:v>
      </x:c>
      <x:c r="L6" s="76" t="str">
        <x:v>按冲动、冲散、冲弱、冲开等实际效应调整</x:v>
      </x:c>
      <x:c r="M6" s="76" t="str">
        <x:v>条件性</x:v>
      </x:c>
      <x:c r="N6" s="76" t="str">
        <x:v>待定</x:v>
      </x:c>
      <x:c r="O6" s="76" t="str">
        <x:v>条件性</x:v>
      </x:c>
      <x:c r="P6" s="76" t="str">
        <x:v>条件性</x:v>
      </x:c>
      <x:c r="Q6" s="76" t="str">
        <x:v>条件性</x:v>
      </x:c>
      <x:c r="R6" s="76" t="str">
        <x:v>是</x:v>
      </x:c>
      <x:c r="S6" s="76" t="str">
        <x:v>M06已对双方强弱与叠加关系作出效应判断</x:v>
      </x:c>
      <x:c r="T6" s="76" t="str">
        <x:v>明确该根是否唯一、是否得令、是否有同党</x:v>
      </x:c>
      <x:c r="U6" s="76" t="str">
        <x:v>根支得令有援，冲可表现为引动而非失根</x:v>
      </x:c>
      <x:c r="V6" s="76" t="str">
        <x:v>唯一弱根被强支冲且无救应</x:v>
      </x:c>
      <x:c r="W6" s="76" t="str">
        <x:v>禁止将所有受冲根气统一记为零</x:v>
      </x:c>
      <x:c r="X6" s="76" t="str">
        <x:v>强弱悬殊且唯一根被实质冲散时可判根气失效</x:v>
      </x:c>
      <x:c r="Y6" s="76" t="str">
        <x:v>根气可能有效、受限或失效，需按证据分级</x:v>
      </x:c>
      <x:c r="Z6" s="76" t="str">
        <x:v>不得由“受冲”直接推出日主身弱</x:v>
      </x:c>
      <x:c r="AA6" s="76" t="str">
        <x:v>根气有效性修正</x:v>
      </x:c>
      <x:c r="AB6" s="76" t="str">
        <x:v>该根受冲，但是否减力及是否失效取决于双方有效力量与救应；当前标记为条件性修正。</x:v>
      </x:c>
      <x:c r="AC6" s="76" t="str">
        <x:v>较高</x:v>
      </x:c>
      <x:c r="AD6" s="76" t="str">
        <x:v>现代综合</x:v>
      </x:c>
      <x:c r="AE6" s="76" t="str">
        <x:v>有效旺衰必须承接效应层，而不是把关系名直接换算成固定分值。</x:v>
      </x:c>
      <x:c r="AF6" s="76" t="str">
        <x:v>唯一弱根被强冲且无援，可判根气明显受损。</x:v>
      </x:c>
      <x:c r="AG6" s="76" t="str">
        <x:v>得令强根受冲便直接按无根处理。</x:v>
      </x:c>
      <x:c r="AH6" s="76" t="str">
        <x:v>示例，仅演示字段用法</x:v>
      </x:c>
      <x:c r="AI6" s="76" t="str">
        <x:v>示例</x:v>
      </x:c>
      <x:c r="AJ6" s="76" t="str">
        <x:v>未审核</x:v>
      </x:c>
      <x:c r="AK6" s="86" t="n">
        <x:v>46254</x:v>
      </x:c>
    </x:row>
    <x:row r="7">
      <x:c r="A7" s="72" t="str">
        <x:f>IF(OR(C7="",D7=""),"",B7&amp;"-"&amp;UPPER(C7)&amp;"-"&amp;TEXT(D7,"0000")&amp;"-"&amp;E7)</x:f>
        <x:v>M08-ROOT-0001-V1.0</x:v>
      </x:c>
      <x:c r="B7" s="74" t="str">
        <x:v>M08</x:v>
      </x:c>
      <x:c r="C7" s="74" t="str">
        <x:v>ROOT</x:v>
      </x:c>
      <x:c r="D7" s="79" t="n">
        <x:v>1</x:v>
      </x:c>
      <x:c r="E7" s="74" t="str">
        <x:v>V1.0</x:v>
      </x:c>
      <x:c r="F7" s="68" t="str">
        <x:v>唯一强根未被实质破坏时保留主要承载力</x:v>
      </x:c>
      <x:c r="G7" s="82" t="str">
        <x:v>结构层</x:v>
      </x:c>
      <x:c r="H7" s="68" t="str">
        <x:v>M03根气+M06关系效应</x:v>
      </x:c>
      <x:c r="I7" s="68" t="str">
        <x:v>目标五行</x:v>
      </x:c>
      <x:c r="J7" s="68" t="str">
        <x:v>有唯一强根</x:v>
      </x:c>
      <x:c r="K7" s="68" t="str">
        <x:v>一般合冲刑害但未冲散/改性</x:v>
      </x:c>
      <x:c r="L7" s="68" t="str">
        <x:v>根气有效等级原则维持</x:v>
      </x:c>
      <x:c r="M7" s="82" t="str">
        <x:v>不变</x:v>
      </x:c>
      <x:c r="N7" s="82" t="str">
        <x:v>中</x:v>
      </x:c>
      <x:c r="O7" s="82" t="str">
        <x:v>条件性</x:v>
      </x:c>
      <x:c r="P7" s="82" t="str">
        <x:v>否</x:v>
      </x:c>
      <x:c r="Q7" s="82" t="str">
        <x:v>否</x:v>
      </x:c>
      <x:c r="R7" s="82" t="str">
        <x:v>条件性</x:v>
      </x:c>
      <x:c r="S7" s="68" t="str">
        <x:v>前置模块已完成</x:v>
      </x:c>
      <x:c r="T7" s="68" t="str">
        <x:v>作用条件真实成立</x:v>
      </x:c>
      <x:c r="U7" s="68" t="str">
        <x:v>得令、有根、有援可增强</x:v>
      </x:c>
      <x:c r="V7" s="68" t="str">
        <x:v>失令、孤立或受制可削弱</x:v>
      </x:c>
      <x:c r="W7" s="90" t="str">
        <x:v>禁止用关系名称直接替代实际效应</x:v>
      </x:c>
      <x:c r="X7" s="68" t="str">
        <x:v>特殊格局与动态岁运另模块处理</x:v>
      </x:c>
      <x:c r="Y7" s="84" t="str">
        <x:v>按证据修正有效旺衰</x:v>
      </x:c>
      <x:c r="Z7" s="68" t="str">
        <x:v>不得直接推出喜忌用神</x:v>
      </x:c>
      <x:c r="AA7" s="84" t="str">
        <x:v>有效根保留</x:v>
      </x:c>
      <x:c r="AB7" s="84" t="str">
        <x:v>强根受扰但未被实质破坏，仍保留主要承载力。</x:v>
      </x:c>
      <x:c r="AC7" s="82" t="str">
        <x:v>较高</x:v>
      </x:c>
      <x:c r="AD7" s="82" t="str">
        <x:v>现代综合</x:v>
      </x:c>
      <x:c r="AE7" s="68" t="str">
        <x:v>有效力量必须承接原始力量与实际效应，逐对象、逐节点修正。</x:v>
      </x:c>
      <x:c r="AF7" s="68" t="str">
        <x:v>按该条件逐节点修正可得到不同有效根等级。</x:v>
      </x:c>
      <x:c r="AG7" s="90" t="str">
        <x:v>仅凭关系名称或固定百分比统一扣减根气。</x:v>
      </x:c>
      <x:c r="AH7" s="68" t="str">
        <x:v>https://zh.wikisource.org/zh-hans/滴天髓 ; https://zh.wikisource.org/zh-hans/淵海子平 ; https://zh.wikisource.org/wiki/三命通會</x:v>
      </x:c>
      <x:c r="AI7" s="82" t="str">
        <x:v>采用</x:v>
      </x:c>
      <x:c r="AJ7" s="82" t="str">
        <x:v>初审</x:v>
      </x:c>
      <x:c r="AK7" s="87" t="n">
        <x:v>46255</x:v>
      </x:c>
    </x:row>
    <x:row r="8">
      <x:c r="A8" s="72" t="str">
        <x:f>IF(OR(C8="",D8=""),"",B8&amp;"-"&amp;UPPER(C8)&amp;"-"&amp;TEXT(D8,"0000")&amp;"-"&amp;E8)</x:f>
        <x:v>M08-ROOT-0002-V1.0</x:v>
      </x:c>
      <x:c r="B8" s="74" t="str">
        <x:v>M08</x:v>
      </x:c>
      <x:c r="C8" s="74" t="str">
        <x:v>ROOT</x:v>
      </x:c>
      <x:c r="D8" s="79" t="n">
        <x:v>2</x:v>
      </x:c>
      <x:c r="E8" s="74" t="str">
        <x:v>V1.0</x:v>
      </x:c>
      <x:c r="F8" s="68" t="str">
        <x:v>唯一弱根被强力冲散时可判有效根失效</x:v>
      </x:c>
      <x:c r="G8" s="82" t="str">
        <x:v>结构层</x:v>
      </x:c>
      <x:c r="H8" s="68" t="str">
        <x:v>M06六冲效应</x:v>
      </x:c>
      <x:c r="I8" s="68" t="str">
        <x:v>目标五行</x:v>
      </x:c>
      <x:c r="J8" s="68" t="str">
        <x:v>仅有孤弱根</x:v>
      </x:c>
      <x:c r="K8" s="68" t="str">
        <x:v>唯一弱根被强支冲散且无援</x:v>
      </x:c>
      <x:c r="L8" s="68" t="str">
        <x:v>由弱根降为无有效根</x:v>
      </x:c>
      <x:c r="M8" s="82" t="str">
        <x:v>减弱</x:v>
      </x:c>
      <x:c r="N8" s="82" t="str">
        <x:v>强</x:v>
      </x:c>
      <x:c r="O8" s="82" t="str">
        <x:v>是</x:v>
      </x:c>
      <x:c r="P8" s="82" t="str">
        <x:v>否</x:v>
      </x:c>
      <x:c r="Q8" s="82" t="str">
        <x:v>条件性</x:v>
      </x:c>
      <x:c r="R8" s="82" t="str">
        <x:v>是</x:v>
      </x:c>
      <x:c r="S8" s="68" t="str">
        <x:v>前置模块已完成</x:v>
      </x:c>
      <x:c r="T8" s="68" t="str">
        <x:v>作用条件真实成立</x:v>
      </x:c>
      <x:c r="U8" s="68" t="str">
        <x:v>得令、有根、有援可增强</x:v>
      </x:c>
      <x:c r="V8" s="68" t="str">
        <x:v>失令、孤立或受制可削弱</x:v>
      </x:c>
      <x:c r="W8" s="90" t="str">
        <x:v>禁止用关系名称直接替代实际效应</x:v>
      </x:c>
      <x:c r="X8" s="68" t="str">
        <x:v>特殊格局与动态岁运另模块处理</x:v>
      </x:c>
      <x:c r="Y8" s="84" t="str">
        <x:v>按证据修正有效旺衰</x:v>
      </x:c>
      <x:c r="Z8" s="68" t="str">
        <x:v>不得直接推出喜忌用神</x:v>
      </x:c>
      <x:c r="AA8" s="84" t="str">
        <x:v>唯一弱根失效</x:v>
      </x:c>
      <x:c r="AB8" s="84" t="str">
        <x:v>唯一弱根被强势冲散且无救应时，原有得地证据失效。</x:v>
      </x:c>
      <x:c r="AC8" s="82" t="str">
        <x:v>较高</x:v>
      </x:c>
      <x:c r="AD8" s="82" t="str">
        <x:v>现代综合</x:v>
      </x:c>
      <x:c r="AE8" s="68" t="str">
        <x:v>有效力量必须承接原始力量与实际效应，逐对象、逐节点修正。</x:v>
      </x:c>
      <x:c r="AF8" s="68" t="str">
        <x:v>按该条件逐节点修正可得到不同有效根等级。</x:v>
      </x:c>
      <x:c r="AG8" s="90" t="str">
        <x:v>仅凭关系名称或固定百分比统一扣减根气。</x:v>
      </x:c>
      <x:c r="AH8" s="68" t="str">
        <x:v>https://zh.wikisource.org/zh-hans/滴天髓 ; https://zh.wikisource.org/zh-hans/淵海子平 ; https://zh.wikisource.org/wiki/三命通會</x:v>
      </x:c>
      <x:c r="AI8" s="82" t="str">
        <x:v>采用</x:v>
      </x:c>
      <x:c r="AJ8" s="82" t="str">
        <x:v>初审</x:v>
      </x:c>
      <x:c r="AK8" s="87" t="n">
        <x:v>46255</x:v>
      </x:c>
    </x:row>
    <x:row r="9">
      <x:c r="A9" s="72" t="str">
        <x:f>IF(OR(C9="",D9=""),"",B9&amp;"-"&amp;UPPER(C9)&amp;"-"&amp;TEXT(D9,"0000")&amp;"-"&amp;E9)</x:f>
        <x:v>M08-ROOT-0003-V1.0</x:v>
      </x:c>
      <x:c r="B9" s="74" t="str">
        <x:v>M08</x:v>
      </x:c>
      <x:c r="C9" s="74" t="str">
        <x:v>ROOT</x:v>
      </x:c>
      <x:c r="D9" s="79" t="n">
        <x:v>3</x:v>
      </x:c>
      <x:c r="E9" s="74" t="str">
        <x:v>V1.0</x:v>
      </x:c>
      <x:c r="F9" s="68" t="str">
        <x:v>强根受冲且得令有援多表现为冲动而非拔根</x:v>
      </x:c>
      <x:c r="G9" s="82" t="str">
        <x:v>结构层</x:v>
      </x:c>
      <x:c r="H9" s="68" t="str">
        <x:v>M06六冲效应</x:v>
      </x:c>
      <x:c r="I9" s="68" t="str">
        <x:v>目标五行</x:v>
      </x:c>
      <x:c r="J9" s="68" t="str">
        <x:v>强根/多重根</x:v>
      </x:c>
      <x:c r="K9" s="68" t="str">
        <x:v>受冲但根势强</x:v>
      </x:c>
      <x:c r="L9" s="68" t="str">
        <x:v>保留根气并提高扰动标签</x:v>
      </x:c>
      <x:c r="M9" s="82" t="str">
        <x:v>激活</x:v>
      </x:c>
      <x:c r="N9" s="82" t="str">
        <x:v>中</x:v>
      </x:c>
      <x:c r="O9" s="82" t="str">
        <x:v>条件性</x:v>
      </x:c>
      <x:c r="P9" s="82" t="str">
        <x:v>否</x:v>
      </x:c>
      <x:c r="Q9" s="82" t="str">
        <x:v>条件性</x:v>
      </x:c>
      <x:c r="R9" s="82" t="str">
        <x:v>是</x:v>
      </x:c>
      <x:c r="S9" s="68" t="str">
        <x:v>前置模块已完成</x:v>
      </x:c>
      <x:c r="T9" s="68" t="str">
        <x:v>作用条件真实成立</x:v>
      </x:c>
      <x:c r="U9" s="68" t="str">
        <x:v>得令、有根、有援可增强</x:v>
      </x:c>
      <x:c r="V9" s="68" t="str">
        <x:v>失令、孤立或受制可削弱</x:v>
      </x:c>
      <x:c r="W9" s="90" t="str">
        <x:v>禁止用关系名称直接替代实际效应</x:v>
      </x:c>
      <x:c r="X9" s="68" t="str">
        <x:v>特殊格局与动态岁运另模块处理</x:v>
      </x:c>
      <x:c r="Y9" s="84" t="str">
        <x:v>按证据修正有效旺衰</x:v>
      </x:c>
      <x:c r="Z9" s="68" t="str">
        <x:v>不得直接推出喜忌用神</x:v>
      </x:c>
      <x:c r="AA9" s="84" t="str">
        <x:v>强根受冲保留</x:v>
      </x:c>
      <x:c r="AB9" s="84" t="str">
        <x:v>强根受冲但得令有援，主要表现为被引动与稳定性下降。</x:v>
      </x:c>
      <x:c r="AC9" s="82" t="str">
        <x:v>较高</x:v>
      </x:c>
      <x:c r="AD9" s="82" t="str">
        <x:v>现代综合</x:v>
      </x:c>
      <x:c r="AE9" s="68" t="str">
        <x:v>有效力量必须承接原始力量与实际效应，逐对象、逐节点修正。</x:v>
      </x:c>
      <x:c r="AF9" s="68" t="str">
        <x:v>按该条件逐节点修正可得到不同有效根等级。</x:v>
      </x:c>
      <x:c r="AG9" s="90" t="str">
        <x:v>仅凭关系名称或固定百分比统一扣减根气。</x:v>
      </x:c>
      <x:c r="AH9" s="68" t="str">
        <x:v>https://zh.wikisource.org/zh-hans/滴天髓 ; https://zh.wikisource.org/zh-hans/淵海子平 ; https://zh.wikisource.org/wiki/三命通會</x:v>
      </x:c>
      <x:c r="AI9" s="82" t="str">
        <x:v>采用</x:v>
      </x:c>
      <x:c r="AJ9" s="82" t="str">
        <x:v>初审</x:v>
      </x:c>
      <x:c r="AK9" s="87" t="n">
        <x:v>46255</x:v>
      </x:c>
    </x:row>
    <x:row r="10">
      <x:c r="A10" s="72" t="str">
        <x:f>IF(OR(C10="",D10=""),"",B10&amp;"-"&amp;UPPER(C10)&amp;"-"&amp;TEXT(D10,"0000")&amp;"-"&amp;E10)</x:f>
        <x:v>M08-ROOT-0004-V1.0</x:v>
      </x:c>
      <x:c r="B10" s="74" t="str">
        <x:v>M08</x:v>
      </x:c>
      <x:c r="C10" s="74" t="str">
        <x:v>ROOT</x:v>
      </x:c>
      <x:c r="D10" s="79" t="n">
        <x:v>4</x:v>
      </x:c>
      <x:c r="E10" s="74" t="str">
        <x:v>V1.0</x:v>
      </x:c>
      <x:c r="F10" s="68" t="str">
        <x:v>多重独立根可分散单一根受损风险</x:v>
      </x:c>
      <x:c r="G10" s="82" t="str">
        <x:v>结构层</x:v>
      </x:c>
      <x:c r="H10" s="68" t="str">
        <x:v>M07多根+M06效应</x:v>
      </x:c>
      <x:c r="I10" s="68" t="str">
        <x:v>目标五行</x:v>
      </x:c>
      <x:c r="J10" s="68" t="str">
        <x:v>多根</x:v>
      </x:c>
      <x:c r="K10" s="68" t="str">
        <x:v>其中一根受损</x:v>
      </x:c>
      <x:c r="L10" s="68" t="str">
        <x:v>只下调受损节点</x:v>
      </x:c>
      <x:c r="M10" s="82" t="str">
        <x:v>减弱</x:v>
      </x:c>
      <x:c r="N10" s="82" t="str">
        <x:v>中</x:v>
      </x:c>
      <x:c r="O10" s="82" t="str">
        <x:v>条件性</x:v>
      </x:c>
      <x:c r="P10" s="82" t="str">
        <x:v>否</x:v>
      </x:c>
      <x:c r="Q10" s="82" t="str">
        <x:v>否</x:v>
      </x:c>
      <x:c r="R10" s="82" t="str">
        <x:v>条件性</x:v>
      </x:c>
      <x:c r="S10" s="68" t="str">
        <x:v>前置模块已完成</x:v>
      </x:c>
      <x:c r="T10" s="68" t="str">
        <x:v>作用条件真实成立</x:v>
      </x:c>
      <x:c r="U10" s="68" t="str">
        <x:v>得令、有根、有援可增强</x:v>
      </x:c>
      <x:c r="V10" s="68" t="str">
        <x:v>失令、孤立或受制可削弱</x:v>
      </x:c>
      <x:c r="W10" s="90" t="str">
        <x:v>禁止用关系名称直接替代实际效应</x:v>
      </x:c>
      <x:c r="X10" s="68" t="str">
        <x:v>特殊格局与动态岁运另模块处理</x:v>
      </x:c>
      <x:c r="Y10" s="84" t="str">
        <x:v>按证据修正有效旺衰</x:v>
      </x:c>
      <x:c r="Z10" s="68" t="str">
        <x:v>不得直接推出喜忌用神</x:v>
      </x:c>
      <x:c r="AA10" s="84" t="str">
        <x:v>多根风险分散</x:v>
      </x:c>
      <x:c r="AB10" s="84" t="str">
        <x:v>多处独立根中一根受损，不应扩大为全部根气失效。</x:v>
      </x:c>
      <x:c r="AC10" s="82" t="str">
        <x:v>较高</x:v>
      </x:c>
      <x:c r="AD10" s="82" t="str">
        <x:v>现代综合</x:v>
      </x:c>
      <x:c r="AE10" s="68" t="str">
        <x:v>有效力量必须承接原始力量与实际效应，逐对象、逐节点修正。</x:v>
      </x:c>
      <x:c r="AF10" s="68" t="str">
        <x:v>按该条件逐节点修正可得到不同有效根等级。</x:v>
      </x:c>
      <x:c r="AG10" s="90" t="str">
        <x:v>仅凭关系名称或固定百分比统一扣减根气。</x:v>
      </x:c>
      <x:c r="AH10" s="68" t="str">
        <x:v>https://zh.wikisource.org/zh-hans/滴天髓 ; https://zh.wikisource.org/zh-hans/淵海子平 ; https://zh.wikisource.org/wiki/三命通會</x:v>
      </x:c>
      <x:c r="AI10" s="82" t="str">
        <x:v>采用</x:v>
      </x:c>
      <x:c r="AJ10" s="82" t="str">
        <x:v>初审</x:v>
      </x:c>
      <x:c r="AK10" s="87" t="n">
        <x:v>46255</x:v>
      </x:c>
    </x:row>
    <x:row r="11">
      <x:c r="A11" s="72" t="str">
        <x:f>IF(OR(C11="",D11=""),"",B11&amp;"-"&amp;UPPER(C11)&amp;"-"&amp;TEXT(D11,"0000")&amp;"-"&amp;E11)</x:f>
        <x:v>M08-ROOT-0005-V1.0</x:v>
      </x:c>
      <x:c r="B11" s="74" t="str">
        <x:v>M08</x:v>
      </x:c>
      <x:c r="C11" s="74" t="str">
        <x:v>ROOT</x:v>
      </x:c>
      <x:c r="D11" s="79" t="n">
        <x:v>5</x:v>
      </x:c>
      <x:c r="E11" s="74" t="str">
        <x:v>V1.0</x:v>
      </x:c>
      <x:c r="F11" s="68" t="str">
        <x:v>根支合绊通常先限制功能而非删除根性</x:v>
      </x:c>
      <x:c r="G11" s="82" t="str">
        <x:v>结构层</x:v>
      </x:c>
      <x:c r="H11" s="68" t="str">
        <x:v>M06六合/三合效应</x:v>
      </x:c>
      <x:c r="I11" s="68" t="str">
        <x:v>目标五行</x:v>
      </x:c>
      <x:c r="J11" s="68" t="str">
        <x:v>有根</x:v>
      </x:c>
      <x:c r="K11" s="68" t="str">
        <x:v>根支被合绊未化</x:v>
      </x:c>
      <x:c r="L11" s="68" t="str">
        <x:v>保留根性、下调调用能力</x:v>
      </x:c>
      <x:c r="M11" s="82" t="str">
        <x:v>冻结</x:v>
      </x:c>
      <x:c r="N11" s="82" t="str">
        <x:v>中</x:v>
      </x:c>
      <x:c r="O11" s="82" t="str">
        <x:v>条件性</x:v>
      </x:c>
      <x:c r="P11" s="82" t="str">
        <x:v>否</x:v>
      </x:c>
      <x:c r="Q11" s="82" t="str">
        <x:v>条件性</x:v>
      </x:c>
      <x:c r="R11" s="82" t="str">
        <x:v>是</x:v>
      </x:c>
      <x:c r="S11" s="68" t="str">
        <x:v>前置模块已完成</x:v>
      </x:c>
      <x:c r="T11" s="68" t="str">
        <x:v>作用条件真实成立</x:v>
      </x:c>
      <x:c r="U11" s="68" t="str">
        <x:v>得令、有根、有援可增强</x:v>
      </x:c>
      <x:c r="V11" s="68" t="str">
        <x:v>失令、孤立或受制可削弱</x:v>
      </x:c>
      <x:c r="W11" s="90" t="str">
        <x:v>禁止用关系名称直接替代实际效应</x:v>
      </x:c>
      <x:c r="X11" s="68" t="str">
        <x:v>特殊格局与动态岁运另模块处理</x:v>
      </x:c>
      <x:c r="Y11" s="84" t="str">
        <x:v>按证据修正有效旺衰</x:v>
      </x:c>
      <x:c r="Z11" s="68" t="str">
        <x:v>不得直接推出喜忌用神</x:v>
      </x:c>
      <x:c r="AA11" s="84" t="str">
        <x:v>根气合绊</x:v>
      </x:c>
      <x:c r="AB11" s="84" t="str">
        <x:v>根支被合绊时仍保留原五行根性，但调用受限。</x:v>
      </x:c>
      <x:c r="AC11" s="82" t="str">
        <x:v>较高</x:v>
      </x:c>
      <x:c r="AD11" s="82" t="str">
        <x:v>现代综合</x:v>
      </x:c>
      <x:c r="AE11" s="68" t="str">
        <x:v>有效力量必须承接原始力量与实际效应，逐对象、逐节点修正。</x:v>
      </x:c>
      <x:c r="AF11" s="68" t="str">
        <x:v>按该条件逐节点修正可得到不同有效根等级。</x:v>
      </x:c>
      <x:c r="AG11" s="90" t="str">
        <x:v>仅凭关系名称或固定百分比统一扣减根气。</x:v>
      </x:c>
      <x:c r="AH11" s="68" t="str">
        <x:v>https://zh.wikisource.org/zh-hans/滴天髓 ; https://zh.wikisource.org/zh-hans/淵海子平 ; https://zh.wikisource.org/wiki/三命通會</x:v>
      </x:c>
      <x:c r="AI11" s="82" t="str">
        <x:v>采用</x:v>
      </x:c>
      <x:c r="AJ11" s="82" t="str">
        <x:v>初审</x:v>
      </x:c>
      <x:c r="AK11" s="87" t="n">
        <x:v>46255</x:v>
      </x:c>
    </x:row>
    <x:row r="12">
      <x:c r="A12" s="72" t="str">
        <x:f>IF(OR(C12="",D12=""),"",B12&amp;"-"&amp;UPPER(C12)&amp;"-"&amp;TEXT(D12,"0000")&amp;"-"&amp;E12)</x:f>
        <x:v>M08-ROOT-0006-V1.0</x:v>
      </x:c>
      <x:c r="B12" s="74" t="str">
        <x:v>M08</x:v>
      </x:c>
      <x:c r="C12" s="74" t="str">
        <x:v>ROOT</x:v>
      </x:c>
      <x:c r="D12" s="79" t="n">
        <x:v>6</x:v>
      </x:c>
      <x:c r="E12" s="74" t="str">
        <x:v>V1.0</x:v>
      </x:c>
      <x:c r="F12" s="68" t="str">
        <x:v>根支合化成立时原五行根性按改性程度下调</x:v>
      </x:c>
      <x:c r="G12" s="82" t="str">
        <x:v>结构层</x:v>
      </x:c>
      <x:c r="H12" s="68" t="str">
        <x:v>M06合化成局</x:v>
      </x:c>
      <x:c r="I12" s="68" t="str">
        <x:v>目标五行</x:v>
      </x:c>
      <x:c r="J12" s="68" t="str">
        <x:v>有根</x:v>
      </x:c>
      <x:c r="K12" s="68" t="str">
        <x:v>根支参与合化且化局成立</x:v>
      </x:c>
      <x:c r="L12" s="68" t="str">
        <x:v>原根受限/失效，力量转入化神</x:v>
      </x:c>
      <x:c r="M12" s="82" t="str">
        <x:v>转化</x:v>
      </x:c>
      <x:c r="N12" s="82" t="str">
        <x:v>强</x:v>
      </x:c>
      <x:c r="O12" s="82" t="str">
        <x:v>是</x:v>
      </x:c>
      <x:c r="P12" s="82" t="str">
        <x:v>条件性</x:v>
      </x:c>
      <x:c r="Q12" s="82" t="str">
        <x:v>条件性</x:v>
      </x:c>
      <x:c r="R12" s="82" t="str">
        <x:v>是</x:v>
      </x:c>
      <x:c r="S12" s="68" t="str">
        <x:v>前置模块已完成</x:v>
      </x:c>
      <x:c r="T12" s="68" t="str">
        <x:v>作用条件真实成立</x:v>
      </x:c>
      <x:c r="U12" s="68" t="str">
        <x:v>得令、有根、有援可增强</x:v>
      </x:c>
      <x:c r="V12" s="68" t="str">
        <x:v>失令、孤立或受制可削弱</x:v>
      </x:c>
      <x:c r="W12" s="90" t="str">
        <x:v>禁止用关系名称直接替代实际效应</x:v>
      </x:c>
      <x:c r="X12" s="68" t="str">
        <x:v>特殊格局与动态岁运另模块处理</x:v>
      </x:c>
      <x:c r="Y12" s="84" t="str">
        <x:v>按证据修正有效旺衰</x:v>
      </x:c>
      <x:c r="Z12" s="68" t="str">
        <x:v>不得直接推出喜忌用神</x:v>
      </x:c>
      <x:c r="AA12" s="84" t="str">
        <x:v>根气合化改性</x:v>
      </x:c>
      <x:c r="AB12" s="84" t="str">
        <x:v>根支实质合化后，原五行根性需按改性程度下调。</x:v>
      </x:c>
      <x:c r="AC12" s="82" t="str">
        <x:v>较高</x:v>
      </x:c>
      <x:c r="AD12" s="82" t="str">
        <x:v>现代综合</x:v>
      </x:c>
      <x:c r="AE12" s="68" t="str">
        <x:v>有效力量必须承接原始力量与实际效应，逐对象、逐节点修正。</x:v>
      </x:c>
      <x:c r="AF12" s="68" t="str">
        <x:v>按该条件逐节点修正可得到不同有效根等级。</x:v>
      </x:c>
      <x:c r="AG12" s="90" t="str">
        <x:v>仅凭关系名称或固定百分比统一扣减根气。</x:v>
      </x:c>
      <x:c r="AH12" s="68" t="str">
        <x:v>https://zh.wikisource.org/zh-hans/滴天髓 ; https://zh.wikisource.org/zh-hans/淵海子平 ; https://zh.wikisource.org/wiki/三命通會</x:v>
      </x:c>
      <x:c r="AI12" s="82" t="str">
        <x:v>采用</x:v>
      </x:c>
      <x:c r="AJ12" s="82" t="str">
        <x:v>初审</x:v>
      </x:c>
      <x:c r="AK12" s="87" t="n">
        <x:v>46255</x:v>
      </x:c>
    </x:row>
    <x:row r="13">
      <x:c r="A13" s="72" t="str">
        <x:f>IF(OR(C13="",D13=""),"",B13&amp;"-"&amp;UPPER(C13)&amp;"-"&amp;TEXT(D13,"0000")&amp;"-"&amp;E13)</x:f>
        <x:v>M08-ROOT-0007-V1.0</x:v>
      </x:c>
      <x:c r="B13" s="74" t="str">
        <x:v>M08</x:v>
      </x:c>
      <x:c r="C13" s="74" t="str">
        <x:v>ROOT</x:v>
      </x:c>
      <x:c r="D13" s="79" t="n">
        <x:v>7</x:v>
      </x:c>
      <x:c r="E13" s="74" t="str">
        <x:v>V1.0</x:v>
      </x:c>
      <x:c r="F13" s="68" t="str">
        <x:v>根支被刑以刑动为主时不自动减根</x:v>
      </x:c>
      <x:c r="G13" s="82" t="str">
        <x:v>结构层</x:v>
      </x:c>
      <x:c r="H13" s="68" t="str">
        <x:v>M06三刑效应</x:v>
      </x:c>
      <x:c r="I13" s="68" t="str">
        <x:v>目标五行</x:v>
      </x:c>
      <x:c r="J13" s="68" t="str">
        <x:v>有根</x:v>
      </x:c>
      <x:c r="K13" s="68" t="str">
        <x:v>刑动无强克改性</x:v>
      </x:c>
      <x:c r="L13" s="68" t="str">
        <x:v>保留根气、增加不稳定标签</x:v>
      </x:c>
      <x:c r="M13" s="82" t="str">
        <x:v>激活</x:v>
      </x:c>
      <x:c r="N13" s="82" t="str">
        <x:v>弱</x:v>
      </x:c>
      <x:c r="O13" s="82" t="str">
        <x:v>条件性</x:v>
      </x:c>
      <x:c r="P13" s="82" t="str">
        <x:v>否</x:v>
      </x:c>
      <x:c r="Q13" s="82" t="str">
        <x:v>条件性</x:v>
      </x:c>
      <x:c r="R13" s="82" t="str">
        <x:v>是</x:v>
      </x:c>
      <x:c r="S13" s="68" t="str">
        <x:v>前置模块已完成</x:v>
      </x:c>
      <x:c r="T13" s="68" t="str">
        <x:v>作用条件真实成立</x:v>
      </x:c>
      <x:c r="U13" s="68" t="str">
        <x:v>得令、有根、有援可增强</x:v>
      </x:c>
      <x:c r="V13" s="68" t="str">
        <x:v>失令、孤立或受制可削弱</x:v>
      </x:c>
      <x:c r="W13" s="90" t="str">
        <x:v>禁止用关系名称直接替代实际效应</x:v>
      </x:c>
      <x:c r="X13" s="68" t="str">
        <x:v>特殊格局与动态岁运另模块处理</x:v>
      </x:c>
      <x:c r="Y13" s="84" t="str">
        <x:v>按证据修正有效旺衰</x:v>
      </x:c>
      <x:c r="Z13" s="68" t="str">
        <x:v>不得直接推出喜忌用神</x:v>
      </x:c>
      <x:c r="AA13" s="84" t="str">
        <x:v>刑动不拔根</x:v>
      </x:c>
      <x:c r="AB13" s="84" t="str">
        <x:v>刑动本身不等于根气受损，无强制约时根仍有效。</x:v>
      </x:c>
      <x:c r="AC13" s="82" t="str">
        <x:v>较高</x:v>
      </x:c>
      <x:c r="AD13" s="82" t="str">
        <x:v>现代综合</x:v>
      </x:c>
      <x:c r="AE13" s="68" t="str">
        <x:v>有效力量必须承接原始力量与实际效应，逐对象、逐节点修正。</x:v>
      </x:c>
      <x:c r="AF13" s="68" t="str">
        <x:v>按该条件逐节点修正可得到不同有效根等级。</x:v>
      </x:c>
      <x:c r="AG13" s="90" t="str">
        <x:v>仅凭关系名称或固定百分比统一扣减根气。</x:v>
      </x:c>
      <x:c r="AH13" s="68" t="str">
        <x:v>https://zh.wikisource.org/zh-hans/滴天髓 ; https://zh.wikisource.org/zh-hans/淵海子平 ; https://zh.wikisource.org/wiki/三命通會</x:v>
      </x:c>
      <x:c r="AI13" s="82" t="str">
        <x:v>采用</x:v>
      </x:c>
      <x:c r="AJ13" s="82" t="str">
        <x:v>初审</x:v>
      </x:c>
      <x:c r="AK13" s="87" t="n">
        <x:v>46255</x:v>
      </x:c>
    </x:row>
    <x:row r="14">
      <x:c r="A14" s="72" t="str">
        <x:f>IF(OR(C14="",D14=""),"",B14&amp;"-"&amp;UPPER(C14)&amp;"-"&amp;TEXT(D14,"0000")&amp;"-"&amp;E14)</x:f>
        <x:v>M08-ROOT-0008-V1.0</x:v>
      </x:c>
      <x:c r="B14" s="74" t="str">
        <x:v>M08</x:v>
      </x:c>
      <x:c r="C14" s="74" t="str">
        <x:v>ROOT</x:v>
      </x:c>
      <x:c r="D14" s="79" t="n">
        <x:v>8</x:v>
      </x:c>
      <x:c r="E14" s="74" t="str">
        <x:v>V1.0</x:v>
      </x:c>
      <x:c r="F14" s="68" t="str">
        <x:v>刑伤叠加强克时可下调根气有效等级</x:v>
      </x:c>
      <x:c r="G14" s="82" t="str">
        <x:v>结构层</x:v>
      </x:c>
      <x:c r="H14" s="68" t="str">
        <x:v>M06三刑+相克</x:v>
      </x:c>
      <x:c r="I14" s="68" t="str">
        <x:v>目标五行</x:v>
      </x:c>
      <x:c r="J14" s="68" t="str">
        <x:v>有根</x:v>
      </x:c>
      <x:c r="K14" s="68" t="str">
        <x:v>刑伤与独立强克/冲并见</x:v>
      </x:c>
      <x:c r="L14" s="68" t="str">
        <x:v>下调根气一至多个证据等级</x:v>
      </x:c>
      <x:c r="M14" s="82" t="str">
        <x:v>减弱</x:v>
      </x:c>
      <x:c r="N14" s="82" t="str">
        <x:v>强</x:v>
      </x:c>
      <x:c r="O14" s="82" t="str">
        <x:v>是</x:v>
      </x:c>
      <x:c r="P14" s="82" t="str">
        <x:v>否</x:v>
      </x:c>
      <x:c r="Q14" s="82" t="str">
        <x:v>条件性</x:v>
      </x:c>
      <x:c r="R14" s="82" t="str">
        <x:v>是</x:v>
      </x:c>
      <x:c r="S14" s="68" t="str">
        <x:v>前置模块已完成</x:v>
      </x:c>
      <x:c r="T14" s="68" t="str">
        <x:v>作用条件真实成立</x:v>
      </x:c>
      <x:c r="U14" s="68" t="str">
        <x:v>得令、有根、有援可增强</x:v>
      </x:c>
      <x:c r="V14" s="68" t="str">
        <x:v>失令、孤立或受制可削弱</x:v>
      </x:c>
      <x:c r="W14" s="90" t="str">
        <x:v>禁止用关系名称直接替代实际效应</x:v>
      </x:c>
      <x:c r="X14" s="68" t="str">
        <x:v>特殊格局与动态岁运另模块处理</x:v>
      </x:c>
      <x:c r="Y14" s="84" t="str">
        <x:v>按证据修正有效旺衰</x:v>
      </x:c>
      <x:c r="Z14" s="68" t="str">
        <x:v>不得直接推出喜忌用神</x:v>
      </x:c>
      <x:c r="AA14" s="84" t="str">
        <x:v>刑伤根气修正</x:v>
      </x:c>
      <x:c r="AB14" s="84" t="str">
        <x:v>刑伤叠加强克时可明显下调根气，但需去除同源重复计权。</x:v>
      </x:c>
      <x:c r="AC14" s="82" t="str">
        <x:v>较高</x:v>
      </x:c>
      <x:c r="AD14" s="82" t="str">
        <x:v>现代综合</x:v>
      </x:c>
      <x:c r="AE14" s="68" t="str">
        <x:v>有效力量必须承接原始力量与实际效应，逐对象、逐节点修正。</x:v>
      </x:c>
      <x:c r="AF14" s="68" t="str">
        <x:v>按该条件逐节点修正可得到不同有效根等级。</x:v>
      </x:c>
      <x:c r="AG14" s="90" t="str">
        <x:v>仅凭关系名称或固定百分比统一扣减根气。</x:v>
      </x:c>
      <x:c r="AH14" s="68" t="str">
        <x:v>https://zh.wikisource.org/zh-hans/滴天髓 ; https://zh.wikisource.org/zh-hans/淵海子平 ; https://zh.wikisource.org/wiki/三命通會</x:v>
      </x:c>
      <x:c r="AI14" s="82" t="str">
        <x:v>采用</x:v>
      </x:c>
      <x:c r="AJ14" s="82" t="str">
        <x:v>初审</x:v>
      </x:c>
      <x:c r="AK14" s="87" t="n">
        <x:v>46255</x:v>
      </x:c>
    </x:row>
    <x:row r="15">
      <x:c r="A15" s="72" t="str">
        <x:f>IF(OR(C15="",D15=""),"",B15&amp;"-"&amp;UPPER(C15)&amp;"-"&amp;TEXT(D15,"0000")&amp;"-"&amp;E15)</x:f>
        <x:v>M08-ROOT-0009-V1.0</x:v>
      </x:c>
      <x:c r="B15" s="74" t="str">
        <x:v>M08</x:v>
      </x:c>
      <x:c r="C15" s="74" t="str">
        <x:v>ROOT</x:v>
      </x:c>
      <x:c r="D15" s="79" t="n">
        <x:v>9</x:v>
      </x:c>
      <x:c r="E15" s="74" t="str">
        <x:v>V1.0</x:v>
      </x:c>
      <x:c r="F15" s="68" t="str">
        <x:v>害破通常只作低至中度根气修正</x:v>
      </x:c>
      <x:c r="G15" s="82" t="str">
        <x:v>结构层</x:v>
      </x:c>
      <x:c r="H15" s="68" t="str">
        <x:v>M06六害六破</x:v>
      </x:c>
      <x:c r="I15" s="68" t="str">
        <x:v>目标五行</x:v>
      </x:c>
      <x:c r="J15" s="68" t="str">
        <x:v>有根</x:v>
      </x:c>
      <x:c r="K15" s="68" t="str">
        <x:v>受害或受破</x:v>
      </x:c>
      <x:c r="L15" s="68" t="str">
        <x:v>默认只下调稳定性</x:v>
      </x:c>
      <x:c r="M15" s="82" t="str">
        <x:v>减弱</x:v>
      </x:c>
      <x:c r="N15" s="82" t="str">
        <x:v>弱</x:v>
      </x:c>
      <x:c r="O15" s="82" t="str">
        <x:v>条件性</x:v>
      </x:c>
      <x:c r="P15" s="82" t="str">
        <x:v>否</x:v>
      </x:c>
      <x:c r="Q15" s="82" t="str">
        <x:v>否</x:v>
      </x:c>
      <x:c r="R15" s="82" t="str">
        <x:v>是</x:v>
      </x:c>
      <x:c r="S15" s="68" t="str">
        <x:v>前置模块已完成</x:v>
      </x:c>
      <x:c r="T15" s="68" t="str">
        <x:v>作用条件真实成立</x:v>
      </x:c>
      <x:c r="U15" s="68" t="str">
        <x:v>得令、有根、有援可增强</x:v>
      </x:c>
      <x:c r="V15" s="68" t="str">
        <x:v>失令、孤立或受制可削弱</x:v>
      </x:c>
      <x:c r="W15" s="90" t="str">
        <x:v>禁止用关系名称直接替代实际效应</x:v>
      </x:c>
      <x:c r="X15" s="68" t="str">
        <x:v>特殊格局与动态岁运另模块处理</x:v>
      </x:c>
      <x:c r="Y15" s="84" t="str">
        <x:v>按证据修正有效旺衰</x:v>
      </x:c>
      <x:c r="Z15" s="68" t="str">
        <x:v>不得直接推出喜忌用神</x:v>
      </x:c>
      <x:c r="AA15" s="84" t="str">
        <x:v>害破低权重</x:v>
      </x:c>
      <x:c r="AB15" s="84" t="str">
        <x:v>害破默认只作低权重根气修正，叠加强作用时才升级。</x:v>
      </x:c>
      <x:c r="AC15" s="82" t="str">
        <x:v>较高</x:v>
      </x:c>
      <x:c r="AD15" s="82" t="str">
        <x:v>现代综合</x:v>
      </x:c>
      <x:c r="AE15" s="68" t="str">
        <x:v>有效力量必须承接原始力量与实际效应，逐对象、逐节点修正。</x:v>
      </x:c>
      <x:c r="AF15" s="68" t="str">
        <x:v>按该条件逐节点修正可得到不同有效根等级。</x:v>
      </x:c>
      <x:c r="AG15" s="90" t="str">
        <x:v>仅凭关系名称或固定百分比统一扣减根气。</x:v>
      </x:c>
      <x:c r="AH15" s="68" t="str">
        <x:v>https://zh.wikisource.org/zh-hans/滴天髓 ; https://zh.wikisource.org/zh-hans/淵海子平 ; https://zh.wikisource.org/wiki/三命通會</x:v>
      </x:c>
      <x:c r="AI15" s="82" t="str">
        <x:v>采用</x:v>
      </x:c>
      <x:c r="AJ15" s="82" t="str">
        <x:v>初审</x:v>
      </x:c>
      <x:c r="AK15" s="87" t="n">
        <x:v>46255</x:v>
      </x:c>
    </x:row>
    <x:row r="16">
      <x:c r="A16" s="72" t="str">
        <x:f>IF(OR(C16="",D16=""),"",B16&amp;"-"&amp;UPPER(C16)&amp;"-"&amp;TEXT(D16,"0000")&amp;"-"&amp;E16)</x:f>
        <x:v>M08-ROOT-0010-V1.0</x:v>
      </x:c>
      <x:c r="B16" s="74" t="str">
        <x:v>M08</x:v>
      </x:c>
      <x:c r="C16" s="74" t="str">
        <x:v>ROOT</x:v>
      </x:c>
      <x:c r="D16" s="79" t="n">
        <x:v>10</x:v>
      </x:c>
      <x:c r="E16" s="74" t="str">
        <x:v>V1.0</x:v>
      </x:c>
      <x:c r="F16" s="68" t="str">
        <x:v>墓库根被冲需区分开库、冲动与冲坏</x:v>
      </x:c>
      <x:c r="G16" s="82" t="str">
        <x:v>结构层</x:v>
      </x:c>
      <x:c r="H16" s="68" t="str">
        <x:v>M06六冲/墓库</x:v>
      </x:c>
      <x:c r="I16" s="68" t="str">
        <x:v>目标五行</x:v>
      </x:c>
      <x:c r="J16" s="68" t="str">
        <x:v>库根</x:v>
      </x:c>
      <x:c r="K16" s="68" t="str">
        <x:v>墓库逢冲</x:v>
      </x:c>
      <x:c r="L16" s="68" t="str">
        <x:v>按开库/冲动/冲坏分别修正</x:v>
      </x:c>
      <x:c r="M16" s="82" t="str">
        <x:v>条件性</x:v>
      </x:c>
      <x:c r="N16" s="82" t="str">
        <x:v>强</x:v>
      </x:c>
      <x:c r="O16" s="82" t="str">
        <x:v>条件性</x:v>
      </x:c>
      <x:c r="P16" s="82" t="str">
        <x:v>条件性</x:v>
      </x:c>
      <x:c r="Q16" s="82" t="str">
        <x:v>条件性</x:v>
      </x:c>
      <x:c r="R16" s="82" t="str">
        <x:v>是</x:v>
      </x:c>
      <x:c r="S16" s="68" t="str">
        <x:v>前置模块已完成</x:v>
      </x:c>
      <x:c r="T16" s="68" t="str">
        <x:v>作用条件真实成立</x:v>
      </x:c>
      <x:c r="U16" s="68" t="str">
        <x:v>得令、有根、有援可增强</x:v>
      </x:c>
      <x:c r="V16" s="68" t="str">
        <x:v>失令、孤立或受制可削弱</x:v>
      </x:c>
      <x:c r="W16" s="90" t="str">
        <x:v>禁止用关系名称直接替代实际效应</x:v>
      </x:c>
      <x:c r="X16" s="68" t="str">
        <x:v>特殊格局与动态岁运另模块处理</x:v>
      </x:c>
      <x:c r="Y16" s="84" t="str">
        <x:v>按证据修正有效旺衰</x:v>
      </x:c>
      <x:c r="Z16" s="68" t="str">
        <x:v>不得直接推出喜忌用神</x:v>
      </x:c>
      <x:c r="AA16" s="84" t="str">
        <x:v>墓库冲效应</x:v>
      </x:c>
      <x:c r="AB16" s="84" t="str">
        <x:v>墓库逢冲不得一律开库，应按实际藏干可用性调整。</x:v>
      </x:c>
      <x:c r="AC16" s="82" t="str">
        <x:v>较高</x:v>
      </x:c>
      <x:c r="AD16" s="82" t="str">
        <x:v>现代综合</x:v>
      </x:c>
      <x:c r="AE16" s="68" t="str">
        <x:v>有效力量必须承接原始力量与实际效应，逐对象、逐节点修正。</x:v>
      </x:c>
      <x:c r="AF16" s="68" t="str">
        <x:v>按该条件逐节点修正可得到不同有效根等级。</x:v>
      </x:c>
      <x:c r="AG16" s="90" t="str">
        <x:v>仅凭关系名称或固定百分比统一扣减根气。</x:v>
      </x:c>
      <x:c r="AH16" s="68" t="str">
        <x:v>https://zh.wikisource.org/zh-hans/滴天髓 ; https://zh.wikisource.org/zh-hans/淵海子平 ; https://zh.wikisource.org/wiki/三命通會</x:v>
      </x:c>
      <x:c r="AI16" s="82" t="str">
        <x:v>采用</x:v>
      </x:c>
      <x:c r="AJ16" s="82" t="str">
        <x:v>初审</x:v>
      </x:c>
      <x:c r="AK16" s="87" t="n">
        <x:v>46255</x:v>
      </x:c>
    </x:row>
    <x:row r="17">
      <x:c r="A17" s="72" t="str">
        <x:f>IF(OR(C17="",D17=""),"",B17&amp;"-"&amp;UPPER(C17)&amp;"-"&amp;TEXT(D17,"0000")&amp;"-"&amp;E17)</x:f>
        <x:v>M08-ROOT-0011-V1.0</x:v>
      </x:c>
      <x:c r="B17" s="74" t="str">
        <x:v>M08</x:v>
      </x:c>
      <x:c r="C17" s="74" t="str">
        <x:v>ROOT</x:v>
      </x:c>
      <x:c r="D17" s="79" t="n">
        <x:v>11</x:v>
      </x:c>
      <x:c r="E17" s="74" t="str">
        <x:v>V1.0</x:v>
      </x:c>
      <x:c r="F17" s="68" t="str">
        <x:v>墓库被合住时藏干调用能力下降</x:v>
      </x:c>
      <x:c r="G17" s="82" t="str">
        <x:v>结构层</x:v>
      </x:c>
      <x:c r="H17" s="68" t="str">
        <x:v>M06六合/合绊</x:v>
      </x:c>
      <x:c r="I17" s="68" t="str">
        <x:v>目标五行</x:v>
      </x:c>
      <x:c r="J17" s="68" t="str">
        <x:v>库根</x:v>
      </x:c>
      <x:c r="K17" s="68" t="str">
        <x:v>库支被合绊</x:v>
      </x:c>
      <x:c r="L17" s="68" t="str">
        <x:v>库根存在、藏干调用下降</x:v>
      </x:c>
      <x:c r="M17" s="82" t="str">
        <x:v>冻结</x:v>
      </x:c>
      <x:c r="N17" s="82" t="str">
        <x:v>中</x:v>
      </x:c>
      <x:c r="O17" s="82" t="str">
        <x:v>条件性</x:v>
      </x:c>
      <x:c r="P17" s="82" t="str">
        <x:v>否</x:v>
      </x:c>
      <x:c r="Q17" s="82" t="str">
        <x:v>条件性</x:v>
      </x:c>
      <x:c r="R17" s="82" t="str">
        <x:v>是</x:v>
      </x:c>
      <x:c r="S17" s="68" t="str">
        <x:v>前置模块已完成</x:v>
      </x:c>
      <x:c r="T17" s="68" t="str">
        <x:v>作用条件真实成立</x:v>
      </x:c>
      <x:c r="U17" s="68" t="str">
        <x:v>得令、有根、有援可增强</x:v>
      </x:c>
      <x:c r="V17" s="68" t="str">
        <x:v>失令、孤立或受制可削弱</x:v>
      </x:c>
      <x:c r="W17" s="90" t="str">
        <x:v>禁止用关系名称直接替代实际效应</x:v>
      </x:c>
      <x:c r="X17" s="68" t="str">
        <x:v>特殊格局与动态岁运另模块处理</x:v>
      </x:c>
      <x:c r="Y17" s="84" t="str">
        <x:v>按证据修正有效旺衰</x:v>
      </x:c>
      <x:c r="Z17" s="68" t="str">
        <x:v>不得直接推出喜忌用神</x:v>
      </x:c>
      <x:c r="AA17" s="84" t="str">
        <x:v>库根合绊</x:v>
      </x:c>
      <x:c r="AB17" s="84" t="str">
        <x:v>库支被合绊时藏干仍存在，但有效调用能力下降。</x:v>
      </x:c>
      <x:c r="AC17" s="82" t="str">
        <x:v>较高</x:v>
      </x:c>
      <x:c r="AD17" s="82" t="str">
        <x:v>现代综合</x:v>
      </x:c>
      <x:c r="AE17" s="68" t="str">
        <x:v>有效力量必须承接原始力量与实际效应，逐对象、逐节点修正。</x:v>
      </x:c>
      <x:c r="AF17" s="68" t="str">
        <x:v>按该条件逐节点修正可得到不同有效根等级。</x:v>
      </x:c>
      <x:c r="AG17" s="90" t="str">
        <x:v>仅凭关系名称或固定百分比统一扣减根气。</x:v>
      </x:c>
      <x:c r="AH17" s="68" t="str">
        <x:v>https://zh.wikisource.org/zh-hans/滴天髓 ; https://zh.wikisource.org/zh-hans/淵海子平 ; https://zh.wikisource.org/wiki/三命通會</x:v>
      </x:c>
      <x:c r="AI17" s="82" t="str">
        <x:v>采用</x:v>
      </x:c>
      <x:c r="AJ17" s="82" t="str">
        <x:v>初审</x:v>
      </x:c>
      <x:c r="AK17" s="87" t="n">
        <x:v>46255</x:v>
      </x:c>
    </x:row>
    <x:row r="18">
      <x:c r="A18" s="72" t="str">
        <x:f>IF(OR(C18="",D18=""),"",B18&amp;"-"&amp;UPPER(C18)&amp;"-"&amp;TEXT(D18,"0000")&amp;"-"&amp;E18)</x:f>
        <x:v>M08-ROOT-0012-V1.0</x:v>
      </x:c>
      <x:c r="B18" s="74" t="str">
        <x:v>M08</x:v>
      </x:c>
      <x:c r="C18" s="74" t="str">
        <x:v>ROOT</x:v>
      </x:c>
      <x:c r="D18" s="79" t="n">
        <x:v>12</x:v>
      </x:c>
      <x:c r="E18" s="74" t="str">
        <x:v>V1.0</x:v>
      </x:c>
      <x:c r="F18" s="68" t="str">
        <x:v>透干可缓冲受损根的可调用性但不能凭空造根</x:v>
      </x:c>
      <x:c r="G18" s="82" t="str">
        <x:v>结构层</x:v>
      </x:c>
      <x:c r="H18" s="68" t="str">
        <x:v>M07透干+M06根效应</x:v>
      </x:c>
      <x:c r="I18" s="68" t="str">
        <x:v>目标五行</x:v>
      </x:c>
      <x:c r="J18" s="68" t="str">
        <x:v>根受限且同五行透干</x:v>
      </x:c>
      <x:c r="K18" s="68" t="str">
        <x:v>透根相应</x:v>
      </x:c>
      <x:c r="L18" s="68" t="str">
        <x:v>部分缓冲根损伤</x:v>
      </x:c>
      <x:c r="M18" s="82" t="str">
        <x:v>增强</x:v>
      </x:c>
      <x:c r="N18" s="82" t="str">
        <x:v>中</x:v>
      </x:c>
      <x:c r="O18" s="82" t="str">
        <x:v>条件性</x:v>
      </x:c>
      <x:c r="P18" s="82" t="str">
        <x:v>否</x:v>
      </x:c>
      <x:c r="Q18" s="82" t="str">
        <x:v>是</x:v>
      </x:c>
      <x:c r="R18" s="82" t="str">
        <x:v>条件性</x:v>
      </x:c>
      <x:c r="S18" s="68" t="str">
        <x:v>前置模块已完成</x:v>
      </x:c>
      <x:c r="T18" s="68" t="str">
        <x:v>作用条件真实成立</x:v>
      </x:c>
      <x:c r="U18" s="68" t="str">
        <x:v>得令、有根、有援可增强</x:v>
      </x:c>
      <x:c r="V18" s="68" t="str">
        <x:v>失令、孤立或受制可削弱</x:v>
      </x:c>
      <x:c r="W18" s="90" t="str">
        <x:v>禁止用关系名称直接替代实际效应</x:v>
      </x:c>
      <x:c r="X18" s="68" t="str">
        <x:v>特殊格局与动态岁运另模块处理</x:v>
      </x:c>
      <x:c r="Y18" s="84" t="str">
        <x:v>按证据修正有效旺衰</x:v>
      </x:c>
      <x:c r="Z18" s="68" t="str">
        <x:v>不得直接推出喜忌用神</x:v>
      </x:c>
      <x:c r="AA18" s="84" t="str">
        <x:v>透干缓冲根损</x:v>
      </x:c>
      <x:c r="AB18" s="84" t="str">
        <x:v>有同五行透干可缓冲根损，但不能恢复已不存在的根位。</x:v>
      </x:c>
      <x:c r="AC18" s="82" t="str">
        <x:v>较高</x:v>
      </x:c>
      <x:c r="AD18" s="82" t="str">
        <x:v>现代综合</x:v>
      </x:c>
      <x:c r="AE18" s="68" t="str">
        <x:v>有效力量必须承接原始力量与实际效应，逐对象、逐节点修正。</x:v>
      </x:c>
      <x:c r="AF18" s="68" t="str">
        <x:v>按该条件逐节点修正可得到不同有效根等级。</x:v>
      </x:c>
      <x:c r="AG18" s="90" t="str">
        <x:v>仅凭关系名称或固定百分比统一扣减根气。</x:v>
      </x:c>
      <x:c r="AH18" s="68" t="str">
        <x:v>https://zh.wikisource.org/zh-hans/滴天髓 ; https://zh.wikisource.org/zh-hans/淵海子平 ; https://zh.wikisource.org/wiki/三命通會</x:v>
      </x:c>
      <x:c r="AI18" s="82" t="str">
        <x:v>采用</x:v>
      </x:c>
      <x:c r="AJ18" s="82" t="str">
        <x:v>初审</x:v>
      </x:c>
      <x:c r="AK18" s="87" t="n">
        <x:v>46255</x:v>
      </x:c>
    </x:row>
    <x:row r="19">
      <x:c r="A19" s="72" t="str">
        <x:f>IF(OR(C19="",D19=""),"",B19&amp;"-"&amp;UPPER(C19)&amp;"-"&amp;TEXT(D19,"0000")&amp;"-"&amp;E19)</x:f>
        <x:v>M08-ROOT-0013-V1.0</x:v>
      </x:c>
      <x:c r="B19" s="74" t="str">
        <x:v>M08</x:v>
      </x:c>
      <x:c r="C19" s="74" t="str">
        <x:v>ROOT</x:v>
      </x:c>
      <x:c r="D19" s="79" t="n">
        <x:v>13</x:v>
      </x:c>
      <x:c r="E19" s="74" t="str">
        <x:v>V1.0</x:v>
      </x:c>
      <x:c r="F19" s="68" t="str">
        <x:v>多重根共同参与成局时避免原根与化神双算</x:v>
      </x:c>
      <x:c r="G19" s="82" t="str">
        <x:v>结构层</x:v>
      </x:c>
      <x:c r="H19" s="68" t="str">
        <x:v>M06成局+M07多根</x:v>
      </x:c>
      <x:c r="I19" s="68" t="str">
        <x:v>目标五行</x:v>
      </x:c>
      <x:c r="J19" s="68" t="str">
        <x:v>多根</x:v>
      </x:c>
      <x:c r="K19" s="68" t="str">
        <x:v>多支共同合会化局</x:v>
      </x:c>
      <x:c r="L19" s="68" t="str">
        <x:v>按节点分配残余原性</x:v>
      </x:c>
      <x:c r="M19" s="82" t="str">
        <x:v>转化</x:v>
      </x:c>
      <x:c r="N19" s="82" t="str">
        <x:v>强</x:v>
      </x:c>
      <x:c r="O19" s="82" t="str">
        <x:v>是</x:v>
      </x:c>
      <x:c r="P19" s="82" t="str">
        <x:v>条件性</x:v>
      </x:c>
      <x:c r="Q19" s="82" t="str">
        <x:v>条件性</x:v>
      </x:c>
      <x:c r="R19" s="82" t="str">
        <x:v>是</x:v>
      </x:c>
      <x:c r="S19" s="68" t="str">
        <x:v>前置模块已完成</x:v>
      </x:c>
      <x:c r="T19" s="68" t="str">
        <x:v>作用条件真实成立</x:v>
      </x:c>
      <x:c r="U19" s="68" t="str">
        <x:v>得令、有根、有援可增强</x:v>
      </x:c>
      <x:c r="V19" s="68" t="str">
        <x:v>失令、孤立或受制可削弱</x:v>
      </x:c>
      <x:c r="W19" s="90" t="str">
        <x:v>禁止用关系名称直接替代实际效应</x:v>
      </x:c>
      <x:c r="X19" s="68" t="str">
        <x:v>特殊格局与动态岁运另模块处理</x:v>
      </x:c>
      <x:c r="Y19" s="84" t="str">
        <x:v>按证据修正有效旺衰</x:v>
      </x:c>
      <x:c r="Z19" s="68" t="str">
        <x:v>不得直接推出喜忌用神</x:v>
      </x:c>
      <x:c r="AA19" s="84" t="str">
        <x:v>成局根气去重</x:v>
      </x:c>
      <x:c r="AB19" s="84" t="str">
        <x:v>合会成局后原根与化神力量必须去重分配。</x:v>
      </x:c>
      <x:c r="AC19" s="82" t="str">
        <x:v>较高</x:v>
      </x:c>
      <x:c r="AD19" s="82" t="str">
        <x:v>现代综合</x:v>
      </x:c>
      <x:c r="AE19" s="68" t="str">
        <x:v>有效力量必须承接原始力量与实际效应，逐对象、逐节点修正。</x:v>
      </x:c>
      <x:c r="AF19" s="68" t="str">
        <x:v>按该条件逐节点修正可得到不同有效根等级。</x:v>
      </x:c>
      <x:c r="AG19" s="90" t="str">
        <x:v>仅凭关系名称或固定百分比统一扣减根气。</x:v>
      </x:c>
      <x:c r="AH19" s="68" t="str">
        <x:v>https://zh.wikisource.org/zh-hans/滴天髓 ; https://zh.wikisource.org/zh-hans/淵海子平 ; https://zh.wikisource.org/wiki/三命通會</x:v>
      </x:c>
      <x:c r="AI19" s="82" t="str">
        <x:v>采用</x:v>
      </x:c>
      <x:c r="AJ19" s="82" t="str">
        <x:v>初审</x:v>
      </x:c>
      <x:c r="AK19" s="87" t="n">
        <x:v>46255</x:v>
      </x:c>
    </x:row>
    <x:row r="20">
      <x:c r="A20" s="72" t="str">
        <x:f>IF(OR(C20="",D20=""),"",B20&amp;"-"&amp;UPPER(C20)&amp;"-"&amp;TEXT(D20,"0000")&amp;"-"&amp;E20)</x:f>
        <x:v>M08-ROOT-0014-V1.0</x:v>
      </x:c>
      <x:c r="B20" s="74" t="str">
        <x:v>M08</x:v>
      </x:c>
      <x:c r="C20" s="74" t="str">
        <x:v>ROOT</x:v>
      </x:c>
      <x:c r="D20" s="79" t="n">
        <x:v>14</x:v>
      </x:c>
      <x:c r="E20" s="74" t="str">
        <x:v>V1.0</x:v>
      </x:c>
      <x:c r="F20" s="68" t="str">
        <x:v>根气有效性以独立节点而非标签数量汇总</x:v>
      </x:c>
      <x:c r="G20" s="82" t="str">
        <x:v>结构层</x:v>
      </x:c>
      <x:c r="H20" s="68" t="str">
        <x:v>M07证据容量</x:v>
      </x:c>
      <x:c r="I20" s="68" t="str">
        <x:v>目标五行</x:v>
      </x:c>
      <x:c r="J20" s="68" t="str">
        <x:v>多标签根证据</x:v>
      </x:c>
      <x:c r="K20" s="68" t="str">
        <x:v>同一节点被多种标签描述</x:v>
      </x:c>
      <x:c r="L20" s="68" t="str">
        <x:v>压缩为单一节点容量</x:v>
      </x:c>
      <x:c r="M20" s="82" t="str">
        <x:v>不变</x:v>
      </x:c>
      <x:c r="N20" s="82" t="str">
        <x:v>中</x:v>
      </x:c>
      <x:c r="O20" s="82" t="str">
        <x:v>否</x:v>
      </x:c>
      <x:c r="P20" s="82" t="str">
        <x:v>否</x:v>
      </x:c>
      <x:c r="Q20" s="82" t="str">
        <x:v>否</x:v>
      </x:c>
      <x:c r="R20" s="82" t="str">
        <x:v>否</x:v>
      </x:c>
      <x:c r="S20" s="68" t="str">
        <x:v>前置模块已完成</x:v>
      </x:c>
      <x:c r="T20" s="68" t="str">
        <x:v>作用条件真实成立</x:v>
      </x:c>
      <x:c r="U20" s="68" t="str">
        <x:v>得令、有根、有援可增强</x:v>
      </x:c>
      <x:c r="V20" s="68" t="str">
        <x:v>失令、孤立或受制可削弱</x:v>
      </x:c>
      <x:c r="W20" s="90" t="str">
        <x:v>禁止用关系名称直接替代实际效应</x:v>
      </x:c>
      <x:c r="X20" s="68" t="str">
        <x:v>特殊格局与动态岁运另模块处理</x:v>
      </x:c>
      <x:c r="Y20" s="84" t="str">
        <x:v>按证据修正有效旺衰</x:v>
      </x:c>
      <x:c r="Z20" s="68" t="str">
        <x:v>不得直接推出喜忌用神</x:v>
      </x:c>
      <x:c r="AA20" s="84" t="str">
        <x:v>根气证据去重</x:v>
      </x:c>
      <x:c r="AB20" s="84" t="str">
        <x:v>同一支位的根、同党、得地等标签不得重复满额加权。</x:v>
      </x:c>
      <x:c r="AC20" s="82" t="str">
        <x:v>较高</x:v>
      </x:c>
      <x:c r="AD20" s="82" t="str">
        <x:v>现代综合</x:v>
      </x:c>
      <x:c r="AE20" s="68" t="str">
        <x:v>有效力量必须承接原始力量与实际效应，逐对象、逐节点修正。</x:v>
      </x:c>
      <x:c r="AF20" s="68" t="str">
        <x:v>按该条件逐节点修正可得到不同有效根等级。</x:v>
      </x:c>
      <x:c r="AG20" s="90" t="str">
        <x:v>仅凭关系名称或固定百分比统一扣减根气。</x:v>
      </x:c>
      <x:c r="AH20" s="68" t="str">
        <x:v>https://zh.wikisource.org/zh-hans/滴天髓 ; https://zh.wikisource.org/zh-hans/淵海子平 ; https://zh.wikisource.org/wiki/三命通會</x:v>
      </x:c>
      <x:c r="AI20" s="82" t="str">
        <x:v>采用</x:v>
      </x:c>
      <x:c r="AJ20" s="82" t="str">
        <x:v>初审</x:v>
      </x:c>
      <x:c r="AK20" s="87" t="n">
        <x:v>46255</x:v>
      </x:c>
    </x:row>
    <x:row r="21">
      <x:c r="A21" s="72" t="str">
        <x:f>IF(OR(C21="",D21=""),"",B21&amp;"-"&amp;UPPER(C21)&amp;"-"&amp;TEXT(D21,"0000")&amp;"-"&amp;E21)</x:f>
        <x:v>M08-ROOT-0015-V1.0</x:v>
      </x:c>
      <x:c r="B21" s="74" t="str">
        <x:v>M08</x:v>
      </x:c>
      <x:c r="C21" s="74" t="str">
        <x:v>ROOT</x:v>
      </x:c>
      <x:c r="D21" s="79" t="n">
        <x:v>15</x:v>
      </x:c>
      <x:c r="E21" s="74" t="str">
        <x:v>V1.0</x:v>
      </x:c>
      <x:c r="F21" s="68" t="str">
        <x:v>原始无根若因已成立化局可生成条件性新根</x:v>
      </x:c>
      <x:c r="G21" s="82" t="str">
        <x:v>结构层</x:v>
      </x:c>
      <x:c r="H21" s="68" t="str">
        <x:v>M06转化接口</x:v>
      </x:c>
      <x:c r="I21" s="68" t="str">
        <x:v>目标五行</x:v>
      </x:c>
      <x:c r="J21" s="68" t="str">
        <x:v>M07判无根</x:v>
      </x:c>
      <x:c r="K21" s="68" t="str">
        <x:v>化局化出目标五行</x:v>
      </x:c>
      <x:c r="L21" s="68" t="str">
        <x:v>由无根修正为条件性新根</x:v>
      </x:c>
      <x:c r="M21" s="82" t="str">
        <x:v>转化</x:v>
      </x:c>
      <x:c r="N21" s="82" t="str">
        <x:v>中</x:v>
      </x:c>
      <x:c r="O21" s="82" t="str">
        <x:v>是</x:v>
      </x:c>
      <x:c r="P21" s="82" t="str">
        <x:v>条件性</x:v>
      </x:c>
      <x:c r="Q21" s="82" t="str">
        <x:v>条件性</x:v>
      </x:c>
      <x:c r="R21" s="82" t="str">
        <x:v>是</x:v>
      </x:c>
      <x:c r="S21" s="68" t="str">
        <x:v>前置模块已完成</x:v>
      </x:c>
      <x:c r="T21" s="68" t="str">
        <x:v>作用条件真实成立</x:v>
      </x:c>
      <x:c r="U21" s="68" t="str">
        <x:v>得令、有根、有援可增强</x:v>
      </x:c>
      <x:c r="V21" s="68" t="str">
        <x:v>失令、孤立或受制可削弱</x:v>
      </x:c>
      <x:c r="W21" s="90" t="str">
        <x:v>禁止用关系名称直接替代实际效应</x:v>
      </x:c>
      <x:c r="X21" s="68" t="str">
        <x:v>特殊格局与动态岁运另模块处理</x:v>
      </x:c>
      <x:c r="Y21" s="84" t="str">
        <x:v>按证据修正有效旺衰</x:v>
      </x:c>
      <x:c r="Z21" s="68" t="str">
        <x:v>不得直接推出喜忌用神</x:v>
      </x:c>
      <x:c r="AA21" s="84" t="str">
        <x:v>化局新生根</x:v>
      </x:c>
      <x:c r="AB21" s="84" t="str">
        <x:v>原始无根若因严格成立的化局产生目标五行，可新增条件性有效根。</x:v>
      </x:c>
      <x:c r="AC21" s="82" t="str">
        <x:v>较高</x:v>
      </x:c>
      <x:c r="AD21" s="82" t="str">
        <x:v>现代综合</x:v>
      </x:c>
      <x:c r="AE21" s="68" t="str">
        <x:v>有效力量必须承接原始力量与实际效应，逐对象、逐节点修正。</x:v>
      </x:c>
      <x:c r="AF21" s="68" t="str">
        <x:v>按该条件逐节点修正可得到不同有效根等级。</x:v>
      </x:c>
      <x:c r="AG21" s="90" t="str">
        <x:v>仅凭关系名称或固定百分比统一扣减根气。</x:v>
      </x:c>
      <x:c r="AH21" s="68" t="str">
        <x:v>https://zh.wikisource.org/zh-hans/滴天髓 ; https://zh.wikisource.org/zh-hans/淵海子平 ; https://zh.wikisource.org/wiki/三命通會</x:v>
      </x:c>
      <x:c r="AI21" s="82" t="str">
        <x:v>采用</x:v>
      </x:c>
      <x:c r="AJ21" s="82" t="str">
        <x:v>初审</x:v>
      </x:c>
      <x:c r="AK21" s="87" t="n">
        <x:v>46255</x:v>
      </x:c>
    </x:row>
    <x:row r="22">
      <x:c r="A22" s="72" t="str">
        <x:f>IF(OR(C22="",D22=""),"",B22&amp;"-"&amp;UPPER(C22)&amp;"-"&amp;TEXT(D22,"0000")&amp;"-"&amp;E22)</x:f>
        <x:v>M08-ROOT-0016-V1.0</x:v>
      </x:c>
      <x:c r="B22" s="74" t="str">
        <x:v>M08</x:v>
      </x:c>
      <x:c r="C22" s="74" t="str">
        <x:v>ROOT</x:v>
      </x:c>
      <x:c r="D22" s="79" t="n">
        <x:v>16</x:v>
      </x:c>
      <x:c r="E22" s="74" t="str">
        <x:v>V1.0</x:v>
      </x:c>
      <x:c r="F22" s="68" t="str">
        <x:v>根气强弱修正不得脱离季令与全局势能</x:v>
      </x:c>
      <x:c r="G22" s="82" t="str">
        <x:v>结构层</x:v>
      </x:c>
      <x:c r="H22" s="68" t="str">
        <x:v>M03/M07/M06综合</x:v>
      </x:c>
      <x:c r="I22" s="68" t="str">
        <x:v>目标五行</x:v>
      </x:c>
      <x:c r="J22" s="68" t="str">
        <x:v>有根</x:v>
      </x:c>
      <x:c r="K22" s="68" t="str">
        <x:v>根支处于不同全局环境</x:v>
      </x:c>
      <x:c r="L22" s="68" t="str">
        <x:v>由季令、同党、生源和对手共同限定</x:v>
      </x:c>
      <x:c r="M22" s="82" t="str">
        <x:v>条件性</x:v>
      </x:c>
      <x:c r="N22" s="82" t="str">
        <x:v>中</x:v>
      </x:c>
      <x:c r="O22" s="82" t="str">
        <x:v>条件性</x:v>
      </x:c>
      <x:c r="P22" s="82" t="str">
        <x:v>否</x:v>
      </x:c>
      <x:c r="Q22" s="82" t="str">
        <x:v>否</x:v>
      </x:c>
      <x:c r="R22" s="82" t="str">
        <x:v>条件性</x:v>
      </x:c>
      <x:c r="S22" s="68" t="str">
        <x:v>前置模块已完成</x:v>
      </x:c>
      <x:c r="T22" s="68" t="str">
        <x:v>作用条件真实成立</x:v>
      </x:c>
      <x:c r="U22" s="68" t="str">
        <x:v>得令、有根、有援可增强</x:v>
      </x:c>
      <x:c r="V22" s="68" t="str">
        <x:v>失令、孤立或受制可削弱</x:v>
      </x:c>
      <x:c r="W22" s="90" t="str">
        <x:v>禁止用关系名称直接替代实际效应</x:v>
      </x:c>
      <x:c r="X22" s="68" t="str">
        <x:v>特殊格局与动态岁运另模块处理</x:v>
      </x:c>
      <x:c r="Y22" s="84" t="str">
        <x:v>按证据修正有效旺衰</x:v>
      </x:c>
      <x:c r="Z22" s="68" t="str">
        <x:v>不得直接推出喜忌用神</x:v>
      </x:c>
      <x:c r="AA22" s="84" t="str">
        <x:v>根气综合修正</x:v>
      </x:c>
      <x:c r="AB22" s="84" t="str">
        <x:v>本气、中气、余气只是起点，有效根强弱仍需结合全局修正。</x:v>
      </x:c>
      <x:c r="AC22" s="82" t="str">
        <x:v>较高</x:v>
      </x:c>
      <x:c r="AD22" s="82" t="str">
        <x:v>现代综合</x:v>
      </x:c>
      <x:c r="AE22" s="68" t="str">
        <x:v>有效力量必须承接原始力量与实际效应，逐对象、逐节点修正。</x:v>
      </x:c>
      <x:c r="AF22" s="68" t="str">
        <x:v>按该条件逐节点修正可得到不同有效根等级。</x:v>
      </x:c>
      <x:c r="AG22" s="90" t="str">
        <x:v>仅凭关系名称或固定百分比统一扣减根气。</x:v>
      </x:c>
      <x:c r="AH22" s="68" t="str">
        <x:v>https://zh.wikisource.org/zh-hans/滴天髓 ; https://zh.wikisource.org/zh-hans/淵海子平 ; https://zh.wikisource.org/wiki/三命通會</x:v>
      </x:c>
      <x:c r="AI22" s="82" t="str">
        <x:v>采用</x:v>
      </x:c>
      <x:c r="AJ22" s="82" t="str">
        <x:v>初审</x:v>
      </x:c>
      <x:c r="AK22" s="87" t="n">
        <x:v>46255</x:v>
      </x:c>
    </x:row>
    <x:row r="23">
      <x:c r="A23" s="72" t="str">
        <x:f>IF(OR(C23="",D23=""),"",B23&amp;"-"&amp;UPPER(C23)&amp;"-"&amp;TEXT(D23,"0000")&amp;"-"&amp;E23)</x:f>
        <x:v>M08-SOURCE-0017-V1.0</x:v>
      </x:c>
      <x:c r="B23" s="74" t="str">
        <x:v>M08</x:v>
      </x:c>
      <x:c r="C23" s="74" t="str">
        <x:v>SOURCE</x:v>
      </x:c>
      <x:c r="D23" s="79" t="n">
        <x:v>17</x:v>
      </x:c>
      <x:c r="E23" s="74" t="str">
        <x:v>V1.0</x:v>
      </x:c>
      <x:c r="F23" s="68" t="str">
        <x:v>强生源自身有效时才可提供高等级支持</x:v>
      </x:c>
      <x:c r="G23" s="82" t="str">
        <x:v>结构层</x:v>
      </x:c>
      <x:c r="H23" s="68" t="str">
        <x:v>M07生源+M08生源自身有效性</x:v>
      </x:c>
      <x:c r="I23" s="68" t="str">
        <x:v>目标五行</x:v>
      </x:c>
      <x:c r="J23" s="68" t="str">
        <x:v>有生源</x:v>
      </x:c>
      <x:c r="K23" s="68" t="str">
        <x:v>生源经修正后仍旺而可达</x:v>
      </x:c>
      <x:c r="L23" s="68" t="str">
        <x:v>保留高等级生扶</x:v>
      </x:c>
      <x:c r="M23" s="82" t="str">
        <x:v>增强</x:v>
      </x:c>
      <x:c r="N23" s="82" t="str">
        <x:v>强</x:v>
      </x:c>
      <x:c r="O23" s="82" t="str">
        <x:v>否</x:v>
      </x:c>
      <x:c r="P23" s="82" t="str">
        <x:v>条件性</x:v>
      </x:c>
      <x:c r="Q23" s="82" t="str">
        <x:v>条件性</x:v>
      </x:c>
      <x:c r="R23" s="82" t="str">
        <x:v>是</x:v>
      </x:c>
      <x:c r="S23" s="68" t="str">
        <x:v>前置模块已完成</x:v>
      </x:c>
      <x:c r="T23" s="68" t="str">
        <x:v>作用条件真实成立</x:v>
      </x:c>
      <x:c r="U23" s="68" t="str">
        <x:v>得令、有根、有援可增强</x:v>
      </x:c>
      <x:c r="V23" s="68" t="str">
        <x:v>失令、孤立或受制可削弱</x:v>
      </x:c>
      <x:c r="W23" s="90" t="str">
        <x:v>禁止用关系名称直接替代实际效应</x:v>
      </x:c>
      <x:c r="X23" s="68" t="str">
        <x:v>特殊格局与动态岁运另模块处理</x:v>
      </x:c>
      <x:c r="Y23" s="84" t="str">
        <x:v>按证据修正有效旺衰</x:v>
      </x:c>
      <x:c r="Z23" s="68" t="str">
        <x:v>不得直接推出喜忌用神</x:v>
      </x:c>
      <x:c r="AA23" s="84" t="str">
        <x:v>有效生源强支持</x:v>
      </x:c>
      <x:c r="AB23" s="84" t="str">
        <x:v>生源自身有效且生路可达时，目标获得真实高等级生扶。</x:v>
      </x:c>
      <x:c r="AC23" s="82" t="str">
        <x:v>较高</x:v>
      </x:c>
      <x:c r="AD23" s="82" t="str">
        <x:v>现代综合</x:v>
      </x:c>
      <x:c r="AE23" s="68" t="str">
        <x:v>有效力量必须承接原始力量与实际效应，逐对象、逐节点修正。</x:v>
      </x:c>
      <x:c r="AF23" s="68" t="str">
        <x:v>生源自身有效且路径可达时，支持才进入高等级。</x:v>
      </x:c>
      <x:c r="AG23" s="90" t="str">
        <x:v>只要出现相生五行就按满额生扶。</x:v>
      </x:c>
      <x:c r="AH23" s="68" t="str">
        <x:v>https://zh.wikisource.org/zh-hans/滴天髓 ; https://zh.wikisource.org/zh-hans/淵海子平 ; https://zh.wikisource.org/wiki/三命通會</x:v>
      </x:c>
      <x:c r="AI23" s="82" t="str">
        <x:v>采用</x:v>
      </x:c>
      <x:c r="AJ23" s="82" t="str">
        <x:v>初审</x:v>
      </x:c>
      <x:c r="AK23" s="87" t="n">
        <x:v>46255</x:v>
      </x:c>
    </x:row>
    <x:row r="24">
      <x:c r="A24" s="72" t="str">
        <x:f>IF(OR(C24="",D24=""),"",B24&amp;"-"&amp;UPPER(C24)&amp;"-"&amp;TEXT(D24,"0000")&amp;"-"&amp;E24)</x:f>
        <x:v>M08-SOURCE-0018-V1.0</x:v>
      </x:c>
      <x:c r="B24" s="74" t="str">
        <x:v>M08</x:v>
      </x:c>
      <x:c r="C24" s="74" t="str">
        <x:v>SOURCE</x:v>
      </x:c>
      <x:c r="D24" s="79" t="n">
        <x:v>18</x:v>
      </x:c>
      <x:c r="E24" s="74" t="str">
        <x:v>V1.0</x:v>
      </x:c>
      <x:c r="F24" s="68" t="str">
        <x:v>弱生源仅形成低等级名义支持</x:v>
      </x:c>
      <x:c r="G24" s="82" t="str">
        <x:v>结构层</x:v>
      </x:c>
      <x:c r="H24" s="68" t="str">
        <x:v>M07生源</x:v>
      </x:c>
      <x:c r="I24" s="68" t="str">
        <x:v>目标五行</x:v>
      </x:c>
      <x:c r="J24" s="68" t="str">
        <x:v>有弱生源</x:v>
      </x:c>
      <x:c r="K24" s="68" t="str">
        <x:v>生源无根或受制</x:v>
      </x:c>
      <x:c r="L24" s="68" t="str">
        <x:v>将生源支持下调为弱或无效</x:v>
      </x:c>
      <x:c r="M24" s="82" t="str">
        <x:v>减弱</x:v>
      </x:c>
      <x:c r="N24" s="82" t="str">
        <x:v>中</x:v>
      </x:c>
      <x:c r="O24" s="82" t="str">
        <x:v>否</x:v>
      </x:c>
      <x:c r="P24" s="82" t="str">
        <x:v>条件性</x:v>
      </x:c>
      <x:c r="Q24" s="82" t="str">
        <x:v>条件性</x:v>
      </x:c>
      <x:c r="R24" s="82" t="str">
        <x:v>是</x:v>
      </x:c>
      <x:c r="S24" s="68" t="str">
        <x:v>前置模块已完成</x:v>
      </x:c>
      <x:c r="T24" s="68" t="str">
        <x:v>作用条件真实成立</x:v>
      </x:c>
      <x:c r="U24" s="68" t="str">
        <x:v>得令、有根、有援可增强</x:v>
      </x:c>
      <x:c r="V24" s="68" t="str">
        <x:v>失令、孤立或受制可削弱</x:v>
      </x:c>
      <x:c r="W24" s="90" t="str">
        <x:v>禁止用关系名称直接替代实际效应</x:v>
      </x:c>
      <x:c r="X24" s="68" t="str">
        <x:v>特殊格局与动态岁运另模块处理</x:v>
      </x:c>
      <x:c r="Y24" s="84" t="str">
        <x:v>按证据修正有效旺衰</x:v>
      </x:c>
      <x:c r="Z24" s="68" t="str">
        <x:v>不得直接推出喜忌用神</x:v>
      </x:c>
      <x:c r="AA24" s="84" t="str">
        <x:v>弱生源降权</x:v>
      </x:c>
      <x:c r="AB24" s="84" t="str">
        <x:v>生源自身弱而无承载，对目标只形成低等级支持。</x:v>
      </x:c>
      <x:c r="AC24" s="82" t="str">
        <x:v>较高</x:v>
      </x:c>
      <x:c r="AD24" s="82" t="str">
        <x:v>现代综合</x:v>
      </x:c>
      <x:c r="AE24" s="68" t="str">
        <x:v>有效力量必须承接原始力量与实际效应，逐对象、逐节点修正。</x:v>
      </x:c>
      <x:c r="AF24" s="68" t="str">
        <x:v>生源自身有效且路径可达时，支持才进入高等级。</x:v>
      </x:c>
      <x:c r="AG24" s="90" t="str">
        <x:v>只要出现相生五行就按满额生扶。</x:v>
      </x:c>
      <x:c r="AH24" s="68" t="str">
        <x:v>https://zh.wikisource.org/zh-hans/滴天髓 ; https://zh.wikisource.org/zh-hans/淵海子平 ; https://zh.wikisource.org/wiki/三命通會</x:v>
      </x:c>
      <x:c r="AI24" s="82" t="str">
        <x:v>采用</x:v>
      </x:c>
      <x:c r="AJ24" s="82" t="str">
        <x:v>初审</x:v>
      </x:c>
      <x:c r="AK24" s="87" t="n">
        <x:v>46255</x:v>
      </x:c>
    </x:row>
    <x:row r="25">
      <x:c r="A25" s="72" t="str">
        <x:f>IF(OR(C25="",D25=""),"",B25&amp;"-"&amp;UPPER(C25)&amp;"-"&amp;TEXT(D25,"0000")&amp;"-"&amp;E25)</x:f>
        <x:v>M08-SOURCE-0019-V1.0</x:v>
      </x:c>
      <x:c r="B25" s="74" t="str">
        <x:v>M08</x:v>
      </x:c>
      <x:c r="C25" s="74" t="str">
        <x:v>SOURCE</x:v>
      </x:c>
      <x:c r="D25" s="79" t="n">
        <x:v>19</x:v>
      </x:c>
      <x:c r="E25" s="74" t="str">
        <x:v>V1.0</x:v>
      </x:c>
      <x:c r="F25" s="68" t="str">
        <x:v>生源被合绊时供给能力下降</x:v>
      </x:c>
      <x:c r="G25" s="82" t="str">
        <x:v>结构层</x:v>
      </x:c>
      <x:c r="H25" s="68" t="str">
        <x:v>M06合绊</x:v>
      </x:c>
      <x:c r="I25" s="68" t="str">
        <x:v>目标五行</x:v>
      </x:c>
      <x:c r="J25" s="68" t="str">
        <x:v>原有有效生源</x:v>
      </x:c>
      <x:c r="K25" s="68" t="str">
        <x:v>生源被合绊</x:v>
      </x:c>
      <x:c r="L25" s="68" t="str">
        <x:v>下调对目标的输出</x:v>
      </x:c>
      <x:c r="M25" s="82" t="str">
        <x:v>冻结</x:v>
      </x:c>
      <x:c r="N25" s="82" t="str">
        <x:v>中</x:v>
      </x:c>
      <x:c r="O25" s="82" t="str">
        <x:v>否</x:v>
      </x:c>
      <x:c r="P25" s="82" t="str">
        <x:v>条件性</x:v>
      </x:c>
      <x:c r="Q25" s="82" t="str">
        <x:v>条件性</x:v>
      </x:c>
      <x:c r="R25" s="82" t="str">
        <x:v>是</x:v>
      </x:c>
      <x:c r="S25" s="68" t="str">
        <x:v>前置模块已完成</x:v>
      </x:c>
      <x:c r="T25" s="68" t="str">
        <x:v>作用条件真实成立</x:v>
      </x:c>
      <x:c r="U25" s="68" t="str">
        <x:v>得令、有根、有援可增强</x:v>
      </x:c>
      <x:c r="V25" s="68" t="str">
        <x:v>失令、孤立或受制可削弱</x:v>
      </x:c>
      <x:c r="W25" s="90" t="str">
        <x:v>禁止用关系名称直接替代实际效应</x:v>
      </x:c>
      <x:c r="X25" s="68" t="str">
        <x:v>特殊格局与动态岁运另模块处理</x:v>
      </x:c>
      <x:c r="Y25" s="84" t="str">
        <x:v>按证据修正有效旺衰</x:v>
      </x:c>
      <x:c r="Z25" s="68" t="str">
        <x:v>不得直接推出喜忌用神</x:v>
      </x:c>
      <x:c r="AA25" s="84" t="str">
        <x:v>生源合绊</x:v>
      </x:c>
      <x:c r="AB25" s="84" t="str">
        <x:v>生源被合绊仍存在，但向目标输送力量的能力下降。</x:v>
      </x:c>
      <x:c r="AC25" s="82" t="str">
        <x:v>较高</x:v>
      </x:c>
      <x:c r="AD25" s="82" t="str">
        <x:v>现代综合</x:v>
      </x:c>
      <x:c r="AE25" s="68" t="str">
        <x:v>有效力量必须承接原始力量与实际效应，逐对象、逐节点修正。</x:v>
      </x:c>
      <x:c r="AF25" s="68" t="str">
        <x:v>生源自身有效且路径可达时，支持才进入高等级。</x:v>
      </x:c>
      <x:c r="AG25" s="90" t="str">
        <x:v>只要出现相生五行就按满额生扶。</x:v>
      </x:c>
      <x:c r="AH25" s="68" t="str">
        <x:v>https://zh.wikisource.org/zh-hans/滴天髓 ; https://zh.wikisource.org/zh-hans/淵海子平 ; https://zh.wikisource.org/wiki/三命通會</x:v>
      </x:c>
      <x:c r="AI25" s="82" t="str">
        <x:v>采用</x:v>
      </x:c>
      <x:c r="AJ25" s="82" t="str">
        <x:v>初审</x:v>
      </x:c>
      <x:c r="AK25" s="87" t="n">
        <x:v>46255</x:v>
      </x:c>
    </x:row>
    <x:row r="26">
      <x:c r="A26" s="72" t="str">
        <x:f>IF(OR(C26="",D26=""),"",B26&amp;"-"&amp;UPPER(C26)&amp;"-"&amp;TEXT(D26,"0000")&amp;"-"&amp;E26)</x:f>
        <x:v>M08-SOURCE-0020-V1.0</x:v>
      </x:c>
      <x:c r="B26" s="74" t="str">
        <x:v>M08</x:v>
      </x:c>
      <x:c r="C26" s="74" t="str">
        <x:v>SOURCE</x:v>
      </x:c>
      <x:c r="D26" s="79" t="n">
        <x:v>20</x:v>
      </x:c>
      <x:c r="E26" s="74" t="str">
        <x:v>V1.0</x:v>
      </x:c>
      <x:c r="F26" s="68" t="str">
        <x:v>生源合化为非生源五行时原供给功能失效</x:v>
      </x:c>
      <x:c r="G26" s="82" t="str">
        <x:v>结构层</x:v>
      </x:c>
      <x:c r="H26" s="68" t="str">
        <x:v>M06合化</x:v>
      </x:c>
      <x:c r="I26" s="68" t="str">
        <x:v>目标五行</x:v>
      </x:c>
      <x:c r="J26" s="68" t="str">
        <x:v>原有生源</x:v>
      </x:c>
      <x:c r="K26" s="68" t="str">
        <x:v>生源合化改性</x:v>
      </x:c>
      <x:c r="L26" s="68" t="str">
        <x:v>删除原生扶并按化后关系重建</x:v>
      </x:c>
      <x:c r="M26" s="82" t="str">
        <x:v>转化</x:v>
      </x:c>
      <x:c r="N26" s="82" t="str">
        <x:v>强</x:v>
      </x:c>
      <x:c r="O26" s="82" t="str">
        <x:v>否</x:v>
      </x:c>
      <x:c r="P26" s="82" t="str">
        <x:v>条件性</x:v>
      </x:c>
      <x:c r="Q26" s="82" t="str">
        <x:v>条件性</x:v>
      </x:c>
      <x:c r="R26" s="82" t="str">
        <x:v>是</x:v>
      </x:c>
      <x:c r="S26" s="68" t="str">
        <x:v>前置模块已完成</x:v>
      </x:c>
      <x:c r="T26" s="68" t="str">
        <x:v>作用条件真实成立</x:v>
      </x:c>
      <x:c r="U26" s="68" t="str">
        <x:v>得令、有根、有援可增强</x:v>
      </x:c>
      <x:c r="V26" s="68" t="str">
        <x:v>失令、孤立或受制可削弱</x:v>
      </x:c>
      <x:c r="W26" s="90" t="str">
        <x:v>禁止用关系名称直接替代实际效应</x:v>
      </x:c>
      <x:c r="X26" s="68" t="str">
        <x:v>特殊格局与动态岁运另模块处理</x:v>
      </x:c>
      <x:c r="Y26" s="84" t="str">
        <x:v>按证据修正有效旺衰</x:v>
      </x:c>
      <x:c r="Z26" s="68" t="str">
        <x:v>不得直接推出喜忌用神</x:v>
      </x:c>
      <x:c r="AA26" s="84" t="str">
        <x:v>生源改性</x:v>
      </x:c>
      <x:c r="AB26" s="84" t="str">
        <x:v>生源实质改性后，原供给功能失效，需按化后五行重建生扶链。</x:v>
      </x:c>
      <x:c r="AC26" s="82" t="str">
        <x:v>较高</x:v>
      </x:c>
      <x:c r="AD26" s="82" t="str">
        <x:v>现代综合</x:v>
      </x:c>
      <x:c r="AE26" s="68" t="str">
        <x:v>有效力量必须承接原始力量与实际效应，逐对象、逐节点修正。</x:v>
      </x:c>
      <x:c r="AF26" s="68" t="str">
        <x:v>生源自身有效且路径可达时，支持才进入高等级。</x:v>
      </x:c>
      <x:c r="AG26" s="90" t="str">
        <x:v>只要出现相生五行就按满额生扶。</x:v>
      </x:c>
      <x:c r="AH26" s="68" t="str">
        <x:v>https://zh.wikisource.org/zh-hans/滴天髓 ; https://zh.wikisource.org/zh-hans/淵海子平 ; https://zh.wikisource.org/wiki/三命通會</x:v>
      </x:c>
      <x:c r="AI26" s="82" t="str">
        <x:v>采用</x:v>
      </x:c>
      <x:c r="AJ26" s="82" t="str">
        <x:v>初审</x:v>
      </x:c>
      <x:c r="AK26" s="87" t="n">
        <x:v>46255</x:v>
      </x:c>
    </x:row>
    <x:row r="27">
      <x:c r="A27" s="72" t="str">
        <x:f>IF(OR(C27="",D27=""),"",B27&amp;"-"&amp;UPPER(C27)&amp;"-"&amp;TEXT(D27,"0000")&amp;"-"&amp;E27)</x:f>
        <x:v>M08-SOURCE-0021-V1.0</x:v>
      </x:c>
      <x:c r="B27" s="74" t="str">
        <x:v>M08</x:v>
      </x:c>
      <x:c r="C27" s="74" t="str">
        <x:v>SOURCE</x:v>
      </x:c>
      <x:c r="D27" s="79" t="n">
        <x:v>21</x:v>
      </x:c>
      <x:c r="E27" s="74" t="str">
        <x:v>V1.0</x:v>
      </x:c>
      <x:c r="F27" s="68" t="str">
        <x:v>唯一生源被强克且无根时供给链中断</x:v>
      </x:c>
      <x:c r="G27" s="82" t="str">
        <x:v>结构层</x:v>
      </x:c>
      <x:c r="H27" s="68" t="str">
        <x:v>M08克制修正</x:v>
      </x:c>
      <x:c r="I27" s="68" t="str">
        <x:v>目标五行</x:v>
      </x:c>
      <x:c r="J27" s="68" t="str">
        <x:v>依赖单一生源</x:v>
      </x:c>
      <x:c r="K27" s="68" t="str">
        <x:v>生源遭强克且无承载</x:v>
      </x:c>
      <x:c r="L27" s="68" t="str">
        <x:v>标记生扶链中断</x:v>
      </x:c>
      <x:c r="M27" s="82" t="str">
        <x:v>阻断</x:v>
      </x:c>
      <x:c r="N27" s="82" t="str">
        <x:v>强</x:v>
      </x:c>
      <x:c r="O27" s="82" t="str">
        <x:v>否</x:v>
      </x:c>
      <x:c r="P27" s="82" t="str">
        <x:v>条件性</x:v>
      </x:c>
      <x:c r="Q27" s="82" t="str">
        <x:v>条件性</x:v>
      </x:c>
      <x:c r="R27" s="82" t="str">
        <x:v>是</x:v>
      </x:c>
      <x:c r="S27" s="68" t="str">
        <x:v>前置模块已完成</x:v>
      </x:c>
      <x:c r="T27" s="68" t="str">
        <x:v>作用条件真实成立</x:v>
      </x:c>
      <x:c r="U27" s="68" t="str">
        <x:v>得令、有根、有援可增强</x:v>
      </x:c>
      <x:c r="V27" s="68" t="str">
        <x:v>失令、孤立或受制可削弱</x:v>
      </x:c>
      <x:c r="W27" s="90" t="str">
        <x:v>禁止用关系名称直接替代实际效应</x:v>
      </x:c>
      <x:c r="X27" s="68" t="str">
        <x:v>特殊格局与动态岁运另模块处理</x:v>
      </x:c>
      <x:c r="Y27" s="84" t="str">
        <x:v>按证据修正有效旺衰</x:v>
      </x:c>
      <x:c r="Z27" s="68" t="str">
        <x:v>不得直接推出喜忌用神</x:v>
      </x:c>
      <x:c r="AA27" s="84" t="str">
        <x:v>生扶链中断</x:v>
      </x:c>
      <x:c r="AB27" s="84" t="str">
        <x:v>唯一生源被强克且无承载时，该生扶链失效。</x:v>
      </x:c>
      <x:c r="AC27" s="82" t="str">
        <x:v>较高</x:v>
      </x:c>
      <x:c r="AD27" s="82" t="str">
        <x:v>现代综合</x:v>
      </x:c>
      <x:c r="AE27" s="68" t="str">
        <x:v>有效力量必须承接原始力量与实际效应，逐对象、逐节点修正。</x:v>
      </x:c>
      <x:c r="AF27" s="68" t="str">
        <x:v>生源自身有效且路径可达时，支持才进入高等级。</x:v>
      </x:c>
      <x:c r="AG27" s="90" t="str">
        <x:v>只要出现相生五行就按满额生扶。</x:v>
      </x:c>
      <x:c r="AH27" s="68" t="str">
        <x:v>https://zh.wikisource.org/zh-hans/滴天髓 ; https://zh.wikisource.org/zh-hans/淵海子平 ; https://zh.wikisource.org/wiki/三命通會</x:v>
      </x:c>
      <x:c r="AI27" s="82" t="str">
        <x:v>采用</x:v>
      </x:c>
      <x:c r="AJ27" s="82" t="str">
        <x:v>初审</x:v>
      </x:c>
      <x:c r="AK27" s="87" t="n">
        <x:v>46255</x:v>
      </x:c>
    </x:row>
    <x:row r="28">
      <x:c r="A28" s="72" t="str">
        <x:f>IF(OR(C28="",D28=""),"",B28&amp;"-"&amp;UPPER(C28)&amp;"-"&amp;TEXT(D28,"0000")&amp;"-"&amp;E28)</x:f>
        <x:v>M08-SOURCE-0022-V1.0</x:v>
      </x:c>
      <x:c r="B28" s="74" t="str">
        <x:v>M08</x:v>
      </x:c>
      <x:c r="C28" s="74" t="str">
        <x:v>SOURCE</x:v>
      </x:c>
      <x:c r="D28" s="79" t="n">
        <x:v>22</x:v>
      </x:c>
      <x:c r="E28" s="74" t="str">
        <x:v>V1.0</x:v>
      </x:c>
      <x:c r="F28" s="68" t="str">
        <x:v>多个独立生源可形成供给冗余</x:v>
      </x:c>
      <x:c r="G28" s="82" t="str">
        <x:v>结构层</x:v>
      </x:c>
      <x:c r="H28" s="68" t="str">
        <x:v>M07多源</x:v>
      </x:c>
      <x:c r="I28" s="68" t="str">
        <x:v>目标五行</x:v>
      </x:c>
      <x:c r="J28" s="68" t="str">
        <x:v>多生源</x:v>
      </x:c>
      <x:c r="K28" s="68" t="str">
        <x:v>其中一个生源受损</x:v>
      </x:c>
      <x:c r="L28" s="68" t="str">
        <x:v>保留其他独立生源</x:v>
      </x:c>
      <x:c r="M28" s="82" t="str">
        <x:v>减弱</x:v>
      </x:c>
      <x:c r="N28" s="82" t="str">
        <x:v>中</x:v>
      </x:c>
      <x:c r="O28" s="82" t="str">
        <x:v>否</x:v>
      </x:c>
      <x:c r="P28" s="82" t="str">
        <x:v>条件性</x:v>
      </x:c>
      <x:c r="Q28" s="82" t="str">
        <x:v>条件性</x:v>
      </x:c>
      <x:c r="R28" s="82" t="str">
        <x:v>是</x:v>
      </x:c>
      <x:c r="S28" s="68" t="str">
        <x:v>前置模块已完成</x:v>
      </x:c>
      <x:c r="T28" s="68" t="str">
        <x:v>作用条件真实成立</x:v>
      </x:c>
      <x:c r="U28" s="68" t="str">
        <x:v>得令、有根、有援可增强</x:v>
      </x:c>
      <x:c r="V28" s="68" t="str">
        <x:v>失令、孤立或受制可削弱</x:v>
      </x:c>
      <x:c r="W28" s="90" t="str">
        <x:v>禁止用关系名称直接替代实际效应</x:v>
      </x:c>
      <x:c r="X28" s="68" t="str">
        <x:v>特殊格局与动态岁运另模块处理</x:v>
      </x:c>
      <x:c r="Y28" s="84" t="str">
        <x:v>按证据修正有效旺衰</x:v>
      </x:c>
      <x:c r="Z28" s="68" t="str">
        <x:v>不得直接推出喜忌用神</x:v>
      </x:c>
      <x:c r="AA28" s="84" t="str">
        <x:v>生源冗余</x:v>
      </x:c>
      <x:c r="AB28" s="84" t="str">
        <x:v>多个独立生源可分散单一路径受损风险。</x:v>
      </x:c>
      <x:c r="AC28" s="82" t="str">
        <x:v>较高</x:v>
      </x:c>
      <x:c r="AD28" s="82" t="str">
        <x:v>现代综合</x:v>
      </x:c>
      <x:c r="AE28" s="68" t="str">
        <x:v>有效力量必须承接原始力量与实际效应，逐对象、逐节点修正。</x:v>
      </x:c>
      <x:c r="AF28" s="68" t="str">
        <x:v>生源自身有效且路径可达时，支持才进入高等级。</x:v>
      </x:c>
      <x:c r="AG28" s="90" t="str">
        <x:v>只要出现相生五行就按满额生扶。</x:v>
      </x:c>
      <x:c r="AH28" s="68" t="str">
        <x:v>https://zh.wikisource.org/zh-hans/滴天髓 ; https://zh.wikisource.org/zh-hans/淵海子平 ; https://zh.wikisource.org/wiki/三命通會</x:v>
      </x:c>
      <x:c r="AI28" s="82" t="str">
        <x:v>采用</x:v>
      </x:c>
      <x:c r="AJ28" s="82" t="str">
        <x:v>初审</x:v>
      </x:c>
      <x:c r="AK28" s="87" t="n">
        <x:v>46255</x:v>
      </x:c>
    </x:row>
    <x:row r="29">
      <x:c r="A29" s="72" t="str">
        <x:f>IF(OR(C29="",D29=""),"",B29&amp;"-"&amp;UPPER(C29)&amp;"-"&amp;TEXT(D29,"0000")&amp;"-"&amp;E29)</x:f>
        <x:v>M08-SOURCE-0023-V1.0</x:v>
      </x:c>
      <x:c r="B29" s="74" t="str">
        <x:v>M08</x:v>
      </x:c>
      <x:c r="C29" s="74" t="str">
        <x:v>SOURCE</x:v>
      </x:c>
      <x:c r="D29" s="79" t="n">
        <x:v>23</x:v>
      </x:c>
      <x:c r="E29" s="74" t="str">
        <x:v>V1.0</x:v>
      </x:c>
      <x:c r="F29" s="68" t="str">
        <x:v>两段生扶必须以中间五行为有效桥梁</x:v>
      </x:c>
      <x:c r="G29" s="82" t="str">
        <x:v>结构层</x:v>
      </x:c>
      <x:c r="H29" s="68" t="str">
        <x:v>M07连续生扶+M12接口</x:v>
      </x:c>
      <x:c r="I29" s="68" t="str">
        <x:v>目标五行</x:v>
      </x:c>
      <x:c r="J29" s="68" t="str">
        <x:v>两段生扶链</x:v>
      </x:c>
      <x:c r="K29" s="68" t="str">
        <x:v>源→桥→目标</x:v>
      </x:c>
      <x:c r="L29" s="68" t="str">
        <x:v>桥有效时保留折减后的间接支持</x:v>
      </x:c>
      <x:c r="M29" s="82" t="str">
        <x:v>增强</x:v>
      </x:c>
      <x:c r="N29" s="82" t="str">
        <x:v>中</x:v>
      </x:c>
      <x:c r="O29" s="82" t="str">
        <x:v>否</x:v>
      </x:c>
      <x:c r="P29" s="82" t="str">
        <x:v>条件性</x:v>
      </x:c>
      <x:c r="Q29" s="82" t="str">
        <x:v>条件性</x:v>
      </x:c>
      <x:c r="R29" s="82" t="str">
        <x:v>是</x:v>
      </x:c>
      <x:c r="S29" s="68" t="str">
        <x:v>前置模块已完成</x:v>
      </x:c>
      <x:c r="T29" s="68" t="str">
        <x:v>作用条件真实成立</x:v>
      </x:c>
      <x:c r="U29" s="68" t="str">
        <x:v>得令、有根、有援可增强</x:v>
      </x:c>
      <x:c r="V29" s="68" t="str">
        <x:v>失令、孤立或受制可削弱</x:v>
      </x:c>
      <x:c r="W29" s="90" t="str">
        <x:v>禁止用关系名称直接替代实际效应</x:v>
      </x:c>
      <x:c r="X29" s="68" t="str">
        <x:v>特殊格局与动态岁运另模块处理</x:v>
      </x:c>
      <x:c r="Y29" s="84" t="str">
        <x:v>按证据修正有效旺衰</x:v>
      </x:c>
      <x:c r="Z29" s="68" t="str">
        <x:v>不得直接推出喜忌用神</x:v>
      </x:c>
      <x:c r="AA29" s="84" t="str">
        <x:v>桥梁有效生扶</x:v>
      </x:c>
      <x:c r="AB29" s="84" t="str">
        <x:v>两段生扶只有中间桥梁有效时才成立，且低于直接生源权重。</x:v>
      </x:c>
      <x:c r="AC29" s="82" t="str">
        <x:v>较高</x:v>
      </x:c>
      <x:c r="AD29" s="82" t="str">
        <x:v>现代综合</x:v>
      </x:c>
      <x:c r="AE29" s="68" t="str">
        <x:v>有效力量必须承接原始力量与实际效应，逐对象、逐节点修正。</x:v>
      </x:c>
      <x:c r="AF29" s="68" t="str">
        <x:v>生源自身有效且路径可达时，支持才进入高等级。</x:v>
      </x:c>
      <x:c r="AG29" s="90" t="str">
        <x:v>只要出现相生五行就按满额生扶。</x:v>
      </x:c>
      <x:c r="AH29" s="68" t="str">
        <x:v>https://zh.wikisource.org/zh-hans/滴天髓 ; https://zh.wikisource.org/zh-hans/淵海子平 ; https://zh.wikisource.org/wiki/三命通會</x:v>
      </x:c>
      <x:c r="AI29" s="82" t="str">
        <x:v>采用</x:v>
      </x:c>
      <x:c r="AJ29" s="82" t="str">
        <x:v>初审</x:v>
      </x:c>
      <x:c r="AK29" s="87" t="n">
        <x:v>46255</x:v>
      </x:c>
    </x:row>
    <x:row r="30">
      <x:c r="A30" s="72" t="str">
        <x:f>IF(OR(C30="",D30=""),"",B30&amp;"-"&amp;UPPER(C30)&amp;"-"&amp;TEXT(D30,"0000")&amp;"-"&amp;E30)</x:f>
        <x:v>M08-SOURCE-0024-V1.0</x:v>
      </x:c>
      <x:c r="B30" s="74" t="str">
        <x:v>M08</x:v>
      </x:c>
      <x:c r="C30" s="74" t="str">
        <x:v>SOURCE</x:v>
      </x:c>
      <x:c r="D30" s="79" t="n">
        <x:v>24</x:v>
      </x:c>
      <x:c r="E30" s="74" t="str">
        <x:v>V1.0</x:v>
      </x:c>
      <x:c r="F30" s="68" t="str">
        <x:v>生源过旺而目标过弱时供给不等于可承载</x:v>
      </x:c>
      <x:c r="G30" s="82" t="str">
        <x:v>结构层</x:v>
      </x:c>
      <x:c r="H30" s="68" t="str">
        <x:v>M08综合+M12接口</x:v>
      </x:c>
      <x:c r="I30" s="68" t="str">
        <x:v>目标五行</x:v>
      </x:c>
      <x:c r="J30" s="68" t="str">
        <x:v>弱目标遇强生源</x:v>
      </x:c>
      <x:c r="K30" s="68" t="str">
        <x:v>大量输入</x:v>
      </x:c>
      <x:c r="L30" s="68" t="str">
        <x:v>提高来源证据但设置承载上限</x:v>
      </x:c>
      <x:c r="M30" s="82" t="str">
        <x:v>条件性</x:v>
      </x:c>
      <x:c r="N30" s="82" t="str">
        <x:v>中</x:v>
      </x:c>
      <x:c r="O30" s="82" t="str">
        <x:v>否</x:v>
      </x:c>
      <x:c r="P30" s="82" t="str">
        <x:v>条件性</x:v>
      </x:c>
      <x:c r="Q30" s="82" t="str">
        <x:v>条件性</x:v>
      </x:c>
      <x:c r="R30" s="82" t="str">
        <x:v>是</x:v>
      </x:c>
      <x:c r="S30" s="68" t="str">
        <x:v>前置模块已完成</x:v>
      </x:c>
      <x:c r="T30" s="68" t="str">
        <x:v>作用条件真实成立</x:v>
      </x:c>
      <x:c r="U30" s="68" t="str">
        <x:v>得令、有根、有援可增强</x:v>
      </x:c>
      <x:c r="V30" s="68" t="str">
        <x:v>失令、孤立或受制可削弱</x:v>
      </x:c>
      <x:c r="W30" s="90" t="str">
        <x:v>禁止用关系名称直接替代实际效应</x:v>
      </x:c>
      <x:c r="X30" s="68" t="str">
        <x:v>特殊格局与动态岁运另模块处理</x:v>
      </x:c>
      <x:c r="Y30" s="84" t="str">
        <x:v>按证据修正有效旺衰</x:v>
      </x:c>
      <x:c r="Z30" s="68" t="str">
        <x:v>不得直接推出喜忌用神</x:v>
      </x:c>
      <x:c r="AA30" s="84" t="str">
        <x:v>生多不受</x:v>
      </x:c>
      <x:c r="AB30" s="84" t="str">
        <x:v>强生源输入弱目标时仍需检查目标承载，不能直接推升为旺。</x:v>
      </x:c>
      <x:c r="AC30" s="82" t="str">
        <x:v>较高</x:v>
      </x:c>
      <x:c r="AD30" s="82" t="str">
        <x:v>现代综合</x:v>
      </x:c>
      <x:c r="AE30" s="68" t="str">
        <x:v>有效力量必须承接原始力量与实际效应，逐对象、逐节点修正。</x:v>
      </x:c>
      <x:c r="AF30" s="68" t="str">
        <x:v>生源自身有效且路径可达时，支持才进入高等级。</x:v>
      </x:c>
      <x:c r="AG30" s="90" t="str">
        <x:v>只要出现相生五行就按满额生扶。</x:v>
      </x:c>
      <x:c r="AH30" s="68" t="str">
        <x:v>https://zh.wikisource.org/zh-hans/滴天髓 ; https://zh.wikisource.org/zh-hans/淵海子平 ; https://zh.wikisource.org/wiki/三命通會</x:v>
      </x:c>
      <x:c r="AI30" s="82" t="str">
        <x:v>采用</x:v>
      </x:c>
      <x:c r="AJ30" s="82" t="str">
        <x:v>初审</x:v>
      </x:c>
      <x:c r="AK30" s="87" t="n">
        <x:v>46255</x:v>
      </x:c>
    </x:row>
    <x:row r="31">
      <x:c r="A31" s="72" t="str">
        <x:f>IF(OR(C31="",D31=""),"",B31&amp;"-"&amp;UPPER(C31)&amp;"-"&amp;TEXT(D31,"0000")&amp;"-"&amp;E31)</x:f>
        <x:v>M08-SOURCE-0025-V1.0</x:v>
      </x:c>
      <x:c r="B31" s="74" t="str">
        <x:v>M08</x:v>
      </x:c>
      <x:c r="C31" s="74" t="str">
        <x:v>SOURCE</x:v>
      </x:c>
      <x:c r="D31" s="79" t="n">
        <x:v>25</x:v>
      </x:c>
      <x:c r="E31" s="74" t="str">
        <x:v>V1.0</x:v>
      </x:c>
      <x:c r="F31" s="68" t="str">
        <x:v>生源被泄耗过度时实际供给下降</x:v>
      </x:c>
      <x:c r="G31" s="82" t="str">
        <x:v>结构层</x:v>
      </x:c>
      <x:c r="H31" s="68" t="str">
        <x:v>M08泄耗修正</x:v>
      </x:c>
      <x:c r="I31" s="68" t="str">
        <x:v>目标五行</x:v>
      </x:c>
      <x:c r="J31" s="68" t="str">
        <x:v>有生源</x:v>
      </x:c>
      <x:c r="K31" s="68" t="str">
        <x:v>生源同时大量输出</x:v>
      </x:c>
      <x:c r="L31" s="68" t="str">
        <x:v>按剩余容量下调生扶</x:v>
      </x:c>
      <x:c r="M31" s="82" t="str">
        <x:v>减弱</x:v>
      </x:c>
      <x:c r="N31" s="82" t="str">
        <x:v>中</x:v>
      </x:c>
      <x:c r="O31" s="82" t="str">
        <x:v>否</x:v>
      </x:c>
      <x:c r="P31" s="82" t="str">
        <x:v>条件性</x:v>
      </x:c>
      <x:c r="Q31" s="82" t="str">
        <x:v>条件性</x:v>
      </x:c>
      <x:c r="R31" s="82" t="str">
        <x:v>是</x:v>
      </x:c>
      <x:c r="S31" s="68" t="str">
        <x:v>前置模块已完成</x:v>
      </x:c>
      <x:c r="T31" s="68" t="str">
        <x:v>作用条件真实成立</x:v>
      </x:c>
      <x:c r="U31" s="68" t="str">
        <x:v>得令、有根、有援可增强</x:v>
      </x:c>
      <x:c r="V31" s="68" t="str">
        <x:v>失令、孤立或受制可削弱</x:v>
      </x:c>
      <x:c r="W31" s="90" t="str">
        <x:v>禁止用关系名称直接替代实际效应</x:v>
      </x:c>
      <x:c r="X31" s="68" t="str">
        <x:v>特殊格局与动态岁运另模块处理</x:v>
      </x:c>
      <x:c r="Y31" s="84" t="str">
        <x:v>按证据修正有效旺衰</x:v>
      </x:c>
      <x:c r="Z31" s="68" t="str">
        <x:v>不得直接推出喜忌用神</x:v>
      </x:c>
      <x:c r="AA31" s="84" t="str">
        <x:v>生源容量分配</x:v>
      </x:c>
      <x:c r="AB31" s="84" t="str">
        <x:v>生源同时承担多条强输出路径时，对单一目标的供给应下调。</x:v>
      </x:c>
      <x:c r="AC31" s="82" t="str">
        <x:v>较高</x:v>
      </x:c>
      <x:c r="AD31" s="82" t="str">
        <x:v>现代综合</x:v>
      </x:c>
      <x:c r="AE31" s="68" t="str">
        <x:v>有效力量必须承接原始力量与实际效应，逐对象、逐节点修正。</x:v>
      </x:c>
      <x:c r="AF31" s="68" t="str">
        <x:v>生源自身有效且路径可达时，支持才进入高等级。</x:v>
      </x:c>
      <x:c r="AG31" s="90" t="str">
        <x:v>只要出现相生五行就按满额生扶。</x:v>
      </x:c>
      <x:c r="AH31" s="68" t="str">
        <x:v>https://zh.wikisource.org/zh-hans/滴天髓 ; https://zh.wikisource.org/zh-hans/淵海子平 ; https://zh.wikisource.org/wiki/三命通會</x:v>
      </x:c>
      <x:c r="AI31" s="82" t="str">
        <x:v>采用</x:v>
      </x:c>
      <x:c r="AJ31" s="82" t="str">
        <x:v>初审</x:v>
      </x:c>
      <x:c r="AK31" s="87" t="n">
        <x:v>46255</x:v>
      </x:c>
    </x:row>
    <x:row r="32">
      <x:c r="A32" s="72" t="str">
        <x:f>IF(OR(C32="",D32=""),"",B32&amp;"-"&amp;UPPER(C32)&amp;"-"&amp;TEXT(D32,"0000")&amp;"-"&amp;E32)</x:f>
        <x:v>M08-SOURCE-0026-V1.0</x:v>
      </x:c>
      <x:c r="B32" s="74" t="str">
        <x:v>M08</x:v>
      </x:c>
      <x:c r="C32" s="74" t="str">
        <x:v>SOURCE</x:v>
      </x:c>
      <x:c r="D32" s="79" t="n">
        <x:v>26</x:v>
      </x:c>
      <x:c r="E32" s="74" t="str">
        <x:v>V1.0</x:v>
      </x:c>
      <x:c r="F32" s="68" t="str">
        <x:v>透而无根且被截脚的生源供给效率下降</x:v>
      </x:c>
      <x:c r="G32" s="82" t="str">
        <x:v>结构层</x:v>
      </x:c>
      <x:c r="H32" s="68" t="str">
        <x:v>M07透干+M06地支作用</x:v>
      </x:c>
      <x:c r="I32" s="68" t="str">
        <x:v>目标五行</x:v>
      </x:c>
      <x:c r="J32" s="68" t="str">
        <x:v>透干生源</x:v>
      </x:c>
      <x:c r="K32" s="68" t="str">
        <x:v>浮透无根且坐下受制</x:v>
      </x:c>
      <x:c r="L32" s="68" t="str">
        <x:v>下调持续供给</x:v>
      </x:c>
      <x:c r="M32" s="82" t="str">
        <x:v>减弱</x:v>
      </x:c>
      <x:c r="N32" s="82" t="str">
        <x:v>中</x:v>
      </x:c>
      <x:c r="O32" s="82" t="str">
        <x:v>否</x:v>
      </x:c>
      <x:c r="P32" s="82" t="str">
        <x:v>条件性</x:v>
      </x:c>
      <x:c r="Q32" s="82" t="str">
        <x:v>条件性</x:v>
      </x:c>
      <x:c r="R32" s="82" t="str">
        <x:v>是</x:v>
      </x:c>
      <x:c r="S32" s="68" t="str">
        <x:v>前置模块已完成</x:v>
      </x:c>
      <x:c r="T32" s="68" t="str">
        <x:v>作用条件真实成立</x:v>
      </x:c>
      <x:c r="U32" s="68" t="str">
        <x:v>得令、有根、有援可增强</x:v>
      </x:c>
      <x:c r="V32" s="68" t="str">
        <x:v>失令、孤立或受制可削弱</x:v>
      </x:c>
      <x:c r="W32" s="90" t="str">
        <x:v>禁止用关系名称直接替代实际效应</x:v>
      </x:c>
      <x:c r="X32" s="68" t="str">
        <x:v>特殊格局与动态岁运另模块处理</x:v>
      </x:c>
      <x:c r="Y32" s="84" t="str">
        <x:v>按证据修正有效旺衰</x:v>
      </x:c>
      <x:c r="Z32" s="68" t="str">
        <x:v>不得直接推出喜忌用神</x:v>
      </x:c>
      <x:c r="AA32" s="84" t="str">
        <x:v>浮源降权</x:v>
      </x:c>
      <x:c r="AB32" s="84" t="str">
        <x:v>生源虽透干但无根且受制时，持续供给明显低于有根透干。</x:v>
      </x:c>
      <x:c r="AC32" s="82" t="str">
        <x:v>较高</x:v>
      </x:c>
      <x:c r="AD32" s="82" t="str">
        <x:v>现代综合</x:v>
      </x:c>
      <x:c r="AE32" s="68" t="str">
        <x:v>有效力量必须承接原始力量与实际效应，逐对象、逐节点修正。</x:v>
      </x:c>
      <x:c r="AF32" s="68" t="str">
        <x:v>生源自身有效且路径可达时，支持才进入高等级。</x:v>
      </x:c>
      <x:c r="AG32" s="90" t="str">
        <x:v>只要出现相生五行就按满额生扶。</x:v>
      </x:c>
      <x:c r="AH32" s="68" t="str">
        <x:v>https://zh.wikisource.org/zh-hans/滴天髓 ; https://zh.wikisource.org/zh-hans/淵海子平 ; https://zh.wikisource.org/wiki/三命通會</x:v>
      </x:c>
      <x:c r="AI32" s="82" t="str">
        <x:v>采用</x:v>
      </x:c>
      <x:c r="AJ32" s="82" t="str">
        <x:v>初审</x:v>
      </x:c>
      <x:c r="AK32" s="87" t="n">
        <x:v>46255</x:v>
      </x:c>
    </x:row>
    <x:row r="33">
      <x:c r="A33" s="72" t="str">
        <x:f>IF(OR(C33="",D33=""),"",B33&amp;"-"&amp;UPPER(C33)&amp;"-"&amp;TEXT(D33,"0000")&amp;"-"&amp;E33)</x:f>
        <x:v>M08-SOURCE-0027-V1.0</x:v>
      </x:c>
      <x:c r="B33" s="74" t="str">
        <x:v>M08</x:v>
      </x:c>
      <x:c r="C33" s="74" t="str">
        <x:v>SOURCE</x:v>
      </x:c>
      <x:c r="D33" s="79" t="n">
        <x:v>27</x:v>
      </x:c>
      <x:c r="E33" s="74" t="str">
        <x:v>V1.0</x:v>
      </x:c>
      <x:c r="F33" s="68" t="str">
        <x:v>生源被通关保护时可恢复部分供给</x:v>
      </x:c>
      <x:c r="G33" s="82" t="str">
        <x:v>结构层</x:v>
      </x:c>
      <x:c r="H33" s="68" t="str">
        <x:v>M08克制+M12接口</x:v>
      </x:c>
      <x:c r="I33" s="68" t="str">
        <x:v>目标五行</x:v>
      </x:c>
      <x:c r="J33" s="68" t="str">
        <x:v>生源受克</x:v>
      </x:c>
      <x:c r="K33" s="68" t="str">
        <x:v>有有效通关</x:v>
      </x:c>
      <x:c r="L33" s="68" t="str">
        <x:v>按通关有效程度恢复供给</x:v>
      </x:c>
      <x:c r="M33" s="82" t="str">
        <x:v>增强</x:v>
      </x:c>
      <x:c r="N33" s="82" t="str">
        <x:v>中</x:v>
      </x:c>
      <x:c r="O33" s="82" t="str">
        <x:v>否</x:v>
      </x:c>
      <x:c r="P33" s="82" t="str">
        <x:v>条件性</x:v>
      </x:c>
      <x:c r="Q33" s="82" t="str">
        <x:v>条件性</x:v>
      </x:c>
      <x:c r="R33" s="82" t="str">
        <x:v>是</x:v>
      </x:c>
      <x:c r="S33" s="68" t="str">
        <x:v>前置模块已完成</x:v>
      </x:c>
      <x:c r="T33" s="68" t="str">
        <x:v>作用条件真实成立</x:v>
      </x:c>
      <x:c r="U33" s="68" t="str">
        <x:v>得令、有根、有援可增强</x:v>
      </x:c>
      <x:c r="V33" s="68" t="str">
        <x:v>失令、孤立或受制可削弱</x:v>
      </x:c>
      <x:c r="W33" s="90" t="str">
        <x:v>禁止用关系名称直接替代实际效应</x:v>
      </x:c>
      <x:c r="X33" s="68" t="str">
        <x:v>特殊格局与动态岁运另模块处理</x:v>
      </x:c>
      <x:c r="Y33" s="84" t="str">
        <x:v>按证据修正有效旺衰</x:v>
      </x:c>
      <x:c r="Z33" s="68" t="str">
        <x:v>不得直接推出喜忌用神</x:v>
      </x:c>
      <x:c r="AA33" s="84" t="str">
        <x:v>通关恢复生源</x:v>
      </x:c>
      <x:c r="AB33" s="84" t="str">
        <x:v>生源受克但有有效通关时，可恢复部分供给能力。</x:v>
      </x:c>
      <x:c r="AC33" s="82" t="str">
        <x:v>较高</x:v>
      </x:c>
      <x:c r="AD33" s="82" t="str">
        <x:v>现代综合</x:v>
      </x:c>
      <x:c r="AE33" s="68" t="str">
        <x:v>有效力量必须承接原始力量与实际效应，逐对象、逐节点修正。</x:v>
      </x:c>
      <x:c r="AF33" s="68" t="str">
        <x:v>生源自身有效且路径可达时，支持才进入高等级。</x:v>
      </x:c>
      <x:c r="AG33" s="90" t="str">
        <x:v>只要出现相生五行就按满额生扶。</x:v>
      </x:c>
      <x:c r="AH33" s="68" t="str">
        <x:v>https://zh.wikisource.org/zh-hans/滴天髓 ; https://zh.wikisource.org/zh-hans/淵海子平 ; https://zh.wikisource.org/wiki/三命通會</x:v>
      </x:c>
      <x:c r="AI33" s="82" t="str">
        <x:v>采用</x:v>
      </x:c>
      <x:c r="AJ33" s="82" t="str">
        <x:v>初审</x:v>
      </x:c>
      <x:c r="AK33" s="87" t="n">
        <x:v>46255</x:v>
      </x:c>
    </x:row>
    <x:row r="34">
      <x:c r="A34" s="72" t="str">
        <x:f>IF(OR(C34="",D34=""),"",B34&amp;"-"&amp;UPPER(C34)&amp;"-"&amp;TEXT(D34,"0000")&amp;"-"&amp;E34)</x:f>
        <x:v>M08-SOURCE-0028-V1.0</x:v>
      </x:c>
      <x:c r="B34" s="74" t="str">
        <x:v>M08</x:v>
      </x:c>
      <x:c r="C34" s="74" t="str">
        <x:v>SOURCE</x:v>
      </x:c>
      <x:c r="D34" s="79" t="n">
        <x:v>28</x:v>
      </x:c>
      <x:c r="E34" s="74" t="str">
        <x:v>V1.0</x:v>
      </x:c>
      <x:c r="F34" s="68" t="str">
        <x:v>有效生源汇总需避免与季令相重复满额加权</x:v>
      </x:c>
      <x:c r="G34" s="82" t="str">
        <x:v>结构层</x:v>
      </x:c>
      <x:c r="H34" s="68" t="str">
        <x:v>M07证据去重</x:v>
      </x:c>
      <x:c r="I34" s="68" t="str">
        <x:v>目标五行</x:v>
      </x:c>
      <x:c r="J34" s="68" t="str">
        <x:v>相令且有同源生源</x:v>
      </x:c>
      <x:c r="K34" s="68" t="str">
        <x:v>季令相与具体生源共源</x:v>
      </x:c>
      <x:c r="L34" s="68" t="str">
        <x:v>合并同源证据并设置容量上限</x:v>
      </x:c>
      <x:c r="M34" s="82" t="str">
        <x:v>不变</x:v>
      </x:c>
      <x:c r="N34" s="82" t="str">
        <x:v>中</x:v>
      </x:c>
      <x:c r="O34" s="82" t="str">
        <x:v>否</x:v>
      </x:c>
      <x:c r="P34" s="82" t="str">
        <x:v>条件性</x:v>
      </x:c>
      <x:c r="Q34" s="82" t="str">
        <x:v>条件性</x:v>
      </x:c>
      <x:c r="R34" s="82" t="str">
        <x:v>是</x:v>
      </x:c>
      <x:c r="S34" s="68" t="str">
        <x:v>前置模块已完成</x:v>
      </x:c>
      <x:c r="T34" s="68" t="str">
        <x:v>作用条件真实成立</x:v>
      </x:c>
      <x:c r="U34" s="68" t="str">
        <x:v>得令、有根、有援可增强</x:v>
      </x:c>
      <x:c r="V34" s="68" t="str">
        <x:v>失令、孤立或受制可削弱</x:v>
      </x:c>
      <x:c r="W34" s="90" t="str">
        <x:v>禁止用关系名称直接替代实际效应</x:v>
      </x:c>
      <x:c r="X34" s="68" t="str">
        <x:v>特殊格局与动态岁运另模块处理</x:v>
      </x:c>
      <x:c r="Y34" s="84" t="str">
        <x:v>按证据修正有效旺衰</x:v>
      </x:c>
      <x:c r="Z34" s="68" t="str">
        <x:v>不得直接推出喜忌用神</x:v>
      </x:c>
      <x:c r="AA34" s="84" t="str">
        <x:v>生源证据去重</x:v>
      </x:c>
      <x:c r="AB34" s="84" t="str">
        <x:v>季令相与月令生源若来自同一事实，应合并计权。</x:v>
      </x:c>
      <x:c r="AC34" s="82" t="str">
        <x:v>较高</x:v>
      </x:c>
      <x:c r="AD34" s="82" t="str">
        <x:v>现代综合</x:v>
      </x:c>
      <x:c r="AE34" s="68" t="str">
        <x:v>有效力量必须承接原始力量与实际效应，逐对象、逐节点修正。</x:v>
      </x:c>
      <x:c r="AF34" s="68" t="str">
        <x:v>生源自身有效且路径可达时，支持才进入高等级。</x:v>
      </x:c>
      <x:c r="AG34" s="90" t="str">
        <x:v>只要出现相生五行就按满额生扶。</x:v>
      </x:c>
      <x:c r="AH34" s="68" t="str">
        <x:v>https://zh.wikisource.org/zh-hans/滴天髓 ; https://zh.wikisource.org/zh-hans/淵海子平 ; https://zh.wikisource.org/wiki/三命通會</x:v>
      </x:c>
      <x:c r="AI34" s="82" t="str">
        <x:v>采用</x:v>
      </x:c>
      <x:c r="AJ34" s="82" t="str">
        <x:v>初审</x:v>
      </x:c>
      <x:c r="AK34" s="87" t="n">
        <x:v>46255</x:v>
      </x:c>
    </x:row>
    <x:row r="35">
      <x:c r="A35" s="72" t="str">
        <x:f>IF(OR(C35="",D35=""),"",B35&amp;"-"&amp;UPPER(C35)&amp;"-"&amp;TEXT(D35,"0000")&amp;"-"&amp;E35)</x:f>
        <x:v>M08-STEM-0029-V1.0</x:v>
      </x:c>
      <x:c r="B35" s="74" t="str">
        <x:v>M08</x:v>
      </x:c>
      <x:c r="C35" s="74" t="str">
        <x:v>STEM</x:v>
      </x:c>
      <x:c r="D35" s="79" t="n">
        <x:v>29</x:v>
      </x:c>
      <x:c r="E35" s="74" t="str">
        <x:v>V1.0</x:v>
      </x:c>
      <x:c r="F35" s="68" t="str">
        <x:v>有根透干的有效显露度通常高于藏而不透</x:v>
      </x:c>
      <x:c r="G35" s="82" t="str">
        <x:v>结构层</x:v>
      </x:c>
      <x:c r="H35" s="68" t="str">
        <x:v>M07透干+M08根气</x:v>
      </x:c>
      <x:c r="I35" s="68" t="str">
        <x:v>目标五行</x:v>
      </x:c>
      <x:c r="J35" s="68" t="str">
        <x:v>有根透干</x:v>
      </x:c>
      <x:c r="K35" s="68" t="str">
        <x:v>根未失效</x:v>
      </x:c>
      <x:c r="L35" s="68" t="str">
        <x:v>保留高可调用性</x:v>
      </x:c>
      <x:c r="M35" s="82" t="str">
        <x:v>增强</x:v>
      </x:c>
      <x:c r="N35" s="82" t="str">
        <x:v>中</x:v>
      </x:c>
      <x:c r="O35" s="82" t="str">
        <x:v>否</x:v>
      </x:c>
      <x:c r="P35" s="82" t="str">
        <x:v>否</x:v>
      </x:c>
      <x:c r="Q35" s="82" t="str">
        <x:v>是</x:v>
      </x:c>
      <x:c r="R35" s="82" t="str">
        <x:v>是</x:v>
      </x:c>
      <x:c r="S35" s="68" t="str">
        <x:v>前置模块已完成</x:v>
      </x:c>
      <x:c r="T35" s="68" t="str">
        <x:v>作用条件真实成立</x:v>
      </x:c>
      <x:c r="U35" s="68" t="str">
        <x:v>得令、有根、有援可增强</x:v>
      </x:c>
      <x:c r="V35" s="68" t="str">
        <x:v>失令、孤立或受制可削弱</x:v>
      </x:c>
      <x:c r="W35" s="90" t="str">
        <x:v>禁止用关系名称直接替代实际效应</x:v>
      </x:c>
      <x:c r="X35" s="68" t="str">
        <x:v>特殊格局与动态岁运另模块处理</x:v>
      </x:c>
      <x:c r="Y35" s="84" t="str">
        <x:v>按证据修正有效旺衰</x:v>
      </x:c>
      <x:c r="Z35" s="68" t="str">
        <x:v>不得直接推出喜忌用神</x:v>
      </x:c>
      <x:c r="AA35" s="84" t="str">
        <x:v>有根透干有效</x:v>
      </x:c>
      <x:c r="AB35" s="84" t="str">
        <x:v>有根又透干时，可调用性较高，更能直接参与全局生克。</x:v>
      </x:c>
      <x:c r="AC35" s="82" t="str">
        <x:v>较高</x:v>
      </x:c>
      <x:c r="AD35" s="82" t="str">
        <x:v>现代综合</x:v>
      </x:c>
      <x:c r="AE35" s="68" t="str">
        <x:v>有效力量必须承接原始力量与实际效应，逐对象、逐节点修正。</x:v>
      </x:c>
      <x:c r="AF35" s="68" t="str">
        <x:v>显露度与根气、作用路径同时评估。</x:v>
      </x:c>
      <x:c r="AG35" s="90" t="str">
        <x:v>透了就旺、不透就弱，或按柱位固定打折。</x:v>
      </x:c>
      <x:c r="AH35" s="68" t="str">
        <x:v>https://zh.wikisource.org/zh-hans/滴天髓 ; https://zh.wikisource.org/zh-hans/淵海子平 ; https://zh.wikisource.org/wiki/三命通會</x:v>
      </x:c>
      <x:c r="AI35" s="82" t="str">
        <x:v>采用</x:v>
      </x:c>
      <x:c r="AJ35" s="82" t="str">
        <x:v>初审</x:v>
      </x:c>
      <x:c r="AK35" s="87" t="n">
        <x:v>46255</x:v>
      </x:c>
    </x:row>
    <x:row r="36">
      <x:c r="A36" s="72" t="str">
        <x:f>IF(OR(C36="",D36=""),"",B36&amp;"-"&amp;UPPER(C36)&amp;"-"&amp;TEXT(D36,"0000")&amp;"-"&amp;E36)</x:f>
        <x:v>M08-STEM-0030-V1.0</x:v>
      </x:c>
      <x:c r="B36" s="74" t="str">
        <x:v>M08</x:v>
      </x:c>
      <x:c r="C36" s="74" t="str">
        <x:v>STEM</x:v>
      </x:c>
      <x:c r="D36" s="79" t="n">
        <x:v>30</x:v>
      </x:c>
      <x:c r="E36" s="74" t="str">
        <x:v>V1.0</x:v>
      </x:c>
      <x:c r="F36" s="68" t="str">
        <x:v>透干被合绊时显露功能下降但本体不消失</x:v>
      </x:c>
      <x:c r="G36" s="82" t="str">
        <x:v>结构层</x:v>
      </x:c>
      <x:c r="H36" s="68" t="str">
        <x:v>M06天干合</x:v>
      </x:c>
      <x:c r="I36" s="68" t="str">
        <x:v>目标五行</x:v>
      </x:c>
      <x:c r="J36" s="68" t="str">
        <x:v>透干</x:v>
      </x:c>
      <x:c r="K36" s="68" t="str">
        <x:v>被合绊未化</x:v>
      </x:c>
      <x:c r="L36" s="68" t="str">
        <x:v>下调直接作用能力</x:v>
      </x:c>
      <x:c r="M36" s="82" t="str">
        <x:v>冻结</x:v>
      </x:c>
      <x:c r="N36" s="82" t="str">
        <x:v>中</x:v>
      </x:c>
      <x:c r="O36" s="82" t="str">
        <x:v>否</x:v>
      </x:c>
      <x:c r="P36" s="82" t="str">
        <x:v>否</x:v>
      </x:c>
      <x:c r="Q36" s="82" t="str">
        <x:v>是</x:v>
      </x:c>
      <x:c r="R36" s="82" t="str">
        <x:v>是</x:v>
      </x:c>
      <x:c r="S36" s="68" t="str">
        <x:v>前置模块已完成</x:v>
      </x:c>
      <x:c r="T36" s="68" t="str">
        <x:v>作用条件真实成立</x:v>
      </x:c>
      <x:c r="U36" s="68" t="str">
        <x:v>得令、有根、有援可增强</x:v>
      </x:c>
      <x:c r="V36" s="68" t="str">
        <x:v>失令、孤立或受制可削弱</x:v>
      </x:c>
      <x:c r="W36" s="90" t="str">
        <x:v>禁止用关系名称直接替代实际效应</x:v>
      </x:c>
      <x:c r="X36" s="68" t="str">
        <x:v>特殊格局与动态岁运另模块处理</x:v>
      </x:c>
      <x:c r="Y36" s="84" t="str">
        <x:v>按证据修正有效旺衰</x:v>
      </x:c>
      <x:c r="Z36" s="68" t="str">
        <x:v>不得直接推出喜忌用神</x:v>
      </x:c>
      <x:c r="AA36" s="84" t="str">
        <x:v>透干合绊</x:v>
      </x:c>
      <x:c r="AB36" s="84" t="str">
        <x:v>透干被合绊时直接作用能力下降，但五行存在性与根气仍需保留。</x:v>
      </x:c>
      <x:c r="AC36" s="82" t="str">
        <x:v>较高</x:v>
      </x:c>
      <x:c r="AD36" s="82" t="str">
        <x:v>现代综合</x:v>
      </x:c>
      <x:c r="AE36" s="68" t="str">
        <x:v>有效力量必须承接原始力量与实际效应，逐对象、逐节点修正。</x:v>
      </x:c>
      <x:c r="AF36" s="68" t="str">
        <x:v>显露度与根气、作用路径同时评估。</x:v>
      </x:c>
      <x:c r="AG36" s="90" t="str">
        <x:v>透了就旺、不透就弱，或按柱位固定打折。</x:v>
      </x:c>
      <x:c r="AH36" s="68" t="str">
        <x:v>https://zh.wikisource.org/zh-hans/滴天髓 ; https://zh.wikisource.org/zh-hans/淵海子平 ; https://zh.wikisource.org/wiki/三命通會</x:v>
      </x:c>
      <x:c r="AI36" s="82" t="str">
        <x:v>采用</x:v>
      </x:c>
      <x:c r="AJ36" s="82" t="str">
        <x:v>初审</x:v>
      </x:c>
      <x:c r="AK36" s="87" t="n">
        <x:v>46255</x:v>
      </x:c>
    </x:row>
    <x:row r="37">
      <x:c r="A37" s="72" t="str">
        <x:f>IF(OR(C37="",D37=""),"",B37&amp;"-"&amp;UPPER(C37)&amp;"-"&amp;TEXT(D37,"0000")&amp;"-"&amp;E37)</x:f>
        <x:v>M08-STEM-0031-V1.0</x:v>
      </x:c>
      <x:c r="B37" s="74" t="str">
        <x:v>M08</x:v>
      </x:c>
      <x:c r="C37" s="74" t="str">
        <x:v>STEM</x:v>
      </x:c>
      <x:c r="D37" s="79" t="n">
        <x:v>31</x:v>
      </x:c>
      <x:c r="E37" s="74" t="str">
        <x:v>V1.0</x:v>
      </x:c>
      <x:c r="F37" s="68" t="str">
        <x:v>透干合化成立时按化后五行重建作用关系</x:v>
      </x:c>
      <x:c r="G37" s="82" t="str">
        <x:v>结构层</x:v>
      </x:c>
      <x:c r="H37" s="68" t="str">
        <x:v>M06天干合化</x:v>
      </x:c>
      <x:c r="I37" s="68" t="str">
        <x:v>目标五行</x:v>
      </x:c>
      <x:c r="J37" s="68" t="str">
        <x:v>透干</x:v>
      </x:c>
      <x:c r="K37" s="68" t="str">
        <x:v>合化成立</x:v>
      </x:c>
      <x:c r="L37" s="68" t="str">
        <x:v>原五行显露转为化神功能</x:v>
      </x:c>
      <x:c r="M37" s="82" t="str">
        <x:v>转化</x:v>
      </x:c>
      <x:c r="N37" s="82" t="str">
        <x:v>强</x:v>
      </x:c>
      <x:c r="O37" s="82" t="str">
        <x:v>否</x:v>
      </x:c>
      <x:c r="P37" s="82" t="str">
        <x:v>否</x:v>
      </x:c>
      <x:c r="Q37" s="82" t="str">
        <x:v>是</x:v>
      </x:c>
      <x:c r="R37" s="82" t="str">
        <x:v>是</x:v>
      </x:c>
      <x:c r="S37" s="68" t="str">
        <x:v>前置模块已完成</x:v>
      </x:c>
      <x:c r="T37" s="68" t="str">
        <x:v>作用条件真实成立</x:v>
      </x:c>
      <x:c r="U37" s="68" t="str">
        <x:v>得令、有根、有援可增强</x:v>
      </x:c>
      <x:c r="V37" s="68" t="str">
        <x:v>失令、孤立或受制可削弱</x:v>
      </x:c>
      <x:c r="W37" s="90" t="str">
        <x:v>禁止用关系名称直接替代实际效应</x:v>
      </x:c>
      <x:c r="X37" s="68" t="str">
        <x:v>特殊格局与动态岁运另模块处理</x:v>
      </x:c>
      <x:c r="Y37" s="84" t="str">
        <x:v>按证据修正有效旺衰</x:v>
      </x:c>
      <x:c r="Z37" s="68" t="str">
        <x:v>不得直接推出喜忌用神</x:v>
      </x:c>
      <x:c r="AA37" s="84" t="str">
        <x:v>透干改性</x:v>
      </x:c>
      <x:c r="AB37" s="84" t="str">
        <x:v>天干合化成立后，应按化神重建作用路径并避免双算。</x:v>
      </x:c>
      <x:c r="AC37" s="82" t="str">
        <x:v>较高</x:v>
      </x:c>
      <x:c r="AD37" s="82" t="str">
        <x:v>现代综合</x:v>
      </x:c>
      <x:c r="AE37" s="68" t="str">
        <x:v>有效力量必须承接原始力量与实际效应，逐对象、逐节点修正。</x:v>
      </x:c>
      <x:c r="AF37" s="68" t="str">
        <x:v>显露度与根气、作用路径同时评估。</x:v>
      </x:c>
      <x:c r="AG37" s="90" t="str">
        <x:v>透了就旺、不透就弱，或按柱位固定打折。</x:v>
      </x:c>
      <x:c r="AH37" s="68" t="str">
        <x:v>https://zh.wikisource.org/zh-hans/滴天髓 ; https://zh.wikisource.org/zh-hans/淵海子平 ; https://zh.wikisource.org/wiki/三命通會</x:v>
      </x:c>
      <x:c r="AI37" s="82" t="str">
        <x:v>采用</x:v>
      </x:c>
      <x:c r="AJ37" s="82" t="str">
        <x:v>初审</x:v>
      </x:c>
      <x:c r="AK37" s="87" t="n">
        <x:v>46255</x:v>
      </x:c>
    </x:row>
    <x:row r="38">
      <x:c r="A38" s="72" t="str">
        <x:f>IF(OR(C38="",D38=""),"",B38&amp;"-"&amp;UPPER(C38)&amp;"-"&amp;TEXT(D38,"0000")&amp;"-"&amp;E38)</x:f>
        <x:v>M08-STEM-0032-V1.0</x:v>
      </x:c>
      <x:c r="B38" s="74" t="str">
        <x:v>M08</x:v>
      </x:c>
      <x:c r="C38" s="74" t="str">
        <x:v>STEM</x:v>
      </x:c>
      <x:c r="D38" s="79" t="n">
        <x:v>32</x:v>
      </x:c>
      <x:c r="E38" s="74" t="str">
        <x:v>V1.0</x:v>
      </x:c>
      <x:c r="F38" s="68" t="str">
        <x:v>浮干受强克且无根时显露功能可近失效</x:v>
      </x:c>
      <x:c r="G38" s="82" t="str">
        <x:v>结构层</x:v>
      </x:c>
      <x:c r="H38" s="68" t="str">
        <x:v>M08克制</x:v>
      </x:c>
      <x:c r="I38" s="68" t="str">
        <x:v>目标五行</x:v>
      </x:c>
      <x:c r="J38" s="68" t="str">
        <x:v>浮干</x:v>
      </x:c>
      <x:c r="K38" s="68" t="str">
        <x:v>被强势直接克制</x:v>
      </x:c>
      <x:c r="L38" s="68" t="str">
        <x:v>大幅下调直接作用</x:v>
      </x:c>
      <x:c r="M38" s="82" t="str">
        <x:v>减弱</x:v>
      </x:c>
      <x:c r="N38" s="82" t="str">
        <x:v>强</x:v>
      </x:c>
      <x:c r="O38" s="82" t="str">
        <x:v>否</x:v>
      </x:c>
      <x:c r="P38" s="82" t="str">
        <x:v>否</x:v>
      </x:c>
      <x:c r="Q38" s="82" t="str">
        <x:v>是</x:v>
      </x:c>
      <x:c r="R38" s="82" t="str">
        <x:v>是</x:v>
      </x:c>
      <x:c r="S38" s="68" t="str">
        <x:v>前置模块已完成</x:v>
      </x:c>
      <x:c r="T38" s="68" t="str">
        <x:v>作用条件真实成立</x:v>
      </x:c>
      <x:c r="U38" s="68" t="str">
        <x:v>得令、有根、有援可增强</x:v>
      </x:c>
      <x:c r="V38" s="68" t="str">
        <x:v>失令、孤立或受制可削弱</x:v>
      </x:c>
      <x:c r="W38" s="90" t="str">
        <x:v>禁止用关系名称直接替代实际效应</x:v>
      </x:c>
      <x:c r="X38" s="68" t="str">
        <x:v>特殊格局与动态岁运另模块处理</x:v>
      </x:c>
      <x:c r="Y38" s="84" t="str">
        <x:v>按证据修正有效旺衰</x:v>
      </x:c>
      <x:c r="Z38" s="68" t="str">
        <x:v>不得直接推出喜忌用神</x:v>
      </x:c>
      <x:c r="AA38" s="84" t="str">
        <x:v>浮干受克</x:v>
      </x:c>
      <x:c r="AB38" s="84" t="str">
        <x:v>无根浮干遭强克且无救援时，显露功能可接近失效。</x:v>
      </x:c>
      <x:c r="AC38" s="82" t="str">
        <x:v>较高</x:v>
      </x:c>
      <x:c r="AD38" s="82" t="str">
        <x:v>现代综合</x:v>
      </x:c>
      <x:c r="AE38" s="68" t="str">
        <x:v>有效力量必须承接原始力量与实际效应，逐对象、逐节点修正。</x:v>
      </x:c>
      <x:c r="AF38" s="68" t="str">
        <x:v>显露度与根气、作用路径同时评估。</x:v>
      </x:c>
      <x:c r="AG38" s="90" t="str">
        <x:v>透了就旺、不透就弱，或按柱位固定打折。</x:v>
      </x:c>
      <x:c r="AH38" s="68" t="str">
        <x:v>https://zh.wikisource.org/zh-hans/滴天髓 ; https://zh.wikisource.org/zh-hans/淵海子平 ; https://zh.wikisource.org/wiki/三命通會</x:v>
      </x:c>
      <x:c r="AI38" s="82" t="str">
        <x:v>采用</x:v>
      </x:c>
      <x:c r="AJ38" s="82" t="str">
        <x:v>初审</x:v>
      </x:c>
      <x:c r="AK38" s="87" t="n">
        <x:v>46255</x:v>
      </x:c>
    </x:row>
    <x:row r="39">
      <x:c r="A39" s="72" t="str">
        <x:f>IF(OR(C39="",D39=""),"",B39&amp;"-"&amp;UPPER(C39)&amp;"-"&amp;TEXT(D39,"0000")&amp;"-"&amp;E39)</x:f>
        <x:v>M08-STEM-0033-V1.0</x:v>
      </x:c>
      <x:c r="B39" s="74" t="str">
        <x:v>M08</x:v>
      </x:c>
      <x:c r="C39" s="74" t="str">
        <x:v>STEM</x:v>
      </x:c>
      <x:c r="D39" s="79" t="n">
        <x:v>33</x:v>
      </x:c>
      <x:c r="E39" s="74" t="str">
        <x:v>V1.0</x:v>
      </x:c>
      <x:c r="F39" s="68" t="str">
        <x:v>有根透干受克多表现为受制而非消失</x:v>
      </x:c>
      <x:c r="G39" s="82" t="str">
        <x:v>结构层</x:v>
      </x:c>
      <x:c r="H39" s="68" t="str">
        <x:v>M08克制+根气</x:v>
      </x:c>
      <x:c r="I39" s="68" t="str">
        <x:v>目标五行</x:v>
      </x:c>
      <x:c r="J39" s="68" t="str">
        <x:v>有根透干</x:v>
      </x:c>
      <x:c r="K39" s="68" t="str">
        <x:v>受克</x:v>
      </x:c>
      <x:c r="L39" s="68" t="str">
        <x:v>下调功能但保留本体</x:v>
      </x:c>
      <x:c r="M39" s="82" t="str">
        <x:v>减弱</x:v>
      </x:c>
      <x:c r="N39" s="82" t="str">
        <x:v>中</x:v>
      </x:c>
      <x:c r="O39" s="82" t="str">
        <x:v>否</x:v>
      </x:c>
      <x:c r="P39" s="82" t="str">
        <x:v>否</x:v>
      </x:c>
      <x:c r="Q39" s="82" t="str">
        <x:v>是</x:v>
      </x:c>
      <x:c r="R39" s="82" t="str">
        <x:v>是</x:v>
      </x:c>
      <x:c r="S39" s="68" t="str">
        <x:v>前置模块已完成</x:v>
      </x:c>
      <x:c r="T39" s="68" t="str">
        <x:v>作用条件真实成立</x:v>
      </x:c>
      <x:c r="U39" s="68" t="str">
        <x:v>得令、有根、有援可增强</x:v>
      </x:c>
      <x:c r="V39" s="68" t="str">
        <x:v>失令、孤立或受制可削弱</x:v>
      </x:c>
      <x:c r="W39" s="90" t="str">
        <x:v>禁止用关系名称直接替代实际效应</x:v>
      </x:c>
      <x:c r="X39" s="68" t="str">
        <x:v>特殊格局与动态岁运另模块处理</x:v>
      </x:c>
      <x:c r="Y39" s="84" t="str">
        <x:v>按证据修正有效旺衰</x:v>
      </x:c>
      <x:c r="Z39" s="68" t="str">
        <x:v>不得直接推出喜忌用神</x:v>
      </x:c>
      <x:c r="AA39" s="84" t="str">
        <x:v>有根透干受制</x:v>
      </x:c>
      <x:c r="AB39" s="84" t="str">
        <x:v>有根透干受克时通常是受制，不应直接归零。</x:v>
      </x:c>
      <x:c r="AC39" s="82" t="str">
        <x:v>较高</x:v>
      </x:c>
      <x:c r="AD39" s="82" t="str">
        <x:v>现代综合</x:v>
      </x:c>
      <x:c r="AE39" s="68" t="str">
        <x:v>有效力量必须承接原始力量与实际效应，逐对象、逐节点修正。</x:v>
      </x:c>
      <x:c r="AF39" s="68" t="str">
        <x:v>显露度与根气、作用路径同时评估。</x:v>
      </x:c>
      <x:c r="AG39" s="90" t="str">
        <x:v>透了就旺、不透就弱，或按柱位固定打折。</x:v>
      </x:c>
      <x:c r="AH39" s="68" t="str">
        <x:v>https://zh.wikisource.org/zh-hans/滴天髓 ; https://zh.wikisource.org/zh-hans/淵海子平 ; https://zh.wikisource.org/wiki/三命通會</x:v>
      </x:c>
      <x:c r="AI39" s="82" t="str">
        <x:v>采用</x:v>
      </x:c>
      <x:c r="AJ39" s="82" t="str">
        <x:v>初审</x:v>
      </x:c>
      <x:c r="AK39" s="87" t="n">
        <x:v>46255</x:v>
      </x:c>
    </x:row>
    <x:row r="40">
      <x:c r="A40" s="72" t="str">
        <x:f>IF(OR(C40="",D40=""),"",B40&amp;"-"&amp;UPPER(C40)&amp;"-"&amp;TEXT(D40,"0000")&amp;"-"&amp;E40)</x:f>
        <x:v>M08-STEM-0034-V1.0</x:v>
      </x:c>
      <x:c r="B40" s="74" t="str">
        <x:v>M08</x:v>
      </x:c>
      <x:c r="C40" s="74" t="str">
        <x:v>STEM</x:v>
      </x:c>
      <x:c r="D40" s="79" t="n">
        <x:v>34</x:v>
      </x:c>
      <x:c r="E40" s="74" t="str">
        <x:v>V1.0</x:v>
      </x:c>
      <x:c r="F40" s="68" t="str">
        <x:v>藏而不透但得令成势时仍可有高有效力量</x:v>
      </x:c>
      <x:c r="G40" s="82" t="str">
        <x:v>结构层</x:v>
      </x:c>
      <x:c r="H40" s="68" t="str">
        <x:v>M07季令根气</x:v>
      </x:c>
      <x:c r="I40" s="68" t="str">
        <x:v>目标五行</x:v>
      </x:c>
      <x:c r="J40" s="68" t="str">
        <x:v>藏支不透</x:v>
      </x:c>
      <x:c r="K40" s="68" t="str">
        <x:v>得令多根成势</x:v>
      </x:c>
      <x:c r="L40" s="68" t="str">
        <x:v>保持较高力量但显露度低</x:v>
      </x:c>
      <x:c r="M40" s="82" t="str">
        <x:v>不变</x:v>
      </x:c>
      <x:c r="N40" s="82" t="str">
        <x:v>中</x:v>
      </x:c>
      <x:c r="O40" s="82" t="str">
        <x:v>否</x:v>
      </x:c>
      <x:c r="P40" s="82" t="str">
        <x:v>否</x:v>
      </x:c>
      <x:c r="Q40" s="82" t="str">
        <x:v>是</x:v>
      </x:c>
      <x:c r="R40" s="82" t="str">
        <x:v>是</x:v>
      </x:c>
      <x:c r="S40" s="68" t="str">
        <x:v>前置模块已完成</x:v>
      </x:c>
      <x:c r="T40" s="68" t="str">
        <x:v>作用条件真实成立</x:v>
      </x:c>
      <x:c r="U40" s="68" t="str">
        <x:v>得令、有根、有援可增强</x:v>
      </x:c>
      <x:c r="V40" s="68" t="str">
        <x:v>失令、孤立或受制可削弱</x:v>
      </x:c>
      <x:c r="W40" s="90" t="str">
        <x:v>禁止用关系名称直接替代实际效应</x:v>
      </x:c>
      <x:c r="X40" s="68" t="str">
        <x:v>特殊格局与动态岁运另模块处理</x:v>
      </x:c>
      <x:c r="Y40" s="84" t="str">
        <x:v>按证据修正有效旺衰</x:v>
      </x:c>
      <x:c r="Z40" s="68" t="str">
        <x:v>不得直接推出喜忌用神</x:v>
      </x:c>
      <x:c r="AA40" s="84" t="str">
        <x:v>藏旺不透</x:v>
      </x:c>
      <x:c r="AB40" s="84" t="str">
        <x:v>五行虽不透干，但若得令多根成势，实际力量仍可较高。</x:v>
      </x:c>
      <x:c r="AC40" s="82" t="str">
        <x:v>较高</x:v>
      </x:c>
      <x:c r="AD40" s="82" t="str">
        <x:v>现代综合</x:v>
      </x:c>
      <x:c r="AE40" s="68" t="str">
        <x:v>有效力量必须承接原始力量与实际效应，逐对象、逐节点修正。</x:v>
      </x:c>
      <x:c r="AF40" s="68" t="str">
        <x:v>显露度与根气、作用路径同时评估。</x:v>
      </x:c>
      <x:c r="AG40" s="90" t="str">
        <x:v>透了就旺、不透就弱，或按柱位固定打折。</x:v>
      </x:c>
      <x:c r="AH40" s="68" t="str">
        <x:v>https://zh.wikisource.org/zh-hans/滴天髓 ; https://zh.wikisource.org/zh-hans/淵海子平 ; https://zh.wikisource.org/wiki/三命通會</x:v>
      </x:c>
      <x:c r="AI40" s="82" t="str">
        <x:v>采用</x:v>
      </x:c>
      <x:c r="AJ40" s="82" t="str">
        <x:v>初审</x:v>
      </x:c>
      <x:c r="AK40" s="87" t="n">
        <x:v>46255</x:v>
      </x:c>
    </x:row>
    <x:row r="41">
      <x:c r="A41" s="72" t="str">
        <x:f>IF(OR(C41="",D41=""),"",B41&amp;"-"&amp;UPPER(C41)&amp;"-"&amp;TEXT(D41,"0000")&amp;"-"&amp;E41)</x:f>
        <x:v>M08-STEM-0035-V1.0</x:v>
      </x:c>
      <x:c r="B41" s="74" t="str">
        <x:v>M08</x:v>
      </x:c>
      <x:c r="C41" s="74" t="str">
        <x:v>STEM</x:v>
      </x:c>
      <x:c r="D41" s="79" t="n">
        <x:v>35</x:v>
      </x:c>
      <x:c r="E41" s="74" t="str">
        <x:v>V1.0</x:v>
      </x:c>
      <x:c r="F41" s="68" t="str">
        <x:v>多透同五行按承载能力实行边际递减</x:v>
      </x:c>
      <x:c r="G41" s="82" t="str">
        <x:v>结构层</x:v>
      </x:c>
      <x:c r="H41" s="68" t="str">
        <x:v>M07多透</x:v>
      </x:c>
      <x:c r="I41" s="68" t="str">
        <x:v>目标五行</x:v>
      </x:c>
      <x:c r="J41" s="68" t="str">
        <x:v>多透</x:v>
      </x:c>
      <x:c r="K41" s="68" t="str">
        <x:v>多个同类天干显露</x:v>
      </x:c>
      <x:c r="L41" s="68" t="str">
        <x:v>增加显用但不线性累加</x:v>
      </x:c>
      <x:c r="M41" s="82" t="str">
        <x:v>增强</x:v>
      </x:c>
      <x:c r="N41" s="82" t="str">
        <x:v>中</x:v>
      </x:c>
      <x:c r="O41" s="82" t="str">
        <x:v>否</x:v>
      </x:c>
      <x:c r="P41" s="82" t="str">
        <x:v>否</x:v>
      </x:c>
      <x:c r="Q41" s="82" t="str">
        <x:v>是</x:v>
      </x:c>
      <x:c r="R41" s="82" t="str">
        <x:v>是</x:v>
      </x:c>
      <x:c r="S41" s="68" t="str">
        <x:v>前置模块已完成</x:v>
      </x:c>
      <x:c r="T41" s="68" t="str">
        <x:v>作用条件真实成立</x:v>
      </x:c>
      <x:c r="U41" s="68" t="str">
        <x:v>得令、有根、有援可增强</x:v>
      </x:c>
      <x:c r="V41" s="68" t="str">
        <x:v>失令、孤立或受制可削弱</x:v>
      </x:c>
      <x:c r="W41" s="90" t="str">
        <x:v>禁止用关系名称直接替代实际效应</x:v>
      </x:c>
      <x:c r="X41" s="68" t="str">
        <x:v>特殊格局与动态岁运另模块处理</x:v>
      </x:c>
      <x:c r="Y41" s="84" t="str">
        <x:v>按证据修正有效旺衰</x:v>
      </x:c>
      <x:c r="Z41" s="68" t="str">
        <x:v>不得直接推出喜忌用神</x:v>
      </x:c>
      <x:c r="AA41" s="84" t="str">
        <x:v>多透边际递减</x:v>
      </x:c>
      <x:c r="AB41" s="84" t="str">
        <x:v>同五行多透可增强显用，但第二、第三透干不应线性满额累加。</x:v>
      </x:c>
      <x:c r="AC41" s="82" t="str">
        <x:v>较高</x:v>
      </x:c>
      <x:c r="AD41" s="82" t="str">
        <x:v>现代综合</x:v>
      </x:c>
      <x:c r="AE41" s="68" t="str">
        <x:v>有效力量必须承接原始力量与实际效应，逐对象、逐节点修正。</x:v>
      </x:c>
      <x:c r="AF41" s="68" t="str">
        <x:v>显露度与根气、作用路径同时评估。</x:v>
      </x:c>
      <x:c r="AG41" s="90" t="str">
        <x:v>透了就旺、不透就弱，或按柱位固定打折。</x:v>
      </x:c>
      <x:c r="AH41" s="68" t="str">
        <x:v>https://zh.wikisource.org/zh-hans/滴天髓 ; https://zh.wikisource.org/zh-hans/淵海子平 ; https://zh.wikisource.org/wiki/三命通會</x:v>
      </x:c>
      <x:c r="AI41" s="82" t="str">
        <x:v>采用</x:v>
      </x:c>
      <x:c r="AJ41" s="82" t="str">
        <x:v>初审</x:v>
      </x:c>
      <x:c r="AK41" s="87" t="n">
        <x:v>46255</x:v>
      </x:c>
    </x:row>
    <x:row r="42">
      <x:c r="A42" s="72" t="str">
        <x:f>IF(OR(C42="",D42=""),"",B42&amp;"-"&amp;UPPER(C42)&amp;"-"&amp;TEXT(D42,"0000")&amp;"-"&amp;E42)</x:f>
        <x:v>M08-STEM-0036-V1.0</x:v>
      </x:c>
      <x:c r="B42" s="74" t="str">
        <x:v>M08</x:v>
      </x:c>
      <x:c r="C42" s="74" t="str">
        <x:v>STEM</x:v>
      </x:c>
      <x:c r="D42" s="79" t="n">
        <x:v>36</x:v>
      </x:c>
      <x:c r="E42" s="74" t="str">
        <x:v>V1.0</x:v>
      </x:c>
      <x:c r="F42" s="68" t="str">
        <x:v>透干位置影响直接作用路径而不设固定旺衰分数</x:v>
      </x:c>
      <x:c r="G42" s="82" t="str">
        <x:v>结构层</x:v>
      </x:c>
      <x:c r="H42" s="68" t="str">
        <x:v>M07位置+M06作用路径</x:v>
      </x:c>
      <x:c r="I42" s="68" t="str">
        <x:v>目标五行</x:v>
      </x:c>
      <x:c r="J42" s="68" t="str">
        <x:v>透干</x:v>
      </x:c>
      <x:c r="K42" s="68" t="str">
        <x:v>位于不同柱位</x:v>
      </x:c>
      <x:c r="L42" s="68" t="str">
        <x:v>修正可接触对象与路径</x:v>
      </x:c>
      <x:c r="M42" s="82" t="str">
        <x:v>条件性</x:v>
      </x:c>
      <x:c r="N42" s="82" t="str">
        <x:v>弱</x:v>
      </x:c>
      <x:c r="O42" s="82" t="str">
        <x:v>否</x:v>
      </x:c>
      <x:c r="P42" s="82" t="str">
        <x:v>否</x:v>
      </x:c>
      <x:c r="Q42" s="82" t="str">
        <x:v>是</x:v>
      </x:c>
      <x:c r="R42" s="82" t="str">
        <x:v>是</x:v>
      </x:c>
      <x:c r="S42" s="68" t="str">
        <x:v>前置模块已完成</x:v>
      </x:c>
      <x:c r="T42" s="68" t="str">
        <x:v>作用条件真实成立</x:v>
      </x:c>
      <x:c r="U42" s="68" t="str">
        <x:v>得令、有根、有援可增强</x:v>
      </x:c>
      <x:c r="V42" s="68" t="str">
        <x:v>失令、孤立或受制可削弱</x:v>
      </x:c>
      <x:c r="W42" s="90" t="str">
        <x:v>禁止用关系名称直接替代实际效应</x:v>
      </x:c>
      <x:c r="X42" s="68" t="str">
        <x:v>特殊格局与动态岁运另模块处理</x:v>
      </x:c>
      <x:c r="Y42" s="84" t="str">
        <x:v>按证据修正有效旺衰</x:v>
      </x:c>
      <x:c r="Z42" s="68" t="str">
        <x:v>不得直接推出喜忌用神</x:v>
      </x:c>
      <x:c r="AA42" s="84" t="str">
        <x:v>位置路径</x:v>
      </x:c>
      <x:c r="AB42" s="84" t="str">
        <x:v>透干位置主要决定作用路径，不应机械换算为固定旺衰分数。</x:v>
      </x:c>
      <x:c r="AC42" s="82" t="str">
        <x:v>较高</x:v>
      </x:c>
      <x:c r="AD42" s="82" t="str">
        <x:v>现代综合</x:v>
      </x:c>
      <x:c r="AE42" s="68" t="str">
        <x:v>有效力量必须承接原始力量与实际效应，逐对象、逐节点修正。</x:v>
      </x:c>
      <x:c r="AF42" s="68" t="str">
        <x:v>显露度与根气、作用路径同时评估。</x:v>
      </x:c>
      <x:c r="AG42" s="90" t="str">
        <x:v>透了就旺、不透就弱，或按柱位固定打折。</x:v>
      </x:c>
      <x:c r="AH42" s="68" t="str">
        <x:v>https://zh.wikisource.org/zh-hans/滴天髓 ; https://zh.wikisource.org/zh-hans/淵海子平 ; https://zh.wikisource.org/wiki/三命通會</x:v>
      </x:c>
      <x:c r="AI42" s="82" t="str">
        <x:v>采用</x:v>
      </x:c>
      <x:c r="AJ42" s="82" t="str">
        <x:v>初审</x:v>
      </x:c>
      <x:c r="AK42" s="87" t="n">
        <x:v>46255</x:v>
      </x:c>
    </x:row>
    <x:row r="43">
      <x:c r="A43" s="72" t="str">
        <x:f>IF(OR(C43="",D43=""),"",B43&amp;"-"&amp;UPPER(C43)&amp;"-"&amp;TEXT(D43,"0000")&amp;"-"&amp;E43)</x:f>
        <x:v>M08-CONTROL-0037-V1.0</x:v>
      </x:c>
      <x:c r="B43" s="74" t="str">
        <x:v>M08</x:v>
      </x:c>
      <x:c r="C43" s="74" t="str">
        <x:v>CONTROL</x:v>
      </x:c>
      <x:c r="D43" s="79" t="n">
        <x:v>37</x:v>
      </x:c>
      <x:c r="E43" s="74" t="str">
        <x:v>V1.0</x:v>
      </x:c>
      <x:c r="F43" s="68" t="str">
        <x:v>强克弱形成显著有效减力</x:v>
      </x:c>
      <x:c r="G43" s="82" t="str">
        <x:v>结构层</x:v>
      </x:c>
      <x:c r="H43" s="68" t="str">
        <x:v>有效生克关系</x:v>
      </x:c>
      <x:c r="I43" s="68" t="str">
        <x:v>目标五行</x:v>
      </x:c>
      <x:c r="J43" s="68" t="str">
        <x:v>原始偏弱</x:v>
      </x:c>
      <x:c r="K43" s="68" t="str">
        <x:v>受强势克方直接克制</x:v>
      </x:c>
      <x:c r="L43" s="68" t="str">
        <x:v>下调一个或多个有效等级</x:v>
      </x:c>
      <x:c r="M43" s="82" t="str">
        <x:v>减弱</x:v>
      </x:c>
      <x:c r="N43" s="82" t="str">
        <x:v>强</x:v>
      </x:c>
      <x:c r="O43" s="82" t="str">
        <x:v>条件性</x:v>
      </x:c>
      <x:c r="P43" s="82" t="str">
        <x:v>条件性</x:v>
      </x:c>
      <x:c r="Q43" s="82" t="str">
        <x:v>条件性</x:v>
      </x:c>
      <x:c r="R43" s="82" t="str">
        <x:v>是</x:v>
      </x:c>
      <x:c r="S43" s="68" t="str">
        <x:v>前置模块已完成</x:v>
      </x:c>
      <x:c r="T43" s="68" t="str">
        <x:v>作用条件真实成立</x:v>
      </x:c>
      <x:c r="U43" s="68" t="str">
        <x:v>得令、有根、有援可增强</x:v>
      </x:c>
      <x:c r="V43" s="68" t="str">
        <x:v>失令、孤立或受制可削弱</x:v>
      </x:c>
      <x:c r="W43" s="90" t="str">
        <x:v>禁止用关系名称直接替代实际效应</x:v>
      </x:c>
      <x:c r="X43" s="68" t="str">
        <x:v>特殊格局与动态岁运另模块处理</x:v>
      </x:c>
      <x:c r="Y43" s="84" t="str">
        <x:v>按证据修正有效旺衰</x:v>
      </x:c>
      <x:c r="Z43" s="68" t="str">
        <x:v>不得直接推出喜忌用神</x:v>
      </x:c>
      <x:c r="AA43" s="84" t="str">
        <x:v>强克弱</x:v>
      </x:c>
      <x:c r="AB43" s="84" t="str">
        <x:v>克方明显强于目标且路径直接时，目标有效力量显著下降。</x:v>
      </x:c>
      <x:c r="AC43" s="82" t="str">
        <x:v>较高</x:v>
      </x:c>
      <x:c r="AD43" s="82" t="str">
        <x:v>现代综合</x:v>
      </x:c>
      <x:c r="AE43" s="68" t="str">
        <x:v>有效力量必须承接原始力量与实际效应，逐对象、逐节点修正。</x:v>
      </x:c>
      <x:c r="AF43" s="68" t="str">
        <x:v>比较双方有效力量、路径与续航后再定减力幅度。</x:v>
      </x:c>
      <x:c r="AG43" s="90" t="str">
        <x:v>只见五行相克就固定扣分。</x:v>
      </x:c>
      <x:c r="AH43" s="68" t="str">
        <x:v>https://zh.wikisource.org/zh-hans/滴天髓 ; https://zh.wikisource.org/zh-hans/淵海子平 ; https://zh.wikisource.org/wiki/三命通會</x:v>
      </x:c>
      <x:c r="AI43" s="82" t="str">
        <x:v>采用</x:v>
      </x:c>
      <x:c r="AJ43" s="82" t="str">
        <x:v>初审</x:v>
      </x:c>
      <x:c r="AK43" s="87" t="n">
        <x:v>46255</x:v>
      </x:c>
    </x:row>
    <x:row r="44">
      <x:c r="A44" s="72" t="str">
        <x:f>IF(OR(C44="",D44=""),"",B44&amp;"-"&amp;UPPER(C44)&amp;"-"&amp;TEXT(D44,"0000")&amp;"-"&amp;E44)</x:f>
        <x:v>M08-CONTROL-0038-V1.0</x:v>
      </x:c>
      <x:c r="B44" s="74" t="str">
        <x:v>M08</x:v>
      </x:c>
      <x:c r="C44" s="74" t="str">
        <x:v>CONTROL</x:v>
      </x:c>
      <x:c r="D44" s="79" t="n">
        <x:v>38</x:v>
      </x:c>
      <x:c r="E44" s="74" t="str">
        <x:v>V1.0</x:v>
      </x:c>
      <x:c r="F44" s="68" t="str">
        <x:v>弱克强多表现为牵制而非实质压制</x:v>
      </x:c>
      <x:c r="G44" s="82" t="str">
        <x:v>结构层</x:v>
      </x:c>
      <x:c r="H44" s="68" t="str">
        <x:v>有效生克关系</x:v>
      </x:c>
      <x:c r="I44" s="68" t="str">
        <x:v>目标五行</x:v>
      </x:c>
      <x:c r="J44" s="68" t="str">
        <x:v>原始旺</x:v>
      </x:c>
      <x:c r="K44" s="68" t="str">
        <x:v>受弱克方克制</x:v>
      </x:c>
      <x:c r="L44" s="68" t="str">
        <x:v>轻微下调或仅标记牵制</x:v>
      </x:c>
      <x:c r="M44" s="82" t="str">
        <x:v>减弱</x:v>
      </x:c>
      <x:c r="N44" s="82" t="str">
        <x:v>弱</x:v>
      </x:c>
      <x:c r="O44" s="82" t="str">
        <x:v>条件性</x:v>
      </x:c>
      <x:c r="P44" s="82" t="str">
        <x:v>条件性</x:v>
      </x:c>
      <x:c r="Q44" s="82" t="str">
        <x:v>条件性</x:v>
      </x:c>
      <x:c r="R44" s="82" t="str">
        <x:v>是</x:v>
      </x:c>
      <x:c r="S44" s="68" t="str">
        <x:v>前置模块已完成</x:v>
      </x:c>
      <x:c r="T44" s="68" t="str">
        <x:v>作用条件真实成立</x:v>
      </x:c>
      <x:c r="U44" s="68" t="str">
        <x:v>得令、有根、有援可增强</x:v>
      </x:c>
      <x:c r="V44" s="68" t="str">
        <x:v>失令、孤立或受制可削弱</x:v>
      </x:c>
      <x:c r="W44" s="90" t="str">
        <x:v>禁止用关系名称直接替代实际效应</x:v>
      </x:c>
      <x:c r="X44" s="68" t="str">
        <x:v>特殊格局与动态岁运另模块处理</x:v>
      </x:c>
      <x:c r="Y44" s="84" t="str">
        <x:v>按证据修正有效旺衰</x:v>
      </x:c>
      <x:c r="Z44" s="68" t="str">
        <x:v>不得直接推出喜忌用神</x:v>
      </x:c>
      <x:c r="AA44" s="84" t="str">
        <x:v>弱克强</x:v>
      </x:c>
      <x:c r="AB44" s="84" t="str">
        <x:v>克方弱而目标强时，通常不足以改变目标主要旺衰等级。</x:v>
      </x:c>
      <x:c r="AC44" s="82" t="str">
        <x:v>较高</x:v>
      </x:c>
      <x:c r="AD44" s="82" t="str">
        <x:v>现代综合</x:v>
      </x:c>
      <x:c r="AE44" s="68" t="str">
        <x:v>有效力量必须承接原始力量与实际效应，逐对象、逐节点修正。</x:v>
      </x:c>
      <x:c r="AF44" s="68" t="str">
        <x:v>比较双方有效力量、路径与续航后再定减力幅度。</x:v>
      </x:c>
      <x:c r="AG44" s="90" t="str">
        <x:v>只见五行相克就固定扣分。</x:v>
      </x:c>
      <x:c r="AH44" s="68" t="str">
        <x:v>https://zh.wikisource.org/zh-hans/滴天髓 ; https://zh.wikisource.org/zh-hans/淵海子平 ; https://zh.wikisource.org/wiki/三命通會</x:v>
      </x:c>
      <x:c r="AI44" s="82" t="str">
        <x:v>采用</x:v>
      </x:c>
      <x:c r="AJ44" s="82" t="str">
        <x:v>初审</x:v>
      </x:c>
      <x:c r="AK44" s="87" t="n">
        <x:v>46255</x:v>
      </x:c>
    </x:row>
    <x:row r="45">
      <x:c r="A45" s="72" t="str">
        <x:f>IF(OR(C45="",D45=""),"",B45&amp;"-"&amp;UPPER(C45)&amp;"-"&amp;TEXT(D45,"0000")&amp;"-"&amp;E45)</x:f>
        <x:v>M08-CONTROL-0039-V1.0</x:v>
      </x:c>
      <x:c r="B45" s="74" t="str">
        <x:v>M08</x:v>
      </x:c>
      <x:c r="C45" s="74" t="str">
        <x:v>CONTROL</x:v>
      </x:c>
      <x:c r="D45" s="79" t="n">
        <x:v>39</x:v>
      </x:c>
      <x:c r="E45" s="74" t="str">
        <x:v>V1.0</x:v>
      </x:c>
      <x:c r="F45" s="68" t="str">
        <x:v>同级相克双方均有损但减力不必等量</x:v>
      </x:c>
      <x:c r="G45" s="82" t="str">
        <x:v>结构层</x:v>
      </x:c>
      <x:c r="H45" s="68" t="str">
        <x:v>双向耗损</x:v>
      </x:c>
      <x:c r="I45" s="68" t="str">
        <x:v>目标五行</x:v>
      </x:c>
      <x:c r="J45" s="68" t="str">
        <x:v>双方中强</x:v>
      </x:c>
      <x:c r="K45" s="68" t="str">
        <x:v>正面相克</x:v>
      </x:c>
      <x:c r="L45" s="68" t="str">
        <x:v>按根源与续航分别下调</x:v>
      </x:c>
      <x:c r="M45" s="82" t="str">
        <x:v>减弱</x:v>
      </x:c>
      <x:c r="N45" s="82" t="str">
        <x:v>中</x:v>
      </x:c>
      <x:c r="O45" s="82" t="str">
        <x:v>条件性</x:v>
      </x:c>
      <x:c r="P45" s="82" t="str">
        <x:v>条件性</x:v>
      </x:c>
      <x:c r="Q45" s="82" t="str">
        <x:v>条件性</x:v>
      </x:c>
      <x:c r="R45" s="82" t="str">
        <x:v>是</x:v>
      </x:c>
      <x:c r="S45" s="68" t="str">
        <x:v>前置模块已完成</x:v>
      </x:c>
      <x:c r="T45" s="68" t="str">
        <x:v>作用条件真实成立</x:v>
      </x:c>
      <x:c r="U45" s="68" t="str">
        <x:v>得令、有根、有援可增强</x:v>
      </x:c>
      <x:c r="V45" s="68" t="str">
        <x:v>失令、孤立或受制可削弱</x:v>
      </x:c>
      <x:c r="W45" s="90" t="str">
        <x:v>禁止用关系名称直接替代实际效应</x:v>
      </x:c>
      <x:c r="X45" s="68" t="str">
        <x:v>特殊格局与动态岁运另模块处理</x:v>
      </x:c>
      <x:c r="Y45" s="84" t="str">
        <x:v>按证据修正有效旺衰</x:v>
      </x:c>
      <x:c r="Z45" s="68" t="str">
        <x:v>不得直接推出喜忌用神</x:v>
      </x:c>
      <x:c r="AA45" s="84" t="str">
        <x:v>势均相克</x:v>
      </x:c>
      <x:c r="AB45" s="84" t="str">
        <x:v>双方势均相克时都存在耗损，但减力幅度不应机械相同。</x:v>
      </x:c>
      <x:c r="AC45" s="82" t="str">
        <x:v>较高</x:v>
      </x:c>
      <x:c r="AD45" s="82" t="str">
        <x:v>现代综合</x:v>
      </x:c>
      <x:c r="AE45" s="68" t="str">
        <x:v>有效力量必须承接原始力量与实际效应，逐对象、逐节点修正。</x:v>
      </x:c>
      <x:c r="AF45" s="68" t="str">
        <x:v>比较双方有效力量、路径与续航后再定减力幅度。</x:v>
      </x:c>
      <x:c r="AG45" s="90" t="str">
        <x:v>只见五行相克就固定扣分。</x:v>
      </x:c>
      <x:c r="AH45" s="68" t="str">
        <x:v>https://zh.wikisource.org/zh-hans/滴天髓 ; https://zh.wikisource.org/zh-hans/淵海子平 ; https://zh.wikisource.org/wiki/三命通會</x:v>
      </x:c>
      <x:c r="AI45" s="82" t="str">
        <x:v>采用</x:v>
      </x:c>
      <x:c r="AJ45" s="82" t="str">
        <x:v>初审</x:v>
      </x:c>
      <x:c r="AK45" s="87" t="n">
        <x:v>46255</x:v>
      </x:c>
    </x:row>
    <x:row r="46">
      <x:c r="A46" s="72" t="str">
        <x:f>IF(OR(C46="",D46=""),"",B46&amp;"-"&amp;UPPER(C46)&amp;"-"&amp;TEXT(D46,"0000")&amp;"-"&amp;E46)</x:f>
        <x:v>M08-CONTROL-0040-V1.0</x:v>
      </x:c>
      <x:c r="B46" s="74" t="str">
        <x:v>M08</x:v>
      </x:c>
      <x:c r="C46" s="74" t="str">
        <x:v>CONTROL</x:v>
      </x:c>
      <x:c r="D46" s="79" t="n">
        <x:v>40</x:v>
      </x:c>
      <x:c r="E46" s="74" t="str">
        <x:v>V1.0</x:v>
      </x:c>
      <x:c r="F46" s="68" t="str">
        <x:v>被克方有强生源时可抵消部分克制</x:v>
      </x:c>
      <x:c r="G46" s="82" t="str">
        <x:v>结构层</x:v>
      </x:c>
      <x:c r="H46" s="68" t="str">
        <x:v>生克制化</x:v>
      </x:c>
      <x:c r="I46" s="68" t="str">
        <x:v>目标五行</x:v>
      </x:c>
      <x:c r="J46" s="68" t="str">
        <x:v>受克</x:v>
      </x:c>
      <x:c r="K46" s="68" t="str">
        <x:v>同时有强生源补给</x:v>
      </x:c>
      <x:c r="L46" s="68" t="str">
        <x:v>降低克制减力幅度</x:v>
      </x:c>
      <x:c r="M46" s="82" t="str">
        <x:v>增强</x:v>
      </x:c>
      <x:c r="N46" s="82" t="str">
        <x:v>中</x:v>
      </x:c>
      <x:c r="O46" s="82" t="str">
        <x:v>条件性</x:v>
      </x:c>
      <x:c r="P46" s="82" t="str">
        <x:v>条件性</x:v>
      </x:c>
      <x:c r="Q46" s="82" t="str">
        <x:v>条件性</x:v>
      </x:c>
      <x:c r="R46" s="82" t="str">
        <x:v>是</x:v>
      </x:c>
      <x:c r="S46" s="68" t="str">
        <x:v>前置模块已完成</x:v>
      </x:c>
      <x:c r="T46" s="68" t="str">
        <x:v>作用条件真实成立</x:v>
      </x:c>
      <x:c r="U46" s="68" t="str">
        <x:v>得令、有根、有援可增强</x:v>
      </x:c>
      <x:c r="V46" s="68" t="str">
        <x:v>失令、孤立或受制可削弱</x:v>
      </x:c>
      <x:c r="W46" s="90" t="str">
        <x:v>禁止用关系名称直接替代实际效应</x:v>
      </x:c>
      <x:c r="X46" s="68" t="str">
        <x:v>特殊格局与动态岁运另模块处理</x:v>
      </x:c>
      <x:c r="Y46" s="84" t="str">
        <x:v>按证据修正有效旺衰</x:v>
      </x:c>
      <x:c r="Z46" s="68" t="str">
        <x:v>不得直接推出喜忌用神</x:v>
      </x:c>
      <x:c r="AA46" s="84" t="str">
        <x:v>生扶抗克</x:v>
      </x:c>
      <x:c r="AB46" s="84" t="str">
        <x:v>被克方若有强生源持续补给，可抵消部分克制。</x:v>
      </x:c>
      <x:c r="AC46" s="82" t="str">
        <x:v>较高</x:v>
      </x:c>
      <x:c r="AD46" s="82" t="str">
        <x:v>现代综合</x:v>
      </x:c>
      <x:c r="AE46" s="68" t="str">
        <x:v>有效力量必须承接原始力量与实际效应，逐对象、逐节点修正。</x:v>
      </x:c>
      <x:c r="AF46" s="68" t="str">
        <x:v>比较双方有效力量、路径与续航后再定减力幅度。</x:v>
      </x:c>
      <x:c r="AG46" s="90" t="str">
        <x:v>只见五行相克就固定扣分。</x:v>
      </x:c>
      <x:c r="AH46" s="68" t="str">
        <x:v>https://zh.wikisource.org/zh-hans/滴天髓 ; https://zh.wikisource.org/zh-hans/淵海子平 ; https://zh.wikisource.org/wiki/三命通會</x:v>
      </x:c>
      <x:c r="AI46" s="82" t="str">
        <x:v>采用</x:v>
      </x:c>
      <x:c r="AJ46" s="82" t="str">
        <x:v>初审</x:v>
      </x:c>
      <x:c r="AK46" s="87" t="n">
        <x:v>46255</x:v>
      </x:c>
    </x:row>
    <x:row r="47">
      <x:c r="A47" s="72" t="str">
        <x:f>IF(OR(C47="",D47=""),"",B47&amp;"-"&amp;UPPER(C47)&amp;"-"&amp;TEXT(D47,"0000")&amp;"-"&amp;E47)</x:f>
        <x:v>M08-CONTROL-0041-V1.0</x:v>
      </x:c>
      <x:c r="B47" s="74" t="str">
        <x:v>M08</x:v>
      </x:c>
      <x:c r="C47" s="74" t="str">
        <x:v>CONTROL</x:v>
      </x:c>
      <x:c r="D47" s="79" t="n">
        <x:v>41</x:v>
      </x:c>
      <x:c r="E47" s="74" t="str">
        <x:v>V1.0</x:v>
      </x:c>
      <x:c r="F47" s="68" t="str">
        <x:v>克方被制时其对目标的克制能力下降</x:v>
      </x:c>
      <x:c r="G47" s="82" t="str">
        <x:v>结构层</x:v>
      </x:c>
      <x:c r="H47" s="68" t="str">
        <x:v>制化链</x:v>
      </x:c>
      <x:c r="I47" s="68" t="str">
        <x:v>目标五行</x:v>
      </x:c>
      <x:c r="J47" s="68" t="str">
        <x:v>受克</x:v>
      </x:c>
      <x:c r="K47" s="68" t="str">
        <x:v>克方同时遭第三方有效克制</x:v>
      </x:c>
      <x:c r="L47" s="68" t="str">
        <x:v>下调克方实际伤害</x:v>
      </x:c>
      <x:c r="M47" s="82" t="str">
        <x:v>增强</x:v>
      </x:c>
      <x:c r="N47" s="82" t="str">
        <x:v>中</x:v>
      </x:c>
      <x:c r="O47" s="82" t="str">
        <x:v>条件性</x:v>
      </x:c>
      <x:c r="P47" s="82" t="str">
        <x:v>条件性</x:v>
      </x:c>
      <x:c r="Q47" s="82" t="str">
        <x:v>条件性</x:v>
      </x:c>
      <x:c r="R47" s="82" t="str">
        <x:v>是</x:v>
      </x:c>
      <x:c r="S47" s="68" t="str">
        <x:v>前置模块已完成</x:v>
      </x:c>
      <x:c r="T47" s="68" t="str">
        <x:v>作用条件真实成立</x:v>
      </x:c>
      <x:c r="U47" s="68" t="str">
        <x:v>得令、有根、有援可增强</x:v>
      </x:c>
      <x:c r="V47" s="68" t="str">
        <x:v>失令、孤立或受制可削弱</x:v>
      </x:c>
      <x:c r="W47" s="90" t="str">
        <x:v>禁止用关系名称直接替代实际效应</x:v>
      </x:c>
      <x:c r="X47" s="68" t="str">
        <x:v>特殊格局与动态岁运另模块处理</x:v>
      </x:c>
      <x:c r="Y47" s="84" t="str">
        <x:v>按证据修正有效旺衰</x:v>
      </x:c>
      <x:c r="Z47" s="68" t="str">
        <x:v>不得直接推出喜忌用神</x:v>
      </x:c>
      <x:c r="AA47" s="84" t="str">
        <x:v>制克缓冲</x:v>
      </x:c>
      <x:c r="AB47" s="84" t="str">
        <x:v>克方被第三方有效制约时，对目标的实际压制会下降。</x:v>
      </x:c>
      <x:c r="AC47" s="82" t="str">
        <x:v>较高</x:v>
      </x:c>
      <x:c r="AD47" s="82" t="str">
        <x:v>现代综合</x:v>
      </x:c>
      <x:c r="AE47" s="68" t="str">
        <x:v>有效力量必须承接原始力量与实际效应，逐对象、逐节点修正。</x:v>
      </x:c>
      <x:c r="AF47" s="68" t="str">
        <x:v>比较双方有效力量、路径与续航后再定减力幅度。</x:v>
      </x:c>
      <x:c r="AG47" s="90" t="str">
        <x:v>只见五行相克就固定扣分。</x:v>
      </x:c>
      <x:c r="AH47" s="68" t="str">
        <x:v>https://zh.wikisource.org/zh-hans/滴天髓 ; https://zh.wikisource.org/zh-hans/淵海子平 ; https://zh.wikisource.org/wiki/三命通會</x:v>
      </x:c>
      <x:c r="AI47" s="82" t="str">
        <x:v>采用</x:v>
      </x:c>
      <x:c r="AJ47" s="82" t="str">
        <x:v>初审</x:v>
      </x:c>
      <x:c r="AK47" s="87" t="n">
        <x:v>46255</x:v>
      </x:c>
    </x:row>
    <x:row r="48">
      <x:c r="A48" s="72" t="str">
        <x:f>IF(OR(C48="",D48=""),"",B48&amp;"-"&amp;UPPER(C48)&amp;"-"&amp;TEXT(D48,"0000")&amp;"-"&amp;E48)</x:f>
        <x:v>M08-CONTROL-0042-V1.0</x:v>
      </x:c>
      <x:c r="B48" s="74" t="str">
        <x:v>M08</x:v>
      </x:c>
      <x:c r="C48" s="74" t="str">
        <x:v>CONTROL</x:v>
      </x:c>
      <x:c r="D48" s="79" t="n">
        <x:v>42</x:v>
      </x:c>
      <x:c r="E48" s="74" t="str">
        <x:v>V1.0</x:v>
      </x:c>
      <x:c r="F48" s="68" t="str">
        <x:v>通关可把直接相克改写为生化链</x:v>
      </x:c>
      <x:c r="G48" s="82" t="str">
        <x:v>结构层</x:v>
      </x:c>
      <x:c r="H48" s="68" t="str">
        <x:v>M12通关接口</x:v>
      </x:c>
      <x:c r="I48" s="68" t="str">
        <x:v>目标五行</x:v>
      </x:c>
      <x:c r="J48" s="68" t="str">
        <x:v>两强相战</x:v>
      </x:c>
      <x:c r="K48" s="68" t="str">
        <x:v>中间五行有效承接</x:v>
      </x:c>
      <x:c r="L48" s="68" t="str">
        <x:v>减少直接克战并建立新路径</x:v>
      </x:c>
      <x:c r="M48" s="82" t="str">
        <x:v>转化</x:v>
      </x:c>
      <x:c r="N48" s="82" t="str">
        <x:v>强</x:v>
      </x:c>
      <x:c r="O48" s="82" t="str">
        <x:v>条件性</x:v>
      </x:c>
      <x:c r="P48" s="82" t="str">
        <x:v>条件性</x:v>
      </x:c>
      <x:c r="Q48" s="82" t="str">
        <x:v>条件性</x:v>
      </x:c>
      <x:c r="R48" s="82" t="str">
        <x:v>是</x:v>
      </x:c>
      <x:c r="S48" s="68" t="str">
        <x:v>前置模块已完成</x:v>
      </x:c>
      <x:c r="T48" s="68" t="str">
        <x:v>作用条件真实成立</x:v>
      </x:c>
      <x:c r="U48" s="68" t="str">
        <x:v>得令、有根、有援可增强</x:v>
      </x:c>
      <x:c r="V48" s="68" t="str">
        <x:v>失令、孤立或受制可削弱</x:v>
      </x:c>
      <x:c r="W48" s="90" t="str">
        <x:v>禁止用关系名称直接替代实际效应</x:v>
      </x:c>
      <x:c r="X48" s="68" t="str">
        <x:v>特殊格局与动态岁运另模块处理</x:v>
      </x:c>
      <x:c r="Y48" s="84" t="str">
        <x:v>按证据修正有效旺衰</x:v>
      </x:c>
      <x:c r="Z48" s="68" t="str">
        <x:v>不得直接推出喜忌用神</x:v>
      </x:c>
      <x:c r="AA48" s="84" t="str">
        <x:v>有效通关</x:v>
      </x:c>
      <x:c r="AB48" s="84" t="str">
        <x:v>有效通关可把直接克战转化为生化链，明显降低被克方损耗。</x:v>
      </x:c>
      <x:c r="AC48" s="82" t="str">
        <x:v>较高</x:v>
      </x:c>
      <x:c r="AD48" s="82" t="str">
        <x:v>现代综合</x:v>
      </x:c>
      <x:c r="AE48" s="68" t="str">
        <x:v>有效力量必须承接原始力量与实际效应，逐对象、逐节点修正。</x:v>
      </x:c>
      <x:c r="AF48" s="68" t="str">
        <x:v>比较双方有效力量、路径与续航后再定减力幅度。</x:v>
      </x:c>
      <x:c r="AG48" s="90" t="str">
        <x:v>只见五行相克就固定扣分。</x:v>
      </x:c>
      <x:c r="AH48" s="68" t="str">
        <x:v>https://zh.wikisource.org/zh-hans/滴天髓 ; https://zh.wikisource.org/zh-hans/淵海子平 ; https://zh.wikisource.org/wiki/三命通會</x:v>
      </x:c>
      <x:c r="AI48" s="82" t="str">
        <x:v>采用</x:v>
      </x:c>
      <x:c r="AJ48" s="82" t="str">
        <x:v>初审</x:v>
      </x:c>
      <x:c r="AK48" s="87" t="n">
        <x:v>46255</x:v>
      </x:c>
    </x:row>
    <x:row r="49">
      <x:c r="A49" s="72" t="str">
        <x:f>IF(OR(C49="",D49=""),"",B49&amp;"-"&amp;UPPER(C49)&amp;"-"&amp;TEXT(D49,"0000")&amp;"-"&amp;E49)</x:f>
        <x:v>M08-CONTROL-0043-V1.0</x:v>
      </x:c>
      <x:c r="B49" s="74" t="str">
        <x:v>M08</x:v>
      </x:c>
      <x:c r="C49" s="74" t="str">
        <x:v>CONTROL</x:v>
      </x:c>
      <x:c r="D49" s="79" t="n">
        <x:v>43</x:v>
      </x:c>
      <x:c r="E49" s="74" t="str">
        <x:v>V1.0</x:v>
      </x:c>
      <x:c r="F49" s="68" t="str">
        <x:v>藏干相克且无透达时权重低于显干直接克</x:v>
      </x:c>
      <x:c r="G49" s="82" t="str">
        <x:v>结构层</x:v>
      </x:c>
      <x:c r="H49" s="68" t="str">
        <x:v>作用路径</x:v>
      </x:c>
      <x:c r="I49" s="68" t="str">
        <x:v>目标五行</x:v>
      </x:c>
      <x:c r="J49" s="68" t="str">
        <x:v>藏支五行</x:v>
      </x:c>
      <x:c r="K49" s="68" t="str">
        <x:v>仅藏干潜在相克</x:v>
      </x:c>
      <x:c r="L49" s="68" t="str">
        <x:v>降低直接克制权重</x:v>
      </x:c>
      <x:c r="M49" s="82" t="str">
        <x:v>减弱</x:v>
      </x:c>
      <x:c r="N49" s="82" t="str">
        <x:v>弱</x:v>
      </x:c>
      <x:c r="O49" s="82" t="str">
        <x:v>条件性</x:v>
      </x:c>
      <x:c r="P49" s="82" t="str">
        <x:v>条件性</x:v>
      </x:c>
      <x:c r="Q49" s="82" t="str">
        <x:v>条件性</x:v>
      </x:c>
      <x:c r="R49" s="82" t="str">
        <x:v>是</x:v>
      </x:c>
      <x:c r="S49" s="68" t="str">
        <x:v>前置模块已完成</x:v>
      </x:c>
      <x:c r="T49" s="68" t="str">
        <x:v>作用条件真实成立</x:v>
      </x:c>
      <x:c r="U49" s="68" t="str">
        <x:v>得令、有根、有援可增强</x:v>
      </x:c>
      <x:c r="V49" s="68" t="str">
        <x:v>失令、孤立或受制可削弱</x:v>
      </x:c>
      <x:c r="W49" s="90" t="str">
        <x:v>禁止用关系名称直接替代实际效应</x:v>
      </x:c>
      <x:c r="X49" s="68" t="str">
        <x:v>特殊格局与动态岁运另模块处理</x:v>
      </x:c>
      <x:c r="Y49" s="84" t="str">
        <x:v>按证据修正有效旺衰</x:v>
      </x:c>
      <x:c r="Z49" s="68" t="str">
        <x:v>不得直接推出喜忌用神</x:v>
      </x:c>
      <x:c r="AA49" s="84" t="str">
        <x:v>藏克低权重</x:v>
      </x:c>
      <x:c r="AB49" s="84" t="str">
        <x:v>未透达的藏干相克通常只作低权重潜在制约。</x:v>
      </x:c>
      <x:c r="AC49" s="82" t="str">
        <x:v>较高</x:v>
      </x:c>
      <x:c r="AD49" s="82" t="str">
        <x:v>现代综合</x:v>
      </x:c>
      <x:c r="AE49" s="68" t="str">
        <x:v>有效力量必须承接原始力量与实际效应，逐对象、逐节点修正。</x:v>
      </x:c>
      <x:c r="AF49" s="68" t="str">
        <x:v>比较双方有效力量、路径与续航后再定减力幅度。</x:v>
      </x:c>
      <x:c r="AG49" s="90" t="str">
        <x:v>只见五行相克就固定扣分。</x:v>
      </x:c>
      <x:c r="AH49" s="68" t="str">
        <x:v>https://zh.wikisource.org/zh-hans/滴天髓 ; https://zh.wikisource.org/zh-hans/淵海子平 ; https://zh.wikisource.org/wiki/三命通會</x:v>
      </x:c>
      <x:c r="AI49" s="82" t="str">
        <x:v>采用</x:v>
      </x:c>
      <x:c r="AJ49" s="82" t="str">
        <x:v>初审</x:v>
      </x:c>
      <x:c r="AK49" s="87" t="n">
        <x:v>46255</x:v>
      </x:c>
    </x:row>
    <x:row r="50">
      <x:c r="A50" s="72" t="str">
        <x:f>IF(OR(C50="",D50=""),"",B50&amp;"-"&amp;UPPER(C50)&amp;"-"&amp;TEXT(D50,"0000")&amp;"-"&amp;E50)</x:f>
        <x:v>M08-CONTROL-0044-V1.0</x:v>
      </x:c>
      <x:c r="B50" s="74" t="str">
        <x:v>M08</x:v>
      </x:c>
      <x:c r="C50" s="74" t="str">
        <x:v>CONTROL</x:v>
      </x:c>
      <x:c r="D50" s="79" t="n">
        <x:v>44</x:v>
      </x:c>
      <x:c r="E50" s="74" t="str">
        <x:v>V1.0</x:v>
      </x:c>
      <x:c r="F50" s="68" t="str">
        <x:v>克制对象过多时克方输出需分配容量</x:v>
      </x:c>
      <x:c r="G50" s="82" t="str">
        <x:v>结构层</x:v>
      </x:c>
      <x:c r="H50" s="68" t="str">
        <x:v>容量约束</x:v>
      </x:c>
      <x:c r="I50" s="68" t="str">
        <x:v>目标五行</x:v>
      </x:c>
      <x:c r="J50" s="68" t="str">
        <x:v>多对象受同一克方</x:v>
      </x:c>
      <x:c r="K50" s="68" t="str">
        <x:v>同一克方同时制约多个对象</x:v>
      </x:c>
      <x:c r="L50" s="68" t="str">
        <x:v>降低单对象所受克力</x:v>
      </x:c>
      <x:c r="M50" s="82" t="str">
        <x:v>减弱</x:v>
      </x:c>
      <x:c r="N50" s="82" t="str">
        <x:v>中</x:v>
      </x:c>
      <x:c r="O50" s="82" t="str">
        <x:v>条件性</x:v>
      </x:c>
      <x:c r="P50" s="82" t="str">
        <x:v>条件性</x:v>
      </x:c>
      <x:c r="Q50" s="82" t="str">
        <x:v>条件性</x:v>
      </x:c>
      <x:c r="R50" s="82" t="str">
        <x:v>是</x:v>
      </x:c>
      <x:c r="S50" s="68" t="str">
        <x:v>前置模块已完成</x:v>
      </x:c>
      <x:c r="T50" s="68" t="str">
        <x:v>作用条件真实成立</x:v>
      </x:c>
      <x:c r="U50" s="68" t="str">
        <x:v>得令、有根、有援可增强</x:v>
      </x:c>
      <x:c r="V50" s="68" t="str">
        <x:v>失令、孤立或受制可削弱</x:v>
      </x:c>
      <x:c r="W50" s="90" t="str">
        <x:v>禁止用关系名称直接替代实际效应</x:v>
      </x:c>
      <x:c r="X50" s="68" t="str">
        <x:v>特殊格局与动态岁运另模块处理</x:v>
      </x:c>
      <x:c r="Y50" s="84" t="str">
        <x:v>按证据修正有效旺衰</x:v>
      </x:c>
      <x:c r="Z50" s="68" t="str">
        <x:v>不得直接推出喜忌用神</x:v>
      </x:c>
      <x:c r="AA50" s="84" t="str">
        <x:v>克力容量</x:v>
      </x:c>
      <x:c r="AB50" s="84" t="str">
        <x:v>同一克方同时制约多个对象时，其输出存在容量分配。</x:v>
      </x:c>
      <x:c r="AC50" s="82" t="str">
        <x:v>较高</x:v>
      </x:c>
      <x:c r="AD50" s="82" t="str">
        <x:v>现代综合</x:v>
      </x:c>
      <x:c r="AE50" s="68" t="str">
        <x:v>有效力量必须承接原始力量与实际效应，逐对象、逐节点修正。</x:v>
      </x:c>
      <x:c r="AF50" s="68" t="str">
        <x:v>比较双方有效力量、路径与续航后再定减力幅度。</x:v>
      </x:c>
      <x:c r="AG50" s="90" t="str">
        <x:v>只见五行相克就固定扣分。</x:v>
      </x:c>
      <x:c r="AH50" s="68" t="str">
        <x:v>https://zh.wikisource.org/zh-hans/滴天髓 ; https://zh.wikisource.org/zh-hans/淵海子平 ; https://zh.wikisource.org/wiki/三命通會</x:v>
      </x:c>
      <x:c r="AI50" s="82" t="str">
        <x:v>采用</x:v>
      </x:c>
      <x:c r="AJ50" s="82" t="str">
        <x:v>初审</x:v>
      </x:c>
      <x:c r="AK50" s="87" t="n">
        <x:v>46255</x:v>
      </x:c>
    </x:row>
    <x:row r="51">
      <x:c r="A51" s="72" t="str">
        <x:f>IF(OR(C51="",D51=""),"",B51&amp;"-"&amp;UPPER(C51)&amp;"-"&amp;TEXT(D51,"0000")&amp;"-"&amp;E51)</x:f>
        <x:v>M08-CONTROL-0045-V1.0</x:v>
      </x:c>
      <x:c r="B51" s="74" t="str">
        <x:v>M08</x:v>
      </x:c>
      <x:c r="C51" s="74" t="str">
        <x:v>CONTROL</x:v>
      </x:c>
      <x:c r="D51" s="79" t="n">
        <x:v>45</x:v>
      </x:c>
      <x:c r="E51" s="74" t="str">
        <x:v>V1.0</x:v>
      </x:c>
      <x:c r="F51" s="68" t="str">
        <x:v>克方同时大量泄耗时持续压制能力下降</x:v>
      </x:c>
      <x:c r="G51" s="82" t="str">
        <x:v>结构层</x:v>
      </x:c>
      <x:c r="H51" s="68" t="str">
        <x:v>双向作用</x:v>
      </x:c>
      <x:c r="I51" s="68" t="str">
        <x:v>目标五行</x:v>
      </x:c>
      <x:c r="J51" s="68" t="str">
        <x:v>被克方</x:v>
      </x:c>
      <x:c r="K51" s="68" t="str">
        <x:v>克方同时有显著泄出</x:v>
      </x:c>
      <x:c r="L51" s="68" t="str">
        <x:v>下调克方续航</x:v>
      </x:c>
      <x:c r="M51" s="82" t="str">
        <x:v>增强</x:v>
      </x:c>
      <x:c r="N51" s="82" t="str">
        <x:v>弱</x:v>
      </x:c>
      <x:c r="O51" s="82" t="str">
        <x:v>条件性</x:v>
      </x:c>
      <x:c r="P51" s="82" t="str">
        <x:v>条件性</x:v>
      </x:c>
      <x:c r="Q51" s="82" t="str">
        <x:v>条件性</x:v>
      </x:c>
      <x:c r="R51" s="82" t="str">
        <x:v>是</x:v>
      </x:c>
      <x:c r="S51" s="68" t="str">
        <x:v>前置模块已完成</x:v>
      </x:c>
      <x:c r="T51" s="68" t="str">
        <x:v>作用条件真实成立</x:v>
      </x:c>
      <x:c r="U51" s="68" t="str">
        <x:v>得令、有根、有援可增强</x:v>
      </x:c>
      <x:c r="V51" s="68" t="str">
        <x:v>失令、孤立或受制可削弱</x:v>
      </x:c>
      <x:c r="W51" s="90" t="str">
        <x:v>禁止用关系名称直接替代实际效应</x:v>
      </x:c>
      <x:c r="X51" s="68" t="str">
        <x:v>特殊格局与动态岁运另模块处理</x:v>
      </x:c>
      <x:c r="Y51" s="84" t="str">
        <x:v>按证据修正有效旺衰</x:v>
      </x:c>
      <x:c r="Z51" s="68" t="str">
        <x:v>不得直接推出喜忌用神</x:v>
      </x:c>
      <x:c r="AA51" s="84" t="str">
        <x:v>克方续航下降</x:v>
      </x:c>
      <x:c r="AB51" s="84" t="str">
        <x:v>克制不是无限输出，克方若同时大量泄耗，其持续压制能力会下降。</x:v>
      </x:c>
      <x:c r="AC51" s="82" t="str">
        <x:v>较高</x:v>
      </x:c>
      <x:c r="AD51" s="82" t="str">
        <x:v>现代综合</x:v>
      </x:c>
      <x:c r="AE51" s="68" t="str">
        <x:v>有效力量必须承接原始力量与实际效应，逐对象、逐节点修正。</x:v>
      </x:c>
      <x:c r="AF51" s="68" t="str">
        <x:v>比较双方有效力量、路径与续航后再定减力幅度。</x:v>
      </x:c>
      <x:c r="AG51" s="90" t="str">
        <x:v>只见五行相克就固定扣分。</x:v>
      </x:c>
      <x:c r="AH51" s="68" t="str">
        <x:v>https://zh.wikisource.org/zh-hans/滴天髓 ; https://zh.wikisource.org/zh-hans/淵海子平 ; https://zh.wikisource.org/wiki/三命通會</x:v>
      </x:c>
      <x:c r="AI51" s="82" t="str">
        <x:v>采用</x:v>
      </x:c>
      <x:c r="AJ51" s="82" t="str">
        <x:v>初审</x:v>
      </x:c>
      <x:c r="AK51" s="87" t="n">
        <x:v>46255</x:v>
      </x:c>
    </x:row>
    <x:row r="52">
      <x:c r="A52" s="72" t="str">
        <x:f>IF(OR(C52="",D52=""),"",B52&amp;"-"&amp;UPPER(C52)&amp;"-"&amp;TEXT(D52,"0000")&amp;"-"&amp;E52)</x:f>
        <x:v>M08-CONTROL-0046-V1.0</x:v>
      </x:c>
      <x:c r="B52" s="74" t="str">
        <x:v>M08</x:v>
      </x:c>
      <x:c r="C52" s="74" t="str">
        <x:v>CONTROL</x:v>
      </x:c>
      <x:c r="D52" s="79" t="n">
        <x:v>46</x:v>
      </x:c>
      <x:c r="E52" s="74" t="str">
        <x:v>V1.0</x:v>
      </x:c>
      <x:c r="F52" s="68" t="str">
        <x:v>克制结果不得越级等同十神功能成败</x:v>
      </x:c>
      <x:c r="G52" s="82" t="str">
        <x:v>结构层</x:v>
      </x:c>
      <x:c r="H52" s="68" t="str">
        <x:v>M08边界</x:v>
      </x:c>
      <x:c r="I52" s="68" t="str">
        <x:v>目标五行</x:v>
      </x:c>
      <x:c r="J52" s="68" t="str">
        <x:v>任意</x:v>
      </x:c>
      <x:c r="K52" s="68" t="str">
        <x:v>五行间克制</x:v>
      </x:c>
      <x:c r="L52" s="68" t="str">
        <x:v>只修正五行力量，不判组合成败</x:v>
      </x:c>
      <x:c r="M52" s="82" t="str">
        <x:v>不变</x:v>
      </x:c>
      <x:c r="N52" s="82" t="str">
        <x:v>弱</x:v>
      </x:c>
      <x:c r="O52" s="82" t="str">
        <x:v>条件性</x:v>
      </x:c>
      <x:c r="P52" s="82" t="str">
        <x:v>条件性</x:v>
      </x:c>
      <x:c r="Q52" s="82" t="str">
        <x:v>条件性</x:v>
      </x:c>
      <x:c r="R52" s="82" t="str">
        <x:v>是</x:v>
      </x:c>
      <x:c r="S52" s="68" t="str">
        <x:v>前置模块已完成</x:v>
      </x:c>
      <x:c r="T52" s="68" t="str">
        <x:v>作用条件真实成立</x:v>
      </x:c>
      <x:c r="U52" s="68" t="str">
        <x:v>得令、有根、有援可增强</x:v>
      </x:c>
      <x:c r="V52" s="68" t="str">
        <x:v>失令、孤立或受制可削弱</x:v>
      </x:c>
      <x:c r="W52" s="90" t="str">
        <x:v>禁止用关系名称直接替代实际效应</x:v>
      </x:c>
      <x:c r="X52" s="68" t="str">
        <x:v>特殊格局与动态岁运另模块处理</x:v>
      </x:c>
      <x:c r="Y52" s="84" t="str">
        <x:v>按证据修正有效旺衰</x:v>
      </x:c>
      <x:c r="Z52" s="68" t="str">
        <x:v>不得直接推出喜忌用神</x:v>
      </x:c>
      <x:c r="AA52" s="84" t="str">
        <x:v>五行克制边界</x:v>
      </x:c>
      <x:c r="AB52" s="84" t="str">
        <x:v>M08只确认克制对五行力量的影响，十神功能与组合交由M10/M11。</x:v>
      </x:c>
      <x:c r="AC52" s="82" t="str">
        <x:v>较高</x:v>
      </x:c>
      <x:c r="AD52" s="82" t="str">
        <x:v>现代综合</x:v>
      </x:c>
      <x:c r="AE52" s="68" t="str">
        <x:v>有效力量必须承接原始力量与实际效应，逐对象、逐节点修正。</x:v>
      </x:c>
      <x:c r="AF52" s="68" t="str">
        <x:v>比较双方有效力量、路径与续航后再定减力幅度。</x:v>
      </x:c>
      <x:c r="AG52" s="90" t="str">
        <x:v>只见五行相克就固定扣分。</x:v>
      </x:c>
      <x:c r="AH52" s="68" t="str">
        <x:v>https://zh.wikisource.org/zh-hans/滴天髓 ; https://zh.wikisource.org/zh-hans/淵海子平 ; https://zh.wikisource.org/wiki/三命通會</x:v>
      </x:c>
      <x:c r="AI52" s="82" t="str">
        <x:v>采用</x:v>
      </x:c>
      <x:c r="AJ52" s="82" t="str">
        <x:v>初审</x:v>
      </x:c>
      <x:c r="AK52" s="87" t="n">
        <x:v>46255</x:v>
      </x:c>
    </x:row>
    <x:row r="53">
      <x:c r="A53" s="72" t="str">
        <x:f>IF(OR(C53="",D53=""),"",B53&amp;"-"&amp;UPPER(C53)&amp;"-"&amp;TEXT(D53,"0000")&amp;"-"&amp;E53)</x:f>
        <x:v>M08-LEAK-0047-V1.0</x:v>
      </x:c>
      <x:c r="B53" s="74" t="str">
        <x:v>M08</x:v>
      </x:c>
      <x:c r="C53" s="74" t="str">
        <x:v>LEAK</x:v>
      </x:c>
      <x:c r="D53" s="79" t="n">
        <x:v>47</x:v>
      </x:c>
      <x:c r="E53" s="74" t="str">
        <x:v>V1.0</x:v>
      </x:c>
      <x:c r="F53" s="68" t="str">
        <x:v>目标主动生出强泄神时有效力量下降</x:v>
      </x:c>
      <x:c r="G53" s="82" t="str">
        <x:v>结构层</x:v>
      </x:c>
      <x:c r="H53" s="68" t="str">
        <x:v>五行相生/泄</x:v>
      </x:c>
      <x:c r="I53" s="68" t="str">
        <x:v>目标五行</x:v>
      </x:c>
      <x:c r="J53" s="68" t="str">
        <x:v>原始有力</x:v>
      </x:c>
      <x:c r="K53" s="68" t="str">
        <x:v>持续生出强下游五行</x:v>
      </x:c>
      <x:c r="L53" s="68" t="str">
        <x:v>下调目标可保有力量</x:v>
      </x:c>
      <x:c r="M53" s="82" t="str">
        <x:v>减弱</x:v>
      </x:c>
      <x:c r="N53" s="82" t="str">
        <x:v>中</x:v>
      </x:c>
      <x:c r="O53" s="82" t="str">
        <x:v>否</x:v>
      </x:c>
      <x:c r="P53" s="82" t="str">
        <x:v>否</x:v>
      </x:c>
      <x:c r="Q53" s="82" t="str">
        <x:v>否</x:v>
      </x:c>
      <x:c r="R53" s="82" t="str">
        <x:v>是</x:v>
      </x:c>
      <x:c r="S53" s="68" t="str">
        <x:v>前置模块已完成</x:v>
      </x:c>
      <x:c r="T53" s="68" t="str">
        <x:v>作用条件真实成立</x:v>
      </x:c>
      <x:c r="U53" s="68" t="str">
        <x:v>得令、有根、有援可增强</x:v>
      </x:c>
      <x:c r="V53" s="68" t="str">
        <x:v>失令、孤立或受制可削弱</x:v>
      </x:c>
      <x:c r="W53" s="90" t="str">
        <x:v>禁止用关系名称直接替代实际效应</x:v>
      </x:c>
      <x:c r="X53" s="68" t="str">
        <x:v>特殊格局与动态岁运另模块处理</x:v>
      </x:c>
      <x:c r="Y53" s="84" t="str">
        <x:v>按证据修正有效旺衰</x:v>
      </x:c>
      <x:c r="Z53" s="68" t="str">
        <x:v>不得直接推出喜忌用神</x:v>
      </x:c>
      <x:c r="AA53" s="84" t="str">
        <x:v>主动泄气</x:v>
      </x:c>
      <x:c r="AB53" s="84" t="str">
        <x:v>目标持续生出有承载的下游五行时，自身有效力量下降。</x:v>
      </x:c>
      <x:c r="AC53" s="82" t="str">
        <x:v>较高</x:v>
      </x:c>
      <x:c r="AD53" s="82" t="str">
        <x:v>现代综合</x:v>
      </x:c>
      <x:c r="AE53" s="68" t="str">
        <x:v>有效力量必须承接原始力量与实际效应，逐对象、逐节点修正。</x:v>
      </x:c>
      <x:c r="AF53" s="68" t="str">
        <x:v>泄神有承载、链路顺畅时泄力才高。</x:v>
      </x:c>
      <x:c r="AG53" s="90" t="str">
        <x:v>只要出现下游五行就按重泄处理。</x:v>
      </x:c>
      <x:c r="AH53" s="68" t="str">
        <x:v>https://zh.wikisource.org/zh-hans/滴天髓 ; https://zh.wikisource.org/zh-hans/淵海子平 ; https://zh.wikisource.org/wiki/三命通會</x:v>
      </x:c>
      <x:c r="AI53" s="82" t="str">
        <x:v>采用</x:v>
      </x:c>
      <x:c r="AJ53" s="82" t="str">
        <x:v>初审</x:v>
      </x:c>
      <x:c r="AK53" s="87" t="n">
        <x:v>46255</x:v>
      </x:c>
    </x:row>
    <x:row r="54">
      <x:c r="A54" s="72" t="str">
        <x:f>IF(OR(C54="",D54=""),"",B54&amp;"-"&amp;UPPER(C54)&amp;"-"&amp;TEXT(D54,"0000")&amp;"-"&amp;E54)</x:f>
        <x:v>M08-LEAK-0048-V1.0</x:v>
      </x:c>
      <x:c r="B54" s="74" t="str">
        <x:v>M08</x:v>
      </x:c>
      <x:c r="C54" s="74" t="str">
        <x:v>LEAK</x:v>
      </x:c>
      <x:c r="D54" s="79" t="n">
        <x:v>48</x:v>
      </x:c>
      <x:c r="E54" s="74" t="str">
        <x:v>V1.0</x:v>
      </x:c>
      <x:c r="F54" s="68" t="str">
        <x:v>泄神弱或无根时对目标泄力有限</x:v>
      </x:c>
      <x:c r="G54" s="82" t="str">
        <x:v>结构层</x:v>
      </x:c>
      <x:c r="H54" s="68" t="str">
        <x:v>五行相生/泄</x:v>
      </x:c>
      <x:c r="I54" s="68" t="str">
        <x:v>目标五行</x:v>
      </x:c>
      <x:c r="J54" s="68" t="str">
        <x:v>原始有力</x:v>
      </x:c>
      <x:c r="K54" s="68" t="str">
        <x:v>生出弱下游</x:v>
      </x:c>
      <x:c r="L54" s="68" t="str">
        <x:v>仅作轻度泄气</x:v>
      </x:c>
      <x:c r="M54" s="82" t="str">
        <x:v>减弱</x:v>
      </x:c>
      <x:c r="N54" s="82" t="str">
        <x:v>弱</x:v>
      </x:c>
      <x:c r="O54" s="82" t="str">
        <x:v>否</x:v>
      </x:c>
      <x:c r="P54" s="82" t="str">
        <x:v>否</x:v>
      </x:c>
      <x:c r="Q54" s="82" t="str">
        <x:v>否</x:v>
      </x:c>
      <x:c r="R54" s="82" t="str">
        <x:v>是</x:v>
      </x:c>
      <x:c r="S54" s="68" t="str">
        <x:v>前置模块已完成</x:v>
      </x:c>
      <x:c r="T54" s="68" t="str">
        <x:v>作用条件真实成立</x:v>
      </x:c>
      <x:c r="U54" s="68" t="str">
        <x:v>得令、有根、有援可增强</x:v>
      </x:c>
      <x:c r="V54" s="68" t="str">
        <x:v>失令、孤立或受制可削弱</x:v>
      </x:c>
      <x:c r="W54" s="90" t="str">
        <x:v>禁止用关系名称直接替代实际效应</x:v>
      </x:c>
      <x:c r="X54" s="68" t="str">
        <x:v>特殊格局与动态岁运另模块处理</x:v>
      </x:c>
      <x:c r="Y54" s="84" t="str">
        <x:v>按证据修正有效旺衰</x:v>
      </x:c>
      <x:c r="Z54" s="68" t="str">
        <x:v>不得直接推出喜忌用神</x:v>
      </x:c>
      <x:c r="AA54" s="84" t="str">
        <x:v>弱泄低权重</x:v>
      </x:c>
      <x:c r="AB54" s="84" t="str">
        <x:v>泄神弱而无承载时，对目标的实际泄力有限。</x:v>
      </x:c>
      <x:c r="AC54" s="82" t="str">
        <x:v>较高</x:v>
      </x:c>
      <x:c r="AD54" s="82" t="str">
        <x:v>现代综合</x:v>
      </x:c>
      <x:c r="AE54" s="68" t="str">
        <x:v>有效力量必须承接原始力量与实际效应，逐对象、逐节点修正。</x:v>
      </x:c>
      <x:c r="AF54" s="68" t="str">
        <x:v>泄神有承载、链路顺畅时泄力才高。</x:v>
      </x:c>
      <x:c r="AG54" s="90" t="str">
        <x:v>只要出现下游五行就按重泄处理。</x:v>
      </x:c>
      <x:c r="AH54" s="68" t="str">
        <x:v>https://zh.wikisource.org/zh-hans/滴天髓 ; https://zh.wikisource.org/zh-hans/淵海子平 ; https://zh.wikisource.org/wiki/三命通會</x:v>
      </x:c>
      <x:c r="AI54" s="82" t="str">
        <x:v>采用</x:v>
      </x:c>
      <x:c r="AJ54" s="82" t="str">
        <x:v>初审</x:v>
      </x:c>
      <x:c r="AK54" s="87" t="n">
        <x:v>46255</x:v>
      </x:c>
    </x:row>
    <x:row r="55">
      <x:c r="A55" s="72" t="str">
        <x:f>IF(OR(C55="",D55=""),"",B55&amp;"-"&amp;UPPER(C55)&amp;"-"&amp;TEXT(D55,"0000")&amp;"-"&amp;E55)</x:f>
        <x:v>M08-LEAK-0049-V1.0</x:v>
      </x:c>
      <x:c r="B55" s="74" t="str">
        <x:v>M08</x:v>
      </x:c>
      <x:c r="C55" s="74" t="str">
        <x:v>LEAK</x:v>
      </x:c>
      <x:c r="D55" s="79" t="n">
        <x:v>49</x:v>
      </x:c>
      <x:c r="E55" s="74" t="str">
        <x:v>V1.0</x:v>
      </x:c>
      <x:c r="F55" s="68" t="str">
        <x:v>多重泄出需按目标容量与下游承载共同判断</x:v>
      </x:c>
      <x:c r="G55" s="82" t="str">
        <x:v>结构层</x:v>
      </x:c>
      <x:c r="H55" s="68" t="str">
        <x:v>容量约束</x:v>
      </x:c>
      <x:c r="I55" s="68" t="str">
        <x:v>目标五行</x:v>
      </x:c>
      <x:c r="J55" s="68" t="str">
        <x:v>多下游</x:v>
      </x:c>
      <x:c r="K55" s="68" t="str">
        <x:v>目标同时生多个有效对象</x:v>
      </x:c>
      <x:c r="L55" s="68" t="str">
        <x:v>提高总泄力但设置容量上限</x:v>
      </x:c>
      <x:c r="M55" s="82" t="str">
        <x:v>减弱</x:v>
      </x:c>
      <x:c r="N55" s="82" t="str">
        <x:v>强</x:v>
      </x:c>
      <x:c r="O55" s="82" t="str">
        <x:v>否</x:v>
      </x:c>
      <x:c r="P55" s="82" t="str">
        <x:v>否</x:v>
      </x:c>
      <x:c r="Q55" s="82" t="str">
        <x:v>否</x:v>
      </x:c>
      <x:c r="R55" s="82" t="str">
        <x:v>是</x:v>
      </x:c>
      <x:c r="S55" s="68" t="str">
        <x:v>前置模块已完成</x:v>
      </x:c>
      <x:c r="T55" s="68" t="str">
        <x:v>作用条件真实成立</x:v>
      </x:c>
      <x:c r="U55" s="68" t="str">
        <x:v>得令、有根、有援可增强</x:v>
      </x:c>
      <x:c r="V55" s="68" t="str">
        <x:v>失令、孤立或受制可削弱</x:v>
      </x:c>
      <x:c r="W55" s="90" t="str">
        <x:v>禁止用关系名称直接替代实际效应</x:v>
      </x:c>
      <x:c r="X55" s="68" t="str">
        <x:v>特殊格局与动态岁运另模块处理</x:v>
      </x:c>
      <x:c r="Y55" s="84" t="str">
        <x:v>按证据修正有效旺衰</x:v>
      </x:c>
      <x:c r="Z55" s="68" t="str">
        <x:v>不得直接推出喜忌用神</x:v>
      </x:c>
      <x:c r="AA55" s="84" t="str">
        <x:v>多路泄气</x:v>
      </x:c>
      <x:c r="AB55" s="84" t="str">
        <x:v>多路有效泄出会提高总泄力，但受目标自身容量约束。</x:v>
      </x:c>
      <x:c r="AC55" s="82" t="str">
        <x:v>较高</x:v>
      </x:c>
      <x:c r="AD55" s="82" t="str">
        <x:v>现代综合</x:v>
      </x:c>
      <x:c r="AE55" s="68" t="str">
        <x:v>有效力量必须承接原始力量与实际效应，逐对象、逐节点修正。</x:v>
      </x:c>
      <x:c r="AF55" s="68" t="str">
        <x:v>泄神有承载、链路顺畅时泄力才高。</x:v>
      </x:c>
      <x:c r="AG55" s="90" t="str">
        <x:v>只要出现下游五行就按重泄处理。</x:v>
      </x:c>
      <x:c r="AH55" s="68" t="str">
        <x:v>https://zh.wikisource.org/zh-hans/滴天髓 ; https://zh.wikisource.org/zh-hans/淵海子平 ; https://zh.wikisource.org/wiki/三命通會</x:v>
      </x:c>
      <x:c r="AI55" s="82" t="str">
        <x:v>采用</x:v>
      </x:c>
      <x:c r="AJ55" s="82" t="str">
        <x:v>初审</x:v>
      </x:c>
      <x:c r="AK55" s="87" t="n">
        <x:v>46255</x:v>
      </x:c>
    </x:row>
    <x:row r="56">
      <x:c r="A56" s="72" t="str">
        <x:f>IF(OR(C56="",D56=""),"",B56&amp;"-"&amp;UPPER(C56)&amp;"-"&amp;TEXT(D56,"0000")&amp;"-"&amp;E56)</x:f>
        <x:v>M08-LEAK-0050-V1.0</x:v>
      </x:c>
      <x:c r="B56" s="74" t="str">
        <x:v>M08</x:v>
      </x:c>
      <x:c r="C56" s="74" t="str">
        <x:v>LEAK</x:v>
      </x:c>
      <x:c r="D56" s="79" t="n">
        <x:v>50</x:v>
      </x:c>
      <x:c r="E56" s="74" t="str">
        <x:v>V1.0</x:v>
      </x:c>
      <x:c r="F56" s="68" t="str">
        <x:v>泄神被合绊时目标泄力下降</x:v>
      </x:c>
      <x:c r="G56" s="82" t="str">
        <x:v>结构层</x:v>
      </x:c>
      <x:c r="H56" s="68" t="str">
        <x:v>M06合绊</x:v>
      </x:c>
      <x:c r="I56" s="68" t="str">
        <x:v>目标五行</x:v>
      </x:c>
      <x:c r="J56" s="68" t="str">
        <x:v>原有泄出</x:v>
      </x:c>
      <x:c r="K56" s="68" t="str">
        <x:v>泄神被合绊</x:v>
      </x:c>
      <x:c r="L56" s="68" t="str">
        <x:v>减少有效泄出通道</x:v>
      </x:c>
      <x:c r="M56" s="82" t="str">
        <x:v>增强</x:v>
      </x:c>
      <x:c r="N56" s="82" t="str">
        <x:v>中</x:v>
      </x:c>
      <x:c r="O56" s="82" t="str">
        <x:v>否</x:v>
      </x:c>
      <x:c r="P56" s="82" t="str">
        <x:v>否</x:v>
      </x:c>
      <x:c r="Q56" s="82" t="str">
        <x:v>否</x:v>
      </x:c>
      <x:c r="R56" s="82" t="str">
        <x:v>是</x:v>
      </x:c>
      <x:c r="S56" s="68" t="str">
        <x:v>前置模块已完成</x:v>
      </x:c>
      <x:c r="T56" s="68" t="str">
        <x:v>作用条件真实成立</x:v>
      </x:c>
      <x:c r="U56" s="68" t="str">
        <x:v>得令、有根、有援可增强</x:v>
      </x:c>
      <x:c r="V56" s="68" t="str">
        <x:v>失令、孤立或受制可削弱</x:v>
      </x:c>
      <x:c r="W56" s="90" t="str">
        <x:v>禁止用关系名称直接替代实际效应</x:v>
      </x:c>
      <x:c r="X56" s="68" t="str">
        <x:v>特殊格局与动态岁运另模块处理</x:v>
      </x:c>
      <x:c r="Y56" s="84" t="str">
        <x:v>按证据修正有效旺衰</x:v>
      </x:c>
      <x:c r="Z56" s="68" t="str">
        <x:v>不得直接推出喜忌用神</x:v>
      </x:c>
      <x:c r="AA56" s="84" t="str">
        <x:v>泄路受阻</x:v>
      </x:c>
      <x:c r="AB56" s="84" t="str">
        <x:v>泄神被合绊后，目标的泄出通道受限，实际泄气减轻。</x:v>
      </x:c>
      <x:c r="AC56" s="82" t="str">
        <x:v>较高</x:v>
      </x:c>
      <x:c r="AD56" s="82" t="str">
        <x:v>现代综合</x:v>
      </x:c>
      <x:c r="AE56" s="68" t="str">
        <x:v>有效力量必须承接原始力量与实际效应，逐对象、逐节点修正。</x:v>
      </x:c>
      <x:c r="AF56" s="68" t="str">
        <x:v>泄神有承载、链路顺畅时泄力才高。</x:v>
      </x:c>
      <x:c r="AG56" s="90" t="str">
        <x:v>只要出现下游五行就按重泄处理。</x:v>
      </x:c>
      <x:c r="AH56" s="68" t="str">
        <x:v>https://zh.wikisource.org/zh-hans/滴天髓 ; https://zh.wikisource.org/zh-hans/淵海子平 ; https://zh.wikisource.org/wiki/三命通會</x:v>
      </x:c>
      <x:c r="AI56" s="82" t="str">
        <x:v>采用</x:v>
      </x:c>
      <x:c r="AJ56" s="82" t="str">
        <x:v>初审</x:v>
      </x:c>
      <x:c r="AK56" s="87" t="n">
        <x:v>46255</x:v>
      </x:c>
    </x:row>
    <x:row r="57">
      <x:c r="A57" s="72" t="str">
        <x:f>IF(OR(C57="",D57=""),"",B57&amp;"-"&amp;UPPER(C57)&amp;"-"&amp;TEXT(D57,"0000")&amp;"-"&amp;E57)</x:f>
        <x:v>M08-LEAK-0051-V1.0</x:v>
      </x:c>
      <x:c r="B57" s="74" t="str">
        <x:v>M08</x:v>
      </x:c>
      <x:c r="C57" s="74" t="str">
        <x:v>LEAK</x:v>
      </x:c>
      <x:c r="D57" s="79" t="n">
        <x:v>51</x:v>
      </x:c>
      <x:c r="E57" s="74" t="str">
        <x:v>V1.0</x:v>
      </x:c>
      <x:c r="F57" s="68" t="str">
        <x:v>泄神被克制时目标泄气能力下降</x:v>
      </x:c>
      <x:c r="G57" s="82" t="str">
        <x:v>结构层</x:v>
      </x:c>
      <x:c r="H57" s="68" t="str">
        <x:v>制化关系</x:v>
      </x:c>
      <x:c r="I57" s="68" t="str">
        <x:v>目标五行</x:v>
      </x:c>
      <x:c r="J57" s="68" t="str">
        <x:v>有泄出</x:v>
      </x:c>
      <x:c r="K57" s="68" t="str">
        <x:v>泄神遭强克</x:v>
      </x:c>
      <x:c r="L57" s="68" t="str">
        <x:v>下调泄出效率</x:v>
      </x:c>
      <x:c r="M57" s="82" t="str">
        <x:v>增强</x:v>
      </x:c>
      <x:c r="N57" s="82" t="str">
        <x:v>中</x:v>
      </x:c>
      <x:c r="O57" s="82" t="str">
        <x:v>否</x:v>
      </x:c>
      <x:c r="P57" s="82" t="str">
        <x:v>否</x:v>
      </x:c>
      <x:c r="Q57" s="82" t="str">
        <x:v>否</x:v>
      </x:c>
      <x:c r="R57" s="82" t="str">
        <x:v>是</x:v>
      </x:c>
      <x:c r="S57" s="68" t="str">
        <x:v>前置模块已完成</x:v>
      </x:c>
      <x:c r="T57" s="68" t="str">
        <x:v>作用条件真实成立</x:v>
      </x:c>
      <x:c r="U57" s="68" t="str">
        <x:v>得令、有根、有援可增强</x:v>
      </x:c>
      <x:c r="V57" s="68" t="str">
        <x:v>失令、孤立或受制可削弱</x:v>
      </x:c>
      <x:c r="W57" s="90" t="str">
        <x:v>禁止用关系名称直接替代实际效应</x:v>
      </x:c>
      <x:c r="X57" s="68" t="str">
        <x:v>特殊格局与动态岁运另模块处理</x:v>
      </x:c>
      <x:c r="Y57" s="84" t="str">
        <x:v>按证据修正有效旺衰</x:v>
      </x:c>
      <x:c r="Z57" s="68" t="str">
        <x:v>不得直接推出喜忌用神</x:v>
      </x:c>
      <x:c r="AA57" s="84" t="str">
        <x:v>泄神受制</x:v>
      </x:c>
      <x:c r="AB57" s="84" t="str">
        <x:v>泄神自身受制会降低承接能力，使目标实际泄气减轻。</x:v>
      </x:c>
      <x:c r="AC57" s="82" t="str">
        <x:v>较高</x:v>
      </x:c>
      <x:c r="AD57" s="82" t="str">
        <x:v>现代综合</x:v>
      </x:c>
      <x:c r="AE57" s="68" t="str">
        <x:v>有效力量必须承接原始力量与实际效应，逐对象、逐节点修正。</x:v>
      </x:c>
      <x:c r="AF57" s="68" t="str">
        <x:v>泄神有承载、链路顺畅时泄力才高。</x:v>
      </x:c>
      <x:c r="AG57" s="90" t="str">
        <x:v>只要出现下游五行就按重泄处理。</x:v>
      </x:c>
      <x:c r="AH57" s="68" t="str">
        <x:v>https://zh.wikisource.org/zh-hans/滴天髓 ; https://zh.wikisource.org/zh-hans/淵海子平 ; https://zh.wikisource.org/wiki/三命通會</x:v>
      </x:c>
      <x:c r="AI57" s="82" t="str">
        <x:v>采用</x:v>
      </x:c>
      <x:c r="AJ57" s="82" t="str">
        <x:v>初审</x:v>
      </x:c>
      <x:c r="AK57" s="87" t="n">
        <x:v>46255</x:v>
      </x:c>
    </x:row>
    <x:row r="58">
      <x:c r="A58" s="72" t="str">
        <x:f>IF(OR(C58="",D58=""),"",B58&amp;"-"&amp;UPPER(C58)&amp;"-"&amp;TEXT(D58,"0000")&amp;"-"&amp;E58)</x:f>
        <x:v>M08-LEAK-0052-V1.0</x:v>
      </x:c>
      <x:c r="B58" s="74" t="str">
        <x:v>M08</x:v>
      </x:c>
      <x:c r="C58" s="74" t="str">
        <x:v>LEAK</x:v>
      </x:c>
      <x:c r="D58" s="79" t="n">
        <x:v>52</x:v>
      </x:c>
      <x:c r="E58" s="74" t="str">
        <x:v>V1.0</x:v>
      </x:c>
      <x:c r="F58" s="68" t="str">
        <x:v>泄出后继续顺生可形成连续导流</x:v>
      </x:c>
      <x:c r="G58" s="82" t="str">
        <x:v>结构层</x:v>
      </x:c>
      <x:c r="H58" s="68" t="str">
        <x:v>M12流通接口</x:v>
      </x:c>
      <x:c r="I58" s="68" t="str">
        <x:v>目标五行</x:v>
      </x:c>
      <x:c r="J58" s="68" t="str">
        <x:v>有泄出链</x:v>
      </x:c>
      <x:c r="K58" s="68" t="str">
        <x:v>目标→A→B连续有效</x:v>
      </x:c>
      <x:c r="L58" s="68" t="str">
        <x:v>提高源头力量外流程度</x:v>
      </x:c>
      <x:c r="M58" s="82" t="str">
        <x:v>减弱</x:v>
      </x:c>
      <x:c r="N58" s="82" t="str">
        <x:v>中</x:v>
      </x:c>
      <x:c r="O58" s="82" t="str">
        <x:v>否</x:v>
      </x:c>
      <x:c r="P58" s="82" t="str">
        <x:v>否</x:v>
      </x:c>
      <x:c r="Q58" s="82" t="str">
        <x:v>否</x:v>
      </x:c>
      <x:c r="R58" s="82" t="str">
        <x:v>是</x:v>
      </x:c>
      <x:c r="S58" s="68" t="str">
        <x:v>前置模块已完成</x:v>
      </x:c>
      <x:c r="T58" s="68" t="str">
        <x:v>作用条件真实成立</x:v>
      </x:c>
      <x:c r="U58" s="68" t="str">
        <x:v>得令、有根、有援可增强</x:v>
      </x:c>
      <x:c r="V58" s="68" t="str">
        <x:v>失令、孤立或受制可削弱</x:v>
      </x:c>
      <x:c r="W58" s="90" t="str">
        <x:v>禁止用关系名称直接替代实际效应</x:v>
      </x:c>
      <x:c r="X58" s="68" t="str">
        <x:v>特殊格局与动态岁运另模块处理</x:v>
      </x:c>
      <x:c r="Y58" s="84" t="str">
        <x:v>按证据修正有效旺衰</x:v>
      </x:c>
      <x:c r="Z58" s="68" t="str">
        <x:v>不得直接推出喜忌用神</x:v>
      </x:c>
      <x:c r="AA58" s="84" t="str">
        <x:v>连续泄流</x:v>
      </x:c>
      <x:c r="AB58" s="84" t="str">
        <x:v>力量沿连续生化链顺畅导出时，源头泄力通常高于单段泄出。</x:v>
      </x:c>
      <x:c r="AC58" s="82" t="str">
        <x:v>较高</x:v>
      </x:c>
      <x:c r="AD58" s="82" t="str">
        <x:v>现代综合</x:v>
      </x:c>
      <x:c r="AE58" s="68" t="str">
        <x:v>有效力量必须承接原始力量与实际效应，逐对象、逐节点修正。</x:v>
      </x:c>
      <x:c r="AF58" s="68" t="str">
        <x:v>泄神有承载、链路顺畅时泄力才高。</x:v>
      </x:c>
      <x:c r="AG58" s="90" t="str">
        <x:v>只要出现下游五行就按重泄处理。</x:v>
      </x:c>
      <x:c r="AH58" s="68" t="str">
        <x:v>https://zh.wikisource.org/zh-hans/滴天髓 ; https://zh.wikisource.org/zh-hans/淵海子平 ; https://zh.wikisource.org/wiki/三命通會</x:v>
      </x:c>
      <x:c r="AI58" s="82" t="str">
        <x:v>采用</x:v>
      </x:c>
      <x:c r="AJ58" s="82" t="str">
        <x:v>初审</x:v>
      </x:c>
      <x:c r="AK58" s="87" t="n">
        <x:v>46255</x:v>
      </x:c>
    </x:row>
    <x:row r="59">
      <x:c r="A59" s="72" t="str">
        <x:f>IF(OR(C59="",D59=""),"",B59&amp;"-"&amp;UPPER(C59)&amp;"-"&amp;TEXT(D59,"0000")&amp;"-"&amp;E59)</x:f>
        <x:v>M08-LEAK-0053-V1.0</x:v>
      </x:c>
      <x:c r="B59" s="74" t="str">
        <x:v>M08</x:v>
      </x:c>
      <x:c r="C59" s="74" t="str">
        <x:v>LEAK</x:v>
      </x:c>
      <x:c r="D59" s="79" t="n">
        <x:v>53</x:v>
      </x:c>
      <x:c r="E59" s="74" t="str">
        <x:v>V1.0</x:v>
      </x:c>
      <x:c r="F59" s="68" t="str">
        <x:v>目标极弱时再遇强泄可形成过泄候选</x:v>
      </x:c>
      <x:c r="G59" s="82" t="str">
        <x:v>结构层</x:v>
      </x:c>
      <x:c r="H59" s="68" t="str">
        <x:v>旺衰极端修正</x:v>
      </x:c>
      <x:c r="I59" s="68" t="str">
        <x:v>目标五行</x:v>
      </x:c>
      <x:c r="J59" s="68" t="str">
        <x:v>原始弱</x:v>
      </x:c>
      <x:c r="K59" s="68" t="str">
        <x:v>强泄神有效</x:v>
      </x:c>
      <x:c r="L59" s="68" t="str">
        <x:v>显著下调并标记过泄风险</x:v>
      </x:c>
      <x:c r="M59" s="82" t="str">
        <x:v>减弱</x:v>
      </x:c>
      <x:c r="N59" s="82" t="str">
        <x:v>强</x:v>
      </x:c>
      <x:c r="O59" s="82" t="str">
        <x:v>否</x:v>
      </x:c>
      <x:c r="P59" s="82" t="str">
        <x:v>否</x:v>
      </x:c>
      <x:c r="Q59" s="82" t="str">
        <x:v>否</x:v>
      </x:c>
      <x:c r="R59" s="82" t="str">
        <x:v>是</x:v>
      </x:c>
      <x:c r="S59" s="68" t="str">
        <x:v>前置模块已完成</x:v>
      </x:c>
      <x:c r="T59" s="68" t="str">
        <x:v>作用条件真实成立</x:v>
      </x:c>
      <x:c r="U59" s="68" t="str">
        <x:v>得令、有根、有援可增强</x:v>
      </x:c>
      <x:c r="V59" s="68" t="str">
        <x:v>失令、孤立或受制可削弱</x:v>
      </x:c>
      <x:c r="W59" s="90" t="str">
        <x:v>禁止用关系名称直接替代实际效应</x:v>
      </x:c>
      <x:c r="X59" s="68" t="str">
        <x:v>特殊格局与动态岁运另模块处理</x:v>
      </x:c>
      <x:c r="Y59" s="84" t="str">
        <x:v>按证据修正有效旺衰</x:v>
      </x:c>
      <x:c r="Z59" s="68" t="str">
        <x:v>不得直接推出喜忌用神</x:v>
      </x:c>
      <x:c r="AA59" s="84" t="str">
        <x:v>过泄</x:v>
      </x:c>
      <x:c r="AB59" s="84" t="str">
        <x:v>弱目标再遇强泄时，有效力量可能进一步下探。</x:v>
      </x:c>
      <x:c r="AC59" s="82" t="str">
        <x:v>较高</x:v>
      </x:c>
      <x:c r="AD59" s="82" t="str">
        <x:v>现代综合</x:v>
      </x:c>
      <x:c r="AE59" s="68" t="str">
        <x:v>有效力量必须承接原始力量与实际效应，逐对象、逐节点修正。</x:v>
      </x:c>
      <x:c r="AF59" s="68" t="str">
        <x:v>泄神有承载、链路顺畅时泄力才高。</x:v>
      </x:c>
      <x:c r="AG59" s="90" t="str">
        <x:v>只要出现下游五行就按重泄处理。</x:v>
      </x:c>
      <x:c r="AH59" s="68" t="str">
        <x:v>https://zh.wikisource.org/zh-hans/滴天髓 ; https://zh.wikisource.org/zh-hans/淵海子平 ; https://zh.wikisource.org/wiki/三命通會</x:v>
      </x:c>
      <x:c r="AI59" s="82" t="str">
        <x:v>采用</x:v>
      </x:c>
      <x:c r="AJ59" s="82" t="str">
        <x:v>初审</x:v>
      </x:c>
      <x:c r="AK59" s="87" t="n">
        <x:v>46255</x:v>
      </x:c>
    </x:row>
    <x:row r="60">
      <x:c r="A60" s="72" t="str">
        <x:f>IF(OR(C60="",D60=""),"",B60&amp;"-"&amp;UPPER(C60)&amp;"-"&amp;TEXT(D60,"0000")&amp;"-"&amp;E60)</x:f>
        <x:v>M08-LEAK-0054-V1.0</x:v>
      </x:c>
      <x:c r="B60" s="74" t="str">
        <x:v>M08</x:v>
      </x:c>
      <x:c r="C60" s="74" t="str">
        <x:v>LEAK</x:v>
      </x:c>
      <x:c r="D60" s="79" t="n">
        <x:v>54</x:v>
      </x:c>
      <x:c r="E60" s="74" t="str">
        <x:v>V1.0</x:v>
      </x:c>
      <x:c r="F60" s="68" t="str">
        <x:v>泄气修正与喜忌判断分离</x:v>
      </x:c>
      <x:c r="G60" s="82" t="str">
        <x:v>结构层</x:v>
      </x:c>
      <x:c r="H60" s="68" t="str">
        <x:v>M08边界</x:v>
      </x:c>
      <x:c r="I60" s="68" t="str">
        <x:v>目标五行</x:v>
      </x:c>
      <x:c r="J60" s="68" t="str">
        <x:v>任意</x:v>
      </x:c>
      <x:c r="K60" s="68" t="str">
        <x:v>发生泄气</x:v>
      </x:c>
      <x:c r="L60" s="68" t="str">
        <x:v>只修正力量，不判断泄秀是否为喜</x:v>
      </x:c>
      <x:c r="M60" s="82" t="str">
        <x:v>不变</x:v>
      </x:c>
      <x:c r="N60" s="82" t="str">
        <x:v>弱</x:v>
      </x:c>
      <x:c r="O60" s="82" t="str">
        <x:v>否</x:v>
      </x:c>
      <x:c r="P60" s="82" t="str">
        <x:v>否</x:v>
      </x:c>
      <x:c r="Q60" s="82" t="str">
        <x:v>否</x:v>
      </x:c>
      <x:c r="R60" s="82" t="str">
        <x:v>是</x:v>
      </x:c>
      <x:c r="S60" s="68" t="str">
        <x:v>前置模块已完成</x:v>
      </x:c>
      <x:c r="T60" s="68" t="str">
        <x:v>作用条件真实成立</x:v>
      </x:c>
      <x:c r="U60" s="68" t="str">
        <x:v>得令、有根、有援可增强</x:v>
      </x:c>
      <x:c r="V60" s="68" t="str">
        <x:v>失令、孤立或受制可削弱</x:v>
      </x:c>
      <x:c r="W60" s="90" t="str">
        <x:v>禁止用关系名称直接替代实际效应</x:v>
      </x:c>
      <x:c r="X60" s="68" t="str">
        <x:v>特殊格局与动态岁运另模块处理</x:v>
      </x:c>
      <x:c r="Y60" s="84" t="str">
        <x:v>按证据修正有效旺衰</x:v>
      </x:c>
      <x:c r="Z60" s="68" t="str">
        <x:v>不得直接推出喜忌用神</x:v>
      </x:c>
      <x:c r="AA60" s="84" t="str">
        <x:v>泄气边界</x:v>
      </x:c>
      <x:c r="AB60" s="84" t="str">
        <x:v>泄气在M08只代表力量外流，是否形成好结构由后续模块判断。</x:v>
      </x:c>
      <x:c r="AC60" s="82" t="str">
        <x:v>较高</x:v>
      </x:c>
      <x:c r="AD60" s="82" t="str">
        <x:v>现代综合</x:v>
      </x:c>
      <x:c r="AE60" s="68" t="str">
        <x:v>有效力量必须承接原始力量与实际效应，逐对象、逐节点修正。</x:v>
      </x:c>
      <x:c r="AF60" s="68" t="str">
        <x:v>泄神有承载、链路顺畅时泄力才高。</x:v>
      </x:c>
      <x:c r="AG60" s="90" t="str">
        <x:v>只要出现下游五行就按重泄处理。</x:v>
      </x:c>
      <x:c r="AH60" s="68" t="str">
        <x:v>https://zh.wikisource.org/zh-hans/滴天髓 ; https://zh.wikisource.org/zh-hans/淵海子平 ; https://zh.wikisource.org/wiki/三命通會</x:v>
      </x:c>
      <x:c r="AI60" s="82" t="str">
        <x:v>采用</x:v>
      </x:c>
      <x:c r="AJ60" s="82" t="str">
        <x:v>初审</x:v>
      </x:c>
      <x:c r="AK60" s="87" t="n">
        <x:v>46255</x:v>
      </x:c>
    </x:row>
    <x:row r="61">
      <x:c r="A61" s="72" t="str">
        <x:f>IF(OR(C61="",D61=""),"",B61&amp;"-"&amp;UPPER(C61)&amp;"-"&amp;TEXT(D61,"0000")&amp;"-"&amp;E61)</x:f>
        <x:v>M08-DRAIN-0055-V1.0</x:v>
      </x:c>
      <x:c r="B61" s="74" t="str">
        <x:v>M08</x:v>
      </x:c>
      <x:c r="C61" s="74" t="str">
        <x:v>DRAIN</x:v>
      </x:c>
      <x:c r="D61" s="79" t="n">
        <x:v>55</x:v>
      </x:c>
      <x:c r="E61" s="74" t="str">
        <x:v>V1.0</x:v>
      </x:c>
      <x:c r="F61" s="68" t="str">
        <x:v>目标克制强耗对象时自身发生明显耗力</x:v>
      </x:c>
      <x:c r="G61" s="82" t="str">
        <x:v>结构层</x:v>
      </x:c>
      <x:c r="H61" s="68" t="str">
        <x:v>五行相克/耗</x:v>
      </x:c>
      <x:c r="I61" s="68" t="str">
        <x:v>目标五行</x:v>
      </x:c>
      <x:c r="J61" s="68" t="str">
        <x:v>原始有力</x:v>
      </x:c>
      <x:c r="K61" s="68" t="str">
        <x:v>主动克制强对象</x:v>
      </x:c>
      <x:c r="L61" s="68" t="str">
        <x:v>下调目标可保有力量</x:v>
      </x:c>
      <x:c r="M61" s="82" t="str">
        <x:v>减弱</x:v>
      </x:c>
      <x:c r="N61" s="82" t="str">
        <x:v>中</x:v>
      </x:c>
      <x:c r="O61" s="82" t="str">
        <x:v>否</x:v>
      </x:c>
      <x:c r="P61" s="82" t="str">
        <x:v>否</x:v>
      </x:c>
      <x:c r="Q61" s="82" t="str">
        <x:v>否</x:v>
      </x:c>
      <x:c r="R61" s="82" t="str">
        <x:v>是</x:v>
      </x:c>
      <x:c r="S61" s="68" t="str">
        <x:v>前置模块已完成</x:v>
      </x:c>
      <x:c r="T61" s="68" t="str">
        <x:v>作用条件真实成立</x:v>
      </x:c>
      <x:c r="U61" s="68" t="str">
        <x:v>得令、有根、有援可增强</x:v>
      </x:c>
      <x:c r="V61" s="68" t="str">
        <x:v>失令、孤立或受制可削弱</x:v>
      </x:c>
      <x:c r="W61" s="90" t="str">
        <x:v>禁止用关系名称直接替代实际效应</x:v>
      </x:c>
      <x:c r="X61" s="68" t="str">
        <x:v>特殊格局与动态岁运另模块处理</x:v>
      </x:c>
      <x:c r="Y61" s="84" t="str">
        <x:v>按证据修正有效旺衰</x:v>
      </x:c>
      <x:c r="Z61" s="68" t="str">
        <x:v>不得直接推出喜忌用神</x:v>
      </x:c>
      <x:c r="AA61" s="84" t="str">
        <x:v>主动耗力</x:v>
      </x:c>
      <x:c r="AB61" s="84" t="str">
        <x:v>目标长期克制强对象会消耗自身有效力量。</x:v>
      </x:c>
      <x:c r="AC61" s="82" t="str">
        <x:v>较高</x:v>
      </x:c>
      <x:c r="AD61" s="82" t="str">
        <x:v>现代综合</x:v>
      </x:c>
      <x:c r="AE61" s="68" t="str">
        <x:v>有效力量必须承接原始力量与实际效应，逐对象、逐节点修正。</x:v>
      </x:c>
      <x:c r="AF61" s="68" t="str">
        <x:v>被克对象越强、越多、越能承载，目标耗力越明显。</x:v>
      </x:c>
      <x:c r="AG61" s="90" t="str">
        <x:v>见到被克五行就按固定耗损处理。</x:v>
      </x:c>
      <x:c r="AH61" s="68" t="str">
        <x:v>https://zh.wikisource.org/zh-hans/滴天髓 ; https://zh.wikisource.org/zh-hans/淵海子平 ; https://zh.wikisource.org/wiki/三命通會</x:v>
      </x:c>
      <x:c r="AI61" s="82" t="str">
        <x:v>采用</x:v>
      </x:c>
      <x:c r="AJ61" s="82" t="str">
        <x:v>初审</x:v>
      </x:c>
      <x:c r="AK61" s="87" t="n">
        <x:v>46255</x:v>
      </x:c>
    </x:row>
    <x:row r="62">
      <x:c r="A62" s="72" t="str">
        <x:f>IF(OR(C62="",D62=""),"",B62&amp;"-"&amp;UPPER(C62)&amp;"-"&amp;TEXT(D62,"0000")&amp;"-"&amp;E62)</x:f>
        <x:v>M08-DRAIN-0056-V1.0</x:v>
      </x:c>
      <x:c r="B62" s="74" t="str">
        <x:v>M08</x:v>
      </x:c>
      <x:c r="C62" s="74" t="str">
        <x:v>DRAIN</x:v>
      </x:c>
      <x:c r="D62" s="79" t="n">
        <x:v>56</x:v>
      </x:c>
      <x:c r="E62" s="74" t="str">
        <x:v>V1.0</x:v>
      </x:c>
      <x:c r="F62" s="68" t="str">
        <x:v>被克对象弱时目标耗力有限</x:v>
      </x:c>
      <x:c r="G62" s="82" t="str">
        <x:v>结构层</x:v>
      </x:c>
      <x:c r="H62" s="68" t="str">
        <x:v>五行相克/耗</x:v>
      </x:c>
      <x:c r="I62" s="68" t="str">
        <x:v>目标五行</x:v>
      </x:c>
      <x:c r="J62" s="68" t="str">
        <x:v>原始有力</x:v>
      </x:c>
      <x:c r="K62" s="68" t="str">
        <x:v>主动克制弱对象</x:v>
      </x:c>
      <x:c r="L62" s="68" t="str">
        <x:v>只作轻度耗力</x:v>
      </x:c>
      <x:c r="M62" s="82" t="str">
        <x:v>减弱</x:v>
      </x:c>
      <x:c r="N62" s="82" t="str">
        <x:v>弱</x:v>
      </x:c>
      <x:c r="O62" s="82" t="str">
        <x:v>否</x:v>
      </x:c>
      <x:c r="P62" s="82" t="str">
        <x:v>否</x:v>
      </x:c>
      <x:c r="Q62" s="82" t="str">
        <x:v>否</x:v>
      </x:c>
      <x:c r="R62" s="82" t="str">
        <x:v>是</x:v>
      </x:c>
      <x:c r="S62" s="68" t="str">
        <x:v>前置模块已完成</x:v>
      </x:c>
      <x:c r="T62" s="68" t="str">
        <x:v>作用条件真实成立</x:v>
      </x:c>
      <x:c r="U62" s="68" t="str">
        <x:v>得令、有根、有援可增强</x:v>
      </x:c>
      <x:c r="V62" s="68" t="str">
        <x:v>失令、孤立或受制可削弱</x:v>
      </x:c>
      <x:c r="W62" s="90" t="str">
        <x:v>禁止用关系名称直接替代实际效应</x:v>
      </x:c>
      <x:c r="X62" s="68" t="str">
        <x:v>特殊格局与动态岁运另模块处理</x:v>
      </x:c>
      <x:c r="Y62" s="84" t="str">
        <x:v>按证据修正有效旺衰</x:v>
      </x:c>
      <x:c r="Z62" s="68" t="str">
        <x:v>不得直接推出喜忌用神</x:v>
      </x:c>
      <x:c r="AA62" s="84" t="str">
        <x:v>弱耗低权重</x:v>
      </x:c>
      <x:c r="AB62" s="84" t="str">
        <x:v>被克对象弱时，目标为维持克制所付出的实际耗力有限。</x:v>
      </x:c>
      <x:c r="AC62" s="82" t="str">
        <x:v>较高</x:v>
      </x:c>
      <x:c r="AD62" s="82" t="str">
        <x:v>现代综合</x:v>
      </x:c>
      <x:c r="AE62" s="68" t="str">
        <x:v>有效力量必须承接原始力量与实际效应，逐对象、逐节点修正。</x:v>
      </x:c>
      <x:c r="AF62" s="68" t="str">
        <x:v>被克对象越强、越多、越能承载，目标耗力越明显。</x:v>
      </x:c>
      <x:c r="AG62" s="90" t="str">
        <x:v>见到被克五行就按固定耗损处理。</x:v>
      </x:c>
      <x:c r="AH62" s="68" t="str">
        <x:v>https://zh.wikisource.org/zh-hans/滴天髓 ; https://zh.wikisource.org/zh-hans/淵海子平 ; https://zh.wikisource.org/wiki/三命通會</x:v>
      </x:c>
      <x:c r="AI62" s="82" t="str">
        <x:v>采用</x:v>
      </x:c>
      <x:c r="AJ62" s="82" t="str">
        <x:v>初审</x:v>
      </x:c>
      <x:c r="AK62" s="87" t="n">
        <x:v>46255</x:v>
      </x:c>
    </x:row>
    <x:row r="63">
      <x:c r="A63" s="72" t="str">
        <x:f>IF(OR(C63="",D63=""),"",B63&amp;"-"&amp;UPPER(C63)&amp;"-"&amp;TEXT(D63,"0000")&amp;"-"&amp;E63)</x:f>
        <x:v>M08-DRAIN-0057-V1.0</x:v>
      </x:c>
      <x:c r="B63" s="74" t="str">
        <x:v>M08</x:v>
      </x:c>
      <x:c r="C63" s="74" t="str">
        <x:v>DRAIN</x:v>
      </x:c>
      <x:c r="D63" s="79" t="n">
        <x:v>57</x:v>
      </x:c>
      <x:c r="E63" s="74" t="str">
        <x:v>V1.0</x:v>
      </x:c>
      <x:c r="F63" s="68" t="str">
        <x:v>多个强耗对象会提高总耗但受目标容量上限</x:v>
      </x:c>
      <x:c r="G63" s="82" t="str">
        <x:v>结构层</x:v>
      </x:c>
      <x:c r="H63" s="68" t="str">
        <x:v>容量约束</x:v>
      </x:c>
      <x:c r="I63" s="68" t="str">
        <x:v>目标五行</x:v>
      </x:c>
      <x:c r="J63" s="68" t="str">
        <x:v>多耗对象</x:v>
      </x:c>
      <x:c r="K63" s="68" t="str">
        <x:v>同时克制多个有效对象</x:v>
      </x:c>
      <x:c r="L63" s="68" t="str">
        <x:v>提高总耗力并设置上限</x:v>
      </x:c>
      <x:c r="M63" s="82" t="str">
        <x:v>减弱</x:v>
      </x:c>
      <x:c r="N63" s="82" t="str">
        <x:v>强</x:v>
      </x:c>
      <x:c r="O63" s="82" t="str">
        <x:v>否</x:v>
      </x:c>
      <x:c r="P63" s="82" t="str">
        <x:v>否</x:v>
      </x:c>
      <x:c r="Q63" s="82" t="str">
        <x:v>否</x:v>
      </x:c>
      <x:c r="R63" s="82" t="str">
        <x:v>是</x:v>
      </x:c>
      <x:c r="S63" s="68" t="str">
        <x:v>前置模块已完成</x:v>
      </x:c>
      <x:c r="T63" s="68" t="str">
        <x:v>作用条件真实成立</x:v>
      </x:c>
      <x:c r="U63" s="68" t="str">
        <x:v>得令、有根、有援可增强</x:v>
      </x:c>
      <x:c r="V63" s="68" t="str">
        <x:v>失令、孤立或受制可削弱</x:v>
      </x:c>
      <x:c r="W63" s="90" t="str">
        <x:v>禁止用关系名称直接替代实际效应</x:v>
      </x:c>
      <x:c r="X63" s="68" t="str">
        <x:v>特殊格局与动态岁运另模块处理</x:v>
      </x:c>
      <x:c r="Y63" s="84" t="str">
        <x:v>按证据修正有效旺衰</x:v>
      </x:c>
      <x:c r="Z63" s="68" t="str">
        <x:v>不得直接推出喜忌用神</x:v>
      </x:c>
      <x:c r="AA63" s="84" t="str">
        <x:v>多路耗力</x:v>
      </x:c>
      <x:c r="AB63" s="84" t="str">
        <x:v>多个强耗对象会增加总消耗，但仍受目标自身容量约束。</x:v>
      </x:c>
      <x:c r="AC63" s="82" t="str">
        <x:v>较高</x:v>
      </x:c>
      <x:c r="AD63" s="82" t="str">
        <x:v>现代综合</x:v>
      </x:c>
      <x:c r="AE63" s="68" t="str">
        <x:v>有效力量必须承接原始力量与实际效应，逐对象、逐节点修正。</x:v>
      </x:c>
      <x:c r="AF63" s="68" t="str">
        <x:v>被克对象越强、越多、越能承载，目标耗力越明显。</x:v>
      </x:c>
      <x:c r="AG63" s="90" t="str">
        <x:v>见到被克五行就按固定耗损处理。</x:v>
      </x:c>
      <x:c r="AH63" s="68" t="str">
        <x:v>https://zh.wikisource.org/zh-hans/滴天髓 ; https://zh.wikisource.org/zh-hans/淵海子平 ; https://zh.wikisource.org/wiki/三命通會</x:v>
      </x:c>
      <x:c r="AI63" s="82" t="str">
        <x:v>采用</x:v>
      </x:c>
      <x:c r="AJ63" s="82" t="str">
        <x:v>初审</x:v>
      </x:c>
      <x:c r="AK63" s="87" t="n">
        <x:v>46255</x:v>
      </x:c>
    </x:row>
    <x:row r="64">
      <x:c r="A64" s="72" t="str">
        <x:f>IF(OR(C64="",D64=""),"",B64&amp;"-"&amp;UPPER(C64)&amp;"-"&amp;TEXT(D64,"0000")&amp;"-"&amp;E64)</x:f>
        <x:v>M08-DRAIN-0058-V1.0</x:v>
      </x:c>
      <x:c r="B64" s="74" t="str">
        <x:v>M08</x:v>
      </x:c>
      <x:c r="C64" s="74" t="str">
        <x:v>DRAIN</x:v>
      </x:c>
      <x:c r="D64" s="79" t="n">
        <x:v>58</x:v>
      </x:c>
      <x:c r="E64" s="74" t="str">
        <x:v>V1.0</x:v>
      </x:c>
      <x:c r="F64" s="68" t="str">
        <x:v>耗对象被第三方削弱时目标耗力下降</x:v>
      </x:c>
      <x:c r="G64" s="82" t="str">
        <x:v>结构层</x:v>
      </x:c>
      <x:c r="H64" s="68" t="str">
        <x:v>制化链</x:v>
      </x:c>
      <x:c r="I64" s="68" t="str">
        <x:v>目标五行</x:v>
      </x:c>
      <x:c r="J64" s="68" t="str">
        <x:v>主动克耗</x:v>
      </x:c>
      <x:c r="K64" s="68" t="str">
        <x:v>被克对象同时受第三方克泄</x:v>
      </x:c>
      <x:c r="L64" s="68" t="str">
        <x:v>减少目标维持克制的输出</x:v>
      </x:c>
      <x:c r="M64" s="82" t="str">
        <x:v>增强</x:v>
      </x:c>
      <x:c r="N64" s="82" t="str">
        <x:v>中</x:v>
      </x:c>
      <x:c r="O64" s="82" t="str">
        <x:v>否</x:v>
      </x:c>
      <x:c r="P64" s="82" t="str">
        <x:v>否</x:v>
      </x:c>
      <x:c r="Q64" s="82" t="str">
        <x:v>否</x:v>
      </x:c>
      <x:c r="R64" s="82" t="str">
        <x:v>是</x:v>
      </x:c>
      <x:c r="S64" s="68" t="str">
        <x:v>前置模块已完成</x:v>
      </x:c>
      <x:c r="T64" s="68" t="str">
        <x:v>作用条件真实成立</x:v>
      </x:c>
      <x:c r="U64" s="68" t="str">
        <x:v>得令、有根、有援可增强</x:v>
      </x:c>
      <x:c r="V64" s="68" t="str">
        <x:v>失令、孤立或受制可削弱</x:v>
      </x:c>
      <x:c r="W64" s="90" t="str">
        <x:v>禁止用关系名称直接替代实际效应</x:v>
      </x:c>
      <x:c r="X64" s="68" t="str">
        <x:v>特殊格局与动态岁运另模块处理</x:v>
      </x:c>
      <x:c r="Y64" s="84" t="str">
        <x:v>按证据修正有效旺衰</x:v>
      </x:c>
      <x:c r="Z64" s="68" t="str">
        <x:v>不得直接推出喜忌用神</x:v>
      </x:c>
      <x:c r="AA64" s="84" t="str">
        <x:v>耗对象被削</x:v>
      </x:c>
      <x:c r="AB64" s="84" t="str">
        <x:v>被克对象被其他力量削弱后，目标用于克制它的耗力相应下降。</x:v>
      </x:c>
      <x:c r="AC64" s="82" t="str">
        <x:v>较高</x:v>
      </x:c>
      <x:c r="AD64" s="82" t="str">
        <x:v>现代综合</x:v>
      </x:c>
      <x:c r="AE64" s="68" t="str">
        <x:v>有效力量必须承接原始力量与实际效应，逐对象、逐节点修正。</x:v>
      </x:c>
      <x:c r="AF64" s="68" t="str">
        <x:v>被克对象越强、越多、越能承载，目标耗力越明显。</x:v>
      </x:c>
      <x:c r="AG64" s="90" t="str">
        <x:v>见到被克五行就按固定耗损处理。</x:v>
      </x:c>
      <x:c r="AH64" s="68" t="str">
        <x:v>https://zh.wikisource.org/zh-hans/滴天髓 ; https://zh.wikisource.org/zh-hans/淵海子平 ; https://zh.wikisource.org/wiki/三命通會</x:v>
      </x:c>
      <x:c r="AI64" s="82" t="str">
        <x:v>采用</x:v>
      </x:c>
      <x:c r="AJ64" s="82" t="str">
        <x:v>初审</x:v>
      </x:c>
      <x:c r="AK64" s="87" t="n">
        <x:v>46255</x:v>
      </x:c>
    </x:row>
    <x:row r="65">
      <x:c r="A65" s="72" t="str">
        <x:f>IF(OR(C65="",D65=""),"",B65&amp;"-"&amp;UPPER(C65)&amp;"-"&amp;TEXT(D65,"0000")&amp;"-"&amp;E65)</x:f>
        <x:v>M08-DRAIN-0059-V1.0</x:v>
      </x:c>
      <x:c r="B65" s="74" t="str">
        <x:v>M08</x:v>
      </x:c>
      <x:c r="C65" s="74" t="str">
        <x:v>DRAIN</x:v>
      </x:c>
      <x:c r="D65" s="79" t="n">
        <x:v>59</x:v>
      </x:c>
      <x:c r="E65" s="74" t="str">
        <x:v>V1.0</x:v>
      </x:c>
      <x:c r="F65" s="68" t="str">
        <x:v>目标被合绊时主动克耗下降但功能也受限</x:v>
      </x:c>
      <x:c r="G65" s="82" t="str">
        <x:v>结构层</x:v>
      </x:c>
      <x:c r="H65" s="68" t="str">
        <x:v>M06合绊</x:v>
      </x:c>
      <x:c r="I65" s="68" t="str">
        <x:v>目标五行</x:v>
      </x:c>
      <x:c r="J65" s="68" t="str">
        <x:v>本可克耗</x:v>
      </x:c>
      <x:c r="K65" s="68" t="str">
        <x:v>目标自身被合绊</x:v>
      </x:c>
      <x:c r="L65" s="68" t="str">
        <x:v>减少主动耗出，同时降低克制功能</x:v>
      </x:c>
      <x:c r="M65" s="82" t="str">
        <x:v>冻结</x:v>
      </x:c>
      <x:c r="N65" s="82" t="str">
        <x:v>中</x:v>
      </x:c>
      <x:c r="O65" s="82" t="str">
        <x:v>否</x:v>
      </x:c>
      <x:c r="P65" s="82" t="str">
        <x:v>否</x:v>
      </x:c>
      <x:c r="Q65" s="82" t="str">
        <x:v>否</x:v>
      </x:c>
      <x:c r="R65" s="82" t="str">
        <x:v>是</x:v>
      </x:c>
      <x:c r="S65" s="68" t="str">
        <x:v>前置模块已完成</x:v>
      </x:c>
      <x:c r="T65" s="68" t="str">
        <x:v>作用条件真实成立</x:v>
      </x:c>
      <x:c r="U65" s="68" t="str">
        <x:v>得令、有根、有援可增强</x:v>
      </x:c>
      <x:c r="V65" s="68" t="str">
        <x:v>失令、孤立或受制可削弱</x:v>
      </x:c>
      <x:c r="W65" s="90" t="str">
        <x:v>禁止用关系名称直接替代实际效应</x:v>
      </x:c>
      <x:c r="X65" s="68" t="str">
        <x:v>特殊格局与动态岁运另模块处理</x:v>
      </x:c>
      <x:c r="Y65" s="84" t="str">
        <x:v>按证据修正有效旺衰</x:v>
      </x:c>
      <x:c r="Z65" s="68" t="str">
        <x:v>不得直接推出喜忌用神</x:v>
      </x:c>
      <x:c r="AA65" s="84" t="str">
        <x:v>合绊减耗</x:v>
      </x:c>
      <x:c r="AB65" s="84" t="str">
        <x:v>目标被合绊后少耗不等于纯增力，应同时记录功能受限。</x:v>
      </x:c>
      <x:c r="AC65" s="82" t="str">
        <x:v>较高</x:v>
      </x:c>
      <x:c r="AD65" s="82" t="str">
        <x:v>现代综合</x:v>
      </x:c>
      <x:c r="AE65" s="68" t="str">
        <x:v>有效力量必须承接原始力量与实际效应，逐对象、逐节点修正。</x:v>
      </x:c>
      <x:c r="AF65" s="68" t="str">
        <x:v>被克对象越强、越多、越能承载，目标耗力越明显。</x:v>
      </x:c>
      <x:c r="AG65" s="90" t="str">
        <x:v>见到被克五行就按固定耗损处理。</x:v>
      </x:c>
      <x:c r="AH65" s="68" t="str">
        <x:v>https://zh.wikisource.org/zh-hans/滴天髓 ; https://zh.wikisource.org/zh-hans/淵海子平 ; https://zh.wikisource.org/wiki/三命通會</x:v>
      </x:c>
      <x:c r="AI65" s="82" t="str">
        <x:v>采用</x:v>
      </x:c>
      <x:c r="AJ65" s="82" t="str">
        <x:v>初审</x:v>
      </x:c>
      <x:c r="AK65" s="87" t="n">
        <x:v>46255</x:v>
      </x:c>
    </x:row>
    <x:row r="66">
      <x:c r="A66" s="72" t="str">
        <x:f>IF(OR(C66="",D66=""),"",B66&amp;"-"&amp;UPPER(C66)&amp;"-"&amp;TEXT(D66,"0000")&amp;"-"&amp;E66)</x:f>
        <x:v>M08-DRAIN-0060-V1.0</x:v>
      </x:c>
      <x:c r="B66" s="74" t="str">
        <x:v>M08</x:v>
      </x:c>
      <x:c r="C66" s="74" t="str">
        <x:v>DRAIN</x:v>
      </x:c>
      <x:c r="D66" s="79" t="n">
        <x:v>60</x:v>
      </x:c>
      <x:c r="E66" s="74" t="str">
        <x:v>V1.0</x:v>
      </x:c>
      <x:c r="F66" s="68" t="str">
        <x:v>目标极弱却面对强耗对象时可形成不任耗候选</x:v>
      </x:c>
      <x:c r="G66" s="82" t="str">
        <x:v>结构层</x:v>
      </x:c>
      <x:c r="H66" s="68" t="str">
        <x:v>旺衰承载</x:v>
      </x:c>
      <x:c r="I66" s="68" t="str">
        <x:v>目标五行</x:v>
      </x:c>
      <x:c r="J66" s="68" t="str">
        <x:v>原始弱</x:v>
      </x:c>
      <x:c r="K66" s="68" t="str">
        <x:v>被迫制约强对象</x:v>
      </x:c>
      <x:c r="L66" s="68" t="str">
        <x:v>有效力量进一步下降</x:v>
      </x:c>
      <x:c r="M66" s="82" t="str">
        <x:v>减弱</x:v>
      </x:c>
      <x:c r="N66" s="82" t="str">
        <x:v>强</x:v>
      </x:c>
      <x:c r="O66" s="82" t="str">
        <x:v>否</x:v>
      </x:c>
      <x:c r="P66" s="82" t="str">
        <x:v>否</x:v>
      </x:c>
      <x:c r="Q66" s="82" t="str">
        <x:v>否</x:v>
      </x:c>
      <x:c r="R66" s="82" t="str">
        <x:v>是</x:v>
      </x:c>
      <x:c r="S66" s="68" t="str">
        <x:v>前置模块已完成</x:v>
      </x:c>
      <x:c r="T66" s="68" t="str">
        <x:v>作用条件真实成立</x:v>
      </x:c>
      <x:c r="U66" s="68" t="str">
        <x:v>得令、有根、有援可增强</x:v>
      </x:c>
      <x:c r="V66" s="68" t="str">
        <x:v>失令、孤立或受制可削弱</x:v>
      </x:c>
      <x:c r="W66" s="90" t="str">
        <x:v>禁止用关系名称直接替代实际效应</x:v>
      </x:c>
      <x:c r="X66" s="68" t="str">
        <x:v>特殊格局与动态岁运另模块处理</x:v>
      </x:c>
      <x:c r="Y66" s="84" t="str">
        <x:v>按证据修正有效旺衰</x:v>
      </x:c>
      <x:c r="Z66" s="68" t="str">
        <x:v>不得直接推出喜忌用神</x:v>
      </x:c>
      <x:c r="AA66" s="84" t="str">
        <x:v>不任耗</x:v>
      </x:c>
      <x:c r="AB66" s="84" t="str">
        <x:v>弱目标面对强耗对象时，承载不足会使有效力量进一步下降。</x:v>
      </x:c>
      <x:c r="AC66" s="82" t="str">
        <x:v>较高</x:v>
      </x:c>
      <x:c r="AD66" s="82" t="str">
        <x:v>现代综合</x:v>
      </x:c>
      <x:c r="AE66" s="68" t="str">
        <x:v>有效力量必须承接原始力量与实际效应，逐对象、逐节点修正。</x:v>
      </x:c>
      <x:c r="AF66" s="68" t="str">
        <x:v>被克对象越强、越多、越能承载，目标耗力越明显。</x:v>
      </x:c>
      <x:c r="AG66" s="90" t="str">
        <x:v>见到被克五行就按固定耗损处理。</x:v>
      </x:c>
      <x:c r="AH66" s="68" t="str">
        <x:v>https://zh.wikisource.org/zh-hans/滴天髓 ; https://zh.wikisource.org/zh-hans/淵海子平 ; https://zh.wikisource.org/wiki/三命通會</x:v>
      </x:c>
      <x:c r="AI66" s="82" t="str">
        <x:v>采用</x:v>
      </x:c>
      <x:c r="AJ66" s="82" t="str">
        <x:v>初审</x:v>
      </x:c>
      <x:c r="AK66" s="87" t="n">
        <x:v>46255</x:v>
      </x:c>
    </x:row>
    <x:row r="67">
      <x:c r="A67" s="72" t="str">
        <x:f>IF(OR(C67="",D67=""),"",B67&amp;"-"&amp;UPPER(C67)&amp;"-"&amp;TEXT(D67,"0000")&amp;"-"&amp;E67)</x:f>
        <x:v>M08-DRAIN-0061-V1.0</x:v>
      </x:c>
      <x:c r="B67" s="74" t="str">
        <x:v>M08</x:v>
      </x:c>
      <x:c r="C67" s="74" t="str">
        <x:v>DRAIN</x:v>
      </x:c>
      <x:c r="D67" s="79" t="n">
        <x:v>61</x:v>
      </x:c>
      <x:c r="E67" s="74" t="str">
        <x:v>V1.0</x:v>
      </x:c>
      <x:c r="F67" s="68" t="str">
        <x:v>耗力与克制成果必须分别记录</x:v>
      </x:c>
      <x:c r="G67" s="82" t="str">
        <x:v>结构层</x:v>
      </x:c>
      <x:c r="H67" s="68" t="str">
        <x:v>双向生克</x:v>
      </x:c>
      <x:c r="I67" s="68" t="str">
        <x:v>目标五行</x:v>
      </x:c>
      <x:c r="J67" s="68" t="str">
        <x:v>主动克对象</x:v>
      </x:c>
      <x:c r="K67" s="68" t="str">
        <x:v>发生克制</x:v>
      </x:c>
      <x:c r="L67" s="68" t="str">
        <x:v>同时记录施克者耗力与对象受制</x:v>
      </x:c>
      <x:c r="M67" s="82" t="str">
        <x:v>条件性</x:v>
      </x:c>
      <x:c r="N67" s="82" t="str">
        <x:v>中</x:v>
      </x:c>
      <x:c r="O67" s="82" t="str">
        <x:v>否</x:v>
      </x:c>
      <x:c r="P67" s="82" t="str">
        <x:v>否</x:v>
      </x:c>
      <x:c r="Q67" s="82" t="str">
        <x:v>否</x:v>
      </x:c>
      <x:c r="R67" s="82" t="str">
        <x:v>是</x:v>
      </x:c>
      <x:c r="S67" s="68" t="str">
        <x:v>前置模块已完成</x:v>
      </x:c>
      <x:c r="T67" s="68" t="str">
        <x:v>作用条件真实成立</x:v>
      </x:c>
      <x:c r="U67" s="68" t="str">
        <x:v>得令、有根、有援可增强</x:v>
      </x:c>
      <x:c r="V67" s="68" t="str">
        <x:v>失令、孤立或受制可削弱</x:v>
      </x:c>
      <x:c r="W67" s="90" t="str">
        <x:v>禁止用关系名称直接替代实际效应</x:v>
      </x:c>
      <x:c r="X67" s="68" t="str">
        <x:v>特殊格局与动态岁运另模块处理</x:v>
      </x:c>
      <x:c r="Y67" s="84" t="str">
        <x:v>按证据修正有效旺衰</x:v>
      </x:c>
      <x:c r="Z67" s="68" t="str">
        <x:v>不得直接推出喜忌用神</x:v>
      </x:c>
      <x:c r="AA67" s="84" t="str">
        <x:v>克耗双向</x:v>
      </x:c>
      <x:c r="AB67" s="84" t="str">
        <x:v>主动克制既削弱对象，也会消耗施克者，两方修正必须分开记录。</x:v>
      </x:c>
      <x:c r="AC67" s="82" t="str">
        <x:v>较高</x:v>
      </x:c>
      <x:c r="AD67" s="82" t="str">
        <x:v>现代综合</x:v>
      </x:c>
      <x:c r="AE67" s="68" t="str">
        <x:v>有效力量必须承接原始力量与实际效应，逐对象、逐节点修正。</x:v>
      </x:c>
      <x:c r="AF67" s="68" t="str">
        <x:v>被克对象越强、越多、越能承载，目标耗力越明显。</x:v>
      </x:c>
      <x:c r="AG67" s="90" t="str">
        <x:v>见到被克五行就按固定耗损处理。</x:v>
      </x:c>
      <x:c r="AH67" s="68" t="str">
        <x:v>https://zh.wikisource.org/zh-hans/滴天髓 ; https://zh.wikisource.org/zh-hans/淵海子平 ; https://zh.wikisource.org/wiki/三命通會</x:v>
      </x:c>
      <x:c r="AI67" s="82" t="str">
        <x:v>采用</x:v>
      </x:c>
      <x:c r="AJ67" s="82" t="str">
        <x:v>初审</x:v>
      </x:c>
      <x:c r="AK67" s="87" t="n">
        <x:v>46255</x:v>
      </x:c>
    </x:row>
    <x:row r="68">
      <x:c r="A68" s="72" t="str">
        <x:f>IF(OR(C68="",D68=""),"",B68&amp;"-"&amp;UPPER(C68)&amp;"-"&amp;TEXT(D68,"0000")&amp;"-"&amp;E68)</x:f>
        <x:v>M08-DRAIN-0062-V1.0</x:v>
      </x:c>
      <x:c r="B68" s="74" t="str">
        <x:v>M08</x:v>
      </x:c>
      <x:c r="C68" s="74" t="str">
        <x:v>DRAIN</x:v>
      </x:c>
      <x:c r="D68" s="79" t="n">
        <x:v>62</x:v>
      </x:c>
      <x:c r="E68" s="74" t="str">
        <x:v>V1.0</x:v>
      </x:c>
      <x:c r="F68" s="68" t="str">
        <x:v>耗力修正不直接等同财星喜忌</x:v>
      </x:c>
      <x:c r="G68" s="82" t="str">
        <x:v>结构层</x:v>
      </x:c>
      <x:c r="H68" s="68" t="str">
        <x:v>M08边界</x:v>
      </x:c>
      <x:c r="I68" s="68" t="str">
        <x:v>目标五行</x:v>
      </x:c>
      <x:c r="J68" s="68" t="str">
        <x:v>任意</x:v>
      </x:c>
      <x:c r="K68" s="68" t="str">
        <x:v>发生耗力</x:v>
      </x:c>
      <x:c r="L68" s="68" t="str">
        <x:v>只判断五行力量变化</x:v>
      </x:c>
      <x:c r="M68" s="82" t="str">
        <x:v>不变</x:v>
      </x:c>
      <x:c r="N68" s="82" t="str">
        <x:v>弱</x:v>
      </x:c>
      <x:c r="O68" s="82" t="str">
        <x:v>否</x:v>
      </x:c>
      <x:c r="P68" s="82" t="str">
        <x:v>否</x:v>
      </x:c>
      <x:c r="Q68" s="82" t="str">
        <x:v>否</x:v>
      </x:c>
      <x:c r="R68" s="82" t="str">
        <x:v>是</x:v>
      </x:c>
      <x:c r="S68" s="68" t="str">
        <x:v>前置模块已完成</x:v>
      </x:c>
      <x:c r="T68" s="68" t="str">
        <x:v>作用条件真实成立</x:v>
      </x:c>
      <x:c r="U68" s="68" t="str">
        <x:v>得令、有根、有援可增强</x:v>
      </x:c>
      <x:c r="V68" s="68" t="str">
        <x:v>失令、孤立或受制可削弱</x:v>
      </x:c>
      <x:c r="W68" s="90" t="str">
        <x:v>禁止用关系名称直接替代实际效应</x:v>
      </x:c>
      <x:c r="X68" s="68" t="str">
        <x:v>特殊格局与动态岁运另模块处理</x:v>
      </x:c>
      <x:c r="Y68" s="84" t="str">
        <x:v>按证据修正有效旺衰</x:v>
      </x:c>
      <x:c r="Z68" s="68" t="str">
        <x:v>不得直接推出喜忌用神</x:v>
      </x:c>
      <x:c r="AA68" s="84" t="str">
        <x:v>耗力边界</x:v>
      </x:c>
      <x:c r="AB68" s="84" t="str">
        <x:v>耗力只说明力量付出，不代表对应十神必为忌神。</x:v>
      </x:c>
      <x:c r="AC68" s="82" t="str">
        <x:v>较高</x:v>
      </x:c>
      <x:c r="AD68" s="82" t="str">
        <x:v>现代综合</x:v>
      </x:c>
      <x:c r="AE68" s="68" t="str">
        <x:v>有效力量必须承接原始力量与实际效应，逐对象、逐节点修正。</x:v>
      </x:c>
      <x:c r="AF68" s="68" t="str">
        <x:v>被克对象越强、越多、越能承载，目标耗力越明显。</x:v>
      </x:c>
      <x:c r="AG68" s="90" t="str">
        <x:v>见到被克五行就按固定耗损处理。</x:v>
      </x:c>
      <x:c r="AH68" s="68" t="str">
        <x:v>https://zh.wikisource.org/zh-hans/滴天髓 ; https://zh.wikisource.org/zh-hans/淵海子平 ; https://zh.wikisource.org/wiki/三命通會</x:v>
      </x:c>
      <x:c r="AI68" s="82" t="str">
        <x:v>采用</x:v>
      </x:c>
      <x:c r="AJ68" s="82" t="str">
        <x:v>初审</x:v>
      </x:c>
      <x:c r="AK68" s="87" t="n">
        <x:v>46255</x:v>
      </x:c>
    </x:row>
    <x:row r="69">
      <x:c r="A69" s="72" t="str">
        <x:f>IF(OR(C69="",D69=""),"",B69&amp;"-"&amp;UPPER(C69)&amp;"-"&amp;TEXT(D69,"0000")&amp;"-"&amp;E69)</x:f>
        <x:v>M08-TRANS-0063-V1.0</x:v>
      </x:c>
      <x:c r="B69" s="74" t="str">
        <x:v>M08</x:v>
      </x:c>
      <x:c r="C69" s="74" t="str">
        <x:v>TRANS</x:v>
      </x:c>
      <x:c r="D69" s="79" t="n">
        <x:v>63</x:v>
      </x:c>
      <x:c r="E69" s="74" t="str">
        <x:v>V1.0</x:v>
      </x:c>
      <x:c r="F69" s="68" t="str">
        <x:v>天干五合仅合意时不改变五行有效属性</x:v>
      </x:c>
      <x:c r="G69" s="82" t="str">
        <x:v>结构层</x:v>
      </x:c>
      <x:c r="H69" s="68" t="str">
        <x:v>M06天干合</x:v>
      </x:c>
      <x:c r="I69" s="68" t="str">
        <x:v>参与/化神五行</x:v>
      </x:c>
      <x:c r="J69" s="68" t="str">
        <x:v>原始属性</x:v>
      </x:c>
      <x:c r="K69" s="68" t="str">
        <x:v>五合未化</x:v>
      </x:c>
      <x:c r="L69" s="68" t="str">
        <x:v>保留原属性，仅修正牵制</x:v>
      </x:c>
      <x:c r="M69" s="82" t="str">
        <x:v>条件性</x:v>
      </x:c>
      <x:c r="N69" s="82" t="str">
        <x:v>中</x:v>
      </x:c>
      <x:c r="O69" s="82" t="str">
        <x:v>条件性</x:v>
      </x:c>
      <x:c r="P69" s="82" t="str">
        <x:v>条件性</x:v>
      </x:c>
      <x:c r="Q69" s="82" t="str">
        <x:v>条件性</x:v>
      </x:c>
      <x:c r="R69" s="82" t="str">
        <x:v>是</x:v>
      </x:c>
      <x:c r="S69" s="68" t="str">
        <x:v>M06已完成合化/成局效应判断</x:v>
      </x:c>
      <x:c r="T69" s="68" t="str">
        <x:v>必须区分合意、合绊、候选与实质成局</x:v>
      </x:c>
      <x:c r="U69" s="68" t="str">
        <x:v>得令、有根、有援可增强</x:v>
      </x:c>
      <x:c r="V69" s="68" t="str">
        <x:v>失令、孤立或受制可削弱</x:v>
      </x:c>
      <x:c r="W69" s="90" t="str">
        <x:v>禁止用关系名称直接替代实际效应</x:v>
      </x:c>
      <x:c r="X69" s="68" t="str">
        <x:v>特殊格局与动态岁运另模块处理</x:v>
      </x:c>
      <x:c r="Y69" s="84" t="str">
        <x:v>按证据修正有效旺衰</x:v>
      </x:c>
      <x:c r="Z69" s="68" t="str">
        <x:v>不得直接推出喜忌用神</x:v>
      </x:c>
      <x:c r="AA69" s="84" t="str">
        <x:v>五合未化</x:v>
      </x:c>
      <x:c r="AB69" s="84" t="str">
        <x:v>天干五合未满足合化条件时，原五行属性继续有效。</x:v>
      </x:c>
      <x:c r="AC69" s="82" t="str">
        <x:v>较高</x:v>
      </x:c>
      <x:c r="AD69" s="82" t="str">
        <x:v>现代综合</x:v>
      </x:c>
      <x:c r="AE69" s="68" t="str">
        <x:v>有效力量必须承接原始力量与实际效应，逐对象、逐节点修正。</x:v>
      </x:c>
      <x:c r="AF69" s="68" t="str">
        <x:v>成局严格成立时才重分配属性与势能。</x:v>
      </x:c>
      <x:c r="AG69" s="90" t="str">
        <x:v>固定配对或三支齐全就直接全量改性。</x:v>
      </x:c>
      <x:c r="AH69" s="68" t="str">
        <x:v>https://zh.wikisource.org/zh-hans/滴天髓 ; https://zh.wikisource.org/zh-hans/淵海子平 ; https://zh.wikisource.org/wiki/三命通會</x:v>
      </x:c>
      <x:c r="AI69" s="82" t="str">
        <x:v>采用</x:v>
      </x:c>
      <x:c r="AJ69" s="82" t="str">
        <x:v>初审</x:v>
      </x:c>
      <x:c r="AK69" s="87" t="n">
        <x:v>46255</x:v>
      </x:c>
    </x:row>
    <x:row r="70">
      <x:c r="A70" s="72" t="str">
        <x:f>IF(OR(C70="",D70=""),"",B70&amp;"-"&amp;UPPER(C70)&amp;"-"&amp;TEXT(D70,"0000")&amp;"-"&amp;E70)</x:f>
        <x:v>M08-TRANS-0064-V1.0</x:v>
      </x:c>
      <x:c r="B70" s="74" t="str">
        <x:v>M08</x:v>
      </x:c>
      <x:c r="C70" s="74" t="str">
        <x:v>TRANS</x:v>
      </x:c>
      <x:c r="D70" s="79" t="n">
        <x:v>64</x:v>
      </x:c>
      <x:c r="E70" s="74" t="str">
        <x:v>V1.0</x:v>
      </x:c>
      <x:c r="F70" s="68" t="str">
        <x:v>天干五合化神成立时按化神重新分配力量</x:v>
      </x:c>
      <x:c r="G70" s="82" t="str">
        <x:v>结构层</x:v>
      </x:c>
      <x:c r="H70" s="68" t="str">
        <x:v>M06天干合化</x:v>
      </x:c>
      <x:c r="I70" s="68" t="str">
        <x:v>参与/化神五行</x:v>
      </x:c>
      <x:c r="J70" s="68" t="str">
        <x:v>原始属性</x:v>
      </x:c>
      <x:c r="K70" s="68" t="str">
        <x:v>合化成立</x:v>
      </x:c>
      <x:c r="L70" s="68" t="str">
        <x:v>降低原五行并增加化神势能</x:v>
      </x:c>
      <x:c r="M70" s="82" t="str">
        <x:v>转化</x:v>
      </x:c>
      <x:c r="N70" s="82" t="str">
        <x:v>强</x:v>
      </x:c>
      <x:c r="O70" s="82" t="str">
        <x:v>条件性</x:v>
      </x:c>
      <x:c r="P70" s="82" t="str">
        <x:v>条件性</x:v>
      </x:c>
      <x:c r="Q70" s="82" t="str">
        <x:v>条件性</x:v>
      </x:c>
      <x:c r="R70" s="82" t="str">
        <x:v>是</x:v>
      </x:c>
      <x:c r="S70" s="68" t="str">
        <x:v>M06已完成合化/成局效应判断</x:v>
      </x:c>
      <x:c r="T70" s="68" t="str">
        <x:v>必须区分合意、合绊、候选与实质成局</x:v>
      </x:c>
      <x:c r="U70" s="68" t="str">
        <x:v>得令、有根、有援可增强</x:v>
      </x:c>
      <x:c r="V70" s="68" t="str">
        <x:v>失令、孤立或受制可削弱</x:v>
      </x:c>
      <x:c r="W70" s="90" t="str">
        <x:v>禁止用关系名称直接替代实际效应</x:v>
      </x:c>
      <x:c r="X70" s="68" t="str">
        <x:v>特殊格局与动态岁运另模块处理</x:v>
      </x:c>
      <x:c r="Y70" s="84" t="str">
        <x:v>按证据修正有效旺衰</x:v>
      </x:c>
      <x:c r="Z70" s="68" t="str">
        <x:v>不得直接推出喜忌用神</x:v>
      </x:c>
      <x:c r="AA70" s="84" t="str">
        <x:v>天干合化</x:v>
      </x:c>
      <x:c r="AB70" s="84" t="str">
        <x:v>天干合化成立后，参与干的有效属性需转入化神并避免双算。</x:v>
      </x:c>
      <x:c r="AC70" s="82" t="str">
        <x:v>较高</x:v>
      </x:c>
      <x:c r="AD70" s="82" t="str">
        <x:v>现代综合</x:v>
      </x:c>
      <x:c r="AE70" s="68" t="str">
        <x:v>有效力量必须承接原始力量与实际效应，逐对象、逐节点修正。</x:v>
      </x:c>
      <x:c r="AF70" s="68" t="str">
        <x:v>成局严格成立时才重分配属性与势能。</x:v>
      </x:c>
      <x:c r="AG70" s="90" t="str">
        <x:v>固定配对或三支齐全就直接全量改性。</x:v>
      </x:c>
      <x:c r="AH70" s="68" t="str">
        <x:v>https://zh.wikisource.org/zh-hans/滴天髓 ; https://zh.wikisource.org/zh-hans/淵海子平 ; https://zh.wikisource.org/wiki/三命通會</x:v>
      </x:c>
      <x:c r="AI70" s="82" t="str">
        <x:v>采用</x:v>
      </x:c>
      <x:c r="AJ70" s="82" t="str">
        <x:v>初审</x:v>
      </x:c>
      <x:c r="AK70" s="87" t="n">
        <x:v>46255</x:v>
      </x:c>
    </x:row>
    <x:row r="71">
      <x:c r="A71" s="72" t="str">
        <x:f>IF(OR(C71="",D71=""),"",B71&amp;"-"&amp;UPPER(C71)&amp;"-"&amp;TEXT(D71,"0000")&amp;"-"&amp;E71)</x:f>
        <x:v>M08-TRANS-0065-V1.0</x:v>
      </x:c>
      <x:c r="B71" s="74" t="str">
        <x:v>M08</x:v>
      </x:c>
      <x:c r="C71" s="74" t="str">
        <x:v>TRANS</x:v>
      </x:c>
      <x:c r="D71" s="79" t="n">
        <x:v>65</x:v>
      </x:c>
      <x:c r="E71" s="74" t="str">
        <x:v>V1.0</x:v>
      </x:c>
      <x:c r="F71" s="68" t="str">
        <x:v>六合未化时以牵引与合绊修正为主</x:v>
      </x:c>
      <x:c r="G71" s="82" t="str">
        <x:v>结构层</x:v>
      </x:c>
      <x:c r="H71" s="68" t="str">
        <x:v>M06六合</x:v>
      </x:c>
      <x:c r="I71" s="68" t="str">
        <x:v>参与/化神五行</x:v>
      </x:c>
      <x:c r="J71" s="68" t="str">
        <x:v>原支五行</x:v>
      </x:c>
      <x:c r="K71" s="68" t="str">
        <x:v>六合未化</x:v>
      </x:c>
      <x:c r="L71" s="68" t="str">
        <x:v>保留原五行，仅调整调用</x:v>
      </x:c>
      <x:c r="M71" s="82" t="str">
        <x:v>冻结</x:v>
      </x:c>
      <x:c r="N71" s="82" t="str">
        <x:v>中</x:v>
      </x:c>
      <x:c r="O71" s="82" t="str">
        <x:v>条件性</x:v>
      </x:c>
      <x:c r="P71" s="82" t="str">
        <x:v>条件性</x:v>
      </x:c>
      <x:c r="Q71" s="82" t="str">
        <x:v>条件性</x:v>
      </x:c>
      <x:c r="R71" s="82" t="str">
        <x:v>是</x:v>
      </x:c>
      <x:c r="S71" s="68" t="str">
        <x:v>M06已完成合化/成局效应判断</x:v>
      </x:c>
      <x:c r="T71" s="68" t="str">
        <x:v>必须区分合意、合绊、候选与实质成局</x:v>
      </x:c>
      <x:c r="U71" s="68" t="str">
        <x:v>得令、有根、有援可增强</x:v>
      </x:c>
      <x:c r="V71" s="68" t="str">
        <x:v>失令、孤立或受制可削弱</x:v>
      </x:c>
      <x:c r="W71" s="90" t="str">
        <x:v>禁止用关系名称直接替代实际效应</x:v>
      </x:c>
      <x:c r="X71" s="68" t="str">
        <x:v>特殊格局与动态岁运另模块处理</x:v>
      </x:c>
      <x:c r="Y71" s="84" t="str">
        <x:v>按证据修正有效旺衰</x:v>
      </x:c>
      <x:c r="Z71" s="68" t="str">
        <x:v>不得直接推出喜忌用神</x:v>
      </x:c>
      <x:c r="AA71" s="84" t="str">
        <x:v>六合未化</x:v>
      </x:c>
      <x:c r="AB71" s="84" t="str">
        <x:v>六合未化时不改变支的基本五行归属，主要修正合绊与作用路径。</x:v>
      </x:c>
      <x:c r="AC71" s="82" t="str">
        <x:v>较高</x:v>
      </x:c>
      <x:c r="AD71" s="82" t="str">
        <x:v>现代综合</x:v>
      </x:c>
      <x:c r="AE71" s="68" t="str">
        <x:v>有效力量必须承接原始力量与实际效应，逐对象、逐节点修正。</x:v>
      </x:c>
      <x:c r="AF71" s="68" t="str">
        <x:v>成局严格成立时才重分配属性与势能。</x:v>
      </x:c>
      <x:c r="AG71" s="90" t="str">
        <x:v>固定配对或三支齐全就直接全量改性。</x:v>
      </x:c>
      <x:c r="AH71" s="68" t="str">
        <x:v>https://zh.wikisource.org/zh-hans/滴天髓 ; https://zh.wikisource.org/zh-hans/淵海子平 ; https://zh.wikisource.org/wiki/三命通會</x:v>
      </x:c>
      <x:c r="AI71" s="82" t="str">
        <x:v>采用</x:v>
      </x:c>
      <x:c r="AJ71" s="82" t="str">
        <x:v>初审</x:v>
      </x:c>
      <x:c r="AK71" s="87" t="n">
        <x:v>46255</x:v>
      </x:c>
    </x:row>
    <x:row r="72">
      <x:c r="A72" s="72" t="str">
        <x:f>IF(OR(C72="",D72=""),"",B72&amp;"-"&amp;UPPER(C72)&amp;"-"&amp;TEXT(D72,"0000")&amp;"-"&amp;E72)</x:f>
        <x:v>M08-TRANS-0066-V1.0</x:v>
      </x:c>
      <x:c r="B72" s="74" t="str">
        <x:v>M08</x:v>
      </x:c>
      <x:c r="C72" s="74" t="str">
        <x:v>TRANS</x:v>
      </x:c>
      <x:c r="D72" s="79" t="n">
        <x:v>66</x:v>
      </x:c>
      <x:c r="E72" s="74" t="str">
        <x:v>V1.0</x:v>
      </x:c>
      <x:c r="F72" s="68" t="str">
        <x:v>六合合化成立时逐支评估原性残余</x:v>
      </x:c>
      <x:c r="G72" s="82" t="str">
        <x:v>结构层</x:v>
      </x:c>
      <x:c r="H72" s="68" t="str">
        <x:v>M06六合合化</x:v>
      </x:c>
      <x:c r="I72" s="68" t="str">
        <x:v>参与/化神五行</x:v>
      </x:c>
      <x:c r="J72" s="68" t="str">
        <x:v>原支五行</x:v>
      </x:c>
      <x:c r="K72" s="68" t="str">
        <x:v>六合实质化向成立</x:v>
      </x:c>
      <x:c r="L72" s="68" t="str">
        <x:v>按双方强弱转移到化神</x:v>
      </x:c>
      <x:c r="M72" s="82" t="str">
        <x:v>转化</x:v>
      </x:c>
      <x:c r="N72" s="82" t="str">
        <x:v>强</x:v>
      </x:c>
      <x:c r="O72" s="82" t="str">
        <x:v>条件性</x:v>
      </x:c>
      <x:c r="P72" s="82" t="str">
        <x:v>条件性</x:v>
      </x:c>
      <x:c r="Q72" s="82" t="str">
        <x:v>条件性</x:v>
      </x:c>
      <x:c r="R72" s="82" t="str">
        <x:v>是</x:v>
      </x:c>
      <x:c r="S72" s="68" t="str">
        <x:v>M06已完成合化/成局效应判断</x:v>
      </x:c>
      <x:c r="T72" s="68" t="str">
        <x:v>必须区分合意、合绊、候选与实质成局</x:v>
      </x:c>
      <x:c r="U72" s="68" t="str">
        <x:v>得令、有根、有援可增强</x:v>
      </x:c>
      <x:c r="V72" s="68" t="str">
        <x:v>失令、孤立或受制可削弱</x:v>
      </x:c>
      <x:c r="W72" s="90" t="str">
        <x:v>禁止用关系名称直接替代实际效应</x:v>
      </x:c>
      <x:c r="X72" s="68" t="str">
        <x:v>特殊格局与动态岁运另模块处理</x:v>
      </x:c>
      <x:c r="Y72" s="84" t="str">
        <x:v>按证据修正有效旺衰</x:v>
      </x:c>
      <x:c r="Z72" s="68" t="str">
        <x:v>不得直接推出喜忌用神</x:v>
      </x:c>
      <x:c r="AA72" s="84" t="str">
        <x:v>六合改性</x:v>
      </x:c>
      <x:c r="AB72" s="84" t="str">
        <x:v>六合合化成立后，应逐支评估原五行残余，转移可以不对称。</x:v>
      </x:c>
      <x:c r="AC72" s="82" t="str">
        <x:v>较高</x:v>
      </x:c>
      <x:c r="AD72" s="82" t="str">
        <x:v>现代综合</x:v>
      </x:c>
      <x:c r="AE72" s="68" t="str">
        <x:v>有效力量必须承接原始力量与实际效应，逐对象、逐节点修正。</x:v>
      </x:c>
      <x:c r="AF72" s="68" t="str">
        <x:v>成局严格成立时才重分配属性与势能。</x:v>
      </x:c>
      <x:c r="AG72" s="90" t="str">
        <x:v>固定配对或三支齐全就直接全量改性。</x:v>
      </x:c>
      <x:c r="AH72" s="68" t="str">
        <x:v>https://zh.wikisource.org/zh-hans/滴天髓 ; https://zh.wikisource.org/zh-hans/淵海子平 ; https://zh.wikisource.org/wiki/三命通會</x:v>
      </x:c>
      <x:c r="AI72" s="82" t="str">
        <x:v>采用</x:v>
      </x:c>
      <x:c r="AJ72" s="82" t="str">
        <x:v>初审</x:v>
      </x:c>
      <x:c r="AK72" s="87" t="n">
        <x:v>46255</x:v>
      </x:c>
    </x:row>
    <x:row r="73">
      <x:c r="A73" s="72" t="str">
        <x:f>IF(OR(C73="",D73=""),"",B73&amp;"-"&amp;UPPER(C73)&amp;"-"&amp;TEXT(D73,"0000")&amp;"-"&amp;E73)</x:f>
        <x:v>M08-TRANS-0067-V1.0</x:v>
      </x:c>
      <x:c r="B73" s="74" t="str">
        <x:v>M08</x:v>
      </x:c>
      <x:c r="C73" s="74" t="str">
        <x:v>TRANS</x:v>
      </x:c>
      <x:c r="D73" s="79" t="n">
        <x:v>67</x:v>
      </x:c>
      <x:c r="E73" s="74" t="str">
        <x:v>V1.0</x:v>
      </x:c>
      <x:c r="F73" s="68" t="str">
        <x:v>三合完整但不成局时只记聚势候选</x:v>
      </x:c>
      <x:c r="G73" s="82" t="str">
        <x:v>结构层</x:v>
      </x:c>
      <x:c r="H73" s="68" t="str">
        <x:v>M06三合</x:v>
      </x:c>
      <x:c r="I73" s="68" t="str">
        <x:v>参与/化神五行</x:v>
      </x:c>
      <x:c r="J73" s="68" t="str">
        <x:v>原始未成局</x:v>
      </x:c>
      <x:c r="K73" s="68" t="str">
        <x:v>三支齐全但门槛不足</x:v>
      </x:c>
      <x:c r="L73" s="68" t="str">
        <x:v>只提高化神趋向</x:v>
      </x:c>
      <x:c r="M73" s="82" t="str">
        <x:v>增强</x:v>
      </x:c>
      <x:c r="N73" s="82" t="str">
        <x:v>中</x:v>
      </x:c>
      <x:c r="O73" s="82" t="str">
        <x:v>条件性</x:v>
      </x:c>
      <x:c r="P73" s="82" t="str">
        <x:v>条件性</x:v>
      </x:c>
      <x:c r="Q73" s="82" t="str">
        <x:v>条件性</x:v>
      </x:c>
      <x:c r="R73" s="82" t="str">
        <x:v>是</x:v>
      </x:c>
      <x:c r="S73" s="68" t="str">
        <x:v>M06已完成合化/成局效应判断</x:v>
      </x:c>
      <x:c r="T73" s="68" t="str">
        <x:v>必须区分合意、合绊、候选与实质成局</x:v>
      </x:c>
      <x:c r="U73" s="68" t="str">
        <x:v>得令、有根、有援可增强</x:v>
      </x:c>
      <x:c r="V73" s="68" t="str">
        <x:v>失令、孤立或受制可削弱</x:v>
      </x:c>
      <x:c r="W73" s="90" t="str">
        <x:v>禁止用关系名称直接替代实际效应</x:v>
      </x:c>
      <x:c r="X73" s="68" t="str">
        <x:v>特殊格局与动态岁运另模块处理</x:v>
      </x:c>
      <x:c r="Y73" s="84" t="str">
        <x:v>按证据修正有效旺衰</x:v>
      </x:c>
      <x:c r="Z73" s="68" t="str">
        <x:v>不得直接推出喜忌用神</x:v>
      </x:c>
      <x:c r="AA73" s="84" t="str">
        <x:v>三合候选</x:v>
      </x:c>
      <x:c r="AB73" s="84" t="str">
        <x:v>三合结构完整但未成局时，只作为化神聚势候选，不能全量改性。</x:v>
      </x:c>
      <x:c r="AC73" s="82" t="str">
        <x:v>较高</x:v>
      </x:c>
      <x:c r="AD73" s="82" t="str">
        <x:v>现代综合</x:v>
      </x:c>
      <x:c r="AE73" s="68" t="str">
        <x:v>有效力量必须承接原始力量与实际效应，逐对象、逐节点修正。</x:v>
      </x:c>
      <x:c r="AF73" s="68" t="str">
        <x:v>成局严格成立时才重分配属性与势能。</x:v>
      </x:c>
      <x:c r="AG73" s="90" t="str">
        <x:v>固定配对或三支齐全就直接全量改性。</x:v>
      </x:c>
      <x:c r="AH73" s="68" t="str">
        <x:v>https://zh.wikisource.org/zh-hans/滴天髓 ; https://zh.wikisource.org/zh-hans/淵海子平 ; https://zh.wikisource.org/wiki/三命通會</x:v>
      </x:c>
      <x:c r="AI73" s="82" t="str">
        <x:v>采用</x:v>
      </x:c>
      <x:c r="AJ73" s="82" t="str">
        <x:v>初审</x:v>
      </x:c>
      <x:c r="AK73" s="87" t="n">
        <x:v>46255</x:v>
      </x:c>
    </x:row>
    <x:row r="74">
      <x:c r="A74" s="72" t="str">
        <x:f>IF(OR(C74="",D74=""),"",B74&amp;"-"&amp;UPPER(C74)&amp;"-"&amp;TEXT(D74,"0000")&amp;"-"&amp;E74)</x:f>
        <x:v>M08-TRANS-0068-V1.0</x:v>
      </x:c>
      <x:c r="B74" s="74" t="str">
        <x:v>M08</x:v>
      </x:c>
      <x:c r="C74" s="74" t="str">
        <x:v>TRANS</x:v>
      </x:c>
      <x:c r="D74" s="79" t="n">
        <x:v>68</x:v>
      </x:c>
      <x:c r="E74" s="74" t="str">
        <x:v>V1.0</x:v>
      </x:c>
      <x:c r="F74" s="68" t="str">
        <x:v>三合成局时化神成为主要势能池</x:v>
      </x:c>
      <x:c r="G74" s="82" t="str">
        <x:v>结构层</x:v>
      </x:c>
      <x:c r="H74" s="68" t="str">
        <x:v>M06三合成局</x:v>
      </x:c>
      <x:c r="I74" s="68" t="str">
        <x:v>参与/化神五行</x:v>
      </x:c>
      <x:c r="J74" s="68" t="str">
        <x:v>原始力量</x:v>
      </x:c>
      <x:c r="K74" s="68" t="str">
        <x:v>完整三合并成局</x:v>
      </x:c>
      <x:c r="L74" s="68" t="str">
        <x:v>显著提高化神并重算参与支属性</x:v>
      </x:c>
      <x:c r="M74" s="82" t="str">
        <x:v>转化</x:v>
      </x:c>
      <x:c r="N74" s="82" t="str">
        <x:v>决定性</x:v>
      </x:c>
      <x:c r="O74" s="82" t="str">
        <x:v>条件性</x:v>
      </x:c>
      <x:c r="P74" s="82" t="str">
        <x:v>条件性</x:v>
      </x:c>
      <x:c r="Q74" s="82" t="str">
        <x:v>条件性</x:v>
      </x:c>
      <x:c r="R74" s="82" t="str">
        <x:v>是</x:v>
      </x:c>
      <x:c r="S74" s="68" t="str">
        <x:v>M06已完成合化/成局效应判断</x:v>
      </x:c>
      <x:c r="T74" s="68" t="str">
        <x:v>必须区分合意、合绊、候选与实质成局</x:v>
      </x:c>
      <x:c r="U74" s="68" t="str">
        <x:v>得令、有根、有援可增强</x:v>
      </x:c>
      <x:c r="V74" s="68" t="str">
        <x:v>失令、孤立或受制可削弱</x:v>
      </x:c>
      <x:c r="W74" s="90" t="str">
        <x:v>禁止用关系名称直接替代实际效应</x:v>
      </x:c>
      <x:c r="X74" s="68" t="str">
        <x:v>特殊格局与动态岁运另模块处理</x:v>
      </x:c>
      <x:c r="Y74" s="84" t="str">
        <x:v>按证据修正有效旺衰</x:v>
      </x:c>
      <x:c r="Z74" s="68" t="str">
        <x:v>不得直接推出喜忌用神</x:v>
      </x:c>
      <x:c r="AA74" s="84" t="str">
        <x:v>三合成局</x:v>
      </x:c>
      <x:c r="AB74" s="84" t="str">
        <x:v>三合成局时，化神成为主要势能方向，参与支原性按残余程度重算。</x:v>
      </x:c>
      <x:c r="AC74" s="82" t="str">
        <x:v>较高</x:v>
      </x:c>
      <x:c r="AD74" s="82" t="str">
        <x:v>现代综合</x:v>
      </x:c>
      <x:c r="AE74" s="68" t="str">
        <x:v>有效力量必须承接原始力量与实际效应，逐对象、逐节点修正。</x:v>
      </x:c>
      <x:c r="AF74" s="68" t="str">
        <x:v>成局严格成立时才重分配属性与势能。</x:v>
      </x:c>
      <x:c r="AG74" s="90" t="str">
        <x:v>固定配对或三支齐全就直接全量改性。</x:v>
      </x:c>
      <x:c r="AH74" s="68" t="str">
        <x:v>https://zh.wikisource.org/zh-hans/滴天髓 ; https://zh.wikisource.org/zh-hans/淵海子平 ; https://zh.wikisource.org/wiki/三命通會</x:v>
      </x:c>
      <x:c r="AI74" s="82" t="str">
        <x:v>采用</x:v>
      </x:c>
      <x:c r="AJ74" s="82" t="str">
        <x:v>初审</x:v>
      </x:c>
      <x:c r="AK74" s="87" t="n">
        <x:v>46255</x:v>
      </x:c>
    </x:row>
    <x:row r="75">
      <x:c r="A75" s="72" t="str">
        <x:f>IF(OR(C75="",D75=""),"",B75&amp;"-"&amp;UPPER(C75)&amp;"-"&amp;TEXT(D75,"0000")&amp;"-"&amp;E75)</x:f>
        <x:v>M08-TRANS-0069-V1.0</x:v>
      </x:c>
      <x:c r="B75" s="74" t="str">
        <x:v>M08</x:v>
      </x:c>
      <x:c r="C75" s="74" t="str">
        <x:v>TRANS</x:v>
      </x:c>
      <x:c r="D75" s="79" t="n">
        <x:v>69</x:v>
      </x:c>
      <x:c r="E75" s="74" t="str">
        <x:v>V1.0</x:v>
      </x:c>
      <x:c r="F75" s="68" t="str">
        <x:v>三会成局时方局五行获得强势能支持</x:v>
      </x:c>
      <x:c r="G75" s="82" t="str">
        <x:v>结构层</x:v>
      </x:c>
      <x:c r="H75" s="68" t="str">
        <x:v>M06三会</x:v>
      </x:c>
      <x:c r="I75" s="68" t="str">
        <x:v>参与/化神五行</x:v>
      </x:c>
      <x:c r="J75" s="68" t="str">
        <x:v>原始力量</x:v>
      </x:c>
      <x:c r="K75" s="68" t="str">
        <x:v>三会完整并成势</x:v>
      </x:c>
      <x:c r="L75" s="68" t="str">
        <x:v>显著提高方局五行有效力量</x:v>
      </x:c>
      <x:c r="M75" s="82" t="str">
        <x:v>增强</x:v>
      </x:c>
      <x:c r="N75" s="82" t="str">
        <x:v>决定性</x:v>
      </x:c>
      <x:c r="O75" s="82" t="str">
        <x:v>条件性</x:v>
      </x:c>
      <x:c r="P75" s="82" t="str">
        <x:v>条件性</x:v>
      </x:c>
      <x:c r="Q75" s="82" t="str">
        <x:v>条件性</x:v>
      </x:c>
      <x:c r="R75" s="82" t="str">
        <x:v>是</x:v>
      </x:c>
      <x:c r="S75" s="68" t="str">
        <x:v>M06已完成合化/成局效应判断</x:v>
      </x:c>
      <x:c r="T75" s="68" t="str">
        <x:v>必须区分合意、合绊、候选与实质成局</x:v>
      </x:c>
      <x:c r="U75" s="68" t="str">
        <x:v>得令、有根、有援可增强</x:v>
      </x:c>
      <x:c r="V75" s="68" t="str">
        <x:v>失令、孤立或受制可削弱</x:v>
      </x:c>
      <x:c r="W75" s="90" t="str">
        <x:v>禁止用关系名称直接替代实际效应</x:v>
      </x:c>
      <x:c r="X75" s="68" t="str">
        <x:v>特殊格局与动态岁运另模块处理</x:v>
      </x:c>
      <x:c r="Y75" s="84" t="str">
        <x:v>按证据修正有效旺衰</x:v>
      </x:c>
      <x:c r="Z75" s="68" t="str">
        <x:v>不得直接推出喜忌用神</x:v>
      </x:c>
      <x:c r="AA75" s="84" t="str">
        <x:v>三会成势</x:v>
      </x:c>
      <x:c r="AB75" s="84" t="str">
        <x:v>三会完整且成势时，方局五行获得强势能支持。</x:v>
      </x:c>
      <x:c r="AC75" s="82" t="str">
        <x:v>较高</x:v>
      </x:c>
      <x:c r="AD75" s="82" t="str">
        <x:v>现代综合</x:v>
      </x:c>
      <x:c r="AE75" s="68" t="str">
        <x:v>有效力量必须承接原始力量与实际效应，逐对象、逐节点修正。</x:v>
      </x:c>
      <x:c r="AF75" s="68" t="str">
        <x:v>成局严格成立时才重分配属性与势能。</x:v>
      </x:c>
      <x:c r="AG75" s="90" t="str">
        <x:v>固定配对或三支齐全就直接全量改性。</x:v>
      </x:c>
      <x:c r="AH75" s="68" t="str">
        <x:v>https://zh.wikisource.org/zh-hans/滴天髓 ; https://zh.wikisource.org/zh-hans/淵海子平 ; https://zh.wikisource.org/wiki/三命通會</x:v>
      </x:c>
      <x:c r="AI75" s="82" t="str">
        <x:v>采用</x:v>
      </x:c>
      <x:c r="AJ75" s="82" t="str">
        <x:v>初审</x:v>
      </x:c>
      <x:c r="AK75" s="87" t="n">
        <x:v>46255</x:v>
      </x:c>
    </x:row>
    <x:row r="76">
      <x:c r="A76" s="72" t="str">
        <x:f>IF(OR(C76="",D76=""),"",B76&amp;"-"&amp;UPPER(C76)&amp;"-"&amp;TEXT(D76,"0000")&amp;"-"&amp;E76)</x:f>
        <x:v>M08-TRANS-0070-V1.0</x:v>
      </x:c>
      <x:c r="B76" s="74" t="str">
        <x:v>M08</x:v>
      </x:c>
      <x:c r="C76" s="74" t="str">
        <x:v>TRANS</x:v>
      </x:c>
      <x:c r="D76" s="79" t="n">
        <x:v>70</x:v>
      </x:c>
      <x:c r="E76" s="74" t="str">
        <x:v>V1.0</x:v>
      </x:c>
      <x:c r="F76" s="68" t="str">
        <x:v>半合有效时可形成中等级聚势</x:v>
      </x:c>
      <x:c r="G76" s="82" t="str">
        <x:v>结构层</x:v>
      </x:c>
      <x:c r="H76" s="68" t="str">
        <x:v>M06半合</x:v>
      </x:c>
      <x:c r="I76" s="68" t="str">
        <x:v>参与/化神五行</x:v>
      </x:c>
      <x:c r="J76" s="68" t="str">
        <x:v>原始力量</x:v>
      </x:c>
      <x:c r="K76" s="68" t="str">
        <x:v>半合成立</x:v>
      </x:c>
      <x:c r="L76" s="68" t="str">
        <x:v>提高化神势能但低于完整三合</x:v>
      </x:c>
      <x:c r="M76" s="82" t="str">
        <x:v>增强</x:v>
      </x:c>
      <x:c r="N76" s="82" t="str">
        <x:v>中</x:v>
      </x:c>
      <x:c r="O76" s="82" t="str">
        <x:v>条件性</x:v>
      </x:c>
      <x:c r="P76" s="82" t="str">
        <x:v>条件性</x:v>
      </x:c>
      <x:c r="Q76" s="82" t="str">
        <x:v>条件性</x:v>
      </x:c>
      <x:c r="R76" s="82" t="str">
        <x:v>是</x:v>
      </x:c>
      <x:c r="S76" s="68" t="str">
        <x:v>M06已完成合化/成局效应判断</x:v>
      </x:c>
      <x:c r="T76" s="68" t="str">
        <x:v>必须区分合意、合绊、候选与实质成局</x:v>
      </x:c>
      <x:c r="U76" s="68" t="str">
        <x:v>得令、有根、有援可增强</x:v>
      </x:c>
      <x:c r="V76" s="68" t="str">
        <x:v>失令、孤立或受制可削弱</x:v>
      </x:c>
      <x:c r="W76" s="90" t="str">
        <x:v>禁止用关系名称直接替代实际效应</x:v>
      </x:c>
      <x:c r="X76" s="68" t="str">
        <x:v>特殊格局与动态岁运另模块处理</x:v>
      </x:c>
      <x:c r="Y76" s="84" t="str">
        <x:v>按证据修正有效旺衰</x:v>
      </x:c>
      <x:c r="Z76" s="68" t="str">
        <x:v>不得直接推出喜忌用神</x:v>
      </x:c>
      <x:c r="AA76" s="84" t="str">
        <x:v>半合聚势</x:v>
      </x:c>
      <x:c r="AB76" s="84" t="str">
        <x:v>半合可形成中等级聚势，但通常不能替代完整三合成局。</x:v>
      </x:c>
      <x:c r="AC76" s="82" t="str">
        <x:v>较高</x:v>
      </x:c>
      <x:c r="AD76" s="82" t="str">
        <x:v>现代综合</x:v>
      </x:c>
      <x:c r="AE76" s="68" t="str">
        <x:v>有效力量必须承接原始力量与实际效应，逐对象、逐节点修正。</x:v>
      </x:c>
      <x:c r="AF76" s="68" t="str">
        <x:v>成局严格成立时才重分配属性与势能。</x:v>
      </x:c>
      <x:c r="AG76" s="90" t="str">
        <x:v>固定配对或三支齐全就直接全量改性。</x:v>
      </x:c>
      <x:c r="AH76" s="68" t="str">
        <x:v>https://zh.wikisource.org/zh-hans/滴天髓 ; https://zh.wikisource.org/zh-hans/淵海子平 ; https://zh.wikisource.org/wiki/三命通會</x:v>
      </x:c>
      <x:c r="AI76" s="82" t="str">
        <x:v>采用</x:v>
      </x:c>
      <x:c r="AJ76" s="82" t="str">
        <x:v>初审</x:v>
      </x:c>
      <x:c r="AK76" s="87" t="n">
        <x:v>46255</x:v>
      </x:c>
    </x:row>
    <x:row r="77">
      <x:c r="A77" s="72" t="str">
        <x:f>IF(OR(C77="",D77=""),"",B77&amp;"-"&amp;UPPER(C77)&amp;"-"&amp;TEXT(D77,"0000")&amp;"-"&amp;E77)</x:f>
        <x:v>M08-TRANS-0071-V1.0</x:v>
      </x:c>
      <x:c r="B77" s="74" t="str">
        <x:v>M08</x:v>
      </x:c>
      <x:c r="C77" s="74" t="str">
        <x:v>TRANS</x:v>
      </x:c>
      <x:c r="D77" s="79" t="n">
        <x:v>71</x:v>
      </x:c>
      <x:c r="E77" s="74" t="str">
        <x:v>V1.0</x:v>
      </x:c>
      <x:c r="F77" s="68" t="str">
        <x:v>拱合缺中神时通常只作低等级趋向</x:v>
      </x:c>
      <x:c r="G77" s="82" t="str">
        <x:v>结构层</x:v>
      </x:c>
      <x:c r="H77" s="68" t="str">
        <x:v>M06拱合</x:v>
      </x:c>
      <x:c r="I77" s="68" t="str">
        <x:v>参与/化神五行</x:v>
      </x:c>
      <x:c r="J77" s="68" t="str">
        <x:v>原始力量</x:v>
      </x:c>
      <x:c r="K77" s="68" t="str">
        <x:v>两端拱合而中神缺失</x:v>
      </x:c>
      <x:c r="L77" s="68" t="str">
        <x:v>轻度提高化神趋向</x:v>
      </x:c>
      <x:c r="M77" s="82" t="str">
        <x:v>增强</x:v>
      </x:c>
      <x:c r="N77" s="82" t="str">
        <x:v>弱</x:v>
      </x:c>
      <x:c r="O77" s="82" t="str">
        <x:v>条件性</x:v>
      </x:c>
      <x:c r="P77" s="82" t="str">
        <x:v>条件性</x:v>
      </x:c>
      <x:c r="Q77" s="82" t="str">
        <x:v>条件性</x:v>
      </x:c>
      <x:c r="R77" s="82" t="str">
        <x:v>是</x:v>
      </x:c>
      <x:c r="S77" s="68" t="str">
        <x:v>M06已完成合化/成局效应判断</x:v>
      </x:c>
      <x:c r="T77" s="68" t="str">
        <x:v>必须区分合意、合绊、候选与实质成局</x:v>
      </x:c>
      <x:c r="U77" s="68" t="str">
        <x:v>得令、有根、有援可增强</x:v>
      </x:c>
      <x:c r="V77" s="68" t="str">
        <x:v>失令、孤立或受制可削弱</x:v>
      </x:c>
      <x:c r="W77" s="90" t="str">
        <x:v>禁止用关系名称直接替代实际效应</x:v>
      </x:c>
      <x:c r="X77" s="68" t="str">
        <x:v>特殊格局与动态岁运另模块处理</x:v>
      </x:c>
      <x:c r="Y77" s="84" t="str">
        <x:v>按证据修正有效旺衰</x:v>
      </x:c>
      <x:c r="Z77" s="68" t="str">
        <x:v>不得直接推出喜忌用神</x:v>
      </x:c>
      <x:c r="AA77" s="84" t="str">
        <x:v>拱合低权重</x:v>
      </x:c>
      <x:c r="AB77" s="84" t="str">
        <x:v>拱合只表示结构趋向，不能把缺失中神当作实际根气。</x:v>
      </x:c>
      <x:c r="AC77" s="82" t="str">
        <x:v>较高</x:v>
      </x:c>
      <x:c r="AD77" s="82" t="str">
        <x:v>现代综合</x:v>
      </x:c>
      <x:c r="AE77" s="68" t="str">
        <x:v>有效力量必须承接原始力量与实际效应，逐对象、逐节点修正。</x:v>
      </x:c>
      <x:c r="AF77" s="68" t="str">
        <x:v>成局严格成立时才重分配属性与势能。</x:v>
      </x:c>
      <x:c r="AG77" s="90" t="str">
        <x:v>固定配对或三支齐全就直接全量改性。</x:v>
      </x:c>
      <x:c r="AH77" s="68" t="str">
        <x:v>https://zh.wikisource.org/zh-hans/滴天髓 ; https://zh.wikisource.org/zh-hans/淵海子平 ; https://zh.wikisource.org/wiki/三命通會</x:v>
      </x:c>
      <x:c r="AI77" s="82" t="str">
        <x:v>采用</x:v>
      </x:c>
      <x:c r="AJ77" s="82" t="str">
        <x:v>初审</x:v>
      </x:c>
      <x:c r="AK77" s="87" t="n">
        <x:v>46255</x:v>
      </x:c>
    </x:row>
    <x:row r="78">
      <x:c r="A78" s="72" t="str">
        <x:f>IF(OR(C78="",D78=""),"",B78&amp;"-"&amp;UPPER(C78)&amp;"-"&amp;TEXT(D78,"0000")&amp;"-"&amp;E78)</x:f>
        <x:v>M08-TRANS-0072-V1.0</x:v>
      </x:c>
      <x:c r="B78" s="74" t="str">
        <x:v>M08</x:v>
      </x:c>
      <x:c r="C78" s="74" t="str">
        <x:v>TRANS</x:v>
      </x:c>
      <x:c r="D78" s="79" t="n">
        <x:v>72</x:v>
      </x:c>
      <x:c r="E78" s="74" t="str">
        <x:v>V1.0</x:v>
      </x:c>
      <x:c r="F78" s="68" t="str">
        <x:v>成局受关键冲破时化神下调并恢复部分原性</x:v>
      </x:c>
      <x:c r="G78" s="82" t="str">
        <x:v>结构层</x:v>
      </x:c>
      <x:c r="H78" s="68" t="str">
        <x:v>M06成局破坏</x:v>
      </x:c>
      <x:c r="I78" s="68" t="str">
        <x:v>参与/化神五行</x:v>
      </x:c>
      <x:c r="J78" s="68" t="str">
        <x:v>已成局候选</x:v>
      </x:c>
      <x:c r="K78" s="68" t="str">
        <x:v>关键成员遭强冲破</x:v>
      </x:c>
      <x:c r="L78" s="68" t="str">
        <x:v>降低成局度并回补原支五行</x:v>
      </x:c>
      <x:c r="M78" s="82" t="str">
        <x:v>转化</x:v>
      </x:c>
      <x:c r="N78" s="82" t="str">
        <x:v>强</x:v>
      </x:c>
      <x:c r="O78" s="82" t="str">
        <x:v>条件性</x:v>
      </x:c>
      <x:c r="P78" s="82" t="str">
        <x:v>条件性</x:v>
      </x:c>
      <x:c r="Q78" s="82" t="str">
        <x:v>条件性</x:v>
      </x:c>
      <x:c r="R78" s="82" t="str">
        <x:v>是</x:v>
      </x:c>
      <x:c r="S78" s="68" t="str">
        <x:v>M06已完成合化/成局效应判断</x:v>
      </x:c>
      <x:c r="T78" s="68" t="str">
        <x:v>必须区分合意、合绊、候选与实质成局</x:v>
      </x:c>
      <x:c r="U78" s="68" t="str">
        <x:v>得令、有根、有援可增强</x:v>
      </x:c>
      <x:c r="V78" s="68" t="str">
        <x:v>失令、孤立或受制可削弱</x:v>
      </x:c>
      <x:c r="W78" s="90" t="str">
        <x:v>禁止用关系名称直接替代实际效应</x:v>
      </x:c>
      <x:c r="X78" s="68" t="str">
        <x:v>特殊格局与动态岁运另模块处理</x:v>
      </x:c>
      <x:c r="Y78" s="84" t="str">
        <x:v>按证据修正有效旺衰</x:v>
      </x:c>
      <x:c r="Z78" s="68" t="str">
        <x:v>不得直接推出喜忌用神</x:v>
      </x:c>
      <x:c r="AA78" s="84" t="str">
        <x:v>成局破坏</x:v>
      </x:c>
      <x:c r="AB78" s="84" t="str">
        <x:v>合会局遭关键冲破时，应同步下调化神势能并恢复部分原性。</x:v>
      </x:c>
      <x:c r="AC78" s="82" t="str">
        <x:v>较高</x:v>
      </x:c>
      <x:c r="AD78" s="82" t="str">
        <x:v>现代综合</x:v>
      </x:c>
      <x:c r="AE78" s="68" t="str">
        <x:v>有效力量必须承接原始力量与实际效应，逐对象、逐节点修正。</x:v>
      </x:c>
      <x:c r="AF78" s="68" t="str">
        <x:v>成局严格成立时才重分配属性与势能。</x:v>
      </x:c>
      <x:c r="AG78" s="90" t="str">
        <x:v>固定配对或三支齐全就直接全量改性。</x:v>
      </x:c>
      <x:c r="AH78" s="68" t="str">
        <x:v>https://zh.wikisource.org/zh-hans/滴天髓 ; https://zh.wikisource.org/zh-hans/淵海子平 ; https://zh.wikisource.org/wiki/三命通會</x:v>
      </x:c>
      <x:c r="AI78" s="82" t="str">
        <x:v>采用</x:v>
      </x:c>
      <x:c r="AJ78" s="82" t="str">
        <x:v>初审</x:v>
      </x:c>
      <x:c r="AK78" s="87" t="n">
        <x:v>46255</x:v>
      </x:c>
    </x:row>
    <x:row r="79">
      <x:c r="A79" s="72" t="str">
        <x:f>IF(OR(C79="",D79=""),"",B79&amp;"-"&amp;UPPER(C79)&amp;"-"&amp;TEXT(D79,"0000")&amp;"-"&amp;E79)</x:f>
        <x:v>M08-TRANS-0073-V1.0</x:v>
      </x:c>
      <x:c r="B79" s="74" t="str">
        <x:v>M08</x:v>
      </x:c>
      <x:c r="C79" s="74" t="str">
        <x:v>TRANS</x:v>
      </x:c>
      <x:c r="D79" s="79" t="n">
        <x:v>73</x:v>
      </x:c>
      <x:c r="E79" s="74" t="str">
        <x:v>V1.0</x:v>
      </x:c>
      <x:c r="F79" s="68" t="str">
        <x:v>共享地支参与多个合会时只能有一个主导势能归属</x:v>
      </x:c>
      <x:c r="G79" s="82" t="str">
        <x:v>结构层</x:v>
      </x:c>
      <x:c r="H79" s="68" t="str">
        <x:v>M06多重关系</x:v>
      </x:c>
      <x:c r="I79" s="68" t="str">
        <x:v>参与/化神五行</x:v>
      </x:c>
      <x:c r="J79" s="68" t="str">
        <x:v>多局候选</x:v>
      </x:c>
      <x:c r="K79" s="68" t="str">
        <x:v>同一支被多个结构争夺</x:v>
      </x:c>
      <x:c r="L79" s="68" t="str">
        <x:v>按得令、完整度与强弱选主导归属</x:v>
      </x:c>
      <x:c r="M79" s="82" t="str">
        <x:v>条件性</x:v>
      </x:c>
      <x:c r="N79" s="82" t="str">
        <x:v>强</x:v>
      </x:c>
      <x:c r="O79" s="82" t="str">
        <x:v>条件性</x:v>
      </x:c>
      <x:c r="P79" s="82" t="str">
        <x:v>条件性</x:v>
      </x:c>
      <x:c r="Q79" s="82" t="str">
        <x:v>条件性</x:v>
      </x:c>
      <x:c r="R79" s="82" t="str">
        <x:v>是</x:v>
      </x:c>
      <x:c r="S79" s="68" t="str">
        <x:v>M06已完成合化/成局效应判断</x:v>
      </x:c>
      <x:c r="T79" s="68" t="str">
        <x:v>必须区分合意、合绊、候选与实质成局</x:v>
      </x:c>
      <x:c r="U79" s="68" t="str">
        <x:v>得令、有根、有援可增强</x:v>
      </x:c>
      <x:c r="V79" s="68" t="str">
        <x:v>失令、孤立或受制可削弱</x:v>
      </x:c>
      <x:c r="W79" s="90" t="str">
        <x:v>禁止用关系名称直接替代实际效应</x:v>
      </x:c>
      <x:c r="X79" s="68" t="str">
        <x:v>特殊格局与动态岁运另模块处理</x:v>
      </x:c>
      <x:c r="Y79" s="84" t="str">
        <x:v>按证据修正有效旺衰</x:v>
      </x:c>
      <x:c r="Z79" s="68" t="str">
        <x:v>不得直接推出喜忌用神</x:v>
      </x:c>
      <x:c r="AA79" s="84" t="str">
        <x:v>共享节点归属</x:v>
      </x:c>
      <x:c r="AB79" s="84" t="str">
        <x:v>共享地支不能被两个合会结构同时满额调用。</x:v>
      </x:c>
      <x:c r="AC79" s="82" t="str">
        <x:v>较高</x:v>
      </x:c>
      <x:c r="AD79" s="82" t="str">
        <x:v>现代综合</x:v>
      </x:c>
      <x:c r="AE79" s="68" t="str">
        <x:v>有效力量必须承接原始力量与实际效应，逐对象、逐节点修正。</x:v>
      </x:c>
      <x:c r="AF79" s="68" t="str">
        <x:v>成局严格成立时才重分配属性与势能。</x:v>
      </x:c>
      <x:c r="AG79" s="90" t="str">
        <x:v>固定配对或三支齐全就直接全量改性。</x:v>
      </x:c>
      <x:c r="AH79" s="68" t="str">
        <x:v>https://zh.wikisource.org/zh-hans/滴天髓 ; https://zh.wikisource.org/zh-hans/淵海子平 ; https://zh.wikisource.org/wiki/三命通會</x:v>
      </x:c>
      <x:c r="AI79" s="82" t="str">
        <x:v>采用</x:v>
      </x:c>
      <x:c r="AJ79" s="82" t="str">
        <x:v>初审</x:v>
      </x:c>
      <x:c r="AK79" s="87" t="n">
        <x:v>46255</x:v>
      </x:c>
    </x:row>
    <x:row r="80">
      <x:c r="A80" s="72" t="str">
        <x:f>IF(OR(C80="",D80=""),"",B80&amp;"-"&amp;UPPER(C80)&amp;"-"&amp;TEXT(D80,"0000")&amp;"-"&amp;E80)</x:f>
        <x:v>M08-TRANS-0074-V1.0</x:v>
      </x:c>
      <x:c r="B80" s="74" t="str">
        <x:v>M08</x:v>
      </x:c>
      <x:c r="C80" s="74" t="str">
        <x:v>TRANS</x:v>
      </x:c>
      <x:c r="D80" s="79" t="n">
        <x:v>74</x:v>
      </x:c>
      <x:c r="E80" s="74" t="str">
        <x:v>V1.0</x:v>
      </x:c>
      <x:c r="F80" s="68" t="str">
        <x:v>化神形成后仍需接受后续克泄耗修正</x:v>
      </x:c>
      <x:c r="G80" s="82" t="str">
        <x:v>结构层</x:v>
      </x:c>
      <x:c r="H80" s="68" t="str">
        <x:v>改性后再平衡</x:v>
      </x:c>
      <x:c r="I80" s="68" t="str">
        <x:v>参与/化神五行</x:v>
      </x:c>
      <x:c r="J80" s="68" t="str">
        <x:v>化局成立</x:v>
      </x:c>
      <x:c r="K80" s="68" t="str">
        <x:v>化神参与全局生克</x:v>
      </x:c>
      <x:c r="L80" s="68" t="str">
        <x:v>按化后五行继续接受克泄耗</x:v>
      </x:c>
      <x:c r="M80" s="82" t="str">
        <x:v>条件性</x:v>
      </x:c>
      <x:c r="N80" s="82" t="str">
        <x:v>中</x:v>
      </x:c>
      <x:c r="O80" s="82" t="str">
        <x:v>条件性</x:v>
      </x:c>
      <x:c r="P80" s="82" t="str">
        <x:v>条件性</x:v>
      </x:c>
      <x:c r="Q80" s="82" t="str">
        <x:v>条件性</x:v>
      </x:c>
      <x:c r="R80" s="82" t="str">
        <x:v>是</x:v>
      </x:c>
      <x:c r="S80" s="68" t="str">
        <x:v>M06已完成合化/成局效应判断</x:v>
      </x:c>
      <x:c r="T80" s="68" t="str">
        <x:v>必须区分合意、合绊、候选与实质成局</x:v>
      </x:c>
      <x:c r="U80" s="68" t="str">
        <x:v>得令、有根、有援可增强</x:v>
      </x:c>
      <x:c r="V80" s="68" t="str">
        <x:v>失令、孤立或受制可削弱</x:v>
      </x:c>
      <x:c r="W80" s="90" t="str">
        <x:v>禁止用关系名称直接替代实际效应</x:v>
      </x:c>
      <x:c r="X80" s="68" t="str">
        <x:v>特殊格局与动态岁运另模块处理</x:v>
      </x:c>
      <x:c r="Y80" s="84" t="str">
        <x:v>按证据修正有效旺衰</x:v>
      </x:c>
      <x:c r="Z80" s="68" t="str">
        <x:v>不得直接推出喜忌用神</x:v>
      </x:c>
      <x:c r="AA80" s="84" t="str">
        <x:v>化后再修正</x:v>
      </x:c>
      <x:c r="AB80" s="84" t="str">
        <x:v>合化成局只改变力量归属，化神形成后仍要接受全局生克泄耗。</x:v>
      </x:c>
      <x:c r="AC80" s="82" t="str">
        <x:v>较高</x:v>
      </x:c>
      <x:c r="AD80" s="82" t="str">
        <x:v>现代综合</x:v>
      </x:c>
      <x:c r="AE80" s="68" t="str">
        <x:v>有效力量必须承接原始力量与实际效应，逐对象、逐节点修正。</x:v>
      </x:c>
      <x:c r="AF80" s="68" t="str">
        <x:v>成局严格成立时才重分配属性与势能。</x:v>
      </x:c>
      <x:c r="AG80" s="90" t="str">
        <x:v>固定配对或三支齐全就直接全量改性。</x:v>
      </x:c>
      <x:c r="AH80" s="68" t="str">
        <x:v>https://zh.wikisource.org/zh-hans/滴天髓 ; https://zh.wikisource.org/zh-hans/淵海子平 ; https://zh.wikisource.org/wiki/三命通會</x:v>
      </x:c>
      <x:c r="AI80" s="82" t="str">
        <x:v>采用</x:v>
      </x:c>
      <x:c r="AJ80" s="82" t="str">
        <x:v>初审</x:v>
      </x:c>
      <x:c r="AK80" s="87" t="n">
        <x:v>46255</x:v>
      </x:c>
    </x:row>
    <x:row r="81">
      <x:c r="A81" s="72" t="str">
        <x:f>IF(OR(C81="",D81=""),"",B81&amp;"-"&amp;UPPER(C81)&amp;"-"&amp;TEXT(D81,"0000")&amp;"-"&amp;E81)</x:f>
        <x:v>M08-REL-0075-V1.0</x:v>
      </x:c>
      <x:c r="B81" s="74" t="str">
        <x:v>M08</x:v>
      </x:c>
      <x:c r="C81" s="74" t="str">
        <x:v>REL</x:v>
      </x:c>
      <x:c r="D81" s="79" t="n">
        <x:v>75</x:v>
      </x:c>
      <x:c r="E81" s="74" t="str">
        <x:v>V1.0</x:v>
      </x:c>
      <x:c r="F81" s="68" t="str">
        <x:v>六冲的有效修正按冲动冲弱冲散分级</x:v>
      </x:c>
      <x:c r="G81" s="82" t="str">
        <x:v>结构层</x:v>
      </x:c>
      <x:c r="H81" s="68" t="str">
        <x:v>M06六冲</x:v>
      </x:c>
      <x:c r="I81" s="68" t="str">
        <x:v>参与五行</x:v>
      </x:c>
      <x:c r="J81" s="68" t="str">
        <x:v>原始力量</x:v>
      </x:c>
      <x:c r="K81" s="68" t="str">
        <x:v>受冲</x:v>
      </x:c>
      <x:c r="L81" s="68" t="str">
        <x:v>按M06效应给予不同修正</x:v>
      </x:c>
      <x:c r="M81" s="82" t="str">
        <x:v>条件性</x:v>
      </x:c>
      <x:c r="N81" s="82" t="str">
        <x:v>强</x:v>
      </x:c>
      <x:c r="O81" s="82" t="str">
        <x:v>条件性</x:v>
      </x:c>
      <x:c r="P81" s="82" t="str">
        <x:v>条件性</x:v>
      </x:c>
      <x:c r="Q81" s="82" t="str">
        <x:v>条件性</x:v>
      </x:c>
      <x:c r="R81" s="82" t="str">
        <x:v>是</x:v>
      </x:c>
      <x:c r="S81" s="68" t="str">
        <x:v>前置模块已完成</x:v>
      </x:c>
      <x:c r="T81" s="68" t="str">
        <x:v>作用条件真实成立</x:v>
      </x:c>
      <x:c r="U81" s="68" t="str">
        <x:v>得令、有根、有援可增强</x:v>
      </x:c>
      <x:c r="V81" s="68" t="str">
        <x:v>失令、孤立或受制可削弱</x:v>
      </x:c>
      <x:c r="W81" s="90" t="str">
        <x:v>禁止用关系名称直接替代实际效应</x:v>
      </x:c>
      <x:c r="X81" s="68" t="str">
        <x:v>特殊格局与动态岁运另模块处理</x:v>
      </x:c>
      <x:c r="Y81" s="84" t="str">
        <x:v>按证据修正有效旺衰</x:v>
      </x:c>
      <x:c r="Z81" s="68" t="str">
        <x:v>不得直接推出喜忌用神</x:v>
      </x:c>
      <x:c r="AA81" s="84" t="str">
        <x:v>六冲分级修正</x:v>
      </x:c>
      <x:c r="AB81" s="84" t="str">
        <x:v>六冲只提供作用入口，必须按冲动、冲弱、冲散等效应分级调整。</x:v>
      </x:c>
      <x:c r="AC81" s="82" t="str">
        <x:v>较高</x:v>
      </x:c>
      <x:c r="AD81" s="82" t="str">
        <x:v>现代综合</x:v>
      </x:c>
      <x:c r="AE81" s="68" t="str">
        <x:v>有效力量必须承接原始力量与实际效应，逐对象、逐节点修正。</x:v>
      </x:c>
      <x:c r="AF81" s="68" t="str">
        <x:v>先判断实际效应、共享节点和双方强弱，再进入力量修正。</x:v>
      </x:c>
      <x:c r="AG81" s="90" t="str">
        <x:v>见关系名称即双方统一扣分。</x:v>
      </x:c>
      <x:c r="AH81" s="68" t="str">
        <x:v>https://zh.wikisource.org/zh-hans/滴天髓 ; https://zh.wikisource.org/zh-hans/淵海子平 ; https://zh.wikisource.org/wiki/三命通會</x:v>
      </x:c>
      <x:c r="AI81" s="82" t="str">
        <x:v>采用</x:v>
      </x:c>
      <x:c r="AJ81" s="82" t="str">
        <x:v>初审</x:v>
      </x:c>
      <x:c r="AK81" s="87" t="n">
        <x:v>46255</x:v>
      </x:c>
    </x:row>
    <x:row r="82">
      <x:c r="A82" s="72" t="str">
        <x:f>IF(OR(C82="",D82=""),"",B82&amp;"-"&amp;UPPER(C82)&amp;"-"&amp;TEXT(D82,"0000")&amp;"-"&amp;E82)</x:f>
        <x:v>M08-REL-0076-V1.0</x:v>
      </x:c>
      <x:c r="B82" s="74" t="str">
        <x:v>M08</x:v>
      </x:c>
      <x:c r="C82" s="74" t="str">
        <x:v>REL</x:v>
      </x:c>
      <x:c r="D82" s="79" t="n">
        <x:v>76</x:v>
      </x:c>
      <x:c r="E82" s="74" t="str">
        <x:v>V1.0</x:v>
      </x:c>
      <x:c r="F82" s="68" t="str">
        <x:v>冲旺成立时目标可能因被引动而作用增强</x:v>
      </x:c>
      <x:c r="G82" s="82" t="str">
        <x:v>结构层</x:v>
      </x:c>
      <x:c r="H82" s="68" t="str">
        <x:v>M06冲旺</x:v>
      </x:c>
      <x:c r="I82" s="68" t="str">
        <x:v>参与五行</x:v>
      </x:c>
      <x:c r="J82" s="68" t="str">
        <x:v>原始较旺</x:v>
      </x:c>
      <x:c r="K82" s="68" t="str">
        <x:v>受弱方冲击而被激发</x:v>
      </x:c>
      <x:c r="L82" s="68" t="str">
        <x:v>维持或提高可调用性并增加波动</x:v>
      </x:c>
      <x:c r="M82" s="82" t="str">
        <x:v>激活</x:v>
      </x:c>
      <x:c r="N82" s="82" t="str">
        <x:v>中</x:v>
      </x:c>
      <x:c r="O82" s="82" t="str">
        <x:v>条件性</x:v>
      </x:c>
      <x:c r="P82" s="82" t="str">
        <x:v>条件性</x:v>
      </x:c>
      <x:c r="Q82" s="82" t="str">
        <x:v>条件性</x:v>
      </x:c>
      <x:c r="R82" s="82" t="str">
        <x:v>是</x:v>
      </x:c>
      <x:c r="S82" s="68" t="str">
        <x:v>前置模块已完成</x:v>
      </x:c>
      <x:c r="T82" s="68" t="str">
        <x:v>作用条件真实成立</x:v>
      </x:c>
      <x:c r="U82" s="68" t="str">
        <x:v>得令、有根、有援可增强</x:v>
      </x:c>
      <x:c r="V82" s="68" t="str">
        <x:v>失令、孤立或受制可削弱</x:v>
      </x:c>
      <x:c r="W82" s="90" t="str">
        <x:v>禁止用关系名称直接替代实际效应</x:v>
      </x:c>
      <x:c r="X82" s="68" t="str">
        <x:v>特殊格局与动态岁运另模块处理</x:v>
      </x:c>
      <x:c r="Y82" s="84" t="str">
        <x:v>按证据修正有效旺衰</x:v>
      </x:c>
      <x:c r="Z82" s="68" t="str">
        <x:v>不得直接推出喜忌用神</x:v>
      </x:c>
      <x:c r="AA82" s="84" t="str">
        <x:v>冲旺</x:v>
      </x:c>
      <x:c r="AB82" s="84" t="str">
        <x:v>强势五行受冲若主要表现为引动，不必机械减弱。</x:v>
      </x:c>
      <x:c r="AC82" s="82" t="str">
        <x:v>较高</x:v>
      </x:c>
      <x:c r="AD82" s="82" t="str">
        <x:v>现代综合</x:v>
      </x:c>
      <x:c r="AE82" s="68" t="str">
        <x:v>有效力量必须承接原始力量与实际效应，逐对象、逐节点修正。</x:v>
      </x:c>
      <x:c r="AF82" s="68" t="str">
        <x:v>先判断实际效应、共享节点和双方强弱，再进入力量修正。</x:v>
      </x:c>
      <x:c r="AG82" s="90" t="str">
        <x:v>见关系名称即双方统一扣分。</x:v>
      </x:c>
      <x:c r="AH82" s="68" t="str">
        <x:v>https://zh.wikisource.org/zh-hans/滴天髓 ; https://zh.wikisource.org/zh-hans/淵海子平 ; https://zh.wikisource.org/wiki/三命通會</x:v>
      </x:c>
      <x:c r="AI82" s="82" t="str">
        <x:v>采用</x:v>
      </x:c>
      <x:c r="AJ82" s="82" t="str">
        <x:v>初审</x:v>
      </x:c>
      <x:c r="AK82" s="87" t="n">
        <x:v>46255</x:v>
      </x:c>
    </x:row>
    <x:row r="83">
      <x:c r="A83" s="72" t="str">
        <x:f>IF(OR(C83="",D83=""),"",B83&amp;"-"&amp;UPPER(C83)&amp;"-"&amp;TEXT(D83,"0000")&amp;"-"&amp;E83)</x:f>
        <x:v>M08-REL-0077-V1.0</x:v>
      </x:c>
      <x:c r="B83" s="74" t="str">
        <x:v>M08</x:v>
      </x:c>
      <x:c r="C83" s="74" t="str">
        <x:v>REL</x:v>
      </x:c>
      <x:c r="D83" s="79" t="n">
        <x:v>77</x:v>
      </x:c>
      <x:c r="E83" s="74" t="str">
        <x:v>V1.0</x:v>
      </x:c>
      <x:c r="F83" s="68" t="str">
        <x:v>冲弱时下调受损方并保留强方轻耗</x:v>
      </x:c>
      <x:c r="G83" s="82" t="str">
        <x:v>结构层</x:v>
      </x:c>
      <x:c r="H83" s="68" t="str">
        <x:v>M06冲弱</x:v>
      </x:c>
      <x:c r="I83" s="68" t="str">
        <x:v>参与五行</x:v>
      </x:c>
      <x:c r="J83" s="68" t="str">
        <x:v>强弱分明</x:v>
      </x:c>
      <x:c r="K83" s="68" t="str">
        <x:v>强支冲弱支</x:v>
      </x:c>
      <x:c r="L83" s="68" t="str">
        <x:v>弱方明显下调，强方轻度修正</x:v>
      </x:c>
      <x:c r="M83" s="82" t="str">
        <x:v>减弱</x:v>
      </x:c>
      <x:c r="N83" s="82" t="str">
        <x:v>强</x:v>
      </x:c>
      <x:c r="O83" s="82" t="str">
        <x:v>条件性</x:v>
      </x:c>
      <x:c r="P83" s="82" t="str">
        <x:v>条件性</x:v>
      </x:c>
      <x:c r="Q83" s="82" t="str">
        <x:v>条件性</x:v>
      </x:c>
      <x:c r="R83" s="82" t="str">
        <x:v>是</x:v>
      </x:c>
      <x:c r="S83" s="68" t="str">
        <x:v>前置模块已完成</x:v>
      </x:c>
      <x:c r="T83" s="68" t="str">
        <x:v>作用条件真实成立</x:v>
      </x:c>
      <x:c r="U83" s="68" t="str">
        <x:v>得令、有根、有援可增强</x:v>
      </x:c>
      <x:c r="V83" s="68" t="str">
        <x:v>失令、孤立或受制可削弱</x:v>
      </x:c>
      <x:c r="W83" s="90" t="str">
        <x:v>禁止用关系名称直接替代实际效应</x:v>
      </x:c>
      <x:c r="X83" s="68" t="str">
        <x:v>特殊格局与动态岁运另模块处理</x:v>
      </x:c>
      <x:c r="Y83" s="84" t="str">
        <x:v>按证据修正有效旺衰</x:v>
      </x:c>
      <x:c r="Z83" s="68" t="str">
        <x:v>不得直接推出喜忌用神</x:v>
      </x:c>
      <x:c r="AA83" s="84" t="str">
        <x:v>强冲弱</x:v>
      </x:c>
      <x:c r="AB83" s="84" t="str">
        <x:v>强冲弱时主要损伤落在弱方，但强方也可能有轻度耗损。</x:v>
      </x:c>
      <x:c r="AC83" s="82" t="str">
        <x:v>较高</x:v>
      </x:c>
      <x:c r="AD83" s="82" t="str">
        <x:v>现代综合</x:v>
      </x:c>
      <x:c r="AE83" s="68" t="str">
        <x:v>有效力量必须承接原始力量与实际效应，逐对象、逐节点修正。</x:v>
      </x:c>
      <x:c r="AF83" s="68" t="str">
        <x:v>先判断实际效应、共享节点和双方强弱，再进入力量修正。</x:v>
      </x:c>
      <x:c r="AG83" s="90" t="str">
        <x:v>见关系名称即双方统一扣分。</x:v>
      </x:c>
      <x:c r="AH83" s="68" t="str">
        <x:v>https://zh.wikisource.org/zh-hans/滴天髓 ; https://zh.wikisource.org/zh-hans/淵海子平 ; https://zh.wikisource.org/wiki/三命通會</x:v>
      </x:c>
      <x:c r="AI83" s="82" t="str">
        <x:v>采用</x:v>
      </x:c>
      <x:c r="AJ83" s="82" t="str">
        <x:v>初审</x:v>
      </x:c>
      <x:c r="AK83" s="87" t="n">
        <x:v>46255</x:v>
      </x:c>
    </x:row>
    <x:row r="84">
      <x:c r="A84" s="72" t="str">
        <x:f>IF(OR(C84="",D84=""),"",B84&amp;"-"&amp;UPPER(C84)&amp;"-"&amp;TEXT(D84,"0000")&amp;"-"&amp;E84)</x:f>
        <x:v>M08-REL-0078-V1.0</x:v>
      </x:c>
      <x:c r="B84" s="74" t="str">
        <x:v>M08</x:v>
      </x:c>
      <x:c r="C84" s="74" t="str">
        <x:v>REL</x:v>
      </x:c>
      <x:c r="D84" s="79" t="n">
        <x:v>78</x:v>
      </x:c>
      <x:c r="E84" s="74" t="str">
        <x:v>V1.0</x:v>
      </x:c>
      <x:c r="F84" s="68" t="str">
        <x:v>势均冲战主要破坏稳定与流通</x:v>
      </x:c>
      <x:c r="G84" s="82" t="str">
        <x:v>结构层</x:v>
      </x:c>
      <x:c r="H84" s="68" t="str">
        <x:v>M06六冲</x:v>
      </x:c>
      <x:c r="I84" s="68" t="str">
        <x:v>参与五行</x:v>
      </x:c>
      <x:c r="J84" s="68" t="str">
        <x:v>双方有根有势</x:v>
      </x:c>
      <x:c r="K84" s="68" t="str">
        <x:v>对冲</x:v>
      </x:c>
      <x:c r="L84" s="68" t="str">
        <x:v>双方适度耗损并提高阻断</x:v>
      </x:c>
      <x:c r="M84" s="82" t="str">
        <x:v>阻断</x:v>
      </x:c>
      <x:c r="N84" s="82" t="str">
        <x:v>中</x:v>
      </x:c>
      <x:c r="O84" s="82" t="str">
        <x:v>条件性</x:v>
      </x:c>
      <x:c r="P84" s="82" t="str">
        <x:v>条件性</x:v>
      </x:c>
      <x:c r="Q84" s="82" t="str">
        <x:v>条件性</x:v>
      </x:c>
      <x:c r="R84" s="82" t="str">
        <x:v>是</x:v>
      </x:c>
      <x:c r="S84" s="68" t="str">
        <x:v>前置模块已完成</x:v>
      </x:c>
      <x:c r="T84" s="68" t="str">
        <x:v>作用条件真实成立</x:v>
      </x:c>
      <x:c r="U84" s="68" t="str">
        <x:v>得令、有根、有援可增强</x:v>
      </x:c>
      <x:c r="V84" s="68" t="str">
        <x:v>失令、孤立或受制可削弱</x:v>
      </x:c>
      <x:c r="W84" s="90" t="str">
        <x:v>禁止用关系名称直接替代实际效应</x:v>
      </x:c>
      <x:c r="X84" s="68" t="str">
        <x:v>特殊格局与动态岁运另模块处理</x:v>
      </x:c>
      <x:c r="Y84" s="84" t="str">
        <x:v>按证据修正有效旺衰</x:v>
      </x:c>
      <x:c r="Z84" s="68" t="str">
        <x:v>不得直接推出喜忌用神</x:v>
      </x:c>
      <x:c r="AA84" s="84" t="str">
        <x:v>势均对战</x:v>
      </x:c>
      <x:c r="AB84" s="84" t="str">
        <x:v>势均相冲通常体现持续对战与流通受阻，而非一方消失。</x:v>
      </x:c>
      <x:c r="AC84" s="82" t="str">
        <x:v>较高</x:v>
      </x:c>
      <x:c r="AD84" s="82" t="str">
        <x:v>现代综合</x:v>
      </x:c>
      <x:c r="AE84" s="68" t="str">
        <x:v>有效力量必须承接原始力量与实际效应，逐对象、逐节点修正。</x:v>
      </x:c>
      <x:c r="AF84" s="68" t="str">
        <x:v>先判断实际效应、共享节点和双方强弱，再进入力量修正。</x:v>
      </x:c>
      <x:c r="AG84" s="90" t="str">
        <x:v>见关系名称即双方统一扣分。</x:v>
      </x:c>
      <x:c r="AH84" s="68" t="str">
        <x:v>https://zh.wikisource.org/zh-hans/滴天髓 ; https://zh.wikisource.org/zh-hans/淵海子平 ; https://zh.wikisource.org/wiki/三命通會</x:v>
      </x:c>
      <x:c r="AI84" s="82" t="str">
        <x:v>采用</x:v>
      </x:c>
      <x:c r="AJ84" s="82" t="str">
        <x:v>初审</x:v>
      </x:c>
      <x:c r="AK84" s="87" t="n">
        <x:v>46255</x:v>
      </x:c>
    </x:row>
    <x:row r="85">
      <x:c r="A85" s="72" t="str">
        <x:f>IF(OR(C85="",D85=""),"",B85&amp;"-"&amp;UPPER(C85)&amp;"-"&amp;TEXT(D85,"0000")&amp;"-"&amp;E85)</x:f>
        <x:v>M08-REL-0079-V1.0</x:v>
      </x:c>
      <x:c r="B85" s="74" t="str">
        <x:v>M08</x:v>
      </x:c>
      <x:c r="C85" s="74" t="str">
        <x:v>REL</x:v>
      </x:c>
      <x:c r="D85" s="79" t="n">
        <x:v>79</x:v>
      </x:c>
      <x:c r="E85" s="74" t="str">
        <x:v>V1.0</x:v>
      </x:c>
      <x:c r="F85" s="68" t="str">
        <x:v>三刑完整结构必须逐支修正</x:v>
      </x:c>
      <x:c r="G85" s="82" t="str">
        <x:v>结构层</x:v>
      </x:c>
      <x:c r="H85" s="68" t="str">
        <x:v>M06三刑</x:v>
      </x:c>
      <x:c r="I85" s="68" t="str">
        <x:v>参与五行</x:v>
      </x:c>
      <x:c r="J85" s="68" t="str">
        <x:v>多支参与</x:v>
      </x:c>
      <x:c r="K85" s="68" t="str">
        <x:v>三刑完整</x:v>
      </x:c>
      <x:c r="L85" s="68" t="str">
        <x:v>按每支得令根透与叠加关系分别修正</x:v>
      </x:c>
      <x:c r="M85" s="82" t="str">
        <x:v>条件性</x:v>
      </x:c>
      <x:c r="N85" s="82" t="str">
        <x:v>中</x:v>
      </x:c>
      <x:c r="O85" s="82" t="str">
        <x:v>条件性</x:v>
      </x:c>
      <x:c r="P85" s="82" t="str">
        <x:v>条件性</x:v>
      </x:c>
      <x:c r="Q85" s="82" t="str">
        <x:v>条件性</x:v>
      </x:c>
      <x:c r="R85" s="82" t="str">
        <x:v>是</x:v>
      </x:c>
      <x:c r="S85" s="68" t="str">
        <x:v>前置模块已完成</x:v>
      </x:c>
      <x:c r="T85" s="68" t="str">
        <x:v>作用条件真实成立</x:v>
      </x:c>
      <x:c r="U85" s="68" t="str">
        <x:v>得令、有根、有援可增强</x:v>
      </x:c>
      <x:c r="V85" s="68" t="str">
        <x:v>失令、孤立或受制可削弱</x:v>
      </x:c>
      <x:c r="W85" s="90" t="str">
        <x:v>禁止用关系名称直接替代实际效应</x:v>
      </x:c>
      <x:c r="X85" s="68" t="str">
        <x:v>特殊格局与动态岁运另模块处理</x:v>
      </x:c>
      <x:c r="Y85" s="84" t="str">
        <x:v>按证据修正有效旺衰</x:v>
      </x:c>
      <x:c r="Z85" s="68" t="str">
        <x:v>不得直接推出喜忌用神</x:v>
      </x:c>
      <x:c r="AA85" s="84" t="str">
        <x:v>三刑逐支</x:v>
      </x:c>
      <x:c r="AB85" s="84" t="str">
        <x:v>三刑完整只说明结构压力，实际力量必须逐支判断。</x:v>
      </x:c>
      <x:c r="AC85" s="82" t="str">
        <x:v>较高</x:v>
      </x:c>
      <x:c r="AD85" s="82" t="str">
        <x:v>现代综合</x:v>
      </x:c>
      <x:c r="AE85" s="68" t="str">
        <x:v>有效力量必须承接原始力量与实际效应，逐对象、逐节点修正。</x:v>
      </x:c>
      <x:c r="AF85" s="68" t="str">
        <x:v>先判断实际效应、共享节点和双方强弱，再进入力量修正。</x:v>
      </x:c>
      <x:c r="AG85" s="90" t="str">
        <x:v>见关系名称即双方统一扣分。</x:v>
      </x:c>
      <x:c r="AH85" s="68" t="str">
        <x:v>https://zh.wikisource.org/zh-hans/滴天髓 ; https://zh.wikisource.org/zh-hans/淵海子平 ; https://zh.wikisource.org/wiki/三命通會</x:v>
      </x:c>
      <x:c r="AI85" s="82" t="str">
        <x:v>采用</x:v>
      </x:c>
      <x:c r="AJ85" s="82" t="str">
        <x:v>初审</x:v>
      </x:c>
      <x:c r="AK85" s="87" t="n">
        <x:v>46255</x:v>
      </x:c>
    </x:row>
    <x:row r="86">
      <x:c r="A86" s="72" t="str">
        <x:f>IF(OR(C86="",D86=""),"",B86&amp;"-"&amp;UPPER(C86)&amp;"-"&amp;TEXT(D86,"0000")&amp;"-"&amp;E86)</x:f>
        <x:v>M08-REL-0080-V1.0</x:v>
      </x:c>
      <x:c r="B86" s="74" t="str">
        <x:v>M08</x:v>
      </x:c>
      <x:c r="C86" s="74" t="str">
        <x:v>REL</x:v>
      </x:c>
      <x:c r="D86" s="79" t="n">
        <x:v>80</x:v>
      </x:c>
      <x:c r="E86" s="74" t="str">
        <x:v>V1.0</x:v>
      </x:c>
      <x:c r="F86" s="68" t="str">
        <x:v>自刑默认优先修正稳定性而非基础力量</x:v>
      </x:c>
      <x:c r="G86" s="82" t="str">
        <x:v>结构层</x:v>
      </x:c>
      <x:c r="H86" s="68" t="str">
        <x:v>M06自刑</x:v>
      </x:c>
      <x:c r="I86" s="68" t="str">
        <x:v>参与五行</x:v>
      </x:c>
      <x:c r="J86" s="68" t="str">
        <x:v>重复同支</x:v>
      </x:c>
      <x:c r="K86" s="68" t="str">
        <x:v>自刑触发</x:v>
      </x:c>
      <x:c r="L86" s="68" t="str">
        <x:v>提高壅滞与反复标签，力量低度修正</x:v>
      </x:c>
      <x:c r="M86" s="82" t="str">
        <x:v>减弱</x:v>
      </x:c>
      <x:c r="N86" s="82" t="str">
        <x:v>弱</x:v>
      </x:c>
      <x:c r="O86" s="82" t="str">
        <x:v>条件性</x:v>
      </x:c>
      <x:c r="P86" s="82" t="str">
        <x:v>条件性</x:v>
      </x:c>
      <x:c r="Q86" s="82" t="str">
        <x:v>条件性</x:v>
      </x:c>
      <x:c r="R86" s="82" t="str">
        <x:v>是</x:v>
      </x:c>
      <x:c r="S86" s="68" t="str">
        <x:v>前置模块已完成</x:v>
      </x:c>
      <x:c r="T86" s="68" t="str">
        <x:v>作用条件真实成立</x:v>
      </x:c>
      <x:c r="U86" s="68" t="str">
        <x:v>得令、有根、有援可增强</x:v>
      </x:c>
      <x:c r="V86" s="68" t="str">
        <x:v>失令、孤立或受制可削弱</x:v>
      </x:c>
      <x:c r="W86" s="90" t="str">
        <x:v>禁止用关系名称直接替代实际效应</x:v>
      </x:c>
      <x:c r="X86" s="68" t="str">
        <x:v>特殊格局与动态岁运另模块处理</x:v>
      </x:c>
      <x:c r="Y86" s="84" t="str">
        <x:v>按证据修正有效旺衰</x:v>
      </x:c>
      <x:c r="Z86" s="68" t="str">
        <x:v>不得直接推出喜忌用神</x:v>
      </x:c>
      <x:c r="AA86" s="84" t="str">
        <x:v>自刑稳定性</x:v>
      </x:c>
      <x:c r="AB86" s="84" t="str">
        <x:v>自刑默认优先表现为稳定性和流通问题，而不是机械大幅扣减。</x:v>
      </x:c>
      <x:c r="AC86" s="82" t="str">
        <x:v>中等</x:v>
      </x:c>
      <x:c r="AD86" s="82" t="str">
        <x:v>现代综合</x:v>
      </x:c>
      <x:c r="AE86" s="68" t="str">
        <x:v>有效力量必须承接原始力量与实际效应，逐对象、逐节点修正。</x:v>
      </x:c>
      <x:c r="AF86" s="68" t="str">
        <x:v>先判断实际效应、共享节点和双方强弱，再进入力量修正。</x:v>
      </x:c>
      <x:c r="AG86" s="90" t="str">
        <x:v>见关系名称即双方统一扣分。</x:v>
      </x:c>
      <x:c r="AH86" s="68" t="str">
        <x:v>https://zh.wikisource.org/zh-hans/滴天髓 ; https://zh.wikisource.org/zh-hans/淵海子平 ; https://zh.wikisource.org/wiki/三命通會</x:v>
      </x:c>
      <x:c r="AI86" s="82" t="str">
        <x:v>待验证</x:v>
      </x:c>
      <x:c r="AJ86" s="82" t="str">
        <x:v>初审</x:v>
      </x:c>
      <x:c r="AK86" s="87" t="n">
        <x:v>46255</x:v>
      </x:c>
    </x:row>
    <x:row r="87">
      <x:c r="A87" s="72" t="str">
        <x:f>IF(OR(C87="",D87=""),"",B87&amp;"-"&amp;UPPER(C87)&amp;"-"&amp;TEXT(D87,"0000")&amp;"-"&amp;E87)</x:f>
        <x:v>M08-REL-0081-V1.0</x:v>
      </x:c>
      <x:c r="B87" s="74" t="str">
        <x:v>M08</x:v>
      </x:c>
      <x:c r="C87" s="74" t="str">
        <x:v>REL</x:v>
      </x:c>
      <x:c r="D87" s="79" t="n">
        <x:v>81</x:v>
      </x:c>
      <x:c r="E87" s="74" t="str">
        <x:v>V1.0</x:v>
      </x:c>
      <x:c r="F87" s="68" t="str">
        <x:v>六害对力量的直接修正通常低于六冲</x:v>
      </x:c>
      <x:c r="G87" s="82" t="str">
        <x:v>结构层</x:v>
      </x:c>
      <x:c r="H87" s="68" t="str">
        <x:v>M06六害</x:v>
      </x:c>
      <x:c r="I87" s="68" t="str">
        <x:v>参与五行</x:v>
      </x:c>
      <x:c r="J87" s="68" t="str">
        <x:v>任意</x:v>
      </x:c>
      <x:c r="K87" s="68" t="str">
        <x:v>六害</x:v>
      </x:c>
      <x:c r="L87" s="68" t="str">
        <x:v>默认轻度制约，破坏通道时升级</x:v>
      </x:c>
      <x:c r="M87" s="82" t="str">
        <x:v>减弱</x:v>
      </x:c>
      <x:c r="N87" s="82" t="str">
        <x:v>弱</x:v>
      </x:c>
      <x:c r="O87" s="82" t="str">
        <x:v>条件性</x:v>
      </x:c>
      <x:c r="P87" s="82" t="str">
        <x:v>条件性</x:v>
      </x:c>
      <x:c r="Q87" s="82" t="str">
        <x:v>条件性</x:v>
      </x:c>
      <x:c r="R87" s="82" t="str">
        <x:v>是</x:v>
      </x:c>
      <x:c r="S87" s="68" t="str">
        <x:v>前置模块已完成</x:v>
      </x:c>
      <x:c r="T87" s="68" t="str">
        <x:v>作用条件真实成立</x:v>
      </x:c>
      <x:c r="U87" s="68" t="str">
        <x:v>得令、有根、有援可增强</x:v>
      </x:c>
      <x:c r="V87" s="68" t="str">
        <x:v>失令、孤立或受制可削弱</x:v>
      </x:c>
      <x:c r="W87" s="90" t="str">
        <x:v>禁止用关系名称直接替代实际效应</x:v>
      </x:c>
      <x:c r="X87" s="68" t="str">
        <x:v>特殊格局与动态岁运另模块处理</x:v>
      </x:c>
      <x:c r="Y87" s="84" t="str">
        <x:v>按证据修正有效旺衰</x:v>
      </x:c>
      <x:c r="Z87" s="68" t="str">
        <x:v>不得直接推出喜忌用神</x:v>
      </x:c>
      <x:c r="AA87" s="84" t="str">
        <x:v>六害低权重</x:v>
      </x:c>
      <x:c r="AB87" s="84" t="str">
        <x:v>六害在力量层通常只作低权重修正，切断生源或桥梁时才升级。</x:v>
      </x:c>
      <x:c r="AC87" s="82" t="str">
        <x:v>中等</x:v>
      </x:c>
      <x:c r="AD87" s="82" t="str">
        <x:v>现代综合</x:v>
      </x:c>
      <x:c r="AE87" s="68" t="str">
        <x:v>有效力量必须承接原始力量与实际效应，逐对象、逐节点修正。</x:v>
      </x:c>
      <x:c r="AF87" s="68" t="str">
        <x:v>先判断实际效应、共享节点和双方强弱，再进入力量修正。</x:v>
      </x:c>
      <x:c r="AG87" s="90" t="str">
        <x:v>见关系名称即双方统一扣分。</x:v>
      </x:c>
      <x:c r="AH87" s="68" t="str">
        <x:v>https://zh.wikisource.org/zh-hans/滴天髓 ; https://zh.wikisource.org/zh-hans/淵海子平 ; https://zh.wikisource.org/wiki/三命通會</x:v>
      </x:c>
      <x:c r="AI87" s="82" t="str">
        <x:v>待验证</x:v>
      </x:c>
      <x:c r="AJ87" s="82" t="str">
        <x:v>初审</x:v>
      </x:c>
      <x:c r="AK87" s="87" t="n">
        <x:v>46255</x:v>
      </x:c>
    </x:row>
    <x:row r="88">
      <x:c r="A88" s="72" t="str">
        <x:f>IF(OR(C88="",D88=""),"",B88&amp;"-"&amp;UPPER(C88)&amp;"-"&amp;TEXT(D88,"0000")&amp;"-"&amp;E88)</x:f>
        <x:v>M08-REL-0082-V1.0</x:v>
      </x:c>
      <x:c r="B88" s="74" t="str">
        <x:v>M08</x:v>
      </x:c>
      <x:c r="C88" s="74" t="str">
        <x:v>REL</x:v>
      </x:c>
      <x:c r="D88" s="79" t="n">
        <x:v>82</x:v>
      </x:c>
      <x:c r="E88" s="74" t="str">
        <x:v>V1.0</x:v>
      </x:c>
      <x:c r="F88" s="68" t="str">
        <x:v>六破主要修正结构连接稳定性</x:v>
      </x:c>
      <x:c r="G88" s="82" t="str">
        <x:v>结构层</x:v>
      </x:c>
      <x:c r="H88" s="68" t="str">
        <x:v>M06六破</x:v>
      </x:c>
      <x:c r="I88" s="68" t="str">
        <x:v>参与五行</x:v>
      </x:c>
      <x:c r="J88" s="68" t="str">
        <x:v>任意</x:v>
      </x:c>
      <x:c r="K88" s="68" t="str">
        <x:v>六破</x:v>
      </x:c>
      <x:c r="L88" s="68" t="str">
        <x:v>默认不直接大幅改变总量</x:v>
      </x:c>
      <x:c r="M88" s="82" t="str">
        <x:v>阻断</x:v>
      </x:c>
      <x:c r="N88" s="82" t="str">
        <x:v>弱</x:v>
      </x:c>
      <x:c r="O88" s="82" t="str">
        <x:v>条件性</x:v>
      </x:c>
      <x:c r="P88" s="82" t="str">
        <x:v>条件性</x:v>
      </x:c>
      <x:c r="Q88" s="82" t="str">
        <x:v>条件性</x:v>
      </x:c>
      <x:c r="R88" s="82" t="str">
        <x:v>是</x:v>
      </x:c>
      <x:c r="S88" s="68" t="str">
        <x:v>前置模块已完成</x:v>
      </x:c>
      <x:c r="T88" s="68" t="str">
        <x:v>作用条件真实成立</x:v>
      </x:c>
      <x:c r="U88" s="68" t="str">
        <x:v>得令、有根、有援可增强</x:v>
      </x:c>
      <x:c r="V88" s="68" t="str">
        <x:v>失令、孤立或受制可削弱</x:v>
      </x:c>
      <x:c r="W88" s="90" t="str">
        <x:v>禁止用关系名称直接替代实际效应</x:v>
      </x:c>
      <x:c r="X88" s="68" t="str">
        <x:v>特殊格局与动态岁运另模块处理</x:v>
      </x:c>
      <x:c r="Y88" s="84" t="str">
        <x:v>按证据修正有效旺衰</x:v>
      </x:c>
      <x:c r="Z88" s="68" t="str">
        <x:v>不得直接推出喜忌用神</x:v>
      </x:c>
      <x:c r="AA88" s="84" t="str">
        <x:v>六破结构修正</x:v>
      </x:c>
      <x:c r="AB88" s="84" t="str">
        <x:v>六破主要用于修正结构连接与合局稳定性，对总量低权重处理。</x:v>
      </x:c>
      <x:c r="AC88" s="82" t="str">
        <x:v>中等</x:v>
      </x:c>
      <x:c r="AD88" s="82" t="str">
        <x:v>现代综合</x:v>
      </x:c>
      <x:c r="AE88" s="68" t="str">
        <x:v>有效力量必须承接原始力量与实际效应，逐对象、逐节点修正。</x:v>
      </x:c>
      <x:c r="AF88" s="68" t="str">
        <x:v>先判断实际效应、共享节点和双方强弱，再进入力量修正。</x:v>
      </x:c>
      <x:c r="AG88" s="90" t="str">
        <x:v>见关系名称即双方统一扣分。</x:v>
      </x:c>
      <x:c r="AH88" s="68" t="str">
        <x:v>https://zh.wikisource.org/zh-hans/滴天髓 ; https://zh.wikisource.org/zh-hans/淵海子平 ; https://zh.wikisource.org/wiki/三命通會</x:v>
      </x:c>
      <x:c r="AI88" s="82" t="str">
        <x:v>待验证</x:v>
      </x:c>
      <x:c r="AJ88" s="82" t="str">
        <x:v>初审</x:v>
      </x:c>
      <x:c r="AK88" s="87" t="n">
        <x:v>46255</x:v>
      </x:c>
    </x:row>
    <x:row r="89">
      <x:c r="A89" s="72" t="str">
        <x:f>IF(OR(C89="",D89=""),"",B89&amp;"-"&amp;UPPER(C89)&amp;"-"&amp;TEXT(D89,"0000")&amp;"-"&amp;E89)</x:f>
        <x:v>M08-REL-0083-V1.0</x:v>
      </x:c>
      <x:c r="B89" s="74" t="str">
        <x:v>M08</x:v>
      </x:c>
      <x:c r="C89" s="74" t="str">
        <x:v>REL</x:v>
      </x:c>
      <x:c r="D89" s="79" t="n">
        <x:v>83</x:v>
      </x:c>
      <x:c r="E89" s="74" t="str">
        <x:v>V1.0</x:v>
      </x:c>
      <x:c r="F89" s="68" t="str">
        <x:v>多重关系叠加先去重同源再判断协同或抵消</x:v>
      </x:c>
      <x:c r="G89" s="82" t="str">
        <x:v>结构层</x:v>
      </x:c>
      <x:c r="H89" s="68" t="str">
        <x:v>M06多重关系</x:v>
      </x:c>
      <x:c r="I89" s="68" t="str">
        <x:v>参与五行</x:v>
      </x:c>
      <x:c r="J89" s="68" t="str">
        <x:v>多关系</x:v>
      </x:c>
      <x:c r="K89" s="68" t="str">
        <x:v>合冲刑害破并见</x:v>
      </x:c>
      <x:c r="L89" s="68" t="str">
        <x:v>同源去重、独立效应净额叠加</x:v>
      </x:c>
      <x:c r="M89" s="82" t="str">
        <x:v>条件性</x:v>
      </x:c>
      <x:c r="N89" s="82" t="str">
        <x:v>强</x:v>
      </x:c>
      <x:c r="O89" s="82" t="str">
        <x:v>条件性</x:v>
      </x:c>
      <x:c r="P89" s="82" t="str">
        <x:v>条件性</x:v>
      </x:c>
      <x:c r="Q89" s="82" t="str">
        <x:v>条件性</x:v>
      </x:c>
      <x:c r="R89" s="82" t="str">
        <x:v>是</x:v>
      </x:c>
      <x:c r="S89" s="68" t="str">
        <x:v>前置模块已完成</x:v>
      </x:c>
      <x:c r="T89" s="68" t="str">
        <x:v>作用条件真实成立</x:v>
      </x:c>
      <x:c r="U89" s="68" t="str">
        <x:v>得令、有根、有援可增强</x:v>
      </x:c>
      <x:c r="V89" s="68" t="str">
        <x:v>失令、孤立或受制可削弱</x:v>
      </x:c>
      <x:c r="W89" s="90" t="str">
        <x:v>禁止用关系名称直接替代实际效应</x:v>
      </x:c>
      <x:c r="X89" s="68" t="str">
        <x:v>特殊格局与动态岁运另模块处理</x:v>
      </x:c>
      <x:c r="Y89" s="84" t="str">
        <x:v>按证据修正有效旺衰</x:v>
      </x:c>
      <x:c r="Z89" s="68" t="str">
        <x:v>不得直接推出喜忌用神</x:v>
      </x:c>
      <x:c r="AA89" s="84" t="str">
        <x:v>多重关系净效应</x:v>
      </x:c>
      <x:c r="AB89" s="84" t="str">
        <x:v>多重关系应先去重共享事实，再判断独立效应是协同还是抵消。</x:v>
      </x:c>
      <x:c r="AC89" s="82" t="str">
        <x:v>较高</x:v>
      </x:c>
      <x:c r="AD89" s="82" t="str">
        <x:v>现代综合</x:v>
      </x:c>
      <x:c r="AE89" s="68" t="str">
        <x:v>有效力量必须承接原始力量与实际效应，逐对象、逐节点修正。</x:v>
      </x:c>
      <x:c r="AF89" s="68" t="str">
        <x:v>先判断实际效应、共享节点和双方强弱，再进入力量修正。</x:v>
      </x:c>
      <x:c r="AG89" s="90" t="str">
        <x:v>见关系名称即双方统一扣分。</x:v>
      </x:c>
      <x:c r="AH89" s="68" t="str">
        <x:v>https://zh.wikisource.org/zh-hans/滴天髓 ; https://zh.wikisource.org/zh-hans/淵海子平 ; https://zh.wikisource.org/wiki/三命通會</x:v>
      </x:c>
      <x:c r="AI89" s="82" t="str">
        <x:v>采用</x:v>
      </x:c>
      <x:c r="AJ89" s="82" t="str">
        <x:v>初审</x:v>
      </x:c>
      <x:c r="AK89" s="87" t="n">
        <x:v>46255</x:v>
      </x:c>
    </x:row>
    <x:row r="90">
      <x:c r="A90" s="72" t="str">
        <x:f>IF(OR(C90="",D90=""),"",B90&amp;"-"&amp;UPPER(C90)&amp;"-"&amp;TEXT(D90,"0000")&amp;"-"&amp;E90)</x:f>
        <x:v>M08-REL-0084-V1.0</x:v>
      </x:c>
      <x:c r="B90" s="74" t="str">
        <x:v>M08</x:v>
      </x:c>
      <x:c r="C90" s="74" t="str">
        <x:v>REL</x:v>
      </x:c>
      <x:c r="D90" s="79" t="n">
        <x:v>84</x:v>
      </x:c>
      <x:c r="E90" s="74" t="str">
        <x:v>V1.0</x:v>
      </x:c>
      <x:c r="F90" s="68" t="str">
        <x:v>合冲并见时需先裁决主导关系</x:v>
      </x:c>
      <x:c r="G90" s="82" t="str">
        <x:v>结构层</x:v>
      </x:c>
      <x:c r="H90" s="68" t="str">
        <x:v>M06合冲并见</x:v>
      </x:c>
      <x:c r="I90" s="68" t="str">
        <x:v>参与五行</x:v>
      </x:c>
      <x:c r="J90" s="68" t="str">
        <x:v>关系叠加</x:v>
      </x:c>
      <x:c r="K90" s="68" t="str">
        <x:v>同一节点同时有合与冲</x:v>
      </x:c>
      <x:c r="L90" s="68" t="str">
        <x:v>按强弱重算双方有效性</x:v>
      </x:c>
      <x:c r="M90" s="82" t="str">
        <x:v>条件性</x:v>
      </x:c>
      <x:c r="N90" s="82" t="str">
        <x:v>强</x:v>
      </x:c>
      <x:c r="O90" s="82" t="str">
        <x:v>条件性</x:v>
      </x:c>
      <x:c r="P90" s="82" t="str">
        <x:v>条件性</x:v>
      </x:c>
      <x:c r="Q90" s="82" t="str">
        <x:v>条件性</x:v>
      </x:c>
      <x:c r="R90" s="82" t="str">
        <x:v>是</x:v>
      </x:c>
      <x:c r="S90" s="68" t="str">
        <x:v>前置模块已完成</x:v>
      </x:c>
      <x:c r="T90" s="68" t="str">
        <x:v>作用条件真实成立</x:v>
      </x:c>
      <x:c r="U90" s="68" t="str">
        <x:v>得令、有根、有援可增强</x:v>
      </x:c>
      <x:c r="V90" s="68" t="str">
        <x:v>失令、孤立或受制可削弱</x:v>
      </x:c>
      <x:c r="W90" s="90" t="str">
        <x:v>禁止用关系名称直接替代实际效应</x:v>
      </x:c>
      <x:c r="X90" s="68" t="str">
        <x:v>特殊格局与动态岁运另模块处理</x:v>
      </x:c>
      <x:c r="Y90" s="84" t="str">
        <x:v>按证据修正有效旺衰</x:v>
      </x:c>
      <x:c r="Z90" s="68" t="str">
        <x:v>不得直接推出喜忌用神</x:v>
      </x:c>
      <x:c r="AA90" s="84" t="str">
        <x:v>合冲裁决</x:v>
      </x:c>
      <x:c r="AB90" s="84" t="str">
        <x:v>合冲并见可能互相削弱或解开，不能简单累加减力。</x:v>
      </x:c>
      <x:c r="AC90" s="82" t="str">
        <x:v>较高</x:v>
      </x:c>
      <x:c r="AD90" s="82" t="str">
        <x:v>现代综合</x:v>
      </x:c>
      <x:c r="AE90" s="68" t="str">
        <x:v>有效力量必须承接原始力量与实际效应，逐对象、逐节点修正。</x:v>
      </x:c>
      <x:c r="AF90" s="68" t="str">
        <x:v>先判断实际效应、共享节点和双方强弱，再进入力量修正。</x:v>
      </x:c>
      <x:c r="AG90" s="90" t="str">
        <x:v>见关系名称即双方统一扣分。</x:v>
      </x:c>
      <x:c r="AH90" s="68" t="str">
        <x:v>https://zh.wikisource.org/zh-hans/滴天髓 ; https://zh.wikisource.org/zh-hans/淵海子平 ; https://zh.wikisource.org/wiki/三命通會</x:v>
      </x:c>
      <x:c r="AI90" s="82" t="str">
        <x:v>采用</x:v>
      </x:c>
      <x:c r="AJ90" s="82" t="str">
        <x:v>初审</x:v>
      </x:c>
      <x:c r="AK90" s="87" t="n">
        <x:v>46255</x:v>
      </x:c>
    </x:row>
    <x:row r="91">
      <x:c r="A91" s="72" t="str">
        <x:f>IF(OR(C91="",D91=""),"",B91&amp;"-"&amp;UPPER(C91)&amp;"-"&amp;TEXT(D91,"0000")&amp;"-"&amp;E91)</x:f>
        <x:v>M08-REL-0085-V1.0</x:v>
      </x:c>
      <x:c r="B91" s="74" t="str">
        <x:v>M08</x:v>
      </x:c>
      <x:c r="C91" s="74" t="str">
        <x:v>REL</x:v>
      </x:c>
      <x:c r="D91" s="79" t="n">
        <x:v>85</x:v>
      </x:c>
      <x:c r="E91" s="74" t="str">
        <x:v>V1.0</x:v>
      </x:c>
      <x:c r="F91" s="68" t="str">
        <x:v>刑冲并见且独立同向时可升级受损等级</x:v>
      </x:c>
      <x:c r="G91" s="82" t="str">
        <x:v>结构层</x:v>
      </x:c>
      <x:c r="H91" s="68" t="str">
        <x:v>M06刑冲并见</x:v>
      </x:c>
      <x:c r="I91" s="68" t="str">
        <x:v>参与五行</x:v>
      </x:c>
      <x:c r="J91" s="68" t="str">
        <x:v>根或节点受压</x:v>
      </x:c>
      <x:c r="K91" s="68" t="str">
        <x:v>独立刑伤与强冲共同作用</x:v>
      </x:c>
      <x:c r="L91" s="68" t="str">
        <x:v>排除同源后提高减力等级</x:v>
      </x:c>
      <x:c r="M91" s="82" t="str">
        <x:v>减弱</x:v>
      </x:c>
      <x:c r="N91" s="82" t="str">
        <x:v>强</x:v>
      </x:c>
      <x:c r="O91" s="82" t="str">
        <x:v>条件性</x:v>
      </x:c>
      <x:c r="P91" s="82" t="str">
        <x:v>条件性</x:v>
      </x:c>
      <x:c r="Q91" s="82" t="str">
        <x:v>条件性</x:v>
      </x:c>
      <x:c r="R91" s="82" t="str">
        <x:v>是</x:v>
      </x:c>
      <x:c r="S91" s="68" t="str">
        <x:v>前置模块已完成</x:v>
      </x:c>
      <x:c r="T91" s="68" t="str">
        <x:v>作用条件真实成立</x:v>
      </x:c>
      <x:c r="U91" s="68" t="str">
        <x:v>得令、有根、有援可增强</x:v>
      </x:c>
      <x:c r="V91" s="68" t="str">
        <x:v>失令、孤立或受制可削弱</x:v>
      </x:c>
      <x:c r="W91" s="90" t="str">
        <x:v>禁止用关系名称直接替代实际效应</x:v>
      </x:c>
      <x:c r="X91" s="68" t="str">
        <x:v>特殊格局与动态岁运另模块处理</x:v>
      </x:c>
      <x:c r="Y91" s="84" t="str">
        <x:v>按证据修正有效旺衰</x:v>
      </x:c>
      <x:c r="Z91" s="68" t="str">
        <x:v>不得直接推出喜忌用神</x:v>
      </x:c>
      <x:c r="AA91" s="84" t="str">
        <x:v>刑冲协同</x:v>
      </x:c>
      <x:c r="AB91" s="84" t="str">
        <x:v>独立刑伤与强冲方向一致时可升级损伤，但必须排除同源重复计权。</x:v>
      </x:c>
      <x:c r="AC91" s="82" t="str">
        <x:v>较高</x:v>
      </x:c>
      <x:c r="AD91" s="82" t="str">
        <x:v>现代综合</x:v>
      </x:c>
      <x:c r="AE91" s="68" t="str">
        <x:v>有效力量必须承接原始力量与实际效应，逐对象、逐节点修正。</x:v>
      </x:c>
      <x:c r="AF91" s="68" t="str">
        <x:v>先判断实际效应、共享节点和双方强弱，再进入力量修正。</x:v>
      </x:c>
      <x:c r="AG91" s="90" t="str">
        <x:v>见关系名称即双方统一扣分。</x:v>
      </x:c>
      <x:c r="AH91" s="68" t="str">
        <x:v>https://zh.wikisource.org/zh-hans/滴天髓 ; https://zh.wikisource.org/zh-hans/淵海子平 ; https://zh.wikisource.org/wiki/三命通會</x:v>
      </x:c>
      <x:c r="AI91" s="82" t="str">
        <x:v>采用</x:v>
      </x:c>
      <x:c r="AJ91" s="82" t="str">
        <x:v>初审</x:v>
      </x:c>
      <x:c r="AK91" s="87" t="n">
        <x:v>46255</x:v>
      </x:c>
    </x:row>
    <x:row r="92">
      <x:c r="A92" s="72" t="str">
        <x:f>IF(OR(C92="",D92=""),"",B92&amp;"-"&amp;UPPER(C92)&amp;"-"&amp;TEXT(D92,"0000")&amp;"-"&amp;E92)</x:f>
        <x:v>M08-REL-0086-V1.0</x:v>
      </x:c>
      <x:c r="B92" s="74" t="str">
        <x:v>M08</x:v>
      </x:c>
      <x:c r="C92" s="74" t="str">
        <x:v>REL</x:v>
      </x:c>
      <x:c r="D92" s="79" t="n">
        <x:v>86</x:v>
      </x:c>
      <x:c r="E92" s="74" t="str">
        <x:v>V1.0</x:v>
      </x:c>
      <x:c r="F92" s="68" t="str">
        <x:v>M08关系修正必须基于M06实际效应而非M05关系名</x:v>
      </x:c>
      <x:c r="G92" s="82" t="str">
        <x:v>结构层</x:v>
      </x:c>
      <x:c r="H92" s="68" t="str">
        <x:v>M08边界</x:v>
      </x:c>
      <x:c r="I92" s="68" t="str">
        <x:v>参与五行</x:v>
      </x:c>
      <x:c r="J92" s="68" t="str">
        <x:v>任意</x:v>
      </x:c>
      <x:c r="K92" s="68" t="str">
        <x:v>存在刑冲合会害破</x:v>
      </x:c>
      <x:c r="L92" s="68" t="str">
        <x:v>仅承接M06已判定效应</x:v>
      </x:c>
      <x:c r="M92" s="82" t="str">
        <x:v>不变</x:v>
      </x:c>
      <x:c r="N92" s="82" t="str">
        <x:v>弱</x:v>
      </x:c>
      <x:c r="O92" s="82" t="str">
        <x:v>条件性</x:v>
      </x:c>
      <x:c r="P92" s="82" t="str">
        <x:v>条件性</x:v>
      </x:c>
      <x:c r="Q92" s="82" t="str">
        <x:v>条件性</x:v>
      </x:c>
      <x:c r="R92" s="82" t="str">
        <x:v>是</x:v>
      </x:c>
      <x:c r="S92" s="68" t="str">
        <x:v>前置模块已完成</x:v>
      </x:c>
      <x:c r="T92" s="68" t="str">
        <x:v>作用条件真实成立</x:v>
      </x:c>
      <x:c r="U92" s="68" t="str">
        <x:v>得令、有根、有援可增强</x:v>
      </x:c>
      <x:c r="V92" s="68" t="str">
        <x:v>失令、孤立或受制可削弱</x:v>
      </x:c>
      <x:c r="W92" s="90" t="str">
        <x:v>禁止用关系名称直接替代实际效应</x:v>
      </x:c>
      <x:c r="X92" s="68" t="str">
        <x:v>特殊格局与动态岁运另模块处理</x:v>
      </x:c>
      <x:c r="Y92" s="84" t="str">
        <x:v>按证据修正有效旺衰</x:v>
      </x:c>
      <x:c r="Z92" s="68" t="str">
        <x:v>不得直接推出喜忌用神</x:v>
      </x:c>
      <x:c r="AA92" s="84" t="str">
        <x:v>效应接口</x:v>
      </x:c>
      <x:c r="AB92" s="84" t="str">
        <x:v>M08只接受M06的实际效应输出，不允许直接把M05关系名换算成力量增减。</x:v>
      </x:c>
      <x:c r="AC92" s="82" t="str">
        <x:v>较高</x:v>
      </x:c>
      <x:c r="AD92" s="82" t="str">
        <x:v>现代综合</x:v>
      </x:c>
      <x:c r="AE92" s="68" t="str">
        <x:v>有效力量必须承接原始力量与实际效应，逐对象、逐节点修正。</x:v>
      </x:c>
      <x:c r="AF92" s="68" t="str">
        <x:v>先判断实际效应、共享节点和双方强弱，再进入力量修正。</x:v>
      </x:c>
      <x:c r="AG92" s="90" t="str">
        <x:v>见关系名称即双方统一扣分。</x:v>
      </x:c>
      <x:c r="AH92" s="68" t="str">
        <x:v>https://zh.wikisource.org/zh-hans/滴天髓 ; https://zh.wikisource.org/zh-hans/淵海子平 ; https://zh.wikisource.org/wiki/三命通會</x:v>
      </x:c>
      <x:c r="AI92" s="82" t="str">
        <x:v>采用</x:v>
      </x:c>
      <x:c r="AJ92" s="82" t="str">
        <x:v>初审</x:v>
      </x:c>
      <x:c r="AK92" s="87" t="n">
        <x:v>46255</x:v>
      </x:c>
    </x:row>
    <x:row r="93">
      <x:c r="A93" s="72" t="str">
        <x:f>IF(OR(C93="",D93=""),"",B93&amp;"-"&amp;UPPER(C93)&amp;"-"&amp;TEXT(D93,"0000")&amp;"-"&amp;E93)</x:f>
        <x:v>M08-CLIM-0087-V1.0</x:v>
      </x:c>
      <x:c r="B93" s="74" t="str">
        <x:v>M08</x:v>
      </x:c>
      <x:c r="C93" s="74" t="str">
        <x:v>CLIM</x:v>
      </x:c>
      <x:c r="D93" s="79" t="n">
        <x:v>87</x:v>
      </x:c>
      <x:c r="E93" s="74" t="str">
        <x:v>V1.0</x:v>
      </x:c>
      <x:c r="F93" s="68" t="str">
        <x:v>极寒环境可降低火的有效发挥度</x:v>
      </x:c>
      <x:c r="G93" s="82" t="str">
        <x:v>结构层</x:v>
      </x:c>
      <x:c r="H93" s="68" t="str">
        <x:v>M13调候接口</x:v>
      </x:c>
      <x:c r="I93" s="68" t="str">
        <x:v>目标五行</x:v>
      </x:c>
      <x:c r="J93" s="68" t="str">
        <x:v>有火</x:v>
      </x:c>
      <x:c r="K93" s="68" t="str">
        <x:v>寒水成势且火无根无木生</x:v>
      </x:c>
      <x:c r="L93" s="68" t="str">
        <x:v>下调火的持续燃烧与显用能力</x:v>
      </x:c>
      <x:c r="M93" s="82" t="str">
        <x:v>减弱</x:v>
      </x:c>
      <x:c r="N93" s="82" t="str">
        <x:v>中</x:v>
      </x:c>
      <x:c r="O93" s="82" t="str">
        <x:v>条件性</x:v>
      </x:c>
      <x:c r="P93" s="82" t="str">
        <x:v>条件性</x:v>
      </x:c>
      <x:c r="Q93" s="82" t="str">
        <x:v>条件性</x:v>
      </x:c>
      <x:c r="R93" s="82" t="str">
        <x:v>是</x:v>
      </x:c>
      <x:c r="S93" s="68" t="str">
        <x:v>前置模块已完成</x:v>
      </x:c>
      <x:c r="T93" s="68" t="str">
        <x:v>作用条件真实成立</x:v>
      </x:c>
      <x:c r="U93" s="68" t="str">
        <x:v>得令、有根、有援可增强</x:v>
      </x:c>
      <x:c r="V93" s="68" t="str">
        <x:v>失令、孤立或受制可削弱</x:v>
      </x:c>
      <x:c r="W93" s="90" t="str">
        <x:v>禁止用关系名称直接替代实际效应</x:v>
      </x:c>
      <x:c r="X93" s="68" t="str">
        <x:v>特殊格局与动态岁运另模块处理</x:v>
      </x:c>
      <x:c r="Y93" s="84" t="str">
        <x:v>按证据修正有效旺衰</x:v>
      </x:c>
      <x:c r="Z93" s="68" t="str">
        <x:v>不得直接推出喜忌用神</x:v>
      </x:c>
      <x:c r="AA93" s="84" t="str">
        <x:v>寒抑火</x:v>
      </x:c>
      <x:c r="AB93" s="84" t="str">
        <x:v>极寒环境中孤弱之火的实际发挥度可能低于原始数量所显示。</x:v>
      </x:c>
      <x:c r="AC93" s="82" t="str">
        <x:v>中等</x:v>
      </x:c>
      <x:c r="AD93" s="82" t="str">
        <x:v>调候</x:v>
      </x:c>
      <x:c r="AE93" s="68" t="str">
        <x:v>有效力量必须承接原始力量与实际效应，逐对象、逐节点修正。</x:v>
      </x:c>
      <x:c r="AF93" s="68" t="str">
        <x:v>只有寒暖燥湿证据明确且真正影响生化时才修正。</x:v>
      </x:c>
      <x:c r="AG93" s="90" t="str">
        <x:v>按季节固定给某五行加减分或直接定用神。</x:v>
      </x:c>
      <x:c r="AH93" s="68" t="str">
        <x:v>https://zh.wikisource.org/zh-hans/滴天髓 ; https://zh.wikisource.org/zh-hans/淵海子平 ; https://zh.wikisource.org/wiki/三命通會</x:v>
      </x:c>
      <x:c r="AI93" s="82" t="str">
        <x:v>采用</x:v>
      </x:c>
      <x:c r="AJ93" s="82" t="str">
        <x:v>初审</x:v>
      </x:c>
      <x:c r="AK93" s="87" t="n">
        <x:v>46255</x:v>
      </x:c>
    </x:row>
    <x:row r="94">
      <x:c r="A94" s="72" t="str">
        <x:f>IF(OR(C94="",D94=""),"",B94&amp;"-"&amp;UPPER(C94)&amp;"-"&amp;TEXT(D94,"0000")&amp;"-"&amp;E94)</x:f>
        <x:v>M08-CLIM-0088-V1.0</x:v>
      </x:c>
      <x:c r="B94" s="74" t="str">
        <x:v>M08</x:v>
      </x:c>
      <x:c r="C94" s="74" t="str">
        <x:v>CLIM</x:v>
      </x:c>
      <x:c r="D94" s="79" t="n">
        <x:v>88</x:v>
      </x:c>
      <x:c r="E94" s="74" t="str">
        <x:v>V1.0</x:v>
      </x:c>
      <x:c r="F94" s="68" t="str">
        <x:v>寒湿过重可降低木的生发与透达</x:v>
      </x:c>
      <x:c r="G94" s="82" t="str">
        <x:v>结构层</x:v>
      </x:c>
      <x:c r="H94" s="68" t="str">
        <x:v>M13调候接口</x:v>
      </x:c>
      <x:c r="I94" s="68" t="str">
        <x:v>目标五行</x:v>
      </x:c>
      <x:c r="J94" s="68" t="str">
        <x:v>有木</x:v>
      </x:c>
      <x:c r="K94" s="68" t="str">
        <x:v>水寒湿重且无火温养</x:v>
      </x:c>
      <x:c r="L94" s="68" t="str">
        <x:v>下调木的生发与疏泄效率</x:v>
      </x:c>
      <x:c r="M94" s="82" t="str">
        <x:v>减弱</x:v>
      </x:c>
      <x:c r="N94" s="82" t="str">
        <x:v>中</x:v>
      </x:c>
      <x:c r="O94" s="82" t="str">
        <x:v>条件性</x:v>
      </x:c>
      <x:c r="P94" s="82" t="str">
        <x:v>条件性</x:v>
      </x:c>
      <x:c r="Q94" s="82" t="str">
        <x:v>条件性</x:v>
      </x:c>
      <x:c r="R94" s="82" t="str">
        <x:v>是</x:v>
      </x:c>
      <x:c r="S94" s="68" t="str">
        <x:v>前置模块已完成</x:v>
      </x:c>
      <x:c r="T94" s="68" t="str">
        <x:v>作用条件真实成立</x:v>
      </x:c>
      <x:c r="U94" s="68" t="str">
        <x:v>得令、有根、有援可增强</x:v>
      </x:c>
      <x:c r="V94" s="68" t="str">
        <x:v>失令、孤立或受制可削弱</x:v>
      </x:c>
      <x:c r="W94" s="90" t="str">
        <x:v>禁止用关系名称直接替代实际效应</x:v>
      </x:c>
      <x:c r="X94" s="68" t="str">
        <x:v>特殊格局与动态岁运另模块处理</x:v>
      </x:c>
      <x:c r="Y94" s="84" t="str">
        <x:v>按证据修正有效旺衰</x:v>
      </x:c>
      <x:c r="Z94" s="68" t="str">
        <x:v>不得直接推出喜忌用神</x:v>
      </x:c>
      <x:c r="AA94" s="84" t="str">
        <x:v>寒湿木滞</x:v>
      </x:c>
      <x:c r="AB94" s="84" t="str">
        <x:v>寒湿过重时木的实际生发与疏泄能力下降。</x:v>
      </x:c>
      <x:c r="AC94" s="82" t="str">
        <x:v>中等</x:v>
      </x:c>
      <x:c r="AD94" s="82" t="str">
        <x:v>调候</x:v>
      </x:c>
      <x:c r="AE94" s="68" t="str">
        <x:v>有效力量必须承接原始力量与实际效应，逐对象、逐节点修正。</x:v>
      </x:c>
      <x:c r="AF94" s="68" t="str">
        <x:v>只有寒暖燥湿证据明确且真正影响生化时才修正。</x:v>
      </x:c>
      <x:c r="AG94" s="90" t="str">
        <x:v>按季节固定给某五行加减分或直接定用神。</x:v>
      </x:c>
      <x:c r="AH94" s="68" t="str">
        <x:v>https://zh.wikisource.org/zh-hans/滴天髓 ; https://zh.wikisource.org/zh-hans/淵海子平 ; https://zh.wikisource.org/wiki/三命通會</x:v>
      </x:c>
      <x:c r="AI94" s="82" t="str">
        <x:v>采用</x:v>
      </x:c>
      <x:c r="AJ94" s="82" t="str">
        <x:v>初审</x:v>
      </x:c>
      <x:c r="AK94" s="87" t="n">
        <x:v>46255</x:v>
      </x:c>
    </x:row>
    <x:row r="95">
      <x:c r="A95" s="72" t="str">
        <x:f>IF(OR(C95="",D95=""),"",B95&amp;"-"&amp;UPPER(C95)&amp;"-"&amp;TEXT(D95,"0000")&amp;"-"&amp;E95)</x:f>
        <x:v>M08-CLIM-0089-V1.0</x:v>
      </x:c>
      <x:c r="B95" s="74" t="str">
        <x:v>M08</x:v>
      </x:c>
      <x:c r="C95" s="74" t="str">
        <x:v>CLIM</x:v>
      </x:c>
      <x:c r="D95" s="79" t="n">
        <x:v>89</x:v>
      </x:c>
      <x:c r="E95" s="74" t="str">
        <x:v>V1.0</x:v>
      </x:c>
      <x:c r="F95" s="68" t="str">
        <x:v>燥热过重可降低水的存续与滋润能力</x:v>
      </x:c>
      <x:c r="G95" s="82" t="str">
        <x:v>结构层</x:v>
      </x:c>
      <x:c r="H95" s="68" t="str">
        <x:v>M13调候接口</x:v>
      </x:c>
      <x:c r="I95" s="68" t="str">
        <x:v>目标五行</x:v>
      </x:c>
      <x:c r="J95" s="68" t="str">
        <x:v>有水</x:v>
      </x:c>
      <x:c r="K95" s="68" t="str">
        <x:v>火土燥热成势且水孤弱</x:v>
      </x:c>
      <x:c r="L95" s="68" t="str">
        <x:v>下调水的持续性与滋润能力</x:v>
      </x:c>
      <x:c r="M95" s="82" t="str">
        <x:v>减弱</x:v>
      </x:c>
      <x:c r="N95" s="82" t="str">
        <x:v>中</x:v>
      </x:c>
      <x:c r="O95" s="82" t="str">
        <x:v>条件性</x:v>
      </x:c>
      <x:c r="P95" s="82" t="str">
        <x:v>条件性</x:v>
      </x:c>
      <x:c r="Q95" s="82" t="str">
        <x:v>条件性</x:v>
      </x:c>
      <x:c r="R95" s="82" t="str">
        <x:v>是</x:v>
      </x:c>
      <x:c r="S95" s="68" t="str">
        <x:v>前置模块已完成</x:v>
      </x:c>
      <x:c r="T95" s="68" t="str">
        <x:v>作用条件真实成立</x:v>
      </x:c>
      <x:c r="U95" s="68" t="str">
        <x:v>得令、有根、有援可增强</x:v>
      </x:c>
      <x:c r="V95" s="68" t="str">
        <x:v>失令、孤立或受制可削弱</x:v>
      </x:c>
      <x:c r="W95" s="90" t="str">
        <x:v>禁止用关系名称直接替代实际效应</x:v>
      </x:c>
      <x:c r="X95" s="68" t="str">
        <x:v>特殊格局与动态岁运另模块处理</x:v>
      </x:c>
      <x:c r="Y95" s="84" t="str">
        <x:v>按证据修正有效旺衰</x:v>
      </x:c>
      <x:c r="Z95" s="68" t="str">
        <x:v>不得直接推出喜忌用神</x:v>
      </x:c>
      <x:c r="AA95" s="84" t="str">
        <x:v>燥耗水</x:v>
      </x:c>
      <x:c r="AB95" s="84" t="str">
        <x:v>燥热环境中孤弱水的有效滋润能力应下调。</x:v>
      </x:c>
      <x:c r="AC95" s="82" t="str">
        <x:v>中等</x:v>
      </x:c>
      <x:c r="AD95" s="82" t="str">
        <x:v>调候</x:v>
      </x:c>
      <x:c r="AE95" s="68" t="str">
        <x:v>有效力量必须承接原始力量与实际效应，逐对象、逐节点修正。</x:v>
      </x:c>
      <x:c r="AF95" s="68" t="str">
        <x:v>只有寒暖燥湿证据明确且真正影响生化时才修正。</x:v>
      </x:c>
      <x:c r="AG95" s="90" t="str">
        <x:v>按季节固定给某五行加减分或直接定用神。</x:v>
      </x:c>
      <x:c r="AH95" s="68" t="str">
        <x:v>https://zh.wikisource.org/zh-hans/滴天髓 ; https://zh.wikisource.org/zh-hans/淵海子平 ; https://zh.wikisource.org/wiki/三命通會</x:v>
      </x:c>
      <x:c r="AI95" s="82" t="str">
        <x:v>采用</x:v>
      </x:c>
      <x:c r="AJ95" s="82" t="str">
        <x:v>初审</x:v>
      </x:c>
      <x:c r="AK95" s="87" t="n">
        <x:v>46255</x:v>
      </x:c>
    </x:row>
    <x:row r="96">
      <x:c r="A96" s="72" t="str">
        <x:f>IF(OR(C96="",D96=""),"",B96&amp;"-"&amp;UPPER(C96)&amp;"-"&amp;TEXT(D96,"0000")&amp;"-"&amp;E96)</x:f>
        <x:v>M08-CLIM-0090-V1.0</x:v>
      </x:c>
      <x:c r="B96" s="74" t="str">
        <x:v>M08</x:v>
      </x:c>
      <x:c r="C96" s="74" t="str">
        <x:v>CLIM</x:v>
      </x:c>
      <x:c r="D96" s="79" t="n">
        <x:v>90</x:v>
      </x:c>
      <x:c r="E96" s="74" t="str">
        <x:v>V1.0</x:v>
      </x:c>
      <x:c r="F96" s="68" t="str">
        <x:v>燥土过重可限制木根生发效率</x:v>
      </x:c>
      <x:c r="G96" s="82" t="str">
        <x:v>结构层</x:v>
      </x:c>
      <x:c r="H96" s="68" t="str">
        <x:v>M13调候接口</x:v>
      </x:c>
      <x:c r="I96" s="68" t="str">
        <x:v>目标五行</x:v>
      </x:c>
      <x:c r="J96" s="68" t="str">
        <x:v>有木根</x:v>
      </x:c>
      <x:c r="K96" s="68" t="str">
        <x:v>燥土成势且无水润</x:v>
      </x:c>
      <x:c r="L96" s="68" t="str">
        <x:v>保留木根但降低功能</x:v>
      </x:c>
      <x:c r="M96" s="82" t="str">
        <x:v>减弱</x:v>
      </x:c>
      <x:c r="N96" s="82" t="str">
        <x:v>弱</x:v>
      </x:c>
      <x:c r="O96" s="82" t="str">
        <x:v>条件性</x:v>
      </x:c>
      <x:c r="P96" s="82" t="str">
        <x:v>条件性</x:v>
      </x:c>
      <x:c r="Q96" s="82" t="str">
        <x:v>条件性</x:v>
      </x:c>
      <x:c r="R96" s="82" t="str">
        <x:v>是</x:v>
      </x:c>
      <x:c r="S96" s="68" t="str">
        <x:v>前置模块已完成</x:v>
      </x:c>
      <x:c r="T96" s="68" t="str">
        <x:v>作用条件真实成立</x:v>
      </x:c>
      <x:c r="U96" s="68" t="str">
        <x:v>得令、有根、有援可增强</x:v>
      </x:c>
      <x:c r="V96" s="68" t="str">
        <x:v>失令、孤立或受制可削弱</x:v>
      </x:c>
      <x:c r="W96" s="90" t="str">
        <x:v>禁止用关系名称直接替代实际效应</x:v>
      </x:c>
      <x:c r="X96" s="68" t="str">
        <x:v>特殊格局与动态岁运另模块处理</x:v>
      </x:c>
      <x:c r="Y96" s="84" t="str">
        <x:v>按证据修正有效旺衰</x:v>
      </x:c>
      <x:c r="Z96" s="68" t="str">
        <x:v>不得直接推出喜忌用神</x:v>
      </x:c>
      <x:c r="AA96" s="84" t="str">
        <x:v>燥土木困</x:v>
      </x:c>
      <x:c r="AB96" s="84" t="str">
        <x:v>燥土过重且无水润时，木根仍存在，但生发与疏土效率下降。</x:v>
      </x:c>
      <x:c r="AC96" s="82" t="str">
        <x:v>中等</x:v>
      </x:c>
      <x:c r="AD96" s="82" t="str">
        <x:v>调候</x:v>
      </x:c>
      <x:c r="AE96" s="68" t="str">
        <x:v>有效力量必须承接原始力量与实际效应，逐对象、逐节点修正。</x:v>
      </x:c>
      <x:c r="AF96" s="68" t="str">
        <x:v>只有寒暖燥湿证据明确且真正影响生化时才修正。</x:v>
      </x:c>
      <x:c r="AG96" s="90" t="str">
        <x:v>按季节固定给某五行加减分或直接定用神。</x:v>
      </x:c>
      <x:c r="AH96" s="68" t="str">
        <x:v>https://zh.wikisource.org/zh-hans/滴天髓 ; https://zh.wikisource.org/zh-hans/淵海子平 ; https://zh.wikisource.org/wiki/三命通會</x:v>
      </x:c>
      <x:c r="AI96" s="82" t="str">
        <x:v>待验证</x:v>
      </x:c>
      <x:c r="AJ96" s="82" t="str">
        <x:v>初审</x:v>
      </x:c>
      <x:c r="AK96" s="87" t="n">
        <x:v>46255</x:v>
      </x:c>
    </x:row>
    <x:row r="97">
      <x:c r="A97" s="72" t="str">
        <x:f>IF(OR(C97="",D97=""),"",B97&amp;"-"&amp;UPPER(C97)&amp;"-"&amp;TEXT(D97,"0000")&amp;"-"&amp;E97)</x:f>
        <x:v>M08-CLIM-0091-V1.0</x:v>
      </x:c>
      <x:c r="B97" s="74" t="str">
        <x:v>M08</x:v>
      </x:c>
      <x:c r="C97" s="74" t="str">
        <x:v>CLIM</x:v>
      </x:c>
      <x:c r="D97" s="79" t="n">
        <x:v>91</x:v>
      </x:c>
      <x:c r="E97" s="74" t="str">
        <x:v>V1.0</x:v>
      </x:c>
      <x:c r="F97" s="68" t="str">
        <x:v>湿土过重可降低火的透达并形成晦火候选</x:v>
      </x:c>
      <x:c r="G97" s="82" t="str">
        <x:v>结构层</x:v>
      </x:c>
      <x:c r="H97" s="68" t="str">
        <x:v>M13调候接口</x:v>
      </x:c>
      <x:c r="I97" s="68" t="str">
        <x:v>目标五行</x:v>
      </x:c>
      <x:c r="J97" s="68" t="str">
        <x:v>有火</x:v>
      </x:c>
      <x:c r="K97" s="68" t="str">
        <x:v>湿土水重且火弱</x:v>
      </x:c>
      <x:c r="L97" s="68" t="str">
        <x:v>下调火的透达与持续作用</x:v>
      </x:c>
      <x:c r="M97" s="82" t="str">
        <x:v>减弱</x:v>
      </x:c>
      <x:c r="N97" s="82" t="str">
        <x:v>中</x:v>
      </x:c>
      <x:c r="O97" s="82" t="str">
        <x:v>条件性</x:v>
      </x:c>
      <x:c r="P97" s="82" t="str">
        <x:v>条件性</x:v>
      </x:c>
      <x:c r="Q97" s="82" t="str">
        <x:v>条件性</x:v>
      </x:c>
      <x:c r="R97" s="82" t="str">
        <x:v>是</x:v>
      </x:c>
      <x:c r="S97" s="68" t="str">
        <x:v>前置模块已完成</x:v>
      </x:c>
      <x:c r="T97" s="68" t="str">
        <x:v>作用条件真实成立</x:v>
      </x:c>
      <x:c r="U97" s="68" t="str">
        <x:v>得令、有根、有援可增强</x:v>
      </x:c>
      <x:c r="V97" s="68" t="str">
        <x:v>失令、孤立或受制可削弱</x:v>
      </x:c>
      <x:c r="W97" s="90" t="str">
        <x:v>禁止用关系名称直接替代实际效应</x:v>
      </x:c>
      <x:c r="X97" s="68" t="str">
        <x:v>特殊格局与动态岁运另模块处理</x:v>
      </x:c>
      <x:c r="Y97" s="84" t="str">
        <x:v>按证据修正有效旺衰</x:v>
      </x:c>
      <x:c r="Z97" s="68" t="str">
        <x:v>不得直接推出喜忌用神</x:v>
      </x:c>
      <x:c r="AA97" s="84" t="str">
        <x:v>湿土晦火</x:v>
      </x:c>
      <x:c r="AB97" s="84" t="str">
        <x:v>湿土重且火弱时，火的透达和持续性下降。</x:v>
      </x:c>
      <x:c r="AC97" s="82" t="str">
        <x:v>中等</x:v>
      </x:c>
      <x:c r="AD97" s="82" t="str">
        <x:v>调候</x:v>
      </x:c>
      <x:c r="AE97" s="68" t="str">
        <x:v>有效力量必须承接原始力量与实际效应，逐对象、逐节点修正。</x:v>
      </x:c>
      <x:c r="AF97" s="68" t="str">
        <x:v>只有寒暖燥湿证据明确且真正影响生化时才修正。</x:v>
      </x:c>
      <x:c r="AG97" s="90" t="str">
        <x:v>按季节固定给某五行加减分或直接定用神。</x:v>
      </x:c>
      <x:c r="AH97" s="68" t="str">
        <x:v>https://zh.wikisource.org/zh-hans/滴天髓 ; https://zh.wikisource.org/zh-hans/淵海子平 ; https://zh.wikisource.org/wiki/三命通會</x:v>
      </x:c>
      <x:c r="AI97" s="82" t="str">
        <x:v>采用</x:v>
      </x:c>
      <x:c r="AJ97" s="82" t="str">
        <x:v>初审</x:v>
      </x:c>
      <x:c r="AK97" s="87" t="n">
        <x:v>46255</x:v>
      </x:c>
    </x:row>
    <x:row r="98">
      <x:c r="A98" s="72" t="str">
        <x:f>IF(OR(C98="",D98=""),"",B98&amp;"-"&amp;UPPER(C98)&amp;"-"&amp;TEXT(D98,"0000")&amp;"-"&amp;E98)</x:f>
        <x:v>M08-CLIM-0092-V1.0</x:v>
      </x:c>
      <x:c r="B98" s="74" t="str">
        <x:v>M08</x:v>
      </x:c>
      <x:c r="C98" s="74" t="str">
        <x:v>CLIM</x:v>
      </x:c>
      <x:c r="D98" s="79" t="n">
        <x:v>92</x:v>
      </x:c>
      <x:c r="E98" s="74" t="str">
        <x:v>V1.0</x:v>
      </x:c>
      <x:c r="F98" s="68" t="str">
        <x:v>有效调候桥梁可恢复受气候压制五行的可用性</x:v>
      </x:c>
      <x:c r="G98" s="82" t="str">
        <x:v>结构层</x:v>
      </x:c>
      <x:c r="H98" s="68" t="str">
        <x:v>M13调候接口</x:v>
      </x:c>
      <x:c r="I98" s="68" t="str">
        <x:v>目标五行</x:v>
      </x:c>
      <x:c r="J98" s="68" t="str">
        <x:v>受气候压制</x:v>
      </x:c>
      <x:c r="K98" s="68" t="str">
        <x:v>出现有效暖润燥湿或清凉桥梁</x:v>
      </x:c>
      <x:c r="L98" s="68" t="str">
        <x:v>部分恢复功能与流通</x:v>
      </x:c>
      <x:c r="M98" s="82" t="str">
        <x:v>增强</x:v>
      </x:c>
      <x:c r="N98" s="82" t="str">
        <x:v>中</x:v>
      </x:c>
      <x:c r="O98" s="82" t="str">
        <x:v>条件性</x:v>
      </x:c>
      <x:c r="P98" s="82" t="str">
        <x:v>条件性</x:v>
      </x:c>
      <x:c r="Q98" s="82" t="str">
        <x:v>条件性</x:v>
      </x:c>
      <x:c r="R98" s="82" t="str">
        <x:v>是</x:v>
      </x:c>
      <x:c r="S98" s="68" t="str">
        <x:v>前置模块已完成</x:v>
      </x:c>
      <x:c r="T98" s="68" t="str">
        <x:v>作用条件真实成立</x:v>
      </x:c>
      <x:c r="U98" s="68" t="str">
        <x:v>得令、有根、有援可增强</x:v>
      </x:c>
      <x:c r="V98" s="68" t="str">
        <x:v>失令、孤立或受制可削弱</x:v>
      </x:c>
      <x:c r="W98" s="90" t="str">
        <x:v>禁止用关系名称直接替代实际效应</x:v>
      </x:c>
      <x:c r="X98" s="68" t="str">
        <x:v>特殊格局与动态岁运另模块处理</x:v>
      </x:c>
      <x:c r="Y98" s="84" t="str">
        <x:v>按证据修正有效旺衰</x:v>
      </x:c>
      <x:c r="Z98" s="68" t="str">
        <x:v>不得直接推出喜忌用神</x:v>
      </x:c>
      <x:c r="AA98" s="84" t="str">
        <x:v>调候恢复</x:v>
      </x:c>
      <x:c r="AB98" s="84" t="str">
        <x:v>有效调候桥梁可恢复被寒燥湿热压制五行的功能。</x:v>
      </x:c>
      <x:c r="AC98" s="82" t="str">
        <x:v>中等</x:v>
      </x:c>
      <x:c r="AD98" s="82" t="str">
        <x:v>调候</x:v>
      </x:c>
      <x:c r="AE98" s="68" t="str">
        <x:v>有效力量必须承接原始力量与实际效应，逐对象、逐节点修正。</x:v>
      </x:c>
      <x:c r="AF98" s="68" t="str">
        <x:v>只有寒暖燥湿证据明确且真正影响生化时才修正。</x:v>
      </x:c>
      <x:c r="AG98" s="90" t="str">
        <x:v>按季节固定给某五行加减分或直接定用神。</x:v>
      </x:c>
      <x:c r="AH98" s="68" t="str">
        <x:v>https://zh.wikisource.org/zh-hans/滴天髓 ; https://zh.wikisource.org/zh-hans/淵海子平 ; https://zh.wikisource.org/wiki/三命通會</x:v>
      </x:c>
      <x:c r="AI98" s="82" t="str">
        <x:v>采用</x:v>
      </x:c>
      <x:c r="AJ98" s="82" t="str">
        <x:v>初审</x:v>
      </x:c>
      <x:c r="AK98" s="87" t="n">
        <x:v>46255</x:v>
      </x:c>
    </x:row>
    <x:row r="99">
      <x:c r="A99" s="72" t="str">
        <x:f>IF(OR(C99="",D99=""),"",B99&amp;"-"&amp;UPPER(C99)&amp;"-"&amp;TEXT(D99,"0000")&amp;"-"&amp;E99)</x:f>
        <x:v>M08-CLIM-0093-V1.0</x:v>
      </x:c>
      <x:c r="B99" s="74" t="str">
        <x:v>M08</x:v>
      </x:c>
      <x:c r="C99" s="74" t="str">
        <x:v>CLIM</x:v>
      </x:c>
      <x:c r="D99" s="79" t="n">
        <x:v>93</x:v>
      </x:c>
      <x:c r="E99" s="74" t="str">
        <x:v>V1.0</x:v>
      </x:c>
      <x:c r="F99" s="68" t="str">
        <x:v>气候修正主要影响可用性与生化效率而非简单数量</x:v>
      </x:c>
      <x:c r="G99" s="82" t="str">
        <x:v>结构层</x:v>
      </x:c>
      <x:c r="H99" s="68" t="str">
        <x:v>M08/M13边界</x:v>
      </x:c>
      <x:c r="I99" s="68" t="str">
        <x:v>目标五行</x:v>
      </x:c>
      <x:c r="J99" s="68" t="str">
        <x:v>任意</x:v>
      </x:c>
      <x:c r="K99" s="68" t="str">
        <x:v>寒暖燥湿偏态</x:v>
      </x:c>
      <x:c r="L99" s="68" t="str">
        <x:v>优先修正透达持续性与流通效率</x:v>
      </x:c>
      <x:c r="M99" s="82" t="str">
        <x:v>条件性</x:v>
      </x:c>
      <x:c r="N99" s="82" t="str">
        <x:v>中</x:v>
      </x:c>
      <x:c r="O99" s="82" t="str">
        <x:v>条件性</x:v>
      </x:c>
      <x:c r="P99" s="82" t="str">
        <x:v>条件性</x:v>
      </x:c>
      <x:c r="Q99" s="82" t="str">
        <x:v>条件性</x:v>
      </x:c>
      <x:c r="R99" s="82" t="str">
        <x:v>是</x:v>
      </x:c>
      <x:c r="S99" s="68" t="str">
        <x:v>前置模块已完成</x:v>
      </x:c>
      <x:c r="T99" s="68" t="str">
        <x:v>作用条件真实成立</x:v>
      </x:c>
      <x:c r="U99" s="68" t="str">
        <x:v>得令、有根、有援可增强</x:v>
      </x:c>
      <x:c r="V99" s="68" t="str">
        <x:v>失令、孤立或受制可削弱</x:v>
      </x:c>
      <x:c r="W99" s="90" t="str">
        <x:v>禁止用关系名称直接替代实际效应</x:v>
      </x:c>
      <x:c r="X99" s="68" t="str">
        <x:v>特殊格局与动态岁运另模块处理</x:v>
      </x:c>
      <x:c r="Y99" s="84" t="str">
        <x:v>按证据修正有效旺衰</x:v>
      </x:c>
      <x:c r="Z99" s="68" t="str">
        <x:v>不得直接推出喜忌用神</x:v>
      </x:c>
      <x:c r="AA99" s="84" t="str">
        <x:v>气候功能修正</x:v>
      </x:c>
      <x:c r="AB99" s="84" t="str">
        <x:v>寒暖燥湿首先改变可用性和生化效率，不能简单等同于数量增减。</x:v>
      </x:c>
      <x:c r="AC99" s="82" t="str">
        <x:v>较高</x:v>
      </x:c>
      <x:c r="AD99" s="82" t="str">
        <x:v>调候</x:v>
      </x:c>
      <x:c r="AE99" s="68" t="str">
        <x:v>有效力量必须承接原始力量与实际效应，逐对象、逐节点修正。</x:v>
      </x:c>
      <x:c r="AF99" s="68" t="str">
        <x:v>只有寒暖燥湿证据明确且真正影响生化时才修正。</x:v>
      </x:c>
      <x:c r="AG99" s="90" t="str">
        <x:v>按季节固定给某五行加减分或直接定用神。</x:v>
      </x:c>
      <x:c r="AH99" s="68" t="str">
        <x:v>https://zh.wikisource.org/zh-hans/滴天髓 ; https://zh.wikisource.org/zh-hans/淵海子平 ; https://zh.wikisource.org/wiki/三命通會</x:v>
      </x:c>
      <x:c r="AI99" s="82" t="str">
        <x:v>采用</x:v>
      </x:c>
      <x:c r="AJ99" s="82" t="str">
        <x:v>初审</x:v>
      </x:c>
      <x:c r="AK99" s="87" t="n">
        <x:v>46255</x:v>
      </x:c>
    </x:row>
    <x:row r="100">
      <x:c r="A100" s="72" t="str">
        <x:f>IF(OR(C100="",D100=""),"",B100&amp;"-"&amp;UPPER(C100)&amp;"-"&amp;TEXT(D100,"0000")&amp;"-"&amp;E100)</x:f>
        <x:v>M08-CLIM-0094-V1.0</x:v>
      </x:c>
      <x:c r="B100" s="74" t="str">
        <x:v>M08</x:v>
      </x:c>
      <x:c r="C100" s="74" t="str">
        <x:v>CLIM</x:v>
      </x:c>
      <x:c r="D100" s="79" t="n">
        <x:v>94</x:v>
      </x:c>
      <x:c r="E100" s="74" t="str">
        <x:v>V1.0</x:v>
      </x:c>
      <x:c r="F100" s="68" t="str">
        <x:v>M08只做气候对有效力的接口修正</x:v>
      </x:c>
      <x:c r="G100" s="82" t="str">
        <x:v>结构层</x:v>
      </x:c>
      <x:c r="H100" s="68" t="str">
        <x:v>M08边界</x:v>
      </x:c>
      <x:c r="I100" s="68" t="str">
        <x:v>目标五行</x:v>
      </x:c>
      <x:c r="J100" s="68" t="str">
        <x:v>任意</x:v>
      </x:c>
      <x:c r="K100" s="68" t="str">
        <x:v>存在寒暖燥湿问题</x:v>
      </x:c>
      <x:c r="L100" s="68" t="str">
        <x:v>记录有效发挥变化，不定调候主次</x:v>
      </x:c>
      <x:c r="M100" s="82" t="str">
        <x:v>不变</x:v>
      </x:c>
      <x:c r="N100" s="82" t="str">
        <x:v>弱</x:v>
      </x:c>
      <x:c r="O100" s="82" t="str">
        <x:v>条件性</x:v>
      </x:c>
      <x:c r="P100" s="82" t="str">
        <x:v>条件性</x:v>
      </x:c>
      <x:c r="Q100" s="82" t="str">
        <x:v>条件性</x:v>
      </x:c>
      <x:c r="R100" s="82" t="str">
        <x:v>是</x:v>
      </x:c>
      <x:c r="S100" s="68" t="str">
        <x:v>前置模块已完成</x:v>
      </x:c>
      <x:c r="T100" s="68" t="str">
        <x:v>作用条件真实成立</x:v>
      </x:c>
      <x:c r="U100" s="68" t="str">
        <x:v>得令、有根、有援可增强</x:v>
      </x:c>
      <x:c r="V100" s="68" t="str">
        <x:v>失令、孤立或受制可削弱</x:v>
      </x:c>
      <x:c r="W100" s="90" t="str">
        <x:v>禁止用关系名称直接替代实际效应</x:v>
      </x:c>
      <x:c r="X100" s="68" t="str">
        <x:v>特殊格局与动态岁运另模块处理</x:v>
      </x:c>
      <x:c r="Y100" s="84" t="str">
        <x:v>按证据修正有效旺衰</x:v>
      </x:c>
      <x:c r="Z100" s="68" t="str">
        <x:v>不得直接推出喜忌用神</x:v>
      </x:c>
      <x:c r="AA100" s="84" t="str">
        <x:v>气候接口边界</x:v>
      </x:c>
      <x:c r="AB100" s="84" t="str">
        <x:v>M08只修正气候条件下的有效发挥度，调候需求与优先级由M13判断。</x:v>
      </x:c>
      <x:c r="AC100" s="82" t="str">
        <x:v>较高</x:v>
      </x:c>
      <x:c r="AD100" s="82" t="str">
        <x:v>调候</x:v>
      </x:c>
      <x:c r="AE100" s="68" t="str">
        <x:v>有效力量必须承接原始力量与实际效应，逐对象、逐节点修正。</x:v>
      </x:c>
      <x:c r="AF100" s="68" t="str">
        <x:v>只有寒暖燥湿证据明确且真正影响生化时才修正。</x:v>
      </x:c>
      <x:c r="AG100" s="90" t="str">
        <x:v>按季节固定给某五行加减分或直接定用神。</x:v>
      </x:c>
      <x:c r="AH100" s="68" t="str">
        <x:v>https://zh.wikisource.org/zh-hans/滴天髓 ; https://zh.wikisource.org/zh-hans/淵海子平 ; https://zh.wikisource.org/wiki/三命通會</x:v>
      </x:c>
      <x:c r="AI100" s="82" t="str">
        <x:v>采用</x:v>
      </x:c>
      <x:c r="AJ100" s="82" t="str">
        <x:v>初审</x:v>
      </x:c>
      <x:c r="AK100" s="87" t="n">
        <x:v>46255</x:v>
      </x:c>
    </x:row>
    <x:row r="101">
      <x:c r="A101" s="72" t="str">
        <x:f>IF(OR(C101="",D101=""),"",B101&amp;"-"&amp;UPPER(C101)&amp;"-"&amp;TEXT(D101,"0000")&amp;"-"&amp;E101)</x:f>
        <x:v>M08-FLOW-0095-V1.0</x:v>
      </x:c>
      <x:c r="B101" s="74" t="str">
        <x:v>M08</x:v>
      </x:c>
      <x:c r="C101" s="74" t="str">
        <x:v>FLOW</x:v>
      </x:c>
      <x:c r="D101" s="79" t="n">
        <x:v>95</x:v>
      </x:c>
      <x:c r="E101" s="74" t="str">
        <x:v>V1.0</x:v>
      </x:c>
      <x:c r="F101" s="68" t="str">
        <x:v>生化链通畅可提高桥梁与终点的有效调用</x:v>
      </x:c>
      <x:c r="G101" s="82" t="str">
        <x:v>结构层</x:v>
      </x:c>
      <x:c r="H101" s="68" t="str">
        <x:v>M12流通接口</x:v>
      </x:c>
      <x:c r="I101" s="68" t="str">
        <x:v>相关五行</x:v>
      </x:c>
      <x:c r="J101" s="68" t="str">
        <x:v>原始力量</x:v>
      </x:c>
      <x:c r="K101" s="68" t="str">
        <x:v>连续生化路径成立</x:v>
      </x:c>
      <x:c r="L101" s="68" t="str">
        <x:v>提高传递效率而非凭空增加总量</x:v>
      </x:c>
      <x:c r="M101" s="82" t="str">
        <x:v>增强</x:v>
      </x:c>
      <x:c r="N101" s="82" t="str">
        <x:v>中</x:v>
      </x:c>
      <x:c r="O101" s="82" t="str">
        <x:v>否</x:v>
      </x:c>
      <x:c r="P101" s="82" t="str">
        <x:v>条件性</x:v>
      </x:c>
      <x:c r="Q101" s="82" t="str">
        <x:v>条件性</x:v>
      </x:c>
      <x:c r="R101" s="82" t="str">
        <x:v>是</x:v>
      </x:c>
      <x:c r="S101" s="68" t="str">
        <x:v>前置模块已完成</x:v>
      </x:c>
      <x:c r="T101" s="68" t="str">
        <x:v>作用条件真实成立</x:v>
      </x:c>
      <x:c r="U101" s="68" t="str">
        <x:v>得令、有根、有援可增强</x:v>
      </x:c>
      <x:c r="V101" s="68" t="str">
        <x:v>失令、孤立或受制可削弱</x:v>
      </x:c>
      <x:c r="W101" s="90" t="str">
        <x:v>禁止用关系名称直接替代实际效应</x:v>
      </x:c>
      <x:c r="X101" s="68" t="str">
        <x:v>特殊格局与动态岁运另模块处理</x:v>
      </x:c>
      <x:c r="Y101" s="84" t="str">
        <x:v>按证据修正有效旺衰</x:v>
      </x:c>
      <x:c r="Z101" s="68" t="str">
        <x:v>不得直接推出喜忌用神</x:v>
      </x:c>
      <x:c r="AA101" s="84" t="str">
        <x:v>流通增效</x:v>
      </x:c>
      <x:c r="AB101" s="84" t="str">
        <x:v>流通顺畅主要提高已有力量的传递效率。</x:v>
      </x:c>
      <x:c r="AC101" s="82" t="str">
        <x:v>较高</x:v>
      </x:c>
      <x:c r="AD101" s="82" t="str">
        <x:v>现代综合</x:v>
      </x:c>
      <x:c r="AE101" s="68" t="str">
        <x:v>有效力量必须承接原始力量与实际效应，逐对象、逐节点修正。</x:v>
      </x:c>
      <x:c r="AF101" s="68" t="str">
        <x:v>桥梁有效、链路连续、终点可承载时流通才真正成立。</x:v>
      </x:c>
      <x:c r="AG101" s="90" t="str">
        <x:v>五行齐全或相生链写得出来就视为完全流通。</x:v>
      </x:c>
      <x:c r="AH101" s="68" t="str">
        <x:v>https://zh.wikisource.org/zh-hans/滴天髓 ; https://zh.wikisource.org/zh-hans/淵海子平 ; https://zh.wikisource.org/wiki/三命通會</x:v>
      </x:c>
      <x:c r="AI101" s="82" t="str">
        <x:v>采用</x:v>
      </x:c>
      <x:c r="AJ101" s="82" t="str">
        <x:v>初审</x:v>
      </x:c>
      <x:c r="AK101" s="87" t="n">
        <x:v>46255</x:v>
      </x:c>
    </x:row>
    <x:row r="102">
      <x:c r="A102" s="72" t="str">
        <x:f>IF(OR(C102="",D102=""),"",B102&amp;"-"&amp;UPPER(C102)&amp;"-"&amp;TEXT(D102,"0000")&amp;"-"&amp;E102)</x:f>
        <x:v>M08-FLOW-0096-V1.0</x:v>
      </x:c>
      <x:c r="B102" s="74" t="str">
        <x:v>M08</x:v>
      </x:c>
      <x:c r="C102" s="74" t="str">
        <x:v>FLOW</x:v>
      </x:c>
      <x:c r="D102" s="79" t="n">
        <x:v>96</x:v>
      </x:c>
      <x:c r="E102" s="74" t="str">
        <x:v>V1.0</x:v>
      </x:c>
      <x:c r="F102" s="68" t="str">
        <x:v>关键桥梁缺失时上游力量不能跨级传给终点</x:v>
      </x:c>
      <x:c r="G102" s="82" t="str">
        <x:v>结构层</x:v>
      </x:c>
      <x:c r="H102" s="68" t="str">
        <x:v>M12卡点</x:v>
      </x:c>
      <x:c r="I102" s="68" t="str">
        <x:v>相关五行</x:v>
      </x:c>
      <x:c r="J102" s="68" t="str">
        <x:v>有上游生源</x:v>
      </x:c>
      <x:c r="K102" s="68" t="str">
        <x:v>中间桥梁缺失</x:v>
      </x:c>
      <x:c r="L102" s="68" t="str">
        <x:v>取消跨级间接生扶并标记卡点</x:v>
      </x:c>
      <x:c r="M102" s="82" t="str">
        <x:v>阻断</x:v>
      </x:c>
      <x:c r="N102" s="82" t="str">
        <x:v>强</x:v>
      </x:c>
      <x:c r="O102" s="82" t="str">
        <x:v>否</x:v>
      </x:c>
      <x:c r="P102" s="82" t="str">
        <x:v>条件性</x:v>
      </x:c>
      <x:c r="Q102" s="82" t="str">
        <x:v>条件性</x:v>
      </x:c>
      <x:c r="R102" s="82" t="str">
        <x:v>是</x:v>
      </x:c>
      <x:c r="S102" s="68" t="str">
        <x:v>前置模块已完成</x:v>
      </x:c>
      <x:c r="T102" s="68" t="str">
        <x:v>作用条件真实成立</x:v>
      </x:c>
      <x:c r="U102" s="68" t="str">
        <x:v>得令、有根、有援可增强</x:v>
      </x:c>
      <x:c r="V102" s="68" t="str">
        <x:v>失令、孤立或受制可削弱</x:v>
      </x:c>
      <x:c r="W102" s="90" t="str">
        <x:v>禁止用关系名称直接替代实际效应</x:v>
      </x:c>
      <x:c r="X102" s="68" t="str">
        <x:v>特殊格局与动态岁运另模块处理</x:v>
      </x:c>
      <x:c r="Y102" s="84" t="str">
        <x:v>按证据修正有效旺衰</x:v>
      </x:c>
      <x:c r="Z102" s="68" t="str">
        <x:v>不得直接推出喜忌用神</x:v>
      </x:c>
      <x:c r="AA102" s="84" t="str">
        <x:v>缺桥阻断</x:v>
      </x:c>
      <x:c r="AB102" s="84" t="str">
        <x:v>生化链缺少关键桥梁时，上游力量不能直接越级传给终点。</x:v>
      </x:c>
      <x:c r="AC102" s="82" t="str">
        <x:v>较高</x:v>
      </x:c>
      <x:c r="AD102" s="82" t="str">
        <x:v>现代综合</x:v>
      </x:c>
      <x:c r="AE102" s="68" t="str">
        <x:v>有效力量必须承接原始力量与实际效应，逐对象、逐节点修正。</x:v>
      </x:c>
      <x:c r="AF102" s="68" t="str">
        <x:v>桥梁有效、链路连续、终点可承载时流通才真正成立。</x:v>
      </x:c>
      <x:c r="AG102" s="90" t="str">
        <x:v>五行齐全或相生链写得出来就视为完全流通。</x:v>
      </x:c>
      <x:c r="AH102" s="68" t="str">
        <x:v>https://zh.wikisource.org/zh-hans/滴天髓 ; https://zh.wikisource.org/zh-hans/淵海子平 ; https://zh.wikisource.org/wiki/三命通會</x:v>
      </x:c>
      <x:c r="AI102" s="82" t="str">
        <x:v>采用</x:v>
      </x:c>
      <x:c r="AJ102" s="82" t="str">
        <x:v>初审</x:v>
      </x:c>
      <x:c r="AK102" s="87" t="n">
        <x:v>46255</x:v>
      </x:c>
    </x:row>
    <x:row r="103">
      <x:c r="A103" s="72" t="str">
        <x:f>IF(OR(C103="",D103=""),"",B103&amp;"-"&amp;UPPER(C103)&amp;"-"&amp;TEXT(D103,"0000")&amp;"-"&amp;E103)</x:f>
        <x:v>M08-FLOW-0097-V1.0</x:v>
      </x:c>
      <x:c r="B103" s="74" t="str">
        <x:v>M08</x:v>
      </x:c>
      <x:c r="C103" s="74" t="str">
        <x:v>FLOW</x:v>
      </x:c>
      <x:c r="D103" s="79" t="n">
        <x:v>97</x:v>
      </x:c>
      <x:c r="E103" s="74" t="str">
        <x:v>V1.0</x:v>
      </x:c>
      <x:c r="F103" s="68" t="str">
        <x:v>桥梁被合绊或强克时流通效率显著下降</x:v>
      </x:c>
      <x:c r="G103" s="82" t="str">
        <x:v>结构层</x:v>
      </x:c>
      <x:c r="H103" s="68" t="str">
        <x:v>M06关系效应+M12</x:v>
      </x:c>
      <x:c r="I103" s="68" t="str">
        <x:v>相关五行</x:v>
      </x:c>
      <x:c r="J103" s="68" t="str">
        <x:v>桥梁原始中强</x:v>
      </x:c>
      <x:c r="K103" s="68" t="str">
        <x:v>桥梁受合绊或强克</x:v>
      </x:c>
      <x:c r="L103" s="68" t="str">
        <x:v>降低上下游力量传递</x:v>
      </x:c>
      <x:c r="M103" s="82" t="str">
        <x:v>阻断</x:v>
      </x:c>
      <x:c r="N103" s="82" t="str">
        <x:v>中</x:v>
      </x:c>
      <x:c r="O103" s="82" t="str">
        <x:v>否</x:v>
      </x:c>
      <x:c r="P103" s="82" t="str">
        <x:v>条件性</x:v>
      </x:c>
      <x:c r="Q103" s="82" t="str">
        <x:v>条件性</x:v>
      </x:c>
      <x:c r="R103" s="82" t="str">
        <x:v>是</x:v>
      </x:c>
      <x:c r="S103" s="68" t="str">
        <x:v>前置模块已完成</x:v>
      </x:c>
      <x:c r="T103" s="68" t="str">
        <x:v>作用条件真实成立</x:v>
      </x:c>
      <x:c r="U103" s="68" t="str">
        <x:v>得令、有根、有援可增强</x:v>
      </x:c>
      <x:c r="V103" s="68" t="str">
        <x:v>失令、孤立或受制可削弱</x:v>
      </x:c>
      <x:c r="W103" s="90" t="str">
        <x:v>禁止用关系名称直接替代实际效应</x:v>
      </x:c>
      <x:c r="X103" s="68" t="str">
        <x:v>特殊格局与动态岁运另模块处理</x:v>
      </x:c>
      <x:c r="Y103" s="84" t="str">
        <x:v>按证据修正有效旺衰</x:v>
      </x:c>
      <x:c r="Z103" s="68" t="str">
        <x:v>不得直接推出喜忌用神</x:v>
      </x:c>
      <x:c r="AA103" s="84" t="str">
        <x:v>桥梁受阻</x:v>
      </x:c>
      <x:c r="AB103" s="84" t="str">
        <x:v>五行齐全不代表流通；关键桥梁受限时传递效率会明显下降。</x:v>
      </x:c>
      <x:c r="AC103" s="82" t="str">
        <x:v>较高</x:v>
      </x:c>
      <x:c r="AD103" s="82" t="str">
        <x:v>现代综合</x:v>
      </x:c>
      <x:c r="AE103" s="68" t="str">
        <x:v>有效力量必须承接原始力量与实际效应，逐对象、逐节点修正。</x:v>
      </x:c>
      <x:c r="AF103" s="68" t="str">
        <x:v>桥梁有效、链路连续、终点可承载时流通才真正成立。</x:v>
      </x:c>
      <x:c r="AG103" s="90" t="str">
        <x:v>五行齐全或相生链写得出来就视为完全流通。</x:v>
      </x:c>
      <x:c r="AH103" s="68" t="str">
        <x:v>https://zh.wikisource.org/zh-hans/滴天髓 ; https://zh.wikisource.org/zh-hans/淵海子平 ; https://zh.wikisource.org/wiki/三命通會</x:v>
      </x:c>
      <x:c r="AI103" s="82" t="str">
        <x:v>采用</x:v>
      </x:c>
      <x:c r="AJ103" s="82" t="str">
        <x:v>初审</x:v>
      </x:c>
      <x:c r="AK103" s="87" t="n">
        <x:v>46255</x:v>
      </x:c>
    </x:row>
    <x:row r="104">
      <x:c r="A104" s="72" t="str">
        <x:f>IF(OR(C104="",D104=""),"",B104&amp;"-"&amp;UPPER(C104)&amp;"-"&amp;TEXT(D104,"0000")&amp;"-"&amp;E104)</x:f>
        <x:v>M08-FLOW-0098-V1.0</x:v>
      </x:c>
      <x:c r="B104" s="74" t="str">
        <x:v>M08</x:v>
      </x:c>
      <x:c r="C104" s="74" t="str">
        <x:v>FLOW</x:v>
      </x:c>
      <x:c r="D104" s="79" t="n">
        <x:v>98</x:v>
      </x:c>
      <x:c r="E104" s="74" t="str">
        <x:v>V1.0</x:v>
      </x:c>
      <x:c r="F104" s="68" t="str">
        <x:v>源头过旺无泄时力量可旺但功能壅塞</x:v>
      </x:c>
      <x:c r="G104" s="82" t="str">
        <x:v>结构层</x:v>
      </x:c>
      <x:c r="H104" s="68" t="str">
        <x:v>M12卡点</x:v>
      </x:c>
      <x:c r="I104" s="68" t="str">
        <x:v>相关五行</x:v>
      </x:c>
      <x:c r="J104" s="68" t="str">
        <x:v>原始旺</x:v>
      </x:c>
      <x:c r="K104" s="68" t="str">
        <x:v>缺乏有效下游泄出</x:v>
      </x:c>
      <x:c r="L104" s="68" t="str">
        <x:v>保留高力量同时下调流通可用性</x:v>
      </x:c>
      <x:c r="M104" s="82" t="str">
        <x:v>阻断</x:v>
      </x:c>
      <x:c r="N104" s="82" t="str">
        <x:v>中</x:v>
      </x:c>
      <x:c r="O104" s="82" t="str">
        <x:v>否</x:v>
      </x:c>
      <x:c r="P104" s="82" t="str">
        <x:v>条件性</x:v>
      </x:c>
      <x:c r="Q104" s="82" t="str">
        <x:v>条件性</x:v>
      </x:c>
      <x:c r="R104" s="82" t="str">
        <x:v>是</x:v>
      </x:c>
      <x:c r="S104" s="68" t="str">
        <x:v>前置模块已完成</x:v>
      </x:c>
      <x:c r="T104" s="68" t="str">
        <x:v>作用条件真实成立</x:v>
      </x:c>
      <x:c r="U104" s="68" t="str">
        <x:v>得令、有根、有援可增强</x:v>
      </x:c>
      <x:c r="V104" s="68" t="str">
        <x:v>失令、孤立或受制可削弱</x:v>
      </x:c>
      <x:c r="W104" s="90" t="str">
        <x:v>禁止用关系名称直接替代实际效应</x:v>
      </x:c>
      <x:c r="X104" s="68" t="str">
        <x:v>特殊格局与动态岁运另模块处理</x:v>
      </x:c>
      <x:c r="Y104" s="84" t="str">
        <x:v>按证据修正有效旺衰</x:v>
      </x:c>
      <x:c r="Z104" s="68" t="str">
        <x:v>不得直接推出喜忌用神</x:v>
      </x:c>
      <x:c r="AA104" s="84" t="str">
        <x:v>旺而壅塞</x:v>
      </x:c>
      <x:c r="AB104" s="84" t="str">
        <x:v>源头过旺而无泄时，力量仍可很强，但流通与功能效率下降。</x:v>
      </x:c>
      <x:c r="AC104" s="82" t="str">
        <x:v>较高</x:v>
      </x:c>
      <x:c r="AD104" s="82" t="str">
        <x:v>现代综合</x:v>
      </x:c>
      <x:c r="AE104" s="68" t="str">
        <x:v>有效力量必须承接原始力量与实际效应，逐对象、逐节点修正。</x:v>
      </x:c>
      <x:c r="AF104" s="68" t="str">
        <x:v>桥梁有效、链路连续、终点可承载时流通才真正成立。</x:v>
      </x:c>
      <x:c r="AG104" s="90" t="str">
        <x:v>五行齐全或相生链写得出来就视为完全流通。</x:v>
      </x:c>
      <x:c r="AH104" s="68" t="str">
        <x:v>https://zh.wikisource.org/zh-hans/滴天髓 ; https://zh.wikisource.org/zh-hans/淵海子平 ; https://zh.wikisource.org/wiki/三命通會</x:v>
      </x:c>
      <x:c r="AI104" s="82" t="str">
        <x:v>采用</x:v>
      </x:c>
      <x:c r="AJ104" s="82" t="str">
        <x:v>初审</x:v>
      </x:c>
      <x:c r="AK104" s="87" t="n">
        <x:v>46255</x:v>
      </x:c>
    </x:row>
    <x:row r="105">
      <x:c r="A105" s="72" t="str">
        <x:f>IF(OR(C105="",D105=""),"",B105&amp;"-"&amp;UPPER(C105)&amp;"-"&amp;TEXT(D105,"0000")&amp;"-"&amp;E105)</x:f>
        <x:v>M08-FLOW-0099-V1.0</x:v>
      </x:c>
      <x:c r="B105" s="74" t="str">
        <x:v>M08</x:v>
      </x:c>
      <x:c r="C105" s="74" t="str">
        <x:v>FLOW</x:v>
      </x:c>
      <x:c r="D105" s="79" t="n">
        <x:v>99</x:v>
      </x:c>
      <x:c r="E105" s="74" t="str">
        <x:v>V1.0</x:v>
      </x:c>
      <x:c r="F105" s="68" t="str">
        <x:v>终点过弱不能承载时上游输入未必转成有效力量</x:v>
      </x:c>
      <x:c r="G105" s="82" t="str">
        <x:v>结构层</x:v>
      </x:c>
      <x:c r="H105" s="68" t="str">
        <x:v>M12卡点</x:v>
      </x:c>
      <x:c r="I105" s="68" t="str">
        <x:v>相关五行</x:v>
      </x:c>
      <x:c r="J105" s="68" t="str">
        <x:v>原始弱</x:v>
      </x:c>
      <x:c r="K105" s="68" t="str">
        <x:v>上游持续输入而终点无根</x:v>
      </x:c>
      <x:c r="L105" s="68" t="str">
        <x:v>限制有效传递并标记承载不足</x:v>
      </x:c>
      <x:c r="M105" s="82" t="str">
        <x:v>阻断</x:v>
      </x:c>
      <x:c r="N105" s="82" t="str">
        <x:v>中</x:v>
      </x:c>
      <x:c r="O105" s="82" t="str">
        <x:v>否</x:v>
      </x:c>
      <x:c r="P105" s="82" t="str">
        <x:v>条件性</x:v>
      </x:c>
      <x:c r="Q105" s="82" t="str">
        <x:v>条件性</x:v>
      </x:c>
      <x:c r="R105" s="82" t="str">
        <x:v>是</x:v>
      </x:c>
      <x:c r="S105" s="68" t="str">
        <x:v>前置模块已完成</x:v>
      </x:c>
      <x:c r="T105" s="68" t="str">
        <x:v>作用条件真实成立</x:v>
      </x:c>
      <x:c r="U105" s="68" t="str">
        <x:v>得令、有根、有援可增强</x:v>
      </x:c>
      <x:c r="V105" s="68" t="str">
        <x:v>失令、孤立或受制可削弱</x:v>
      </x:c>
      <x:c r="W105" s="90" t="str">
        <x:v>禁止用关系名称直接替代实际效应</x:v>
      </x:c>
      <x:c r="X105" s="68" t="str">
        <x:v>特殊格局与动态岁运另模块处理</x:v>
      </x:c>
      <x:c r="Y105" s="84" t="str">
        <x:v>按证据修正有效旺衰</x:v>
      </x:c>
      <x:c r="Z105" s="68" t="str">
        <x:v>不得直接推出喜忌用神</x:v>
      </x:c>
      <x:c r="AA105" s="84" t="str">
        <x:v>终点承载不足</x:v>
      </x:c>
      <x:c r="AB105" s="84" t="str">
        <x:v>终点无承载时，上游输入未必能完全转化为终点有效力量。</x:v>
      </x:c>
      <x:c r="AC105" s="82" t="str">
        <x:v>较高</x:v>
      </x:c>
      <x:c r="AD105" s="82" t="str">
        <x:v>现代综合</x:v>
      </x:c>
      <x:c r="AE105" s="68" t="str">
        <x:v>有效力量必须承接原始力量与实际效应，逐对象、逐节点修正。</x:v>
      </x:c>
      <x:c r="AF105" s="68" t="str">
        <x:v>桥梁有效、链路连续、终点可承载时流通才真正成立。</x:v>
      </x:c>
      <x:c r="AG105" s="90" t="str">
        <x:v>五行齐全或相生链写得出来就视为完全流通。</x:v>
      </x:c>
      <x:c r="AH105" s="68" t="str">
        <x:v>https://zh.wikisource.org/zh-hans/滴天髓 ; https://zh.wikisource.org/zh-hans/淵海子平 ; https://zh.wikisource.org/wiki/三命通會</x:v>
      </x:c>
      <x:c r="AI105" s="82" t="str">
        <x:v>采用</x:v>
      </x:c>
      <x:c r="AJ105" s="82" t="str">
        <x:v>初审</x:v>
      </x:c>
      <x:c r="AK105" s="87" t="n">
        <x:v>46255</x:v>
      </x:c>
    </x:row>
    <x:row r="106">
      <x:c r="A106" t="str">
        <x:f>IF(OR(C106="",D106=""),"",B106&amp;"-"&amp;UPPER(C106)&amp;"-"&amp;TEXT(D106,"0000")&amp;"-"&amp;E106)</x:f>
        <x:v>M08-FLOW-0100-V1.0</x:v>
      </x:c>
      <x:c r="B106" t="str">
        <x:v>M08</x:v>
      </x:c>
      <x:c r="C106" t="str">
        <x:v>FLOW</x:v>
      </x:c>
      <x:c r="D106" t="n">
        <x:v>100</x:v>
      </x:c>
      <x:c r="E106" t="str">
        <x:v>V1.0</x:v>
      </x:c>
      <x:c r="F106" t="str">
        <x:v>M08只记录流通对有效力的修正，卡点定位交M12</x:v>
      </x:c>
      <x:c r="G106" t="str">
        <x:v>结构层</x:v>
      </x:c>
      <x:c r="H106" t="str">
        <x:v>M08边界</x:v>
      </x:c>
      <x:c r="I106" t="str">
        <x:v>相关五行</x:v>
      </x:c>
      <x:c r="J106" t="str">
        <x:v>任意</x:v>
      </x:c>
      <x:c r="K106" t="str">
        <x:v>存在流通问题</x:v>
      </x:c>
      <x:c r="L106" t="str">
        <x:v>只输出有效力量与可用性变化</x:v>
      </x:c>
      <x:c r="M106" t="str">
        <x:v>不变</x:v>
      </x:c>
      <x:c r="N106" t="str">
        <x:v>弱</x:v>
      </x:c>
      <x:c r="O106" t="str">
        <x:v>否</x:v>
      </x:c>
      <x:c r="P106" t="str">
        <x:v>条件性</x:v>
      </x:c>
      <x:c r="Q106" t="str">
        <x:v>条件性</x:v>
      </x:c>
      <x:c r="R106" t="str">
        <x:v>是</x:v>
      </x:c>
      <x:c r="S106" t="str">
        <x:v>前置模块已完成</x:v>
      </x:c>
      <x:c r="T106" t="str">
        <x:v>作用条件真实成立</x:v>
      </x:c>
      <x:c r="U106" t="str">
        <x:v>得令、有根、有援可增强</x:v>
      </x:c>
      <x:c r="V106" t="str">
        <x:v>失令、孤立或受制可削弱</x:v>
      </x:c>
      <x:c r="W106" t="str">
        <x:v>禁止用关系名称直接替代实际效应</x:v>
      </x:c>
      <x:c r="X106" t="str">
        <x:v>特殊格局与动态岁运另模块处理</x:v>
      </x:c>
      <x:c r="Y106" t="str">
        <x:v>按证据修正有效旺衰</x:v>
      </x:c>
      <x:c r="Z106" t="str">
        <x:v>不得直接推出喜忌用神</x:v>
      </x:c>
      <x:c r="AA106" t="str">
        <x:v>流通接口边界</x:v>
      </x:c>
      <x:c r="AB106" t="str">
        <x:v>M08记录流通对有效力量的影响，具体卡点与通关路径由M12判断。</x:v>
      </x:c>
      <x:c r="AC106" t="str">
        <x:v>较高</x:v>
      </x:c>
      <x:c r="AD106" t="str">
        <x:v>现代综合</x:v>
      </x:c>
      <x:c r="AE106" t="str">
        <x:v>有效力量必须承接原始力量与实际效应，逐对象、逐节点修正。</x:v>
      </x:c>
      <x:c r="AF106" t="str">
        <x:v>桥梁有效、链路连续、终点可承载时流通才真正成立。</x:v>
      </x:c>
      <x:c r="AG106" t="str">
        <x:v>五行齐全或相生链写得出来就视为完全流通。</x:v>
      </x:c>
      <x:c r="AH106" t="str">
        <x:v>https://zh.wikisource.org/zh-hans/滴天髓 ; https://zh.wikisource.org/zh-hans/淵海子平 ; https://zh.wikisource.org/wiki/三命通會</x:v>
      </x:c>
      <x:c r="AI106" t="str">
        <x:v>采用</x:v>
      </x:c>
      <x:c r="AJ106" t="str">
        <x:v>初审</x:v>
      </x:c>
      <x:c r="AK106" t="n">
        <x:v>46255</x:v>
      </x:c>
    </x:row>
    <x:row r="107">
      <x:c r="A107" t="str">
        <x:f>IF(OR(C107="",D107=""),"",B107&amp;"-"&amp;UPPER(C107)&amp;"-"&amp;TEXT(D107,"0000")&amp;"-"&amp;E107)</x:f>
        <x:v>M08-AGG-0101-V1.0</x:v>
      </x:c>
      <x:c r="B107" t="str">
        <x:v>M08</x:v>
      </x:c>
      <x:c r="C107" t="str">
        <x:v>AGG</x:v>
      </x:c>
      <x:c r="D107" t="n">
        <x:v>101</x:v>
      </x:c>
      <x:c r="E107" t="str">
        <x:v>V1.0</x:v>
      </x:c>
      <x:c r="F107" t="str">
        <x:v>有效旺衰必须从M07原始等级出发逐项修正</x:v>
      </x:c>
      <x:c r="G107" t="str">
        <x:v>结构层</x:v>
      </x:c>
      <x:c r="H107" t="str">
        <x:v>M07+M06+M08</x:v>
      </x:c>
      <x:c r="I107" t="str">
        <x:v>目标五行</x:v>
      </x:c>
      <x:c r="J107" t="str">
        <x:v>已有原始等级</x:v>
      </x:c>
      <x:c r="K107" t="str">
        <x:v>应用根源透达克泄耗转化气候流通修正</x:v>
      </x:c>
      <x:c r="L107" t="str">
        <x:v>形成有效等级而非从零计分</x:v>
      </x:c>
      <x:c r="M107" t="str">
        <x:v>条件性</x:v>
      </x:c>
      <x:c r="N107" t="str">
        <x:v>决定性</x:v>
      </x:c>
      <x:c r="O107" t="str">
        <x:v>条件性</x:v>
      </x:c>
      <x:c r="P107" t="str">
        <x:v>条件性</x:v>
      </x:c>
      <x:c r="Q107" t="str">
        <x:v>条件性</x:v>
      </x:c>
      <x:c r="R107" t="str">
        <x:v>条件性</x:v>
      </x:c>
      <x:c r="S107" t="str">
        <x:v>M07原始旺衰与M06关键效应均已完成</x:v>
      </x:c>
      <x:c r="T107" t="str">
        <x:v>主证据与反向证据均可追溯</x:v>
      </x:c>
      <x:c r="U107" t="str">
        <x:v>得令、有根、有援可增强</x:v>
      </x:c>
      <x:c r="V107" t="str">
        <x:v>失令、孤立或受制可削弱</x:v>
      </x:c>
      <x:c r="W107" t="str">
        <x:v>禁止用关系名称直接替代实际效应</x:v>
      </x:c>
      <x:c r="X107" t="str">
        <x:v>特殊格局与动态岁运另模块处理</x:v>
      </x:c>
      <x:c r="Y107" t="str">
        <x:v>按证据修正有效旺衰</x:v>
      </x:c>
      <x:c r="Z107" t="str">
        <x:v>不得直接推出喜忌用神</x:v>
      </x:c>
      <x:c r="AA107" t="str">
        <x:v>有效旺衰总则</x:v>
      </x:c>
      <x:c r="AB107" t="str">
        <x:v>有效旺衰以M07原始力量为起点，经M06/M08逐项修正后形成。</x:v>
      </x:c>
      <x:c r="AC107" t="str">
        <x:v>较高</x:v>
      </x:c>
      <x:c r="AD107" t="str">
        <x:v>现代综合</x:v>
      </x:c>
      <x:c r="AE107" t="str">
        <x:v>有效力量必须承接原始力量与实际效应，逐对象、逐节点修正。</x:v>
      </x:c>
      <x:c r="AF107" t="str">
        <x:v>证据方向略占优时可判中和偏旺或偏弱。</x:v>
      </x:c>
      <x:c r="AG107" t="str">
        <x:v>用单一分数阈值或单一关系名强行定级。</x:v>
      </x:c>
      <x:c r="AH107" t="str">
        <x:v>https://zh.wikisource.org/zh-hans/滴天髓 ; https://zh.wikisource.org/zh-hans/淵海子平 ; https://zh.wikisource.org/wiki/三命通會</x:v>
      </x:c>
      <x:c r="AI107" t="str">
        <x:v>采用</x:v>
      </x:c>
      <x:c r="AJ107" t="str">
        <x:v>初审</x:v>
      </x:c>
      <x:c r="AK107" t="n">
        <x:v>46255</x:v>
      </x:c>
    </x:row>
    <x:row r="108">
      <x:c r="A108" t="str">
        <x:f>IF(OR(C108="",D108=""),"",B108&amp;"-"&amp;UPPER(C108)&amp;"-"&amp;TEXT(D108,"0000")&amp;"-"&amp;E108)</x:f>
        <x:v>M08-AGG-0102-V1.0</x:v>
      </x:c>
      <x:c r="B108" t="str">
        <x:v>M08</x:v>
      </x:c>
      <x:c r="C108" t="str">
        <x:v>AGG</x:v>
      </x:c>
      <x:c r="D108" t="n">
        <x:v>102</x:v>
      </x:c>
      <x:c r="E108" t="str">
        <x:v>V1.0</x:v>
      </x:c>
      <x:c r="F108" t="str">
        <x:v>七级有效旺衰采用区间与证据矩阵而非固定总分</x:v>
      </x:c>
      <x:c r="G108" t="str">
        <x:v>结构层</x:v>
      </x:c>
      <x:c r="H108" t="str">
        <x:v>综合分级</x:v>
      </x:c>
      <x:c r="I108" t="str">
        <x:v>目标五行</x:v>
      </x:c>
      <x:c r="J108" t="str">
        <x:v>修正完成</x:v>
      </x:c>
      <x:c r="K108" t="str">
        <x:v>正反证据并存</x:v>
      </x:c>
      <x:c r="L108" t="str">
        <x:v>按主证据、反证和硬约束归入七级区间</x:v>
      </x:c>
      <x:c r="M108" t="str">
        <x:v>条件性</x:v>
      </x:c>
      <x:c r="N108" t="str">
        <x:v>强</x:v>
      </x:c>
      <x:c r="O108" t="str">
        <x:v>条件性</x:v>
      </x:c>
      <x:c r="P108" t="str">
        <x:v>条件性</x:v>
      </x:c>
      <x:c r="Q108" t="str">
        <x:v>条件性</x:v>
      </x:c>
      <x:c r="R108" t="str">
        <x:v>条件性</x:v>
      </x:c>
      <x:c r="S108" t="str">
        <x:v>M07原始旺衰与M06关键效应均已完成</x:v>
      </x:c>
      <x:c r="T108" t="str">
        <x:v>主证据与反向证据均可追溯</x:v>
      </x:c>
      <x:c r="U108" t="str">
        <x:v>得令、有根、有援可增强</x:v>
      </x:c>
      <x:c r="V108" t="str">
        <x:v>失令、孤立或受制可削弱</x:v>
      </x:c>
      <x:c r="W108" t="str">
        <x:v>禁止用关系名称直接替代实际效应</x:v>
      </x:c>
      <x:c r="X108" t="str">
        <x:v>特殊格局与动态岁运另模块处理</x:v>
      </x:c>
      <x:c r="Y108" t="str">
        <x:v>按证据修正有效旺衰</x:v>
      </x:c>
      <x:c r="Z108" t="str">
        <x:v>不得直接推出喜忌用神</x:v>
      </x:c>
      <x:c r="AA108" t="str">
        <x:v>七级有效旺衰</x:v>
      </x:c>
      <x:c r="AB108" t="str">
        <x:v>有效旺衰按证据矩阵归类为极弱至极旺七级区间。</x:v>
      </x:c>
      <x:c r="AC108" t="str">
        <x:v>较高</x:v>
      </x:c>
      <x:c r="AD108" t="str">
        <x:v>现代综合</x:v>
      </x:c>
      <x:c r="AE108" t="str">
        <x:v>有效力量必须承接原始力量与实际效应，逐对象、逐节点修正。</x:v>
      </x:c>
      <x:c r="AF108" t="str">
        <x:v>证据方向略占优时可判中和偏旺或偏弱。</x:v>
      </x:c>
      <x:c r="AG108" t="str">
        <x:v>用单一分数阈值或单一关系名强行定级。</x:v>
      </x:c>
      <x:c r="AH108" t="str">
        <x:v>https://zh.wikisource.org/zh-hans/滴天髓 ; https://zh.wikisource.org/zh-hans/淵海子平 ; https://zh.wikisource.org/wiki/三命通會</x:v>
      </x:c>
      <x:c r="AI108" t="str">
        <x:v>采用</x:v>
      </x:c>
      <x:c r="AJ108" t="str">
        <x:v>初审</x:v>
      </x:c>
      <x:c r="AK108" t="n">
        <x:v>46255</x:v>
      </x:c>
    </x:row>
    <x:row r="109">
      <x:c r="A109" t="str">
        <x:f>IF(OR(C109="",D109=""),"",B109&amp;"-"&amp;UPPER(C109)&amp;"-"&amp;TEXT(D109,"0000")&amp;"-"&amp;E109)</x:f>
        <x:v>M08-AGG-0103-V1.0</x:v>
      </x:c>
      <x:c r="B109" t="str">
        <x:v>M08</x:v>
      </x:c>
      <x:c r="C109" t="str">
        <x:v>AGG</x:v>
      </x:c>
      <x:c r="D109" t="n">
        <x:v>103</x:v>
      </x:c>
      <x:c r="E109" t="str">
        <x:v>V1.0</x:v>
      </x:c>
      <x:c r="F109" t="str">
        <x:v>极旺要求原始强势且关键削弱仍不足以改变主势</x:v>
      </x:c>
      <x:c r="G109" t="str">
        <x:v>结构层</x:v>
      </x:c>
      <x:c r="H109" t="str">
        <x:v>极端门槛</x:v>
      </x:c>
      <x:c r="I109" t="str">
        <x:v>目标五行</x:v>
      </x:c>
      <x:c r="J109" t="str">
        <x:v>原始旺/极旺</x:v>
      </x:c>
      <x:c r="K109" t="str">
        <x:v>有效修正后仍成势</x:v>
      </x:c>
      <x:c r="L109" t="str">
        <x:v>只有多维强证据时保留极旺</x:v>
      </x:c>
      <x:c r="M109" t="str">
        <x:v>增强</x:v>
      </x:c>
      <x:c r="N109" t="str">
        <x:v>决定性</x:v>
      </x:c>
      <x:c r="O109" t="str">
        <x:v>条件性</x:v>
      </x:c>
      <x:c r="P109" t="str">
        <x:v>条件性</x:v>
      </x:c>
      <x:c r="Q109" t="str">
        <x:v>条件性</x:v>
      </x:c>
      <x:c r="R109" t="str">
        <x:v>条件性</x:v>
      </x:c>
      <x:c r="S109" t="str">
        <x:v>M07原始旺衰与M06关键效应均已完成</x:v>
      </x:c>
      <x:c r="T109" t="str">
        <x:v>主证据与反向证据均可追溯</x:v>
      </x:c>
      <x:c r="U109" t="str">
        <x:v>得令、有根、有援可增强</x:v>
      </x:c>
      <x:c r="V109" t="str">
        <x:v>失令、孤立或受制可削弱</x:v>
      </x:c>
      <x:c r="W109" t="str">
        <x:v>禁止用关系名称直接替代实际效应</x:v>
      </x:c>
      <x:c r="X109" t="str">
        <x:v>特殊格局与动态岁运另模块处理</x:v>
      </x:c>
      <x:c r="Y109" t="str">
        <x:v>按证据修正有效旺衰</x:v>
      </x:c>
      <x:c r="Z109" t="str">
        <x:v>不得直接推出喜忌用神</x:v>
      </x:c>
      <x:c r="AA109" t="str">
        <x:v>极旺门槛</x:v>
      </x:c>
      <x:c r="AB109" t="str">
        <x:v>极旺必须在有效修正后仍保持压倒性势能。</x:v>
      </x:c>
      <x:c r="AC109" t="str">
        <x:v>较高</x:v>
      </x:c>
      <x:c r="AD109" t="str">
        <x:v>现代综合</x:v>
      </x:c>
      <x:c r="AE109" t="str">
        <x:v>有效力量必须承接原始力量与实际效应，逐对象、逐节点修正。</x:v>
      </x:c>
      <x:c r="AF109" t="str">
        <x:v>证据方向略占优时可判中和偏旺或偏弱。</x:v>
      </x:c>
      <x:c r="AG109" t="str">
        <x:v>用单一分数阈值或单一关系名强行定级。</x:v>
      </x:c>
      <x:c r="AH109" t="str">
        <x:v>https://zh.wikisource.org/zh-hans/滴天髓 ; https://zh.wikisource.org/zh-hans/淵海子平 ; https://zh.wikisource.org/wiki/三命通會</x:v>
      </x:c>
      <x:c r="AI109" t="str">
        <x:v>采用</x:v>
      </x:c>
      <x:c r="AJ109" t="str">
        <x:v>初审</x:v>
      </x:c>
      <x:c r="AK109" t="n">
        <x:v>46255</x:v>
      </x:c>
    </x:row>
    <x:row r="110">
      <x:c r="A110" t="str">
        <x:f>IF(OR(C110="",D110=""),"",B110&amp;"-"&amp;UPPER(C110)&amp;"-"&amp;TEXT(D110,"0000")&amp;"-"&amp;E110)</x:f>
        <x:v>M08-AGG-0104-V1.0</x:v>
      </x:c>
      <x:c r="B110" t="str">
        <x:v>M08</x:v>
      </x:c>
      <x:c r="C110" t="str">
        <x:v>AGG</x:v>
      </x:c>
      <x:c r="D110" t="n">
        <x:v>104</x:v>
      </x:c>
      <x:c r="E110" t="str">
        <x:v>V1.0</x:v>
      </x:c>
      <x:c r="F110" t="str">
        <x:v>极弱要求主要承载、生源与根透均接近失效</x:v>
      </x:c>
      <x:c r="G110" t="str">
        <x:v>结构层</x:v>
      </x:c>
      <x:c r="H110" t="str">
        <x:v>极端门槛</x:v>
      </x:c>
      <x:c r="I110" t="str">
        <x:v>目标五行</x:v>
      </x:c>
      <x:c r="J110" t="str">
        <x:v>原始弱/极弱</x:v>
      </x:c>
      <x:c r="K110" t="str">
        <x:v>有效修正后缺乏恢复条件</x:v>
      </x:c>
      <x:c r="L110" t="str">
        <x:v>多项承载同时失效才判极弱</x:v>
      </x:c>
      <x:c r="M110" t="str">
        <x:v>减弱</x:v>
      </x:c>
      <x:c r="N110" t="str">
        <x:v>决定性</x:v>
      </x:c>
      <x:c r="O110" t="str">
        <x:v>条件性</x:v>
      </x:c>
      <x:c r="P110" t="str">
        <x:v>条件性</x:v>
      </x:c>
      <x:c r="Q110" t="str">
        <x:v>条件性</x:v>
      </x:c>
      <x:c r="R110" t="str">
        <x:v>条件性</x:v>
      </x:c>
      <x:c r="S110" t="str">
        <x:v>M07原始旺衰与M06关键效应均已完成</x:v>
      </x:c>
      <x:c r="T110" t="str">
        <x:v>主证据与反向证据均可追溯</x:v>
      </x:c>
      <x:c r="U110" t="str">
        <x:v>得令、有根、有援可增强</x:v>
      </x:c>
      <x:c r="V110" t="str">
        <x:v>失令、孤立或受制可削弱</x:v>
      </x:c>
      <x:c r="W110" t="str">
        <x:v>禁止用关系名称直接替代实际效应</x:v>
      </x:c>
      <x:c r="X110" t="str">
        <x:v>特殊格局与动态岁运另模块处理</x:v>
      </x:c>
      <x:c r="Y110" t="str">
        <x:v>按证据修正有效旺衰</x:v>
      </x:c>
      <x:c r="Z110" t="str">
        <x:v>不得直接推出喜忌用神</x:v>
      </x:c>
      <x:c r="AA110" t="str">
        <x:v>极弱门槛</x:v>
      </x:c>
      <x:c r="AB110" t="str">
        <x:v>极弱要求多项有效承载同时缺失，不能只凭无根或失令。</x:v>
      </x:c>
      <x:c r="AC110" t="str">
        <x:v>较高</x:v>
      </x:c>
      <x:c r="AD110" t="str">
        <x:v>现代综合</x:v>
      </x:c>
      <x:c r="AE110" t="str">
        <x:v>有效力量必须承接原始力量与实际效应，逐对象、逐节点修正。</x:v>
      </x:c>
      <x:c r="AF110" t="str">
        <x:v>证据方向略占优时可判中和偏旺或偏弱。</x:v>
      </x:c>
      <x:c r="AG110" t="str">
        <x:v>用单一分数阈值或单一关系名强行定级。</x:v>
      </x:c>
      <x:c r="AH110" t="str">
        <x:v>https://zh.wikisource.org/zh-hans/滴天髓 ; https://zh.wikisource.org/zh-hans/淵海子平 ; https://zh.wikisource.org/wiki/三命通會</x:v>
      </x:c>
      <x:c r="AI110" t="str">
        <x:v>采用</x:v>
      </x:c>
      <x:c r="AJ110" t="str">
        <x:v>初审</x:v>
      </x:c>
      <x:c r="AK110" t="n">
        <x:v>46255</x:v>
      </x:c>
    </x:row>
    <x:row r="111">
      <x:c r="A111" t="str">
        <x:f>IF(OR(C111="",D111=""),"",B111&amp;"-"&amp;UPPER(C111)&amp;"-"&amp;TEXT(D111,"0000")&amp;"-"&amp;E111)</x:f>
        <x:v>M08-AGG-0105-V1.0</x:v>
      </x:c>
      <x:c r="B111" t="str">
        <x:v>M08</x:v>
      </x:c>
      <x:c r="C111" t="str">
        <x:v>AGG</x:v>
      </x:c>
      <x:c r="D111" t="n">
        <x:v>105</x:v>
      </x:c>
      <x:c r="E111" t="str">
        <x:v>V1.0</x:v>
      </x:c>
      <x:c r="F111" t="str">
        <x:v>中和区间允许强弱证据同时存在并相互抵消</x:v>
      </x:c>
      <x:c r="G111" t="str">
        <x:v>结构层</x:v>
      </x:c>
      <x:c r="H111" t="str">
        <x:v>综合平衡</x:v>
      </x:c>
      <x:c r="I111" t="str">
        <x:v>目标五行</x:v>
      </x:c>
      <x:c r="J111" t="str">
        <x:v>原始中间区</x:v>
      </x:c>
      <x:c r="K111" t="str">
        <x:v>增强与削弱证据接近</x:v>
      </x:c>
      <x:c r="L111" t="str">
        <x:v>保持中和或偏旺偏弱的边际表达</x:v>
      </x:c>
      <x:c r="M111" t="str">
        <x:v>条件性</x:v>
      </x:c>
      <x:c r="N111" t="str">
        <x:v>中</x:v>
      </x:c>
      <x:c r="O111" t="str">
        <x:v>条件性</x:v>
      </x:c>
      <x:c r="P111" t="str">
        <x:v>条件性</x:v>
      </x:c>
      <x:c r="Q111" t="str">
        <x:v>条件性</x:v>
      </x:c>
      <x:c r="R111" t="str">
        <x:v>条件性</x:v>
      </x:c>
      <x:c r="S111" t="str">
        <x:v>M07原始旺衰与M06关键效应均已完成</x:v>
      </x:c>
      <x:c r="T111" t="str">
        <x:v>主证据与反向证据均可追溯</x:v>
      </x:c>
      <x:c r="U111" t="str">
        <x:v>得令、有根、有援可增强</x:v>
      </x:c>
      <x:c r="V111" t="str">
        <x:v>失令、孤立或受制可削弱</x:v>
      </x:c>
      <x:c r="W111" t="str">
        <x:v>禁止用关系名称直接替代实际效应</x:v>
      </x:c>
      <x:c r="X111" t="str">
        <x:v>特殊格局与动态岁运另模块处理</x:v>
      </x:c>
      <x:c r="Y111" t="str">
        <x:v>按证据修正有效旺衰</x:v>
      </x:c>
      <x:c r="Z111" t="str">
        <x:v>不得直接推出喜忌用神</x:v>
      </x:c>
      <x:c r="AA111" t="str">
        <x:v>中和区间</x:v>
      </x:c>
      <x:c r="AB111" t="str">
        <x:v>正反证据接近时，应保留中和区间并表达轻微方向。</x:v>
      </x:c>
      <x:c r="AC111" t="str">
        <x:v>较高</x:v>
      </x:c>
      <x:c r="AD111" t="str">
        <x:v>现代综合</x:v>
      </x:c>
      <x:c r="AE111" t="str">
        <x:v>有效力量必须承接原始力量与实际效应，逐对象、逐节点修正。</x:v>
      </x:c>
      <x:c r="AF111" t="str">
        <x:v>证据方向略占优时可判中和偏旺或偏弱。</x:v>
      </x:c>
      <x:c r="AG111" t="str">
        <x:v>用单一分数阈值或单一关系名强行定级。</x:v>
      </x:c>
      <x:c r="AH111" t="str">
        <x:v>https://zh.wikisource.org/zh-hans/滴天髓 ; https://zh.wikisource.org/zh-hans/淵海子平 ; https://zh.wikisource.org/wiki/三命通會</x:v>
      </x:c>
      <x:c r="AI111" t="str">
        <x:v>采用</x:v>
      </x:c>
      <x:c r="AJ111" t="str">
        <x:v>初审</x:v>
      </x:c>
      <x:c r="AK111" t="n">
        <x:v>46255</x:v>
      </x:c>
    </x:row>
    <x:row r="112">
      <x:c r="A112" t="str">
        <x:f>IF(OR(C112="",D112=""),"",B112&amp;"-"&amp;UPPER(C112)&amp;"-"&amp;TEXT(D112,"0000")&amp;"-"&amp;E112)</x:f>
        <x:v>M08-AGG-0106-V1.0</x:v>
      </x:c>
      <x:c r="B112" t="str">
        <x:v>M08</x:v>
      </x:c>
      <x:c r="C112" t="str">
        <x:v>AGG</x:v>
      </x:c>
      <x:c r="D112" t="n">
        <x:v>106</x:v>
      </x:c>
      <x:c r="E112" t="str">
        <x:v>V1.0</x:v>
      </x:c>
      <x:c r="F112" t="str">
        <x:v>有效旺衰输出必须附主证据、反证与置信度</x:v>
      </x:c>
      <x:c r="G112" t="str">
        <x:v>结构层</x:v>
      </x:c>
      <x:c r="H112" t="str">
        <x:v>输出规范</x:v>
      </x:c>
      <x:c r="I112" t="str">
        <x:v>目标五行</x:v>
      </x:c>
      <x:c r="J112" t="str">
        <x:v>结论已形成</x:v>
      </x:c>
      <x:c r="K112" t="str">
        <x:v>证据汇总</x:v>
      </x:c>
      <x:c r="L112" t="str">
        <x:v>生成可追溯结论而非单标签</x:v>
      </x:c>
      <x:c r="M112" t="str">
        <x:v>不变</x:v>
      </x:c>
      <x:c r="N112" t="str">
        <x:v>强</x:v>
      </x:c>
      <x:c r="O112" t="str">
        <x:v>条件性</x:v>
      </x:c>
      <x:c r="P112" t="str">
        <x:v>条件性</x:v>
      </x:c>
      <x:c r="Q112" t="str">
        <x:v>条件性</x:v>
      </x:c>
      <x:c r="R112" t="str">
        <x:v>条件性</x:v>
      </x:c>
      <x:c r="S112" t="str">
        <x:v>M07原始旺衰与M06关键效应均已完成</x:v>
      </x:c>
      <x:c r="T112" t="str">
        <x:v>主证据与反向证据均可追溯</x:v>
      </x:c>
      <x:c r="U112" t="str">
        <x:v>得令、有根、有援可增强</x:v>
      </x:c>
      <x:c r="V112" t="str">
        <x:v>失令、孤立或受制可削弱</x:v>
      </x:c>
      <x:c r="W112" t="str">
        <x:v>禁止用关系名称直接替代实际效应</x:v>
      </x:c>
      <x:c r="X112" t="str">
        <x:v>特殊格局与动态岁运另模块处理</x:v>
      </x:c>
      <x:c r="Y112" t="str">
        <x:v>按证据修正有效旺衰</x:v>
      </x:c>
      <x:c r="Z112" t="str">
        <x:v>不得直接推出喜忌用神</x:v>
      </x:c>
      <x:c r="AA112" t="str">
        <x:v>有效旺衰输出</x:v>
      </x:c>
      <x:c r="AB112" t="str">
        <x:v>每个五行必须输出有效旺衰等级、主要修正、反证和置信度。</x:v>
      </x:c>
      <x:c r="AC112" t="str">
        <x:v>较高</x:v>
      </x:c>
      <x:c r="AD112" t="str">
        <x:v>现代综合</x:v>
      </x:c>
      <x:c r="AE112" t="str">
        <x:v>有效力量必须承接原始力量与实际效应，逐对象、逐节点修正。</x:v>
      </x:c>
      <x:c r="AF112" t="str">
        <x:v>证据方向略占优时可判中和偏旺或偏弱。</x:v>
      </x:c>
      <x:c r="AG112" t="str">
        <x:v>用单一分数阈值或单一关系名强行定级。</x:v>
      </x:c>
      <x:c r="AH112" t="str">
        <x:v>https://zh.wikisource.org/zh-hans/滴天髓 ; https://zh.wikisource.org/zh-hans/淵海子平 ; https://zh.wikisource.org/wiki/三命通會</x:v>
      </x:c>
      <x:c r="AI112" t="str">
        <x:v>采用</x:v>
      </x:c>
      <x:c r="AJ112" t="str">
        <x:v>初审</x:v>
      </x:c>
      <x:c r="AK112" t="n">
        <x:v>46255</x:v>
      </x:c>
    </x:row>
    <x:row r="113">
      <x:c r="A113" t="str">
        <x:f>IF(OR(C113="",D113=""),"",B113&amp;"-"&amp;UPPER(C113)&amp;"-"&amp;TEXT(D113,"0000")&amp;"-"&amp;E113)</x:f>
        <x:v>M08-BOUND-0107-V1.0</x:v>
      </x:c>
      <x:c r="B113" t="str">
        <x:v>M08</x:v>
      </x:c>
      <x:c r="C113" t="str">
        <x:v>BOUND</x:v>
      </x:c>
      <x:c r="D113" t="n">
        <x:v>107</x:v>
      </x:c>
      <x:c r="E113" t="str">
        <x:v>V1.0</x:v>
      </x:c>
      <x:c r="F113" t="str">
        <x:v>M08不得直接确定喜神忌神用神</x:v>
      </x:c>
      <x:c r="G113" t="str">
        <x:v>结构层</x:v>
      </x:c>
      <x:c r="H113" t="str">
        <x:v>模块边界</x:v>
      </x:c>
      <x:c r="I113" t="str">
        <x:v>全部五行</x:v>
      </x:c>
      <x:c r="J113" t="str">
        <x:v>任意</x:v>
      </x:c>
      <x:c r="K113" t="str">
        <x:v>有效力量判断</x:v>
      </x:c>
      <x:c r="L113" t="str">
        <x:v>只输出力量与可用性，不赋予价值判断</x:v>
      </x:c>
      <x:c r="M113" t="str">
        <x:v>不变</x:v>
      </x:c>
      <x:c r="N113" t="str">
        <x:v>决定性</x:v>
      </x:c>
      <x:c r="O113" t="str">
        <x:v>否</x:v>
      </x:c>
      <x:c r="P113" t="str">
        <x:v>否</x:v>
      </x:c>
      <x:c r="Q113" t="str">
        <x:v>否</x:v>
      </x:c>
      <x:c r="R113" t="str">
        <x:v>否</x:v>
      </x:c>
      <x:c r="S113" t="str">
        <x:v>前置模块已完成</x:v>
      </x:c>
      <x:c r="T113" t="str">
        <x:v>作用条件真实成立</x:v>
      </x:c>
      <x:c r="U113" t="str">
        <x:v>得令、有根、有援可增强</x:v>
      </x:c>
      <x:c r="V113" t="str">
        <x:v>失令、孤立或受制可削弱</x:v>
      </x:c>
      <x:c r="W113" t="str">
        <x:v>禁止用关系名称直接替代实际效应</x:v>
      </x:c>
      <x:c r="X113" t="str">
        <x:v>特殊格局与动态岁运另模块处理</x:v>
      </x:c>
      <x:c r="Y113" t="str">
        <x:v>按证据修正有效旺衰</x:v>
      </x:c>
      <x:c r="Z113" t="str">
        <x:v>不得直接推出喜忌用神</x:v>
      </x:c>
      <x:c r="AA113" t="str">
        <x:v>喜忌隔离</x:v>
      </x:c>
      <x:c r="AB113" t="str">
        <x:v>有效旺衰只描述力量事实，喜忌用神必须等待后续综合裁决。</x:v>
      </x:c>
      <x:c r="AC113" t="str">
        <x:v>较高</x:v>
      </x:c>
      <x:c r="AD113" t="str">
        <x:v>现代综合</x:v>
      </x:c>
      <x:c r="AE113" t="str">
        <x:v>有效力量必须承接原始力量与实际效应，逐对象、逐节点修正。</x:v>
      </x:c>
      <x:c r="AF113" t="str">
        <x:v>保留证据链、条件、反证和替代方案。</x:v>
      </x:c>
      <x:c r="AG113" t="str">
        <x:v>把争议口诀、固定比例或喜忌结论硬编码到M08。</x:v>
      </x:c>
      <x:c r="AH113" t="str">
        <x:v>https://zh.wikisource.org/zh-hans/滴天髓 ; https://zh.wikisource.org/zh-hans/淵海子平 ; https://zh.wikisource.org/wiki/三命通會</x:v>
      </x:c>
      <x:c r="AI113" t="str">
        <x:v>采用</x:v>
      </x:c>
      <x:c r="AJ113" t="str">
        <x:v>初审</x:v>
      </x:c>
      <x:c r="AK113" t="n">
        <x:v>46255</x:v>
      </x:c>
    </x:row>
    <x:row r="114">
      <x:c r="A114" t="str">
        <x:f>IF(OR(C114="",D114=""),"",B114&amp;"-"&amp;UPPER(C114)&amp;"-"&amp;TEXT(D114,"0000")&amp;"-"&amp;E114)</x:f>
        <x:v>M08-BOUND-0108-V1.0</x:v>
      </x:c>
      <x:c r="B114" t="str">
        <x:v>M08</x:v>
      </x:c>
      <x:c r="C114" t="str">
        <x:v>BOUND</x:v>
      </x:c>
      <x:c r="D114" t="n">
        <x:v>108</x:v>
      </x:c>
      <x:c r="E114" t="str">
        <x:v>V1.0</x:v>
      </x:c>
      <x:c r="F114" t="str">
        <x:v>同一力量节点不得在根源透党合局等维度重复满额调用</x:v>
      </x:c>
      <x:c r="G114" t="str">
        <x:v>结构层</x:v>
      </x:c>
      <x:c r="H114" t="str">
        <x:v>证据容量</x:v>
      </x:c>
      <x:c r="I114" t="str">
        <x:v>全部五行</x:v>
      </x:c>
      <x:c r="J114" t="str">
        <x:v>任意</x:v>
      </x:c>
      <x:c r="K114" t="str">
        <x:v>同一节点多标签</x:v>
      </x:c>
      <x:c r="L114" t="str">
        <x:v>执行证据去重与容量分配</x:v>
      </x:c>
      <x:c r="M114" t="str">
        <x:v>不变</x:v>
      </x:c>
      <x:c r="N114" t="str">
        <x:v>决定性</x:v>
      </x:c>
      <x:c r="O114" t="str">
        <x:v>否</x:v>
      </x:c>
      <x:c r="P114" t="str">
        <x:v>否</x:v>
      </x:c>
      <x:c r="Q114" t="str">
        <x:v>否</x:v>
      </x:c>
      <x:c r="R114" t="str">
        <x:v>否</x:v>
      </x:c>
      <x:c r="S114" t="str">
        <x:v>前置模块已完成</x:v>
      </x:c>
      <x:c r="T114" t="str">
        <x:v>作用条件真实成立</x:v>
      </x:c>
      <x:c r="U114" t="str">
        <x:v>得令、有根、有援可增强</x:v>
      </x:c>
      <x:c r="V114" t="str">
        <x:v>失令、孤立或受制可削弱</x:v>
      </x:c>
      <x:c r="W114" t="str">
        <x:v>禁止用关系名称直接替代实际效应</x:v>
      </x:c>
      <x:c r="X114" t="str">
        <x:v>特殊格局与动态岁运另模块处理</x:v>
      </x:c>
      <x:c r="Y114" t="str">
        <x:v>按证据修正有效旺衰</x:v>
      </x:c>
      <x:c r="Z114" t="str">
        <x:v>不得直接推出喜忌用神</x:v>
      </x:c>
      <x:c r="AA114" t="str">
        <x:v>有效证据去重</x:v>
      </x:c>
      <x:c r="AB114" t="str">
        <x:v>同一干支节点可以承担多个解释标签，但只能按真实容量调用。</x:v>
      </x:c>
      <x:c r="AC114" t="str">
        <x:v>较高</x:v>
      </x:c>
      <x:c r="AD114" t="str">
        <x:v>现代综合</x:v>
      </x:c>
      <x:c r="AE114" t="str">
        <x:v>有效力量必须承接原始力量与实际效应，逐对象、逐节点修正。</x:v>
      </x:c>
      <x:c r="AF114" t="str">
        <x:v>保留证据链、条件、反证和替代方案。</x:v>
      </x:c>
      <x:c r="AG114" t="str">
        <x:v>把争议口诀、固定比例或喜忌结论硬编码到M08。</x:v>
      </x:c>
      <x:c r="AH114" t="str">
        <x:v>https://zh.wikisource.org/zh-hans/滴天髓 ; https://zh.wikisource.org/zh-hans/淵海子平 ; https://zh.wikisource.org/wiki/三命通會</x:v>
      </x:c>
      <x:c r="AI114" t="str">
        <x:v>采用</x:v>
      </x:c>
      <x:c r="AJ114" t="str">
        <x:v>初审</x:v>
      </x:c>
      <x:c r="AK114" t="n">
        <x:v>46255</x:v>
      </x:c>
    </x:row>
    <x:row r="115">
      <x:c r="A115" t="str">
        <x:f>IF(OR(C115="",D115=""),"",B115&amp;"-"&amp;UPPER(C115)&amp;"-"&amp;TEXT(D115,"0000")&amp;"-"&amp;E115)</x:f>
        <x:v>M08-BOUND-0109-V1.0</x:v>
      </x:c>
      <x:c r="B115" t="str">
        <x:v>M08</x:v>
      </x:c>
      <x:c r="C115" t="str">
        <x:v>BOUND</x:v>
      </x:c>
      <x:c r="D115" t="n">
        <x:v>109</x:v>
      </x:c>
      <x:c r="E115" t="str">
        <x:v>V1.0</x:v>
      </x:c>
      <x:c r="F115" t="str">
        <x:v>固定百分比或固定分值不能作为最终裁决</x:v>
      </x:c>
      <x:c r="G115" t="str">
        <x:v>结构层</x:v>
      </x:c>
      <x:c r="H115" t="str">
        <x:v>模型治理</x:v>
      </x:c>
      <x:c r="I115" t="str">
        <x:v>全部五行</x:v>
      </x:c>
      <x:c r="J115" t="str">
        <x:v>任意</x:v>
      </x:c>
      <x:c r="K115" t="str">
        <x:v>量化尝试</x:v>
      </x:c>
      <x:c r="L115" t="str">
        <x:v>参考权重只用于辅助排序</x:v>
      </x:c>
      <x:c r="M115" t="str">
        <x:v>不变</x:v>
      </x:c>
      <x:c r="N115" t="str">
        <x:v>强</x:v>
      </x:c>
      <x:c r="O115" t="str">
        <x:v>否</x:v>
      </x:c>
      <x:c r="P115" t="str">
        <x:v>否</x:v>
      </x:c>
      <x:c r="Q115" t="str">
        <x:v>否</x:v>
      </x:c>
      <x:c r="R115" t="str">
        <x:v>否</x:v>
      </x:c>
      <x:c r="S115" t="str">
        <x:v>前置模块已完成</x:v>
      </x:c>
      <x:c r="T115" t="str">
        <x:v>作用条件真实成立</x:v>
      </x:c>
      <x:c r="U115" t="str">
        <x:v>得令、有根、有援可增强</x:v>
      </x:c>
      <x:c r="V115" t="str">
        <x:v>失令、孤立或受制可削弱</x:v>
      </x:c>
      <x:c r="W115" t="str">
        <x:v>禁止用关系名称直接替代实际效应</x:v>
      </x:c>
      <x:c r="X115" t="str">
        <x:v>特殊格局与动态岁运另模块处理</x:v>
      </x:c>
      <x:c r="Y115" t="str">
        <x:v>按证据修正有效旺衰</x:v>
      </x:c>
      <x:c r="Z115" t="str">
        <x:v>不得直接推出喜忌用神</x:v>
      </x:c>
      <x:c r="AA115" t="str">
        <x:v>非机械计分</x:v>
      </x:c>
      <x:c r="AB115" t="str">
        <x:v>M08可以使用参考权重辅助一致性，但不能用固定百分比替代结构判断。</x:v>
      </x:c>
      <x:c r="AC115" t="str">
        <x:v>较高</x:v>
      </x:c>
      <x:c r="AD115" t="str">
        <x:v>现代综合</x:v>
      </x:c>
      <x:c r="AE115" t="str">
        <x:v>有效力量必须承接原始力量与实际效应，逐对象、逐节点修正。</x:v>
      </x:c>
      <x:c r="AF115" t="str">
        <x:v>保留证据链、条件、反证和替代方案。</x:v>
      </x:c>
      <x:c r="AG115" t="str">
        <x:v>把争议口诀、固定比例或喜忌结论硬编码到M08。</x:v>
      </x:c>
      <x:c r="AH115" t="str">
        <x:v>https://zh.wikisource.org/zh-hans/滴天髓 ; https://zh.wikisource.org/zh-hans/淵海子平 ; https://zh.wikisource.org/wiki/三命通會</x:v>
      </x:c>
      <x:c r="AI115" t="str">
        <x:v>采用</x:v>
      </x:c>
      <x:c r="AJ115" t="str">
        <x:v>初审</x:v>
      </x:c>
      <x:c r="AK115" t="n">
        <x:v>46255</x:v>
      </x:c>
    </x:row>
    <x:row r="116">
      <x:c r="A116" t="str">
        <x:f>IF(OR(C116="",D116=""),"",B116&amp;"-"&amp;UPPER(C116)&amp;"-"&amp;TEXT(D116,"0000")&amp;"-"&amp;E116)</x:f>
        <x:v>M08-BOUND-0110-V1.0</x:v>
      </x:c>
      <x:c r="B116" t="str">
        <x:v>M08</x:v>
      </x:c>
      <x:c r="C116" t="str">
        <x:v>BOUND</x:v>
      </x:c>
      <x:c r="D116" t="n">
        <x:v>110</x:v>
      </x:c>
      <x:c r="E116" t="str">
        <x:v>V1.0</x:v>
      </x:c>
      <x:c r="F116" t="str">
        <x:v>关键结论依赖争议规则时降低置信度并转M21</x:v>
      </x:c>
      <x:c r="G116" t="str">
        <x:v>结构层</x:v>
      </x:c>
      <x:c r="H116" t="str">
        <x:v>治理边界</x:v>
      </x:c>
      <x:c r="I116" t="str">
        <x:v>全部五行</x:v>
      </x:c>
      <x:c r="J116" t="str">
        <x:v>任意</x:v>
      </x:c>
      <x:c r="K116" t="str">
        <x:v>依赖流派争议</x:v>
      </x:c>
      <x:c r="L116" t="str">
        <x:v>保留主方案与替代方案</x:v>
      </x:c>
      <x:c r="M116" t="str">
        <x:v>条件性</x:v>
      </x:c>
      <x:c r="N116" t="str">
        <x:v>中</x:v>
      </x:c>
      <x:c r="O116" t="str">
        <x:v>否</x:v>
      </x:c>
      <x:c r="P116" t="str">
        <x:v>否</x:v>
      </x:c>
      <x:c r="Q116" t="str">
        <x:v>否</x:v>
      </x:c>
      <x:c r="R116" t="str">
        <x:v>否</x:v>
      </x:c>
      <x:c r="S116" t="str">
        <x:v>前置模块已完成</x:v>
      </x:c>
      <x:c r="T116" t="str">
        <x:v>作用条件真实成立</x:v>
      </x:c>
      <x:c r="U116" t="str">
        <x:v>得令、有根、有援可增强</x:v>
      </x:c>
      <x:c r="V116" t="str">
        <x:v>失令、孤立或受制可削弱</x:v>
      </x:c>
      <x:c r="W116" t="str">
        <x:v>禁止用关系名称直接替代实际效应</x:v>
      </x:c>
      <x:c r="X116" t="str">
        <x:v>特殊格局与动态岁运另模块处理</x:v>
      </x:c>
      <x:c r="Y116" t="str">
        <x:v>按证据修正有效旺衰</x:v>
      </x:c>
      <x:c r="Z116" t="str">
        <x:v>不得直接推出喜忌用神</x:v>
      </x:c>
      <x:c r="AA116" t="str">
        <x:v>争议降置信</x:v>
      </x:c>
      <x:c r="AB116" t="str">
        <x:v>若有效旺衰依赖自刑、六破等争议规则，应降低置信度并在M21保留替代解释。</x:v>
      </x:c>
      <x:c r="AC116" t="str">
        <x:v>中等</x:v>
      </x:c>
      <x:c r="AD116" t="str">
        <x:v>现代综合</x:v>
      </x:c>
      <x:c r="AE116" t="str">
        <x:v>有效力量必须承接原始力量与实际效应，逐对象、逐节点修正。</x:v>
      </x:c>
      <x:c r="AF116" t="str">
        <x:v>保留证据链、条件、反证和替代方案。</x:v>
      </x:c>
      <x:c r="AG116" t="str">
        <x:v>把争议口诀、固定比例或喜忌结论硬编码到M08。</x:v>
      </x:c>
      <x:c r="AH116" t="str">
        <x:v>https://zh.wikisource.org/zh-hans/滴天髓 ; https://zh.wikisource.org/zh-hans/淵海子平 ; https://zh.wikisource.org/wiki/三命通會</x:v>
      </x:c>
      <x:c r="AI116" t="str">
        <x:v>待验证</x:v>
      </x:c>
      <x:c r="AJ116" t="str">
        <x:v>初审</x:v>
      </x:c>
      <x:c r="AK116" t="n">
        <x:v>46255</x:v>
      </x:c>
    </x:row>
  </x:sheetData>
  <x:mergeCells>
    <x:mergeCell ref="A1:O1"/>
    <x:mergeCell ref="A2:O2"/>
    <x:mergeCell ref="A3:O3"/>
    <x:mergeCell ref="A4:O4"/>
  </x:mergeCells>
  <x:conditionalFormatting sqref="A6:A105">
    <x:cfRule type="expression" dxfId="6"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M6:M105">
      <x:formula1>'99_下拉选项'!$M$4:$M$12</x:formula1>
    </x:dataValidation>
    <x:dataValidation type="list" sqref="N6:N105">
      <x:formula1>'99_下拉选项'!$N$4:$N$8</x:formula1>
    </x:dataValidation>
    <x:dataValidation type="list" sqref="O6:O105">
      <x:formula1>'99_下拉选项'!$X$4:$X$7</x:formula1>
    </x:dataValidation>
    <x:dataValidation type="list" sqref="P6:P105">
      <x:formula1>'99_下拉选项'!$X$4:$X$7</x:formula1>
    </x:dataValidation>
    <x:dataValidation type="list" sqref="Q6:Q105">
      <x:formula1>'99_下拉选项'!$X$4:$X$7</x:formula1>
    </x:dataValidation>
    <x:dataValidation type="list" sqref="R6:R105">
      <x:formula1>'99_下拉选项'!$X$4:$X$7</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 type="list" sqref="E6:E130">
      <x:formula1>'99_下拉选项'!$BG$4:$BG$14</x:formula1>
    </x:dataValidation>
    <x:dataValidation type="list" sqref="E7:E116">
      <x:formula1>'99_下拉选项'!$BG$4:$BG$19</x:formula1>
    </x:dataValidation>
  </x:dataValidations>
  <x:pageMargins left="0.7" right="0.7" top="0.75" bottom="0.75" header="0.3" footer="0.3"/>
  <x:tableParts count="1">
    <x:tablePart xmlns:r="http://schemas.openxmlformats.org/officeDocument/2006/relationships" r:id="Re3dab7052142496a"/>
  </x:tableParts>
</x:worksheet>
</file>

<file path=xl/worksheets/sheet1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16" hidden="0" customWidth="1"/>
    <x:col min="21" max="21" width="16" hidden="0" customWidth="1"/>
    <x:col min="22" max="22" width="30" hidden="0" customWidth="1"/>
    <x:col min="23" max="23" width="30" hidden="0" customWidth="1"/>
    <x:col min="24" max="24" width="16" hidden="0" customWidth="1"/>
    <x:col min="25" max="25" width="16" hidden="0" customWidth="1"/>
    <x:col min="26" max="26" width="30" hidden="0" customWidth="1"/>
    <x:col min="27" max="27" width="16" hidden="0" customWidth="1"/>
    <x:col min="28" max="28" width="16" hidden="0" customWidth="1"/>
    <x:col min="29" max="29" width="30" hidden="0" customWidth="1"/>
    <x:col min="30" max="30" width="30" hidden="0" customWidth="1"/>
    <x:col min="31" max="31" width="30" hidden="0" customWidth="1"/>
    <x:col min="32" max="32" width="13" hidden="0" customWidth="1"/>
  </x:cols>
  <x:sheetData>
    <x:row r="1" ht="28" customHeight="1">
      <x:c r="A1" s="32" t="str">
        <x:v>M09｜日主旺衰综合裁定规则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row>
    <x:row r="2" ht="36" customHeight="1">
      <x:c r="A2" s="39" t="str">
        <x:v>综合M03月令根气、M07原始力量与M08有效力量，按得令、得地、得势、得生、受制、受泄、受耗及双侧净优势，输出日主七级旺衰、反向证据与置信度。本版录入90条正式规则。</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row>
    <x:row r="3" ht="30" customHeight="1">
      <x:c r="A3" s="47" t="str">
        <x:v>前置依赖：M03/M07/M08　｜　主要输出：日主七级旺衰、正反证据与置信度　｜　直接下游：M10/M11/M14/M16/M17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row>
    <x:row r="4" ht="34" customHeight="1">
      <x:c r="A4" s="54" t="str">
        <x:v>填写约束：一行只写一条原子规则；只读取M03/M07/M08已经确认的有效证据，不在M09重算合冲刑害；同源节点必须去重；月令不是一票否决；旺衰与喜忌、格局严格分离。示例行序号9999，不计入正式规则。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证据方向</x:v>
      </x:c>
      <x:c r="J5" s="61" t="str">
        <x:v>判断条件</x:v>
      </x:c>
      <x:c r="K5" s="61" t="str">
        <x:v>参考权重</x:v>
      </x:c>
      <x:c r="L5" s="61" t="str">
        <x:v>作用等级</x:v>
      </x:c>
      <x:c r="M5" s="61" t="str">
        <x:v>前置条件</x:v>
      </x:c>
      <x:c r="N5" s="61" t="str">
        <x:v>必要条件</x:v>
      </x:c>
      <x:c r="O5" s="61" t="str">
        <x:v>增强条件</x:v>
      </x:c>
      <x:c r="P5" s="61" t="str">
        <x:v>削弱条件</x:v>
      </x:c>
      <x:c r="Q5" s="61" t="str">
        <x:v>否决条件</x:v>
      </x:c>
      <x:c r="R5" s="61" t="str">
        <x:v>例外条件</x:v>
      </x:c>
      <x:c r="S5" s="61" t="str">
        <x:v>反向证据</x:v>
      </x:c>
      <x:c r="T5" s="61" t="str">
        <x:v>是否可单独定性</x:v>
      </x:c>
      <x:c r="U5" s="61" t="str">
        <x:v>旺衰候选</x:v>
      </x:c>
      <x:c r="V5" s="61" t="str">
        <x:v>结论标签</x:v>
      </x:c>
      <x:c r="W5" s="61" t="str">
        <x:v>标准输出</x:v>
      </x:c>
      <x:c r="X5" s="61" t="str">
        <x:v>置信等级</x:v>
      </x:c>
      <x:c r="Y5" s="61" t="str">
        <x:v>流派标签</x:v>
      </x:c>
      <x:c r="Z5" s="61" t="str">
        <x:v>依据说明</x:v>
      </x:c>
      <x:c r="AA5" s="61" t="str">
        <x:v>正例</x:v>
      </x:c>
      <x:c r="AB5" s="61" t="str">
        <x:v>反例</x:v>
      </x:c>
      <x:c r="AC5" s="61" t="str">
        <x:v>来源/备注</x:v>
      </x:c>
      <x:c r="AD5" s="61" t="str">
        <x:v>规则状态</x:v>
      </x:c>
      <x:c r="AE5" s="61" t="str">
        <x:v>审核状态</x:v>
      </x:c>
      <x:c r="AF5" s="61" t="str">
        <x:v>更新日期</x:v>
      </x:c>
    </x:row>
    <x:row r="6" ht="66" customHeight="1">
      <x:c r="A6" s="76" t="str">
        <x:f>IF(OR(C6="",D6=""),"",B6&amp;"-"&amp;UPPER(C6)&amp;"-"&amp;TEXT(D6,"0000")&amp;"-"&amp;E6)</x:f>
        <x:v>M09-DEMO-9999-V0.1</x:v>
      </x:c>
      <x:c r="B6" s="76" t="str">
        <x:v>M09</x:v>
      </x:c>
      <x:c r="C6" s="76" t="str">
        <x:v>DEMO</x:v>
      </x:c>
      <x:c r="D6" s="78" t="n">
        <x:v>9999</x:v>
      </x:c>
      <x:c r="E6" s="76" t="str">
        <x:v>V0.1</x:v>
      </x:c>
      <x:c r="F6" s="76" t="str">
        <x:v>得令不能单独构成身旺结论</x:v>
      </x:c>
      <x:c r="G6" s="76" t="str">
        <x:v>综合层</x:v>
      </x:c>
      <x:c r="H6" s="76" t="str">
        <x:v>得令</x:v>
      </x:c>
      <x:c r="I6" s="76" t="str">
        <x:v>支持偏旺</x:v>
      </x:c>
      <x:c r="J6" s="76" t="str">
        <x:v>日主五行得月令支持</x:v>
      </x:c>
      <x:c r="K6" s="76" t="str">
        <x:v>高</x:v>
      </x:c>
      <x:c r="L6" s="76" t="str">
        <x:v>强</x:v>
      </x:c>
      <x:c r="M6" s="76" t="str">
        <x:v>M03、M07、M08完成</x:v>
      </x:c>
      <x:c r="N6" s="76" t="str">
        <x:v>同时核查得地、得势及克泄耗</x:v>
      </x:c>
      <x:c r="O6" s="76" t="str">
        <x:v>根深、印比有效且成势</x:v>
      </x:c>
      <x:c r="P6" s="76" t="str">
        <x:v>无根、强泄耗、官杀直接有力</x:v>
      </x:c>
      <x:c r="Q6" s="76" t="str">
        <x:v>不得将得令视为身旺充分条件</x:v>
      </x:c>
      <x:c r="R6" s="76" t="str">
        <x:v>特殊格局另审</x:v>
      </x:c>
      <x:c r="S6" s="76" t="str">
        <x:v>若财官食伤成势且日主根气受限，得令也可能仅维持中和或偏弱</x:v>
      </x:c>
      <x:c r="T6" s="76" t="str">
        <x:v>否</x:v>
      </x:c>
      <x:c r="U6" s="76" t="str">
        <x:v>中和偏旺</x:v>
      </x:c>
      <x:c r="V6" s="76" t="str">
        <x:v>日主旺衰综合</x:v>
      </x:c>
      <x:c r="W6" s="76" t="str">
        <x:v>日主得令是偏旺证据，但不足以单独定性；需合并有效根气、印比与克泄耗后裁定。</x:v>
      </x:c>
      <x:c r="X6" s="76" t="str">
        <x:v>较高</x:v>
      </x:c>
      <x:c r="Y6" s="76" t="str">
        <x:v>现代综合</x:v>
      </x:c>
      <x:c r="Z6" s="76" t="str">
        <x:v>日主旺衰是多证据合成结论。</x:v>
      </x:c>
      <x:c r="AA6" s="76" t="str">
        <x:v>得令、得地、得势同时成立，可判偏旺或旺。</x:v>
      </x:c>
      <x:c r="AB6" s="76" t="str">
        <x:v>得令但无根且泄耗成势，仍机械判旺。</x:v>
      </x:c>
      <x:c r="AC6" s="76" t="str">
        <x:v>示例，仅演示字段用法</x:v>
      </x:c>
      <x:c r="AD6" s="76" t="str">
        <x:v>示例</x:v>
      </x:c>
      <x:c r="AE6" s="76" t="str">
        <x:v>未审核</x:v>
      </x:c>
      <x:c r="AF6" s="86" t="n">
        <x:v>46254</x:v>
      </x:c>
    </x:row>
    <x:row r="7">
      <x:c r="A7" s="72" t="str">
        <x:f>IF(OR(C7="",D7=""),"",B7&amp;"-"&amp;UPPER(C7)&amp;"-"&amp;TEXT(D7,"0000")&amp;"-"&amp;E7)</x:f>
        <x:v>M09-LING-0001-V1.0</x:v>
      </x:c>
      <x:c r="B7" s="74" t="str">
        <x:v>M09</x:v>
      </x:c>
      <x:c r="C7" s="74" t="str">
        <x:v>LING</x:v>
      </x:c>
      <x:c r="D7" s="79" t="n">
        <x:v>1</x:v>
      </x:c>
      <x:c r="E7" s="74" t="str">
        <x:v>V1.0</x:v>
      </x:c>
      <x:c r="F7" s="68" t="str">
        <x:v>得令是日主偏强的高权重证据但非充分条件</x:v>
      </x:c>
      <x:c r="G7" s="82" t="str">
        <x:v>综合层</x:v>
      </x:c>
      <x:c r="H7" s="68" t="str">
        <x:v>得令</x:v>
      </x:c>
      <x:c r="I7" s="68" t="str">
        <x:v>支持偏旺</x:v>
      </x:c>
      <x:c r="J7" s="68" t="str">
        <x:v>M03确认日主五行处于当令或获得强季令支持</x:v>
      </x:c>
      <x:c r="K7" s="68" t="str">
        <x:v>高</x:v>
      </x:c>
      <x:c r="L7" s="82" t="str">
        <x:v>强</x:v>
      </x:c>
      <x:c r="M7" s="68" t="str">
        <x:v>M03/M08完成</x:v>
      </x:c>
      <x:c r="N7" s="68" t="str">
        <x:v>季令支持已按节气与月令真实有效性确认</x:v>
      </x:c>
      <x:c r="O7" s="68" t="str">
        <x:v>同时有强根、印比成势</x:v>
      </x:c>
      <x:c r="P7" s="68" t="str">
        <x:v>无根、强官杀、强食伤或财星持续耗身</x:v>
      </x:c>
      <x:c r="Q7" s="90" t="str">
        <x:v>不得仅凭得令直接判身旺</x:v>
      </x:c>
      <x:c r="R7" s="68" t="str">
        <x:v>特殊格局转M14</x:v>
      </x:c>
      <x:c r="S7" s="68" t="str">
        <x:v>若负荷侧形成明显有效合力，得令也可能只维持中和或偏弱</x:v>
      </x:c>
      <x:c r="T7" s="82" t="str">
        <x:v>否</x:v>
      </x:c>
      <x:c r="U7" s="82" t="str">
        <x:v>中和偏旺</x:v>
      </x:c>
      <x:c r="V7" s="84" t="str">
        <x:v>得令高权重</x:v>
      </x:c>
      <x:c r="W7" s="84" t="str">
        <x:v>日主得令，属于偏强的重要证据；仍需与有效根气、印比及制泄耗合并裁定。</x:v>
      </x:c>
      <x:c r="X7" s="82" t="str">
        <x:v>较高</x:v>
      </x:c>
      <x:c r="Y7" s="82" t="str">
        <x:v>旺衰扶抑</x:v>
      </x:c>
      <x:c r="Z7" s="68" t="str">
        <x:v>月令为提纲但四柱仍有损益之权。</x:v>
      </x:c>
      <x:c r="AA7" s="68" t="str">
        <x:v>得令且多根、印比有力时，偏旺证据明显。</x:v>
      </x:c>
      <x:c r="AB7" s="90" t="str">
        <x:v>春木得令便无视重金克制而直接判旺。</x:v>
      </x:c>
      <x:c r="AC7" s="68" t="str">
        <x:v>https://zh.wikisource.org/wiki/%E6%B7%B5%E6%B5%B7%E5%AD%90%E5%B9%B3%E5%A4%A7%E5%85%A8 ; https://zh.wikisource.org/wiki/%E6%BB%B4%E5%A4%A9%E9%AB%93%E9%97%A1%E5%BE%AE</x:v>
      </x:c>
      <x:c r="AD7" s="82" t="str">
        <x:v>采用</x:v>
      </x:c>
      <x:c r="AE7" s="82" t="str">
        <x:v>初审</x:v>
      </x:c>
      <x:c r="AF7" s="87" t="n">
        <x:v>46255</x:v>
      </x:c>
    </x:row>
    <x:row r="8">
      <x:c r="A8" s="72" t="str">
        <x:f>IF(OR(C8="",D8=""),"",B8&amp;"-"&amp;UPPER(C8)&amp;"-"&amp;TEXT(D8,"0000")&amp;"-"&amp;E8)</x:f>
        <x:v>M09-LING-0002-V1.0</x:v>
      </x:c>
      <x:c r="B8" s="74" t="str">
        <x:v>M09</x:v>
      </x:c>
      <x:c r="C8" s="74" t="str">
        <x:v>LING</x:v>
      </x:c>
      <x:c r="D8" s="79" t="n">
        <x:v>2</x:v>
      </x:c>
      <x:c r="E8" s="74" t="str">
        <x:v>V1.0</x:v>
      </x:c>
      <x:c r="F8" s="68" t="str">
        <x:v>旺令比相令提供更直接的季节扶持</x:v>
      </x:c>
      <x:c r="G8" s="82" t="str">
        <x:v>综合层</x:v>
      </x:c>
      <x:c r="H8" s="68" t="str">
        <x:v>得令</x:v>
      </x:c>
      <x:c r="I8" s="68" t="str">
        <x:v>支持偏旺</x:v>
      </x:c>
      <x:c r="J8" s="68" t="str">
        <x:v>M03将日主五行判为旺令或相令</x:v>
      </x:c>
      <x:c r="K8" s="68" t="str">
        <x:v>中高</x:v>
      </x:c>
      <x:c r="L8" s="82" t="str">
        <x:v>中</x:v>
      </x:c>
      <x:c r="M8" s="68" t="str">
        <x:v>M03完成</x:v>
      </x:c>
      <x:c r="N8" s="68" t="str">
        <x:v>旺相状态已区分</x:v>
      </x:c>
      <x:c r="O8" s="68" t="str">
        <x:v>旺令并见根气</x:v>
      </x:c>
      <x:c r="P8" s="68" t="str">
        <x:v>相令但生源弱或受阻</x:v>
      </x:c>
      <x:c r="Q8" s="90" t="str">
        <x:v>不得把旺与相完全等权</x:v>
      </x:c>
      <x:c r="R8" s="68" t="str">
        <x:v>四季土月按M03细分</x:v>
      </x:c>
      <x:c r="S8" s="68" t="str">
        <x:v>相令仍可因强根与印比升级，旺令也可因强耗制下调</x:v>
      </x:c>
      <x:c r="T8" s="82" t="str">
        <x:v>否</x:v>
      </x:c>
      <x:c r="U8" s="82" t="str">
        <x:v>中和偏旺</x:v>
      </x:c>
      <x:c r="V8" s="84" t="str">
        <x:v>旺相层级</x:v>
      </x:c>
      <x:c r="W8" s="84" t="str">
        <x:v>旺令提供更直接季节优势；相令为间接支持，两者不作机械等权。</x:v>
      </x:c>
      <x:c r="X8" s="82" t="str">
        <x:v>较高</x:v>
      </x:c>
      <x:c r="Y8" s="82" t="str">
        <x:v>现代综合</x:v>
      </x:c>
      <x:c r="Z8" s="68" t="str">
        <x:v>月令权重高但不是单项充分条件；必须结合M08有效根气、印比与制泄耗，且同源季令证据去重。</x:v>
      </x:c>
      <x:c r="AA8" s="68" t="str">
        <x:v>正例：当“M03将日主五行判为旺令或相令”真实成立，且必要条件与增强条件同向时，按“旺令比相令提供更直接的季节扶持”记录对应旺衰证据。</x:v>
      </x:c>
      <x:c r="AB8" s="90" t="str">
        <x:v>反例：只有表面条件，但出现“不得把旺与相完全等权”或关键有效性未成立时，不得套用本规则。</x:v>
      </x:c>
      <x:c r="AC8" s="68" t="str">
        <x:v>https://zh.wikisource.org/wiki/%E6%B7%B5%E6%B5%B7%E5%AD%90%E5%B9%B3%E5%A4%A7%E5%85%A8 ; https://zh.wikisource.org/wiki/%E6%BB%B4%E5%A4%A9%E9%AB%93%E9%97%A1%E5%BE%AE</x:v>
      </x:c>
      <x:c r="AD8" s="82" t="str">
        <x:v>采用</x:v>
      </x:c>
      <x:c r="AE8" s="82" t="str">
        <x:v>初审</x:v>
      </x:c>
      <x:c r="AF8" s="87" t="n">
        <x:v>46255</x:v>
      </x:c>
    </x:row>
    <x:row r="9">
      <x:c r="A9" s="72" t="str">
        <x:f>IF(OR(C9="",D9=""),"",B9&amp;"-"&amp;UPPER(C9)&amp;"-"&amp;TEXT(D9,"0000")&amp;"-"&amp;E9)</x:f>
        <x:v>M09-LING-0003-V1.0</x:v>
      </x:c>
      <x:c r="B9" s="74" t="str">
        <x:v>M09</x:v>
      </x:c>
      <x:c r="C9" s="74" t="str">
        <x:v>LING</x:v>
      </x:c>
      <x:c r="D9" s="79" t="n">
        <x:v>3</x:v>
      </x:c>
      <x:c r="E9" s="74" t="str">
        <x:v>V1.0</x:v>
      </x:c>
      <x:c r="F9" s="68" t="str">
        <x:v>休囚死是季节不利证据而不是日主弱的充分条件</x:v>
      </x:c>
      <x:c r="G9" s="82" t="str">
        <x:v>综合层</x:v>
      </x:c>
      <x:c r="H9" s="68" t="str">
        <x:v>得令</x:v>
      </x:c>
      <x:c r="I9" s="68" t="str">
        <x:v>支持偏弱</x:v>
      </x:c>
      <x:c r="J9" s="68" t="str">
        <x:v>M03判日主五行为休、囚或死</x:v>
      </x:c>
      <x:c r="K9" s="68" t="str">
        <x:v>中高</x:v>
      </x:c>
      <x:c r="L9" s="82" t="str">
        <x:v>中</x:v>
      </x:c>
      <x:c r="M9" s="68" t="str">
        <x:v>M03/M08完成</x:v>
      </x:c>
      <x:c r="N9" s="68" t="str">
        <x:v>季节状态真实</x:v>
      </x:c>
      <x:c r="O9" s="68" t="str">
        <x:v>失令同时无根无援</x:v>
      </x:c>
      <x:c r="P9" s="68" t="str">
        <x:v>根深、印比成势、有效生源强</x:v>
      </x:c>
      <x:c r="Q9" s="90" t="str">
        <x:v>不得由失令直接推出弱或极弱</x:v>
      </x:c>
      <x:c r="R9" s="68" t="str">
        <x:v>特殊格局另审</x:v>
      </x:c>
      <x:c r="S9" s="68" t="str">
        <x:v>若日主虽失令但多重有效根与印比成势，可反转为中和偏旺甚至旺</x:v>
      </x:c>
      <x:c r="T9" s="82" t="str">
        <x:v>否</x:v>
      </x:c>
      <x:c r="U9" s="82" t="str">
        <x:v>中和偏弱</x:v>
      </x:c>
      <x:c r="V9" s="84" t="str">
        <x:v>失令证据</x:v>
      </x:c>
      <x:c r="W9" s="84" t="str">
        <x:v>日主失令构成偏弱证据，但是否身弱取决于有效根气、印比和制泄耗。</x:v>
      </x:c>
      <x:c r="X9" s="82" t="str">
        <x:v>较高</x:v>
      </x:c>
      <x:c r="Y9" s="82" t="str">
        <x:v>现代综合</x:v>
      </x:c>
      <x:c r="Z9" s="68" t="str">
        <x:v>月令权重高但不是单项充分条件；必须结合M08有效根气、印比与制泄耗，且同源季令证据去重。</x:v>
      </x:c>
      <x:c r="AA9" s="68" t="str">
        <x:v>正例：当“M03判日主五行为休、囚或死”真实成立，且必要条件与增强条件同向时，按“休囚死是季节不利证据而不是日主弱的充分条件”记录对应旺衰证据。</x:v>
      </x:c>
      <x:c r="AB9" s="90" t="str">
        <x:v>反例：只有表面条件，但出现“不得由失令直接推出弱或极弱”或关键有效性未成立时，不得套用本规则。</x:v>
      </x:c>
      <x:c r="AC9" s="68" t="str">
        <x:v>https://zh.wikisource.org/wiki/%E6%B7%B5%E6%B5%B7%E5%AD%90%E5%B9%B3%E5%A4%A7%E5%85%A8 ; https://zh.wikisource.org/wiki/%E6%BB%B4%E5%A4%A9%E9%AB%93%E9%97%A1%E5%BE%AE</x:v>
      </x:c>
      <x:c r="AD9" s="82" t="str">
        <x:v>采用</x:v>
      </x:c>
      <x:c r="AE9" s="82" t="str">
        <x:v>初审</x:v>
      </x:c>
      <x:c r="AF9" s="87" t="n">
        <x:v>46255</x:v>
      </x:c>
    </x:row>
    <x:row r="10">
      <x:c r="A10" s="72" t="str">
        <x:f>IF(OR(C10="",D10=""),"",B10&amp;"-"&amp;UPPER(C10)&amp;"-"&amp;TEXT(D10,"0000")&amp;"-"&amp;E10)</x:f>
        <x:v>M09-LING-0004-V1.0</x:v>
      </x:c>
      <x:c r="B10" s="74" t="str">
        <x:v>M09</x:v>
      </x:c>
      <x:c r="C10" s="74" t="str">
        <x:v>LING</x:v>
      </x:c>
      <x:c r="D10" s="79" t="n">
        <x:v>4</x:v>
      </x:c>
      <x:c r="E10" s="74" t="str">
        <x:v>V1.0</x:v>
      </x:c>
      <x:c r="F10" s="68" t="str">
        <x:v>得令但无有效根时承载能力需单独核查</x:v>
      </x:c>
      <x:c r="G10" s="82" t="str">
        <x:v>综合层</x:v>
      </x:c>
      <x:c r="H10" s="68" t="str">
        <x:v>得令</x:v>
      </x:c>
      <x:c r="I10" s="68" t="str">
        <x:v>条件性支持偏旺</x:v>
      </x:c>
      <x:c r="J10" s="68" t="str">
        <x:v>得令但M08显示无有效根或仅微根</x:v>
      </x:c>
      <x:c r="K10" s="68" t="str">
        <x:v>高</x:v>
      </x:c>
      <x:c r="L10" s="82" t="str">
        <x:v>强</x:v>
      </x:c>
      <x:c r="M10" s="68" t="str">
        <x:v>M03/M08完成</x:v>
      </x:c>
      <x:c r="N10" s="68" t="str">
        <x:v>日主确实缺少有效根</x:v>
      </x:c>
      <x:c r="O10" s="68" t="str">
        <x:v>有强印持续生身、比劫得势</x:v>
      </x:c>
      <x:c r="P10" s="68" t="str">
        <x:v>财官食伤成势且无落脚点</x:v>
      </x:c>
      <x:c r="Q10" s="90" t="str">
        <x:v>禁止固定判为旺或弱</x:v>
      </x:c>
      <x:c r="R10" s="68" t="str">
        <x:v>若日主本身在干支形成其他独立承载则重审</x:v>
      </x:c>
      <x:c r="S10" s="68" t="str">
        <x:v>无根不必然弱，但对持续承受泄耗制约不利</x:v>
      </x:c>
      <x:c r="T10" s="82" t="str">
        <x:v>否</x:v>
      </x:c>
      <x:c r="U10" s="82" t="str">
        <x:v>中和</x:v>
      </x:c>
      <x:c r="V10" s="84" t="str">
        <x:v>得令无根边界</x:v>
      </x:c>
      <x:c r="W10" s="84" t="str">
        <x:v>日主虽得令，但有效根不足；季令优势能否转化为稳定承载需与印比和负荷侧共同判断。</x:v>
      </x:c>
      <x:c r="X10" s="82" t="str">
        <x:v>较高</x:v>
      </x:c>
      <x:c r="Y10" s="82" t="str">
        <x:v>现代综合</x:v>
      </x:c>
      <x:c r="Z10" s="68" t="str">
        <x:v>解决“得令但无根”边界，不设固定等级。</x:v>
      </x:c>
      <x:c r="AA10" s="68" t="str">
        <x:v>正例：当“得令但M08显示无有效根或仅微根”真实成立，且必要条件与增强条件同向时，按“得令但无有效根时承载能力需单独核查”记录对应旺衰证据。</x:v>
      </x:c>
      <x:c r="AB10" s="90" t="str">
        <x:v>反例：只有表面条件，但出现“禁止固定判为旺或弱”或关键有效性未成立时，不得套用本规则。</x:v>
      </x:c>
      <x:c r="AC10" s="68" t="str">
        <x:v>https://zh.wikisource.org/wiki/%E6%B7%B5%E6%B5%B7%E5%AD%90%E5%B9%B3%E5%A4%A7%E5%85%A8 ; https://zh.wikisource.org/wiki/%E6%BB%B4%E5%A4%A9%E9%AB%93%E9%97%A1%E5%BE%AE</x:v>
      </x:c>
      <x:c r="AD10" s="82" t="str">
        <x:v>采用</x:v>
      </x:c>
      <x:c r="AE10" s="82" t="str">
        <x:v>初审</x:v>
      </x:c>
      <x:c r="AF10" s="87" t="n">
        <x:v>46255</x:v>
      </x:c>
    </x:row>
    <x:row r="11">
      <x:c r="A11" s="72" t="str">
        <x:f>IF(OR(C11="",D11=""),"",B11&amp;"-"&amp;UPPER(C11)&amp;"-"&amp;TEXT(D11,"0000")&amp;"-"&amp;E11)</x:f>
        <x:v>M09-LING-0005-V1.0</x:v>
      </x:c>
      <x:c r="B11" s="74" t="str">
        <x:v>M09</x:v>
      </x:c>
      <x:c r="C11" s="74" t="str">
        <x:v>LING</x:v>
      </x:c>
      <x:c r="D11" s="79" t="n">
        <x:v>5</x:v>
      </x:c>
      <x:c r="E11" s="74" t="str">
        <x:v>V1.0</x:v>
      </x:c>
      <x:c r="F11" s="68" t="str">
        <x:v>失令但根深印比成势可反转季节劣势</x:v>
      </x:c>
      <x:c r="G11" s="82" t="str">
        <x:v>综合层</x:v>
      </x:c>
      <x:c r="H11" s="68" t="str">
        <x:v>得令</x:v>
      </x:c>
      <x:c r="I11" s="68" t="str">
        <x:v>支持偏旺</x:v>
      </x:c>
      <x:c r="J11" s="68" t="str">
        <x:v>失令，同时M08显示多重有效强根且印比形成明显扶身势</x:v>
      </x:c>
      <x:c r="K11" s="68" t="str">
        <x:v>高</x:v>
      </x:c>
      <x:c r="L11" s="82" t="str">
        <x:v>强</x:v>
      </x:c>
      <x:c r="M11" s="68" t="str">
        <x:v>M08完成</x:v>
      </x:c>
      <x:c r="N11" s="68" t="str">
        <x:v>根气和印比均为有效而非名义存在</x:v>
      </x:c>
      <x:c r="O11" s="68" t="str">
        <x:v>比劫透根、印源连续</x:v>
      </x:c>
      <x:c r="P11" s="68" t="str">
        <x:v>根被实质破坏或负荷侧形成更强集团</x:v>
      </x:c>
      <x:c r="Q11" s="90" t="str">
        <x:v>不得把失令设为一票否决</x:v>
      </x:c>
      <x:c r="R11" s="68" t="str">
        <x:v>从格与专旺候选转M14</x:v>
      </x:c>
      <x:c r="S11" s="68" t="str">
        <x:v>若负荷侧明显弱于扶身侧，失令日主仍可判偏旺或旺</x:v>
      </x:c>
      <x:c r="T11" s="82" t="str">
        <x:v>否</x:v>
      </x:c>
      <x:c r="U11" s="82" t="str">
        <x:v>中和偏旺</x:v>
      </x:c>
      <x:c r="V11" s="84" t="str">
        <x:v>失令反强</x:v>
      </x:c>
      <x:c r="W11" s="84" t="str">
        <x:v>日主失令，但有效根深、印比成势，可抵消乃至反转季节劣势。</x:v>
      </x:c>
      <x:c r="X11" s="82" t="str">
        <x:v>较高</x:v>
      </x:c>
      <x:c r="Y11" s="82" t="str">
        <x:v>现代综合</x:v>
      </x:c>
      <x:c r="Z11" s="68" t="str">
        <x:v>对应经典“失时不弱”的条件化表达。</x:v>
      </x:c>
      <x:c r="AA11" s="68" t="str">
        <x:v>秋木失令但寅卯多根、甲乙透而水生有力，可不作弱论。</x:v>
      </x:c>
      <x:c r="AB11" s="90" t="str">
        <x:v>失令即固定判弱。</x:v>
      </x:c>
      <x:c r="AC11" s="68" t="str">
        <x:v>https://zh.wikisource.org/wiki/%E6%B7%B5%E6%B5%B7%E5%AD%90%E5%B9%B3%E5%A4%A7%E5%85%A8 ; https://zh.wikisource.org/wiki/%E6%BB%B4%E5%A4%A9%E9%AB%93%E9%97%A1%E5%BE%AE</x:v>
      </x:c>
      <x:c r="AD11" s="82" t="str">
        <x:v>采用</x:v>
      </x:c>
      <x:c r="AE11" s="82" t="str">
        <x:v>初审</x:v>
      </x:c>
      <x:c r="AF11" s="87" t="n">
        <x:v>46255</x:v>
      </x:c>
    </x:row>
    <x:row r="12">
      <x:c r="A12" s="72" t="str">
        <x:f>IF(OR(C12="",D12=""),"",B12&amp;"-"&amp;UPPER(C12)&amp;"-"&amp;TEXT(D12,"0000")&amp;"-"&amp;E12)</x:f>
        <x:v>M09-LING-0006-V1.0</x:v>
      </x:c>
      <x:c r="B12" s="74" t="str">
        <x:v>M09</x:v>
      </x:c>
      <x:c r="C12" s="74" t="str">
        <x:v>LING</x:v>
      </x:c>
      <x:c r="D12" s="79" t="n">
        <x:v>6</x:v>
      </x:c>
      <x:c r="E12" s="74" t="str">
        <x:v>V1.0</x:v>
      </x:c>
      <x:c r="F12" s="68" t="str">
        <x:v>月令节点兼具根气时必须去重计权</x:v>
      </x:c>
      <x:c r="G12" s="82" t="str">
        <x:v>综合层</x:v>
      </x:c>
      <x:c r="H12" s="68" t="str">
        <x:v>得令</x:v>
      </x:c>
      <x:c r="I12" s="68" t="str">
        <x:v>证据去重</x:v>
      </x:c>
      <x:c r="J12" s="68" t="str">
        <x:v>同一月支既提供季令支持又承载日主根气</x:v>
      </x:c>
      <x:c r="K12" s="68" t="str">
        <x:v>高</x:v>
      </x:c>
      <x:c r="L12" s="82" t="str">
        <x:v>中</x:v>
      </x:c>
      <x:c r="M12" s="68" t="str">
        <x:v>M03/M08完成</x:v>
      </x:c>
      <x:c r="N12" s="68" t="str">
        <x:v>确认是同一地支节点</x:v>
      </x:c>
      <x:c r="O12" s="68" t="str">
        <x:v>另有独立根、透干或生源</x:v>
      </x:c>
      <x:c r="P12" s="68"/>
      <x:c r="Q12" s="90" t="str">
        <x:v>禁止月令旺、月支根、同党三个标签重复全额累加</x:v>
      </x:c>
      <x:c r="R12" s="68" t="str">
        <x:v>可分别保留解释标签</x:v>
      </x:c>
      <x:c r="S12" s="68" t="str">
        <x:v>独立节点越多才代表新增证据容量</x:v>
      </x:c>
      <x:c r="T12" s="82" t="str">
        <x:v>是</x:v>
      </x:c>
      <x:c r="U12" s="82" t="str">
        <x:v>中和偏旺</x:v>
      </x:c>
      <x:c r="V12" s="84" t="str">
        <x:v>季令根气去重</x:v>
      </x:c>
      <x:c r="W12" s="84" t="str">
        <x:v>月令与月支根气可分别解释，但同一节点不重复按多个决定性证据累加。</x:v>
      </x:c>
      <x:c r="X12" s="82" t="str">
        <x:v>较高</x:v>
      </x:c>
      <x:c r="Y12" s="82" t="str">
        <x:v>现代综合</x:v>
      </x:c>
      <x:c r="Z12" s="68" t="str">
        <x:v>月令权重高但不是单项充分条件；必须结合M08有效根气、印比与制泄耗，且同源季令证据去重。</x:v>
      </x:c>
      <x:c r="AA12" s="68" t="str">
        <x:v>正例：当“同一月支既提供季令支持又承载日主根气”真实成立，且必要条件与增强条件同向时，按“月令节点兼具根气时必须去重计权”记录对应旺衰证据。</x:v>
      </x:c>
      <x:c r="AB12" s="90" t="str">
        <x:v>反例：只有表面条件，但出现“禁止月令旺、月支根、同党三个标签重复全额累加”或关键有效性未成立时，不得套用本规则。</x:v>
      </x:c>
      <x:c r="AC12" s="68" t="str">
        <x:v>https://zh.wikisource.org/wiki/%E6%B7%B5%E6%B5%B7%E5%AD%90%E5%B9%B3%E5%A4%A7%E5%85%A8 ; https://zh.wikisource.org/wiki/%E6%BB%B4%E5%A4%A9%E9%AB%93%E9%97%A1%E5%BE%AE</x:v>
      </x:c>
      <x:c r="AD12" s="82" t="str">
        <x:v>采用</x:v>
      </x:c>
      <x:c r="AE12" s="82" t="str">
        <x:v>初审</x:v>
      </x:c>
      <x:c r="AF12" s="87" t="n">
        <x:v>46255</x:v>
      </x:c>
    </x:row>
    <x:row r="13">
      <x:c r="A13" s="72" t="str">
        <x:f>IF(OR(C13="",D13=""),"",B13&amp;"-"&amp;UPPER(C13)&amp;"-"&amp;TEXT(D13,"0000")&amp;"-"&amp;E13)</x:f>
        <x:v>M09-LING-0007-V1.0</x:v>
      </x:c>
      <x:c r="B13" s="74" t="str">
        <x:v>M09</x:v>
      </x:c>
      <x:c r="C13" s="74" t="str">
        <x:v>LING</x:v>
      </x:c>
      <x:c r="D13" s="79" t="n">
        <x:v>7</x:v>
      </x:c>
      <x:c r="E13" s="74" t="str">
        <x:v>V1.0</x:v>
      </x:c>
      <x:c r="F13" s="68" t="str">
        <x:v>月令受合冲改性后的季令证据承接M08而非重算</x:v>
      </x:c>
      <x:c r="G13" s="82" t="str">
        <x:v>综合层</x:v>
      </x:c>
      <x:c r="H13" s="68" t="str">
        <x:v>得令</x:v>
      </x:c>
      <x:c r="I13" s="68" t="str">
        <x:v>条件性</x:v>
      </x:c>
      <x:c r="J13" s="68" t="str">
        <x:v>月支参与合化、会局或强冲且M08已给出有效性修正</x:v>
      </x:c>
      <x:c r="K13" s="68" t="str">
        <x:v>高</x:v>
      </x:c>
      <x:c r="L13" s="82" t="str">
        <x:v>中</x:v>
      </x:c>
      <x:c r="M13" s="68" t="str">
        <x:v>M06/M08完成</x:v>
      </x:c>
      <x:c r="N13" s="68" t="str">
        <x:v>M08已明确是否改性或仅受扰</x:v>
      </x:c>
      <x:c r="O13" s="68" t="str">
        <x:v>改性成立且全局气势一致</x:v>
      </x:c>
      <x:c r="P13" s="68" t="str">
        <x:v>关系仅存在但未产生实质改性</x:v>
      </x:c>
      <x:c r="Q13" s="90" t="str">
        <x:v>禁止在M09依据关系名称再次扣减或加成月令</x:v>
      </x:c>
      <x:c r="R13" s="68" t="str">
        <x:v>争议效应降低置信度</x:v>
      </x:c>
      <x:c r="S13" s="68" t="str">
        <x:v>M08若判未改性，原季令证据应保留</x:v>
      </x:c>
      <x:c r="T13" s="82" t="str">
        <x:v>是</x:v>
      </x:c>
      <x:c r="U13" s="82" t="str">
        <x:v>中和</x:v>
      </x:c>
      <x:c r="V13" s="84" t="str">
        <x:v>季令效应承接</x:v>
      </x:c>
      <x:c r="W13" s="84" t="str">
        <x:v>月令是否仍能支持日主，以M08有效性结论为准；M09不重复处理合冲。</x:v>
      </x:c>
      <x:c r="X13" s="82" t="str">
        <x:v>较高</x:v>
      </x:c>
      <x:c r="Y13" s="82" t="str">
        <x:v>现代综合</x:v>
      </x:c>
      <x:c r="Z13" s="68" t="str">
        <x:v>月令权重高但不是单项充分条件；必须结合M08有效根气、印比与制泄耗，且同源季令证据去重。</x:v>
      </x:c>
      <x:c r="AA13" s="68" t="str">
        <x:v>正例：当“月支参与合化、会局或强冲且M08已给出有效性修正”真实成立，且必要条件与增强条件同向时，按“月令受合冲改性后的季令证据承接M08而非重算”记录对应旺衰证据。</x:v>
      </x:c>
      <x:c r="AB13" s="90" t="str">
        <x:v>反例：只有表面条件，但出现“禁止在M09依据关系名称再次扣减或加成月令”或关键有效性未成立时，不得套用本规则。</x:v>
      </x:c>
      <x:c r="AC13" s="68" t="str">
        <x:v>https://zh.wikisource.org/wiki/%E6%B7%B5%E6%B5%B7%E5%AD%90%E5%B9%B3%E5%A4%A7%E5%85%A8 ; https://zh.wikisource.org/wiki/%E6%BB%B4%E5%A4%A9%E9%AB%93%E9%97%A1%E5%BE%AE</x:v>
      </x:c>
      <x:c r="AD13" s="82" t="str">
        <x:v>采用</x:v>
      </x:c>
      <x:c r="AE13" s="82" t="str">
        <x:v>初审</x:v>
      </x:c>
      <x:c r="AF13" s="87" t="n">
        <x:v>46255</x:v>
      </x:c>
    </x:row>
    <x:row r="14">
      <x:c r="A14" s="72" t="str">
        <x:f>IF(OR(C14="",D14=""),"",B14&amp;"-"&amp;UPPER(C14)&amp;"-"&amp;TEXT(D14,"0000")&amp;"-"&amp;E14)</x:f>
        <x:v>M09-LING-0008-V1.0</x:v>
      </x:c>
      <x:c r="B14" s="74" t="str">
        <x:v>M09</x:v>
      </x:c>
      <x:c r="C14" s="74" t="str">
        <x:v>LING</x:v>
      </x:c>
      <x:c r="D14" s="79" t="n">
        <x:v>8</x:v>
      </x:c>
      <x:c r="E14" s="74" t="str">
        <x:v>V1.0</x:v>
      </x:c>
      <x:c r="F14" s="68" t="str">
        <x:v>四季土月必须使用M03细分结果而非统一按土旺处理</x:v>
      </x:c>
      <x:c r="G14" s="82" t="str">
        <x:v>综合层</x:v>
      </x:c>
      <x:c r="H14" s="68" t="str">
        <x:v>得令</x:v>
      </x:c>
      <x:c r="I14" s="68" t="str">
        <x:v>条件性</x:v>
      </x:c>
      <x:c r="J14" s="68" t="str">
        <x:v>出生于辰戌丑未月</x:v>
      </x:c>
      <x:c r="K14" s="68" t="str">
        <x:v>中高</x:v>
      </x:c>
      <x:c r="L14" s="82" t="str">
        <x:v>中</x:v>
      </x:c>
      <x:c r="M14" s="68" t="str">
        <x:v>M03完成</x:v>
      </x:c>
      <x:c r="N14" s="68" t="str">
        <x:v>使用M03对本中余气与节气深浅的判定</x:v>
      </x:c>
      <x:c r="O14" s="68" t="str">
        <x:v>日主土且本气得权</x:v>
      </x:c>
      <x:c r="P14" s="68" t="str">
        <x:v>月内他气占权或土气未形成有效支持</x:v>
      </x:c>
      <x:c r="Q14" s="90" t="str">
        <x:v>禁止把四季月一律视为土日主强、非土日主弱</x:v>
      </x:c>
      <x:c r="R14" s="68" t="str">
        <x:v>流派分歧转M21</x:v>
      </x:c>
      <x:c r="S14" s="68" t="str">
        <x:v>不同节气段与藏干有效性会改变季令证据强度</x:v>
      </x:c>
      <x:c r="T14" s="82" t="str">
        <x:v>否</x:v>
      </x:c>
      <x:c r="U14" s="82" t="str">
        <x:v>中和</x:v>
      </x:c>
      <x:c r="V14" s="84" t="str">
        <x:v>四季月细分</x:v>
      </x:c>
      <x:c r="W14" s="84" t="str">
        <x:v>四季土月的季令证据按M03细分，不采用“一见辰戌丑未即土旺”的统一结论。</x:v>
      </x:c>
      <x:c r="X14" s="82" t="str">
        <x:v>中等</x:v>
      </x:c>
      <x:c r="Y14" s="82" t="str">
        <x:v>现代综合</x:v>
      </x:c>
      <x:c r="Z14" s="68" t="str">
        <x:v>四季月司令细分存在流派差异，采用条件化接口。</x:v>
      </x:c>
      <x:c r="AA14" s="68" t="str">
        <x:v>土日主生未月且土本气得权，可获得强季令支持。</x:v>
      </x:c>
      <x:c r="AB14" s="90" t="str">
        <x:v>辰月所有天干一律按土旺处理。</x:v>
      </x:c>
      <x:c r="AC14" s="68" t="str">
        <x:v>https://zh.wikisource.org/wiki/%E6%B7%B5%E6%B5%B7%E5%AD%90%E5%B9%B3%E5%A4%A7%E5%85%A8 ; https://zh.wikisource.org/wiki/%E6%BB%B4%E5%A4%A9%E9%AB%93%E9%97%A1%E5%BE%AE</x:v>
      </x:c>
      <x:c r="AD14" s="82" t="str">
        <x:v>待验证</x:v>
      </x:c>
      <x:c r="AE14" s="82" t="str">
        <x:v>初审</x:v>
      </x:c>
      <x:c r="AF14" s="87" t="n">
        <x:v>46255</x:v>
      </x:c>
    </x:row>
    <x:row r="15">
      <x:c r="A15" s="72" t="str">
        <x:f>IF(OR(C15="",D15=""),"",B15&amp;"-"&amp;UPPER(C15)&amp;"-"&amp;TEXT(D15,"0000")&amp;"-"&amp;E15)</x:f>
        <x:v>M09-LING-0009-V1.0</x:v>
      </x:c>
      <x:c r="B15" s="74" t="str">
        <x:v>M09</x:v>
      </x:c>
      <x:c r="C15" s="74" t="str">
        <x:v>LING</x:v>
      </x:c>
      <x:c r="D15" s="79" t="n">
        <x:v>9</x:v>
      </x:c>
      <x:c r="E15" s="74" t="str">
        <x:v>V1.0</x:v>
      </x:c>
      <x:c r="F15" s="68" t="str">
        <x:v>交节附近月令未核实时不得给出高置信旺衰</x:v>
      </x:c>
      <x:c r="G15" s="82" t="str">
        <x:v>综合层</x:v>
      </x:c>
      <x:c r="H15" s="68" t="str">
        <x:v>得令</x:v>
      </x:c>
      <x:c r="I15" s="68" t="str">
        <x:v>降低置信度</x:v>
      </x:c>
      <x:c r="J15" s="68" t="str">
        <x:v>出生时间接近交节且月令存在不确定</x:v>
      </x:c>
      <x:c r="K15" s="68" t="str">
        <x:v>高</x:v>
      </x:c>
      <x:c r="L15" s="82" t="str">
        <x:v>强</x:v>
      </x:c>
      <x:c r="M15" s="68" t="str">
        <x:v>M03完成</x:v>
      </x:c>
      <x:c r="N15" s="68" t="str">
        <x:v>交节时间尚未核实</x:v>
      </x:c>
      <x:c r="O15" s="68" t="str">
        <x:v>核对出生地、时区与精确交节</x:v>
      </x:c>
      <x:c r="P15" s="68"/>
      <x:c r="Q15" s="90" t="str">
        <x:v>禁止在月令不确定时输出确定旺衰</x:v>
      </x:c>
      <x:c r="R15" s="68" t="str">
        <x:v>若两个月令对日主证据方向相同，可降低影响</x:v>
      </x:c>
      <x:c r="S15" s="68" t="str">
        <x:v>相邻月令可能使旺衰方向反转</x:v>
      </x:c>
      <x:c r="T15" s="82" t="str">
        <x:v>否</x:v>
      </x:c>
      <x:c r="U15" s="82" t="str">
        <x:v>中和</x:v>
      </x:c>
      <x:c r="V15" s="84" t="str">
        <x:v>月令不确定</x:v>
      </x:c>
      <x:c r="W15" s="84" t="str">
        <x:v>出生临近交节，月令尚有不确定；日主旺衰只能给条件性候选并降低置信度。</x:v>
      </x:c>
      <x:c r="X15" s="82" t="str">
        <x:v>较高</x:v>
      </x:c>
      <x:c r="Y15" s="82" t="str">
        <x:v>现代综合</x:v>
      </x:c>
      <x:c r="Z15" s="68" t="str">
        <x:v>月令权重高但不是单项充分条件；必须结合M08有效根气、印比与制泄耗，且同源季令证据去重。</x:v>
      </x:c>
      <x:c r="AA15" s="68" t="str">
        <x:v>正例：当“出生时间接近交节且月令存在不确定”真实成立，且必要条件与增强条件同向时，按“交节附近月令未核实时不得给出高置信旺衰”记录对应旺衰证据。</x:v>
      </x:c>
      <x:c r="AB15" s="90" t="str">
        <x:v>反例：只有表面条件，但出现“禁止在月令不确定时输出确定旺衰”或关键有效性未成立时，不得套用本规则。</x:v>
      </x:c>
      <x:c r="AC15" s="68" t="str">
        <x:v>https://zh.wikisource.org/wiki/%E6%B7%B5%E6%B5%B7%E5%AD%90%E5%B9%B3%E5%A4%A7%E5%85%A8 ; https://zh.wikisource.org/wiki/%E6%BB%B4%E5%A4%A9%E9%AB%93%E9%97%A1%E5%BE%AE</x:v>
      </x:c>
      <x:c r="AD15" s="82" t="str">
        <x:v>采用</x:v>
      </x:c>
      <x:c r="AE15" s="82" t="str">
        <x:v>初审</x:v>
      </x:c>
      <x:c r="AF15" s="87" t="n">
        <x:v>46255</x:v>
      </x:c>
    </x:row>
    <x:row r="16">
      <x:c r="A16" s="72" t="str">
        <x:f>IF(OR(C16="",D16=""),"",B16&amp;"-"&amp;UPPER(C16)&amp;"-"&amp;TEXT(D16,"0000")&amp;"-"&amp;E16)</x:f>
        <x:v>M09-LING-0010-V1.0</x:v>
      </x:c>
      <x:c r="B16" s="74" t="str">
        <x:v>M09</x:v>
      </x:c>
      <x:c r="C16" s="74" t="str">
        <x:v>LING</x:v>
      </x:c>
      <x:c r="D16" s="79" t="n">
        <x:v>10</x:v>
      </x:c>
      <x:c r="E16" s="74" t="str">
        <x:v>V1.0</x:v>
      </x:c>
      <x:c r="F16" s="68" t="str">
        <x:v>季令证据必须服从全局有效力量而非覆盖其他维度</x:v>
      </x:c>
      <x:c r="G16" s="82" t="str">
        <x:v>综合层</x:v>
      </x:c>
      <x:c r="H16" s="68" t="str">
        <x:v>得令</x:v>
      </x:c>
      <x:c r="I16" s="68" t="str">
        <x:v>综合约束</x:v>
      </x:c>
      <x:c r="J16" s="68" t="str">
        <x:v>任何日主旺衰裁定</x:v>
      </x:c>
      <x:c r="K16" s="68" t="str">
        <x:v>高</x:v>
      </x:c>
      <x:c r="L16" s="82" t="str">
        <x:v>决定性</x:v>
      </x:c>
      <x:c r="M16" s="68" t="str">
        <x:v>M03/M08完成</x:v>
      </x:c>
      <x:c r="N16" s="68" t="str">
        <x:v>已取得季令、根气、印比与制泄耗证据</x:v>
      </x:c>
      <x:c r="O16" s="68" t="str">
        <x:v>多维证据同向</x:v>
      </x:c>
      <x:c r="P16" s="68" t="str">
        <x:v>多维证据显著反向</x:v>
      </x:c>
      <x:c r="Q16" s="90" t="str">
        <x:v>禁止以月令单项覆盖M08其余强证据</x:v>
      </x:c>
      <x:c r="R16" s="68" t="str">
        <x:v>特殊格局转M14</x:v>
      </x:c>
      <x:c r="S16" s="68" t="str">
        <x:v>得时不旺、失时不弱均可能成立</x:v>
      </x:c>
      <x:c r="T16" s="82" t="str">
        <x:v>否</x:v>
      </x:c>
      <x:c r="U16" s="82" t="str">
        <x:v>中和</x:v>
      </x:c>
      <x:c r="V16" s="84" t="str">
        <x:v>季令非一票否决</x:v>
      </x:c>
      <x:c r="W16" s="84" t="str">
        <x:v>月令权重高，但最终旺衰必须服从全局有效力量的合成结果。</x:v>
      </x:c>
      <x:c r="X16" s="82" t="str">
        <x:v>较高</x:v>
      </x:c>
      <x:c r="Y16" s="82" t="str">
        <x:v>旺衰扶抑</x:v>
      </x:c>
      <x:c r="Z16" s="68" t="str">
        <x:v>经典文本明确月令虽重，年日时仍有损益之权。</x:v>
      </x:c>
      <x:c r="AA16" s="68" t="str">
        <x:v>得令木遇庚辛申酉成势且无火制，仍可受压明显。</x:v>
      </x:c>
      <x:c r="AB16" s="90" t="str">
        <x:v>只看月令不看四柱其他力量。</x:v>
      </x:c>
      <x:c r="AC16" s="68" t="str">
        <x:v>https://zh.wikisource.org/wiki/%E6%B7%B5%E6%B5%B7%E5%AD%90%E5%B9%B3%E5%A4%A7%E5%85%A8 ; https://zh.wikisource.org/wiki/%E6%BB%B4%E5%A4%A9%E9%AB%93%E9%97%A1%E5%BE%AE</x:v>
      </x:c>
      <x:c r="AD16" s="82" t="str">
        <x:v>采用</x:v>
      </x:c>
      <x:c r="AE16" s="82" t="str">
        <x:v>初审</x:v>
      </x:c>
      <x:c r="AF16" s="87" t="n">
        <x:v>46255</x:v>
      </x:c>
    </x:row>
    <x:row r="17">
      <x:c r="A17" s="72" t="str">
        <x:f>IF(OR(C17="",D17=""),"",B17&amp;"-"&amp;UPPER(C17)&amp;"-"&amp;TEXT(D17,"0000")&amp;"-"&amp;E17)</x:f>
        <x:v>M09-DI-0011-V1.0</x:v>
      </x:c>
      <x:c r="B17" s="74" t="str">
        <x:v>M09</x:v>
      </x:c>
      <x:c r="C17" s="74" t="str">
        <x:v>DI</x:v>
      </x:c>
      <x:c r="D17" s="79" t="n">
        <x:v>11</x:v>
      </x:c>
      <x:c r="E17" s="74" t="str">
        <x:v>V1.0</x:v>
      </x:c>
      <x:c r="F17" s="68" t="str">
        <x:v>有效本气根是得地的强支持证据</x:v>
      </x:c>
      <x:c r="G17" s="82" t="str">
        <x:v>综合层</x:v>
      </x:c>
      <x:c r="H17" s="68" t="str">
        <x:v>得地</x:v>
      </x:c>
      <x:c r="I17" s="68" t="str">
        <x:v>支持偏旺</x:v>
      </x:c>
      <x:c r="J17" s="68" t="str">
        <x:v>M08确认日主在地支拥有有效本气根</x:v>
      </x:c>
      <x:c r="K17" s="68" t="str">
        <x:v>高</x:v>
      </x:c>
      <x:c r="L17" s="82" t="str">
        <x:v>强</x:v>
      </x:c>
      <x:c r="M17" s="68" t="str">
        <x:v>M03/M08完成</x:v>
      </x:c>
      <x:c r="N17" s="68" t="str">
        <x:v>本气根未被实质冲散或改性</x:v>
      </x:c>
      <x:c r="O17" s="68" t="str">
        <x:v>根得令、有同党、透干呼应</x:v>
      </x:c>
      <x:c r="P17" s="68" t="str">
        <x:v>根孤弱或调用受限</x:v>
      </x:c>
      <x:c r="Q17" s="90" t="str">
        <x:v>不得由一处本气根直接判旺</x:v>
      </x:c>
      <x:c r="R17" s="68" t="str">
        <x:v>从格候选另审</x:v>
      </x:c>
      <x:c r="S17" s="68" t="str">
        <x:v>若同时有强负荷侧，一处强根可能仅保证不至极弱</x:v>
      </x:c>
      <x:c r="T17" s="82" t="str">
        <x:v>否</x:v>
      </x:c>
      <x:c r="U17" s="82" t="str">
        <x:v>中和偏旺</x:v>
      </x:c>
      <x:c r="V17" s="84" t="str">
        <x:v>本气根支持</x:v>
      </x:c>
      <x:c r="W17" s="84" t="str">
        <x:v>日主有有效本气根，得地证据强；仍需比较扶身与制泄耗总势。</x:v>
      </x:c>
      <x:c r="X17" s="82" t="str">
        <x:v>较高</x:v>
      </x:c>
      <x:c r="Y17" s="82" t="str">
        <x:v>现代综合</x:v>
      </x:c>
      <x:c r="Z17" s="68" t="str">
        <x:v>得地按有效根气的层级、独立性与可调用性判断；根的存在与实际承载能力分开记录。</x:v>
      </x:c>
      <x:c r="AA17" s="68" t="str">
        <x:v>正例：当“M08确认日主在地支拥有有效本气根”真实成立，且必要条件与增强条件同向时，按“有效本气根是得地的强支持证据”记录对应旺衰证据。</x:v>
      </x:c>
      <x:c r="AB17" s="90" t="str">
        <x:v>反例：只有表面条件，但出现“不得由一处本气根直接判旺”或关键有效性未成立时，不得套用本规则。</x:v>
      </x:c>
      <x:c r="AC17" s="68" t="str">
        <x:v>https://zh.wikisource.org/wiki/%E6%B7%B5%E6%B5%B7%E5%AD%90%E5%B9%B3%E5%A4%A7%E5%85%A8 ; https://zh.wikisource.org/wiki/%E6%BB%B4%E5%A4%A9%E9%AB%93%E9%97%A1%E5%BE%AE</x:v>
      </x:c>
      <x:c r="AD17" s="82" t="str">
        <x:v>采用</x:v>
      </x:c>
      <x:c r="AE17" s="82" t="str">
        <x:v>初审</x:v>
      </x:c>
      <x:c r="AF17" s="87" t="n">
        <x:v>46255</x:v>
      </x:c>
    </x:row>
    <x:row r="18">
      <x:c r="A18" s="72" t="str">
        <x:f>IF(OR(C18="",D18=""),"",B18&amp;"-"&amp;UPPER(C18)&amp;"-"&amp;TEXT(D18,"0000")&amp;"-"&amp;E18)</x:f>
        <x:v>M09-DI-0012-V1.0</x:v>
      </x:c>
      <x:c r="B18" s="74" t="str">
        <x:v>M09</x:v>
      </x:c>
      <x:c r="C18" s="74" t="str">
        <x:v>DI</x:v>
      </x:c>
      <x:c r="D18" s="79" t="n">
        <x:v>12</x:v>
      </x:c>
      <x:c r="E18" s="74" t="str">
        <x:v>V1.0</x:v>
      </x:c>
      <x:c r="F18" s="68" t="str">
        <x:v>有效中气根提供中等级得地支持</x:v>
      </x:c>
      <x:c r="G18" s="82" t="str">
        <x:v>综合层</x:v>
      </x:c>
      <x:c r="H18" s="68" t="str">
        <x:v>得地</x:v>
      </x:c>
      <x:c r="I18" s="68" t="str">
        <x:v>支持偏旺</x:v>
      </x:c>
      <x:c r="J18" s="68" t="str">
        <x:v>M08确认日主有有效中气根</x:v>
      </x:c>
      <x:c r="K18" s="68" t="str">
        <x:v>中</x:v>
      </x:c>
      <x:c r="L18" s="82" t="str">
        <x:v>中</x:v>
      </x:c>
      <x:c r="M18" s="68" t="str">
        <x:v>M03/M08完成</x:v>
      </x:c>
      <x:c r="N18" s="68" t="str">
        <x:v>中气根真实存在且未失效</x:v>
      </x:c>
      <x:c r="O18" s="68" t="str">
        <x:v>另有同类根或印比生扶</x:v>
      </x:c>
      <x:c r="P18" s="68" t="str">
        <x:v>根支受强作用或失令孤立</x:v>
      </x:c>
      <x:c r="Q18" s="90" t="str">
        <x:v>不得把中气根等同本气强根</x:v>
      </x:c>
      <x:c r="R18" s="68" t="str">
        <x:v>特殊格局另审</x:v>
      </x:c>
      <x:c r="S18" s="68" t="str">
        <x:v>中气根通常能否定完全无根，但承载不一定充分</x:v>
      </x:c>
      <x:c r="T18" s="82" t="str">
        <x:v>否</x:v>
      </x:c>
      <x:c r="U18" s="82" t="str">
        <x:v>中和</x:v>
      </x:c>
      <x:c r="V18" s="84" t="str">
        <x:v>中气根支持</x:v>
      </x:c>
      <x:c r="W18" s="84" t="str">
        <x:v>日主有有效中气根，获得中等级得地支持。</x:v>
      </x:c>
      <x:c r="X18" s="82" t="str">
        <x:v>较高</x:v>
      </x:c>
      <x:c r="Y18" s="82" t="str">
        <x:v>现代综合</x:v>
      </x:c>
      <x:c r="Z18" s="68" t="str">
        <x:v>得地按有效根气的层级、独立性与可调用性判断；根的存在与实际承载能力分开记录。</x:v>
      </x:c>
      <x:c r="AA18" s="68" t="str">
        <x:v>正例：当“M08确认日主有有效中气根”真实成立，且必要条件与增强条件同向时，按“有效中气根提供中等级得地支持”记录对应旺衰证据。</x:v>
      </x:c>
      <x:c r="AB18" s="90" t="str">
        <x:v>反例：只有表面条件，但出现“不得把中气根等同本气强根”或关键有效性未成立时，不得套用本规则。</x:v>
      </x:c>
      <x:c r="AC18" s="68" t="str">
        <x:v>https://zh.wikisource.org/wiki/%E6%B7%B5%E6%B5%B7%E5%AD%90%E5%B9%B3%E5%A4%A7%E5%85%A8 ; https://zh.wikisource.org/wiki/%E6%BB%B4%E5%A4%A9%E9%AB%93%E9%97%A1%E5%BE%AE</x:v>
      </x:c>
      <x:c r="AD18" s="82" t="str">
        <x:v>采用</x:v>
      </x:c>
      <x:c r="AE18" s="82" t="str">
        <x:v>初审</x:v>
      </x:c>
      <x:c r="AF18" s="87" t="n">
        <x:v>46255</x:v>
      </x:c>
    </x:row>
    <x:row r="19">
      <x:c r="A19" s="72" t="str">
        <x:f>IF(OR(C19="",D19=""),"",B19&amp;"-"&amp;UPPER(C19)&amp;"-"&amp;TEXT(D19,"0000")&amp;"-"&amp;E19)</x:f>
        <x:v>M09-DI-0013-V1.0</x:v>
      </x:c>
      <x:c r="B19" s="74" t="str">
        <x:v>M09</x:v>
      </x:c>
      <x:c r="C19" s="74" t="str">
        <x:v>DI</x:v>
      </x:c>
      <x:c r="D19" s="79" t="n">
        <x:v>13</x:v>
      </x:c>
      <x:c r="E19" s="74" t="str">
        <x:v>V1.0</x:v>
      </x:c>
      <x:c r="F19" s="68" t="str">
        <x:v>有效余气根主要用于否定完全无根</x:v>
      </x:c>
      <x:c r="G19" s="82" t="str">
        <x:v>综合层</x:v>
      </x:c>
      <x:c r="H19" s="68" t="str">
        <x:v>得地</x:v>
      </x:c>
      <x:c r="I19" s="68" t="str">
        <x:v>轻度支持偏旺</x:v>
      </x:c>
      <x:c r="J19" s="68" t="str">
        <x:v>M08确认日主仅有余气根</x:v>
      </x:c>
      <x:c r="K19" s="68" t="str">
        <x:v>中低</x:v>
      </x:c>
      <x:c r="L19" s="82" t="str">
        <x:v>弱</x:v>
      </x:c>
      <x:c r="M19" s="68" t="str">
        <x:v>M03/M08完成</x:v>
      </x:c>
      <x:c r="N19" s="68" t="str">
        <x:v>余气根尚有效</x:v>
      </x:c>
      <x:c r="O19" s="68" t="str">
        <x:v>同支得令、透干或另有生扶</x:v>
      </x:c>
      <x:c r="P19" s="68" t="str">
        <x:v>余气受损、失令且孤立</x:v>
      </x:c>
      <x:c r="Q19" s="90" t="str">
        <x:v>不得凭单一余气根判身强</x:v>
      </x:c>
      <x:c r="R19" s="68" t="str">
        <x:v>从格边界需特别审查</x:v>
      </x:c>
      <x:c r="S19" s="68" t="str">
        <x:v>若其余扶身证据几乎为空，余气根未必足以阻止极弱候选</x:v>
      </x:c>
      <x:c r="T19" s="82" t="str">
        <x:v>否</x:v>
      </x:c>
      <x:c r="U19" s="82" t="str">
        <x:v>中和偏弱</x:v>
      </x:c>
      <x:c r="V19" s="84" t="str">
        <x:v>余气根边界</x:v>
      </x:c>
      <x:c r="W19" s="84" t="str">
        <x:v>日主有余气根，可否定“完全无根”；但其承载较弱，不能单独支撑身旺。</x:v>
      </x:c>
      <x:c r="X19" s="82" t="str">
        <x:v>较高</x:v>
      </x:c>
      <x:c r="Y19" s="82" t="str">
        <x:v>现代综合</x:v>
      </x:c>
      <x:c r="Z19" s="68" t="str">
        <x:v>得地按有效根气的层级、独立性与可调用性判断；根的存在与实际承载能力分开记录。</x:v>
      </x:c>
      <x:c r="AA19" s="68" t="str">
        <x:v>正例：当“M08确认日主仅有余气根”真实成立，且必要条件与增强条件同向时，按“有效余气根主要用于否定完全无根”记录对应旺衰证据。</x:v>
      </x:c>
      <x:c r="AB19" s="90" t="str">
        <x:v>反例：只有表面条件，但出现“不得凭单一余气根判身强”或关键有效性未成立时，不得套用本规则。</x:v>
      </x:c>
      <x:c r="AC19" s="68" t="str">
        <x:v>https://zh.wikisource.org/wiki/%E6%B7%B5%E6%B5%B7%E5%AD%90%E5%B9%B3%E5%A4%A7%E5%85%A8 ; https://zh.wikisource.org/wiki/%E6%BB%B4%E5%A4%A9%E9%AB%93%E9%97%A1%E5%BE%AE</x:v>
      </x:c>
      <x:c r="AD19" s="82" t="str">
        <x:v>采用</x:v>
      </x:c>
      <x:c r="AE19" s="82" t="str">
        <x:v>初审</x:v>
      </x:c>
      <x:c r="AF19" s="87" t="n">
        <x:v>46255</x:v>
      </x:c>
    </x:row>
    <x:row r="20">
      <x:c r="A20" s="72" t="str">
        <x:f>IF(OR(C20="",D20=""),"",B20&amp;"-"&amp;UPPER(C20)&amp;"-"&amp;TEXT(D20,"0000")&amp;"-"&amp;E20)</x:f>
        <x:v>M09-DI-0014-V1.0</x:v>
      </x:c>
      <x:c r="B20" s="74" t="str">
        <x:v>M09</x:v>
      </x:c>
      <x:c r="C20" s="74" t="str">
        <x:v>DI</x:v>
      </x:c>
      <x:c r="D20" s="79" t="n">
        <x:v>14</x:v>
      </x:c>
      <x:c r="E20" s="74" t="str">
        <x:v>V1.0</x:v>
      </x:c>
      <x:c r="F20" s="68" t="str">
        <x:v>多重独立有效根显著提高日主承载稳定性</x:v>
      </x:c>
      <x:c r="G20" s="82" t="str">
        <x:v>综合层</x:v>
      </x:c>
      <x:c r="H20" s="68" t="str">
        <x:v>得地</x:v>
      </x:c>
      <x:c r="I20" s="68" t="str">
        <x:v>支持偏旺</x:v>
      </x:c>
      <x:c r="J20" s="68" t="str">
        <x:v>日主在两个以上独立地支拥有有效根</x:v>
      </x:c>
      <x:c r="K20" s="68" t="str">
        <x:v>高</x:v>
      </x:c>
      <x:c r="L20" s="82" t="str">
        <x:v>强</x:v>
      </x:c>
      <x:c r="M20" s="68" t="str">
        <x:v>M08完成</x:v>
      </x:c>
      <x:c r="N20" s="68" t="str">
        <x:v>根位彼此独立且未因同一成局被重复计权</x:v>
      </x:c>
      <x:c r="O20" s="68" t="str">
        <x:v>根位分布广且至少一处强根</x:v>
      </x:c>
      <x:c r="P20" s="68" t="str">
        <x:v>多个根同时受制或共享同一有限来源</x:v>
      </x:c>
      <x:c r="Q20" s="90" t="str">
        <x:v>禁止把重复同一支或同一节点当多根</x:v>
      </x:c>
      <x:c r="R20" s="68" t="str">
        <x:v>合化成局后按M08重算</x:v>
      </x:c>
      <x:c r="S20" s="68" t="str">
        <x:v>根越独立，单一根受损越不易使日主失去承载</x:v>
      </x:c>
      <x:c r="T20" s="82" t="str">
        <x:v>否</x:v>
      </x:c>
      <x:c r="U20" s="82" t="str">
        <x:v>旺</x:v>
      </x:c>
      <x:c r="V20" s="84" t="str">
        <x:v>多根承载</x:v>
      </x:c>
      <x:c r="W20" s="84" t="str">
        <x:v>日主拥有多处独立有效根，得地稳定性高，是偏旺或旺的重要证据。</x:v>
      </x:c>
      <x:c r="X20" s="82" t="str">
        <x:v>较高</x:v>
      </x:c>
      <x:c r="Y20" s="82" t="str">
        <x:v>现代综合</x:v>
      </x:c>
      <x:c r="Z20" s="68" t="str">
        <x:v>得地按有效根气的层级、独立性与可调用性判断；根的存在与实际承载能力分开记录。</x:v>
      </x:c>
      <x:c r="AA20" s="68" t="str">
        <x:v>正例：当“日主在两个以上独立地支拥有有效根”真实成立，且必要条件与增强条件同向时，按“多重独立有效根显著提高日主承载稳定性”记录对应旺衰证据。</x:v>
      </x:c>
      <x:c r="AB20" s="90" t="str">
        <x:v>反例：只有表面条件，但出现“禁止把重复同一支或同一节点当多根”或关键有效性未成立时，不得套用本规则。</x:v>
      </x:c>
      <x:c r="AC20" s="68" t="str">
        <x:v>https://zh.wikisource.org/wiki/%E6%B7%B5%E6%B5%B7%E5%AD%90%E5%B9%B3%E5%A4%A7%E5%85%A8 ; https://zh.wikisource.org/wiki/%E6%BB%B4%E5%A4%A9%E9%AB%93%E9%97%A1%E5%BE%AE</x:v>
      </x:c>
      <x:c r="AD20" s="82" t="str">
        <x:v>采用</x:v>
      </x:c>
      <x:c r="AE20" s="82" t="str">
        <x:v>初审</x:v>
      </x:c>
      <x:c r="AF20" s="87" t="n">
        <x:v>46255</x:v>
      </x:c>
    </x:row>
    <x:row r="21">
      <x:c r="A21" s="72" t="str">
        <x:f>IF(OR(C21="",D21=""),"",B21&amp;"-"&amp;UPPER(C21)&amp;"-"&amp;TEXT(D21,"0000")&amp;"-"&amp;E21)</x:f>
        <x:v>M09-DI-0015-V1.0</x:v>
      </x:c>
      <x:c r="B21" s="74" t="str">
        <x:v>M09</x:v>
      </x:c>
      <x:c r="C21" s="74" t="str">
        <x:v>DI</x:v>
      </x:c>
      <x:c r="D21" s="79" t="n">
        <x:v>15</x:v>
      </x:c>
      <x:c r="E21" s="74" t="str">
        <x:v>V1.0</x:v>
      </x:c>
      <x:c r="F21" s="68" t="str">
        <x:v>同类根可以扶身但不与同干直接根完全等权</x:v>
      </x:c>
      <x:c r="G21" s="82" t="str">
        <x:v>综合层</x:v>
      </x:c>
      <x:c r="H21" s="68" t="str">
        <x:v>得地</x:v>
      </x:c>
      <x:c r="I21" s="68" t="str">
        <x:v>支持偏旺</x:v>
      </x:c>
      <x:c r="J21" s="68" t="str">
        <x:v>日主在地支获得同五行异阴阳的同类根</x:v>
      </x:c>
      <x:c r="K21" s="68" t="str">
        <x:v>中</x:v>
      </x:c>
      <x:c r="L21" s="82" t="str">
        <x:v>中</x:v>
      </x:c>
      <x:c r="M21" s="68" t="str">
        <x:v>M03/M08完成</x:v>
      </x:c>
      <x:c r="N21" s="68" t="str">
        <x:v>同类根真实有效</x:v>
      </x:c>
      <x:c r="O21" s="68" t="str">
        <x:v>同类根得令、同党透出</x:v>
      </x:c>
      <x:c r="P21" s="68" t="str">
        <x:v>同类根孤弱或被强制</x:v>
      </x:c>
      <x:c r="Q21" s="90" t="str">
        <x:v>禁止把同类根与日主同干本气根机械等权</x:v>
      </x:c>
      <x:c r="R21" s="68" t="str">
        <x:v>不同流派对根定义分歧转M21</x:v>
      </x:c>
      <x:c r="S21" s="68" t="str">
        <x:v>同类根仍属于五行层面的承载支持</x:v>
      </x:c>
      <x:c r="T21" s="82" t="str">
        <x:v>否</x:v>
      </x:c>
      <x:c r="U21" s="82" t="str">
        <x:v>中和偏旺</x:v>
      </x:c>
      <x:c r="V21" s="84" t="str">
        <x:v>同类根支持</x:v>
      </x:c>
      <x:c r="W21" s="84" t="str">
        <x:v>同类根可支持日主五行，但与同干直接根区分记录，不机械等权。</x:v>
      </x:c>
      <x:c r="X21" s="82" t="str">
        <x:v>中等</x:v>
      </x:c>
      <x:c r="Y21" s="82" t="str">
        <x:v>现代综合</x:v>
      </x:c>
      <x:c r="Z21" s="68" t="str">
        <x:v>兼容不同流派的通根口径。</x:v>
      </x:c>
      <x:c r="AA21" s="68" t="str">
        <x:v>正例：当“日主在地支获得同五行异阴阳的同类根”真实成立，且必要条件与增强条件同向时，按“同类根可以扶身但不与同干直接根完全等权”记录对应旺衰证据。</x:v>
      </x:c>
      <x:c r="AB21" s="90" t="str">
        <x:v>反例：只有表面条件，但出现“禁止把同类根与日主同干本气根机械等权”或关键有效性未成立时，不得套用本规则。</x:v>
      </x:c>
      <x:c r="AC21" s="68" t="str">
        <x:v>https://zh.wikisource.org/wiki/%E6%B7%B5%E6%B5%B7%E5%AD%90%E5%B9%B3%E5%A4%A7%E5%85%A8 ; https://zh.wikisource.org/wiki/%E6%BB%B4%E5%A4%A9%E9%AB%93%E9%97%A1%E5%BE%AE</x:v>
      </x:c>
      <x:c r="AD21" s="82" t="str">
        <x:v>待验证</x:v>
      </x:c>
      <x:c r="AE21" s="82" t="str">
        <x:v>初审</x:v>
      </x:c>
      <x:c r="AF21" s="87" t="n">
        <x:v>46255</x:v>
      </x:c>
    </x:row>
    <x:row r="22">
      <x:c r="A22" s="72" t="str">
        <x:f>IF(OR(C22="",D22=""),"",B22&amp;"-"&amp;UPPER(C22)&amp;"-"&amp;TEXT(D22,"0000")&amp;"-"&amp;E22)</x:f>
        <x:v>M09-DI-0016-V1.0</x:v>
      </x:c>
      <x:c r="B22" s="74" t="str">
        <x:v>M09</x:v>
      </x:c>
      <x:c r="C22" s="74" t="str">
        <x:v>DI</x:v>
      </x:c>
      <x:c r="D22" s="79" t="n">
        <x:v>16</x:v>
      </x:c>
      <x:c r="E22" s="74" t="str">
        <x:v>V1.0</x:v>
      </x:c>
      <x:c r="F22" s="68" t="str">
        <x:v>无有效根是日主偏弱的重要证据</x:v>
      </x:c>
      <x:c r="G22" s="82" t="str">
        <x:v>综合层</x:v>
      </x:c>
      <x:c r="H22" s="68" t="str">
        <x:v>得地</x:v>
      </x:c>
      <x:c r="I22" s="68" t="str">
        <x:v>支持偏弱</x:v>
      </x:c>
      <x:c r="J22" s="68" t="str">
        <x:v>M08确认日主无有效根</x:v>
      </x:c>
      <x:c r="K22" s="68" t="str">
        <x:v>高</x:v>
      </x:c>
      <x:c r="L22" s="82" t="str">
        <x:v>强</x:v>
      </x:c>
      <x:c r="M22" s="68" t="str">
        <x:v>M08完成</x:v>
      </x:c>
      <x:c r="N22" s="68" t="str">
        <x:v>不存在可调用的本中余气根</x:v>
      </x:c>
      <x:c r="O22" s="68" t="str">
        <x:v>同时失令、无强印比</x:v>
      </x:c>
      <x:c r="P22" s="68" t="str">
        <x:v>得令或强印比持续生扶</x:v>
      </x:c>
      <x:c r="Q22" s="90" t="str">
        <x:v>不得由无根单独判极弱</x:v>
      </x:c>
      <x:c r="R22" s="68" t="str">
        <x:v>从格条件另审</x:v>
      </x:c>
      <x:c r="S22" s="68" t="str">
        <x:v>天干有印比或得令可使无根日主仍保持一定力量</x:v>
      </x:c>
      <x:c r="T22" s="82" t="str">
        <x:v>否</x:v>
      </x:c>
      <x:c r="U22" s="82" t="str">
        <x:v>弱</x:v>
      </x:c>
      <x:c r="V22" s="84" t="str">
        <x:v>无根证据</x:v>
      </x:c>
      <x:c r="W22" s="84" t="str">
        <x:v>日主无有效根，得地不足，是偏弱的重要证据；但不能单独推出极弱。</x:v>
      </x:c>
      <x:c r="X22" s="82" t="str">
        <x:v>较高</x:v>
      </x:c>
      <x:c r="Y22" s="82" t="str">
        <x:v>现代综合</x:v>
      </x:c>
      <x:c r="Z22" s="68" t="str">
        <x:v>得地按有效根气的层级、独立性与可调用性判断；根的存在与实际承载能力分开记录。</x:v>
      </x:c>
      <x:c r="AA22" s="68" t="str">
        <x:v>正例：当“M08确认日主无有效根”真实成立，且必要条件与增强条件同向时，按“无有效根是日主偏弱的重要证据”记录对应旺衰证据。</x:v>
      </x:c>
      <x:c r="AB22" s="90" t="str">
        <x:v>反例：只有表面条件，但出现“不得由无根单独判极弱”或关键有效性未成立时，不得套用本规则。</x:v>
      </x:c>
      <x:c r="AC22" s="68" t="str">
        <x:v>https://zh.wikisource.org/wiki/%E6%B7%B5%E6%B5%B7%E5%AD%90%E5%B9%B3%E5%A4%A7%E5%85%A8 ; https://zh.wikisource.org/wiki/%E6%BB%B4%E5%A4%A9%E9%AB%93%E9%97%A1%E5%BE%AE</x:v>
      </x:c>
      <x:c r="AD22" s="82" t="str">
        <x:v>采用</x:v>
      </x:c>
      <x:c r="AE22" s="82" t="str">
        <x:v>初审</x:v>
      </x:c>
      <x:c r="AF22" s="87" t="n">
        <x:v>46255</x:v>
      </x:c>
    </x:row>
    <x:row r="23">
      <x:c r="A23" s="72" t="str">
        <x:f>IF(OR(C23="",D23=""),"",B23&amp;"-"&amp;UPPER(C23)&amp;"-"&amp;TEXT(D23,"0000")&amp;"-"&amp;E23)</x:f>
        <x:v>M09-DI-0017-V1.0</x:v>
      </x:c>
      <x:c r="B23" s="74" t="str">
        <x:v>M09</x:v>
      </x:c>
      <x:c r="C23" s="74" t="str">
        <x:v>DI</x:v>
      </x:c>
      <x:c r="D23" s="79" t="n">
        <x:v>17</x:v>
      </x:c>
      <x:c r="E23" s="74" t="str">
        <x:v>V1.0</x:v>
      </x:c>
      <x:c r="F23" s="68" t="str">
        <x:v>唯一有效根被实质冲散时应显著下调日主承载</x:v>
      </x:c>
      <x:c r="G23" s="82" t="str">
        <x:v>综合层</x:v>
      </x:c>
      <x:c r="H23" s="68" t="str">
        <x:v>得地</x:v>
      </x:c>
      <x:c r="I23" s="68" t="str">
        <x:v>支持偏弱</x:v>
      </x:c>
      <x:c r="J23" s="68" t="str">
        <x:v>日主仅一根且M08判该根实质冲散/失效</x:v>
      </x:c>
      <x:c r="K23" s="68" t="str">
        <x:v>高</x:v>
      </x:c>
      <x:c r="L23" s="82" t="str">
        <x:v>强</x:v>
      </x:c>
      <x:c r="M23" s="68" t="str">
        <x:v>M08完成</x:v>
      </x:c>
      <x:c r="N23" s="68" t="str">
        <x:v>确属唯一有效根</x:v>
      </x:c>
      <x:c r="O23" s="68" t="str">
        <x:v>同时失令、印比弱</x:v>
      </x:c>
      <x:c r="P23" s="68" t="str">
        <x:v>另有新根、强印或成势比劫</x:v>
      </x:c>
      <x:c r="Q23" s="90" t="str">
        <x:v>禁止把普通受冲等同根失效</x:v>
      </x:c>
      <x:c r="R23" s="68" t="str">
        <x:v>动态岁运另模块</x:v>
      </x:c>
      <x:c r="S23" s="68" t="str">
        <x:v>唯一根失效会使日主承载出现质变</x:v>
      </x:c>
      <x:c r="T23" s="82" t="str">
        <x:v>是</x:v>
      </x:c>
      <x:c r="U23" s="82" t="str">
        <x:v>弱</x:v>
      </x:c>
      <x:c r="V23" s="84" t="str">
        <x:v>唯一根失效</x:v>
      </x:c>
      <x:c r="W23" s="84" t="str">
        <x:v>日主唯一有效根已失效，得地证据显著下降；需重新评估是否进入弱或极弱候选。</x:v>
      </x:c>
      <x:c r="X23" s="82" t="str">
        <x:v>较高</x:v>
      </x:c>
      <x:c r="Y23" s="82" t="str">
        <x:v>现代综合</x:v>
      </x:c>
      <x:c r="Z23" s="68" t="str">
        <x:v>得地按有效根气的层级、独立性与可调用性判断；根的存在与实际承载能力分开记录。</x:v>
      </x:c>
      <x:c r="AA23" s="68" t="str">
        <x:v>正例：当“日主仅一根且M08判该根实质冲散/失效”真实成立，且必要条件与增强条件同向时，按“唯一有效根被实质冲散时应显著下调日主承载”记录对应旺衰证据。</x:v>
      </x:c>
      <x:c r="AB23" s="90" t="str">
        <x:v>反例：只有表面条件，但出现“禁止把普通受冲等同根失效”或关键有效性未成立时，不得套用本规则。</x:v>
      </x:c>
      <x:c r="AC23" s="68" t="str">
        <x:v>https://zh.wikisource.org/wiki/%E6%B7%B5%E6%B5%B7%E5%AD%90%E5%B9%B3%E5%A4%A7%E5%85%A8 ; https://zh.wikisource.org/wiki/%E6%BB%B4%E5%A4%A9%E9%AB%93%E9%97%A1%E5%BE%AE</x:v>
      </x:c>
      <x:c r="AD23" s="82" t="str">
        <x:v>采用</x:v>
      </x:c>
      <x:c r="AE23" s="82" t="str">
        <x:v>初审</x:v>
      </x:c>
      <x:c r="AF23" s="87" t="n">
        <x:v>46255</x:v>
      </x:c>
    </x:row>
    <x:row r="24">
      <x:c r="A24" s="72" t="str">
        <x:f>IF(OR(C24="",D24=""),"",B24&amp;"-"&amp;UPPER(C24)&amp;"-"&amp;TEXT(D24,"0000")&amp;"-"&amp;E24)</x:f>
        <x:v>M09-DI-0018-V1.0</x:v>
      </x:c>
      <x:c r="B24" s="74" t="str">
        <x:v>M09</x:v>
      </x:c>
      <x:c r="C24" s="74" t="str">
        <x:v>DI</x:v>
      </x:c>
      <x:c r="D24" s="79" t="n">
        <x:v>18</x:v>
      </x:c>
      <x:c r="E24" s="74" t="str">
        <x:v>V1.0</x:v>
      </x:c>
      <x:c r="F24" s="68" t="str">
        <x:v>强根受冲但M08判为冲动时不得下调为无根</x:v>
      </x:c>
      <x:c r="G24" s="82" t="str">
        <x:v>综合层</x:v>
      </x:c>
      <x:c r="H24" s="68" t="str">
        <x:v>得地</x:v>
      </x:c>
      <x:c r="I24" s="68" t="str">
        <x:v>保持支持</x:v>
      </x:c>
      <x:c r="J24" s="68" t="str">
        <x:v>日主强根受冲且M08结论为冲动/激活而非冲散</x:v>
      </x:c>
      <x:c r="K24" s="68" t="str">
        <x:v>高</x:v>
      </x:c>
      <x:c r="L24" s="82" t="str">
        <x:v>中</x:v>
      </x:c>
      <x:c r="M24" s="68" t="str">
        <x:v>M08完成</x:v>
      </x:c>
      <x:c r="N24" s="68" t="str">
        <x:v>M08已确认根性保留</x:v>
      </x:c>
      <x:c r="O24" s="68" t="str">
        <x:v>根得令有援</x:v>
      </x:c>
      <x:c r="P24" s="68"/>
      <x:c r="Q24" s="90" t="str">
        <x:v>禁止看到冲就拔根</x:v>
      </x:c>
      <x:c r="R24" s="68" t="str">
        <x:v>若后续动态作用另审</x:v>
      </x:c>
      <x:c r="S24" s="68" t="str">
        <x:v>根的稳定性可下降，但承载仍存在</x:v>
      </x:c>
      <x:c r="T24" s="82" t="str">
        <x:v>是</x:v>
      </x:c>
      <x:c r="U24" s="82" t="str">
        <x:v>中和偏旺</x:v>
      </x:c>
      <x:c r="V24" s="84" t="str">
        <x:v>冲根保留</x:v>
      </x:c>
      <x:c r="W24" s="84" t="str">
        <x:v>该根虽被冲动，但有效根性仍在，不按无根处理。</x:v>
      </x:c>
      <x:c r="X24" s="82" t="str">
        <x:v>较高</x:v>
      </x:c>
      <x:c r="Y24" s="82" t="str">
        <x:v>现代综合</x:v>
      </x:c>
      <x:c r="Z24" s="68" t="str">
        <x:v>得地按有效根气的层级、独立性与可调用性判断；根的存在与实际承载能力分开记录。</x:v>
      </x:c>
      <x:c r="AA24" s="68" t="str">
        <x:v>正例：当“日主强根受冲且M08结论为冲动/激活而非冲散”真实成立，且必要条件与增强条件同向时，按“强根受冲但M08判为冲动时不得下调为无根”记录对应旺衰证据。</x:v>
      </x:c>
      <x:c r="AB24" s="90" t="str">
        <x:v>反例：只有表面条件，但出现“禁止看到冲就拔根”或关键有效性未成立时，不得套用本规则。</x:v>
      </x:c>
      <x:c r="AC24" s="68" t="str">
        <x:v>https://zh.wikisource.org/wiki/%E6%B7%B5%E6%B5%B7%E5%AD%90%E5%B9%B3%E5%A4%A7%E5%85%A8 ; https://zh.wikisource.org/wiki/%E6%BB%B4%E5%A4%A9%E9%AB%93%E9%97%A1%E5%BE%AE</x:v>
      </x:c>
      <x:c r="AD24" s="82" t="str">
        <x:v>采用</x:v>
      </x:c>
      <x:c r="AE24" s="82" t="str">
        <x:v>初审</x:v>
      </x:c>
      <x:c r="AF24" s="87" t="n">
        <x:v>46255</x:v>
      </x:c>
    </x:row>
    <x:row r="25">
      <x:c r="A25" s="72" t="str">
        <x:f>IF(OR(C25="",D25=""),"",B25&amp;"-"&amp;UPPER(C25)&amp;"-"&amp;TEXT(D25,"0000")&amp;"-"&amp;E25)</x:f>
        <x:v>M09-DI-0019-V1.0</x:v>
      </x:c>
      <x:c r="B25" s="74" t="str">
        <x:v>M09</x:v>
      </x:c>
      <x:c r="C25" s="74" t="str">
        <x:v>DI</x:v>
      </x:c>
      <x:c r="D25" s="79" t="n">
        <x:v>19</x:v>
      </x:c>
      <x:c r="E25" s="74" t="str">
        <x:v>V1.0</x:v>
      </x:c>
      <x:c r="F25" s="68" t="str">
        <x:v>月支根与得令来自同一节点时不得重复全额计权</x:v>
      </x:c>
      <x:c r="G25" s="82" t="str">
        <x:v>综合层</x:v>
      </x:c>
      <x:c r="H25" s="68" t="str">
        <x:v>得地</x:v>
      </x:c>
      <x:c r="I25" s="68" t="str">
        <x:v>证据去重</x:v>
      </x:c>
      <x:c r="J25" s="68" t="str">
        <x:v>月支同时为日主季令支持与根位</x:v>
      </x:c>
      <x:c r="K25" s="68" t="str">
        <x:v>高</x:v>
      </x:c>
      <x:c r="L25" s="82" t="str">
        <x:v>中</x:v>
      </x:c>
      <x:c r="M25" s="68" t="str">
        <x:v>M03/M08完成</x:v>
      </x:c>
      <x:c r="N25" s="68" t="str">
        <x:v>同一月支节点</x:v>
      </x:c>
      <x:c r="O25" s="68" t="str">
        <x:v>另有年日时独立根</x:v>
      </x:c>
      <x:c r="P25" s="68"/>
      <x:c r="Q25" s="90" t="str">
        <x:v>禁止得令+月支本气根重复形成两份决定性证据</x:v>
      </x:c>
      <x:c r="R25" s="68" t="str">
        <x:v>可保留两种解释标签</x:v>
      </x:c>
      <x:c r="S25" s="68" t="str">
        <x:v>真正新增支持来自其他独立节点</x:v>
      </x:c>
      <x:c r="T25" s="82" t="str">
        <x:v>是</x:v>
      </x:c>
      <x:c r="U25" s="82" t="str">
        <x:v>中和偏旺</x:v>
      </x:c>
      <x:c r="V25" s="84" t="str">
        <x:v>月支去重</x:v>
      </x:c>
      <x:c r="W25" s="84" t="str">
        <x:v>月支既得令又通根时保留两类说明，但总权重需去重。</x:v>
      </x:c>
      <x:c r="X25" s="82" t="str">
        <x:v>较高</x:v>
      </x:c>
      <x:c r="Y25" s="82" t="str">
        <x:v>现代综合</x:v>
      </x:c>
      <x:c r="Z25" s="68" t="str">
        <x:v>得地按有效根气的层级、独立性与可调用性判断；根的存在与实际承载能力分开记录。</x:v>
      </x:c>
      <x:c r="AA25" s="68" t="str">
        <x:v>正例：当“月支同时为日主季令支持与根位”真实成立，且必要条件与增强条件同向时，按“月支根与得令来自同一节点时不得重复全额计权”记录对应旺衰证据。</x:v>
      </x:c>
      <x:c r="AB25" s="90" t="str">
        <x:v>反例：只有表面条件，但出现“禁止得令+月支本气根重复形成两份决定性证据”或关键有效性未成立时，不得套用本规则。</x:v>
      </x:c>
      <x:c r="AC25" s="68" t="str">
        <x:v>https://zh.wikisource.org/wiki/%E6%B7%B5%E6%B5%B7%E5%AD%90%E5%B9%B3%E5%A4%A7%E5%85%A8 ; https://zh.wikisource.org/wiki/%E6%BB%B4%E5%A4%A9%E9%AB%93%E9%97%A1%E5%BE%AE</x:v>
      </x:c>
      <x:c r="AD25" s="82" t="str">
        <x:v>采用</x:v>
      </x:c>
      <x:c r="AE25" s="82" t="str">
        <x:v>初审</x:v>
      </x:c>
      <x:c r="AF25" s="87" t="n">
        <x:v>46255</x:v>
      </x:c>
    </x:row>
    <x:row r="26">
      <x:c r="A26" s="72" t="str">
        <x:f>IF(OR(C26="",D26=""),"",B26&amp;"-"&amp;UPPER(C26)&amp;"-"&amp;TEXT(D26,"0000")&amp;"-"&amp;E26)</x:f>
        <x:v>M09-DI-0020-V1.0</x:v>
      </x:c>
      <x:c r="B26" s="74" t="str">
        <x:v>M09</x:v>
      </x:c>
      <x:c r="C26" s="74" t="str">
        <x:v>DI</x:v>
      </x:c>
      <x:c r="D26" s="79" t="n">
        <x:v>20</x:v>
      </x:c>
      <x:c r="E26" s="74" t="str">
        <x:v>V1.0</x:v>
      </x:c>
      <x:c r="F26" s="68" t="str">
        <x:v>日支根属于直接承载节点但不设置固定倍权</x:v>
      </x:c>
      <x:c r="G26" s="82" t="str">
        <x:v>综合层</x:v>
      </x:c>
      <x:c r="H26" s="68" t="str">
        <x:v>得地</x:v>
      </x:c>
      <x:c r="I26" s="68" t="str">
        <x:v>支持偏旺</x:v>
      </x:c>
      <x:c r="J26" s="68" t="str">
        <x:v>日支藏有日主有效根</x:v>
      </x:c>
      <x:c r="K26" s="68" t="str">
        <x:v>中高</x:v>
      </x:c>
      <x:c r="L26" s="82" t="str">
        <x:v>中</x:v>
      </x:c>
      <x:c r="M26" s="68" t="str">
        <x:v>M08完成</x:v>
      </x:c>
      <x:c r="N26" s="68" t="str">
        <x:v>根性有效</x:v>
      </x:c>
      <x:c r="O26" s="68" t="str">
        <x:v>坐下本气根且得令有援</x:v>
      </x:c>
      <x:c r="P26" s="68" t="str">
        <x:v>日支根受合绊、改性或强制</x:v>
      </x:c>
      <x:c r="Q26" s="90" t="str">
        <x:v>禁止把坐根设为固定倍数</x:v>
      </x:c>
      <x:c r="R26" s="68" t="str">
        <x:v>位置权重流派差异转M21</x:v>
      </x:c>
      <x:c r="S26" s="68" t="str">
        <x:v>坐下根常具有直接性，但强弱仍由根级和全局决定</x:v>
      </x:c>
      <x:c r="T26" s="82" t="str">
        <x:v>否</x:v>
      </x:c>
      <x:c r="U26" s="82" t="str">
        <x:v>中和偏旺</x:v>
      </x:c>
      <x:c r="V26" s="84" t="str">
        <x:v>日支根直接性</x:v>
      </x:c>
      <x:c r="W26" s="84" t="str">
        <x:v>日支有效根可视为较直接的承载证据，但不使用固定倍权。</x:v>
      </x:c>
      <x:c r="X26" s="82" t="str">
        <x:v>中等</x:v>
      </x:c>
      <x:c r="Y26" s="82" t="str">
        <x:v>现代综合</x:v>
      </x:c>
      <x:c r="Z26" s="68" t="str">
        <x:v>位置权重属于模型化处理，需通过案例回归验证。</x:v>
      </x:c>
      <x:c r="AA26" s="68" t="str">
        <x:v>正例：当“日支藏有日主有效根”真实成立，且必要条件与增强条件同向时，按“日支根属于直接承载节点但不设置固定倍权”记录对应旺衰证据。</x:v>
      </x:c>
      <x:c r="AB26" s="90" t="str">
        <x:v>反例：只有表面条件，但出现“禁止把坐根设为固定倍数”或关键有效性未成立时，不得套用本规则。</x:v>
      </x:c>
      <x:c r="AC26" s="68" t="str">
        <x:v>https://zh.wikisource.org/wiki/%E6%B7%B5%E6%B5%B7%E5%AD%90%E5%B9%B3%E5%A4%A7%E5%85%A8 ; https://zh.wikisource.org/wiki/%E6%BB%B4%E5%A4%A9%E9%AB%93%E9%97%A1%E5%BE%AE</x:v>
      </x:c>
      <x:c r="AD26" s="82" t="str">
        <x:v>待验证</x:v>
      </x:c>
      <x:c r="AE26" s="82" t="str">
        <x:v>初审</x:v>
      </x:c>
      <x:c r="AF26" s="87" t="n">
        <x:v>46255</x:v>
      </x:c>
    </x:row>
    <x:row r="27">
      <x:c r="A27" s="72" t="str">
        <x:f>IF(OR(C27="",D27=""),"",B27&amp;"-"&amp;UPPER(C27)&amp;"-"&amp;TEXT(D27,"0000")&amp;"-"&amp;E27)</x:f>
        <x:v>M09-DI-0021-V1.0</x:v>
      </x:c>
      <x:c r="B27" s="74" t="str">
        <x:v>M09</x:v>
      </x:c>
      <x:c r="C27" s="74" t="str">
        <x:v>DI</x:v>
      </x:c>
      <x:c r="D27" s="79" t="n">
        <x:v>21</x:v>
      </x:c>
      <x:c r="E27" s="74" t="str">
        <x:v>V1.0</x:v>
      </x:c>
      <x:c r="F27" s="68" t="str">
        <x:v>多根受损只修正对应节点不连坐删除其他根</x:v>
      </x:c>
      <x:c r="G27" s="82" t="str">
        <x:v>综合层</x:v>
      </x:c>
      <x:c r="H27" s="68" t="str">
        <x:v>得地</x:v>
      </x:c>
      <x:c r="I27" s="68" t="str">
        <x:v>局部减弱</x:v>
      </x:c>
      <x:c r="J27" s="68" t="str">
        <x:v>日主有多重根，其中部分根被M08判受损</x:v>
      </x:c>
      <x:c r="K27" s="68" t="str">
        <x:v>中高</x:v>
      </x:c>
      <x:c r="L27" s="82" t="str">
        <x:v>中</x:v>
      </x:c>
      <x:c r="M27" s="68" t="str">
        <x:v>M08完成</x:v>
      </x:c>
      <x:c r="N27" s="68" t="str">
        <x:v>根位独立</x:v>
      </x:c>
      <x:c r="O27" s="68" t="str">
        <x:v>未受损根仍得令有援</x:v>
      </x:c>
      <x:c r="P27" s="68" t="str">
        <x:v>多个根共享同一支或同时被改性</x:v>
      </x:c>
      <x:c r="Q27" s="90" t="str">
        <x:v>禁止一个根受损即把全部得地判零</x:v>
      </x:c>
      <x:c r="R27" s="68" t="str">
        <x:v>合局改性按M08处理</x:v>
      </x:c>
      <x:c r="S27" s="68" t="str">
        <x:v>剩余独立根越强，日主仍可保持中和以上</x:v>
      </x:c>
      <x:c r="T27" s="82" t="str">
        <x:v>是</x:v>
      </x:c>
      <x:c r="U27" s="82" t="str">
        <x:v>中和</x:v>
      </x:c>
      <x:c r="V27" s="84" t="str">
        <x:v>根位局部修正</x:v>
      </x:c>
      <x:c r="W27" s="84" t="str">
        <x:v>部分根气受损只影响对应节点；其余独立有效根继续保留。</x:v>
      </x:c>
      <x:c r="X27" s="82" t="str">
        <x:v>较高</x:v>
      </x:c>
      <x:c r="Y27" s="82" t="str">
        <x:v>现代综合</x:v>
      </x:c>
      <x:c r="Z27" s="68" t="str">
        <x:v>得地按有效根气的层级、独立性与可调用性判断；根的存在与实际承载能力分开记录。</x:v>
      </x:c>
      <x:c r="AA27" s="68" t="str">
        <x:v>正例：当“日主有多重根，其中部分根被M08判受损”真实成立，且必要条件与增强条件同向时，按“多根受损只修正对应节点不连坐删除其他根”记录对应旺衰证据。</x:v>
      </x:c>
      <x:c r="AB27" s="90" t="str">
        <x:v>反例：只有表面条件，但出现“禁止一个根受损即把全部得地判零”或关键有效性未成立时，不得套用本规则。</x:v>
      </x:c>
      <x:c r="AC27" s="68" t="str">
        <x:v>https://zh.wikisource.org/wiki/%E6%B7%B5%E6%B5%B7%E5%AD%90%E5%B9%B3%E5%A4%A7%E5%85%A8 ; https://zh.wikisource.org/wiki/%E6%BB%B4%E5%A4%A9%E9%AB%93%E9%97%A1%E5%BE%AE</x:v>
      </x:c>
      <x:c r="AD27" s="82" t="str">
        <x:v>采用</x:v>
      </x:c>
      <x:c r="AE27" s="82" t="str">
        <x:v>初审</x:v>
      </x:c>
      <x:c r="AF27" s="87" t="n">
        <x:v>46255</x:v>
      </x:c>
    </x:row>
    <x:row r="28">
      <x:c r="A28" s="72" t="str">
        <x:f>IF(OR(C28="",D28=""),"",B28&amp;"-"&amp;UPPER(C28)&amp;"-"&amp;TEXT(D28,"0000")&amp;"-"&amp;E28)</x:f>
        <x:v>M09-DI-0022-V1.0</x:v>
      </x:c>
      <x:c r="B28" s="74" t="str">
        <x:v>M09</x:v>
      </x:c>
      <x:c r="C28" s="74" t="str">
        <x:v>DI</x:v>
      </x:c>
      <x:c r="D28" s="79" t="n">
        <x:v>22</x:v>
      </x:c>
      <x:c r="E28" s="74" t="str">
        <x:v>V1.0</x:v>
      </x:c>
      <x:c r="F28" s="68" t="str">
        <x:v>根气存在与根气可调用必须分别记录</x:v>
      </x:c>
      <x:c r="G28" s="82" t="str">
        <x:v>综合层</x:v>
      </x:c>
      <x:c r="H28" s="68" t="str">
        <x:v>得地</x:v>
      </x:c>
      <x:c r="I28" s="68" t="str">
        <x:v>条件性</x:v>
      </x:c>
      <x:c r="J28" s="68" t="str">
        <x:v>M03有根但M08判合绊、寒凝或其他调用受限</x:v>
      </x:c>
      <x:c r="K28" s="68" t="str">
        <x:v>中高</x:v>
      </x:c>
      <x:c r="L28" s="82" t="str">
        <x:v>中</x:v>
      </x:c>
      <x:c r="M28" s="68" t="str">
        <x:v>M08完成</x:v>
      </x:c>
      <x:c r="N28" s="68" t="str">
        <x:v>原根存在且有效性受限</x:v>
      </x:c>
      <x:c r="O28" s="68" t="str">
        <x:v>有透达通道或救应</x:v>
      </x:c>
      <x:c r="P28" s="68" t="str">
        <x:v>长期冻结、实质改性或被制</x:v>
      </x:c>
      <x:c r="Q28" s="90" t="str">
        <x:v>禁止把“有根”直接等同“根力完整”</x:v>
      </x:c>
      <x:c r="R28" s="68" t="str">
        <x:v>不同作用类型按M08输出</x:v>
      </x:c>
      <x:c r="S28" s="68" t="str">
        <x:v>受限根可以防止极弱但未必足以支撑偏旺</x:v>
      </x:c>
      <x:c r="T28" s="82" t="str">
        <x:v>否</x:v>
      </x:c>
      <x:c r="U28" s="82" t="str">
        <x:v>中和</x:v>
      </x:c>
      <x:c r="V28" s="84" t="str">
        <x:v>根气可调用性</x:v>
      </x:c>
      <x:c r="W28" s="84" t="str">
        <x:v>日主虽有根，但根气调用受限；得地证据按有效等级而非存在性计入。</x:v>
      </x:c>
      <x:c r="X28" s="82" t="str">
        <x:v>较高</x:v>
      </x:c>
      <x:c r="Y28" s="82" t="str">
        <x:v>现代综合</x:v>
      </x:c>
      <x:c r="Z28" s="68" t="str">
        <x:v>得地按有效根气的层级、独立性与可调用性判断；根的存在与实际承载能力分开记录。</x:v>
      </x:c>
      <x:c r="AA28" s="68" t="str">
        <x:v>正例：当“M03有根但M08判合绊、寒凝或其他调用受限”真实成立，且必要条件与增强条件同向时，按“根气存在与根气可调用必须分别记录”记录对应旺衰证据。</x:v>
      </x:c>
      <x:c r="AB28" s="90" t="str">
        <x:v>反例：只有表面条件，但出现“禁止把“有根”直接等同“根力完整””或关键有效性未成立时，不得套用本规则。</x:v>
      </x:c>
      <x:c r="AC28" s="68" t="str">
        <x:v>https://zh.wikisource.org/wiki/%E6%B7%B5%E6%B5%B7%E5%AD%90%E5%B9%B3%E5%A4%A7%E5%85%A8 ; https://zh.wikisource.org/wiki/%E6%BB%B4%E5%A4%A9%E9%AB%93%E9%97%A1%E5%BE%AE</x:v>
      </x:c>
      <x:c r="AD28" s="82" t="str">
        <x:v>采用</x:v>
      </x:c>
      <x:c r="AE28" s="82" t="str">
        <x:v>初审</x:v>
      </x:c>
      <x:c r="AF28" s="87" t="n">
        <x:v>46255</x:v>
      </x:c>
    </x:row>
    <x:row r="29">
      <x:c r="A29" s="72" t="str">
        <x:f>IF(OR(C29="",D29=""),"",B29&amp;"-"&amp;UPPER(C29)&amp;"-"&amp;TEXT(D29,"0000")&amp;"-"&amp;E29)</x:f>
        <x:v>M09-SHI-0023-V1.0</x:v>
      </x:c>
      <x:c r="B29" s="74" t="str">
        <x:v>M09</x:v>
      </x:c>
      <x:c r="C29" s="74" t="str">
        <x:v>SHI</x:v>
      </x:c>
      <x:c r="D29" s="79" t="n">
        <x:v>23</x:v>
      </x:c>
      <x:c r="E29" s="74" t="str">
        <x:v>V1.0</x:v>
      </x:c>
      <x:c r="F29" s="68" t="str">
        <x:v>得势以有效印比形成扶身集团为核心</x:v>
      </x:c>
      <x:c r="G29" s="82" t="str">
        <x:v>综合层</x:v>
      </x:c>
      <x:c r="H29" s="68" t="str">
        <x:v>得势</x:v>
      </x:c>
      <x:c r="I29" s="68" t="str">
        <x:v>支持偏旺</x:v>
      </x:c>
      <x:c r="J29" s="68" t="str">
        <x:v>M08显示比劫与印星对应五行在多个独立节点形成同向扶身</x:v>
      </x:c>
      <x:c r="K29" s="68" t="str">
        <x:v>高</x:v>
      </x:c>
      <x:c r="L29" s="82" t="str">
        <x:v>强</x:v>
      </x:c>
      <x:c r="M29" s="68" t="str">
        <x:v>M08完成</x:v>
      </x:c>
      <x:c r="N29" s="68" t="str">
        <x:v>扶身节点真实有效且方向一致</x:v>
      </x:c>
      <x:c r="O29" s="68" t="str">
        <x:v>比劫透根、印源连续、地支有承载</x:v>
      </x:c>
      <x:c r="P29" s="68" t="str">
        <x:v>扶身五行虽多但弱、被合制或无根</x:v>
      </x:c>
      <x:c r="Q29" s="90" t="str">
        <x:v>禁止用“印比数量多”直接替代得势</x:v>
      </x:c>
      <x:c r="R29" s="68" t="str">
        <x:v>从旺专旺转M14</x:v>
      </x:c>
      <x:c r="S29" s="68" t="str">
        <x:v>若负荷侧更强，印比成群也未必足以定旺</x:v>
      </x:c>
      <x:c r="T29" s="82" t="str">
        <x:v>否</x:v>
      </x:c>
      <x:c r="U29" s="82" t="str">
        <x:v>旺</x:v>
      </x:c>
      <x:c r="V29" s="84" t="str">
        <x:v>扶身成势</x:v>
      </x:c>
      <x:c r="W29" s="84" t="str">
        <x:v>有效印比在多个节点形成扶身集团，可判为得势的重要证据。</x:v>
      </x:c>
      <x:c r="X29" s="82" t="str">
        <x:v>较高</x:v>
      </x:c>
      <x:c r="Y29" s="82" t="str">
        <x:v>现代综合</x:v>
      </x:c>
      <x:c r="Z29" s="68" t="str">
        <x:v>得势强调全局扶身集团的有效方向与稳定性，数量需经过根气、透达、作用通路和证据容量修正。</x:v>
      </x:c>
      <x:c r="AA29" s="68" t="str">
        <x:v>正例：当“M08显示比劫与印星对应五行在多个独立节点形成同向扶身”真实成立，且必要条件与增强条件同向时，按“得势以有效印比形成扶身集团为核心”记录对应旺衰证据。</x:v>
      </x:c>
      <x:c r="AB29" s="90" t="str">
        <x:v>反例：只有表面条件，但出现“禁止用“印比数量多”直接替代得势”或关键有效性未成立时，不得套用本规则。</x:v>
      </x:c>
      <x:c r="AC29" s="68" t="str">
        <x:v>https://zh.wikisource.org/wiki/%E6%B7%B5%E6%B5%B7%E5%AD%90%E5%B9%B3%E5%A4%A7%E5%85%A8 ; https://zh.wikisource.org/wiki/%E6%BB%B4%E5%A4%A9%E9%AB%93%E9%97%A1%E5%BE%AE</x:v>
      </x:c>
      <x:c r="AD29" s="82" t="str">
        <x:v>采用</x:v>
      </x:c>
      <x:c r="AE29" s="82" t="str">
        <x:v>初审</x:v>
      </x:c>
      <x:c r="AF29" s="87" t="n">
        <x:v>46255</x:v>
      </x:c>
    </x:row>
    <x:row r="30">
      <x:c r="A30" s="72" t="str">
        <x:f>IF(OR(C30="",D30=""),"",B30&amp;"-"&amp;UPPER(C30)&amp;"-"&amp;TEXT(D30,"0000")&amp;"-"&amp;E30)</x:f>
        <x:v>M09-SHI-0024-V1.0</x:v>
      </x:c>
      <x:c r="B30" s="74" t="str">
        <x:v>M09</x:v>
      </x:c>
      <x:c r="C30" s="74" t="str">
        <x:v>SHI</x:v>
      </x:c>
      <x:c r="D30" s="79" t="n">
        <x:v>24</x:v>
      </x:c>
      <x:c r="E30" s="74" t="str">
        <x:v>V1.0</x:v>
      </x:c>
      <x:c r="F30" s="68" t="str">
        <x:v>比劫有效成群比孤立浮干更能构成得势</x:v>
      </x:c>
      <x:c r="G30" s="82" t="str">
        <x:v>综合层</x:v>
      </x:c>
      <x:c r="H30" s="68" t="str">
        <x:v>得势</x:v>
      </x:c>
      <x:c r="I30" s="68" t="str">
        <x:v>支持偏旺</x:v>
      </x:c>
      <x:c r="J30" s="68" t="str">
        <x:v>多个比劫有效且至少部分通根</x:v>
      </x:c>
      <x:c r="K30" s="68" t="str">
        <x:v>高</x:v>
      </x:c>
      <x:c r="L30" s="82" t="str">
        <x:v>强</x:v>
      </x:c>
      <x:c r="M30" s="68" t="str">
        <x:v>M08完成</x:v>
      </x:c>
      <x:c r="N30" s="68" t="str">
        <x:v>比劫均可调用</x:v>
      </x:c>
      <x:c r="O30" s="68" t="str">
        <x:v>得令、多根、支干呼应</x:v>
      </x:c>
      <x:c r="P30" s="68" t="str">
        <x:v>比劫多数浮弱、无根或受制</x:v>
      </x:c>
      <x:c r="Q30" s="90" t="str">
        <x:v>不得按比劫个数机械计分</x:v>
      </x:c>
      <x:c r="R30" s="68" t="str">
        <x:v>比劫作用于财等功能转M10/M11</x:v>
      </x:c>
      <x:c r="S30" s="68" t="str">
        <x:v>有效比劫集团可直接提高日主同类力量</x:v>
      </x:c>
      <x:c r="T30" s="82" t="str">
        <x:v>否</x:v>
      </x:c>
      <x:c r="U30" s="82" t="str">
        <x:v>旺</x:v>
      </x:c>
      <x:c r="V30" s="84" t="str">
        <x:v>比劫得势</x:v>
      </x:c>
      <x:c r="W30" s="84" t="str">
        <x:v>比劫有效成群且有根，构成日主得势的强证据。</x:v>
      </x:c>
      <x:c r="X30" s="82" t="str">
        <x:v>较高</x:v>
      </x:c>
      <x:c r="Y30" s="82" t="str">
        <x:v>现代综合</x:v>
      </x:c>
      <x:c r="Z30" s="68" t="str">
        <x:v>得势强调全局扶身集团的有效方向与稳定性，数量需经过根气、透达、作用通路和证据容量修正。</x:v>
      </x:c>
      <x:c r="AA30" s="68" t="str">
        <x:v>正例：当“多个比劫有效且至少部分通根”真实成立，且必要条件与增强条件同向时，按“比劫有效成群比孤立浮干更能构成得势”记录对应旺衰证据。</x:v>
      </x:c>
      <x:c r="AB30" s="90" t="str">
        <x:v>反例：只有表面条件，但出现“不得按比劫个数机械计分”或关键有效性未成立时，不得套用本规则。</x:v>
      </x:c>
      <x:c r="AC30" s="68" t="str">
        <x:v>https://zh.wikisource.org/wiki/%E6%B7%B5%E6%B5%B7%E5%AD%90%E5%B9%B3%E5%A4%A7%E5%85%A8 ; https://zh.wikisource.org/wiki/%E6%BB%B4%E5%A4%A9%E9%AB%93%E9%97%A1%E5%BE%AE</x:v>
      </x:c>
      <x:c r="AD30" s="82" t="str">
        <x:v>采用</x:v>
      </x:c>
      <x:c r="AE30" s="82" t="str">
        <x:v>初审</x:v>
      </x:c>
      <x:c r="AF30" s="87" t="n">
        <x:v>46255</x:v>
      </x:c>
    </x:row>
    <x:row r="31">
      <x:c r="A31" s="72" t="str">
        <x:f>IF(OR(C31="",D31=""),"",B31&amp;"-"&amp;UPPER(C31)&amp;"-"&amp;TEXT(D31,"0000")&amp;"-"&amp;E31)</x:f>
        <x:v>M09-SHI-0025-V1.0</x:v>
      </x:c>
      <x:c r="B31" s="74" t="str">
        <x:v>M09</x:v>
      </x:c>
      <x:c r="C31" s="74" t="str">
        <x:v>SHI</x:v>
      </x:c>
      <x:c r="D31" s="79" t="n">
        <x:v>25</x:v>
      </x:c>
      <x:c r="E31" s="74" t="str">
        <x:v>V1.0</x:v>
      </x:c>
      <x:c r="F31" s="68" t="str">
        <x:v>印星成势属于得生与得势的共享证据需去重</x:v>
      </x:c>
      <x:c r="G31" s="82" t="str">
        <x:v>综合层</x:v>
      </x:c>
      <x:c r="H31" s="68" t="str">
        <x:v>得势</x:v>
      </x:c>
      <x:c r="I31" s="68" t="str">
        <x:v>证据去重</x:v>
      </x:c>
      <x:c r="J31" s="68" t="str">
        <x:v>多个有效印星既作为生源又构成扶身集团</x:v>
      </x:c>
      <x:c r="K31" s="68" t="str">
        <x:v>高</x:v>
      </x:c>
      <x:c r="L31" s="82" t="str">
        <x:v>中</x:v>
      </x:c>
      <x:c r="M31" s="68" t="str">
        <x:v>M08完成</x:v>
      </x:c>
      <x:c r="N31" s="68" t="str">
        <x:v>印星确实形成同向扶身</x:v>
      </x:c>
      <x:c r="O31" s="68" t="str">
        <x:v>另有独立比劫或根位</x:v>
      </x:c>
      <x:c r="P31" s="68" t="str">
        <x:v>印被财破、合绊或生身通路阻断</x:v>
      </x:c>
      <x:c r="Q31" s="90" t="str">
        <x:v>禁止同一批印星同时在得生和得势中重复全额累加</x:v>
      </x:c>
      <x:c r="R31" s="68" t="str">
        <x:v>可分别保留解释标签</x:v>
      </x:c>
      <x:c r="S31" s="68" t="str">
        <x:v>新增独立节点才增加证据容量</x:v>
      </x:c>
      <x:c r="T31" s="82" t="str">
        <x:v>是</x:v>
      </x:c>
      <x:c r="U31" s="82" t="str">
        <x:v>中和偏旺</x:v>
      </x:c>
      <x:c r="V31" s="84" t="str">
        <x:v>印势去重</x:v>
      </x:c>
      <x:c r="W31" s="84" t="str">
        <x:v>印星成势可同时解释为得生与得势，但同源证据必须去重。</x:v>
      </x:c>
      <x:c r="X31" s="82" t="str">
        <x:v>较高</x:v>
      </x:c>
      <x:c r="Y31" s="82" t="str">
        <x:v>现代综合</x:v>
      </x:c>
      <x:c r="Z31" s="68" t="str">
        <x:v>得势强调全局扶身集团的有效方向与稳定性，数量需经过根气、透达、作用通路和证据容量修正。</x:v>
      </x:c>
      <x:c r="AA31" s="68" t="str">
        <x:v>正例：当“多个有效印星既作为生源又构成扶身集团”真实成立，且必要条件与增强条件同向时，按“印星成势属于得生与得势的共享证据需去重”记录对应旺衰证据。</x:v>
      </x:c>
      <x:c r="AB31" s="90" t="str">
        <x:v>反例：只有表面条件，但出现“禁止同一批印星同时在得生和得势中重复全额累加”或关键有效性未成立时，不得套用本规则。</x:v>
      </x:c>
      <x:c r="AC31" s="68" t="str">
        <x:v>https://zh.wikisource.org/wiki/%E6%B7%B5%E6%B5%B7%E5%AD%90%E5%B9%B3%E5%A4%A7%E5%85%A8 ; https://zh.wikisource.org/wiki/%E6%BB%B4%E5%A4%A9%E9%AB%93%E9%97%A1%E5%BE%AE</x:v>
      </x:c>
      <x:c r="AD31" s="82" t="str">
        <x:v>采用</x:v>
      </x:c>
      <x:c r="AE31" s="82" t="str">
        <x:v>初审</x:v>
      </x:c>
      <x:c r="AF31" s="87" t="n">
        <x:v>46255</x:v>
      </x:c>
    </x:row>
    <x:row r="32">
      <x:c r="A32" s="72" t="str">
        <x:f>IF(OR(C32="",D32=""),"",B32&amp;"-"&amp;UPPER(C32)&amp;"-"&amp;TEXT(D32,"0000")&amp;"-"&amp;E32)</x:f>
        <x:v>M09-SHI-0026-V1.0</x:v>
      </x:c>
      <x:c r="B32" s="74" t="str">
        <x:v>M09</x:v>
      </x:c>
      <x:c r="C32" s="74" t="str">
        <x:v>SHI</x:v>
      </x:c>
      <x:c r="D32" s="79" t="n">
        <x:v>26</x:v>
      </x:c>
      <x:c r="E32" s="74" t="str">
        <x:v>V1.0</x:v>
      </x:c>
      <x:c r="F32" s="68" t="str">
        <x:v>数量优势必须经过质量筛选后才能形成势</x:v>
      </x:c>
      <x:c r="G32" s="82" t="str">
        <x:v>综合层</x:v>
      </x:c>
      <x:c r="H32" s="68" t="str">
        <x:v>得势</x:v>
      </x:c>
      <x:c r="I32" s="68" t="str">
        <x:v>条件性支持偏旺</x:v>
      </x:c>
      <x:c r="J32" s="68" t="str">
        <x:v>同类或印星数量较多</x:v>
      </x:c>
      <x:c r="K32" s="68" t="str">
        <x:v>中</x:v>
      </x:c>
      <x:c r="L32" s="82" t="str">
        <x:v>中</x:v>
      </x:c>
      <x:c r="M32" s="68" t="str">
        <x:v>M08完成</x:v>
      </x:c>
      <x:c r="N32" s="68" t="str">
        <x:v>多数节点具有有效力量</x:v>
      </x:c>
      <x:c r="O32" s="68" t="str">
        <x:v>得令、通根、透达</x:v>
      </x:c>
      <x:c r="P32" s="68" t="str">
        <x:v>多数节点微弱、受制或共享同一来源</x:v>
      </x:c>
      <x:c r="Q32" s="90" t="str">
        <x:v>禁止数量多数直接判得势</x:v>
      </x:c>
      <x:c r="R32" s="68" t="str">
        <x:v>特殊格局另审</x:v>
      </x:c>
      <x:c r="S32" s="68" t="str">
        <x:v>三个弱浮干可能不如一处强根加有力印源</x:v>
      </x:c>
      <x:c r="T32" s="82" t="str">
        <x:v>否</x:v>
      </x:c>
      <x:c r="U32" s="82" t="str">
        <x:v>中和偏旺</x:v>
      </x:c>
      <x:c r="V32" s="84" t="str">
        <x:v>数量质量分离</x:v>
      </x:c>
      <x:c r="W32" s="84" t="str">
        <x:v>扶身元素数量多只是候选；只有有效力量和方向一致时才构成得势。</x:v>
      </x:c>
      <x:c r="X32" s="82" t="str">
        <x:v>较高</x:v>
      </x:c>
      <x:c r="Y32" s="82" t="str">
        <x:v>现代综合</x:v>
      </x:c>
      <x:c r="Z32" s="68" t="str">
        <x:v>得势强调全局扶身集团的有效方向与稳定性，数量需经过根气、透达、作用通路和证据容量修正。</x:v>
      </x:c>
      <x:c r="AA32" s="68" t="str">
        <x:v>正例：当“同类或印星数量较多”真实成立，且必要条件与增强条件同向时，按“数量优势必须经过质量筛选后才能形成势”记录对应旺衰证据。</x:v>
      </x:c>
      <x:c r="AB32" s="90" t="str">
        <x:v>反例：只有表面条件，但出现“禁止数量多数直接判得势”或关键有效性未成立时，不得套用本规则。</x:v>
      </x:c>
      <x:c r="AC32" s="68" t="str">
        <x:v>https://zh.wikisource.org/wiki/%E6%B7%B5%E6%B5%B7%E5%AD%90%E5%B9%B3%E5%A4%A7%E5%85%A8 ; https://zh.wikisource.org/wiki/%E6%BB%B4%E5%A4%A9%E9%AB%93%E9%97%A1%E5%BE%AE</x:v>
      </x:c>
      <x:c r="AD32" s="82" t="str">
        <x:v>采用</x:v>
      </x:c>
      <x:c r="AE32" s="82" t="str">
        <x:v>初审</x:v>
      </x:c>
      <x:c r="AF32" s="87" t="n">
        <x:v>46255</x:v>
      </x:c>
    </x:row>
    <x:row r="33">
      <x:c r="A33" s="72" t="str">
        <x:f>IF(OR(C33="",D33=""),"",B33&amp;"-"&amp;UPPER(C33)&amp;"-"&amp;TEXT(D33,"0000")&amp;"-"&amp;E33)</x:f>
        <x:v>M09-SHI-0027-V1.0</x:v>
      </x:c>
      <x:c r="B33" s="74" t="str">
        <x:v>M09</x:v>
      </x:c>
      <x:c r="C33" s="74" t="str">
        <x:v>SHI</x:v>
      </x:c>
      <x:c r="D33" s="79" t="n">
        <x:v>27</x:v>
      </x:c>
      <x:c r="E33" s="74" t="str">
        <x:v>V1.0</x:v>
      </x:c>
      <x:c r="F33" s="68" t="str">
        <x:v>扶身节点覆盖天干地支通常比单层聚集更稳定</x:v>
      </x:c>
      <x:c r="G33" s="82" t="str">
        <x:v>综合层</x:v>
      </x:c>
      <x:c r="H33" s="68" t="str">
        <x:v>得势</x:v>
      </x:c>
      <x:c r="I33" s="68" t="str">
        <x:v>支持偏旺</x:v>
      </x:c>
      <x:c r="J33" s="68" t="str">
        <x:v>有效印比同时分布于天干与地支</x:v>
      </x:c>
      <x:c r="K33" s="68" t="str">
        <x:v>中高</x:v>
      </x:c>
      <x:c r="L33" s="82" t="str">
        <x:v>中</x:v>
      </x:c>
      <x:c r="M33" s="68" t="str">
        <x:v>M08完成</x:v>
      </x:c>
      <x:c r="N33" s="68" t="str">
        <x:v>干支均有可调用节点</x:v>
      </x:c>
      <x:c r="O33" s="68" t="str">
        <x:v>根透相应、位置连续</x:v>
      </x:c>
      <x:c r="P33" s="68" t="str">
        <x:v>一层被合化或另一层全浮弱</x:v>
      </x:c>
      <x:c r="Q33" s="90" t="str">
        <x:v>禁止设定固定位置倍数</x:v>
      </x:c>
      <x:c r="R33" s="68" t="str">
        <x:v>位置权重需案例验证</x:v>
      </x:c>
      <x:c r="S33" s="68" t="str">
        <x:v>干支呼应有助于提高支持稳定性</x:v>
      </x:c>
      <x:c r="T33" s="82" t="str">
        <x:v>否</x:v>
      </x:c>
      <x:c r="U33" s="82" t="str">
        <x:v>中和偏旺</x:v>
      </x:c>
      <x:c r="V33" s="84" t="str">
        <x:v>干支扶身覆盖</x:v>
      </x:c>
      <x:c r="W33" s="84" t="str">
        <x:v>扶身力量同时落在干支，通常比单层孤立聚集更稳定。</x:v>
      </x:c>
      <x:c r="X33" s="82" t="str">
        <x:v>中等</x:v>
      </x:c>
      <x:c r="Y33" s="82" t="str">
        <x:v>现代综合</x:v>
      </x:c>
      <x:c r="Z33" s="68" t="str">
        <x:v>作为稳定性证据而非固定加分项。</x:v>
      </x:c>
      <x:c r="AA33" s="68" t="str">
        <x:v>正例：当“有效印比同时分布于天干与地支”真实成立，且必要条件与增强条件同向时，按“扶身节点覆盖天干地支通常比单层聚集更稳定”记录对应旺衰证据。</x:v>
      </x:c>
      <x:c r="AB33" s="90" t="str">
        <x:v>反例：只有表面条件，但出现“禁止设定固定位置倍数”或关键有效性未成立时，不得套用本规则。</x:v>
      </x:c>
      <x:c r="AC33" s="68" t="str">
        <x:v>https://zh.wikisource.org/wiki/%E6%B7%B5%E6%B5%B7%E5%AD%90%E5%B9%B3%E5%A4%A7%E5%85%A8 ; https://zh.wikisource.org/wiki/%E6%BB%B4%E5%A4%A9%E9%AB%93%E9%97%A1%E5%BE%AE</x:v>
      </x:c>
      <x:c r="AD33" s="82" t="str">
        <x:v>待验证</x:v>
      </x:c>
      <x:c r="AE33" s="82" t="str">
        <x:v>初审</x:v>
      </x:c>
      <x:c r="AF33" s="87" t="n">
        <x:v>46255</x:v>
      </x:c>
    </x:row>
    <x:row r="34">
      <x:c r="A34" s="72" t="str">
        <x:f>IF(OR(C34="",D34=""),"",B34&amp;"-"&amp;UPPER(C34)&amp;"-"&amp;TEXT(D34,"0000")&amp;"-"&amp;E34)</x:f>
        <x:v>M09-SHI-0028-V1.0</x:v>
      </x:c>
      <x:c r="B34" s="74" t="str">
        <x:v>M09</x:v>
      </x:c>
      <x:c r="C34" s="74" t="str">
        <x:v>SHI</x:v>
      </x:c>
      <x:c r="D34" s="79" t="n">
        <x:v>28</x:v>
      </x:c>
      <x:c r="E34" s="74" t="str">
        <x:v>V1.0</x:v>
      </x:c>
      <x:c r="F34" s="68" t="str">
        <x:v>扶身集团内部生扶链通畅可提高得势有效性</x:v>
      </x:c>
      <x:c r="G34" s="82" t="str">
        <x:v>综合层</x:v>
      </x:c>
      <x:c r="H34" s="68" t="str">
        <x:v>得势</x:v>
      </x:c>
      <x:c r="I34" s="68" t="str">
        <x:v>支持偏旺</x:v>
      </x:c>
      <x:c r="J34" s="68" t="str">
        <x:v>印→日主/比劫的生扶路径在M08中有效</x:v>
      </x:c>
      <x:c r="K34" s="68" t="str">
        <x:v>中高</x:v>
      </x:c>
      <x:c r="L34" s="82" t="str">
        <x:v>中</x:v>
      </x:c>
      <x:c r="M34" s="68" t="str">
        <x:v>M08完成</x:v>
      </x:c>
      <x:c r="N34" s="68" t="str">
        <x:v>生扶链连续且中间节点可用</x:v>
      </x:c>
      <x:c r="O34" s="68" t="str">
        <x:v>印根强、日主有根承载</x:v>
      </x:c>
      <x:c r="P34" s="68" t="str">
        <x:v>链条过长、桥弱或受阻</x:v>
      </x:c>
      <x:c r="Q34" s="90" t="str">
        <x:v>禁止跨越缺失五行直接相生</x:v>
      </x:c>
      <x:c r="R34" s="68" t="str">
        <x:v>复杂流通转M12</x:v>
      </x:c>
      <x:c r="S34" s="68" t="str">
        <x:v>路径通畅使扶身集团更能转化为日主可用力量</x:v>
      </x:c>
      <x:c r="T34" s="82" t="str">
        <x:v>否</x:v>
      </x:c>
      <x:c r="U34" s="82" t="str">
        <x:v>中和偏旺</x:v>
      </x:c>
      <x:c r="V34" s="84" t="str">
        <x:v>扶身链有效</x:v>
      </x:c>
      <x:c r="W34" s="84" t="str">
        <x:v>扶身集团内部生扶通畅，得势证据上调。</x:v>
      </x:c>
      <x:c r="X34" s="82" t="str">
        <x:v>较高</x:v>
      </x:c>
      <x:c r="Y34" s="82" t="str">
        <x:v>现代综合</x:v>
      </x:c>
      <x:c r="Z34" s="68" t="str">
        <x:v>得势强调全局扶身集团的有效方向与稳定性，数量需经过根气、透达、作用通路和证据容量修正。</x:v>
      </x:c>
      <x:c r="AA34" s="68" t="str">
        <x:v>正例：当“印→日主/比劫的生扶路径在M08中有效”真实成立，且必要条件与增强条件同向时，按“扶身集团内部生扶链通畅可提高得势有效性”记录对应旺衰证据。</x:v>
      </x:c>
      <x:c r="AB34" s="90" t="str">
        <x:v>反例：只有表面条件，但出现“禁止跨越缺失五行直接相生”或关键有效性未成立时，不得套用本规则。</x:v>
      </x:c>
      <x:c r="AC34" s="68" t="str">
        <x:v>https://zh.wikisource.org/wiki/%E6%B7%B5%E6%B5%B7%E5%AD%90%E5%B9%B3%E5%A4%A7%E5%85%A8 ; https://zh.wikisource.org/wiki/%E6%BB%B4%E5%A4%A9%E9%AB%93%E9%97%A1%E5%BE%AE</x:v>
      </x:c>
      <x:c r="AD34" s="82" t="str">
        <x:v>采用</x:v>
      </x:c>
      <x:c r="AE34" s="82" t="str">
        <x:v>初审</x:v>
      </x:c>
      <x:c r="AF34" s="87" t="n">
        <x:v>46255</x:v>
      </x:c>
    </x:row>
    <x:row r="35">
      <x:c r="A35" s="72" t="str">
        <x:f>IF(OR(C35="",D35=""),"",B35&amp;"-"&amp;UPPER(C35)&amp;"-"&amp;TEXT(D35,"0000")&amp;"-"&amp;E35)</x:f>
        <x:v>M09-SHI-0029-V1.0</x:v>
      </x:c>
      <x:c r="B35" s="74" t="str">
        <x:v>M09</x:v>
      </x:c>
      <x:c r="C35" s="74" t="str">
        <x:v>SHI</x:v>
      </x:c>
      <x:c r="D35" s="79" t="n">
        <x:v>29</x:v>
      </x:c>
      <x:c r="E35" s="74" t="str">
        <x:v>V1.0</x:v>
      </x:c>
      <x:c r="F35" s="68" t="str">
        <x:v>扶身集团被强力分割时得势等级下调</x:v>
      </x:c>
      <x:c r="G35" s="82" t="str">
        <x:v>综合层</x:v>
      </x:c>
      <x:c r="H35" s="68" t="str">
        <x:v>得势</x:v>
      </x:c>
      <x:c r="I35" s="68" t="str">
        <x:v>支持偏弱</x:v>
      </x:c>
      <x:c r="J35" s="68" t="str">
        <x:v>印比虽多但被M08判大面积合绊、冲散、隔断或改性</x:v>
      </x:c>
      <x:c r="K35" s="68" t="str">
        <x:v>高</x:v>
      </x:c>
      <x:c r="L35" s="82" t="str">
        <x:v>强</x:v>
      </x:c>
      <x:c r="M35" s="68" t="str">
        <x:v>M08完成</x:v>
      </x:c>
      <x:c r="N35" s="68" t="str">
        <x:v>实际调用受限</x:v>
      </x:c>
      <x:c r="O35" s="68" t="str">
        <x:v>仍有独立强根与未受损扶身节点</x:v>
      </x:c>
      <x:c r="P35" s="68" t="str">
        <x:v>关系仅存在而效应轻微</x:v>
      </x:c>
      <x:c r="Q35" s="90" t="str">
        <x:v>禁止只看原始数量不看有效性</x:v>
      </x:c>
      <x:c r="R35" s="68" t="str">
        <x:v>M08争议效应降低置信度</x:v>
      </x:c>
      <x:c r="S35" s="68" t="str">
        <x:v>剩余有效节点越少，得势越难成立</x:v>
      </x:c>
      <x:c r="T35" s="82" t="str">
        <x:v>否</x:v>
      </x:c>
      <x:c r="U35" s="82" t="str">
        <x:v>中和</x:v>
      </x:c>
      <x:c r="V35" s="84" t="str">
        <x:v>得势受阻</x:v>
      </x:c>
      <x:c r="W35" s="84" t="str">
        <x:v>原局印比虽多，但有效扶身被分割或冻结，得势证据需下调。</x:v>
      </x:c>
      <x:c r="X35" s="82" t="str">
        <x:v>较高</x:v>
      </x:c>
      <x:c r="Y35" s="82" t="str">
        <x:v>现代综合</x:v>
      </x:c>
      <x:c r="Z35" s="68" t="str">
        <x:v>得势强调全局扶身集团的有效方向与稳定性，数量需经过根气、透达、作用通路和证据容量修正。</x:v>
      </x:c>
      <x:c r="AA35" s="68" t="str">
        <x:v>正例：当“印比虽多但被M08判大面积合绊、冲散、隔断或改性”真实成立，且必要条件与增强条件同向时，按“扶身集团被强力分割时得势等级下调”记录对应旺衰证据。</x:v>
      </x:c>
      <x:c r="AB35" s="90" t="str">
        <x:v>反例：只有表面条件，但出现“禁止只看原始数量不看有效性”或关键有效性未成立时，不得套用本规则。</x:v>
      </x:c>
      <x:c r="AC35" s="68" t="str">
        <x:v>https://zh.wikisource.org/wiki/%E6%B7%B5%E6%B5%B7%E5%AD%90%E5%B9%B3%E5%A4%A7%E5%85%A8 ; https://zh.wikisource.org/wiki/%E6%BB%B4%E5%A4%A9%E9%AB%93%E9%97%A1%E5%BE%AE</x:v>
      </x:c>
      <x:c r="AD35" s="82" t="str">
        <x:v>采用</x:v>
      </x:c>
      <x:c r="AE35" s="82" t="str">
        <x:v>初审</x:v>
      </x:c>
      <x:c r="AF35" s="87" t="n">
        <x:v>46255</x:v>
      </x:c>
    </x:row>
    <x:row r="36">
      <x:c r="A36" s="72" t="str">
        <x:f>IF(OR(C36="",D36=""),"",B36&amp;"-"&amp;UPPER(C36)&amp;"-"&amp;TEXT(D36,"0000")&amp;"-"&amp;E36)</x:f>
        <x:v>M09-SHI-0030-V1.0</x:v>
      </x:c>
      <x:c r="B36" s="74" t="str">
        <x:v>M09</x:v>
      </x:c>
      <x:c r="C36" s="74" t="str">
        <x:v>SHI</x:v>
      </x:c>
      <x:c r="D36" s="79" t="n">
        <x:v>30</x:v>
      </x:c>
      <x:c r="E36" s="74" t="str">
        <x:v>V1.0</x:v>
      </x:c>
      <x:c r="F36" s="68" t="str">
        <x:v>负荷侧形成更强集团可压过日主已有得势</x:v>
      </x:c>
      <x:c r="G36" s="82" t="str">
        <x:v>综合层</x:v>
      </x:c>
      <x:c r="H36" s="68" t="str">
        <x:v>得势</x:v>
      </x:c>
      <x:c r="I36" s="68" t="str">
        <x:v>支持偏弱</x:v>
      </x:c>
      <x:c r="J36" s="68" t="str">
        <x:v>日主有印比势，但官杀/食伤/财一侧形成更强有效合力</x:v>
      </x:c>
      <x:c r="K36" s="68" t="str">
        <x:v>高</x:v>
      </x:c>
      <x:c r="L36" s="82" t="str">
        <x:v>强</x:v>
      </x:c>
      <x:c r="M36" s="68" t="str">
        <x:v>M08完成</x:v>
      </x:c>
      <x:c r="N36" s="68" t="str">
        <x:v>比较的是有效力量而非数量</x:v>
      </x:c>
      <x:c r="O36" s="68" t="str">
        <x:v>扶身侧有强根与持续生源</x:v>
      </x:c>
      <x:c r="P36" s="68" t="str">
        <x:v>负荷侧被制化或无法作用日主</x:v>
      </x:c>
      <x:c r="Q36" s="90" t="str">
        <x:v>禁止看到印比成势便排除偏弱</x:v>
      </x:c>
      <x:c r="R36" s="68" t="str">
        <x:v>特殊格局转M14</x:v>
      </x:c>
      <x:c r="S36" s="68" t="str">
        <x:v>两侧都强时可能落在中和或向更强一侧偏移</x:v>
      </x:c>
      <x:c r="T36" s="82" t="str">
        <x:v>否</x:v>
      </x:c>
      <x:c r="U36" s="82" t="str">
        <x:v>中和</x:v>
      </x:c>
      <x:c r="V36" s="84" t="str">
        <x:v>双集团对比</x:v>
      </x:c>
      <x:c r="W36" s="84" t="str">
        <x:v>日主虽得势，但若制泄耗集团更强，旺衰仍可能回落至中和或偏弱。</x:v>
      </x:c>
      <x:c r="X36" s="82" t="str">
        <x:v>较高</x:v>
      </x:c>
      <x:c r="Y36" s="82" t="str">
        <x:v>现代综合</x:v>
      </x:c>
      <x:c r="Z36" s="68" t="str">
        <x:v>得势强调全局扶身集团的有效方向与稳定性，数量需经过根气、透达、作用通路和证据容量修正。</x:v>
      </x:c>
      <x:c r="AA36" s="68" t="str">
        <x:v>正例：当“日主有印比势，但官杀/食伤/财一侧形成更强有效合力”真实成立，且必要条件与增强条件同向时，按“负荷侧形成更强集团可压过日主已有得势”记录对应旺衰证据。</x:v>
      </x:c>
      <x:c r="AB36" s="90" t="str">
        <x:v>反例：只有表面条件，但出现“禁止看到印比成势便排除偏弱”或关键有效性未成立时，不得套用本规则。</x:v>
      </x:c>
      <x:c r="AC36" s="68" t="str">
        <x:v>https://zh.wikisource.org/wiki/%E6%B7%B5%E6%B5%B7%E5%AD%90%E5%B9%B3%E5%A4%A7%E5%85%A8 ; https://zh.wikisource.org/wiki/%E6%BB%B4%E5%A4%A9%E9%AB%93%E9%97%A1%E5%BE%AE</x:v>
      </x:c>
      <x:c r="AD36" s="82" t="str">
        <x:v>采用</x:v>
      </x:c>
      <x:c r="AE36" s="82" t="str">
        <x:v>初审</x:v>
      </x:c>
      <x:c r="AF36" s="87" t="n">
        <x:v>46255</x:v>
      </x:c>
    </x:row>
    <x:row r="37">
      <x:c r="A37" s="72" t="str">
        <x:f>IF(OR(C37="",D37=""),"",B37&amp;"-"&amp;UPPER(C37)&amp;"-"&amp;TEXT(D37,"0000")&amp;"-"&amp;E37)</x:f>
        <x:v>M09-SHI-0031-V1.0</x:v>
      </x:c>
      <x:c r="B37" s="74" t="str">
        <x:v>M09</x:v>
      </x:c>
      <x:c r="C37" s="74" t="str">
        <x:v>SHI</x:v>
      </x:c>
      <x:c r="D37" s="79" t="n">
        <x:v>31</x:v>
      </x:c>
      <x:c r="E37" s="74" t="str">
        <x:v>V1.0</x:v>
      </x:c>
      <x:c r="F37" s="68" t="str">
        <x:v>单一极强扶身节点可抵消多个弱反向节点</x:v>
      </x:c>
      <x:c r="G37" s="82" t="str">
        <x:v>综合层</x:v>
      </x:c>
      <x:c r="H37" s="68" t="str">
        <x:v>得势</x:v>
      </x:c>
      <x:c r="I37" s="68" t="str">
        <x:v>支持偏旺</x:v>
      </x:c>
      <x:c r="J37" s="68" t="str">
        <x:v>存在一个决定性有效根/印源，而反向节点多数微弱</x:v>
      </x:c>
      <x:c r="K37" s="68" t="str">
        <x:v>中高</x:v>
      </x:c>
      <x:c r="L37" s="82" t="str">
        <x:v>中</x:v>
      </x:c>
      <x:c r="M37" s="68" t="str">
        <x:v>M08完成</x:v>
      </x:c>
      <x:c r="N37" s="68" t="str">
        <x:v>强节点确有决定性承载</x:v>
      </x:c>
      <x:c r="O37" s="68" t="str">
        <x:v>另有同向支持</x:v>
      </x:c>
      <x:c r="P37" s="68" t="str">
        <x:v>反向节点中存在强势集团</x:v>
      </x:c>
      <x:c r="Q37" s="90" t="str">
        <x:v>禁止以节点数量多数决定胜负</x:v>
      </x:c>
      <x:c r="R37" s="68" t="str">
        <x:v>极端案例降低置信度</x:v>
      </x:c>
      <x:c r="S37" s="68" t="str">
        <x:v>证据质量高于简单计数</x:v>
      </x:c>
      <x:c r="T37" s="82" t="str">
        <x:v>否</x:v>
      </x:c>
      <x:c r="U37" s="82" t="str">
        <x:v>中和偏旺</x:v>
      </x:c>
      <x:c r="V37" s="84" t="str">
        <x:v>强证据优先</x:v>
      </x:c>
      <x:c r="W37" s="84" t="str">
        <x:v>一个决定性扶身节点可强于多个微弱反向节点，旺衰比较以有效质量为先。</x:v>
      </x:c>
      <x:c r="X37" s="82" t="str">
        <x:v>较高</x:v>
      </x:c>
      <x:c r="Y37" s="82" t="str">
        <x:v>现代综合</x:v>
      </x:c>
      <x:c r="Z37" s="68" t="str">
        <x:v>得势强调全局扶身集团的有效方向与稳定性，数量需经过根气、透达、作用通路和证据容量修正。</x:v>
      </x:c>
      <x:c r="AA37" s="68" t="str">
        <x:v>正例：当“存在一个决定性有效根/印源，而反向节点多数微弱”真实成立，且必要条件与增强条件同向时，按“单一极强扶身节点可抵消多个弱反向节点”记录对应旺衰证据。</x:v>
      </x:c>
      <x:c r="AB37" s="90" t="str">
        <x:v>反例：只有表面条件，但出现“禁止以节点数量多数决定胜负”或关键有效性未成立时，不得套用本规则。</x:v>
      </x:c>
      <x:c r="AC37" s="68" t="str">
        <x:v>https://zh.wikisource.org/wiki/%E6%B7%B5%E6%B5%B7%E5%AD%90%E5%B9%B3%E5%A4%A7%E5%85%A8 ; https://zh.wikisource.org/wiki/%E6%BB%B4%E5%A4%A9%E9%AB%93%E9%97%A1%E5%BE%AE</x:v>
      </x:c>
      <x:c r="AD37" s="82" t="str">
        <x:v>采用</x:v>
      </x:c>
      <x:c r="AE37" s="82" t="str">
        <x:v>初审</x:v>
      </x:c>
      <x:c r="AF37" s="87" t="n">
        <x:v>46255</x:v>
      </x:c>
    </x:row>
    <x:row r="38">
      <x:c r="A38" s="72" t="str">
        <x:f>IF(OR(C38="",D38=""),"",B38&amp;"-"&amp;UPPER(C38)&amp;"-"&amp;TEXT(D38,"0000")&amp;"-"&amp;E38)</x:f>
        <x:v>M09-SHI-0032-V1.0</x:v>
      </x:c>
      <x:c r="B38" s="74" t="str">
        <x:v>M09</x:v>
      </x:c>
      <x:c r="C38" s="74" t="str">
        <x:v>SHI</x:v>
      </x:c>
      <x:c r="D38" s="79" t="n">
        <x:v>32</x:v>
      </x:c>
      <x:c r="E38" s="74" t="str">
        <x:v>V1.0</x:v>
      </x:c>
      <x:c r="F38" s="68" t="str">
        <x:v>得势是全局方向概念而非单一十神数量标签</x:v>
      </x:c>
      <x:c r="G38" s="82" t="str">
        <x:v>综合层</x:v>
      </x:c>
      <x:c r="H38" s="68" t="str">
        <x:v>得势</x:v>
      </x:c>
      <x:c r="I38" s="68" t="str">
        <x:v>边界</x:v>
      </x:c>
      <x:c r="J38" s="68" t="str">
        <x:v>任何得势判断</x:v>
      </x:c>
      <x:c r="K38" s="68" t="str">
        <x:v>高</x:v>
      </x:c>
      <x:c r="L38" s="82" t="str">
        <x:v>决定性</x:v>
      </x:c>
      <x:c r="M38" s="68" t="str">
        <x:v>M08完成</x:v>
      </x:c>
      <x:c r="N38" s="68" t="str">
        <x:v>至少比较根、印、比与负荷侧</x:v>
      </x:c>
      <x:c r="O38" s="68" t="str">
        <x:v>多维扶身证据同向</x:v>
      </x:c>
      <x:c r="P38" s="68" t="str">
        <x:v>仅某一类十神数量多</x:v>
      </x:c>
      <x:c r="Q38" s="90" t="str">
        <x:v>禁止把“印多”或“比劫多”直接等同得势</x:v>
      </x:c>
      <x:c r="R38" s="68" t="str">
        <x:v>十神功能转M10</x:v>
      </x:c>
      <x:c r="S38" s="68" t="str">
        <x:v>得势应体现全局力量向日主集中</x:v>
      </x:c>
      <x:c r="T38" s="82" t="str">
        <x:v>否</x:v>
      </x:c>
      <x:c r="U38" s="82" t="str">
        <x:v>中和</x:v>
      </x:c>
      <x:c r="V38" s="84" t="str">
        <x:v>得势定义</x:v>
      </x:c>
      <x:c r="W38" s="84" t="str">
        <x:v>得势只在全局有效力量明显向日主集中时成立，不以单一十神数量代替。</x:v>
      </x:c>
      <x:c r="X38" s="82" t="str">
        <x:v>较高</x:v>
      </x:c>
      <x:c r="Y38" s="82" t="str">
        <x:v>现代综合</x:v>
      </x:c>
      <x:c r="Z38" s="68" t="str">
        <x:v>得势强调全局扶身集团的有效方向与稳定性，数量需经过根气、透达、作用通路和证据容量修正。</x:v>
      </x:c>
      <x:c r="AA38" s="68" t="str">
        <x:v>正例：当“任何得势判断”真实成立，且必要条件与增强条件同向时，按“得势是全局方向概念而非单一十神数量标签”记录对应旺衰证据。</x:v>
      </x:c>
      <x:c r="AB38" s="90" t="str">
        <x:v>反例：只有表面条件，但出现“禁止把“印多”或“比劫多”直接等同得势”或关键有效性未成立时，不得套用本规则。</x:v>
      </x:c>
      <x:c r="AC38" s="68" t="str">
        <x:v>https://zh.wikisource.org/wiki/%E6%B7%B5%E6%B5%B7%E5%AD%90%E5%B9%B3%E5%A4%A7%E5%85%A8 ; https://zh.wikisource.org/wiki/%E6%BB%B4%E5%A4%A9%E9%AB%93%E9%97%A1%E5%BE%AE</x:v>
      </x:c>
      <x:c r="AD38" s="82" t="str">
        <x:v>采用</x:v>
      </x:c>
      <x:c r="AE38" s="82" t="str">
        <x:v>初审</x:v>
      </x:c>
      <x:c r="AF38" s="87" t="n">
        <x:v>46255</x:v>
      </x:c>
    </x:row>
    <x:row r="39">
      <x:c r="A39" s="72" t="str">
        <x:f>IF(OR(C39="",D39=""),"",B39&amp;"-"&amp;UPPER(C39)&amp;"-"&amp;TEXT(D39,"0000")&amp;"-"&amp;E39)</x:f>
        <x:v>M09-SHENG-0033-V1.0</x:v>
      </x:c>
      <x:c r="B39" s="74" t="str">
        <x:v>M09</x:v>
      </x:c>
      <x:c r="C39" s="74" t="str">
        <x:v>SHENG</x:v>
      </x:c>
      <x:c r="D39" s="79" t="n">
        <x:v>33</x:v>
      </x:c>
      <x:c r="E39" s="74" t="str">
        <x:v>V1.0</x:v>
      </x:c>
      <x:c r="F39" s="68" t="str">
        <x:v>有效印星是日主得生的直接证据</x:v>
      </x:c>
      <x:c r="G39" s="82" t="str">
        <x:v>综合层</x:v>
      </x:c>
      <x:c r="H39" s="68" t="str">
        <x:v>得生</x:v>
      </x:c>
      <x:c r="I39" s="68" t="str">
        <x:v>支持偏旺</x:v>
      </x:c>
      <x:c r="J39" s="68" t="str">
        <x:v>M08确认生日主的五行具有有效力量并有作用通路</x:v>
      </x:c>
      <x:c r="K39" s="68" t="str">
        <x:v>高</x:v>
      </x:c>
      <x:c r="L39" s="82" t="str">
        <x:v>强</x:v>
      </x:c>
      <x:c r="M39" s="68" t="str">
        <x:v>M08完成</x:v>
      </x:c>
      <x:c r="N39" s="68" t="str">
        <x:v>生源自身有力且可到达日主</x:v>
      </x:c>
      <x:c r="O39" s="68" t="str">
        <x:v>生源得令、有根、透达</x:v>
      </x:c>
      <x:c r="P39" s="68" t="str">
        <x:v>生源无根、被制、被合绊或通路阻断</x:v>
      </x:c>
      <x:c r="Q39" s="90" t="str">
        <x:v>禁止印星一出现就按强生扶</x:v>
      </x:c>
      <x:c r="R39" s="68" t="str">
        <x:v>十神清纯度转M10</x:v>
      </x:c>
      <x:c r="S39" s="68" t="str">
        <x:v>有效印越强，日主获得的持续补给越明显</x:v>
      </x:c>
      <x:c r="T39" s="82" t="str">
        <x:v>否</x:v>
      </x:c>
      <x:c r="U39" s="82" t="str">
        <x:v>中和偏旺</x:v>
      </x:c>
      <x:c r="V39" s="84" t="str">
        <x:v>有效得生</x:v>
      </x:c>
      <x:c r="W39" s="84" t="str">
        <x:v>日主获得有效印星生扶，是偏强的重要证据。</x:v>
      </x:c>
      <x:c r="X39" s="82" t="str">
        <x:v>较高</x:v>
      </x:c>
      <x:c r="Y39" s="82" t="str">
        <x:v>现代综合</x:v>
      </x:c>
      <x:c r="Z39" s="68" t="str">
        <x:v>得生只计算能够实际到达日主的有效生源；生源自身力量、通路和承载上限共同限制支持强度。</x:v>
      </x:c>
      <x:c r="AA39" s="68" t="str">
        <x:v>正例：当“M08确认生日主的五行具有有效力量并有作用通路”真实成立，且必要条件与增强条件同向时，按“有效印星是日主得生的直接证据”记录对应旺衰证据。</x:v>
      </x:c>
      <x:c r="AB39" s="90" t="str">
        <x:v>反例：只有表面条件，但出现“禁止印星一出现就按强生扶”或关键有效性未成立时，不得套用本规则。</x:v>
      </x:c>
      <x:c r="AC39" s="68" t="str">
        <x:v>https://zh.wikisource.org/wiki/%E6%B7%B5%E6%B5%B7%E5%AD%90%E5%B9%B3%E5%A4%A7%E5%85%A8 ; https://zh.wikisource.org/wiki/%E6%BB%B4%E5%A4%A9%E9%AB%93%E9%97%A1%E5%BE%AE</x:v>
      </x:c>
      <x:c r="AD39" s="82" t="str">
        <x:v>采用</x:v>
      </x:c>
      <x:c r="AE39" s="82" t="str">
        <x:v>初审</x:v>
      </x:c>
      <x:c r="AF39" s="87" t="n">
        <x:v>46255</x:v>
      </x:c>
    </x:row>
    <x:row r="40">
      <x:c r="A40" s="72" t="str">
        <x:f>IF(OR(C40="",D40=""),"",B40&amp;"-"&amp;UPPER(C40)&amp;"-"&amp;TEXT(D40,"0000")&amp;"-"&amp;E40)</x:f>
        <x:v>M09-SHENG-0034-V1.0</x:v>
      </x:c>
      <x:c r="B40" s="74" t="str">
        <x:v>M09</x:v>
      </x:c>
      <x:c r="C40" s="74" t="str">
        <x:v>SHENG</x:v>
      </x:c>
      <x:c r="D40" s="79" t="n">
        <x:v>34</x:v>
      </x:c>
      <x:c r="E40" s="74" t="str">
        <x:v>V1.0</x:v>
      </x:c>
      <x:c r="F40" s="68" t="str">
        <x:v>印星旺但被财破或合绊时得生按有效性下调</x:v>
      </x:c>
      <x:c r="G40" s="82" t="str">
        <x:v>综合层</x:v>
      </x:c>
      <x:c r="H40" s="68" t="str">
        <x:v>得生</x:v>
      </x:c>
      <x:c r="I40" s="68" t="str">
        <x:v>支持偏弱</x:v>
      </x:c>
      <x:c r="J40" s="68" t="str">
        <x:v>原始印旺但M08显示其被强财克制、合绊或改性</x:v>
      </x:c>
      <x:c r="K40" s="68" t="str">
        <x:v>高</x:v>
      </x:c>
      <x:c r="L40" s="82" t="str">
        <x:v>强</x:v>
      </x:c>
      <x:c r="M40" s="68" t="str">
        <x:v>M08完成</x:v>
      </x:c>
      <x:c r="N40" s="68" t="str">
        <x:v>破坏效应已成立</x:v>
      </x:c>
      <x:c r="O40" s="68" t="str">
        <x:v>另有独立印源或救应</x:v>
      </x:c>
      <x:c r="P40" s="68" t="str">
        <x:v>关系仅存在未形成实质效应</x:v>
      </x:c>
      <x:c r="Q40" s="90" t="str">
        <x:v>禁止按原始印量满额计入</x:v>
      </x:c>
      <x:c r="R40" s="68" t="str">
        <x:v>制化组合转M11</x:v>
      </x:c>
      <x:c r="S40" s="68" t="str">
        <x:v>名义印旺不等于日主实际得生强</x:v>
      </x:c>
      <x:c r="T40" s="82" t="str">
        <x:v>否</x:v>
      </x:c>
      <x:c r="U40" s="82" t="str">
        <x:v>中和</x:v>
      </x:c>
      <x:c r="V40" s="84" t="str">
        <x:v>印源受损</x:v>
      </x:c>
      <x:c r="W40" s="84" t="str">
        <x:v>印星虽旺，但其生身通路受损；得生证据按M08有效水平计入。</x:v>
      </x:c>
      <x:c r="X40" s="82" t="str">
        <x:v>较高</x:v>
      </x:c>
      <x:c r="Y40" s="82" t="str">
        <x:v>现代综合</x:v>
      </x:c>
      <x:c r="Z40" s="68" t="str">
        <x:v>得生只计算能够实际到达日主的有效生源；生源自身力量、通路和承载上限共同限制支持强度。</x:v>
      </x:c>
      <x:c r="AA40" s="68" t="str">
        <x:v>正例：当“原始印旺但M08显示其被强财克制、合绊或改性”真实成立，且必要条件与增强条件同向时，按“印星旺但被财破或合绊时得生按有效性下调”记录对应旺衰证据。</x:v>
      </x:c>
      <x:c r="AB40" s="90" t="str">
        <x:v>反例：只有表面条件，但出现“禁止按原始印量满额计入”或关键有效性未成立时，不得套用本规则。</x:v>
      </x:c>
      <x:c r="AC40" s="68" t="str">
        <x:v>https://zh.wikisource.org/wiki/%E6%B7%B5%E6%B5%B7%E5%AD%90%E5%B9%B3%E5%A4%A7%E5%85%A8 ; https://zh.wikisource.org/wiki/%E6%BB%B4%E5%A4%A9%E9%AB%93%E9%97%A1%E5%BE%AE</x:v>
      </x:c>
      <x:c r="AD40" s="82" t="str">
        <x:v>采用</x:v>
      </x:c>
      <x:c r="AE40" s="82" t="str">
        <x:v>初审</x:v>
      </x:c>
      <x:c r="AF40" s="87" t="n">
        <x:v>46255</x:v>
      </x:c>
    </x:row>
    <x:row r="41">
      <x:c r="A41" s="72" t="str">
        <x:f>IF(OR(C41="",D41=""),"",B41&amp;"-"&amp;UPPER(C41)&amp;"-"&amp;TEXT(D41,"0000")&amp;"-"&amp;E41)</x:f>
        <x:v>M09-SHENG-0035-V1.0</x:v>
      </x:c>
      <x:c r="B41" s="74" t="str">
        <x:v>M09</x:v>
      </x:c>
      <x:c r="C41" s="74" t="str">
        <x:v>SHENG</x:v>
      </x:c>
      <x:c r="D41" s="79" t="n">
        <x:v>35</x:v>
      </x:c>
      <x:c r="E41" s="74" t="str">
        <x:v>V1.0</x:v>
      </x:c>
      <x:c r="F41" s="68" t="str">
        <x:v>无根日主即使得强印也需检查承载落点</x:v>
      </x:c>
      <x:c r="G41" s="82" t="str">
        <x:v>综合层</x:v>
      </x:c>
      <x:c r="H41" s="68" t="str">
        <x:v>得生</x:v>
      </x:c>
      <x:c r="I41" s="68" t="str">
        <x:v>条件性支持偏旺</x:v>
      </x:c>
      <x:c r="J41" s="68" t="str">
        <x:v>日主无有效根但有强印生身</x:v>
      </x:c>
      <x:c r="K41" s="68" t="str">
        <x:v>高</x:v>
      </x:c>
      <x:c r="L41" s="82" t="str">
        <x:v>中</x:v>
      </x:c>
      <x:c r="M41" s="68" t="str">
        <x:v>M08/M09得地证据已取得</x:v>
      </x:c>
      <x:c r="N41" s="68" t="str">
        <x:v>印源有效且日主至少有天干承载</x:v>
      </x:c>
      <x:c r="O41" s="68" t="str">
        <x:v>另有比劫或后续根气</x:v>
      </x:c>
      <x:c r="P41" s="68" t="str">
        <x:v>强泄耗制持续作用且无任何落脚点</x:v>
      </x:c>
      <x:c r="Q41" s="90" t="str">
        <x:v>禁止强印直接等同身旺</x:v>
      </x:c>
      <x:c r="R41" s="68" t="str">
        <x:v>从格候选另审</x:v>
      </x:c>
      <x:c r="S41" s="68" t="str">
        <x:v>强印可显著抬高日主，但无根会降低持续承载稳定性</x:v>
      </x:c>
      <x:c r="T41" s="82" t="str">
        <x:v>否</x:v>
      </x:c>
      <x:c r="U41" s="82" t="str">
        <x:v>中和</x:v>
      </x:c>
      <x:c r="V41" s="84" t="str">
        <x:v>强印无根边界</x:v>
      </x:c>
      <x:c r="W41" s="84" t="str">
        <x:v>日主无根但得强印，可获得明显生扶；是否偏旺仍取决于承载与负荷侧。</x:v>
      </x:c>
      <x:c r="X41" s="82" t="str">
        <x:v>较高</x:v>
      </x:c>
      <x:c r="Y41" s="82" t="str">
        <x:v>现代综合</x:v>
      </x:c>
      <x:c r="Z41" s="68" t="str">
        <x:v>得生只计算能够实际到达日主的有效生源；生源自身力量、通路和承载上限共同限制支持强度。</x:v>
      </x:c>
      <x:c r="AA41" s="68" t="str">
        <x:v>正例：当“日主无有效根但有强印生身”真实成立，且必要条件与增强条件同向时，按“无根日主即使得强印也需检查承载落点”记录对应旺衰证据。</x:v>
      </x:c>
      <x:c r="AB41" s="90" t="str">
        <x:v>反例：只有表面条件，但出现“禁止强印直接等同身旺”或关键有效性未成立时，不得套用本规则。</x:v>
      </x:c>
      <x:c r="AC41" s="68" t="str">
        <x:v>https://zh.wikisource.org/wiki/%E6%B7%B5%E6%B5%B7%E5%AD%90%E5%B9%B3%E5%A4%A7%E5%85%A8 ; https://zh.wikisource.org/wiki/%E6%BB%B4%E5%A4%A9%E9%AB%93%E9%97%A1%E5%BE%AE</x:v>
      </x:c>
      <x:c r="AD41" s="82" t="str">
        <x:v>采用</x:v>
      </x:c>
      <x:c r="AE41" s="82" t="str">
        <x:v>初审</x:v>
      </x:c>
      <x:c r="AF41" s="87" t="n">
        <x:v>46255</x:v>
      </x:c>
    </x:row>
    <x:row r="42">
      <x:c r="A42" s="72" t="str">
        <x:f>IF(OR(C42="",D42=""),"",B42&amp;"-"&amp;UPPER(C42)&amp;"-"&amp;TEXT(D42,"0000")&amp;"-"&amp;E42)</x:f>
        <x:v>M09-SHENG-0036-V1.0</x:v>
      </x:c>
      <x:c r="B42" s="74" t="str">
        <x:v>M09</x:v>
      </x:c>
      <x:c r="C42" s="74" t="str">
        <x:v>SHENG</x:v>
      </x:c>
      <x:c r="D42" s="79" t="n">
        <x:v>36</x:v>
      </x:c>
      <x:c r="E42" s="74" t="str">
        <x:v>V1.0</x:v>
      </x:c>
      <x:c r="F42" s="68" t="str">
        <x:v>多重独立印源可提高得生稳定性但边际递减</x:v>
      </x:c>
      <x:c r="G42" s="82" t="str">
        <x:v>综合层</x:v>
      </x:c>
      <x:c r="H42" s="68" t="str">
        <x:v>得生</x:v>
      </x:c>
      <x:c r="I42" s="68" t="str">
        <x:v>支持偏旺</x:v>
      </x:c>
      <x:c r="J42" s="68" t="str">
        <x:v>存在两个以上独立有效印源</x:v>
      </x:c>
      <x:c r="K42" s="68" t="str">
        <x:v>中高</x:v>
      </x:c>
      <x:c r="L42" s="82" t="str">
        <x:v>中</x:v>
      </x:c>
      <x:c r="M42" s="68" t="str">
        <x:v>M08完成</x:v>
      </x:c>
      <x:c r="N42" s="68" t="str">
        <x:v>印源彼此独立</x:v>
      </x:c>
      <x:c r="O42" s="68" t="str">
        <x:v>印源有根且生扶链短</x:v>
      </x:c>
      <x:c r="P42" s="68" t="str">
        <x:v>多个印源共享同一根或共同受制</x:v>
      </x:c>
      <x:c r="Q42" s="90" t="str">
        <x:v>禁止按印星数量线性叠加</x:v>
      </x:c>
      <x:c r="R42" s="68" t="str">
        <x:v>印过旺功能问题转M10/M11</x:v>
      </x:c>
      <x:c r="S42" s="68" t="str">
        <x:v>第二、第三印源主要增加稳定性而非无限增力</x:v>
      </x:c>
      <x:c r="T42" s="82" t="str">
        <x:v>否</x:v>
      </x:c>
      <x:c r="U42" s="82" t="str">
        <x:v>旺</x:v>
      </x:c>
      <x:c r="V42" s="84" t="str">
        <x:v>多印得生</x:v>
      </x:c>
      <x:c r="W42" s="84" t="str">
        <x:v>多重独立有效印源提高日主得生稳定性，但不线性累加。</x:v>
      </x:c>
      <x:c r="X42" s="82" t="str">
        <x:v>较高</x:v>
      </x:c>
      <x:c r="Y42" s="82" t="str">
        <x:v>现代综合</x:v>
      </x:c>
      <x:c r="Z42" s="68" t="str">
        <x:v>得生只计算能够实际到达日主的有效生源；生源自身力量、通路和承载上限共同限制支持强度。</x:v>
      </x:c>
      <x:c r="AA42" s="68" t="str">
        <x:v>正例：当“存在两个以上独立有效印源”真实成立，且必要条件与增强条件同向时，按“多重独立印源可提高得生稳定性但边际递减”记录对应旺衰证据。</x:v>
      </x:c>
      <x:c r="AB42" s="90" t="str">
        <x:v>反例：只有表面条件，但出现“禁止按印星数量线性叠加”或关键有效性未成立时，不得套用本规则。</x:v>
      </x:c>
      <x:c r="AC42" s="68" t="str">
        <x:v>https://zh.wikisource.org/wiki/%E6%B7%B5%E6%B5%B7%E5%AD%90%E5%B9%B3%E5%A4%A7%E5%85%A8 ; https://zh.wikisource.org/wiki/%E6%BB%B4%E5%A4%A9%E9%AB%93%E9%97%A1%E5%BE%AE</x:v>
      </x:c>
      <x:c r="AD42" s="82" t="str">
        <x:v>采用</x:v>
      </x:c>
      <x:c r="AE42" s="82" t="str">
        <x:v>初审</x:v>
      </x:c>
      <x:c r="AF42" s="87" t="n">
        <x:v>46255</x:v>
      </x:c>
    </x:row>
    <x:row r="43">
      <x:c r="A43" s="72" t="str">
        <x:f>IF(OR(C43="",D43=""),"",B43&amp;"-"&amp;UPPER(C43)&amp;"-"&amp;TEXT(D43,"0000")&amp;"-"&amp;E43)</x:f>
        <x:v>M09-SHENG-0037-V1.0</x:v>
      </x:c>
      <x:c r="B43" s="74" t="str">
        <x:v>M09</x:v>
      </x:c>
      <x:c r="C43" s="74" t="str">
        <x:v>SHENG</x:v>
      </x:c>
      <x:c r="D43" s="79" t="n">
        <x:v>37</x:v>
      </x:c>
      <x:c r="E43" s="74" t="str">
        <x:v>V1.0</x:v>
      </x:c>
      <x:c r="F43" s="68" t="str">
        <x:v>生源力量上限限制日主得生等级</x:v>
      </x:c>
      <x:c r="G43" s="82" t="str">
        <x:v>综合层</x:v>
      </x:c>
      <x:c r="H43" s="68" t="str">
        <x:v>得生</x:v>
      </x:c>
      <x:c r="I43" s="68" t="str">
        <x:v>边界</x:v>
      </x:c>
      <x:c r="J43" s="68" t="str">
        <x:v>日主存在生源</x:v>
      </x:c>
      <x:c r="K43" s="68" t="str">
        <x:v>中高</x:v>
      </x:c>
      <x:c r="L43" s="82" t="str">
        <x:v>中</x:v>
      </x:c>
      <x:c r="M43" s="68" t="str">
        <x:v>M08完成</x:v>
      </x:c>
      <x:c r="N43" s="68" t="str">
        <x:v>生源自身有效旺衰已知</x:v>
      </x:c>
      <x:c r="O43" s="68" t="str">
        <x:v>生源强且通根</x:v>
      </x:c>
      <x:c r="P43" s="68" t="str">
        <x:v>生源极弱或无根</x:v>
      </x:c>
      <x:c r="Q43" s="90" t="str">
        <x:v>禁止弱生源提供超过自身能力的强扶持</x:v>
      </x:c>
      <x:c r="R43" s="68" t="str">
        <x:v>多个独立生源可合并</x:v>
      </x:c>
      <x:c r="S43" s="68" t="str">
        <x:v>生源弱时即使位置相邻也只能形成低等级支持</x:v>
      </x:c>
      <x:c r="T43" s="82" t="str">
        <x:v>是</x:v>
      </x:c>
      <x:c r="U43" s="82" t="str">
        <x:v>中和</x:v>
      </x:c>
      <x:c r="V43" s="84" t="str">
        <x:v>生源容量</x:v>
      </x:c>
      <x:c r="W43" s="84" t="str">
        <x:v>日主得生强度不能高于生源自身可提供的有效能力。</x:v>
      </x:c>
      <x:c r="X43" s="82" t="str">
        <x:v>较高</x:v>
      </x:c>
      <x:c r="Y43" s="82" t="str">
        <x:v>现代综合</x:v>
      </x:c>
      <x:c r="Z43" s="68" t="str">
        <x:v>得生只计算能够实际到达日主的有效生源；生源自身力量、通路和承载上限共同限制支持强度。</x:v>
      </x:c>
      <x:c r="AA43" s="68" t="str">
        <x:v>正例：当“日主存在生源”真实成立，且必要条件与增强条件同向时，按“生源力量上限限制日主得生等级”记录对应旺衰证据。</x:v>
      </x:c>
      <x:c r="AB43" s="90" t="str">
        <x:v>反例：只有表面条件，但出现“禁止弱生源提供超过自身能力的强扶持”或关键有效性未成立时，不得套用本规则。</x:v>
      </x:c>
      <x:c r="AC43" s="68" t="str">
        <x:v>https://zh.wikisource.org/wiki/%E6%B7%B5%E6%B5%B7%E5%AD%90%E5%B9%B3%E5%A4%A7%E5%85%A8 ; https://zh.wikisource.org/wiki/%E6%BB%B4%E5%A4%A9%E9%AB%93%E9%97%A1%E5%BE%AE</x:v>
      </x:c>
      <x:c r="AD43" s="82" t="str">
        <x:v>采用</x:v>
      </x:c>
      <x:c r="AE43" s="82" t="str">
        <x:v>初审</x:v>
      </x:c>
      <x:c r="AF43" s="87" t="n">
        <x:v>46255</x:v>
      </x:c>
    </x:row>
    <x:row r="44">
      <x:c r="A44" s="72" t="str">
        <x:f>IF(OR(C44="",D44=""),"",B44&amp;"-"&amp;UPPER(C44)&amp;"-"&amp;TEXT(D44,"0000")&amp;"-"&amp;E44)</x:f>
        <x:v>M09-SHENG-0038-V1.0</x:v>
      </x:c>
      <x:c r="B44" s="74" t="str">
        <x:v>M09</x:v>
      </x:c>
      <x:c r="C44" s="74" t="str">
        <x:v>SHENG</x:v>
      </x:c>
      <x:c r="D44" s="79" t="n">
        <x:v>38</x:v>
      </x:c>
      <x:c r="E44" s="74" t="str">
        <x:v>V1.0</x:v>
      </x:c>
      <x:c r="F44" s="68" t="str">
        <x:v>长生扶链的末端支持应低于直接生扶</x:v>
      </x:c>
      <x:c r="G44" s="82" t="str">
        <x:v>综合层</x:v>
      </x:c>
      <x:c r="H44" s="68" t="str">
        <x:v>得生</x:v>
      </x:c>
      <x:c r="I44" s="68" t="str">
        <x:v>支持偏旺</x:v>
      </x:c>
      <x:c r="J44" s="68" t="str">
        <x:v>生扶需经过两段以上五行链条到达日主</x:v>
      </x:c>
      <x:c r="K44" s="68" t="str">
        <x:v>中</x:v>
      </x:c>
      <x:c r="L44" s="82" t="str">
        <x:v>中</x:v>
      </x:c>
      <x:c r="M44" s="68" t="str">
        <x:v>M08完成</x:v>
      </x:c>
      <x:c r="N44" s="68" t="str">
        <x:v>中间桥梁均有效</x:v>
      </x:c>
      <x:c r="O44" s="68" t="str">
        <x:v>链条短、桥强、连续</x:v>
      </x:c>
      <x:c r="P44" s="68" t="str">
        <x:v>桥弱、缺桥、被克或过度分流</x:v>
      </x:c>
      <x:c r="Q44" s="90" t="str">
        <x:v>禁止跨级或等量传递</x:v>
      </x:c>
      <x:c r="R44" s="68" t="str">
        <x:v>完整流通转M12</x:v>
      </x:c>
      <x:c r="S44" s="68" t="str">
        <x:v>链越长末端支持通常越衰减</x:v>
      </x:c>
      <x:c r="T44" s="82" t="str">
        <x:v>否</x:v>
      </x:c>
      <x:c r="U44" s="82" t="str">
        <x:v>中和偏旺</x:v>
      </x:c>
      <x:c r="V44" s="84" t="str">
        <x:v>链式得生</x:v>
      </x:c>
      <x:c r="W44" s="84" t="str">
        <x:v>日主通过连续生扶链获益，但末端支持低于同等条件下的直接生扶。</x:v>
      </x:c>
      <x:c r="X44" s="82" t="str">
        <x:v>中等</x:v>
      </x:c>
      <x:c r="Y44" s="82" t="str">
        <x:v>现代综合</x:v>
      </x:c>
      <x:c r="Z44" s="68" t="str">
        <x:v>为M12流通路径保留接口。</x:v>
      </x:c>
      <x:c r="AA44" s="68" t="str">
        <x:v>正例：当“生扶需经过两段以上五行链条到达日主”真实成立，且必要条件与增强条件同向时，按“长生扶链的末端支持应低于直接生扶”记录对应旺衰证据。</x:v>
      </x:c>
      <x:c r="AB44" s="90" t="str">
        <x:v>反例：只有表面条件，但出现“禁止跨级或等量传递”或关键有效性未成立时，不得套用本规则。</x:v>
      </x:c>
      <x:c r="AC44" s="68" t="str">
        <x:v>https://zh.wikisource.org/wiki/%E6%B7%B5%E6%B5%B7%E5%AD%90%E5%B9%B3%E5%A4%A7%E5%85%A8 ; https://zh.wikisource.org/wiki/%E6%BB%B4%E5%A4%A9%E9%AB%93%E9%97%A1%E5%BE%AE</x:v>
      </x:c>
      <x:c r="AD44" s="82" t="str">
        <x:v>采用</x:v>
      </x:c>
      <x:c r="AE44" s="82" t="str">
        <x:v>初审</x:v>
      </x:c>
      <x:c r="AF44" s="87" t="n">
        <x:v>46255</x:v>
      </x:c>
    </x:row>
    <x:row r="45">
      <x:c r="A45" s="72" t="str">
        <x:f>IF(OR(C45="",D45=""),"",B45&amp;"-"&amp;UPPER(C45)&amp;"-"&amp;TEXT(D45,"0000")&amp;"-"&amp;E45)</x:f>
        <x:v>M09-SHENG-0039-V1.0</x:v>
      </x:c>
      <x:c r="B45" s="74" t="str">
        <x:v>M09</x:v>
      </x:c>
      <x:c r="C45" s="74" t="str">
        <x:v>SHENG</x:v>
      </x:c>
      <x:c r="D45" s="79" t="n">
        <x:v>39</x:v>
      </x:c>
      <x:c r="E45" s="74" t="str">
        <x:v>V1.0</x:v>
      </x:c>
      <x:c r="F45" s="68" t="str">
        <x:v>印比同向时得生与得势可互相增强但同源去重</x:v>
      </x:c>
      <x:c r="G45" s="82" t="str">
        <x:v>综合层</x:v>
      </x:c>
      <x:c r="H45" s="68" t="str">
        <x:v>得生</x:v>
      </x:c>
      <x:c r="I45" s="68" t="str">
        <x:v>支持偏旺</x:v>
      </x:c>
      <x:c r="J45" s="68" t="str">
        <x:v>有效印生身且比劫同时提供承载</x:v>
      </x:c>
      <x:c r="K45" s="68" t="str">
        <x:v>高</x:v>
      </x:c>
      <x:c r="L45" s="82" t="str">
        <x:v>强</x:v>
      </x:c>
      <x:c r="M45" s="68" t="str">
        <x:v>M08完成</x:v>
      </x:c>
      <x:c r="N45" s="68" t="str">
        <x:v>印与比劫为独立节点</x:v>
      </x:c>
      <x:c r="O45" s="68" t="str">
        <x:v>根深、透干呼应</x:v>
      </x:c>
      <x:c r="P45" s="68" t="str">
        <x:v>印比均来自同一有限节点</x:v>
      </x:c>
      <x:c r="Q45" s="90" t="str">
        <x:v>禁止同一节点同时在得生、得势重复满额</x:v>
      </x:c>
      <x:c r="R45" s="68"/>
      <x:c r="S45" s="68" t="str">
        <x:v>印提供补给、比劫提供同类承载，组合后稳定性提高</x:v>
      </x:c>
      <x:c r="T45" s="82" t="str">
        <x:v>否</x:v>
      </x:c>
      <x:c r="U45" s="82" t="str">
        <x:v>旺</x:v>
      </x:c>
      <x:c r="V45" s="84" t="str">
        <x:v>印比协同</x:v>
      </x:c>
      <x:c r="W45" s="84" t="str">
        <x:v>印与比劫均有效且来源独立时，日主扶身结构更稳定。</x:v>
      </x:c>
      <x:c r="X45" s="82" t="str">
        <x:v>较高</x:v>
      </x:c>
      <x:c r="Y45" s="82" t="str">
        <x:v>现代综合</x:v>
      </x:c>
      <x:c r="Z45" s="68" t="str">
        <x:v>得生只计算能够实际到达日主的有效生源；生源自身力量、通路和承载上限共同限制支持强度。</x:v>
      </x:c>
      <x:c r="AA45" s="68" t="str">
        <x:v>正例：当“有效印生身且比劫同时提供承载”真实成立，且必要条件与增强条件同向时，按“印比同向时得生与得势可互相增强但同源去重”记录对应旺衰证据。</x:v>
      </x:c>
      <x:c r="AB45" s="90" t="str">
        <x:v>反例：只有表面条件，但出现“禁止同一节点同时在得生、得势重复满额”或关键有效性未成立时，不得套用本规则。</x:v>
      </x:c>
      <x:c r="AC45" s="68" t="str">
        <x:v>https://zh.wikisource.org/wiki/%E6%B7%B5%E6%B5%B7%E5%AD%90%E5%B9%B3%E5%A4%A7%E5%85%A8 ; https://zh.wikisource.org/wiki/%E6%BB%B4%E5%A4%A9%E9%AB%93%E9%97%A1%E5%BE%AE</x:v>
      </x:c>
      <x:c r="AD45" s="82" t="str">
        <x:v>采用</x:v>
      </x:c>
      <x:c r="AE45" s="82" t="str">
        <x:v>初审</x:v>
      </x:c>
      <x:c r="AF45" s="87" t="n">
        <x:v>46255</x:v>
      </x:c>
    </x:row>
    <x:row r="46">
      <x:c r="A46" s="72" t="str">
        <x:f>IF(OR(C46="",D46=""),"",B46&amp;"-"&amp;UPPER(C46)&amp;"-"&amp;TEXT(D46,"0000")&amp;"-"&amp;E46)</x:f>
        <x:v>M09-SHENG-0040-V1.0</x:v>
      </x:c>
      <x:c r="B46" s="74" t="str">
        <x:v>M09</x:v>
      </x:c>
      <x:c r="C46" s="74" t="str">
        <x:v>SHENG</x:v>
      </x:c>
      <x:c r="D46" s="79" t="n">
        <x:v>40</x:v>
      </x:c>
      <x:c r="E46" s="74" t="str">
        <x:v>V1.0</x:v>
      </x:c>
      <x:c r="F46" s="68" t="str">
        <x:v>印多不自动等于身旺</x:v>
      </x:c>
      <x:c r="G46" s="82" t="str">
        <x:v>综合层</x:v>
      </x:c>
      <x:c r="H46" s="68" t="str">
        <x:v>得生</x:v>
      </x:c>
      <x:c r="I46" s="68" t="str">
        <x:v>边界</x:v>
      </x:c>
      <x:c r="J46" s="68" t="str">
        <x:v>原局印星数量或五行力量很高</x:v>
      </x:c>
      <x:c r="K46" s="68" t="str">
        <x:v>高</x:v>
      </x:c>
      <x:c r="L46" s="82" t="str">
        <x:v>决定性</x:v>
      </x:c>
      <x:c r="M46" s="68" t="str">
        <x:v>M08完成</x:v>
      </x:c>
      <x:c r="N46" s="68" t="str">
        <x:v>同时检查日主根气与印的实际通路</x:v>
      </x:c>
      <x:c r="O46" s="68" t="str">
        <x:v>日主有根且印可持续生身</x:v>
      </x:c>
      <x:c r="P46" s="68" t="str">
        <x:v>印被制、被冻结、无通路或日主承载极弱</x:v>
      </x:c>
      <x:c r="Q46" s="90" t="str">
        <x:v>禁止“印多=身旺”</x:v>
      </x:c>
      <x:c r="R46" s="68" t="str">
        <x:v>印多造成其他功能问题转M10/M11</x:v>
      </x:c>
      <x:c r="S46" s="68" t="str">
        <x:v>印旺只是支持侧证据，最终仍需与负荷侧比较</x:v>
      </x:c>
      <x:c r="T46" s="82" t="str">
        <x:v>否</x:v>
      </x:c>
      <x:c r="U46" s="82" t="str">
        <x:v>中和</x:v>
      </x:c>
      <x:c r="V46" s="84" t="str">
        <x:v>印多非旺充分条件</x:v>
      </x:c>
      <x:c r="W46" s="84" t="str">
        <x:v>印星多或旺不等于日主必旺；应以有效生身和日主承载为准。</x:v>
      </x:c>
      <x:c r="X46" s="82" t="str">
        <x:v>较高</x:v>
      </x:c>
      <x:c r="Y46" s="82" t="str">
        <x:v>现代综合</x:v>
      </x:c>
      <x:c r="Z46" s="68" t="str">
        <x:v>得生只计算能够实际到达日主的有效生源；生源自身力量、通路和承载上限共同限制支持强度。</x:v>
      </x:c>
      <x:c r="AA46" s="68" t="str">
        <x:v>正例：当“原局印星数量或五行力量很高”真实成立，且必要条件与增强条件同向时，按“印多不自动等于身旺”记录对应旺衰证据。</x:v>
      </x:c>
      <x:c r="AB46" s="90" t="str">
        <x:v>反例：只有表面条件，但出现“禁止“印多=身旺””或关键有效性未成立时，不得套用本规则。</x:v>
      </x:c>
      <x:c r="AC46" s="68" t="str">
        <x:v>https://zh.wikisource.org/wiki/%E6%B7%B5%E6%B5%B7%E5%AD%90%E5%B9%B3%E5%A4%A7%E5%85%A8 ; https://zh.wikisource.org/wiki/%E6%BB%B4%E5%A4%A9%E9%AB%93%E9%97%A1%E5%BE%AE</x:v>
      </x:c>
      <x:c r="AD46" s="82" t="str">
        <x:v>采用</x:v>
      </x:c>
      <x:c r="AE46" s="82" t="str">
        <x:v>初审</x:v>
      </x:c>
      <x:c r="AF46" s="87" t="n">
        <x:v>46255</x:v>
      </x:c>
    </x:row>
    <x:row r="47">
      <x:c r="A47" s="72" t="str">
        <x:f>IF(OR(C47="",D47=""),"",B47&amp;"-"&amp;UPPER(C47)&amp;"-"&amp;TEXT(D47,"0000")&amp;"-"&amp;E47)</x:f>
        <x:v>M09-KE-0041-V1.0</x:v>
      </x:c>
      <x:c r="B47" s="74" t="str">
        <x:v>M09</x:v>
      </x:c>
      <x:c r="C47" s="74" t="str">
        <x:v>KE</x:v>
      </x:c>
      <x:c r="D47" s="79" t="n">
        <x:v>41</x:v>
      </x:c>
      <x:c r="E47" s="74" t="str">
        <x:v>V1.0</x:v>
      </x:c>
      <x:c r="F47" s="68" t="str">
        <x:v>有效官杀直接制身构成强偏弱证据</x:v>
      </x:c>
      <x:c r="G47" s="82" t="str">
        <x:v>综合层</x:v>
      </x:c>
      <x:c r="H47" s="68" t="str">
        <x:v>受制</x:v>
      </x:c>
      <x:c r="I47" s="68" t="str">
        <x:v>支持偏弱</x:v>
      </x:c>
      <x:c r="J47" s="68" t="str">
        <x:v>M08确认克日主五行有效且有直接作用通路</x:v>
      </x:c>
      <x:c r="K47" s="68" t="str">
        <x:v>高</x:v>
      </x:c>
      <x:c r="L47" s="82" t="str">
        <x:v>强</x:v>
      </x:c>
      <x:c r="M47" s="68" t="str">
        <x:v>M08完成</x:v>
      </x:c>
      <x:c r="N47" s="68" t="str">
        <x:v>官杀对应五行真实有力</x:v>
      </x:c>
      <x:c r="O47" s="68" t="str">
        <x:v>官杀得令、通根、透达且贴近日主作用链</x:v>
      </x:c>
      <x:c r="P47" s="68" t="str">
        <x:v>官杀弱、被制、被合或被化泄</x:v>
      </x:c>
      <x:c r="Q47" s="90" t="str">
        <x:v>禁止官杀出现即判强制身</x:v>
      </x:c>
      <x:c r="R47" s="68" t="str">
        <x:v>杀印相生等组合转M11</x:v>
      </x:c>
      <x:c r="S47" s="68" t="str">
        <x:v>官杀越强且日主根弱，制身压力越显著</x:v>
      </x:c>
      <x:c r="T47" s="82" t="str">
        <x:v>否</x:v>
      </x:c>
      <x:c r="U47" s="82" t="str">
        <x:v>弱</x:v>
      </x:c>
      <x:c r="V47" s="84" t="str">
        <x:v>官杀制身</x:v>
      </x:c>
      <x:c r="W47" s="84" t="str">
        <x:v>日主受到有效官杀直接制约，是偏弱的重要证据。</x:v>
      </x:c>
      <x:c r="X47" s="82" t="str">
        <x:v>较高</x:v>
      </x:c>
      <x:c r="Y47" s="82" t="str">
        <x:v>现代综合</x:v>
      </x:c>
      <x:c r="Z47" s="68" t="str">
        <x:v>受制按官杀对应五行的有效力量、直接作用通路与制化后的剩余压力判断，不按官杀数量机械计权。</x:v>
      </x:c>
      <x:c r="AA47" s="68" t="str">
        <x:v>正例：当“M08确认克日主五行有效且有直接作用通路”真实成立，且必要条件与增强条件同向时，按“有效官杀直接制身构成强偏弱证据”记录对应旺衰证据。</x:v>
      </x:c>
      <x:c r="AB47" s="90" t="str">
        <x:v>反例：只有表面条件，但出现“禁止官杀出现即判强制身”或关键有效性未成立时，不得套用本规则。</x:v>
      </x:c>
      <x:c r="AC47" s="68" t="str">
        <x:v>https://zh.wikisource.org/wiki/%E6%B7%B5%E6%B5%B7%E5%AD%90%E5%B9%B3%E5%A4%A7%E5%85%A8 ; https://zh.wikisource.org/wiki/%E6%BB%B4%E5%A4%A9%E9%AB%93%E9%97%A1%E5%BE%AE</x:v>
      </x:c>
      <x:c r="AD47" s="82" t="str">
        <x:v>采用</x:v>
      </x:c>
      <x:c r="AE47" s="82" t="str">
        <x:v>初审</x:v>
      </x:c>
      <x:c r="AF47" s="87" t="n">
        <x:v>46255</x:v>
      </x:c>
    </x:row>
    <x:row r="48">
      <x:c r="A48" s="72" t="str">
        <x:f>IF(OR(C48="",D48=""),"",B48&amp;"-"&amp;UPPER(C48)&amp;"-"&amp;TEXT(D48,"0000")&amp;"-"&amp;E48)</x:f>
        <x:v>M09-KE-0042-V1.0</x:v>
      </x:c>
      <x:c r="B48" s="74" t="str">
        <x:v>M09</x:v>
      </x:c>
      <x:c r="C48" s="74" t="str">
        <x:v>KE</x:v>
      </x:c>
      <x:c r="D48" s="79" t="n">
        <x:v>42</x:v>
      </x:c>
      <x:c r="E48" s="74" t="str">
        <x:v>V1.0</x:v>
      </x:c>
      <x:c r="F48" s="68" t="str">
        <x:v>官杀数量多但大多无根无气时不形成强制身</x:v>
      </x:c>
      <x:c r="G48" s="82" t="str">
        <x:v>综合层</x:v>
      </x:c>
      <x:c r="H48" s="68" t="str">
        <x:v>受制</x:v>
      </x:c>
      <x:c r="I48" s="68" t="str">
        <x:v>条件性支持偏弱</x:v>
      </x:c>
      <x:c r="J48" s="68" t="str">
        <x:v>官杀数量多但M08判有效力量低</x:v>
      </x:c>
      <x:c r="K48" s="68" t="str">
        <x:v>中</x:v>
      </x:c>
      <x:c r="L48" s="82" t="str">
        <x:v>中</x:v>
      </x:c>
      <x:c r="M48" s="68" t="str">
        <x:v>M08完成</x:v>
      </x:c>
      <x:c r="N48" s="68" t="str">
        <x:v>多数官杀为弱节点</x:v>
      </x:c>
      <x:c r="O48" s="68"/>
      <x:c r="P48" s="68" t="str">
        <x:v>官杀得令成势或另有强根</x:v>
      </x:c>
      <x:c r="Q48" s="90" t="str">
        <x:v>禁止按官杀个数机械判身弱</x:v>
      </x:c>
      <x:c r="R48" s="68" t="str">
        <x:v>十神混杂转M10</x:v>
      </x:c>
      <x:c r="S48" s="68" t="str">
        <x:v>弱官杀数量多未必等于强压力</x:v>
      </x:c>
      <x:c r="T48" s="82" t="str">
        <x:v>否</x:v>
      </x:c>
      <x:c r="U48" s="82" t="str">
        <x:v>中和</x:v>
      </x:c>
      <x:c r="V48" s="84" t="str">
        <x:v>官杀质量优先</x:v>
      </x:c>
      <x:c r="W48" s="84" t="str">
        <x:v>官杀数量多但有效力量弱，制身证据按实际质量计入，不按数量定弱。</x:v>
      </x:c>
      <x:c r="X48" s="82" t="str">
        <x:v>较高</x:v>
      </x:c>
      <x:c r="Y48" s="82" t="str">
        <x:v>现代综合</x:v>
      </x:c>
      <x:c r="Z48" s="68" t="str">
        <x:v>受制按官杀对应五行的有效力量、直接作用通路与制化后的剩余压力判断，不按官杀数量机械计权。</x:v>
      </x:c>
      <x:c r="AA48" s="68" t="str">
        <x:v>正例：当“官杀数量多但M08判有效力量低”真实成立，且必要条件与增强条件同向时，按“官杀数量多但大多无根无气时不形成强制身”记录对应旺衰证据。</x:v>
      </x:c>
      <x:c r="AB48" s="90" t="str">
        <x:v>反例：只有表面条件，但出现“禁止按官杀个数机械判身弱”或关键有效性未成立时，不得套用本规则。</x:v>
      </x:c>
      <x:c r="AC48" s="68" t="str">
        <x:v>https://zh.wikisource.org/wiki/%E6%B7%B5%E6%B5%B7%E5%AD%90%E5%B9%B3%E5%A4%A7%E5%85%A8 ; https://zh.wikisource.org/wiki/%E6%BB%B4%E5%A4%A9%E9%AB%93%E9%97%A1%E5%BE%AE</x:v>
      </x:c>
      <x:c r="AD48" s="82" t="str">
        <x:v>采用</x:v>
      </x:c>
      <x:c r="AE48" s="82" t="str">
        <x:v>初审</x:v>
      </x:c>
      <x:c r="AF48" s="87" t="n">
        <x:v>46255</x:v>
      </x:c>
    </x:row>
    <x:row r="49">
      <x:c r="A49" s="72" t="str">
        <x:f>IF(OR(C49="",D49=""),"",B49&amp;"-"&amp;UPPER(C49)&amp;"-"&amp;TEXT(D49,"0000")&amp;"-"&amp;E49)</x:f>
        <x:v>M09-KE-0043-V1.0</x:v>
      </x:c>
      <x:c r="B49" s="74" t="str">
        <x:v>M09</x:v>
      </x:c>
      <x:c r="C49" s="74" t="str">
        <x:v>KE</x:v>
      </x:c>
      <x:c r="D49" s="79" t="n">
        <x:v>43</x:v>
      </x:c>
      <x:c r="E49" s="74" t="str">
        <x:v>V1.0</x:v>
      </x:c>
      <x:c r="F49" s="68" t="str">
        <x:v>官杀得令通根成势时可形成决定性制身压力</x:v>
      </x:c>
      <x:c r="G49" s="82" t="str">
        <x:v>综合层</x:v>
      </x:c>
      <x:c r="H49" s="68" t="str">
        <x:v>受制</x:v>
      </x:c>
      <x:c r="I49" s="68" t="str">
        <x:v>支持偏弱</x:v>
      </x:c>
      <x:c r="J49" s="68" t="str">
        <x:v>官杀五行得令、多根并透达，M08判旺或极旺</x:v>
      </x:c>
      <x:c r="K49" s="68" t="str">
        <x:v>高</x:v>
      </x:c>
      <x:c r="L49" s="82" t="str">
        <x:v>决定性</x:v>
      </x:c>
      <x:c r="M49" s="68" t="str">
        <x:v>M08完成</x:v>
      </x:c>
      <x:c r="N49" s="68" t="str">
        <x:v>官杀可直接作用日主</x:v>
      </x:c>
      <x:c r="O49" s="68" t="str">
        <x:v>日主失令无根、印比弱</x:v>
      </x:c>
      <x:c r="P49" s="68" t="str">
        <x:v>官杀被有效制化或日主亦强根成势</x:v>
      </x:c>
      <x:c r="Q49" s="90" t="str">
        <x:v>不得在制化已成立时重复满额计压</x:v>
      </x:c>
      <x:c r="R49" s="68" t="str">
        <x:v>特殊格局转M14</x:v>
      </x:c>
      <x:c r="S49" s="68" t="str">
        <x:v>日主若同时强旺，结果可能回到中和偏弱而非极弱</x:v>
      </x:c>
      <x:c r="T49" s="82" t="str">
        <x:v>否</x:v>
      </x:c>
      <x:c r="U49" s="82" t="str">
        <x:v>弱</x:v>
      </x:c>
      <x:c r="V49" s="84" t="str">
        <x:v>官杀成势</x:v>
      </x:c>
      <x:c r="W49" s="84" t="str">
        <x:v>官杀有效成势并直接制身时，是日主偏弱或弱的强证据。</x:v>
      </x:c>
      <x:c r="X49" s="82" t="str">
        <x:v>较高</x:v>
      </x:c>
      <x:c r="Y49" s="82" t="str">
        <x:v>现代综合</x:v>
      </x:c>
      <x:c r="Z49" s="68" t="str">
        <x:v>受制按官杀对应五行的有效力量、直接作用通路与制化后的剩余压力判断，不按官杀数量机械计权。</x:v>
      </x:c>
      <x:c r="AA49" s="68" t="str">
        <x:v>正例：当“官杀五行得令、多根并透达，M08判旺或极旺”真实成立，且必要条件与增强条件同向时，按“官杀得令通根成势时可形成决定性制身压力”记录对应旺衰证据。</x:v>
      </x:c>
      <x:c r="AB49" s="90" t="str">
        <x:v>反例：只有表面条件，但出现“不得在制化已成立时重复满额计压”或关键有效性未成立时，不得套用本规则。</x:v>
      </x:c>
      <x:c r="AC49" s="68" t="str">
        <x:v>https://zh.wikisource.org/wiki/%E6%B7%B5%E6%B5%B7%E5%AD%90%E5%B9%B3%E5%A4%A7%E5%85%A8 ; https://zh.wikisource.org/wiki/%E6%BB%B4%E5%A4%A9%E9%AB%93%E9%97%A1%E5%BE%AE</x:v>
      </x:c>
      <x:c r="AD49" s="82" t="str">
        <x:v>采用</x:v>
      </x:c>
      <x:c r="AE49" s="82" t="str">
        <x:v>初审</x:v>
      </x:c>
      <x:c r="AF49" s="87" t="n">
        <x:v>46255</x:v>
      </x:c>
    </x:row>
    <x:row r="50">
      <x:c r="A50" s="72" t="str">
        <x:f>IF(OR(C50="",D50=""),"",B50&amp;"-"&amp;UPPER(C50)&amp;"-"&amp;TEXT(D50,"0000")&amp;"-"&amp;E50)</x:f>
        <x:v>M09-KE-0044-V1.0</x:v>
      </x:c>
      <x:c r="B50" s="74" t="str">
        <x:v>M09</x:v>
      </x:c>
      <x:c r="C50" s="74" t="str">
        <x:v>KE</x:v>
      </x:c>
      <x:c r="D50" s="79" t="n">
        <x:v>44</x:v>
      </x:c>
      <x:c r="E50" s="74" t="str">
        <x:v>V1.0</x:v>
      </x:c>
      <x:c r="F50" s="68" t="str">
        <x:v>官杀被食伤制或被合住时按剩余有效压力计入</x:v>
      </x:c>
      <x:c r="G50" s="82" t="str">
        <x:v>综合层</x:v>
      </x:c>
      <x:c r="H50" s="68" t="str">
        <x:v>受制</x:v>
      </x:c>
      <x:c r="I50" s="68" t="str">
        <x:v>减弱偏弱证据</x:v>
      </x:c>
      <x:c r="J50" s="68" t="str">
        <x:v>M08/M06已确认官杀受到实质制约或冻结</x:v>
      </x:c>
      <x:c r="K50" s="68" t="str">
        <x:v>高</x:v>
      </x:c>
      <x:c r="L50" s="82" t="str">
        <x:v>强</x:v>
      </x:c>
      <x:c r="M50" s="68" t="str">
        <x:v>M08完成</x:v>
      </x:c>
      <x:c r="N50" s="68" t="str">
        <x:v>制约效果真实成立</x:v>
      </x:c>
      <x:c r="O50" s="68" t="str">
        <x:v>制约者强且通路直接</x:v>
      </x:c>
      <x:c r="P50" s="68" t="str">
        <x:v>制约者弱或另被破坏</x:v>
      </x:c>
      <x:c r="Q50" s="90" t="str">
        <x:v>禁止同时把官杀原始旺度与受制后旺度重复计入</x:v>
      </x:c>
      <x:c r="R50" s="68" t="str">
        <x:v>食神制杀成立与否转M11</x:v>
      </x:c>
      <x:c r="S50" s="68" t="str">
        <x:v>受制越有效，日主实际压力越低</x:v>
      </x:c>
      <x:c r="T50" s="82" t="str">
        <x:v>是</x:v>
      </x:c>
      <x:c r="U50" s="82" t="str">
        <x:v>中和</x:v>
      </x:c>
      <x:c r="V50" s="84" t="str">
        <x:v>官杀压力修正</x:v>
      </x:c>
      <x:c r="W50" s="84" t="str">
        <x:v>官杀已被有效制约，日主只承受其剩余压力，不按原始旺度满额计入。</x:v>
      </x:c>
      <x:c r="X50" s="82" t="str">
        <x:v>较高</x:v>
      </x:c>
      <x:c r="Y50" s="82" t="str">
        <x:v>现代综合</x:v>
      </x:c>
      <x:c r="Z50" s="68" t="str">
        <x:v>受制按官杀对应五行的有效力量、直接作用通路与制化后的剩余压力判断，不按官杀数量机械计权。</x:v>
      </x:c>
      <x:c r="AA50" s="68" t="str">
        <x:v>正例：当“M08/M06已确认官杀受到实质制约或冻结”真实成立，且必要条件与增强条件同向时，按“官杀被食伤制或被合住时按剩余有效压力计入”记录对应旺衰证据。</x:v>
      </x:c>
      <x:c r="AB50" s="90" t="str">
        <x:v>反例：只有表面条件，但出现“禁止同时把官杀原始旺度与受制后旺度重复计入”或关键有效性未成立时，不得套用本规则。</x:v>
      </x:c>
      <x:c r="AC50" s="68" t="str">
        <x:v>https://zh.wikisource.org/wiki/%E6%B7%B5%E6%B5%B7%E5%AD%90%E5%B9%B3%E5%A4%A7%E5%85%A8 ; https://zh.wikisource.org/wiki/%E6%BB%B4%E5%A4%A9%E9%AB%93%E9%97%A1%E5%BE%AE</x:v>
      </x:c>
      <x:c r="AD50" s="82" t="str">
        <x:v>采用</x:v>
      </x:c>
      <x:c r="AE50" s="82" t="str">
        <x:v>初审</x:v>
      </x:c>
      <x:c r="AF50" s="87" t="n">
        <x:v>46255</x:v>
      </x:c>
    </x:row>
    <x:row r="51">
      <x:c r="A51" s="72" t="str">
        <x:f>IF(OR(C51="",D51=""),"",B51&amp;"-"&amp;UPPER(C51)&amp;"-"&amp;TEXT(D51,"0000")&amp;"-"&amp;E51)</x:f>
        <x:v>M09-KE-0045-V1.0</x:v>
      </x:c>
      <x:c r="B51" s="74" t="str">
        <x:v>M09</x:v>
      </x:c>
      <x:c r="C51" s="74" t="str">
        <x:v>KE</x:v>
      </x:c>
      <x:c r="D51" s="79" t="n">
        <x:v>45</x:v>
      </x:c>
      <x:c r="E51" s="74" t="str">
        <x:v>V1.0</x:v>
      </x:c>
      <x:c r="F51" s="68" t="str">
        <x:v>官杀生印再生日主时制身与得生需按流向拆分</x:v>
      </x:c>
      <x:c r="G51" s="82" t="str">
        <x:v>综合层</x:v>
      </x:c>
      <x:c r="H51" s="68" t="str">
        <x:v>受制</x:v>
      </x:c>
      <x:c r="I51" s="68" t="str">
        <x:v>条件性</x:v>
      </x:c>
      <x:c r="J51" s="68" t="str">
        <x:v>官杀→印→日主的生化路径在M08中有效</x:v>
      </x:c>
      <x:c r="K51" s="68" t="str">
        <x:v>高</x:v>
      </x:c>
      <x:c r="L51" s="82" t="str">
        <x:v>中</x:v>
      </x:c>
      <x:c r="M51" s="68" t="str">
        <x:v>M08完成</x:v>
      </x:c>
      <x:c r="N51" s="68" t="str">
        <x:v>印星有力且能承接官杀之气</x:v>
      </x:c>
      <x:c r="O51" s="68" t="str">
        <x:v>官杀、印、日主三段连续</x:v>
      </x:c>
      <x:c r="P51" s="68" t="str">
        <x:v>印弱、被财破或路径中断</x:v>
      </x:c>
      <x:c r="Q51" s="90" t="str">
        <x:v>禁止官杀既全额制身又全额生印重复计权</x:v>
      </x:c>
      <x:c r="R51" s="68" t="str">
        <x:v>杀印相生组合转M11</x:v>
      </x:c>
      <x:c r="S51" s="68" t="str">
        <x:v>有效转化越强，直接制身压力越低、得生支持越高</x:v>
      </x:c>
      <x:c r="T51" s="82" t="str">
        <x:v>否</x:v>
      </x:c>
      <x:c r="U51" s="82" t="str">
        <x:v>中和</x:v>
      </x:c>
      <x:c r="V51" s="84" t="str">
        <x:v>官印流向拆分</x:v>
      </x:c>
      <x:c r="W51" s="84" t="str">
        <x:v>官杀之气若有效转入印再生身，应降低直接制身权重，并另计得生。</x:v>
      </x:c>
      <x:c r="X51" s="82" t="str">
        <x:v>较高</x:v>
      </x:c>
      <x:c r="Y51" s="82" t="str">
        <x:v>现代综合</x:v>
      </x:c>
      <x:c r="Z51" s="68" t="str">
        <x:v>受制按官杀对应五行的有效力量、直接作用通路与制化后的剩余压力判断，不按官杀数量机械计权。</x:v>
      </x:c>
      <x:c r="AA51" s="68" t="str">
        <x:v>正例：当“官杀→印→日主的生化路径在M08中有效”真实成立，且必要条件与增强条件同向时，按“官杀生印再生日主时制身与得生需按流向拆分”记录对应旺衰证据。</x:v>
      </x:c>
      <x:c r="AB51" s="90" t="str">
        <x:v>反例：只有表面条件，但出现“禁止官杀既全额制身又全额生印重复计权”或关键有效性未成立时，不得套用本规则。</x:v>
      </x:c>
      <x:c r="AC51" s="68" t="str">
        <x:v>https://zh.wikisource.org/wiki/%E6%B7%B5%E6%B5%B7%E5%AD%90%E5%B9%B3%E5%A4%A7%E5%85%A8 ; https://zh.wikisource.org/wiki/%E6%BB%B4%E5%A4%A9%E9%AB%93%E9%97%A1%E5%BE%AE</x:v>
      </x:c>
      <x:c r="AD51" s="82" t="str">
        <x:v>采用</x:v>
      </x:c>
      <x:c r="AE51" s="82" t="str">
        <x:v>初审</x:v>
      </x:c>
      <x:c r="AF51" s="87" t="n">
        <x:v>46255</x:v>
      </x:c>
    </x:row>
    <x:row r="52">
      <x:c r="A52" s="72" t="str">
        <x:f>IF(OR(C52="",D52=""),"",B52&amp;"-"&amp;UPPER(C52)&amp;"-"&amp;TEXT(D52,"0000")&amp;"-"&amp;E52)</x:f>
        <x:v>M09-KE-0046-V1.0</x:v>
      </x:c>
      <x:c r="B52" s="74" t="str">
        <x:v>M09</x:v>
      </x:c>
      <x:c r="C52" s="74" t="str">
        <x:v>KE</x:v>
      </x:c>
      <x:c r="D52" s="79" t="n">
        <x:v>46</x:v>
      </x:c>
      <x:c r="E52" s="74" t="str">
        <x:v>V1.0</x:v>
      </x:c>
      <x:c r="F52" s="68" t="str">
        <x:v>日主根弱时同等官杀压力的伤害更显著</x:v>
      </x:c>
      <x:c r="G52" s="82" t="str">
        <x:v>综合层</x:v>
      </x:c>
      <x:c r="H52" s="68" t="str">
        <x:v>受制</x:v>
      </x:c>
      <x:c r="I52" s="68" t="str">
        <x:v>支持偏弱</x:v>
      </x:c>
      <x:c r="J52" s="68" t="str">
        <x:v>官杀有效且日主有效根少或弱</x:v>
      </x:c>
      <x:c r="K52" s="68" t="str">
        <x:v>高</x:v>
      </x:c>
      <x:c r="L52" s="82" t="str">
        <x:v>强</x:v>
      </x:c>
      <x:c r="M52" s="68" t="str">
        <x:v>M08完成</x:v>
      </x:c>
      <x:c r="N52" s="68" t="str">
        <x:v>日主承载不足</x:v>
      </x:c>
      <x:c r="O52" s="68" t="str">
        <x:v>同时失令、无印比</x:v>
      </x:c>
      <x:c r="P52" s="68" t="str">
        <x:v>日主多根或印比强</x:v>
      </x:c>
      <x:c r="Q52" s="90" t="str">
        <x:v>禁止用固定百分比量化伤害</x:v>
      </x:c>
      <x:c r="R52" s="68"/>
      <x:c r="S52" s="68" t="str">
        <x:v>承载越弱，相同制身压力越容易推动等级下调</x:v>
      </x:c>
      <x:c r="T52" s="82" t="str">
        <x:v>否</x:v>
      </x:c>
      <x:c r="U52" s="82" t="str">
        <x:v>弱</x:v>
      </x:c>
      <x:c r="V52" s="84" t="str">
        <x:v>弱根受制</x:v>
      </x:c>
      <x:c r="W52" s="84" t="str">
        <x:v>日主承载偏弱时，同等官杀压力更容易形成身弱结论。</x:v>
      </x:c>
      <x:c r="X52" s="82" t="str">
        <x:v>较高</x:v>
      </x:c>
      <x:c r="Y52" s="82" t="str">
        <x:v>现代综合</x:v>
      </x:c>
      <x:c r="Z52" s="68" t="str">
        <x:v>受制按官杀对应五行的有效力量、直接作用通路与制化后的剩余压力判断，不按官杀数量机械计权。</x:v>
      </x:c>
      <x:c r="AA52" s="68" t="str">
        <x:v>正例：当“官杀有效且日主有效根少或弱”真实成立，且必要条件与增强条件同向时，按“日主根弱时同等官杀压力的伤害更显著”记录对应旺衰证据。</x:v>
      </x:c>
      <x:c r="AB52" s="90" t="str">
        <x:v>反例：只有表面条件，但出现“禁止用固定百分比量化伤害”或关键有效性未成立时，不得套用本规则。</x:v>
      </x:c>
      <x:c r="AC52" s="68" t="str">
        <x:v>https://zh.wikisource.org/wiki/%E6%B7%B5%E6%B5%B7%E5%AD%90%E5%B9%B3%E5%A4%A7%E5%85%A8 ; https://zh.wikisource.org/wiki/%E6%BB%B4%E5%A4%A9%E9%AB%93%E9%97%A1%E5%BE%AE</x:v>
      </x:c>
      <x:c r="AD52" s="82" t="str">
        <x:v>采用</x:v>
      </x:c>
      <x:c r="AE52" s="82" t="str">
        <x:v>初审</x:v>
      </x:c>
      <x:c r="AF52" s="87" t="n">
        <x:v>46255</x:v>
      </x:c>
    </x:row>
    <x:row r="53">
      <x:c r="A53" s="72" t="str">
        <x:f>IF(OR(C53="",D53=""),"",B53&amp;"-"&amp;UPPER(C53)&amp;"-"&amp;TEXT(D53,"0000")&amp;"-"&amp;E53)</x:f>
        <x:v>M09-KE-0047-V1.0</x:v>
      </x:c>
      <x:c r="B53" s="74" t="str">
        <x:v>M09</x:v>
      </x:c>
      <x:c r="C53" s="74" t="str">
        <x:v>KE</x:v>
      </x:c>
      <x:c r="D53" s="79" t="n">
        <x:v>47</x:v>
      </x:c>
      <x:c r="E53" s="74" t="str">
        <x:v>V1.0</x:v>
      </x:c>
      <x:c r="F53" s="68" t="str">
        <x:v>日主强根得势时可承受一定官杀而不必判弱</x:v>
      </x:c>
      <x:c r="G53" s="82" t="str">
        <x:v>综合层</x:v>
      </x:c>
      <x:c r="H53" s="68" t="str">
        <x:v>受制</x:v>
      </x:c>
      <x:c r="I53" s="68" t="str">
        <x:v>中和约束</x:v>
      </x:c>
      <x:c r="J53" s="68" t="str">
        <x:v>日主多根得势，同时存在中等官杀压力</x:v>
      </x:c>
      <x:c r="K53" s="68" t="str">
        <x:v>高</x:v>
      </x:c>
      <x:c r="L53" s="82" t="str">
        <x:v>中</x:v>
      </x:c>
      <x:c r="M53" s="68" t="str">
        <x:v>M08完成</x:v>
      </x:c>
      <x:c r="N53" s="68" t="str">
        <x:v>扶身侧有明显承载</x:v>
      </x:c>
      <x:c r="O53" s="68" t="str">
        <x:v>印比持续有效</x:v>
      </x:c>
      <x:c r="P53" s="68" t="str">
        <x:v>官杀极旺成势或根气被破坏</x:v>
      </x:c>
      <x:c r="Q53" s="90" t="str">
        <x:v>禁止“见官杀=身弱”</x:v>
      </x:c>
      <x:c r="R53" s="68" t="str">
        <x:v>格局功能转M14/M15</x:v>
      </x:c>
      <x:c r="S53" s="68" t="str">
        <x:v>强日主受适度官杀可能仍在中和偏旺或中和</x:v>
      </x:c>
      <x:c r="T53" s="82" t="str">
        <x:v>否</x:v>
      </x:c>
      <x:c r="U53" s="82" t="str">
        <x:v>中和</x:v>
      </x:c>
      <x:c r="V53" s="84" t="str">
        <x:v>强身承压</x:v>
      </x:c>
      <x:c r="W53" s="84" t="str">
        <x:v>日主根深得势时可承受一定官杀，不能因存在官杀就直接判弱。</x:v>
      </x:c>
      <x:c r="X53" s="82" t="str">
        <x:v>较高</x:v>
      </x:c>
      <x:c r="Y53" s="82" t="str">
        <x:v>现代综合</x:v>
      </x:c>
      <x:c r="Z53" s="68" t="str">
        <x:v>受制按官杀对应五行的有效力量、直接作用通路与制化后的剩余压力判断，不按官杀数量机械计权。</x:v>
      </x:c>
      <x:c r="AA53" s="68" t="str">
        <x:v>正例：当“日主多根得势，同时存在中等官杀压力”真实成立，且必要条件与增强条件同向时，按“日主强根得势时可承受一定官杀而不必判弱”记录对应旺衰证据。</x:v>
      </x:c>
      <x:c r="AB53" s="90" t="str">
        <x:v>反例：只有表面条件，但出现“禁止“见官杀=身弱””或关键有效性未成立时，不得套用本规则。</x:v>
      </x:c>
      <x:c r="AC53" s="68" t="str">
        <x:v>https://zh.wikisource.org/wiki/%E6%B7%B5%E6%B5%B7%E5%AD%90%E5%B9%B3%E5%A4%A7%E5%85%A8 ; https://zh.wikisource.org/wiki/%E6%BB%B4%E5%A4%A9%E9%AB%93%E9%97%A1%E5%BE%AE</x:v>
      </x:c>
      <x:c r="AD53" s="82" t="str">
        <x:v>采用</x:v>
      </x:c>
      <x:c r="AE53" s="82" t="str">
        <x:v>初审</x:v>
      </x:c>
      <x:c r="AF53" s="87" t="n">
        <x:v>46255</x:v>
      </x:c>
    </x:row>
    <x:row r="54">
      <x:c r="A54" s="72" t="str">
        <x:f>IF(OR(C54="",D54=""),"",B54&amp;"-"&amp;UPPER(C54)&amp;"-"&amp;TEXT(D54,"0000")&amp;"-"&amp;E54)</x:f>
        <x:v>M09-KE-0048-V1.0</x:v>
      </x:c>
      <x:c r="B54" s="74" t="str">
        <x:v>M09</x:v>
      </x:c>
      <x:c r="C54" s="74" t="str">
        <x:v>KE</x:v>
      </x:c>
      <x:c r="D54" s="79" t="n">
        <x:v>48</x:v>
      </x:c>
      <x:c r="E54" s="74" t="str">
        <x:v>V1.0</x:v>
      </x:c>
      <x:c r="F54" s="68" t="str">
        <x:v>多个官杀压力共享同一来源时按容量去重</x:v>
      </x:c>
      <x:c r="G54" s="82" t="str">
        <x:v>综合层</x:v>
      </x:c>
      <x:c r="H54" s="68" t="str">
        <x:v>受制</x:v>
      </x:c>
      <x:c r="I54" s="68" t="str">
        <x:v>证据去重</x:v>
      </x:c>
      <x:c r="J54" s="68" t="str">
        <x:v>多个官杀节点主要依赖同一根或同一生源</x:v>
      </x:c>
      <x:c r="K54" s="68" t="str">
        <x:v>中高</x:v>
      </x:c>
      <x:c r="L54" s="82" t="str">
        <x:v>中</x:v>
      </x:c>
      <x:c r="M54" s="68" t="str">
        <x:v>M08完成</x:v>
      </x:c>
      <x:c r="N54" s="68" t="str">
        <x:v>来源依赖关系已识别</x:v>
      </x:c>
      <x:c r="O54" s="68" t="str">
        <x:v>另有独立官杀根源</x:v>
      </x:c>
      <x:c r="P54" s="68"/>
      <x:c r="Q54" s="90" t="str">
        <x:v>禁止同一有限来源被多个官杀节点重复全额调用</x:v>
      </x:c>
      <x:c r="R54" s="68" t="str">
        <x:v>成局改性按M08</x:v>
      </x:c>
      <x:c r="S54" s="68" t="str">
        <x:v>独立来源才代表新增压力容量</x:v>
      </x:c>
      <x:c r="T54" s="82" t="str">
        <x:v>是</x:v>
      </x:c>
      <x:c r="U54" s="82" t="str">
        <x:v>中和偏弱</x:v>
      </x:c>
      <x:c r="V54" s="84" t="str">
        <x:v>官杀容量去重</x:v>
      </x:c>
      <x:c r="W54" s="84" t="str">
        <x:v>官杀多处出现但共享同一有限来源时，制身压力需去重计入。</x:v>
      </x:c>
      <x:c r="X54" s="82" t="str">
        <x:v>较高</x:v>
      </x:c>
      <x:c r="Y54" s="82" t="str">
        <x:v>现代综合</x:v>
      </x:c>
      <x:c r="Z54" s="68" t="str">
        <x:v>受制按官杀对应五行的有效力量、直接作用通路与制化后的剩余压力判断，不按官杀数量机械计权。</x:v>
      </x:c>
      <x:c r="AA54" s="68" t="str">
        <x:v>正例：当“多个官杀节点主要依赖同一根或同一生源”真实成立，且必要条件与增强条件同向时，按“多个官杀压力共享同一来源时按容量去重”记录对应旺衰证据。</x:v>
      </x:c>
      <x:c r="AB54" s="90" t="str">
        <x:v>反例：只有表面条件，但出现“禁止同一有限来源被多个官杀节点重复全额调用”或关键有效性未成立时，不得套用本规则。</x:v>
      </x:c>
      <x:c r="AC54" s="68" t="str">
        <x:v>https://zh.wikisource.org/wiki/%E6%B7%B5%E6%B5%B7%E5%AD%90%E5%B9%B3%E5%A4%A7%E5%85%A8 ; https://zh.wikisource.org/wiki/%E6%BB%B4%E5%A4%A9%E9%AB%93%E9%97%A1%E5%BE%AE</x:v>
      </x:c>
      <x:c r="AD54" s="82" t="str">
        <x:v>采用</x:v>
      </x:c>
      <x:c r="AE54" s="82" t="str">
        <x:v>初审</x:v>
      </x:c>
      <x:c r="AF54" s="87" t="n">
        <x:v>46255</x:v>
      </x:c>
    </x:row>
    <x:row r="55">
      <x:c r="A55" s="72" t="str">
        <x:f>IF(OR(C55="",D55=""),"",B55&amp;"-"&amp;UPPER(C55)&amp;"-"&amp;TEXT(D55,"0000")&amp;"-"&amp;E55)</x:f>
        <x:v>M09-XIE-0049-V1.0</x:v>
      </x:c>
      <x:c r="B55" s="74" t="str">
        <x:v>M09</x:v>
      </x:c>
      <x:c r="C55" s="74" t="str">
        <x:v>XIE</x:v>
      </x:c>
      <x:c r="D55" s="79" t="n">
        <x:v>49</x:v>
      </x:c>
      <x:c r="E55" s="74" t="str">
        <x:v>V1.0</x:v>
      </x:c>
      <x:c r="F55" s="68" t="str">
        <x:v>有效食伤泄身构成日主偏弱证据</x:v>
      </x:c>
      <x:c r="G55" s="82" t="str">
        <x:v>综合层</x:v>
      </x:c>
      <x:c r="H55" s="68" t="str">
        <x:v>受泄</x:v>
      </x:c>
      <x:c r="I55" s="68" t="str">
        <x:v>支持偏弱</x:v>
      </x:c>
      <x:c r="J55" s="68" t="str">
        <x:v>M08确认日主所生五行有效且有泄出通路</x:v>
      </x:c>
      <x:c r="K55" s="68" t="str">
        <x:v>高</x:v>
      </x:c>
      <x:c r="L55" s="82" t="str">
        <x:v>强</x:v>
      </x:c>
      <x:c r="M55" s="68" t="str">
        <x:v>M08完成</x:v>
      </x:c>
      <x:c r="N55" s="68" t="str">
        <x:v>食伤对应五行真实有力</x:v>
      </x:c>
      <x:c r="O55" s="68" t="str">
        <x:v>食伤得令、通根、透达</x:v>
      </x:c>
      <x:c r="P55" s="68" t="str">
        <x:v>食伤被印制、合绊或无根</x:v>
      </x:c>
      <x:c r="Q55" s="90" t="str">
        <x:v>禁止食伤出现即判泄身强</x:v>
      </x:c>
      <x:c r="R55" s="68" t="str">
        <x:v>食伤功能转M10</x:v>
      </x:c>
      <x:c r="S55" s="68" t="str">
        <x:v>日主根越弱、食伤越旺，泄身影响越大</x:v>
      </x:c>
      <x:c r="T55" s="82" t="str">
        <x:v>否</x:v>
      </x:c>
      <x:c r="U55" s="82" t="str">
        <x:v>中和偏弱</x:v>
      </x:c>
      <x:c r="V55" s="84" t="str">
        <x:v>食伤泄身</x:v>
      </x:c>
      <x:c r="W55" s="84" t="str">
        <x:v>日主有有效食伤泄出，是偏弱证据；强度取决于食伤有效力量与日主承载。</x:v>
      </x:c>
      <x:c r="X55" s="82" t="str">
        <x:v>较高</x:v>
      </x:c>
      <x:c r="Y55" s="82" t="str">
        <x:v>现代综合</x:v>
      </x:c>
      <x:c r="Z55" s="68" t="str">
        <x:v>受泄按食伤有效力量与日主承载比较；泄身与克身机制不同，连续泄耗链还需服从源头容量。</x:v>
      </x:c>
      <x:c r="AA55" s="68" t="str">
        <x:v>正例：当“M08确认日主所生五行有效且有泄出通路”真实成立，且必要条件与增强条件同向时，按“有效食伤泄身构成日主偏弱证据”记录对应旺衰证据。</x:v>
      </x:c>
      <x:c r="AB55" s="90" t="str">
        <x:v>反例：只有表面条件，但出现“禁止食伤出现即判泄身强”或关键有效性未成立时，不得套用本规则。</x:v>
      </x:c>
      <x:c r="AC55" s="68" t="str">
        <x:v>https://zh.wikisource.org/wiki/%E6%B7%B5%E6%B5%B7%E5%AD%90%E5%B9%B3%E5%A4%A7%E5%85%A8 ; https://zh.wikisource.org/wiki/%E6%BB%B4%E5%A4%A9%E9%AB%93%E9%97%A1%E5%BE%AE</x:v>
      </x:c>
      <x:c r="AD55" s="82" t="str">
        <x:v>采用</x:v>
      </x:c>
      <x:c r="AE55" s="82" t="str">
        <x:v>初审</x:v>
      </x:c>
      <x:c r="AF55" s="87" t="n">
        <x:v>46255</x:v>
      </x:c>
    </x:row>
    <x:row r="56">
      <x:c r="A56" s="72" t="str">
        <x:f>IF(OR(C56="",D56=""),"",B56&amp;"-"&amp;UPPER(C56)&amp;"-"&amp;TEXT(D56,"0000")&amp;"-"&amp;E56)</x:f>
        <x:v>M09-XIE-0050-V1.0</x:v>
      </x:c>
      <x:c r="B56" s="74" t="str">
        <x:v>M09</x:v>
      </x:c>
      <x:c r="C56" s="74" t="str">
        <x:v>XIE</x:v>
      </x:c>
      <x:c r="D56" s="79" t="n">
        <x:v>50</x:v>
      </x:c>
      <x:c r="E56" s="74" t="str">
        <x:v>V1.0</x:v>
      </x:c>
      <x:c r="F56" s="68" t="str">
        <x:v>食伤数量多但有效性低时不得按强泄处理</x:v>
      </x:c>
      <x:c r="G56" s="82" t="str">
        <x:v>综合层</x:v>
      </x:c>
      <x:c r="H56" s="68" t="str">
        <x:v>受泄</x:v>
      </x:c>
      <x:c r="I56" s="68" t="str">
        <x:v>条件性支持偏弱</x:v>
      </x:c>
      <x:c r="J56" s="68" t="str">
        <x:v>食伤多现但M08判弱或失效</x:v>
      </x:c>
      <x:c r="K56" s="68" t="str">
        <x:v>中</x:v>
      </x:c>
      <x:c r="L56" s="82" t="str">
        <x:v>中</x:v>
      </x:c>
      <x:c r="M56" s="68" t="str">
        <x:v>M08完成</x:v>
      </x:c>
      <x:c r="N56" s="68" t="str">
        <x:v>多数食伤节点弱</x:v>
      </x:c>
      <x:c r="O56" s="68"/>
      <x:c r="P56" s="68" t="str">
        <x:v>食伤得令成势</x:v>
      </x:c>
      <x:c r="Q56" s="90" t="str">
        <x:v>禁止按数量机械判身弱</x:v>
      </x:c>
      <x:c r="R56" s="68" t="str">
        <x:v>十神混杂另审</x:v>
      </x:c>
      <x:c r="S56" s="68" t="str">
        <x:v>弱食伤可形成表达通路但未必造成明显泄身</x:v>
      </x:c>
      <x:c r="T56" s="82" t="str">
        <x:v>否</x:v>
      </x:c>
      <x:c r="U56" s="82" t="str">
        <x:v>中和</x:v>
      </x:c>
      <x:c r="V56" s="84" t="str">
        <x:v>食伤质量优先</x:v>
      </x:c>
      <x:c r="W56" s="84" t="str">
        <x:v>食伤数量多但有效力量低，泄身证据应按实际质量而非数量计入。</x:v>
      </x:c>
      <x:c r="X56" s="82" t="str">
        <x:v>较高</x:v>
      </x:c>
      <x:c r="Y56" s="82" t="str">
        <x:v>现代综合</x:v>
      </x:c>
      <x:c r="Z56" s="68" t="str">
        <x:v>受泄按食伤有效力量与日主承载比较；泄身与克身机制不同，连续泄耗链还需服从源头容量。</x:v>
      </x:c>
      <x:c r="AA56" s="68" t="str">
        <x:v>正例：当“食伤多现但M08判弱或失效”真实成立，且必要条件与增强条件同向时，按“食伤数量多但有效性低时不得按强泄处理”记录对应旺衰证据。</x:v>
      </x:c>
      <x:c r="AB56" s="90" t="str">
        <x:v>反例：只有表面条件，但出现“禁止按数量机械判身弱”或关键有效性未成立时，不得套用本规则。</x:v>
      </x:c>
      <x:c r="AC56" s="68" t="str">
        <x:v>https://zh.wikisource.org/wiki/%E6%B7%B5%E6%B5%B7%E5%AD%90%E5%B9%B3%E5%A4%A7%E5%85%A8 ; https://zh.wikisource.org/wiki/%E6%BB%B4%E5%A4%A9%E9%AB%93%E9%97%A1%E5%BE%AE</x:v>
      </x:c>
      <x:c r="AD56" s="82" t="str">
        <x:v>采用</x:v>
      </x:c>
      <x:c r="AE56" s="82" t="str">
        <x:v>初审</x:v>
      </x:c>
      <x:c r="AF56" s="87" t="n">
        <x:v>46255</x:v>
      </x:c>
    </x:row>
    <x:row r="57">
      <x:c r="A57" s="72" t="str">
        <x:f>IF(OR(C57="",D57=""),"",B57&amp;"-"&amp;UPPER(C57)&amp;"-"&amp;TEXT(D57,"0000")&amp;"-"&amp;E57)</x:f>
        <x:v>M09-XIE-0051-V1.0</x:v>
      </x:c>
      <x:c r="B57" s="74" t="str">
        <x:v>M09</x:v>
      </x:c>
      <x:c r="C57" s="74" t="str">
        <x:v>XIE</x:v>
      </x:c>
      <x:c r="D57" s="79" t="n">
        <x:v>51</x:v>
      </x:c>
      <x:c r="E57" s="74" t="str">
        <x:v>V1.0</x:v>
      </x:c>
      <x:c r="F57" s="68" t="str">
        <x:v>强根日主可承受中等泄身而保持中和以上</x:v>
      </x:c>
      <x:c r="G57" s="82" t="str">
        <x:v>综合层</x:v>
      </x:c>
      <x:c r="H57" s="68" t="str">
        <x:v>受泄</x:v>
      </x:c>
      <x:c r="I57" s="68" t="str">
        <x:v>中和约束</x:v>
      </x:c>
      <x:c r="J57" s="68" t="str">
        <x:v>日主多根得势，食伤为中等有效</x:v>
      </x:c>
      <x:c r="K57" s="68" t="str">
        <x:v>中高</x:v>
      </x:c>
      <x:c r="L57" s="82" t="str">
        <x:v>中</x:v>
      </x:c>
      <x:c r="M57" s="68" t="str">
        <x:v>M08完成</x:v>
      </x:c>
      <x:c r="N57" s="68" t="str">
        <x:v>日主承载强</x:v>
      </x:c>
      <x:c r="O57" s="68" t="str">
        <x:v>同时有印比补给</x:v>
      </x:c>
      <x:c r="P57" s="68" t="str">
        <x:v>食伤极旺且财再承接</x:v>
      </x:c>
      <x:c r="Q57" s="90" t="str">
        <x:v>禁止“食伤旺=日主弱”</x:v>
      </x:c>
      <x:c r="R57" s="68" t="str">
        <x:v>格局泄秀转M11/M14</x:v>
      </x:c>
      <x:c r="S57" s="68" t="str">
        <x:v>适度泄身可能只降低过旺程度</x:v>
      </x:c>
      <x:c r="T57" s="82" t="str">
        <x:v>否</x:v>
      </x:c>
      <x:c r="U57" s="82" t="str">
        <x:v>中和偏旺</x:v>
      </x:c>
      <x:c r="V57" s="84" t="str">
        <x:v>强身可泄</x:v>
      </x:c>
      <x:c r="W57" s="84" t="str">
        <x:v>日主根深得势时，中等食伤泄出未必使其转弱，可能仅由旺降至偏旺或中和。</x:v>
      </x:c>
      <x:c r="X57" s="82" t="str">
        <x:v>较高</x:v>
      </x:c>
      <x:c r="Y57" s="82" t="str">
        <x:v>现代综合</x:v>
      </x:c>
      <x:c r="Z57" s="68" t="str">
        <x:v>受泄按食伤有效力量与日主承载比较；泄身与克身机制不同，连续泄耗链还需服从源头容量。</x:v>
      </x:c>
      <x:c r="AA57" s="68" t="str">
        <x:v>正例：当“日主多根得势，食伤为中等有效”真实成立，且必要条件与增强条件同向时，按“强根日主可承受中等泄身而保持中和以上”记录对应旺衰证据。</x:v>
      </x:c>
      <x:c r="AB57" s="90" t="str">
        <x:v>反例：只有表面条件，但出现“禁止“食伤旺=日主弱””或关键有效性未成立时，不得套用本规则。</x:v>
      </x:c>
      <x:c r="AC57" s="68" t="str">
        <x:v>https://zh.wikisource.org/wiki/%E6%B7%B5%E6%B5%B7%E5%AD%90%E5%B9%B3%E5%A4%A7%E5%85%A8 ; https://zh.wikisource.org/wiki/%E6%BB%B4%E5%A4%A9%E9%AB%93%E9%97%A1%E5%BE%AE</x:v>
      </x:c>
      <x:c r="AD57" s="82" t="str">
        <x:v>采用</x:v>
      </x:c>
      <x:c r="AE57" s="82" t="str">
        <x:v>初审</x:v>
      </x:c>
      <x:c r="AF57" s="87" t="n">
        <x:v>46255</x:v>
      </x:c>
    </x:row>
    <x:row r="58">
      <x:c r="A58" s="72" t="str">
        <x:f>IF(OR(C58="",D58=""),"",B58&amp;"-"&amp;UPPER(C58)&amp;"-"&amp;TEXT(D58,"0000")&amp;"-"&amp;E58)</x:f>
        <x:v>M09-XIE-0052-V1.0</x:v>
      </x:c>
      <x:c r="B58" s="74" t="str">
        <x:v>M09</x:v>
      </x:c>
      <x:c r="C58" s="74" t="str">
        <x:v>XIE</x:v>
      </x:c>
      <x:c r="D58" s="79" t="n">
        <x:v>52</x:v>
      </x:c>
      <x:c r="E58" s="74" t="str">
        <x:v>V1.0</x:v>
      </x:c>
      <x:c r="F58" s="68" t="str">
        <x:v>食伤成势且日主根弱时可形成决定性泄身</x:v>
      </x:c>
      <x:c r="G58" s="82" t="str">
        <x:v>综合层</x:v>
      </x:c>
      <x:c r="H58" s="68" t="str">
        <x:v>受泄</x:v>
      </x:c>
      <x:c r="I58" s="68" t="str">
        <x:v>支持偏弱</x:v>
      </x:c>
      <x:c r="J58" s="68" t="str">
        <x:v>食伤五行旺/极旺且日主根气弱</x:v>
      </x:c>
      <x:c r="K58" s="68" t="str">
        <x:v>高</x:v>
      </x:c>
      <x:c r="L58" s="82" t="str">
        <x:v>决定性</x:v>
      </x:c>
      <x:c r="M58" s="68" t="str">
        <x:v>M08完成</x:v>
      </x:c>
      <x:c r="N58" s="68" t="str">
        <x:v>泄出通路连续</x:v>
      </x:c>
      <x:c r="O58" s="68" t="str">
        <x:v>食伤得令多根、财星承接</x:v>
      </x:c>
      <x:c r="P58" s="68" t="str">
        <x:v>食伤被强印制或合化转性</x:v>
      </x:c>
      <x:c r="Q58" s="90" t="str">
        <x:v>不得忽略印星对食伤的有效制约</x:v>
      </x:c>
      <x:c r="R58" s="68" t="str">
        <x:v>从儿候选转M14</x:v>
      </x:c>
      <x:c r="S58" s="68" t="str">
        <x:v>极端单向泄出可能触发特殊格局候选</x:v>
      </x:c>
      <x:c r="T58" s="82" t="str">
        <x:v>否</x:v>
      </x:c>
      <x:c r="U58" s="82" t="str">
        <x:v>弱</x:v>
      </x:c>
      <x:c r="V58" s="84" t="str">
        <x:v>食伤成势</x:v>
      </x:c>
      <x:c r="W58" s="84" t="str">
        <x:v>食伤有效成势而日主承载弱时，泄身压力可成为主导。</x:v>
      </x:c>
      <x:c r="X58" s="82" t="str">
        <x:v>较高</x:v>
      </x:c>
      <x:c r="Y58" s="82" t="str">
        <x:v>现代综合</x:v>
      </x:c>
      <x:c r="Z58" s="68" t="str">
        <x:v>受泄按食伤有效力量与日主承载比较；泄身与克身机制不同，连续泄耗链还需服从源头容量。</x:v>
      </x:c>
      <x:c r="AA58" s="68" t="str">
        <x:v>正例：当“食伤五行旺/极旺且日主根气弱”真实成立，且必要条件与增强条件同向时，按“食伤成势且日主根弱时可形成决定性泄身”记录对应旺衰证据。</x:v>
      </x:c>
      <x:c r="AB58" s="90" t="str">
        <x:v>反例：只有表面条件，但出现“不得忽略印星对食伤的有效制约”或关键有效性未成立时，不得套用本规则。</x:v>
      </x:c>
      <x:c r="AC58" s="68" t="str">
        <x:v>https://zh.wikisource.org/wiki/%E6%B7%B5%E6%B5%B7%E5%AD%90%E5%B9%B3%E5%A4%A7%E5%85%A8 ; https://zh.wikisource.org/wiki/%E6%BB%B4%E5%A4%A9%E9%AB%93%E9%97%A1%E5%BE%AE</x:v>
      </x:c>
      <x:c r="AD58" s="82" t="str">
        <x:v>采用</x:v>
      </x:c>
      <x:c r="AE58" s="82" t="str">
        <x:v>初审</x:v>
      </x:c>
      <x:c r="AF58" s="87" t="n">
        <x:v>46255</x:v>
      </x:c>
    </x:row>
    <x:row r="59">
      <x:c r="A59" s="72" t="str">
        <x:f>IF(OR(C59="",D59=""),"",B59&amp;"-"&amp;UPPER(C59)&amp;"-"&amp;TEXT(D59,"0000")&amp;"-"&amp;E59)</x:f>
        <x:v>M09-XIE-0053-V1.0</x:v>
      </x:c>
      <x:c r="B59" s="74" t="str">
        <x:v>M09</x:v>
      </x:c>
      <x:c r="C59" s="74" t="str">
        <x:v>XIE</x:v>
      </x:c>
      <x:c r="D59" s="79" t="n">
        <x:v>53</x:v>
      </x:c>
      <x:c r="E59" s="74" t="str">
        <x:v>V1.0</x:v>
      </x:c>
      <x:c r="F59" s="68" t="str">
        <x:v>食伤被强印制约时按剩余泄力计入</x:v>
      </x:c>
      <x:c r="G59" s="82" t="str">
        <x:v>综合层</x:v>
      </x:c>
      <x:c r="H59" s="68" t="str">
        <x:v>受泄</x:v>
      </x:c>
      <x:c r="I59" s="68" t="str">
        <x:v>减弱偏弱证据</x:v>
      </x:c>
      <x:c r="J59" s="68" t="str">
        <x:v>M08确认食伤被有效印星克制或冻结</x:v>
      </x:c>
      <x:c r="K59" s="68" t="str">
        <x:v>高</x:v>
      </x:c>
      <x:c r="L59" s="82" t="str">
        <x:v>强</x:v>
      </x:c>
      <x:c r="M59" s="68" t="str">
        <x:v>M08完成</x:v>
      </x:c>
      <x:c r="N59" s="68" t="str">
        <x:v>印制真实有效</x:v>
      </x:c>
      <x:c r="O59" s="68" t="str">
        <x:v>印得令有根</x:v>
      </x:c>
      <x:c r="P59" s="68" t="str">
        <x:v>印弱、被财破或制约不及</x:v>
      </x:c>
      <x:c r="Q59" s="90" t="str">
        <x:v>禁止同时按食伤原旺度和受制后旺度双计</x:v>
      </x:c>
      <x:c r="R59" s="68" t="str">
        <x:v>枭夺食等功能转M10/M11</x:v>
      </x:c>
      <x:c r="S59" s="68" t="str">
        <x:v>食伤剩余力量越低，泄身证据越弱</x:v>
      </x:c>
      <x:c r="T59" s="82" t="str">
        <x:v>是</x:v>
      </x:c>
      <x:c r="U59" s="82" t="str">
        <x:v>中和</x:v>
      </x:c>
      <x:c r="V59" s="84" t="str">
        <x:v>食伤泄力修正</x:v>
      </x:c>
      <x:c r="W59" s="84" t="str">
        <x:v>食伤已受有效制约，日主只按其剩余泄力承受影响。</x:v>
      </x:c>
      <x:c r="X59" s="82" t="str">
        <x:v>较高</x:v>
      </x:c>
      <x:c r="Y59" s="82" t="str">
        <x:v>现代综合</x:v>
      </x:c>
      <x:c r="Z59" s="68" t="str">
        <x:v>受泄按食伤有效力量与日主承载比较；泄身与克身机制不同，连续泄耗链还需服从源头容量。</x:v>
      </x:c>
      <x:c r="AA59" s="68" t="str">
        <x:v>正例：当“M08确认食伤被有效印星克制或冻结”真实成立，且必要条件与增强条件同向时，按“食伤被强印制约时按剩余泄力计入”记录对应旺衰证据。</x:v>
      </x:c>
      <x:c r="AB59" s="90" t="str">
        <x:v>反例：只有表面条件，但出现“禁止同时按食伤原旺度和受制后旺度双计”或关键有效性未成立时，不得套用本规则。</x:v>
      </x:c>
      <x:c r="AC59" s="68" t="str">
        <x:v>https://zh.wikisource.org/wiki/%E6%B7%B5%E6%B5%B7%E5%AD%90%E5%B9%B3%E5%A4%A7%E5%85%A8 ; https://zh.wikisource.org/wiki/%E6%BB%B4%E5%A4%A9%E9%AB%93%E9%97%A1%E5%BE%AE</x:v>
      </x:c>
      <x:c r="AD59" s="82" t="str">
        <x:v>采用</x:v>
      </x:c>
      <x:c r="AE59" s="82" t="str">
        <x:v>初审</x:v>
      </x:c>
      <x:c r="AF59" s="87" t="n">
        <x:v>46255</x:v>
      </x:c>
    </x:row>
    <x:row r="60">
      <x:c r="A60" s="72" t="str">
        <x:f>IF(OR(C60="",D60=""),"",B60&amp;"-"&amp;UPPER(C60)&amp;"-"&amp;TEXT(D60,"0000")&amp;"-"&amp;E60)</x:f>
        <x:v>M09-XIE-0054-V1.0</x:v>
      </x:c>
      <x:c r="B60" s="74" t="str">
        <x:v>M09</x:v>
      </x:c>
      <x:c r="C60" s="74" t="str">
        <x:v>XIE</x:v>
      </x:c>
      <x:c r="D60" s="79" t="n">
        <x:v>54</x:v>
      </x:c>
      <x:c r="E60" s="74" t="str">
        <x:v>V1.0</x:v>
      </x:c>
      <x:c r="F60" s="68" t="str">
        <x:v>食伤继续生财形成连续外泄时总耗泄需看链路有效性</x:v>
      </x:c>
      <x:c r="G60" s="82" t="str">
        <x:v>综合层</x:v>
      </x:c>
      <x:c r="H60" s="68" t="str">
        <x:v>受泄</x:v>
      </x:c>
      <x:c r="I60" s="68" t="str">
        <x:v>支持偏弱</x:v>
      </x:c>
      <x:c r="J60" s="68" t="str">
        <x:v>日主→食伤→财的连续路径在M08中有效</x:v>
      </x:c>
      <x:c r="K60" s="68" t="str">
        <x:v>中高</x:v>
      </x:c>
      <x:c r="L60" s="82" t="str">
        <x:v>强</x:v>
      </x:c>
      <x:c r="M60" s="68" t="str">
        <x:v>M08完成</x:v>
      </x:c>
      <x:c r="N60" s="68" t="str">
        <x:v>食伤与财均能承接</x:v>
      </x:c>
      <x:c r="O60" s="68" t="str">
        <x:v>链条短且财有根</x:v>
      </x:c>
      <x:c r="P60" s="68" t="str">
        <x:v>财弱、桥断或食伤被制</x:v>
      </x:c>
      <x:c r="Q60" s="90" t="str">
        <x:v>禁止把泄与耗简单相加为固定分数</x:v>
      </x:c>
      <x:c r="R60" s="68" t="str">
        <x:v>完整流通转M12</x:v>
      </x:c>
      <x:c r="S60" s="68" t="str">
        <x:v>连续外泄比单一食伤泄身更容易降低日主有效承载</x:v>
      </x:c>
      <x:c r="T60" s="82" t="str">
        <x:v>否</x:v>
      </x:c>
      <x:c r="U60" s="82" t="str">
        <x:v>弱</x:v>
      </x:c>
      <x:c r="V60" s="84" t="str">
        <x:v>连续泄耗</x:v>
      </x:c>
      <x:c r="W60" s="84" t="str">
        <x:v>食伤生财路径有效时，日主力量可持续向外传递；需同时考虑泄与耗的连续性。</x:v>
      </x:c>
      <x:c r="X60" s="82" t="str">
        <x:v>较高</x:v>
      </x:c>
      <x:c r="Y60" s="82" t="str">
        <x:v>现代综合</x:v>
      </x:c>
      <x:c r="Z60" s="68" t="str">
        <x:v>受泄按食伤有效力量与日主承载比较；泄身与克身机制不同，连续泄耗链还需服从源头容量。</x:v>
      </x:c>
      <x:c r="AA60" s="68" t="str">
        <x:v>正例：当“日主→食伤→财的连续路径在M08中有效”真实成立，且必要条件与增强条件同向时，按“食伤继续生财形成连续外泄时总耗泄需看链路有效性”记录对应旺衰证据。</x:v>
      </x:c>
      <x:c r="AB60" s="90" t="str">
        <x:v>反例：只有表面条件，但出现“禁止把泄与耗简单相加为固定分数”或关键有效性未成立时，不得套用本规则。</x:v>
      </x:c>
      <x:c r="AC60" s="68" t="str">
        <x:v>https://zh.wikisource.org/wiki/%E6%B7%B5%E6%B5%B7%E5%AD%90%E5%B9%B3%E5%A4%A7%E5%85%A8 ; https://zh.wikisource.org/wiki/%E6%BB%B4%E5%A4%A9%E9%AB%93%E9%97%A1%E5%BE%AE</x:v>
      </x:c>
      <x:c r="AD60" s="82" t="str">
        <x:v>采用</x:v>
      </x:c>
      <x:c r="AE60" s="82" t="str">
        <x:v>初审</x:v>
      </x:c>
      <x:c r="AF60" s="87" t="n">
        <x:v>46255</x:v>
      </x:c>
    </x:row>
    <x:row r="61">
      <x:c r="A61" s="72" t="str">
        <x:f>IF(OR(C61="",D61=""),"",B61&amp;"-"&amp;UPPER(C61)&amp;"-"&amp;TEXT(D61,"0000")&amp;"-"&amp;E61)</x:f>
        <x:v>M09-XIE-0055-V1.0</x:v>
      </x:c>
      <x:c r="B61" s="74" t="str">
        <x:v>M09</x:v>
      </x:c>
      <x:c r="C61" s="74" t="str">
        <x:v>XIE</x:v>
      </x:c>
      <x:c r="D61" s="79" t="n">
        <x:v>55</x:v>
      </x:c>
      <x:c r="E61" s="74" t="str">
        <x:v>V1.0</x:v>
      </x:c>
      <x:c r="F61" s="68" t="str">
        <x:v>泄身与克身性质不同但均属于负荷侧</x:v>
      </x:c>
      <x:c r="G61" s="82" t="str">
        <x:v>综合层</x:v>
      </x:c>
      <x:c r="H61" s="68" t="str">
        <x:v>受泄</x:v>
      </x:c>
      <x:c r="I61" s="68" t="str">
        <x:v>边界</x:v>
      </x:c>
      <x:c r="J61" s="68" t="str">
        <x:v>综合旺衰比较</x:v>
      </x:c>
      <x:c r="K61" s="68" t="str">
        <x:v>中</x:v>
      </x:c>
      <x:c r="L61" s="82" t="str">
        <x:v>中</x:v>
      </x:c>
      <x:c r="M61" s="68" t="str">
        <x:v>M08完成</x:v>
      </x:c>
      <x:c r="N61" s="68" t="str">
        <x:v>食伤与官杀已分别评估</x:v>
      </x:c>
      <x:c r="O61" s="68"/>
      <x:c r="P61" s="68"/>
      <x:c r="Q61" s="90" t="str">
        <x:v>禁止把泄与克完全等同或重复计算</x:v>
      </x:c>
      <x:c r="R61" s="68"/>
      <x:c r="S61" s="68" t="str">
        <x:v>泄偏向输出消耗，克偏向外部制约，二者作用机制不同</x:v>
      </x:c>
      <x:c r="T61" s="82" t="str">
        <x:v>是</x:v>
      </x:c>
      <x:c r="U61" s="82" t="str">
        <x:v>中和</x:v>
      </x:c>
      <x:c r="V61" s="84" t="str">
        <x:v>泄克分型</x:v>
      </x:c>
      <x:c r="W61" s="84" t="str">
        <x:v>受泄与受制均会降低日主相对力量，但机制不同，必须分项记录后再综合。</x:v>
      </x:c>
      <x:c r="X61" s="82" t="str">
        <x:v>较高</x:v>
      </x:c>
      <x:c r="Y61" s="82" t="str">
        <x:v>现代综合</x:v>
      </x:c>
      <x:c r="Z61" s="68" t="str">
        <x:v>受泄按食伤有效力量与日主承载比较；泄身与克身机制不同，连续泄耗链还需服从源头容量。</x:v>
      </x:c>
      <x:c r="AA61" s="68" t="str">
        <x:v>正例：当“综合旺衰比较”真实成立，且必要条件与增强条件同向时，按“泄身与克身性质不同但均属于负荷侧”记录对应旺衰证据。</x:v>
      </x:c>
      <x:c r="AB61" s="90" t="str">
        <x:v>反例：只有表面条件，但出现“禁止把泄与克完全等同或重复计算”或关键有效性未成立时，不得套用本规则。</x:v>
      </x:c>
      <x:c r="AC61" s="68" t="str">
        <x:v>https://zh.wikisource.org/wiki/%E6%B7%B5%E6%B5%B7%E5%AD%90%E5%B9%B3%E5%A4%A7%E5%85%A8 ; https://zh.wikisource.org/wiki/%E6%BB%B4%E5%A4%A9%E9%AB%93%E9%97%A1%E5%BE%AE</x:v>
      </x:c>
      <x:c r="AD61" s="82" t="str">
        <x:v>采用</x:v>
      </x:c>
      <x:c r="AE61" s="82" t="str">
        <x:v>初审</x:v>
      </x:c>
      <x:c r="AF61" s="87" t="n">
        <x:v>46255</x:v>
      </x:c>
    </x:row>
    <x:row r="62">
      <x:c r="A62" s="72" t="str">
        <x:f>IF(OR(C62="",D62=""),"",B62&amp;"-"&amp;UPPER(C62)&amp;"-"&amp;TEXT(D62,"0000")&amp;"-"&amp;E62)</x:f>
        <x:v>M09-XIE-0056-V1.0</x:v>
      </x:c>
      <x:c r="B62" s="74" t="str">
        <x:v>M09</x:v>
      </x:c>
      <x:c r="C62" s="74" t="str">
        <x:v>XIE</x:v>
      </x:c>
      <x:c r="D62" s="79" t="n">
        <x:v>56</x:v>
      </x:c>
      <x:c r="E62" s="74" t="str">
        <x:v>V1.0</x:v>
      </x:c>
      <x:c r="F62" s="68" t="str">
        <x:v>食伤过弱或通路不畅时只记录名义泄出</x:v>
      </x:c>
      <x:c r="G62" s="82" t="str">
        <x:v>综合层</x:v>
      </x:c>
      <x:c r="H62" s="68" t="str">
        <x:v>受泄</x:v>
      </x:c>
      <x:c r="I62" s="68" t="str">
        <x:v>中和约束</x:v>
      </x:c>
      <x:c r="J62" s="68" t="str">
        <x:v>食伤存在但无根、被阻或无法透达</x:v>
      </x:c>
      <x:c r="K62" s="68" t="str">
        <x:v>中</x:v>
      </x:c>
      <x:c r="L62" s="82" t="str">
        <x:v>弱</x:v>
      </x:c>
      <x:c r="M62" s="68" t="str">
        <x:v>M08完成</x:v>
      </x:c>
      <x:c r="N62" s="68" t="str">
        <x:v>有效性低</x:v>
      </x:c>
      <x:c r="O62" s="68"/>
      <x:c r="P62" s="68" t="str">
        <x:v>岁运引动另审</x:v>
      </x:c>
      <x:c r="Q62" s="90" t="str">
        <x:v>禁止把藏而不动的弱食伤视为强泄</x:v>
      </x:c>
      <x:c r="R62" s="68" t="str">
        <x:v>动态转D0</x:v>
      </x:c>
      <x:c r="S62" s="68" t="str">
        <x:v>名义存在不代表持续消耗</x:v>
      </x:c>
      <x:c r="T62" s="82" t="str">
        <x:v>是</x:v>
      </x:c>
      <x:c r="U62" s="82" t="str">
        <x:v>中和</x:v>
      </x:c>
      <x:c r="V62" s="84" t="str">
        <x:v>名义泄出</x:v>
      </x:c>
      <x:c r="W62" s="84" t="str">
        <x:v>食伤虽存在但有效性低，只构成轻度泄身证据，不足以主导日主旺衰。</x:v>
      </x:c>
      <x:c r="X62" s="82" t="str">
        <x:v>较高</x:v>
      </x:c>
      <x:c r="Y62" s="82" t="str">
        <x:v>现代综合</x:v>
      </x:c>
      <x:c r="Z62" s="68" t="str">
        <x:v>受泄按食伤有效力量与日主承载比较；泄身与克身机制不同，连续泄耗链还需服从源头容量。</x:v>
      </x:c>
      <x:c r="AA62" s="68" t="str">
        <x:v>正例：当“食伤存在但无根、被阻或无法透达”真实成立，且必要条件与增强条件同向时，按“食伤过弱或通路不畅时只记录名义泄出”记录对应旺衰证据。</x:v>
      </x:c>
      <x:c r="AB62" s="90" t="str">
        <x:v>反例：只有表面条件，但出现“禁止把藏而不动的弱食伤视为强泄”或关键有效性未成立时，不得套用本规则。</x:v>
      </x:c>
      <x:c r="AC62" s="68" t="str">
        <x:v>https://zh.wikisource.org/wiki/%E6%B7%B5%E6%B5%B7%E5%AD%90%E5%B9%B3%E5%A4%A7%E5%85%A8 ; https://zh.wikisource.org/wiki/%E6%BB%B4%E5%A4%A9%E9%AB%93%E9%97%A1%E5%BE%AE</x:v>
      </x:c>
      <x:c r="AD62" s="82" t="str">
        <x:v>采用</x:v>
      </x:c>
      <x:c r="AE62" s="82" t="str">
        <x:v>初审</x:v>
      </x:c>
      <x:c r="AF62" s="87" t="n">
        <x:v>46255</x:v>
      </x:c>
    </x:row>
    <x:row r="63">
      <x:c r="A63" s="72" t="str">
        <x:f>IF(OR(C63="",D63=""),"",B63&amp;"-"&amp;UPPER(C63)&amp;"-"&amp;TEXT(D63,"0000")&amp;"-"&amp;E63)</x:f>
        <x:v>M09-HAO-0057-V1.0</x:v>
      </x:c>
      <x:c r="B63" s="74" t="str">
        <x:v>M09</x:v>
      </x:c>
      <x:c r="C63" s="74" t="str">
        <x:v>HAO</x:v>
      </x:c>
      <x:c r="D63" s="79" t="n">
        <x:v>57</x:v>
      </x:c>
      <x:c r="E63" s="74" t="str">
        <x:v>V1.0</x:v>
      </x:c>
      <x:c r="F63" s="68" t="str">
        <x:v>有效财星构成日主主动耗力证据</x:v>
      </x:c>
      <x:c r="G63" s="82" t="str">
        <x:v>综合层</x:v>
      </x:c>
      <x:c r="H63" s="68" t="str">
        <x:v>受耗</x:v>
      </x:c>
      <x:c r="I63" s="68" t="str">
        <x:v>支持偏弱</x:v>
      </x:c>
      <x:c r="J63" s="68" t="str">
        <x:v>M08确认日主所克五行有效且能形成持续承载对象</x:v>
      </x:c>
      <x:c r="K63" s="68" t="str">
        <x:v>中高</x:v>
      </x:c>
      <x:c r="L63" s="82" t="str">
        <x:v>中</x:v>
      </x:c>
      <x:c r="M63" s="68" t="str">
        <x:v>M08完成</x:v>
      </x:c>
      <x:c r="N63" s="68" t="str">
        <x:v>财星有效</x:v>
      </x:c>
      <x:c r="O63" s="68" t="str">
        <x:v>财得令成势且日主主动克制通路明确</x:v>
      </x:c>
      <x:c r="P63" s="68" t="str">
        <x:v>财弱、被比劫制或被合化</x:v>
      </x:c>
      <x:c r="Q63" s="90" t="str">
        <x:v>禁止财星一出现就按强耗身</x:v>
      </x:c>
      <x:c r="R63" s="68" t="str">
        <x:v>财星功能转M10</x:v>
      </x:c>
      <x:c r="S63" s="68" t="str">
        <x:v>财越旺而日主越弱，耗身压力越明显</x:v>
      </x:c>
      <x:c r="T63" s="82" t="str">
        <x:v>否</x:v>
      </x:c>
      <x:c r="U63" s="82" t="str">
        <x:v>中和偏弱</x:v>
      </x:c>
      <x:c r="V63" s="84" t="str">
        <x:v>财星耗身</x:v>
      </x:c>
      <x:c r="W63" s="84" t="str">
        <x:v>有效财星会占用日主克制与承载能力，是偏弱证据之一。</x:v>
      </x:c>
      <x:c r="X63" s="82" t="str">
        <x:v>较高</x:v>
      </x:c>
      <x:c r="Y63" s="82" t="str">
        <x:v>现代综合</x:v>
      </x:c>
      <x:c r="Z63" s="68" t="str">
        <x:v>受耗按财星有效力量及日主主动克制的持续负荷判断；财星存在、财旺与实际耗身必须分开。</x:v>
      </x:c>
      <x:c r="AA63" s="68" t="str">
        <x:v>正例：当“M08确认日主所克五行有效且能形成持续承载对象”真实成立，且必要条件与增强条件同向时，按“有效财星构成日主主动耗力证据”记录对应旺衰证据。</x:v>
      </x:c>
      <x:c r="AB63" s="90" t="str">
        <x:v>反例：只有表面条件，但出现“禁止财星一出现就按强耗身”或关键有效性未成立时，不得套用本规则。</x:v>
      </x:c>
      <x:c r="AC63" s="68" t="str">
        <x:v>https://zh.wikisource.org/wiki/%E6%B7%B5%E6%B5%B7%E5%AD%90%E5%B9%B3%E5%A4%A7%E5%85%A8 ; https://zh.wikisource.org/wiki/%E6%BB%B4%E5%A4%A9%E9%AB%93%E9%97%A1%E5%BE%AE</x:v>
      </x:c>
      <x:c r="AD63" s="82" t="str">
        <x:v>采用</x:v>
      </x:c>
      <x:c r="AE63" s="82" t="str">
        <x:v>初审</x:v>
      </x:c>
      <x:c r="AF63" s="87" t="n">
        <x:v>46255</x:v>
      </x:c>
    </x:row>
    <x:row r="64">
      <x:c r="A64" s="72" t="str">
        <x:f>IF(OR(C64="",D64=""),"",B64&amp;"-"&amp;UPPER(C64)&amp;"-"&amp;TEXT(D64,"0000")&amp;"-"&amp;E64)</x:f>
        <x:v>M09-HAO-0058-V1.0</x:v>
      </x:c>
      <x:c r="B64" s="74" t="str">
        <x:v>M09</x:v>
      </x:c>
      <x:c r="C64" s="74" t="str">
        <x:v>HAO</x:v>
      </x:c>
      <x:c r="D64" s="79" t="n">
        <x:v>58</x:v>
      </x:c>
      <x:c r="E64" s="74" t="str">
        <x:v>V1.0</x:v>
      </x:c>
      <x:c r="F64" s="68" t="str">
        <x:v>财星成势而日主根弱时耗身影响显著</x:v>
      </x:c>
      <x:c r="G64" s="82" t="str">
        <x:v>综合层</x:v>
      </x:c>
      <x:c r="H64" s="68" t="str">
        <x:v>受耗</x:v>
      </x:c>
      <x:c r="I64" s="68" t="str">
        <x:v>支持偏弱</x:v>
      </x:c>
      <x:c r="J64" s="68" t="str">
        <x:v>财星旺/极旺且日主有效根弱</x:v>
      </x:c>
      <x:c r="K64" s="68" t="str">
        <x:v>高</x:v>
      </x:c>
      <x:c r="L64" s="82" t="str">
        <x:v>强</x:v>
      </x:c>
      <x:c r="M64" s="68" t="str">
        <x:v>M08完成</x:v>
      </x:c>
      <x:c r="N64" s="68" t="str">
        <x:v>财星可被日主作用且未受强比劫分担</x:v>
      </x:c>
      <x:c r="O64" s="68" t="str">
        <x:v>同时食伤生财</x:v>
      </x:c>
      <x:c r="P64" s="68" t="str">
        <x:v>财受制或日主有强印比</x:v>
      </x:c>
      <x:c r="Q64" s="90" t="str">
        <x:v>禁止直接从财旺推出富贵或喜忌</x:v>
      </x:c>
      <x:c r="R64" s="68" t="str">
        <x:v>从财候选转M14</x:v>
      </x:c>
      <x:c r="S64" s="68" t="str">
        <x:v>极端财势可能使日主进入弱/极弱候选</x:v>
      </x:c>
      <x:c r="T64" s="82" t="str">
        <x:v>否</x:v>
      </x:c>
      <x:c r="U64" s="82" t="str">
        <x:v>弱</x:v>
      </x:c>
      <x:c r="V64" s="84" t="str">
        <x:v>财旺耗身</x:v>
      </x:c>
      <x:c r="W64" s="84" t="str">
        <x:v>财星有效成势而日主承载弱时，耗身可成为重要负荷。</x:v>
      </x:c>
      <x:c r="X64" s="82" t="str">
        <x:v>较高</x:v>
      </x:c>
      <x:c r="Y64" s="82" t="str">
        <x:v>现代综合</x:v>
      </x:c>
      <x:c r="Z64" s="68" t="str">
        <x:v>受耗按财星有效力量及日主主动克制的持续负荷判断；财星存在、财旺与实际耗身必须分开。</x:v>
      </x:c>
      <x:c r="AA64" s="68" t="str">
        <x:v>正例：当“财星旺/极旺且日主有效根弱”真实成立，且必要条件与增强条件同向时，按“财星成势而日主根弱时耗身影响显著”记录对应旺衰证据。</x:v>
      </x:c>
      <x:c r="AB64" s="90" t="str">
        <x:v>反例：只有表面条件，但出现“禁止直接从财旺推出富贵或喜忌”或关键有效性未成立时，不得套用本规则。</x:v>
      </x:c>
      <x:c r="AC64" s="68" t="str">
        <x:v>https://zh.wikisource.org/wiki/%E6%B7%B5%E6%B5%B7%E5%AD%90%E5%B9%B3%E5%A4%A7%E5%85%A8 ; https://zh.wikisource.org/wiki/%E6%BB%B4%E5%A4%A9%E9%AB%93%E9%97%A1%E5%BE%AE</x:v>
      </x:c>
      <x:c r="AD64" s="82" t="str">
        <x:v>采用</x:v>
      </x:c>
      <x:c r="AE64" s="82" t="str">
        <x:v>初审</x:v>
      </x:c>
      <x:c r="AF64" s="87" t="n">
        <x:v>46255</x:v>
      </x:c>
    </x:row>
    <x:row r="65">
      <x:c r="A65" s="72" t="str">
        <x:f>IF(OR(C65="",D65=""),"",B65&amp;"-"&amp;UPPER(C65)&amp;"-"&amp;TEXT(D65,"0000")&amp;"-"&amp;E65)</x:f>
        <x:v>M09-HAO-0059-V1.0</x:v>
      </x:c>
      <x:c r="B65" s="74" t="str">
        <x:v>M09</x:v>
      </x:c>
      <x:c r="C65" s="74" t="str">
        <x:v>HAO</x:v>
      </x:c>
      <x:c r="D65" s="79" t="n">
        <x:v>59</x:v>
      </x:c>
      <x:c r="E65" s="74" t="str">
        <x:v>V1.0</x:v>
      </x:c>
      <x:c r="F65" s="68" t="str">
        <x:v>财星弱或受比劫制约时耗身证据下调</x:v>
      </x:c>
      <x:c r="G65" s="82" t="str">
        <x:v>综合层</x:v>
      </x:c>
      <x:c r="H65" s="68" t="str">
        <x:v>受耗</x:v>
      </x:c>
      <x:c r="I65" s="68" t="str">
        <x:v>减弱偏弱证据</x:v>
      </x:c>
      <x:c r="J65" s="68" t="str">
        <x:v>财星原有但M08判弱、受制或失效</x:v>
      </x:c>
      <x:c r="K65" s="68" t="str">
        <x:v>中高</x:v>
      </x:c>
      <x:c r="L65" s="82" t="str">
        <x:v>中</x:v>
      </x:c>
      <x:c r="M65" s="68" t="str">
        <x:v>M08完成</x:v>
      </x:c>
      <x:c r="N65" s="68" t="str">
        <x:v>财有效性已修正</x:v>
      </x:c>
      <x:c r="O65" s="68"/>
      <x:c r="P65" s="68" t="str">
        <x:v>财另有独立强根</x:v>
      </x:c>
      <x:c r="Q65" s="90" t="str">
        <x:v>禁止仍按原始财量满额耗身</x:v>
      </x:c>
      <x:c r="R65" s="68" t="str">
        <x:v>十神关系转M10/M11</x:v>
      </x:c>
      <x:c r="S65" s="68" t="str">
        <x:v>剩余财力越低，日主耗力越少</x:v>
      </x:c>
      <x:c r="T65" s="82" t="str">
        <x:v>是</x:v>
      </x:c>
      <x:c r="U65" s="82" t="str">
        <x:v>中和</x:v>
      </x:c>
      <x:c r="V65" s="84" t="str">
        <x:v>财耗修正</x:v>
      </x:c>
      <x:c r="W65" s="84" t="str">
        <x:v>财星实际有效性低，日主耗身压力相应下调。</x:v>
      </x:c>
      <x:c r="X65" s="82" t="str">
        <x:v>较高</x:v>
      </x:c>
      <x:c r="Y65" s="82" t="str">
        <x:v>现代综合</x:v>
      </x:c>
      <x:c r="Z65" s="68" t="str">
        <x:v>受耗按财星有效力量及日主主动克制的持续负荷判断；财星存在、财旺与实际耗身必须分开。</x:v>
      </x:c>
      <x:c r="AA65" s="68" t="str">
        <x:v>正例：当“财星原有但M08判弱、受制或失效”真实成立，且必要条件与增强条件同向时，按“财星弱或受比劫制约时耗身证据下调”记录对应旺衰证据。</x:v>
      </x:c>
      <x:c r="AB65" s="90" t="str">
        <x:v>反例：只有表面条件，但出现“禁止仍按原始财量满额耗身”或关键有效性未成立时，不得套用本规则。</x:v>
      </x:c>
      <x:c r="AC65" s="68" t="str">
        <x:v>https://zh.wikisource.org/wiki/%E6%B7%B5%E6%B5%B7%E5%AD%90%E5%B9%B3%E5%A4%A7%E5%85%A8 ; https://zh.wikisource.org/wiki/%E6%BB%B4%E5%A4%A9%E9%AB%93%E9%97%A1%E5%BE%AE</x:v>
      </x:c>
      <x:c r="AD65" s="82" t="str">
        <x:v>采用</x:v>
      </x:c>
      <x:c r="AE65" s="82" t="str">
        <x:v>初审</x:v>
      </x:c>
      <x:c r="AF65" s="87" t="n">
        <x:v>46255</x:v>
      </x:c>
    </x:row>
    <x:row r="66">
      <x:c r="A66" s="72" t="str">
        <x:f>IF(OR(C66="",D66=""),"",B66&amp;"-"&amp;UPPER(C66)&amp;"-"&amp;TEXT(D66,"0000")&amp;"-"&amp;E66)</x:f>
        <x:v>M09-HAO-0060-V1.0</x:v>
      </x:c>
      <x:c r="B66" s="74" t="str">
        <x:v>M09</x:v>
      </x:c>
      <x:c r="C66" s="74" t="str">
        <x:v>HAO</x:v>
      </x:c>
      <x:c r="D66" s="79" t="n">
        <x:v>60</x:v>
      </x:c>
      <x:c r="E66" s="74" t="str">
        <x:v>V1.0</x:v>
      </x:c>
      <x:c r="F66" s="68" t="str">
        <x:v>强旺日主可任一定财而不必转弱</x:v>
      </x:c>
      <x:c r="G66" s="82" t="str">
        <x:v>综合层</x:v>
      </x:c>
      <x:c r="H66" s="68" t="str">
        <x:v>受耗</x:v>
      </x:c>
      <x:c r="I66" s="68" t="str">
        <x:v>中和约束</x:v>
      </x:c>
      <x:c r="J66" s="68" t="str">
        <x:v>日主多根得势，财为中等有效</x:v>
      </x:c>
      <x:c r="K66" s="68" t="str">
        <x:v>中高</x:v>
      </x:c>
      <x:c r="L66" s="82" t="str">
        <x:v>中</x:v>
      </x:c>
      <x:c r="M66" s="68" t="str">
        <x:v>M08完成</x:v>
      </x:c>
      <x:c r="N66" s="68" t="str">
        <x:v>扶身侧明显</x:v>
      </x:c>
      <x:c r="O66" s="68" t="str">
        <x:v>印比有续航</x:v>
      </x:c>
      <x:c r="P66" s="68" t="str">
        <x:v>财极旺且食伤持续生财</x:v>
      </x:c>
      <x:c r="Q66" s="90" t="str">
        <x:v>禁止“财多=身弱”的单句判断</x:v>
      </x:c>
      <x:c r="R66" s="68" t="str">
        <x:v>身财两停等组合转M11</x:v>
      </x:c>
      <x:c r="S66" s="68" t="str">
        <x:v>日主强时财耗可能只降低过旺程度</x:v>
      </x:c>
      <x:c r="T66" s="82" t="str">
        <x:v>否</x:v>
      </x:c>
      <x:c r="U66" s="82" t="str">
        <x:v>中和偏旺</x:v>
      </x:c>
      <x:c r="V66" s="84" t="str">
        <x:v>强身任财</x:v>
      </x:c>
      <x:c r="W66" s="84" t="str">
        <x:v>日主根深得势时可承受一定财星耗力，不因有财就直接判弱。</x:v>
      </x:c>
      <x:c r="X66" s="82" t="str">
        <x:v>较高</x:v>
      </x:c>
      <x:c r="Y66" s="82" t="str">
        <x:v>现代综合</x:v>
      </x:c>
      <x:c r="Z66" s="68" t="str">
        <x:v>受耗按财星有效力量及日主主动克制的持续负荷判断；财星存在、财旺与实际耗身必须分开。</x:v>
      </x:c>
      <x:c r="AA66" s="68" t="str">
        <x:v>正例：当“日主多根得势，财为中等有效”真实成立，且必要条件与增强条件同向时，按“强旺日主可任一定财而不必转弱”记录对应旺衰证据。</x:v>
      </x:c>
      <x:c r="AB66" s="90" t="str">
        <x:v>反例：只有表面条件，但出现“禁止“财多=身弱”的单句判断”或关键有效性未成立时，不得套用本规则。</x:v>
      </x:c>
      <x:c r="AC66" s="68" t="str">
        <x:v>https://zh.wikisource.org/wiki/%E6%B7%B5%E6%B5%B7%E5%AD%90%E5%B9%B3%E5%A4%A7%E5%85%A8 ; https://zh.wikisource.org/wiki/%E6%BB%B4%E5%A4%A9%E9%AB%93%E9%97%A1%E5%BE%AE</x:v>
      </x:c>
      <x:c r="AD66" s="82" t="str">
        <x:v>采用</x:v>
      </x:c>
      <x:c r="AE66" s="82" t="str">
        <x:v>初审</x:v>
      </x:c>
      <x:c r="AF66" s="87" t="n">
        <x:v>46255</x:v>
      </x:c>
    </x:row>
    <x:row r="67">
      <x:c r="A67" s="72" t="str">
        <x:f>IF(OR(C67="",D67=""),"",B67&amp;"-"&amp;UPPER(C67)&amp;"-"&amp;TEXT(D67,"0000")&amp;"-"&amp;E67)</x:f>
        <x:v>M09-HAO-0061-V1.0</x:v>
      </x:c>
      <x:c r="B67" s="74" t="str">
        <x:v>M09</x:v>
      </x:c>
      <x:c r="C67" s="74" t="str">
        <x:v>HAO</x:v>
      </x:c>
      <x:c r="D67" s="79" t="n">
        <x:v>61</x:v>
      </x:c>
      <x:c r="E67" s="74" t="str">
        <x:v>V1.0</x:v>
      </x:c>
      <x:c r="F67" s="68" t="str">
        <x:v>财耗与食伤生财共享同一外泄链时需去重</x:v>
      </x:c>
      <x:c r="G67" s="82" t="str">
        <x:v>综合层</x:v>
      </x:c>
      <x:c r="H67" s="68" t="str">
        <x:v>受耗</x:v>
      </x:c>
      <x:c r="I67" s="68" t="str">
        <x:v>证据去重</x:v>
      </x:c>
      <x:c r="J67" s="68" t="str">
        <x:v>同一食伤→财链同时被记录为泄身和耗身</x:v>
      </x:c>
      <x:c r="K67" s="68" t="str">
        <x:v>高</x:v>
      </x:c>
      <x:c r="L67" s="82" t="str">
        <x:v>中</x:v>
      </x:c>
      <x:c r="M67" s="68" t="str">
        <x:v>M08完成</x:v>
      </x:c>
      <x:c r="N67" s="68" t="str">
        <x:v>属于同一连续路径</x:v>
      </x:c>
      <x:c r="O67" s="68" t="str">
        <x:v>另有独立财源或独立食伤</x:v>
      </x:c>
      <x:c r="P67" s="68"/>
      <x:c r="Q67" s="90" t="str">
        <x:v>禁止把同一股力量按泄与耗重复全额累加</x:v>
      </x:c>
      <x:c r="R67" s="68" t="str">
        <x:v>M12可进一步描述链路</x:v>
      </x:c>
      <x:c r="S67" s="68" t="str">
        <x:v>连续链可加重外泄，但总容量受源头限制</x:v>
      </x:c>
      <x:c r="T67" s="82" t="str">
        <x:v>是</x:v>
      </x:c>
      <x:c r="U67" s="82" t="str">
        <x:v>中和偏弱</x:v>
      </x:c>
      <x:c r="V67" s="84" t="str">
        <x:v>泄耗链去重</x:v>
      </x:c>
      <x:c r="W67" s="84" t="str">
        <x:v>同一食伤生财链可说明连续外泄，但泄与耗不得脱离源头容量重复满额计权。</x:v>
      </x:c>
      <x:c r="X67" s="82" t="str">
        <x:v>较高</x:v>
      </x:c>
      <x:c r="Y67" s="82" t="str">
        <x:v>现代综合</x:v>
      </x:c>
      <x:c r="Z67" s="68" t="str">
        <x:v>受耗按财星有效力量及日主主动克制的持续负荷判断；财星存在、财旺与实际耗身必须分开。</x:v>
      </x:c>
      <x:c r="AA67" s="68" t="str">
        <x:v>正例：当“同一食伤→财链同时被记录为泄身和耗身”真实成立，且必要条件与增强条件同向时，按“财耗与食伤生财共享同一外泄链时需去重”记录对应旺衰证据。</x:v>
      </x:c>
      <x:c r="AB67" s="90" t="str">
        <x:v>反例：只有表面条件，但出现“禁止把同一股力量按泄与耗重复全额累加”或关键有效性未成立时，不得套用本规则。</x:v>
      </x:c>
      <x:c r="AC67" s="68" t="str">
        <x:v>https://zh.wikisource.org/wiki/%E6%B7%B5%E6%B5%B7%E5%AD%90%E5%B9%B3%E5%A4%A7%E5%85%A8 ; https://zh.wikisource.org/wiki/%E6%BB%B4%E5%A4%A9%E9%AB%93%E9%97%A1%E5%BE%AE</x:v>
      </x:c>
      <x:c r="AD67" s="82" t="str">
        <x:v>采用</x:v>
      </x:c>
      <x:c r="AE67" s="82" t="str">
        <x:v>初审</x:v>
      </x:c>
      <x:c r="AF67" s="87" t="n">
        <x:v>46255</x:v>
      </x:c>
    </x:row>
    <x:row r="68">
      <x:c r="A68" s="72" t="str">
        <x:f>IF(OR(C68="",D68=""),"",B68&amp;"-"&amp;UPPER(C68)&amp;"-"&amp;TEXT(D68,"0000")&amp;"-"&amp;E68)</x:f>
        <x:v>M09-HAO-0062-V1.0</x:v>
      </x:c>
      <x:c r="B68" s="74" t="str">
        <x:v>M09</x:v>
      </x:c>
      <x:c r="C68" s="74" t="str">
        <x:v>HAO</x:v>
      </x:c>
      <x:c r="D68" s="79" t="n">
        <x:v>62</x:v>
      </x:c>
      <x:c r="E68" s="74" t="str">
        <x:v>V1.0</x:v>
      </x:c>
      <x:c r="F68" s="68" t="str">
        <x:v>财官食伤多不等于日主必弱</x:v>
      </x:c>
      <x:c r="G68" s="82" t="str">
        <x:v>综合层</x:v>
      </x:c>
      <x:c r="H68" s="68" t="str">
        <x:v>受耗</x:v>
      </x:c>
      <x:c r="I68" s="68" t="str">
        <x:v>边界</x:v>
      </x:c>
      <x:c r="J68" s="68" t="str">
        <x:v>财、官杀、食伤类别或数量较多</x:v>
      </x:c>
      <x:c r="K68" s="68" t="str">
        <x:v>高</x:v>
      </x:c>
      <x:c r="L68" s="82" t="str">
        <x:v>决定性</x:v>
      </x:c>
      <x:c r="M68" s="68" t="str">
        <x:v>M08完成</x:v>
      </x:c>
      <x:c r="N68" s="68" t="str">
        <x:v>分别评估三类有效力量与通路</x:v>
      </x:c>
      <x:c r="O68" s="68" t="str">
        <x:v>三类都强且日主承载弱</x:v>
      </x:c>
      <x:c r="P68" s="68" t="str">
        <x:v>多而弱、被制化或互相转流</x:v>
      </x:c>
      <x:c r="Q68" s="90" t="str">
        <x:v>禁止按十神类别数量直接判弱</x:v>
      </x:c>
      <x:c r="R68" s="68" t="str">
        <x:v>格局与组合转M10-M15</x:v>
      </x:c>
      <x:c r="S68" s="68" t="str">
        <x:v>只有实际制泄耗合力超过扶身侧时才形成身弱</x:v>
      </x:c>
      <x:c r="T68" s="82" t="str">
        <x:v>否</x:v>
      </x:c>
      <x:c r="U68" s="82" t="str">
        <x:v>中和</x:v>
      </x:c>
      <x:c r="V68" s="84" t="str">
        <x:v>多负荷非弱充分条件</x:v>
      </x:c>
      <x:c r="W68" s="84" t="str">
        <x:v>财官食伤多只是负荷候选；是否身弱取决于它们的有效力量、通路与日主承载。</x:v>
      </x:c>
      <x:c r="X68" s="82" t="str">
        <x:v>较高</x:v>
      </x:c>
      <x:c r="Y68" s="82" t="str">
        <x:v>现代综合</x:v>
      </x:c>
      <x:c r="Z68" s="68" t="str">
        <x:v>受耗按财星有效力量及日主主动克制的持续负荷判断；财星存在、财旺与实际耗身必须分开。</x:v>
      </x:c>
      <x:c r="AA68" s="68" t="str">
        <x:v>正例：当“财、官杀、食伤类别或数量较多”真实成立，且必要条件与增强条件同向时，按“财官食伤多不等于日主必弱”记录对应旺衰证据。</x:v>
      </x:c>
      <x:c r="AB68" s="90" t="str">
        <x:v>反例：只有表面条件，但出现“禁止按十神类别数量直接判弱”或关键有效性未成立时，不得套用本规则。</x:v>
      </x:c>
      <x:c r="AC68" s="68" t="str">
        <x:v>https://zh.wikisource.org/wiki/%E6%B7%B5%E6%B5%B7%E5%AD%90%E5%B9%B3%E5%A4%A7%E5%85%A8 ; https://zh.wikisource.org/wiki/%E6%BB%B4%E5%A4%A9%E9%AB%93%E9%97%A1%E5%BE%AE</x:v>
      </x:c>
      <x:c r="AD68" s="82" t="str">
        <x:v>采用</x:v>
      </x:c>
      <x:c r="AE68" s="82" t="str">
        <x:v>初审</x:v>
      </x:c>
      <x:c r="AF68" s="87" t="n">
        <x:v>46255</x:v>
      </x:c>
    </x:row>
    <x:row r="69">
      <x:c r="A69" s="72" t="str">
        <x:f>IF(OR(C69="",D69=""),"",B69&amp;"-"&amp;UPPER(C69)&amp;"-"&amp;TEXT(D69,"0000")&amp;"-"&amp;E69)</x:f>
        <x:v>M09-SYN-0063-V1.0</x:v>
      </x:c>
      <x:c r="B69" s="74" t="str">
        <x:v>M09</x:v>
      </x:c>
      <x:c r="C69" s="74" t="str">
        <x:v>SYN</x:v>
      </x:c>
      <x:c r="D69" s="79" t="n">
        <x:v>63</x:v>
      </x:c>
      <x:c r="E69" s="74" t="str">
        <x:v>V1.0</x:v>
      </x:c>
      <x:c r="F69" s="68" t="str">
        <x:v>日主旺衰先分扶身侧与负荷侧再比较净优势</x:v>
      </x:c>
      <x:c r="G69" s="82" t="str">
        <x:v>综合层</x:v>
      </x:c>
      <x:c r="H69" s="68" t="str">
        <x:v>综合比较</x:v>
      </x:c>
      <x:c r="I69" s="68" t="str">
        <x:v>双向</x:v>
      </x:c>
      <x:c r="J69" s="68" t="str">
        <x:v>扶身侧包括有效根、比劫、印；负荷侧包括有效官杀、食伤、财</x:v>
      </x:c>
      <x:c r="K69" s="68" t="str">
        <x:v>高</x:v>
      </x:c>
      <x:c r="L69" s="82" t="str">
        <x:v>决定性</x:v>
      </x:c>
      <x:c r="M69" s="68" t="str">
        <x:v>M03/M08完成</x:v>
      </x:c>
      <x:c r="N69" s="68" t="str">
        <x:v>各分项均已按有效性修正</x:v>
      </x:c>
      <x:c r="O69" s="68" t="str">
        <x:v>一侧多维强证据同向</x:v>
      </x:c>
      <x:c r="P69" s="68" t="str">
        <x:v>双方证据高度冲突</x:v>
      </x:c>
      <x:c r="Q69" s="90" t="str">
        <x:v>禁止使用原始数量代替有效净优势</x:v>
      </x:c>
      <x:c r="R69" s="68" t="str">
        <x:v>特殊格局转M14</x:v>
      </x:c>
      <x:c r="S69" s="68" t="str">
        <x:v>净优势小则落在中和附近，净优势大才进入旺/弱</x:v>
      </x:c>
      <x:c r="T69" s="82" t="str">
        <x:v>否</x:v>
      </x:c>
      <x:c r="U69" s="82" t="str">
        <x:v>中和</x:v>
      </x:c>
      <x:c r="V69" s="84" t="str">
        <x:v>双侧净优势</x:v>
      </x:c>
      <x:c r="W69" s="84" t="str">
        <x:v>日主旺衰以扶身侧与制泄耗侧的有效净优势裁定，而非按元素数量投票。</x:v>
      </x:c>
      <x:c r="X69" s="82" t="str">
        <x:v>较高</x:v>
      </x:c>
      <x:c r="Y69" s="82" t="str">
        <x:v>现代综合</x:v>
      </x:c>
      <x:c r="Z69" s="68" t="str">
        <x:v>综合裁定比较扶身侧与负荷侧的有效净优势，采用强证据优先、同源去重、反证保留和冲突降置信。</x:v>
      </x:c>
      <x:c r="AA69" s="68" t="str">
        <x:v>正例：当“扶身侧包括有效根、比劫、印；负荷侧包括有效官杀、食伤、财”真实成立，且必要条件与增强条件同向时，按“日主旺衰先分扶身侧与负荷侧再比较净优势”记录对应旺衰证据。</x:v>
      </x:c>
      <x:c r="AB69" s="90" t="str">
        <x:v>反例：只有表面条件，但出现“禁止使用原始数量代替有效净优势”或关键有效性未成立时，不得套用本规则。</x:v>
      </x:c>
      <x:c r="AC69" s="68" t="str">
        <x:v>https://zh.wikisource.org/wiki/%E6%B7%B5%E6%B5%B7%E5%AD%90%E5%B9%B3%E5%A4%A7%E5%85%A8 ; https://zh.wikisource.org/wiki/%E6%BB%B4%E5%A4%A9%E9%AB%93%E9%97%A1%E5%BE%AE</x:v>
      </x:c>
      <x:c r="AD69" s="82" t="str">
        <x:v>采用</x:v>
      </x:c>
      <x:c r="AE69" s="82" t="str">
        <x:v>初审</x:v>
      </x:c>
      <x:c r="AF69" s="87" t="n">
        <x:v>46255</x:v>
      </x:c>
    </x:row>
    <x:row r="70">
      <x:c r="A70" s="72" t="str">
        <x:f>IF(OR(C70="",D70=""),"",B70&amp;"-"&amp;UPPER(C70)&amp;"-"&amp;TEXT(D70,"0000")&amp;"-"&amp;E70)</x:f>
        <x:v>M09-SYN-0064-V1.0</x:v>
      </x:c>
      <x:c r="B70" s="74" t="str">
        <x:v>M09</x:v>
      </x:c>
      <x:c r="C70" s="74" t="str">
        <x:v>SYN</x:v>
      </x:c>
      <x:c r="D70" s="79" t="n">
        <x:v>64</x:v>
      </x:c>
      <x:c r="E70" s="74" t="str">
        <x:v>V1.0</x:v>
      </x:c>
      <x:c r="F70" s="68" t="str">
        <x:v>扶身侧必须包含日主自身承载而不只统计印比</x:v>
      </x:c>
      <x:c r="G70" s="82" t="str">
        <x:v>综合层</x:v>
      </x:c>
      <x:c r="H70" s="68" t="str">
        <x:v>综合比较</x:v>
      </x:c>
      <x:c r="I70" s="68" t="str">
        <x:v>支持偏旺</x:v>
      </x:c>
      <x:c r="J70" s="68" t="str">
        <x:v>评估日主扶身侧</x:v>
      </x:c>
      <x:c r="K70" s="68" t="str">
        <x:v>高</x:v>
      </x:c>
      <x:c r="L70" s="82" t="str">
        <x:v>强</x:v>
      </x:c>
      <x:c r="M70" s="68" t="str">
        <x:v>M08完成</x:v>
      </x:c>
      <x:c r="N70" s="68" t="str">
        <x:v>至少纳入有效根气</x:v>
      </x:c>
      <x:c r="O70" s="68" t="str">
        <x:v>多根且印比有效</x:v>
      </x:c>
      <x:c r="P70" s="68" t="str">
        <x:v>日主无根而印比浮弱</x:v>
      </x:c>
      <x:c r="Q70" s="90" t="str">
        <x:v>禁止只把印比数量当日主力量</x:v>
      </x:c>
      <x:c r="R70" s="68"/>
      <x:c r="S70" s="68" t="str">
        <x:v>根气决定扶持能否落地与持续</x:v>
      </x:c>
      <x:c r="T70" s="82" t="str">
        <x:v>是</x:v>
      </x:c>
      <x:c r="U70" s="82" t="str">
        <x:v>中和偏旺</x:v>
      </x:c>
      <x:c r="V70" s="84" t="str">
        <x:v>承载纳入扶身</x:v>
      </x:c>
      <x:c r="W70" s="84" t="str">
        <x:v>扶身侧必须同时考虑日主有效根气与印比支持，不能只看外部帮扶。</x:v>
      </x:c>
      <x:c r="X70" s="82" t="str">
        <x:v>较高</x:v>
      </x:c>
      <x:c r="Y70" s="82" t="str">
        <x:v>现代综合</x:v>
      </x:c>
      <x:c r="Z70" s="68" t="str">
        <x:v>综合裁定比较扶身侧与负荷侧的有效净优势，采用强证据优先、同源去重、反证保留和冲突降置信。</x:v>
      </x:c>
      <x:c r="AA70" s="68" t="str">
        <x:v>正例：当“评估日主扶身侧”真实成立，且必要条件与增强条件同向时，按“扶身侧必须包含日主自身承载而不只统计印比”记录对应旺衰证据。</x:v>
      </x:c>
      <x:c r="AB70" s="90" t="str">
        <x:v>反例：只有表面条件，但出现“禁止只把印比数量当日主力量”或关键有效性未成立时，不得套用本规则。</x:v>
      </x:c>
      <x:c r="AC70" s="68" t="str">
        <x:v>https://zh.wikisource.org/wiki/%E6%B7%B5%E6%B5%B7%E5%AD%90%E5%B9%B3%E5%A4%A7%E5%85%A8 ; https://zh.wikisource.org/wiki/%E6%BB%B4%E5%A4%A9%E9%AB%93%E9%97%A1%E5%BE%AE</x:v>
      </x:c>
      <x:c r="AD70" s="82" t="str">
        <x:v>采用</x:v>
      </x:c>
      <x:c r="AE70" s="82" t="str">
        <x:v>初审</x:v>
      </x:c>
      <x:c r="AF70" s="87" t="n">
        <x:v>46255</x:v>
      </x:c>
    </x:row>
    <x:row r="71">
      <x:c r="A71" s="72" t="str">
        <x:f>IF(OR(C71="",D71=""),"",B71&amp;"-"&amp;UPPER(C71)&amp;"-"&amp;TEXT(D71,"0000")&amp;"-"&amp;E71)</x:f>
        <x:v>M09-SYN-0065-V1.0</x:v>
      </x:c>
      <x:c r="B71" s="74" t="str">
        <x:v>M09</x:v>
      </x:c>
      <x:c r="C71" s="74" t="str">
        <x:v>SYN</x:v>
      </x:c>
      <x:c r="D71" s="79" t="n">
        <x:v>65</x:v>
      </x:c>
      <x:c r="E71" s="74" t="str">
        <x:v>V1.0</x:v>
      </x:c>
      <x:c r="F71" s="68" t="str">
        <x:v>负荷侧三类力量必须按实际通路分别计算后再合并</x:v>
      </x:c>
      <x:c r="G71" s="82" t="str">
        <x:v>综合层</x:v>
      </x:c>
      <x:c r="H71" s="68" t="str">
        <x:v>综合比较</x:v>
      </x:c>
      <x:c r="I71" s="68" t="str">
        <x:v>支持偏弱</x:v>
      </x:c>
      <x:c r="J71" s="68" t="str">
        <x:v>官杀、食伤、财同时出现</x:v>
      </x:c>
      <x:c r="K71" s="68" t="str">
        <x:v>高</x:v>
      </x:c>
      <x:c r="L71" s="82" t="str">
        <x:v>强</x:v>
      </x:c>
      <x:c r="M71" s="68" t="str">
        <x:v>M08完成</x:v>
      </x:c>
      <x:c r="N71" s="68" t="str">
        <x:v>三类均已有有效性结论</x:v>
      </x:c>
      <x:c r="O71" s="68" t="str">
        <x:v>多条独立通路同时成立</x:v>
      </x:c>
      <x:c r="P71" s="68" t="str">
        <x:v>多类力量共享同一来源或互相制化</x:v>
      </x:c>
      <x:c r="Q71" s="90" t="str">
        <x:v>禁止简单相加固定分值</x:v>
      </x:c>
      <x:c r="R71" s="68" t="str">
        <x:v>组合制化转M11</x:v>
      </x:c>
      <x:c r="S71" s="68" t="str">
        <x:v>独立且有效的压力通路越多，偏弱证据越稳</x:v>
      </x:c>
      <x:c r="T71" s="82" t="str">
        <x:v>否</x:v>
      </x:c>
      <x:c r="U71" s="82" t="str">
        <x:v>中和偏弱</x:v>
      </x:c>
      <x:c r="V71" s="84" t="str">
        <x:v>多负荷合并</x:v>
      </x:c>
      <x:c r="W71" s="84" t="str">
        <x:v>受制、受泄、受耗应先分项判断，再按独立有效通路合并。</x:v>
      </x:c>
      <x:c r="X71" s="82" t="str">
        <x:v>较高</x:v>
      </x:c>
      <x:c r="Y71" s="82" t="str">
        <x:v>现代综合</x:v>
      </x:c>
      <x:c r="Z71" s="68" t="str">
        <x:v>综合裁定比较扶身侧与负荷侧的有效净优势，采用强证据优先、同源去重、反证保留和冲突降置信。</x:v>
      </x:c>
      <x:c r="AA71" s="68" t="str">
        <x:v>正例：当“官杀、食伤、财同时出现”真实成立，且必要条件与增强条件同向时，按“负荷侧三类力量必须按实际通路分别计算后再合并”记录对应旺衰证据。</x:v>
      </x:c>
      <x:c r="AB71" s="90" t="str">
        <x:v>反例：只有表面条件，但出现“禁止简单相加固定分值”或关键有效性未成立时，不得套用本规则。</x:v>
      </x:c>
      <x:c r="AC71" s="68" t="str">
        <x:v>https://zh.wikisource.org/wiki/%E6%B7%B5%E6%B5%B7%E5%AD%90%E5%B9%B3%E5%A4%A7%E5%85%A8 ; https://zh.wikisource.org/wiki/%E6%BB%B4%E5%A4%A9%E9%AB%93%E9%97%A1%E5%BE%AE</x:v>
      </x:c>
      <x:c r="AD71" s="82" t="str">
        <x:v>采用</x:v>
      </x:c>
      <x:c r="AE71" s="82" t="str">
        <x:v>初审</x:v>
      </x:c>
      <x:c r="AF71" s="87" t="n">
        <x:v>46255</x:v>
      </x:c>
    </x:row>
    <x:row r="72">
      <x:c r="A72" s="72" t="str">
        <x:f>IF(OR(C72="",D72=""),"",B72&amp;"-"&amp;UPPER(C72)&amp;"-"&amp;TEXT(D72,"0000")&amp;"-"&amp;E72)</x:f>
        <x:v>M09-SYN-0066-V1.0</x:v>
      </x:c>
      <x:c r="B72" s="74" t="str">
        <x:v>M09</x:v>
      </x:c>
      <x:c r="C72" s="74" t="str">
        <x:v>SYN</x:v>
      </x:c>
      <x:c r="D72" s="79" t="n">
        <x:v>66</x:v>
      </x:c>
      <x:c r="E72" s="74" t="str">
        <x:v>V1.0</x:v>
      </x:c>
      <x:c r="F72" s="68" t="str">
        <x:v>一个决定性强证据可压过多个微弱证据</x:v>
      </x:c>
      <x:c r="G72" s="82" t="str">
        <x:v>综合层</x:v>
      </x:c>
      <x:c r="H72" s="68" t="str">
        <x:v>综合比较</x:v>
      </x:c>
      <x:c r="I72" s="68" t="str">
        <x:v>证据质量优先</x:v>
      </x:c>
      <x:c r="J72" s="68" t="str">
        <x:v>一侧有决定性强证据，另一侧仅多个弱证据</x:v>
      </x:c>
      <x:c r="K72" s="68" t="str">
        <x:v>高</x:v>
      </x:c>
      <x:c r="L72" s="82" t="str">
        <x:v>强</x:v>
      </x:c>
      <x:c r="M72" s="68" t="str">
        <x:v>M08完成</x:v>
      </x:c>
      <x:c r="N72" s="68" t="str">
        <x:v>强证据来源独立且真实</x:v>
      </x:c>
      <x:c r="O72" s="68" t="str">
        <x:v>强证据另有同向支持</x:v>
      </x:c>
      <x:c r="P72" s="68" t="str">
        <x:v>对侧存在未识别的强根或强势</x:v>
      </x:c>
      <x:c r="Q72" s="90" t="str">
        <x:v>禁止按证据条数多数裁决</x:v>
      </x:c>
      <x:c r="R72" s="68" t="str">
        <x:v>极端边界降低置信度</x:v>
      </x:c>
      <x:c r="S72" s="68" t="str">
        <x:v>力量质量优先于证据数量</x:v>
      </x:c>
      <x:c r="T72" s="82" t="str">
        <x:v>否</x:v>
      </x:c>
      <x:c r="U72" s="82" t="str">
        <x:v>中和</x:v>
      </x:c>
      <x:c r="V72" s="84" t="str">
        <x:v>强证据优先</x:v>
      </x:c>
      <x:c r="W72" s="84" t="str">
        <x:v>旺衰裁定以有效强度优先；一个决定性证据可高于多个微弱证据。</x:v>
      </x:c>
      <x:c r="X72" s="82" t="str">
        <x:v>较高</x:v>
      </x:c>
      <x:c r="Y72" s="82" t="str">
        <x:v>现代综合</x:v>
      </x:c>
      <x:c r="Z72" s="68" t="str">
        <x:v>综合裁定比较扶身侧与负荷侧的有效净优势，采用强证据优先、同源去重、反证保留和冲突降置信。</x:v>
      </x:c>
      <x:c r="AA72" s="68" t="str">
        <x:v>正例：当“一侧有决定性强证据，另一侧仅多个弱证据”真实成立，且必要条件与增强条件同向时，按“一个决定性强证据可压过多个微弱证据”记录对应旺衰证据。</x:v>
      </x:c>
      <x:c r="AB72" s="90" t="str">
        <x:v>反例：只有表面条件，但出现“禁止按证据条数多数裁决”或关键有效性未成立时，不得套用本规则。</x:v>
      </x:c>
      <x:c r="AC72" s="68" t="str">
        <x:v>https://zh.wikisource.org/wiki/%E6%B7%B5%E6%B5%B7%E5%AD%90%E5%B9%B3%E5%A4%A7%E5%85%A8 ; https://zh.wikisource.org/wiki/%E6%BB%B4%E5%A4%A9%E9%AB%93%E9%97%A1%E5%BE%AE</x:v>
      </x:c>
      <x:c r="AD72" s="82" t="str">
        <x:v>采用</x:v>
      </x:c>
      <x:c r="AE72" s="82" t="str">
        <x:v>初审</x:v>
      </x:c>
      <x:c r="AF72" s="87" t="n">
        <x:v>46255</x:v>
      </x:c>
    </x:row>
    <x:row r="73">
      <x:c r="A73" s="72" t="str">
        <x:f>IF(OR(C73="",D73=""),"",B73&amp;"-"&amp;UPPER(C73)&amp;"-"&amp;TEXT(D73,"0000")&amp;"-"&amp;E73)</x:f>
        <x:v>M09-SYN-0067-V1.0</x:v>
      </x:c>
      <x:c r="B73" s="74" t="str">
        <x:v>M09</x:v>
      </x:c>
      <x:c r="C73" s="74" t="str">
        <x:v>SYN</x:v>
      </x:c>
      <x:c r="D73" s="79" t="n">
        <x:v>67</x:v>
      </x:c>
      <x:c r="E73" s="74" t="str">
        <x:v>V1.0</x:v>
      </x:c>
      <x:c r="F73" s="68" t="str">
        <x:v>同一干支节点跨维度出现时必须做证据容量去重</x:v>
      </x:c>
      <x:c r="G73" s="82" t="str">
        <x:v>综合层</x:v>
      </x:c>
      <x:c r="H73" s="68" t="str">
        <x:v>综合比较</x:v>
      </x:c>
      <x:c r="I73" s="68" t="str">
        <x:v>证据去重</x:v>
      </x:c>
      <x:c r="J73" s="68" t="str">
        <x:v>同一节点同时被记为得令、得地、得势或得生来源</x:v>
      </x:c>
      <x:c r="K73" s="68" t="str">
        <x:v>高</x:v>
      </x:c>
      <x:c r="L73" s="82" t="str">
        <x:v>决定性</x:v>
      </x:c>
      <x:c r="M73" s="68" t="str">
        <x:v>M03/M08完成</x:v>
      </x:c>
      <x:c r="N73" s="68" t="str">
        <x:v>确认事实来源相同</x:v>
      </x:c>
      <x:c r="O73" s="68" t="str">
        <x:v>另有独立节点</x:v>
      </x:c>
      <x:c r="P73" s="68"/>
      <x:c r="Q73" s="90" t="str">
        <x:v>禁止同一节点跨字段重复全额计权</x:v>
      </x:c>
      <x:c r="R73" s="68" t="str">
        <x:v>保留多标签用于解释</x:v>
      </x:c>
      <x:c r="S73" s="68" t="str">
        <x:v>去重后仍可保留其多重功能说明</x:v>
      </x:c>
      <x:c r="T73" s="82" t="str">
        <x:v>是</x:v>
      </x:c>
      <x:c r="U73" s="82" t="str">
        <x:v>中和</x:v>
      </x:c>
      <x:c r="V73" s="84" t="str">
        <x:v>跨维去重</x:v>
      </x:c>
      <x:c r="W73" s="84" t="str">
        <x:v>同一干支节点可有多重意义，但其力量容量不得在多个维度中重复全额使用。</x:v>
      </x:c>
      <x:c r="X73" s="82" t="str">
        <x:v>较高</x:v>
      </x:c>
      <x:c r="Y73" s="82" t="str">
        <x:v>现代综合</x:v>
      </x:c>
      <x:c r="Z73" s="68" t="str">
        <x:v>综合裁定比较扶身侧与负荷侧的有效净优势，采用强证据优先、同源去重、反证保留和冲突降置信。</x:v>
      </x:c>
      <x:c r="AA73" s="68" t="str">
        <x:v>正例：当“同一节点同时被记为得令、得地、得势或得生来源”真实成立，且必要条件与增强条件同向时，按“同一干支节点跨维度出现时必须做证据容量去重”记录对应旺衰证据。</x:v>
      </x:c>
      <x:c r="AB73" s="90" t="str">
        <x:v>反例：只有表面条件，但出现“禁止同一节点跨字段重复全额计权”或关键有效性未成立时，不得套用本规则。</x:v>
      </x:c>
      <x:c r="AC73" s="68" t="str">
        <x:v>https://zh.wikisource.org/wiki/%E6%B7%B5%E6%B5%B7%E5%AD%90%E5%B9%B3%E5%A4%A7%E5%85%A8 ; https://zh.wikisource.org/wiki/%E6%BB%B4%E5%A4%A9%E9%AB%93%E9%97%A1%E5%BE%AE</x:v>
      </x:c>
      <x:c r="AD73" s="82" t="str">
        <x:v>采用</x:v>
      </x:c>
      <x:c r="AE73" s="82" t="str">
        <x:v>初审</x:v>
      </x:c>
      <x:c r="AF73" s="87" t="n">
        <x:v>46255</x:v>
      </x:c>
    </x:row>
    <x:row r="74">
      <x:c r="A74" s="72" t="str">
        <x:f>IF(OR(C74="",D74=""),"",B74&amp;"-"&amp;UPPER(C74)&amp;"-"&amp;TEXT(D74,"0000")&amp;"-"&amp;E74)</x:f>
        <x:v>M09-SYN-0068-V1.0</x:v>
      </x:c>
      <x:c r="B74" s="74" t="str">
        <x:v>M09</x:v>
      </x:c>
      <x:c r="C74" s="74" t="str">
        <x:v>SYN</x:v>
      </x:c>
      <x:c r="D74" s="79" t="n">
        <x:v>68</x:v>
      </x:c>
      <x:c r="E74" s="74" t="str">
        <x:v>V1.0</x:v>
      </x:c>
      <x:c r="F74" s="68" t="str">
        <x:v>两侧都强且差距不大时优先落在中和区而非同时判旺弱</x:v>
      </x:c>
      <x:c r="G74" s="82" t="str">
        <x:v>综合层</x:v>
      </x:c>
      <x:c r="H74" s="68" t="str">
        <x:v>综合比较</x:v>
      </x:c>
      <x:c r="I74" s="68" t="str">
        <x:v>中和</x:v>
      </x:c>
      <x:c r="J74" s="68" t="str">
        <x:v>扶身侧和负荷侧均有多项强证据且净差较小</x:v>
      </x:c>
      <x:c r="K74" s="68" t="str">
        <x:v>高</x:v>
      </x:c>
      <x:c r="L74" s="82" t="str">
        <x:v>强</x:v>
      </x:c>
      <x:c r="M74" s="68" t="str">
        <x:v>M08完成</x:v>
      </x:c>
      <x:c r="N74" s="68" t="str">
        <x:v>两侧强度接近</x:v>
      </x:c>
      <x:c r="O74" s="68" t="str">
        <x:v>各自有独立根源</x:v>
      </x:c>
      <x:c r="P74" s="68" t="str">
        <x:v>一侧出现决定性新增证据</x:v>
      </x:c>
      <x:c r="Q74" s="90" t="str">
        <x:v>禁止同时输出“身旺又身弱”</x:v>
      </x:c>
      <x:c r="R74" s="68" t="str">
        <x:v>可输出中和偏向</x:v>
      </x:c>
      <x:c r="S74" s="68" t="str">
        <x:v>强强对峙首先说明力量大而相对平衡</x:v>
      </x:c>
      <x:c r="T74" s="82" t="str">
        <x:v>否</x:v>
      </x:c>
      <x:c r="U74" s="82" t="str">
        <x:v>中和</x:v>
      </x:c>
      <x:c r="V74" s="84" t="str">
        <x:v>强强平衡</x:v>
      </x:c>
      <x:c r="W74" s="84" t="str">
        <x:v>扶身与负荷两侧都强且净差不大时，日主更接近中和或中和偏向。</x:v>
      </x:c>
      <x:c r="X74" s="82" t="str">
        <x:v>较高</x:v>
      </x:c>
      <x:c r="Y74" s="82" t="str">
        <x:v>现代综合</x:v>
      </x:c>
      <x:c r="Z74" s="68" t="str">
        <x:v>综合裁定比较扶身侧与负荷侧的有效净优势，采用强证据优先、同源去重、反证保留和冲突降置信。</x:v>
      </x:c>
      <x:c r="AA74" s="68" t="str">
        <x:v>正例：当“扶身侧和负荷侧均有多项强证据且净差较小”真实成立，且必要条件与增强条件同向时，按“两侧都强且差距不大时优先落在中和区而非同时判旺弱”记录对应旺衰证据。</x:v>
      </x:c>
      <x:c r="AB74" s="90" t="str">
        <x:v>反例：只有表面条件，但出现“禁止同时输出“身旺又身弱””或关键有效性未成立时，不得套用本规则。</x:v>
      </x:c>
      <x:c r="AC74" s="68" t="str">
        <x:v>https://zh.wikisource.org/wiki/%E6%B7%B5%E6%B5%B7%E5%AD%90%E5%B9%B3%E5%A4%A7%E5%85%A8 ; https://zh.wikisource.org/wiki/%E6%BB%B4%E5%A4%A9%E9%AB%93%E9%97%A1%E5%BE%AE</x:v>
      </x:c>
      <x:c r="AD74" s="82" t="str">
        <x:v>采用</x:v>
      </x:c>
      <x:c r="AE74" s="82" t="str">
        <x:v>初审</x:v>
      </x:c>
      <x:c r="AF74" s="87" t="n">
        <x:v>46255</x:v>
      </x:c>
    </x:row>
    <x:row r="75">
      <x:c r="A75" s="72" t="str">
        <x:f>IF(OR(C75="",D75=""),"",B75&amp;"-"&amp;UPPER(C75)&amp;"-"&amp;TEXT(D75,"0000")&amp;"-"&amp;E75)</x:f>
        <x:v>M09-SYN-0069-V1.0</x:v>
      </x:c>
      <x:c r="B75" s="74" t="str">
        <x:v>M09</x:v>
      </x:c>
      <x:c r="C75" s="74" t="str">
        <x:v>SYN</x:v>
      </x:c>
      <x:c r="D75" s="79" t="n">
        <x:v>69</x:v>
      </x:c>
      <x:c r="E75" s="74" t="str">
        <x:v>V1.0</x:v>
      </x:c>
      <x:c r="F75" s="68" t="str">
        <x:v>两侧都弱时仍按相对净差裁定而不是自动中和</x:v>
      </x:c>
      <x:c r="G75" s="82" t="str">
        <x:v>综合层</x:v>
      </x:c>
      <x:c r="H75" s="68" t="str">
        <x:v>综合比较</x:v>
      </x:c>
      <x:c r="I75" s="68" t="str">
        <x:v>双向</x:v>
      </x:c>
      <x:c r="J75" s="68" t="str">
        <x:v>扶身侧与负荷侧都缺乏强证据</x:v>
      </x:c>
      <x:c r="K75" s="68" t="str">
        <x:v>中</x:v>
      </x:c>
      <x:c r="L75" s="82" t="str">
        <x:v>中</x:v>
      </x:c>
      <x:c r="M75" s="68" t="str">
        <x:v>M08完成</x:v>
      </x:c>
      <x:c r="N75" s="68" t="str">
        <x:v>各侧均为弱证据</x:v>
      </x:c>
      <x:c r="O75" s="68" t="str">
        <x:v>一侧仍有明确轻微优势</x:v>
      </x:c>
      <x:c r="P75" s="68"/>
      <x:c r="Q75" s="90" t="str">
        <x:v>禁止“双方都弱=中和”</x:v>
      </x:c>
      <x:c r="R75" s="68" t="str">
        <x:v>极弱特殊格局另审</x:v>
      </x:c>
      <x:c r="S75" s="68" t="str">
        <x:v>整体能量低仍可能偏弱或偏旺</x:v>
      </x:c>
      <x:c r="T75" s="82" t="str">
        <x:v>否</x:v>
      </x:c>
      <x:c r="U75" s="82" t="str">
        <x:v>中和</x:v>
      </x:c>
      <x:c r="V75" s="84" t="str">
        <x:v>弱弱比较</x:v>
      </x:c>
      <x:c r="W75" s="84" t="str">
        <x:v>两侧都弱时仍比较相对优势；中和要求净差小，而非双方绝对力量都低。</x:v>
      </x:c>
      <x:c r="X75" s="82" t="str">
        <x:v>较高</x:v>
      </x:c>
      <x:c r="Y75" s="82" t="str">
        <x:v>现代综合</x:v>
      </x:c>
      <x:c r="Z75" s="68" t="str">
        <x:v>综合裁定比较扶身侧与负荷侧的有效净优势，采用强证据优先、同源去重、反证保留和冲突降置信。</x:v>
      </x:c>
      <x:c r="AA75" s="68" t="str">
        <x:v>正例：当“扶身侧与负荷侧都缺乏强证据”真实成立，且必要条件与增强条件同向时，按“两侧都弱时仍按相对净差裁定而不是自动中和”记录对应旺衰证据。</x:v>
      </x:c>
      <x:c r="AB75" s="90" t="str">
        <x:v>反例：只有表面条件，但出现“禁止“双方都弱=中和””或关键有效性未成立时，不得套用本规则。</x:v>
      </x:c>
      <x:c r="AC75" s="68" t="str">
        <x:v>https://zh.wikisource.org/wiki/%E6%B7%B5%E6%B5%B7%E5%AD%90%E5%B9%B3%E5%A4%A7%E5%85%A8 ; https://zh.wikisource.org/wiki/%E6%BB%B4%E5%A4%A9%E9%AB%93%E9%97%A1%E5%BE%AE</x:v>
      </x:c>
      <x:c r="AD75" s="82" t="str">
        <x:v>采用</x:v>
      </x:c>
      <x:c r="AE75" s="82" t="str">
        <x:v>初审</x:v>
      </x:c>
      <x:c r="AF75" s="87" t="n">
        <x:v>46255</x:v>
      </x:c>
    </x:row>
    <x:row r="76">
      <x:c r="A76" s="72" t="str">
        <x:f>IF(OR(C76="",D76=""),"",B76&amp;"-"&amp;UPPER(C76)&amp;"-"&amp;TEXT(D76,"0000")&amp;"-"&amp;E76)</x:f>
        <x:v>M09-SYN-0070-V1.0</x:v>
      </x:c>
      <x:c r="B76" s="74" t="str">
        <x:v>M09</x:v>
      </x:c>
      <x:c r="C76" s="74" t="str">
        <x:v>SYN</x:v>
      </x:c>
      <x:c r="D76" s="79" t="n">
        <x:v>70</x:v>
      </x:c>
      <x:c r="E76" s="74" t="str">
        <x:v>V1.0</x:v>
      </x:c>
      <x:c r="F76" s="68" t="str">
        <x:v>M08五行旺衰必须转换为相对日主角色后才能进入M09</x:v>
      </x:c>
      <x:c r="G76" s="82" t="str">
        <x:v>综合层</x:v>
      </x:c>
      <x:c r="H76" s="68" t="str">
        <x:v>综合比较</x:v>
      </x:c>
      <x:c r="I76" s="68" t="str">
        <x:v>边界</x:v>
      </x:c>
      <x:c r="J76" s="68" t="str">
        <x:v>读取木火土金水有效旺衰</x:v>
      </x:c>
      <x:c r="K76" s="68" t="str">
        <x:v>高</x:v>
      </x:c>
      <x:c r="L76" s="82" t="str">
        <x:v>决定性</x:v>
      </x:c>
      <x:c r="M76" s="68" t="str">
        <x:v>M08完成</x:v>
      </x:c>
      <x:c r="N76" s="68" t="str">
        <x:v>每个五行已映射为日主的比劫、印、食伤、财、官杀角色</x:v>
      </x:c>
      <x:c r="O76" s="68"/>
      <x:c r="P76" s="68"/>
      <x:c r="Q76" s="90" t="str">
        <x:v>禁止把某五行旺直接等同日主旺或弱</x:v>
      </x:c>
      <x:c r="R76" s="68" t="str">
        <x:v>十神细分转M10</x:v>
      </x:c>
      <x:c r="S76" s="68" t="str">
        <x:v>同一旺五行对不同日主可分别是扶身或负荷</x:v>
      </x:c>
      <x:c r="T76" s="82" t="str">
        <x:v>是</x:v>
      </x:c>
      <x:c r="U76" s="82" t="str">
        <x:v>中和</x:v>
      </x:c>
      <x:c r="V76" s="84" t="str">
        <x:v>五行角色转换</x:v>
      </x:c>
      <x:c r="W76" s="84" t="str">
        <x:v>M08的五行有效旺衰需先按日主映射为扶身或负荷角色，才能参与M09裁定。</x:v>
      </x:c>
      <x:c r="X76" s="82" t="str">
        <x:v>较高</x:v>
      </x:c>
      <x:c r="Y76" s="82" t="str">
        <x:v>现代综合</x:v>
      </x:c>
      <x:c r="Z76" s="68" t="str">
        <x:v>综合裁定比较扶身侧与负荷侧的有效净优势，采用强证据优先、同源去重、反证保留和冲突降置信。</x:v>
      </x:c>
      <x:c r="AA76" s="68" t="str">
        <x:v>正例：当“读取木火土金水有效旺衰”真实成立，且必要条件与增强条件同向时，按“M08五行旺衰必须转换为相对日主角色后才能进入M09”记录对应旺衰证据。</x:v>
      </x:c>
      <x:c r="AB76" s="90" t="str">
        <x:v>反例：只有表面条件，但出现“禁止把某五行旺直接等同日主旺或弱”或关键有效性未成立时，不得套用本规则。</x:v>
      </x:c>
      <x:c r="AC76" s="68" t="str">
        <x:v>https://zh.wikisource.org/wiki/%E6%B7%B5%E6%B5%B7%E5%AD%90%E5%B9%B3%E5%A4%A7%E5%85%A8 ; https://zh.wikisource.org/wiki/%E6%BB%B4%E5%A4%A9%E9%AB%93%E9%97%A1%E5%BE%AE</x:v>
      </x:c>
      <x:c r="AD76" s="82" t="str">
        <x:v>采用</x:v>
      </x:c>
      <x:c r="AE76" s="82" t="str">
        <x:v>初审</x:v>
      </x:c>
      <x:c r="AF76" s="87" t="n">
        <x:v>46255</x:v>
      </x:c>
    </x:row>
    <x:row r="77">
      <x:c r="A77" s="72" t="str">
        <x:f>IF(OR(C77="",D77=""),"",B77&amp;"-"&amp;UPPER(C77)&amp;"-"&amp;TEXT(D77,"0000")&amp;"-"&amp;E77)</x:f>
        <x:v>M09-SYN-0071-V1.0</x:v>
      </x:c>
      <x:c r="B77" s="74" t="str">
        <x:v>M09</x:v>
      </x:c>
      <x:c r="C77" s="74" t="str">
        <x:v>SYN</x:v>
      </x:c>
      <x:c r="D77" s="79" t="n">
        <x:v>71</x:v>
      </x:c>
      <x:c r="E77" s="74" t="str">
        <x:v>V1.0</x:v>
      </x:c>
      <x:c r="F77" s="68" t="str">
        <x:v>反向证据必须与主结论同时保存</x:v>
      </x:c>
      <x:c r="G77" s="82" t="str">
        <x:v>综合层</x:v>
      </x:c>
      <x:c r="H77" s="68" t="str">
        <x:v>综合比较</x:v>
      </x:c>
      <x:c r="I77" s="68" t="str">
        <x:v>治理</x:v>
      </x:c>
      <x:c r="J77" s="68" t="str">
        <x:v>形成任何七级旺衰结论</x:v>
      </x:c>
      <x:c r="K77" s="68" t="str">
        <x:v>高</x:v>
      </x:c>
      <x:c r="L77" s="82" t="str">
        <x:v>决定性</x:v>
      </x:c>
      <x:c r="M77" s="68" t="str">
        <x:v>M03/M08完成</x:v>
      </x:c>
      <x:c r="N77" s="68" t="str">
        <x:v>至少记录一条最强反向证据或明确无强反证</x:v>
      </x:c>
      <x:c r="O77" s="68" t="str">
        <x:v>主证据一致</x:v>
      </x:c>
      <x:c r="P77" s="68" t="str">
        <x:v>反证与主证据同强且未解决</x:v>
      </x:c>
      <x:c r="Q77" s="90" t="str">
        <x:v>禁止只列支持主结论的证据</x:v>
      </x:c>
      <x:c r="R77" s="68" t="str">
        <x:v>确无反证可注明</x:v>
      </x:c>
      <x:c r="S77" s="68" t="str">
        <x:v>反证越强，置信度越低或结论向中和收缩</x:v>
      </x:c>
      <x:c r="T77" s="82" t="str">
        <x:v>是</x:v>
      </x:c>
      <x:c r="U77" s="82" t="str">
        <x:v>中和</x:v>
      </x:c>
      <x:c r="V77" s="84" t="str">
        <x:v>反证保留</x:v>
      </x:c>
      <x:c r="W77" s="84" t="str">
        <x:v>日主旺衰结论必须同时列出最强支持证据与最强反向证据。</x:v>
      </x:c>
      <x:c r="X77" s="82" t="str">
        <x:v>较高</x:v>
      </x:c>
      <x:c r="Y77" s="82" t="str">
        <x:v>现代综合</x:v>
      </x:c>
      <x:c r="Z77" s="68" t="str">
        <x:v>综合裁定比较扶身侧与负荷侧的有效净优势，采用强证据优先、同源去重、反证保留和冲突降置信。</x:v>
      </x:c>
      <x:c r="AA77" s="68" t="str">
        <x:v>正例：当“形成任何七级旺衰结论”真实成立，且必要条件与增强条件同向时，按“反向证据必须与主结论同时保存”记录对应旺衰证据。</x:v>
      </x:c>
      <x:c r="AB77" s="90" t="str">
        <x:v>反例：只有表面条件，但出现“禁止只列支持主结论的证据”或关键有效性未成立时，不得套用本规则。</x:v>
      </x:c>
      <x:c r="AC77" s="68" t="str">
        <x:v>https://zh.wikisource.org/wiki/%E6%B7%B5%E6%B5%B7%E5%AD%90%E5%B9%B3%E5%A4%A7%E5%85%A8 ; https://zh.wikisource.org/wiki/%E6%BB%B4%E5%A4%A9%E9%AB%93%E9%97%A1%E5%BE%AE</x:v>
      </x:c>
      <x:c r="AD77" s="82" t="str">
        <x:v>采用</x:v>
      </x:c>
      <x:c r="AE77" s="82" t="str">
        <x:v>初审</x:v>
      </x:c>
      <x:c r="AF77" s="87" t="n">
        <x:v>46255</x:v>
      </x:c>
    </x:row>
    <x:row r="78">
      <x:c r="A78" s="72" t="str">
        <x:f>IF(OR(C78="",D78=""),"",B78&amp;"-"&amp;UPPER(C78)&amp;"-"&amp;TEXT(D78,"0000")&amp;"-"&amp;E78)</x:f>
        <x:v>M09-SYN-0072-V1.0</x:v>
      </x:c>
      <x:c r="B78" s="74" t="str">
        <x:v>M09</x:v>
      </x:c>
      <x:c r="C78" s="74" t="str">
        <x:v>SYN</x:v>
      </x:c>
      <x:c r="D78" s="79" t="n">
        <x:v>72</x:v>
      </x:c>
      <x:c r="E78" s="74" t="str">
        <x:v>V1.0</x:v>
      </x:c>
      <x:c r="F78" s="68" t="str">
        <x:v>证据冲突未被M08解决时先降低置信度而非强行定级</x:v>
      </x:c>
      <x:c r="G78" s="82" t="str">
        <x:v>综合层</x:v>
      </x:c>
      <x:c r="H78" s="68" t="str">
        <x:v>综合比较</x:v>
      </x:c>
      <x:c r="I78" s="68" t="str">
        <x:v>降低置信度</x:v>
      </x:c>
      <x:c r="J78" s="68" t="str">
        <x:v>关键根气、合化或作用效应仍存在争议</x:v>
      </x:c>
      <x:c r="K78" s="68" t="str">
        <x:v>高</x:v>
      </x:c>
      <x:c r="L78" s="82" t="str">
        <x:v>强</x:v>
      </x:c>
      <x:c r="M78" s="68" t="str">
        <x:v>M08/M21信息可用</x:v>
      </x:c>
      <x:c r="N78" s="68" t="str">
        <x:v>争议足以影响旺衰方向</x:v>
      </x:c>
      <x:c r="O78" s="68" t="str">
        <x:v>多数非争议证据同向</x:v>
      </x:c>
      <x:c r="P78" s="68" t="str">
        <x:v>争议对最终等级无实质影响</x:v>
      </x:c>
      <x:c r="Q78" s="90" t="str">
        <x:v>禁止以低置信争议规则压过多项稳定证据</x:v>
      </x:c>
      <x:c r="R78" s="68" t="str">
        <x:v>可给相邻双候选</x:v>
      </x:c>
      <x:c r="S78" s="68" t="str">
        <x:v>不确定性本身必须进入结果</x:v>
      </x:c>
      <x:c r="T78" s="82" t="str">
        <x:v>否</x:v>
      </x:c>
      <x:c r="U78" s="82" t="str">
        <x:v>中和</x:v>
      </x:c>
      <x:c r="V78" s="84" t="str">
        <x:v>冲突降置信</x:v>
      </x:c>
      <x:c r="W78" s="84" t="str">
        <x:v>关键证据存在未决争议时，输出相邻旺衰候选并降低置信度，不强行定级。</x:v>
      </x:c>
      <x:c r="X78" s="82" t="str">
        <x:v>较高</x:v>
      </x:c>
      <x:c r="Y78" s="82" t="str">
        <x:v>现代综合</x:v>
      </x:c>
      <x:c r="Z78" s="68" t="str">
        <x:v>综合裁定比较扶身侧与负荷侧的有效净优势，采用强证据优先、同源去重、反证保留和冲突降置信。</x:v>
      </x:c>
      <x:c r="AA78" s="68" t="str">
        <x:v>正例：当“关键根气、合化或作用效应仍存在争议”真实成立，且必要条件与增强条件同向时，按“证据冲突未被M08解决时先降低置信度而非强行定级”记录对应旺衰证据。</x:v>
      </x:c>
      <x:c r="AB78" s="90" t="str">
        <x:v>反例：只有表面条件，但出现“禁止以低置信争议规则压过多项稳定证据”或关键有效性未成立时，不得套用本规则。</x:v>
      </x:c>
      <x:c r="AC78" s="68" t="str">
        <x:v>https://zh.wikisource.org/wiki/%E6%B7%B5%E6%B5%B7%E5%AD%90%E5%B9%B3%E5%A4%A7%E5%85%A8 ; https://zh.wikisource.org/wiki/%E6%BB%B4%E5%A4%A9%E9%AB%93%E9%97%A1%E5%BE%AE</x:v>
      </x:c>
      <x:c r="AD78" s="82" t="str">
        <x:v>采用</x:v>
      </x:c>
      <x:c r="AE78" s="82" t="str">
        <x:v>初审</x:v>
      </x:c>
      <x:c r="AF78" s="87" t="n">
        <x:v>46255</x:v>
      </x:c>
    </x:row>
    <x:row r="79">
      <x:c r="A79" s="72" t="str">
        <x:f>IF(OR(C79="",D79=""),"",B79&amp;"-"&amp;UPPER(C79)&amp;"-"&amp;TEXT(D79,"0000")&amp;"-"&amp;E79)</x:f>
        <x:v>M09-GRADE-0073-V1.0</x:v>
      </x:c>
      <x:c r="B79" s="74" t="str">
        <x:v>M09</x:v>
      </x:c>
      <x:c r="C79" s="74" t="str">
        <x:v>GRADE</x:v>
      </x:c>
      <x:c r="D79" s="79" t="n">
        <x:v>73</x:v>
      </x:c>
      <x:c r="E79" s="74" t="str">
        <x:v>V1.0</x:v>
      </x:c>
      <x:c r="F79" s="68" t="str">
        <x:v>极弱要求扶身侧近乎失效且负荷侧形成单向主导</x:v>
      </x:c>
      <x:c r="G79" s="82" t="str">
        <x:v>综合层</x:v>
      </x:c>
      <x:c r="H79" s="68" t="str">
        <x:v>综合分级</x:v>
      </x:c>
      <x:c r="I79" s="68" t="str">
        <x:v>支持极弱</x:v>
      </x:c>
      <x:c r="J79" s="68" t="str">
        <x:v>失令/无有效根/印比弱，同时制泄耗至少一类强势且无强反证</x:v>
      </x:c>
      <x:c r="K79" s="68" t="str">
        <x:v>高</x:v>
      </x:c>
      <x:c r="L79" s="82" t="str">
        <x:v>决定性</x:v>
      </x:c>
      <x:c r="M79" s="68" t="str">
        <x:v>M03/M08完成</x:v>
      </x:c>
      <x:c r="N79" s="68" t="str">
        <x:v>扶身侧缺乏可持续承载</x:v>
      </x:c>
      <x:c r="O79" s="68" t="str">
        <x:v>多类负荷同向或一类决定性成势</x:v>
      </x:c>
      <x:c r="P79" s="68" t="str">
        <x:v>仍有强根、强印或有效比劫集团</x:v>
      </x:c>
      <x:c r="Q79" s="90" t="str">
        <x:v>禁止单凭无根或失令判极弱</x:v>
      </x:c>
      <x:c r="R79" s="68" t="str">
        <x:v>是否从格转M14</x:v>
      </x:c>
      <x:c r="S79" s="68" t="str">
        <x:v>有一处强扶身反证时通常应回到弱或中和偏弱</x:v>
      </x:c>
      <x:c r="T79" s="82" t="str">
        <x:v>是</x:v>
      </x:c>
      <x:c r="U79" s="82" t="str">
        <x:v>极弱</x:v>
      </x:c>
      <x:c r="V79" s="84" t="str">
        <x:v>七级极弱</x:v>
      </x:c>
      <x:c r="W79" s="84" t="str">
        <x:v>扶身侧近乎失效、负荷侧单向主导且无强反证，可判日主极弱；从格另审。</x:v>
      </x:c>
      <x:c r="X79" s="82" t="str">
        <x:v>较高</x:v>
      </x:c>
      <x:c r="Y79" s="82" t="str">
        <x:v>现代综合</x:v>
      </x:c>
      <x:c r="Z79" s="68" t="str">
        <x:v>七级分级依据双侧净优势和是否存在决定性证据；中和区看轻度偏向，极端等级要求多维同向且缺少强反证。</x:v>
      </x:c>
      <x:c r="AA79" s="68" t="str">
        <x:v>正例：当“失令/无有效根/印比弱，同时制泄耗至少一类强势且无强反证”真实成立，且必要条件与增强条件同向时，按“极弱要求扶身侧近乎失效且负荷侧形成单向主导”记录对应旺衰证据。</x:v>
      </x:c>
      <x:c r="AB79" s="90" t="str">
        <x:v>反例：只有表面条件，但出现“禁止单凭无根或失令判极弱”或关键有效性未成立时，不得套用本规则。</x:v>
      </x:c>
      <x:c r="AC79" s="68" t="str">
        <x:v>https://zh.wikisource.org/wiki/%E6%B7%B5%E6%B5%B7%E5%AD%90%E5%B9%B3%E5%A4%A7%E5%85%A8 ; https://zh.wikisource.org/wiki/%E6%BB%B4%E5%A4%A9%E9%AB%93%E9%97%A1%E5%BE%AE</x:v>
      </x:c>
      <x:c r="AD79" s="82" t="str">
        <x:v>采用</x:v>
      </x:c>
      <x:c r="AE79" s="82" t="str">
        <x:v>初审</x:v>
      </x:c>
      <x:c r="AF79" s="87" t="n">
        <x:v>46255</x:v>
      </x:c>
    </x:row>
    <x:row r="80">
      <x:c r="A80" s="72" t="str">
        <x:f>IF(OR(C80="",D80=""),"",B80&amp;"-"&amp;UPPER(C80)&amp;"-"&amp;TEXT(D80,"0000")&amp;"-"&amp;E80)</x:f>
        <x:v>M09-GRADE-0074-V1.0</x:v>
      </x:c>
      <x:c r="B80" s="74" t="str">
        <x:v>M09</x:v>
      </x:c>
      <x:c r="C80" s="74" t="str">
        <x:v>GRADE</x:v>
      </x:c>
      <x:c r="D80" s="79" t="n">
        <x:v>74</x:v>
      </x:c>
      <x:c r="E80" s="74" t="str">
        <x:v>V1.0</x:v>
      </x:c>
      <x:c r="F80" s="68" t="str">
        <x:v>弱表示负荷侧明显占优但日主仍有一定承载</x:v>
      </x:c>
      <x:c r="G80" s="82" t="str">
        <x:v>综合层</x:v>
      </x:c>
      <x:c r="H80" s="68" t="str">
        <x:v>综合分级</x:v>
      </x:c>
      <x:c r="I80" s="68" t="str">
        <x:v>支持偏弱</x:v>
      </x:c>
      <x:c r="J80" s="68" t="str">
        <x:v>负荷侧明显强于扶身侧，且日主仍有有效根/印比之一</x:v>
      </x:c>
      <x:c r="K80" s="68" t="str">
        <x:v>高</x:v>
      </x:c>
      <x:c r="L80" s="82" t="str">
        <x:v>强</x:v>
      </x:c>
      <x:c r="M80" s="68" t="str">
        <x:v>M03/M08完成</x:v>
      </x:c>
      <x:c r="N80" s="68" t="str">
        <x:v>净差明显向负荷侧</x:v>
      </x:c>
      <x:c r="O80" s="68" t="str">
        <x:v>失令、根弱、制泄耗连续</x:v>
      </x:c>
      <x:c r="P80" s="68" t="str">
        <x:v>扶身侧出现强根或强印比集团</x:v>
      </x:c>
      <x:c r="Q80" s="90" t="str">
        <x:v>禁止有承载即自动判中和</x:v>
      </x:c>
      <x:c r="R80" s="68"/>
      <x:c r="S80" s="68" t="str">
        <x:v>弱区别于极弱的关键是仍保留一定有效扶持</x:v>
      </x:c>
      <x:c r="T80" s="82" t="str">
        <x:v>是</x:v>
      </x:c>
      <x:c r="U80" s="82" t="str">
        <x:v>弱</x:v>
      </x:c>
      <x:c r="V80" s="84" t="str">
        <x:v>七级弱</x:v>
      </x:c>
      <x:c r="W80" s="84" t="str">
        <x:v>制泄耗明显占优，但日主仍保留一定有效承载，判为弱。</x:v>
      </x:c>
      <x:c r="X80" s="82" t="str">
        <x:v>较高</x:v>
      </x:c>
      <x:c r="Y80" s="82" t="str">
        <x:v>现代综合</x:v>
      </x:c>
      <x:c r="Z80" s="68" t="str">
        <x:v>七级分级依据双侧净优势和是否存在决定性证据；中和区看轻度偏向，极端等级要求多维同向且缺少强反证。</x:v>
      </x:c>
      <x:c r="AA80" s="68" t="str">
        <x:v>正例：当“负荷侧明显强于扶身侧，且日主仍有有效根/印比之一”真实成立，且必要条件与增强条件同向时，按“弱表示负荷侧明显占优但日主仍有一定承载”记录对应旺衰证据。</x:v>
      </x:c>
      <x:c r="AB80" s="90" t="str">
        <x:v>反例：只有表面条件，但出现“禁止有承载即自动判中和”或关键有效性未成立时，不得套用本规则。</x:v>
      </x:c>
      <x:c r="AC80" s="68" t="str">
        <x:v>https://zh.wikisource.org/wiki/%E6%B7%B5%E6%B5%B7%E5%AD%90%E5%B9%B3%E5%A4%A7%E5%85%A8 ; https://zh.wikisource.org/wiki/%E6%BB%B4%E5%A4%A9%E9%AB%93%E9%97%A1%E5%BE%AE</x:v>
      </x:c>
      <x:c r="AD80" s="82" t="str">
        <x:v>采用</x:v>
      </x:c>
      <x:c r="AE80" s="82" t="str">
        <x:v>初审</x:v>
      </x:c>
      <x:c r="AF80" s="87" t="n">
        <x:v>46255</x:v>
      </x:c>
    </x:row>
    <x:row r="81">
      <x:c r="A81" s="72" t="str">
        <x:f>IF(OR(C81="",D81=""),"",B81&amp;"-"&amp;UPPER(C81)&amp;"-"&amp;TEXT(D81,"0000")&amp;"-"&amp;E81)</x:f>
        <x:v>M09-GRADE-0075-V1.0</x:v>
      </x:c>
      <x:c r="B81" s="74" t="str">
        <x:v>M09</x:v>
      </x:c>
      <x:c r="C81" s="74" t="str">
        <x:v>GRADE</x:v>
      </x:c>
      <x:c r="D81" s="79" t="n">
        <x:v>75</x:v>
      </x:c>
      <x:c r="E81" s="74" t="str">
        <x:v>V1.0</x:v>
      </x:c>
      <x:c r="F81" s="68" t="str">
        <x:v>中和偏弱表示负荷侧轻度占优且无决定性差距</x:v>
      </x:c>
      <x:c r="G81" s="82" t="str">
        <x:v>综合层</x:v>
      </x:c>
      <x:c r="H81" s="68" t="str">
        <x:v>综合分级</x:v>
      </x:c>
      <x:c r="I81" s="68" t="str">
        <x:v>轻度支持偏弱</x:v>
      </x:c>
      <x:c r="J81" s="68" t="str">
        <x:v>负荷侧略强于扶身侧，但两边都有有效证据</x:v>
      </x:c>
      <x:c r="K81" s="68" t="str">
        <x:v>高</x:v>
      </x:c>
      <x:c r="L81" s="82" t="str">
        <x:v>中</x:v>
      </x:c>
      <x:c r="M81" s="68" t="str">
        <x:v>M03/M08完成</x:v>
      </x:c>
      <x:c r="N81" s="68" t="str">
        <x:v>净优势存在但不大</x:v>
      </x:c>
      <x:c r="O81" s="68" t="str">
        <x:v>失令或单项强负荷</x:v>
      </x:c>
      <x:c r="P81" s="68" t="str">
        <x:v>扶身侧多根或强印比</x:v>
      </x:c>
      <x:c r="Q81" s="90" t="str">
        <x:v>禁止因一项失令直接降为弱</x:v>
      </x:c>
      <x:c r="R81" s="68"/>
      <x:c r="S81" s="68" t="str">
        <x:v>若去掉一项中等证据即可回到中和，通常属于偏弱而非弱</x:v>
      </x:c>
      <x:c r="T81" s="82" t="str">
        <x:v>是</x:v>
      </x:c>
      <x:c r="U81" s="82" t="str">
        <x:v>中和偏弱</x:v>
      </x:c>
      <x:c r="V81" s="84" t="str">
        <x:v>七级中和偏弱</x:v>
      </x:c>
      <x:c r="W81" s="84" t="str">
        <x:v>日主扶身与负荷总体接近，但负荷侧略占优势，判中和偏弱。</x:v>
      </x:c>
      <x:c r="X81" s="82" t="str">
        <x:v>较高</x:v>
      </x:c>
      <x:c r="Y81" s="82" t="str">
        <x:v>现代综合</x:v>
      </x:c>
      <x:c r="Z81" s="68" t="str">
        <x:v>七级分级依据双侧净优势和是否存在决定性证据；中和区看轻度偏向，极端等级要求多维同向且缺少强反证。</x:v>
      </x:c>
      <x:c r="AA81" s="68" t="str">
        <x:v>正例：当“负荷侧略强于扶身侧，但两边都有有效证据”真实成立，且必要条件与增强条件同向时，按“中和偏弱表示负荷侧轻度占优且无决定性差距”记录对应旺衰证据。</x:v>
      </x:c>
      <x:c r="AB81" s="90" t="str">
        <x:v>反例：只有表面条件，但出现“禁止因一项失令直接降为弱”或关键有效性未成立时，不得套用本规则。</x:v>
      </x:c>
      <x:c r="AC81" s="68" t="str">
        <x:v>https://zh.wikisource.org/wiki/%E6%B7%B5%E6%B5%B7%E5%AD%90%E5%B9%B3%E5%A4%A7%E5%85%A8 ; https://zh.wikisource.org/wiki/%E6%BB%B4%E5%A4%A9%E9%AB%93%E9%97%A1%E5%BE%AE</x:v>
      </x:c>
      <x:c r="AD81" s="82" t="str">
        <x:v>采用</x:v>
      </x:c>
      <x:c r="AE81" s="82" t="str">
        <x:v>初审</x:v>
      </x:c>
      <x:c r="AF81" s="87" t="n">
        <x:v>46255</x:v>
      </x:c>
    </x:row>
    <x:row r="82">
      <x:c r="A82" s="72" t="str">
        <x:f>IF(OR(C82="",D82=""),"",B82&amp;"-"&amp;UPPER(C82)&amp;"-"&amp;TEXT(D82,"0000")&amp;"-"&amp;E82)</x:f>
        <x:v>M09-GRADE-0076-V1.0</x:v>
      </x:c>
      <x:c r="B82" s="74" t="str">
        <x:v>M09</x:v>
      </x:c>
      <x:c r="C82" s="74" t="str">
        <x:v>GRADE</x:v>
      </x:c>
      <x:c r="D82" s="79" t="n">
        <x:v>76</x:v>
      </x:c>
      <x:c r="E82" s="74" t="str">
        <x:v>V1.0</x:v>
      </x:c>
      <x:c r="F82" s="68" t="str">
        <x:v>中和要求两侧有效力量大体相抵且无一方形成主导</x:v>
      </x:c>
      <x:c r="G82" s="82" t="str">
        <x:v>综合层</x:v>
      </x:c>
      <x:c r="H82" s="68" t="str">
        <x:v>综合分级</x:v>
      </x:c>
      <x:c r="I82" s="68" t="str">
        <x:v>中和</x:v>
      </x:c>
      <x:c r="J82" s="68" t="str">
        <x:v>扶身侧与负荷侧净差小，且均不存在未被抵消的决定性优势</x:v>
      </x:c>
      <x:c r="K82" s="68" t="str">
        <x:v>高</x:v>
      </x:c>
      <x:c r="L82" s="82" t="str">
        <x:v>强</x:v>
      </x:c>
      <x:c r="M82" s="68" t="str">
        <x:v>M03/M08完成</x:v>
      </x:c>
      <x:c r="N82" s="68" t="str">
        <x:v>两侧证据可比较</x:v>
      </x:c>
      <x:c r="O82" s="68" t="str">
        <x:v>多维证据相互制衡</x:v>
      </x:c>
      <x:c r="P82" s="68" t="str">
        <x:v>一侧出现决定性成势</x:v>
      </x:c>
      <x:c r="Q82" s="90" t="str">
        <x:v>禁止把中和理解为五行数量相等</x:v>
      </x:c>
      <x:c r="R82" s="68"/>
      <x:c r="S82" s="68" t="str">
        <x:v>中和是相对平衡，不要求绝对均等</x:v>
      </x:c>
      <x:c r="T82" s="82" t="str">
        <x:v>是</x:v>
      </x:c>
      <x:c r="U82" s="82" t="str">
        <x:v>中和</x:v>
      </x:c>
      <x:c r="V82" s="84" t="str">
        <x:v>七级中和</x:v>
      </x:c>
      <x:c r="W82" s="84" t="str">
        <x:v>扶身与制泄耗两侧有效力量大体相抵、无明显主导，判为中和。</x:v>
      </x:c>
      <x:c r="X82" s="82" t="str">
        <x:v>较高</x:v>
      </x:c>
      <x:c r="Y82" s="82" t="str">
        <x:v>现代综合</x:v>
      </x:c>
      <x:c r="Z82" s="68" t="str">
        <x:v>七级分级依据双侧净优势和是否存在决定性证据；中和区看轻度偏向，极端等级要求多维同向且缺少强反证。</x:v>
      </x:c>
      <x:c r="AA82" s="68" t="str">
        <x:v>正例：当“扶身侧与负荷侧净差小，且均不存在未被抵消的决定性优势”真实成立，且必要条件与增强条件同向时，按“中和要求两侧有效力量大体相抵且无一方形成主导”记录对应旺衰证据。</x:v>
      </x:c>
      <x:c r="AB82" s="90" t="str">
        <x:v>反例：只有表面条件，但出现“禁止把中和理解为五行数量相等”或关键有效性未成立时，不得套用本规则。</x:v>
      </x:c>
      <x:c r="AC82" s="68" t="str">
        <x:v>https://zh.wikisource.org/wiki/%E6%B7%B5%E6%B5%B7%E5%AD%90%E5%B9%B3%E5%A4%A7%E5%85%A8 ; https://zh.wikisource.org/wiki/%E6%BB%B4%E5%A4%A9%E9%AB%93%E9%97%A1%E5%BE%AE</x:v>
      </x:c>
      <x:c r="AD82" s="82" t="str">
        <x:v>采用</x:v>
      </x:c>
      <x:c r="AE82" s="82" t="str">
        <x:v>初审</x:v>
      </x:c>
      <x:c r="AF82" s="87" t="n">
        <x:v>46255</x:v>
      </x:c>
    </x:row>
    <x:row r="83">
      <x:c r="A83" s="72" t="str">
        <x:f>IF(OR(C83="",D83=""),"",B83&amp;"-"&amp;UPPER(C83)&amp;"-"&amp;TEXT(D83,"0000")&amp;"-"&amp;E83)</x:f>
        <x:v>M09-GRADE-0077-V1.0</x:v>
      </x:c>
      <x:c r="B83" s="74" t="str">
        <x:v>M09</x:v>
      </x:c>
      <x:c r="C83" s="74" t="str">
        <x:v>GRADE</x:v>
      </x:c>
      <x:c r="D83" s="79" t="n">
        <x:v>77</x:v>
      </x:c>
      <x:c r="E83" s="74" t="str">
        <x:v>V1.0</x:v>
      </x:c>
      <x:c r="F83" s="68" t="str">
        <x:v>中和偏旺表示扶身侧轻度占优且无决定性差距</x:v>
      </x:c>
      <x:c r="G83" s="82" t="str">
        <x:v>综合层</x:v>
      </x:c>
      <x:c r="H83" s="68" t="str">
        <x:v>综合分级</x:v>
      </x:c>
      <x:c r="I83" s="68" t="str">
        <x:v>轻度支持偏旺</x:v>
      </x:c>
      <x:c r="J83" s="68" t="str">
        <x:v>扶身侧略强于负荷侧，但两边都有有效证据</x:v>
      </x:c>
      <x:c r="K83" s="68" t="str">
        <x:v>高</x:v>
      </x:c>
      <x:c r="L83" s="82" t="str">
        <x:v>中</x:v>
      </x:c>
      <x:c r="M83" s="68" t="str">
        <x:v>M03/M08完成</x:v>
      </x:c>
      <x:c r="N83" s="68" t="str">
        <x:v>净优势存在但不大</x:v>
      </x:c>
      <x:c r="O83" s="68" t="str">
        <x:v>得令、多根或印比有效</x:v>
      </x:c>
      <x:c r="P83" s="68" t="str">
        <x:v>官杀食伤财一侧出现强集团</x:v>
      </x:c>
      <x:c r="Q83" s="90" t="str">
        <x:v>禁止得令即直接判偏旺</x:v>
      </x:c>
      <x:c r="R83" s="68"/>
      <x:c r="S83" s="68" t="str">
        <x:v>若去掉一项中等扶身证据即可回到中和，通常属于偏旺而非旺</x:v>
      </x:c>
      <x:c r="T83" s="82" t="str">
        <x:v>是</x:v>
      </x:c>
      <x:c r="U83" s="82" t="str">
        <x:v>中和偏旺</x:v>
      </x:c>
      <x:c r="V83" s="84" t="str">
        <x:v>七级中和偏旺</x:v>
      </x:c>
      <x:c r="W83" s="84" t="str">
        <x:v>日主扶身与负荷总体接近，但扶身侧略占优势，判中和偏旺。</x:v>
      </x:c>
      <x:c r="X83" s="82" t="str">
        <x:v>较高</x:v>
      </x:c>
      <x:c r="Y83" s="82" t="str">
        <x:v>现代综合</x:v>
      </x:c>
      <x:c r="Z83" s="68" t="str">
        <x:v>七级分级依据双侧净优势和是否存在决定性证据；中和区看轻度偏向，极端等级要求多维同向且缺少强反证。</x:v>
      </x:c>
      <x:c r="AA83" s="68" t="str">
        <x:v>正例：当“扶身侧略强于负荷侧，但两边都有有效证据”真实成立，且必要条件与增强条件同向时，按“中和偏旺表示扶身侧轻度占优且无决定性差距”记录对应旺衰证据。</x:v>
      </x:c>
      <x:c r="AB83" s="90" t="str">
        <x:v>反例：只有表面条件，但出现“禁止得令即直接判偏旺”或关键有效性未成立时，不得套用本规则。</x:v>
      </x:c>
      <x:c r="AC83" s="68" t="str">
        <x:v>https://zh.wikisource.org/wiki/%E6%B7%B5%E6%B5%B7%E5%AD%90%E5%B9%B3%E5%A4%A7%E5%85%A8 ; https://zh.wikisource.org/wiki/%E6%BB%B4%E5%A4%A9%E9%AB%93%E9%97%A1%E5%BE%AE</x:v>
      </x:c>
      <x:c r="AD83" s="82" t="str">
        <x:v>采用</x:v>
      </x:c>
      <x:c r="AE83" s="82" t="str">
        <x:v>初审</x:v>
      </x:c>
      <x:c r="AF83" s="87" t="n">
        <x:v>46255</x:v>
      </x:c>
    </x:row>
    <x:row r="84">
      <x:c r="A84" s="72" t="str">
        <x:f>IF(OR(C84="",D84=""),"",B84&amp;"-"&amp;UPPER(C84)&amp;"-"&amp;TEXT(D84,"0000")&amp;"-"&amp;E84)</x:f>
        <x:v>M09-GRADE-0078-V1.0</x:v>
      </x:c>
      <x:c r="B84" s="74" t="str">
        <x:v>M09</x:v>
      </x:c>
      <x:c r="C84" s="74" t="str">
        <x:v>GRADE</x:v>
      </x:c>
      <x:c r="D84" s="79" t="n">
        <x:v>78</x:v>
      </x:c>
      <x:c r="E84" s="74" t="str">
        <x:v>V1.0</x:v>
      </x:c>
      <x:c r="F84" s="68" t="str">
        <x:v>旺要求扶身侧明显占优且日主具有稳定承载</x:v>
      </x:c>
      <x:c r="G84" s="82" t="str">
        <x:v>综合层</x:v>
      </x:c>
      <x:c r="H84" s="68" t="str">
        <x:v>综合分级</x:v>
      </x:c>
      <x:c r="I84" s="68" t="str">
        <x:v>支持偏旺</x:v>
      </x:c>
      <x:c r="J84" s="68" t="str">
        <x:v>有效根、印比与季令等多项扶身证据明显强于负荷侧</x:v>
      </x:c>
      <x:c r="K84" s="68" t="str">
        <x:v>高</x:v>
      </x:c>
      <x:c r="L84" s="82" t="str">
        <x:v>强</x:v>
      </x:c>
      <x:c r="M84" s="68" t="str">
        <x:v>M03/M08完成</x:v>
      </x:c>
      <x:c r="N84" s="68" t="str">
        <x:v>至少有稳定根气或等价承载</x:v>
      </x:c>
      <x:c r="O84" s="68" t="str">
        <x:v>得令、多根、印比成势</x:v>
      </x:c>
      <x:c r="P84" s="68" t="str">
        <x:v>负荷侧出现决定性强压</x:v>
      </x:c>
      <x:c r="Q84" s="90" t="str">
        <x:v>禁止一项强证据单独判旺</x:v>
      </x:c>
      <x:c r="R84" s="68" t="str">
        <x:v>特殊格局转M14</x:v>
      </x:c>
      <x:c r="S84" s="68" t="str">
        <x:v>旺区别于极旺在于仍存在有意义的负荷或制衡</x:v>
      </x:c>
      <x:c r="T84" s="82" t="str">
        <x:v>是</x:v>
      </x:c>
      <x:c r="U84" s="82" t="str">
        <x:v>旺</x:v>
      </x:c>
      <x:c r="V84" s="84" t="str">
        <x:v>七级旺</x:v>
      </x:c>
      <x:c r="W84" s="84" t="str">
        <x:v>扶身侧明显占优且承载稳定，判日主旺。</x:v>
      </x:c>
      <x:c r="X84" s="82" t="str">
        <x:v>较高</x:v>
      </x:c>
      <x:c r="Y84" s="82" t="str">
        <x:v>现代综合</x:v>
      </x:c>
      <x:c r="Z84" s="68" t="str">
        <x:v>七级分级依据双侧净优势和是否存在决定性证据；中和区看轻度偏向，极端等级要求多维同向且缺少强反证。</x:v>
      </x:c>
      <x:c r="AA84" s="68" t="str">
        <x:v>正例：当“有效根、印比与季令等多项扶身证据明显强于负荷侧”真实成立，且必要条件与增强条件同向时，按“旺要求扶身侧明显占优且日主具有稳定承载”记录对应旺衰证据。</x:v>
      </x:c>
      <x:c r="AB84" s="90" t="str">
        <x:v>反例：只有表面条件，但出现“禁止一项强证据单独判旺”或关键有效性未成立时，不得套用本规则。</x:v>
      </x:c>
      <x:c r="AC84" s="68" t="str">
        <x:v>https://zh.wikisource.org/wiki/%E6%B7%B5%E6%B5%B7%E5%AD%90%E5%B9%B3%E5%A4%A7%E5%85%A8 ; https://zh.wikisource.org/wiki/%E6%BB%B4%E5%A4%A9%E9%AB%93%E9%97%A1%E5%BE%AE</x:v>
      </x:c>
      <x:c r="AD84" s="82" t="str">
        <x:v>采用</x:v>
      </x:c>
      <x:c r="AE84" s="82" t="str">
        <x:v>初审</x:v>
      </x:c>
      <x:c r="AF84" s="87" t="n">
        <x:v>46255</x:v>
      </x:c>
    </x:row>
    <x:row r="85">
      <x:c r="A85" s="72" t="str">
        <x:f>IF(OR(C85="",D85=""),"",B85&amp;"-"&amp;UPPER(C85)&amp;"-"&amp;TEXT(D85,"0000")&amp;"-"&amp;E85)</x:f>
        <x:v>M09-GRADE-0079-V1.0</x:v>
      </x:c>
      <x:c r="B85" s="74" t="str">
        <x:v>M09</x:v>
      </x:c>
      <x:c r="C85" s="74" t="str">
        <x:v>GRADE</x:v>
      </x:c>
      <x:c r="D85" s="79" t="n">
        <x:v>79</x:v>
      </x:c>
      <x:c r="E85" s="74" t="str">
        <x:v>V1.0</x:v>
      </x:c>
      <x:c r="F85" s="68" t="str">
        <x:v>极旺要求扶身侧高度集中且负荷侧缺乏有效制衡</x:v>
      </x:c>
      <x:c r="G85" s="82" t="str">
        <x:v>综合层</x:v>
      </x:c>
      <x:c r="H85" s="68" t="str">
        <x:v>综合分级</x:v>
      </x:c>
      <x:c r="I85" s="68" t="str">
        <x:v>支持极旺</x:v>
      </x:c>
      <x:c r="J85" s="68" t="str">
        <x:v>得令或强季令、多重强根、印比成势且制泄耗普遍弱或失效</x:v>
      </x:c>
      <x:c r="K85" s="68" t="str">
        <x:v>高</x:v>
      </x:c>
      <x:c r="L85" s="82" t="str">
        <x:v>决定性</x:v>
      </x:c>
      <x:c r="M85" s="68" t="str">
        <x:v>M03/M08完成</x:v>
      </x:c>
      <x:c r="N85" s="68" t="str">
        <x:v>多维扶身强证据同向</x:v>
      </x:c>
      <x:c r="O85" s="68" t="str">
        <x:v>全局气势高度集中于日主一侧</x:v>
      </x:c>
      <x:c r="P85" s="68" t="str">
        <x:v>存在强官杀/食伤/财有效制衡</x:v>
      </x:c>
      <x:c r="Q85" s="90" t="str">
        <x:v>禁止仅因印比多判极旺</x:v>
      </x:c>
      <x:c r="R85" s="68" t="str">
        <x:v>专旺从旺候选转M14</x:v>
      </x:c>
      <x:c r="S85" s="68" t="str">
        <x:v>出现一项强制衡时通常回落至旺</x:v>
      </x:c>
      <x:c r="T85" s="82" t="str">
        <x:v>是</x:v>
      </x:c>
      <x:c r="U85" s="82" t="str">
        <x:v>极旺</x:v>
      </x:c>
      <x:c r="V85" s="84" t="str">
        <x:v>七级极旺</x:v>
      </x:c>
      <x:c r="W85" s="84" t="str">
        <x:v>扶身侧高度集中、负荷侧缺乏有效制衡，可判日主极旺；特殊格局另审。</x:v>
      </x:c>
      <x:c r="X85" s="82" t="str">
        <x:v>较高</x:v>
      </x:c>
      <x:c r="Y85" s="82" t="str">
        <x:v>现代综合</x:v>
      </x:c>
      <x:c r="Z85" s="68" t="str">
        <x:v>七级分级依据双侧净优势和是否存在决定性证据；中和区看轻度偏向，极端等级要求多维同向且缺少强反证。</x:v>
      </x:c>
      <x:c r="AA85" s="68" t="str">
        <x:v>正例：当“得令或强季令、多重强根、印比成势且制泄耗普遍弱或失效”真实成立，且必要条件与增强条件同向时，按“极旺要求扶身侧高度集中且负荷侧缺乏有效制衡”记录对应旺衰证据。</x:v>
      </x:c>
      <x:c r="AB85" s="90" t="str">
        <x:v>反例：只有表面条件，但出现“禁止仅因印比多判极旺”或关键有效性未成立时，不得套用本规则。</x:v>
      </x:c>
      <x:c r="AC85" s="68" t="str">
        <x:v>https://zh.wikisource.org/wiki/%E6%B7%B5%E6%B5%B7%E5%AD%90%E5%B9%B3%E5%A4%A7%E5%85%A8 ; https://zh.wikisource.org/wiki/%E6%BB%B4%E5%A4%A9%E9%AB%93%E9%97%A1%E5%BE%AE</x:v>
      </x:c>
      <x:c r="AD85" s="82" t="str">
        <x:v>采用</x:v>
      </x:c>
      <x:c r="AE85" s="82" t="str">
        <x:v>初审</x:v>
      </x:c>
      <x:c r="AF85" s="87" t="n">
        <x:v>46255</x:v>
      </x:c>
    </x:row>
    <x:row r="86">
      <x:c r="A86" s="72" t="str">
        <x:f>IF(OR(C86="",D86=""),"",B86&amp;"-"&amp;UPPER(C86)&amp;"-"&amp;TEXT(D86,"0000")&amp;"-"&amp;E86)</x:f>
        <x:v>M09-GRADE-0080-V1.0</x:v>
      </x:c>
      <x:c r="B86" s="74" t="str">
        <x:v>M09</x:v>
      </x:c>
      <x:c r="C86" s="74" t="str">
        <x:v>GRADE</x:v>
      </x:c>
      <x:c r="D86" s="79" t="n">
        <x:v>80</x:v>
      </x:c>
      <x:c r="E86" s="74" t="str">
        <x:v>V1.0</x:v>
      </x:c>
      <x:c r="F86" s="68" t="str">
        <x:v>相邻等级边界应优先给主级加次级候选而非跨两级跳判</x:v>
      </x:c>
      <x:c r="G86" s="82" t="str">
        <x:v>综合层</x:v>
      </x:c>
      <x:c r="H86" s="68" t="str">
        <x:v>综合分级</x:v>
      </x:c>
      <x:c r="I86" s="68" t="str">
        <x:v>治理</x:v>
      </x:c>
      <x:c r="J86" s="68" t="str">
        <x:v>关键证据只产生轻微净差或存在中等反证</x:v>
      </x:c>
      <x:c r="K86" s="68" t="str">
        <x:v>中高</x:v>
      </x:c>
      <x:c r="L86" s="82" t="str">
        <x:v>中</x:v>
      </x:c>
      <x:c r="M86" s="68" t="str">
        <x:v>M03/M08完成</x:v>
      </x:c>
      <x:c r="N86" s="68" t="str">
        <x:v>主级与相邻级均有合理证据</x:v>
      </x:c>
      <x:c r="O86" s="68" t="str">
        <x:v>后续案例验证支持</x:v>
      </x:c>
      <x:c r="P86" s="68" t="str">
        <x:v>出现决定性新增证据</x:v>
      </x:c>
      <x:c r="Q86" s="90" t="str">
        <x:v>禁止无充分理由从中和直接跳至极旺/极弱</x:v>
      </x:c>
      <x:c r="R86" s="68" t="str">
        <x:v>可给“中和偏弱（接近弱）”等内部标签</x:v>
      </x:c>
      <x:c r="S86" s="68" t="str">
        <x:v>边界输出有助于后续M20回归</x:v>
      </x:c>
      <x:c r="T86" s="82" t="str">
        <x:v>是</x:v>
      </x:c>
      <x:c r="U86" s="82" t="str">
        <x:v>中和</x:v>
      </x:c>
      <x:c r="V86" s="84" t="str">
        <x:v>等级边界</x:v>
      </x:c>
      <x:c r="W86" s="84" t="str">
        <x:v>证据处于边界时优先保留相邻候选，并说明偏向与反证，不做无依据的大幅跳级。</x:v>
      </x:c>
      <x:c r="X86" s="82" t="str">
        <x:v>较高</x:v>
      </x:c>
      <x:c r="Y86" s="82" t="str">
        <x:v>现代综合</x:v>
      </x:c>
      <x:c r="Z86" s="68" t="str">
        <x:v>七级分级依据双侧净优势和是否存在决定性证据；中和区看轻度偏向，极端等级要求多维同向且缺少强反证。</x:v>
      </x:c>
      <x:c r="AA86" s="68" t="str">
        <x:v>正例：当“关键证据只产生轻微净差或存在中等反证”真实成立，且必要条件与增强条件同向时，按“相邻等级边界应优先给主级加次级候选而非跨两级跳判”记录对应旺衰证据。</x:v>
      </x:c>
      <x:c r="AB86" s="90" t="str">
        <x:v>反例：只有表面条件，但出现“禁止无充分理由从中和直接跳至极旺/极弱”或关键有效性未成立时，不得套用本规则。</x:v>
      </x:c>
      <x:c r="AC86" s="68" t="str">
        <x:v>https://zh.wikisource.org/wiki/%E6%B7%B5%E6%B5%B7%E5%AD%90%E5%B9%B3%E5%A4%A7%E5%85%A8 ; https://zh.wikisource.org/wiki/%E6%BB%B4%E5%A4%A9%E9%AB%93%E9%97%A1%E5%BE%AE</x:v>
      </x:c>
      <x:c r="AD86" s="82" t="str">
        <x:v>采用</x:v>
      </x:c>
      <x:c r="AE86" s="82" t="str">
        <x:v>初审</x:v>
      </x:c>
      <x:c r="AF86" s="87" t="n">
        <x:v>46255</x:v>
      </x:c>
    </x:row>
    <x:row r="87">
      <x:c r="A87" s="72" t="str">
        <x:f>IF(OR(C87="",D87=""),"",B87&amp;"-"&amp;UPPER(C87)&amp;"-"&amp;TEXT(D87,"0000")&amp;"-"&amp;E87)</x:f>
        <x:v>M09-BOUND-0081-V1.0</x:v>
      </x:c>
      <x:c r="B87" s="74" t="str">
        <x:v>M09</x:v>
      </x:c>
      <x:c r="C87" s="74" t="str">
        <x:v>BOUND</x:v>
      </x:c>
      <x:c r="D87" s="79" t="n">
        <x:v>81</x:v>
      </x:c>
      <x:c r="E87" s="74" t="str">
        <x:v>V1.0</x:v>
      </x:c>
      <x:c r="F87" s="68" t="str">
        <x:v>M09禁止固定分值总和代替旺衰裁定</x:v>
      </x:c>
      <x:c r="G87" s="82" t="str">
        <x:v>综合层</x:v>
      </x:c>
      <x:c r="H87" s="68" t="str">
        <x:v>判断边界</x:v>
      </x:c>
      <x:c r="I87" s="68" t="str">
        <x:v>治理</x:v>
      </x:c>
      <x:c r="J87" s="68" t="str">
        <x:v>任何日主旺衰综合</x:v>
      </x:c>
      <x:c r="K87" s="68" t="str">
        <x:v>高</x:v>
      </x:c>
      <x:c r="L87" s="82" t="str">
        <x:v>决定性</x:v>
      </x:c>
      <x:c r="M87" s="68" t="str">
        <x:v>M03/M08完成</x:v>
      </x:c>
      <x:c r="N87" s="68" t="str">
        <x:v>证据采用等级与方向而非机械总分</x:v>
      </x:c>
      <x:c r="O87" s="68" t="str">
        <x:v>可用内部参考权重辅助排序</x:v>
      </x:c>
      <x:c r="P87" s="68"/>
      <x:c r="Q87" s="90" t="str">
        <x:v>禁止用固定百分比或简单加减分输出最终等级</x:v>
      </x:c>
      <x:c r="R87" s="68" t="str">
        <x:v>可在M20测试中保存辅助评分但不得覆盖规则结论</x:v>
      </x:c>
      <x:c r="S87" s="68" t="str">
        <x:v>相同分数可能由完全不同的结构产生</x:v>
      </x:c>
      <x:c r="T87" s="82" t="str">
        <x:v>是</x:v>
      </x:c>
      <x:c r="U87" s="82" t="str">
        <x:v>中和</x:v>
      </x:c>
      <x:c r="V87" s="84" t="str">
        <x:v>非机械计分</x:v>
      </x:c>
      <x:c r="W87" s="84" t="str">
        <x:v>参考权重只帮助组织证据，最终七级旺衰必须由结构与有效力量裁定。</x:v>
      </x:c>
      <x:c r="X87" s="82" t="str">
        <x:v>较高</x:v>
      </x:c>
      <x:c r="Y87" s="82" t="str">
        <x:v>现代综合</x:v>
      </x:c>
      <x:c r="Z87" s="68" t="str">
        <x:v>该规则属于M09治理边界，用于防止机械计分、数量投票、越级定喜忌/格局及静动态混用。</x:v>
      </x:c>
      <x:c r="AA87" s="68" t="str">
        <x:v>正例：当“任何日主旺衰综合”真实成立，且必要条件与增强条件同向时，按“M09禁止固定分值总和代替旺衰裁定”记录对应旺衰证据。</x:v>
      </x:c>
      <x:c r="AB87" s="90" t="str">
        <x:v>反例：只有表面条件，但出现“禁止用固定百分比或简单加减分输出最终等级”或关键有效性未成立时，不得套用本规则。</x:v>
      </x:c>
      <x:c r="AC87" s="68" t="str">
        <x:v>https://zh.wikisource.org/wiki/%E6%B7%B5%E6%B5%B7%E5%AD%90%E5%B9%B3%E5%A4%A7%E5%85%A8 ; https://zh.wikisource.org/wiki/%E6%BB%B4%E5%A4%A9%E9%AB%93%E9%97%A1%E5%BE%AE</x:v>
      </x:c>
      <x:c r="AD87" s="82" t="str">
        <x:v>采用</x:v>
      </x:c>
      <x:c r="AE87" s="82" t="str">
        <x:v>初审</x:v>
      </x:c>
      <x:c r="AF87" s="87" t="n">
        <x:v>46255</x:v>
      </x:c>
    </x:row>
    <x:row r="88">
      <x:c r="A88" s="72" t="str">
        <x:f>IF(OR(C88="",D88=""),"",B88&amp;"-"&amp;UPPER(C88)&amp;"-"&amp;TEXT(D88,"0000")&amp;"-"&amp;E88)</x:f>
        <x:v>M09-BOUND-0082-V1.0</x:v>
      </x:c>
      <x:c r="B88" s="74" t="str">
        <x:v>M09</x:v>
      </x:c>
      <x:c r="C88" s="74" t="str">
        <x:v>BOUND</x:v>
      </x:c>
      <x:c r="D88" s="79" t="n">
        <x:v>82</x:v>
      </x:c>
      <x:c r="E88" s="74" t="str">
        <x:v>V1.0</x:v>
      </x:c>
      <x:c r="F88" s="68" t="str">
        <x:v>M09禁止按五行或十神数量投票决定身强身弱</x:v>
      </x:c>
      <x:c r="G88" s="82" t="str">
        <x:v>综合层</x:v>
      </x:c>
      <x:c r="H88" s="68" t="str">
        <x:v>判断边界</x:v>
      </x:c>
      <x:c r="I88" s="68" t="str">
        <x:v>治理</x:v>
      </x:c>
      <x:c r="J88" s="68" t="str">
        <x:v>任何日主旺衰综合</x:v>
      </x:c>
      <x:c r="K88" s="68" t="str">
        <x:v>高</x:v>
      </x:c>
      <x:c r="L88" s="82" t="str">
        <x:v>决定性</x:v>
      </x:c>
      <x:c r="M88" s="68" t="str">
        <x:v>M08完成</x:v>
      </x:c>
      <x:c r="N88" s="68" t="str">
        <x:v>所有节点先看有效质量</x:v>
      </x:c>
      <x:c r="O88" s="68"/>
      <x:c r="P88" s="68"/>
      <x:c r="Q88" s="90" t="str">
        <x:v>禁止“印比多所以旺”“财官食伤多所以弱”</x:v>
      </x:c>
      <x:c r="R88" s="68" t="str">
        <x:v>数量可作低层提示</x:v>
      </x:c>
      <x:c r="S88" s="68" t="str">
        <x:v>数量必须经过得令、根气、透达和作用通路修正</x:v>
      </x:c>
      <x:c r="T88" s="82" t="str">
        <x:v>是</x:v>
      </x:c>
      <x:c r="U88" s="82" t="str">
        <x:v>中和</x:v>
      </x:c>
      <x:c r="V88" s="84" t="str">
        <x:v>数量非结论</x:v>
      </x:c>
      <x:c r="W88" s="84" t="str">
        <x:v>五行与十神数量只能作为候选证据，不能直接决定日主旺衰。</x:v>
      </x:c>
      <x:c r="X88" s="82" t="str">
        <x:v>较高</x:v>
      </x:c>
      <x:c r="Y88" s="82" t="str">
        <x:v>现代综合</x:v>
      </x:c>
      <x:c r="Z88" s="68" t="str">
        <x:v>该规则属于M09治理边界，用于防止机械计分、数量投票、越级定喜忌/格局及静动态混用。</x:v>
      </x:c>
      <x:c r="AA88" s="68" t="str">
        <x:v>正例：当“任何日主旺衰综合”真实成立，且必要条件与增强条件同向时，按“M09禁止按五行或十神数量投票决定身强身弱”记录对应旺衰证据。</x:v>
      </x:c>
      <x:c r="AB88" s="90" t="str">
        <x:v>反例：只有表面条件，但出现“禁止“印比多所以旺”“财官食伤多所以弱””或关键有效性未成立时，不得套用本规则。</x:v>
      </x:c>
      <x:c r="AC88" s="68" t="str">
        <x:v>https://zh.wikisource.org/wiki/%E6%B7%B5%E6%B5%B7%E5%AD%90%E5%B9%B3%E5%A4%A7%E5%85%A8 ; https://zh.wikisource.org/wiki/%E6%BB%B4%E5%A4%A9%E9%AB%93%E9%97%A1%E5%BE%AE</x:v>
      </x:c>
      <x:c r="AD88" s="82" t="str">
        <x:v>采用</x:v>
      </x:c>
      <x:c r="AE88" s="82" t="str">
        <x:v>初审</x:v>
      </x:c>
      <x:c r="AF88" s="87" t="n">
        <x:v>46255</x:v>
      </x:c>
    </x:row>
    <x:row r="89">
      <x:c r="A89" s="72" t="str">
        <x:f>IF(OR(C89="",D89=""),"",B89&amp;"-"&amp;UPPER(C89)&amp;"-"&amp;TEXT(D89,"0000")&amp;"-"&amp;E89)</x:f>
        <x:v>M09-BOUND-0083-V1.0</x:v>
      </x:c>
      <x:c r="B89" s="74" t="str">
        <x:v>M09</x:v>
      </x:c>
      <x:c r="C89" s="74" t="str">
        <x:v>BOUND</x:v>
      </x:c>
      <x:c r="D89" s="79" t="n">
        <x:v>83</x:v>
      </x:c>
      <x:c r="E89" s="74" t="str">
        <x:v>V1.0</x:v>
      </x:c>
      <x:c r="F89" s="68" t="str">
        <x:v>日主旺衰与喜忌用神严格分离</x:v>
      </x:c>
      <x:c r="G89" s="82" t="str">
        <x:v>综合层</x:v>
      </x:c>
      <x:c r="H89" s="68" t="str">
        <x:v>判断边界</x:v>
      </x:c>
      <x:c r="I89" s="68" t="str">
        <x:v>禁止越级</x:v>
      </x:c>
      <x:c r="J89" s="68" t="str">
        <x:v>已得到七级旺衰</x:v>
      </x:c>
      <x:c r="K89" s="68" t="str">
        <x:v>高</x:v>
      </x:c>
      <x:c r="L89" s="82" t="str">
        <x:v>决定性</x:v>
      </x:c>
      <x:c r="M89" s="68" t="str">
        <x:v>M09完成</x:v>
      </x:c>
      <x:c r="N89" s="68" t="str">
        <x:v>只输出力量事实</x:v>
      </x:c>
      <x:c r="O89" s="68"/>
      <x:c r="P89" s="68"/>
      <x:c r="Q89" s="90" t="str">
        <x:v>禁止身旺直接等于忌印比、身弱直接等于喜印比</x:v>
      </x:c>
      <x:c r="R89" s="68" t="str">
        <x:v>喜忌转M16/M17/M18</x:v>
      </x:c>
      <x:c r="S89" s="68" t="str">
        <x:v>格局、调候、病药可能改变最终用神</x:v>
      </x:c>
      <x:c r="T89" s="82" t="str">
        <x:v>是</x:v>
      </x:c>
      <x:c r="U89" s="82" t="str">
        <x:v>中和</x:v>
      </x:c>
      <x:c r="V89" s="84" t="str">
        <x:v>旺衰喜忌分离</x:v>
      </x:c>
      <x:c r="W89" s="84" t="str">
        <x:v>M09只判断日主力量，不直接确定喜神、忌神或用神。</x:v>
      </x:c>
      <x:c r="X89" s="82" t="str">
        <x:v>较高</x:v>
      </x:c>
      <x:c r="Y89" s="82" t="str">
        <x:v>现代综合</x:v>
      </x:c>
      <x:c r="Z89" s="68" t="str">
        <x:v>该规则属于M09治理边界，用于防止机械计分、数量投票、越级定喜忌/格局及静动态混用。</x:v>
      </x:c>
      <x:c r="AA89" s="68" t="str">
        <x:v>正例：当“已得到七级旺衰”真实成立，且必要条件与增强条件同向时，按“日主旺衰与喜忌用神严格分离”记录对应旺衰证据。</x:v>
      </x:c>
      <x:c r="AB89" s="90" t="str">
        <x:v>反例：只有表面条件，但出现“禁止身旺直接等于忌印比、身弱直接等于喜印比”或关键有效性未成立时，不得套用本规则。</x:v>
      </x:c>
      <x:c r="AC89" s="68" t="str">
        <x:v>https://zh.wikisource.org/wiki/%E6%B7%B5%E6%B5%B7%E5%AD%90%E5%B9%B3%E5%A4%A7%E5%85%A8 ; https://zh.wikisource.org/wiki/%E6%BB%B4%E5%A4%A9%E9%AB%93%E9%97%A1%E5%BE%AE</x:v>
      </x:c>
      <x:c r="AD89" s="82" t="str">
        <x:v>采用</x:v>
      </x:c>
      <x:c r="AE89" s="82" t="str">
        <x:v>初审</x:v>
      </x:c>
      <x:c r="AF89" s="87" t="n">
        <x:v>46255</x:v>
      </x:c>
    </x:row>
    <x:row r="90">
      <x:c r="A90" s="72" t="str">
        <x:f>IF(OR(C90="",D90=""),"",B90&amp;"-"&amp;UPPER(C90)&amp;"-"&amp;TEXT(D90,"0000")&amp;"-"&amp;E90)</x:f>
        <x:v>M09-BOUND-0084-V1.0</x:v>
      </x:c>
      <x:c r="B90" s="74" t="str">
        <x:v>M09</x:v>
      </x:c>
      <x:c r="C90" s="74" t="str">
        <x:v>BOUND</x:v>
      </x:c>
      <x:c r="D90" s="79" t="n">
        <x:v>84</x:v>
      </x:c>
      <x:c r="E90" s="74" t="str">
        <x:v>V1.0</x:v>
      </x:c>
      <x:c r="F90" s="68" t="str">
        <x:v>极旺极弱只生成特殊格局候选不在M09确认从格</x:v>
      </x:c>
      <x:c r="G90" s="82" t="str">
        <x:v>综合层</x:v>
      </x:c>
      <x:c r="H90" s="68" t="str">
        <x:v>判断边界</x:v>
      </x:c>
      <x:c r="I90" s="68" t="str">
        <x:v>转审</x:v>
      </x:c>
      <x:c r="J90" s="68" t="str">
        <x:v>日主被判极旺或极弱</x:v>
      </x:c>
      <x:c r="K90" s="68" t="str">
        <x:v>高</x:v>
      </x:c>
      <x:c r="L90" s="82" t="str">
        <x:v>决定性</x:v>
      </x:c>
      <x:c r="M90" s="68" t="str">
        <x:v>M09完成</x:v>
      </x:c>
      <x:c r="N90" s="68" t="str">
        <x:v>达到极端等级</x:v>
      </x:c>
      <x:c r="O90" s="68" t="str">
        <x:v>气势高度单向</x:v>
      </x:c>
      <x:c r="P90" s="68" t="str">
        <x:v>存在强反证</x:v>
      </x:c>
      <x:c r="Q90" s="90" t="str">
        <x:v>禁止在M09直接宣布从旺、从弱、从财、从杀等格局成立</x:v>
      </x:c>
      <x:c r="R90" s="68" t="str">
        <x:v>M14按严格条件淘汰</x:v>
      </x:c>
      <x:c r="S90" s="68" t="str">
        <x:v>常规格旺衰极端与特殊格局成立是两个结论</x:v>
      </x:c>
      <x:c r="T90" s="82" t="str">
        <x:v>是</x:v>
      </x:c>
      <x:c r="U90" s="82" t="str">
        <x:v>极弱</x:v>
      </x:c>
      <x:c r="V90" s="84" t="str">
        <x:v>特殊格局接口</x:v>
      </x:c>
      <x:c r="W90" s="84" t="str">
        <x:v>日主极旺/极弱仅触发特殊格局候选，是否从格或专旺转M14严格判断。</x:v>
      </x:c>
      <x:c r="X90" s="82" t="str">
        <x:v>较高</x:v>
      </x:c>
      <x:c r="Y90" s="82" t="str">
        <x:v>现代综合</x:v>
      </x:c>
      <x:c r="Z90" s="68" t="str">
        <x:v>该规则属于M09治理边界，用于防止机械计分、数量投票、越级定喜忌/格局及静动态混用。</x:v>
      </x:c>
      <x:c r="AA90" s="68" t="str">
        <x:v>正例：当“日主被判极旺或极弱”真实成立，且必要条件与增强条件同向时，按“极旺极弱只生成特殊格局候选不在M09确认从格”记录对应旺衰证据。</x:v>
      </x:c>
      <x:c r="AB90" s="90" t="str">
        <x:v>反例：只有表面条件，但出现“禁止在M09直接宣布从旺、从弱、从财、从杀等格局成立”或关键有效性未成立时，不得套用本规则。</x:v>
      </x:c>
      <x:c r="AC90" s="68" t="str">
        <x:v>https://zh.wikisource.org/wiki/%E6%B7%B5%E6%B5%B7%E5%AD%90%E5%B9%B3%E5%A4%A7%E5%85%A8 ; https://zh.wikisource.org/wiki/%E6%BB%B4%E5%A4%A9%E9%AB%93%E9%97%A1%E5%BE%AE</x:v>
      </x:c>
      <x:c r="AD90" s="82" t="str">
        <x:v>采用</x:v>
      </x:c>
      <x:c r="AE90" s="82" t="str">
        <x:v>初审</x:v>
      </x:c>
      <x:c r="AF90" s="87" t="n">
        <x:v>46255</x:v>
      </x:c>
    </x:row>
    <x:row r="91">
      <x:c r="A91" s="72" t="str">
        <x:f>IF(OR(C91="",D91=""),"",B91&amp;"-"&amp;UPPER(C91)&amp;"-"&amp;TEXT(D91,"0000")&amp;"-"&amp;E91)</x:f>
        <x:v>M09-BOUND-0085-V1.0</x:v>
      </x:c>
      <x:c r="B91" s="74" t="str">
        <x:v>M09</x:v>
      </x:c>
      <x:c r="C91" s="74" t="str">
        <x:v>BOUND</x:v>
      </x:c>
      <x:c r="D91" s="79" t="n">
        <x:v>85</x:v>
      </x:c>
      <x:c r="E91" s="74" t="str">
        <x:v>V1.0</x:v>
      </x:c>
      <x:c r="F91" s="68" t="str">
        <x:v>寒暖燥湿只通过M08有效性影响M09不直接定身强弱</x:v>
      </x:c>
      <x:c r="G91" s="82" t="str">
        <x:v>综合层</x:v>
      </x:c>
      <x:c r="H91" s="68" t="str">
        <x:v>判断边界</x:v>
      </x:c>
      <x:c r="I91" s="68" t="str">
        <x:v>接口</x:v>
      </x:c>
      <x:c r="J91" s="68" t="str">
        <x:v>原局存在明显寒凝、燥烈、湿滞等气候问题</x:v>
      </x:c>
      <x:c r="K91" s="68" t="str">
        <x:v>中高</x:v>
      </x:c>
      <x:c r="L91" s="82" t="str">
        <x:v>中</x:v>
      </x:c>
      <x:c r="M91" s="68" t="str">
        <x:v>M08/M13接口</x:v>
      </x:c>
      <x:c r="N91" s="68" t="str">
        <x:v>M08已体现其对根源透达的实际影响</x:v>
      </x:c>
      <x:c r="O91" s="68" t="str">
        <x:v>气候问题确实削弱某扶身节点</x:v>
      </x:c>
      <x:c r="P91" s="68" t="str">
        <x:v>仅为调候需要但不改变有效力量</x:v>
      </x:c>
      <x:c r="Q91" s="90" t="str">
        <x:v>禁止“寒=身弱”“燥=身旺”等直接映射</x:v>
      </x:c>
      <x:c r="R91" s="68" t="str">
        <x:v>调候主问题转M13</x:v>
      </x:c>
      <x:c r="S91" s="68" t="str">
        <x:v>气候与旺衰相关但不是同一维度</x:v>
      </x:c>
      <x:c r="T91" s="82" t="str">
        <x:v>是</x:v>
      </x:c>
      <x:c r="U91" s="82" t="str">
        <x:v>中和</x:v>
      </x:c>
      <x:c r="V91" s="84" t="str">
        <x:v>调候旺衰分离</x:v>
      </x:c>
      <x:c r="W91" s="84" t="str">
        <x:v>寒暖燥湿只有在已影响五行有效力量时才进入M09；调候需求另由M13判断。</x:v>
      </x:c>
      <x:c r="X91" s="82" t="str">
        <x:v>较高</x:v>
      </x:c>
      <x:c r="Y91" s="82" t="str">
        <x:v>现代综合</x:v>
      </x:c>
      <x:c r="Z91" s="68" t="str">
        <x:v>该规则属于M09治理边界，用于防止机械计分、数量投票、越级定喜忌/格局及静动态混用。</x:v>
      </x:c>
      <x:c r="AA91" s="68" t="str">
        <x:v>正例：当“原局存在明显寒凝、燥烈、湿滞等气候问题”真实成立，且必要条件与增强条件同向时，按“寒暖燥湿只通过M08有效性影响M09不直接定身强弱”记录对应旺衰证据。</x:v>
      </x:c>
      <x:c r="AB91" s="90" t="str">
        <x:v>反例：只有表面条件，但出现“禁止“寒=身弱”“燥=身旺”等直接映射”或关键有效性未成立时，不得套用本规则。</x:v>
      </x:c>
      <x:c r="AC91" s="68" t="str">
        <x:v>https://zh.wikisource.org/wiki/%E6%B7%B5%E6%B5%B7%E5%AD%90%E5%B9%B3%E5%A4%A7%E5%85%A8 ; https://zh.wikisource.org/wiki/%E6%BB%B4%E5%A4%A9%E9%AB%93%E9%97%A1%E5%BE%AE</x:v>
      </x:c>
      <x:c r="AD91" s="82" t="str">
        <x:v>采用</x:v>
      </x:c>
      <x:c r="AE91" s="82" t="str">
        <x:v>初审</x:v>
      </x:c>
      <x:c r="AF91" s="87" t="n">
        <x:v>46255</x:v>
      </x:c>
    </x:row>
    <x:row r="92">
      <x:c r="A92" s="72" t="str">
        <x:f>IF(OR(C92="",D92=""),"",B92&amp;"-"&amp;UPPER(C92)&amp;"-"&amp;TEXT(D92,"0000")&amp;"-"&amp;E92)</x:f>
        <x:v>M09-BOUND-0086-V1.0</x:v>
      </x:c>
      <x:c r="B92" s="74" t="str">
        <x:v>M09</x:v>
      </x:c>
      <x:c r="C92" s="74" t="str">
        <x:v>BOUND</x:v>
      </x:c>
      <x:c r="D92" s="79" t="n">
        <x:v>86</x:v>
      </x:c>
      <x:c r="E92" s="74" t="str">
        <x:v>V1.0</x:v>
      </x:c>
      <x:c r="F92" s="68" t="str">
        <x:v>原局静态旺衰不得混入大运流年动态增减</x:v>
      </x:c>
      <x:c r="G92" s="82" t="str">
        <x:v>综合层</x:v>
      </x:c>
      <x:c r="H92" s="68" t="str">
        <x:v>判断边界</x:v>
      </x:c>
      <x:c r="I92" s="68" t="str">
        <x:v>治理</x:v>
      </x:c>
      <x:c r="J92" s="68" t="str">
        <x:v>M09原局分析</x:v>
      </x:c>
      <x:c r="K92" s="68" t="str">
        <x:v>高</x:v>
      </x:c>
      <x:c r="L92" s="82" t="str">
        <x:v>决定性</x:v>
      </x:c>
      <x:c r="M92" s="68" t="str">
        <x:v>原局四柱已确定</x:v>
      </x:c>
      <x:c r="N92" s="68" t="str">
        <x:v>只读取原局M03/M08结果</x:v>
      </x:c>
      <x:c r="O92" s="68"/>
      <x:c r="P92" s="68"/>
      <x:c r="Q92" s="90" t="str">
        <x:v>禁止用未来大运流年反推原局身强身弱</x:v>
      </x:c>
      <x:c r="R92" s="68" t="str">
        <x:v>动态作用转D0岁运引擎</x:v>
      </x:c>
      <x:c r="S92" s="68" t="str">
        <x:v>原局等级可在岁运被临时改变但不重写出生结构</x:v>
      </x:c>
      <x:c r="T92" s="82" t="str">
        <x:v>是</x:v>
      </x:c>
      <x:c r="U92" s="82" t="str">
        <x:v>中和</x:v>
      </x:c>
      <x:c r="V92" s="84" t="str">
        <x:v>静动态分离</x:v>
      </x:c>
      <x:c r="W92" s="84" t="str">
        <x:v>M09输出原局静态日主旺衰，不混入大运流年力量。</x:v>
      </x:c>
      <x:c r="X92" s="82" t="str">
        <x:v>较高</x:v>
      </x:c>
      <x:c r="Y92" s="82" t="str">
        <x:v>现代综合</x:v>
      </x:c>
      <x:c r="Z92" s="68" t="str">
        <x:v>该规则属于M09治理边界，用于防止机械计分、数量投票、越级定喜忌/格局及静动态混用。</x:v>
      </x:c>
      <x:c r="AA92" s="68" t="str">
        <x:v>正例：当“M09原局分析”真实成立，且必要条件与增强条件同向时，按“原局静态旺衰不得混入大运流年动态增减”记录对应旺衰证据。</x:v>
      </x:c>
      <x:c r="AB92" s="90" t="str">
        <x:v>反例：只有表面条件，但出现“禁止用未来大运流年反推原局身强身弱”或关键有效性未成立时，不得套用本规则。</x:v>
      </x:c>
      <x:c r="AC92" s="68" t="str">
        <x:v>https://zh.wikisource.org/wiki/%E6%B7%B5%E6%B5%B7%E5%AD%90%E5%B9%B3%E5%A4%A7%E5%85%A8 ; https://zh.wikisource.org/wiki/%E6%BB%B4%E5%A4%A9%E9%AB%93%E9%97%A1%E5%BE%AE</x:v>
      </x:c>
      <x:c r="AD92" s="82" t="str">
        <x:v>采用</x:v>
      </x:c>
      <x:c r="AE92" s="82" t="str">
        <x:v>初审</x:v>
      </x:c>
      <x:c r="AF92" s="87" t="n">
        <x:v>46255</x:v>
      </x:c>
    </x:row>
    <x:row r="93">
      <x:c r="A93" s="72" t="str">
        <x:f>IF(OR(C93="",D93=""),"",B93&amp;"-"&amp;UPPER(C93)&amp;"-"&amp;TEXT(D93,"0000")&amp;"-"&amp;E93)</x:f>
        <x:v>M09-BOUND-0087-V1.0</x:v>
      </x:c>
      <x:c r="B93" s="74" t="str">
        <x:v>M09</x:v>
      </x:c>
      <x:c r="C93" s="74" t="str">
        <x:v>BOUND</x:v>
      </x:c>
      <x:c r="D93" s="79" t="n">
        <x:v>87</x:v>
      </x:c>
      <x:c r="E93" s="74" t="str">
        <x:v>V1.0</x:v>
      </x:c>
      <x:c r="F93" s="68" t="str">
        <x:v>性别不参与原局日主旺衰计算</x:v>
      </x:c>
      <x:c r="G93" s="82" t="str">
        <x:v>综合层</x:v>
      </x:c>
      <x:c r="H93" s="68" t="str">
        <x:v>判断边界</x:v>
      </x:c>
      <x:c r="I93" s="68" t="str">
        <x:v>治理</x:v>
      </x:c>
      <x:c r="J93" s="68" t="str">
        <x:v>任何日主旺衰综合</x:v>
      </x:c>
      <x:c r="K93" s="68" t="str">
        <x:v>高</x:v>
      </x:c>
      <x:c r="L93" s="82" t="str">
        <x:v>决定性</x:v>
      </x:c>
      <x:c r="M93" s="68" t="str">
        <x:v>原局四柱已确定</x:v>
      </x:c>
      <x:c r="N93" s="68"/>
      <x:c r="O93" s="68"/>
      <x:c r="P93" s="68"/>
      <x:c r="Q93" s="90" t="str">
        <x:v>禁止因男命女命改变同一八字的旺衰等级</x:v>
      </x:c>
      <x:c r="R93" s="68" t="str">
        <x:v>性别只在特定上层解释模型使用</x:v>
      </x:c>
      <x:c r="S93" s="68" t="str">
        <x:v>相同四柱在M09应得到相同旺衰结论</x:v>
      </x:c>
      <x:c r="T93" s="82" t="str">
        <x:v>是</x:v>
      </x:c>
      <x:c r="U93" s="82" t="str">
        <x:v>中和</x:v>
      </x:c>
      <x:c r="V93" s="84" t="str">
        <x:v>性别无关旺衰</x:v>
      </x:c>
      <x:c r="W93" s="84" t="str">
        <x:v>日主旺衰是原局结构判断，性别不改变同一四柱的力量结论。</x:v>
      </x:c>
      <x:c r="X93" s="82" t="str">
        <x:v>较高</x:v>
      </x:c>
      <x:c r="Y93" s="82" t="str">
        <x:v>现代综合</x:v>
      </x:c>
      <x:c r="Z93" s="68" t="str">
        <x:v>该规则属于M09治理边界，用于防止机械计分、数量投票、越级定喜忌/格局及静动态混用。</x:v>
      </x:c>
      <x:c r="AA93" s="68" t="str">
        <x:v>正例：当“任何日主旺衰综合”真实成立，且必要条件与增强条件同向时，按“性别不参与原局日主旺衰计算”记录对应旺衰证据。</x:v>
      </x:c>
      <x:c r="AB93" s="90" t="str">
        <x:v>反例：只有表面条件，但出现“禁止因男命女命改变同一八字的旺衰等级”或关键有效性未成立时，不得套用本规则。</x:v>
      </x:c>
      <x:c r="AC93" s="68" t="str">
        <x:v>https://zh.wikisource.org/wiki/%E6%B7%B5%E6%B5%B7%E5%AD%90%E5%B9%B3%E5%A4%A7%E5%85%A8 ; https://zh.wikisource.org/wiki/%E6%BB%B4%E5%A4%A9%E9%AB%93%E9%97%A1%E5%BE%AE</x:v>
      </x:c>
      <x:c r="AD93" s="82" t="str">
        <x:v>采用</x:v>
      </x:c>
      <x:c r="AE93" s="82" t="str">
        <x:v>初审</x:v>
      </x:c>
      <x:c r="AF93" s="87" t="n">
        <x:v>46255</x:v>
      </x:c>
    </x:row>
    <x:row r="94">
      <x:c r="A94" s="72" t="str">
        <x:f>IF(OR(C94="",D94=""),"",B94&amp;"-"&amp;UPPER(C94)&amp;"-"&amp;TEXT(D94,"0000")&amp;"-"&amp;E94)</x:f>
        <x:v>M09-BOUND-0088-V1.0</x:v>
      </x:c>
      <x:c r="B94" s="74" t="str">
        <x:v>M09</x:v>
      </x:c>
      <x:c r="C94" s="74" t="str">
        <x:v>BOUND</x:v>
      </x:c>
      <x:c r="D94" s="79" t="n">
        <x:v>88</x:v>
      </x:c>
      <x:c r="E94" s="74" t="str">
        <x:v>V1.0</x:v>
      </x:c>
      <x:c r="F94" s="68" t="str">
        <x:v>十神功能成败不在M09提前裁定</x:v>
      </x:c>
      <x:c r="G94" s="82" t="str">
        <x:v>综合层</x:v>
      </x:c>
      <x:c r="H94" s="68" t="str">
        <x:v>判断边界</x:v>
      </x:c>
      <x:c r="I94" s="68" t="str">
        <x:v>禁止越级</x:v>
      </x:c>
      <x:c r="J94" s="68" t="str">
        <x:v>发现食神制杀、杀印相生、伤官配印等候选</x:v>
      </x:c>
      <x:c r="K94" s="68" t="str">
        <x:v>高</x:v>
      </x:c>
      <x:c r="L94" s="82" t="str">
        <x:v>决定性</x:v>
      </x:c>
      <x:c r="M94" s="68" t="str">
        <x:v>M09完成</x:v>
      </x:c>
      <x:c r="N94" s="68" t="str">
        <x:v>M09仅把对应五行作用作为制泄耗或生扶证据</x:v>
      </x:c>
      <x:c r="O94" s="68"/>
      <x:c r="P94" s="68"/>
      <x:c r="Q94" s="90" t="str">
        <x:v>禁止从日主旺衰层直接宣布十神组合成立</x:v>
      </x:c>
      <x:c r="R94" s="68" t="str">
        <x:v>组合转M10/M11</x:v>
      </x:c>
      <x:c r="S94" s="68" t="str">
        <x:v>相同力量可形成不同十神功能结构</x:v>
      </x:c>
      <x:c r="T94" s="82" t="str">
        <x:v>是</x:v>
      </x:c>
      <x:c r="U94" s="82" t="str">
        <x:v>中和</x:v>
      </x:c>
      <x:c r="V94" s="84" t="str">
        <x:v>十神功能接口</x:v>
      </x:c>
      <x:c r="W94" s="84" t="str">
        <x:v>M09只记录相关力量对日主的影响；十神功能、清纯度与组合成立转M10/M11。</x:v>
      </x:c>
      <x:c r="X94" s="82" t="str">
        <x:v>较高</x:v>
      </x:c>
      <x:c r="Y94" s="82" t="str">
        <x:v>现代综合</x:v>
      </x:c>
      <x:c r="Z94" s="68" t="str">
        <x:v>该规则属于M09治理边界，用于防止机械计分、数量投票、越级定喜忌/格局及静动态混用。</x:v>
      </x:c>
      <x:c r="AA94" s="68" t="str">
        <x:v>正例：当“发现食神制杀、杀印相生、伤官配印等候选”真实成立，且必要条件与增强条件同向时，按“十神功能成败不在M09提前裁定”记录对应旺衰证据。</x:v>
      </x:c>
      <x:c r="AB94" s="90" t="str">
        <x:v>反例：只有表面条件，但出现“禁止从日主旺衰层直接宣布十神组合成立”或关键有效性未成立时，不得套用本规则。</x:v>
      </x:c>
      <x:c r="AC94" s="68" t="str">
        <x:v>https://zh.wikisource.org/wiki/%E6%B7%B5%E6%B5%B7%E5%AD%90%E5%B9%B3%E5%A4%A7%E5%85%A8 ; https://zh.wikisource.org/wiki/%E6%BB%B4%E5%A4%A9%E9%AB%93%E9%97%A1%E5%BE%AE</x:v>
      </x:c>
      <x:c r="AD94" s="82" t="str">
        <x:v>采用</x:v>
      </x:c>
      <x:c r="AE94" s="82" t="str">
        <x:v>初审</x:v>
      </x:c>
      <x:c r="AF94" s="87" t="n">
        <x:v>46255</x:v>
      </x:c>
    </x:row>
    <x:row r="95">
      <x:c r="A95" s="72" t="str">
        <x:f>IF(OR(C95="",D95=""),"",B95&amp;"-"&amp;UPPER(C95)&amp;"-"&amp;TEXT(D95,"0000")&amp;"-"&amp;E95)</x:f>
        <x:v>M09-BOUND-0089-V1.0</x:v>
      </x:c>
      <x:c r="B95" s="74" t="str">
        <x:v>M09</x:v>
      </x:c>
      <x:c r="C95" s="74" t="str">
        <x:v>BOUND</x:v>
      </x:c>
      <x:c r="D95" s="79" t="n">
        <x:v>89</x:v>
      </x:c>
      <x:c r="E95" s="74" t="str">
        <x:v>V1.0</x:v>
      </x:c>
      <x:c r="F95" s="68" t="str">
        <x:v>最终旺衰输出必须包含正证、反证、关键转折和置信度</x:v>
      </x:c>
      <x:c r="G95" s="82" t="str">
        <x:v>综合层</x:v>
      </x:c>
      <x:c r="H95" s="68" t="str">
        <x:v>判断边界</x:v>
      </x:c>
      <x:c r="I95" s="68" t="str">
        <x:v>治理</x:v>
      </x:c>
      <x:c r="J95" s="68" t="str">
        <x:v>形成最终日主旺衰</x:v>
      </x:c>
      <x:c r="K95" s="68" t="str">
        <x:v>高</x:v>
      </x:c>
      <x:c r="L95" s="82" t="str">
        <x:v>决定性</x:v>
      </x:c>
      <x:c r="M95" s="68" t="str">
        <x:v>M09完成</x:v>
      </x:c>
      <x:c r="N95" s="68" t="str">
        <x:v>至少列主支持证据、主反向证据与边界说明</x:v>
      </x:c>
      <x:c r="O95" s="68" t="str">
        <x:v>证据高度一致可给较高置信</x:v>
      </x:c>
      <x:c r="P95" s="68" t="str">
        <x:v>关键效应待验证或月令不确定</x:v>
      </x:c>
      <x:c r="Q95" s="90" t="str">
        <x:v>禁止只给“身旺/身弱”标签</x:v>
      </x:c>
      <x:c r="R95" s="68"/>
      <x:c r="S95" s="68" t="str">
        <x:v>可追溯输出便于M20复盘</x:v>
      </x:c>
      <x:c r="T95" s="82" t="str">
        <x:v>是</x:v>
      </x:c>
      <x:c r="U95" s="82" t="str">
        <x:v>中和</x:v>
      </x:c>
      <x:c r="V95" s="84" t="str">
        <x:v>旺衰输出规范</x:v>
      </x:c>
      <x:c r="W95" s="84" t="str">
        <x:v>最终输出须包含：旺衰等级、得令/得地/得势/得生、主要制泄耗、最强反证、关键转折与置信度。</x:v>
      </x:c>
      <x:c r="X95" s="82" t="str">
        <x:v>较高</x:v>
      </x:c>
      <x:c r="Y95" s="82" t="str">
        <x:v>现代综合</x:v>
      </x:c>
      <x:c r="Z95" s="68" t="str">
        <x:v>该规则属于M09治理边界，用于防止机械计分、数量投票、越级定喜忌/格局及静动态混用。</x:v>
      </x:c>
      <x:c r="AA95" s="68" t="str">
        <x:v>正例：当“形成最终日主旺衰”真实成立，且必要条件与增强条件同向时，按“最终旺衰输出必须包含正证、反证、关键转折和置信度”记录对应旺衰证据。</x:v>
      </x:c>
      <x:c r="AB95" s="90" t="str">
        <x:v>反例：只有表面条件，但出现“禁止只给“身旺/身弱”标签”或关键有效性未成立时，不得套用本规则。</x:v>
      </x:c>
      <x:c r="AC95" s="68" t="str">
        <x:v>https://zh.wikisource.org/wiki/%E6%B7%B5%E6%B5%B7%E5%AD%90%E5%B9%B3%E5%A4%A7%E5%85%A8 ; https://zh.wikisource.org/wiki/%E6%BB%B4%E5%A4%A9%E9%AB%93%E9%97%A1%E5%BE%AE</x:v>
      </x:c>
      <x:c r="AD95" s="82" t="str">
        <x:v>采用</x:v>
      </x:c>
      <x:c r="AE95" s="82" t="str">
        <x:v>初审</x:v>
      </x:c>
      <x:c r="AF95" s="87" t="n">
        <x:v>46255</x:v>
      </x:c>
    </x:row>
    <x:row r="96">
      <x:c r="A96" s="72" t="str">
        <x:f>IF(OR(C96="",D96=""),"",B96&amp;"-"&amp;UPPER(C96)&amp;"-"&amp;TEXT(D96,"0000")&amp;"-"&amp;E96)</x:f>
        <x:v>M09-BOUND-0090-V1.0</x:v>
      </x:c>
      <x:c r="B96" s="74" t="str">
        <x:v>M09</x:v>
      </x:c>
      <x:c r="C96" s="74" t="str">
        <x:v>BOUND</x:v>
      </x:c>
      <x:c r="D96" s="79" t="n">
        <x:v>90</x:v>
      </x:c>
      <x:c r="E96" s="74" t="str">
        <x:v>V1.0</x:v>
      </x:c>
      <x:c r="F96" s="68" t="str">
        <x:v>中和偏旺与中和偏弱必须由轻度净优势而非主观感觉区分</x:v>
      </x:c>
      <x:c r="G96" s="82" t="str">
        <x:v>综合层</x:v>
      </x:c>
      <x:c r="H96" s="68" t="str">
        <x:v>判断边界</x:v>
      </x:c>
      <x:c r="I96" s="68" t="str">
        <x:v>治理</x:v>
      </x:c>
      <x:c r="J96" s="68" t="str">
        <x:v>旺衰位于中和附近</x:v>
      </x:c>
      <x:c r="K96" s="68" t="str">
        <x:v>高</x:v>
      </x:c>
      <x:c r="L96" s="82" t="str">
        <x:v>强</x:v>
      </x:c>
      <x:c r="M96" s="68" t="str">
        <x:v>M03/M08完成</x:v>
      </x:c>
      <x:c r="N96" s="68" t="str">
        <x:v>两侧均有有效证据且差距较小</x:v>
      </x:c>
      <x:c r="O96" s="68" t="str">
        <x:v>一侧存在可明确指出的轻度净优势</x:v>
      </x:c>
      <x:c r="P96" s="68" t="str">
        <x:v>两侧完全对等或差异来自待验证规则</x:v>
      </x:c>
      <x:c r="Q96" s="90" t="str">
        <x:v>禁止在无净优势证据时随意选偏旺或偏弱</x:v>
      </x:c>
      <x:c r="R96" s="68" t="str">
        <x:v>无法裁定时输出中和并降低置信度</x:v>
      </x:c>
      <x:c r="S96" s="68" t="str">
        <x:v>偏向必须能回溯到一至两条关键有效证据</x:v>
      </x:c>
      <x:c r="T96" s="82" t="str">
        <x:v>是</x:v>
      </x:c>
      <x:c r="U96" s="82" t="str">
        <x:v>中和</x:v>
      </x:c>
      <x:c r="V96" s="84" t="str">
        <x:v>中和偏向分界</x:v>
      </x:c>
      <x:c r="W96" s="84" t="str">
        <x:v>中和偏旺/偏弱必须指出造成轻度净优势的具体证据；无法指出时不得强行偏向。</x:v>
      </x:c>
      <x:c r="X96" s="82" t="str">
        <x:v>较高</x:v>
      </x:c>
      <x:c r="Y96" s="82" t="str">
        <x:v>现代综合</x:v>
      </x:c>
      <x:c r="Z96" s="68" t="str">
        <x:v>该规则属于M09治理边界，用于防止机械计分、数量投票、越级定喜忌/格局及静动态混用。</x:v>
      </x:c>
      <x:c r="AA96" s="68" t="str">
        <x:v>正例：当“旺衰位于中和附近”真实成立，且必要条件与增强条件同向时，按“中和偏旺与中和偏弱必须由轻度净优势而非主观感觉区分”记录对应旺衰证据。</x:v>
      </x:c>
      <x:c r="AB96" s="90" t="str">
        <x:v>反例：只有表面条件，但出现“禁止在无净优势证据时随意选偏旺或偏弱”或关键有效性未成立时，不得套用本规则。</x:v>
      </x:c>
      <x:c r="AC96" s="68" t="str">
        <x:v>https://zh.wikisource.org/wiki/%E6%B7%B5%E6%B5%B7%E5%AD%90%E5%B9%B3%E5%A4%A7%E5%85%A8 ; https://zh.wikisource.org/wiki/%E6%BB%B4%E5%A4%A9%E9%AB%93%E9%97%A1%E5%BE%AE</x:v>
      </x:c>
      <x:c r="AD96" s="82" t="str">
        <x:v>采用</x:v>
      </x:c>
      <x:c r="AE96" s="82" t="str">
        <x:v>初审</x:v>
      </x:c>
      <x:c r="AF96" s="87" t="n">
        <x:v>46255</x:v>
      </x:c>
    </x:row>
    <x:row r="97">
      <x:c r="A97" s="72" t="str">
        <x:f>IF(OR(C97="",D97=""),"",B97&amp;"-"&amp;UPPER(C97)&amp;"-"&amp;TEXT(D97,"0000")&amp;"-"&amp;E97)</x:f>
      </x:c>
      <x:c r="B97" s="74" t="str">
        <x:v>M09</x:v>
      </x:c>
      <x:c r="C97" s="74"/>
      <x:c r="D97" s="79"/>
      <x:c r="E97" s="74" t="str">
        <x:v>V1.0</x:v>
      </x:c>
      <x:c r="F97" s="68"/>
      <x:c r="G97" s="82"/>
      <x:c r="H97" s="68"/>
      <x:c r="I97" s="68"/>
      <x:c r="J97" s="68"/>
      <x:c r="K97" s="68"/>
      <x:c r="L97" s="82"/>
      <x:c r="M97" s="68"/>
      <x:c r="N97" s="68"/>
      <x:c r="O97" s="68"/>
      <x:c r="P97" s="68"/>
      <x:c r="Q97" s="90"/>
      <x:c r="R97" s="68"/>
      <x:c r="S97" s="68"/>
      <x:c r="T97" s="82"/>
      <x:c r="U97" s="82"/>
      <x:c r="V97" s="84"/>
      <x:c r="W97" s="84"/>
      <x:c r="X97" s="82"/>
      <x:c r="Y97" s="82"/>
      <x:c r="Z97" s="68"/>
      <x:c r="AA97" s="68"/>
      <x:c r="AB97" s="90"/>
      <x:c r="AC97" s="68"/>
      <x:c r="AD97" s="82"/>
      <x:c r="AE97" s="82"/>
      <x:c r="AF97" s="87"/>
    </x:row>
    <x:row r="98">
      <x:c r="A98" s="72" t="str">
        <x:f>IF(OR(C98="",D98=""),"",B98&amp;"-"&amp;UPPER(C98)&amp;"-"&amp;TEXT(D98,"0000")&amp;"-"&amp;E98)</x:f>
      </x:c>
      <x:c r="B98" s="74" t="str">
        <x:v>M09</x:v>
      </x:c>
      <x:c r="C98" s="74"/>
      <x:c r="D98" s="79"/>
      <x:c r="E98" s="74" t="str">
        <x:v>V1.0</x:v>
      </x:c>
      <x:c r="F98" s="68"/>
      <x:c r="G98" s="82"/>
      <x:c r="H98" s="68"/>
      <x:c r="I98" s="68"/>
      <x:c r="J98" s="68"/>
      <x:c r="K98" s="68"/>
      <x:c r="L98" s="82"/>
      <x:c r="M98" s="68"/>
      <x:c r="N98" s="68"/>
      <x:c r="O98" s="68"/>
      <x:c r="P98" s="68"/>
      <x:c r="Q98" s="90"/>
      <x:c r="R98" s="68"/>
      <x:c r="S98" s="68"/>
      <x:c r="T98" s="82"/>
      <x:c r="U98" s="82"/>
      <x:c r="V98" s="84"/>
      <x:c r="W98" s="84"/>
      <x:c r="X98" s="82"/>
      <x:c r="Y98" s="82"/>
      <x:c r="Z98" s="68"/>
      <x:c r="AA98" s="68"/>
      <x:c r="AB98" s="90"/>
      <x:c r="AC98" s="68"/>
      <x:c r="AD98" s="82"/>
      <x:c r="AE98" s="82"/>
      <x:c r="AF98" s="87"/>
    </x:row>
    <x:row r="99">
      <x:c r="A99" s="72" t="str">
        <x:f>IF(OR(C99="",D99=""),"",B99&amp;"-"&amp;UPPER(C99)&amp;"-"&amp;TEXT(D99,"0000")&amp;"-"&amp;E99)</x:f>
      </x:c>
      <x:c r="B99" s="74" t="str">
        <x:v>M09</x:v>
      </x:c>
      <x:c r="C99" s="74"/>
      <x:c r="D99" s="79"/>
      <x:c r="E99" s="74" t="str">
        <x:v>V1.0</x:v>
      </x:c>
      <x:c r="F99" s="68"/>
      <x:c r="G99" s="82"/>
      <x:c r="H99" s="68"/>
      <x:c r="I99" s="68"/>
      <x:c r="J99" s="68"/>
      <x:c r="K99" s="68"/>
      <x:c r="L99" s="82"/>
      <x:c r="M99" s="68"/>
      <x:c r="N99" s="68"/>
      <x:c r="O99" s="68"/>
      <x:c r="P99" s="68"/>
      <x:c r="Q99" s="90"/>
      <x:c r="R99" s="68"/>
      <x:c r="S99" s="68"/>
      <x:c r="T99" s="82"/>
      <x:c r="U99" s="82"/>
      <x:c r="V99" s="84"/>
      <x:c r="W99" s="84"/>
      <x:c r="X99" s="82"/>
      <x:c r="Y99" s="82"/>
      <x:c r="Z99" s="68"/>
      <x:c r="AA99" s="68"/>
      <x:c r="AB99" s="90"/>
      <x:c r="AC99" s="68"/>
      <x:c r="AD99" s="82"/>
      <x:c r="AE99" s="82"/>
      <x:c r="AF99" s="87"/>
    </x:row>
    <x:row r="100">
      <x:c r="A100" s="72" t="str">
        <x:f>IF(OR(C100="",D100=""),"",B100&amp;"-"&amp;UPPER(C100)&amp;"-"&amp;TEXT(D100,"0000")&amp;"-"&amp;E100)</x:f>
      </x:c>
      <x:c r="B100" s="74" t="str">
        <x:v>M09</x:v>
      </x:c>
      <x:c r="C100" s="74"/>
      <x:c r="D100" s="79"/>
      <x:c r="E100" s="74" t="str">
        <x:v>V1.0</x:v>
      </x:c>
      <x:c r="F100" s="68"/>
      <x:c r="G100" s="82"/>
      <x:c r="H100" s="68"/>
      <x:c r="I100" s="68"/>
      <x:c r="J100" s="68"/>
      <x:c r="K100" s="68"/>
      <x:c r="L100" s="82"/>
      <x:c r="M100" s="68"/>
      <x:c r="N100" s="68"/>
      <x:c r="O100" s="68"/>
      <x:c r="P100" s="68"/>
      <x:c r="Q100" s="90"/>
      <x:c r="R100" s="68"/>
      <x:c r="S100" s="68"/>
      <x:c r="T100" s="82"/>
      <x:c r="U100" s="82"/>
      <x:c r="V100" s="84"/>
      <x:c r="W100" s="84"/>
      <x:c r="X100" s="82"/>
      <x:c r="Y100" s="82"/>
      <x:c r="Z100" s="68"/>
      <x:c r="AA100" s="68"/>
      <x:c r="AB100" s="90"/>
      <x:c r="AC100" s="68"/>
      <x:c r="AD100" s="82"/>
      <x:c r="AE100" s="82"/>
      <x:c r="AF100" s="87"/>
    </x:row>
    <x:row r="101">
      <x:c r="A101" s="72" t="str">
        <x:f>IF(OR(C101="",D101=""),"",B101&amp;"-"&amp;UPPER(C101)&amp;"-"&amp;TEXT(D101,"0000")&amp;"-"&amp;E101)</x:f>
      </x:c>
      <x:c r="B101" s="74" t="str">
        <x:v>M09</x:v>
      </x:c>
      <x:c r="C101" s="74"/>
      <x:c r="D101" s="79"/>
      <x:c r="E101" s="74" t="str">
        <x:v>V1.0</x:v>
      </x:c>
      <x:c r="F101" s="68"/>
      <x:c r="G101" s="82"/>
      <x:c r="H101" s="68"/>
      <x:c r="I101" s="68"/>
      <x:c r="J101" s="68"/>
      <x:c r="K101" s="68"/>
      <x:c r="L101" s="82"/>
      <x:c r="M101" s="68"/>
      <x:c r="N101" s="68"/>
      <x:c r="O101" s="68"/>
      <x:c r="P101" s="68"/>
      <x:c r="Q101" s="90"/>
      <x:c r="R101" s="68"/>
      <x:c r="S101" s="68"/>
      <x:c r="T101" s="82"/>
      <x:c r="U101" s="82"/>
      <x:c r="V101" s="84"/>
      <x:c r="W101" s="84"/>
      <x:c r="X101" s="82"/>
      <x:c r="Y101" s="82"/>
      <x:c r="Z101" s="68"/>
      <x:c r="AA101" s="68"/>
      <x:c r="AB101" s="90"/>
      <x:c r="AC101" s="68"/>
      <x:c r="AD101" s="82"/>
      <x:c r="AE101" s="82"/>
      <x:c r="AF101" s="87"/>
    </x:row>
    <x:row r="102">
      <x:c r="A102" s="72" t="str">
        <x:f>IF(OR(C102="",D102=""),"",B102&amp;"-"&amp;UPPER(C102)&amp;"-"&amp;TEXT(D102,"0000")&amp;"-"&amp;E102)</x:f>
      </x:c>
      <x:c r="B102" s="74" t="str">
        <x:v>M09</x:v>
      </x:c>
      <x:c r="C102" s="74"/>
      <x:c r="D102" s="79"/>
      <x:c r="E102" s="74" t="str">
        <x:v>V1.0</x:v>
      </x:c>
      <x:c r="F102" s="68"/>
      <x:c r="G102" s="82"/>
      <x:c r="H102" s="68"/>
      <x:c r="I102" s="68"/>
      <x:c r="J102" s="68"/>
      <x:c r="K102" s="68"/>
      <x:c r="L102" s="82"/>
      <x:c r="M102" s="68"/>
      <x:c r="N102" s="68"/>
      <x:c r="O102" s="68"/>
      <x:c r="P102" s="68"/>
      <x:c r="Q102" s="90"/>
      <x:c r="R102" s="68"/>
      <x:c r="S102" s="68"/>
      <x:c r="T102" s="82"/>
      <x:c r="U102" s="82"/>
      <x:c r="V102" s="84"/>
      <x:c r="W102" s="84"/>
      <x:c r="X102" s="82"/>
      <x:c r="Y102" s="82"/>
      <x:c r="Z102" s="68"/>
      <x:c r="AA102" s="68"/>
      <x:c r="AB102" s="90"/>
      <x:c r="AC102" s="68"/>
      <x:c r="AD102" s="82"/>
      <x:c r="AE102" s="82"/>
      <x:c r="AF102" s="87"/>
    </x:row>
    <x:row r="103">
      <x:c r="A103" s="72" t="str">
        <x:f>IF(OR(C103="",D103=""),"",B103&amp;"-"&amp;UPPER(C103)&amp;"-"&amp;TEXT(D103,"0000")&amp;"-"&amp;E103)</x:f>
      </x:c>
      <x:c r="B103" s="74" t="str">
        <x:v>M09</x:v>
      </x:c>
      <x:c r="C103" s="74"/>
      <x:c r="D103" s="79"/>
      <x:c r="E103" s="74" t="str">
        <x:v>V1.0</x:v>
      </x:c>
      <x:c r="F103" s="68"/>
      <x:c r="G103" s="82"/>
      <x:c r="H103" s="68"/>
      <x:c r="I103" s="68"/>
      <x:c r="J103" s="68"/>
      <x:c r="K103" s="68"/>
      <x:c r="L103" s="82"/>
      <x:c r="M103" s="68"/>
      <x:c r="N103" s="68"/>
      <x:c r="O103" s="68"/>
      <x:c r="P103" s="68"/>
      <x:c r="Q103" s="90"/>
      <x:c r="R103" s="68"/>
      <x:c r="S103" s="68"/>
      <x:c r="T103" s="82"/>
      <x:c r="U103" s="82"/>
      <x:c r="V103" s="84"/>
      <x:c r="W103" s="84"/>
      <x:c r="X103" s="82"/>
      <x:c r="Y103" s="82"/>
      <x:c r="Z103" s="68"/>
      <x:c r="AA103" s="68"/>
      <x:c r="AB103" s="90"/>
      <x:c r="AC103" s="68"/>
      <x:c r="AD103" s="82"/>
      <x:c r="AE103" s="82"/>
      <x:c r="AF103" s="87"/>
    </x:row>
    <x:row r="104">
      <x:c r="A104" s="72" t="str">
        <x:f>IF(OR(C104="",D104=""),"",B104&amp;"-"&amp;UPPER(C104)&amp;"-"&amp;TEXT(D104,"0000")&amp;"-"&amp;E104)</x:f>
      </x:c>
      <x:c r="B104" s="74" t="str">
        <x:v>M09</x:v>
      </x:c>
      <x:c r="C104" s="74"/>
      <x:c r="D104" s="79"/>
      <x:c r="E104" s="74" t="str">
        <x:v>V1.0</x:v>
      </x:c>
      <x:c r="F104" s="68"/>
      <x:c r="G104" s="82"/>
      <x:c r="H104" s="68"/>
      <x:c r="I104" s="68"/>
      <x:c r="J104" s="68"/>
      <x:c r="K104" s="68"/>
      <x:c r="L104" s="82"/>
      <x:c r="M104" s="68"/>
      <x:c r="N104" s="68"/>
      <x:c r="O104" s="68"/>
      <x:c r="P104" s="68"/>
      <x:c r="Q104" s="90"/>
      <x:c r="R104" s="68"/>
      <x:c r="S104" s="68"/>
      <x:c r="T104" s="82"/>
      <x:c r="U104" s="82"/>
      <x:c r="V104" s="84"/>
      <x:c r="W104" s="84"/>
      <x:c r="X104" s="82"/>
      <x:c r="Y104" s="82"/>
      <x:c r="Z104" s="68"/>
      <x:c r="AA104" s="68"/>
      <x:c r="AB104" s="90"/>
      <x:c r="AC104" s="68"/>
      <x:c r="AD104" s="82"/>
      <x:c r="AE104" s="82"/>
      <x:c r="AF104" s="87"/>
    </x:row>
    <x:row r="105">
      <x:c r="A105" s="72" t="str">
        <x:f>IF(OR(C105="",D105=""),"",B105&amp;"-"&amp;UPPER(C105)&amp;"-"&amp;TEXT(D105,"0000")&amp;"-"&amp;E105)</x:f>
      </x:c>
      <x:c r="B105" s="74" t="str">
        <x:v>M09</x:v>
      </x:c>
      <x:c r="C105" s="74"/>
      <x:c r="D105" s="79"/>
      <x:c r="E105" s="74" t="str">
        <x:v>V1.0</x:v>
      </x:c>
      <x:c r="F105" s="68"/>
      <x:c r="G105" s="82"/>
      <x:c r="H105" s="68"/>
      <x:c r="I105" s="68"/>
      <x:c r="J105" s="68"/>
      <x:c r="K105" s="68"/>
      <x:c r="L105" s="82"/>
      <x:c r="M105" s="68"/>
      <x:c r="N105" s="68"/>
      <x:c r="O105" s="68"/>
      <x:c r="P105" s="68"/>
      <x:c r="Q105" s="90"/>
      <x:c r="R105" s="68"/>
      <x:c r="S105" s="68"/>
      <x:c r="T105" s="82"/>
      <x:c r="U105" s="82"/>
      <x:c r="V105" s="84"/>
      <x:c r="W105" s="84"/>
      <x:c r="X105" s="82"/>
      <x:c r="Y105" s="82"/>
      <x:c r="Z105" s="68"/>
      <x:c r="AA105" s="68"/>
      <x:c r="AB105" s="90"/>
      <x:c r="AC105" s="68"/>
      <x:c r="AD105" s="82"/>
      <x:c r="AE105" s="82"/>
      <x:c r="AF105" s="87"/>
    </x:row>
  </x:sheetData>
  <x:mergeCells>
    <x:mergeCell ref="A1:O1"/>
    <x:mergeCell ref="A2:O2"/>
    <x:mergeCell ref="A3:O3"/>
    <x:mergeCell ref="A4:O4"/>
  </x:mergeCells>
  <x:conditionalFormatting sqref="A6:A105">
    <x:cfRule type="expression" dxfId="7" priority="1">
      <x:formula>AND(A6&lt;&gt;"",COUNTIF($A$6:$A$105,A6)&gt;1)</x:formula>
    </x:cfRule>
  </x:conditionalFormatting>
  <x:dataValidations count="11">
    <x:dataValidation type="list" sqref="E6:E105">
      <x:formula1>'99_下拉选项'!$BG$4:$BG$12</x:formula1>
    </x:dataValidation>
    <x:dataValidation type="list" sqref="G6:G105">
      <x:formula1>'99_下拉选项'!$F$4:$F$7</x:formula1>
    </x:dataValidation>
    <x:dataValidation type="list" sqref="L6:L105">
      <x:formula1>'99_下拉选项'!$N$4:$N$8</x:formula1>
    </x:dataValidation>
    <x:dataValidation type="list" sqref="T6:T105">
      <x:formula1>'99_下拉选项'!$X$4:$X$7</x:formula1>
    </x:dataValidation>
    <x:dataValidation type="list" sqref="U6:U105">
      <x:formula1>'99_下拉选项'!$U$4:$U$11</x:formula1>
    </x:dataValidation>
    <x:dataValidation type="list" sqref="X6:X105">
      <x:formula1>'99_下拉选项'!$Q$4:$Q$8</x:formula1>
    </x:dataValidation>
    <x:dataValidation type="list" sqref="Y6:Y105">
      <x:formula1>'99_下拉选项'!$R$4:$R$11</x:formula1>
    </x:dataValidation>
    <x:dataValidation type="list" sqref="AD6:AD105">
      <x:formula1>'99_下拉选项'!$S$4:$S$9</x:formula1>
    </x:dataValidation>
    <x:dataValidation type="list" sqref="AE6:AE105">
      <x:formula1>'99_下拉选项'!$T$4:$T$8</x:formula1>
    </x:dataValidation>
    <x:dataValidation type="list" sqref="E6:E130">
      <x:formula1>'99_下拉选项'!$BG$4:$BG$14</x:formula1>
    </x:dataValidation>
    <x:dataValidation type="list" sqref="E7:E105">
      <x:formula1>'99_下拉选项'!$BG$4:$BG$19</x:formula1>
    </x:dataValidation>
  </x:dataValidations>
  <x:pageMargins left="0.7" right="0.7" top="0.75" bottom="0.75" header="0.3" footer="0.3"/>
  <x:tableParts count="1">
    <x:tablePart xmlns:r="http://schemas.openxmlformats.org/officeDocument/2006/relationships" r:id="R95dc892efdeb4784"/>
  </x:tableParts>
</x:worksheet>
</file>

<file path=xl/worksheets/sheet1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16" hidden="0" customWidth="1"/>
    <x:col min="11" max="11" width="16" hidden="0" customWidth="1"/>
    <x:col min="12" max="12" width="16" hidden="0" customWidth="1"/>
    <x:col min="13" max="13" width="30" hidden="0" customWidth="1"/>
    <x:col min="14" max="14" width="30" hidden="0" customWidth="1"/>
    <x:col min="15" max="15" width="30" hidden="0" customWidth="1"/>
    <x:col min="16" max="16" width="30" hidden="0" customWidth="1"/>
    <x:col min="17" max="17" width="30" hidden="0" customWidth="1"/>
    <x:col min="18" max="18" width="16"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M10｜十神存在、旺衰与功能状态规则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分别判断十神是否存在、自身力量、清纯度、功能是否有效及对全局喜忌。禁止把十神旺弱直接等同于吉凶。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前置依赖：M02/M08/M09　｜　主要输出：十神力量、清纯度、功能状态与喜忌候选　｜　直接下游：M11/M14/M15/M16/M17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十神</x:v>
      </x:c>
      <x:c r="I5" s="61" t="str">
        <x:v>存在方式</x:v>
      </x:c>
      <x:c r="J5" s="61" t="str">
        <x:v>原始力量</x:v>
      </x:c>
      <x:c r="K5" s="61" t="str">
        <x:v>有效力量</x:v>
      </x:c>
      <x:c r="L5" s="61" t="str">
        <x:v>清纯程度</x:v>
      </x:c>
      <x:c r="M5" s="61" t="str">
        <x:v>生源状态</x:v>
      </x:c>
      <x:c r="N5" s="61" t="str">
        <x:v>制约状态</x:v>
      </x:c>
      <x:c r="O5" s="61" t="str">
        <x:v>功能状态</x:v>
      </x:c>
      <x:c r="P5" s="61" t="str">
        <x:v>格局功能</x:v>
      </x:c>
      <x:c r="Q5" s="61" t="str">
        <x:v>对日主作用</x:v>
      </x:c>
      <x:c r="R5" s="61" t="str">
        <x:v>喜忌候选</x:v>
      </x:c>
      <x:c r="S5" s="61" t="str">
        <x:v>判断条件</x:v>
      </x:c>
      <x:c r="T5" s="61" t="str">
        <x:v>前置条件</x:v>
      </x:c>
      <x:c r="U5" s="61" t="str">
        <x:v>必要条件</x:v>
      </x:c>
      <x:c r="V5" s="61" t="str">
        <x:v>增强条件</x:v>
      </x:c>
      <x:c r="W5" s="61" t="str">
        <x:v>削弱条件</x:v>
      </x:c>
      <x:c r="X5" s="61" t="str">
        <x:v>否决条件</x:v>
      </x:c>
      <x:c r="Y5" s="61" t="str">
        <x:v>例外条件</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M10-DEMO-9999-V0.1</x:v>
      </x:c>
      <x:c r="B6" s="76" t="str">
        <x:v>M10</x:v>
      </x:c>
      <x:c r="C6" s="76" t="str">
        <x:v>DEMO</x:v>
      </x:c>
      <x:c r="D6" s="78" t="n">
        <x:v>9999</x:v>
      </x:c>
      <x:c r="E6" s="76" t="str">
        <x:v>V0.1</x:v>
      </x:c>
      <x:c r="F6" s="76" t="str">
        <x:v>七杀旺不等于七杀直接为害</x:v>
      </x:c>
      <x:c r="G6" s="76" t="str">
        <x:v>结构层</x:v>
      </x:c>
      <x:c r="H6" s="76" t="str">
        <x:v>七杀</x:v>
      </x:c>
      <x:c r="I6" s="76" t="str">
        <x:v>透干</x:v>
      </x:c>
      <x:c r="J6" s="76" t="str">
        <x:v>旺</x:v>
      </x:c>
      <x:c r="K6" s="76" t="str">
        <x:v>待定</x:v>
      </x:c>
      <x:c r="L6" s="76" t="str">
        <x:v>较清</x:v>
      </x:c>
      <x:c r="M6" s="76" t="str">
        <x:v>财星是否生杀另查</x:v>
      </x:c>
      <x:c r="N6" s="76" t="str">
        <x:v>检查食神制杀、印化杀及合绊</x:v>
      </x:c>
      <x:c r="O6" s="76" t="str">
        <x:v>待定</x:v>
      </x:c>
      <x:c r="P6" s="76" t="str">
        <x:v>可能成为杀印相生或食神制杀核心</x:v>
      </x:c>
      <x:c r="Q6" s="76" t="str">
        <x:v>有制身压力，但压力是否化为害取决于制化</x:v>
      </x:c>
      <x:c r="R6" s="76" t="str">
        <x:v>待定</x:v>
      </x:c>
      <x:c r="S6" s="76" t="str">
        <x:v>七杀真实有力</x:v>
      </x:c>
      <x:c r="T6" s="76" t="str">
        <x:v>M08与M09完成</x:v>
      </x:c>
      <x:c r="U6" s="76" t="str">
        <x:v>分别评估杀、印、食神及日主承载</x:v>
      </x:c>
      <x:c r="V6" s="76" t="str">
        <x:v>财生杀且无制化</x:v>
      </x:c>
      <x:c r="W6" s="76" t="str">
        <x:v>印化杀、食神制杀或合住</x:v>
      </x:c>
      <x:c r="X6" s="76" t="str">
        <x:v>不得仅凭七杀旺直接定为忌神</x:v>
      </x:c>
      <x:c r="Y6" s="76" t="str">
        <x:v>杀旺攻身且无制无化、日主无承载时可定明显为忌</x:v>
      </x:c>
      <x:c r="Z6" s="76" t="str">
        <x:v>不得直接推出凶、灾或具体事件</x:v>
      </x:c>
      <x:c r="AA6" s="76" t="str">
        <x:v>十神功能性</x:v>
      </x:c>
      <x:c r="AB6" s="76" t="str">
        <x:v>七杀原始力量较强，但其实际功能仍取决于印化、食制、合绊及日主承载，不宜只以旺弱定吉凶。</x:v>
      </x:c>
      <x:c r="AC6" s="76" t="str">
        <x:v>较高</x:v>
      </x:c>
      <x:c r="AD6" s="76" t="str">
        <x:v>现代综合</x:v>
      </x:c>
      <x:c r="AE6" s="76" t="str">
        <x:v>十神存在性、旺衰性、功能性与喜忌性须分开。</x:v>
      </x:c>
      <x:c r="AF6" s="76" t="str">
        <x:v>七杀旺而印有力，可形成杀印相生。</x:v>
      </x:c>
      <x:c r="AG6" s="76" t="str">
        <x:v>七杀旺便直接写成七杀为害。</x:v>
      </x:c>
      <x:c r="AH6" s="76" t="str">
        <x:v>示例，仅演示字段用法</x:v>
      </x:c>
      <x:c r="AI6" s="76" t="str">
        <x:v>示例</x:v>
      </x:c>
      <x:c r="AJ6" s="76" t="str">
        <x:v>未审核</x:v>
      </x:c>
      <x:c r="AK6" s="86" t="n">
        <x:v>46254</x:v>
      </x:c>
    </x:row>
    <x:row r="7">
      <x:c r="A7" s="72" t="str">
        <x:f>IF(OR(C7="",D7=""),"",B7&amp;"-"&amp;UPPER(C7)&amp;"-"&amp;TEXT(D7,"0000")&amp;"-"&amp;E7)</x:f>
        <x:v>M10-PRES-0001-V1.0</x:v>
      </x:c>
      <x:c r="B7" s="74" t="str">
        <x:v>M10</x:v>
      </x:c>
      <x:c r="C7" s="74" t="str">
        <x:v>PRES</x:v>
      </x:c>
      <x:c r="D7" s="215" t="n">
        <x:v>1</x:v>
      </x:c>
      <x:c r="E7" s="74" t="str">
        <x:v>V1.0</x:v>
      </x:c>
      <x:c r="F7" s="68" t="str">
        <x:v>十神透干属于明确显性存在</x:v>
      </x:c>
      <x:c r="G7" s="82" t="str">
        <x:v>结构层</x:v>
      </x:c>
      <x:c r="H7" s="82" t="str">
        <x:v>比肩</x:v>
      </x:c>
      <x:c r="I7" s="82" t="str">
        <x:v>透干</x:v>
      </x:c>
      <x:c r="J7" s="82" t="str">
        <x:v>待定</x:v>
      </x:c>
      <x:c r="K7" s="82" t="str">
        <x:v>待定</x:v>
      </x:c>
      <x:c r="L7" s="82" t="str">
        <x:v>待定</x:v>
      </x:c>
      <x:c r="M7" s="68" t="str">
        <x:v>按M08核查</x:v>
      </x:c>
      <x:c r="N7" s="68" t="str">
        <x:v>按M06/M08核查</x:v>
      </x:c>
      <x:c r="O7" s="82" t="str">
        <x:v>待定</x:v>
      </x:c>
      <x:c r="P7" s="68" t="str">
        <x:v>转M11/M14判断</x:v>
      </x:c>
      <x:c r="Q7" s="68" t="str">
        <x:v>存在层面明确，但实际帮身或分力取决于有效旺衰</x:v>
      </x:c>
      <x:c r="R7" s="82" t="str">
        <x:v>待定</x:v>
      </x:c>
      <x:c r="S7" s="68" t="str">
        <x:v>目标十神出现在四柱天干</x:v>
      </x:c>
      <x:c r="T7" s="68" t="str">
        <x:v>M02十神映射、M08五行有效旺衰、M09日主旺衰已完成</x:v>
      </x:c>
      <x:c r="U7" s="68" t="str">
        <x:v>先依据日主阴阳生克正确映射该天干十神</x:v>
      </x:c>
      <x:c r="V7" s="68" t="str">
        <x:v>得令、有根、透干、同党或生源形成独立有效证据</x:v>
      </x:c>
      <x:c r="W7" s="68" t="str">
        <x:v>失令、无根、被合绊、被制、改性或作用路径受阻</x:v>
      </x:c>
      <x:c r="X7" s="90" t="str">
        <x:v>不得以十神名称、数量或单一旺弱证据直接完成定性</x:v>
      </x:c>
      <x:c r="Y7" s="68" t="str">
        <x:v>特殊格局、从化候选及明确组合转M11/M14另审</x:v>
      </x:c>
      <x:c r="Z7" s="68" t="str">
        <x:v>不得由透干直接推出十神旺、清纯、有用或为喜忌</x:v>
      </x:c>
      <x:c r="AA7" s="84" t="str">
        <x:v>十神显性存在</x:v>
      </x:c>
      <x:c r="AB7" s="84" t="str">
        <x:v>十神透干属于明确显性存在：当“目标十神出现在四柱天干”成立时，按本规则记录十神的有效功能；同时保留制化、承载和反向证据。</x:v>
      </x:c>
      <x:c r="AC7" s="82" t="str">
        <x:v>较高</x:v>
      </x:c>
      <x:c r="AD7" s="82" t="str">
        <x:v>现代综合</x:v>
      </x:c>
      <x:c r="AE7" s="68" t="str">
        <x:v>十神必须分开判断存在性、力量、清纯度、功能性与喜忌性；M10只形成结构层结论和候选，不越级替代M11—M18。</x:v>
      </x:c>
      <x:c r="AF7" s="68" t="str">
        <x:v>相关条件真实成立，且增强条件有效时，可按“十神透干属于明确显性存在”记录对应功能。</x:v>
      </x:c>
      <x:c r="AG7" s="90" t="str">
        <x:v>仅见表面十神名称或数量，但“不得以十神名称、数量或单一旺弱证据直接完成定性”所述限制存在时，不得套用本规则。</x:v>
      </x:c>
      <x:c r="AH7" s="68" t="str">
        <x:v>https://zh.wikisource.org/wiki/%E6%B8%8A%E6%B5%B7%E5%AD%90%E5%B9%B3%E5%A4%A7%E5%85%A8 ; https://zh.wikisource.org/wiki/%E6%BB%B4%E5%A4%A9%E9%AB%93%E9%97%A1%E5%BE%AE</x:v>
      </x:c>
      <x:c r="AI7" s="82" t="str">
        <x:v>采用</x:v>
      </x:c>
      <x:c r="AJ7" s="82" t="str">
        <x:v>初审</x:v>
      </x:c>
      <x:c r="AK7" s="87" t="n">
        <x:v>46255</x:v>
      </x:c>
    </x:row>
    <x:row r="8">
      <x:c r="A8" s="72" t="str">
        <x:f>IF(OR(C8="",D8=""),"",B8&amp;"-"&amp;UPPER(C8)&amp;"-"&amp;TEXT(D8,"0000")&amp;"-"&amp;E8)</x:f>
        <x:v>M10-PRES-0002-V1.0</x:v>
      </x:c>
      <x:c r="B8" s="74" t="str">
        <x:v>M10</x:v>
      </x:c>
      <x:c r="C8" s="74" t="str">
        <x:v>PRES</x:v>
      </x:c>
      <x:c r="D8" s="215" t="n">
        <x:v>2</x:v>
      </x:c>
      <x:c r="E8" s="74" t="str">
        <x:v>V1.0</x:v>
      </x:c>
      <x:c r="F8" s="68" t="str">
        <x:v>藏于地支本气属于稳定的隐性存在</x:v>
      </x:c>
      <x:c r="G8" s="82" t="str">
        <x:v>结构层</x:v>
      </x:c>
      <x:c r="H8" s="82" t="str">
        <x:v>劫财</x:v>
      </x:c>
      <x:c r="I8" s="82" t="str">
        <x:v>藏支本气</x:v>
      </x:c>
      <x:c r="J8" s="82" t="str">
        <x:v>待定</x:v>
      </x:c>
      <x:c r="K8" s="82" t="str">
        <x:v>待定</x:v>
      </x:c>
      <x:c r="L8" s="82" t="str">
        <x:v>待定</x:v>
      </x:c>
      <x:c r="M8" s="68" t="str">
        <x:v>按M08核查</x:v>
      </x:c>
      <x:c r="N8" s="68" t="str">
        <x:v>按M06/M08核查</x:v>
      </x:c>
      <x:c r="O8" s="82" t="str">
        <x:v>待定</x:v>
      </x:c>
      <x:c r="P8" s="68" t="str">
        <x:v>转M11/M14判断</x:v>
      </x:c>
      <x:c r="Q8" s="68" t="str">
        <x:v>需结合M09日主承载判断</x:v>
      </x:c>
      <x:c r="R8" s="82" t="str">
        <x:v>待定</x:v>
      </x:c>
      <x:c r="S8" s="68" t="str">
        <x:v>目标十神对应天干藏于某地支本气</x:v>
      </x:c>
      <x:c r="T8" s="68" t="str">
        <x:v>M02十神映射、M08五行有效旺衰、M09日主旺衰已完成</x:v>
      </x:c>
      <x:c r="U8" s="68" t="str">
        <x:v>相关十神已由M02正确映射，并以M08有效力量为准</x:v>
      </x:c>
      <x:c r="V8" s="68" t="str">
        <x:v>得令、有根、透干、同党或生源形成独立有效证据</x:v>
      </x:c>
      <x:c r="W8" s="68" t="str">
        <x:v>失令、无根、被合绊、被制、改性或作用路径受阻</x:v>
      </x:c>
      <x:c r="X8" s="90" t="str">
        <x:v>不得以十神名称、数量或单一旺弱证据直接完成定性</x:v>
      </x:c>
      <x:c r="Y8" s="68" t="str">
        <x:v>特殊格局、从化候选及明确组合转M11/M14另审</x:v>
      </x:c>
      <x:c r="Z8" s="68" t="str">
        <x:v>不得由本气藏支直接推出已经透达或一定发挥强功能</x:v>
      </x:c>
      <x:c r="AA8" s="84" t="str">
        <x:v>十神本气藏支</x:v>
      </x:c>
      <x:c r="AB8" s="84" t="str">
        <x:v>藏于地支本气属于稳定的隐性存在：当“目标十神对应天干藏于某地支本气”成立时，按本规则记录十神的有效功能；同时保留制化、承载和反向证据。</x:v>
      </x:c>
      <x:c r="AC8" s="82" t="str">
        <x:v>较高</x:v>
      </x:c>
      <x:c r="AD8" s="82" t="str">
        <x:v>现代综合</x:v>
      </x:c>
      <x:c r="AE8" s="68" t="str">
        <x:v>十神必须分开判断存在性、力量、清纯度、功能性与喜忌性；M10只形成结构层结论和候选，不越级替代M11—M18。</x:v>
      </x:c>
      <x:c r="AF8" s="68" t="str">
        <x:v>相关条件真实成立，且增强条件有效时，可按“藏于地支本气属于稳定的隐性存在”记录对应功能。</x:v>
      </x:c>
      <x:c r="AG8" s="90" t="str">
        <x:v>仅见表面十神名称或数量，但“不得以十神名称、数量或单一旺弱证据直接完成定性”所述限制存在时，不得套用本规则。</x:v>
      </x:c>
      <x:c r="AH8" s="68" t="str">
        <x:v>https://zh.wikisource.org/wiki/%E6%B8%8A%E6%B5%B7%E5%AD%90%E5%B9%B3%E5%A4%A7%E5%85%A8 ; https://zh.wikisource.org/wiki/%E6%BB%B4%E5%A4%A9%E9%AB%93%E9%97%A1%E5%BE%AE</x:v>
      </x:c>
      <x:c r="AI8" s="82" t="str">
        <x:v>采用</x:v>
      </x:c>
      <x:c r="AJ8" s="82" t="str">
        <x:v>初审</x:v>
      </x:c>
      <x:c r="AK8" s="87" t="n">
        <x:v>46255</x:v>
      </x:c>
    </x:row>
    <x:row r="9">
      <x:c r="A9" s="72" t="str">
        <x:f>IF(OR(C9="",D9=""),"",B9&amp;"-"&amp;UPPER(C9)&amp;"-"&amp;TEXT(D9,"0000")&amp;"-"&amp;E9)</x:f>
        <x:v>M10-PRES-0003-V1.0</x:v>
      </x:c>
      <x:c r="B9" s="74" t="str">
        <x:v>M10</x:v>
      </x:c>
      <x:c r="C9" s="74" t="str">
        <x:v>PRES</x:v>
      </x:c>
      <x:c r="D9" s="215" t="n">
        <x:v>3</x:v>
      </x:c>
      <x:c r="E9" s="74" t="str">
        <x:v>V1.0</x:v>
      </x:c>
      <x:c r="F9" s="68" t="str">
        <x:v>藏于地支中气属于中层隐性存在</x:v>
      </x:c>
      <x:c r="G9" s="82" t="str">
        <x:v>结构层</x:v>
      </x:c>
      <x:c r="H9" s="82" t="str">
        <x:v>食神</x:v>
      </x:c>
      <x:c r="I9" s="82" t="str">
        <x:v>藏支中气</x:v>
      </x:c>
      <x:c r="J9" s="82" t="str">
        <x:v>待定</x:v>
      </x:c>
      <x:c r="K9" s="82" t="str">
        <x:v>待定</x:v>
      </x:c>
      <x:c r="L9" s="82" t="str">
        <x:v>待定</x:v>
      </x:c>
      <x:c r="M9" s="68" t="str">
        <x:v>按M08核查</x:v>
      </x:c>
      <x:c r="N9" s="68" t="str">
        <x:v>按M06/M08核查</x:v>
      </x:c>
      <x:c r="O9" s="82" t="str">
        <x:v>待定</x:v>
      </x:c>
      <x:c r="P9" s="68" t="str">
        <x:v>转M11/M14判断</x:v>
      </x:c>
      <x:c r="Q9" s="68" t="str">
        <x:v>需结合M09日主承载判断</x:v>
      </x:c>
      <x:c r="R9" s="82" t="str">
        <x:v>待定</x:v>
      </x:c>
      <x:c r="S9" s="68" t="str">
        <x:v>目标十神对应天干藏于某地支中气</x:v>
      </x:c>
      <x:c r="T9" s="68" t="str">
        <x:v>M02十神映射、M08五行有效旺衰、M09日主旺衰已完成</x:v>
      </x:c>
      <x:c r="U9" s="68" t="str">
        <x:v>相关十神已由M02正确映射，并以M08有效力量为准</x:v>
      </x:c>
      <x:c r="V9" s="68" t="str">
        <x:v>得令、有根、透干、同党或生源形成独立有效证据</x:v>
      </x:c>
      <x:c r="W9" s="68" t="str">
        <x:v>失令、无根、被合绊、被制、改性或作用路径受阻</x:v>
      </x:c>
      <x:c r="X9" s="90" t="str">
        <x:v>不得以十神名称、数量或单一旺弱证据直接完成定性</x:v>
      </x:c>
      <x:c r="Y9" s="68" t="str">
        <x:v>特殊格局、从化候选及明确组合转M11/M14另审</x:v>
      </x:c>
      <x:c r="Z9" s="68" t="str">
        <x:v>不得把中气藏干与本气、透干等权</x:v>
      </x:c>
      <x:c r="AA9" s="84" t="str">
        <x:v>十神中气藏支</x:v>
      </x:c>
      <x:c r="AB9" s="84" t="str">
        <x:v>藏于地支中气属于中层隐性存在：当“目标十神对应天干藏于某地支中气”成立时，按本规则记录十神的有效功能；同时保留制化、承载和反向证据。</x:v>
      </x:c>
      <x:c r="AC9" s="82" t="str">
        <x:v>较高</x:v>
      </x:c>
      <x:c r="AD9" s="82" t="str">
        <x:v>现代综合</x:v>
      </x:c>
      <x:c r="AE9" s="68" t="str">
        <x:v>十神必须分开判断存在性、力量、清纯度、功能性与喜忌性；M10只形成结构层结论和候选，不越级替代M11—M18。</x:v>
      </x:c>
      <x:c r="AF9" s="68" t="str">
        <x:v>相关条件真实成立，且增强条件有效时，可按“藏于地支中气属于中层隐性存在”记录对应功能。</x:v>
      </x:c>
      <x:c r="AG9" s="90" t="str">
        <x:v>仅见表面十神名称或数量，但“不得以十神名称、数量或单一旺弱证据直接完成定性”所述限制存在时，不得套用本规则。</x:v>
      </x:c>
      <x:c r="AH9" s="68" t="str">
        <x:v>https://zh.wikisource.org/wiki/%E6%B8%8A%E6%B5%B7%E5%AD%90%E5%B9%B3%E5%A4%A7%E5%85%A8 ; https://zh.wikisource.org/wiki/%E6%BB%B4%E5%A4%A9%E9%AB%93%E9%97%A1%E5%BE%AE</x:v>
      </x:c>
      <x:c r="AI9" s="82" t="str">
        <x:v>采用</x:v>
      </x:c>
      <x:c r="AJ9" s="82" t="str">
        <x:v>初审</x:v>
      </x:c>
      <x:c r="AK9" s="87" t="n">
        <x:v>46255</x:v>
      </x:c>
    </x:row>
    <x:row r="10">
      <x:c r="A10" s="72" t="str">
        <x:f>IF(OR(C10="",D10=""),"",B10&amp;"-"&amp;UPPER(C10)&amp;"-"&amp;TEXT(D10,"0000")&amp;"-"&amp;E10)</x:f>
        <x:v>M10-PRES-0004-V1.0</x:v>
      </x:c>
      <x:c r="B10" s="74" t="str">
        <x:v>M10</x:v>
      </x:c>
      <x:c r="C10" s="74" t="str">
        <x:v>PRES</x:v>
      </x:c>
      <x:c r="D10" s="215" t="n">
        <x:v>4</x:v>
      </x:c>
      <x:c r="E10" s="74" t="str">
        <x:v>V1.0</x:v>
      </x:c>
      <x:c r="F10" s="68" t="str">
        <x:v>藏于地支余气属于弱层隐性存在</x:v>
      </x:c>
      <x:c r="G10" s="82" t="str">
        <x:v>结构层</x:v>
      </x:c>
      <x:c r="H10" s="82" t="str">
        <x:v>伤官</x:v>
      </x:c>
      <x:c r="I10" s="82" t="str">
        <x:v>藏支余气</x:v>
      </x:c>
      <x:c r="J10" s="82" t="str">
        <x:v>待定</x:v>
      </x:c>
      <x:c r="K10" s="82" t="str">
        <x:v>待定</x:v>
      </x:c>
      <x:c r="L10" s="82" t="str">
        <x:v>待定</x:v>
      </x:c>
      <x:c r="M10" s="68" t="str">
        <x:v>按M08核查</x:v>
      </x:c>
      <x:c r="N10" s="68" t="str">
        <x:v>按M06/M08核查</x:v>
      </x:c>
      <x:c r="O10" s="82" t="str">
        <x:v>待定</x:v>
      </x:c>
      <x:c r="P10" s="68" t="str">
        <x:v>转M11/M14判断</x:v>
      </x:c>
      <x:c r="Q10" s="68" t="str">
        <x:v>需结合M09日主承载判断</x:v>
      </x:c>
      <x:c r="R10" s="82" t="str">
        <x:v>待定</x:v>
      </x:c>
      <x:c r="S10" s="68" t="str">
        <x:v>目标十神对应天干藏于某地支余气</x:v>
      </x:c>
      <x:c r="T10" s="68" t="str">
        <x:v>M02十神映射、M08五行有效旺衰、M09日主旺衰已完成</x:v>
      </x:c>
      <x:c r="U10" s="68" t="str">
        <x:v>相关十神已由M02正确映射，并以M08有效力量为准</x:v>
      </x:c>
      <x:c r="V10" s="68" t="str">
        <x:v>得令、有根、透干、同党或生源形成独立有效证据</x:v>
      </x:c>
      <x:c r="W10" s="68" t="str">
        <x:v>失令、无根、被合绊、被制、改性或作用路径受阻</x:v>
      </x:c>
      <x:c r="X10" s="90" t="str">
        <x:v>不得以十神名称、数量或单一旺弱证据直接完成定性</x:v>
      </x:c>
      <x:c r="Y10" s="68" t="str">
        <x:v>特殊格局、从化候选及明确组合转M11/M14另审</x:v>
      </x:c>
      <x:c r="Z10" s="68" t="str">
        <x:v>不得把余气存在直接写成该十神旺或主导</x:v>
      </x:c>
      <x:c r="AA10" s="84" t="str">
        <x:v>十神余气藏支</x:v>
      </x:c>
      <x:c r="AB10" s="84" t="str">
        <x:v>藏于地支余气属于弱层隐性存在：当“目标十神对应天干藏于某地支余气”成立时，按本规则记录十神的有效功能；同时保留制化、承载和反向证据。</x:v>
      </x:c>
      <x:c r="AC10" s="82" t="str">
        <x:v>较高</x:v>
      </x:c>
      <x:c r="AD10" s="82" t="str">
        <x:v>现代综合</x:v>
      </x:c>
      <x:c r="AE10" s="68" t="str">
        <x:v>十神必须分开判断存在性、力量、清纯度、功能性与喜忌性；M10只形成结构层结论和候选，不越级替代M11—M18。</x:v>
      </x:c>
      <x:c r="AF10" s="68" t="str">
        <x:v>相关条件真实成立，且增强条件有效时，可按“藏于地支余气属于弱层隐性存在”记录对应功能。</x:v>
      </x:c>
      <x:c r="AG10" s="90" t="str">
        <x:v>仅见表面十神名称或数量，但“不得以十神名称、数量或单一旺弱证据直接完成定性”所述限制存在时，不得套用本规则。</x:v>
      </x:c>
      <x:c r="AH10" s="68" t="str">
        <x:v>https://zh.wikisource.org/wiki/%E6%B8%8A%E6%B5%B7%E5%AD%90%E5%B9%B3%E5%A4%A7%E5%85%A8 ; https://zh.wikisource.org/wiki/%E6%BB%B4%E5%A4%A9%E9%AB%93%E9%97%A1%E5%BE%AE</x:v>
      </x:c>
      <x:c r="AI10" s="82" t="str">
        <x:v>采用</x:v>
      </x:c>
      <x:c r="AJ10" s="82" t="str">
        <x:v>初审</x:v>
      </x:c>
      <x:c r="AK10" s="87" t="n">
        <x:v>46255</x:v>
      </x:c>
    </x:row>
    <x:row r="11">
      <x:c r="A11" s="72" t="str">
        <x:f>IF(OR(C11="",D11=""),"",B11&amp;"-"&amp;UPPER(C11)&amp;"-"&amp;TEXT(D11,"0000")&amp;"-"&amp;E11)</x:f>
        <x:v>M10-PRES-0005-V1.0</x:v>
      </x:c>
      <x:c r="B11" s="74" t="str">
        <x:v>M10</x:v>
      </x:c>
      <x:c r="C11" s="74" t="str">
        <x:v>PRES</x:v>
      </x:c>
      <x:c r="D11" s="215" t="n">
        <x:v>5</x:v>
      </x:c>
      <x:c r="E11" s="74" t="str">
        <x:v>V1.0</x:v>
      </x:c>
      <x:c r="F11" s="68" t="str">
        <x:v>同一十神多处出现只证明节点增多</x:v>
      </x:c>
      <x:c r="G11" s="82" t="str">
        <x:v>结构层</x:v>
      </x:c>
      <x:c r="H11" s="82" t="str">
        <x:v>偏财</x:v>
      </x:c>
      <x:c r="I11" s="82" t="str">
        <x:v>多处出现</x:v>
      </x:c>
      <x:c r="J11" s="82" t="str">
        <x:v>待定</x:v>
      </x:c>
      <x:c r="K11" s="82" t="str">
        <x:v>待定</x:v>
      </x:c>
      <x:c r="L11" s="82" t="str">
        <x:v>待定</x:v>
      </x:c>
      <x:c r="M11" s="68" t="str">
        <x:v>按M08核查</x:v>
      </x:c>
      <x:c r="N11" s="68" t="str">
        <x:v>按M06/M08核查</x:v>
      </x:c>
      <x:c r="O11" s="82" t="str">
        <x:v>待定</x:v>
      </x:c>
      <x:c r="P11" s="68" t="str">
        <x:v>转M11/M14判断</x:v>
      </x:c>
      <x:c r="Q11" s="68" t="str">
        <x:v>需结合M09日主承载判断</x:v>
      </x:c>
      <x:c r="R11" s="82" t="str">
        <x:v>待定</x:v>
      </x:c>
      <x:c r="S11" s="68" t="str">
        <x:v>同一十神在两个及以上独立干支节点出现</x:v>
      </x:c>
      <x:c r="T11" s="68" t="str">
        <x:v>M02十神映射、M08五行有效旺衰、M09日主旺衰已完成</x:v>
      </x:c>
      <x:c r="U11" s="68" t="str">
        <x:v>相关十神已由M02正确映射，并以M08有效力量为准</x:v>
      </x:c>
      <x:c r="V11" s="68" t="str">
        <x:v>得令、有根、透干、同党或生源形成独立有效证据</x:v>
      </x:c>
      <x:c r="W11" s="68" t="str">
        <x:v>失令、无根、被合绊、被制、改性或作用路径受阻</x:v>
      </x:c>
      <x:c r="X11" s="90" t="str">
        <x:v>不得以十神名称、数量或单一旺弱证据直接完成定性</x:v>
      </x:c>
      <x:c r="Y11" s="68" t="str">
        <x:v>特殊格局、从化候选及明确组合转M11/M14另审</x:v>
      </x:c>
      <x:c r="Z11" s="68" t="str">
        <x:v>不得按出现次数线性累加十神力量或直接判成势</x:v>
      </x:c>
      <x:c r="AA11" s="84" t="str">
        <x:v>十神多节点存在</x:v>
      </x:c>
      <x:c r="AB11" s="84" t="str">
        <x:v>同一十神多处出现只证明节点增多：当“同一十神在两个及以上独立干支节点出现”成立时，按本规则记录十神的有效功能；同时保留制化、承载和反向证据。</x:v>
      </x:c>
      <x:c r="AC11" s="82" t="str">
        <x:v>较高</x:v>
      </x:c>
      <x:c r="AD11" s="82" t="str">
        <x:v>现代综合</x:v>
      </x:c>
      <x:c r="AE11" s="68" t="str">
        <x:v>十神必须分开判断存在性、力量、清纯度、功能性与喜忌性；M10只形成结构层结论和候选，不越级替代M11—M18。</x:v>
      </x:c>
      <x:c r="AF11" s="68" t="str">
        <x:v>相关条件真实成立，且增强条件有效时，可按“同一十神多处出现只证明节点增多”记录对应功能。</x:v>
      </x:c>
      <x:c r="AG11" s="90" t="str">
        <x:v>仅见表面十神名称或数量，但“不得以十神名称、数量或单一旺弱证据直接完成定性”所述限制存在时，不得套用本规则。</x:v>
      </x:c>
      <x:c r="AH11" s="68" t="str">
        <x:v>https://zh.wikisource.org/wiki/%E6%B8%8A%E6%B5%B7%E5%AD%90%E5%B9%B3%E5%A4%A7%E5%85%A8 ; https://zh.wikisource.org/wiki/%E6%BB%B4%E5%A4%A9%E9%AB%93%E9%97%A1%E5%BE%AE</x:v>
      </x:c>
      <x:c r="AI11" s="82" t="str">
        <x:v>采用</x:v>
      </x:c>
      <x:c r="AJ11" s="82" t="str">
        <x:v>初审</x:v>
      </x:c>
      <x:c r="AK11" s="87" t="n">
        <x:v>46255</x:v>
      </x:c>
    </x:row>
    <x:row r="12">
      <x:c r="A12" s="72" t="str">
        <x:f>IF(OR(C12="",D12=""),"",B12&amp;"-"&amp;UPPER(C12)&amp;"-"&amp;TEXT(D12,"0000")&amp;"-"&amp;E12)</x:f>
        <x:v>M10-PRES-0006-V1.0</x:v>
      </x:c>
      <x:c r="B12" s="74" t="str">
        <x:v>M10</x:v>
      </x:c>
      <x:c r="C12" s="74" t="str">
        <x:v>PRES</x:v>
      </x:c>
      <x:c r="D12" s="215" t="n">
        <x:v>6</x:v>
      </x:c>
      <x:c r="E12" s="74" t="str">
        <x:v>V1.0</x:v>
      </x:c>
      <x:c r="F12" s="68" t="str">
        <x:v>十神完全不现仅表示原局无直接节点</x:v>
      </x:c>
      <x:c r="G12" s="82" t="str">
        <x:v>结构层</x:v>
      </x:c>
      <x:c r="H12" s="82" t="str">
        <x:v>正财</x:v>
      </x:c>
      <x:c r="I12" s="82" t="str">
        <x:v>完全不现</x:v>
      </x:c>
      <x:c r="J12" s="82" t="str">
        <x:v>极弱</x:v>
      </x:c>
      <x:c r="K12" s="82" t="str">
        <x:v>极弱</x:v>
      </x:c>
      <x:c r="L12" s="82" t="str">
        <x:v>待定</x:v>
      </x:c>
      <x:c r="M12" s="68" t="str">
        <x:v>按M08核查</x:v>
      </x:c>
      <x:c r="N12" s="68" t="str">
        <x:v>按M06/M08核查</x:v>
      </x:c>
      <x:c r="O12" s="82" t="str">
        <x:v>待定</x:v>
      </x:c>
      <x:c r="P12" s="68" t="str">
        <x:v>转M11/M14判断</x:v>
      </x:c>
      <x:c r="Q12" s="68" t="str">
        <x:v>需结合M09日主承载判断</x:v>
      </x:c>
      <x:c r="R12" s="82" t="str">
        <x:v>待定</x:v>
      </x:c>
      <x:c r="S12" s="68" t="str">
        <x:v>四柱明干与藏干均未出现目标十神</x:v>
      </x:c>
      <x:c r="T12" s="68" t="str">
        <x:v>M02十神映射、M08五行有效旺衰、M09日主旺衰已完成</x:v>
      </x:c>
      <x:c r="U12" s="68" t="str">
        <x:v>相关十神已由M02正确映射，并以M08有效力量为准</x:v>
      </x:c>
      <x:c r="V12" s="68" t="str">
        <x:v>得令、有根、透干、同党或生源形成独立有效证据</x:v>
      </x:c>
      <x:c r="W12" s="68" t="str">
        <x:v>失令、无根、被合绊、被制、改性或作用路径受阻</x:v>
      </x:c>
      <x:c r="X12" s="90" t="str">
        <x:v>不得以十神名称、数量或单一旺弱证据直接完成定性</x:v>
      </x:c>
      <x:c r="Y12" s="68" t="str">
        <x:v>特殊格局、从化候选及明确组合转M11/M14另审</x:v>
      </x:c>
      <x:c r="Z12" s="68" t="str">
        <x:v>不得由原局不现直接推出人生领域缺失、没有某类亲属或具体事件不会发生</x:v>
      </x:c>
      <x:c r="AA12" s="84" t="str">
        <x:v>十神原局不现</x:v>
      </x:c>
      <x:c r="AB12" s="84" t="str">
        <x:v>十神完全不现仅表示原局无直接节点：当“四柱明干与藏干均未出现目标十神”成立时，按本规则记录十神的有效功能；同时保留制化、承载和反向证据。</x:v>
      </x:c>
      <x:c r="AC12" s="82" t="str">
        <x:v>较高</x:v>
      </x:c>
      <x:c r="AD12" s="82" t="str">
        <x:v>现代综合</x:v>
      </x:c>
      <x:c r="AE12" s="68" t="str">
        <x:v>十神必须分开判断存在性、力量、清纯度、功能性与喜忌性；M10只形成结构层结论和候选，不越级替代M11—M18。</x:v>
      </x:c>
      <x:c r="AF12" s="68" t="str">
        <x:v>相关条件真实成立，且增强条件有效时，可按“十神完全不现仅表示原局无直接节点”记录对应功能。</x:v>
      </x:c>
      <x:c r="AG12" s="90" t="str">
        <x:v>仅见表面十神名称或数量，但“不得以十神名称、数量或单一旺弱证据直接完成定性”所述限制存在时，不得套用本规则。</x:v>
      </x:c>
      <x:c r="AH12" s="68" t="str">
        <x:v>https://zh.wikisource.org/wiki/%E6%B8%8A%E6%B5%B7%E5%AD%90%E5%B9%B3%E5%A4%A7%E5%85%A8 ; https://zh.wikisource.org/wiki/%E6%BB%B4%E5%A4%A9%E9%AB%93%E9%97%A1%E5%BE%AE</x:v>
      </x:c>
      <x:c r="AI12" s="82" t="str">
        <x:v>采用</x:v>
      </x:c>
      <x:c r="AJ12" s="82" t="str">
        <x:v>初审</x:v>
      </x:c>
      <x:c r="AK12" s="87" t="n">
        <x:v>46255</x:v>
      </x:c>
    </x:row>
    <x:row r="13">
      <x:c r="A13" s="72" t="str">
        <x:f>IF(OR(C13="",D13=""),"",B13&amp;"-"&amp;UPPER(C13)&amp;"-"&amp;TEXT(D13,"0000")&amp;"-"&amp;E13)</x:f>
        <x:v>M10-PRES-0007-V1.0</x:v>
      </x:c>
      <x:c r="B13" s="74" t="str">
        <x:v>M10</x:v>
      </x:c>
      <x:c r="C13" s="74" t="str">
        <x:v>PRES</x:v>
      </x:c>
      <x:c r="D13" s="215" t="n">
        <x:v>7</x:v>
      </x:c>
      <x:c r="E13" s="74" t="str">
        <x:v>V1.0</x:v>
      </x:c>
      <x:c r="F13" s="68" t="str">
        <x:v>透干且通根应同时记录存在方式与承载</x:v>
      </x:c>
      <x:c r="G13" s="82" t="str">
        <x:v>结构层</x:v>
      </x:c>
      <x:c r="H13" s="82" t="str">
        <x:v>七杀</x:v>
      </x:c>
      <x:c r="I13" s="82" t="str">
        <x:v>透干</x:v>
      </x:c>
      <x:c r="J13" s="82" t="str">
        <x:v>待定</x:v>
      </x:c>
      <x:c r="K13" s="82" t="str">
        <x:v>待定</x:v>
      </x:c>
      <x:c r="L13" s="82" t="str">
        <x:v>待定</x:v>
      </x:c>
      <x:c r="M13" s="68" t="str">
        <x:v>按M08核查</x:v>
      </x:c>
      <x:c r="N13" s="68" t="str">
        <x:v>按M06/M08核查</x:v>
      </x:c>
      <x:c r="O13" s="82" t="str">
        <x:v>待定</x:v>
      </x:c>
      <x:c r="P13" s="68" t="str">
        <x:v>转M11/M14判断</x:v>
      </x:c>
      <x:c r="Q13" s="68" t="str">
        <x:v>七杀制身路径更容易形成，但仍须审制化与日主承载</x:v>
      </x:c>
      <x:c r="R13" s="82" t="str">
        <x:v>待定</x:v>
      </x:c>
      <x:c r="S13" s="68" t="str">
        <x:v>七杀透干并在地支有有效同类根</x:v>
      </x:c>
      <x:c r="T13" s="68" t="str">
        <x:v>M02十神映射、M08五行有效旺衰、M09日主旺衰已完成</x:v>
      </x:c>
      <x:c r="U13" s="68" t="str">
        <x:v>相关十神已由M02正确映射，并以M08有效力量为准</x:v>
      </x:c>
      <x:c r="V13" s="68" t="str">
        <x:v>得令、有根、透干、同党或生源形成独立有效证据</x:v>
      </x:c>
      <x:c r="W13" s="68" t="str">
        <x:v>失令、无根、被合绊、被制、改性或作用路径受阻</x:v>
      </x:c>
      <x:c r="X13" s="90" t="str">
        <x:v>不得以十神名称、数量或单一旺弱证据直接完成定性</x:v>
      </x:c>
      <x:c r="Y13" s="68" t="str">
        <x:v>特殊格局、从化候选及明确组合转M11/M14另审</x:v>
      </x:c>
      <x:c r="Z13" s="68" t="str">
        <x:v>不得直接推出吉凶、具体事件、亲属结果或最终喜忌</x:v>
      </x:c>
      <x:c r="AA13" s="84" t="str">
        <x:v>十神透根相应</x:v>
      </x:c>
      <x:c r="AB13" s="84" t="str">
        <x:v>透干且通根应同时记录存在方式与承载：当“七杀透干并在地支有有效同类根”成立时，按本规则记录十神的有效功能；同时保留制化、承载和反向证据。</x:v>
      </x:c>
      <x:c r="AC13" s="82" t="str">
        <x:v>较高</x:v>
      </x:c>
      <x:c r="AD13" s="82" t="str">
        <x:v>现代综合</x:v>
      </x:c>
      <x:c r="AE13" s="68" t="str">
        <x:v>十神必须分开判断存在性、力量、清纯度、功能性与喜忌性；M10只形成结构层结论和候选，不越级替代M11—M18。</x:v>
      </x:c>
      <x:c r="AF13" s="68" t="str">
        <x:v>相关条件真实成立，且增强条件有效时，可按“透干且通根应同时记录存在方式与承载”记录对应功能。</x:v>
      </x:c>
      <x:c r="AG13" s="90" t="str">
        <x:v>仅见表面十神名称或数量，但“不得以十神名称、数量或单一旺弱证据直接完成定性”所述限制存在时，不得套用本规则。</x:v>
      </x:c>
      <x:c r="AH13" s="68" t="str">
        <x:v>https://zh.wikisource.org/wiki/%E6%B8%8A%E6%B5%B7%E5%AD%90%E5%B9%B3%E5%A4%A7%E5%85%A8 ; https://zh.wikisource.org/wiki/%E6%BB%B4%E5%A4%A9%E9%AB%93%E9%97%A1%E5%BE%AE</x:v>
      </x:c>
      <x:c r="AI13" s="82" t="str">
        <x:v>采用</x:v>
      </x:c>
      <x:c r="AJ13" s="82" t="str">
        <x:v>初审</x:v>
      </x:c>
      <x:c r="AK13" s="87" t="n">
        <x:v>46255</x:v>
      </x:c>
    </x:row>
    <x:row r="14">
      <x:c r="A14" s="72" t="str">
        <x:f>IF(OR(C14="",D14=""),"",B14&amp;"-"&amp;UPPER(C14)&amp;"-"&amp;TEXT(D14,"0000")&amp;"-"&amp;E14)</x:f>
        <x:v>M10-PRES-0008-V1.0</x:v>
      </x:c>
      <x:c r="B14" s="74" t="str">
        <x:v>M10</x:v>
      </x:c>
      <x:c r="C14" s="74" t="str">
        <x:v>PRES</x:v>
      </x:c>
      <x:c r="D14" s="215" t="n">
        <x:v>8</x:v>
      </x:c>
      <x:c r="E14" s="74" t="str">
        <x:v>V1.0</x:v>
      </x:c>
      <x:c r="F14" s="68" t="str">
        <x:v>藏而不透不等于十神不存在</x:v>
      </x:c>
      <x:c r="G14" s="82" t="str">
        <x:v>结构层</x:v>
      </x:c>
      <x:c r="H14" s="82" t="str">
        <x:v>正官</x:v>
      </x:c>
      <x:c r="I14" s="82" t="str">
        <x:v>藏支本气</x:v>
      </x:c>
      <x:c r="J14" s="82" t="str">
        <x:v>待定</x:v>
      </x:c>
      <x:c r="K14" s="82" t="str">
        <x:v>待定</x:v>
      </x:c>
      <x:c r="L14" s="82" t="str">
        <x:v>待定</x:v>
      </x:c>
      <x:c r="M14" s="68" t="str">
        <x:v>按M08核查</x:v>
      </x:c>
      <x:c r="N14" s="68" t="str">
        <x:v>按M06/M08核查</x:v>
      </x:c>
      <x:c r="O14" s="82" t="str">
        <x:v>待定</x:v>
      </x:c>
      <x:c r="P14" s="68" t="str">
        <x:v>转M11/M14判断</x:v>
      </x:c>
      <x:c r="Q14" s="68" t="str">
        <x:v>原局存在官星基础，但显性作用和组合接口较弱</x:v>
      </x:c>
      <x:c r="R14" s="82" t="str">
        <x:v>待定</x:v>
      </x:c>
      <x:c r="S14" s="68" t="str">
        <x:v>正官只见于地支藏干而天干不透</x:v>
      </x:c>
      <x:c r="T14" s="68" t="str">
        <x:v>M02十神映射、M08五行有效旺衰、M09日主旺衰已完成</x:v>
      </x:c>
      <x:c r="U14" s="68" t="str">
        <x:v>相关十神已由M02正确映射，并以M08有效力量为准</x:v>
      </x:c>
      <x:c r="V14" s="68" t="str">
        <x:v>得令、有根、透干、同党或生源形成独立有效证据</x:v>
      </x:c>
      <x:c r="W14" s="68" t="str">
        <x:v>失令、无根、被合绊、被制、改性或作用路径受阻</x:v>
      </x:c>
      <x:c r="X14" s="90" t="str">
        <x:v>不得以十神名称、数量或单一旺弱证据直接完成定性</x:v>
      </x:c>
      <x:c r="Y14" s="68" t="str">
        <x:v>特殊格局、从化候选及明确组合转M11/M14另审</x:v>
      </x:c>
      <x:c r="Z14" s="68" t="str">
        <x:v>不得直接推出吉凶、具体事件、亲属结果或最终喜忌</x:v>
      </x:c>
      <x:c r="AA14" s="84" t="str">
        <x:v>十神藏而不透</x:v>
      </x:c>
      <x:c r="AB14" s="84" t="str">
        <x:v>藏而不透不等于十神不存在：当“正官只见于地支藏干而天干不透”成立时，按本规则记录十神的有效功能；同时保留制化、承载和反向证据。</x:v>
      </x:c>
      <x:c r="AC14" s="82" t="str">
        <x:v>较高</x:v>
      </x:c>
      <x:c r="AD14" s="82" t="str">
        <x:v>现代综合</x:v>
      </x:c>
      <x:c r="AE14" s="68" t="str">
        <x:v>十神必须分开判断存在性、力量、清纯度、功能性与喜忌性；M10只形成结构层结论和候选，不越级替代M11—M18。</x:v>
      </x:c>
      <x:c r="AF14" s="68" t="str">
        <x:v>相关条件真实成立，且增强条件有效时，可按“藏而不透不等于十神不存在”记录对应功能。</x:v>
      </x:c>
      <x:c r="AG14" s="90" t="str">
        <x:v>仅见表面十神名称或数量，但“不得以十神名称、数量或单一旺弱证据直接完成定性”所述限制存在时，不得套用本规则。</x:v>
      </x:c>
      <x:c r="AH14" s="68" t="str">
        <x:v>https://zh.wikisource.org/wiki/%E6%B8%8A%E6%B5%B7%E5%AD%90%E5%B9%B3%E5%A4%A7%E5%85%A8 ; https://zh.wikisource.org/wiki/%E6%BB%B4%E5%A4%A9%E9%AB%93%E9%97%A1%E5%BE%AE</x:v>
      </x:c>
      <x:c r="AI14" s="82" t="str">
        <x:v>采用</x:v>
      </x:c>
      <x:c r="AJ14" s="82" t="str">
        <x:v>初审</x:v>
      </x:c>
      <x:c r="AK14" s="87" t="n">
        <x:v>46255</x:v>
      </x:c>
    </x:row>
    <x:row r="15">
      <x:c r="A15" s="72" t="str">
        <x:f>IF(OR(C15="",D15=""),"",B15&amp;"-"&amp;UPPER(C15)&amp;"-"&amp;TEXT(D15,"0000")&amp;"-"&amp;E15)</x:f>
        <x:v>M10-PRES-0009-V1.0</x:v>
      </x:c>
      <x:c r="B15" s="74" t="str">
        <x:v>M10</x:v>
      </x:c>
      <x:c r="C15" s="74" t="str">
        <x:v>PRES</x:v>
      </x:c>
      <x:c r="D15" s="215" t="n">
        <x:v>9</x:v>
      </x:c>
      <x:c r="E15" s="74" t="str">
        <x:v>V1.0</x:v>
      </x:c>
      <x:c r="F15" s="68" t="str">
        <x:v>同一地支含多个藏干时各十神分别识别</x:v>
      </x:c>
      <x:c r="G15" s="82" t="str">
        <x:v>结构层</x:v>
      </x:c>
      <x:c r="H15" s="82" t="str">
        <x:v>偏印</x:v>
      </x:c>
      <x:c r="I15" s="82" t="str">
        <x:v>藏支中气</x:v>
      </x:c>
      <x:c r="J15" s="82" t="str">
        <x:v>待定</x:v>
      </x:c>
      <x:c r="K15" s="82" t="str">
        <x:v>待定</x:v>
      </x:c>
      <x:c r="L15" s="82" t="str">
        <x:v>待定</x:v>
      </x:c>
      <x:c r="M15" s="68" t="str">
        <x:v>按M08核查</x:v>
      </x:c>
      <x:c r="N15" s="68" t="str">
        <x:v>按M06/M08核查</x:v>
      </x:c>
      <x:c r="O15" s="82" t="str">
        <x:v>待定</x:v>
      </x:c>
      <x:c r="P15" s="68" t="str">
        <x:v>转M11/M14判断</x:v>
      </x:c>
      <x:c r="Q15" s="68" t="str">
        <x:v>需结合M09日主承载判断</x:v>
      </x:c>
      <x:c r="R15" s="82" t="str">
        <x:v>待定</x:v>
      </x:c>
      <x:c r="S15" s="68" t="str">
        <x:v>一个地支藏干映射出两个或三个不同十神</x:v>
      </x:c>
      <x:c r="T15" s="68" t="str">
        <x:v>M02十神映射、M08五行有效旺衰、M09日主旺衰已完成</x:v>
      </x:c>
      <x:c r="U15" s="68" t="str">
        <x:v>相关十神已由M02正确映射，并以M08有效力量为准</x:v>
      </x:c>
      <x:c r="V15" s="68" t="str">
        <x:v>得令、有根、透干、同党或生源形成独立有效证据</x:v>
      </x:c>
      <x:c r="W15" s="68" t="str">
        <x:v>失令、无根、被合绊、被制、改性或作用路径受阻</x:v>
      </x:c>
      <x:c r="X15" s="90" t="str">
        <x:v>不得以十神名称、数量或单一旺弱证据直接完成定性</x:v>
      </x:c>
      <x:c r="Y15" s="68" t="str">
        <x:v>特殊格局、从化候选及明确组合转M11/M14另审</x:v>
      </x:c>
      <x:c r="Z15" s="68" t="str">
        <x:v>不得把整支只按本气十神代表而删除中余气十神</x:v>
      </x:c>
      <x:c r="AA15" s="84" t="str">
        <x:v>藏干十神分项识别</x:v>
      </x:c>
      <x:c r="AB15" s="84" t="str">
        <x:v>同一地支含多个藏干时各十神分别识别：当“一个地支藏干映射出两个或三个不同十神”成立时，按本规则记录十神的有效功能；同时保留制化、承载和反向证据。</x:v>
      </x:c>
      <x:c r="AC15" s="82" t="str">
        <x:v>较高</x:v>
      </x:c>
      <x:c r="AD15" s="82" t="str">
        <x:v>现代综合</x:v>
      </x:c>
      <x:c r="AE15" s="68" t="str">
        <x:v>十神必须分开判断存在性、力量、清纯度、功能性与喜忌性；M10只形成结构层结论和候选，不越级替代M11—M18。</x:v>
      </x:c>
      <x:c r="AF15" s="68" t="str">
        <x:v>相关条件真实成立，且增强条件有效时，可按“同一地支含多个藏干时各十神分别识别”记录对应功能。</x:v>
      </x:c>
      <x:c r="AG15" s="90" t="str">
        <x:v>仅见表面十神名称或数量，但“不得以十神名称、数量或单一旺弱证据直接完成定性”所述限制存在时，不得套用本规则。</x:v>
      </x:c>
      <x:c r="AH15" s="68" t="str">
        <x:v>https://zh.wikisource.org/wiki/%E6%B8%8A%E6%B5%B7%E5%AD%90%E5%B9%B3%E5%A4%A7%E5%85%A8 ; https://zh.wikisource.org/wiki/%E6%BB%B4%E5%A4%A9%E9%AB%93%E9%97%A1%E5%BE%AE</x:v>
      </x:c>
      <x:c r="AI15" s="82" t="str">
        <x:v>采用</x:v>
      </x:c>
      <x:c r="AJ15" s="82" t="str">
        <x:v>初审</x:v>
      </x:c>
      <x:c r="AK15" s="87" t="n">
        <x:v>46255</x:v>
      </x:c>
    </x:row>
    <x:row r="16">
      <x:c r="A16" s="72" t="str">
        <x:f>IF(OR(C16="",D16=""),"",B16&amp;"-"&amp;UPPER(C16)&amp;"-"&amp;TEXT(D16,"0000")&amp;"-"&amp;E16)</x:f>
        <x:v>M10-PRES-0010-V1.0</x:v>
      </x:c>
      <x:c r="B16" s="74" t="str">
        <x:v>M10</x:v>
      </x:c>
      <x:c r="C16" s="74" t="str">
        <x:v>PRES</x:v>
      </x:c>
      <x:c r="D16" s="215" t="n">
        <x:v>10</x:v>
      </x:c>
      <x:c r="E16" s="74" t="str">
        <x:v>V1.0</x:v>
      </x:c>
      <x:c r="F16" s="68" t="str">
        <x:v>正偏同类十神并见先生成混杂候选</x:v>
      </x:c>
      <x:c r="G16" s="82" t="str">
        <x:v>结构层</x:v>
      </x:c>
      <x:c r="H16" s="82" t="str">
        <x:v>正印</x:v>
      </x:c>
      <x:c r="I16" s="82" t="str">
        <x:v>多处出现</x:v>
      </x:c>
      <x:c r="J16" s="82" t="str">
        <x:v>待定</x:v>
      </x:c>
      <x:c r="K16" s="82" t="str">
        <x:v>待定</x:v>
      </x:c>
      <x:c r="L16" s="82" t="str">
        <x:v>有杂</x:v>
      </x:c>
      <x:c r="M16" s="68" t="str">
        <x:v>按M08核查</x:v>
      </x:c>
      <x:c r="N16" s="68" t="str">
        <x:v>按M06/M08核查</x:v>
      </x:c>
      <x:c r="O16" s="82" t="str">
        <x:v>待定</x:v>
      </x:c>
      <x:c r="P16" s="68" t="str">
        <x:v>转M11/M14判断</x:v>
      </x:c>
      <x:c r="Q16" s="68" t="str">
        <x:v>需结合M09日主承载判断</x:v>
      </x:c>
      <x:c r="R16" s="82" t="str">
        <x:v>待定</x:v>
      </x:c>
      <x:c r="S16" s="68" t="str">
        <x:v>同一功能群的正、偏十神同时有效存在</x:v>
      </x:c>
      <x:c r="T16" s="68" t="str">
        <x:v>M02十神映射、M08五行有效旺衰、M09日主旺衰已完成</x:v>
      </x:c>
      <x:c r="U16" s="68" t="str">
        <x:v>相关十神已由M02正确映射，并以M08有效力量为准</x:v>
      </x:c>
      <x:c r="V16" s="68" t="str">
        <x:v>得令、有根、透干、同党或生源形成独立有效证据</x:v>
      </x:c>
      <x:c r="W16" s="68" t="str">
        <x:v>失令、无根、被合绊、被制、改性或作用路径受阻</x:v>
      </x:c>
      <x:c r="X16" s="90" t="str">
        <x:v>不得以十神名称、数量或单一旺弱证据直接完成定性</x:v>
      </x:c>
      <x:c r="Y16" s="68" t="str">
        <x:v>特殊格局、从化候选及明确组合转M11/M14另审</x:v>
      </x:c>
      <x:c r="Z16" s="68" t="str">
        <x:v>不得仅因正偏并见直接判严重混杂或凶</x:v>
      </x:c>
      <x:c r="AA16" s="84" t="str">
        <x:v>正偏并见候选</x:v>
      </x:c>
      <x:c r="AB16" s="84" t="str">
        <x:v>正偏同类十神并见先生成混杂候选：当“同一功能群的正、偏十神同时有效存在”成立时，按本规则记录十神的有效功能；同时保留制化、承载和反向证据。</x:v>
      </x:c>
      <x:c r="AC16" s="82" t="str">
        <x:v>较高</x:v>
      </x:c>
      <x:c r="AD16" s="82" t="str">
        <x:v>现代综合</x:v>
      </x:c>
      <x:c r="AE16" s="68" t="str">
        <x:v>十神必须分开判断存在性、力量、清纯度、功能性与喜忌性；M10只形成结构层结论和候选，不越级替代M11—M18。</x:v>
      </x:c>
      <x:c r="AF16" s="68" t="str">
        <x:v>相关条件真实成立，且增强条件有效时，可按“正偏同类十神并见先生成混杂候选”记录对应功能。</x:v>
      </x:c>
      <x:c r="AG16" s="90" t="str">
        <x:v>仅见表面十神名称或数量，但“不得以十神名称、数量或单一旺弱证据直接完成定性”所述限制存在时，不得套用本规则。</x:v>
      </x:c>
      <x:c r="AH16" s="68" t="str">
        <x:v>https://zh.wikisource.org/wiki/%E6%B8%8A%E6%B5%B7%E5%AD%90%E5%B9%B3%E5%A4%A7%E5%85%A8 ; https://zh.wikisource.org/wiki/%E6%BB%B4%E5%A4%A9%E9%AB%93%E9%97%A1%E5%BE%AE</x:v>
      </x:c>
      <x:c r="AI16" s="82" t="str">
        <x:v>采用</x:v>
      </x:c>
      <x:c r="AJ16" s="82" t="str">
        <x:v>初审</x:v>
      </x:c>
      <x:c r="AK16" s="87" t="n">
        <x:v>46255</x:v>
      </x:c>
    </x:row>
    <x:row r="17">
      <x:c r="A17" s="72" t="str">
        <x:f>IF(OR(C17="",D17=""),"",B17&amp;"-"&amp;UPPER(C17)&amp;"-"&amp;TEXT(D17,"0000")&amp;"-"&amp;E17)</x:f>
        <x:v>M10-PRES-0011-V1.0</x:v>
      </x:c>
      <x:c r="B17" s="74" t="str">
        <x:v>M10</x:v>
      </x:c>
      <x:c r="C17" s="74" t="str">
        <x:v>PRES</x:v>
      </x:c>
      <x:c r="D17" s="215" t="n">
        <x:v>11</x:v>
      </x:c>
      <x:c r="E17" s="74" t="str">
        <x:v>V1.0</x:v>
      </x:c>
      <x:c r="F17" s="68" t="str">
        <x:v>十神存在必须以日主为参照映射</x:v>
      </x:c>
      <x:c r="G17" s="82" t="str">
        <x:v>结构层</x:v>
      </x:c>
      <x:c r="H17" s="82" t="str">
        <x:v>食神</x:v>
      </x:c>
      <x:c r="I17" s="82" t="str">
        <x:v>待定</x:v>
      </x:c>
      <x:c r="J17" s="82" t="str">
        <x:v>待定</x:v>
      </x:c>
      <x:c r="K17" s="82" t="str">
        <x:v>待定</x:v>
      </x:c>
      <x:c r="L17" s="82" t="str">
        <x:v>待定</x:v>
      </x:c>
      <x:c r="M17" s="68" t="str">
        <x:v>按M08核查</x:v>
      </x:c>
      <x:c r="N17" s="68" t="str">
        <x:v>按M06/M08核查</x:v>
      </x:c>
      <x:c r="O17" s="82" t="str">
        <x:v>待定</x:v>
      </x:c>
      <x:c r="P17" s="68" t="str">
        <x:v>转M11/M14判断</x:v>
      </x:c>
      <x:c r="Q17" s="68" t="str">
        <x:v>需结合M09日主承载判断</x:v>
      </x:c>
      <x:c r="R17" s="82" t="str">
        <x:v>待定</x:v>
      </x:c>
      <x:c r="S17" s="68" t="str">
        <x:v>识别食神、伤官等十神时必须先确定日主天干及阴阳</x:v>
      </x:c>
      <x:c r="T17" s="68" t="str">
        <x:v>M02十神映射、M08五行有效旺衰、M09日主旺衰已完成</x:v>
      </x:c>
      <x:c r="U17" s="68" t="str">
        <x:v>日主天干准确、阴阳生克映射无误</x:v>
      </x:c>
      <x:c r="V17" s="68" t="str">
        <x:v>得令、有根、透干、同党或生源形成独立有效证据</x:v>
      </x:c>
      <x:c r="W17" s="68" t="str">
        <x:v>失令、无根、被合绊、被制、改性或作用路径受阻</x:v>
      </x:c>
      <x:c r="X17" s="90" t="str">
        <x:v>不得以十神名称、数量或单一旺弱证据直接完成定性</x:v>
      </x:c>
      <x:c r="Y17" s="68" t="str">
        <x:v>特殊格局、从化候选及明确组合转M11/M14另审</x:v>
      </x:c>
      <x:c r="Z17" s="68" t="str">
        <x:v>不得给某个固定天干脱离日主贴永久十神标签</x:v>
      </x:c>
      <x:c r="AA17" s="84" t="str">
        <x:v>十神相对映射</x:v>
      </x:c>
      <x:c r="AB17" s="84" t="str">
        <x:v>十神存在必须以日主为参照映射：当“识别食神、伤官等十神时必须先确定日主天干及阴阳”成立时，按本规则记录十神的有效功能；同时保留制化、承载和反向证据。</x:v>
      </x:c>
      <x:c r="AC17" s="82" t="str">
        <x:v>较高</x:v>
      </x:c>
      <x:c r="AD17" s="82" t="str">
        <x:v>现代综合</x:v>
      </x:c>
      <x:c r="AE17" s="68" t="str">
        <x:v>十神必须分开判断存在性、力量、清纯度、功能性与喜忌性；M10只形成结构层结论和候选，不越级替代M11—M18。</x:v>
      </x:c>
      <x:c r="AF17" s="68" t="str">
        <x:v>相关条件真实成立，且增强条件有效时，可按“十神存在必须以日主为参照映射”记录对应功能。</x:v>
      </x:c>
      <x:c r="AG17" s="90" t="str">
        <x:v>仅见表面十神名称或数量，但“不得以十神名称、数量或单一旺弱证据直接完成定性”所述限制存在时，不得套用本规则。</x:v>
      </x:c>
      <x:c r="AH17" s="68" t="str">
        <x:v>https://zh.wikisource.org/wiki/%E6%B8%8A%E6%B5%B7%E5%AD%90%E5%B9%B3%E5%A4%A7%E5%85%A8 ; https://zh.wikisource.org/wiki/%E6%BB%B4%E5%A4%A9%E9%AB%93%E9%97%A1%E5%BE%AE</x:v>
      </x:c>
      <x:c r="AI17" s="82" t="str">
        <x:v>采用</x:v>
      </x:c>
      <x:c r="AJ17" s="82" t="str">
        <x:v>初审</x:v>
      </x:c>
      <x:c r="AK17" s="87" t="n">
        <x:v>46255</x:v>
      </x:c>
    </x:row>
    <x:row r="18">
      <x:c r="A18" s="72" t="str">
        <x:f>IF(OR(C18="",D18=""),"",B18&amp;"-"&amp;UPPER(C18)&amp;"-"&amp;TEXT(D18,"0000")&amp;"-"&amp;E18)</x:f>
        <x:v>M10-PRES-0012-V1.0</x:v>
      </x:c>
      <x:c r="B18" s="74" t="str">
        <x:v>M10</x:v>
      </x:c>
      <x:c r="C18" s="74" t="str">
        <x:v>PRES</x:v>
      </x:c>
      <x:c r="D18" s="215" t="n">
        <x:v>12</x:v>
      </x:c>
      <x:c r="E18" s="74" t="str">
        <x:v>V1.0</x:v>
      </x:c>
      <x:c r="F18" s="68" t="str">
        <x:v>静态原局存在与岁运引动必须分开</x:v>
      </x:c>
      <x:c r="G18" s="82" t="str">
        <x:v>结构层</x:v>
      </x:c>
      <x:c r="H18" s="82" t="str">
        <x:v>正官</x:v>
      </x:c>
      <x:c r="I18" s="82" t="str">
        <x:v>待定</x:v>
      </x:c>
      <x:c r="J18" s="82" t="str">
        <x:v>待定</x:v>
      </x:c>
      <x:c r="K18" s="82" t="str">
        <x:v>待定</x:v>
      </x:c>
      <x:c r="L18" s="82" t="str">
        <x:v>待定</x:v>
      </x:c>
      <x:c r="M18" s="68" t="str">
        <x:v>按M08核查</x:v>
      </x:c>
      <x:c r="N18" s="68" t="str">
        <x:v>按M06/M08核查</x:v>
      </x:c>
      <x:c r="O18" s="82" t="str">
        <x:v>待定</x:v>
      </x:c>
      <x:c r="P18" s="68" t="str">
        <x:v>转M11/M14判断</x:v>
      </x:c>
      <x:c r="Q18" s="68" t="str">
        <x:v>需结合M09日主承载判断</x:v>
      </x:c>
      <x:c r="R18" s="82" t="str">
        <x:v>待定</x:v>
      </x:c>
      <x:c r="S18" s="68" t="str">
        <x:v>M10只处理原局十神存在，不使用未来岁运补入作为原局存在证据</x:v>
      </x:c>
      <x:c r="T18" s="68" t="str">
        <x:v>M02十神映射、M08五行有效旺衰、M09日主旺衰已完成</x:v>
      </x:c>
      <x:c r="U18" s="68" t="str">
        <x:v>相关十神已由M02正确映射，并以M08有效力量为准</x:v>
      </x:c>
      <x:c r="V18" s="68" t="str">
        <x:v>得令、有根、透干、同党或生源形成独立有效证据</x:v>
      </x:c>
      <x:c r="W18" s="68" t="str">
        <x:v>失令、无根、被合绊、被制、改性或作用路径受阻</x:v>
      </x:c>
      <x:c r="X18" s="90" t="str">
        <x:v>不得以十神名称、数量或单一旺弱证据直接完成定性</x:v>
      </x:c>
      <x:c r="Y18" s="68" t="str">
        <x:v>岁运作用转专门的大运流年引擎</x:v>
      </x:c>
      <x:c r="Z18" s="68" t="str">
        <x:v>不得把未来可能出现的十神提前计入原局静态力量</x:v>
      </x:c>
      <x:c r="AA18" s="84" t="str">
        <x:v>静动态存在分离</x:v>
      </x:c>
      <x:c r="AB18" s="84" t="str">
        <x:v>静态原局存在与岁运引动必须分开：当“M10只处理原局十神存在，不使用未来岁运补入作为原局存在证据”成立时，按本规则记录十神的有效功能；同时保留制化、承载和反向证据。</x:v>
      </x:c>
      <x:c r="AC18" s="82" t="str">
        <x:v>较高</x:v>
      </x:c>
      <x:c r="AD18" s="82" t="str">
        <x:v>现代综合</x:v>
      </x:c>
      <x:c r="AE18" s="68" t="str">
        <x:v>十神必须分开判断存在性、力量、清纯度、功能性与喜忌性；M10只形成结构层结论和候选，不越级替代M11—M18。</x:v>
      </x:c>
      <x:c r="AF18" s="68" t="str">
        <x:v>相关条件真实成立，且增强条件有效时，可按“静态原局存在与岁运引动必须分开”记录对应功能。</x:v>
      </x:c>
      <x:c r="AG18" s="90" t="str">
        <x:v>仅见表面十神名称或数量，但“不得以十神名称、数量或单一旺弱证据直接完成定性”所述限制存在时，不得套用本规则。</x:v>
      </x:c>
      <x:c r="AH18" s="68" t="str">
        <x:v>https://zh.wikisource.org/wiki/%E6%B8%8A%E6%B5%B7%E5%AD%90%E5%B9%B3%E5%A4%A7%E5%85%A8 ; https://zh.wikisource.org/wiki/%E6%BB%B4%E5%A4%A9%E9%AB%93%E9%97%A1%E5%BE%AE</x:v>
      </x:c>
      <x:c r="AI18" s="82" t="str">
        <x:v>采用</x:v>
      </x:c>
      <x:c r="AJ18" s="82" t="str">
        <x:v>初审</x:v>
      </x:c>
      <x:c r="AK18" s="87" t="n">
        <x:v>46255</x:v>
      </x:c>
    </x:row>
    <x:row r="19">
      <x:c r="A19" s="72" t="str">
        <x:f>IF(OR(C19="",D19=""),"",B19&amp;"-"&amp;UPPER(C19)&amp;"-"&amp;TEXT(D19,"0000")&amp;"-"&amp;E19)</x:f>
        <x:v>M10-POWER-0013-V1.0</x:v>
      </x:c>
      <x:c r="B19" s="74" t="str">
        <x:v>M10</x:v>
      </x:c>
      <x:c r="C19" s="74" t="str">
        <x:v>POWER</x:v>
      </x:c>
      <x:c r="D19" s="215" t="n">
        <x:v>13</x:v>
      </x:c>
      <x:c r="E19" s="74" t="str">
        <x:v>V1.0</x:v>
      </x:c>
      <x:c r="F19" s="68" t="str">
        <x:v>十神有效力量继承对应五行的M08结果</x:v>
      </x:c>
      <x:c r="G19" s="82" t="str">
        <x:v>结构层</x:v>
      </x:c>
      <x:c r="H19" s="82" t="str">
        <x:v>比肩</x:v>
      </x:c>
      <x:c r="I19" s="82" t="str">
        <x:v>待定</x:v>
      </x:c>
      <x:c r="J19" s="82" t="str">
        <x:v>待定</x:v>
      </x:c>
      <x:c r="K19" s="82" t="str">
        <x:v>待定</x:v>
      </x:c>
      <x:c r="L19" s="82" t="str">
        <x:v>待定</x:v>
      </x:c>
      <x:c r="M19" s="68" t="str">
        <x:v>按M08核查</x:v>
      </x:c>
      <x:c r="N19" s="68" t="str">
        <x:v>按M06/M08核查</x:v>
      </x:c>
      <x:c r="O19" s="82" t="str">
        <x:v>待定</x:v>
      </x:c>
      <x:c r="P19" s="68" t="str">
        <x:v>转M11/M14判断</x:v>
      </x:c>
      <x:c r="Q19" s="68" t="str">
        <x:v>需结合M09日主承载判断</x:v>
      </x:c>
      <x:c r="R19" s="82" t="str">
        <x:v>待定</x:v>
      </x:c>
      <x:c r="S19" s="68" t="str">
        <x:v>目标十神已映射到具体干支节点，并有M08有效旺衰结果</x:v>
      </x:c>
      <x:c r="T19" s="68" t="str">
        <x:v>M02十神映射、M08五行有效旺衰、M09日主旺衰已完成</x:v>
      </x:c>
      <x:c r="U19" s="68" t="str">
        <x:v>必须按具体节点读取M08，而非只看五行总量</x:v>
      </x:c>
      <x:c r="V19" s="68" t="str">
        <x:v>得令、有根、透干、同党或生源形成独立有效证据</x:v>
      </x:c>
      <x:c r="W19" s="68" t="str">
        <x:v>失令、无根、被合绊、被制、改性或作用路径受阻</x:v>
      </x:c>
      <x:c r="X19" s="90" t="str">
        <x:v>不得以十神名称、数量或单一旺弱证据直接完成定性</x:v>
      </x:c>
      <x:c r="Y19" s="68" t="str">
        <x:v>特殊格局、从化候选及明确组合转M11/M14另审</x:v>
      </x:c>
      <x:c r="Z19" s="68" t="str">
        <x:v>不得直接推出吉凶、具体事件、亲属结果或最终喜忌</x:v>
      </x:c>
      <x:c r="AA19" s="84" t="str">
        <x:v>十神力量继承</x:v>
      </x:c>
      <x:c r="AB19" s="84" t="str">
        <x:v>十神有效力量继承对应五行的M08结果：当“目标十神已映射到具体干支节点，并有M08有效旺衰结果”成立时，按本规则记录十神的有效功能；同时保留制化、承载和反向证据。</x:v>
      </x:c>
      <x:c r="AC19" s="82" t="str">
        <x:v>较高</x:v>
      </x:c>
      <x:c r="AD19" s="82" t="str">
        <x:v>现代综合</x:v>
      </x:c>
      <x:c r="AE19" s="68" t="str">
        <x:v>十神必须分开判断存在性、力量、清纯度、功能性与喜忌性；M10只形成结构层结论和候选，不越级替代M11—M18。</x:v>
      </x:c>
      <x:c r="AF19" s="68" t="str">
        <x:v>相关条件真实成立，且增强条件有效时，可按“十神有效力量继承对应五行的M08结果”记录对应功能。</x:v>
      </x:c>
      <x:c r="AG19" s="90" t="str">
        <x:v>仅见表面十神名称或数量，但“不得以十神名称、数量或单一旺弱证据直接完成定性”所述限制存在时，不得套用本规则。</x:v>
      </x:c>
      <x:c r="AH19" s="68" t="str">
        <x:v>https://zh.wikisource.org/wiki/%E6%B8%8A%E6%B5%B7%E5%AD%90%E5%B9%B3%E5%A4%A7%E5%85%A8 ; https://zh.wikisource.org/wiki/%E6%BB%B4%E5%A4%A9%E9%AB%93%E9%97%A1%E5%BE%AE</x:v>
      </x:c>
      <x:c r="AI19" s="82" t="str">
        <x:v>采用</x:v>
      </x:c>
      <x:c r="AJ19" s="82" t="str">
        <x:v>初审</x:v>
      </x:c>
      <x:c r="AK19" s="87" t="n">
        <x:v>46255</x:v>
      </x:c>
    </x:row>
    <x:row r="20">
      <x:c r="A20" s="72" t="str">
        <x:f>IF(OR(C20="",D20=""),"",B20&amp;"-"&amp;UPPER(C20)&amp;"-"&amp;TEXT(D20,"0000")&amp;"-"&amp;E20)</x:f>
        <x:v>M10-POWER-0014-V1.0</x:v>
      </x:c>
      <x:c r="B20" s="74" t="str">
        <x:v>M10</x:v>
      </x:c>
      <x:c r="C20" s="74" t="str">
        <x:v>POWER</x:v>
      </x:c>
      <x:c r="D20" s="215" t="n">
        <x:v>14</x:v>
      </x:c>
      <x:c r="E20" s="74" t="str">
        <x:v>V1.0</x:v>
      </x:c>
      <x:c r="F20" s="68" t="str">
        <x:v>十神原始力量与有效力量必须分开</x:v>
      </x:c>
      <x:c r="G20" s="82" t="str">
        <x:v>结构层</x:v>
      </x:c>
      <x:c r="H20" s="82" t="str">
        <x:v>劫财</x:v>
      </x:c>
      <x:c r="I20" s="82" t="str">
        <x:v>待定</x:v>
      </x:c>
      <x:c r="J20" s="82" t="str">
        <x:v>旺</x:v>
      </x:c>
      <x:c r="K20" s="82" t="str">
        <x:v>待定</x:v>
      </x:c>
      <x:c r="L20" s="82" t="str">
        <x:v>待定</x:v>
      </x:c>
      <x:c r="M20" s="68" t="str">
        <x:v>按M08核查</x:v>
      </x:c>
      <x:c r="N20" s="68" t="str">
        <x:v>按M06/M08核查</x:v>
      </x:c>
      <x:c r="O20" s="82" t="str">
        <x:v>待定</x:v>
      </x:c>
      <x:c r="P20" s="68" t="str">
        <x:v>转M11/M14判断</x:v>
      </x:c>
      <x:c r="Q20" s="68" t="str">
        <x:v>需结合M09日主承载判断</x:v>
      </x:c>
      <x:c r="R20" s="82" t="str">
        <x:v>待定</x:v>
      </x:c>
      <x:c r="S20" s="68" t="str">
        <x:v>十神节点在M07原始有力，但经M06/M08受到合冲制化修正</x:v>
      </x:c>
      <x:c r="T20" s="68" t="str">
        <x:v>M02十神映射、M08五行有效旺衰、M09日主旺衰已完成</x:v>
      </x:c>
      <x:c r="U20" s="68" t="str">
        <x:v>相关十神已由M02正确映射，并以M08有效力量为准</x:v>
      </x:c>
      <x:c r="V20" s="68" t="str">
        <x:v>得令、有根、透干、同党或生源形成独立有效证据</x:v>
      </x:c>
      <x:c r="W20" s="68" t="str">
        <x:v>失令、无根、被合绊、被制、改性或作用路径受阻</x:v>
      </x:c>
      <x:c r="X20" s="90" t="str">
        <x:v>不得以十神名称、数量或单一旺弱证据直接完成定性</x:v>
      </x:c>
      <x:c r="Y20" s="68" t="str">
        <x:v>特殊格局、从化候选及明确组合转M11/M14另审</x:v>
      </x:c>
      <x:c r="Z20" s="68" t="str">
        <x:v>不得用原始旺衰替代有效旺衰</x:v>
      </x:c>
      <x:c r="AA20" s="84" t="str">
        <x:v>十神原效分离</x:v>
      </x:c>
      <x:c r="AB20" s="84" t="str">
        <x:v>十神原始力量与有效力量必须分开：当“十神节点在M07原始有力，但经M06/M08受到合冲制化修正”成立时，按本规则记录十神的有效功能；同时保留制化、承载和反向证据。</x:v>
      </x:c>
      <x:c r="AC20" s="82" t="str">
        <x:v>较高</x:v>
      </x:c>
      <x:c r="AD20" s="82" t="str">
        <x:v>现代综合</x:v>
      </x:c>
      <x:c r="AE20" s="68" t="str">
        <x:v>十神必须分开判断存在性、力量、清纯度、功能性与喜忌性；M10只形成结构层结论和候选，不越级替代M11—M18。</x:v>
      </x:c>
      <x:c r="AF20" s="68" t="str">
        <x:v>相关条件真实成立，且增强条件有效时，可按“十神原始力量与有效力量必须分开”记录对应功能。</x:v>
      </x:c>
      <x:c r="AG20" s="90" t="str">
        <x:v>仅见表面十神名称或数量，但“不得以十神名称、数量或单一旺弱证据直接完成定性”所述限制存在时，不得套用本规则。</x:v>
      </x:c>
      <x:c r="AH20" s="68" t="str">
        <x:v>https://zh.wikisource.org/wiki/%E6%B8%8A%E6%B5%B7%E5%AD%90%E5%B9%B3%E5%A4%A7%E5%85%A8 ; https://zh.wikisource.org/wiki/%E6%BB%B4%E5%A4%A9%E9%AB%93%E9%97%A1%E5%BE%AE</x:v>
      </x:c>
      <x:c r="AI20" s="82" t="str">
        <x:v>采用</x:v>
      </x:c>
      <x:c r="AJ20" s="82" t="str">
        <x:v>初审</x:v>
      </x:c>
      <x:c r="AK20" s="87" t="n">
        <x:v>46255</x:v>
      </x:c>
    </x:row>
    <x:row r="21">
      <x:c r="A21" s="72" t="str">
        <x:f>IF(OR(C21="",D21=""),"",B21&amp;"-"&amp;UPPER(C21)&amp;"-"&amp;TEXT(D21,"0000")&amp;"-"&amp;E21)</x:f>
        <x:v>M10-POWER-0015-V1.0</x:v>
      </x:c>
      <x:c r="B21" s="74" t="str">
        <x:v>M10</x:v>
      </x:c>
      <x:c r="C21" s="74" t="str">
        <x:v>POWER</x:v>
      </x:c>
      <x:c r="D21" s="215" t="n">
        <x:v>15</x:v>
      </x:c>
      <x:c r="E21" s="74" t="str">
        <x:v>V1.0</x:v>
      </x:c>
      <x:c r="F21" s="68" t="str">
        <x:v>多节点十神力量采用独立节点汇总而非次数计分</x:v>
      </x:c>
      <x:c r="G21" s="82" t="str">
        <x:v>结构层</x:v>
      </x:c>
      <x:c r="H21" s="82" t="str">
        <x:v>食神</x:v>
      </x:c>
      <x:c r="I21" s="82" t="str">
        <x:v>多处出现</x:v>
      </x:c>
      <x:c r="J21" s="82" t="str">
        <x:v>待定</x:v>
      </x:c>
      <x:c r="K21" s="82" t="str">
        <x:v>待定</x:v>
      </x:c>
      <x:c r="L21" s="82" t="str">
        <x:v>待定</x:v>
      </x:c>
      <x:c r="M21" s="68" t="str">
        <x:v>按M08核查</x:v>
      </x:c>
      <x:c r="N21" s="68" t="str">
        <x:v>按M06/M08核查</x:v>
      </x:c>
      <x:c r="O21" s="82" t="str">
        <x:v>待定</x:v>
      </x:c>
      <x:c r="P21" s="68" t="str">
        <x:v>转M11/M14判断</x:v>
      </x:c>
      <x:c r="Q21" s="68" t="str">
        <x:v>需结合M09日主承载判断</x:v>
      </x:c>
      <x:c r="R21" s="82" t="str">
        <x:v>待定</x:v>
      </x:c>
      <x:c r="S21" s="68" t="str">
        <x:v>同一十神在多个独立节点出现</x:v>
      </x:c>
      <x:c r="T21" s="68" t="str">
        <x:v>M02十神映射、M08五行有效旺衰、M09日主旺衰已完成</x:v>
      </x:c>
      <x:c r="U21" s="68" t="str">
        <x:v>相关十神已由M02正确映射，并以M08有效力量为准</x:v>
      </x:c>
      <x:c r="V21" s="68" t="str">
        <x:v>得令、有根、透干、同党或生源形成独立有效证据</x:v>
      </x:c>
      <x:c r="W21" s="68" t="str">
        <x:v>失令、无根、被合绊、被制、改性或作用路径受阻</x:v>
      </x:c>
      <x:c r="X21" s="90" t="str">
        <x:v>不得以十神名称、数量或单一旺弱证据直接完成定性</x:v>
      </x:c>
      <x:c r="Y21" s="68" t="str">
        <x:v>特殊格局、从化候选及明确组合转M11/M14另审</x:v>
      </x:c>
      <x:c r="Z21" s="68" t="str">
        <x:v>不得以出现三个就必然旺、出现一个就必然弱</x:v>
      </x:c>
      <x:c r="AA21" s="84" t="str">
        <x:v>十神多节点汇总</x:v>
      </x:c>
      <x:c r="AB21" s="84" t="str">
        <x:v>多节点十神力量采用独立节点汇总而非次数计分：当“同一十神在多个独立节点出现”成立时，按本规则记录十神的有效功能；同时保留制化、承载和反向证据。</x:v>
      </x:c>
      <x:c r="AC21" s="82" t="str">
        <x:v>较高</x:v>
      </x:c>
      <x:c r="AD21" s="82" t="str">
        <x:v>现代综合</x:v>
      </x:c>
      <x:c r="AE21" s="68" t="str">
        <x:v>十神必须分开判断存在性、力量、清纯度、功能性与喜忌性；M10只形成结构层结论和候选，不越级替代M11—M18。</x:v>
      </x:c>
      <x:c r="AF21" s="68" t="str">
        <x:v>相关条件真实成立，且增强条件有效时，可按“多节点十神力量采用独立节点汇总而非次数计分”记录对应功能。</x:v>
      </x:c>
      <x:c r="AG21" s="90" t="str">
        <x:v>仅见表面十神名称或数量，但“不得以十神名称、数量或单一旺弱证据直接完成定性”所述限制存在时，不得套用本规则。</x:v>
      </x:c>
      <x:c r="AH21" s="68" t="str">
        <x:v>https://zh.wikisource.org/wiki/%E6%B8%8A%E6%B5%B7%E5%AD%90%E5%B9%B3%E5%A4%A7%E5%85%A8 ; https://zh.wikisource.org/wiki/%E6%BB%B4%E5%A4%A9%E9%AB%93%E9%97%A1%E5%BE%AE</x:v>
      </x:c>
      <x:c r="AI21" s="82" t="str">
        <x:v>采用</x:v>
      </x:c>
      <x:c r="AJ21" s="82" t="str">
        <x:v>初审</x:v>
      </x:c>
      <x:c r="AK21" s="87" t="n">
        <x:v>46255</x:v>
      </x:c>
    </x:row>
    <x:row r="22">
      <x:c r="A22" s="72" t="str">
        <x:f>IF(OR(C22="",D22=""),"",B22&amp;"-"&amp;UPPER(C22)&amp;"-"&amp;TEXT(D22,"0000")&amp;"-"&amp;E22)</x:f>
        <x:v>M10-POWER-0016-V1.0</x:v>
      </x:c>
      <x:c r="B22" s="74" t="str">
        <x:v>M10</x:v>
      </x:c>
      <x:c r="C22" s="74" t="str">
        <x:v>POWER</x:v>
      </x:c>
      <x:c r="D22" s="215" t="n">
        <x:v>16</x:v>
      </x:c>
      <x:c r="E22" s="74" t="str">
        <x:v>V1.0</x:v>
      </x:c>
      <x:c r="F22" s="68" t="str">
        <x:v>得令提高十神力量但不是旺的充分条件</x:v>
      </x:c>
      <x:c r="G22" s="82" t="str">
        <x:v>结构层</x:v>
      </x:c>
      <x:c r="H22" s="82" t="str">
        <x:v>伤官</x:v>
      </x:c>
      <x:c r="I22" s="82" t="str">
        <x:v>待定</x:v>
      </x:c>
      <x:c r="J22" s="82" t="str">
        <x:v>待定</x:v>
      </x:c>
      <x:c r="K22" s="82" t="str">
        <x:v>中和偏旺</x:v>
      </x:c>
      <x:c r="L22" s="82" t="str">
        <x:v>待定</x:v>
      </x:c>
      <x:c r="M22" s="68" t="str">
        <x:v>按M08核查</x:v>
      </x:c>
      <x:c r="N22" s="68" t="str">
        <x:v>按M06/M08核查</x:v>
      </x:c>
      <x:c r="O22" s="82" t="str">
        <x:v>待定</x:v>
      </x:c>
      <x:c r="P22" s="68" t="str">
        <x:v>转M11/M14判断</x:v>
      </x:c>
      <x:c r="Q22" s="68" t="str">
        <x:v>需结合M09日主承载判断</x:v>
      </x:c>
      <x:c r="R22" s="82" t="str">
        <x:v>待定</x:v>
      </x:c>
      <x:c r="S22" s="68" t="str">
        <x:v>目标十神对应五行获得强季令支持</x:v>
      </x:c>
      <x:c r="T22" s="68" t="str">
        <x:v>M02十神映射、M08五行有效旺衰、M09日主旺衰已完成</x:v>
      </x:c>
      <x:c r="U22" s="68" t="str">
        <x:v>相关十神已由M02正确映射，并以M08有效力量为准</x:v>
      </x:c>
      <x:c r="V22" s="68" t="str">
        <x:v>得令、有根、透干、同党或生源形成独立有效证据</x:v>
      </x:c>
      <x:c r="W22" s="68" t="str">
        <x:v>失令、无根、被合绊、被制、改性或作用路径受阻</x:v>
      </x:c>
      <x:c r="X22" s="90" t="str">
        <x:v>不得以十神名称、数量或单一旺弱证据直接完成定性</x:v>
      </x:c>
      <x:c r="Y22" s="68" t="str">
        <x:v>特殊格局、从化候选及明确组合转M11/M14另审</x:v>
      </x:c>
      <x:c r="Z22" s="68" t="str">
        <x:v>不得由得令单项直接判十神旺</x:v>
      </x:c>
      <x:c r="AA22" s="84" t="str">
        <x:v>十神季令支持</x:v>
      </x:c>
      <x:c r="AB22" s="84" t="str">
        <x:v>得令提高十神力量但不是旺的充分条件：当“目标十神对应五行获得强季令支持”成立时，按本规则记录十神的有效功能；同时保留制化、承载和反向证据。</x:v>
      </x:c>
      <x:c r="AC22" s="82" t="str">
        <x:v>较高</x:v>
      </x:c>
      <x:c r="AD22" s="82" t="str">
        <x:v>现代综合</x:v>
      </x:c>
      <x:c r="AE22" s="68" t="str">
        <x:v>十神必须分开判断存在性、力量、清纯度、功能性与喜忌性；M10只形成结构层结论和候选，不越级替代M11—M18。</x:v>
      </x:c>
      <x:c r="AF22" s="68" t="str">
        <x:v>相关条件真实成立，且增强条件有效时，可按“得令提高十神力量但不是旺的充分条件”记录对应功能。</x:v>
      </x:c>
      <x:c r="AG22" s="90" t="str">
        <x:v>仅见表面十神名称或数量，但“不得以十神名称、数量或单一旺弱证据直接完成定性”所述限制存在时，不得套用本规则。</x:v>
      </x:c>
      <x:c r="AH22" s="68" t="str">
        <x:v>https://zh.wikisource.org/wiki/%E6%B8%8A%E6%B5%B7%E5%AD%90%E5%B9%B3%E5%A4%A7%E5%85%A8 ; https://zh.wikisource.org/wiki/%E6%BB%B4%E5%A4%A9%E9%AB%93%E9%97%A1%E5%BE%AE</x:v>
      </x:c>
      <x:c r="AI22" s="82" t="str">
        <x:v>采用</x:v>
      </x:c>
      <x:c r="AJ22" s="82" t="str">
        <x:v>初审</x:v>
      </x:c>
      <x:c r="AK22" s="87" t="n">
        <x:v>46255</x:v>
      </x:c>
    </x:row>
    <x:row r="23">
      <x:c r="A23" s="72" t="str">
        <x:f>IF(OR(C23="",D23=""),"",B23&amp;"-"&amp;UPPER(C23)&amp;"-"&amp;TEXT(D23,"0000")&amp;"-"&amp;E23)</x:f>
        <x:v>M10-POWER-0017-V1.0</x:v>
      </x:c>
      <x:c r="B23" s="74" t="str">
        <x:v>M10</x:v>
      </x:c>
      <x:c r="C23" s="74" t="str">
        <x:v>POWER</x:v>
      </x:c>
      <x:c r="D23" s="215" t="n">
        <x:v>17</x:v>
      </x:c>
      <x:c r="E23" s="74" t="str">
        <x:v>V1.0</x:v>
      </x:c>
      <x:c r="F23" s="68" t="str">
        <x:v>有效根气增强十神持续作用能力</x:v>
      </x:c>
      <x:c r="G23" s="82" t="str">
        <x:v>结构层</x:v>
      </x:c>
      <x:c r="H23" s="82" t="str">
        <x:v>偏财</x:v>
      </x:c>
      <x:c r="I23" s="82" t="str">
        <x:v>待定</x:v>
      </x:c>
      <x:c r="J23" s="82" t="str">
        <x:v>待定</x:v>
      </x:c>
      <x:c r="K23" s="82" t="str">
        <x:v>中和偏旺</x:v>
      </x:c>
      <x:c r="L23" s="82" t="str">
        <x:v>待定</x:v>
      </x:c>
      <x:c r="M23" s="68" t="str">
        <x:v>按M08核查</x:v>
      </x:c>
      <x:c r="N23" s="68" t="str">
        <x:v>按M06/M08核查</x:v>
      </x:c>
      <x:c r="O23" s="82" t="str">
        <x:v>待定</x:v>
      </x:c>
      <x:c r="P23" s="68" t="str">
        <x:v>转M11/M14判断</x:v>
      </x:c>
      <x:c r="Q23" s="68" t="str">
        <x:v>需结合M09日主承载判断</x:v>
      </x:c>
      <x:c r="R23" s="82" t="str">
        <x:v>待定</x:v>
      </x:c>
      <x:c r="S23" s="68" t="str">
        <x:v>财星透干或藏支且存在可调用的有效根</x:v>
      </x:c>
      <x:c r="T23" s="68" t="str">
        <x:v>M02十神映射、M08五行有效旺衰、M09日主旺衰已完成</x:v>
      </x:c>
      <x:c r="U23" s="68" t="str">
        <x:v>相关十神已由M02正确映射，并以M08有效力量为准</x:v>
      </x:c>
      <x:c r="V23" s="68" t="str">
        <x:v>得令、有根、透干、同党或生源形成独立有效证据</x:v>
      </x:c>
      <x:c r="W23" s="68" t="str">
        <x:v>失令、无根、被合绊、被制、改性或作用路径受阻</x:v>
      </x:c>
      <x:c r="X23" s="90" t="str">
        <x:v>不得以十神名称、数量或单一旺弱证据直接完成定性</x:v>
      </x:c>
      <x:c r="Y23" s="68" t="str">
        <x:v>特殊格局、从化候选及明确组合转M11/M14另审</x:v>
      </x:c>
      <x:c r="Z23" s="68" t="str">
        <x:v>不得直接推出吉凶、具体事件、亲属结果或最终喜忌</x:v>
      </x:c>
      <x:c r="AA23" s="84" t="str">
        <x:v>十神根气支持</x:v>
      </x:c>
      <x:c r="AB23" s="84" t="str">
        <x:v>有效根气增强十神持续作用能力：当“财星透干或藏支且存在可调用的有效根”成立时，按本规则记录十神的有效功能；同时保留制化、承载和反向证据。</x:v>
      </x:c>
      <x:c r="AC23" s="82" t="str">
        <x:v>较高</x:v>
      </x:c>
      <x:c r="AD23" s="82" t="str">
        <x:v>现代综合</x:v>
      </x:c>
      <x:c r="AE23" s="68" t="str">
        <x:v>十神必须分开判断存在性、力量、清纯度、功能性与喜忌性；M10只形成结构层结论和候选，不越级替代M11—M18。</x:v>
      </x:c>
      <x:c r="AF23" s="68" t="str">
        <x:v>相关条件真实成立，且增强条件有效时，可按“有效根气增强十神持续作用能力”记录对应功能。</x:v>
      </x:c>
      <x:c r="AG23" s="90" t="str">
        <x:v>仅见表面十神名称或数量，但“不得以十神名称、数量或单一旺弱证据直接完成定性”所述限制存在时，不得套用本规则。</x:v>
      </x:c>
      <x:c r="AH23" s="68" t="str">
        <x:v>https://zh.wikisource.org/wiki/%E6%B8%8A%E6%B5%B7%E5%AD%90%E5%B9%B3%E5%A4%A7%E5%85%A8 ; https://zh.wikisource.org/wiki/%E6%BB%B4%E5%A4%A9%E9%AB%93%E9%97%A1%E5%BE%AE</x:v>
      </x:c>
      <x:c r="AI23" s="82" t="str">
        <x:v>采用</x:v>
      </x:c>
      <x:c r="AJ23" s="82" t="str">
        <x:v>初审</x:v>
      </x:c>
      <x:c r="AK23" s="87" t="n">
        <x:v>46255</x:v>
      </x:c>
    </x:row>
    <x:row r="24">
      <x:c r="A24" s="72" t="str">
        <x:f>IF(OR(C24="",D24=""),"",B24&amp;"-"&amp;UPPER(C24)&amp;"-"&amp;TEXT(D24,"0000")&amp;"-"&amp;E24)</x:f>
        <x:v>M10-POWER-0018-V1.0</x:v>
      </x:c>
      <x:c r="B24" s="74" t="str">
        <x:v>M10</x:v>
      </x:c>
      <x:c r="C24" s="74" t="str">
        <x:v>POWER</x:v>
      </x:c>
      <x:c r="D24" s="215" t="n">
        <x:v>18</x:v>
      </x:c>
      <x:c r="E24" s="74" t="str">
        <x:v>V1.0</x:v>
      </x:c>
      <x:c r="F24" s="68" t="str">
        <x:v>无根透干属于显而承载不足的候选</x:v>
      </x:c>
      <x:c r="G24" s="82" t="str">
        <x:v>结构层</x:v>
      </x:c>
      <x:c r="H24" s="82" t="str">
        <x:v>正财</x:v>
      </x:c>
      <x:c r="I24" s="82" t="str">
        <x:v>透干</x:v>
      </x:c>
      <x:c r="J24" s="82" t="str">
        <x:v>待定</x:v>
      </x:c>
      <x:c r="K24" s="82" t="str">
        <x:v>中和偏弱</x:v>
      </x:c>
      <x:c r="L24" s="82" t="str">
        <x:v>待定</x:v>
      </x:c>
      <x:c r="M24" s="68" t="str">
        <x:v>按M08核查</x:v>
      </x:c>
      <x:c r="N24" s="68" t="str">
        <x:v>按M06/M08核查</x:v>
      </x:c>
      <x:c r="O24" s="82" t="str">
        <x:v>待定</x:v>
      </x:c>
      <x:c r="P24" s="68" t="str">
        <x:v>转M11/M14判断</x:v>
      </x:c>
      <x:c r="Q24" s="68" t="str">
        <x:v>需结合M09日主承载判断</x:v>
      </x:c>
      <x:c r="R24" s="82" t="str">
        <x:v>待定</x:v>
      </x:c>
      <x:c r="S24" s="68" t="str">
        <x:v>财星透干但M08确认无有效根、无强生源</x:v>
      </x:c>
      <x:c r="T24" s="68" t="str">
        <x:v>M02十神映射、M08五行有效旺衰、M09日主旺衰已完成</x:v>
      </x:c>
      <x:c r="U24" s="68" t="str">
        <x:v>相关十神已由M02正确映射，并以M08有效力量为准</x:v>
      </x:c>
      <x:c r="V24" s="68" t="str">
        <x:v>得令、有根、透干、同党或生源形成独立有效证据</x:v>
      </x:c>
      <x:c r="W24" s="68" t="str">
        <x:v>失令、无根、被合绊、被制、改性或作用路径受阻</x:v>
      </x:c>
      <x:c r="X24" s="90" t="str">
        <x:v>不得以十神名称、数量或单一旺弱证据直接完成定性</x:v>
      </x:c>
      <x:c r="Y24" s="68" t="str">
        <x:v>特殊格局、从化候选及明确组合转M11/M14另审</x:v>
      </x:c>
      <x:c r="Z24" s="68" t="str">
        <x:v>不得把透干等同有力</x:v>
      </x:c>
      <x:c r="AA24" s="84" t="str">
        <x:v>十神浮显</x:v>
      </x:c>
      <x:c r="AB24" s="84" t="str">
        <x:v>无根透干属于显而承载不足的候选：当“财星透干但M08确认无有效根、无强生源”成立时，按本规则记录十神的有效功能；同时保留制化、承载和反向证据。</x:v>
      </x:c>
      <x:c r="AC24" s="82" t="str">
        <x:v>较高</x:v>
      </x:c>
      <x:c r="AD24" s="82" t="str">
        <x:v>现代综合</x:v>
      </x:c>
      <x:c r="AE24" s="68" t="str">
        <x:v>十神必须分开判断存在性、力量、清纯度、功能性与喜忌性；M10只形成结构层结论和候选，不越级替代M11—M18。</x:v>
      </x:c>
      <x:c r="AF24" s="68" t="str">
        <x:v>相关条件真实成立，且增强条件有效时，可按“无根透干属于显而承载不足的候选”记录对应功能。</x:v>
      </x:c>
      <x:c r="AG24" s="90" t="str">
        <x:v>仅见表面十神名称或数量，但“不得以十神名称、数量或单一旺弱证据直接完成定性”所述限制存在时，不得套用本规则。</x:v>
      </x:c>
      <x:c r="AH24" s="68" t="str">
        <x:v>https://zh.wikisource.org/wiki/%E6%B8%8A%E6%B5%B7%E5%AD%90%E5%B9%B3%E5%A4%A7%E5%85%A8 ; https://zh.wikisource.org/wiki/%E6%BB%B4%E5%A4%A9%E9%AB%93%E9%97%A1%E5%BE%AE</x:v>
      </x:c>
      <x:c r="AI24" s="82" t="str">
        <x:v>采用</x:v>
      </x:c>
      <x:c r="AJ24" s="82" t="str">
        <x:v>初审</x:v>
      </x:c>
      <x:c r="AK24" s="87" t="n">
        <x:v>46255</x:v>
      </x:c>
    </x:row>
    <x:row r="25">
      <x:c r="A25" s="72" t="str">
        <x:f>IF(OR(C25="",D25=""),"",B25&amp;"-"&amp;UPPER(C25)&amp;"-"&amp;TEXT(D25,"0000")&amp;"-"&amp;E25)</x:f>
        <x:v>M10-POWER-0019-V1.0</x:v>
      </x:c>
      <x:c r="B25" s="74" t="str">
        <x:v>M10</x:v>
      </x:c>
      <x:c r="C25" s="74" t="str">
        <x:v>POWER</x:v>
      </x:c>
      <x:c r="D25" s="215" t="n">
        <x:v>19</x:v>
      </x:c>
      <x:c r="E25" s="74" t="str">
        <x:v>V1.0</x:v>
      </x:c>
      <x:c r="F25" s="68" t="str">
        <x:v>生源有力可增强官杀实际压力</x:v>
      </x:c>
      <x:c r="G25" s="82" t="str">
        <x:v>结构层</x:v>
      </x:c>
      <x:c r="H25" s="82" t="str">
        <x:v>七杀</x:v>
      </x:c>
      <x:c r="I25" s="82" t="str">
        <x:v>待定</x:v>
      </x:c>
      <x:c r="J25" s="82" t="str">
        <x:v>待定</x:v>
      </x:c>
      <x:c r="K25" s="82" t="str">
        <x:v>中和偏旺</x:v>
      </x:c>
      <x:c r="L25" s="82" t="str">
        <x:v>待定</x:v>
      </x:c>
      <x:c r="M25" s="68" t="str">
        <x:v>财星提供有效生源</x:v>
      </x:c>
      <x:c r="N25" s="68" t="str">
        <x:v>按M06/M08核查</x:v>
      </x:c>
      <x:c r="O25" s="82" t="str">
        <x:v>待定</x:v>
      </x:c>
      <x:c r="P25" s="68" t="str">
        <x:v>转M11/M14判断</x:v>
      </x:c>
      <x:c r="Q25" s="68" t="str">
        <x:v>需结合M09日主承载判断</x:v>
      </x:c>
      <x:c r="R25" s="82" t="str">
        <x:v>待定</x:v>
      </x:c>
      <x:c r="S25" s="68" t="str">
        <x:v>财星有效生官杀，且生扶通路未被阻断</x:v>
      </x:c>
      <x:c r="T25" s="68" t="str">
        <x:v>M02十神映射、M08五行有效旺衰、M09日主旺衰已完成</x:v>
      </x:c>
      <x:c r="U25" s="68" t="str">
        <x:v>相关十神已由M02正确映射，并以M08有效力量为准</x:v>
      </x:c>
      <x:c r="V25" s="68" t="str">
        <x:v>得令、有根、透干、同党或生源形成独立有效证据</x:v>
      </x:c>
      <x:c r="W25" s="68" t="str">
        <x:v>失令、无根、被合绊、被制、改性或作用路径受阻</x:v>
      </x:c>
      <x:c r="X25" s="90" t="str">
        <x:v>不得以十神名称、数量或单一旺弱证据直接完成定性</x:v>
      </x:c>
      <x:c r="Y25" s="68" t="str">
        <x:v>特殊格局、从化候选及明确组合转M11/M14另审</x:v>
      </x:c>
      <x:c r="Z25" s="68" t="str">
        <x:v>不得直接推出吉凶、具体事件、亲属结果或最终喜忌</x:v>
      </x:c>
      <x:c r="AA25" s="84" t="str">
        <x:v>官杀受生增强</x:v>
      </x:c>
      <x:c r="AB25" s="84" t="str">
        <x:v>生源有力可增强官杀实际压力：当“财星有效生官杀，且生扶通路未被阻断”成立时，按本规则记录十神的有效功能；同时保留制化、承载和反向证据。</x:v>
      </x:c>
      <x:c r="AC25" s="82" t="str">
        <x:v>较高</x:v>
      </x:c>
      <x:c r="AD25" s="82" t="str">
        <x:v>现代综合</x:v>
      </x:c>
      <x:c r="AE25" s="68" t="str">
        <x:v>十神必须分开判断存在性、力量、清纯度、功能性与喜忌性；M10只形成结构层结论和候选，不越级替代M11—M18。</x:v>
      </x:c>
      <x:c r="AF25" s="68" t="str">
        <x:v>相关条件真实成立，且增强条件有效时，可按“生源有力可增强官杀实际压力”记录对应功能。</x:v>
      </x:c>
      <x:c r="AG25" s="90" t="str">
        <x:v>仅见表面十神名称或数量，但“不得以十神名称、数量或单一旺弱证据直接完成定性”所述限制存在时，不得套用本规则。</x:v>
      </x:c>
      <x:c r="AH25" s="68" t="str">
        <x:v>https://zh.wikisource.org/wiki/%E6%B8%8A%E6%B5%B7%E5%AD%90%E5%B9%B3%E5%A4%A7%E5%85%A8 ; https://zh.wikisource.org/wiki/%E6%BB%B4%E5%A4%A9%E9%AB%93%E9%97%A1%E5%BE%AE</x:v>
      </x:c>
      <x:c r="AI25" s="82" t="str">
        <x:v>采用</x:v>
      </x:c>
      <x:c r="AJ25" s="82" t="str">
        <x:v>初审</x:v>
      </x:c>
      <x:c r="AK25" s="87" t="n">
        <x:v>46255</x:v>
      </x:c>
    </x:row>
    <x:row r="26">
      <x:c r="A26" s="72" t="str">
        <x:f>IF(OR(C26="",D26=""),"",B26&amp;"-"&amp;UPPER(C26)&amp;"-"&amp;TEXT(D26,"0000")&amp;"-"&amp;E26)</x:f>
        <x:v>M10-POWER-0020-V1.0</x:v>
      </x:c>
      <x:c r="B26" s="74" t="str">
        <x:v>M10</x:v>
      </x:c>
      <x:c r="C26" s="74" t="str">
        <x:v>POWER</x:v>
      </x:c>
      <x:c r="D26" s="215" t="n">
        <x:v>20</x:v>
      </x:c>
      <x:c r="E26" s="74" t="str">
        <x:v>V1.0</x:v>
      </x:c>
      <x:c r="F26" s="68" t="str">
        <x:v>十神受制时须按实际克制效应下调</x:v>
      </x:c>
      <x:c r="G26" s="82" t="str">
        <x:v>结构层</x:v>
      </x:c>
      <x:c r="H26" s="82" t="str">
        <x:v>正官</x:v>
      </x:c>
      <x:c r="I26" s="82" t="str">
        <x:v>待定</x:v>
      </x:c>
      <x:c r="J26" s="82" t="str">
        <x:v>待定</x:v>
      </x:c>
      <x:c r="K26" s="82" t="str">
        <x:v>中和偏弱</x:v>
      </x:c>
      <x:c r="L26" s="82" t="str">
        <x:v>待定</x:v>
      </x:c>
      <x:c r="M26" s="68" t="str">
        <x:v>按M08核查</x:v>
      </x:c>
      <x:c r="N26" s="68" t="str">
        <x:v>受伤官或合冲实际制约</x:v>
      </x:c>
      <x:c r="O26" s="82" t="str">
        <x:v>受限</x:v>
      </x:c>
      <x:c r="P26" s="68" t="str">
        <x:v>转M11/M14判断</x:v>
      </x:c>
      <x:c r="Q26" s="68" t="str">
        <x:v>需结合M09日主承载判断</x:v>
      </x:c>
      <x:c r="R26" s="82" t="str">
        <x:v>待定</x:v>
      </x:c>
      <x:c r="S26" s="68" t="str">
        <x:v>正官遭有效伤官克制、合绊或改性，M06/M08确认作用成立</x:v>
      </x:c>
      <x:c r="T26" s="68" t="str">
        <x:v>M02十神映射、M08五行有效旺衰、M09日主旺衰已完成</x:v>
      </x:c>
      <x:c r="U26" s="68" t="str">
        <x:v>相关十神已由M02正确映射，并以M08有效力量为准</x:v>
      </x:c>
      <x:c r="V26" s="68" t="str">
        <x:v>得令、有根、透干、同党或生源形成独立有效证据</x:v>
      </x:c>
      <x:c r="W26" s="68" t="str">
        <x:v>失令、无根、被合绊、被制、改性或作用路径受阻</x:v>
      </x:c>
      <x:c r="X26" s="90" t="str">
        <x:v>不得以十神名称、数量或单一旺弱证据直接完成定性</x:v>
      </x:c>
      <x:c r="Y26" s="68" t="str">
        <x:v>特殊格局、从化候选及明确组合转M11/M14另审</x:v>
      </x:c>
      <x:c r="Z26" s="68" t="str">
        <x:v>不得直接推出吉凶、具体事件、亲属结果或最终喜忌</x:v>
      </x:c>
      <x:c r="AA26" s="84" t="str">
        <x:v>十神受制修正</x:v>
      </x:c>
      <x:c r="AB26" s="84" t="str">
        <x:v>十神受制时须按实际克制效应下调：当“正官遭有效伤官克制、合绊或改性，M06/M08确认作用成立”成立时，按本规则记录十神的有效功能；同时保留制化、承载和反向证据。</x:v>
      </x:c>
      <x:c r="AC26" s="82" t="str">
        <x:v>较高</x:v>
      </x:c>
      <x:c r="AD26" s="82" t="str">
        <x:v>现代综合</x:v>
      </x:c>
      <x:c r="AE26" s="68" t="str">
        <x:v>十神必须分开判断存在性、力量、清纯度、功能性与喜忌性；M10只形成结构层结论和候选，不越级替代M11—M18。</x:v>
      </x:c>
      <x:c r="AF26" s="68" t="str">
        <x:v>相关条件真实成立，且增强条件有效时，可按“十神受制时须按实际克制效应下调”记录对应功能。</x:v>
      </x:c>
      <x:c r="AG26" s="90" t="str">
        <x:v>仅见表面十神名称或数量，但“不得以十神名称、数量或单一旺弱证据直接完成定性”所述限制存在时，不得套用本规则。</x:v>
      </x:c>
      <x:c r="AH26" s="68" t="str">
        <x:v>https://zh.wikisource.org/wiki/%E6%B8%8A%E6%B5%B7%E5%AD%90%E5%B9%B3%E5%A4%A7%E5%85%A8 ; https://zh.wikisource.org/wiki/%E6%BB%B4%E5%A4%A9%E9%AB%93%E9%97%A1%E5%BE%AE</x:v>
      </x:c>
      <x:c r="AI26" s="82" t="str">
        <x:v>采用</x:v>
      </x:c>
      <x:c r="AJ26" s="82" t="str">
        <x:v>初审</x:v>
      </x:c>
      <x:c r="AK26" s="87" t="n">
        <x:v>46255</x:v>
      </x:c>
    </x:row>
    <x:row r="27">
      <x:c r="A27" s="72" t="str">
        <x:f>IF(OR(C27="",D27=""),"",B27&amp;"-"&amp;UPPER(C27)&amp;"-"&amp;TEXT(D27,"0000")&amp;"-"&amp;E27)</x:f>
        <x:v>M10-POWER-0021-V1.0</x:v>
      </x:c>
      <x:c r="B27" s="74" t="str">
        <x:v>M10</x:v>
      </x:c>
      <x:c r="C27" s="74" t="str">
        <x:v>POWER</x:v>
      </x:c>
      <x:c r="D27" s="215" t="n">
        <x:v>21</x:v>
      </x:c>
      <x:c r="E27" s="74" t="str">
        <x:v>V1.0</x:v>
      </x:c>
      <x:c r="F27" s="68" t="str">
        <x:v>被合化改性的节点不再按原十神全额调用</x:v>
      </x:c>
      <x:c r="G27" s="82" t="str">
        <x:v>结构层</x:v>
      </x:c>
      <x:c r="H27" s="82" t="str">
        <x:v>偏印</x:v>
      </x:c>
      <x:c r="I27" s="82" t="str">
        <x:v>待定</x:v>
      </x:c>
      <x:c r="J27" s="82" t="str">
        <x:v>待定</x:v>
      </x:c>
      <x:c r="K27" s="82" t="str">
        <x:v>待定</x:v>
      </x:c>
      <x:c r="L27" s="82" t="str">
        <x:v>待定</x:v>
      </x:c>
      <x:c r="M27" s="68" t="str">
        <x:v>按M08核查</x:v>
      </x:c>
      <x:c r="N27" s="68" t="str">
        <x:v>按M06/M08核查</x:v>
      </x:c>
      <x:c r="O27" s="82" t="str">
        <x:v>转化</x:v>
      </x:c>
      <x:c r="P27" s="68" t="str">
        <x:v>转M11/M14判断</x:v>
      </x:c>
      <x:c r="Q27" s="68" t="str">
        <x:v>需结合M09日主承载判断</x:v>
      </x:c>
      <x:c r="R27" s="82" t="str">
        <x:v>待定</x:v>
      </x:c>
      <x:c r="S27" s="68" t="str">
        <x:v>原偏印节点经M06确认发生实质五行改性</x:v>
      </x:c>
      <x:c r="T27" s="68" t="str">
        <x:v>M02十神映射、M08五行有效旺衰、M09日主旺衰已完成</x:v>
      </x:c>
      <x:c r="U27" s="68" t="str">
        <x:v>相关十神已由M02正确映射，并以M08有效力量为准</x:v>
      </x:c>
      <x:c r="V27" s="68" t="str">
        <x:v>得令、有根、透干、同党或生源形成独立有效证据</x:v>
      </x:c>
      <x:c r="W27" s="68" t="str">
        <x:v>失令、无根、被合绊、被制、改性或作用路径受阻</x:v>
      </x:c>
      <x:c r="X27" s="90" t="str">
        <x:v>不得以十神名称、数量或单一旺弱证据直接完成定性</x:v>
      </x:c>
      <x:c r="Y27" s="68" t="str">
        <x:v>特殊格局、从化候选及明确组合转M11/M14另审</x:v>
      </x:c>
      <x:c r="Z27" s="68" t="str">
        <x:v>不得在改性后同时把原十神与化神重复全额计力</x:v>
      </x:c>
      <x:c r="AA27" s="84" t="str">
        <x:v>十神改性重算</x:v>
      </x:c>
      <x:c r="AB27" s="84" t="str">
        <x:v>被合化改性的节点不再按原十神全额调用：当“原偏印节点经M06确认发生实质五行改性”成立时，按本规则记录十神的有效功能；同时保留制化、承载和反向证据。</x:v>
      </x:c>
      <x:c r="AC27" s="82" t="str">
        <x:v>较高</x:v>
      </x:c>
      <x:c r="AD27" s="82" t="str">
        <x:v>现代综合</x:v>
      </x:c>
      <x:c r="AE27" s="68" t="str">
        <x:v>十神必须分开判断存在性、力量、清纯度、功能性与喜忌性；M10只形成结构层结论和候选，不越级替代M11—M18。</x:v>
      </x:c>
      <x:c r="AF27" s="68" t="str">
        <x:v>相关条件真实成立，且增强条件有效时，可按“被合化改性的节点不再按原十神全额调用”记录对应功能。</x:v>
      </x:c>
      <x:c r="AG27" s="90" t="str">
        <x:v>仅见表面十神名称或数量，但“不得以十神名称、数量或单一旺弱证据直接完成定性”所述限制存在时，不得套用本规则。</x:v>
      </x:c>
      <x:c r="AH27" s="68" t="str">
        <x:v>https://zh.wikisource.org/wiki/%E6%B8%8A%E6%B5%B7%E5%AD%90%E5%B9%B3%E5%A4%A7%E5%85%A8 ; https://zh.wikisource.org/wiki/%E6%BB%B4%E5%A4%A9%E9%AB%93%E9%97%A1%E5%BE%AE</x:v>
      </x:c>
      <x:c r="AI27" s="82" t="str">
        <x:v>采用</x:v>
      </x:c>
      <x:c r="AJ27" s="82" t="str">
        <x:v>初审</x:v>
      </x:c>
      <x:c r="AK27" s="87" t="n">
        <x:v>46255</x:v>
      </x:c>
    </x:row>
    <x:row r="28">
      <x:c r="A28" s="72" t="str">
        <x:f>IF(OR(C28="",D28=""),"",B28&amp;"-"&amp;UPPER(C28)&amp;"-"&amp;TEXT(D28,"0000")&amp;"-"&amp;E28)</x:f>
        <x:v>M10-POWER-0022-V1.0</x:v>
      </x:c>
      <x:c r="B28" s="74" t="str">
        <x:v>M10</x:v>
      </x:c>
      <x:c r="C28" s="74" t="str">
        <x:v>POWER</x:v>
      </x:c>
      <x:c r="D28" s="215" t="n">
        <x:v>22</x:v>
      </x:c>
      <x:c r="E28" s="74" t="str">
        <x:v>V1.0</x:v>
      </x:c>
      <x:c r="F28" s="68" t="str">
        <x:v>同源季令根气透干证据必须去重</x:v>
      </x:c>
      <x:c r="G28" s="82" t="str">
        <x:v>结构层</x:v>
      </x:c>
      <x:c r="H28" s="82" t="str">
        <x:v>正印</x:v>
      </x:c>
      <x:c r="I28" s="82" t="str">
        <x:v>待定</x:v>
      </x:c>
      <x:c r="J28" s="82" t="str">
        <x:v>待定</x:v>
      </x:c>
      <x:c r="K28" s="82" t="str">
        <x:v>待定</x:v>
      </x:c>
      <x:c r="L28" s="82" t="str">
        <x:v>待定</x:v>
      </x:c>
      <x:c r="M28" s="68" t="str">
        <x:v>按M08核查</x:v>
      </x:c>
      <x:c r="N28" s="68" t="str">
        <x:v>按M06/M08核查</x:v>
      </x:c>
      <x:c r="O28" s="82" t="str">
        <x:v>待定</x:v>
      </x:c>
      <x:c r="P28" s="68" t="str">
        <x:v>转M11/M14判断</x:v>
      </x:c>
      <x:c r="Q28" s="68" t="str">
        <x:v>需结合M09日主承载判断</x:v>
      </x:c>
      <x:c r="R28" s="82" t="str">
        <x:v>待定</x:v>
      </x:c>
      <x:c r="S28" s="68" t="str">
        <x:v>同一干支节点同时提供得令、通根、透出等多个标签</x:v>
      </x:c>
      <x:c r="T28" s="68" t="str">
        <x:v>M02十神映射、M08五行有效旺衰、M09日主旺衰已完成</x:v>
      </x:c>
      <x:c r="U28" s="68" t="str">
        <x:v>相关十神已由M02正确映射，并以M08有效力量为准</x:v>
      </x:c>
      <x:c r="V28" s="68" t="str">
        <x:v>得令、有根、透干、同党或生源形成独立有效证据</x:v>
      </x:c>
      <x:c r="W28" s="68" t="str">
        <x:v>失令、无根、被合绊、被制、改性或作用路径受阻</x:v>
      </x:c>
      <x:c r="X28" s="90" t="str">
        <x:v>不得以十神名称、数量或单一旺弱证据直接完成定性</x:v>
      </x:c>
      <x:c r="Y28" s="68" t="str">
        <x:v>特殊格局、从化候选及明确组合转M11/M14另审</x:v>
      </x:c>
      <x:c r="Z28" s="68" t="str">
        <x:v>不得把同一节点的多个标签重复按决定性权重累加</x:v>
      </x:c>
      <x:c r="AA28" s="84" t="str">
        <x:v>十神证据去重</x:v>
      </x:c>
      <x:c r="AB28" s="84" t="str">
        <x:v>同源季令根气透干证据必须去重：当“同一干支节点同时提供得令、通根、透出等多个标签”成立时，按本规则记录十神的有效功能；同时保留制化、承载和反向证据。</x:v>
      </x:c>
      <x:c r="AC28" s="82" t="str">
        <x:v>较高</x:v>
      </x:c>
      <x:c r="AD28" s="82" t="str">
        <x:v>现代综合</x:v>
      </x:c>
      <x:c r="AE28" s="68" t="str">
        <x:v>十神必须分开判断存在性、力量、清纯度、功能性与喜忌性；M10只形成结构层结论和候选，不越级替代M11—M18。</x:v>
      </x:c>
      <x:c r="AF28" s="68" t="str">
        <x:v>相关条件真实成立，且增强条件有效时，可按“同源季令根气透干证据必须去重”记录对应功能。</x:v>
      </x:c>
      <x:c r="AG28" s="90" t="str">
        <x:v>仅见表面十神名称或数量，但“不得以十神名称、数量或单一旺弱证据直接完成定性”所述限制存在时，不得套用本规则。</x:v>
      </x:c>
      <x:c r="AH28" s="68" t="str">
        <x:v>https://zh.wikisource.org/wiki/%E6%B8%8A%E6%B5%B7%E5%AD%90%E5%B9%B3%E5%A4%A7%E5%85%A8 ; https://zh.wikisource.org/wiki/%E6%BB%B4%E5%A4%A9%E9%AB%93%E9%97%A1%E5%BE%AE</x:v>
      </x:c>
      <x:c r="AI28" s="82" t="str">
        <x:v>采用</x:v>
      </x:c>
      <x:c r="AJ28" s="82" t="str">
        <x:v>初审</x:v>
      </x:c>
      <x:c r="AK28" s="87" t="n">
        <x:v>46255</x:v>
      </x:c>
    </x:row>
    <x:row r="29">
      <x:c r="A29" s="72" t="str">
        <x:f>IF(OR(C29="",D29=""),"",B29&amp;"-"&amp;UPPER(C29)&amp;"-"&amp;TEXT(D29,"0000")&amp;"-"&amp;E29)</x:f>
        <x:v>M10-POWER-0023-V1.0</x:v>
      </x:c>
      <x:c r="B29" s="74" t="str">
        <x:v>M10</x:v>
      </x:c>
      <x:c r="C29" s="74" t="str">
        <x:v>POWER</x:v>
      </x:c>
      <x:c r="D29" s="215" t="n">
        <x:v>23</x:v>
      </x:c>
      <x:c r="E29" s="74" t="str">
        <x:v>V1.0</x:v>
      </x:c>
      <x:c r="F29" s="68" t="str">
        <x:v>藏支弱十神不等于零力量</x:v>
      </x:c>
      <x:c r="G29" s="82" t="str">
        <x:v>结构层</x:v>
      </x:c>
      <x:c r="H29" s="82" t="str">
        <x:v>食神</x:v>
      </x:c>
      <x:c r="I29" s="82" t="str">
        <x:v>藏支余气</x:v>
      </x:c>
      <x:c r="J29" s="82" t="str">
        <x:v>待定</x:v>
      </x:c>
      <x:c r="K29" s="82" t="str">
        <x:v>弱</x:v>
      </x:c>
      <x:c r="L29" s="82" t="str">
        <x:v>待定</x:v>
      </x:c>
      <x:c r="M29" s="68" t="str">
        <x:v>按M08核查</x:v>
      </x:c>
      <x:c r="N29" s="68" t="str">
        <x:v>按M06/M08核查</x:v>
      </x:c>
      <x:c r="O29" s="82" t="str">
        <x:v>待定</x:v>
      </x:c>
      <x:c r="P29" s="68" t="str">
        <x:v>转M11/M14判断</x:v>
      </x:c>
      <x:c r="Q29" s="68" t="str">
        <x:v>需结合M09日主承载判断</x:v>
      </x:c>
      <x:c r="R29" s="82" t="str">
        <x:v>待定</x:v>
      </x:c>
      <x:c r="S29" s="68" t="str">
        <x:v>食神仅藏中余气但其根位未被实质破坏</x:v>
      </x:c>
      <x:c r="T29" s="68" t="str">
        <x:v>M02十神映射、M08五行有效旺衰、M09日主旺衰已完成</x:v>
      </x:c>
      <x:c r="U29" s="68" t="str">
        <x:v>相关十神已由M02正确映射，并以M08有效力量为准</x:v>
      </x:c>
      <x:c r="V29" s="68" t="str">
        <x:v>得令、有根、透干、同党或生源形成独立有效证据</x:v>
      </x:c>
      <x:c r="W29" s="68" t="str">
        <x:v>失令、无根、被合绊、被制、改性或作用路径受阻</x:v>
      </x:c>
      <x:c r="X29" s="90" t="str">
        <x:v>不得以十神名称、数量或单一旺弱证据直接完成定性</x:v>
      </x:c>
      <x:c r="Y29" s="68" t="str">
        <x:v>特殊格局、从化候选及明确组合转M11/M14另审</x:v>
      </x:c>
      <x:c r="Z29" s="68" t="str">
        <x:v>不得因不透干将该十神直接删除</x:v>
      </x:c>
      <x:c r="AA29" s="84" t="str">
        <x:v>隐性弱十神保留</x:v>
      </x:c>
      <x:c r="AB29" s="84" t="str">
        <x:v>藏支弱十神不等于零力量：当“食神仅藏中余气但其根位未被实质破坏”成立时，按本规则记录十神的有效功能；同时保留制化、承载和反向证据。</x:v>
      </x:c>
      <x:c r="AC29" s="82" t="str">
        <x:v>较高</x:v>
      </x:c>
      <x:c r="AD29" s="82" t="str">
        <x:v>现代综合</x:v>
      </x:c>
      <x:c r="AE29" s="68" t="str">
        <x:v>十神必须分开判断存在性、力量、清纯度、功能性与喜忌性；M10只形成结构层结论和候选，不越级替代M11—M18。</x:v>
      </x:c>
      <x:c r="AF29" s="68" t="str">
        <x:v>相关条件真实成立，且增强条件有效时，可按“藏支弱十神不等于零力量”记录对应功能。</x:v>
      </x:c>
      <x:c r="AG29" s="90" t="str">
        <x:v>仅见表面十神名称或数量，但“不得以十神名称、数量或单一旺弱证据直接完成定性”所述限制存在时，不得套用本规则。</x:v>
      </x:c>
      <x:c r="AH29" s="68" t="str">
        <x:v>https://zh.wikisource.org/wiki/%E6%B8%8A%E6%B5%B7%E5%AD%90%E5%B9%B3%E5%A4%A7%E5%85%A8 ; https://zh.wikisource.org/wiki/%E6%BB%B4%E5%A4%A9%E9%AB%93%E9%97%A1%E5%BE%AE</x:v>
      </x:c>
      <x:c r="AI29" s="82" t="str">
        <x:v>采用</x:v>
      </x:c>
      <x:c r="AJ29" s="82" t="str">
        <x:v>初审</x:v>
      </x:c>
      <x:c r="AK29" s="87" t="n">
        <x:v>46255</x:v>
      </x:c>
    </x:row>
    <x:row r="30">
      <x:c r="A30" s="72" t="str">
        <x:f>IF(OR(C30="",D30=""),"",B30&amp;"-"&amp;UPPER(C30)&amp;"-"&amp;TEXT(D30,"0000")&amp;"-"&amp;E30)</x:f>
        <x:v>M10-POWER-0024-V1.0</x:v>
      </x:c>
      <x:c r="B30" s="74" t="str">
        <x:v>M10</x:v>
      </x:c>
      <x:c r="C30" s="74" t="str">
        <x:v>POWER</x:v>
      </x:c>
      <x:c r="D30" s="215" t="n">
        <x:v>24</x:v>
      </x:c>
      <x:c r="E30" s="74" t="str">
        <x:v>V1.0</x:v>
      </x:c>
      <x:c r="F30" s="68" t="str">
        <x:v>十神旺衰统一采用七级有效等级</x:v>
      </x:c>
      <x:c r="G30" s="82" t="str">
        <x:v>结构层</x:v>
      </x:c>
      <x:c r="H30" s="82" t="str">
        <x:v>七杀</x:v>
      </x:c>
      <x:c r="I30" s="82" t="str">
        <x:v>待定</x:v>
      </x:c>
      <x:c r="J30" s="82" t="str">
        <x:v>待定</x:v>
      </x:c>
      <x:c r="K30" s="82" t="str">
        <x:v>待定</x:v>
      </x:c>
      <x:c r="L30" s="82" t="str">
        <x:v>待定</x:v>
      </x:c>
      <x:c r="M30" s="68" t="str">
        <x:v>按M08核查</x:v>
      </x:c>
      <x:c r="N30" s="68" t="str">
        <x:v>按M06/M08核查</x:v>
      </x:c>
      <x:c r="O30" s="82" t="str">
        <x:v>待定</x:v>
      </x:c>
      <x:c r="P30" s="68" t="str">
        <x:v>转M11/M14判断</x:v>
      </x:c>
      <x:c r="Q30" s="68" t="str">
        <x:v>需结合M09日主承载判断</x:v>
      </x:c>
      <x:c r="R30" s="82" t="str">
        <x:v>待定</x:v>
      </x:c>
      <x:c r="S30" s="68" t="str">
        <x:v>综合M08节点力量后需输出极弱至极旺七级之一</x:v>
      </x:c>
      <x:c r="T30" s="68" t="str">
        <x:v>M02十神映射、M08五行有效旺衰、M09日主旺衰已完成</x:v>
      </x:c>
      <x:c r="U30" s="68" t="str">
        <x:v>相关十神已由M02正确映射，并以M08有效力量为准</x:v>
      </x:c>
      <x:c r="V30" s="68" t="str">
        <x:v>得令、有根、透干、同党或生源形成独立有效证据</x:v>
      </x:c>
      <x:c r="W30" s="68" t="str">
        <x:v>失令、无根、被合绊、被制、改性或作用路径受阻</x:v>
      </x:c>
      <x:c r="X30" s="90" t="str">
        <x:v>不得以十神名称、数量或单一旺弱证据直接完成定性</x:v>
      </x:c>
      <x:c r="Y30" s="68" t="str">
        <x:v>特殊格局、从化候选及明确组合转M11/M14另审</x:v>
      </x:c>
      <x:c r="Z30" s="68" t="str">
        <x:v>不得直接推出吉凶、具体事件、亲属结果或最终喜忌</x:v>
      </x:c>
      <x:c r="AA30" s="84" t="str">
        <x:v>十神七级分级</x:v>
      </x:c>
      <x:c r="AB30" s="84" t="str">
        <x:v>十神有效旺衰须按极弱、弱、中和偏弱、中和、中和偏旺、旺、极旺输出，并附主要正反证据。</x:v>
      </x:c>
      <x:c r="AC30" s="82" t="str">
        <x:v>较高</x:v>
      </x:c>
      <x:c r="AD30" s="82" t="str">
        <x:v>现代综合</x:v>
      </x:c>
      <x:c r="AE30" s="68" t="str">
        <x:v>十神必须分开判断存在性、力量、清纯度、功能性与喜忌性；M10只形成结构层结论和候选，不越级替代M11—M18。</x:v>
      </x:c>
      <x:c r="AF30" s="68" t="str">
        <x:v>相关条件真实成立，且增强条件有效时，可按“十神旺衰统一采用七级有效等级”记录对应功能。</x:v>
      </x:c>
      <x:c r="AG30" s="90" t="str">
        <x:v>仅见表面十神名称或数量，但“不得以十神名称、数量或单一旺弱证据直接完成定性”所述限制存在时，不得套用本规则。</x:v>
      </x:c>
      <x:c r="AH30" s="68" t="str">
        <x:v>https://zh.wikisource.org/wiki/%E6%B8%8A%E6%B5%B7%E5%AD%90%E5%B9%B3%E5%A4%A7%E5%85%A8 ; https://zh.wikisource.org/wiki/%E6%BB%B4%E5%A4%A9%E9%AB%93%E9%97%A1%E5%BE%AE</x:v>
      </x:c>
      <x:c r="AI30" s="82" t="str">
        <x:v>采用</x:v>
      </x:c>
      <x:c r="AJ30" s="82" t="str">
        <x:v>初审</x:v>
      </x:c>
      <x:c r="AK30" s="87" t="n">
        <x:v>46255</x:v>
      </x:c>
    </x:row>
    <x:row r="31">
      <x:c r="A31" s="72" t="str">
        <x:f>IF(OR(C31="",D31=""),"",B31&amp;"-"&amp;UPPER(C31)&amp;"-"&amp;TEXT(D31,"0000")&amp;"-"&amp;E31)</x:f>
        <x:v>M10-PURE-0025-V1.0</x:v>
      </x:c>
      <x:c r="B31" s="74" t="str">
        <x:v>M10</x:v>
      </x:c>
      <x:c r="C31" s="74" t="str">
        <x:v>PURE</x:v>
      </x:c>
      <x:c r="D31" s="215" t="n">
        <x:v>25</x:v>
      </x:c>
      <x:c r="E31" s="74" t="str">
        <x:v>V1.0</x:v>
      </x:c>
      <x:c r="F31" s="68" t="str">
        <x:v>同一功能群仅一类十神有效主导时可判较清</x:v>
      </x:c>
      <x:c r="G31" s="82" t="str">
        <x:v>结构层</x:v>
      </x:c>
      <x:c r="H31" s="82" t="str">
        <x:v>正官</x:v>
      </x:c>
      <x:c r="I31" s="82" t="str">
        <x:v>待定</x:v>
      </x:c>
      <x:c r="J31" s="82" t="str">
        <x:v>待定</x:v>
      </x:c>
      <x:c r="K31" s="82" t="str">
        <x:v>待定</x:v>
      </x:c>
      <x:c r="L31" s="82" t="str">
        <x:v>较清</x:v>
      </x:c>
      <x:c r="M31" s="68" t="str">
        <x:v>按M08核查</x:v>
      </x:c>
      <x:c r="N31" s="68" t="str">
        <x:v>按M06/M08核查</x:v>
      </x:c>
      <x:c r="O31" s="82" t="str">
        <x:v>待定</x:v>
      </x:c>
      <x:c r="P31" s="68" t="str">
        <x:v>转M11/M14判断</x:v>
      </x:c>
      <x:c r="Q31" s="68" t="str">
        <x:v>需结合M09日主承载判断</x:v>
      </x:c>
      <x:c r="R31" s="82" t="str">
        <x:v>待定</x:v>
      </x:c>
      <x:c r="S31" s="68" t="str">
        <x:v>官杀功能群中正官明显有效，七杀不现或极弱</x:v>
      </x:c>
      <x:c r="T31" s="68" t="str">
        <x:v>M02十神映射、M08五行有效旺衰、M09日主旺衰已完成</x:v>
      </x:c>
      <x:c r="U31" s="68" t="str">
        <x:v>相关十神已由M02正确映射，并以M08有效力量为准</x:v>
      </x:c>
      <x:c r="V31" s="68" t="str">
        <x:v>得令、有根、透干、同党或生源形成独立有效证据</x:v>
      </x:c>
      <x:c r="W31" s="68" t="str">
        <x:v>失令、无根、被合绊、被制、改性或作用路径受阻</x:v>
      </x:c>
      <x:c r="X31" s="90" t="str">
        <x:v>不得以十神名称、数量或单一旺弱证据直接完成定性</x:v>
      </x:c>
      <x:c r="Y31" s="68" t="str">
        <x:v>特殊格局、从化候选及明确组合转M11/M14另审</x:v>
      </x:c>
      <x:c r="Z31" s="68" t="str">
        <x:v>不得由较清直接推出正官为喜或格局成立</x:v>
      </x:c>
      <x:c r="AA31" s="84" t="str">
        <x:v>官杀较清</x:v>
      </x:c>
      <x:c r="AB31" s="84" t="str">
        <x:v>同一功能群仅一类十神有效主导时可判较清：当“官杀功能群中正官明显有效，七杀不现或极弱”成立时，按本规则记录十神的有效功能；同时保留制化、承载和反向证据。</x:v>
      </x:c>
      <x:c r="AC31" s="82" t="str">
        <x:v>较高</x:v>
      </x:c>
      <x:c r="AD31" s="82" t="str">
        <x:v>现代综合</x:v>
      </x:c>
      <x:c r="AE31" s="68" t="str">
        <x:v>十神必须分开判断存在性、力量、清纯度、功能性与喜忌性；M10只形成结构层结论和候选，不越级替代M11—M18。</x:v>
      </x:c>
      <x:c r="AF31" s="68" t="str">
        <x:v>相关条件真实成立，且增强条件有效时，可按“同一功能群仅一类十神有效主导时可判较清”记录对应功能。</x:v>
      </x:c>
      <x:c r="AG31" s="90" t="str">
        <x:v>仅见表面十神名称或数量，但“不得以十神名称、数量或单一旺弱证据直接完成定性”所述限制存在时，不得套用本规则。</x:v>
      </x:c>
      <x:c r="AH31" s="68" t="str">
        <x:v>https://zh.wikisource.org/wiki/%E6%B8%8A%E6%B5%B7%E5%AD%90%E5%B9%B3%E5%A4%A7%E5%85%A8 ; https://zh.wikisource.org/wiki/%E6%BB%B4%E5%A4%A9%E9%AB%93%E9%97%A1%E5%BE%AE</x:v>
      </x:c>
      <x:c r="AI31" s="82" t="str">
        <x:v>采用</x:v>
      </x:c>
      <x:c r="AJ31" s="82" t="str">
        <x:v>初审</x:v>
      </x:c>
      <x:c r="AK31" s="87" t="n">
        <x:v>46255</x:v>
      </x:c>
    </x:row>
    <x:row r="32">
      <x:c r="A32" s="72" t="str">
        <x:f>IF(OR(C32="",D32=""),"",B32&amp;"-"&amp;UPPER(C32)&amp;"-"&amp;TEXT(D32,"0000")&amp;"-"&amp;E32)</x:f>
        <x:v>M10-PURE-0026-V1.0</x:v>
      </x:c>
      <x:c r="B32" s="74" t="str">
        <x:v>M10</x:v>
      </x:c>
      <x:c r="C32" s="74" t="str">
        <x:v>PURE</x:v>
      </x:c>
      <x:c r="D32" s="215" t="n">
        <x:v>26</x:v>
      </x:c>
      <x:c r="E32" s="74" t="str">
        <x:v>V1.0</x:v>
      </x:c>
      <x:c r="F32" s="68" t="str">
        <x:v>七杀主导而正官无效时不按官杀混杂处理</x:v>
      </x:c>
      <x:c r="G32" s="82" t="str">
        <x:v>结构层</x:v>
      </x:c>
      <x:c r="H32" s="82" t="str">
        <x:v>七杀</x:v>
      </x:c>
      <x:c r="I32" s="82" t="str">
        <x:v>待定</x:v>
      </x:c>
      <x:c r="J32" s="82" t="str">
        <x:v>待定</x:v>
      </x:c>
      <x:c r="K32" s="82" t="str">
        <x:v>待定</x:v>
      </x:c>
      <x:c r="L32" s="82" t="str">
        <x:v>较清</x:v>
      </x:c>
      <x:c r="M32" s="68" t="str">
        <x:v>按M08核查</x:v>
      </x:c>
      <x:c r="N32" s="68" t="str">
        <x:v>按M06/M08核查</x:v>
      </x:c>
      <x:c r="O32" s="82" t="str">
        <x:v>待定</x:v>
      </x:c>
      <x:c r="P32" s="68" t="str">
        <x:v>转M11/M14判断</x:v>
      </x:c>
      <x:c r="Q32" s="68" t="str">
        <x:v>需结合M09日主承载判断</x:v>
      </x:c>
      <x:c r="R32" s="82" t="str">
        <x:v>待定</x:v>
      </x:c>
      <x:c r="S32" s="68" t="str">
        <x:v>七杀有效主导，正官不现或仅有失效弱节点</x:v>
      </x:c>
      <x:c r="T32" s="68" t="str">
        <x:v>M02十神映射、M08五行有效旺衰、M09日主旺衰已完成</x:v>
      </x:c>
      <x:c r="U32" s="68" t="str">
        <x:v>相关十神已由M02正确映射，并以M08有效力量为准</x:v>
      </x:c>
      <x:c r="V32" s="68" t="str">
        <x:v>得令、有根、透干、同党或生源形成独立有效证据</x:v>
      </x:c>
      <x:c r="W32" s="68" t="str">
        <x:v>失令、无根、被合绊、被制、改性或作用路径受阻</x:v>
      </x:c>
      <x:c r="X32" s="90" t="str">
        <x:v>不得以十神名称、数量或单一旺弱证据直接完成定性</x:v>
      </x:c>
      <x:c r="Y32" s="68" t="str">
        <x:v>特殊格局、从化候选及明确组合转M11/M14另审</x:v>
      </x:c>
      <x:c r="Z32" s="68" t="str">
        <x:v>不得直接推出吉凶、具体事件、亲属结果或最终喜忌</x:v>
      </x:c>
      <x:c r="AA32" s="84" t="str">
        <x:v>七杀较清</x:v>
      </x:c>
      <x:c r="AB32" s="84" t="str">
        <x:v>七杀主导而正官无效时不按官杀混杂处理：当“七杀有效主导，正官不现或仅有失效弱节点”成立时，按本规则记录十神的有效功能；同时保留制化、承载和反向证据。</x:v>
      </x:c>
      <x:c r="AC32" s="82" t="str">
        <x:v>较高</x:v>
      </x:c>
      <x:c r="AD32" s="82" t="str">
        <x:v>现代综合</x:v>
      </x:c>
      <x:c r="AE32" s="68" t="str">
        <x:v>十神必须分开判断存在性、力量、清纯度、功能性与喜忌性；M10只形成结构层结论和候选，不越级替代M11—M18。</x:v>
      </x:c>
      <x:c r="AF32" s="68" t="str">
        <x:v>相关条件真实成立，且增强条件有效时，可按“七杀主导而正官无效时不按官杀混杂处理”记录对应功能。</x:v>
      </x:c>
      <x:c r="AG32" s="90" t="str">
        <x:v>仅见表面十神名称或数量，但“不得以十神名称、数量或单一旺弱证据直接完成定性”所述限制存在时，不得套用本规则。</x:v>
      </x:c>
      <x:c r="AH32" s="68" t="str">
        <x:v>https://zh.wikisource.org/wiki/%E6%B8%8A%E6%B5%B7%E5%AD%90%E5%B9%B3%E5%A4%A7%E5%85%A8 ; https://zh.wikisource.org/wiki/%E6%BB%B4%E5%A4%A9%E9%AB%93%E9%97%A1%E5%BE%AE</x:v>
      </x:c>
      <x:c r="AI32" s="82" t="str">
        <x:v>采用</x:v>
      </x:c>
      <x:c r="AJ32" s="82" t="str">
        <x:v>初审</x:v>
      </x:c>
      <x:c r="AK32" s="87" t="n">
        <x:v>46255</x:v>
      </x:c>
    </x:row>
    <x:row r="33">
      <x:c r="A33" s="72" t="str">
        <x:f>IF(OR(C33="",D33=""),"",B33&amp;"-"&amp;UPPER(C33)&amp;"-"&amp;TEXT(D33,"0000")&amp;"-"&amp;E33)</x:f>
        <x:v>M10-PURE-0027-V1.0</x:v>
      </x:c>
      <x:c r="B33" s="74" t="str">
        <x:v>M10</x:v>
      </x:c>
      <x:c r="C33" s="74" t="str">
        <x:v>PURE</x:v>
      </x:c>
      <x:c r="D33" s="215" t="n">
        <x:v>27</x:v>
      </x:c>
      <x:c r="E33" s="74" t="str">
        <x:v>V1.0</x:v>
      </x:c>
      <x:c r="F33" s="68" t="str">
        <x:v>食伤正偏并见先判有杂而非自动混杂</x:v>
      </x:c>
      <x:c r="G33" s="82" t="str">
        <x:v>结构层</x:v>
      </x:c>
      <x:c r="H33" s="82" t="str">
        <x:v>食神</x:v>
      </x:c>
      <x:c r="I33" s="82" t="str">
        <x:v>待定</x:v>
      </x:c>
      <x:c r="J33" s="82" t="str">
        <x:v>待定</x:v>
      </x:c>
      <x:c r="K33" s="82" t="str">
        <x:v>待定</x:v>
      </x:c>
      <x:c r="L33" s="82" t="str">
        <x:v>有杂</x:v>
      </x:c>
      <x:c r="M33" s="68" t="str">
        <x:v>按M08核查</x:v>
      </x:c>
      <x:c r="N33" s="68" t="str">
        <x:v>按M06/M08核查</x:v>
      </x:c>
      <x:c r="O33" s="82" t="str">
        <x:v>待定</x:v>
      </x:c>
      <x:c r="P33" s="68" t="str">
        <x:v>转M11/M14判断</x:v>
      </x:c>
      <x:c r="Q33" s="68" t="str">
        <x:v>需结合M09日主承载判断</x:v>
      </x:c>
      <x:c r="R33" s="82" t="str">
        <x:v>待定</x:v>
      </x:c>
      <x:c r="S33" s="68" t="str">
        <x:v>食神与伤官均存在，但一方明显主导、另一方弱</x:v>
      </x:c>
      <x:c r="T33" s="68" t="str">
        <x:v>M02十神映射、M08五行有效旺衰、M09日主旺衰已完成</x:v>
      </x:c>
      <x:c r="U33" s="68" t="str">
        <x:v>相关十神已由M02正确映射，并以M08有效力量为准</x:v>
      </x:c>
      <x:c r="V33" s="68" t="str">
        <x:v>得令、有根、透干、同党或生源形成独立有效证据</x:v>
      </x:c>
      <x:c r="W33" s="68" t="str">
        <x:v>失令、无根、被合绊、被制、改性或作用路径受阻</x:v>
      </x:c>
      <x:c r="X33" s="90" t="str">
        <x:v>不得以十神名称、数量或单一旺弱证据直接完成定性</x:v>
      </x:c>
      <x:c r="Y33" s="68" t="str">
        <x:v>特殊格局、从化候选及明确组合转M11/M14另审</x:v>
      </x:c>
      <x:c r="Z33" s="68" t="str">
        <x:v>不得直接推出吉凶、具体事件、亲属结果或最终喜忌</x:v>
      </x:c>
      <x:c r="AA33" s="84" t="str">
        <x:v>食伤有杂</x:v>
      </x:c>
      <x:c r="AB33" s="84" t="str">
        <x:v>食伤正偏并见先判有杂而非自动混杂：当“食神与伤官均存在，但一方明显主导、另一方弱”成立时，按本规则记录十神的有效功能；同时保留制化、承载和反向证据。</x:v>
      </x:c>
      <x:c r="AC33" s="82" t="str">
        <x:v>较高</x:v>
      </x:c>
      <x:c r="AD33" s="82" t="str">
        <x:v>现代综合</x:v>
      </x:c>
      <x:c r="AE33" s="68" t="str">
        <x:v>十神必须分开判断存在性、力量、清纯度、功能性与喜忌性；M10只形成结构层结论和候选，不越级替代M11—M18。</x:v>
      </x:c>
      <x:c r="AF33" s="68" t="str">
        <x:v>相关条件真实成立，且增强条件有效时，可按“食伤正偏并见先判有杂而非自动混杂”记录对应功能。</x:v>
      </x:c>
      <x:c r="AG33" s="90" t="str">
        <x:v>仅见表面十神名称或数量，但“不得以十神名称、数量或单一旺弱证据直接完成定性”所述限制存在时，不得套用本规则。</x:v>
      </x:c>
      <x:c r="AH33" s="68" t="str">
        <x:v>https://zh.wikisource.org/wiki/%E6%B8%8A%E6%B5%B7%E5%AD%90%E5%B9%B3%E5%A4%A7%E5%85%A8 ; https://zh.wikisource.org/wiki/%E6%BB%B4%E5%A4%A9%E9%AB%93%E9%97%A1%E5%BE%AE</x:v>
      </x:c>
      <x:c r="AI33" s="82" t="str">
        <x:v>采用</x:v>
      </x:c>
      <x:c r="AJ33" s="82" t="str">
        <x:v>初审</x:v>
      </x:c>
      <x:c r="AK33" s="87" t="n">
        <x:v>46255</x:v>
      </x:c>
    </x:row>
    <x:row r="34">
      <x:c r="A34" s="72" t="str">
        <x:f>IF(OR(C34="",D34=""),"",B34&amp;"-"&amp;UPPER(C34)&amp;"-"&amp;TEXT(D34,"0000")&amp;"-"&amp;E34)</x:f>
        <x:v>M10-PURE-0028-V1.0</x:v>
      </x:c>
      <x:c r="B34" s="74" t="str">
        <x:v>M10</x:v>
      </x:c>
      <x:c r="C34" s="74" t="str">
        <x:v>PURE</x:v>
      </x:c>
      <x:c r="D34" s="215" t="n">
        <x:v>28</x:v>
      </x:c>
      <x:c r="E34" s="74" t="str">
        <x:v>V1.0</x:v>
      </x:c>
      <x:c r="F34" s="68" t="str">
        <x:v>食伤两类均旺且透达时混杂程度上升</x:v>
      </x:c>
      <x:c r="G34" s="82" t="str">
        <x:v>结构层</x:v>
      </x:c>
      <x:c r="H34" s="82" t="str">
        <x:v>伤官</x:v>
      </x:c>
      <x:c r="I34" s="82" t="str">
        <x:v>待定</x:v>
      </x:c>
      <x:c r="J34" s="82" t="str">
        <x:v>待定</x:v>
      </x:c>
      <x:c r="K34" s="82" t="str">
        <x:v>待定</x:v>
      </x:c>
      <x:c r="L34" s="82" t="str">
        <x:v>混杂</x:v>
      </x:c>
      <x:c r="M34" s="68" t="str">
        <x:v>按M08核查</x:v>
      </x:c>
      <x:c r="N34" s="68" t="str">
        <x:v>按M06/M08核查</x:v>
      </x:c>
      <x:c r="O34" s="82" t="str">
        <x:v>待定</x:v>
      </x:c>
      <x:c r="P34" s="68" t="str">
        <x:v>转M11/M14判断</x:v>
      </x:c>
      <x:c r="Q34" s="68" t="str">
        <x:v>需结合M09日主承载判断</x:v>
      </x:c>
      <x:c r="R34" s="82" t="str">
        <x:v>待定</x:v>
      </x:c>
      <x:c r="S34" s="68" t="str">
        <x:v>食神与伤官同时有效且均达到中和偏旺以上</x:v>
      </x:c>
      <x:c r="T34" s="68" t="str">
        <x:v>M02十神映射、M08五行有效旺衰、M09日主旺衰已完成</x:v>
      </x:c>
      <x:c r="U34" s="68" t="str">
        <x:v>相关十神已由M02正确映射，并以M08有效力量为准</x:v>
      </x:c>
      <x:c r="V34" s="68" t="str">
        <x:v>得令、有根、透干、同党或生源形成独立有效证据</x:v>
      </x:c>
      <x:c r="W34" s="68" t="str">
        <x:v>失令、无根、被合绊、被制、改性或作用路径受阻</x:v>
      </x:c>
      <x:c r="X34" s="90" t="str">
        <x:v>不得以十神名称、数量或单一旺弱证据直接完成定性</x:v>
      </x:c>
      <x:c r="Y34" s="68" t="str">
        <x:v>特殊格局、从化候选及明确组合转M11/M14另审</x:v>
      </x:c>
      <x:c r="Z34" s="68" t="str">
        <x:v>不得直接推出吉凶、具体事件、亲属结果或最终喜忌</x:v>
      </x:c>
      <x:c r="AA34" s="84" t="str">
        <x:v>食伤混杂候选</x:v>
      </x:c>
      <x:c r="AB34" s="84" t="str">
        <x:v>食伤两类均旺且透达时混杂程度上升：当“食神与伤官同时有效且均达到中和偏旺以上”成立时，按本规则记录十神的有效功能；同时保留制化、承载和反向证据。</x:v>
      </x:c>
      <x:c r="AC34" s="82" t="str">
        <x:v>较高</x:v>
      </x:c>
      <x:c r="AD34" s="82" t="str">
        <x:v>现代综合</x:v>
      </x:c>
      <x:c r="AE34" s="68" t="str">
        <x:v>十神必须分开判断存在性、力量、清纯度、功能性与喜忌性；M10只形成结构层结论和候选，不越级替代M11—M18。</x:v>
      </x:c>
      <x:c r="AF34" s="68" t="str">
        <x:v>相关条件真实成立，且增强条件有效时，可按“食伤两类均旺且透达时混杂程度上升”记录对应功能。</x:v>
      </x:c>
      <x:c r="AG34" s="90" t="str">
        <x:v>仅见表面十神名称或数量，但“不得以十神名称、数量或单一旺弱证据直接完成定性”所述限制存在时，不得套用本规则。</x:v>
      </x:c>
      <x:c r="AH34" s="68" t="str">
        <x:v>https://zh.wikisource.org/wiki/%E6%B8%8A%E6%B5%B7%E5%AD%90%E5%B9%B3%E5%A4%A7%E5%85%A8 ; https://zh.wikisource.org/wiki/%E6%BB%B4%E5%A4%A9%E9%AB%93%E9%97%A1%E5%BE%AE</x:v>
      </x:c>
      <x:c r="AI34" s="82" t="str">
        <x:v>采用</x:v>
      </x:c>
      <x:c r="AJ34" s="82" t="str">
        <x:v>初审</x:v>
      </x:c>
      <x:c r="AK34" s="87" t="n">
        <x:v>46255</x:v>
      </x:c>
    </x:row>
    <x:row r="35">
      <x:c r="A35" s="72" t="str">
        <x:f>IF(OR(C35="",D35=""),"",B35&amp;"-"&amp;UPPER(C35)&amp;"-"&amp;TEXT(D35,"0000")&amp;"-"&amp;E35)</x:f>
        <x:v>M10-PURE-0029-V1.0</x:v>
      </x:c>
      <x:c r="B35" s="74" t="str">
        <x:v>M10</x:v>
      </x:c>
      <x:c r="C35" s="74" t="str">
        <x:v>PURE</x:v>
      </x:c>
      <x:c r="D35" s="215" t="n">
        <x:v>29</x:v>
      </x:c>
      <x:c r="E35" s="74" t="str">
        <x:v>V1.0</x:v>
      </x:c>
      <x:c r="F35" s="68" t="str">
        <x:v>印枭并见但偏印失效时可降低混杂等级</x:v>
      </x:c>
      <x:c r="G35" s="82" t="str">
        <x:v>结构层</x:v>
      </x:c>
      <x:c r="H35" s="82" t="str">
        <x:v>正印</x:v>
      </x:c>
      <x:c r="I35" s="82" t="str">
        <x:v>待定</x:v>
      </x:c>
      <x:c r="J35" s="82" t="str">
        <x:v>待定</x:v>
      </x:c>
      <x:c r="K35" s="82" t="str">
        <x:v>待定</x:v>
      </x:c>
      <x:c r="L35" s="82" t="str">
        <x:v>较清</x:v>
      </x:c>
      <x:c r="M35" s="68" t="str">
        <x:v>按M08核查</x:v>
      </x:c>
      <x:c r="N35" s="68" t="str">
        <x:v>按M06/M08核查</x:v>
      </x:c>
      <x:c r="O35" s="82" t="str">
        <x:v>待定</x:v>
      </x:c>
      <x:c r="P35" s="68" t="str">
        <x:v>转M11/M14判断</x:v>
      </x:c>
      <x:c r="Q35" s="68" t="str">
        <x:v>需结合M09日主承载判断</x:v>
      </x:c>
      <x:c r="R35" s="82" t="str">
        <x:v>待定</x:v>
      </x:c>
      <x:c r="S35" s="68" t="str">
        <x:v>正印有效而偏印仅名义存在、被制或改性</x:v>
      </x:c>
      <x:c r="T35" s="68" t="str">
        <x:v>M02十神映射、M08五行有效旺衰、M09日主旺衰已完成</x:v>
      </x:c>
      <x:c r="U35" s="68" t="str">
        <x:v>相关十神已由M02正确映射，并以M08有效力量为准</x:v>
      </x:c>
      <x:c r="V35" s="68" t="str">
        <x:v>得令、有根、透干、同党或生源形成独立有效证据</x:v>
      </x:c>
      <x:c r="W35" s="68" t="str">
        <x:v>失令、无根、被合绊、被制、改性或作用路径受阻</x:v>
      </x:c>
      <x:c r="X35" s="90" t="str">
        <x:v>不得以十神名称、数量或单一旺弱证据直接完成定性</x:v>
      </x:c>
      <x:c r="Y35" s="68" t="str">
        <x:v>特殊格局、从化候选及明确组合转M11/M14另审</x:v>
      </x:c>
      <x:c r="Z35" s="68" t="str">
        <x:v>不得直接推出吉凶、具体事件、亲属结果或最终喜忌</x:v>
      </x:c>
      <x:c r="AA35" s="84" t="str">
        <x:v>印枭主次清晰</x:v>
      </x:c>
      <x:c r="AB35" s="84" t="str">
        <x:v>印枭并见但偏印失效时可降低混杂等级：当“正印有效而偏印仅名义存在、被制或改性”成立时，按本规则记录十神的有效功能；同时保留制化、承载和反向证据。</x:v>
      </x:c>
      <x:c r="AC35" s="82" t="str">
        <x:v>较高</x:v>
      </x:c>
      <x:c r="AD35" s="82" t="str">
        <x:v>现代综合</x:v>
      </x:c>
      <x:c r="AE35" s="68" t="str">
        <x:v>十神必须分开判断存在性、力量、清纯度、功能性与喜忌性；M10只形成结构层结论和候选，不越级替代M11—M18。</x:v>
      </x:c>
      <x:c r="AF35" s="68" t="str">
        <x:v>相关条件真实成立，且增强条件有效时，可按“印枭并见但偏印失效时可降低混杂等级”记录对应功能。</x:v>
      </x:c>
      <x:c r="AG35" s="90" t="str">
        <x:v>仅见表面十神名称或数量，但“不得以十神名称、数量或单一旺弱证据直接完成定性”所述限制存在时，不得套用本规则。</x:v>
      </x:c>
      <x:c r="AH35" s="68" t="str">
        <x:v>https://zh.wikisource.org/wiki/%E6%B8%8A%E6%B5%B7%E5%AD%90%E5%B9%B3%E5%A4%A7%E5%85%A8 ; https://zh.wikisource.org/wiki/%E6%BB%B4%E5%A4%A9%E9%AB%93%E9%97%A1%E5%BE%AE</x:v>
      </x:c>
      <x:c r="AI35" s="82" t="str">
        <x:v>采用</x:v>
      </x:c>
      <x:c r="AJ35" s="82" t="str">
        <x:v>初审</x:v>
      </x:c>
      <x:c r="AK35" s="87" t="n">
        <x:v>46255</x:v>
      </x:c>
    </x:row>
    <x:row r="36">
      <x:c r="A36" s="72" t="str">
        <x:f>IF(OR(C36="",D36=""),"",B36&amp;"-"&amp;UPPER(C36)&amp;"-"&amp;TEXT(D36,"0000")&amp;"-"&amp;E36)</x:f>
        <x:v>M10-PURE-0030-V1.0</x:v>
      </x:c>
      <x:c r="B36" s="74" t="str">
        <x:v>M10</x:v>
      </x:c>
      <x:c r="C36" s="74" t="str">
        <x:v>PURE</x:v>
      </x:c>
      <x:c r="D36" s="215" t="n">
        <x:v>30</x:v>
      </x:c>
      <x:c r="E36" s="74" t="str">
        <x:v>V1.0</x:v>
      </x:c>
      <x:c r="F36" s="68" t="str">
        <x:v>正偏财并见不等于财星失效</x:v>
      </x:c>
      <x:c r="G36" s="82" t="str">
        <x:v>结构层</x:v>
      </x:c>
      <x:c r="H36" s="82" t="str">
        <x:v>偏财</x:v>
      </x:c>
      <x:c r="I36" s="82" t="str">
        <x:v>待定</x:v>
      </x:c>
      <x:c r="J36" s="82" t="str">
        <x:v>待定</x:v>
      </x:c>
      <x:c r="K36" s="82" t="str">
        <x:v>待定</x:v>
      </x:c>
      <x:c r="L36" s="82" t="str">
        <x:v>有杂</x:v>
      </x:c>
      <x:c r="M36" s="68" t="str">
        <x:v>按M08核查</x:v>
      </x:c>
      <x:c r="N36" s="68" t="str">
        <x:v>按M06/M08核查</x:v>
      </x:c>
      <x:c r="O36" s="82" t="str">
        <x:v>正常发挥</x:v>
      </x:c>
      <x:c r="P36" s="68" t="str">
        <x:v>转M11/M14判断</x:v>
      </x:c>
      <x:c r="Q36" s="68" t="str">
        <x:v>需结合M09日主承载判断</x:v>
      </x:c>
      <x:c r="R36" s="82" t="str">
        <x:v>待定</x:v>
      </x:c>
      <x:c r="S36" s="68" t="str">
        <x:v>正财偏财同时有效存在</x:v>
      </x:c>
      <x:c r="T36" s="68" t="str">
        <x:v>M02十神映射、M08五行有效旺衰、M09日主旺衰已完成</x:v>
      </x:c>
      <x:c r="U36" s="68" t="str">
        <x:v>相关十神已由M02正确映射，并以M08有效力量为准</x:v>
      </x:c>
      <x:c r="V36" s="68" t="str">
        <x:v>得令、有根、透干、同党或生源形成独立有效证据</x:v>
      </x:c>
      <x:c r="W36" s="68" t="str">
        <x:v>失令、无根、被合绊、被制、改性或作用路径受阻</x:v>
      </x:c>
      <x:c r="X36" s="90" t="str">
        <x:v>不得以十神名称、数量或单一旺弱证据直接完成定性</x:v>
      </x:c>
      <x:c r="Y36" s="68" t="str">
        <x:v>特殊格局、从化候选及明确组合转M11/M14另审</x:v>
      </x:c>
      <x:c r="Z36" s="68" t="str">
        <x:v>不得由正偏财并见直接推出破格、婚恋或财富事件</x:v>
      </x:c>
      <x:c r="AA36" s="84" t="str">
        <x:v>财星正偏并见</x:v>
      </x:c>
      <x:c r="AB36" s="84" t="str">
        <x:v>正偏财并见不等于财星失效：当“正财偏财同时有效存在”成立时，按本规则记录十神的有效功能；同时保留制化、承载和反向证据。</x:v>
      </x:c>
      <x:c r="AC36" s="82" t="str">
        <x:v>较高</x:v>
      </x:c>
      <x:c r="AD36" s="82" t="str">
        <x:v>现代综合</x:v>
      </x:c>
      <x:c r="AE36" s="68" t="str">
        <x:v>十神必须分开判断存在性、力量、清纯度、功能性与喜忌性；M10只形成结构层结论和候选，不越级替代M11—M18。</x:v>
      </x:c>
      <x:c r="AF36" s="68" t="str">
        <x:v>相关条件真实成立，且增强条件有效时，可按“正偏财并见不等于财星失效”记录对应功能。</x:v>
      </x:c>
      <x:c r="AG36" s="90" t="str">
        <x:v>仅见表面十神名称或数量，但“不得以十神名称、数量或单一旺弱证据直接完成定性”所述限制存在时，不得套用本规则。</x:v>
      </x:c>
      <x:c r="AH36" s="68" t="str">
        <x:v>https://zh.wikisource.org/wiki/%E6%B8%8A%E6%B5%B7%E5%AD%90%E5%B9%B3%E5%A4%A7%E5%85%A8 ; https://zh.wikisource.org/wiki/%E6%BB%B4%E5%A4%A9%E9%AB%93%E9%97%A1%E5%BE%AE</x:v>
      </x:c>
      <x:c r="AI36" s="82" t="str">
        <x:v>采用</x:v>
      </x:c>
      <x:c r="AJ36" s="82" t="str">
        <x:v>初审</x:v>
      </x:c>
      <x:c r="AK36" s="87" t="n">
        <x:v>46255</x:v>
      </x:c>
    </x:row>
    <x:row r="37">
      <x:c r="A37" s="72" t="str">
        <x:f>IF(OR(C37="",D37=""),"",B37&amp;"-"&amp;UPPER(C37)&amp;"-"&amp;TEXT(D37,"0000")&amp;"-"&amp;E37)</x:f>
        <x:v>M10-PURE-0031-V1.0</x:v>
      </x:c>
      <x:c r="B37" s="74" t="str">
        <x:v>M10</x:v>
      </x:c>
      <x:c r="C37" s="74" t="str">
        <x:v>PURE</x:v>
      </x:c>
      <x:c r="D37" s="215" t="n">
        <x:v>31</x:v>
      </x:c>
      <x:c r="E37" s="74" t="str">
        <x:v>V1.0</x:v>
      </x:c>
      <x:c r="F37" s="68" t="str">
        <x:v>同一十神多处出现属于数量问题而非清纯问题</x:v>
      </x:c>
      <x:c r="G37" s="82" t="str">
        <x:v>结构层</x:v>
      </x:c>
      <x:c r="H37" s="82" t="str">
        <x:v>比肩</x:v>
      </x:c>
      <x:c r="I37" s="82" t="str">
        <x:v>多处出现</x:v>
      </x:c>
      <x:c r="J37" s="82" t="str">
        <x:v>待定</x:v>
      </x:c>
      <x:c r="K37" s="82" t="str">
        <x:v>待定</x:v>
      </x:c>
      <x:c r="L37" s="82" t="str">
        <x:v>清纯</x:v>
      </x:c>
      <x:c r="M37" s="68" t="str">
        <x:v>按M08核查</x:v>
      </x:c>
      <x:c r="N37" s="68" t="str">
        <x:v>按M06/M08核查</x:v>
      </x:c>
      <x:c r="O37" s="82" t="str">
        <x:v>待定</x:v>
      </x:c>
      <x:c r="P37" s="68" t="str">
        <x:v>转M11/M14判断</x:v>
      </x:c>
      <x:c r="Q37" s="68" t="str">
        <x:v>需结合M09日主承载判断</x:v>
      </x:c>
      <x:c r="R37" s="82" t="str">
        <x:v>待定</x:v>
      </x:c>
      <x:c r="S37" s="68" t="str">
        <x:v>比肩在多个节点重复出现，但未混入劫财</x:v>
      </x:c>
      <x:c r="T37" s="68" t="str">
        <x:v>M02十神映射、M08五行有效旺衰、M09日主旺衰已完成</x:v>
      </x:c>
      <x:c r="U37" s="68" t="str">
        <x:v>相关十神已由M02正确映射，并以M08有效力量为准</x:v>
      </x:c>
      <x:c r="V37" s="68" t="str">
        <x:v>得令、有根、透干、同党或生源形成独立有效证据</x:v>
      </x:c>
      <x:c r="W37" s="68" t="str">
        <x:v>失令、无根、被合绊、被制、改性或作用路径受阻</x:v>
      </x:c>
      <x:c r="X37" s="90" t="str">
        <x:v>不得以十神名称、数量或单一旺弱证据直接完成定性</x:v>
      </x:c>
      <x:c r="Y37" s="68" t="str">
        <x:v>特殊格局、从化候选及明确组合转M11/M14另审</x:v>
      </x:c>
      <x:c r="Z37" s="68" t="str">
        <x:v>不得直接推出吉凶、具体事件、亲属结果或最终喜忌</x:v>
      </x:c>
      <x:c r="AA37" s="84" t="str">
        <x:v>同类重复非混杂</x:v>
      </x:c>
      <x:c r="AB37" s="84" t="str">
        <x:v>同一十神多处出现属于数量问题而非清纯问题：当“比肩在多个节点重复出现，但未混入劫财”成立时，按本规则记录十神的有效功能；同时保留制化、承载和反向证据。</x:v>
      </x:c>
      <x:c r="AC37" s="82" t="str">
        <x:v>较高</x:v>
      </x:c>
      <x:c r="AD37" s="82" t="str">
        <x:v>现代综合</x:v>
      </x:c>
      <x:c r="AE37" s="68" t="str">
        <x:v>十神必须分开判断存在性、力量、清纯度、功能性与喜忌性；M10只形成结构层结论和候选，不越级替代M11—M18。</x:v>
      </x:c>
      <x:c r="AF37" s="68" t="str">
        <x:v>相关条件真实成立，且增强条件有效时，可按“同一十神多处出现属于数量问题而非清纯问题”记录对应功能。</x:v>
      </x:c>
      <x:c r="AG37" s="90" t="str">
        <x:v>仅见表面十神名称或数量，但“不得以十神名称、数量或单一旺弱证据直接完成定性”所述限制存在时，不得套用本规则。</x:v>
      </x:c>
      <x:c r="AH37" s="68" t="str">
        <x:v>https://zh.wikisource.org/wiki/%E6%B8%8A%E6%B5%B7%E5%AD%90%E5%B9%B3%E5%A4%A7%E5%85%A8 ; https://zh.wikisource.org/wiki/%E6%BB%B4%E5%A4%A9%E9%AB%93%E9%97%A1%E5%BE%AE</x:v>
      </x:c>
      <x:c r="AI37" s="82" t="str">
        <x:v>采用</x:v>
      </x:c>
      <x:c r="AJ37" s="82" t="str">
        <x:v>初审</x:v>
      </x:c>
      <x:c r="AK37" s="87" t="n">
        <x:v>46255</x:v>
      </x:c>
    </x:row>
    <x:row r="38">
      <x:c r="A38" s="72" t="str">
        <x:f>IF(OR(C38="",D38=""),"",B38&amp;"-"&amp;UPPER(C38)&amp;"-"&amp;TEXT(D38,"0000")&amp;"-"&amp;E38)</x:f>
        <x:v>M10-PURE-0032-V1.0</x:v>
      </x:c>
      <x:c r="B38" s="74" t="str">
        <x:v>M10</x:v>
      </x:c>
      <x:c r="C38" s="74" t="str">
        <x:v>PURE</x:v>
      </x:c>
      <x:c r="D38" s="215" t="n">
        <x:v>32</x:v>
      </x:c>
      <x:c r="E38" s="74" t="str">
        <x:v>V1.0</x:v>
      </x:c>
      <x:c r="F38" s="68" t="str">
        <x:v>清纯度与喜忌价值必须分开</x:v>
      </x:c>
      <x:c r="G38" s="82" t="str">
        <x:v>结构层</x:v>
      </x:c>
      <x:c r="H38" s="82" t="str">
        <x:v>正印</x:v>
      </x:c>
      <x:c r="I38" s="82" t="str">
        <x:v>待定</x:v>
      </x:c>
      <x:c r="J38" s="82" t="str">
        <x:v>待定</x:v>
      </x:c>
      <x:c r="K38" s="82" t="str">
        <x:v>待定</x:v>
      </x:c>
      <x:c r="L38" s="82" t="str">
        <x:v>待定</x:v>
      </x:c>
      <x:c r="M38" s="68" t="str">
        <x:v>按M08核查</x:v>
      </x:c>
      <x:c r="N38" s="68" t="str">
        <x:v>按M06/M08核查</x:v>
      </x:c>
      <x:c r="O38" s="82" t="str">
        <x:v>待定</x:v>
      </x:c>
      <x:c r="P38" s="68" t="str">
        <x:v>转M11/M14判断</x:v>
      </x:c>
      <x:c r="Q38" s="68" t="str">
        <x:v>需结合M09日主承载判断</x:v>
      </x:c>
      <x:c r="R38" s="82" t="str">
        <x:v>待定</x:v>
      </x:c>
      <x:c r="S38" s="68" t="str">
        <x:v>十神清纯度已完成判断</x:v>
      </x:c>
      <x:c r="T38" s="68" t="str">
        <x:v>M02十神映射、M08五行有效旺衰、M09日主旺衰已完成</x:v>
      </x:c>
      <x:c r="U38" s="68" t="str">
        <x:v>相关十神已由M02正确映射，并以M08有效力量为准</x:v>
      </x:c>
      <x:c r="V38" s="68" t="str">
        <x:v>得令、有根、透干、同党或生源形成独立有效证据</x:v>
      </x:c>
      <x:c r="W38" s="68" t="str">
        <x:v>失令、无根、被合绊、被制、改性或作用路径受阻</x:v>
      </x:c>
      <x:c r="X38" s="90" t="str">
        <x:v>不得以十神名称、数量或单一旺弱证据直接完成定性</x:v>
      </x:c>
      <x:c r="Y38" s="68" t="str">
        <x:v>特殊格局、从化候选及明确组合转M11/M14另审</x:v>
      </x:c>
      <x:c r="Z38" s="68" t="str">
        <x:v>不得由清纯直接判喜，也不得由混杂直接判忌</x:v>
      </x:c>
      <x:c r="AA38" s="84" t="str">
        <x:v>清纯喜忌分离</x:v>
      </x:c>
      <x:c r="AB38" s="84" t="str">
        <x:v>清纯度与喜忌价值必须分开：当“十神清纯度已完成判断”成立时，按本规则记录十神的有效功能；同时保留制化、承载和反向证据。</x:v>
      </x:c>
      <x:c r="AC38" s="82" t="str">
        <x:v>较高</x:v>
      </x:c>
      <x:c r="AD38" s="82" t="str">
        <x:v>现代综合</x:v>
      </x:c>
      <x:c r="AE38" s="68" t="str">
        <x:v>十神必须分开判断存在性、力量、清纯度、功能性与喜忌性；M10只形成结构层结论和候选，不越级替代M11—M18。</x:v>
      </x:c>
      <x:c r="AF38" s="68" t="str">
        <x:v>相关条件真实成立，且增强条件有效时，可按“清纯度与喜忌价值必须分开”记录对应功能。</x:v>
      </x:c>
      <x:c r="AG38" s="90" t="str">
        <x:v>仅见表面十神名称或数量，但“不得以十神名称、数量或单一旺弱证据直接完成定性”所述限制存在时，不得套用本规则。</x:v>
      </x:c>
      <x:c r="AH38" s="68" t="str">
        <x:v>https://zh.wikisource.org/wiki/%E6%B8%8A%E6%B5%B7%E5%AD%90%E5%B9%B3%E5%A4%A7%E5%85%A8 ; https://zh.wikisource.org/wiki/%E6%BB%B4%E5%A4%A9%E9%AB%93%E9%97%A1%E5%BE%AE</x:v>
      </x:c>
      <x:c r="AI38" s="82" t="str">
        <x:v>采用</x:v>
      </x:c>
      <x:c r="AJ38" s="82" t="str">
        <x:v>初审</x:v>
      </x:c>
      <x:c r="AK38" s="87" t="n">
        <x:v>46255</x:v>
      </x:c>
    </x:row>
    <x:row r="39">
      <x:c r="A39" s="72" t="str">
        <x:f>IF(OR(C39="",D39=""),"",B39&amp;"-"&amp;UPPER(C39)&amp;"-"&amp;TEXT(D39,"0000")&amp;"-"&amp;E39)</x:f>
        <x:v>M10-BIJIE-0033-V1.0</x:v>
      </x:c>
      <x:c r="B39" s="74" t="str">
        <x:v>M10</x:v>
      </x:c>
      <x:c r="C39" s="74" t="str">
        <x:v>BIJIE</x:v>
      </x:c>
      <x:c r="D39" s="215" t="n">
        <x:v>33</x:v>
      </x:c>
      <x:c r="E39" s="74" t="str">
        <x:v>V1.0</x:v>
      </x:c>
      <x:c r="F39" s="68" t="str">
        <x:v>比肩有效时首先提供同类扶身</x:v>
      </x:c>
      <x:c r="G39" s="82" t="str">
        <x:v>结构层</x:v>
      </x:c>
      <x:c r="H39" s="82" t="str">
        <x:v>比肩</x:v>
      </x:c>
      <x:c r="I39" s="82" t="str">
        <x:v>待定</x:v>
      </x:c>
      <x:c r="J39" s="82" t="str">
        <x:v>待定</x:v>
      </x:c>
      <x:c r="K39" s="82" t="str">
        <x:v>待定</x:v>
      </x:c>
      <x:c r="L39" s="82" t="str">
        <x:v>待定</x:v>
      </x:c>
      <x:c r="M39" s="68" t="str">
        <x:v>按M08核查</x:v>
      </x:c>
      <x:c r="N39" s="68" t="str">
        <x:v>按M06/M08核查</x:v>
      </x:c>
      <x:c r="O39" s="82" t="str">
        <x:v>正常发挥</x:v>
      </x:c>
      <x:c r="P39" s="68" t="str">
        <x:v>转M11/M14判断</x:v>
      </x:c>
      <x:c r="Q39" s="68" t="str">
        <x:v>直接增强日主同类承载与抗制泄耗能力</x:v>
      </x:c>
      <x:c r="R39" s="82" t="str">
        <x:v>待定</x:v>
      </x:c>
      <x:c r="S39" s="68" t="str">
        <x:v>比肩有效存在且未被实质制化</x:v>
      </x:c>
      <x:c r="T39" s="68" t="str">
        <x:v>M02十神映射、M08五行有效旺衰、M09日主旺衰已完成</x:v>
      </x:c>
      <x:c r="U39" s="68" t="str">
        <x:v>相关十神已由M02正确映射，并以M08有效力量为准</x:v>
      </x:c>
      <x:c r="V39" s="68" t="str">
        <x:v>得令、有根、透干、同党或生源形成独立有效证据</x:v>
      </x:c>
      <x:c r="W39" s="68" t="str">
        <x:v>失令、无根、被合绊、被制、改性或作用路径受阻</x:v>
      </x:c>
      <x:c r="X39" s="90" t="str">
        <x:v>不得以十神名称、数量或单一旺弱证据直接完成定性</x:v>
      </x:c>
      <x:c r="Y39" s="68" t="str">
        <x:v>特殊格局、从化候选及明确组合转M11/M14另审</x:v>
      </x:c>
      <x:c r="Z39" s="68" t="str">
        <x:v>不得直接推出吉凶、具体事件、亲属结果或最终喜忌</x:v>
      </x:c>
      <x:c r="AA39" s="84" t="str">
        <x:v>比肩扶身</x:v>
      </x:c>
      <x:c r="AB39" s="84" t="str">
        <x:v>比肩有效时首先提供同类扶身：当“比肩有效存在且未被实质制化”成立时，按本规则记录十神的有效功能；同时保留制化、承载和反向证据。</x:v>
      </x:c>
      <x:c r="AC39" s="82" t="str">
        <x:v>较高</x:v>
      </x:c>
      <x:c r="AD39" s="82" t="str">
        <x:v>现代综合</x:v>
      </x:c>
      <x:c r="AE39" s="68" t="str">
        <x:v>十神必须分开判断存在性、力量、清纯度、功能性与喜忌性；M10只形成结构层结论和候选，不越级替代M11—M18。</x:v>
      </x:c>
      <x:c r="AF39" s="68" t="str">
        <x:v>相关条件真实成立，且增强条件有效时，可按“比肩有效时首先提供同类扶身”记录对应功能。</x:v>
      </x:c>
      <x:c r="AG39" s="90" t="str">
        <x:v>仅见表面十神名称或数量，但“不得以十神名称、数量或单一旺弱证据直接完成定性”所述限制存在时，不得套用本规则。</x:v>
      </x:c>
      <x:c r="AH39" s="68" t="str">
        <x:v>https://zh.wikisource.org/wiki/%E6%B8%8A%E6%B5%B7%E5%AD%90%E5%B9%B3%E5%A4%A7%E5%85%A8 ; https://zh.wikisource.org/wiki/%E6%BB%B4%E5%A4%A9%E9%AB%93%E9%97%A1%E5%BE%AE</x:v>
      </x:c>
      <x:c r="AI39" s="82" t="str">
        <x:v>采用</x:v>
      </x:c>
      <x:c r="AJ39" s="82" t="str">
        <x:v>初审</x:v>
      </x:c>
      <x:c r="AK39" s="87" t="n">
        <x:v>46255</x:v>
      </x:c>
    </x:row>
    <x:row r="40">
      <x:c r="A40" s="72" t="str">
        <x:f>IF(OR(C40="",D40=""),"",B40&amp;"-"&amp;UPPER(C40)&amp;"-"&amp;TEXT(D40,"0000")&amp;"-"&amp;E40)</x:f>
        <x:v>M10-BIJIE-0034-V1.0</x:v>
      </x:c>
      <x:c r="B40" s="74" t="str">
        <x:v>M10</x:v>
      </x:c>
      <x:c r="C40" s="74" t="str">
        <x:v>BIJIE</x:v>
      </x:c>
      <x:c r="D40" s="215" t="n">
        <x:v>34</x:v>
      </x:c>
      <x:c r="E40" s="74" t="str">
        <x:v>V1.0</x:v>
      </x:c>
      <x:c r="F40" s="68" t="str">
        <x:v>劫财有效时同时具有扶身与分财双重功能</x:v>
      </x:c>
      <x:c r="G40" s="82" t="str">
        <x:v>结构层</x:v>
      </x:c>
      <x:c r="H40" s="82" t="str">
        <x:v>劫财</x:v>
      </x:c>
      <x:c r="I40" s="82" t="str">
        <x:v>待定</x:v>
      </x:c>
      <x:c r="J40" s="82" t="str">
        <x:v>待定</x:v>
      </x:c>
      <x:c r="K40" s="82" t="str">
        <x:v>待定</x:v>
      </x:c>
      <x:c r="L40" s="82" t="str">
        <x:v>待定</x:v>
      </x:c>
      <x:c r="M40" s="68" t="str">
        <x:v>按M08核查</x:v>
      </x:c>
      <x:c r="N40" s="68" t="str">
        <x:v>按M06/M08核查</x:v>
      </x:c>
      <x:c r="O40" s="82" t="str">
        <x:v>正常发挥</x:v>
      </x:c>
      <x:c r="P40" s="68" t="str">
        <x:v>转M11/M14判断</x:v>
      </x:c>
      <x:c r="Q40" s="68" t="str">
        <x:v>一方面扶身，另一方面参与对财星的竞争与制约</x:v>
      </x:c>
      <x:c r="R40" s="82" t="str">
        <x:v>待定</x:v>
      </x:c>
      <x:c r="S40" s="68" t="str">
        <x:v>劫财有效且财星也存在</x:v>
      </x:c>
      <x:c r="T40" s="68" t="str">
        <x:v>M02十神映射、M08五行有效旺衰、M09日主旺衰已完成</x:v>
      </x:c>
      <x:c r="U40" s="68" t="str">
        <x:v>相关十神已由M02正确映射，并以M08有效力量为准</x:v>
      </x:c>
      <x:c r="V40" s="68" t="str">
        <x:v>得令、有根、透干、同党或生源形成独立有效证据</x:v>
      </x:c>
      <x:c r="W40" s="68" t="str">
        <x:v>失令、无根、被合绊、被制、改性或作用路径受阻</x:v>
      </x:c>
      <x:c r="X40" s="90" t="str">
        <x:v>不得以十神名称、数量或单一旺弱证据直接完成定性</x:v>
      </x:c>
      <x:c r="Y40" s="68" t="str">
        <x:v>特殊格局、从化候选及明确组合转M11/M14另审</x:v>
      </x:c>
      <x:c r="Z40" s="68" t="str">
        <x:v>不得直接推出吉凶、具体事件、亲属结果或最终喜忌</x:v>
      </x:c>
      <x:c r="AA40" s="84" t="str">
        <x:v>劫财双重功能</x:v>
      </x:c>
      <x:c r="AB40" s="84" t="str">
        <x:v>劫财有效时同时具有扶身与分财双重功能：当“劫财有效且财星也存在”成立时，按本规则记录十神的有效功能；同时保留制化、承载和反向证据。</x:v>
      </x:c>
      <x:c r="AC40" s="82" t="str">
        <x:v>较高</x:v>
      </x:c>
      <x:c r="AD40" s="82" t="str">
        <x:v>现代综合</x:v>
      </x:c>
      <x:c r="AE40" s="68" t="str">
        <x:v>十神必须分开判断存在性、力量、清纯度、功能性与喜忌性；M10只形成结构层结论和候选，不越级替代M11—M18。</x:v>
      </x:c>
      <x:c r="AF40" s="68" t="str">
        <x:v>相关条件真实成立，且增强条件有效时，可按“劫财有效时同时具有扶身与分财双重功能”记录对应功能。</x:v>
      </x:c>
      <x:c r="AG40" s="90" t="str">
        <x:v>仅见表面十神名称或数量，但“不得以十神名称、数量或单一旺弱证据直接完成定性”所述限制存在时，不得套用本规则。</x:v>
      </x:c>
      <x:c r="AH40" s="68" t="str">
        <x:v>https://zh.wikisource.org/wiki/%E6%B8%8A%E6%B5%B7%E5%AD%90%E5%B9%B3%E5%A4%A7%E5%85%A8 ; https://zh.wikisource.org/wiki/%E6%BB%B4%E5%A4%A9%E9%AB%93%E9%97%A1%E5%BE%AE</x:v>
      </x:c>
      <x:c r="AI40" s="82" t="str">
        <x:v>采用</x:v>
      </x:c>
      <x:c r="AJ40" s="82" t="str">
        <x:v>初审</x:v>
      </x:c>
      <x:c r="AK40" s="87" t="n">
        <x:v>46255</x:v>
      </x:c>
    </x:row>
    <x:row r="41">
      <x:c r="A41" s="72" t="str">
        <x:f>IF(OR(C41="",D41=""),"",B41&amp;"-"&amp;UPPER(C41)&amp;"-"&amp;TEXT(D41,"0000")&amp;"-"&amp;E41)</x:f>
        <x:v>M10-BIJIE-0035-V1.0</x:v>
      </x:c>
      <x:c r="B41" s="74" t="str">
        <x:v>M10</x:v>
      </x:c>
      <x:c r="C41" s="74" t="str">
        <x:v>BIJIE</x:v>
      </x:c>
      <x:c r="D41" s="215" t="n">
        <x:v>35</x:v>
      </x:c>
      <x:c r="E41" s="74" t="str">
        <x:v>V1.0</x:v>
      </x:c>
      <x:c r="F41" s="68" t="str">
        <x:v>身弱时有效比肩通常属于有利候选</x:v>
      </x:c>
      <x:c r="G41" s="82" t="str">
        <x:v>结构层</x:v>
      </x:c>
      <x:c r="H41" s="82" t="str">
        <x:v>比肩</x:v>
      </x:c>
      <x:c r="I41" s="82" t="str">
        <x:v>待定</x:v>
      </x:c>
      <x:c r="J41" s="82" t="str">
        <x:v>待定</x:v>
      </x:c>
      <x:c r="K41" s="82" t="str">
        <x:v>待定</x:v>
      </x:c>
      <x:c r="L41" s="82" t="str">
        <x:v>待定</x:v>
      </x:c>
      <x:c r="M41" s="68" t="str">
        <x:v>按M08核查</x:v>
      </x:c>
      <x:c r="N41" s="68" t="str">
        <x:v>按M06/M08核查</x:v>
      </x:c>
      <x:c r="O41" s="82" t="str">
        <x:v>正常发挥</x:v>
      </x:c>
      <x:c r="P41" s="68" t="str">
        <x:v>转M11/M14判断</x:v>
      </x:c>
      <x:c r="Q41" s="68" t="str">
        <x:v>补充承载、分担官杀与财食负荷</x:v>
      </x:c>
      <x:c r="R41" s="82" t="str">
        <x:v>条件性喜神</x:v>
      </x:c>
      <x:c r="S41" s="68" t="str">
        <x:v>M09日主弱或中和偏弱，且比肩有效</x:v>
      </x:c>
      <x:c r="T41" s="68" t="str">
        <x:v>M02十神映射、M08五行有效旺衰、M09日主旺衰已完成</x:v>
      </x:c>
      <x:c r="U41" s="68" t="str">
        <x:v>相关十神已由M02正确映射，并以M08有效力量为准</x:v>
      </x:c>
      <x:c r="V41" s="68" t="str">
        <x:v>得令、有根、透干、同党或生源形成独立有效证据</x:v>
      </x:c>
      <x:c r="W41" s="68" t="str">
        <x:v>失令、无根、被合绊、被制、改性或作用路径受阻</x:v>
      </x:c>
      <x:c r="X41" s="90" t="str">
        <x:v>不得以十神名称、数量或单一旺弱证据直接完成定性</x:v>
      </x:c>
      <x:c r="Y41" s="68" t="str">
        <x:v>特殊格局、从化候选及明确组合转M11/M14另审</x:v>
      </x:c>
      <x:c r="Z41" s="68" t="str">
        <x:v>不得直接推出吉凶、具体事件、亲属结果或最终喜忌</x:v>
      </x:c>
      <x:c r="AA41" s="84" t="str">
        <x:v>身弱比肩候选</x:v>
      </x:c>
      <x:c r="AB41" s="84" t="str">
        <x:v>身弱时有效比肩通常属于有利候选：当“M09日主弱或中和偏弱，且比肩有效”成立时，按本规则记录十神的有效功能；同时保留制化、承载和反向证据。</x:v>
      </x:c>
      <x:c r="AC41" s="82" t="str">
        <x:v>较高</x:v>
      </x:c>
      <x:c r="AD41" s="82" t="str">
        <x:v>现代综合</x:v>
      </x:c>
      <x:c r="AE41" s="68" t="str">
        <x:v>十神必须分开判断存在性、力量、清纯度、功能性与喜忌性；M10只形成结构层结论和候选，不越级替代M11—M18。</x:v>
      </x:c>
      <x:c r="AF41" s="68" t="str">
        <x:v>相关条件真实成立，且增强条件有效时，可按“身弱时有效比肩通常属于有利候选”记录对应功能。</x:v>
      </x:c>
      <x:c r="AG41" s="90" t="str">
        <x:v>仅见表面十神名称或数量，但“不得以十神名称、数量或单一旺弱证据直接完成定性”所述限制存在时，不得套用本规则。</x:v>
      </x:c>
      <x:c r="AH41" s="68" t="str">
        <x:v>https://zh.wikisource.org/wiki/%E6%B8%8A%E6%B5%B7%E5%AD%90%E5%B9%B3%E5%A4%A7%E5%85%A8 ; https://zh.wikisource.org/wiki/%E6%BB%B4%E5%A4%A9%E9%AB%93%E9%97%A1%E5%BE%AE</x:v>
      </x:c>
      <x:c r="AI41" s="82" t="str">
        <x:v>采用</x:v>
      </x:c>
      <x:c r="AJ41" s="82" t="str">
        <x:v>初审</x:v>
      </x:c>
      <x:c r="AK41" s="87" t="n">
        <x:v>46255</x:v>
      </x:c>
    </x:row>
    <x:row r="42">
      <x:c r="A42" s="72" t="str">
        <x:f>IF(OR(C42="",D42=""),"",B42&amp;"-"&amp;UPPER(C42)&amp;"-"&amp;TEXT(D42,"0000")&amp;"-"&amp;E42)</x:f>
        <x:v>M10-BIJIE-0036-V1.0</x:v>
      </x:c>
      <x:c r="B42" s="74" t="str">
        <x:v>M10</x:v>
      </x:c>
      <x:c r="C42" s="74" t="str">
        <x:v>BIJIE</x:v>
      </x:c>
      <x:c r="D42" s="215" t="n">
        <x:v>36</x:v>
      </x:c>
      <x:c r="E42" s="74" t="str">
        <x:v>V1.0</x:v>
      </x:c>
      <x:c r="F42" s="68" t="str">
        <x:v>身旺时劫财继续增强可能成为负荷候选</x:v>
      </x:c>
      <x:c r="G42" s="82" t="str">
        <x:v>结构层</x:v>
      </x:c>
      <x:c r="H42" s="82" t="str">
        <x:v>劫财</x:v>
      </x:c>
      <x:c r="I42" s="82" t="str">
        <x:v>待定</x:v>
      </x:c>
      <x:c r="J42" s="82" t="str">
        <x:v>待定</x:v>
      </x:c>
      <x:c r="K42" s="82" t="str">
        <x:v>待定</x:v>
      </x:c>
      <x:c r="L42" s="82" t="str">
        <x:v>待定</x:v>
      </x:c>
      <x:c r="M42" s="68" t="str">
        <x:v>按M08核查</x:v>
      </x:c>
      <x:c r="N42" s="68" t="str">
        <x:v>按M06/M08核查</x:v>
      </x:c>
      <x:c r="O42" s="82" t="str">
        <x:v>过度</x:v>
      </x:c>
      <x:c r="P42" s="68" t="str">
        <x:v>转M11/M14判断</x:v>
      </x:c>
      <x:c r="Q42" s="68" t="str">
        <x:v>进一步加强身势并可能制财</x:v>
      </x:c>
      <x:c r="R42" s="82" t="str">
        <x:v>条件性忌神</x:v>
      </x:c>
      <x:c r="S42" s="68" t="str">
        <x:v>M09日主旺或极旺，劫财又有力</x:v>
      </x:c>
      <x:c r="T42" s="68" t="str">
        <x:v>M02十神映射、M08五行有效旺衰、M09日主旺衰已完成</x:v>
      </x:c>
      <x:c r="U42" s="68" t="str">
        <x:v>相关十神已由M02正确映射，并以M08有效力量为准</x:v>
      </x:c>
      <x:c r="V42" s="68" t="str">
        <x:v>得令、有根、透干、同党或生源形成独立有效证据</x:v>
      </x:c>
      <x:c r="W42" s="68" t="str">
        <x:v>失令、无根、被合绊、被制、改性或作用路径受阻</x:v>
      </x:c>
      <x:c r="X42" s="90" t="str">
        <x:v>不得以十神名称、数量或单一旺弱证据直接完成定性</x:v>
      </x:c>
      <x:c r="Y42" s="68" t="str">
        <x:v>特殊格局、从化候选及明确组合转M11/M14另审</x:v>
      </x:c>
      <x:c r="Z42" s="68" t="str">
        <x:v>不得直接推出吉凶、具体事件、亲属结果或最终喜忌</x:v>
      </x:c>
      <x:c r="AA42" s="84" t="str">
        <x:v>身旺劫财过度</x:v>
      </x:c>
      <x:c r="AB42" s="84" t="str">
        <x:v>身旺时劫财继续增强可能成为负荷候选：当“M09日主旺或极旺，劫财又有力”成立时，按本规则记录十神的有效功能；同时保留制化、承载和反向证据。</x:v>
      </x:c>
      <x:c r="AC42" s="82" t="str">
        <x:v>较高</x:v>
      </x:c>
      <x:c r="AD42" s="82" t="str">
        <x:v>现代综合</x:v>
      </x:c>
      <x:c r="AE42" s="68" t="str">
        <x:v>十神必须分开判断存在性、力量、清纯度、功能性与喜忌性；M10只形成结构层结论和候选，不越级替代M11—M18。</x:v>
      </x:c>
      <x:c r="AF42" s="68" t="str">
        <x:v>相关条件真实成立，且增强条件有效时，可按“身旺时劫财继续增强可能成为负荷候选”记录对应功能。</x:v>
      </x:c>
      <x:c r="AG42" s="90" t="str">
        <x:v>仅见表面十神名称或数量，但“不得以十神名称、数量或单一旺弱证据直接完成定性”所述限制存在时，不得套用本规则。</x:v>
      </x:c>
      <x:c r="AH42" s="68" t="str">
        <x:v>https://zh.wikisource.org/wiki/%E6%B8%8A%E6%B5%B7%E5%AD%90%E5%B9%B3%E5%A4%A7%E5%85%A8 ; https://zh.wikisource.org/wiki/%E6%BB%B4%E5%A4%A9%E9%AB%93%E9%97%A1%E5%BE%AE</x:v>
      </x:c>
      <x:c r="AI42" s="82" t="str">
        <x:v>采用</x:v>
      </x:c>
      <x:c r="AJ42" s="82" t="str">
        <x:v>初审</x:v>
      </x:c>
      <x:c r="AK42" s="87" t="n">
        <x:v>46255</x:v>
      </x:c>
    </x:row>
    <x:row r="43">
      <x:c r="A43" s="72" t="str">
        <x:f>IF(OR(C43="",D43=""),"",B43&amp;"-"&amp;UPPER(C43)&amp;"-"&amp;TEXT(D43,"0000")&amp;"-"&amp;E43)</x:f>
        <x:v>M10-BIJIE-0037-V1.0</x:v>
      </x:c>
      <x:c r="B43" s="74" t="str">
        <x:v>M10</x:v>
      </x:c>
      <x:c r="C43" s="74" t="str">
        <x:v>BIJIE</x:v>
      </x:c>
      <x:c r="D43" s="215" t="n">
        <x:v>37</x:v>
      </x:c>
      <x:c r="E43" s="74" t="str">
        <x:v>V1.0</x:v>
      </x:c>
      <x:c r="F43" s="68" t="str">
        <x:v>比肩可帮助承受有效官杀制身</x:v>
      </x:c>
      <x:c r="G43" s="82" t="str">
        <x:v>结构层</x:v>
      </x:c>
      <x:c r="H43" s="82" t="str">
        <x:v>比肩</x:v>
      </x:c>
      <x:c r="I43" s="82" t="str">
        <x:v>待定</x:v>
      </x:c>
      <x:c r="J43" s="82" t="str">
        <x:v>待定</x:v>
      </x:c>
      <x:c r="K43" s="82" t="str">
        <x:v>待定</x:v>
      </x:c>
      <x:c r="L43" s="82" t="str">
        <x:v>待定</x:v>
      </x:c>
      <x:c r="M43" s="68" t="str">
        <x:v>按M08核查</x:v>
      </x:c>
      <x:c r="N43" s="68" t="str">
        <x:v>按M06/M08核查</x:v>
      </x:c>
      <x:c r="O43" s="82" t="str">
        <x:v>待定</x:v>
      </x:c>
      <x:c r="P43" s="68" t="str">
        <x:v>转M11/M14判断</x:v>
      </x:c>
      <x:c r="Q43" s="68" t="str">
        <x:v>增强日主抗制能力，但不等于已经化解官杀</x:v>
      </x:c>
      <x:c r="R43" s="82" t="str">
        <x:v>待定</x:v>
      </x:c>
      <x:c r="S43" s="68" t="str">
        <x:v>日主承载不足且官杀有力，比肩自身有效</x:v>
      </x:c>
      <x:c r="T43" s="68" t="str">
        <x:v>M02十神映射、M08五行有效旺衰、M09日主旺衰已完成</x:v>
      </x:c>
      <x:c r="U43" s="68" t="str">
        <x:v>相关十神已由M02正确映射，并以M08有效力量为准</x:v>
      </x:c>
      <x:c r="V43" s="68" t="str">
        <x:v>得令、有根、透干、同党或生源形成独立有效证据</x:v>
      </x:c>
      <x:c r="W43" s="68" t="str">
        <x:v>失令、无根、被合绊、被制、改性或作用路径受阻</x:v>
      </x:c>
      <x:c r="X43" s="90" t="str">
        <x:v>不得以十神名称、数量或单一旺弱证据直接完成定性</x:v>
      </x:c>
      <x:c r="Y43" s="68" t="str">
        <x:v>特殊格局、从化候选及明确组合转M11/M14另审</x:v>
      </x:c>
      <x:c r="Z43" s="68" t="str">
        <x:v>不得直接推出吉凶、具体事件、亲属结果或最终喜忌</x:v>
      </x:c>
      <x:c r="AA43" s="84" t="str">
        <x:v>比肩抗杀</x:v>
      </x:c>
      <x:c r="AB43" s="84" t="str">
        <x:v>比肩可帮助承受有效官杀制身：当“日主承载不足且官杀有力，比肩自身有效”成立时，按本规则记录十神的有效功能；同时保留制化、承载和反向证据。</x:v>
      </x:c>
      <x:c r="AC43" s="82" t="str">
        <x:v>较高</x:v>
      </x:c>
      <x:c r="AD43" s="82" t="str">
        <x:v>现代综合</x:v>
      </x:c>
      <x:c r="AE43" s="68" t="str">
        <x:v>十神必须分开判断存在性、力量、清纯度、功能性与喜忌性；M10只形成结构层结论和候选，不越级替代M11—M18。</x:v>
      </x:c>
      <x:c r="AF43" s="68" t="str">
        <x:v>相关条件真实成立，且增强条件有效时，可按“比肩可帮助承受有效官杀制身”记录对应功能。</x:v>
      </x:c>
      <x:c r="AG43" s="90" t="str">
        <x:v>仅见表面十神名称或数量，但“不得以十神名称、数量或单一旺弱证据直接完成定性”所述限制存在时，不得套用本规则。</x:v>
      </x:c>
      <x:c r="AH43" s="68" t="str">
        <x:v>https://zh.wikisource.org/wiki/%E6%B8%8A%E6%B5%B7%E5%AD%90%E5%B9%B3%E5%A4%A7%E5%85%A8 ; https://zh.wikisource.org/wiki/%E6%BB%B4%E5%A4%A9%E9%AB%93%E9%97%A1%E5%BE%AE</x:v>
      </x:c>
      <x:c r="AI43" s="82" t="str">
        <x:v>采用</x:v>
      </x:c>
      <x:c r="AJ43" s="82" t="str">
        <x:v>初审</x:v>
      </x:c>
      <x:c r="AK43" s="87" t="n">
        <x:v>46255</x:v>
      </x:c>
    </x:row>
    <x:row r="44">
      <x:c r="A44" s="72" t="str">
        <x:f>IF(OR(C44="",D44=""),"",B44&amp;"-"&amp;UPPER(C44)&amp;"-"&amp;TEXT(D44,"0000")&amp;"-"&amp;E44)</x:f>
        <x:v>M10-BIJIE-0038-V1.0</x:v>
      </x:c>
      <x:c r="B44" s="74" t="str">
        <x:v>M10</x:v>
      </x:c>
      <x:c r="C44" s="74" t="str">
        <x:v>BIJIE</x:v>
      </x:c>
      <x:c r="D44" s="215" t="n">
        <x:v>38</x:v>
      </x:c>
      <x:c r="E44" s="74" t="str">
        <x:v>V1.0</x:v>
      </x:c>
      <x:c r="F44" s="68" t="str">
        <x:v>劫财制财必须以双方有效力量匹配为条件</x:v>
      </x:c>
      <x:c r="G44" s="82" t="str">
        <x:v>结构层</x:v>
      </x:c>
      <x:c r="H44" s="82" t="str">
        <x:v>劫财</x:v>
      </x:c>
      <x:c r="I44" s="82" t="str">
        <x:v>待定</x:v>
      </x:c>
      <x:c r="J44" s="82" t="str">
        <x:v>待定</x:v>
      </x:c>
      <x:c r="K44" s="82" t="str">
        <x:v>待定</x:v>
      </x:c>
      <x:c r="L44" s="82" t="str">
        <x:v>待定</x:v>
      </x:c>
      <x:c r="M44" s="68" t="str">
        <x:v>按M08核查</x:v>
      </x:c>
      <x:c r="N44" s="68" t="str">
        <x:v>与财星形成克制</x:v>
      </x:c>
      <x:c r="O44" s="82" t="str">
        <x:v>待定</x:v>
      </x:c>
      <x:c r="P44" s="68" t="str">
        <x:v>可成为比劫制财类局部结构，转M11</x:v>
      </x:c>
      <x:c r="Q44" s="68" t="str">
        <x:v>需结合M09日主承载判断</x:v>
      </x:c>
      <x:c r="R44" s="82" t="str">
        <x:v>待定</x:v>
      </x:c>
      <x:c r="S44" s="68" t="str">
        <x:v>劫财与财星直接形成有效克制关系</x:v>
      </x:c>
      <x:c r="T44" s="68" t="str">
        <x:v>M02十神映射、M08五行有效旺衰、M09日主旺衰已完成</x:v>
      </x:c>
      <x:c r="U44" s="68" t="str">
        <x:v>相关十神已由M02正确映射，并以M08有效力量为准</x:v>
      </x:c>
      <x:c r="V44" s="68" t="str">
        <x:v>得令、有根、透干、同党或生源形成独立有效证据</x:v>
      </x:c>
      <x:c r="W44" s="68" t="str">
        <x:v>失令、无根、被合绊、被制、改性或作用路径受阻</x:v>
      </x:c>
      <x:c r="X44" s="90" t="str">
        <x:v>不得以十神名称、数量或单一旺弱证据直接完成定性</x:v>
      </x:c>
      <x:c r="Y44" s="68" t="str">
        <x:v>特殊格局、从化候选及明确组合转M11/M14另审</x:v>
      </x:c>
      <x:c r="Z44" s="68" t="str">
        <x:v>不得直接推出吉凶、具体事件、亲属结果或最终喜忌</x:v>
      </x:c>
      <x:c r="AA44" s="84" t="str">
        <x:v>劫财制财候选</x:v>
      </x:c>
      <x:c r="AB44" s="84" t="str">
        <x:v>劫财制财必须以双方有效力量匹配为条件：当“劫财与财星直接形成有效克制关系”成立时，按本规则记录十神的有效功能；同时保留制化、承载和反向证据。</x:v>
      </x:c>
      <x:c r="AC44" s="82" t="str">
        <x:v>较高</x:v>
      </x:c>
      <x:c r="AD44" s="82" t="str">
        <x:v>现代综合</x:v>
      </x:c>
      <x:c r="AE44" s="68" t="str">
        <x:v>十神必须分开判断存在性、力量、清纯度、功能性与喜忌性；M10只形成结构层结论和候选，不越级替代M11—M18。</x:v>
      </x:c>
      <x:c r="AF44" s="68" t="str">
        <x:v>相关条件真实成立，且增强条件有效时，可按“劫财制财必须以双方有效力量匹配为条件”记录对应功能。</x:v>
      </x:c>
      <x:c r="AG44" s="90" t="str">
        <x:v>仅见表面十神名称或数量，但“不得以十神名称、数量或单一旺弱证据直接完成定性”所述限制存在时，不得套用本规则。</x:v>
      </x:c>
      <x:c r="AH44" s="68" t="str">
        <x:v>https://zh.wikisource.org/wiki/%E6%B8%8A%E6%B5%B7%E5%AD%90%E5%B9%B3%E5%A4%A7%E5%85%A8 ; https://zh.wikisource.org/wiki/%E6%BB%B4%E5%A4%A9%E9%AB%93%E9%97%A1%E5%BE%AE</x:v>
      </x:c>
      <x:c r="AI44" s="82" t="str">
        <x:v>采用</x:v>
      </x:c>
      <x:c r="AJ44" s="82" t="str">
        <x:v>初审</x:v>
      </x:c>
      <x:c r="AK44" s="87" t="n">
        <x:v>46255</x:v>
      </x:c>
    </x:row>
    <x:row r="45">
      <x:c r="A45" s="72" t="str">
        <x:f>IF(OR(C45="",D45=""),"",B45&amp;"-"&amp;UPPER(C45)&amp;"-"&amp;TEXT(D45,"0000")&amp;"-"&amp;E45)</x:f>
        <x:v>M10-BIJIE-0039-V1.0</x:v>
      </x:c>
      <x:c r="B45" s="74" t="str">
        <x:v>M10</x:v>
      </x:c>
      <x:c r="C45" s="74" t="str">
        <x:v>BIJIE</x:v>
      </x:c>
      <x:c r="D45" s="215" t="n">
        <x:v>39</x:v>
      </x:c>
      <x:c r="E45" s="74" t="str">
        <x:v>V1.0</x:v>
      </x:c>
      <x:c r="F45" s="68" t="str">
        <x:v>比肩被官杀强制时扶身功能会受限</x:v>
      </x:c>
      <x:c r="G45" s="82" t="str">
        <x:v>结构层</x:v>
      </x:c>
      <x:c r="H45" s="82" t="str">
        <x:v>比肩</x:v>
      </x:c>
      <x:c r="I45" s="82" t="str">
        <x:v>待定</x:v>
      </x:c>
      <x:c r="J45" s="82" t="str">
        <x:v>待定</x:v>
      </x:c>
      <x:c r="K45" s="82" t="str">
        <x:v>待定</x:v>
      </x:c>
      <x:c r="L45" s="82" t="str">
        <x:v>待定</x:v>
      </x:c>
      <x:c r="M45" s="68" t="str">
        <x:v>按M08核查</x:v>
      </x:c>
      <x:c r="N45" s="68" t="str">
        <x:v>受官杀有效克制</x:v>
      </x:c>
      <x:c r="O45" s="82" t="str">
        <x:v>受限</x:v>
      </x:c>
      <x:c r="P45" s="68" t="str">
        <x:v>转M11/M14判断</x:v>
      </x:c>
      <x:c r="Q45" s="68" t="str">
        <x:v>可调用扶身能力下降</x:v>
      </x:c>
      <x:c r="R45" s="82" t="str">
        <x:v>待定</x:v>
      </x:c>
      <x:c r="S45" s="68" t="str">
        <x:v>比肩虽存在，但官杀对其形成实质强制</x:v>
      </x:c>
      <x:c r="T45" s="68" t="str">
        <x:v>M02十神映射、M08五行有效旺衰、M09日主旺衰已完成</x:v>
      </x:c>
      <x:c r="U45" s="68" t="str">
        <x:v>相关十神已由M02正确映射，并以M08有效力量为准</x:v>
      </x:c>
      <x:c r="V45" s="68" t="str">
        <x:v>得令、有根、透干、同党或生源形成独立有效证据</x:v>
      </x:c>
      <x:c r="W45" s="68" t="str">
        <x:v>失令、无根、被合绊、被制、改性或作用路径受阻</x:v>
      </x:c>
      <x:c r="X45" s="90" t="str">
        <x:v>不得以十神名称、数量或单一旺弱证据直接完成定性</x:v>
      </x:c>
      <x:c r="Y45" s="68" t="str">
        <x:v>特殊格局、从化候选及明确组合转M11/M14另审</x:v>
      </x:c>
      <x:c r="Z45" s="68" t="str">
        <x:v>不得直接推出吉凶、具体事件、亲属结果或最终喜忌</x:v>
      </x:c>
      <x:c r="AA45" s="84" t="str">
        <x:v>比肩功能受限</x:v>
      </x:c>
      <x:c r="AB45" s="84" t="str">
        <x:v>比肩被官杀强制时扶身功能会受限：当“比肩虽存在，但官杀对其形成实质强制”成立时，按本规则记录十神的有效功能；同时保留制化、承载和反向证据。</x:v>
      </x:c>
      <x:c r="AC45" s="82" t="str">
        <x:v>较高</x:v>
      </x:c>
      <x:c r="AD45" s="82" t="str">
        <x:v>现代综合</x:v>
      </x:c>
      <x:c r="AE45" s="68" t="str">
        <x:v>十神必须分开判断存在性、力量、清纯度、功能性与喜忌性；M10只形成结构层结论和候选，不越级替代M11—M18。</x:v>
      </x:c>
      <x:c r="AF45" s="68" t="str">
        <x:v>相关条件真实成立，且增强条件有效时，可按“比肩被官杀强制时扶身功能会受限”记录对应功能。</x:v>
      </x:c>
      <x:c r="AG45" s="90" t="str">
        <x:v>仅见表面十神名称或数量，但“不得以十神名称、数量或单一旺弱证据直接完成定性”所述限制存在时，不得套用本规则。</x:v>
      </x:c>
      <x:c r="AH45" s="68" t="str">
        <x:v>https://zh.wikisource.org/wiki/%E6%B8%8A%E6%B5%B7%E5%AD%90%E5%B9%B3%E5%A4%A7%E5%85%A8 ; https://zh.wikisource.org/wiki/%E6%BB%B4%E5%A4%A9%E9%AB%93%E9%97%A1%E5%BE%AE</x:v>
      </x:c>
      <x:c r="AI45" s="82" t="str">
        <x:v>采用</x:v>
      </x:c>
      <x:c r="AJ45" s="82" t="str">
        <x:v>初审</x:v>
      </x:c>
      <x:c r="AK45" s="87" t="n">
        <x:v>46255</x:v>
      </x:c>
    </x:row>
    <x:row r="46">
      <x:c r="A46" s="72" t="str">
        <x:f>IF(OR(C46="",D46=""),"",B46&amp;"-"&amp;UPPER(C46)&amp;"-"&amp;TEXT(D46,"0000")&amp;"-"&amp;E46)</x:f>
        <x:v>M10-BIJIE-0040-V1.0</x:v>
      </x:c>
      <x:c r="B46" s="74" t="str">
        <x:v>M10</x:v>
      </x:c>
      <x:c r="C46" s="74" t="str">
        <x:v>BIJIE</x:v>
      </x:c>
      <x:c r="D46" s="215" t="n">
        <x:v>40</x:v>
      </x:c>
      <x:c r="E46" s="74" t="str">
        <x:v>V1.0</x:v>
      </x:c>
      <x:c r="F46" s="68" t="str">
        <x:v>比劫集团成势时应作为整体扶身集团评估</x:v>
      </x:c>
      <x:c r="G46" s="82" t="str">
        <x:v>结构层</x:v>
      </x:c>
      <x:c r="H46" s="82" t="str">
        <x:v>劫财</x:v>
      </x:c>
      <x:c r="I46" s="82" t="str">
        <x:v>多处出现</x:v>
      </x:c>
      <x:c r="J46" s="82" t="str">
        <x:v>待定</x:v>
      </x:c>
      <x:c r="K46" s="82" t="str">
        <x:v>旺</x:v>
      </x:c>
      <x:c r="L46" s="82" t="str">
        <x:v>待定</x:v>
      </x:c>
      <x:c r="M46" s="68" t="str">
        <x:v>按M08核查</x:v>
      </x:c>
      <x:c r="N46" s="68" t="str">
        <x:v>按M06/M08核查</x:v>
      </x:c>
      <x:c r="O46" s="82" t="str">
        <x:v>正常发挥</x:v>
      </x:c>
      <x:c r="P46" s="68" t="str">
        <x:v>转M11/M14判断</x:v>
      </x:c>
      <x:c r="Q46" s="68" t="str">
        <x:v>显著提高扶身侧净优势</x:v>
      </x:c>
      <x:c r="R46" s="82" t="str">
        <x:v>待定</x:v>
      </x:c>
      <x:c r="S46" s="68" t="str">
        <x:v>比肩劫财多节点有效并形成同类集团</x:v>
      </x:c>
      <x:c r="T46" s="68" t="str">
        <x:v>M02十神映射、M08五行有效旺衰、M09日主旺衰已完成</x:v>
      </x:c>
      <x:c r="U46" s="68" t="str">
        <x:v>相关十神已由M02正确映射，并以M08有效力量为准</x:v>
      </x:c>
      <x:c r="V46" s="68" t="str">
        <x:v>得令、有根、透干、同党或生源形成独立有效证据</x:v>
      </x:c>
      <x:c r="W46" s="68" t="str">
        <x:v>失令、无根、被合绊、被制、改性或作用路径受阻</x:v>
      </x:c>
      <x:c r="X46" s="90" t="str">
        <x:v>不得以十神名称、数量或单一旺弱证据直接完成定性</x:v>
      </x:c>
      <x:c r="Y46" s="68" t="str">
        <x:v>特殊格局、从化候选及明确组合转M11/M14另审</x:v>
      </x:c>
      <x:c r="Z46" s="68" t="str">
        <x:v>不得直接推出吉凶、具体事件、亲属结果或最终喜忌</x:v>
      </x:c>
      <x:c r="AA46" s="84" t="str">
        <x:v>比劫集团成势</x:v>
      </x:c>
      <x:c r="AB46" s="84" t="str">
        <x:v>比劫集团成势时应作为整体扶身集团评估：当“比肩劫财多节点有效并形成同类集团”成立时，按本规则记录十神的有效功能；同时保留制化、承载和反向证据。</x:v>
      </x:c>
      <x:c r="AC46" s="82" t="str">
        <x:v>较高</x:v>
      </x:c>
      <x:c r="AD46" s="82" t="str">
        <x:v>现代综合</x:v>
      </x:c>
      <x:c r="AE46" s="68" t="str">
        <x:v>十神必须分开判断存在性、力量、清纯度、功能性与喜忌性；M10只形成结构层结论和候选，不越级替代M11—M18。</x:v>
      </x:c>
      <x:c r="AF46" s="68" t="str">
        <x:v>相关条件真实成立，且增强条件有效时，可按“比劫集团成势时应作为整体扶身集团评估”记录对应功能。</x:v>
      </x:c>
      <x:c r="AG46" s="90" t="str">
        <x:v>仅见表面十神名称或数量，但“不得以十神名称、数量或单一旺弱证据直接完成定性”所述限制存在时，不得套用本规则。</x:v>
      </x:c>
      <x:c r="AH46" s="68" t="str">
        <x:v>https://zh.wikisource.org/wiki/%E6%B8%8A%E6%B5%B7%E5%AD%90%E5%B9%B3%E5%A4%A7%E5%85%A8 ; https://zh.wikisource.org/wiki/%E6%BB%B4%E5%A4%A9%E9%AB%93%E9%97%A1%E5%BE%AE</x:v>
      </x:c>
      <x:c r="AI46" s="82" t="str">
        <x:v>采用</x:v>
      </x:c>
      <x:c r="AJ46" s="82" t="str">
        <x:v>初审</x:v>
      </x:c>
      <x:c r="AK46" s="87" t="n">
        <x:v>46255</x:v>
      </x:c>
    </x:row>
    <x:row r="47">
      <x:c r="A47" s="72" t="str">
        <x:f>IF(OR(C47="",D47=""),"",B47&amp;"-"&amp;UPPER(C47)&amp;"-"&amp;TEXT(D47,"0000")&amp;"-"&amp;E47)</x:f>
        <x:v>M10-BIJIE-0041-V1.0</x:v>
      </x:c>
      <x:c r="B47" s="74" t="str">
        <x:v>M10</x:v>
      </x:c>
      <x:c r="C47" s="74" t="str">
        <x:v>BIJIE</x:v>
      </x:c>
      <x:c r="D47" s="215" t="n">
        <x:v>41</x:v>
      </x:c>
      <x:c r="E47" s="74" t="str">
        <x:v>V1.0</x:v>
      </x:c>
      <x:c r="F47" s="68" t="str">
        <x:v>比劫过旺可阻塞日主向食伤财星的输出</x:v>
      </x:c>
      <x:c r="G47" s="82" t="str">
        <x:v>结构层</x:v>
      </x:c>
      <x:c r="H47" s="82" t="str">
        <x:v>比肩</x:v>
      </x:c>
      <x:c r="I47" s="82" t="str">
        <x:v>待定</x:v>
      </x:c>
      <x:c r="J47" s="82" t="str">
        <x:v>待定</x:v>
      </x:c>
      <x:c r="K47" s="82" t="str">
        <x:v>待定</x:v>
      </x:c>
      <x:c r="L47" s="82" t="str">
        <x:v>待定</x:v>
      </x:c>
      <x:c r="M47" s="68" t="str">
        <x:v>按M08核查</x:v>
      </x:c>
      <x:c r="N47" s="68" t="str">
        <x:v>按M06/M08核查</x:v>
      </x:c>
      <x:c r="O47" s="82" t="str">
        <x:v>过度</x:v>
      </x:c>
      <x:c r="P47" s="68" t="str">
        <x:v>转M11/M14判断</x:v>
      </x:c>
      <x:c r="Q47" s="68" t="str">
        <x:v>同类聚集但输出不足，可能形成壅塞</x:v>
      </x:c>
      <x:c r="R47" s="82" t="str">
        <x:v>条件性忌神</x:v>
      </x:c>
      <x:c r="S47" s="68" t="str">
        <x:v>比劫明显过旺，而食伤财星通道偏弱</x:v>
      </x:c>
      <x:c r="T47" s="68" t="str">
        <x:v>M02十神映射、M08五行有效旺衰、M09日主旺衰已完成</x:v>
      </x:c>
      <x:c r="U47" s="68" t="str">
        <x:v>相关十神已由M02正确映射，并以M08有效力量为准</x:v>
      </x:c>
      <x:c r="V47" s="68" t="str">
        <x:v>得令、有根、透干、同党或生源形成独立有效证据</x:v>
      </x:c>
      <x:c r="W47" s="68" t="str">
        <x:v>失令、无根、被合绊、被制、改性或作用路径受阻</x:v>
      </x:c>
      <x:c r="X47" s="90" t="str">
        <x:v>不得以十神名称、数量或单一旺弱证据直接完成定性</x:v>
      </x:c>
      <x:c r="Y47" s="68" t="str">
        <x:v>特殊格局、从化候选及明确组合转M11/M14另审</x:v>
      </x:c>
      <x:c r="Z47" s="68" t="str">
        <x:v>不得直接推出吉凶、具体事件、亲属结果或最终喜忌</x:v>
      </x:c>
      <x:c r="AA47" s="84" t="str">
        <x:v>比劫壅塞候选</x:v>
      </x:c>
      <x:c r="AB47" s="84" t="str">
        <x:v>比劫过旺可阻塞日主向食伤财星的输出：当“比劫明显过旺，而食伤财星通道偏弱”成立时，按本规则记录十神的有效功能；同时保留制化、承载和反向证据。</x:v>
      </x:c>
      <x:c r="AC47" s="82" t="str">
        <x:v>较高</x:v>
      </x:c>
      <x:c r="AD47" s="82" t="str">
        <x:v>现代综合</x:v>
      </x:c>
      <x:c r="AE47" s="68" t="str">
        <x:v>十神必须分开判断存在性、力量、清纯度、功能性与喜忌性；M10只形成结构层结论和候选，不越级替代M11—M18。</x:v>
      </x:c>
      <x:c r="AF47" s="68" t="str">
        <x:v>相关条件真实成立，且增强条件有效时，可按“比劫过旺可阻塞日主向食伤财星的输出”记录对应功能。</x:v>
      </x:c>
      <x:c r="AG47" s="90" t="str">
        <x:v>仅见表面十神名称或数量，但“不得以十神名称、数量或单一旺弱证据直接完成定性”所述限制存在时，不得套用本规则。</x:v>
      </x:c>
      <x:c r="AH47" s="68" t="str">
        <x:v>https://zh.wikisource.org/wiki/%E6%B8%8A%E6%B5%B7%E5%AD%90%E5%B9%B3%E5%A4%A7%E5%85%A8 ; https://zh.wikisource.org/wiki/%E6%BB%B4%E5%A4%A9%E9%AB%93%E9%97%A1%E5%BE%AE</x:v>
      </x:c>
      <x:c r="AI47" s="82" t="str">
        <x:v>采用</x:v>
      </x:c>
      <x:c r="AJ47" s="82" t="str">
        <x:v>初审</x:v>
      </x:c>
      <x:c r="AK47" s="87" t="n">
        <x:v>46255</x:v>
      </x:c>
    </x:row>
    <x:row r="48">
      <x:c r="A48" s="72" t="str">
        <x:f>IF(OR(C48="",D48=""),"",B48&amp;"-"&amp;UPPER(C48)&amp;"-"&amp;TEXT(D48,"0000")&amp;"-"&amp;E48)</x:f>
        <x:v>M10-BIJIE-0042-V1.0</x:v>
      </x:c>
      <x:c r="B48" s="74" t="str">
        <x:v>M10</x:v>
      </x:c>
      <x:c r="C48" s="74" t="str">
        <x:v>BIJIE</x:v>
      </x:c>
      <x:c r="D48" s="215" t="n">
        <x:v>42</x:v>
      </x:c>
      <x:c r="E48" s="74" t="str">
        <x:v>V1.0</x:v>
      </x:c>
      <x:c r="F48" s="68" t="str">
        <x:v>劫财喜忌不能脱离财星和日主状态</x:v>
      </x:c>
      <x:c r="G48" s="82" t="str">
        <x:v>结构层</x:v>
      </x:c>
      <x:c r="H48" s="82" t="str">
        <x:v>劫财</x:v>
      </x:c>
      <x:c r="I48" s="82" t="str">
        <x:v>待定</x:v>
      </x:c>
      <x:c r="J48" s="82" t="str">
        <x:v>待定</x:v>
      </x:c>
      <x:c r="K48" s="82" t="str">
        <x:v>待定</x:v>
      </x:c>
      <x:c r="L48" s="82" t="str">
        <x:v>待定</x:v>
      </x:c>
      <x:c r="M48" s="68" t="str">
        <x:v>按M08核查</x:v>
      </x:c>
      <x:c r="N48" s="68" t="str">
        <x:v>按M06/M08核查</x:v>
      </x:c>
      <x:c r="O48" s="82" t="str">
        <x:v>待定</x:v>
      </x:c>
      <x:c r="P48" s="68" t="str">
        <x:v>转M11/M14判断</x:v>
      </x:c>
      <x:c r="Q48" s="68" t="str">
        <x:v>需结合M09日主承载判断</x:v>
      </x:c>
      <x:c r="R48" s="82" t="str">
        <x:v>待定</x:v>
      </x:c>
      <x:c r="S48" s="68" t="str">
        <x:v>判断劫财价值时必须同时读取M09日主旺衰与财星有效力量</x:v>
      </x:c>
      <x:c r="T48" s="68" t="str">
        <x:v>M02十神映射、M08五行有效旺衰、M09日主旺衰已完成</x:v>
      </x:c>
      <x:c r="U48" s="68" t="str">
        <x:v>相关十神已由M02正确映射，并以M08有效力量为准</x:v>
      </x:c>
      <x:c r="V48" s="68" t="str">
        <x:v>得令、有根、透干、同党或生源形成独立有效证据</x:v>
      </x:c>
      <x:c r="W48" s="68" t="str">
        <x:v>失令、无根、被合绊、被制、改性或作用路径受阻</x:v>
      </x:c>
      <x:c r="X48" s="90" t="str">
        <x:v>不得以十神名称、数量或单一旺弱证据直接完成定性</x:v>
      </x:c>
      <x:c r="Y48" s="68" t="str">
        <x:v>特殊格局、从化候选及明确组合转M11/M14另审</x:v>
      </x:c>
      <x:c r="Z48" s="68" t="str">
        <x:v>不得用“劫财”名称直接解释为夺财、破财或人际竞争事件</x:v>
      </x:c>
      <x:c r="AA48" s="84" t="str">
        <x:v>劫财喜忌联判</x:v>
      </x:c>
      <x:c r="AB48" s="84" t="str">
        <x:v>劫财喜忌不能脱离财星和日主状态：当“判断劫财价值时必须同时读取M09日主旺衰与财星有效力量”成立时，按本规则记录十神的有效功能；同时保留制化、承载和反向证据。</x:v>
      </x:c>
      <x:c r="AC48" s="82" t="str">
        <x:v>较高</x:v>
      </x:c>
      <x:c r="AD48" s="82" t="str">
        <x:v>现代综合</x:v>
      </x:c>
      <x:c r="AE48" s="68" t="str">
        <x:v>十神必须分开判断存在性、力量、清纯度、功能性与喜忌性；M10只形成结构层结论和候选，不越级替代M11—M18。</x:v>
      </x:c>
      <x:c r="AF48" s="68" t="str">
        <x:v>相关条件真实成立，且增强条件有效时，可按“劫财喜忌不能脱离财星和日主状态”记录对应功能。</x:v>
      </x:c>
      <x:c r="AG48" s="90" t="str">
        <x:v>仅见表面十神名称或数量，但“不得以十神名称、数量或单一旺弱证据直接完成定性”所述限制存在时，不得套用本规则。</x:v>
      </x:c>
      <x:c r="AH48" s="68" t="str">
        <x:v>https://zh.wikisource.org/wiki/%E6%B8%8A%E6%B5%B7%E5%AD%90%E5%B9%B3%E5%A4%A7%E5%85%A8 ; https://zh.wikisource.org/wiki/%E6%BB%B4%E5%A4%A9%E9%AB%93%E9%97%A1%E5%BE%AE</x:v>
      </x:c>
      <x:c r="AI48" s="82" t="str">
        <x:v>采用</x:v>
      </x:c>
      <x:c r="AJ48" s="82" t="str">
        <x:v>初审</x:v>
      </x:c>
      <x:c r="AK48" s="87" t="n">
        <x:v>46255</x:v>
      </x:c>
    </x:row>
    <x:row r="49">
      <x:c r="A49" s="72" t="str">
        <x:f>IF(OR(C49="",D49=""),"",B49&amp;"-"&amp;UPPER(C49)&amp;"-"&amp;TEXT(D49,"0000")&amp;"-"&amp;E49)</x:f>
        <x:v>M10-YIN-0043-V1.0</x:v>
      </x:c>
      <x:c r="B49" s="74" t="str">
        <x:v>M10</x:v>
      </x:c>
      <x:c r="C49" s="74" t="str">
        <x:v>YIN</x:v>
      </x:c>
      <x:c r="D49" s="215" t="n">
        <x:v>43</x:v>
      </x:c>
      <x:c r="E49" s="74" t="str">
        <x:v>V1.0</x:v>
      </x:c>
      <x:c r="F49" s="68" t="str">
        <x:v>有效正印首先提供生身功能</x:v>
      </x:c>
      <x:c r="G49" s="82" t="str">
        <x:v>结构层</x:v>
      </x:c>
      <x:c r="H49" s="82" t="str">
        <x:v>正印</x:v>
      </x:c>
      <x:c r="I49" s="82" t="str">
        <x:v>待定</x:v>
      </x:c>
      <x:c r="J49" s="82" t="str">
        <x:v>待定</x:v>
      </x:c>
      <x:c r="K49" s="82" t="str">
        <x:v>待定</x:v>
      </x:c>
      <x:c r="L49" s="82" t="str">
        <x:v>待定</x:v>
      </x:c>
      <x:c r="M49" s="68" t="str">
        <x:v>按M08核查</x:v>
      </x:c>
      <x:c r="N49" s="68" t="str">
        <x:v>按M06/M08核查</x:v>
      </x:c>
      <x:c r="O49" s="82" t="str">
        <x:v>正常发挥</x:v>
      </x:c>
      <x:c r="P49" s="68" t="str">
        <x:v>转M11/M14判断</x:v>
      </x:c>
      <x:c r="Q49" s="68" t="str">
        <x:v>向日主提供生源和承载</x:v>
      </x:c>
      <x:c r="R49" s="82" t="str">
        <x:v>待定</x:v>
      </x:c>
      <x:c r="S49" s="68" t="str">
        <x:v>正印有效存在且生身路径未被阻断</x:v>
      </x:c>
      <x:c r="T49" s="68" t="str">
        <x:v>M02十神映射、M08五行有效旺衰、M09日主旺衰已完成</x:v>
      </x:c>
      <x:c r="U49" s="68" t="str">
        <x:v>相关十神已由M02正确映射，并以M08有效力量为准</x:v>
      </x:c>
      <x:c r="V49" s="68" t="str">
        <x:v>得令、有根、透干、同党或生源形成独立有效证据</x:v>
      </x:c>
      <x:c r="W49" s="68" t="str">
        <x:v>失令、无根、被合绊、被制、改性或作用路径受阻</x:v>
      </x:c>
      <x:c r="X49" s="90" t="str">
        <x:v>不得以十神名称、数量或单一旺弱证据直接完成定性</x:v>
      </x:c>
      <x:c r="Y49" s="68" t="str">
        <x:v>特殊格局、从化候选及明确组合转M11/M14另审</x:v>
      </x:c>
      <x:c r="Z49" s="68" t="str">
        <x:v>不得直接推出吉凶、具体事件、亲属结果或最终喜忌</x:v>
      </x:c>
      <x:c r="AA49" s="84" t="str">
        <x:v>正印生身</x:v>
      </x:c>
      <x:c r="AB49" s="84" t="str">
        <x:v>有效正印首先提供生身功能：当“正印有效存在且生身路径未被阻断”成立时，按本规则记录十神的有效功能；同时保留制化、承载和反向证据。</x:v>
      </x:c>
      <x:c r="AC49" s="82" t="str">
        <x:v>较高</x:v>
      </x:c>
      <x:c r="AD49" s="82" t="str">
        <x:v>现代综合</x:v>
      </x:c>
      <x:c r="AE49" s="68" t="str">
        <x:v>十神必须分开判断存在性、力量、清纯度、功能性与喜忌性；M10只形成结构层结论和候选，不越级替代M11—M18。</x:v>
      </x:c>
      <x:c r="AF49" s="68" t="str">
        <x:v>相关条件真实成立，且增强条件有效时，可按“有效正印首先提供生身功能”记录对应功能。</x:v>
      </x:c>
      <x:c r="AG49" s="90" t="str">
        <x:v>仅见表面十神名称或数量，但“不得以十神名称、数量或单一旺弱证据直接完成定性”所述限制存在时，不得套用本规则。</x:v>
      </x:c>
      <x:c r="AH49" s="68" t="str">
        <x:v>https://zh.wikisource.org/wiki/%E6%B8%8A%E6%B5%B7%E5%AD%90%E5%B9%B3%E5%A4%A7%E5%85%A8 ; https://zh.wikisource.org/wiki/%E6%BB%B4%E5%A4%A9%E9%AB%93%E9%97%A1%E5%BE%AE</x:v>
      </x:c>
      <x:c r="AI49" s="82" t="str">
        <x:v>采用</x:v>
      </x:c>
      <x:c r="AJ49" s="82" t="str">
        <x:v>初审</x:v>
      </x:c>
      <x:c r="AK49" s="87" t="n">
        <x:v>46255</x:v>
      </x:c>
    </x:row>
    <x:row r="50">
      <x:c r="A50" s="72" t="str">
        <x:f>IF(OR(C50="",D50=""),"",B50&amp;"-"&amp;UPPER(C50)&amp;"-"&amp;TEXT(D50,"0000")&amp;"-"&amp;E50)</x:f>
        <x:v>M10-YIN-0044-V1.0</x:v>
      </x:c>
      <x:c r="B50" s="74" t="str">
        <x:v>M10</x:v>
      </x:c>
      <x:c r="C50" s="74" t="str">
        <x:v>YIN</x:v>
      </x:c>
      <x:c r="D50" s="215" t="n">
        <x:v>44</x:v>
      </x:c>
      <x:c r="E50" s="74" t="str">
        <x:v>V1.0</x:v>
      </x:c>
      <x:c r="F50" s="68" t="str">
        <x:v>有效偏印同样可生身但需另审制食功能</x:v>
      </x:c>
      <x:c r="G50" s="82" t="str">
        <x:v>结构层</x:v>
      </x:c>
      <x:c r="H50" s="82" t="str">
        <x:v>偏印</x:v>
      </x:c>
      <x:c r="I50" s="82" t="str">
        <x:v>待定</x:v>
      </x:c>
      <x:c r="J50" s="82" t="str">
        <x:v>待定</x:v>
      </x:c>
      <x:c r="K50" s="82" t="str">
        <x:v>待定</x:v>
      </x:c>
      <x:c r="L50" s="82" t="str">
        <x:v>待定</x:v>
      </x:c>
      <x:c r="M50" s="68" t="str">
        <x:v>按M08核查</x:v>
      </x:c>
      <x:c r="N50" s="68" t="str">
        <x:v>按M06/M08核查</x:v>
      </x:c>
      <x:c r="O50" s="82" t="str">
        <x:v>正常发挥</x:v>
      </x:c>
      <x:c r="P50" s="68" t="str">
        <x:v>转M11/M14判断</x:v>
      </x:c>
      <x:c r="Q50" s="68" t="str">
        <x:v>可生身，同时可能对食神形成克制</x:v>
      </x:c>
      <x:c r="R50" s="82" t="str">
        <x:v>待定</x:v>
      </x:c>
      <x:c r="S50" s="68" t="str">
        <x:v>偏印有效存在</x:v>
      </x:c>
      <x:c r="T50" s="68" t="str">
        <x:v>M02十神映射、M08五行有效旺衰、M09日主旺衰已完成</x:v>
      </x:c>
      <x:c r="U50" s="68" t="str">
        <x:v>相关十神已由M02正确映射，并以M08有效力量为准</x:v>
      </x:c>
      <x:c r="V50" s="68" t="str">
        <x:v>得令、有根、透干、同党或生源形成独立有效证据</x:v>
      </x:c>
      <x:c r="W50" s="68" t="str">
        <x:v>失令、无根、被合绊、被制、改性或作用路径受阻</x:v>
      </x:c>
      <x:c r="X50" s="90" t="str">
        <x:v>不得以十神名称、数量或单一旺弱证据直接完成定性</x:v>
      </x:c>
      <x:c r="Y50" s="68" t="str">
        <x:v>特殊格局、从化候选及明确组合转M11/M14另审</x:v>
      </x:c>
      <x:c r="Z50" s="68" t="str">
        <x:v>不得直接推出吉凶、具体事件、亲属结果或最终喜忌</x:v>
      </x:c>
      <x:c r="AA50" s="84" t="str">
        <x:v>偏印双向功能</x:v>
      </x:c>
      <x:c r="AB50" s="84" t="str">
        <x:v>有效偏印同样可生身但需另审制食功能：当“偏印有效存在”成立时，按本规则记录十神的有效功能；同时保留制化、承载和反向证据。</x:v>
      </x:c>
      <x:c r="AC50" s="82" t="str">
        <x:v>较高</x:v>
      </x:c>
      <x:c r="AD50" s="82" t="str">
        <x:v>现代综合</x:v>
      </x:c>
      <x:c r="AE50" s="68" t="str">
        <x:v>十神必须分开判断存在性、力量、清纯度、功能性与喜忌性；M10只形成结构层结论和候选，不越级替代M11—M18。</x:v>
      </x:c>
      <x:c r="AF50" s="68" t="str">
        <x:v>相关条件真实成立，且增强条件有效时，可按“有效偏印同样可生身但需另审制食功能”记录对应功能。</x:v>
      </x:c>
      <x:c r="AG50" s="90" t="str">
        <x:v>仅见表面十神名称或数量，但“不得以十神名称、数量或单一旺弱证据直接完成定性”所述限制存在时，不得套用本规则。</x:v>
      </x:c>
      <x:c r="AH50" s="68" t="str">
        <x:v>https://zh.wikisource.org/wiki/%E6%B8%8A%E6%B5%B7%E5%AD%90%E5%B9%B3%E5%A4%A7%E5%85%A8 ; https://zh.wikisource.org/wiki/%E6%BB%B4%E5%A4%A9%E9%AB%93%E9%97%A1%E5%BE%AE</x:v>
      </x:c>
      <x:c r="AI50" s="82" t="str">
        <x:v>采用</x:v>
      </x:c>
      <x:c r="AJ50" s="82" t="str">
        <x:v>初审</x:v>
      </x:c>
      <x:c r="AK50" s="87" t="n">
        <x:v>46255</x:v>
      </x:c>
    </x:row>
    <x:row r="51">
      <x:c r="A51" s="72" t="str">
        <x:f>IF(OR(C51="",D51=""),"",B51&amp;"-"&amp;UPPER(C51)&amp;"-"&amp;TEXT(D51,"0000")&amp;"-"&amp;E51)</x:f>
        <x:v>M10-YIN-0045-V1.0</x:v>
      </x:c>
      <x:c r="B51" s="74" t="str">
        <x:v>M10</x:v>
      </x:c>
      <x:c r="C51" s="74" t="str">
        <x:v>YIN</x:v>
      </x:c>
      <x:c r="D51" s="215" t="n">
        <x:v>45</x:v>
      </x:c>
      <x:c r="E51" s="74" t="str">
        <x:v>V1.0</x:v>
      </x:c>
      <x:c r="F51" s="68" t="str">
        <x:v>身弱时印星有力通常形成生身有利候选</x:v>
      </x:c>
      <x:c r="G51" s="82" t="str">
        <x:v>结构层</x:v>
      </x:c>
      <x:c r="H51" s="82" t="str">
        <x:v>正印</x:v>
      </x:c>
      <x:c r="I51" s="82" t="str">
        <x:v>待定</x:v>
      </x:c>
      <x:c r="J51" s="82" t="str">
        <x:v>待定</x:v>
      </x:c>
      <x:c r="K51" s="82" t="str">
        <x:v>待定</x:v>
      </x:c>
      <x:c r="L51" s="82" t="str">
        <x:v>待定</x:v>
      </x:c>
      <x:c r="M51" s="68" t="str">
        <x:v>按M08核查</x:v>
      </x:c>
      <x:c r="N51" s="68" t="str">
        <x:v>按M06/M08核查</x:v>
      </x:c>
      <x:c r="O51" s="82" t="str">
        <x:v>待定</x:v>
      </x:c>
      <x:c r="P51" s="68" t="str">
        <x:v>转M11/M14判断</x:v>
      </x:c>
      <x:c r="Q51" s="68" t="str">
        <x:v>补充生源、缓解泄耗和官杀压力</x:v>
      </x:c>
      <x:c r="R51" s="82" t="str">
        <x:v>条件性喜神</x:v>
      </x:c>
      <x:c r="S51" s="68" t="str">
        <x:v>M09日主弱或中和偏弱且正印有效</x:v>
      </x:c>
      <x:c r="T51" s="68" t="str">
        <x:v>M02十神映射、M08五行有效旺衰、M09日主旺衰已完成</x:v>
      </x:c>
      <x:c r="U51" s="68" t="str">
        <x:v>相关十神已由M02正确映射，并以M08有效力量为准</x:v>
      </x:c>
      <x:c r="V51" s="68" t="str">
        <x:v>得令、有根、透干、同党或生源形成独立有效证据</x:v>
      </x:c>
      <x:c r="W51" s="68" t="str">
        <x:v>失令、无根、被合绊、被制、改性或作用路径受阻</x:v>
      </x:c>
      <x:c r="X51" s="90" t="str">
        <x:v>不得以十神名称、数量或单一旺弱证据直接完成定性</x:v>
      </x:c>
      <x:c r="Y51" s="68" t="str">
        <x:v>特殊格局、从化候选及明确组合转M11/M14另审</x:v>
      </x:c>
      <x:c r="Z51" s="68" t="str">
        <x:v>不得直接推出吉凶、具体事件、亲属结果或最终喜忌</x:v>
      </x:c>
      <x:c r="AA51" s="84" t="str">
        <x:v>身弱正印候选</x:v>
      </x:c>
      <x:c r="AB51" s="84" t="str">
        <x:v>身弱时印星有力通常形成生身有利候选：当“M09日主弱或中和偏弱且正印有效”成立时，按本规则记录十神的有效功能；同时保留制化、承载和反向证据。</x:v>
      </x:c>
      <x:c r="AC51" s="82" t="str">
        <x:v>较高</x:v>
      </x:c>
      <x:c r="AD51" s="82" t="str">
        <x:v>现代综合</x:v>
      </x:c>
      <x:c r="AE51" s="68" t="str">
        <x:v>十神必须分开判断存在性、力量、清纯度、功能性与喜忌性；M10只形成结构层结论和候选，不越级替代M11—M18。</x:v>
      </x:c>
      <x:c r="AF51" s="68" t="str">
        <x:v>相关条件真实成立，且增强条件有效时，可按“身弱时印星有力通常形成生身有利候选”记录对应功能。</x:v>
      </x:c>
      <x:c r="AG51" s="90" t="str">
        <x:v>仅见表面十神名称或数量，但“不得以十神名称、数量或单一旺弱证据直接完成定性”所述限制存在时，不得套用本规则。</x:v>
      </x:c>
      <x:c r="AH51" s="68" t="str">
        <x:v>https://zh.wikisource.org/wiki/%E6%B8%8A%E6%B5%B7%E5%AD%90%E5%B9%B3%E5%A4%A7%E5%85%A8 ; https://zh.wikisource.org/wiki/%E6%BB%B4%E5%A4%A9%E9%AB%93%E9%97%A1%E5%BE%AE</x:v>
      </x:c>
      <x:c r="AI51" s="82" t="str">
        <x:v>采用</x:v>
      </x:c>
      <x:c r="AJ51" s="82" t="str">
        <x:v>初审</x:v>
      </x:c>
      <x:c r="AK51" s="87" t="n">
        <x:v>46255</x:v>
      </x:c>
    </x:row>
    <x:row r="52">
      <x:c r="A52" s="72" t="str">
        <x:f>IF(OR(C52="",D52=""),"",B52&amp;"-"&amp;UPPER(C52)&amp;"-"&amp;TEXT(D52,"0000")&amp;"-"&amp;E52)</x:f>
        <x:v>M10-YIN-0046-V1.0</x:v>
      </x:c>
      <x:c r="B52" s="74" t="str">
        <x:v>M10</x:v>
      </x:c>
      <x:c r="C52" s="74" t="str">
        <x:v>YIN</x:v>
      </x:c>
      <x:c r="D52" s="215" t="n">
        <x:v>46</x:v>
      </x:c>
      <x:c r="E52" s="74" t="str">
        <x:v>V1.0</x:v>
      </x:c>
      <x:c r="F52" s="68" t="str">
        <x:v>偏印制食只有克制路径真实成立才记录</x:v>
      </x:c>
      <x:c r="G52" s="82" t="str">
        <x:v>结构层</x:v>
      </x:c>
      <x:c r="H52" s="82" t="str">
        <x:v>偏印</x:v>
      </x:c>
      <x:c r="I52" s="82" t="str">
        <x:v>待定</x:v>
      </x:c>
      <x:c r="J52" s="82" t="str">
        <x:v>待定</x:v>
      </x:c>
      <x:c r="K52" s="82" t="str">
        <x:v>待定</x:v>
      </x:c>
      <x:c r="L52" s="82" t="str">
        <x:v>待定</x:v>
      </x:c>
      <x:c r="M52" s="68" t="str">
        <x:v>按M08核查</x:v>
      </x:c>
      <x:c r="N52" s="68" t="str">
        <x:v>对食神形成有效制约</x:v>
      </x:c>
      <x:c r="O52" s="82" t="str">
        <x:v>正常发挥</x:v>
      </x:c>
      <x:c r="P52" s="68" t="str">
        <x:v>枭神夺食候选转M11判断</x:v>
      </x:c>
      <x:c r="Q52" s="68" t="str">
        <x:v>需结合M09日主承载判断</x:v>
      </x:c>
      <x:c r="R52" s="82" t="str">
        <x:v>待定</x:v>
      </x:c>
      <x:c r="S52" s="68" t="str">
        <x:v>偏印与食神形成有效克制，且偏印力量足以作用</x:v>
      </x:c>
      <x:c r="T52" s="68" t="str">
        <x:v>M02十神映射、M08五行有效旺衰、M09日主旺衰已完成</x:v>
      </x:c>
      <x:c r="U52" s="68" t="str">
        <x:v>相关十神已由M02正确映射，并以M08有效力量为准</x:v>
      </x:c>
      <x:c r="V52" s="68" t="str">
        <x:v>得令、有根、透干、同党或生源形成独立有效证据</x:v>
      </x:c>
      <x:c r="W52" s="68" t="str">
        <x:v>失令、无根、被合绊、被制、改性或作用路径受阻</x:v>
      </x:c>
      <x:c r="X52" s="90" t="str">
        <x:v>不得以十神名称、数量或单一旺弱证据直接完成定性</x:v>
      </x:c>
      <x:c r="Y52" s="68" t="str">
        <x:v>特殊格局、从化候选及明确组合转M11/M14另审</x:v>
      </x:c>
      <x:c r="Z52" s="68" t="str">
        <x:v>不得直接推出吉凶、具体事件、亲属结果或最终喜忌</x:v>
      </x:c>
      <x:c r="AA52" s="84" t="str">
        <x:v>偏印制食候选</x:v>
      </x:c>
      <x:c r="AB52" s="84" t="str">
        <x:v>偏印制食只有克制路径真实成立才记录：当“偏印与食神形成有效克制，且偏印力量足以作用”成立时，按本规则记录十神的有效功能；同时保留制化、承载和反向证据。</x:v>
      </x:c>
      <x:c r="AC52" s="82" t="str">
        <x:v>较高</x:v>
      </x:c>
      <x:c r="AD52" s="82" t="str">
        <x:v>现代综合</x:v>
      </x:c>
      <x:c r="AE52" s="68" t="str">
        <x:v>十神必须分开判断存在性、力量、清纯度、功能性与喜忌性；M10只形成结构层结论和候选，不越级替代M11—M18。</x:v>
      </x:c>
      <x:c r="AF52" s="68" t="str">
        <x:v>相关条件真实成立，且增强条件有效时，可按“偏印制食只有克制路径真实成立才记录”记录对应功能。</x:v>
      </x:c>
      <x:c r="AG52" s="90" t="str">
        <x:v>仅见表面十神名称或数量，但“不得以十神名称、数量或单一旺弱证据直接完成定性”所述限制存在时，不得套用本规则。</x:v>
      </x:c>
      <x:c r="AH52" s="68" t="str">
        <x:v>https://zh.wikisource.org/wiki/%E6%B8%8A%E6%B5%B7%E5%AD%90%E5%B9%B3%E5%A4%A7%E5%85%A8 ; https://zh.wikisource.org/wiki/%E6%BB%B4%E5%A4%A9%E9%AB%93%E9%97%A1%E5%BE%AE</x:v>
      </x:c>
      <x:c r="AI52" s="82" t="str">
        <x:v>采用</x:v>
      </x:c>
      <x:c r="AJ52" s="82" t="str">
        <x:v>初审</x:v>
      </x:c>
      <x:c r="AK52" s="87" t="n">
        <x:v>46255</x:v>
      </x:c>
    </x:row>
    <x:row r="53">
      <x:c r="A53" s="72" t="str">
        <x:f>IF(OR(C53="",D53=""),"",B53&amp;"-"&amp;UPPER(C53)&amp;"-"&amp;TEXT(D53,"0000")&amp;"-"&amp;E53)</x:f>
        <x:v>M10-YIN-0047-V1.0</x:v>
      </x:c>
      <x:c r="B53" s="74" t="str">
        <x:v>M10</x:v>
      </x:c>
      <x:c r="C53" s="74" t="str">
        <x:v>YIN</x:v>
      </x:c>
      <x:c r="D53" s="215" t="n">
        <x:v>47</x:v>
      </x:c>
      <x:c r="E53" s="74" t="str">
        <x:v>V1.0</x:v>
      </x:c>
      <x:c r="F53" s="68" t="str">
        <x:v>印星可承接官杀形成化杀生身路径</x:v>
      </x:c>
      <x:c r="G53" s="82" t="str">
        <x:v>结构层</x:v>
      </x:c>
      <x:c r="H53" s="82" t="str">
        <x:v>正印</x:v>
      </x:c>
      <x:c r="I53" s="82" t="str">
        <x:v>待定</x:v>
      </x:c>
      <x:c r="J53" s="82" t="str">
        <x:v>待定</x:v>
      </x:c>
      <x:c r="K53" s="82" t="str">
        <x:v>待定</x:v>
      </x:c>
      <x:c r="L53" s="82" t="str">
        <x:v>待定</x:v>
      </x:c>
      <x:c r="M53" s="68" t="str">
        <x:v>官杀为印星生源</x:v>
      </x:c>
      <x:c r="N53" s="68" t="str">
        <x:v>按M06/M08核查</x:v>
      </x:c>
      <x:c r="O53" s="82" t="str">
        <x:v>正常发挥</x:v>
      </x:c>
      <x:c r="P53" s="68" t="str">
        <x:v>官印相生或杀印相生候选转M11</x:v>
      </x:c>
      <x:c r="Q53" s="68" t="str">
        <x:v>需结合M09日主承载判断</x:v>
      </x:c>
      <x:c r="R53" s="82" t="str">
        <x:v>待定</x:v>
      </x:c>
      <x:c r="S53" s="68" t="str">
        <x:v>官杀生印、印再生日主的链路连续有效</x:v>
      </x:c>
      <x:c r="T53" s="68" t="str">
        <x:v>M02十神映射、M08五行有效旺衰、M09日主旺衰已完成</x:v>
      </x:c>
      <x:c r="U53" s="68" t="str">
        <x:v>相关十神已由M02正确映射，并以M08有效力量为准</x:v>
      </x:c>
      <x:c r="V53" s="68" t="str">
        <x:v>得令、有根、透干、同党或生源形成独立有效证据</x:v>
      </x:c>
      <x:c r="W53" s="68" t="str">
        <x:v>失令、无根、被合绊、被制、改性或作用路径受阻</x:v>
      </x:c>
      <x:c r="X53" s="90" t="str">
        <x:v>不得以十神名称、数量或单一旺弱证据直接完成定性</x:v>
      </x:c>
      <x:c r="Y53" s="68" t="str">
        <x:v>特殊格局、从化候选及明确组合转M11/M14另审</x:v>
      </x:c>
      <x:c r="Z53" s="68" t="str">
        <x:v>不得直接推出吉凶、具体事件、亲属结果或最终喜忌</x:v>
      </x:c>
      <x:c r="AA53" s="84" t="str">
        <x:v>印化官杀接口</x:v>
      </x:c>
      <x:c r="AB53" s="84" t="str">
        <x:v>印星可承接官杀形成化杀生身路径：当“官杀生印、印再生日主的链路连续有效”成立时，按本规则记录十神的有效功能；同时保留制化、承载和反向证据。</x:v>
      </x:c>
      <x:c r="AC53" s="82" t="str">
        <x:v>较高</x:v>
      </x:c>
      <x:c r="AD53" s="82" t="str">
        <x:v>现代综合</x:v>
      </x:c>
      <x:c r="AE53" s="68" t="str">
        <x:v>十神必须分开判断存在性、力量、清纯度、功能性与喜忌性；M10只形成结构层结论和候选，不越级替代M11—M18。</x:v>
      </x:c>
      <x:c r="AF53" s="68" t="str">
        <x:v>相关条件真实成立，且增强条件有效时，可按“印星可承接官杀形成化杀生身路径”记录对应功能。</x:v>
      </x:c>
      <x:c r="AG53" s="90" t="str">
        <x:v>仅见表面十神名称或数量，但“不得以十神名称、数量或单一旺弱证据直接完成定性”所述限制存在时，不得套用本规则。</x:v>
      </x:c>
      <x:c r="AH53" s="68" t="str">
        <x:v>https://zh.wikisource.org/wiki/%E6%B8%8A%E6%B5%B7%E5%AD%90%E5%B9%B3%E5%A4%A7%E5%85%A8 ; https://zh.wikisource.org/wiki/%E6%BB%B4%E5%A4%A9%E9%AB%93%E9%97%A1%E5%BE%AE</x:v>
      </x:c>
      <x:c r="AI53" s="82" t="str">
        <x:v>采用</x:v>
      </x:c>
      <x:c r="AJ53" s="82" t="str">
        <x:v>初审</x:v>
      </x:c>
      <x:c r="AK53" s="87" t="n">
        <x:v>46255</x:v>
      </x:c>
    </x:row>
    <x:row r="54">
      <x:c r="A54" s="72" t="str">
        <x:f>IF(OR(C54="",D54=""),"",B54&amp;"-"&amp;UPPER(C54)&amp;"-"&amp;TEXT(D54,"0000")&amp;"-"&amp;E54)</x:f>
        <x:v>M10-YIN-0048-V1.0</x:v>
      </x:c>
      <x:c r="B54" s="74" t="str">
        <x:v>M10</x:v>
      </x:c>
      <x:c r="C54" s="74" t="str">
        <x:v>YIN</x:v>
      </x:c>
      <x:c r="D54" s="215" t="n">
        <x:v>48</x:v>
      </x:c>
      <x:c r="E54" s="74" t="str">
        <x:v>V1.0</x:v>
      </x:c>
      <x:c r="F54" s="68" t="str">
        <x:v>印星受财星强制时生身功能下降</x:v>
      </x:c>
      <x:c r="G54" s="82" t="str">
        <x:v>结构层</x:v>
      </x:c>
      <x:c r="H54" s="82" t="str">
        <x:v>偏印</x:v>
      </x:c>
      <x:c r="I54" s="82" t="str">
        <x:v>待定</x:v>
      </x:c>
      <x:c r="J54" s="82" t="str">
        <x:v>待定</x:v>
      </x:c>
      <x:c r="K54" s="82" t="str">
        <x:v>待定</x:v>
      </x:c>
      <x:c r="L54" s="82" t="str">
        <x:v>待定</x:v>
      </x:c>
      <x:c r="M54" s="68" t="str">
        <x:v>按M08核查</x:v>
      </x:c>
      <x:c r="N54" s="68" t="str">
        <x:v>受财星有效克制</x:v>
      </x:c>
      <x:c r="O54" s="82" t="str">
        <x:v>受限</x:v>
      </x:c>
      <x:c r="P54" s="68" t="str">
        <x:v>转M11/M14判断</x:v>
      </x:c>
      <x:c r="Q54" s="68" t="str">
        <x:v>生身和承接官杀能力下降</x:v>
      </x:c>
      <x:c r="R54" s="82" t="str">
        <x:v>待定</x:v>
      </x:c>
      <x:c r="S54" s="68" t="str">
        <x:v>财星对印星形成实质有效克制</x:v>
      </x:c>
      <x:c r="T54" s="68" t="str">
        <x:v>M02十神映射、M08五行有效旺衰、M09日主旺衰已完成</x:v>
      </x:c>
      <x:c r="U54" s="68" t="str">
        <x:v>相关十神已由M02正确映射，并以M08有效力量为准</x:v>
      </x:c>
      <x:c r="V54" s="68" t="str">
        <x:v>得令、有根、透干、同党或生源形成独立有效证据</x:v>
      </x:c>
      <x:c r="W54" s="68" t="str">
        <x:v>失令、无根、被合绊、被制、改性或作用路径受阻</x:v>
      </x:c>
      <x:c r="X54" s="90" t="str">
        <x:v>不得以十神名称、数量或单一旺弱证据直接完成定性</x:v>
      </x:c>
      <x:c r="Y54" s="68" t="str">
        <x:v>特殊格局、从化候选及明确组合转M11/M14另审</x:v>
      </x:c>
      <x:c r="Z54" s="68" t="str">
        <x:v>不得直接推出吉凶、具体事件、亲属结果或最终喜忌</x:v>
      </x:c>
      <x:c r="AA54" s="84" t="str">
        <x:v>财制印功能受限</x:v>
      </x:c>
      <x:c r="AB54" s="84" t="str">
        <x:v>印星受财星强制时生身功能下降：当“财星对印星形成实质有效克制”成立时，按本规则记录十神的有效功能；同时保留制化、承载和反向证据。</x:v>
      </x:c>
      <x:c r="AC54" s="82" t="str">
        <x:v>较高</x:v>
      </x:c>
      <x:c r="AD54" s="82" t="str">
        <x:v>现代综合</x:v>
      </x:c>
      <x:c r="AE54" s="68" t="str">
        <x:v>十神必须分开判断存在性、力量、清纯度、功能性与喜忌性；M10只形成结构层结论和候选，不越级替代M11—M18。</x:v>
      </x:c>
      <x:c r="AF54" s="68" t="str">
        <x:v>相关条件真实成立，且增强条件有效时，可按“印星受财星强制时生身功能下降”记录对应功能。</x:v>
      </x:c>
      <x:c r="AG54" s="90" t="str">
        <x:v>仅见表面十神名称或数量，但“不得以十神名称、数量或单一旺弱证据直接完成定性”所述限制存在时，不得套用本规则。</x:v>
      </x:c>
      <x:c r="AH54" s="68" t="str">
        <x:v>https://zh.wikisource.org/wiki/%E6%B8%8A%E6%B5%B7%E5%AD%90%E5%B9%B3%E5%A4%A7%E5%85%A8 ; https://zh.wikisource.org/wiki/%E6%BB%B4%E5%A4%A9%E9%AB%93%E9%97%A1%E5%BE%AE</x:v>
      </x:c>
      <x:c r="AI54" s="82" t="str">
        <x:v>采用</x:v>
      </x:c>
      <x:c r="AJ54" s="82" t="str">
        <x:v>初审</x:v>
      </x:c>
      <x:c r="AK54" s="87" t="n">
        <x:v>46255</x:v>
      </x:c>
    </x:row>
    <x:row r="55">
      <x:c r="A55" s="72" t="str">
        <x:f>IF(OR(C55="",D55=""),"",B55&amp;"-"&amp;UPPER(C55)&amp;"-"&amp;TEXT(D55,"0000")&amp;"-"&amp;E55)</x:f>
        <x:v>M10-YIN-0049-V1.0</x:v>
      </x:c>
      <x:c r="B55" s="74" t="str">
        <x:v>M10</x:v>
      </x:c>
      <x:c r="C55" s="74" t="str">
        <x:v>YIN</x:v>
      </x:c>
      <x:c r="D55" s="215" t="n">
        <x:v>49</x:v>
      </x:c>
      <x:c r="E55" s="74" t="str">
        <x:v>V1.0</x:v>
      </x:c>
      <x:c r="F55" s="68" t="str">
        <x:v>印多但无根无源不等于印星旺</x:v>
      </x:c>
      <x:c r="G55" s="82" t="str">
        <x:v>结构层</x:v>
      </x:c>
      <x:c r="H55" s="82" t="str">
        <x:v>正印</x:v>
      </x:c>
      <x:c r="I55" s="82" t="str">
        <x:v>多处出现</x:v>
      </x:c>
      <x:c r="J55" s="82" t="str">
        <x:v>待定</x:v>
      </x:c>
      <x:c r="K55" s="82" t="str">
        <x:v>中和偏弱</x:v>
      </x:c>
      <x:c r="L55" s="82" t="str">
        <x:v>待定</x:v>
      </x:c>
      <x:c r="M55" s="68" t="str">
        <x:v>按M08核查</x:v>
      </x:c>
      <x:c r="N55" s="68" t="str">
        <x:v>按M06/M08核查</x:v>
      </x:c>
      <x:c r="O55" s="82" t="str">
        <x:v>待定</x:v>
      </x:c>
      <x:c r="P55" s="68" t="str">
        <x:v>转M11/M14判断</x:v>
      </x:c>
      <x:c r="Q55" s="68" t="str">
        <x:v>需结合M09日主承载判断</x:v>
      </x:c>
      <x:c r="R55" s="82" t="str">
        <x:v>待定</x:v>
      </x:c>
      <x:c r="S55" s="68" t="str">
        <x:v>正印多处出现但主要为浮干或弱藏、缺乏有效根源</x:v>
      </x:c>
      <x:c r="T55" s="68" t="str">
        <x:v>M02十神映射、M08五行有效旺衰、M09日主旺衰已完成</x:v>
      </x:c>
      <x:c r="U55" s="68" t="str">
        <x:v>相关十神已由M02正确映射，并以M08有效力量为准</x:v>
      </x:c>
      <x:c r="V55" s="68" t="str">
        <x:v>得令、有根、透干、同党或生源形成独立有效证据</x:v>
      </x:c>
      <x:c r="W55" s="68" t="str">
        <x:v>失令、无根、被合绊、被制、改性或作用路径受阻</x:v>
      </x:c>
      <x:c r="X55" s="90" t="str">
        <x:v>不得以十神名称、数量或单一旺弱证据直接完成定性</x:v>
      </x:c>
      <x:c r="Y55" s="68" t="str">
        <x:v>特殊格局、从化候选及明确组合转M11/M14另审</x:v>
      </x:c>
      <x:c r="Z55" s="68" t="str">
        <x:v>不得用印星数量直接推出身旺</x:v>
      </x:c>
      <x:c r="AA55" s="84" t="str">
        <x:v>印多不等于旺</x:v>
      </x:c>
      <x:c r="AB55" s="84" t="str">
        <x:v>印多但无根无源不等于印星旺：当“正印多处出现但主要为浮干或弱藏、缺乏有效根源”成立时，按本规则记录十神的有效功能；同时保留制化、承载和反向证据。</x:v>
      </x:c>
      <x:c r="AC55" s="82" t="str">
        <x:v>较高</x:v>
      </x:c>
      <x:c r="AD55" s="82" t="str">
        <x:v>现代综合</x:v>
      </x:c>
      <x:c r="AE55" s="68" t="str">
        <x:v>十神必须分开判断存在性、力量、清纯度、功能性与喜忌性；M10只形成结构层结论和候选，不越级替代M11—M18。</x:v>
      </x:c>
      <x:c r="AF55" s="68" t="str">
        <x:v>相关条件真实成立，且增强条件有效时，可按“印多但无根无源不等于印星旺”记录对应功能。</x:v>
      </x:c>
      <x:c r="AG55" s="90" t="str">
        <x:v>仅见表面十神名称或数量，但“不得以十神名称、数量或单一旺弱证据直接完成定性”所述限制存在时，不得套用本规则。</x:v>
      </x:c>
      <x:c r="AH55" s="68" t="str">
        <x:v>https://zh.wikisource.org/wiki/%E6%B8%8A%E6%B5%B7%E5%AD%90%E5%B9%B3%E5%A4%A7%E5%85%A8 ; https://zh.wikisource.org/wiki/%E6%BB%B4%E5%A4%A9%E9%AB%93%E9%97%A1%E5%BE%AE</x:v>
      </x:c>
      <x:c r="AI55" s="82" t="str">
        <x:v>采用</x:v>
      </x:c>
      <x:c r="AJ55" s="82" t="str">
        <x:v>初审</x:v>
      </x:c>
      <x:c r="AK55" s="87" t="n">
        <x:v>46255</x:v>
      </x:c>
    </x:row>
    <x:row r="56">
      <x:c r="A56" s="72" t="str">
        <x:f>IF(OR(C56="",D56=""),"",B56&amp;"-"&amp;UPPER(C56)&amp;"-"&amp;TEXT(D56,"0000")&amp;"-"&amp;E56)</x:f>
        <x:v>M10-YIN-0050-V1.0</x:v>
      </x:c>
      <x:c r="B56" s="74" t="str">
        <x:v>M10</x:v>
      </x:c>
      <x:c r="C56" s="74" t="str">
        <x:v>YIN</x:v>
      </x:c>
      <x:c r="D56" s="215" t="n">
        <x:v>50</x:v>
      </x:c>
      <x:c r="E56" s="74" t="str">
        <x:v>V1.0</x:v>
      </x:c>
      <x:c r="F56" s="68" t="str">
        <x:v>印星过旺可能压制食伤并造成输出不足</x:v>
      </x:c>
      <x:c r="G56" s="82" t="str">
        <x:v>结构层</x:v>
      </x:c>
      <x:c r="H56" s="82" t="str">
        <x:v>偏印</x:v>
      </x:c>
      <x:c r="I56" s="82" t="str">
        <x:v>待定</x:v>
      </x:c>
      <x:c r="J56" s="82" t="str">
        <x:v>待定</x:v>
      </x:c>
      <x:c r="K56" s="82" t="str">
        <x:v>待定</x:v>
      </x:c>
      <x:c r="L56" s="82" t="str">
        <x:v>待定</x:v>
      </x:c>
      <x:c r="M56" s="68" t="str">
        <x:v>按M08核查</x:v>
      </x:c>
      <x:c r="N56" s="68" t="str">
        <x:v>按M06/M08核查</x:v>
      </x:c>
      <x:c r="O56" s="82" t="str">
        <x:v>过度</x:v>
      </x:c>
      <x:c r="P56" s="68" t="str">
        <x:v>转M11/M14判断</x:v>
      </x:c>
      <x:c r="Q56" s="68" t="str">
        <x:v>生身过度并压制输出通道</x:v>
      </x:c>
      <x:c r="R56" s="82" t="str">
        <x:v>条件性忌神</x:v>
      </x:c>
      <x:c r="S56" s="68" t="str">
        <x:v>偏印旺或极旺，食伤偏弱且受其实际克制</x:v>
      </x:c>
      <x:c r="T56" s="68" t="str">
        <x:v>M02十神映射、M08五行有效旺衰、M09日主旺衰已完成</x:v>
      </x:c>
      <x:c r="U56" s="68" t="str">
        <x:v>相关十神已由M02正确映射，并以M08有效力量为准</x:v>
      </x:c>
      <x:c r="V56" s="68" t="str">
        <x:v>得令、有根、透干、同党或生源形成独立有效证据</x:v>
      </x:c>
      <x:c r="W56" s="68" t="str">
        <x:v>失令、无根、被合绊、被制、改性或作用路径受阻</x:v>
      </x:c>
      <x:c r="X56" s="90" t="str">
        <x:v>不得以十神名称、数量或单一旺弱证据直接完成定性</x:v>
      </x:c>
      <x:c r="Y56" s="68" t="str">
        <x:v>特殊格局、从化候选及明确组合转M11/M14另审</x:v>
      </x:c>
      <x:c r="Z56" s="68" t="str">
        <x:v>不得直接推出吉凶、具体事件、亲属结果或最终喜忌</x:v>
      </x:c>
      <x:c r="AA56" s="84" t="str">
        <x:v>印旺制食过度</x:v>
      </x:c>
      <x:c r="AB56" s="84" t="str">
        <x:v>印星过旺可能压制食伤并造成输出不足：当“偏印旺或极旺，食伤偏弱且受其实际克制”成立时，按本规则记录十神的有效功能；同时保留制化、承载和反向证据。</x:v>
      </x:c>
      <x:c r="AC56" s="82" t="str">
        <x:v>较高</x:v>
      </x:c>
      <x:c r="AD56" s="82" t="str">
        <x:v>现代综合</x:v>
      </x:c>
      <x:c r="AE56" s="68" t="str">
        <x:v>十神必须分开判断存在性、力量、清纯度、功能性与喜忌性；M10只形成结构层结论和候选，不越级替代M11—M18。</x:v>
      </x:c>
      <x:c r="AF56" s="68" t="str">
        <x:v>相关条件真实成立，且增强条件有效时，可按“印星过旺可能压制食伤并造成输出不足”记录对应功能。</x:v>
      </x:c>
      <x:c r="AG56" s="90" t="str">
        <x:v>仅见表面十神名称或数量，但“不得以十神名称、数量或单一旺弱证据直接完成定性”所述限制存在时，不得套用本规则。</x:v>
      </x:c>
      <x:c r="AH56" s="68" t="str">
        <x:v>https://zh.wikisource.org/wiki/%E6%B8%8A%E6%B5%B7%E5%AD%90%E5%B9%B3%E5%A4%A7%E5%85%A8 ; https://zh.wikisource.org/wiki/%E6%BB%B4%E5%A4%A9%E9%AB%93%E9%97%A1%E5%BE%AE</x:v>
      </x:c>
      <x:c r="AI56" s="82" t="str">
        <x:v>采用</x:v>
      </x:c>
      <x:c r="AJ56" s="82" t="str">
        <x:v>初审</x:v>
      </x:c>
      <x:c r="AK56" s="87" t="n">
        <x:v>46255</x:v>
      </x:c>
    </x:row>
    <x:row r="57">
      <x:c r="A57" s="72" t="str">
        <x:f>IF(OR(C57="",D57=""),"",B57&amp;"-"&amp;UPPER(C57)&amp;"-"&amp;TEXT(D57,"0000")&amp;"-"&amp;E57)</x:f>
        <x:v>M10-YIN-0051-V1.0</x:v>
      </x:c>
      <x:c r="B57" s="74" t="str">
        <x:v>M10</x:v>
      </x:c>
      <x:c r="C57" s="74" t="str">
        <x:v>YIN</x:v>
      </x:c>
      <x:c r="D57" s="215" t="n">
        <x:v>51</x:v>
      </x:c>
      <x:c r="E57" s="74" t="str">
        <x:v>V1.0</x:v>
      </x:c>
      <x:c r="F57" s="68" t="str">
        <x:v>印星与比劫连续生扶时扶身效果增强</x:v>
      </x:c>
      <x:c r="G57" s="82" t="str">
        <x:v>结构层</x:v>
      </x:c>
      <x:c r="H57" s="82" t="str">
        <x:v>正印</x:v>
      </x:c>
      <x:c r="I57" s="82" t="str">
        <x:v>待定</x:v>
      </x:c>
      <x:c r="J57" s="82" t="str">
        <x:v>待定</x:v>
      </x:c>
      <x:c r="K57" s="82" t="str">
        <x:v>待定</x:v>
      </x:c>
      <x:c r="L57" s="82" t="str">
        <x:v>待定</x:v>
      </x:c>
      <x:c r="M57" s="68" t="str">
        <x:v>印比连续扶身</x:v>
      </x:c>
      <x:c r="N57" s="68" t="str">
        <x:v>按M06/M08核查</x:v>
      </x:c>
      <x:c r="O57" s="82" t="str">
        <x:v>待定</x:v>
      </x:c>
      <x:c r="P57" s="68" t="str">
        <x:v>转M11/M14判断</x:v>
      </x:c>
      <x:c r="Q57" s="68" t="str">
        <x:v>提高扶身侧净优势</x:v>
      </x:c>
      <x:c r="R57" s="82" t="str">
        <x:v>待定</x:v>
      </x:c>
      <x:c r="S57" s="68" t="str">
        <x:v>有效印星生日主且比劫继续提供同类承载</x:v>
      </x:c>
      <x:c r="T57" s="68" t="str">
        <x:v>M02十神映射、M08五行有效旺衰、M09日主旺衰已完成</x:v>
      </x:c>
      <x:c r="U57" s="68" t="str">
        <x:v>相关十神已由M02正确映射，并以M08有效力量为准</x:v>
      </x:c>
      <x:c r="V57" s="68" t="str">
        <x:v>得令、有根、透干、同党或生源形成独立有效证据</x:v>
      </x:c>
      <x:c r="W57" s="68" t="str">
        <x:v>失令、无根、被合绊、被制、改性或作用路径受阻</x:v>
      </x:c>
      <x:c r="X57" s="90" t="str">
        <x:v>不得以十神名称、数量或单一旺弱证据直接完成定性</x:v>
      </x:c>
      <x:c r="Y57" s="68" t="str">
        <x:v>特殊格局、从化候选及明确组合转M11/M14另审</x:v>
      </x:c>
      <x:c r="Z57" s="68" t="str">
        <x:v>不得直接推出吉凶、具体事件、亲属结果或最终喜忌</x:v>
      </x:c>
      <x:c r="AA57" s="84" t="str">
        <x:v>印比协同扶身</x:v>
      </x:c>
      <x:c r="AB57" s="84" t="str">
        <x:v>印星与比劫连续生扶时扶身效果增强：当“有效印星生日主且比劫继续提供同类承载”成立时，按本规则记录十神的有效功能；同时保留制化、承载和反向证据。</x:v>
      </x:c>
      <x:c r="AC57" s="82" t="str">
        <x:v>较高</x:v>
      </x:c>
      <x:c r="AD57" s="82" t="str">
        <x:v>现代综合</x:v>
      </x:c>
      <x:c r="AE57" s="68" t="str">
        <x:v>十神必须分开判断存在性、力量、清纯度、功能性与喜忌性；M10只形成结构层结论和候选，不越级替代M11—M18。</x:v>
      </x:c>
      <x:c r="AF57" s="68" t="str">
        <x:v>相关条件真实成立，且增强条件有效时，可按“印星与比劫连续生扶时扶身效果增强”记录对应功能。</x:v>
      </x:c>
      <x:c r="AG57" s="90" t="str">
        <x:v>仅见表面十神名称或数量，但“不得以十神名称、数量或单一旺弱证据直接完成定性”所述限制存在时，不得套用本规则。</x:v>
      </x:c>
      <x:c r="AH57" s="68" t="str">
        <x:v>https://zh.wikisource.org/wiki/%E6%B8%8A%E6%B5%B7%E5%AD%90%E5%B9%B3%E5%A4%A7%E5%85%A8 ; https://zh.wikisource.org/wiki/%E6%BB%B4%E5%A4%A9%E9%AB%93%E9%97%A1%E5%BE%AE</x:v>
      </x:c>
      <x:c r="AI57" s="82" t="str">
        <x:v>采用</x:v>
      </x:c>
      <x:c r="AJ57" s="82" t="str">
        <x:v>初审</x:v>
      </x:c>
      <x:c r="AK57" s="87" t="n">
        <x:v>46255</x:v>
      </x:c>
    </x:row>
    <x:row r="58">
      <x:c r="A58" s="72" t="str">
        <x:f>IF(OR(C58="",D58=""),"",B58&amp;"-"&amp;UPPER(C58)&amp;"-"&amp;TEXT(D58,"0000")&amp;"-"&amp;E58)</x:f>
        <x:v>M10-YIN-0052-V1.0</x:v>
      </x:c>
      <x:c r="B58" s="74" t="str">
        <x:v>M10</x:v>
      </x:c>
      <x:c r="C58" s="74" t="str">
        <x:v>YIN</x:v>
      </x:c>
      <x:c r="D58" s="215" t="n">
        <x:v>52</x:v>
      </x:c>
      <x:c r="E58" s="74" t="str">
        <x:v>V1.0</x:v>
      </x:c>
      <x:c r="F58" s="68" t="str">
        <x:v>偏印是否为忌须同时判断食神价值与日主需要</x:v>
      </x:c>
      <x:c r="G58" s="82" t="str">
        <x:v>结构层</x:v>
      </x:c>
      <x:c r="H58" s="82" t="str">
        <x:v>偏印</x:v>
      </x:c>
      <x:c r="I58" s="82" t="str">
        <x:v>待定</x:v>
      </x:c>
      <x:c r="J58" s="82" t="str">
        <x:v>待定</x:v>
      </x:c>
      <x:c r="K58" s="82" t="str">
        <x:v>待定</x:v>
      </x:c>
      <x:c r="L58" s="82" t="str">
        <x:v>待定</x:v>
      </x:c>
      <x:c r="M58" s="68" t="str">
        <x:v>按M08核查</x:v>
      </x:c>
      <x:c r="N58" s="68" t="str">
        <x:v>按M06/M08核查</x:v>
      </x:c>
      <x:c r="O58" s="82" t="str">
        <x:v>待定</x:v>
      </x:c>
      <x:c r="P58" s="68" t="str">
        <x:v>转M11/M14判断</x:v>
      </x:c>
      <x:c r="Q58" s="68" t="str">
        <x:v>需结合M09日主承载判断</x:v>
      </x:c>
      <x:c r="R58" s="82" t="str">
        <x:v>待定</x:v>
      </x:c>
      <x:c r="S58" s="68" t="str">
        <x:v>偏印与食神同现，需要判断日主是否需要印、食神是否承担关键功能</x:v>
      </x:c>
      <x:c r="T58" s="68" t="str">
        <x:v>M02十神映射、M08五行有效旺衰、M09日主旺衰已完成</x:v>
      </x:c>
      <x:c r="U58" s="68" t="str">
        <x:v>相关十神已由M02正确映射，并以M08有效力量为准</x:v>
      </x:c>
      <x:c r="V58" s="68" t="str">
        <x:v>得令、有根、透干、同党或生源形成独立有效证据</x:v>
      </x:c>
      <x:c r="W58" s="68" t="str">
        <x:v>失令、无根、被合绊、被制、改性或作用路径受阻</x:v>
      </x:c>
      <x:c r="X58" s="90" t="str">
        <x:v>不得以十神名称、数量或单一旺弱证据直接完成定性</x:v>
      </x:c>
      <x:c r="Y58" s="68" t="str">
        <x:v>特殊格局、从化候选及明确组合转M11/M14另审</x:v>
      </x:c>
      <x:c r="Z58" s="68" t="str">
        <x:v>不得见偏印就直接定枭神夺食或凶</x:v>
      </x:c>
      <x:c r="AA58" s="84" t="str">
        <x:v>偏印价值条件化</x:v>
      </x:c>
      <x:c r="AB58" s="84" t="str">
        <x:v>偏印是否为忌须同时判断食神价值与日主需要：当“偏印与食神同现，需要判断日主是否需要印、食神是否承担关键功能”成立时，按本规则记录十神的有效功能；同时保留制化、承载和反向证据。</x:v>
      </x:c>
      <x:c r="AC58" s="82" t="str">
        <x:v>较高</x:v>
      </x:c>
      <x:c r="AD58" s="82" t="str">
        <x:v>现代综合</x:v>
      </x:c>
      <x:c r="AE58" s="68" t="str">
        <x:v>十神必须分开判断存在性、力量、清纯度、功能性与喜忌性；M10只形成结构层结论和候选，不越级替代M11—M18。</x:v>
      </x:c>
      <x:c r="AF58" s="68" t="str">
        <x:v>相关条件真实成立，且增强条件有效时，可按“偏印是否为忌须同时判断食神价值与日主需要”记录对应功能。</x:v>
      </x:c>
      <x:c r="AG58" s="90" t="str">
        <x:v>仅见表面十神名称或数量，但“不得以十神名称、数量或单一旺弱证据直接完成定性”所述限制存在时，不得套用本规则。</x:v>
      </x:c>
      <x:c r="AH58" s="68" t="str">
        <x:v>https://zh.wikisource.org/wiki/%E6%B8%8A%E6%B5%B7%E5%AD%90%E5%B9%B3%E5%A4%A7%E5%85%A8 ; https://zh.wikisource.org/wiki/%E6%BB%B4%E5%A4%A9%E9%AB%93%E9%97%A1%E5%BE%AE</x:v>
      </x:c>
      <x:c r="AI58" s="82" t="str">
        <x:v>采用</x:v>
      </x:c>
      <x:c r="AJ58" s="82" t="str">
        <x:v>初审</x:v>
      </x:c>
      <x:c r="AK58" s="87" t="n">
        <x:v>46255</x:v>
      </x:c>
    </x:row>
    <x:row r="59">
      <x:c r="A59" s="72" t="str">
        <x:f>IF(OR(C59="",D59=""),"",B59&amp;"-"&amp;UPPER(C59)&amp;"-"&amp;TEXT(D59,"0000")&amp;"-"&amp;E59)</x:f>
        <x:v>M10-SHISHANG-0053-V1.0</x:v>
      </x:c>
      <x:c r="B59" s="74" t="str">
        <x:v>M10</x:v>
      </x:c>
      <x:c r="C59" s="74" t="str">
        <x:v>SHISHANG</x:v>
      </x:c>
      <x:c r="D59" s="215" t="n">
        <x:v>53</x:v>
      </x:c>
      <x:c r="E59" s="74" t="str">
        <x:v>V1.0</x:v>
      </x:c>
      <x:c r="F59" s="68" t="str">
        <x:v>有效食神首先承担泄身输出功能</x:v>
      </x:c>
      <x:c r="G59" s="82" t="str">
        <x:v>结构层</x:v>
      </x:c>
      <x:c r="H59" s="82" t="str">
        <x:v>食神</x:v>
      </x:c>
      <x:c r="I59" s="82" t="str">
        <x:v>待定</x:v>
      </x:c>
      <x:c r="J59" s="82" t="str">
        <x:v>待定</x:v>
      </x:c>
      <x:c r="K59" s="82" t="str">
        <x:v>待定</x:v>
      </x:c>
      <x:c r="L59" s="82" t="str">
        <x:v>待定</x:v>
      </x:c>
      <x:c r="M59" s="68" t="str">
        <x:v>按M08核查</x:v>
      </x:c>
      <x:c r="N59" s="68" t="str">
        <x:v>按M06/M08核查</x:v>
      </x:c>
      <x:c r="O59" s="82" t="str">
        <x:v>正常发挥</x:v>
      </x:c>
      <x:c r="P59" s="68" t="str">
        <x:v>转M11/M14判断</x:v>
      </x:c>
      <x:c r="Q59" s="68" t="str">
        <x:v>泄日主之气并形成输出通道</x:v>
      </x:c>
      <x:c r="R59" s="82" t="str">
        <x:v>待定</x:v>
      </x:c>
      <x:c r="S59" s="68" t="str">
        <x:v>食神有效存在且日主有力量可泄</x:v>
      </x:c>
      <x:c r="T59" s="68" t="str">
        <x:v>M02十神映射、M08五行有效旺衰、M09日主旺衰已完成</x:v>
      </x:c>
      <x:c r="U59" s="68" t="str">
        <x:v>相关十神已由M02正确映射，并以M08有效力量为准</x:v>
      </x:c>
      <x:c r="V59" s="68" t="str">
        <x:v>得令、有根、透干、同党或生源形成独立有效证据</x:v>
      </x:c>
      <x:c r="W59" s="68" t="str">
        <x:v>失令、无根、被合绊、被制、改性或作用路径受阻</x:v>
      </x:c>
      <x:c r="X59" s="90" t="str">
        <x:v>不得以十神名称、数量或单一旺弱证据直接完成定性</x:v>
      </x:c>
      <x:c r="Y59" s="68" t="str">
        <x:v>特殊格局、从化候选及明确组合转M11/M14另审</x:v>
      </x:c>
      <x:c r="Z59" s="68" t="str">
        <x:v>不得直接推出吉凶、具体事件、亲属结果或最终喜忌</x:v>
      </x:c>
      <x:c r="AA59" s="84" t="str">
        <x:v>食神泄身</x:v>
      </x:c>
      <x:c r="AB59" s="84" t="str">
        <x:v>有效食神首先承担泄身输出功能：当“食神有效存在且日主有力量可泄”成立时，按本规则记录十神的有效功能；同时保留制化、承载和反向证据。</x:v>
      </x:c>
      <x:c r="AC59" s="82" t="str">
        <x:v>较高</x:v>
      </x:c>
      <x:c r="AD59" s="82" t="str">
        <x:v>现代综合</x:v>
      </x:c>
      <x:c r="AE59" s="68" t="str">
        <x:v>十神必须分开判断存在性、力量、清纯度、功能性与喜忌性；M10只形成结构层结论和候选，不越级替代M11—M18。</x:v>
      </x:c>
      <x:c r="AF59" s="68" t="str">
        <x:v>相关条件真实成立，且增强条件有效时，可按“有效食神首先承担泄身输出功能”记录对应功能。</x:v>
      </x:c>
      <x:c r="AG59" s="90" t="str">
        <x:v>仅见表面十神名称或数量，但“不得以十神名称、数量或单一旺弱证据直接完成定性”所述限制存在时，不得套用本规则。</x:v>
      </x:c>
      <x:c r="AH59" s="68" t="str">
        <x:v>https://zh.wikisource.org/wiki/%E6%B8%8A%E6%B5%B7%E5%AD%90%E5%B9%B3%E5%A4%A7%E5%85%A8 ; https://zh.wikisource.org/wiki/%E6%BB%B4%E5%A4%A9%E9%AB%93%E9%97%A1%E5%BE%AE</x:v>
      </x:c>
      <x:c r="AI59" s="82" t="str">
        <x:v>采用</x:v>
      </x:c>
      <x:c r="AJ59" s="82" t="str">
        <x:v>初审</x:v>
      </x:c>
      <x:c r="AK59" s="87" t="n">
        <x:v>46255</x:v>
      </x:c>
    </x:row>
    <x:row r="60">
      <x:c r="A60" s="72" t="str">
        <x:f>IF(OR(C60="",D60=""),"",B60&amp;"-"&amp;UPPER(C60)&amp;"-"&amp;TEXT(D60,"0000")&amp;"-"&amp;E60)</x:f>
        <x:v>M10-SHISHANG-0054-V1.0</x:v>
      </x:c>
      <x:c r="B60" s="74" t="str">
        <x:v>M10</x:v>
      </x:c>
      <x:c r="C60" s="74" t="str">
        <x:v>SHISHANG</x:v>
      </x:c>
      <x:c r="D60" s="215" t="n">
        <x:v>54</x:v>
      </x:c>
      <x:c r="E60" s="74" t="str">
        <x:v>V1.0</x:v>
      </x:c>
      <x:c r="F60" s="68" t="str">
        <x:v>有效伤官同样承担泄身且具有克官接口</x:v>
      </x:c>
      <x:c r="G60" s="82" t="str">
        <x:v>结构层</x:v>
      </x:c>
      <x:c r="H60" s="82" t="str">
        <x:v>伤官</x:v>
      </x:c>
      <x:c r="I60" s="82" t="str">
        <x:v>待定</x:v>
      </x:c>
      <x:c r="J60" s="82" t="str">
        <x:v>待定</x:v>
      </x:c>
      <x:c r="K60" s="82" t="str">
        <x:v>待定</x:v>
      </x:c>
      <x:c r="L60" s="82" t="str">
        <x:v>待定</x:v>
      </x:c>
      <x:c r="M60" s="68" t="str">
        <x:v>按M08核查</x:v>
      </x:c>
      <x:c r="N60" s="68" t="str">
        <x:v>按M06/M08核查</x:v>
      </x:c>
      <x:c r="O60" s="82" t="str">
        <x:v>正常发挥</x:v>
      </x:c>
      <x:c r="P60" s="68" t="str">
        <x:v>转M11/M14判断</x:v>
      </x:c>
      <x:c r="Q60" s="68" t="str">
        <x:v>泄身，并可能对正官形成克制</x:v>
      </x:c>
      <x:c r="R60" s="82" t="str">
        <x:v>待定</x:v>
      </x:c>
      <x:c r="S60" s="68" t="str">
        <x:v>伤官有效存在</x:v>
      </x:c>
      <x:c r="T60" s="68" t="str">
        <x:v>M02十神映射、M08五行有效旺衰、M09日主旺衰已完成</x:v>
      </x:c>
      <x:c r="U60" s="68" t="str">
        <x:v>相关十神已由M02正确映射，并以M08有效力量为准</x:v>
      </x:c>
      <x:c r="V60" s="68" t="str">
        <x:v>得令、有根、透干、同党或生源形成独立有效证据</x:v>
      </x:c>
      <x:c r="W60" s="68" t="str">
        <x:v>失令、无根、被合绊、被制、改性或作用路径受阻</x:v>
      </x:c>
      <x:c r="X60" s="90" t="str">
        <x:v>不得以十神名称、数量或单一旺弱证据直接完成定性</x:v>
      </x:c>
      <x:c r="Y60" s="68" t="str">
        <x:v>特殊格局、从化候选及明确组合转M11/M14另审</x:v>
      </x:c>
      <x:c r="Z60" s="68" t="str">
        <x:v>不得直接推出吉凶、具体事件、亲属结果或最终喜忌</x:v>
      </x:c>
      <x:c r="AA60" s="84" t="str">
        <x:v>伤官双向功能</x:v>
      </x:c>
      <x:c r="AB60" s="84" t="str">
        <x:v>有效伤官同样承担泄身且具有克官接口：当“伤官有效存在”成立时，按本规则记录十神的有效功能；同时保留制化、承载和反向证据。</x:v>
      </x:c>
      <x:c r="AC60" s="82" t="str">
        <x:v>较高</x:v>
      </x:c>
      <x:c r="AD60" s="82" t="str">
        <x:v>现代综合</x:v>
      </x:c>
      <x:c r="AE60" s="68" t="str">
        <x:v>十神必须分开判断存在性、力量、清纯度、功能性与喜忌性；M10只形成结构层结论和候选，不越级替代M11—M18。</x:v>
      </x:c>
      <x:c r="AF60" s="68" t="str">
        <x:v>相关条件真实成立，且增强条件有效时，可按“有效伤官同样承担泄身且具有克官接口”记录对应功能。</x:v>
      </x:c>
      <x:c r="AG60" s="90" t="str">
        <x:v>仅见表面十神名称或数量，但“不得以十神名称、数量或单一旺弱证据直接完成定性”所述限制存在时，不得套用本规则。</x:v>
      </x:c>
      <x:c r="AH60" s="68" t="str">
        <x:v>https://zh.wikisource.org/wiki/%E6%B8%8A%E6%B5%B7%E5%AD%90%E5%B9%B3%E5%A4%A7%E5%85%A8 ; https://zh.wikisource.org/wiki/%E6%BB%B4%E5%A4%A9%E9%AB%93%E9%97%A1%E5%BE%AE</x:v>
      </x:c>
      <x:c r="AI60" s="82" t="str">
        <x:v>采用</x:v>
      </x:c>
      <x:c r="AJ60" s="82" t="str">
        <x:v>初审</x:v>
      </x:c>
      <x:c r="AK60" s="87" t="n">
        <x:v>46255</x:v>
      </x:c>
    </x:row>
    <x:row r="61">
      <x:c r="A61" s="72" t="str">
        <x:f>IF(OR(C61="",D61=""),"",B61&amp;"-"&amp;UPPER(C61)&amp;"-"&amp;TEXT(D61,"0000")&amp;"-"&amp;E61)</x:f>
        <x:v>M10-SHISHANG-0055-V1.0</x:v>
      </x:c>
      <x:c r="B61" s="74" t="str">
        <x:v>M10</x:v>
      </x:c>
      <x:c r="C61" s="74" t="str">
        <x:v>SHISHANG</x:v>
      </x:c>
      <x:c r="D61" s="215" t="n">
        <x:v>55</x:v>
      </x:c>
      <x:c r="E61" s="74" t="str">
        <x:v>V1.0</x:v>
      </x:c>
      <x:c r="F61" s="68" t="str">
        <x:v>食神可生财形成连续输出链</x:v>
      </x:c>
      <x:c r="G61" s="82" t="str">
        <x:v>结构层</x:v>
      </x:c>
      <x:c r="H61" s="82" t="str">
        <x:v>食神</x:v>
      </x:c>
      <x:c r="I61" s="82" t="str">
        <x:v>待定</x:v>
      </x:c>
      <x:c r="J61" s="82" t="str">
        <x:v>待定</x:v>
      </x:c>
      <x:c r="K61" s="82" t="str">
        <x:v>待定</x:v>
      </x:c>
      <x:c r="L61" s="82" t="str">
        <x:v>待定</x:v>
      </x:c>
      <x:c r="M61" s="68" t="str">
        <x:v>日主为食神源头，财星为其输出终点</x:v>
      </x:c>
      <x:c r="N61" s="68" t="str">
        <x:v>按M06/M08核查</x:v>
      </x:c>
      <x:c r="O61" s="82" t="str">
        <x:v>待定</x:v>
      </x:c>
      <x:c r="P61" s="68" t="str">
        <x:v>食神生财候选转M11</x:v>
      </x:c>
      <x:c r="Q61" s="68" t="str">
        <x:v>需结合M09日主承载判断</x:v>
      </x:c>
      <x:c r="R61" s="82" t="str">
        <x:v>待定</x:v>
      </x:c>
      <x:c r="S61" s="68" t="str">
        <x:v>食神有效且财星能够承接其生扶</x:v>
      </x:c>
      <x:c r="T61" s="68" t="str">
        <x:v>M02十神映射、M08五行有效旺衰、M09日主旺衰已完成</x:v>
      </x:c>
      <x:c r="U61" s="68" t="str">
        <x:v>相关十神已由M02正确映射，并以M08有效力量为准</x:v>
      </x:c>
      <x:c r="V61" s="68" t="str">
        <x:v>得令、有根、透干、同党或生源形成独立有效证据</x:v>
      </x:c>
      <x:c r="W61" s="68" t="str">
        <x:v>失令、无根、被合绊、被制、改性或作用路径受阻</x:v>
      </x:c>
      <x:c r="X61" s="90" t="str">
        <x:v>不得以十神名称、数量或单一旺弱证据直接完成定性</x:v>
      </x:c>
      <x:c r="Y61" s="68" t="str">
        <x:v>特殊格局、从化候选及明确组合转M11/M14另审</x:v>
      </x:c>
      <x:c r="Z61" s="68" t="str">
        <x:v>不得直接推出吉凶、具体事件、亲属结果或最终喜忌</x:v>
      </x:c>
      <x:c r="AA61" s="84" t="str">
        <x:v>食神生财接口</x:v>
      </x:c>
      <x:c r="AB61" s="84" t="str">
        <x:v>食神可生财形成连续输出链：当“食神有效且财星能够承接其生扶”成立时，按本规则记录十神的有效功能；同时保留制化、承载和反向证据。</x:v>
      </x:c>
      <x:c r="AC61" s="82" t="str">
        <x:v>较高</x:v>
      </x:c>
      <x:c r="AD61" s="82" t="str">
        <x:v>现代综合</x:v>
      </x:c>
      <x:c r="AE61" s="68" t="str">
        <x:v>十神必须分开判断存在性、力量、清纯度、功能性与喜忌性；M10只形成结构层结论和候选，不越级替代M11—M18。</x:v>
      </x:c>
      <x:c r="AF61" s="68" t="str">
        <x:v>相关条件真实成立，且增强条件有效时，可按“食神可生财形成连续输出链”记录对应功能。</x:v>
      </x:c>
      <x:c r="AG61" s="90" t="str">
        <x:v>仅见表面十神名称或数量，但“不得以十神名称、数量或单一旺弱证据直接完成定性”所述限制存在时，不得套用本规则。</x:v>
      </x:c>
      <x:c r="AH61" s="68" t="str">
        <x:v>https://zh.wikisource.org/wiki/%E6%B8%8A%E6%B5%B7%E5%AD%90%E5%B9%B3%E5%A4%A7%E5%85%A8 ; https://zh.wikisource.org/wiki/%E6%BB%B4%E5%A4%A9%E9%AB%93%E9%97%A1%E5%BE%AE</x:v>
      </x:c>
      <x:c r="AI61" s="82" t="str">
        <x:v>采用</x:v>
      </x:c>
      <x:c r="AJ61" s="82" t="str">
        <x:v>初审</x:v>
      </x:c>
      <x:c r="AK61" s="87" t="n">
        <x:v>46255</x:v>
      </x:c>
    </x:row>
    <x:row r="62">
      <x:c r="A62" s="72" t="str">
        <x:f>IF(OR(C62="",D62=""),"",B62&amp;"-"&amp;UPPER(C62)&amp;"-"&amp;TEXT(D62,"0000")&amp;"-"&amp;E62)</x:f>
        <x:v>M10-SHISHANG-0056-V1.0</x:v>
      </x:c>
      <x:c r="B62" s="74" t="str">
        <x:v>M10</x:v>
      </x:c>
      <x:c r="C62" s="74" t="str">
        <x:v>SHISHANG</x:v>
      </x:c>
      <x:c r="D62" s="215" t="n">
        <x:v>56</x:v>
      </x:c>
      <x:c r="E62" s="74" t="str">
        <x:v>V1.0</x:v>
      </x:c>
      <x:c r="F62" s="68" t="str">
        <x:v>伤官生财须财星有效承接才成立</x:v>
      </x:c>
      <x:c r="G62" s="82" t="str">
        <x:v>结构层</x:v>
      </x:c>
      <x:c r="H62" s="82" t="str">
        <x:v>伤官</x:v>
      </x:c>
      <x:c r="I62" s="82" t="str">
        <x:v>待定</x:v>
      </x:c>
      <x:c r="J62" s="82" t="str">
        <x:v>待定</x:v>
      </x:c>
      <x:c r="K62" s="82" t="str">
        <x:v>待定</x:v>
      </x:c>
      <x:c r="L62" s="82" t="str">
        <x:v>待定</x:v>
      </x:c>
      <x:c r="M62" s="68" t="str">
        <x:v>按M08核查</x:v>
      </x:c>
      <x:c r="N62" s="68" t="str">
        <x:v>按M06/M08核查</x:v>
      </x:c>
      <x:c r="O62" s="82" t="str">
        <x:v>待定</x:v>
      </x:c>
      <x:c r="P62" s="68" t="str">
        <x:v>伤官生财候选转M11</x:v>
      </x:c>
      <x:c r="Q62" s="68" t="str">
        <x:v>需结合M09日主承载判断</x:v>
      </x:c>
      <x:c r="R62" s="82" t="str">
        <x:v>待定</x:v>
      </x:c>
      <x:c r="S62" s="68" t="str">
        <x:v>伤官有效，财星存在且生扶通路连续</x:v>
      </x:c>
      <x:c r="T62" s="68" t="str">
        <x:v>M02十神映射、M08五行有效旺衰、M09日主旺衰已完成</x:v>
      </x:c>
      <x:c r="U62" s="68" t="str">
        <x:v>相关十神已由M02正确映射，并以M08有效力量为准</x:v>
      </x:c>
      <x:c r="V62" s="68" t="str">
        <x:v>得令、有根、透干、同党或生源形成独立有效证据</x:v>
      </x:c>
      <x:c r="W62" s="68" t="str">
        <x:v>失令、无根、被合绊、被制、改性或作用路径受阻</x:v>
      </x:c>
      <x:c r="X62" s="90" t="str">
        <x:v>不得以十神名称、数量或单一旺弱证据直接完成定性</x:v>
      </x:c>
      <x:c r="Y62" s="68" t="str">
        <x:v>特殊格局、从化候选及明确组合转M11/M14另审</x:v>
      </x:c>
      <x:c r="Z62" s="68" t="str">
        <x:v>不得直接推出吉凶、具体事件、亲属结果或最终喜忌</x:v>
      </x:c>
      <x:c r="AA62" s="84" t="str">
        <x:v>伤官生财接口</x:v>
      </x:c>
      <x:c r="AB62" s="84" t="str">
        <x:v>伤官生财须财星有效承接才成立：当“伤官有效，财星存在且生扶通路连续”成立时，按本规则记录十神的有效功能；同时保留制化、承载和反向证据。</x:v>
      </x:c>
      <x:c r="AC62" s="82" t="str">
        <x:v>较高</x:v>
      </x:c>
      <x:c r="AD62" s="82" t="str">
        <x:v>现代综合</x:v>
      </x:c>
      <x:c r="AE62" s="68" t="str">
        <x:v>十神必须分开判断存在性、力量、清纯度、功能性与喜忌性；M10只形成结构层结论和候选，不越级替代M11—M18。</x:v>
      </x:c>
      <x:c r="AF62" s="68" t="str">
        <x:v>相关条件真实成立，且增强条件有效时，可按“伤官生财须财星有效承接才成立”记录对应功能。</x:v>
      </x:c>
      <x:c r="AG62" s="90" t="str">
        <x:v>仅见表面十神名称或数量，但“不得以十神名称、数量或单一旺弱证据直接完成定性”所述限制存在时，不得套用本规则。</x:v>
      </x:c>
      <x:c r="AH62" s="68" t="str">
        <x:v>https://zh.wikisource.org/wiki/%E6%B8%8A%E6%B5%B7%E5%AD%90%E5%B9%B3%E5%A4%A7%E5%85%A8 ; https://zh.wikisource.org/wiki/%E6%BB%B4%E5%A4%A9%E9%AB%93%E9%97%A1%E5%BE%AE</x:v>
      </x:c>
      <x:c r="AI62" s="82" t="str">
        <x:v>采用</x:v>
      </x:c>
      <x:c r="AJ62" s="82" t="str">
        <x:v>初审</x:v>
      </x:c>
      <x:c r="AK62" s="87" t="n">
        <x:v>46255</x:v>
      </x:c>
    </x:row>
    <x:row r="63">
      <x:c r="A63" s="72" t="str">
        <x:f>IF(OR(C63="",D63=""),"",B63&amp;"-"&amp;UPPER(C63)&amp;"-"&amp;TEXT(D63,"0000")&amp;"-"&amp;E63)</x:f>
        <x:v>M10-SHISHANG-0057-V1.0</x:v>
      </x:c>
      <x:c r="B63" s="74" t="str">
        <x:v>M10</x:v>
      </x:c>
      <x:c r="C63" s="74" t="str">
        <x:v>SHISHANG</x:v>
      </x:c>
      <x:c r="D63" s="215" t="n">
        <x:v>57</x:v>
      </x:c>
      <x:c r="E63" s="74" t="str">
        <x:v>V1.0</x:v>
      </x:c>
      <x:c r="F63" s="68" t="str">
        <x:v>食神制杀须双方均有效且形成直接制约</x:v>
      </x:c>
      <x:c r="G63" s="82" t="str">
        <x:v>结构层</x:v>
      </x:c>
      <x:c r="H63" s="82" t="str">
        <x:v>食神</x:v>
      </x:c>
      <x:c r="I63" s="82" t="str">
        <x:v>待定</x:v>
      </x:c>
      <x:c r="J63" s="82" t="str">
        <x:v>待定</x:v>
      </x:c>
      <x:c r="K63" s="82" t="str">
        <x:v>待定</x:v>
      </x:c>
      <x:c r="L63" s="82" t="str">
        <x:v>待定</x:v>
      </x:c>
      <x:c r="M63" s="68" t="str">
        <x:v>按M08核查</x:v>
      </x:c>
      <x:c r="N63" s="68" t="str">
        <x:v>对七杀形成有效克制</x:v>
      </x:c>
      <x:c r="O63" s="82" t="str">
        <x:v>待定</x:v>
      </x:c>
      <x:c r="P63" s="68" t="str">
        <x:v>食神制杀候选转M11</x:v>
      </x:c>
      <x:c r="Q63" s="68" t="str">
        <x:v>需结合M09日主承载判断</x:v>
      </x:c>
      <x:c r="R63" s="82" t="str">
        <x:v>待定</x:v>
      </x:c>
      <x:c r="S63" s="68" t="str">
        <x:v>食神与七杀均有效，克制路径真实成立</x:v>
      </x:c>
      <x:c r="T63" s="68" t="str">
        <x:v>M02十神映射、M08五行有效旺衰、M09日主旺衰已完成</x:v>
      </x:c>
      <x:c r="U63" s="68" t="str">
        <x:v>相关十神已由M02正确映射，并以M08有效力量为准</x:v>
      </x:c>
      <x:c r="V63" s="68" t="str">
        <x:v>得令、有根、透干、同党或生源形成独立有效证据</x:v>
      </x:c>
      <x:c r="W63" s="68" t="str">
        <x:v>失令、无根、被合绊、被制、改性或作用路径受阻</x:v>
      </x:c>
      <x:c r="X63" s="90" t="str">
        <x:v>不得以十神名称、数量或单一旺弱证据直接完成定性</x:v>
      </x:c>
      <x:c r="Y63" s="68" t="str">
        <x:v>特殊格局、从化候选及明确组合转M11/M14另审</x:v>
      </x:c>
      <x:c r="Z63" s="68" t="str">
        <x:v>不得直接推出吉凶、具体事件、亲属结果或最终喜忌</x:v>
      </x:c>
      <x:c r="AA63" s="84" t="str">
        <x:v>食神制杀接口</x:v>
      </x:c>
      <x:c r="AB63" s="84" t="str">
        <x:v>食神制杀须双方均有效且形成直接制约：当“食神与七杀均有效，克制路径真实成立”成立时，按本规则记录十神的有效功能；同时保留制化、承载和反向证据。</x:v>
      </x:c>
      <x:c r="AC63" s="82" t="str">
        <x:v>较高</x:v>
      </x:c>
      <x:c r="AD63" s="82" t="str">
        <x:v>现代综合</x:v>
      </x:c>
      <x:c r="AE63" s="68" t="str">
        <x:v>十神必须分开判断存在性、力量、清纯度、功能性与喜忌性；M10只形成结构层结论和候选，不越级替代M11—M18。</x:v>
      </x:c>
      <x:c r="AF63" s="68" t="str">
        <x:v>相关条件真实成立，且增强条件有效时，可按“食神制杀须双方均有效且形成直接制约”记录对应功能。</x:v>
      </x:c>
      <x:c r="AG63" s="90" t="str">
        <x:v>仅见表面十神名称或数量，但“不得以十神名称、数量或单一旺弱证据直接完成定性”所述限制存在时，不得套用本规则。</x:v>
      </x:c>
      <x:c r="AH63" s="68" t="str">
        <x:v>https://zh.wikisource.org/wiki/%E6%B8%8A%E6%B5%B7%E5%AD%90%E5%B9%B3%E5%A4%A7%E5%85%A8 ; https://zh.wikisource.org/wiki/%E6%BB%B4%E5%A4%A9%E9%AB%93%E9%97%A1%E5%BE%AE</x:v>
      </x:c>
      <x:c r="AI63" s="82" t="str">
        <x:v>采用</x:v>
      </x:c>
      <x:c r="AJ63" s="82" t="str">
        <x:v>初审</x:v>
      </x:c>
      <x:c r="AK63" s="87" t="n">
        <x:v>46255</x:v>
      </x:c>
    </x:row>
    <x:row r="64">
      <x:c r="A64" s="72" t="str">
        <x:f>IF(OR(C64="",D64=""),"",B64&amp;"-"&amp;UPPER(C64)&amp;"-"&amp;TEXT(D64,"0000")&amp;"-"&amp;E64)</x:f>
        <x:v>M10-SHISHANG-0058-V1.0</x:v>
      </x:c>
      <x:c r="B64" s="74" t="str">
        <x:v>M10</x:v>
      </x:c>
      <x:c r="C64" s="74" t="str">
        <x:v>SHISHANG</x:v>
      </x:c>
      <x:c r="D64" s="215" t="n">
        <x:v>58</x:v>
      </x:c>
      <x:c r="E64" s="74" t="str">
        <x:v>V1.0</x:v>
      </x:c>
      <x:c r="F64" s="68" t="str">
        <x:v>伤官见官只是冲突候选不是自动凶论</x:v>
      </x:c>
      <x:c r="G64" s="82" t="str">
        <x:v>结构层</x:v>
      </x:c>
      <x:c r="H64" s="82" t="str">
        <x:v>伤官</x:v>
      </x:c>
      <x:c r="I64" s="82" t="str">
        <x:v>待定</x:v>
      </x:c>
      <x:c r="J64" s="82" t="str">
        <x:v>待定</x:v>
      </x:c>
      <x:c r="K64" s="82" t="str">
        <x:v>待定</x:v>
      </x:c>
      <x:c r="L64" s="82" t="str">
        <x:v>待定</x:v>
      </x:c>
      <x:c r="M64" s="68" t="str">
        <x:v>按M08核查</x:v>
      </x:c>
      <x:c r="N64" s="68" t="str">
        <x:v>对正官形成有效克制</x:v>
      </x:c>
      <x:c r="O64" s="82" t="str">
        <x:v>待定</x:v>
      </x:c>
      <x:c r="P64" s="68" t="str">
        <x:v>伤官见官候选转M11</x:v>
      </x:c>
      <x:c r="Q64" s="68" t="str">
        <x:v>需结合M09日主承载判断</x:v>
      </x:c>
      <x:c r="R64" s="82" t="str">
        <x:v>待定</x:v>
      </x:c>
      <x:c r="S64" s="68" t="str">
        <x:v>伤官与正官均有效且形成实质克制</x:v>
      </x:c>
      <x:c r="T64" s="68" t="str">
        <x:v>M02十神映射、M08五行有效旺衰、M09日主旺衰已完成</x:v>
      </x:c>
      <x:c r="U64" s="68" t="str">
        <x:v>相关十神已由M02正确映射，并以M08有效力量为准</x:v>
      </x:c>
      <x:c r="V64" s="68" t="str">
        <x:v>得令、有根、透干、同党或生源形成独立有效证据</x:v>
      </x:c>
      <x:c r="W64" s="68" t="str">
        <x:v>失令、无根、被合绊、被制、改性或作用路径受阻</x:v>
      </x:c>
      <x:c r="X64" s="90" t="str">
        <x:v>不得以十神名称、数量或单一旺弱证据直接完成定性</x:v>
      </x:c>
      <x:c r="Y64" s="68" t="str">
        <x:v>特殊格局、从化候选及明确组合转M11/M14另审</x:v>
      </x:c>
      <x:c r="Z64" s="68" t="str">
        <x:v>不得由伤官见官四字直接推出灾祸、婚姻或职业事件</x:v>
      </x:c>
      <x:c r="AA64" s="84" t="str">
        <x:v>伤官克官接口</x:v>
      </x:c>
      <x:c r="AB64" s="84" t="str">
        <x:v>伤官见官只是冲突候选不是自动凶论：当“伤官与正官均有效且形成实质克制”成立时，按本规则记录十神的有效功能；同时保留制化、承载和反向证据。</x:v>
      </x:c>
      <x:c r="AC64" s="82" t="str">
        <x:v>较高</x:v>
      </x:c>
      <x:c r="AD64" s="82" t="str">
        <x:v>现代综合</x:v>
      </x:c>
      <x:c r="AE64" s="68" t="str">
        <x:v>十神必须分开判断存在性、力量、清纯度、功能性与喜忌性；M10只形成结构层结论和候选，不越级替代M11—M18。</x:v>
      </x:c>
      <x:c r="AF64" s="68" t="str">
        <x:v>相关条件真实成立，且增强条件有效时，可按“伤官见官只是冲突候选不是自动凶论”记录对应功能。</x:v>
      </x:c>
      <x:c r="AG64" s="90" t="str">
        <x:v>仅见表面十神名称或数量，但“不得以十神名称、数量或单一旺弱证据直接完成定性”所述限制存在时，不得套用本规则。</x:v>
      </x:c>
      <x:c r="AH64" s="68" t="str">
        <x:v>https://zh.wikisource.org/wiki/%E6%B8%8A%E6%B5%B7%E5%AD%90%E5%B9%B3%E5%A4%A7%E5%85%A8 ; https://zh.wikisource.org/wiki/%E6%BB%B4%E5%A4%A9%E9%AB%93%E9%97%A1%E5%BE%AE</x:v>
      </x:c>
      <x:c r="AI64" s="82" t="str">
        <x:v>采用</x:v>
      </x:c>
      <x:c r="AJ64" s="82" t="str">
        <x:v>初审</x:v>
      </x:c>
      <x:c r="AK64" s="87" t="n">
        <x:v>46255</x:v>
      </x:c>
    </x:row>
    <x:row r="65">
      <x:c r="A65" s="72" t="str">
        <x:f>IF(OR(C65="",D65=""),"",B65&amp;"-"&amp;UPPER(C65)&amp;"-"&amp;TEXT(D65,"0000")&amp;"-"&amp;E65)</x:f>
        <x:v>M10-SHISHANG-0059-V1.0</x:v>
      </x:c>
      <x:c r="B65" s="74" t="str">
        <x:v>M10</x:v>
      </x:c>
      <x:c r="C65" s="74" t="str">
        <x:v>SHISHANG</x:v>
      </x:c>
      <x:c r="D65" s="215" t="n">
        <x:v>59</x:v>
      </x:c>
      <x:c r="E65" s="74" t="str">
        <x:v>V1.0</x:v>
      </x:c>
      <x:c r="F65" s="68" t="str">
        <x:v>身旺有食伤泄出可形成泄秀候选</x:v>
      </x:c>
      <x:c r="G65" s="82" t="str">
        <x:v>结构层</x:v>
      </x:c>
      <x:c r="H65" s="82" t="str">
        <x:v>食神</x:v>
      </x:c>
      <x:c r="I65" s="82" t="str">
        <x:v>待定</x:v>
      </x:c>
      <x:c r="J65" s="82" t="str">
        <x:v>待定</x:v>
      </x:c>
      <x:c r="K65" s="82" t="str">
        <x:v>待定</x:v>
      </x:c>
      <x:c r="L65" s="82" t="str">
        <x:v>待定</x:v>
      </x:c>
      <x:c r="M65" s="68" t="str">
        <x:v>按M08核查</x:v>
      </x:c>
      <x:c r="N65" s="68" t="str">
        <x:v>按M06/M08核查</x:v>
      </x:c>
      <x:c r="O65" s="82" t="str">
        <x:v>待定</x:v>
      </x:c>
      <x:c r="P65" s="68" t="str">
        <x:v>转M11/M14判断</x:v>
      </x:c>
      <x:c r="Q65" s="68" t="str">
        <x:v>帮助释放过强身势</x:v>
      </x:c>
      <x:c r="R65" s="82" t="str">
        <x:v>条件性喜神</x:v>
      </x:c>
      <x:c r="S65" s="68" t="str">
        <x:v>M09日主旺或中和偏旺，食神有效且输出顺畅</x:v>
      </x:c>
      <x:c r="T65" s="68" t="str">
        <x:v>M02十神映射、M08五行有效旺衰、M09日主旺衰已完成</x:v>
      </x:c>
      <x:c r="U65" s="68" t="str">
        <x:v>相关十神已由M02正确映射，并以M08有效力量为准</x:v>
      </x:c>
      <x:c r="V65" s="68" t="str">
        <x:v>得令、有根、透干、同党或生源形成独立有效证据</x:v>
      </x:c>
      <x:c r="W65" s="68" t="str">
        <x:v>失令、无根、被合绊、被制、改性或作用路径受阻</x:v>
      </x:c>
      <x:c r="X65" s="90" t="str">
        <x:v>不得以十神名称、数量或单一旺弱证据直接完成定性</x:v>
      </x:c>
      <x:c r="Y65" s="68" t="str">
        <x:v>特殊格局、从化候选及明确组合转M11/M14另审</x:v>
      </x:c>
      <x:c r="Z65" s="68" t="str">
        <x:v>不得直接推出吉凶、具体事件、亲属结果或最终喜忌</x:v>
      </x:c>
      <x:c r="AA65" s="84" t="str">
        <x:v>身旺食神泄秀</x:v>
      </x:c>
      <x:c r="AB65" s="84" t="str">
        <x:v>身旺有食伤泄出可形成泄秀候选：当“M09日主旺或中和偏旺，食神有效且输出顺畅”成立时，按本规则记录十神的有效功能；同时保留制化、承载和反向证据。</x:v>
      </x:c>
      <x:c r="AC65" s="82" t="str">
        <x:v>较高</x:v>
      </x:c>
      <x:c r="AD65" s="82" t="str">
        <x:v>现代综合</x:v>
      </x:c>
      <x:c r="AE65" s="68" t="str">
        <x:v>十神必须分开判断存在性、力量、清纯度、功能性与喜忌性；M10只形成结构层结论和候选，不越级替代M11—M18。</x:v>
      </x:c>
      <x:c r="AF65" s="68" t="str">
        <x:v>相关条件真实成立，且增强条件有效时，可按“身旺有食伤泄出可形成泄秀候选”记录对应功能。</x:v>
      </x:c>
      <x:c r="AG65" s="90" t="str">
        <x:v>仅见表面十神名称或数量，但“不得以十神名称、数量或单一旺弱证据直接完成定性”所述限制存在时，不得套用本规则。</x:v>
      </x:c>
      <x:c r="AH65" s="68" t="str">
        <x:v>https://zh.wikisource.org/wiki/%E6%B8%8A%E6%B5%B7%E5%AD%90%E5%B9%B3%E5%A4%A7%E5%85%A8 ; https://zh.wikisource.org/wiki/%E6%BB%B4%E5%A4%A9%E9%AB%93%E9%97%A1%E5%BE%AE</x:v>
      </x:c>
      <x:c r="AI65" s="82" t="str">
        <x:v>采用</x:v>
      </x:c>
      <x:c r="AJ65" s="82" t="str">
        <x:v>初审</x:v>
      </x:c>
      <x:c r="AK65" s="87" t="n">
        <x:v>46255</x:v>
      </x:c>
    </x:row>
    <x:row r="66">
      <x:c r="A66" s="72" t="str">
        <x:f>IF(OR(C66="",D66=""),"",B66&amp;"-"&amp;UPPER(C66)&amp;"-"&amp;TEXT(D66,"0000")&amp;"-"&amp;E66)</x:f>
        <x:v>M10-SHISHANG-0060-V1.0</x:v>
      </x:c>
      <x:c r="B66" s="74" t="str">
        <x:v>M10</x:v>
      </x:c>
      <x:c r="C66" s="74" t="str">
        <x:v>SHISHANG</x:v>
      </x:c>
      <x:c r="D66" s="215" t="n">
        <x:v>60</x:v>
      </x:c>
      <x:c r="E66" s="74" t="str">
        <x:v>V1.0</x:v>
      </x:c>
      <x:c r="F66" s="68" t="str">
        <x:v>身弱食伤过旺会扩大泄身负荷</x:v>
      </x:c>
      <x:c r="G66" s="82" t="str">
        <x:v>结构层</x:v>
      </x:c>
      <x:c r="H66" s="82" t="str">
        <x:v>伤官</x:v>
      </x:c>
      <x:c r="I66" s="82" t="str">
        <x:v>待定</x:v>
      </x:c>
      <x:c r="J66" s="82" t="str">
        <x:v>待定</x:v>
      </x:c>
      <x:c r="K66" s="82" t="str">
        <x:v>待定</x:v>
      </x:c>
      <x:c r="L66" s="82" t="str">
        <x:v>待定</x:v>
      </x:c>
      <x:c r="M66" s="68" t="str">
        <x:v>按M08核查</x:v>
      </x:c>
      <x:c r="N66" s="68" t="str">
        <x:v>按M06/M08核查</x:v>
      </x:c>
      <x:c r="O66" s="82" t="str">
        <x:v>过度</x:v>
      </x:c>
      <x:c r="P66" s="68" t="str">
        <x:v>转M11/M14判断</x:v>
      </x:c>
      <x:c r="Q66" s="68" t="str">
        <x:v>持续泄身导致承载下降</x:v>
      </x:c>
      <x:c r="R66" s="82" t="str">
        <x:v>条件性忌神</x:v>
      </x:c>
      <x:c r="S66" s="68" t="str">
        <x:v>M09日主弱或中和偏弱，伤官旺且印比不足</x:v>
      </x:c>
      <x:c r="T66" s="68" t="str">
        <x:v>M02十神映射、M08五行有效旺衰、M09日主旺衰已完成</x:v>
      </x:c>
      <x:c r="U66" s="68" t="str">
        <x:v>相关十神已由M02正确映射，并以M08有效力量为准</x:v>
      </x:c>
      <x:c r="V66" s="68" t="str">
        <x:v>得令、有根、透干、同党或生源形成独立有效证据</x:v>
      </x:c>
      <x:c r="W66" s="68" t="str">
        <x:v>失令、无根、被合绊、被制、改性或作用路径受阻</x:v>
      </x:c>
      <x:c r="X66" s="90" t="str">
        <x:v>不得以十神名称、数量或单一旺弱证据直接完成定性</x:v>
      </x:c>
      <x:c r="Y66" s="68" t="str">
        <x:v>特殊格局、从化候选及明确组合转M11/M14另审</x:v>
      </x:c>
      <x:c r="Z66" s="68" t="str">
        <x:v>不得直接推出吉凶、具体事件、亲属结果或最终喜忌</x:v>
      </x:c>
      <x:c r="AA66" s="84" t="str">
        <x:v>身弱伤官过泄</x:v>
      </x:c>
      <x:c r="AB66" s="84" t="str">
        <x:v>身弱食伤过旺会扩大泄身负荷：当“M09日主弱或中和偏弱，伤官旺且印比不足”成立时，按本规则记录十神的有效功能；同时保留制化、承载和反向证据。</x:v>
      </x:c>
      <x:c r="AC66" s="82" t="str">
        <x:v>较高</x:v>
      </x:c>
      <x:c r="AD66" s="82" t="str">
        <x:v>现代综合</x:v>
      </x:c>
      <x:c r="AE66" s="68" t="str">
        <x:v>十神必须分开判断存在性、力量、清纯度、功能性与喜忌性；M10只形成结构层结论和候选，不越级替代M11—M18。</x:v>
      </x:c>
      <x:c r="AF66" s="68" t="str">
        <x:v>相关条件真实成立，且增强条件有效时，可按“身弱食伤过旺会扩大泄身负荷”记录对应功能。</x:v>
      </x:c>
      <x:c r="AG66" s="90" t="str">
        <x:v>仅见表面十神名称或数量，但“不得以十神名称、数量或单一旺弱证据直接完成定性”所述限制存在时，不得套用本规则。</x:v>
      </x:c>
      <x:c r="AH66" s="68" t="str">
        <x:v>https://zh.wikisource.org/wiki/%E6%B8%8A%E6%B5%B7%E5%AD%90%E5%B9%B3%E5%A4%A7%E5%85%A8 ; https://zh.wikisource.org/wiki/%E6%BB%B4%E5%A4%A9%E9%AB%93%E9%97%A1%E5%BE%AE</x:v>
      </x:c>
      <x:c r="AI66" s="82" t="str">
        <x:v>采用</x:v>
      </x:c>
      <x:c r="AJ66" s="82" t="str">
        <x:v>初审</x:v>
      </x:c>
      <x:c r="AK66" s="87" t="n">
        <x:v>46255</x:v>
      </x:c>
    </x:row>
    <x:row r="67">
      <x:c r="A67" s="72" t="str">
        <x:f>IF(OR(C67="",D67=""),"",B67&amp;"-"&amp;UPPER(C67)&amp;"-"&amp;TEXT(D67,"0000")&amp;"-"&amp;E67)</x:f>
        <x:v>M10-SHISHANG-0061-V1.0</x:v>
      </x:c>
      <x:c r="B67" s="74" t="str">
        <x:v>M10</x:v>
      </x:c>
      <x:c r="C67" s="74" t="str">
        <x:v>SHISHANG</x:v>
      </x:c>
      <x:c r="D67" s="215" t="n">
        <x:v>61</x:v>
      </x:c>
      <x:c r="E67" s="74" t="str">
        <x:v>V1.0</x:v>
      </x:c>
      <x:c r="F67" s="68" t="str">
        <x:v>食神被偏印强制时输出和制杀功能均受限</x:v>
      </x:c>
      <x:c r="G67" s="82" t="str">
        <x:v>结构层</x:v>
      </x:c>
      <x:c r="H67" s="82" t="str">
        <x:v>食神</x:v>
      </x:c>
      <x:c r="I67" s="82" t="str">
        <x:v>待定</x:v>
      </x:c>
      <x:c r="J67" s="82" t="str">
        <x:v>待定</x:v>
      </x:c>
      <x:c r="K67" s="82" t="str">
        <x:v>待定</x:v>
      </x:c>
      <x:c r="L67" s="82" t="str">
        <x:v>待定</x:v>
      </x:c>
      <x:c r="M67" s="68" t="str">
        <x:v>按M08核查</x:v>
      </x:c>
      <x:c r="N67" s="68" t="str">
        <x:v>受偏印有效克制</x:v>
      </x:c>
      <x:c r="O67" s="82" t="str">
        <x:v>受限</x:v>
      </x:c>
      <x:c r="P67" s="68" t="str">
        <x:v>转M11/M14判断</x:v>
      </x:c>
      <x:c r="Q67" s="68" t="str">
        <x:v>需结合M09日主承载判断</x:v>
      </x:c>
      <x:c r="R67" s="82" t="str">
        <x:v>待定</x:v>
      </x:c>
      <x:c r="S67" s="68" t="str">
        <x:v>偏印对食神形成实质有效克制</x:v>
      </x:c>
      <x:c r="T67" s="68" t="str">
        <x:v>M02十神映射、M08五行有效旺衰、M09日主旺衰已完成</x:v>
      </x:c>
      <x:c r="U67" s="68" t="str">
        <x:v>相关十神已由M02正确映射，并以M08有效力量为准</x:v>
      </x:c>
      <x:c r="V67" s="68" t="str">
        <x:v>得令、有根、透干、同党或生源形成独立有效证据</x:v>
      </x:c>
      <x:c r="W67" s="68" t="str">
        <x:v>失令、无根、被合绊、被制、改性或作用路径受阻</x:v>
      </x:c>
      <x:c r="X67" s="90" t="str">
        <x:v>不得以十神名称、数量或单一旺弱证据直接完成定性</x:v>
      </x:c>
      <x:c r="Y67" s="68" t="str">
        <x:v>特殊格局、从化候选及明确组合转M11/M14另审</x:v>
      </x:c>
      <x:c r="Z67" s="68" t="str">
        <x:v>不得直接推出吉凶、具体事件、亲属结果或最终喜忌</x:v>
      </x:c>
      <x:c r="AA67" s="84" t="str">
        <x:v>食神受枭制</x:v>
      </x:c>
      <x:c r="AB67" s="84" t="str">
        <x:v>食神被偏印强制时输出和制杀功能均受限：当“偏印对食神形成实质有效克制”成立时，按本规则记录十神的有效功能；同时保留制化、承载和反向证据。</x:v>
      </x:c>
      <x:c r="AC67" s="82" t="str">
        <x:v>较高</x:v>
      </x:c>
      <x:c r="AD67" s="82" t="str">
        <x:v>现代综合</x:v>
      </x:c>
      <x:c r="AE67" s="68" t="str">
        <x:v>十神必须分开判断存在性、力量、清纯度、功能性与喜忌性；M10只形成结构层结论和候选，不越级替代M11—M18。</x:v>
      </x:c>
      <x:c r="AF67" s="68" t="str">
        <x:v>相关条件真实成立，且增强条件有效时，可按“食神被偏印强制时输出和制杀功能均受限”记录对应功能。</x:v>
      </x:c>
      <x:c r="AG67" s="90" t="str">
        <x:v>仅见表面十神名称或数量，但“不得以十神名称、数量或单一旺弱证据直接完成定性”所述限制存在时，不得套用本规则。</x:v>
      </x:c>
      <x:c r="AH67" s="68" t="str">
        <x:v>https://zh.wikisource.org/wiki/%E6%B8%8A%E6%B5%B7%E5%AD%90%E5%B9%B3%E5%A4%A7%E5%85%A8 ; https://zh.wikisource.org/wiki/%E6%BB%B4%E5%A4%A9%E9%AB%93%E9%97%A1%E5%BE%AE</x:v>
      </x:c>
      <x:c r="AI67" s="82" t="str">
        <x:v>采用</x:v>
      </x:c>
      <x:c r="AJ67" s="82" t="str">
        <x:v>初审</x:v>
      </x:c>
      <x:c r="AK67" s="87" t="n">
        <x:v>46255</x:v>
      </x:c>
    </x:row>
    <x:row r="68">
      <x:c r="A68" s="72" t="str">
        <x:f>IF(OR(C68="",D68=""),"",B68&amp;"-"&amp;UPPER(C68)&amp;"-"&amp;TEXT(D68,"0000")&amp;"-"&amp;E68)</x:f>
        <x:v>M10-SHISHANG-0062-V1.0</x:v>
      </x:c>
      <x:c r="B68" s="74" t="str">
        <x:v>M10</x:v>
      </x:c>
      <x:c r="C68" s="74" t="str">
        <x:v>SHISHANG</x:v>
      </x:c>
      <x:c r="D68" s="215" t="n">
        <x:v>62</x:v>
      </x:c>
      <x:c r="E68" s="74" t="str">
        <x:v>V1.0</x:v>
      </x:c>
      <x:c r="F68" s="68" t="str">
        <x:v>伤官被印星有效制约时可形成制化候选</x:v>
      </x:c>
      <x:c r="G68" s="82" t="str">
        <x:v>结构层</x:v>
      </x:c>
      <x:c r="H68" s="82" t="str">
        <x:v>伤官</x:v>
      </x:c>
      <x:c r="I68" s="82" t="str">
        <x:v>待定</x:v>
      </x:c>
      <x:c r="J68" s="82" t="str">
        <x:v>待定</x:v>
      </x:c>
      <x:c r="K68" s="82" t="str">
        <x:v>待定</x:v>
      </x:c>
      <x:c r="L68" s="82" t="str">
        <x:v>待定</x:v>
      </x:c>
      <x:c r="M68" s="68" t="str">
        <x:v>按M08核查</x:v>
      </x:c>
      <x:c r="N68" s="68" t="str">
        <x:v>按M06/M08核查</x:v>
      </x:c>
      <x:c r="O68" s="82" t="str">
        <x:v>受限</x:v>
      </x:c>
      <x:c r="P68" s="68" t="str">
        <x:v>伤官配印候选转M11</x:v>
      </x:c>
      <x:c r="Q68" s="68" t="str">
        <x:v>需结合M09日主承载判断</x:v>
      </x:c>
      <x:c r="R68" s="82" t="str">
        <x:v>待定</x:v>
      </x:c>
      <x:c r="S68" s="68" t="str">
        <x:v>印星有力并能直接制伤官</x:v>
      </x:c>
      <x:c r="T68" s="68" t="str">
        <x:v>M02十神映射、M08五行有效旺衰、M09日主旺衰已完成</x:v>
      </x:c>
      <x:c r="U68" s="68" t="str">
        <x:v>相关十神已由M02正确映射，并以M08有效力量为准</x:v>
      </x:c>
      <x:c r="V68" s="68" t="str">
        <x:v>得令、有根、透干、同党或生源形成独立有效证据</x:v>
      </x:c>
      <x:c r="W68" s="68" t="str">
        <x:v>失令、无根、被合绊、被制、改性或作用路径受阻</x:v>
      </x:c>
      <x:c r="X68" s="90" t="str">
        <x:v>不得以十神名称、数量或单一旺弱证据直接完成定性</x:v>
      </x:c>
      <x:c r="Y68" s="68" t="str">
        <x:v>特殊格局、从化候选及明确组合转M11/M14另审</x:v>
      </x:c>
      <x:c r="Z68" s="68" t="str">
        <x:v>不得直接推出吉凶、具体事件、亲属结果或最终喜忌</x:v>
      </x:c>
      <x:c r="AA68" s="84" t="str">
        <x:v>伤官受印制</x:v>
      </x:c>
      <x:c r="AB68" s="84" t="str">
        <x:v>伤官被印星有效制约时可形成制化候选：当“印星有力并能直接制伤官”成立时，按本规则记录十神的有效功能；同时保留制化、承载和反向证据。</x:v>
      </x:c>
      <x:c r="AC68" s="82" t="str">
        <x:v>较高</x:v>
      </x:c>
      <x:c r="AD68" s="82" t="str">
        <x:v>现代综合</x:v>
      </x:c>
      <x:c r="AE68" s="68" t="str">
        <x:v>十神必须分开判断存在性、力量、清纯度、功能性与喜忌性；M10只形成结构层结论和候选，不越级替代M11—M18。</x:v>
      </x:c>
      <x:c r="AF68" s="68" t="str">
        <x:v>相关条件真实成立，且增强条件有效时，可按“伤官被印星有效制约时可形成制化候选”记录对应功能。</x:v>
      </x:c>
      <x:c r="AG68" s="90" t="str">
        <x:v>仅见表面十神名称或数量，但“不得以十神名称、数量或单一旺弱证据直接完成定性”所述限制存在时，不得套用本规则。</x:v>
      </x:c>
      <x:c r="AH68" s="68" t="str">
        <x:v>https://zh.wikisource.org/wiki/%E6%B8%8A%E6%B5%B7%E5%AD%90%E5%B9%B3%E5%A4%A7%E5%85%A8 ; https://zh.wikisource.org/wiki/%E6%BB%B4%E5%A4%A9%E9%AB%93%E9%97%A1%E5%BE%AE</x:v>
      </x:c>
      <x:c r="AI68" s="82" t="str">
        <x:v>采用</x:v>
      </x:c>
      <x:c r="AJ68" s="82" t="str">
        <x:v>初审</x:v>
      </x:c>
      <x:c r="AK68" s="87" t="n">
        <x:v>46255</x:v>
      </x:c>
    </x:row>
    <x:row r="69">
      <x:c r="A69" s="72" t="str">
        <x:f>IF(OR(C69="",D69=""),"",B69&amp;"-"&amp;UPPER(C69)&amp;"-"&amp;TEXT(D69,"0000")&amp;"-"&amp;E69)</x:f>
        <x:v>M10-SHISHANG-0063-V1.0</x:v>
      </x:c>
      <x:c r="B69" s="74" t="str">
        <x:v>M10</x:v>
      </x:c>
      <x:c r="C69" s="74" t="str">
        <x:v>SHISHANG</x:v>
      </x:c>
      <x:c r="D69" s="215" t="n">
        <x:v>63</x:v>
      </x:c>
      <x:c r="E69" s="74" t="str">
        <x:v>V1.0</x:v>
      </x:c>
      <x:c r="F69" s="68" t="str">
        <x:v>食伤集团成势时必须检查日主是否有足够源头</x:v>
      </x:c>
      <x:c r="G69" s="82" t="str">
        <x:v>结构层</x:v>
      </x:c>
      <x:c r="H69" s="82" t="str">
        <x:v>食神</x:v>
      </x:c>
      <x:c r="I69" s="82" t="str">
        <x:v>多处出现</x:v>
      </x:c>
      <x:c r="J69" s="82" t="str">
        <x:v>待定</x:v>
      </x:c>
      <x:c r="K69" s="82" t="str">
        <x:v>旺</x:v>
      </x:c>
      <x:c r="L69" s="82" t="str">
        <x:v>待定</x:v>
      </x:c>
      <x:c r="M69" s="68" t="str">
        <x:v>按M08核查</x:v>
      </x:c>
      <x:c r="N69" s="68" t="str">
        <x:v>按M06/M08核查</x:v>
      </x:c>
      <x:c r="O69" s="82" t="str">
        <x:v>待定</x:v>
      </x:c>
      <x:c r="P69" s="68" t="str">
        <x:v>转M11/M14判断</x:v>
      </x:c>
      <x:c r="Q69" s="68" t="str">
        <x:v>形成强泄身路径</x:v>
      </x:c>
      <x:c r="R69" s="82" t="str">
        <x:v>待定</x:v>
      </x:c>
      <x:c r="S69" s="68" t="str">
        <x:v>食神伤官多节点旺强并形成输出集团</x:v>
      </x:c>
      <x:c r="T69" s="68" t="str">
        <x:v>M02十神映射、M08五行有效旺衰、M09日主旺衰已完成</x:v>
      </x:c>
      <x:c r="U69" s="68" t="str">
        <x:v>除食伤自身有力外，还必须判断日主能否持续供给</x:v>
      </x:c>
      <x:c r="V69" s="68" t="str">
        <x:v>得令、有根、透干、同党或生源形成独立有效证据</x:v>
      </x:c>
      <x:c r="W69" s="68" t="str">
        <x:v>失令、无根、被合绊、被制、改性或作用路径受阻</x:v>
      </x:c>
      <x:c r="X69" s="90" t="str">
        <x:v>不得以十神名称、数量或单一旺弱证据直接完成定性</x:v>
      </x:c>
      <x:c r="Y69" s="68" t="str">
        <x:v>特殊格局、从化候选及明确组合转M11/M14另审</x:v>
      </x:c>
      <x:c r="Z69" s="68" t="str">
        <x:v>不得直接推出吉凶、具体事件、亲属结果或最终喜忌</x:v>
      </x:c>
      <x:c r="AA69" s="84" t="str">
        <x:v>食伤集团成势</x:v>
      </x:c>
      <x:c r="AB69" s="84" t="str">
        <x:v>食伤集团成势时必须检查日主是否有足够源头：当“食神伤官多节点旺强并形成输出集团”成立时，按本规则记录十神的有效功能；同时保留制化、承载和反向证据。</x:v>
      </x:c>
      <x:c r="AC69" s="82" t="str">
        <x:v>较高</x:v>
      </x:c>
      <x:c r="AD69" s="82" t="str">
        <x:v>现代综合</x:v>
      </x:c>
      <x:c r="AE69" s="68" t="str">
        <x:v>十神必须分开判断存在性、力量、清纯度、功能性与喜忌性；M10只形成结构层结论和候选，不越级替代M11—M18。</x:v>
      </x:c>
      <x:c r="AF69" s="68" t="str">
        <x:v>相关条件真实成立，且增强条件有效时，可按“食伤集团成势时必须检查日主是否有足够源头”记录对应功能。</x:v>
      </x:c>
      <x:c r="AG69" s="90" t="str">
        <x:v>仅见表面十神名称或数量，但“不得以十神名称、数量或单一旺弱证据直接完成定性”所述限制存在时，不得套用本规则。</x:v>
      </x:c>
      <x:c r="AH69" s="68" t="str">
        <x:v>https://zh.wikisource.org/wiki/%E6%B8%8A%E6%B5%B7%E5%AD%90%E5%B9%B3%E5%A4%A7%E5%85%A8 ; https://zh.wikisource.org/wiki/%E6%BB%B4%E5%A4%A9%E9%AB%93%E9%97%A1%E5%BE%AE</x:v>
      </x:c>
      <x:c r="AI69" s="82" t="str">
        <x:v>采用</x:v>
      </x:c>
      <x:c r="AJ69" s="82" t="str">
        <x:v>初审</x:v>
      </x:c>
      <x:c r="AK69" s="87" t="n">
        <x:v>46255</x:v>
      </x:c>
    </x:row>
    <x:row r="70">
      <x:c r="A70" s="72" t="str">
        <x:f>IF(OR(C70="",D70=""),"",B70&amp;"-"&amp;UPPER(C70)&amp;"-"&amp;TEXT(D70,"0000")&amp;"-"&amp;E70)</x:f>
        <x:v>M10-SHISHANG-0064-V1.0</x:v>
      </x:c>
      <x:c r="B70" s="74" t="str">
        <x:v>M10</x:v>
      </x:c>
      <x:c r="C70" s="74" t="str">
        <x:v>SHISHANG</x:v>
      </x:c>
      <x:c r="D70" s="215" t="n">
        <x:v>64</x:v>
      </x:c>
      <x:c r="E70" s="74" t="str">
        <x:v>V1.0</x:v>
      </x:c>
      <x:c r="F70" s="68" t="str">
        <x:v>食伤旺不等于食伤为喜</x:v>
      </x:c>
      <x:c r="G70" s="82" t="str">
        <x:v>结构层</x:v>
      </x:c>
      <x:c r="H70" s="82" t="str">
        <x:v>伤官</x:v>
      </x:c>
      <x:c r="I70" s="82" t="str">
        <x:v>待定</x:v>
      </x:c>
      <x:c r="J70" s="82" t="str">
        <x:v>待定</x:v>
      </x:c>
      <x:c r="K70" s="82" t="str">
        <x:v>待定</x:v>
      </x:c>
      <x:c r="L70" s="82" t="str">
        <x:v>待定</x:v>
      </x:c>
      <x:c r="M70" s="68" t="str">
        <x:v>按M08核查</x:v>
      </x:c>
      <x:c r="N70" s="68" t="str">
        <x:v>按M06/M08核查</x:v>
      </x:c>
      <x:c r="O70" s="82" t="str">
        <x:v>待定</x:v>
      </x:c>
      <x:c r="P70" s="68" t="str">
        <x:v>转M11/M14判断</x:v>
      </x:c>
      <x:c r="Q70" s="68" t="str">
        <x:v>需结合M09日主承载判断</x:v>
      </x:c>
      <x:c r="R70" s="82" t="str">
        <x:v>待定</x:v>
      </x:c>
      <x:c r="S70" s="68" t="str">
        <x:v>食伤有效旺衰已经确定</x:v>
      </x:c>
      <x:c r="T70" s="68" t="str">
        <x:v>M02十神映射、M08五行有效旺衰、M09日主旺衰已完成</x:v>
      </x:c>
      <x:c r="U70" s="68" t="str">
        <x:v>相关十神已由M02正确映射，并以M08有效力量为准</x:v>
      </x:c>
      <x:c r="V70" s="68" t="str">
        <x:v>得令、有根、透干、同党或生源形成独立有效证据</x:v>
      </x:c>
      <x:c r="W70" s="68" t="str">
        <x:v>失令、无根、被合绊、被制、改性或作用路径受阻</x:v>
      </x:c>
      <x:c r="X70" s="90" t="str">
        <x:v>不得以十神名称、数量或单一旺弱证据直接完成定性</x:v>
      </x:c>
      <x:c r="Y70" s="68" t="str">
        <x:v>特殊格局、从化候选及明确组合转M11/M14另审</x:v>
      </x:c>
      <x:c r="Z70" s="68" t="str">
        <x:v>不得由食伤旺直接判喜，也不得由食伤弱直接判无用</x:v>
      </x:c>
      <x:c r="AA70" s="84" t="str">
        <x:v>食伤旺弱喜忌分离</x:v>
      </x:c>
      <x:c r="AB70" s="84" t="str">
        <x:v>食伤旺不等于食伤为喜：当“食伤有效旺衰已经确定”成立时，按本规则记录十神的有效功能；同时保留制化、承载和反向证据。</x:v>
      </x:c>
      <x:c r="AC70" s="82" t="str">
        <x:v>较高</x:v>
      </x:c>
      <x:c r="AD70" s="82" t="str">
        <x:v>现代综合</x:v>
      </x:c>
      <x:c r="AE70" s="68" t="str">
        <x:v>十神必须分开判断存在性、力量、清纯度、功能性与喜忌性；M10只形成结构层结论和候选，不越级替代M11—M18。</x:v>
      </x:c>
      <x:c r="AF70" s="68" t="str">
        <x:v>相关条件真实成立，且增强条件有效时，可按“食伤旺不等于食伤为喜”记录对应功能。</x:v>
      </x:c>
      <x:c r="AG70" s="90" t="str">
        <x:v>仅见表面十神名称或数量，但“不得以十神名称、数量或单一旺弱证据直接完成定性”所述限制存在时，不得套用本规则。</x:v>
      </x:c>
      <x:c r="AH70" s="68" t="str">
        <x:v>https://zh.wikisource.org/wiki/%E6%B8%8A%E6%B5%B7%E5%AD%90%E5%B9%B3%E5%A4%A7%E5%85%A8 ; https://zh.wikisource.org/wiki/%E6%BB%B4%E5%A4%A9%E9%AB%93%E9%97%A1%E5%BE%AE</x:v>
      </x:c>
      <x:c r="AI70" s="82" t="str">
        <x:v>采用</x:v>
      </x:c>
      <x:c r="AJ70" s="82" t="str">
        <x:v>初审</x:v>
      </x:c>
      <x:c r="AK70" s="87" t="n">
        <x:v>46255</x:v>
      </x:c>
    </x:row>
    <x:row r="71">
      <x:c r="A71" s="72" t="str">
        <x:f>IF(OR(C71="",D71=""),"",B71&amp;"-"&amp;UPPER(C71)&amp;"-"&amp;TEXT(D71,"0000")&amp;"-"&amp;E71)</x:f>
        <x:v>M10-CAI-0065-V1.0</x:v>
      </x:c>
      <x:c r="B71" s="74" t="str">
        <x:v>M10</x:v>
      </x:c>
      <x:c r="C71" s="74" t="str">
        <x:v>CAI</x:v>
      </x:c>
      <x:c r="D71" s="215" t="n">
        <x:v>65</x:v>
      </x:c>
      <x:c r="E71" s="74" t="str">
        <x:v>V1.0</x:v>
      </x:c>
      <x:c r="F71" s="68" t="str">
        <x:v>有效财星首先承担耗身和承接食伤功能</x:v>
      </x:c>
      <x:c r="G71" s="82" t="str">
        <x:v>结构层</x:v>
      </x:c>
      <x:c r="H71" s="82" t="str">
        <x:v>正财</x:v>
      </x:c>
      <x:c r="I71" s="82" t="str">
        <x:v>待定</x:v>
      </x:c>
      <x:c r="J71" s="82" t="str">
        <x:v>待定</x:v>
      </x:c>
      <x:c r="K71" s="82" t="str">
        <x:v>待定</x:v>
      </x:c>
      <x:c r="L71" s="82" t="str">
        <x:v>待定</x:v>
      </x:c>
      <x:c r="M71" s="68" t="str">
        <x:v>按M08核查</x:v>
      </x:c>
      <x:c r="N71" s="68" t="str">
        <x:v>按M06/M08核查</x:v>
      </x:c>
      <x:c r="O71" s="82" t="str">
        <x:v>正常发挥</x:v>
      </x:c>
      <x:c r="P71" s="68" t="str">
        <x:v>转M11/M14判断</x:v>
      </x:c>
      <x:c r="Q71" s="68" t="str">
        <x:v>日主克财形成耗力，同时财可承接食伤输出</x:v>
      </x:c>
      <x:c r="R71" s="82" t="str">
        <x:v>待定</x:v>
      </x:c>
      <x:c r="S71" s="68" t="str">
        <x:v>正财有效存在</x:v>
      </x:c>
      <x:c r="T71" s="68" t="str">
        <x:v>M02十神映射、M08五行有效旺衰、M09日主旺衰已完成</x:v>
      </x:c>
      <x:c r="U71" s="68" t="str">
        <x:v>相关十神已由M02正确映射，并以M08有效力量为准</x:v>
      </x:c>
      <x:c r="V71" s="68" t="str">
        <x:v>得令、有根、透干、同党或生源形成独立有效证据</x:v>
      </x:c>
      <x:c r="W71" s="68" t="str">
        <x:v>失令、无根、被合绊、被制、改性或作用路径受阻</x:v>
      </x:c>
      <x:c r="X71" s="90" t="str">
        <x:v>不得以十神名称、数量或单一旺弱证据直接完成定性</x:v>
      </x:c>
      <x:c r="Y71" s="68" t="str">
        <x:v>特殊格局、从化候选及明确组合转M11/M14另审</x:v>
      </x:c>
      <x:c r="Z71" s="68" t="str">
        <x:v>不得直接推出吉凶、具体事件、亲属结果或最终喜忌</x:v>
      </x:c>
      <x:c r="AA71" s="84" t="str">
        <x:v>正财基本功能</x:v>
      </x:c>
      <x:c r="AB71" s="84" t="str">
        <x:v>有效财星首先承担耗身和承接食伤功能：当“正财有效存在”成立时，按本规则记录十神的有效功能；同时保留制化、承载和反向证据。</x:v>
      </x:c>
      <x:c r="AC71" s="82" t="str">
        <x:v>较高</x:v>
      </x:c>
      <x:c r="AD71" s="82" t="str">
        <x:v>现代综合</x:v>
      </x:c>
      <x:c r="AE71" s="68" t="str">
        <x:v>十神必须分开判断存在性、力量、清纯度、功能性与喜忌性；M10只形成结构层结论和候选，不越级替代M11—M18。</x:v>
      </x:c>
      <x:c r="AF71" s="68" t="str">
        <x:v>相关条件真实成立，且增强条件有效时，可按“有效财星首先承担耗身和承接食伤功能”记录对应功能。</x:v>
      </x:c>
      <x:c r="AG71" s="90" t="str">
        <x:v>仅见表面十神名称或数量，但“不得以十神名称、数量或单一旺弱证据直接完成定性”所述限制存在时，不得套用本规则。</x:v>
      </x:c>
      <x:c r="AH71" s="68" t="str">
        <x:v>https://zh.wikisource.org/wiki/%E6%B8%8A%E6%B5%B7%E5%AD%90%E5%B9%B3%E5%A4%A7%E5%85%A8 ; https://zh.wikisource.org/wiki/%E6%BB%B4%E5%A4%A9%E9%AB%93%E9%97%A1%E5%BE%AE</x:v>
      </x:c>
      <x:c r="AI71" s="82" t="str">
        <x:v>采用</x:v>
      </x:c>
      <x:c r="AJ71" s="82" t="str">
        <x:v>初审</x:v>
      </x:c>
      <x:c r="AK71" s="87" t="n">
        <x:v>46255</x:v>
      </x:c>
    </x:row>
    <x:row r="72">
      <x:c r="A72" s="72" t="str">
        <x:f>IF(OR(C72="",D72=""),"",B72&amp;"-"&amp;UPPER(C72)&amp;"-"&amp;TEXT(D72,"0000")&amp;"-"&amp;E72)</x:f>
        <x:v>M10-CAI-0066-V1.0</x:v>
      </x:c>
      <x:c r="B72" s="74" t="str">
        <x:v>M10</x:v>
      </x:c>
      <x:c r="C72" s="74" t="str">
        <x:v>CAI</x:v>
      </x:c>
      <x:c r="D72" s="215" t="n">
        <x:v>66</x:v>
      </x:c>
      <x:c r="E72" s="74" t="str">
        <x:v>V1.0</x:v>
      </x:c>
      <x:c r="F72" s="68" t="str">
        <x:v>偏财同样耗身并具有生官杀接口</x:v>
      </x:c>
      <x:c r="G72" s="82" t="str">
        <x:v>结构层</x:v>
      </x:c>
      <x:c r="H72" s="82" t="str">
        <x:v>偏财</x:v>
      </x:c>
      <x:c r="I72" s="82" t="str">
        <x:v>待定</x:v>
      </x:c>
      <x:c r="J72" s="82" t="str">
        <x:v>待定</x:v>
      </x:c>
      <x:c r="K72" s="82" t="str">
        <x:v>待定</x:v>
      </x:c>
      <x:c r="L72" s="82" t="str">
        <x:v>待定</x:v>
      </x:c>
      <x:c r="M72" s="68" t="str">
        <x:v>按M08核查</x:v>
      </x:c>
      <x:c r="N72" s="68" t="str">
        <x:v>按M06/M08核查</x:v>
      </x:c>
      <x:c r="O72" s="82" t="str">
        <x:v>正常发挥</x:v>
      </x:c>
      <x:c r="P72" s="68" t="str">
        <x:v>转M11/M14判断</x:v>
      </x:c>
      <x:c r="Q72" s="68" t="str">
        <x:v>耗身，同时可向官杀提供生源</x:v>
      </x:c>
      <x:c r="R72" s="82" t="str">
        <x:v>待定</x:v>
      </x:c>
      <x:c r="S72" s="68" t="str">
        <x:v>偏财有效存在</x:v>
      </x:c>
      <x:c r="T72" s="68" t="str">
        <x:v>M02十神映射、M08五行有效旺衰、M09日主旺衰已完成</x:v>
      </x:c>
      <x:c r="U72" s="68" t="str">
        <x:v>相关十神已由M02正确映射，并以M08有效力量为准</x:v>
      </x:c>
      <x:c r="V72" s="68" t="str">
        <x:v>得令、有根、透干、同党或生源形成独立有效证据</x:v>
      </x:c>
      <x:c r="W72" s="68" t="str">
        <x:v>失令、无根、被合绊、被制、改性或作用路径受阻</x:v>
      </x:c>
      <x:c r="X72" s="90" t="str">
        <x:v>不得以十神名称、数量或单一旺弱证据直接完成定性</x:v>
      </x:c>
      <x:c r="Y72" s="68" t="str">
        <x:v>特殊格局、从化候选及明确组合转M11/M14另审</x:v>
      </x:c>
      <x:c r="Z72" s="68" t="str">
        <x:v>不得直接推出吉凶、具体事件、亲属结果或最终喜忌</x:v>
      </x:c>
      <x:c r="AA72" s="84" t="str">
        <x:v>偏财基本功能</x:v>
      </x:c>
      <x:c r="AB72" s="84" t="str">
        <x:v>偏财同样耗身并具有生官杀接口：当“偏财有效存在”成立时，按本规则记录十神的有效功能；同时保留制化、承载和反向证据。</x:v>
      </x:c>
      <x:c r="AC72" s="82" t="str">
        <x:v>较高</x:v>
      </x:c>
      <x:c r="AD72" s="82" t="str">
        <x:v>现代综合</x:v>
      </x:c>
      <x:c r="AE72" s="68" t="str">
        <x:v>十神必须分开判断存在性、力量、清纯度、功能性与喜忌性；M10只形成结构层结论和候选，不越级替代M11—M18。</x:v>
      </x:c>
      <x:c r="AF72" s="68" t="str">
        <x:v>相关条件真实成立，且增强条件有效时，可按“偏财同样耗身并具有生官杀接口”记录对应功能。</x:v>
      </x:c>
      <x:c r="AG72" s="90" t="str">
        <x:v>仅见表面十神名称或数量，但“不得以十神名称、数量或单一旺弱证据直接完成定性”所述限制存在时，不得套用本规则。</x:v>
      </x:c>
      <x:c r="AH72" s="68" t="str">
        <x:v>https://zh.wikisource.org/wiki/%E6%B8%8A%E6%B5%B7%E5%AD%90%E5%B9%B3%E5%A4%A7%E5%85%A8 ; https://zh.wikisource.org/wiki/%E6%BB%B4%E5%A4%A9%E9%AB%93%E9%97%A1%E5%BE%AE</x:v>
      </x:c>
      <x:c r="AI72" s="82" t="str">
        <x:v>采用</x:v>
      </x:c>
      <x:c r="AJ72" s="82" t="str">
        <x:v>初审</x:v>
      </x:c>
      <x:c r="AK72" s="87" t="n">
        <x:v>46255</x:v>
      </x:c>
    </x:row>
    <x:row r="73">
      <x:c r="A73" s="72" t="str">
        <x:f>IF(OR(C73="",D73=""),"",B73&amp;"-"&amp;UPPER(C73)&amp;"-"&amp;TEXT(D73,"0000")&amp;"-"&amp;E73)</x:f>
        <x:v>M10-CAI-0067-V1.0</x:v>
      </x:c>
      <x:c r="B73" s="74" t="str">
        <x:v>M10</x:v>
      </x:c>
      <x:c r="C73" s="74" t="str">
        <x:v>CAI</x:v>
      </x:c>
      <x:c r="D73" s="215" t="n">
        <x:v>67</x:v>
      </x:c>
      <x:c r="E73" s="74" t="str">
        <x:v>V1.0</x:v>
      </x:c>
      <x:c r="F73" s="68" t="str">
        <x:v>身旺且财星有效时可形成任财候选</x:v>
      </x:c>
      <x:c r="G73" s="82" t="str">
        <x:v>结构层</x:v>
      </x:c>
      <x:c r="H73" s="82" t="str">
        <x:v>正财</x:v>
      </x:c>
      <x:c r="I73" s="82" t="str">
        <x:v>待定</x:v>
      </x:c>
      <x:c r="J73" s="82" t="str">
        <x:v>待定</x:v>
      </x:c>
      <x:c r="K73" s="82" t="str">
        <x:v>待定</x:v>
      </x:c>
      <x:c r="L73" s="82" t="str">
        <x:v>待定</x:v>
      </x:c>
      <x:c r="M73" s="68" t="str">
        <x:v>按M08核查</x:v>
      </x:c>
      <x:c r="N73" s="68" t="str">
        <x:v>按M06/M08核查</x:v>
      </x:c>
      <x:c r="O73" s="82" t="str">
        <x:v>待定</x:v>
      </x:c>
      <x:c r="P73" s="68" t="str">
        <x:v>转M11/M14判断</x:v>
      </x:c>
      <x:c r="Q73" s="68" t="str">
        <x:v>为强身提供合理耗用出口</x:v>
      </x:c>
      <x:c r="R73" s="82" t="str">
        <x:v>条件性喜神</x:v>
      </x:c>
      <x:c r="S73" s="68" t="str">
        <x:v>M09日主旺或中和偏旺，正财有效且不过度</x:v>
      </x:c>
      <x:c r="T73" s="68" t="str">
        <x:v>M02十神映射、M08五行有效旺衰、M09日主旺衰已完成</x:v>
      </x:c>
      <x:c r="U73" s="68" t="str">
        <x:v>相关十神已由M02正确映射，并以M08有效力量为准</x:v>
      </x:c>
      <x:c r="V73" s="68" t="str">
        <x:v>得令、有根、透干、同党或生源形成独立有效证据</x:v>
      </x:c>
      <x:c r="W73" s="68" t="str">
        <x:v>失令、无根、被合绊、被制、改性或作用路径受阻</x:v>
      </x:c>
      <x:c r="X73" s="90" t="str">
        <x:v>不得以十神名称、数量或单一旺弱证据直接完成定性</x:v>
      </x:c>
      <x:c r="Y73" s="68" t="str">
        <x:v>特殊格局、从化候选及明确组合转M11/M14另审</x:v>
      </x:c>
      <x:c r="Z73" s="68" t="str">
        <x:v>不得直接推出吉凶、具体事件、亲属结果或最终喜忌</x:v>
      </x:c>
      <x:c r="AA73" s="84" t="str">
        <x:v>身旺任财候选</x:v>
      </x:c>
      <x:c r="AB73" s="84" t="str">
        <x:v>身旺且财星有效时可形成任财候选：当“M09日主旺或中和偏旺，正财有效且不过度”成立时，按本规则记录十神的有效功能；同时保留制化、承载和反向证据。</x:v>
      </x:c>
      <x:c r="AC73" s="82" t="str">
        <x:v>较高</x:v>
      </x:c>
      <x:c r="AD73" s="82" t="str">
        <x:v>现代综合</x:v>
      </x:c>
      <x:c r="AE73" s="68" t="str">
        <x:v>十神必须分开判断存在性、力量、清纯度、功能性与喜忌性；M10只形成结构层结论和候选，不越级替代M11—M18。</x:v>
      </x:c>
      <x:c r="AF73" s="68" t="str">
        <x:v>相关条件真实成立，且增强条件有效时，可按“身旺且财星有效时可形成任财候选”记录对应功能。</x:v>
      </x:c>
      <x:c r="AG73" s="90" t="str">
        <x:v>仅见表面十神名称或数量，但“不得以十神名称、数量或单一旺弱证据直接完成定性”所述限制存在时，不得套用本规则。</x:v>
      </x:c>
      <x:c r="AH73" s="68" t="str">
        <x:v>https://zh.wikisource.org/wiki/%E6%B8%8A%E6%B5%B7%E5%AD%90%E5%B9%B3%E5%A4%A7%E5%85%A8 ; https://zh.wikisource.org/wiki/%E6%BB%B4%E5%A4%A9%E9%AB%93%E9%97%A1%E5%BE%AE</x:v>
      </x:c>
      <x:c r="AI73" s="82" t="str">
        <x:v>采用</x:v>
      </x:c>
      <x:c r="AJ73" s="82" t="str">
        <x:v>初审</x:v>
      </x:c>
      <x:c r="AK73" s="87" t="n">
        <x:v>46255</x:v>
      </x:c>
    </x:row>
    <x:row r="74">
      <x:c r="A74" s="72" t="str">
        <x:f>IF(OR(C74="",D74=""),"",B74&amp;"-"&amp;UPPER(C74)&amp;"-"&amp;TEXT(D74,"0000")&amp;"-"&amp;E74)</x:f>
        <x:v>M10-CAI-0068-V1.0</x:v>
      </x:c>
      <x:c r="B74" s="74" t="str">
        <x:v>M10</x:v>
      </x:c>
      <x:c r="C74" s="74" t="str">
        <x:v>CAI</x:v>
      </x:c>
      <x:c r="D74" s="215" t="n">
        <x:v>68</x:v>
      </x:c>
      <x:c r="E74" s="74" t="str">
        <x:v>V1.0</x:v>
      </x:c>
      <x:c r="F74" s="68" t="str">
        <x:v>身弱财旺时财星可能成为主要耗身负荷</x:v>
      </x:c>
      <x:c r="G74" s="82" t="str">
        <x:v>结构层</x:v>
      </x:c>
      <x:c r="H74" s="82" t="str">
        <x:v>偏财</x:v>
      </x:c>
      <x:c r="I74" s="82" t="str">
        <x:v>待定</x:v>
      </x:c>
      <x:c r="J74" s="82" t="str">
        <x:v>待定</x:v>
      </x:c>
      <x:c r="K74" s="82" t="str">
        <x:v>待定</x:v>
      </x:c>
      <x:c r="L74" s="82" t="str">
        <x:v>待定</x:v>
      </x:c>
      <x:c r="M74" s="68" t="str">
        <x:v>按M08核查</x:v>
      </x:c>
      <x:c r="N74" s="68" t="str">
        <x:v>按M06/M08核查</x:v>
      </x:c>
      <x:c r="O74" s="82" t="str">
        <x:v>过度</x:v>
      </x:c>
      <x:c r="P74" s="68" t="str">
        <x:v>转M11/M14判断</x:v>
      </x:c>
      <x:c r="Q74" s="68" t="str">
        <x:v>持续耗身并可能生官杀加压</x:v>
      </x:c>
      <x:c r="R74" s="82" t="str">
        <x:v>条件性忌神</x:v>
      </x:c>
      <x:c r="S74" s="68" t="str">
        <x:v>M09日主弱或中和偏弱，偏财旺且印比不足</x:v>
      </x:c>
      <x:c r="T74" s="68" t="str">
        <x:v>M02十神映射、M08五行有效旺衰、M09日主旺衰已完成</x:v>
      </x:c>
      <x:c r="U74" s="68" t="str">
        <x:v>相关十神已由M02正确映射，并以M08有效力量为准</x:v>
      </x:c>
      <x:c r="V74" s="68" t="str">
        <x:v>得令、有根、透干、同党或生源形成独立有效证据</x:v>
      </x:c>
      <x:c r="W74" s="68" t="str">
        <x:v>失令、无根、被合绊、被制、改性或作用路径受阻</x:v>
      </x:c>
      <x:c r="X74" s="90" t="str">
        <x:v>不得以十神名称、数量或单一旺弱证据直接完成定性</x:v>
      </x:c>
      <x:c r="Y74" s="68" t="str">
        <x:v>特殊格局、从化候选及明确组合转M11/M14另审</x:v>
      </x:c>
      <x:c r="Z74" s="68" t="str">
        <x:v>不得直接推出吉凶、具体事件、亲属结果或最终喜忌</x:v>
      </x:c>
      <x:c r="AA74" s="84" t="str">
        <x:v>财多身弱候选</x:v>
      </x:c>
      <x:c r="AB74" s="84" t="str">
        <x:v>身弱财旺时财星可能成为主要耗身负荷：当“M09日主弱或中和偏弱，偏财旺且印比不足”成立时，按本规则记录十神的有效功能；同时保留制化、承载和反向证据。</x:v>
      </x:c>
      <x:c r="AC74" s="82" t="str">
        <x:v>较高</x:v>
      </x:c>
      <x:c r="AD74" s="82" t="str">
        <x:v>现代综合</x:v>
      </x:c>
      <x:c r="AE74" s="68" t="str">
        <x:v>十神必须分开判断存在性、力量、清纯度、功能性与喜忌性；M10只形成结构层结论和候选，不越级替代M11—M18。</x:v>
      </x:c>
      <x:c r="AF74" s="68" t="str">
        <x:v>相关条件真实成立，且增强条件有效时，可按“身弱财旺时财星可能成为主要耗身负荷”记录对应功能。</x:v>
      </x:c>
      <x:c r="AG74" s="90" t="str">
        <x:v>仅见表面十神名称或数量，但“不得以十神名称、数量或单一旺弱证据直接完成定性”所述限制存在时，不得套用本规则。</x:v>
      </x:c>
      <x:c r="AH74" s="68" t="str">
        <x:v>https://zh.wikisource.org/wiki/%E6%B8%8A%E6%B5%B7%E5%AD%90%E5%B9%B3%E5%A4%A7%E5%85%A8 ; https://zh.wikisource.org/wiki/%E6%BB%B4%E5%A4%A9%E9%AB%93%E9%97%A1%E5%BE%AE</x:v>
      </x:c>
      <x:c r="AI74" s="82" t="str">
        <x:v>采用</x:v>
      </x:c>
      <x:c r="AJ74" s="82" t="str">
        <x:v>初审</x:v>
      </x:c>
      <x:c r="AK74" s="87" t="n">
        <x:v>46255</x:v>
      </x:c>
    </x:row>
    <x:row r="75">
      <x:c r="A75" s="72" t="str">
        <x:f>IF(OR(C75="",D75=""),"",B75&amp;"-"&amp;UPPER(C75)&amp;"-"&amp;TEXT(D75,"0000")&amp;"-"&amp;E75)</x:f>
        <x:v>M10-CAI-0069-V1.0</x:v>
      </x:c>
      <x:c r="B75" s="74" t="str">
        <x:v>M10</x:v>
      </x:c>
      <x:c r="C75" s="74" t="str">
        <x:v>CAI</x:v>
      </x:c>
      <x:c r="D75" s="215" t="n">
        <x:v>69</x:v>
      </x:c>
      <x:c r="E75" s="74" t="str">
        <x:v>V1.0</x:v>
      </x:c>
      <x:c r="F75" s="68" t="str">
        <x:v>财星受比劫强制时有效性下降</x:v>
      </x:c>
      <x:c r="G75" s="82" t="str">
        <x:v>结构层</x:v>
      </x:c>
      <x:c r="H75" s="82" t="str">
        <x:v>正财</x:v>
      </x:c>
      <x:c r="I75" s="82" t="str">
        <x:v>待定</x:v>
      </x:c>
      <x:c r="J75" s="82" t="str">
        <x:v>待定</x:v>
      </x:c>
      <x:c r="K75" s="82" t="str">
        <x:v>待定</x:v>
      </x:c>
      <x:c r="L75" s="82" t="str">
        <x:v>待定</x:v>
      </x:c>
      <x:c r="M75" s="68" t="str">
        <x:v>按M08核查</x:v>
      </x:c>
      <x:c r="N75" s="68" t="str">
        <x:v>受比劫有效克制</x:v>
      </x:c>
      <x:c r="O75" s="82" t="str">
        <x:v>受限</x:v>
      </x:c>
      <x:c r="P75" s="68" t="str">
        <x:v>转M11/M14判断</x:v>
      </x:c>
      <x:c r="Q75" s="68" t="str">
        <x:v>需结合M09日主承载判断</x:v>
      </x:c>
      <x:c r="R75" s="82" t="str">
        <x:v>待定</x:v>
      </x:c>
      <x:c r="S75" s="68" t="str">
        <x:v>比劫对正财形成实质有效克制</x:v>
      </x:c>
      <x:c r="T75" s="68" t="str">
        <x:v>M02十神映射、M08五行有效旺衰、M09日主旺衰已完成</x:v>
      </x:c>
      <x:c r="U75" s="68" t="str">
        <x:v>相关十神已由M02正确映射，并以M08有效力量为准</x:v>
      </x:c>
      <x:c r="V75" s="68" t="str">
        <x:v>得令、有根、透干、同党或生源形成独立有效证据</x:v>
      </x:c>
      <x:c r="W75" s="68" t="str">
        <x:v>失令、无根、被合绊、被制、改性或作用路径受阻</x:v>
      </x:c>
      <x:c r="X75" s="90" t="str">
        <x:v>不得以十神名称、数量或单一旺弱证据直接完成定性</x:v>
      </x:c>
      <x:c r="Y75" s="68" t="str">
        <x:v>特殊格局、从化候选及明确组合转M11/M14另审</x:v>
      </x:c>
      <x:c r="Z75" s="68" t="str">
        <x:v>不得直接推出吉凶、具体事件、亲属结果或最终喜忌</x:v>
      </x:c>
      <x:c r="AA75" s="84" t="str">
        <x:v>财受比劫制</x:v>
      </x:c>
      <x:c r="AB75" s="84" t="str">
        <x:v>财星受比劫强制时有效性下降：当“比劫对正财形成实质有效克制”成立时，按本规则记录十神的有效功能；同时保留制化、承载和反向证据。</x:v>
      </x:c>
      <x:c r="AC75" s="82" t="str">
        <x:v>较高</x:v>
      </x:c>
      <x:c r="AD75" s="82" t="str">
        <x:v>现代综合</x:v>
      </x:c>
      <x:c r="AE75" s="68" t="str">
        <x:v>十神必须分开判断存在性、力量、清纯度、功能性与喜忌性；M10只形成结构层结论和候选，不越级替代M11—M18。</x:v>
      </x:c>
      <x:c r="AF75" s="68" t="str">
        <x:v>相关条件真实成立，且增强条件有效时，可按“财星受比劫强制时有效性下降”记录对应功能。</x:v>
      </x:c>
      <x:c r="AG75" s="90" t="str">
        <x:v>仅见表面十神名称或数量，但“不得以十神名称、数量或单一旺弱证据直接完成定性”所述限制存在时，不得套用本规则。</x:v>
      </x:c>
      <x:c r="AH75" s="68" t="str">
        <x:v>https://zh.wikisource.org/wiki/%E6%B8%8A%E6%B5%B7%E5%AD%90%E5%B9%B3%E5%A4%A7%E5%85%A8 ; https://zh.wikisource.org/wiki/%E6%BB%B4%E5%A4%A9%E9%AB%93%E9%97%A1%E5%BE%AE</x:v>
      </x:c>
      <x:c r="AI75" s="82" t="str">
        <x:v>采用</x:v>
      </x:c>
      <x:c r="AJ75" s="82" t="str">
        <x:v>初审</x:v>
      </x:c>
      <x:c r="AK75" s="87" t="n">
        <x:v>46255</x:v>
      </x:c>
    </x:row>
    <x:row r="76">
      <x:c r="A76" s="72" t="str">
        <x:f>IF(OR(C76="",D76=""),"",B76&amp;"-"&amp;UPPER(C76)&amp;"-"&amp;TEXT(D76,"0000")&amp;"-"&amp;E76)</x:f>
        <x:v>M10-CAI-0070-V1.0</x:v>
      </x:c>
      <x:c r="B76" s="74" t="str">
        <x:v>M10</x:v>
      </x:c>
      <x:c r="C76" s="74" t="str">
        <x:v>CAI</x:v>
      </x:c>
      <x:c r="D76" s="215" t="n">
        <x:v>70</x:v>
      </x:c>
      <x:c r="E76" s="74" t="str">
        <x:v>V1.0</x:v>
      </x:c>
      <x:c r="F76" s="68" t="str">
        <x:v>财星制印须财印力量和路径均成立</x:v>
      </x:c>
      <x:c r="G76" s="82" t="str">
        <x:v>结构层</x:v>
      </x:c>
      <x:c r="H76" s="82" t="str">
        <x:v>偏财</x:v>
      </x:c>
      <x:c r="I76" s="82" t="str">
        <x:v>待定</x:v>
      </x:c>
      <x:c r="J76" s="82" t="str">
        <x:v>待定</x:v>
      </x:c>
      <x:c r="K76" s="82" t="str">
        <x:v>待定</x:v>
      </x:c>
      <x:c r="L76" s="82" t="str">
        <x:v>待定</x:v>
      </x:c>
      <x:c r="M76" s="68" t="str">
        <x:v>按M08核查</x:v>
      </x:c>
      <x:c r="N76" s="68" t="str">
        <x:v>对印星形成有效克制</x:v>
      </x:c>
      <x:c r="O76" s="82" t="str">
        <x:v>待定</x:v>
      </x:c>
      <x:c r="P76" s="68" t="str">
        <x:v>财坏印候选转M11</x:v>
      </x:c>
      <x:c r="Q76" s="68" t="str">
        <x:v>需结合M09日主承载判断</x:v>
      </x:c>
      <x:c r="R76" s="82" t="str">
        <x:v>待定</x:v>
      </x:c>
      <x:c r="S76" s="68" t="str">
        <x:v>偏财与印星形成有效克制</x:v>
      </x:c>
      <x:c r="T76" s="68" t="str">
        <x:v>M02十神映射、M08五行有效旺衰、M09日主旺衰已完成</x:v>
      </x:c>
      <x:c r="U76" s="68" t="str">
        <x:v>相关十神已由M02正确映射，并以M08有效力量为准</x:v>
      </x:c>
      <x:c r="V76" s="68" t="str">
        <x:v>得令、有根、透干、同党或生源形成独立有效证据</x:v>
      </x:c>
      <x:c r="W76" s="68" t="str">
        <x:v>失令、无根、被合绊、被制、改性或作用路径受阻</x:v>
      </x:c>
      <x:c r="X76" s="90" t="str">
        <x:v>不得以十神名称、数量或单一旺弱证据直接完成定性</x:v>
      </x:c>
      <x:c r="Y76" s="68" t="str">
        <x:v>特殊格局、从化候选及明确组合转M11/M14另审</x:v>
      </x:c>
      <x:c r="Z76" s="68" t="str">
        <x:v>不得直接推出吉凶、具体事件、亲属结果或最终喜忌</x:v>
      </x:c>
      <x:c r="AA76" s="84" t="str">
        <x:v>财制印接口</x:v>
      </x:c>
      <x:c r="AB76" s="84" t="str">
        <x:v>财星制印须财印力量和路径均成立：当“偏财与印星形成有效克制”成立时，按本规则记录十神的有效功能；同时保留制化、承载和反向证据。</x:v>
      </x:c>
      <x:c r="AC76" s="82" t="str">
        <x:v>较高</x:v>
      </x:c>
      <x:c r="AD76" s="82" t="str">
        <x:v>现代综合</x:v>
      </x:c>
      <x:c r="AE76" s="68" t="str">
        <x:v>十神必须分开判断存在性、力量、清纯度、功能性与喜忌性；M10只形成结构层结论和候选，不越级替代M11—M18。</x:v>
      </x:c>
      <x:c r="AF76" s="68" t="str">
        <x:v>相关条件真实成立，且增强条件有效时，可按“财星制印须财印力量和路径均成立”记录对应功能。</x:v>
      </x:c>
      <x:c r="AG76" s="90" t="str">
        <x:v>仅见表面十神名称或数量，但“不得以十神名称、数量或单一旺弱证据直接完成定性”所述限制存在时，不得套用本规则。</x:v>
      </x:c>
      <x:c r="AH76" s="68" t="str">
        <x:v>https://zh.wikisource.org/wiki/%E6%B8%8A%E6%B5%B7%E5%AD%90%E5%B9%B3%E5%A4%A7%E5%85%A8 ; https://zh.wikisource.org/wiki/%E6%BB%B4%E5%A4%A9%E9%AB%93%E9%97%A1%E5%BE%AE</x:v>
      </x:c>
      <x:c r="AI76" s="82" t="str">
        <x:v>采用</x:v>
      </x:c>
      <x:c r="AJ76" s="82" t="str">
        <x:v>初审</x:v>
      </x:c>
      <x:c r="AK76" s="87" t="n">
        <x:v>46255</x:v>
      </x:c>
    </x:row>
    <x:row r="77">
      <x:c r="A77" s="72" t="str">
        <x:f>IF(OR(C77="",D77=""),"",B77&amp;"-"&amp;UPPER(C77)&amp;"-"&amp;TEXT(D77,"0000")&amp;"-"&amp;E77)</x:f>
        <x:v>M10-CAI-0071-V1.0</x:v>
      </x:c>
      <x:c r="B77" s="74" t="str">
        <x:v>M10</x:v>
      </x:c>
      <x:c r="C77" s="74" t="str">
        <x:v>CAI</x:v>
      </x:c>
      <x:c r="D77" s="215" t="n">
        <x:v>71</x:v>
      </x:c>
      <x:c r="E77" s="74" t="str">
        <x:v>V1.0</x:v>
      </x:c>
      <x:c r="F77" s="68" t="str">
        <x:v>财生官必须官星能够承接</x:v>
      </x:c>
      <x:c r="G77" s="82" t="str">
        <x:v>结构层</x:v>
      </x:c>
      <x:c r="H77" s="82" t="str">
        <x:v>正财</x:v>
      </x:c>
      <x:c r="I77" s="82" t="str">
        <x:v>待定</x:v>
      </x:c>
      <x:c r="J77" s="82" t="str">
        <x:v>待定</x:v>
      </x:c>
      <x:c r="K77" s="82" t="str">
        <x:v>待定</x:v>
      </x:c>
      <x:c r="L77" s="82" t="str">
        <x:v>待定</x:v>
      </x:c>
      <x:c r="M77" s="68" t="str">
        <x:v>财为官星生源</x:v>
      </x:c>
      <x:c r="N77" s="68" t="str">
        <x:v>按M06/M08核查</x:v>
      </x:c>
      <x:c r="O77" s="82" t="str">
        <x:v>待定</x:v>
      </x:c>
      <x:c r="P77" s="68" t="str">
        <x:v>财官相生候选转M11</x:v>
      </x:c>
      <x:c r="Q77" s="68" t="str">
        <x:v>需结合M09日主承载判断</x:v>
      </x:c>
      <x:c r="R77" s="82" t="str">
        <x:v>待定</x:v>
      </x:c>
      <x:c r="S77" s="68" t="str">
        <x:v>正财有效且正官存在，生扶路径连续</x:v>
      </x:c>
      <x:c r="T77" s="68" t="str">
        <x:v>M02十神映射、M08五行有效旺衰、M09日主旺衰已完成</x:v>
      </x:c>
      <x:c r="U77" s="68" t="str">
        <x:v>相关十神已由M02正确映射，并以M08有效力量为准</x:v>
      </x:c>
      <x:c r="V77" s="68" t="str">
        <x:v>得令、有根、透干、同党或生源形成独立有效证据</x:v>
      </x:c>
      <x:c r="W77" s="68" t="str">
        <x:v>失令、无根、被合绊、被制、改性或作用路径受阻</x:v>
      </x:c>
      <x:c r="X77" s="90" t="str">
        <x:v>不得以十神名称、数量或单一旺弱证据直接完成定性</x:v>
      </x:c>
      <x:c r="Y77" s="68" t="str">
        <x:v>特殊格局、从化候选及明确组合转M11/M14另审</x:v>
      </x:c>
      <x:c r="Z77" s="68" t="str">
        <x:v>不得直接推出吉凶、具体事件、亲属结果或最终喜忌</x:v>
      </x:c>
      <x:c r="AA77" s="84" t="str">
        <x:v>财生官接口</x:v>
      </x:c>
      <x:c r="AB77" s="84" t="str">
        <x:v>财生官必须官星能够承接：当“正财有效且正官存在，生扶路径连续”成立时，按本规则记录十神的有效功能；同时保留制化、承载和反向证据。</x:v>
      </x:c>
      <x:c r="AC77" s="82" t="str">
        <x:v>较高</x:v>
      </x:c>
      <x:c r="AD77" s="82" t="str">
        <x:v>现代综合</x:v>
      </x:c>
      <x:c r="AE77" s="68" t="str">
        <x:v>十神必须分开判断存在性、力量、清纯度、功能性与喜忌性；M10只形成结构层结论和候选，不越级替代M11—M18。</x:v>
      </x:c>
      <x:c r="AF77" s="68" t="str">
        <x:v>相关条件真实成立，且增强条件有效时，可按“财生官必须官星能够承接”记录对应功能。</x:v>
      </x:c>
      <x:c r="AG77" s="90" t="str">
        <x:v>仅见表面十神名称或数量，但“不得以十神名称、数量或单一旺弱证据直接完成定性”所述限制存在时，不得套用本规则。</x:v>
      </x:c>
      <x:c r="AH77" s="68" t="str">
        <x:v>https://zh.wikisource.org/wiki/%E6%B8%8A%E6%B5%B7%E5%AD%90%E5%B9%B3%E5%A4%A7%E5%85%A8 ; https://zh.wikisource.org/wiki/%E6%BB%B4%E5%A4%A9%E9%AB%93%E9%97%A1%E5%BE%AE</x:v>
      </x:c>
      <x:c r="AI77" s="82" t="str">
        <x:v>采用</x:v>
      </x:c>
      <x:c r="AJ77" s="82" t="str">
        <x:v>初审</x:v>
      </x:c>
      <x:c r="AK77" s="87" t="n">
        <x:v>46255</x:v>
      </x:c>
    </x:row>
    <x:row r="78">
      <x:c r="A78" s="72" t="str">
        <x:f>IF(OR(C78="",D78=""),"",B78&amp;"-"&amp;UPPER(C78)&amp;"-"&amp;TEXT(D78,"0000")&amp;"-"&amp;E78)</x:f>
        <x:v>M10-CAI-0072-V1.0</x:v>
      </x:c>
      <x:c r="B78" s="74" t="str">
        <x:v>M10</x:v>
      </x:c>
      <x:c r="C78" s="74" t="str">
        <x:v>CAI</x:v>
      </x:c>
      <x:c r="D78" s="215" t="n">
        <x:v>72</x:v>
      </x:c>
      <x:c r="E78" s="74" t="str">
        <x:v>V1.0</x:v>
      </x:c>
      <x:c r="F78" s="68" t="str">
        <x:v>财生杀会同时增加日主官杀负荷</x:v>
      </x:c>
      <x:c r="G78" s="82" t="str">
        <x:v>结构层</x:v>
      </x:c>
      <x:c r="H78" s="82" t="str">
        <x:v>偏财</x:v>
      </x:c>
      <x:c r="I78" s="82" t="str">
        <x:v>待定</x:v>
      </x:c>
      <x:c r="J78" s="82" t="str">
        <x:v>待定</x:v>
      </x:c>
      <x:c r="K78" s="82" t="str">
        <x:v>待定</x:v>
      </x:c>
      <x:c r="L78" s="82" t="str">
        <x:v>待定</x:v>
      </x:c>
      <x:c r="M78" s="68" t="str">
        <x:v>偏财生杀</x:v>
      </x:c>
      <x:c r="N78" s="68" t="str">
        <x:v>按M06/M08核查</x:v>
      </x:c>
      <x:c r="O78" s="82" t="str">
        <x:v>待定</x:v>
      </x:c>
      <x:c r="P78" s="68" t="str">
        <x:v>转M11/M14判断</x:v>
      </x:c>
      <x:c r="Q78" s="68" t="str">
        <x:v>间接提高七杀制身压力</x:v>
      </x:c>
      <x:c r="R78" s="82" t="str">
        <x:v>待定</x:v>
      </x:c>
      <x:c r="S78" s="68" t="str">
        <x:v>偏财有效生七杀，且七杀能够承接</x:v>
      </x:c>
      <x:c r="T78" s="68" t="str">
        <x:v>M02十神映射、M08五行有效旺衰、M09日主旺衰已完成</x:v>
      </x:c>
      <x:c r="U78" s="68" t="str">
        <x:v>相关十神已由M02正确映射，并以M08有效力量为准</x:v>
      </x:c>
      <x:c r="V78" s="68" t="str">
        <x:v>得令、有根、透干、同党或生源形成独立有效证据</x:v>
      </x:c>
      <x:c r="W78" s="68" t="str">
        <x:v>失令、无根、被合绊、被制、改性或作用路径受阻</x:v>
      </x:c>
      <x:c r="X78" s="90" t="str">
        <x:v>不得以十神名称、数量或单一旺弱证据直接完成定性</x:v>
      </x:c>
      <x:c r="Y78" s="68" t="str">
        <x:v>特殊格局、从化候选及明确组合转M11/M14另审</x:v>
      </x:c>
      <x:c r="Z78" s="68" t="str">
        <x:v>不得直接推出吉凶、具体事件、亲属结果或最终喜忌</x:v>
      </x:c>
      <x:c r="AA78" s="84" t="str">
        <x:v>财生杀加压</x:v>
      </x:c>
      <x:c r="AB78" s="84" t="str">
        <x:v>财生杀会同时增加日主官杀负荷：当“偏财有效生七杀，且七杀能够承接”成立时，按本规则记录十神的有效功能；同时保留制化、承载和反向证据。</x:v>
      </x:c>
      <x:c r="AC78" s="82" t="str">
        <x:v>较高</x:v>
      </x:c>
      <x:c r="AD78" s="82" t="str">
        <x:v>现代综合</x:v>
      </x:c>
      <x:c r="AE78" s="68" t="str">
        <x:v>十神必须分开判断存在性、力量、清纯度、功能性与喜忌性；M10只形成结构层结论和候选，不越级替代M11—M18。</x:v>
      </x:c>
      <x:c r="AF78" s="68" t="str">
        <x:v>相关条件真实成立，且增强条件有效时，可按“财生杀会同时增加日主官杀负荷”记录对应功能。</x:v>
      </x:c>
      <x:c r="AG78" s="90" t="str">
        <x:v>仅见表面十神名称或数量，但“不得以十神名称、数量或单一旺弱证据直接完成定性”所述限制存在时，不得套用本规则。</x:v>
      </x:c>
      <x:c r="AH78" s="68" t="str">
        <x:v>https://zh.wikisource.org/wiki/%E6%B8%8A%E6%B5%B7%E5%AD%90%E5%B9%B3%E5%A4%A7%E5%85%A8 ; https://zh.wikisource.org/wiki/%E6%BB%B4%E5%A4%A9%E9%AB%93%E9%97%A1%E5%BE%AE</x:v>
      </x:c>
      <x:c r="AI78" s="82" t="str">
        <x:v>采用</x:v>
      </x:c>
      <x:c r="AJ78" s="82" t="str">
        <x:v>初审</x:v>
      </x:c>
      <x:c r="AK78" s="87" t="n">
        <x:v>46255</x:v>
      </x:c>
    </x:row>
    <x:row r="79">
      <x:c r="A79" s="72" t="str">
        <x:f>IF(OR(C79="",D79=""),"",B79&amp;"-"&amp;UPPER(C79)&amp;"-"&amp;TEXT(D79,"0000")&amp;"-"&amp;E79)</x:f>
        <x:v>M10-CAI-0073-V1.0</x:v>
      </x:c>
      <x:c r="B79" s="74" t="str">
        <x:v>M10</x:v>
      </x:c>
      <x:c r="C79" s="74" t="str">
        <x:v>CAI</x:v>
      </x:c>
      <x:c r="D79" s="215" t="n">
        <x:v>73</x:v>
      </x:c>
      <x:c r="E79" s="74" t="str">
        <x:v>V1.0</x:v>
      </x:c>
      <x:c r="F79" s="68" t="str">
        <x:v>食伤生财链成立时财星来源更稳定</x:v>
      </x:c>
      <x:c r="G79" s="82" t="str">
        <x:v>结构层</x:v>
      </x:c>
      <x:c r="H79" s="82" t="str">
        <x:v>正财</x:v>
      </x:c>
      <x:c r="I79" s="82" t="str">
        <x:v>待定</x:v>
      </x:c>
      <x:c r="J79" s="82" t="str">
        <x:v>待定</x:v>
      </x:c>
      <x:c r="K79" s="82" t="str">
        <x:v>待定</x:v>
      </x:c>
      <x:c r="L79" s="82" t="str">
        <x:v>待定</x:v>
      </x:c>
      <x:c r="M79" s="68" t="str">
        <x:v>食伤为财星有效生源</x:v>
      </x:c>
      <x:c r="N79" s="68" t="str">
        <x:v>按M06/M08核查</x:v>
      </x:c>
      <x:c r="O79" s="82" t="str">
        <x:v>待定</x:v>
      </x:c>
      <x:c r="P79" s="68" t="str">
        <x:v>转M11/M14判断</x:v>
      </x:c>
      <x:c r="Q79" s="68" t="str">
        <x:v>需结合M09日主承载判断</x:v>
      </x:c>
      <x:c r="R79" s="82" t="str">
        <x:v>待定</x:v>
      </x:c>
      <x:c r="S79" s="68" t="str">
        <x:v>食伤有效生正财且中间无阻断</x:v>
      </x:c>
      <x:c r="T79" s="68" t="str">
        <x:v>M02十神映射、M08五行有效旺衰、M09日主旺衰已完成</x:v>
      </x:c>
      <x:c r="U79" s="68" t="str">
        <x:v>相关十神已由M02正确映射，并以M08有效力量为准</x:v>
      </x:c>
      <x:c r="V79" s="68" t="str">
        <x:v>得令、有根、透干、同党或生源形成独立有效证据</x:v>
      </x:c>
      <x:c r="W79" s="68" t="str">
        <x:v>失令、无根、被合绊、被制、改性或作用路径受阻</x:v>
      </x:c>
      <x:c r="X79" s="90" t="str">
        <x:v>不得以十神名称、数量或单一旺弱证据直接完成定性</x:v>
      </x:c>
      <x:c r="Y79" s="68" t="str">
        <x:v>特殊格局、从化候选及明确组合转M11/M14另审</x:v>
      </x:c>
      <x:c r="Z79" s="68" t="str">
        <x:v>不得直接推出吉凶、具体事件、亲属结果或最终喜忌</x:v>
      </x:c>
      <x:c r="AA79" s="84" t="str">
        <x:v>食伤生财来源</x:v>
      </x:c>
      <x:c r="AB79" s="84" t="str">
        <x:v>食伤生财链成立时财星来源更稳定：当“食伤有效生正财且中间无阻断”成立时，按本规则记录十神的有效功能；同时保留制化、承载和反向证据。</x:v>
      </x:c>
      <x:c r="AC79" s="82" t="str">
        <x:v>较高</x:v>
      </x:c>
      <x:c r="AD79" s="82" t="str">
        <x:v>现代综合</x:v>
      </x:c>
      <x:c r="AE79" s="68" t="str">
        <x:v>十神必须分开判断存在性、力量、清纯度、功能性与喜忌性；M10只形成结构层结论和候选，不越级替代M11—M18。</x:v>
      </x:c>
      <x:c r="AF79" s="68" t="str">
        <x:v>相关条件真实成立，且增强条件有效时，可按“食伤生财链成立时财星来源更稳定”记录对应功能。</x:v>
      </x:c>
      <x:c r="AG79" s="90" t="str">
        <x:v>仅见表面十神名称或数量，但“不得以十神名称、数量或单一旺弱证据直接完成定性”所述限制存在时，不得套用本规则。</x:v>
      </x:c>
      <x:c r="AH79" s="68" t="str">
        <x:v>https://zh.wikisource.org/wiki/%E6%B8%8A%E6%B5%B7%E5%AD%90%E5%B9%B3%E5%A4%A7%E5%85%A8 ; https://zh.wikisource.org/wiki/%E6%BB%B4%E5%A4%A9%E9%AB%93%E9%97%A1%E5%BE%AE</x:v>
      </x:c>
      <x:c r="AI79" s="82" t="str">
        <x:v>采用</x:v>
      </x:c>
      <x:c r="AJ79" s="82" t="str">
        <x:v>初审</x:v>
      </x:c>
      <x:c r="AK79" s="87" t="n">
        <x:v>46255</x:v>
      </x:c>
    </x:row>
    <x:row r="80">
      <x:c r="A80" s="72" t="str">
        <x:f>IF(OR(C80="",D80=""),"",B80&amp;"-"&amp;UPPER(C80)&amp;"-"&amp;TEXT(D80,"0000")&amp;"-"&amp;E80)</x:f>
        <x:v>M10-CAI-0074-V1.0</x:v>
      </x:c>
      <x:c r="B80" s="74" t="str">
        <x:v>M10</x:v>
      </x:c>
      <x:c r="C80" s="74" t="str">
        <x:v>CAI</x:v>
      </x:c>
      <x:c r="D80" s="215" t="n">
        <x:v>74</x:v>
      </x:c>
      <x:c r="E80" s="74" t="str">
        <x:v>V1.0</x:v>
      </x:c>
      <x:c r="F80" s="68" t="str">
        <x:v>财星多现但受制严重时不按财旺处理</x:v>
      </x:c>
      <x:c r="G80" s="82" t="str">
        <x:v>结构层</x:v>
      </x:c>
      <x:c r="H80" s="82" t="str">
        <x:v>偏财</x:v>
      </x:c>
      <x:c r="I80" s="82" t="str">
        <x:v>多处出现</x:v>
      </x:c>
      <x:c r="J80" s="82" t="str">
        <x:v>待定</x:v>
      </x:c>
      <x:c r="K80" s="82" t="str">
        <x:v>中和偏弱</x:v>
      </x:c>
      <x:c r="L80" s="82" t="str">
        <x:v>待定</x:v>
      </x:c>
      <x:c r="M80" s="68" t="str">
        <x:v>按M08核查</x:v>
      </x:c>
      <x:c r="N80" s="68" t="str">
        <x:v>按M06/M08核查</x:v>
      </x:c>
      <x:c r="O80" s="82" t="str">
        <x:v>受限</x:v>
      </x:c>
      <x:c r="P80" s="68" t="str">
        <x:v>转M11/M14判断</x:v>
      </x:c>
      <x:c r="Q80" s="68" t="str">
        <x:v>需结合M09日主承载判断</x:v>
      </x:c>
      <x:c r="R80" s="82" t="str">
        <x:v>待定</x:v>
      </x:c>
      <x:c r="S80" s="68" t="str">
        <x:v>偏财多处出现，但主要节点被比劫制、合绊或改性</x:v>
      </x:c>
      <x:c r="T80" s="68" t="str">
        <x:v>M02十神映射、M08五行有效旺衰、M09日主旺衰已完成</x:v>
      </x:c>
      <x:c r="U80" s="68" t="str">
        <x:v>相关十神已由M02正确映射，并以M08有效力量为准</x:v>
      </x:c>
      <x:c r="V80" s="68" t="str">
        <x:v>得令、有根、透干、同党或生源形成独立有效证据</x:v>
      </x:c>
      <x:c r="W80" s="68" t="str">
        <x:v>失令、无根、被合绊、被制、改性或作用路径受阻</x:v>
      </x:c>
      <x:c r="X80" s="90" t="str">
        <x:v>不得以十神名称、数量或单一旺弱证据直接完成定性</x:v>
      </x:c>
      <x:c r="Y80" s="68" t="str">
        <x:v>特殊格局、从化候选及明确组合转M11/M14另审</x:v>
      </x:c>
      <x:c r="Z80" s="68" t="str">
        <x:v>不得直接推出吉凶、具体事件、亲属结果或最终喜忌</x:v>
      </x:c>
      <x:c r="AA80" s="84" t="str">
        <x:v>财多而效弱</x:v>
      </x:c>
      <x:c r="AB80" s="84" t="str">
        <x:v>财星多现但受制严重时不按财旺处理：当“偏财多处出现，但主要节点被比劫制、合绊或改性”成立时，按本规则记录十神的有效功能；同时保留制化、承载和反向证据。</x:v>
      </x:c>
      <x:c r="AC80" s="82" t="str">
        <x:v>较高</x:v>
      </x:c>
      <x:c r="AD80" s="82" t="str">
        <x:v>现代综合</x:v>
      </x:c>
      <x:c r="AE80" s="68" t="str">
        <x:v>十神必须分开判断存在性、力量、清纯度、功能性与喜忌性；M10只形成结构层结论和候选，不越级替代M11—M18。</x:v>
      </x:c>
      <x:c r="AF80" s="68" t="str">
        <x:v>相关条件真实成立，且增强条件有效时，可按“财星多现但受制严重时不按财旺处理”记录对应功能。</x:v>
      </x:c>
      <x:c r="AG80" s="90" t="str">
        <x:v>仅见表面十神名称或数量，但“不得以十神名称、数量或单一旺弱证据直接完成定性”所述限制存在时，不得套用本规则。</x:v>
      </x:c>
      <x:c r="AH80" s="68" t="str">
        <x:v>https://zh.wikisource.org/wiki/%E6%B8%8A%E6%B5%B7%E5%AD%90%E5%B9%B3%E5%A4%A7%E5%85%A8 ; https://zh.wikisource.org/wiki/%E6%BB%B4%E5%A4%A9%E9%AB%93%E9%97%A1%E5%BE%AE</x:v>
      </x:c>
      <x:c r="AI80" s="82" t="str">
        <x:v>采用</x:v>
      </x:c>
      <x:c r="AJ80" s="82" t="str">
        <x:v>初审</x:v>
      </x:c>
      <x:c r="AK80" s="87" t="n">
        <x:v>46255</x:v>
      </x:c>
    </x:row>
    <x:row r="81">
      <x:c r="A81" s="72" t="str">
        <x:f>IF(OR(C81="",D81=""),"",B81&amp;"-"&amp;UPPER(C81)&amp;"-"&amp;TEXT(D81,"0000")&amp;"-"&amp;E81)</x:f>
        <x:v>M10-CAI-0075-V1.0</x:v>
      </x:c>
      <x:c r="B81" s="74" t="str">
        <x:v>M10</x:v>
      </x:c>
      <x:c r="C81" s="74" t="str">
        <x:v>CAI</x:v>
      </x:c>
      <x:c r="D81" s="215" t="n">
        <x:v>75</x:v>
      </x:c>
      <x:c r="E81" s="74" t="str">
        <x:v>V1.0</x:v>
      </x:c>
      <x:c r="F81" s="68" t="str">
        <x:v>财星旺弱与财富结果必须分离</x:v>
      </x:c>
      <x:c r="G81" s="82" t="str">
        <x:v>结构层</x:v>
      </x:c>
      <x:c r="H81" s="82" t="str">
        <x:v>正财</x:v>
      </x:c>
      <x:c r="I81" s="82" t="str">
        <x:v>待定</x:v>
      </x:c>
      <x:c r="J81" s="82" t="str">
        <x:v>待定</x:v>
      </x:c>
      <x:c r="K81" s="82" t="str">
        <x:v>待定</x:v>
      </x:c>
      <x:c r="L81" s="82" t="str">
        <x:v>待定</x:v>
      </x:c>
      <x:c r="M81" s="68" t="str">
        <x:v>按M08核查</x:v>
      </x:c>
      <x:c r="N81" s="68" t="str">
        <x:v>按M06/M08核查</x:v>
      </x:c>
      <x:c r="O81" s="82" t="str">
        <x:v>待定</x:v>
      </x:c>
      <x:c r="P81" s="68" t="str">
        <x:v>转M11/M14判断</x:v>
      </x:c>
      <x:c r="Q81" s="68" t="str">
        <x:v>需结合M09日主承载判断</x:v>
      </x:c>
      <x:c r="R81" s="82" t="str">
        <x:v>待定</x:v>
      </x:c>
      <x:c r="S81" s="68" t="str">
        <x:v>财星有效旺衰已经确定</x:v>
      </x:c>
      <x:c r="T81" s="68" t="str">
        <x:v>M02十神映射、M08五行有效旺衰、M09日主旺衰已完成</x:v>
      </x:c>
      <x:c r="U81" s="68" t="str">
        <x:v>相关十神已由M02正确映射，并以M08有效力量为准</x:v>
      </x:c>
      <x:c r="V81" s="68" t="str">
        <x:v>得令、有根、透干、同党或生源形成独立有效证据</x:v>
      </x:c>
      <x:c r="W81" s="68" t="str">
        <x:v>失令、无根、被合绊、被制、改性或作用路径受阻</x:v>
      </x:c>
      <x:c r="X81" s="90" t="str">
        <x:v>不得以十神名称、数量或单一旺弱证据直接完成定性</x:v>
      </x:c>
      <x:c r="Y81" s="68" t="str">
        <x:v>特殊格局、从化候选及明确组合转M11/M14另审</x:v>
      </x:c>
      <x:c r="Z81" s="68" t="str">
        <x:v>不得由财旺直接推出富、财弱直接推出贫或具体收入水平</x:v>
      </x:c>
      <x:c r="AA81" s="84" t="str">
        <x:v>财星力量价值分离</x:v>
      </x:c>
      <x:c r="AB81" s="84" t="str">
        <x:v>财星旺弱与财富结果必须分离：当“财星有效旺衰已经确定”成立时，按本规则记录十神的有效功能；同时保留制化、承载和反向证据。</x:v>
      </x:c>
      <x:c r="AC81" s="82" t="str">
        <x:v>较高</x:v>
      </x:c>
      <x:c r="AD81" s="82" t="str">
        <x:v>现代综合</x:v>
      </x:c>
      <x:c r="AE81" s="68" t="str">
        <x:v>十神必须分开判断存在性、力量、清纯度、功能性与喜忌性；M10只形成结构层结论和候选，不越级替代M11—M18。</x:v>
      </x:c>
      <x:c r="AF81" s="68" t="str">
        <x:v>相关条件真实成立，且增强条件有效时，可按“财星旺弱与财富结果必须分离”记录对应功能。</x:v>
      </x:c>
      <x:c r="AG81" s="90" t="str">
        <x:v>仅见表面十神名称或数量，但“不得以十神名称、数量或单一旺弱证据直接完成定性”所述限制存在时，不得套用本规则。</x:v>
      </x:c>
      <x:c r="AH81" s="68" t="str">
        <x:v>https://zh.wikisource.org/wiki/%E6%B8%8A%E6%B5%B7%E5%AD%90%E5%B9%B3%E5%A4%A7%E5%85%A8 ; https://zh.wikisource.org/wiki/%E6%BB%B4%E5%A4%A9%E9%AB%93%E9%97%A1%E5%BE%AE</x:v>
      </x:c>
      <x:c r="AI81" s="82" t="str">
        <x:v>采用</x:v>
      </x:c>
      <x:c r="AJ81" s="82" t="str">
        <x:v>初审</x:v>
      </x:c>
      <x:c r="AK81" s="87" t="n">
        <x:v>46255</x:v>
      </x:c>
    </x:row>
    <x:row r="82">
      <x:c r="A82" s="72" t="str">
        <x:f>IF(OR(C82="",D82=""),"",B82&amp;"-"&amp;UPPER(C82)&amp;"-"&amp;TEXT(D82,"0000")&amp;"-"&amp;E82)</x:f>
        <x:v>M10-CAI-0076-V1.0</x:v>
      </x:c>
      <x:c r="B82" s="74" t="str">
        <x:v>M10</x:v>
      </x:c>
      <x:c r="C82" s="74" t="str">
        <x:v>CAI</x:v>
      </x:c>
      <x:c r="D82" s="215" t="n">
        <x:v>76</x:v>
      </x:c>
      <x:c r="E82" s="74" t="str">
        <x:v>V1.0</x:v>
      </x:c>
      <x:c r="F82" s="68" t="str">
        <x:v>财星喜忌须同时读取日主承载与格局功能</x:v>
      </x:c>
      <x:c r="G82" s="82" t="str">
        <x:v>结构层</x:v>
      </x:c>
      <x:c r="H82" s="82" t="str">
        <x:v>偏财</x:v>
      </x:c>
      <x:c r="I82" s="82" t="str">
        <x:v>待定</x:v>
      </x:c>
      <x:c r="J82" s="82" t="str">
        <x:v>待定</x:v>
      </x:c>
      <x:c r="K82" s="82" t="str">
        <x:v>待定</x:v>
      </x:c>
      <x:c r="L82" s="82" t="str">
        <x:v>待定</x:v>
      </x:c>
      <x:c r="M82" s="68" t="str">
        <x:v>按M08核查</x:v>
      </x:c>
      <x:c r="N82" s="68" t="str">
        <x:v>按M06/M08核查</x:v>
      </x:c>
      <x:c r="O82" s="82" t="str">
        <x:v>待定</x:v>
      </x:c>
      <x:c r="P82" s="68" t="str">
        <x:v>转M11/M14判断</x:v>
      </x:c>
      <x:c r="Q82" s="68" t="str">
        <x:v>需结合M09日主承载判断</x:v>
      </x:c>
      <x:c r="R82" s="82" t="str">
        <x:v>待定</x:v>
      </x:c>
      <x:c r="S82" s="68" t="str">
        <x:v>判断偏财价值时，同时核查M09承载和M11/M14结构角色</x:v>
      </x:c>
      <x:c r="T82" s="68" t="str">
        <x:v>M02十神映射、M08五行有效旺衰、M09日主旺衰已完成</x:v>
      </x:c>
      <x:c r="U82" s="68" t="str">
        <x:v>相关十神已由M02正确映射，并以M08有效力量为准</x:v>
      </x:c>
      <x:c r="V82" s="68" t="str">
        <x:v>得令、有根、透干、同党或生源形成独立有效证据</x:v>
      </x:c>
      <x:c r="W82" s="68" t="str">
        <x:v>失令、无根、被合绊、被制、改性或作用路径受阻</x:v>
      </x:c>
      <x:c r="X82" s="90" t="str">
        <x:v>不得以十神名称、数量或单一旺弱证据直接完成定性</x:v>
      </x:c>
      <x:c r="Y82" s="68" t="str">
        <x:v>特殊格局、从化候选及明确组合转M11/M14另审</x:v>
      </x:c>
      <x:c r="Z82" s="68" t="str">
        <x:v>不得直接推出吉凶、具体事件、亲属结果或最终喜忌</x:v>
      </x:c>
      <x:c r="AA82" s="84" t="str">
        <x:v>财星喜忌联判</x:v>
      </x:c>
      <x:c r="AB82" s="84" t="str">
        <x:v>财星喜忌须同时读取日主承载与格局功能：当“判断偏财价值时，同时核查M09承载和M11/M14结构角色”成立时，按本规则记录十神的有效功能；同时保留制化、承载和反向证据。</x:v>
      </x:c>
      <x:c r="AC82" s="82" t="str">
        <x:v>较高</x:v>
      </x:c>
      <x:c r="AD82" s="82" t="str">
        <x:v>现代综合</x:v>
      </x:c>
      <x:c r="AE82" s="68" t="str">
        <x:v>十神必须分开判断存在性、力量、清纯度、功能性与喜忌性；M10只形成结构层结论和候选，不越级替代M11—M18。</x:v>
      </x:c>
      <x:c r="AF82" s="68" t="str">
        <x:v>相关条件真实成立，且增强条件有效时，可按“财星喜忌须同时读取日主承载与格局功能”记录对应功能。</x:v>
      </x:c>
      <x:c r="AG82" s="90" t="str">
        <x:v>仅见表面十神名称或数量，但“不得以十神名称、数量或单一旺弱证据直接完成定性”所述限制存在时，不得套用本规则。</x:v>
      </x:c>
      <x:c r="AH82" s="68" t="str">
        <x:v>https://zh.wikisource.org/wiki/%E6%B8%8A%E6%B5%B7%E5%AD%90%E5%B9%B3%E5%A4%A7%E5%85%A8 ; https://zh.wikisource.org/wiki/%E6%BB%B4%E5%A4%A9%E9%AB%93%E9%97%A1%E5%BE%AE</x:v>
      </x:c>
      <x:c r="AI82" s="82" t="str">
        <x:v>采用</x:v>
      </x:c>
      <x:c r="AJ82" s="82" t="str">
        <x:v>初审</x:v>
      </x:c>
      <x:c r="AK82" s="87" t="n">
        <x:v>46255</x:v>
      </x:c>
    </x:row>
    <x:row r="83">
      <x:c r="A83" s="72" t="str">
        <x:f>IF(OR(C83="",D83=""),"",B83&amp;"-"&amp;UPPER(C83)&amp;"-"&amp;TEXT(D83,"0000")&amp;"-"&amp;E83)</x:f>
        <x:v>M10-GUANSHA-0077-V1.0</x:v>
      </x:c>
      <x:c r="B83" s="74" t="str">
        <x:v>M10</x:v>
      </x:c>
      <x:c r="C83" s="74" t="str">
        <x:v>GUANSHA</x:v>
      </x:c>
      <x:c r="D83" s="215" t="n">
        <x:v>77</x:v>
      </x:c>
      <x:c r="E83" s="74" t="str">
        <x:v>V1.0</x:v>
      </x:c>
      <x:c r="F83" s="68" t="str">
        <x:v>有效正官首先承担制身和生印接口</x:v>
      </x:c>
      <x:c r="G83" s="82" t="str">
        <x:v>结构层</x:v>
      </x:c>
      <x:c r="H83" s="82" t="str">
        <x:v>正官</x:v>
      </x:c>
      <x:c r="I83" s="82" t="str">
        <x:v>待定</x:v>
      </x:c>
      <x:c r="J83" s="82" t="str">
        <x:v>待定</x:v>
      </x:c>
      <x:c r="K83" s="82" t="str">
        <x:v>待定</x:v>
      </x:c>
      <x:c r="L83" s="82" t="str">
        <x:v>待定</x:v>
      </x:c>
      <x:c r="M83" s="68" t="str">
        <x:v>按M08核查</x:v>
      </x:c>
      <x:c r="N83" s="68" t="str">
        <x:v>按M06/M08核查</x:v>
      </x:c>
      <x:c r="O83" s="82" t="str">
        <x:v>正常发挥</x:v>
      </x:c>
      <x:c r="P83" s="68" t="str">
        <x:v>转M11/M14判断</x:v>
      </x:c>
      <x:c r="Q83" s="68" t="str">
        <x:v>对日主形成规范性克制，并可生印</x:v>
      </x:c>
      <x:c r="R83" s="82" t="str">
        <x:v>待定</x:v>
      </x:c>
      <x:c r="S83" s="68" t="str">
        <x:v>正官有效存在</x:v>
      </x:c>
      <x:c r="T83" s="68" t="str">
        <x:v>M02十神映射、M08五行有效旺衰、M09日主旺衰已完成</x:v>
      </x:c>
      <x:c r="U83" s="68" t="str">
        <x:v>相关十神已由M02正确映射，并以M08有效力量为准</x:v>
      </x:c>
      <x:c r="V83" s="68" t="str">
        <x:v>得令、有根、透干、同党或生源形成独立有效证据</x:v>
      </x:c>
      <x:c r="W83" s="68" t="str">
        <x:v>失令、无根、被合绊、被制、改性或作用路径受阻</x:v>
      </x:c>
      <x:c r="X83" s="90" t="str">
        <x:v>不得以十神名称、数量或单一旺弱证据直接完成定性</x:v>
      </x:c>
      <x:c r="Y83" s="68" t="str">
        <x:v>特殊格局、从化候选及明确组合转M11/M14另审</x:v>
      </x:c>
      <x:c r="Z83" s="68" t="str">
        <x:v>不得直接推出吉凶、具体事件、亲属结果或最终喜忌</x:v>
      </x:c>
      <x:c r="AA83" s="84" t="str">
        <x:v>正官基本功能</x:v>
      </x:c>
      <x:c r="AB83" s="84" t="str">
        <x:v>有效正官首先承担制身和生印接口：当“正官有效存在”成立时，按本规则记录十神的有效功能；同时保留制化、承载和反向证据。</x:v>
      </x:c>
      <x:c r="AC83" s="82" t="str">
        <x:v>较高</x:v>
      </x:c>
      <x:c r="AD83" s="82" t="str">
        <x:v>现代综合</x:v>
      </x:c>
      <x:c r="AE83" s="68" t="str">
        <x:v>十神必须分开判断存在性、力量、清纯度、功能性与喜忌性；M10只形成结构层结论和候选，不越级替代M11—M18。</x:v>
      </x:c>
      <x:c r="AF83" s="68" t="str">
        <x:v>相关条件真实成立，且增强条件有效时，可按“有效正官首先承担制身和生印接口”记录对应功能。</x:v>
      </x:c>
      <x:c r="AG83" s="90" t="str">
        <x:v>仅见表面十神名称或数量，但“不得以十神名称、数量或单一旺弱证据直接完成定性”所述限制存在时，不得套用本规则。</x:v>
      </x:c>
      <x:c r="AH83" s="68" t="str">
        <x:v>https://zh.wikisource.org/wiki/%E6%B8%8A%E6%B5%B7%E5%AD%90%E5%B9%B3%E5%A4%A7%E5%85%A8 ; https://zh.wikisource.org/wiki/%E6%BB%B4%E5%A4%A9%E9%AB%93%E9%97%A1%E5%BE%AE</x:v>
      </x:c>
      <x:c r="AI83" s="82" t="str">
        <x:v>采用</x:v>
      </x:c>
      <x:c r="AJ83" s="82" t="str">
        <x:v>初审</x:v>
      </x:c>
      <x:c r="AK83" s="87" t="n">
        <x:v>46255</x:v>
      </x:c>
    </x:row>
    <x:row r="84">
      <x:c r="A84" s="72" t="str">
        <x:f>IF(OR(C84="",D84=""),"",B84&amp;"-"&amp;UPPER(C84)&amp;"-"&amp;TEXT(D84,"0000")&amp;"-"&amp;E84)</x:f>
        <x:v>M10-GUANSHA-0078-V1.0</x:v>
      </x:c>
      <x:c r="B84" s="74" t="str">
        <x:v>M10</x:v>
      </x:c>
      <x:c r="C84" s="74" t="str">
        <x:v>GUANSHA</x:v>
      </x:c>
      <x:c r="D84" s="215" t="n">
        <x:v>78</x:v>
      </x:c>
      <x:c r="E84" s="74" t="str">
        <x:v>V1.0</x:v>
      </x:c>
      <x:c r="F84" s="68" t="str">
        <x:v>有效七杀形成更直接的制身压力候选</x:v>
      </x:c>
      <x:c r="G84" s="82" t="str">
        <x:v>结构层</x:v>
      </x:c>
      <x:c r="H84" s="82" t="str">
        <x:v>七杀</x:v>
      </x:c>
      <x:c r="I84" s="82" t="str">
        <x:v>待定</x:v>
      </x:c>
      <x:c r="J84" s="82" t="str">
        <x:v>待定</x:v>
      </x:c>
      <x:c r="K84" s="82" t="str">
        <x:v>待定</x:v>
      </x:c>
      <x:c r="L84" s="82" t="str">
        <x:v>待定</x:v>
      </x:c>
      <x:c r="M84" s="68" t="str">
        <x:v>按M08核查</x:v>
      </x:c>
      <x:c r="N84" s="68" t="str">
        <x:v>按M06/M08核查</x:v>
      </x:c>
      <x:c r="O84" s="82" t="str">
        <x:v>正常发挥</x:v>
      </x:c>
      <x:c r="P84" s="68" t="str">
        <x:v>转M11/M14判断</x:v>
      </x:c>
      <x:c r="Q84" s="68" t="str">
        <x:v>对日主形成制身压力，强弱取决于七杀有效力和日主承载</x:v>
      </x:c>
      <x:c r="R84" s="82" t="str">
        <x:v>待定</x:v>
      </x:c>
      <x:c r="S84" s="68" t="str">
        <x:v>七杀有效存在</x:v>
      </x:c>
      <x:c r="T84" s="68" t="str">
        <x:v>M02十神映射、M08五行有效旺衰、M09日主旺衰已完成</x:v>
      </x:c>
      <x:c r="U84" s="68" t="str">
        <x:v>相关十神已由M02正确映射，并以M08有效力量为准</x:v>
      </x:c>
      <x:c r="V84" s="68" t="str">
        <x:v>得令、有根、透干、同党或生源形成独立有效证据</x:v>
      </x:c>
      <x:c r="W84" s="68" t="str">
        <x:v>失令、无根、被合绊、被制、改性或作用路径受阻</x:v>
      </x:c>
      <x:c r="X84" s="90" t="str">
        <x:v>不得以十神名称、数量或单一旺弱证据直接完成定性</x:v>
      </x:c>
      <x:c r="Y84" s="68" t="str">
        <x:v>特殊格局、从化候选及明确组合转M11/M14另审</x:v>
      </x:c>
      <x:c r="Z84" s="68" t="str">
        <x:v>不得直接推出吉凶、具体事件、亲属结果或最终喜忌</x:v>
      </x:c>
      <x:c r="AA84" s="84" t="str">
        <x:v>七杀制身</x:v>
      </x:c>
      <x:c r="AB84" s="84" t="str">
        <x:v>有效七杀形成更直接的制身压力候选：当“七杀有效存在”成立时，按本规则记录十神的有效功能；同时保留制化、承载和反向证据。</x:v>
      </x:c>
      <x:c r="AC84" s="82" t="str">
        <x:v>较高</x:v>
      </x:c>
      <x:c r="AD84" s="82" t="str">
        <x:v>现代综合</x:v>
      </x:c>
      <x:c r="AE84" s="68" t="str">
        <x:v>十神必须分开判断存在性、力量、清纯度、功能性与喜忌性；M10只形成结构层结论和候选，不越级替代M11—M18。</x:v>
      </x:c>
      <x:c r="AF84" s="68" t="str">
        <x:v>相关条件真实成立，且增强条件有效时，可按“有效七杀形成更直接的制身压力候选”记录对应功能。</x:v>
      </x:c>
      <x:c r="AG84" s="90" t="str">
        <x:v>仅见表面十神名称或数量，但“不得以十神名称、数量或单一旺弱证据直接完成定性”所述限制存在时，不得套用本规则。</x:v>
      </x:c>
      <x:c r="AH84" s="68" t="str">
        <x:v>https://zh.wikisource.org/wiki/%E6%B8%8A%E6%B5%B7%E5%AD%90%E5%B9%B3%E5%A4%A7%E5%85%A8 ; https://zh.wikisource.org/wiki/%E6%BB%B4%E5%A4%A9%E9%AB%93%E9%97%A1%E5%BE%AE</x:v>
      </x:c>
      <x:c r="AI84" s="82" t="str">
        <x:v>采用</x:v>
      </x:c>
      <x:c r="AJ84" s="82" t="str">
        <x:v>初审</x:v>
      </x:c>
      <x:c r="AK84" s="87" t="n">
        <x:v>46255</x:v>
      </x:c>
    </x:row>
    <x:row r="85">
      <x:c r="A85" s="72" t="str">
        <x:f>IF(OR(C85="",D85=""),"",B85&amp;"-"&amp;UPPER(C85)&amp;"-"&amp;TEXT(D85,"0000")&amp;"-"&amp;E85)</x:f>
        <x:v>M10-GUANSHA-0079-V1.0</x:v>
      </x:c>
      <x:c r="B85" s="74" t="str">
        <x:v>M10</x:v>
      </x:c>
      <x:c r="C85" s="74" t="str">
        <x:v>GUANSHA</x:v>
      </x:c>
      <x:c r="D85" s="215" t="n">
        <x:v>79</x:v>
      </x:c>
      <x:c r="E85" s="74" t="str">
        <x:v>V1.0</x:v>
      </x:c>
      <x:c r="F85" s="68" t="str">
        <x:v>身旺官星适度可形成制衡候选</x:v>
      </x:c>
      <x:c r="G85" s="82" t="str">
        <x:v>结构层</x:v>
      </x:c>
      <x:c r="H85" s="82" t="str">
        <x:v>正官</x:v>
      </x:c>
      <x:c r="I85" s="82" t="str">
        <x:v>待定</x:v>
      </x:c>
      <x:c r="J85" s="82" t="str">
        <x:v>待定</x:v>
      </x:c>
      <x:c r="K85" s="82" t="str">
        <x:v>待定</x:v>
      </x:c>
      <x:c r="L85" s="82" t="str">
        <x:v>待定</x:v>
      </x:c>
      <x:c r="M85" s="68" t="str">
        <x:v>按M08核查</x:v>
      </x:c>
      <x:c r="N85" s="68" t="str">
        <x:v>按M06/M08核查</x:v>
      </x:c>
      <x:c r="O85" s="82" t="str">
        <x:v>待定</x:v>
      </x:c>
      <x:c r="P85" s="68" t="str">
        <x:v>转M11/M14判断</x:v>
      </x:c>
      <x:c r="Q85" s="68" t="str">
        <x:v>对过强日主形成约束</x:v>
      </x:c>
      <x:c r="R85" s="82" t="str">
        <x:v>条件性喜神</x:v>
      </x:c>
      <x:c r="S85" s="68" t="str">
        <x:v>M09日主旺或中和偏旺，正官有效且不过度</x:v>
      </x:c>
      <x:c r="T85" s="68" t="str">
        <x:v>M02十神映射、M08五行有效旺衰、M09日主旺衰已完成</x:v>
      </x:c>
      <x:c r="U85" s="68" t="str">
        <x:v>相关十神已由M02正确映射，并以M08有效力量为准</x:v>
      </x:c>
      <x:c r="V85" s="68" t="str">
        <x:v>得令、有根、透干、同党或生源形成独立有效证据</x:v>
      </x:c>
      <x:c r="W85" s="68" t="str">
        <x:v>失令、无根、被合绊、被制、改性或作用路径受阻</x:v>
      </x:c>
      <x:c r="X85" s="90" t="str">
        <x:v>不得以十神名称、数量或单一旺弱证据直接完成定性</x:v>
      </x:c>
      <x:c r="Y85" s="68" t="str">
        <x:v>特殊格局、从化候选及明确组合转M11/M14另审</x:v>
      </x:c>
      <x:c r="Z85" s="68" t="str">
        <x:v>不得直接推出吉凶、具体事件、亲属结果或最终喜忌</x:v>
      </x:c>
      <x:c r="AA85" s="84" t="str">
        <x:v>身旺官星制衡</x:v>
      </x:c>
      <x:c r="AB85" s="84" t="str">
        <x:v>身旺官星适度可形成制衡候选：当“M09日主旺或中和偏旺，正官有效且不过度”成立时，按本规则记录十神的有效功能；同时保留制化、承载和反向证据。</x:v>
      </x:c>
      <x:c r="AC85" s="82" t="str">
        <x:v>较高</x:v>
      </x:c>
      <x:c r="AD85" s="82" t="str">
        <x:v>现代综合</x:v>
      </x:c>
      <x:c r="AE85" s="68" t="str">
        <x:v>十神必须分开判断存在性、力量、清纯度、功能性与喜忌性；M10只形成结构层结论和候选，不越级替代M11—M18。</x:v>
      </x:c>
      <x:c r="AF85" s="68" t="str">
        <x:v>相关条件真实成立，且增强条件有效时，可按“身旺官星适度可形成制衡候选”记录对应功能。</x:v>
      </x:c>
      <x:c r="AG85" s="90" t="str">
        <x:v>仅见表面十神名称或数量，但“不得以十神名称、数量或单一旺弱证据直接完成定性”所述限制存在时，不得套用本规则。</x:v>
      </x:c>
      <x:c r="AH85" s="68" t="str">
        <x:v>https://zh.wikisource.org/wiki/%E6%B8%8A%E6%B5%B7%E5%AD%90%E5%B9%B3%E5%A4%A7%E5%85%A8 ; https://zh.wikisource.org/wiki/%E6%BB%B4%E5%A4%A9%E9%AB%93%E9%97%A1%E5%BE%AE</x:v>
      </x:c>
      <x:c r="AI85" s="82" t="str">
        <x:v>采用</x:v>
      </x:c>
      <x:c r="AJ85" s="82" t="str">
        <x:v>初审</x:v>
      </x:c>
      <x:c r="AK85" s="87" t="n">
        <x:v>46255</x:v>
      </x:c>
    </x:row>
    <x:row r="86">
      <x:c r="A86" s="72" t="str">
        <x:f>IF(OR(C86="",D86=""),"",B86&amp;"-"&amp;UPPER(C86)&amp;"-"&amp;TEXT(D86,"0000")&amp;"-"&amp;E86)</x:f>
        <x:v>M10-GUANSHA-0080-V1.0</x:v>
      </x:c>
      <x:c r="B86" s="74" t="str">
        <x:v>M10</x:v>
      </x:c>
      <x:c r="C86" s="74" t="str">
        <x:v>GUANSHA</x:v>
      </x:c>
      <x:c r="D86" s="215" t="n">
        <x:v>80</x:v>
      </x:c>
      <x:c r="E86" s="74" t="str">
        <x:v>V1.0</x:v>
      </x:c>
      <x:c r="F86" s="68" t="str">
        <x:v>身弱杀旺无制化时属于高压力候选</x:v>
      </x:c>
      <x:c r="G86" s="82" t="str">
        <x:v>结构层</x:v>
      </x:c>
      <x:c r="H86" s="82" t="str">
        <x:v>七杀</x:v>
      </x:c>
      <x:c r="I86" s="82" t="str">
        <x:v>待定</x:v>
      </x:c>
      <x:c r="J86" s="82" t="str">
        <x:v>待定</x:v>
      </x:c>
      <x:c r="K86" s="82" t="str">
        <x:v>待定</x:v>
      </x:c>
      <x:c r="L86" s="82" t="str">
        <x:v>待定</x:v>
      </x:c>
      <x:c r="M86" s="68" t="str">
        <x:v>按M08核查</x:v>
      </x:c>
      <x:c r="N86" s="68" t="str">
        <x:v>按M06/M08核查</x:v>
      </x:c>
      <x:c r="O86" s="82" t="str">
        <x:v>过度</x:v>
      </x:c>
      <x:c r="P86" s="68" t="str">
        <x:v>转M11/M14判断</x:v>
      </x:c>
      <x:c r="Q86" s="68" t="str">
        <x:v>制身压力超过承载</x:v>
      </x:c>
      <x:c r="R86" s="82" t="str">
        <x:v>条件性忌神</x:v>
      </x:c>
      <x:c r="S86" s="68" t="str">
        <x:v>M09日主弱或中和偏弱，七杀旺且缺少印化食制</x:v>
      </x:c>
      <x:c r="T86" s="68" t="str">
        <x:v>M02十神映射、M08五行有效旺衰、M09日主旺衰已完成</x:v>
      </x:c>
      <x:c r="U86" s="68" t="str">
        <x:v>相关十神已由M02正确映射，并以M08有效力量为准</x:v>
      </x:c>
      <x:c r="V86" s="68" t="str">
        <x:v>得令、有根、透干、同党或生源形成独立有效证据</x:v>
      </x:c>
      <x:c r="W86" s="68" t="str">
        <x:v>失令、无根、被合绊、被制、改性或作用路径受阻</x:v>
      </x:c>
      <x:c r="X86" s="90" t="str">
        <x:v>不得以十神名称、数量或单一旺弱证据直接完成定性</x:v>
      </x:c>
      <x:c r="Y86" s="68" t="str">
        <x:v>特殊格局、从化候选及明确组合转M11/M14另审</x:v>
      </x:c>
      <x:c r="Z86" s="68" t="str">
        <x:v>不得直接推出吉凶、具体事件、亲属结果或最终喜忌</x:v>
      </x:c>
      <x:c r="AA86" s="84" t="str">
        <x:v>杀旺攻身候选</x:v>
      </x:c>
      <x:c r="AB86" s="84" t="str">
        <x:v>身弱杀旺无制化时属于高压力候选：当“M09日主弱或中和偏弱，七杀旺且缺少印化食制”成立时，按本规则记录十神的有效功能；同时保留制化、承载和反向证据。</x:v>
      </x:c>
      <x:c r="AC86" s="82" t="str">
        <x:v>较高</x:v>
      </x:c>
      <x:c r="AD86" s="82" t="str">
        <x:v>现代综合</x:v>
      </x:c>
      <x:c r="AE86" s="68" t="str">
        <x:v>十神必须分开判断存在性、力量、清纯度、功能性与喜忌性；M10只形成结构层结论和候选，不越级替代M11—M18。</x:v>
      </x:c>
      <x:c r="AF86" s="68" t="str">
        <x:v>相关条件真实成立，且增强条件有效时，可按“身弱杀旺无制化时属于高压力候选”记录对应功能。</x:v>
      </x:c>
      <x:c r="AG86" s="90" t="str">
        <x:v>仅见表面十神名称或数量，但“不得以十神名称、数量或单一旺弱证据直接完成定性”所述限制存在时，不得套用本规则。</x:v>
      </x:c>
      <x:c r="AH86" s="68" t="str">
        <x:v>https://zh.wikisource.org/wiki/%E6%B8%8A%E6%B5%B7%E5%AD%90%E5%B9%B3%E5%A4%A7%E5%85%A8 ; https://zh.wikisource.org/wiki/%E6%BB%B4%E5%A4%A9%E9%AB%93%E9%97%A1%E5%BE%AE</x:v>
      </x:c>
      <x:c r="AI86" s="82" t="str">
        <x:v>采用</x:v>
      </x:c>
      <x:c r="AJ86" s="82" t="str">
        <x:v>初审</x:v>
      </x:c>
      <x:c r="AK86" s="87" t="n">
        <x:v>46255</x:v>
      </x:c>
    </x:row>
    <x:row r="87">
      <x:c r="A87" s="72" t="str">
        <x:f>IF(OR(C87="",D87=""),"",B87&amp;"-"&amp;UPPER(C87)&amp;"-"&amp;TEXT(D87,"0000")&amp;"-"&amp;E87)</x:f>
        <x:v>M10-GUANSHA-0081-V1.0</x:v>
      </x:c>
      <x:c r="B87" s="74" t="str">
        <x:v>M10</x:v>
      </x:c>
      <x:c r="C87" s="74" t="str">
        <x:v>GUANSHA</x:v>
      </x:c>
      <x:c r="D87" s="215" t="n">
        <x:v>81</x:v>
      </x:c>
      <x:c r="E87" s="74" t="str">
        <x:v>V1.0</x:v>
      </x:c>
      <x:c r="F87" s="68" t="str">
        <x:v>正官受伤官有效克制时功能受限</x:v>
      </x:c>
      <x:c r="G87" s="82" t="str">
        <x:v>结构层</x:v>
      </x:c>
      <x:c r="H87" s="82" t="str">
        <x:v>正官</x:v>
      </x:c>
      <x:c r="I87" s="82" t="str">
        <x:v>待定</x:v>
      </x:c>
      <x:c r="J87" s="82" t="str">
        <x:v>待定</x:v>
      </x:c>
      <x:c r="K87" s="82" t="str">
        <x:v>待定</x:v>
      </x:c>
      <x:c r="L87" s="82" t="str">
        <x:v>待定</x:v>
      </x:c>
      <x:c r="M87" s="68" t="str">
        <x:v>按M08核查</x:v>
      </x:c>
      <x:c r="N87" s="68" t="str">
        <x:v>受伤官有效克制</x:v>
      </x:c>
      <x:c r="O87" s="82" t="str">
        <x:v>受限</x:v>
      </x:c>
      <x:c r="P87" s="68" t="str">
        <x:v>转M11/M14判断</x:v>
      </x:c>
      <x:c r="Q87" s="68" t="str">
        <x:v>需结合M09日主承载判断</x:v>
      </x:c>
      <x:c r="R87" s="82" t="str">
        <x:v>待定</x:v>
      </x:c>
      <x:c r="S87" s="68" t="str">
        <x:v>伤官对正官形成实质克制</x:v>
      </x:c>
      <x:c r="T87" s="68" t="str">
        <x:v>M02十神映射、M08五行有效旺衰、M09日主旺衰已完成</x:v>
      </x:c>
      <x:c r="U87" s="68" t="str">
        <x:v>相关十神已由M02正确映射，并以M08有效力量为准</x:v>
      </x:c>
      <x:c r="V87" s="68" t="str">
        <x:v>得令、有根、透干、同党或生源形成独立有效证据</x:v>
      </x:c>
      <x:c r="W87" s="68" t="str">
        <x:v>失令、无根、被合绊、被制、改性或作用路径受阻</x:v>
      </x:c>
      <x:c r="X87" s="90" t="str">
        <x:v>不得以十神名称、数量或单一旺弱证据直接完成定性</x:v>
      </x:c>
      <x:c r="Y87" s="68" t="str">
        <x:v>特殊格局、从化候选及明确组合转M11/M14另审</x:v>
      </x:c>
      <x:c r="Z87" s="68" t="str">
        <x:v>不得直接推出吉凶、具体事件、亲属结果或最终喜忌</x:v>
      </x:c>
      <x:c r="AA87" s="84" t="str">
        <x:v>官受伤官制</x:v>
      </x:c>
      <x:c r="AB87" s="84" t="str">
        <x:v>正官受伤官有效克制时功能受限：当“伤官对正官形成实质克制”成立时，按本规则记录十神的有效功能；同时保留制化、承载和反向证据。</x:v>
      </x:c>
      <x:c r="AC87" s="82" t="str">
        <x:v>较高</x:v>
      </x:c>
      <x:c r="AD87" s="82" t="str">
        <x:v>现代综合</x:v>
      </x:c>
      <x:c r="AE87" s="68" t="str">
        <x:v>十神必须分开判断存在性、力量、清纯度、功能性与喜忌性；M10只形成结构层结论和候选，不越级替代M11—M18。</x:v>
      </x:c>
      <x:c r="AF87" s="68" t="str">
        <x:v>相关条件真实成立，且增强条件有效时，可按“正官受伤官有效克制时功能受限”记录对应功能。</x:v>
      </x:c>
      <x:c r="AG87" s="90" t="str">
        <x:v>仅见表面十神名称或数量，但“不得以十神名称、数量或单一旺弱证据直接完成定性”所述限制存在时，不得套用本规则。</x:v>
      </x:c>
      <x:c r="AH87" s="68" t="str">
        <x:v>https://zh.wikisource.org/wiki/%E6%B8%8A%E6%B5%B7%E5%AD%90%E5%B9%B3%E5%A4%A7%E5%85%A8 ; https://zh.wikisource.org/wiki/%E6%BB%B4%E5%A4%A9%E9%AB%93%E9%97%A1%E5%BE%AE</x:v>
      </x:c>
      <x:c r="AI87" s="82" t="str">
        <x:v>采用</x:v>
      </x:c>
      <x:c r="AJ87" s="82" t="str">
        <x:v>初审</x:v>
      </x:c>
      <x:c r="AK87" s="87" t="n">
        <x:v>46255</x:v>
      </x:c>
    </x:row>
    <x:row r="88">
      <x:c r="A88" s="72" t="str">
        <x:f>IF(OR(C88="",D88=""),"",B88&amp;"-"&amp;UPPER(C88)&amp;"-"&amp;TEXT(D88,"0000")&amp;"-"&amp;E88)</x:f>
        <x:v>M10-GUANSHA-0082-V1.0</x:v>
      </x:c>
      <x:c r="B88" s="74" t="str">
        <x:v>M10</x:v>
      </x:c>
      <x:c r="C88" s="74" t="str">
        <x:v>GUANSHA</x:v>
      </x:c>
      <x:c r="D88" s="215" t="n">
        <x:v>82</x:v>
      </x:c>
      <x:c r="E88" s="74" t="str">
        <x:v>V1.0</x:v>
      </x:c>
      <x:c r="F88" s="68" t="str">
        <x:v>七杀受食神有效制约时制身压力下降</x:v>
      </x:c>
      <x:c r="G88" s="82" t="str">
        <x:v>结构层</x:v>
      </x:c>
      <x:c r="H88" s="82" t="str">
        <x:v>七杀</x:v>
      </x:c>
      <x:c r="I88" s="82" t="str">
        <x:v>待定</x:v>
      </x:c>
      <x:c r="J88" s="82" t="str">
        <x:v>待定</x:v>
      </x:c>
      <x:c r="K88" s="82" t="str">
        <x:v>待定</x:v>
      </x:c>
      <x:c r="L88" s="82" t="str">
        <x:v>待定</x:v>
      </x:c>
      <x:c r="M88" s="68" t="str">
        <x:v>按M08核查</x:v>
      </x:c>
      <x:c r="N88" s="68" t="str">
        <x:v>受食神有效制约</x:v>
      </x:c>
      <x:c r="O88" s="82" t="str">
        <x:v>受限</x:v>
      </x:c>
      <x:c r="P88" s="68" t="str">
        <x:v>食神制杀候选转M11</x:v>
      </x:c>
      <x:c r="Q88" s="68" t="str">
        <x:v>需结合M09日主承载判断</x:v>
      </x:c>
      <x:c r="R88" s="82" t="str">
        <x:v>待定</x:v>
      </x:c>
      <x:c r="S88" s="68" t="str">
        <x:v>食神对七杀形成有效克制且力量匹配</x:v>
      </x:c>
      <x:c r="T88" s="68" t="str">
        <x:v>M02十神映射、M08五行有效旺衰、M09日主旺衰已完成</x:v>
      </x:c>
      <x:c r="U88" s="68" t="str">
        <x:v>相关十神已由M02正确映射，并以M08有效力量为准</x:v>
      </x:c>
      <x:c r="V88" s="68" t="str">
        <x:v>得令、有根、透干、同党或生源形成独立有效证据</x:v>
      </x:c>
      <x:c r="W88" s="68" t="str">
        <x:v>失令、无根、被合绊、被制、改性或作用路径受阻</x:v>
      </x:c>
      <x:c r="X88" s="90" t="str">
        <x:v>不得以十神名称、数量或单一旺弱证据直接完成定性</x:v>
      </x:c>
      <x:c r="Y88" s="68" t="str">
        <x:v>特殊格局、从化候选及明确组合转M11/M14另审</x:v>
      </x:c>
      <x:c r="Z88" s="68" t="str">
        <x:v>不得直接推出吉凶、具体事件、亲属结果或最终喜忌</x:v>
      </x:c>
      <x:c r="AA88" s="84" t="str">
        <x:v>杀受食制</x:v>
      </x:c>
      <x:c r="AB88" s="84" t="str">
        <x:v>七杀受食神有效制约时制身压力下降：当“食神对七杀形成有效克制且力量匹配”成立时，按本规则记录十神的有效功能；同时保留制化、承载和反向证据。</x:v>
      </x:c>
      <x:c r="AC88" s="82" t="str">
        <x:v>较高</x:v>
      </x:c>
      <x:c r="AD88" s="82" t="str">
        <x:v>现代综合</x:v>
      </x:c>
      <x:c r="AE88" s="68" t="str">
        <x:v>十神必须分开判断存在性、力量、清纯度、功能性与喜忌性；M10只形成结构层结论和候选，不越级替代M11—M18。</x:v>
      </x:c>
      <x:c r="AF88" s="68" t="str">
        <x:v>相关条件真实成立，且增强条件有效时，可按“七杀受食神有效制约时制身压力下降”记录对应功能。</x:v>
      </x:c>
      <x:c r="AG88" s="90" t="str">
        <x:v>仅见表面十神名称或数量，但“不得以十神名称、数量或单一旺弱证据直接完成定性”所述限制存在时，不得套用本规则。</x:v>
      </x:c>
      <x:c r="AH88" s="68" t="str">
        <x:v>https://zh.wikisource.org/wiki/%E6%B8%8A%E6%B5%B7%E5%AD%90%E5%B9%B3%E5%A4%A7%E5%85%A8 ; https://zh.wikisource.org/wiki/%E6%BB%B4%E5%A4%A9%E9%AB%93%E9%97%A1%E5%BE%AE</x:v>
      </x:c>
      <x:c r="AI88" s="82" t="str">
        <x:v>采用</x:v>
      </x:c>
      <x:c r="AJ88" s="82" t="str">
        <x:v>初审</x:v>
      </x:c>
      <x:c r="AK88" s="87" t="n">
        <x:v>46255</x:v>
      </x:c>
    </x:row>
    <x:row r="89">
      <x:c r="A89" s="72" t="str">
        <x:f>IF(OR(C89="",D89=""),"",B89&amp;"-"&amp;UPPER(C89)&amp;"-"&amp;TEXT(D89,"0000")&amp;"-"&amp;E89)</x:f>
        <x:v>M10-GUANSHA-0083-V1.0</x:v>
      </x:c>
      <x:c r="B89" s="74" t="str">
        <x:v>M10</x:v>
      </x:c>
      <x:c r="C89" s="74" t="str">
        <x:v>GUANSHA</x:v>
      </x:c>
      <x:c r="D89" s="215" t="n">
        <x:v>83</x:v>
      </x:c>
      <x:c r="E89" s="74" t="str">
        <x:v>V1.0</x:v>
      </x:c>
      <x:c r="F89" s="68" t="str">
        <x:v>七杀生印且印再生身时可由直接压力转为生扶链</x:v>
      </x:c>
      <x:c r="G89" s="82" t="str">
        <x:v>结构层</x:v>
      </x:c>
      <x:c r="H89" s="82" t="str">
        <x:v>七杀</x:v>
      </x:c>
      <x:c r="I89" s="82" t="str">
        <x:v>待定</x:v>
      </x:c>
      <x:c r="J89" s="82" t="str">
        <x:v>待定</x:v>
      </x:c>
      <x:c r="K89" s="82" t="str">
        <x:v>待定</x:v>
      </x:c>
      <x:c r="L89" s="82" t="str">
        <x:v>待定</x:v>
      </x:c>
      <x:c r="M89" s="68" t="str">
        <x:v>按M08核查</x:v>
      </x:c>
      <x:c r="N89" s="68" t="str">
        <x:v>按M06/M08核查</x:v>
      </x:c>
      <x:c r="O89" s="82" t="str">
        <x:v>转化</x:v>
      </x:c>
      <x:c r="P89" s="68" t="str">
        <x:v>杀印相生候选转M11</x:v>
      </x:c>
      <x:c r="Q89" s="68" t="str">
        <x:v>部分制身压力转化为印星生身资源</x:v>
      </x:c>
      <x:c r="R89" s="82" t="str">
        <x:v>待定</x:v>
      </x:c>
      <x:c r="S89" s="68" t="str">
        <x:v>七杀→印→日主链路连续有效</x:v>
      </x:c>
      <x:c r="T89" s="68" t="str">
        <x:v>M02十神映射、M08五行有效旺衰、M09日主旺衰已完成</x:v>
      </x:c>
      <x:c r="U89" s="68" t="str">
        <x:v>相关十神已由M02正确映射，并以M08有效力量为准</x:v>
      </x:c>
      <x:c r="V89" s="68" t="str">
        <x:v>得令、有根、透干、同党或生源形成独立有效证据</x:v>
      </x:c>
      <x:c r="W89" s="68" t="str">
        <x:v>失令、无根、被合绊、被制、改性或作用路径受阻</x:v>
      </x:c>
      <x:c r="X89" s="90" t="str">
        <x:v>不得以十神名称、数量或单一旺弱证据直接完成定性</x:v>
      </x:c>
      <x:c r="Y89" s="68" t="str">
        <x:v>特殊格局、从化候选及明确组合转M11/M14另审</x:v>
      </x:c>
      <x:c r="Z89" s="68" t="str">
        <x:v>不得直接推出吉凶、具体事件、亲属结果或最终喜忌</x:v>
      </x:c>
      <x:c r="AA89" s="84" t="str">
        <x:v>杀印转化</x:v>
      </x:c>
      <x:c r="AB89" s="84" t="str">
        <x:v>七杀生印且印再生身时可由直接压力转为生扶链：当“七杀→印→日主链路连续有效”成立时，按本规则记录十神的有效功能；同时保留制化、承载和反向证据。</x:v>
      </x:c>
      <x:c r="AC89" s="82" t="str">
        <x:v>较高</x:v>
      </x:c>
      <x:c r="AD89" s="82" t="str">
        <x:v>现代综合</x:v>
      </x:c>
      <x:c r="AE89" s="68" t="str">
        <x:v>十神必须分开判断存在性、力量、清纯度、功能性与喜忌性；M10只形成结构层结论和候选，不越级替代M11—M18。</x:v>
      </x:c>
      <x:c r="AF89" s="68" t="str">
        <x:v>相关条件真实成立，且增强条件有效时，可按“七杀生印且印再生身时可由直接压力转为生扶链”记录对应功能。</x:v>
      </x:c>
      <x:c r="AG89" s="90" t="str">
        <x:v>仅见表面十神名称或数量，但“不得以十神名称、数量或单一旺弱证据直接完成定性”所述限制存在时，不得套用本规则。</x:v>
      </x:c>
      <x:c r="AH89" s="68" t="str">
        <x:v>https://zh.wikisource.org/wiki/%E6%B8%8A%E6%B5%B7%E5%AD%90%E5%B9%B3%E5%A4%A7%E5%85%A8 ; https://zh.wikisource.org/wiki/%E6%BB%B4%E5%A4%A9%E9%AB%93%E9%97%A1%E5%BE%AE</x:v>
      </x:c>
      <x:c r="AI89" s="82" t="str">
        <x:v>采用</x:v>
      </x:c>
      <x:c r="AJ89" s="82" t="str">
        <x:v>初审</x:v>
      </x:c>
      <x:c r="AK89" s="87" t="n">
        <x:v>46255</x:v>
      </x:c>
    </x:row>
    <x:row r="90">
      <x:c r="A90" s="72" t="str">
        <x:f>IF(OR(C90="",D90=""),"",B90&amp;"-"&amp;UPPER(C90)&amp;"-"&amp;TEXT(D90,"0000")&amp;"-"&amp;E90)</x:f>
        <x:v>M10-GUANSHA-0084-V1.0</x:v>
      </x:c>
      <x:c r="B90" s="74" t="str">
        <x:v>M10</x:v>
      </x:c>
      <x:c r="C90" s="74" t="str">
        <x:v>GUANSHA</x:v>
      </x:c>
      <x:c r="D90" s="215" t="n">
        <x:v>84</x:v>
      </x:c>
      <x:c r="E90" s="74" t="str">
        <x:v>V1.0</x:v>
      </x:c>
      <x:c r="F90" s="68" t="str">
        <x:v>正官生印形成官印连续链候选</x:v>
      </x:c>
      <x:c r="G90" s="82" t="str">
        <x:v>结构层</x:v>
      </x:c>
      <x:c r="H90" s="82" t="str">
        <x:v>正官</x:v>
      </x:c>
      <x:c r="I90" s="82" t="str">
        <x:v>待定</x:v>
      </x:c>
      <x:c r="J90" s="82" t="str">
        <x:v>待定</x:v>
      </x:c>
      <x:c r="K90" s="82" t="str">
        <x:v>待定</x:v>
      </x:c>
      <x:c r="L90" s="82" t="str">
        <x:v>待定</x:v>
      </x:c>
      <x:c r="M90" s="68" t="str">
        <x:v>按M08核查</x:v>
      </x:c>
      <x:c r="N90" s="68" t="str">
        <x:v>按M06/M08核查</x:v>
      </x:c>
      <x:c r="O90" s="82" t="str">
        <x:v>待定</x:v>
      </x:c>
      <x:c r="P90" s="68" t="str">
        <x:v>官印相生候选转M11</x:v>
      </x:c>
      <x:c r="Q90" s="68" t="str">
        <x:v>需结合M09日主承载判断</x:v>
      </x:c>
      <x:c r="R90" s="82" t="str">
        <x:v>待定</x:v>
      </x:c>
      <x:c r="S90" s="68" t="str">
        <x:v>正官→印→日主链路连续有效</x:v>
      </x:c>
      <x:c r="T90" s="68" t="str">
        <x:v>M02十神映射、M08五行有效旺衰、M09日主旺衰已完成</x:v>
      </x:c>
      <x:c r="U90" s="68" t="str">
        <x:v>相关十神已由M02正确映射，并以M08有效力量为准</x:v>
      </x:c>
      <x:c r="V90" s="68" t="str">
        <x:v>得令、有根、透干、同党或生源形成独立有效证据</x:v>
      </x:c>
      <x:c r="W90" s="68" t="str">
        <x:v>失令、无根、被合绊、被制、改性或作用路径受阻</x:v>
      </x:c>
      <x:c r="X90" s="90" t="str">
        <x:v>不得以十神名称、数量或单一旺弱证据直接完成定性</x:v>
      </x:c>
      <x:c r="Y90" s="68" t="str">
        <x:v>特殊格局、从化候选及明确组合转M11/M14另审</x:v>
      </x:c>
      <x:c r="Z90" s="68" t="str">
        <x:v>不得直接推出吉凶、具体事件、亲属结果或最终喜忌</x:v>
      </x:c>
      <x:c r="AA90" s="84" t="str">
        <x:v>官印相生接口</x:v>
      </x:c>
      <x:c r="AB90" s="84" t="str">
        <x:v>正官生印形成官印连续链候选：当“正官→印→日主链路连续有效”成立时，按本规则记录十神的有效功能；同时保留制化、承载和反向证据。</x:v>
      </x:c>
      <x:c r="AC90" s="82" t="str">
        <x:v>较高</x:v>
      </x:c>
      <x:c r="AD90" s="82" t="str">
        <x:v>现代综合</x:v>
      </x:c>
      <x:c r="AE90" s="68" t="str">
        <x:v>十神必须分开判断存在性、力量、清纯度、功能性与喜忌性；M10只形成结构层结论和候选，不越级替代M11—M18。</x:v>
      </x:c>
      <x:c r="AF90" s="68" t="str">
        <x:v>相关条件真实成立，且增强条件有效时，可按“正官生印形成官印连续链候选”记录对应功能。</x:v>
      </x:c>
      <x:c r="AG90" s="90" t="str">
        <x:v>仅见表面十神名称或数量，但“不得以十神名称、数量或单一旺弱证据直接完成定性”所述限制存在时，不得套用本规则。</x:v>
      </x:c>
      <x:c r="AH90" s="68" t="str">
        <x:v>https://zh.wikisource.org/wiki/%E6%B8%8A%E6%B5%B7%E5%AD%90%E5%B9%B3%E5%A4%A7%E5%85%A8 ; https://zh.wikisource.org/wiki/%E6%BB%B4%E5%A4%A9%E9%AB%93%E9%97%A1%E5%BE%AE</x:v>
      </x:c>
      <x:c r="AI90" s="82" t="str">
        <x:v>采用</x:v>
      </x:c>
      <x:c r="AJ90" s="82" t="str">
        <x:v>初审</x:v>
      </x:c>
      <x:c r="AK90" s="87" t="n">
        <x:v>46255</x:v>
      </x:c>
    </x:row>
    <x:row r="91">
      <x:c r="A91" s="72" t="str">
        <x:f>IF(OR(C91="",D91=""),"",B91&amp;"-"&amp;UPPER(C91)&amp;"-"&amp;TEXT(D91,"0000")&amp;"-"&amp;E91)</x:f>
        <x:v>M10-GUANSHA-0085-V1.0</x:v>
      </x:c>
      <x:c r="B91" s="74" t="str">
        <x:v>M10</x:v>
      </x:c>
      <x:c r="C91" s="74" t="str">
        <x:v>GUANSHA</x:v>
      </x:c>
      <x:c r="D91" s="215" t="n">
        <x:v>85</x:v>
      </x:c>
      <x:c r="E91" s="74" t="str">
        <x:v>V1.0</x:v>
      </x:c>
      <x:c r="F91" s="68" t="str">
        <x:v>财星强生七杀会提高杀的有效压力</x:v>
      </x:c>
      <x:c r="G91" s="82" t="str">
        <x:v>结构层</x:v>
      </x:c>
      <x:c r="H91" s="82" t="str">
        <x:v>七杀</x:v>
      </x:c>
      <x:c r="I91" s="82" t="str">
        <x:v>待定</x:v>
      </x:c>
      <x:c r="J91" s="82" t="str">
        <x:v>待定</x:v>
      </x:c>
      <x:c r="K91" s="82" t="str">
        <x:v>中和偏旺</x:v>
      </x:c>
      <x:c r="L91" s="82" t="str">
        <x:v>待定</x:v>
      </x:c>
      <x:c r="M91" s="68" t="str">
        <x:v>财星生杀</x:v>
      </x:c>
      <x:c r="N91" s="68" t="str">
        <x:v>按M06/M08核查</x:v>
      </x:c>
      <x:c r="O91" s="82" t="str">
        <x:v>待定</x:v>
      </x:c>
      <x:c r="P91" s="68" t="str">
        <x:v>转M11/M14判断</x:v>
      </x:c>
      <x:c r="Q91" s="68" t="str">
        <x:v>需结合M09日主承载判断</x:v>
      </x:c>
      <x:c r="R91" s="82" t="str">
        <x:v>待定</x:v>
      </x:c>
      <x:c r="S91" s="68" t="str">
        <x:v>财星有效生七杀且无通关截断</x:v>
      </x:c>
      <x:c r="T91" s="68" t="str">
        <x:v>M02十神映射、M08五行有效旺衰、M09日主旺衰已完成</x:v>
      </x:c>
      <x:c r="U91" s="68" t="str">
        <x:v>相关十神已由M02正确映射，并以M08有效力量为准</x:v>
      </x:c>
      <x:c r="V91" s="68" t="str">
        <x:v>得令、有根、透干、同党或生源形成独立有效证据</x:v>
      </x:c>
      <x:c r="W91" s="68" t="str">
        <x:v>失令、无根、被合绊、被制、改性或作用路径受阻</x:v>
      </x:c>
      <x:c r="X91" s="90" t="str">
        <x:v>不得以十神名称、数量或单一旺弱证据直接完成定性</x:v>
      </x:c>
      <x:c r="Y91" s="68" t="str">
        <x:v>特殊格局、从化候选及明确组合转M11/M14另审</x:v>
      </x:c>
      <x:c r="Z91" s="68" t="str">
        <x:v>不得直接推出吉凶、具体事件、亲属结果或最终喜忌</x:v>
      </x:c>
      <x:c r="AA91" s="84" t="str">
        <x:v>财生杀增强</x:v>
      </x:c>
      <x:c r="AB91" s="84" t="str">
        <x:v>财星强生七杀会提高杀的有效压力：当“财星有效生七杀且无通关截断”成立时，按本规则记录十神的有效功能；同时保留制化、承载和反向证据。</x:v>
      </x:c>
      <x:c r="AC91" s="82" t="str">
        <x:v>较高</x:v>
      </x:c>
      <x:c r="AD91" s="82" t="str">
        <x:v>现代综合</x:v>
      </x:c>
      <x:c r="AE91" s="68" t="str">
        <x:v>十神必须分开判断存在性、力量、清纯度、功能性与喜忌性；M10只形成结构层结论和候选，不越级替代M11—M18。</x:v>
      </x:c>
      <x:c r="AF91" s="68" t="str">
        <x:v>相关条件真实成立，且增强条件有效时，可按“财星强生七杀会提高杀的有效压力”记录对应功能。</x:v>
      </x:c>
      <x:c r="AG91" s="90" t="str">
        <x:v>仅见表面十神名称或数量，但“不得以十神名称、数量或单一旺弱证据直接完成定性”所述限制存在时，不得套用本规则。</x:v>
      </x:c>
      <x:c r="AH91" s="68" t="str">
        <x:v>https://zh.wikisource.org/wiki/%E6%B8%8A%E6%B5%B7%E5%AD%90%E5%B9%B3%E5%A4%A7%E5%85%A8 ; https://zh.wikisource.org/wiki/%E6%BB%B4%E5%A4%A9%E9%AB%93%E9%97%A1%E5%BE%AE</x:v>
      </x:c>
      <x:c r="AI91" s="82" t="str">
        <x:v>采用</x:v>
      </x:c>
      <x:c r="AJ91" s="82" t="str">
        <x:v>初审</x:v>
      </x:c>
      <x:c r="AK91" s="87" t="n">
        <x:v>46255</x:v>
      </x:c>
    </x:row>
    <x:row r="92">
      <x:c r="A92" s="72" t="str">
        <x:f>IF(OR(C92="",D92=""),"",B92&amp;"-"&amp;UPPER(C92)&amp;"-"&amp;TEXT(D92,"0000")&amp;"-"&amp;E92)</x:f>
        <x:v>M10-GUANSHA-0086-V1.0</x:v>
      </x:c>
      <x:c r="B92" s="74" t="str">
        <x:v>M10</x:v>
      </x:c>
      <x:c r="C92" s="74" t="str">
        <x:v>GUANSHA</x:v>
      </x:c>
      <x:c r="D92" s="215" t="n">
        <x:v>86</x:v>
      </x:c>
      <x:c r="E92" s="74" t="str">
        <x:v>V1.0</x:v>
      </x:c>
      <x:c r="F92" s="68" t="str">
        <x:v>官杀并见先判混杂程度而非直接定凶</x:v>
      </x:c>
      <x:c r="G92" s="82" t="str">
        <x:v>结构层</x:v>
      </x:c>
      <x:c r="H92" s="82" t="str">
        <x:v>正官</x:v>
      </x:c>
      <x:c r="I92" s="82" t="str">
        <x:v>待定</x:v>
      </x:c>
      <x:c r="J92" s="82" t="str">
        <x:v>待定</x:v>
      </x:c>
      <x:c r="K92" s="82" t="str">
        <x:v>待定</x:v>
      </x:c>
      <x:c r="L92" s="82" t="str">
        <x:v>有杂</x:v>
      </x:c>
      <x:c r="M92" s="68" t="str">
        <x:v>按M08核查</x:v>
      </x:c>
      <x:c r="N92" s="68" t="str">
        <x:v>按M06/M08核查</x:v>
      </x:c>
      <x:c r="O92" s="82" t="str">
        <x:v>待定</x:v>
      </x:c>
      <x:c r="P92" s="68" t="str">
        <x:v>转M11/M14判断</x:v>
      </x:c>
      <x:c r="Q92" s="68" t="str">
        <x:v>需结合M09日主承载判断</x:v>
      </x:c>
      <x:c r="R92" s="82" t="str">
        <x:v>待定</x:v>
      </x:c>
      <x:c r="S92" s="68" t="str">
        <x:v>正官七杀同时有效存在</x:v>
      </x:c>
      <x:c r="T92" s="68" t="str">
        <x:v>M02十神映射、M08五行有效旺衰、M09日主旺衰已完成</x:v>
      </x:c>
      <x:c r="U92" s="68" t="str">
        <x:v>相关十神已由M02正确映射，并以M08有效力量为准</x:v>
      </x:c>
      <x:c r="V92" s="68" t="str">
        <x:v>得令、有根、透干、同党或生源形成独立有效证据</x:v>
      </x:c>
      <x:c r="W92" s="68" t="str">
        <x:v>失令、无根、被合绊、被制、改性或作用路径受阻</x:v>
      </x:c>
      <x:c r="X92" s="90" t="str">
        <x:v>不得以十神名称、数量或单一旺弱证据直接完成定性</x:v>
      </x:c>
      <x:c r="Y92" s="68" t="str">
        <x:v>特殊格局、从化候选及明确组合转M11/M14另审</x:v>
      </x:c>
      <x:c r="Z92" s="68" t="str">
        <x:v>不得由官杀并见直接推出婚姻、事业或灾祸结论</x:v>
      </x:c>
      <x:c r="AA92" s="84" t="str">
        <x:v>官杀混杂候选</x:v>
      </x:c>
      <x:c r="AB92" s="84" t="str">
        <x:v>官杀并见先判混杂程度而非直接定凶：当“正官七杀同时有效存在”成立时，按本规则记录十神的有效功能；同时保留制化、承载和反向证据。</x:v>
      </x:c>
      <x:c r="AC92" s="82" t="str">
        <x:v>较高</x:v>
      </x:c>
      <x:c r="AD92" s="82" t="str">
        <x:v>现代综合</x:v>
      </x:c>
      <x:c r="AE92" s="68" t="str">
        <x:v>十神必须分开判断存在性、力量、清纯度、功能性与喜忌性；M10只形成结构层结论和候选，不越级替代M11—M18。</x:v>
      </x:c>
      <x:c r="AF92" s="68" t="str">
        <x:v>相关条件真实成立，且增强条件有效时，可按“官杀并见先判混杂程度而非直接定凶”记录对应功能。</x:v>
      </x:c>
      <x:c r="AG92" s="90" t="str">
        <x:v>仅见表面十神名称或数量，但“不得以十神名称、数量或单一旺弱证据直接完成定性”所述限制存在时，不得套用本规则。</x:v>
      </x:c>
      <x:c r="AH92" s="68" t="str">
        <x:v>https://zh.wikisource.org/wiki/%E6%B8%8A%E6%B5%B7%E5%AD%90%E5%B9%B3%E5%A4%A7%E5%85%A8 ; https://zh.wikisource.org/wiki/%E6%BB%B4%E5%A4%A9%E9%AB%93%E9%97%A1%E5%BE%AE</x:v>
      </x:c>
      <x:c r="AI92" s="82" t="str">
        <x:v>采用</x:v>
      </x:c>
      <x:c r="AJ92" s="82" t="str">
        <x:v>初审</x:v>
      </x:c>
      <x:c r="AK92" s="87" t="n">
        <x:v>46255</x:v>
      </x:c>
    </x:row>
    <x:row r="93">
      <x:c r="A93" s="72" t="str">
        <x:f>IF(OR(C93="",D93=""),"",B93&amp;"-"&amp;UPPER(C93)&amp;"-"&amp;TEXT(D93,"0000")&amp;"-"&amp;E93)</x:f>
        <x:v>M10-GUANSHA-0087-V1.0</x:v>
      </x:c>
      <x:c r="B93" s="74" t="str">
        <x:v>M10</x:v>
      </x:c>
      <x:c r="C93" s="74" t="str">
        <x:v>GUANSHA</x:v>
      </x:c>
      <x:c r="D93" s="215" t="n">
        <x:v>87</x:v>
      </x:c>
      <x:c r="E93" s="74" t="str">
        <x:v>V1.0</x:v>
      </x:c>
      <x:c r="F93" s="68" t="str">
        <x:v>官杀均旺且均直接制身时混杂与压力同步上升</x:v>
      </x:c>
      <x:c r="G93" s="82" t="str">
        <x:v>结构层</x:v>
      </x:c>
      <x:c r="H93" s="82" t="str">
        <x:v>七杀</x:v>
      </x:c>
      <x:c r="I93" s="82" t="str">
        <x:v>待定</x:v>
      </x:c>
      <x:c r="J93" s="82" t="str">
        <x:v>待定</x:v>
      </x:c>
      <x:c r="K93" s="82" t="str">
        <x:v>待定</x:v>
      </x:c>
      <x:c r="L93" s="82" t="str">
        <x:v>混杂</x:v>
      </x:c>
      <x:c r="M93" s="68" t="str">
        <x:v>按M08核查</x:v>
      </x:c>
      <x:c r="N93" s="68" t="str">
        <x:v>按M06/M08核查</x:v>
      </x:c>
      <x:c r="O93" s="82" t="str">
        <x:v>制化失衡</x:v>
      </x:c>
      <x:c r="P93" s="68" t="str">
        <x:v>转M11/M14判断</x:v>
      </x:c>
      <x:c r="Q93" s="68" t="str">
        <x:v>形成多路制身压力</x:v>
      </x:c>
      <x:c r="R93" s="82" t="str">
        <x:v>待定</x:v>
      </x:c>
      <x:c r="S93" s="68" t="str">
        <x:v>正官七杀均达到中和偏旺以上且制身路径均有效</x:v>
      </x:c>
      <x:c r="T93" s="68" t="str">
        <x:v>M02十神映射、M08五行有效旺衰、M09日主旺衰已完成</x:v>
      </x:c>
      <x:c r="U93" s="68" t="str">
        <x:v>相关十神已由M02正确映射，并以M08有效力量为准</x:v>
      </x:c>
      <x:c r="V93" s="68" t="str">
        <x:v>得令、有根、透干、同党或生源形成独立有效证据</x:v>
      </x:c>
      <x:c r="W93" s="68" t="str">
        <x:v>失令、无根、被合绊、被制、改性或作用路径受阻</x:v>
      </x:c>
      <x:c r="X93" s="90" t="str">
        <x:v>不得以十神名称、数量或单一旺弱证据直接完成定性</x:v>
      </x:c>
      <x:c r="Y93" s="68" t="str">
        <x:v>特殊格局、从化候选及明确组合转M11/M14另审</x:v>
      </x:c>
      <x:c r="Z93" s="68" t="str">
        <x:v>不得直接推出吉凶、具体事件、亲属结果或最终喜忌</x:v>
      </x:c>
      <x:c r="AA93" s="84" t="str">
        <x:v>官杀双强</x:v>
      </x:c>
      <x:c r="AB93" s="84" t="str">
        <x:v>官杀均旺且均直接制身时混杂与压力同步上升：当“正官七杀均达到中和偏旺以上且制身路径均有效”成立时，按本规则记录十神的有效功能；同时保留制化、承载和反向证据。</x:v>
      </x:c>
      <x:c r="AC93" s="82" t="str">
        <x:v>较高</x:v>
      </x:c>
      <x:c r="AD93" s="82" t="str">
        <x:v>现代综合</x:v>
      </x:c>
      <x:c r="AE93" s="68" t="str">
        <x:v>十神必须分开判断存在性、力量、清纯度、功能性与喜忌性；M10只形成结构层结论和候选，不越级替代M11—M18。</x:v>
      </x:c>
      <x:c r="AF93" s="68" t="str">
        <x:v>相关条件真实成立，且增强条件有效时，可按“官杀均旺且均直接制身时混杂与压力同步上升”记录对应功能。</x:v>
      </x:c>
      <x:c r="AG93" s="90" t="str">
        <x:v>仅见表面十神名称或数量，但“不得以十神名称、数量或单一旺弱证据直接完成定性”所述限制存在时，不得套用本规则。</x:v>
      </x:c>
      <x:c r="AH93" s="68" t="str">
        <x:v>https://zh.wikisource.org/wiki/%E6%B8%8A%E6%B5%B7%E5%AD%90%E5%B9%B3%E5%A4%A7%E5%85%A8 ; https://zh.wikisource.org/wiki/%E6%BB%B4%E5%A4%A9%E9%AB%93%E9%97%A1%E5%BE%AE</x:v>
      </x:c>
      <x:c r="AI93" s="82" t="str">
        <x:v>采用</x:v>
      </x:c>
      <x:c r="AJ93" s="82" t="str">
        <x:v>初审</x:v>
      </x:c>
      <x:c r="AK93" s="87" t="n">
        <x:v>46255</x:v>
      </x:c>
    </x:row>
    <x:row r="94">
      <x:c r="A94" s="72" t="str">
        <x:f>IF(OR(C94="",D94=""),"",B94&amp;"-"&amp;UPPER(C94)&amp;"-"&amp;TEXT(D94,"0000")&amp;"-"&amp;E94)</x:f>
        <x:v>M10-GUANSHA-0088-V1.0</x:v>
      </x:c>
      <x:c r="B94" s="74" t="str">
        <x:v>M10</x:v>
      </x:c>
      <x:c r="C94" s="74" t="str">
        <x:v>GUANSHA</x:v>
      </x:c>
      <x:c r="D94" s="215" t="n">
        <x:v>88</x:v>
      </x:c>
      <x:c r="E94" s="74" t="str">
        <x:v>V1.0</x:v>
      </x:c>
      <x:c r="F94" s="68" t="str">
        <x:v>官杀一方被合制失效时可形成清化候选</x:v>
      </x:c>
      <x:c r="G94" s="82" t="str">
        <x:v>结构层</x:v>
      </x:c>
      <x:c r="H94" s="82" t="str">
        <x:v>正官</x:v>
      </x:c>
      <x:c r="I94" s="82" t="str">
        <x:v>待定</x:v>
      </x:c>
      <x:c r="J94" s="82" t="str">
        <x:v>待定</x:v>
      </x:c>
      <x:c r="K94" s="82" t="str">
        <x:v>待定</x:v>
      </x:c>
      <x:c r="L94" s="82" t="str">
        <x:v>较清</x:v>
      </x:c>
      <x:c r="M94" s="68" t="str">
        <x:v>按M08核查</x:v>
      </x:c>
      <x:c r="N94" s="68" t="str">
        <x:v>按M06/M08核查</x:v>
      </x:c>
      <x:c r="O94" s="82" t="str">
        <x:v>制化平衡</x:v>
      </x:c>
      <x:c r="P94" s="68" t="str">
        <x:v>转M11/M14判断</x:v>
      </x:c>
      <x:c r="Q94" s="68" t="str">
        <x:v>需结合M09日主承载判断</x:v>
      </x:c>
      <x:c r="R94" s="82" t="str">
        <x:v>待定</x:v>
      </x:c>
      <x:c r="S94" s="68" t="str">
        <x:v>官杀并见，但其中一方被有效合住、制去或改性而功能显著下降</x:v>
      </x:c>
      <x:c r="T94" s="68" t="str">
        <x:v>M02十神映射、M08五行有效旺衰、M09日主旺衰已完成</x:v>
      </x:c>
      <x:c r="U94" s="68" t="str">
        <x:v>相关十神已由M02正确映射，并以M08有效力量为准</x:v>
      </x:c>
      <x:c r="V94" s="68" t="str">
        <x:v>得令、有根、透干、同党或生源形成独立有效证据</x:v>
      </x:c>
      <x:c r="W94" s="68" t="str">
        <x:v>失令、无根、被合绊、被制、改性或作用路径受阻</x:v>
      </x:c>
      <x:c r="X94" s="90" t="str">
        <x:v>不得以十神名称、数量或单一旺弱证据直接完成定性</x:v>
      </x:c>
      <x:c r="Y94" s="68" t="str">
        <x:v>特殊格局、从化候选及明确组合转M11/M14另审</x:v>
      </x:c>
      <x:c r="Z94" s="68" t="str">
        <x:v>不得直接推出吉凶、具体事件、亲属结果或最终喜忌</x:v>
      </x:c>
      <x:c r="AA94" s="84" t="str">
        <x:v>官杀清化候选</x:v>
      </x:c>
      <x:c r="AB94" s="84" t="str">
        <x:v>官杀一方被合制失效时可形成清化候选：当“官杀并见，但其中一方被有效合住、制去或改性而功能显著下降”成立时，按本规则记录十神的有效功能；同时保留制化、承载和反向证据。</x:v>
      </x:c>
      <x:c r="AC94" s="82" t="str">
        <x:v>较高</x:v>
      </x:c>
      <x:c r="AD94" s="82" t="str">
        <x:v>现代综合</x:v>
      </x:c>
      <x:c r="AE94" s="68" t="str">
        <x:v>十神必须分开判断存在性、力量、清纯度、功能性与喜忌性；M10只形成结构层结论和候选，不越级替代M11—M18。</x:v>
      </x:c>
      <x:c r="AF94" s="68" t="str">
        <x:v>相关条件真实成立，且增强条件有效时，可按“官杀一方被合制失效时可形成清化候选”记录对应功能。</x:v>
      </x:c>
      <x:c r="AG94" s="90" t="str">
        <x:v>仅见表面十神名称或数量，但“不得以十神名称、数量或单一旺弱证据直接完成定性”所述限制存在时，不得套用本规则。</x:v>
      </x:c>
      <x:c r="AH94" s="68" t="str">
        <x:v>https://zh.wikisource.org/wiki/%E6%B8%8A%E6%B5%B7%E5%AD%90%E5%B9%B3%E5%A4%A7%E5%85%A8 ; https://zh.wikisource.org/wiki/%E6%BB%B4%E5%A4%A9%E9%AB%93%E9%97%A1%E5%BE%AE</x:v>
      </x:c>
      <x:c r="AI94" s="82" t="str">
        <x:v>采用</x:v>
      </x:c>
      <x:c r="AJ94" s="82" t="str">
        <x:v>初审</x:v>
      </x:c>
      <x:c r="AK94" s="87" t="n">
        <x:v>46255</x:v>
      </x:c>
    </x:row>
    <x:row r="95">
      <x:c r="A95" s="72" t="str">
        <x:f>IF(OR(C95="",D95=""),"",B95&amp;"-"&amp;UPPER(C95)&amp;"-"&amp;TEXT(D95,"0000")&amp;"-"&amp;E95)</x:f>
        <x:v>M10-GUANSHA-0089-V1.0</x:v>
      </x:c>
      <x:c r="B95" s="74" t="str">
        <x:v>M10</x:v>
      </x:c>
      <x:c r="C95" s="74" t="str">
        <x:v>GUANSHA</x:v>
      </x:c>
      <x:c r="D95" s="215" t="n">
        <x:v>89</x:v>
      </x:c>
      <x:c r="E95" s="74" t="str">
        <x:v>V1.0</x:v>
      </x:c>
      <x:c r="F95" s="68" t="str">
        <x:v>官杀虽旺但有强制化不应直接按为害处理</x:v>
      </x:c>
      <x:c r="G95" s="82" t="str">
        <x:v>结构层</x:v>
      </x:c>
      <x:c r="H95" s="82" t="str">
        <x:v>七杀</x:v>
      </x:c>
      <x:c r="I95" s="82" t="str">
        <x:v>待定</x:v>
      </x:c>
      <x:c r="J95" s="82" t="str">
        <x:v>待定</x:v>
      </x:c>
      <x:c r="K95" s="82" t="str">
        <x:v>旺</x:v>
      </x:c>
      <x:c r="L95" s="82" t="str">
        <x:v>待定</x:v>
      </x:c>
      <x:c r="M95" s="68" t="str">
        <x:v>按M08核查</x:v>
      </x:c>
      <x:c r="N95" s="68" t="str">
        <x:v>按M06/M08核查</x:v>
      </x:c>
      <x:c r="O95" s="82" t="str">
        <x:v>制化平衡</x:v>
      </x:c>
      <x:c r="P95" s="68" t="str">
        <x:v>转M11/M14判断</x:v>
      </x:c>
      <x:c r="Q95" s="68" t="str">
        <x:v>需结合M09日主承载判断</x:v>
      </x:c>
      <x:c r="R95" s="82" t="str">
        <x:v>待定</x:v>
      </x:c>
      <x:c r="S95" s="68" t="str">
        <x:v>七杀旺，但食神制杀或印化杀功能稳定有效</x:v>
      </x:c>
      <x:c r="T95" s="68" t="str">
        <x:v>M02十神映射、M08五行有效旺衰、M09日主旺衰已完成</x:v>
      </x:c>
      <x:c r="U95" s="68" t="str">
        <x:v>相关十神已由M02正确映射，并以M08有效力量为准</x:v>
      </x:c>
      <x:c r="V95" s="68" t="str">
        <x:v>得令、有根、透干、同党或生源形成独立有效证据</x:v>
      </x:c>
      <x:c r="W95" s="68" t="str">
        <x:v>失令、无根、被合绊、被制、改性或作用路径受阻</x:v>
      </x:c>
      <x:c r="X95" s="90" t="str">
        <x:v>不得以十神名称、数量或单一旺弱证据直接完成定性</x:v>
      </x:c>
      <x:c r="Y95" s="68" t="str">
        <x:v>特殊格局、从化候选及明确组合转M11/M14另审</x:v>
      </x:c>
      <x:c r="Z95" s="68" t="str">
        <x:v>不得仅凭七杀旺直接定为忌神或为害</x:v>
      </x:c>
      <x:c r="AA95" s="84" t="str">
        <x:v>杀旺有制化</x:v>
      </x:c>
      <x:c r="AB95" s="84" t="str">
        <x:v>官杀虽旺但有强制化不应直接按为害处理：当“七杀旺，但食神制杀或印化杀功能稳定有效”成立时，按本规则记录十神的有效功能；同时保留制化、承载和反向证据。</x:v>
      </x:c>
      <x:c r="AC95" s="82" t="str">
        <x:v>较高</x:v>
      </x:c>
      <x:c r="AD95" s="82" t="str">
        <x:v>现代综合</x:v>
      </x:c>
      <x:c r="AE95" s="68" t="str">
        <x:v>十神必须分开判断存在性、力量、清纯度、功能性与喜忌性；M10只形成结构层结论和候选，不越级替代M11—M18。</x:v>
      </x:c>
      <x:c r="AF95" s="68" t="str">
        <x:v>相关条件真实成立，且增强条件有效时，可按“官杀虽旺但有强制化不应直接按为害处理”记录对应功能。</x:v>
      </x:c>
      <x:c r="AG95" s="90" t="str">
        <x:v>仅见表面十神名称或数量，但“不得以十神名称、数量或单一旺弱证据直接完成定性”所述限制存在时，不得套用本规则。</x:v>
      </x:c>
      <x:c r="AH95" s="68" t="str">
        <x:v>https://zh.wikisource.org/wiki/%E6%B8%8A%E6%B5%B7%E5%AD%90%E5%B9%B3%E5%A4%A7%E5%85%A8 ; https://zh.wikisource.org/wiki/%E6%BB%B4%E5%A4%A9%E9%AB%93%E9%97%A1%E5%BE%AE</x:v>
      </x:c>
      <x:c r="AI95" s="82" t="str">
        <x:v>采用</x:v>
      </x:c>
      <x:c r="AJ95" s="82" t="str">
        <x:v>初审</x:v>
      </x:c>
      <x:c r="AK95" s="87" t="n">
        <x:v>46255</x:v>
      </x:c>
    </x:row>
    <x:row r="96">
      <x:c r="A96" s="72" t="str">
        <x:f>IF(OR(C96="",D96=""),"",B96&amp;"-"&amp;UPPER(C96)&amp;"-"&amp;TEXT(D96,"0000")&amp;"-"&amp;E96)</x:f>
        <x:v>M10-GUANSHA-0090-V1.0</x:v>
      </x:c>
      <x:c r="B96" s="74" t="str">
        <x:v>M10</x:v>
      </x:c>
      <x:c r="C96" s="74" t="str">
        <x:v>GUANSHA</x:v>
      </x:c>
      <x:c r="D96" s="215" t="n">
        <x:v>90</x:v>
      </x:c>
      <x:c r="E96" s="74" t="str">
        <x:v>V1.0</x:v>
      </x:c>
      <x:c r="F96" s="68" t="str">
        <x:v>官杀旺弱与职位权力事件必须分离</x:v>
      </x:c>
      <x:c r="G96" s="82" t="str">
        <x:v>结构层</x:v>
      </x:c>
      <x:c r="H96" s="82" t="str">
        <x:v>正官</x:v>
      </x:c>
      <x:c r="I96" s="82" t="str">
        <x:v>待定</x:v>
      </x:c>
      <x:c r="J96" s="82" t="str">
        <x:v>待定</x:v>
      </x:c>
      <x:c r="K96" s="82" t="str">
        <x:v>待定</x:v>
      </x:c>
      <x:c r="L96" s="82" t="str">
        <x:v>待定</x:v>
      </x:c>
      <x:c r="M96" s="68" t="str">
        <x:v>按M08核查</x:v>
      </x:c>
      <x:c r="N96" s="68" t="str">
        <x:v>按M06/M08核查</x:v>
      </x:c>
      <x:c r="O96" s="82" t="str">
        <x:v>待定</x:v>
      </x:c>
      <x:c r="P96" s="68" t="str">
        <x:v>转M11/M14判断</x:v>
      </x:c>
      <x:c r="Q96" s="68" t="str">
        <x:v>需结合M09日主承载判断</x:v>
      </x:c>
      <x:c r="R96" s="82" t="str">
        <x:v>待定</x:v>
      </x:c>
      <x:c r="S96" s="68" t="str">
        <x:v>官杀有效旺衰已经确定</x:v>
      </x:c>
      <x:c r="T96" s="68" t="str">
        <x:v>M02十神映射、M08五行有效旺衰、M09日主旺衰已完成</x:v>
      </x:c>
      <x:c r="U96" s="68" t="str">
        <x:v>相关十神已由M02正确映射，并以M08有效力量为准</x:v>
      </x:c>
      <x:c r="V96" s="68" t="str">
        <x:v>得令、有根、透干、同党或生源形成独立有效证据</x:v>
      </x:c>
      <x:c r="W96" s="68" t="str">
        <x:v>失令、无根、被合绊、被制、改性或作用路径受阻</x:v>
      </x:c>
      <x:c r="X96" s="90" t="str">
        <x:v>不得以十神名称、数量或单一旺弱证据直接完成定性</x:v>
      </x:c>
      <x:c r="Y96" s="68" t="str">
        <x:v>特殊格局、从化候选及明确组合转M11/M14另审</x:v>
      </x:c>
      <x:c r="Z96" s="68" t="str">
        <x:v>不得由官旺直接推出升职、杀旺直接推出灾害或司法事件</x:v>
      </x:c>
      <x:c r="AA96" s="84" t="str">
        <x:v>官杀力量事件分离</x:v>
      </x:c>
      <x:c r="AB96" s="84" t="str">
        <x:v>官杀旺弱与职位权力事件必须分离：当“官杀有效旺衰已经确定”成立时，按本规则记录十神的有效功能；同时保留制化、承载和反向证据。</x:v>
      </x:c>
      <x:c r="AC96" s="82" t="str">
        <x:v>较高</x:v>
      </x:c>
      <x:c r="AD96" s="82" t="str">
        <x:v>现代综合</x:v>
      </x:c>
      <x:c r="AE96" s="68" t="str">
        <x:v>十神必须分开判断存在性、力量、清纯度、功能性与喜忌性；M10只形成结构层结论和候选，不越级替代M11—M18。</x:v>
      </x:c>
      <x:c r="AF96" s="68" t="str">
        <x:v>相关条件真实成立，且增强条件有效时，可按“官杀旺弱与职位权力事件必须分离”记录对应功能。</x:v>
      </x:c>
      <x:c r="AG96" s="90" t="str">
        <x:v>仅见表面十神名称或数量，但“不得以十神名称、数量或单一旺弱证据直接完成定性”所述限制存在时，不得套用本规则。</x:v>
      </x:c>
      <x:c r="AH96" s="68" t="str">
        <x:v>https://zh.wikisource.org/wiki/%E6%B8%8A%E6%B5%B7%E5%AD%90%E5%B9%B3%E5%A4%A7%E5%85%A8 ; https://zh.wikisource.org/wiki/%E6%BB%B4%E5%A4%A9%E9%AB%93%E9%97%A1%E5%BE%AE</x:v>
      </x:c>
      <x:c r="AI96" s="82" t="str">
        <x:v>采用</x:v>
      </x:c>
      <x:c r="AJ96" s="82" t="str">
        <x:v>初审</x:v>
      </x:c>
      <x:c r="AK96" s="87" t="n">
        <x:v>46255</x:v>
      </x:c>
    </x:row>
    <x:row r="97">
      <x:c r="A97" s="72" t="str">
        <x:f>IF(OR(C97="",D97=""),"",B97&amp;"-"&amp;UPPER(C97)&amp;"-"&amp;TEXT(D97,"0000")&amp;"-"&amp;E97)</x:f>
        <x:v>M10-BAL-0091-V1.0</x:v>
      </x:c>
      <x:c r="B97" s="74" t="str">
        <x:v>M10</x:v>
      </x:c>
      <x:c r="C97" s="74" t="str">
        <x:v>BAL</x:v>
      </x:c>
      <x:c r="D97" s="215" t="n">
        <x:v>91</x:v>
      </x:c>
      <x:c r="E97" s="74" t="str">
        <x:v>V1.0</x:v>
      </x:c>
      <x:c r="F97" s="68" t="str">
        <x:v>十神功能正常需自身有效且作用对象可承接</x:v>
      </x:c>
      <x:c r="G97" s="82" t="str">
        <x:v>结构层</x:v>
      </x:c>
      <x:c r="H97" s="82" t="str">
        <x:v>七杀</x:v>
      </x:c>
      <x:c r="I97" s="82" t="str">
        <x:v>待定</x:v>
      </x:c>
      <x:c r="J97" s="82" t="str">
        <x:v>待定</x:v>
      </x:c>
      <x:c r="K97" s="82" t="str">
        <x:v>待定</x:v>
      </x:c>
      <x:c r="L97" s="82" t="str">
        <x:v>待定</x:v>
      </x:c>
      <x:c r="M97" s="68" t="str">
        <x:v>按M08核查</x:v>
      </x:c>
      <x:c r="N97" s="68" t="str">
        <x:v>按M06/M08核查</x:v>
      </x:c>
      <x:c r="O97" s="82" t="str">
        <x:v>正常发挥</x:v>
      </x:c>
      <x:c r="P97" s="68" t="str">
        <x:v>转M11/M14判断</x:v>
      </x:c>
      <x:c r="Q97" s="68" t="str">
        <x:v>需结合M09日主承载判断</x:v>
      </x:c>
      <x:c r="R97" s="82" t="str">
        <x:v>待定</x:v>
      </x:c>
      <x:c r="S97" s="68" t="str">
        <x:v>七杀有力，同时日主或印食等对象真实存在并能形成作用路径</x:v>
      </x:c>
      <x:c r="T97" s="68" t="str">
        <x:v>M02十神映射、M08五行有效旺衰、M09日主旺衰已完成</x:v>
      </x:c>
      <x:c r="U97" s="68" t="str">
        <x:v>相关十神已由M02正确映射，并以M08有效力量为准</x:v>
      </x:c>
      <x:c r="V97" s="68" t="str">
        <x:v>得令、有根、透干、同党或生源形成独立有效证据</x:v>
      </x:c>
      <x:c r="W97" s="68" t="str">
        <x:v>失令、无根、被合绊、被制、改性或作用路径受阻</x:v>
      </x:c>
      <x:c r="X97" s="90" t="str">
        <x:v>不得以十神名称、数量或单一旺弱证据直接完成定性</x:v>
      </x:c>
      <x:c r="Y97" s="68" t="str">
        <x:v>特殊格局、从化候选及明确组合转M11/M14另审</x:v>
      </x:c>
      <x:c r="Z97" s="68" t="str">
        <x:v>不得直接推出吉凶、具体事件、亲属结果或最终喜忌</x:v>
      </x:c>
      <x:c r="AA97" s="84" t="str">
        <x:v>功能成立基础</x:v>
      </x:c>
      <x:c r="AB97" s="84" t="str">
        <x:v>十神功能正常需自身有效且作用对象可承接：当“七杀有力，同时日主或印食等对象真实存在并能形成作用路径”成立时，按本规则记录十神的有效功能；同时保留制化、承载和反向证据。</x:v>
      </x:c>
      <x:c r="AC97" s="82" t="str">
        <x:v>较高</x:v>
      </x:c>
      <x:c r="AD97" s="82" t="str">
        <x:v>现代综合</x:v>
      </x:c>
      <x:c r="AE97" s="68" t="str">
        <x:v>十神必须分开判断存在性、力量、清纯度、功能性与喜忌性；M10只形成结构层结论和候选，不越级替代M11—M18。</x:v>
      </x:c>
      <x:c r="AF97" s="68" t="str">
        <x:v>相关条件真实成立，且增强条件有效时，可按“十神功能正常需自身有效且作用对象可承接”记录对应功能。</x:v>
      </x:c>
      <x:c r="AG97" s="90" t="str">
        <x:v>仅见表面十神名称或数量，但“不得以十神名称、数量或单一旺弱证据直接完成定性”所述限制存在时，不得套用本规则。</x:v>
      </x:c>
      <x:c r="AH97" s="68" t="str">
        <x:v>https://zh.wikisource.org/wiki/%E6%B8%8A%E6%B5%B7%E5%AD%90%E5%B9%B3%E5%A4%A7%E5%85%A8 ; https://zh.wikisource.org/wiki/%E6%BB%B4%E5%A4%A9%E9%AB%93%E9%97%A1%E5%BE%AE</x:v>
      </x:c>
      <x:c r="AI97" s="82" t="str">
        <x:v>采用</x:v>
      </x:c>
      <x:c r="AJ97" s="82" t="str">
        <x:v>初审</x:v>
      </x:c>
      <x:c r="AK97" s="87" t="n">
        <x:v>46255</x:v>
      </x:c>
    </x:row>
    <x:row r="98">
      <x:c r="A98" s="72" t="str">
        <x:f>IF(OR(C98="",D98=""),"",B98&amp;"-"&amp;UPPER(C98)&amp;"-"&amp;TEXT(D98,"0000")&amp;"-"&amp;E98)</x:f>
        <x:v>M10-BAL-0092-V1.0</x:v>
      </x:c>
      <x:c r="B98" s="74" t="str">
        <x:v>M10</x:v>
      </x:c>
      <x:c r="C98" s="74" t="str">
        <x:v>BAL</x:v>
      </x:c>
      <x:c r="D98" s="215" t="n">
        <x:v>92</x:v>
      </x:c>
      <x:c r="E98" s="74" t="str">
        <x:v>V1.0</x:v>
      </x:c>
      <x:c r="F98" s="68" t="str">
        <x:v>受制不等于完全失效，应按制约程度分级</x:v>
      </x:c>
      <x:c r="G98" s="82" t="str">
        <x:v>结构层</x:v>
      </x:c>
      <x:c r="H98" s="82" t="str">
        <x:v>食神</x:v>
      </x:c>
      <x:c r="I98" s="82" t="str">
        <x:v>待定</x:v>
      </x:c>
      <x:c r="J98" s="82" t="str">
        <x:v>待定</x:v>
      </x:c>
      <x:c r="K98" s="82" t="str">
        <x:v>待定</x:v>
      </x:c>
      <x:c r="L98" s="82" t="str">
        <x:v>待定</x:v>
      </x:c>
      <x:c r="M98" s="68" t="str">
        <x:v>按M08核查</x:v>
      </x:c>
      <x:c r="N98" s="68" t="str">
        <x:v>按M06/M08核查</x:v>
      </x:c>
      <x:c r="O98" s="82" t="str">
        <x:v>受限</x:v>
      </x:c>
      <x:c r="P98" s="68" t="str">
        <x:v>转M11/M14判断</x:v>
      </x:c>
      <x:c r="Q98" s="68" t="str">
        <x:v>需结合M09日主承载判断</x:v>
      </x:c>
      <x:c r="R98" s="82" t="str">
        <x:v>待定</x:v>
      </x:c>
      <x:c r="S98" s="68" t="str">
        <x:v>食神受到偏印或合绊制约，但仍保有根源和其他有效节点</x:v>
      </x:c>
      <x:c r="T98" s="68" t="str">
        <x:v>M02十神映射、M08五行有效旺衰、M09日主旺衰已完成</x:v>
      </x:c>
      <x:c r="U98" s="68" t="str">
        <x:v>相关十神已由M02正确映射，并以M08有效力量为准</x:v>
      </x:c>
      <x:c r="V98" s="68" t="str">
        <x:v>得令、有根、透干、同党或生源形成独立有效证据</x:v>
      </x:c>
      <x:c r="W98" s="68" t="str">
        <x:v>失令、无根、被合绊、被制、改性或作用路径受阻</x:v>
      </x:c>
      <x:c r="X98" s="90" t="str">
        <x:v>不得以十神名称、数量或单一旺弱证据直接完成定性</x:v>
      </x:c>
      <x:c r="Y98" s="68" t="str">
        <x:v>特殊格局、从化候选及明确组合转M11/M14另审</x:v>
      </x:c>
      <x:c r="Z98" s="68" t="str">
        <x:v>不得直接推出吉凶、具体事件、亲属结果或最终喜忌</x:v>
      </x:c>
      <x:c r="AA98" s="84" t="str">
        <x:v>功能受限分级</x:v>
      </x:c>
      <x:c r="AB98" s="84" t="str">
        <x:v>受制不等于完全失效，应按制约程度分级：当“食神受到偏印或合绊制约，但仍保有根源和其他有效节点”成立时，按本规则记录十神的有效功能；同时保留制化、承载和反向证据。</x:v>
      </x:c>
      <x:c r="AC98" s="82" t="str">
        <x:v>较高</x:v>
      </x:c>
      <x:c r="AD98" s="82" t="str">
        <x:v>现代综合</x:v>
      </x:c>
      <x:c r="AE98" s="68" t="str">
        <x:v>十神必须分开判断存在性、力量、清纯度、功能性与喜忌性；M10只形成结构层结论和候选，不越级替代M11—M18。</x:v>
      </x:c>
      <x:c r="AF98" s="68" t="str">
        <x:v>相关条件真实成立，且增强条件有效时，可按“受制不等于完全失效，应按制约程度分级”记录对应功能。</x:v>
      </x:c>
      <x:c r="AG98" s="90" t="str">
        <x:v>仅见表面十神名称或数量，但“不得以十神名称、数量或单一旺弱证据直接完成定性”所述限制存在时，不得套用本规则。</x:v>
      </x:c>
      <x:c r="AH98" s="68" t="str">
        <x:v>https://zh.wikisource.org/wiki/%E6%B8%8A%E6%B5%B7%E5%AD%90%E5%B9%B3%E5%A4%A7%E5%85%A8 ; https://zh.wikisource.org/wiki/%E6%BB%B4%E5%A4%A9%E9%AB%93%E9%97%A1%E5%BE%AE</x:v>
      </x:c>
      <x:c r="AI98" s="82" t="str">
        <x:v>采用</x:v>
      </x:c>
      <x:c r="AJ98" s="82" t="str">
        <x:v>初审</x:v>
      </x:c>
      <x:c r="AK98" s="87" t="n">
        <x:v>46255</x:v>
      </x:c>
    </x:row>
    <x:row r="99">
      <x:c r="A99" s="72" t="str">
        <x:f>IF(OR(C99="",D99=""),"",B99&amp;"-"&amp;UPPER(C99)&amp;"-"&amp;TEXT(D99,"0000")&amp;"-"&amp;E99)</x:f>
        <x:v>M10-BAL-0093-V1.0</x:v>
      </x:c>
      <x:c r="B99" s="74" t="str">
        <x:v>M10</x:v>
      </x:c>
      <x:c r="C99" s="74" t="str">
        <x:v>BAL</x:v>
      </x:c>
      <x:c r="D99" s="215" t="n">
        <x:v>93</x:v>
      </x:c>
      <x:c r="E99" s="74" t="str">
        <x:v>V1.0</x:v>
      </x:c>
      <x:c r="F99" s="68" t="str">
        <x:v>实质改性后原十神功能应标记转化</x:v>
      </x:c>
      <x:c r="G99" s="82" t="str">
        <x:v>结构层</x:v>
      </x:c>
      <x:c r="H99" s="82" t="str">
        <x:v>正官</x:v>
      </x:c>
      <x:c r="I99" s="82" t="str">
        <x:v>待定</x:v>
      </x:c>
      <x:c r="J99" s="82" t="str">
        <x:v>待定</x:v>
      </x:c>
      <x:c r="K99" s="82" t="str">
        <x:v>待定</x:v>
      </x:c>
      <x:c r="L99" s="82" t="str">
        <x:v>待定</x:v>
      </x:c>
      <x:c r="M99" s="68" t="str">
        <x:v>按M08核查</x:v>
      </x:c>
      <x:c r="N99" s="68" t="str">
        <x:v>按M06/M08核查</x:v>
      </x:c>
      <x:c r="O99" s="82" t="str">
        <x:v>转化</x:v>
      </x:c>
      <x:c r="P99" s="68" t="str">
        <x:v>转M11/M14判断</x:v>
      </x:c>
      <x:c r="Q99" s="68" t="str">
        <x:v>需结合M09日主承载判断</x:v>
      </x:c>
      <x:c r="R99" s="82" t="str">
        <x:v>待定</x:v>
      </x:c>
      <x:c r="S99" s="68" t="str">
        <x:v>正官节点经合化等确认五行性质改变</x:v>
      </x:c>
      <x:c r="T99" s="68" t="str">
        <x:v>M02十神映射、M08五行有效旺衰、M09日主旺衰已完成</x:v>
      </x:c>
      <x:c r="U99" s="68" t="str">
        <x:v>相关十神已由M02正确映射，并以M08有效力量为准</x:v>
      </x:c>
      <x:c r="V99" s="68" t="str">
        <x:v>得令、有根、透干、同党或生源形成独立有效证据</x:v>
      </x:c>
      <x:c r="W99" s="68" t="str">
        <x:v>失令、无根、被合绊、被制、改性或作用路径受阻</x:v>
      </x:c>
      <x:c r="X99" s="90" t="str">
        <x:v>不得以十神名称、数量或单一旺弱证据直接完成定性</x:v>
      </x:c>
      <x:c r="Y99" s="68" t="str">
        <x:v>特殊格局、从化候选及明确组合转M11/M14另审</x:v>
      </x:c>
      <x:c r="Z99" s="68" t="str">
        <x:v>不得直接推出吉凶、具体事件、亲属结果或最终喜忌</x:v>
      </x:c>
      <x:c r="AA99" s="84" t="str">
        <x:v>十神功能转化</x:v>
      </x:c>
      <x:c r="AB99" s="84" t="str">
        <x:v>实质改性后原十神功能应标记转化：当“正官节点经合化等确认五行性质改变”成立时，按本规则记录十神的有效功能；同时保留制化、承载和反向证据。</x:v>
      </x:c>
      <x:c r="AC99" s="82" t="str">
        <x:v>较高</x:v>
      </x:c>
      <x:c r="AD99" s="82" t="str">
        <x:v>现代综合</x:v>
      </x:c>
      <x:c r="AE99" s="68" t="str">
        <x:v>十神必须分开判断存在性、力量、清纯度、功能性与喜忌性；M10只形成结构层结论和候选，不越级替代M11—M18。</x:v>
      </x:c>
      <x:c r="AF99" s="68" t="str">
        <x:v>相关条件真实成立，且增强条件有效时，可按“实质改性后原十神功能应标记转化”记录对应功能。</x:v>
      </x:c>
      <x:c r="AG99" s="90" t="str">
        <x:v>仅见表面十神名称或数量，但“不得以十神名称、数量或单一旺弱证据直接完成定性”所述限制存在时，不得套用本规则。</x:v>
      </x:c>
      <x:c r="AH99" s="68" t="str">
        <x:v>https://zh.wikisource.org/wiki/%E6%B8%8A%E6%B5%B7%E5%AD%90%E5%B9%B3%E5%A4%A7%E5%85%A8 ; https://zh.wikisource.org/wiki/%E6%BB%B4%E5%A4%A9%E9%AB%93%E9%97%A1%E5%BE%AE</x:v>
      </x:c>
      <x:c r="AI99" s="82" t="str">
        <x:v>采用</x:v>
      </x:c>
      <x:c r="AJ99" s="82" t="str">
        <x:v>初审</x:v>
      </x:c>
      <x:c r="AK99" s="87" t="n">
        <x:v>46255</x:v>
      </x:c>
    </x:row>
    <x:row r="100">
      <x:c r="A100" s="72" t="str">
        <x:f>IF(OR(C100="",D100=""),"",B100&amp;"-"&amp;UPPER(C100)&amp;"-"&amp;TEXT(D100,"0000")&amp;"-"&amp;E100)</x:f>
        <x:v>M10-BAL-0094-V1.0</x:v>
      </x:c>
      <x:c r="B100" s="74" t="str">
        <x:v>M10</x:v>
      </x:c>
      <x:c r="C100" s="74" t="str">
        <x:v>BAL</x:v>
      </x:c>
      <x:c r="D100" s="215" t="n">
        <x:v>94</x:v>
      </x:c>
      <x:c r="E100" s="74" t="str">
        <x:v>V1.0</x:v>
      </x:c>
      <x:c r="F100" s="68" t="str">
        <x:v>所有有效节点均失去作用路径时才判失效</x:v>
      </x:c>
      <x:c r="G100" s="82" t="str">
        <x:v>结构层</x:v>
      </x:c>
      <x:c r="H100" s="82" t="str">
        <x:v>正财</x:v>
      </x:c>
      <x:c r="I100" s="82" t="str">
        <x:v>待定</x:v>
      </x:c>
      <x:c r="J100" s="82" t="str">
        <x:v>待定</x:v>
      </x:c>
      <x:c r="K100" s="82" t="str">
        <x:v>待定</x:v>
      </x:c>
      <x:c r="L100" s="82" t="str">
        <x:v>待定</x:v>
      </x:c>
      <x:c r="M100" s="68" t="str">
        <x:v>按M08核查</x:v>
      </x:c>
      <x:c r="N100" s="68" t="str">
        <x:v>按M06/M08核查</x:v>
      </x:c>
      <x:c r="O100" s="82" t="str">
        <x:v>失效</x:v>
      </x:c>
      <x:c r="P100" s="68" t="str">
        <x:v>转M11/M14判断</x:v>
      </x:c>
      <x:c r="Q100" s="68" t="str">
        <x:v>需结合M09日主承载判断</x:v>
      </x:c>
      <x:c r="R100" s="82" t="str">
        <x:v>待定</x:v>
      </x:c>
      <x:c r="S100" s="68" t="str">
        <x:v>正财名义存在，但全部节点被制、改性或无法透达</x:v>
      </x:c>
      <x:c r="T100" s="68" t="str">
        <x:v>M02十神映射、M08五行有效旺衰、M09日主旺衰已完成</x:v>
      </x:c>
      <x:c r="U100" s="68" t="str">
        <x:v>相关十神已由M02正确映射，并以M08有效力量为准</x:v>
      </x:c>
      <x:c r="V100" s="68" t="str">
        <x:v>得令、有根、透干、同党或生源形成独立有效证据</x:v>
      </x:c>
      <x:c r="W100" s="68" t="str">
        <x:v>失令、无根、被合绊、被制、改性或作用路径受阻</x:v>
      </x:c>
      <x:c r="X100" s="90" t="str">
        <x:v>不得以十神名称、数量或单一旺弱证据直接完成定性</x:v>
      </x:c>
      <x:c r="Y100" s="68" t="str">
        <x:v>特殊格局、从化候选及明确组合转M11/M14另审</x:v>
      </x:c>
      <x:c r="Z100" s="68" t="str">
        <x:v>不得直接推出吉凶、具体事件、亲属结果或最终喜忌</x:v>
      </x:c>
      <x:c r="AA100" s="84" t="str">
        <x:v>十神功能失效</x:v>
      </x:c>
      <x:c r="AB100" s="84" t="str">
        <x:v>所有有效节点均失去作用路径时才判失效：当“正财名义存在，但全部节点被制、改性或无法透达”成立时，按本规则记录十神的有效功能；同时保留制化、承载和反向证据。</x:v>
      </x:c>
      <x:c r="AC100" s="82" t="str">
        <x:v>较高</x:v>
      </x:c>
      <x:c r="AD100" s="82" t="str">
        <x:v>现代综合</x:v>
      </x:c>
      <x:c r="AE100" s="68" t="str">
        <x:v>十神必须分开判断存在性、力量、清纯度、功能性与喜忌性；M10只形成结构层结论和候选，不越级替代M11—M18。</x:v>
      </x:c>
      <x:c r="AF100" s="68" t="str">
        <x:v>相关条件真实成立，且增强条件有效时，可按“所有有效节点均失去作用路径时才判失效”记录对应功能。</x:v>
      </x:c>
      <x:c r="AG100" s="90" t="str">
        <x:v>仅见表面十神名称或数量，但“不得以十神名称、数量或单一旺弱证据直接完成定性”所述限制存在时，不得套用本规则。</x:v>
      </x:c>
      <x:c r="AH100" s="68" t="str">
        <x:v>https://zh.wikisource.org/wiki/%E6%B8%8A%E6%B5%B7%E5%AD%90%E5%B9%B3%E5%A4%A7%E5%85%A8 ; https://zh.wikisource.org/wiki/%E6%BB%B4%E5%A4%A9%E9%AB%93%E9%97%A1%E5%BE%AE</x:v>
      </x:c>
      <x:c r="AI100" s="82" t="str">
        <x:v>采用</x:v>
      </x:c>
      <x:c r="AJ100" s="82" t="str">
        <x:v>初审</x:v>
      </x:c>
      <x:c r="AK100" s="87" t="n">
        <x:v>46255</x:v>
      </x:c>
    </x:row>
    <x:row r="101">
      <x:c r="A101" s="72" t="str">
        <x:f>IF(OR(C101="",D101=""),"",B101&amp;"-"&amp;UPPER(C101)&amp;"-"&amp;TEXT(D101,"0000")&amp;"-"&amp;E101)</x:f>
        <x:v>M10-BAL-0095-V1.0</x:v>
      </x:c>
      <x:c r="B101" s="74" t="str">
        <x:v>M10</x:v>
      </x:c>
      <x:c r="C101" s="74" t="str">
        <x:v>BAL</x:v>
      </x:c>
      <x:c r="D101" s="215" t="n">
        <x:v>95</x:v>
      </x:c>
      <x:c r="E101" s="74" t="str">
        <x:v>V1.0</x:v>
      </x:c>
      <x:c r="F101" s="68" t="str">
        <x:v>十神作用超过全局承载并制造新阻塞时可判过度</x:v>
      </x:c>
      <x:c r="G101" s="82" t="str">
        <x:v>结构层</x:v>
      </x:c>
      <x:c r="H101" s="82" t="str">
        <x:v>偏印</x:v>
      </x:c>
      <x:c r="I101" s="82" t="str">
        <x:v>待定</x:v>
      </x:c>
      <x:c r="J101" s="82" t="str">
        <x:v>待定</x:v>
      </x:c>
      <x:c r="K101" s="82" t="str">
        <x:v>待定</x:v>
      </x:c>
      <x:c r="L101" s="82" t="str">
        <x:v>待定</x:v>
      </x:c>
      <x:c r="M101" s="68" t="str">
        <x:v>按M08核查</x:v>
      </x:c>
      <x:c r="N101" s="68" t="str">
        <x:v>按M06/M08核查</x:v>
      </x:c>
      <x:c r="O101" s="82" t="str">
        <x:v>过度</x:v>
      </x:c>
      <x:c r="P101" s="68" t="str">
        <x:v>转M11/M14判断</x:v>
      </x:c>
      <x:c r="Q101" s="68" t="str">
        <x:v>需结合M09日主承载判断</x:v>
      </x:c>
      <x:c r="R101" s="82" t="str">
        <x:v>待定</x:v>
      </x:c>
      <x:c r="S101" s="68" t="str">
        <x:v>偏印极旺且持续压制食伤、加重身势或阻断流通</x:v>
      </x:c>
      <x:c r="T101" s="68" t="str">
        <x:v>M02十神映射、M08五行有效旺衰、M09日主旺衰已完成</x:v>
      </x:c>
      <x:c r="U101" s="68" t="str">
        <x:v>相关十神已由M02正确映射，并以M08有效力量为准</x:v>
      </x:c>
      <x:c r="V101" s="68" t="str">
        <x:v>得令、有根、透干、同党或生源形成独立有效证据</x:v>
      </x:c>
      <x:c r="W101" s="68" t="str">
        <x:v>失令、无根、被合绊、被制、改性或作用路径受阻</x:v>
      </x:c>
      <x:c r="X101" s="90" t="str">
        <x:v>不得以十神名称、数量或单一旺弱证据直接完成定性</x:v>
      </x:c>
      <x:c r="Y101" s="68" t="str">
        <x:v>特殊格局、从化候选及明确组合转M11/M14另审</x:v>
      </x:c>
      <x:c r="Z101" s="68" t="str">
        <x:v>不得直接推出吉凶、具体事件、亲属结果或最终喜忌</x:v>
      </x:c>
      <x:c r="AA101" s="84" t="str">
        <x:v>十神功能过度</x:v>
      </x:c>
      <x:c r="AB101" s="84" t="str">
        <x:v>十神作用超过全局承载并制造新阻塞时可判过度：当“偏印极旺且持续压制食伤、加重身势或阻断流通”成立时，按本规则记录十神的有效功能；同时保留制化、承载和反向证据。</x:v>
      </x:c>
      <x:c r="AC101" s="82" t="str">
        <x:v>较高</x:v>
      </x:c>
      <x:c r="AD101" s="82" t="str">
        <x:v>现代综合</x:v>
      </x:c>
      <x:c r="AE101" s="68" t="str">
        <x:v>十神必须分开判断存在性、力量、清纯度、功能性与喜忌性；M10只形成结构层结论和候选，不越级替代M11—M18。</x:v>
      </x:c>
      <x:c r="AF101" s="68" t="str">
        <x:v>相关条件真实成立，且增强条件有效时，可按“十神作用超过全局承载并制造新阻塞时可判过度”记录对应功能。</x:v>
      </x:c>
      <x:c r="AG101" s="90" t="str">
        <x:v>仅见表面十神名称或数量，但“不得以十神名称、数量或单一旺弱证据直接完成定性”所述限制存在时，不得套用本规则。</x:v>
      </x:c>
      <x:c r="AH101" s="68" t="str">
        <x:v>https://zh.wikisource.org/wiki/%E6%B8%8A%E6%B5%B7%E5%AD%90%E5%B9%B3%E5%A4%A7%E5%85%A8 ; https://zh.wikisource.org/wiki/%E6%BB%B4%E5%A4%A9%E9%AB%93%E9%97%A1%E5%BE%AE</x:v>
      </x:c>
      <x:c r="AI101" s="82" t="str">
        <x:v>采用</x:v>
      </x:c>
      <x:c r="AJ101" s="82" t="str">
        <x:v>初审</x:v>
      </x:c>
      <x:c r="AK101" s="87" t="n">
        <x:v>46255</x:v>
      </x:c>
    </x:row>
    <x:row r="102">
      <x:c r="A102" s="72" t="str">
        <x:f>IF(OR(C102="",D102=""),"",B102&amp;"-"&amp;UPPER(C102)&amp;"-"&amp;TEXT(D102,"0000")&amp;"-"&amp;E102)</x:f>
        <x:v>M10-BAL-0096-V1.0</x:v>
      </x:c>
      <x:c r="B102" s="74" t="str">
        <x:v>M10</x:v>
      </x:c>
      <x:c r="C102" s="74" t="str">
        <x:v>BAL</x:v>
      </x:c>
      <x:c r="D102" s="215" t="n">
        <x:v>96</x:v>
      </x:c>
      <x:c r="E102" s="74" t="str">
        <x:v>V1.0</x:v>
      </x:c>
      <x:c r="F102" s="68" t="str">
        <x:v>制杀双方力量匹配且无关键破坏时标记制化平衡</x:v>
      </x:c>
      <x:c r="G102" s="82" t="str">
        <x:v>结构层</x:v>
      </x:c>
      <x:c r="H102" s="82" t="str">
        <x:v>食神</x:v>
      </x:c>
      <x:c r="I102" s="82" t="str">
        <x:v>待定</x:v>
      </x:c>
      <x:c r="J102" s="82" t="str">
        <x:v>待定</x:v>
      </x:c>
      <x:c r="K102" s="82" t="str">
        <x:v>待定</x:v>
      </x:c>
      <x:c r="L102" s="82" t="str">
        <x:v>待定</x:v>
      </x:c>
      <x:c r="M102" s="68" t="str">
        <x:v>按M08核查</x:v>
      </x:c>
      <x:c r="N102" s="68" t="str">
        <x:v>按M06/M08核查</x:v>
      </x:c>
      <x:c r="O102" s="82" t="str">
        <x:v>制化平衡</x:v>
      </x:c>
      <x:c r="P102" s="68" t="str">
        <x:v>食神制杀候选转M11</x:v>
      </x:c>
      <x:c r="Q102" s="68" t="str">
        <x:v>需结合M09日主承载判断</x:v>
      </x:c>
      <x:c r="R102" s="82" t="str">
        <x:v>待定</x:v>
      </x:c>
      <x:c r="S102" s="68" t="str">
        <x:v>食神与七杀有效力量匹配，制约路径稳定</x:v>
      </x:c>
      <x:c r="T102" s="68" t="str">
        <x:v>M02十神映射、M08五行有效旺衰、M09日主旺衰已完成</x:v>
      </x:c>
      <x:c r="U102" s="68" t="str">
        <x:v>相关十神已由M02正确映射，并以M08有效力量为准</x:v>
      </x:c>
      <x:c r="V102" s="68" t="str">
        <x:v>得令、有根、透干、同党或生源形成独立有效证据</x:v>
      </x:c>
      <x:c r="W102" s="68" t="str">
        <x:v>失令、无根、被合绊、被制、改性或作用路径受阻</x:v>
      </x:c>
      <x:c r="X102" s="90" t="str">
        <x:v>不得以十神名称、数量或单一旺弱证据直接完成定性</x:v>
      </x:c>
      <x:c r="Y102" s="68" t="str">
        <x:v>特殊格局、从化候选及明确组合转M11/M14另审</x:v>
      </x:c>
      <x:c r="Z102" s="68" t="str">
        <x:v>不得直接推出吉凶、具体事件、亲属结果或最终喜忌</x:v>
      </x:c>
      <x:c r="AA102" s="84" t="str">
        <x:v>制化平衡候选</x:v>
      </x:c>
      <x:c r="AB102" s="84" t="str">
        <x:v>制杀双方力量匹配且无关键破坏时标记制化平衡：当“食神与七杀有效力量匹配，制约路径稳定”成立时，按本规则记录十神的有效功能；同时保留制化、承载和反向证据。</x:v>
      </x:c>
      <x:c r="AC102" s="82" t="str">
        <x:v>较高</x:v>
      </x:c>
      <x:c r="AD102" s="82" t="str">
        <x:v>现代综合</x:v>
      </x:c>
      <x:c r="AE102" s="68" t="str">
        <x:v>十神必须分开判断存在性、力量、清纯度、功能性与喜忌性；M10只形成结构层结论和候选，不越级替代M11—M18。</x:v>
      </x:c>
      <x:c r="AF102" s="68" t="str">
        <x:v>相关条件真实成立，且增强条件有效时，可按“制杀双方力量匹配且无关键破坏时标记制化平衡”记录对应功能。</x:v>
      </x:c>
      <x:c r="AG102" s="90" t="str">
        <x:v>仅见表面十神名称或数量，但“不得以十神名称、数量或单一旺弱证据直接完成定性”所述限制存在时，不得套用本规则。</x:v>
      </x:c>
      <x:c r="AH102" s="68" t="str">
        <x:v>https://zh.wikisource.org/wiki/%E6%B8%8A%E6%B5%B7%E5%AD%90%E5%B9%B3%E5%A4%A7%E5%85%A8 ; https://zh.wikisource.org/wiki/%E6%BB%B4%E5%A4%A9%E9%AB%93%E9%97%A1%E5%BE%AE</x:v>
      </x:c>
      <x:c r="AI102" s="82" t="str">
        <x:v>采用</x:v>
      </x:c>
      <x:c r="AJ102" s="82" t="str">
        <x:v>初审</x:v>
      </x:c>
      <x:c r="AK102" s="87" t="n">
        <x:v>46255</x:v>
      </x:c>
    </x:row>
    <x:row r="103">
      <x:c r="A103" s="72" t="str">
        <x:f>IF(OR(C103="",D103=""),"",B103&amp;"-"&amp;UPPER(C103)&amp;"-"&amp;TEXT(D103,"0000")&amp;"-"&amp;E103)</x:f>
        <x:v>M10-BAL-0097-V1.0</x:v>
      </x:c>
      <x:c r="B103" s="74" t="str">
        <x:v>M10</x:v>
      </x:c>
      <x:c r="C103" s="74" t="str">
        <x:v>BAL</x:v>
      </x:c>
      <x:c r="D103" s="215" t="n">
        <x:v>97</x:v>
      </x:c>
      <x:c r="E103" s="74" t="str">
        <x:v>V1.0</x:v>
      </x:c>
      <x:c r="F103" s="68" t="str">
        <x:v>制化两端同时过强并彼此破坏时标记制化失衡</x:v>
      </x:c>
      <x:c r="G103" s="82" t="str">
        <x:v>结构层</x:v>
      </x:c>
      <x:c r="H103" s="82" t="str">
        <x:v>伤官</x:v>
      </x:c>
      <x:c r="I103" s="82" t="str">
        <x:v>待定</x:v>
      </x:c>
      <x:c r="J103" s="82" t="str">
        <x:v>待定</x:v>
      </x:c>
      <x:c r="K103" s="82" t="str">
        <x:v>待定</x:v>
      </x:c>
      <x:c r="L103" s="82" t="str">
        <x:v>待定</x:v>
      </x:c>
      <x:c r="M103" s="68" t="str">
        <x:v>按M08核查</x:v>
      </x:c>
      <x:c r="N103" s="68" t="str">
        <x:v>按M06/M08核查</x:v>
      </x:c>
      <x:c r="O103" s="82" t="str">
        <x:v>制化失衡</x:v>
      </x:c>
      <x:c r="P103" s="68" t="str">
        <x:v>转M11/M14判断</x:v>
      </x:c>
      <x:c r="Q103" s="68" t="str">
        <x:v>需结合M09日主承载判断</x:v>
      </x:c>
      <x:c r="R103" s="82" t="str">
        <x:v>待定</x:v>
      </x:c>
      <x:c r="S103" s="68" t="str">
        <x:v>伤官、印或官星形成多方强力冲突且无稳定主导</x:v>
      </x:c>
      <x:c r="T103" s="68" t="str">
        <x:v>M02十神映射、M08五行有效旺衰、M09日主旺衰已完成</x:v>
      </x:c>
      <x:c r="U103" s="68" t="str">
        <x:v>相关十神已由M02正确映射，并以M08有效力量为准</x:v>
      </x:c>
      <x:c r="V103" s="68" t="str">
        <x:v>得令、有根、透干、同党或生源形成独立有效证据</x:v>
      </x:c>
      <x:c r="W103" s="68" t="str">
        <x:v>失令、无根、被合绊、被制、改性或作用路径受阻</x:v>
      </x:c>
      <x:c r="X103" s="90" t="str">
        <x:v>不得以十神名称、数量或单一旺弱证据直接完成定性</x:v>
      </x:c>
      <x:c r="Y103" s="68" t="str">
        <x:v>特殊格局、从化候选及明确组合转M11/M14另审</x:v>
      </x:c>
      <x:c r="Z103" s="68" t="str">
        <x:v>不得直接推出吉凶、具体事件、亲属结果或最终喜忌</x:v>
      </x:c>
      <x:c r="AA103" s="84" t="str">
        <x:v>制化失衡候选</x:v>
      </x:c>
      <x:c r="AB103" s="84" t="str">
        <x:v>制化两端同时过强并彼此破坏时标记制化失衡：当“伤官、印或官星形成多方强力冲突且无稳定主导”成立时，按本规则记录十神的有效功能；同时保留制化、承载和反向证据。</x:v>
      </x:c>
      <x:c r="AC103" s="82" t="str">
        <x:v>较高</x:v>
      </x:c>
      <x:c r="AD103" s="82" t="str">
        <x:v>现代综合</x:v>
      </x:c>
      <x:c r="AE103" s="68" t="str">
        <x:v>十神必须分开判断存在性、力量、清纯度、功能性与喜忌性；M10只形成结构层结论和候选，不越级替代M11—M18。</x:v>
      </x:c>
      <x:c r="AF103" s="68" t="str">
        <x:v>相关条件真实成立，且增强条件有效时，可按“制化两端同时过强并彼此破坏时标记制化失衡”记录对应功能。</x:v>
      </x:c>
      <x:c r="AG103" s="90" t="str">
        <x:v>仅见表面十神名称或数量，但“不得以十神名称、数量或单一旺弱证据直接完成定性”所述限制存在时，不得套用本规则。</x:v>
      </x:c>
      <x:c r="AH103" s="68" t="str">
        <x:v>https://zh.wikisource.org/wiki/%E6%B8%8A%E6%B5%B7%E5%AD%90%E5%B9%B3%E5%A4%A7%E5%85%A8 ; https://zh.wikisource.org/wiki/%E6%BB%B4%E5%A4%A9%E9%AB%93%E9%97%A1%E5%BE%AE</x:v>
      </x:c>
      <x:c r="AI103" s="82" t="str">
        <x:v>采用</x:v>
      </x:c>
      <x:c r="AJ103" s="82" t="str">
        <x:v>初审</x:v>
      </x:c>
      <x:c r="AK103" s="87" t="n">
        <x:v>46255</x:v>
      </x:c>
    </x:row>
    <x:row r="104">
      <x:c r="A104" s="72" t="str">
        <x:f>IF(OR(C104="",D104=""),"",B104&amp;"-"&amp;UPPER(C104)&amp;"-"&amp;TEXT(D104,"0000")&amp;"-"&amp;E104)</x:f>
        <x:v>M10-BAL-0098-V1.0</x:v>
      </x:c>
      <x:c r="B104" s="74" t="str">
        <x:v>M10</x:v>
      </x:c>
      <x:c r="C104" s="74" t="str">
        <x:v>BAL</x:v>
      </x:c>
      <x:c r="D104" s="215" t="n">
        <x:v>98</x:v>
      </x:c>
      <x:c r="E104" s="74" t="str">
        <x:v>V1.0</x:v>
      </x:c>
      <x:c r="F104" s="68" t="str">
        <x:v>同一十神可同时承担多个功能但不得重复计力</x:v>
      </x:c>
      <x:c r="G104" s="82" t="str">
        <x:v>结构层</x:v>
      </x:c>
      <x:c r="H104" s="82" t="str">
        <x:v>正印</x:v>
      </x:c>
      <x:c r="I104" s="82" t="str">
        <x:v>待定</x:v>
      </x:c>
      <x:c r="J104" s="82" t="str">
        <x:v>待定</x:v>
      </x:c>
      <x:c r="K104" s="82" t="str">
        <x:v>待定</x:v>
      </x:c>
      <x:c r="L104" s="82" t="str">
        <x:v>待定</x:v>
      </x:c>
      <x:c r="M104" s="68" t="str">
        <x:v>按M08核查</x:v>
      </x:c>
      <x:c r="N104" s="68" t="str">
        <x:v>按M06/M08核查</x:v>
      </x:c>
      <x:c r="O104" s="82" t="str">
        <x:v>正常发挥</x:v>
      </x:c>
      <x:c r="P104" s="68" t="str">
        <x:v>转M11/M14判断</x:v>
      </x:c>
      <x:c r="Q104" s="68" t="str">
        <x:v>需结合M09日主承载判断</x:v>
      </x:c>
      <x:c r="R104" s="82" t="str">
        <x:v>待定</x:v>
      </x:c>
      <x:c r="S104" s="68" t="str">
        <x:v>正印同时生身、承接官星并制食伤</x:v>
      </x:c>
      <x:c r="T104" s="68" t="str">
        <x:v>M02十神映射、M08五行有效旺衰、M09日主旺衰已完成</x:v>
      </x:c>
      <x:c r="U104" s="68" t="str">
        <x:v>相关十神已由M02正确映射，并以M08有效力量为准</x:v>
      </x:c>
      <x:c r="V104" s="68" t="str">
        <x:v>得令、有根、透干、同党或生源形成独立有效证据</x:v>
      </x:c>
      <x:c r="W104" s="68" t="str">
        <x:v>失令、无根、被合绊、被制、改性或作用路径受阻</x:v>
      </x:c>
      <x:c r="X104" s="90" t="str">
        <x:v>不得以十神名称、数量或单一旺弱证据直接完成定性</x:v>
      </x:c>
      <x:c r="Y104" s="68" t="str">
        <x:v>特殊格局、从化候选及明确组合转M11/M14另审</x:v>
      </x:c>
      <x:c r="Z104" s="68" t="str">
        <x:v>不得因承担三个功能就把同一印星力量重复计算三次</x:v>
      </x:c>
      <x:c r="AA104" s="84" t="str">
        <x:v>一神多职不重复计力</x:v>
      </x:c>
      <x:c r="AB104" s="84" t="str">
        <x:v>同一十神可同时承担多个功能但不得重复计力：当“正印同时生身、承接官星并制食伤”成立时，按本规则记录十神的有效功能；同时保留制化、承载和反向证据。</x:v>
      </x:c>
      <x:c r="AC104" s="82" t="str">
        <x:v>较高</x:v>
      </x:c>
      <x:c r="AD104" s="82" t="str">
        <x:v>现代综合</x:v>
      </x:c>
      <x:c r="AE104" s="68" t="str">
        <x:v>十神必须分开判断存在性、力量、清纯度、功能性与喜忌性；M10只形成结构层结论和候选，不越级替代M11—M18。</x:v>
      </x:c>
      <x:c r="AF104" s="68" t="str">
        <x:v>相关条件真实成立，且增强条件有效时，可按“同一十神可同时承担多个功能但不得重复计力”记录对应功能。</x:v>
      </x:c>
      <x:c r="AG104" s="90" t="str">
        <x:v>仅见表面十神名称或数量，但“不得以十神名称、数量或单一旺弱证据直接完成定性”所述限制存在时，不得套用本规则。</x:v>
      </x:c>
      <x:c r="AH104" s="68" t="str">
        <x:v>https://zh.wikisource.org/wiki/%E6%B8%8A%E6%B5%B7%E5%AD%90%E5%B9%B3%E5%A4%A7%E5%85%A8 ; https://zh.wikisource.org/wiki/%E6%BB%B4%E5%A4%A9%E9%AB%93%E9%97%A1%E5%BE%AE</x:v>
      </x:c>
      <x:c r="AI104" s="82" t="str">
        <x:v>采用</x:v>
      </x:c>
      <x:c r="AJ104" s="82" t="str">
        <x:v>初审</x:v>
      </x:c>
      <x:c r="AK104" s="87" t="n">
        <x:v>46255</x:v>
      </x:c>
    </x:row>
    <x:row r="105">
      <x:c r="A105" s="72" t="str">
        <x:f>IF(OR(C105="",D105=""),"",B105&amp;"-"&amp;UPPER(C105)&amp;"-"&amp;TEXT(D105,"0000")&amp;"-"&amp;E105)</x:f>
        <x:v>M10-BAL-0099-V1.0</x:v>
      </x:c>
      <x:c r="B105" s="74" t="str">
        <x:v>M10</x:v>
      </x:c>
      <x:c r="C105" s="74" t="str">
        <x:v>BAL</x:v>
      </x:c>
      <x:c r="D105" s="215" t="n">
        <x:v>99</x:v>
      </x:c>
      <x:c r="E105" s="74" t="str">
        <x:v>V1.0</x:v>
      </x:c>
      <x:c r="F105" s="68" t="str">
        <x:v>功能价值取决于是否解决主要矛盾</x:v>
      </x:c>
      <x:c r="G105" s="82" t="str">
        <x:v>结构层</x:v>
      </x:c>
      <x:c r="H105" s="82" t="str">
        <x:v>劫财</x:v>
      </x:c>
      <x:c r="I105" s="82" t="str">
        <x:v>待定</x:v>
      </x:c>
      <x:c r="J105" s="82" t="str">
        <x:v>待定</x:v>
      </x:c>
      <x:c r="K105" s="82" t="str">
        <x:v>待定</x:v>
      </x:c>
      <x:c r="L105" s="82" t="str">
        <x:v>待定</x:v>
      </x:c>
      <x:c r="M105" s="68" t="str">
        <x:v>按M08核查</x:v>
      </x:c>
      <x:c r="N105" s="68" t="str">
        <x:v>按M06/M08核查</x:v>
      </x:c>
      <x:c r="O105" s="82" t="str">
        <x:v>待定</x:v>
      </x:c>
      <x:c r="P105" s="68" t="str">
        <x:v>转M11/M14判断</x:v>
      </x:c>
      <x:c r="Q105" s="68" t="str">
        <x:v>需结合M09日主承载判断</x:v>
      </x:c>
      <x:c r="R105" s="82" t="str">
        <x:v>待定</x:v>
      </x:c>
      <x:c r="S105" s="68" t="str">
        <x:v>劫财既能扶身又可能制财，须判断当前原局主要矛盾</x:v>
      </x:c>
      <x:c r="T105" s="68" t="str">
        <x:v>M02十神映射、M08五行有效旺衰、M09日主旺衰已完成</x:v>
      </x:c>
      <x:c r="U105" s="68" t="str">
        <x:v>相关十神已由M02正确映射，并以M08有效力量为准</x:v>
      </x:c>
      <x:c r="V105" s="68" t="str">
        <x:v>得令、有根、透干、同党或生源形成独立有效证据</x:v>
      </x:c>
      <x:c r="W105" s="68" t="str">
        <x:v>失令、无根、被合绊、被制、改性或作用路径受阻</x:v>
      </x:c>
      <x:c r="X105" s="90" t="str">
        <x:v>不得以十神名称、数量或单一旺弱证据直接完成定性</x:v>
      </x:c>
      <x:c r="Y105" s="68" t="str">
        <x:v>特殊格局、从化候选及明确组合转M11/M14另审</x:v>
      </x:c>
      <x:c r="Z105" s="68" t="str">
        <x:v>不得直接推出吉凶、具体事件、亲属结果或最终喜忌</x:v>
      </x:c>
      <x:c r="AA105" s="84" t="str">
        <x:v>功能目标导向</x:v>
      </x:c>
      <x:c r="AB105" s="84" t="str">
        <x:v>功能价值取决于是否解决主要矛盾：当“劫财既能扶身又可能制财，须判断当前原局主要矛盾”成立时，按本规则记录十神的有效功能；同时保留制化、承载和反向证据。</x:v>
      </x:c>
      <x:c r="AC105" s="82" t="str">
        <x:v>较高</x:v>
      </x:c>
      <x:c r="AD105" s="82" t="str">
        <x:v>现代综合</x:v>
      </x:c>
      <x:c r="AE105" s="68" t="str">
        <x:v>十神必须分开判断存在性、力量、清纯度、功能性与喜忌性；M10只形成结构层结论和候选，不越级替代M11—M18。</x:v>
      </x:c>
      <x:c r="AF105" s="68" t="str">
        <x:v>相关条件真实成立，且增强条件有效时，可按“功能价值取决于是否解决主要矛盾”记录对应功能。</x:v>
      </x:c>
      <x:c r="AG105" s="90" t="str">
        <x:v>仅见表面十神名称或数量，但“不得以十神名称、数量或单一旺弱证据直接完成定性”所述限制存在时，不得套用本规则。</x:v>
      </x:c>
      <x:c r="AH105" s="68" t="str">
        <x:v>https://zh.wikisource.org/wiki/%E6%B8%8A%E6%B5%B7%E5%AD%90%E5%B9%B3%E5%A4%A7%E5%85%A8 ; https://zh.wikisource.org/wiki/%E6%BB%B4%E5%A4%A9%E9%AB%93%E9%97%A1%E5%BE%AE</x:v>
      </x:c>
      <x:c r="AI105" s="82" t="str">
        <x:v>采用</x:v>
      </x:c>
      <x:c r="AJ105" s="82" t="str">
        <x:v>初审</x:v>
      </x:c>
      <x:c r="AK105" s="87" t="n">
        <x:v>46255</x:v>
      </x:c>
    </x:row>
    <x:row r="106">
      <x:c r="A106" s="214" t="str">
        <x:f>IF(OR(C106="",D106=""),"",B106&amp;"-"&amp;UPPER(C106)&amp;"-"&amp;TEXT(D106,"0000")&amp;"-"&amp;E106)</x:f>
        <x:v>M10-BAL-0100-V1.0</x:v>
      </x:c>
      <x:c r="B106" s="214" t="str">
        <x:v>M10</x:v>
      </x:c>
      <x:c r="C106" s="214" t="str">
        <x:v>BAL</x:v>
      </x:c>
      <x:c r="D106" s="216" t="n">
        <x:v>100</x:v>
      </x:c>
      <x:c r="E106" s="214" t="str">
        <x:v>V1.0</x:v>
      </x:c>
      <x:c r="F106" s="214" t="str">
        <x:v>功能副作用必须与主要收益同时记录</x:v>
      </x:c>
      <x:c r="G106" s="214" t="str">
        <x:v>结构层</x:v>
      </x:c>
      <x:c r="H106" s="214" t="str">
        <x:v>偏财</x:v>
      </x:c>
      <x:c r="I106" s="214" t="str">
        <x:v>待定</x:v>
      </x:c>
      <x:c r="J106" s="214" t="str">
        <x:v>待定</x:v>
      </x:c>
      <x:c r="K106" s="214" t="str">
        <x:v>待定</x:v>
      </x:c>
      <x:c r="L106" s="214" t="str">
        <x:v>待定</x:v>
      </x:c>
      <x:c r="M106" s="214" t="str">
        <x:v>按M08核查</x:v>
      </x:c>
      <x:c r="N106" s="214" t="str">
        <x:v>按M06/M08核查</x:v>
      </x:c>
      <x:c r="O106" s="214" t="str">
        <x:v>待定</x:v>
      </x:c>
      <x:c r="P106" s="214" t="str">
        <x:v>转M11/M14判断</x:v>
      </x:c>
      <x:c r="Q106" s="214" t="str">
        <x:v>需结合M09日主承载判断</x:v>
      </x:c>
      <x:c r="R106" s="214" t="str">
        <x:v>待定</x:v>
      </x:c>
      <x:c r="S106" s="214" t="str">
        <x:v>偏财能耗身或生官杀，但同时可能制印</x:v>
      </x:c>
      <x:c r="T106" s="214" t="str">
        <x:v>M02十神映射、M08五行有效旺衰、M09日主旺衰已完成</x:v>
      </x:c>
      <x:c r="U106" s="214" t="str">
        <x:v>相关十神已由M02正确映射，并以M08有效力量为准</x:v>
      </x:c>
      <x:c r="V106" s="214" t="str">
        <x:v>得令、有根、透干、同党或生源形成独立有效证据</x:v>
      </x:c>
      <x:c r="W106" s="214" t="str">
        <x:v>失令、无根、被合绊、被制、改性或作用路径受阻</x:v>
      </x:c>
      <x:c r="X106" s="214" t="str">
        <x:v>不得以十神名称、数量或单一旺弱证据直接完成定性</x:v>
      </x:c>
      <x:c r="Y106" s="214" t="str">
        <x:v>特殊格局、从化候选及明确组合转M11/M14另审</x:v>
      </x:c>
      <x:c r="Z106" s="214" t="str">
        <x:v>不得直接推出吉凶、具体事件、亲属结果或最终喜忌</x:v>
      </x:c>
      <x:c r="AA106" s="214" t="str">
        <x:v>功能收益副作用并列</x:v>
      </x:c>
      <x:c r="AB106" s="214" t="str">
        <x:v>十神功能评价应同时记录主要收益、次级作用和副作用，留给M16—M18统一裁决。</x:v>
      </x:c>
      <x:c r="AC106" s="214" t="str">
        <x:v>较高</x:v>
      </x:c>
      <x:c r="AD106" s="214" t="str">
        <x:v>现代综合</x:v>
      </x:c>
      <x:c r="AE106" s="214" t="str">
        <x:v>十神必须分开判断存在性、力量、清纯度、功能性与喜忌性；M10只形成结构层结论和候选，不越级替代M11—M18。</x:v>
      </x:c>
      <x:c r="AF106" s="214" t="str">
        <x:v>相关条件真实成立，且增强条件有效时，可按“功能副作用必须与主要收益同时记录”记录对应功能。</x:v>
      </x:c>
      <x:c r="AG106" s="214" t="str">
        <x:v>仅见表面十神名称或数量，但“不得以十神名称、数量或单一旺弱证据直接完成定性”所述限制存在时，不得套用本规则。</x:v>
      </x:c>
      <x:c r="AH106" s="214" t="str">
        <x:v>https://zh.wikisource.org/wiki/%E6%B8%8A%E6%B5%B7%E5%AD%90%E5%B9%B3%E5%A4%A7%E5%85%A8 ; https://zh.wikisource.org/wiki/%E6%BB%B4%E5%A4%A9%E9%AB%93%E9%97%A1%E5%BE%AE</x:v>
      </x:c>
      <x:c r="AI106" s="214" t="str">
        <x:v>采用</x:v>
      </x:c>
      <x:c r="AJ106" s="214" t="str">
        <x:v>初审</x:v>
      </x:c>
      <x:c r="AK106" s="217" t="n">
        <x:v>46255</x:v>
      </x:c>
    </x:row>
    <x:row r="107">
      <x:c r="A107" s="214" t="str">
        <x:f>IF(OR(C107="",D107=""),"",B107&amp;"-"&amp;UPPER(C107)&amp;"-"&amp;TEXT(D107,"0000")&amp;"-"&amp;E107)</x:f>
        <x:v>M10-ROLE-0101-V1.0</x:v>
      </x:c>
      <x:c r="B107" s="214" t="str">
        <x:v>M10</x:v>
      </x:c>
      <x:c r="C107" s="214" t="str">
        <x:v>ROLE</x:v>
      </x:c>
      <x:c r="D107" s="216" t="n">
        <x:v>101</x:v>
      </x:c>
      <x:c r="E107" s="214" t="str">
        <x:v>V1.0</x:v>
      </x:c>
      <x:c r="F107" s="214" t="str">
        <x:v>十神有力只能生成组合候选不能直接成立格局</x:v>
      </x:c>
      <x:c r="G107" s="214" t="str">
        <x:v>结构层</x:v>
      </x:c>
      <x:c r="H107" s="214" t="str">
        <x:v>食神</x:v>
      </x:c>
      <x:c r="I107" s="214" t="str">
        <x:v>待定</x:v>
      </x:c>
      <x:c r="J107" s="214" t="str">
        <x:v>待定</x:v>
      </x:c>
      <x:c r="K107" s="214" t="str">
        <x:v>待定</x:v>
      </x:c>
      <x:c r="L107" s="214" t="str">
        <x:v>待定</x:v>
      </x:c>
      <x:c r="M107" s="214" t="str">
        <x:v>按M08核查</x:v>
      </x:c>
      <x:c r="N107" s="214" t="str">
        <x:v>按M06/M08核查</x:v>
      </x:c>
      <x:c r="O107" s="214" t="str">
        <x:v>待定</x:v>
      </x:c>
      <x:c r="P107" s="214" t="str">
        <x:v>生成食神制杀或食神生财候选，转M11</x:v>
      </x:c>
      <x:c r="Q107" s="214" t="str">
        <x:v>需结合M09日主承载判断</x:v>
      </x:c>
      <x:c r="R107" s="214" t="str">
        <x:v>待定</x:v>
      </x:c>
      <x:c r="S107" s="214" t="str">
        <x:v>食神有效且七杀或财星等对象存在</x:v>
      </x:c>
      <x:c r="T107" s="214" t="str">
        <x:v>M02十神映射、M08五行有效旺衰、M09日主旺衰已完成</x:v>
      </x:c>
      <x:c r="U107" s="214" t="str">
        <x:v>相关十神已由M02正确映射，并以M08有效力量为准</x:v>
      </x:c>
      <x:c r="V107" s="214" t="str">
        <x:v>得令、有根、透干、同党或生源形成独立有效证据</x:v>
      </x:c>
      <x:c r="W107" s="214" t="str">
        <x:v>失令、无根、被合绊、被制、改性或作用路径受阻</x:v>
      </x:c>
      <x:c r="X107" s="214" t="str">
        <x:v>不得以十神名称、数量或单一旺弱证据直接完成定性</x:v>
      </x:c>
      <x:c r="Y107" s="214" t="str">
        <x:v>特殊格局、从化候选及明确组合转M11/M14另审</x:v>
      </x:c>
      <x:c r="Z107" s="214" t="str">
        <x:v>不得由食神有力直接宣布食神制杀、食神格或格局成立</x:v>
      </x:c>
      <x:c r="AA107" s="214" t="str">
        <x:v>组合候选接口</x:v>
      </x:c>
      <x:c r="AB107" s="214" t="str">
        <x:v>十神有力只能生成组合候选不能直接成立格局：当“食神有效且七杀或财星等对象存在”成立时，按本规则记录十神的有效功能；同时保留制化、承载和反向证据。</x:v>
      </x:c>
      <x:c r="AC107" s="214" t="str">
        <x:v>较高</x:v>
      </x:c>
      <x:c r="AD107" s="214" t="str">
        <x:v>现代综合</x:v>
      </x:c>
      <x:c r="AE107" s="214" t="str">
        <x:v>十神必须分开判断存在性、力量、清纯度、功能性与喜忌性；M10只形成结构层结论和候选，不越级替代M11—M18。</x:v>
      </x:c>
      <x:c r="AF107" s="214" t="str">
        <x:v>相关条件真实成立，且增强条件有效时，可按“十神有力只能生成组合候选不能直接成立格局”记录对应功能。</x:v>
      </x:c>
      <x:c r="AG107" s="214" t="str">
        <x:v>仅见表面十神名称或数量，但“不得以十神名称、数量或单一旺弱证据直接完成定性”所述限制存在时，不得套用本规则。</x:v>
      </x:c>
      <x:c r="AH107" s="214" t="str">
        <x:v>https://zh.wikisource.org/wiki/%E6%B8%8A%E6%B5%B7%E5%AD%90%E5%B9%B3%E5%A4%A7%E5%85%A8 ; https://zh.wikisource.org/wiki/%E6%BB%B4%E5%A4%A9%E9%AB%93%E9%97%A1%E5%BE%AE</x:v>
      </x:c>
      <x:c r="AI107" s="214" t="str">
        <x:v>采用</x:v>
      </x:c>
      <x:c r="AJ107" s="214" t="str">
        <x:v>初审</x:v>
      </x:c>
      <x:c r="AK107" s="217" t="n">
        <x:v>46255</x:v>
      </x:c>
    </x:row>
    <x:row r="108">
      <x:c r="A108" s="214" t="str">
        <x:f>IF(OR(C108="",D108=""),"",B108&amp;"-"&amp;UPPER(C108)&amp;"-"&amp;TEXT(D108,"0000")&amp;"-"&amp;E108)</x:f>
        <x:v>M10-ROLE-0102-V1.0</x:v>
      </x:c>
      <x:c r="B108" s="214" t="str">
        <x:v>M10</x:v>
      </x:c>
      <x:c r="C108" s="214" t="str">
        <x:v>ROLE</x:v>
      </x:c>
      <x:c r="D108" s="216" t="n">
        <x:v>102</x:v>
      </x:c>
      <x:c r="E108" s="214" t="str">
        <x:v>V1.0</x:v>
      </x:c>
      <x:c r="F108" s="214" t="str">
        <x:v>伤官有力且印星存在时只生成伤官配印候选</x:v>
      </x:c>
      <x:c r="G108" s="214" t="str">
        <x:v>结构层</x:v>
      </x:c>
      <x:c r="H108" s="214" t="str">
        <x:v>伤官</x:v>
      </x:c>
      <x:c r="I108" s="214" t="str">
        <x:v>待定</x:v>
      </x:c>
      <x:c r="J108" s="214" t="str">
        <x:v>待定</x:v>
      </x:c>
      <x:c r="K108" s="214" t="str">
        <x:v>待定</x:v>
      </x:c>
      <x:c r="L108" s="214" t="str">
        <x:v>待定</x:v>
      </x:c>
      <x:c r="M108" s="214" t="str">
        <x:v>按M08核查</x:v>
      </x:c>
      <x:c r="N108" s="214" t="str">
        <x:v>按M06/M08核查</x:v>
      </x:c>
      <x:c r="O108" s="214" t="str">
        <x:v>待定</x:v>
      </x:c>
      <x:c r="P108" s="214" t="str">
        <x:v>伤官配印候选转M11</x:v>
      </x:c>
      <x:c r="Q108" s="214" t="str">
        <x:v>需结合M09日主承载判断</x:v>
      </x:c>
      <x:c r="R108" s="214" t="str">
        <x:v>待定</x:v>
      </x:c>
      <x:c r="S108" s="214" t="str">
        <x:v>伤官与印星均有效存在</x:v>
      </x:c>
      <x:c r="T108" s="214" t="str">
        <x:v>M02十神映射、M08五行有效旺衰、M09日主旺衰已完成</x:v>
      </x:c>
      <x:c r="U108" s="214" t="str">
        <x:v>相关十神已由M02正确映射，并以M08有效力量为准</x:v>
      </x:c>
      <x:c r="V108" s="214" t="str">
        <x:v>得令、有根、透干、同党或生源形成独立有效证据</x:v>
      </x:c>
      <x:c r="W108" s="214" t="str">
        <x:v>失令、无根、被合绊、被制、改性或作用路径受阻</x:v>
      </x:c>
      <x:c r="X108" s="214" t="str">
        <x:v>不得以十神名称、数量或单一旺弱证据直接完成定性</x:v>
      </x:c>
      <x:c r="Y108" s="214" t="str">
        <x:v>特殊格局、从化候选及明确组合转M11/M14另审</x:v>
      </x:c>
      <x:c r="Z108" s="214" t="str">
        <x:v>不得直接推出吉凶、具体事件、亲属结果或最终喜忌</x:v>
      </x:c>
      <x:c r="AA108" s="214" t="str">
        <x:v>伤官配印接口</x:v>
      </x:c>
      <x:c r="AB108" s="214" t="str">
        <x:v>伤官有力且印星存在时只生成伤官配印候选：当“伤官与印星均有效存在”成立时，按本规则记录十神的有效功能；同时保留制化、承载和反向证据。</x:v>
      </x:c>
      <x:c r="AC108" s="214" t="str">
        <x:v>较高</x:v>
      </x:c>
      <x:c r="AD108" s="214" t="str">
        <x:v>现代综合</x:v>
      </x:c>
      <x:c r="AE108" s="214" t="str">
        <x:v>十神必须分开判断存在性、力量、清纯度、功能性与喜忌性；M10只形成结构层结论和候选，不越级替代M11—M18。</x:v>
      </x:c>
      <x:c r="AF108" s="214" t="str">
        <x:v>相关条件真实成立，且增强条件有效时，可按“伤官有力且印星存在时只生成伤官配印候选”记录对应功能。</x:v>
      </x:c>
      <x:c r="AG108" s="214" t="str">
        <x:v>仅见表面十神名称或数量，但“不得以十神名称、数量或单一旺弱证据直接完成定性”所述限制存在时，不得套用本规则。</x:v>
      </x:c>
      <x:c r="AH108" s="214" t="str">
        <x:v>https://zh.wikisource.org/wiki/%E6%B8%8A%E6%B5%B7%E5%AD%90%E5%B9%B3%E5%A4%A7%E5%85%A8 ; https://zh.wikisource.org/wiki/%E6%BB%B4%E5%A4%A9%E9%AB%93%E9%97%A1%E5%BE%AE</x:v>
      </x:c>
      <x:c r="AI108" s="214" t="str">
        <x:v>采用</x:v>
      </x:c>
      <x:c r="AJ108" s="214" t="str">
        <x:v>初审</x:v>
      </x:c>
      <x:c r="AK108" s="217" t="n">
        <x:v>46255</x:v>
      </x:c>
    </x:row>
    <x:row r="109">
      <x:c r="A109" s="214" t="str">
        <x:f>IF(OR(C109="",D109=""),"",B109&amp;"-"&amp;UPPER(C109)&amp;"-"&amp;TEXT(D109,"0000")&amp;"-"&amp;E109)</x:f>
        <x:v>M10-ROLE-0103-V1.0</x:v>
      </x:c>
      <x:c r="B109" s="214" t="str">
        <x:v>M10</x:v>
      </x:c>
      <x:c r="C109" s="214" t="str">
        <x:v>ROLE</x:v>
      </x:c>
      <x:c r="D109" s="216" t="n">
        <x:v>103</x:v>
      </x:c>
      <x:c r="E109" s="214" t="str">
        <x:v>V1.0</x:v>
      </x:c>
      <x:c r="F109" s="214" t="str">
        <x:v>官印均有效时只生成官印相生候选</x:v>
      </x:c>
      <x:c r="G109" s="214" t="str">
        <x:v>结构层</x:v>
      </x:c>
      <x:c r="H109" s="214" t="str">
        <x:v>正官</x:v>
      </x:c>
      <x:c r="I109" s="214" t="str">
        <x:v>待定</x:v>
      </x:c>
      <x:c r="J109" s="214" t="str">
        <x:v>待定</x:v>
      </x:c>
      <x:c r="K109" s="214" t="str">
        <x:v>待定</x:v>
      </x:c>
      <x:c r="L109" s="214" t="str">
        <x:v>待定</x:v>
      </x:c>
      <x:c r="M109" s="214" t="str">
        <x:v>按M08核查</x:v>
      </x:c>
      <x:c r="N109" s="214" t="str">
        <x:v>按M06/M08核查</x:v>
      </x:c>
      <x:c r="O109" s="214" t="str">
        <x:v>待定</x:v>
      </x:c>
      <x:c r="P109" s="214" t="str">
        <x:v>官印相生候选转M11</x:v>
      </x:c>
      <x:c r="Q109" s="214" t="str">
        <x:v>需结合M09日主承载判断</x:v>
      </x:c>
      <x:c r="R109" s="214" t="str">
        <x:v>待定</x:v>
      </x:c>
      <x:c r="S109" s="214" t="str">
        <x:v>正官与印星有效且生化路径可能连续</x:v>
      </x:c>
      <x:c r="T109" s="214" t="str">
        <x:v>M02十神映射、M08五行有效旺衰、M09日主旺衰已完成</x:v>
      </x:c>
      <x:c r="U109" s="214" t="str">
        <x:v>相关十神已由M02正确映射，并以M08有效力量为准</x:v>
      </x:c>
      <x:c r="V109" s="214" t="str">
        <x:v>得令、有根、透干、同党或生源形成独立有效证据</x:v>
      </x:c>
      <x:c r="W109" s="214" t="str">
        <x:v>失令、无根、被合绊、被制、改性或作用路径受阻</x:v>
      </x:c>
      <x:c r="X109" s="214" t="str">
        <x:v>不得以十神名称、数量或单一旺弱证据直接完成定性</x:v>
      </x:c>
      <x:c r="Y109" s="214" t="str">
        <x:v>特殊格局、从化候选及明确组合转M11/M14另审</x:v>
      </x:c>
      <x:c r="Z109" s="214" t="str">
        <x:v>不得直接推出吉凶、具体事件、亲属结果或最终喜忌</x:v>
      </x:c>
      <x:c r="AA109" s="214" t="str">
        <x:v>官印组合接口</x:v>
      </x:c>
      <x:c r="AB109" s="214" t="str">
        <x:v>官印均有效时只生成官印相生候选：当“正官与印星有效且生化路径可能连续”成立时，按本规则记录十神的有效功能；同时保留制化、承载和反向证据。</x:v>
      </x:c>
      <x:c r="AC109" s="214" t="str">
        <x:v>较高</x:v>
      </x:c>
      <x:c r="AD109" s="214" t="str">
        <x:v>现代综合</x:v>
      </x:c>
      <x:c r="AE109" s="214" t="str">
        <x:v>十神必须分开判断存在性、力量、清纯度、功能性与喜忌性；M10只形成结构层结论和候选，不越级替代M11—M18。</x:v>
      </x:c>
      <x:c r="AF109" s="214" t="str">
        <x:v>相关条件真实成立，且增强条件有效时，可按“官印均有效时只生成官印相生候选”记录对应功能。</x:v>
      </x:c>
      <x:c r="AG109" s="214" t="str">
        <x:v>仅见表面十神名称或数量，但“不得以十神名称、数量或单一旺弱证据直接完成定性”所述限制存在时，不得套用本规则。</x:v>
      </x:c>
      <x:c r="AH109" s="214" t="str">
        <x:v>https://zh.wikisource.org/wiki/%E6%B8%8A%E6%B5%B7%E5%AD%90%E5%B9%B3%E5%A4%A7%E5%85%A8 ; https://zh.wikisource.org/wiki/%E6%BB%B4%E5%A4%A9%E9%AB%93%E9%97%A1%E5%BE%AE</x:v>
      </x:c>
      <x:c r="AI109" s="214" t="str">
        <x:v>采用</x:v>
      </x:c>
      <x:c r="AJ109" s="214" t="str">
        <x:v>初审</x:v>
      </x:c>
      <x:c r="AK109" s="217" t="n">
        <x:v>46255</x:v>
      </x:c>
    </x:row>
    <x:row r="110">
      <x:c r="A110" s="214" t="str">
        <x:f>IF(OR(C110="",D110=""),"",B110&amp;"-"&amp;UPPER(C110)&amp;"-"&amp;TEXT(D110,"0000")&amp;"-"&amp;E110)</x:f>
        <x:v>M10-ROLE-0104-V1.0</x:v>
      </x:c>
      <x:c r="B110" s="214" t="str">
        <x:v>M10</x:v>
      </x:c>
      <x:c r="C110" s="214" t="str">
        <x:v>ROLE</x:v>
      </x:c>
      <x:c r="D110" s="216" t="n">
        <x:v>104</x:v>
      </x:c>
      <x:c r="E110" s="214" t="str">
        <x:v>V1.0</x:v>
      </x:c>
      <x:c r="F110" s="214" t="str">
        <x:v>杀印均有效时只生成杀印相生候选</x:v>
      </x:c>
      <x:c r="G110" s="214" t="str">
        <x:v>结构层</x:v>
      </x:c>
      <x:c r="H110" s="214" t="str">
        <x:v>七杀</x:v>
      </x:c>
      <x:c r="I110" s="214" t="str">
        <x:v>待定</x:v>
      </x:c>
      <x:c r="J110" s="214" t="str">
        <x:v>待定</x:v>
      </x:c>
      <x:c r="K110" s="214" t="str">
        <x:v>待定</x:v>
      </x:c>
      <x:c r="L110" s="214" t="str">
        <x:v>待定</x:v>
      </x:c>
      <x:c r="M110" s="214" t="str">
        <x:v>按M08核查</x:v>
      </x:c>
      <x:c r="N110" s="214" t="str">
        <x:v>按M06/M08核查</x:v>
      </x:c>
      <x:c r="O110" s="214" t="str">
        <x:v>待定</x:v>
      </x:c>
      <x:c r="P110" s="214" t="str">
        <x:v>杀印相生候选转M11</x:v>
      </x:c>
      <x:c r="Q110" s="214" t="str">
        <x:v>需结合M09日主承载判断</x:v>
      </x:c>
      <x:c r="R110" s="214" t="str">
        <x:v>待定</x:v>
      </x:c>
      <x:c r="S110" s="214" t="str">
        <x:v>七杀与印星有效且七杀可生印</x:v>
      </x:c>
      <x:c r="T110" s="214" t="str">
        <x:v>M02十神映射、M08五行有效旺衰、M09日主旺衰已完成</x:v>
      </x:c>
      <x:c r="U110" s="214" t="str">
        <x:v>相关十神已由M02正确映射，并以M08有效力量为准</x:v>
      </x:c>
      <x:c r="V110" s="214" t="str">
        <x:v>得令、有根、透干、同党或生源形成独立有效证据</x:v>
      </x:c>
      <x:c r="W110" s="214" t="str">
        <x:v>失令、无根、被合绊、被制、改性或作用路径受阻</x:v>
      </x:c>
      <x:c r="X110" s="214" t="str">
        <x:v>不得以十神名称、数量或单一旺弱证据直接完成定性</x:v>
      </x:c>
      <x:c r="Y110" s="214" t="str">
        <x:v>特殊格局、从化候选及明确组合转M11/M14另审</x:v>
      </x:c>
      <x:c r="Z110" s="214" t="str">
        <x:v>不得直接推出吉凶、具体事件、亲属结果或最终喜忌</x:v>
      </x:c>
      <x:c r="AA110" s="214" t="str">
        <x:v>杀印组合接口</x:v>
      </x:c>
      <x:c r="AB110" s="214" t="str">
        <x:v>杀印均有效时只生成杀印相生候选：当“七杀与印星有效且七杀可生印”成立时，按本规则记录十神的有效功能；同时保留制化、承载和反向证据。</x:v>
      </x:c>
      <x:c r="AC110" s="214" t="str">
        <x:v>较高</x:v>
      </x:c>
      <x:c r="AD110" s="214" t="str">
        <x:v>现代综合</x:v>
      </x:c>
      <x:c r="AE110" s="214" t="str">
        <x:v>十神必须分开判断存在性、力量、清纯度、功能性与喜忌性；M10只形成结构层结论和候选，不越级替代M11—M18。</x:v>
      </x:c>
      <x:c r="AF110" s="214" t="str">
        <x:v>相关条件真实成立，且增强条件有效时，可按“杀印均有效时只生成杀印相生候选”记录对应功能。</x:v>
      </x:c>
      <x:c r="AG110" s="214" t="str">
        <x:v>仅见表面十神名称或数量，但“不得以十神名称、数量或单一旺弱证据直接完成定性”所述限制存在时，不得套用本规则。</x:v>
      </x:c>
      <x:c r="AH110" s="214" t="str">
        <x:v>https://zh.wikisource.org/wiki/%E6%B8%8A%E6%B5%B7%E5%AD%90%E5%B9%B3%E5%A4%A7%E5%85%A8 ; https://zh.wikisource.org/wiki/%E6%BB%B4%E5%A4%A9%E9%AB%93%E9%97%A1%E5%BE%AE</x:v>
      </x:c>
      <x:c r="AI110" s="214" t="str">
        <x:v>采用</x:v>
      </x:c>
      <x:c r="AJ110" s="214" t="str">
        <x:v>初审</x:v>
      </x:c>
      <x:c r="AK110" s="217" t="n">
        <x:v>46255</x:v>
      </x:c>
    </x:row>
    <x:row r="111">
      <x:c r="A111" s="214" t="str">
        <x:f>IF(OR(C111="",D111=""),"",B111&amp;"-"&amp;UPPER(C111)&amp;"-"&amp;TEXT(D111,"0000")&amp;"-"&amp;E111)</x:f>
        <x:v>M10-ROLE-0105-V1.0</x:v>
      </x:c>
      <x:c r="B111" s="214" t="str">
        <x:v>M10</x:v>
      </x:c>
      <x:c r="C111" s="214" t="str">
        <x:v>ROLE</x:v>
      </x:c>
      <x:c r="D111" s="216" t="n">
        <x:v>105</x:v>
      </x:c>
      <x:c r="E111" s="214" t="str">
        <x:v>V1.0</x:v>
      </x:c>
      <x:c r="F111" s="214" t="str">
        <x:v>食伤与财均有效时只生成食伤生财候选</x:v>
      </x:c>
      <x:c r="G111" s="214" t="str">
        <x:v>结构层</x:v>
      </x:c>
      <x:c r="H111" s="214" t="str">
        <x:v>正财</x:v>
      </x:c>
      <x:c r="I111" s="214" t="str">
        <x:v>待定</x:v>
      </x:c>
      <x:c r="J111" s="214" t="str">
        <x:v>待定</x:v>
      </x:c>
      <x:c r="K111" s="214" t="str">
        <x:v>待定</x:v>
      </x:c>
      <x:c r="L111" s="214" t="str">
        <x:v>待定</x:v>
      </x:c>
      <x:c r="M111" s="214" t="str">
        <x:v>按M08核查</x:v>
      </x:c>
      <x:c r="N111" s="214" t="str">
        <x:v>按M06/M08核查</x:v>
      </x:c>
      <x:c r="O111" s="214" t="str">
        <x:v>待定</x:v>
      </x:c>
      <x:c r="P111" s="214" t="str">
        <x:v>食伤生财候选转M11</x:v>
      </x:c>
      <x:c r="Q111" s="214" t="str">
        <x:v>需结合M09日主承载判断</x:v>
      </x:c>
      <x:c r="R111" s="214" t="str">
        <x:v>待定</x:v>
      </x:c>
      <x:c r="S111" s="214" t="str">
        <x:v>食伤与财星有连续生扶路径</x:v>
      </x:c>
      <x:c r="T111" s="214" t="str">
        <x:v>M02十神映射、M08五行有效旺衰、M09日主旺衰已完成</x:v>
      </x:c>
      <x:c r="U111" s="214" t="str">
        <x:v>相关十神已由M02正确映射，并以M08有效力量为准</x:v>
      </x:c>
      <x:c r="V111" s="214" t="str">
        <x:v>得令、有根、透干、同党或生源形成独立有效证据</x:v>
      </x:c>
      <x:c r="W111" s="214" t="str">
        <x:v>失令、无根、被合绊、被制、改性或作用路径受阻</x:v>
      </x:c>
      <x:c r="X111" s="214" t="str">
        <x:v>不得以十神名称、数量或单一旺弱证据直接完成定性</x:v>
      </x:c>
      <x:c r="Y111" s="214" t="str">
        <x:v>特殊格局、从化候选及明确组合转M11/M14另审</x:v>
      </x:c>
      <x:c r="Z111" s="214" t="str">
        <x:v>不得直接推出吉凶、具体事件、亲属结果或最终喜忌</x:v>
      </x:c>
      <x:c r="AA111" s="214" t="str">
        <x:v>财星组合接口</x:v>
      </x:c>
      <x:c r="AB111" s="214" t="str">
        <x:v>食伤与财均有效时只生成食伤生财候选：当“食伤与财星有连续生扶路径”成立时，按本规则记录十神的有效功能；同时保留制化、承载和反向证据。</x:v>
      </x:c>
      <x:c r="AC111" s="214" t="str">
        <x:v>较高</x:v>
      </x:c>
      <x:c r="AD111" s="214" t="str">
        <x:v>现代综合</x:v>
      </x:c>
      <x:c r="AE111" s="214" t="str">
        <x:v>十神必须分开判断存在性、力量、清纯度、功能性与喜忌性；M10只形成结构层结论和候选，不越级替代M11—M18。</x:v>
      </x:c>
      <x:c r="AF111" s="214" t="str">
        <x:v>相关条件真实成立，且增强条件有效时，可按“食伤与财均有效时只生成食伤生财候选”记录对应功能。</x:v>
      </x:c>
      <x:c r="AG111" s="214" t="str">
        <x:v>仅见表面十神名称或数量，但“不得以十神名称、数量或单一旺弱证据直接完成定性”所述限制存在时，不得套用本规则。</x:v>
      </x:c>
      <x:c r="AH111" s="214" t="str">
        <x:v>https://zh.wikisource.org/wiki/%E6%B8%8A%E6%B5%B7%E5%AD%90%E5%B9%B3%E5%A4%A7%E5%85%A8 ; https://zh.wikisource.org/wiki/%E6%BB%B4%E5%A4%A9%E9%AB%93%E9%97%A1%E5%BE%AE</x:v>
      </x:c>
      <x:c r="AI111" s="214" t="str">
        <x:v>采用</x:v>
      </x:c>
      <x:c r="AJ111" s="214" t="str">
        <x:v>初审</x:v>
      </x:c>
      <x:c r="AK111" s="217" t="n">
        <x:v>46255</x:v>
      </x:c>
    </x:row>
    <x:row r="112">
      <x:c r="A112" s="214" t="str">
        <x:f>IF(OR(C112="",D112=""),"",B112&amp;"-"&amp;UPPER(C112)&amp;"-"&amp;TEXT(D112,"0000")&amp;"-"&amp;E112)</x:f>
        <x:v>M10-ROLE-0106-V1.0</x:v>
      </x:c>
      <x:c r="B112" s="214" t="str">
        <x:v>M10</x:v>
      </x:c>
      <x:c r="C112" s="214" t="str">
        <x:v>ROLE</x:v>
      </x:c>
      <x:c r="D112" s="216" t="n">
        <x:v>106</x:v>
      </x:c>
      <x:c r="E112" s="214" t="str">
        <x:v>V1.0</x:v>
      </x:c>
      <x:c r="F112" s="214" t="str">
        <x:v>比劫与财星形成克制时只生成比劫制财类候选</x:v>
      </x:c>
      <x:c r="G112" s="214" t="str">
        <x:v>结构层</x:v>
      </x:c>
      <x:c r="H112" s="214" t="str">
        <x:v>劫财</x:v>
      </x:c>
      <x:c r="I112" s="214" t="str">
        <x:v>待定</x:v>
      </x:c>
      <x:c r="J112" s="214" t="str">
        <x:v>待定</x:v>
      </x:c>
      <x:c r="K112" s="214" t="str">
        <x:v>待定</x:v>
      </x:c>
      <x:c r="L112" s="214" t="str">
        <x:v>待定</x:v>
      </x:c>
      <x:c r="M112" s="214" t="str">
        <x:v>按M08核查</x:v>
      </x:c>
      <x:c r="N112" s="214" t="str">
        <x:v>按M06/M08核查</x:v>
      </x:c>
      <x:c r="O112" s="214" t="str">
        <x:v>待定</x:v>
      </x:c>
      <x:c r="P112" s="214" t="str">
        <x:v>比劫制财候选转M11</x:v>
      </x:c>
      <x:c r="Q112" s="214" t="str">
        <x:v>需结合M09日主承载判断</x:v>
      </x:c>
      <x:c r="R112" s="214" t="str">
        <x:v>待定</x:v>
      </x:c>
      <x:c r="S112" s="214" t="str">
        <x:v>比劫与财星均有效且克制路径成立</x:v>
      </x:c>
      <x:c r="T112" s="214" t="str">
        <x:v>M02十神映射、M08五行有效旺衰、M09日主旺衰已完成</x:v>
      </x:c>
      <x:c r="U112" s="214" t="str">
        <x:v>相关十神已由M02正确映射，并以M08有效力量为准</x:v>
      </x:c>
      <x:c r="V112" s="214" t="str">
        <x:v>得令、有根、透干、同党或生源形成独立有效证据</x:v>
      </x:c>
      <x:c r="W112" s="214" t="str">
        <x:v>失令、无根、被合绊、被制、改性或作用路径受阻</x:v>
      </x:c>
      <x:c r="X112" s="214" t="str">
        <x:v>不得以十神名称、数量或单一旺弱证据直接完成定性</x:v>
      </x:c>
      <x:c r="Y112" s="214" t="str">
        <x:v>特殊格局、从化候选及明确组合转M11/M14另审</x:v>
      </x:c>
      <x:c r="Z112" s="214" t="str">
        <x:v>不得直接推出吉凶、具体事件、亲属结果或最终喜忌</x:v>
      </x:c>
      <x:c r="AA112" s="214" t="str">
        <x:v>比劫组合接口</x:v>
      </x:c>
      <x:c r="AB112" s="214" t="str">
        <x:v>比劫与财星形成克制时只生成比劫制财类候选：当“比劫与财星均有效且克制路径成立”成立时，按本规则记录十神的有效功能；同时保留制化、承载和反向证据。</x:v>
      </x:c>
      <x:c r="AC112" s="214" t="str">
        <x:v>较高</x:v>
      </x:c>
      <x:c r="AD112" s="214" t="str">
        <x:v>现代综合</x:v>
      </x:c>
      <x:c r="AE112" s="214" t="str">
        <x:v>十神必须分开判断存在性、力量、清纯度、功能性与喜忌性；M10只形成结构层结论和候选，不越级替代M11—M18。</x:v>
      </x:c>
      <x:c r="AF112" s="214" t="str">
        <x:v>相关条件真实成立，且增强条件有效时，可按“比劫与财星形成克制时只生成比劫制财类候选”记录对应功能。</x:v>
      </x:c>
      <x:c r="AG112" s="214" t="str">
        <x:v>仅见表面十神名称或数量，但“不得以十神名称、数量或单一旺弱证据直接完成定性”所述限制存在时，不得套用本规则。</x:v>
      </x:c>
      <x:c r="AH112" s="214" t="str">
        <x:v>https://zh.wikisource.org/wiki/%E6%B8%8A%E6%B5%B7%E5%AD%90%E5%B9%B3%E5%A4%A7%E5%85%A8 ; https://zh.wikisource.org/wiki/%E6%BB%B4%E5%A4%A9%E9%AB%93%E9%97%A1%E5%BE%AE</x:v>
      </x:c>
      <x:c r="AI112" s="214" t="str">
        <x:v>采用</x:v>
      </x:c>
      <x:c r="AJ112" s="214" t="str">
        <x:v>初审</x:v>
      </x:c>
      <x:c r="AK112" s="217" t="n">
        <x:v>46255</x:v>
      </x:c>
    </x:row>
    <x:row r="113">
      <x:c r="A113" s="214" t="str">
        <x:f>IF(OR(C113="",D113=""),"",B113&amp;"-"&amp;UPPER(C113)&amp;"-"&amp;TEXT(D113,"0000")&amp;"-"&amp;E113)</x:f>
        <x:v>M10-ROLE-0107-V1.0</x:v>
      </x:c>
      <x:c r="B113" s="214" t="str">
        <x:v>M10</x:v>
      </x:c>
      <x:c r="C113" s="214" t="str">
        <x:v>ROLE</x:v>
      </x:c>
      <x:c r="D113" s="216" t="n">
        <x:v>107</x:v>
      </x:c>
      <x:c r="E113" s="214" t="str">
        <x:v>V1.0</x:v>
      </x:c>
      <x:c r="F113" s="214" t="str">
        <x:v>格局功能必须服从M14月令与格神条件</x:v>
      </x:c>
      <x:c r="G113" s="214" t="str">
        <x:v>结构层</x:v>
      </x:c>
      <x:c r="H113" s="214" t="str">
        <x:v>正印</x:v>
      </x:c>
      <x:c r="I113" s="214" t="str">
        <x:v>待定</x:v>
      </x:c>
      <x:c r="J113" s="214" t="str">
        <x:v>待定</x:v>
      </x:c>
      <x:c r="K113" s="214" t="str">
        <x:v>待定</x:v>
      </x:c>
      <x:c r="L113" s="214" t="str">
        <x:v>待定</x:v>
      </x:c>
      <x:c r="M113" s="214" t="str">
        <x:v>按M08核查</x:v>
      </x:c>
      <x:c r="N113" s="214" t="str">
        <x:v>按M06/M08核查</x:v>
      </x:c>
      <x:c r="O113" s="214" t="str">
        <x:v>待定</x:v>
      </x:c>
      <x:c r="P113" s="214" t="str">
        <x:v>仅记录格局功能候选，转M14</x:v>
      </x:c>
      <x:c r="Q113" s="214" t="str">
        <x:v>需结合M09日主承载判断</x:v>
      </x:c>
      <x:c r="R113" s="214" t="str">
        <x:v>待定</x:v>
      </x:c>
      <x:c r="S113" s="214" t="str">
        <x:v>十神在M10功能有效，但是否成为格神尚未核验</x:v>
      </x:c>
      <x:c r="T113" s="214" t="str">
        <x:v>M02十神映射、M08五行有效旺衰、M09日主旺衰已完成</x:v>
      </x:c>
      <x:c r="U113" s="214" t="str">
        <x:v>相关十神已由M02正确映射，并以M08有效力量为准</x:v>
      </x:c>
      <x:c r="V113" s="214" t="str">
        <x:v>得令、有根、透干、同党或生源形成独立有效证据</x:v>
      </x:c>
      <x:c r="W113" s="214" t="str">
        <x:v>失令、无根、被合绊、被制、改性或作用路径受阻</x:v>
      </x:c>
      <x:c r="X113" s="214" t="str">
        <x:v>不得以十神名称、数量或单一旺弱证据直接完成定性</x:v>
      </x:c>
      <x:c r="Y113" s="214" t="str">
        <x:v>特殊格局、从化候选及明确组合转M11/M14另审</x:v>
      </x:c>
      <x:c r="Z113" s="214" t="str">
        <x:v>不得直接推出吉凶、具体事件、亲属结果或最终喜忌</x:v>
      </x:c>
      <x:c r="AA113" s="214" t="str">
        <x:v>格局角色候选</x:v>
      </x:c>
      <x:c r="AB113" s="214" t="str">
        <x:v>格局功能必须服从M14月令与格神条件：当“十神在M10功能有效，但是否成为格神尚未核验”成立时，按本规则记录十神的有效功能；同时保留制化、承载和反向证据。</x:v>
      </x:c>
      <x:c r="AC113" s="214" t="str">
        <x:v>较高</x:v>
      </x:c>
      <x:c r="AD113" s="214" t="str">
        <x:v>现代综合</x:v>
      </x:c>
      <x:c r="AE113" s="214" t="str">
        <x:v>十神必须分开判断存在性、力量、清纯度、功能性与喜忌性；M10只形成结构层结论和候选，不越级替代M11—M18。</x:v>
      </x:c>
      <x:c r="AF113" s="214" t="str">
        <x:v>相关条件真实成立，且增强条件有效时，可按“格局功能必须服从M14月令与格神条件”记录对应功能。</x:v>
      </x:c>
      <x:c r="AG113" s="214" t="str">
        <x:v>仅见表面十神名称或数量，但“不得以十神名称、数量或单一旺弱证据直接完成定性”所述限制存在时，不得套用本规则。</x:v>
      </x:c>
      <x:c r="AH113" s="214" t="str">
        <x:v>https://zh.wikisource.org/wiki/%E6%B8%8A%E6%B5%B7%E5%AD%90%E5%B9%B3%E5%A4%A7%E5%85%A8 ; https://zh.wikisource.org/wiki/%E6%BB%B4%E5%A4%A9%E9%AB%93%E9%97%A1%E5%BE%AE</x:v>
      </x:c>
      <x:c r="AI113" s="214" t="str">
        <x:v>采用</x:v>
      </x:c>
      <x:c r="AJ113" s="214" t="str">
        <x:v>初审</x:v>
      </x:c>
      <x:c r="AK113" s="217" t="n">
        <x:v>46255</x:v>
      </x:c>
    </x:row>
    <x:row r="114">
      <x:c r="A114" s="214" t="str">
        <x:f>IF(OR(C114="",D114=""),"",B114&amp;"-"&amp;UPPER(C114)&amp;"-"&amp;TEXT(D114,"0000")&amp;"-"&amp;E114)</x:f>
        <x:v>M10-ROLE-0108-V1.0</x:v>
      </x:c>
      <x:c r="B114" s="214" t="str">
        <x:v>M10</x:v>
      </x:c>
      <x:c r="C114" s="214" t="str">
        <x:v>ROLE</x:v>
      </x:c>
      <x:c r="D114" s="216" t="n">
        <x:v>108</x:v>
      </x:c>
      <x:c r="E114" s="214" t="str">
        <x:v>V1.0</x:v>
      </x:c>
      <x:c r="F114" s="214" t="str">
        <x:v>十神组合成立与格局成立必须分层</x:v>
      </x:c>
      <x:c r="G114" s="214" t="str">
        <x:v>结构层</x:v>
      </x:c>
      <x:c r="H114" s="214" t="str">
        <x:v>七杀</x:v>
      </x:c>
      <x:c r="I114" s="214" t="str">
        <x:v>待定</x:v>
      </x:c>
      <x:c r="J114" s="214" t="str">
        <x:v>待定</x:v>
      </x:c>
      <x:c r="K114" s="214" t="str">
        <x:v>待定</x:v>
      </x:c>
      <x:c r="L114" s="214" t="str">
        <x:v>待定</x:v>
      </x:c>
      <x:c r="M114" s="214" t="str">
        <x:v>按M08核查</x:v>
      </x:c>
      <x:c r="N114" s="214" t="str">
        <x:v>按M06/M08核查</x:v>
      </x:c>
      <x:c r="O114" s="214" t="str">
        <x:v>待定</x:v>
      </x:c>
      <x:c r="P114" s="214" t="str">
        <x:v>组合成立后仍需M14/M15判断是否上升为格局及是否破格</x:v>
      </x:c>
      <x:c r="Q114" s="214" t="str">
        <x:v>需结合M09日主承载判断</x:v>
      </x:c>
      <x:c r="R114" s="214" t="str">
        <x:v>待定</x:v>
      </x:c>
      <x:c r="S114" s="214" t="str">
        <x:v>M11可能确认某局部组合成立</x:v>
      </x:c>
      <x:c r="T114" s="214" t="str">
        <x:v>M02十神映射、M08五行有效旺衰、M09日主旺衰已完成</x:v>
      </x:c>
      <x:c r="U114" s="214" t="str">
        <x:v>相关十神已由M02正确映射，并以M08有效力量为准</x:v>
      </x:c>
      <x:c r="V114" s="214" t="str">
        <x:v>得令、有根、透干、同党或生源形成独立有效证据</x:v>
      </x:c>
      <x:c r="W114" s="214" t="str">
        <x:v>失令、无根、被合绊、被制、改性或作用路径受阻</x:v>
      </x:c>
      <x:c r="X114" s="214" t="str">
        <x:v>不得以十神名称、数量或单一旺弱证据直接完成定性</x:v>
      </x:c>
      <x:c r="Y114" s="214" t="str">
        <x:v>特殊格局、从化候选及明确组合转M11/M14另审</x:v>
      </x:c>
      <x:c r="Z114" s="214" t="str">
        <x:v>不得直接推出吉凶、具体事件、亲属结果或最终喜忌</x:v>
      </x:c>
      <x:c r="AA114" s="214" t="str">
        <x:v>组合格局分离</x:v>
      </x:c>
      <x:c r="AB114" s="214" t="str">
        <x:v>十神组合成立与格局成立必须分层：当“M11可能确认某局部组合成立”成立时，按本规则记录十神的有效功能；同时保留制化、承载和反向证据。</x:v>
      </x:c>
      <x:c r="AC114" s="214" t="str">
        <x:v>较高</x:v>
      </x:c>
      <x:c r="AD114" s="214" t="str">
        <x:v>现代综合</x:v>
      </x:c>
      <x:c r="AE114" s="214" t="str">
        <x:v>十神必须分开判断存在性、力量、清纯度、功能性与喜忌性；M10只形成结构层结论和候选，不越级替代M11—M18。</x:v>
      </x:c>
      <x:c r="AF114" s="214" t="str">
        <x:v>相关条件真实成立，且增强条件有效时，可按“十神组合成立与格局成立必须分层”记录对应功能。</x:v>
      </x:c>
      <x:c r="AG114" s="214" t="str">
        <x:v>仅见表面十神名称或数量，但“不得以十神名称、数量或单一旺弱证据直接完成定性”所述限制存在时，不得套用本规则。</x:v>
      </x:c>
      <x:c r="AH114" s="214" t="str">
        <x:v>https://zh.wikisource.org/wiki/%E6%B8%8A%E6%B5%B7%E5%AD%90%E5%B9%B3%E5%A4%A7%E5%85%A8 ; https://zh.wikisource.org/wiki/%E6%BB%B4%E5%A4%A9%E9%AB%93%E9%97%A1%E5%BE%AE</x:v>
      </x:c>
      <x:c r="AI114" s="214" t="str">
        <x:v>采用</x:v>
      </x:c>
      <x:c r="AJ114" s="214" t="str">
        <x:v>初审</x:v>
      </x:c>
      <x:c r="AK114" s="217" t="n">
        <x:v>46255</x:v>
      </x:c>
    </x:row>
    <x:row r="115">
      <x:c r="A115" s="214" t="str">
        <x:f>IF(OR(C115="",D115=""),"",B115&amp;"-"&amp;UPPER(C115)&amp;"-"&amp;TEXT(D115,"0000")&amp;"-"&amp;E115)</x:f>
        <x:v>M10-XIJI-0109-V1.0</x:v>
      </x:c>
      <x:c r="B115" s="214" t="str">
        <x:v>M10</x:v>
      </x:c>
      <x:c r="C115" s="214" t="str">
        <x:v>XIJI</x:v>
      </x:c>
      <x:c r="D115" s="216" t="n">
        <x:v>109</x:v>
      </x:c>
      <x:c r="E115" s="214" t="str">
        <x:v>V1.0</x:v>
      </x:c>
      <x:c r="F115" s="214" t="str">
        <x:v>十神补足日主核心承载缺口时可列条件性喜神</x:v>
      </x:c>
      <x:c r="G115" s="214" t="str">
        <x:v>结构层</x:v>
      </x:c>
      <x:c r="H115" s="214" t="str">
        <x:v>比肩</x:v>
      </x:c>
      <x:c r="I115" s="214" t="str">
        <x:v>待定</x:v>
      </x:c>
      <x:c r="J115" s="214" t="str">
        <x:v>待定</x:v>
      </x:c>
      <x:c r="K115" s="214" t="str">
        <x:v>待定</x:v>
      </x:c>
      <x:c r="L115" s="214" t="str">
        <x:v>待定</x:v>
      </x:c>
      <x:c r="M115" s="214" t="str">
        <x:v>按M08核查</x:v>
      </x:c>
      <x:c r="N115" s="214" t="str">
        <x:v>按M06/M08核查</x:v>
      </x:c>
      <x:c r="O115" s="214" t="str">
        <x:v>待定</x:v>
      </x:c>
      <x:c r="P115" s="214" t="str">
        <x:v>转M11/M14判断</x:v>
      </x:c>
      <x:c r="Q115" s="214" t="str">
        <x:v>需结合M09日主承载判断</x:v>
      </x:c>
      <x:c r="R115" s="214" t="str">
        <x:v>条件性喜神</x:v>
      </x:c>
      <x:c r="S115" s="214" t="str">
        <x:v>M09偏弱，且比肩确能解决承载不足、无重大副作用</x:v>
      </x:c>
      <x:c r="T115" s="214" t="str">
        <x:v>M02十神映射、M08五行有效旺衰、M09日主旺衰已完成</x:v>
      </x:c>
      <x:c r="U115" s="214" t="str">
        <x:v>相关十神已由M02正确映射，并以M08有效力量为准</x:v>
      </x:c>
      <x:c r="V115" s="214" t="str">
        <x:v>得令、有根、透干、同党或生源形成独立有效证据</x:v>
      </x:c>
      <x:c r="W115" s="214" t="str">
        <x:v>失令、无根、被合绊、被制、改性或作用路径受阻</x:v>
      </x:c>
      <x:c r="X115" s="214" t="str">
        <x:v>不得以十神名称、数量或单一旺弱证据直接完成定性</x:v>
      </x:c>
      <x:c r="Y115" s="214" t="str">
        <x:v>特殊格局、从化候选及明确组合转M11/M14另审</x:v>
      </x:c>
      <x:c r="Z115" s="214" t="str">
        <x:v>不得直接推出吉凶、具体事件、亲属结果或最终喜忌</x:v>
      </x:c>
      <x:c r="AA115" s="214" t="str">
        <x:v>补身喜神候选</x:v>
      </x:c>
      <x:c r="AB115" s="214" t="str">
        <x:v>十神补足日主核心承载缺口时可列条件性喜神：当“M09偏弱，且比肩确能解决承载不足、无重大副作用”成立时，按本规则记录十神的有效功能；同时保留制化、承载和反向证据。</x:v>
      </x:c>
      <x:c r="AC115" s="214" t="str">
        <x:v>较高</x:v>
      </x:c>
      <x:c r="AD115" s="214" t="str">
        <x:v>现代综合</x:v>
      </x:c>
      <x:c r="AE115" s="214" t="str">
        <x:v>十神必须分开判断存在性、力量、清纯度、功能性与喜忌性；M10只形成结构层结论和候选，不越级替代M11—M18。</x:v>
      </x:c>
      <x:c r="AF115" s="214" t="str">
        <x:v>相关条件真实成立，且增强条件有效时，可按“十神补足日主核心承载缺口时可列条件性喜神”记录对应功能。</x:v>
      </x:c>
      <x:c r="AG115" s="214" t="str">
        <x:v>仅见表面十神名称或数量，但“不得以十神名称、数量或单一旺弱证据直接完成定性”所述限制存在时，不得套用本规则。</x:v>
      </x:c>
      <x:c r="AH115" s="214" t="str">
        <x:v>https://zh.wikisource.org/wiki/%E6%B8%8A%E6%B5%B7%E5%AD%90%E5%B9%B3%E5%A4%A7%E5%85%A8 ; https://zh.wikisource.org/wiki/%E6%BB%B4%E5%A4%A9%E9%AB%93%E9%97%A1%E5%BE%AE</x:v>
      </x:c>
      <x:c r="AI115" s="214" t="str">
        <x:v>采用</x:v>
      </x:c>
      <x:c r="AJ115" s="214" t="str">
        <x:v>初审</x:v>
      </x:c>
      <x:c r="AK115" s="217" t="n">
        <x:v>46255</x:v>
      </x:c>
    </x:row>
    <x:row r="116">
      <x:c r="A116" s="214" t="str">
        <x:f>IF(OR(C116="",D116=""),"",B116&amp;"-"&amp;UPPER(C116)&amp;"-"&amp;TEXT(D116,"0000")&amp;"-"&amp;E116)</x:f>
        <x:v>M10-XIJI-0110-V1.0</x:v>
      </x:c>
      <x:c r="B116" s="214" t="str">
        <x:v>M10</x:v>
      </x:c>
      <x:c r="C116" s="214" t="str">
        <x:v>XIJI</x:v>
      </x:c>
      <x:c r="D116" s="216" t="n">
        <x:v>110</x:v>
      </x:c>
      <x:c r="E116" s="214" t="str">
        <x:v>V1.0</x:v>
      </x:c>
      <x:c r="F116" s="214" t="str">
        <x:v>十神能泄过强日主且不破坏关键结构时可列条件性喜神</x:v>
      </x:c>
      <x:c r="G116" s="214" t="str">
        <x:v>结构层</x:v>
      </x:c>
      <x:c r="H116" s="214" t="str">
        <x:v>食神</x:v>
      </x:c>
      <x:c r="I116" s="214" t="str">
        <x:v>待定</x:v>
      </x:c>
      <x:c r="J116" s="214" t="str">
        <x:v>待定</x:v>
      </x:c>
      <x:c r="K116" s="214" t="str">
        <x:v>待定</x:v>
      </x:c>
      <x:c r="L116" s="214" t="str">
        <x:v>待定</x:v>
      </x:c>
      <x:c r="M116" s="214" t="str">
        <x:v>按M08核查</x:v>
      </x:c>
      <x:c r="N116" s="214" t="str">
        <x:v>按M06/M08核查</x:v>
      </x:c>
      <x:c r="O116" s="214" t="str">
        <x:v>待定</x:v>
      </x:c>
      <x:c r="P116" s="214" t="str">
        <x:v>转M11/M14判断</x:v>
      </x:c>
      <x:c r="Q116" s="214" t="str">
        <x:v>需结合M09日主承载判断</x:v>
      </x:c>
      <x:c r="R116" s="214" t="str">
        <x:v>条件性喜神</x:v>
      </x:c>
      <x:c r="S116" s="214" t="str">
        <x:v>M09偏旺或旺，食神泄身有效且不损害主要格局</x:v>
      </x:c>
      <x:c r="T116" s="214" t="str">
        <x:v>M02十神映射、M08五行有效旺衰、M09日主旺衰已完成</x:v>
      </x:c>
      <x:c r="U116" s="214" t="str">
        <x:v>相关十神已由M02正确映射，并以M08有效力量为准</x:v>
      </x:c>
      <x:c r="V116" s="214" t="str">
        <x:v>得令、有根、透干、同党或生源形成独立有效证据</x:v>
      </x:c>
      <x:c r="W116" s="214" t="str">
        <x:v>失令、无根、被合绊、被制、改性或作用路径受阻</x:v>
      </x:c>
      <x:c r="X116" s="214" t="str">
        <x:v>不得以十神名称、数量或单一旺弱证据直接完成定性</x:v>
      </x:c>
      <x:c r="Y116" s="214" t="str">
        <x:v>特殊格局、从化候选及明确组合转M11/M14另审</x:v>
      </x:c>
      <x:c r="Z116" s="214" t="str">
        <x:v>不得直接推出吉凶、具体事件、亲属结果或最终喜忌</x:v>
      </x:c>
      <x:c r="AA116" s="214" t="str">
        <x:v>泄身喜神候选</x:v>
      </x:c>
      <x:c r="AB116" s="214" t="str">
        <x:v>十神能泄过强日主且不破坏关键结构时可列条件性喜神：当“M09偏旺或旺，食神泄身有效且不损害主要格局”成立时，按本规则记录十神的有效功能；同时保留制化、承载和反向证据。</x:v>
      </x:c>
      <x:c r="AC116" s="214" t="str">
        <x:v>较高</x:v>
      </x:c>
      <x:c r="AD116" s="214" t="str">
        <x:v>现代综合</x:v>
      </x:c>
      <x:c r="AE116" s="214" t="str">
        <x:v>十神必须分开判断存在性、力量、清纯度、功能性与喜忌性；M10只形成结构层结论和候选，不越级替代M11—M18。</x:v>
      </x:c>
      <x:c r="AF116" s="214" t="str">
        <x:v>相关条件真实成立，且增强条件有效时，可按“十神能泄过强日主且不破坏关键结构时可列条件性喜神”记录对应功能。</x:v>
      </x:c>
      <x:c r="AG116" s="214" t="str">
        <x:v>仅见表面十神名称或数量，但“不得以十神名称、数量或单一旺弱证据直接完成定性”所述限制存在时，不得套用本规则。</x:v>
      </x:c>
      <x:c r="AH116" s="214" t="str">
        <x:v>https://zh.wikisource.org/wiki/%E6%B8%8A%E6%B5%B7%E5%AD%90%E5%B9%B3%E5%A4%A7%E5%85%A8 ; https://zh.wikisource.org/wiki/%E6%BB%B4%E5%A4%A9%E9%AB%93%E9%97%A1%E5%BE%AE</x:v>
      </x:c>
      <x:c r="AI116" s="214" t="str">
        <x:v>采用</x:v>
      </x:c>
      <x:c r="AJ116" s="214" t="str">
        <x:v>初审</x:v>
      </x:c>
      <x:c r="AK116" s="217" t="n">
        <x:v>46255</x:v>
      </x:c>
    </x:row>
    <x:row r="117">
      <x:c r="A117" s="214" t="str">
        <x:f>IF(OR(C117="",D117=""),"",B117&amp;"-"&amp;UPPER(C117)&amp;"-"&amp;TEXT(D117,"0000")&amp;"-"&amp;E117)</x:f>
        <x:v>M10-XIJI-0111-V1.0</x:v>
      </x:c>
      <x:c r="B117" s="214" t="str">
        <x:v>M10</x:v>
      </x:c>
      <x:c r="C117" s="214" t="str">
        <x:v>XIJI</x:v>
      </x:c>
      <x:c r="D117" s="216" t="n">
        <x:v>111</x:v>
      </x:c>
      <x:c r="E117" s="214" t="str">
        <x:v>V1.0</x:v>
      </x:c>
      <x:c r="F117" s="214" t="str">
        <x:v>官杀超出日主承载且无制化时可列条件性忌神</x:v>
      </x:c>
      <x:c r="G117" s="214" t="str">
        <x:v>结构层</x:v>
      </x:c>
      <x:c r="H117" s="214" t="str">
        <x:v>七杀</x:v>
      </x:c>
      <x:c r="I117" s="214" t="str">
        <x:v>待定</x:v>
      </x:c>
      <x:c r="J117" s="214" t="str">
        <x:v>待定</x:v>
      </x:c>
      <x:c r="K117" s="214" t="str">
        <x:v>待定</x:v>
      </x:c>
      <x:c r="L117" s="214" t="str">
        <x:v>待定</x:v>
      </x:c>
      <x:c r="M117" s="214" t="str">
        <x:v>按M08核查</x:v>
      </x:c>
      <x:c r="N117" s="214" t="str">
        <x:v>按M06/M08核查</x:v>
      </x:c>
      <x:c r="O117" s="214" t="str">
        <x:v>待定</x:v>
      </x:c>
      <x:c r="P117" s="214" t="str">
        <x:v>转M11/M14判断</x:v>
      </x:c>
      <x:c r="Q117" s="214" t="str">
        <x:v>需结合M09日主承载判断</x:v>
      </x:c>
      <x:c r="R117" s="214" t="str">
        <x:v>条件性忌神</x:v>
      </x:c>
      <x:c r="S117" s="214" t="str">
        <x:v>官杀有效过强，日主承载不足且无稳定制化</x:v>
      </x:c>
      <x:c r="T117" s="214" t="str">
        <x:v>M02十神映射、M08五行有效旺衰、M09日主旺衰已完成</x:v>
      </x:c>
      <x:c r="U117" s="214" t="str">
        <x:v>相关十神已由M02正确映射，并以M08有效力量为准</x:v>
      </x:c>
      <x:c r="V117" s="214" t="str">
        <x:v>得令、有根、透干、同党或生源形成独立有效证据</x:v>
      </x:c>
      <x:c r="W117" s="214" t="str">
        <x:v>失令、无根、被合绊、被制、改性或作用路径受阻</x:v>
      </x:c>
      <x:c r="X117" s="214" t="str">
        <x:v>不得以十神名称、数量或单一旺弱证据直接完成定性</x:v>
      </x:c>
      <x:c r="Y117" s="214" t="str">
        <x:v>特殊格局、从化候选及明确组合转M11/M14另审</x:v>
      </x:c>
      <x:c r="Z117" s="214" t="str">
        <x:v>不得直接推出吉凶、具体事件、亲属结果或最终喜忌</x:v>
      </x:c>
      <x:c r="AA117" s="214" t="str">
        <x:v>官杀忌神候选</x:v>
      </x:c>
      <x:c r="AB117" s="214" t="str">
        <x:v>官杀超出日主承载且无制化时可列条件性忌神：当“官杀有效过强，日主承载不足且无稳定制化”成立时，按本规则记录十神的有效功能；同时保留制化、承载和反向证据。</x:v>
      </x:c>
      <x:c r="AC117" s="214" t="str">
        <x:v>较高</x:v>
      </x:c>
      <x:c r="AD117" s="214" t="str">
        <x:v>现代综合</x:v>
      </x:c>
      <x:c r="AE117" s="214" t="str">
        <x:v>十神必须分开判断存在性、力量、清纯度、功能性与喜忌性；M10只形成结构层结论和候选，不越级替代M11—M18。</x:v>
      </x:c>
      <x:c r="AF117" s="214" t="str">
        <x:v>相关条件真实成立，且增强条件有效时，可按“官杀超出日主承载且无制化时可列条件性忌神”记录对应功能。</x:v>
      </x:c>
      <x:c r="AG117" s="214" t="str">
        <x:v>仅见表面十神名称或数量，但“不得以十神名称、数量或单一旺弱证据直接完成定性”所述限制存在时，不得套用本规则。</x:v>
      </x:c>
      <x:c r="AH117" s="214" t="str">
        <x:v>https://zh.wikisource.org/wiki/%E6%B8%8A%E6%B5%B7%E5%AD%90%E5%B9%B3%E5%A4%A7%E5%85%A8 ; https://zh.wikisource.org/wiki/%E6%BB%B4%E5%A4%A9%E9%AB%93%E9%97%A1%E5%BE%AE</x:v>
      </x:c>
      <x:c r="AI117" s="214" t="str">
        <x:v>采用</x:v>
      </x:c>
      <x:c r="AJ117" s="214" t="str">
        <x:v>初审</x:v>
      </x:c>
      <x:c r="AK117" s="217" t="n">
        <x:v>46255</x:v>
      </x:c>
    </x:row>
    <x:row r="118">
      <x:c r="A118" s="214" t="str">
        <x:f>IF(OR(C118="",D118=""),"",B118&amp;"-"&amp;UPPER(C118)&amp;"-"&amp;TEXT(D118,"0000")&amp;"-"&amp;E118)</x:f>
        <x:v>M10-XIJI-0112-V1.0</x:v>
      </x:c>
      <x:c r="B118" s="214" t="str">
        <x:v>M10</x:v>
      </x:c>
      <x:c r="C118" s="214" t="str">
        <x:v>XIJI</x:v>
      </x:c>
      <x:c r="D118" s="216" t="n">
        <x:v>112</x:v>
      </x:c>
      <x:c r="E118" s="214" t="str">
        <x:v>V1.0</x:v>
      </x:c>
      <x:c r="F118" s="214" t="str">
        <x:v>印星加重身势并破坏关键食伤功能时可列条件性忌神</x:v>
      </x:c>
      <x:c r="G118" s="214" t="str">
        <x:v>结构层</x:v>
      </x:c>
      <x:c r="H118" s="214" t="str">
        <x:v>偏印</x:v>
      </x:c>
      <x:c r="I118" s="214" t="str">
        <x:v>待定</x:v>
      </x:c>
      <x:c r="J118" s="214" t="str">
        <x:v>待定</x:v>
      </x:c>
      <x:c r="K118" s="214" t="str">
        <x:v>待定</x:v>
      </x:c>
      <x:c r="L118" s="214" t="str">
        <x:v>待定</x:v>
      </x:c>
      <x:c r="M118" s="214" t="str">
        <x:v>按M08核查</x:v>
      </x:c>
      <x:c r="N118" s="214" t="str">
        <x:v>按M06/M08核查</x:v>
      </x:c>
      <x:c r="O118" s="214" t="str">
        <x:v>待定</x:v>
      </x:c>
      <x:c r="P118" s="214" t="str">
        <x:v>转M11/M14判断</x:v>
      </x:c>
      <x:c r="Q118" s="214" t="str">
        <x:v>需结合M09日主承载判断</x:v>
      </x:c>
      <x:c r="R118" s="214" t="str">
        <x:v>条件性忌神</x:v>
      </x:c>
      <x:c r="S118" s="214" t="str">
        <x:v>日主已旺，偏印又强且实质制约关键食伤</x:v>
      </x:c>
      <x:c r="T118" s="214" t="str">
        <x:v>M02十神映射、M08五行有效旺衰、M09日主旺衰已完成</x:v>
      </x:c>
      <x:c r="U118" s="214" t="str">
        <x:v>相关十神已由M02正确映射，并以M08有效力量为准</x:v>
      </x:c>
      <x:c r="V118" s="214" t="str">
        <x:v>得令、有根、透干、同党或生源形成独立有效证据</x:v>
      </x:c>
      <x:c r="W118" s="214" t="str">
        <x:v>失令、无根、被合绊、被制、改性或作用路径受阻</x:v>
      </x:c>
      <x:c r="X118" s="214" t="str">
        <x:v>不得以十神名称、数量或单一旺弱证据直接完成定性</x:v>
      </x:c>
      <x:c r="Y118" s="214" t="str">
        <x:v>特殊格局、从化候选及明确组合转M11/M14另审</x:v>
      </x:c>
      <x:c r="Z118" s="214" t="str">
        <x:v>不得直接推出吉凶、具体事件、亲属结果或最终喜忌</x:v>
      </x:c>
      <x:c r="AA118" s="214" t="str">
        <x:v>印星忌神候选</x:v>
      </x:c>
      <x:c r="AB118" s="214" t="str">
        <x:v>印星加重身势并破坏关键食伤功能时可列条件性忌神：当“日主已旺，偏印又强且实质制约关键食伤”成立时，按本规则记录十神的有效功能；同时保留制化、承载和反向证据。</x:v>
      </x:c>
      <x:c r="AC118" s="214" t="str">
        <x:v>较高</x:v>
      </x:c>
      <x:c r="AD118" s="214" t="str">
        <x:v>现代综合</x:v>
      </x:c>
      <x:c r="AE118" s="214" t="str">
        <x:v>十神必须分开判断存在性、力量、清纯度、功能性与喜忌性；M10只形成结构层结论和候选，不越级替代M11—M18。</x:v>
      </x:c>
      <x:c r="AF118" s="214" t="str">
        <x:v>相关条件真实成立，且增强条件有效时，可按“印星加重身势并破坏关键食伤功能时可列条件性忌神”记录对应功能。</x:v>
      </x:c>
      <x:c r="AG118" s="214" t="str">
        <x:v>仅见表面十神名称或数量，但“不得以十神名称、数量或单一旺弱证据直接完成定性”所述限制存在时，不得套用本规则。</x:v>
      </x:c>
      <x:c r="AH118" s="214" t="str">
        <x:v>https://zh.wikisource.org/wiki/%E6%B8%8A%E6%B5%B7%E5%AD%90%E5%B9%B3%E5%A4%A7%E5%85%A8 ; https://zh.wikisource.org/wiki/%E6%BB%B4%E5%A4%A9%E9%AB%93%E9%97%A1%E5%BE%AE</x:v>
      </x:c>
      <x:c r="AI118" s="214" t="str">
        <x:v>采用</x:v>
      </x:c>
      <x:c r="AJ118" s="214" t="str">
        <x:v>初审</x:v>
      </x:c>
      <x:c r="AK118" s="217" t="n">
        <x:v>46255</x:v>
      </x:c>
    </x:row>
    <x:row r="119">
      <x:c r="A119" s="214" t="str">
        <x:f>IF(OR(C119="",D119=""),"",B119&amp;"-"&amp;UPPER(C119)&amp;"-"&amp;TEXT(D119,"0000")&amp;"-"&amp;E119)</x:f>
        <x:v>M10-XIJI-0113-V1.0</x:v>
      </x:c>
      <x:c r="B119" s="214" t="str">
        <x:v>M10</x:v>
      </x:c>
      <x:c r="C119" s="214" t="str">
        <x:v>XIJI</x:v>
      </x:c>
      <x:c r="D119" s="216" t="n">
        <x:v>113</x:v>
      </x:c>
      <x:c r="E119" s="214" t="str">
        <x:v>V1.0</x:v>
      </x:c>
      <x:c r="F119" s="214" t="str">
        <x:v>十神既有收益又有明显结构副作用时保持待定</x:v>
      </x:c>
      <x:c r="G119" s="214" t="str">
        <x:v>结构层</x:v>
      </x:c>
      <x:c r="H119" s="214" t="str">
        <x:v>正财</x:v>
      </x:c>
      <x:c r="I119" s="214" t="str">
        <x:v>待定</x:v>
      </x:c>
      <x:c r="J119" s="214" t="str">
        <x:v>待定</x:v>
      </x:c>
      <x:c r="K119" s="214" t="str">
        <x:v>待定</x:v>
      </x:c>
      <x:c r="L119" s="214" t="str">
        <x:v>待定</x:v>
      </x:c>
      <x:c r="M119" s="214" t="str">
        <x:v>按M08核查</x:v>
      </x:c>
      <x:c r="N119" s="214" t="str">
        <x:v>按M06/M08核查</x:v>
      </x:c>
      <x:c r="O119" s="214" t="str">
        <x:v>待定</x:v>
      </x:c>
      <x:c r="P119" s="214" t="str">
        <x:v>转M11/M14判断</x:v>
      </x:c>
      <x:c r="Q119" s="214" t="str">
        <x:v>需结合M09日主承载判断</x:v>
      </x:c>
      <x:c r="R119" s="214" t="str">
        <x:v>待定</x:v>
      </x:c>
      <x:c r="S119" s="214" t="str">
        <x:v>财星既可耗旺身，又会强生忌官或破关键印</x:v>
      </x:c>
      <x:c r="T119" s="214" t="str">
        <x:v>M02十神映射、M08五行有效旺衰、M09日主旺衰已完成</x:v>
      </x:c>
      <x:c r="U119" s="214" t="str">
        <x:v>相关十神已由M02正确映射，并以M08有效力量为准</x:v>
      </x:c>
      <x:c r="V119" s="214" t="str">
        <x:v>得令、有根、透干、同党或生源形成独立有效证据</x:v>
      </x:c>
      <x:c r="W119" s="214" t="str">
        <x:v>失令、无根、被合绊、被制、改性或作用路径受阻</x:v>
      </x:c>
      <x:c r="X119" s="214" t="str">
        <x:v>不得以十神名称、数量或单一旺弱证据直接完成定性</x:v>
      </x:c>
      <x:c r="Y119" s="214" t="str">
        <x:v>特殊格局、从化候选及明确组合转M11/M14另审</x:v>
      </x:c>
      <x:c r="Z119" s="214" t="str">
        <x:v>不得直接推出吉凶、具体事件、亲属结果或最终喜忌</x:v>
      </x:c>
      <x:c r="AA119" s="214" t="str">
        <x:v>喜忌冲突待裁决</x:v>
      </x:c>
      <x:c r="AB119" s="214" t="str">
        <x:v>十神既有收益又有明显结构副作用时保持待定：当“财星既可耗旺身，又会强生忌官或破关键印”成立时，按本规则记录十神的有效功能；同时保留制化、承载和反向证据。</x:v>
      </x:c>
      <x:c r="AC119" s="214" t="str">
        <x:v>较高</x:v>
      </x:c>
      <x:c r="AD119" s="214" t="str">
        <x:v>现代综合</x:v>
      </x:c>
      <x:c r="AE119" s="214" t="str">
        <x:v>十神必须分开判断存在性、力量、清纯度、功能性与喜忌性；M10只形成结构层结论和候选，不越级替代M11—M18。</x:v>
      </x:c>
      <x:c r="AF119" s="214" t="str">
        <x:v>相关条件真实成立，且增强条件有效时，可按“十神既有收益又有明显结构副作用时保持待定”记录对应功能。</x:v>
      </x:c>
      <x:c r="AG119" s="214" t="str">
        <x:v>仅见表面十神名称或数量，但“不得以十神名称、数量或单一旺弱证据直接完成定性”所述限制存在时，不得套用本规则。</x:v>
      </x:c>
      <x:c r="AH119" s="214" t="str">
        <x:v>https://zh.wikisource.org/wiki/%E6%B8%8A%E6%B5%B7%E5%AD%90%E5%B9%B3%E5%A4%A7%E5%85%A8 ; https://zh.wikisource.org/wiki/%E6%BB%B4%E5%A4%A9%E9%AB%93%E9%97%A1%E5%BE%AE</x:v>
      </x:c>
      <x:c r="AI119" s="214" t="str">
        <x:v>采用</x:v>
      </x:c>
      <x:c r="AJ119" s="214" t="str">
        <x:v>初审</x:v>
      </x:c>
      <x:c r="AK119" s="217" t="n">
        <x:v>46255</x:v>
      </x:c>
    </x:row>
    <x:row r="120">
      <x:c r="A120" s="214" t="str">
        <x:f>IF(OR(C120="",D120=""),"",B120&amp;"-"&amp;UPPER(C120)&amp;"-"&amp;TEXT(D120,"0000")&amp;"-"&amp;E120)</x:f>
        <x:v>M10-XIJI-0114-V1.0</x:v>
      </x:c>
      <x:c r="B120" s="214" t="str">
        <x:v>M10</x:v>
      </x:c>
      <x:c r="C120" s="214" t="str">
        <x:v>XIJI</x:v>
      </x:c>
      <x:c r="D120" s="216" t="n">
        <x:v>114</x:v>
      </x:c>
      <x:c r="E120" s="214" t="str">
        <x:v>V1.0</x:v>
      </x:c>
      <x:c r="F120" s="214" t="str">
        <x:v>M10喜忌字段只允许候选不得输出主用神终局</x:v>
      </x:c>
      <x:c r="G120" s="214" t="str">
        <x:v>结构层</x:v>
      </x:c>
      <x:c r="H120" s="214" t="str">
        <x:v>正官</x:v>
      </x:c>
      <x:c r="I120" s="214" t="str">
        <x:v>待定</x:v>
      </x:c>
      <x:c r="J120" s="214" t="str">
        <x:v>待定</x:v>
      </x:c>
      <x:c r="K120" s="214" t="str">
        <x:v>待定</x:v>
      </x:c>
      <x:c r="L120" s="214" t="str">
        <x:v>待定</x:v>
      </x:c>
      <x:c r="M120" s="214" t="str">
        <x:v>按M08核查</x:v>
      </x:c>
      <x:c r="N120" s="214" t="str">
        <x:v>按M06/M08核查</x:v>
      </x:c>
      <x:c r="O120" s="214" t="str">
        <x:v>待定</x:v>
      </x:c>
      <x:c r="P120" s="214" t="str">
        <x:v>转M11/M14判断</x:v>
      </x:c>
      <x:c r="Q120" s="214" t="str">
        <x:v>需结合M09日主承载判断</x:v>
      </x:c>
      <x:c r="R120" s="214" t="str">
        <x:v>待定</x:v>
      </x:c>
      <x:c r="S120" s="214" t="str">
        <x:v>十神功能和局部价值已判断</x:v>
      </x:c>
      <x:c r="T120" s="214" t="str">
        <x:v>M02十神映射、M08五行有效旺衰、M09日主旺衰已完成</x:v>
      </x:c>
      <x:c r="U120" s="214" t="str">
        <x:v>相关十神已由M02正确映射，并以M08有效力量为准</x:v>
      </x:c>
      <x:c r="V120" s="214" t="str">
        <x:v>得令、有根、透干、同党或生源形成独立有效证据</x:v>
      </x:c>
      <x:c r="W120" s="214" t="str">
        <x:v>失令、无根、被合绊、被制、改性或作用路径受阻</x:v>
      </x:c>
      <x:c r="X120" s="214" t="str">
        <x:v>不得以十神名称、数量或单一旺弱证据直接完成定性</x:v>
      </x:c>
      <x:c r="Y120" s="214" t="str">
        <x:v>特殊格局、从化候选及明确组合转M11/M14另审</x:v>
      </x:c>
      <x:c r="Z120" s="214" t="str">
        <x:v>不得在M10直接确定主用神、辅助用神、仇神或最终喜忌排序</x:v>
      </x:c>
      <x:c r="AA120" s="214" t="str">
        <x:v>喜忌候选边界</x:v>
      </x:c>
      <x:c r="AB120" s="214" t="str">
        <x:v>M10喜忌字段只允许候选不得输出主用神终局：当“十神功能和局部价值已判断”成立时，按本规则记录十神的有效功能；同时保留制化、承载和反向证据。</x:v>
      </x:c>
      <x:c r="AC120" s="214" t="str">
        <x:v>较高</x:v>
      </x:c>
      <x:c r="AD120" s="214" t="str">
        <x:v>现代综合</x:v>
      </x:c>
      <x:c r="AE120" s="214" t="str">
        <x:v>十神必须分开判断存在性、力量、清纯度、功能性与喜忌性；M10只形成结构层结论和候选，不越级替代M11—M18。</x:v>
      </x:c>
      <x:c r="AF120" s="214" t="str">
        <x:v>相关条件真实成立，且增强条件有效时，可按“M10喜忌字段只允许候选不得输出主用神终局”记录对应功能。</x:v>
      </x:c>
      <x:c r="AG120" s="214" t="str">
        <x:v>仅见表面十神名称或数量，但“不得以十神名称、数量或单一旺弱证据直接完成定性”所述限制存在时，不得套用本规则。</x:v>
      </x:c>
      <x:c r="AH120" s="214" t="str">
        <x:v>https://zh.wikisource.org/wiki/%E6%B8%8A%E6%B5%B7%E5%AD%90%E5%B9%B3%E5%A4%A7%E5%85%A8 ; https://zh.wikisource.org/wiki/%E6%BB%B4%E5%A4%A9%E9%AB%93%E9%97%A1%E5%BE%AE</x:v>
      </x:c>
      <x:c r="AI120" s="214" t="str">
        <x:v>采用</x:v>
      </x:c>
      <x:c r="AJ120" s="214" t="str">
        <x:v>初审</x:v>
      </x:c>
      <x:c r="AK120" s="217" t="n">
        <x:v>46255</x:v>
      </x:c>
    </x:row>
    <x:row r="121">
      <x:c r="A121" s="214" t="str">
        <x:f>IF(OR(C121="",D121=""),"",B121&amp;"-"&amp;UPPER(C121)&amp;"-"&amp;TEXT(D121,"0000")&amp;"-"&amp;E121)</x:f>
        <x:v>M10-BOUND-0115-V1.0</x:v>
      </x:c>
      <x:c r="B121" s="214" t="str">
        <x:v>M10</x:v>
      </x:c>
      <x:c r="C121" s="214" t="str">
        <x:v>BOUND</x:v>
      </x:c>
      <x:c r="D121" s="216" t="n">
        <x:v>115</x:v>
      </x:c>
      <x:c r="E121" s="214" t="str">
        <x:v>V1.0</x:v>
      </x:c>
      <x:c r="F121" s="214" t="str">
        <x:v>十神名称不得直接等同现实人物或事件</x:v>
      </x:c>
      <x:c r="G121" s="214" t="str">
        <x:v>结构层</x:v>
      </x:c>
      <x:c r="H121" s="214" t="str">
        <x:v>正财</x:v>
      </x:c>
      <x:c r="I121" s="214" t="str">
        <x:v>待定</x:v>
      </x:c>
      <x:c r="J121" s="214" t="str">
        <x:v>待定</x:v>
      </x:c>
      <x:c r="K121" s="214" t="str">
        <x:v>待定</x:v>
      </x:c>
      <x:c r="L121" s="214" t="str">
        <x:v>待定</x:v>
      </x:c>
      <x:c r="M121" s="214" t="str">
        <x:v>按M08核查</x:v>
      </x:c>
      <x:c r="N121" s="214" t="str">
        <x:v>按M06/M08核查</x:v>
      </x:c>
      <x:c r="O121" s="214" t="str">
        <x:v>待定</x:v>
      </x:c>
      <x:c r="P121" s="214" t="str">
        <x:v>转M11/M14判断</x:v>
      </x:c>
      <x:c r="Q121" s="214" t="str">
        <x:v>需结合M09日主承载判断</x:v>
      </x:c>
      <x:c r="R121" s="214" t="str">
        <x:v>待定</x:v>
      </x:c>
      <x:c r="S121" s="214" t="str">
        <x:v>任何十神完成存在与功能判断后</x:v>
      </x:c>
      <x:c r="T121" s="214" t="str">
        <x:v>M02十神映射、M08五行有效旺衰、M09日主旺衰已完成</x:v>
      </x:c>
      <x:c r="U121" s="214" t="str">
        <x:v>相关十神已由M02正确映射，并以M08有效力量为准</x:v>
      </x:c>
      <x:c r="V121" s="214" t="str">
        <x:v>得令、有根、透干、同党或生源形成独立有效证据</x:v>
      </x:c>
      <x:c r="W121" s="214" t="str">
        <x:v>失令、无根、被合绊、被制、改性或作用路径受阻</x:v>
      </x:c>
      <x:c r="X121" s="214" t="str">
        <x:v>不得以十神名称、数量或单一旺弱证据直接完成定性</x:v>
      </x:c>
      <x:c r="Y121" s="214" t="str">
        <x:v>特殊格局、从化候选及明确组合转M11/M14另审</x:v>
      </x:c>
      <x:c r="Z121" s="214" t="str">
        <x:v>不得把正财直接等同妻子、正官直接等同丈夫、印直接等同母亲并据此断具体事件</x:v>
      </x:c>
      <x:c r="AA121" s="214" t="str">
        <x:v>十神象义边界</x:v>
      </x:c>
      <x:c r="AB121" s="214" t="str">
        <x:v>十神名称不得直接等同现实人物或事件：当“任何十神完成存在与功能判断后”成立时，按本规则记录十神的有效功能；同时保留制化、承载和反向证据。</x:v>
      </x:c>
      <x:c r="AC121" s="214" t="str">
        <x:v>较高</x:v>
      </x:c>
      <x:c r="AD121" s="214" t="str">
        <x:v>现代综合</x:v>
      </x:c>
      <x:c r="AE121" s="214" t="str">
        <x:v>十神必须分开判断存在性、力量、清纯度、功能性与喜忌性；M10只形成结构层结论和候选，不越级替代M11—M18。</x:v>
      </x:c>
      <x:c r="AF121" s="214" t="str">
        <x:v>相关条件真实成立，且增强条件有效时，可按“十神名称不得直接等同现实人物或事件”记录对应功能。</x:v>
      </x:c>
      <x:c r="AG121" s="214" t="str">
        <x:v>仅见表面十神名称或数量，但“不得以十神名称、数量或单一旺弱证据直接完成定性”所述限制存在时，不得套用本规则。</x:v>
      </x:c>
      <x:c r="AH121" s="214" t="str">
        <x:v>https://zh.wikisource.org/wiki/%E6%B8%8A%E6%B5%B7%E5%AD%90%E5%B9%B3%E5%A4%A7%E5%85%A8 ; https://zh.wikisource.org/wiki/%E6%BB%B4%E5%A4%A9%E9%AB%93%E9%97%A1%E5%BE%AE</x:v>
      </x:c>
      <x:c r="AI121" s="214" t="str">
        <x:v>采用</x:v>
      </x:c>
      <x:c r="AJ121" s="214" t="str">
        <x:v>初审</x:v>
      </x:c>
      <x:c r="AK121" s="217" t="n">
        <x:v>46255</x:v>
      </x:c>
    </x:row>
    <x:row r="122">
      <x:c r="A122" s="214" t="str">
        <x:f>IF(OR(C122="",D122=""),"",B122&amp;"-"&amp;UPPER(C122)&amp;"-"&amp;TEXT(D122,"0000")&amp;"-"&amp;E122)</x:f>
        <x:v>M10-BOUND-0116-V1.0</x:v>
      </x:c>
      <x:c r="B122" s="214" t="str">
        <x:v>M10</x:v>
      </x:c>
      <x:c r="C122" s="214" t="str">
        <x:v>BOUND</x:v>
      </x:c>
      <x:c r="D122" s="216" t="n">
        <x:v>116</x:v>
      </x:c>
      <x:c r="E122" s="214" t="str">
        <x:v>V1.0</x:v>
      </x:c>
      <x:c r="F122" s="214" t="str">
        <x:v>十神旺弱不得直接等同吉凶</x:v>
      </x:c>
      <x:c r="G122" s="214" t="str">
        <x:v>结构层</x:v>
      </x:c>
      <x:c r="H122" s="214" t="str">
        <x:v>七杀</x:v>
      </x:c>
      <x:c r="I122" s="214" t="str">
        <x:v>待定</x:v>
      </x:c>
      <x:c r="J122" s="214" t="str">
        <x:v>待定</x:v>
      </x:c>
      <x:c r="K122" s="214" t="str">
        <x:v>待定</x:v>
      </x:c>
      <x:c r="L122" s="214" t="str">
        <x:v>待定</x:v>
      </x:c>
      <x:c r="M122" s="214" t="str">
        <x:v>按M08核查</x:v>
      </x:c>
      <x:c r="N122" s="214" t="str">
        <x:v>按M06/M08核查</x:v>
      </x:c>
      <x:c r="O122" s="214" t="str">
        <x:v>待定</x:v>
      </x:c>
      <x:c r="P122" s="214" t="str">
        <x:v>转M11/M14判断</x:v>
      </x:c>
      <x:c r="Q122" s="214" t="str">
        <x:v>需结合M09日主承载判断</x:v>
      </x:c>
      <x:c r="R122" s="214" t="str">
        <x:v>待定</x:v>
      </x:c>
      <x:c r="S122" s="214" t="str">
        <x:v>任何十神有效旺衰已经确定</x:v>
      </x:c>
      <x:c r="T122" s="214" t="str">
        <x:v>M02十神映射、M08五行有效旺衰、M09日主旺衰已完成</x:v>
      </x:c>
      <x:c r="U122" s="214" t="str">
        <x:v>相关十神已由M02正确映射，并以M08有效力量为准</x:v>
      </x:c>
      <x:c r="V122" s="214" t="str">
        <x:v>得令、有根、透干、同党或生源形成独立有效证据</x:v>
      </x:c>
      <x:c r="W122" s="214" t="str">
        <x:v>失令、无根、被合绊、被制、改性或作用路径受阻</x:v>
      </x:c>
      <x:c r="X122" s="214" t="str">
        <x:v>不得以十神名称、数量或单一旺弱证据直接完成定性</x:v>
      </x:c>
      <x:c r="Y122" s="214" t="str">
        <x:v>特殊格局、从化候选及明确组合转M11/M14另审</x:v>
      </x:c>
      <x:c r="Z122" s="214" t="str">
        <x:v>不得以旺为凶或以弱为吉；喜忌取决于全局需要、制化和承载</x:v>
      </x:c>
      <x:c r="AA122" s="214" t="str">
        <x:v>十神旺衰吉凶分离</x:v>
      </x:c>
      <x:c r="AB122" s="214" t="str">
        <x:v>十神旺弱不得直接等同吉凶：当“任何十神有效旺衰已经确定”成立时，按本规则记录十神的有效功能；同时保留制化、承载和反向证据。</x:v>
      </x:c>
      <x:c r="AC122" s="214" t="str">
        <x:v>较高</x:v>
      </x:c>
      <x:c r="AD122" s="214" t="str">
        <x:v>现代综合</x:v>
      </x:c>
      <x:c r="AE122" s="214" t="str">
        <x:v>十神必须分开判断存在性、力量、清纯度、功能性与喜忌性；M10只形成结构层结论和候选，不越级替代M11—M18。</x:v>
      </x:c>
      <x:c r="AF122" s="214" t="str">
        <x:v>相关条件真实成立，且增强条件有效时，可按“十神旺弱不得直接等同吉凶”记录对应功能。</x:v>
      </x:c>
      <x:c r="AG122" s="214" t="str">
        <x:v>仅见表面十神名称或数量，但“不得以十神名称、数量或单一旺弱证据直接完成定性”所述限制存在时，不得套用本规则。</x:v>
      </x:c>
      <x:c r="AH122" s="214" t="str">
        <x:v>https://zh.wikisource.org/wiki/%E6%B8%8A%E6%B5%B7%E5%AD%90%E5%B9%B3%E5%A4%A7%E5%85%A8 ; https://zh.wikisource.org/wiki/%E6%BB%B4%E5%A4%A9%E9%AB%93%E9%97%A1%E5%BE%AE</x:v>
      </x:c>
      <x:c r="AI122" s="214" t="str">
        <x:v>采用</x:v>
      </x:c>
      <x:c r="AJ122" s="214" t="str">
        <x:v>初审</x:v>
      </x:c>
      <x:c r="AK122" s="217" t="n">
        <x:v>46255</x:v>
      </x:c>
    </x:row>
    <x:row r="123">
      <x:c r="A123" s="214" t="str">
        <x:f>IF(OR(C123="",D123=""),"",B123&amp;"-"&amp;UPPER(C123)&amp;"-"&amp;TEXT(D123,"0000")&amp;"-"&amp;E123)</x:f>
        <x:v>M10-BOUND-0117-V1.0</x:v>
      </x:c>
      <x:c r="B123" s="214" t="str">
        <x:v>M10</x:v>
      </x:c>
      <x:c r="C123" s="214" t="str">
        <x:v>BOUND</x:v>
      </x:c>
      <x:c r="D123" s="216" t="n">
        <x:v>117</x:v>
      </x:c>
      <x:c r="E123" s="214" t="str">
        <x:v>V1.0</x:v>
      </x:c>
      <x:c r="F123" s="214" t="str">
        <x:v>单一十神不得越级推出性格定论</x:v>
      </x:c>
      <x:c r="G123" s="214" t="str">
        <x:v>结构层</x:v>
      </x:c>
      <x:c r="H123" s="214" t="str">
        <x:v>伤官</x:v>
      </x:c>
      <x:c r="I123" s="214" t="str">
        <x:v>待定</x:v>
      </x:c>
      <x:c r="J123" s="214" t="str">
        <x:v>待定</x:v>
      </x:c>
      <x:c r="K123" s="214" t="str">
        <x:v>待定</x:v>
      </x:c>
      <x:c r="L123" s="214" t="str">
        <x:v>待定</x:v>
      </x:c>
      <x:c r="M123" s="214" t="str">
        <x:v>按M08核查</x:v>
      </x:c>
      <x:c r="N123" s="214" t="str">
        <x:v>按M06/M08核查</x:v>
      </x:c>
      <x:c r="O123" s="214" t="str">
        <x:v>待定</x:v>
      </x:c>
      <x:c r="P123" s="214" t="str">
        <x:v>转M11/M14判断</x:v>
      </x:c>
      <x:c r="Q123" s="214" t="str">
        <x:v>需结合M09日主承载判断</x:v>
      </x:c>
      <x:c r="R123" s="214" t="str">
        <x:v>待定</x:v>
      </x:c>
      <x:c r="S123" s="214" t="str">
        <x:v>伤官等十神有效存在</x:v>
      </x:c>
      <x:c r="T123" s="214" t="str">
        <x:v>M02十神映射、M08五行有效旺衰、M09日主旺衰已完成</x:v>
      </x:c>
      <x:c r="U123" s="214" t="str">
        <x:v>相关十神已由M02正确映射，并以M08有效力量为准</x:v>
      </x:c>
      <x:c r="V123" s="214" t="str">
        <x:v>得令、有根、透干、同党或生源形成独立有效证据</x:v>
      </x:c>
      <x:c r="W123" s="214" t="str">
        <x:v>失令、无根、被合绊、被制、改性或作用路径受阻</x:v>
      </x:c>
      <x:c r="X123" s="214" t="str">
        <x:v>不得以十神名称、数量或单一旺弱证据直接完成定性</x:v>
      </x:c>
      <x:c r="Y123" s="214" t="str">
        <x:v>特殊格局、从化候选及明确组合转M11/M14另审</x:v>
      </x:c>
      <x:c r="Z123" s="214" t="str">
        <x:v>不得仅凭一个十神就固定描述人格、职业或关系模式</x:v>
      </x:c>
      <x:c r="AA123" s="214" t="str">
        <x:v>十神性格边界</x:v>
      </x:c>
      <x:c r="AB123" s="214" t="str">
        <x:v>单一十神不得越级推出性格定论：当“伤官等十神有效存在”成立时，按本规则记录十神的有效功能；同时保留制化、承载和反向证据。</x:v>
      </x:c>
      <x:c r="AC123" s="214" t="str">
        <x:v>较高</x:v>
      </x:c>
      <x:c r="AD123" s="214" t="str">
        <x:v>现代综合</x:v>
      </x:c>
      <x:c r="AE123" s="214" t="str">
        <x:v>十神必须分开判断存在性、力量、清纯度、功能性与喜忌性；M10只形成结构层结论和候选，不越级替代M11—M18。</x:v>
      </x:c>
      <x:c r="AF123" s="214" t="str">
        <x:v>相关条件真实成立，且增强条件有效时，可按“单一十神不得越级推出性格定论”记录对应功能。</x:v>
      </x:c>
      <x:c r="AG123" s="214" t="str">
        <x:v>仅见表面十神名称或数量，但“不得以十神名称、数量或单一旺弱证据直接完成定性”所述限制存在时，不得套用本规则。</x:v>
      </x:c>
      <x:c r="AH123" s="214" t="str">
        <x:v>https://zh.wikisource.org/wiki/%E6%B8%8A%E6%B5%B7%E5%AD%90%E5%B9%B3%E5%A4%A7%E5%85%A8 ; https://zh.wikisource.org/wiki/%E6%BB%B4%E5%A4%A9%E9%AB%93%E9%97%A1%E5%BE%AE</x:v>
      </x:c>
      <x:c r="AI123" s="214" t="str">
        <x:v>采用</x:v>
      </x:c>
      <x:c r="AJ123" s="214" t="str">
        <x:v>初审</x:v>
      </x:c>
      <x:c r="AK123" s="217" t="n">
        <x:v>46255</x:v>
      </x:c>
    </x:row>
    <x:row r="124">
      <x:c r="A124" s="214" t="str">
        <x:f>IF(OR(C124="",D124=""),"",B124&amp;"-"&amp;UPPER(C124)&amp;"-"&amp;TEXT(D124,"0000")&amp;"-"&amp;E124)</x:f>
        <x:v>M10-BOUND-0118-V1.0</x:v>
      </x:c>
      <x:c r="B124" s="214" t="str">
        <x:v>M10</x:v>
      </x:c>
      <x:c r="C124" s="214" t="str">
        <x:v>BOUND</x:v>
      </x:c>
      <x:c r="D124" s="216" t="n">
        <x:v>118</x:v>
      </x:c>
      <x:c r="E124" s="214" t="str">
        <x:v>V1.0</x:v>
      </x:c>
      <x:c r="F124" s="214" t="str">
        <x:v>原局静态十神不得越级替代岁运判断</x:v>
      </x:c>
      <x:c r="G124" s="214" t="str">
        <x:v>结构层</x:v>
      </x:c>
      <x:c r="H124" s="214" t="str">
        <x:v>正印</x:v>
      </x:c>
      <x:c r="I124" s="214" t="str">
        <x:v>待定</x:v>
      </x:c>
      <x:c r="J124" s="214" t="str">
        <x:v>待定</x:v>
      </x:c>
      <x:c r="K124" s="214" t="str">
        <x:v>待定</x:v>
      </x:c>
      <x:c r="L124" s="214" t="str">
        <x:v>待定</x:v>
      </x:c>
      <x:c r="M124" s="214" t="str">
        <x:v>按M08核查</x:v>
      </x:c>
      <x:c r="N124" s="214" t="str">
        <x:v>按M06/M08核查</x:v>
      </x:c>
      <x:c r="O124" s="214" t="str">
        <x:v>待定</x:v>
      </x:c>
      <x:c r="P124" s="214" t="str">
        <x:v>转M11/M14判断</x:v>
      </x:c>
      <x:c r="Q124" s="214" t="str">
        <x:v>需结合M09日主承载判断</x:v>
      </x:c>
      <x:c r="R124" s="214" t="str">
        <x:v>待定</x:v>
      </x:c>
      <x:c r="S124" s="214" t="str">
        <x:v>M10完成原局十神结构</x:v>
      </x:c>
      <x:c r="T124" s="214" t="str">
        <x:v>M02十神映射、M08五行有效旺衰、M09日主旺衰已完成</x:v>
      </x:c>
      <x:c r="U124" s="214" t="str">
        <x:v>相关十神已由M02正确映射，并以M08有效力量为准</x:v>
      </x:c>
      <x:c r="V124" s="214" t="str">
        <x:v>得令、有根、透干、同党或生源形成独立有效证据</x:v>
      </x:c>
      <x:c r="W124" s="214" t="str">
        <x:v>失令、无根、被合绊、被制、改性或作用路径受阻</x:v>
      </x:c>
      <x:c r="X124" s="214" t="str">
        <x:v>不得以十神名称、数量或单一旺弱证据直接完成定性</x:v>
      </x:c>
      <x:c r="Y124" s="214" t="str">
        <x:v>特殊格局、从化候选及明确组合转M11/M14另审</x:v>
      </x:c>
      <x:c r="Z124" s="214" t="str">
        <x:v>不得在M10直接给出某年某月事件或把岁运补入原局</x:v>
      </x:c>
      <x:c r="AA124" s="214" t="str">
        <x:v>十神静动态分离</x:v>
      </x:c>
      <x:c r="AB124" s="214" t="str">
        <x:v>原局静态十神不得越级替代岁运判断：当“M10完成原局十神结构”成立时，按本规则记录十神的有效功能；同时保留制化、承载和反向证据。</x:v>
      </x:c>
      <x:c r="AC124" s="214" t="str">
        <x:v>较高</x:v>
      </x:c>
      <x:c r="AD124" s="214" t="str">
        <x:v>现代综合</x:v>
      </x:c>
      <x:c r="AE124" s="214" t="str">
        <x:v>十神必须分开判断存在性、力量、清纯度、功能性与喜忌性；M10只形成结构层结论和候选，不越级替代M11—M18。</x:v>
      </x:c>
      <x:c r="AF124" s="214" t="str">
        <x:v>相关条件真实成立，且增强条件有效时，可按“原局静态十神不得越级替代岁运判断”记录对应功能。</x:v>
      </x:c>
      <x:c r="AG124" s="214" t="str">
        <x:v>仅见表面十神名称或数量，但“不得以十神名称、数量或单一旺弱证据直接完成定性”所述限制存在时，不得套用本规则。</x:v>
      </x:c>
      <x:c r="AH124" s="214" t="str">
        <x:v>https://zh.wikisource.org/wiki/%E6%B8%8A%E6%B5%B7%E5%AD%90%E5%B9%B3%E5%A4%A7%E5%85%A8 ; https://zh.wikisource.org/wiki/%E6%BB%B4%E5%A4%A9%E9%AB%93%E9%97%A1%E5%BE%AE</x:v>
      </x:c>
      <x:c r="AI124" s="214" t="str">
        <x:v>采用</x:v>
      </x:c>
      <x:c r="AJ124" s="214" t="str">
        <x:v>初审</x:v>
      </x:c>
      <x:c r="AK124" s="217" t="n">
        <x:v>46255</x:v>
      </x:c>
    </x:row>
    <x:row r="125">
      <x:c r="A125" s="214" t="str">
        <x:f>IF(OR(C125="",D125=""),"",B125&amp;"-"&amp;UPPER(C125)&amp;"-"&amp;TEXT(D125,"0000")&amp;"-"&amp;E125)</x:f>
        <x:v>M10-BOUND-0119-V1.0</x:v>
      </x:c>
      <x:c r="B125" s="214" t="str">
        <x:v>M10</x:v>
      </x:c>
      <x:c r="C125" s="214" t="str">
        <x:v>BOUND</x:v>
      </x:c>
      <x:c r="D125" s="216" t="n">
        <x:v>119</x:v>
      </x:c>
      <x:c r="E125" s="214" t="str">
        <x:v>V1.0</x:v>
      </x:c>
      <x:c r="F125" s="214" t="str">
        <x:v>不同流派对十神象义扩展应进入M21治理</x:v>
      </x:c>
      <x:c r="G125" s="214" t="str">
        <x:v>结构层</x:v>
      </x:c>
      <x:c r="H125" s="214" t="str">
        <x:v>偏财</x:v>
      </x:c>
      <x:c r="I125" s="214" t="str">
        <x:v>待定</x:v>
      </x:c>
      <x:c r="J125" s="214" t="str">
        <x:v>待定</x:v>
      </x:c>
      <x:c r="K125" s="214" t="str">
        <x:v>待定</x:v>
      </x:c>
      <x:c r="L125" s="214" t="str">
        <x:v>待定</x:v>
      </x:c>
      <x:c r="M125" s="214" t="str">
        <x:v>按M08核查</x:v>
      </x:c>
      <x:c r="N125" s="214" t="str">
        <x:v>按M06/M08核查</x:v>
      </x:c>
      <x:c r="O125" s="214" t="str">
        <x:v>待定</x:v>
      </x:c>
      <x:c r="P125" s="214" t="str">
        <x:v>转M11/M14判断</x:v>
      </x:c>
      <x:c r="Q125" s="214" t="str">
        <x:v>需结合M09日主承载判断</x:v>
      </x:c>
      <x:c r="R125" s="214" t="str">
        <x:v>待定</x:v>
      </x:c>
      <x:c r="S125" s="214" t="str">
        <x:v>某条十神象义或权重存在明显流派差异</x:v>
      </x:c>
      <x:c r="T125" s="214" t="str">
        <x:v>M02十神映射、M08五行有效旺衰、M09日主旺衰已完成</x:v>
      </x:c>
      <x:c r="U125" s="214" t="str">
        <x:v>相关十神已由M02正确映射，并以M08有效力量为准</x:v>
      </x:c>
      <x:c r="V125" s="214" t="str">
        <x:v>得令、有根、透干、同党或生源形成独立有效证据</x:v>
      </x:c>
      <x:c r="W125" s="214" t="str">
        <x:v>失令、无根、被合绊、被制、改性或作用路径受阻</x:v>
      </x:c>
      <x:c r="X125" s="214" t="str">
        <x:v>不得以十神名称、数量或单一旺弱证据直接完成定性</x:v>
      </x:c>
      <x:c r="Y125" s="214" t="str">
        <x:v>将争议观点、采用理由和反证登记M21后再决定是否采用</x:v>
      </x:c>
      <x:c r="Z125" s="214" t="str">
        <x:v>不得直接推出吉凶、具体事件、亲属结果或最终喜忌</x:v>
      </x:c>
      <x:c r="AA125" s="214" t="str">
        <x:v>十神争议治理</x:v>
      </x:c>
      <x:c r="AB125" s="214" t="str">
        <x:v>不同流派对十神象义扩展应进入M21治理：当“某条十神象义或权重存在明显流派差异”成立时，按本规则记录十神的有效功能；同时保留制化、承载和反向证据。</x:v>
      </x:c>
      <x:c r="AC125" s="214" t="str">
        <x:v>中等</x:v>
      </x:c>
      <x:c r="AD125" s="214" t="str">
        <x:v>现代综合</x:v>
      </x:c>
      <x:c r="AE125" s="214" t="str">
        <x:v>十神必须分开判断存在性、力量、清纯度、功能性与喜忌性；M10只形成结构层结论和候选，不越级替代M11—M18。</x:v>
      </x:c>
      <x:c r="AF125" s="214" t="str">
        <x:v>相关条件真实成立，且增强条件有效时，可按“不同流派对十神象义扩展应进入M21治理”记录对应功能。</x:v>
      </x:c>
      <x:c r="AG125" s="214" t="str">
        <x:v>仅见表面十神名称或数量，但“不得以十神名称、数量或单一旺弱证据直接完成定性”所述限制存在时，不得套用本规则。</x:v>
      </x:c>
      <x:c r="AH125" s="214" t="str">
        <x:v>https://zh.wikisource.org/wiki/%E6%B8%8A%E6%B5%B7%E5%AD%90%E5%B9%B3%E5%A4%A7%E5%85%A8 ; https://zh.wikisource.org/wiki/%E6%BB%B4%E5%A4%A9%E9%AB%93%E9%97%A1%E5%BE%AE</x:v>
      </x:c>
      <x:c r="AI125" s="214" t="str">
        <x:v>待验证</x:v>
      </x:c>
      <x:c r="AJ125" s="214" t="str">
        <x:v>初审</x:v>
      </x:c>
      <x:c r="AK125" s="217" t="n">
        <x:v>46255</x:v>
      </x:c>
    </x:row>
    <x:row r="126">
      <x:c r="A126" s="214" t="str">
        <x:f>IF(OR(C126="",D126=""),"",B126&amp;"-"&amp;UPPER(C126)&amp;"-"&amp;TEXT(D126,"0000")&amp;"-"&amp;E126)</x:f>
        <x:v>M10-BOUND-0120-V1.0</x:v>
      </x:c>
      <x:c r="B126" s="214" t="str">
        <x:v>M10</x:v>
      </x:c>
      <x:c r="C126" s="214" t="str">
        <x:v>BOUND</x:v>
      </x:c>
      <x:c r="D126" s="216" t="n">
        <x:v>120</x:v>
      </x:c>
      <x:c r="E126" s="214" t="str">
        <x:v>V1.0</x:v>
      </x:c>
      <x:c r="F126" s="214" t="str">
        <x:v>M10最终输出必须保留正反证据与置信度</x:v>
      </x:c>
      <x:c r="G126" s="214" t="str">
        <x:v>结构层</x:v>
      </x:c>
      <x:c r="H126" s="214" t="str">
        <x:v>正官</x:v>
      </x:c>
      <x:c r="I126" s="214" t="str">
        <x:v>待定</x:v>
      </x:c>
      <x:c r="J126" s="214" t="str">
        <x:v>待定</x:v>
      </x:c>
      <x:c r="K126" s="214" t="str">
        <x:v>待定</x:v>
      </x:c>
      <x:c r="L126" s="214" t="str">
        <x:v>待定</x:v>
      </x:c>
      <x:c r="M126" s="214" t="str">
        <x:v>按M08核查</x:v>
      </x:c>
      <x:c r="N126" s="214" t="str">
        <x:v>按M06/M08核查</x:v>
      </x:c>
      <x:c r="O126" s="214" t="str">
        <x:v>待定</x:v>
      </x:c>
      <x:c r="P126" s="214" t="str">
        <x:v>转M11/M14判断</x:v>
      </x:c>
      <x:c r="Q126" s="214" t="str">
        <x:v>需结合M09日主承载判断</x:v>
      </x:c>
      <x:c r="R126" s="214" t="str">
        <x:v>待定</x:v>
      </x:c>
      <x:c r="S126" s="214" t="str">
        <x:v>十神存在、力量、清纯度和功能均已评估</x:v>
      </x:c>
      <x:c r="T126" s="214" t="str">
        <x:v>M02十神映射、M08五行有效旺衰、M09日主旺衰已完成</x:v>
      </x:c>
      <x:c r="U126" s="214" t="str">
        <x:v>相关十神已由M02正确映射，并以M08有效力量为准</x:v>
      </x:c>
      <x:c r="V126" s="214" t="str">
        <x:v>得令、有根、透干、同党或生源形成独立有效证据</x:v>
      </x:c>
      <x:c r="W126" s="214" t="str">
        <x:v>失令、无根、被合绊、被制、改性或作用路径受阻</x:v>
      </x:c>
      <x:c r="X126" s="214" t="str">
        <x:v>不得以十神名称、数量或单一旺弱证据直接完成定性</x:v>
      </x:c>
      <x:c r="Y126" s="214" t="str">
        <x:v>特殊格局、从化候选及明确组合转M11/M14另审</x:v>
      </x:c>
      <x:c r="Z126" s="214" t="str">
        <x:v>不得只写“官旺、财弱、印多”等无证据链结论</x:v>
      </x:c>
      <x:c r="AA126" s="214" t="str">
        <x:v>十神标准输出</x:v>
      </x:c>
      <x:c r="AB126" s="214" t="str">
        <x:v>每个十神至少输出：存在方式、有效旺衰、清纯度、主要生源、主要制约、功能状态、对日主作用、组合/格局接口、喜忌候选、反向证据与置信度。</x:v>
      </x:c>
      <x:c r="AC126" s="214" t="str">
        <x:v>较高</x:v>
      </x:c>
      <x:c r="AD126" s="214" t="str">
        <x:v>现代综合</x:v>
      </x:c>
      <x:c r="AE126" s="214" t="str">
        <x:v>十神必须分开判断存在性、力量、清纯度、功能性与喜忌性；M10只形成结构层结论和候选，不越级替代M11—M18。</x:v>
      </x:c>
      <x:c r="AF126" s="214" t="str">
        <x:v>相关条件真实成立，且增强条件有效时，可按“M10最终输出必须保留正反证据与置信度”记录对应功能。</x:v>
      </x:c>
      <x:c r="AG126" s="214" t="str">
        <x:v>仅见表面十神名称或数量，但“不得以十神名称、数量或单一旺弱证据直接完成定性”所述限制存在时，不得套用本规则。</x:v>
      </x:c>
      <x:c r="AH126" s="214" t="str">
        <x:v>https://zh.wikisource.org/wiki/%E6%B8%8A%E6%B5%B7%E5%AD%90%E5%B9%B3%E5%A4%A7%E5%85%A8 ; https://zh.wikisource.org/wiki/%E6%BB%B4%E5%A4%A9%E9%AB%93%E9%97%A1%E5%BE%AE</x:v>
      </x:c>
      <x:c r="AI126" s="214" t="str">
        <x:v>采用</x:v>
      </x:c>
      <x:c r="AJ126" s="214" t="str">
        <x:v>初审</x:v>
      </x:c>
      <x:c r="AK126" s="217" t="n">
        <x:v>46255</x:v>
      </x:c>
    </x:row>
  </x:sheetData>
  <x:mergeCells>
    <x:mergeCell ref="A1:O1"/>
    <x:mergeCell ref="A2:O2"/>
    <x:mergeCell ref="A3:O3"/>
    <x:mergeCell ref="A4:O4"/>
  </x:mergeCells>
  <x:conditionalFormatting sqref="A6:A105">
    <x:cfRule type="expression" dxfId="8" priority="1">
      <x:formula>AND(A6&lt;&gt;"",COUNTIF($A$6:$A$105,A6)&gt;1)</x:formula>
    </x:cfRule>
  </x:conditionalFormatting>
  <x:dataValidations count="27">
    <x:dataValidation type="list" sqref="E6:E105">
      <x:formula1>'99_下拉选项'!$BG$4:$BG$12</x:formula1>
    </x:dataValidation>
    <x:dataValidation type="list" sqref="G6:G105">
      <x:formula1>'99_下拉选项'!$F$4:$F$7</x:formula1>
    </x:dataValidation>
    <x:dataValidation type="list" sqref="H6:H105">
      <x:formula1>'99_下拉选项'!$Y$4:$Y$13</x:formula1>
    </x:dataValidation>
    <x:dataValidation type="list" sqref="I6:I105">
      <x:formula1>'99_下拉选项'!$Z$4:$Z$10</x:formula1>
    </x:dataValidation>
    <x:dataValidation type="list" sqref="J6:J105">
      <x:formula1>'99_下拉选项'!$U$4:$U$11</x:formula1>
    </x:dataValidation>
    <x:dataValidation type="list" sqref="K6:K105">
      <x:formula1>'99_下拉选项'!$U$4:$U$11</x:formula1>
    </x:dataValidation>
    <x:dataValidation type="list" sqref="L6:L105">
      <x:formula1>'99_下拉选项'!$AE$4:$AE$9</x:formula1>
    </x:dataValidation>
    <x:dataValidation type="list" sqref="O6:O105">
      <x:formula1>'99_下拉选项'!$AA$4:$AA$11</x:formula1>
    </x:dataValidation>
    <x:dataValidation type="list" sqref="R6:R105">
      <x:formula1>'99_下拉选项'!$AB$4:$AB$12</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 type="list" sqref="E6:E130">
      <x:formula1>'99_下拉选项'!$BG$4:$BG$14</x:formula1>
    </x:dataValidation>
    <x:dataValidation type="list" sqref="G7:G126">
      <x:formula1>'99_下拉选项'!$F$4:$F$7</x:formula1>
    </x:dataValidation>
    <x:dataValidation type="list" sqref="H7:H126">
      <x:formula1>'99_下拉选项'!$Y$4:$Y$13</x:formula1>
    </x:dataValidation>
    <x:dataValidation type="list" sqref="I7:I126">
      <x:formula1>'99_下拉选项'!$Z$4:$Z$10</x:formula1>
    </x:dataValidation>
    <x:dataValidation type="list" sqref="J7:J126">
      <x:formula1>'99_下拉选项'!$U$4:$U$11</x:formula1>
    </x:dataValidation>
    <x:dataValidation type="list" sqref="K7:K126">
      <x:formula1>'99_下拉选项'!$U$4:$U$11</x:formula1>
    </x:dataValidation>
    <x:dataValidation type="list" sqref="L7:L126">
      <x:formula1>'99_下拉选项'!$AE$4:$AE$9</x:formula1>
    </x:dataValidation>
    <x:dataValidation type="list" sqref="O7:O126">
      <x:formula1>'99_下拉选项'!$AA$4:$AA$11</x:formula1>
    </x:dataValidation>
    <x:dataValidation type="list" sqref="R7:R126">
      <x:formula1>'99_下拉选项'!$AB$4:$AB$12</x:formula1>
    </x:dataValidation>
    <x:dataValidation type="list" sqref="AC7:AC126">
      <x:formula1>'99_下拉选项'!$Q$4:$Q$8</x:formula1>
    </x:dataValidation>
    <x:dataValidation type="list" sqref="AD7:AD126">
      <x:formula1>'99_下拉选项'!$R$4:$R$11</x:formula1>
    </x:dataValidation>
    <x:dataValidation type="list" sqref="AI7:AI126">
      <x:formula1>'99_下拉选项'!$S$4:$S$9</x:formula1>
    </x:dataValidation>
    <x:dataValidation type="list" sqref="AJ7:AJ126">
      <x:formula1>'99_下拉选项'!$T$4:$T$8</x:formula1>
    </x:dataValidation>
    <x:dataValidation type="list" sqref="E7:E126">
      <x:formula1>'99_下拉选项'!$BG$4:$BG$19</x:formula1>
    </x:dataValidation>
  </x:dataValidations>
  <x:pageMargins left="0.7" right="0.7" top="0.75" bottom="0.75" header="0.3" footer="0.3"/>
  <x:tableParts count="1">
    <x:tablePart xmlns:r="http://schemas.openxmlformats.org/officeDocument/2006/relationships" r:id="Reed2e92f79114632"/>
  </x:tableParts>
</x:worksheet>
</file>

<file path=xl/worksheets/sheet1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16"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M11｜十神组合成立条件规则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建立食神制杀、伤官配印、官印相生、杀印相生等组合的必要条件、破坏条件、救应条件与成立等级。</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前置依赖：M08/M09/M10　｜　主要输出：十神组合成立等级、功能、破坏与救应　｜　直接下游：M14/M15/M16/M17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组合类别</x:v>
      </x:c>
      <x:c r="I5" s="61" t="str">
        <x:v>组合名称</x:v>
      </x:c>
      <x:c r="J5" s="61" t="str">
        <x:v>核心十神</x:v>
      </x:c>
      <x:c r="K5" s="61" t="str">
        <x:v>主体条件</x:v>
      </x:c>
      <x:c r="L5" s="61" t="str">
        <x:v>客体条件</x:v>
      </x:c>
      <x:c r="M5" s="61" t="str">
        <x:v>位置条件</x:v>
      </x:c>
      <x:c r="N5" s="61" t="str">
        <x:v>旺衰条件</x:v>
      </x:c>
      <x:c r="O5" s="61" t="str">
        <x:v>日主条件</x:v>
      </x:c>
      <x:c r="P5" s="61" t="str">
        <x:v>最低成立标准</x:v>
      </x:c>
      <x:c r="Q5" s="61" t="str">
        <x:v>增强条件</x:v>
      </x:c>
      <x:c r="R5" s="61" t="str">
        <x:v>破坏条件</x:v>
      </x:c>
      <x:c r="S5" s="61" t="str">
        <x:v>救应条件</x:v>
      </x:c>
      <x:c r="T5" s="61" t="str">
        <x:v>否决条件</x:v>
      </x:c>
      <x:c r="U5" s="61" t="str">
        <x:v>例外条件</x:v>
      </x:c>
      <x:c r="V5" s="61" t="str">
        <x:v>成立等级</x:v>
      </x:c>
      <x:c r="W5" s="61" t="str">
        <x:v>实际功能</x:v>
      </x:c>
      <x:c r="X5" s="61" t="str">
        <x:v>是否上升为格局</x:v>
      </x:c>
      <x:c r="Y5" s="61" t="str">
        <x:v>格局候选</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M11-DEMO-9999-V0.1</x:v>
      </x:c>
      <x:c r="B6" s="76" t="str">
        <x:v>M11</x:v>
      </x:c>
      <x:c r="C6" s="76" t="str">
        <x:v>DEMO</x:v>
      </x:c>
      <x:c r="D6" s="78" t="n">
        <x:v>9999</x:v>
      </x:c>
      <x:c r="E6" s="76" t="str">
        <x:v>V0.1</x:v>
      </x:c>
      <x:c r="F6" s="76" t="str">
        <x:v>食神制杀组合的最低成立标准</x:v>
      </x:c>
      <x:c r="G6" s="76" t="str">
        <x:v>结构层</x:v>
      </x:c>
      <x:c r="H6" s="76" t="str">
        <x:v>制化型</x:v>
      </x:c>
      <x:c r="I6" s="76" t="str">
        <x:v>食神制杀</x:v>
      </x:c>
      <x:c r="J6" s="76" t="str">
        <x:v>食神、七杀</x:v>
      </x:c>
      <x:c r="K6" s="76" t="str">
        <x:v>七杀真实有力并对日主形成压力</x:v>
      </x:c>
      <x:c r="L6" s="76" t="str">
        <x:v>食神有根有源，功能未失效</x:v>
      </x:c>
      <x:c r="M6" s="76" t="str">
        <x:v>存在直接或可达的制杀路径</x:v>
      </x:c>
      <x:c r="N6" s="76" t="str">
        <x:v>食神与七杀力量不能严重失衡</x:v>
      </x:c>
      <x:c r="O6" s="76" t="str">
        <x:v>日主不因食神泄身而失去基本承载</x:v>
      </x:c>
      <x:c r="P6" s="76" t="str">
        <x:v>杀有力、食有力、食可直接制杀，且无强枭夺食</x:v>
      </x:c>
      <x:c r="Q6" s="76" t="str">
        <x:v>食神清纯、得根、有比劫生食</x:v>
      </x:c>
      <x:c r="R6" s="76" t="str">
        <x:v>枭神强夺食、食神被合、制杀太过或杀弱无须制</x:v>
      </x:c>
      <x:c r="S6" s="76" t="str">
        <x:v>财可制枭护食，或其他结构恢复食神功能</x:v>
      </x:c>
      <x:c r="T6" s="76" t="str">
        <x:v>食神失效或与七杀无有效作用路径</x:v>
      </x:c>
      <x:c r="U6" s="76" t="str">
        <x:v>局部成立但不主导全局时，只标记弱成立</x:v>
      </x:c>
      <x:c r="V6" s="76" t="str">
        <x:v>基本成立</x:v>
      </x:c>
      <x:c r="W6" s="76" t="str">
        <x:v>制杀、缓解官杀压力</x:v>
      </x:c>
      <x:c r="X6" s="76" t="str">
        <x:v>条件性</x:v>
      </x:c>
      <x:c r="Y6" s="76" t="str">
        <x:v>食神制杀格候选</x:v>
      </x:c>
      <x:c r="Z6" s="76" t="str">
        <x:v>制化组合</x:v>
      </x:c>
      <x:c r="AA6" s="76" t="str">
        <x:v>食神制杀具备基本条件，但是否成为全局主结构，仍需比较制化比例与其他格局候选。</x:v>
      </x:c>
      <x:c r="AB6" s="76" t="str">
        <x:v>较高</x:v>
      </x:c>
      <x:c r="AC6" s="76" t="str">
        <x:v>子平格局</x:v>
      </x:c>
      <x:c r="AD6" s="76" t="str">
        <x:v>十神同时出现不等于组合成立，必须验证主体、客体、路径和比例。</x:v>
      </x:c>
      <x:c r="AE6" s="76" t="str">
        <x:v>杀旺、食神有根透出且无强枭夺食。</x:v>
      </x:c>
      <x:c r="AF6" s="76" t="str">
        <x:v>食神弱而被枭制，仅因食杀同现就判食神制杀。</x:v>
      </x:c>
      <x:c r="AG6" s="76" t="str">
        <x:v>示例，仅演示字段用法</x:v>
      </x:c>
      <x:c r="AH6" s="76" t="str">
        <x:v>示例</x:v>
      </x:c>
      <x:c r="AI6" s="76" t="str">
        <x:v>未审核</x:v>
      </x:c>
      <x:c r="AJ6" s="86" t="n">
        <x:v>46254</x:v>
      </x:c>
    </x:row>
    <x:row r="7">
      <x:c r="A7" s="72" t="str">
        <x:f>IF(OR(C7="",D7=""),"",B7&amp;"-"&amp;UPPER(C7)&amp;"-"&amp;TEXT(D7,"0000")&amp;"-"&amp;E7)</x:f>
        <x:v>M11-GEN-0001-V1.0</x:v>
      </x:c>
      <x:c r="B7" s="74" t="str">
        <x:v>M11</x:v>
      </x:c>
      <x:c r="C7" s="74" t="str">
        <x:v>GEN</x:v>
      </x:c>
      <x:c r="D7" s="215" t="n">
        <x:v>1</x:v>
      </x:c>
      <x:c r="E7" s="74" t="str">
        <x:v>V1.0</x:v>
      </x:c>
      <x:c r="F7" s="68" t="str">
        <x:v>组合必须先满足十神真实有效</x:v>
      </x:c>
      <x:c r="G7" s="82" t="str">
        <x:v>结构层</x:v>
      </x:c>
      <x:c r="H7" s="82" t="str">
        <x:v>其他</x:v>
      </x:c>
      <x:c r="I7" s="68" t="str">
        <x:v>十神组合通用判定</x:v>
      </x:c>
      <x:c r="J7" s="68" t="str">
        <x:v>多个相关十神</x:v>
      </x:c>
      <x:c r="K7" s="68" t="str">
        <x:v>M10已确认各核心十神不是名义存在而是具备有效功能</x:v>
      </x:c>
      <x:c r="L7" s="68" t="str">
        <x:v>所有参与十神的有效力量和功能状态可被调用</x:v>
      </x:c>
      <x:c r="M7" s="68" t="str">
        <x:v>直接或可达的生克制化路径成立</x:v>
      </x:c>
      <x:c r="N7" s="68" t="str">
        <x:v>相关十神均以M10有效力量为准，且不存在决定性失衡</x:v>
      </x:c>
      <x:c r="O7" s="68" t="str">
        <x:v>结合M09日主承载判断</x:v>
      </x:c>
      <x:c r="P7" s="68" t="str">
        <x:v>核心十神真实有效</x:v>
      </x:c>
      <x:c r="Q7" s="68" t="str">
        <x:v>相关十神有根、有源、透达、清纯且关键通路稳定</x:v>
      </x:c>
      <x:c r="R7" s="90" t="str">
        <x:v>关键十神被合绊、被制、改性、失效或力量严重失衡</x:v>
      </x:c>
      <x:c r="S7" s="68" t="str">
        <x:v>存在第三十神恢复通路、清除破坏或重新形成平衡</x:v>
      </x:c>
      <x:c r="T7" s="90" t="str">
        <x:v>任一核心十神失效，或不存在真实作用路径</x:v>
      </x:c>
      <x:c r="U7" s="68" t="str">
        <x:v>特殊格局、从化或月令格局另转M14/M15复审</x:v>
      </x:c>
      <x:c r="V7" s="84" t="str">
        <x:v>弱成立</x:v>
      </x:c>
      <x:c r="W7" s="84" t="str">
        <x:v>形成局部生化、制化或承载结构</x:v>
      </x:c>
      <x:c r="X7" s="82" t="str">
        <x:v>否</x:v>
      </x:c>
      <x:c r="Y7" s="68" t="str">
        <x:v>待M14生成具体候选</x:v>
      </x:c>
      <x:c r="Z7" s="84" t="str">
        <x:v>组合成立前置</x:v>
      </x:c>
      <x:c r="AA7" s="84" t="str">
        <x:v>十神组合通用判定：当主体、客体、路径与力量匹配满足最低标准时，判“弱成立”；是否上升为格局转M14/M15。</x:v>
      </x:c>
      <x:c r="AB7" s="82" t="str">
        <x:v>较高</x:v>
      </x:c>
      <x:c r="AC7" s="82" t="str">
        <x:v>现代综合</x:v>
      </x:c>
      <x:c r="AD7" s="68" t="str">
        <x:v>十神同时出现不等于组合成立。M11须同时验证核心十神有效性、作用路径、力量匹配、日主承载、破坏因素与救应；组合成立也不等于格局成立。</x:v>
      </x:c>
      <x:c r="AE7" s="68" t="str">
        <x:v>M10已确认各核心十神不是名义存在而是具备有效功能；所有参与十神的有效力量和功能状态可被调用；作用路径稳定且无关键破坏，可按“十神组合通用判定”记录。</x:v>
      </x:c>
      <x:c r="AF7" s="90" t="str">
        <x:v>仅因“多个相关十神”同时出现，但核心十神无力、无作用路径或被关键因素破坏，不能判“十神组合通用判定”成立。</x:v>
      </x:c>
      <x:c r="AG7" s="68" t="str">
        <x:v>https://zh.wikisource.org/zh-hans/%E6%B7%B5%E6%B5%B7%E5%AD%90%E5%B9%B3 ; https://zh.wikisource.org/wiki/%E6%BB%B4%E5%A4%A9%E9%AB%93%E9%97%A1%E5%BE%AE</x:v>
      </x:c>
      <x:c r="AH7" s="82" t="str">
        <x:v>采用</x:v>
      </x:c>
      <x:c r="AI7" s="82" t="str">
        <x:v>初审</x:v>
      </x:c>
      <x:c r="AJ7" s="87" t="n">
        <x:v>46255</x:v>
      </x:c>
    </x:row>
    <x:row r="8">
      <x:c r="A8" s="72" t="str">
        <x:f>IF(OR(C8="",D8=""),"",B8&amp;"-"&amp;UPPER(C8)&amp;"-"&amp;TEXT(D8,"0000")&amp;"-"&amp;E8)</x:f>
        <x:v>M11-GEN-0002-V1.0</x:v>
      </x:c>
      <x:c r="B8" s="74" t="str">
        <x:v>M11</x:v>
      </x:c>
      <x:c r="C8" s="74" t="str">
        <x:v>GEN</x:v>
      </x:c>
      <x:c r="D8" s="215" t="n">
        <x:v>2</x:v>
      </x:c>
      <x:c r="E8" s="74" t="str">
        <x:v>V1.0</x:v>
      </x:c>
      <x:c r="F8" s="68" t="str">
        <x:v>同时出现只生成组合候选</x:v>
      </x:c>
      <x:c r="G8" s="82" t="str">
        <x:v>结构层</x:v>
      </x:c>
      <x:c r="H8" s="82" t="str">
        <x:v>其他</x:v>
      </x:c>
      <x:c r="I8" s="68" t="str">
        <x:v>十神组合通用判定</x:v>
      </x:c>
      <x:c r="J8" s="68" t="str">
        <x:v>多个相关十神</x:v>
      </x:c>
      <x:c r="K8" s="68" t="str">
        <x:v>两个或多个相关十神在原局同时出现</x:v>
      </x:c>
      <x:c r="L8" s="68" t="str">
        <x:v>尚未验证生克制化路径与力量比例</x:v>
      </x:c>
      <x:c r="M8" s="68" t="str">
        <x:v>直接或可达的生克制化路径成立</x:v>
      </x:c>
      <x:c r="N8" s="68" t="str">
        <x:v>相关十神均以M10有效力量为准，且不存在决定性失衡</x:v>
      </x:c>
      <x:c r="O8" s="68" t="str">
        <x:v>结合M09日主承载判断</x:v>
      </x:c>
      <x:c r="P8" s="68" t="str">
        <x:v>只满足存在条件时仅列候选</x:v>
      </x:c>
      <x:c r="Q8" s="68" t="str">
        <x:v>相关十神有根、有源、透达、清纯且关键通路稳定</x:v>
      </x:c>
      <x:c r="R8" s="90" t="str">
        <x:v>关键十神被合绊、被制、改性、失效或力量严重失衡</x:v>
      </x:c>
      <x:c r="S8" s="68" t="str">
        <x:v>存在第三十神恢复通路、清除破坏或重新形成平衡</x:v>
      </x:c>
      <x:c r="T8" s="90" t="str">
        <x:v>任一核心十神失效，或不存在真实作用路径</x:v>
      </x:c>
      <x:c r="U8" s="68" t="str">
        <x:v>特殊格局、从化或月令格局另转M14/M15复审</x:v>
      </x:c>
      <x:c r="V8" s="84" t="str">
        <x:v>待定</x:v>
      </x:c>
      <x:c r="W8" s="84" t="str">
        <x:v>生成候选，不确认组合成立</x:v>
      </x:c>
      <x:c r="X8" s="82" t="str">
        <x:v>否</x:v>
      </x:c>
      <x:c r="Y8" s="68" t="str">
        <x:v>无</x:v>
      </x:c>
      <x:c r="Z8" s="84" t="str">
        <x:v>同现不等于成立</x:v>
      </x:c>
      <x:c r="AA8" s="84" t="str">
        <x:v>十神组合通用判定：当主体、客体、路径与力量匹配满足最低标准时，判“待定”；是否上升为格局转M14/M15。</x:v>
      </x:c>
      <x:c r="AB8" s="82" t="str">
        <x:v>较高</x:v>
      </x:c>
      <x:c r="AC8" s="82" t="str">
        <x:v>现代综合</x:v>
      </x:c>
      <x:c r="AD8" s="68" t="str">
        <x:v>十神同时出现不等于组合成立。M11须同时验证核心十神有效性、作用路径、力量匹配、日主承载、破坏因素与救应；组合成立也不等于格局成立。</x:v>
      </x:c>
      <x:c r="AE8" s="68" t="str">
        <x:v>两个或多个相关十神在原局同时出现；尚未验证生克制化路径与力量比例；作用路径稳定且无关键破坏，可按“十神组合通用判定”记录。</x:v>
      </x:c>
      <x:c r="AF8" s="90" t="str">
        <x:v>仅因“多个相关十神”同时出现，但核心十神无力、无作用路径或被关键因素破坏，不能判“十神组合通用判定”成立。</x:v>
      </x:c>
      <x:c r="AG8" s="68" t="str">
        <x:v>https://zh.wikisource.org/zh-hans/%E6%B7%B5%E6%B5%B7%E5%AD%90%E5%B9%B3 ; https://zh.wikisource.org/wiki/%E6%BB%B4%E5%A4%A9%E9%AB%93%E9%97%A1%E5%BE%AE</x:v>
      </x:c>
      <x:c r="AH8" s="82" t="str">
        <x:v>采用</x:v>
      </x:c>
      <x:c r="AI8" s="82" t="str">
        <x:v>初审</x:v>
      </x:c>
      <x:c r="AJ8" s="87" t="n">
        <x:v>46255</x:v>
      </x:c>
    </x:row>
    <x:row r="9">
      <x:c r="A9" s="72" t="str">
        <x:f>IF(OR(C9="",D9=""),"",B9&amp;"-"&amp;UPPER(C9)&amp;"-"&amp;TEXT(D9,"0000")&amp;"-"&amp;E9)</x:f>
        <x:v>M11-GEN-0003-V1.0</x:v>
      </x:c>
      <x:c r="B9" s="74" t="str">
        <x:v>M11</x:v>
      </x:c>
      <x:c r="C9" s="74" t="str">
        <x:v>GEN</x:v>
      </x:c>
      <x:c r="D9" s="215" t="n">
        <x:v>3</x:v>
      </x:c>
      <x:c r="E9" s="74" t="str">
        <x:v>V1.0</x:v>
      </x:c>
      <x:c r="F9" s="68" t="str">
        <x:v>作用路径是组合成立的必要条件</x:v>
      </x:c>
      <x:c r="G9" s="82" t="str">
        <x:v>结构层</x:v>
      </x:c>
      <x:c r="H9" s="82" t="str">
        <x:v>其他</x:v>
      </x:c>
      <x:c r="I9" s="68" t="str">
        <x:v>十神组合通用判定</x:v>
      </x:c>
      <x:c r="J9" s="68" t="str">
        <x:v>多个相关十神</x:v>
      </x:c>
      <x:c r="K9" s="68" t="str">
        <x:v>核心十神均有效</x:v>
      </x:c>
      <x:c r="L9" s="68" t="str">
        <x:v>两者之间存在直接或经一层桥梁可达的真实生克制化路径</x:v>
      </x:c>
      <x:c r="M9" s="68" t="str">
        <x:v>直接或可达的生克制化路径成立</x:v>
      </x:c>
      <x:c r="N9" s="68" t="str">
        <x:v>相关十神均以M10有效力量为准，且不存在决定性失衡</x:v>
      </x:c>
      <x:c r="O9" s="68" t="str">
        <x:v>结合M09日主承载判断</x:v>
      </x:c>
      <x:c r="P9" s="68" t="str">
        <x:v>核心十神有效＋作用路径成立</x:v>
      </x:c>
      <x:c r="Q9" s="68" t="str">
        <x:v>相关十神有根、有源、透达、清纯且关键通路稳定</x:v>
      </x:c>
      <x:c r="R9" s="90" t="str">
        <x:v>关键十神被合绊、被制、改性、失效或力量严重失衡</x:v>
      </x:c>
      <x:c r="S9" s="68" t="str">
        <x:v>存在第三十神恢复通路、清除破坏或重新形成平衡</x:v>
      </x:c>
      <x:c r="T9" s="90" t="str">
        <x:v>任一核心十神失效，或不存在真实作用路径</x:v>
      </x:c>
      <x:c r="U9" s="68" t="str">
        <x:v>特殊格局、从化或月令格局另转M14/M15复审</x:v>
      </x:c>
      <x:c r="V9" s="84" t="str">
        <x:v>基本成立</x:v>
      </x:c>
      <x:c r="W9" s="84" t="str">
        <x:v>形成局部生化、制化或承载结构</x:v>
      </x:c>
      <x:c r="X9" s="82" t="str">
        <x:v>否</x:v>
      </x:c>
      <x:c r="Y9" s="68" t="str">
        <x:v>对应格局候选转M14</x:v>
      </x:c>
      <x:c r="Z9" s="84" t="str">
        <x:v>组合路径必要性</x:v>
      </x:c>
      <x:c r="AA9" s="84" t="str">
        <x:v>十神组合通用判定：当主体、客体、路径与力量匹配满足最低标准时，判“基本成立”；是否上升为格局转M14/M15。</x:v>
      </x:c>
      <x:c r="AB9" s="82" t="str">
        <x:v>较高</x:v>
      </x:c>
      <x:c r="AC9" s="82" t="str">
        <x:v>现代综合</x:v>
      </x:c>
      <x:c r="AD9" s="68" t="str">
        <x:v>十神同时出现不等于组合成立。M11须同时验证核心十神有效性、作用路径、力量匹配、日主承载、破坏因素与救应；组合成立也不等于格局成立。</x:v>
      </x:c>
      <x:c r="AE9" s="68" t="str">
        <x:v>核心十神均有效；两者之间存在直接或经一层桥梁可达的真实生克制化路径；作用路径稳定且无关键破坏，可按“十神组合通用判定”记录。</x:v>
      </x:c>
      <x:c r="AF9" s="90" t="str">
        <x:v>仅因“多个相关十神”同时出现，但核心十神无力、无作用路径或被关键因素破坏，不能判“十神组合通用判定”成立。</x:v>
      </x:c>
      <x:c r="AG9" s="68" t="str">
        <x:v>https://zh.wikisource.org/zh-hans/%E6%B7%B5%E6%B5%B7%E5%AD%90%E5%B9%B3 ; https://zh.wikisource.org/wiki/%E6%BB%B4%E5%A4%A9%E9%AB%93%E9%97%A1%E5%BE%AE</x:v>
      </x:c>
      <x:c r="AH9" s="82" t="str">
        <x:v>采用</x:v>
      </x:c>
      <x:c r="AI9" s="82" t="str">
        <x:v>初审</x:v>
      </x:c>
      <x:c r="AJ9" s="87" t="n">
        <x:v>46255</x:v>
      </x:c>
    </x:row>
    <x:row r="10">
      <x:c r="A10" s="72" t="str">
        <x:f>IF(OR(C10="",D10=""),"",B10&amp;"-"&amp;UPPER(C10)&amp;"-"&amp;TEXT(D10,"0000")&amp;"-"&amp;E10)</x:f>
        <x:v>M11-GEN-0004-V1.0</x:v>
      </x:c>
      <x:c r="B10" s="74" t="str">
        <x:v>M11</x:v>
      </x:c>
      <x:c r="C10" s="74" t="str">
        <x:v>GEN</x:v>
      </x:c>
      <x:c r="D10" s="215" t="n">
        <x:v>4</x:v>
      </x:c>
      <x:c r="E10" s="74" t="str">
        <x:v>V1.0</x:v>
      </x:c>
      <x:c r="F10" s="68" t="str">
        <x:v>力量严重失衡时组合降级</x:v>
      </x:c>
      <x:c r="G10" s="82" t="str">
        <x:v>结构层</x:v>
      </x:c>
      <x:c r="H10" s="82" t="str">
        <x:v>其他</x:v>
      </x:c>
      <x:c r="I10" s="68" t="str">
        <x:v>十神组合通用判定</x:v>
      </x:c>
      <x:c r="J10" s="68" t="str">
        <x:v>多个相关十神</x:v>
      </x:c>
      <x:c r="K10" s="68" t="str">
        <x:v>主体明显强于客体或客体明显强于主体</x:v>
      </x:c>
      <x:c r="L10" s="68" t="str">
        <x:v>一方不足以承担预期生、制、化功能</x:v>
      </x:c>
      <x:c r="M10" s="68" t="str">
        <x:v>直接或可达的生克制化路径成立</x:v>
      </x:c>
      <x:c r="N10" s="68" t="str">
        <x:v>双方有效力量存在明显失衡</x:v>
      </x:c>
      <x:c r="O10" s="68" t="str">
        <x:v>结合M09日主承载判断</x:v>
      </x:c>
      <x:c r="P10" s="68" t="str">
        <x:v>仅可记录局部作用</x:v>
      </x:c>
      <x:c r="Q10" s="68" t="str">
        <x:v>相关十神有根、有源、透达、清纯且关键通路稳定</x:v>
      </x:c>
      <x:c r="R10" s="90" t="str">
        <x:v>关键十神被合绊、被制、改性、失效或力量严重失衡</x:v>
      </x:c>
      <x:c r="S10" s="68" t="str">
        <x:v>存在第三十神恢复通路、清除破坏或重新形成平衡</x:v>
      </x:c>
      <x:c r="T10" s="90" t="str">
        <x:v>任一核心十神失效，或不存在真实作用路径</x:v>
      </x:c>
      <x:c r="U10" s="68" t="str">
        <x:v>特殊格局、从化或月令格局另转M14/M15复审</x:v>
      </x:c>
      <x:c r="V10" s="84" t="str">
        <x:v>弱成立</x:v>
      </x:c>
      <x:c r="W10" s="84" t="str">
        <x:v>形成局部生化、制化或承载结构</x:v>
      </x:c>
      <x:c r="X10" s="82" t="str">
        <x:v>否</x:v>
      </x:c>
      <x:c r="Y10" s="68" t="str">
        <x:v>对应格局候选转M14</x:v>
      </x:c>
      <x:c r="Z10" s="84" t="str">
        <x:v>组合力量失衡</x:v>
      </x:c>
      <x:c r="AA10" s="84" t="str">
        <x:v>十神组合通用判定：当主体、客体、路径与力量匹配满足最低标准时，判“弱成立”；是否上升为格局转M14/M15。</x:v>
      </x:c>
      <x:c r="AB10" s="82" t="str">
        <x:v>较高</x:v>
      </x:c>
      <x:c r="AC10" s="82" t="str">
        <x:v>现代综合</x:v>
      </x:c>
      <x:c r="AD10" s="68" t="str">
        <x:v>十神同时出现不等于组合成立。M11须同时验证核心十神有效性、作用路径、力量匹配、日主承载、破坏因素与救应；组合成立也不等于格局成立。</x:v>
      </x:c>
      <x:c r="AE10" s="68" t="str">
        <x:v>主体明显强于客体或客体明显强于主体；一方不足以承担预期生、制、化功能；作用路径稳定且无关键破坏，可按“十神组合通用判定”记录。</x:v>
      </x:c>
      <x:c r="AF10" s="90" t="str">
        <x:v>仅因“多个相关十神”同时出现，但核心十神无力、无作用路径或被关键因素破坏，不能判“十神组合通用判定”成立。</x:v>
      </x:c>
      <x:c r="AG10" s="68" t="str">
        <x:v>https://zh.wikisource.org/zh-hans/%E6%B7%B5%E6%B5%B7%E5%AD%90%E5%B9%B3 ; https://zh.wikisource.org/wiki/%E6%BB%B4%E5%A4%A9%E9%AB%93%E9%97%A1%E5%BE%AE</x:v>
      </x:c>
      <x:c r="AH10" s="82" t="str">
        <x:v>采用</x:v>
      </x:c>
      <x:c r="AI10" s="82" t="str">
        <x:v>初审</x:v>
      </x:c>
      <x:c r="AJ10" s="87" t="n">
        <x:v>46255</x:v>
      </x:c>
    </x:row>
    <x:row r="11">
      <x:c r="A11" s="72" t="str">
        <x:f>IF(OR(C11="",D11=""),"",B11&amp;"-"&amp;UPPER(C11)&amp;"-"&amp;TEXT(D11,"0000")&amp;"-"&amp;E11)</x:f>
        <x:v>M11-GEN-0005-V1.0</x:v>
      </x:c>
      <x:c r="B11" s="74" t="str">
        <x:v>M11</x:v>
      </x:c>
      <x:c r="C11" s="74" t="str">
        <x:v>GEN</x:v>
      </x:c>
      <x:c r="D11" s="215" t="n">
        <x:v>5</x:v>
      </x:c>
      <x:c r="E11" s="74" t="str">
        <x:v>V1.0</x:v>
      </x:c>
      <x:c r="F11" s="68" t="str">
        <x:v>组合必须检查日主承载</x:v>
      </x:c>
      <x:c r="G11" s="82" t="str">
        <x:v>结构层</x:v>
      </x:c>
      <x:c r="H11" s="82" t="str">
        <x:v>其他</x:v>
      </x:c>
      <x:c r="I11" s="68" t="str">
        <x:v>十神组合通用判定</x:v>
      </x:c>
      <x:c r="J11" s="68" t="str">
        <x:v>多个相关十神</x:v>
      </x:c>
      <x:c r="K11" s="68" t="str">
        <x:v>组合本身路径成立</x:v>
      </x:c>
      <x:c r="L11" s="68" t="str">
        <x:v>组合的泄、耗、制、生最终会反馈日主</x:v>
      </x:c>
      <x:c r="M11" s="68" t="str">
        <x:v>直接或可达的生克制化路径成立</x:v>
      </x:c>
      <x:c r="N11" s="68" t="str">
        <x:v>相关十神均以M10有效力量为准，且不存在决定性失衡</x:v>
      </x:c>
      <x:c r="O11" s="68" t="str">
        <x:v>若日主无法承载组合运行成本，组合功能需降级</x:v>
      </x:c>
      <x:c r="P11" s="68" t="str">
        <x:v>主体、客体、作用路径与力量匹配均达到最低要求</x:v>
      </x:c>
      <x:c r="Q11" s="68" t="str">
        <x:v>相关十神有根、有源、透达、清纯且关键通路稳定</x:v>
      </x:c>
      <x:c r="R11" s="90" t="str">
        <x:v>关键十神被合绊、被制、改性、失效或力量严重失衡</x:v>
      </x:c>
      <x:c r="S11" s="68" t="str">
        <x:v>存在第三十神恢复通路、清除破坏或重新形成平衡</x:v>
      </x:c>
      <x:c r="T11" s="90" t="str">
        <x:v>任一核心十神失效，或不存在真实作用路径</x:v>
      </x:c>
      <x:c r="U11" s="68" t="str">
        <x:v>特殊格局、从化或月令格局另转M14/M15复审</x:v>
      </x:c>
      <x:c r="V11" s="84" t="str">
        <x:v>基本成立</x:v>
      </x:c>
      <x:c r="W11" s="84" t="str">
        <x:v>形成局部生化、制化或承载结构</x:v>
      </x:c>
      <x:c r="X11" s="82" t="str">
        <x:v>否</x:v>
      </x:c>
      <x:c r="Y11" s="68" t="str">
        <x:v>对应格局候选转M14</x:v>
      </x:c>
      <x:c r="Z11" s="84" t="str">
        <x:v>组合承载约束</x:v>
      </x:c>
      <x:c r="AA11" s="84" t="str">
        <x:v>十神组合通用判定：当主体、客体、路径与力量匹配满足最低标准时，判“基本成立”；是否上升为格局转M14/M15。</x:v>
      </x:c>
      <x:c r="AB11" s="82" t="str">
        <x:v>较高</x:v>
      </x:c>
      <x:c r="AC11" s="82" t="str">
        <x:v>现代综合</x:v>
      </x:c>
      <x:c r="AD11" s="68" t="str">
        <x:v>十神同时出现不等于组合成立。M11须同时验证核心十神有效性、作用路径、力量匹配、日主承载、破坏因素与救应；组合成立也不等于格局成立。</x:v>
      </x:c>
      <x:c r="AE11" s="68" t="str">
        <x:v>组合本身路径成立；组合的泄、耗、制、生最终会反馈日主；作用路径稳定且无关键破坏，可按“十神组合通用判定”记录。</x:v>
      </x:c>
      <x:c r="AF11" s="90" t="str">
        <x:v>仅因“多个相关十神”同时出现，但核心十神无力、无作用路径或被关键因素破坏，不能判“十神组合通用判定”成立。</x:v>
      </x:c>
      <x:c r="AG11" s="68" t="str">
        <x:v>https://zh.wikisource.org/zh-hans/%E6%B7%B5%E6%B5%B7%E5%AD%90%E5%B9%B3 ; https://zh.wikisource.org/wiki/%E6%BB%B4%E5%A4%A9%E9%AB%93%E9%97%A1%E5%BE%AE</x:v>
      </x:c>
      <x:c r="AH11" s="82" t="str">
        <x:v>采用</x:v>
      </x:c>
      <x:c r="AI11" s="82" t="str">
        <x:v>初审</x:v>
      </x:c>
      <x:c r="AJ11" s="87" t="n">
        <x:v>46255</x:v>
      </x:c>
    </x:row>
    <x:row r="12">
      <x:c r="A12" s="72" t="str">
        <x:f>IF(OR(C12="",D12=""),"",B12&amp;"-"&amp;UPPER(C12)&amp;"-"&amp;TEXT(D12,"0000")&amp;"-"&amp;E12)</x:f>
        <x:v>M11-GEN-0006-V1.0</x:v>
      </x:c>
      <x:c r="B12" s="74" t="str">
        <x:v>M11</x:v>
      </x:c>
      <x:c r="C12" s="74" t="str">
        <x:v>GEN</x:v>
      </x:c>
      <x:c r="D12" s="215" t="n">
        <x:v>6</x:v>
      </x:c>
      <x:c r="E12" s="74" t="str">
        <x:v>V1.0</x:v>
      </x:c>
      <x:c r="F12" s="68" t="str">
        <x:v>一神多职不得重复全额调用</x:v>
      </x:c>
      <x:c r="G12" s="82" t="str">
        <x:v>结构层</x:v>
      </x:c>
      <x:c r="H12" s="82" t="str">
        <x:v>其他</x:v>
      </x:c>
      <x:c r="I12" s="68" t="str">
        <x:v>十神组合通用判定</x:v>
      </x:c>
      <x:c r="J12" s="68" t="str">
        <x:v>多个相关十神</x:v>
      </x:c>
      <x:c r="K12" s="68" t="str">
        <x:v>同一十神节点同时参与两个以上组合</x:v>
      </x:c>
      <x:c r="L12" s="68" t="str">
        <x:v>其有效力量存在容量上限</x:v>
      </x:c>
      <x:c r="M12" s="68" t="str">
        <x:v>直接或可达的生克制化路径成立</x:v>
      </x:c>
      <x:c r="N12" s="68" t="str">
        <x:v>相关十神均以M10有效力量为准，且不存在决定性失衡</x:v>
      </x:c>
      <x:c r="O12" s="68" t="str">
        <x:v>结合M09日主承载判断</x:v>
      </x:c>
      <x:c r="P12" s="68" t="str">
        <x:v>各组合共享同一节点时必须做容量分配</x:v>
      </x:c>
      <x:c r="Q12" s="68" t="str">
        <x:v>相关十神有根、有源、透达、清纯且关键通路稳定</x:v>
      </x:c>
      <x:c r="R12" s="90" t="str">
        <x:v>关键十神被合绊、被制、改性、失效或力量严重失衡</x:v>
      </x:c>
      <x:c r="S12" s="68" t="str">
        <x:v>存在第三十神恢复通路、清除破坏或重新形成平衡</x:v>
      </x:c>
      <x:c r="T12" s="90" t="str">
        <x:v>任一核心十神失效，或不存在真实作用路径</x:v>
      </x:c>
      <x:c r="U12" s="68" t="str">
        <x:v>特殊格局、从化或月令格局另转M14/M15复审</x:v>
      </x:c>
      <x:c r="V12" s="84" t="str">
        <x:v>待定</x:v>
      </x:c>
      <x:c r="W12" s="84" t="str">
        <x:v>防止同一力量在多组合中重复计量</x:v>
      </x:c>
      <x:c r="X12" s="82" t="str">
        <x:v>否</x:v>
      </x:c>
      <x:c r="Y12" s="68" t="str">
        <x:v>对应格局候选转M14</x:v>
      </x:c>
      <x:c r="Z12" s="84" t="str">
        <x:v>组合容量去重</x:v>
      </x:c>
      <x:c r="AA12" s="84" t="str">
        <x:v>十神组合通用判定：当主体、客体、路径与力量匹配满足最低标准时，判“待定”；是否上升为格局转M14/M15。</x:v>
      </x:c>
      <x:c r="AB12" s="82" t="str">
        <x:v>较高</x:v>
      </x:c>
      <x:c r="AC12" s="82" t="str">
        <x:v>现代综合</x:v>
      </x:c>
      <x:c r="AD12" s="68" t="str">
        <x:v>十神同时出现不等于组合成立。M11须同时验证核心十神有效性、作用路径、力量匹配、日主承载、破坏因素与救应；组合成立也不等于格局成立。</x:v>
      </x:c>
      <x:c r="AE12" s="68" t="str">
        <x:v>同一十神节点同时参与两个以上组合；其有效力量存在容量上限；作用路径稳定且无关键破坏，可按“十神组合通用判定”记录。</x:v>
      </x:c>
      <x:c r="AF12" s="90" t="str">
        <x:v>仅因“多个相关十神”同时出现，但核心十神无力、无作用路径或被关键因素破坏，不能判“十神组合通用判定”成立。</x:v>
      </x:c>
      <x:c r="AG12" s="68" t="str">
        <x:v>https://zh.wikisource.org/zh-hans/%E6%B7%B5%E6%B5%B7%E5%AD%90%E5%B9%B3 ; https://zh.wikisource.org/wiki/%E6%BB%B4%E5%A4%A9%E9%AB%93%E9%97%A1%E5%BE%AE</x:v>
      </x:c>
      <x:c r="AH12" s="82" t="str">
        <x:v>采用</x:v>
      </x:c>
      <x:c r="AI12" s="82" t="str">
        <x:v>初审</x:v>
      </x:c>
      <x:c r="AJ12" s="87" t="n">
        <x:v>46255</x:v>
      </x:c>
    </x:row>
    <x:row r="13">
      <x:c r="A13" s="72" t="str">
        <x:f>IF(OR(C13="",D13=""),"",B13&amp;"-"&amp;UPPER(C13)&amp;"-"&amp;TEXT(D13,"0000")&amp;"-"&amp;E13)</x:f>
        <x:v>M11-GEN-0007-V1.0</x:v>
      </x:c>
      <x:c r="B13" s="74" t="str">
        <x:v>M11</x:v>
      </x:c>
      <x:c r="C13" s="74" t="str">
        <x:v>GEN</x:v>
      </x:c>
      <x:c r="D13" s="215" t="n">
        <x:v>7</x:v>
      </x:c>
      <x:c r="E13" s="74" t="str">
        <x:v>V1.0</x:v>
      </x:c>
      <x:c r="F13" s="68" t="str">
        <x:v>强破坏因素可否决表面组合</x:v>
      </x:c>
      <x:c r="G13" s="82" t="str">
        <x:v>结构层</x:v>
      </x:c>
      <x:c r="H13" s="82" t="str">
        <x:v>其他</x:v>
      </x:c>
      <x:c r="I13" s="68" t="str">
        <x:v>十神组合通用判定</x:v>
      </x:c>
      <x:c r="J13" s="68" t="str">
        <x:v>多个相关十神</x:v>
      </x:c>
      <x:c r="K13" s="68" t="str">
        <x:v>组合表面条件齐全</x:v>
      </x:c>
      <x:c r="L13" s="68" t="str">
        <x:v>关键主体或客体被M06/M08确认合化、合住、强制或失效</x:v>
      </x:c>
      <x:c r="M13" s="68" t="str">
        <x:v>直接或可达的生克制化路径成立</x:v>
      </x:c>
      <x:c r="N13" s="68" t="str">
        <x:v>相关十神均以M10有效力量为准，且不存在决定性失衡</x:v>
      </x:c>
      <x:c r="O13" s="68" t="str">
        <x:v>结合M09日主承载判断</x:v>
      </x:c>
      <x:c r="P13" s="68" t="str">
        <x:v>主体、客体、作用路径与力量匹配均达到最低要求</x:v>
      </x:c>
      <x:c r="Q13" s="68" t="str">
        <x:v>相关十神有根、有源、透达、清纯且关键通路稳定</x:v>
      </x:c>
      <x:c r="R13" s="90" t="str">
        <x:v>关键十神被合绊、被制、改性、失效或力量严重失衡</x:v>
      </x:c>
      <x:c r="S13" s="68" t="str">
        <x:v>存在第三十神恢复通路、清除破坏或重新形成平衡</x:v>
      </x:c>
      <x:c r="T13" s="90" t="str">
        <x:v>关键核心十神失效或作用路径被完全切断</x:v>
      </x:c>
      <x:c r="U13" s="68" t="str">
        <x:v>特殊格局、从化或月令格局另转M14/M15复审</x:v>
      </x:c>
      <x:c r="V13" s="84" t="str">
        <x:v>不成立</x:v>
      </x:c>
      <x:c r="W13" s="84" t="str">
        <x:v>否决组合成立</x:v>
      </x:c>
      <x:c r="X13" s="82" t="str">
        <x:v>否</x:v>
      </x:c>
      <x:c r="Y13" s="68" t="str">
        <x:v>对应格局候选转M14</x:v>
      </x:c>
      <x:c r="Z13" s="84" t="str">
        <x:v>组合破坏否决</x:v>
      </x:c>
      <x:c r="AA13" s="84" t="str">
        <x:v>十神组合通用判定：当主体、客体、路径与力量匹配满足最低标准时，判“不成立”；是否上升为格局转M14/M15。</x:v>
      </x:c>
      <x:c r="AB13" s="82" t="str">
        <x:v>较高</x:v>
      </x:c>
      <x:c r="AC13" s="82" t="str">
        <x:v>现代综合</x:v>
      </x:c>
      <x:c r="AD13" s="68" t="str">
        <x:v>十神同时出现不等于组合成立。M11须同时验证核心十神有效性、作用路径、力量匹配、日主承载、破坏因素与救应；组合成立也不等于格局成立。</x:v>
      </x:c>
      <x:c r="AE13" s="68" t="str">
        <x:v>组合表面条件齐全；关键主体或客体被M06/M08确认合化、合住、强制或失效；作用路径稳定且无关键破坏，可按“十神组合通用判定”记录。</x:v>
      </x:c>
      <x:c r="AF13" s="90" t="str">
        <x:v>仅因“多个相关十神”同时出现，但核心十神无力、无作用路径或被关键因素破坏，不能判“十神组合通用判定”成立。</x:v>
      </x:c>
      <x:c r="AG13" s="68" t="str">
        <x:v>https://zh.wikisource.org/zh-hans/%E6%B7%B5%E6%B5%B7%E5%AD%90%E5%B9%B3 ; https://zh.wikisource.org/wiki/%E6%BB%B4%E5%A4%A9%E9%AB%93%E9%97%A1%E5%BE%AE</x:v>
      </x:c>
      <x:c r="AH13" s="82" t="str">
        <x:v>采用</x:v>
      </x:c>
      <x:c r="AI13" s="82" t="str">
        <x:v>初审</x:v>
      </x:c>
      <x:c r="AJ13" s="87" t="n">
        <x:v>46255</x:v>
      </x:c>
    </x:row>
    <x:row r="14">
      <x:c r="A14" s="72" t="str">
        <x:f>IF(OR(C14="",D14=""),"",B14&amp;"-"&amp;UPPER(C14)&amp;"-"&amp;TEXT(D14,"0000")&amp;"-"&amp;E14)</x:f>
        <x:v>M11-GEN-0008-V1.0</x:v>
      </x:c>
      <x:c r="B14" s="74" t="str">
        <x:v>M11</x:v>
      </x:c>
      <x:c r="C14" s="74" t="str">
        <x:v>GEN</x:v>
      </x:c>
      <x:c r="D14" s="215" t="n">
        <x:v>8</x:v>
      </x:c>
      <x:c r="E14" s="74" t="str">
        <x:v>V1.0</x:v>
      </x:c>
      <x:c r="F14" s="68" t="str">
        <x:v>救应只在恢复关键功能后有效</x:v>
      </x:c>
      <x:c r="G14" s="82" t="str">
        <x:v>结构层</x:v>
      </x:c>
      <x:c r="H14" s="82" t="str">
        <x:v>其他</x:v>
      </x:c>
      <x:c r="I14" s="68" t="str">
        <x:v>十神组合通用判定</x:v>
      </x:c>
      <x:c r="J14" s="68" t="str">
        <x:v>多个相关十神</x:v>
      </x:c>
      <x:c r="K14" s="68" t="str">
        <x:v>组合原有关键环节受损</x:v>
      </x:c>
      <x:c r="L14" s="68" t="str">
        <x:v>第三十神能够真实制去破坏、恢复主体或重建通路</x:v>
      </x:c>
      <x:c r="M14" s="68" t="str">
        <x:v>直接或可达的生克制化路径成立</x:v>
      </x:c>
      <x:c r="N14" s="68" t="str">
        <x:v>相关十神均以M10有效力量为准，且不存在决定性失衡</x:v>
      </x:c>
      <x:c r="O14" s="68" t="str">
        <x:v>结合M09日主承载判断</x:v>
      </x:c>
      <x:c r="P14" s="68" t="str">
        <x:v>主体、客体、作用路径与力量匹配均达到最低要求</x:v>
      </x:c>
      <x:c r="Q14" s="68" t="str">
        <x:v>相关十神有根、有源、透达、清纯且关键通路稳定</x:v>
      </x:c>
      <x:c r="R14" s="90" t="str">
        <x:v>关键十神被合绊、被制、改性、失效或力量严重失衡</x:v>
      </x:c>
      <x:c r="S14" s="68" t="str">
        <x:v>救应必须自身有效且作用对象准确</x:v>
      </x:c>
      <x:c r="T14" s="90" t="str">
        <x:v>任一核心十神失效，或不存在真实作用路径</x:v>
      </x:c>
      <x:c r="U14" s="68" t="str">
        <x:v>特殊格局、从化或月令格局另转M14/M15复审</x:v>
      </x:c>
      <x:c r="V14" s="84" t="str">
        <x:v>基本成立</x:v>
      </x:c>
      <x:c r="W14" s="84" t="str">
        <x:v>形成局部生化、制化或承载结构</x:v>
      </x:c>
      <x:c r="X14" s="82" t="str">
        <x:v>条件性</x:v>
      </x:c>
      <x:c r="Y14" s="68" t="str">
        <x:v>对应格局候选转M14</x:v>
      </x:c>
      <x:c r="Z14" s="84" t="str">
        <x:v>组合救应有效性</x:v>
      </x:c>
      <x:c r="AA14" s="84" t="str">
        <x:v>十神组合通用判定：当主体、客体、路径与力量匹配满足最低标准时，判“基本成立”；是否上升为格局转M14/M15。</x:v>
      </x:c>
      <x:c r="AB14" s="82" t="str">
        <x:v>较高</x:v>
      </x:c>
      <x:c r="AC14" s="82" t="str">
        <x:v>现代综合</x:v>
      </x:c>
      <x:c r="AD14" s="68" t="str">
        <x:v>十神同时出现不等于组合成立。M11须同时验证核心十神有效性、作用路径、力量匹配、日主承载、破坏因素与救应；组合成立也不等于格局成立。</x:v>
      </x:c>
      <x:c r="AE14" s="68" t="str">
        <x:v>组合原有关键环节受损；第三十神能够真实制去破坏、恢复主体或重建通路；作用路径稳定且无关键破坏，可按“十神组合通用判定”记录。</x:v>
      </x:c>
      <x:c r="AF14" s="90" t="str">
        <x:v>仅因“多个相关十神”同时出现，但核心十神无力、无作用路径或被关键因素破坏，不能判“十神组合通用判定”成立。</x:v>
      </x:c>
      <x:c r="AG14" s="68" t="str">
        <x:v>https://zh.wikisource.org/zh-hans/%E6%B7%B5%E6%B5%B7%E5%AD%90%E5%B9%B3 ; https://zh.wikisource.org/wiki/%E6%BB%B4%E5%A4%A9%E9%AB%93%E9%97%A1%E5%BE%AE</x:v>
      </x:c>
      <x:c r="AH14" s="82" t="str">
        <x:v>采用</x:v>
      </x:c>
      <x:c r="AI14" s="82" t="str">
        <x:v>初审</x:v>
      </x:c>
      <x:c r="AJ14" s="87" t="n">
        <x:v>46255</x:v>
      </x:c>
    </x:row>
    <x:row r="15">
      <x:c r="A15" s="72" t="str">
        <x:f>IF(OR(C15="",D15=""),"",B15&amp;"-"&amp;UPPER(C15)&amp;"-"&amp;TEXT(D15,"0000")&amp;"-"&amp;E15)</x:f>
        <x:v>M11-GEN-0009-V1.0</x:v>
      </x:c>
      <x:c r="B15" s="74" t="str">
        <x:v>M11</x:v>
      </x:c>
      <x:c r="C15" s="74" t="str">
        <x:v>GEN</x:v>
      </x:c>
      <x:c r="D15" s="215" t="n">
        <x:v>9</x:v>
      </x:c>
      <x:c r="E15" s="74" t="str">
        <x:v>V1.0</x:v>
      </x:c>
      <x:c r="F15" s="68" t="str">
        <x:v>组合成立与格局成立必须分层</x:v>
      </x:c>
      <x:c r="G15" s="82" t="str">
        <x:v>结构层</x:v>
      </x:c>
      <x:c r="H15" s="82" t="str">
        <x:v>其他</x:v>
      </x:c>
      <x:c r="I15" s="68" t="str">
        <x:v>十神组合通用判定</x:v>
      </x:c>
      <x:c r="J15" s="68" t="str">
        <x:v>多个相关十神</x:v>
      </x:c>
      <x:c r="K15" s="68" t="str">
        <x:v>M11已确认局部组合成立</x:v>
      </x:c>
      <x:c r="L15" s="68" t="str">
        <x:v>尚未验证月令、格神、全局主导性和破格救应</x:v>
      </x:c>
      <x:c r="M15" s="68" t="str">
        <x:v>直接或可达的生克制化路径成立</x:v>
      </x:c>
      <x:c r="N15" s="68" t="str">
        <x:v>相关十神均以M10有效力量为准，且不存在决定性失衡</x:v>
      </x:c>
      <x:c r="O15" s="68" t="str">
        <x:v>结合M09日主承载判断</x:v>
      </x:c>
      <x:c r="P15" s="68" t="str">
        <x:v>M11只输出组合成立等级</x:v>
      </x:c>
      <x:c r="Q15" s="68" t="str">
        <x:v>相关十神有根、有源、透达、清纯且关键通路稳定</x:v>
      </x:c>
      <x:c r="R15" s="90" t="str">
        <x:v>关键十神被合绊、被制、改性、失效或力量严重失衡</x:v>
      </x:c>
      <x:c r="S15" s="68" t="str">
        <x:v>存在第三十神恢复通路、清除破坏或重新形成平衡</x:v>
      </x:c>
      <x:c r="T15" s="90" t="str">
        <x:v>任一核心十神失效，或不存在真实作用路径</x:v>
      </x:c>
      <x:c r="U15" s="68" t="str">
        <x:v>特殊格局、从化或月令格局另转M14/M15复审</x:v>
      </x:c>
      <x:c r="V15" s="84" t="str">
        <x:v>明显成立</x:v>
      </x:c>
      <x:c r="W15" s="84" t="str">
        <x:v>提供M14候选，不直接定格</x:v>
      </x:c>
      <x:c r="X15" s="82" t="str">
        <x:v>条件性</x:v>
      </x:c>
      <x:c r="Y15" s="68" t="str">
        <x:v>对应格局候选转M14</x:v>
      </x:c>
      <x:c r="Z15" s="84" t="str">
        <x:v>组合格局分离</x:v>
      </x:c>
      <x:c r="AA15" s="84" t="str">
        <x:v>十神组合通用判定：当主体、客体、路径与力量匹配满足最低标准时，判“明显成立”；是否上升为格局转M14/M15。</x:v>
      </x:c>
      <x:c r="AB15" s="82" t="str">
        <x:v>较高</x:v>
      </x:c>
      <x:c r="AC15" s="82" t="str">
        <x:v>现代综合</x:v>
      </x:c>
      <x:c r="AD15" s="68" t="str">
        <x:v>十神同时出现不等于组合成立。M11须同时验证核心十神有效性、作用路径、力量匹配、日主承载、破坏因素与救应；组合成立也不等于格局成立。</x:v>
      </x:c>
      <x:c r="AE15" s="68" t="str">
        <x:v>M11已确认局部组合成立；尚未验证月令、格神、全局主导性和破格救应；作用路径稳定且无关键破坏，可按“十神组合通用判定”记录。</x:v>
      </x:c>
      <x:c r="AF15" s="90" t="str">
        <x:v>仅因“多个相关十神”同时出现，但核心十神无力、无作用路径或被关键因素破坏，不能判“十神组合通用判定”成立。</x:v>
      </x:c>
      <x:c r="AG15" s="68" t="str">
        <x:v>https://zh.wikisource.org/zh-hans/%E6%B7%B5%E6%B5%B7%E5%AD%90%E5%B9%B3 ; https://zh.wikisource.org/wiki/%E6%BB%B4%E5%A4%A9%E9%AB%93%E9%97%A1%E5%BE%AE</x:v>
      </x:c>
      <x:c r="AH15" s="82" t="str">
        <x:v>采用</x:v>
      </x:c>
      <x:c r="AI15" s="82" t="str">
        <x:v>初审</x:v>
      </x:c>
      <x:c r="AJ15" s="87" t="n">
        <x:v>46255</x:v>
      </x:c>
    </x:row>
    <x:row r="16">
      <x:c r="A16" s="72" t="str">
        <x:f>IF(OR(C16="",D16=""),"",B16&amp;"-"&amp;UPPER(C16)&amp;"-"&amp;TEXT(D16,"0000")&amp;"-"&amp;E16)</x:f>
        <x:v>M11-GEN-0010-V1.0</x:v>
      </x:c>
      <x:c r="B16" s="74" t="str">
        <x:v>M11</x:v>
      </x:c>
      <x:c r="C16" s="74" t="str">
        <x:v>GEN</x:v>
      </x:c>
      <x:c r="D16" s="215" t="n">
        <x:v>10</x:v>
      </x:c>
      <x:c r="E16" s="74" t="str">
        <x:v>V1.0</x:v>
      </x:c>
      <x:c r="F16" s="68" t="str">
        <x:v>组合输出必须同时保留破坏与反证</x:v>
      </x:c>
      <x:c r="G16" s="82" t="str">
        <x:v>结构层</x:v>
      </x:c>
      <x:c r="H16" s="82" t="str">
        <x:v>其他</x:v>
      </x:c>
      <x:c r="I16" s="68" t="str">
        <x:v>十神组合通用判定</x:v>
      </x:c>
      <x:c r="J16" s="68" t="str">
        <x:v>多个相关十神</x:v>
      </x:c>
      <x:c r="K16" s="68" t="str">
        <x:v>任一组合被判为弱成立以上</x:v>
      </x:c>
      <x:c r="L16" s="68" t="str">
        <x:v>必须记录主要成立证据、破坏因素和救应因素</x:v>
      </x:c>
      <x:c r="M16" s="68" t="str">
        <x:v>直接或可达的生克制化路径成立</x:v>
      </x:c>
      <x:c r="N16" s="68" t="str">
        <x:v>相关十神均以M10有效力量为准，且不存在决定性失衡</x:v>
      </x:c>
      <x:c r="O16" s="68" t="str">
        <x:v>结合M09日主承载判断</x:v>
      </x:c>
      <x:c r="P16" s="68" t="str">
        <x:v>成立证据与反证均有记录</x:v>
      </x:c>
      <x:c r="Q16" s="68" t="str">
        <x:v>相关十神有根、有源、透达、清纯且关键通路稳定</x:v>
      </x:c>
      <x:c r="R16" s="90" t="str">
        <x:v>关键十神被合绊、被制、改性、失效或力量严重失衡</x:v>
      </x:c>
      <x:c r="S16" s="68" t="str">
        <x:v>存在第三十神恢复通路、清除破坏或重新形成平衡</x:v>
      </x:c>
      <x:c r="T16" s="90" t="str">
        <x:v>任一核心十神失效，或不存在真实作用路径</x:v>
      </x:c>
      <x:c r="U16" s="68" t="str">
        <x:v>特殊格局、从化或月令格局另转M14/M15复审</x:v>
      </x:c>
      <x:c r="V16" s="84" t="str">
        <x:v>待定</x:v>
      </x:c>
      <x:c r="W16" s="84" t="str">
        <x:v>形成可追溯组合结论</x:v>
      </x:c>
      <x:c r="X16" s="82" t="str">
        <x:v>待定</x:v>
      </x:c>
      <x:c r="Y16" s="68" t="str">
        <x:v>对应格局候选转M14</x:v>
      </x:c>
      <x:c r="Z16" s="84" t="str">
        <x:v>组合标准输出</x:v>
      </x:c>
      <x:c r="AA16" s="84" t="str">
        <x:v>每个组合至少输出：核心十神、主体/客体、路径、力量匹配、日主承载、破坏、救应、成立等级、实际功能、是否具备格局候选资格。</x:v>
      </x:c>
      <x:c r="AB16" s="82" t="str">
        <x:v>较高</x:v>
      </x:c>
      <x:c r="AC16" s="82" t="str">
        <x:v>现代综合</x:v>
      </x:c>
      <x:c r="AD16" s="68" t="str">
        <x:v>十神同时出现不等于组合成立。M11须同时验证核心十神有效性、作用路径、力量匹配、日主承载、破坏因素与救应；组合成立也不等于格局成立。</x:v>
      </x:c>
      <x:c r="AE16" s="68" t="str">
        <x:v>任一组合被判为弱成立以上；必须记录主要成立证据、破坏因素和救应因素；作用路径稳定且无关键破坏，可按“十神组合通用判定”记录。</x:v>
      </x:c>
      <x:c r="AF16" s="90" t="str">
        <x:v>仅因“多个相关十神”同时出现，但核心十神无力、无作用路径或被关键因素破坏，不能判“十神组合通用判定”成立。</x:v>
      </x:c>
      <x:c r="AG16" s="68" t="str">
        <x:v>https://zh.wikisource.org/zh-hans/%E6%B7%B5%E6%B5%B7%E5%AD%90%E5%B9%B3 ; https://zh.wikisource.org/wiki/%E6%BB%B4%E5%A4%A9%E9%AB%93%E9%97%A1%E5%BE%AE</x:v>
      </x:c>
      <x:c r="AH16" s="82" t="str">
        <x:v>采用</x:v>
      </x:c>
      <x:c r="AI16" s="82" t="str">
        <x:v>初审</x:v>
      </x:c>
      <x:c r="AJ16" s="87" t="n">
        <x:v>46255</x:v>
      </x:c>
    </x:row>
    <x:row r="17">
      <x:c r="A17" s="72" t="str">
        <x:f>IF(OR(C17="",D17=""),"",B17&amp;"-"&amp;UPPER(C17)&amp;"-"&amp;TEXT(D17,"0000")&amp;"-"&amp;E17)</x:f>
        <x:v>M11-SHIZHI-0011-V1.0</x:v>
      </x:c>
      <x:c r="B17" s="74" t="str">
        <x:v>M11</x:v>
      </x:c>
      <x:c r="C17" s="74" t="str">
        <x:v>SHIZHI</x:v>
      </x:c>
      <x:c r="D17" s="215" t="n">
        <x:v>11</x:v>
      </x:c>
      <x:c r="E17" s="74" t="str">
        <x:v>V1.0</x:v>
      </x:c>
      <x:c r="F17" s="68" t="str">
        <x:v>七杀必须真实有力并对日主形成压力</x:v>
      </x:c>
      <x:c r="G17" s="82" t="str">
        <x:v>结构层</x:v>
      </x:c>
      <x:c r="H17" s="82" t="str">
        <x:v>制化型</x:v>
      </x:c>
      <x:c r="I17" s="68" t="str">
        <x:v>食神制杀</x:v>
      </x:c>
      <x:c r="J17" s="68" t="str">
        <x:v>食神、七杀</x:v>
      </x:c>
      <x:c r="K17" s="68" t="str">
        <x:v>七杀有效力量达到中和偏旺以上，或虽不旺但形成直接制身压力</x:v>
      </x:c>
      <x:c r="L17" s="68" t="str">
        <x:v>食神有效且具有克制七杀的能力</x:v>
      </x:c>
      <x:c r="M17" s="68" t="str">
        <x:v>食神与七杀之间存在直接可达的克制路径</x:v>
      </x:c>
      <x:c r="N17" s="68" t="str">
        <x:v>相关十神均以M10有效力量为准，且不存在决定性失衡</x:v>
      </x:c>
      <x:c r="O17" s="68" t="str">
        <x:v>日主至少能承受食神泄身，且有必要制杀</x:v>
      </x:c>
      <x:c r="P17" s="68" t="str">
        <x:v>杀有力、食有力、食能制杀、无强枭夺食</x:v>
      </x:c>
      <x:c r="Q17" s="68" t="str">
        <x:v>相关十神有根、有源、透达、清纯且关键通路稳定</x:v>
      </x:c>
      <x:c r="R17" s="90" t="str">
        <x:v>关键十神被合绊、被制、改性、失效或力量严重失衡</x:v>
      </x:c>
      <x:c r="S17" s="68" t="str">
        <x:v>存在第三十神恢复通路、清除破坏或重新形成平衡</x:v>
      </x:c>
      <x:c r="T17" s="90" t="str">
        <x:v>任一核心十神失效，或不存在真实作用路径</x:v>
      </x:c>
      <x:c r="U17" s="68" t="str">
        <x:v>特殊格局、从化或月令格局另转M14/M15复审</x:v>
      </x:c>
      <x:c r="V17" s="84" t="str">
        <x:v>基本成立</x:v>
      </x:c>
      <x:c r="W17" s="84" t="str">
        <x:v>降低七杀制身压力</x:v>
      </x:c>
      <x:c r="X17" s="82" t="str">
        <x:v>条件性</x:v>
      </x:c>
      <x:c r="Y17" s="68" t="str">
        <x:v>食神制杀格候选</x:v>
      </x:c>
      <x:c r="Z17" s="84" t="str">
        <x:v>食神制杀_成立条件</x:v>
      </x:c>
      <x:c r="AA17" s="84" t="str">
        <x:v>食神制杀：当主体、客体、路径与力量匹配满足最低标准时，判“基本成立”；是否上升为格局转M14/M15。</x:v>
      </x:c>
      <x:c r="AB17" s="82" t="str">
        <x:v>较高</x:v>
      </x:c>
      <x:c r="AC17" s="82" t="str">
        <x:v>现代综合</x:v>
      </x:c>
      <x:c r="AD17" s="68" t="str">
        <x:v>十神同时出现不等于组合成立。M11须同时验证核心十神有效性、作用路径、力量匹配、日主承载、破坏因素与救应；组合成立也不等于格局成立。</x:v>
      </x:c>
      <x:c r="AE17" s="68" t="str">
        <x:v>七杀有效力量达到中和偏旺以上，或虽不旺但形成直接制身压力；食神有效且具有克制七杀的能力；作用路径稳定且无关键破坏，可按“食神制杀”记录。</x:v>
      </x:c>
      <x:c r="AF17" s="90" t="str">
        <x:v>仅因“食神、七杀”同时出现，但核心十神无力、无作用路径或被关键因素破坏，不能判“食神制杀”成立。</x:v>
      </x:c>
      <x:c r="AG17" s="68" t="str">
        <x:v>https://zh.wikisource.org/zh-hans/%E6%B7%B5%E6%B5%B7%E5%AD%90%E5%B9%B3 ; https://zh.wikisource.org/wiki/%E6%BB%B4%E5%A4%A9%E9%AB%93%E9%97%A1%E5%BE%AE</x:v>
      </x:c>
      <x:c r="AH17" s="82" t="str">
        <x:v>采用</x:v>
      </x:c>
      <x:c r="AI17" s="82" t="str">
        <x:v>初审</x:v>
      </x:c>
      <x:c r="AJ17" s="87" t="n">
        <x:v>46255</x:v>
      </x:c>
    </x:row>
    <x:row r="18">
      <x:c r="A18" s="72" t="str">
        <x:f>IF(OR(C18="",D18=""),"",B18&amp;"-"&amp;UPPER(C18)&amp;"-"&amp;TEXT(D18,"0000")&amp;"-"&amp;E18)</x:f>
        <x:v>M11-SHIZHI-0012-V1.0</x:v>
      </x:c>
      <x:c r="B18" s="74" t="str">
        <x:v>M11</x:v>
      </x:c>
      <x:c r="C18" s="74" t="str">
        <x:v>SHIZHI</x:v>
      </x:c>
      <x:c r="D18" s="215" t="n">
        <x:v>12</x:v>
      </x:c>
      <x:c r="E18" s="74" t="str">
        <x:v>V1.0</x:v>
      </x:c>
      <x:c r="F18" s="68" t="str">
        <x:v>食神自身必须有根有源或稳定有效</x:v>
      </x:c>
      <x:c r="G18" s="82" t="str">
        <x:v>结构层</x:v>
      </x:c>
      <x:c r="H18" s="82" t="str">
        <x:v>制化型</x:v>
      </x:c>
      <x:c r="I18" s="68" t="str">
        <x:v>食神制杀</x:v>
      </x:c>
      <x:c r="J18" s="68" t="str">
        <x:v>食神、七杀</x:v>
      </x:c>
      <x:c r="K18" s="68" t="str">
        <x:v>食神不只是浮干或微弱藏气</x:v>
      </x:c>
      <x:c r="L18" s="68" t="str">
        <x:v>七杀存在真实压力</x:v>
      </x:c>
      <x:c r="M18" s="68" t="str">
        <x:v>直接或可达的生克制化路径成立</x:v>
      </x:c>
      <x:c r="N18" s="68" t="str">
        <x:v>食神至少达到可稳定执行制杀的有效等级</x:v>
      </x:c>
      <x:c r="O18" s="68" t="str">
        <x:v>结合M09日主承载判断</x:v>
      </x:c>
      <x:c r="P18" s="68" t="str">
        <x:v>主体、客体、作用路径与力量匹配均达到最低要求</x:v>
      </x:c>
      <x:c r="Q18" s="68" t="str">
        <x:v>相关十神有根、有源、透达、清纯且关键通路稳定</x:v>
      </x:c>
      <x:c r="R18" s="90" t="str">
        <x:v>关键十神被合绊、被制、改性、失效或力量严重失衡</x:v>
      </x:c>
      <x:c r="S18" s="68" t="str">
        <x:v>存在第三十神恢复通路、清除破坏或重新形成平衡</x:v>
      </x:c>
      <x:c r="T18" s="90" t="str">
        <x:v>任一核心十神失效，或不存在真实作用路径</x:v>
      </x:c>
      <x:c r="U18" s="68" t="str">
        <x:v>特殊格局、从化或月令格局另转M14/M15复审</x:v>
      </x:c>
      <x:c r="V18" s="84" t="str">
        <x:v>基本成立</x:v>
      </x:c>
      <x:c r="W18" s="84" t="str">
        <x:v>形成局部生化、制化或承载结构</x:v>
      </x:c>
      <x:c r="X18" s="82" t="str">
        <x:v>条件性</x:v>
      </x:c>
      <x:c r="Y18" s="68" t="str">
        <x:v>对应格局候选转M14</x:v>
      </x:c>
      <x:c r="Z18" s="84" t="str">
        <x:v>食神制杀_食神有效性</x:v>
      </x:c>
      <x:c r="AA18" s="84" t="str">
        <x:v>食神制杀：当主体、客体、路径与力量匹配满足最低标准时，判“基本成立”；是否上升为格局转M14/M15。</x:v>
      </x:c>
      <x:c r="AB18" s="82" t="str">
        <x:v>较高</x:v>
      </x:c>
      <x:c r="AC18" s="82" t="str">
        <x:v>现代综合</x:v>
      </x:c>
      <x:c r="AD18" s="68" t="str">
        <x:v>十神同时出现不等于组合成立。M11须同时验证核心十神有效性、作用路径、力量匹配、日主承载、破坏因素与救应；组合成立也不等于格局成立。</x:v>
      </x:c>
      <x:c r="AE18" s="68" t="str">
        <x:v>食神不只是浮干或微弱藏气；七杀存在真实压力；作用路径稳定且无关键破坏，可按“食神制杀”记录。</x:v>
      </x:c>
      <x:c r="AF18" s="90" t="str">
        <x:v>仅因“食神、七杀”同时出现，但核心十神无力、无作用路径或被关键因素破坏，不能判“食神制杀”成立。</x:v>
      </x:c>
      <x:c r="AG18" s="68" t="str">
        <x:v>https://zh.wikisource.org/zh-hans/%E6%B7%B5%E6%B5%B7%E5%AD%90%E5%B9%B3 ; https://zh.wikisource.org/wiki/%E6%BB%B4%E5%A4%A9%E9%AB%93%E9%97%A1%E5%BE%AE</x:v>
      </x:c>
      <x:c r="AH18" s="82" t="str">
        <x:v>采用</x:v>
      </x:c>
      <x:c r="AI18" s="82" t="str">
        <x:v>初审</x:v>
      </x:c>
      <x:c r="AJ18" s="87" t="n">
        <x:v>46255</x:v>
      </x:c>
    </x:row>
    <x:row r="19">
      <x:c r="A19" s="72" t="str">
        <x:f>IF(OR(C19="",D19=""),"",B19&amp;"-"&amp;UPPER(C19)&amp;"-"&amp;TEXT(D19,"0000")&amp;"-"&amp;E19)</x:f>
        <x:v>M11-SHIZHI-0013-V1.0</x:v>
      </x:c>
      <x:c r="B19" s="74" t="str">
        <x:v>M11</x:v>
      </x:c>
      <x:c r="C19" s="74" t="str">
        <x:v>SHIZHI</x:v>
      </x:c>
      <x:c r="D19" s="215" t="n">
        <x:v>13</x:v>
      </x:c>
      <x:c r="E19" s="74" t="str">
        <x:v>V1.0</x:v>
      </x:c>
      <x:c r="F19" s="68" t="str">
        <x:v>七杀太弱无须制时组合降级</x:v>
      </x:c>
      <x:c r="G19" s="82" t="str">
        <x:v>结构层</x:v>
      </x:c>
      <x:c r="H19" s="82" t="str">
        <x:v>制化型</x:v>
      </x:c>
      <x:c r="I19" s="68" t="str">
        <x:v>食神制杀</x:v>
      </x:c>
      <x:c r="J19" s="68" t="str">
        <x:v>食神、七杀</x:v>
      </x:c>
      <x:c r="K19" s="68" t="str">
        <x:v>七杀极弱或已失效</x:v>
      </x:c>
      <x:c r="L19" s="68" t="str">
        <x:v>食神虽有力但缺少真实制杀对象</x:v>
      </x:c>
      <x:c r="M19" s="68" t="str">
        <x:v>直接或可达的生克制化路径成立</x:v>
      </x:c>
      <x:c r="N19" s="68" t="str">
        <x:v>相关十神均以M10有效力量为准，且不存在决定性失衡</x:v>
      </x:c>
      <x:c r="O19" s="68" t="str">
        <x:v>结合M09日主承载判断</x:v>
      </x:c>
      <x:c r="P19" s="68" t="str">
        <x:v>只可记录食神存在，不构成必要制杀</x:v>
      </x:c>
      <x:c r="Q19" s="68" t="str">
        <x:v>相关十神有根、有源、透达、清纯且关键通路稳定</x:v>
      </x:c>
      <x:c r="R19" s="90" t="str">
        <x:v>关键十神被合绊、被制、改性、失效或力量严重失衡</x:v>
      </x:c>
      <x:c r="S19" s="68" t="str">
        <x:v>存在第三十神恢复通路、清除破坏或重新形成平衡</x:v>
      </x:c>
      <x:c r="T19" s="90" t="str">
        <x:v>任一核心十神失效，或不存在真实作用路径</x:v>
      </x:c>
      <x:c r="U19" s="68" t="str">
        <x:v>特殊格局、从化或月令格局另转M14/M15复审</x:v>
      </x:c>
      <x:c r="V19" s="84" t="str">
        <x:v>不成立</x:v>
      </x:c>
      <x:c r="W19" s="84" t="str">
        <x:v>无制杀必要</x:v>
      </x:c>
      <x:c r="X19" s="82" t="str">
        <x:v>否</x:v>
      </x:c>
      <x:c r="Y19" s="68" t="str">
        <x:v>无</x:v>
      </x:c>
      <x:c r="Z19" s="84" t="str">
        <x:v>食神制杀_杀弱否决</x:v>
      </x:c>
      <x:c r="AA19" s="84" t="str">
        <x:v>食神制杀：当主体、客体、路径与力量匹配满足最低标准时，判“不成立”；是否上升为格局转M14/M15。</x:v>
      </x:c>
      <x:c r="AB19" s="82" t="str">
        <x:v>较高</x:v>
      </x:c>
      <x:c r="AC19" s="82" t="str">
        <x:v>现代综合</x:v>
      </x:c>
      <x:c r="AD19" s="68" t="str">
        <x:v>十神同时出现不等于组合成立。M11须同时验证核心十神有效性、作用路径、力量匹配、日主承载、破坏因素与救应；组合成立也不等于格局成立。</x:v>
      </x:c>
      <x:c r="AE19" s="68" t="str">
        <x:v>七杀极弱或已失效；食神虽有力但缺少真实制杀对象；作用路径稳定且无关键破坏，可按“食神制杀”记录。</x:v>
      </x:c>
      <x:c r="AF19" s="90" t="str">
        <x:v>仅因“食神、七杀”同时出现，但核心十神无力、无作用路径或被关键因素破坏，不能判“食神制杀”成立。</x:v>
      </x:c>
      <x:c r="AG19" s="68" t="str">
        <x:v>https://zh.wikisource.org/zh-hans/%E6%B7%B5%E6%B5%B7%E5%AD%90%E5%B9%B3 ; https://zh.wikisource.org/wiki/%E6%BB%B4%E5%A4%A9%E9%AB%93%E9%97%A1%E5%BE%AE</x:v>
      </x:c>
      <x:c r="AH19" s="82" t="str">
        <x:v>采用</x:v>
      </x:c>
      <x:c r="AI19" s="82" t="str">
        <x:v>初审</x:v>
      </x:c>
      <x:c r="AJ19" s="87" t="n">
        <x:v>46255</x:v>
      </x:c>
    </x:row>
    <x:row r="20">
      <x:c r="A20" s="72" t="str">
        <x:f>IF(OR(C20="",D20=""),"",B20&amp;"-"&amp;UPPER(C20)&amp;"-"&amp;TEXT(D20,"0000")&amp;"-"&amp;E20)</x:f>
        <x:v>M11-SHIZHI-0014-V1.0</x:v>
      </x:c>
      <x:c r="B20" s="74" t="str">
        <x:v>M11</x:v>
      </x:c>
      <x:c r="C20" s="74" t="str">
        <x:v>SHIZHI</x:v>
      </x:c>
      <x:c r="D20" s="215" t="n">
        <x:v>14</x:v>
      </x:c>
      <x:c r="E20" s="74" t="str">
        <x:v>V1.0</x:v>
      </x:c>
      <x:c r="F20" s="68" t="str">
        <x:v>食神太弱不能有效制杀</x:v>
      </x:c>
      <x:c r="G20" s="82" t="str">
        <x:v>结构层</x:v>
      </x:c>
      <x:c r="H20" s="82" t="str">
        <x:v>制化型</x:v>
      </x:c>
      <x:c r="I20" s="68" t="str">
        <x:v>食神制杀</x:v>
      </x:c>
      <x:c r="J20" s="68" t="str">
        <x:v>食神、七杀</x:v>
      </x:c>
      <x:c r="K20" s="68" t="str">
        <x:v>七杀旺而食神仅弱或中和偏弱</x:v>
      </x:c>
      <x:c r="L20" s="68" t="str">
        <x:v>食神克制容量不足</x:v>
      </x:c>
      <x:c r="M20" s="68" t="str">
        <x:v>直接或可达的生克制化路径成立</x:v>
      </x:c>
      <x:c r="N20" s="68" t="str">
        <x:v>杀明显强于食</x:v>
      </x:c>
      <x:c r="O20" s="68" t="str">
        <x:v>结合M09日主承载判断</x:v>
      </x:c>
      <x:c r="P20" s="68" t="str">
        <x:v>主体、客体、作用路径与力量匹配均达到最低要求</x:v>
      </x:c>
      <x:c r="Q20" s="68" t="str">
        <x:v>相关十神有根、有源、透达、清纯且关键通路稳定</x:v>
      </x:c>
      <x:c r="R20" s="90" t="str">
        <x:v>关键十神被合绊、被制、改性、失效或力量严重失衡</x:v>
      </x:c>
      <x:c r="S20" s="68" t="str">
        <x:v>存在第三十神恢复通路、清除破坏或重新形成平衡</x:v>
      </x:c>
      <x:c r="T20" s="90" t="str">
        <x:v>任一核心十神失效，或不存在真实作用路径</x:v>
      </x:c>
      <x:c r="U20" s="68" t="str">
        <x:v>特殊格局、从化或月令格局另转M14/M15复审</x:v>
      </x:c>
      <x:c r="V20" s="84" t="str">
        <x:v>弱成立</x:v>
      </x:c>
      <x:c r="W20" s="84" t="str">
        <x:v>制杀不足</x:v>
      </x:c>
      <x:c r="X20" s="82" t="str">
        <x:v>否</x:v>
      </x:c>
      <x:c r="Y20" s="68" t="str">
        <x:v>对应格局候选转M14</x:v>
      </x:c>
      <x:c r="Z20" s="84" t="str">
        <x:v>食神制杀_食弱</x:v>
      </x:c>
      <x:c r="AA20" s="84" t="str">
        <x:v>食神制杀：当主体、客体、路径与力量匹配满足最低标准时，判“弱成立”；是否上升为格局转M14/M15。</x:v>
      </x:c>
      <x:c r="AB20" s="82" t="str">
        <x:v>较高</x:v>
      </x:c>
      <x:c r="AC20" s="82" t="str">
        <x:v>现代综合</x:v>
      </x:c>
      <x:c r="AD20" s="68" t="str">
        <x:v>十神同时出现不等于组合成立。M11须同时验证核心十神有效性、作用路径、力量匹配、日主承载、破坏因素与救应；组合成立也不等于格局成立。</x:v>
      </x:c>
      <x:c r="AE20" s="68" t="str">
        <x:v>七杀旺而食神仅弱或中和偏弱；食神克制容量不足；作用路径稳定且无关键破坏，可按“食神制杀”记录。</x:v>
      </x:c>
      <x:c r="AF20" s="90" t="str">
        <x:v>仅因“食神、七杀”同时出现，但核心十神无力、无作用路径或被关键因素破坏，不能判“食神制杀”成立。</x:v>
      </x:c>
      <x:c r="AG20" s="68" t="str">
        <x:v>https://zh.wikisource.org/zh-hans/%E6%B7%B5%E6%B5%B7%E5%AD%90%E5%B9%B3 ; https://zh.wikisource.org/wiki/%E6%BB%B4%E5%A4%A9%E9%AB%93%E9%97%A1%E5%BE%AE</x:v>
      </x:c>
      <x:c r="AH20" s="82" t="str">
        <x:v>采用</x:v>
      </x:c>
      <x:c r="AI20" s="82" t="str">
        <x:v>初审</x:v>
      </x:c>
      <x:c r="AJ20" s="87" t="n">
        <x:v>46255</x:v>
      </x:c>
    </x:row>
    <x:row r="21">
      <x:c r="A21" s="72" t="str">
        <x:f>IF(OR(C21="",D21=""),"",B21&amp;"-"&amp;UPPER(C21)&amp;"-"&amp;TEXT(D21,"0000")&amp;"-"&amp;E21)</x:f>
        <x:v>M11-SHIZHI-0015-V1.0</x:v>
      </x:c>
      <x:c r="B21" s="74" t="str">
        <x:v>M11</x:v>
      </x:c>
      <x:c r="C21" s="74" t="str">
        <x:v>SHIZHI</x:v>
      </x:c>
      <x:c r="D21" s="215" t="n">
        <x:v>15</x:v>
      </x:c>
      <x:c r="E21" s="74" t="str">
        <x:v>V1.0</x:v>
      </x:c>
      <x:c r="F21" s="68" t="str">
        <x:v>制杀太过时由平衡转为失衡</x:v>
      </x:c>
      <x:c r="G21" s="82" t="str">
        <x:v>结构层</x:v>
      </x:c>
      <x:c r="H21" s="82" t="str">
        <x:v>制化型</x:v>
      </x:c>
      <x:c r="I21" s="68" t="str">
        <x:v>食神制杀</x:v>
      </x:c>
      <x:c r="J21" s="68" t="str">
        <x:v>食神、七杀</x:v>
      </x:c>
      <x:c r="K21" s="68" t="str">
        <x:v>食神食伤集团过旺，七杀被制至失效或残弱</x:v>
      </x:c>
      <x:c r="L21" s="68" t="str">
        <x:v>杀已不足以承担制衡功能</x:v>
      </x:c>
      <x:c r="M21" s="68" t="str">
        <x:v>直接或可达的生克制化路径成立</x:v>
      </x:c>
      <x:c r="N21" s="68" t="str">
        <x:v>食明显强于杀</x:v>
      </x:c>
      <x:c r="O21" s="68" t="str">
        <x:v>结合M09日主承载判断</x:v>
      </x:c>
      <x:c r="P21" s="68" t="str">
        <x:v>主体、客体、作用路径与力量匹配均达到最低要求</x:v>
      </x:c>
      <x:c r="Q21" s="68" t="str">
        <x:v>相关十神有根、有源、透达、清纯且关键通路稳定</x:v>
      </x:c>
      <x:c r="R21" s="90" t="str">
        <x:v>关键十神被合绊、被制、改性、失效或力量严重失衡</x:v>
      </x:c>
      <x:c r="S21" s="68" t="str">
        <x:v>存在第三十神恢复通路、清除破坏或重新形成平衡</x:v>
      </x:c>
      <x:c r="T21" s="90" t="str">
        <x:v>任一核心十神失效，或不存在真实作用路径</x:v>
      </x:c>
      <x:c r="U21" s="68" t="str">
        <x:v>特殊格局、从化或月令格局另转M14/M15复审</x:v>
      </x:c>
      <x:c r="V21" s="84" t="str">
        <x:v>弱成立</x:v>
      </x:c>
      <x:c r="W21" s="84" t="str">
        <x:v>制杀过度，原制化结构失衡</x:v>
      </x:c>
      <x:c r="X21" s="82" t="str">
        <x:v>否</x:v>
      </x:c>
      <x:c r="Y21" s="68" t="str">
        <x:v>对应格局候选转M14</x:v>
      </x:c>
      <x:c r="Z21" s="84" t="str">
        <x:v>食神制杀_制杀太过</x:v>
      </x:c>
      <x:c r="AA21" s="84" t="str">
        <x:v>食神制杀：当主体、客体、路径与力量匹配满足最低标准时，判“弱成立”；是否上升为格局转M14/M15。</x:v>
      </x:c>
      <x:c r="AB21" s="82" t="str">
        <x:v>较高</x:v>
      </x:c>
      <x:c r="AC21" s="82" t="str">
        <x:v>现代综合</x:v>
      </x:c>
      <x:c r="AD21" s="68" t="str">
        <x:v>十神同时出现不等于组合成立。M11须同时验证核心十神有效性、作用路径、力量匹配、日主承载、破坏因素与救应；组合成立也不等于格局成立。</x:v>
      </x:c>
      <x:c r="AE21" s="68" t="str">
        <x:v>食神食伤集团过旺，七杀被制至失效或残弱；杀已不足以承担制衡功能；作用路径稳定且无关键破坏，可按“食神制杀”记录。</x:v>
      </x:c>
      <x:c r="AF21" s="90" t="str">
        <x:v>仅因“食神、七杀”同时出现，但核心十神无力、无作用路径或被关键因素破坏，不能判“食神制杀”成立。</x:v>
      </x:c>
      <x:c r="AG21" s="68" t="str">
        <x:v>https://zh.wikisource.org/zh-hans/%E6%B7%B5%E6%B5%B7%E5%AD%90%E5%B9%B3 ; https://zh.wikisource.org/wiki/%E6%BB%B4%E5%A4%A9%E9%AB%93%E9%97%A1%E5%BE%AE</x:v>
      </x:c>
      <x:c r="AH21" s="82" t="str">
        <x:v>采用</x:v>
      </x:c>
      <x:c r="AI21" s="82" t="str">
        <x:v>初审</x:v>
      </x:c>
      <x:c r="AJ21" s="87" t="n">
        <x:v>46255</x:v>
      </x:c>
    </x:row>
    <x:row r="22">
      <x:c r="A22" s="72" t="str">
        <x:f>IF(OR(C22="",D22=""),"",B22&amp;"-"&amp;UPPER(C22)&amp;"-"&amp;TEXT(D22,"0000")&amp;"-"&amp;E22)</x:f>
        <x:v>M11-SHIZHI-0016-V1.0</x:v>
      </x:c>
      <x:c r="B22" s="74" t="str">
        <x:v>M11</x:v>
      </x:c>
      <x:c r="C22" s="74" t="str">
        <x:v>SHIZHI</x:v>
      </x:c>
      <x:c r="D22" s="215" t="n">
        <x:v>16</x:v>
      </x:c>
      <x:c r="E22" s="74" t="str">
        <x:v>V1.0</x:v>
      </x:c>
      <x:c r="F22" s="68" t="str">
        <x:v>强枭夺食可破坏食神制杀</x:v>
      </x:c>
      <x:c r="G22" s="82" t="str">
        <x:v>结构层</x:v>
      </x:c>
      <x:c r="H22" s="82" t="str">
        <x:v>制化型</x:v>
      </x:c>
      <x:c r="I22" s="68" t="str">
        <x:v>食神制杀</x:v>
      </x:c>
      <x:c r="J22" s="68" t="str">
        <x:v>食神、七杀、偏印</x:v>
      </x:c>
      <x:c r="K22" s="68" t="str">
        <x:v>偏印有效且直接强制食神</x:v>
      </x:c>
      <x:c r="L22" s="68" t="str">
        <x:v>食神制杀功能因此显著下降</x:v>
      </x:c>
      <x:c r="M22" s="68" t="str">
        <x:v>直接或可达的生克制化路径成立</x:v>
      </x:c>
      <x:c r="N22" s="68" t="str">
        <x:v>相关十神均以M10有效力量为准，且不存在决定性失衡</x:v>
      </x:c>
      <x:c r="O22" s="68" t="str">
        <x:v>结合M09日主承载判断</x:v>
      </x:c>
      <x:c r="P22" s="68" t="str">
        <x:v>主体、客体、作用路径与力量匹配均达到最低要求</x:v>
      </x:c>
      <x:c r="Q22" s="68" t="str">
        <x:v>相关十神有根、有源、透达、清纯且关键通路稳定</x:v>
      </x:c>
      <x:c r="R22" s="90" t="str">
        <x:v>偏印强夺食并使食神受限或失效</x:v>
      </x:c>
      <x:c r="S22" s="68" t="str">
        <x:v>存在第三十神恢复通路、清除破坏或重新形成平衡</x:v>
      </x:c>
      <x:c r="T22" s="90" t="str">
        <x:v>任一核心十神失效，或不存在真实作用路径</x:v>
      </x:c>
      <x:c r="U22" s="68" t="str">
        <x:v>特殊格局、从化或月令格局另转M14/M15复审</x:v>
      </x:c>
      <x:c r="V22" s="84" t="str">
        <x:v>不成立</x:v>
      </x:c>
      <x:c r="W22" s="84" t="str">
        <x:v>食神制杀被破</x:v>
      </x:c>
      <x:c r="X22" s="82" t="str">
        <x:v>否</x:v>
      </x:c>
      <x:c r="Y22" s="68" t="str">
        <x:v>对应格局候选转M14</x:v>
      </x:c>
      <x:c r="Z22" s="84" t="str">
        <x:v>食神制杀_枭夺食破坏</x:v>
      </x:c>
      <x:c r="AA22" s="84" t="str">
        <x:v>食神制杀：当主体、客体、路径与力量匹配满足最低标准时，判“不成立”；是否上升为格局转M14/M15。</x:v>
      </x:c>
      <x:c r="AB22" s="82" t="str">
        <x:v>较高</x:v>
      </x:c>
      <x:c r="AC22" s="82" t="str">
        <x:v>现代综合</x:v>
      </x:c>
      <x:c r="AD22" s="68" t="str">
        <x:v>十神同时出现不等于组合成立。M11须同时验证核心十神有效性、作用路径、力量匹配、日主承载、破坏因素与救应；组合成立也不等于格局成立。</x:v>
      </x:c>
      <x:c r="AE22" s="68" t="str">
        <x:v>偏印有效且直接强制食神；食神制杀功能因此显著下降；作用路径稳定且无关键破坏，可按“食神制杀”记录。</x:v>
      </x:c>
      <x:c r="AF22" s="90" t="str">
        <x:v>仅因“食神、七杀、偏印”同时出现，但核心十神无力、无作用路径或被关键因素破坏，不能判“食神制杀”成立。</x:v>
      </x:c>
      <x:c r="AG22" s="68" t="str">
        <x:v>https://zh.wikisource.org/zh-hans/%E6%B7%B5%E6%B5%B7%E5%AD%90%E5%B9%B3 ; https://zh.wikisource.org/wiki/%E6%BB%B4%E5%A4%A9%E9%AB%93%E9%97%A1%E5%BE%AE</x:v>
      </x:c>
      <x:c r="AH22" s="82" t="str">
        <x:v>采用</x:v>
      </x:c>
      <x:c r="AI22" s="82" t="str">
        <x:v>初审</x:v>
      </x:c>
      <x:c r="AJ22" s="87" t="n">
        <x:v>46255</x:v>
      </x:c>
    </x:row>
    <x:row r="23">
      <x:c r="A23" s="72" t="str">
        <x:f>IF(OR(C23="",D23=""),"",B23&amp;"-"&amp;UPPER(C23)&amp;"-"&amp;TEXT(D23,"0000")&amp;"-"&amp;E23)</x:f>
        <x:v>M11-SHIZHI-0017-V1.0</x:v>
      </x:c>
      <x:c r="B23" s="74" t="str">
        <x:v>M11</x:v>
      </x:c>
      <x:c r="C23" s="74" t="str">
        <x:v>SHIZHI</x:v>
      </x:c>
      <x:c r="D23" s="215" t="n">
        <x:v>17</x:v>
      </x:c>
      <x:c r="E23" s="74" t="str">
        <x:v>V1.0</x:v>
      </x:c>
      <x:c r="F23" s="68" t="str">
        <x:v>财星制枭可成为救应</x:v>
      </x:c>
      <x:c r="G23" s="82" t="str">
        <x:v>结构层</x:v>
      </x:c>
      <x:c r="H23" s="82" t="str">
        <x:v>制化型</x:v>
      </x:c>
      <x:c r="I23" s="68" t="str">
        <x:v>食神制杀</x:v>
      </x:c>
      <x:c r="J23" s="68" t="str">
        <x:v>食神、七杀、财星</x:v>
      </x:c>
      <x:c r="K23" s="68" t="str">
        <x:v>偏印破坏食神制杀</x:v>
      </x:c>
      <x:c r="L23" s="68" t="str">
        <x:v>财星有力且能够有效制偏印，恢复食神功能</x:v>
      </x:c>
      <x:c r="M23" s="68" t="str">
        <x:v>直接或可达的生克制化路径成立</x:v>
      </x:c>
      <x:c r="N23" s="68" t="str">
        <x:v>相关十神均以M10有效力量为准，且不存在决定性失衡</x:v>
      </x:c>
      <x:c r="O23" s="68" t="str">
        <x:v>结合M09日主承载判断</x:v>
      </x:c>
      <x:c r="P23" s="68" t="str">
        <x:v>主体、客体、作用路径与力量匹配均达到最低要求</x:v>
      </x:c>
      <x:c r="Q23" s="68" t="str">
        <x:v>相关十神有根、有源、透达、清纯且关键通路稳定</x:v>
      </x:c>
      <x:c r="R23" s="90" t="str">
        <x:v>关键十神被合绊、被制、改性、失效或力量严重失衡</x:v>
      </x:c>
      <x:c r="S23" s="68" t="str">
        <x:v>财星制枭成功且不过度生杀</x:v>
      </x:c>
      <x:c r="T23" s="90" t="str">
        <x:v>任一核心十神失效，或不存在真实作用路径</x:v>
      </x:c>
      <x:c r="U23" s="68" t="str">
        <x:v>特殊格局、从化或月令格局另转M14/M15复审</x:v>
      </x:c>
      <x:c r="V23" s="84" t="str">
        <x:v>基本成立</x:v>
      </x:c>
      <x:c r="W23" s="84" t="str">
        <x:v>形成局部生化、制化或承载结构</x:v>
      </x:c>
      <x:c r="X23" s="82" t="str">
        <x:v>条件性</x:v>
      </x:c>
      <x:c r="Y23" s="68" t="str">
        <x:v>对应格局候选转M14</x:v>
      </x:c>
      <x:c r="Z23" s="84" t="str">
        <x:v>食神制杀_财制枭救应</x:v>
      </x:c>
      <x:c r="AA23" s="84" t="str">
        <x:v>食神制杀：当主体、客体、路径与力量匹配满足最低标准时，判“基本成立”；是否上升为格局转M14/M15。</x:v>
      </x:c>
      <x:c r="AB23" s="82" t="str">
        <x:v>较高</x:v>
      </x:c>
      <x:c r="AC23" s="82" t="str">
        <x:v>现代综合</x:v>
      </x:c>
      <x:c r="AD23" s="68" t="str">
        <x:v>十神同时出现不等于组合成立。M11须同时验证核心十神有效性、作用路径、力量匹配、日主承载、破坏因素与救应；组合成立也不等于格局成立。</x:v>
      </x:c>
      <x:c r="AE23" s="68" t="str">
        <x:v>偏印破坏食神制杀；财星有力且能够有效制偏印，恢复食神功能；作用路径稳定且无关键破坏，可按“食神制杀”记录。</x:v>
      </x:c>
      <x:c r="AF23" s="90" t="str">
        <x:v>仅因“食神、七杀、财星”同时出现，但核心十神无力、无作用路径或被关键因素破坏，不能判“食神制杀”成立。</x:v>
      </x:c>
      <x:c r="AG23" s="68" t="str">
        <x:v>https://zh.wikisource.org/zh-hans/%E6%B7%B5%E6%B5%B7%E5%AD%90%E5%B9%B3 ; https://zh.wikisource.org/wiki/%E6%BB%B4%E5%A4%A9%E9%AB%93%E9%97%A1%E5%BE%AE</x:v>
      </x:c>
      <x:c r="AH23" s="82" t="str">
        <x:v>采用</x:v>
      </x:c>
      <x:c r="AI23" s="82" t="str">
        <x:v>初审</x:v>
      </x:c>
      <x:c r="AJ23" s="87" t="n">
        <x:v>46255</x:v>
      </x:c>
    </x:row>
    <x:row r="24">
      <x:c r="A24" s="72" t="str">
        <x:f>IF(OR(C24="",D24=""),"",B24&amp;"-"&amp;UPPER(C24)&amp;"-"&amp;TEXT(D24,"0000")&amp;"-"&amp;E24)</x:f>
        <x:v>M11-SHIZHI-0018-V1.0</x:v>
      </x:c>
      <x:c r="B24" s="74" t="str">
        <x:v>M11</x:v>
      </x:c>
      <x:c r="C24" s="74" t="str">
        <x:v>SHIZHI</x:v>
      </x:c>
      <x:c r="D24" s="215" t="n">
        <x:v>18</x:v>
      </x:c>
      <x:c r="E24" s="74" t="str">
        <x:v>V1.0</x:v>
      </x:c>
      <x:c r="F24" s="68" t="str">
        <x:v>财星过强生杀可能抵消制杀</x:v>
      </x:c>
      <x:c r="G24" s="82" t="str">
        <x:v>结构层</x:v>
      </x:c>
      <x:c r="H24" s="82" t="str">
        <x:v>制化型</x:v>
      </x:c>
      <x:c r="I24" s="68" t="str">
        <x:v>食神制杀</x:v>
      </x:c>
      <x:c r="J24" s="68" t="str">
        <x:v>食神、七杀、财星</x:v>
      </x:c>
      <x:c r="K24" s="68" t="str">
        <x:v>财星有力并持续生七杀</x:v>
      </x:c>
      <x:c r="L24" s="68" t="str">
        <x:v>食神同时制杀</x:v>
      </x:c>
      <x:c r="M24" s="68" t="str">
        <x:v>直接或可达的生克制化路径成立</x:v>
      </x:c>
      <x:c r="N24" s="68" t="str">
        <x:v>相关十神均以M10有效力量为准，且不存在决定性失衡</x:v>
      </x:c>
      <x:c r="O24" s="68" t="str">
        <x:v>结合M09日主承载判断</x:v>
      </x:c>
      <x:c r="P24" s="68" t="str">
        <x:v>主体、客体、作用路径与力量匹配均达到最低要求</x:v>
      </x:c>
      <x:c r="Q24" s="68" t="str">
        <x:v>相关十神有根、有源、透达、清纯且关键通路稳定</x:v>
      </x:c>
      <x:c r="R24" s="90" t="str">
        <x:v>财生杀强度明显高于食神制杀效率</x:v>
      </x:c>
      <x:c r="S24" s="68" t="str">
        <x:v>存在第三十神恢复通路、清除破坏或重新形成平衡</x:v>
      </x:c>
      <x:c r="T24" s="90" t="str">
        <x:v>任一核心十神失效，或不存在真实作用路径</x:v>
      </x:c>
      <x:c r="U24" s="68" t="str">
        <x:v>特殊格局、从化或月令格局另转M14/M15复审</x:v>
      </x:c>
      <x:c r="V24" s="84" t="str">
        <x:v>弱成立</x:v>
      </x:c>
      <x:c r="W24" s="84" t="str">
        <x:v>制杀与生杀并行，净效应不足</x:v>
      </x:c>
      <x:c r="X24" s="82" t="str">
        <x:v>条件性</x:v>
      </x:c>
      <x:c r="Y24" s="68" t="str">
        <x:v>对应格局候选转M14</x:v>
      </x:c>
      <x:c r="Z24" s="84" t="str">
        <x:v>食神制杀_财生杀干扰</x:v>
      </x:c>
      <x:c r="AA24" s="84" t="str">
        <x:v>食神制杀：当主体、客体、路径与力量匹配满足最低标准时，判“弱成立”；是否上升为格局转M14/M15。</x:v>
      </x:c>
      <x:c r="AB24" s="82" t="str">
        <x:v>较高</x:v>
      </x:c>
      <x:c r="AC24" s="82" t="str">
        <x:v>现代综合</x:v>
      </x:c>
      <x:c r="AD24" s="68" t="str">
        <x:v>十神同时出现不等于组合成立。M11须同时验证核心十神有效性、作用路径、力量匹配、日主承载、破坏因素与救应；组合成立也不等于格局成立。</x:v>
      </x:c>
      <x:c r="AE24" s="68" t="str">
        <x:v>财星有力并持续生七杀；食神同时制杀；作用路径稳定且无关键破坏，可按“食神制杀”记录。</x:v>
      </x:c>
      <x:c r="AF24" s="90" t="str">
        <x:v>仅因“食神、七杀、财星”同时出现，但核心十神无力、无作用路径或被关键因素破坏，不能判“食神制杀”成立。</x:v>
      </x:c>
      <x:c r="AG24" s="68" t="str">
        <x:v>https://zh.wikisource.org/zh-hans/%E6%B7%B5%E6%B5%B7%E5%AD%90%E5%B9%B3 ; https://zh.wikisource.org/wiki/%E6%BB%B4%E5%A4%A9%E9%AB%93%E9%97%A1%E5%BE%AE</x:v>
      </x:c>
      <x:c r="AH24" s="82" t="str">
        <x:v>采用</x:v>
      </x:c>
      <x:c r="AI24" s="82" t="str">
        <x:v>初审</x:v>
      </x:c>
      <x:c r="AJ24" s="87" t="n">
        <x:v>46255</x:v>
      </x:c>
    </x:row>
    <x:row r="25">
      <x:c r="A25" s="72" t="str">
        <x:f>IF(OR(C25="",D25=""),"",B25&amp;"-"&amp;UPPER(C25)&amp;"-"&amp;TEXT(D25,"0000")&amp;"-"&amp;E25)</x:f>
        <x:v>M11-SHIZHI-0019-V1.0</x:v>
      </x:c>
      <x:c r="B25" s="74" t="str">
        <x:v>M11</x:v>
      </x:c>
      <x:c r="C25" s="74" t="str">
        <x:v>SHIZHI</x:v>
      </x:c>
      <x:c r="D25" s="215" t="n">
        <x:v>19</x:v>
      </x:c>
      <x:c r="E25" s="74" t="str">
        <x:v>V1.0</x:v>
      </x:c>
      <x:c r="F25" s="68" t="str">
        <x:v>日主过弱时食神制杀需防再泄身</x:v>
      </x:c>
      <x:c r="G25" s="82" t="str">
        <x:v>结构层</x:v>
      </x:c>
      <x:c r="H25" s="82" t="str">
        <x:v>制化型</x:v>
      </x:c>
      <x:c r="I25" s="68" t="str">
        <x:v>食神制杀</x:v>
      </x:c>
      <x:c r="J25" s="68" t="str">
        <x:v>食神、七杀</x:v>
      </x:c>
      <x:c r="K25" s="68" t="str">
        <x:v>日主弱或极弱</x:v>
      </x:c>
      <x:c r="L25" s="68" t="str">
        <x:v>食神虽能制杀但同时明显泄身</x:v>
      </x:c>
      <x:c r="M25" s="68" t="str">
        <x:v>直接或可达的生克制化路径成立</x:v>
      </x:c>
      <x:c r="N25" s="68" t="str">
        <x:v>相关十神均以M10有效力量为准，且不存在决定性失衡</x:v>
      </x:c>
      <x:c r="O25" s="68" t="str">
        <x:v>若日主无印比承载，食神制杀的收益可能被泄身成本抵消</x:v>
      </x:c>
      <x:c r="P25" s="68" t="str">
        <x:v>主体、客体、作用路径与力量匹配均达到最低要求</x:v>
      </x:c>
      <x:c r="Q25" s="68" t="str">
        <x:v>相关十神有根、有源、透达、清纯且关键通路稳定</x:v>
      </x:c>
      <x:c r="R25" s="90" t="str">
        <x:v>关键十神被合绊、被制、改性、失效或力量严重失衡</x:v>
      </x:c>
      <x:c r="S25" s="68" t="str">
        <x:v>存在第三十神恢复通路、清除破坏或重新形成平衡</x:v>
      </x:c>
      <x:c r="T25" s="90" t="str">
        <x:v>任一核心十神失效，或不存在真实作用路径</x:v>
      </x:c>
      <x:c r="U25" s="68" t="str">
        <x:v>特殊格局、从化或月令格局另转M14/M15复审</x:v>
      </x:c>
      <x:c r="V25" s="84" t="str">
        <x:v>弱成立</x:v>
      </x:c>
      <x:c r="W25" s="84" t="str">
        <x:v>形成局部生化、制化或承载结构</x:v>
      </x:c>
      <x:c r="X25" s="82" t="str">
        <x:v>否</x:v>
      </x:c>
      <x:c r="Y25" s="68" t="str">
        <x:v>对应格局候选转M14</x:v>
      </x:c>
      <x:c r="Z25" s="84" t="str">
        <x:v>食神制杀_日主承载</x:v>
      </x:c>
      <x:c r="AA25" s="84" t="str">
        <x:v>食神制杀：当主体、客体、路径与力量匹配满足最低标准时，判“弱成立”；是否上升为格局转M14/M15。</x:v>
      </x:c>
      <x:c r="AB25" s="82" t="str">
        <x:v>较高</x:v>
      </x:c>
      <x:c r="AC25" s="82" t="str">
        <x:v>现代综合</x:v>
      </x:c>
      <x:c r="AD25" s="68" t="str">
        <x:v>十神同时出现不等于组合成立。M11须同时验证核心十神有效性、作用路径、力量匹配、日主承载、破坏因素与救应；组合成立也不等于格局成立。</x:v>
      </x:c>
      <x:c r="AE25" s="68" t="str">
        <x:v>日主弱或极弱；食神虽能制杀但同时明显泄身；作用路径稳定且无关键破坏，可按“食神制杀”记录。</x:v>
      </x:c>
      <x:c r="AF25" s="90" t="str">
        <x:v>仅因“食神、七杀”同时出现，但核心十神无力、无作用路径或被关键因素破坏，不能判“食神制杀”成立。</x:v>
      </x:c>
      <x:c r="AG25" s="68" t="str">
        <x:v>https://zh.wikisource.org/zh-hans/%E6%B7%B5%E6%B5%B7%E5%AD%90%E5%B9%B3 ; https://zh.wikisource.org/wiki/%E6%BB%B4%E5%A4%A9%E9%AB%93%E9%97%A1%E5%BE%AE</x:v>
      </x:c>
      <x:c r="AH25" s="82" t="str">
        <x:v>采用</x:v>
      </x:c>
      <x:c r="AI25" s="82" t="str">
        <x:v>初审</x:v>
      </x:c>
      <x:c r="AJ25" s="87" t="n">
        <x:v>46255</x:v>
      </x:c>
    </x:row>
    <x:row r="26">
      <x:c r="A26" s="72" t="str">
        <x:f>IF(OR(C26="",D26=""),"",B26&amp;"-"&amp;UPPER(C26)&amp;"-"&amp;TEXT(D26,"0000")&amp;"-"&amp;E26)</x:f>
        <x:v>M11-SHIZHI-0020-V1.0</x:v>
      </x:c>
      <x:c r="B26" s="74" t="str">
        <x:v>M11</x:v>
      </x:c>
      <x:c r="C26" s="74" t="str">
        <x:v>SHIZHI</x:v>
      </x:c>
      <x:c r="D26" s="215" t="n">
        <x:v>20</x:v>
      </x:c>
      <x:c r="E26" s="74" t="str">
        <x:v>V1.0</x:v>
      </x:c>
      <x:c r="F26" s="68" t="str">
        <x:v>力量匹配且路径清晰时可判明显成立</x:v>
      </x:c>
      <x:c r="G26" s="82" t="str">
        <x:v>结构层</x:v>
      </x:c>
      <x:c r="H26" s="82" t="str">
        <x:v>制化型</x:v>
      </x:c>
      <x:c r="I26" s="68" t="str">
        <x:v>食神制杀</x:v>
      </x:c>
      <x:c r="J26" s="68" t="str">
        <x:v>食神、七杀</x:v>
      </x:c>
      <x:c r="K26" s="68" t="str">
        <x:v>七杀有权，食神有力且未受关键破坏</x:v>
      </x:c>
      <x:c r="L26" s="68" t="str">
        <x:v>制杀路径直接、持续、无争夺</x:v>
      </x:c>
      <x:c r="M26" s="68" t="str">
        <x:v>直接或可达的生克制化路径成立</x:v>
      </x:c>
      <x:c r="N26" s="68" t="str">
        <x:v>食杀力量匹配，既非制杀不足也非制杀太过</x:v>
      </x:c>
      <x:c r="O26" s="68" t="str">
        <x:v>结合M09日主承载判断</x:v>
      </x:c>
      <x:c r="P26" s="68" t="str">
        <x:v>主体客体路径比例与承载均良好</x:v>
      </x:c>
      <x:c r="Q26" s="68" t="str">
        <x:v>相关十神有根、有源、透达、清纯且关键通路稳定</x:v>
      </x:c>
      <x:c r="R26" s="90" t="str">
        <x:v>关键十神被合绊、被制、改性、失效或力量严重失衡</x:v>
      </x:c>
      <x:c r="S26" s="68" t="str">
        <x:v>存在第三十神恢复通路、清除破坏或重新形成平衡</x:v>
      </x:c>
      <x:c r="T26" s="90" t="str">
        <x:v>任一核心十神失效，或不存在真实作用路径</x:v>
      </x:c>
      <x:c r="U26" s="68" t="str">
        <x:v>特殊格局、从化或月令格局另转M14/M15复审</x:v>
      </x:c>
      <x:c r="V26" s="84" t="str">
        <x:v>明显成立</x:v>
      </x:c>
      <x:c r="W26" s="84" t="str">
        <x:v>形成稳定制杀结构</x:v>
      </x:c>
      <x:c r="X26" s="82" t="str">
        <x:v>条件性</x:v>
      </x:c>
      <x:c r="Y26" s="68" t="str">
        <x:v>对应格局候选转M14</x:v>
      </x:c>
      <x:c r="Z26" s="84" t="str">
        <x:v>食神制杀_明显成立</x:v>
      </x:c>
      <x:c r="AA26" s="84" t="str">
        <x:v>食神制杀：当主体、客体、路径与力量匹配满足最低标准时，判“明显成立”；是否上升为格局转M14/M15。</x:v>
      </x:c>
      <x:c r="AB26" s="82" t="str">
        <x:v>较高</x:v>
      </x:c>
      <x:c r="AC26" s="82" t="str">
        <x:v>现代综合</x:v>
      </x:c>
      <x:c r="AD26" s="68" t="str">
        <x:v>十神同时出现不等于组合成立。M11须同时验证核心十神有效性、作用路径、力量匹配、日主承载、破坏因素与救应；组合成立也不等于格局成立。</x:v>
      </x:c>
      <x:c r="AE26" s="68" t="str">
        <x:v>七杀有权，食神有力且未受关键破坏；制杀路径直接、持续、无争夺；作用路径稳定且无关键破坏，可按“食神制杀”记录。</x:v>
      </x:c>
      <x:c r="AF26" s="90" t="str">
        <x:v>仅因“食神、七杀”同时出现，但核心十神无力、无作用路径或被关键因素破坏，不能判“食神制杀”成立。</x:v>
      </x:c>
      <x:c r="AG26" s="68" t="str">
        <x:v>https://zh.wikisource.org/zh-hans/%E6%B7%B5%E6%B5%B7%E5%AD%90%E5%B9%B3 ; https://zh.wikisource.org/wiki/%E6%BB%B4%E5%A4%A9%E9%AB%93%E9%97%A1%E5%BE%AE</x:v>
      </x:c>
      <x:c r="AH26" s="82" t="str">
        <x:v>采用</x:v>
      </x:c>
      <x:c r="AI26" s="82" t="str">
        <x:v>初审</x:v>
      </x:c>
      <x:c r="AJ26" s="87" t="n">
        <x:v>46255</x:v>
      </x:c>
    </x:row>
    <x:row r="27">
      <x:c r="A27" s="72" t="str">
        <x:f>IF(OR(C27="",D27=""),"",B27&amp;"-"&amp;UPPER(C27)&amp;"-"&amp;TEXT(D27,"0000")&amp;"-"&amp;E27)</x:f>
        <x:v>M11-SHAYIN-0021-V1.0</x:v>
      </x:c>
      <x:c r="B27" s="74" t="str">
        <x:v>M11</x:v>
      </x:c>
      <x:c r="C27" s="74" t="str">
        <x:v>SHAYIN</x:v>
      </x:c>
      <x:c r="D27" s="215" t="n">
        <x:v>21</x:v>
      </x:c>
      <x:c r="E27" s="74" t="str">
        <x:v>V1.0</x:v>
      </x:c>
      <x:c r="F27" s="68" t="str">
        <x:v>七杀必须能够生印而非只直接攻身</x:v>
      </x:c>
      <x:c r="G27" s="82" t="str">
        <x:v>结构层</x:v>
      </x:c>
      <x:c r="H27" s="82" t="str">
        <x:v>生化型</x:v>
      </x:c>
      <x:c r="I27" s="68" t="str">
        <x:v>杀印相生</x:v>
      </x:c>
      <x:c r="J27" s="68" t="str">
        <x:v>七杀、印星</x:v>
      </x:c>
      <x:c r="K27" s="68" t="str">
        <x:v>七杀有效且存在向印星的生扶路径</x:v>
      </x:c>
      <x:c r="L27" s="68" t="str">
        <x:v>印星有效并能承接七杀之气</x:v>
      </x:c>
      <x:c r="M27" s="68" t="str">
        <x:v>七杀→印星路径连续</x:v>
      </x:c>
      <x:c r="N27" s="68" t="str">
        <x:v>相关十神均以M10有效力量为准，且不存在决定性失衡</x:v>
      </x:c>
      <x:c r="O27" s="68" t="str">
        <x:v>结合M09日主承载判断</x:v>
      </x:c>
      <x:c r="P27" s="68" t="str">
        <x:v>主体、客体、作用路径与力量匹配均达到最低要求</x:v>
      </x:c>
      <x:c r="Q27" s="68" t="str">
        <x:v>相关十神有根、有源、透达、清纯且关键通路稳定</x:v>
      </x:c>
      <x:c r="R27" s="90" t="str">
        <x:v>关键十神被合绊、被制、改性、失效或力量严重失衡</x:v>
      </x:c>
      <x:c r="S27" s="68" t="str">
        <x:v>存在第三十神恢复通路、清除破坏或重新形成平衡</x:v>
      </x:c>
      <x:c r="T27" s="90" t="str">
        <x:v>任一核心十神失效，或不存在真实作用路径</x:v>
      </x:c>
      <x:c r="U27" s="68" t="str">
        <x:v>特殊格局、从化或月令格局另转M14/M15复审</x:v>
      </x:c>
      <x:c r="V27" s="84" t="str">
        <x:v>基本成立</x:v>
      </x:c>
      <x:c r="W27" s="84" t="str">
        <x:v>将杀气导入印星</x:v>
      </x:c>
      <x:c r="X27" s="82" t="str">
        <x:v>条件性</x:v>
      </x:c>
      <x:c r="Y27" s="68" t="str">
        <x:v>杀印相生格候选</x:v>
      </x:c>
      <x:c r="Z27" s="84" t="str">
        <x:v>杀印相生_成立条件</x:v>
      </x:c>
      <x:c r="AA27" s="84" t="str">
        <x:v>杀印相生：当主体、客体、路径与力量匹配满足最低标准时，判“基本成立”；是否上升为格局转M14/M15。</x:v>
      </x:c>
      <x:c r="AB27" s="82" t="str">
        <x:v>较高</x:v>
      </x:c>
      <x:c r="AC27" s="82" t="str">
        <x:v>现代综合</x:v>
      </x:c>
      <x:c r="AD27" s="68" t="str">
        <x:v>十神同时出现不等于组合成立。M11须同时验证核心十神有效性、作用路径、力量匹配、日主承载、破坏因素与救应；组合成立也不等于格局成立。</x:v>
      </x:c>
      <x:c r="AE27" s="68" t="str">
        <x:v>七杀有效且存在向印星的生扶路径；印星有效并能承接七杀之气；作用路径稳定且无关键破坏，可按“杀印相生”记录。</x:v>
      </x:c>
      <x:c r="AF27" s="90" t="str">
        <x:v>仅因“七杀、印星”同时出现，但核心十神无力、无作用路径或被关键因素破坏，不能判“杀印相生”成立。</x:v>
      </x:c>
      <x:c r="AG27" s="68" t="str">
        <x:v>https://zh.wikisource.org/zh-hans/%E6%B7%B5%E6%B5%B7%E5%AD%90%E5%B9%B3 ; https://zh.wikisource.org/wiki/%E6%BB%B4%E5%A4%A9%E9%AB%93%E9%97%A1%E5%BE%AE</x:v>
      </x:c>
      <x:c r="AH27" s="82" t="str">
        <x:v>采用</x:v>
      </x:c>
      <x:c r="AI27" s="82" t="str">
        <x:v>初审</x:v>
      </x:c>
      <x:c r="AJ27" s="87" t="n">
        <x:v>46255</x:v>
      </x:c>
    </x:row>
    <x:row r="28">
      <x:c r="A28" s="72" t="str">
        <x:f>IF(OR(C28="",D28=""),"",B28&amp;"-"&amp;UPPER(C28)&amp;"-"&amp;TEXT(D28,"0000")&amp;"-"&amp;E28)</x:f>
        <x:v>M11-SHAYIN-0022-V1.0</x:v>
      </x:c>
      <x:c r="B28" s="74" t="str">
        <x:v>M11</x:v>
      </x:c>
      <x:c r="C28" s="74" t="str">
        <x:v>SHAYIN</x:v>
      </x:c>
      <x:c r="D28" s="215" t="n">
        <x:v>22</x:v>
      </x:c>
      <x:c r="E28" s="74" t="str">
        <x:v>V1.0</x:v>
      </x:c>
      <x:c r="F28" s="68" t="str">
        <x:v>印星必须能够继续生日主</x:v>
      </x:c>
      <x:c r="G28" s="82" t="str">
        <x:v>结构层</x:v>
      </x:c>
      <x:c r="H28" s="82" t="str">
        <x:v>生化型</x:v>
      </x:c>
      <x:c r="I28" s="68" t="str">
        <x:v>杀印相生</x:v>
      </x:c>
      <x:c r="J28" s="68" t="str">
        <x:v>七杀、印星、日主</x:v>
      </x:c>
      <x:c r="K28" s="68" t="str">
        <x:v>印星承接七杀后仍有能力生日主</x:v>
      </x:c>
      <x:c r="L28" s="68" t="str">
        <x:v>日主能够接受印星生扶</x:v>
      </x:c>
      <x:c r="M28" s="68" t="str">
        <x:v>七杀→印→日主链路完整</x:v>
      </x:c>
      <x:c r="N28" s="68" t="str">
        <x:v>相关十神均以M10有效力量为准，且不存在决定性失衡</x:v>
      </x:c>
      <x:c r="O28" s="68" t="str">
        <x:v>结合M09日主承载判断</x:v>
      </x:c>
      <x:c r="P28" s="68" t="str">
        <x:v>杀生印、印生身两段均有效</x:v>
      </x:c>
      <x:c r="Q28" s="68" t="str">
        <x:v>相关十神有根、有源、透达、清纯且关键通路稳定</x:v>
      </x:c>
      <x:c r="R28" s="90" t="str">
        <x:v>关键十神被合绊、被制、改性、失效或力量严重失衡</x:v>
      </x:c>
      <x:c r="S28" s="68" t="str">
        <x:v>存在第三十神恢复通路、清除破坏或重新形成平衡</x:v>
      </x:c>
      <x:c r="T28" s="90" t="str">
        <x:v>任一核心十神失效，或不存在真实作用路径</x:v>
      </x:c>
      <x:c r="U28" s="68" t="str">
        <x:v>特殊格局、从化或月令格局另转M14/M15复审</x:v>
      </x:c>
      <x:c r="V28" s="84" t="str">
        <x:v>基本成立</x:v>
      </x:c>
      <x:c r="W28" s="84" t="str">
        <x:v>形成局部生化、制化或承载结构</x:v>
      </x:c>
      <x:c r="X28" s="82" t="str">
        <x:v>条件性</x:v>
      </x:c>
      <x:c r="Y28" s="68" t="str">
        <x:v>对应格局候选转M14</x:v>
      </x:c>
      <x:c r="Z28" s="84" t="str">
        <x:v>杀印相生_完整链</x:v>
      </x:c>
      <x:c r="AA28" s="84" t="str">
        <x:v>杀印相生：当主体、客体、路径与力量匹配满足最低标准时，判“基本成立”；是否上升为格局转M14/M15。</x:v>
      </x:c>
      <x:c r="AB28" s="82" t="str">
        <x:v>较高</x:v>
      </x:c>
      <x:c r="AC28" s="82" t="str">
        <x:v>现代综合</x:v>
      </x:c>
      <x:c r="AD28" s="68" t="str">
        <x:v>十神同时出现不等于组合成立。M11须同时验证核心十神有效性、作用路径、力量匹配、日主承载、破坏因素与救应；组合成立也不等于格局成立。</x:v>
      </x:c>
      <x:c r="AE28" s="68" t="str">
        <x:v>印星承接七杀后仍有能力生日主；日主能够接受印星生扶；作用路径稳定且无关键破坏，可按“杀印相生”记录。</x:v>
      </x:c>
      <x:c r="AF28" s="90" t="str">
        <x:v>仅因“七杀、印星、日主”同时出现，但核心十神无力、无作用路径或被关键因素破坏，不能判“杀印相生”成立。</x:v>
      </x:c>
      <x:c r="AG28" s="68" t="str">
        <x:v>https://zh.wikisource.org/zh-hans/%E6%B7%B5%E6%B5%B7%E5%AD%90%E5%B9%B3 ; https://zh.wikisource.org/wiki/%E6%BB%B4%E5%A4%A9%E9%AB%93%E9%97%A1%E5%BE%AE</x:v>
      </x:c>
      <x:c r="AH28" s="82" t="str">
        <x:v>采用</x:v>
      </x:c>
      <x:c r="AI28" s="82" t="str">
        <x:v>初审</x:v>
      </x:c>
      <x:c r="AJ28" s="87" t="n">
        <x:v>46255</x:v>
      </x:c>
    </x:row>
    <x:row r="29">
      <x:c r="A29" s="72" t="str">
        <x:f>IF(OR(C29="",D29=""),"",B29&amp;"-"&amp;UPPER(C29)&amp;"-"&amp;TEXT(D29,"0000")&amp;"-"&amp;E29)</x:f>
        <x:v>M11-SHAYIN-0023-V1.0</x:v>
      </x:c>
      <x:c r="B29" s="74" t="str">
        <x:v>M11</x:v>
      </x:c>
      <x:c r="C29" s="74" t="str">
        <x:v>SHAYIN</x:v>
      </x:c>
      <x:c r="D29" s="215" t="n">
        <x:v>23</x:v>
      </x:c>
      <x:c r="E29" s="74" t="str">
        <x:v>V1.0</x:v>
      </x:c>
      <x:c r="F29" s="68" t="str">
        <x:v>印弱不能有效化杀时组合降级</x:v>
      </x:c>
      <x:c r="G29" s="82" t="str">
        <x:v>结构层</x:v>
      </x:c>
      <x:c r="H29" s="82" t="str">
        <x:v>生化型</x:v>
      </x:c>
      <x:c r="I29" s="68" t="str">
        <x:v>杀印相生</x:v>
      </x:c>
      <x:c r="J29" s="68" t="str">
        <x:v>七杀、印星</x:v>
      </x:c>
      <x:c r="K29" s="68" t="str">
        <x:v>七杀旺而印星弱、无根或受制</x:v>
      </x:c>
      <x:c r="L29" s="68" t="str">
        <x:v>印不足以承接杀气</x:v>
      </x:c>
      <x:c r="M29" s="68" t="str">
        <x:v>直接或可达的生克制化路径成立</x:v>
      </x:c>
      <x:c r="N29" s="68" t="str">
        <x:v>杀明显强于印</x:v>
      </x:c>
      <x:c r="O29" s="68" t="str">
        <x:v>结合M09日主承载判断</x:v>
      </x:c>
      <x:c r="P29" s="68" t="str">
        <x:v>主体、客体、作用路径与力量匹配均达到最低要求</x:v>
      </x:c>
      <x:c r="Q29" s="68" t="str">
        <x:v>相关十神有根、有源、透达、清纯且关键通路稳定</x:v>
      </x:c>
      <x:c r="R29" s="90" t="str">
        <x:v>关键十神被合绊、被制、改性、失效或力量严重失衡</x:v>
      </x:c>
      <x:c r="S29" s="68" t="str">
        <x:v>存在第三十神恢复通路、清除破坏或重新形成平衡</x:v>
      </x:c>
      <x:c r="T29" s="90" t="str">
        <x:v>任一核心十神失效，或不存在真实作用路径</x:v>
      </x:c>
      <x:c r="U29" s="68" t="str">
        <x:v>特殊格局、从化或月令格局另转M14/M15复审</x:v>
      </x:c>
      <x:c r="V29" s="84" t="str">
        <x:v>弱成立</x:v>
      </x:c>
      <x:c r="W29" s="84" t="str">
        <x:v>化杀不及</x:v>
      </x:c>
      <x:c r="X29" s="82" t="str">
        <x:v>否</x:v>
      </x:c>
      <x:c r="Y29" s="68" t="str">
        <x:v>对应格局候选转M14</x:v>
      </x:c>
      <x:c r="Z29" s="84" t="str">
        <x:v>杀印相生_印弱</x:v>
      </x:c>
      <x:c r="AA29" s="84" t="str">
        <x:v>杀印相生：当主体、客体、路径与力量匹配满足最低标准时，判“弱成立”；是否上升为格局转M14/M15。</x:v>
      </x:c>
      <x:c r="AB29" s="82" t="str">
        <x:v>较高</x:v>
      </x:c>
      <x:c r="AC29" s="82" t="str">
        <x:v>现代综合</x:v>
      </x:c>
      <x:c r="AD29" s="68" t="str">
        <x:v>十神同时出现不等于组合成立。M11须同时验证核心十神有效性、作用路径、力量匹配、日主承载、破坏因素与救应；组合成立也不等于格局成立。</x:v>
      </x:c>
      <x:c r="AE29" s="68" t="str">
        <x:v>七杀旺而印星弱、无根或受制；印不足以承接杀气；作用路径稳定且无关键破坏，可按“杀印相生”记录。</x:v>
      </x:c>
      <x:c r="AF29" s="90" t="str">
        <x:v>仅因“七杀、印星”同时出现，但核心十神无力、无作用路径或被关键因素破坏，不能判“杀印相生”成立。</x:v>
      </x:c>
      <x:c r="AG29" s="68" t="str">
        <x:v>https://zh.wikisource.org/zh-hans/%E6%B7%B5%E6%B5%B7%E5%AD%90%E5%B9%B3 ; https://zh.wikisource.org/wiki/%E6%BB%B4%E5%A4%A9%E9%AB%93%E9%97%A1%E5%BE%AE</x:v>
      </x:c>
      <x:c r="AH29" s="82" t="str">
        <x:v>采用</x:v>
      </x:c>
      <x:c r="AI29" s="82" t="str">
        <x:v>初审</x:v>
      </x:c>
      <x:c r="AJ29" s="87" t="n">
        <x:v>46255</x:v>
      </x:c>
    </x:row>
    <x:row r="30">
      <x:c r="A30" s="72" t="str">
        <x:f>IF(OR(C30="",D30=""),"",B30&amp;"-"&amp;UPPER(C30)&amp;"-"&amp;TEXT(D30,"0000")&amp;"-"&amp;E30)</x:f>
        <x:v>M11-SHAYIN-0024-V1.0</x:v>
      </x:c>
      <x:c r="B30" s="74" t="str">
        <x:v>M11</x:v>
      </x:c>
      <x:c r="C30" s="74" t="str">
        <x:v>SHAYIN</x:v>
      </x:c>
      <x:c r="D30" s="215" t="n">
        <x:v>24</x:v>
      </x:c>
      <x:c r="E30" s="74" t="str">
        <x:v>V1.0</x:v>
      </x:c>
      <x:c r="F30" s="68" t="str">
        <x:v>杀弱印旺时不以化杀为主要功能</x:v>
      </x:c>
      <x:c r="G30" s="82" t="str">
        <x:v>结构层</x:v>
      </x:c>
      <x:c r="H30" s="82" t="str">
        <x:v>生化型</x:v>
      </x:c>
      <x:c r="I30" s="68" t="str">
        <x:v>杀印相生</x:v>
      </x:c>
      <x:c r="J30" s="68" t="str">
        <x:v>七杀、印星</x:v>
      </x:c>
      <x:c r="K30" s="68" t="str">
        <x:v>七杀极弱或已被其他力量制住</x:v>
      </x:c>
      <x:c r="L30" s="68" t="str">
        <x:v>印星旺</x:v>
      </x:c>
      <x:c r="M30" s="68" t="str">
        <x:v>直接或可达的生克制化路径成立</x:v>
      </x:c>
      <x:c r="N30" s="68" t="str">
        <x:v>相关十神均以M10有效力量为准，且不存在决定性失衡</x:v>
      </x:c>
      <x:c r="O30" s="68" t="str">
        <x:v>结合M09日主承载判断</x:v>
      </x:c>
      <x:c r="P30" s="68" t="str">
        <x:v>缺少需要化解的有效杀气</x:v>
      </x:c>
      <x:c r="Q30" s="68" t="str">
        <x:v>相关十神有根、有源、透达、清纯且关键通路稳定</x:v>
      </x:c>
      <x:c r="R30" s="90" t="str">
        <x:v>关键十神被合绊、被制、改性、失效或力量严重失衡</x:v>
      </x:c>
      <x:c r="S30" s="68" t="str">
        <x:v>存在第三十神恢复通路、清除破坏或重新形成平衡</x:v>
      </x:c>
      <x:c r="T30" s="90" t="str">
        <x:v>任一核心十神失效，或不存在真实作用路径</x:v>
      </x:c>
      <x:c r="U30" s="68" t="str">
        <x:v>特殊格局、从化或月令格局另转M14/M15复审</x:v>
      </x:c>
      <x:c r="V30" s="84" t="str">
        <x:v>弱成立</x:v>
      </x:c>
      <x:c r="W30" s="84" t="str">
        <x:v>以印生身为主，杀印相生不主导</x:v>
      </x:c>
      <x:c r="X30" s="82" t="str">
        <x:v>否</x:v>
      </x:c>
      <x:c r="Y30" s="68" t="str">
        <x:v>对应格局候选转M14</x:v>
      </x:c>
      <x:c r="Z30" s="84" t="str">
        <x:v>杀印相生_杀弱</x:v>
      </x:c>
      <x:c r="AA30" s="84" t="str">
        <x:v>杀印相生：当主体、客体、路径与力量匹配满足最低标准时，判“弱成立”；是否上升为格局转M14/M15。</x:v>
      </x:c>
      <x:c r="AB30" s="82" t="str">
        <x:v>较高</x:v>
      </x:c>
      <x:c r="AC30" s="82" t="str">
        <x:v>现代综合</x:v>
      </x:c>
      <x:c r="AD30" s="68" t="str">
        <x:v>十神同时出现不等于组合成立。M11须同时验证核心十神有效性、作用路径、力量匹配、日主承载、破坏因素与救应；组合成立也不等于格局成立。</x:v>
      </x:c>
      <x:c r="AE30" s="68" t="str">
        <x:v>七杀极弱或已被其他力量制住；印星旺；作用路径稳定且无关键破坏，可按“杀印相生”记录。</x:v>
      </x:c>
      <x:c r="AF30" s="90" t="str">
        <x:v>仅因“七杀、印星”同时出现，但核心十神无力、无作用路径或被关键因素破坏，不能判“杀印相生”成立。</x:v>
      </x:c>
      <x:c r="AG30" s="68" t="str">
        <x:v>https://zh.wikisource.org/zh-hans/%E6%B7%B5%E6%B5%B7%E5%AD%90%E5%B9%B3 ; https://zh.wikisource.org/wiki/%E6%BB%B4%E5%A4%A9%E9%AB%93%E9%97%A1%E5%BE%AE</x:v>
      </x:c>
      <x:c r="AH30" s="82" t="str">
        <x:v>采用</x:v>
      </x:c>
      <x:c r="AI30" s="82" t="str">
        <x:v>初审</x:v>
      </x:c>
      <x:c r="AJ30" s="87" t="n">
        <x:v>46255</x:v>
      </x:c>
    </x:row>
    <x:row r="31">
      <x:c r="A31" s="72" t="str">
        <x:f>IF(OR(C31="",D31=""),"",B31&amp;"-"&amp;UPPER(C31)&amp;"-"&amp;TEXT(D31,"0000")&amp;"-"&amp;E31)</x:f>
        <x:v>M11-SHAYIN-0025-V1.0</x:v>
      </x:c>
      <x:c r="B31" s="74" t="str">
        <x:v>M11</x:v>
      </x:c>
      <x:c r="C31" s="74" t="str">
        <x:v>SHAYIN</x:v>
      </x:c>
      <x:c r="D31" s="215" t="n">
        <x:v>25</x:v>
      </x:c>
      <x:c r="E31" s="74" t="str">
        <x:v>V1.0</x:v>
      </x:c>
      <x:c r="F31" s="68" t="str">
        <x:v>财坏印会切断杀印相生链</x:v>
      </x:c>
      <x:c r="G31" s="82" t="str">
        <x:v>结构层</x:v>
      </x:c>
      <x:c r="H31" s="82" t="str">
        <x:v>生化型</x:v>
      </x:c>
      <x:c r="I31" s="68" t="str">
        <x:v>杀印相生</x:v>
      </x:c>
      <x:c r="J31" s="68" t="str">
        <x:v>七杀、印星、财星</x:v>
      </x:c>
      <x:c r="K31" s="68" t="str">
        <x:v>财星对印星形成实质强制</x:v>
      </x:c>
      <x:c r="L31" s="68" t="str">
        <x:v>印星承接和生身功能下降</x:v>
      </x:c>
      <x:c r="M31" s="68" t="str">
        <x:v>直接或可达的生克制化路径成立</x:v>
      </x:c>
      <x:c r="N31" s="68" t="str">
        <x:v>相关十神均以M10有效力量为准，且不存在决定性失衡</x:v>
      </x:c>
      <x:c r="O31" s="68" t="str">
        <x:v>结合M09日主承载判断</x:v>
      </x:c>
      <x:c r="P31" s="68" t="str">
        <x:v>主体、客体、作用路径与力量匹配均达到最低要求</x:v>
      </x:c>
      <x:c r="Q31" s="68" t="str">
        <x:v>相关十神有根、有源、透达、清纯且关键通路稳定</x:v>
      </x:c>
      <x:c r="R31" s="90" t="str">
        <x:v>关键印星受财克至受限或失效</x:v>
      </x:c>
      <x:c r="S31" s="68" t="str">
        <x:v>存在第三十神恢复通路、清除破坏或重新形成平衡</x:v>
      </x:c>
      <x:c r="T31" s="90" t="str">
        <x:v>任一核心十神失效，或不存在真实作用路径</x:v>
      </x:c>
      <x:c r="U31" s="68" t="str">
        <x:v>特殊格局、从化或月令格局另转M14/M15复审</x:v>
      </x:c>
      <x:c r="V31" s="84" t="str">
        <x:v>不成立</x:v>
      </x:c>
      <x:c r="W31" s="84" t="str">
        <x:v>形成局部生化、制化或承载结构</x:v>
      </x:c>
      <x:c r="X31" s="82" t="str">
        <x:v>否</x:v>
      </x:c>
      <x:c r="Y31" s="68" t="str">
        <x:v>对应格局候选转M14</x:v>
      </x:c>
      <x:c r="Z31" s="84" t="str">
        <x:v>杀印相生_财坏印</x:v>
      </x:c>
      <x:c r="AA31" s="84" t="str">
        <x:v>杀印相生：当主体、客体、路径与力量匹配满足最低标准时，判“不成立”；是否上升为格局转M14/M15。</x:v>
      </x:c>
      <x:c r="AB31" s="82" t="str">
        <x:v>较高</x:v>
      </x:c>
      <x:c r="AC31" s="82" t="str">
        <x:v>现代综合</x:v>
      </x:c>
      <x:c r="AD31" s="68" t="str">
        <x:v>十神同时出现不等于组合成立。M11须同时验证核心十神有效性、作用路径、力量匹配、日主承载、破坏因素与救应；组合成立也不等于格局成立。</x:v>
      </x:c>
      <x:c r="AE31" s="68" t="str">
        <x:v>财星对印星形成实质强制；印星承接和生身功能下降；作用路径稳定且无关键破坏，可按“杀印相生”记录。</x:v>
      </x:c>
      <x:c r="AF31" s="90" t="str">
        <x:v>仅因“七杀、印星、财星”同时出现，但核心十神无力、无作用路径或被关键因素破坏，不能判“杀印相生”成立。</x:v>
      </x:c>
      <x:c r="AG31" s="68" t="str">
        <x:v>https://zh.wikisource.org/zh-hans/%E6%B7%B5%E6%B5%B7%E5%AD%90%E5%B9%B3 ; https://zh.wikisource.org/wiki/%E6%BB%B4%E5%A4%A9%E9%AB%93%E9%97%A1%E5%BE%AE</x:v>
      </x:c>
      <x:c r="AH31" s="82" t="str">
        <x:v>采用</x:v>
      </x:c>
      <x:c r="AI31" s="82" t="str">
        <x:v>初审</x:v>
      </x:c>
      <x:c r="AJ31" s="87" t="n">
        <x:v>46255</x:v>
      </x:c>
    </x:row>
    <x:row r="32">
      <x:c r="A32" s="72" t="str">
        <x:f>IF(OR(C32="",D32=""),"",B32&amp;"-"&amp;UPPER(C32)&amp;"-"&amp;TEXT(D32,"0000")&amp;"-"&amp;E32)</x:f>
        <x:v>M11-SHAYIN-0026-V1.0</x:v>
      </x:c>
      <x:c r="B32" s="74" t="str">
        <x:v>M11</x:v>
      </x:c>
      <x:c r="C32" s="74" t="str">
        <x:v>SHAYIN</x:v>
      </x:c>
      <x:c r="D32" s="215" t="n">
        <x:v>26</x:v>
      </x:c>
      <x:c r="E32" s="74" t="str">
        <x:v>V1.0</x:v>
      </x:c>
      <x:c r="F32" s="68" t="str">
        <x:v>比劫可增强印生身后的承载</x:v>
      </x:c>
      <x:c r="G32" s="82" t="str">
        <x:v>结构层</x:v>
      </x:c>
      <x:c r="H32" s="82" t="str">
        <x:v>生化型</x:v>
      </x:c>
      <x:c r="I32" s="68" t="str">
        <x:v>杀印相生</x:v>
      </x:c>
      <x:c r="J32" s="68" t="str">
        <x:v>七杀、印星、比劫</x:v>
      </x:c>
      <x:c r="K32" s="68" t="str">
        <x:v>杀印链成立</x:v>
      </x:c>
      <x:c r="L32" s="68" t="str">
        <x:v>比劫提供额外同类承载</x:v>
      </x:c>
      <x:c r="M32" s="68" t="str">
        <x:v>直接或可达的生克制化路径成立</x:v>
      </x:c>
      <x:c r="N32" s="68" t="str">
        <x:v>相关十神均以M10有效力量为准，且不存在决定性失衡</x:v>
      </x:c>
      <x:c r="O32" s="68" t="str">
        <x:v>结合M09日主承载判断</x:v>
      </x:c>
      <x:c r="P32" s="68" t="str">
        <x:v>主体、客体、作用路径与力量匹配均达到最低要求</x:v>
      </x:c>
      <x:c r="Q32" s="68" t="str">
        <x:v>印比连续扶身且不破坏其他关键结构</x:v>
      </x:c>
      <x:c r="R32" s="90" t="str">
        <x:v>关键十神被合绊、被制、改性、失效或力量严重失衡</x:v>
      </x:c>
      <x:c r="S32" s="68" t="str">
        <x:v>存在第三十神恢复通路、清除破坏或重新形成平衡</x:v>
      </x:c>
      <x:c r="T32" s="90" t="str">
        <x:v>任一核心十神失效，或不存在真实作用路径</x:v>
      </x:c>
      <x:c r="U32" s="68" t="str">
        <x:v>特殊格局、从化或月令格局另转M14/M15复审</x:v>
      </x:c>
      <x:c r="V32" s="84" t="str">
        <x:v>明显成立</x:v>
      </x:c>
      <x:c r="W32" s="84" t="str">
        <x:v>形成局部生化、制化或承载结构</x:v>
      </x:c>
      <x:c r="X32" s="82" t="str">
        <x:v>条件性</x:v>
      </x:c>
      <x:c r="Y32" s="68" t="str">
        <x:v>对应格局候选转M14</x:v>
      </x:c>
      <x:c r="Z32" s="84" t="str">
        <x:v>杀印相生_印比增强</x:v>
      </x:c>
      <x:c r="AA32" s="84" t="str">
        <x:v>杀印相生：当主体、客体、路径与力量匹配满足最低标准时，判“明显成立”；是否上升为格局转M14/M15。</x:v>
      </x:c>
      <x:c r="AB32" s="82" t="str">
        <x:v>较高</x:v>
      </x:c>
      <x:c r="AC32" s="82" t="str">
        <x:v>现代综合</x:v>
      </x:c>
      <x:c r="AD32" s="68" t="str">
        <x:v>十神同时出现不等于组合成立。M11须同时验证核心十神有效性、作用路径、力量匹配、日主承载、破坏因素与救应；组合成立也不等于格局成立。</x:v>
      </x:c>
      <x:c r="AE32" s="68" t="str">
        <x:v>杀印链成立；比劫提供额外同类承载；作用路径稳定且无关键破坏，可按“杀印相生”记录。</x:v>
      </x:c>
      <x:c r="AF32" s="90" t="str">
        <x:v>仅因“七杀、印星、比劫”同时出现，但核心十神无力、无作用路径或被关键因素破坏，不能判“杀印相生”成立。</x:v>
      </x:c>
      <x:c r="AG32" s="68" t="str">
        <x:v>https://zh.wikisource.org/zh-hans/%E6%B7%B5%E6%B5%B7%E5%AD%90%E5%B9%B3 ; https://zh.wikisource.org/wiki/%E6%BB%B4%E5%A4%A9%E9%AB%93%E9%97%A1%E5%BE%AE</x:v>
      </x:c>
      <x:c r="AH32" s="82" t="str">
        <x:v>采用</x:v>
      </x:c>
      <x:c r="AI32" s="82" t="str">
        <x:v>初审</x:v>
      </x:c>
      <x:c r="AJ32" s="87" t="n">
        <x:v>46255</x:v>
      </x:c>
    </x:row>
    <x:row r="33">
      <x:c r="A33" s="72" t="str">
        <x:f>IF(OR(C33="",D33=""),"",B33&amp;"-"&amp;UPPER(C33)&amp;"-"&amp;TEXT(D33,"0000")&amp;"-"&amp;E33)</x:f>
        <x:v>M11-SHAYIN-0027-V1.0</x:v>
      </x:c>
      <x:c r="B33" s="74" t="str">
        <x:v>M11</x:v>
      </x:c>
      <x:c r="C33" s="74" t="str">
        <x:v>SHAYIN</x:v>
      </x:c>
      <x:c r="D33" s="215" t="n">
        <x:v>27</x:v>
      </x:c>
      <x:c r="E33" s="74" t="str">
        <x:v>V1.0</x:v>
      </x:c>
      <x:c r="F33" s="68" t="str">
        <x:v>食神强制杀会与印化杀形成路线竞争</x:v>
      </x:c>
      <x:c r="G33" s="82" t="str">
        <x:v>结构层</x:v>
      </x:c>
      <x:c r="H33" s="82" t="str">
        <x:v>生化型</x:v>
      </x:c>
      <x:c r="I33" s="68" t="str">
        <x:v>杀印相生</x:v>
      </x:c>
      <x:c r="J33" s="68" t="str">
        <x:v>七杀、印星、食神</x:v>
      </x:c>
      <x:c r="K33" s="68" t="str">
        <x:v>食神制杀与印化杀同时存在</x:v>
      </x:c>
      <x:c r="L33" s="68" t="str">
        <x:v>七杀力量被两条路径共同调用</x:v>
      </x:c>
      <x:c r="M33" s="68" t="str">
        <x:v>直接或可达的生克制化路径成立</x:v>
      </x:c>
      <x:c r="N33" s="68" t="str">
        <x:v>相关十神均以M10有效力量为准，且不存在决定性失衡</x:v>
      </x:c>
      <x:c r="O33" s="68" t="str">
        <x:v>结合M09日主承载判断</x:v>
      </x:c>
      <x:c r="P33" s="68" t="str">
        <x:v>主体、客体、作用路径与力量匹配均达到最低要求</x:v>
      </x:c>
      <x:c r="Q33" s="68" t="str">
        <x:v>相关十神有根、有源、透达、清纯且关键通路稳定</x:v>
      </x:c>
      <x:c r="R33" s="90" t="str">
        <x:v>制杀与化杀争夺同一杀气，导致任一路径容量不足</x:v>
      </x:c>
      <x:c r="S33" s="68" t="str">
        <x:v>存在第三十神恢复通路、清除破坏或重新形成平衡</x:v>
      </x:c>
      <x:c r="T33" s="90" t="str">
        <x:v>任一核心十神失效，或不存在真实作用路径</x:v>
      </x:c>
      <x:c r="U33" s="68" t="str">
        <x:v>特殊格局、从化或月令格局另转M14/M15复审</x:v>
      </x:c>
      <x:c r="V33" s="84" t="str">
        <x:v>基本成立</x:v>
      </x:c>
      <x:c r="W33" s="84" t="str">
        <x:v>形成局部生化、制化或承载结构</x:v>
      </x:c>
      <x:c r="X33" s="82" t="str">
        <x:v>条件性</x:v>
      </x:c>
      <x:c r="Y33" s="68" t="str">
        <x:v>对应格局候选转M14</x:v>
      </x:c>
      <x:c r="Z33" s="84" t="str">
        <x:v>杀印相生_制化并见</x:v>
      </x:c>
      <x:c r="AA33" s="84" t="str">
        <x:v>杀印相生：当主体、客体、路径与力量匹配满足最低标准时，判“基本成立”；是否上升为格局转M14/M15。</x:v>
      </x:c>
      <x:c r="AB33" s="82" t="str">
        <x:v>较高</x:v>
      </x:c>
      <x:c r="AC33" s="82" t="str">
        <x:v>现代综合</x:v>
      </x:c>
      <x:c r="AD33" s="68" t="str">
        <x:v>十神同时出现不等于组合成立。M11须同时验证核心十神有效性、作用路径、力量匹配、日主承载、破坏因素与救应；组合成立也不等于格局成立。</x:v>
      </x:c>
      <x:c r="AE33" s="68" t="str">
        <x:v>食神制杀与印化杀同时存在；七杀力量被两条路径共同调用；作用路径稳定且无关键破坏，可按“杀印相生”记录。</x:v>
      </x:c>
      <x:c r="AF33" s="90" t="str">
        <x:v>仅因“七杀、印星、食神”同时出现，但核心十神无力、无作用路径或被关键因素破坏，不能判“杀印相生”成立。</x:v>
      </x:c>
      <x:c r="AG33" s="68" t="str">
        <x:v>https://zh.wikisource.org/zh-hans/%E6%B7%B5%E6%B5%B7%E5%AD%90%E5%B9%B3 ; https://zh.wikisource.org/wiki/%E6%BB%B4%E5%A4%A9%E9%AB%93%E9%97%A1%E5%BE%AE</x:v>
      </x:c>
      <x:c r="AH33" s="82" t="str">
        <x:v>采用</x:v>
      </x:c>
      <x:c r="AI33" s="82" t="str">
        <x:v>初审</x:v>
      </x:c>
      <x:c r="AJ33" s="87" t="n">
        <x:v>46255</x:v>
      </x:c>
    </x:row>
    <x:row r="34">
      <x:c r="A34" s="72" t="str">
        <x:f>IF(OR(C34="",D34=""),"",B34&amp;"-"&amp;UPPER(C34)&amp;"-"&amp;TEXT(D34,"0000")&amp;"-"&amp;E34)</x:f>
        <x:v>M11-SHAYIN-0028-V1.0</x:v>
      </x:c>
      <x:c r="B34" s="74" t="str">
        <x:v>M11</x:v>
      </x:c>
      <x:c r="C34" s="74" t="str">
        <x:v>SHAYIN</x:v>
      </x:c>
      <x:c r="D34" s="215" t="n">
        <x:v>28</x:v>
      </x:c>
      <x:c r="E34" s="74" t="str">
        <x:v>V1.0</x:v>
      </x:c>
      <x:c r="F34" s="68" t="str">
        <x:v>杀印链连续且比例协调可判明显成立</x:v>
      </x:c>
      <x:c r="G34" s="82" t="str">
        <x:v>结构层</x:v>
      </x:c>
      <x:c r="H34" s="82" t="str">
        <x:v>生化型</x:v>
      </x:c>
      <x:c r="I34" s="68" t="str">
        <x:v>杀印相生</x:v>
      </x:c>
      <x:c r="J34" s="68" t="str">
        <x:v>七杀、印星</x:v>
      </x:c>
      <x:c r="K34" s="68" t="str">
        <x:v>七杀有力、印星有力、印可生身</x:v>
      </x:c>
      <x:c r="L34" s="68" t="str">
        <x:v>无财破印、无关键合化阻断</x:v>
      </x:c>
      <x:c r="M34" s="68" t="str">
        <x:v>直接或可达的生克制化路径成立</x:v>
      </x:c>
      <x:c r="N34" s="68" t="str">
        <x:v>杀印力量匹配且日主能承载</x:v>
      </x:c>
      <x:c r="O34" s="68" t="str">
        <x:v>结合M09日主承载判断</x:v>
      </x:c>
      <x:c r="P34" s="68" t="str">
        <x:v>主体、客体、作用路径与力量匹配均达到最低要求</x:v>
      </x:c>
      <x:c r="Q34" s="68" t="str">
        <x:v>相关十神有根、有源、透达、清纯且关键通路稳定</x:v>
      </x:c>
      <x:c r="R34" s="90" t="str">
        <x:v>关键十神被合绊、被制、改性、失效或力量严重失衡</x:v>
      </x:c>
      <x:c r="S34" s="68" t="str">
        <x:v>存在第三十神恢复通路、清除破坏或重新形成平衡</x:v>
      </x:c>
      <x:c r="T34" s="90" t="str">
        <x:v>任一核心十神失效，或不存在真实作用路径</x:v>
      </x:c>
      <x:c r="U34" s="68" t="str">
        <x:v>特殊格局、从化或月令格局另转M14/M15复审</x:v>
      </x:c>
      <x:c r="V34" s="84" t="str">
        <x:v>明显成立</x:v>
      </x:c>
      <x:c r="W34" s="84" t="str">
        <x:v>形成局部生化、制化或承载结构</x:v>
      </x:c>
      <x:c r="X34" s="82" t="str">
        <x:v>条件性</x:v>
      </x:c>
      <x:c r="Y34" s="68" t="str">
        <x:v>对应格局候选转M14</x:v>
      </x:c>
      <x:c r="Z34" s="84" t="str">
        <x:v>杀印相生_明显成立</x:v>
      </x:c>
      <x:c r="AA34" s="84" t="str">
        <x:v>杀印相生：当主体、客体、路径与力量匹配满足最低标准时，判“明显成立”；是否上升为格局转M14/M15。</x:v>
      </x:c>
      <x:c r="AB34" s="82" t="str">
        <x:v>较高</x:v>
      </x:c>
      <x:c r="AC34" s="82" t="str">
        <x:v>现代综合</x:v>
      </x:c>
      <x:c r="AD34" s="68" t="str">
        <x:v>十神同时出现不等于组合成立。M11须同时验证核心十神有效性、作用路径、力量匹配、日主承载、破坏因素与救应；组合成立也不等于格局成立。</x:v>
      </x:c>
      <x:c r="AE34" s="68" t="str">
        <x:v>七杀有力、印星有力、印可生身；无财破印、无关键合化阻断；作用路径稳定且无关键破坏，可按“杀印相生”记录。</x:v>
      </x:c>
      <x:c r="AF34" s="90" t="str">
        <x:v>仅因“七杀、印星”同时出现，但核心十神无力、无作用路径或被关键因素破坏，不能判“杀印相生”成立。</x:v>
      </x:c>
      <x:c r="AG34" s="68" t="str">
        <x:v>https://zh.wikisource.org/zh-hans/%E6%B7%B5%E6%B5%B7%E5%AD%90%E5%B9%B3 ; https://zh.wikisource.org/wiki/%E6%BB%B4%E5%A4%A9%E9%AB%93%E9%97%A1%E5%BE%AE</x:v>
      </x:c>
      <x:c r="AH34" s="82" t="str">
        <x:v>采用</x:v>
      </x:c>
      <x:c r="AI34" s="82" t="str">
        <x:v>初审</x:v>
      </x:c>
      <x:c r="AJ34" s="87" t="n">
        <x:v>46255</x:v>
      </x:c>
    </x:row>
    <x:row r="35">
      <x:c r="A35" s="72" t="str">
        <x:f>IF(OR(C35="",D35=""),"",B35&amp;"-"&amp;UPPER(C35)&amp;"-"&amp;TEXT(D35,"0000")&amp;"-"&amp;E35)</x:f>
        <x:v>M11-GUANYIN-0029-V1.0</x:v>
      </x:c>
      <x:c r="B35" s="74" t="str">
        <x:v>M11</x:v>
      </x:c>
      <x:c r="C35" s="74" t="str">
        <x:v>GUANYIN</x:v>
      </x:c>
      <x:c r="D35" s="215" t="n">
        <x:v>29</x:v>
      </x:c>
      <x:c r="E35" s="74" t="str">
        <x:v>V1.0</x:v>
      </x:c>
      <x:c r="F35" s="68" t="str">
        <x:v>正官应真实有效并能够生印</x:v>
      </x:c>
      <x:c r="G35" s="82" t="str">
        <x:v>结构层</x:v>
      </x:c>
      <x:c r="H35" s="82" t="str">
        <x:v>生化型</x:v>
      </x:c>
      <x:c r="I35" s="68" t="str">
        <x:v>官印相生</x:v>
      </x:c>
      <x:c r="J35" s="68" t="str">
        <x:v>正官、印星</x:v>
      </x:c>
      <x:c r="K35" s="68" t="str">
        <x:v>正官有效且生印路径存在</x:v>
      </x:c>
      <x:c r="L35" s="68" t="str">
        <x:v>印星有效并可承接官气</x:v>
      </x:c>
      <x:c r="M35" s="68" t="str">
        <x:v>正官→印星链路连续</x:v>
      </x:c>
      <x:c r="N35" s="68" t="str">
        <x:v>相关十神均以M10有效力量为准，且不存在决定性失衡</x:v>
      </x:c>
      <x:c r="O35" s="68" t="str">
        <x:v>结合M09日主承载判断</x:v>
      </x:c>
      <x:c r="P35" s="68" t="str">
        <x:v>主体、客体、作用路径与力量匹配均达到最低要求</x:v>
      </x:c>
      <x:c r="Q35" s="68" t="str">
        <x:v>相关十神有根、有源、透达、清纯且关键通路稳定</x:v>
      </x:c>
      <x:c r="R35" s="90" t="str">
        <x:v>关键十神被合绊、被制、改性、失效或力量严重失衡</x:v>
      </x:c>
      <x:c r="S35" s="68" t="str">
        <x:v>存在第三十神恢复通路、清除破坏或重新形成平衡</x:v>
      </x:c>
      <x:c r="T35" s="90" t="str">
        <x:v>任一核心十神失效，或不存在真实作用路径</x:v>
      </x:c>
      <x:c r="U35" s="68" t="str">
        <x:v>特殊格局、从化或月令格局另转M14/M15复审</x:v>
      </x:c>
      <x:c r="V35" s="84" t="str">
        <x:v>基本成立</x:v>
      </x:c>
      <x:c r="W35" s="84" t="str">
        <x:v>官气转为印星资源</x:v>
      </x:c>
      <x:c r="X35" s="82" t="str">
        <x:v>条件性</x:v>
      </x:c>
      <x:c r="Y35" s="68" t="str">
        <x:v>官印相生格候选</x:v>
      </x:c>
      <x:c r="Z35" s="84" t="str">
        <x:v>官印相生_成立条件</x:v>
      </x:c>
      <x:c r="AA35" s="84" t="str">
        <x:v>官印相生：当主体、客体、路径与力量匹配满足最低标准时，判“基本成立”；是否上升为格局转M14/M15。</x:v>
      </x:c>
      <x:c r="AB35" s="82" t="str">
        <x:v>较高</x:v>
      </x:c>
      <x:c r="AC35" s="82" t="str">
        <x:v>现代综合</x:v>
      </x:c>
      <x:c r="AD35" s="68" t="str">
        <x:v>十神同时出现不等于组合成立。M11须同时验证核心十神有效性、作用路径、力量匹配、日主承载、破坏因素与救应；组合成立也不等于格局成立。</x:v>
      </x:c>
      <x:c r="AE35" s="68" t="str">
        <x:v>正官有效且生印路径存在；印星有效并可承接官气；作用路径稳定且无关键破坏，可按“官印相生”记录。</x:v>
      </x:c>
      <x:c r="AF35" s="90" t="str">
        <x:v>仅因“正官、印星”同时出现，但核心十神无力、无作用路径或被关键因素破坏，不能判“官印相生”成立。</x:v>
      </x:c>
      <x:c r="AG35" s="68" t="str">
        <x:v>https://zh.wikisource.org/zh-hans/%E6%B7%B5%E6%B5%B7%E5%AD%90%E5%B9%B3 ; https://zh.wikisource.org/wiki/%E6%BB%B4%E5%A4%A9%E9%AB%93%E9%97%A1%E5%BE%AE</x:v>
      </x:c>
      <x:c r="AH35" s="82" t="str">
        <x:v>采用</x:v>
      </x:c>
      <x:c r="AI35" s="82" t="str">
        <x:v>初审</x:v>
      </x:c>
      <x:c r="AJ35" s="87" t="n">
        <x:v>46255</x:v>
      </x:c>
    </x:row>
    <x:row r="36">
      <x:c r="A36" s="72" t="str">
        <x:f>IF(OR(C36="",D36=""),"",B36&amp;"-"&amp;UPPER(C36)&amp;"-"&amp;TEXT(D36,"0000")&amp;"-"&amp;E36)</x:f>
        <x:v>M11-GUANYIN-0030-V1.0</x:v>
      </x:c>
      <x:c r="B36" s="74" t="str">
        <x:v>M11</x:v>
      </x:c>
      <x:c r="C36" s="74" t="str">
        <x:v>GUANYIN</x:v>
      </x:c>
      <x:c r="D36" s="215" t="n">
        <x:v>30</x:v>
      </x:c>
      <x:c r="E36" s="74" t="str">
        <x:v>V1.0</x:v>
      </x:c>
      <x:c r="F36" s="68" t="str">
        <x:v>印星必须继续生日主形成完整链</x:v>
      </x:c>
      <x:c r="G36" s="82" t="str">
        <x:v>结构层</x:v>
      </x:c>
      <x:c r="H36" s="82" t="str">
        <x:v>生化型</x:v>
      </x:c>
      <x:c r="I36" s="68" t="str">
        <x:v>官印相生</x:v>
      </x:c>
      <x:c r="J36" s="68" t="str">
        <x:v>正官、印星、日主</x:v>
      </x:c>
      <x:c r="K36" s="68" t="str">
        <x:v>印星有力</x:v>
      </x:c>
      <x:c r="L36" s="68" t="str">
        <x:v>日主可承接印星生扶</x:v>
      </x:c>
      <x:c r="M36" s="68" t="str">
        <x:v>官→印→身连续</x:v>
      </x:c>
      <x:c r="N36" s="68" t="str">
        <x:v>相关十神均以M10有效力量为准，且不存在决定性失衡</x:v>
      </x:c>
      <x:c r="O36" s="68" t="str">
        <x:v>结合M09日主承载判断</x:v>
      </x:c>
      <x:c r="P36" s="68" t="str">
        <x:v>官生印、印生身均有效</x:v>
      </x:c>
      <x:c r="Q36" s="68" t="str">
        <x:v>相关十神有根、有源、透达、清纯且关键通路稳定</x:v>
      </x:c>
      <x:c r="R36" s="90" t="str">
        <x:v>关键十神被合绊、被制、改性、失效或力量严重失衡</x:v>
      </x:c>
      <x:c r="S36" s="68" t="str">
        <x:v>存在第三十神恢复通路、清除破坏或重新形成平衡</x:v>
      </x:c>
      <x:c r="T36" s="90" t="str">
        <x:v>任一核心十神失效，或不存在真实作用路径</x:v>
      </x:c>
      <x:c r="U36" s="68" t="str">
        <x:v>特殊格局、从化或月令格局另转M14/M15复审</x:v>
      </x:c>
      <x:c r="V36" s="84" t="str">
        <x:v>基本成立</x:v>
      </x:c>
      <x:c r="W36" s="84" t="str">
        <x:v>形成局部生化、制化或承载结构</x:v>
      </x:c>
      <x:c r="X36" s="82" t="str">
        <x:v>条件性</x:v>
      </x:c>
      <x:c r="Y36" s="68" t="str">
        <x:v>对应格局候选转M14</x:v>
      </x:c>
      <x:c r="Z36" s="84" t="str">
        <x:v>官印相生_完整链</x:v>
      </x:c>
      <x:c r="AA36" s="84" t="str">
        <x:v>官印相生：当主体、客体、路径与力量匹配满足最低标准时，判“基本成立”；是否上升为格局转M14/M15。</x:v>
      </x:c>
      <x:c r="AB36" s="82" t="str">
        <x:v>较高</x:v>
      </x:c>
      <x:c r="AC36" s="82" t="str">
        <x:v>现代综合</x:v>
      </x:c>
      <x:c r="AD36" s="68" t="str">
        <x:v>十神同时出现不等于组合成立。M11须同时验证核心十神有效性、作用路径、力量匹配、日主承载、破坏因素与救应；组合成立也不等于格局成立。</x:v>
      </x:c>
      <x:c r="AE36" s="68" t="str">
        <x:v>印星有力；日主可承接印星生扶；作用路径稳定且无关键破坏，可按“官印相生”记录。</x:v>
      </x:c>
      <x:c r="AF36" s="90" t="str">
        <x:v>仅因“正官、印星、日主”同时出现，但核心十神无力、无作用路径或被关键因素破坏，不能判“官印相生”成立。</x:v>
      </x:c>
      <x:c r="AG36" s="68" t="str">
        <x:v>https://zh.wikisource.org/zh-hans/%E6%B7%B5%E6%B5%B7%E5%AD%90%E5%B9%B3 ; https://zh.wikisource.org/wiki/%E6%BB%B4%E5%A4%A9%E9%AB%93%E9%97%A1%E5%BE%AE</x:v>
      </x:c>
      <x:c r="AH36" s="82" t="str">
        <x:v>采用</x:v>
      </x:c>
      <x:c r="AI36" s="82" t="str">
        <x:v>初审</x:v>
      </x:c>
      <x:c r="AJ36" s="87" t="n">
        <x:v>46255</x:v>
      </x:c>
    </x:row>
    <x:row r="37">
      <x:c r="A37" s="72" t="str">
        <x:f>IF(OR(C37="",D37=""),"",B37&amp;"-"&amp;UPPER(C37)&amp;"-"&amp;TEXT(D37,"0000")&amp;"-"&amp;E37)</x:f>
        <x:v>M11-GUANYIN-0031-V1.0</x:v>
      </x:c>
      <x:c r="B37" s="74" t="str">
        <x:v>M11</x:v>
      </x:c>
      <x:c r="C37" s="74" t="str">
        <x:v>GUANYIN</x:v>
      </x:c>
      <x:c r="D37" s="215" t="n">
        <x:v>31</x:v>
      </x:c>
      <x:c r="E37" s="74" t="str">
        <x:v>V1.0</x:v>
      </x:c>
      <x:c r="F37" s="68" t="str">
        <x:v>官弱无根时相生功能有限</x:v>
      </x:c>
      <x:c r="G37" s="82" t="str">
        <x:v>结构层</x:v>
      </x:c>
      <x:c r="H37" s="82" t="str">
        <x:v>生化型</x:v>
      </x:c>
      <x:c r="I37" s="68" t="str">
        <x:v>官印相生</x:v>
      </x:c>
      <x:c r="J37" s="68" t="str">
        <x:v>正官、印星</x:v>
      </x:c>
      <x:c r="K37" s="68" t="str">
        <x:v>正官仅名义存在或极弱</x:v>
      </x:c>
      <x:c r="L37" s="68" t="str">
        <x:v>印星虽有力但缺乏有效官源</x:v>
      </x:c>
      <x:c r="M37" s="68" t="str">
        <x:v>直接或可达的生克制化路径成立</x:v>
      </x:c>
      <x:c r="N37" s="68" t="str">
        <x:v>相关十神均以M10有效力量为准，且不存在决定性失衡</x:v>
      </x:c>
      <x:c r="O37" s="68" t="str">
        <x:v>结合M09日主承载判断</x:v>
      </x:c>
      <x:c r="P37" s="68" t="str">
        <x:v>主体、客体、作用路径与力量匹配均达到最低要求</x:v>
      </x:c>
      <x:c r="Q37" s="68" t="str">
        <x:v>相关十神有根、有源、透达、清纯且关键通路稳定</x:v>
      </x:c>
      <x:c r="R37" s="90" t="str">
        <x:v>关键十神被合绊、被制、改性、失效或力量严重失衡</x:v>
      </x:c>
      <x:c r="S37" s="68" t="str">
        <x:v>存在第三十神恢复通路、清除破坏或重新形成平衡</x:v>
      </x:c>
      <x:c r="T37" s="90" t="str">
        <x:v>任一核心十神失效，或不存在真实作用路径</x:v>
      </x:c>
      <x:c r="U37" s="68" t="str">
        <x:v>特殊格局、从化或月令格局另转M14/M15复审</x:v>
      </x:c>
      <x:c r="V37" s="84" t="str">
        <x:v>弱成立</x:v>
      </x:c>
      <x:c r="W37" s="84" t="str">
        <x:v>以印生身为主，官印链弱</x:v>
      </x:c>
      <x:c r="X37" s="82" t="str">
        <x:v>否</x:v>
      </x:c>
      <x:c r="Y37" s="68" t="str">
        <x:v>对应格局候选转M14</x:v>
      </x:c>
      <x:c r="Z37" s="84" t="str">
        <x:v>官印相生_官弱</x:v>
      </x:c>
      <x:c r="AA37" s="84" t="str">
        <x:v>官印相生：当主体、客体、路径与力量匹配满足最低标准时，判“弱成立”；是否上升为格局转M14/M15。</x:v>
      </x:c>
      <x:c r="AB37" s="82" t="str">
        <x:v>较高</x:v>
      </x:c>
      <x:c r="AC37" s="82" t="str">
        <x:v>现代综合</x:v>
      </x:c>
      <x:c r="AD37" s="68" t="str">
        <x:v>十神同时出现不等于组合成立。M11须同时验证核心十神有效性、作用路径、力量匹配、日主承载、破坏因素与救应；组合成立也不等于格局成立。</x:v>
      </x:c>
      <x:c r="AE37" s="68" t="str">
        <x:v>正官仅名义存在或极弱；印星虽有力但缺乏有效官源；作用路径稳定且无关键破坏，可按“官印相生”记录。</x:v>
      </x:c>
      <x:c r="AF37" s="90" t="str">
        <x:v>仅因“正官、印星”同时出现，但核心十神无力、无作用路径或被关键因素破坏，不能判“官印相生”成立。</x:v>
      </x:c>
      <x:c r="AG37" s="68" t="str">
        <x:v>https://zh.wikisource.org/zh-hans/%E6%B7%B5%E6%B5%B7%E5%AD%90%E5%B9%B3 ; https://zh.wikisource.org/wiki/%E6%BB%B4%E5%A4%A9%E9%AB%93%E9%97%A1%E5%BE%AE</x:v>
      </x:c>
      <x:c r="AH37" s="82" t="str">
        <x:v>采用</x:v>
      </x:c>
      <x:c r="AI37" s="82" t="str">
        <x:v>初审</x:v>
      </x:c>
      <x:c r="AJ37" s="87" t="n">
        <x:v>46255</x:v>
      </x:c>
    </x:row>
    <x:row r="38">
      <x:c r="A38" s="72" t="str">
        <x:f>IF(OR(C38="",D38=""),"",B38&amp;"-"&amp;UPPER(C38)&amp;"-"&amp;TEXT(D38,"0000")&amp;"-"&amp;E38)</x:f>
        <x:v>M11-GUANYIN-0032-V1.0</x:v>
      </x:c>
      <x:c r="B38" s="74" t="str">
        <x:v>M11</x:v>
      </x:c>
      <x:c r="C38" s="74" t="str">
        <x:v>GUANYIN</x:v>
      </x:c>
      <x:c r="D38" s="215" t="n">
        <x:v>32</x:v>
      </x:c>
      <x:c r="E38" s="74" t="str">
        <x:v>V1.0</x:v>
      </x:c>
      <x:c r="F38" s="68" t="str">
        <x:v>印弱受损时官印链中断</x:v>
      </x:c>
      <x:c r="G38" s="82" t="str">
        <x:v>结构层</x:v>
      </x:c>
      <x:c r="H38" s="82" t="str">
        <x:v>生化型</x:v>
      </x:c>
      <x:c r="I38" s="68" t="str">
        <x:v>官印相生</x:v>
      </x:c>
      <x:c r="J38" s="68" t="str">
        <x:v>正官、印星</x:v>
      </x:c>
      <x:c r="K38" s="68" t="str">
        <x:v>正官有力</x:v>
      </x:c>
      <x:c r="L38" s="68" t="str">
        <x:v>印星弱、被财制或改性</x:v>
      </x:c>
      <x:c r="M38" s="68" t="str">
        <x:v>直接或可达的生克制化路径成立</x:v>
      </x:c>
      <x:c r="N38" s="68" t="str">
        <x:v>相关十神均以M10有效力量为准，且不存在决定性失衡</x:v>
      </x:c>
      <x:c r="O38" s="68" t="str">
        <x:v>结合M09日主承载判断</x:v>
      </x:c>
      <x:c r="P38" s="68" t="str">
        <x:v>主体、客体、作用路径与力量匹配均达到最低要求</x:v>
      </x:c>
      <x:c r="Q38" s="68" t="str">
        <x:v>相关十神有根、有源、透达、清纯且关键通路稳定</x:v>
      </x:c>
      <x:c r="R38" s="90" t="str">
        <x:v>印星无法承接官气或无法继续生身</x:v>
      </x:c>
      <x:c r="S38" s="68" t="str">
        <x:v>存在第三十神恢复通路、清除破坏或重新形成平衡</x:v>
      </x:c>
      <x:c r="T38" s="90" t="str">
        <x:v>任一核心十神失效，或不存在真实作用路径</x:v>
      </x:c>
      <x:c r="U38" s="68" t="str">
        <x:v>特殊格局、从化或月令格局另转M14/M15复审</x:v>
      </x:c>
      <x:c r="V38" s="84" t="str">
        <x:v>不成立</x:v>
      </x:c>
      <x:c r="W38" s="84" t="str">
        <x:v>形成局部生化、制化或承载结构</x:v>
      </x:c>
      <x:c r="X38" s="82" t="str">
        <x:v>否</x:v>
      </x:c>
      <x:c r="Y38" s="68" t="str">
        <x:v>对应格局候选转M14</x:v>
      </x:c>
      <x:c r="Z38" s="84" t="str">
        <x:v>官印相生_印弱</x:v>
      </x:c>
      <x:c r="AA38" s="84" t="str">
        <x:v>官印相生：当主体、客体、路径与力量匹配满足最低标准时，判“不成立”；是否上升为格局转M14/M15。</x:v>
      </x:c>
      <x:c r="AB38" s="82" t="str">
        <x:v>较高</x:v>
      </x:c>
      <x:c r="AC38" s="82" t="str">
        <x:v>现代综合</x:v>
      </x:c>
      <x:c r="AD38" s="68" t="str">
        <x:v>十神同时出现不等于组合成立。M11须同时验证核心十神有效性、作用路径、力量匹配、日主承载、破坏因素与救应；组合成立也不等于格局成立。</x:v>
      </x:c>
      <x:c r="AE38" s="68" t="str">
        <x:v>正官有力；印星弱、被财制或改性；作用路径稳定且无关键破坏，可按“官印相生”记录。</x:v>
      </x:c>
      <x:c r="AF38" s="90" t="str">
        <x:v>仅因“正官、印星”同时出现，但核心十神无力、无作用路径或被关键因素破坏，不能判“官印相生”成立。</x:v>
      </x:c>
      <x:c r="AG38" s="68" t="str">
        <x:v>https://zh.wikisource.org/zh-hans/%E6%B7%B5%E6%B5%B7%E5%AD%90%E5%B9%B3 ; https://zh.wikisource.org/wiki/%E6%BB%B4%E5%A4%A9%E9%AB%93%E9%97%A1%E5%BE%AE</x:v>
      </x:c>
      <x:c r="AH38" s="82" t="str">
        <x:v>采用</x:v>
      </x:c>
      <x:c r="AI38" s="82" t="str">
        <x:v>初审</x:v>
      </x:c>
      <x:c r="AJ38" s="87" t="n">
        <x:v>46255</x:v>
      </x:c>
    </x:row>
    <x:row r="39">
      <x:c r="A39" s="72" t="str">
        <x:f>IF(OR(C39="",D39=""),"",B39&amp;"-"&amp;UPPER(C39)&amp;"-"&amp;TEXT(D39,"0000")&amp;"-"&amp;E39)</x:f>
        <x:v>M11-GUANYIN-0033-V1.0</x:v>
      </x:c>
      <x:c r="B39" s="74" t="str">
        <x:v>M11</x:v>
      </x:c>
      <x:c r="C39" s="74" t="str">
        <x:v>GUANYIN</x:v>
      </x:c>
      <x:c r="D39" s="215" t="n">
        <x:v>33</x:v>
      </x:c>
      <x:c r="E39" s="74" t="str">
        <x:v>V1.0</x:v>
      </x:c>
      <x:c r="F39" s="68" t="str">
        <x:v>伤官克官会破坏官印源头</x:v>
      </x:c>
      <x:c r="G39" s="82" t="str">
        <x:v>结构层</x:v>
      </x:c>
      <x:c r="H39" s="82" t="str">
        <x:v>生化型</x:v>
      </x:c>
      <x:c r="I39" s="68" t="str">
        <x:v>官印相生</x:v>
      </x:c>
      <x:c r="J39" s="68" t="str">
        <x:v>正官、印星、伤官</x:v>
      </x:c>
      <x:c r="K39" s="68" t="str">
        <x:v>伤官有效强制正官</x:v>
      </x:c>
      <x:c r="L39" s="68" t="str">
        <x:v>正官功能显著受限</x:v>
      </x:c>
      <x:c r="M39" s="68" t="str">
        <x:v>直接或可达的生克制化路径成立</x:v>
      </x:c>
      <x:c r="N39" s="68" t="str">
        <x:v>相关十神均以M10有效力量为准，且不存在决定性失衡</x:v>
      </x:c>
      <x:c r="O39" s="68" t="str">
        <x:v>结合M09日主承载判断</x:v>
      </x:c>
      <x:c r="P39" s="68" t="str">
        <x:v>主体、客体、作用路径与力量匹配均达到最低要求</x:v>
      </x:c>
      <x:c r="Q39" s="68" t="str">
        <x:v>相关十神有根、有源、透达、清纯且关键通路稳定</x:v>
      </x:c>
      <x:c r="R39" s="90" t="str">
        <x:v>官星被伤官制至无法稳定生印</x:v>
      </x:c>
      <x:c r="S39" s="68" t="str">
        <x:v>存在第三十神恢复通路、清除破坏或重新形成平衡</x:v>
      </x:c>
      <x:c r="T39" s="90" t="str">
        <x:v>任一核心十神失效，或不存在真实作用路径</x:v>
      </x:c>
      <x:c r="U39" s="68" t="str">
        <x:v>特殊格局、从化或月令格局另转M14/M15复审</x:v>
      </x:c>
      <x:c r="V39" s="84" t="str">
        <x:v>不成立</x:v>
      </x:c>
      <x:c r="W39" s="84" t="str">
        <x:v>形成局部生化、制化或承载结构</x:v>
      </x:c>
      <x:c r="X39" s="82" t="str">
        <x:v>否</x:v>
      </x:c>
      <x:c r="Y39" s="68" t="str">
        <x:v>对应格局候选转M14</x:v>
      </x:c>
      <x:c r="Z39" s="84" t="str">
        <x:v>官印相生_伤官破官</x:v>
      </x:c>
      <x:c r="AA39" s="84" t="str">
        <x:v>官印相生：当主体、客体、路径与力量匹配满足最低标准时，判“不成立”；是否上升为格局转M14/M15。</x:v>
      </x:c>
      <x:c r="AB39" s="82" t="str">
        <x:v>较高</x:v>
      </x:c>
      <x:c r="AC39" s="82" t="str">
        <x:v>现代综合</x:v>
      </x:c>
      <x:c r="AD39" s="68" t="str">
        <x:v>十神同时出现不等于组合成立。M11须同时验证核心十神有效性、作用路径、力量匹配、日主承载、破坏因素与救应；组合成立也不等于格局成立。</x:v>
      </x:c>
      <x:c r="AE39" s="68" t="str">
        <x:v>伤官有效强制正官；正官功能显著受限；作用路径稳定且无关键破坏，可按“官印相生”记录。</x:v>
      </x:c>
      <x:c r="AF39" s="90" t="str">
        <x:v>仅因“正官、印星、伤官”同时出现，但核心十神无力、无作用路径或被关键因素破坏，不能判“官印相生”成立。</x:v>
      </x:c>
      <x:c r="AG39" s="68" t="str">
        <x:v>https://zh.wikisource.org/zh-hans/%E6%B7%B5%E6%B5%B7%E5%AD%90%E5%B9%B3 ; https://zh.wikisource.org/wiki/%E6%BB%B4%E5%A4%A9%E9%AB%93%E9%97%A1%E5%BE%AE</x:v>
      </x:c>
      <x:c r="AH39" s="82" t="str">
        <x:v>采用</x:v>
      </x:c>
      <x:c r="AI39" s="82" t="str">
        <x:v>初审</x:v>
      </x:c>
      <x:c r="AJ39" s="87" t="n">
        <x:v>46255</x:v>
      </x:c>
    </x:row>
    <x:row r="40">
      <x:c r="A40" s="72" t="str">
        <x:f>IF(OR(C40="",D40=""),"",B40&amp;"-"&amp;UPPER(C40)&amp;"-"&amp;TEXT(D40,"0000")&amp;"-"&amp;E40)</x:f>
        <x:v>M11-GUANYIN-0034-V1.0</x:v>
      </x:c>
      <x:c r="B40" s="74" t="str">
        <x:v>M11</x:v>
      </x:c>
      <x:c r="C40" s="74" t="str">
        <x:v>GUANYIN</x:v>
      </x:c>
      <x:c r="D40" s="215" t="n">
        <x:v>34</x:v>
      </x:c>
      <x:c r="E40" s="74" t="str">
        <x:v>V1.0</x:v>
      </x:c>
      <x:c r="F40" s="68" t="str">
        <x:v>财星既可生官又可能破印需比较净效应</x:v>
      </x:c>
      <x:c r="G40" s="82" t="str">
        <x:v>结构层</x:v>
      </x:c>
      <x:c r="H40" s="82" t="str">
        <x:v>生化型</x:v>
      </x:c>
      <x:c r="I40" s="68" t="str">
        <x:v>官印相生</x:v>
      </x:c>
      <x:c r="J40" s="68" t="str">
        <x:v>正官、印星、财星</x:v>
      </x:c>
      <x:c r="K40" s="68" t="str">
        <x:v>财星同时与官、印发生作用</x:v>
      </x:c>
      <x:c r="L40" s="68" t="str">
        <x:v>一面生官，一面克印</x:v>
      </x:c>
      <x:c r="M40" s="68" t="str">
        <x:v>直接或可达的生克制化路径成立</x:v>
      </x:c>
      <x:c r="N40" s="68" t="str">
        <x:v>比较财生官收益与财坏印副作用</x:v>
      </x:c>
      <x:c r="O40" s="68" t="str">
        <x:v>结合M09日主承载判断</x:v>
      </x:c>
      <x:c r="P40" s="68" t="str">
        <x:v>主体、客体、作用路径与力量匹配均达到最低要求</x:v>
      </x:c>
      <x:c r="Q40" s="68" t="str">
        <x:v>相关十神有根、有源、透达、清纯且关键通路稳定</x:v>
      </x:c>
      <x:c r="R40" s="90" t="str">
        <x:v>关键十神被合绊、被制、改性、失效或力量严重失衡</x:v>
      </x:c>
      <x:c r="S40" s="68" t="str">
        <x:v>存在第三十神恢复通路、清除破坏或重新形成平衡</x:v>
      </x:c>
      <x:c r="T40" s="90" t="str">
        <x:v>任一核心十神失效，或不存在真实作用路径</x:v>
      </x:c>
      <x:c r="U40" s="68" t="str">
        <x:v>特殊格局、从化或月令格局另转M14/M15复审</x:v>
      </x:c>
      <x:c r="V40" s="84" t="str">
        <x:v>基本成立</x:v>
      </x:c>
      <x:c r="W40" s="84" t="str">
        <x:v>形成局部生化、制化或承载结构</x:v>
      </x:c>
      <x:c r="X40" s="82" t="str">
        <x:v>条件性</x:v>
      </x:c>
      <x:c r="Y40" s="68" t="str">
        <x:v>对应格局候选转M14</x:v>
      </x:c>
      <x:c r="Z40" s="84" t="str">
        <x:v>官印相生_财星双效</x:v>
      </x:c>
      <x:c r="AA40" s="84" t="str">
        <x:v>官印相生：当主体、客体、路径与力量匹配满足最低标准时，判“基本成立”；是否上升为格局转M14/M15。</x:v>
      </x:c>
      <x:c r="AB40" s="82" t="str">
        <x:v>较高</x:v>
      </x:c>
      <x:c r="AC40" s="82" t="str">
        <x:v>现代综合</x:v>
      </x:c>
      <x:c r="AD40" s="68" t="str">
        <x:v>十神同时出现不等于组合成立。M11须同时验证核心十神有效性、作用路径、力量匹配、日主承载、破坏因素与救应；组合成立也不等于格局成立。</x:v>
      </x:c>
      <x:c r="AE40" s="68" t="str">
        <x:v>财星同时与官、印发生作用；一面生官，一面克印；作用路径稳定且无关键破坏，可按“官印相生”记录。</x:v>
      </x:c>
      <x:c r="AF40" s="90" t="str">
        <x:v>仅因“正官、印星、财星”同时出现，但核心十神无力、无作用路径或被关键因素破坏，不能判“官印相生”成立。</x:v>
      </x:c>
      <x:c r="AG40" s="68" t="str">
        <x:v>https://zh.wikisource.org/zh-hans/%E6%B7%B5%E6%B5%B7%E5%AD%90%E5%B9%B3 ; https://zh.wikisource.org/wiki/%E6%BB%B4%E5%A4%A9%E9%AB%93%E9%97%A1%E5%BE%AE</x:v>
      </x:c>
      <x:c r="AH40" s="82" t="str">
        <x:v>采用</x:v>
      </x:c>
      <x:c r="AI40" s="82" t="str">
        <x:v>初审</x:v>
      </x:c>
      <x:c r="AJ40" s="87" t="n">
        <x:v>46255</x:v>
      </x:c>
    </x:row>
    <x:row r="41">
      <x:c r="A41" s="72" t="str">
        <x:f>IF(OR(C41="",D41=""),"",B41&amp;"-"&amp;UPPER(C41)&amp;"-"&amp;TEXT(D41,"0000")&amp;"-"&amp;E41)</x:f>
        <x:v>M11-GUANYIN-0035-V1.0</x:v>
      </x:c>
      <x:c r="B41" s="74" t="str">
        <x:v>M11</x:v>
      </x:c>
      <x:c r="C41" s="74" t="str">
        <x:v>GUANYIN</x:v>
      </x:c>
      <x:c r="D41" s="215" t="n">
        <x:v>35</x:v>
      </x:c>
      <x:c r="E41" s="74" t="str">
        <x:v>V1.0</x:v>
      </x:c>
      <x:c r="F41" s="68" t="str">
        <x:v>官印清纯且链路稳定时组合增强</x:v>
      </x:c>
      <x:c r="G41" s="82" t="str">
        <x:v>结构层</x:v>
      </x:c>
      <x:c r="H41" s="82" t="str">
        <x:v>生化型</x:v>
      </x:c>
      <x:c r="I41" s="68" t="str">
        <x:v>官印相生</x:v>
      </x:c>
      <x:c r="J41" s="68" t="str">
        <x:v>正官、印星</x:v>
      </x:c>
      <x:c r="K41" s="68" t="str">
        <x:v>正官较清、印星较清且均有效</x:v>
      </x:c>
      <x:c r="L41" s="68" t="str">
        <x:v>官印无强伤官、财破或合化</x:v>
      </x:c>
      <x:c r="M41" s="68" t="str">
        <x:v>直接或可达的生克制化路径成立</x:v>
      </x:c>
      <x:c r="N41" s="68" t="str">
        <x:v>相关十神均以M10有效力量为准，且不存在决定性失衡</x:v>
      </x:c>
      <x:c r="O41" s="68" t="str">
        <x:v>结合M09日主承载判断</x:v>
      </x:c>
      <x:c r="P41" s="68" t="str">
        <x:v>主体、客体、作用路径与力量匹配均达到最低要求</x:v>
      </x:c>
      <x:c r="Q41" s="68" t="str">
        <x:v>相关十神有根、有源、透达、清纯且关键通路稳定</x:v>
      </x:c>
      <x:c r="R41" s="90" t="str">
        <x:v>关键十神被合绊、被制、改性、失效或力量严重失衡</x:v>
      </x:c>
      <x:c r="S41" s="68" t="str">
        <x:v>存在第三十神恢复通路、清除破坏或重新形成平衡</x:v>
      </x:c>
      <x:c r="T41" s="90" t="str">
        <x:v>任一核心十神失效，或不存在真实作用路径</x:v>
      </x:c>
      <x:c r="U41" s="68" t="str">
        <x:v>特殊格局、从化或月令格局另转M14/M15复审</x:v>
      </x:c>
      <x:c r="V41" s="84" t="str">
        <x:v>明显成立</x:v>
      </x:c>
      <x:c r="W41" s="84" t="str">
        <x:v>形成局部生化、制化或承载结构</x:v>
      </x:c>
      <x:c r="X41" s="82" t="str">
        <x:v>条件性</x:v>
      </x:c>
      <x:c r="Y41" s="68" t="str">
        <x:v>对应格局候选转M14</x:v>
      </x:c>
      <x:c r="Z41" s="84" t="str">
        <x:v>官印相生_清纯增强</x:v>
      </x:c>
      <x:c r="AA41" s="84" t="str">
        <x:v>官印相生：当主体、客体、路径与力量匹配满足最低标准时，判“明显成立”；是否上升为格局转M14/M15。</x:v>
      </x:c>
      <x:c r="AB41" s="82" t="str">
        <x:v>较高</x:v>
      </x:c>
      <x:c r="AC41" s="82" t="str">
        <x:v>现代综合</x:v>
      </x:c>
      <x:c r="AD41" s="68" t="str">
        <x:v>十神同时出现不等于组合成立。M11须同时验证核心十神有效性、作用路径、力量匹配、日主承载、破坏因素与救应；组合成立也不等于格局成立。</x:v>
      </x:c>
      <x:c r="AE41" s="68" t="str">
        <x:v>正官较清、印星较清且均有效；官印无强伤官、财破或合化；作用路径稳定且无关键破坏，可按“官印相生”记录。</x:v>
      </x:c>
      <x:c r="AF41" s="90" t="str">
        <x:v>仅因“正官、印星”同时出现，但核心十神无力、无作用路径或被关键因素破坏，不能判“官印相生”成立。</x:v>
      </x:c>
      <x:c r="AG41" s="68" t="str">
        <x:v>https://zh.wikisource.org/zh-hans/%E6%B7%B5%E6%B5%B7%E5%AD%90%E5%B9%B3 ; https://zh.wikisource.org/wiki/%E6%BB%B4%E5%A4%A9%E9%AB%93%E9%97%A1%E5%BE%AE</x:v>
      </x:c>
      <x:c r="AH41" s="82" t="str">
        <x:v>采用</x:v>
      </x:c>
      <x:c r="AI41" s="82" t="str">
        <x:v>初审</x:v>
      </x:c>
      <x:c r="AJ41" s="87" t="n">
        <x:v>46255</x:v>
      </x:c>
    </x:row>
    <x:row r="42">
      <x:c r="A42" s="72" t="str">
        <x:f>IF(OR(C42="",D42=""),"",B42&amp;"-"&amp;UPPER(C42)&amp;"-"&amp;TEXT(D42,"0000")&amp;"-"&amp;E42)</x:f>
        <x:v>M11-GUANYIN-0036-V1.0</x:v>
      </x:c>
      <x:c r="B42" s="74" t="str">
        <x:v>M11</x:v>
      </x:c>
      <x:c r="C42" s="74" t="str">
        <x:v>GUANYIN</x:v>
      </x:c>
      <x:c r="D42" s="215" t="n">
        <x:v>36</x:v>
      </x:c>
      <x:c r="E42" s="74" t="str">
        <x:v>V1.0</x:v>
      </x:c>
      <x:c r="F42" s="68" t="str">
        <x:v>官印相生不等于正官格成立</x:v>
      </x:c>
      <x:c r="G42" s="82" t="str">
        <x:v>结构层</x:v>
      </x:c>
      <x:c r="H42" s="82" t="str">
        <x:v>生化型</x:v>
      </x:c>
      <x:c r="I42" s="68" t="str">
        <x:v>官印相生</x:v>
      </x:c>
      <x:c r="J42" s="68" t="str">
        <x:v>正官、印星</x:v>
      </x:c>
      <x:c r="K42" s="68" t="str">
        <x:v>局部官印链已经成立</x:v>
      </x:c>
      <x:c r="L42" s="68" t="str">
        <x:v>月令与格局主导性尚未核查</x:v>
      </x:c>
      <x:c r="M42" s="68" t="str">
        <x:v>直接或可达的生克制化路径成立</x:v>
      </x:c>
      <x:c r="N42" s="68" t="str">
        <x:v>相关十神均以M10有效力量为准，且不存在决定性失衡</x:v>
      </x:c>
      <x:c r="O42" s="68" t="str">
        <x:v>结合M09日主承载判断</x:v>
      </x:c>
      <x:c r="P42" s="68" t="str">
        <x:v>主体、客体、作用路径与力量匹配均达到最低要求</x:v>
      </x:c>
      <x:c r="Q42" s="68" t="str">
        <x:v>相关十神有根、有源、透达、清纯且关键通路稳定</x:v>
      </x:c>
      <x:c r="R42" s="90" t="str">
        <x:v>关键十神被合绊、被制、改性、失效或力量严重失衡</x:v>
      </x:c>
      <x:c r="S42" s="68" t="str">
        <x:v>存在第三十神恢复通路、清除破坏或重新形成平衡</x:v>
      </x:c>
      <x:c r="T42" s="90" t="str">
        <x:v>任一核心十神失效，或不存在真实作用路径</x:v>
      </x:c>
      <x:c r="U42" s="68" t="str">
        <x:v>特殊格局、从化或月令格局另转M14/M15复审</x:v>
      </x:c>
      <x:c r="V42" s="84" t="str">
        <x:v>明显成立</x:v>
      </x:c>
      <x:c r="W42" s="84" t="str">
        <x:v>提供官印结构候选</x:v>
      </x:c>
      <x:c r="X42" s="82" t="str">
        <x:v>条件性</x:v>
      </x:c>
      <x:c r="Y42" s="68" t="str">
        <x:v>正官格/印格候选转M14</x:v>
      </x:c>
      <x:c r="Z42" s="84" t="str">
        <x:v>官印相生_格局边界</x:v>
      </x:c>
      <x:c r="AA42" s="84" t="str">
        <x:v>官印相生：当主体、客体、路径与力量匹配满足最低标准时，判“明显成立”；是否上升为格局转M14/M15。</x:v>
      </x:c>
      <x:c r="AB42" s="82" t="str">
        <x:v>较高</x:v>
      </x:c>
      <x:c r="AC42" s="82" t="str">
        <x:v>现代综合</x:v>
      </x:c>
      <x:c r="AD42" s="68" t="str">
        <x:v>十神同时出现不等于组合成立。M11须同时验证核心十神有效性、作用路径、力量匹配、日主承载、破坏因素与救应；组合成立也不等于格局成立。</x:v>
      </x:c>
      <x:c r="AE42" s="68" t="str">
        <x:v>局部官印链已经成立；月令与格局主导性尚未核查；作用路径稳定且无关键破坏，可按“官印相生”记录。</x:v>
      </x:c>
      <x:c r="AF42" s="90" t="str">
        <x:v>仅因“正官、印星”同时出现，但核心十神无力、无作用路径或被关键因素破坏，不能判“官印相生”成立。</x:v>
      </x:c>
      <x:c r="AG42" s="68" t="str">
        <x:v>https://zh.wikisource.org/zh-hans/%E6%B7%B5%E6%B5%B7%E5%AD%90%E5%B9%B3 ; https://zh.wikisource.org/wiki/%E6%BB%B4%E5%A4%A9%E9%AB%93%E9%97%A1%E5%BE%AE</x:v>
      </x:c>
      <x:c r="AH42" s="82" t="str">
        <x:v>采用</x:v>
      </x:c>
      <x:c r="AI42" s="82" t="str">
        <x:v>初审</x:v>
      </x:c>
      <x:c r="AJ42" s="87" t="n">
        <x:v>46255</x:v>
      </x:c>
    </x:row>
    <x:row r="43">
      <x:c r="A43" s="72" t="str">
        <x:f>IF(OR(C43="",D43=""),"",B43&amp;"-"&amp;UPPER(C43)&amp;"-"&amp;TEXT(D43,"0000")&amp;"-"&amp;E43)</x:f>
        <x:v>M11-SHANGYIN-0037-V1.0</x:v>
      </x:c>
      <x:c r="B43" s="74" t="str">
        <x:v>M11</x:v>
      </x:c>
      <x:c r="C43" s="74" t="str">
        <x:v>SHANGYIN</x:v>
      </x:c>
      <x:c r="D43" s="215" t="n">
        <x:v>37</x:v>
      </x:c>
      <x:c r="E43" s="74" t="str">
        <x:v>V1.0</x:v>
      </x:c>
      <x:c r="F43" s="68" t="str">
        <x:v>伤官必须真实有力且存在需要制化的输出</x:v>
      </x:c>
      <x:c r="G43" s="82" t="str">
        <x:v>结构层</x:v>
      </x:c>
      <x:c r="H43" s="82" t="str">
        <x:v>制化型</x:v>
      </x:c>
      <x:c r="I43" s="68" t="str">
        <x:v>伤官配印</x:v>
      </x:c>
      <x:c r="J43" s="68" t="str">
        <x:v>伤官、印星</x:v>
      </x:c>
      <x:c r="K43" s="68" t="str">
        <x:v>伤官有效并达到中和偏旺以上或形成明显泄身/克官作用</x:v>
      </x:c>
      <x:c r="L43" s="68" t="str">
        <x:v>印星有效且可克制伤官</x:v>
      </x:c>
      <x:c r="M43" s="68" t="str">
        <x:v>印星对伤官存在直接可达制约路径</x:v>
      </x:c>
      <x:c r="N43" s="68" t="str">
        <x:v>相关十神均以M10有效力量为准，且不存在决定性失衡</x:v>
      </x:c>
      <x:c r="O43" s="68" t="str">
        <x:v>日主不能因印星过度生身而进一步失衡</x:v>
      </x:c>
      <x:c r="P43" s="68" t="str">
        <x:v>主体、客体、作用路径与力量匹配均达到最低要求</x:v>
      </x:c>
      <x:c r="Q43" s="68" t="str">
        <x:v>相关十神有根、有源、透达、清纯且关键通路稳定</x:v>
      </x:c>
      <x:c r="R43" s="90" t="str">
        <x:v>关键十神被合绊、被制、改性、失效或力量严重失衡</x:v>
      </x:c>
      <x:c r="S43" s="68" t="str">
        <x:v>存在第三十神恢复通路、清除破坏或重新形成平衡</x:v>
      </x:c>
      <x:c r="T43" s="90" t="str">
        <x:v>任一核心十神失效，或不存在真实作用路径</x:v>
      </x:c>
      <x:c r="U43" s="68" t="str">
        <x:v>特殊格局、从化或月令格局另转M14/M15复审</x:v>
      </x:c>
      <x:c r="V43" s="84" t="str">
        <x:v>基本成立</x:v>
      </x:c>
      <x:c r="W43" s="84" t="str">
        <x:v>约束伤官、稳定输出</x:v>
      </x:c>
      <x:c r="X43" s="82" t="str">
        <x:v>条件性</x:v>
      </x:c>
      <x:c r="Y43" s="68" t="str">
        <x:v>伤官配印格候选</x:v>
      </x:c>
      <x:c r="Z43" s="84" t="str">
        <x:v>伤官配印_成立条件</x:v>
      </x:c>
      <x:c r="AA43" s="84" t="str">
        <x:v>伤官配印：当主体、客体、路径与力量匹配满足最低标准时，判“基本成立”；是否上升为格局转M14/M15。</x:v>
      </x:c>
      <x:c r="AB43" s="82" t="str">
        <x:v>较高</x:v>
      </x:c>
      <x:c r="AC43" s="82" t="str">
        <x:v>现代综合</x:v>
      </x:c>
      <x:c r="AD43" s="68" t="str">
        <x:v>十神同时出现不等于组合成立。M11须同时验证核心十神有效性、作用路径、力量匹配、日主承载、破坏因素与救应；组合成立也不等于格局成立。</x:v>
      </x:c>
      <x:c r="AE43" s="68" t="str">
        <x:v>伤官有效并达到中和偏旺以上或形成明显泄身/克官作用；印星有效且可克制伤官；作用路径稳定且无关键破坏，可按“伤官配印”记录。</x:v>
      </x:c>
      <x:c r="AF43" s="90" t="str">
        <x:v>仅因“伤官、印星”同时出现，但核心十神无力、无作用路径或被关键因素破坏，不能判“伤官配印”成立。</x:v>
      </x:c>
      <x:c r="AG43" s="68" t="str">
        <x:v>https://zh.wikisource.org/zh-hans/%E6%B7%B5%E6%B5%B7%E5%AD%90%E5%B9%B3 ; https://zh.wikisource.org/wiki/%E6%BB%B4%E5%A4%A9%E9%AB%93%E9%97%A1%E5%BE%AE</x:v>
      </x:c>
      <x:c r="AH43" s="82" t="str">
        <x:v>采用</x:v>
      </x:c>
      <x:c r="AI43" s="82" t="str">
        <x:v>初审</x:v>
      </x:c>
      <x:c r="AJ43" s="87" t="n">
        <x:v>46255</x:v>
      </x:c>
    </x:row>
    <x:row r="44">
      <x:c r="A44" s="72" t="str">
        <x:f>IF(OR(C44="",D44=""),"",B44&amp;"-"&amp;UPPER(C44)&amp;"-"&amp;TEXT(D44,"0000")&amp;"-"&amp;E44)</x:f>
        <x:v>M11-SHANGYIN-0038-V1.0</x:v>
      </x:c>
      <x:c r="B44" s="74" t="str">
        <x:v>M11</x:v>
      </x:c>
      <x:c r="C44" s="74" t="str">
        <x:v>SHANGYIN</x:v>
      </x:c>
      <x:c r="D44" s="215" t="n">
        <x:v>38</x:v>
      </x:c>
      <x:c r="E44" s="74" t="str">
        <x:v>V1.0</x:v>
      </x:c>
      <x:c r="F44" s="68" t="str">
        <x:v>印星必须有足够力量制约伤官</x:v>
      </x:c>
      <x:c r="G44" s="82" t="str">
        <x:v>结构层</x:v>
      </x:c>
      <x:c r="H44" s="82" t="str">
        <x:v>制化型</x:v>
      </x:c>
      <x:c r="I44" s="68" t="str">
        <x:v>伤官配印</x:v>
      </x:c>
      <x:c r="J44" s="68" t="str">
        <x:v>伤官、印星</x:v>
      </x:c>
      <x:c r="K44" s="68" t="str">
        <x:v>伤官有力</x:v>
      </x:c>
      <x:c r="L44" s="68" t="str">
        <x:v>印星至少达到可稳定制伤的有效水平</x:v>
      </x:c>
      <x:c r="M44" s="68" t="str">
        <x:v>直接或可达的生克制化路径成立</x:v>
      </x:c>
      <x:c r="N44" s="68" t="str">
        <x:v>印伤力量不可严重失衡</x:v>
      </x:c>
      <x:c r="O44" s="68" t="str">
        <x:v>结合M09日主承载判断</x:v>
      </x:c>
      <x:c r="P44" s="68" t="str">
        <x:v>主体、客体、作用路径与力量匹配均达到最低要求</x:v>
      </x:c>
      <x:c r="Q44" s="68" t="str">
        <x:v>相关十神有根、有源、透达、清纯且关键通路稳定</x:v>
      </x:c>
      <x:c r="R44" s="90" t="str">
        <x:v>关键十神被合绊、被制、改性、失效或力量严重失衡</x:v>
      </x:c>
      <x:c r="S44" s="68" t="str">
        <x:v>存在第三十神恢复通路、清除破坏或重新形成平衡</x:v>
      </x:c>
      <x:c r="T44" s="90" t="str">
        <x:v>任一核心十神失效，或不存在真实作用路径</x:v>
      </x:c>
      <x:c r="U44" s="68" t="str">
        <x:v>特殊格局、从化或月令格局另转M14/M15复审</x:v>
      </x:c>
      <x:c r="V44" s="84" t="str">
        <x:v>基本成立</x:v>
      </x:c>
      <x:c r="W44" s="84" t="str">
        <x:v>形成局部生化、制化或承载结构</x:v>
      </x:c>
      <x:c r="X44" s="82" t="str">
        <x:v>条件性</x:v>
      </x:c>
      <x:c r="Y44" s="68" t="str">
        <x:v>对应格局候选转M14</x:v>
      </x:c>
      <x:c r="Z44" s="84" t="str">
        <x:v>伤官配印_印有力</x:v>
      </x:c>
      <x:c r="AA44" s="84" t="str">
        <x:v>伤官配印：当主体、客体、路径与力量匹配满足最低标准时，判“基本成立”；是否上升为格局转M14/M15。</x:v>
      </x:c>
      <x:c r="AB44" s="82" t="str">
        <x:v>较高</x:v>
      </x:c>
      <x:c r="AC44" s="82" t="str">
        <x:v>现代综合</x:v>
      </x:c>
      <x:c r="AD44" s="68" t="str">
        <x:v>十神同时出现不等于组合成立。M11须同时验证核心十神有效性、作用路径、力量匹配、日主承载、破坏因素与救应；组合成立也不等于格局成立。</x:v>
      </x:c>
      <x:c r="AE44" s="68" t="str">
        <x:v>伤官有力；印星至少达到可稳定制伤的有效水平；作用路径稳定且无关键破坏，可按“伤官配印”记录。</x:v>
      </x:c>
      <x:c r="AF44" s="90" t="str">
        <x:v>仅因“伤官、印星”同时出现，但核心十神无力、无作用路径或被关键因素破坏，不能判“伤官配印”成立。</x:v>
      </x:c>
      <x:c r="AG44" s="68" t="str">
        <x:v>https://zh.wikisource.org/zh-hans/%E6%B7%B5%E6%B5%B7%E5%AD%90%E5%B9%B3 ; https://zh.wikisource.org/wiki/%E6%BB%B4%E5%A4%A9%E9%AB%93%E9%97%A1%E5%BE%AE</x:v>
      </x:c>
      <x:c r="AH44" s="82" t="str">
        <x:v>采用</x:v>
      </x:c>
      <x:c r="AI44" s="82" t="str">
        <x:v>初审</x:v>
      </x:c>
      <x:c r="AJ44" s="87" t="n">
        <x:v>46255</x:v>
      </x:c>
    </x:row>
    <x:row r="45">
      <x:c r="A45" s="72" t="str">
        <x:f>IF(OR(C45="",D45=""),"",B45&amp;"-"&amp;UPPER(C45)&amp;"-"&amp;TEXT(D45,"0000")&amp;"-"&amp;E45)</x:f>
        <x:v>M11-SHANGYIN-0039-V1.0</x:v>
      </x:c>
      <x:c r="B45" s="74" t="str">
        <x:v>M11</x:v>
      </x:c>
      <x:c r="C45" s="74" t="str">
        <x:v>SHANGYIN</x:v>
      </x:c>
      <x:c r="D45" s="215" t="n">
        <x:v>39</x:v>
      </x:c>
      <x:c r="E45" s="74" t="str">
        <x:v>V1.0</x:v>
      </x:c>
      <x:c r="F45" s="68" t="str">
        <x:v>伤官太弱无须配印时组合降级</x:v>
      </x:c>
      <x:c r="G45" s="82" t="str">
        <x:v>结构层</x:v>
      </x:c>
      <x:c r="H45" s="82" t="str">
        <x:v>制化型</x:v>
      </x:c>
      <x:c r="I45" s="68" t="str">
        <x:v>伤官配印</x:v>
      </x:c>
      <x:c r="J45" s="68" t="str">
        <x:v>伤官、印星</x:v>
      </x:c>
      <x:c r="K45" s="68" t="str">
        <x:v>伤官极弱、受限或已失效</x:v>
      </x:c>
      <x:c r="L45" s="68" t="str">
        <x:v>印星虽有力</x:v>
      </x:c>
      <x:c r="M45" s="68" t="str">
        <x:v>直接或可达的生克制化路径成立</x:v>
      </x:c>
      <x:c r="N45" s="68" t="str">
        <x:v>相关十神均以M10有效力量为准，且不存在决定性失衡</x:v>
      </x:c>
      <x:c r="O45" s="68" t="str">
        <x:v>结合M09日主承载判断</x:v>
      </x:c>
      <x:c r="P45" s="68" t="str">
        <x:v>不存在明显需要制化的伤官功能</x:v>
      </x:c>
      <x:c r="Q45" s="68" t="str">
        <x:v>相关十神有根、有源、透达、清纯且关键通路稳定</x:v>
      </x:c>
      <x:c r="R45" s="90" t="str">
        <x:v>关键十神被合绊、被制、改性、失效或力量严重失衡</x:v>
      </x:c>
      <x:c r="S45" s="68" t="str">
        <x:v>存在第三十神恢复通路、清除破坏或重新形成平衡</x:v>
      </x:c>
      <x:c r="T45" s="90" t="str">
        <x:v>任一核心十神失效，或不存在真实作用路径</x:v>
      </x:c>
      <x:c r="U45" s="68" t="str">
        <x:v>特殊格局、从化或月令格局另转M14/M15复审</x:v>
      </x:c>
      <x:c r="V45" s="84" t="str">
        <x:v>不成立</x:v>
      </x:c>
      <x:c r="W45" s="84" t="str">
        <x:v>印星主要生身而非配伤</x:v>
      </x:c>
      <x:c r="X45" s="82" t="str">
        <x:v>否</x:v>
      </x:c>
      <x:c r="Y45" s="68" t="str">
        <x:v>对应格局候选转M14</x:v>
      </x:c>
      <x:c r="Z45" s="84" t="str">
        <x:v>伤官配印_伤弱</x:v>
      </x:c>
      <x:c r="AA45" s="84" t="str">
        <x:v>伤官配印：当主体、客体、路径与力量匹配满足最低标准时，判“不成立”；是否上升为格局转M14/M15。</x:v>
      </x:c>
      <x:c r="AB45" s="82" t="str">
        <x:v>较高</x:v>
      </x:c>
      <x:c r="AC45" s="82" t="str">
        <x:v>现代综合</x:v>
      </x:c>
      <x:c r="AD45" s="68" t="str">
        <x:v>十神同时出现不等于组合成立。M11须同时验证核心十神有效性、作用路径、力量匹配、日主承载、破坏因素与救应；组合成立也不等于格局成立。</x:v>
      </x:c>
      <x:c r="AE45" s="68" t="str">
        <x:v>伤官极弱、受限或已失效；印星虽有力；作用路径稳定且无关键破坏，可按“伤官配印”记录。</x:v>
      </x:c>
      <x:c r="AF45" s="90" t="str">
        <x:v>仅因“伤官、印星”同时出现，但核心十神无力、无作用路径或被关键因素破坏，不能判“伤官配印”成立。</x:v>
      </x:c>
      <x:c r="AG45" s="68" t="str">
        <x:v>https://zh.wikisource.org/zh-hans/%E6%B7%B5%E6%B5%B7%E5%AD%90%E5%B9%B3 ; https://zh.wikisource.org/wiki/%E6%BB%B4%E5%A4%A9%E9%AB%93%E9%97%A1%E5%BE%AE</x:v>
      </x:c>
      <x:c r="AH45" s="82" t="str">
        <x:v>采用</x:v>
      </x:c>
      <x:c r="AI45" s="82" t="str">
        <x:v>初审</x:v>
      </x:c>
      <x:c r="AJ45" s="87" t="n">
        <x:v>46255</x:v>
      </x:c>
    </x:row>
    <x:row r="46">
      <x:c r="A46" s="72" t="str">
        <x:f>IF(OR(C46="",D46=""),"",B46&amp;"-"&amp;UPPER(C46)&amp;"-"&amp;TEXT(D46,"0000")&amp;"-"&amp;E46)</x:f>
        <x:v>M11-SHANGYIN-0040-V1.0</x:v>
      </x:c>
      <x:c r="B46" s="74" t="str">
        <x:v>M11</x:v>
      </x:c>
      <x:c r="C46" s="74" t="str">
        <x:v>SHANGYIN</x:v>
      </x:c>
      <x:c r="D46" s="215" t="n">
        <x:v>40</x:v>
      </x:c>
      <x:c r="E46" s="74" t="str">
        <x:v>V1.0</x:v>
      </x:c>
      <x:c r="F46" s="68" t="str">
        <x:v>印过强将伤官完全压制时属于制化过度</x:v>
      </x:c>
      <x:c r="G46" s="82" t="str">
        <x:v>结构层</x:v>
      </x:c>
      <x:c r="H46" s="82" t="str">
        <x:v>制化型</x:v>
      </x:c>
      <x:c r="I46" s="68" t="str">
        <x:v>伤官配印</x:v>
      </x:c>
      <x:c r="J46" s="68" t="str">
        <x:v>伤官、印星</x:v>
      </x:c>
      <x:c r="K46" s="68" t="str">
        <x:v>印星旺或极旺</x:v>
      </x:c>
      <x:c r="L46" s="68" t="str">
        <x:v>伤官被制至失效</x:v>
      </x:c>
      <x:c r="M46" s="68" t="str">
        <x:v>直接或可达的生克制化路径成立</x:v>
      </x:c>
      <x:c r="N46" s="68" t="str">
        <x:v>印明显强于伤</x:v>
      </x:c>
      <x:c r="O46" s="68" t="str">
        <x:v>结合M09日主承载判断</x:v>
      </x:c>
      <x:c r="P46" s="68" t="str">
        <x:v>主体、客体、作用路径与力量匹配均达到最低要求</x:v>
      </x:c>
      <x:c r="Q46" s="68" t="str">
        <x:v>相关十神有根、有源、透达、清纯且关键通路稳定</x:v>
      </x:c>
      <x:c r="R46" s="90" t="str">
        <x:v>关键十神被合绊、被制、改性、失效或力量严重失衡</x:v>
      </x:c>
      <x:c r="S46" s="68" t="str">
        <x:v>存在第三十神恢复通路、清除破坏或重新形成平衡</x:v>
      </x:c>
      <x:c r="T46" s="90" t="str">
        <x:v>任一核心十神失效，或不存在真实作用路径</x:v>
      </x:c>
      <x:c r="U46" s="68" t="str">
        <x:v>特殊格局、从化或月令格局另转M14/M15复审</x:v>
      </x:c>
      <x:c r="V46" s="84" t="str">
        <x:v>弱成立</x:v>
      </x:c>
      <x:c r="W46" s="84" t="str">
        <x:v>伤官功能被过度压制</x:v>
      </x:c>
      <x:c r="X46" s="82" t="str">
        <x:v>否</x:v>
      </x:c>
      <x:c r="Y46" s="68" t="str">
        <x:v>对应格局候选转M14</x:v>
      </x:c>
      <x:c r="Z46" s="84" t="str">
        <x:v>伤官配印_印制太过</x:v>
      </x:c>
      <x:c r="AA46" s="84" t="str">
        <x:v>伤官配印：当主体、客体、路径与力量匹配满足最低标准时，判“弱成立”；是否上升为格局转M14/M15。</x:v>
      </x:c>
      <x:c r="AB46" s="82" t="str">
        <x:v>较高</x:v>
      </x:c>
      <x:c r="AC46" s="82" t="str">
        <x:v>现代综合</x:v>
      </x:c>
      <x:c r="AD46" s="68" t="str">
        <x:v>十神同时出现不等于组合成立。M11须同时验证核心十神有效性、作用路径、力量匹配、日主承载、破坏因素与救应；组合成立也不等于格局成立。</x:v>
      </x:c>
      <x:c r="AE46" s="68" t="str">
        <x:v>印星旺或极旺；伤官被制至失效；作用路径稳定且无关键破坏，可按“伤官配印”记录。</x:v>
      </x:c>
      <x:c r="AF46" s="90" t="str">
        <x:v>仅因“伤官、印星”同时出现，但核心十神无力、无作用路径或被关键因素破坏，不能判“伤官配印”成立。</x:v>
      </x:c>
      <x:c r="AG46" s="68" t="str">
        <x:v>https://zh.wikisource.org/zh-hans/%E6%B7%B5%E6%B5%B7%E5%AD%90%E5%B9%B3 ; https://zh.wikisource.org/wiki/%E6%BB%B4%E5%A4%A9%E9%AB%93%E9%97%A1%E5%BE%AE</x:v>
      </x:c>
      <x:c r="AH46" s="82" t="str">
        <x:v>采用</x:v>
      </x:c>
      <x:c r="AI46" s="82" t="str">
        <x:v>初审</x:v>
      </x:c>
      <x:c r="AJ46" s="87" t="n">
        <x:v>46255</x:v>
      </x:c>
    </x:row>
    <x:row r="47">
      <x:c r="A47" s="72" t="str">
        <x:f>IF(OR(C47="",D47=""),"",B47&amp;"-"&amp;UPPER(C47)&amp;"-"&amp;TEXT(D47,"0000")&amp;"-"&amp;E47)</x:f>
        <x:v>M11-SHANGYIN-0041-V1.0</x:v>
      </x:c>
      <x:c r="B47" s="74" t="str">
        <x:v>M11</x:v>
      </x:c>
      <x:c r="C47" s="74" t="str">
        <x:v>SHANGYIN</x:v>
      </x:c>
      <x:c r="D47" s="215" t="n">
        <x:v>41</x:v>
      </x:c>
      <x:c r="E47" s="74" t="str">
        <x:v>V1.0</x:v>
      </x:c>
      <x:c r="F47" s="68" t="str">
        <x:v>财星强制印会破坏配印</x:v>
      </x:c>
      <x:c r="G47" s="82" t="str">
        <x:v>结构层</x:v>
      </x:c>
      <x:c r="H47" s="82" t="str">
        <x:v>制化型</x:v>
      </x:c>
      <x:c r="I47" s="68" t="str">
        <x:v>伤官配印</x:v>
      </x:c>
      <x:c r="J47" s="68" t="str">
        <x:v>伤官、印星、财星</x:v>
      </x:c>
      <x:c r="K47" s="68" t="str">
        <x:v>财星有效且直接克制关键印星</x:v>
      </x:c>
      <x:c r="L47" s="68" t="str">
        <x:v>印星制伤能力下降</x:v>
      </x:c>
      <x:c r="M47" s="68" t="str">
        <x:v>直接或可达的生克制化路径成立</x:v>
      </x:c>
      <x:c r="N47" s="68" t="str">
        <x:v>相关十神均以M10有效力量为准，且不存在决定性失衡</x:v>
      </x:c>
      <x:c r="O47" s="68" t="str">
        <x:v>结合M09日主承载判断</x:v>
      </x:c>
      <x:c r="P47" s="68" t="str">
        <x:v>主体、客体、作用路径与力量匹配均达到最低要求</x:v>
      </x:c>
      <x:c r="Q47" s="68" t="str">
        <x:v>相关十神有根、有源、透达、清纯且关键通路稳定</x:v>
      </x:c>
      <x:c r="R47" s="90" t="str">
        <x:v>财破关键印星</x:v>
      </x:c>
      <x:c r="S47" s="68" t="str">
        <x:v>存在第三十神恢复通路、清除破坏或重新形成平衡</x:v>
      </x:c>
      <x:c r="T47" s="90" t="str">
        <x:v>任一核心十神失效，或不存在真实作用路径</x:v>
      </x:c>
      <x:c r="U47" s="68" t="str">
        <x:v>特殊格局、从化或月令格局另转M14/M15复审</x:v>
      </x:c>
      <x:c r="V47" s="84" t="str">
        <x:v>不成立</x:v>
      </x:c>
      <x:c r="W47" s="84" t="str">
        <x:v>形成局部生化、制化或承载结构</x:v>
      </x:c>
      <x:c r="X47" s="82" t="str">
        <x:v>否</x:v>
      </x:c>
      <x:c r="Y47" s="68" t="str">
        <x:v>对应格局候选转M14</x:v>
      </x:c>
      <x:c r="Z47" s="84" t="str">
        <x:v>伤官配印_财坏印</x:v>
      </x:c>
      <x:c r="AA47" s="84" t="str">
        <x:v>伤官配印：当主体、客体、路径与力量匹配满足最低标准时，判“不成立”；是否上升为格局转M14/M15。</x:v>
      </x:c>
      <x:c r="AB47" s="82" t="str">
        <x:v>较高</x:v>
      </x:c>
      <x:c r="AC47" s="82" t="str">
        <x:v>现代综合</x:v>
      </x:c>
      <x:c r="AD47" s="68" t="str">
        <x:v>十神同时出现不等于组合成立。M11须同时验证核心十神有效性、作用路径、力量匹配、日主承载、破坏因素与救应；组合成立也不等于格局成立。</x:v>
      </x:c>
      <x:c r="AE47" s="68" t="str">
        <x:v>财星有效且直接克制关键印星；印星制伤能力下降；作用路径稳定且无关键破坏，可按“伤官配印”记录。</x:v>
      </x:c>
      <x:c r="AF47" s="90" t="str">
        <x:v>仅因“伤官、印星、财星”同时出现，但核心十神无力、无作用路径或被关键因素破坏，不能判“伤官配印”成立。</x:v>
      </x:c>
      <x:c r="AG47" s="68" t="str">
        <x:v>https://zh.wikisource.org/zh-hans/%E6%B7%B5%E6%B5%B7%E5%AD%90%E5%B9%B3 ; https://zh.wikisource.org/wiki/%E6%BB%B4%E5%A4%A9%E9%AB%93%E9%97%A1%E5%BE%AE</x:v>
      </x:c>
      <x:c r="AH47" s="82" t="str">
        <x:v>采用</x:v>
      </x:c>
      <x:c r="AI47" s="82" t="str">
        <x:v>初审</x:v>
      </x:c>
      <x:c r="AJ47" s="87" t="n">
        <x:v>46255</x:v>
      </x:c>
    </x:row>
    <x:row r="48">
      <x:c r="A48" s="72" t="str">
        <x:f>IF(OR(C48="",D48=""),"",B48&amp;"-"&amp;UPPER(C48)&amp;"-"&amp;TEXT(D48,"0000")&amp;"-"&amp;E48)</x:f>
        <x:v>M11-SHANGYIN-0042-V1.0</x:v>
      </x:c>
      <x:c r="B48" s="74" t="str">
        <x:v>M11</x:v>
      </x:c>
      <x:c r="C48" s="74" t="str">
        <x:v>SHANGYIN</x:v>
      </x:c>
      <x:c r="D48" s="215" t="n">
        <x:v>42</x:v>
      </x:c>
      <x:c r="E48" s="74" t="str">
        <x:v>V1.0</x:v>
      </x:c>
      <x:c r="F48" s="68" t="str">
        <x:v>伤官已强克官时配印可作为救应</x:v>
      </x:c>
      <x:c r="G48" s="82" t="str">
        <x:v>结构层</x:v>
      </x:c>
      <x:c r="H48" s="82" t="str">
        <x:v>制化型</x:v>
      </x:c>
      <x:c r="I48" s="68" t="str">
        <x:v>伤官配印</x:v>
      </x:c>
      <x:c r="J48" s="68" t="str">
        <x:v>伤官、印星、正官</x:v>
      </x:c>
      <x:c r="K48" s="68" t="str">
        <x:v>伤官克官冲突已经成立</x:v>
      </x:c>
      <x:c r="L48" s="68" t="str">
        <x:v>印星有力并能制伤、同时不被财破</x:v>
      </x:c>
      <x:c r="M48" s="68" t="str">
        <x:v>直接或可达的生克制化路径成立</x:v>
      </x:c>
      <x:c r="N48" s="68" t="str">
        <x:v>相关十神均以M10有效力量为准，且不存在决定性失衡</x:v>
      </x:c>
      <x:c r="O48" s="68" t="str">
        <x:v>结合M09日主承载判断</x:v>
      </x:c>
      <x:c r="P48" s="68" t="str">
        <x:v>主体、客体、作用路径与力量匹配均达到最低要求</x:v>
      </x:c>
      <x:c r="Q48" s="68" t="str">
        <x:v>相关十神有根、有源、透达、清纯且关键通路稳定</x:v>
      </x:c>
      <x:c r="R48" s="90" t="str">
        <x:v>关键十神被合绊、被制、改性、失效或力量严重失衡</x:v>
      </x:c>
      <x:c r="S48" s="68" t="str">
        <x:v>印制伤恢复官星功能或降低冲突</x:v>
      </x:c>
      <x:c r="T48" s="90" t="str">
        <x:v>任一核心十神失效，或不存在真实作用路径</x:v>
      </x:c>
      <x:c r="U48" s="68" t="str">
        <x:v>特殊格局、从化或月令格局另转M14/M15复审</x:v>
      </x:c>
      <x:c r="V48" s="84" t="str">
        <x:v>基本成立</x:v>
      </x:c>
      <x:c r="W48" s="84" t="str">
        <x:v>形成局部生化、制化或承载结构</x:v>
      </x:c>
      <x:c r="X48" s="82" t="str">
        <x:v>条件性</x:v>
      </x:c>
      <x:c r="Y48" s="68" t="str">
        <x:v>对应格局候选转M14</x:v>
      </x:c>
      <x:c r="Z48" s="84" t="str">
        <x:v>伤官配印_救官</x:v>
      </x:c>
      <x:c r="AA48" s="84" t="str">
        <x:v>伤官配印：当主体、客体、路径与力量匹配满足最低标准时，判“基本成立”；是否上升为格局转M14/M15。</x:v>
      </x:c>
      <x:c r="AB48" s="82" t="str">
        <x:v>较高</x:v>
      </x:c>
      <x:c r="AC48" s="82" t="str">
        <x:v>现代综合</x:v>
      </x:c>
      <x:c r="AD48" s="68" t="str">
        <x:v>十神同时出现不等于组合成立。M11须同时验证核心十神有效性、作用路径、力量匹配、日主承载、破坏因素与救应；组合成立也不等于格局成立。</x:v>
      </x:c>
      <x:c r="AE48" s="68" t="str">
        <x:v>伤官克官冲突已经成立；印星有力并能制伤、同时不被财破；作用路径稳定且无关键破坏，可按“伤官配印”记录。</x:v>
      </x:c>
      <x:c r="AF48" s="90" t="str">
        <x:v>仅因“伤官、印星、正官”同时出现，但核心十神无力、无作用路径或被关键因素破坏，不能判“伤官配印”成立。</x:v>
      </x:c>
      <x:c r="AG48" s="68" t="str">
        <x:v>https://zh.wikisource.org/zh-hans/%E6%B7%B5%E6%B5%B7%E5%AD%90%E5%B9%B3 ; https://zh.wikisource.org/wiki/%E6%BB%B4%E5%A4%A9%E9%AB%93%E9%97%A1%E5%BE%AE</x:v>
      </x:c>
      <x:c r="AH48" s="82" t="str">
        <x:v>采用</x:v>
      </x:c>
      <x:c r="AI48" s="82" t="str">
        <x:v>初审</x:v>
      </x:c>
      <x:c r="AJ48" s="87" t="n">
        <x:v>46255</x:v>
      </x:c>
    </x:row>
    <x:row r="49">
      <x:c r="A49" s="72" t="str">
        <x:f>IF(OR(C49="",D49=""),"",B49&amp;"-"&amp;UPPER(C49)&amp;"-"&amp;TEXT(D49,"0000")&amp;"-"&amp;E49)</x:f>
        <x:v>M11-SHANGYIN-0043-V1.0</x:v>
      </x:c>
      <x:c r="B49" s="74" t="str">
        <x:v>M11</x:v>
      </x:c>
      <x:c r="C49" s="74" t="str">
        <x:v>SHANGYIN</x:v>
      </x:c>
      <x:c r="D49" s="215" t="n">
        <x:v>43</x:v>
      </x:c>
      <x:c r="E49" s="74" t="str">
        <x:v>V1.0</x:v>
      </x:c>
      <x:c r="F49" s="68" t="str">
        <x:v>身弱时印星兼具生身与制伤双重收益</x:v>
      </x:c>
      <x:c r="G49" s="82" t="str">
        <x:v>结构层</x:v>
      </x:c>
      <x:c r="H49" s="82" t="str">
        <x:v>制化型</x:v>
      </x:c>
      <x:c r="I49" s="68" t="str">
        <x:v>伤官配印</x:v>
      </x:c>
      <x:c r="J49" s="68" t="str">
        <x:v>伤官、印星</x:v>
      </x:c>
      <x:c r="K49" s="68" t="str">
        <x:v>M09日主弱或中和偏弱</x:v>
      </x:c>
      <x:c r="L49" s="68" t="str">
        <x:v>伤官有力且印星有效</x:v>
      </x:c>
      <x:c r="M49" s="68" t="str">
        <x:v>直接或可达的生克制化路径成立</x:v>
      </x:c>
      <x:c r="N49" s="68" t="str">
        <x:v>相关十神均以M10有效力量为准，且不存在决定性失衡</x:v>
      </x:c>
      <x:c r="O49" s="68" t="str">
        <x:v>印既补身又制过泄，通常提高组合有效性</x:v>
      </x:c>
      <x:c r="P49" s="68" t="str">
        <x:v>主体、客体、作用路径与力量匹配均达到最低要求</x:v>
      </x:c>
      <x:c r="Q49" s="68" t="str">
        <x:v>印星有根有源且不被财破</x:v>
      </x:c>
      <x:c r="R49" s="90" t="str">
        <x:v>关键十神被合绊、被制、改性、失效或力量严重失衡</x:v>
      </x:c>
      <x:c r="S49" s="68" t="str">
        <x:v>存在第三十神恢复通路、清除破坏或重新形成平衡</x:v>
      </x:c>
      <x:c r="T49" s="90" t="str">
        <x:v>任一核心十神失效，或不存在真实作用路径</x:v>
      </x:c>
      <x:c r="U49" s="68" t="str">
        <x:v>特殊格局、从化或月令格局另转M14/M15复审</x:v>
      </x:c>
      <x:c r="V49" s="84" t="str">
        <x:v>明显成立</x:v>
      </x:c>
      <x:c r="W49" s="84" t="str">
        <x:v>形成局部生化、制化或承载结构</x:v>
      </x:c>
      <x:c r="X49" s="82" t="str">
        <x:v>条件性</x:v>
      </x:c>
      <x:c r="Y49" s="68" t="str">
        <x:v>对应格局候选转M14</x:v>
      </x:c>
      <x:c r="Z49" s="84" t="str">
        <x:v>伤官配印_身弱增强</x:v>
      </x:c>
      <x:c r="AA49" s="84" t="str">
        <x:v>伤官配印：当主体、客体、路径与力量匹配满足最低标准时，判“明显成立”；是否上升为格局转M14/M15。</x:v>
      </x:c>
      <x:c r="AB49" s="82" t="str">
        <x:v>较高</x:v>
      </x:c>
      <x:c r="AC49" s="82" t="str">
        <x:v>现代综合</x:v>
      </x:c>
      <x:c r="AD49" s="68" t="str">
        <x:v>十神同时出现不等于组合成立。M11须同时验证核心十神有效性、作用路径、力量匹配、日主承载、破坏因素与救应；组合成立也不等于格局成立。</x:v>
      </x:c>
      <x:c r="AE49" s="68" t="str">
        <x:v>M09日主弱或中和偏弱；伤官有力且印星有效；作用路径稳定且无关键破坏，可按“伤官配印”记录。</x:v>
      </x:c>
      <x:c r="AF49" s="90" t="str">
        <x:v>仅因“伤官、印星”同时出现，但核心十神无力、无作用路径或被关键因素破坏，不能判“伤官配印”成立。</x:v>
      </x:c>
      <x:c r="AG49" s="68" t="str">
        <x:v>https://zh.wikisource.org/zh-hans/%E6%B7%B5%E6%B5%B7%E5%AD%90%E5%B9%B3 ; https://zh.wikisource.org/wiki/%E6%BB%B4%E5%A4%A9%E9%AB%93%E9%97%A1%E5%BE%AE</x:v>
      </x:c>
      <x:c r="AH49" s="82" t="str">
        <x:v>采用</x:v>
      </x:c>
      <x:c r="AI49" s="82" t="str">
        <x:v>初审</x:v>
      </x:c>
      <x:c r="AJ49" s="87" t="n">
        <x:v>46255</x:v>
      </x:c>
    </x:row>
    <x:row r="50">
      <x:c r="A50" s="72" t="str">
        <x:f>IF(OR(C50="",D50=""),"",B50&amp;"-"&amp;UPPER(C50)&amp;"-"&amp;TEXT(D50,"0000")&amp;"-"&amp;E50)</x:f>
        <x:v>M11-SHANGYIN-0044-V1.0</x:v>
      </x:c>
      <x:c r="B50" s="74" t="str">
        <x:v>M11</x:v>
      </x:c>
      <x:c r="C50" s="74" t="str">
        <x:v>SHANGYIN</x:v>
      </x:c>
      <x:c r="D50" s="215" t="n">
        <x:v>44</x:v>
      </x:c>
      <x:c r="E50" s="74" t="str">
        <x:v>V1.0</x:v>
      </x:c>
      <x:c r="F50" s="68" t="str">
        <x:v>身旺印旺再配印可能加重身势</x:v>
      </x:c>
      <x:c r="G50" s="82" t="str">
        <x:v>结构层</x:v>
      </x:c>
      <x:c r="H50" s="82" t="str">
        <x:v>制化型</x:v>
      </x:c>
      <x:c r="I50" s="68" t="str">
        <x:v>伤官配印</x:v>
      </x:c>
      <x:c r="J50" s="68" t="str">
        <x:v>伤官、印星</x:v>
      </x:c>
      <x:c r="K50" s="68" t="str">
        <x:v>日主旺或极旺且印星本已强</x:v>
      </x:c>
      <x:c r="L50" s="68" t="str">
        <x:v>伤官虽然存在，但印的生身副作用明显</x:v>
      </x:c>
      <x:c r="M50" s="68" t="str">
        <x:v>直接或可达的生克制化路径成立</x:v>
      </x:c>
      <x:c r="N50" s="68" t="str">
        <x:v>相关十神均以M10有效力量为准，且不存在决定性失衡</x:v>
      </x:c>
      <x:c r="O50" s="68" t="str">
        <x:v>若制伤收益小于印增身副作用，组合价值下降</x:v>
      </x:c>
      <x:c r="P50" s="68" t="str">
        <x:v>主体、客体、作用路径与力量匹配均达到最低要求</x:v>
      </x:c>
      <x:c r="Q50" s="68" t="str">
        <x:v>相关十神有根、有源、透达、清纯且关键通路稳定</x:v>
      </x:c>
      <x:c r="R50" s="90" t="str">
        <x:v>关键十神被合绊、被制、改性、失效或力量严重失衡</x:v>
      </x:c>
      <x:c r="S50" s="68" t="str">
        <x:v>存在第三十神恢复通路、清除破坏或重新形成平衡</x:v>
      </x:c>
      <x:c r="T50" s="90" t="str">
        <x:v>任一核心十神失效，或不存在真实作用路径</x:v>
      </x:c>
      <x:c r="U50" s="68" t="str">
        <x:v>特殊格局、从化或月令格局另转M14/M15复审</x:v>
      </x:c>
      <x:c r="V50" s="84" t="str">
        <x:v>弱成立</x:v>
      </x:c>
      <x:c r="W50" s="84" t="str">
        <x:v>形成局部生化、制化或承载结构</x:v>
      </x:c>
      <x:c r="X50" s="82" t="str">
        <x:v>否</x:v>
      </x:c>
      <x:c r="Y50" s="68" t="str">
        <x:v>对应格局候选转M14</x:v>
      </x:c>
      <x:c r="Z50" s="84" t="str">
        <x:v>伤官配印_身旺副作用</x:v>
      </x:c>
      <x:c r="AA50" s="84" t="str">
        <x:v>伤官配印：当主体、客体、路径与力量匹配满足最低标准时，判“弱成立”；是否上升为格局转M14/M15。</x:v>
      </x:c>
      <x:c r="AB50" s="82" t="str">
        <x:v>较高</x:v>
      </x:c>
      <x:c r="AC50" s="82" t="str">
        <x:v>现代综合</x:v>
      </x:c>
      <x:c r="AD50" s="68" t="str">
        <x:v>十神同时出现不等于组合成立。M11须同时验证核心十神有效性、作用路径、力量匹配、日主承载、破坏因素与救应；组合成立也不等于格局成立。</x:v>
      </x:c>
      <x:c r="AE50" s="68" t="str">
        <x:v>日主旺或极旺且印星本已强；伤官虽然存在，但印的生身副作用明显；作用路径稳定且无关键破坏，可按“伤官配印”记录。</x:v>
      </x:c>
      <x:c r="AF50" s="90" t="str">
        <x:v>仅因“伤官、印星”同时出现，但核心十神无力、无作用路径或被关键因素破坏，不能判“伤官配印”成立。</x:v>
      </x:c>
      <x:c r="AG50" s="68" t="str">
        <x:v>https://zh.wikisource.org/zh-hans/%E6%B7%B5%E6%B5%B7%E5%AD%90%E5%B9%B3 ; https://zh.wikisource.org/wiki/%E6%BB%B4%E5%A4%A9%E9%AB%93%E9%97%A1%E5%BE%AE</x:v>
      </x:c>
      <x:c r="AH50" s="82" t="str">
        <x:v>采用</x:v>
      </x:c>
      <x:c r="AI50" s="82" t="str">
        <x:v>初审</x:v>
      </x:c>
      <x:c r="AJ50" s="87" t="n">
        <x:v>46255</x:v>
      </x:c>
    </x:row>
    <x:row r="51">
      <x:c r="A51" s="72" t="str">
        <x:f>IF(OR(C51="",D51=""),"",B51&amp;"-"&amp;UPPER(C51)&amp;"-"&amp;TEXT(D51,"0000")&amp;"-"&amp;E51)</x:f>
        <x:v>M11-SHANGYIN-0045-V1.0</x:v>
      </x:c>
      <x:c r="B51" s="74" t="str">
        <x:v>M11</x:v>
      </x:c>
      <x:c r="C51" s="74" t="str">
        <x:v>SHANGYIN</x:v>
      </x:c>
      <x:c r="D51" s="215" t="n">
        <x:v>45</x:v>
      </x:c>
      <x:c r="E51" s="74" t="str">
        <x:v>V1.0</x:v>
      </x:c>
      <x:c r="F51" s="68" t="str">
        <x:v>伤印力量协调且无财破印可判明显成立</x:v>
      </x:c>
      <x:c r="G51" s="82" t="str">
        <x:v>结构层</x:v>
      </x:c>
      <x:c r="H51" s="82" t="str">
        <x:v>制化型</x:v>
      </x:c>
      <x:c r="I51" s="68" t="str">
        <x:v>伤官配印</x:v>
      </x:c>
      <x:c r="J51" s="68" t="str">
        <x:v>伤官、印星</x:v>
      </x:c>
      <x:c r="K51" s="68" t="str">
        <x:v>伤官有力、印星有力</x:v>
      </x:c>
      <x:c r="L51" s="68" t="str">
        <x:v>印能制伤但不至伤官完全失效</x:v>
      </x:c>
      <x:c r="M51" s="68" t="str">
        <x:v>直接或可达的生克制化路径成立</x:v>
      </x:c>
      <x:c r="N51" s="68" t="str">
        <x:v>伤印制化适中</x:v>
      </x:c>
      <x:c r="O51" s="68" t="str">
        <x:v>结合M09日主承载判断</x:v>
      </x:c>
      <x:c r="P51" s="68" t="str">
        <x:v>主体、客体、作用路径与力量匹配均达到最低要求</x:v>
      </x:c>
      <x:c r="Q51" s="68" t="str">
        <x:v>相关十神有根、有源、透达、清纯且关键通路稳定</x:v>
      </x:c>
      <x:c r="R51" s="90" t="str">
        <x:v>关键十神被合绊、被制、改性、失效或力量严重失衡</x:v>
      </x:c>
      <x:c r="S51" s="68" t="str">
        <x:v>存在第三十神恢复通路、清除破坏或重新形成平衡</x:v>
      </x:c>
      <x:c r="T51" s="90" t="str">
        <x:v>任一核心十神失效，或不存在真实作用路径</x:v>
      </x:c>
      <x:c r="U51" s="68" t="str">
        <x:v>特殊格局、从化或月令格局另转M14/M15复审</x:v>
      </x:c>
      <x:c r="V51" s="84" t="str">
        <x:v>明显成立</x:v>
      </x:c>
      <x:c r="W51" s="84" t="str">
        <x:v>形成局部生化、制化或承载结构</x:v>
      </x:c>
      <x:c r="X51" s="82" t="str">
        <x:v>条件性</x:v>
      </x:c>
      <x:c r="Y51" s="68" t="str">
        <x:v>对应格局候选转M14</x:v>
      </x:c>
      <x:c r="Z51" s="84" t="str">
        <x:v>伤官配印_明显成立</x:v>
      </x:c>
      <x:c r="AA51" s="84" t="str">
        <x:v>伤官配印：当主体、客体、路径与力量匹配满足最低标准时，判“明显成立”；是否上升为格局转M14/M15。</x:v>
      </x:c>
      <x:c r="AB51" s="82" t="str">
        <x:v>较高</x:v>
      </x:c>
      <x:c r="AC51" s="82" t="str">
        <x:v>现代综合</x:v>
      </x:c>
      <x:c r="AD51" s="68" t="str">
        <x:v>十神同时出现不等于组合成立。M11须同时验证核心十神有效性、作用路径、力量匹配、日主承载、破坏因素与救应；组合成立也不等于格局成立。</x:v>
      </x:c>
      <x:c r="AE51" s="68" t="str">
        <x:v>伤官有力、印星有力；印能制伤但不至伤官完全失效；作用路径稳定且无关键破坏，可按“伤官配印”记录。</x:v>
      </x:c>
      <x:c r="AF51" s="90" t="str">
        <x:v>仅因“伤官、印星”同时出现，但核心十神无力、无作用路径或被关键因素破坏，不能判“伤官配印”成立。</x:v>
      </x:c>
      <x:c r="AG51" s="68" t="str">
        <x:v>https://zh.wikisource.org/zh-hans/%E6%B7%B5%E6%B5%B7%E5%AD%90%E5%B9%B3 ; https://zh.wikisource.org/wiki/%E6%BB%B4%E5%A4%A9%E9%AB%93%E9%97%A1%E5%BE%AE</x:v>
      </x:c>
      <x:c r="AH51" s="82" t="str">
        <x:v>采用</x:v>
      </x:c>
      <x:c r="AI51" s="82" t="str">
        <x:v>初审</x:v>
      </x:c>
      <x:c r="AJ51" s="87" t="n">
        <x:v>46255</x:v>
      </x:c>
    </x:row>
    <x:row r="52">
      <x:c r="A52" s="72" t="str">
        <x:f>IF(OR(C52="",D52=""),"",B52&amp;"-"&amp;UPPER(C52)&amp;"-"&amp;TEXT(D52,"0000")&amp;"-"&amp;E52)</x:f>
        <x:v>M11-SHANGYIN-0046-V1.0</x:v>
      </x:c>
      <x:c r="B52" s="74" t="str">
        <x:v>M11</x:v>
      </x:c>
      <x:c r="C52" s="74" t="str">
        <x:v>SHANGYIN</x:v>
      </x:c>
      <x:c r="D52" s="215" t="n">
        <x:v>46</x:v>
      </x:c>
      <x:c r="E52" s="74" t="str">
        <x:v>V1.0</x:v>
      </x:c>
      <x:c r="F52" s="68" t="str">
        <x:v>伤官配印与枭神夺食必须区分对象</x:v>
      </x:c>
      <x:c r="G52" s="82" t="str">
        <x:v>结构层</x:v>
      </x:c>
      <x:c r="H52" s="82" t="str">
        <x:v>制化型</x:v>
      </x:c>
      <x:c r="I52" s="68" t="str">
        <x:v>伤官配印</x:v>
      </x:c>
      <x:c r="J52" s="68" t="str">
        <x:v>伤官、印星</x:v>
      </x:c>
      <x:c r="K52" s="68" t="str">
        <x:v>印星同时可能制伤官或食神</x:v>
      </x:c>
      <x:c r="L52" s="68" t="str">
        <x:v>须识别印制的具体食伤类型及该食伤承担的功能</x:v>
      </x:c>
      <x:c r="M52" s="68" t="str">
        <x:v>直接或可达的生克制化路径成立</x:v>
      </x:c>
      <x:c r="N52" s="68" t="str">
        <x:v>相关十神均以M10有效力量为准，且不存在决定性失衡</x:v>
      </x:c>
      <x:c r="O52" s="68" t="str">
        <x:v>结合M09日主承载判断</x:v>
      </x:c>
      <x:c r="P52" s="68" t="str">
        <x:v>明确作用对象后再命名组合</x:v>
      </x:c>
      <x:c r="Q52" s="68" t="str">
        <x:v>相关十神有根、有源、透达、清纯且关键通路稳定</x:v>
      </x:c>
      <x:c r="R52" s="90" t="str">
        <x:v>关键十神被合绊、被制、改性、失效或力量严重失衡</x:v>
      </x:c>
      <x:c r="S52" s="68" t="str">
        <x:v>存在第三十神恢复通路、清除破坏或重新形成平衡</x:v>
      </x:c>
      <x:c r="T52" s="90" t="str">
        <x:v>任一核心十神失效，或不存在真实作用路径</x:v>
      </x:c>
      <x:c r="U52" s="68" t="str">
        <x:v>特殊格局、从化或月令格局另转M14/M15复审</x:v>
      </x:c>
      <x:c r="V52" s="84" t="str">
        <x:v>待定</x:v>
      </x:c>
      <x:c r="W52" s="84" t="str">
        <x:v>防止将印制食伤统一命名</x:v>
      </x:c>
      <x:c r="X52" s="82" t="str">
        <x:v>否</x:v>
      </x:c>
      <x:c r="Y52" s="68" t="str">
        <x:v>对应格局候选转M14</x:v>
      </x:c>
      <x:c r="Z52" s="84" t="str">
        <x:v>伤官配印_对象边界</x:v>
      </x:c>
      <x:c r="AA52" s="84" t="str">
        <x:v>伤官配印：当主体、客体、路径与力量匹配满足最低标准时，判“待定”；是否上升为格局转M14/M15。</x:v>
      </x:c>
      <x:c r="AB52" s="82" t="str">
        <x:v>较高</x:v>
      </x:c>
      <x:c r="AC52" s="82" t="str">
        <x:v>现代综合</x:v>
      </x:c>
      <x:c r="AD52" s="68" t="str">
        <x:v>十神同时出现不等于组合成立。M11须同时验证核心十神有效性、作用路径、力量匹配、日主承载、破坏因素与救应；组合成立也不等于格局成立。</x:v>
      </x:c>
      <x:c r="AE52" s="68" t="str">
        <x:v>印星同时可能制伤官或食神；须识别印制的具体食伤类型及该食伤承担的功能；作用路径稳定且无关键破坏，可按“伤官配印”记录。</x:v>
      </x:c>
      <x:c r="AF52" s="90" t="str">
        <x:v>仅因“伤官、印星”同时出现，但核心十神无力、无作用路径或被关键因素破坏，不能判“伤官配印”成立。</x:v>
      </x:c>
      <x:c r="AG52" s="68" t="str">
        <x:v>https://zh.wikisource.org/zh-hans/%E6%B7%B5%E6%B5%B7%E5%AD%90%E5%B9%B3 ; https://zh.wikisource.org/wiki/%E6%BB%B4%E5%A4%A9%E9%AB%93%E9%97%A1%E5%BE%AE</x:v>
      </x:c>
      <x:c r="AH52" s="82" t="str">
        <x:v>采用</x:v>
      </x:c>
      <x:c r="AI52" s="82" t="str">
        <x:v>初审</x:v>
      </x:c>
      <x:c r="AJ52" s="87" t="n">
        <x:v>46255</x:v>
      </x:c>
    </x:row>
    <x:row r="53">
      <x:c r="A53" s="72" t="str">
        <x:f>IF(OR(C53="",D53=""),"",B53&amp;"-"&amp;UPPER(C53)&amp;"-"&amp;TEXT(D53,"0000")&amp;"-"&amp;E53)</x:f>
        <x:v>M11-SHENGCAI-0047-V1.0</x:v>
      </x:c>
      <x:c r="B53" s="74" t="str">
        <x:v>M11</x:v>
      </x:c>
      <x:c r="C53" s="74" t="str">
        <x:v>SHENGCAI</x:v>
      </x:c>
      <x:c r="D53" s="215" t="n">
        <x:v>47</x:v>
      </x:c>
      <x:c r="E53" s="74" t="str">
        <x:v>V1.0</x:v>
      </x:c>
      <x:c r="F53" s="68" t="str">
        <x:v>食神必须有效且能够向财星输送</x:v>
      </x:c>
      <x:c r="G53" s="82" t="str">
        <x:v>结构层</x:v>
      </x:c>
      <x:c r="H53" s="82" t="str">
        <x:v>生化型</x:v>
      </x:c>
      <x:c r="I53" s="68" t="str">
        <x:v>食神生财</x:v>
      </x:c>
      <x:c r="J53" s="68" t="str">
        <x:v>食神、财星</x:v>
      </x:c>
      <x:c r="K53" s="68" t="str">
        <x:v>食神有效</x:v>
      </x:c>
      <x:c r="L53" s="68" t="str">
        <x:v>财星有效且能承接食神生扶</x:v>
      </x:c>
      <x:c r="M53" s="68" t="str">
        <x:v>食神→财星路径连续</x:v>
      </x:c>
      <x:c r="N53" s="68" t="str">
        <x:v>相关十神均以M10有效力量为准，且不存在决定性失衡</x:v>
      </x:c>
      <x:c r="O53" s="68" t="str">
        <x:v>结合M09日主承载判断</x:v>
      </x:c>
      <x:c r="P53" s="68" t="str">
        <x:v>主体、客体、作用路径与力量匹配均达到最低要求</x:v>
      </x:c>
      <x:c r="Q53" s="68" t="str">
        <x:v>相关十神有根、有源、透达、清纯且关键通路稳定</x:v>
      </x:c>
      <x:c r="R53" s="90" t="str">
        <x:v>关键十神被合绊、被制、改性、失效或力量严重失衡</x:v>
      </x:c>
      <x:c r="S53" s="68" t="str">
        <x:v>存在第三十神恢复通路、清除破坏或重新形成平衡</x:v>
      </x:c>
      <x:c r="T53" s="90" t="str">
        <x:v>任一核心十神失效，或不存在真实作用路径</x:v>
      </x:c>
      <x:c r="U53" s="68" t="str">
        <x:v>特殊格局、从化或月令格局另转M14/M15复审</x:v>
      </x:c>
      <x:c r="V53" s="84" t="str">
        <x:v>基本成立</x:v>
      </x:c>
      <x:c r="W53" s="84" t="str">
        <x:v>泄身并转化为财星</x:v>
      </x:c>
      <x:c r="X53" s="82" t="str">
        <x:v>条件性</x:v>
      </x:c>
      <x:c r="Y53" s="68" t="str">
        <x:v>食神生财格候选</x:v>
      </x:c>
      <x:c r="Z53" s="84" t="str">
        <x:v>食神生财_成立条件</x:v>
      </x:c>
      <x:c r="AA53" s="84" t="str">
        <x:v>食神生财：当主体、客体、路径与力量匹配满足最低标准时，判“基本成立”；是否上升为格局转M14/M15。</x:v>
      </x:c>
      <x:c r="AB53" s="82" t="str">
        <x:v>较高</x:v>
      </x:c>
      <x:c r="AC53" s="82" t="str">
        <x:v>现代综合</x:v>
      </x:c>
      <x:c r="AD53" s="68" t="str">
        <x:v>十神同时出现不等于组合成立。M11须同时验证核心十神有效性、作用路径、力量匹配、日主承载、破坏因素与救应；组合成立也不等于格局成立。</x:v>
      </x:c>
      <x:c r="AE53" s="68" t="str">
        <x:v>食神有效；财星有效且能承接食神生扶；作用路径稳定且无关键破坏，可按“食神生财”记录。</x:v>
      </x:c>
      <x:c r="AF53" s="90" t="str">
        <x:v>仅因“食神、财星”同时出现，但核心十神无力、无作用路径或被关键因素破坏，不能判“食神生财”成立。</x:v>
      </x:c>
      <x:c r="AG53" s="68" t="str">
        <x:v>https://zh.wikisource.org/zh-hans/%E6%B7%B5%E6%B5%B7%E5%AD%90%E5%B9%B3 ; https://zh.wikisource.org/wiki/%E6%BB%B4%E5%A4%A9%E9%AB%93%E9%97%A1%E5%BE%AE</x:v>
      </x:c>
      <x:c r="AH53" s="82" t="str">
        <x:v>采用</x:v>
      </x:c>
      <x:c r="AI53" s="82" t="str">
        <x:v>初审</x:v>
      </x:c>
      <x:c r="AJ53" s="87" t="n">
        <x:v>46255</x:v>
      </x:c>
    </x:row>
    <x:row r="54">
      <x:c r="A54" s="72" t="str">
        <x:f>IF(OR(C54="",D54=""),"",B54&amp;"-"&amp;UPPER(C54)&amp;"-"&amp;TEXT(D54,"0000")&amp;"-"&amp;E54)</x:f>
        <x:v>M11-SHENGCAI-0048-V1.0</x:v>
      </x:c>
      <x:c r="B54" s="74" t="str">
        <x:v>M11</x:v>
      </x:c>
      <x:c r="C54" s="74" t="str">
        <x:v>SHENGCAI</x:v>
      </x:c>
      <x:c r="D54" s="215" t="n">
        <x:v>48</x:v>
      </x:c>
      <x:c r="E54" s="74" t="str">
        <x:v>V1.0</x:v>
      </x:c>
      <x:c r="F54" s="68" t="str">
        <x:v>伤官必须有效且财星能够承接</x:v>
      </x:c>
      <x:c r="G54" s="82" t="str">
        <x:v>结构层</x:v>
      </x:c>
      <x:c r="H54" s="82" t="str">
        <x:v>生化型</x:v>
      </x:c>
      <x:c r="I54" s="68" t="str">
        <x:v>伤官生财</x:v>
      </x:c>
      <x:c r="J54" s="68" t="str">
        <x:v>伤官、财星</x:v>
      </x:c>
      <x:c r="K54" s="68" t="str">
        <x:v>伤官有效</x:v>
      </x:c>
      <x:c r="L54" s="68" t="str">
        <x:v>财星有效</x:v>
      </x:c>
      <x:c r="M54" s="68" t="str">
        <x:v>伤官→财星路径连续</x:v>
      </x:c>
      <x:c r="N54" s="68" t="str">
        <x:v>相关十神均以M10有效力量为准，且不存在决定性失衡</x:v>
      </x:c>
      <x:c r="O54" s="68" t="str">
        <x:v>结合M09日主承载判断</x:v>
      </x:c>
      <x:c r="P54" s="68" t="str">
        <x:v>主体、客体、作用路径与力量匹配均达到最低要求</x:v>
      </x:c>
      <x:c r="Q54" s="68" t="str">
        <x:v>相关十神有根、有源、透达、清纯且关键通路稳定</x:v>
      </x:c>
      <x:c r="R54" s="90" t="str">
        <x:v>关键十神被合绊、被制、改性、失效或力量严重失衡</x:v>
      </x:c>
      <x:c r="S54" s="68" t="str">
        <x:v>存在第三十神恢复通路、清除破坏或重新形成平衡</x:v>
      </x:c>
      <x:c r="T54" s="90" t="str">
        <x:v>任一核心十神失效，或不存在真实作用路径</x:v>
      </x:c>
      <x:c r="U54" s="68" t="str">
        <x:v>特殊格局、从化或月令格局另转M14/M15复审</x:v>
      </x:c>
      <x:c r="V54" s="84" t="str">
        <x:v>基本成立</x:v>
      </x:c>
      <x:c r="W54" s="84" t="str">
        <x:v>泄身并生财</x:v>
      </x:c>
      <x:c r="X54" s="82" t="str">
        <x:v>条件性</x:v>
      </x:c>
      <x:c r="Y54" s="68" t="str">
        <x:v>伤官生财格候选</x:v>
      </x:c>
      <x:c r="Z54" s="84" t="str">
        <x:v>伤官生财_成立条件</x:v>
      </x:c>
      <x:c r="AA54" s="84" t="str">
        <x:v>伤官生财：当主体、客体、路径与力量匹配满足最低标准时，判“基本成立”；是否上升为格局转M14/M15。</x:v>
      </x:c>
      <x:c r="AB54" s="82" t="str">
        <x:v>较高</x:v>
      </x:c>
      <x:c r="AC54" s="82" t="str">
        <x:v>现代综合</x:v>
      </x:c>
      <x:c r="AD54" s="68" t="str">
        <x:v>十神同时出现不等于组合成立。M11须同时验证核心十神有效性、作用路径、力量匹配、日主承载、破坏因素与救应；组合成立也不等于格局成立。</x:v>
      </x:c>
      <x:c r="AE54" s="68" t="str">
        <x:v>伤官有效；财星有效；作用路径稳定且无关键破坏，可按“伤官生财”记录。</x:v>
      </x:c>
      <x:c r="AF54" s="90" t="str">
        <x:v>仅因“伤官、财星”同时出现，但核心十神无力、无作用路径或被关键因素破坏，不能判“伤官生财”成立。</x:v>
      </x:c>
      <x:c r="AG54" s="68" t="str">
        <x:v>https://zh.wikisource.org/zh-hans/%E6%B7%B5%E6%B5%B7%E5%AD%90%E5%B9%B3 ; https://zh.wikisource.org/wiki/%E6%BB%B4%E5%A4%A9%E9%AB%93%E9%97%A1%E5%BE%AE</x:v>
      </x:c>
      <x:c r="AH54" s="82" t="str">
        <x:v>采用</x:v>
      </x:c>
      <x:c r="AI54" s="82" t="str">
        <x:v>初审</x:v>
      </x:c>
      <x:c r="AJ54" s="87" t="n">
        <x:v>46255</x:v>
      </x:c>
    </x:row>
    <x:row r="55">
      <x:c r="A55" s="72" t="str">
        <x:f>IF(OR(C55="",D55=""),"",B55&amp;"-"&amp;UPPER(C55)&amp;"-"&amp;TEXT(D55,"0000")&amp;"-"&amp;E55)</x:f>
        <x:v>M11-SHENGCAI-0049-V1.0</x:v>
      </x:c>
      <x:c r="B55" s="74" t="str">
        <x:v>M11</x:v>
      </x:c>
      <x:c r="C55" s="74" t="str">
        <x:v>SHENGCAI</x:v>
      </x:c>
      <x:c r="D55" s="215" t="n">
        <x:v>49</x:v>
      </x:c>
      <x:c r="E55" s="74" t="str">
        <x:v>V1.0</x:v>
      </x:c>
      <x:c r="F55" s="68" t="str">
        <x:v>财星过弱不能充分承接食伤输出</x:v>
      </x:c>
      <x:c r="G55" s="82" t="str">
        <x:v>结构层</x:v>
      </x:c>
      <x:c r="H55" s="82" t="str">
        <x:v>生化型</x:v>
      </x:c>
      <x:c r="I55" s="68" t="str">
        <x:v>食伤生财</x:v>
      </x:c>
      <x:c r="J55" s="68" t="str">
        <x:v>食伤、财星</x:v>
      </x:c>
      <x:c r="K55" s="68" t="str">
        <x:v>食伤旺</x:v>
      </x:c>
      <x:c r="L55" s="68" t="str">
        <x:v>财星弱、无根或受比劫强制</x:v>
      </x:c>
      <x:c r="M55" s="68" t="str">
        <x:v>直接或可达的生克制化路径成立</x:v>
      </x:c>
      <x:c r="N55" s="68" t="str">
        <x:v>相关十神均以M10有效力量为准，且不存在决定性失衡</x:v>
      </x:c>
      <x:c r="O55" s="68" t="str">
        <x:v>结合M09日主承载判断</x:v>
      </x:c>
      <x:c r="P55" s="68" t="str">
        <x:v>主体、客体、作用路径与力量匹配均达到最低要求</x:v>
      </x:c>
      <x:c r="Q55" s="68" t="str">
        <x:v>相关十神有根、有源、透达、清纯且关键通路稳定</x:v>
      </x:c>
      <x:c r="R55" s="90" t="str">
        <x:v>关键十神被合绊、被制、改性、失效或力量严重失衡</x:v>
      </x:c>
      <x:c r="S55" s="68" t="str">
        <x:v>存在第三十神恢复通路、清除破坏或重新形成平衡</x:v>
      </x:c>
      <x:c r="T55" s="90" t="str">
        <x:v>任一核心十神失效，或不存在真实作用路径</x:v>
      </x:c>
      <x:c r="U55" s="68" t="str">
        <x:v>特殊格局、从化或月令格局另转M14/M15复审</x:v>
      </x:c>
      <x:c r="V55" s="84" t="str">
        <x:v>弱成立</x:v>
      </x:c>
      <x:c r="W55" s="84" t="str">
        <x:v>输出有源但终点承载不足</x:v>
      </x:c>
      <x:c r="X55" s="82" t="str">
        <x:v>否</x:v>
      </x:c>
      <x:c r="Y55" s="68" t="str">
        <x:v>对应格局候选转M14</x:v>
      </x:c>
      <x:c r="Z55" s="84" t="str">
        <x:v>食伤生财_财弱</x:v>
      </x:c>
      <x:c r="AA55" s="84" t="str">
        <x:v>食伤生财：当主体、客体、路径与力量匹配满足最低标准时，判“弱成立”；是否上升为格局转M14/M15。</x:v>
      </x:c>
      <x:c r="AB55" s="82" t="str">
        <x:v>较高</x:v>
      </x:c>
      <x:c r="AC55" s="82" t="str">
        <x:v>现代综合</x:v>
      </x:c>
      <x:c r="AD55" s="68" t="str">
        <x:v>十神同时出现不等于组合成立。M11须同时验证核心十神有效性、作用路径、力量匹配、日主承载、破坏因素与救应；组合成立也不等于格局成立。</x:v>
      </x:c>
      <x:c r="AE55" s="68" t="str">
        <x:v>食伤旺；财星弱、无根或受比劫强制；作用路径稳定且无关键破坏，可按“食伤生财”记录。</x:v>
      </x:c>
      <x:c r="AF55" s="90" t="str">
        <x:v>仅因“食伤、财星”同时出现，但核心十神无力、无作用路径或被关键因素破坏，不能判“食伤生财”成立。</x:v>
      </x:c>
      <x:c r="AG55" s="68" t="str">
        <x:v>https://zh.wikisource.org/zh-hans/%E6%B7%B5%E6%B5%B7%E5%AD%90%E5%B9%B3 ; https://zh.wikisource.org/wiki/%E6%BB%B4%E5%A4%A9%E9%AB%93%E9%97%A1%E5%BE%AE</x:v>
      </x:c>
      <x:c r="AH55" s="82" t="str">
        <x:v>采用</x:v>
      </x:c>
      <x:c r="AI55" s="82" t="str">
        <x:v>初审</x:v>
      </x:c>
      <x:c r="AJ55" s="87" t="n">
        <x:v>46255</x:v>
      </x:c>
    </x:row>
    <x:row r="56">
      <x:c r="A56" s="72" t="str">
        <x:f>IF(OR(C56="",D56=""),"",B56&amp;"-"&amp;UPPER(C56)&amp;"-"&amp;TEXT(D56,"0000")&amp;"-"&amp;E56)</x:f>
        <x:v>M11-SHENGCAI-0050-V1.0</x:v>
      </x:c>
      <x:c r="B56" s="74" t="str">
        <x:v>M11</x:v>
      </x:c>
      <x:c r="C56" s="74" t="str">
        <x:v>SHENGCAI</x:v>
      </x:c>
      <x:c r="D56" s="215" t="n">
        <x:v>50</x:v>
      </x:c>
      <x:c r="E56" s="74" t="str">
        <x:v>V1.0</x:v>
      </x:c>
      <x:c r="F56" s="68" t="str">
        <x:v>食伤过弱时财星缺少稳定生源</x:v>
      </x:c>
      <x:c r="G56" s="82" t="str">
        <x:v>结构层</x:v>
      </x:c>
      <x:c r="H56" s="82" t="str">
        <x:v>生化型</x:v>
      </x:c>
      <x:c r="I56" s="68" t="str">
        <x:v>食伤生财</x:v>
      </x:c>
      <x:c r="J56" s="68" t="str">
        <x:v>食伤、财星</x:v>
      </x:c>
      <x:c r="K56" s="68" t="str">
        <x:v>食伤弱或受印星强制</x:v>
      </x:c>
      <x:c r="L56" s="68" t="str">
        <x:v>财星虽存在但生源不足</x:v>
      </x:c>
      <x:c r="M56" s="68" t="str">
        <x:v>直接或可达的生克制化路径成立</x:v>
      </x:c>
      <x:c r="N56" s="68" t="str">
        <x:v>相关十神均以M10有效力量为准，且不存在决定性失衡</x:v>
      </x:c>
      <x:c r="O56" s="68" t="str">
        <x:v>结合M09日主承载判断</x:v>
      </x:c>
      <x:c r="P56" s="68" t="str">
        <x:v>主体、客体、作用路径与力量匹配均达到最低要求</x:v>
      </x:c>
      <x:c r="Q56" s="68" t="str">
        <x:v>相关十神有根、有源、透达、清纯且关键通路稳定</x:v>
      </x:c>
      <x:c r="R56" s="90" t="str">
        <x:v>关键十神被合绊、被制、改性、失效或力量严重失衡</x:v>
      </x:c>
      <x:c r="S56" s="68" t="str">
        <x:v>存在第三十神恢复通路、清除破坏或重新形成平衡</x:v>
      </x:c>
      <x:c r="T56" s="90" t="str">
        <x:v>任一核心十神失效，或不存在真实作用路径</x:v>
      </x:c>
      <x:c r="U56" s="68" t="str">
        <x:v>特殊格局、从化或月令格局另转M14/M15复审</x:v>
      </x:c>
      <x:c r="V56" s="84" t="str">
        <x:v>弱成立</x:v>
      </x:c>
      <x:c r="W56" s="84" t="str">
        <x:v>形成局部生化、制化或承载结构</x:v>
      </x:c>
      <x:c r="X56" s="82" t="str">
        <x:v>否</x:v>
      </x:c>
      <x:c r="Y56" s="68" t="str">
        <x:v>对应格局候选转M14</x:v>
      </x:c>
      <x:c r="Z56" s="84" t="str">
        <x:v>食伤生财_食伤弱</x:v>
      </x:c>
      <x:c r="AA56" s="84" t="str">
        <x:v>食伤生财：当主体、客体、路径与力量匹配满足最低标准时，判“弱成立”；是否上升为格局转M14/M15。</x:v>
      </x:c>
      <x:c r="AB56" s="82" t="str">
        <x:v>较高</x:v>
      </x:c>
      <x:c r="AC56" s="82" t="str">
        <x:v>现代综合</x:v>
      </x:c>
      <x:c r="AD56" s="68" t="str">
        <x:v>十神同时出现不等于组合成立。M11须同时验证核心十神有效性、作用路径、力量匹配、日主承载、破坏因素与救应；组合成立也不等于格局成立。</x:v>
      </x:c>
      <x:c r="AE56" s="68" t="str">
        <x:v>食伤弱或受印星强制；财星虽存在但生源不足；作用路径稳定且无关键破坏，可按“食伤生财”记录。</x:v>
      </x:c>
      <x:c r="AF56" s="90" t="str">
        <x:v>仅因“食伤、财星”同时出现，但核心十神无力、无作用路径或被关键因素破坏，不能判“食伤生财”成立。</x:v>
      </x:c>
      <x:c r="AG56" s="68" t="str">
        <x:v>https://zh.wikisource.org/zh-hans/%E6%B7%B5%E6%B5%B7%E5%AD%90%E5%B9%B3 ; https://zh.wikisource.org/wiki/%E6%BB%B4%E5%A4%A9%E9%AB%93%E9%97%A1%E5%BE%AE</x:v>
      </x:c>
      <x:c r="AH56" s="82" t="str">
        <x:v>采用</x:v>
      </x:c>
      <x:c r="AI56" s="82" t="str">
        <x:v>初审</x:v>
      </x:c>
      <x:c r="AJ56" s="87" t="n">
        <x:v>46255</x:v>
      </x:c>
    </x:row>
    <x:row r="57">
      <x:c r="A57" s="72" t="str">
        <x:f>IF(OR(C57="",D57=""),"",B57&amp;"-"&amp;UPPER(C57)&amp;"-"&amp;TEXT(D57,"0000")&amp;"-"&amp;E57)</x:f>
        <x:v>M11-SHENGCAI-0051-V1.0</x:v>
      </x:c>
      <x:c r="B57" s="74" t="str">
        <x:v>M11</x:v>
      </x:c>
      <x:c r="C57" s="74" t="str">
        <x:v>SHENGCAI</x:v>
      </x:c>
      <x:c r="D57" s="215" t="n">
        <x:v>51</x:v>
      </x:c>
      <x:c r="E57" s="74" t="str">
        <x:v>V1.0</x:v>
      </x:c>
      <x:c r="F57" s="68" t="str">
        <x:v>比劫强制财会破坏生财终点</x:v>
      </x:c>
      <x:c r="G57" s="82" t="str">
        <x:v>结构层</x:v>
      </x:c>
      <x:c r="H57" s="82" t="str">
        <x:v>生化型</x:v>
      </x:c>
      <x:c r="I57" s="68" t="str">
        <x:v>食伤生财</x:v>
      </x:c>
      <x:c r="J57" s="68" t="str">
        <x:v>食伤、财星、比劫</x:v>
      </x:c>
      <x:c r="K57" s="68" t="str">
        <x:v>食伤生财路径成立</x:v>
      </x:c>
      <x:c r="L57" s="68" t="str">
        <x:v>比劫对财星形成实质强制</x:v>
      </x:c>
      <x:c r="M57" s="68" t="str">
        <x:v>直接或可达的生克制化路径成立</x:v>
      </x:c>
      <x:c r="N57" s="68" t="str">
        <x:v>相关十神均以M10有效力量为准，且不存在决定性失衡</x:v>
      </x:c>
      <x:c r="O57" s="68" t="str">
        <x:v>结合M09日主承载判断</x:v>
      </x:c>
      <x:c r="P57" s="68" t="str">
        <x:v>主体、客体、作用路径与力量匹配均达到最低要求</x:v>
      </x:c>
      <x:c r="Q57" s="68" t="str">
        <x:v>相关十神有根、有源、透达、清纯且关键通路稳定</x:v>
      </x:c>
      <x:c r="R57" s="90" t="str">
        <x:v>财星被比劫制至受限或失效</x:v>
      </x:c>
      <x:c r="S57" s="68" t="str">
        <x:v>存在第三十神恢复通路、清除破坏或重新形成平衡</x:v>
      </x:c>
      <x:c r="T57" s="90" t="str">
        <x:v>任一核心十神失效，或不存在真实作用路径</x:v>
      </x:c>
      <x:c r="U57" s="68" t="str">
        <x:v>特殊格局、从化或月令格局另转M14/M15复审</x:v>
      </x:c>
      <x:c r="V57" s="84" t="str">
        <x:v>弱成立</x:v>
      </x:c>
      <x:c r="W57" s="84" t="str">
        <x:v>形成局部生化、制化或承载结构</x:v>
      </x:c>
      <x:c r="X57" s="82" t="str">
        <x:v>否</x:v>
      </x:c>
      <x:c r="Y57" s="68" t="str">
        <x:v>对应格局候选转M14</x:v>
      </x:c>
      <x:c r="Z57" s="84" t="str">
        <x:v>食伤生财_比劫破财</x:v>
      </x:c>
      <x:c r="AA57" s="84" t="str">
        <x:v>食伤生财：当主体、客体、路径与力量匹配满足最低标准时，判“弱成立”；是否上升为格局转M14/M15。</x:v>
      </x:c>
      <x:c r="AB57" s="82" t="str">
        <x:v>较高</x:v>
      </x:c>
      <x:c r="AC57" s="82" t="str">
        <x:v>现代综合</x:v>
      </x:c>
      <x:c r="AD57" s="68" t="str">
        <x:v>十神同时出现不等于组合成立。M11须同时验证核心十神有效性、作用路径、力量匹配、日主承载、破坏因素与救应；组合成立也不等于格局成立。</x:v>
      </x:c>
      <x:c r="AE57" s="68" t="str">
        <x:v>食伤生财路径成立；比劫对财星形成实质强制；作用路径稳定且无关键破坏，可按“食伤生财”记录。</x:v>
      </x:c>
      <x:c r="AF57" s="90" t="str">
        <x:v>仅因“食伤、财星、比劫”同时出现，但核心十神无力、无作用路径或被关键因素破坏，不能判“食伤生财”成立。</x:v>
      </x:c>
      <x:c r="AG57" s="68" t="str">
        <x:v>https://zh.wikisource.org/zh-hans/%E6%B7%B5%E6%B5%B7%E5%AD%90%E5%B9%B3 ; https://zh.wikisource.org/wiki/%E6%BB%B4%E5%A4%A9%E9%AB%93%E9%97%A1%E5%BE%AE</x:v>
      </x:c>
      <x:c r="AH57" s="82" t="str">
        <x:v>采用</x:v>
      </x:c>
      <x:c r="AI57" s="82" t="str">
        <x:v>初审</x:v>
      </x:c>
      <x:c r="AJ57" s="87" t="n">
        <x:v>46255</x:v>
      </x:c>
    </x:row>
    <x:row r="58">
      <x:c r="A58" s="72" t="str">
        <x:f>IF(OR(C58="",D58=""),"",B58&amp;"-"&amp;UPPER(C58)&amp;"-"&amp;TEXT(D58,"0000")&amp;"-"&amp;E58)</x:f>
        <x:v>M11-SHENGCAI-0052-V1.0</x:v>
      </x:c>
      <x:c r="B58" s="74" t="str">
        <x:v>M11</x:v>
      </x:c>
      <x:c r="C58" s="74" t="str">
        <x:v>SHENGCAI</x:v>
      </x:c>
      <x:c r="D58" s="215" t="n">
        <x:v>52</x:v>
      </x:c>
      <x:c r="E58" s="74" t="str">
        <x:v>V1.0</x:v>
      </x:c>
      <x:c r="F58" s="68" t="str">
        <x:v>印星强制食伤会切断生财源头</x:v>
      </x:c>
      <x:c r="G58" s="82" t="str">
        <x:v>结构层</x:v>
      </x:c>
      <x:c r="H58" s="82" t="str">
        <x:v>生化型</x:v>
      </x:c>
      <x:c r="I58" s="68" t="str">
        <x:v>食伤生财</x:v>
      </x:c>
      <x:c r="J58" s="68" t="str">
        <x:v>食伤、财星、印星</x:v>
      </x:c>
      <x:c r="K58" s="68" t="str">
        <x:v>印星强制关键食伤</x:v>
      </x:c>
      <x:c r="L58" s="68" t="str">
        <x:v>食伤生财能力下降</x:v>
      </x:c>
      <x:c r="M58" s="68" t="str">
        <x:v>直接或可达的生克制化路径成立</x:v>
      </x:c>
      <x:c r="N58" s="68" t="str">
        <x:v>相关十神均以M10有效力量为准，且不存在决定性失衡</x:v>
      </x:c>
      <x:c r="O58" s="68" t="str">
        <x:v>结合M09日主承载判断</x:v>
      </x:c>
      <x:c r="P58" s="68" t="str">
        <x:v>主体、客体、作用路径与力量匹配均达到最低要求</x:v>
      </x:c>
      <x:c r="Q58" s="68" t="str">
        <x:v>相关十神有根、有源、透达、清纯且关键通路稳定</x:v>
      </x:c>
      <x:c r="R58" s="90" t="str">
        <x:v>食伤被印制至失效</x:v>
      </x:c>
      <x:c r="S58" s="68" t="str">
        <x:v>存在第三十神恢复通路、清除破坏或重新形成平衡</x:v>
      </x:c>
      <x:c r="T58" s="90" t="str">
        <x:v>任一核心十神失效，或不存在真实作用路径</x:v>
      </x:c>
      <x:c r="U58" s="68" t="str">
        <x:v>特殊格局、从化或月令格局另转M14/M15复审</x:v>
      </x:c>
      <x:c r="V58" s="84" t="str">
        <x:v>不成立</x:v>
      </x:c>
      <x:c r="W58" s="84" t="str">
        <x:v>形成局部生化、制化或承载结构</x:v>
      </x:c>
      <x:c r="X58" s="82" t="str">
        <x:v>否</x:v>
      </x:c>
      <x:c r="Y58" s="68" t="str">
        <x:v>对应格局候选转M14</x:v>
      </x:c>
      <x:c r="Z58" s="84" t="str">
        <x:v>食伤生财_印制食伤</x:v>
      </x:c>
      <x:c r="AA58" s="84" t="str">
        <x:v>食伤生财：当主体、客体、路径与力量匹配满足最低标准时，判“不成立”；是否上升为格局转M14/M15。</x:v>
      </x:c>
      <x:c r="AB58" s="82" t="str">
        <x:v>较高</x:v>
      </x:c>
      <x:c r="AC58" s="82" t="str">
        <x:v>现代综合</x:v>
      </x:c>
      <x:c r="AD58" s="68" t="str">
        <x:v>十神同时出现不等于组合成立。M11须同时验证核心十神有效性、作用路径、力量匹配、日主承载、破坏因素与救应；组合成立也不等于格局成立。</x:v>
      </x:c>
      <x:c r="AE58" s="68" t="str">
        <x:v>印星强制关键食伤；食伤生财能力下降；作用路径稳定且无关键破坏，可按“食伤生财”记录。</x:v>
      </x:c>
      <x:c r="AF58" s="90" t="str">
        <x:v>仅因“食伤、财星、印星”同时出现，但核心十神无力、无作用路径或被关键因素破坏，不能判“食伤生财”成立。</x:v>
      </x:c>
      <x:c r="AG58" s="68" t="str">
        <x:v>https://zh.wikisource.org/zh-hans/%E6%B7%B5%E6%B5%B7%E5%AD%90%E5%B9%B3 ; https://zh.wikisource.org/wiki/%E6%BB%B4%E5%A4%A9%E9%AB%93%E9%97%A1%E5%BE%AE</x:v>
      </x:c>
      <x:c r="AH58" s="82" t="str">
        <x:v>采用</x:v>
      </x:c>
      <x:c r="AI58" s="82" t="str">
        <x:v>初审</x:v>
      </x:c>
      <x:c r="AJ58" s="87" t="n">
        <x:v>46255</x:v>
      </x:c>
    </x:row>
    <x:row r="59">
      <x:c r="A59" s="72" t="str">
        <x:f>IF(OR(C59="",D59=""),"",B59&amp;"-"&amp;UPPER(C59)&amp;"-"&amp;TEXT(D59,"0000")&amp;"-"&amp;E59)</x:f>
        <x:v>M11-SHENGCAI-0053-V1.0</x:v>
      </x:c>
      <x:c r="B59" s="74" t="str">
        <x:v>M11</x:v>
      </x:c>
      <x:c r="C59" s="74" t="str">
        <x:v>SHENGCAI</x:v>
      </x:c>
      <x:c r="D59" s="215" t="n">
        <x:v>53</x:v>
      </x:c>
      <x:c r="E59" s="74" t="str">
        <x:v>V1.0</x:v>
      </x:c>
      <x:c r="F59" s="68" t="str">
        <x:v>身弱时连续泄耗可能超过日主承载</x:v>
      </x:c>
      <x:c r="G59" s="82" t="str">
        <x:v>结构层</x:v>
      </x:c>
      <x:c r="H59" s="82" t="str">
        <x:v>生化型</x:v>
      </x:c>
      <x:c r="I59" s="68" t="str">
        <x:v>食伤生财</x:v>
      </x:c>
      <x:c r="J59" s="68" t="str">
        <x:v>食伤、财星</x:v>
      </x:c>
      <x:c r="K59" s="68" t="str">
        <x:v>日主弱或极弱</x:v>
      </x:c>
      <x:c r="L59" s="68" t="str">
        <x:v>食伤生财形成“泄身→生财”连续负荷</x:v>
      </x:c>
      <x:c r="M59" s="68" t="str">
        <x:v>直接或可达的生克制化路径成立</x:v>
      </x:c>
      <x:c r="N59" s="68" t="str">
        <x:v>相关十神均以M10有效力量为准，且不存在决定性失衡</x:v>
      </x:c>
      <x:c r="O59" s="68" t="str">
        <x:v>若无印比承载，组合虽成立但可能成为负担</x:v>
      </x:c>
      <x:c r="P59" s="68" t="str">
        <x:v>主体、客体、作用路径与力量匹配均达到最低要求</x:v>
      </x:c>
      <x:c r="Q59" s="68" t="str">
        <x:v>相关十神有根、有源、透达、清纯且关键通路稳定</x:v>
      </x:c>
      <x:c r="R59" s="90" t="str">
        <x:v>关键十神被合绊、被制、改性、失效或力量严重失衡</x:v>
      </x:c>
      <x:c r="S59" s="68" t="str">
        <x:v>存在第三十神恢复通路、清除破坏或重新形成平衡</x:v>
      </x:c>
      <x:c r="T59" s="90" t="str">
        <x:v>任一核心十神失效，或不存在真实作用路径</x:v>
      </x:c>
      <x:c r="U59" s="68" t="str">
        <x:v>特殊格局、从化或月令格局另转M14/M15复审</x:v>
      </x:c>
      <x:c r="V59" s="84" t="str">
        <x:v>基本成立</x:v>
      </x:c>
      <x:c r="W59" s="84" t="str">
        <x:v>形成局部生化、制化或承载结构</x:v>
      </x:c>
      <x:c r="X59" s="82" t="str">
        <x:v>条件性</x:v>
      </x:c>
      <x:c r="Y59" s="68" t="str">
        <x:v>对应格局候选转M14</x:v>
      </x:c>
      <x:c r="Z59" s="84" t="str">
        <x:v>食伤生财_身弱负荷</x:v>
      </x:c>
      <x:c r="AA59" s="84" t="str">
        <x:v>食伤生财：当主体、客体、路径与力量匹配满足最低标准时，判“基本成立”；是否上升为格局转M14/M15。</x:v>
      </x:c>
      <x:c r="AB59" s="82" t="str">
        <x:v>较高</x:v>
      </x:c>
      <x:c r="AC59" s="82" t="str">
        <x:v>现代综合</x:v>
      </x:c>
      <x:c r="AD59" s="68" t="str">
        <x:v>十神同时出现不等于组合成立。M11须同时验证核心十神有效性、作用路径、力量匹配、日主承载、破坏因素与救应；组合成立也不等于格局成立。</x:v>
      </x:c>
      <x:c r="AE59" s="68" t="str">
        <x:v>日主弱或极弱；食伤生财形成“泄身→生财”连续负荷；作用路径稳定且无关键破坏，可按“食伤生财”记录。</x:v>
      </x:c>
      <x:c r="AF59" s="90" t="str">
        <x:v>仅因“食伤、财星”同时出现，但核心十神无力、无作用路径或被关键因素破坏，不能判“食伤生财”成立。</x:v>
      </x:c>
      <x:c r="AG59" s="68" t="str">
        <x:v>https://zh.wikisource.org/zh-hans/%E6%B7%B5%E6%B5%B7%E5%AD%90%E5%B9%B3 ; https://zh.wikisource.org/wiki/%E6%BB%B4%E5%A4%A9%E9%AB%93%E9%97%A1%E5%BE%AE</x:v>
      </x:c>
      <x:c r="AH59" s="82" t="str">
        <x:v>采用</x:v>
      </x:c>
      <x:c r="AI59" s="82" t="str">
        <x:v>初审</x:v>
      </x:c>
      <x:c r="AJ59" s="87" t="n">
        <x:v>46255</x:v>
      </x:c>
    </x:row>
    <x:row r="60">
      <x:c r="A60" s="72" t="str">
        <x:f>IF(OR(C60="",D60=""),"",B60&amp;"-"&amp;UPPER(C60)&amp;"-"&amp;TEXT(D60,"0000")&amp;"-"&amp;E60)</x:f>
        <x:v>M11-SHENGCAI-0054-V1.0</x:v>
      </x:c>
      <x:c r="B60" s="74" t="str">
        <x:v>M11</x:v>
      </x:c>
      <x:c r="C60" s="74" t="str">
        <x:v>SHENGCAI</x:v>
      </x:c>
      <x:c r="D60" s="215" t="n">
        <x:v>54</x:v>
      </x:c>
      <x:c r="E60" s="74" t="str">
        <x:v>V1.0</x:v>
      </x:c>
      <x:c r="F60" s="68" t="str">
        <x:v>身旺有食伤生财时通道通常更可持续</x:v>
      </x:c>
      <x:c r="G60" s="82" t="str">
        <x:v>结构层</x:v>
      </x:c>
      <x:c r="H60" s="82" t="str">
        <x:v>生化型</x:v>
      </x:c>
      <x:c r="I60" s="68" t="str">
        <x:v>食伤生财</x:v>
      </x:c>
      <x:c r="J60" s="68" t="str">
        <x:v>食伤、财星</x:v>
      </x:c>
      <x:c r="K60" s="68" t="str">
        <x:v>日主旺或中和偏旺</x:v>
      </x:c>
      <x:c r="L60" s="68" t="str">
        <x:v>食伤与财星均有效</x:v>
      </x:c>
      <x:c r="M60" s="68" t="str">
        <x:v>直接或可达的生克制化路径成立</x:v>
      </x:c>
      <x:c r="N60" s="68" t="str">
        <x:v>相关十神均以M10有效力量为准，且不存在决定性失衡</x:v>
      </x:c>
      <x:c r="O60" s="68" t="str">
        <x:v>日主有足够源头供给食伤并承受财耗</x:v>
      </x:c>
      <x:c r="P60" s="68" t="str">
        <x:v>主体、客体、作用路径与力量匹配均达到最低要求</x:v>
      </x:c>
      <x:c r="Q60" s="68" t="str">
        <x:v>食伤财链清晰且无印比破坏</x:v>
      </x:c>
      <x:c r="R60" s="90" t="str">
        <x:v>关键十神被合绊、被制、改性、失效或力量严重失衡</x:v>
      </x:c>
      <x:c r="S60" s="68" t="str">
        <x:v>存在第三十神恢复通路、清除破坏或重新形成平衡</x:v>
      </x:c>
      <x:c r="T60" s="90" t="str">
        <x:v>任一核心十神失效，或不存在真实作用路径</x:v>
      </x:c>
      <x:c r="U60" s="68" t="str">
        <x:v>特殊格局、从化或月令格局另转M14/M15复审</x:v>
      </x:c>
      <x:c r="V60" s="84" t="str">
        <x:v>明显成立</x:v>
      </x:c>
      <x:c r="W60" s="84" t="str">
        <x:v>形成局部生化、制化或承载结构</x:v>
      </x:c>
      <x:c r="X60" s="82" t="str">
        <x:v>条件性</x:v>
      </x:c>
      <x:c r="Y60" s="68" t="str">
        <x:v>对应格局候选转M14</x:v>
      </x:c>
      <x:c r="Z60" s="84" t="str">
        <x:v>食伤生财_身旺增强</x:v>
      </x:c>
      <x:c r="AA60" s="84" t="str">
        <x:v>食伤生财：当主体、客体、路径与力量匹配满足最低标准时，判“明显成立”；是否上升为格局转M14/M15。</x:v>
      </x:c>
      <x:c r="AB60" s="82" t="str">
        <x:v>较高</x:v>
      </x:c>
      <x:c r="AC60" s="82" t="str">
        <x:v>现代综合</x:v>
      </x:c>
      <x:c r="AD60" s="68" t="str">
        <x:v>十神同时出现不等于组合成立。M11须同时验证核心十神有效性、作用路径、力量匹配、日主承载、破坏因素与救应；组合成立也不等于格局成立。</x:v>
      </x:c>
      <x:c r="AE60" s="68" t="str">
        <x:v>日主旺或中和偏旺；食伤与财星均有效；作用路径稳定且无关键破坏，可按“食伤生财”记录。</x:v>
      </x:c>
      <x:c r="AF60" s="90" t="str">
        <x:v>仅因“食伤、财星”同时出现，但核心十神无力、无作用路径或被关键因素破坏，不能判“食伤生财”成立。</x:v>
      </x:c>
      <x:c r="AG60" s="68" t="str">
        <x:v>https://zh.wikisource.org/zh-hans/%E6%B7%B5%E6%B5%B7%E5%AD%90%E5%B9%B3 ; https://zh.wikisource.org/wiki/%E6%BB%B4%E5%A4%A9%E9%AB%93%E9%97%A1%E5%BE%AE</x:v>
      </x:c>
      <x:c r="AH60" s="82" t="str">
        <x:v>采用</x:v>
      </x:c>
      <x:c r="AI60" s="82" t="str">
        <x:v>初审</x:v>
      </x:c>
      <x:c r="AJ60" s="87" t="n">
        <x:v>46255</x:v>
      </x:c>
    </x:row>
    <x:row r="61">
      <x:c r="A61" s="72" t="str">
        <x:f>IF(OR(C61="",D61=""),"",B61&amp;"-"&amp;UPPER(C61)&amp;"-"&amp;TEXT(D61,"0000")&amp;"-"&amp;E61)</x:f>
        <x:v>M11-SHENGCAI-0055-V1.0</x:v>
      </x:c>
      <x:c r="B61" s="74" t="str">
        <x:v>M11</x:v>
      </x:c>
      <x:c r="C61" s="74" t="str">
        <x:v>SHENGCAI</x:v>
      </x:c>
      <x:c r="D61" s="215" t="n">
        <x:v>55</x:v>
      </x:c>
      <x:c r="E61" s="74" t="str">
        <x:v>V1.0</x:v>
      </x:c>
      <x:c r="F61" s="68" t="str">
        <x:v>食伤混杂时先判断主导输出者</x:v>
      </x:c>
      <x:c r="G61" s="82" t="str">
        <x:v>结构层</x:v>
      </x:c>
      <x:c r="H61" s="82" t="str">
        <x:v>生化型</x:v>
      </x:c>
      <x:c r="I61" s="68" t="str">
        <x:v>食伤生财</x:v>
      </x:c>
      <x:c r="J61" s="68" t="str">
        <x:v>食神、伤官、财星</x:v>
      </x:c>
      <x:c r="K61" s="68" t="str">
        <x:v>食神伤官均有效并生财</x:v>
      </x:c>
      <x:c r="L61" s="68" t="str">
        <x:v>财星能够承接</x:v>
      </x:c>
      <x:c r="M61" s="68" t="str">
        <x:v>直接或可达的生克制化路径成立</x:v>
      </x:c>
      <x:c r="N61" s="68" t="str">
        <x:v>需判断食神、伤官主次，避免重复计算同一财源</x:v>
      </x:c>
      <x:c r="O61" s="68" t="str">
        <x:v>结合M09日主承载判断</x:v>
      </x:c>
      <x:c r="P61" s="68" t="str">
        <x:v>主体、客体、作用路径与力量匹配均达到最低要求</x:v>
      </x:c>
      <x:c r="Q61" s="68" t="str">
        <x:v>相关十神有根、有源、透达、清纯且关键通路稳定</x:v>
      </x:c>
      <x:c r="R61" s="90" t="str">
        <x:v>关键十神被合绊、被制、改性、失效或力量严重失衡</x:v>
      </x:c>
      <x:c r="S61" s="68" t="str">
        <x:v>存在第三十神恢复通路、清除破坏或重新形成平衡</x:v>
      </x:c>
      <x:c r="T61" s="90" t="str">
        <x:v>任一核心十神失效，或不存在真实作用路径</x:v>
      </x:c>
      <x:c r="U61" s="68" t="str">
        <x:v>特殊格局、从化或月令格局另转M14/M15复审</x:v>
      </x:c>
      <x:c r="V61" s="84" t="str">
        <x:v>基本成立</x:v>
      </x:c>
      <x:c r="W61" s="84" t="str">
        <x:v>形成局部生化、制化或承载结构</x:v>
      </x:c>
      <x:c r="X61" s="82" t="str">
        <x:v>条件性</x:v>
      </x:c>
      <x:c r="Y61" s="68" t="str">
        <x:v>对应格局候选转M14</x:v>
      </x:c>
      <x:c r="Z61" s="84" t="str">
        <x:v>食伤生财_食伤混杂</x:v>
      </x:c>
      <x:c r="AA61" s="84" t="str">
        <x:v>食伤生财：当主体、客体、路径与力量匹配满足最低标准时，判“基本成立”；是否上升为格局转M14/M15。</x:v>
      </x:c>
      <x:c r="AB61" s="82" t="str">
        <x:v>较高</x:v>
      </x:c>
      <x:c r="AC61" s="82" t="str">
        <x:v>现代综合</x:v>
      </x:c>
      <x:c r="AD61" s="68" t="str">
        <x:v>十神同时出现不等于组合成立。M11须同时验证核心十神有效性、作用路径、力量匹配、日主承载、破坏因素与救应；组合成立也不等于格局成立。</x:v>
      </x:c>
      <x:c r="AE61" s="68" t="str">
        <x:v>食神伤官均有效并生财；财星能够承接；作用路径稳定且无关键破坏，可按“食伤生财”记录。</x:v>
      </x:c>
      <x:c r="AF61" s="90" t="str">
        <x:v>仅因“食神、伤官、财星”同时出现，但核心十神无力、无作用路径或被关键因素破坏，不能判“食伤生财”成立。</x:v>
      </x:c>
      <x:c r="AG61" s="68" t="str">
        <x:v>https://zh.wikisource.org/zh-hans/%E6%B7%B5%E6%B5%B7%E5%AD%90%E5%B9%B3 ; https://zh.wikisource.org/wiki/%E6%BB%B4%E5%A4%A9%E9%AB%93%E9%97%A1%E5%BE%AE</x:v>
      </x:c>
      <x:c r="AH61" s="82" t="str">
        <x:v>采用</x:v>
      </x:c>
      <x:c r="AI61" s="82" t="str">
        <x:v>初审</x:v>
      </x:c>
      <x:c r="AJ61" s="87" t="n">
        <x:v>46255</x:v>
      </x:c>
    </x:row>
    <x:row r="62">
      <x:c r="A62" s="72" t="str">
        <x:f>IF(OR(C62="",D62=""),"",B62&amp;"-"&amp;UPPER(C62)&amp;"-"&amp;TEXT(D62,"0000")&amp;"-"&amp;E62)</x:f>
        <x:v>M11-SHENGCAI-0056-V1.0</x:v>
      </x:c>
      <x:c r="B62" s="74" t="str">
        <x:v>M11</x:v>
      </x:c>
      <x:c r="C62" s="74" t="str">
        <x:v>SHENGCAI</x:v>
      </x:c>
      <x:c r="D62" s="215" t="n">
        <x:v>56</x:v>
      </x:c>
      <x:c r="E62" s="74" t="str">
        <x:v>V1.0</x:v>
      </x:c>
      <x:c r="F62" s="68" t="str">
        <x:v>链路稳定且供给承载匹配时可明显成立</x:v>
      </x:c>
      <x:c r="G62" s="82" t="str">
        <x:v>结构层</x:v>
      </x:c>
      <x:c r="H62" s="82" t="str">
        <x:v>生化型</x:v>
      </x:c>
      <x:c r="I62" s="68" t="str">
        <x:v>食伤生财</x:v>
      </x:c>
      <x:c r="J62" s="68" t="str">
        <x:v>食伤、财星</x:v>
      </x:c>
      <x:c r="K62" s="68" t="str">
        <x:v>食伤有力、财星有力</x:v>
      </x:c>
      <x:c r="L62" s="68" t="str">
        <x:v>源头、通路、终点三者连续</x:v>
      </x:c>
      <x:c r="M62" s="68" t="str">
        <x:v>直接或可达的生克制化路径成立</x:v>
      </x:c>
      <x:c r="N62" s="68" t="str">
        <x:v>日主供给、食伤输出、财星承载相匹配</x:v>
      </x:c>
      <x:c r="O62" s="68" t="str">
        <x:v>结合M09日主承载判断</x:v>
      </x:c>
      <x:c r="P62" s="68" t="str">
        <x:v>主体、客体、作用路径与力量匹配均达到最低要求</x:v>
      </x:c>
      <x:c r="Q62" s="68" t="str">
        <x:v>相关十神有根、有源、透达、清纯且关键通路稳定</x:v>
      </x:c>
      <x:c r="R62" s="90" t="str">
        <x:v>关键十神被合绊、被制、改性、失效或力量严重失衡</x:v>
      </x:c>
      <x:c r="S62" s="68" t="str">
        <x:v>存在第三十神恢复通路、清除破坏或重新形成平衡</x:v>
      </x:c>
      <x:c r="T62" s="90" t="str">
        <x:v>任一核心十神失效，或不存在真实作用路径</x:v>
      </x:c>
      <x:c r="U62" s="68" t="str">
        <x:v>特殊格局、从化或月令格局另转M14/M15复审</x:v>
      </x:c>
      <x:c r="V62" s="84" t="str">
        <x:v>明显成立</x:v>
      </x:c>
      <x:c r="W62" s="84" t="str">
        <x:v>形成局部生化、制化或承载结构</x:v>
      </x:c>
      <x:c r="X62" s="82" t="str">
        <x:v>条件性</x:v>
      </x:c>
      <x:c r="Y62" s="68" t="str">
        <x:v>对应格局候选转M14</x:v>
      </x:c>
      <x:c r="Z62" s="84" t="str">
        <x:v>食伤生财_明显成立</x:v>
      </x:c>
      <x:c r="AA62" s="84" t="str">
        <x:v>食伤生财：当主体、客体、路径与力量匹配满足最低标准时，判“明显成立”；是否上升为格局转M14/M15。</x:v>
      </x:c>
      <x:c r="AB62" s="82" t="str">
        <x:v>较高</x:v>
      </x:c>
      <x:c r="AC62" s="82" t="str">
        <x:v>现代综合</x:v>
      </x:c>
      <x:c r="AD62" s="68" t="str">
        <x:v>十神同时出现不等于组合成立。M11须同时验证核心十神有效性、作用路径、力量匹配、日主承载、破坏因素与救应；组合成立也不等于格局成立。</x:v>
      </x:c>
      <x:c r="AE62" s="68" t="str">
        <x:v>食伤有力、财星有力；源头、通路、终点三者连续；作用路径稳定且无关键破坏，可按“食伤生财”记录。</x:v>
      </x:c>
      <x:c r="AF62" s="90" t="str">
        <x:v>仅因“食伤、财星”同时出现，但核心十神无力、无作用路径或被关键因素破坏，不能判“食伤生财”成立。</x:v>
      </x:c>
      <x:c r="AG62" s="68" t="str">
        <x:v>https://zh.wikisource.org/zh-hans/%E6%B7%B5%E6%B5%B7%E5%AD%90%E5%B9%B3 ; https://zh.wikisource.org/wiki/%E6%BB%B4%E5%A4%A9%E9%AB%93%E9%97%A1%E5%BE%AE</x:v>
      </x:c>
      <x:c r="AH62" s="82" t="str">
        <x:v>采用</x:v>
      </x:c>
      <x:c r="AI62" s="82" t="str">
        <x:v>初审</x:v>
      </x:c>
      <x:c r="AJ62" s="87" t="n">
        <x:v>46255</x:v>
      </x:c>
    </x:row>
    <x:row r="63">
      <x:c r="A63" s="72" t="str">
        <x:f>IF(OR(C63="",D63=""),"",B63&amp;"-"&amp;UPPER(C63)&amp;"-"&amp;TEXT(D63,"0000")&amp;"-"&amp;E63)</x:f>
        <x:v>M11-CAIGUAN-0057-V1.0</x:v>
      </x:c>
      <x:c r="B63" s="74" t="str">
        <x:v>M11</x:v>
      </x:c>
      <x:c r="C63" s="74" t="str">
        <x:v>CAIGUAN</x:v>
      </x:c>
      <x:c r="D63" s="215" t="n">
        <x:v>57</x:v>
      </x:c>
      <x:c r="E63" s="74" t="str">
        <x:v>V1.0</x:v>
      </x:c>
      <x:c r="F63" s="68" t="str">
        <x:v>财星必须有效且能生正官</x:v>
      </x:c>
      <x:c r="G63" s="82" t="str">
        <x:v>结构层</x:v>
      </x:c>
      <x:c r="H63" s="82" t="str">
        <x:v>生化型</x:v>
      </x:c>
      <x:c r="I63" s="68" t="str">
        <x:v>财生官</x:v>
      </x:c>
      <x:c r="J63" s="68" t="str">
        <x:v>财星、正官</x:v>
      </x:c>
      <x:c r="K63" s="68" t="str">
        <x:v>财星有效</x:v>
      </x:c>
      <x:c r="L63" s="68" t="str">
        <x:v>正官有效并能承接财生</x:v>
      </x:c>
      <x:c r="M63" s="68" t="str">
        <x:v>财→官路径连续</x:v>
      </x:c>
      <x:c r="N63" s="68" t="str">
        <x:v>相关十神均以M10有效力量为准，且不存在决定性失衡</x:v>
      </x:c>
      <x:c r="O63" s="68" t="str">
        <x:v>结合M09日主承载判断</x:v>
      </x:c>
      <x:c r="P63" s="68" t="str">
        <x:v>主体、客体、作用路径与力量匹配均达到最低要求</x:v>
      </x:c>
      <x:c r="Q63" s="68" t="str">
        <x:v>相关十神有根、有源、透达、清纯且关键通路稳定</x:v>
      </x:c>
      <x:c r="R63" s="90" t="str">
        <x:v>关键十神被合绊、被制、改性、失效或力量严重失衡</x:v>
      </x:c>
      <x:c r="S63" s="68" t="str">
        <x:v>存在第三十神恢复通路、清除破坏或重新形成平衡</x:v>
      </x:c>
      <x:c r="T63" s="90" t="str">
        <x:v>任一核心十神失效，或不存在真实作用路径</x:v>
      </x:c>
      <x:c r="U63" s="68" t="str">
        <x:v>特殊格局、从化或月令格局另转M14/M15复审</x:v>
      </x:c>
      <x:c r="V63" s="84" t="str">
        <x:v>基本成立</x:v>
      </x:c>
      <x:c r="W63" s="84" t="str">
        <x:v>增强正官力量</x:v>
      </x:c>
      <x:c r="X63" s="82" t="str">
        <x:v>条件性</x:v>
      </x:c>
      <x:c r="Y63" s="68" t="str">
        <x:v>财官相生候选</x:v>
      </x:c>
      <x:c r="Z63" s="84" t="str">
        <x:v>财生官_成立条件</x:v>
      </x:c>
      <x:c r="AA63" s="84" t="str">
        <x:v>财生官：当主体、客体、路径与力量匹配满足最低标准时，判“基本成立”；是否上升为格局转M14/M15。</x:v>
      </x:c>
      <x:c r="AB63" s="82" t="str">
        <x:v>较高</x:v>
      </x:c>
      <x:c r="AC63" s="82" t="str">
        <x:v>现代综合</x:v>
      </x:c>
      <x:c r="AD63" s="68" t="str">
        <x:v>十神同时出现不等于组合成立。M11须同时验证核心十神有效性、作用路径、力量匹配、日主承载、破坏因素与救应；组合成立也不等于格局成立。</x:v>
      </x:c>
      <x:c r="AE63" s="68" t="str">
        <x:v>财星有效；正官有效并能承接财生；作用路径稳定且无关键破坏，可按“财生官”记录。</x:v>
      </x:c>
      <x:c r="AF63" s="90" t="str">
        <x:v>仅因“财星、正官”同时出现，但核心十神无力、无作用路径或被关键因素破坏，不能判“财生官”成立。</x:v>
      </x:c>
      <x:c r="AG63" s="68" t="str">
        <x:v>https://zh.wikisource.org/zh-hans/%E6%B7%B5%E6%B5%B7%E5%AD%90%E5%B9%B3 ; https://zh.wikisource.org/wiki/%E6%BB%B4%E5%A4%A9%E9%AB%93%E9%97%A1%E5%BE%AE</x:v>
      </x:c>
      <x:c r="AH63" s="82" t="str">
        <x:v>采用</x:v>
      </x:c>
      <x:c r="AI63" s="82" t="str">
        <x:v>初审</x:v>
      </x:c>
      <x:c r="AJ63" s="87" t="n">
        <x:v>46255</x:v>
      </x:c>
    </x:row>
    <x:row r="64">
      <x:c r="A64" s="72" t="str">
        <x:f>IF(OR(C64="",D64=""),"",B64&amp;"-"&amp;UPPER(C64)&amp;"-"&amp;TEXT(D64,"0000")&amp;"-"&amp;E64)</x:f>
        <x:v>M11-CAIGUAN-0058-V1.0</x:v>
      </x:c>
      <x:c r="B64" s="74" t="str">
        <x:v>M11</x:v>
      </x:c>
      <x:c r="C64" s="74" t="str">
        <x:v>CAIGUAN</x:v>
      </x:c>
      <x:c r="D64" s="215" t="n">
        <x:v>58</x:v>
      </x:c>
      <x:c r="E64" s="74" t="str">
        <x:v>V1.0</x:v>
      </x:c>
      <x:c r="F64" s="68" t="str">
        <x:v>财星有效生七杀时形成生杀链</x:v>
      </x:c>
      <x:c r="G64" s="82" t="str">
        <x:v>结构层</x:v>
      </x:c>
      <x:c r="H64" s="82" t="str">
        <x:v>生化型</x:v>
      </x:c>
      <x:c r="I64" s="68" t="str">
        <x:v>财生杀</x:v>
      </x:c>
      <x:c r="J64" s="68" t="str">
        <x:v>财星、七杀</x:v>
      </x:c>
      <x:c r="K64" s="68" t="str">
        <x:v>财星有效</x:v>
      </x:c>
      <x:c r="L64" s="68" t="str">
        <x:v>七杀有效</x:v>
      </x:c>
      <x:c r="M64" s="68" t="str">
        <x:v>财→杀路径连续</x:v>
      </x:c>
      <x:c r="N64" s="68" t="str">
        <x:v>相关十神均以M10有效力量为准，且不存在决定性失衡</x:v>
      </x:c>
      <x:c r="O64" s="68" t="str">
        <x:v>结合M09日主承载判断</x:v>
      </x:c>
      <x:c r="P64" s="68" t="str">
        <x:v>主体、客体、作用路径与力量匹配均达到最低要求</x:v>
      </x:c>
      <x:c r="Q64" s="68" t="str">
        <x:v>相关十神有根、有源、透达、清纯且关键通路稳定</x:v>
      </x:c>
      <x:c r="R64" s="90" t="str">
        <x:v>关键十神被合绊、被制、改性、失效或力量严重失衡</x:v>
      </x:c>
      <x:c r="S64" s="68" t="str">
        <x:v>存在第三十神恢复通路、清除破坏或重新形成平衡</x:v>
      </x:c>
      <x:c r="T64" s="90" t="str">
        <x:v>任一核心十神失效，或不存在真实作用路径</x:v>
      </x:c>
      <x:c r="U64" s="68" t="str">
        <x:v>特殊格局、从化或月令格局另转M14/M15复审</x:v>
      </x:c>
      <x:c r="V64" s="84" t="str">
        <x:v>基本成立</x:v>
      </x:c>
      <x:c r="W64" s="84" t="str">
        <x:v>增强七杀压力或权力结构</x:v>
      </x:c>
      <x:c r="X64" s="82" t="str">
        <x:v>条件性</x:v>
      </x:c>
      <x:c r="Y64" s="68" t="str">
        <x:v>财滋杀候选</x:v>
      </x:c>
      <x:c r="Z64" s="84" t="str">
        <x:v>财生杀_成立条件</x:v>
      </x:c>
      <x:c r="AA64" s="84" t="str">
        <x:v>财生杀：当主体、客体、路径与力量匹配满足最低标准时，判“基本成立”；是否上升为格局转M14/M15。</x:v>
      </x:c>
      <x:c r="AB64" s="82" t="str">
        <x:v>较高</x:v>
      </x:c>
      <x:c r="AC64" s="82" t="str">
        <x:v>现代综合</x:v>
      </x:c>
      <x:c r="AD64" s="68" t="str">
        <x:v>十神同时出现不等于组合成立。M11须同时验证核心十神有效性、作用路径、力量匹配、日主承载、破坏因素与救应；组合成立也不等于格局成立。</x:v>
      </x:c>
      <x:c r="AE64" s="68" t="str">
        <x:v>财星有效；七杀有效；作用路径稳定且无关键破坏，可按“财生杀”记录。</x:v>
      </x:c>
      <x:c r="AF64" s="90" t="str">
        <x:v>仅因“财星、七杀”同时出现，但核心十神无力、无作用路径或被关键因素破坏，不能判“财生杀”成立。</x:v>
      </x:c>
      <x:c r="AG64" s="68" t="str">
        <x:v>https://zh.wikisource.org/zh-hans/%E6%B7%B5%E6%B5%B7%E5%AD%90%E5%B9%B3 ; https://zh.wikisource.org/wiki/%E6%BB%B4%E5%A4%A9%E9%AB%93%E9%97%A1%E5%BE%AE</x:v>
      </x:c>
      <x:c r="AH64" s="82" t="str">
        <x:v>采用</x:v>
      </x:c>
      <x:c r="AI64" s="82" t="str">
        <x:v>初审</x:v>
      </x:c>
      <x:c r="AJ64" s="87" t="n">
        <x:v>46255</x:v>
      </x:c>
    </x:row>
    <x:row r="65">
      <x:c r="A65" s="72" t="str">
        <x:f>IF(OR(C65="",D65=""),"",B65&amp;"-"&amp;UPPER(C65)&amp;"-"&amp;TEXT(D65,"0000")&amp;"-"&amp;E65)</x:f>
        <x:v>M11-CAIGUAN-0059-V1.0</x:v>
      </x:c>
      <x:c r="B65" s="74" t="str">
        <x:v>M11</x:v>
      </x:c>
      <x:c r="C65" s="74" t="str">
        <x:v>CAIGUAN</x:v>
      </x:c>
      <x:c r="D65" s="215" t="n">
        <x:v>59</x:v>
      </x:c>
      <x:c r="E65" s="74" t="str">
        <x:v>V1.0</x:v>
      </x:c>
      <x:c r="F65" s="68" t="str">
        <x:v>财官印连续链必须三段有效</x:v>
      </x:c>
      <x:c r="G65" s="82" t="str">
        <x:v>结构层</x:v>
      </x:c>
      <x:c r="H65" s="82" t="str">
        <x:v>生化型</x:v>
      </x:c>
      <x:c r="I65" s="68" t="str">
        <x:v>财官印相生</x:v>
      </x:c>
      <x:c r="J65" s="68" t="str">
        <x:v>财星、官星、印星</x:v>
      </x:c>
      <x:c r="K65" s="68" t="str">
        <x:v>财生官有效</x:v>
      </x:c>
      <x:c r="L65" s="68" t="str">
        <x:v>官生印、印生身也有效</x:v>
      </x:c>
      <x:c r="M65" s="68" t="str">
        <x:v>财→官→印→身连续</x:v>
      </x:c>
      <x:c r="N65" s="68" t="str">
        <x:v>相关十神均以M10有效力量为准，且不存在决定性失衡</x:v>
      </x:c>
      <x:c r="O65" s="68" t="str">
        <x:v>结合M09日主承载判断</x:v>
      </x:c>
      <x:c r="P65" s="68" t="str">
        <x:v>财、官、印三者有效且链路不被切断</x:v>
      </x:c>
      <x:c r="Q65" s="68" t="str">
        <x:v>相关十神有根、有源、透达、清纯且关键通路稳定</x:v>
      </x:c>
      <x:c r="R65" s="90" t="str">
        <x:v>关键十神被合绊、被制、改性、失效或力量严重失衡</x:v>
      </x:c>
      <x:c r="S65" s="68" t="str">
        <x:v>存在第三十神恢复通路、清除破坏或重新形成平衡</x:v>
      </x:c>
      <x:c r="T65" s="90" t="str">
        <x:v>任一核心十神失效，或不存在真实作用路径</x:v>
      </x:c>
      <x:c r="U65" s="68" t="str">
        <x:v>特殊格局、从化或月令格局另转M14/M15复审</x:v>
      </x:c>
      <x:c r="V65" s="84" t="str">
        <x:v>明显成立</x:v>
      </x:c>
      <x:c r="W65" s="84" t="str">
        <x:v>形成连续生化链</x:v>
      </x:c>
      <x:c r="X65" s="82" t="str">
        <x:v>条件性</x:v>
      </x:c>
      <x:c r="Y65" s="68" t="str">
        <x:v>财官印相生候选</x:v>
      </x:c>
      <x:c r="Z65" s="84" t="str">
        <x:v>财官印相生_成立条件</x:v>
      </x:c>
      <x:c r="AA65" s="84" t="str">
        <x:v>财官印相生：当主体、客体、路径与力量匹配满足最低标准时，判“明显成立”；是否上升为格局转M14/M15。</x:v>
      </x:c>
      <x:c r="AB65" s="82" t="str">
        <x:v>较高</x:v>
      </x:c>
      <x:c r="AC65" s="82" t="str">
        <x:v>现代综合</x:v>
      </x:c>
      <x:c r="AD65" s="68" t="str">
        <x:v>十神同时出现不等于组合成立。M11须同时验证核心十神有效性、作用路径、力量匹配、日主承载、破坏因素与救应；组合成立也不等于格局成立。</x:v>
      </x:c>
      <x:c r="AE65" s="68" t="str">
        <x:v>财生官有效；官生印、印生身也有效；作用路径稳定且无关键破坏，可按“财官印相生”记录。</x:v>
      </x:c>
      <x:c r="AF65" s="90" t="str">
        <x:v>仅因“财星、官星、印星”同时出现，但核心十神无力、无作用路径或被关键因素破坏，不能判“财官印相生”成立。</x:v>
      </x:c>
      <x:c r="AG65" s="68" t="str">
        <x:v>https://zh.wikisource.org/zh-hans/%E6%B7%B5%E6%B5%B7%E5%AD%90%E5%B9%B3 ; https://zh.wikisource.org/wiki/%E6%BB%B4%E5%A4%A9%E9%AB%93%E9%97%A1%E5%BE%AE</x:v>
      </x:c>
      <x:c r="AH65" s="82" t="str">
        <x:v>采用</x:v>
      </x:c>
      <x:c r="AI65" s="82" t="str">
        <x:v>初审</x:v>
      </x:c>
      <x:c r="AJ65" s="87" t="n">
        <x:v>46255</x:v>
      </x:c>
    </x:row>
    <x:row r="66">
      <x:c r="A66" s="72" t="str">
        <x:f>IF(OR(C66="",D66=""),"",B66&amp;"-"&amp;UPPER(C66)&amp;"-"&amp;TEXT(D66,"0000")&amp;"-"&amp;E66)</x:f>
        <x:v>M11-CAIGUAN-0060-V1.0</x:v>
      </x:c>
      <x:c r="B66" s="74" t="str">
        <x:v>M11</x:v>
      </x:c>
      <x:c r="C66" s="74" t="str">
        <x:v>CAIGUAN</x:v>
      </x:c>
      <x:c r="D66" s="215" t="n">
        <x:v>60</x:v>
      </x:c>
      <x:c r="E66" s="74" t="str">
        <x:v>V1.0</x:v>
      </x:c>
      <x:c r="F66" s="68" t="str">
        <x:v>官弱无根时财生官效果有限</x:v>
      </x:c>
      <x:c r="G66" s="82" t="str">
        <x:v>结构层</x:v>
      </x:c>
      <x:c r="H66" s="82" t="str">
        <x:v>生化型</x:v>
      </x:c>
      <x:c r="I66" s="68" t="str">
        <x:v>财官相生</x:v>
      </x:c>
      <x:c r="J66" s="68" t="str">
        <x:v>财星、正官</x:v>
      </x:c>
      <x:c r="K66" s="68" t="str">
        <x:v>财星旺</x:v>
      </x:c>
      <x:c r="L66" s="68" t="str">
        <x:v>正官弱、无根或被伤官制</x:v>
      </x:c>
      <x:c r="M66" s="68" t="str">
        <x:v>直接或可达的生克制化路径成立</x:v>
      </x:c>
      <x:c r="N66" s="68" t="str">
        <x:v>相关十神均以M10有效力量为准，且不存在决定性失衡</x:v>
      </x:c>
      <x:c r="O66" s="68" t="str">
        <x:v>结合M09日主承载判断</x:v>
      </x:c>
      <x:c r="P66" s="68" t="str">
        <x:v>主体、客体、作用路径与力量匹配均达到最低要求</x:v>
      </x:c>
      <x:c r="Q66" s="68" t="str">
        <x:v>相关十神有根、有源、透达、清纯且关键通路稳定</x:v>
      </x:c>
      <x:c r="R66" s="90" t="str">
        <x:v>关键十神被合绊、被制、改性、失效或力量严重失衡</x:v>
      </x:c>
      <x:c r="S66" s="68" t="str">
        <x:v>存在第三十神恢复通路、清除破坏或重新形成平衡</x:v>
      </x:c>
      <x:c r="T66" s="90" t="str">
        <x:v>任一核心十神失效，或不存在真实作用路径</x:v>
      </x:c>
      <x:c r="U66" s="68" t="str">
        <x:v>特殊格局、从化或月令格局另转M14/M15复审</x:v>
      </x:c>
      <x:c r="V66" s="84" t="str">
        <x:v>弱成立</x:v>
      </x:c>
      <x:c r="W66" s="84" t="str">
        <x:v>形成局部生化、制化或承载结构</x:v>
      </x:c>
      <x:c r="X66" s="82" t="str">
        <x:v>否</x:v>
      </x:c>
      <x:c r="Y66" s="68" t="str">
        <x:v>对应格局候选转M14</x:v>
      </x:c>
      <x:c r="Z66" s="84" t="str">
        <x:v>财官相生_官弱</x:v>
      </x:c>
      <x:c r="AA66" s="84" t="str">
        <x:v>财官相生：当主体、客体、路径与力量匹配满足最低标准时，判“弱成立”；是否上升为格局转M14/M15。</x:v>
      </x:c>
      <x:c r="AB66" s="82" t="str">
        <x:v>较高</x:v>
      </x:c>
      <x:c r="AC66" s="82" t="str">
        <x:v>现代综合</x:v>
      </x:c>
      <x:c r="AD66" s="68" t="str">
        <x:v>十神同时出现不等于组合成立。M11须同时验证核心十神有效性、作用路径、力量匹配、日主承载、破坏因素与救应；组合成立也不等于格局成立。</x:v>
      </x:c>
      <x:c r="AE66" s="68" t="str">
        <x:v>财星旺；正官弱、无根或被伤官制；作用路径稳定且无关键破坏，可按“财官相生”记录。</x:v>
      </x:c>
      <x:c r="AF66" s="90" t="str">
        <x:v>仅因“财星、正官”同时出现，但核心十神无力、无作用路径或被关键因素破坏，不能判“财官相生”成立。</x:v>
      </x:c>
      <x:c r="AG66" s="68" t="str">
        <x:v>https://zh.wikisource.org/zh-hans/%E6%B7%B5%E6%B5%B7%E5%AD%90%E5%B9%B3 ; https://zh.wikisource.org/wiki/%E6%BB%B4%E5%A4%A9%E9%AB%93%E9%97%A1%E5%BE%AE</x:v>
      </x:c>
      <x:c r="AH66" s="82" t="str">
        <x:v>采用</x:v>
      </x:c>
      <x:c r="AI66" s="82" t="str">
        <x:v>初审</x:v>
      </x:c>
      <x:c r="AJ66" s="87" t="n">
        <x:v>46255</x:v>
      </x:c>
    </x:row>
    <x:row r="67">
      <x:c r="A67" s="72" t="str">
        <x:f>IF(OR(C67="",D67=""),"",B67&amp;"-"&amp;UPPER(C67)&amp;"-"&amp;TEXT(D67,"0000")&amp;"-"&amp;E67)</x:f>
        <x:v>M11-CAIGUAN-0061-V1.0</x:v>
      </x:c>
      <x:c r="B67" s="74" t="str">
        <x:v>M11</x:v>
      </x:c>
      <x:c r="C67" s="74" t="str">
        <x:v>CAIGUAN</x:v>
      </x:c>
      <x:c r="D67" s="215" t="n">
        <x:v>61</x:v>
      </x:c>
      <x:c r="E67" s="74" t="str">
        <x:v>V1.0</x:v>
      </x:c>
      <x:c r="F67" s="68" t="str">
        <x:v>身弱时财生杀可能加重双重负荷</x:v>
      </x:c>
      <x:c r="G67" s="82" t="str">
        <x:v>结构层</x:v>
      </x:c>
      <x:c r="H67" s="82" t="str">
        <x:v>生化型</x:v>
      </x:c>
      <x:c r="I67" s="68" t="str">
        <x:v>财生杀</x:v>
      </x:c>
      <x:c r="J67" s="68" t="str">
        <x:v>财星、七杀</x:v>
      </x:c>
      <x:c r="K67" s="68" t="str">
        <x:v>日主弱或偏弱</x:v>
      </x:c>
      <x:c r="L67" s="68" t="str">
        <x:v>财既耗身又生七杀制身</x:v>
      </x:c>
      <x:c r="M67" s="68" t="str">
        <x:v>直接或可达的生克制化路径成立</x:v>
      </x:c>
      <x:c r="N67" s="68" t="str">
        <x:v>相关十神均以M10有效力量为准，且不存在决定性失衡</x:v>
      </x:c>
      <x:c r="O67" s="68" t="str">
        <x:v>若无印比救应，组合虽成立但对日主压力显著</x:v>
      </x:c>
      <x:c r="P67" s="68" t="str">
        <x:v>主体、客体、作用路径与力量匹配均达到最低要求</x:v>
      </x:c>
      <x:c r="Q67" s="68" t="str">
        <x:v>相关十神有根、有源、透达、清纯且关键通路稳定</x:v>
      </x:c>
      <x:c r="R67" s="90" t="str">
        <x:v>关键十神被合绊、被制、改性、失效或力量严重失衡</x:v>
      </x:c>
      <x:c r="S67" s="68" t="str">
        <x:v>存在第三十神恢复通路、清除破坏或重新形成平衡</x:v>
      </x:c>
      <x:c r="T67" s="90" t="str">
        <x:v>任一核心十神失效，或不存在真实作用路径</x:v>
      </x:c>
      <x:c r="U67" s="68" t="str">
        <x:v>特殊格局、从化或月令格局另转M14/M15复审</x:v>
      </x:c>
      <x:c r="V67" s="84" t="str">
        <x:v>基本成立</x:v>
      </x:c>
      <x:c r="W67" s="84" t="str">
        <x:v>耗身并增杀</x:v>
      </x:c>
      <x:c r="X67" s="82" t="str">
        <x:v>条件性</x:v>
      </x:c>
      <x:c r="Y67" s="68" t="str">
        <x:v>对应格局候选转M14</x:v>
      </x:c>
      <x:c r="Z67" s="84" t="str">
        <x:v>财生杀_身弱压力</x:v>
      </x:c>
      <x:c r="AA67" s="84" t="str">
        <x:v>财生杀：当主体、客体、路径与力量匹配满足最低标准时，判“基本成立”；是否上升为格局转M14/M15。</x:v>
      </x:c>
      <x:c r="AB67" s="82" t="str">
        <x:v>较高</x:v>
      </x:c>
      <x:c r="AC67" s="82" t="str">
        <x:v>现代综合</x:v>
      </x:c>
      <x:c r="AD67" s="68" t="str">
        <x:v>十神同时出现不等于组合成立。M11须同时验证核心十神有效性、作用路径、力量匹配、日主承载、破坏因素与救应；组合成立也不等于格局成立。</x:v>
      </x:c>
      <x:c r="AE67" s="68" t="str">
        <x:v>日主弱或偏弱；财既耗身又生七杀制身；作用路径稳定且无关键破坏，可按“财生杀”记录。</x:v>
      </x:c>
      <x:c r="AF67" s="90" t="str">
        <x:v>仅因“财星、七杀”同时出现，但核心十神无力、无作用路径或被关键因素破坏，不能判“财生杀”成立。</x:v>
      </x:c>
      <x:c r="AG67" s="68" t="str">
        <x:v>https://zh.wikisource.org/zh-hans/%E6%B7%B5%E6%B5%B7%E5%AD%90%E5%B9%B3 ; https://zh.wikisource.org/wiki/%E6%BB%B4%E5%A4%A9%E9%AB%93%E9%97%A1%E5%BE%AE</x:v>
      </x:c>
      <x:c r="AH67" s="82" t="str">
        <x:v>采用</x:v>
      </x:c>
      <x:c r="AI67" s="82" t="str">
        <x:v>初审</x:v>
      </x:c>
      <x:c r="AJ67" s="87" t="n">
        <x:v>46255</x:v>
      </x:c>
    </x:row>
    <x:row r="68">
      <x:c r="A68" s="72" t="str">
        <x:f>IF(OR(C68="",D68=""),"",B68&amp;"-"&amp;UPPER(C68)&amp;"-"&amp;TEXT(D68,"0000")&amp;"-"&amp;E68)</x:f>
        <x:v>M11-CAIGUAN-0062-V1.0</x:v>
      </x:c>
      <x:c r="B68" s="74" t="str">
        <x:v>M11</x:v>
      </x:c>
      <x:c r="C68" s="74" t="str">
        <x:v>CAIGUAN</x:v>
      </x:c>
      <x:c r="D68" s="215" t="n">
        <x:v>62</x:v>
      </x:c>
      <x:c r="E68" s="74" t="str">
        <x:v>V1.0</x:v>
      </x:c>
      <x:c r="F68" s="68" t="str">
        <x:v>财旺破印会破坏财官印连续链</x:v>
      </x:c>
      <x:c r="G68" s="82" t="str">
        <x:v>结构层</x:v>
      </x:c>
      <x:c r="H68" s="82" t="str">
        <x:v>生化型</x:v>
      </x:c>
      <x:c r="I68" s="68" t="str">
        <x:v>财官印相生</x:v>
      </x:c>
      <x:c r="J68" s="68" t="str">
        <x:v>财星、官星、印星</x:v>
      </x:c>
      <x:c r="K68" s="68" t="str">
        <x:v>财星既生官又直接强制印星</x:v>
      </x:c>
      <x:c r="L68" s="68" t="str">
        <x:v>印星成为链路薄弱点</x:v>
      </x:c>
      <x:c r="M68" s="68" t="str">
        <x:v>直接或可达的生克制化路径成立</x:v>
      </x:c>
      <x:c r="N68" s="68" t="str">
        <x:v>相关十神均以M10有效力量为准，且不存在决定性失衡</x:v>
      </x:c>
      <x:c r="O68" s="68" t="str">
        <x:v>结合M09日主承载判断</x:v>
      </x:c>
      <x:c r="P68" s="68" t="str">
        <x:v>主体、客体、作用路径与力量匹配均达到最低要求</x:v>
      </x:c>
      <x:c r="Q68" s="68" t="str">
        <x:v>相关十神有根、有源、透达、清纯且关键通路稳定</x:v>
      </x:c>
      <x:c r="R68" s="90" t="str">
        <x:v>财坏印效应大于官生印补充</x:v>
      </x:c>
      <x:c r="S68" s="68" t="str">
        <x:v>存在第三十神恢复通路、清除破坏或重新形成平衡</x:v>
      </x:c>
      <x:c r="T68" s="90" t="str">
        <x:v>任一核心十神失效，或不存在真实作用路径</x:v>
      </x:c>
      <x:c r="U68" s="68" t="str">
        <x:v>特殊格局、从化或月令格局另转M14/M15复审</x:v>
      </x:c>
      <x:c r="V68" s="84" t="str">
        <x:v>弱成立</x:v>
      </x:c>
      <x:c r="W68" s="84" t="str">
        <x:v>形成局部生化、制化或承载结构</x:v>
      </x:c>
      <x:c r="X68" s="82" t="str">
        <x:v>条件性</x:v>
      </x:c>
      <x:c r="Y68" s="68" t="str">
        <x:v>对应格局候选转M14</x:v>
      </x:c>
      <x:c r="Z68" s="84" t="str">
        <x:v>财官印_财破印</x:v>
      </x:c>
      <x:c r="AA68" s="84" t="str">
        <x:v>财官印相生：当主体、客体、路径与力量匹配满足最低标准时，判“弱成立”；是否上升为格局转M14/M15。</x:v>
      </x:c>
      <x:c r="AB68" s="82" t="str">
        <x:v>较高</x:v>
      </x:c>
      <x:c r="AC68" s="82" t="str">
        <x:v>现代综合</x:v>
      </x:c>
      <x:c r="AD68" s="68" t="str">
        <x:v>十神同时出现不等于组合成立。M11须同时验证核心十神有效性、作用路径、力量匹配、日主承载、破坏因素与救应；组合成立也不等于格局成立。</x:v>
      </x:c>
      <x:c r="AE68" s="68" t="str">
        <x:v>财星既生官又直接强制印星；印星成为链路薄弱点；作用路径稳定且无关键破坏，可按“财官印相生”记录。</x:v>
      </x:c>
      <x:c r="AF68" s="90" t="str">
        <x:v>仅因“财星、官星、印星”同时出现，但核心十神无力、无作用路径或被关键因素破坏，不能判“财官印相生”成立。</x:v>
      </x:c>
      <x:c r="AG68" s="68" t="str">
        <x:v>https://zh.wikisource.org/zh-hans/%E6%B7%B5%E6%B5%B7%E5%AD%90%E5%B9%B3 ; https://zh.wikisource.org/wiki/%E6%BB%B4%E5%A4%A9%E9%AB%93%E9%97%A1%E5%BE%AE</x:v>
      </x:c>
      <x:c r="AH68" s="82" t="str">
        <x:v>采用</x:v>
      </x:c>
      <x:c r="AI68" s="82" t="str">
        <x:v>初审</x:v>
      </x:c>
      <x:c r="AJ68" s="87" t="n">
        <x:v>46255</x:v>
      </x:c>
    </x:row>
    <x:row r="69">
      <x:c r="A69" s="72" t="str">
        <x:f>IF(OR(C69="",D69=""),"",B69&amp;"-"&amp;UPPER(C69)&amp;"-"&amp;TEXT(D69,"0000")&amp;"-"&amp;E69)</x:f>
        <x:v>M11-CAIGUAN-0063-V1.0</x:v>
      </x:c>
      <x:c r="B69" s="74" t="str">
        <x:v>M11</x:v>
      </x:c>
      <x:c r="C69" s="74" t="str">
        <x:v>CAIGUAN</x:v>
      </x:c>
      <x:c r="D69" s="215" t="n">
        <x:v>63</x:v>
      </x:c>
      <x:c r="E69" s="74" t="str">
        <x:v>V1.0</x:v>
      </x:c>
      <x:c r="F69" s="68" t="str">
        <x:v>身旺任财官时组合承载增强</x:v>
      </x:c>
      <x:c r="G69" s="82" t="str">
        <x:v>结构层</x:v>
      </x:c>
      <x:c r="H69" s="82" t="str">
        <x:v>生化型</x:v>
      </x:c>
      <x:c r="I69" s="68" t="str">
        <x:v>财官相生</x:v>
      </x:c>
      <x:c r="J69" s="68" t="str">
        <x:v>财星、正官</x:v>
      </x:c>
      <x:c r="K69" s="68" t="str">
        <x:v>日主旺或中和偏旺</x:v>
      </x:c>
      <x:c r="L69" s="68" t="str">
        <x:v>财官均有效且不过度</x:v>
      </x:c>
      <x:c r="M69" s="68" t="str">
        <x:v>直接或可达的生克制化路径成立</x:v>
      </x:c>
      <x:c r="N69" s="68" t="str">
        <x:v>相关十神均以M10有效力量为准，且不存在决定性失衡</x:v>
      </x:c>
      <x:c r="O69" s="68" t="str">
        <x:v>日主有能力承受财耗和官制</x:v>
      </x:c>
      <x:c r="P69" s="68" t="str">
        <x:v>主体、客体、作用路径与力量匹配均达到最低要求</x:v>
      </x:c>
      <x:c r="Q69" s="68" t="str">
        <x:v>相关十神有根、有源、透达、清纯且关键通路稳定</x:v>
      </x:c>
      <x:c r="R69" s="90" t="str">
        <x:v>关键十神被合绊、被制、改性、失效或力量严重失衡</x:v>
      </x:c>
      <x:c r="S69" s="68" t="str">
        <x:v>存在第三十神恢复通路、清除破坏或重新形成平衡</x:v>
      </x:c>
      <x:c r="T69" s="90" t="str">
        <x:v>任一核心十神失效，或不存在真实作用路径</x:v>
      </x:c>
      <x:c r="U69" s="68" t="str">
        <x:v>特殊格局、从化或月令格局另转M14/M15复审</x:v>
      </x:c>
      <x:c r="V69" s="84" t="str">
        <x:v>明显成立</x:v>
      </x:c>
      <x:c r="W69" s="84" t="str">
        <x:v>形成局部生化、制化或承载结构</x:v>
      </x:c>
      <x:c r="X69" s="82" t="str">
        <x:v>条件性</x:v>
      </x:c>
      <x:c r="Y69" s="68" t="str">
        <x:v>对应格局候选转M14</x:v>
      </x:c>
      <x:c r="Z69" s="84" t="str">
        <x:v>财官相生_身旺承载</x:v>
      </x:c>
      <x:c r="AA69" s="84" t="str">
        <x:v>财官相生：当主体、客体、路径与力量匹配满足最低标准时，判“明显成立”；是否上升为格局转M14/M15。</x:v>
      </x:c>
      <x:c r="AB69" s="82" t="str">
        <x:v>较高</x:v>
      </x:c>
      <x:c r="AC69" s="82" t="str">
        <x:v>现代综合</x:v>
      </x:c>
      <x:c r="AD69" s="68" t="str">
        <x:v>十神同时出现不等于组合成立。M11须同时验证核心十神有效性、作用路径、力量匹配、日主承载、破坏因素与救应；组合成立也不等于格局成立。</x:v>
      </x:c>
      <x:c r="AE69" s="68" t="str">
        <x:v>日主旺或中和偏旺；财官均有效且不过度；作用路径稳定且无关键破坏，可按“财官相生”记录。</x:v>
      </x:c>
      <x:c r="AF69" s="90" t="str">
        <x:v>仅因“财星、正官”同时出现，但核心十神无力、无作用路径或被关键因素破坏，不能判“财官相生”成立。</x:v>
      </x:c>
      <x:c r="AG69" s="68" t="str">
        <x:v>https://zh.wikisource.org/zh-hans/%E6%B7%B5%E6%B5%B7%E5%AD%90%E5%B9%B3 ; https://zh.wikisource.org/wiki/%E6%BB%B4%E5%A4%A9%E9%AB%93%E9%97%A1%E5%BE%AE</x:v>
      </x:c>
      <x:c r="AH69" s="82" t="str">
        <x:v>采用</x:v>
      </x:c>
      <x:c r="AI69" s="82" t="str">
        <x:v>初审</x:v>
      </x:c>
      <x:c r="AJ69" s="87" t="n">
        <x:v>46255</x:v>
      </x:c>
    </x:row>
    <x:row r="70">
      <x:c r="A70" s="72" t="str">
        <x:f>IF(OR(C70="",D70=""),"",B70&amp;"-"&amp;UPPER(C70)&amp;"-"&amp;TEXT(D70,"0000")&amp;"-"&amp;E70)</x:f>
        <x:v>M11-CAIGUAN-0064-V1.0</x:v>
      </x:c>
      <x:c r="B70" s="74" t="str">
        <x:v>M11</x:v>
      </x:c>
      <x:c r="C70" s="74" t="str">
        <x:v>CAIGUAN</x:v>
      </x:c>
      <x:c r="D70" s="215" t="n">
        <x:v>64</x:v>
      </x:c>
      <x:c r="E70" s="74" t="str">
        <x:v>V1.0</x:v>
      </x:c>
      <x:c r="F70" s="68" t="str">
        <x:v>财官相生只是组合，不直接等同富贵</x:v>
      </x:c>
      <x:c r="G70" s="82" t="str">
        <x:v>结构层</x:v>
      </x:c>
      <x:c r="H70" s="82" t="str">
        <x:v>生化型</x:v>
      </x:c>
      <x:c r="I70" s="68" t="str">
        <x:v>财官相生</x:v>
      </x:c>
      <x:c r="J70" s="68" t="str">
        <x:v>财星、官星</x:v>
      </x:c>
      <x:c r="K70" s="68" t="str">
        <x:v>财官链已经成立</x:v>
      </x:c>
      <x:c r="L70" s="68" t="str">
        <x:v>格局清纯、月令、日主承载及用神尚未综合裁决</x:v>
      </x:c>
      <x:c r="M70" s="68" t="str">
        <x:v>直接或可达的生克制化路径成立</x:v>
      </x:c>
      <x:c r="N70" s="68" t="str">
        <x:v>相关十神均以M10有效力量为准，且不存在决定性失衡</x:v>
      </x:c>
      <x:c r="O70" s="68" t="str">
        <x:v>结合M09日主承载判断</x:v>
      </x:c>
      <x:c r="P70" s="68" t="str">
        <x:v>主体、客体、作用路径与力量匹配均达到最低要求</x:v>
      </x:c>
      <x:c r="Q70" s="68" t="str">
        <x:v>相关十神有根、有源、透达、清纯且关键通路稳定</x:v>
      </x:c>
      <x:c r="R70" s="90" t="str">
        <x:v>关键十神被合绊、被制、改性、失效或力量严重失衡</x:v>
      </x:c>
      <x:c r="S70" s="68" t="str">
        <x:v>存在第三十神恢复通路、清除破坏或重新形成平衡</x:v>
      </x:c>
      <x:c r="T70" s="90" t="str">
        <x:v>任一核心十神失效，或不存在真实作用路径</x:v>
      </x:c>
      <x:c r="U70" s="68" t="str">
        <x:v>特殊格局、从化或月令格局另转M14/M15复审</x:v>
      </x:c>
      <x:c r="V70" s="84" t="str">
        <x:v>基本成立</x:v>
      </x:c>
      <x:c r="W70" s="84" t="str">
        <x:v>形成结构资源，不直接推出现实成就</x:v>
      </x:c>
      <x:c r="X70" s="82" t="str">
        <x:v>条件性</x:v>
      </x:c>
      <x:c r="Y70" s="68" t="str">
        <x:v>财格/官格候选转M14</x:v>
      </x:c>
      <x:c r="Z70" s="84" t="str">
        <x:v>财官相生_价值边界</x:v>
      </x:c>
      <x:c r="AA70" s="84" t="str">
        <x:v>财官相生：当主体、客体、路径与力量匹配满足最低标准时，判“基本成立”；是否上升为格局转M14/M15。</x:v>
      </x:c>
      <x:c r="AB70" s="82" t="str">
        <x:v>较高</x:v>
      </x:c>
      <x:c r="AC70" s="82" t="str">
        <x:v>现代综合</x:v>
      </x:c>
      <x:c r="AD70" s="68" t="str">
        <x:v>十神同时出现不等于组合成立。M11须同时验证核心十神有效性、作用路径、力量匹配、日主承载、破坏因素与救应；组合成立也不等于格局成立。</x:v>
      </x:c>
      <x:c r="AE70" s="68" t="str">
        <x:v>财官链已经成立；格局清纯、月令、日主承载及用神尚未综合裁决；作用路径稳定且无关键破坏，可按“财官相生”记录。</x:v>
      </x:c>
      <x:c r="AF70" s="90" t="str">
        <x:v>仅因“财星、官星”同时出现，但核心十神无力、无作用路径或被关键因素破坏，不能判“财官相生”成立。</x:v>
      </x:c>
      <x:c r="AG70" s="68" t="str">
        <x:v>https://zh.wikisource.org/zh-hans/%E6%B7%B5%E6%B5%B7%E5%AD%90%E5%B9%B3 ; https://zh.wikisource.org/wiki/%E6%BB%B4%E5%A4%A9%E9%AB%93%E9%97%A1%E5%BE%AE</x:v>
      </x:c>
      <x:c r="AH70" s="82" t="str">
        <x:v>采用</x:v>
      </x:c>
      <x:c r="AI70" s="82" t="str">
        <x:v>初审</x:v>
      </x:c>
      <x:c r="AJ70" s="87" t="n">
        <x:v>46255</x:v>
      </x:c>
    </x:row>
    <x:row r="71">
      <x:c r="A71" s="72" t="str">
        <x:f>IF(OR(C71="",D71=""),"",B71&amp;"-"&amp;UPPER(C71)&amp;"-"&amp;TEXT(D71,"0000")&amp;"-"&amp;E71)</x:f>
        <x:v>M11-BALANCE-0065-V1.0</x:v>
      </x:c>
      <x:c r="B71" s="74" t="str">
        <x:v>M11</x:v>
      </x:c>
      <x:c r="C71" s="74" t="str">
        <x:v>BALANCE</x:v>
      </x:c>
      <x:c r="D71" s="215" t="n">
        <x:v>65</x:v>
      </x:c>
      <x:c r="E71" s="74" t="str">
        <x:v>V1.0</x:v>
      </x:c>
      <x:c r="F71" s="68" t="str">
        <x:v>日主与财星有效力量大体匹配</x:v>
      </x:c>
      <x:c r="G71" s="82" t="str">
        <x:v>结构层</x:v>
      </x:c>
      <x:c r="H71" s="82" t="str">
        <x:v>平衡承载型</x:v>
      </x:c>
      <x:c r="I71" s="68" t="str">
        <x:v>身财两停</x:v>
      </x:c>
      <x:c r="J71" s="68" t="str">
        <x:v>日主、财星</x:v>
      </x:c>
      <x:c r="K71" s="68" t="str">
        <x:v>M09日主达到中和至旺，并具稳定承载</x:v>
      </x:c>
      <x:c r="L71" s="68" t="str">
        <x:v>财星有效且不过强不过弱</x:v>
      </x:c>
      <x:c r="M71" s="68" t="str">
        <x:v>直接或可达的生克制化路径成立</x:v>
      </x:c>
      <x:c r="N71" s="68" t="str">
        <x:v>身与财不存在决定性失衡</x:v>
      </x:c>
      <x:c r="O71" s="68" t="str">
        <x:v>结合M09日主承载判断</x:v>
      </x:c>
      <x:c r="P71" s="68" t="str">
        <x:v>日主能任财、财也足以形成有效耗用</x:v>
      </x:c>
      <x:c r="Q71" s="68" t="str">
        <x:v>相关十神有根、有源、透达、清纯且关键通路稳定</x:v>
      </x:c>
      <x:c r="R71" s="90" t="str">
        <x:v>关键十神被合绊、被制、改性、失效或力量严重失衡</x:v>
      </x:c>
      <x:c r="S71" s="68" t="str">
        <x:v>存在第三十神恢复通路、清除破坏或重新形成平衡</x:v>
      </x:c>
      <x:c r="T71" s="90" t="str">
        <x:v>任一核心十神失效，或不存在真实作用路径</x:v>
      </x:c>
      <x:c r="U71" s="68" t="str">
        <x:v>特殊格局、从化或月令格局另转M14/M15复审</x:v>
      </x:c>
      <x:c r="V71" s="84" t="str">
        <x:v>基本成立</x:v>
      </x:c>
      <x:c r="W71" s="84" t="str">
        <x:v>身能任财且财有可用空间</x:v>
      </x:c>
      <x:c r="X71" s="82" t="str">
        <x:v>条件性</x:v>
      </x:c>
      <x:c r="Y71" s="68" t="str">
        <x:v>身财两停候选</x:v>
      </x:c>
      <x:c r="Z71" s="84" t="str">
        <x:v>身财两停_成立条件</x:v>
      </x:c>
      <x:c r="AA71" s="84" t="str">
        <x:v>身财两停：当主体、客体、路径与力量匹配满足最低标准时，判“基本成立”；是否上升为格局转M14/M15。</x:v>
      </x:c>
      <x:c r="AB71" s="82" t="str">
        <x:v>较高</x:v>
      </x:c>
      <x:c r="AC71" s="82" t="str">
        <x:v>现代综合</x:v>
      </x:c>
      <x:c r="AD71" s="68" t="str">
        <x:v>十神同时出现不等于组合成立。M11须同时验证核心十神有效性、作用路径、力量匹配、日主承载、破坏因素与救应；组合成立也不等于格局成立。</x:v>
      </x:c>
      <x:c r="AE71" s="68" t="str">
        <x:v>M09日主达到中和至旺，并具稳定承载；财星有效且不过强不过弱；作用路径稳定且无关键破坏，可按“身财两停”记录。</x:v>
      </x:c>
      <x:c r="AF71" s="90" t="str">
        <x:v>仅因“日主、财星”同时出现，但核心十神无力、无作用路径或被关键因素破坏，不能判“身财两停”成立。</x:v>
      </x:c>
      <x:c r="AG71" s="68" t="str">
        <x:v>https://zh.wikisource.org/zh-hans/%E6%B7%B5%E6%B5%B7%E5%AD%90%E5%B9%B3 ; https://zh.wikisource.org/wiki/%E6%BB%B4%E5%A4%A9%E9%AB%93%E9%97%A1%E5%BE%AE</x:v>
      </x:c>
      <x:c r="AH71" s="82" t="str">
        <x:v>采用</x:v>
      </x:c>
      <x:c r="AI71" s="82" t="str">
        <x:v>初审</x:v>
      </x:c>
      <x:c r="AJ71" s="87" t="n">
        <x:v>46255</x:v>
      </x:c>
    </x:row>
    <x:row r="72">
      <x:c r="A72" s="72" t="str">
        <x:f>IF(OR(C72="",D72=""),"",B72&amp;"-"&amp;UPPER(C72)&amp;"-"&amp;TEXT(D72,"0000")&amp;"-"&amp;E72)</x:f>
        <x:v>M11-BALANCE-0066-V1.0</x:v>
      </x:c>
      <x:c r="B72" s="74" t="str">
        <x:v>M11</x:v>
      </x:c>
      <x:c r="C72" s="74" t="str">
        <x:v>BALANCE</x:v>
      </x:c>
      <x:c r="D72" s="215" t="n">
        <x:v>66</x:v>
      </x:c>
      <x:c r="E72" s="74" t="str">
        <x:v>V1.0</x:v>
      </x:c>
      <x:c r="F72" s="68" t="str">
        <x:v>日主与正官制衡匹配</x:v>
      </x:c>
      <x:c r="G72" s="82" t="str">
        <x:v>结构层</x:v>
      </x:c>
      <x:c r="H72" s="82" t="str">
        <x:v>平衡承载型</x:v>
      </x:c>
      <x:c r="I72" s="68" t="str">
        <x:v>身官两停</x:v>
      </x:c>
      <x:c r="J72" s="68" t="str">
        <x:v>日主、正官</x:v>
      </x:c>
      <x:c r="K72" s="68" t="str">
        <x:v>日主有足够承载</x:v>
      </x:c>
      <x:c r="L72" s="68" t="str">
        <x:v>正官有力但不过度</x:v>
      </x:c>
      <x:c r="M72" s="68" t="str">
        <x:v>直接或可达的生克制化路径成立</x:v>
      </x:c>
      <x:c r="N72" s="68" t="str">
        <x:v>官制身与身承官大体平衡</x:v>
      </x:c>
      <x:c r="O72" s="68" t="str">
        <x:v>结合M09日主承载判断</x:v>
      </x:c>
      <x:c r="P72" s="68" t="str">
        <x:v>主体、客体、作用路径与力量匹配均达到最低要求</x:v>
      </x:c>
      <x:c r="Q72" s="68" t="str">
        <x:v>相关十神有根、有源、透达、清纯且关键通路稳定</x:v>
      </x:c>
      <x:c r="R72" s="90" t="str">
        <x:v>关键十神被合绊、被制、改性、失效或力量严重失衡</x:v>
      </x:c>
      <x:c r="S72" s="68" t="str">
        <x:v>存在第三十神恢复通路、清除破坏或重新形成平衡</x:v>
      </x:c>
      <x:c r="T72" s="90" t="str">
        <x:v>任一核心十神失效，或不存在真实作用路径</x:v>
      </x:c>
      <x:c r="U72" s="68" t="str">
        <x:v>特殊格局、从化或月令格局另转M14/M15复审</x:v>
      </x:c>
      <x:c r="V72" s="84" t="str">
        <x:v>基本成立</x:v>
      </x:c>
      <x:c r="W72" s="84" t="str">
        <x:v>形成稳定约束与承载</x:v>
      </x:c>
      <x:c r="X72" s="82" t="str">
        <x:v>条件性</x:v>
      </x:c>
      <x:c r="Y72" s="68" t="str">
        <x:v>身官两停候选</x:v>
      </x:c>
      <x:c r="Z72" s="84" t="str">
        <x:v>身官两停_成立条件</x:v>
      </x:c>
      <x:c r="AA72" s="84" t="str">
        <x:v>身官两停：当主体、客体、路径与力量匹配满足最低标准时，判“基本成立”；是否上升为格局转M14/M15。</x:v>
      </x:c>
      <x:c r="AB72" s="82" t="str">
        <x:v>较高</x:v>
      </x:c>
      <x:c r="AC72" s="82" t="str">
        <x:v>现代综合</x:v>
      </x:c>
      <x:c r="AD72" s="68" t="str">
        <x:v>十神同时出现不等于组合成立。M11须同时验证核心十神有效性、作用路径、力量匹配、日主承载、破坏因素与救应；组合成立也不等于格局成立。</x:v>
      </x:c>
      <x:c r="AE72" s="68" t="str">
        <x:v>日主有足够承载；正官有力但不过度；作用路径稳定且无关键破坏，可按“身官两停”记录。</x:v>
      </x:c>
      <x:c r="AF72" s="90" t="str">
        <x:v>仅因“日主、正官”同时出现，但核心十神无力、无作用路径或被关键因素破坏，不能判“身官两停”成立。</x:v>
      </x:c>
      <x:c r="AG72" s="68" t="str">
        <x:v>https://zh.wikisource.org/zh-hans/%E6%B7%B5%E6%B5%B7%E5%AD%90%E5%B9%B3 ; https://zh.wikisource.org/wiki/%E6%BB%B4%E5%A4%A9%E9%AB%93%E9%97%A1%E5%BE%AE</x:v>
      </x:c>
      <x:c r="AH72" s="82" t="str">
        <x:v>采用</x:v>
      </x:c>
      <x:c r="AI72" s="82" t="str">
        <x:v>初审</x:v>
      </x:c>
      <x:c r="AJ72" s="87" t="n">
        <x:v>46255</x:v>
      </x:c>
    </x:row>
    <x:row r="73">
      <x:c r="A73" s="72" t="str">
        <x:f>IF(OR(C73="",D73=""),"",B73&amp;"-"&amp;UPPER(C73)&amp;"-"&amp;TEXT(D73,"0000")&amp;"-"&amp;E73)</x:f>
        <x:v>M11-BALANCE-0067-V1.0</x:v>
      </x:c>
      <x:c r="B73" s="74" t="str">
        <x:v>M11</x:v>
      </x:c>
      <x:c r="C73" s="74" t="str">
        <x:v>BALANCE</x:v>
      </x:c>
      <x:c r="D73" s="215" t="n">
        <x:v>67</x:v>
      </x:c>
      <x:c r="E73" s="74" t="str">
        <x:v>V1.0</x:v>
      </x:c>
      <x:c r="F73" s="68" t="str">
        <x:v>日主与七杀压力匹配</x:v>
      </x:c>
      <x:c r="G73" s="82" t="str">
        <x:v>结构层</x:v>
      </x:c>
      <x:c r="H73" s="82" t="str">
        <x:v>平衡承载型</x:v>
      </x:c>
      <x:c r="I73" s="68" t="str">
        <x:v>身杀两停</x:v>
      </x:c>
      <x:c r="J73" s="68" t="str">
        <x:v>日主、七杀</x:v>
      </x:c>
      <x:c r="K73" s="68" t="str">
        <x:v>日主有根有势可承杀</x:v>
      </x:c>
      <x:c r="L73" s="68" t="str">
        <x:v>七杀有力但未超过承载</x:v>
      </x:c>
      <x:c r="M73" s="68" t="str">
        <x:v>直接或可达的生克制化路径成立</x:v>
      </x:c>
      <x:c r="N73" s="68" t="str">
        <x:v>身杀两方均有权且不过度</x:v>
      </x:c>
      <x:c r="O73" s="68" t="str">
        <x:v>结合M09日主承载判断</x:v>
      </x:c>
      <x:c r="P73" s="68" t="str">
        <x:v>主体、客体、作用路径与力量匹配均达到最低要求</x:v>
      </x:c>
      <x:c r="Q73" s="68" t="str">
        <x:v>相关十神有根、有源、透达、清纯且关键通路稳定</x:v>
      </x:c>
      <x:c r="R73" s="90" t="str">
        <x:v>关键十神被合绊、被制、改性、失效或力量严重失衡</x:v>
      </x:c>
      <x:c r="S73" s="68" t="str">
        <x:v>存在第三十神恢复通路、清除破坏或重新形成平衡</x:v>
      </x:c>
      <x:c r="T73" s="90" t="str">
        <x:v>任一核心十神失效，或不存在真实作用路径</x:v>
      </x:c>
      <x:c r="U73" s="68" t="str">
        <x:v>特殊格局、从化或月令格局另转M14/M15复审</x:v>
      </x:c>
      <x:c r="V73" s="84" t="str">
        <x:v>基本成立</x:v>
      </x:c>
      <x:c r="W73" s="84" t="str">
        <x:v>杀有制衡功能而非单向攻身</x:v>
      </x:c>
      <x:c r="X73" s="82" t="str">
        <x:v>条件性</x:v>
      </x:c>
      <x:c r="Y73" s="68" t="str">
        <x:v>身杀两停候选</x:v>
      </x:c>
      <x:c r="Z73" s="84" t="str">
        <x:v>身杀两停_成立条件</x:v>
      </x:c>
      <x:c r="AA73" s="84" t="str">
        <x:v>身杀两停：当主体、客体、路径与力量匹配满足最低标准时，判“基本成立”；是否上升为格局转M14/M15。</x:v>
      </x:c>
      <x:c r="AB73" s="82" t="str">
        <x:v>较高</x:v>
      </x:c>
      <x:c r="AC73" s="82" t="str">
        <x:v>现代综合</x:v>
      </x:c>
      <x:c r="AD73" s="68" t="str">
        <x:v>十神同时出现不等于组合成立。M11须同时验证核心十神有效性、作用路径、力量匹配、日主承载、破坏因素与救应；组合成立也不等于格局成立。</x:v>
      </x:c>
      <x:c r="AE73" s="68" t="str">
        <x:v>日主有根有势可承杀；七杀有力但未超过承载；作用路径稳定且无关键破坏，可按“身杀两停”记录。</x:v>
      </x:c>
      <x:c r="AF73" s="90" t="str">
        <x:v>仅因“日主、七杀”同时出现，但核心十神无力、无作用路径或被关键因素破坏，不能判“身杀两停”成立。</x:v>
      </x:c>
      <x:c r="AG73" s="68" t="str">
        <x:v>https://zh.wikisource.org/zh-hans/%E6%B7%B5%E6%B5%B7%E5%AD%90%E5%B9%B3 ; https://zh.wikisource.org/wiki/%E6%BB%B4%E5%A4%A9%E9%AB%93%E9%97%A1%E5%BE%AE</x:v>
      </x:c>
      <x:c r="AH73" s="82" t="str">
        <x:v>采用</x:v>
      </x:c>
      <x:c r="AI73" s="82" t="str">
        <x:v>初审</x:v>
      </x:c>
      <x:c r="AJ73" s="87" t="n">
        <x:v>46255</x:v>
      </x:c>
    </x:row>
    <x:row r="74">
      <x:c r="A74" s="72" t="str">
        <x:f>IF(OR(C74="",D74=""),"",B74&amp;"-"&amp;UPPER(C74)&amp;"-"&amp;TEXT(D74,"0000")&amp;"-"&amp;E74)</x:f>
        <x:v>M11-BALANCE-0068-V1.0</x:v>
      </x:c>
      <x:c r="B74" s="74" t="str">
        <x:v>M11</x:v>
      </x:c>
      <x:c r="C74" s="74" t="str">
        <x:v>BALANCE</x:v>
      </x:c>
      <x:c r="D74" s="215" t="n">
        <x:v>68</x:v>
      </x:c>
      <x:c r="E74" s="74" t="str">
        <x:v>V1.0</x:v>
      </x:c>
      <x:c r="F74" s="68" t="str">
        <x:v>身旺是任财条件而非任财结论</x:v>
      </x:c>
      <x:c r="G74" s="82" t="str">
        <x:v>结构层</x:v>
      </x:c>
      <x:c r="H74" s="82" t="str">
        <x:v>平衡承载型</x:v>
      </x:c>
      <x:c r="I74" s="68" t="str">
        <x:v>身旺任财</x:v>
      </x:c>
      <x:c r="J74" s="68" t="str">
        <x:v>日主、财星</x:v>
      </x:c>
      <x:c r="K74" s="68" t="str">
        <x:v>日主旺或中和偏旺</x:v>
      </x:c>
      <x:c r="L74" s="68" t="str">
        <x:v>财星有效且有实际耗身路径</x:v>
      </x:c>
      <x:c r="M74" s="68" t="str">
        <x:v>直接或可达的生克制化路径成立</x:v>
      </x:c>
      <x:c r="N74" s="68" t="str">
        <x:v>相关十神均以M10有效力量为准，且不存在决定性失衡</x:v>
      </x:c>
      <x:c r="O74" s="68" t="str">
        <x:v>结合M09日主承载判断</x:v>
      </x:c>
      <x:c r="P74" s="68" t="str">
        <x:v>财星非极弱、非被比劫完全制去</x:v>
      </x:c>
      <x:c r="Q74" s="68" t="str">
        <x:v>相关十神有根、有源、透达、清纯且关键通路稳定</x:v>
      </x:c>
      <x:c r="R74" s="90" t="str">
        <x:v>关键十神被合绊、被制、改性、失效或力量严重失衡</x:v>
      </x:c>
      <x:c r="S74" s="68" t="str">
        <x:v>存在第三十神恢复通路、清除破坏或重新形成平衡</x:v>
      </x:c>
      <x:c r="T74" s="90" t="str">
        <x:v>任一核心十神失效，或不存在真实作用路径</x:v>
      </x:c>
      <x:c r="U74" s="68" t="str">
        <x:v>特殊格局、从化或月令格局另转M14/M15复审</x:v>
      </x:c>
      <x:c r="V74" s="84" t="str">
        <x:v>基本成立</x:v>
      </x:c>
      <x:c r="W74" s="84" t="str">
        <x:v>强身可承担财耗</x:v>
      </x:c>
      <x:c r="X74" s="82" t="str">
        <x:v>条件性</x:v>
      </x:c>
      <x:c r="Y74" s="68" t="str">
        <x:v>对应格局候选转M14</x:v>
      </x:c>
      <x:c r="Z74" s="84" t="str">
        <x:v>身旺任财_成立</x:v>
      </x:c>
      <x:c r="AA74" s="84" t="str">
        <x:v>身旺任财：当主体、客体、路径与力量匹配满足最低标准时，判“基本成立”；是否上升为格局转M14/M15。</x:v>
      </x:c>
      <x:c r="AB74" s="82" t="str">
        <x:v>较高</x:v>
      </x:c>
      <x:c r="AC74" s="82" t="str">
        <x:v>现代综合</x:v>
      </x:c>
      <x:c r="AD74" s="68" t="str">
        <x:v>十神同时出现不等于组合成立。M11须同时验证核心十神有效性、作用路径、力量匹配、日主承载、破坏因素与救应；组合成立也不等于格局成立。</x:v>
      </x:c>
      <x:c r="AE74" s="68" t="str">
        <x:v>日主旺或中和偏旺；财星有效且有实际耗身路径；作用路径稳定且无关键破坏，可按“身旺任财”记录。</x:v>
      </x:c>
      <x:c r="AF74" s="90" t="str">
        <x:v>仅因“日主、财星”同时出现，但核心十神无力、无作用路径或被关键因素破坏，不能判“身旺任财”成立。</x:v>
      </x:c>
      <x:c r="AG74" s="68" t="str">
        <x:v>https://zh.wikisource.org/zh-hans/%E6%B7%B5%E6%B5%B7%E5%AD%90%E5%B9%B3 ; https://zh.wikisource.org/wiki/%E6%BB%B4%E5%A4%A9%E9%AB%93%E9%97%A1%E5%BE%AE</x:v>
      </x:c>
      <x:c r="AH74" s="82" t="str">
        <x:v>采用</x:v>
      </x:c>
      <x:c r="AI74" s="82" t="str">
        <x:v>初审</x:v>
      </x:c>
      <x:c r="AJ74" s="87" t="n">
        <x:v>46255</x:v>
      </x:c>
    </x:row>
    <x:row r="75">
      <x:c r="A75" s="72" t="str">
        <x:f>IF(OR(C75="",D75=""),"",B75&amp;"-"&amp;UPPER(C75)&amp;"-"&amp;TEXT(D75,"0000")&amp;"-"&amp;E75)</x:f>
        <x:v>M11-BALANCE-0069-V1.0</x:v>
      </x:c>
      <x:c r="B75" s="74" t="str">
        <x:v>M11</x:v>
      </x:c>
      <x:c r="C75" s="74" t="str">
        <x:v>BALANCE</x:v>
      </x:c>
      <x:c r="D75" s="215" t="n">
        <x:v>69</x:v>
      </x:c>
      <x:c r="E75" s="74" t="str">
        <x:v>V1.0</x:v>
      </x:c>
      <x:c r="F75" s="68" t="str">
        <x:v>身旺可提高承官杀能力</x:v>
      </x:c>
      <x:c r="G75" s="82" t="str">
        <x:v>结构层</x:v>
      </x:c>
      <x:c r="H75" s="82" t="str">
        <x:v>平衡承载型</x:v>
      </x:c>
      <x:c r="I75" s="68" t="str">
        <x:v>身旺任官杀</x:v>
      </x:c>
      <x:c r="J75" s="68" t="str">
        <x:v>日主、官杀</x:v>
      </x:c>
      <x:c r="K75" s="68" t="str">
        <x:v>日主旺</x:v>
      </x:c>
      <x:c r="L75" s="68" t="str">
        <x:v>官杀有效且制身不过度</x:v>
      </x:c>
      <x:c r="M75" s="68" t="str">
        <x:v>直接或可达的生克制化路径成立</x:v>
      </x:c>
      <x:c r="N75" s="68" t="str">
        <x:v>相关十神均以M10有效力量为准，且不存在决定性失衡</x:v>
      </x:c>
      <x:c r="O75" s="68" t="str">
        <x:v>结合M09日主承载判断</x:v>
      </x:c>
      <x:c r="P75" s="68" t="str">
        <x:v>身旺与官杀压力大体匹配</x:v>
      </x:c>
      <x:c r="Q75" s="68" t="str">
        <x:v>相关十神有根、有源、透达、清纯且关键通路稳定</x:v>
      </x:c>
      <x:c r="R75" s="90" t="str">
        <x:v>关键十神被合绊、被制、改性、失效或力量严重失衡</x:v>
      </x:c>
      <x:c r="S75" s="68" t="str">
        <x:v>存在第三十神恢复通路、清除破坏或重新形成平衡</x:v>
      </x:c>
      <x:c r="T75" s="90" t="str">
        <x:v>任一核心十神失效，或不存在真实作用路径</x:v>
      </x:c>
      <x:c r="U75" s="68" t="str">
        <x:v>特殊格局、从化或月令格局另转M14/M15复审</x:v>
      </x:c>
      <x:c r="V75" s="84" t="str">
        <x:v>基本成立</x:v>
      </x:c>
      <x:c r="W75" s="84" t="str">
        <x:v>官杀可成为制衡力量</x:v>
      </x:c>
      <x:c r="X75" s="82" t="str">
        <x:v>条件性</x:v>
      </x:c>
      <x:c r="Y75" s="68" t="str">
        <x:v>对应格局候选转M14</x:v>
      </x:c>
      <x:c r="Z75" s="84" t="str">
        <x:v>身旺任官杀_成立</x:v>
      </x:c>
      <x:c r="AA75" s="84" t="str">
        <x:v>身旺任官杀：当主体、客体、路径与力量匹配满足最低标准时，判“基本成立”；是否上升为格局转M14/M15。</x:v>
      </x:c>
      <x:c r="AB75" s="82" t="str">
        <x:v>较高</x:v>
      </x:c>
      <x:c r="AC75" s="82" t="str">
        <x:v>现代综合</x:v>
      </x:c>
      <x:c r="AD75" s="68" t="str">
        <x:v>十神同时出现不等于组合成立。M11须同时验证核心十神有效性、作用路径、力量匹配、日主承载、破坏因素与救应；组合成立也不等于格局成立。</x:v>
      </x:c>
      <x:c r="AE75" s="68" t="str">
        <x:v>日主旺；官杀有效且制身不过度；作用路径稳定且无关键破坏，可按“身旺任官杀”记录。</x:v>
      </x:c>
      <x:c r="AF75" s="90" t="str">
        <x:v>仅因“日主、官杀”同时出现，但核心十神无力、无作用路径或被关键因素破坏，不能判“身旺任官杀”成立。</x:v>
      </x:c>
      <x:c r="AG75" s="68" t="str">
        <x:v>https://zh.wikisource.org/zh-hans/%E6%B7%B5%E6%B5%B7%E5%AD%90%E5%B9%B3 ; https://zh.wikisource.org/wiki/%E6%BB%B4%E5%A4%A9%E9%AB%93%E9%97%A1%E5%BE%AE</x:v>
      </x:c>
      <x:c r="AH75" s="82" t="str">
        <x:v>采用</x:v>
      </x:c>
      <x:c r="AI75" s="82" t="str">
        <x:v>初审</x:v>
      </x:c>
      <x:c r="AJ75" s="87" t="n">
        <x:v>46255</x:v>
      </x:c>
    </x:row>
    <x:row r="76">
      <x:c r="A76" s="72" t="str">
        <x:f>IF(OR(C76="",D76=""),"",B76&amp;"-"&amp;UPPER(C76)&amp;"-"&amp;TEXT(D76,"0000")&amp;"-"&amp;E76)</x:f>
        <x:v>M11-BALANCE-0070-V1.0</x:v>
      </x:c>
      <x:c r="B76" s="74" t="str">
        <x:v>M11</x:v>
      </x:c>
      <x:c r="C76" s="74" t="str">
        <x:v>BALANCE</x:v>
      </x:c>
      <x:c r="D76" s="215" t="n">
        <x:v>70</x:v>
      </x:c>
      <x:c r="E76" s="74" t="str">
        <x:v>V1.0</x:v>
      </x:c>
      <x:c r="F76" s="68" t="str">
        <x:v>身弱需印比真实有效才能改善承载</x:v>
      </x:c>
      <x:c r="G76" s="82" t="str">
        <x:v>结构层</x:v>
      </x:c>
      <x:c r="H76" s="82" t="str">
        <x:v>平衡承载型</x:v>
      </x:c>
      <x:c r="I76" s="68" t="str">
        <x:v>身弱得印比承载</x:v>
      </x:c>
      <x:c r="J76" s="68" t="str">
        <x:v>日主、印比</x:v>
      </x:c>
      <x:c r="K76" s="68" t="str">
        <x:v>日主弱或偏弱</x:v>
      </x:c>
      <x:c r="L76" s="68" t="str">
        <x:v>印比有效且能够生扶/帮助日主</x:v>
      </x:c>
      <x:c r="M76" s="68" t="str">
        <x:v>直接或可达的生克制化路径成立</x:v>
      </x:c>
      <x:c r="N76" s="68" t="str">
        <x:v>相关十神均以M10有效力量为准，且不存在决定性失衡</x:v>
      </x:c>
      <x:c r="O76" s="68" t="str">
        <x:v>结合M09日主承载判断</x:v>
      </x:c>
      <x:c r="P76" s="68" t="str">
        <x:v>扶身力量真实进入日主</x:v>
      </x:c>
      <x:c r="Q76" s="68" t="str">
        <x:v>相关十神有根、有源、透达、清纯且关键通路稳定</x:v>
      </x:c>
      <x:c r="R76" s="90" t="str">
        <x:v>关键十神被合绊、被制、改性、失效或力量严重失衡</x:v>
      </x:c>
      <x:c r="S76" s="68" t="str">
        <x:v>存在第三十神恢复通路、清除破坏或重新形成平衡</x:v>
      </x:c>
      <x:c r="T76" s="90" t="str">
        <x:v>任一核心十神失效，或不存在真实作用路径</x:v>
      </x:c>
      <x:c r="U76" s="68" t="str">
        <x:v>特殊格局、从化或月令格局另转M14/M15复审</x:v>
      </x:c>
      <x:c r="V76" s="84" t="str">
        <x:v>基本成立</x:v>
      </x:c>
      <x:c r="W76" s="84" t="str">
        <x:v>恢复日主对财官食伤的承载</x:v>
      </x:c>
      <x:c r="X76" s="82" t="str">
        <x:v>条件性</x:v>
      </x:c>
      <x:c r="Y76" s="68" t="str">
        <x:v>对应格局候选转M14</x:v>
      </x:c>
      <x:c r="Z76" s="84" t="str">
        <x:v>身弱印比承载</x:v>
      </x:c>
      <x:c r="AA76" s="84" t="str">
        <x:v>身弱得印比承载：当主体、客体、路径与力量匹配满足最低标准时，判“基本成立”；是否上升为格局转M14/M15。</x:v>
      </x:c>
      <x:c r="AB76" s="82" t="str">
        <x:v>较高</x:v>
      </x:c>
      <x:c r="AC76" s="82" t="str">
        <x:v>现代综合</x:v>
      </x:c>
      <x:c r="AD76" s="68" t="str">
        <x:v>十神同时出现不等于组合成立。M11须同时验证核心十神有效性、作用路径、力量匹配、日主承载、破坏因素与救应；组合成立也不等于格局成立。</x:v>
      </x:c>
      <x:c r="AE76" s="68" t="str">
        <x:v>日主弱或偏弱；印比有效且能够生扶/帮助日主；作用路径稳定且无关键破坏，可按“身弱得印比承载”记录。</x:v>
      </x:c>
      <x:c r="AF76" s="90" t="str">
        <x:v>仅因“日主、印比”同时出现，但核心十神无力、无作用路径或被关键因素破坏，不能判“身弱得印比承载”成立。</x:v>
      </x:c>
      <x:c r="AG76" s="68" t="str">
        <x:v>https://zh.wikisource.org/zh-hans/%E6%B7%B5%E6%B5%B7%E5%AD%90%E5%B9%B3 ; https://zh.wikisource.org/wiki/%E6%BB%B4%E5%A4%A9%E9%AB%93%E9%97%A1%E5%BE%AE</x:v>
      </x:c>
      <x:c r="AH76" s="82" t="str">
        <x:v>采用</x:v>
      </x:c>
      <x:c r="AI76" s="82" t="str">
        <x:v>初审</x:v>
      </x:c>
      <x:c r="AJ76" s="87" t="n">
        <x:v>46255</x:v>
      </x:c>
    </x:row>
    <x:row r="77">
      <x:c r="A77" s="72" t="str">
        <x:f>IF(OR(C77="",D77=""),"",B77&amp;"-"&amp;UPPER(C77)&amp;"-"&amp;TEXT(D77,"0000")&amp;"-"&amp;E77)</x:f>
        <x:v>M11-BALANCE-0071-V1.0</x:v>
      </x:c>
      <x:c r="B77" s="74" t="str">
        <x:v>M11</x:v>
      </x:c>
      <x:c r="C77" s="74" t="str">
        <x:v>BALANCE</x:v>
      </x:c>
      <x:c r="D77" s="215" t="n">
        <x:v>71</x:v>
      </x:c>
      <x:c r="E77" s="74" t="str">
        <x:v>V1.0</x:v>
      </x:c>
      <x:c r="F77" s="68" t="str">
        <x:v>财过旺会破坏身财两停</x:v>
      </x:c>
      <x:c r="G77" s="82" t="str">
        <x:v>结构层</x:v>
      </x:c>
      <x:c r="H77" s="82" t="str">
        <x:v>平衡承载型</x:v>
      </x:c>
      <x:c r="I77" s="68" t="str">
        <x:v>身财两停</x:v>
      </x:c>
      <x:c r="J77" s="68" t="str">
        <x:v>日主、财星</x:v>
      </x:c>
      <x:c r="K77" s="68" t="str">
        <x:v>日主承载一般</x:v>
      </x:c>
      <x:c r="L77" s="68" t="str">
        <x:v>财星旺或极旺</x:v>
      </x:c>
      <x:c r="M77" s="68" t="str">
        <x:v>直接或可达的生克制化路径成立</x:v>
      </x:c>
      <x:c r="N77" s="68" t="str">
        <x:v>财明显强于身</x:v>
      </x:c>
      <x:c r="O77" s="68" t="str">
        <x:v>结合M09日主承载判断</x:v>
      </x:c>
      <x:c r="P77" s="68" t="str">
        <x:v>主体、客体、作用路径与力量匹配均达到最低要求</x:v>
      </x:c>
      <x:c r="Q77" s="68" t="str">
        <x:v>相关十神有根、有源、透达、清纯且关键通路稳定</x:v>
      </x:c>
      <x:c r="R77" s="90" t="str">
        <x:v>关键十神被合绊、被制、改性、失效或力量严重失衡</x:v>
      </x:c>
      <x:c r="S77" s="68" t="str">
        <x:v>存在第三十神恢复通路、清除破坏或重新形成平衡</x:v>
      </x:c>
      <x:c r="T77" s="90" t="str">
        <x:v>任一核心十神失效，或不存在真实作用路径</x:v>
      </x:c>
      <x:c r="U77" s="68" t="str">
        <x:v>特殊格局、从化或月令格局另转M14/M15复审</x:v>
      </x:c>
      <x:c r="V77" s="84" t="str">
        <x:v>不成立</x:v>
      </x:c>
      <x:c r="W77" s="84" t="str">
        <x:v>转为财多身弱候选</x:v>
      </x:c>
      <x:c r="X77" s="82" t="str">
        <x:v>否</x:v>
      </x:c>
      <x:c r="Y77" s="68" t="str">
        <x:v>无</x:v>
      </x:c>
      <x:c r="Z77" s="84" t="str">
        <x:v>身财两停_财过旺否决</x:v>
      </x:c>
      <x:c r="AA77" s="84" t="str">
        <x:v>身财两停：当主体、客体、路径与力量匹配满足最低标准时，判“不成立”；是否上升为格局转M14/M15。</x:v>
      </x:c>
      <x:c r="AB77" s="82" t="str">
        <x:v>较高</x:v>
      </x:c>
      <x:c r="AC77" s="82" t="str">
        <x:v>现代综合</x:v>
      </x:c>
      <x:c r="AD77" s="68" t="str">
        <x:v>十神同时出现不等于组合成立。M11须同时验证核心十神有效性、作用路径、力量匹配、日主承载、破坏因素与救应；组合成立也不等于格局成立。</x:v>
      </x:c>
      <x:c r="AE77" s="68" t="str">
        <x:v>日主承载一般；财星旺或极旺；作用路径稳定且无关键破坏，可按“身财两停”记录。</x:v>
      </x:c>
      <x:c r="AF77" s="90" t="str">
        <x:v>仅因“日主、财星”同时出现，但核心十神无力、无作用路径或被关键因素破坏，不能判“身财两停”成立。</x:v>
      </x:c>
      <x:c r="AG77" s="68" t="str">
        <x:v>https://zh.wikisource.org/zh-hans/%E6%B7%B5%E6%B5%B7%E5%AD%90%E5%B9%B3 ; https://zh.wikisource.org/wiki/%E6%BB%B4%E5%A4%A9%E9%AB%93%E9%97%A1%E5%BE%AE</x:v>
      </x:c>
      <x:c r="AH77" s="82" t="str">
        <x:v>采用</x:v>
      </x:c>
      <x:c r="AI77" s="82" t="str">
        <x:v>初审</x:v>
      </x:c>
      <x:c r="AJ77" s="87" t="n">
        <x:v>46255</x:v>
      </x:c>
    </x:row>
    <x:row r="78">
      <x:c r="A78" s="72" t="str">
        <x:f>IF(OR(C78="",D78=""),"",B78&amp;"-"&amp;UPPER(C78)&amp;"-"&amp;TEXT(D78,"0000")&amp;"-"&amp;E78)</x:f>
        <x:v>M11-BALANCE-0072-V1.0</x:v>
      </x:c>
      <x:c r="B78" s="74" t="str">
        <x:v>M11</x:v>
      </x:c>
      <x:c r="C78" s="74" t="str">
        <x:v>BALANCE</x:v>
      </x:c>
      <x:c r="D78" s="215" t="n">
        <x:v>72</x:v>
      </x:c>
      <x:c r="E78" s="74" t="str">
        <x:v>V1.0</x:v>
      </x:c>
      <x:c r="F78" s="68" t="str">
        <x:v>官过旺且无印比救应时两停不成立</x:v>
      </x:c>
      <x:c r="G78" s="82" t="str">
        <x:v>结构层</x:v>
      </x:c>
      <x:c r="H78" s="82" t="str">
        <x:v>平衡承载型</x:v>
      </x:c>
      <x:c r="I78" s="68" t="str">
        <x:v>身官两停</x:v>
      </x:c>
      <x:c r="J78" s="68" t="str">
        <x:v>日主、正官</x:v>
      </x:c>
      <x:c r="K78" s="68" t="str">
        <x:v>日主偏弱</x:v>
      </x:c>
      <x:c r="L78" s="68" t="str">
        <x:v>正官旺并持续制身</x:v>
      </x:c>
      <x:c r="M78" s="68" t="str">
        <x:v>直接或可达的生克制化路径成立</x:v>
      </x:c>
      <x:c r="N78" s="68" t="str">
        <x:v>官明显强于身</x:v>
      </x:c>
      <x:c r="O78" s="68" t="str">
        <x:v>结合M09日主承载判断</x:v>
      </x:c>
      <x:c r="P78" s="68" t="str">
        <x:v>主体、客体、作用路径与力量匹配均达到最低要求</x:v>
      </x:c>
      <x:c r="Q78" s="68" t="str">
        <x:v>相关十神有根、有源、透达、清纯且关键通路稳定</x:v>
      </x:c>
      <x:c r="R78" s="90" t="str">
        <x:v>关键十神被合绊、被制、改性、失效或力量严重失衡</x:v>
      </x:c>
      <x:c r="S78" s="68" t="str">
        <x:v>存在第三十神恢复通路、清除破坏或重新形成平衡</x:v>
      </x:c>
      <x:c r="T78" s="90" t="str">
        <x:v>任一核心十神失效，或不存在真实作用路径</x:v>
      </x:c>
      <x:c r="U78" s="68" t="str">
        <x:v>特殊格局、从化或月令格局另转M14/M15复审</x:v>
      </x:c>
      <x:c r="V78" s="84" t="str">
        <x:v>不成立</x:v>
      </x:c>
      <x:c r="W78" s="84" t="str">
        <x:v>形成局部生化、制化或承载结构</x:v>
      </x:c>
      <x:c r="X78" s="82" t="str">
        <x:v>否</x:v>
      </x:c>
      <x:c r="Y78" s="68" t="str">
        <x:v>对应格局候选转M14</x:v>
      </x:c>
      <x:c r="Z78" s="84" t="str">
        <x:v>身官两停_官过旺否决</x:v>
      </x:c>
      <x:c r="AA78" s="84" t="str">
        <x:v>身官两停：当主体、客体、路径与力量匹配满足最低标准时，判“不成立”；是否上升为格局转M14/M15。</x:v>
      </x:c>
      <x:c r="AB78" s="82" t="str">
        <x:v>较高</x:v>
      </x:c>
      <x:c r="AC78" s="82" t="str">
        <x:v>现代综合</x:v>
      </x:c>
      <x:c r="AD78" s="68" t="str">
        <x:v>十神同时出现不等于组合成立。M11须同时验证核心十神有效性、作用路径、力量匹配、日主承载、破坏因素与救应；组合成立也不等于格局成立。</x:v>
      </x:c>
      <x:c r="AE78" s="68" t="str">
        <x:v>日主偏弱；正官旺并持续制身；作用路径稳定且无关键破坏，可按“身官两停”记录。</x:v>
      </x:c>
      <x:c r="AF78" s="90" t="str">
        <x:v>仅因“日主、正官”同时出现，但核心十神无力、无作用路径或被关键因素破坏，不能判“身官两停”成立。</x:v>
      </x:c>
      <x:c r="AG78" s="68" t="str">
        <x:v>https://zh.wikisource.org/zh-hans/%E6%B7%B5%E6%B5%B7%E5%AD%90%E5%B9%B3 ; https://zh.wikisource.org/wiki/%E6%BB%B4%E5%A4%A9%E9%AB%93%E9%97%A1%E5%BE%AE</x:v>
      </x:c>
      <x:c r="AH78" s="82" t="str">
        <x:v>采用</x:v>
      </x:c>
      <x:c r="AI78" s="82" t="str">
        <x:v>初审</x:v>
      </x:c>
      <x:c r="AJ78" s="87" t="n">
        <x:v>46255</x:v>
      </x:c>
    </x:row>
    <x:row r="79">
      <x:c r="A79" s="72" t="str">
        <x:f>IF(OR(C79="",D79=""),"",B79&amp;"-"&amp;UPPER(C79)&amp;"-"&amp;TEXT(D79,"0000")&amp;"-"&amp;E79)</x:f>
        <x:v>M11-BALANCE-0073-V1.0</x:v>
      </x:c>
      <x:c r="B79" s="74" t="str">
        <x:v>M11</x:v>
      </x:c>
      <x:c r="C79" s="74" t="str">
        <x:v>BALANCE</x:v>
      </x:c>
      <x:c r="D79" s="215" t="n">
        <x:v>73</x:v>
      </x:c>
      <x:c r="E79" s="74" t="str">
        <x:v>V1.0</x:v>
      </x:c>
      <x:c r="F79" s="68" t="str">
        <x:v>杀过旺无制化时两停不成立</x:v>
      </x:c>
      <x:c r="G79" s="82" t="str">
        <x:v>结构层</x:v>
      </x:c>
      <x:c r="H79" s="82" t="str">
        <x:v>平衡承载型</x:v>
      </x:c>
      <x:c r="I79" s="68" t="str">
        <x:v>身杀两停</x:v>
      </x:c>
      <x:c r="J79" s="68" t="str">
        <x:v>日主、七杀</x:v>
      </x:c>
      <x:c r="K79" s="68" t="str">
        <x:v>日主承载不足</x:v>
      </x:c>
      <x:c r="L79" s="68" t="str">
        <x:v>七杀旺且无食制印化</x:v>
      </x:c>
      <x:c r="M79" s="68" t="str">
        <x:v>直接或可达的生克制化路径成立</x:v>
      </x:c>
      <x:c r="N79" s="68" t="str">
        <x:v>相关十神均以M10有效力量为准，且不存在决定性失衡</x:v>
      </x:c>
      <x:c r="O79" s="68" t="str">
        <x:v>结合M09日主承载判断</x:v>
      </x:c>
      <x:c r="P79" s="68" t="str">
        <x:v>主体、客体、作用路径与力量匹配均达到最低要求</x:v>
      </x:c>
      <x:c r="Q79" s="68" t="str">
        <x:v>相关十神有根、有源、透达、清纯且关键通路稳定</x:v>
      </x:c>
      <x:c r="R79" s="90" t="str">
        <x:v>关键十神被合绊、被制、改性、失效或力量严重失衡</x:v>
      </x:c>
      <x:c r="S79" s="68" t="str">
        <x:v>存在第三十神恢复通路、清除破坏或重新形成平衡</x:v>
      </x:c>
      <x:c r="T79" s="90" t="str">
        <x:v>任一核心十神失效，或不存在真实作用路径</x:v>
      </x:c>
      <x:c r="U79" s="68" t="str">
        <x:v>特殊格局、从化或月令格局另转M14/M15复审</x:v>
      </x:c>
      <x:c r="V79" s="84" t="str">
        <x:v>不成立</x:v>
      </x:c>
      <x:c r="W79" s="84" t="str">
        <x:v>转杀旺攻身候选</x:v>
      </x:c>
      <x:c r="X79" s="82" t="str">
        <x:v>否</x:v>
      </x:c>
      <x:c r="Y79" s="68" t="str">
        <x:v>对应格局候选转M14</x:v>
      </x:c>
      <x:c r="Z79" s="84" t="str">
        <x:v>身杀两停_杀过旺否决</x:v>
      </x:c>
      <x:c r="AA79" s="84" t="str">
        <x:v>身杀两停：当主体、客体、路径与力量匹配满足最低标准时，判“不成立”；是否上升为格局转M14/M15。</x:v>
      </x:c>
      <x:c r="AB79" s="82" t="str">
        <x:v>较高</x:v>
      </x:c>
      <x:c r="AC79" s="82" t="str">
        <x:v>现代综合</x:v>
      </x:c>
      <x:c r="AD79" s="68" t="str">
        <x:v>十神同时出现不等于组合成立。M11须同时验证核心十神有效性、作用路径、力量匹配、日主承载、破坏因素与救应；组合成立也不等于格局成立。</x:v>
      </x:c>
      <x:c r="AE79" s="68" t="str">
        <x:v>日主承载不足；七杀旺且无食制印化；作用路径稳定且无关键破坏，可按“身杀两停”记录。</x:v>
      </x:c>
      <x:c r="AF79" s="90" t="str">
        <x:v>仅因“日主、七杀”同时出现，但核心十神无力、无作用路径或被关键因素破坏，不能判“身杀两停”成立。</x:v>
      </x:c>
      <x:c r="AG79" s="68" t="str">
        <x:v>https://zh.wikisource.org/zh-hans/%E6%B7%B5%E6%B5%B7%E5%AD%90%E5%B9%B3 ; https://zh.wikisource.org/wiki/%E6%BB%B4%E5%A4%A9%E9%AB%93%E9%97%A1%E5%BE%AE</x:v>
      </x:c>
      <x:c r="AH79" s="82" t="str">
        <x:v>采用</x:v>
      </x:c>
      <x:c r="AI79" s="82" t="str">
        <x:v>初审</x:v>
      </x:c>
      <x:c r="AJ79" s="87" t="n">
        <x:v>46255</x:v>
      </x:c>
    </x:row>
    <x:row r="80">
      <x:c r="A80" s="72" t="str">
        <x:f>IF(OR(C80="",D80=""),"",B80&amp;"-"&amp;UPPER(C80)&amp;"-"&amp;TEXT(D80,"0000")&amp;"-"&amp;E80)</x:f>
        <x:v>M11-BALANCE-0074-V1.0</x:v>
      </x:c>
      <x:c r="B80" s="74" t="str">
        <x:v>M11</x:v>
      </x:c>
      <x:c r="C80" s="74" t="str">
        <x:v>BALANCE</x:v>
      </x:c>
      <x:c r="D80" s="215" t="n">
        <x:v>74</x:v>
      </x:c>
      <x:c r="E80" s="74" t="str">
        <x:v>V1.0</x:v>
      </x:c>
      <x:c r="F80" s="68" t="str">
        <x:v>两停必须基于有效力量而非数量对半</x:v>
      </x:c>
      <x:c r="G80" s="82" t="str">
        <x:v>结构层</x:v>
      </x:c>
      <x:c r="H80" s="82" t="str">
        <x:v>平衡承载型</x:v>
      </x:c>
      <x:c r="I80" s="68" t="str">
        <x:v>平衡承载通用</x:v>
      </x:c>
      <x:c r="J80" s="68" t="str">
        <x:v>日主、财官食伤印比</x:v>
      </x:c>
      <x:c r="K80" s="68" t="str">
        <x:v>判断任何“身×两停”或“任×”结构</x:v>
      </x:c>
      <x:c r="L80" s="68" t="str">
        <x:v>所有力量以M08/M09/M10有效状态为准</x:v>
      </x:c>
      <x:c r="M80" s="68" t="str">
        <x:v>直接或可达的生克制化路径成立</x:v>
      </x:c>
      <x:c r="N80" s="68" t="str">
        <x:v>相关十神均以M10有效力量为准，且不存在决定性失衡</x:v>
      </x:c>
      <x:c r="O80" s="68" t="str">
        <x:v>结合M09日主承载判断</x:v>
      </x:c>
      <x:c r="P80" s="68" t="str">
        <x:v>比较的是承载和功能，不是字数或五行个数</x:v>
      </x:c>
      <x:c r="Q80" s="68" t="str">
        <x:v>相关十神有根、有源、透达、清纯且关键通路稳定</x:v>
      </x:c>
      <x:c r="R80" s="90" t="str">
        <x:v>关键十神被合绊、被制、改性、失效或力量严重失衡</x:v>
      </x:c>
      <x:c r="S80" s="68" t="str">
        <x:v>存在第三十神恢复通路、清除破坏或重新形成平衡</x:v>
      </x:c>
      <x:c r="T80" s="90" t="str">
        <x:v>任一核心十神失效，或不存在真实作用路径</x:v>
      </x:c>
      <x:c r="U80" s="68" t="str">
        <x:v>特殊格局、从化或月令格局另转M14/M15复审</x:v>
      </x:c>
      <x:c r="V80" s="84" t="str">
        <x:v>待定</x:v>
      </x:c>
      <x:c r="W80" s="84" t="str">
        <x:v>统一平衡判定口径</x:v>
      </x:c>
      <x:c r="X80" s="82" t="str">
        <x:v>否</x:v>
      </x:c>
      <x:c r="Y80" s="68" t="str">
        <x:v>对应格局候选转M14</x:v>
      </x:c>
      <x:c r="Z80" s="84" t="str">
        <x:v>平衡承载_非数量模型</x:v>
      </x:c>
      <x:c r="AA80" s="84" t="str">
        <x:v>平衡承载通用：当主体、客体、路径与力量匹配满足最低标准时，判“待定”；是否上升为格局转M14/M15。</x:v>
      </x:c>
      <x:c r="AB80" s="82" t="str">
        <x:v>较高</x:v>
      </x:c>
      <x:c r="AC80" s="82" t="str">
        <x:v>现代综合</x:v>
      </x:c>
      <x:c r="AD80" s="68" t="str">
        <x:v>十神同时出现不等于组合成立。M11须同时验证核心十神有效性、作用路径、力量匹配、日主承载、破坏因素与救应；组合成立也不等于格局成立。</x:v>
      </x:c>
      <x:c r="AE80" s="68" t="str">
        <x:v>判断任何“身×两停”或“任×”结构；所有力量以M08/M09/M10有效状态为准；作用路径稳定且无关键破坏，可按“平衡承载通用”记录。</x:v>
      </x:c>
      <x:c r="AF80" s="90" t="str">
        <x:v>仅因“日主、财官食伤印比”同时出现，但核心十神无力、无作用路径或被关键因素破坏，不能判“平衡承载通用”成立。</x:v>
      </x:c>
      <x:c r="AG80" s="68" t="str">
        <x:v>https://zh.wikisource.org/zh-hans/%E6%B7%B5%E6%B5%B7%E5%AD%90%E5%B9%B3 ; https://zh.wikisource.org/wiki/%E6%BB%B4%E5%A4%A9%E9%AB%93%E9%97%A1%E5%BE%AE</x:v>
      </x:c>
      <x:c r="AH80" s="82" t="str">
        <x:v>采用</x:v>
      </x:c>
      <x:c r="AI80" s="82" t="str">
        <x:v>初审</x:v>
      </x:c>
      <x:c r="AJ80" s="87" t="n">
        <x:v>46255</x:v>
      </x:c>
    </x:row>
    <x:row r="81">
      <x:c r="A81" s="72" t="str">
        <x:f>IF(OR(C81="",D81=""),"",B81&amp;"-"&amp;UPPER(C81)&amp;"-"&amp;TEXT(D81,"0000")&amp;"-"&amp;E81)</x:f>
        <x:v>M11-PATH-0075-V1.0</x:v>
      </x:c>
      <x:c r="B81" s="74" t="str">
        <x:v>M11</x:v>
      </x:c>
      <x:c r="C81" s="74" t="str">
        <x:v>PATH</x:v>
      </x:c>
      <x:c r="D81" s="215" t="n">
        <x:v>75</x:v>
      </x:c>
      <x:c r="E81" s="74" t="str">
        <x:v>V1.0</x:v>
      </x:c>
      <x:c r="F81" s="68" t="str">
        <x:v>身弱财旺时比劫可通过制财减轻耗身</x:v>
      </x:c>
      <x:c r="G81" s="82" t="str">
        <x:v>结构层</x:v>
      </x:c>
      <x:c r="H81" s="82" t="str">
        <x:v>制化型</x:v>
      </x:c>
      <x:c r="I81" s="68" t="str">
        <x:v>比劫制财护身</x:v>
      </x:c>
      <x:c r="J81" s="68" t="str">
        <x:v>比劫、财星</x:v>
      </x:c>
      <x:c r="K81" s="68" t="str">
        <x:v>日主弱、财星形成明显耗身</x:v>
      </x:c>
      <x:c r="L81" s="68" t="str">
        <x:v>比劫有效且能够克制财星</x:v>
      </x:c>
      <x:c r="M81" s="68" t="str">
        <x:v>直接或可达的生克制化路径成立</x:v>
      </x:c>
      <x:c r="N81" s="68" t="str">
        <x:v>相关十神均以M10有效力量为准，且不存在决定性失衡</x:v>
      </x:c>
      <x:c r="O81" s="68" t="str">
        <x:v>结合M09日主承载判断</x:v>
      </x:c>
      <x:c r="P81" s="68" t="str">
        <x:v>比劫扶身与制财两个作用均真实成立</x:v>
      </x:c>
      <x:c r="Q81" s="68" t="str">
        <x:v>相关十神有根、有源、透达、清纯且关键通路稳定</x:v>
      </x:c>
      <x:c r="R81" s="90" t="str">
        <x:v>关键十神被合绊、被制、改性、失效或力量严重失衡</x:v>
      </x:c>
      <x:c r="S81" s="68" t="str">
        <x:v>存在第三十神恢复通路、清除破坏或重新形成平衡</x:v>
      </x:c>
      <x:c r="T81" s="90" t="str">
        <x:v>任一核心十神失效，或不存在真实作用路径</x:v>
      </x:c>
      <x:c r="U81" s="68" t="str">
        <x:v>特殊格局、从化或月令格局另转M14/M15复审</x:v>
      </x:c>
      <x:c r="V81" s="84" t="str">
        <x:v>基本成立</x:v>
      </x:c>
      <x:c r="W81" s="84" t="str">
        <x:v>扶身并降低财耗</x:v>
      </x:c>
      <x:c r="X81" s="82" t="str">
        <x:v>条件性</x:v>
      </x:c>
      <x:c r="Y81" s="68" t="str">
        <x:v>比劫制财护身候选</x:v>
      </x:c>
      <x:c r="Z81" s="84" t="str">
        <x:v>比劫制财护身_成立条件</x:v>
      </x:c>
      <x:c r="AA81" s="84" t="str">
        <x:v>比劫制财护身：当主体、客体、路径与力量匹配满足最低标准时，判“基本成立”；是否上升为格局转M14/M15。</x:v>
      </x:c>
      <x:c r="AB81" s="82" t="str">
        <x:v>较高</x:v>
      </x:c>
      <x:c r="AC81" s="82" t="str">
        <x:v>现代综合</x:v>
      </x:c>
      <x:c r="AD81" s="68" t="str">
        <x:v>十神同时出现不等于组合成立。M11须同时验证核心十神有效性、作用路径、力量匹配、日主承载、破坏因素与救应；组合成立也不等于格局成立。</x:v>
      </x:c>
      <x:c r="AE81" s="68" t="str">
        <x:v>日主弱、财星形成明显耗身；比劫有效且能够克制财星；作用路径稳定且无关键破坏，可按“比劫制财护身”记录。</x:v>
      </x:c>
      <x:c r="AF81" s="90" t="str">
        <x:v>仅因“比劫、财星”同时出现，但核心十神无力、无作用路径或被关键因素破坏，不能判“比劫制财护身”成立。</x:v>
      </x:c>
      <x:c r="AG81" s="68" t="str">
        <x:v>https://zh.wikisource.org/zh-hans/%E6%B7%B5%E6%B5%B7%E5%AD%90%E5%B9%B3 ; https://zh.wikisource.org/wiki/%E6%BB%B4%E5%A4%A9%E9%AB%93%E9%97%A1%E5%BE%AE</x:v>
      </x:c>
      <x:c r="AH81" s="82" t="str">
        <x:v>采用</x:v>
      </x:c>
      <x:c r="AI81" s="82" t="str">
        <x:v>初审</x:v>
      </x:c>
      <x:c r="AJ81" s="87" t="n">
        <x:v>46255</x:v>
      </x:c>
    </x:row>
    <x:row r="82">
      <x:c r="A82" s="72" t="str">
        <x:f>IF(OR(C82="",D82=""),"",B82&amp;"-"&amp;UPPER(C82)&amp;"-"&amp;TEXT(D82,"0000")&amp;"-"&amp;E82)</x:f>
        <x:v>M11-PATH-0076-V1.0</x:v>
      </x:c>
      <x:c r="B82" s="74" t="str">
        <x:v>M11</x:v>
      </x:c>
      <x:c r="C82" s="74" t="str">
        <x:v>PATH</x:v>
      </x:c>
      <x:c r="D82" s="215" t="n">
        <x:v>76</x:v>
      </x:c>
      <x:c r="E82" s="74" t="str">
        <x:v>V1.0</x:v>
      </x:c>
      <x:c r="F82" s="68" t="str">
        <x:v>比劫过强会由护身转为夺财过度</x:v>
      </x:c>
      <x:c r="G82" s="82" t="str">
        <x:v>结构层</x:v>
      </x:c>
      <x:c r="H82" s="82" t="str">
        <x:v>制化型</x:v>
      </x:c>
      <x:c r="I82" s="68" t="str">
        <x:v>比劫制财护身</x:v>
      </x:c>
      <x:c r="J82" s="68" t="str">
        <x:v>比劫、财星</x:v>
      </x:c>
      <x:c r="K82" s="68" t="str">
        <x:v>比劫旺或极旺</x:v>
      </x:c>
      <x:c r="L82" s="68" t="str">
        <x:v>财星被制至失效</x:v>
      </x:c>
      <x:c r="M82" s="68" t="str">
        <x:v>直接或可达的生克制化路径成立</x:v>
      </x:c>
      <x:c r="N82" s="68" t="str">
        <x:v>比劫明显强于财</x:v>
      </x:c>
      <x:c r="O82" s="68" t="str">
        <x:v>结合M09日主承载判断</x:v>
      </x:c>
      <x:c r="P82" s="68" t="str">
        <x:v>主体、客体、作用路径与力量匹配均达到最低要求</x:v>
      </x:c>
      <x:c r="Q82" s="68" t="str">
        <x:v>相关十神有根、有源、透达、清纯且关键通路稳定</x:v>
      </x:c>
      <x:c r="R82" s="90" t="str">
        <x:v>关键十神被合绊、被制、改性、失效或力量严重失衡</x:v>
      </x:c>
      <x:c r="S82" s="68" t="str">
        <x:v>存在第三十神恢复通路、清除破坏或重新形成平衡</x:v>
      </x:c>
      <x:c r="T82" s="90" t="str">
        <x:v>任一核心十神失效，或不存在真实作用路径</x:v>
      </x:c>
      <x:c r="U82" s="68" t="str">
        <x:v>特殊格局、从化或月令格局另转M14/M15复审</x:v>
      </x:c>
      <x:c r="V82" s="84" t="str">
        <x:v>弱成立</x:v>
      </x:c>
      <x:c r="W82" s="84" t="str">
        <x:v>制财过度</x:v>
      </x:c>
      <x:c r="X82" s="82" t="str">
        <x:v>否</x:v>
      </x:c>
      <x:c r="Y82" s="68" t="str">
        <x:v>对应格局候选转M14</x:v>
      </x:c>
      <x:c r="Z82" s="84" t="str">
        <x:v>比劫制财_过度</x:v>
      </x:c>
      <x:c r="AA82" s="84" t="str">
        <x:v>比劫制财护身：当主体、客体、路径与力量匹配满足最低标准时，判“弱成立”；是否上升为格局转M14/M15。</x:v>
      </x:c>
      <x:c r="AB82" s="82" t="str">
        <x:v>较高</x:v>
      </x:c>
      <x:c r="AC82" s="82" t="str">
        <x:v>现代综合</x:v>
      </x:c>
      <x:c r="AD82" s="68" t="str">
        <x:v>十神同时出现不等于组合成立。M11须同时验证核心十神有效性、作用路径、力量匹配、日主承载、破坏因素与救应；组合成立也不等于格局成立。</x:v>
      </x:c>
      <x:c r="AE82" s="68" t="str">
        <x:v>比劫旺或极旺；财星被制至失效；作用路径稳定且无关键破坏，可按“比劫制财护身”记录。</x:v>
      </x:c>
      <x:c r="AF82" s="90" t="str">
        <x:v>仅因“比劫、财星”同时出现，但核心十神无力、无作用路径或被关键因素破坏，不能判“比劫制财护身”成立。</x:v>
      </x:c>
      <x:c r="AG82" s="68" t="str">
        <x:v>https://zh.wikisource.org/zh-hans/%E6%B7%B5%E6%B5%B7%E5%AD%90%E5%B9%B3 ; https://zh.wikisource.org/wiki/%E6%BB%B4%E5%A4%A9%E9%AB%93%E9%97%A1%E5%BE%AE</x:v>
      </x:c>
      <x:c r="AH82" s="82" t="str">
        <x:v>采用</x:v>
      </x:c>
      <x:c r="AI82" s="82" t="str">
        <x:v>初审</x:v>
      </x:c>
      <x:c r="AJ82" s="87" t="n">
        <x:v>46255</x:v>
      </x:c>
    </x:row>
    <x:row r="83">
      <x:c r="A83" s="72" t="str">
        <x:f>IF(OR(C83="",D83=""),"",B83&amp;"-"&amp;UPPER(C83)&amp;"-"&amp;TEXT(D83,"0000")&amp;"-"&amp;E83)</x:f>
        <x:v>M11-PATH-0077-V1.0</x:v>
      </x:c>
      <x:c r="B83" s="74" t="str">
        <x:v>M11</x:v>
      </x:c>
      <x:c r="C83" s="74" t="str">
        <x:v>PATH</x:v>
      </x:c>
      <x:c r="D83" s="215" t="n">
        <x:v>77</x:v>
      </x:c>
      <x:c r="E83" s="74" t="str">
        <x:v>V1.0</x:v>
      </x:c>
      <x:c r="F83" s="68" t="str">
        <x:v>强比劫或羊刃类承载需有七杀制衡</x:v>
      </x:c>
      <x:c r="G83" s="82" t="str">
        <x:v>结构层</x:v>
      </x:c>
      <x:c r="H83" s="82" t="str">
        <x:v>制化型</x:v>
      </x:c>
      <x:c r="I83" s="68" t="str">
        <x:v>羊刃驾杀</x:v>
      </x:c>
      <x:c r="J83" s="68" t="str">
        <x:v>比劫、七杀</x:v>
      </x:c>
      <x:c r="K83" s="68" t="str">
        <x:v>日主及比劫极强形成强身势</x:v>
      </x:c>
      <x:c r="L83" s="68" t="str">
        <x:v>七杀有效且可制约强身集团</x:v>
      </x:c>
      <x:c r="M83" s="68" t="str">
        <x:v>直接或可达的生克制化路径成立</x:v>
      </x:c>
      <x:c r="N83" s="68" t="str">
        <x:v>相关十神均以M10有效力量为准，且不存在决定性失衡</x:v>
      </x:c>
      <x:c r="O83" s="68" t="str">
        <x:v>结合M09日主承载判断</x:v>
      </x:c>
      <x:c r="P83" s="68" t="str">
        <x:v>身强、杀有权、制衡不过度</x:v>
      </x:c>
      <x:c r="Q83" s="68" t="str">
        <x:v>相关十神有根、有源、透达、清纯且关键通路稳定</x:v>
      </x:c>
      <x:c r="R83" s="90" t="str">
        <x:v>关键十神被合绊、被制、改性、失效或力量严重失衡</x:v>
      </x:c>
      <x:c r="S83" s="68" t="str">
        <x:v>存在第三十神恢复通路、清除破坏或重新形成平衡</x:v>
      </x:c>
      <x:c r="T83" s="90" t="str">
        <x:v>任一核心十神失效，或不存在真实作用路径</x:v>
      </x:c>
      <x:c r="U83" s="68" t="str">
        <x:v>特殊格局、从化或月令格局另转M14/M15复审</x:v>
      </x:c>
      <x:c r="V83" s="84" t="str">
        <x:v>基本成立</x:v>
      </x:c>
      <x:c r="W83" s="84" t="str">
        <x:v>以杀制强身</x:v>
      </x:c>
      <x:c r="X83" s="82" t="str">
        <x:v>条件性</x:v>
      </x:c>
      <x:c r="Y83" s="68" t="str">
        <x:v>羊刃驾杀候选</x:v>
      </x:c>
      <x:c r="Z83" s="84" t="str">
        <x:v>羊刃驾杀_成立条件</x:v>
      </x:c>
      <x:c r="AA83" s="84" t="str">
        <x:v>羊刃驾杀：当主体、客体、路径与力量匹配满足最低标准时，判“基本成立”；是否上升为格局转M14/M15。</x:v>
      </x:c>
      <x:c r="AB83" s="82" t="str">
        <x:v>较高</x:v>
      </x:c>
      <x:c r="AC83" s="82" t="str">
        <x:v>现代综合</x:v>
      </x:c>
      <x:c r="AD83" s="68" t="str">
        <x:v>十神同时出现不等于组合成立。M11须同时验证核心十神有效性、作用路径、力量匹配、日主承载、破坏因素与救应；组合成立也不等于格局成立。</x:v>
      </x:c>
      <x:c r="AE83" s="68" t="str">
        <x:v>日主及比劫极强形成强身势；七杀有效且可制约强身集团；作用路径稳定且无关键破坏，可按“羊刃驾杀”记录。</x:v>
      </x:c>
      <x:c r="AF83" s="90" t="str">
        <x:v>仅因“比劫、七杀”同时出现，但核心十神无力、无作用路径或被关键因素破坏，不能判“羊刃驾杀”成立。</x:v>
      </x:c>
      <x:c r="AG83" s="68" t="str">
        <x:v>https://zh.wikisource.org/zh-hans/%E6%B7%B5%E6%B5%B7%E5%AD%90%E5%B9%B3 ; https://zh.wikisource.org/wiki/%E6%BB%B4%E5%A4%A9%E9%AB%93%E9%97%A1%E5%BE%AE</x:v>
      </x:c>
      <x:c r="AH83" s="82" t="str">
        <x:v>采用</x:v>
      </x:c>
      <x:c r="AI83" s="82" t="str">
        <x:v>初审</x:v>
      </x:c>
      <x:c r="AJ83" s="87" t="n">
        <x:v>46255</x:v>
      </x:c>
    </x:row>
    <x:row r="84">
      <x:c r="A84" s="72" t="str">
        <x:f>IF(OR(C84="",D84=""),"",B84&amp;"-"&amp;UPPER(C84)&amp;"-"&amp;TEXT(D84,"0000")&amp;"-"&amp;E84)</x:f>
        <x:v>M11-PATH-0078-V1.0</x:v>
      </x:c>
      <x:c r="B84" s="74" t="str">
        <x:v>M11</x:v>
      </x:c>
      <x:c r="C84" s="74" t="str">
        <x:v>PATH</x:v>
      </x:c>
      <x:c r="D84" s="215" t="n">
        <x:v>78</x:v>
      </x:c>
      <x:c r="E84" s="74" t="str">
        <x:v>V1.0</x:v>
      </x:c>
      <x:c r="F84" s="68" t="str">
        <x:v>杀弱无根不足以驾强刃</x:v>
      </x:c>
      <x:c r="G84" s="82" t="str">
        <x:v>结构层</x:v>
      </x:c>
      <x:c r="H84" s="82" t="str">
        <x:v>制化型</x:v>
      </x:c>
      <x:c r="I84" s="68" t="str">
        <x:v>羊刃驾杀</x:v>
      </x:c>
      <x:c r="J84" s="68" t="str">
        <x:v>比劫、七杀</x:v>
      </x:c>
      <x:c r="K84" s="68" t="str">
        <x:v>强身比劫成势</x:v>
      </x:c>
      <x:c r="L84" s="68" t="str">
        <x:v>七杀弱或失效</x:v>
      </x:c>
      <x:c r="M84" s="68" t="str">
        <x:v>直接或可达的生克制化路径成立</x:v>
      </x:c>
      <x:c r="N84" s="68" t="str">
        <x:v>相关十神均以M10有效力量为准，且不存在决定性失衡</x:v>
      </x:c>
      <x:c r="O84" s="68" t="str">
        <x:v>结合M09日主承载判断</x:v>
      </x:c>
      <x:c r="P84" s="68" t="str">
        <x:v>主体、客体、作用路径与力量匹配均达到最低要求</x:v>
      </x:c>
      <x:c r="Q84" s="68" t="str">
        <x:v>相关十神有根、有源、透达、清纯且关键通路稳定</x:v>
      </x:c>
      <x:c r="R84" s="90" t="str">
        <x:v>关键十神被合绊、被制、改性、失效或力量严重失衡</x:v>
      </x:c>
      <x:c r="S84" s="68" t="str">
        <x:v>存在第三十神恢复通路、清除破坏或重新形成平衡</x:v>
      </x:c>
      <x:c r="T84" s="90" t="str">
        <x:v>任一核心十神失效，或不存在真实作用路径</x:v>
      </x:c>
      <x:c r="U84" s="68" t="str">
        <x:v>特殊格局、从化或月令格局另转M14/M15复审</x:v>
      </x:c>
      <x:c r="V84" s="84" t="str">
        <x:v>不成立</x:v>
      </x:c>
      <x:c r="W84" s="84" t="str">
        <x:v>杀不足以制强身</x:v>
      </x:c>
      <x:c r="X84" s="82" t="str">
        <x:v>否</x:v>
      </x:c>
      <x:c r="Y84" s="68" t="str">
        <x:v>对应格局候选转M14</x:v>
      </x:c>
      <x:c r="Z84" s="84" t="str">
        <x:v>羊刃驾杀_杀弱</x:v>
      </x:c>
      <x:c r="AA84" s="84" t="str">
        <x:v>羊刃驾杀：当主体、客体、路径与力量匹配满足最低标准时，判“不成立”；是否上升为格局转M14/M15。</x:v>
      </x:c>
      <x:c r="AB84" s="82" t="str">
        <x:v>较高</x:v>
      </x:c>
      <x:c r="AC84" s="82" t="str">
        <x:v>现代综合</x:v>
      </x:c>
      <x:c r="AD84" s="68" t="str">
        <x:v>十神同时出现不等于组合成立。M11须同时验证核心十神有效性、作用路径、力量匹配、日主承载、破坏因素与救应；组合成立也不等于格局成立。</x:v>
      </x:c>
      <x:c r="AE84" s="68" t="str">
        <x:v>强身比劫成势；七杀弱或失效；作用路径稳定且无关键破坏，可按“羊刃驾杀”记录。</x:v>
      </x:c>
      <x:c r="AF84" s="90" t="str">
        <x:v>仅因“比劫、七杀”同时出现，但核心十神无力、无作用路径或被关键因素破坏，不能判“羊刃驾杀”成立。</x:v>
      </x:c>
      <x:c r="AG84" s="68" t="str">
        <x:v>https://zh.wikisource.org/zh-hans/%E6%B7%B5%E6%B5%B7%E5%AD%90%E5%B9%B3 ; https://zh.wikisource.org/wiki/%E6%BB%B4%E5%A4%A9%E9%AB%93%E9%97%A1%E5%BE%AE</x:v>
      </x:c>
      <x:c r="AH84" s="82" t="str">
        <x:v>采用</x:v>
      </x:c>
      <x:c r="AI84" s="82" t="str">
        <x:v>初审</x:v>
      </x:c>
      <x:c r="AJ84" s="87" t="n">
        <x:v>46255</x:v>
      </x:c>
    </x:row>
    <x:row r="85">
      <x:c r="A85" s="72" t="str">
        <x:f>IF(OR(C85="",D85=""),"",B85&amp;"-"&amp;UPPER(C85)&amp;"-"&amp;TEXT(D85,"0000")&amp;"-"&amp;E85)</x:f>
        <x:v>M11-PATH-0079-V1.0</x:v>
      </x:c>
      <x:c r="B85" s="74" t="str">
        <x:v>M11</x:v>
      </x:c>
      <x:c r="C85" s="74" t="str">
        <x:v>PATH</x:v>
      </x:c>
      <x:c r="D85" s="215" t="n">
        <x:v>79</x:v>
      </x:c>
      <x:c r="E85" s="74" t="str">
        <x:v>V1.0</x:v>
      </x:c>
      <x:c r="F85" s="68" t="str">
        <x:v>印星承接官杀可形成通关化压力</x:v>
      </x:c>
      <x:c r="G85" s="82" t="str">
        <x:v>结构层</x:v>
      </x:c>
      <x:c r="H85" s="82" t="str">
        <x:v>制化型</x:v>
      </x:c>
      <x:c r="I85" s="68" t="str">
        <x:v>印化官杀</x:v>
      </x:c>
      <x:c r="J85" s="68" t="str">
        <x:v>印星、官杀</x:v>
      </x:c>
      <x:c r="K85" s="68" t="str">
        <x:v>官杀有效</x:v>
      </x:c>
      <x:c r="L85" s="68" t="str">
        <x:v>印星有效并能承接官杀、继续生身</x:v>
      </x:c>
      <x:c r="M85" s="68" t="str">
        <x:v>直接或可达的生克制化路径成立</x:v>
      </x:c>
      <x:c r="N85" s="68" t="str">
        <x:v>相关十神均以M10有效力量为准，且不存在决定性失衡</x:v>
      </x:c>
      <x:c r="O85" s="68" t="str">
        <x:v>结合M09日主承载判断</x:v>
      </x:c>
      <x:c r="P85" s="68" t="str">
        <x:v>官杀→印→身链路成立</x:v>
      </x:c>
      <x:c r="Q85" s="68" t="str">
        <x:v>相关十神有根、有源、透达、清纯且关键通路稳定</x:v>
      </x:c>
      <x:c r="R85" s="90" t="str">
        <x:v>关键十神被合绊、被制、改性、失效或力量严重失衡</x:v>
      </x:c>
      <x:c r="S85" s="68" t="str">
        <x:v>存在第三十神恢复通路、清除破坏或重新形成平衡</x:v>
      </x:c>
      <x:c r="T85" s="90" t="str">
        <x:v>任一核心十神失效，或不存在真实作用路径</x:v>
      </x:c>
      <x:c r="U85" s="68" t="str">
        <x:v>特殊格局、从化或月令格局另转M14/M15复审</x:v>
      </x:c>
      <x:c r="V85" s="84" t="str">
        <x:v>基本成立</x:v>
      </x:c>
      <x:c r="W85" s="84" t="str">
        <x:v>化解官杀直接制身</x:v>
      </x:c>
      <x:c r="X85" s="82" t="str">
        <x:v>条件性</x:v>
      </x:c>
      <x:c r="Y85" s="68" t="str">
        <x:v>官印/杀印候选</x:v>
      </x:c>
      <x:c r="Z85" s="84" t="str">
        <x:v>印化官杀_成立条件</x:v>
      </x:c>
      <x:c r="AA85" s="84" t="str">
        <x:v>印化官杀：当主体、客体、路径与力量匹配满足最低标准时，判“基本成立”；是否上升为格局转M14/M15。</x:v>
      </x:c>
      <x:c r="AB85" s="82" t="str">
        <x:v>较高</x:v>
      </x:c>
      <x:c r="AC85" s="82" t="str">
        <x:v>现代综合</x:v>
      </x:c>
      <x:c r="AD85" s="68" t="str">
        <x:v>十神同时出现不等于组合成立。M11须同时验证核心十神有效性、作用路径、力量匹配、日主承载、破坏因素与救应；组合成立也不等于格局成立。</x:v>
      </x:c>
      <x:c r="AE85" s="68" t="str">
        <x:v>官杀有效；印星有效并能承接官杀、继续生身；作用路径稳定且无关键破坏，可按“印化官杀”记录。</x:v>
      </x:c>
      <x:c r="AF85" s="90" t="str">
        <x:v>仅因“印星、官杀”同时出现，但核心十神无力、无作用路径或被关键因素破坏，不能判“印化官杀”成立。</x:v>
      </x:c>
      <x:c r="AG85" s="68" t="str">
        <x:v>https://zh.wikisource.org/zh-hans/%E6%B7%B5%E6%B5%B7%E5%AD%90%E5%B9%B3 ; https://zh.wikisource.org/wiki/%E6%BB%B4%E5%A4%A9%E9%AB%93%E9%97%A1%E5%BE%AE</x:v>
      </x:c>
      <x:c r="AH85" s="82" t="str">
        <x:v>采用</x:v>
      </x:c>
      <x:c r="AI85" s="82" t="str">
        <x:v>初审</x:v>
      </x:c>
      <x:c r="AJ85" s="87" t="n">
        <x:v>46255</x:v>
      </x:c>
    </x:row>
    <x:row r="86">
      <x:c r="A86" s="72" t="str">
        <x:f>IF(OR(C86="",D86=""),"",B86&amp;"-"&amp;UPPER(C86)&amp;"-"&amp;TEXT(D86,"0000")&amp;"-"&amp;E86)</x:f>
        <x:v>M11-PATH-0080-V1.0</x:v>
      </x:c>
      <x:c r="B86" s="74" t="str">
        <x:v>M11</x:v>
      </x:c>
      <x:c r="C86" s="74" t="str">
        <x:v>PATH</x:v>
      </x:c>
      <x:c r="D86" s="215" t="n">
        <x:v>80</x:v>
      </x:c>
      <x:c r="E86" s="74" t="str">
        <x:v>V1.0</x:v>
      </x:c>
      <x:c r="F86" s="68" t="str">
        <x:v>财坏印会破坏化官杀</x:v>
      </x:c>
      <x:c r="G86" s="82" t="str">
        <x:v>结构层</x:v>
      </x:c>
      <x:c r="H86" s="82" t="str">
        <x:v>制化型</x:v>
      </x:c>
      <x:c r="I86" s="68" t="str">
        <x:v>印化官杀</x:v>
      </x:c>
      <x:c r="J86" s="68" t="str">
        <x:v>印星、官杀</x:v>
      </x:c>
      <x:c r="K86" s="68" t="str">
        <x:v>印为唯一关键通关</x:v>
      </x:c>
      <x:c r="L86" s="68" t="str">
        <x:v>财星有效制印</x:v>
      </x:c>
      <x:c r="M86" s="68" t="str">
        <x:v>直接或可达的生克制化路径成立</x:v>
      </x:c>
      <x:c r="N86" s="68" t="str">
        <x:v>相关十神均以M10有效力量为准，且不存在决定性失衡</x:v>
      </x:c>
      <x:c r="O86" s="68" t="str">
        <x:v>结合M09日主承载判断</x:v>
      </x:c>
      <x:c r="P86" s="68" t="str">
        <x:v>主体、客体、作用路径与力量匹配均达到最低要求</x:v>
      </x:c>
      <x:c r="Q86" s="68" t="str">
        <x:v>相关十神有根、有源、透达、清纯且关键通路稳定</x:v>
      </x:c>
      <x:c r="R86" s="90" t="str">
        <x:v>印星被财制至无法承接官杀</x:v>
      </x:c>
      <x:c r="S86" s="68" t="str">
        <x:v>存在第三十神恢复通路、清除破坏或重新形成平衡</x:v>
      </x:c>
      <x:c r="T86" s="90" t="str">
        <x:v>任一核心十神失效，或不存在真实作用路径</x:v>
      </x:c>
      <x:c r="U86" s="68" t="str">
        <x:v>特殊格局、从化或月令格局另转M14/M15复审</x:v>
      </x:c>
      <x:c r="V86" s="84" t="str">
        <x:v>不成立</x:v>
      </x:c>
      <x:c r="W86" s="84" t="str">
        <x:v>形成局部生化、制化或承载结构</x:v>
      </x:c>
      <x:c r="X86" s="82" t="str">
        <x:v>否</x:v>
      </x:c>
      <x:c r="Y86" s="68" t="str">
        <x:v>对应格局候选转M14</x:v>
      </x:c>
      <x:c r="Z86" s="84" t="str">
        <x:v>印化官杀_财破</x:v>
      </x:c>
      <x:c r="AA86" s="84" t="str">
        <x:v>印化官杀：当主体、客体、路径与力量匹配满足最低标准时，判“不成立”；是否上升为格局转M14/M15。</x:v>
      </x:c>
      <x:c r="AB86" s="82" t="str">
        <x:v>较高</x:v>
      </x:c>
      <x:c r="AC86" s="82" t="str">
        <x:v>现代综合</x:v>
      </x:c>
      <x:c r="AD86" s="68" t="str">
        <x:v>十神同时出现不等于组合成立。M11须同时验证核心十神有效性、作用路径、力量匹配、日主承载、破坏因素与救应；组合成立也不等于格局成立。</x:v>
      </x:c>
      <x:c r="AE86" s="68" t="str">
        <x:v>印为唯一关键通关；财星有效制印；作用路径稳定且无关键破坏，可按“印化官杀”记录。</x:v>
      </x:c>
      <x:c r="AF86" s="90" t="str">
        <x:v>仅因“印星、官杀”同时出现，但核心十神无力、无作用路径或被关键因素破坏，不能判“印化官杀”成立。</x:v>
      </x:c>
      <x:c r="AG86" s="68" t="str">
        <x:v>https://zh.wikisource.org/zh-hans/%E6%B7%B5%E6%B5%B7%E5%AD%90%E5%B9%B3 ; https://zh.wikisource.org/wiki/%E6%BB%B4%E5%A4%A9%E9%AB%93%E9%97%A1%E5%BE%AE</x:v>
      </x:c>
      <x:c r="AH86" s="82" t="str">
        <x:v>采用</x:v>
      </x:c>
      <x:c r="AI86" s="82" t="str">
        <x:v>初审</x:v>
      </x:c>
      <x:c r="AJ86" s="87" t="n">
        <x:v>46255</x:v>
      </x:c>
    </x:row>
    <x:row r="87">
      <x:c r="A87" s="72" t="str">
        <x:f>IF(OR(C87="",D87=""),"",B87&amp;"-"&amp;UPPER(C87)&amp;"-"&amp;TEXT(D87,"0000")&amp;"-"&amp;E87)</x:f>
        <x:v>M11-PATH-0081-V1.0</x:v>
      </x:c>
      <x:c r="B87" s="74" t="str">
        <x:v>M11</x:v>
      </x:c>
      <x:c r="C87" s="74" t="str">
        <x:v>PATH</x:v>
      </x:c>
      <x:c r="D87" s="215" t="n">
        <x:v>81</x:v>
      </x:c>
      <x:c r="E87" s="74" t="str">
        <x:v>V1.0</x:v>
      </x:c>
      <x:c r="F87" s="68" t="str">
        <x:v>身旺食伤有效且输出顺畅时可形成泄秀</x:v>
      </x:c>
      <x:c r="G87" s="82" t="str">
        <x:v>结构层</x:v>
      </x:c>
      <x:c r="H87" s="82" t="str">
        <x:v>制化型</x:v>
      </x:c>
      <x:c r="I87" s="68" t="str">
        <x:v>食伤泄秀</x:v>
      </x:c>
      <x:c r="J87" s="68" t="str">
        <x:v>日主、食伤</x:v>
      </x:c>
      <x:c r="K87" s="68" t="str">
        <x:v>日主旺或极旺</x:v>
      </x:c>
      <x:c r="L87" s="68" t="str">
        <x:v>食伤有力且不被印星强制</x:v>
      </x:c>
      <x:c r="M87" s="68" t="str">
        <x:v>直接或可达的生克制化路径成立</x:v>
      </x:c>
      <x:c r="N87" s="68" t="str">
        <x:v>相关十神均以M10有效力量为准，且不存在决定性失衡</x:v>
      </x:c>
      <x:c r="O87" s="68" t="str">
        <x:v>结合M09日主承载判断</x:v>
      </x:c>
      <x:c r="P87" s="68" t="str">
        <x:v>有足够身源可泄、食伤能形成稳定输出</x:v>
      </x:c>
      <x:c r="Q87" s="68" t="str">
        <x:v>相关十神有根、有源、透达、清纯且关键通路稳定</x:v>
      </x:c>
      <x:c r="R87" s="90" t="str">
        <x:v>关键十神被合绊、被制、改性、失效或力量严重失衡</x:v>
      </x:c>
      <x:c r="S87" s="68" t="str">
        <x:v>存在第三十神恢复通路、清除破坏或重新形成平衡</x:v>
      </x:c>
      <x:c r="T87" s="90" t="str">
        <x:v>任一核心十神失效，或不存在真实作用路径</x:v>
      </x:c>
      <x:c r="U87" s="68" t="str">
        <x:v>特殊格局、从化或月令格局另转M14/M15复审</x:v>
      </x:c>
      <x:c r="V87" s="84" t="str">
        <x:v>基本成立</x:v>
      </x:c>
      <x:c r="W87" s="84" t="str">
        <x:v>泄旺身并导向财星或外部输出</x:v>
      </x:c>
      <x:c r="X87" s="82" t="str">
        <x:v>条件性</x:v>
      </x:c>
      <x:c r="Y87" s="68" t="str">
        <x:v>食伤泄秀候选</x:v>
      </x:c>
      <x:c r="Z87" s="84" t="str">
        <x:v>食伤泄秀_成立条件</x:v>
      </x:c>
      <x:c r="AA87" s="84" t="str">
        <x:v>食伤泄秀：当主体、客体、路径与力量匹配满足最低标准时，判“基本成立”；是否上升为格局转M14/M15。</x:v>
      </x:c>
      <x:c r="AB87" s="82" t="str">
        <x:v>较高</x:v>
      </x:c>
      <x:c r="AC87" s="82" t="str">
        <x:v>现代综合</x:v>
      </x:c>
      <x:c r="AD87" s="68" t="str">
        <x:v>十神同时出现不等于组合成立。M11须同时验证核心十神有效性、作用路径、力量匹配、日主承载、破坏因素与救应；组合成立也不等于格局成立。</x:v>
      </x:c>
      <x:c r="AE87" s="68" t="str">
        <x:v>日主旺或极旺；食伤有力且不被印星强制；作用路径稳定且无关键破坏，可按“食伤泄秀”记录。</x:v>
      </x:c>
      <x:c r="AF87" s="90" t="str">
        <x:v>仅因“日主、食伤”同时出现，但核心十神无力、无作用路径或被关键因素破坏，不能判“食伤泄秀”成立。</x:v>
      </x:c>
      <x:c r="AG87" s="68" t="str">
        <x:v>https://zh.wikisource.org/zh-hans/%E6%B7%B5%E6%B5%B7%E5%AD%90%E5%B9%B3 ; https://zh.wikisource.org/wiki/%E6%BB%B4%E5%A4%A9%E9%AB%93%E9%97%A1%E5%BE%AE</x:v>
      </x:c>
      <x:c r="AH87" s="82" t="str">
        <x:v>采用</x:v>
      </x:c>
      <x:c r="AI87" s="82" t="str">
        <x:v>初审</x:v>
      </x:c>
      <x:c r="AJ87" s="87" t="n">
        <x:v>46255</x:v>
      </x:c>
    </x:row>
    <x:row r="88">
      <x:c r="A88" s="72" t="str">
        <x:f>IF(OR(C88="",D88=""),"",B88&amp;"-"&amp;UPPER(C88)&amp;"-"&amp;TEXT(D88,"0000")&amp;"-"&amp;E88)</x:f>
        <x:v>M11-PATH-0082-V1.0</x:v>
      </x:c>
      <x:c r="B88" s="74" t="str">
        <x:v>M11</x:v>
      </x:c>
      <x:c r="C88" s="74" t="str">
        <x:v>PATH</x:v>
      </x:c>
      <x:c r="D88" s="215" t="n">
        <x:v>82</x:v>
      </x:c>
      <x:c r="E88" s="74" t="str">
        <x:v>V1.0</x:v>
      </x:c>
      <x:c r="F88" s="68" t="str">
        <x:v>身弱不具备稳定泄秀条件</x:v>
      </x:c>
      <x:c r="G88" s="82" t="str">
        <x:v>结构层</x:v>
      </x:c>
      <x:c r="H88" s="82" t="str">
        <x:v>制化型</x:v>
      </x:c>
      <x:c r="I88" s="68" t="str">
        <x:v>食伤泄秀</x:v>
      </x:c>
      <x:c r="J88" s="68" t="str">
        <x:v>日主、食伤</x:v>
      </x:c>
      <x:c r="K88" s="68" t="str">
        <x:v>日主弱或极弱</x:v>
      </x:c>
      <x:c r="L88" s="68" t="str">
        <x:v>食伤又旺</x:v>
      </x:c>
      <x:c r="M88" s="68" t="str">
        <x:v>直接或可达的生克制化路径成立</x:v>
      </x:c>
      <x:c r="N88" s="68" t="str">
        <x:v>相关十神均以M10有效力量为准，且不存在决定性失衡</x:v>
      </x:c>
      <x:c r="O88" s="68" t="str">
        <x:v>泄身会进一步削弱承载</x:v>
      </x:c>
      <x:c r="P88" s="68" t="str">
        <x:v>主体、客体、作用路径与力量匹配均达到最低要求</x:v>
      </x:c>
      <x:c r="Q88" s="68" t="str">
        <x:v>相关十神有根、有源、透达、清纯且关键通路稳定</x:v>
      </x:c>
      <x:c r="R88" s="90" t="str">
        <x:v>关键十神被合绊、被制、改性、失效或力量严重失衡</x:v>
      </x:c>
      <x:c r="S88" s="68" t="str">
        <x:v>存在第三十神恢复通路、清除破坏或重新形成平衡</x:v>
      </x:c>
      <x:c r="T88" s="90" t="str">
        <x:v>任一核心十神失效，或不存在真实作用路径</x:v>
      </x:c>
      <x:c r="U88" s="68" t="str">
        <x:v>特殊格局、从化或月令格局另转M14/M15复审</x:v>
      </x:c>
      <x:c r="V88" s="84" t="str">
        <x:v>不成立</x:v>
      </x:c>
      <x:c r="W88" s="84" t="str">
        <x:v>转为食伤过泄候选</x:v>
      </x:c>
      <x:c r="X88" s="82" t="str">
        <x:v>否</x:v>
      </x:c>
      <x:c r="Y88" s="68" t="str">
        <x:v>对应格局候选转M14</x:v>
      </x:c>
      <x:c r="Z88" s="84" t="str">
        <x:v>食伤泄秀_身弱否决</x:v>
      </x:c>
      <x:c r="AA88" s="84" t="str">
        <x:v>食伤泄秀：当主体、客体、路径与力量匹配满足最低标准时，判“不成立”；是否上升为格局转M14/M15。</x:v>
      </x:c>
      <x:c r="AB88" s="82" t="str">
        <x:v>较高</x:v>
      </x:c>
      <x:c r="AC88" s="82" t="str">
        <x:v>现代综合</x:v>
      </x:c>
      <x:c r="AD88" s="68" t="str">
        <x:v>十神同时出现不等于组合成立。M11须同时验证核心十神有效性、作用路径、力量匹配、日主承载、破坏因素与救应；组合成立也不等于格局成立。</x:v>
      </x:c>
      <x:c r="AE88" s="68" t="str">
        <x:v>日主弱或极弱；食伤又旺；作用路径稳定且无关键破坏，可按“食伤泄秀”记录。</x:v>
      </x:c>
      <x:c r="AF88" s="90" t="str">
        <x:v>仅因“日主、食伤”同时出现，但核心十神无力、无作用路径或被关键因素破坏，不能判“食伤泄秀”成立。</x:v>
      </x:c>
      <x:c r="AG88" s="68" t="str">
        <x:v>https://zh.wikisource.org/zh-hans/%E6%B7%B5%E6%B5%B7%E5%AD%90%E5%B9%B3 ; https://zh.wikisource.org/wiki/%E6%BB%B4%E5%A4%A9%E9%AB%93%E9%97%A1%E5%BE%AE</x:v>
      </x:c>
      <x:c r="AH88" s="82" t="str">
        <x:v>采用</x:v>
      </x:c>
      <x:c r="AI88" s="82" t="str">
        <x:v>初审</x:v>
      </x:c>
      <x:c r="AJ88" s="87" t="n">
        <x:v>46255</x:v>
      </x:c>
    </x:row>
    <x:row r="89">
      <x:c r="A89" s="72" t="str">
        <x:f>IF(OR(C89="",D89=""),"",B89&amp;"-"&amp;UPPER(C89)&amp;"-"&amp;TEXT(D89,"0000")&amp;"-"&amp;E89)</x:f>
        <x:v>M11-CONFLICT-0083-V1.0</x:v>
      </x:c>
      <x:c r="B89" s="74" t="str">
        <x:v>M11</x:v>
      </x:c>
      <x:c r="C89" s="74" t="str">
        <x:v>CONFLICT</x:v>
      </x:c>
      <x:c r="D89" s="215" t="n">
        <x:v>83</x:v>
      </x:c>
      <x:c r="E89" s="74" t="str">
        <x:v>V1.0</x:v>
      </x:c>
      <x:c r="F89" s="68" t="str">
        <x:v>伤官与正官均有效且形成直接克制才构成冲突</x:v>
      </x:c>
      <x:c r="G89" s="82" t="str">
        <x:v>结构层</x:v>
      </x:c>
      <x:c r="H89" s="82" t="str">
        <x:v>冲突病态型</x:v>
      </x:c>
      <x:c r="I89" s="68" t="str">
        <x:v>伤官见官</x:v>
      </x:c>
      <x:c r="J89" s="68" t="str">
        <x:v>伤官、正官</x:v>
      </x:c>
      <x:c r="K89" s="68" t="str">
        <x:v>伤官有效</x:v>
      </x:c>
      <x:c r="L89" s="68" t="str">
        <x:v>正官有效</x:v>
      </x:c>
      <x:c r="M89" s="68" t="str">
        <x:v>伤官可直接克官</x:v>
      </x:c>
      <x:c r="N89" s="68" t="str">
        <x:v>相关十神均以M10有效力量为准，且不存在决定性失衡</x:v>
      </x:c>
      <x:c r="O89" s="68" t="str">
        <x:v>结合M09日主承载判断</x:v>
      </x:c>
      <x:c r="P89" s="68" t="str">
        <x:v>伤官、正官、克制路径三者同时成立</x:v>
      </x:c>
      <x:c r="Q89" s="68" t="str">
        <x:v>相关十神有根、有源、透达、清纯且关键通路稳定</x:v>
      </x:c>
      <x:c r="R89" s="90" t="str">
        <x:v>关键十神被合绊、被制、改性、失效或力量严重失衡</x:v>
      </x:c>
      <x:c r="S89" s="68" t="str">
        <x:v>存在第三十神恢复通路、清除破坏或重新形成平衡</x:v>
      </x:c>
      <x:c r="T89" s="90" t="str">
        <x:v>任一核心十神失效，或不存在真实作用路径</x:v>
      </x:c>
      <x:c r="U89" s="68" t="str">
        <x:v>特殊格局、从化或月令格局另转M14/M15复审</x:v>
      </x:c>
      <x:c r="V89" s="84" t="str">
        <x:v>基本成立</x:v>
      </x:c>
      <x:c r="W89" s="84" t="str">
        <x:v>官星功能受损或冲突</x:v>
      </x:c>
      <x:c r="X89" s="82" t="str">
        <x:v>条件性</x:v>
      </x:c>
      <x:c r="Y89" s="68" t="str">
        <x:v>冲突结构转M16</x:v>
      </x:c>
      <x:c r="Z89" s="84" t="str">
        <x:v>伤官见官_成立条件</x:v>
      </x:c>
      <x:c r="AA89" s="84" t="str">
        <x:v>伤官见官：当主体、客体、路径与力量匹配满足最低标准时，判“基本成立”；是否上升为格局转M14/M15。</x:v>
      </x:c>
      <x:c r="AB89" s="82" t="str">
        <x:v>较高</x:v>
      </x:c>
      <x:c r="AC89" s="82" t="str">
        <x:v>现代综合</x:v>
      </x:c>
      <x:c r="AD89" s="68" t="str">
        <x:v>十神同时出现不等于组合成立。M11须同时验证核心十神有效性、作用路径、力量匹配、日主承载、破坏因素与救应；组合成立也不等于格局成立。</x:v>
      </x:c>
      <x:c r="AE89" s="68" t="str">
        <x:v>伤官有效；正官有效；作用路径稳定且无关键破坏，可按“伤官见官”记录。</x:v>
      </x:c>
      <x:c r="AF89" s="90" t="str">
        <x:v>仅因“伤官、正官”同时出现，但核心十神无力、无作用路径或被关键因素破坏，不能判“伤官见官”成立。</x:v>
      </x:c>
      <x:c r="AG89" s="68" t="str">
        <x:v>https://zh.wikisource.org/zh-hans/%E6%B7%B5%E6%B5%B7%E5%AD%90%E5%B9%B3 ; https://zh.wikisource.org/wiki/%E6%BB%B4%E5%A4%A9%E9%AB%93%E9%97%A1%E5%BE%AE</x:v>
      </x:c>
      <x:c r="AH89" s="82" t="str">
        <x:v>采用</x:v>
      </x:c>
      <x:c r="AI89" s="82" t="str">
        <x:v>初审</x:v>
      </x:c>
      <x:c r="AJ89" s="87" t="n">
        <x:v>46255</x:v>
      </x:c>
    </x:row>
    <x:row r="90">
      <x:c r="A90" s="72" t="str">
        <x:f>IF(OR(C90="",D90=""),"",B90&amp;"-"&amp;UPPER(C90)&amp;"-"&amp;TEXT(D90,"0000")&amp;"-"&amp;E90)</x:f>
        <x:v>M11-CONFLICT-0084-V1.0</x:v>
      </x:c>
      <x:c r="B90" s="74" t="str">
        <x:v>M11</x:v>
      </x:c>
      <x:c r="C90" s="74" t="str">
        <x:v>CONFLICT</x:v>
      </x:c>
      <x:c r="D90" s="215" t="n">
        <x:v>84</x:v>
      </x:c>
      <x:c r="E90" s="74" t="str">
        <x:v>V1.0</x:v>
      </x:c>
      <x:c r="F90" s="68" t="str">
        <x:v>印制伤官可降低伤官见官冲突</x:v>
      </x:c>
      <x:c r="G90" s="82" t="str">
        <x:v>结构层</x:v>
      </x:c>
      <x:c r="H90" s="82" t="str">
        <x:v>冲突病态型</x:v>
      </x:c>
      <x:c r="I90" s="68" t="str">
        <x:v>伤官见官</x:v>
      </x:c>
      <x:c r="J90" s="68" t="str">
        <x:v>伤官、正官、印星</x:v>
      </x:c>
      <x:c r="K90" s="68" t="str">
        <x:v>伤官克官已成立</x:v>
      </x:c>
      <x:c r="L90" s="68" t="str">
        <x:v>印星有效制伤</x:v>
      </x:c>
      <x:c r="M90" s="68" t="str">
        <x:v>直接或可达的生克制化路径成立</x:v>
      </x:c>
      <x:c r="N90" s="68" t="str">
        <x:v>相关十神均以M10有效力量为准，且不存在决定性失衡</x:v>
      </x:c>
      <x:c r="O90" s="68" t="str">
        <x:v>结合M09日主承载判断</x:v>
      </x:c>
      <x:c r="P90" s="68" t="str">
        <x:v>主体、客体、作用路径与力量匹配均达到最低要求</x:v>
      </x:c>
      <x:c r="Q90" s="68" t="str">
        <x:v>相关十神有根、有源、透达、清纯且关键通路稳定</x:v>
      </x:c>
      <x:c r="R90" s="90" t="str">
        <x:v>关键十神被合绊、被制、改性、失效或力量严重失衡</x:v>
      </x:c>
      <x:c r="S90" s="68" t="str">
        <x:v>印星制伤后官星功能恢复</x:v>
      </x:c>
      <x:c r="T90" s="90" t="str">
        <x:v>任一核心十神失效，或不存在真实作用路径</x:v>
      </x:c>
      <x:c r="U90" s="68" t="str">
        <x:v>特殊格局、从化或月令格局另转M14/M15复审</x:v>
      </x:c>
      <x:c r="V90" s="84" t="str">
        <x:v>弱成立</x:v>
      </x:c>
      <x:c r="W90" s="84" t="str">
        <x:v>冲突被部分化解</x:v>
      </x:c>
      <x:c r="X90" s="82" t="str">
        <x:v>条件性</x:v>
      </x:c>
      <x:c r="Y90" s="68" t="str">
        <x:v>对应格局候选转M14</x:v>
      </x:c>
      <x:c r="Z90" s="84" t="str">
        <x:v>伤官见官_印救</x:v>
      </x:c>
      <x:c r="AA90" s="84" t="str">
        <x:v>伤官见官：当主体、客体、路径与力量匹配满足最低标准时，判“弱成立”；是否上升为格局转M14/M15。</x:v>
      </x:c>
      <x:c r="AB90" s="82" t="str">
        <x:v>较高</x:v>
      </x:c>
      <x:c r="AC90" s="82" t="str">
        <x:v>现代综合</x:v>
      </x:c>
      <x:c r="AD90" s="68" t="str">
        <x:v>十神同时出现不等于组合成立。M11须同时验证核心十神有效性、作用路径、力量匹配、日主承载、破坏因素与救应；组合成立也不等于格局成立。</x:v>
      </x:c>
      <x:c r="AE90" s="68" t="str">
        <x:v>伤官克官已成立；印星有效制伤；作用路径稳定且无关键破坏，可按“伤官见官”记录。</x:v>
      </x:c>
      <x:c r="AF90" s="90" t="str">
        <x:v>仅因“伤官、正官、印星”同时出现，但核心十神无力、无作用路径或被关键因素破坏，不能判“伤官见官”成立。</x:v>
      </x:c>
      <x:c r="AG90" s="68" t="str">
        <x:v>https://zh.wikisource.org/zh-hans/%E6%B7%B5%E6%B5%B7%E5%AD%90%E5%B9%B3 ; https://zh.wikisource.org/wiki/%E6%BB%B4%E5%A4%A9%E9%AB%93%E9%97%A1%E5%BE%AE</x:v>
      </x:c>
      <x:c r="AH90" s="82" t="str">
        <x:v>采用</x:v>
      </x:c>
      <x:c r="AI90" s="82" t="str">
        <x:v>初审</x:v>
      </x:c>
      <x:c r="AJ90" s="87" t="n">
        <x:v>46255</x:v>
      </x:c>
    </x:row>
    <x:row r="91">
      <x:c r="A91" s="72" t="str">
        <x:f>IF(OR(C91="",D91=""),"",B91&amp;"-"&amp;UPPER(C91)&amp;"-"&amp;TEXT(D91,"0000")&amp;"-"&amp;E91)</x:f>
        <x:v>M11-CONFLICT-0085-V1.0</x:v>
      </x:c>
      <x:c r="B91" s="74" t="str">
        <x:v>M11</x:v>
      </x:c>
      <x:c r="C91" s="74" t="str">
        <x:v>CONFLICT</x:v>
      </x:c>
      <x:c r="D91" s="215" t="n">
        <x:v>85</x:v>
      </x:c>
      <x:c r="E91" s="74" t="str">
        <x:v>V1.0</x:v>
      </x:c>
      <x:c r="F91" s="68" t="str">
        <x:v>财通伤官生官路径可改变直接冲突</x:v>
      </x:c>
      <x:c r="G91" s="82" t="str">
        <x:v>结构层</x:v>
      </x:c>
      <x:c r="H91" s="82" t="str">
        <x:v>冲突病态型</x:v>
      </x:c>
      <x:c r="I91" s="68" t="str">
        <x:v>伤官见官</x:v>
      </x:c>
      <x:c r="J91" s="68" t="str">
        <x:v>伤官、正官、财星</x:v>
      </x:c>
      <x:c r="K91" s="68" t="str">
        <x:v>伤官可生财</x:v>
      </x:c>
      <x:c r="L91" s="68" t="str">
        <x:v>财星再生官且链路有效</x:v>
      </x:c>
      <x:c r="M91" s="68" t="str">
        <x:v>直接或可达的生克制化路径成立</x:v>
      </x:c>
      <x:c r="N91" s="68" t="str">
        <x:v>相关十神均以M10有效力量为准，且不存在决定性失衡</x:v>
      </x:c>
      <x:c r="O91" s="68" t="str">
        <x:v>结合M09日主承载判断</x:v>
      </x:c>
      <x:c r="P91" s="68" t="str">
        <x:v>主体、客体、作用路径与力量匹配均达到最低要求</x:v>
      </x:c>
      <x:c r="Q91" s="68" t="str">
        <x:v>相关十神有根、有源、透达、清纯且关键通路稳定</x:v>
      </x:c>
      <x:c r="R91" s="90" t="str">
        <x:v>关键十神被合绊、被制、改性、失效或力量严重失衡</x:v>
      </x:c>
      <x:c r="S91" s="68" t="str">
        <x:v>伤→财→官形成通关，直接克官强度下降</x:v>
      </x:c>
      <x:c r="T91" s="90" t="str">
        <x:v>任一核心十神失效，或不存在真实作用路径</x:v>
      </x:c>
      <x:c r="U91" s="68" t="str">
        <x:v>特殊格局、从化或月令格局另转M14/M15复审</x:v>
      </x:c>
      <x:c r="V91" s="84" t="str">
        <x:v>弱成立</x:v>
      </x:c>
      <x:c r="W91" s="84" t="str">
        <x:v>冲突转化为生化链</x:v>
      </x:c>
      <x:c r="X91" s="82" t="str">
        <x:v>条件性</x:v>
      </x:c>
      <x:c r="Y91" s="68" t="str">
        <x:v>对应格局候选转M14</x:v>
      </x:c>
      <x:c r="Z91" s="84" t="str">
        <x:v>伤官见官_财通关</x:v>
      </x:c>
      <x:c r="AA91" s="84" t="str">
        <x:v>伤官见官：当主体、客体、路径与力量匹配满足最低标准时，判“弱成立”；是否上升为格局转M14/M15。</x:v>
      </x:c>
      <x:c r="AB91" s="82" t="str">
        <x:v>较高</x:v>
      </x:c>
      <x:c r="AC91" s="82" t="str">
        <x:v>现代综合</x:v>
      </x:c>
      <x:c r="AD91" s="68" t="str">
        <x:v>十神同时出现不等于组合成立。M11须同时验证核心十神有效性、作用路径、力量匹配、日主承载、破坏因素与救应；组合成立也不等于格局成立。</x:v>
      </x:c>
      <x:c r="AE91" s="68" t="str">
        <x:v>伤官可生财；财星再生官且链路有效；作用路径稳定且无关键破坏，可按“伤官见官”记录。</x:v>
      </x:c>
      <x:c r="AF91" s="90" t="str">
        <x:v>仅因“伤官、正官、财星”同时出现，但核心十神无力、无作用路径或被关键因素破坏，不能判“伤官见官”成立。</x:v>
      </x:c>
      <x:c r="AG91" s="68" t="str">
        <x:v>https://zh.wikisource.org/zh-hans/%E6%B7%B5%E6%B5%B7%E5%AD%90%E5%B9%B3 ; https://zh.wikisource.org/wiki/%E6%BB%B4%E5%A4%A9%E9%AB%93%E9%97%A1%E5%BE%AE</x:v>
      </x:c>
      <x:c r="AH91" s="82" t="str">
        <x:v>采用</x:v>
      </x:c>
      <x:c r="AI91" s="82" t="str">
        <x:v>初审</x:v>
      </x:c>
      <x:c r="AJ91" s="87" t="n">
        <x:v>46255</x:v>
      </x:c>
    </x:row>
    <x:row r="92">
      <x:c r="A92" s="72" t="str">
        <x:f>IF(OR(C92="",D92=""),"",B92&amp;"-"&amp;UPPER(C92)&amp;"-"&amp;TEXT(D92,"0000")&amp;"-"&amp;E92)</x:f>
        <x:v>M11-CONFLICT-0086-V1.0</x:v>
      </x:c>
      <x:c r="B92" s="74" t="str">
        <x:v>M11</x:v>
      </x:c>
      <x:c r="C92" s="74" t="str">
        <x:v>CONFLICT</x:v>
      </x:c>
      <x:c r="D92" s="215" t="n">
        <x:v>86</x:v>
      </x:c>
      <x:c r="E92" s="74" t="str">
        <x:v>V1.0</x:v>
      </x:c>
      <x:c r="F92" s="68" t="str">
        <x:v>偏印必须真实克制关键食神才成立</x:v>
      </x:c>
      <x:c r="G92" s="82" t="str">
        <x:v>结构层</x:v>
      </x:c>
      <x:c r="H92" s="82" t="str">
        <x:v>冲突病态型</x:v>
      </x:c>
      <x:c r="I92" s="68" t="str">
        <x:v>枭神夺食</x:v>
      </x:c>
      <x:c r="J92" s="68" t="str">
        <x:v>偏印、食神</x:v>
      </x:c>
      <x:c r="K92" s="68" t="str">
        <x:v>偏印有效</x:v>
      </x:c>
      <x:c r="L92" s="68" t="str">
        <x:v>食神有效且承担关键输出或制杀功能</x:v>
      </x:c>
      <x:c r="M92" s="68" t="str">
        <x:v>偏印可直接克食神</x:v>
      </x:c>
      <x:c r="N92" s="68" t="str">
        <x:v>相关十神均以M10有效力量为准，且不存在决定性失衡</x:v>
      </x:c>
      <x:c r="O92" s="68" t="str">
        <x:v>结合M09日主承载判断</x:v>
      </x:c>
      <x:c r="P92" s="68" t="str">
        <x:v>枭有力、食有力、克制路径成立</x:v>
      </x:c>
      <x:c r="Q92" s="68" t="str">
        <x:v>相关十神有根、有源、透达、清纯且关键通路稳定</x:v>
      </x:c>
      <x:c r="R92" s="90" t="str">
        <x:v>关键十神被合绊、被制、改性、失效或力量严重失衡</x:v>
      </x:c>
      <x:c r="S92" s="68" t="str">
        <x:v>存在第三十神恢复通路、清除破坏或重新形成平衡</x:v>
      </x:c>
      <x:c r="T92" s="90" t="str">
        <x:v>任一核心十神失效，或不存在真实作用路径</x:v>
      </x:c>
      <x:c r="U92" s="68" t="str">
        <x:v>特殊格局、从化或月令格局另转M14/M15复审</x:v>
      </x:c>
      <x:c r="V92" s="84" t="str">
        <x:v>基本成立</x:v>
      </x:c>
      <x:c r="W92" s="84" t="str">
        <x:v>食神功能受损</x:v>
      </x:c>
      <x:c r="X92" s="82" t="str">
        <x:v>条件性</x:v>
      </x:c>
      <x:c r="Y92" s="68" t="str">
        <x:v>冲突结构转M16</x:v>
      </x:c>
      <x:c r="Z92" s="84" t="str">
        <x:v>枭神夺食_成立条件</x:v>
      </x:c>
      <x:c r="AA92" s="84" t="str">
        <x:v>枭神夺食：当主体、客体、路径与力量匹配满足最低标准时，判“基本成立”；是否上升为格局转M14/M15。</x:v>
      </x:c>
      <x:c r="AB92" s="82" t="str">
        <x:v>较高</x:v>
      </x:c>
      <x:c r="AC92" s="82" t="str">
        <x:v>现代综合</x:v>
      </x:c>
      <x:c r="AD92" s="68" t="str">
        <x:v>十神同时出现不等于组合成立。M11须同时验证核心十神有效性、作用路径、力量匹配、日主承载、破坏因素与救应；组合成立也不等于格局成立。</x:v>
      </x:c>
      <x:c r="AE92" s="68" t="str">
        <x:v>偏印有效；食神有效且承担关键输出或制杀功能；作用路径稳定且无关键破坏，可按“枭神夺食”记录。</x:v>
      </x:c>
      <x:c r="AF92" s="90" t="str">
        <x:v>仅因“偏印、食神”同时出现，但核心十神无力、无作用路径或被关键因素破坏，不能判“枭神夺食”成立。</x:v>
      </x:c>
      <x:c r="AG92" s="68" t="str">
        <x:v>https://zh.wikisource.org/zh-hans/%E6%B7%B5%E6%B5%B7%E5%AD%90%E5%B9%B3 ; https://zh.wikisource.org/wiki/%E6%BB%B4%E5%A4%A9%E9%AB%93%E9%97%A1%E5%BE%AE</x:v>
      </x:c>
      <x:c r="AH92" s="82" t="str">
        <x:v>采用</x:v>
      </x:c>
      <x:c r="AI92" s="82" t="str">
        <x:v>初审</x:v>
      </x:c>
      <x:c r="AJ92" s="87" t="n">
        <x:v>46255</x:v>
      </x:c>
    </x:row>
    <x:row r="93">
      <x:c r="A93" s="72" t="str">
        <x:f>IF(OR(C93="",D93=""),"",B93&amp;"-"&amp;UPPER(C93)&amp;"-"&amp;TEXT(D93,"0000")&amp;"-"&amp;E93)</x:f>
        <x:v>M11-CONFLICT-0087-V1.0</x:v>
      </x:c>
      <x:c r="B93" s="74" t="str">
        <x:v>M11</x:v>
      </x:c>
      <x:c r="C93" s="74" t="str">
        <x:v>CONFLICT</x:v>
      </x:c>
      <x:c r="D93" s="215" t="n">
        <x:v>87</x:v>
      </x:c>
      <x:c r="E93" s="74" t="str">
        <x:v>V1.0</x:v>
      </x:c>
      <x:c r="F93" s="68" t="str">
        <x:v>财制枭可救食</x:v>
      </x:c>
      <x:c r="G93" s="82" t="str">
        <x:v>结构层</x:v>
      </x:c>
      <x:c r="H93" s="82" t="str">
        <x:v>冲突病态型</x:v>
      </x:c>
      <x:c r="I93" s="68" t="str">
        <x:v>枭神夺食</x:v>
      </x:c>
      <x:c r="J93" s="68" t="str">
        <x:v>偏印、食神、财星</x:v>
      </x:c>
      <x:c r="K93" s="68" t="str">
        <x:v>偏印正在制食神</x:v>
      </x:c>
      <x:c r="L93" s="68" t="str">
        <x:v>财星有效制偏印</x:v>
      </x:c>
      <x:c r="M93" s="68" t="str">
        <x:v>直接或可达的生克制化路径成立</x:v>
      </x:c>
      <x:c r="N93" s="68" t="str">
        <x:v>相关十神均以M10有效力量为准，且不存在决定性失衡</x:v>
      </x:c>
      <x:c r="O93" s="68" t="str">
        <x:v>结合M09日主承载判断</x:v>
      </x:c>
      <x:c r="P93" s="68" t="str">
        <x:v>主体、客体、作用路径与力量匹配均达到最低要求</x:v>
      </x:c>
      <x:c r="Q93" s="68" t="str">
        <x:v>相关十神有根、有源、透达、清纯且关键通路稳定</x:v>
      </x:c>
      <x:c r="R93" s="90" t="str">
        <x:v>关键十神被合绊、被制、改性、失效或力量严重失衡</x:v>
      </x:c>
      <x:c r="S93" s="68" t="str">
        <x:v>财制枭并恢复食神功能</x:v>
      </x:c>
      <x:c r="T93" s="90" t="str">
        <x:v>任一核心十神失效，或不存在真实作用路径</x:v>
      </x:c>
      <x:c r="U93" s="68" t="str">
        <x:v>特殊格局、从化或月令格局另转M14/M15复审</x:v>
      </x:c>
      <x:c r="V93" s="84" t="str">
        <x:v>弱成立</x:v>
      </x:c>
      <x:c r="W93" s="84" t="str">
        <x:v>枭夺食被救</x:v>
      </x:c>
      <x:c r="X93" s="82" t="str">
        <x:v>条件性</x:v>
      </x:c>
      <x:c r="Y93" s="68" t="str">
        <x:v>对应格局候选转M14</x:v>
      </x:c>
      <x:c r="Z93" s="84" t="str">
        <x:v>枭神夺食_财救</x:v>
      </x:c>
      <x:c r="AA93" s="84" t="str">
        <x:v>枭神夺食：当主体、客体、路径与力量匹配满足最低标准时，判“弱成立”；是否上升为格局转M14/M15。</x:v>
      </x:c>
      <x:c r="AB93" s="82" t="str">
        <x:v>较高</x:v>
      </x:c>
      <x:c r="AC93" s="82" t="str">
        <x:v>现代综合</x:v>
      </x:c>
      <x:c r="AD93" s="68" t="str">
        <x:v>十神同时出现不等于组合成立。M11须同时验证核心十神有效性、作用路径、力量匹配、日主承载、破坏因素与救应；组合成立也不等于格局成立。</x:v>
      </x:c>
      <x:c r="AE93" s="68" t="str">
        <x:v>偏印正在制食神；财星有效制偏印；作用路径稳定且无关键破坏，可按“枭神夺食”记录。</x:v>
      </x:c>
      <x:c r="AF93" s="90" t="str">
        <x:v>仅因“偏印、食神、财星”同时出现，但核心十神无力、无作用路径或被关键因素破坏，不能判“枭神夺食”成立。</x:v>
      </x:c>
      <x:c r="AG93" s="68" t="str">
        <x:v>https://zh.wikisource.org/zh-hans/%E6%B7%B5%E6%B5%B7%E5%AD%90%E5%B9%B3 ; https://zh.wikisource.org/wiki/%E6%BB%B4%E5%A4%A9%E9%AB%93%E9%97%A1%E5%BE%AE</x:v>
      </x:c>
      <x:c r="AH93" s="82" t="str">
        <x:v>采用</x:v>
      </x:c>
      <x:c r="AI93" s="82" t="str">
        <x:v>初审</x:v>
      </x:c>
      <x:c r="AJ93" s="87" t="n">
        <x:v>46255</x:v>
      </x:c>
    </x:row>
    <x:row r="94">
      <x:c r="A94" s="72" t="str">
        <x:f>IF(OR(C94="",D94=""),"",B94&amp;"-"&amp;UPPER(C94)&amp;"-"&amp;TEXT(D94,"0000")&amp;"-"&amp;E94)</x:f>
        <x:v>M11-CONFLICT-0088-V1.0</x:v>
      </x:c>
      <x:c r="B94" s="74" t="str">
        <x:v>M11</x:v>
      </x:c>
      <x:c r="C94" s="74" t="str">
        <x:v>CONFLICT</x:v>
      </x:c>
      <x:c r="D94" s="215" t="n">
        <x:v>88</x:v>
      </x:c>
      <x:c r="E94" s="74" t="str">
        <x:v>V1.0</x:v>
      </x:c>
      <x:c r="F94" s="68" t="str">
        <x:v>比劫对财星形成实质强制才构成夺财结构</x:v>
      </x:c>
      <x:c r="G94" s="82" t="str">
        <x:v>结构层</x:v>
      </x:c>
      <x:c r="H94" s="82" t="str">
        <x:v>冲突病态型</x:v>
      </x:c>
      <x:c r="I94" s="68" t="str">
        <x:v>比劫夺财</x:v>
      </x:c>
      <x:c r="J94" s="68" t="str">
        <x:v>比劫、财星</x:v>
      </x:c>
      <x:c r="K94" s="68" t="str">
        <x:v>比劫有效且有克财能力</x:v>
      </x:c>
      <x:c r="L94" s="68" t="str">
        <x:v>财星有效并被比劫直接制约</x:v>
      </x:c>
      <x:c r="M94" s="68" t="str">
        <x:v>直接或可达的生克制化路径成立</x:v>
      </x:c>
      <x:c r="N94" s="68" t="str">
        <x:v>相关十神均以M10有效力量为准，且不存在决定性失衡</x:v>
      </x:c>
      <x:c r="O94" s="68" t="str">
        <x:v>结合M09日主承载判断</x:v>
      </x:c>
      <x:c r="P94" s="68" t="str">
        <x:v>比劫与财均有效、克制路径成立</x:v>
      </x:c>
      <x:c r="Q94" s="68" t="str">
        <x:v>相关十神有根、有源、透达、清纯且关键通路稳定</x:v>
      </x:c>
      <x:c r="R94" s="90" t="str">
        <x:v>关键十神被合绊、被制、改性、失效或力量严重失衡</x:v>
      </x:c>
      <x:c r="S94" s="68" t="str">
        <x:v>存在第三十神恢复通路、清除破坏或重新形成平衡</x:v>
      </x:c>
      <x:c r="T94" s="90" t="str">
        <x:v>任一核心十神失效，或不存在真实作用路径</x:v>
      </x:c>
      <x:c r="U94" s="68" t="str">
        <x:v>特殊格局、从化或月令格局另转M14/M15复审</x:v>
      </x:c>
      <x:c r="V94" s="84" t="str">
        <x:v>基本成立</x:v>
      </x:c>
      <x:c r="W94" s="84" t="str">
        <x:v>财星功能受损</x:v>
      </x:c>
      <x:c r="X94" s="82" t="str">
        <x:v>条件性</x:v>
      </x:c>
      <x:c r="Y94" s="68" t="str">
        <x:v>冲突结构转M16</x:v>
      </x:c>
      <x:c r="Z94" s="84" t="str">
        <x:v>比劫夺财_成立条件</x:v>
      </x:c>
      <x:c r="AA94" s="84" t="str">
        <x:v>比劫夺财：当主体、客体、路径与力量匹配满足最低标准时，判“基本成立”；是否上升为格局转M14/M15。</x:v>
      </x:c>
      <x:c r="AB94" s="82" t="str">
        <x:v>较高</x:v>
      </x:c>
      <x:c r="AC94" s="82" t="str">
        <x:v>现代综合</x:v>
      </x:c>
      <x:c r="AD94" s="68" t="str">
        <x:v>十神同时出现不等于组合成立。M11须同时验证核心十神有效性、作用路径、力量匹配、日主承载、破坏因素与救应；组合成立也不等于格局成立。</x:v>
      </x:c>
      <x:c r="AE94" s="68" t="str">
        <x:v>比劫有效且有克财能力；财星有效并被比劫直接制约；作用路径稳定且无关键破坏，可按“比劫夺财”记录。</x:v>
      </x:c>
      <x:c r="AF94" s="90" t="str">
        <x:v>仅因“比劫、财星”同时出现，但核心十神无力、无作用路径或被关键因素破坏，不能判“比劫夺财”成立。</x:v>
      </x:c>
      <x:c r="AG94" s="68" t="str">
        <x:v>https://zh.wikisource.org/zh-hans/%E6%B7%B5%E6%B5%B7%E5%AD%90%E5%B9%B3 ; https://zh.wikisource.org/wiki/%E6%BB%B4%E5%A4%A9%E9%AB%93%E9%97%A1%E5%BE%AE</x:v>
      </x:c>
      <x:c r="AH94" s="82" t="str">
        <x:v>采用</x:v>
      </x:c>
      <x:c r="AI94" s="82" t="str">
        <x:v>初审</x:v>
      </x:c>
      <x:c r="AJ94" s="87" t="n">
        <x:v>46255</x:v>
      </x:c>
    </x:row>
    <x:row r="95">
      <x:c r="A95" s="72" t="str">
        <x:f>IF(OR(C95="",D95=""),"",B95&amp;"-"&amp;UPPER(C95)&amp;"-"&amp;TEXT(D95,"0000")&amp;"-"&amp;E95)</x:f>
        <x:v>M11-CONFLICT-0089-V1.0</x:v>
      </x:c>
      <x:c r="B95" s="74" t="str">
        <x:v>M11</x:v>
      </x:c>
      <x:c r="C95" s="74" t="str">
        <x:v>CONFLICT</x:v>
      </x:c>
      <x:c r="D95" s="215" t="n">
        <x:v>89</x:v>
      </x:c>
      <x:c r="E95" s="74" t="str">
        <x:v>V1.0</x:v>
      </x:c>
      <x:c r="F95" s="68" t="str">
        <x:v>财星强制关键印星才构成财坏印</x:v>
      </x:c>
      <x:c r="G95" s="82" t="str">
        <x:v>结构层</x:v>
      </x:c>
      <x:c r="H95" s="82" t="str">
        <x:v>冲突病态型</x:v>
      </x:c>
      <x:c r="I95" s="68" t="str">
        <x:v>财坏印</x:v>
      </x:c>
      <x:c r="J95" s="68" t="str">
        <x:v>财星、印星</x:v>
      </x:c>
      <x:c r="K95" s="68" t="str">
        <x:v>财星有效</x:v>
      </x:c>
      <x:c r="L95" s="68" t="str">
        <x:v>印星有效且承担生身、化杀或配印关键功能</x:v>
      </x:c>
      <x:c r="M95" s="68" t="str">
        <x:v>直接或可达的生克制化路径成立</x:v>
      </x:c>
      <x:c r="N95" s="68" t="str">
        <x:v>相关十神均以M10有效力量为准，且不存在决定性失衡</x:v>
      </x:c>
      <x:c r="O95" s="68" t="str">
        <x:v>结合M09日主承载判断</x:v>
      </x:c>
      <x:c r="P95" s="68" t="str">
        <x:v>财克印路径成立且印功能明显下降</x:v>
      </x:c>
      <x:c r="Q95" s="68" t="str">
        <x:v>相关十神有根、有源、透达、清纯且关键通路稳定</x:v>
      </x:c>
      <x:c r="R95" s="90" t="str">
        <x:v>关键十神被合绊、被制、改性、失效或力量严重失衡</x:v>
      </x:c>
      <x:c r="S95" s="68" t="str">
        <x:v>存在第三十神恢复通路、清除破坏或重新形成平衡</x:v>
      </x:c>
      <x:c r="T95" s="90" t="str">
        <x:v>任一核心十神失效，或不存在真实作用路径</x:v>
      </x:c>
      <x:c r="U95" s="68" t="str">
        <x:v>特殊格局、从化或月令格局另转M14/M15复审</x:v>
      </x:c>
      <x:c r="V95" s="84" t="str">
        <x:v>基本成立</x:v>
      </x:c>
      <x:c r="W95" s="84" t="str">
        <x:v>关键印星功能受损</x:v>
      </x:c>
      <x:c r="X95" s="82" t="str">
        <x:v>条件性</x:v>
      </x:c>
      <x:c r="Y95" s="68" t="str">
        <x:v>冲突结构转M16</x:v>
      </x:c>
      <x:c r="Z95" s="84" t="str">
        <x:v>财坏印_成立条件</x:v>
      </x:c>
      <x:c r="AA95" s="84" t="str">
        <x:v>财坏印：当主体、客体、路径与力量匹配满足最低标准时，判“基本成立”；是否上升为格局转M14/M15。</x:v>
      </x:c>
      <x:c r="AB95" s="82" t="str">
        <x:v>较高</x:v>
      </x:c>
      <x:c r="AC95" s="82" t="str">
        <x:v>现代综合</x:v>
      </x:c>
      <x:c r="AD95" s="68" t="str">
        <x:v>十神同时出现不等于组合成立。M11须同时验证核心十神有效性、作用路径、力量匹配、日主承载、破坏因素与救应；组合成立也不等于格局成立。</x:v>
      </x:c>
      <x:c r="AE95" s="68" t="str">
        <x:v>财星有效；印星有效且承担生身、化杀或配印关键功能；作用路径稳定且无关键破坏，可按“财坏印”记录。</x:v>
      </x:c>
      <x:c r="AF95" s="90" t="str">
        <x:v>仅因“财星、印星”同时出现，但核心十神无力、无作用路径或被关键因素破坏，不能判“财坏印”成立。</x:v>
      </x:c>
      <x:c r="AG95" s="68" t="str">
        <x:v>https://zh.wikisource.org/zh-hans/%E6%B7%B5%E6%B5%B7%E5%AD%90%E5%B9%B3 ; https://zh.wikisource.org/wiki/%E6%BB%B4%E5%A4%A9%E9%AB%93%E9%97%A1%E5%BE%AE</x:v>
      </x:c>
      <x:c r="AH95" s="82" t="str">
        <x:v>采用</x:v>
      </x:c>
      <x:c r="AI95" s="82" t="str">
        <x:v>初审</x:v>
      </x:c>
      <x:c r="AJ95" s="87" t="n">
        <x:v>46255</x:v>
      </x:c>
    </x:row>
    <x:row r="96">
      <x:c r="A96" s="72" t="str">
        <x:f>IF(OR(C96="",D96=""),"",B96&amp;"-"&amp;UPPER(C96)&amp;"-"&amp;TEXT(D96,"0000")&amp;"-"&amp;E96)</x:f>
        <x:v>M11-CONFLICT-0090-V1.0</x:v>
      </x:c>
      <x:c r="B96" s="74" t="str">
        <x:v>M11</x:v>
      </x:c>
      <x:c r="C96" s="74" t="str">
        <x:v>CONFLICT</x:v>
      </x:c>
      <x:c r="D96" s="215" t="n">
        <x:v>90</x:v>
      </x:c>
      <x:c r="E96" s="74" t="str">
        <x:v>V1.0</x:v>
      </x:c>
      <x:c r="F96" s="68" t="str">
        <x:v>官杀同时有效且主从不清才判混杂</x:v>
      </x:c>
      <x:c r="G96" s="82" t="str">
        <x:v>结构层</x:v>
      </x:c>
      <x:c r="H96" s="82" t="str">
        <x:v>冲突病态型</x:v>
      </x:c>
      <x:c r="I96" s="68" t="str">
        <x:v>官杀混杂</x:v>
      </x:c>
      <x:c r="J96" s="68" t="str">
        <x:v>正官、七杀</x:v>
      </x:c>
      <x:c r="K96" s="68" t="str">
        <x:v>正官有效</x:v>
      </x:c>
      <x:c r="L96" s="68" t="str">
        <x:v>七杀有效</x:v>
      </x:c>
      <x:c r="M96" s="68" t="str">
        <x:v>直接或可达的生克制化路径成立</x:v>
      </x:c>
      <x:c r="N96" s="68" t="str">
        <x:v>官杀均有根有力且不存在明显主从</x:v>
      </x:c>
      <x:c r="O96" s="68" t="str">
        <x:v>结合M09日主承载判断</x:v>
      </x:c>
      <x:c r="P96" s="68" t="str">
        <x:v>官杀双有效、双参与制身且主从不明</x:v>
      </x:c>
      <x:c r="Q96" s="68" t="str">
        <x:v>相关十神有根、有源、透达、清纯且关键通路稳定</x:v>
      </x:c>
      <x:c r="R96" s="90" t="str">
        <x:v>关键十神被合绊、被制、改性、失效或力量严重失衡</x:v>
      </x:c>
      <x:c r="S96" s="68" t="str">
        <x:v>存在第三十神恢复通路、清除破坏或重新形成平衡</x:v>
      </x:c>
      <x:c r="T96" s="90" t="str">
        <x:v>任一核心十神失效，或不存在真实作用路径</x:v>
      </x:c>
      <x:c r="U96" s="68" t="str">
        <x:v>特殊格局、从化或月令格局另转M14/M15复审</x:v>
      </x:c>
      <x:c r="V96" s="84" t="str">
        <x:v>基本成立</x:v>
      </x:c>
      <x:c r="W96" s="84" t="str">
        <x:v>制身路径复杂、清纯度下降</x:v>
      </x:c>
      <x:c r="X96" s="82" t="str">
        <x:v>条件性</x:v>
      </x:c>
      <x:c r="Y96" s="68" t="str">
        <x:v>官杀混杂候选</x:v>
      </x:c>
      <x:c r="Z96" s="84" t="str">
        <x:v>官杀混杂_成立条件</x:v>
      </x:c>
      <x:c r="AA96" s="84" t="str">
        <x:v>官杀混杂：当主体、客体、路径与力量匹配满足最低标准时，判“基本成立”；是否上升为格局转M14/M15。</x:v>
      </x:c>
      <x:c r="AB96" s="82" t="str">
        <x:v>较高</x:v>
      </x:c>
      <x:c r="AC96" s="82" t="str">
        <x:v>现代综合</x:v>
      </x:c>
      <x:c r="AD96" s="68" t="str">
        <x:v>十神同时出现不等于组合成立。M11须同时验证核心十神有效性、作用路径、力量匹配、日主承载、破坏因素与救应；组合成立也不等于格局成立。</x:v>
      </x:c>
      <x:c r="AE96" s="68" t="str">
        <x:v>正官有效；七杀有效；作用路径稳定且无关键破坏，可按“官杀混杂”记录。</x:v>
      </x:c>
      <x:c r="AF96" s="90" t="str">
        <x:v>仅因“正官、七杀”同时出现，但核心十神无力、无作用路径或被关键因素破坏，不能判“官杀混杂”成立。</x:v>
      </x:c>
      <x:c r="AG96" s="68" t="str">
        <x:v>https://zh.wikisource.org/zh-hans/%E6%B7%B5%E6%B5%B7%E5%AD%90%E5%B9%B3 ; https://zh.wikisource.org/wiki/%E6%BB%B4%E5%A4%A9%E9%AB%93%E9%97%A1%E5%BE%AE</x:v>
      </x:c>
      <x:c r="AH96" s="82" t="str">
        <x:v>采用</x:v>
      </x:c>
      <x:c r="AI96" s="82" t="str">
        <x:v>初审</x:v>
      </x:c>
      <x:c r="AJ96" s="87" t="n">
        <x:v>46255</x:v>
      </x:c>
    </x:row>
    <x:row r="97">
      <x:c r="A97" s="72" t="str">
        <x:f>IF(OR(C97="",D97=""),"",B97&amp;"-"&amp;UPPER(C97)&amp;"-"&amp;TEXT(D97,"0000")&amp;"-"&amp;E97)</x:f>
        <x:v>M11-CONFLICT-0091-V1.0</x:v>
      </x:c>
      <x:c r="B97" s="74" t="str">
        <x:v>M11</x:v>
      </x:c>
      <x:c r="C97" s="74" t="str">
        <x:v>CONFLICT</x:v>
      </x:c>
      <x:c r="D97" s="215" t="n">
        <x:v>91</x:v>
      </x:c>
      <x:c r="E97" s="74" t="str">
        <x:v>V1.0</x:v>
      </x:c>
      <x:c r="F97" s="68" t="str">
        <x:v>一方弱而从强方时可不按严重混杂</x:v>
      </x:c>
      <x:c r="G97" s="82" t="str">
        <x:v>结构层</x:v>
      </x:c>
      <x:c r="H97" s="82" t="str">
        <x:v>冲突病态型</x:v>
      </x:c>
      <x:c r="I97" s="68" t="str">
        <x:v>官杀混杂</x:v>
      </x:c>
      <x:c r="J97" s="68" t="str">
        <x:v>正官、七杀</x:v>
      </x:c>
      <x:c r="K97" s="68" t="str">
        <x:v>官杀并见</x:v>
      </x:c>
      <x:c r="L97" s="68" t="str">
        <x:v>其中一方明显弱、无根或失效</x:v>
      </x:c>
      <x:c r="M97" s="68" t="str">
        <x:v>直接或可达的生克制化路径成立</x:v>
      </x:c>
      <x:c r="N97" s="68" t="str">
        <x:v>主从关系清晰</x:v>
      </x:c>
      <x:c r="O97" s="68" t="str">
        <x:v>结合M09日主承载判断</x:v>
      </x:c>
      <x:c r="P97" s="68" t="str">
        <x:v>主体、客体、作用路径与力量匹配均达到最低要求</x:v>
      </x:c>
      <x:c r="Q97" s="68" t="str">
        <x:v>相关十神有根、有源、透达、清纯且关键通路稳定</x:v>
      </x:c>
      <x:c r="R97" s="90" t="str">
        <x:v>关键十神被合绊、被制、改性、失效或力量严重失衡</x:v>
      </x:c>
      <x:c r="S97" s="68" t="str">
        <x:v>存在第三十神恢复通路、清除破坏或重新形成平衡</x:v>
      </x:c>
      <x:c r="T97" s="90" t="str">
        <x:v>任一核心十神失效，或不存在真实作用路径</x:v>
      </x:c>
      <x:c r="U97" s="68" t="str">
        <x:v>特殊格局、从化或月令格局另转M14/M15复审</x:v>
      </x:c>
      <x:c r="V97" s="84" t="str">
        <x:v>弱成立</x:v>
      </x:c>
      <x:c r="W97" s="84" t="str">
        <x:v>保留有杂但降低混杂等级</x:v>
      </x:c>
      <x:c r="X97" s="82" t="str">
        <x:v>否</x:v>
      </x:c>
      <x:c r="Y97" s="68" t="str">
        <x:v>对应格局候选转M14</x:v>
      </x:c>
      <x:c r="Z97" s="84" t="str">
        <x:v>官杀混杂_主从清晰</x:v>
      </x:c>
      <x:c r="AA97" s="84" t="str">
        <x:v>官杀混杂：当主体、客体、路径与力量匹配满足最低标准时，判“弱成立”；是否上升为格局转M14/M15。</x:v>
      </x:c>
      <x:c r="AB97" s="82" t="str">
        <x:v>较高</x:v>
      </x:c>
      <x:c r="AC97" s="82" t="str">
        <x:v>现代综合</x:v>
      </x:c>
      <x:c r="AD97" s="68" t="str">
        <x:v>十神同时出现不等于组合成立。M11须同时验证核心十神有效性、作用路径、力量匹配、日主承载、破坏因素与救应；组合成立也不等于格局成立。</x:v>
      </x:c>
      <x:c r="AE97" s="68" t="str">
        <x:v>官杀并见；其中一方明显弱、无根或失效；作用路径稳定且无关键破坏，可按“官杀混杂”记录。</x:v>
      </x:c>
      <x:c r="AF97" s="90" t="str">
        <x:v>仅因“正官、七杀”同时出现，但核心十神无力、无作用路径或被关键因素破坏，不能判“官杀混杂”成立。</x:v>
      </x:c>
      <x:c r="AG97" s="68" t="str">
        <x:v>https://zh.wikisource.org/zh-hans/%E6%B7%B5%E6%B5%B7%E5%AD%90%E5%B9%B3 ; https://zh.wikisource.org/wiki/%E6%BB%B4%E5%A4%A9%E9%AB%93%E9%97%A1%E5%BE%AE</x:v>
      </x:c>
      <x:c r="AH97" s="82" t="str">
        <x:v>采用</x:v>
      </x:c>
      <x:c r="AI97" s="82" t="str">
        <x:v>初审</x:v>
      </x:c>
      <x:c r="AJ97" s="87" t="n">
        <x:v>46255</x:v>
      </x:c>
    </x:row>
    <x:row r="98">
      <x:c r="A98" s="72" t="str">
        <x:f>IF(OR(C98="",D98=""),"",B98&amp;"-"&amp;UPPER(C98)&amp;"-"&amp;TEXT(D98,"0000")&amp;"-"&amp;E98)</x:f>
        <x:v>M11-CONFLICT-0092-V1.0</x:v>
      </x:c>
      <x:c r="B98" s="74" t="str">
        <x:v>M11</x:v>
      </x:c>
      <x:c r="C98" s="74" t="str">
        <x:v>CONFLICT</x:v>
      </x:c>
      <x:c r="D98" s="215" t="n">
        <x:v>92</x:v>
      </x:c>
      <x:c r="E98" s="74" t="str">
        <x:v>V1.0</x:v>
      </x:c>
      <x:c r="F98" s="68" t="str">
        <x:v>合去或制去一方可形成清化</x:v>
      </x:c>
      <x:c r="G98" s="82" t="str">
        <x:v>结构层</x:v>
      </x:c>
      <x:c r="H98" s="82" t="str">
        <x:v>冲突病态型</x:v>
      </x:c>
      <x:c r="I98" s="68" t="str">
        <x:v>官杀混杂</x:v>
      </x:c>
      <x:c r="J98" s="68" t="str">
        <x:v>正官、七杀、合制因素</x:v>
      </x:c>
      <x:c r="K98" s="68" t="str">
        <x:v>官杀并见</x:v>
      </x:c>
      <x:c r="L98" s="68" t="str">
        <x:v>其中一方被有效合住、制去或改性</x:v>
      </x:c>
      <x:c r="M98" s="68" t="str">
        <x:v>直接或可达的生克制化路径成立</x:v>
      </x:c>
      <x:c r="N98" s="68" t="str">
        <x:v>相关十神均以M10有效力量为准，且不存在决定性失衡</x:v>
      </x:c>
      <x:c r="O98" s="68" t="str">
        <x:v>结合M09日主承载判断</x:v>
      </x:c>
      <x:c r="P98" s="68" t="str">
        <x:v>主体、客体、作用路径与力量匹配均达到最低要求</x:v>
      </x:c>
      <x:c r="Q98" s="68" t="str">
        <x:v>相关十神有根、有源、透达、清纯且关键通路稳定</x:v>
      </x:c>
      <x:c r="R98" s="90" t="str">
        <x:v>关键十神被合绊、被制、改性、失效或力量严重失衡</x:v>
      </x:c>
      <x:c r="S98" s="68" t="str">
        <x:v>去官留杀或去杀留官后主导性清晰</x:v>
      </x:c>
      <x:c r="T98" s="90" t="str">
        <x:v>任一核心十神失效，或不存在真实作用路径</x:v>
      </x:c>
      <x:c r="U98" s="68" t="str">
        <x:v>特殊格局、从化或月令格局另转M14/M15复审</x:v>
      </x:c>
      <x:c r="V98" s="84" t="str">
        <x:v>弱成立</x:v>
      </x:c>
      <x:c r="W98" s="84" t="str">
        <x:v>官杀混杂被清化</x:v>
      </x:c>
      <x:c r="X98" s="82" t="str">
        <x:v>条件性</x:v>
      </x:c>
      <x:c r="Y98" s="68" t="str">
        <x:v>对应格局候选转M14</x:v>
      </x:c>
      <x:c r="Z98" s="84" t="str">
        <x:v>官杀混杂_清化</x:v>
      </x:c>
      <x:c r="AA98" s="84" t="str">
        <x:v>官杀混杂：当主体、客体、路径与力量匹配满足最低标准时，判“弱成立”；是否上升为格局转M14/M15。</x:v>
      </x:c>
      <x:c r="AB98" s="82" t="str">
        <x:v>较高</x:v>
      </x:c>
      <x:c r="AC98" s="82" t="str">
        <x:v>现代综合</x:v>
      </x:c>
      <x:c r="AD98" s="68" t="str">
        <x:v>十神同时出现不等于组合成立。M11须同时验证核心十神有效性、作用路径、力量匹配、日主承载、破坏因素与救应；组合成立也不等于格局成立。</x:v>
      </x:c>
      <x:c r="AE98" s="68" t="str">
        <x:v>官杀并见；其中一方被有效合住、制去或改性；作用路径稳定且无关键破坏，可按“官杀混杂”记录。</x:v>
      </x:c>
      <x:c r="AF98" s="90" t="str">
        <x:v>仅因“正官、七杀、合制因素”同时出现，但核心十神无力、无作用路径或被关键因素破坏，不能判“官杀混杂”成立。</x:v>
      </x:c>
      <x:c r="AG98" s="68" t="str">
        <x:v>https://zh.wikisource.org/zh-hans/%E6%B7%B5%E6%B5%B7%E5%AD%90%E5%B9%B3 ; https://zh.wikisource.org/wiki/%E6%BB%B4%E5%A4%A9%E9%AB%93%E9%97%A1%E5%BE%AE</x:v>
      </x:c>
      <x:c r="AH98" s="82" t="str">
        <x:v>采用</x:v>
      </x:c>
      <x:c r="AI98" s="82" t="str">
        <x:v>初审</x:v>
      </x:c>
      <x:c r="AJ98" s="87" t="n">
        <x:v>46255</x:v>
      </x:c>
    </x:row>
    <x:row r="99">
      <x:c r="A99" s="72" t="str">
        <x:f>IF(OR(C99="",D99=""),"",B99&amp;"-"&amp;UPPER(C99)&amp;"-"&amp;TEXT(D99,"0000")&amp;"-"&amp;E99)</x:f>
        <x:v>M11-CONFLICT-0093-V1.0</x:v>
      </x:c>
      <x:c r="B99" s="74" t="str">
        <x:v>M11</x:v>
      </x:c>
      <x:c r="C99" s="74" t="str">
        <x:v>CONFLICT</x:v>
      </x:c>
      <x:c r="D99" s="215" t="n">
        <x:v>93</x:v>
      </x:c>
      <x:c r="E99" s="74" t="str">
        <x:v>V1.0</x:v>
      </x:c>
      <x:c r="F99" s="68" t="str">
        <x:v>食伤均有效且主从不清才判明显混杂</x:v>
      </x:c>
      <x:c r="G99" s="82" t="str">
        <x:v>结构层</x:v>
      </x:c>
      <x:c r="H99" s="82" t="str">
        <x:v>冲突病态型</x:v>
      </x:c>
      <x:c r="I99" s="68" t="str">
        <x:v>食伤混杂</x:v>
      </x:c>
      <x:c r="J99" s="68" t="str">
        <x:v>食神、伤官</x:v>
      </x:c>
      <x:c r="K99" s="68" t="str">
        <x:v>食神有效</x:v>
      </x:c>
      <x:c r="L99" s="68" t="str">
        <x:v>伤官有效</x:v>
      </x:c>
      <x:c r="M99" s="68" t="str">
        <x:v>直接或可达的生克制化路径成立</x:v>
      </x:c>
      <x:c r="N99" s="68" t="str">
        <x:v>两者均达到可主导输出的水平</x:v>
      </x:c>
      <x:c r="O99" s="68" t="str">
        <x:v>结合M09日主承载判断</x:v>
      </x:c>
      <x:c r="P99" s="68" t="str">
        <x:v>主体、客体、作用路径与力量匹配均达到最低要求</x:v>
      </x:c>
      <x:c r="Q99" s="68" t="str">
        <x:v>相关十神有根、有源、透达、清纯且关键通路稳定</x:v>
      </x:c>
      <x:c r="R99" s="90" t="str">
        <x:v>关键十神被合绊、被制、改性、失效或力量严重失衡</x:v>
      </x:c>
      <x:c r="S99" s="68" t="str">
        <x:v>存在第三十神恢复通路、清除破坏或重新形成平衡</x:v>
      </x:c>
      <x:c r="T99" s="90" t="str">
        <x:v>任一核心十神失效，或不存在真实作用路径</x:v>
      </x:c>
      <x:c r="U99" s="68" t="str">
        <x:v>特殊格局、从化或月令格局另转M14/M15复审</x:v>
      </x:c>
      <x:c r="V99" s="84" t="str">
        <x:v>基本成立</x:v>
      </x:c>
      <x:c r="W99" s="84" t="str">
        <x:v>输出模式混杂、功能方向不一</x:v>
      </x:c>
      <x:c r="X99" s="82" t="str">
        <x:v>条件性</x:v>
      </x:c>
      <x:c r="Y99" s="68" t="str">
        <x:v>对应格局候选转M14</x:v>
      </x:c>
      <x:c r="Z99" s="84" t="str">
        <x:v>食伤混杂_成立</x:v>
      </x:c>
      <x:c r="AA99" s="84" t="str">
        <x:v>食伤混杂：当主体、客体、路径与力量匹配满足最低标准时，判“基本成立”；是否上升为格局转M14/M15。</x:v>
      </x:c>
      <x:c r="AB99" s="82" t="str">
        <x:v>较高</x:v>
      </x:c>
      <x:c r="AC99" s="82" t="str">
        <x:v>现代综合</x:v>
      </x:c>
      <x:c r="AD99" s="68" t="str">
        <x:v>十神同时出现不等于组合成立。M11须同时验证核心十神有效性、作用路径、力量匹配、日主承载、破坏因素与救应；组合成立也不等于格局成立。</x:v>
      </x:c>
      <x:c r="AE99" s="68" t="str">
        <x:v>食神有效；伤官有效；作用路径稳定且无关键破坏，可按“食伤混杂”记录。</x:v>
      </x:c>
      <x:c r="AF99" s="90" t="str">
        <x:v>仅因“食神、伤官”同时出现，但核心十神无力、无作用路径或被关键因素破坏，不能判“食伤混杂”成立。</x:v>
      </x:c>
      <x:c r="AG99" s="68" t="str">
        <x:v>https://zh.wikisource.org/zh-hans/%E6%B7%B5%E6%B5%B7%E5%AD%90%E5%B9%B3 ; https://zh.wikisource.org/wiki/%E6%BB%B4%E5%A4%A9%E9%AB%93%E9%97%A1%E5%BE%AE</x:v>
      </x:c>
      <x:c r="AH99" s="82" t="str">
        <x:v>采用</x:v>
      </x:c>
      <x:c r="AI99" s="82" t="str">
        <x:v>初审</x:v>
      </x:c>
      <x:c r="AJ99" s="87" t="n">
        <x:v>46255</x:v>
      </x:c>
    </x:row>
    <x:row r="100">
      <x:c r="A100" s="72" t="str">
        <x:f>IF(OR(C100="",D100=""),"",B100&amp;"-"&amp;UPPER(C100)&amp;"-"&amp;TEXT(D100,"0000")&amp;"-"&amp;E100)</x:f>
        <x:v>M11-CONFLICT-0094-V1.0</x:v>
      </x:c>
      <x:c r="B100" s="74" t="str">
        <x:v>M11</x:v>
      </x:c>
      <x:c r="C100" s="74" t="str">
        <x:v>CONFLICT</x:v>
      </x:c>
      <x:c r="D100" s="215" t="n">
        <x:v>94</x:v>
      </x:c>
      <x:c r="E100" s="74" t="str">
        <x:v>V1.0</x:v>
      </x:c>
      <x:c r="F100" s="68" t="str">
        <x:v>正偏印均有效且功能主从不清时形成混杂</x:v>
      </x:c>
      <x:c r="G100" s="82" t="str">
        <x:v>结构层</x:v>
      </x:c>
      <x:c r="H100" s="82" t="str">
        <x:v>冲突病态型</x:v>
      </x:c>
      <x:c r="I100" s="68" t="str">
        <x:v>印枭混杂</x:v>
      </x:c>
      <x:c r="J100" s="68" t="str">
        <x:v>正印、偏印</x:v>
      </x:c>
      <x:c r="K100" s="68" t="str">
        <x:v>正印有效</x:v>
      </x:c>
      <x:c r="L100" s="68" t="str">
        <x:v>偏印有效</x:v>
      </x:c>
      <x:c r="M100" s="68" t="str">
        <x:v>直接或可达的生克制化路径成立</x:v>
      </x:c>
      <x:c r="N100" s="68" t="str">
        <x:v>两者均有力且共同参与生身/制食伤</x:v>
      </x:c>
      <x:c r="O100" s="68" t="str">
        <x:v>结合M09日主承载判断</x:v>
      </x:c>
      <x:c r="P100" s="68" t="str">
        <x:v>主体、客体、作用路径与力量匹配均达到最低要求</x:v>
      </x:c>
      <x:c r="Q100" s="68" t="str">
        <x:v>相关十神有根、有源、透达、清纯且关键通路稳定</x:v>
      </x:c>
      <x:c r="R100" s="90" t="str">
        <x:v>关键十神被合绊、被制、改性、失效或力量严重失衡</x:v>
      </x:c>
      <x:c r="S100" s="68" t="str">
        <x:v>存在第三十神恢复通路、清除破坏或重新形成平衡</x:v>
      </x:c>
      <x:c r="T100" s="90" t="str">
        <x:v>任一核心十神失效，或不存在真实作用路径</x:v>
      </x:c>
      <x:c r="U100" s="68" t="str">
        <x:v>特殊格局、从化或月令格局另转M14/M15复审</x:v>
      </x:c>
      <x:c r="V100" s="84" t="str">
        <x:v>基本成立</x:v>
      </x:c>
      <x:c r="W100" s="84" t="str">
        <x:v>印星功能主次混杂</x:v>
      </x:c>
      <x:c r="X100" s="82" t="str">
        <x:v>条件性</x:v>
      </x:c>
      <x:c r="Y100" s="68" t="str">
        <x:v>对应格局候选转M14</x:v>
      </x:c>
      <x:c r="Z100" s="84" t="str">
        <x:v>印枭混杂_成立</x:v>
      </x:c>
      <x:c r="AA100" s="84" t="str">
        <x:v>印枭混杂：当主体、客体、路径与力量匹配满足最低标准时，判“基本成立”；是否上升为格局转M14/M15。</x:v>
      </x:c>
      <x:c r="AB100" s="82" t="str">
        <x:v>较高</x:v>
      </x:c>
      <x:c r="AC100" s="82" t="str">
        <x:v>现代综合</x:v>
      </x:c>
      <x:c r="AD100" s="68" t="str">
        <x:v>十神同时出现不等于组合成立。M11须同时验证核心十神有效性、作用路径、力量匹配、日主承载、破坏因素与救应；组合成立也不等于格局成立。</x:v>
      </x:c>
      <x:c r="AE100" s="68" t="str">
        <x:v>正印有效；偏印有效；作用路径稳定且无关键破坏，可按“印枭混杂”记录。</x:v>
      </x:c>
      <x:c r="AF100" s="90" t="str">
        <x:v>仅因“正印、偏印”同时出现，但核心十神无力、无作用路径或被关键因素破坏，不能判“印枭混杂”成立。</x:v>
      </x:c>
      <x:c r="AG100" s="68" t="str">
        <x:v>https://zh.wikisource.org/zh-hans/%E6%B7%B5%E6%B5%B7%E5%AD%90%E5%B9%B3 ; https://zh.wikisource.org/wiki/%E6%BB%B4%E5%A4%A9%E9%AB%93%E9%97%A1%E5%BE%AE</x:v>
      </x:c>
      <x:c r="AH100" s="82" t="str">
        <x:v>采用</x:v>
      </x:c>
      <x:c r="AI100" s="82" t="str">
        <x:v>初审</x:v>
      </x:c>
      <x:c r="AJ100" s="87" t="n">
        <x:v>46255</x:v>
      </x:c>
    </x:row>
    <x:row r="101">
      <x:c r="A101" s="72" t="str">
        <x:f>IF(OR(C101="",D101=""),"",B101&amp;"-"&amp;UPPER(C101)&amp;"-"&amp;TEXT(D101,"0000")&amp;"-"&amp;E101)</x:f>
        <x:v>M11-CONFLICT-0095-V1.0</x:v>
      </x:c>
      <x:c r="B101" s="74" t="str">
        <x:v>M11</x:v>
      </x:c>
      <x:c r="C101" s="74" t="str">
        <x:v>CONFLICT</x:v>
      </x:c>
      <x:c r="D101" s="215" t="n">
        <x:v>95</x:v>
      </x:c>
      <x:c r="E101" s="74" t="str">
        <x:v>V1.0</x:v>
      </x:c>
      <x:c r="F101" s="68" t="str">
        <x:v>食伤将七杀制至明显失去平衡功能时成立</x:v>
      </x:c>
      <x:c r="G101" s="82" t="str">
        <x:v>结构层</x:v>
      </x:c>
      <x:c r="H101" s="82" t="str">
        <x:v>冲突病态型</x:v>
      </x:c>
      <x:c r="I101" s="68" t="str">
        <x:v>制杀太过</x:v>
      </x:c>
      <x:c r="J101" s="68" t="str">
        <x:v>食伤、七杀</x:v>
      </x:c>
      <x:c r="K101" s="68" t="str">
        <x:v>食伤旺强并持续制杀</x:v>
      </x:c>
      <x:c r="L101" s="68" t="str">
        <x:v>七杀由有用压力降至残弱或失效</x:v>
      </x:c>
      <x:c r="M101" s="68" t="str">
        <x:v>直接或可达的生克制化路径成立</x:v>
      </x:c>
      <x:c r="N101" s="68" t="str">
        <x:v>食伤明显强于七杀</x:v>
      </x:c>
      <x:c r="O101" s="68" t="str">
        <x:v>结合M09日主承载判断</x:v>
      </x:c>
      <x:c r="P101" s="68" t="str">
        <x:v>主体、客体、作用路径与力量匹配均达到最低要求</x:v>
      </x:c>
      <x:c r="Q101" s="68" t="str">
        <x:v>相关十神有根、有源、透达、清纯且关键通路稳定</x:v>
      </x:c>
      <x:c r="R101" s="90" t="str">
        <x:v>关键十神被合绊、被制、改性、失效或力量严重失衡</x:v>
      </x:c>
      <x:c r="S101" s="68" t="str">
        <x:v>存在第三十神恢复通路、清除破坏或重新形成平衡</x:v>
      </x:c>
      <x:c r="T101" s="90" t="str">
        <x:v>任一核心十神失效，或不存在真实作用路径</x:v>
      </x:c>
      <x:c r="U101" s="68" t="str">
        <x:v>特殊格局、从化或月令格局另转M14/M15复审</x:v>
      </x:c>
      <x:c r="V101" s="84" t="str">
        <x:v>基本成立</x:v>
      </x:c>
      <x:c r="W101" s="84" t="str">
        <x:v>制化过度，杀失去制衡功能</x:v>
      </x:c>
      <x:c r="X101" s="82" t="str">
        <x:v>条件性</x:v>
      </x:c>
      <x:c r="Y101" s="68" t="str">
        <x:v>对应格局候选转M14</x:v>
      </x:c>
      <x:c r="Z101" s="84" t="str">
        <x:v>制杀太过_成立</x:v>
      </x:c>
      <x:c r="AA101" s="84" t="str">
        <x:v>制杀太过：当主体、客体、路径与力量匹配满足最低标准时，判“基本成立”；是否上升为格局转M14/M15。</x:v>
      </x:c>
      <x:c r="AB101" s="82" t="str">
        <x:v>较高</x:v>
      </x:c>
      <x:c r="AC101" s="82" t="str">
        <x:v>现代综合</x:v>
      </x:c>
      <x:c r="AD101" s="68" t="str">
        <x:v>十神同时出现不等于组合成立。M11须同时验证核心十神有效性、作用路径、力量匹配、日主承载、破坏因素与救应；组合成立也不等于格局成立。</x:v>
      </x:c>
      <x:c r="AE101" s="68" t="str">
        <x:v>食伤旺强并持续制杀；七杀由有用压力降至残弱或失效；作用路径稳定且无关键破坏，可按“制杀太过”记录。</x:v>
      </x:c>
      <x:c r="AF101" s="90" t="str">
        <x:v>仅因“食伤、七杀”同时出现，但核心十神无力、无作用路径或被关键因素破坏，不能判“制杀太过”成立。</x:v>
      </x:c>
      <x:c r="AG101" s="68" t="str">
        <x:v>https://zh.wikisource.org/zh-hans/%E6%B7%B5%E6%B5%B7%E5%AD%90%E5%B9%B3 ; https://zh.wikisource.org/wiki/%E6%BB%B4%E5%A4%A9%E9%AB%93%E9%97%A1%E5%BE%AE</x:v>
      </x:c>
      <x:c r="AH101" s="82" t="str">
        <x:v>采用</x:v>
      </x:c>
      <x:c r="AI101" s="82" t="str">
        <x:v>初审</x:v>
      </x:c>
      <x:c r="AJ101" s="87" t="n">
        <x:v>46255</x:v>
      </x:c>
    </x:row>
    <x:row r="102">
      <x:c r="A102" s="72" t="str">
        <x:f>IF(OR(C102="",D102=""),"",B102&amp;"-"&amp;UPPER(C102)&amp;"-"&amp;TEXT(D102,"0000")&amp;"-"&amp;E102)</x:f>
        <x:v>M11-CONFLICT-0096-V1.0</x:v>
      </x:c>
      <x:c r="B102" s="74" t="str">
        <x:v>M11</x:v>
      </x:c>
      <x:c r="C102" s="74" t="str">
        <x:v>CONFLICT</x:v>
      </x:c>
      <x:c r="D102" s="215" t="n">
        <x:v>96</x:v>
      </x:c>
      <x:c r="E102" s="74" t="str">
        <x:v>V1.0</x:v>
      </x:c>
      <x:c r="F102" s="68" t="str">
        <x:v>杀旺而印弱无法承接时成立</x:v>
      </x:c>
      <x:c r="G102" s="82" t="str">
        <x:v>结构层</x:v>
      </x:c>
      <x:c r="H102" s="82" t="str">
        <x:v>冲突病态型</x:v>
      </x:c>
      <x:c r="I102" s="68" t="str">
        <x:v>化杀不及</x:v>
      </x:c>
      <x:c r="J102" s="68" t="str">
        <x:v>七杀、印星</x:v>
      </x:c>
      <x:c r="K102" s="68" t="str">
        <x:v>七杀旺强</x:v>
      </x:c>
      <x:c r="L102" s="68" t="str">
        <x:v>印星虽存在但力量不足或受制</x:v>
      </x:c>
      <x:c r="M102" s="68" t="str">
        <x:v>直接或可达的生克制化路径成立</x:v>
      </x:c>
      <x:c r="N102" s="68" t="str">
        <x:v>杀明显强于印</x:v>
      </x:c>
      <x:c r="O102" s="68" t="str">
        <x:v>结合M09日主承载判断</x:v>
      </x:c>
      <x:c r="P102" s="68" t="str">
        <x:v>主体、客体、作用路径与力量匹配均达到最低要求</x:v>
      </x:c>
      <x:c r="Q102" s="68" t="str">
        <x:v>相关十神有根、有源、透达、清纯且关键通路稳定</x:v>
      </x:c>
      <x:c r="R102" s="90" t="str">
        <x:v>关键十神被合绊、被制、改性、失效或力量严重失衡</x:v>
      </x:c>
      <x:c r="S102" s="68" t="str">
        <x:v>存在第三十神恢复通路、清除破坏或重新形成平衡</x:v>
      </x:c>
      <x:c r="T102" s="90" t="str">
        <x:v>任一核心十神失效，或不存在真实作用路径</x:v>
      </x:c>
      <x:c r="U102" s="68" t="str">
        <x:v>特殊格局、从化或月令格局另转M14/M15复审</x:v>
      </x:c>
      <x:c r="V102" s="84" t="str">
        <x:v>基本成立</x:v>
      </x:c>
      <x:c r="W102" s="84" t="str">
        <x:v>杀压仍直接落在日主</x:v>
      </x:c>
      <x:c r="X102" s="82" t="str">
        <x:v>条件性</x:v>
      </x:c>
      <x:c r="Y102" s="68" t="str">
        <x:v>对应格局候选转M14</x:v>
      </x:c>
      <x:c r="Z102" s="84" t="str">
        <x:v>化杀不及_成立</x:v>
      </x:c>
      <x:c r="AA102" s="84" t="str">
        <x:v>化杀不及：当主体、客体、路径与力量匹配满足最低标准时，判“基本成立”；是否上升为格局转M14/M15。</x:v>
      </x:c>
      <x:c r="AB102" s="82" t="str">
        <x:v>较高</x:v>
      </x:c>
      <x:c r="AC102" s="82" t="str">
        <x:v>现代综合</x:v>
      </x:c>
      <x:c r="AD102" s="68" t="str">
        <x:v>十神同时出现不等于组合成立。M11须同时验证核心十神有效性、作用路径、力量匹配、日主承载、破坏因素与救应；组合成立也不等于格局成立。</x:v>
      </x:c>
      <x:c r="AE102" s="68" t="str">
        <x:v>七杀旺强；印星虽存在但力量不足或受制；作用路径稳定且无关键破坏，可按“化杀不及”记录。</x:v>
      </x:c>
      <x:c r="AF102" s="90" t="str">
        <x:v>仅因“七杀、印星”同时出现，但核心十神无力、无作用路径或被关键因素破坏，不能判“化杀不及”成立。</x:v>
      </x:c>
      <x:c r="AG102" s="68" t="str">
        <x:v>https://zh.wikisource.org/zh-hans/%E6%B7%B5%E6%B5%B7%E5%AD%90%E5%B9%B3 ; https://zh.wikisource.org/wiki/%E6%BB%B4%E5%A4%A9%E9%AB%93%E9%97%A1%E5%BE%AE</x:v>
      </x:c>
      <x:c r="AH102" s="82" t="str">
        <x:v>采用</x:v>
      </x:c>
      <x:c r="AI102" s="82" t="str">
        <x:v>初审</x:v>
      </x:c>
      <x:c r="AJ102" s="87" t="n">
        <x:v>46255</x:v>
      </x:c>
    </x:row>
    <x:row r="103">
      <x:c r="A103" s="72" t="str">
        <x:f>IF(OR(C103="",D103=""),"",B103&amp;"-"&amp;UPPER(C103)&amp;"-"&amp;TEXT(D103,"0000")&amp;"-"&amp;E103)</x:f>
        <x:v>M11-CONFLICT-0097-V1.0</x:v>
      </x:c>
      <x:c r="B103" s="74" t="str">
        <x:v>M11</x:v>
      </x:c>
      <x:c r="C103" s="74" t="str">
        <x:v>CONFLICT</x:v>
      </x:c>
      <x:c r="D103" s="215" t="n">
        <x:v>97</x:v>
      </x:c>
      <x:c r="E103" s="74" t="str">
        <x:v>V1.0</x:v>
      </x:c>
      <x:c r="F103" s="68" t="str">
        <x:v>财旺且日主承载明显不足时成立</x:v>
      </x:c>
      <x:c r="G103" s="82" t="str">
        <x:v>结构层</x:v>
      </x:c>
      <x:c r="H103" s="82" t="str">
        <x:v>冲突病态型</x:v>
      </x:c>
      <x:c r="I103" s="68" t="str">
        <x:v>财多身弱</x:v>
      </x:c>
      <x:c r="J103" s="68" t="str">
        <x:v>财星、日主</x:v>
      </x:c>
      <x:c r="K103" s="68" t="str">
        <x:v>财星旺或极旺</x:v>
      </x:c>
      <x:c r="L103" s="68" t="str">
        <x:v>M09日主弱或极弱</x:v>
      </x:c>
      <x:c r="M103" s="68" t="str">
        <x:v>直接或可达的生克制化路径成立</x:v>
      </x:c>
      <x:c r="N103" s="68" t="str">
        <x:v>相关十神均以M10有效力量为准，且不存在决定性失衡</x:v>
      </x:c>
      <x:c r="O103" s="68" t="str">
        <x:v>结合M09日主承载判断</x:v>
      </x:c>
      <x:c r="P103" s="68" t="str">
        <x:v>财耗真实存在且印比不足以承载</x:v>
      </x:c>
      <x:c r="Q103" s="68" t="str">
        <x:v>相关十神有根、有源、透达、清纯且关键通路稳定</x:v>
      </x:c>
      <x:c r="R103" s="90" t="str">
        <x:v>关键十神被合绊、被制、改性、失效或力量严重失衡</x:v>
      </x:c>
      <x:c r="S103" s="68" t="str">
        <x:v>存在第三十神恢复通路、清除破坏或重新形成平衡</x:v>
      </x:c>
      <x:c r="T103" s="90" t="str">
        <x:v>任一核心十神失效，或不存在真实作用路径</x:v>
      </x:c>
      <x:c r="U103" s="68" t="str">
        <x:v>特殊格局、从化或月令格局另转M14/M15复审</x:v>
      </x:c>
      <x:c r="V103" s="84" t="str">
        <x:v>明显成立</x:v>
      </x:c>
      <x:c r="W103" s="84" t="str">
        <x:v>财耗超过日主承载</x:v>
      </x:c>
      <x:c r="X103" s="82" t="str">
        <x:v>条件性</x:v>
      </x:c>
      <x:c r="Y103" s="68" t="str">
        <x:v>对应格局候选转M14</x:v>
      </x:c>
      <x:c r="Z103" s="84" t="str">
        <x:v>财多身弱_成立</x:v>
      </x:c>
      <x:c r="AA103" s="84" t="str">
        <x:v>财多身弱：当主体、客体、路径与力量匹配满足最低标准时，判“明显成立”；是否上升为格局转M14/M15。</x:v>
      </x:c>
      <x:c r="AB103" s="82" t="str">
        <x:v>较高</x:v>
      </x:c>
      <x:c r="AC103" s="82" t="str">
        <x:v>现代综合</x:v>
      </x:c>
      <x:c r="AD103" s="68" t="str">
        <x:v>十神同时出现不等于组合成立。M11须同时验证核心十神有效性、作用路径、力量匹配、日主承载、破坏因素与救应；组合成立也不等于格局成立。</x:v>
      </x:c>
      <x:c r="AE103" s="68" t="str">
        <x:v>财星旺或极旺；M09日主弱或极弱；作用路径稳定且无关键破坏，可按“财多身弱”记录。</x:v>
      </x:c>
      <x:c r="AF103" s="90" t="str">
        <x:v>仅因“财星、日主”同时出现，但核心十神无力、无作用路径或被关键因素破坏，不能判“财多身弱”成立。</x:v>
      </x:c>
      <x:c r="AG103" s="68" t="str">
        <x:v>https://zh.wikisource.org/zh-hans/%E6%B7%B5%E6%B5%B7%E5%AD%90%E5%B9%B3 ; https://zh.wikisource.org/wiki/%E6%BB%B4%E5%A4%A9%E9%AB%93%E9%97%A1%E5%BE%AE</x:v>
      </x:c>
      <x:c r="AH103" s="82" t="str">
        <x:v>采用</x:v>
      </x:c>
      <x:c r="AI103" s="82" t="str">
        <x:v>初审</x:v>
      </x:c>
      <x:c r="AJ103" s="87" t="n">
        <x:v>46255</x:v>
      </x:c>
    </x:row>
    <x:row r="104">
      <x:c r="A104" s="72" t="str">
        <x:f>IF(OR(C104="",D104=""),"",B104&amp;"-"&amp;UPPER(C104)&amp;"-"&amp;TEXT(D104,"0000")&amp;"-"&amp;E104)</x:f>
        <x:v>M11-CONFLICT-0098-V1.0</x:v>
      </x:c>
      <x:c r="B104" s="74" t="str">
        <x:v>M11</x:v>
      </x:c>
      <x:c r="C104" s="74" t="str">
        <x:v>CONFLICT</x:v>
      </x:c>
      <x:c r="D104" s="215" t="n">
        <x:v>98</x:v>
      </x:c>
      <x:c r="E104" s="74" t="str">
        <x:v>V1.0</x:v>
      </x:c>
      <x:c r="F104" s="68" t="str">
        <x:v>印过旺并阻碍必要输出时才形成身滞候选</x:v>
      </x:c>
      <x:c r="G104" s="82" t="str">
        <x:v>结构层</x:v>
      </x:c>
      <x:c r="H104" s="82" t="str">
        <x:v>冲突病态型</x:v>
      </x:c>
      <x:c r="I104" s="68" t="str">
        <x:v>印多身滞</x:v>
      </x:c>
      <x:c r="J104" s="68" t="str">
        <x:v>印星、日主、食伤</x:v>
      </x:c>
      <x:c r="K104" s="68" t="str">
        <x:v>印星旺或极旺且持续生身</x:v>
      </x:c>
      <x:c r="L104" s="68" t="str">
        <x:v>日主已旺，食伤又被印制或输出不足</x:v>
      </x:c>
      <x:c r="M104" s="68" t="str">
        <x:v>直接或可达的生克制化路径成立</x:v>
      </x:c>
      <x:c r="N104" s="68" t="str">
        <x:v>相关十神均以M10有效力量为准，且不存在决定性失衡</x:v>
      </x:c>
      <x:c r="O104" s="68" t="str">
        <x:v>结合M09日主承载判断</x:v>
      </x:c>
      <x:c r="P104" s="68" t="str">
        <x:v>身势过强且流通受阻</x:v>
      </x:c>
      <x:c r="Q104" s="68" t="str">
        <x:v>相关十神有根、有源、透达、清纯且关键通路稳定</x:v>
      </x:c>
      <x:c r="R104" s="90" t="str">
        <x:v>关键十神被合绊、被制、改性、失效或力量严重失衡</x:v>
      </x:c>
      <x:c r="S104" s="68" t="str">
        <x:v>存在第三十神恢复通路、清除破坏或重新形成平衡</x:v>
      </x:c>
      <x:c r="T104" s="90" t="str">
        <x:v>任一核心十神失效，或不存在真实作用路径</x:v>
      </x:c>
      <x:c r="U104" s="68" t="str">
        <x:v>特殊格局、从化或月令格局另转M14/M15复审</x:v>
      </x:c>
      <x:c r="V104" s="84" t="str">
        <x:v>基本成立</x:v>
      </x:c>
      <x:c r="W104" s="84" t="str">
        <x:v>生扶过度、输出受阻</x:v>
      </x:c>
      <x:c r="X104" s="82" t="str">
        <x:v>条件性</x:v>
      </x:c>
      <x:c r="Y104" s="68" t="str">
        <x:v>对应格局候选转M14</x:v>
      </x:c>
      <x:c r="Z104" s="84" t="str">
        <x:v>印多身滞_成立</x:v>
      </x:c>
      <x:c r="AA104" s="84" t="str">
        <x:v>印多身滞：当主体、客体、路径与力量匹配满足最低标准时，判“基本成立”；是否上升为格局转M14/M15。</x:v>
      </x:c>
      <x:c r="AB104" s="82" t="str">
        <x:v>较高</x:v>
      </x:c>
      <x:c r="AC104" s="82" t="str">
        <x:v>现代综合</x:v>
      </x:c>
      <x:c r="AD104" s="68" t="str">
        <x:v>十神同时出现不等于组合成立。M11须同时验证核心十神有效性、作用路径、力量匹配、日主承载、破坏因素与救应；组合成立也不等于格局成立。</x:v>
      </x:c>
      <x:c r="AE104" s="68" t="str">
        <x:v>印星旺或极旺且持续生身；日主已旺，食伤又被印制或输出不足；作用路径稳定且无关键破坏，可按“印多身滞”记录。</x:v>
      </x:c>
      <x:c r="AF104" s="90" t="str">
        <x:v>仅因“印星、日主、食伤”同时出现，但核心十神无力、无作用路径或被关键因素破坏，不能判“印多身滞”成立。</x:v>
      </x:c>
      <x:c r="AG104" s="68" t="str">
        <x:v>https://zh.wikisource.org/zh-hans/%E6%B7%B5%E6%B5%B7%E5%AD%90%E5%B9%B3 ; https://zh.wikisource.org/wiki/%E6%BB%B4%E5%A4%A9%E9%AB%93%E9%97%A1%E5%BE%AE</x:v>
      </x:c>
      <x:c r="AH104" s="82" t="str">
        <x:v>采用</x:v>
      </x:c>
      <x:c r="AI104" s="82" t="str">
        <x:v>初审</x:v>
      </x:c>
      <x:c r="AJ104" s="87" t="n">
        <x:v>46255</x:v>
      </x:c>
    </x:row>
    <x:row r="105">
      <x:c r="A105" s="72" t="str">
        <x:f>IF(OR(C105="",D105=""),"",B105&amp;"-"&amp;UPPER(C105)&amp;"-"&amp;TEXT(D105,"0000")&amp;"-"&amp;E105)</x:f>
        <x:v>M11-CONFLICT-0099-V1.0</x:v>
      </x:c>
      <x:c r="B105" s="74" t="str">
        <x:v>M11</x:v>
      </x:c>
      <x:c r="C105" s="74" t="str">
        <x:v>CONFLICT</x:v>
      </x:c>
      <x:c r="D105" s="215" t="n">
        <x:v>99</x:v>
      </x:c>
      <x:c r="E105" s="74" t="str">
        <x:v>V1.0</x:v>
      </x:c>
      <x:c r="F105" s="68" t="str">
        <x:v>两条制化路线争夺同一核心节点时需做容量裁决</x:v>
      </x:c>
      <x:c r="G105" s="82" t="str">
        <x:v>结构层</x:v>
      </x:c>
      <x:c r="H105" s="82" t="str">
        <x:v>冲突病态型</x:v>
      </x:c>
      <x:c r="I105" s="68" t="str">
        <x:v>制化两立</x:v>
      </x:c>
      <x:c r="J105" s="68" t="str">
        <x:v>食伤、印星、官杀</x:v>
      </x:c>
      <x:c r="K105" s="68" t="str">
        <x:v>食制杀与印化杀等路线同时成立候选</x:v>
      </x:c>
      <x:c r="L105" s="68" t="str">
        <x:v>同一官杀力量被多路调用</x:v>
      </x:c>
      <x:c r="M105" s="68" t="str">
        <x:v>直接或可达的生克制化路径成立</x:v>
      </x:c>
      <x:c r="N105" s="68" t="str">
        <x:v>相关十神均以M10有效力量为准，且不存在决定性失衡</x:v>
      </x:c>
      <x:c r="O105" s="68" t="str">
        <x:v>结合M09日主承载判断</x:v>
      </x:c>
      <x:c r="P105" s="68" t="str">
        <x:v>至少两条路线真实存在</x:v>
      </x:c>
      <x:c r="Q105" s="68" t="str">
        <x:v>相关十神有根、有源、透达、清纯且关键通路稳定</x:v>
      </x:c>
      <x:c r="R105" s="90" t="str">
        <x:v>关键十神被合绊、被制、改性、失效或力量严重失衡</x:v>
      </x:c>
      <x:c r="S105" s="68" t="str">
        <x:v>存在第三十神恢复通路、清除破坏或重新形成平衡</x:v>
      </x:c>
      <x:c r="T105" s="90" t="str">
        <x:v>任一核心十神失效，或不存在真实作用路径</x:v>
      </x:c>
      <x:c r="U105" s="68" t="str">
        <x:v>特殊格局、从化或月令格局另转M14/M15复审</x:v>
      </x:c>
      <x:c r="V105" s="84" t="str">
        <x:v>基本成立</x:v>
      </x:c>
      <x:c r="W105" s="84" t="str">
        <x:v>形成制化竞争，需M18裁决</x:v>
      </x:c>
      <x:c r="X105" s="82" t="str">
        <x:v>条件性</x:v>
      </x:c>
      <x:c r="Y105" s="68" t="str">
        <x:v>对应格局候选转M14</x:v>
      </x:c>
      <x:c r="Z105" s="84" t="str">
        <x:v>制化两立_成立</x:v>
      </x:c>
      <x:c r="AA105" s="84" t="str">
        <x:v>制化两立：当主体、客体、路径与力量匹配满足最低标准时，判“基本成立”；是否上升为格局转M14/M15。</x:v>
      </x:c>
      <x:c r="AB105" s="82" t="str">
        <x:v>较高</x:v>
      </x:c>
      <x:c r="AC105" s="82" t="str">
        <x:v>现代综合</x:v>
      </x:c>
      <x:c r="AD105" s="68" t="str">
        <x:v>十神同时出现不等于组合成立。M11须同时验证核心十神有效性、作用路径、力量匹配、日主承载、破坏因素与救应；组合成立也不等于格局成立。</x:v>
      </x:c>
      <x:c r="AE105" s="68" t="str">
        <x:v>食制杀与印化杀等路线同时成立候选；同一官杀力量被多路调用；作用路径稳定且无关键破坏，可按“制化两立”记录。</x:v>
      </x:c>
      <x:c r="AF105" s="90" t="str">
        <x:v>仅因“食伤、印星、官杀”同时出现，但核心十神无力、无作用路径或被关键因素破坏，不能判“制化两立”成立。</x:v>
      </x:c>
      <x:c r="AG105" s="68" t="str">
        <x:v>https://zh.wikisource.org/zh-hans/%E6%B7%B5%E6%B5%B7%E5%AD%90%E5%B9%B3 ; https://zh.wikisource.org/wiki/%E6%BB%B4%E5%A4%A9%E9%AB%93%E9%97%A1%E5%BE%AE</x:v>
      </x:c>
      <x:c r="AH105" s="82" t="str">
        <x:v>采用</x:v>
      </x:c>
      <x:c r="AI105" s="82" t="str">
        <x:v>初审</x:v>
      </x:c>
      <x:c r="AJ105" s="87" t="n">
        <x:v>46255</x:v>
      </x:c>
    </x:row>
    <x:row r="106">
      <x:c r="A106" s="214" t="str">
        <x:f>IF(OR(C106="",D106=""),"",B106&amp;"-"&amp;UPPER(C106)&amp;"-"&amp;TEXT(D106,"0000")&amp;"-"&amp;E106)</x:f>
        <x:v>M11-CONFLICT-0100-V1.0</x:v>
      </x:c>
      <x:c r="B106" s="214" t="str">
        <x:v>M11</x:v>
      </x:c>
      <x:c r="C106" s="214" t="str">
        <x:v>CONFLICT</x:v>
      </x:c>
      <x:c r="D106" s="216" t="n">
        <x:v>100</x:v>
      </x:c>
      <x:c r="E106" s="214" t="str">
        <x:v>V1.0</x:v>
      </x:c>
      <x:c r="F106" s="214" t="str">
        <x:v>多个病态组合同时成立时不得简单叠加吉凶</x:v>
      </x:c>
      <x:c r="G106" s="214" t="str">
        <x:v>结构层</x:v>
      </x:c>
      <x:c r="H106" s="214" t="str">
        <x:v>冲突病态型</x:v>
      </x:c>
      <x:c r="I106" s="214" t="str">
        <x:v>复合冲突</x:v>
      </x:c>
      <x:c r="J106" s="214" t="str">
        <x:v>多个十神</x:v>
      </x:c>
      <x:c r="K106" s="214" t="str">
        <x:v>两个以上冲突组合均达到基本成立</x:v>
      </x:c>
      <x:c r="L106" s="214" t="str">
        <x:v>共享节点或相互救应关系复杂</x:v>
      </x:c>
      <x:c r="M106" s="214" t="str">
        <x:v>直接或可达的生克制化路径成立</x:v>
      </x:c>
      <x:c r="N106" s="214" t="str">
        <x:v>相关十神均以M10有效力量为准，且不存在决定性失衡</x:v>
      </x:c>
      <x:c r="O106" s="214" t="str">
        <x:v>结合M09日主承载判断</x:v>
      </x:c>
      <x:c r="P106" s="214" t="str">
        <x:v>逐组合保留后进入M16/M18综合</x:v>
      </x:c>
      <x:c r="Q106" s="214" t="str">
        <x:v>相关十神有根、有源、透达、清纯且关键通路稳定</x:v>
      </x:c>
      <x:c r="R106" s="214" t="str">
        <x:v>关键十神被合绊、被制、改性、失效或力量严重失衡</x:v>
      </x:c>
      <x:c r="S106" s="214" t="str">
        <x:v>存在第三十神恢复通路、清除破坏或重新形成平衡</x:v>
      </x:c>
      <x:c r="T106" s="214" t="str">
        <x:v>任一核心十神失效，或不存在真实作用路径</x:v>
      </x:c>
      <x:c r="U106" s="214" t="str">
        <x:v>特殊格局、从化或月令格局另转M14/M15复审</x:v>
      </x:c>
      <x:c r="V106" s="214" t="str">
        <x:v>基本成立</x:v>
      </x:c>
      <x:c r="W106" s="214" t="str">
        <x:v>标记复合病态结构</x:v>
      </x:c>
      <x:c r="X106" s="214" t="str">
        <x:v>否</x:v>
      </x:c>
      <x:c r="Y106" s="214" t="str">
        <x:v>无</x:v>
      </x:c>
      <x:c r="Z106" s="214" t="str">
        <x:v>复合冲突_转综合</x:v>
      </x:c>
      <x:c r="AA106" s="214" t="str">
        <x:v>复合冲突：当主体、客体、路径与力量匹配满足最低标准时，判“基本成立”；是否上升为格局转M14/M15。</x:v>
      </x:c>
      <x:c r="AB106" s="214" t="str">
        <x:v>较高</x:v>
      </x:c>
      <x:c r="AC106" s="214" t="str">
        <x:v>现代综合</x:v>
      </x:c>
      <x:c r="AD106" s="214" t="str">
        <x:v>十神同时出现不等于组合成立。M11须同时验证核心十神有效性、作用路径、力量匹配、日主承载、破坏因素与救应；组合成立也不等于格局成立。</x:v>
      </x:c>
      <x:c r="AE106" s="214" t="str">
        <x:v>两个以上冲突组合均达到基本成立；共享节点或相互救应关系复杂；作用路径稳定且无关键破坏，可按“复合冲突”记录。</x:v>
      </x:c>
      <x:c r="AF106" s="214" t="str">
        <x:v>仅因“多个十神”同时出现，但核心十神无力、无作用路径或被关键因素破坏，不能判“复合冲突”成立。</x:v>
      </x:c>
      <x:c r="AG106" s="214" t="str">
        <x:v>https://zh.wikisource.org/zh-hans/%E6%B7%B5%E6%B5%B7%E5%AD%90%E5%B9%B3 ; https://zh.wikisource.org/wiki/%E6%BB%B4%E5%A4%A9%E9%AB%93%E9%97%A1%E5%BE%AE</x:v>
      </x:c>
      <x:c r="AH106" s="214" t="str">
        <x:v>采用</x:v>
      </x:c>
      <x:c r="AI106" s="214" t="str">
        <x:v>初审</x:v>
      </x:c>
      <x:c r="AJ106" s="217" t="n">
        <x:v>46255</x:v>
      </x:c>
    </x:row>
    <x:row r="107">
      <x:c r="A107" s="214" t="str">
        <x:f>IF(OR(C107="",D107=""),"",B107&amp;"-"&amp;UPPER(C107)&amp;"-"&amp;TEXT(D107,"0000")&amp;"-"&amp;E107)</x:f>
        <x:v>M11-BOUND-0101-V1.0</x:v>
      </x:c>
      <x:c r="B107" s="214" t="str">
        <x:v>M11</x:v>
      </x:c>
      <x:c r="C107" s="214" t="str">
        <x:v>BOUND</x:v>
      </x:c>
      <x:c r="D107" s="216" t="n">
        <x:v>101</x:v>
      </x:c>
      <x:c r="E107" s="214" t="str">
        <x:v>V1.0</x:v>
      </x:c>
      <x:c r="F107" s="214" t="str">
        <x:v>组合名称不得替代实际功能判断</x:v>
      </x:c>
      <x:c r="G107" s="214" t="str">
        <x:v>结构层</x:v>
      </x:c>
      <x:c r="H107" s="214" t="str">
        <x:v>其他</x:v>
      </x:c>
      <x:c r="I107" s="214" t="str">
        <x:v>十神组合边界</x:v>
      </x:c>
      <x:c r="J107" s="214" t="str">
        <x:v>多个十神</x:v>
      </x:c>
      <x:c r="K107" s="214" t="str">
        <x:v>某传统组合名称被识别</x:v>
      </x:c>
      <x:c r="L107" s="214" t="str">
        <x:v>仍需检查其真实生、制、化、泄、护或通关功能</x:v>
      </x:c>
      <x:c r="M107" s="214" t="str">
        <x:v>直接或可达的生克制化路径成立</x:v>
      </x:c>
      <x:c r="N107" s="214" t="str">
        <x:v>相关十神均以M10有效力量为准，且不存在决定性失衡</x:v>
      </x:c>
      <x:c r="O107" s="214" t="str">
        <x:v>结合M09日主承载判断</x:v>
      </x:c>
      <x:c r="P107" s="214" t="str">
        <x:v>主体、客体、作用路径与力量匹配均达到最低要求</x:v>
      </x:c>
      <x:c r="Q107" s="214" t="str">
        <x:v>相关十神有根、有源、透达、清纯且关键通路稳定</x:v>
      </x:c>
      <x:c r="R107" s="214" t="str">
        <x:v>关键十神被合绊、被制、改性、失效或力量严重失衡</x:v>
      </x:c>
      <x:c r="S107" s="214" t="str">
        <x:v>存在第三十神恢复通路、清除破坏或重新形成平衡</x:v>
      </x:c>
      <x:c r="T107" s="214" t="str">
        <x:v>任一核心十神失效，或不存在真实作用路径</x:v>
      </x:c>
      <x:c r="U107" s="214" t="str">
        <x:v>特殊格局、从化或月令格局另转M14/M15复审</x:v>
      </x:c>
      <x:c r="V107" s="214" t="str">
        <x:v>待定</x:v>
      </x:c>
      <x:c r="W107" s="214" t="str">
        <x:v>治理命名与功能分离</x:v>
      </x:c>
      <x:c r="X107" s="214" t="str">
        <x:v>否</x:v>
      </x:c>
      <x:c r="Y107" s="214" t="str">
        <x:v>无</x:v>
      </x:c>
      <x:c r="Z107" s="214" t="str">
        <x:v>组合命名边界</x:v>
      </x:c>
      <x:c r="AA107" s="214" t="str">
        <x:v>十神组合边界：当主体、客体、路径与力量匹配满足最低标准时，判“待定”；是否上升为格局转M14/M15。</x:v>
      </x:c>
      <x:c r="AB107" s="214" t="str">
        <x:v>较高</x:v>
      </x:c>
      <x:c r="AC107" s="214" t="str">
        <x:v>现代综合</x:v>
      </x:c>
      <x:c r="AD107" s="214" t="str">
        <x:v>十神同时出现不等于组合成立。M11须同时验证核心十神有效性、作用路径、力量匹配、日主承载、破坏因素与救应；组合成立也不等于格局成立。</x:v>
      </x:c>
      <x:c r="AE107" s="214" t="str">
        <x:v>某传统组合名称被识别；仍需检查其真实生、制、化、泄、护或通关功能；作用路径稳定且无关键破坏，可按“十神组合边界”记录。</x:v>
      </x:c>
      <x:c r="AF107" s="214" t="str">
        <x:v>仅因“多个十神”同时出现，但核心十神无力、无作用路径或被关键因素破坏，不能判“十神组合边界”成立。</x:v>
      </x:c>
      <x:c r="AG107" s="214" t="str">
        <x:v>https://zh.wikisource.org/zh-hans/%E6%B7%B5%E6%B5%B7%E5%AD%90%E5%B9%B3 ; https://zh.wikisource.org/wiki/%E6%BB%B4%E5%A4%A9%E9%AB%93%E9%97%A1%E5%BE%AE</x:v>
      </x:c>
      <x:c r="AH107" s="214" t="str">
        <x:v>采用</x:v>
      </x:c>
      <x:c r="AI107" s="214" t="str">
        <x:v>初审</x:v>
      </x:c>
      <x:c r="AJ107" s="217" t="n">
        <x:v>46255</x:v>
      </x:c>
    </x:row>
    <x:row r="108">
      <x:c r="A108" s="214" t="str">
        <x:f>IF(OR(C108="",D108=""),"",B108&amp;"-"&amp;UPPER(C108)&amp;"-"&amp;TEXT(D108,"0000")&amp;"-"&amp;E108)</x:f>
        <x:v>M11-BOUND-0102-V1.0</x:v>
      </x:c>
      <x:c r="B108" s="214" t="str">
        <x:v>M11</x:v>
      </x:c>
      <x:c r="C108" s="214" t="str">
        <x:v>BOUND</x:v>
      </x:c>
      <x:c r="D108" s="216" t="n">
        <x:v>102</x:v>
      </x:c>
      <x:c r="E108" s="214" t="str">
        <x:v>V1.0</x:v>
      </x:c>
      <x:c r="F108" s="214" t="str">
        <x:v>位置远近只影响路径强弱不作绝对否决</x:v>
      </x:c>
      <x:c r="G108" s="214" t="str">
        <x:v>结构层</x:v>
      </x:c>
      <x:c r="H108" s="214" t="str">
        <x:v>其他</x:v>
      </x:c>
      <x:c r="I108" s="214" t="str">
        <x:v>十神组合边界</x:v>
      </x:c>
      <x:c r="J108" s="214" t="str">
        <x:v>多个十神</x:v>
      </x:c>
      <x:c r="K108" s="214" t="str">
        <x:v>核心十神隔位或遥隔</x:v>
      </x:c>
      <x:c r="L108" s="214" t="str">
        <x:v>仍存在透干、地支通路或中介连接</x:v>
      </x:c>
      <x:c r="M108" s="214" t="str">
        <x:v>远距降低直接性，但不自动否决</x:v>
      </x:c>
      <x:c r="N108" s="214" t="str">
        <x:v>相关十神均以M10有效力量为准，且不存在决定性失衡</x:v>
      </x:c>
      <x:c r="O108" s="214" t="str">
        <x:v>结合M09日主承载判断</x:v>
      </x:c>
      <x:c r="P108" s="214" t="str">
        <x:v>主体、客体、作用路径与力量匹配均达到最低要求</x:v>
      </x:c>
      <x:c r="Q108" s="214" t="str">
        <x:v>相关十神有根、有源、透达、清纯且关键通路稳定</x:v>
      </x:c>
      <x:c r="R108" s="214" t="str">
        <x:v>关键十神被合绊、被制、改性、失效或力量严重失衡</x:v>
      </x:c>
      <x:c r="S108" s="214" t="str">
        <x:v>存在第三十神恢复通路、清除破坏或重新形成平衡</x:v>
      </x:c>
      <x:c r="T108" s="214" t="str">
        <x:v>任一核心十神失效，或不存在真实作用路径</x:v>
      </x:c>
      <x:c r="U108" s="214" t="str">
        <x:v>特殊格局、从化或月令格局另转M14/M15复审</x:v>
      </x:c>
      <x:c r="V108" s="214" t="str">
        <x:v>待定</x:v>
      </x:c>
      <x:c r="W108" s="214" t="str">
        <x:v>形成局部生化、制化或承载结构</x:v>
      </x:c>
      <x:c r="X108" s="214" t="str">
        <x:v>否</x:v>
      </x:c>
      <x:c r="Y108" s="214" t="str">
        <x:v>对应格局候选转M14</x:v>
      </x:c>
      <x:c r="Z108" s="214" t="str">
        <x:v>组合位置边界</x:v>
      </x:c>
      <x:c r="AA108" s="214" t="str">
        <x:v>十神组合边界：当主体、客体、路径与力量匹配满足最低标准时，判“待定”；是否上升为格局转M14/M15。</x:v>
      </x:c>
      <x:c r="AB108" s="214" t="str">
        <x:v>较高</x:v>
      </x:c>
      <x:c r="AC108" s="214" t="str">
        <x:v>现代综合</x:v>
      </x:c>
      <x:c r="AD108" s="214" t="str">
        <x:v>十神同时出现不等于组合成立。M11须同时验证核心十神有效性、作用路径、力量匹配、日主承载、破坏因素与救应；组合成立也不等于格局成立。</x:v>
      </x:c>
      <x:c r="AE108" s="214" t="str">
        <x:v>核心十神隔位或遥隔；仍存在透干、地支通路或中介连接；作用路径稳定且无关键破坏，可按“十神组合边界”记录。</x:v>
      </x:c>
      <x:c r="AF108" s="214" t="str">
        <x:v>仅因“多个十神”同时出现，但核心十神无力、无作用路径或被关键因素破坏，不能判“十神组合边界”成立。</x:v>
      </x:c>
      <x:c r="AG108" s="214" t="str">
        <x:v>https://zh.wikisource.org/zh-hans/%E6%B7%B5%E6%B5%B7%E5%AD%90%E5%B9%B3 ; https://zh.wikisource.org/wiki/%E6%BB%B4%E5%A4%A9%E9%AB%93%E9%97%A1%E5%BE%AE</x:v>
      </x:c>
      <x:c r="AH108" s="214" t="str">
        <x:v>采用</x:v>
      </x:c>
      <x:c r="AI108" s="214" t="str">
        <x:v>初审</x:v>
      </x:c>
      <x:c r="AJ108" s="217" t="n">
        <x:v>46255</x:v>
      </x:c>
    </x:row>
    <x:row r="109">
      <x:c r="A109" s="214" t="str">
        <x:f>IF(OR(C109="",D109=""),"",B109&amp;"-"&amp;UPPER(C109)&amp;"-"&amp;TEXT(D109,"0000")&amp;"-"&amp;E109)</x:f>
        <x:v>M11-BOUND-0103-V1.0</x:v>
      </x:c>
      <x:c r="B109" s="214" t="str">
        <x:v>M11</x:v>
      </x:c>
      <x:c r="C109" s="214" t="str">
        <x:v>BOUND</x:v>
      </x:c>
      <x:c r="D109" s="216" t="n">
        <x:v>103</x:v>
      </x:c>
      <x:c r="E109" s="214" t="str">
        <x:v>V1.0</x:v>
      </x:c>
      <x:c r="F109" s="214" t="str">
        <x:v>藏干组合需要更严格验证透达和可调用性</x:v>
      </x:c>
      <x:c r="G109" s="214" t="str">
        <x:v>结构层</x:v>
      </x:c>
      <x:c r="H109" s="214" t="str">
        <x:v>其他</x:v>
      </x:c>
      <x:c r="I109" s="214" t="str">
        <x:v>十神组合边界</x:v>
      </x:c>
      <x:c r="J109" s="214" t="str">
        <x:v>多个十神</x:v>
      </x:c>
      <x:c r="K109" s="214" t="str">
        <x:v>核心十神主要藏支不透</x:v>
      </x:c>
      <x:c r="L109" s="214" t="str">
        <x:v>M08/M10显示其仍有效</x:v>
      </x:c>
      <x:c r="M109" s="214" t="str">
        <x:v>直接或可达的生克制化路径成立</x:v>
      </x:c>
      <x:c r="N109" s="214" t="str">
        <x:v>相关十神均以M10有效力量为准，且不存在决定性失衡</x:v>
      </x:c>
      <x:c r="O109" s="214" t="str">
        <x:v>结合M09日主承载判断</x:v>
      </x:c>
      <x:c r="P109" s="214" t="str">
        <x:v>隐性十神必须有足够有效性和作用通路</x:v>
      </x:c>
      <x:c r="Q109" s="214" t="str">
        <x:v>相关十神有根、有源、透达、清纯且关键通路稳定</x:v>
      </x:c>
      <x:c r="R109" s="214" t="str">
        <x:v>关键十神被合绊、被制、改性、失效或力量严重失衡</x:v>
      </x:c>
      <x:c r="S109" s="214" t="str">
        <x:v>存在第三十神恢复通路、清除破坏或重新形成平衡</x:v>
      </x:c>
      <x:c r="T109" s="214" t="str">
        <x:v>任一核心十神失效，或不存在真实作用路径</x:v>
      </x:c>
      <x:c r="U109" s="214" t="str">
        <x:v>特殊格局、从化或月令格局另转M14/M15复审</x:v>
      </x:c>
      <x:c r="V109" s="214" t="str">
        <x:v>弱成立</x:v>
      </x:c>
      <x:c r="W109" s="214" t="str">
        <x:v>形成局部生化、制化或承载结构</x:v>
      </x:c>
      <x:c r="X109" s="214" t="str">
        <x:v>条件性</x:v>
      </x:c>
      <x:c r="Y109" s="214" t="str">
        <x:v>对应格局候选转M14</x:v>
      </x:c>
      <x:c r="Z109" s="214" t="str">
        <x:v>藏干组合边界</x:v>
      </x:c>
      <x:c r="AA109" s="214" t="str">
        <x:v>十神组合边界：当主体、客体、路径与力量匹配满足最低标准时，判“弱成立”；是否上升为格局转M14/M15。</x:v>
      </x:c>
      <x:c r="AB109" s="214" t="str">
        <x:v>较高</x:v>
      </x:c>
      <x:c r="AC109" s="214" t="str">
        <x:v>现代综合</x:v>
      </x:c>
      <x:c r="AD109" s="214" t="str">
        <x:v>十神同时出现不等于组合成立。M11须同时验证核心十神有效性、作用路径、力量匹配、日主承载、破坏因素与救应；组合成立也不等于格局成立。</x:v>
      </x:c>
      <x:c r="AE109" s="214" t="str">
        <x:v>核心十神主要藏支不透；M08/M10显示其仍有效；作用路径稳定且无关键破坏，可按“十神组合边界”记录。</x:v>
      </x:c>
      <x:c r="AF109" s="214" t="str">
        <x:v>仅因“多个十神”同时出现，但核心十神无力、无作用路径或被关键因素破坏，不能判“十神组合边界”成立。</x:v>
      </x:c>
      <x:c r="AG109" s="214" t="str">
        <x:v>https://zh.wikisource.org/zh-hans/%E6%B7%B5%E6%B5%B7%E5%AD%90%E5%B9%B3 ; https://zh.wikisource.org/wiki/%E6%BB%B4%E5%A4%A9%E9%AB%93%E9%97%A1%E5%BE%AE</x:v>
      </x:c>
      <x:c r="AH109" s="214" t="str">
        <x:v>采用</x:v>
      </x:c>
      <x:c r="AI109" s="214" t="str">
        <x:v>初审</x:v>
      </x:c>
      <x:c r="AJ109" s="217" t="n">
        <x:v>46255</x:v>
      </x:c>
    </x:row>
    <x:row r="110">
      <x:c r="A110" s="214" t="str">
        <x:f>IF(OR(C110="",D110=""),"",B110&amp;"-"&amp;UPPER(C110)&amp;"-"&amp;TEXT(D110,"0000")&amp;"-"&amp;E110)</x:f>
        <x:v>M11-BOUND-0104-V1.0</x:v>
      </x:c>
      <x:c r="B110" s="214" t="str">
        <x:v>M11</x:v>
      </x:c>
      <x:c r="C110" s="214" t="str">
        <x:v>BOUND</x:v>
      </x:c>
      <x:c r="D110" s="216" t="n">
        <x:v>104</x:v>
      </x:c>
      <x:c r="E110" s="214" t="str">
        <x:v>V1.0</x:v>
      </x:c>
      <x:c r="F110" s="214" t="str">
        <x:v>同一十神可参加多个组合但不得重复全额计力</x:v>
      </x:c>
      <x:c r="G110" s="214" t="str">
        <x:v>结构层</x:v>
      </x:c>
      <x:c r="H110" s="214" t="str">
        <x:v>其他</x:v>
      </x:c>
      <x:c r="I110" s="214" t="str">
        <x:v>十神组合边界</x:v>
      </x:c>
      <x:c r="J110" s="214" t="str">
        <x:v>多个十神</x:v>
      </x:c>
      <x:c r="K110" s="214" t="str">
        <x:v>一个核心十神节点连接多个组合</x:v>
      </x:c>
      <x:c r="L110" s="214" t="str">
        <x:v>需分配其有效力量容量</x:v>
      </x:c>
      <x:c r="M110" s="214" t="str">
        <x:v>直接或可达的生克制化路径成立</x:v>
      </x:c>
      <x:c r="N110" s="214" t="str">
        <x:v>相关十神均以M10有效力量为准，且不存在决定性失衡</x:v>
      </x:c>
      <x:c r="O110" s="214" t="str">
        <x:v>结合M09日主承载判断</x:v>
      </x:c>
      <x:c r="P110" s="214" t="str">
        <x:v>各组合共享节点时记录容量竞争</x:v>
      </x:c>
      <x:c r="Q110" s="214" t="str">
        <x:v>相关十神有根、有源、透达、清纯且关键通路稳定</x:v>
      </x:c>
      <x:c r="R110" s="214" t="str">
        <x:v>关键十神被合绊、被制、改性、失效或力量严重失衡</x:v>
      </x:c>
      <x:c r="S110" s="214" t="str">
        <x:v>存在第三十神恢复通路、清除破坏或重新形成平衡</x:v>
      </x:c>
      <x:c r="T110" s="214" t="str">
        <x:v>任一核心十神失效，或不存在真实作用路径</x:v>
      </x:c>
      <x:c r="U110" s="214" t="str">
        <x:v>特殊格局、从化或月令格局另转M14/M15复审</x:v>
      </x:c>
      <x:c r="V110" s="214" t="str">
        <x:v>待定</x:v>
      </x:c>
      <x:c r="W110" s="214" t="str">
        <x:v>形成局部生化、制化或承载结构</x:v>
      </x:c>
      <x:c r="X110" s="214" t="str">
        <x:v>否</x:v>
      </x:c>
      <x:c r="Y110" s="214" t="str">
        <x:v>对应格局候选转M14</x:v>
      </x:c>
      <x:c r="Z110" s="214" t="str">
        <x:v>组合共享节点边界</x:v>
      </x:c>
      <x:c r="AA110" s="214" t="str">
        <x:v>十神组合边界：当主体、客体、路径与力量匹配满足最低标准时，判“待定”；是否上升为格局转M14/M15。</x:v>
      </x:c>
      <x:c r="AB110" s="214" t="str">
        <x:v>较高</x:v>
      </x:c>
      <x:c r="AC110" s="214" t="str">
        <x:v>现代综合</x:v>
      </x:c>
      <x:c r="AD110" s="214" t="str">
        <x:v>十神同时出现不等于组合成立。M11须同时验证核心十神有效性、作用路径、力量匹配、日主承载、破坏因素与救应；组合成立也不等于格局成立。</x:v>
      </x:c>
      <x:c r="AE110" s="214" t="str">
        <x:v>一个核心十神节点连接多个组合；需分配其有效力量容量；作用路径稳定且无关键破坏，可按“十神组合边界”记录。</x:v>
      </x:c>
      <x:c r="AF110" s="214" t="str">
        <x:v>仅因“多个十神”同时出现，但核心十神无力、无作用路径或被关键因素破坏，不能判“十神组合边界”成立。</x:v>
      </x:c>
      <x:c r="AG110" s="214" t="str">
        <x:v>https://zh.wikisource.org/zh-hans/%E6%B7%B5%E6%B5%B7%E5%AD%90%E5%B9%B3 ; https://zh.wikisource.org/wiki/%E6%BB%B4%E5%A4%A9%E9%AB%93%E9%97%A1%E5%BE%AE</x:v>
      </x:c>
      <x:c r="AH110" s="214" t="str">
        <x:v>采用</x:v>
      </x:c>
      <x:c r="AI110" s="214" t="str">
        <x:v>初审</x:v>
      </x:c>
      <x:c r="AJ110" s="217" t="n">
        <x:v>46255</x:v>
      </x:c>
    </x:row>
    <x:row r="111">
      <x:c r="A111" s="214" t="str">
        <x:f>IF(OR(C111="",D111=""),"",B111&amp;"-"&amp;UPPER(C111)&amp;"-"&amp;TEXT(D111,"0000")&amp;"-"&amp;E111)</x:f>
        <x:v>M11-BOUND-0105-V1.0</x:v>
      </x:c>
      <x:c r="B111" s="214" t="str">
        <x:v>M11</x:v>
      </x:c>
      <x:c r="C111" s="214" t="str">
        <x:v>BOUND</x:v>
      </x:c>
      <x:c r="D111" s="216" t="n">
        <x:v>105</x:v>
      </x:c>
      <x:c r="E111" s="214" t="str">
        <x:v>V1.0</x:v>
      </x:c>
      <x:c r="F111" s="214" t="str">
        <x:v>原局组合与岁运补成组合必须分开</x:v>
      </x:c>
      <x:c r="G111" s="214" t="str">
        <x:v>结构层</x:v>
      </x:c>
      <x:c r="H111" s="214" t="str">
        <x:v>其他</x:v>
      </x:c>
      <x:c r="I111" s="214" t="str">
        <x:v>十神组合边界</x:v>
      </x:c>
      <x:c r="J111" s="214" t="str">
        <x:v>多个十神</x:v>
      </x:c>
      <x:c r="K111" s="214" t="str">
        <x:v>原局尚缺某组合核心十神或关键路径</x:v>
      </x:c>
      <x:c r="L111" s="214" t="str">
        <x:v>未来岁运可能补足</x:v>
      </x:c>
      <x:c r="M111" s="214" t="str">
        <x:v>直接或可达的生克制化路径成立</x:v>
      </x:c>
      <x:c r="N111" s="214" t="str">
        <x:v>相关十神均以M10有效力量为准，且不存在决定性失衡</x:v>
      </x:c>
      <x:c r="O111" s="214" t="str">
        <x:v>结合M09日主承载判断</x:v>
      </x:c>
      <x:c r="P111" s="214" t="str">
        <x:v>主体、客体、作用路径与力量匹配均达到最低要求</x:v>
      </x:c>
      <x:c r="Q111" s="214" t="str">
        <x:v>相关十神有根、有源、透达、清纯且关键通路稳定</x:v>
      </x:c>
      <x:c r="R111" s="214" t="str">
        <x:v>关键十神被合绊、被制、改性、失效或力量严重失衡</x:v>
      </x:c>
      <x:c r="S111" s="214" t="str">
        <x:v>存在第三十神恢复通路、清除破坏或重新形成平衡</x:v>
      </x:c>
      <x:c r="T111" s="214" t="str">
        <x:v>任一核心十神失效，或不存在真实作用路径</x:v>
      </x:c>
      <x:c r="U111" s="214" t="str">
        <x:v>岁运补成转动态作用引擎</x:v>
      </x:c>
      <x:c r="V111" s="214" t="str">
        <x:v>不成立</x:v>
      </x:c>
      <x:c r="W111" s="214" t="str">
        <x:v>原局不提前认定</x:v>
      </x:c>
      <x:c r="X111" s="214" t="str">
        <x:v>否</x:v>
      </x:c>
      <x:c r="Y111" s="214" t="str">
        <x:v>对应格局候选转M14</x:v>
      </x:c>
      <x:c r="Z111" s="214" t="str">
        <x:v>组合静动态边界</x:v>
      </x:c>
      <x:c r="AA111" s="214" t="str">
        <x:v>十神组合边界：当主体、客体、路径与力量匹配满足最低标准时，判“不成立”；是否上升为格局转M14/M15。</x:v>
      </x:c>
      <x:c r="AB111" s="214" t="str">
        <x:v>较高</x:v>
      </x:c>
      <x:c r="AC111" s="214" t="str">
        <x:v>现代综合</x:v>
      </x:c>
      <x:c r="AD111" s="214" t="str">
        <x:v>十神同时出现不等于组合成立。M11须同时验证核心十神有效性、作用路径、力量匹配、日主承载、破坏因素与救应；组合成立也不等于格局成立。</x:v>
      </x:c>
      <x:c r="AE111" s="214" t="str">
        <x:v>原局尚缺某组合核心十神或关键路径；未来岁运可能补足；作用路径稳定且无关键破坏，可按“十神组合边界”记录。</x:v>
      </x:c>
      <x:c r="AF111" s="214" t="str">
        <x:v>仅因“多个十神”同时出现，但核心十神无力、无作用路径或被关键因素破坏，不能判“十神组合边界”成立。</x:v>
      </x:c>
      <x:c r="AG111" s="214" t="str">
        <x:v>https://zh.wikisource.org/zh-hans/%E6%B7%B5%E6%B5%B7%E5%AD%90%E5%B9%B3 ; https://zh.wikisource.org/wiki/%E6%BB%B4%E5%A4%A9%E9%AB%93%E9%97%A1%E5%BE%AE</x:v>
      </x:c>
      <x:c r="AH111" s="214" t="str">
        <x:v>采用</x:v>
      </x:c>
      <x:c r="AI111" s="214" t="str">
        <x:v>初审</x:v>
      </x:c>
      <x:c r="AJ111" s="217" t="n">
        <x:v>46255</x:v>
      </x:c>
    </x:row>
    <x:row r="112">
      <x:c r="A112" s="214" t="str">
        <x:f>IF(OR(C112="",D112=""),"",B112&amp;"-"&amp;UPPER(C112)&amp;"-"&amp;TEXT(D112,"0000")&amp;"-"&amp;E112)</x:f>
        <x:v>M11-BOUND-0106-V1.0</x:v>
      </x:c>
      <x:c r="B112" s="214" t="str">
        <x:v>M11</x:v>
      </x:c>
      <x:c r="C112" s="214" t="str">
        <x:v>BOUND</x:v>
      </x:c>
      <x:c r="D112" s="216" t="n">
        <x:v>106</x:v>
      </x:c>
      <x:c r="E112" s="214" t="str">
        <x:v>V1.0</x:v>
      </x:c>
      <x:c r="F112" s="214" t="str">
        <x:v>组合成立不得直接推出吉凶与具体事件</x:v>
      </x:c>
      <x:c r="G112" s="214" t="str">
        <x:v>结构层</x:v>
      </x:c>
      <x:c r="H112" s="214" t="str">
        <x:v>其他</x:v>
      </x:c>
      <x:c r="I112" s="214" t="str">
        <x:v>十神组合边界</x:v>
      </x:c>
      <x:c r="J112" s="214" t="str">
        <x:v>多个十神</x:v>
      </x:c>
      <x:c r="K112" s="214" t="str">
        <x:v>任一组合达到基本成立以上</x:v>
      </x:c>
      <x:c r="L112" s="214" t="str">
        <x:v>现实价值仍需M14—M18及上层模型判断</x:v>
      </x:c>
      <x:c r="M112" s="214" t="str">
        <x:v>直接或可达的生克制化路径成立</x:v>
      </x:c>
      <x:c r="N112" s="214" t="str">
        <x:v>相关十神均以M10有效力量为准，且不存在决定性失衡</x:v>
      </x:c>
      <x:c r="O112" s="214" t="str">
        <x:v>结合M09日主承载判断</x:v>
      </x:c>
      <x:c r="P112" s="214" t="str">
        <x:v>主体、客体、作用路径与力量匹配均达到最低要求</x:v>
      </x:c>
      <x:c r="Q112" s="214" t="str">
        <x:v>相关十神有根、有源、透达、清纯且关键通路稳定</x:v>
      </x:c>
      <x:c r="R112" s="214" t="str">
        <x:v>关键十神被合绊、被制、改性、失效或力量严重失衡</x:v>
      </x:c>
      <x:c r="S112" s="214" t="str">
        <x:v>存在第三十神恢复通路、清除破坏或重新形成平衡</x:v>
      </x:c>
      <x:c r="T112" s="214" t="str">
        <x:v>任一核心十神失效，或不存在真实作用路径</x:v>
      </x:c>
      <x:c r="U112" s="214" t="str">
        <x:v>特殊格局、从化或月令格局另转M14/M15复审</x:v>
      </x:c>
      <x:c r="V112" s="214" t="str">
        <x:v>待定</x:v>
      </x:c>
      <x:c r="W112" s="214" t="str">
        <x:v>保持结构层边界</x:v>
      </x:c>
      <x:c r="X112" s="214" t="str">
        <x:v>待定</x:v>
      </x:c>
      <x:c r="Y112" s="214" t="str">
        <x:v>对应格局候选转M14</x:v>
      </x:c>
      <x:c r="Z112" s="214" t="str">
        <x:v>组合事件边界</x:v>
      </x:c>
      <x:c r="AA112" s="214" t="str">
        <x:v>十神组合边界：当主体、客体、路径与力量匹配满足最低标准时，判“待定”；是否上升为格局转M14/M15。</x:v>
      </x:c>
      <x:c r="AB112" s="214" t="str">
        <x:v>较高</x:v>
      </x:c>
      <x:c r="AC112" s="214" t="str">
        <x:v>现代综合</x:v>
      </x:c>
      <x:c r="AD112" s="214" t="str">
        <x:v>十神同时出现不等于组合成立。M11须同时验证核心十神有效性、作用路径、力量匹配、日主承载、破坏因素与救应；组合成立也不等于格局成立。</x:v>
      </x:c>
      <x:c r="AE112" s="214" t="str">
        <x:v>任一组合达到基本成立以上；现实价值仍需M14—M18及上层模型判断；作用路径稳定且无关键破坏，可按“十神组合边界”记录。</x:v>
      </x:c>
      <x:c r="AF112" s="214" t="str">
        <x:v>仅因“多个十神”同时出现，但核心十神无力、无作用路径或被关键因素破坏，不能判“十神组合边界”成立。</x:v>
      </x:c>
      <x:c r="AG112" s="214" t="str">
        <x:v>https://zh.wikisource.org/zh-hans/%E6%B7%B5%E6%B5%B7%E5%AD%90%E5%B9%B3 ; https://zh.wikisource.org/wiki/%E6%BB%B4%E5%A4%A9%E9%AB%93%E9%97%A1%E5%BE%AE</x:v>
      </x:c>
      <x:c r="AH112" s="214" t="str">
        <x:v>采用</x:v>
      </x:c>
      <x:c r="AI112" s="214" t="str">
        <x:v>初审</x:v>
      </x:c>
      <x:c r="AJ112" s="217" t="n">
        <x:v>46255</x:v>
      </x:c>
    </x:row>
    <x:row r="113">
      <x:c r="A113" s="214" t="str">
        <x:f>IF(OR(C113="",D113=""),"",B113&amp;"-"&amp;UPPER(C113)&amp;"-"&amp;TEXT(D113,"0000")&amp;"-"&amp;E113)</x:f>
        <x:v>M11-BOUND-0107-V1.0</x:v>
      </x:c>
      <x:c r="B113" s="214" t="str">
        <x:v>M11</x:v>
      </x:c>
      <x:c r="C113" s="214" t="str">
        <x:v>BOUND</x:v>
      </x:c>
      <x:c r="D113" s="216" t="n">
        <x:v>107</x:v>
      </x:c>
      <x:c r="E113" s="214" t="str">
        <x:v>V1.0</x:v>
      </x:c>
      <x:c r="F113" s="214" t="str">
        <x:v>病态组合也可能有救应不能只看名称</x:v>
      </x:c>
      <x:c r="G113" s="214" t="str">
        <x:v>结构层</x:v>
      </x:c>
      <x:c r="H113" s="214" t="str">
        <x:v>其他</x:v>
      </x:c>
      <x:c r="I113" s="214" t="str">
        <x:v>十神组合边界</x:v>
      </x:c>
      <x:c r="J113" s="214" t="str">
        <x:v>多个十神</x:v>
      </x:c>
      <x:c r="K113" s="214" t="str">
        <x:v>伤官见官、枭夺食、官杀混杂等被识别</x:v>
      </x:c>
      <x:c r="L113" s="214" t="str">
        <x:v>存在印、财、合制或主从清化等救应</x:v>
      </x:c>
      <x:c r="M113" s="214" t="str">
        <x:v>直接或可达的生克制化路径成立</x:v>
      </x:c>
      <x:c r="N113" s="214" t="str">
        <x:v>相关十神均以M10有效力量为准，且不存在决定性失衡</x:v>
      </x:c>
      <x:c r="O113" s="214" t="str">
        <x:v>结合M09日主承载判断</x:v>
      </x:c>
      <x:c r="P113" s="214" t="str">
        <x:v>同时输出病态强度与救应有效性</x:v>
      </x:c>
      <x:c r="Q113" s="214" t="str">
        <x:v>相关十神有根、有源、透达、清纯且关键通路稳定</x:v>
      </x:c>
      <x:c r="R113" s="214" t="str">
        <x:v>关键十神被合绊、被制、改性、失效或力量严重失衡</x:v>
      </x:c>
      <x:c r="S113" s="214" t="str">
        <x:v>存在第三十神恢复通路、清除破坏或重新形成平衡</x:v>
      </x:c>
      <x:c r="T113" s="214" t="str">
        <x:v>任一核心十神失效，或不存在真实作用路径</x:v>
      </x:c>
      <x:c r="U113" s="214" t="str">
        <x:v>特殊格局、从化或月令格局另转M14/M15复审</x:v>
      </x:c>
      <x:c r="V113" s="214" t="str">
        <x:v>待定</x:v>
      </x:c>
      <x:c r="W113" s="214" t="str">
        <x:v>形成局部生化、制化或承载结构</x:v>
      </x:c>
      <x:c r="X113" s="214" t="str">
        <x:v>条件性</x:v>
      </x:c>
      <x:c r="Y113" s="214" t="str">
        <x:v>对应格局候选转M14</x:v>
      </x:c>
      <x:c r="Z113" s="214" t="str">
        <x:v>病态组合救应边界</x:v>
      </x:c>
      <x:c r="AA113" s="214" t="str">
        <x:v>十神组合边界：当主体、客体、路径与力量匹配满足最低标准时，判“待定”；是否上升为格局转M14/M15。</x:v>
      </x:c>
      <x:c r="AB113" s="214" t="str">
        <x:v>较高</x:v>
      </x:c>
      <x:c r="AC113" s="214" t="str">
        <x:v>现代综合</x:v>
      </x:c>
      <x:c r="AD113" s="214" t="str">
        <x:v>十神同时出现不等于组合成立。M11须同时验证核心十神有效性、作用路径、力量匹配、日主承载、破坏因素与救应；组合成立也不等于格局成立。</x:v>
      </x:c>
      <x:c r="AE113" s="214" t="str">
        <x:v>伤官见官、枭夺食、官杀混杂等被识别；存在印、财、合制或主从清化等救应；作用路径稳定且无关键破坏，可按“十神组合边界”记录。</x:v>
      </x:c>
      <x:c r="AF113" s="214" t="str">
        <x:v>仅因“多个十神”同时出现，但核心十神无力、无作用路径或被关键因素破坏，不能判“十神组合边界”成立。</x:v>
      </x:c>
      <x:c r="AG113" s="214" t="str">
        <x:v>https://zh.wikisource.org/zh-hans/%E6%B7%B5%E6%B5%B7%E5%AD%90%E5%B9%B3 ; https://zh.wikisource.org/wiki/%E6%BB%B4%E5%A4%A9%E9%AB%93%E9%97%A1%E5%BE%AE</x:v>
      </x:c>
      <x:c r="AH113" s="214" t="str">
        <x:v>采用</x:v>
      </x:c>
      <x:c r="AI113" s="214" t="str">
        <x:v>初审</x:v>
      </x:c>
      <x:c r="AJ113" s="217" t="n">
        <x:v>46255</x:v>
      </x:c>
    </x:row>
    <x:row r="114">
      <x:c r="A114" s="214" t="str">
        <x:f>IF(OR(C114="",D114=""),"",B114&amp;"-"&amp;UPPER(C114)&amp;"-"&amp;TEXT(D114,"0000")&amp;"-"&amp;E114)</x:f>
        <x:v>M11-BOUND-0108-V1.0</x:v>
      </x:c>
      <x:c r="B114" s="214" t="str">
        <x:v>M11</x:v>
      </x:c>
      <x:c r="C114" s="214" t="str">
        <x:v>BOUND</x:v>
      </x:c>
      <x:c r="D114" s="216" t="n">
        <x:v>108</x:v>
      </x:c>
      <x:c r="E114" s="214" t="str">
        <x:v>V1.0</x:v>
      </x:c>
      <x:c r="F114" s="214" t="str">
        <x:v>传统口诀必须条件化落地</x:v>
      </x:c>
      <x:c r="G114" s="214" t="str">
        <x:v>结构层</x:v>
      </x:c>
      <x:c r="H114" s="214" t="str">
        <x:v>其他</x:v>
      </x:c>
      <x:c r="I114" s="214" t="str">
        <x:v>十神组合边界</x:v>
      </x:c>
      <x:c r="J114" s="214" t="str">
        <x:v>多个十神</x:v>
      </x:c>
      <x:c r="K114" s="214" t="str">
        <x:v>古籍存在“见某即某”式口诀</x:v>
      </x:c>
      <x:c r="L114" s="214" t="str">
        <x:v>现代规则库需还原其适用前提、强弱与例外</x:v>
      </x:c>
      <x:c r="M114" s="214" t="str">
        <x:v>直接或可达的生克制化路径成立</x:v>
      </x:c>
      <x:c r="N114" s="214" t="str">
        <x:v>相关十神均以M10有效力量为准，且不存在决定性失衡</x:v>
      </x:c>
      <x:c r="O114" s="214" t="str">
        <x:v>结合M09日主承载判断</x:v>
      </x:c>
      <x:c r="P114" s="214" t="str">
        <x:v>主体、客体、作用路径与力量匹配均达到最低要求</x:v>
      </x:c>
      <x:c r="Q114" s="214" t="str">
        <x:v>相关十神有根、有源、透达、清纯且关键通路稳定</x:v>
      </x:c>
      <x:c r="R114" s="214" t="str">
        <x:v>关键十神被合绊、被制、改性、失效或力量严重失衡</x:v>
      </x:c>
      <x:c r="S114" s="214" t="str">
        <x:v>存在第三十神恢复通路、清除破坏或重新形成平衡</x:v>
      </x:c>
      <x:c r="T114" s="214" t="str">
        <x:v>任一核心十神失效，或不存在真实作用路径</x:v>
      </x:c>
      <x:c r="U114" s="214" t="str">
        <x:v>特殊格局、从化或月令格局另转M14/M15复审</x:v>
      </x:c>
      <x:c r="V114" s="214" t="str">
        <x:v>基本成立</x:v>
      </x:c>
      <x:c r="W114" s="214" t="str">
        <x:v>将口诀转成条件规则</x:v>
      </x:c>
      <x:c r="X114" s="214" t="str">
        <x:v>条件性</x:v>
      </x:c>
      <x:c r="Y114" s="214" t="str">
        <x:v>对应格局候选转M14</x:v>
      </x:c>
      <x:c r="Z114" s="214" t="str">
        <x:v>口诀条件化治理</x:v>
      </x:c>
      <x:c r="AA114" s="214" t="str">
        <x:v>十神组合边界：当主体、客体、路径与力量匹配满足最低标准时，判“基本成立”；是否上升为格局转M14/M15。</x:v>
      </x:c>
      <x:c r="AB114" s="214" t="str">
        <x:v>中等</x:v>
      </x:c>
      <x:c r="AC114" s="214" t="str">
        <x:v>现代综合</x:v>
      </x:c>
      <x:c r="AD114" s="214" t="str">
        <x:v>十神同时出现不等于组合成立。M11须同时验证核心十神有效性、作用路径、力量匹配、日主承载、破坏因素与救应；组合成立也不等于格局成立。</x:v>
      </x:c>
      <x:c r="AE114" s="214" t="str">
        <x:v>古籍存在“见某即某”式口诀；现代规则库需还原其适用前提、强弱与例外；作用路径稳定且无关键破坏，可按“十神组合边界”记录。</x:v>
      </x:c>
      <x:c r="AF114" s="214" t="str">
        <x:v>仅因“多个十神”同时出现，但核心十神无力、无作用路径或被关键因素破坏，不能判“十神组合边界”成立。</x:v>
      </x:c>
      <x:c r="AG114" s="214" t="str">
        <x:v>https://zh.wikisource.org/zh-hans/%E6%B7%B5%E6%B5%B7%E5%AD%90%E5%B9%B3 ; https://zh.wikisource.org/wiki/%E6%BB%B4%E5%A4%A9%E9%AB%93%E9%97%A1%E5%BE%AE</x:v>
      </x:c>
      <x:c r="AH114" s="214" t="str">
        <x:v>待验证</x:v>
      </x:c>
      <x:c r="AI114" s="214" t="str">
        <x:v>初审</x:v>
      </x:c>
      <x:c r="AJ114" s="217" t="n">
        <x:v>46255</x:v>
      </x:c>
    </x:row>
    <x:row r="115">
      <x:c r="A115" s="214" t="str">
        <x:f>IF(OR(C115="",D115=""),"",B115&amp;"-"&amp;UPPER(C115)&amp;"-"&amp;TEXT(D115,"0000")&amp;"-"&amp;E115)</x:f>
        <x:v>M11-BOUND-0109-V1.0</x:v>
      </x:c>
      <x:c r="B115" s="214" t="str">
        <x:v>M11</x:v>
      </x:c>
      <x:c r="C115" s="214" t="str">
        <x:v>BOUND</x:v>
      </x:c>
      <x:c r="D115" s="216" t="n">
        <x:v>109</x:v>
      </x:c>
      <x:c r="E115" s="214" t="str">
        <x:v>V1.0</x:v>
      </x:c>
      <x:c r="F115" s="214" t="str">
        <x:v>流派分歧组合进入M21治理</x:v>
      </x:c>
      <x:c r="G115" s="214" t="str">
        <x:v>结构层</x:v>
      </x:c>
      <x:c r="H115" s="214" t="str">
        <x:v>其他</x:v>
      </x:c>
      <x:c r="I115" s="214" t="str">
        <x:v>十神组合边界</x:v>
      </x:c>
      <x:c r="J115" s="214" t="str">
        <x:v>多个十神</x:v>
      </x:c>
      <x:c r="K115" s="214" t="str">
        <x:v>某组合的成立门槛、位置权重或吉凶解释存在显著流派差异</x:v>
      </x:c>
      <x:c r="L115" s="214" t="str">
        <x:v>不能形成稳定跨流派共识</x:v>
      </x:c>
      <x:c r="M115" s="214" t="str">
        <x:v>直接或可达的生克制化路径成立</x:v>
      </x:c>
      <x:c r="N115" s="214" t="str">
        <x:v>相关十神均以M10有效力量为准，且不存在决定性失衡</x:v>
      </x:c>
      <x:c r="O115" s="214" t="str">
        <x:v>结合M09日主承载判断</x:v>
      </x:c>
      <x:c r="P115" s="214" t="str">
        <x:v>主体、客体、作用路径与力量匹配均达到最低要求</x:v>
      </x:c>
      <x:c r="Q115" s="214" t="str">
        <x:v>相关十神有根、有源、透达、清纯且关键通路稳定</x:v>
      </x:c>
      <x:c r="R115" s="214" t="str">
        <x:v>关键十神被合绊、被制、改性、失效或力量严重失衡</x:v>
      </x:c>
      <x:c r="S115" s="214" t="str">
        <x:v>存在第三十神恢复通路、清除破坏或重新形成平衡</x:v>
      </x:c>
      <x:c r="T115" s="214" t="str">
        <x:v>任一核心十神失效，或不存在真实作用路径</x:v>
      </x:c>
      <x:c r="U115" s="214" t="str">
        <x:v>在M21登记争议、采用口径和反证</x:v>
      </x:c>
      <x:c r="V115" s="214" t="str">
        <x:v>待定</x:v>
      </x:c>
      <x:c r="W115" s="214" t="str">
        <x:v>形成局部生化、制化或承载结构</x:v>
      </x:c>
      <x:c r="X115" s="214" t="str">
        <x:v>条件性</x:v>
      </x:c>
      <x:c r="Y115" s="214" t="str">
        <x:v>对应格局候选转M14</x:v>
      </x:c>
      <x:c r="Z115" s="214" t="str">
        <x:v>组合流派治理</x:v>
      </x:c>
      <x:c r="AA115" s="214" t="str">
        <x:v>十神组合边界：当主体、客体、路径与力量匹配满足最低标准时，判“待定”；是否上升为格局转M14/M15。</x:v>
      </x:c>
      <x:c r="AB115" s="214" t="str">
        <x:v>中等</x:v>
      </x:c>
      <x:c r="AC115" s="214" t="str">
        <x:v>现代综合</x:v>
      </x:c>
      <x:c r="AD115" s="214" t="str">
        <x:v>十神同时出现不等于组合成立。M11须同时验证核心十神有效性、作用路径、力量匹配、日主承载、破坏因素与救应；组合成立也不等于格局成立。</x:v>
      </x:c>
      <x:c r="AE115" s="214" t="str">
        <x:v>某组合的成立门槛、位置权重或吉凶解释存在显著流派差异；不能形成稳定跨流派共识；作用路径稳定且无关键破坏，可按“十神组合边界”记录。</x:v>
      </x:c>
      <x:c r="AF115" s="214" t="str">
        <x:v>仅因“多个十神”同时出现，但核心十神无力、无作用路径或被关键因素破坏，不能判“十神组合边界”成立。</x:v>
      </x:c>
      <x:c r="AG115" s="214" t="str">
        <x:v>https://zh.wikisource.org/zh-hans/%E6%B7%B5%E6%B5%B7%E5%AD%90%E5%B9%B3 ; https://zh.wikisource.org/wiki/%E6%BB%B4%E5%A4%A9%E9%AB%93%E9%97%A1%E5%BE%AE</x:v>
      </x:c>
      <x:c r="AH115" s="214" t="str">
        <x:v>待验证</x:v>
      </x:c>
      <x:c r="AI115" s="214" t="str">
        <x:v>初审</x:v>
      </x:c>
      <x:c r="AJ115" s="217" t="n">
        <x:v>46255</x:v>
      </x:c>
    </x:row>
    <x:row r="116">
      <x:c r="A116" s="214" t="str">
        <x:f>IF(OR(C116="",D116=""),"",B116&amp;"-"&amp;UPPER(C116)&amp;"-"&amp;TEXT(D116,"0000")&amp;"-"&amp;E116)</x:f>
        <x:v>M11-BOUND-0110-V1.0</x:v>
      </x:c>
      <x:c r="B116" s="214" t="str">
        <x:v>M11</x:v>
      </x:c>
      <x:c r="C116" s="214" t="str">
        <x:v>BOUND</x:v>
      </x:c>
      <x:c r="D116" s="216" t="n">
        <x:v>110</x:v>
      </x:c>
      <x:c r="E116" s="214" t="str">
        <x:v>V1.0</x:v>
      </x:c>
      <x:c r="F116" s="214" t="str">
        <x:v>M11标准输出必须给出成立等级与否决理由</x:v>
      </x:c>
      <x:c r="G116" s="214" t="str">
        <x:v>结构层</x:v>
      </x:c>
      <x:c r="H116" s="214" t="str">
        <x:v>其他</x:v>
      </x:c>
      <x:c r="I116" s="214" t="str">
        <x:v>十神组合边界</x:v>
      </x:c>
      <x:c r="J116" s="214" t="str">
        <x:v>多个十神</x:v>
      </x:c>
      <x:c r="K116" s="214" t="str">
        <x:v>M11完成所有候选组合评估</x:v>
      </x:c>
      <x:c r="L116" s="214" t="str">
        <x:v>每个候选均需要明确为何成立、为何降级或为何不成立</x:v>
      </x:c>
      <x:c r="M116" s="214" t="str">
        <x:v>直接或可达的生克制化路径成立</x:v>
      </x:c>
      <x:c r="N116" s="214" t="str">
        <x:v>相关十神均以M10有效力量为准，且不存在决定性失衡</x:v>
      </x:c>
      <x:c r="O116" s="214" t="str">
        <x:v>结合M09日主承载判断</x:v>
      </x:c>
      <x:c r="P116" s="214" t="str">
        <x:v>成立条件、破坏、救应、否决和日主承载均有记录</x:v>
      </x:c>
      <x:c r="Q116" s="214" t="str">
        <x:v>相关十神有根、有源、透达、清纯且关键通路稳定</x:v>
      </x:c>
      <x:c r="R116" s="214" t="str">
        <x:v>关键十神被合绊、被制、改性、失效或力量严重失衡</x:v>
      </x:c>
      <x:c r="S116" s="214" t="str">
        <x:v>存在第三十神恢复通路、清除破坏或重新形成平衡</x:v>
      </x:c>
      <x:c r="T116" s="214" t="str">
        <x:v>任一核心十神失效，或不存在真实作用路径</x:v>
      </x:c>
      <x:c r="U116" s="214" t="str">
        <x:v>特殊格局、从化或月令格局另转M14/M15复审</x:v>
      </x:c>
      <x:c r="V116" s="214" t="str">
        <x:v>待定</x:v>
      </x:c>
      <x:c r="W116" s="214" t="str">
        <x:v>形成可审计组合输出</x:v>
      </x:c>
      <x:c r="X116" s="214" t="str">
        <x:v>待定</x:v>
      </x:c>
      <x:c r="Y116" s="214" t="str">
        <x:v>对应格局候选转M14</x:v>
      </x:c>
      <x:c r="Z116" s="214" t="str">
        <x:v>组合标准输出</x:v>
      </x:c>
      <x:c r="AA116" s="214" t="str">
        <x:v>M11最终输出：组合名称、核心十神、作用路径、力量匹配、日主承载、成立等级、实际功能、主要破坏、救应、否决理由、格局候选资格和置信度。</x:v>
      </x:c>
      <x:c r="AB116" s="214" t="str">
        <x:v>较高</x:v>
      </x:c>
      <x:c r="AC116" s="214" t="str">
        <x:v>现代综合</x:v>
      </x:c>
      <x:c r="AD116" s="214" t="str">
        <x:v>十神同时出现不等于组合成立。M11须同时验证核心十神有效性、作用路径、力量匹配、日主承载、破坏因素与救应；组合成立也不等于格局成立。</x:v>
      </x:c>
      <x:c r="AE116" s="214" t="str">
        <x:v>M11完成所有候选组合评估；每个候选均需要明确为何成立、为何降级或为何不成立；作用路径稳定且无关键破坏，可按“十神组合边界”记录。</x:v>
      </x:c>
      <x:c r="AF116" s="214" t="str">
        <x:v>仅因“多个十神”同时出现，但核心十神无力、无作用路径或被关键因素破坏，不能判“十神组合边界”成立。</x:v>
      </x:c>
      <x:c r="AG116" s="214" t="str">
        <x:v>https://zh.wikisource.org/zh-hans/%E6%B7%B5%E6%B5%B7%E5%AD%90%E5%B9%B3 ; https://zh.wikisource.org/wiki/%E6%BB%B4%E5%A4%A9%E9%AB%93%E9%97%A1%E5%BE%AE</x:v>
      </x:c>
      <x:c r="AH116" s="214" t="str">
        <x:v>采用</x:v>
      </x:c>
      <x:c r="AI116" s="214" t="str">
        <x:v>初审</x:v>
      </x:c>
      <x:c r="AJ116" s="217" t="n">
        <x:v>46255</x:v>
      </x:c>
    </x:row>
  </x:sheetData>
  <x:mergeCells>
    <x:mergeCell ref="A1:O1"/>
    <x:mergeCell ref="A2:O2"/>
    <x:mergeCell ref="A3:O3"/>
    <x:mergeCell ref="A4:O4"/>
  </x:mergeCells>
  <x:conditionalFormatting sqref="A6:A105">
    <x:cfRule type="expression" dxfId="9" priority="1">
      <x:formula>AND(A6&lt;&gt;"",COUNTIF($A$6:$A$105,A6)&gt;1)</x:formula>
    </x:cfRule>
  </x:conditionalFormatting>
  <x:dataValidations count="20">
    <x:dataValidation type="list" sqref="E6:E105">
      <x:formula1>'99_下拉选项'!$BG$4:$BG$12</x:formula1>
    </x:dataValidation>
    <x:dataValidation type="list" sqref="G6:G105">
      <x:formula1>'99_下拉选项'!$F$4:$F$7</x:formula1>
    </x:dataValidation>
    <x:dataValidation type="list" sqref="H6:H105">
      <x:formula1>'99_下拉选项'!$AQ$4:$AQ$8</x:formula1>
    </x:dataValidation>
    <x:dataValidation type="list" sqref="V6:V105">
      <x:formula1>'99_下拉选项'!$V$4:$V$9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 type="list" sqref="E6:E130">
      <x:formula1>'99_下拉选项'!$BG$4:$BG$14</x:formula1>
    </x:dataValidation>
    <x:dataValidation type="list" sqref="E7:E105">
      <x:formula1>'99_下拉选项'!$BG$4:$BG$14</x:formula1>
    </x:dataValidation>
    <x:dataValidation type="list" sqref="E7:E116">
      <x:formula1>'99_下拉选项'!$BG$4:$BG$19</x:formula1>
    </x:dataValidation>
    <x:dataValidation type="list" sqref="G7:G116">
      <x:formula1>'99_下拉选项'!$F$4:$F$7</x:formula1>
    </x:dataValidation>
    <x:dataValidation type="list" sqref="H7:H116">
      <x:formula1>'99_下拉选项'!$AQ$4:$AQ$8</x:formula1>
    </x:dataValidation>
    <x:dataValidation type="list" sqref="V7:V116">
      <x:formula1>'99_下拉选项'!$V$4:$V$9</x:formula1>
    </x:dataValidation>
    <x:dataValidation type="list" sqref="X7:X116">
      <x:formula1>'99_下拉选项'!$X$4:$X$7</x:formula1>
    </x:dataValidation>
    <x:dataValidation type="list" sqref="AB7:AB116">
      <x:formula1>'99_下拉选项'!$Q$4:$Q$8</x:formula1>
    </x:dataValidation>
    <x:dataValidation type="list" sqref="AC7:AC116">
      <x:formula1>'99_下拉选项'!$R$4:$R$11</x:formula1>
    </x:dataValidation>
    <x:dataValidation type="list" sqref="AH7:AH116">
      <x:formula1>'99_下拉选项'!$S$4:$S$9</x:formula1>
    </x:dataValidation>
    <x:dataValidation type="list" sqref="AI7:AI116">
      <x:formula1>'99_下拉选项'!$T$4:$T$8</x:formula1>
    </x:dataValidation>
  </x:dataValidations>
  <x:pageMargins left="0.7" right="0.7" top="0.75" bottom="0.75" header="0.3" footer="0.3"/>
  <x:tableParts count="1">
    <x:tablePart xmlns:r="http://schemas.openxmlformats.org/officeDocument/2006/relationships" r:id="R01afe816f5c4403c"/>
  </x:tableParts>
</x:worksheet>
</file>

<file path=xl/worksheets/sheet1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16" hidden="0" customWidth="1"/>
    <x:col min="12" max="12" width="16" hidden="0" customWidth="1"/>
    <x:col min="13" max="13" width="16"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16"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M12｜五行与十神流通路径规则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把五行和十神关系表达为起点—桥梁—终点路径，定位缺桥、桥弱、两强相战、寒凝燥枯与终点不能承载等卡点。</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前置依赖：M06/M08/M10/M11　｜　主要输出：主要流通路径、卡点与通关候选　｜　直接下游：M13/M16/M17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路径类型</x:v>
      </x:c>
      <x:c r="I5" s="61" t="str">
        <x:v>起点</x:v>
      </x:c>
      <x:c r="J5" s="61" t="str">
        <x:v>中间桥梁</x:v>
      </x:c>
      <x:c r="K5" s="61" t="str">
        <x:v>终点</x:v>
      </x:c>
      <x:c r="L5" s="61" t="str">
        <x:v>起点强度</x:v>
      </x:c>
      <x:c r="M5" s="61" t="str">
        <x:v>桥梁强度</x:v>
      </x:c>
      <x:c r="N5" s="61" t="str">
        <x:v>桥梁状态</x:v>
      </x:c>
      <x:c r="O5" s="61" t="str">
        <x:v>终点承载</x:v>
      </x:c>
      <x:c r="P5" s="61" t="str">
        <x:v>连续性</x:v>
      </x:c>
      <x:c r="Q5" s="61" t="str">
        <x:v>流通状态</x:v>
      </x:c>
      <x:c r="R5" s="61" t="str">
        <x:v>卡点类型</x:v>
      </x:c>
      <x:c r="S5" s="61" t="str">
        <x:v>卡点位置</x:v>
      </x:c>
      <x:c r="T5" s="61" t="str">
        <x:v>卡点原因</x:v>
      </x:c>
      <x:c r="U5" s="61" t="str">
        <x:v>通关五行</x:v>
      </x:c>
      <x:c r="V5" s="61" t="str">
        <x:v>通关条件</x:v>
      </x:c>
      <x:c r="W5" s="61" t="str">
        <x:v>通关副作用</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M12-DEMO-9999-V0.1</x:v>
      </x:c>
      <x:c r="B6" s="76" t="str">
        <x:v>M12</x:v>
      </x:c>
      <x:c r="C6" s="76" t="str">
        <x:v>DEMO</x:v>
      </x:c>
      <x:c r="D6" s="78" t="n">
        <x:v>9999</x:v>
      </x:c>
      <x:c r="E6" s="76" t="str">
        <x:v>V0.1</x:v>
      </x:c>
      <x:c r="F6" s="76" t="str">
        <x:v>两强相战需寻找有效桥梁</x:v>
      </x:c>
      <x:c r="G6" s="76" t="str">
        <x:v>结构层</x:v>
      </x:c>
      <x:c r="H6" s="76" t="str">
        <x:v>五行生化路径</x:v>
      </x:c>
      <x:c r="I6" s="76" t="str">
        <x:v>金</x:v>
      </x:c>
      <x:c r="J6" s="76" t="str">
        <x:v>水</x:v>
      </x:c>
      <x:c r="K6" s="76" t="str">
        <x:v>木</x:v>
      </x:c>
      <x:c r="L6" s="76" t="str">
        <x:v>旺</x:v>
      </x:c>
      <x:c r="M6" s="76" t="str">
        <x:v>弱</x:v>
      </x:c>
      <x:c r="N6" s="76" t="str">
        <x:v>水弱或受土制</x:v>
      </x:c>
      <x:c r="O6" s="76" t="str">
        <x:v>木有根但受金克</x:v>
      </x:c>
      <x:c r="P6" s="76" t="str">
        <x:v>中断</x:v>
      </x:c>
      <x:c r="Q6" s="76" t="str">
        <x:v>明显阻断</x:v>
      </x:c>
      <x:c r="R6" s="76" t="str">
        <x:v>桥梁太弱</x:v>
      </x:c>
      <x:c r="S6" s="76" t="str">
        <x:v>水</x:v>
      </x:c>
      <x:c r="T6" s="76" t="str">
        <x:v>金木对战，水不足以泄金生木</x:v>
      </x:c>
      <x:c r="U6" s="76" t="str">
        <x:v>水</x:v>
      </x:c>
      <x:c r="V6" s="76" t="str">
        <x:v>水须有根有源且不被强土阻断</x:v>
      </x:c>
      <x:c r="W6" s="76" t="str">
        <x:v>水过强可能寒湿或进一步削弱火</x:v>
      </x:c>
      <x:c r="X6" s="76" t="str">
        <x:v>M08有效旺衰完成</x:v>
      </x:c>
      <x:c r="Y6" s="76" t="str">
        <x:v>确认金、木均形成实际对战</x:v>
      </x:c>
      <x:c r="Z6" s="76" t="str">
        <x:v>水得令、有根并能连续生木</x:v>
      </x:c>
      <x:c r="AA6" s="76" t="str">
        <x:v>水无根、受强土克或寒凝不流</x:v>
      </x:c>
      <x:c r="AB6" s="76" t="str">
        <x:v>缺水不等于一定需要补水；若金木并未构成主矛盾则不立此规则</x:v>
      </x:c>
      <x:c r="AC6" s="76" t="str">
        <x:v>若火可制金并承担更优病药功能，水不一定是首选</x:v>
      </x:c>
      <x:c r="AD6" s="76" t="str">
        <x:v>流通卡点</x:v>
      </x:c>
      <x:c r="AE6" s="76" t="str">
        <x:v>主要卡点位于水：其不足使金木之间缺少有效泄化桥梁；是否以水通关仍需审查寒湿与格局副作用。</x:v>
      </x:c>
      <x:c r="AF6" s="76" t="str">
        <x:v>中等</x:v>
      </x:c>
      <x:c r="AG6" s="76" t="str">
        <x:v>现代综合</x:v>
      </x:c>
      <x:c r="AH6" s="76" t="str">
        <x:v>流通判断关注有效路径，不以五行齐全与否替代。</x:v>
      </x:c>
      <x:c r="AI6" s="76" t="str">
        <x:v>金木两强相战，水有条件成为桥梁。</x:v>
      </x:c>
      <x:c r="AJ6" s="76" t="str">
        <x:v>仅因八字缺水便认定水是通关用神。</x:v>
      </x:c>
      <x:c r="AK6" s="76" t="str">
        <x:v>示例</x:v>
      </x:c>
      <x:c r="AL6" s="76" t="str">
        <x:v>未审核</x:v>
      </x:c>
      <x:c r="AM6" s="86" t="n">
        <x:v>46254</x:v>
      </x:c>
    </x:row>
    <x:row r="7">
      <x:c r="A7" s="72" t="str">
        <x:f>IF(OR(C7="",D7=""),"",B7&amp;"-"&amp;UPPER(C7)&amp;"-"&amp;TEXT(D7,"0000")&amp;"-"&amp;E7)</x:f>
        <x:v>M12-GEN-0001-V1.0</x:v>
      </x:c>
      <x:c r="B7" s="74" t="str">
        <x:v>M12</x:v>
      </x:c>
      <x:c r="C7" s="74" t="str">
        <x:v>GEN</x:v>
      </x:c>
      <x:c r="D7" s="215" t="n">
        <x:v>1</x:v>
      </x:c>
      <x:c r="E7" s="74" t="str">
        <x:v>V1.0</x:v>
      </x:c>
      <x:c r="F7" s="68" t="str">
        <x:v>所有流通判断统一使用起点—桥梁—终点模型</x:v>
      </x:c>
      <x:c r="G7" s="82" t="str">
        <x:v>结构层</x:v>
      </x:c>
      <x:c r="H7" s="68" t="str">
        <x:v>五行生化路径</x:v>
      </x:c>
      <x:c r="I7" s="68" t="str">
        <x:v>待定</x:v>
      </x:c>
      <x:c r="J7" s="68" t="str">
        <x:v>待定</x:v>
      </x:c>
      <x:c r="K7" s="68" t="str">
        <x:v>待定</x:v>
      </x:c>
      <x:c r="L7" s="82" t="str">
        <x:v>待定</x:v>
      </x:c>
      <x:c r="M7" s="82" t="str">
        <x:v>待定</x:v>
      </x:c>
      <x:c r="N7" s="68" t="str">
        <x:v>待定</x:v>
      </x:c>
      <x:c r="O7" s="68" t="str">
        <x:v>待定</x:v>
      </x:c>
      <x:c r="P7" s="68" t="str">
        <x:v>待定</x:v>
      </x:c>
      <x:c r="Q7" s="82" t="str">
        <x:v>待定</x:v>
      </x:c>
      <x:c r="R7" s="82" t="str">
        <x:v>其他</x:v>
      </x:c>
      <x:c r="S7" s="68" t="str">
        <x:v>待定</x:v>
      </x:c>
      <x:c r="T7" s="68" t="str">
        <x:v>流通结论需要至少明确力量从何处出发、经过什么节点、最终由谁承接</x:v>
      </x:c>
      <x:c r="U7" s="68" t="str">
        <x:v>待定</x:v>
      </x:c>
      <x:c r="V7" s="68" t="str">
        <x:v>待定</x:v>
      </x:c>
      <x:c r="W7" s="90" t="str">
        <x:v>需检查对调候、格局、日主承载及其他通路的副作用</x:v>
      </x:c>
      <x:c r="X7" s="68" t="str">
        <x:v>M06关系效应、M08五行有效旺衰、M10十神功能与M11组合判断已完成</x:v>
      </x:c>
      <x:c r="Y7" s="68" t="str">
        <x:v>起点、桥梁、终点均按有效力量与实际作用路径判断</x:v>
      </x:c>
      <x:c r="Z7" s="68" t="str">
        <x:v>桥梁有根有源、透达、位置可达且不存在关键制约</x:v>
      </x:c>
      <x:c r="AA7" s="68" t="str">
        <x:v>桥梁失令、无根、受克、合绊、改性或同时被多路调用</x:v>
      </x:c>
      <x:c r="AB7" s="90" t="str">
        <x:v>不得仅因五行缺失、数量少或关系名称直接认定卡点或通关用神</x:v>
      </x:c>
      <x:c r="AC7" s="68" t="str">
        <x:v>若存在更短、更强或副作用更小的替代路径，应并列比较后再裁定</x:v>
      </x:c>
      <x:c r="AD7" s="84" t="str">
        <x:v>流通三节点模型</x:v>
      </x:c>
      <x:c r="AE7" s="84" t="str">
        <x:v>所有流通判断统一使用起点—桥梁—终点模型：按起点—桥梁—终点检查有效力量、连续性与承载；卡点为“其他”时，仅生成通关候选，不直接定用神。</x:v>
      </x:c>
      <x:c r="AF7" s="82" t="str">
        <x:v>较高</x:v>
      </x:c>
      <x:c r="AG7" s="82" t="str">
        <x:v>现代综合</x:v>
      </x:c>
      <x:c r="AH7" s="68" t="str">
        <x:v>流通判断以五行有效力量、生克顺序与十神功能为核心；古典依据可参照《滴天髓》《渊海子平》。 https://zh.wikisource.org/wiki/%E6%BB%B4%E5%A4%A9%E9%AB%93%E9%97%A1%E5%BE%AE https://zh.wikisource.org/zh-hans/%E6%B7%B5%E6%B5%B7%E5%AD%90%E5%B9%B3</x:v>
      </x:c>
      <x:c r="AI7" s="68" t="str">
        <x:v>当“流通结论需要至少明确力量从何处出发、经过什么节点、最终由谁承接”真实成立，且桥梁具备有效力量和连续作用条件时，可按“所有流通判断统一使用起点—桥梁—终点模型”记录。</x:v>
      </x:c>
      <x:c r="AJ7" s="90" t="str">
        <x:v>仅见表面缺失或五行相克，但未证明“流通结论需要至少明确力量从何处出发、经过什么节点、最终由谁承接”形成实际阻断时，不得套用“所有流通判断统一使用起点—桥梁—终点模型”。</x:v>
      </x:c>
      <x:c r="AK7" s="82" t="str">
        <x:v>采用</x:v>
      </x:c>
      <x:c r="AL7" s="82" t="str">
        <x:v>初审</x:v>
      </x:c>
      <x:c r="AM7" s="87" t="n">
        <x:v>46255</x:v>
      </x:c>
    </x:row>
    <x:row r="8">
      <x:c r="A8" s="72" t="str">
        <x:f>IF(OR(C8="",D8=""),"",B8&amp;"-"&amp;UPPER(C8)&amp;"-"&amp;TEXT(D8,"0000")&amp;"-"&amp;E8)</x:f>
        <x:v>M12-GEN-0002-V1.0</x:v>
      </x:c>
      <x:c r="B8" s="74" t="str">
        <x:v>M12</x:v>
      </x:c>
      <x:c r="C8" s="74" t="str">
        <x:v>GEN</x:v>
      </x:c>
      <x:c r="D8" s="215" t="n">
        <x:v>2</x:v>
      </x:c>
      <x:c r="E8" s="74" t="str">
        <x:v>V1.0</x:v>
      </x:c>
      <x:c r="F8" s="68" t="str">
        <x:v>五行齐全不等于流通通畅</x:v>
      </x:c>
      <x:c r="G8" s="82" t="str">
        <x:v>结构层</x:v>
      </x:c>
      <x:c r="H8" s="68" t="str">
        <x:v>五行生化路径</x:v>
      </x:c>
      <x:c r="I8" s="68" t="str">
        <x:v>待定</x:v>
      </x:c>
      <x:c r="J8" s="68" t="str">
        <x:v>待定</x:v>
      </x:c>
      <x:c r="K8" s="68" t="str">
        <x:v>待定</x:v>
      </x:c>
      <x:c r="L8" s="82" t="str">
        <x:v>待定</x:v>
      </x:c>
      <x:c r="M8" s="82" t="str">
        <x:v>待定</x:v>
      </x:c>
      <x:c r="N8" s="68" t="str">
        <x:v>待定</x:v>
      </x:c>
      <x:c r="O8" s="68" t="str">
        <x:v>待定</x:v>
      </x:c>
      <x:c r="P8" s="68" t="str">
        <x:v>待定</x:v>
      </x:c>
      <x:c r="Q8" s="82" t="str">
        <x:v>待定</x:v>
      </x:c>
      <x:c r="R8" s="82" t="str">
        <x:v>其他</x:v>
      </x:c>
      <x:c r="S8" s="68" t="str">
        <x:v>待定</x:v>
      </x:c>
      <x:c r="T8" s="68" t="str">
        <x:v>五行虽齐，但桥梁可能失效、路径被克或终点无法承载</x:v>
      </x:c>
      <x:c r="U8" s="68" t="str">
        <x:v>待定</x:v>
      </x:c>
      <x:c r="V8" s="68" t="str">
        <x:v>待定</x:v>
      </x:c>
      <x:c r="W8" s="90" t="str">
        <x:v>需检查对调候、格局、日主承载及其他通路的副作用</x:v>
      </x:c>
      <x:c r="X8" s="68" t="str">
        <x:v>M06关系效应、M08五行有效旺衰、M10十神功能与M11组合判断已完成</x:v>
      </x:c>
      <x:c r="Y8" s="68" t="str">
        <x:v>起点、桥梁、终点均按有效力量与实际作用路径判断</x:v>
      </x:c>
      <x:c r="Z8" s="68" t="str">
        <x:v>桥梁有根有源、透达、位置可达且不存在关键制约</x:v>
      </x:c>
      <x:c r="AA8" s="68" t="str">
        <x:v>桥梁失令、无根、受克、合绊、改性或同时被多路调用</x:v>
      </x:c>
      <x:c r="AB8" s="90" t="str">
        <x:v>不得仅因五行缺失、数量少或关系名称直接认定卡点或通关用神</x:v>
      </x:c>
      <x:c r="AC8" s="68" t="str">
        <x:v>若存在更短、更强或副作用更小的替代路径，应并列比较后再裁定</x:v>
      </x:c>
      <x:c r="AD8" s="84" t="str">
        <x:v>五行齐全非充分条件</x:v>
      </x:c>
      <x:c r="AE8" s="84" t="str">
        <x:v>五行齐全不等于流通通畅：按起点—桥梁—终点检查有效力量、连续性与承载；卡点为“其他”时，仅生成通关候选，不直接定用神。</x:v>
      </x:c>
      <x:c r="AF8" s="82" t="str">
        <x:v>较高</x:v>
      </x:c>
      <x:c r="AG8" s="82" t="str">
        <x:v>现代综合</x:v>
      </x:c>
      <x:c r="AH8" s="68" t="str">
        <x:v>流通判断以五行有效力量、生克顺序与十神功能为核心；古典依据可参照《滴天髓》《渊海子平》。 https://zh.wikisource.org/wiki/%E6%BB%B4%E5%A4%A9%E9%AB%93%E9%97%A1%E5%BE%AE https://zh.wikisource.org/zh-hans/%E6%B7%B5%E6%B5%B7%E5%AD%90%E5%B9%B3</x:v>
      </x:c>
      <x:c r="AI8" s="68" t="str">
        <x:v>当“五行虽齐，但桥梁可能失效、路径被克或终点无法承载”真实成立，且桥梁具备有效力量和连续作用条件时，可按“五行齐全不等于流通通畅”记录。</x:v>
      </x:c>
      <x:c r="AJ8" s="90" t="str">
        <x:v>仅见表面缺失或五行相克，但未证明“五行虽齐，但桥梁可能失效、路径被克或终点无法承载”形成实际阻断时，不得套用“五行齐全不等于流通通畅”。</x:v>
      </x:c>
      <x:c r="AK8" s="82" t="str">
        <x:v>采用</x:v>
      </x:c>
      <x:c r="AL8" s="82" t="str">
        <x:v>初审</x:v>
      </x:c>
      <x:c r="AM8" s="87" t="n">
        <x:v>46255</x:v>
      </x:c>
    </x:row>
    <x:row r="9">
      <x:c r="A9" s="72" t="str">
        <x:f>IF(OR(C9="",D9=""),"",B9&amp;"-"&amp;UPPER(C9)&amp;"-"&amp;TEXT(D9,"0000")&amp;"-"&amp;E9)</x:f>
        <x:v>M12-GEN-0003-V1.0</x:v>
      </x:c>
      <x:c r="B9" s="74" t="str">
        <x:v>M12</x:v>
      </x:c>
      <x:c r="C9" s="74" t="str">
        <x:v>GEN</x:v>
      </x:c>
      <x:c r="D9" s="215" t="n">
        <x:v>3</x:v>
      </x:c>
      <x:c r="E9" s="74" t="str">
        <x:v>V1.0</x:v>
      </x:c>
      <x:c r="F9" s="68" t="str">
        <x:v>五行缺失不等于必然形成卡点</x:v>
      </x:c>
      <x:c r="G9" s="82" t="str">
        <x:v>结构层</x:v>
      </x:c>
      <x:c r="H9" s="68" t="str">
        <x:v>五行生化路径</x:v>
      </x:c>
      <x:c r="I9" s="68" t="str">
        <x:v>待定</x:v>
      </x:c>
      <x:c r="J9" s="68" t="str">
        <x:v>待定</x:v>
      </x:c>
      <x:c r="K9" s="68" t="str">
        <x:v>待定</x:v>
      </x:c>
      <x:c r="L9" s="82" t="str">
        <x:v>待定</x:v>
      </x:c>
      <x:c r="M9" s="82" t="str">
        <x:v>待定</x:v>
      </x:c>
      <x:c r="N9" s="68" t="str">
        <x:v>待定</x:v>
      </x:c>
      <x:c r="O9" s="68" t="str">
        <x:v>待定</x:v>
      </x:c>
      <x:c r="P9" s="68" t="str">
        <x:v>待定</x:v>
      </x:c>
      <x:c r="Q9" s="82" t="str">
        <x:v>待定</x:v>
      </x:c>
      <x:c r="R9" s="82" t="str">
        <x:v>缺桥</x:v>
      </x:c>
      <x:c r="S9" s="68" t="str">
        <x:v>待定</x:v>
      </x:c>
      <x:c r="T9" s="68" t="str">
        <x:v>缺失五行并非当前主路径必要桥梁，或存在其他有效路径</x:v>
      </x:c>
      <x:c r="U9" s="68" t="str">
        <x:v>待定</x:v>
      </x:c>
      <x:c r="V9" s="68" t="str">
        <x:v>待定</x:v>
      </x:c>
      <x:c r="W9" s="90" t="str">
        <x:v>需检查对调候、格局、日主承载及其他通路的副作用</x:v>
      </x:c>
      <x:c r="X9" s="68" t="str">
        <x:v>M06关系效应、M08五行有效旺衰、M10十神功能与M11组合判断已完成</x:v>
      </x:c>
      <x:c r="Y9" s="68" t="str">
        <x:v>起点、桥梁、终点均按有效力量与实际作用路径判断</x:v>
      </x:c>
      <x:c r="Z9" s="68" t="str">
        <x:v>桥梁有根有源、透达、位置可达且不存在关键制约</x:v>
      </x:c>
      <x:c r="AA9" s="68" t="str">
        <x:v>桥梁失令、无根、受克、合绊、改性或同时被多路调用</x:v>
      </x:c>
      <x:c r="AB9" s="90" t="str">
        <x:v>不得仅因五行缺失、数量少或关系名称直接认定卡点或通关用神</x:v>
      </x:c>
      <x:c r="AC9" s="68" t="str">
        <x:v>若存在更短、更强或副作用更小的替代路径，应并列比较后再裁定</x:v>
      </x:c>
      <x:c r="AD9" s="84" t="str">
        <x:v>五行缺失非卡点充分条件</x:v>
      </x:c>
      <x:c r="AE9" s="84" t="str">
        <x:v>五行缺失不等于必然形成卡点：按起点—桥梁—终点检查有效力量、连续性与承载；卡点为“缺桥”时，仅生成通关候选，不直接定用神。</x:v>
      </x:c>
      <x:c r="AF9" s="82" t="str">
        <x:v>较高</x:v>
      </x:c>
      <x:c r="AG9" s="82" t="str">
        <x:v>现代综合</x:v>
      </x:c>
      <x:c r="AH9" s="68" t="str">
        <x:v>流通判断以五行有效力量、生克顺序与十神功能为核心；古典依据可参照《滴天髓》《渊海子平》。 https://zh.wikisource.org/wiki/%E6%BB%B4%E5%A4%A9%E9%AB%93%E9%97%A1%E5%BE%AE https://zh.wikisource.org/zh-hans/%E6%B7%B5%E6%B5%B7%E5%AD%90%E5%B9%B3</x:v>
      </x:c>
      <x:c r="AI9" s="68" t="str">
        <x:v>当“缺失五行并非当前主路径必要桥梁，或存在其他有效路径”真实成立，且桥梁具备有效力量和连续作用条件时，可按“五行缺失不等于必然形成卡点”记录。</x:v>
      </x:c>
      <x:c r="AJ9" s="90" t="str">
        <x:v>仅见表面缺失或五行相克，但未证明“缺失五行并非当前主路径必要桥梁，或存在其他有效路径”形成实际阻断时，不得套用“五行缺失不等于必然形成卡点”。</x:v>
      </x:c>
      <x:c r="AK9" s="82" t="str">
        <x:v>采用</x:v>
      </x:c>
      <x:c r="AL9" s="82" t="str">
        <x:v>初审</x:v>
      </x:c>
      <x:c r="AM9" s="87" t="n">
        <x:v>46255</x:v>
      </x:c>
    </x:row>
    <x:row r="10">
      <x:c r="A10" s="72" t="str">
        <x:f>IF(OR(C10="",D10=""),"",B10&amp;"-"&amp;UPPER(C10)&amp;"-"&amp;TEXT(D10,"0000")&amp;"-"&amp;E10)</x:f>
        <x:v>M12-GEN-0004-V1.0</x:v>
      </x:c>
      <x:c r="B10" s="74" t="str">
        <x:v>M12</x:v>
      </x:c>
      <x:c r="C10" s="74" t="str">
        <x:v>GEN</x:v>
      </x:c>
      <x:c r="D10" s="215" t="n">
        <x:v>4</x:v>
      </x:c>
      <x:c r="E10" s="74" t="str">
        <x:v>V1.0</x:v>
      </x:c>
      <x:c r="F10" s="68" t="str">
        <x:v>流通只读取有效力量而不读取名义存在</x:v>
      </x:c>
      <x:c r="G10" s="82" t="str">
        <x:v>结构层</x:v>
      </x:c>
      <x:c r="H10" s="68" t="str">
        <x:v>五行生化路径</x:v>
      </x:c>
      <x:c r="I10" s="68" t="str">
        <x:v>待定</x:v>
      </x:c>
      <x:c r="J10" s="68" t="str">
        <x:v>待定</x:v>
      </x:c>
      <x:c r="K10" s="68" t="str">
        <x:v>待定</x:v>
      </x:c>
      <x:c r="L10" s="82" t="str">
        <x:v>待定</x:v>
      </x:c>
      <x:c r="M10" s="82" t="str">
        <x:v>待定</x:v>
      </x:c>
      <x:c r="N10" s="68" t="str">
        <x:v>待定</x:v>
      </x:c>
      <x:c r="O10" s="68" t="str">
        <x:v>待定</x:v>
      </x:c>
      <x:c r="P10" s="68" t="str">
        <x:v>待定</x:v>
      </x:c>
      <x:c r="Q10" s="82" t="str">
        <x:v>局部阻塞</x:v>
      </x:c>
      <x:c r="R10" s="82" t="str">
        <x:v>桥梁太弱</x:v>
      </x:c>
      <x:c r="S10" s="68" t="str">
        <x:v>待定</x:v>
      </x:c>
      <x:c r="T10" s="68" t="str">
        <x:v>某五行虽有字但M08已判失效、受限或改性</x:v>
      </x:c>
      <x:c r="U10" s="68" t="str">
        <x:v>待定</x:v>
      </x:c>
      <x:c r="V10" s="68" t="str">
        <x:v>待定</x:v>
      </x:c>
      <x:c r="W10" s="90" t="str">
        <x:v>需检查对调候、格局、日主承载及其他通路的副作用</x:v>
      </x:c>
      <x:c r="X10" s="68" t="str">
        <x:v>M06关系效应、M08五行有效旺衰、M10十神功能与M11组合判断已完成</x:v>
      </x:c>
      <x:c r="Y10" s="68" t="str">
        <x:v>起点、桥梁、终点均按有效力量与实际作用路径判断</x:v>
      </x:c>
      <x:c r="Z10" s="68" t="str">
        <x:v>桥梁有根有源、透达、位置可达且不存在关键制约</x:v>
      </x:c>
      <x:c r="AA10" s="68" t="str">
        <x:v>桥梁失令、无根、受克、合绊、改性或同时被多路调用</x:v>
      </x:c>
      <x:c r="AB10" s="90" t="str">
        <x:v>不得仅因五行缺失、数量少或关系名称直接认定卡点或通关用神</x:v>
      </x:c>
      <x:c r="AC10" s="68" t="str">
        <x:v>若存在更短、更强或副作用更小的替代路径，应并列比较后再裁定</x:v>
      </x:c>
      <x:c r="AD10" s="84" t="str">
        <x:v>有效力量优先</x:v>
      </x:c>
      <x:c r="AE10" s="84" t="str">
        <x:v>流通只读取有效力量而不读取名义存在：按起点—桥梁—终点检查有效力量、连续性与承载；卡点为“桥梁太弱”时，仅生成通关候选，不直接定用神。</x:v>
      </x:c>
      <x:c r="AF10" s="82" t="str">
        <x:v>较高</x:v>
      </x:c>
      <x:c r="AG10" s="82" t="str">
        <x:v>现代综合</x:v>
      </x:c>
      <x:c r="AH10" s="68" t="str">
        <x:v>流通判断以五行有效力量、生克顺序与十神功能为核心；古典依据可参照《滴天髓》《渊海子平》。 https://zh.wikisource.org/wiki/%E6%BB%B4%E5%A4%A9%E9%AB%93%E9%97%A1%E5%BE%AE https://zh.wikisource.org/zh-hans/%E6%B7%B5%E6%B5%B7%E5%AD%90%E5%B9%B3</x:v>
      </x:c>
      <x:c r="AI10" s="68" t="str">
        <x:v>当“某五行虽有字但M08已判失效、受限或改性”真实成立，且桥梁具备有效力量和连续作用条件时，可按“流通只读取有效力量而不读取名义存在”记录。</x:v>
      </x:c>
      <x:c r="AJ10" s="90" t="str">
        <x:v>仅见表面缺失或五行相克，但未证明“某五行虽有字但M08已判失效、受限或改性”形成实际阻断时，不得套用“流通只读取有效力量而不读取名义存在”。</x:v>
      </x:c>
      <x:c r="AK10" s="82" t="str">
        <x:v>采用</x:v>
      </x:c>
      <x:c r="AL10" s="82" t="str">
        <x:v>初审</x:v>
      </x:c>
      <x:c r="AM10" s="87" t="n">
        <x:v>46255</x:v>
      </x:c>
    </x:row>
    <x:row r="11">
      <x:c r="A11" s="72" t="str">
        <x:f>IF(OR(C11="",D11=""),"",B11&amp;"-"&amp;UPPER(C11)&amp;"-"&amp;TEXT(D11,"0000")&amp;"-"&amp;E11)</x:f>
        <x:v>M12-GEN-0005-V1.0</x:v>
      </x:c>
      <x:c r="B11" s="74" t="str">
        <x:v>M12</x:v>
      </x:c>
      <x:c r="C11" s="74" t="str">
        <x:v>GEN</x:v>
      </x:c>
      <x:c r="D11" s="215" t="n">
        <x:v>5</x:v>
      </x:c>
      <x:c r="E11" s="74" t="str">
        <x:v>V1.0</x:v>
      </x:c>
      <x:c r="F11" s="68" t="str">
        <x:v>路径长度增加会降低末端有效传递</x:v>
      </x:c>
      <x:c r="G11" s="82" t="str">
        <x:v>结构层</x:v>
      </x:c>
      <x:c r="H11" s="68" t="str">
        <x:v>五行生化路径</x:v>
      </x:c>
      <x:c r="I11" s="68" t="str">
        <x:v>待定</x:v>
      </x:c>
      <x:c r="J11" s="68" t="str">
        <x:v>待定</x:v>
      </x:c>
      <x:c r="K11" s="68" t="str">
        <x:v>待定</x:v>
      </x:c>
      <x:c r="L11" s="82" t="str">
        <x:v>待定</x:v>
      </x:c>
      <x:c r="M11" s="82" t="str">
        <x:v>待定</x:v>
      </x:c>
      <x:c r="N11" s="68" t="str">
        <x:v>待定</x:v>
      </x:c>
      <x:c r="O11" s="68" t="str">
        <x:v>待定</x:v>
      </x:c>
      <x:c r="P11" s="68" t="str">
        <x:v>待定</x:v>
      </x:c>
      <x:c r="Q11" s="82" t="str">
        <x:v>局部阻塞</x:v>
      </x:c>
      <x:c r="R11" s="82" t="str">
        <x:v>链路过长</x:v>
      </x:c>
      <x:c r="S11" s="68" t="str">
        <x:v>待定</x:v>
      </x:c>
      <x:c r="T11" s="68" t="str">
        <x:v>力量需要跨越多个连续生化节点，且每层存在耗散与容量限制</x:v>
      </x:c>
      <x:c r="U11" s="68" t="str">
        <x:v>待定</x:v>
      </x:c>
      <x:c r="V11" s="68" t="str">
        <x:v>待定</x:v>
      </x:c>
      <x:c r="W11" s="90" t="str">
        <x:v>需检查对调候、格局、日主承载及其他通路的副作用</x:v>
      </x:c>
      <x:c r="X11" s="68" t="str">
        <x:v>M06关系效应、M08五行有效旺衰、M10十神功能与M11组合判断已完成</x:v>
      </x:c>
      <x:c r="Y11" s="68" t="str">
        <x:v>起点、桥梁、终点均按有效力量与实际作用路径判断</x:v>
      </x:c>
      <x:c r="Z11" s="68" t="str">
        <x:v>桥梁有根有源、透达、位置可达且不存在关键制约</x:v>
      </x:c>
      <x:c r="AA11" s="68" t="str">
        <x:v>桥梁失令、无根、受克、合绊、改性或同时被多路调用</x:v>
      </x:c>
      <x:c r="AB11" s="90" t="str">
        <x:v>不得仅因五行缺失、数量少或关系名称直接认定卡点或通关用神</x:v>
      </x:c>
      <x:c r="AC11" s="68" t="str">
        <x:v>若存在更短、更强或副作用更小的替代路径，应并列比较后再裁定</x:v>
      </x:c>
      <x:c r="AD11" s="84" t="str">
        <x:v>链路长度衰减</x:v>
      </x:c>
      <x:c r="AE11" s="84" t="str">
        <x:v>路径长度增加会降低末端有效传递：按起点—桥梁—终点检查有效力量、连续性与承载；卡点为“链路过长”时，仅生成通关候选，不直接定用神。</x:v>
      </x:c>
      <x:c r="AF11" s="82" t="str">
        <x:v>较高</x:v>
      </x:c>
      <x:c r="AG11" s="82" t="str">
        <x:v>现代综合</x:v>
      </x:c>
      <x:c r="AH11" s="68" t="str">
        <x:v>流通判断以五行有效力量、生克顺序与十神功能为核心；古典依据可参照《滴天髓》《渊海子平》。 https://zh.wikisource.org/wiki/%E6%BB%B4%E5%A4%A9%E9%AB%93%E9%97%A1%E5%BE%AE https://zh.wikisource.org/zh-hans/%E6%B7%B5%E6%B5%B7%E5%AD%90%E5%B9%B3</x:v>
      </x:c>
      <x:c r="AI11" s="68" t="str">
        <x:v>当“力量需要跨越多个连续生化节点，且每层存在耗散与容量限制”真实成立，且桥梁具备有效力量和连续作用条件时，可按“路径长度增加会降低末端有效传递”记录。</x:v>
      </x:c>
      <x:c r="AJ11" s="90" t="str">
        <x:v>仅见表面缺失或五行相克，但未证明“力量需要跨越多个连续生化节点，且每层存在耗散与容量限制”形成实际阻断时，不得套用“路径长度增加会降低末端有效传递”。</x:v>
      </x:c>
      <x:c r="AK11" s="82" t="str">
        <x:v>采用</x:v>
      </x:c>
      <x:c r="AL11" s="82" t="str">
        <x:v>初审</x:v>
      </x:c>
      <x:c r="AM11" s="87" t="n">
        <x:v>46255</x:v>
      </x:c>
    </x:row>
    <x:row r="12">
      <x:c r="A12" s="72" t="str">
        <x:f>IF(OR(C12="",D12=""),"",B12&amp;"-"&amp;UPPER(C12)&amp;"-"&amp;TEXT(D12,"0000")&amp;"-"&amp;E12)</x:f>
        <x:v>M12-GEN-0006-V1.0</x:v>
      </x:c>
      <x:c r="B12" s="74" t="str">
        <x:v>M12</x:v>
      </x:c>
      <x:c r="C12" s="74" t="str">
        <x:v>GEN</x:v>
      </x:c>
      <x:c r="D12" s="215" t="n">
        <x:v>6</x:v>
      </x:c>
      <x:c r="E12" s="74" t="str">
        <x:v>V1.0</x:v>
      </x:c>
      <x:c r="F12" s="68" t="str">
        <x:v>同一节点参与多条路径必须进行容量去重</x:v>
      </x:c>
      <x:c r="G12" s="82" t="str">
        <x:v>结构层</x:v>
      </x:c>
      <x:c r="H12" s="68" t="str">
        <x:v>五行生化路径</x:v>
      </x:c>
      <x:c r="I12" s="68" t="str">
        <x:v>待定</x:v>
      </x:c>
      <x:c r="J12" s="68" t="str">
        <x:v>待定</x:v>
      </x:c>
      <x:c r="K12" s="68" t="str">
        <x:v>待定</x:v>
      </x:c>
      <x:c r="L12" s="82" t="str">
        <x:v>待定</x:v>
      </x:c>
      <x:c r="M12" s="82" t="str">
        <x:v>待定</x:v>
      </x:c>
      <x:c r="N12" s="68" t="str">
        <x:v>待定</x:v>
      </x:c>
      <x:c r="O12" s="68" t="str">
        <x:v>待定</x:v>
      </x:c>
      <x:c r="P12" s="68" t="str">
        <x:v>待定</x:v>
      </x:c>
      <x:c r="Q12" s="82" t="str">
        <x:v>待定</x:v>
      </x:c>
      <x:c r="R12" s="82" t="str">
        <x:v>其他</x:v>
      </x:c>
      <x:c r="S12" s="68" t="str">
        <x:v>待定</x:v>
      </x:c>
      <x:c r="T12" s="68" t="str">
        <x:v>同一五行或十神被多个起点、终点或组合同时调用</x:v>
      </x:c>
      <x:c r="U12" s="68" t="str">
        <x:v>待定</x:v>
      </x:c>
      <x:c r="V12" s="68" t="str">
        <x:v>待定</x:v>
      </x:c>
      <x:c r="W12" s="90" t="str">
        <x:v>需检查对调候、格局、日主承载及其他通路的副作用</x:v>
      </x:c>
      <x:c r="X12" s="68" t="str">
        <x:v>M06关系效应、M08五行有效旺衰、M10十神功能与M11组合判断已完成</x:v>
      </x:c>
      <x:c r="Y12" s="68" t="str">
        <x:v>起点、桥梁、终点均按有效力量与实际作用路径判断</x:v>
      </x:c>
      <x:c r="Z12" s="68" t="str">
        <x:v>桥梁有根有源、透达、位置可达且不存在关键制约</x:v>
      </x:c>
      <x:c r="AA12" s="68" t="str">
        <x:v>桥梁失令、无根、受克、合绊、改性或同时被多路调用</x:v>
      </x:c>
      <x:c r="AB12" s="90" t="str">
        <x:v>不得仅因五行缺失、数量少或关系名称直接认定卡点或通关用神</x:v>
      </x:c>
      <x:c r="AC12" s="68" t="str">
        <x:v>若存在更短、更强或副作用更小的替代路径，应并列比较后再裁定</x:v>
      </x:c>
      <x:c r="AD12" s="84" t="str">
        <x:v>路径容量去重</x:v>
      </x:c>
      <x:c r="AE12" s="84" t="str">
        <x:v>同一节点参与多条路径必须进行容量去重：按起点—桥梁—终点检查有效力量、连续性与承载；卡点为“其他”时，仅生成通关候选，不直接定用神。</x:v>
      </x:c>
      <x:c r="AF12" s="82" t="str">
        <x:v>较高</x:v>
      </x:c>
      <x:c r="AG12" s="82" t="str">
        <x:v>现代综合</x:v>
      </x:c>
      <x:c r="AH12" s="68" t="str">
        <x:v>流通判断以五行有效力量、生克顺序与十神功能为核心；古典依据可参照《滴天髓》《渊海子平》。 https://zh.wikisource.org/wiki/%E6%BB%B4%E5%A4%A9%E9%AB%93%E9%97%A1%E5%BE%AE https://zh.wikisource.org/zh-hans/%E6%B7%B5%E6%B5%B7%E5%AD%90%E5%B9%B3</x:v>
      </x:c>
      <x:c r="AI12" s="68" t="str">
        <x:v>当“同一五行或十神被多个起点、终点或组合同时调用”真实成立，且桥梁具备有效力量和连续作用条件时，可按“同一节点参与多条路径必须进行容量去重”记录。</x:v>
      </x:c>
      <x:c r="AJ12" s="90" t="str">
        <x:v>仅见表面缺失或五行相克，但未证明“同一五行或十神被多个起点、终点或组合同时调用”形成实际阻断时，不得套用“同一节点参与多条路径必须进行容量去重”。</x:v>
      </x:c>
      <x:c r="AK12" s="82" t="str">
        <x:v>采用</x:v>
      </x:c>
      <x:c r="AL12" s="82" t="str">
        <x:v>初审</x:v>
      </x:c>
      <x:c r="AM12" s="87" t="n">
        <x:v>46255</x:v>
      </x:c>
    </x:row>
    <x:row r="13">
      <x:c r="A13" s="72" t="str">
        <x:f>IF(OR(C13="",D13=""),"",B13&amp;"-"&amp;UPPER(C13)&amp;"-"&amp;TEXT(D13,"0000")&amp;"-"&amp;E13)</x:f>
        <x:v>M12-GEN-0007-V1.0</x:v>
      </x:c>
      <x:c r="B13" s="74" t="str">
        <x:v>M12</x:v>
      </x:c>
      <x:c r="C13" s="74" t="str">
        <x:v>GEN</x:v>
      </x:c>
      <x:c r="D13" s="215" t="n">
        <x:v>7</x:v>
      </x:c>
      <x:c r="E13" s="74" t="str">
        <x:v>V1.0</x:v>
      </x:c>
      <x:c r="F13" s="68" t="str">
        <x:v>流通路径应优先保留更短更稳定的主路径</x:v>
      </x:c>
      <x:c r="G13" s="82" t="str">
        <x:v>结构层</x:v>
      </x:c>
      <x:c r="H13" s="68" t="str">
        <x:v>五行生化路径</x:v>
      </x:c>
      <x:c r="I13" s="68" t="str">
        <x:v>待定</x:v>
      </x:c>
      <x:c r="J13" s="68" t="str">
        <x:v>待定</x:v>
      </x:c>
      <x:c r="K13" s="68" t="str">
        <x:v>待定</x:v>
      </x:c>
      <x:c r="L13" s="82" t="str">
        <x:v>待定</x:v>
      </x:c>
      <x:c r="M13" s="82" t="str">
        <x:v>待定</x:v>
      </x:c>
      <x:c r="N13" s="68" t="str">
        <x:v>待定</x:v>
      </x:c>
      <x:c r="O13" s="68" t="str">
        <x:v>待定</x:v>
      </x:c>
      <x:c r="P13" s="68" t="str">
        <x:v>待定</x:v>
      </x:c>
      <x:c r="Q13" s="82" t="str">
        <x:v>基本通畅</x:v>
      </x:c>
      <x:c r="R13" s="82" t="str">
        <x:v>其他</x:v>
      </x:c>
      <x:c r="S13" s="68" t="str">
        <x:v>待定</x:v>
      </x:c>
      <x:c r="T13" s="68" t="str">
        <x:v>存在两条以上可达路径，但长度、桥梁强度和副作用差异明显</x:v>
      </x:c>
      <x:c r="U13" s="68" t="str">
        <x:v>待定</x:v>
      </x:c>
      <x:c r="V13" s="68" t="str">
        <x:v>待定</x:v>
      </x:c>
      <x:c r="W13" s="90" t="str">
        <x:v>需检查对调候、格局、日主承载及其他通路的副作用</x:v>
      </x:c>
      <x:c r="X13" s="68" t="str">
        <x:v>M06关系效应、M08五行有效旺衰、M10十神功能与M11组合判断已完成</x:v>
      </x:c>
      <x:c r="Y13" s="68" t="str">
        <x:v>起点、桥梁、终点均按有效力量与实际作用路径判断</x:v>
      </x:c>
      <x:c r="Z13" s="68" t="str">
        <x:v>桥梁有根有源、透达、位置可达且不存在关键制约</x:v>
      </x:c>
      <x:c r="AA13" s="68" t="str">
        <x:v>桥梁失令、无根、受克、合绊、改性或同时被多路调用</x:v>
      </x:c>
      <x:c r="AB13" s="90" t="str">
        <x:v>不得仅因五行缺失、数量少或关系名称直接认定卡点或通关用神</x:v>
      </x:c>
      <x:c r="AC13" s="68" t="str">
        <x:v>若存在更短、更强或副作用更小的替代路径，应并列比较后再裁定</x:v>
      </x:c>
      <x:c r="AD13" s="84" t="str">
        <x:v>主路径优选</x:v>
      </x:c>
      <x:c r="AE13" s="84" t="str">
        <x:v>流通路径应优先保留更短更稳定的主路径：按起点—桥梁—终点检查有效力量、连续性与承载；卡点为“其他”时，仅生成通关候选，不直接定用神。</x:v>
      </x:c>
      <x:c r="AF13" s="82" t="str">
        <x:v>较高</x:v>
      </x:c>
      <x:c r="AG13" s="82" t="str">
        <x:v>现代综合</x:v>
      </x:c>
      <x:c r="AH13" s="68" t="str">
        <x:v>流通判断以五行有效力量、生克顺序与十神功能为核心；古典依据可参照《滴天髓》《渊海子平》。 https://zh.wikisource.org/wiki/%E6%BB%B4%E5%A4%A9%E9%AB%93%E9%97%A1%E5%BE%AE https://zh.wikisource.org/zh-hans/%E6%B7%B5%E6%B5%B7%E5%AD%90%E5%B9%B3</x:v>
      </x:c>
      <x:c r="AI13" s="68" t="str">
        <x:v>当“存在两条以上可达路径，但长度、桥梁强度和副作用差异明显”真实成立，且桥梁具备有效力量和连续作用条件时，可按“流通路径应优先保留更短更稳定的主路径”记录。</x:v>
      </x:c>
      <x:c r="AJ13" s="90" t="str">
        <x:v>仅见表面缺失或五行相克，但未证明“存在两条以上可达路径，但长度、桥梁强度和副作用差异明显”形成实际阻断时，不得套用“流通路径应优先保留更短更稳定的主路径”。</x:v>
      </x:c>
      <x:c r="AK13" s="82" t="str">
        <x:v>采用</x:v>
      </x:c>
      <x:c r="AL13" s="82" t="str">
        <x:v>初审</x:v>
      </x:c>
      <x:c r="AM13" s="87" t="n">
        <x:v>46255</x:v>
      </x:c>
    </x:row>
    <x:row r="14">
      <x:c r="A14" s="72" t="str">
        <x:f>IF(OR(C14="",D14=""),"",B14&amp;"-"&amp;UPPER(C14)&amp;"-"&amp;TEXT(D14,"0000")&amp;"-"&amp;E14)</x:f>
        <x:v>M12-GEN-0008-V1.0</x:v>
      </x:c>
      <x:c r="B14" s="74" t="str">
        <x:v>M12</x:v>
      </x:c>
      <x:c r="C14" s="74" t="str">
        <x:v>GEN</x:v>
      </x:c>
      <x:c r="D14" s="215" t="n">
        <x:v>8</x:v>
      </x:c>
      <x:c r="E14" s="74" t="str">
        <x:v>V1.0</x:v>
      </x:c>
      <x:c r="F14" s="68" t="str">
        <x:v>局部通畅不等于全局通畅</x:v>
      </x:c>
      <x:c r="G14" s="82" t="str">
        <x:v>结构层</x:v>
      </x:c>
      <x:c r="H14" s="68" t="str">
        <x:v>五行生化路径</x:v>
      </x:c>
      <x:c r="I14" s="68" t="str">
        <x:v>待定</x:v>
      </x:c>
      <x:c r="J14" s="68" t="str">
        <x:v>待定</x:v>
      </x:c>
      <x:c r="K14" s="68" t="str">
        <x:v>待定</x:v>
      </x:c>
      <x:c r="L14" s="82" t="str">
        <x:v>待定</x:v>
      </x:c>
      <x:c r="M14" s="82" t="str">
        <x:v>待定</x:v>
      </x:c>
      <x:c r="N14" s="68" t="str">
        <x:v>待定</x:v>
      </x:c>
      <x:c r="O14" s="68" t="str">
        <x:v>待定</x:v>
      </x:c>
      <x:c r="P14" s="68" t="str">
        <x:v>待定</x:v>
      </x:c>
      <x:c r="Q14" s="82" t="str">
        <x:v>局部阻塞</x:v>
      </x:c>
      <x:c r="R14" s="82" t="str">
        <x:v>其他</x:v>
      </x:c>
      <x:c r="S14" s="68" t="str">
        <x:v>待定</x:v>
      </x:c>
      <x:c r="T14" s="68" t="str">
        <x:v>一条生化链顺畅但另一处仍存在两强相战、壅塞或终点失衡</x:v>
      </x:c>
      <x:c r="U14" s="68" t="str">
        <x:v>待定</x:v>
      </x:c>
      <x:c r="V14" s="68" t="str">
        <x:v>待定</x:v>
      </x:c>
      <x:c r="W14" s="90" t="str">
        <x:v>需检查对调候、格局、日主承载及其他通路的副作用</x:v>
      </x:c>
      <x:c r="X14" s="68" t="str">
        <x:v>M06关系效应、M08五行有效旺衰、M10十神功能与M11组合判断已完成</x:v>
      </x:c>
      <x:c r="Y14" s="68" t="str">
        <x:v>起点、桥梁、终点均按有效力量与实际作用路径判断</x:v>
      </x:c>
      <x:c r="Z14" s="68" t="str">
        <x:v>桥梁有根有源、透达、位置可达且不存在关键制约</x:v>
      </x:c>
      <x:c r="AA14" s="68" t="str">
        <x:v>桥梁失令、无根、受克、合绊、改性或同时被多路调用</x:v>
      </x:c>
      <x:c r="AB14" s="90" t="str">
        <x:v>不得仅因五行缺失、数量少或关系名称直接认定卡点或通关用神</x:v>
      </x:c>
      <x:c r="AC14" s="68" t="str">
        <x:v>若存在更短、更强或副作用更小的替代路径，应并列比较后再裁定</x:v>
      </x:c>
      <x:c r="AD14" s="84" t="str">
        <x:v>局部全局分离</x:v>
      </x:c>
      <x:c r="AE14" s="84" t="str">
        <x:v>局部通畅不等于全局通畅：按起点—桥梁—终点检查有效力量、连续性与承载；卡点为“其他”时，仅生成通关候选，不直接定用神。</x:v>
      </x:c>
      <x:c r="AF14" s="82" t="str">
        <x:v>较高</x:v>
      </x:c>
      <x:c r="AG14" s="82" t="str">
        <x:v>现代综合</x:v>
      </x:c>
      <x:c r="AH14" s="68" t="str">
        <x:v>流通判断以五行有效力量、生克顺序与十神功能为核心；古典依据可参照《滴天髓》《渊海子平》。 https://zh.wikisource.org/wiki/%E6%BB%B4%E5%A4%A9%E9%AB%93%E9%97%A1%E5%BE%AE https://zh.wikisource.org/zh-hans/%E6%B7%B5%E6%B5%B7%E5%AD%90%E5%B9%B3</x:v>
      </x:c>
      <x:c r="AI14" s="68" t="str">
        <x:v>当“一条生化链顺畅但另一处仍存在两强相战、壅塞或终点失衡”真实成立，且桥梁具备有效力量和连续作用条件时，可按“局部通畅不等于全局通畅”记录。</x:v>
      </x:c>
      <x:c r="AJ14" s="90" t="str">
        <x:v>仅见表面缺失或五行相克，但未证明“一条生化链顺畅但另一处仍存在两强相战、壅塞或终点失衡”形成实际阻断时，不得套用“局部通畅不等于全局通畅”。</x:v>
      </x:c>
      <x:c r="AK14" s="82" t="str">
        <x:v>采用</x:v>
      </x:c>
      <x:c r="AL14" s="82" t="str">
        <x:v>初审</x:v>
      </x:c>
      <x:c r="AM14" s="87" t="n">
        <x:v>46255</x:v>
      </x:c>
    </x:row>
    <x:row r="15">
      <x:c r="A15" s="72" t="str">
        <x:f>IF(OR(C15="",D15=""),"",B15&amp;"-"&amp;UPPER(C15)&amp;"-"&amp;TEXT(D15,"0000")&amp;"-"&amp;E15)</x:f>
        <x:v>M12-GEN-0009-V1.0</x:v>
      </x:c>
      <x:c r="B15" s="74" t="str">
        <x:v>M12</x:v>
      </x:c>
      <x:c r="C15" s="74" t="str">
        <x:v>GEN</x:v>
      </x:c>
      <x:c r="D15" s="215" t="n">
        <x:v>9</x:v>
      </x:c>
      <x:c r="E15" s="74" t="str">
        <x:v>V1.0</x:v>
      </x:c>
      <x:c r="F15" s="68" t="str">
        <x:v>流通状态必须区分通畅、基本通畅、局部阻塞、明显阻断和无有效路径</x:v>
      </x:c>
      <x:c r="G15" s="82" t="str">
        <x:v>结构层</x:v>
      </x:c>
      <x:c r="H15" s="68" t="str">
        <x:v>五行生化路径</x:v>
      </x:c>
      <x:c r="I15" s="68" t="str">
        <x:v>待定</x:v>
      </x:c>
      <x:c r="J15" s="68" t="str">
        <x:v>待定</x:v>
      </x:c>
      <x:c r="K15" s="68" t="str">
        <x:v>待定</x:v>
      </x:c>
      <x:c r="L15" s="82" t="str">
        <x:v>待定</x:v>
      </x:c>
      <x:c r="M15" s="82" t="str">
        <x:v>待定</x:v>
      </x:c>
      <x:c r="N15" s="68" t="str">
        <x:v>待定</x:v>
      </x:c>
      <x:c r="O15" s="68" t="str">
        <x:v>待定</x:v>
      </x:c>
      <x:c r="P15" s="68" t="str">
        <x:v>待定</x:v>
      </x:c>
      <x:c r="Q15" s="82" t="str">
        <x:v>待定</x:v>
      </x:c>
      <x:c r="R15" s="82" t="str">
        <x:v>其他</x:v>
      </x:c>
      <x:c r="S15" s="68" t="str">
        <x:v>待定</x:v>
      </x:c>
      <x:c r="T15" s="68" t="str">
        <x:v>路径有效程度存在层级差异，不能只用通或不通二分</x:v>
      </x:c>
      <x:c r="U15" s="68" t="str">
        <x:v>待定</x:v>
      </x:c>
      <x:c r="V15" s="68" t="str">
        <x:v>待定</x:v>
      </x:c>
      <x:c r="W15" s="90" t="str">
        <x:v>需检查对调候、格局、日主承载及其他通路的副作用</x:v>
      </x:c>
      <x:c r="X15" s="68" t="str">
        <x:v>M06关系效应、M08五行有效旺衰、M10十神功能与M11组合判断已完成</x:v>
      </x:c>
      <x:c r="Y15" s="68" t="str">
        <x:v>起点、桥梁、终点均按有效力量与实际作用路径判断</x:v>
      </x:c>
      <x:c r="Z15" s="68" t="str">
        <x:v>桥梁有根有源、透达、位置可达且不存在关键制约</x:v>
      </x:c>
      <x:c r="AA15" s="68" t="str">
        <x:v>桥梁失令、无根、受克、合绊、改性或同时被多路调用</x:v>
      </x:c>
      <x:c r="AB15" s="90" t="str">
        <x:v>不得仅因五行缺失、数量少或关系名称直接认定卡点或通关用神</x:v>
      </x:c>
      <x:c r="AC15" s="68" t="str">
        <x:v>若存在更短、更强或副作用更小的替代路径，应并列比较后再裁定</x:v>
      </x:c>
      <x:c r="AD15" s="84" t="str">
        <x:v>流通五级状态</x:v>
      </x:c>
      <x:c r="AE15" s="84" t="str">
        <x:v>流通状态必须区分通畅、基本通畅、局部阻塞、明显阻断和无有效路径：按起点—桥梁—终点检查有效力量、连续性与承载；卡点为“其他”时，仅生成通关候选，不直接定用神。</x:v>
      </x:c>
      <x:c r="AF15" s="82" t="str">
        <x:v>较高</x:v>
      </x:c>
      <x:c r="AG15" s="82" t="str">
        <x:v>现代综合</x:v>
      </x:c>
      <x:c r="AH15" s="68" t="str">
        <x:v>流通判断以五行有效力量、生克顺序与十神功能为核心；古典依据可参照《滴天髓》《渊海子平》。 https://zh.wikisource.org/wiki/%E6%BB%B4%E5%A4%A9%E9%AB%93%E9%97%A1%E5%BE%AE https://zh.wikisource.org/zh-hans/%E6%B7%B5%E6%B5%B7%E5%AD%90%E5%B9%B3</x:v>
      </x:c>
      <x:c r="AI15" s="68" t="str">
        <x:v>当“路径有效程度存在层级差异，不能只用通或不通二分”真实成立，且桥梁具备有效力量和连续作用条件时，可按“流通状态必须区分通畅、基本通畅、局部阻塞、明显阻断和无有效路径”记录。</x:v>
      </x:c>
      <x:c r="AJ15" s="90" t="str">
        <x:v>仅见表面缺失或五行相克，但未证明“路径有效程度存在层级差异，不能只用通或不通二分”形成实际阻断时，不得套用“流通状态必须区分通畅、基本通畅、局部阻塞、明显阻断和无有效路径”。</x:v>
      </x:c>
      <x:c r="AK15" s="82" t="str">
        <x:v>采用</x:v>
      </x:c>
      <x:c r="AL15" s="82" t="str">
        <x:v>初审</x:v>
      </x:c>
      <x:c r="AM15" s="87" t="n">
        <x:v>46255</x:v>
      </x:c>
    </x:row>
    <x:row r="16">
      <x:c r="A16" s="72" t="str">
        <x:f>IF(OR(C16="",D16=""),"",B16&amp;"-"&amp;UPPER(C16)&amp;"-"&amp;TEXT(D16,"0000")&amp;"-"&amp;E16)</x:f>
        <x:v>M12-GEN-0010-V1.0</x:v>
      </x:c>
      <x:c r="B16" s="74" t="str">
        <x:v>M12</x:v>
      </x:c>
      <x:c r="C16" s="74" t="str">
        <x:v>GEN</x:v>
      </x:c>
      <x:c r="D16" s="215" t="n">
        <x:v>10</x:v>
      </x:c>
      <x:c r="E16" s="74" t="str">
        <x:v>V1.0</x:v>
      </x:c>
      <x:c r="F16" s="68" t="str">
        <x:v>通关候选不等于喜神或用神</x:v>
      </x:c>
      <x:c r="G16" s="82" t="str">
        <x:v>结构层</x:v>
      </x:c>
      <x:c r="H16" s="68" t="str">
        <x:v>五行生化路径</x:v>
      </x:c>
      <x:c r="I16" s="68" t="str">
        <x:v>待定</x:v>
      </x:c>
      <x:c r="J16" s="68" t="str">
        <x:v>待定</x:v>
      </x:c>
      <x:c r="K16" s="68" t="str">
        <x:v>待定</x:v>
      </x:c>
      <x:c r="L16" s="82" t="str">
        <x:v>待定</x:v>
      </x:c>
      <x:c r="M16" s="82" t="str">
        <x:v>待定</x:v>
      </x:c>
      <x:c r="N16" s="68" t="str">
        <x:v>待定</x:v>
      </x:c>
      <x:c r="O16" s="68" t="str">
        <x:v>待定</x:v>
      </x:c>
      <x:c r="P16" s="68" t="str">
        <x:v>待定</x:v>
      </x:c>
      <x:c r="Q16" s="82" t="str">
        <x:v>待定</x:v>
      </x:c>
      <x:c r="R16" s="82" t="str">
        <x:v>其他</x:v>
      </x:c>
      <x:c r="S16" s="68" t="str">
        <x:v>待定</x:v>
      </x:c>
      <x:c r="T16" s="68" t="str">
        <x:v>某五行能够连接两端，但可能带来寒湿、燥烈、破格或日主承载副作用</x:v>
      </x:c>
      <x:c r="U16" s="68" t="str">
        <x:v>待定</x:v>
      </x:c>
      <x:c r="V16" s="68" t="str">
        <x:v>待定</x:v>
      </x:c>
      <x:c r="W16" s="90" t="str">
        <x:v>必须转M13/M16/M17检查调候、病药、格局和扶抑副作用</x:v>
      </x:c>
      <x:c r="X16" s="68" t="str">
        <x:v>M06关系效应、M08五行有效旺衰、M10十神功能与M11组合判断已完成</x:v>
      </x:c>
      <x:c r="Y16" s="68" t="str">
        <x:v>起点、桥梁、终点均按有效力量与实际作用路径判断</x:v>
      </x:c>
      <x:c r="Z16" s="68" t="str">
        <x:v>桥梁有根有源、透达、位置可达且不存在关键制约</x:v>
      </x:c>
      <x:c r="AA16" s="68" t="str">
        <x:v>桥梁失令、无根、受克、合绊、改性或同时被多路调用</x:v>
      </x:c>
      <x:c r="AB16" s="90" t="str">
        <x:v>不得仅因五行缺失、数量少或关系名称直接认定卡点或通关用神</x:v>
      </x:c>
      <x:c r="AC16" s="68" t="str">
        <x:v>若存在更短、更强或副作用更小的替代路径，应并列比较后再裁定</x:v>
      </x:c>
      <x:c r="AD16" s="84" t="str">
        <x:v>通关与喜忌分离</x:v>
      </x:c>
      <x:c r="AE16" s="84" t="str">
        <x:v>通关候选不等于喜神或用神：按起点—桥梁—终点检查有效力量、连续性与承载；卡点为“其他”时，仅生成通关候选，不直接定用神。</x:v>
      </x:c>
      <x:c r="AF16" s="82" t="str">
        <x:v>较高</x:v>
      </x:c>
      <x:c r="AG16" s="82" t="str">
        <x:v>现代综合</x:v>
      </x:c>
      <x:c r="AH16" s="68" t="str">
        <x:v>流通判断以五行有效力量、生克顺序与十神功能为核心；古典依据可参照《滴天髓》《渊海子平》。 https://zh.wikisource.org/wiki/%E6%BB%B4%E5%A4%A9%E9%AB%93%E9%97%A1%E5%BE%AE https://zh.wikisource.org/zh-hans/%E6%B7%B5%E6%B5%B7%E5%AD%90%E5%B9%B3</x:v>
      </x:c>
      <x:c r="AI16" s="68" t="str">
        <x:v>当“某五行能够连接两端，但可能带来寒湿、燥烈、破格或日主承载副作用”真实成立，且桥梁具备有效力量和连续作用条件时，可按“通关候选不等于喜神或用神”记录。</x:v>
      </x:c>
      <x:c r="AJ16" s="90" t="str">
        <x:v>仅见表面缺失或五行相克，但未证明“某五行能够连接两端，但可能带来寒湿、燥烈、破格或日主承载副作用”形成实际阻断时，不得套用“通关候选不等于喜神或用神”。</x:v>
      </x:c>
      <x:c r="AK16" s="82" t="str">
        <x:v>采用</x:v>
      </x:c>
      <x:c r="AL16" s="82" t="str">
        <x:v>初审</x:v>
      </x:c>
      <x:c r="AM16" s="87" t="n">
        <x:v>46255</x:v>
      </x:c>
    </x:row>
    <x:row r="17">
      <x:c r="A17" s="72" t="str">
        <x:f>IF(OR(C17="",D17=""),"",B17&amp;"-"&amp;UPPER(C17)&amp;"-"&amp;TEXT(D17,"0000")&amp;"-"&amp;E17)</x:f>
        <x:v>M12-SOURCE-0011-V1.0</x:v>
      </x:c>
      <x:c r="B17" s="74" t="str">
        <x:v>M12</x:v>
      </x:c>
      <x:c r="C17" s="74" t="str">
        <x:v>SOURCE</x:v>
      </x:c>
      <x:c r="D17" s="215" t="n">
        <x:v>11</x:v>
      </x:c>
      <x:c r="E17" s="74" t="str">
        <x:v>V1.0</x:v>
      </x:c>
      <x:c r="F17" s="68" t="str">
        <x:v>强源头必须有可持续输出路径</x:v>
      </x:c>
      <x:c r="G17" s="82" t="str">
        <x:v>结构层</x:v>
      </x:c>
      <x:c r="H17" s="68" t="str">
        <x:v>五行生化路径</x:v>
      </x:c>
      <x:c r="I17" s="68" t="str">
        <x:v>任一旺强五行</x:v>
      </x:c>
      <x:c r="J17" s="68" t="str">
        <x:v>其所生五行</x:v>
      </x:c>
      <x:c r="K17" s="68" t="str">
        <x:v>下游五行</x:v>
      </x:c>
      <x:c r="L17" s="82" t="str">
        <x:v>旺</x:v>
      </x:c>
      <x:c r="M17" s="82" t="str">
        <x:v>待定</x:v>
      </x:c>
      <x:c r="N17" s="68" t="str">
        <x:v>待定</x:v>
      </x:c>
      <x:c r="O17" s="68" t="str">
        <x:v>待定</x:v>
      </x:c>
      <x:c r="P17" s="68" t="str">
        <x:v>待定</x:v>
      </x:c>
      <x:c r="Q17" s="82" t="str">
        <x:v>局部阻塞</x:v>
      </x:c>
      <x:c r="R17" s="82" t="str">
        <x:v>源头过旺无泄</x:v>
      </x:c>
      <x:c r="S17" s="68" t="str">
        <x:v>起点</x:v>
      </x:c>
      <x:c r="T17" s="68" t="str">
        <x:v>源头旺强但没有有效泄出或转化通道</x:v>
      </x:c>
      <x:c r="U17" s="68" t="str">
        <x:v>源头所生五行</x:v>
      </x:c>
      <x:c r="V17" s="68" t="str">
        <x:v>桥梁必须真实有效且终点能够承接</x:v>
      </x:c>
      <x:c r="W17" s="90" t="str">
        <x:v>需检查对调候、格局、日主承载及其他通路的副作用</x:v>
      </x:c>
      <x:c r="X17" s="68" t="str">
        <x:v>M06关系效应、M08五行有效旺衰、M10十神功能与M11组合判断已完成</x:v>
      </x:c>
      <x:c r="Y17" s="68" t="str">
        <x:v>起点、桥梁、终点均按有效力量与实际作用路径判断</x:v>
      </x:c>
      <x:c r="Z17" s="68" t="str">
        <x:v>桥梁有根有源、透达、位置可达且不存在关键制约</x:v>
      </x:c>
      <x:c r="AA17" s="68" t="str">
        <x:v>桥梁失令、无根、受克、合绊、改性或同时被多路调用</x:v>
      </x:c>
      <x:c r="AB17" s="90" t="str">
        <x:v>不得仅因五行缺失、数量少或关系名称直接认定卡点或通关用神</x:v>
      </x:c>
      <x:c r="AC17" s="68" t="str">
        <x:v>若存在更短、更强或副作用更小的替代路径，应并列比较后再裁定</x:v>
      </x:c>
      <x:c r="AD17" s="84" t="str">
        <x:v>M12_SOURCE_流通判定</x:v>
      </x:c>
      <x:c r="AE17" s="84" t="str">
        <x:v>强源头必须有可持续输出路径：按起点—桥梁—终点检查有效力量、连续性与承载；卡点为“源头过旺无泄”时，仅生成通关候选，不直接定用神。</x:v>
      </x:c>
      <x:c r="AF17" s="82" t="str">
        <x:v>较高</x:v>
      </x:c>
      <x:c r="AG17" s="82" t="str">
        <x:v>现代综合</x:v>
      </x:c>
      <x:c r="AH17" s="68" t="str">
        <x:v>流通判断以五行有效力量、生克顺序与十神功能为核心；古典依据可参照《滴天髓》《渊海子平》。 https://zh.wikisource.org/wiki/%E6%BB%B4%E5%A4%A9%E9%AB%93%E9%97%A1%E5%BE%AE https://zh.wikisource.org/zh-hans/%E6%B7%B5%E6%B5%B7%E5%AD%90%E5%B9%B3</x:v>
      </x:c>
      <x:c r="AI17" s="68" t="str">
        <x:v>当“源头旺强但没有有效泄出或转化通道”真实成立，且桥梁具备有效力量和连续作用条件时，可按“强源头必须有可持续输出路径”记录。</x:v>
      </x:c>
      <x:c r="AJ17" s="90" t="str">
        <x:v>仅见表面缺失或五行相克，但未证明“源头旺强但没有有效泄出或转化通道”形成实际阻断时，不得套用“强源头必须有可持续输出路径”。</x:v>
      </x:c>
      <x:c r="AK17" s="82" t="str">
        <x:v>采用</x:v>
      </x:c>
      <x:c r="AL17" s="82" t="str">
        <x:v>初审</x:v>
      </x:c>
      <x:c r="AM17" s="87" t="n">
        <x:v>46255</x:v>
      </x:c>
    </x:row>
    <x:row r="18">
      <x:c r="A18" s="72" t="str">
        <x:f>IF(OR(C18="",D18=""),"",B18&amp;"-"&amp;UPPER(C18)&amp;"-"&amp;TEXT(D18,"0000")&amp;"-"&amp;E18)</x:f>
        <x:v>M12-SOURCE-0012-V1.0</x:v>
      </x:c>
      <x:c r="B18" s="74" t="str">
        <x:v>M12</x:v>
      </x:c>
      <x:c r="C18" s="74" t="str">
        <x:v>SOURCE</x:v>
      </x:c>
      <x:c r="D18" s="215" t="n">
        <x:v>12</x:v>
      </x:c>
      <x:c r="E18" s="74" t="str">
        <x:v>V1.0</x:v>
      </x:c>
      <x:c r="F18" s="68" t="str">
        <x:v>极旺源头无泄时优先标记壅塞风险</x:v>
      </x:c>
      <x:c r="G18" s="82" t="str">
        <x:v>结构层</x:v>
      </x:c>
      <x:c r="H18" s="68" t="str">
        <x:v>五行生化路径</x:v>
      </x:c>
      <x:c r="I18" s="68" t="str">
        <x:v>任一极旺五行</x:v>
      </x:c>
      <x:c r="J18" s="68" t="str">
        <x:v>其所生五行</x:v>
      </x:c>
      <x:c r="K18" s="68" t="str">
        <x:v>下游五行</x:v>
      </x:c>
      <x:c r="L18" s="82" t="str">
        <x:v>极旺</x:v>
      </x:c>
      <x:c r="M18" s="82" t="str">
        <x:v>待定</x:v>
      </x:c>
      <x:c r="N18" s="68" t="str">
        <x:v>待定</x:v>
      </x:c>
      <x:c r="O18" s="68" t="str">
        <x:v>待定</x:v>
      </x:c>
      <x:c r="P18" s="68" t="str">
        <x:v>待定</x:v>
      </x:c>
      <x:c r="Q18" s="82" t="str">
        <x:v>明显阻断</x:v>
      </x:c>
      <x:c r="R18" s="82" t="str">
        <x:v>源头过旺无泄</x:v>
      </x:c>
      <x:c r="S18" s="68" t="str">
        <x:v>起点</x:v>
      </x:c>
      <x:c r="T18" s="68" t="str">
        <x:v>源头极旺且下游桥梁弱、失效或完全缺失</x:v>
      </x:c>
      <x:c r="U18" s="68" t="str">
        <x:v>待定</x:v>
      </x:c>
      <x:c r="V18" s="68" t="str">
        <x:v>待定</x:v>
      </x:c>
      <x:c r="W18" s="90" t="str">
        <x:v>需检查对调候、格局、日主承载及其他通路的副作用</x:v>
      </x:c>
      <x:c r="X18" s="68" t="str">
        <x:v>M06关系效应、M08五行有效旺衰、M10十神功能与M11组合判断已完成</x:v>
      </x:c>
      <x:c r="Y18" s="68" t="str">
        <x:v>起点、桥梁、终点均按有效力量与实际作用路径判断</x:v>
      </x:c>
      <x:c r="Z18" s="68" t="str">
        <x:v>桥梁有根有源、透达、位置可达且不存在关键制约</x:v>
      </x:c>
      <x:c r="AA18" s="68" t="str">
        <x:v>桥梁失令、无根、受克、合绊、改性或同时被多路调用</x:v>
      </x:c>
      <x:c r="AB18" s="90" t="str">
        <x:v>不得仅因五行缺失、数量少或关系名称直接认定卡点或通关用神</x:v>
      </x:c>
      <x:c r="AC18" s="68" t="str">
        <x:v>若存在更短、更强或副作用更小的替代路径，应并列比较后再裁定</x:v>
      </x:c>
      <x:c r="AD18" s="84" t="str">
        <x:v>M12_SOURCE_流通判定</x:v>
      </x:c>
      <x:c r="AE18" s="84" t="str">
        <x:v>极旺源头无泄时优先标记壅塞风险：按起点—桥梁—终点检查有效力量、连续性与承载；卡点为“源头过旺无泄”时，仅生成通关候选，不直接定用神。</x:v>
      </x:c>
      <x:c r="AF18" s="82" t="str">
        <x:v>较高</x:v>
      </x:c>
      <x:c r="AG18" s="82" t="str">
        <x:v>现代综合</x:v>
      </x:c>
      <x:c r="AH18" s="68" t="str">
        <x:v>流通判断以五行有效力量、生克顺序与十神功能为核心；古典依据可参照《滴天髓》《渊海子平》。 https://zh.wikisource.org/wiki/%E6%BB%B4%E5%A4%A9%E9%AB%93%E9%97%A1%E5%BE%AE https://zh.wikisource.org/zh-hans/%E6%B7%B5%E6%B5%B7%E5%AD%90%E5%B9%B3</x:v>
      </x:c>
      <x:c r="AI18" s="68" t="str">
        <x:v>当“源头极旺且下游桥梁弱、失效或完全缺失”真实成立，且桥梁具备有效力量和连续作用条件时，可按“极旺源头无泄时优先标记壅塞风险”记录。</x:v>
      </x:c>
      <x:c r="AJ18" s="90" t="str">
        <x:v>仅见表面缺失或五行相克，但未证明“源头极旺且下游桥梁弱、失效或完全缺失”形成实际阻断时，不得套用“极旺源头无泄时优先标记壅塞风险”。</x:v>
      </x:c>
      <x:c r="AK18" s="82" t="str">
        <x:v>采用</x:v>
      </x:c>
      <x:c r="AL18" s="82" t="str">
        <x:v>初审</x:v>
      </x:c>
      <x:c r="AM18" s="87" t="n">
        <x:v>46255</x:v>
      </x:c>
    </x:row>
    <x:row r="19">
      <x:c r="A19" s="72" t="str">
        <x:f>IF(OR(C19="",D19=""),"",B19&amp;"-"&amp;UPPER(C19)&amp;"-"&amp;TEXT(D19,"0000")&amp;"-"&amp;E19)</x:f>
        <x:v>M12-SOURCE-0013-V1.0</x:v>
      </x:c>
      <x:c r="B19" s="74" t="str">
        <x:v>M12</x:v>
      </x:c>
      <x:c r="C19" s="74" t="str">
        <x:v>SOURCE</x:v>
      </x:c>
      <x:c r="D19" s="215" t="n">
        <x:v>13</x:v>
      </x:c>
      <x:c r="E19" s="74" t="str">
        <x:v>V1.0</x:v>
      </x:c>
      <x:c r="F19" s="68" t="str">
        <x:v>弱源头不足以支撑长链流通</x:v>
      </x:c>
      <x:c r="G19" s="82" t="str">
        <x:v>结构层</x:v>
      </x:c>
      <x:c r="H19" s="68" t="str">
        <x:v>五行生化路径</x:v>
      </x:c>
      <x:c r="I19" s="68" t="str">
        <x:v>任一弱五行</x:v>
      </x:c>
      <x:c r="J19" s="68" t="str">
        <x:v>第一桥梁</x:v>
      </x:c>
      <x:c r="K19" s="68" t="str">
        <x:v>两层以上终点</x:v>
      </x:c>
      <x:c r="L19" s="82" t="str">
        <x:v>弱</x:v>
      </x:c>
      <x:c r="M19" s="82" t="str">
        <x:v>待定</x:v>
      </x:c>
      <x:c r="N19" s="68" t="str">
        <x:v>待定</x:v>
      </x:c>
      <x:c r="O19" s="68" t="str">
        <x:v>待定</x:v>
      </x:c>
      <x:c r="P19" s="68" t="str">
        <x:v>待定</x:v>
      </x:c>
      <x:c r="Q19" s="82" t="str">
        <x:v>局部阻塞</x:v>
      </x:c>
      <x:c r="R19" s="82" t="str">
        <x:v>链路过长</x:v>
      </x:c>
      <x:c r="S19" s="68" t="str">
        <x:v>起点</x:v>
      </x:c>
      <x:c r="T19" s="68" t="str">
        <x:v>源头自身有效力量不足，无法持续供应后续多层生化</x:v>
      </x:c>
      <x:c r="U19" s="68" t="str">
        <x:v>待定</x:v>
      </x:c>
      <x:c r="V19" s="68" t="str">
        <x:v>待定</x:v>
      </x:c>
      <x:c r="W19" s="90" t="str">
        <x:v>需检查对调候、格局、日主承载及其他通路的副作用</x:v>
      </x:c>
      <x:c r="X19" s="68" t="str">
        <x:v>M06关系效应、M08五行有效旺衰、M10十神功能与M11组合判断已完成</x:v>
      </x:c>
      <x:c r="Y19" s="68" t="str">
        <x:v>起点、桥梁、终点均按有效力量与实际作用路径判断</x:v>
      </x:c>
      <x:c r="Z19" s="68" t="str">
        <x:v>桥梁有根有源、透达、位置可达且不存在关键制约</x:v>
      </x:c>
      <x:c r="AA19" s="68" t="str">
        <x:v>桥梁失令、无根、受克、合绊、改性或同时被多路调用</x:v>
      </x:c>
      <x:c r="AB19" s="90" t="str">
        <x:v>不得仅因五行缺失、数量少或关系名称直接认定卡点或通关用神</x:v>
      </x:c>
      <x:c r="AC19" s="68" t="str">
        <x:v>若存在更短、更强或副作用更小的替代路径，应并列比较后再裁定</x:v>
      </x:c>
      <x:c r="AD19" s="84" t="str">
        <x:v>M12_SOURCE_流通判定</x:v>
      </x:c>
      <x:c r="AE19" s="84" t="str">
        <x:v>弱源头不足以支撑长链流通：按起点—桥梁—终点检查有效力量、连续性与承载；卡点为“链路过长”时，仅生成通关候选，不直接定用神。</x:v>
      </x:c>
      <x:c r="AF19" s="82" t="str">
        <x:v>较高</x:v>
      </x:c>
      <x:c r="AG19" s="82" t="str">
        <x:v>现代综合</x:v>
      </x:c>
      <x:c r="AH19" s="68" t="str">
        <x:v>流通判断以五行有效力量、生克顺序与十神功能为核心；古典依据可参照《滴天髓》《渊海子平》。 https://zh.wikisource.org/wiki/%E6%BB%B4%E5%A4%A9%E9%AB%93%E9%97%A1%E5%BE%AE https://zh.wikisource.org/zh-hans/%E6%B7%B5%E6%B5%B7%E5%AD%90%E5%B9%B3</x:v>
      </x:c>
      <x:c r="AI19" s="68" t="str">
        <x:v>当“源头自身有效力量不足，无法持续供应后续多层生化”真实成立，且桥梁具备有效力量和连续作用条件时，可按“弱源头不足以支撑长链流通”记录。</x:v>
      </x:c>
      <x:c r="AJ19" s="90" t="str">
        <x:v>仅见表面缺失或五行相克，但未证明“源头自身有效力量不足，无法持续供应后续多层生化”形成实际阻断时，不得套用“弱源头不足以支撑长链流通”。</x:v>
      </x:c>
      <x:c r="AK19" s="82" t="str">
        <x:v>采用</x:v>
      </x:c>
      <x:c r="AL19" s="82" t="str">
        <x:v>初审</x:v>
      </x:c>
      <x:c r="AM19" s="87" t="n">
        <x:v>46255</x:v>
      </x:c>
    </x:row>
    <x:row r="20">
      <x:c r="A20" s="72" t="str">
        <x:f>IF(OR(C20="",D20=""),"",B20&amp;"-"&amp;UPPER(C20)&amp;"-"&amp;TEXT(D20,"0000")&amp;"-"&amp;E20)</x:f>
        <x:v>M12-SOURCE-0014-V1.0</x:v>
      </x:c>
      <x:c r="B20" s="74" t="str">
        <x:v>M12</x:v>
      </x:c>
      <x:c r="C20" s="74" t="str">
        <x:v>SOURCE</x:v>
      </x:c>
      <x:c r="D20" s="215" t="n">
        <x:v>14</x:v>
      </x:c>
      <x:c r="E20" s="74" t="str">
        <x:v>V1.0</x:v>
      </x:c>
      <x:c r="F20" s="68" t="str">
        <x:v>名义源头失效时不得建立流通链</x:v>
      </x:c>
      <x:c r="G20" s="82" t="str">
        <x:v>结构层</x:v>
      </x:c>
      <x:c r="H20" s="68" t="str">
        <x:v>五行生化路径</x:v>
      </x:c>
      <x:c r="I20" s="68" t="str">
        <x:v>名义存在但失效的五行</x:v>
      </x:c>
      <x:c r="J20" s="68" t="str">
        <x:v>下一五行</x:v>
      </x:c>
      <x:c r="K20" s="68" t="str">
        <x:v>终点</x:v>
      </x:c>
      <x:c r="L20" s="82" t="str">
        <x:v>极弱</x:v>
      </x:c>
      <x:c r="M20" s="82" t="str">
        <x:v>待定</x:v>
      </x:c>
      <x:c r="N20" s="68" t="str">
        <x:v>待定</x:v>
      </x:c>
      <x:c r="O20" s="68" t="str">
        <x:v>待定</x:v>
      </x:c>
      <x:c r="P20" s="68" t="str">
        <x:v>待定</x:v>
      </x:c>
      <x:c r="Q20" s="82" t="str">
        <x:v>无有效路径</x:v>
      </x:c>
      <x:c r="R20" s="82" t="str">
        <x:v>其他</x:v>
      </x:c>
      <x:c r="S20" s="68" t="str">
        <x:v>起点</x:v>
      </x:c>
      <x:c r="T20" s="68" t="str">
        <x:v>起点已被合化、强制或M08判为无实际可调用力量</x:v>
      </x:c>
      <x:c r="U20" s="68" t="str">
        <x:v>待定</x:v>
      </x:c>
      <x:c r="V20" s="68" t="str">
        <x:v>待定</x:v>
      </x:c>
      <x:c r="W20" s="90" t="str">
        <x:v>需检查对调候、格局、日主承载及其他通路的副作用</x:v>
      </x:c>
      <x:c r="X20" s="68" t="str">
        <x:v>M06关系效应、M08五行有效旺衰、M10十神功能与M11组合判断已完成</x:v>
      </x:c>
      <x:c r="Y20" s="68" t="str">
        <x:v>起点、桥梁、终点均按有效力量与实际作用路径判断</x:v>
      </x:c>
      <x:c r="Z20" s="68" t="str">
        <x:v>桥梁有根有源、透达、位置可达且不存在关键制约</x:v>
      </x:c>
      <x:c r="AA20" s="68" t="str">
        <x:v>桥梁失令、无根、受克、合绊、改性或同时被多路调用</x:v>
      </x:c>
      <x:c r="AB20" s="90" t="str">
        <x:v>不得仅因五行缺失、数量少或关系名称直接认定卡点或通关用神</x:v>
      </x:c>
      <x:c r="AC20" s="68" t="str">
        <x:v>若存在更短、更强或副作用更小的替代路径，应并列比较后再裁定</x:v>
      </x:c>
      <x:c r="AD20" s="84" t="str">
        <x:v>M12_SOURCE_流通判定</x:v>
      </x:c>
      <x:c r="AE20" s="84" t="str">
        <x:v>名义源头失效时不得建立流通链：按起点—桥梁—终点检查有效力量、连续性与承载；卡点为“其他”时，仅生成通关候选，不直接定用神。</x:v>
      </x:c>
      <x:c r="AF20" s="82" t="str">
        <x:v>较高</x:v>
      </x:c>
      <x:c r="AG20" s="82" t="str">
        <x:v>现代综合</x:v>
      </x:c>
      <x:c r="AH20" s="68" t="str">
        <x:v>流通判断以五行有效力量、生克顺序与十神功能为核心；古典依据可参照《滴天髓》《渊海子平》。 https://zh.wikisource.org/wiki/%E6%BB%B4%E5%A4%A9%E9%AB%93%E9%97%A1%E5%BE%AE https://zh.wikisource.org/zh-hans/%E6%B7%B5%E6%B5%B7%E5%AD%90%E5%B9%B3</x:v>
      </x:c>
      <x:c r="AI20" s="68" t="str">
        <x:v>当“起点已被合化、强制或M08判为无实际可调用力量”真实成立，且桥梁具备有效力量和连续作用条件时，可按“名义源头失效时不得建立流通链”记录。</x:v>
      </x:c>
      <x:c r="AJ20" s="90" t="str">
        <x:v>仅见表面缺失或五行相克，但未证明“起点已被合化、强制或M08判为无实际可调用力量”形成实际阻断时，不得套用“名义源头失效时不得建立流通链”。</x:v>
      </x:c>
      <x:c r="AK20" s="82" t="str">
        <x:v>采用</x:v>
      </x:c>
      <x:c r="AL20" s="82" t="str">
        <x:v>初审</x:v>
      </x:c>
      <x:c r="AM20" s="87" t="n">
        <x:v>46255</x:v>
      </x:c>
    </x:row>
    <x:row r="21">
      <x:c r="A21" s="72" t="str">
        <x:f>IF(OR(C21="",D21=""),"",B21&amp;"-"&amp;UPPER(C21)&amp;"-"&amp;TEXT(D21,"0000")&amp;"-"&amp;E21)</x:f>
        <x:v>M12-SOURCE-0015-V1.0</x:v>
      </x:c>
      <x:c r="B21" s="74" t="str">
        <x:v>M12</x:v>
      </x:c>
      <x:c r="C21" s="74" t="str">
        <x:v>SOURCE</x:v>
      </x:c>
      <x:c r="D21" s="215" t="n">
        <x:v>15</x:v>
      </x:c>
      <x:c r="E21" s="74" t="str">
        <x:v>V1.0</x:v>
      </x:c>
      <x:c r="F21" s="68" t="str">
        <x:v>源头被合绊会降低向下游输出效率</x:v>
      </x:c>
      <x:c r="G21" s="82" t="str">
        <x:v>结构层</x:v>
      </x:c>
      <x:c r="H21" s="68" t="str">
        <x:v>五行生化路径</x:v>
      </x:c>
      <x:c r="I21" s="68" t="str">
        <x:v>受合绊五行</x:v>
      </x:c>
      <x:c r="J21" s="68" t="str">
        <x:v>其所生五行</x:v>
      </x:c>
      <x:c r="K21" s="68" t="str">
        <x:v>终点</x:v>
      </x:c>
      <x:c r="L21" s="82" t="str">
        <x:v>中和</x:v>
      </x:c>
      <x:c r="M21" s="82" t="str">
        <x:v>待定</x:v>
      </x:c>
      <x:c r="N21" s="68" t="str">
        <x:v>桥梁有效</x:v>
      </x:c>
      <x:c r="O21" s="68" t="str">
        <x:v>待定</x:v>
      </x:c>
      <x:c r="P21" s="68" t="str">
        <x:v>待定</x:v>
      </x:c>
      <x:c r="Q21" s="82" t="str">
        <x:v>局部阻塞</x:v>
      </x:c>
      <x:c r="R21" s="82" t="str">
        <x:v>其他</x:v>
      </x:c>
      <x:c r="S21" s="68" t="str">
        <x:v>起点</x:v>
      </x:c>
      <x:c r="T21" s="68" t="str">
        <x:v>起点自身功能受合绊，无法按原始力量全额输出</x:v>
      </x:c>
      <x:c r="U21" s="68" t="str">
        <x:v>待定</x:v>
      </x:c>
      <x:c r="V21" s="68" t="str">
        <x:v>待定</x:v>
      </x:c>
      <x:c r="W21" s="90" t="str">
        <x:v>需检查对调候、格局、日主承载及其他通路的副作用</x:v>
      </x:c>
      <x:c r="X21" s="68" t="str">
        <x:v>M06关系效应、M08五行有效旺衰、M10十神功能与M11组合判断已完成</x:v>
      </x:c>
      <x:c r="Y21" s="68" t="str">
        <x:v>起点、桥梁、终点均按有效力量与实际作用路径判断</x:v>
      </x:c>
      <x:c r="Z21" s="68" t="str">
        <x:v>桥梁有根有源、透达、位置可达且不存在关键制约</x:v>
      </x:c>
      <x:c r="AA21" s="68" t="str">
        <x:v>桥梁失令、无根、受克、合绊、改性或同时被多路调用</x:v>
      </x:c>
      <x:c r="AB21" s="90" t="str">
        <x:v>不得仅因五行缺失、数量少或关系名称直接认定卡点或通关用神</x:v>
      </x:c>
      <x:c r="AC21" s="68" t="str">
        <x:v>若存在更短、更强或副作用更小的替代路径，应并列比较后再裁定</x:v>
      </x:c>
      <x:c r="AD21" s="84" t="str">
        <x:v>M12_SOURCE_流通判定</x:v>
      </x:c>
      <x:c r="AE21" s="84" t="str">
        <x:v>源头被合绊会降低向下游输出效率：按起点—桥梁—终点检查有效力量、连续性与承载；卡点为“其他”时，仅生成通关候选，不直接定用神。</x:v>
      </x:c>
      <x:c r="AF21" s="82" t="str">
        <x:v>较高</x:v>
      </x:c>
      <x:c r="AG21" s="82" t="str">
        <x:v>现代综合</x:v>
      </x:c>
      <x:c r="AH21" s="68" t="str">
        <x:v>流通判断以五行有效力量、生克顺序与十神功能为核心；古典依据可参照《滴天髓》《渊海子平》。 https://zh.wikisource.org/wiki/%E6%BB%B4%E5%A4%A9%E9%AB%93%E9%97%A1%E5%BE%AE https://zh.wikisource.org/zh-hans/%E6%B7%B5%E6%B5%B7%E5%AD%90%E5%B9%B3</x:v>
      </x:c>
      <x:c r="AI21" s="68" t="str">
        <x:v>当“起点自身功能受合绊，无法按原始力量全额输出”真实成立，且桥梁具备有效力量和连续作用条件时，可按“源头被合绊会降低向下游输出效率”记录。</x:v>
      </x:c>
      <x:c r="AJ21" s="90" t="str">
        <x:v>仅见表面缺失或五行相克，但未证明“起点自身功能受合绊，无法按原始力量全额输出”形成实际阻断时，不得套用“源头被合绊会降低向下游输出效率”。</x:v>
      </x:c>
      <x:c r="AK21" s="82" t="str">
        <x:v>采用</x:v>
      </x:c>
      <x:c r="AL21" s="82" t="str">
        <x:v>初审</x:v>
      </x:c>
      <x:c r="AM21" s="87" t="n">
        <x:v>46255</x:v>
      </x:c>
    </x:row>
    <x:row r="22">
      <x:c r="A22" s="72" t="str">
        <x:f>IF(OR(C22="",D22=""),"",B22&amp;"-"&amp;UPPER(C22)&amp;"-"&amp;TEXT(D22,"0000")&amp;"-"&amp;E22)</x:f>
        <x:v>M12-SOURCE-0016-V1.0</x:v>
      </x:c>
      <x:c r="B22" s="74" t="str">
        <x:v>M12</x:v>
      </x:c>
      <x:c r="C22" s="74" t="str">
        <x:v>SOURCE</x:v>
      </x:c>
      <x:c r="D22" s="215" t="n">
        <x:v>16</x:v>
      </x:c>
      <x:c r="E22" s="74" t="str">
        <x:v>V1.0</x:v>
      </x:c>
      <x:c r="F22" s="68" t="str">
        <x:v>源头被强克时需先判断是否仍有余力输出</x:v>
      </x:c>
      <x:c r="G22" s="82" t="str">
        <x:v>结构层</x:v>
      </x:c>
      <x:c r="H22" s="68" t="str">
        <x:v>五行生化路径</x:v>
      </x:c>
      <x:c r="I22" s="68" t="str">
        <x:v>受强克五行</x:v>
      </x:c>
      <x:c r="J22" s="68" t="str">
        <x:v>其所生五行</x:v>
      </x:c>
      <x:c r="K22" s="68" t="str">
        <x:v>终点</x:v>
      </x:c>
      <x:c r="L22" s="82" t="str">
        <x:v>待定</x:v>
      </x:c>
      <x:c r="M22" s="82" t="str">
        <x:v>待定</x:v>
      </x:c>
      <x:c r="N22" s="68" t="str">
        <x:v>待定</x:v>
      </x:c>
      <x:c r="O22" s="68" t="str">
        <x:v>待定</x:v>
      </x:c>
      <x:c r="P22" s="68" t="str">
        <x:v>待定</x:v>
      </x:c>
      <x:c r="Q22" s="82" t="str">
        <x:v>局部阻塞</x:v>
      </x:c>
      <x:c r="R22" s="82" t="str">
        <x:v>其他</x:v>
      </x:c>
      <x:c r="S22" s="68" t="str">
        <x:v>起点</x:v>
      </x:c>
      <x:c r="T22" s="68" t="str">
        <x:v>起点有效力量被显著制约，生扶下游能力下降</x:v>
      </x:c>
      <x:c r="U22" s="68" t="str">
        <x:v>待定</x:v>
      </x:c>
      <x:c r="V22" s="68" t="str">
        <x:v>待定</x:v>
      </x:c>
      <x:c r="W22" s="90" t="str">
        <x:v>需检查对调候、格局、日主承载及其他通路的副作用</x:v>
      </x:c>
      <x:c r="X22" s="68" t="str">
        <x:v>M06关系效应、M08五行有效旺衰、M10十神功能与M11组合判断已完成</x:v>
      </x:c>
      <x:c r="Y22" s="68" t="str">
        <x:v>起点、桥梁、终点均按有效力量与实际作用路径判断</x:v>
      </x:c>
      <x:c r="Z22" s="68" t="str">
        <x:v>桥梁有根有源、透达、位置可达且不存在关键制约</x:v>
      </x:c>
      <x:c r="AA22" s="68" t="str">
        <x:v>桥梁失令、无根、受克、合绊、改性或同时被多路调用</x:v>
      </x:c>
      <x:c r="AB22" s="90" t="str">
        <x:v>不得仅因五行缺失、数量少或关系名称直接认定卡点或通关用神</x:v>
      </x:c>
      <x:c r="AC22" s="68" t="str">
        <x:v>若存在更短、更强或副作用更小的替代路径，应并列比较后再裁定</x:v>
      </x:c>
      <x:c r="AD22" s="84" t="str">
        <x:v>M12_SOURCE_流通判定</x:v>
      </x:c>
      <x:c r="AE22" s="84" t="str">
        <x:v>源头被强克时需先判断是否仍有余力输出：按起点—桥梁—终点检查有效力量、连续性与承载；卡点为“其他”时，仅生成通关候选，不直接定用神。</x:v>
      </x:c>
      <x:c r="AF22" s="82" t="str">
        <x:v>较高</x:v>
      </x:c>
      <x:c r="AG22" s="82" t="str">
        <x:v>现代综合</x:v>
      </x:c>
      <x:c r="AH22" s="68" t="str">
        <x:v>流通判断以五行有效力量、生克顺序与十神功能为核心；古典依据可参照《滴天髓》《渊海子平》。 https://zh.wikisource.org/wiki/%E6%BB%B4%E5%A4%A9%E9%AB%93%E9%97%A1%E5%BE%AE https://zh.wikisource.org/zh-hans/%E6%B7%B5%E6%B5%B7%E5%AD%90%E5%B9%B3</x:v>
      </x:c>
      <x:c r="AI22" s="68" t="str">
        <x:v>当“起点有效力量被显著制约，生扶下游能力下降”真实成立，且桥梁具备有效力量和连续作用条件时，可按“源头被强克时需先判断是否仍有余力输出”记录。</x:v>
      </x:c>
      <x:c r="AJ22" s="90" t="str">
        <x:v>仅见表面缺失或五行相克，但未证明“起点有效力量被显著制约，生扶下游能力下降”形成实际阻断时，不得套用“源头被强克时需先判断是否仍有余力输出”。</x:v>
      </x:c>
      <x:c r="AK22" s="82" t="str">
        <x:v>采用</x:v>
      </x:c>
      <x:c r="AL22" s="82" t="str">
        <x:v>初审</x:v>
      </x:c>
      <x:c r="AM22" s="87" t="n">
        <x:v>46255</x:v>
      </x:c>
    </x:row>
    <x:row r="23">
      <x:c r="A23" s="72" t="str">
        <x:f>IF(OR(C23="",D23=""),"",B23&amp;"-"&amp;UPPER(C23)&amp;"-"&amp;TEXT(D23,"0000")&amp;"-"&amp;E23)</x:f>
        <x:v>M12-SOURCE-0017-V1.0</x:v>
      </x:c>
      <x:c r="B23" s="74" t="str">
        <x:v>M12</x:v>
      </x:c>
      <x:c r="C23" s="74" t="str">
        <x:v>SOURCE</x:v>
      </x:c>
      <x:c r="D23" s="215" t="n">
        <x:v>17</x:v>
      </x:c>
      <x:c r="E23" s="74" t="str">
        <x:v>V1.0</x:v>
      </x:c>
      <x:c r="F23" s="68" t="str">
        <x:v>多个独立源头可提高同一桥梁的供给稳定性</x:v>
      </x:c>
      <x:c r="G23" s="82" t="str">
        <x:v>结构层</x:v>
      </x:c>
      <x:c r="H23" s="68" t="str">
        <x:v>五行生化路径</x:v>
      </x:c>
      <x:c r="I23" s="68" t="str">
        <x:v>多个同类或相生源头</x:v>
      </x:c>
      <x:c r="J23" s="68" t="str">
        <x:v>共同桥梁</x:v>
      </x:c>
      <x:c r="K23" s="68" t="str">
        <x:v>终点</x:v>
      </x:c>
      <x:c r="L23" s="82" t="str">
        <x:v>中和偏旺</x:v>
      </x:c>
      <x:c r="M23" s="82" t="str">
        <x:v>中和</x:v>
      </x:c>
      <x:c r="N23" s="68" t="str">
        <x:v>受多源支持</x:v>
      </x:c>
      <x:c r="O23" s="68" t="str">
        <x:v>待定</x:v>
      </x:c>
      <x:c r="P23" s="68" t="str">
        <x:v>待定</x:v>
      </x:c>
      <x:c r="Q23" s="82" t="str">
        <x:v>基本通畅</x:v>
      </x:c>
      <x:c r="R23" s="82" t="str">
        <x:v>其他</x:v>
      </x:c>
      <x:c r="S23" s="68" t="str">
        <x:v>待定</x:v>
      </x:c>
      <x:c r="T23" s="68" t="str">
        <x:v>桥梁同时获得多个独立有效源头供给</x:v>
      </x:c>
      <x:c r="U23" s="68" t="str">
        <x:v>待定</x:v>
      </x:c>
      <x:c r="V23" s="68" t="str">
        <x:v>待定</x:v>
      </x:c>
      <x:c r="W23" s="90" t="str">
        <x:v>需检查对调候、格局、日主承载及其他通路的副作用</x:v>
      </x:c>
      <x:c r="X23" s="68" t="str">
        <x:v>M06关系效应、M08五行有效旺衰、M10十神功能与M11组合判断已完成</x:v>
      </x:c>
      <x:c r="Y23" s="68" t="str">
        <x:v>起点、桥梁、终点均按有效力量与实际作用路径判断</x:v>
      </x:c>
      <x:c r="Z23" s="68" t="str">
        <x:v>桥梁有根有源、透达、位置可达且不存在关键制约</x:v>
      </x:c>
      <x:c r="AA23" s="68" t="str">
        <x:v>桥梁失令、无根、受克、合绊、改性或同时被多路调用</x:v>
      </x:c>
      <x:c r="AB23" s="90" t="str">
        <x:v>不得仅因五行缺失、数量少或关系名称直接认定卡点或通关用神</x:v>
      </x:c>
      <x:c r="AC23" s="68" t="str">
        <x:v>若存在更短、更强或副作用更小的替代路径，应并列比较后再裁定</x:v>
      </x:c>
      <x:c r="AD23" s="84" t="str">
        <x:v>多源供给增强</x:v>
      </x:c>
      <x:c r="AE23" s="84" t="str">
        <x:v>多个独立源头可提高同一桥梁的供给稳定性：按起点—桥梁—终点检查有效力量、连续性与承载；卡点为“其他”时，仅生成通关候选，不直接定用神。</x:v>
      </x:c>
      <x:c r="AF23" s="82" t="str">
        <x:v>较高</x:v>
      </x:c>
      <x:c r="AG23" s="82" t="str">
        <x:v>现代综合</x:v>
      </x:c>
      <x:c r="AH23" s="68" t="str">
        <x:v>流通判断以五行有效力量、生克顺序与十神功能为核心；古典依据可参照《滴天髓》《渊海子平》。 https://zh.wikisource.org/wiki/%E6%BB%B4%E5%A4%A9%E9%AB%93%E9%97%A1%E5%BE%AE https://zh.wikisource.org/zh-hans/%E6%B7%B5%E6%B5%B7%E5%AD%90%E5%B9%B3</x:v>
      </x:c>
      <x:c r="AI23" s="68" t="str">
        <x:v>当“桥梁同时获得多个独立有效源头供给”真实成立，且桥梁具备有效力量和连续作用条件时，可按“多个独立源头可提高同一桥梁的供给稳定性”记录。</x:v>
      </x:c>
      <x:c r="AJ23" s="90" t="str">
        <x:v>仅见表面缺失或五行相克，但未证明“桥梁同时获得多个独立有效源头供给”形成实际阻断时，不得套用“多个独立源头可提高同一桥梁的供给稳定性”。</x:v>
      </x:c>
      <x:c r="AK23" s="82" t="str">
        <x:v>采用</x:v>
      </x:c>
      <x:c r="AL23" s="82" t="str">
        <x:v>初审</x:v>
      </x:c>
      <x:c r="AM23" s="87" t="n">
        <x:v>46255</x:v>
      </x:c>
    </x:row>
    <x:row r="24">
      <x:c r="A24" s="72" t="str">
        <x:f>IF(OR(C24="",D24=""),"",B24&amp;"-"&amp;UPPER(C24)&amp;"-"&amp;TEXT(D24,"0000")&amp;"-"&amp;E24)</x:f>
        <x:v>M12-SOURCE-0018-V1.0</x:v>
      </x:c>
      <x:c r="B24" s="74" t="str">
        <x:v>M12</x:v>
      </x:c>
      <x:c r="C24" s="74" t="str">
        <x:v>SOURCE</x:v>
      </x:c>
      <x:c r="D24" s="215" t="n">
        <x:v>18</x:v>
      </x:c>
      <x:c r="E24" s="74" t="str">
        <x:v>V1.0</x:v>
      </x:c>
      <x:c r="F24" s="68" t="str">
        <x:v>源头过多但集中向单一弱桥梁时会形成入口拥堵</x:v>
      </x:c>
      <x:c r="G24" s="82" t="str">
        <x:v>结构层</x:v>
      </x:c>
      <x:c r="H24" s="68" t="str">
        <x:v>五行生化路径</x:v>
      </x:c>
      <x:c r="I24" s="68" t="str">
        <x:v>多个旺强源头</x:v>
      </x:c>
      <x:c r="J24" s="68" t="str">
        <x:v>单一弱桥梁</x:v>
      </x:c>
      <x:c r="K24" s="68" t="str">
        <x:v>终点</x:v>
      </x:c>
      <x:c r="L24" s="82" t="str">
        <x:v>旺</x:v>
      </x:c>
      <x:c r="M24" s="82" t="str">
        <x:v>弱</x:v>
      </x:c>
      <x:c r="N24" s="68" t="str">
        <x:v>供给超载</x:v>
      </x:c>
      <x:c r="O24" s="68" t="str">
        <x:v>待定</x:v>
      </x:c>
      <x:c r="P24" s="68" t="str">
        <x:v>待定</x:v>
      </x:c>
      <x:c r="Q24" s="82" t="str">
        <x:v>明显阻断</x:v>
      </x:c>
      <x:c r="R24" s="82" t="str">
        <x:v>桥梁太弱</x:v>
      </x:c>
      <x:c r="S24" s="68" t="str">
        <x:v>桥梁</x:v>
      </x:c>
      <x:c r="T24" s="68" t="str">
        <x:v>上游输入能力显著高于桥梁传递能力</x:v>
      </x:c>
      <x:c r="U24" s="68" t="str">
        <x:v>待定</x:v>
      </x:c>
      <x:c r="V24" s="68" t="str">
        <x:v>待定</x:v>
      </x:c>
      <x:c r="W24" s="90" t="str">
        <x:v>需检查对调候、格局、日主承载及其他通路的副作用</x:v>
      </x:c>
      <x:c r="X24" s="68" t="str">
        <x:v>M06关系效应、M08五行有效旺衰、M10十神功能与M11组合判断已完成</x:v>
      </x:c>
      <x:c r="Y24" s="68" t="str">
        <x:v>起点、桥梁、终点均按有效力量与实际作用路径判断</x:v>
      </x:c>
      <x:c r="Z24" s="68" t="str">
        <x:v>桥梁有根有源、透达、位置可达且不存在关键制约</x:v>
      </x:c>
      <x:c r="AA24" s="68" t="str">
        <x:v>桥梁失令、无根、受克、合绊、改性或同时被多路调用</x:v>
      </x:c>
      <x:c r="AB24" s="90" t="str">
        <x:v>不得仅因五行缺失、数量少或关系名称直接认定卡点或通关用神</x:v>
      </x:c>
      <x:c r="AC24" s="68" t="str">
        <x:v>若存在更短、更强或副作用更小的替代路径，应并列比较后再裁定</x:v>
      </x:c>
      <x:c r="AD24" s="84" t="str">
        <x:v>M12_SOURCE_流通判定</x:v>
      </x:c>
      <x:c r="AE24" s="84" t="str">
        <x:v>源头过多但集中向单一弱桥梁时会形成入口拥堵：按起点—桥梁—终点检查有效力量、连续性与承载；卡点为“桥梁太弱”时，仅生成通关候选，不直接定用神。</x:v>
      </x:c>
      <x:c r="AF24" s="82" t="str">
        <x:v>较高</x:v>
      </x:c>
      <x:c r="AG24" s="82" t="str">
        <x:v>现代综合</x:v>
      </x:c>
      <x:c r="AH24" s="68" t="str">
        <x:v>流通判断以五行有效力量、生克顺序与十神功能为核心；古典依据可参照《滴天髓》《渊海子平》。 https://zh.wikisource.org/wiki/%E6%BB%B4%E5%A4%A9%E9%AB%93%E9%97%A1%E5%BE%AE https://zh.wikisource.org/zh-hans/%E6%B7%B5%E6%B5%B7%E5%AD%90%E5%B9%B3</x:v>
      </x:c>
      <x:c r="AI24" s="68" t="str">
        <x:v>当“上游输入能力显著高于桥梁传递能力”真实成立，且桥梁具备有效力量和连续作用条件时，可按“源头过多但集中向单一弱桥梁时会形成入口拥堵”记录。</x:v>
      </x:c>
      <x:c r="AJ24" s="90" t="str">
        <x:v>仅见表面缺失或五行相克，但未证明“上游输入能力显著高于桥梁传递能力”形成实际阻断时，不得套用“源头过多但集中向单一弱桥梁时会形成入口拥堵”。</x:v>
      </x:c>
      <x:c r="AK24" s="82" t="str">
        <x:v>采用</x:v>
      </x:c>
      <x:c r="AL24" s="82" t="str">
        <x:v>初审</x:v>
      </x:c>
      <x:c r="AM24" s="87" t="n">
        <x:v>46255</x:v>
      </x:c>
    </x:row>
    <x:row r="25">
      <x:c r="A25" s="72" t="str">
        <x:f>IF(OR(C25="",D25=""),"",B25&amp;"-"&amp;UPPER(C25)&amp;"-"&amp;TEXT(D25,"0000")&amp;"-"&amp;E25)</x:f>
        <x:v>M12-BRIDGE-0019-V1.0</x:v>
      </x:c>
      <x:c r="B25" s="74" t="str">
        <x:v>M12</x:v>
      </x:c>
      <x:c r="C25" s="74" t="str">
        <x:v>BRIDGE</x:v>
      </x:c>
      <x:c r="D25" s="215" t="n">
        <x:v>19</x:v>
      </x:c>
      <x:c r="E25" s="74" t="str">
        <x:v>V1.0</x:v>
      </x:c>
      <x:c r="F25" s="68" t="str">
        <x:v>桥梁必须自身有效才能承担通关</x:v>
      </x:c>
      <x:c r="G25" s="82" t="str">
        <x:v>结构层</x:v>
      </x:c>
      <x:c r="H25" s="68" t="str">
        <x:v>五行生化路径</x:v>
      </x:c>
      <x:c r="I25" s="68" t="str">
        <x:v>上游五行</x:v>
      </x:c>
      <x:c r="J25" s="68" t="str">
        <x:v>候选桥梁</x:v>
      </x:c>
      <x:c r="K25" s="68" t="str">
        <x:v>下游五行</x:v>
      </x:c>
      <x:c r="L25" s="82" t="str">
        <x:v>待定</x:v>
      </x:c>
      <x:c r="M25" s="82" t="str">
        <x:v>中和</x:v>
      </x:c>
      <x:c r="N25" s="68" t="str">
        <x:v>有效可调用</x:v>
      </x:c>
      <x:c r="O25" s="68" t="str">
        <x:v>待定</x:v>
      </x:c>
      <x:c r="P25" s="68" t="str">
        <x:v>待定</x:v>
      </x:c>
      <x:c r="Q25" s="82" t="str">
        <x:v>局部阻塞</x:v>
      </x:c>
      <x:c r="R25" s="82" t="str">
        <x:v>桥梁太弱</x:v>
      </x:c>
      <x:c r="S25" s="68" t="str">
        <x:v>桥梁</x:v>
      </x:c>
      <x:c r="T25" s="68" t="str">
        <x:v>桥梁只有名义存在但无根无源或已失效</x:v>
      </x:c>
      <x:c r="U25" s="68" t="str">
        <x:v>待定</x:v>
      </x:c>
      <x:c r="V25" s="68" t="str">
        <x:v>待定</x:v>
      </x:c>
      <x:c r="W25" s="90" t="str">
        <x:v>需检查对调候、格局、日主承载及其他通路的副作用</x:v>
      </x:c>
      <x:c r="X25" s="68" t="str">
        <x:v>M06关系效应、M08五行有效旺衰、M10十神功能与M11组合判断已完成</x:v>
      </x:c>
      <x:c r="Y25" s="68" t="str">
        <x:v>起点、桥梁、终点均按有效力量与实际作用路径判断</x:v>
      </x:c>
      <x:c r="Z25" s="68" t="str">
        <x:v>桥梁有根有源、透达、位置可达且不存在关键制约</x:v>
      </x:c>
      <x:c r="AA25" s="68" t="str">
        <x:v>桥梁失令、无根、受克、合绊、改性或同时被多路调用</x:v>
      </x:c>
      <x:c r="AB25" s="90" t="str">
        <x:v>不得仅因五行缺失、数量少或关系名称直接认定卡点或通关用神</x:v>
      </x:c>
      <x:c r="AC25" s="68" t="str">
        <x:v>若存在更短、更强或副作用更小的替代路径，应并列比较后再裁定</x:v>
      </x:c>
      <x:c r="AD25" s="84" t="str">
        <x:v>M12_BRIDGE_流通判定</x:v>
      </x:c>
      <x:c r="AE25" s="84" t="str">
        <x:v>桥梁必须自身有效才能承担通关：按起点—桥梁—终点检查有效力量、连续性与承载；卡点为“桥梁太弱”时，仅生成通关候选，不直接定用神。</x:v>
      </x:c>
      <x:c r="AF25" s="82" t="str">
        <x:v>较高</x:v>
      </x:c>
      <x:c r="AG25" s="82" t="str">
        <x:v>现代综合</x:v>
      </x:c>
      <x:c r="AH25" s="68" t="str">
        <x:v>流通判断以五行有效力量、生克顺序与十神功能为核心；古典依据可参照《滴天髓》《渊海子平》。 https://zh.wikisource.org/wiki/%E6%BB%B4%E5%A4%A9%E9%AB%93%E9%97%A1%E5%BE%AE https://zh.wikisource.org/zh-hans/%E6%B7%B5%E6%B5%B7%E5%AD%90%E5%B9%B3</x:v>
      </x:c>
      <x:c r="AI25" s="68" t="str">
        <x:v>当“桥梁只有名义存在但无根无源或已失效”真实成立，且桥梁具备有效力量和连续作用条件时，可按“桥梁必须自身有效才能承担通关”记录。</x:v>
      </x:c>
      <x:c r="AJ25" s="90" t="str">
        <x:v>仅见表面缺失或五行相克，但未证明“桥梁只有名义存在但无根无源或已失效”形成实际阻断时，不得套用“桥梁必须自身有效才能承担通关”。</x:v>
      </x:c>
      <x:c r="AK25" s="82" t="str">
        <x:v>采用</x:v>
      </x:c>
      <x:c r="AL25" s="82" t="str">
        <x:v>初审</x:v>
      </x:c>
      <x:c r="AM25" s="87" t="n">
        <x:v>46255</x:v>
      </x:c>
    </x:row>
    <x:row r="26">
      <x:c r="A26" s="72" t="str">
        <x:f>IF(OR(C26="",D26=""),"",B26&amp;"-"&amp;UPPER(C26)&amp;"-"&amp;TEXT(D26,"0000")&amp;"-"&amp;E26)</x:f>
        <x:v>M12-BRIDGE-0020-V1.0</x:v>
      </x:c>
      <x:c r="B26" s="74" t="str">
        <x:v>M12</x:v>
      </x:c>
      <x:c r="C26" s="74" t="str">
        <x:v>BRIDGE</x:v>
      </x:c>
      <x:c r="D26" s="215" t="n">
        <x:v>20</x:v>
      </x:c>
      <x:c r="E26" s="74" t="str">
        <x:v>V1.0</x:v>
      </x:c>
      <x:c r="F26" s="68" t="str">
        <x:v>桥梁达到中和以上通常具备稳定传递能力</x:v>
      </x:c>
      <x:c r="G26" s="82" t="str">
        <x:v>结构层</x:v>
      </x:c>
      <x:c r="H26" s="68" t="str">
        <x:v>五行生化路径</x:v>
      </x:c>
      <x:c r="I26" s="68" t="str">
        <x:v>上游五行</x:v>
      </x:c>
      <x:c r="J26" s="68" t="str">
        <x:v>候选桥梁</x:v>
      </x:c>
      <x:c r="K26" s="68" t="str">
        <x:v>下游五行</x:v>
      </x:c>
      <x:c r="L26" s="82" t="str">
        <x:v>待定</x:v>
      </x:c>
      <x:c r="M26" s="82" t="str">
        <x:v>中和偏旺</x:v>
      </x:c>
      <x:c r="N26" s="68" t="str">
        <x:v>稳定有效</x:v>
      </x:c>
      <x:c r="O26" s="68" t="str">
        <x:v>待定</x:v>
      </x:c>
      <x:c r="P26" s="68" t="str">
        <x:v>待定</x:v>
      </x:c>
      <x:c r="Q26" s="82" t="str">
        <x:v>通畅</x:v>
      </x:c>
      <x:c r="R26" s="82" t="str">
        <x:v>其他</x:v>
      </x:c>
      <x:c r="S26" s="68" t="str">
        <x:v>待定</x:v>
      </x:c>
      <x:c r="T26" s="68" t="str">
        <x:v>桥梁有效力量足以承接上游并继续作用下游</x:v>
      </x:c>
      <x:c r="U26" s="68" t="str">
        <x:v>待定</x:v>
      </x:c>
      <x:c r="V26" s="68" t="str">
        <x:v>待定</x:v>
      </x:c>
      <x:c r="W26" s="90" t="str">
        <x:v>需检查对调候、格局、日主承载及其他通路的副作用</x:v>
      </x:c>
      <x:c r="X26" s="68" t="str">
        <x:v>M06关系效应、M08五行有效旺衰、M10十神功能与M11组合判断已完成</x:v>
      </x:c>
      <x:c r="Y26" s="68" t="str">
        <x:v>起点、桥梁、终点均按有效力量与实际作用路径判断</x:v>
      </x:c>
      <x:c r="Z26" s="68" t="str">
        <x:v>桥梁有根有源、透达、位置可达且不存在关键制约</x:v>
      </x:c>
      <x:c r="AA26" s="68" t="str">
        <x:v>桥梁失令、无根、受克、合绊、改性或同时被多路调用</x:v>
      </x:c>
      <x:c r="AB26" s="90" t="str">
        <x:v>不得仅因五行缺失、数量少或关系名称直接认定卡点或通关用神</x:v>
      </x:c>
      <x:c r="AC26" s="68" t="str">
        <x:v>若存在更短、更强或副作用更小的替代路径，应并列比较后再裁定</x:v>
      </x:c>
      <x:c r="AD26" s="84" t="str">
        <x:v>桥梁稳定</x:v>
      </x:c>
      <x:c r="AE26" s="84" t="str">
        <x:v>桥梁达到中和以上通常具备稳定传递能力：按起点—桥梁—终点检查有效力量、连续性与承载；卡点为“其他”时，仅生成通关候选，不直接定用神。</x:v>
      </x:c>
      <x:c r="AF26" s="82" t="str">
        <x:v>较高</x:v>
      </x:c>
      <x:c r="AG26" s="82" t="str">
        <x:v>现代综合</x:v>
      </x:c>
      <x:c r="AH26" s="68" t="str">
        <x:v>流通判断以五行有效力量、生克顺序与十神功能为核心；古典依据可参照《滴天髓》《渊海子平》。 https://zh.wikisource.org/wiki/%E6%BB%B4%E5%A4%A9%E9%AB%93%E9%97%A1%E5%BE%AE https://zh.wikisource.org/zh-hans/%E6%B7%B5%E6%B5%B7%E5%AD%90%E5%B9%B3</x:v>
      </x:c>
      <x:c r="AI26" s="68" t="str">
        <x:v>当“桥梁有效力量足以承接上游并继续作用下游”真实成立，且桥梁具备有效力量和连续作用条件时，可按“桥梁达到中和以上通常具备稳定传递能力”记录。</x:v>
      </x:c>
      <x:c r="AJ26" s="90" t="str">
        <x:v>仅见表面缺失或五行相克，但未证明“桥梁有效力量足以承接上游并继续作用下游”形成实际阻断时，不得套用“桥梁达到中和以上通常具备稳定传递能力”。</x:v>
      </x:c>
      <x:c r="AK26" s="82" t="str">
        <x:v>采用</x:v>
      </x:c>
      <x:c r="AL26" s="82" t="str">
        <x:v>初审</x:v>
      </x:c>
      <x:c r="AM26" s="87" t="n">
        <x:v>46255</x:v>
      </x:c>
    </x:row>
    <x:row r="27">
      <x:c r="A27" s="72" t="str">
        <x:f>IF(OR(C27="",D27=""),"",B27&amp;"-"&amp;UPPER(C27)&amp;"-"&amp;TEXT(D27,"0000")&amp;"-"&amp;E27)</x:f>
        <x:v>M12-BRIDGE-0021-V1.0</x:v>
      </x:c>
      <x:c r="B27" s="74" t="str">
        <x:v>M12</x:v>
      </x:c>
      <x:c r="C27" s="74" t="str">
        <x:v>BRIDGE</x:v>
      </x:c>
      <x:c r="D27" s="215" t="n">
        <x:v>21</x:v>
      </x:c>
      <x:c r="E27" s="74" t="str">
        <x:v>V1.0</x:v>
      </x:c>
      <x:c r="F27" s="68" t="str">
        <x:v>桥梁仅微弱存在时只能形成弱通路</x:v>
      </x:c>
      <x:c r="G27" s="82" t="str">
        <x:v>结构层</x:v>
      </x:c>
      <x:c r="H27" s="68" t="str">
        <x:v>五行生化路径</x:v>
      </x:c>
      <x:c r="I27" s="68" t="str">
        <x:v>上游五行</x:v>
      </x:c>
      <x:c r="J27" s="68" t="str">
        <x:v>弱桥梁</x:v>
      </x:c>
      <x:c r="K27" s="68" t="str">
        <x:v>下游五行</x:v>
      </x:c>
      <x:c r="L27" s="82" t="str">
        <x:v>待定</x:v>
      </x:c>
      <x:c r="M27" s="82" t="str">
        <x:v>弱</x:v>
      </x:c>
      <x:c r="N27" s="68" t="str">
        <x:v>有但承载有限</x:v>
      </x:c>
      <x:c r="O27" s="68" t="str">
        <x:v>待定</x:v>
      </x:c>
      <x:c r="P27" s="68" t="str">
        <x:v>待定</x:v>
      </x:c>
      <x:c r="Q27" s="82" t="str">
        <x:v>局部阻塞</x:v>
      </x:c>
      <x:c r="R27" s="82" t="str">
        <x:v>桥梁太弱</x:v>
      </x:c>
      <x:c r="S27" s="68" t="str">
        <x:v>桥梁</x:v>
      </x:c>
      <x:c r="T27" s="68" t="str">
        <x:v>桥梁存在但有效力量不足以持续传递</x:v>
      </x:c>
      <x:c r="U27" s="68" t="str">
        <x:v>待定</x:v>
      </x:c>
      <x:c r="V27" s="68" t="str">
        <x:v>待定</x:v>
      </x:c>
      <x:c r="W27" s="90" t="str">
        <x:v>需检查对调候、格局、日主承载及其他通路的副作用</x:v>
      </x:c>
      <x:c r="X27" s="68" t="str">
        <x:v>M06关系效应、M08五行有效旺衰、M10十神功能与M11组合判断已完成</x:v>
      </x:c>
      <x:c r="Y27" s="68" t="str">
        <x:v>起点、桥梁、终点均按有效力量与实际作用路径判断</x:v>
      </x:c>
      <x:c r="Z27" s="68" t="str">
        <x:v>桥梁有根有源、透达、位置可达且不存在关键制约</x:v>
      </x:c>
      <x:c r="AA27" s="68" t="str">
        <x:v>桥梁失令、无根、受克、合绊、改性或同时被多路调用</x:v>
      </x:c>
      <x:c r="AB27" s="90" t="str">
        <x:v>不得仅因五行缺失、数量少或关系名称直接认定卡点或通关用神</x:v>
      </x:c>
      <x:c r="AC27" s="68" t="str">
        <x:v>若存在更短、更强或副作用更小的替代路径，应并列比较后再裁定</x:v>
      </x:c>
      <x:c r="AD27" s="84" t="str">
        <x:v>M12_BRIDGE_流通判定</x:v>
      </x:c>
      <x:c r="AE27" s="84" t="str">
        <x:v>桥梁仅微弱存在时只能形成弱通路：按起点—桥梁—终点检查有效力量、连续性与承载；卡点为“桥梁太弱”时，仅生成通关候选，不直接定用神。</x:v>
      </x:c>
      <x:c r="AF27" s="82" t="str">
        <x:v>较高</x:v>
      </x:c>
      <x:c r="AG27" s="82" t="str">
        <x:v>现代综合</x:v>
      </x:c>
      <x:c r="AH27" s="68" t="str">
        <x:v>流通判断以五行有效力量、生克顺序与十神功能为核心；古典依据可参照《滴天髓》《渊海子平》。 https://zh.wikisource.org/wiki/%E6%BB%B4%E5%A4%A9%E9%AB%93%E9%97%A1%E5%BE%AE https://zh.wikisource.org/zh-hans/%E6%B7%B5%E6%B5%B7%E5%AD%90%E5%B9%B3</x:v>
      </x:c>
      <x:c r="AI27" s="68" t="str">
        <x:v>当“桥梁存在但有效力量不足以持续传递”真实成立，且桥梁具备有效力量和连续作用条件时，可按“桥梁仅微弱存在时只能形成弱通路”记录。</x:v>
      </x:c>
      <x:c r="AJ27" s="90" t="str">
        <x:v>仅见表面缺失或五行相克，但未证明“桥梁存在但有效力量不足以持续传递”形成实际阻断时，不得套用“桥梁仅微弱存在时只能形成弱通路”。</x:v>
      </x:c>
      <x:c r="AK27" s="82" t="str">
        <x:v>采用</x:v>
      </x:c>
      <x:c r="AL27" s="82" t="str">
        <x:v>初审</x:v>
      </x:c>
      <x:c r="AM27" s="87" t="n">
        <x:v>46255</x:v>
      </x:c>
    </x:row>
    <x:row r="28">
      <x:c r="A28" s="72" t="str">
        <x:f>IF(OR(C28="",D28=""),"",B28&amp;"-"&amp;UPPER(C28)&amp;"-"&amp;TEXT(D28,"0000")&amp;"-"&amp;E28)</x:f>
        <x:v>M12-BRIDGE-0022-V1.0</x:v>
      </x:c>
      <x:c r="B28" s="74" t="str">
        <x:v>M12</x:v>
      </x:c>
      <x:c r="C28" s="74" t="str">
        <x:v>BRIDGE</x:v>
      </x:c>
      <x:c r="D28" s="215" t="n">
        <x:v>22</x:v>
      </x:c>
      <x:c r="E28" s="74" t="str">
        <x:v>V1.0</x:v>
      </x:c>
      <x:c r="F28" s="68" t="str">
        <x:v>桥梁被直接强克时流通效率下降</x:v>
      </x:c>
      <x:c r="G28" s="82" t="str">
        <x:v>结构层</x:v>
      </x:c>
      <x:c r="H28" s="68" t="str">
        <x:v>五行生化路径</x:v>
      </x:c>
      <x:c r="I28" s="68" t="str">
        <x:v>上游五行</x:v>
      </x:c>
      <x:c r="J28" s="68" t="str">
        <x:v>被克桥梁</x:v>
      </x:c>
      <x:c r="K28" s="68" t="str">
        <x:v>下游五行</x:v>
      </x:c>
      <x:c r="L28" s="82" t="str">
        <x:v>待定</x:v>
      </x:c>
      <x:c r="M28" s="82" t="str">
        <x:v>中和</x:v>
      </x:c>
      <x:c r="N28" s="68" t="str">
        <x:v>受强克</x:v>
      </x:c>
      <x:c r="O28" s="68" t="str">
        <x:v>待定</x:v>
      </x:c>
      <x:c r="P28" s="68" t="str">
        <x:v>待定</x:v>
      </x:c>
      <x:c r="Q28" s="82" t="str">
        <x:v>明显阻断</x:v>
      </x:c>
      <x:c r="R28" s="82" t="str">
        <x:v>桥梁被克</x:v>
      </x:c>
      <x:c r="S28" s="68" t="str">
        <x:v>桥梁</x:v>
      </x:c>
      <x:c r="T28" s="68" t="str">
        <x:v>桥梁承担传递时同时受到强制，实际可调用力量不足</x:v>
      </x:c>
      <x:c r="U28" s="68" t="str">
        <x:v>待定</x:v>
      </x:c>
      <x:c r="V28" s="68" t="str">
        <x:v>待定</x:v>
      </x:c>
      <x:c r="W28" s="90" t="str">
        <x:v>需检查对调候、格局、日主承载及其他通路的副作用</x:v>
      </x:c>
      <x:c r="X28" s="68" t="str">
        <x:v>M06关系效应、M08五行有效旺衰、M10十神功能与M11组合判断已完成</x:v>
      </x:c>
      <x:c r="Y28" s="68" t="str">
        <x:v>起点、桥梁、终点均按有效力量与实际作用路径判断</x:v>
      </x:c>
      <x:c r="Z28" s="68" t="str">
        <x:v>桥梁有根有源、透达、位置可达且不存在关键制约</x:v>
      </x:c>
      <x:c r="AA28" s="68" t="str">
        <x:v>桥梁失令、无根、受克、合绊、改性或同时被多路调用</x:v>
      </x:c>
      <x:c r="AB28" s="90" t="str">
        <x:v>不得仅因五行缺失、数量少或关系名称直接认定卡点或通关用神</x:v>
      </x:c>
      <x:c r="AC28" s="68" t="str">
        <x:v>若存在更短、更强或副作用更小的替代路径，应并列比较后再裁定</x:v>
      </x:c>
      <x:c r="AD28" s="84" t="str">
        <x:v>M12_BRIDGE_流通判定</x:v>
      </x:c>
      <x:c r="AE28" s="84" t="str">
        <x:v>桥梁被直接强克时流通效率下降：按起点—桥梁—终点检查有效力量、连续性与承载；卡点为“桥梁被克”时，仅生成通关候选，不直接定用神。</x:v>
      </x:c>
      <x:c r="AF28" s="82" t="str">
        <x:v>较高</x:v>
      </x:c>
      <x:c r="AG28" s="82" t="str">
        <x:v>现代综合</x:v>
      </x:c>
      <x:c r="AH28" s="68" t="str">
        <x:v>流通判断以五行有效力量、生克顺序与十神功能为核心；古典依据可参照《滴天髓》《渊海子平》。 https://zh.wikisource.org/wiki/%E6%BB%B4%E5%A4%A9%E9%AB%93%E9%97%A1%E5%BE%AE https://zh.wikisource.org/zh-hans/%E6%B7%B5%E6%B5%B7%E5%AD%90%E5%B9%B3</x:v>
      </x:c>
      <x:c r="AI28" s="68" t="str">
        <x:v>当“桥梁承担传递时同时受到强制，实际可调用力量不足”真实成立，且桥梁具备有效力量和连续作用条件时，可按“桥梁被直接强克时流通效率下降”记录。</x:v>
      </x:c>
      <x:c r="AJ28" s="90" t="str">
        <x:v>仅见表面缺失或五行相克，但未证明“桥梁承担传递时同时受到强制，实际可调用力量不足”形成实际阻断时，不得套用“桥梁被直接强克时流通效率下降”。</x:v>
      </x:c>
      <x:c r="AK28" s="82" t="str">
        <x:v>采用</x:v>
      </x:c>
      <x:c r="AL28" s="82" t="str">
        <x:v>初审</x:v>
      </x:c>
      <x:c r="AM28" s="87" t="n">
        <x:v>46255</x:v>
      </x:c>
    </x:row>
    <x:row r="29">
      <x:c r="A29" s="72" t="str">
        <x:f>IF(OR(C29="",D29=""),"",B29&amp;"-"&amp;UPPER(C29)&amp;"-"&amp;TEXT(D29,"0000")&amp;"-"&amp;E29)</x:f>
        <x:v>M12-BRIDGE-0023-V1.0</x:v>
      </x:c>
      <x:c r="B29" s="74" t="str">
        <x:v>M12</x:v>
      </x:c>
      <x:c r="C29" s="74" t="str">
        <x:v>BRIDGE</x:v>
      </x:c>
      <x:c r="D29" s="215" t="n">
        <x:v>23</x:v>
      </x:c>
      <x:c r="E29" s="74" t="str">
        <x:v>V1.0</x:v>
      </x:c>
      <x:c r="F29" s="68" t="str">
        <x:v>桥梁被合绊但未失效时属于受限通路</x:v>
      </x:c>
      <x:c r="G29" s="82" t="str">
        <x:v>结构层</x:v>
      </x:c>
      <x:c r="H29" s="68" t="str">
        <x:v>五行生化路径</x:v>
      </x:c>
      <x:c r="I29" s="68" t="str">
        <x:v>上游五行</x:v>
      </x:c>
      <x:c r="J29" s="68" t="str">
        <x:v>被合绊桥梁</x:v>
      </x:c>
      <x:c r="K29" s="68" t="str">
        <x:v>下游五行</x:v>
      </x:c>
      <x:c r="L29" s="82" t="str">
        <x:v>待定</x:v>
      </x:c>
      <x:c r="M29" s="82" t="str">
        <x:v>中和</x:v>
      </x:c>
      <x:c r="N29" s="68" t="str">
        <x:v>合绊受限</x:v>
      </x:c>
      <x:c r="O29" s="68" t="str">
        <x:v>待定</x:v>
      </x:c>
      <x:c r="P29" s="68" t="str">
        <x:v>待定</x:v>
      </x:c>
      <x:c r="Q29" s="82" t="str">
        <x:v>局部阻塞</x:v>
      </x:c>
      <x:c r="R29" s="82" t="str">
        <x:v>桥梁被合绊</x:v>
      </x:c>
      <x:c r="S29" s="68" t="str">
        <x:v>桥梁</x:v>
      </x:c>
      <x:c r="T29" s="68" t="str">
        <x:v>桥梁被牵制，仍存在但不能全额承担传递</x:v>
      </x:c>
      <x:c r="U29" s="68" t="str">
        <x:v>待定</x:v>
      </x:c>
      <x:c r="V29" s="68" t="str">
        <x:v>待定</x:v>
      </x:c>
      <x:c r="W29" s="90" t="str">
        <x:v>需检查对调候、格局、日主承载及其他通路的副作用</x:v>
      </x:c>
      <x:c r="X29" s="68" t="str">
        <x:v>M06关系效应、M08五行有效旺衰、M10十神功能与M11组合判断已完成</x:v>
      </x:c>
      <x:c r="Y29" s="68" t="str">
        <x:v>起点、桥梁、终点均按有效力量与实际作用路径判断</x:v>
      </x:c>
      <x:c r="Z29" s="68" t="str">
        <x:v>桥梁有根有源、透达、位置可达且不存在关键制约</x:v>
      </x:c>
      <x:c r="AA29" s="68" t="str">
        <x:v>桥梁失令、无根、受克、合绊、改性或同时被多路调用</x:v>
      </x:c>
      <x:c r="AB29" s="90" t="str">
        <x:v>不得仅因五行缺失、数量少或关系名称直接认定卡点或通关用神</x:v>
      </x:c>
      <x:c r="AC29" s="68" t="str">
        <x:v>若存在更短、更强或副作用更小的替代路径，应并列比较后再裁定</x:v>
      </x:c>
      <x:c r="AD29" s="84" t="str">
        <x:v>M12_BRIDGE_流通判定</x:v>
      </x:c>
      <x:c r="AE29" s="84" t="str">
        <x:v>桥梁被合绊但未失效时属于受限通路：按起点—桥梁—终点检查有效力量、连续性与承载；卡点为“桥梁被合绊”时，仅生成通关候选，不直接定用神。</x:v>
      </x:c>
      <x:c r="AF29" s="82" t="str">
        <x:v>较高</x:v>
      </x:c>
      <x:c r="AG29" s="82" t="str">
        <x:v>现代综合</x:v>
      </x:c>
      <x:c r="AH29" s="68" t="str">
        <x:v>流通判断以五行有效力量、生克顺序与十神功能为核心；古典依据可参照《滴天髓》《渊海子平》。 https://zh.wikisource.org/wiki/%E6%BB%B4%E5%A4%A9%E9%AB%93%E9%97%A1%E5%BE%AE https://zh.wikisource.org/zh-hans/%E6%B7%B5%E6%B5%B7%E5%AD%90%E5%B9%B3</x:v>
      </x:c>
      <x:c r="AI29" s="68" t="str">
        <x:v>当“桥梁被牵制，仍存在但不能全额承担传递”真实成立，且桥梁具备有效力量和连续作用条件时，可按“桥梁被合绊但未失效时属于受限通路”记录。</x:v>
      </x:c>
      <x:c r="AJ29" s="90" t="str">
        <x:v>仅见表面缺失或五行相克，但未证明“桥梁被牵制，仍存在但不能全额承担传递”形成实际阻断时，不得套用“桥梁被合绊但未失效时属于受限通路”。</x:v>
      </x:c>
      <x:c r="AK29" s="82" t="str">
        <x:v>采用</x:v>
      </x:c>
      <x:c r="AL29" s="82" t="str">
        <x:v>初审</x:v>
      </x:c>
      <x:c r="AM29" s="87" t="n">
        <x:v>46255</x:v>
      </x:c>
    </x:row>
    <x:row r="30">
      <x:c r="A30" s="72" t="str">
        <x:f>IF(OR(C30="",D30=""),"",B30&amp;"-"&amp;UPPER(C30)&amp;"-"&amp;TEXT(D30,"0000")&amp;"-"&amp;E30)</x:f>
        <x:v>M12-BRIDGE-0024-V1.0</x:v>
      </x:c>
      <x:c r="B30" s="74" t="str">
        <x:v>M12</x:v>
      </x:c>
      <x:c r="C30" s="74" t="str">
        <x:v>BRIDGE</x:v>
      </x:c>
      <x:c r="D30" s="215" t="n">
        <x:v>24</x:v>
      </x:c>
      <x:c r="E30" s="74" t="str">
        <x:v>V1.0</x:v>
      </x:c>
      <x:c r="F30" s="68" t="str">
        <x:v>桥梁实质合化后必须按新五行重建路径</x:v>
      </x:c>
      <x:c r="G30" s="82" t="str">
        <x:v>结构层</x:v>
      </x:c>
      <x:c r="H30" s="68" t="str">
        <x:v>五行生化路径</x:v>
      </x:c>
      <x:c r="I30" s="68" t="str">
        <x:v>原上游</x:v>
      </x:c>
      <x:c r="J30" s="68" t="str">
        <x:v>发生合化的桥梁</x:v>
      </x:c>
      <x:c r="K30" s="68" t="str">
        <x:v>原终点</x:v>
      </x:c>
      <x:c r="L30" s="82" t="str">
        <x:v>待定</x:v>
      </x:c>
      <x:c r="M30" s="82" t="str">
        <x:v>待定</x:v>
      </x:c>
      <x:c r="N30" s="68" t="str">
        <x:v>五行性质已改性</x:v>
      </x:c>
      <x:c r="O30" s="68" t="str">
        <x:v>待定</x:v>
      </x:c>
      <x:c r="P30" s="68" t="str">
        <x:v>待定</x:v>
      </x:c>
      <x:c r="Q30" s="82" t="str">
        <x:v>无有效路径</x:v>
      </x:c>
      <x:c r="R30" s="82" t="str">
        <x:v>其他</x:v>
      </x:c>
      <x:c r="S30" s="68" t="str">
        <x:v>桥梁</x:v>
      </x:c>
      <x:c r="T30" s="68" t="str">
        <x:v>桥梁原五行功能已发生实质改变，旧路径不再成立</x:v>
      </x:c>
      <x:c r="U30" s="68" t="str">
        <x:v>按合化后五行重算</x:v>
      </x:c>
      <x:c r="V30" s="68" t="str">
        <x:v>M06已确认实质合化</x:v>
      </x:c>
      <x:c r="W30" s="90" t="str">
        <x:v>需检查对调候、格局、日主承载及其他通路的副作用</x:v>
      </x:c>
      <x:c r="X30" s="68" t="str">
        <x:v>M06关系效应、M08五行有效旺衰、M10十神功能与M11组合判断已完成</x:v>
      </x:c>
      <x:c r="Y30" s="68" t="str">
        <x:v>起点、桥梁、终点均按有效力量与实际作用路径判断</x:v>
      </x:c>
      <x:c r="Z30" s="68" t="str">
        <x:v>桥梁有根有源、透达、位置可达且不存在关键制约</x:v>
      </x:c>
      <x:c r="AA30" s="68" t="str">
        <x:v>桥梁失令、无根、受克、合绊、改性或同时被多路调用</x:v>
      </x:c>
      <x:c r="AB30" s="90" t="str">
        <x:v>不得仅因五行缺失、数量少或关系名称直接认定卡点或通关用神</x:v>
      </x:c>
      <x:c r="AC30" s="68" t="str">
        <x:v>若存在更短、更强或副作用更小的替代路径，应并列比较后再裁定</x:v>
      </x:c>
      <x:c r="AD30" s="84" t="str">
        <x:v>M12_BRIDGE_流通判定</x:v>
      </x:c>
      <x:c r="AE30" s="84" t="str">
        <x:v>桥梁实质合化后必须按新五行重建路径：按起点—桥梁—终点检查有效力量、连续性与承载；卡点为“其他”时，仅生成通关候选，不直接定用神。</x:v>
      </x:c>
      <x:c r="AF30" s="82" t="str">
        <x:v>较高</x:v>
      </x:c>
      <x:c r="AG30" s="82" t="str">
        <x:v>现代综合</x:v>
      </x:c>
      <x:c r="AH30" s="68" t="str">
        <x:v>流通判断以五行有效力量、生克顺序与十神功能为核心；古典依据可参照《滴天髓》《渊海子平》。 https://zh.wikisource.org/wiki/%E6%BB%B4%E5%A4%A9%E9%AB%93%E9%97%A1%E5%BE%AE https://zh.wikisource.org/zh-hans/%E6%B7%B5%E6%B5%B7%E5%AD%90%E5%B9%B3</x:v>
      </x:c>
      <x:c r="AI30" s="68" t="str">
        <x:v>当“桥梁原五行功能已发生实质改变，旧路径不再成立”真实成立，且桥梁具备有效力量和连续作用条件时，可按“桥梁实质合化后必须按新五行重建路径”记录。</x:v>
      </x:c>
      <x:c r="AJ30" s="90" t="str">
        <x:v>仅见表面缺失或五行相克，但未证明“桥梁原五行功能已发生实质改变，旧路径不再成立”形成实际阻断时，不得套用“桥梁实质合化后必须按新五行重建路径”。</x:v>
      </x:c>
      <x:c r="AK30" s="82" t="str">
        <x:v>采用</x:v>
      </x:c>
      <x:c r="AL30" s="82" t="str">
        <x:v>初审</x:v>
      </x:c>
      <x:c r="AM30" s="87" t="n">
        <x:v>46255</x:v>
      </x:c>
    </x:row>
    <x:row r="31">
      <x:c r="A31" s="72" t="str">
        <x:f>IF(OR(C31="",D31=""),"",B31&amp;"-"&amp;UPPER(C31)&amp;"-"&amp;TEXT(D31,"0000")&amp;"-"&amp;E31)</x:f>
        <x:v>M12-BRIDGE-0025-V1.0</x:v>
      </x:c>
      <x:c r="B31" s="74" t="str">
        <x:v>M12</x:v>
      </x:c>
      <x:c r="C31" s="74" t="str">
        <x:v>BRIDGE</x:v>
      </x:c>
      <x:c r="D31" s="215" t="n">
        <x:v>25</x:v>
      </x:c>
      <x:c r="E31" s="74" t="str">
        <x:v>V1.0</x:v>
      </x:c>
      <x:c r="F31" s="68" t="str">
        <x:v>桥梁同时被多个路径调用时需降低单路容量</x:v>
      </x:c>
      <x:c r="G31" s="82" t="str">
        <x:v>结构层</x:v>
      </x:c>
      <x:c r="H31" s="68" t="str">
        <x:v>五行生化路径</x:v>
      </x:c>
      <x:c r="I31" s="68" t="str">
        <x:v>多个上游</x:v>
      </x:c>
      <x:c r="J31" s="68" t="str">
        <x:v>共享桥梁</x:v>
      </x:c>
      <x:c r="K31" s="68" t="str">
        <x:v>多个下游</x:v>
      </x:c>
      <x:c r="L31" s="82" t="str">
        <x:v>待定</x:v>
      </x:c>
      <x:c r="M31" s="82" t="str">
        <x:v>中和偏旺</x:v>
      </x:c>
      <x:c r="N31" s="68" t="str">
        <x:v>多路共享</x:v>
      </x:c>
      <x:c r="O31" s="68" t="str">
        <x:v>待定</x:v>
      </x:c>
      <x:c r="P31" s="68" t="str">
        <x:v>待定</x:v>
      </x:c>
      <x:c r="Q31" s="82" t="str">
        <x:v>基本通畅</x:v>
      </x:c>
      <x:c r="R31" s="82" t="str">
        <x:v>其他</x:v>
      </x:c>
      <x:c r="S31" s="68" t="str">
        <x:v>桥梁</x:v>
      </x:c>
      <x:c r="T31" s="68" t="str">
        <x:v>同一桥梁的有效力量需要在多个路径间分配</x:v>
      </x:c>
      <x:c r="U31" s="68" t="str">
        <x:v>待定</x:v>
      </x:c>
      <x:c r="V31" s="68" t="str">
        <x:v>待定</x:v>
      </x:c>
      <x:c r="W31" s="90" t="str">
        <x:v>需检查对调候、格局、日主承载及其他通路的副作用</x:v>
      </x:c>
      <x:c r="X31" s="68" t="str">
        <x:v>M06关系效应、M08五行有效旺衰、M10十神功能与M11组合判断已完成</x:v>
      </x:c>
      <x:c r="Y31" s="68" t="str">
        <x:v>起点、桥梁、终点均按有效力量与实际作用路径判断</x:v>
      </x:c>
      <x:c r="Z31" s="68" t="str">
        <x:v>桥梁有根有源、透达、位置可达且不存在关键制约</x:v>
      </x:c>
      <x:c r="AA31" s="68" t="str">
        <x:v>桥梁失令、无根、受克、合绊、改性或同时被多路调用</x:v>
      </x:c>
      <x:c r="AB31" s="90" t="str">
        <x:v>不得仅因五行缺失、数量少或关系名称直接认定卡点或通关用神</x:v>
      </x:c>
      <x:c r="AC31" s="68" t="str">
        <x:v>若存在更短、更强或副作用更小的替代路径，应并列比较后再裁定</x:v>
      </x:c>
      <x:c r="AD31" s="84" t="str">
        <x:v>M12_BRIDGE_流通判定</x:v>
      </x:c>
      <x:c r="AE31" s="84" t="str">
        <x:v>桥梁同时被多个路径调用时需降低单路容量：按起点—桥梁—终点检查有效力量、连续性与承载；卡点为“其他”时，仅生成通关候选，不直接定用神。</x:v>
      </x:c>
      <x:c r="AF31" s="82" t="str">
        <x:v>较高</x:v>
      </x:c>
      <x:c r="AG31" s="82" t="str">
        <x:v>现代综合</x:v>
      </x:c>
      <x:c r="AH31" s="68" t="str">
        <x:v>流通判断以五行有效力量、生克顺序与十神功能为核心；古典依据可参照《滴天髓》《渊海子平》。 https://zh.wikisource.org/wiki/%E6%BB%B4%E5%A4%A9%E9%AB%93%E9%97%A1%E5%BE%AE https://zh.wikisource.org/zh-hans/%E6%B7%B5%E6%B5%B7%E5%AD%90%E5%B9%B3</x:v>
      </x:c>
      <x:c r="AI31" s="68" t="str">
        <x:v>当“同一桥梁的有效力量需要在多个路径间分配”真实成立，且桥梁具备有效力量和连续作用条件时，可按“桥梁同时被多个路径调用时需降低单路容量”记录。</x:v>
      </x:c>
      <x:c r="AJ31" s="90" t="str">
        <x:v>仅见表面缺失或五行相克，但未证明“同一桥梁的有效力量需要在多个路径间分配”形成实际阻断时，不得套用“桥梁同时被多个路径调用时需降低单路容量”。</x:v>
      </x:c>
      <x:c r="AK31" s="82" t="str">
        <x:v>采用</x:v>
      </x:c>
      <x:c r="AL31" s="82" t="str">
        <x:v>初审</x:v>
      </x:c>
      <x:c r="AM31" s="87" t="n">
        <x:v>46255</x:v>
      </x:c>
    </x:row>
    <x:row r="32">
      <x:c r="A32" s="72" t="str">
        <x:f>IF(OR(C32="",D32=""),"",B32&amp;"-"&amp;UPPER(C32)&amp;"-"&amp;TEXT(D32,"0000")&amp;"-"&amp;E32)</x:f>
        <x:v>M12-BRIDGE-0026-V1.0</x:v>
      </x:c>
      <x:c r="B32" s="74" t="str">
        <x:v>M12</x:v>
      </x:c>
      <x:c r="C32" s="74" t="str">
        <x:v>BRIDGE</x:v>
      </x:c>
      <x:c r="D32" s="215" t="n">
        <x:v>26</x:v>
      </x:c>
      <x:c r="E32" s="74" t="str">
        <x:v>V1.0</x:v>
      </x:c>
      <x:c r="F32" s="68" t="str">
        <x:v>桥梁得令有根有源可显著提高通关稳定性</x:v>
      </x:c>
      <x:c r="G32" s="82" t="str">
        <x:v>结构层</x:v>
      </x:c>
      <x:c r="H32" s="68" t="str">
        <x:v>五行生化路径</x:v>
      </x:c>
      <x:c r="I32" s="68" t="str">
        <x:v>上游五行</x:v>
      </x:c>
      <x:c r="J32" s="68" t="str">
        <x:v>候选桥梁</x:v>
      </x:c>
      <x:c r="K32" s="68" t="str">
        <x:v>下游五行</x:v>
      </x:c>
      <x:c r="L32" s="82" t="str">
        <x:v>待定</x:v>
      </x:c>
      <x:c r="M32" s="82" t="str">
        <x:v>旺</x:v>
      </x:c>
      <x:c r="N32" s="68" t="str">
        <x:v>得令有根有源</x:v>
      </x:c>
      <x:c r="O32" s="68" t="str">
        <x:v>待定</x:v>
      </x:c>
      <x:c r="P32" s="68" t="str">
        <x:v>待定</x:v>
      </x:c>
      <x:c r="Q32" s="82" t="str">
        <x:v>通畅</x:v>
      </x:c>
      <x:c r="R32" s="82" t="str">
        <x:v>其他</x:v>
      </x:c>
      <x:c r="S32" s="68" t="str">
        <x:v>待定</x:v>
      </x:c>
      <x:c r="T32" s="68" t="str">
        <x:v>桥梁同时具备季令、根气和生源等独立有效支持</x:v>
      </x:c>
      <x:c r="U32" s="68" t="str">
        <x:v>待定</x:v>
      </x:c>
      <x:c r="V32" s="68" t="str">
        <x:v>待定</x:v>
      </x:c>
      <x:c r="W32" s="90" t="str">
        <x:v>需检查对调候、格局、日主承载及其他通路的副作用</x:v>
      </x:c>
      <x:c r="X32" s="68" t="str">
        <x:v>M06关系效应、M08五行有效旺衰、M10十神功能与M11组合判断已完成</x:v>
      </x:c>
      <x:c r="Y32" s="68" t="str">
        <x:v>起点、桥梁、终点均按有效力量与实际作用路径判断</x:v>
      </x:c>
      <x:c r="Z32" s="68" t="str">
        <x:v>桥梁有根有源、透达、位置可达且不存在关键制约</x:v>
      </x:c>
      <x:c r="AA32" s="68" t="str">
        <x:v>桥梁失令、无根、受克、合绊、改性或同时被多路调用</x:v>
      </x:c>
      <x:c r="AB32" s="90" t="str">
        <x:v>不得仅因五行缺失、数量少或关系名称直接认定卡点或通关用神</x:v>
      </x:c>
      <x:c r="AC32" s="68" t="str">
        <x:v>若存在更短、更强或副作用更小的替代路径，应并列比较后再裁定</x:v>
      </x:c>
      <x:c r="AD32" s="84" t="str">
        <x:v>强桥梁通关</x:v>
      </x:c>
      <x:c r="AE32" s="84" t="str">
        <x:v>桥梁得令有根有源可显著提高通关稳定性：按起点—桥梁—终点检查有效力量、连续性与承载；卡点为“其他”时，仅生成通关候选，不直接定用神。</x:v>
      </x:c>
      <x:c r="AF32" s="82" t="str">
        <x:v>较高</x:v>
      </x:c>
      <x:c r="AG32" s="82" t="str">
        <x:v>现代综合</x:v>
      </x:c>
      <x:c r="AH32" s="68" t="str">
        <x:v>流通判断以五行有效力量、生克顺序与十神功能为核心；古典依据可参照《滴天髓》《渊海子平》。 https://zh.wikisource.org/wiki/%E6%BB%B4%E5%A4%A9%E9%AB%93%E9%97%A1%E5%BE%AE https://zh.wikisource.org/zh-hans/%E6%B7%B5%E6%B5%B7%E5%AD%90%E5%B9%B3</x:v>
      </x:c>
      <x:c r="AI32" s="68" t="str">
        <x:v>当“桥梁同时具备季令、根气和生源等独立有效支持”真实成立，且桥梁具备有效力量和连续作用条件时，可按“桥梁得令有根有源可显著提高通关稳定性”记录。</x:v>
      </x:c>
      <x:c r="AJ32" s="90" t="str">
        <x:v>仅见表面缺失或五行相克，但未证明“桥梁同时具备季令、根气和生源等独立有效支持”形成实际阻断时，不得套用“桥梁得令有根有源可显著提高通关稳定性”。</x:v>
      </x:c>
      <x:c r="AK32" s="82" t="str">
        <x:v>采用</x:v>
      </x:c>
      <x:c r="AL32" s="82" t="str">
        <x:v>初审</x:v>
      </x:c>
      <x:c r="AM32" s="87" t="n">
        <x:v>46255</x:v>
      </x:c>
    </x:row>
    <x:row r="33">
      <x:c r="A33" s="72" t="str">
        <x:f>IF(OR(C33="",D33=""),"",B33&amp;"-"&amp;UPPER(C33)&amp;"-"&amp;TEXT(D33,"0000")&amp;"-"&amp;E33)</x:f>
        <x:v>M12-BRIDGE-0027-V1.0</x:v>
      </x:c>
      <x:c r="B33" s="74" t="str">
        <x:v>M12</x:v>
      </x:c>
      <x:c r="C33" s="74" t="str">
        <x:v>BRIDGE</x:v>
      </x:c>
      <x:c r="D33" s="215" t="n">
        <x:v>27</x:v>
      </x:c>
      <x:c r="E33" s="74" t="str">
        <x:v>V1.0</x:v>
      </x:c>
      <x:c r="F33" s="68" t="str">
        <x:v>桥梁受寒凝时存在但流动性下降</x:v>
      </x:c>
      <x:c r="G33" s="82" t="str">
        <x:v>结构层</x:v>
      </x:c>
      <x:c r="H33" s="68" t="str">
        <x:v>五行生化路径</x:v>
      </x:c>
      <x:c r="I33" s="68" t="str">
        <x:v>上游五行</x:v>
      </x:c>
      <x:c r="J33" s="68" t="str">
        <x:v>受寒凝桥梁</x:v>
      </x:c>
      <x:c r="K33" s="68" t="str">
        <x:v>下游五行</x:v>
      </x:c>
      <x:c r="L33" s="82" t="str">
        <x:v>待定</x:v>
      </x:c>
      <x:c r="M33" s="82" t="str">
        <x:v>中和</x:v>
      </x:c>
      <x:c r="N33" s="68" t="str">
        <x:v>寒凝难行</x:v>
      </x:c>
      <x:c r="O33" s="68" t="str">
        <x:v>待定</x:v>
      </x:c>
      <x:c r="P33" s="68" t="str">
        <x:v>待定</x:v>
      </x:c>
      <x:c r="Q33" s="82" t="str">
        <x:v>局部阻塞</x:v>
      </x:c>
      <x:c r="R33" s="82" t="str">
        <x:v>寒凝</x:v>
      </x:c>
      <x:c r="S33" s="68" t="str">
        <x:v>桥梁</x:v>
      </x:c>
      <x:c r="T33" s="68" t="str">
        <x:v>桥梁物理象义上的生发、蒸腾或化泄效率受低温状态压制</x:v>
      </x:c>
      <x:c r="U33" s="68" t="str">
        <x:v>调候火或相应暖化条件</x:v>
      </x:c>
      <x:c r="V33" s="68" t="str">
        <x:v>M13确认寒凝属于真实主要矛盾</x:v>
      </x:c>
      <x:c r="W33" s="90" t="str">
        <x:v>需检查对调候、格局、日主承载及其他通路的副作用</x:v>
      </x:c>
      <x:c r="X33" s="68" t="str">
        <x:v>M06关系效应、M08五行有效旺衰、M10十神功能与M11组合判断已完成</x:v>
      </x:c>
      <x:c r="Y33" s="68" t="str">
        <x:v>起点、桥梁、终点均按有效力量与实际作用路径判断</x:v>
      </x:c>
      <x:c r="Z33" s="68" t="str">
        <x:v>桥梁有根有源、透达、位置可达且不存在关键制约</x:v>
      </x:c>
      <x:c r="AA33" s="68" t="str">
        <x:v>桥梁失令、无根、受克、合绊、改性或同时被多路调用</x:v>
      </x:c>
      <x:c r="AB33" s="90" t="str">
        <x:v>不得仅因五行缺失、数量少或关系名称直接认定卡点或通关用神</x:v>
      </x:c>
      <x:c r="AC33" s="68" t="str">
        <x:v>若存在更短、更强或副作用更小的替代路径，应并列比较后再裁定</x:v>
      </x:c>
      <x:c r="AD33" s="84" t="str">
        <x:v>M12_BRIDGE_流通判定</x:v>
      </x:c>
      <x:c r="AE33" s="84" t="str">
        <x:v>桥梁受寒凝时存在但流动性下降：按起点—桥梁—终点检查有效力量、连续性与承载；卡点为“寒凝”时，仅生成通关候选，不直接定用神。</x:v>
      </x:c>
      <x:c r="AF33" s="82" t="str">
        <x:v>较高</x:v>
      </x:c>
      <x:c r="AG33" s="82" t="str">
        <x:v>现代综合</x:v>
      </x:c>
      <x:c r="AH33" s="68" t="str">
        <x:v>流通判断以五行有效力量、生克顺序与十神功能为核心；古典依据可参照《滴天髓》《渊海子平》。 https://zh.wikisource.org/wiki/%E6%BB%B4%E5%A4%A9%E9%AB%93%E9%97%A1%E5%BE%AE https://zh.wikisource.org/zh-hans/%E6%B7%B5%E6%B5%B7%E5%AD%90%E5%B9%B3</x:v>
      </x:c>
      <x:c r="AI33" s="68" t="str">
        <x:v>当“桥梁物理象义上的生发、蒸腾或化泄效率受低温状态压制”真实成立，且桥梁具备有效力量和连续作用条件时，可按“桥梁受寒凝时存在但流动性下降”记录。</x:v>
      </x:c>
      <x:c r="AJ33" s="90" t="str">
        <x:v>仅见表面缺失或五行相克，但未证明“桥梁物理象义上的生发、蒸腾或化泄效率受低温状态压制”形成实际阻断时，不得套用“桥梁受寒凝时存在但流动性下降”。</x:v>
      </x:c>
      <x:c r="AK33" s="82" t="str">
        <x:v>采用</x:v>
      </x:c>
      <x:c r="AL33" s="82" t="str">
        <x:v>初审</x:v>
      </x:c>
      <x:c r="AM33" s="87" t="n">
        <x:v>46255</x:v>
      </x:c>
    </x:row>
    <x:row r="34">
      <x:c r="A34" s="72" t="str">
        <x:f>IF(OR(C34="",D34=""),"",B34&amp;"-"&amp;UPPER(C34)&amp;"-"&amp;TEXT(D34,"0000")&amp;"-"&amp;E34)</x:f>
        <x:v>M12-BRIDGE-0028-V1.0</x:v>
      </x:c>
      <x:c r="B34" s="74" t="str">
        <x:v>M12</x:v>
      </x:c>
      <x:c r="C34" s="74" t="str">
        <x:v>BRIDGE</x:v>
      </x:c>
      <x:c r="D34" s="215" t="n">
        <x:v>28</x:v>
      </x:c>
      <x:c r="E34" s="74" t="str">
        <x:v>V1.0</x:v>
      </x:c>
      <x:c r="F34" s="68" t="str">
        <x:v>桥梁受燥枯时连续生化能力下降</x:v>
      </x:c>
      <x:c r="G34" s="82" t="str">
        <x:v>结构层</x:v>
      </x:c>
      <x:c r="H34" s="68" t="str">
        <x:v>五行生化路径</x:v>
      </x:c>
      <x:c r="I34" s="68" t="str">
        <x:v>上游五行</x:v>
      </x:c>
      <x:c r="J34" s="68" t="str">
        <x:v>受燥枯桥梁</x:v>
      </x:c>
      <x:c r="K34" s="68" t="str">
        <x:v>下游五行</x:v>
      </x:c>
      <x:c r="L34" s="82" t="str">
        <x:v>待定</x:v>
      </x:c>
      <x:c r="M34" s="82" t="str">
        <x:v>中和</x:v>
      </x:c>
      <x:c r="N34" s="68" t="str">
        <x:v>燥枯失润</x:v>
      </x:c>
      <x:c r="O34" s="68" t="str">
        <x:v>待定</x:v>
      </x:c>
      <x:c r="P34" s="68" t="str">
        <x:v>待定</x:v>
      </x:c>
      <x:c r="Q34" s="82" t="str">
        <x:v>局部阻塞</x:v>
      </x:c>
      <x:c r="R34" s="82" t="str">
        <x:v>燥枯</x:v>
      </x:c>
      <x:c r="S34" s="68" t="str">
        <x:v>桥梁</x:v>
      </x:c>
      <x:c r="T34" s="68" t="str">
        <x:v>桥梁虽有力量但缺乏持续生发、润泽或承接条件</x:v>
      </x:c>
      <x:c r="U34" s="68" t="str">
        <x:v>调候水或相应润燥条件</x:v>
      </x:c>
      <x:c r="V34" s="68" t="str">
        <x:v>M13确认燥枯为主要矛盾</x:v>
      </x:c>
      <x:c r="W34" s="90" t="str">
        <x:v>需检查对调候、格局、日主承载及其他通路的副作用</x:v>
      </x:c>
      <x:c r="X34" s="68" t="str">
        <x:v>M06关系效应、M08五行有效旺衰、M10十神功能与M11组合判断已完成</x:v>
      </x:c>
      <x:c r="Y34" s="68" t="str">
        <x:v>起点、桥梁、终点均按有效力量与实际作用路径判断</x:v>
      </x:c>
      <x:c r="Z34" s="68" t="str">
        <x:v>桥梁有根有源、透达、位置可达且不存在关键制约</x:v>
      </x:c>
      <x:c r="AA34" s="68" t="str">
        <x:v>桥梁失令、无根、受克、合绊、改性或同时被多路调用</x:v>
      </x:c>
      <x:c r="AB34" s="90" t="str">
        <x:v>不得仅因五行缺失、数量少或关系名称直接认定卡点或通关用神</x:v>
      </x:c>
      <x:c r="AC34" s="68" t="str">
        <x:v>若存在更短、更强或副作用更小的替代路径，应并列比较后再裁定</x:v>
      </x:c>
      <x:c r="AD34" s="84" t="str">
        <x:v>M12_BRIDGE_流通判定</x:v>
      </x:c>
      <x:c r="AE34" s="84" t="str">
        <x:v>桥梁受燥枯时连续生化能力下降：按起点—桥梁—终点检查有效力量、连续性与承载；卡点为“燥枯”时，仅生成通关候选，不直接定用神。</x:v>
      </x:c>
      <x:c r="AF34" s="82" t="str">
        <x:v>较高</x:v>
      </x:c>
      <x:c r="AG34" s="82" t="str">
        <x:v>现代综合</x:v>
      </x:c>
      <x:c r="AH34" s="68" t="str">
        <x:v>流通判断以五行有效力量、生克顺序与十神功能为核心；古典依据可参照《滴天髓》《渊海子平》。 https://zh.wikisource.org/wiki/%E6%BB%B4%E5%A4%A9%E9%AB%93%E9%97%A1%E5%BE%AE https://zh.wikisource.org/zh-hans/%E6%B7%B5%E6%B5%B7%E5%AD%90%E5%B9%B3</x:v>
      </x:c>
      <x:c r="AI34" s="68" t="str">
        <x:v>当“桥梁虽有力量但缺乏持续生发、润泽或承接条件”真实成立，且桥梁具备有效力量和连续作用条件时，可按“桥梁受燥枯时连续生化能力下降”记录。</x:v>
      </x:c>
      <x:c r="AJ34" s="90" t="str">
        <x:v>仅见表面缺失或五行相克，但未证明“桥梁虽有力量但缺乏持续生发、润泽或承接条件”形成实际阻断时，不得套用“桥梁受燥枯时连续生化能力下降”。</x:v>
      </x:c>
      <x:c r="AK34" s="82" t="str">
        <x:v>采用</x:v>
      </x:c>
      <x:c r="AL34" s="82" t="str">
        <x:v>初审</x:v>
      </x:c>
      <x:c r="AM34" s="87" t="n">
        <x:v>46255</x:v>
      </x:c>
    </x:row>
    <x:row r="35">
      <x:c r="A35" s="72" t="str">
        <x:f>IF(OR(C35="",D35=""),"",B35&amp;"-"&amp;UPPER(C35)&amp;"-"&amp;TEXT(D35,"0000")&amp;"-"&amp;E35)</x:f>
        <x:v>M12-BRIDGE-0029-V1.0</x:v>
      </x:c>
      <x:c r="B35" s="74" t="str">
        <x:v>M12</x:v>
      </x:c>
      <x:c r="C35" s="74" t="str">
        <x:v>BRIDGE</x:v>
      </x:c>
      <x:c r="D35" s="215" t="n">
        <x:v>29</x:v>
      </x:c>
      <x:c r="E35" s="74" t="str">
        <x:v>V1.0</x:v>
      </x:c>
      <x:c r="F35" s="68" t="str">
        <x:v>桥梁过旺也可能截留上游力量形成壅塞</x:v>
      </x:c>
      <x:c r="G35" s="82" t="str">
        <x:v>结构层</x:v>
      </x:c>
      <x:c r="H35" s="68" t="str">
        <x:v>五行生化路径</x:v>
      </x:c>
      <x:c r="I35" s="68" t="str">
        <x:v>上游五行</x:v>
      </x:c>
      <x:c r="J35" s="68" t="str">
        <x:v>过旺桥梁</x:v>
      </x:c>
      <x:c r="K35" s="68" t="str">
        <x:v>偏弱终点</x:v>
      </x:c>
      <x:c r="L35" s="82" t="str">
        <x:v>待定</x:v>
      </x:c>
      <x:c r="M35" s="82" t="str">
        <x:v>极旺</x:v>
      </x:c>
      <x:c r="N35" s="68" t="str">
        <x:v>桥梁自身聚集过强</x:v>
      </x:c>
      <x:c r="O35" s="68" t="str">
        <x:v>待定</x:v>
      </x:c>
      <x:c r="P35" s="68" t="str">
        <x:v>待定</x:v>
      </x:c>
      <x:c r="Q35" s="82" t="str">
        <x:v>局部阻塞</x:v>
      </x:c>
      <x:c r="R35" s="82" t="str">
        <x:v>回流壅塞</x:v>
      </x:c>
      <x:c r="S35" s="68" t="str">
        <x:v>桥梁</x:v>
      </x:c>
      <x:c r="T35" s="68" t="str">
        <x:v>中间节点过度成势，力量停留在桥梁而未有效送达终点</x:v>
      </x:c>
      <x:c r="U35" s="68" t="str">
        <x:v>待定</x:v>
      </x:c>
      <x:c r="V35" s="68" t="str">
        <x:v>待定</x:v>
      </x:c>
      <x:c r="W35" s="90" t="str">
        <x:v>需检查对调候、格局、日主承载及其他通路的副作用</x:v>
      </x:c>
      <x:c r="X35" s="68" t="str">
        <x:v>M06关系效应、M08五行有效旺衰、M10十神功能与M11组合判断已完成</x:v>
      </x:c>
      <x:c r="Y35" s="68" t="str">
        <x:v>起点、桥梁、终点均按有效力量与实际作用路径判断</x:v>
      </x:c>
      <x:c r="Z35" s="68" t="str">
        <x:v>桥梁有根有源、透达、位置可达且不存在关键制约</x:v>
      </x:c>
      <x:c r="AA35" s="68" t="str">
        <x:v>桥梁失令、无根、受克、合绊、改性或同时被多路调用</x:v>
      </x:c>
      <x:c r="AB35" s="90" t="str">
        <x:v>不得仅因五行缺失、数量少或关系名称直接认定卡点或通关用神</x:v>
      </x:c>
      <x:c r="AC35" s="68" t="str">
        <x:v>若存在更短、更强或副作用更小的替代路径，应并列比较后再裁定</x:v>
      </x:c>
      <x:c r="AD35" s="84" t="str">
        <x:v>M12_BRIDGE_流通判定</x:v>
      </x:c>
      <x:c r="AE35" s="84" t="str">
        <x:v>桥梁过旺也可能截留上游力量形成壅塞：按起点—桥梁—终点检查有效力量、连续性与承载；卡点为“回流壅塞”时，仅生成通关候选，不直接定用神。</x:v>
      </x:c>
      <x:c r="AF35" s="82" t="str">
        <x:v>较高</x:v>
      </x:c>
      <x:c r="AG35" s="82" t="str">
        <x:v>现代综合</x:v>
      </x:c>
      <x:c r="AH35" s="68" t="str">
        <x:v>流通判断以五行有效力量、生克顺序与十神功能为核心；古典依据可参照《滴天髓》《渊海子平》。 https://zh.wikisource.org/wiki/%E6%BB%B4%E5%A4%A9%E9%AB%93%E9%97%A1%E5%BE%AE https://zh.wikisource.org/zh-hans/%E6%B7%B5%E6%B5%B7%E5%AD%90%E5%B9%B3</x:v>
      </x:c>
      <x:c r="AI35" s="68" t="str">
        <x:v>当“中间节点过度成势，力量停留在桥梁而未有效送达终点”真实成立，且桥梁具备有效力量和连续作用条件时，可按“桥梁过旺也可能截留上游力量形成壅塞”记录。</x:v>
      </x:c>
      <x:c r="AJ35" s="90" t="str">
        <x:v>仅见表面缺失或五行相克，但未证明“中间节点过度成势，力量停留在桥梁而未有效送达终点”形成实际阻断时，不得套用“桥梁过旺也可能截留上游力量形成壅塞”。</x:v>
      </x:c>
      <x:c r="AK35" s="82" t="str">
        <x:v>采用</x:v>
      </x:c>
      <x:c r="AL35" s="82" t="str">
        <x:v>初审</x:v>
      </x:c>
      <x:c r="AM35" s="87" t="n">
        <x:v>46255</x:v>
      </x:c>
    </x:row>
    <x:row r="36">
      <x:c r="A36" s="72" t="str">
        <x:f>IF(OR(C36="",D36=""),"",B36&amp;"-"&amp;UPPER(C36)&amp;"-"&amp;TEXT(D36,"0000")&amp;"-"&amp;E36)</x:f>
        <x:v>M12-BRIDGE-0030-V1.0</x:v>
      </x:c>
      <x:c r="B36" s="74" t="str">
        <x:v>M12</x:v>
      </x:c>
      <x:c r="C36" s="74" t="str">
        <x:v>BRIDGE</x:v>
      </x:c>
      <x:c r="D36" s="215" t="n">
        <x:v>30</x:v>
      </x:c>
      <x:c r="E36" s="74" t="str">
        <x:v>V1.0</x:v>
      </x:c>
      <x:c r="F36" s="68" t="str">
        <x:v>桥梁被冲动不等于流通必然中断</x:v>
      </x:c>
      <x:c r="G36" s="82" t="str">
        <x:v>结构层</x:v>
      </x:c>
      <x:c r="H36" s="68" t="str">
        <x:v>五行生化路径</x:v>
      </x:c>
      <x:c r="I36" s="68" t="str">
        <x:v>上游五行</x:v>
      </x:c>
      <x:c r="J36" s="68" t="str">
        <x:v>受冲桥梁</x:v>
      </x:c>
      <x:c r="K36" s="68" t="str">
        <x:v>下游五行</x:v>
      </x:c>
      <x:c r="L36" s="82" t="str">
        <x:v>待定</x:v>
      </x:c>
      <x:c r="M36" s="82" t="str">
        <x:v>中和</x:v>
      </x:c>
      <x:c r="N36" s="68" t="str">
        <x:v>被冲动</x:v>
      </x:c>
      <x:c r="O36" s="68" t="str">
        <x:v>待定</x:v>
      </x:c>
      <x:c r="P36" s="68" t="str">
        <x:v>待定</x:v>
      </x:c>
      <x:c r="Q36" s="82" t="str">
        <x:v>基本通畅</x:v>
      </x:c>
      <x:c r="R36" s="82" t="str">
        <x:v>其他</x:v>
      </x:c>
      <x:c r="S36" s="68" t="str">
        <x:v>待定</x:v>
      </x:c>
      <x:c r="T36" s="68" t="str">
        <x:v>M06仅判冲动或激活，并未判冲散、失根或功能失效</x:v>
      </x:c>
      <x:c r="U36" s="68" t="str">
        <x:v>待定</x:v>
      </x:c>
      <x:c r="V36" s="68" t="str">
        <x:v>待定</x:v>
      </x:c>
      <x:c r="W36" s="90" t="str">
        <x:v>需检查对调候、格局、日主承载及其他通路的副作用</x:v>
      </x:c>
      <x:c r="X36" s="68" t="str">
        <x:v>M06关系效应、M08五行有效旺衰、M10十神功能与M11组合判断已完成</x:v>
      </x:c>
      <x:c r="Y36" s="68" t="str">
        <x:v>起点、桥梁、终点均按有效力量与实际作用路径判断</x:v>
      </x:c>
      <x:c r="Z36" s="68" t="str">
        <x:v>桥梁有根有源、透达、位置可达且不存在关键制约</x:v>
      </x:c>
      <x:c r="AA36" s="68" t="str">
        <x:v>桥梁失令、无根、受克、合绊、改性或同时被多路调用</x:v>
      </x:c>
      <x:c r="AB36" s="90" t="str">
        <x:v>不得仅因五行缺失、数量少或关系名称直接认定卡点或通关用神</x:v>
      </x:c>
      <x:c r="AC36" s="68" t="str">
        <x:v>若存在更短、更强或副作用更小的替代路径，应并列比较后再裁定</x:v>
      </x:c>
      <x:c r="AD36" s="84" t="str">
        <x:v>冲动桥梁非自动失效</x:v>
      </x:c>
      <x:c r="AE36" s="84" t="str">
        <x:v>桥梁被冲动不等于流通必然中断：按起点—桥梁—终点检查有效力量、连续性与承载；卡点为“其他”时，仅生成通关候选，不直接定用神。</x:v>
      </x:c>
      <x:c r="AF36" s="82" t="str">
        <x:v>较高</x:v>
      </x:c>
      <x:c r="AG36" s="82" t="str">
        <x:v>现代综合</x:v>
      </x:c>
      <x:c r="AH36" s="68" t="str">
        <x:v>流通判断以五行有效力量、生克顺序与十神功能为核心；古典依据可参照《滴天髓》《渊海子平》。 https://zh.wikisource.org/wiki/%E6%BB%B4%E5%A4%A9%E9%AB%93%E9%97%A1%E5%BE%AE https://zh.wikisource.org/zh-hans/%E6%B7%B5%E6%B5%B7%E5%AD%90%E5%B9%B3</x:v>
      </x:c>
      <x:c r="AI36" s="68" t="str">
        <x:v>当“M06仅判冲动或激活，并未判冲散、失根或功能失效”真实成立，且桥梁具备有效力量和连续作用条件时，可按“桥梁被冲动不等于流通必然中断”记录。</x:v>
      </x:c>
      <x:c r="AJ36" s="90" t="str">
        <x:v>仅见表面缺失或五行相克，但未证明“M06仅判冲动或激活，并未判冲散、失根或功能失效”形成实际阻断时，不得套用“桥梁被冲动不等于流通必然中断”。</x:v>
      </x:c>
      <x:c r="AK36" s="82" t="str">
        <x:v>采用</x:v>
      </x:c>
      <x:c r="AL36" s="82" t="str">
        <x:v>初审</x:v>
      </x:c>
      <x:c r="AM36" s="87" t="n">
        <x:v>46255</x:v>
      </x:c>
    </x:row>
    <x:row r="37">
      <x:c r="A37" s="72" t="str">
        <x:f>IF(OR(C37="",D37=""),"",B37&amp;"-"&amp;UPPER(C37)&amp;"-"&amp;TEXT(D37,"0000")&amp;"-"&amp;E37)</x:f>
        <x:v>M12-END-0031-V1.0</x:v>
      </x:c>
      <x:c r="B37" s="74" t="str">
        <x:v>M12</x:v>
      </x:c>
      <x:c r="C37" s="74" t="str">
        <x:v>END</x:v>
      </x:c>
      <x:c r="D37" s="215" t="n">
        <x:v>31</x:v>
      </x:c>
      <x:c r="E37" s="74" t="str">
        <x:v>V1.0</x:v>
      </x:c>
      <x:c r="F37" s="68" t="str">
        <x:v>终点必须具备最低承载能力</x:v>
      </x:c>
      <x:c r="G37" s="82" t="str">
        <x:v>结构层</x:v>
      </x:c>
      <x:c r="H37" s="68" t="str">
        <x:v>五行生化路径</x:v>
      </x:c>
      <x:c r="I37" s="68" t="str">
        <x:v>上游五行</x:v>
      </x:c>
      <x:c r="J37" s="68" t="str">
        <x:v>有效桥梁</x:v>
      </x:c>
      <x:c r="K37" s="68" t="str">
        <x:v>弱终点</x:v>
      </x:c>
      <x:c r="L37" s="82" t="str">
        <x:v>待定</x:v>
      </x:c>
      <x:c r="M37" s="82" t="str">
        <x:v>待定</x:v>
      </x:c>
      <x:c r="N37" s="68" t="str">
        <x:v>待定</x:v>
      </x:c>
      <x:c r="O37" s="68" t="str">
        <x:v>终点偏弱但仍有根或有效节点</x:v>
      </x:c>
      <x:c r="P37" s="68" t="str">
        <x:v>待定</x:v>
      </x:c>
      <x:c r="Q37" s="82" t="str">
        <x:v>局部阻塞</x:v>
      </x:c>
      <x:c r="R37" s="82" t="str">
        <x:v>终点过弱不能承载</x:v>
      </x:c>
      <x:c r="S37" s="68" t="str">
        <x:v>终点</x:v>
      </x:c>
      <x:c r="T37" s="68" t="str">
        <x:v>终点有效力量不足，无法完整承接上游持续输送</x:v>
      </x:c>
      <x:c r="U37" s="68" t="str">
        <x:v>待定</x:v>
      </x:c>
      <x:c r="V37" s="68" t="str">
        <x:v>待定</x:v>
      </x:c>
      <x:c r="W37" s="90" t="str">
        <x:v>需检查对调候、格局、日主承载及其他通路的副作用</x:v>
      </x:c>
      <x:c r="X37" s="68" t="str">
        <x:v>M06关系效应、M08五行有效旺衰、M10十神功能与M11组合判断已完成</x:v>
      </x:c>
      <x:c r="Y37" s="68" t="str">
        <x:v>起点、桥梁、终点均按有效力量与实际作用路径判断</x:v>
      </x:c>
      <x:c r="Z37" s="68" t="str">
        <x:v>桥梁有根有源、透达、位置可达且不存在关键制约</x:v>
      </x:c>
      <x:c r="AA37" s="68" t="str">
        <x:v>桥梁失令、无根、受克、合绊、改性或同时被多路调用</x:v>
      </x:c>
      <x:c r="AB37" s="90" t="str">
        <x:v>不得仅因五行缺失、数量少或关系名称直接认定卡点或通关用神</x:v>
      </x:c>
      <x:c r="AC37" s="68" t="str">
        <x:v>若存在更短、更强或副作用更小的替代路径，应并列比较后再裁定</x:v>
      </x:c>
      <x:c r="AD37" s="84" t="str">
        <x:v>M12_END_流通判定</x:v>
      </x:c>
      <x:c r="AE37" s="84" t="str">
        <x:v>终点必须具备最低承载能力：按起点—桥梁—终点检查有效力量、连续性与承载；卡点为“终点过弱不能承载”时，仅生成通关候选，不直接定用神。</x:v>
      </x:c>
      <x:c r="AF37" s="82" t="str">
        <x:v>较高</x:v>
      </x:c>
      <x:c r="AG37" s="82" t="str">
        <x:v>现代综合</x:v>
      </x:c>
      <x:c r="AH37" s="68" t="str">
        <x:v>流通判断以五行有效力量、生克顺序与十神功能为核心；古典依据可参照《滴天髓》《渊海子平》。 https://zh.wikisource.org/wiki/%E6%BB%B4%E5%A4%A9%E9%AB%93%E9%97%A1%E5%BE%AE https://zh.wikisource.org/zh-hans/%E6%B7%B5%E6%B5%B7%E5%AD%90%E5%B9%B3</x:v>
      </x:c>
      <x:c r="AI37" s="68" t="str">
        <x:v>当“终点有效力量不足，无法完整承接上游持续输送”真实成立，且桥梁具备有效力量和连续作用条件时，可按“终点必须具备最低承载能力”记录。</x:v>
      </x:c>
      <x:c r="AJ37" s="90" t="str">
        <x:v>仅见表面缺失或五行相克，但未证明“终点有效力量不足，无法完整承接上游持续输送”形成实际阻断时，不得套用“终点必须具备最低承载能力”。</x:v>
      </x:c>
      <x:c r="AK37" s="82" t="str">
        <x:v>采用</x:v>
      </x:c>
      <x:c r="AL37" s="82" t="str">
        <x:v>初审</x:v>
      </x:c>
      <x:c r="AM37" s="87" t="n">
        <x:v>46255</x:v>
      </x:c>
    </x:row>
    <x:row r="38">
      <x:c r="A38" s="72" t="str">
        <x:f>IF(OR(C38="",D38=""),"",B38&amp;"-"&amp;UPPER(C38)&amp;"-"&amp;TEXT(D38,"0000")&amp;"-"&amp;E38)</x:f>
        <x:v>M12-END-0032-V1.0</x:v>
      </x:c>
      <x:c r="B38" s="74" t="str">
        <x:v>M12</x:v>
      </x:c>
      <x:c r="C38" s="74" t="str">
        <x:v>END</x:v>
      </x:c>
      <x:c r="D38" s="215" t="n">
        <x:v>32</x:v>
      </x:c>
      <x:c r="E38" s="74" t="str">
        <x:v>V1.0</x:v>
      </x:c>
      <x:c r="F38" s="68" t="str">
        <x:v>终点极弱或失效时路径可判无有效落点</x:v>
      </x:c>
      <x:c r="G38" s="82" t="str">
        <x:v>结构层</x:v>
      </x:c>
      <x:c r="H38" s="68" t="str">
        <x:v>五行生化路径</x:v>
      </x:c>
      <x:c r="I38" s="68" t="str">
        <x:v>上游五行</x:v>
      </x:c>
      <x:c r="J38" s="68" t="str">
        <x:v>有效桥梁</x:v>
      </x:c>
      <x:c r="K38" s="68" t="str">
        <x:v>极弱终点</x:v>
      </x:c>
      <x:c r="L38" s="82" t="str">
        <x:v>待定</x:v>
      </x:c>
      <x:c r="M38" s="82" t="str">
        <x:v>待定</x:v>
      </x:c>
      <x:c r="N38" s="68" t="str">
        <x:v>待定</x:v>
      </x:c>
      <x:c r="O38" s="68" t="str">
        <x:v>终点无根无源或已失效</x:v>
      </x:c>
      <x:c r="P38" s="68" t="str">
        <x:v>待定</x:v>
      </x:c>
      <x:c r="Q38" s="82" t="str">
        <x:v>无有效路径</x:v>
      </x:c>
      <x:c r="R38" s="82" t="str">
        <x:v>终点过弱不能承载</x:v>
      </x:c>
      <x:c r="S38" s="68" t="str">
        <x:v>终点</x:v>
      </x:c>
      <x:c r="T38" s="68" t="str">
        <x:v>终点无法接受或转化传来的力量</x:v>
      </x:c>
      <x:c r="U38" s="68" t="str">
        <x:v>待定</x:v>
      </x:c>
      <x:c r="V38" s="68" t="str">
        <x:v>待定</x:v>
      </x:c>
      <x:c r="W38" s="90" t="str">
        <x:v>需检查对调候、格局、日主承载及其他通路的副作用</x:v>
      </x:c>
      <x:c r="X38" s="68" t="str">
        <x:v>M06关系效应、M08五行有效旺衰、M10十神功能与M11组合判断已完成</x:v>
      </x:c>
      <x:c r="Y38" s="68" t="str">
        <x:v>起点、桥梁、终点均按有效力量与实际作用路径判断</x:v>
      </x:c>
      <x:c r="Z38" s="68" t="str">
        <x:v>桥梁有根有源、透达、位置可达且不存在关键制约</x:v>
      </x:c>
      <x:c r="AA38" s="68" t="str">
        <x:v>桥梁失令、无根、受克、合绊、改性或同时被多路调用</x:v>
      </x:c>
      <x:c r="AB38" s="90" t="str">
        <x:v>不得仅因五行缺失、数量少或关系名称直接认定卡点或通关用神</x:v>
      </x:c>
      <x:c r="AC38" s="68" t="str">
        <x:v>若存在更短、更强或副作用更小的替代路径，应并列比较后再裁定</x:v>
      </x:c>
      <x:c r="AD38" s="84" t="str">
        <x:v>M12_END_流通判定</x:v>
      </x:c>
      <x:c r="AE38" s="84" t="str">
        <x:v>终点极弱或失效时路径可判无有效落点：按起点—桥梁—终点检查有效力量、连续性与承载；卡点为“终点过弱不能承载”时，仅生成通关候选，不直接定用神。</x:v>
      </x:c>
      <x:c r="AF38" s="82" t="str">
        <x:v>较高</x:v>
      </x:c>
      <x:c r="AG38" s="82" t="str">
        <x:v>现代综合</x:v>
      </x:c>
      <x:c r="AH38" s="68" t="str">
        <x:v>流通判断以五行有效力量、生克顺序与十神功能为核心；古典依据可参照《滴天髓》《渊海子平》。 https://zh.wikisource.org/wiki/%E6%BB%B4%E5%A4%A9%E9%AB%93%E9%97%A1%E5%BE%AE https://zh.wikisource.org/zh-hans/%E6%B7%B5%E6%B5%B7%E5%AD%90%E5%B9%B3</x:v>
      </x:c>
      <x:c r="AI38" s="68" t="str">
        <x:v>当“终点无法接受或转化传来的力量”真实成立，且桥梁具备有效力量和连续作用条件时，可按“终点极弱或失效时路径可判无有效落点”记录。</x:v>
      </x:c>
      <x:c r="AJ38" s="90" t="str">
        <x:v>仅见表面缺失或五行相克，但未证明“终点无法接受或转化传来的力量”形成实际阻断时，不得套用“终点极弱或失效时路径可判无有效落点”。</x:v>
      </x:c>
      <x:c r="AK38" s="82" t="str">
        <x:v>采用</x:v>
      </x:c>
      <x:c r="AL38" s="82" t="str">
        <x:v>初审</x:v>
      </x:c>
      <x:c r="AM38" s="87" t="n">
        <x:v>46255</x:v>
      </x:c>
    </x:row>
    <x:row r="39">
      <x:c r="A39" s="72" t="str">
        <x:f>IF(OR(C39="",D39=""),"",B39&amp;"-"&amp;UPPER(C39)&amp;"-"&amp;TEXT(D39,"0000")&amp;"-"&amp;E39)</x:f>
        <x:v>M12-END-0033-V1.0</x:v>
      </x:c>
      <x:c r="B39" s="74" t="str">
        <x:v>M12</x:v>
      </x:c>
      <x:c r="C39" s="74" t="str">
        <x:v>END</x:v>
      </x:c>
      <x:c r="D39" s="215" t="n">
        <x:v>33</x:v>
      </x:c>
      <x:c r="E39" s="74" t="str">
        <x:v>V1.0</x:v>
      </x:c>
      <x:c r="F39" s="68" t="str">
        <x:v>终点中和以上通常可形成稳定落点</x:v>
      </x:c>
      <x:c r="G39" s="82" t="str">
        <x:v>结构层</x:v>
      </x:c>
      <x:c r="H39" s="68" t="str">
        <x:v>五行生化路径</x:v>
      </x:c>
      <x:c r="I39" s="68" t="str">
        <x:v>上游五行</x:v>
      </x:c>
      <x:c r="J39" s="68" t="str">
        <x:v>有效桥梁</x:v>
      </x:c>
      <x:c r="K39" s="68" t="str">
        <x:v>有效终点</x:v>
      </x:c>
      <x:c r="L39" s="82" t="str">
        <x:v>待定</x:v>
      </x:c>
      <x:c r="M39" s="82" t="str">
        <x:v>待定</x:v>
      </x:c>
      <x:c r="N39" s="68" t="str">
        <x:v>待定</x:v>
      </x:c>
      <x:c r="O39" s="68" t="str">
        <x:v>终点中和或中和偏旺</x:v>
      </x:c>
      <x:c r="P39" s="68" t="str">
        <x:v>待定</x:v>
      </x:c>
      <x:c r="Q39" s="82" t="str">
        <x:v>通畅</x:v>
      </x:c>
      <x:c r="R39" s="82" t="str">
        <x:v>其他</x:v>
      </x:c>
      <x:c r="S39" s="68" t="str">
        <x:v>待定</x:v>
      </x:c>
      <x:c r="T39" s="68" t="str">
        <x:v>终点有足够有效力量承接上游</x:v>
      </x:c>
      <x:c r="U39" s="68" t="str">
        <x:v>待定</x:v>
      </x:c>
      <x:c r="V39" s="68" t="str">
        <x:v>待定</x:v>
      </x:c>
      <x:c r="W39" s="90" t="str">
        <x:v>需检查对调候、格局、日主承载及其他通路的副作用</x:v>
      </x:c>
      <x:c r="X39" s="68" t="str">
        <x:v>M06关系效应、M08五行有效旺衰、M10十神功能与M11组合判断已完成</x:v>
      </x:c>
      <x:c r="Y39" s="68" t="str">
        <x:v>起点、桥梁、终点均按有效力量与实际作用路径判断</x:v>
      </x:c>
      <x:c r="Z39" s="68" t="str">
        <x:v>桥梁有根有源、透达、位置可达且不存在关键制约</x:v>
      </x:c>
      <x:c r="AA39" s="68" t="str">
        <x:v>桥梁失令、无根、受克、合绊、改性或同时被多路调用</x:v>
      </x:c>
      <x:c r="AB39" s="90" t="str">
        <x:v>不得仅因五行缺失、数量少或关系名称直接认定卡点或通关用神</x:v>
      </x:c>
      <x:c r="AC39" s="68" t="str">
        <x:v>若存在更短、更强或副作用更小的替代路径，应并列比较后再裁定</x:v>
      </x:c>
      <x:c r="AD39" s="84" t="str">
        <x:v>终点稳定承载</x:v>
      </x:c>
      <x:c r="AE39" s="84" t="str">
        <x:v>终点中和以上通常可形成稳定落点：按起点—桥梁—终点检查有效力量、连续性与承载；卡点为“其他”时，仅生成通关候选，不直接定用神。</x:v>
      </x:c>
      <x:c r="AF39" s="82" t="str">
        <x:v>较高</x:v>
      </x:c>
      <x:c r="AG39" s="82" t="str">
        <x:v>现代综合</x:v>
      </x:c>
      <x:c r="AH39" s="68" t="str">
        <x:v>流通判断以五行有效力量、生克顺序与十神功能为核心；古典依据可参照《滴天髓》《渊海子平》。 https://zh.wikisource.org/wiki/%E6%BB%B4%E5%A4%A9%E9%AB%93%E9%97%A1%E5%BE%AE https://zh.wikisource.org/zh-hans/%E6%B7%B5%E6%B5%B7%E5%AD%90%E5%B9%B3</x:v>
      </x:c>
      <x:c r="AI39" s="68" t="str">
        <x:v>当“终点有足够有效力量承接上游”真实成立，且桥梁具备有效力量和连续作用条件时，可按“终点中和以上通常可形成稳定落点”记录。</x:v>
      </x:c>
      <x:c r="AJ39" s="90" t="str">
        <x:v>仅见表面缺失或五行相克，但未证明“终点有足够有效力量承接上游”形成实际阻断时，不得套用“终点中和以上通常可形成稳定落点”。</x:v>
      </x:c>
      <x:c r="AK39" s="82" t="str">
        <x:v>采用</x:v>
      </x:c>
      <x:c r="AL39" s="82" t="str">
        <x:v>初审</x:v>
      </x:c>
      <x:c r="AM39" s="87" t="n">
        <x:v>46255</x:v>
      </x:c>
    </x:row>
    <x:row r="40">
      <x:c r="A40" s="72" t="str">
        <x:f>IF(OR(C40="",D40=""),"",B40&amp;"-"&amp;UPPER(C40)&amp;"-"&amp;TEXT(D40,"0000")&amp;"-"&amp;E40)</x:f>
        <x:v>M12-END-0034-V1.0</x:v>
      </x:c>
      <x:c r="B40" s="74" t="str">
        <x:v>M12</x:v>
      </x:c>
      <x:c r="C40" s="74" t="str">
        <x:v>END</x:v>
      </x:c>
      <x:c r="D40" s="215" t="n">
        <x:v>34</x:v>
      </x:c>
      <x:c r="E40" s="74" t="str">
        <x:v>V1.0</x:v>
      </x:c>
      <x:c r="F40" s="68" t="str">
        <x:v>终点过旺可能反向压制上游或桥梁</x:v>
      </x:c>
      <x:c r="G40" s="82" t="str">
        <x:v>结构层</x:v>
      </x:c>
      <x:c r="H40" s="68" t="str">
        <x:v>五行生化路径</x:v>
      </x:c>
      <x:c r="I40" s="68" t="str">
        <x:v>上游五行</x:v>
      </x:c>
      <x:c r="J40" s="68" t="str">
        <x:v>桥梁</x:v>
      </x:c>
      <x:c r="K40" s="68" t="str">
        <x:v>极旺终点</x:v>
      </x:c>
      <x:c r="L40" s="82" t="str">
        <x:v>待定</x:v>
      </x:c>
      <x:c r="M40" s="82" t="str">
        <x:v>待定</x:v>
      </x:c>
      <x:c r="N40" s="68" t="str">
        <x:v>待定</x:v>
      </x:c>
      <x:c r="O40" s="68" t="str">
        <x:v>终点过旺并产生反制</x:v>
      </x:c>
      <x:c r="P40" s="68" t="str">
        <x:v>待定</x:v>
      </x:c>
      <x:c r="Q40" s="82" t="str">
        <x:v>局部阻塞</x:v>
      </x:c>
      <x:c r="R40" s="82" t="str">
        <x:v>终点过旺反制</x:v>
      </x:c>
      <x:c r="S40" s="68" t="str">
        <x:v>终点</x:v>
      </x:c>
      <x:c r="T40" s="68" t="str">
        <x:v>终点集团过强，形成反向克制、争夺或截流</x:v>
      </x:c>
      <x:c r="U40" s="68" t="str">
        <x:v>待定</x:v>
      </x:c>
      <x:c r="V40" s="68" t="str">
        <x:v>待定</x:v>
      </x:c>
      <x:c r="W40" s="90" t="str">
        <x:v>需检查对调候、格局、日主承载及其他通路的副作用</x:v>
      </x:c>
      <x:c r="X40" s="68" t="str">
        <x:v>M06关系效应、M08五行有效旺衰、M10十神功能与M11组合判断已完成</x:v>
      </x:c>
      <x:c r="Y40" s="68" t="str">
        <x:v>起点、桥梁、终点均按有效力量与实际作用路径判断</x:v>
      </x:c>
      <x:c r="Z40" s="68" t="str">
        <x:v>桥梁有根有源、透达、位置可达且不存在关键制约</x:v>
      </x:c>
      <x:c r="AA40" s="68" t="str">
        <x:v>桥梁失令、无根、受克、合绊、改性或同时被多路调用</x:v>
      </x:c>
      <x:c r="AB40" s="90" t="str">
        <x:v>不得仅因五行缺失、数量少或关系名称直接认定卡点或通关用神</x:v>
      </x:c>
      <x:c r="AC40" s="68" t="str">
        <x:v>若存在更短、更强或副作用更小的替代路径，应并列比较后再裁定</x:v>
      </x:c>
      <x:c r="AD40" s="84" t="str">
        <x:v>M12_END_流通判定</x:v>
      </x:c>
      <x:c r="AE40" s="84" t="str">
        <x:v>终点过旺可能反向压制上游或桥梁：按起点—桥梁—终点检查有效力量、连续性与承载；卡点为“终点过旺反制”时，仅生成通关候选，不直接定用神。</x:v>
      </x:c>
      <x:c r="AF40" s="82" t="str">
        <x:v>较高</x:v>
      </x:c>
      <x:c r="AG40" s="82" t="str">
        <x:v>现代综合</x:v>
      </x:c>
      <x:c r="AH40" s="68" t="str">
        <x:v>流通判断以五行有效力量、生克顺序与十神功能为核心；古典依据可参照《滴天髓》《渊海子平》。 https://zh.wikisource.org/wiki/%E6%BB%B4%E5%A4%A9%E9%AB%93%E9%97%A1%E5%BE%AE https://zh.wikisource.org/zh-hans/%E6%B7%B5%E6%B5%B7%E5%AD%90%E5%B9%B3</x:v>
      </x:c>
      <x:c r="AI40" s="68" t="str">
        <x:v>当“终点集团过强，形成反向克制、争夺或截流”真实成立，且桥梁具备有效力量和连续作用条件时，可按“终点过旺可能反向压制上游或桥梁”记录。</x:v>
      </x:c>
      <x:c r="AJ40" s="90" t="str">
        <x:v>仅见表面缺失或五行相克，但未证明“终点集团过强，形成反向克制、争夺或截流”形成实际阻断时，不得套用“终点过旺可能反向压制上游或桥梁”。</x:v>
      </x:c>
      <x:c r="AK40" s="82" t="str">
        <x:v>采用</x:v>
      </x:c>
      <x:c r="AL40" s="82" t="str">
        <x:v>初审</x:v>
      </x:c>
      <x:c r="AM40" s="87" t="n">
        <x:v>46255</x:v>
      </x:c>
    </x:row>
    <x:row r="41">
      <x:c r="A41" s="72" t="str">
        <x:f>IF(OR(C41="",D41=""),"",B41&amp;"-"&amp;UPPER(C41)&amp;"-"&amp;TEXT(D41,"0000")&amp;"-"&amp;E41)</x:f>
        <x:v>M12-END-0035-V1.0</x:v>
      </x:c>
      <x:c r="B41" s="74" t="str">
        <x:v>M12</x:v>
      </x:c>
      <x:c r="C41" s="74" t="str">
        <x:v>END</x:v>
      </x:c>
      <x:c r="D41" s="215" t="n">
        <x:v>35</x:v>
      </x:c>
      <x:c r="E41" s="74" t="str">
        <x:v>V1.0</x:v>
      </x:c>
      <x:c r="F41" s="68" t="str">
        <x:v>终点被强克时承载能力需下调</x:v>
      </x:c>
      <x:c r="G41" s="82" t="str">
        <x:v>结构层</x:v>
      </x:c>
      <x:c r="H41" s="68" t="str">
        <x:v>五行生化路径</x:v>
      </x:c>
      <x:c r="I41" s="68" t="str">
        <x:v>上游五行</x:v>
      </x:c>
      <x:c r="J41" s="68" t="str">
        <x:v>桥梁</x:v>
      </x:c>
      <x:c r="K41" s="68" t="str">
        <x:v>受克终点</x:v>
      </x:c>
      <x:c r="L41" s="82" t="str">
        <x:v>待定</x:v>
      </x:c>
      <x:c r="M41" s="82" t="str">
        <x:v>待定</x:v>
      </x:c>
      <x:c r="N41" s="68" t="str">
        <x:v>待定</x:v>
      </x:c>
      <x:c r="O41" s="68" t="str">
        <x:v>终点本有力量但受强制</x:v>
      </x:c>
      <x:c r="P41" s="68" t="str">
        <x:v>待定</x:v>
      </x:c>
      <x:c r="Q41" s="82" t="str">
        <x:v>局部阻塞</x:v>
      </x:c>
      <x:c r="R41" s="82" t="str">
        <x:v>终点过弱不能承载</x:v>
      </x:c>
      <x:c r="S41" s="68" t="str">
        <x:v>终点</x:v>
      </x:c>
      <x:c r="T41" s="68" t="str">
        <x:v>终点在承接上游时同时遭受更强克制</x:v>
      </x:c>
      <x:c r="U41" s="68" t="str">
        <x:v>待定</x:v>
      </x:c>
      <x:c r="V41" s="68" t="str">
        <x:v>待定</x:v>
      </x:c>
      <x:c r="W41" s="90" t="str">
        <x:v>需检查对调候、格局、日主承载及其他通路的副作用</x:v>
      </x:c>
      <x:c r="X41" s="68" t="str">
        <x:v>M06关系效应、M08五行有效旺衰、M10十神功能与M11组合判断已完成</x:v>
      </x:c>
      <x:c r="Y41" s="68" t="str">
        <x:v>起点、桥梁、终点均按有效力量与实际作用路径判断</x:v>
      </x:c>
      <x:c r="Z41" s="68" t="str">
        <x:v>桥梁有根有源、透达、位置可达且不存在关键制约</x:v>
      </x:c>
      <x:c r="AA41" s="68" t="str">
        <x:v>桥梁失令、无根、受克、合绊、改性或同时被多路调用</x:v>
      </x:c>
      <x:c r="AB41" s="90" t="str">
        <x:v>不得仅因五行缺失、数量少或关系名称直接认定卡点或通关用神</x:v>
      </x:c>
      <x:c r="AC41" s="68" t="str">
        <x:v>若存在更短、更强或副作用更小的替代路径，应并列比较后再裁定</x:v>
      </x:c>
      <x:c r="AD41" s="84" t="str">
        <x:v>M12_END_流通判定</x:v>
      </x:c>
      <x:c r="AE41" s="84" t="str">
        <x:v>终点被强克时承载能力需下调：按起点—桥梁—终点检查有效力量、连续性与承载；卡点为“终点过弱不能承载”时，仅生成通关候选，不直接定用神。</x:v>
      </x:c>
      <x:c r="AF41" s="82" t="str">
        <x:v>较高</x:v>
      </x:c>
      <x:c r="AG41" s="82" t="str">
        <x:v>现代综合</x:v>
      </x:c>
      <x:c r="AH41" s="68" t="str">
        <x:v>流通判断以五行有效力量、生克顺序与十神功能为核心；古典依据可参照《滴天髓》《渊海子平》。 https://zh.wikisource.org/wiki/%E6%BB%B4%E5%A4%A9%E9%AB%93%E9%97%A1%E5%BE%AE https://zh.wikisource.org/zh-hans/%E6%B7%B5%E6%B5%B7%E5%AD%90%E5%B9%B3</x:v>
      </x:c>
      <x:c r="AI41" s="68" t="str">
        <x:v>当“终点在承接上游时同时遭受更强克制”真实成立，且桥梁具备有效力量和连续作用条件时，可按“终点被强克时承载能力需下调”记录。</x:v>
      </x:c>
      <x:c r="AJ41" s="90" t="str">
        <x:v>仅见表面缺失或五行相克，但未证明“终点在承接上游时同时遭受更强克制”形成实际阻断时，不得套用“终点被强克时承载能力需下调”。</x:v>
      </x:c>
      <x:c r="AK41" s="82" t="str">
        <x:v>采用</x:v>
      </x:c>
      <x:c r="AL41" s="82" t="str">
        <x:v>初审</x:v>
      </x:c>
      <x:c r="AM41" s="87" t="n">
        <x:v>46255</x:v>
      </x:c>
    </x:row>
    <x:row r="42">
      <x:c r="A42" s="72" t="str">
        <x:f>IF(OR(C42="",D42=""),"",B42&amp;"-"&amp;UPPER(C42)&amp;"-"&amp;TEXT(D42,"0000")&amp;"-"&amp;E42)</x:f>
        <x:v>M12-END-0036-V1.0</x:v>
      </x:c>
      <x:c r="B42" s="74" t="str">
        <x:v>M12</x:v>
      </x:c>
      <x:c r="C42" s="74" t="str">
        <x:v>END</x:v>
      </x:c>
      <x:c r="D42" s="215" t="n">
        <x:v>36</x:v>
      </x:c>
      <x:c r="E42" s="74" t="str">
        <x:v>V1.0</x:v>
      </x:c>
      <x:c r="F42" s="68" t="str">
        <x:v>终点被合化后必须按新功能重判承载</x:v>
      </x:c>
      <x:c r="G42" s="82" t="str">
        <x:v>结构层</x:v>
      </x:c>
      <x:c r="H42" s="68" t="str">
        <x:v>五行生化路径</x:v>
      </x:c>
      <x:c r="I42" s="68" t="str">
        <x:v>上游五行</x:v>
      </x:c>
      <x:c r="J42" s="68" t="str">
        <x:v>桥梁</x:v>
      </x:c>
      <x:c r="K42" s="68" t="str">
        <x:v>发生实质合化的终点</x:v>
      </x:c>
      <x:c r="L42" s="82" t="str">
        <x:v>待定</x:v>
      </x:c>
      <x:c r="M42" s="82" t="str">
        <x:v>待定</x:v>
      </x:c>
      <x:c r="N42" s="68" t="str">
        <x:v>待定</x:v>
      </x:c>
      <x:c r="O42" s="68" t="str">
        <x:v>原终点功能已转化</x:v>
      </x:c>
      <x:c r="P42" s="68" t="str">
        <x:v>待定</x:v>
      </x:c>
      <x:c r="Q42" s="82" t="str">
        <x:v>无有效路径</x:v>
      </x:c>
      <x:c r="R42" s="82" t="str">
        <x:v>其他</x:v>
      </x:c>
      <x:c r="S42" s="68" t="str">
        <x:v>终点</x:v>
      </x:c>
      <x:c r="T42" s="68" t="str">
        <x:v>终点原五行性质改变，原路径不再以原终点收束</x:v>
      </x:c>
      <x:c r="U42" s="68" t="str">
        <x:v>待定</x:v>
      </x:c>
      <x:c r="V42" s="68" t="str">
        <x:v>待定</x:v>
      </x:c>
      <x:c r="W42" s="90" t="str">
        <x:v>需检查对调候、格局、日主承载及其他通路的副作用</x:v>
      </x:c>
      <x:c r="X42" s="68" t="str">
        <x:v>M06关系效应、M08五行有效旺衰、M10十神功能与M11组合判断已完成</x:v>
      </x:c>
      <x:c r="Y42" s="68" t="str">
        <x:v>起点、桥梁、终点均按有效力量与实际作用路径判断</x:v>
      </x:c>
      <x:c r="Z42" s="68" t="str">
        <x:v>桥梁有根有源、透达、位置可达且不存在关键制约</x:v>
      </x:c>
      <x:c r="AA42" s="68" t="str">
        <x:v>桥梁失令、无根、受克、合绊、改性或同时被多路调用</x:v>
      </x:c>
      <x:c r="AB42" s="90" t="str">
        <x:v>不得仅因五行缺失、数量少或关系名称直接认定卡点或通关用神</x:v>
      </x:c>
      <x:c r="AC42" s="68" t="str">
        <x:v>若存在更短、更强或副作用更小的替代路径，应并列比较后再裁定</x:v>
      </x:c>
      <x:c r="AD42" s="84" t="str">
        <x:v>M12_END_流通判定</x:v>
      </x:c>
      <x:c r="AE42" s="84" t="str">
        <x:v>终点被合化后必须按新功能重判承载：按起点—桥梁—终点检查有效力量、连续性与承载；卡点为“其他”时，仅生成通关候选，不直接定用神。</x:v>
      </x:c>
      <x:c r="AF42" s="82" t="str">
        <x:v>较高</x:v>
      </x:c>
      <x:c r="AG42" s="82" t="str">
        <x:v>现代综合</x:v>
      </x:c>
      <x:c r="AH42" s="68" t="str">
        <x:v>流通判断以五行有效力量、生克顺序与十神功能为核心；古典依据可参照《滴天髓》《渊海子平》。 https://zh.wikisource.org/wiki/%E6%BB%B4%E5%A4%A9%E9%AB%93%E9%97%A1%E5%BE%AE https://zh.wikisource.org/zh-hans/%E6%B7%B5%E6%B5%B7%E5%AD%90%E5%B9%B3</x:v>
      </x:c>
      <x:c r="AI42" s="68" t="str">
        <x:v>当“终点原五行性质改变，原路径不再以原终点收束”真实成立，且桥梁具备有效力量和连续作用条件时，可按“终点被合化后必须按新功能重判承载”记录。</x:v>
      </x:c>
      <x:c r="AJ42" s="90" t="str">
        <x:v>仅见表面缺失或五行相克，但未证明“终点原五行性质改变，原路径不再以原终点收束”形成实际阻断时，不得套用“终点被合化后必须按新功能重判承载”。</x:v>
      </x:c>
      <x:c r="AK42" s="82" t="str">
        <x:v>采用</x:v>
      </x:c>
      <x:c r="AL42" s="82" t="str">
        <x:v>初审</x:v>
      </x:c>
      <x:c r="AM42" s="87" t="n">
        <x:v>46255</x:v>
      </x:c>
    </x:row>
    <x:row r="43">
      <x:c r="A43" s="72" t="str">
        <x:f>IF(OR(C43="",D43=""),"",B43&amp;"-"&amp;UPPER(C43)&amp;"-"&amp;TEXT(D43,"0000")&amp;"-"&amp;E43)</x:f>
        <x:v>M12-END-0037-V1.0</x:v>
      </x:c>
      <x:c r="B43" s="74" t="str">
        <x:v>M12</x:v>
      </x:c>
      <x:c r="C43" s="74" t="str">
        <x:v>END</x:v>
      </x:c>
      <x:c r="D43" s="215" t="n">
        <x:v>37</x:v>
      </x:c>
      <x:c r="E43" s="74" t="str">
        <x:v>V1.0</x:v>
      </x:c>
      <x:c r="F43" s="68" t="str">
        <x:v>一个终点接收多个强源时可能超载</x:v>
      </x:c>
      <x:c r="G43" s="82" t="str">
        <x:v>结构层</x:v>
      </x:c>
      <x:c r="H43" s="68" t="str">
        <x:v>五行生化路径</x:v>
      </x:c>
      <x:c r="I43" s="68" t="str">
        <x:v>多个旺强源头</x:v>
      </x:c>
      <x:c r="J43" s="68" t="str">
        <x:v>多个桥梁或同一桥梁</x:v>
      </x:c>
      <x:c r="K43" s="68" t="str">
        <x:v>单一终点</x:v>
      </x:c>
      <x:c r="L43" s="82" t="str">
        <x:v>待定</x:v>
      </x:c>
      <x:c r="M43" s="82" t="str">
        <x:v>待定</x:v>
      </x:c>
      <x:c r="N43" s="68" t="str">
        <x:v>待定</x:v>
      </x:c>
      <x:c r="O43" s="68" t="str">
        <x:v>终点承载有限</x:v>
      </x:c>
      <x:c r="P43" s="68" t="str">
        <x:v>待定</x:v>
      </x:c>
      <x:c r="Q43" s="82" t="str">
        <x:v>局部阻塞</x:v>
      </x:c>
      <x:c r="R43" s="82" t="str">
        <x:v>终点过旺反制</x:v>
      </x:c>
      <x:c r="S43" s="68" t="str">
        <x:v>终点</x:v>
      </x:c>
      <x:c r="T43" s="68" t="str">
        <x:v>多个通路同时向同一终点汇聚，输入高于终点消化能力</x:v>
      </x:c>
      <x:c r="U43" s="68" t="str">
        <x:v>待定</x:v>
      </x:c>
      <x:c r="V43" s="68" t="str">
        <x:v>待定</x:v>
      </x:c>
      <x:c r="W43" s="90" t="str">
        <x:v>需检查对调候、格局、日主承载及其他通路的副作用</x:v>
      </x:c>
      <x:c r="X43" s="68" t="str">
        <x:v>M06关系效应、M08五行有效旺衰、M10十神功能与M11组合判断已完成</x:v>
      </x:c>
      <x:c r="Y43" s="68" t="str">
        <x:v>起点、桥梁、终点均按有效力量与实际作用路径判断</x:v>
      </x:c>
      <x:c r="Z43" s="68" t="str">
        <x:v>桥梁有根有源、透达、位置可达且不存在关键制约</x:v>
      </x:c>
      <x:c r="AA43" s="68" t="str">
        <x:v>桥梁失令、无根、受克、合绊、改性或同时被多路调用</x:v>
      </x:c>
      <x:c r="AB43" s="90" t="str">
        <x:v>不得仅因五行缺失、数量少或关系名称直接认定卡点或通关用神</x:v>
      </x:c>
      <x:c r="AC43" s="68" t="str">
        <x:v>若存在更短、更强或副作用更小的替代路径，应并列比较后再裁定</x:v>
      </x:c>
      <x:c r="AD43" s="84" t="str">
        <x:v>M12_END_流通判定</x:v>
      </x:c>
      <x:c r="AE43" s="84" t="str">
        <x:v>一个终点接收多个强源时可能超载：按起点—桥梁—终点检查有效力量、连续性与承载；卡点为“终点过旺反制”时，仅生成通关候选，不直接定用神。</x:v>
      </x:c>
      <x:c r="AF43" s="82" t="str">
        <x:v>较高</x:v>
      </x:c>
      <x:c r="AG43" s="82" t="str">
        <x:v>现代综合</x:v>
      </x:c>
      <x:c r="AH43" s="68" t="str">
        <x:v>流通判断以五行有效力量、生克顺序与十神功能为核心；古典依据可参照《滴天髓》《渊海子平》。 https://zh.wikisource.org/wiki/%E6%BB%B4%E5%A4%A9%E9%AB%93%E9%97%A1%E5%BE%AE https://zh.wikisource.org/zh-hans/%E6%B7%B5%E6%B5%B7%E5%AD%90%E5%B9%B3</x:v>
      </x:c>
      <x:c r="AI43" s="68" t="str">
        <x:v>当“多个通路同时向同一终点汇聚，输入高于终点消化能力”真实成立，且桥梁具备有效力量和连续作用条件时，可按“一个终点接收多个强源时可能超载”记录。</x:v>
      </x:c>
      <x:c r="AJ43" s="90" t="str">
        <x:v>仅见表面缺失或五行相克，但未证明“多个通路同时向同一终点汇聚，输入高于终点消化能力”形成实际阻断时，不得套用“一个终点接收多个强源时可能超载”。</x:v>
      </x:c>
      <x:c r="AK43" s="82" t="str">
        <x:v>采用</x:v>
      </x:c>
      <x:c r="AL43" s="82" t="str">
        <x:v>初审</x:v>
      </x:c>
      <x:c r="AM43" s="87" t="n">
        <x:v>46255</x:v>
      </x:c>
    </x:row>
    <x:row r="44">
      <x:c r="A44" s="72" t="str">
        <x:f>IF(OR(C44="",D44=""),"",B44&amp;"-"&amp;UPPER(C44)&amp;"-"&amp;TEXT(D44,"0000")&amp;"-"&amp;E44)</x:f>
        <x:v>M12-END-0038-V1.0</x:v>
      </x:c>
      <x:c r="B44" s="74" t="str">
        <x:v>M12</x:v>
      </x:c>
      <x:c r="C44" s="74" t="str">
        <x:v>END</x:v>
      </x:c>
      <x:c r="D44" s="215" t="n">
        <x:v>38</x:v>
      </x:c>
      <x:c r="E44" s="74" t="str">
        <x:v>V1.0</x:v>
      </x:c>
      <x:c r="F44" s="68" t="str">
        <x:v>终点承载评价必须结合其后续是否仍需继续输出</x:v>
      </x:c>
      <x:c r="G44" s="82" t="str">
        <x:v>结构层</x:v>
      </x:c>
      <x:c r="H44" s="68" t="str">
        <x:v>五行生化路径</x:v>
      </x:c>
      <x:c r="I44" s="68" t="str">
        <x:v>上游</x:v>
      </x:c>
      <x:c r="J44" s="68" t="str">
        <x:v>中间五行</x:v>
      </x:c>
      <x:c r="K44" s="68" t="str">
        <x:v>阶段性终点</x:v>
      </x:c>
      <x:c r="L44" s="82" t="str">
        <x:v>待定</x:v>
      </x:c>
      <x:c r="M44" s="82" t="str">
        <x:v>待定</x:v>
      </x:c>
      <x:c r="N44" s="68" t="str">
        <x:v>待定</x:v>
      </x:c>
      <x:c r="O44" s="68" t="str">
        <x:v>终点既承接又可能成为下一段起点</x:v>
      </x:c>
      <x:c r="P44" s="68" t="str">
        <x:v>待定</x:v>
      </x:c>
      <x:c r="Q44" s="82" t="str">
        <x:v>待定</x:v>
      </x:c>
      <x:c r="R44" s="82" t="str">
        <x:v>链路过长</x:v>
      </x:c>
      <x:c r="S44" s="68" t="str">
        <x:v>终点</x:v>
      </x:c>
      <x:c r="T44" s="68" t="str">
        <x:v>阶段性终点如果还需继续输出，则其承载和泄出能力须同时评估</x:v>
      </x:c>
      <x:c r="U44" s="68" t="str">
        <x:v>待定</x:v>
      </x:c>
      <x:c r="V44" s="68" t="str">
        <x:v>待定</x:v>
      </x:c>
      <x:c r="W44" s="90" t="str">
        <x:v>需检查对调候、格局、日主承载及其他通路的副作用</x:v>
      </x:c>
      <x:c r="X44" s="68" t="str">
        <x:v>M06关系效应、M08五行有效旺衰、M10十神功能与M11组合判断已完成</x:v>
      </x:c>
      <x:c r="Y44" s="68" t="str">
        <x:v>起点、桥梁、终点均按有效力量与实际作用路径判断</x:v>
      </x:c>
      <x:c r="Z44" s="68" t="str">
        <x:v>桥梁有根有源、透达、位置可达且不存在关键制约</x:v>
      </x:c>
      <x:c r="AA44" s="68" t="str">
        <x:v>桥梁失令、无根、受克、合绊、改性或同时被多路调用</x:v>
      </x:c>
      <x:c r="AB44" s="90" t="str">
        <x:v>不得仅因五行缺失、数量少或关系名称直接认定卡点或通关用神</x:v>
      </x:c>
      <x:c r="AC44" s="68" t="str">
        <x:v>若存在更短、更强或副作用更小的替代路径，应并列比较后再裁定</x:v>
      </x:c>
      <x:c r="AD44" s="84" t="str">
        <x:v>M12_END_流通判定</x:v>
      </x:c>
      <x:c r="AE44" s="84" t="str">
        <x:v>终点承载评价必须结合其后续是否仍需继续输出：按起点—桥梁—终点检查有效力量、连续性与承载；卡点为“链路过长”时，仅生成通关候选，不直接定用神。</x:v>
      </x:c>
      <x:c r="AF44" s="82" t="str">
        <x:v>较高</x:v>
      </x:c>
      <x:c r="AG44" s="82" t="str">
        <x:v>现代综合</x:v>
      </x:c>
      <x:c r="AH44" s="68" t="str">
        <x:v>流通判断以五行有效力量、生克顺序与十神功能为核心；古典依据可参照《滴天髓》《渊海子平》。 https://zh.wikisource.org/wiki/%E6%BB%B4%E5%A4%A9%E9%AB%93%E9%97%A1%E5%BE%AE https://zh.wikisource.org/zh-hans/%E6%B7%B5%E6%B5%B7%E5%AD%90%E5%B9%B3</x:v>
      </x:c>
      <x:c r="AI44" s="68" t="str">
        <x:v>当“阶段性终点如果还需继续输出，则其承载和泄出能力须同时评估”真实成立，且桥梁具备有效力量和连续作用条件时，可按“终点承载评价必须结合其后续是否仍需继续输出”记录。</x:v>
      </x:c>
      <x:c r="AJ44" s="90" t="str">
        <x:v>仅见表面缺失或五行相克，但未证明“阶段性终点如果还需继续输出，则其承载和泄出能力须同时评估”形成实际阻断时，不得套用“终点承载评价必须结合其后续是否仍需继续输出”。</x:v>
      </x:c>
      <x:c r="AK44" s="82" t="str">
        <x:v>采用</x:v>
      </x:c>
      <x:c r="AL44" s="82" t="str">
        <x:v>初审</x:v>
      </x:c>
      <x:c r="AM44" s="87" t="n">
        <x:v>46255</x:v>
      </x:c>
    </x:row>
    <x:row r="45">
      <x:c r="A45" s="72" t="str">
        <x:f>IF(OR(C45="",D45=""),"",B45&amp;"-"&amp;UPPER(C45)&amp;"-"&amp;TEXT(D45,"0000")&amp;"-"&amp;E45)</x:f>
        <x:v>M12-BLOCK-0039-V1.0</x:v>
      </x:c>
      <x:c r="B45" s="74" t="str">
        <x:v>M12</x:v>
      </x:c>
      <x:c r="C45" s="74" t="str">
        <x:v>BLOCK</x:v>
      </x:c>
      <x:c r="D45" s="215" t="n">
        <x:v>39</x:v>
      </x:c>
      <x:c r="E45" s="74" t="str">
        <x:v>V1.0</x:v>
      </x:c>
      <x:c r="F45" s="68" t="str">
        <x:v>缺少必要桥梁形成真正缺桥</x:v>
      </x:c>
      <x:c r="G45" s="82" t="str">
        <x:v>结构层</x:v>
      </x:c>
      <x:c r="H45" s="68" t="str">
        <x:v>五行生化路径</x:v>
      </x:c>
      <x:c r="I45" s="68" t="str">
        <x:v>相邻但不能直接完成目标流向的上游</x:v>
      </x:c>
      <x:c r="J45" s="68" t="str">
        <x:v>缺失五行</x:v>
      </x:c>
      <x:c r="K45" s="68" t="str">
        <x:v>下游</x:v>
      </x:c>
      <x:c r="L45" s="82" t="str">
        <x:v>待定</x:v>
      </x:c>
      <x:c r="M45" s="82" t="str">
        <x:v>待定</x:v>
      </x:c>
      <x:c r="N45" s="68" t="str">
        <x:v>待定</x:v>
      </x:c>
      <x:c r="O45" s="68" t="str">
        <x:v>待定</x:v>
      </x:c>
      <x:c r="P45" s="68" t="str">
        <x:v>待定</x:v>
      </x:c>
      <x:c r="Q45" s="82" t="str">
        <x:v>明显阻断</x:v>
      </x:c>
      <x:c r="R45" s="82" t="str">
        <x:v>缺桥</x:v>
      </x:c>
      <x:c r="S45" s="68" t="str">
        <x:v>桥梁</x:v>
      </x:c>
      <x:c r="T45" s="68" t="str">
        <x:v>目标生化或通关路径必须经过该五行，而原局该五行完全不现或全部失效</x:v>
      </x:c>
      <x:c r="U45" s="68" t="str">
        <x:v>待定</x:v>
      </x:c>
      <x:c r="V45" s="68" t="str">
        <x:v>待定</x:v>
      </x:c>
      <x:c r="W45" s="90" t="str">
        <x:v>需检查对调候、格局、日主承载及其他通路的副作用</x:v>
      </x:c>
      <x:c r="X45" s="68" t="str">
        <x:v>M06关系效应、M08五行有效旺衰、M10十神功能与M11组合判断已完成</x:v>
      </x:c>
      <x:c r="Y45" s="68" t="str">
        <x:v>起点、桥梁、终点均按有效力量与实际作用路径判断</x:v>
      </x:c>
      <x:c r="Z45" s="68" t="str">
        <x:v>桥梁有根有源、透达、位置可达且不存在关键制约</x:v>
      </x:c>
      <x:c r="AA45" s="68" t="str">
        <x:v>桥梁失令、无根、受克、合绊、改性或同时被多路调用</x:v>
      </x:c>
      <x:c r="AB45" s="90" t="str">
        <x:v>不得仅因五行缺失、数量少或关系名称直接认定卡点或通关用神</x:v>
      </x:c>
      <x:c r="AC45" s="68" t="str">
        <x:v>若存在更短、更强或副作用更小的替代路径，应并列比较后再裁定</x:v>
      </x:c>
      <x:c r="AD45" s="84" t="str">
        <x:v>M12_BLOCK_流通判定</x:v>
      </x:c>
      <x:c r="AE45" s="84" t="str">
        <x:v>缺少必要桥梁形成真正缺桥：按起点—桥梁—终点检查有效力量、连续性与承载；卡点为“缺桥”时，仅生成通关候选，不直接定用神。</x:v>
      </x:c>
      <x:c r="AF45" s="82" t="str">
        <x:v>较高</x:v>
      </x:c>
      <x:c r="AG45" s="82" t="str">
        <x:v>现代综合</x:v>
      </x:c>
      <x:c r="AH45" s="68" t="str">
        <x:v>流通判断以五行有效力量、生克顺序与十神功能为核心；古典依据可参照《滴天髓》《渊海子平》。 https://zh.wikisource.org/wiki/%E6%BB%B4%E5%A4%A9%E9%AB%93%E9%97%A1%E5%BE%AE https://zh.wikisource.org/zh-hans/%E6%B7%B5%E6%B5%B7%E5%AD%90%E5%B9%B3</x:v>
      </x:c>
      <x:c r="AI45" s="68" t="str">
        <x:v>当“目标生化或通关路径必须经过该五行，而原局该五行完全不现或全部失效”真实成立，且桥梁具备有效力量和连续作用条件时，可按“缺少必要桥梁形成真正缺桥”记录。</x:v>
      </x:c>
      <x:c r="AJ45" s="90" t="str">
        <x:v>仅见表面缺失或五行相克，但未证明“目标生化或通关路径必须经过该五行，而原局该五行完全不现或全部失效”形成实际阻断时，不得套用“缺少必要桥梁形成真正缺桥”。</x:v>
      </x:c>
      <x:c r="AK45" s="82" t="str">
        <x:v>采用</x:v>
      </x:c>
      <x:c r="AL45" s="82" t="str">
        <x:v>初审</x:v>
      </x:c>
      <x:c r="AM45" s="87" t="n">
        <x:v>46255</x:v>
      </x:c>
    </x:row>
    <x:row r="46">
      <x:c r="A46" s="72" t="str">
        <x:f>IF(OR(C46="",D46=""),"",B46&amp;"-"&amp;UPPER(C46)&amp;"-"&amp;TEXT(D46,"0000")&amp;"-"&amp;E46)</x:f>
        <x:v>M12-BLOCK-0040-V1.0</x:v>
      </x:c>
      <x:c r="B46" s="74" t="str">
        <x:v>M12</x:v>
      </x:c>
      <x:c r="C46" s="74" t="str">
        <x:v>BLOCK</x:v>
      </x:c>
      <x:c r="D46" s="215" t="n">
        <x:v>40</x:v>
      </x:c>
      <x:c r="E46" s="74" t="str">
        <x:v>V1.0</x:v>
      </x:c>
      <x:c r="F46" s="68" t="str">
        <x:v>桥梁太弱是最常见的局部阻塞</x:v>
      </x:c>
      <x:c r="G46" s="82" t="str">
        <x:v>结构层</x:v>
      </x:c>
      <x:c r="H46" s="68" t="str">
        <x:v>五行生化路径</x:v>
      </x:c>
      <x:c r="I46" s="68" t="str">
        <x:v>有力上游</x:v>
      </x:c>
      <x:c r="J46" s="68" t="str">
        <x:v>弱桥梁</x:v>
      </x:c>
      <x:c r="K46" s="68" t="str">
        <x:v>有承载终点</x:v>
      </x:c>
      <x:c r="L46" s="82" t="str">
        <x:v>旺</x:v>
      </x:c>
      <x:c r="M46" s="82" t="str">
        <x:v>弱</x:v>
      </x:c>
      <x:c r="N46" s="68" t="str">
        <x:v>待定</x:v>
      </x:c>
      <x:c r="O46" s="68" t="str">
        <x:v>待定</x:v>
      </x:c>
      <x:c r="P46" s="68" t="str">
        <x:v>待定</x:v>
      </x:c>
      <x:c r="Q46" s="82" t="str">
        <x:v>局部阻塞</x:v>
      </x:c>
      <x:c r="R46" s="82" t="str">
        <x:v>桥梁太弱</x:v>
      </x:c>
      <x:c r="S46" s="68" t="str">
        <x:v>桥梁</x:v>
      </x:c>
      <x:c r="T46" s="68" t="str">
        <x:v>桥梁有名义节点但有效力量不足以传递上游</x:v>
      </x:c>
      <x:c r="U46" s="68" t="str">
        <x:v>待定</x:v>
      </x:c>
      <x:c r="V46" s="68" t="str">
        <x:v>待定</x:v>
      </x:c>
      <x:c r="W46" s="90" t="str">
        <x:v>需检查对调候、格局、日主承载及其他通路的副作用</x:v>
      </x:c>
      <x:c r="X46" s="68" t="str">
        <x:v>M06关系效应、M08五行有效旺衰、M10十神功能与M11组合判断已完成</x:v>
      </x:c>
      <x:c r="Y46" s="68" t="str">
        <x:v>起点、桥梁、终点均按有效力量与实际作用路径判断</x:v>
      </x:c>
      <x:c r="Z46" s="68" t="str">
        <x:v>桥梁有根有源、透达、位置可达且不存在关键制约</x:v>
      </x:c>
      <x:c r="AA46" s="68" t="str">
        <x:v>桥梁失令、无根、受克、合绊、改性或同时被多路调用</x:v>
      </x:c>
      <x:c r="AB46" s="90" t="str">
        <x:v>不得仅因五行缺失、数量少或关系名称直接认定卡点或通关用神</x:v>
      </x:c>
      <x:c r="AC46" s="68" t="str">
        <x:v>若存在更短、更强或副作用更小的替代路径，应并列比较后再裁定</x:v>
      </x:c>
      <x:c r="AD46" s="84" t="str">
        <x:v>M12_BLOCK_流通判定</x:v>
      </x:c>
      <x:c r="AE46" s="84" t="str">
        <x:v>桥梁太弱是最常见的局部阻塞：按起点—桥梁—终点检查有效力量、连续性与承载；卡点为“桥梁太弱”时，仅生成通关候选，不直接定用神。</x:v>
      </x:c>
      <x:c r="AF46" s="82" t="str">
        <x:v>较高</x:v>
      </x:c>
      <x:c r="AG46" s="82" t="str">
        <x:v>现代综合</x:v>
      </x:c>
      <x:c r="AH46" s="68" t="str">
        <x:v>流通判断以五行有效力量、生克顺序与十神功能为核心；古典依据可参照《滴天髓》《渊海子平》。 https://zh.wikisource.org/wiki/%E6%BB%B4%E5%A4%A9%E9%AB%93%E9%97%A1%E5%BE%AE https://zh.wikisource.org/zh-hans/%E6%B7%B5%E6%B5%B7%E5%AD%90%E5%B9%B3</x:v>
      </x:c>
      <x:c r="AI46" s="68" t="str">
        <x:v>当“桥梁有名义节点但有效力量不足以传递上游”真实成立，且桥梁具备有效力量和连续作用条件时，可按“桥梁太弱是最常见的局部阻塞”记录。</x:v>
      </x:c>
      <x:c r="AJ46" s="90" t="str">
        <x:v>仅见表面缺失或五行相克，但未证明“桥梁有名义节点但有效力量不足以传递上游”形成实际阻断时，不得套用“桥梁太弱是最常见的局部阻塞”。</x:v>
      </x:c>
      <x:c r="AK46" s="82" t="str">
        <x:v>采用</x:v>
      </x:c>
      <x:c r="AL46" s="82" t="str">
        <x:v>初审</x:v>
      </x:c>
      <x:c r="AM46" s="87" t="n">
        <x:v>46255</x:v>
      </x:c>
    </x:row>
    <x:row r="47">
      <x:c r="A47" s="72" t="str">
        <x:f>IF(OR(C47="",D47=""),"",B47&amp;"-"&amp;UPPER(C47)&amp;"-"&amp;TEXT(D47,"0000")&amp;"-"&amp;E47)</x:f>
        <x:v>M12-BLOCK-0041-V1.0</x:v>
      </x:c>
      <x:c r="B47" s="74" t="str">
        <x:v>M12</x:v>
      </x:c>
      <x:c r="C47" s="74" t="str">
        <x:v>BLOCK</x:v>
      </x:c>
      <x:c r="D47" s="215" t="n">
        <x:v>41</x:v>
      </x:c>
      <x:c r="E47" s="74" t="str">
        <x:v>V1.0</x:v>
      </x:c>
      <x:c r="F47" s="68" t="str">
        <x:v>桥梁被克形成外部截断</x:v>
      </x:c>
      <x:c r="G47" s="82" t="str">
        <x:v>结构层</x:v>
      </x:c>
      <x:c r="H47" s="68" t="str">
        <x:v>五行生化路径</x:v>
      </x:c>
      <x:c r="I47" s="68" t="str">
        <x:v>上游</x:v>
      </x:c>
      <x:c r="J47" s="68" t="str">
        <x:v>受克桥梁</x:v>
      </x:c>
      <x:c r="K47" s="68" t="str">
        <x:v>下游</x:v>
      </x:c>
      <x:c r="L47" s="82" t="str">
        <x:v>待定</x:v>
      </x:c>
      <x:c r="M47" s="82" t="str">
        <x:v>待定</x:v>
      </x:c>
      <x:c r="N47" s="68" t="str">
        <x:v>待定</x:v>
      </x:c>
      <x:c r="O47" s="68" t="str">
        <x:v>待定</x:v>
      </x:c>
      <x:c r="P47" s="68" t="str">
        <x:v>待定</x:v>
      </x:c>
      <x:c r="Q47" s="82" t="str">
        <x:v>明显阻断</x:v>
      </x:c>
      <x:c r="R47" s="82" t="str">
        <x:v>桥梁被克</x:v>
      </x:c>
      <x:c r="S47" s="68" t="str">
        <x:v>桥梁</x:v>
      </x:c>
      <x:c r="T47" s="68" t="str">
        <x:v>桥梁有效力量被第三方强克制，无法稳定完成传递</x:v>
      </x:c>
      <x:c r="U47" s="68" t="str">
        <x:v>待定</x:v>
      </x:c>
      <x:c r="V47" s="68" t="str">
        <x:v>待定</x:v>
      </x:c>
      <x:c r="W47" s="90" t="str">
        <x:v>需检查对调候、格局、日主承载及其他通路的副作用</x:v>
      </x:c>
      <x:c r="X47" s="68" t="str">
        <x:v>M06关系效应、M08五行有效旺衰、M10十神功能与M11组合判断已完成</x:v>
      </x:c>
      <x:c r="Y47" s="68" t="str">
        <x:v>起点、桥梁、终点均按有效力量与实际作用路径判断</x:v>
      </x:c>
      <x:c r="Z47" s="68" t="str">
        <x:v>桥梁有根有源、透达、位置可达且不存在关键制约</x:v>
      </x:c>
      <x:c r="AA47" s="68" t="str">
        <x:v>桥梁失令、无根、受克、合绊、改性或同时被多路调用</x:v>
      </x:c>
      <x:c r="AB47" s="90" t="str">
        <x:v>不得仅因五行缺失、数量少或关系名称直接认定卡点或通关用神</x:v>
      </x:c>
      <x:c r="AC47" s="68" t="str">
        <x:v>若存在更短、更强或副作用更小的替代路径，应并列比较后再裁定</x:v>
      </x:c>
      <x:c r="AD47" s="84" t="str">
        <x:v>M12_BLOCK_流通判定</x:v>
      </x:c>
      <x:c r="AE47" s="84" t="str">
        <x:v>桥梁被克形成外部截断：按起点—桥梁—终点检查有效力量、连续性与承载；卡点为“桥梁被克”时，仅生成通关候选，不直接定用神。</x:v>
      </x:c>
      <x:c r="AF47" s="82" t="str">
        <x:v>较高</x:v>
      </x:c>
      <x:c r="AG47" s="82" t="str">
        <x:v>现代综合</x:v>
      </x:c>
      <x:c r="AH47" s="68" t="str">
        <x:v>流通判断以五行有效力量、生克顺序与十神功能为核心；古典依据可参照《滴天髓》《渊海子平》。 https://zh.wikisource.org/wiki/%E6%BB%B4%E5%A4%A9%E9%AB%93%E9%97%A1%E5%BE%AE https://zh.wikisource.org/zh-hans/%E6%B7%B5%E6%B5%B7%E5%AD%90%E5%B9%B3</x:v>
      </x:c>
      <x:c r="AI47" s="68" t="str">
        <x:v>当“桥梁有效力量被第三方强克制，无法稳定完成传递”真实成立，且桥梁具备有效力量和连续作用条件时，可按“桥梁被克形成外部截断”记录。</x:v>
      </x:c>
      <x:c r="AJ47" s="90" t="str">
        <x:v>仅见表面缺失或五行相克，但未证明“桥梁有效力量被第三方强克制，无法稳定完成传递”形成实际阻断时，不得套用“桥梁被克形成外部截断”。</x:v>
      </x:c>
      <x:c r="AK47" s="82" t="str">
        <x:v>采用</x:v>
      </x:c>
      <x:c r="AL47" s="82" t="str">
        <x:v>初审</x:v>
      </x:c>
      <x:c r="AM47" s="87" t="n">
        <x:v>46255</x:v>
      </x:c>
    </x:row>
    <x:row r="48">
      <x:c r="A48" s="72" t="str">
        <x:f>IF(OR(C48="",D48=""),"",B48&amp;"-"&amp;UPPER(C48)&amp;"-"&amp;TEXT(D48,"0000")&amp;"-"&amp;E48)</x:f>
        <x:v>M12-BLOCK-0042-V1.0</x:v>
      </x:c>
      <x:c r="B48" s="74" t="str">
        <x:v>M12</x:v>
      </x:c>
      <x:c r="C48" s="74" t="str">
        <x:v>BLOCK</x:v>
      </x:c>
      <x:c r="D48" s="215" t="n">
        <x:v>42</x:v>
      </x:c>
      <x:c r="E48" s="74" t="str">
        <x:v>V1.0</x:v>
      </x:c>
      <x:c r="F48" s="68" t="str">
        <x:v>桥梁被合绊形成牵制型阻塞</x:v>
      </x:c>
      <x:c r="G48" s="82" t="str">
        <x:v>结构层</x:v>
      </x:c>
      <x:c r="H48" s="68" t="str">
        <x:v>五行生化路径</x:v>
      </x:c>
      <x:c r="I48" s="68" t="str">
        <x:v>上游</x:v>
      </x:c>
      <x:c r="J48" s="68" t="str">
        <x:v>被合绊桥梁</x:v>
      </x:c>
      <x:c r="K48" s="68" t="str">
        <x:v>下游</x:v>
      </x:c>
      <x:c r="L48" s="82" t="str">
        <x:v>待定</x:v>
      </x:c>
      <x:c r="M48" s="82" t="str">
        <x:v>待定</x:v>
      </x:c>
      <x:c r="N48" s="68" t="str">
        <x:v>待定</x:v>
      </x:c>
      <x:c r="O48" s="68" t="str">
        <x:v>待定</x:v>
      </x:c>
      <x:c r="P48" s="68" t="str">
        <x:v>待定</x:v>
      </x:c>
      <x:c r="Q48" s="82" t="str">
        <x:v>局部阻塞</x:v>
      </x:c>
      <x:c r="R48" s="82" t="str">
        <x:v>桥梁被合绊</x:v>
      </x:c>
      <x:c r="S48" s="68" t="str">
        <x:v>桥梁</x:v>
      </x:c>
      <x:c r="T48" s="68" t="str">
        <x:v>桥梁仍存在但被其他关系占用或牵制</x:v>
      </x:c>
      <x:c r="U48" s="68" t="str">
        <x:v>待定</x:v>
      </x:c>
      <x:c r="V48" s="68" t="str">
        <x:v>待定</x:v>
      </x:c>
      <x:c r="W48" s="90" t="str">
        <x:v>需检查对调候、格局、日主承载及其他通路的副作用</x:v>
      </x:c>
      <x:c r="X48" s="68" t="str">
        <x:v>M06关系效应、M08五行有效旺衰、M10十神功能与M11组合判断已完成</x:v>
      </x:c>
      <x:c r="Y48" s="68" t="str">
        <x:v>起点、桥梁、终点均按有效力量与实际作用路径判断</x:v>
      </x:c>
      <x:c r="Z48" s="68" t="str">
        <x:v>桥梁有根有源、透达、位置可达且不存在关键制约</x:v>
      </x:c>
      <x:c r="AA48" s="68" t="str">
        <x:v>桥梁失令、无根、受克、合绊、改性或同时被多路调用</x:v>
      </x:c>
      <x:c r="AB48" s="90" t="str">
        <x:v>不得仅因五行缺失、数量少或关系名称直接认定卡点或通关用神</x:v>
      </x:c>
      <x:c r="AC48" s="68" t="str">
        <x:v>若存在更短、更强或副作用更小的替代路径，应并列比较后再裁定</x:v>
      </x:c>
      <x:c r="AD48" s="84" t="str">
        <x:v>M12_BLOCK_流通判定</x:v>
      </x:c>
      <x:c r="AE48" s="84" t="str">
        <x:v>桥梁被合绊形成牵制型阻塞：按起点—桥梁—终点检查有效力量、连续性与承载；卡点为“桥梁被合绊”时，仅生成通关候选，不直接定用神。</x:v>
      </x:c>
      <x:c r="AF48" s="82" t="str">
        <x:v>较高</x:v>
      </x:c>
      <x:c r="AG48" s="82" t="str">
        <x:v>现代综合</x:v>
      </x:c>
      <x:c r="AH48" s="68" t="str">
        <x:v>流通判断以五行有效力量、生克顺序与十神功能为核心；古典依据可参照《滴天髓》《渊海子平》。 https://zh.wikisource.org/wiki/%E6%BB%B4%E5%A4%A9%E9%AB%93%E9%97%A1%E5%BE%AE https://zh.wikisource.org/zh-hans/%E6%B7%B5%E6%B5%B7%E5%AD%90%E5%B9%B3</x:v>
      </x:c>
      <x:c r="AI48" s="68" t="str">
        <x:v>当“桥梁仍存在但被其他关系占用或牵制”真实成立，且桥梁具备有效力量和连续作用条件时，可按“桥梁被合绊形成牵制型阻塞”记录。</x:v>
      </x:c>
      <x:c r="AJ48" s="90" t="str">
        <x:v>仅见表面缺失或五行相克，但未证明“桥梁仍存在但被其他关系占用或牵制”形成实际阻断时，不得套用“桥梁被合绊形成牵制型阻塞”。</x:v>
      </x:c>
      <x:c r="AK48" s="82" t="str">
        <x:v>采用</x:v>
      </x:c>
      <x:c r="AL48" s="82" t="str">
        <x:v>初审</x:v>
      </x:c>
      <x:c r="AM48" s="87" t="n">
        <x:v>46255</x:v>
      </x:c>
    </x:row>
    <x:row r="49">
      <x:c r="A49" s="72" t="str">
        <x:f>IF(OR(C49="",D49=""),"",B49&amp;"-"&amp;UPPER(C49)&amp;"-"&amp;TEXT(D49,"0000")&amp;"-"&amp;E49)</x:f>
        <x:v>M12-BLOCK-0043-V1.0</x:v>
      </x:c>
      <x:c r="B49" s="74" t="str">
        <x:v>M12</x:v>
      </x:c>
      <x:c r="C49" s="74" t="str">
        <x:v>BLOCK</x:v>
      </x:c>
      <x:c r="D49" s="215" t="n">
        <x:v>43</x:v>
      </x:c>
      <x:c r="E49" s="74" t="str">
        <x:v>V1.0</x:v>
      </x:c>
      <x:c r="F49" s="68" t="str">
        <x:v>源头过旺无泄形成上游壅塞</x:v>
      </x:c>
      <x:c r="G49" s="82" t="str">
        <x:v>结构层</x:v>
      </x:c>
      <x:c r="H49" s="68" t="str">
        <x:v>五行生化路径</x:v>
      </x:c>
      <x:c r="I49" s="68" t="str">
        <x:v>极旺源头</x:v>
      </x:c>
      <x:c r="J49" s="68" t="str">
        <x:v>缺失或弱泄神</x:v>
      </x:c>
      <x:c r="K49" s="68" t="str">
        <x:v>下游</x:v>
      </x:c>
      <x:c r="L49" s="82" t="str">
        <x:v>极旺</x:v>
      </x:c>
      <x:c r="M49" s="82" t="str">
        <x:v>极弱</x:v>
      </x:c>
      <x:c r="N49" s="68" t="str">
        <x:v>待定</x:v>
      </x:c>
      <x:c r="O49" s="68" t="str">
        <x:v>待定</x:v>
      </x:c>
      <x:c r="P49" s="68" t="str">
        <x:v>待定</x:v>
      </x:c>
      <x:c r="Q49" s="82" t="str">
        <x:v>明显阻断</x:v>
      </x:c>
      <x:c r="R49" s="82" t="str">
        <x:v>源头过旺无泄</x:v>
      </x:c>
      <x:c r="S49" s="68" t="str">
        <x:v>起点</x:v>
      </x:c>
      <x:c r="T49" s="68" t="str">
        <x:v>源头强势聚集而无有效泄化通路</x:v>
      </x:c>
      <x:c r="U49" s="68" t="str">
        <x:v>待定</x:v>
      </x:c>
      <x:c r="V49" s="68" t="str">
        <x:v>待定</x:v>
      </x:c>
      <x:c r="W49" s="90" t="str">
        <x:v>需检查对调候、格局、日主承载及其他通路的副作用</x:v>
      </x:c>
      <x:c r="X49" s="68" t="str">
        <x:v>M06关系效应、M08五行有效旺衰、M10十神功能与M11组合判断已完成</x:v>
      </x:c>
      <x:c r="Y49" s="68" t="str">
        <x:v>起点、桥梁、终点均按有效力量与实际作用路径判断</x:v>
      </x:c>
      <x:c r="Z49" s="68" t="str">
        <x:v>桥梁有根有源、透达、位置可达且不存在关键制约</x:v>
      </x:c>
      <x:c r="AA49" s="68" t="str">
        <x:v>桥梁失令、无根、受克、合绊、改性或同时被多路调用</x:v>
      </x:c>
      <x:c r="AB49" s="90" t="str">
        <x:v>不得仅因五行缺失、数量少或关系名称直接认定卡点或通关用神</x:v>
      </x:c>
      <x:c r="AC49" s="68" t="str">
        <x:v>若存在更短、更强或副作用更小的替代路径，应并列比较后再裁定</x:v>
      </x:c>
      <x:c r="AD49" s="84" t="str">
        <x:v>M12_BLOCK_流通判定</x:v>
      </x:c>
      <x:c r="AE49" s="84" t="str">
        <x:v>源头过旺无泄形成上游壅塞：按起点—桥梁—终点检查有效力量、连续性与承载；卡点为“源头过旺无泄”时，仅生成通关候选，不直接定用神。</x:v>
      </x:c>
      <x:c r="AF49" s="82" t="str">
        <x:v>较高</x:v>
      </x:c>
      <x:c r="AG49" s="82" t="str">
        <x:v>现代综合</x:v>
      </x:c>
      <x:c r="AH49" s="68" t="str">
        <x:v>流通判断以五行有效力量、生克顺序与十神功能为核心；古典依据可参照《滴天髓》《渊海子平》。 https://zh.wikisource.org/wiki/%E6%BB%B4%E5%A4%A9%E9%AB%93%E9%97%A1%E5%BE%AE https://zh.wikisource.org/zh-hans/%E6%B7%B5%E6%B5%B7%E5%AD%90%E5%B9%B3</x:v>
      </x:c>
      <x:c r="AI49" s="68" t="str">
        <x:v>当“源头强势聚集而无有效泄化通路”真实成立，且桥梁具备有效力量和连续作用条件时，可按“源头过旺无泄形成上游壅塞”记录。</x:v>
      </x:c>
      <x:c r="AJ49" s="90" t="str">
        <x:v>仅见表面缺失或五行相克，但未证明“源头强势聚集而无有效泄化通路”形成实际阻断时，不得套用“源头过旺无泄形成上游壅塞”。</x:v>
      </x:c>
      <x:c r="AK49" s="82" t="str">
        <x:v>采用</x:v>
      </x:c>
      <x:c r="AL49" s="82" t="str">
        <x:v>初审</x:v>
      </x:c>
      <x:c r="AM49" s="87" t="n">
        <x:v>46255</x:v>
      </x:c>
    </x:row>
    <x:row r="50">
      <x:c r="A50" s="72" t="str">
        <x:f>IF(OR(C50="",D50=""),"",B50&amp;"-"&amp;UPPER(C50)&amp;"-"&amp;TEXT(D50,"0000")&amp;"-"&amp;E50)</x:f>
        <x:v>M12-BLOCK-0044-V1.0</x:v>
      </x:c>
      <x:c r="B50" s="74" t="str">
        <x:v>M12</x:v>
      </x:c>
      <x:c r="C50" s="74" t="str">
        <x:v>BLOCK</x:v>
      </x:c>
      <x:c r="D50" s="215" t="n">
        <x:v>44</x:v>
      </x:c>
      <x:c r="E50" s="74" t="str">
        <x:v>V1.0</x:v>
      </x:c>
      <x:c r="F50" s="68" t="str">
        <x:v>终点过弱导致力量无处落脚</x:v>
      </x:c>
      <x:c r="G50" s="82" t="str">
        <x:v>结构层</x:v>
      </x:c>
      <x:c r="H50" s="68" t="str">
        <x:v>五行生化路径</x:v>
      </x:c>
      <x:c r="I50" s="68" t="str">
        <x:v>强上游</x:v>
      </x:c>
      <x:c r="J50" s="68" t="str">
        <x:v>有效桥梁</x:v>
      </x:c>
      <x:c r="K50" s="68" t="str">
        <x:v>极弱终点</x:v>
      </x:c>
      <x:c r="L50" s="82" t="str">
        <x:v>待定</x:v>
      </x:c>
      <x:c r="M50" s="82" t="str">
        <x:v>待定</x:v>
      </x:c>
      <x:c r="N50" s="68" t="str">
        <x:v>待定</x:v>
      </x:c>
      <x:c r="O50" s="68" t="str">
        <x:v>待定</x:v>
      </x:c>
      <x:c r="P50" s="68" t="str">
        <x:v>待定</x:v>
      </x:c>
      <x:c r="Q50" s="82" t="str">
        <x:v>明显阻断</x:v>
      </x:c>
      <x:c r="R50" s="82" t="str">
        <x:v>终点过弱不能承载</x:v>
      </x:c>
      <x:c r="S50" s="68" t="str">
        <x:v>终点</x:v>
      </x:c>
      <x:c r="T50" s="68" t="str">
        <x:v>终点没有足够根气、透达或功能承接传入力量</x:v>
      </x:c>
      <x:c r="U50" s="68" t="str">
        <x:v>待定</x:v>
      </x:c>
      <x:c r="V50" s="68" t="str">
        <x:v>待定</x:v>
      </x:c>
      <x:c r="W50" s="90" t="str">
        <x:v>需检查对调候、格局、日主承载及其他通路的副作用</x:v>
      </x:c>
      <x:c r="X50" s="68" t="str">
        <x:v>M06关系效应、M08五行有效旺衰、M10十神功能与M11组合判断已完成</x:v>
      </x:c>
      <x:c r="Y50" s="68" t="str">
        <x:v>起点、桥梁、终点均按有效力量与实际作用路径判断</x:v>
      </x:c>
      <x:c r="Z50" s="68" t="str">
        <x:v>桥梁有根有源、透达、位置可达且不存在关键制约</x:v>
      </x:c>
      <x:c r="AA50" s="68" t="str">
        <x:v>桥梁失令、无根、受克、合绊、改性或同时被多路调用</x:v>
      </x:c>
      <x:c r="AB50" s="90" t="str">
        <x:v>不得仅因五行缺失、数量少或关系名称直接认定卡点或通关用神</x:v>
      </x:c>
      <x:c r="AC50" s="68" t="str">
        <x:v>若存在更短、更强或副作用更小的替代路径，应并列比较后再裁定</x:v>
      </x:c>
      <x:c r="AD50" s="84" t="str">
        <x:v>M12_BLOCK_流通判定</x:v>
      </x:c>
      <x:c r="AE50" s="84" t="str">
        <x:v>终点过弱导致力量无处落脚：按起点—桥梁—终点检查有效力量、连续性与承载；卡点为“终点过弱不能承载”时，仅生成通关候选，不直接定用神。</x:v>
      </x:c>
      <x:c r="AF50" s="82" t="str">
        <x:v>较高</x:v>
      </x:c>
      <x:c r="AG50" s="82" t="str">
        <x:v>现代综合</x:v>
      </x:c>
      <x:c r="AH50" s="68" t="str">
        <x:v>流通判断以五行有效力量、生克顺序与十神功能为核心；古典依据可参照《滴天髓》《渊海子平》。 https://zh.wikisource.org/wiki/%E6%BB%B4%E5%A4%A9%E9%AB%93%E9%97%A1%E5%BE%AE https://zh.wikisource.org/zh-hans/%E6%B7%B5%E6%B5%B7%E5%AD%90%E5%B9%B3</x:v>
      </x:c>
      <x:c r="AI50" s="68" t="str">
        <x:v>当“终点没有足够根气、透达或功能承接传入力量”真实成立，且桥梁具备有效力量和连续作用条件时，可按“终点过弱导致力量无处落脚”记录。</x:v>
      </x:c>
      <x:c r="AJ50" s="90" t="str">
        <x:v>仅见表面缺失或五行相克，但未证明“终点没有足够根气、透达或功能承接传入力量”形成实际阻断时，不得套用“终点过弱导致力量无处落脚”。</x:v>
      </x:c>
      <x:c r="AK50" s="82" t="str">
        <x:v>采用</x:v>
      </x:c>
      <x:c r="AL50" s="82" t="str">
        <x:v>初审</x:v>
      </x:c>
      <x:c r="AM50" s="87" t="n">
        <x:v>46255</x:v>
      </x:c>
    </x:row>
    <x:row r="51">
      <x:c r="A51" s="72" t="str">
        <x:f>IF(OR(C51="",D51=""),"",B51&amp;"-"&amp;UPPER(C51)&amp;"-"&amp;TEXT(D51,"0000")&amp;"-"&amp;E51)</x:f>
        <x:v>M12-BLOCK-0045-V1.0</x:v>
      </x:c>
      <x:c r="B51" s="74" t="str">
        <x:v>M12</x:v>
      </x:c>
      <x:c r="C51" s="74" t="str">
        <x:v>BLOCK</x:v>
      </x:c>
      <x:c r="D51" s="215" t="n">
        <x:v>45</x:v>
      </x:c>
      <x:c r="E51" s="74" t="str">
        <x:v>V1.0</x:v>
      </x:c>
      <x:c r="F51" s="68" t="str">
        <x:v>终点过旺反制形成逆向阻塞</x:v>
      </x:c>
      <x:c r="G51" s="82" t="str">
        <x:v>结构层</x:v>
      </x:c>
      <x:c r="H51" s="68" t="str">
        <x:v>五行生化路径</x:v>
      </x:c>
      <x:c r="I51" s="68" t="str">
        <x:v>上游</x:v>
      </x:c>
      <x:c r="J51" s="68" t="str">
        <x:v>桥梁</x:v>
      </x:c>
      <x:c r="K51" s="68" t="str">
        <x:v>极旺终点</x:v>
      </x:c>
      <x:c r="L51" s="82" t="str">
        <x:v>待定</x:v>
      </x:c>
      <x:c r="M51" s="82" t="str">
        <x:v>待定</x:v>
      </x:c>
      <x:c r="N51" s="68" t="str">
        <x:v>待定</x:v>
      </x:c>
      <x:c r="O51" s="68" t="str">
        <x:v>待定</x:v>
      </x:c>
      <x:c r="P51" s="68" t="str">
        <x:v>待定</x:v>
      </x:c>
      <x:c r="Q51" s="82" t="str">
        <x:v>局部阻塞</x:v>
      </x:c>
      <x:c r="R51" s="82" t="str">
        <x:v>终点过旺反制</x:v>
      </x:c>
      <x:c r="S51" s="68" t="str">
        <x:v>终点</x:v>
      </x:c>
      <x:c r="T51" s="68" t="str">
        <x:v>终点强势形成反克、争夺或回流，使传递不能按预期完成</x:v>
      </x:c>
      <x:c r="U51" s="68" t="str">
        <x:v>待定</x:v>
      </x:c>
      <x:c r="V51" s="68" t="str">
        <x:v>待定</x:v>
      </x:c>
      <x:c r="W51" s="90" t="str">
        <x:v>需检查对调候、格局、日主承载及其他通路的副作用</x:v>
      </x:c>
      <x:c r="X51" s="68" t="str">
        <x:v>M06关系效应、M08五行有效旺衰、M10十神功能与M11组合判断已完成</x:v>
      </x:c>
      <x:c r="Y51" s="68" t="str">
        <x:v>起点、桥梁、终点均按有效力量与实际作用路径判断</x:v>
      </x:c>
      <x:c r="Z51" s="68" t="str">
        <x:v>桥梁有根有源、透达、位置可达且不存在关键制约</x:v>
      </x:c>
      <x:c r="AA51" s="68" t="str">
        <x:v>桥梁失令、无根、受克、合绊、改性或同时被多路调用</x:v>
      </x:c>
      <x:c r="AB51" s="90" t="str">
        <x:v>不得仅因五行缺失、数量少或关系名称直接认定卡点或通关用神</x:v>
      </x:c>
      <x:c r="AC51" s="68" t="str">
        <x:v>若存在更短、更强或副作用更小的替代路径，应并列比较后再裁定</x:v>
      </x:c>
      <x:c r="AD51" s="84" t="str">
        <x:v>M12_BLOCK_流通判定</x:v>
      </x:c>
      <x:c r="AE51" s="84" t="str">
        <x:v>终点过旺反制形成逆向阻塞：按起点—桥梁—终点检查有效力量、连续性与承载；卡点为“终点过旺反制”时，仅生成通关候选，不直接定用神。</x:v>
      </x:c>
      <x:c r="AF51" s="82" t="str">
        <x:v>较高</x:v>
      </x:c>
      <x:c r="AG51" s="82" t="str">
        <x:v>现代综合</x:v>
      </x:c>
      <x:c r="AH51" s="68" t="str">
        <x:v>流通判断以五行有效力量、生克顺序与十神功能为核心；古典依据可参照《滴天髓》《渊海子平》。 https://zh.wikisource.org/wiki/%E6%BB%B4%E5%A4%A9%E9%AB%93%E9%97%A1%E5%BE%AE https://zh.wikisource.org/zh-hans/%E6%B7%B5%E6%B5%B7%E5%AD%90%E5%B9%B3</x:v>
      </x:c>
      <x:c r="AI51" s="68" t="str">
        <x:v>当“终点强势形成反克、争夺或回流，使传递不能按预期完成”真实成立，且桥梁具备有效力量和连续作用条件时，可按“终点过旺反制形成逆向阻塞”记录。</x:v>
      </x:c>
      <x:c r="AJ51" s="90" t="str">
        <x:v>仅见表面缺失或五行相克，但未证明“终点强势形成反克、争夺或回流，使传递不能按预期完成”形成实际阻断时，不得套用“终点过旺反制形成逆向阻塞”。</x:v>
      </x:c>
      <x:c r="AK51" s="82" t="str">
        <x:v>采用</x:v>
      </x:c>
      <x:c r="AL51" s="82" t="str">
        <x:v>初审</x:v>
      </x:c>
      <x:c r="AM51" s="87" t="n">
        <x:v>46255</x:v>
      </x:c>
    </x:row>
    <x:row r="52">
      <x:c r="A52" s="72" t="str">
        <x:f>IF(OR(C52="",D52=""),"",B52&amp;"-"&amp;UPPER(C52)&amp;"-"&amp;TEXT(D52,"0000")&amp;"-"&amp;E52)</x:f>
        <x:v>M12-BLOCK-0046-V1.0</x:v>
      </x:c>
      <x:c r="B52" s="74" t="str">
        <x:v>M12</x:v>
      </x:c>
      <x:c r="C52" s="74" t="str">
        <x:v>BLOCK</x:v>
      </x:c>
      <x:c r="D52" s="215" t="n">
        <x:v>46</x:v>
      </x:c>
      <x:c r="E52" s="74" t="str">
        <x:v>V1.0</x:v>
      </x:c>
      <x:c r="F52" s="68" t="str">
        <x:v>两强相战且无桥梁时形成直接冲突</x:v>
      </x:c>
      <x:c r="G52" s="82" t="str">
        <x:v>结构层</x:v>
      </x:c>
      <x:c r="H52" s="68" t="str">
        <x:v>五行克战通关</x:v>
      </x:c>
      <x:c r="I52" s="68" t="str">
        <x:v>强克方</x:v>
      </x:c>
      <x:c r="J52" s="68" t="str">
        <x:v>缺失或无效通关五行</x:v>
      </x:c>
      <x:c r="K52" s="68" t="str">
        <x:v>被克强方</x:v>
      </x:c>
      <x:c r="L52" s="82" t="str">
        <x:v>旺</x:v>
      </x:c>
      <x:c r="M52" s="82" t="str">
        <x:v>极弱</x:v>
      </x:c>
      <x:c r="N52" s="68" t="str">
        <x:v>待定</x:v>
      </x:c>
      <x:c r="O52" s="68" t="str">
        <x:v>待定</x:v>
      </x:c>
      <x:c r="P52" s="68" t="str">
        <x:v>待定</x:v>
      </x:c>
      <x:c r="Q52" s="82" t="str">
        <x:v>明显阻断</x:v>
      </x:c>
      <x:c r="R52" s="82" t="str">
        <x:v>两强相战</x:v>
      </x:c>
      <x:c r="S52" s="68" t="str">
        <x:v>双方之间</x:v>
      </x:c>
      <x:c r="T52" s="68" t="str">
        <x:v>克与被克双方均有力，且中间不存在有效泄化桥梁</x:v>
      </x:c>
      <x:c r="U52" s="68" t="str">
        <x:v>待定</x:v>
      </x:c>
      <x:c r="V52" s="68" t="str">
        <x:v>待定</x:v>
      </x:c>
      <x:c r="W52" s="90" t="str">
        <x:v>需检查对调候、格局、日主承载及其他通路的副作用</x:v>
      </x:c>
      <x:c r="X52" s="68" t="str">
        <x:v>M06关系效应、M08五行有效旺衰、M10十神功能与M11组合判断已完成</x:v>
      </x:c>
      <x:c r="Y52" s="68" t="str">
        <x:v>起点、桥梁、终点均按有效力量与实际作用路径判断</x:v>
      </x:c>
      <x:c r="Z52" s="68" t="str">
        <x:v>桥梁有根有源、透达、位置可达且不存在关键制约</x:v>
      </x:c>
      <x:c r="AA52" s="68" t="str">
        <x:v>桥梁失令、无根、受克、合绊、改性或同时被多路调用</x:v>
      </x:c>
      <x:c r="AB52" s="90" t="str">
        <x:v>不得仅因五行缺失、数量少或关系名称直接认定卡点或通关用神</x:v>
      </x:c>
      <x:c r="AC52" s="68" t="str">
        <x:v>若存在更短、更强或副作用更小的替代路径，应并列比较后再裁定</x:v>
      </x:c>
      <x:c r="AD52" s="84" t="str">
        <x:v>M12_BLOCK_流通判定</x:v>
      </x:c>
      <x:c r="AE52" s="84" t="str">
        <x:v>两强相战且无桥梁时形成直接冲突：按起点—桥梁—终点检查有效力量、连续性与承载；卡点为“两强相战”时，仅生成通关候选，不直接定用神。</x:v>
      </x:c>
      <x:c r="AF52" s="82" t="str">
        <x:v>较高</x:v>
      </x:c>
      <x:c r="AG52" s="82" t="str">
        <x:v>现代综合</x:v>
      </x:c>
      <x:c r="AH52" s="68" t="str">
        <x:v>流通判断以五行有效力量、生克顺序与十神功能为核心；古典依据可参照《滴天髓》《渊海子平》。 https://zh.wikisource.org/wiki/%E6%BB%B4%E5%A4%A9%E9%AB%93%E9%97%A1%E5%BE%AE https://zh.wikisource.org/zh-hans/%E6%B7%B5%E6%B5%B7%E5%AD%90%E5%B9%B3</x:v>
      </x:c>
      <x:c r="AI52" s="68" t="str">
        <x:v>当“克与被克双方均有力，且中间不存在有效泄化桥梁”真实成立，且桥梁具备有效力量和连续作用条件时，可按“两强相战且无桥梁时形成直接冲突”记录。</x:v>
      </x:c>
      <x:c r="AJ52" s="90" t="str">
        <x:v>仅见表面缺失或五行相克，但未证明“克与被克双方均有力，且中间不存在有效泄化桥梁”形成实际阻断时，不得套用“两强相战且无桥梁时形成直接冲突”。</x:v>
      </x:c>
      <x:c r="AK52" s="82" t="str">
        <x:v>采用</x:v>
      </x:c>
      <x:c r="AL52" s="82" t="str">
        <x:v>初审</x:v>
      </x:c>
      <x:c r="AM52" s="87" t="n">
        <x:v>46255</x:v>
      </x:c>
    </x:row>
    <x:row r="53">
      <x:c r="A53" s="72" t="str">
        <x:f>IF(OR(C53="",D53=""),"",B53&amp;"-"&amp;UPPER(C53)&amp;"-"&amp;TEXT(D53,"0000")&amp;"-"&amp;E53)</x:f>
        <x:v>M12-BLOCK-0047-V1.0</x:v>
      </x:c>
      <x:c r="B53" s="74" t="str">
        <x:v>M12</x:v>
      </x:c>
      <x:c r="C53" s="74" t="str">
        <x:v>BLOCK</x:v>
      </x:c>
      <x:c r="D53" s="215" t="n">
        <x:v>47</x:v>
      </x:c>
      <x:c r="E53" s="74" t="str">
        <x:v>V1.0</x:v>
      </x:c>
      <x:c r="F53" s="68" t="str">
        <x:v>寒凝会使原本存在的生化链效率下降</x:v>
      </x:c>
      <x:c r="G53" s="82" t="str">
        <x:v>结构层</x:v>
      </x:c>
      <x:c r="H53" s="68" t="str">
        <x:v>五行生化路径</x:v>
      </x:c>
      <x:c r="I53" s="68" t="str">
        <x:v>寒局源头</x:v>
      </x:c>
      <x:c r="J53" s="68" t="str">
        <x:v>受寒凝关键五行</x:v>
      </x:c>
      <x:c r="K53" s="68" t="str">
        <x:v>下游</x:v>
      </x:c>
      <x:c r="L53" s="82" t="str">
        <x:v>待定</x:v>
      </x:c>
      <x:c r="M53" s="82" t="str">
        <x:v>待定</x:v>
      </x:c>
      <x:c r="N53" s="68" t="str">
        <x:v>待定</x:v>
      </x:c>
      <x:c r="O53" s="68" t="str">
        <x:v>待定</x:v>
      </x:c>
      <x:c r="P53" s="68" t="str">
        <x:v>待定</x:v>
      </x:c>
      <x:c r="Q53" s="82" t="str">
        <x:v>局部阻塞</x:v>
      </x:c>
      <x:c r="R53" s="82" t="str">
        <x:v>寒凝</x:v>
      </x:c>
      <x:c r="S53" s="68" t="str">
        <x:v>关键节点</x:v>
      </x:c>
      <x:c r="T53" s="68" t="str">
        <x:v>低温状态使关键五行难以生发、蒸腾、化泄或流动</x:v>
      </x:c>
      <x:c r="U53" s="68" t="str">
        <x:v>火</x:v>
      </x:c>
      <x:c r="V53" s="68" t="str">
        <x:v>M13确认火能暖局且不破坏更高优先级结构</x:v>
      </x:c>
      <x:c r="W53" s="90" t="str">
        <x:v>需检查对调候、格局、日主承载及其他通路的副作用</x:v>
      </x:c>
      <x:c r="X53" s="68" t="str">
        <x:v>M06关系效应、M08五行有效旺衰、M10十神功能与M11组合判断已完成</x:v>
      </x:c>
      <x:c r="Y53" s="68" t="str">
        <x:v>起点、桥梁、终点均按有效力量与实际作用路径判断</x:v>
      </x:c>
      <x:c r="Z53" s="68" t="str">
        <x:v>桥梁有根有源、透达、位置可达且不存在关键制约</x:v>
      </x:c>
      <x:c r="AA53" s="68" t="str">
        <x:v>桥梁失令、无根、受克、合绊、改性或同时被多路调用</x:v>
      </x:c>
      <x:c r="AB53" s="90" t="str">
        <x:v>不得仅因五行缺失、数量少或关系名称直接认定卡点或通关用神</x:v>
      </x:c>
      <x:c r="AC53" s="68" t="str">
        <x:v>若存在更短、更强或副作用更小的替代路径，应并列比较后再裁定</x:v>
      </x:c>
      <x:c r="AD53" s="84" t="str">
        <x:v>M12_BLOCK_流通判定</x:v>
      </x:c>
      <x:c r="AE53" s="84" t="str">
        <x:v>寒凝会使原本存在的生化链效率下降：按起点—桥梁—终点检查有效力量、连续性与承载；卡点为“寒凝”时，仅生成通关候选，不直接定用神。</x:v>
      </x:c>
      <x:c r="AF53" s="82" t="str">
        <x:v>较高</x:v>
      </x:c>
      <x:c r="AG53" s="82" t="str">
        <x:v>现代综合</x:v>
      </x:c>
      <x:c r="AH53" s="68" t="str">
        <x:v>流通判断以五行有效力量、生克顺序与十神功能为核心；古典依据可参照《滴天髓》《渊海子平》。 https://zh.wikisource.org/wiki/%E6%BB%B4%E5%A4%A9%E9%AB%93%E9%97%A1%E5%BE%AE https://zh.wikisource.org/zh-hans/%E6%B7%B5%E6%B5%B7%E5%AD%90%E5%B9%B3</x:v>
      </x:c>
      <x:c r="AI53" s="68" t="str">
        <x:v>当“低温状态使关键五行难以生发、蒸腾、化泄或流动”真实成立，且桥梁具备有效力量和连续作用条件时，可按“寒凝会使原本存在的生化链效率下降”记录。</x:v>
      </x:c>
      <x:c r="AJ53" s="90" t="str">
        <x:v>仅见表面缺失或五行相克，但未证明“低温状态使关键五行难以生发、蒸腾、化泄或流动”形成实际阻断时，不得套用“寒凝会使原本存在的生化链效率下降”。</x:v>
      </x:c>
      <x:c r="AK53" s="82" t="str">
        <x:v>采用</x:v>
      </x:c>
      <x:c r="AL53" s="82" t="str">
        <x:v>初审</x:v>
      </x:c>
      <x:c r="AM53" s="87" t="n">
        <x:v>46255</x:v>
      </x:c>
    </x:row>
    <x:row r="54">
      <x:c r="A54" s="72" t="str">
        <x:f>IF(OR(C54="",D54=""),"",B54&amp;"-"&amp;UPPER(C54)&amp;"-"&amp;TEXT(D54,"0000")&amp;"-"&amp;E54)</x:f>
        <x:v>M12-BLOCK-0048-V1.0</x:v>
      </x:c>
      <x:c r="B54" s="74" t="str">
        <x:v>M12</x:v>
      </x:c>
      <x:c r="C54" s="74" t="str">
        <x:v>BLOCK</x:v>
      </x:c>
      <x:c r="D54" s="215" t="n">
        <x:v>48</x:v>
      </x:c>
      <x:c r="E54" s="74" t="str">
        <x:v>V1.0</x:v>
      </x:c>
      <x:c r="F54" s="68" t="str">
        <x:v>燥枯会使原本存在的生化链失去润泽</x:v>
      </x:c>
      <x:c r="G54" s="82" t="str">
        <x:v>结构层</x:v>
      </x:c>
      <x:c r="H54" s="68" t="str">
        <x:v>五行生化路径</x:v>
      </x:c>
      <x:c r="I54" s="68" t="str">
        <x:v>燥局源头</x:v>
      </x:c>
      <x:c r="J54" s="68" t="str">
        <x:v>受燥枯关键五行</x:v>
      </x:c>
      <x:c r="K54" s="68" t="str">
        <x:v>下游</x:v>
      </x:c>
      <x:c r="L54" s="82" t="str">
        <x:v>待定</x:v>
      </x:c>
      <x:c r="M54" s="82" t="str">
        <x:v>待定</x:v>
      </x:c>
      <x:c r="N54" s="68" t="str">
        <x:v>待定</x:v>
      </x:c>
      <x:c r="O54" s="68" t="str">
        <x:v>待定</x:v>
      </x:c>
      <x:c r="P54" s="68" t="str">
        <x:v>待定</x:v>
      </x:c>
      <x:c r="Q54" s="82" t="str">
        <x:v>局部阻塞</x:v>
      </x:c>
      <x:c r="R54" s="82" t="str">
        <x:v>燥枯</x:v>
      </x:c>
      <x:c r="S54" s="68" t="str">
        <x:v>关键节点</x:v>
      </x:c>
      <x:c r="T54" s="68" t="str">
        <x:v>高燥状态使关键五行失去持续生发、润泽或承接能力</x:v>
      </x:c>
      <x:c r="U54" s="68" t="str">
        <x:v>水</x:v>
      </x:c>
      <x:c r="V54" s="68" t="str">
        <x:v>M13确认水可润燥且无寒湿过度副作用</x:v>
      </x:c>
      <x:c r="W54" s="90" t="str">
        <x:v>需检查对调候、格局、日主承载及其他通路的副作用</x:v>
      </x:c>
      <x:c r="X54" s="68" t="str">
        <x:v>M06关系效应、M08五行有效旺衰、M10十神功能与M11组合判断已完成</x:v>
      </x:c>
      <x:c r="Y54" s="68" t="str">
        <x:v>起点、桥梁、终点均按有效力量与实际作用路径判断</x:v>
      </x:c>
      <x:c r="Z54" s="68" t="str">
        <x:v>桥梁有根有源、透达、位置可达且不存在关键制约</x:v>
      </x:c>
      <x:c r="AA54" s="68" t="str">
        <x:v>桥梁失令、无根、受克、合绊、改性或同时被多路调用</x:v>
      </x:c>
      <x:c r="AB54" s="90" t="str">
        <x:v>不得仅因五行缺失、数量少或关系名称直接认定卡点或通关用神</x:v>
      </x:c>
      <x:c r="AC54" s="68" t="str">
        <x:v>若存在更短、更强或副作用更小的替代路径，应并列比较后再裁定</x:v>
      </x:c>
      <x:c r="AD54" s="84" t="str">
        <x:v>M12_BLOCK_流通判定</x:v>
      </x:c>
      <x:c r="AE54" s="84" t="str">
        <x:v>燥枯会使原本存在的生化链失去润泽：按起点—桥梁—终点检查有效力量、连续性与承载；卡点为“燥枯”时，仅生成通关候选，不直接定用神。</x:v>
      </x:c>
      <x:c r="AF54" s="82" t="str">
        <x:v>较高</x:v>
      </x:c>
      <x:c r="AG54" s="82" t="str">
        <x:v>现代综合</x:v>
      </x:c>
      <x:c r="AH54" s="68" t="str">
        <x:v>流通判断以五行有效力量、生克顺序与十神功能为核心；古典依据可参照《滴天髓》《渊海子平》。 https://zh.wikisource.org/wiki/%E6%BB%B4%E5%A4%A9%E9%AB%93%E9%97%A1%E5%BE%AE https://zh.wikisource.org/zh-hans/%E6%B7%B5%E6%B5%B7%E5%AD%90%E5%B9%B3</x:v>
      </x:c>
      <x:c r="AI54" s="68" t="str">
        <x:v>当“高燥状态使关键五行失去持续生发、润泽或承接能力”真实成立，且桥梁具备有效力量和连续作用条件时，可按“燥枯会使原本存在的生化链失去润泽”记录。</x:v>
      </x:c>
      <x:c r="AJ54" s="90" t="str">
        <x:v>仅见表面缺失或五行相克，但未证明“高燥状态使关键五行失去持续生发、润泽或承接能力”形成实际阻断时，不得套用“燥枯会使原本存在的生化链失去润泽”。</x:v>
      </x:c>
      <x:c r="AK54" s="82" t="str">
        <x:v>采用</x:v>
      </x:c>
      <x:c r="AL54" s="82" t="str">
        <x:v>初审</x:v>
      </x:c>
      <x:c r="AM54" s="87" t="n">
        <x:v>46255</x:v>
      </x:c>
    </x:row>
    <x:row r="55">
      <x:c r="A55" s="72" t="str">
        <x:f>IF(OR(C55="",D55=""),"",B55&amp;"-"&amp;UPPER(C55)&amp;"-"&amp;TEXT(D55,"0000")&amp;"-"&amp;E55)</x:f>
        <x:v>M12-BLOCK-0049-V1.0</x:v>
      </x:c>
      <x:c r="B55" s="74" t="str">
        <x:v>M12</x:v>
      </x:c>
      <x:c r="C55" s="74" t="str">
        <x:v>BLOCK</x:v>
      </x:c>
      <x:c r="D55" s="215" t="n">
        <x:v>49</x:v>
      </x:c>
      <x:c r="E55" s="74" t="str">
        <x:v>V1.0</x:v>
      </x:c>
      <x:c r="F55" s="68" t="str">
        <x:v>链路过长会导致末端获得的有效力量递减</x:v>
      </x:c>
      <x:c r="G55" s="82" t="str">
        <x:v>结构层</x:v>
      </x:c>
      <x:c r="H55" s="68" t="str">
        <x:v>五行生化路径</x:v>
      </x:c>
      <x:c r="I55" s="68" t="str">
        <x:v>远端源头</x:v>
      </x:c>
      <x:c r="J55" s="68" t="str">
        <x:v>两层以上中间节点</x:v>
      </x:c>
      <x:c r="K55" s="68" t="str">
        <x:v>末端</x:v>
      </x:c>
      <x:c r="L55" s="82" t="str">
        <x:v>待定</x:v>
      </x:c>
      <x:c r="M55" s="82" t="str">
        <x:v>待定</x:v>
      </x:c>
      <x:c r="N55" s="68" t="str">
        <x:v>待定</x:v>
      </x:c>
      <x:c r="O55" s="68" t="str">
        <x:v>待定</x:v>
      </x:c>
      <x:c r="P55" s="68" t="str">
        <x:v>待定</x:v>
      </x:c>
      <x:c r="Q55" s="82" t="str">
        <x:v>局部阻塞</x:v>
      </x:c>
      <x:c r="R55" s="82" t="str">
        <x:v>链路过长</x:v>
      </x:c>
      <x:c r="S55" s="68" t="str">
        <x:v>整条路径</x:v>
      </x:c>
      <x:c r="T55" s="68" t="str">
        <x:v>每经过一层都需要中间节点自身有效并承担传递成本</x:v>
      </x:c>
      <x:c r="U55" s="68" t="str">
        <x:v>待定</x:v>
      </x:c>
      <x:c r="V55" s="68" t="str">
        <x:v>待定</x:v>
      </x:c>
      <x:c r="W55" s="90" t="str">
        <x:v>需检查对调候、格局、日主承载及其他通路的副作用</x:v>
      </x:c>
      <x:c r="X55" s="68" t="str">
        <x:v>M06关系效应、M08五行有效旺衰、M10十神功能与M11组合判断已完成</x:v>
      </x:c>
      <x:c r="Y55" s="68" t="str">
        <x:v>起点、桥梁、终点均按有效力量与实际作用路径判断</x:v>
      </x:c>
      <x:c r="Z55" s="68" t="str">
        <x:v>桥梁有根有源、透达、位置可达且不存在关键制约</x:v>
      </x:c>
      <x:c r="AA55" s="68" t="str">
        <x:v>桥梁失令、无根、受克、合绊、改性或同时被多路调用</x:v>
      </x:c>
      <x:c r="AB55" s="90" t="str">
        <x:v>不得仅因五行缺失、数量少或关系名称直接认定卡点或通关用神</x:v>
      </x:c>
      <x:c r="AC55" s="68" t="str">
        <x:v>若存在更短、更强或副作用更小的替代路径，应并列比较后再裁定</x:v>
      </x:c>
      <x:c r="AD55" s="84" t="str">
        <x:v>M12_BLOCK_流通判定</x:v>
      </x:c>
      <x:c r="AE55" s="84" t="str">
        <x:v>链路过长会导致末端获得的有效力量递减：按起点—桥梁—终点检查有效力量、连续性与承载；卡点为“链路过长”时，仅生成通关候选，不直接定用神。</x:v>
      </x:c>
      <x:c r="AF55" s="82" t="str">
        <x:v>较高</x:v>
      </x:c>
      <x:c r="AG55" s="82" t="str">
        <x:v>现代综合</x:v>
      </x:c>
      <x:c r="AH55" s="68" t="str">
        <x:v>流通判断以五行有效力量、生克顺序与十神功能为核心；古典依据可参照《滴天髓》《渊海子平》。 https://zh.wikisource.org/wiki/%E6%BB%B4%E5%A4%A9%E9%AB%93%E9%97%A1%E5%BE%AE https://zh.wikisource.org/zh-hans/%E6%B7%B5%E6%B5%B7%E5%AD%90%E5%B9%B3</x:v>
      </x:c>
      <x:c r="AI55" s="68" t="str">
        <x:v>当“每经过一层都需要中间节点自身有效并承担传递成本”真实成立，且桥梁具备有效力量和连续作用条件时，可按“链路过长会导致末端获得的有效力量递减”记录。</x:v>
      </x:c>
      <x:c r="AJ55" s="90" t="str">
        <x:v>仅见表面缺失或五行相克，但未证明“每经过一层都需要中间节点自身有效并承担传递成本”形成实际阻断时，不得套用“链路过长会导致末端获得的有效力量递减”。</x:v>
      </x:c>
      <x:c r="AK55" s="82" t="str">
        <x:v>采用</x:v>
      </x:c>
      <x:c r="AL55" s="82" t="str">
        <x:v>初审</x:v>
      </x:c>
      <x:c r="AM55" s="87" t="n">
        <x:v>46255</x:v>
      </x:c>
    </x:row>
    <x:row r="56">
      <x:c r="A56" s="72" t="str">
        <x:f>IF(OR(C56="",D56=""),"",B56&amp;"-"&amp;UPPER(C56)&amp;"-"&amp;TEXT(D56,"0000")&amp;"-"&amp;E56)</x:f>
        <x:v>M12-BLOCK-0050-V1.0</x:v>
      </x:c>
      <x:c r="B56" s="74" t="str">
        <x:v>M12</x:v>
      </x:c>
      <x:c r="C56" s="74" t="str">
        <x:v>BLOCK</x:v>
      </x:c>
      <x:c r="D56" s="215" t="n">
        <x:v>50</x:v>
      </x:c>
      <x:c r="E56" s="74" t="str">
        <x:v>V1.0</x:v>
      </x:c>
      <x:c r="F56" s="68" t="str">
        <x:v>回流壅塞表现为力量在局部反复循环而不能外泄</x:v>
      </x:c>
      <x:c r="G56" s="82" t="str">
        <x:v>结构层</x:v>
      </x:c>
      <x:c r="H56" s="68" t="str">
        <x:v>五行生化路径</x:v>
      </x:c>
      <x:c r="I56" s="68" t="str">
        <x:v>强源头</x:v>
      </x:c>
      <x:c r="J56" s="68" t="str">
        <x:v>强中间节点</x:v>
      </x:c>
      <x:c r="K56" s="68" t="str">
        <x:v>又返回原集团的节点</x:v>
      </x:c>
      <x:c r="L56" s="82" t="str">
        <x:v>待定</x:v>
      </x:c>
      <x:c r="M56" s="82" t="str">
        <x:v>待定</x:v>
      </x:c>
      <x:c r="N56" s="68" t="str">
        <x:v>待定</x:v>
      </x:c>
      <x:c r="O56" s="68" t="str">
        <x:v>待定</x:v>
      </x:c>
      <x:c r="P56" s="68" t="str">
        <x:v>待定</x:v>
      </x:c>
      <x:c r="Q56" s="82" t="str">
        <x:v>局部阻塞</x:v>
      </x:c>
      <x:c r="R56" s="82" t="str">
        <x:v>回流壅塞</x:v>
      </x:c>
      <x:c r="S56" s="68" t="str">
        <x:v>循环节点</x:v>
      </x:c>
      <x:c r="T56" s="68" t="str">
        <x:v>生化关系形成内部循环，缺乏有效外泄终点</x:v>
      </x:c>
      <x:c r="U56" s="68" t="str">
        <x:v>待定</x:v>
      </x:c>
      <x:c r="V56" s="68" t="str">
        <x:v>待定</x:v>
      </x:c>
      <x:c r="W56" s="90" t="str">
        <x:v>需检查对调候、格局、日主承载及其他通路的副作用</x:v>
      </x:c>
      <x:c r="X56" s="68" t="str">
        <x:v>M06关系效应、M08五行有效旺衰、M10十神功能与M11组合判断已完成</x:v>
      </x:c>
      <x:c r="Y56" s="68" t="str">
        <x:v>起点、桥梁、终点均按有效力量与实际作用路径判断</x:v>
      </x:c>
      <x:c r="Z56" s="68" t="str">
        <x:v>桥梁有根有源、透达、位置可达且不存在关键制约</x:v>
      </x:c>
      <x:c r="AA56" s="68" t="str">
        <x:v>桥梁失令、无根、受克、合绊、改性或同时被多路调用</x:v>
      </x:c>
      <x:c r="AB56" s="90" t="str">
        <x:v>不得仅因五行缺失、数量少或关系名称直接认定卡点或通关用神</x:v>
      </x:c>
      <x:c r="AC56" s="68" t="str">
        <x:v>若存在更短、更强或副作用更小的替代路径，应并列比较后再裁定</x:v>
      </x:c>
      <x:c r="AD56" s="84" t="str">
        <x:v>M12_BLOCK_流通判定</x:v>
      </x:c>
      <x:c r="AE56" s="84" t="str">
        <x:v>回流壅塞表现为力量在局部反复循环而不能外泄：按起点—桥梁—终点检查有效力量、连续性与承载；卡点为“回流壅塞”时，仅生成通关候选，不直接定用神。</x:v>
      </x:c>
      <x:c r="AF56" s="82" t="str">
        <x:v>较高</x:v>
      </x:c>
      <x:c r="AG56" s="82" t="str">
        <x:v>现代综合</x:v>
      </x:c>
      <x:c r="AH56" s="68" t="str">
        <x:v>流通判断以五行有效力量、生克顺序与十神功能为核心；古典依据可参照《滴天髓》《渊海子平》。 https://zh.wikisource.org/wiki/%E6%BB%B4%E5%A4%A9%E9%AB%93%E9%97%A1%E5%BE%AE https://zh.wikisource.org/zh-hans/%E6%B7%B5%E6%B5%B7%E5%AD%90%E5%B9%B3</x:v>
      </x:c>
      <x:c r="AI56" s="68" t="str">
        <x:v>当“生化关系形成内部循环，缺乏有效外泄终点”真实成立，且桥梁具备有效力量和连续作用条件时，可按“回流壅塞表现为力量在局部反复循环而不能外泄”记录。</x:v>
      </x:c>
      <x:c r="AJ56" s="90" t="str">
        <x:v>仅见表面缺失或五行相克，但未证明“生化关系形成内部循环，缺乏有效外泄终点”形成实际阻断时，不得套用“回流壅塞表现为力量在局部反复循环而不能外泄”。</x:v>
      </x:c>
      <x:c r="AK56" s="82" t="str">
        <x:v>采用</x:v>
      </x:c>
      <x:c r="AL56" s="82" t="str">
        <x:v>初审</x:v>
      </x:c>
      <x:c r="AM56" s="87" t="n">
        <x:v>46255</x:v>
      </x:c>
    </x:row>
    <x:row r="57">
      <x:c r="A57" s="72" t="str">
        <x:f>IF(OR(C57="",D57=""),"",B57&amp;"-"&amp;UPPER(C57)&amp;"-"&amp;TEXT(D57,"0000")&amp;"-"&amp;E57)</x:f>
        <x:v>M12-BLOCK-0051-V1.0</x:v>
      </x:c>
      <x:c r="B57" s="74" t="str">
        <x:v>M12</x:v>
      </x:c>
      <x:c r="C57" s="74" t="str">
        <x:v>BLOCK</x:v>
      </x:c>
      <x:c r="D57" s="215" t="n">
        <x:v>51</x:v>
      </x:c>
      <x:c r="E57" s="74" t="str">
        <x:v>V1.0</x:v>
      </x:c>
      <x:c r="F57" s="68" t="str">
        <x:v>桥梁被改性会造成路径方向突变</x:v>
      </x:c>
      <x:c r="G57" s="82" t="str">
        <x:v>结构层</x:v>
      </x:c>
      <x:c r="H57" s="68" t="str">
        <x:v>五行生化路径</x:v>
      </x:c>
      <x:c r="I57" s="68" t="str">
        <x:v>原上游</x:v>
      </x:c>
      <x:c r="J57" s="68" t="str">
        <x:v>合化或会局改性的桥梁</x:v>
      </x:c>
      <x:c r="K57" s="68" t="str">
        <x:v>原下游</x:v>
      </x:c>
      <x:c r="L57" s="82" t="str">
        <x:v>待定</x:v>
      </x:c>
      <x:c r="M57" s="82" t="str">
        <x:v>待定</x:v>
      </x:c>
      <x:c r="N57" s="68" t="str">
        <x:v>待定</x:v>
      </x:c>
      <x:c r="O57" s="68" t="str">
        <x:v>待定</x:v>
      </x:c>
      <x:c r="P57" s="68" t="str">
        <x:v>待定</x:v>
      </x:c>
      <x:c r="Q57" s="82" t="str">
        <x:v>无有效路径</x:v>
      </x:c>
      <x:c r="R57" s="82" t="str">
        <x:v>其他</x:v>
      </x:c>
      <x:c r="S57" s="68" t="str">
        <x:v>桥梁</x:v>
      </x:c>
      <x:c r="T57" s="68" t="str">
        <x:v>桥梁五行属性改变，原来生克关系被替换</x:v>
      </x:c>
      <x:c r="U57" s="68" t="str">
        <x:v>待定</x:v>
      </x:c>
      <x:c r="V57" s="68" t="str">
        <x:v>待定</x:v>
      </x:c>
      <x:c r="W57" s="90" t="str">
        <x:v>需检查对调候、格局、日主承载及其他通路的副作用</x:v>
      </x:c>
      <x:c r="X57" s="68" t="str">
        <x:v>M06关系效应、M08五行有效旺衰、M10十神功能与M11组合判断已完成</x:v>
      </x:c>
      <x:c r="Y57" s="68" t="str">
        <x:v>起点、桥梁、终点均按有效力量与实际作用路径判断</x:v>
      </x:c>
      <x:c r="Z57" s="68" t="str">
        <x:v>桥梁有根有源、透达、位置可达且不存在关键制约</x:v>
      </x:c>
      <x:c r="AA57" s="68" t="str">
        <x:v>桥梁失令、无根、受克、合绊、改性或同时被多路调用</x:v>
      </x:c>
      <x:c r="AB57" s="90" t="str">
        <x:v>不得仅因五行缺失、数量少或关系名称直接认定卡点或通关用神</x:v>
      </x:c>
      <x:c r="AC57" s="68" t="str">
        <x:v>若存在更短、更强或副作用更小的替代路径，应并列比较后再裁定</x:v>
      </x:c>
      <x:c r="AD57" s="84" t="str">
        <x:v>M12_BLOCK_流通判定</x:v>
      </x:c>
      <x:c r="AE57" s="84" t="str">
        <x:v>桥梁被改性会造成路径方向突变：按起点—桥梁—终点检查有效力量、连续性与承载；卡点为“其他”时，仅生成通关候选，不直接定用神。</x:v>
      </x:c>
      <x:c r="AF57" s="82" t="str">
        <x:v>较高</x:v>
      </x:c>
      <x:c r="AG57" s="82" t="str">
        <x:v>现代综合</x:v>
      </x:c>
      <x:c r="AH57" s="68" t="str">
        <x:v>流通判断以五行有效力量、生克顺序与十神功能为核心；古典依据可参照《滴天髓》《渊海子平》。 https://zh.wikisource.org/wiki/%E6%BB%B4%E5%A4%A9%E9%AB%93%E9%97%A1%E5%BE%AE https://zh.wikisource.org/zh-hans/%E6%B7%B5%E6%B5%B7%E5%AD%90%E5%B9%B3</x:v>
      </x:c>
      <x:c r="AI57" s="68" t="str">
        <x:v>当“桥梁五行属性改变，原来生克关系被替换”真实成立，且桥梁具备有效力量和连续作用条件时，可按“桥梁被改性会造成路径方向突变”记录。</x:v>
      </x:c>
      <x:c r="AJ57" s="90" t="str">
        <x:v>仅见表面缺失或五行相克，但未证明“桥梁五行属性改变，原来生克关系被替换”形成实际阻断时，不得套用“桥梁被改性会造成路径方向突变”。</x:v>
      </x:c>
      <x:c r="AK57" s="82" t="str">
        <x:v>采用</x:v>
      </x:c>
      <x:c r="AL57" s="82" t="str">
        <x:v>初审</x:v>
      </x:c>
      <x:c r="AM57" s="87" t="n">
        <x:v>46255</x:v>
      </x:c>
    </x:row>
    <x:row r="58">
      <x:c r="A58" s="72" t="str">
        <x:f>IF(OR(C58="",D58=""),"",B58&amp;"-"&amp;UPPER(C58)&amp;"-"&amp;TEXT(D58,"0000")&amp;"-"&amp;E58)</x:f>
        <x:v>M12-BLOCK-0052-V1.0</x:v>
      </x:c>
      <x:c r="B58" s="74" t="str">
        <x:v>M12</x:v>
      </x:c>
      <x:c r="C58" s="74" t="str">
        <x:v>BLOCK</x:v>
      </x:c>
      <x:c r="D58" s="215" t="n">
        <x:v>52</x:v>
      </x:c>
      <x:c r="E58" s="74" t="str">
        <x:v>V1.0</x:v>
      </x:c>
      <x:c r="F58" s="68" t="str">
        <x:v>共享桥梁过载会形成路径竞争</x:v>
      </x:c>
      <x:c r="G58" s="82" t="str">
        <x:v>结构层</x:v>
      </x:c>
      <x:c r="H58" s="68" t="str">
        <x:v>五行生化路径</x:v>
      </x:c>
      <x:c r="I58" s="68" t="str">
        <x:v>两个以上上游</x:v>
      </x:c>
      <x:c r="J58" s="68" t="str">
        <x:v>同一中等桥梁</x:v>
      </x:c>
      <x:c r="K58" s="68" t="str">
        <x:v>不同终点</x:v>
      </x:c>
      <x:c r="L58" s="82" t="str">
        <x:v>待定</x:v>
      </x:c>
      <x:c r="M58" s="82" t="str">
        <x:v>待定</x:v>
      </x:c>
      <x:c r="N58" s="68" t="str">
        <x:v>待定</x:v>
      </x:c>
      <x:c r="O58" s="68" t="str">
        <x:v>待定</x:v>
      </x:c>
      <x:c r="P58" s="68" t="str">
        <x:v>待定</x:v>
      </x:c>
      <x:c r="Q58" s="82" t="str">
        <x:v>局部阻塞</x:v>
      </x:c>
      <x:c r="R58" s="82" t="str">
        <x:v>桥梁太弱</x:v>
      </x:c>
      <x:c r="S58" s="68" t="str">
        <x:v>桥梁</x:v>
      </x:c>
      <x:c r="T58" s="68" t="str">
        <x:v>桥梁有效力量不足以同时服务多条高强度路径</x:v>
      </x:c>
      <x:c r="U58" s="68" t="str">
        <x:v>待定</x:v>
      </x:c>
      <x:c r="V58" s="68" t="str">
        <x:v>待定</x:v>
      </x:c>
      <x:c r="W58" s="90" t="str">
        <x:v>需检查对调候、格局、日主承载及其他通路的副作用</x:v>
      </x:c>
      <x:c r="X58" s="68" t="str">
        <x:v>M06关系效应、M08五行有效旺衰、M10十神功能与M11组合判断已完成</x:v>
      </x:c>
      <x:c r="Y58" s="68" t="str">
        <x:v>起点、桥梁、终点均按有效力量与实际作用路径判断</x:v>
      </x:c>
      <x:c r="Z58" s="68" t="str">
        <x:v>桥梁有根有源、透达、位置可达且不存在关键制约</x:v>
      </x:c>
      <x:c r="AA58" s="68" t="str">
        <x:v>桥梁失令、无根、受克、合绊、改性或同时被多路调用</x:v>
      </x:c>
      <x:c r="AB58" s="90" t="str">
        <x:v>不得仅因五行缺失、数量少或关系名称直接认定卡点或通关用神</x:v>
      </x:c>
      <x:c r="AC58" s="68" t="str">
        <x:v>若存在更短、更强或副作用更小的替代路径，应并列比较后再裁定</x:v>
      </x:c>
      <x:c r="AD58" s="84" t="str">
        <x:v>M12_BLOCK_流通判定</x:v>
      </x:c>
      <x:c r="AE58" s="84" t="str">
        <x:v>共享桥梁过载会形成路径竞争：按起点—桥梁—终点检查有效力量、连续性与承载；卡点为“桥梁太弱”时，仅生成通关候选，不直接定用神。</x:v>
      </x:c>
      <x:c r="AF58" s="82" t="str">
        <x:v>较高</x:v>
      </x:c>
      <x:c r="AG58" s="82" t="str">
        <x:v>现代综合</x:v>
      </x:c>
      <x:c r="AH58" s="68" t="str">
        <x:v>流通判断以五行有效力量、生克顺序与十神功能为核心；古典依据可参照《滴天髓》《渊海子平》。 https://zh.wikisource.org/wiki/%E6%BB%B4%E5%A4%A9%E9%AB%93%E9%97%A1%E5%BE%AE https://zh.wikisource.org/zh-hans/%E6%B7%B5%E6%B5%B7%E5%AD%90%E5%B9%B3</x:v>
      </x:c>
      <x:c r="AI58" s="68" t="str">
        <x:v>当“桥梁有效力量不足以同时服务多条高强度路径”真实成立，且桥梁具备有效力量和连续作用条件时，可按“共享桥梁过载会形成路径竞争”记录。</x:v>
      </x:c>
      <x:c r="AJ58" s="90" t="str">
        <x:v>仅见表面缺失或五行相克，但未证明“桥梁有效力量不足以同时服务多条高强度路径”形成实际阻断时，不得套用“共享桥梁过载会形成路径竞争”。</x:v>
      </x:c>
      <x:c r="AK58" s="82" t="str">
        <x:v>采用</x:v>
      </x:c>
      <x:c r="AL58" s="82" t="str">
        <x:v>初审</x:v>
      </x:c>
      <x:c r="AM58" s="87" t="n">
        <x:v>46255</x:v>
      </x:c>
    </x:row>
    <x:row r="59">
      <x:c r="A59" s="72" t="str">
        <x:f>IF(OR(C59="",D59=""),"",B59&amp;"-"&amp;UPPER(C59)&amp;"-"&amp;TEXT(D59,"0000")&amp;"-"&amp;E59)</x:f>
        <x:v>M12-BLOCK-0053-V1.0</x:v>
      </x:c>
      <x:c r="B59" s="74" t="str">
        <x:v>M12</x:v>
      </x:c>
      <x:c r="C59" s="74" t="str">
        <x:v>BLOCK</x:v>
      </x:c>
      <x:c r="D59" s="215" t="n">
        <x:v>53</x:v>
      </x:c>
      <x:c r="E59" s="74" t="str">
        <x:v>V1.0</x:v>
      </x:c>
      <x:c r="F59" s="68" t="str">
        <x:v>一处卡点被修复后可能暴露下一处次级卡点</x:v>
      </x:c>
      <x:c r="G59" s="82" t="str">
        <x:v>结构层</x:v>
      </x:c>
      <x:c r="H59" s="68" t="str">
        <x:v>五行生化路径</x:v>
      </x:c>
      <x:c r="I59" s="68" t="str">
        <x:v>修复后的源头</x:v>
      </x:c>
      <x:c r="J59" s="68" t="str">
        <x:v>已恢复桥梁</x:v>
      </x:c>
      <x:c r="K59" s="68" t="str">
        <x:v>下一弱节点</x:v>
      </x:c>
      <x:c r="L59" s="82" t="str">
        <x:v>待定</x:v>
      </x:c>
      <x:c r="M59" s="82" t="str">
        <x:v>待定</x:v>
      </x:c>
      <x:c r="N59" s="68" t="str">
        <x:v>待定</x:v>
      </x:c>
      <x:c r="O59" s="68" t="str">
        <x:v>待定</x:v>
      </x:c>
      <x:c r="P59" s="68" t="str">
        <x:v>待定</x:v>
      </x:c>
      <x:c r="Q59" s="82" t="str">
        <x:v>基本通畅</x:v>
      </x:c>
      <x:c r="R59" s="82" t="str">
        <x:v>其他</x:v>
      </x:c>
      <x:c r="S59" s="68" t="str">
        <x:v>下游次级节点</x:v>
      </x:c>
      <x:c r="T59" s="68" t="str">
        <x:v>原第一卡点消失后，力量继续向下游传递并暴露新的承载不足</x:v>
      </x:c>
      <x:c r="U59" s="68" t="str">
        <x:v>待定</x:v>
      </x:c>
      <x:c r="V59" s="68" t="str">
        <x:v>待定</x:v>
      </x:c>
      <x:c r="W59" s="90" t="str">
        <x:v>需检查对调候、格局、日主承载及其他通路的副作用</x:v>
      </x:c>
      <x:c r="X59" s="68" t="str">
        <x:v>M06关系效应、M08五行有效旺衰、M10十神功能与M11组合判断已完成</x:v>
      </x:c>
      <x:c r="Y59" s="68" t="str">
        <x:v>起点、桥梁、终点均按有效力量与实际作用路径判断</x:v>
      </x:c>
      <x:c r="Z59" s="68" t="str">
        <x:v>桥梁有根有源、透达、位置可达且不存在关键制约</x:v>
      </x:c>
      <x:c r="AA59" s="68" t="str">
        <x:v>桥梁失令、无根、受克、合绊、改性或同时被多路调用</x:v>
      </x:c>
      <x:c r="AB59" s="90" t="str">
        <x:v>不得仅因五行缺失、数量少或关系名称直接认定卡点或通关用神</x:v>
      </x:c>
      <x:c r="AC59" s="68" t="str">
        <x:v>若存在更短、更强或副作用更小的替代路径，应并列比较后再裁定</x:v>
      </x:c>
      <x:c r="AD59" s="84" t="str">
        <x:v>卡点递进</x:v>
      </x:c>
      <x:c r="AE59" s="84" t="str">
        <x:v>一处卡点被修复后可能暴露下一处次级卡点：按起点—桥梁—终点检查有效力量、连续性与承载；卡点为“其他”时，仅生成通关候选，不直接定用神。</x:v>
      </x:c>
      <x:c r="AF59" s="82" t="str">
        <x:v>较高</x:v>
      </x:c>
      <x:c r="AG59" s="82" t="str">
        <x:v>现代综合</x:v>
      </x:c>
      <x:c r="AH59" s="68" t="str">
        <x:v>流通判断以五行有效力量、生克顺序与十神功能为核心；古典依据可参照《滴天髓》《渊海子平》。 https://zh.wikisource.org/wiki/%E6%BB%B4%E5%A4%A9%E9%AB%93%E9%97%A1%E5%BE%AE https://zh.wikisource.org/zh-hans/%E6%B7%B5%E6%B5%B7%E5%AD%90%E5%B9%B3</x:v>
      </x:c>
      <x:c r="AI59" s="68" t="str">
        <x:v>当“原第一卡点消失后，力量继续向下游传递并暴露新的承载不足”真实成立，且桥梁具备有效力量和连续作用条件时，可按“一处卡点被修复后可能暴露下一处次级卡点”记录。</x:v>
      </x:c>
      <x:c r="AJ59" s="90" t="str">
        <x:v>仅见表面缺失或五行相克，但未证明“原第一卡点消失后，力量继续向下游传递并暴露新的承载不足”形成实际阻断时，不得套用“一处卡点被修复后可能暴露下一处次级卡点”。</x:v>
      </x:c>
      <x:c r="AK59" s="82" t="str">
        <x:v>采用</x:v>
      </x:c>
      <x:c r="AL59" s="82" t="str">
        <x:v>初审</x:v>
      </x:c>
      <x:c r="AM59" s="87" t="n">
        <x:v>46255</x:v>
      </x:c>
    </x:row>
    <x:row r="60">
      <x:c r="A60" s="72" t="str">
        <x:f>IF(OR(C60="",D60=""),"",B60&amp;"-"&amp;UPPER(C60)&amp;"-"&amp;TEXT(D60,"0000")&amp;"-"&amp;E60)</x:f>
        <x:v>M12-BLOCK-0054-V1.0</x:v>
      </x:c>
      <x:c r="B60" s="74" t="str">
        <x:v>M12</x:v>
      </x:c>
      <x:c r="C60" s="74" t="str">
        <x:v>BLOCK</x:v>
      </x:c>
      <x:c r="D60" s="215" t="n">
        <x:v>54</x:v>
      </x:c>
      <x:c r="E60" s="74" t="str">
        <x:v>V1.0</x:v>
      </x:c>
      <x:c r="F60" s="68" t="str">
        <x:v>同一原局可同时存在多个卡点但需排序主次</x:v>
      </x:c>
      <x:c r="G60" s="82" t="str">
        <x:v>结构层</x:v>
      </x:c>
      <x:c r="H60" s="68" t="str">
        <x:v>五行生化路径</x:v>
      </x:c>
      <x:c r="I60" s="68" t="str">
        <x:v>多个源头</x:v>
      </x:c>
      <x:c r="J60" s="68" t="str">
        <x:v>多个桥梁</x:v>
      </x:c>
      <x:c r="K60" s="68" t="str">
        <x:v>多个终点</x:v>
      </x:c>
      <x:c r="L60" s="82" t="str">
        <x:v>待定</x:v>
      </x:c>
      <x:c r="M60" s="82" t="str">
        <x:v>待定</x:v>
      </x:c>
      <x:c r="N60" s="68" t="str">
        <x:v>待定</x:v>
      </x:c>
      <x:c r="O60" s="68" t="str">
        <x:v>待定</x:v>
      </x:c>
      <x:c r="P60" s="68" t="str">
        <x:v>待定</x:v>
      </x:c>
      <x:c r="Q60" s="82" t="str">
        <x:v>局部阻塞</x:v>
      </x:c>
      <x:c r="R60" s="82" t="str">
        <x:v>其他</x:v>
      </x:c>
      <x:c r="S60" s="68" t="str">
        <x:v>多处</x:v>
      </x:c>
      <x:c r="T60" s="68" t="str">
        <x:v>多条关键路径分别存在阻断，严重度和影响范围不同</x:v>
      </x:c>
      <x:c r="U60" s="68" t="str">
        <x:v>待定</x:v>
      </x:c>
      <x:c r="V60" s="68" t="str">
        <x:v>待定</x:v>
      </x:c>
      <x:c r="W60" s="90" t="str">
        <x:v>需检查对调候、格局、日主承载及其他通路的副作用</x:v>
      </x:c>
      <x:c r="X60" s="68" t="str">
        <x:v>M06关系效应、M08五行有效旺衰、M10十神功能与M11组合判断已完成</x:v>
      </x:c>
      <x:c r="Y60" s="68" t="str">
        <x:v>起点、桥梁、终点均按有效力量与实际作用路径判断</x:v>
      </x:c>
      <x:c r="Z60" s="68" t="str">
        <x:v>桥梁有根有源、透达、位置可达且不存在关键制约</x:v>
      </x:c>
      <x:c r="AA60" s="68" t="str">
        <x:v>桥梁失令、无根、受克、合绊、改性或同时被多路调用</x:v>
      </x:c>
      <x:c r="AB60" s="90" t="str">
        <x:v>不得仅因五行缺失、数量少或关系名称直接认定卡点或通关用神</x:v>
      </x:c>
      <x:c r="AC60" s="68" t="str">
        <x:v>若存在更短、更强或副作用更小的替代路径，应并列比较后再裁定</x:v>
      </x:c>
      <x:c r="AD60" s="84" t="str">
        <x:v>多卡点排序</x:v>
      </x:c>
      <x:c r="AE60" s="84" t="str">
        <x:v>存在多个卡点时，应按影响范围、阻断强度、是否涉及主导组合及可修复性排序为主卡点、次卡点，不做简单数量相加。</x:v>
      </x:c>
      <x:c r="AF60" s="82" t="str">
        <x:v>较高</x:v>
      </x:c>
      <x:c r="AG60" s="82" t="str">
        <x:v>现代综合</x:v>
      </x:c>
      <x:c r="AH60" s="68" t="str">
        <x:v>流通判断以五行有效力量、生克顺序与十神功能为核心；古典依据可参照《滴天髓》《渊海子平》。 https://zh.wikisource.org/wiki/%E6%BB%B4%E5%A4%A9%E9%AB%93%E9%97%A1%E5%BE%AE https://zh.wikisource.org/zh-hans/%E6%B7%B5%E6%B5%B7%E5%AD%90%E5%B9%B3</x:v>
      </x:c>
      <x:c r="AI60" s="68" t="str">
        <x:v>当“多条关键路径分别存在阻断，严重度和影响范围不同”真实成立，且桥梁具备有效力量和连续作用条件时，可按“同一原局可同时存在多个卡点但需排序主次”记录。</x:v>
      </x:c>
      <x:c r="AJ60" s="90" t="str">
        <x:v>仅见表面缺失或五行相克，但未证明“多条关键路径分别存在阻断，严重度和影响范围不同”形成实际阻断时，不得套用“同一原局可同时存在多个卡点但需排序主次”。</x:v>
      </x:c>
      <x:c r="AK60" s="82" t="str">
        <x:v>采用</x:v>
      </x:c>
      <x:c r="AL60" s="82" t="str">
        <x:v>初审</x:v>
      </x:c>
      <x:c r="AM60" s="87" t="n">
        <x:v>46255</x:v>
      </x:c>
    </x:row>
    <x:row r="61">
      <x:c r="A61" s="72" t="str">
        <x:f>IF(OR(C61="",D61=""),"",B61&amp;"-"&amp;UPPER(C61)&amp;"-"&amp;TEXT(D61,"0000")&amp;"-"&amp;E61)</x:f>
        <x:v>M12-WUXING-0055-V1.0</x:v>
      </x:c>
      <x:c r="B61" s="74" t="str">
        <x:v>M12</x:v>
      </x:c>
      <x:c r="C61" s="74" t="str">
        <x:v>WUXING</x:v>
      </x:c>
      <x:c r="D61" s="215" t="n">
        <x:v>55</x:v>
      </x:c>
      <x:c r="E61" s="74" t="str">
        <x:v>V1.0</x:v>
      </x:c>
      <x:c r="F61" s="68" t="str">
        <x:v>金水木连续生化</x:v>
      </x:c>
      <x:c r="G61" s="82" t="str">
        <x:v>结构层</x:v>
      </x:c>
      <x:c r="H61" s="68" t="str">
        <x:v>五行生化路径</x:v>
      </x:c>
      <x:c r="I61" s="68" t="str">
        <x:v>金</x:v>
      </x:c>
      <x:c r="J61" s="68" t="str">
        <x:v>水</x:v>
      </x:c>
      <x:c r="K61" s="68" t="str">
        <x:v>木</x:v>
      </x:c>
      <x:c r="L61" s="82" t="str">
        <x:v>待定</x:v>
      </x:c>
      <x:c r="M61" s="82" t="str">
        <x:v>待定</x:v>
      </x:c>
      <x:c r="N61" s="68" t="str">
        <x:v>待定</x:v>
      </x:c>
      <x:c r="O61" s="68" t="str">
        <x:v>待定</x:v>
      </x:c>
      <x:c r="P61" s="68" t="str">
        <x:v>待定</x:v>
      </x:c>
      <x:c r="Q61" s="82" t="str">
        <x:v>通畅</x:v>
      </x:c>
      <x:c r="R61" s="82" t="str">
        <x:v>其他</x:v>
      </x:c>
      <x:c r="S61" s="68" t="str">
        <x:v>待定</x:v>
      </x:c>
      <x:c r="T61" s="68" t="str">
        <x:v>金能生水，且水能够继续生木</x:v>
      </x:c>
      <x:c r="U61" s="68" t="str">
        <x:v>水</x:v>
      </x:c>
      <x:c r="V61" s="68" t="str">
        <x:v>水必须自身有效且不被关键克合阻断</x:v>
      </x:c>
      <x:c r="W61" s="90" t="str">
        <x:v>需检查对调候、格局、日主承载及其他通路的副作用</x:v>
      </x:c>
      <x:c r="X61" s="68" t="str">
        <x:v>M06关系效应、M08五行有效旺衰、M10十神功能与M11组合判断已完成</x:v>
      </x:c>
      <x:c r="Y61" s="68" t="str">
        <x:v>起点、桥梁、终点均按有效力量与实际作用路径判断</x:v>
      </x:c>
      <x:c r="Z61" s="68" t="str">
        <x:v>桥梁有根有源、透达、位置可达且不存在关键制约</x:v>
      </x:c>
      <x:c r="AA61" s="68" t="str">
        <x:v>桥梁失令、无根、受克、合绊、改性或同时被多路调用</x:v>
      </x:c>
      <x:c r="AB61" s="90" t="str">
        <x:v>不得仅因五行缺失、数量少或关系名称直接认定卡点或通关用神</x:v>
      </x:c>
      <x:c r="AC61" s="68" t="str">
        <x:v>若存在更短、更强或副作用更小的替代路径，应并列比较后再裁定</x:v>
      </x:c>
      <x:c r="AD61" s="84" t="str">
        <x:v>金水木_生化链</x:v>
      </x:c>
      <x:c r="AE61" s="84" t="str">
        <x:v>金水木连续生化：按起点—桥梁—终点检查有效力量、连续性与承载；卡点为“其他”时，仅生成通关候选，不直接定用神。</x:v>
      </x:c>
      <x:c r="AF61" s="82" t="str">
        <x:v>较高</x:v>
      </x:c>
      <x:c r="AG61" s="82" t="str">
        <x:v>现代综合</x:v>
      </x:c>
      <x:c r="AH61" s="68" t="str">
        <x:v>流通判断以五行有效力量、生克顺序与十神功能为核心；古典依据可参照《滴天髓》《渊海子平》。 https://zh.wikisource.org/wiki/%E6%BB%B4%E5%A4%A9%E9%AB%93%E9%97%A1%E5%BE%AE https://zh.wikisource.org/zh-hans/%E6%B7%B5%E6%B5%B7%E5%AD%90%E5%B9%B3</x:v>
      </x:c>
      <x:c r="AI61" s="68" t="str">
        <x:v>当“金能生水，且水能够继续生木”真实成立，且桥梁具备有效力量和连续作用条件时，可按“金水木连续生化”记录。</x:v>
      </x:c>
      <x:c r="AJ61" s="90" t="str">
        <x:v>仅见表面缺失或五行相克，但未证明“金能生水，且水能够继续生木”形成实际阻断时，不得套用“金水木连续生化”。</x:v>
      </x:c>
      <x:c r="AK61" s="82" t="str">
        <x:v>采用</x:v>
      </x:c>
      <x:c r="AL61" s="82" t="str">
        <x:v>初审</x:v>
      </x:c>
      <x:c r="AM61" s="87" t="n">
        <x:v>46255</x:v>
      </x:c>
    </x:row>
    <x:row r="62">
      <x:c r="A62" s="72" t="str">
        <x:f>IF(OR(C62="",D62=""),"",B62&amp;"-"&amp;UPPER(C62)&amp;"-"&amp;TEXT(D62,"0000")&amp;"-"&amp;E62)</x:f>
        <x:v>M12-WUXING-0056-V1.0</x:v>
      </x:c>
      <x:c r="B62" s="74" t="str">
        <x:v>M12</x:v>
      </x:c>
      <x:c r="C62" s="74" t="str">
        <x:v>WUXING</x:v>
      </x:c>
      <x:c r="D62" s="215" t="n">
        <x:v>56</x:v>
      </x:c>
      <x:c r="E62" s="74" t="str">
        <x:v>V1.0</x:v>
      </x:c>
      <x:c r="F62" s="68" t="str">
        <x:v>水木火连续生化</x:v>
      </x:c>
      <x:c r="G62" s="82" t="str">
        <x:v>结构层</x:v>
      </x:c>
      <x:c r="H62" s="68" t="str">
        <x:v>五行生化路径</x:v>
      </x:c>
      <x:c r="I62" s="68" t="str">
        <x:v>水</x:v>
      </x:c>
      <x:c r="J62" s="68" t="str">
        <x:v>木</x:v>
      </x:c>
      <x:c r="K62" s="68" t="str">
        <x:v>火</x:v>
      </x:c>
      <x:c r="L62" s="82" t="str">
        <x:v>待定</x:v>
      </x:c>
      <x:c r="M62" s="82" t="str">
        <x:v>待定</x:v>
      </x:c>
      <x:c r="N62" s="68" t="str">
        <x:v>待定</x:v>
      </x:c>
      <x:c r="O62" s="68" t="str">
        <x:v>待定</x:v>
      </x:c>
      <x:c r="P62" s="68" t="str">
        <x:v>待定</x:v>
      </x:c>
      <x:c r="Q62" s="82" t="str">
        <x:v>通畅</x:v>
      </x:c>
      <x:c r="R62" s="82" t="str">
        <x:v>其他</x:v>
      </x:c>
      <x:c r="S62" s="68" t="str">
        <x:v>待定</x:v>
      </x:c>
      <x:c r="T62" s="68" t="str">
        <x:v>水能生木，且木能够继续生火</x:v>
      </x:c>
      <x:c r="U62" s="68" t="str">
        <x:v>木</x:v>
      </x:c>
      <x:c r="V62" s="68" t="str">
        <x:v>木必须自身有效且不被关键克合阻断</x:v>
      </x:c>
      <x:c r="W62" s="90" t="str">
        <x:v>需检查对调候、格局、日主承载及其他通路的副作用</x:v>
      </x:c>
      <x:c r="X62" s="68" t="str">
        <x:v>M06关系效应、M08五行有效旺衰、M10十神功能与M11组合判断已完成</x:v>
      </x:c>
      <x:c r="Y62" s="68" t="str">
        <x:v>起点、桥梁、终点均按有效力量与实际作用路径判断</x:v>
      </x:c>
      <x:c r="Z62" s="68" t="str">
        <x:v>桥梁有根有源、透达、位置可达且不存在关键制约</x:v>
      </x:c>
      <x:c r="AA62" s="68" t="str">
        <x:v>桥梁失令、无根、受克、合绊、改性或同时被多路调用</x:v>
      </x:c>
      <x:c r="AB62" s="90" t="str">
        <x:v>不得仅因五行缺失、数量少或关系名称直接认定卡点或通关用神</x:v>
      </x:c>
      <x:c r="AC62" s="68" t="str">
        <x:v>若存在更短、更强或副作用更小的替代路径，应并列比较后再裁定</x:v>
      </x:c>
      <x:c r="AD62" s="84" t="str">
        <x:v>水木火_生化链</x:v>
      </x:c>
      <x:c r="AE62" s="84" t="str">
        <x:v>水木火连续生化：按起点—桥梁—终点检查有效力量、连续性与承载；卡点为“其他”时，仅生成通关候选，不直接定用神。</x:v>
      </x:c>
      <x:c r="AF62" s="82" t="str">
        <x:v>较高</x:v>
      </x:c>
      <x:c r="AG62" s="82" t="str">
        <x:v>现代综合</x:v>
      </x:c>
      <x:c r="AH62" s="68" t="str">
        <x:v>流通判断以五行有效力量、生克顺序与十神功能为核心；古典依据可参照《滴天髓》《渊海子平》。 https://zh.wikisource.org/wiki/%E6%BB%B4%E5%A4%A9%E9%AB%93%E9%97%A1%E5%BE%AE https://zh.wikisource.org/zh-hans/%E6%B7%B5%E6%B5%B7%E5%AD%90%E5%B9%B3</x:v>
      </x:c>
      <x:c r="AI62" s="68" t="str">
        <x:v>当“水能生木，且木能够继续生火”真实成立，且桥梁具备有效力量和连续作用条件时，可按“水木火连续生化”记录。</x:v>
      </x:c>
      <x:c r="AJ62" s="90" t="str">
        <x:v>仅见表面缺失或五行相克，但未证明“水能生木，且木能够继续生火”形成实际阻断时，不得套用“水木火连续生化”。</x:v>
      </x:c>
      <x:c r="AK62" s="82" t="str">
        <x:v>采用</x:v>
      </x:c>
      <x:c r="AL62" s="82" t="str">
        <x:v>初审</x:v>
      </x:c>
      <x:c r="AM62" s="87" t="n">
        <x:v>46255</x:v>
      </x:c>
    </x:row>
    <x:row r="63">
      <x:c r="A63" s="72" t="str">
        <x:f>IF(OR(C63="",D63=""),"",B63&amp;"-"&amp;UPPER(C63)&amp;"-"&amp;TEXT(D63,"0000")&amp;"-"&amp;E63)</x:f>
        <x:v>M12-WUXING-0057-V1.0</x:v>
      </x:c>
      <x:c r="B63" s="74" t="str">
        <x:v>M12</x:v>
      </x:c>
      <x:c r="C63" s="74" t="str">
        <x:v>WUXING</x:v>
      </x:c>
      <x:c r="D63" s="215" t="n">
        <x:v>57</x:v>
      </x:c>
      <x:c r="E63" s="74" t="str">
        <x:v>V1.0</x:v>
      </x:c>
      <x:c r="F63" s="68" t="str">
        <x:v>木火土连续生化</x:v>
      </x:c>
      <x:c r="G63" s="82" t="str">
        <x:v>结构层</x:v>
      </x:c>
      <x:c r="H63" s="68" t="str">
        <x:v>五行生化路径</x:v>
      </x:c>
      <x:c r="I63" s="68" t="str">
        <x:v>木</x:v>
      </x:c>
      <x:c r="J63" s="68" t="str">
        <x:v>火</x:v>
      </x:c>
      <x:c r="K63" s="68" t="str">
        <x:v>土</x:v>
      </x:c>
      <x:c r="L63" s="82" t="str">
        <x:v>待定</x:v>
      </x:c>
      <x:c r="M63" s="82" t="str">
        <x:v>待定</x:v>
      </x:c>
      <x:c r="N63" s="68" t="str">
        <x:v>待定</x:v>
      </x:c>
      <x:c r="O63" s="68" t="str">
        <x:v>待定</x:v>
      </x:c>
      <x:c r="P63" s="68" t="str">
        <x:v>待定</x:v>
      </x:c>
      <x:c r="Q63" s="82" t="str">
        <x:v>通畅</x:v>
      </x:c>
      <x:c r="R63" s="82" t="str">
        <x:v>其他</x:v>
      </x:c>
      <x:c r="S63" s="68" t="str">
        <x:v>待定</x:v>
      </x:c>
      <x:c r="T63" s="68" t="str">
        <x:v>木能生火，且火能够继续生土</x:v>
      </x:c>
      <x:c r="U63" s="68" t="str">
        <x:v>火</x:v>
      </x:c>
      <x:c r="V63" s="68" t="str">
        <x:v>火必须自身有效且不被关键克合阻断</x:v>
      </x:c>
      <x:c r="W63" s="90" t="str">
        <x:v>需检查对调候、格局、日主承载及其他通路的副作用</x:v>
      </x:c>
      <x:c r="X63" s="68" t="str">
        <x:v>M06关系效应、M08五行有效旺衰、M10十神功能与M11组合判断已完成</x:v>
      </x:c>
      <x:c r="Y63" s="68" t="str">
        <x:v>起点、桥梁、终点均按有效力量与实际作用路径判断</x:v>
      </x:c>
      <x:c r="Z63" s="68" t="str">
        <x:v>桥梁有根有源、透达、位置可达且不存在关键制约</x:v>
      </x:c>
      <x:c r="AA63" s="68" t="str">
        <x:v>桥梁失令、无根、受克、合绊、改性或同时被多路调用</x:v>
      </x:c>
      <x:c r="AB63" s="90" t="str">
        <x:v>不得仅因五行缺失、数量少或关系名称直接认定卡点或通关用神</x:v>
      </x:c>
      <x:c r="AC63" s="68" t="str">
        <x:v>若存在更短、更强或副作用更小的替代路径，应并列比较后再裁定</x:v>
      </x:c>
      <x:c r="AD63" s="84" t="str">
        <x:v>木火土_生化链</x:v>
      </x:c>
      <x:c r="AE63" s="84" t="str">
        <x:v>木火土连续生化：按起点—桥梁—终点检查有效力量、连续性与承载；卡点为“其他”时，仅生成通关候选，不直接定用神。</x:v>
      </x:c>
      <x:c r="AF63" s="82" t="str">
        <x:v>较高</x:v>
      </x:c>
      <x:c r="AG63" s="82" t="str">
        <x:v>现代综合</x:v>
      </x:c>
      <x:c r="AH63" s="68" t="str">
        <x:v>流通判断以五行有效力量、生克顺序与十神功能为核心；古典依据可参照《滴天髓》《渊海子平》。 https://zh.wikisource.org/wiki/%E6%BB%B4%E5%A4%A9%E9%AB%93%E9%97%A1%E5%BE%AE https://zh.wikisource.org/zh-hans/%E6%B7%B5%E6%B5%B7%E5%AD%90%E5%B9%B3</x:v>
      </x:c>
      <x:c r="AI63" s="68" t="str">
        <x:v>当“木能生火，且火能够继续生土”真实成立，且桥梁具备有效力量和连续作用条件时，可按“木火土连续生化”记录。</x:v>
      </x:c>
      <x:c r="AJ63" s="90" t="str">
        <x:v>仅见表面缺失或五行相克，但未证明“木能生火，且火能够继续生土”形成实际阻断时，不得套用“木火土连续生化”。</x:v>
      </x:c>
      <x:c r="AK63" s="82" t="str">
        <x:v>采用</x:v>
      </x:c>
      <x:c r="AL63" s="82" t="str">
        <x:v>初审</x:v>
      </x:c>
      <x:c r="AM63" s="87" t="n">
        <x:v>46255</x:v>
      </x:c>
    </x:row>
    <x:row r="64">
      <x:c r="A64" s="72" t="str">
        <x:f>IF(OR(C64="",D64=""),"",B64&amp;"-"&amp;UPPER(C64)&amp;"-"&amp;TEXT(D64,"0000")&amp;"-"&amp;E64)</x:f>
        <x:v>M12-WUXING-0058-V1.0</x:v>
      </x:c>
      <x:c r="B64" s="74" t="str">
        <x:v>M12</x:v>
      </x:c>
      <x:c r="C64" s="74" t="str">
        <x:v>WUXING</x:v>
      </x:c>
      <x:c r="D64" s="215" t="n">
        <x:v>58</x:v>
      </x:c>
      <x:c r="E64" s="74" t="str">
        <x:v>V1.0</x:v>
      </x:c>
      <x:c r="F64" s="68" t="str">
        <x:v>火土金连续生化</x:v>
      </x:c>
      <x:c r="G64" s="82" t="str">
        <x:v>结构层</x:v>
      </x:c>
      <x:c r="H64" s="68" t="str">
        <x:v>五行生化路径</x:v>
      </x:c>
      <x:c r="I64" s="68" t="str">
        <x:v>火</x:v>
      </x:c>
      <x:c r="J64" s="68" t="str">
        <x:v>土</x:v>
      </x:c>
      <x:c r="K64" s="68" t="str">
        <x:v>金</x:v>
      </x:c>
      <x:c r="L64" s="82" t="str">
        <x:v>待定</x:v>
      </x:c>
      <x:c r="M64" s="82" t="str">
        <x:v>待定</x:v>
      </x:c>
      <x:c r="N64" s="68" t="str">
        <x:v>待定</x:v>
      </x:c>
      <x:c r="O64" s="68" t="str">
        <x:v>待定</x:v>
      </x:c>
      <x:c r="P64" s="68" t="str">
        <x:v>待定</x:v>
      </x:c>
      <x:c r="Q64" s="82" t="str">
        <x:v>通畅</x:v>
      </x:c>
      <x:c r="R64" s="82" t="str">
        <x:v>其他</x:v>
      </x:c>
      <x:c r="S64" s="68" t="str">
        <x:v>待定</x:v>
      </x:c>
      <x:c r="T64" s="68" t="str">
        <x:v>火能生土，且土能够继续生金</x:v>
      </x:c>
      <x:c r="U64" s="68" t="str">
        <x:v>土</x:v>
      </x:c>
      <x:c r="V64" s="68" t="str">
        <x:v>土必须自身有效且不被关键克合阻断</x:v>
      </x:c>
      <x:c r="W64" s="90" t="str">
        <x:v>需检查对调候、格局、日主承载及其他通路的副作用</x:v>
      </x:c>
      <x:c r="X64" s="68" t="str">
        <x:v>M06关系效应、M08五行有效旺衰、M10十神功能与M11组合判断已完成</x:v>
      </x:c>
      <x:c r="Y64" s="68" t="str">
        <x:v>起点、桥梁、终点均按有效力量与实际作用路径判断</x:v>
      </x:c>
      <x:c r="Z64" s="68" t="str">
        <x:v>桥梁有根有源、透达、位置可达且不存在关键制约</x:v>
      </x:c>
      <x:c r="AA64" s="68" t="str">
        <x:v>桥梁失令、无根、受克、合绊、改性或同时被多路调用</x:v>
      </x:c>
      <x:c r="AB64" s="90" t="str">
        <x:v>不得仅因五行缺失、数量少或关系名称直接认定卡点或通关用神</x:v>
      </x:c>
      <x:c r="AC64" s="68" t="str">
        <x:v>若存在更短、更强或副作用更小的替代路径，应并列比较后再裁定</x:v>
      </x:c>
      <x:c r="AD64" s="84" t="str">
        <x:v>火土金_生化链</x:v>
      </x:c>
      <x:c r="AE64" s="84" t="str">
        <x:v>火土金连续生化：按起点—桥梁—终点检查有效力量、连续性与承载；卡点为“其他”时，仅生成通关候选，不直接定用神。</x:v>
      </x:c>
      <x:c r="AF64" s="82" t="str">
        <x:v>较高</x:v>
      </x:c>
      <x:c r="AG64" s="82" t="str">
        <x:v>现代综合</x:v>
      </x:c>
      <x:c r="AH64" s="68" t="str">
        <x:v>流通判断以五行有效力量、生克顺序与十神功能为核心；古典依据可参照《滴天髓》《渊海子平》。 https://zh.wikisource.org/wiki/%E6%BB%B4%E5%A4%A9%E9%AB%93%E9%97%A1%E5%BE%AE https://zh.wikisource.org/zh-hans/%E6%B7%B5%E6%B5%B7%E5%AD%90%E5%B9%B3</x:v>
      </x:c>
      <x:c r="AI64" s="68" t="str">
        <x:v>当“火能生土，且土能够继续生金”真实成立，且桥梁具备有效力量和连续作用条件时，可按“火土金连续生化”记录。</x:v>
      </x:c>
      <x:c r="AJ64" s="90" t="str">
        <x:v>仅见表面缺失或五行相克，但未证明“火能生土，且土能够继续生金”形成实际阻断时，不得套用“火土金连续生化”。</x:v>
      </x:c>
      <x:c r="AK64" s="82" t="str">
        <x:v>采用</x:v>
      </x:c>
      <x:c r="AL64" s="82" t="str">
        <x:v>初审</x:v>
      </x:c>
      <x:c r="AM64" s="87" t="n">
        <x:v>46255</x:v>
      </x:c>
    </x:row>
    <x:row r="65">
      <x:c r="A65" s="72" t="str">
        <x:f>IF(OR(C65="",D65=""),"",B65&amp;"-"&amp;UPPER(C65)&amp;"-"&amp;TEXT(D65,"0000")&amp;"-"&amp;E65)</x:f>
        <x:v>M12-WUXING-0059-V1.0</x:v>
      </x:c>
      <x:c r="B65" s="74" t="str">
        <x:v>M12</x:v>
      </x:c>
      <x:c r="C65" s="74" t="str">
        <x:v>WUXING</x:v>
      </x:c>
      <x:c r="D65" s="215" t="n">
        <x:v>59</x:v>
      </x:c>
      <x:c r="E65" s="74" t="str">
        <x:v>V1.0</x:v>
      </x:c>
      <x:c r="F65" s="68" t="str">
        <x:v>土金水连续生化</x:v>
      </x:c>
      <x:c r="G65" s="82" t="str">
        <x:v>结构层</x:v>
      </x:c>
      <x:c r="H65" s="68" t="str">
        <x:v>五行生化路径</x:v>
      </x:c>
      <x:c r="I65" s="68" t="str">
        <x:v>土</x:v>
      </x:c>
      <x:c r="J65" s="68" t="str">
        <x:v>金</x:v>
      </x:c>
      <x:c r="K65" s="68" t="str">
        <x:v>水</x:v>
      </x:c>
      <x:c r="L65" s="82" t="str">
        <x:v>待定</x:v>
      </x:c>
      <x:c r="M65" s="82" t="str">
        <x:v>待定</x:v>
      </x:c>
      <x:c r="N65" s="68" t="str">
        <x:v>待定</x:v>
      </x:c>
      <x:c r="O65" s="68" t="str">
        <x:v>待定</x:v>
      </x:c>
      <x:c r="P65" s="68" t="str">
        <x:v>待定</x:v>
      </x:c>
      <x:c r="Q65" s="82" t="str">
        <x:v>通畅</x:v>
      </x:c>
      <x:c r="R65" s="82" t="str">
        <x:v>其他</x:v>
      </x:c>
      <x:c r="S65" s="68" t="str">
        <x:v>待定</x:v>
      </x:c>
      <x:c r="T65" s="68" t="str">
        <x:v>土能生金，且金能够继续生水</x:v>
      </x:c>
      <x:c r="U65" s="68" t="str">
        <x:v>金</x:v>
      </x:c>
      <x:c r="V65" s="68" t="str">
        <x:v>金必须自身有效且不被关键克合阻断</x:v>
      </x:c>
      <x:c r="W65" s="90" t="str">
        <x:v>需检查对调候、格局、日主承载及其他通路的副作用</x:v>
      </x:c>
      <x:c r="X65" s="68" t="str">
        <x:v>M06关系效应、M08五行有效旺衰、M10十神功能与M11组合判断已完成</x:v>
      </x:c>
      <x:c r="Y65" s="68" t="str">
        <x:v>起点、桥梁、终点均按有效力量与实际作用路径判断</x:v>
      </x:c>
      <x:c r="Z65" s="68" t="str">
        <x:v>桥梁有根有源、透达、位置可达且不存在关键制约</x:v>
      </x:c>
      <x:c r="AA65" s="68" t="str">
        <x:v>桥梁失令、无根、受克、合绊、改性或同时被多路调用</x:v>
      </x:c>
      <x:c r="AB65" s="90" t="str">
        <x:v>不得仅因五行缺失、数量少或关系名称直接认定卡点或通关用神</x:v>
      </x:c>
      <x:c r="AC65" s="68" t="str">
        <x:v>若存在更短、更强或副作用更小的替代路径，应并列比较后再裁定</x:v>
      </x:c>
      <x:c r="AD65" s="84" t="str">
        <x:v>土金水_生化链</x:v>
      </x:c>
      <x:c r="AE65" s="84" t="str">
        <x:v>土金水连续生化：按起点—桥梁—终点检查有效力量、连续性与承载；卡点为“其他”时，仅生成通关候选，不直接定用神。</x:v>
      </x:c>
      <x:c r="AF65" s="82" t="str">
        <x:v>较高</x:v>
      </x:c>
      <x:c r="AG65" s="82" t="str">
        <x:v>现代综合</x:v>
      </x:c>
      <x:c r="AH65" s="68" t="str">
        <x:v>流通判断以五行有效力量、生克顺序与十神功能为核心；古典依据可参照《滴天髓》《渊海子平》。 https://zh.wikisource.org/wiki/%E6%BB%B4%E5%A4%A9%E9%AB%93%E9%97%A1%E5%BE%AE https://zh.wikisource.org/zh-hans/%E6%B7%B5%E6%B5%B7%E5%AD%90%E5%B9%B3</x:v>
      </x:c>
      <x:c r="AI65" s="68" t="str">
        <x:v>当“土能生金，且金能够继续生水”真实成立，且桥梁具备有效力量和连续作用条件时，可按“土金水连续生化”记录。</x:v>
      </x:c>
      <x:c r="AJ65" s="90" t="str">
        <x:v>仅见表面缺失或五行相克，但未证明“土能生金，且金能够继续生水”形成实际阻断时，不得套用“土金水连续生化”。</x:v>
      </x:c>
      <x:c r="AK65" s="82" t="str">
        <x:v>采用</x:v>
      </x:c>
      <x:c r="AL65" s="82" t="str">
        <x:v>初审</x:v>
      </x:c>
      <x:c r="AM65" s="87" t="n">
        <x:v>46255</x:v>
      </x:c>
    </x:row>
    <x:row r="66">
      <x:c r="A66" s="72" t="str">
        <x:f>IF(OR(C66="",D66=""),"",B66&amp;"-"&amp;UPPER(C66)&amp;"-"&amp;TEXT(D66,"0000")&amp;"-"&amp;E66)</x:f>
        <x:v>M12-WUXING-0060-V1.0</x:v>
      </x:c>
      <x:c r="B66" s="74" t="str">
        <x:v>M12</x:v>
      </x:c>
      <x:c r="C66" s="74" t="str">
        <x:v>WUXING</x:v>
      </x:c>
      <x:c r="D66" s="215" t="n">
        <x:v>60</x:v>
      </x:c>
      <x:c r="E66" s="74" t="str">
        <x:v>V1.0</x:v>
      </x:c>
      <x:c r="F66" s="68" t="str">
        <x:v>金木相战以水通关</x:v>
      </x:c>
      <x:c r="G66" s="82" t="str">
        <x:v>结构层</x:v>
      </x:c>
      <x:c r="H66" s="68" t="str">
        <x:v>五行克战通关</x:v>
      </x:c>
      <x:c r="I66" s="68" t="str">
        <x:v>金</x:v>
      </x:c>
      <x:c r="J66" s="68" t="str">
        <x:v>水</x:v>
      </x:c>
      <x:c r="K66" s="68" t="str">
        <x:v>木</x:v>
      </x:c>
      <x:c r="L66" s="82" t="str">
        <x:v>旺</x:v>
      </x:c>
      <x:c r="M66" s="82" t="str">
        <x:v>中和</x:v>
      </x:c>
      <x:c r="N66" s="68" t="str">
        <x:v>待定</x:v>
      </x:c>
      <x:c r="O66" s="68" t="str">
        <x:v>木有根有力可承接</x:v>
      </x:c>
      <x:c r="P66" s="68" t="str">
        <x:v>待定</x:v>
      </x:c>
      <x:c r="Q66" s="82" t="str">
        <x:v>基本通畅</x:v>
      </x:c>
      <x:c r="R66" s="82" t="str">
        <x:v>两强相战</x:v>
      </x:c>
      <x:c r="S66" s="68" t="str">
        <x:v>金—木之间</x:v>
      </x:c>
      <x:c r="T66" s="68" t="str">
        <x:v>金与木形成真实两强相战，水既能泄金又能生木</x:v>
      </x:c>
      <x:c r="U66" s="68" t="str">
        <x:v>水</x:v>
      </x:c>
      <x:c r="V66" s="68" t="str">
        <x:v>水需有根有源且不被强制；同时必须确认金木确为主矛盾</x:v>
      </x:c>
      <x:c r="W66" s="90" t="str">
        <x:v>水过强可能改变全局寒暖燥湿、日主旺衰或其他格局结构，需M13/M16/M17复审</x:v>
      </x:c>
      <x:c r="X66" s="68" t="str">
        <x:v>M06关系效应、M08五行有效旺衰、M10十神功能与M11组合判断已完成</x:v>
      </x:c>
      <x:c r="Y66" s="68" t="str">
        <x:v>起点、桥梁、终点均按有效力量与实际作用路径判断</x:v>
      </x:c>
      <x:c r="Z66" s="68" t="str">
        <x:v>桥梁有根有源、透达、位置可达且不存在关键制约</x:v>
      </x:c>
      <x:c r="AA66" s="68" t="str">
        <x:v>桥梁失令、无根、受克、合绊、改性或同时被多路调用</x:v>
      </x:c>
      <x:c r="AB66" s="90" t="str">
        <x:v>不得仅因五行缺失、数量少或关系名称直接认定卡点或通关用神</x:v>
      </x:c>
      <x:c r="AC66" s="68" t="str">
        <x:v>若存在更短、更强或副作用更小的替代路径，应并列比较后再裁定</x:v>
      </x:c>
      <x:c r="AD66" s="84" t="str">
        <x:v>金克木_水通关</x:v>
      </x:c>
      <x:c r="AE66" s="84" t="str">
        <x:v>金木相战以水通关：按起点—桥梁—终点检查有效力量、连续性与承载；卡点为“两强相战”时，仅生成通关候选，不直接定用神。</x:v>
      </x:c>
      <x:c r="AF66" s="82" t="str">
        <x:v>较高</x:v>
      </x:c>
      <x:c r="AG66" s="82" t="str">
        <x:v>现代综合</x:v>
      </x:c>
      <x:c r="AH66" s="68" t="str">
        <x:v>流通判断以五行有效力量、生克顺序与十神功能为核心；古典依据可参照《滴天髓》《渊海子平》。 https://zh.wikisource.org/wiki/%E6%BB%B4%E5%A4%A9%E9%AB%93%E9%97%A1%E5%BE%AE https://zh.wikisource.org/zh-hans/%E6%B7%B5%E6%B5%B7%E5%AD%90%E5%B9%B3</x:v>
      </x:c>
      <x:c r="AI66" s="68" t="str">
        <x:v>当“金与木形成真实两强相战，水既能泄金又能生木”真实成立，且桥梁具备有效力量和连续作用条件时，可按“金木相战以水通关”记录。</x:v>
      </x:c>
      <x:c r="AJ66" s="90" t="str">
        <x:v>仅见表面缺失或五行相克，但未证明“金与木形成真实两强相战，水既能泄金又能生木”形成实际阻断时，不得套用“金木相战以水通关”。</x:v>
      </x:c>
      <x:c r="AK66" s="82" t="str">
        <x:v>采用</x:v>
      </x:c>
      <x:c r="AL66" s="82" t="str">
        <x:v>初审</x:v>
      </x:c>
      <x:c r="AM66" s="87" t="n">
        <x:v>46255</x:v>
      </x:c>
    </x:row>
    <x:row r="67">
      <x:c r="A67" s="72" t="str">
        <x:f>IF(OR(C67="",D67=""),"",B67&amp;"-"&amp;UPPER(C67)&amp;"-"&amp;TEXT(D67,"0000")&amp;"-"&amp;E67)</x:f>
        <x:v>M12-WUXING-0061-V1.0</x:v>
      </x:c>
      <x:c r="B67" s="74" t="str">
        <x:v>M12</x:v>
      </x:c>
      <x:c r="C67" s="74" t="str">
        <x:v>WUXING</x:v>
      </x:c>
      <x:c r="D67" s="215" t="n">
        <x:v>61</x:v>
      </x:c>
      <x:c r="E67" s="74" t="str">
        <x:v>V1.0</x:v>
      </x:c>
      <x:c r="F67" s="68" t="str">
        <x:v>木土相战以火通关</x:v>
      </x:c>
      <x:c r="G67" s="82" t="str">
        <x:v>结构层</x:v>
      </x:c>
      <x:c r="H67" s="68" t="str">
        <x:v>五行克战通关</x:v>
      </x:c>
      <x:c r="I67" s="68" t="str">
        <x:v>木</x:v>
      </x:c>
      <x:c r="J67" s="68" t="str">
        <x:v>火</x:v>
      </x:c>
      <x:c r="K67" s="68" t="str">
        <x:v>土</x:v>
      </x:c>
      <x:c r="L67" s="82" t="str">
        <x:v>旺</x:v>
      </x:c>
      <x:c r="M67" s="82" t="str">
        <x:v>中和</x:v>
      </x:c>
      <x:c r="N67" s="68" t="str">
        <x:v>待定</x:v>
      </x:c>
      <x:c r="O67" s="68" t="str">
        <x:v>土有根有力可承接</x:v>
      </x:c>
      <x:c r="P67" s="68" t="str">
        <x:v>待定</x:v>
      </x:c>
      <x:c r="Q67" s="82" t="str">
        <x:v>基本通畅</x:v>
      </x:c>
      <x:c r="R67" s="82" t="str">
        <x:v>两强相战</x:v>
      </x:c>
      <x:c r="S67" s="68" t="str">
        <x:v>木—土之间</x:v>
      </x:c>
      <x:c r="T67" s="68" t="str">
        <x:v>木与土形成真实两强相战，火既能泄木又能生土</x:v>
      </x:c>
      <x:c r="U67" s="68" t="str">
        <x:v>火</x:v>
      </x:c>
      <x:c r="V67" s="68" t="str">
        <x:v>火需有根有源且不被强制；同时必须确认木土确为主矛盾</x:v>
      </x:c>
      <x:c r="W67" s="90" t="str">
        <x:v>火过强可能改变全局寒暖燥湿、日主旺衰或其他格局结构，需M13/M16/M17复审</x:v>
      </x:c>
      <x:c r="X67" s="68" t="str">
        <x:v>M06关系效应、M08五行有效旺衰、M10十神功能与M11组合判断已完成</x:v>
      </x:c>
      <x:c r="Y67" s="68" t="str">
        <x:v>起点、桥梁、终点均按有效力量与实际作用路径判断</x:v>
      </x:c>
      <x:c r="Z67" s="68" t="str">
        <x:v>桥梁有根有源、透达、位置可达且不存在关键制约</x:v>
      </x:c>
      <x:c r="AA67" s="68" t="str">
        <x:v>桥梁失令、无根、受克、合绊、改性或同时被多路调用</x:v>
      </x:c>
      <x:c r="AB67" s="90" t="str">
        <x:v>不得仅因五行缺失、数量少或关系名称直接认定卡点或通关用神</x:v>
      </x:c>
      <x:c r="AC67" s="68" t="str">
        <x:v>若存在更短、更强或副作用更小的替代路径，应并列比较后再裁定</x:v>
      </x:c>
      <x:c r="AD67" s="84" t="str">
        <x:v>木克土_火通关</x:v>
      </x:c>
      <x:c r="AE67" s="84" t="str">
        <x:v>木土相战以火通关：按起点—桥梁—终点检查有效力量、连续性与承载；卡点为“两强相战”时，仅生成通关候选，不直接定用神。</x:v>
      </x:c>
      <x:c r="AF67" s="82" t="str">
        <x:v>较高</x:v>
      </x:c>
      <x:c r="AG67" s="82" t="str">
        <x:v>现代综合</x:v>
      </x:c>
      <x:c r="AH67" s="68" t="str">
        <x:v>流通判断以五行有效力量、生克顺序与十神功能为核心；古典依据可参照《滴天髓》《渊海子平》。 https://zh.wikisource.org/wiki/%E6%BB%B4%E5%A4%A9%E9%AB%93%E9%97%A1%E5%BE%AE https://zh.wikisource.org/zh-hans/%E6%B7%B5%E6%B5%B7%E5%AD%90%E5%B9%B3</x:v>
      </x:c>
      <x:c r="AI67" s="68" t="str">
        <x:v>当“木与土形成真实两强相战，火既能泄木又能生土”真实成立，且桥梁具备有效力量和连续作用条件时，可按“木土相战以火通关”记录。</x:v>
      </x:c>
      <x:c r="AJ67" s="90" t="str">
        <x:v>仅见表面缺失或五行相克，但未证明“木与土形成真实两强相战，火既能泄木又能生土”形成实际阻断时，不得套用“木土相战以火通关”。</x:v>
      </x:c>
      <x:c r="AK67" s="82" t="str">
        <x:v>采用</x:v>
      </x:c>
      <x:c r="AL67" s="82" t="str">
        <x:v>初审</x:v>
      </x:c>
      <x:c r="AM67" s="87" t="n">
        <x:v>46255</x:v>
      </x:c>
    </x:row>
    <x:row r="68">
      <x:c r="A68" s="72" t="str">
        <x:f>IF(OR(C68="",D68=""),"",B68&amp;"-"&amp;UPPER(C68)&amp;"-"&amp;TEXT(D68,"0000")&amp;"-"&amp;E68)</x:f>
        <x:v>M12-WUXING-0062-V1.0</x:v>
      </x:c>
      <x:c r="B68" s="74" t="str">
        <x:v>M12</x:v>
      </x:c>
      <x:c r="C68" s="74" t="str">
        <x:v>WUXING</x:v>
      </x:c>
      <x:c r="D68" s="215" t="n">
        <x:v>62</x:v>
      </x:c>
      <x:c r="E68" s="74" t="str">
        <x:v>V1.0</x:v>
      </x:c>
      <x:c r="F68" s="68" t="str">
        <x:v>土水相战以金通关</x:v>
      </x:c>
      <x:c r="G68" s="82" t="str">
        <x:v>结构层</x:v>
      </x:c>
      <x:c r="H68" s="68" t="str">
        <x:v>五行克战通关</x:v>
      </x:c>
      <x:c r="I68" s="68" t="str">
        <x:v>土</x:v>
      </x:c>
      <x:c r="J68" s="68" t="str">
        <x:v>金</x:v>
      </x:c>
      <x:c r="K68" s="68" t="str">
        <x:v>水</x:v>
      </x:c>
      <x:c r="L68" s="82" t="str">
        <x:v>旺</x:v>
      </x:c>
      <x:c r="M68" s="82" t="str">
        <x:v>中和</x:v>
      </x:c>
      <x:c r="N68" s="68" t="str">
        <x:v>待定</x:v>
      </x:c>
      <x:c r="O68" s="68" t="str">
        <x:v>水有根有力可承接</x:v>
      </x:c>
      <x:c r="P68" s="68" t="str">
        <x:v>待定</x:v>
      </x:c>
      <x:c r="Q68" s="82" t="str">
        <x:v>基本通畅</x:v>
      </x:c>
      <x:c r="R68" s="82" t="str">
        <x:v>两强相战</x:v>
      </x:c>
      <x:c r="S68" s="68" t="str">
        <x:v>土—水之间</x:v>
      </x:c>
      <x:c r="T68" s="68" t="str">
        <x:v>土与水形成真实两强相战，金既能泄土又能生水</x:v>
      </x:c>
      <x:c r="U68" s="68" t="str">
        <x:v>金</x:v>
      </x:c>
      <x:c r="V68" s="68" t="str">
        <x:v>金需有根有源且不被强制；同时必须确认土水确为主矛盾</x:v>
      </x:c>
      <x:c r="W68" s="90" t="str">
        <x:v>金过强可能改变全局寒暖燥湿、日主旺衰或其他格局结构，需M13/M16/M17复审</x:v>
      </x:c>
      <x:c r="X68" s="68" t="str">
        <x:v>M06关系效应、M08五行有效旺衰、M10十神功能与M11组合判断已完成</x:v>
      </x:c>
      <x:c r="Y68" s="68" t="str">
        <x:v>起点、桥梁、终点均按有效力量与实际作用路径判断</x:v>
      </x:c>
      <x:c r="Z68" s="68" t="str">
        <x:v>桥梁有根有源、透达、位置可达且不存在关键制约</x:v>
      </x:c>
      <x:c r="AA68" s="68" t="str">
        <x:v>桥梁失令、无根、受克、合绊、改性或同时被多路调用</x:v>
      </x:c>
      <x:c r="AB68" s="90" t="str">
        <x:v>不得仅因五行缺失、数量少或关系名称直接认定卡点或通关用神</x:v>
      </x:c>
      <x:c r="AC68" s="68" t="str">
        <x:v>若存在更短、更强或副作用更小的替代路径，应并列比较后再裁定</x:v>
      </x:c>
      <x:c r="AD68" s="84" t="str">
        <x:v>土克水_金通关</x:v>
      </x:c>
      <x:c r="AE68" s="84" t="str">
        <x:v>土水相战以金通关：按起点—桥梁—终点检查有效力量、连续性与承载；卡点为“两强相战”时，仅生成通关候选，不直接定用神。</x:v>
      </x:c>
      <x:c r="AF68" s="82" t="str">
        <x:v>较高</x:v>
      </x:c>
      <x:c r="AG68" s="82" t="str">
        <x:v>现代综合</x:v>
      </x:c>
      <x:c r="AH68" s="68" t="str">
        <x:v>流通判断以五行有效力量、生克顺序与十神功能为核心；古典依据可参照《滴天髓》《渊海子平》。 https://zh.wikisource.org/wiki/%E6%BB%B4%E5%A4%A9%E9%AB%93%E9%97%A1%E5%BE%AE https://zh.wikisource.org/zh-hans/%E6%B7%B5%E6%B5%B7%E5%AD%90%E5%B9%B3</x:v>
      </x:c>
      <x:c r="AI68" s="68" t="str">
        <x:v>当“土与水形成真实两强相战，金既能泄土又能生水”真实成立，且桥梁具备有效力量和连续作用条件时，可按“土水相战以金通关”记录。</x:v>
      </x:c>
      <x:c r="AJ68" s="90" t="str">
        <x:v>仅见表面缺失或五行相克，但未证明“土与水形成真实两强相战，金既能泄土又能生水”形成实际阻断时，不得套用“土水相战以金通关”。</x:v>
      </x:c>
      <x:c r="AK68" s="82" t="str">
        <x:v>采用</x:v>
      </x:c>
      <x:c r="AL68" s="82" t="str">
        <x:v>初审</x:v>
      </x:c>
      <x:c r="AM68" s="87" t="n">
        <x:v>46255</x:v>
      </x:c>
    </x:row>
    <x:row r="69">
      <x:c r="A69" s="72" t="str">
        <x:f>IF(OR(C69="",D69=""),"",B69&amp;"-"&amp;UPPER(C69)&amp;"-"&amp;TEXT(D69,"0000")&amp;"-"&amp;E69)</x:f>
        <x:v>M12-WUXING-0063-V1.0</x:v>
      </x:c>
      <x:c r="B69" s="74" t="str">
        <x:v>M12</x:v>
      </x:c>
      <x:c r="C69" s="74" t="str">
        <x:v>WUXING</x:v>
      </x:c>
      <x:c r="D69" s="215" t="n">
        <x:v>63</x:v>
      </x:c>
      <x:c r="E69" s="74" t="str">
        <x:v>V1.0</x:v>
      </x:c>
      <x:c r="F69" s="68" t="str">
        <x:v>水火相战以木通关</x:v>
      </x:c>
      <x:c r="G69" s="82" t="str">
        <x:v>结构层</x:v>
      </x:c>
      <x:c r="H69" s="68" t="str">
        <x:v>五行克战通关</x:v>
      </x:c>
      <x:c r="I69" s="68" t="str">
        <x:v>水</x:v>
      </x:c>
      <x:c r="J69" s="68" t="str">
        <x:v>木</x:v>
      </x:c>
      <x:c r="K69" s="68" t="str">
        <x:v>火</x:v>
      </x:c>
      <x:c r="L69" s="82" t="str">
        <x:v>旺</x:v>
      </x:c>
      <x:c r="M69" s="82" t="str">
        <x:v>中和</x:v>
      </x:c>
      <x:c r="N69" s="68" t="str">
        <x:v>待定</x:v>
      </x:c>
      <x:c r="O69" s="68" t="str">
        <x:v>火有根有力可承接</x:v>
      </x:c>
      <x:c r="P69" s="68" t="str">
        <x:v>待定</x:v>
      </x:c>
      <x:c r="Q69" s="82" t="str">
        <x:v>基本通畅</x:v>
      </x:c>
      <x:c r="R69" s="82" t="str">
        <x:v>两强相战</x:v>
      </x:c>
      <x:c r="S69" s="68" t="str">
        <x:v>水—火之间</x:v>
      </x:c>
      <x:c r="T69" s="68" t="str">
        <x:v>水与火形成真实两强相战，木既能泄水又能生火</x:v>
      </x:c>
      <x:c r="U69" s="68" t="str">
        <x:v>木</x:v>
      </x:c>
      <x:c r="V69" s="68" t="str">
        <x:v>木需有根有源且不被强制；同时必须确认水火确为主矛盾</x:v>
      </x:c>
      <x:c r="W69" s="90" t="str">
        <x:v>木过强可能改变全局寒暖燥湿、日主旺衰或其他格局结构，需M13/M16/M17复审</x:v>
      </x:c>
      <x:c r="X69" s="68" t="str">
        <x:v>M06关系效应、M08五行有效旺衰、M10十神功能与M11组合判断已完成</x:v>
      </x:c>
      <x:c r="Y69" s="68" t="str">
        <x:v>起点、桥梁、终点均按有效力量与实际作用路径判断</x:v>
      </x:c>
      <x:c r="Z69" s="68" t="str">
        <x:v>桥梁有根有源、透达、位置可达且不存在关键制约</x:v>
      </x:c>
      <x:c r="AA69" s="68" t="str">
        <x:v>桥梁失令、无根、受克、合绊、改性或同时被多路调用</x:v>
      </x:c>
      <x:c r="AB69" s="90" t="str">
        <x:v>不得仅因五行缺失、数量少或关系名称直接认定卡点或通关用神</x:v>
      </x:c>
      <x:c r="AC69" s="68" t="str">
        <x:v>若存在更短、更强或副作用更小的替代路径，应并列比较后再裁定</x:v>
      </x:c>
      <x:c r="AD69" s="84" t="str">
        <x:v>水克火_木通关</x:v>
      </x:c>
      <x:c r="AE69" s="84" t="str">
        <x:v>水火相战以木通关：按起点—桥梁—终点检查有效力量、连续性与承载；卡点为“两强相战”时，仅生成通关候选，不直接定用神。</x:v>
      </x:c>
      <x:c r="AF69" s="82" t="str">
        <x:v>较高</x:v>
      </x:c>
      <x:c r="AG69" s="82" t="str">
        <x:v>现代综合</x:v>
      </x:c>
      <x:c r="AH69" s="68" t="str">
        <x:v>流通判断以五行有效力量、生克顺序与十神功能为核心；古典依据可参照《滴天髓》《渊海子平》。 https://zh.wikisource.org/wiki/%E6%BB%B4%E5%A4%A9%E9%AB%93%E9%97%A1%E5%BE%AE https://zh.wikisource.org/zh-hans/%E6%B7%B5%E6%B5%B7%E5%AD%90%E5%B9%B3</x:v>
      </x:c>
      <x:c r="AI69" s="68" t="str">
        <x:v>当“水与火形成真实两强相战，木既能泄水又能生火”真实成立，且桥梁具备有效力量和连续作用条件时，可按“水火相战以木通关”记录。</x:v>
      </x:c>
      <x:c r="AJ69" s="90" t="str">
        <x:v>仅见表面缺失或五行相克，但未证明“水与火形成真实两强相战，木既能泄水又能生火”形成实际阻断时，不得套用“水火相战以木通关”。</x:v>
      </x:c>
      <x:c r="AK69" s="82" t="str">
        <x:v>采用</x:v>
      </x:c>
      <x:c r="AL69" s="82" t="str">
        <x:v>初审</x:v>
      </x:c>
      <x:c r="AM69" s="87" t="n">
        <x:v>46255</x:v>
      </x:c>
    </x:row>
    <x:row r="70">
      <x:c r="A70" s="72" t="str">
        <x:f>IF(OR(C70="",D70=""),"",B70&amp;"-"&amp;UPPER(C70)&amp;"-"&amp;TEXT(D70,"0000")&amp;"-"&amp;E70)</x:f>
        <x:v>M12-WUXING-0064-V1.0</x:v>
      </x:c>
      <x:c r="B70" s="74" t="str">
        <x:v>M12</x:v>
      </x:c>
      <x:c r="C70" s="74" t="str">
        <x:v>WUXING</x:v>
      </x:c>
      <x:c r="D70" s="215" t="n">
        <x:v>64</x:v>
      </x:c>
      <x:c r="E70" s="74" t="str">
        <x:v>V1.0</x:v>
      </x:c>
      <x:c r="F70" s="68" t="str">
        <x:v>火金相战以土通关</x:v>
      </x:c>
      <x:c r="G70" s="82" t="str">
        <x:v>结构层</x:v>
      </x:c>
      <x:c r="H70" s="68" t="str">
        <x:v>五行克战通关</x:v>
      </x:c>
      <x:c r="I70" s="68" t="str">
        <x:v>火</x:v>
      </x:c>
      <x:c r="J70" s="68" t="str">
        <x:v>土</x:v>
      </x:c>
      <x:c r="K70" s="68" t="str">
        <x:v>金</x:v>
      </x:c>
      <x:c r="L70" s="82" t="str">
        <x:v>旺</x:v>
      </x:c>
      <x:c r="M70" s="82" t="str">
        <x:v>中和</x:v>
      </x:c>
      <x:c r="N70" s="68" t="str">
        <x:v>待定</x:v>
      </x:c>
      <x:c r="O70" s="68" t="str">
        <x:v>金有根有力可承接</x:v>
      </x:c>
      <x:c r="P70" s="68" t="str">
        <x:v>待定</x:v>
      </x:c>
      <x:c r="Q70" s="82" t="str">
        <x:v>基本通畅</x:v>
      </x:c>
      <x:c r="R70" s="82" t="str">
        <x:v>两强相战</x:v>
      </x:c>
      <x:c r="S70" s="68" t="str">
        <x:v>火—金之间</x:v>
      </x:c>
      <x:c r="T70" s="68" t="str">
        <x:v>火与金形成真实两强相战，土既能泄火又能生金</x:v>
      </x:c>
      <x:c r="U70" s="68" t="str">
        <x:v>土</x:v>
      </x:c>
      <x:c r="V70" s="68" t="str">
        <x:v>土需有根有源且不被强制；同时必须确认火金确为主矛盾</x:v>
      </x:c>
      <x:c r="W70" s="90" t="str">
        <x:v>土过强可能改变全局寒暖燥湿、日主旺衰或其他格局结构，需M13/M16/M17复审</x:v>
      </x:c>
      <x:c r="X70" s="68" t="str">
        <x:v>M06关系效应、M08五行有效旺衰、M10十神功能与M11组合判断已完成</x:v>
      </x:c>
      <x:c r="Y70" s="68" t="str">
        <x:v>起点、桥梁、终点均按有效力量与实际作用路径判断</x:v>
      </x:c>
      <x:c r="Z70" s="68" t="str">
        <x:v>桥梁有根有源、透达、位置可达且不存在关键制约</x:v>
      </x:c>
      <x:c r="AA70" s="68" t="str">
        <x:v>桥梁失令、无根、受克、合绊、改性或同时被多路调用</x:v>
      </x:c>
      <x:c r="AB70" s="90" t="str">
        <x:v>不得仅因五行缺失、数量少或关系名称直接认定卡点或通关用神</x:v>
      </x:c>
      <x:c r="AC70" s="68" t="str">
        <x:v>若存在更短、更强或副作用更小的替代路径，应并列比较后再裁定</x:v>
      </x:c>
      <x:c r="AD70" s="84" t="str">
        <x:v>火克金_土通关</x:v>
      </x:c>
      <x:c r="AE70" s="84" t="str">
        <x:v>火金相战以土通关：按起点—桥梁—终点检查有效力量、连续性与承载；卡点为“两强相战”时，仅生成通关候选，不直接定用神。</x:v>
      </x:c>
      <x:c r="AF70" s="82" t="str">
        <x:v>较高</x:v>
      </x:c>
      <x:c r="AG70" s="82" t="str">
        <x:v>现代综合</x:v>
      </x:c>
      <x:c r="AH70" s="68" t="str">
        <x:v>流通判断以五行有效力量、生克顺序与十神功能为核心；古典依据可参照《滴天髓》《渊海子平》。 https://zh.wikisource.org/wiki/%E6%BB%B4%E5%A4%A9%E9%AB%93%E9%97%A1%E5%BE%AE https://zh.wikisource.org/zh-hans/%E6%B7%B5%E6%B5%B7%E5%AD%90%E5%B9%B3</x:v>
      </x:c>
      <x:c r="AI70" s="68" t="str">
        <x:v>当“火与金形成真实两强相战，土既能泄火又能生金”真实成立，且桥梁具备有效力量和连续作用条件时，可按“火金相战以土通关”记录。</x:v>
      </x:c>
      <x:c r="AJ70" s="90" t="str">
        <x:v>仅见表面缺失或五行相克，但未证明“火与金形成真实两强相战，土既能泄火又能生金”形成实际阻断时，不得套用“火金相战以土通关”。</x:v>
      </x:c>
      <x:c r="AK70" s="82" t="str">
        <x:v>采用</x:v>
      </x:c>
      <x:c r="AL70" s="82" t="str">
        <x:v>初审</x:v>
      </x:c>
      <x:c r="AM70" s="87" t="n">
        <x:v>46255</x:v>
      </x:c>
    </x:row>
    <x:row r="71">
      <x:c r="A71" s="72" t="str">
        <x:f>IF(OR(C71="",D71=""),"",B71&amp;"-"&amp;UPPER(C71)&amp;"-"&amp;TEXT(D71,"0000")&amp;"-"&amp;E71)</x:f>
        <x:v>M12-TENGOD-0065-V1.0</x:v>
      </x:c>
      <x:c r="B71" s="74" t="str">
        <x:v>M12</x:v>
      </x:c>
      <x:c r="C71" s="74" t="str">
        <x:v>TENGOD</x:v>
      </x:c>
      <x:c r="D71" s="215" t="n">
        <x:v>65</x:v>
      </x:c>
      <x:c r="E71" s="74" t="str">
        <x:v>V1.0</x:v>
      </x:c>
      <x:c r="F71" s="68" t="str">
        <x:v>官杀→印→身</x:v>
      </x:c>
      <x:c r="G71" s="82" t="str">
        <x:v>结构层</x:v>
      </x:c>
      <x:c r="H71" s="68" t="str">
        <x:v>十神功能路径</x:v>
      </x:c>
      <x:c r="I71" s="68" t="str">
        <x:v>官杀</x:v>
      </x:c>
      <x:c r="J71" s="68" t="str">
        <x:v>印星</x:v>
      </x:c>
      <x:c r="K71" s="68" t="str">
        <x:v>日主</x:v>
      </x:c>
      <x:c r="L71" s="82" t="str">
        <x:v>待定</x:v>
      </x:c>
      <x:c r="M71" s="82" t="str">
        <x:v>待定</x:v>
      </x:c>
      <x:c r="N71" s="68" t="str">
        <x:v>待定</x:v>
      </x:c>
      <x:c r="O71" s="68" t="str">
        <x:v>待定</x:v>
      </x:c>
      <x:c r="P71" s="68" t="str">
        <x:v>待定</x:v>
      </x:c>
      <x:c r="Q71" s="82" t="str">
        <x:v>基本通畅</x:v>
      </x:c>
      <x:c r="R71" s="82" t="str">
        <x:v>其他</x:v>
      </x:c>
      <x:c r="S71" s="68" t="str">
        <x:v>待定</x:v>
      </x:c>
      <x:c r="T71" s="68" t="str">
        <x:v>官杀压力经印星承接并转为生身</x:v>
      </x:c>
      <x:c r="U71" s="68" t="str">
        <x:v>印星</x:v>
      </x:c>
      <x:c r="V71" s="68" t="str">
        <x:v>M10确认相关十神功能有效，M11未出现决定性破坏</x:v>
      </x:c>
      <x:c r="W71" s="90" t="str">
        <x:v>需检查对调候、格局、日主承载及其他通路的副作用</x:v>
      </x:c>
      <x:c r="X71" s="68" t="str">
        <x:v>M06关系效应、M08五行有效旺衰、M10十神功能与M11组合判断已完成</x:v>
      </x:c>
      <x:c r="Y71" s="68" t="str">
        <x:v>起点、桥梁、终点均按有效力量与实际作用路径判断</x:v>
      </x:c>
      <x:c r="Z71" s="68" t="str">
        <x:v>桥梁有根有源、透达、位置可达且不存在关键制约</x:v>
      </x:c>
      <x:c r="AA71" s="68" t="str">
        <x:v>桥梁失令、无根、受克、合绊、改性或同时被多路调用</x:v>
      </x:c>
      <x:c r="AB71" s="90" t="str">
        <x:v>不得仅因五行缺失、数量少或关系名称直接认定卡点或通关用神</x:v>
      </x:c>
      <x:c r="AC71" s="68" t="str">
        <x:v>若存在更短、更强或副作用更小的替代路径，应并列比较后再裁定</x:v>
      </x:c>
      <x:c r="AD71" s="84" t="str">
        <x:v>官杀_印_身</x:v>
      </x:c>
      <x:c r="AE71" s="84" t="str">
        <x:v>官杀→印→身：按起点—桥梁—终点检查有效力量、连续性与承载；卡点为“其他”时，仅生成通关候选，不直接定用神。</x:v>
      </x:c>
      <x:c r="AF71" s="82" t="str">
        <x:v>较高</x:v>
      </x:c>
      <x:c r="AG71" s="82" t="str">
        <x:v>现代综合</x:v>
      </x:c>
      <x:c r="AH71" s="68" t="str">
        <x:v>流通判断以五行有效力量、生克顺序与十神功能为核心；古典依据可参照《滴天髓》《渊海子平》。 https://zh.wikisource.org/wiki/%E6%BB%B4%E5%A4%A9%E9%AB%93%E9%97%A1%E5%BE%AE https://zh.wikisource.org/zh-hans/%E6%B7%B5%E6%B5%B7%E5%AD%90%E5%B9%B3</x:v>
      </x:c>
      <x:c r="AI71" s="68" t="str">
        <x:v>当“官杀压力经印星承接并转为生身”真实成立，且桥梁具备有效力量和连续作用条件时，可按“官杀→印→身”记录。</x:v>
      </x:c>
      <x:c r="AJ71" s="90" t="str">
        <x:v>仅见表面缺失或五行相克，但未证明“官杀压力经印星承接并转为生身”形成实际阻断时，不得套用“官杀→印→身”。</x:v>
      </x:c>
      <x:c r="AK71" s="82" t="str">
        <x:v>采用</x:v>
      </x:c>
      <x:c r="AL71" s="82" t="str">
        <x:v>初审</x:v>
      </x:c>
      <x:c r="AM71" s="87" t="n">
        <x:v>46255</x:v>
      </x:c>
    </x:row>
    <x:row r="72">
      <x:c r="A72" s="72" t="str">
        <x:f>IF(OR(C72="",D72=""),"",B72&amp;"-"&amp;UPPER(C72)&amp;"-"&amp;TEXT(D72,"0000")&amp;"-"&amp;E72)</x:f>
        <x:v>M12-TENGOD-0066-V1.0</x:v>
      </x:c>
      <x:c r="B72" s="74" t="str">
        <x:v>M12</x:v>
      </x:c>
      <x:c r="C72" s="74" t="str">
        <x:v>TENGOD</x:v>
      </x:c>
      <x:c r="D72" s="215" t="n">
        <x:v>66</x:v>
      </x:c>
      <x:c r="E72" s="74" t="str">
        <x:v>V1.0</x:v>
      </x:c>
      <x:c r="F72" s="68" t="str">
        <x:v>身→食伤→财</x:v>
      </x:c>
      <x:c r="G72" s="82" t="str">
        <x:v>结构层</x:v>
      </x:c>
      <x:c r="H72" s="68" t="str">
        <x:v>十神功能路径</x:v>
      </x:c>
      <x:c r="I72" s="68" t="str">
        <x:v>日主</x:v>
      </x:c>
      <x:c r="J72" s="68" t="str">
        <x:v>食伤</x:v>
      </x:c>
      <x:c r="K72" s="68" t="str">
        <x:v>财星</x:v>
      </x:c>
      <x:c r="L72" s="82" t="str">
        <x:v>待定</x:v>
      </x:c>
      <x:c r="M72" s="82" t="str">
        <x:v>待定</x:v>
      </x:c>
      <x:c r="N72" s="68" t="str">
        <x:v>待定</x:v>
      </x:c>
      <x:c r="O72" s="68" t="str">
        <x:v>待定</x:v>
      </x:c>
      <x:c r="P72" s="68" t="str">
        <x:v>待定</x:v>
      </x:c>
      <x:c r="Q72" s="82" t="str">
        <x:v>基本通畅</x:v>
      </x:c>
      <x:c r="R72" s="82" t="str">
        <x:v>其他</x:v>
      </x:c>
      <x:c r="S72" s="68" t="str">
        <x:v>待定</x:v>
      </x:c>
      <x:c r="T72" s="68" t="str">
        <x:v>日主之气经食伤输出并由财星承接</x:v>
      </x:c>
      <x:c r="U72" s="68" t="str">
        <x:v>食伤</x:v>
      </x:c>
      <x:c r="V72" s="68" t="str">
        <x:v>M10确认相关十神功能有效，M11未出现决定性破坏</x:v>
      </x:c>
      <x:c r="W72" s="90" t="str">
        <x:v>需检查对调候、格局、日主承载及其他通路的副作用</x:v>
      </x:c>
      <x:c r="X72" s="68" t="str">
        <x:v>M06关系效应、M08五行有效旺衰、M10十神功能与M11组合判断已完成</x:v>
      </x:c>
      <x:c r="Y72" s="68" t="str">
        <x:v>起点、桥梁、终点均按有效力量与实际作用路径判断</x:v>
      </x:c>
      <x:c r="Z72" s="68" t="str">
        <x:v>桥梁有根有源、透达、位置可达且不存在关键制约</x:v>
      </x:c>
      <x:c r="AA72" s="68" t="str">
        <x:v>桥梁失令、无根、受克、合绊、改性或同时被多路调用</x:v>
      </x:c>
      <x:c r="AB72" s="90" t="str">
        <x:v>不得仅因五行缺失、数量少或关系名称直接认定卡点或通关用神</x:v>
      </x:c>
      <x:c r="AC72" s="68" t="str">
        <x:v>若存在更短、更强或副作用更小的替代路径，应并列比较后再裁定</x:v>
      </x:c>
      <x:c r="AD72" s="84" t="str">
        <x:v>身_食伤_财</x:v>
      </x:c>
      <x:c r="AE72" s="84" t="str">
        <x:v>身→食伤→财：按起点—桥梁—终点检查有效力量、连续性与承载；卡点为“其他”时，仅生成通关候选，不直接定用神。</x:v>
      </x:c>
      <x:c r="AF72" s="82" t="str">
        <x:v>较高</x:v>
      </x:c>
      <x:c r="AG72" s="82" t="str">
        <x:v>现代综合</x:v>
      </x:c>
      <x:c r="AH72" s="68" t="str">
        <x:v>流通判断以五行有效力量、生克顺序与十神功能为核心；古典依据可参照《滴天髓》《渊海子平》。 https://zh.wikisource.org/wiki/%E6%BB%B4%E5%A4%A9%E9%AB%93%E9%97%A1%E5%BE%AE https://zh.wikisource.org/zh-hans/%E6%B7%B5%E6%B5%B7%E5%AD%90%E5%B9%B3</x:v>
      </x:c>
      <x:c r="AI72" s="68" t="str">
        <x:v>当“日主之气经食伤输出并由财星承接”真实成立，且桥梁具备有效力量和连续作用条件时，可按“身→食伤→财”记录。</x:v>
      </x:c>
      <x:c r="AJ72" s="90" t="str">
        <x:v>仅见表面缺失或五行相克，但未证明“日主之气经食伤输出并由财星承接”形成实际阻断时，不得套用“身→食伤→财”。</x:v>
      </x:c>
      <x:c r="AK72" s="82" t="str">
        <x:v>采用</x:v>
      </x:c>
      <x:c r="AL72" s="82" t="str">
        <x:v>初审</x:v>
      </x:c>
      <x:c r="AM72" s="87" t="n">
        <x:v>46255</x:v>
      </x:c>
    </x:row>
    <x:row r="73">
      <x:c r="A73" s="72" t="str">
        <x:f>IF(OR(C73="",D73=""),"",B73&amp;"-"&amp;UPPER(C73)&amp;"-"&amp;TEXT(D73,"0000")&amp;"-"&amp;E73)</x:f>
        <x:v>M12-TENGOD-0067-V1.0</x:v>
      </x:c>
      <x:c r="B73" s="74" t="str">
        <x:v>M12</x:v>
      </x:c>
      <x:c r="C73" s="74" t="str">
        <x:v>TENGOD</x:v>
      </x:c>
      <x:c r="D73" s="215" t="n">
        <x:v>67</x:v>
      </x:c>
      <x:c r="E73" s="74" t="str">
        <x:v>V1.0</x:v>
      </x:c>
      <x:c r="F73" s="68" t="str">
        <x:v>食伤→财→官杀</x:v>
      </x:c>
      <x:c r="G73" s="82" t="str">
        <x:v>结构层</x:v>
      </x:c>
      <x:c r="H73" s="68" t="str">
        <x:v>十神功能路径</x:v>
      </x:c>
      <x:c r="I73" s="68" t="str">
        <x:v>食伤</x:v>
      </x:c>
      <x:c r="J73" s="68" t="str">
        <x:v>财星</x:v>
      </x:c>
      <x:c r="K73" s="68" t="str">
        <x:v>官杀</x:v>
      </x:c>
      <x:c r="L73" s="82" t="str">
        <x:v>待定</x:v>
      </x:c>
      <x:c r="M73" s="82" t="str">
        <x:v>待定</x:v>
      </x:c>
      <x:c r="N73" s="68" t="str">
        <x:v>待定</x:v>
      </x:c>
      <x:c r="O73" s="68" t="str">
        <x:v>待定</x:v>
      </x:c>
      <x:c r="P73" s="68" t="str">
        <x:v>待定</x:v>
      </x:c>
      <x:c r="Q73" s="82" t="str">
        <x:v>基本通畅</x:v>
      </x:c>
      <x:c r="R73" s="82" t="str">
        <x:v>其他</x:v>
      </x:c>
      <x:c r="S73" s="68" t="str">
        <x:v>待定</x:v>
      </x:c>
      <x:c r="T73" s="68" t="str">
        <x:v>食伤生财，财再生官杀</x:v>
      </x:c>
      <x:c r="U73" s="68" t="str">
        <x:v>财星</x:v>
      </x:c>
      <x:c r="V73" s="68" t="str">
        <x:v>M10确认相关十神功能有效，M11未出现决定性破坏</x:v>
      </x:c>
      <x:c r="W73" s="90" t="str">
        <x:v>需检查对调候、格局、日主承载及其他通路的副作用</x:v>
      </x:c>
      <x:c r="X73" s="68" t="str">
        <x:v>M06关系效应、M08五行有效旺衰、M10十神功能与M11组合判断已完成</x:v>
      </x:c>
      <x:c r="Y73" s="68" t="str">
        <x:v>起点、桥梁、终点均按有效力量与实际作用路径判断</x:v>
      </x:c>
      <x:c r="Z73" s="68" t="str">
        <x:v>桥梁有根有源、透达、位置可达且不存在关键制约</x:v>
      </x:c>
      <x:c r="AA73" s="68" t="str">
        <x:v>桥梁失令、无根、受克、合绊、改性或同时被多路调用</x:v>
      </x:c>
      <x:c r="AB73" s="90" t="str">
        <x:v>不得仅因五行缺失、数量少或关系名称直接认定卡点或通关用神</x:v>
      </x:c>
      <x:c r="AC73" s="68" t="str">
        <x:v>若存在更短、更强或副作用更小的替代路径，应并列比较后再裁定</x:v>
      </x:c>
      <x:c r="AD73" s="84" t="str">
        <x:v>食伤_财_官杀</x:v>
      </x:c>
      <x:c r="AE73" s="84" t="str">
        <x:v>食伤→财→官杀：按起点—桥梁—终点检查有效力量、连续性与承载；卡点为“其他”时，仅生成通关候选，不直接定用神。</x:v>
      </x:c>
      <x:c r="AF73" s="82" t="str">
        <x:v>较高</x:v>
      </x:c>
      <x:c r="AG73" s="82" t="str">
        <x:v>现代综合</x:v>
      </x:c>
      <x:c r="AH73" s="68" t="str">
        <x:v>流通判断以五行有效力量、生克顺序与十神功能为核心；古典依据可参照《滴天髓》《渊海子平》。 https://zh.wikisource.org/wiki/%E6%BB%B4%E5%A4%A9%E9%AB%93%E9%97%A1%E5%BE%AE https://zh.wikisource.org/zh-hans/%E6%B7%B5%E6%B5%B7%E5%AD%90%E5%B9%B3</x:v>
      </x:c>
      <x:c r="AI73" s="68" t="str">
        <x:v>当“食伤生财，财再生官杀”真实成立，且桥梁具备有效力量和连续作用条件时，可按“食伤→财→官杀”记录。</x:v>
      </x:c>
      <x:c r="AJ73" s="90" t="str">
        <x:v>仅见表面缺失或五行相克，但未证明“食伤生财，财再生官杀”形成实际阻断时，不得套用“食伤→财→官杀”。</x:v>
      </x:c>
      <x:c r="AK73" s="82" t="str">
        <x:v>采用</x:v>
      </x:c>
      <x:c r="AL73" s="82" t="str">
        <x:v>初审</x:v>
      </x:c>
      <x:c r="AM73" s="87" t="n">
        <x:v>46255</x:v>
      </x:c>
    </x:row>
    <x:row r="74">
      <x:c r="A74" s="72" t="str">
        <x:f>IF(OR(C74="",D74=""),"",B74&amp;"-"&amp;UPPER(C74)&amp;"-"&amp;TEXT(D74,"0000")&amp;"-"&amp;E74)</x:f>
        <x:v>M12-TENGOD-0068-V1.0</x:v>
      </x:c>
      <x:c r="B74" s="74" t="str">
        <x:v>M12</x:v>
      </x:c>
      <x:c r="C74" s="74" t="str">
        <x:v>TENGOD</x:v>
      </x:c>
      <x:c r="D74" s="215" t="n">
        <x:v>68</x:v>
      </x:c>
      <x:c r="E74" s="74" t="str">
        <x:v>V1.0</x:v>
      </x:c>
      <x:c r="F74" s="68" t="str">
        <x:v>财→官杀→印</x:v>
      </x:c>
      <x:c r="G74" s="82" t="str">
        <x:v>结构层</x:v>
      </x:c>
      <x:c r="H74" s="68" t="str">
        <x:v>十神功能路径</x:v>
      </x:c>
      <x:c r="I74" s="68" t="str">
        <x:v>财星</x:v>
      </x:c>
      <x:c r="J74" s="68" t="str">
        <x:v>官杀</x:v>
      </x:c>
      <x:c r="K74" s="68" t="str">
        <x:v>印星</x:v>
      </x:c>
      <x:c r="L74" s="82" t="str">
        <x:v>待定</x:v>
      </x:c>
      <x:c r="M74" s="82" t="str">
        <x:v>待定</x:v>
      </x:c>
      <x:c r="N74" s="68" t="str">
        <x:v>待定</x:v>
      </x:c>
      <x:c r="O74" s="68" t="str">
        <x:v>待定</x:v>
      </x:c>
      <x:c r="P74" s="68" t="str">
        <x:v>待定</x:v>
      </x:c>
      <x:c r="Q74" s="82" t="str">
        <x:v>基本通畅</x:v>
      </x:c>
      <x:c r="R74" s="82" t="str">
        <x:v>其他</x:v>
      </x:c>
      <x:c r="S74" s="68" t="str">
        <x:v>待定</x:v>
      </x:c>
      <x:c r="T74" s="68" t="str">
        <x:v>财生官杀，官杀继续生印</x:v>
      </x:c>
      <x:c r="U74" s="68" t="str">
        <x:v>官杀</x:v>
      </x:c>
      <x:c r="V74" s="68" t="str">
        <x:v>M10确认相关十神功能有效，M11未出现决定性破坏</x:v>
      </x:c>
      <x:c r="W74" s="90" t="str">
        <x:v>需检查对调候、格局、日主承载及其他通路的副作用</x:v>
      </x:c>
      <x:c r="X74" s="68" t="str">
        <x:v>M06关系效应、M08五行有效旺衰、M10十神功能与M11组合判断已完成</x:v>
      </x:c>
      <x:c r="Y74" s="68" t="str">
        <x:v>起点、桥梁、终点均按有效力量与实际作用路径判断</x:v>
      </x:c>
      <x:c r="Z74" s="68" t="str">
        <x:v>桥梁有根有源、透达、位置可达且不存在关键制约</x:v>
      </x:c>
      <x:c r="AA74" s="68" t="str">
        <x:v>桥梁失令、无根、受克、合绊、改性或同时被多路调用</x:v>
      </x:c>
      <x:c r="AB74" s="90" t="str">
        <x:v>不得仅因五行缺失、数量少或关系名称直接认定卡点或通关用神</x:v>
      </x:c>
      <x:c r="AC74" s="68" t="str">
        <x:v>若存在更短、更强或副作用更小的替代路径，应并列比较后再裁定</x:v>
      </x:c>
      <x:c r="AD74" s="84" t="str">
        <x:v>财_官杀_印</x:v>
      </x:c>
      <x:c r="AE74" s="84" t="str">
        <x:v>财→官杀→印：按起点—桥梁—终点检查有效力量、连续性与承载；卡点为“其他”时，仅生成通关候选，不直接定用神。</x:v>
      </x:c>
      <x:c r="AF74" s="82" t="str">
        <x:v>较高</x:v>
      </x:c>
      <x:c r="AG74" s="82" t="str">
        <x:v>现代综合</x:v>
      </x:c>
      <x:c r="AH74" s="68" t="str">
        <x:v>流通判断以五行有效力量、生克顺序与十神功能为核心；古典依据可参照《滴天髓》《渊海子平》。 https://zh.wikisource.org/wiki/%E6%BB%B4%E5%A4%A9%E9%AB%93%E9%97%A1%E5%BE%AE https://zh.wikisource.org/zh-hans/%E6%B7%B5%E6%B5%B7%E5%AD%90%E5%B9%B3</x:v>
      </x:c>
      <x:c r="AI74" s="68" t="str">
        <x:v>当“财生官杀，官杀继续生印”真实成立，且桥梁具备有效力量和连续作用条件时，可按“财→官杀→印”记录。</x:v>
      </x:c>
      <x:c r="AJ74" s="90" t="str">
        <x:v>仅见表面缺失或五行相克，但未证明“财生官杀，官杀继续生印”形成实际阻断时，不得套用“财→官杀→印”。</x:v>
      </x:c>
      <x:c r="AK74" s="82" t="str">
        <x:v>采用</x:v>
      </x:c>
      <x:c r="AL74" s="82" t="str">
        <x:v>初审</x:v>
      </x:c>
      <x:c r="AM74" s="87" t="n">
        <x:v>46255</x:v>
      </x:c>
    </x:row>
    <x:row r="75">
      <x:c r="A75" s="72" t="str">
        <x:f>IF(OR(C75="",D75=""),"",B75&amp;"-"&amp;UPPER(C75)&amp;"-"&amp;TEXT(D75,"0000")&amp;"-"&amp;E75)</x:f>
        <x:v>M12-TENGOD-0069-V1.0</x:v>
      </x:c>
      <x:c r="B75" s="74" t="str">
        <x:v>M12</x:v>
      </x:c>
      <x:c r="C75" s="74" t="str">
        <x:v>TENGOD</x:v>
      </x:c>
      <x:c r="D75" s="215" t="n">
        <x:v>69</x:v>
      </x:c>
      <x:c r="E75" s="74" t="str">
        <x:v>V1.0</x:v>
      </x:c>
      <x:c r="F75" s="68" t="str">
        <x:v>印→身→食伤</x:v>
      </x:c>
      <x:c r="G75" s="82" t="str">
        <x:v>结构层</x:v>
      </x:c>
      <x:c r="H75" s="68" t="str">
        <x:v>十神功能路径</x:v>
      </x:c>
      <x:c r="I75" s="68" t="str">
        <x:v>印星</x:v>
      </x:c>
      <x:c r="J75" s="68" t="str">
        <x:v>日主</x:v>
      </x:c>
      <x:c r="K75" s="68" t="str">
        <x:v>食伤</x:v>
      </x:c>
      <x:c r="L75" s="82" t="str">
        <x:v>待定</x:v>
      </x:c>
      <x:c r="M75" s="82" t="str">
        <x:v>待定</x:v>
      </x:c>
      <x:c r="N75" s="68" t="str">
        <x:v>待定</x:v>
      </x:c>
      <x:c r="O75" s="68" t="str">
        <x:v>待定</x:v>
      </x:c>
      <x:c r="P75" s="68" t="str">
        <x:v>待定</x:v>
      </x:c>
      <x:c r="Q75" s="82" t="str">
        <x:v>基本通畅</x:v>
      </x:c>
      <x:c r="R75" s="82" t="str">
        <x:v>其他</x:v>
      </x:c>
      <x:c r="S75" s="68" t="str">
        <x:v>待定</x:v>
      </x:c>
      <x:c r="T75" s="68" t="str">
        <x:v>印生身后由日主向食伤输出</x:v>
      </x:c>
      <x:c r="U75" s="68" t="str">
        <x:v>日主</x:v>
      </x:c>
      <x:c r="V75" s="68" t="str">
        <x:v>M10确认相关十神功能有效，M11未出现决定性破坏</x:v>
      </x:c>
      <x:c r="W75" s="90" t="str">
        <x:v>需检查对调候、格局、日主承载及其他通路的副作用</x:v>
      </x:c>
      <x:c r="X75" s="68" t="str">
        <x:v>M06关系效应、M08五行有效旺衰、M10十神功能与M11组合判断已完成</x:v>
      </x:c>
      <x:c r="Y75" s="68" t="str">
        <x:v>起点、桥梁、终点均按有效力量与实际作用路径判断</x:v>
      </x:c>
      <x:c r="Z75" s="68" t="str">
        <x:v>桥梁有根有源、透达、位置可达且不存在关键制约</x:v>
      </x:c>
      <x:c r="AA75" s="68" t="str">
        <x:v>桥梁失令、无根、受克、合绊、改性或同时被多路调用</x:v>
      </x:c>
      <x:c r="AB75" s="90" t="str">
        <x:v>不得仅因五行缺失、数量少或关系名称直接认定卡点或通关用神</x:v>
      </x:c>
      <x:c r="AC75" s="68" t="str">
        <x:v>若存在更短、更强或副作用更小的替代路径，应并列比较后再裁定</x:v>
      </x:c>
      <x:c r="AD75" s="84" t="str">
        <x:v>印_身_食伤</x:v>
      </x:c>
      <x:c r="AE75" s="84" t="str">
        <x:v>印→身→食伤：按起点—桥梁—终点检查有效力量、连续性与承载；卡点为“其他”时，仅生成通关候选，不直接定用神。</x:v>
      </x:c>
      <x:c r="AF75" s="82" t="str">
        <x:v>较高</x:v>
      </x:c>
      <x:c r="AG75" s="82" t="str">
        <x:v>现代综合</x:v>
      </x:c>
      <x:c r="AH75" s="68" t="str">
        <x:v>流通判断以五行有效力量、生克顺序与十神功能为核心；古典依据可参照《滴天髓》《渊海子平》。 https://zh.wikisource.org/wiki/%E6%BB%B4%E5%A4%A9%E9%AB%93%E9%97%A1%E5%BE%AE https://zh.wikisource.org/zh-hans/%E6%B7%B5%E6%B5%B7%E5%AD%90%E5%B9%B3</x:v>
      </x:c>
      <x:c r="AI75" s="68" t="str">
        <x:v>当“印生身后由日主向食伤输出”真实成立，且桥梁具备有效力量和连续作用条件时，可按“印→身→食伤”记录。</x:v>
      </x:c>
      <x:c r="AJ75" s="90" t="str">
        <x:v>仅见表面缺失或五行相克，但未证明“印生身后由日主向食伤输出”形成实际阻断时，不得套用“印→身→食伤”。</x:v>
      </x:c>
      <x:c r="AK75" s="82" t="str">
        <x:v>采用</x:v>
      </x:c>
      <x:c r="AL75" s="82" t="str">
        <x:v>初审</x:v>
      </x:c>
      <x:c r="AM75" s="87" t="n">
        <x:v>46255</x:v>
      </x:c>
    </x:row>
    <x:row r="76">
      <x:c r="A76" s="72" t="str">
        <x:f>IF(OR(C76="",D76=""),"",B76&amp;"-"&amp;UPPER(C76)&amp;"-"&amp;TEXT(D76,"0000")&amp;"-"&amp;E76)</x:f>
        <x:v>M12-TENGOD-0070-V1.0</x:v>
      </x:c>
      <x:c r="B76" s="74" t="str">
        <x:v>M12</x:v>
      </x:c>
      <x:c r="C76" s="74" t="str">
        <x:v>TENGOD</x:v>
      </x:c>
      <x:c r="D76" s="215" t="n">
        <x:v>70</x:v>
      </x:c>
      <x:c r="E76" s="74" t="str">
        <x:v>V1.0</x:v>
      </x:c>
      <x:c r="F76" s="68" t="str">
        <x:v>比劫→食伤→财</x:v>
      </x:c>
      <x:c r="G76" s="82" t="str">
        <x:v>结构层</x:v>
      </x:c>
      <x:c r="H76" s="68" t="str">
        <x:v>十神功能路径</x:v>
      </x:c>
      <x:c r="I76" s="68" t="str">
        <x:v>比劫</x:v>
      </x:c>
      <x:c r="J76" s="68" t="str">
        <x:v>食伤</x:v>
      </x:c>
      <x:c r="K76" s="68" t="str">
        <x:v>财星</x:v>
      </x:c>
      <x:c r="L76" s="82" t="str">
        <x:v>待定</x:v>
      </x:c>
      <x:c r="M76" s="82" t="str">
        <x:v>待定</x:v>
      </x:c>
      <x:c r="N76" s="68" t="str">
        <x:v>待定</x:v>
      </x:c>
      <x:c r="O76" s="68" t="str">
        <x:v>待定</x:v>
      </x:c>
      <x:c r="P76" s="68" t="str">
        <x:v>待定</x:v>
      </x:c>
      <x:c r="Q76" s="82" t="str">
        <x:v>基本通畅</x:v>
      </x:c>
      <x:c r="R76" s="82" t="str">
        <x:v>其他</x:v>
      </x:c>
      <x:c r="S76" s="68" t="str">
        <x:v>待定</x:v>
      </x:c>
      <x:c r="T76" s="68" t="str">
        <x:v>同类集团通过食伤向财星释放</x:v>
      </x:c>
      <x:c r="U76" s="68" t="str">
        <x:v>食伤</x:v>
      </x:c>
      <x:c r="V76" s="68" t="str">
        <x:v>M10确认相关十神功能有效，M11未出现决定性破坏</x:v>
      </x:c>
      <x:c r="W76" s="90" t="str">
        <x:v>需检查对调候、格局、日主承载及其他通路的副作用</x:v>
      </x:c>
      <x:c r="X76" s="68" t="str">
        <x:v>M06关系效应、M08五行有效旺衰、M10十神功能与M11组合判断已完成</x:v>
      </x:c>
      <x:c r="Y76" s="68" t="str">
        <x:v>起点、桥梁、终点均按有效力量与实际作用路径判断</x:v>
      </x:c>
      <x:c r="Z76" s="68" t="str">
        <x:v>桥梁有根有源、透达、位置可达且不存在关键制约</x:v>
      </x:c>
      <x:c r="AA76" s="68" t="str">
        <x:v>桥梁失令、无根、受克、合绊、改性或同时被多路调用</x:v>
      </x:c>
      <x:c r="AB76" s="90" t="str">
        <x:v>不得仅因五行缺失、数量少或关系名称直接认定卡点或通关用神</x:v>
      </x:c>
      <x:c r="AC76" s="68" t="str">
        <x:v>若存在更短、更强或副作用更小的替代路径，应并列比较后再裁定</x:v>
      </x:c>
      <x:c r="AD76" s="84" t="str">
        <x:v>比劫_食伤_财</x:v>
      </x:c>
      <x:c r="AE76" s="84" t="str">
        <x:v>比劫→食伤→财：按起点—桥梁—终点检查有效力量、连续性与承载；卡点为“其他”时，仅生成通关候选，不直接定用神。</x:v>
      </x:c>
      <x:c r="AF76" s="82" t="str">
        <x:v>较高</x:v>
      </x:c>
      <x:c r="AG76" s="82" t="str">
        <x:v>现代综合</x:v>
      </x:c>
      <x:c r="AH76" s="68" t="str">
        <x:v>流通判断以五行有效力量、生克顺序与十神功能为核心；古典依据可参照《滴天髓》《渊海子平》。 https://zh.wikisource.org/wiki/%E6%BB%B4%E5%A4%A9%E9%AB%93%E9%97%A1%E5%BE%AE https://zh.wikisource.org/zh-hans/%E6%B7%B5%E6%B5%B7%E5%AD%90%E5%B9%B3</x:v>
      </x:c>
      <x:c r="AI76" s="68" t="str">
        <x:v>当“同类集团通过食伤向财星释放”真实成立，且桥梁具备有效力量和连续作用条件时，可按“比劫→食伤→财”记录。</x:v>
      </x:c>
      <x:c r="AJ76" s="90" t="str">
        <x:v>仅见表面缺失或五行相克，但未证明“同类集团通过食伤向财星释放”形成实际阻断时，不得套用“比劫→食伤→财”。</x:v>
      </x:c>
      <x:c r="AK76" s="82" t="str">
        <x:v>采用</x:v>
      </x:c>
      <x:c r="AL76" s="82" t="str">
        <x:v>初审</x:v>
      </x:c>
      <x:c r="AM76" s="87" t="n">
        <x:v>46255</x:v>
      </x:c>
    </x:row>
    <x:row r="77">
      <x:c r="A77" s="72" t="str">
        <x:f>IF(OR(C77="",D77=""),"",B77&amp;"-"&amp;UPPER(C77)&amp;"-"&amp;TEXT(D77,"0000")&amp;"-"&amp;E77)</x:f>
        <x:v>M12-TENGOD-0071-V1.0</x:v>
      </x:c>
      <x:c r="B77" s="74" t="str">
        <x:v>M12</x:v>
      </x:c>
      <x:c r="C77" s="74" t="str">
        <x:v>TENGOD</x:v>
      </x:c>
      <x:c r="D77" s="215" t="n">
        <x:v>71</x:v>
      </x:c>
      <x:c r="E77" s="74" t="str">
        <x:v>V1.0</x:v>
      </x:c>
      <x:c r="F77" s="68" t="str">
        <x:v>杀→印→比劫</x:v>
      </x:c>
      <x:c r="G77" s="82" t="str">
        <x:v>结构层</x:v>
      </x:c>
      <x:c r="H77" s="68" t="str">
        <x:v>十神功能路径</x:v>
      </x:c>
      <x:c r="I77" s="68" t="str">
        <x:v>七杀</x:v>
      </x:c>
      <x:c r="J77" s="68" t="str">
        <x:v>印星</x:v>
      </x:c>
      <x:c r="K77" s="68" t="str">
        <x:v>比劫</x:v>
      </x:c>
      <x:c r="L77" s="82" t="str">
        <x:v>待定</x:v>
      </x:c>
      <x:c r="M77" s="82" t="str">
        <x:v>待定</x:v>
      </x:c>
      <x:c r="N77" s="68" t="str">
        <x:v>待定</x:v>
      </x:c>
      <x:c r="O77" s="68" t="str">
        <x:v>待定</x:v>
      </x:c>
      <x:c r="P77" s="68" t="str">
        <x:v>待定</x:v>
      </x:c>
      <x:c r="Q77" s="82" t="str">
        <x:v>基本通畅</x:v>
      </x:c>
      <x:c r="R77" s="82" t="str">
        <x:v>其他</x:v>
      </x:c>
      <x:c r="S77" s="68" t="str">
        <x:v>待定</x:v>
      </x:c>
      <x:c r="T77" s="68" t="str">
        <x:v>杀气先入印，再增强日主同党承载</x:v>
      </x:c>
      <x:c r="U77" s="68" t="str">
        <x:v>印星</x:v>
      </x:c>
      <x:c r="V77" s="68" t="str">
        <x:v>M10确认相关十神功能有效，M11未出现决定性破坏</x:v>
      </x:c>
      <x:c r="W77" s="90" t="str">
        <x:v>需检查对调候、格局、日主承载及其他通路的副作用</x:v>
      </x:c>
      <x:c r="X77" s="68" t="str">
        <x:v>M06关系效应、M08五行有效旺衰、M10十神功能与M11组合判断已完成</x:v>
      </x:c>
      <x:c r="Y77" s="68" t="str">
        <x:v>起点、桥梁、终点均按有效力量与实际作用路径判断</x:v>
      </x:c>
      <x:c r="Z77" s="68" t="str">
        <x:v>桥梁有根有源、透达、位置可达且不存在关键制约</x:v>
      </x:c>
      <x:c r="AA77" s="68" t="str">
        <x:v>桥梁失令、无根、受克、合绊、改性或同时被多路调用</x:v>
      </x:c>
      <x:c r="AB77" s="90" t="str">
        <x:v>不得仅因五行缺失、数量少或关系名称直接认定卡点或通关用神</x:v>
      </x:c>
      <x:c r="AC77" s="68" t="str">
        <x:v>若存在更短、更强或副作用更小的替代路径，应并列比较后再裁定</x:v>
      </x:c>
      <x:c r="AD77" s="84" t="str">
        <x:v>杀_印_比劫</x:v>
      </x:c>
      <x:c r="AE77" s="84" t="str">
        <x:v>杀→印→比劫：按起点—桥梁—终点检查有效力量、连续性与承载；卡点为“其他”时，仅生成通关候选，不直接定用神。</x:v>
      </x:c>
      <x:c r="AF77" s="82" t="str">
        <x:v>较高</x:v>
      </x:c>
      <x:c r="AG77" s="82" t="str">
        <x:v>现代综合</x:v>
      </x:c>
      <x:c r="AH77" s="68" t="str">
        <x:v>流通判断以五行有效力量、生克顺序与十神功能为核心；古典依据可参照《滴天髓》《渊海子平》。 https://zh.wikisource.org/wiki/%E6%BB%B4%E5%A4%A9%E9%AB%93%E9%97%A1%E5%BE%AE https://zh.wikisource.org/zh-hans/%E6%B7%B5%E6%B5%B7%E5%AD%90%E5%B9%B3</x:v>
      </x:c>
      <x:c r="AI77" s="68" t="str">
        <x:v>当“杀气先入印，再增强日主同党承载”真实成立，且桥梁具备有效力量和连续作用条件时，可按“杀→印→比劫”记录。</x:v>
      </x:c>
      <x:c r="AJ77" s="90" t="str">
        <x:v>仅见表面缺失或五行相克，但未证明“杀气先入印，再增强日主同党承载”形成实际阻断时，不得套用“杀→印→比劫”。</x:v>
      </x:c>
      <x:c r="AK77" s="82" t="str">
        <x:v>采用</x:v>
      </x:c>
      <x:c r="AL77" s="82" t="str">
        <x:v>初审</x:v>
      </x:c>
      <x:c r="AM77" s="87" t="n">
        <x:v>46255</x:v>
      </x:c>
    </x:row>
    <x:row r="78">
      <x:c r="A78" s="72" t="str">
        <x:f>IF(OR(C78="",D78=""),"",B78&amp;"-"&amp;UPPER(C78)&amp;"-"&amp;TEXT(D78,"0000")&amp;"-"&amp;E78)</x:f>
        <x:v>M12-TENGOD-0072-V1.0</x:v>
      </x:c>
      <x:c r="B78" s="74" t="str">
        <x:v>M12</x:v>
      </x:c>
      <x:c r="C78" s="74" t="str">
        <x:v>TENGOD</x:v>
      </x:c>
      <x:c r="D78" s="215" t="n">
        <x:v>72</x:v>
      </x:c>
      <x:c r="E78" s="74" t="str">
        <x:v>V1.0</x:v>
      </x:c>
      <x:c r="F78" s="68" t="str">
        <x:v>食神→财→官</x:v>
      </x:c>
      <x:c r="G78" s="82" t="str">
        <x:v>结构层</x:v>
      </x:c>
      <x:c r="H78" s="68" t="str">
        <x:v>十神功能路径</x:v>
      </x:c>
      <x:c r="I78" s="68" t="str">
        <x:v>食神</x:v>
      </x:c>
      <x:c r="J78" s="68" t="str">
        <x:v>财星</x:v>
      </x:c>
      <x:c r="K78" s="68" t="str">
        <x:v>正官</x:v>
      </x:c>
      <x:c r="L78" s="82" t="str">
        <x:v>待定</x:v>
      </x:c>
      <x:c r="M78" s="82" t="str">
        <x:v>待定</x:v>
      </x:c>
      <x:c r="N78" s="68" t="str">
        <x:v>待定</x:v>
      </x:c>
      <x:c r="O78" s="68" t="str">
        <x:v>待定</x:v>
      </x:c>
      <x:c r="P78" s="68" t="str">
        <x:v>待定</x:v>
      </x:c>
      <x:c r="Q78" s="82" t="str">
        <x:v>基本通畅</x:v>
      </x:c>
      <x:c r="R78" s="82" t="str">
        <x:v>其他</x:v>
      </x:c>
      <x:c r="S78" s="68" t="str">
        <x:v>待定</x:v>
      </x:c>
      <x:c r="T78" s="68" t="str">
        <x:v>食神输出经财转为官星资源</x:v>
      </x:c>
      <x:c r="U78" s="68" t="str">
        <x:v>财星</x:v>
      </x:c>
      <x:c r="V78" s="68" t="str">
        <x:v>M10确认相关十神功能有效，M11未出现决定性破坏</x:v>
      </x:c>
      <x:c r="W78" s="90" t="str">
        <x:v>需检查对调候、格局、日主承载及其他通路的副作用</x:v>
      </x:c>
      <x:c r="X78" s="68" t="str">
        <x:v>M06关系效应、M08五行有效旺衰、M10十神功能与M11组合判断已完成</x:v>
      </x:c>
      <x:c r="Y78" s="68" t="str">
        <x:v>起点、桥梁、终点均按有效力量与实际作用路径判断</x:v>
      </x:c>
      <x:c r="Z78" s="68" t="str">
        <x:v>桥梁有根有源、透达、位置可达且不存在关键制约</x:v>
      </x:c>
      <x:c r="AA78" s="68" t="str">
        <x:v>桥梁失令、无根、受克、合绊、改性或同时被多路调用</x:v>
      </x:c>
      <x:c r="AB78" s="90" t="str">
        <x:v>不得仅因五行缺失、数量少或关系名称直接认定卡点或通关用神</x:v>
      </x:c>
      <x:c r="AC78" s="68" t="str">
        <x:v>若存在更短、更强或副作用更小的替代路径，应并列比较后再裁定</x:v>
      </x:c>
      <x:c r="AD78" s="84" t="str">
        <x:v>食神_财_官</x:v>
      </x:c>
      <x:c r="AE78" s="84" t="str">
        <x:v>食神→财→官：按起点—桥梁—终点检查有效力量、连续性与承载；卡点为“其他”时，仅生成通关候选，不直接定用神。</x:v>
      </x:c>
      <x:c r="AF78" s="82" t="str">
        <x:v>较高</x:v>
      </x:c>
      <x:c r="AG78" s="82" t="str">
        <x:v>现代综合</x:v>
      </x:c>
      <x:c r="AH78" s="68" t="str">
        <x:v>流通判断以五行有效力量、生克顺序与十神功能为核心；古典依据可参照《滴天髓》《渊海子平》。 https://zh.wikisource.org/wiki/%E6%BB%B4%E5%A4%A9%E9%AB%93%E9%97%A1%E5%BE%AE https://zh.wikisource.org/zh-hans/%E6%B7%B5%E6%B5%B7%E5%AD%90%E5%B9%B3</x:v>
      </x:c>
      <x:c r="AI78" s="68" t="str">
        <x:v>当“食神输出经财转为官星资源”真实成立，且桥梁具备有效力量和连续作用条件时，可按“食神→财→官”记录。</x:v>
      </x:c>
      <x:c r="AJ78" s="90" t="str">
        <x:v>仅见表面缺失或五行相克，但未证明“食神输出经财转为官星资源”形成实际阻断时，不得套用“食神→财→官”。</x:v>
      </x:c>
      <x:c r="AK78" s="82" t="str">
        <x:v>采用</x:v>
      </x:c>
      <x:c r="AL78" s="82" t="str">
        <x:v>初审</x:v>
      </x:c>
      <x:c r="AM78" s="87" t="n">
        <x:v>46255</x:v>
      </x:c>
    </x:row>
    <x:row r="79">
      <x:c r="A79" s="72" t="str">
        <x:f>IF(OR(C79="",D79=""),"",B79&amp;"-"&amp;UPPER(C79)&amp;"-"&amp;TEXT(D79,"0000")&amp;"-"&amp;E79)</x:f>
        <x:v>M12-TENGOD-0073-V1.0</x:v>
      </x:c>
      <x:c r="B79" s="74" t="str">
        <x:v>M12</x:v>
      </x:c>
      <x:c r="C79" s="74" t="str">
        <x:v>TENGOD</x:v>
      </x:c>
      <x:c r="D79" s="215" t="n">
        <x:v>73</x:v>
      </x:c>
      <x:c r="E79" s="74" t="str">
        <x:v>V1.0</x:v>
      </x:c>
      <x:c r="F79" s="68" t="str">
        <x:v>伤官→财→官</x:v>
      </x:c>
      <x:c r="G79" s="82" t="str">
        <x:v>结构层</x:v>
      </x:c>
      <x:c r="H79" s="68" t="str">
        <x:v>十神功能路径</x:v>
      </x:c>
      <x:c r="I79" s="68" t="str">
        <x:v>伤官</x:v>
      </x:c>
      <x:c r="J79" s="68" t="str">
        <x:v>财星</x:v>
      </x:c>
      <x:c r="K79" s="68" t="str">
        <x:v>正官</x:v>
      </x:c>
      <x:c r="L79" s="82" t="str">
        <x:v>待定</x:v>
      </x:c>
      <x:c r="M79" s="82" t="str">
        <x:v>待定</x:v>
      </x:c>
      <x:c r="N79" s="68" t="str">
        <x:v>待定</x:v>
      </x:c>
      <x:c r="O79" s="68" t="str">
        <x:v>待定</x:v>
      </x:c>
      <x:c r="P79" s="68" t="str">
        <x:v>待定</x:v>
      </x:c>
      <x:c r="Q79" s="82" t="str">
        <x:v>基本通畅</x:v>
      </x:c>
      <x:c r="R79" s="82" t="str">
        <x:v>其他</x:v>
      </x:c>
      <x:c r="S79" s="68" t="str">
        <x:v>待定</x:v>
      </x:c>
      <x:c r="T79" s="68" t="str">
        <x:v>以财作中介降低伤官直接克官冲突</x:v>
      </x:c>
      <x:c r="U79" s="68" t="str">
        <x:v>财星</x:v>
      </x:c>
      <x:c r="V79" s="68" t="str">
        <x:v>M10确认相关十神功能有效，M11未出现决定性破坏</x:v>
      </x:c>
      <x:c r="W79" s="90" t="str">
        <x:v>需检查对调候、格局、日主承载及其他通路的副作用</x:v>
      </x:c>
      <x:c r="X79" s="68" t="str">
        <x:v>M06关系效应、M08五行有效旺衰、M10十神功能与M11组合判断已完成</x:v>
      </x:c>
      <x:c r="Y79" s="68" t="str">
        <x:v>起点、桥梁、终点均按有效力量与实际作用路径判断</x:v>
      </x:c>
      <x:c r="Z79" s="68" t="str">
        <x:v>桥梁有根有源、透达、位置可达且不存在关键制约</x:v>
      </x:c>
      <x:c r="AA79" s="68" t="str">
        <x:v>桥梁失令、无根、受克、合绊、改性或同时被多路调用</x:v>
      </x:c>
      <x:c r="AB79" s="90" t="str">
        <x:v>不得仅因五行缺失、数量少或关系名称直接认定卡点或通关用神</x:v>
      </x:c>
      <x:c r="AC79" s="68" t="str">
        <x:v>若存在更短、更强或副作用更小的替代路径，应并列比较后再裁定</x:v>
      </x:c>
      <x:c r="AD79" s="84" t="str">
        <x:v>伤官_财_官</x:v>
      </x:c>
      <x:c r="AE79" s="84" t="str">
        <x:v>伤官→财→官：按起点—桥梁—终点检查有效力量、连续性与承载；卡点为“其他”时，仅生成通关候选，不直接定用神。</x:v>
      </x:c>
      <x:c r="AF79" s="82" t="str">
        <x:v>较高</x:v>
      </x:c>
      <x:c r="AG79" s="82" t="str">
        <x:v>现代综合</x:v>
      </x:c>
      <x:c r="AH79" s="68" t="str">
        <x:v>流通判断以五行有效力量、生克顺序与十神功能为核心；古典依据可参照《滴天髓》《渊海子平》。 https://zh.wikisource.org/wiki/%E6%BB%B4%E5%A4%A9%E9%AB%93%E9%97%A1%E5%BE%AE https://zh.wikisource.org/zh-hans/%E6%B7%B5%E6%B5%B7%E5%AD%90%E5%B9%B3</x:v>
      </x:c>
      <x:c r="AI79" s="68" t="str">
        <x:v>当“以财作中介降低伤官直接克官冲突”真实成立，且桥梁具备有效力量和连续作用条件时，可按“伤官→财→官”记录。</x:v>
      </x:c>
      <x:c r="AJ79" s="90" t="str">
        <x:v>仅见表面缺失或五行相克，但未证明“以财作中介降低伤官直接克官冲突”形成实际阻断时，不得套用“伤官→财→官”。</x:v>
      </x:c>
      <x:c r="AK79" s="82" t="str">
        <x:v>采用</x:v>
      </x:c>
      <x:c r="AL79" s="82" t="str">
        <x:v>初审</x:v>
      </x:c>
      <x:c r="AM79" s="87" t="n">
        <x:v>46255</x:v>
      </x:c>
    </x:row>
    <x:row r="80">
      <x:c r="A80" s="72" t="str">
        <x:f>IF(OR(C80="",D80=""),"",B80&amp;"-"&amp;UPPER(C80)&amp;"-"&amp;TEXT(D80,"0000")&amp;"-"&amp;E80)</x:f>
        <x:v>M12-TENGOD-0074-V1.0</x:v>
      </x:c>
      <x:c r="B80" s="74" t="str">
        <x:v>M12</x:v>
      </x:c>
      <x:c r="C80" s="74" t="str">
        <x:v>TENGOD</x:v>
      </x:c>
      <x:c r="D80" s="215" t="n">
        <x:v>74</x:v>
      </x:c>
      <x:c r="E80" s="74" t="str">
        <x:v>V1.0</x:v>
      </x:c>
      <x:c r="F80" s="68" t="str">
        <x:v>官杀→印→身→食伤</x:v>
      </x:c>
      <x:c r="G80" s="82" t="str">
        <x:v>结构层</x:v>
      </x:c>
      <x:c r="H80" s="68" t="str">
        <x:v>十神功能路径</x:v>
      </x:c>
      <x:c r="I80" s="68" t="str">
        <x:v>官杀</x:v>
      </x:c>
      <x:c r="J80" s="68" t="str">
        <x:v>印星</x:v>
      </x:c>
      <x:c r="K80" s="68" t="str">
        <x:v>食伤</x:v>
      </x:c>
      <x:c r="L80" s="82" t="str">
        <x:v>待定</x:v>
      </x:c>
      <x:c r="M80" s="82" t="str">
        <x:v>待定</x:v>
      </x:c>
      <x:c r="N80" s="68" t="str">
        <x:v>待定</x:v>
      </x:c>
      <x:c r="O80" s="68" t="str">
        <x:v>待定</x:v>
      </x:c>
      <x:c r="P80" s="68" t="str">
        <x:v>待定</x:v>
      </x:c>
      <x:c r="Q80" s="82" t="str">
        <x:v>基本通畅</x:v>
      </x:c>
      <x:c r="R80" s="82" t="str">
        <x:v>其他</x:v>
      </x:c>
      <x:c r="S80" s="68" t="str">
        <x:v>待定</x:v>
      </x:c>
      <x:c r="T80" s="68" t="str">
        <x:v>官杀经印身转化后再由食伤泄出</x:v>
      </x:c>
      <x:c r="U80" s="68" t="str">
        <x:v>印星</x:v>
      </x:c>
      <x:c r="V80" s="68" t="str">
        <x:v>M10确认相关十神功能有效，M11未出现决定性破坏</x:v>
      </x:c>
      <x:c r="W80" s="90" t="str">
        <x:v>需检查对调候、格局、日主承载及其他通路的副作用</x:v>
      </x:c>
      <x:c r="X80" s="68" t="str">
        <x:v>M06关系效应、M08五行有效旺衰、M10十神功能与M11组合判断已完成</x:v>
      </x:c>
      <x:c r="Y80" s="68" t="str">
        <x:v>起点、桥梁、终点均按有效力量与实际作用路径判断</x:v>
      </x:c>
      <x:c r="Z80" s="68" t="str">
        <x:v>桥梁有根有源、透达、位置可达且不存在关键制约</x:v>
      </x:c>
      <x:c r="AA80" s="68" t="str">
        <x:v>桥梁失令、无根、受克、合绊、改性或同时被多路调用</x:v>
      </x:c>
      <x:c r="AB80" s="90" t="str">
        <x:v>不得仅因五行缺失、数量少或关系名称直接认定卡点或通关用神</x:v>
      </x:c>
      <x:c r="AC80" s="68" t="str">
        <x:v>若存在更短、更强或副作用更小的替代路径，应并列比较后再裁定</x:v>
      </x:c>
      <x:c r="AD80" s="84" t="str">
        <x:v>官杀_印_身_食伤</x:v>
      </x:c>
      <x:c r="AE80" s="84" t="str">
        <x:v>官杀→印→身→食伤：按起点—桥梁—终点检查有效力量、连续性与承载；卡点为“其他”时，仅生成通关候选，不直接定用神。</x:v>
      </x:c>
      <x:c r="AF80" s="82" t="str">
        <x:v>较高</x:v>
      </x:c>
      <x:c r="AG80" s="82" t="str">
        <x:v>现代综合</x:v>
      </x:c>
      <x:c r="AH80" s="68" t="str">
        <x:v>流通判断以五行有效力量、生克顺序与十神功能为核心；古典依据可参照《滴天髓》《渊海子平》。 https://zh.wikisource.org/wiki/%E6%BB%B4%E5%A4%A9%E9%AB%93%E9%97%A1%E5%BE%AE https://zh.wikisource.org/zh-hans/%E6%B7%B5%E6%B5%B7%E5%AD%90%E5%B9%B3</x:v>
      </x:c>
      <x:c r="AI80" s="68" t="str">
        <x:v>当“官杀经印身转化后再由食伤泄出”真实成立，且桥梁具备有效力量和连续作用条件时，可按“官杀→印→身→食伤”记录。</x:v>
      </x:c>
      <x:c r="AJ80" s="90" t="str">
        <x:v>仅见表面缺失或五行相克，但未证明“官杀经印身转化后再由食伤泄出”形成实际阻断时，不得套用“官杀→印→身→食伤”。</x:v>
      </x:c>
      <x:c r="AK80" s="82" t="str">
        <x:v>采用</x:v>
      </x:c>
      <x:c r="AL80" s="82" t="str">
        <x:v>初审</x:v>
      </x:c>
      <x:c r="AM80" s="87" t="n">
        <x:v>46255</x:v>
      </x:c>
    </x:row>
    <x:row r="81">
      <x:c r="A81" s="72" t="str">
        <x:f>IF(OR(C81="",D81=""),"",B81&amp;"-"&amp;UPPER(C81)&amp;"-"&amp;TEXT(D81,"0000")&amp;"-"&amp;E81)</x:f>
        <x:v>M12-TONGGUAN-0075-V1.0</x:v>
      </x:c>
      <x:c r="B81" s="74" t="str">
        <x:v>M12</x:v>
      </x:c>
      <x:c r="C81" s="74" t="str">
        <x:v>TONGGUAN</x:v>
      </x:c>
      <x:c r="D81" s="215" t="n">
        <x:v>75</x:v>
      </x:c>
      <x:c r="E81" s="74" t="str">
        <x:v>V1.0</x:v>
      </x:c>
      <x:c r="F81" s="68" t="str">
        <x:v>通关五行必须同时具备泄上游与生下游双重能力</x:v>
      </x:c>
      <x:c r="G81" s="82" t="str">
        <x:v>结构层</x:v>
      </x:c>
      <x:c r="H81" s="68" t="str">
        <x:v>五行克战通关</x:v>
      </x:c>
      <x:c r="I81" s="68" t="str">
        <x:v>克方</x:v>
      </x:c>
      <x:c r="J81" s="68" t="str">
        <x:v>通关候选五行</x:v>
      </x:c>
      <x:c r="K81" s="68" t="str">
        <x:v>被克方</x:v>
      </x:c>
      <x:c r="L81" s="82" t="str">
        <x:v>待定</x:v>
      </x:c>
      <x:c r="M81" s="82" t="str">
        <x:v>待定</x:v>
      </x:c>
      <x:c r="N81" s="68" t="str">
        <x:v>待定</x:v>
      </x:c>
      <x:c r="O81" s="68" t="str">
        <x:v>待定</x:v>
      </x:c>
      <x:c r="P81" s="68" t="str">
        <x:v>待定</x:v>
      </x:c>
      <x:c r="Q81" s="82" t="str">
        <x:v>待定</x:v>
      </x:c>
      <x:c r="R81" s="82" t="str">
        <x:v>两强相战</x:v>
      </x:c>
      <x:c r="S81" s="68" t="str">
        <x:v>待定</x:v>
      </x:c>
      <x:c r="T81" s="68" t="str">
        <x:v>候选五行仅能单向帮助一方，不能同时完成泄与生</x:v>
      </x:c>
      <x:c r="U81" s="68" t="str">
        <x:v>满足泄上游且生下游者</x:v>
      </x:c>
      <x:c r="V81" s="68" t="str">
        <x:v>双向功能均真实有效</x:v>
      </x:c>
      <x:c r="W81" s="90" t="str">
        <x:v>需检查对调候、格局、日主承载及其他通路的副作用</x:v>
      </x:c>
      <x:c r="X81" s="68" t="str">
        <x:v>M06关系效应、M08五行有效旺衰、M10十神功能与M11组合判断已完成</x:v>
      </x:c>
      <x:c r="Y81" s="68" t="str">
        <x:v>起点、桥梁、终点均按有效力量与实际作用路径判断</x:v>
      </x:c>
      <x:c r="Z81" s="68" t="str">
        <x:v>桥梁有根有源、透达、位置可达且不存在关键制约</x:v>
      </x:c>
      <x:c r="AA81" s="68" t="str">
        <x:v>桥梁失令、无根、受克、合绊、改性或同时被多路调用</x:v>
      </x:c>
      <x:c r="AB81" s="90" t="str">
        <x:v>不得仅因五行缺失、数量少或关系名称直接认定卡点或通关用神</x:v>
      </x:c>
      <x:c r="AC81" s="68" t="str">
        <x:v>若存在更短、更强或副作用更小的替代路径，应并列比较后再裁定</x:v>
      </x:c>
      <x:c r="AD81" s="84" t="str">
        <x:v>通关双向条件</x:v>
      </x:c>
      <x:c r="AE81" s="84" t="str">
        <x:v>通关五行必须同时具备泄上游与生下游双重能力：按起点—桥梁—终点检查有效力量、连续性与承载；卡点为“两强相战”时，仅生成通关候选，不直接定用神。</x:v>
      </x:c>
      <x:c r="AF81" s="82" t="str">
        <x:v>较高</x:v>
      </x:c>
      <x:c r="AG81" s="82" t="str">
        <x:v>现代综合</x:v>
      </x:c>
      <x:c r="AH81" s="68" t="str">
        <x:v>流通判断以五行有效力量、生克顺序与十神功能为核心；古典依据可参照《滴天髓》《渊海子平》。 https://zh.wikisource.org/wiki/%E6%BB%B4%E5%A4%A9%E9%AB%93%E9%97%A1%E5%BE%AE https://zh.wikisource.org/zh-hans/%E6%B7%B5%E6%B5%B7%E5%AD%90%E5%B9%B3</x:v>
      </x:c>
      <x:c r="AI81" s="68" t="str">
        <x:v>当“候选五行仅能单向帮助一方，不能同时完成泄与生”真实成立，且桥梁具备有效力量和连续作用条件时，可按“通关五行必须同时具备泄上游与生下游双重能力”记录。</x:v>
      </x:c>
      <x:c r="AJ81" s="90" t="str">
        <x:v>仅见表面缺失或五行相克，但未证明“候选五行仅能单向帮助一方，不能同时完成泄与生”形成实际阻断时，不得套用“通关五行必须同时具备泄上游与生下游双重能力”。</x:v>
      </x:c>
      <x:c r="AK81" s="82" t="str">
        <x:v>采用</x:v>
      </x:c>
      <x:c r="AL81" s="82" t="str">
        <x:v>初审</x:v>
      </x:c>
      <x:c r="AM81" s="87" t="n">
        <x:v>46255</x:v>
      </x:c>
    </x:row>
    <x:row r="82">
      <x:c r="A82" s="72" t="str">
        <x:f>IF(OR(C82="",D82=""),"",B82&amp;"-"&amp;UPPER(C82)&amp;"-"&amp;TEXT(D82,"0000")&amp;"-"&amp;E82)</x:f>
        <x:v>M12-TONGGUAN-0076-V1.0</x:v>
      </x:c>
      <x:c r="B82" s="74" t="str">
        <x:v>M12</x:v>
      </x:c>
      <x:c r="C82" s="74" t="str">
        <x:v>TONGGUAN</x:v>
      </x:c>
      <x:c r="D82" s="215" t="n">
        <x:v>76</x:v>
      </x:c>
      <x:c r="E82" s="74" t="str">
        <x:v>V1.0</x:v>
      </x:c>
      <x:c r="F82" s="68" t="str">
        <x:v>通关五行无根无源时不能承担主通关</x:v>
      </x:c>
      <x:c r="G82" s="82" t="str">
        <x:v>结构层</x:v>
      </x:c>
      <x:c r="H82" s="68" t="str">
        <x:v>五行克战通关</x:v>
      </x:c>
      <x:c r="I82" s="68" t="str">
        <x:v>两强之一</x:v>
      </x:c>
      <x:c r="J82" s="68" t="str">
        <x:v>无根通关五行</x:v>
      </x:c>
      <x:c r="K82" s="68" t="str">
        <x:v>另一强方</x:v>
      </x:c>
      <x:c r="L82" s="82" t="str">
        <x:v>待定</x:v>
      </x:c>
      <x:c r="M82" s="82" t="str">
        <x:v>弱</x:v>
      </x:c>
      <x:c r="N82" s="68" t="str">
        <x:v>待定</x:v>
      </x:c>
      <x:c r="O82" s="68" t="str">
        <x:v>待定</x:v>
      </x:c>
      <x:c r="P82" s="68" t="str">
        <x:v>待定</x:v>
      </x:c>
      <x:c r="Q82" s="82" t="str">
        <x:v>局部阻塞</x:v>
      </x:c>
      <x:c r="R82" s="82" t="str">
        <x:v>桥梁太弱</x:v>
      </x:c>
      <x:c r="S82" s="68" t="str">
        <x:v>待定</x:v>
      </x:c>
      <x:c r="T82" s="68" t="str">
        <x:v>候选通关五行名义存在但有效力量不足</x:v>
      </x:c>
      <x:c r="U82" s="68" t="str">
        <x:v>待定</x:v>
      </x:c>
      <x:c r="V82" s="68" t="str">
        <x:v>待定</x:v>
      </x:c>
      <x:c r="W82" s="90" t="str">
        <x:v>需检查对调候、格局、日主承载及其他通路的副作用</x:v>
      </x:c>
      <x:c r="X82" s="68" t="str">
        <x:v>M06关系效应、M08五行有效旺衰、M10十神功能与M11组合判断已完成</x:v>
      </x:c>
      <x:c r="Y82" s="68" t="str">
        <x:v>起点、桥梁、终点均按有效力量与实际作用路径判断</x:v>
      </x:c>
      <x:c r="Z82" s="68" t="str">
        <x:v>桥梁有根有源、透达、位置可达且不存在关键制约</x:v>
      </x:c>
      <x:c r="AA82" s="68" t="str">
        <x:v>桥梁失令、无根、受克、合绊、改性或同时被多路调用</x:v>
      </x:c>
      <x:c r="AB82" s="90" t="str">
        <x:v>不得仅因五行缺失、数量少或关系名称直接认定卡点或通关用神</x:v>
      </x:c>
      <x:c r="AC82" s="68" t="str">
        <x:v>若存在更短、更强或副作用更小的替代路径，应并列比较后再裁定</x:v>
      </x:c>
      <x:c r="AD82" s="84" t="str">
        <x:v>通关力量门槛</x:v>
      </x:c>
      <x:c r="AE82" s="84" t="str">
        <x:v>通关五行无根无源时不能承担主通关：按起点—桥梁—终点检查有效力量、连续性与承载；卡点为“桥梁太弱”时，仅生成通关候选，不直接定用神。</x:v>
      </x:c>
      <x:c r="AF82" s="82" t="str">
        <x:v>较高</x:v>
      </x:c>
      <x:c r="AG82" s="82" t="str">
        <x:v>现代综合</x:v>
      </x:c>
      <x:c r="AH82" s="68" t="str">
        <x:v>流通判断以五行有效力量、生克顺序与十神功能为核心；古典依据可参照《滴天髓》《渊海子平》。 https://zh.wikisource.org/wiki/%E6%BB%B4%E5%A4%A9%E9%AB%93%E9%97%A1%E5%BE%AE https://zh.wikisource.org/zh-hans/%E6%B7%B5%E6%B5%B7%E5%AD%90%E5%B9%B3</x:v>
      </x:c>
      <x:c r="AI82" s="68" t="str">
        <x:v>当“候选通关五行名义存在但有效力量不足”真实成立，且桥梁具备有效力量和连续作用条件时，可按“通关五行无根无源时不能承担主通关”记录。</x:v>
      </x:c>
      <x:c r="AJ82" s="90" t="str">
        <x:v>仅见表面缺失或五行相克，但未证明“候选通关五行名义存在但有效力量不足”形成实际阻断时，不得套用“通关五行无根无源时不能承担主通关”。</x:v>
      </x:c>
      <x:c r="AK82" s="82" t="str">
        <x:v>采用</x:v>
      </x:c>
      <x:c r="AL82" s="82" t="str">
        <x:v>初审</x:v>
      </x:c>
      <x:c r="AM82" s="87" t="n">
        <x:v>46255</x:v>
      </x:c>
    </x:row>
    <x:row r="83">
      <x:c r="A83" s="72" t="str">
        <x:f>IF(OR(C83="",D83=""),"",B83&amp;"-"&amp;UPPER(C83)&amp;"-"&amp;TEXT(D83,"0000")&amp;"-"&amp;E83)</x:f>
        <x:v>M12-TONGGUAN-0077-V1.0</x:v>
      </x:c>
      <x:c r="B83" s="74" t="str">
        <x:v>M12</x:v>
      </x:c>
      <x:c r="C83" s="74" t="str">
        <x:v>TONGGUAN</x:v>
      </x:c>
      <x:c r="D83" s="215" t="n">
        <x:v>77</x:v>
      </x:c>
      <x:c r="E83" s="74" t="str">
        <x:v>V1.0</x:v>
      </x:c>
      <x:c r="F83" s="68" t="str">
        <x:v>通关五行被强克时不得视为稳定桥梁</x:v>
      </x:c>
      <x:c r="G83" s="82" t="str">
        <x:v>结构层</x:v>
      </x:c>
      <x:c r="H83" s="68" t="str">
        <x:v>五行克战通关</x:v>
      </x:c>
      <x:c r="I83" s="68" t="str">
        <x:v>上游</x:v>
      </x:c>
      <x:c r="J83" s="68" t="str">
        <x:v>受强克通关五行</x:v>
      </x:c>
      <x:c r="K83" s="68" t="str">
        <x:v>下游</x:v>
      </x:c>
      <x:c r="L83" s="82" t="str">
        <x:v>待定</x:v>
      </x:c>
      <x:c r="M83" s="82" t="str">
        <x:v>待定</x:v>
      </x:c>
      <x:c r="N83" s="68" t="str">
        <x:v>待定</x:v>
      </x:c>
      <x:c r="O83" s="68" t="str">
        <x:v>待定</x:v>
      </x:c>
      <x:c r="P83" s="68" t="str">
        <x:v>待定</x:v>
      </x:c>
      <x:c r="Q83" s="82" t="str">
        <x:v>明显阻断</x:v>
      </x:c>
      <x:c r="R83" s="82" t="str">
        <x:v>桥梁被克</x:v>
      </x:c>
      <x:c r="S83" s="68" t="str">
        <x:v>待定</x:v>
      </x:c>
      <x:c r="T83" s="68" t="str">
        <x:v>通关节点本身遭第三方强制，难以持续泄化</x:v>
      </x:c>
      <x:c r="U83" s="68" t="str">
        <x:v>待定</x:v>
      </x:c>
      <x:c r="V83" s="68" t="str">
        <x:v>待定</x:v>
      </x:c>
      <x:c r="W83" s="90" t="str">
        <x:v>需检查对调候、格局、日主承载及其他通路的副作用</x:v>
      </x:c>
      <x:c r="X83" s="68" t="str">
        <x:v>M06关系效应、M08五行有效旺衰、M10十神功能与M11组合判断已完成</x:v>
      </x:c>
      <x:c r="Y83" s="68" t="str">
        <x:v>起点、桥梁、终点均按有效力量与实际作用路径判断</x:v>
      </x:c>
      <x:c r="Z83" s="68" t="str">
        <x:v>桥梁有根有源、透达、位置可达且不存在关键制约</x:v>
      </x:c>
      <x:c r="AA83" s="68" t="str">
        <x:v>桥梁失令、无根、受克、合绊、改性或同时被多路调用</x:v>
      </x:c>
      <x:c r="AB83" s="90" t="str">
        <x:v>不得仅因五行缺失、数量少或关系名称直接认定卡点或通关用神</x:v>
      </x:c>
      <x:c r="AC83" s="68" t="str">
        <x:v>若存在更短、更强或副作用更小的替代路径，应并列比较后再裁定</x:v>
      </x:c>
      <x:c r="AD83" s="84" t="str">
        <x:v>通关被克</x:v>
      </x:c>
      <x:c r="AE83" s="84" t="str">
        <x:v>通关五行被强克时不得视为稳定桥梁：按起点—桥梁—终点检查有效力量、连续性与承载；卡点为“桥梁被克”时，仅生成通关候选，不直接定用神。</x:v>
      </x:c>
      <x:c r="AF83" s="82" t="str">
        <x:v>较高</x:v>
      </x:c>
      <x:c r="AG83" s="82" t="str">
        <x:v>现代综合</x:v>
      </x:c>
      <x:c r="AH83" s="68" t="str">
        <x:v>流通判断以五行有效力量、生克顺序与十神功能为核心；古典依据可参照《滴天髓》《渊海子平》。 https://zh.wikisource.org/wiki/%E6%BB%B4%E5%A4%A9%E9%AB%93%E9%97%A1%E5%BE%AE https://zh.wikisource.org/zh-hans/%E6%B7%B5%E6%B5%B7%E5%AD%90%E5%B9%B3</x:v>
      </x:c>
      <x:c r="AI83" s="68" t="str">
        <x:v>当“通关节点本身遭第三方强制，难以持续泄化”真实成立，且桥梁具备有效力量和连续作用条件时，可按“通关五行被强克时不得视为稳定桥梁”记录。</x:v>
      </x:c>
      <x:c r="AJ83" s="90" t="str">
        <x:v>仅见表面缺失或五行相克，但未证明“通关节点本身遭第三方强制，难以持续泄化”形成实际阻断时，不得套用“通关五行被强克时不得视为稳定桥梁”。</x:v>
      </x:c>
      <x:c r="AK83" s="82" t="str">
        <x:v>采用</x:v>
      </x:c>
      <x:c r="AL83" s="82" t="str">
        <x:v>初审</x:v>
      </x:c>
      <x:c r="AM83" s="87" t="n">
        <x:v>46255</x:v>
      </x:c>
    </x:row>
    <x:row r="84">
      <x:c r="A84" s="72" t="str">
        <x:f>IF(OR(C84="",D84=""),"",B84&amp;"-"&amp;UPPER(C84)&amp;"-"&amp;TEXT(D84,"0000")&amp;"-"&amp;E84)</x:f>
        <x:v>M12-TONGGUAN-0078-V1.0</x:v>
      </x:c>
      <x:c r="B84" s="74" t="str">
        <x:v>M12</x:v>
      </x:c>
      <x:c r="C84" s="74" t="str">
        <x:v>TONGGUAN</x:v>
      </x:c>
      <x:c r="D84" s="215" t="n">
        <x:v>78</x:v>
      </x:c>
      <x:c r="E84" s="74" t="str">
        <x:v>V1.0</x:v>
      </x:c>
      <x:c r="F84" s="68" t="str">
        <x:v>通关五行被合绊时需下调通关等级</x:v>
      </x:c>
      <x:c r="G84" s="82" t="str">
        <x:v>结构层</x:v>
      </x:c>
      <x:c r="H84" s="68" t="str">
        <x:v>五行克战通关</x:v>
      </x:c>
      <x:c r="I84" s="68" t="str">
        <x:v>上游</x:v>
      </x:c>
      <x:c r="J84" s="68" t="str">
        <x:v>被合绊通关五行</x:v>
      </x:c>
      <x:c r="K84" s="68" t="str">
        <x:v>下游</x:v>
      </x:c>
      <x:c r="L84" s="82" t="str">
        <x:v>待定</x:v>
      </x:c>
      <x:c r="M84" s="82" t="str">
        <x:v>待定</x:v>
      </x:c>
      <x:c r="N84" s="68" t="str">
        <x:v>待定</x:v>
      </x:c>
      <x:c r="O84" s="68" t="str">
        <x:v>待定</x:v>
      </x:c>
      <x:c r="P84" s="68" t="str">
        <x:v>待定</x:v>
      </x:c>
      <x:c r="Q84" s="82" t="str">
        <x:v>局部阻塞</x:v>
      </x:c>
      <x:c r="R84" s="82" t="str">
        <x:v>桥梁被合绊</x:v>
      </x:c>
      <x:c r="S84" s="68" t="str">
        <x:v>待定</x:v>
      </x:c>
      <x:c r="T84" s="68" t="str">
        <x:v>通关节点被其他关系占用，无法全额执行桥梁功能</x:v>
      </x:c>
      <x:c r="U84" s="68" t="str">
        <x:v>待定</x:v>
      </x:c>
      <x:c r="V84" s="68" t="str">
        <x:v>待定</x:v>
      </x:c>
      <x:c r="W84" s="90" t="str">
        <x:v>需检查对调候、格局、日主承载及其他通路的副作用</x:v>
      </x:c>
      <x:c r="X84" s="68" t="str">
        <x:v>M06关系效应、M08五行有效旺衰、M10十神功能与M11组合判断已完成</x:v>
      </x:c>
      <x:c r="Y84" s="68" t="str">
        <x:v>起点、桥梁、终点均按有效力量与实际作用路径判断</x:v>
      </x:c>
      <x:c r="Z84" s="68" t="str">
        <x:v>桥梁有根有源、透达、位置可达且不存在关键制约</x:v>
      </x:c>
      <x:c r="AA84" s="68" t="str">
        <x:v>桥梁失令、无根、受克、合绊、改性或同时被多路调用</x:v>
      </x:c>
      <x:c r="AB84" s="90" t="str">
        <x:v>不得仅因五行缺失、数量少或关系名称直接认定卡点或通关用神</x:v>
      </x:c>
      <x:c r="AC84" s="68" t="str">
        <x:v>若存在更短、更强或副作用更小的替代路径，应并列比较后再裁定</x:v>
      </x:c>
      <x:c r="AD84" s="84" t="str">
        <x:v>通关合绊</x:v>
      </x:c>
      <x:c r="AE84" s="84" t="str">
        <x:v>通关五行被合绊时需下调通关等级：按起点—桥梁—终点检查有效力量、连续性与承载；卡点为“桥梁被合绊”时，仅生成通关候选，不直接定用神。</x:v>
      </x:c>
      <x:c r="AF84" s="82" t="str">
        <x:v>较高</x:v>
      </x:c>
      <x:c r="AG84" s="82" t="str">
        <x:v>现代综合</x:v>
      </x:c>
      <x:c r="AH84" s="68" t="str">
        <x:v>流通判断以五行有效力量、生克顺序与十神功能为核心；古典依据可参照《滴天髓》《渊海子平》。 https://zh.wikisource.org/wiki/%E6%BB%B4%E5%A4%A9%E9%AB%93%E9%97%A1%E5%BE%AE https://zh.wikisource.org/zh-hans/%E6%B7%B5%E6%B5%B7%E5%AD%90%E5%B9%B3</x:v>
      </x:c>
      <x:c r="AI84" s="68" t="str">
        <x:v>当“通关节点被其他关系占用，无法全额执行桥梁功能”真实成立，且桥梁具备有效力量和连续作用条件时，可按“通关五行被合绊时需下调通关等级”记录。</x:v>
      </x:c>
      <x:c r="AJ84" s="90" t="str">
        <x:v>仅见表面缺失或五行相克，但未证明“通关节点被其他关系占用，无法全额执行桥梁功能”形成实际阻断时，不得套用“通关五行被合绊时需下调通关等级”。</x:v>
      </x:c>
      <x:c r="AK84" s="82" t="str">
        <x:v>采用</x:v>
      </x:c>
      <x:c r="AL84" s="82" t="str">
        <x:v>初审</x:v>
      </x:c>
      <x:c r="AM84" s="87" t="n">
        <x:v>46255</x:v>
      </x:c>
    </x:row>
    <x:row r="85">
      <x:c r="A85" s="72" t="str">
        <x:f>IF(OR(C85="",D85=""),"",B85&amp;"-"&amp;UPPER(C85)&amp;"-"&amp;TEXT(D85,"0000")&amp;"-"&amp;E85)</x:f>
        <x:v>M12-TONGGUAN-0079-V1.0</x:v>
      </x:c>
      <x:c r="B85" s="74" t="str">
        <x:v>M12</x:v>
      </x:c>
      <x:c r="C85" s="74" t="str">
        <x:v>TONGGUAN</x:v>
      </x:c>
      <x:c r="D85" s="215" t="n">
        <x:v>79</x:v>
      </x:c>
      <x:c r="E85" s="74" t="str">
        <x:v>V1.0</x:v>
      </x:c>
      <x:c r="F85" s="68" t="str">
        <x:v>通关虽然有效但加重寒湿时只能列条件性候选</x:v>
      </x:c>
      <x:c r="G85" s="82" t="str">
        <x:v>结构层</x:v>
      </x:c>
      <x:c r="H85" s="68" t="str">
        <x:v>五行克战通关</x:v>
      </x:c>
      <x:c r="I85" s="68" t="str">
        <x:v>对战两端</x:v>
      </x:c>
      <x:c r="J85" s="68" t="str">
        <x:v>水或湿性通关五行</x:v>
      </x:c>
      <x:c r="K85" s="68" t="str">
        <x:v>目标端</x:v>
      </x:c>
      <x:c r="L85" s="82" t="str">
        <x:v>待定</x:v>
      </x:c>
      <x:c r="M85" s="82" t="str">
        <x:v>待定</x:v>
      </x:c>
      <x:c r="N85" s="68" t="str">
        <x:v>待定</x:v>
      </x:c>
      <x:c r="O85" s="68" t="str">
        <x:v>待定</x:v>
      </x:c>
      <x:c r="P85" s="68" t="str">
        <x:v>待定</x:v>
      </x:c>
      <x:c r="Q85" s="82" t="str">
        <x:v>基本通畅</x:v>
      </x:c>
      <x:c r="R85" s="82" t="str">
        <x:v>其他</x:v>
      </x:c>
      <x:c r="S85" s="68" t="str">
        <x:v>待定</x:v>
      </x:c>
      <x:c r="T85" s="68" t="str">
        <x:v>通关能解决克战，但可能使原局寒湿问题升级</x:v>
      </x:c>
      <x:c r="U85" s="68" t="str">
        <x:v>待定</x:v>
      </x:c>
      <x:c r="V85" s="68" t="str">
        <x:v>待定</x:v>
      </x:c>
      <x:c r="W85" s="90" t="str">
        <x:v>若M13判原局已经偏寒或极寒、偏湿或极湿，则水性通关可能制造更高优先级调候问题</x:v>
      </x:c>
      <x:c r="X85" s="68" t="str">
        <x:v>M06关系效应、M08五行有效旺衰、M10十神功能与M11组合判断已完成</x:v>
      </x:c>
      <x:c r="Y85" s="68" t="str">
        <x:v>起点、桥梁、终点均按有效力量与实际作用路径判断</x:v>
      </x:c>
      <x:c r="Z85" s="68" t="str">
        <x:v>桥梁有根有源、透达、位置可达且不存在关键制约</x:v>
      </x:c>
      <x:c r="AA85" s="68" t="str">
        <x:v>桥梁失令、无根、受克、合绊、改性或同时被多路调用</x:v>
      </x:c>
      <x:c r="AB85" s="90" t="str">
        <x:v>不得仅因五行缺失、数量少或关系名称直接认定卡点或通关用神</x:v>
      </x:c>
      <x:c r="AC85" s="68" t="str">
        <x:v>若存在更短、更强或副作用更小的替代路径，应并列比较后再裁定</x:v>
      </x:c>
      <x:c r="AD85" s="84" t="str">
        <x:v>通关寒湿副作用</x:v>
      </x:c>
      <x:c r="AE85" s="84" t="str">
        <x:v>通关虽然有效但加重寒湿时只能列条件性候选：按起点—桥梁—终点检查有效力量、连续性与承载；卡点为“其他”时，仅生成通关候选，不直接定用神。</x:v>
      </x:c>
      <x:c r="AF85" s="82" t="str">
        <x:v>较高</x:v>
      </x:c>
      <x:c r="AG85" s="82" t="str">
        <x:v>现代综合</x:v>
      </x:c>
      <x:c r="AH85" s="68" t="str">
        <x:v>流通判断以五行有效力量、生克顺序与十神功能为核心；古典依据可参照《滴天髓》《渊海子平》。 https://zh.wikisource.org/wiki/%E6%BB%B4%E5%A4%A9%E9%AB%93%E9%97%A1%E5%BE%AE https://zh.wikisource.org/zh-hans/%E6%B7%B5%E6%B5%B7%E5%AD%90%E5%B9%B3</x:v>
      </x:c>
      <x:c r="AI85" s="68" t="str">
        <x:v>当“通关能解决克战，但可能使原局寒湿问题升级”真实成立，且桥梁具备有效力量和连续作用条件时，可按“通关虽然有效但加重寒湿时只能列条件性候选”记录。</x:v>
      </x:c>
      <x:c r="AJ85" s="90" t="str">
        <x:v>仅见表面缺失或五行相克，但未证明“通关能解决克战，但可能使原局寒湿问题升级”形成实际阻断时，不得套用“通关虽然有效但加重寒湿时只能列条件性候选”。</x:v>
      </x:c>
      <x:c r="AK85" s="82" t="str">
        <x:v>采用</x:v>
      </x:c>
      <x:c r="AL85" s="82" t="str">
        <x:v>初审</x:v>
      </x:c>
      <x:c r="AM85" s="87" t="n">
        <x:v>46255</x:v>
      </x:c>
    </x:row>
    <x:row r="86">
      <x:c r="A86" s="72" t="str">
        <x:f>IF(OR(C86="",D86=""),"",B86&amp;"-"&amp;UPPER(C86)&amp;"-"&amp;TEXT(D86,"0000")&amp;"-"&amp;E86)</x:f>
        <x:v>M12-TONGGUAN-0080-V1.0</x:v>
      </x:c>
      <x:c r="B86" s="74" t="str">
        <x:v>M12</x:v>
      </x:c>
      <x:c r="C86" s="74" t="str">
        <x:v>TONGGUAN</x:v>
      </x:c>
      <x:c r="D86" s="215" t="n">
        <x:v>80</x:v>
      </x:c>
      <x:c r="E86" s="74" t="str">
        <x:v>V1.0</x:v>
      </x:c>
      <x:c r="F86" s="68" t="str">
        <x:v>通关虽然有效但加重燥热时只能列条件性候选</x:v>
      </x:c>
      <x:c r="G86" s="82" t="str">
        <x:v>结构层</x:v>
      </x:c>
      <x:c r="H86" s="68" t="str">
        <x:v>五行克战通关</x:v>
      </x:c>
      <x:c r="I86" s="68" t="str">
        <x:v>对战两端</x:v>
      </x:c>
      <x:c r="J86" s="68" t="str">
        <x:v>火或燥性通关五行</x:v>
      </x:c>
      <x:c r="K86" s="68" t="str">
        <x:v>目标端</x:v>
      </x:c>
      <x:c r="L86" s="82" t="str">
        <x:v>待定</x:v>
      </x:c>
      <x:c r="M86" s="82" t="str">
        <x:v>待定</x:v>
      </x:c>
      <x:c r="N86" s="68" t="str">
        <x:v>待定</x:v>
      </x:c>
      <x:c r="O86" s="68" t="str">
        <x:v>待定</x:v>
      </x:c>
      <x:c r="P86" s="68" t="str">
        <x:v>待定</x:v>
      </x:c>
      <x:c r="Q86" s="82" t="str">
        <x:v>基本通畅</x:v>
      </x:c>
      <x:c r="R86" s="82" t="str">
        <x:v>其他</x:v>
      </x:c>
      <x:c r="S86" s="68" t="str">
        <x:v>待定</x:v>
      </x:c>
      <x:c r="T86" s="68" t="str">
        <x:v>通关能解决克战，但可能使原局燥热问题升级</x:v>
      </x:c>
      <x:c r="U86" s="68" t="str">
        <x:v>待定</x:v>
      </x:c>
      <x:c r="V86" s="68" t="str">
        <x:v>待定</x:v>
      </x:c>
      <x:c r="W86" s="90" t="str">
        <x:v>若M13判原局已经偏暖/极热或偏燥/极燥，则火性通关可能制造更高优先级调候问题</x:v>
      </x:c>
      <x:c r="X86" s="68" t="str">
        <x:v>M06关系效应、M08五行有效旺衰、M10十神功能与M11组合判断已完成</x:v>
      </x:c>
      <x:c r="Y86" s="68" t="str">
        <x:v>起点、桥梁、终点均按有效力量与实际作用路径判断</x:v>
      </x:c>
      <x:c r="Z86" s="68" t="str">
        <x:v>桥梁有根有源、透达、位置可达且不存在关键制约</x:v>
      </x:c>
      <x:c r="AA86" s="68" t="str">
        <x:v>桥梁失令、无根、受克、合绊、改性或同时被多路调用</x:v>
      </x:c>
      <x:c r="AB86" s="90" t="str">
        <x:v>不得仅因五行缺失、数量少或关系名称直接认定卡点或通关用神</x:v>
      </x:c>
      <x:c r="AC86" s="68" t="str">
        <x:v>若存在更短、更强或副作用更小的替代路径，应并列比较后再裁定</x:v>
      </x:c>
      <x:c r="AD86" s="84" t="str">
        <x:v>通关燥热副作用</x:v>
      </x:c>
      <x:c r="AE86" s="84" t="str">
        <x:v>通关虽然有效但加重燥热时只能列条件性候选：按起点—桥梁—终点检查有效力量、连续性与承载；卡点为“其他”时，仅生成通关候选，不直接定用神。</x:v>
      </x:c>
      <x:c r="AF86" s="82" t="str">
        <x:v>较高</x:v>
      </x:c>
      <x:c r="AG86" s="82" t="str">
        <x:v>现代综合</x:v>
      </x:c>
      <x:c r="AH86" s="68" t="str">
        <x:v>流通判断以五行有效力量、生克顺序与十神功能为核心；古典依据可参照《滴天髓》《渊海子平》。 https://zh.wikisource.org/wiki/%E6%BB%B4%E5%A4%A9%E9%AB%93%E9%97%A1%E5%BE%AE https://zh.wikisource.org/zh-hans/%E6%B7%B5%E6%B5%B7%E5%AD%90%E5%B9%B3</x:v>
      </x:c>
      <x:c r="AI86" s="68" t="str">
        <x:v>当“通关能解决克战，但可能使原局燥热问题升级”真实成立，且桥梁具备有效力量和连续作用条件时，可按“通关虽然有效但加重燥热时只能列条件性候选”记录。</x:v>
      </x:c>
      <x:c r="AJ86" s="90" t="str">
        <x:v>仅见表面缺失或五行相克，但未证明“通关能解决克战，但可能使原局燥热问题升级”形成实际阻断时，不得套用“通关虽然有效但加重燥热时只能列条件性候选”。</x:v>
      </x:c>
      <x:c r="AK86" s="82" t="str">
        <x:v>采用</x:v>
      </x:c>
      <x:c r="AL86" s="82" t="str">
        <x:v>初审</x:v>
      </x:c>
      <x:c r="AM86" s="87" t="n">
        <x:v>46255</x:v>
      </x:c>
    </x:row>
    <x:row r="87">
      <x:c r="A87" s="72" t="str">
        <x:f>IF(OR(C87="",D87=""),"",B87&amp;"-"&amp;UPPER(C87)&amp;"-"&amp;TEXT(D87,"0000")&amp;"-"&amp;E87)</x:f>
        <x:v>M12-TONGGUAN-0081-V1.0</x:v>
      </x:c>
      <x:c r="B87" s="74" t="str">
        <x:v>M12</x:v>
      </x:c>
      <x:c r="C87" s="74" t="str">
        <x:v>TONGGUAN</x:v>
      </x:c>
      <x:c r="D87" s="215" t="n">
        <x:v>81</x:v>
      </x:c>
      <x:c r="E87" s="74" t="str">
        <x:v>V1.0</x:v>
      </x:c>
      <x:c r="F87" s="68" t="str">
        <x:v>通关五行若破坏已成立核心组合需降低优先级</x:v>
      </x:c>
      <x:c r="G87" s="82" t="str">
        <x:v>结构层</x:v>
      </x:c>
      <x:c r="H87" s="68" t="str">
        <x:v>复合路径</x:v>
      </x:c>
      <x:c r="I87" s="68" t="str">
        <x:v>原局主矛盾</x:v>
      </x:c>
      <x:c r="J87" s="68" t="str">
        <x:v>通关候选五行</x:v>
      </x:c>
      <x:c r="K87" s="68" t="str">
        <x:v>被调节对象</x:v>
      </x:c>
      <x:c r="L87" s="82" t="str">
        <x:v>待定</x:v>
      </x:c>
      <x:c r="M87" s="82" t="str">
        <x:v>待定</x:v>
      </x:c>
      <x:c r="N87" s="68" t="str">
        <x:v>待定</x:v>
      </x:c>
      <x:c r="O87" s="68" t="str">
        <x:v>待定</x:v>
      </x:c>
      <x:c r="P87" s="68" t="str">
        <x:v>待定</x:v>
      </x:c>
      <x:c r="Q87" s="82" t="str">
        <x:v>基本通畅</x:v>
      </x:c>
      <x:c r="R87" s="82" t="str">
        <x:v>其他</x:v>
      </x:c>
      <x:c r="S87" s="68" t="str">
        <x:v>待定</x:v>
      </x:c>
      <x:c r="T87" s="68" t="str">
        <x:v>通关五行同时强制格神、关键印食或破坏M11已成立的主组合</x:v>
      </x:c>
      <x:c r="U87" s="68" t="str">
        <x:v>待定</x:v>
      </x:c>
      <x:c r="V87" s="68" t="str">
        <x:v>待定</x:v>
      </x:c>
      <x:c r="W87" s="90" t="str">
        <x:v>解决流通但破坏核心组合时，不得在M12直接推荐为主用，转M17/M18裁决</x:v>
      </x:c>
      <x:c r="X87" s="68" t="str">
        <x:v>M06关系效应、M08五行有效旺衰、M10十神功能与M11组合判断已完成</x:v>
      </x:c>
      <x:c r="Y87" s="68" t="str">
        <x:v>起点、桥梁、终点均按有效力量与实际作用路径判断</x:v>
      </x:c>
      <x:c r="Z87" s="68" t="str">
        <x:v>桥梁有根有源、透达、位置可达且不存在关键制约</x:v>
      </x:c>
      <x:c r="AA87" s="68" t="str">
        <x:v>桥梁失令、无根、受克、合绊、改性或同时被多路调用</x:v>
      </x:c>
      <x:c r="AB87" s="90" t="str">
        <x:v>不得仅因五行缺失、数量少或关系名称直接认定卡点或通关用神</x:v>
      </x:c>
      <x:c r="AC87" s="68" t="str">
        <x:v>若存在更短、更强或副作用更小的替代路径，应并列比较后再裁定</x:v>
      </x:c>
      <x:c r="AD87" s="84" t="str">
        <x:v>通关破结构副作用</x:v>
      </x:c>
      <x:c r="AE87" s="84" t="str">
        <x:v>通关五行若破坏已成立核心组合需降低优先级：按起点—桥梁—终点检查有效力量、连续性与承载；卡点为“其他”时，仅生成通关候选，不直接定用神。</x:v>
      </x:c>
      <x:c r="AF87" s="82" t="str">
        <x:v>较高</x:v>
      </x:c>
      <x:c r="AG87" s="82" t="str">
        <x:v>现代综合</x:v>
      </x:c>
      <x:c r="AH87" s="68" t="str">
        <x:v>流通判断以五行有效力量、生克顺序与十神功能为核心；古典依据可参照《滴天髓》《渊海子平》。 https://zh.wikisource.org/wiki/%E6%BB%B4%E5%A4%A9%E9%AB%93%E9%97%A1%E5%BE%AE https://zh.wikisource.org/zh-hans/%E6%B7%B5%E6%B5%B7%E5%AD%90%E5%B9%B3</x:v>
      </x:c>
      <x:c r="AI87" s="68" t="str">
        <x:v>当“通关五行同时强制格神、关键印食或破坏M11已成立的主组合”真实成立，且桥梁具备有效力量和连续作用条件时，可按“通关五行若破坏已成立核心组合需降低优先级”记录。</x:v>
      </x:c>
      <x:c r="AJ87" s="90" t="str">
        <x:v>仅见表面缺失或五行相克，但未证明“通关五行同时强制格神、关键印食或破坏M11已成立的主组合”形成实际阻断时，不得套用“通关五行若破坏已成立核心组合需降低优先级”。</x:v>
      </x:c>
      <x:c r="AK87" s="82" t="str">
        <x:v>采用</x:v>
      </x:c>
      <x:c r="AL87" s="82" t="str">
        <x:v>初审</x:v>
      </x:c>
      <x:c r="AM87" s="87" t="n">
        <x:v>46255</x:v>
      </x:c>
    </x:row>
    <x:row r="88">
      <x:c r="A88" s="72" t="str">
        <x:f>IF(OR(C88="",D88=""),"",B88&amp;"-"&amp;UPPER(C88)&amp;"-"&amp;TEXT(D88,"0000")&amp;"-"&amp;E88)</x:f>
        <x:v>M12-TONGGUAN-0082-V1.0</x:v>
      </x:c>
      <x:c r="B88" s="74" t="str">
        <x:v>M12</x:v>
      </x:c>
      <x:c r="C88" s="74" t="str">
        <x:v>TONGGUAN</x:v>
      </x:c>
      <x:c r="D88" s="215" t="n">
        <x:v>82</x:v>
      </x:c>
      <x:c r="E88" s="74" t="str">
        <x:v>V1.0</x:v>
      </x:c>
      <x:c r="F88" s="68" t="str">
        <x:v>多个通关候选并存时优先副作用更小者</x:v>
      </x:c>
      <x:c r="G88" s="82" t="str">
        <x:v>结构层</x:v>
      </x:c>
      <x:c r="H88" s="68" t="str">
        <x:v>复合路径</x:v>
      </x:c>
      <x:c r="I88" s="68" t="str">
        <x:v>主矛盾起点</x:v>
      </x:c>
      <x:c r="J88" s="68" t="str">
        <x:v>多个通关候选</x:v>
      </x:c>
      <x:c r="K88" s="68" t="str">
        <x:v>主矛盾终点</x:v>
      </x:c>
      <x:c r="L88" s="82" t="str">
        <x:v>待定</x:v>
      </x:c>
      <x:c r="M88" s="82" t="str">
        <x:v>待定</x:v>
      </x:c>
      <x:c r="N88" s="68" t="str">
        <x:v>待定</x:v>
      </x:c>
      <x:c r="O88" s="68" t="str">
        <x:v>待定</x:v>
      </x:c>
      <x:c r="P88" s="68" t="str">
        <x:v>待定</x:v>
      </x:c>
      <x:c r="Q88" s="82" t="str">
        <x:v>待定</x:v>
      </x:c>
      <x:c r="R88" s="82" t="str">
        <x:v>其他</x:v>
      </x:c>
      <x:c r="S88" s="68" t="str">
        <x:v>待定</x:v>
      </x:c>
      <x:c r="T88" s="68" t="str">
        <x:v>存在两种以上可解决同一卡点的路径</x:v>
      </x:c>
      <x:c r="U88" s="68" t="str">
        <x:v>候选A/B并列</x:v>
      </x:c>
      <x:c r="V88" s="68" t="str">
        <x:v>比较通路强度、所需条件、调候、格局和承载副作用</x:v>
      </x:c>
      <x:c r="W88" s="90" t="str">
        <x:v>需检查对调候、格局、日主承载及其他通路的副作用</x:v>
      </x:c>
      <x:c r="X88" s="68" t="str">
        <x:v>M06关系效应、M08五行有效旺衰、M10十神功能与M11组合判断已完成</x:v>
      </x:c>
      <x:c r="Y88" s="68" t="str">
        <x:v>起点、桥梁、终点均按有效力量与实际作用路径判断</x:v>
      </x:c>
      <x:c r="Z88" s="68" t="str">
        <x:v>桥梁有根有源、透达、位置可达且不存在关键制约</x:v>
      </x:c>
      <x:c r="AA88" s="68" t="str">
        <x:v>桥梁失令、无根、受克、合绊、改性或同时被多路调用</x:v>
      </x:c>
      <x:c r="AB88" s="90" t="str">
        <x:v>不得仅因五行缺失、数量少或关系名称直接认定卡点或通关用神</x:v>
      </x:c>
      <x:c r="AC88" s="68" t="str">
        <x:v>若存在更短、更强或副作用更小的替代路径，应并列比较后再裁定</x:v>
      </x:c>
      <x:c r="AD88" s="84" t="str">
        <x:v>通关候选排序</x:v>
      </x:c>
      <x:c r="AE88" s="84" t="str">
        <x:v>多个通关候选并存时，M12仅排序“通路效率＋副作用”；最终主次由M17/M18裁决。</x:v>
      </x:c>
      <x:c r="AF88" s="82" t="str">
        <x:v>较高</x:v>
      </x:c>
      <x:c r="AG88" s="82" t="str">
        <x:v>现代综合</x:v>
      </x:c>
      <x:c r="AH88" s="68" t="str">
        <x:v>流通判断以五行有效力量、生克顺序与十神功能为核心；古典依据可参照《滴天髓》《渊海子平》。 https://zh.wikisource.org/wiki/%E6%BB%B4%E5%A4%A9%E9%AB%93%E9%97%A1%E5%BE%AE https://zh.wikisource.org/zh-hans/%E6%B7%B5%E6%B5%B7%E5%AD%90%E5%B9%B3</x:v>
      </x:c>
      <x:c r="AI88" s="68" t="str">
        <x:v>当“存在两种以上可解决同一卡点的路径”真实成立，且桥梁具备有效力量和连续作用条件时，可按“多个通关候选并存时优先副作用更小者”记录。</x:v>
      </x:c>
      <x:c r="AJ88" s="90" t="str">
        <x:v>仅见表面缺失或五行相克，但未证明“存在两种以上可解决同一卡点的路径”形成实际阻断时，不得套用“多个通关候选并存时优先副作用更小者”。</x:v>
      </x:c>
      <x:c r="AK88" s="82" t="str">
        <x:v>采用</x:v>
      </x:c>
      <x:c r="AL88" s="82" t="str">
        <x:v>初审</x:v>
      </x:c>
      <x:c r="AM88" s="87" t="n">
        <x:v>46255</x:v>
      </x:c>
    </x:row>
    <x:row r="89">
      <x:c r="A89" s="72" t="str">
        <x:f>IF(OR(C89="",D89=""),"",B89&amp;"-"&amp;UPPER(C89)&amp;"-"&amp;TEXT(D89,"0000")&amp;"-"&amp;E89)</x:f>
        <x:v>M12-AGG-0083-V1.0</x:v>
      </x:c>
      <x:c r="B89" s="74" t="str">
        <x:v>M12</x:v>
      </x:c>
      <x:c r="C89" s="74" t="str">
        <x:v>AGG</x:v>
      </x:c>
      <x:c r="D89" s="215" t="n">
        <x:v>83</x:v>
      </x:c>
      <x:c r="E89" s="74" t="str">
        <x:v>V1.0</x:v>
      </x:c>
      <x:c r="F89" s="68" t="str">
        <x:v>主流通路径按覆盖范围和稳定性排序</x:v>
      </x:c>
      <x:c r="G89" s="82" t="str">
        <x:v>结构层</x:v>
      </x:c>
      <x:c r="H89" s="68" t="str">
        <x:v>综合路径</x:v>
      </x:c>
      <x:c r="I89" s="68" t="str">
        <x:v>多个起点</x:v>
      </x:c>
      <x:c r="J89" s="68" t="str">
        <x:v>多个桥梁</x:v>
      </x:c>
      <x:c r="K89" s="68" t="str">
        <x:v>多个终点</x:v>
      </x:c>
      <x:c r="L89" s="82" t="str">
        <x:v>待定</x:v>
      </x:c>
      <x:c r="M89" s="82" t="str">
        <x:v>待定</x:v>
      </x:c>
      <x:c r="N89" s="68" t="str">
        <x:v>待定</x:v>
      </x:c>
      <x:c r="O89" s="68" t="str">
        <x:v>待定</x:v>
      </x:c>
      <x:c r="P89" s="68" t="str">
        <x:v>待定</x:v>
      </x:c>
      <x:c r="Q89" s="82" t="str">
        <x:v>待定</x:v>
      </x:c>
      <x:c r="R89" s="82" t="str">
        <x:v>其他</x:v>
      </x:c>
      <x:c r="S89" s="68" t="str">
        <x:v>待定</x:v>
      </x:c>
      <x:c r="T89" s="68" t="str">
        <x:v>原局存在多条有效生化链，但作用范围和稳定性不同</x:v>
      </x:c>
      <x:c r="U89" s="68" t="str">
        <x:v>待定</x:v>
      </x:c>
      <x:c r="V89" s="68" t="str">
        <x:v>待定</x:v>
      </x:c>
      <x:c r="W89" s="90" t="str">
        <x:v>需检查对调候、格局、日主承载及其他通路的副作用</x:v>
      </x:c>
      <x:c r="X89" s="68" t="str">
        <x:v>M06关系效应、M08五行有效旺衰、M10十神功能与M11组合判断已完成</x:v>
      </x:c>
      <x:c r="Y89" s="68" t="str">
        <x:v>起点、桥梁、终点均按有效力量与实际作用路径判断</x:v>
      </x:c>
      <x:c r="Z89" s="68" t="str">
        <x:v>桥梁有根有源、透达、位置可达且不存在关键制约</x:v>
      </x:c>
      <x:c r="AA89" s="68" t="str">
        <x:v>桥梁失令、无根、受克、合绊、改性或同时被多路调用</x:v>
      </x:c>
      <x:c r="AB89" s="90" t="str">
        <x:v>不得仅因五行缺失、数量少或关系名称直接认定卡点或通关用神</x:v>
      </x:c>
      <x:c r="AC89" s="68" t="str">
        <x:v>若存在更短、更强或副作用更小的替代路径，应并列比较后再裁定</x:v>
      </x:c>
      <x:c r="AD89" s="84" t="str">
        <x:v>主流通路径排序</x:v>
      </x:c>
      <x:c r="AE89" s="84" t="str">
        <x:v>优先输出覆盖核心五行/十神最多、桥梁最稳定、路径更短且副作用较小的1—3条主流通路径。</x:v>
      </x:c>
      <x:c r="AF89" s="82" t="str">
        <x:v>较高</x:v>
      </x:c>
      <x:c r="AG89" s="82" t="str">
        <x:v>现代综合</x:v>
      </x:c>
      <x:c r="AH89" s="68" t="str">
        <x:v>流通判断以五行有效力量、生克顺序与十神功能为核心；古典依据可参照《滴天髓》《渊海子平》。 https://zh.wikisource.org/wiki/%E6%BB%B4%E5%A4%A9%E9%AB%93%E9%97%A1%E5%BE%AE https://zh.wikisource.org/zh-hans/%E6%B7%B5%E6%B5%B7%E5%AD%90%E5%B9%B3</x:v>
      </x:c>
      <x:c r="AI89" s="68" t="str">
        <x:v>当“原局存在多条有效生化链，但作用范围和稳定性不同”真实成立，且桥梁具备有效力量和连续作用条件时，可按“主流通路径按覆盖范围和稳定性排序”记录。</x:v>
      </x:c>
      <x:c r="AJ89" s="90" t="str">
        <x:v>仅见表面缺失或五行相克，但未证明“原局存在多条有效生化链，但作用范围和稳定性不同”形成实际阻断时，不得套用“主流通路径按覆盖范围和稳定性排序”。</x:v>
      </x:c>
      <x:c r="AK89" s="82" t="str">
        <x:v>采用</x:v>
      </x:c>
      <x:c r="AL89" s="82" t="str">
        <x:v>初审</x:v>
      </x:c>
      <x:c r="AM89" s="87" t="n">
        <x:v>46255</x:v>
      </x:c>
    </x:row>
    <x:row r="90">
      <x:c r="A90" s="72" t="str">
        <x:f>IF(OR(C90="",D90=""),"",B90&amp;"-"&amp;UPPER(C90)&amp;"-"&amp;TEXT(D90,"0000")&amp;"-"&amp;E90)</x:f>
        <x:v>M12-AGG-0084-V1.0</x:v>
      </x:c>
      <x:c r="B90" s="74" t="str">
        <x:v>M12</x:v>
      </x:c>
      <x:c r="C90" s="74" t="str">
        <x:v>AGG</x:v>
      </x:c>
      <x:c r="D90" s="215" t="n">
        <x:v>84</x:v>
      </x:c>
      <x:c r="E90" s="74" t="str">
        <x:v>V1.0</x:v>
      </x:c>
      <x:c r="F90" s="68" t="str">
        <x:v>主卡点按阻断强度和影响范围排序</x:v>
      </x:c>
      <x:c r="G90" s="82" t="str">
        <x:v>结构层</x:v>
      </x:c>
      <x:c r="H90" s="68" t="str">
        <x:v>综合路径</x:v>
      </x:c>
      <x:c r="I90" s="68" t="str">
        <x:v>多路径</x:v>
      </x:c>
      <x:c r="J90" s="68" t="str">
        <x:v>多卡点</x:v>
      </x:c>
      <x:c r="K90" s="68" t="str">
        <x:v>多终点</x:v>
      </x:c>
      <x:c r="L90" s="82" t="str">
        <x:v>待定</x:v>
      </x:c>
      <x:c r="M90" s="82" t="str">
        <x:v>待定</x:v>
      </x:c>
      <x:c r="N90" s="68" t="str">
        <x:v>待定</x:v>
      </x:c>
      <x:c r="O90" s="68" t="str">
        <x:v>待定</x:v>
      </x:c>
      <x:c r="P90" s="68" t="str">
        <x:v>待定</x:v>
      </x:c>
      <x:c r="Q90" s="82" t="str">
        <x:v>局部阻塞</x:v>
      </x:c>
      <x:c r="R90" s="82" t="str">
        <x:v>其他</x:v>
      </x:c>
      <x:c r="S90" s="68" t="str">
        <x:v>待定</x:v>
      </x:c>
      <x:c r="T90" s="68" t="str">
        <x:v>多个卡点对全局影响程度不同</x:v>
      </x:c>
      <x:c r="U90" s="68" t="str">
        <x:v>待定</x:v>
      </x:c>
      <x:c r="V90" s="68" t="str">
        <x:v>待定</x:v>
      </x:c>
      <x:c r="W90" s="90" t="str">
        <x:v>需检查对调候、格局、日主承载及其他通路的副作用</x:v>
      </x:c>
      <x:c r="X90" s="68" t="str">
        <x:v>M06关系效应、M08五行有效旺衰、M10十神功能与M11组合判断已完成</x:v>
      </x:c>
      <x:c r="Y90" s="68" t="str">
        <x:v>起点、桥梁、终点均按有效力量与实际作用路径判断</x:v>
      </x:c>
      <x:c r="Z90" s="68" t="str">
        <x:v>桥梁有根有源、透达、位置可达且不存在关键制约</x:v>
      </x:c>
      <x:c r="AA90" s="68" t="str">
        <x:v>桥梁失令、无根、受克、合绊、改性或同时被多路调用</x:v>
      </x:c>
      <x:c r="AB90" s="90" t="str">
        <x:v>不得仅因五行缺失、数量少或关系名称直接认定卡点或通关用神</x:v>
      </x:c>
      <x:c r="AC90" s="68" t="str">
        <x:v>若存在更短、更强或副作用更小的替代路径，应并列比较后再裁定</x:v>
      </x:c>
      <x:c r="AD90" s="84" t="str">
        <x:v>主卡点排序</x:v>
      </x:c>
      <x:c r="AE90" s="84" t="str">
        <x:v>卡点排序至少考虑：是否切断主路径、涉及核心组合、阻断强度、可替代性和后续副作用。</x:v>
      </x:c>
      <x:c r="AF90" s="82" t="str">
        <x:v>较高</x:v>
      </x:c>
      <x:c r="AG90" s="82" t="str">
        <x:v>现代综合</x:v>
      </x:c>
      <x:c r="AH90" s="68" t="str">
        <x:v>流通判断以五行有效力量、生克顺序与十神功能为核心；古典依据可参照《滴天髓》《渊海子平》。 https://zh.wikisource.org/wiki/%E6%BB%B4%E5%A4%A9%E9%AB%93%E9%97%A1%E5%BE%AE https://zh.wikisource.org/zh-hans/%E6%B7%B5%E6%B5%B7%E5%AD%90%E5%B9%B3</x:v>
      </x:c>
      <x:c r="AI90" s="68" t="str">
        <x:v>当“多个卡点对全局影响程度不同”真实成立，且桥梁具备有效力量和连续作用条件时，可按“主卡点按阻断强度和影响范围排序”记录。</x:v>
      </x:c>
      <x:c r="AJ90" s="90" t="str">
        <x:v>仅见表面缺失或五行相克，但未证明“多个卡点对全局影响程度不同”形成实际阻断时，不得套用“主卡点按阻断强度和影响范围排序”。</x:v>
      </x:c>
      <x:c r="AK90" s="82" t="str">
        <x:v>采用</x:v>
      </x:c>
      <x:c r="AL90" s="82" t="str">
        <x:v>初审</x:v>
      </x:c>
      <x:c r="AM90" s="87" t="n">
        <x:v>46255</x:v>
      </x:c>
    </x:row>
    <x:row r="91">
      <x:c r="A91" s="72" t="str">
        <x:f>IF(OR(C91="",D91=""),"",B91&amp;"-"&amp;UPPER(C91)&amp;"-"&amp;TEXT(D91,"0000")&amp;"-"&amp;E91)</x:f>
        <x:v>M12-AGG-0085-V1.0</x:v>
      </x:c>
      <x:c r="B91" s="74" t="str">
        <x:v>M12</x:v>
      </x:c>
      <x:c r="C91" s="74" t="str">
        <x:v>AGG</x:v>
      </x:c>
      <x:c r="D91" s="215" t="n">
        <x:v>85</x:v>
      </x:c>
      <x:c r="E91" s="74" t="str">
        <x:v>V1.0</x:v>
      </x:c>
      <x:c r="F91" s="68" t="str">
        <x:v>流通结论必须保留反向证据</x:v>
      </x:c>
      <x:c r="G91" s="82" t="str">
        <x:v>结构层</x:v>
      </x:c>
      <x:c r="H91" s="68" t="str">
        <x:v>综合路径</x:v>
      </x:c>
      <x:c r="I91" s="68" t="str">
        <x:v>主路径</x:v>
      </x:c>
      <x:c r="J91" s="68" t="str">
        <x:v>关键桥梁</x:v>
      </x:c>
      <x:c r="K91" s="68" t="str">
        <x:v>终点</x:v>
      </x:c>
      <x:c r="L91" s="82" t="str">
        <x:v>待定</x:v>
      </x:c>
      <x:c r="M91" s="82" t="str">
        <x:v>待定</x:v>
      </x:c>
      <x:c r="N91" s="68" t="str">
        <x:v>待定</x:v>
      </x:c>
      <x:c r="O91" s="68" t="str">
        <x:v>待定</x:v>
      </x:c>
      <x:c r="P91" s="68" t="str">
        <x:v>待定</x:v>
      </x:c>
      <x:c r="Q91" s="82" t="str">
        <x:v>待定</x:v>
      </x:c>
      <x:c r="R91" s="82" t="str">
        <x:v>其他</x:v>
      </x:c>
      <x:c r="S91" s="68" t="str">
        <x:v>待定</x:v>
      </x:c>
      <x:c r="T91" s="68" t="str">
        <x:v>主结论存在支持与反对证据并存</x:v>
      </x:c>
      <x:c r="U91" s="68" t="str">
        <x:v>待定</x:v>
      </x:c>
      <x:c r="V91" s="68" t="str">
        <x:v>待定</x:v>
      </x:c>
      <x:c r="W91" s="90" t="str">
        <x:v>需检查对调候、格局、日主承载及其他通路的副作用</x:v>
      </x:c>
      <x:c r="X91" s="68" t="str">
        <x:v>M06关系效应、M08五行有效旺衰、M10十神功能与M11组合判断已完成</x:v>
      </x:c>
      <x:c r="Y91" s="68" t="str">
        <x:v>起点、桥梁、终点均按有效力量与实际作用路径判断</x:v>
      </x:c>
      <x:c r="Z91" s="68" t="str">
        <x:v>桥梁有根有源、透达、位置可达且不存在关键制约</x:v>
      </x:c>
      <x:c r="AA91" s="68" t="str">
        <x:v>桥梁失令、无根、受克、合绊、改性或同时被多路调用</x:v>
      </x:c>
      <x:c r="AB91" s="90" t="str">
        <x:v>不得仅因五行缺失、数量少或关系名称直接认定卡点或通关用神</x:v>
      </x:c>
      <x:c r="AC91" s="68" t="str">
        <x:v>若存在更短、更强或副作用更小的替代路径，应并列比较后再裁定</x:v>
      </x:c>
      <x:c r="AD91" s="84" t="str">
        <x:v>流通反证输出</x:v>
      </x:c>
      <x:c r="AE91" s="84" t="str">
        <x:v>每个主路径/卡点同时记录支持证据、反向证据、替代路径与置信度；争议大时降低置信度。</x:v>
      </x:c>
      <x:c r="AF91" s="82" t="str">
        <x:v>较高</x:v>
      </x:c>
      <x:c r="AG91" s="82" t="str">
        <x:v>现代综合</x:v>
      </x:c>
      <x:c r="AH91" s="68" t="str">
        <x:v>流通判断以五行有效力量、生克顺序与十神功能为核心；古典依据可参照《滴天髓》《渊海子平》。 https://zh.wikisource.org/wiki/%E6%BB%B4%E5%A4%A9%E9%AB%93%E9%97%A1%E5%BE%AE https://zh.wikisource.org/zh-hans/%E6%B7%B5%E6%B5%B7%E5%AD%90%E5%B9%B3</x:v>
      </x:c>
      <x:c r="AI91" s="68" t="str">
        <x:v>当“主结论存在支持与反对证据并存”真实成立，且桥梁具备有效力量和连续作用条件时，可按“流通结论必须保留反向证据”记录。</x:v>
      </x:c>
      <x:c r="AJ91" s="90" t="str">
        <x:v>仅见表面缺失或五行相克，但未证明“主结论存在支持与反对证据并存”形成实际阻断时，不得套用“流通结论必须保留反向证据”。</x:v>
      </x:c>
      <x:c r="AK91" s="82" t="str">
        <x:v>采用</x:v>
      </x:c>
      <x:c r="AL91" s="82" t="str">
        <x:v>初审</x:v>
      </x:c>
      <x:c r="AM91" s="87" t="n">
        <x:v>46255</x:v>
      </x:c>
    </x:row>
    <x:row r="92">
      <x:c r="A92" s="72" t="str">
        <x:f>IF(OR(C92="",D92=""),"",B92&amp;"-"&amp;UPPER(C92)&amp;"-"&amp;TEXT(D92,"0000")&amp;"-"&amp;E92)</x:f>
        <x:v>M12-AGG-0086-V1.0</x:v>
      </x:c>
      <x:c r="B92" s="74" t="str">
        <x:v>M12</x:v>
      </x:c>
      <x:c r="C92" s="74" t="str">
        <x:v>AGG</x:v>
      </x:c>
      <x:c r="D92" s="215" t="n">
        <x:v>86</x:v>
      </x:c>
      <x:c r="E92" s="74" t="str">
        <x:v>V1.0</x:v>
      </x:c>
      <x:c r="F92" s="68" t="str">
        <x:v>M12最终输出统一包含路径、卡点、通关和副作用</x:v>
      </x:c>
      <x:c r="G92" s="82" t="str">
        <x:v>结构层</x:v>
      </x:c>
      <x:c r="H92" s="68" t="str">
        <x:v>综合路径</x:v>
      </x:c>
      <x:c r="I92" s="68" t="str">
        <x:v>主起点</x:v>
      </x:c>
      <x:c r="J92" s="68" t="str">
        <x:v>主桥梁</x:v>
      </x:c>
      <x:c r="K92" s="68" t="str">
        <x:v>主终点</x:v>
      </x:c>
      <x:c r="L92" s="82" t="str">
        <x:v>待定</x:v>
      </x:c>
      <x:c r="M92" s="82" t="str">
        <x:v>待定</x:v>
      </x:c>
      <x:c r="N92" s="68" t="str">
        <x:v>待定</x:v>
      </x:c>
      <x:c r="O92" s="68" t="str">
        <x:v>待定</x:v>
      </x:c>
      <x:c r="P92" s="68" t="str">
        <x:v>待定</x:v>
      </x:c>
      <x:c r="Q92" s="82" t="str">
        <x:v>待定</x:v>
      </x:c>
      <x:c r="R92" s="82" t="str">
        <x:v>其他</x:v>
      </x:c>
      <x:c r="S92" s="68" t="str">
        <x:v>待定</x:v>
      </x:c>
      <x:c r="T92" s="68" t="str">
        <x:v>M12完成全局流通扫描</x:v>
      </x:c>
      <x:c r="U92" s="68" t="str">
        <x:v>待定</x:v>
      </x:c>
      <x:c r="V92" s="68" t="str">
        <x:v>待定</x:v>
      </x:c>
      <x:c r="W92" s="90" t="str">
        <x:v>需检查对调候、格局、日主承载及其他通路的副作用</x:v>
      </x:c>
      <x:c r="X92" s="68" t="str">
        <x:v>M06关系效应、M08五行有效旺衰、M10十神功能与M11组合判断已完成</x:v>
      </x:c>
      <x:c r="Y92" s="68" t="str">
        <x:v>起点、桥梁、终点均按有效力量与实际作用路径判断</x:v>
      </x:c>
      <x:c r="Z92" s="68" t="str">
        <x:v>桥梁有根有源、透达、位置可达且不存在关键制约</x:v>
      </x:c>
      <x:c r="AA92" s="68" t="str">
        <x:v>桥梁失令、无根、受克、合绊、改性或同时被多路调用</x:v>
      </x:c>
      <x:c r="AB92" s="90" t="str">
        <x:v>不得仅因五行缺失、数量少或关系名称直接认定卡点或通关用神</x:v>
      </x:c>
      <x:c r="AC92" s="68" t="str">
        <x:v>若存在更短、更强或副作用更小的替代路径，应并列比较后再裁定</x:v>
      </x:c>
      <x:c r="AD92" s="84" t="str">
        <x:v>M12标准输出</x:v>
      </x:c>
      <x:c r="AE92" s="84" t="str">
        <x:v>M12最终至少输出：主流通路径、起点强度、关键桥梁及状态、终点承载、流通状态、主卡点、卡点原因、通关候选、成立条件、副作用、替代路径与置信度。</x:v>
      </x:c>
      <x:c r="AF92" s="82" t="str">
        <x:v>较高</x:v>
      </x:c>
      <x:c r="AG92" s="82" t="str">
        <x:v>现代综合</x:v>
      </x:c>
      <x:c r="AH92" s="68" t="str">
        <x:v>流通判断以五行有效力量、生克顺序与十神功能为核心；古典依据可参照《滴天髓》《渊海子平》。 https://zh.wikisource.org/wiki/%E6%BB%B4%E5%A4%A9%E9%AB%93%E9%97%A1%E5%BE%AE https://zh.wikisource.org/zh-hans/%E6%B7%B5%E6%B5%B7%E5%AD%90%E5%B9%B3</x:v>
      </x:c>
      <x:c r="AI92" s="68" t="str">
        <x:v>当“M12完成全局流通扫描”真实成立，且桥梁具备有效力量和连续作用条件时，可按“M12最终输出统一包含路径、卡点、通关和副作用”记录。</x:v>
      </x:c>
      <x:c r="AJ92" s="90" t="str">
        <x:v>仅见表面缺失或五行相克，但未证明“M12完成全局流通扫描”形成实际阻断时，不得套用“M12最终输出统一包含路径、卡点、通关和副作用”。</x:v>
      </x:c>
      <x:c r="AK92" s="82" t="str">
        <x:v>采用</x:v>
      </x:c>
      <x:c r="AL92" s="82" t="str">
        <x:v>初审</x:v>
      </x:c>
      <x:c r="AM92" s="87" t="n">
        <x:v>46255</x:v>
      </x:c>
    </x:row>
    <x:row r="93">
      <x:c r="A93" s="72" t="str">
        <x:f>IF(OR(C93="",D93=""),"",B93&amp;"-"&amp;UPPER(C93)&amp;"-"&amp;TEXT(D93,"0000")&amp;"-"&amp;E93)</x:f>
        <x:v>M12-BOUND-0087-V1.0</x:v>
      </x:c>
      <x:c r="B93" s="74" t="str">
        <x:v>M12</x:v>
      </x:c>
      <x:c r="C93" s="74" t="str">
        <x:v>BOUND</x:v>
      </x:c>
      <x:c r="D93" s="215" t="n">
        <x:v>87</x:v>
      </x:c>
      <x:c r="E93" s="74" t="str">
        <x:v>V1.0</x:v>
      </x:c>
      <x:c r="F93" s="68" t="str">
        <x:v>缺什么补什么不属于M12规则</x:v>
      </x:c>
      <x:c r="G93" s="82" t="str">
        <x:v>结构层</x:v>
      </x:c>
      <x:c r="H93" s="68" t="str">
        <x:v>五行生化路径</x:v>
      </x:c>
      <x:c r="I93" s="68" t="str">
        <x:v>待定</x:v>
      </x:c>
      <x:c r="J93" s="68" t="str">
        <x:v>待定</x:v>
      </x:c>
      <x:c r="K93" s="68" t="str">
        <x:v>待定</x:v>
      </x:c>
      <x:c r="L93" s="82" t="str">
        <x:v>待定</x:v>
      </x:c>
      <x:c r="M93" s="82" t="str">
        <x:v>待定</x:v>
      </x:c>
      <x:c r="N93" s="68" t="str">
        <x:v>待定</x:v>
      </x:c>
      <x:c r="O93" s="68" t="str">
        <x:v>待定</x:v>
      </x:c>
      <x:c r="P93" s="68" t="str">
        <x:v>待定</x:v>
      </x:c>
      <x:c r="Q93" s="82" t="str">
        <x:v>待定</x:v>
      </x:c>
      <x:c r="R93" s="82" t="str">
        <x:v>缺桥</x:v>
      </x:c>
      <x:c r="S93" s="68" t="str">
        <x:v>待定</x:v>
      </x:c>
      <x:c r="T93" s="68" t="str">
        <x:v>仅因某五行在八字中缺失就直接判断需要补入</x:v>
      </x:c>
      <x:c r="U93" s="68" t="str">
        <x:v>待定</x:v>
      </x:c>
      <x:c r="V93" s="68" t="str">
        <x:v>待定</x:v>
      </x:c>
      <x:c r="W93" s="90" t="str">
        <x:v>需检查对调候、格局、日主承载及其他通路的副作用</x:v>
      </x:c>
      <x:c r="X93" s="68" t="str">
        <x:v>M06关系效应、M08五行有效旺衰、M10十神功能与M11组合判断已完成</x:v>
      </x:c>
      <x:c r="Y93" s="68" t="str">
        <x:v>起点、桥梁、终点均按有效力量与实际作用路径判断</x:v>
      </x:c>
      <x:c r="Z93" s="68" t="str">
        <x:v>桥梁有根有源、透达、位置可达且不存在关键制约</x:v>
      </x:c>
      <x:c r="AA93" s="68" t="str">
        <x:v>桥梁失令、无根、受克、合绊、改性或同时被多路调用</x:v>
      </x:c>
      <x:c r="AB93" s="90" t="str">
        <x:v>只有当该缺失五行确为关键路径不可替代桥梁，并且补入副作用可接受时，才能列为通关候选</x:v>
      </x:c>
      <x:c r="AC93" s="68" t="str">
        <x:v>若存在更短、更强或副作用更小的替代路径，应并列比较后再裁定</x:v>
      </x:c>
      <x:c r="AD93" s="84" t="str">
        <x:v>禁止缺啥补啥</x:v>
      </x:c>
      <x:c r="AE93" s="84" t="str">
        <x:v>缺什么补什么不属于M12规则：按起点—桥梁—终点检查有效力量、连续性与承载；卡点为“缺桥”时，仅生成通关候选，不直接定用神。</x:v>
      </x:c>
      <x:c r="AF93" s="82" t="str">
        <x:v>较高</x:v>
      </x:c>
      <x:c r="AG93" s="82" t="str">
        <x:v>现代综合</x:v>
      </x:c>
      <x:c r="AH93" s="68" t="str">
        <x:v>流通判断以五行有效力量、生克顺序与十神功能为核心；古典依据可参照《滴天髓》《渊海子平》。 https://zh.wikisource.org/wiki/%E6%BB%B4%E5%A4%A9%E9%AB%93%E9%97%A1%E5%BE%AE https://zh.wikisource.org/zh-hans/%E6%B7%B5%E6%B5%B7%E5%AD%90%E5%B9%B3</x:v>
      </x:c>
      <x:c r="AI93" s="68" t="str">
        <x:v>当“仅因某五行在八字中缺失就直接判断需要补入”真实成立，且桥梁具备有效力量和连续作用条件时，可按“缺什么补什么不属于M12规则”记录。</x:v>
      </x:c>
      <x:c r="AJ93" s="90" t="str">
        <x:v>仅见表面缺失或五行相克，但未证明“仅因某五行在八字中缺失就直接判断需要补入”形成实际阻断时，不得套用“缺什么补什么不属于M12规则”。</x:v>
      </x:c>
      <x:c r="AK93" s="82" t="str">
        <x:v>采用</x:v>
      </x:c>
      <x:c r="AL93" s="82" t="str">
        <x:v>初审</x:v>
      </x:c>
      <x:c r="AM93" s="87" t="n">
        <x:v>46255</x:v>
      </x:c>
    </x:row>
    <x:row r="94">
      <x:c r="A94" s="72" t="str">
        <x:f>IF(OR(C94="",D94=""),"",B94&amp;"-"&amp;UPPER(C94)&amp;"-"&amp;TEXT(D94,"0000")&amp;"-"&amp;E94)</x:f>
        <x:v>M12-BOUND-0088-V1.0</x:v>
      </x:c>
      <x:c r="B94" s="74" t="str">
        <x:v>M12</x:v>
      </x:c>
      <x:c r="C94" s="74" t="str">
        <x:v>BOUND</x:v>
      </x:c>
      <x:c r="D94" s="215" t="n">
        <x:v>88</x:v>
      </x:c>
      <x:c r="E94" s="74" t="str">
        <x:v>V1.0</x:v>
      </x:c>
      <x:c r="F94" s="68" t="str">
        <x:v>旺而不流通与力量弱必须区分</x:v>
      </x:c>
      <x:c r="G94" s="82" t="str">
        <x:v>结构层</x:v>
      </x:c>
      <x:c r="H94" s="68" t="str">
        <x:v>五行生化路径</x:v>
      </x:c>
      <x:c r="I94" s="68" t="str">
        <x:v>旺强五行</x:v>
      </x:c>
      <x:c r="J94" s="68" t="str">
        <x:v>失效下游</x:v>
      </x:c>
      <x:c r="K94" s="68" t="str">
        <x:v>终点</x:v>
      </x:c>
      <x:c r="L94" s="82" t="str">
        <x:v>旺</x:v>
      </x:c>
      <x:c r="M94" s="82" t="str">
        <x:v>待定</x:v>
      </x:c>
      <x:c r="N94" s="68" t="str">
        <x:v>待定</x:v>
      </x:c>
      <x:c r="O94" s="68" t="str">
        <x:v>待定</x:v>
      </x:c>
      <x:c r="P94" s="68" t="str">
        <x:v>待定</x:v>
      </x:c>
      <x:c r="Q94" s="82" t="str">
        <x:v>局部阻塞</x:v>
      </x:c>
      <x:c r="R94" s="82" t="str">
        <x:v>源头过旺无泄</x:v>
      </x:c>
      <x:c r="S94" s="68" t="str">
        <x:v>待定</x:v>
      </x:c>
      <x:c r="T94" s="68" t="str">
        <x:v>起点本身很强，但缺少有效输出路径</x:v>
      </x:c>
      <x:c r="U94" s="68" t="str">
        <x:v>待定</x:v>
      </x:c>
      <x:c r="V94" s="68" t="str">
        <x:v>待定</x:v>
      </x:c>
      <x:c r="W94" s="90" t="str">
        <x:v>需检查对调候、格局、日主承载及其他通路的副作用</x:v>
      </x:c>
      <x:c r="X94" s="68" t="str">
        <x:v>M06关系效应、M08五行有效旺衰、M10十神功能与M11组合判断已完成</x:v>
      </x:c>
      <x:c r="Y94" s="68" t="str">
        <x:v>起点、桥梁、终点均按有效力量与实际作用路径判断</x:v>
      </x:c>
      <x:c r="Z94" s="68" t="str">
        <x:v>桥梁有根有源、透达、位置可达且不存在关键制约</x:v>
      </x:c>
      <x:c r="AA94" s="68" t="str">
        <x:v>桥梁失令、无根、受克、合绊、改性或同时被多路调用</x:v>
      </x:c>
      <x:c r="AB94" s="90" t="str">
        <x:v>不得仅因五行缺失、数量少或关系名称直接认定卡点或通关用神</x:v>
      </x:c>
      <x:c r="AC94" s="68" t="str">
        <x:v>若存在更短、更强或副作用更小的替代路径，应并列比较后再裁定</x:v>
      </x:c>
      <x:c r="AD94" s="84" t="str">
        <x:v>力量与流通分离</x:v>
      </x:c>
      <x:c r="AE94" s="84" t="str">
        <x:v>旺而不流通仍判该五行旺；流通问题记录为功能壅塞，不得因此把五行旺衰下调为弱。</x:v>
      </x:c>
      <x:c r="AF94" s="82" t="str">
        <x:v>较高</x:v>
      </x:c>
      <x:c r="AG94" s="82" t="str">
        <x:v>现代综合</x:v>
      </x:c>
      <x:c r="AH94" s="68" t="str">
        <x:v>流通判断以五行有效力量、生克顺序与十神功能为核心；古典依据可参照《滴天髓》《渊海子平》。 https://zh.wikisource.org/wiki/%E6%BB%B4%E5%A4%A9%E9%AB%93%E9%97%A1%E5%BE%AE https://zh.wikisource.org/zh-hans/%E6%B7%B5%E6%B5%B7%E5%AD%90%E5%B9%B3</x:v>
      </x:c>
      <x:c r="AI94" s="68" t="str">
        <x:v>当“起点本身很强，但缺少有效输出路径”真实成立，且桥梁具备有效力量和连续作用条件时，可按“旺而不流通与力量弱必须区分”记录。</x:v>
      </x:c>
      <x:c r="AJ94" s="90" t="str">
        <x:v>仅见表面缺失或五行相克，但未证明“起点本身很强，但缺少有效输出路径”形成实际阻断时，不得套用“旺而不流通与力量弱必须区分”。</x:v>
      </x:c>
      <x:c r="AK94" s="82" t="str">
        <x:v>采用</x:v>
      </x:c>
      <x:c r="AL94" s="82" t="str">
        <x:v>初审</x:v>
      </x:c>
      <x:c r="AM94" s="87" t="n">
        <x:v>46255</x:v>
      </x:c>
    </x:row>
    <x:row r="95">
      <x:c r="A95" s="72" t="str">
        <x:f>IF(OR(C95="",D95=""),"",B95&amp;"-"&amp;UPPER(C95)&amp;"-"&amp;TEXT(D95,"0000")&amp;"-"&amp;E95)</x:f>
        <x:v>M12-BOUND-0089-V1.0</x:v>
      </x:c>
      <x:c r="B95" s="74" t="str">
        <x:v>M12</x:v>
      </x:c>
      <x:c r="C95" s="74" t="str">
        <x:v>BOUND</x:v>
      </x:c>
      <x:c r="D95" s="215" t="n">
        <x:v>89</x:v>
      </x:c>
      <x:c r="E95" s="74" t="str">
        <x:v>V1.0</x:v>
      </x:c>
      <x:c r="F95" s="68" t="str">
        <x:v>流通通畅不等于该路径一定为喜</x:v>
      </x:c>
      <x:c r="G95" s="82" t="str">
        <x:v>结构层</x:v>
      </x:c>
      <x:c r="H95" s="68" t="str">
        <x:v>五行生化路径</x:v>
      </x:c>
      <x:c r="I95" s="68" t="str">
        <x:v>待定</x:v>
      </x:c>
      <x:c r="J95" s="68" t="str">
        <x:v>待定</x:v>
      </x:c>
      <x:c r="K95" s="68" t="str">
        <x:v>待定</x:v>
      </x:c>
      <x:c r="L95" s="82" t="str">
        <x:v>待定</x:v>
      </x:c>
      <x:c r="M95" s="82" t="str">
        <x:v>待定</x:v>
      </x:c>
      <x:c r="N95" s="68" t="str">
        <x:v>待定</x:v>
      </x:c>
      <x:c r="O95" s="68" t="str">
        <x:v>待定</x:v>
      </x:c>
      <x:c r="P95" s="68" t="str">
        <x:v>待定</x:v>
      </x:c>
      <x:c r="Q95" s="82" t="str">
        <x:v>通畅</x:v>
      </x:c>
      <x:c r="R95" s="82" t="str">
        <x:v>其他</x:v>
      </x:c>
      <x:c r="S95" s="68" t="str">
        <x:v>待定</x:v>
      </x:c>
      <x:c r="T95" s="68" t="str">
        <x:v>某条生化链连续有效，但最终可能增强忌神、破坏格局或加重调候问题</x:v>
      </x:c>
      <x:c r="U95" s="68" t="str">
        <x:v>待定</x:v>
      </x:c>
      <x:c r="V95" s="68" t="str">
        <x:v>待定</x:v>
      </x:c>
      <x:c r="W95" s="90" t="str">
        <x:v>通畅只描述能量传递效率，价值判断转M16/M17/M18</x:v>
      </x:c>
      <x:c r="X95" s="68" t="str">
        <x:v>M06关系效应、M08五行有效旺衰、M10十神功能与M11组合判断已完成</x:v>
      </x:c>
      <x:c r="Y95" s="68" t="str">
        <x:v>起点、桥梁、终点均按有效力量与实际作用路径判断</x:v>
      </x:c>
      <x:c r="Z95" s="68" t="str">
        <x:v>桥梁有根有源、透达、位置可达且不存在关键制约</x:v>
      </x:c>
      <x:c r="AA95" s="68" t="str">
        <x:v>桥梁失令、无根、受克、合绊、改性或同时被多路调用</x:v>
      </x:c>
      <x:c r="AB95" s="90" t="str">
        <x:v>不得仅因五行缺失、数量少或关系名称直接认定卡点或通关用神</x:v>
      </x:c>
      <x:c r="AC95" s="68" t="str">
        <x:v>若存在更短、更强或副作用更小的替代路径，应并列比较后再裁定</x:v>
      </x:c>
      <x:c r="AD95" s="84" t="str">
        <x:v>流通与喜忌分离</x:v>
      </x:c>
      <x:c r="AE95" s="84" t="str">
        <x:v>流通通畅不等于该路径一定为喜：按起点—桥梁—终点检查有效力量、连续性与承载；卡点为“其他”时，仅生成通关候选，不直接定用神。</x:v>
      </x:c>
      <x:c r="AF95" s="82" t="str">
        <x:v>较高</x:v>
      </x:c>
      <x:c r="AG95" s="82" t="str">
        <x:v>现代综合</x:v>
      </x:c>
      <x:c r="AH95" s="68" t="str">
        <x:v>流通判断以五行有效力量、生克顺序与十神功能为核心；古典依据可参照《滴天髓》《渊海子平》。 https://zh.wikisource.org/wiki/%E6%BB%B4%E5%A4%A9%E9%AB%93%E9%97%A1%E5%BE%AE https://zh.wikisource.org/zh-hans/%E6%B7%B5%E6%B5%B7%E5%AD%90%E5%B9%B3</x:v>
      </x:c>
      <x:c r="AI95" s="68" t="str">
        <x:v>当“某条生化链连续有效，但最终可能增强忌神、破坏格局或加重调候问题”真实成立，且桥梁具备有效力量和连续作用条件时，可按“流通通畅不等于该路径一定为喜”记录。</x:v>
      </x:c>
      <x:c r="AJ95" s="90" t="str">
        <x:v>仅见表面缺失或五行相克，但未证明“某条生化链连续有效，但最终可能增强忌神、破坏格局或加重调候问题”形成实际阻断时，不得套用“流通通畅不等于该路径一定为喜”。</x:v>
      </x:c>
      <x:c r="AK95" s="82" t="str">
        <x:v>采用</x:v>
      </x:c>
      <x:c r="AL95" s="82" t="str">
        <x:v>初审</x:v>
      </x:c>
      <x:c r="AM95" s="87" t="n">
        <x:v>46255</x:v>
      </x:c>
    </x:row>
    <x:row r="96">
      <x:c r="A96" s="72" t="str">
        <x:f>IF(OR(C96="",D96=""),"",B96&amp;"-"&amp;UPPER(C96)&amp;"-"&amp;TEXT(D96,"0000")&amp;"-"&amp;E96)</x:f>
        <x:v>M12-BOUND-0090-V1.0</x:v>
      </x:c>
      <x:c r="B96" s="74" t="str">
        <x:v>M12</x:v>
      </x:c>
      <x:c r="C96" s="74" t="str">
        <x:v>BOUND</x:v>
      </x:c>
      <x:c r="D96" s="215" t="n">
        <x:v>90</x:v>
      </x:c>
      <x:c r="E96" s="74" t="str">
        <x:v>V1.0</x:v>
      </x:c>
      <x:c r="F96" s="68" t="str">
        <x:v>M12不直接输出具体事件或岁运时间</x:v>
      </x:c>
      <x:c r="G96" s="82" t="str">
        <x:v>结构层</x:v>
      </x:c>
      <x:c r="H96" s="68" t="str">
        <x:v>五行生化路径</x:v>
      </x:c>
      <x:c r="I96" s="68" t="str">
        <x:v>待定</x:v>
      </x:c>
      <x:c r="J96" s="68" t="str">
        <x:v>待定</x:v>
      </x:c>
      <x:c r="K96" s="68" t="str">
        <x:v>待定</x:v>
      </x:c>
      <x:c r="L96" s="82" t="str">
        <x:v>待定</x:v>
      </x:c>
      <x:c r="M96" s="82" t="str">
        <x:v>待定</x:v>
      </x:c>
      <x:c r="N96" s="68" t="str">
        <x:v>待定</x:v>
      </x:c>
      <x:c r="O96" s="68" t="str">
        <x:v>待定</x:v>
      </x:c>
      <x:c r="P96" s="68" t="str">
        <x:v>待定</x:v>
      </x:c>
      <x:c r="Q96" s="82" t="str">
        <x:v>待定</x:v>
      </x:c>
      <x:c r="R96" s="82" t="str">
        <x:v>其他</x:v>
      </x:c>
      <x:c r="S96" s="68" t="str">
        <x:v>待定</x:v>
      </x:c>
      <x:c r="T96" s="68" t="str">
        <x:v>流通和卡点属于原局静态结构</x:v>
      </x:c>
      <x:c r="U96" s="68" t="str">
        <x:v>待定</x:v>
      </x:c>
      <x:c r="V96" s="68" t="str">
        <x:v>待定</x:v>
      </x:c>
      <x:c r="W96" s="90" t="str">
        <x:v>需检查对调候、格局、日主承载及其他通路的副作用</x:v>
      </x:c>
      <x:c r="X96" s="68" t="str">
        <x:v>M06关系效应、M08五行有效旺衰、M10十神功能与M11组合判断已完成</x:v>
      </x:c>
      <x:c r="Y96" s="68" t="str">
        <x:v>起点、桥梁、终点均按有效力量与实际作用路径判断</x:v>
      </x:c>
      <x:c r="Z96" s="68" t="str">
        <x:v>桥梁有根有源、透达、位置可达且不存在关键制约</x:v>
      </x:c>
      <x:c r="AA96" s="68" t="str">
        <x:v>桥梁失令、无根、受克、合绊、改性或同时被多路调用</x:v>
      </x:c>
      <x:c r="AB96" s="90" t="str">
        <x:v>不得仅因五行缺失、数量少或关系名称直接认定卡点或通关用神</x:v>
      </x:c>
      <x:c r="AC96" s="68" t="str">
        <x:v>岁运如何补桥、冲开或加重卡点由后续动态作用引擎判断</x:v>
      </x:c>
      <x:c r="AD96" s="84" t="str">
        <x:v>流通静动态边界</x:v>
      </x:c>
      <x:c r="AE96" s="84" t="str">
        <x:v>M12只输出原局路径与卡点，不直接断某年某事。</x:v>
      </x:c>
      <x:c r="AF96" s="82" t="str">
        <x:v>较高</x:v>
      </x:c>
      <x:c r="AG96" s="82" t="str">
        <x:v>现代综合</x:v>
      </x:c>
      <x:c r="AH96" s="68" t="str">
        <x:v>流通判断以五行有效力量、生克顺序与十神功能为核心；古典依据可参照《滴天髓》《渊海子平》。 https://zh.wikisource.org/wiki/%E6%BB%B4%E5%A4%A9%E9%AB%93%E9%97%A1%E5%BE%AE https://zh.wikisource.org/zh-hans/%E6%B7%B5%E6%B5%B7%E5%AD%90%E5%B9%B3</x:v>
      </x:c>
      <x:c r="AI96" s="68" t="str">
        <x:v>当“流通和卡点属于原局静态结构”真实成立，且桥梁具备有效力量和连续作用条件时，可按“M12不直接输出具体事件或岁运时间”记录。</x:v>
      </x:c>
      <x:c r="AJ96" s="90" t="str">
        <x:v>仅见表面缺失或五行相克，但未证明“流通和卡点属于原局静态结构”形成实际阻断时，不得套用“M12不直接输出具体事件或岁运时间”。</x:v>
      </x:c>
      <x:c r="AK96" s="82" t="str">
        <x:v>采用</x:v>
      </x:c>
      <x:c r="AL96" s="82" t="str">
        <x:v>初审</x:v>
      </x:c>
      <x:c r="AM96" s="87" t="n">
        <x:v>46255</x:v>
      </x:c>
    </x:row>
    <x:row r="97">
      <x:c r="A97" s="72" t="str">
        <x:f>IF(OR(C97="",D97=""),"",B97&amp;"-"&amp;UPPER(C97)&amp;"-"&amp;TEXT(D97,"0000")&amp;"-"&amp;E97)</x:f>
      </x:c>
      <x:c r="B97" s="74" t="str">
        <x:v>M12</x:v>
      </x:c>
      <x:c r="C97" s="74"/>
      <x:c r="D97" s="79"/>
      <x:c r="E97" s="74" t="str">
        <x:v>V1.0</x:v>
      </x:c>
      <x:c r="F97" s="68"/>
      <x:c r="G97" s="82"/>
      <x:c r="H97" s="68"/>
      <x:c r="I97" s="68"/>
      <x:c r="J97" s="68"/>
      <x:c r="K97" s="68"/>
      <x:c r="L97" s="82"/>
      <x:c r="M97" s="82"/>
      <x:c r="N97" s="68"/>
      <x:c r="O97" s="68"/>
      <x:c r="P97" s="68"/>
      <x:c r="Q97" s="82"/>
      <x:c r="R97" s="82"/>
      <x:c r="S97" s="68"/>
      <x:c r="T97" s="68"/>
      <x:c r="U97" s="68"/>
      <x:c r="V97" s="68"/>
      <x:c r="W97" s="90"/>
      <x:c r="X97" s="68"/>
      <x:c r="Y97" s="68"/>
      <x:c r="Z97" s="68"/>
      <x:c r="AA97" s="68"/>
      <x:c r="AB97" s="90"/>
      <x:c r="AC97" s="68"/>
      <x:c r="AD97" s="84"/>
      <x:c r="AE97" s="84"/>
      <x:c r="AF97" s="82"/>
      <x:c r="AG97" s="82"/>
      <x:c r="AH97" s="68"/>
      <x:c r="AI97" s="68"/>
      <x:c r="AJ97" s="90"/>
      <x:c r="AK97" s="82"/>
      <x:c r="AL97" s="82"/>
      <x:c r="AM97" s="87"/>
    </x:row>
    <x:row r="98">
      <x:c r="A98" s="72" t="str">
        <x:f>IF(OR(C98="",D98=""),"",B98&amp;"-"&amp;UPPER(C98)&amp;"-"&amp;TEXT(D98,"0000")&amp;"-"&amp;E98)</x:f>
      </x:c>
      <x:c r="B98" s="74" t="str">
        <x:v>M12</x:v>
      </x:c>
      <x:c r="C98" s="74"/>
      <x:c r="D98" s="79"/>
      <x:c r="E98" s="74" t="str">
        <x:v>V1.0</x:v>
      </x:c>
      <x:c r="F98" s="68"/>
      <x:c r="G98" s="82"/>
      <x:c r="H98" s="68"/>
      <x:c r="I98" s="68"/>
      <x:c r="J98" s="68"/>
      <x:c r="K98" s="68"/>
      <x:c r="L98" s="82"/>
      <x:c r="M98" s="82"/>
      <x:c r="N98" s="68"/>
      <x:c r="O98" s="68"/>
      <x:c r="P98" s="68"/>
      <x:c r="Q98" s="82"/>
      <x:c r="R98" s="82"/>
      <x:c r="S98" s="68"/>
      <x:c r="T98" s="68"/>
      <x:c r="U98" s="68"/>
      <x:c r="V98" s="68"/>
      <x:c r="W98" s="90"/>
      <x:c r="X98" s="68"/>
      <x:c r="Y98" s="68"/>
      <x:c r="Z98" s="68"/>
      <x:c r="AA98" s="68"/>
      <x:c r="AB98" s="90"/>
      <x:c r="AC98" s="68"/>
      <x:c r="AD98" s="84"/>
      <x:c r="AE98" s="84"/>
      <x:c r="AF98" s="82"/>
      <x:c r="AG98" s="82"/>
      <x:c r="AH98" s="68"/>
      <x:c r="AI98" s="68"/>
      <x:c r="AJ98" s="90"/>
      <x:c r="AK98" s="82"/>
      <x:c r="AL98" s="82"/>
      <x:c r="AM98" s="87"/>
    </x:row>
    <x:row r="99">
      <x:c r="A99" s="72" t="str">
        <x:f>IF(OR(C99="",D99=""),"",B99&amp;"-"&amp;UPPER(C99)&amp;"-"&amp;TEXT(D99,"0000")&amp;"-"&amp;E99)</x:f>
      </x:c>
      <x:c r="B99" s="74" t="str">
        <x:v>M12</x:v>
      </x:c>
      <x:c r="C99" s="74"/>
      <x:c r="D99" s="79"/>
      <x:c r="E99" s="74" t="str">
        <x:v>V1.0</x:v>
      </x:c>
      <x:c r="F99" s="68"/>
      <x:c r="G99" s="82"/>
      <x:c r="H99" s="68"/>
      <x:c r="I99" s="68"/>
      <x:c r="J99" s="68"/>
      <x:c r="K99" s="68"/>
      <x:c r="L99" s="82"/>
      <x:c r="M99" s="82"/>
      <x:c r="N99" s="68"/>
      <x:c r="O99" s="68"/>
      <x:c r="P99" s="68"/>
      <x:c r="Q99" s="82"/>
      <x:c r="R99" s="82"/>
      <x:c r="S99" s="68"/>
      <x:c r="T99" s="68"/>
      <x:c r="U99" s="68"/>
      <x:c r="V99" s="68"/>
      <x:c r="W99" s="90"/>
      <x:c r="X99" s="68"/>
      <x:c r="Y99" s="68"/>
      <x:c r="Z99" s="68"/>
      <x:c r="AA99" s="68"/>
      <x:c r="AB99" s="90"/>
      <x:c r="AC99" s="68"/>
      <x:c r="AD99" s="84"/>
      <x:c r="AE99" s="84"/>
      <x:c r="AF99" s="82"/>
      <x:c r="AG99" s="82"/>
      <x:c r="AH99" s="68"/>
      <x:c r="AI99" s="68"/>
      <x:c r="AJ99" s="90"/>
      <x:c r="AK99" s="82"/>
      <x:c r="AL99" s="82"/>
      <x:c r="AM99" s="87"/>
    </x:row>
    <x:row r="100">
      <x:c r="A100" s="72" t="str">
        <x:f>IF(OR(C100="",D100=""),"",B100&amp;"-"&amp;UPPER(C100)&amp;"-"&amp;TEXT(D100,"0000")&amp;"-"&amp;E100)</x:f>
      </x:c>
      <x:c r="B100" s="74" t="str">
        <x:v>M12</x:v>
      </x:c>
      <x:c r="C100" s="74"/>
      <x:c r="D100" s="79"/>
      <x:c r="E100" s="74" t="str">
        <x:v>V1.0</x:v>
      </x:c>
      <x:c r="F100" s="68"/>
      <x:c r="G100" s="82"/>
      <x:c r="H100" s="68"/>
      <x:c r="I100" s="68"/>
      <x:c r="J100" s="68"/>
      <x:c r="K100" s="68"/>
      <x:c r="L100" s="82"/>
      <x:c r="M100" s="82"/>
      <x:c r="N100" s="68"/>
      <x:c r="O100" s="68"/>
      <x:c r="P100" s="68"/>
      <x:c r="Q100" s="82"/>
      <x:c r="R100" s="82"/>
      <x:c r="S100" s="68"/>
      <x:c r="T100" s="68"/>
      <x:c r="U100" s="68"/>
      <x:c r="V100" s="68"/>
      <x:c r="W100" s="90"/>
      <x:c r="X100" s="68"/>
      <x:c r="Y100" s="68"/>
      <x:c r="Z100" s="68"/>
      <x:c r="AA100" s="68"/>
      <x:c r="AB100" s="90"/>
      <x:c r="AC100" s="68"/>
      <x:c r="AD100" s="84"/>
      <x:c r="AE100" s="84"/>
      <x:c r="AF100" s="82"/>
      <x:c r="AG100" s="82"/>
      <x:c r="AH100" s="68"/>
      <x:c r="AI100" s="68"/>
      <x:c r="AJ100" s="90"/>
      <x:c r="AK100" s="82"/>
      <x:c r="AL100" s="82"/>
      <x:c r="AM100" s="87"/>
    </x:row>
    <x:row r="101">
      <x:c r="A101" s="72" t="str">
        <x:f>IF(OR(C101="",D101=""),"",B101&amp;"-"&amp;UPPER(C101)&amp;"-"&amp;TEXT(D101,"0000")&amp;"-"&amp;E101)</x:f>
      </x:c>
      <x:c r="B101" s="74" t="str">
        <x:v>M12</x:v>
      </x:c>
      <x:c r="C101" s="74"/>
      <x:c r="D101" s="79"/>
      <x:c r="E101" s="74" t="str">
        <x:v>V1.0</x:v>
      </x:c>
      <x:c r="F101" s="68"/>
      <x:c r="G101" s="82"/>
      <x:c r="H101" s="68"/>
      <x:c r="I101" s="68"/>
      <x:c r="J101" s="68"/>
      <x:c r="K101" s="68"/>
      <x:c r="L101" s="82"/>
      <x:c r="M101" s="82"/>
      <x:c r="N101" s="68"/>
      <x:c r="O101" s="68"/>
      <x:c r="P101" s="68"/>
      <x:c r="Q101" s="82"/>
      <x:c r="R101" s="82"/>
      <x:c r="S101" s="68"/>
      <x:c r="T101" s="68"/>
      <x:c r="U101" s="68"/>
      <x:c r="V101" s="68"/>
      <x:c r="W101" s="90"/>
      <x:c r="X101" s="68"/>
      <x:c r="Y101" s="68"/>
      <x:c r="Z101" s="68"/>
      <x:c r="AA101" s="68"/>
      <x:c r="AB101" s="90"/>
      <x:c r="AC101" s="68"/>
      <x:c r="AD101" s="84"/>
      <x:c r="AE101" s="84"/>
      <x:c r="AF101" s="82"/>
      <x:c r="AG101" s="82"/>
      <x:c r="AH101" s="68"/>
      <x:c r="AI101" s="68"/>
      <x:c r="AJ101" s="90"/>
      <x:c r="AK101" s="82"/>
      <x:c r="AL101" s="82"/>
      <x:c r="AM101" s="87"/>
    </x:row>
    <x:row r="102">
      <x:c r="A102" s="72" t="str">
        <x:f>IF(OR(C102="",D102=""),"",B102&amp;"-"&amp;UPPER(C102)&amp;"-"&amp;TEXT(D102,"0000")&amp;"-"&amp;E102)</x:f>
      </x:c>
      <x:c r="B102" s="74" t="str">
        <x:v>M12</x:v>
      </x:c>
      <x:c r="C102" s="74"/>
      <x:c r="D102" s="79"/>
      <x:c r="E102" s="74" t="str">
        <x:v>V1.0</x:v>
      </x:c>
      <x:c r="F102" s="68"/>
      <x:c r="G102" s="82"/>
      <x:c r="H102" s="68"/>
      <x:c r="I102" s="68"/>
      <x:c r="J102" s="68"/>
      <x:c r="K102" s="68"/>
      <x:c r="L102" s="82"/>
      <x:c r="M102" s="82"/>
      <x:c r="N102" s="68"/>
      <x:c r="O102" s="68"/>
      <x:c r="P102" s="68"/>
      <x:c r="Q102" s="82"/>
      <x:c r="R102" s="82"/>
      <x:c r="S102" s="68"/>
      <x:c r="T102" s="68"/>
      <x:c r="U102" s="68"/>
      <x:c r="V102" s="68"/>
      <x:c r="W102" s="90"/>
      <x:c r="X102" s="68"/>
      <x:c r="Y102" s="68"/>
      <x:c r="Z102" s="68"/>
      <x:c r="AA102" s="68"/>
      <x:c r="AB102" s="90"/>
      <x:c r="AC102" s="68"/>
      <x:c r="AD102" s="84"/>
      <x:c r="AE102" s="84"/>
      <x:c r="AF102" s="82"/>
      <x:c r="AG102" s="82"/>
      <x:c r="AH102" s="68"/>
      <x:c r="AI102" s="68"/>
      <x:c r="AJ102" s="90"/>
      <x:c r="AK102" s="82"/>
      <x:c r="AL102" s="82"/>
      <x:c r="AM102" s="87"/>
    </x:row>
    <x:row r="103">
      <x:c r="A103" s="72" t="str">
        <x:f>IF(OR(C103="",D103=""),"",B103&amp;"-"&amp;UPPER(C103)&amp;"-"&amp;TEXT(D103,"0000")&amp;"-"&amp;E103)</x:f>
      </x:c>
      <x:c r="B103" s="74" t="str">
        <x:v>M12</x:v>
      </x:c>
      <x:c r="C103" s="74"/>
      <x:c r="D103" s="79"/>
      <x:c r="E103" s="74" t="str">
        <x:v>V1.0</x:v>
      </x:c>
      <x:c r="F103" s="68"/>
      <x:c r="G103" s="82"/>
      <x:c r="H103" s="68"/>
      <x:c r="I103" s="68"/>
      <x:c r="J103" s="68"/>
      <x:c r="K103" s="68"/>
      <x:c r="L103" s="82"/>
      <x:c r="M103" s="82"/>
      <x:c r="N103" s="68"/>
      <x:c r="O103" s="68"/>
      <x:c r="P103" s="68"/>
      <x:c r="Q103" s="82"/>
      <x:c r="R103" s="82"/>
      <x:c r="S103" s="68"/>
      <x:c r="T103" s="68"/>
      <x:c r="U103" s="68"/>
      <x:c r="V103" s="68"/>
      <x:c r="W103" s="90"/>
      <x:c r="X103" s="68"/>
      <x:c r="Y103" s="68"/>
      <x:c r="Z103" s="68"/>
      <x:c r="AA103" s="68"/>
      <x:c r="AB103" s="90"/>
      <x:c r="AC103" s="68"/>
      <x:c r="AD103" s="84"/>
      <x:c r="AE103" s="84"/>
      <x:c r="AF103" s="82"/>
      <x:c r="AG103" s="82"/>
      <x:c r="AH103" s="68"/>
      <x:c r="AI103" s="68"/>
      <x:c r="AJ103" s="90"/>
      <x:c r="AK103" s="82"/>
      <x:c r="AL103" s="82"/>
      <x:c r="AM103" s="87"/>
    </x:row>
    <x:row r="104">
      <x:c r="A104" s="72" t="str">
        <x:f>IF(OR(C104="",D104=""),"",B104&amp;"-"&amp;UPPER(C104)&amp;"-"&amp;TEXT(D104,"0000")&amp;"-"&amp;E104)</x:f>
      </x:c>
      <x:c r="B104" s="74" t="str">
        <x:v>M12</x:v>
      </x:c>
      <x:c r="C104" s="74"/>
      <x:c r="D104" s="79"/>
      <x:c r="E104" s="74" t="str">
        <x:v>V1.0</x:v>
      </x:c>
      <x:c r="F104" s="68"/>
      <x:c r="G104" s="82"/>
      <x:c r="H104" s="68"/>
      <x:c r="I104" s="68"/>
      <x:c r="J104" s="68"/>
      <x:c r="K104" s="68"/>
      <x:c r="L104" s="82"/>
      <x:c r="M104" s="82"/>
      <x:c r="N104" s="68"/>
      <x:c r="O104" s="68"/>
      <x:c r="P104" s="68"/>
      <x:c r="Q104" s="82"/>
      <x:c r="R104" s="82"/>
      <x:c r="S104" s="68"/>
      <x:c r="T104" s="68"/>
      <x:c r="U104" s="68"/>
      <x:c r="V104" s="68"/>
      <x:c r="W104" s="90"/>
      <x:c r="X104" s="68"/>
      <x:c r="Y104" s="68"/>
      <x:c r="Z104" s="68"/>
      <x:c r="AA104" s="68"/>
      <x:c r="AB104" s="90"/>
      <x:c r="AC104" s="68"/>
      <x:c r="AD104" s="84"/>
      <x:c r="AE104" s="84"/>
      <x:c r="AF104" s="82"/>
      <x:c r="AG104" s="82"/>
      <x:c r="AH104" s="68"/>
      <x:c r="AI104" s="68"/>
      <x:c r="AJ104" s="90"/>
      <x:c r="AK104" s="82"/>
      <x:c r="AL104" s="82"/>
      <x:c r="AM104" s="87"/>
    </x:row>
    <x:row r="105">
      <x:c r="A105" s="72" t="str">
        <x:f>IF(OR(C105="",D105=""),"",B105&amp;"-"&amp;UPPER(C105)&amp;"-"&amp;TEXT(D105,"0000")&amp;"-"&amp;E105)</x:f>
      </x:c>
      <x:c r="B105" s="74" t="str">
        <x:v>M12</x:v>
      </x:c>
      <x:c r="C105" s="74"/>
      <x:c r="D105" s="79"/>
      <x:c r="E105" s="74" t="str">
        <x:v>V1.0</x:v>
      </x:c>
      <x:c r="F105" s="68"/>
      <x:c r="G105" s="82"/>
      <x:c r="H105" s="68"/>
      <x:c r="I105" s="68"/>
      <x:c r="J105" s="68"/>
      <x:c r="K105" s="68"/>
      <x:c r="L105" s="82"/>
      <x:c r="M105" s="82"/>
      <x:c r="N105" s="68"/>
      <x:c r="O105" s="68"/>
      <x:c r="P105" s="68"/>
      <x:c r="Q105" s="82"/>
      <x:c r="R105" s="82"/>
      <x:c r="S105" s="68"/>
      <x:c r="T105" s="68"/>
      <x:c r="U105" s="68"/>
      <x:c r="V105" s="68"/>
      <x:c r="W105" s="90"/>
      <x:c r="X105" s="68"/>
      <x:c r="Y105" s="68"/>
      <x:c r="Z105" s="68"/>
      <x:c r="AA105" s="68"/>
      <x:c r="AB105" s="90"/>
      <x:c r="AC105" s="68"/>
      <x:c r="AD105" s="84"/>
      <x:c r="AE105" s="84"/>
      <x:c r="AF105" s="82"/>
      <x:c r="AG105" s="82"/>
      <x:c r="AH105" s="68"/>
      <x:c r="AI105" s="68"/>
      <x:c r="AJ105" s="90"/>
      <x:c r="AK105" s="82"/>
      <x:c r="AL105" s="82"/>
      <x:c r="AM105" s="87"/>
    </x:row>
  </x:sheetData>
  <x:mergeCells>
    <x:mergeCell ref="A1:O1"/>
    <x:mergeCell ref="A2:O2"/>
    <x:mergeCell ref="A3:O3"/>
    <x:mergeCell ref="A4:O4"/>
  </x:mergeCells>
  <x:conditionalFormatting sqref="A6:A105">
    <x:cfRule type="expression" dxfId="10" priority="1">
      <x:formula>AND(A6&lt;&gt;"",COUNTIF($A$6:$A$105,A6)&gt;1)</x:formula>
    </x:cfRule>
  </x:conditionalFormatting>
  <x:dataValidations count="22">
    <x:dataValidation type="list" sqref="E6:E105">
      <x:formula1>'99_下拉选项'!$BG$4:$BG$12</x:formula1>
    </x:dataValidation>
    <x:dataValidation type="list" sqref="G6:G105">
      <x:formula1>'99_下拉选项'!$F$4:$F$7</x:formula1>
    </x:dataValidation>
    <x:dataValidation type="list" sqref="L6:L105">
      <x:formula1>'99_下拉选项'!$U$4:$U$11</x:formula1>
    </x:dataValidation>
    <x:dataValidation type="list" sqref="M6:M105">
      <x:formula1>'99_下拉选项'!$U$4:$U$11</x:formula1>
    </x:dataValidation>
    <x:dataValidation type="list" sqref="Q6:Q105">
      <x:formula1>'99_下拉选项'!$AO$4:$AO$9</x:formula1>
    </x:dataValidation>
    <x:dataValidation type="list" sqref="R6:R105">
      <x:formula1>'99_下拉选项'!$AP$4:$AP$16</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 type="list" sqref="E6:E130">
      <x:formula1>'99_下拉选项'!$BG$4:$BG$14</x:formula1>
    </x:dataValidation>
    <x:dataValidation type="list" sqref="E7:E105">
      <x:formula1>'99_下拉选项'!$BG$4:$BG$19</x:formula1>
    </x:dataValidation>
    <x:dataValidation type="list" sqref="E7:E96">
      <x:formula1>'99_下拉选项'!$BG$4:$BG$14</x:formula1>
    </x:dataValidation>
    <x:dataValidation type="list" sqref="G7:G96">
      <x:formula1>'99_下拉选项'!$F$4:$F$7</x:formula1>
    </x:dataValidation>
    <x:dataValidation type="list" sqref="L7:L96">
      <x:formula1>'99_下拉选项'!$U$4:$U$11</x:formula1>
    </x:dataValidation>
    <x:dataValidation type="list" sqref="M7:M96">
      <x:formula1>'99_下拉选项'!$U$4:$U$11</x:formula1>
    </x:dataValidation>
    <x:dataValidation type="list" sqref="Q7:Q96">
      <x:formula1>'99_下拉选项'!$AO$4:$AO$9</x:formula1>
    </x:dataValidation>
    <x:dataValidation type="list" sqref="R7:R96">
      <x:formula1>'99_下拉选项'!$AP$4:$AP$16</x:formula1>
    </x:dataValidation>
    <x:dataValidation type="list" sqref="AF7:AF96">
      <x:formula1>'99_下拉选项'!$Q$4:$Q$8</x:formula1>
    </x:dataValidation>
    <x:dataValidation type="list" sqref="AG7:AG96">
      <x:formula1>'99_下拉选项'!$R$4:$R$11</x:formula1>
    </x:dataValidation>
    <x:dataValidation type="list" sqref="AK7:AK96">
      <x:formula1>'99_下拉选项'!$S$4:$S$9</x:formula1>
    </x:dataValidation>
    <x:dataValidation type="list" sqref="AL7:AL96">
      <x:formula1>'99_下拉选项'!$T$4:$T$8</x:formula1>
    </x:dataValidation>
  </x:dataValidations>
  <x:pageMargins left="0.7" right="0.7" top="0.75" bottom="0.75" header="0.3" footer="0.3"/>
  <x:tableParts count="1">
    <x:tablePart xmlns:r="http://schemas.openxmlformats.org/officeDocument/2006/relationships" r:id="R9b37a3c823d642d1"/>
  </x:tableParts>
</x:worksheet>
</file>

<file path=xl/worksheets/sheet1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16" hidden="0" customWidth="1"/>
    <x:col min="32" max="32" width="16" hidden="0" customWidth="1"/>
    <x:col min="33" max="33" width="30" hidden="0" customWidth="1"/>
    <x:col min="34" max="34" width="16" hidden="0" customWidth="1"/>
    <x:col min="35" max="35" width="16" hidden="0" customWidth="1"/>
    <x:col min="36" max="36" width="30" hidden="0" customWidth="1"/>
    <x:col min="37" max="37" width="30" hidden="0" customWidth="1"/>
    <x:col min="38" max="38" width="13" hidden="0" customWidth="1"/>
  </x:cols>
  <x:sheetData>
    <x:row r="1" ht="28" customHeight="1">
      <x:c r="A1" s="32" t="str">
        <x:v>M13｜寒暖与燥湿双轴调候规则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row>
    <x:row r="2" ht="36" customHeight="1">
      <x:c r="A2" s="39" t="str">
        <x:v>将温度轴和湿度轴分开判断，再评估调候五行是否存在、是否有效、紧急程度及其与扶抑和格局的冲突。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row>
    <x:row r="3" ht="30" customHeight="1">
      <x:c r="A3" s="47" t="str">
        <x:v>前置依赖：M02/M08/M12　｜　主要输出：温度、湿度、调候候选与紧急度　｜　直接下游：M16/M17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评估轴</x:v>
      </x:c>
      <x:c r="I5" s="61" t="str">
        <x:v>出生月令</x:v>
      </x:c>
      <x:c r="J5" s="61" t="str">
        <x:v>触发条件</x:v>
      </x:c>
      <x:c r="K5" s="61" t="str">
        <x:v>温度修正</x:v>
      </x:c>
      <x:c r="L5" s="61" t="str">
        <x:v>湿度修正</x:v>
      </x:c>
      <x:c r="M5" s="61" t="str">
        <x:v>温度状态</x:v>
      </x:c>
      <x:c r="N5" s="61" t="str">
        <x:v>湿度状态</x:v>
      </x:c>
      <x:c r="O5" s="61" t="str">
        <x:v>主要气候问题</x:v>
      </x:c>
      <x:c r="P5" s="61" t="str">
        <x:v>调候候选五行</x:v>
      </x:c>
      <x:c r="Q5" s="61" t="str">
        <x:v>调候机制</x:v>
      </x:c>
      <x:c r="R5" s="61" t="str">
        <x:v>调候五行存在性</x:v>
      </x:c>
      <x:c r="S5" s="61" t="str">
        <x:v>调候五行有效性</x:v>
      </x:c>
      <x:c r="T5" s="61" t="str">
        <x:v>调候紧急度</x:v>
      </x:c>
      <x:c r="U5" s="61" t="str">
        <x:v>与扶抑冲突</x:v>
      </x:c>
      <x:c r="V5" s="61" t="str">
        <x:v>与格局冲突</x:v>
      </x:c>
      <x:c r="W5" s="61" t="str">
        <x:v>前置条件</x:v>
      </x:c>
      <x:c r="X5" s="61" t="str">
        <x:v>必要条件</x:v>
      </x:c>
      <x:c r="Y5" s="61" t="str">
        <x:v>增强条件</x:v>
      </x:c>
      <x:c r="Z5" s="61" t="str">
        <x:v>削弱条件</x:v>
      </x:c>
      <x:c r="AA5" s="61" t="str">
        <x:v>否决条件</x:v>
      </x:c>
      <x:c r="AB5" s="61" t="str">
        <x:v>例外条件</x:v>
      </x:c>
      <x:c r="AC5" s="61" t="str">
        <x:v>结论标签</x:v>
      </x:c>
      <x:c r="AD5" s="61" t="str">
        <x:v>标准输出</x:v>
      </x:c>
      <x:c r="AE5" s="61" t="str">
        <x:v>置信等级</x:v>
      </x:c>
      <x:c r="AF5" s="61" t="str">
        <x:v>流派标签</x:v>
      </x:c>
      <x:c r="AG5" s="61" t="str">
        <x:v>依据说明</x:v>
      </x:c>
      <x:c r="AH5" s="61" t="str">
        <x:v>正例</x:v>
      </x:c>
      <x:c r="AI5" s="61" t="str">
        <x:v>反例</x:v>
      </x:c>
      <x:c r="AJ5" s="61" t="str">
        <x:v>规则状态</x:v>
      </x:c>
      <x:c r="AK5" s="61" t="str">
        <x:v>审核状态</x:v>
      </x:c>
      <x:c r="AL5" s="61" t="str">
        <x:v>更新日期</x:v>
      </x:c>
    </x:row>
    <x:row r="6" ht="66" customHeight="1">
      <x:c r="A6" s="76" t="str">
        <x:f>IF(OR(C6="",D6=""),"",B6&amp;"-"&amp;UPPER(C6)&amp;"-"&amp;TEXT(D6,"0000")&amp;"-"&amp;E6)</x:f>
        <x:v>M13-DEMO-9999-V0.1</x:v>
      </x:c>
      <x:c r="B6" s="76" t="str">
        <x:v>M13</x:v>
      </x:c>
      <x:c r="C6" s="76" t="str">
        <x:v>DEMO</x:v>
      </x:c>
      <x:c r="D6" s="78" t="n">
        <x:v>9999</x:v>
      </x:c>
      <x:c r="E6" s="76" t="str">
        <x:v>V0.1</x:v>
      </x:c>
      <x:c r="F6" s="76" t="str">
        <x:v>寒暖与燥湿必须分别定级</x:v>
      </x:c>
      <x:c r="G6" s="76" t="str">
        <x:v>结构层</x:v>
      </x:c>
      <x:c r="H6" s="76" t="str">
        <x:v>寒暖燥湿综合</x:v>
      </x:c>
      <x:c r="I6" s="76" t="str">
        <x:v>冬月示例</x:v>
      </x:c>
      <x:c r="J6" s="76" t="str">
        <x:v>金水成势且火弱、湿土多</x:v>
      </x:c>
      <x:c r="K6" s="76" t="str">
        <x:v>偏寒</x:v>
      </x:c>
      <x:c r="L6" s="76" t="str">
        <x:v>偏湿</x:v>
      </x:c>
      <x:c r="M6" s="76" t="str">
        <x:v>偏寒</x:v>
      </x:c>
      <x:c r="N6" s="76" t="str">
        <x:v>偏湿</x:v>
      </x:c>
      <x:c r="O6" s="76" t="str">
        <x:v>寒湿可能使木火生化不畅</x:v>
      </x:c>
      <x:c r="P6" s="76" t="str">
        <x:v>火</x:v>
      </x:c>
      <x:c r="Q6" s="76" t="str">
        <x:v>暖局并促进生化</x:v>
      </x:c>
      <x:c r="R6" s="76" t="str">
        <x:v>条件性</x:v>
      </x:c>
      <x:c r="S6" s="76" t="str">
        <x:v>待定</x:v>
      </x:c>
      <x:c r="T6" s="76" t="str">
        <x:v>高</x:v>
      </x:c>
      <x:c r="U6" s="76" t="str">
        <x:v>条件性</x:v>
      </x:c>
      <x:c r="V6" s="76" t="str">
        <x:v>条件性</x:v>
      </x:c>
      <x:c r="W6" s="76" t="str">
        <x:v>M08与M12完成</x:v>
      </x:c>
      <x:c r="X6" s="76" t="str">
        <x:v>确认寒湿已实质影响全局功能</x:v>
      </x:c>
      <x:c r="Y6" s="76" t="str">
        <x:v>火有根有源、木可引火</x:v>
      </x:c>
      <x:c r="Z6" s="76" t="str">
        <x:v>火被强水压制或无根</x:v>
      </x:c>
      <x:c r="AA6" s="76" t="str">
        <x:v>不得只看月份就忽略全局火土及合化后的气候</x:v>
      </x:c>
      <x:c r="AB6" s="76" t="str">
        <x:v>若特殊格局严格成立，调候需接受格局硬约束</x:v>
      </x:c>
      <x:c r="AC6" s="76" t="str">
        <x:v>双轴调候</x:v>
      </x:c>
      <x:c r="AD6" s="76" t="str">
        <x:v>全局偏寒且偏湿，调候重点在暖而兼顾化湿；火是否成为主用仍需审查扶抑与格局副作用。</x:v>
      </x:c>
      <x:c r="AE6" s="76" t="str">
        <x:v>中等</x:v>
      </x:c>
      <x:c r="AF6" s="76" t="str">
        <x:v>调候</x:v>
      </x:c>
      <x:c r="AG6" s="76" t="str">
        <x:v>寒暖与燥湿是两个独立维度，调候需求不自动等于全局主用神。</x:v>
      </x:c>
      <x:c r="AH6" s="76" t="str">
        <x:v>冬月金水旺、火弱且湿土多，可判寒湿。</x:v>
      </x:c>
      <x:c r="AI6" s="76" t="str">
        <x:v>只因冬月出生便直接判极寒湿。</x:v>
      </x:c>
      <x:c r="AJ6" s="76" t="str">
        <x:v>示例</x:v>
      </x:c>
      <x:c r="AK6" s="76" t="str">
        <x:v>未审核</x:v>
      </x:c>
      <x:c r="AL6" s="86" t="n">
        <x:v>46254</x:v>
      </x:c>
    </x:row>
    <x:row r="7">
      <x:c r="A7" s="72" t="str">
        <x:f>IF(OR(C7="",D7=""),"",B7&amp;"-"&amp;UPPER(C7)&amp;"-"&amp;TEXT(D7,"0000")&amp;"-"&amp;E7)</x:f>
        <x:v>M13-GEN-0001-V1.0</x:v>
      </x:c>
      <x:c r="B7" s="74" t="str">
        <x:v>M13</x:v>
      </x:c>
      <x:c r="C7" s="74" t="str">
        <x:v>GEN</x:v>
      </x:c>
      <x:c r="D7" s="215" t="n">
        <x:v>1</x:v>
      </x:c>
      <x:c r="E7" s="74" t="str">
        <x:v>V1.0</x:v>
      </x:c>
      <x:c r="F7" s="68" t="str">
        <x:v>寒暖与燥湿必须分成两个独立坐标</x:v>
      </x:c>
      <x:c r="G7" s="82" t="str">
        <x:v>结构层</x:v>
      </x:c>
      <x:c r="H7" s="82" t="str">
        <x:v>寒暖燥湿综合</x:v>
      </x:c>
      <x:c r="I7" s="68" t="str">
        <x:v>通用</x:v>
      </x:c>
      <x:c r="J7" s="68" t="str">
        <x:v>同一原局可能同时出现寒燥、暖湿等交叉状态</x:v>
      </x:c>
      <x:c r="K7" s="68" t="str">
        <x:v>待定</x:v>
      </x:c>
      <x:c r="L7" s="68" t="str">
        <x:v>待定</x:v>
      </x:c>
      <x:c r="M7" s="82" t="str">
        <x:v>待定</x:v>
      </x:c>
      <x:c r="N7" s="82" t="str">
        <x:v>待定</x:v>
      </x:c>
      <x:c r="O7" s="68" t="str">
        <x:v>禁止把温度和湿度合并成单一冷热标签</x:v>
      </x:c>
      <x:c r="P7" s="68" t="str">
        <x:v>待定</x:v>
      </x:c>
      <x:c r="Q7" s="68" t="str">
        <x:v>双轴分别定级</x:v>
      </x:c>
      <x:c r="R7" s="82" t="str">
        <x:v>待定</x:v>
      </x:c>
      <x:c r="S7" s="82" t="str">
        <x:v>待定</x:v>
      </x:c>
      <x:c r="T7" s="82" t="str">
        <x:v>待定</x:v>
      </x:c>
      <x:c r="U7" s="82" t="str">
        <x:v>待定</x:v>
      </x:c>
      <x:c r="V7" s="82" t="str">
        <x:v>待定</x:v>
      </x:c>
      <x:c r="W7" s="68" t="str">
        <x:v>M02基础映射、M08五行有效旺衰、M12流通卡点已完成</x:v>
      </x:c>
      <x:c r="X7" s="68" t="str">
        <x:v>月令基准与全局有效五行均已核查</x:v>
      </x:c>
      <x:c r="Y7" s="68" t="str">
        <x:v>相关调候五行有根有源、透达且能真实改善关键气候问题</x:v>
      </x:c>
      <x:c r="Z7" s="68" t="str">
        <x:v>调候五行无根、受强制、被合绊、改性或加入后产生新的寒热燥湿问题</x:v>
      </x:c>
      <x:c r="AA7" s="90" t="str">
        <x:v>不得只凭出生月份或某一五行数量直接下最终调候结论</x:v>
      </x:c>
      <x:c r="AB7" s="68" t="str">
        <x:v>特殊格局、核心格局用神或更高优先级病药约束转M16—M18裁决</x:v>
      </x:c>
      <x:c r="AC7" s="84" t="str">
        <x:v>调候双轴模型</x:v>
      </x:c>
      <x:c r="AD7" s="84" t="str">
        <x:v>寒暖与燥湿必须分成两个独立坐标：温度轴判“待定”，湿度轴判“待定”；调候候选为“待定”，是否成为最终用神仍转M16—M18。</x:v>
      </x:c>
      <x:c r="AE7" s="82" t="str">
        <x:v>较高</x:v>
      </x:c>
      <x:c r="AF7" s="82" t="str">
        <x:v>调候</x:v>
      </x:c>
      <x:c r="AG7" s="68" t="str">
        <x:v>调候以月令气候为起点，但必须结合M08五行有效力量与M12流通状态修正；寒暖与燥湿分轴判断，调候候选不自动等于全局主用神。</x:v>
      </x:c>
      <x:c r="AH7" s="68" t="str">
        <x:v>当“同一原局可能同时出现寒燥、暖湿等交叉状态”真实成立，且调候机制能改善主要气候问题时，可按“寒暖与燥湿必须分成两个独立坐标”记录。</x:v>
      </x:c>
      <x:c r="AI7" s="90" t="str">
        <x:v>仅见月份或表面五行标签，但未满足“同一原局可能同时出现寒燥、暖湿等交叉状态”及必要修正条件时，不得套用“寒暖与燥湿必须分成两个独立坐标”。</x:v>
      </x:c>
      <x:c r="AJ7" s="82" t="str">
        <x:v>采用</x:v>
      </x:c>
      <x:c r="AK7" s="82" t="str">
        <x:v>初审</x:v>
      </x:c>
      <x:c r="AL7" s="87" t="n">
        <x:v>46255</x:v>
      </x:c>
    </x:row>
    <x:row r="8">
      <x:c r="A8" s="72" t="str">
        <x:f>IF(OR(C8="",D8=""),"",B8&amp;"-"&amp;UPPER(C8)&amp;"-"&amp;TEXT(D8,"0000")&amp;"-"&amp;E8)</x:f>
        <x:v>M13-GEN-0002-V1.0</x:v>
      </x:c>
      <x:c r="B8" s="74" t="str">
        <x:v>M13</x:v>
      </x:c>
      <x:c r="C8" s="74" t="str">
        <x:v>GEN</x:v>
      </x:c>
      <x:c r="D8" s="215" t="n">
        <x:v>2</x:v>
      </x:c>
      <x:c r="E8" s="74" t="str">
        <x:v>V1.0</x:v>
      </x:c>
      <x:c r="F8" s="68" t="str">
        <x:v>月令只提供气候基准而非最终结论</x:v>
      </x:c>
      <x:c r="G8" s="82" t="str">
        <x:v>结构层</x:v>
      </x:c>
      <x:c r="H8" s="82" t="str">
        <x:v>寒暖燥湿综合</x:v>
      </x:c>
      <x:c r="I8" s="68" t="str">
        <x:v>通用</x:v>
      </x:c>
      <x:c r="J8" s="68" t="str">
        <x:v>月令季节倾向与全局有效火水土势可能一致或相反</x:v>
      </x:c>
      <x:c r="K8" s="68" t="str">
        <x:v>待定</x:v>
      </x:c>
      <x:c r="L8" s="68" t="str">
        <x:v>待定</x:v>
      </x:c>
      <x:c r="M8" s="82" t="str">
        <x:v>待定</x:v>
      </x:c>
      <x:c r="N8" s="82" t="str">
        <x:v>待定</x:v>
      </x:c>
      <x:c r="O8" s="68" t="str">
        <x:v>季节基准需要全局修正</x:v>
      </x:c>
      <x:c r="P8" s="68" t="str">
        <x:v>待定</x:v>
      </x:c>
      <x:c r="Q8" s="68" t="str">
        <x:v>以月令起点再叠加有效五行修正</x:v>
      </x:c>
      <x:c r="R8" s="82" t="str">
        <x:v>待定</x:v>
      </x:c>
      <x:c r="S8" s="82" t="str">
        <x:v>待定</x:v>
      </x:c>
      <x:c r="T8" s="82" t="str">
        <x:v>待定</x:v>
      </x:c>
      <x:c r="U8" s="82" t="str">
        <x:v>待定</x:v>
      </x:c>
      <x:c r="V8" s="82" t="str">
        <x:v>待定</x:v>
      </x:c>
      <x:c r="W8" s="68" t="str">
        <x:v>M02基础映射、M08五行有效旺衰、M12流通卡点已完成</x:v>
      </x:c>
      <x:c r="X8" s="68" t="str">
        <x:v>月令基准与全局有效五行均已核查</x:v>
      </x:c>
      <x:c r="Y8" s="68" t="str">
        <x:v>相关调候五行有根有源、透达且能真实改善关键气候问题</x:v>
      </x:c>
      <x:c r="Z8" s="68" t="str">
        <x:v>调候五行无根、受强制、被合绊、改性或加入后产生新的寒热燥湿问题</x:v>
      </x:c>
      <x:c r="AA8" s="90" t="str">
        <x:v>不得只凭出生月份或某一五行数量直接下最终调候结论</x:v>
      </x:c>
      <x:c r="AB8" s="68" t="str">
        <x:v>特殊格局、核心格局用神或更高优先级病药约束转M16—M18裁决</x:v>
      </x:c>
      <x:c r="AC8" s="84" t="str">
        <x:v>月令气候基准</x:v>
      </x:c>
      <x:c r="AD8" s="84" t="str">
        <x:v>月令只提供气候基准而非最终结论：温度轴判“待定”，湿度轴判“待定”；调候候选为“待定”，是否成为最终用神仍转M16—M18。</x:v>
      </x:c>
      <x:c r="AE8" s="82" t="str">
        <x:v>较高</x:v>
      </x:c>
      <x:c r="AF8" s="82" t="str">
        <x:v>调候</x:v>
      </x:c>
      <x:c r="AG8" s="68" t="str">
        <x:v>调候以月令气候为起点，但必须结合M08五行有效力量与M12流通状态修正；寒暖与燥湿分轴判断，调候候选不自动等于全局主用神。</x:v>
      </x:c>
      <x:c r="AH8" s="68" t="str">
        <x:v>当“月令季节倾向与全局有效火水土势可能一致或相反”真实成立，且调候机制能改善主要气候问题时，可按“月令只提供气候基准而非最终结论”记录。</x:v>
      </x:c>
      <x:c r="AI8" s="90" t="str">
        <x:v>仅见月份或表面五行标签，但未满足“月令季节倾向与全局有效火水土势可能一致或相反”及必要修正条件时，不得套用“月令只提供气候基准而非最终结论”。</x:v>
      </x:c>
      <x:c r="AJ8" s="82" t="str">
        <x:v>采用</x:v>
      </x:c>
      <x:c r="AK8" s="82" t="str">
        <x:v>初审</x:v>
      </x:c>
      <x:c r="AL8" s="87" t="n">
        <x:v>46255</x:v>
      </x:c>
    </x:row>
    <x:row r="9">
      <x:c r="A9" s="72" t="str">
        <x:f>IF(OR(C9="",D9=""),"",B9&amp;"-"&amp;UPPER(C9)&amp;"-"&amp;TEXT(D9,"0000")&amp;"-"&amp;E9)</x:f>
        <x:v>M13-GEN-0003-V1.0</x:v>
      </x:c>
      <x:c r="B9" s="74" t="str">
        <x:v>M13</x:v>
      </x:c>
      <x:c r="C9" s="74" t="str">
        <x:v>GEN</x:v>
      </x:c>
      <x:c r="D9" s="215" t="n">
        <x:v>3</x:v>
      </x:c>
      <x:c r="E9" s="74" t="str">
        <x:v>V1.0</x:v>
      </x:c>
      <x:c r="F9" s="68" t="str">
        <x:v>寒暖采用极寒至极热五级制</x:v>
      </x:c>
      <x:c r="G9" s="82" t="str">
        <x:v>结构层</x:v>
      </x:c>
      <x:c r="H9" s="82" t="str">
        <x:v>寒暖轴</x:v>
      </x:c>
      <x:c r="I9" s="68" t="str">
        <x:v>通用</x:v>
      </x:c>
      <x:c r="J9" s="68" t="str">
        <x:v>完成月令与全局火水修正</x:v>
      </x:c>
      <x:c r="K9" s="68" t="str">
        <x:v>待定</x:v>
      </x:c>
      <x:c r="L9" s="68" t="str">
        <x:v>待定</x:v>
      </x:c>
      <x:c r="M9" s="82" t="str">
        <x:v>待定</x:v>
      </x:c>
      <x:c r="N9" s="82" t="str">
        <x:v>待定</x:v>
      </x:c>
      <x:c r="O9" s="68" t="str">
        <x:v>温度状态需要标准化</x:v>
      </x:c>
      <x:c r="P9" s="68" t="str">
        <x:v>待定</x:v>
      </x:c>
      <x:c r="Q9" s="68" t="str">
        <x:v>输出极寒/偏寒/平衡/偏暖/极热</x:v>
      </x:c>
      <x:c r="R9" s="82" t="str">
        <x:v>待定</x:v>
      </x:c>
      <x:c r="S9" s="82" t="str">
        <x:v>待定</x:v>
      </x:c>
      <x:c r="T9" s="82" t="str">
        <x:v>待定</x:v>
      </x:c>
      <x:c r="U9" s="82" t="str">
        <x:v>待定</x:v>
      </x:c>
      <x:c r="V9" s="82" t="str">
        <x:v>待定</x:v>
      </x:c>
      <x:c r="W9" s="68" t="str">
        <x:v>M02基础映射、M08五行有效旺衰、M12流通卡点已完成</x:v>
      </x:c>
      <x:c r="X9" s="68" t="str">
        <x:v>月令基准与全局有效五行均已核查</x:v>
      </x:c>
      <x:c r="Y9" s="68" t="str">
        <x:v>相关调候五行有根有源、透达且能真实改善关键气候问题</x:v>
      </x:c>
      <x:c r="Z9" s="68" t="str">
        <x:v>调候五行无根、受强制、被合绊、改性或加入后产生新的寒热燥湿问题</x:v>
      </x:c>
      <x:c r="AA9" s="90" t="str">
        <x:v>不得只凭出生月份或某一五行数量直接下最终调候结论</x:v>
      </x:c>
      <x:c r="AB9" s="68" t="str">
        <x:v>特殊格局、核心格局用神或更高优先级病药约束转M16—M18裁决</x:v>
      </x:c>
      <x:c r="AC9" s="84" t="str">
        <x:v>温度五级制</x:v>
      </x:c>
      <x:c r="AD9" s="84" t="str">
        <x:v>寒暖采用极寒至极热五级制：温度轴判“待定”，湿度轴判“待定”；调候候选为“待定”，是否成为最终用神仍转M16—M18。</x:v>
      </x:c>
      <x:c r="AE9" s="82" t="str">
        <x:v>较高</x:v>
      </x:c>
      <x:c r="AF9" s="82" t="str">
        <x:v>调候</x:v>
      </x:c>
      <x:c r="AG9" s="68" t="str">
        <x:v>调候以月令气候为起点，但必须结合M08五行有效力量与M12流通状态修正；寒暖与燥湿分轴判断，调候候选不自动等于全局主用神。</x:v>
      </x:c>
      <x:c r="AH9" s="68" t="str">
        <x:v>当“完成月令与全局火水修正”真实成立，且调候机制能改善主要气候问题时，可按“寒暖采用极寒至极热五级制”记录。</x:v>
      </x:c>
      <x:c r="AI9" s="90" t="str">
        <x:v>仅见月份或表面五行标签，但未满足“完成月令与全局火水修正”及必要修正条件时，不得套用“寒暖采用极寒至极热五级制”。</x:v>
      </x:c>
      <x:c r="AJ9" s="82" t="str">
        <x:v>采用</x:v>
      </x:c>
      <x:c r="AK9" s="82" t="str">
        <x:v>初审</x:v>
      </x:c>
      <x:c r="AL9" s="87" t="n">
        <x:v>46255</x:v>
      </x:c>
    </x:row>
    <x:row r="10">
      <x:c r="A10" s="72" t="str">
        <x:f>IF(OR(C10="",D10=""),"",B10&amp;"-"&amp;UPPER(C10)&amp;"-"&amp;TEXT(D10,"0000")&amp;"-"&amp;E10)</x:f>
        <x:v>M13-GEN-0004-V1.0</x:v>
      </x:c>
      <x:c r="B10" s="74" t="str">
        <x:v>M13</x:v>
      </x:c>
      <x:c r="C10" s="74" t="str">
        <x:v>GEN</x:v>
      </x:c>
      <x:c r="D10" s="215" t="n">
        <x:v>4</x:v>
      </x:c>
      <x:c r="E10" s="74" t="str">
        <x:v>V1.0</x:v>
      </x:c>
      <x:c r="F10" s="68" t="str">
        <x:v>燥湿采用极湿至极燥五级制</x:v>
      </x:c>
      <x:c r="G10" s="82" t="str">
        <x:v>结构层</x:v>
      </x:c>
      <x:c r="H10" s="82" t="str">
        <x:v>燥湿轴</x:v>
      </x:c>
      <x:c r="I10" s="68" t="str">
        <x:v>通用</x:v>
      </x:c>
      <x:c r="J10" s="68" t="str">
        <x:v>完成月令、土性、水势与火势修正</x:v>
      </x:c>
      <x:c r="K10" s="68" t="str">
        <x:v>待定</x:v>
      </x:c>
      <x:c r="L10" s="68" t="str">
        <x:v>待定</x:v>
      </x:c>
      <x:c r="M10" s="82" t="str">
        <x:v>待定</x:v>
      </x:c>
      <x:c r="N10" s="82" t="str">
        <x:v>待定</x:v>
      </x:c>
      <x:c r="O10" s="68" t="str">
        <x:v>湿度状态需要标准化</x:v>
      </x:c>
      <x:c r="P10" s="68" t="str">
        <x:v>待定</x:v>
      </x:c>
      <x:c r="Q10" s="68" t="str">
        <x:v>输出极湿/偏湿/平衡/偏燥/极燥</x:v>
      </x:c>
      <x:c r="R10" s="82" t="str">
        <x:v>待定</x:v>
      </x:c>
      <x:c r="S10" s="82" t="str">
        <x:v>待定</x:v>
      </x:c>
      <x:c r="T10" s="82" t="str">
        <x:v>待定</x:v>
      </x:c>
      <x:c r="U10" s="82" t="str">
        <x:v>待定</x:v>
      </x:c>
      <x:c r="V10" s="82" t="str">
        <x:v>待定</x:v>
      </x:c>
      <x:c r="W10" s="68" t="str">
        <x:v>M02基础映射、M08五行有效旺衰、M12流通卡点已完成</x:v>
      </x:c>
      <x:c r="X10" s="68" t="str">
        <x:v>月令基准与全局有效五行均已核查</x:v>
      </x:c>
      <x:c r="Y10" s="68" t="str">
        <x:v>相关调候五行有根有源、透达且能真实改善关键气候问题</x:v>
      </x:c>
      <x:c r="Z10" s="68" t="str">
        <x:v>调候五行无根、受强制、被合绊、改性或加入后产生新的寒热燥湿问题</x:v>
      </x:c>
      <x:c r="AA10" s="90" t="str">
        <x:v>不得只凭出生月份或某一五行数量直接下最终调候结论</x:v>
      </x:c>
      <x:c r="AB10" s="68" t="str">
        <x:v>特殊格局、核心格局用神或更高优先级病药约束转M16—M18裁决</x:v>
      </x:c>
      <x:c r="AC10" s="84" t="str">
        <x:v>湿度五级制</x:v>
      </x:c>
      <x:c r="AD10" s="84" t="str">
        <x:v>燥湿采用极湿至极燥五级制：温度轴判“待定”，湿度轴判“待定”；调候候选为“待定”，是否成为最终用神仍转M16—M18。</x:v>
      </x:c>
      <x:c r="AE10" s="82" t="str">
        <x:v>较高</x:v>
      </x:c>
      <x:c r="AF10" s="82" t="str">
        <x:v>调候</x:v>
      </x:c>
      <x:c r="AG10" s="68" t="str">
        <x:v>调候以月令气候为起点，但必须结合M08五行有效力量与M12流通状态修正；寒暖与燥湿分轴判断，调候候选不自动等于全局主用神。</x:v>
      </x:c>
      <x:c r="AH10" s="68" t="str">
        <x:v>当“完成月令、土性、水势与火势修正”真实成立，且调候机制能改善主要气候问题时，可按“燥湿采用极湿至极燥五级制”记录。</x:v>
      </x:c>
      <x:c r="AI10" s="90" t="str">
        <x:v>仅见月份或表面五行标签，但未满足“完成月令、土性、水势与火势修正”及必要修正条件时，不得套用“燥湿采用极湿至极燥五级制”。</x:v>
      </x:c>
      <x:c r="AJ10" s="82" t="str">
        <x:v>采用</x:v>
      </x:c>
      <x:c r="AK10" s="82" t="str">
        <x:v>初审</x:v>
      </x:c>
      <x:c r="AL10" s="87" t="n">
        <x:v>46255</x:v>
      </x:c>
    </x:row>
    <x:row r="11">
      <x:c r="A11" s="72" t="str">
        <x:f>IF(OR(C11="",D11=""),"",B11&amp;"-"&amp;UPPER(C11)&amp;"-"&amp;TEXT(D11,"0000")&amp;"-"&amp;E11)</x:f>
        <x:v>M13-GEN-0005-V1.0</x:v>
      </x:c>
      <x:c r="B11" s="74" t="str">
        <x:v>M13</x:v>
      </x:c>
      <x:c r="C11" s="74" t="str">
        <x:v>GEN</x:v>
      </x:c>
      <x:c r="D11" s="215" t="n">
        <x:v>5</x:v>
      </x:c>
      <x:c r="E11" s="74" t="str">
        <x:v>V1.0</x:v>
      </x:c>
      <x:c r="F11" s="68" t="str">
        <x:v>调候判断只读取有效五行而非名义存在</x:v>
      </x:c>
      <x:c r="G11" s="82" t="str">
        <x:v>结构层</x:v>
      </x:c>
      <x:c r="H11" s="82" t="str">
        <x:v>寒暖燥湿综合</x:v>
      </x:c>
      <x:c r="I11" s="68" t="str">
        <x:v>通用</x:v>
      </x:c>
      <x:c r="J11" s="68" t="str">
        <x:v>某火、水或土虽在原局出现但M08已判受限、失效或改性</x:v>
      </x:c>
      <x:c r="K11" s="68" t="str">
        <x:v>待定</x:v>
      </x:c>
      <x:c r="L11" s="68" t="str">
        <x:v>待定</x:v>
      </x:c>
      <x:c r="M11" s="82" t="str">
        <x:v>待定</x:v>
      </x:c>
      <x:c r="N11" s="82" t="str">
        <x:v>待定</x:v>
      </x:c>
      <x:c r="O11" s="68" t="str">
        <x:v>名义调候元素不能承担真实调候</x:v>
      </x:c>
      <x:c r="P11" s="68" t="str">
        <x:v>待定</x:v>
      </x:c>
      <x:c r="Q11" s="68" t="str">
        <x:v>按M08有效性重新评价</x:v>
      </x:c>
      <x:c r="R11" s="82" t="str">
        <x:v>待定</x:v>
      </x:c>
      <x:c r="S11" s="82" t="str">
        <x:v>待定</x:v>
      </x:c>
      <x:c r="T11" s="82" t="str">
        <x:v>待定</x:v>
      </x:c>
      <x:c r="U11" s="82" t="str">
        <x:v>待定</x:v>
      </x:c>
      <x:c r="V11" s="82" t="str">
        <x:v>待定</x:v>
      </x:c>
      <x:c r="W11" s="68" t="str">
        <x:v>M02基础映射、M08五行有效旺衰、M12流通卡点已完成</x:v>
      </x:c>
      <x:c r="X11" s="68" t="str">
        <x:v>月令基准与全局有效五行均已核查</x:v>
      </x:c>
      <x:c r="Y11" s="68" t="str">
        <x:v>相关调候五行有根有源、透达且能真实改善关键气候问题</x:v>
      </x:c>
      <x:c r="Z11" s="68" t="str">
        <x:v>调候五行无根、受强制、被合绊、改性或加入后产生新的寒热燥湿问题</x:v>
      </x:c>
      <x:c r="AA11" s="90" t="str">
        <x:v>不得只凭出生月份或某一五行数量直接下最终调候结论</x:v>
      </x:c>
      <x:c r="AB11" s="68" t="str">
        <x:v>特殊格局、核心格局用神或更高优先级病药约束转M16—M18裁决</x:v>
      </x:c>
      <x:c r="AC11" s="84" t="str">
        <x:v>调候有效力量优先</x:v>
      </x:c>
      <x:c r="AD11" s="84" t="str">
        <x:v>调候判断只读取有效五行而非名义存在：温度轴判“待定”，湿度轴判“待定”；调候候选为“待定”，是否成为最终用神仍转M16—M18。</x:v>
      </x:c>
      <x:c r="AE11" s="82" t="str">
        <x:v>较高</x:v>
      </x:c>
      <x:c r="AF11" s="82" t="str">
        <x:v>调候</x:v>
      </x:c>
      <x:c r="AG11" s="68" t="str">
        <x:v>调候以月令气候为起点，但必须结合M08五行有效力量与M12流通状态修正；寒暖与燥湿分轴判断，调候候选不自动等于全局主用神。</x:v>
      </x:c>
      <x:c r="AH11" s="68" t="str">
        <x:v>当“某火、水或土虽在原局出现但M08已判受限、失效或改性”真实成立，且调候机制能改善主要气候问题时，可按“调候判断只读取有效五行而非名义存在”记录。</x:v>
      </x:c>
      <x:c r="AI11" s="90" t="str">
        <x:v>仅见月份或表面五行标签，但未满足“某火、水或土虽在原局出现但M08已判受限、失效或改性”及必要修正条件时，不得套用“调候判断只读取有效五行而非名义存在”。</x:v>
      </x:c>
      <x:c r="AJ11" s="82" t="str">
        <x:v>采用</x:v>
      </x:c>
      <x:c r="AK11" s="82" t="str">
        <x:v>初审</x:v>
      </x:c>
      <x:c r="AL11" s="87" t="n">
        <x:v>46255</x:v>
      </x:c>
    </x:row>
    <x:row r="12">
      <x:c r="A12" s="72" t="str">
        <x:f>IF(OR(C12="",D12=""),"",B12&amp;"-"&amp;UPPER(C12)&amp;"-"&amp;TEXT(D12,"0000")&amp;"-"&amp;E12)</x:f>
        <x:v>M13-GEN-0006-V1.0</x:v>
      </x:c>
      <x:c r="B12" s="74" t="str">
        <x:v>M13</x:v>
      </x:c>
      <x:c r="C12" s="74" t="str">
        <x:v>GEN</x:v>
      </x:c>
      <x:c r="D12" s="215" t="n">
        <x:v>6</x:v>
      </x:c>
      <x:c r="E12" s="74" t="str">
        <x:v>V1.0</x:v>
      </x:c>
      <x:c r="F12" s="68" t="str">
        <x:v>气候平衡不等于五行力量平衡</x:v>
      </x:c>
      <x:c r="G12" s="82" t="str">
        <x:v>结构层</x:v>
      </x:c>
      <x:c r="H12" s="82" t="str">
        <x:v>寒暖燥湿综合</x:v>
      </x:c>
      <x:c r="I12" s="68" t="str">
        <x:v>通用</x:v>
      </x:c>
      <x:c r="J12" s="68" t="str">
        <x:v>寒暖燥湿适中，但日主或某五行仍明显偏旺偏弱</x:v>
      </x:c>
      <x:c r="K12" s="68" t="str">
        <x:v>待定</x:v>
      </x:c>
      <x:c r="L12" s="68" t="str">
        <x:v>待定</x:v>
      </x:c>
      <x:c r="M12" s="82" t="str">
        <x:v>平衡</x:v>
      </x:c>
      <x:c r="N12" s="82" t="str">
        <x:v>平衡</x:v>
      </x:c>
      <x:c r="O12" s="68" t="str">
        <x:v>调候与扶抑属于不同问题</x:v>
      </x:c>
      <x:c r="P12" s="68" t="str">
        <x:v>待定</x:v>
      </x:c>
      <x:c r="Q12" s="68" t="str">
        <x:v>调候不介入非气候性旺衰问题</x:v>
      </x:c>
      <x:c r="R12" s="82" t="str">
        <x:v>待定</x:v>
      </x:c>
      <x:c r="S12" s="82" t="str">
        <x:v>待定</x:v>
      </x:c>
      <x:c r="T12" s="82" t="str">
        <x:v>待定</x:v>
      </x:c>
      <x:c r="U12" s="82" t="str">
        <x:v>待定</x:v>
      </x:c>
      <x:c r="V12" s="82" t="str">
        <x:v>待定</x:v>
      </x:c>
      <x:c r="W12" s="68" t="str">
        <x:v>M02基础映射、M08五行有效旺衰、M12流通卡点已完成</x:v>
      </x:c>
      <x:c r="X12" s="68" t="str">
        <x:v>月令基准与全局有效五行均已核查</x:v>
      </x:c>
      <x:c r="Y12" s="68" t="str">
        <x:v>相关调候五行有根有源、透达且能真实改善关键气候问题</x:v>
      </x:c>
      <x:c r="Z12" s="68" t="str">
        <x:v>调候五行无根、受强制、被合绊、改性或加入后产生新的寒热燥湿问题</x:v>
      </x:c>
      <x:c r="AA12" s="90" t="str">
        <x:v>不得只凭出生月份或某一五行数量直接下最终调候结论</x:v>
      </x:c>
      <x:c r="AB12" s="68" t="str">
        <x:v>特殊格局、核心格局用神或更高优先级病药约束转M16—M18裁决</x:v>
      </x:c>
      <x:c r="AC12" s="84" t="str">
        <x:v>调候扶抑分离</x:v>
      </x:c>
      <x:c r="AD12" s="84" t="str">
        <x:v>气候平衡不等于五行力量平衡：温度轴判“平衡”，湿度轴判“平衡”；调候候选为“待定”，是否成为最终用神仍转M16—M18。</x:v>
      </x:c>
      <x:c r="AE12" s="82" t="str">
        <x:v>较高</x:v>
      </x:c>
      <x:c r="AF12" s="82" t="str">
        <x:v>调候</x:v>
      </x:c>
      <x:c r="AG12" s="68" t="str">
        <x:v>调候以月令气候为起点，但必须结合M08五行有效力量与M12流通状态修正；寒暖与燥湿分轴判断，调候候选不自动等于全局主用神。</x:v>
      </x:c>
      <x:c r="AH12" s="68" t="str">
        <x:v>当“寒暖燥湿适中，但日主或某五行仍明显偏旺偏弱”真实成立，且调候机制能改善主要气候问题时，可按“气候平衡不等于五行力量平衡”记录。</x:v>
      </x:c>
      <x:c r="AI12" s="90" t="str">
        <x:v>仅见月份或表面五行标签，但未满足“寒暖燥湿适中，但日主或某五行仍明显偏旺偏弱”及必要修正条件时，不得套用“气候平衡不等于五行力量平衡”。</x:v>
      </x:c>
      <x:c r="AJ12" s="82" t="str">
        <x:v>采用</x:v>
      </x:c>
      <x:c r="AK12" s="82" t="str">
        <x:v>初审</x:v>
      </x:c>
      <x:c r="AL12" s="87" t="n">
        <x:v>46255</x:v>
      </x:c>
    </x:row>
    <x:row r="13">
      <x:c r="A13" s="72" t="str">
        <x:f>IF(OR(C13="",D13=""),"",B13&amp;"-"&amp;UPPER(C13)&amp;"-"&amp;TEXT(D13,"0000")&amp;"-"&amp;E13)</x:f>
        <x:v>M13-GEN-0007-V1.0</x:v>
      </x:c>
      <x:c r="B13" s="74" t="str">
        <x:v>M13</x:v>
      </x:c>
      <x:c r="C13" s="74" t="str">
        <x:v>GEN</x:v>
      </x:c>
      <x:c r="D13" s="215" t="n">
        <x:v>7</x:v>
      </x:c>
      <x:c r="E13" s="74" t="str">
        <x:v>V1.0</x:v>
      </x:c>
      <x:c r="F13" s="68" t="str">
        <x:v>调候候选不等于主用神</x:v>
      </x:c>
      <x:c r="G13" s="82" t="str">
        <x:v>结构层</x:v>
      </x:c>
      <x:c r="H13" s="82" t="str">
        <x:v>寒暖燥湿综合</x:v>
      </x:c>
      <x:c r="I13" s="68" t="str">
        <x:v>通用</x:v>
      </x:c>
      <x:c r="J13" s="68" t="str">
        <x:v>某五行能改善寒暖燥湿，但可能破坏格局、加重日主失衡或制造新病</x:v>
      </x:c>
      <x:c r="K13" s="68" t="str">
        <x:v>待定</x:v>
      </x:c>
      <x:c r="L13" s="68" t="str">
        <x:v>待定</x:v>
      </x:c>
      <x:c r="M13" s="82" t="str">
        <x:v>待定</x:v>
      </x:c>
      <x:c r="N13" s="82" t="str">
        <x:v>待定</x:v>
      </x:c>
      <x:c r="O13" s="68" t="str">
        <x:v>调候收益与结构副作用并存</x:v>
      </x:c>
      <x:c r="P13" s="68" t="str">
        <x:v>待定</x:v>
      </x:c>
      <x:c r="Q13" s="68" t="str">
        <x:v>生成调候候选并转M17/M18</x:v>
      </x:c>
      <x:c r="R13" s="82" t="str">
        <x:v>待定</x:v>
      </x:c>
      <x:c r="S13" s="82" t="str">
        <x:v>待定</x:v>
      </x:c>
      <x:c r="T13" s="82" t="str">
        <x:v>待定</x:v>
      </x:c>
      <x:c r="U13" s="82" t="str">
        <x:v>待定</x:v>
      </x:c>
      <x:c r="V13" s="82" t="str">
        <x:v>待定</x:v>
      </x:c>
      <x:c r="W13" s="68" t="str">
        <x:v>M02基础映射、M08五行有效旺衰、M12流通卡点已完成</x:v>
      </x:c>
      <x:c r="X13" s="68" t="str">
        <x:v>月令基准与全局有效五行均已核查</x:v>
      </x:c>
      <x:c r="Y13" s="68" t="str">
        <x:v>相关调候五行有根有源、透达且能真实改善关键气候问题</x:v>
      </x:c>
      <x:c r="Z13" s="68" t="str">
        <x:v>调候五行无根、受强制、被合绊、改性或加入后产生新的寒热燥湿问题</x:v>
      </x:c>
      <x:c r="AA13" s="90" t="str">
        <x:v>不得只凭出生月份或某一五行数量直接下最终调候结论</x:v>
      </x:c>
      <x:c r="AB13" s="68" t="str">
        <x:v>特殊格局、核心格局用神或更高优先级病药约束转M16—M18裁决</x:v>
      </x:c>
      <x:c r="AC13" s="84" t="str">
        <x:v>调候候选与用神分离</x:v>
      </x:c>
      <x:c r="AD13" s="84" t="str">
        <x:v>调候候选不等于主用神：温度轴判“待定”，湿度轴判“待定”；调候候选为“待定”，是否成为最终用神仍转M16—M18。</x:v>
      </x:c>
      <x:c r="AE13" s="82" t="str">
        <x:v>较高</x:v>
      </x:c>
      <x:c r="AF13" s="82" t="str">
        <x:v>调候</x:v>
      </x:c>
      <x:c r="AG13" s="68" t="str">
        <x:v>调候以月令气候为起点，但必须结合M08五行有效力量与M12流通状态修正；寒暖与燥湿分轴判断，调候候选不自动等于全局主用神。</x:v>
      </x:c>
      <x:c r="AH13" s="68" t="str">
        <x:v>当“某五行能改善寒暖燥湿，但可能破坏格局、加重日主失衡或制造新病”真实成立，且调候机制能改善主要气候问题时，可按“调候候选不等于主用神”记录。</x:v>
      </x:c>
      <x:c r="AI13" s="90" t="str">
        <x:v>仅见月份或表面五行标签，但未满足“某五行能改善寒暖燥湿，但可能破坏格局、加重日主失衡或制造新病”及必要修正条件时，不得套用“调候候选不等于主用神”。</x:v>
      </x:c>
      <x:c r="AJ13" s="82" t="str">
        <x:v>采用</x:v>
      </x:c>
      <x:c r="AK13" s="82" t="str">
        <x:v>初审</x:v>
      </x:c>
      <x:c r="AL13" s="87" t="n">
        <x:v>46255</x:v>
      </x:c>
    </x:row>
    <x:row r="14">
      <x:c r="A14" s="72" t="str">
        <x:f>IF(OR(C14="",D14=""),"",B14&amp;"-"&amp;UPPER(C14)&amp;"-"&amp;TEXT(D14,"0000")&amp;"-"&amp;E14)</x:f>
        <x:v>M13-GEN-0008-V1.0</x:v>
      </x:c>
      <x:c r="B14" s="74" t="str">
        <x:v>M13</x:v>
      </x:c>
      <x:c r="C14" s="74" t="str">
        <x:v>GEN</x:v>
      </x:c>
      <x:c r="D14" s="215" t="n">
        <x:v>8</x:v>
      </x:c>
      <x:c r="E14" s="74" t="str">
        <x:v>V1.0</x:v>
      </x:c>
      <x:c r="F14" s="68" t="str">
        <x:v>极端气候达到功能阻断时调候优先级上升</x:v>
      </x:c>
      <x:c r="G14" s="82" t="str">
        <x:v>结构层</x:v>
      </x:c>
      <x:c r="H14" s="82" t="str">
        <x:v>寒暖燥湿综合</x:v>
      </x:c>
      <x:c r="I14" s="68" t="str">
        <x:v>通用</x:v>
      </x:c>
      <x:c r="J14" s="68" t="str">
        <x:v>极寒、极热、极湿或极燥已明显导致M12主路径寒凝、燥枯或失去生化</x:v>
      </x:c>
      <x:c r="K14" s="68" t="str">
        <x:v>待定</x:v>
      </x:c>
      <x:c r="L14" s="68" t="str">
        <x:v>待定</x:v>
      </x:c>
      <x:c r="M14" s="82" t="str">
        <x:v>待定</x:v>
      </x:c>
      <x:c r="N14" s="82" t="str">
        <x:v>待定</x:v>
      </x:c>
      <x:c r="O14" s="68" t="str">
        <x:v>气候问题成为全局功能瓶颈</x:v>
      </x:c>
      <x:c r="P14" s="68" t="str">
        <x:v>待定</x:v>
      </x:c>
      <x:c r="Q14" s="68" t="str">
        <x:v>优先恢复基本生化条件</x:v>
      </x:c>
      <x:c r="R14" s="82" t="str">
        <x:v>待定</x:v>
      </x:c>
      <x:c r="S14" s="82" t="str">
        <x:v>待定</x:v>
      </x:c>
      <x:c r="T14" s="82" t="str">
        <x:v>首要</x:v>
      </x:c>
      <x:c r="U14" s="82" t="str">
        <x:v>待定</x:v>
      </x:c>
      <x:c r="V14" s="82" t="str">
        <x:v>待定</x:v>
      </x:c>
      <x:c r="W14" s="68" t="str">
        <x:v>M02基础映射、M08五行有效旺衰、M12流通卡点已完成</x:v>
      </x:c>
      <x:c r="X14" s="68" t="str">
        <x:v>月令基准与全局有效五行均已核查</x:v>
      </x:c>
      <x:c r="Y14" s="68" t="str">
        <x:v>相关调候五行有根有源、透达且能真实改善关键气候问题</x:v>
      </x:c>
      <x:c r="Z14" s="68" t="str">
        <x:v>调候五行无根、受强制、被合绊、改性或加入后产生新的寒热燥湿问题</x:v>
      </x:c>
      <x:c r="AA14" s="90" t="str">
        <x:v>不得只凭出生月份或某一五行数量直接下最终调候结论</x:v>
      </x:c>
      <x:c r="AB14" s="68" t="str">
        <x:v>特殊格局、核心格局用神或更高优先级病药约束转M16—M18裁决</x:v>
      </x:c>
      <x:c r="AC14" s="84" t="str">
        <x:v>极端调候优先级</x:v>
      </x:c>
      <x:c r="AD14" s="84" t="str">
        <x:v>极端气候达到功能阻断时调候优先级上升：温度轴判“待定”，湿度轴判“待定”；调候候选为“待定”，是否成为最终用神仍转M16—M18。</x:v>
      </x:c>
      <x:c r="AE14" s="82" t="str">
        <x:v>较高</x:v>
      </x:c>
      <x:c r="AF14" s="82" t="str">
        <x:v>调候</x:v>
      </x:c>
      <x:c r="AG14" s="68" t="str">
        <x:v>调候以月令气候为起点，但必须结合M08五行有效力量与M12流通状态修正；寒暖与燥湿分轴判断，调候候选不自动等于全局主用神。</x:v>
      </x:c>
      <x:c r="AH14" s="68" t="str">
        <x:v>当“极寒、极热、极湿或极燥已明显导致M12主路径寒凝、燥枯或失去生化”真实成立，且调候机制能改善主要气候问题时，可按“极端气候达到功能阻断时调候优先级上升”记录。</x:v>
      </x:c>
      <x:c r="AI14" s="90" t="str">
        <x:v>仅见月份或表面五行标签，但未满足“极寒、极热、极湿或极燥已明显导致M12主路径寒凝、燥枯或失去生化”及必要修正条件时，不得套用“极端气候达到功能阻断时调候优先级上升”。</x:v>
      </x:c>
      <x:c r="AJ14" s="82" t="str">
        <x:v>采用</x:v>
      </x:c>
      <x:c r="AK14" s="82" t="str">
        <x:v>初审</x:v>
      </x:c>
      <x:c r="AL14" s="87" t="n">
        <x:v>46255</x:v>
      </x:c>
    </x:row>
    <x:row r="15">
      <x:c r="A15" s="72" t="str">
        <x:f>IF(OR(C15="",D15=""),"",B15&amp;"-"&amp;UPPER(C15)&amp;"-"&amp;TEXT(D15,"0000")&amp;"-"&amp;E15)</x:f>
        <x:v>M13-SEASON-0009-V1.0</x:v>
      </x:c>
      <x:c r="B15" s="74" t="str">
        <x:v>M13</x:v>
      </x:c>
      <x:c r="C15" s="74" t="str">
        <x:v>SEASON</x:v>
      </x:c>
      <x:c r="D15" s="215" t="n">
        <x:v>9</x:v>
      </x:c>
      <x:c r="E15" s="74" t="str">
        <x:v>V1.0</x:v>
      </x:c>
      <x:c r="F15" s="68" t="str">
        <x:v>寅月气候基准</x:v>
      </x:c>
      <x:c r="G15" s="82" t="str">
        <x:v>结构层</x:v>
      </x:c>
      <x:c r="H15" s="82" t="str">
        <x:v>寒暖燥湿综合</x:v>
      </x:c>
      <x:c r="I15" s="68" t="str">
        <x:v>寅月</x:v>
      </x:c>
      <x:c r="J15" s="68" t="str">
        <x:v>初春木旺，寒气未尽</x:v>
      </x:c>
      <x:c r="K15" s="68" t="str">
        <x:v>月令基准</x:v>
      </x:c>
      <x:c r="L15" s="68" t="str">
        <x:v>月令基准</x:v>
      </x:c>
      <x:c r="M15" s="82" t="str">
        <x:v>偏暖</x:v>
      </x:c>
      <x:c r="N15" s="82" t="str">
        <x:v>平衡</x:v>
      </x:c>
      <x:c r="O15" s="68" t="str">
        <x:v>木气初升但余寒仍可能存在</x:v>
      </x:c>
      <x:c r="P15" s="68" t="str">
        <x:v>火</x:v>
      </x:c>
      <x:c r="Q15" s="68" t="str">
        <x:v>暖木助生发</x:v>
      </x:c>
      <x:c r="R15" s="82" t="str">
        <x:v>条件性</x:v>
      </x:c>
      <x:c r="S15" s="82" t="str">
        <x:v>待定</x:v>
      </x:c>
      <x:c r="T15" s="82" t="str">
        <x:v>待定</x:v>
      </x:c>
      <x:c r="U15" s="82" t="str">
        <x:v>待定</x:v>
      </x:c>
      <x:c r="V15" s="82" t="str">
        <x:v>待定</x:v>
      </x:c>
      <x:c r="W15" s="68" t="str">
        <x:v>M02基础映射、M08五行有效旺衰、M12流通卡点已完成</x:v>
      </x:c>
      <x:c r="X15" s="68" t="str">
        <x:v>月令基准与全局有效五行均已核查</x:v>
      </x:c>
      <x:c r="Y15" s="68" t="str">
        <x:v>相关调候五行有根有源、透达且能真实改善关键气候问题</x:v>
      </x:c>
      <x:c r="Z15" s="68" t="str">
        <x:v>调候五行无根、受强制、被合绊、改性或加入后产生新的寒热燥湿问题</x:v>
      </x:c>
      <x:c r="AA15" s="90" t="str">
        <x:v>月令仅提供初始倾向，必须结合全局火水燥湿土与合化成势修正</x:v>
      </x:c>
      <x:c r="AB15" s="68" t="str">
        <x:v>特殊格局、核心格局用神或更高优先级病药约束转M16—M18裁决</x:v>
      </x:c>
      <x:c r="AC15" s="84" t="str">
        <x:v>寅月_气候基准</x:v>
      </x:c>
      <x:c r="AD15" s="84" t="str">
        <x:v>寅月气候基准：温度轴判“偏暖”，湿度轴判“平衡”；调候候选为“火”，是否成为最终用神仍转M16—M18。</x:v>
      </x:c>
      <x:c r="AE15" s="82" t="str">
        <x:v>中等</x:v>
      </x:c>
      <x:c r="AF15" s="82" t="str">
        <x:v>调候</x:v>
      </x:c>
      <x:c r="AG15" s="68" t="str">
        <x:v>调候以月令气候为起点，但必须结合M08五行有效力量与M12流通状态修正；寒暖与燥湿分轴判断，调候候选不自动等于全局主用神。</x:v>
      </x:c>
      <x:c r="AH15" s="68" t="str">
        <x:v>当“初春木旺，寒气未尽”真实成立，且调候机制能改善主要气候问题时，可按“寅月气候基准”记录。</x:v>
      </x:c>
      <x:c r="AI15" s="90" t="str">
        <x:v>仅见月份或表面五行标签，但未满足“初春木旺，寒气未尽”及必要修正条件时，不得套用“寅月气候基准”。</x:v>
      </x:c>
      <x:c r="AJ15" s="82" t="str">
        <x:v>采用</x:v>
      </x:c>
      <x:c r="AK15" s="82" t="str">
        <x:v>初审</x:v>
      </x:c>
      <x:c r="AL15" s="87" t="n">
        <x:v>46255</x:v>
      </x:c>
    </x:row>
    <x:row r="16">
      <x:c r="A16" s="72" t="str">
        <x:f>IF(OR(C16="",D16=""),"",B16&amp;"-"&amp;UPPER(C16)&amp;"-"&amp;TEXT(D16,"0000")&amp;"-"&amp;E16)</x:f>
        <x:v>M13-SEASON-0010-V1.0</x:v>
      </x:c>
      <x:c r="B16" s="74" t="str">
        <x:v>M13</x:v>
      </x:c>
      <x:c r="C16" s="74" t="str">
        <x:v>SEASON</x:v>
      </x:c>
      <x:c r="D16" s="215" t="n">
        <x:v>10</x:v>
      </x:c>
      <x:c r="E16" s="74" t="str">
        <x:v>V1.0</x:v>
      </x:c>
      <x:c r="F16" s="68" t="str">
        <x:v>卯月气候基准</x:v>
      </x:c>
      <x:c r="G16" s="82" t="str">
        <x:v>结构层</x:v>
      </x:c>
      <x:c r="H16" s="82" t="str">
        <x:v>寒暖燥湿综合</x:v>
      </x:c>
      <x:c r="I16" s="68" t="str">
        <x:v>卯月</x:v>
      </x:c>
      <x:c r="J16" s="68" t="str">
        <x:v>仲春木旺，气温上升</x:v>
      </x:c>
      <x:c r="K16" s="68" t="str">
        <x:v>月令基准</x:v>
      </x:c>
      <x:c r="L16" s="68" t="str">
        <x:v>月令基准</x:v>
      </x:c>
      <x:c r="M16" s="82" t="str">
        <x:v>偏暖</x:v>
      </x:c>
      <x:c r="N16" s="82" t="str">
        <x:v>平衡</x:v>
      </x:c>
      <x:c r="O16" s="68" t="str">
        <x:v>木旺生发，通常不以寒为主</x:v>
      </x:c>
      <x:c r="P16" s="68" t="str">
        <x:v>待定</x:v>
      </x:c>
      <x:c r="Q16" s="68" t="str">
        <x:v>视全局修正</x:v>
      </x:c>
      <x:c r="R16" s="82" t="str">
        <x:v>条件性</x:v>
      </x:c>
      <x:c r="S16" s="82" t="str">
        <x:v>待定</x:v>
      </x:c>
      <x:c r="T16" s="82" t="str">
        <x:v>待定</x:v>
      </x:c>
      <x:c r="U16" s="82" t="str">
        <x:v>待定</x:v>
      </x:c>
      <x:c r="V16" s="82" t="str">
        <x:v>待定</x:v>
      </x:c>
      <x:c r="W16" s="68" t="str">
        <x:v>M02基础映射、M08五行有效旺衰、M12流通卡点已完成</x:v>
      </x:c>
      <x:c r="X16" s="68" t="str">
        <x:v>月令基准与全局有效五行均已核查</x:v>
      </x:c>
      <x:c r="Y16" s="68" t="str">
        <x:v>相关调候五行有根有源、透达且能真实改善关键气候问题</x:v>
      </x:c>
      <x:c r="Z16" s="68" t="str">
        <x:v>调候五行无根、受强制、被合绊、改性或加入后产生新的寒热燥湿问题</x:v>
      </x:c>
      <x:c r="AA16" s="90" t="str">
        <x:v>月令仅提供初始倾向，必须结合全局火水燥湿土与合化成势修正</x:v>
      </x:c>
      <x:c r="AB16" s="68" t="str">
        <x:v>特殊格局、核心格局用神或更高优先级病药约束转M16—M18裁决</x:v>
      </x:c>
      <x:c r="AC16" s="84" t="str">
        <x:v>卯月_气候基准</x:v>
      </x:c>
      <x:c r="AD16" s="84" t="str">
        <x:v>卯月气候基准：温度轴判“偏暖”，湿度轴判“平衡”；调候候选为“待定”，是否成为最终用神仍转M16—M18。</x:v>
      </x:c>
      <x:c r="AE16" s="82" t="str">
        <x:v>中等</x:v>
      </x:c>
      <x:c r="AF16" s="82" t="str">
        <x:v>调候</x:v>
      </x:c>
      <x:c r="AG16" s="68" t="str">
        <x:v>调候以月令气候为起点，但必须结合M08五行有效力量与M12流通状态修正；寒暖与燥湿分轴判断，调候候选不自动等于全局主用神。</x:v>
      </x:c>
      <x:c r="AH16" s="68" t="str">
        <x:v>当“仲春木旺，气温上升”真实成立，且调候机制能改善主要气候问题时，可按“卯月气候基准”记录。</x:v>
      </x:c>
      <x:c r="AI16" s="90" t="str">
        <x:v>仅见月份或表面五行标签，但未满足“仲春木旺，气温上升”及必要修正条件时，不得套用“卯月气候基准”。</x:v>
      </x:c>
      <x:c r="AJ16" s="82" t="str">
        <x:v>采用</x:v>
      </x:c>
      <x:c r="AK16" s="82" t="str">
        <x:v>初审</x:v>
      </x:c>
      <x:c r="AL16" s="87" t="n">
        <x:v>46255</x:v>
      </x:c>
    </x:row>
    <x:row r="17">
      <x:c r="A17" s="72" t="str">
        <x:f>IF(OR(C17="",D17=""),"",B17&amp;"-"&amp;UPPER(C17)&amp;"-"&amp;TEXT(D17,"0000")&amp;"-"&amp;E17)</x:f>
        <x:v>M13-SEASON-0011-V1.0</x:v>
      </x:c>
      <x:c r="B17" s="74" t="str">
        <x:v>M13</x:v>
      </x:c>
      <x:c r="C17" s="74" t="str">
        <x:v>SEASON</x:v>
      </x:c>
      <x:c r="D17" s="215" t="n">
        <x:v>11</x:v>
      </x:c>
      <x:c r="E17" s="74" t="str">
        <x:v>V1.0</x:v>
      </x:c>
      <x:c r="F17" s="68" t="str">
        <x:v>辰月气候基准</x:v>
      </x:c>
      <x:c r="G17" s="82" t="str">
        <x:v>结构层</x:v>
      </x:c>
      <x:c r="H17" s="82" t="str">
        <x:v>寒暖燥湿综合</x:v>
      </x:c>
      <x:c r="I17" s="68" t="str">
        <x:v>辰月</x:v>
      </x:c>
      <x:c r="J17" s="68" t="str">
        <x:v>季春湿土当令</x:v>
      </x:c>
      <x:c r="K17" s="68" t="str">
        <x:v>月令基准</x:v>
      </x:c>
      <x:c r="L17" s="68" t="str">
        <x:v>月令基准</x:v>
      </x:c>
      <x:c r="M17" s="82" t="str">
        <x:v>偏暖</x:v>
      </x:c>
      <x:c r="N17" s="82" t="str">
        <x:v>偏湿</x:v>
      </x:c>
      <x:c r="O17" s="68" t="str">
        <x:v>湿土与春水余气可能使湿度升高</x:v>
      </x:c>
      <x:c r="P17" s="68" t="str">
        <x:v>火/木</x:v>
      </x:c>
      <x:c r="Q17" s="68" t="str">
        <x:v>暖土疏湿并维持生发</x:v>
      </x:c>
      <x:c r="R17" s="82" t="str">
        <x:v>条件性</x:v>
      </x:c>
      <x:c r="S17" s="82" t="str">
        <x:v>待定</x:v>
      </x:c>
      <x:c r="T17" s="82" t="str">
        <x:v>待定</x:v>
      </x:c>
      <x:c r="U17" s="82" t="str">
        <x:v>待定</x:v>
      </x:c>
      <x:c r="V17" s="82" t="str">
        <x:v>待定</x:v>
      </x:c>
      <x:c r="W17" s="68" t="str">
        <x:v>M02基础映射、M08五行有效旺衰、M12流通卡点已完成</x:v>
      </x:c>
      <x:c r="X17" s="68" t="str">
        <x:v>月令基准与全局有效五行均已核查</x:v>
      </x:c>
      <x:c r="Y17" s="68" t="str">
        <x:v>相关调候五行有根有源、透达且能真实改善关键气候问题</x:v>
      </x:c>
      <x:c r="Z17" s="68" t="str">
        <x:v>调候五行无根、受强制、被合绊、改性或加入后产生新的寒热燥湿问题</x:v>
      </x:c>
      <x:c r="AA17" s="90" t="str">
        <x:v>月令仅提供初始倾向，必须结合全局火水燥湿土与合化成势修正</x:v>
      </x:c>
      <x:c r="AB17" s="68" t="str">
        <x:v>特殊格局、核心格局用神或更高优先级病药约束转M16—M18裁决</x:v>
      </x:c>
      <x:c r="AC17" s="84" t="str">
        <x:v>辰月_气候基准</x:v>
      </x:c>
      <x:c r="AD17" s="84" t="str">
        <x:v>辰月气候基准：温度轴判“偏暖”，湿度轴判“偏湿”；调候候选为“火/木”，是否成为最终用神仍转M16—M18。</x:v>
      </x:c>
      <x:c r="AE17" s="82" t="str">
        <x:v>中等</x:v>
      </x:c>
      <x:c r="AF17" s="82" t="str">
        <x:v>调候</x:v>
      </x:c>
      <x:c r="AG17" s="68" t="str">
        <x:v>调候以月令气候为起点，但必须结合M08五行有效力量与M12流通状态修正；寒暖与燥湿分轴判断，调候候选不自动等于全局主用神。</x:v>
      </x:c>
      <x:c r="AH17" s="68" t="str">
        <x:v>当“季春湿土当令”真实成立，且调候机制能改善主要气候问题时，可按“辰月气候基准”记录。</x:v>
      </x:c>
      <x:c r="AI17" s="90" t="str">
        <x:v>仅见月份或表面五行标签，但未满足“季春湿土当令”及必要修正条件时，不得套用“辰月气候基准”。</x:v>
      </x:c>
      <x:c r="AJ17" s="82" t="str">
        <x:v>采用</x:v>
      </x:c>
      <x:c r="AK17" s="82" t="str">
        <x:v>初审</x:v>
      </x:c>
      <x:c r="AL17" s="87" t="n">
        <x:v>46255</x:v>
      </x:c>
    </x:row>
    <x:row r="18">
      <x:c r="A18" s="72" t="str">
        <x:f>IF(OR(C18="",D18=""),"",B18&amp;"-"&amp;UPPER(C18)&amp;"-"&amp;TEXT(D18,"0000")&amp;"-"&amp;E18)</x:f>
        <x:v>M13-SEASON-0012-V1.0</x:v>
      </x:c>
      <x:c r="B18" s="74" t="str">
        <x:v>M13</x:v>
      </x:c>
      <x:c r="C18" s="74" t="str">
        <x:v>SEASON</x:v>
      </x:c>
      <x:c r="D18" s="215" t="n">
        <x:v>12</x:v>
      </x:c>
      <x:c r="E18" s="74" t="str">
        <x:v>V1.0</x:v>
      </x:c>
      <x:c r="F18" s="68" t="str">
        <x:v>巳月气候基准</x:v>
      </x:c>
      <x:c r="G18" s="82" t="str">
        <x:v>结构层</x:v>
      </x:c>
      <x:c r="H18" s="82" t="str">
        <x:v>寒暖燥湿综合</x:v>
      </x:c>
      <x:c r="I18" s="68" t="str">
        <x:v>巳月</x:v>
      </x:c>
      <x:c r="J18" s="68" t="str">
        <x:v>初夏火旺</x:v>
      </x:c>
      <x:c r="K18" s="68" t="str">
        <x:v>月令基准</x:v>
      </x:c>
      <x:c r="L18" s="68" t="str">
        <x:v>月令基准</x:v>
      </x:c>
      <x:c r="M18" s="82" t="str">
        <x:v>偏暖</x:v>
      </x:c>
      <x:c r="N18" s="82" t="str">
        <x:v>偏燥</x:v>
      </x:c>
      <x:c r="O18" s="68" t="str">
        <x:v>火升温并逐渐增燥</x:v>
      </x:c>
      <x:c r="P18" s="68" t="str">
        <x:v>水</x:v>
      </x:c>
      <x:c r="Q18" s="68" t="str">
        <x:v>润燥降温</x:v>
      </x:c>
      <x:c r="R18" s="82" t="str">
        <x:v>条件性</x:v>
      </x:c>
      <x:c r="S18" s="82" t="str">
        <x:v>待定</x:v>
      </x:c>
      <x:c r="T18" s="82" t="str">
        <x:v>待定</x:v>
      </x:c>
      <x:c r="U18" s="82" t="str">
        <x:v>待定</x:v>
      </x:c>
      <x:c r="V18" s="82" t="str">
        <x:v>待定</x:v>
      </x:c>
      <x:c r="W18" s="68" t="str">
        <x:v>M02基础映射、M08五行有效旺衰、M12流通卡点已完成</x:v>
      </x:c>
      <x:c r="X18" s="68" t="str">
        <x:v>月令基准与全局有效五行均已核查</x:v>
      </x:c>
      <x:c r="Y18" s="68" t="str">
        <x:v>相关调候五行有根有源、透达且能真实改善关键气候问题</x:v>
      </x:c>
      <x:c r="Z18" s="68" t="str">
        <x:v>调候五行无根、受强制、被合绊、改性或加入后产生新的寒热燥湿问题</x:v>
      </x:c>
      <x:c r="AA18" s="90" t="str">
        <x:v>月令仅提供初始倾向，必须结合全局火水燥湿土与合化成势修正</x:v>
      </x:c>
      <x:c r="AB18" s="68" t="str">
        <x:v>特殊格局、核心格局用神或更高优先级病药约束转M16—M18裁决</x:v>
      </x:c>
      <x:c r="AC18" s="84" t="str">
        <x:v>巳月_气候基准</x:v>
      </x:c>
      <x:c r="AD18" s="84" t="str">
        <x:v>巳月气候基准：温度轴判“偏暖”，湿度轴判“偏燥”；调候候选为“水”，是否成为最终用神仍转M16—M18。</x:v>
      </x:c>
      <x:c r="AE18" s="82" t="str">
        <x:v>中等</x:v>
      </x:c>
      <x:c r="AF18" s="82" t="str">
        <x:v>调候</x:v>
      </x:c>
      <x:c r="AG18" s="68" t="str">
        <x:v>调候以月令气候为起点，但必须结合M08五行有效力量与M12流通状态修正；寒暖与燥湿分轴判断，调候候选不自动等于全局主用神。</x:v>
      </x:c>
      <x:c r="AH18" s="68" t="str">
        <x:v>当“初夏火旺”真实成立，且调候机制能改善主要气候问题时，可按“巳月气候基准”记录。</x:v>
      </x:c>
      <x:c r="AI18" s="90" t="str">
        <x:v>仅见月份或表面五行标签，但未满足“初夏火旺”及必要修正条件时，不得套用“巳月气候基准”。</x:v>
      </x:c>
      <x:c r="AJ18" s="82" t="str">
        <x:v>采用</x:v>
      </x:c>
      <x:c r="AK18" s="82" t="str">
        <x:v>初审</x:v>
      </x:c>
      <x:c r="AL18" s="87" t="n">
        <x:v>46255</x:v>
      </x:c>
    </x:row>
    <x:row r="19">
      <x:c r="A19" s="72" t="str">
        <x:f>IF(OR(C19="",D19=""),"",B19&amp;"-"&amp;UPPER(C19)&amp;"-"&amp;TEXT(D19,"0000")&amp;"-"&amp;E19)</x:f>
        <x:v>M13-SEASON-0013-V1.0</x:v>
      </x:c>
      <x:c r="B19" s="74" t="str">
        <x:v>M13</x:v>
      </x:c>
      <x:c r="C19" s="74" t="str">
        <x:v>SEASON</x:v>
      </x:c>
      <x:c r="D19" s="215" t="n">
        <x:v>13</x:v>
      </x:c>
      <x:c r="E19" s="74" t="str">
        <x:v>V1.0</x:v>
      </x:c>
      <x:c r="F19" s="68" t="str">
        <x:v>午月气候基准</x:v>
      </x:c>
      <x:c r="G19" s="82" t="str">
        <x:v>结构层</x:v>
      </x:c>
      <x:c r="H19" s="82" t="str">
        <x:v>寒暖燥湿综合</x:v>
      </x:c>
      <x:c r="I19" s="68" t="str">
        <x:v>午月</x:v>
      </x:c>
      <x:c r="J19" s="68" t="str">
        <x:v>盛夏火极旺</x:v>
      </x:c>
      <x:c r="K19" s="68" t="str">
        <x:v>月令基准</x:v>
      </x:c>
      <x:c r="L19" s="68" t="str">
        <x:v>月令基准</x:v>
      </x:c>
      <x:c r="M19" s="82" t="str">
        <x:v>极热</x:v>
      </x:c>
      <x:c r="N19" s="82" t="str">
        <x:v>偏燥</x:v>
      </x:c>
      <x:c r="O19" s="68" t="str">
        <x:v>火势最强，易热燥</x:v>
      </x:c>
      <x:c r="P19" s="68" t="str">
        <x:v>水</x:v>
      </x:c>
      <x:c r="Q19" s="68" t="str">
        <x:v>降温润燥</x:v>
      </x:c>
      <x:c r="R19" s="82" t="str">
        <x:v>条件性</x:v>
      </x:c>
      <x:c r="S19" s="82" t="str">
        <x:v>待定</x:v>
      </x:c>
      <x:c r="T19" s="82" t="str">
        <x:v>待定</x:v>
      </x:c>
      <x:c r="U19" s="82" t="str">
        <x:v>待定</x:v>
      </x:c>
      <x:c r="V19" s="82" t="str">
        <x:v>待定</x:v>
      </x:c>
      <x:c r="W19" s="68" t="str">
        <x:v>M02基础映射、M08五行有效旺衰、M12流通卡点已完成</x:v>
      </x:c>
      <x:c r="X19" s="68" t="str">
        <x:v>月令基准与全局有效五行均已核查</x:v>
      </x:c>
      <x:c r="Y19" s="68" t="str">
        <x:v>相关调候五行有根有源、透达且能真实改善关键气候问题</x:v>
      </x:c>
      <x:c r="Z19" s="68" t="str">
        <x:v>调候五行无根、受强制、被合绊、改性或加入后产生新的寒热燥湿问题</x:v>
      </x:c>
      <x:c r="AA19" s="90" t="str">
        <x:v>月令仅提供初始倾向，必须结合全局火水燥湿土与合化成势修正</x:v>
      </x:c>
      <x:c r="AB19" s="68" t="str">
        <x:v>特殊格局、核心格局用神或更高优先级病药约束转M16—M18裁决</x:v>
      </x:c>
      <x:c r="AC19" s="84" t="str">
        <x:v>午月_气候基准</x:v>
      </x:c>
      <x:c r="AD19" s="84" t="str">
        <x:v>午月气候基准：温度轴判“极热”，湿度轴判“偏燥”；调候候选为“水”，是否成为最终用神仍转M16—M18。</x:v>
      </x:c>
      <x:c r="AE19" s="82" t="str">
        <x:v>中等</x:v>
      </x:c>
      <x:c r="AF19" s="82" t="str">
        <x:v>调候</x:v>
      </x:c>
      <x:c r="AG19" s="68" t="str">
        <x:v>调候以月令气候为起点，但必须结合M08五行有效力量与M12流通状态修正；寒暖与燥湿分轴判断，调候候选不自动等于全局主用神。</x:v>
      </x:c>
      <x:c r="AH19" s="68" t="str">
        <x:v>当“盛夏火极旺”真实成立，且调候机制能改善主要气候问题时，可按“午月气候基准”记录。</x:v>
      </x:c>
      <x:c r="AI19" s="90" t="str">
        <x:v>仅见月份或表面五行标签，但未满足“盛夏火极旺”及必要修正条件时，不得套用“午月气候基准”。</x:v>
      </x:c>
      <x:c r="AJ19" s="82" t="str">
        <x:v>采用</x:v>
      </x:c>
      <x:c r="AK19" s="82" t="str">
        <x:v>初审</x:v>
      </x:c>
      <x:c r="AL19" s="87" t="n">
        <x:v>46255</x:v>
      </x:c>
    </x:row>
    <x:row r="20">
      <x:c r="A20" s="72" t="str">
        <x:f>IF(OR(C20="",D20=""),"",B20&amp;"-"&amp;UPPER(C20)&amp;"-"&amp;TEXT(D20,"0000")&amp;"-"&amp;E20)</x:f>
        <x:v>M13-SEASON-0014-V1.0</x:v>
      </x:c>
      <x:c r="B20" s="74" t="str">
        <x:v>M13</x:v>
      </x:c>
      <x:c r="C20" s="74" t="str">
        <x:v>SEASON</x:v>
      </x:c>
      <x:c r="D20" s="215" t="n">
        <x:v>14</x:v>
      </x:c>
      <x:c r="E20" s="74" t="str">
        <x:v>V1.0</x:v>
      </x:c>
      <x:c r="F20" s="68" t="str">
        <x:v>未月气候基准</x:v>
      </x:c>
      <x:c r="G20" s="82" t="str">
        <x:v>结构层</x:v>
      </x:c>
      <x:c r="H20" s="82" t="str">
        <x:v>寒暖燥湿综合</x:v>
      </x:c>
      <x:c r="I20" s="68" t="str">
        <x:v>未月</x:v>
      </x:c>
      <x:c r="J20" s="68" t="str">
        <x:v>季夏燥土偏重</x:v>
      </x:c>
      <x:c r="K20" s="68" t="str">
        <x:v>月令基准</x:v>
      </x:c>
      <x:c r="L20" s="68" t="str">
        <x:v>月令基准</x:v>
      </x:c>
      <x:c r="M20" s="82" t="str">
        <x:v>偏暖</x:v>
      </x:c>
      <x:c r="N20" s="82" t="str">
        <x:v>偏燥</x:v>
      </x:c>
      <x:c r="O20" s="68" t="str">
        <x:v>余火与燥土并见时燥性突出</x:v>
      </x:c>
      <x:c r="P20" s="68" t="str">
        <x:v>水</x:v>
      </x:c>
      <x:c r="Q20" s="68" t="str">
        <x:v>润燥制热</x:v>
      </x:c>
      <x:c r="R20" s="82" t="str">
        <x:v>条件性</x:v>
      </x:c>
      <x:c r="S20" s="82" t="str">
        <x:v>待定</x:v>
      </x:c>
      <x:c r="T20" s="82" t="str">
        <x:v>待定</x:v>
      </x:c>
      <x:c r="U20" s="82" t="str">
        <x:v>待定</x:v>
      </x:c>
      <x:c r="V20" s="82" t="str">
        <x:v>待定</x:v>
      </x:c>
      <x:c r="W20" s="68" t="str">
        <x:v>M02基础映射、M08五行有效旺衰、M12流通卡点已完成</x:v>
      </x:c>
      <x:c r="X20" s="68" t="str">
        <x:v>月令基准与全局有效五行均已核查</x:v>
      </x:c>
      <x:c r="Y20" s="68" t="str">
        <x:v>相关调候五行有根有源、透达且能真实改善关键气候问题</x:v>
      </x:c>
      <x:c r="Z20" s="68" t="str">
        <x:v>调候五行无根、受强制、被合绊、改性或加入后产生新的寒热燥湿问题</x:v>
      </x:c>
      <x:c r="AA20" s="90" t="str">
        <x:v>月令仅提供初始倾向，必须结合全局火水燥湿土与合化成势修正</x:v>
      </x:c>
      <x:c r="AB20" s="68" t="str">
        <x:v>特殊格局、核心格局用神或更高优先级病药约束转M16—M18裁决</x:v>
      </x:c>
      <x:c r="AC20" s="84" t="str">
        <x:v>未月_气候基准</x:v>
      </x:c>
      <x:c r="AD20" s="84" t="str">
        <x:v>未月气候基准：温度轴判“偏暖”，湿度轴判“偏燥”；调候候选为“水”，是否成为最终用神仍转M16—M18。</x:v>
      </x:c>
      <x:c r="AE20" s="82" t="str">
        <x:v>中等</x:v>
      </x:c>
      <x:c r="AF20" s="82" t="str">
        <x:v>调候</x:v>
      </x:c>
      <x:c r="AG20" s="68" t="str">
        <x:v>调候以月令气候为起点，但必须结合M08五行有效力量与M12流通状态修正；寒暖与燥湿分轴判断，调候候选不自动等于全局主用神。</x:v>
      </x:c>
      <x:c r="AH20" s="68" t="str">
        <x:v>当“季夏燥土偏重”真实成立，且调候机制能改善主要气候问题时，可按“未月气候基准”记录。</x:v>
      </x:c>
      <x:c r="AI20" s="90" t="str">
        <x:v>仅见月份或表面五行标签，但未满足“季夏燥土偏重”及必要修正条件时，不得套用“未月气候基准”。</x:v>
      </x:c>
      <x:c r="AJ20" s="82" t="str">
        <x:v>采用</x:v>
      </x:c>
      <x:c r="AK20" s="82" t="str">
        <x:v>初审</x:v>
      </x:c>
      <x:c r="AL20" s="87" t="n">
        <x:v>46255</x:v>
      </x:c>
    </x:row>
    <x:row r="21">
      <x:c r="A21" s="72" t="str">
        <x:f>IF(OR(C21="",D21=""),"",B21&amp;"-"&amp;UPPER(C21)&amp;"-"&amp;TEXT(D21,"0000")&amp;"-"&amp;E21)</x:f>
        <x:v>M13-SEASON-0015-V1.0</x:v>
      </x:c>
      <x:c r="B21" s="74" t="str">
        <x:v>M13</x:v>
      </x:c>
      <x:c r="C21" s="74" t="str">
        <x:v>SEASON</x:v>
      </x:c>
      <x:c r="D21" s="215" t="n">
        <x:v>15</x:v>
      </x:c>
      <x:c r="E21" s="74" t="str">
        <x:v>V1.0</x:v>
      </x:c>
      <x:c r="F21" s="68" t="str">
        <x:v>申月气候基准</x:v>
      </x:c>
      <x:c r="G21" s="82" t="str">
        <x:v>结构层</x:v>
      </x:c>
      <x:c r="H21" s="82" t="str">
        <x:v>寒暖燥湿综合</x:v>
      </x:c>
      <x:c r="I21" s="68" t="str">
        <x:v>申月</x:v>
      </x:c>
      <x:c r="J21" s="68" t="str">
        <x:v>初秋金旺，暑气渐退</x:v>
      </x:c>
      <x:c r="K21" s="68" t="str">
        <x:v>月令基准</x:v>
      </x:c>
      <x:c r="L21" s="68" t="str">
        <x:v>月令基准</x:v>
      </x:c>
      <x:c r="M21" s="82" t="str">
        <x:v>平衡</x:v>
      </x:c>
      <x:c r="N21" s="82" t="str">
        <x:v>偏燥</x:v>
      </x:c>
      <x:c r="O21" s="68" t="str">
        <x:v>金旺而秋燥渐显</x:v>
      </x:c>
      <x:c r="P21" s="68" t="str">
        <x:v>水</x:v>
      </x:c>
      <x:c r="Q21" s="68" t="str">
        <x:v>润金润燥</x:v>
      </x:c>
      <x:c r="R21" s="82" t="str">
        <x:v>条件性</x:v>
      </x:c>
      <x:c r="S21" s="82" t="str">
        <x:v>待定</x:v>
      </x:c>
      <x:c r="T21" s="82" t="str">
        <x:v>待定</x:v>
      </x:c>
      <x:c r="U21" s="82" t="str">
        <x:v>待定</x:v>
      </x:c>
      <x:c r="V21" s="82" t="str">
        <x:v>待定</x:v>
      </x:c>
      <x:c r="W21" s="68" t="str">
        <x:v>M02基础映射、M08五行有效旺衰、M12流通卡点已完成</x:v>
      </x:c>
      <x:c r="X21" s="68" t="str">
        <x:v>月令基准与全局有效五行均已核查</x:v>
      </x:c>
      <x:c r="Y21" s="68" t="str">
        <x:v>相关调候五行有根有源、透达且能真实改善关键气候问题</x:v>
      </x:c>
      <x:c r="Z21" s="68" t="str">
        <x:v>调候五行无根、受强制、被合绊、改性或加入后产生新的寒热燥湿问题</x:v>
      </x:c>
      <x:c r="AA21" s="90" t="str">
        <x:v>月令仅提供初始倾向，必须结合全局火水燥湿土与合化成势修正</x:v>
      </x:c>
      <x:c r="AB21" s="68" t="str">
        <x:v>特殊格局、核心格局用神或更高优先级病药约束转M16—M18裁决</x:v>
      </x:c>
      <x:c r="AC21" s="84" t="str">
        <x:v>申月_气候基准</x:v>
      </x:c>
      <x:c r="AD21" s="84" t="str">
        <x:v>申月气候基准：温度轴判“平衡”，湿度轴判“偏燥”；调候候选为“水”，是否成为最终用神仍转M16—M18。</x:v>
      </x:c>
      <x:c r="AE21" s="82" t="str">
        <x:v>中等</x:v>
      </x:c>
      <x:c r="AF21" s="82" t="str">
        <x:v>调候</x:v>
      </x:c>
      <x:c r="AG21" s="68" t="str">
        <x:v>调候以月令气候为起点，但必须结合M08五行有效力量与M12流通状态修正；寒暖与燥湿分轴判断，调候候选不自动等于全局主用神。</x:v>
      </x:c>
      <x:c r="AH21" s="68" t="str">
        <x:v>当“初秋金旺，暑气渐退”真实成立，且调候机制能改善主要气候问题时，可按“申月气候基准”记录。</x:v>
      </x:c>
      <x:c r="AI21" s="90" t="str">
        <x:v>仅见月份或表面五行标签，但未满足“初秋金旺，暑气渐退”及必要修正条件时，不得套用“申月气候基准”。</x:v>
      </x:c>
      <x:c r="AJ21" s="82" t="str">
        <x:v>采用</x:v>
      </x:c>
      <x:c r="AK21" s="82" t="str">
        <x:v>初审</x:v>
      </x:c>
      <x:c r="AL21" s="87" t="n">
        <x:v>46255</x:v>
      </x:c>
    </x:row>
    <x:row r="22">
      <x:c r="A22" s="72" t="str">
        <x:f>IF(OR(C22="",D22=""),"",B22&amp;"-"&amp;UPPER(C22)&amp;"-"&amp;TEXT(D22,"0000")&amp;"-"&amp;E22)</x:f>
        <x:v>M13-SEASON-0016-V1.0</x:v>
      </x:c>
      <x:c r="B22" s="74" t="str">
        <x:v>M13</x:v>
      </x:c>
      <x:c r="C22" s="74" t="str">
        <x:v>SEASON</x:v>
      </x:c>
      <x:c r="D22" s="215" t="n">
        <x:v>16</x:v>
      </x:c>
      <x:c r="E22" s="74" t="str">
        <x:v>V1.0</x:v>
      </x:c>
      <x:c r="F22" s="68" t="str">
        <x:v>酉月气候基准</x:v>
      </x:c>
      <x:c r="G22" s="82" t="str">
        <x:v>结构层</x:v>
      </x:c>
      <x:c r="H22" s="82" t="str">
        <x:v>寒暖燥湿综合</x:v>
      </x:c>
      <x:c r="I22" s="68" t="str">
        <x:v>酉月</x:v>
      </x:c>
      <x:c r="J22" s="68" t="str">
        <x:v>仲秋金旺，燥气明显</x:v>
      </x:c>
      <x:c r="K22" s="68" t="str">
        <x:v>月令基准</x:v>
      </x:c>
      <x:c r="L22" s="68" t="str">
        <x:v>月令基准</x:v>
      </x:c>
      <x:c r="M22" s="82" t="str">
        <x:v>偏寒</x:v>
      </x:c>
      <x:c r="N22" s="82" t="str">
        <x:v>偏燥</x:v>
      </x:c>
      <x:c r="O22" s="68" t="str">
        <x:v>秋凉与燥金并见</x:v>
      </x:c>
      <x:c r="P22" s="68" t="str">
        <x:v>水/火</x:v>
      </x:c>
      <x:c r="Q22" s="68" t="str">
        <x:v>润燥同时防寒过度</x:v>
      </x:c>
      <x:c r="R22" s="82" t="str">
        <x:v>条件性</x:v>
      </x:c>
      <x:c r="S22" s="82" t="str">
        <x:v>待定</x:v>
      </x:c>
      <x:c r="T22" s="82" t="str">
        <x:v>待定</x:v>
      </x:c>
      <x:c r="U22" s="82" t="str">
        <x:v>待定</x:v>
      </x:c>
      <x:c r="V22" s="82" t="str">
        <x:v>待定</x:v>
      </x:c>
      <x:c r="W22" s="68" t="str">
        <x:v>M02基础映射、M08五行有效旺衰、M12流通卡点已完成</x:v>
      </x:c>
      <x:c r="X22" s="68" t="str">
        <x:v>月令基准与全局有效五行均已核查</x:v>
      </x:c>
      <x:c r="Y22" s="68" t="str">
        <x:v>相关调候五行有根有源、透达且能真实改善关键气候问题</x:v>
      </x:c>
      <x:c r="Z22" s="68" t="str">
        <x:v>调候五行无根、受强制、被合绊、改性或加入后产生新的寒热燥湿问题</x:v>
      </x:c>
      <x:c r="AA22" s="90" t="str">
        <x:v>月令仅提供初始倾向，必须结合全局火水燥湿土与合化成势修正</x:v>
      </x:c>
      <x:c r="AB22" s="68" t="str">
        <x:v>特殊格局、核心格局用神或更高优先级病药约束转M16—M18裁决</x:v>
      </x:c>
      <x:c r="AC22" s="84" t="str">
        <x:v>酉月_气候基准</x:v>
      </x:c>
      <x:c r="AD22" s="84" t="str">
        <x:v>酉月气候基准：温度轴判“偏寒”，湿度轴判“偏燥”；调候候选为“水/火”，是否成为最终用神仍转M16—M18。</x:v>
      </x:c>
      <x:c r="AE22" s="82" t="str">
        <x:v>中等</x:v>
      </x:c>
      <x:c r="AF22" s="82" t="str">
        <x:v>调候</x:v>
      </x:c>
      <x:c r="AG22" s="68" t="str">
        <x:v>调候以月令气候为起点，但必须结合M08五行有效力量与M12流通状态修正；寒暖与燥湿分轴判断，调候候选不自动等于全局主用神。</x:v>
      </x:c>
      <x:c r="AH22" s="68" t="str">
        <x:v>当“仲秋金旺，燥气明显”真实成立，且调候机制能改善主要气候问题时，可按“酉月气候基准”记录。</x:v>
      </x:c>
      <x:c r="AI22" s="90" t="str">
        <x:v>仅见月份或表面五行标签，但未满足“仲秋金旺，燥气明显”及必要修正条件时，不得套用“酉月气候基准”。</x:v>
      </x:c>
      <x:c r="AJ22" s="82" t="str">
        <x:v>采用</x:v>
      </x:c>
      <x:c r="AK22" s="82" t="str">
        <x:v>初审</x:v>
      </x:c>
      <x:c r="AL22" s="87" t="n">
        <x:v>46255</x:v>
      </x:c>
    </x:row>
    <x:row r="23">
      <x:c r="A23" s="72" t="str">
        <x:f>IF(OR(C23="",D23=""),"",B23&amp;"-"&amp;UPPER(C23)&amp;"-"&amp;TEXT(D23,"0000")&amp;"-"&amp;E23)</x:f>
        <x:v>M13-SEASON-0017-V1.0</x:v>
      </x:c>
      <x:c r="B23" s="74" t="str">
        <x:v>M13</x:v>
      </x:c>
      <x:c r="C23" s="74" t="str">
        <x:v>SEASON</x:v>
      </x:c>
      <x:c r="D23" s="215" t="n">
        <x:v>17</x:v>
      </x:c>
      <x:c r="E23" s="74" t="str">
        <x:v>V1.0</x:v>
      </x:c>
      <x:c r="F23" s="68" t="str">
        <x:v>戌月气候基准</x:v>
      </x:c>
      <x:c r="G23" s="82" t="str">
        <x:v>结构层</x:v>
      </x:c>
      <x:c r="H23" s="82" t="str">
        <x:v>寒暖燥湿综合</x:v>
      </x:c>
      <x:c r="I23" s="68" t="str">
        <x:v>戌月</x:v>
      </x:c>
      <x:c r="J23" s="68" t="str">
        <x:v>季秋燥土当令</x:v>
      </x:c>
      <x:c r="K23" s="68" t="str">
        <x:v>月令基准</x:v>
      </x:c>
      <x:c r="L23" s="68" t="str">
        <x:v>月令基准</x:v>
      </x:c>
      <x:c r="M23" s="82" t="str">
        <x:v>偏寒</x:v>
      </x:c>
      <x:c r="N23" s="82" t="str">
        <x:v>偏燥</x:v>
      </x:c>
      <x:c r="O23" s="68" t="str">
        <x:v>燥土与秋凉并重</x:v>
      </x:c>
      <x:c r="P23" s="68" t="str">
        <x:v>水/火</x:v>
      </x:c>
      <x:c r="Q23" s="68" t="str">
        <x:v>润燥并视寒暖取火</x:v>
      </x:c>
      <x:c r="R23" s="82" t="str">
        <x:v>条件性</x:v>
      </x:c>
      <x:c r="S23" s="82" t="str">
        <x:v>待定</x:v>
      </x:c>
      <x:c r="T23" s="82" t="str">
        <x:v>待定</x:v>
      </x:c>
      <x:c r="U23" s="82" t="str">
        <x:v>待定</x:v>
      </x:c>
      <x:c r="V23" s="82" t="str">
        <x:v>待定</x:v>
      </x:c>
      <x:c r="W23" s="68" t="str">
        <x:v>M02基础映射、M08五行有效旺衰、M12流通卡点已完成</x:v>
      </x:c>
      <x:c r="X23" s="68" t="str">
        <x:v>月令基准与全局有效五行均已核查</x:v>
      </x:c>
      <x:c r="Y23" s="68" t="str">
        <x:v>相关调候五行有根有源、透达且能真实改善关键气候问题</x:v>
      </x:c>
      <x:c r="Z23" s="68" t="str">
        <x:v>调候五行无根、受强制、被合绊、改性或加入后产生新的寒热燥湿问题</x:v>
      </x:c>
      <x:c r="AA23" s="90" t="str">
        <x:v>月令仅提供初始倾向，必须结合全局火水燥湿土与合化成势修正</x:v>
      </x:c>
      <x:c r="AB23" s="68" t="str">
        <x:v>特殊格局、核心格局用神或更高优先级病药约束转M16—M18裁决</x:v>
      </x:c>
      <x:c r="AC23" s="84" t="str">
        <x:v>戌月_气候基准</x:v>
      </x:c>
      <x:c r="AD23" s="84" t="str">
        <x:v>戌月气候基准：温度轴判“偏寒”，湿度轴判“偏燥”；调候候选为“水/火”，是否成为最终用神仍转M16—M18。</x:v>
      </x:c>
      <x:c r="AE23" s="82" t="str">
        <x:v>中等</x:v>
      </x:c>
      <x:c r="AF23" s="82" t="str">
        <x:v>调候</x:v>
      </x:c>
      <x:c r="AG23" s="68" t="str">
        <x:v>调候以月令气候为起点，但必须结合M08五行有效力量与M12流通状态修正；寒暖与燥湿分轴判断，调候候选不自动等于全局主用神。</x:v>
      </x:c>
      <x:c r="AH23" s="68" t="str">
        <x:v>当“季秋燥土当令”真实成立，且调候机制能改善主要气候问题时，可按“戌月气候基准”记录。</x:v>
      </x:c>
      <x:c r="AI23" s="90" t="str">
        <x:v>仅见月份或表面五行标签，但未满足“季秋燥土当令”及必要修正条件时，不得套用“戌月气候基准”。</x:v>
      </x:c>
      <x:c r="AJ23" s="82" t="str">
        <x:v>采用</x:v>
      </x:c>
      <x:c r="AK23" s="82" t="str">
        <x:v>初审</x:v>
      </x:c>
      <x:c r="AL23" s="87" t="n">
        <x:v>46255</x:v>
      </x:c>
    </x:row>
    <x:row r="24">
      <x:c r="A24" s="72" t="str">
        <x:f>IF(OR(C24="",D24=""),"",B24&amp;"-"&amp;UPPER(C24)&amp;"-"&amp;TEXT(D24,"0000")&amp;"-"&amp;E24)</x:f>
        <x:v>M13-SEASON-0018-V1.0</x:v>
      </x:c>
      <x:c r="B24" s="74" t="str">
        <x:v>M13</x:v>
      </x:c>
      <x:c r="C24" s="74" t="str">
        <x:v>SEASON</x:v>
      </x:c>
      <x:c r="D24" s="215" t="n">
        <x:v>18</x:v>
      </x:c>
      <x:c r="E24" s="74" t="str">
        <x:v>V1.0</x:v>
      </x:c>
      <x:c r="F24" s="68" t="str">
        <x:v>亥月气候基准</x:v>
      </x:c>
      <x:c r="G24" s="82" t="str">
        <x:v>结构层</x:v>
      </x:c>
      <x:c r="H24" s="82" t="str">
        <x:v>寒暖燥湿综合</x:v>
      </x:c>
      <x:c r="I24" s="68" t="str">
        <x:v>亥月</x:v>
      </x:c>
      <x:c r="J24" s="68" t="str">
        <x:v>初冬水旺</x:v>
      </x:c>
      <x:c r="K24" s="68" t="str">
        <x:v>月令基准</x:v>
      </x:c>
      <x:c r="L24" s="68" t="str">
        <x:v>月令基准</x:v>
      </x:c>
      <x:c r="M24" s="82" t="str">
        <x:v>偏寒</x:v>
      </x:c>
      <x:c r="N24" s="82" t="str">
        <x:v>偏湿</x:v>
      </x:c>
      <x:c r="O24" s="68" t="str">
        <x:v>水气增强，寒湿倾向上升</x:v>
      </x:c>
      <x:c r="P24" s="68" t="str">
        <x:v>火</x:v>
      </x:c>
      <x:c r="Q24" s="68" t="str">
        <x:v>暖局化寒湿</x:v>
      </x:c>
      <x:c r="R24" s="82" t="str">
        <x:v>条件性</x:v>
      </x:c>
      <x:c r="S24" s="82" t="str">
        <x:v>待定</x:v>
      </x:c>
      <x:c r="T24" s="82" t="str">
        <x:v>待定</x:v>
      </x:c>
      <x:c r="U24" s="82" t="str">
        <x:v>待定</x:v>
      </x:c>
      <x:c r="V24" s="82" t="str">
        <x:v>待定</x:v>
      </x:c>
      <x:c r="W24" s="68" t="str">
        <x:v>M02基础映射、M08五行有效旺衰、M12流通卡点已完成</x:v>
      </x:c>
      <x:c r="X24" s="68" t="str">
        <x:v>月令基准与全局有效五行均已核查</x:v>
      </x:c>
      <x:c r="Y24" s="68" t="str">
        <x:v>相关调候五行有根有源、透达且能真实改善关键气候问题</x:v>
      </x:c>
      <x:c r="Z24" s="68" t="str">
        <x:v>调候五行无根、受强制、被合绊、改性或加入后产生新的寒热燥湿问题</x:v>
      </x:c>
      <x:c r="AA24" s="90" t="str">
        <x:v>月令仅提供初始倾向，必须结合全局火水燥湿土与合化成势修正</x:v>
      </x:c>
      <x:c r="AB24" s="68" t="str">
        <x:v>特殊格局、核心格局用神或更高优先级病药约束转M16—M18裁决</x:v>
      </x:c>
      <x:c r="AC24" s="84" t="str">
        <x:v>亥月_气候基准</x:v>
      </x:c>
      <x:c r="AD24" s="84" t="str">
        <x:v>亥月气候基准：温度轴判“偏寒”，湿度轴判“偏湿”；调候候选为“火”，是否成为最终用神仍转M16—M18。</x:v>
      </x:c>
      <x:c r="AE24" s="82" t="str">
        <x:v>中等</x:v>
      </x:c>
      <x:c r="AF24" s="82" t="str">
        <x:v>调候</x:v>
      </x:c>
      <x:c r="AG24" s="68" t="str">
        <x:v>调候以月令气候为起点，但必须结合M08五行有效力量与M12流通状态修正；寒暖与燥湿分轴判断，调候候选不自动等于全局主用神。</x:v>
      </x:c>
      <x:c r="AH24" s="68" t="str">
        <x:v>当“初冬水旺”真实成立，且调候机制能改善主要气候问题时，可按“亥月气候基准”记录。</x:v>
      </x:c>
      <x:c r="AI24" s="90" t="str">
        <x:v>仅见月份或表面五行标签，但未满足“初冬水旺”及必要修正条件时，不得套用“亥月气候基准”。</x:v>
      </x:c>
      <x:c r="AJ24" s="82" t="str">
        <x:v>采用</x:v>
      </x:c>
      <x:c r="AK24" s="82" t="str">
        <x:v>初审</x:v>
      </x:c>
      <x:c r="AL24" s="87" t="n">
        <x:v>46255</x:v>
      </x:c>
    </x:row>
    <x:row r="25">
      <x:c r="A25" s="72" t="str">
        <x:f>IF(OR(C25="",D25=""),"",B25&amp;"-"&amp;UPPER(C25)&amp;"-"&amp;TEXT(D25,"0000")&amp;"-"&amp;E25)</x:f>
        <x:v>M13-SEASON-0019-V1.0</x:v>
      </x:c>
      <x:c r="B25" s="74" t="str">
        <x:v>M13</x:v>
      </x:c>
      <x:c r="C25" s="74" t="str">
        <x:v>SEASON</x:v>
      </x:c>
      <x:c r="D25" s="215" t="n">
        <x:v>19</x:v>
      </x:c>
      <x:c r="E25" s="74" t="str">
        <x:v>V1.0</x:v>
      </x:c>
      <x:c r="F25" s="68" t="str">
        <x:v>子月气候基准</x:v>
      </x:c>
      <x:c r="G25" s="82" t="str">
        <x:v>结构层</x:v>
      </x:c>
      <x:c r="H25" s="82" t="str">
        <x:v>寒暖燥湿综合</x:v>
      </x:c>
      <x:c r="I25" s="68" t="str">
        <x:v>子月</x:v>
      </x:c>
      <x:c r="J25" s="68" t="str">
        <x:v>仲冬水旺至极</x:v>
      </x:c>
      <x:c r="K25" s="68" t="str">
        <x:v>月令基准</x:v>
      </x:c>
      <x:c r="L25" s="68" t="str">
        <x:v>月令基准</x:v>
      </x:c>
      <x:c r="M25" s="82" t="str">
        <x:v>极寒</x:v>
      </x:c>
      <x:c r="N25" s="82" t="str">
        <x:v>偏湿</x:v>
      </x:c>
      <x:c r="O25" s="68" t="str">
        <x:v>寒水最盛，若无火调候易寒凝</x:v>
      </x:c>
      <x:c r="P25" s="68" t="str">
        <x:v>火</x:v>
      </x:c>
      <x:c r="Q25" s="68" t="str">
        <x:v>暖局并恢复生化</x:v>
      </x:c>
      <x:c r="R25" s="82" t="str">
        <x:v>条件性</x:v>
      </x:c>
      <x:c r="S25" s="82" t="str">
        <x:v>待定</x:v>
      </x:c>
      <x:c r="T25" s="82" t="str">
        <x:v>待定</x:v>
      </x:c>
      <x:c r="U25" s="82" t="str">
        <x:v>待定</x:v>
      </x:c>
      <x:c r="V25" s="82" t="str">
        <x:v>待定</x:v>
      </x:c>
      <x:c r="W25" s="68" t="str">
        <x:v>M02基础映射、M08五行有效旺衰、M12流通卡点已完成</x:v>
      </x:c>
      <x:c r="X25" s="68" t="str">
        <x:v>月令基准与全局有效五行均已核查</x:v>
      </x:c>
      <x:c r="Y25" s="68" t="str">
        <x:v>相关调候五行有根有源、透达且能真实改善关键气候问题</x:v>
      </x:c>
      <x:c r="Z25" s="68" t="str">
        <x:v>调候五行无根、受强制、被合绊、改性或加入后产生新的寒热燥湿问题</x:v>
      </x:c>
      <x:c r="AA25" s="90" t="str">
        <x:v>月令仅提供初始倾向，必须结合全局火水燥湿土与合化成势修正</x:v>
      </x:c>
      <x:c r="AB25" s="68" t="str">
        <x:v>特殊格局、核心格局用神或更高优先级病药约束转M16—M18裁决</x:v>
      </x:c>
      <x:c r="AC25" s="84" t="str">
        <x:v>子月_气候基准</x:v>
      </x:c>
      <x:c r="AD25" s="84" t="str">
        <x:v>子月气候基准：温度轴判“极寒”，湿度轴判“偏湿”；调候候选为“火”，是否成为最终用神仍转M16—M18。</x:v>
      </x:c>
      <x:c r="AE25" s="82" t="str">
        <x:v>中等</x:v>
      </x:c>
      <x:c r="AF25" s="82" t="str">
        <x:v>调候</x:v>
      </x:c>
      <x:c r="AG25" s="68" t="str">
        <x:v>调候以月令气候为起点，但必须结合M08五行有效力量与M12流通状态修正；寒暖与燥湿分轴判断，调候候选不自动等于全局主用神。</x:v>
      </x:c>
      <x:c r="AH25" s="68" t="str">
        <x:v>当“仲冬水旺至极”真实成立，且调候机制能改善主要气候问题时，可按“子月气候基准”记录。</x:v>
      </x:c>
      <x:c r="AI25" s="90" t="str">
        <x:v>仅见月份或表面五行标签，但未满足“仲冬水旺至极”及必要修正条件时，不得套用“子月气候基准”。</x:v>
      </x:c>
      <x:c r="AJ25" s="82" t="str">
        <x:v>采用</x:v>
      </x:c>
      <x:c r="AK25" s="82" t="str">
        <x:v>初审</x:v>
      </x:c>
      <x:c r="AL25" s="87" t="n">
        <x:v>46255</x:v>
      </x:c>
    </x:row>
    <x:row r="26">
      <x:c r="A26" s="72" t="str">
        <x:f>IF(OR(C26="",D26=""),"",B26&amp;"-"&amp;UPPER(C26)&amp;"-"&amp;TEXT(D26,"0000")&amp;"-"&amp;E26)</x:f>
        <x:v>M13-SEASON-0020-V1.0</x:v>
      </x:c>
      <x:c r="B26" s="74" t="str">
        <x:v>M13</x:v>
      </x:c>
      <x:c r="C26" s="74" t="str">
        <x:v>SEASON</x:v>
      </x:c>
      <x:c r="D26" s="215" t="n">
        <x:v>20</x:v>
      </x:c>
      <x:c r="E26" s="74" t="str">
        <x:v>V1.0</x:v>
      </x:c>
      <x:c r="F26" s="68" t="str">
        <x:v>丑月气候基准</x:v>
      </x:c>
      <x:c r="G26" s="82" t="str">
        <x:v>结构层</x:v>
      </x:c>
      <x:c r="H26" s="82" t="str">
        <x:v>寒暖燥湿综合</x:v>
      </x:c>
      <x:c r="I26" s="68" t="str">
        <x:v>丑月</x:v>
      </x:c>
      <x:c r="J26" s="68" t="str">
        <x:v>季冬湿土寒湿</x:v>
      </x:c>
      <x:c r="K26" s="68" t="str">
        <x:v>月令基准</x:v>
      </x:c>
      <x:c r="L26" s="68" t="str">
        <x:v>月令基准</x:v>
      </x:c>
      <x:c r="M26" s="82" t="str">
        <x:v>极寒</x:v>
      </x:c>
      <x:c r="N26" s="82" t="str">
        <x:v>偏湿</x:v>
      </x:c>
      <x:c r="O26" s="68" t="str">
        <x:v>寒土湿水并见时寒湿显著</x:v>
      </x:c>
      <x:c r="P26" s="68" t="str">
        <x:v>火</x:v>
      </x:c>
      <x:c r="Q26" s="68" t="str">
        <x:v>暖土化湿</x:v>
      </x:c>
      <x:c r="R26" s="82" t="str">
        <x:v>条件性</x:v>
      </x:c>
      <x:c r="S26" s="82" t="str">
        <x:v>待定</x:v>
      </x:c>
      <x:c r="T26" s="82" t="str">
        <x:v>待定</x:v>
      </x:c>
      <x:c r="U26" s="82" t="str">
        <x:v>待定</x:v>
      </x:c>
      <x:c r="V26" s="82" t="str">
        <x:v>待定</x:v>
      </x:c>
      <x:c r="W26" s="68" t="str">
        <x:v>M02基础映射、M08五行有效旺衰、M12流通卡点已完成</x:v>
      </x:c>
      <x:c r="X26" s="68" t="str">
        <x:v>月令基准与全局有效五行均已核查</x:v>
      </x:c>
      <x:c r="Y26" s="68" t="str">
        <x:v>相关调候五行有根有源、透达且能真实改善关键气候问题</x:v>
      </x:c>
      <x:c r="Z26" s="68" t="str">
        <x:v>调候五行无根、受强制、被合绊、改性或加入后产生新的寒热燥湿问题</x:v>
      </x:c>
      <x:c r="AA26" s="90" t="str">
        <x:v>月令仅提供初始倾向，必须结合全局火水燥湿土与合化成势修正</x:v>
      </x:c>
      <x:c r="AB26" s="68" t="str">
        <x:v>特殊格局、核心格局用神或更高优先级病药约束转M16—M18裁决</x:v>
      </x:c>
      <x:c r="AC26" s="84" t="str">
        <x:v>丑月_气候基准</x:v>
      </x:c>
      <x:c r="AD26" s="84" t="str">
        <x:v>丑月气候基准：温度轴判“极寒”，湿度轴判“偏湿”；调候候选为“火”，是否成为最终用神仍转M16—M18。</x:v>
      </x:c>
      <x:c r="AE26" s="82" t="str">
        <x:v>中等</x:v>
      </x:c>
      <x:c r="AF26" s="82" t="str">
        <x:v>调候</x:v>
      </x:c>
      <x:c r="AG26" s="68" t="str">
        <x:v>调候以月令气候为起点，但必须结合M08五行有效力量与M12流通状态修正；寒暖与燥湿分轴判断，调候候选不自动等于全局主用神。</x:v>
      </x:c>
      <x:c r="AH26" s="68" t="str">
        <x:v>当“季冬湿土寒湿”真实成立，且调候机制能改善主要气候问题时，可按“丑月气候基准”记录。</x:v>
      </x:c>
      <x:c r="AI26" s="90" t="str">
        <x:v>仅见月份或表面五行标签，但未满足“季冬湿土寒湿”及必要修正条件时，不得套用“丑月气候基准”。</x:v>
      </x:c>
      <x:c r="AJ26" s="82" t="str">
        <x:v>采用</x:v>
      </x:c>
      <x:c r="AK26" s="82" t="str">
        <x:v>初审</x:v>
      </x:c>
      <x:c r="AL26" s="87" t="n">
        <x:v>46255</x:v>
      </x:c>
    </x:row>
    <x:row r="27">
      <x:c r="A27" s="72" t="str">
        <x:f>IF(OR(C27="",D27=""),"",B27&amp;"-"&amp;UPPER(C27)&amp;"-"&amp;TEXT(D27,"0000")&amp;"-"&amp;E27)</x:f>
        <x:v>M13-TEMP-0021-V1.0</x:v>
      </x:c>
      <x:c r="B27" s="74" t="str">
        <x:v>M13</x:v>
      </x:c>
      <x:c r="C27" s="74" t="str">
        <x:v>TEMP</x:v>
      </x:c>
      <x:c r="D27" s="215" t="n">
        <x:v>21</x:v>
      </x:c>
      <x:c r="E27" s="74" t="str">
        <x:v>V1.0</x:v>
      </x:c>
      <x:c r="F27" s="68" t="str">
        <x:v>强火成势可将偏寒局向平衡或偏暖修正</x:v>
      </x:c>
      <x:c r="G27" s="82" t="str">
        <x:v>结构层</x:v>
      </x:c>
      <x:c r="H27" s="82" t="str">
        <x:v>寒暖轴</x:v>
      </x:c>
      <x:c r="I27" s="68" t="str">
        <x:v>通用</x:v>
      </x:c>
      <x:c r="J27" s="68" t="str">
        <x:v>原局火达到旺或极旺且真实透达</x:v>
      </x:c>
      <x:c r="K27" s="68" t="str">
        <x:v>明显升温</x:v>
      </x:c>
      <x:c r="L27" s="68" t="str">
        <x:v>视土水关系另判</x:v>
      </x:c>
      <x:c r="M27" s="82" t="str">
        <x:v>待定</x:v>
      </x:c>
      <x:c r="N27" s="82" t="str">
        <x:v>待定</x:v>
      </x:c>
      <x:c r="O27" s="68" t="str">
        <x:v>寒气被强火缓解</x:v>
      </x:c>
      <x:c r="P27" s="68" t="str">
        <x:v>火</x:v>
      </x:c>
      <x:c r="Q27" s="68" t="str">
        <x:v>直接暖局</x:v>
      </x:c>
      <x:c r="R27" s="82" t="str">
        <x:v>是</x:v>
      </x:c>
      <x:c r="S27" s="82" t="str">
        <x:v>有效</x:v>
      </x:c>
      <x:c r="T27" s="82" t="str">
        <x:v>待定</x:v>
      </x:c>
      <x:c r="U27" s="82" t="str">
        <x:v>待定</x:v>
      </x:c>
      <x:c r="V27" s="82" t="str">
        <x:v>待定</x:v>
      </x:c>
      <x:c r="W27" s="68" t="str">
        <x:v>M02基础映射、M08五行有效旺衰、M12流通卡点已完成</x:v>
      </x:c>
      <x:c r="X27" s="68" t="str">
        <x:v>月令基准与全局有效五行均已核查</x:v>
      </x:c>
      <x:c r="Y27" s="68" t="str">
        <x:v>相关调候五行有根有源、透达且能真实改善关键气候问题</x:v>
      </x:c>
      <x:c r="Z27" s="68" t="str">
        <x:v>调候五行无根、受强制、被合绊、改性或加入后产生新的寒热燥湿问题</x:v>
      </x:c>
      <x:c r="AA27" s="90" t="str">
        <x:v>不得只凭出生月份或某一五行数量直接下最终调候结论</x:v>
      </x:c>
      <x:c r="AB27" s="68" t="str">
        <x:v>特殊格局、核心格局用神或更高优先级病药约束转M16—M18裁决</x:v>
      </x:c>
      <x:c r="AC27" s="84" t="str">
        <x:v>强火升温修正</x:v>
      </x:c>
      <x:c r="AD27" s="84" t="str">
        <x:v>强火成势可将偏寒局向平衡或偏暖修正：温度轴判“待定”，湿度轴判“待定”；调候候选为“火”，是否成为最终用神仍转M16—M18。</x:v>
      </x:c>
      <x:c r="AE27" s="82" t="str">
        <x:v>较高</x:v>
      </x:c>
      <x:c r="AF27" s="82" t="str">
        <x:v>调候</x:v>
      </x:c>
      <x:c r="AG27" s="68" t="str">
        <x:v>调候以月令气候为起点，但必须结合M08五行有效力量与M12流通状态修正；寒暖与燥湿分轴判断，调候候选不自动等于全局主用神。</x:v>
      </x:c>
      <x:c r="AH27" s="68" t="str">
        <x:v>当“原局火达到旺或极旺且真实透达”真实成立，且调候机制能改善主要气候问题时，可按“强火成势可将偏寒局向平衡或偏暖修正”记录。</x:v>
      </x:c>
      <x:c r="AI27" s="90" t="str">
        <x:v>仅见月份或表面五行标签，但未满足“原局火达到旺或极旺且真实透达”及必要修正条件时，不得套用“强火成势可将偏寒局向平衡或偏暖修正”。</x:v>
      </x:c>
      <x:c r="AJ27" s="82" t="str">
        <x:v>采用</x:v>
      </x:c>
      <x:c r="AK27" s="82" t="str">
        <x:v>初审</x:v>
      </x:c>
      <x:c r="AL27" s="87" t="n">
        <x:v>46255</x:v>
      </x:c>
    </x:row>
    <x:row r="28">
      <x:c r="A28" s="72" t="str">
        <x:f>IF(OR(C28="",D28=""),"",B28&amp;"-"&amp;UPPER(C28)&amp;"-"&amp;TEXT(D28,"0000")&amp;"-"&amp;E28)</x:f>
        <x:v>M13-TEMP-0022-V1.0</x:v>
      </x:c>
      <x:c r="B28" s="74" t="str">
        <x:v>M13</x:v>
      </x:c>
      <x:c r="C28" s="74" t="str">
        <x:v>TEMP</x:v>
      </x:c>
      <x:c r="D28" s="215" t="n">
        <x:v>22</x:v>
      </x:c>
      <x:c r="E28" s="74" t="str">
        <x:v>V1.0</x:v>
      </x:c>
      <x:c r="F28" s="68" t="str">
        <x:v>弱火无根不足以改变极寒基准</x:v>
      </x:c>
      <x:c r="G28" s="82" t="str">
        <x:v>结构层</x:v>
      </x:c>
      <x:c r="H28" s="82" t="str">
        <x:v>寒暖轴</x:v>
      </x:c>
      <x:c r="I28" s="68" t="str">
        <x:v>通用</x:v>
      </x:c>
      <x:c r="J28" s="68" t="str">
        <x:v>冬月极寒基准下仅见无根弱火或火被强水压制</x:v>
      </x:c>
      <x:c r="K28" s="68" t="str">
        <x:v>升温有限</x:v>
      </x:c>
      <x:c r="L28" s="68" t="str">
        <x:v>待定</x:v>
      </x:c>
      <x:c r="M28" s="82" t="str">
        <x:v>极寒</x:v>
      </x:c>
      <x:c r="N28" s="82" t="str">
        <x:v>待定</x:v>
      </x:c>
      <x:c r="O28" s="68" t="str">
        <x:v>名义有火但不足以暖局</x:v>
      </x:c>
      <x:c r="P28" s="68" t="str">
        <x:v>火</x:v>
      </x:c>
      <x:c r="Q28" s="68" t="str">
        <x:v>需强化有效火而非只看火字</x:v>
      </x:c>
      <x:c r="R28" s="82" t="str">
        <x:v>是</x:v>
      </x:c>
      <x:c r="S28" s="82" t="str">
        <x:v>受限</x:v>
      </x:c>
      <x:c r="T28" s="82" t="str">
        <x:v>高</x:v>
      </x:c>
      <x:c r="U28" s="82" t="str">
        <x:v>待定</x:v>
      </x:c>
      <x:c r="V28" s="82" t="str">
        <x:v>待定</x:v>
      </x:c>
      <x:c r="W28" s="68" t="str">
        <x:v>M02基础映射、M08五行有效旺衰、M12流通卡点已完成</x:v>
      </x:c>
      <x:c r="X28" s="68" t="str">
        <x:v>月令基准与全局有效五行均已核查</x:v>
      </x:c>
      <x:c r="Y28" s="68" t="str">
        <x:v>相关调候五行有根有源、透达且能真实改善关键气候问题</x:v>
      </x:c>
      <x:c r="Z28" s="68" t="str">
        <x:v>调候五行无根、受强制、被合绊、改性或加入后产生新的寒热燥湿问题</x:v>
      </x:c>
      <x:c r="AA28" s="90" t="str">
        <x:v>不得只凭出生月份或某一五行数量直接下最终调候结论</x:v>
      </x:c>
      <x:c r="AB28" s="68" t="str">
        <x:v>特殊格局、核心格局用神或更高优先级病药约束转M16—M18裁决</x:v>
      </x:c>
      <x:c r="AC28" s="84" t="str">
        <x:v>弱火不足暖局</x:v>
      </x:c>
      <x:c r="AD28" s="84" t="str">
        <x:v>弱火无根不足以改变极寒基准：温度轴判“极寒”，湿度轴判“待定”；调候候选为“火”，是否成为最终用神仍转M16—M18。</x:v>
      </x:c>
      <x:c r="AE28" s="82" t="str">
        <x:v>较高</x:v>
      </x:c>
      <x:c r="AF28" s="82" t="str">
        <x:v>调候</x:v>
      </x:c>
      <x:c r="AG28" s="68" t="str">
        <x:v>调候以月令气候为起点，但必须结合M08五行有效力量与M12流通状态修正；寒暖与燥湿分轴判断，调候候选不自动等于全局主用神。</x:v>
      </x:c>
      <x:c r="AH28" s="68" t="str">
        <x:v>当“冬月极寒基准下仅见无根弱火或火被强水压制”真实成立，且调候机制能改善主要气候问题时，可按“弱火无根不足以改变极寒基准”记录。</x:v>
      </x:c>
      <x:c r="AI28" s="90" t="str">
        <x:v>仅见月份或表面五行标签，但未满足“冬月极寒基准下仅见无根弱火或火被强水压制”及必要修正条件时，不得套用“弱火无根不足以改变极寒基准”。</x:v>
      </x:c>
      <x:c r="AJ28" s="82" t="str">
        <x:v>采用</x:v>
      </x:c>
      <x:c r="AK28" s="82" t="str">
        <x:v>初审</x:v>
      </x:c>
      <x:c r="AL28" s="87" t="n">
        <x:v>46255</x:v>
      </x:c>
    </x:row>
    <x:row r="29">
      <x:c r="A29" s="72" t="str">
        <x:f>IF(OR(C29="",D29=""),"",B29&amp;"-"&amp;UPPER(C29)&amp;"-"&amp;TEXT(D29,"0000")&amp;"-"&amp;E29)</x:f>
        <x:v>M13-TEMP-0023-V1.0</x:v>
      </x:c>
      <x:c r="B29" s="74" t="str">
        <x:v>M13</x:v>
      </x:c>
      <x:c r="C29" s="74" t="str">
        <x:v>TEMP</x:v>
      </x:c>
      <x:c r="D29" s="215" t="n">
        <x:v>23</x:v>
      </x:c>
      <x:c r="E29" s="74" t="str">
        <x:v>V1.0</x:v>
      </x:c>
      <x:c r="F29" s="68" t="str">
        <x:v>强水成势可将偏暖局向平衡或偏寒修正</x:v>
      </x:c>
      <x:c r="G29" s="82" t="str">
        <x:v>结构层</x:v>
      </x:c>
      <x:c r="H29" s="82" t="str">
        <x:v>寒暖轴</x:v>
      </x:c>
      <x:c r="I29" s="68" t="str">
        <x:v>通用</x:v>
      </x:c>
      <x:c r="J29" s="68" t="str">
        <x:v>水旺极旺且有根有源、未被燥土火势压制</x:v>
      </x:c>
      <x:c r="K29" s="68" t="str">
        <x:v>明显降温</x:v>
      </x:c>
      <x:c r="L29" s="68" t="str">
        <x:v>待定</x:v>
      </x:c>
      <x:c r="M29" s="82" t="str">
        <x:v>待定</x:v>
      </x:c>
      <x:c r="N29" s="82" t="str">
        <x:v>待定</x:v>
      </x:c>
      <x:c r="O29" s="68" t="str">
        <x:v>水势降低全局温度</x:v>
      </x:c>
      <x:c r="P29" s="68" t="str">
        <x:v>待定</x:v>
      </x:c>
      <x:c r="Q29" s="68" t="str">
        <x:v>按需要控制降温幅度</x:v>
      </x:c>
      <x:c r="R29" s="82" t="str">
        <x:v>待定</x:v>
      </x:c>
      <x:c r="S29" s="82" t="str">
        <x:v>待定</x:v>
      </x:c>
      <x:c r="T29" s="82" t="str">
        <x:v>待定</x:v>
      </x:c>
      <x:c r="U29" s="82" t="str">
        <x:v>待定</x:v>
      </x:c>
      <x:c r="V29" s="82" t="str">
        <x:v>待定</x:v>
      </x:c>
      <x:c r="W29" s="68" t="str">
        <x:v>M02基础映射、M08五行有效旺衰、M12流通卡点已完成</x:v>
      </x:c>
      <x:c r="X29" s="68" t="str">
        <x:v>月令基准与全局有效五行均已核查</x:v>
      </x:c>
      <x:c r="Y29" s="68" t="str">
        <x:v>相关调候五行有根有源、透达且能真实改善关键气候问题</x:v>
      </x:c>
      <x:c r="Z29" s="68" t="str">
        <x:v>调候五行无根、受强制、被合绊、改性或加入后产生新的寒热燥湿问题</x:v>
      </x:c>
      <x:c r="AA29" s="90" t="str">
        <x:v>不得只凭出生月份或某一五行数量直接下最终调候结论</x:v>
      </x:c>
      <x:c r="AB29" s="68" t="str">
        <x:v>特殊格局、核心格局用神或更高优先级病药约束转M16—M18裁决</x:v>
      </x:c>
      <x:c r="AC29" s="84" t="str">
        <x:v>强水降温修正</x:v>
      </x:c>
      <x:c r="AD29" s="84" t="str">
        <x:v>强水成势可将偏暖局向平衡或偏寒修正：温度轴判“待定”，湿度轴判“待定”；调候候选为“待定”，是否成为最终用神仍转M16—M18。</x:v>
      </x:c>
      <x:c r="AE29" s="82" t="str">
        <x:v>较高</x:v>
      </x:c>
      <x:c r="AF29" s="82" t="str">
        <x:v>调候</x:v>
      </x:c>
      <x:c r="AG29" s="68" t="str">
        <x:v>调候以月令气候为起点，但必须结合M08五行有效力量与M12流通状态修正；寒暖与燥湿分轴判断，调候候选不自动等于全局主用神。</x:v>
      </x:c>
      <x:c r="AH29" s="68" t="str">
        <x:v>当“水旺极旺且有根有源、未被燥土火势压制”真实成立，且调候机制能改善主要气候问题时，可按“强水成势可将偏暖局向平衡或偏寒修正”记录。</x:v>
      </x:c>
      <x:c r="AI29" s="90" t="str">
        <x:v>仅见月份或表面五行标签，但未满足“水旺极旺且有根有源、未被燥土火势压制”及必要修正条件时，不得套用“强水成势可将偏暖局向平衡或偏寒修正”。</x:v>
      </x:c>
      <x:c r="AJ29" s="82" t="str">
        <x:v>采用</x:v>
      </x:c>
      <x:c r="AK29" s="82" t="str">
        <x:v>初审</x:v>
      </x:c>
      <x:c r="AL29" s="87" t="n">
        <x:v>46255</x:v>
      </x:c>
    </x:row>
    <x:row r="30">
      <x:c r="A30" s="72" t="str">
        <x:f>IF(OR(C30="",D30=""),"",B30&amp;"-"&amp;UPPER(C30)&amp;"-"&amp;TEXT(D30,"0000")&amp;"-"&amp;E30)</x:f>
        <x:v>M13-TEMP-0024-V1.0</x:v>
      </x:c>
      <x:c r="B30" s="74" t="str">
        <x:v>M13</x:v>
      </x:c>
      <x:c r="C30" s="74" t="str">
        <x:v>TEMP</x:v>
      </x:c>
      <x:c r="D30" s="215" t="n">
        <x:v>24</x:v>
      </x:c>
      <x:c r="E30" s="74" t="str">
        <x:v>V1.0</x:v>
      </x:c>
      <x:c r="F30" s="68" t="str">
        <x:v>夏局弱水无根不足以解除极热</x:v>
      </x:c>
      <x:c r="G30" s="82" t="str">
        <x:v>结构层</x:v>
      </x:c>
      <x:c r="H30" s="82" t="str">
        <x:v>寒暖轴</x:v>
      </x:c>
      <x:c r="I30" s="68" t="str">
        <x:v>通用</x:v>
      </x:c>
      <x:c r="J30" s="68" t="str">
        <x:v>午未等热局中水仅微弱存在且被火土制耗</x:v>
      </x:c>
      <x:c r="K30" s="68" t="str">
        <x:v>降温有限</x:v>
      </x:c>
      <x:c r="L30" s="68" t="str">
        <x:v>待定</x:v>
      </x:c>
      <x:c r="M30" s="82" t="str">
        <x:v>极热</x:v>
      </x:c>
      <x:c r="N30" s="82" t="str">
        <x:v>待定</x:v>
      </x:c>
      <x:c r="O30" s="68" t="str">
        <x:v>名义水难以实际降温</x:v>
      </x:c>
      <x:c r="P30" s="68" t="str">
        <x:v>水</x:v>
      </x:c>
      <x:c r="Q30" s="68" t="str">
        <x:v>需要有效水源</x:v>
      </x:c>
      <x:c r="R30" s="82" t="str">
        <x:v>是</x:v>
      </x:c>
      <x:c r="S30" s="82" t="str">
        <x:v>受限</x:v>
      </x:c>
      <x:c r="T30" s="82" t="str">
        <x:v>高</x:v>
      </x:c>
      <x:c r="U30" s="82" t="str">
        <x:v>待定</x:v>
      </x:c>
      <x:c r="V30" s="82" t="str">
        <x:v>待定</x:v>
      </x:c>
      <x:c r="W30" s="68" t="str">
        <x:v>M02基础映射、M08五行有效旺衰、M12流通卡点已完成</x:v>
      </x:c>
      <x:c r="X30" s="68" t="str">
        <x:v>月令基准与全局有效五行均已核查</x:v>
      </x:c>
      <x:c r="Y30" s="68" t="str">
        <x:v>相关调候五行有根有源、透达且能真实改善关键气候问题</x:v>
      </x:c>
      <x:c r="Z30" s="68" t="str">
        <x:v>调候五行无根、受强制、被合绊、改性或加入后产生新的寒热燥湿问题</x:v>
      </x:c>
      <x:c r="AA30" s="90" t="str">
        <x:v>不得只凭出生月份或某一五行数量直接下最终调候结论</x:v>
      </x:c>
      <x:c r="AB30" s="68" t="str">
        <x:v>特殊格局、核心格局用神或更高优先级病药约束转M16—M18裁决</x:v>
      </x:c>
      <x:c r="AC30" s="84" t="str">
        <x:v>弱水不足制热</x:v>
      </x:c>
      <x:c r="AD30" s="84" t="str">
        <x:v>夏局弱水无根不足以解除极热：温度轴判“极热”，湿度轴判“待定”；调候候选为“水”，是否成为最终用神仍转M16—M18。</x:v>
      </x:c>
      <x:c r="AE30" s="82" t="str">
        <x:v>较高</x:v>
      </x:c>
      <x:c r="AF30" s="82" t="str">
        <x:v>调候</x:v>
      </x:c>
      <x:c r="AG30" s="68" t="str">
        <x:v>调候以月令气候为起点，但必须结合M08五行有效力量与M12流通状态修正；寒暖与燥湿分轴判断，调候候选不自动等于全局主用神。</x:v>
      </x:c>
      <x:c r="AH30" s="68" t="str">
        <x:v>当“午未等热局中水仅微弱存在且被火土制耗”真实成立，且调候机制能改善主要气候问题时，可按“夏局弱水无根不足以解除极热”记录。</x:v>
      </x:c>
      <x:c r="AI30" s="90" t="str">
        <x:v>仅见月份或表面五行标签，但未满足“午未等热局中水仅微弱存在且被火土制耗”及必要修正条件时，不得套用“夏局弱水无根不足以解除极热”。</x:v>
      </x:c>
      <x:c r="AJ30" s="82" t="str">
        <x:v>采用</x:v>
      </x:c>
      <x:c r="AK30" s="82" t="str">
        <x:v>初审</x:v>
      </x:c>
      <x:c r="AL30" s="87" t="n">
        <x:v>46255</x:v>
      </x:c>
    </x:row>
    <x:row r="31">
      <x:c r="A31" s="72" t="str">
        <x:f>IF(OR(C31="",D31=""),"",B31&amp;"-"&amp;UPPER(C31)&amp;"-"&amp;TEXT(D31,"0000")&amp;"-"&amp;E31)</x:f>
        <x:v>M13-TEMP-0025-V1.0</x:v>
      </x:c>
      <x:c r="B31" s="74" t="str">
        <x:v>M13</x:v>
      </x:c>
      <x:c r="C31" s="74" t="str">
        <x:v>TEMP</x:v>
      </x:c>
      <x:c r="D31" s="215" t="n">
        <x:v>25</x:v>
      </x:c>
      <x:c r="E31" s="74" t="str">
        <x:v>V1.0</x:v>
      </x:c>
      <x:c r="F31" s="68" t="str">
        <x:v>木旺可通过生火间接提高温度</x:v>
      </x:c>
      <x:c r="G31" s="82" t="str">
        <x:v>结构层</x:v>
      </x:c>
      <x:c r="H31" s="82" t="str">
        <x:v>寒暖轴</x:v>
      </x:c>
      <x:c r="I31" s="68" t="str">
        <x:v>通用</x:v>
      </x:c>
      <x:c r="J31" s="68" t="str">
        <x:v>木有力且火有根可承接木生火</x:v>
      </x:c>
      <x:c r="K31" s="68" t="str">
        <x:v>间接升温</x:v>
      </x:c>
      <x:c r="L31" s="68" t="str">
        <x:v>待定</x:v>
      </x:c>
      <x:c r="M31" s="82" t="str">
        <x:v>待定</x:v>
      </x:c>
      <x:c r="N31" s="82" t="str">
        <x:v>待定</x:v>
      </x:c>
      <x:c r="O31" s="68" t="str">
        <x:v>木为火源，可能强化暖势</x:v>
      </x:c>
      <x:c r="P31" s="68" t="str">
        <x:v>待定</x:v>
      </x:c>
      <x:c r="Q31" s="68" t="str">
        <x:v>通过木→火链修正温度</x:v>
      </x:c>
      <x:c r="R31" s="82" t="str">
        <x:v>待定</x:v>
      </x:c>
      <x:c r="S31" s="82" t="str">
        <x:v>待定</x:v>
      </x:c>
      <x:c r="T31" s="82" t="str">
        <x:v>待定</x:v>
      </x:c>
      <x:c r="U31" s="82" t="str">
        <x:v>待定</x:v>
      </x:c>
      <x:c r="V31" s="82" t="str">
        <x:v>待定</x:v>
      </x:c>
      <x:c r="W31" s="68" t="str">
        <x:v>M02基础映射、M08五行有效旺衰、M12流通卡点已完成</x:v>
      </x:c>
      <x:c r="X31" s="68" t="str">
        <x:v>月令基准与全局有效五行均已核查</x:v>
      </x:c>
      <x:c r="Y31" s="68" t="str">
        <x:v>相关调候五行有根有源、透达且能真实改善关键气候问题</x:v>
      </x:c>
      <x:c r="Z31" s="68" t="str">
        <x:v>调候五行无根、受强制、被合绊、改性或加入后产生新的寒热燥湿问题</x:v>
      </x:c>
      <x:c r="AA31" s="90" t="str">
        <x:v>不得只凭出生月份或某一五行数量直接下最终调候结论</x:v>
      </x:c>
      <x:c r="AB31" s="68" t="str">
        <x:v>特殊格局、核心格局用神或更高优先级病药约束转M16—M18裁决</x:v>
      </x:c>
      <x:c r="AC31" s="84" t="str">
        <x:v>木生火升温</x:v>
      </x:c>
      <x:c r="AD31" s="84" t="str">
        <x:v>木旺可通过生火间接提高温度：温度轴判“待定”，湿度轴判“待定”；调候候选为“待定”，是否成为最终用神仍转M16—M18。</x:v>
      </x:c>
      <x:c r="AE31" s="82" t="str">
        <x:v>较高</x:v>
      </x:c>
      <x:c r="AF31" s="82" t="str">
        <x:v>调候</x:v>
      </x:c>
      <x:c r="AG31" s="68" t="str">
        <x:v>调候以月令气候为起点，但必须结合M08五行有效力量与M12流通状态修正；寒暖与燥湿分轴判断，调候候选不自动等于全局主用神。</x:v>
      </x:c>
      <x:c r="AH31" s="68" t="str">
        <x:v>当“木有力且火有根可承接木生火”真实成立，且调候机制能改善主要气候问题时，可按“木旺可通过生火间接提高温度”记录。</x:v>
      </x:c>
      <x:c r="AI31" s="90" t="str">
        <x:v>仅见月份或表面五行标签，但未满足“木有力且火有根可承接木生火”及必要修正条件时，不得套用“木旺可通过生火间接提高温度”。</x:v>
      </x:c>
      <x:c r="AJ31" s="82" t="str">
        <x:v>采用</x:v>
      </x:c>
      <x:c r="AK31" s="82" t="str">
        <x:v>初审</x:v>
      </x:c>
      <x:c r="AL31" s="87" t="n">
        <x:v>46255</x:v>
      </x:c>
    </x:row>
    <x:row r="32">
      <x:c r="A32" s="72" t="str">
        <x:f>IF(OR(C32="",D32=""),"",B32&amp;"-"&amp;UPPER(C32)&amp;"-"&amp;TEXT(D32,"0000")&amp;"-"&amp;E32)</x:f>
        <x:v>M13-TEMP-0026-V1.0</x:v>
      </x:c>
      <x:c r="B32" s="74" t="str">
        <x:v>M13</x:v>
      </x:c>
      <x:c r="C32" s="74" t="str">
        <x:v>TEMP</x:v>
      </x:c>
      <x:c r="D32" s="215" t="n">
        <x:v>26</x:v>
      </x:c>
      <x:c r="E32" s="74" t="str">
        <x:v>V1.0</x:v>
      </x:c>
      <x:c r="F32" s="68" t="str">
        <x:v>湿土重可晦火并降低实际暖局效率</x:v>
      </x:c>
      <x:c r="G32" s="82" t="str">
        <x:v>结构层</x:v>
      </x:c>
      <x:c r="H32" s="82" t="str">
        <x:v>寒暖轴</x:v>
      </x:c>
      <x:c r="I32" s="68" t="str">
        <x:v>通用</x:v>
      </x:c>
      <x:c r="J32" s="68" t="str">
        <x:v>辰丑湿土成势且火弱或火被湿土晦</x:v>
      </x:c>
      <x:c r="K32" s="68" t="str">
        <x:v>降温或暖效受限</x:v>
      </x:c>
      <x:c r="L32" s="68" t="str">
        <x:v>增湿</x:v>
      </x:c>
      <x:c r="M32" s="82" t="str">
        <x:v>待定</x:v>
      </x:c>
      <x:c r="N32" s="82" t="str">
        <x:v>偏湿</x:v>
      </x:c>
      <x:c r="O32" s="68" t="str">
        <x:v>湿土使火力难以透达</x:v>
      </x:c>
      <x:c r="P32" s="68" t="str">
        <x:v>火/木</x:v>
      </x:c>
      <x:c r="Q32" s="68" t="str">
        <x:v>暖土、疏土并恢复火势</x:v>
      </x:c>
      <x:c r="R32" s="82" t="str">
        <x:v>待定</x:v>
      </x:c>
      <x:c r="S32" s="82" t="str">
        <x:v>待定</x:v>
      </x:c>
      <x:c r="T32" s="82" t="str">
        <x:v>待定</x:v>
      </x:c>
      <x:c r="U32" s="82" t="str">
        <x:v>待定</x:v>
      </x:c>
      <x:c r="V32" s="82" t="str">
        <x:v>待定</x:v>
      </x:c>
      <x:c r="W32" s="68" t="str">
        <x:v>M02基础映射、M08五行有效旺衰、M12流通卡点已完成</x:v>
      </x:c>
      <x:c r="X32" s="68" t="str">
        <x:v>月令基准与全局有效五行均已核查</x:v>
      </x:c>
      <x:c r="Y32" s="68" t="str">
        <x:v>相关调候五行有根有源、透达且能真实改善关键气候问题</x:v>
      </x:c>
      <x:c r="Z32" s="68" t="str">
        <x:v>调候五行无根、受强制、被合绊、改性或加入后产生新的寒热燥湿问题</x:v>
      </x:c>
      <x:c r="AA32" s="90" t="str">
        <x:v>不得只凭出生月份或某一五行数量直接下最终调候结论</x:v>
      </x:c>
      <x:c r="AB32" s="68" t="str">
        <x:v>特殊格局、核心格局用神或更高优先级病药约束转M16—M18裁决</x:v>
      </x:c>
      <x:c r="AC32" s="84" t="str">
        <x:v>湿土晦火</x:v>
      </x:c>
      <x:c r="AD32" s="84" t="str">
        <x:v>湿土重可晦火并降低实际暖局效率：温度轴判“待定”，湿度轴判“偏湿”；调候候选为“火/木”，是否成为最终用神仍转M16—M18。</x:v>
      </x:c>
      <x:c r="AE32" s="82" t="str">
        <x:v>较高</x:v>
      </x:c>
      <x:c r="AF32" s="82" t="str">
        <x:v>调候</x:v>
      </x:c>
      <x:c r="AG32" s="68" t="str">
        <x:v>调候以月令气候为起点，但必须结合M08五行有效力量与M12流通状态修正；寒暖与燥湿分轴判断，调候候选不自动等于全局主用神。</x:v>
      </x:c>
      <x:c r="AH32" s="68" t="str">
        <x:v>当“辰丑湿土成势且火弱或火被湿土晦”真实成立，且调候机制能改善主要气候问题时，可按“湿土重可晦火并降低实际暖局效率”记录。</x:v>
      </x:c>
      <x:c r="AI32" s="90" t="str">
        <x:v>仅见月份或表面五行标签，但未满足“辰丑湿土成势且火弱或火被湿土晦”及必要修正条件时，不得套用“湿土重可晦火并降低实际暖局效率”。</x:v>
      </x:c>
      <x:c r="AJ32" s="82" t="str">
        <x:v>采用</x:v>
      </x:c>
      <x:c r="AK32" s="82" t="str">
        <x:v>初审</x:v>
      </x:c>
      <x:c r="AL32" s="87" t="n">
        <x:v>46255</x:v>
      </x:c>
    </x:row>
    <x:row r="33">
      <x:c r="A33" s="72" t="str">
        <x:f>IF(OR(C33="",D33=""),"",B33&amp;"-"&amp;UPPER(C33)&amp;"-"&amp;TEXT(D33,"0000")&amp;"-"&amp;E33)</x:f>
        <x:v>M13-TEMP-0027-V1.0</x:v>
      </x:c>
      <x:c r="B33" s="74" t="str">
        <x:v>M13</x:v>
      </x:c>
      <x:c r="C33" s="74" t="str">
        <x:v>TEMP</x:v>
      </x:c>
      <x:c r="D33" s="215" t="n">
        <x:v>27</x:v>
      </x:c>
      <x:c r="E33" s="74" t="str">
        <x:v>V1.0</x:v>
      </x:c>
      <x:c r="F33" s="68" t="str">
        <x:v>燥土与强火并见会放大热势</x:v>
      </x:c>
      <x:c r="G33" s="82" t="str">
        <x:v>结构层</x:v>
      </x:c>
      <x:c r="H33" s="82" t="str">
        <x:v>寒暖轴</x:v>
      </x:c>
      <x:c r="I33" s="68" t="str">
        <x:v>通用</x:v>
      </x:c>
      <x:c r="J33" s="68" t="str">
        <x:v>未戌燥土有力且火旺</x:v>
      </x:c>
      <x:c r="K33" s="68" t="str">
        <x:v>明显升温</x:v>
      </x:c>
      <x:c r="L33" s="68" t="str">
        <x:v>增燥</x:v>
      </x:c>
      <x:c r="M33" s="82" t="str">
        <x:v>极热</x:v>
      </x:c>
      <x:c r="N33" s="82" t="str">
        <x:v>偏燥</x:v>
      </x:c>
      <x:c r="O33" s="68" t="str">
        <x:v>热燥相互强化</x:v>
      </x:c>
      <x:c r="P33" s="68" t="str">
        <x:v>水</x:v>
      </x:c>
      <x:c r="Q33" s="68" t="str">
        <x:v>降温润燥</x:v>
      </x:c>
      <x:c r="R33" s="82" t="str">
        <x:v>待定</x:v>
      </x:c>
      <x:c r="S33" s="82" t="str">
        <x:v>待定</x:v>
      </x:c>
      <x:c r="T33" s="82" t="str">
        <x:v>高</x:v>
      </x:c>
      <x:c r="U33" s="82" t="str">
        <x:v>待定</x:v>
      </x:c>
      <x:c r="V33" s="82" t="str">
        <x:v>待定</x:v>
      </x:c>
      <x:c r="W33" s="68" t="str">
        <x:v>M02基础映射、M08五行有效旺衰、M12流通卡点已完成</x:v>
      </x:c>
      <x:c r="X33" s="68" t="str">
        <x:v>月令基准与全局有效五行均已核查</x:v>
      </x:c>
      <x:c r="Y33" s="68" t="str">
        <x:v>相关调候五行有根有源、透达且能真实改善关键气候问题</x:v>
      </x:c>
      <x:c r="Z33" s="68" t="str">
        <x:v>调候五行无根、受强制、被合绊、改性或加入后产生新的寒热燥湿问题</x:v>
      </x:c>
      <x:c r="AA33" s="90" t="str">
        <x:v>不得只凭出生月份或某一五行数量直接下最终调候结论</x:v>
      </x:c>
      <x:c r="AB33" s="68" t="str">
        <x:v>特殊格局、核心格局用神或更高优先级病药约束转M16—M18裁决</x:v>
      </x:c>
      <x:c r="AC33" s="84" t="str">
        <x:v>火燥土增热</x:v>
      </x:c>
      <x:c r="AD33" s="84" t="str">
        <x:v>燥土与强火并见会放大热势：温度轴判“极热”，湿度轴判“偏燥”；调候候选为“水”，是否成为最终用神仍转M16—M18。</x:v>
      </x:c>
      <x:c r="AE33" s="82" t="str">
        <x:v>较高</x:v>
      </x:c>
      <x:c r="AF33" s="82" t="str">
        <x:v>调候</x:v>
      </x:c>
      <x:c r="AG33" s="68" t="str">
        <x:v>调候以月令气候为起点，但必须结合M08五行有效力量与M12流通状态修正；寒暖与燥湿分轴判断，调候候选不自动等于全局主用神。</x:v>
      </x:c>
      <x:c r="AH33" s="68" t="str">
        <x:v>当“未戌燥土有力且火旺”真实成立，且调候机制能改善主要气候问题时，可按“燥土与强火并见会放大热势”记录。</x:v>
      </x:c>
      <x:c r="AI33" s="90" t="str">
        <x:v>仅见月份或表面五行标签，但未满足“未戌燥土有力且火旺”及必要修正条件时，不得套用“燥土与强火并见会放大热势”。</x:v>
      </x:c>
      <x:c r="AJ33" s="82" t="str">
        <x:v>采用</x:v>
      </x:c>
      <x:c r="AK33" s="82" t="str">
        <x:v>初审</x:v>
      </x:c>
      <x:c r="AL33" s="87" t="n">
        <x:v>46255</x:v>
      </x:c>
    </x:row>
    <x:row r="34">
      <x:c r="A34" s="72" t="str">
        <x:f>IF(OR(C34="",D34=""),"",B34&amp;"-"&amp;UPPER(C34)&amp;"-"&amp;TEXT(D34,"0000")&amp;"-"&amp;E34)</x:f>
        <x:v>M13-TEMP-0028-V1.0</x:v>
      </x:c>
      <x:c r="B34" s="74" t="str">
        <x:v>M13</x:v>
      </x:c>
      <x:c r="C34" s="74" t="str">
        <x:v>TEMP</x:v>
      </x:c>
      <x:c r="D34" s="215" t="n">
        <x:v>28</x:v>
      </x:c>
      <x:c r="E34" s="74" t="str">
        <x:v>V1.0</x:v>
      </x:c>
      <x:c r="F34" s="68" t="str">
        <x:v>金旺本身不直接等同寒但秋令可增强凉性</x:v>
      </x:c>
      <x:c r="G34" s="82" t="str">
        <x:v>结构层</x:v>
      </x:c>
      <x:c r="H34" s="82" t="str">
        <x:v>寒暖轴</x:v>
      </x:c>
      <x:c r="I34" s="68" t="str">
        <x:v>通用</x:v>
      </x:c>
      <x:c r="J34" s="68" t="str">
        <x:v>申酉金旺，且全局火弱、水势又偏强</x:v>
      </x:c>
      <x:c r="K34" s="68" t="str">
        <x:v>偏向降温</x:v>
      </x:c>
      <x:c r="L34" s="68" t="str">
        <x:v>待定</x:v>
      </x:c>
      <x:c r="M34" s="82" t="str">
        <x:v>偏寒</x:v>
      </x:c>
      <x:c r="N34" s="82" t="str">
        <x:v>待定</x:v>
      </x:c>
      <x:c r="O34" s="68" t="str">
        <x:v>秋凉在水强火弱时更明显</x:v>
      </x:c>
      <x:c r="P34" s="68" t="str">
        <x:v>火</x:v>
      </x:c>
      <x:c r="Q34" s="68" t="str">
        <x:v>适度暖局</x:v>
      </x:c>
      <x:c r="R34" s="82" t="str">
        <x:v>待定</x:v>
      </x:c>
      <x:c r="S34" s="82" t="str">
        <x:v>待定</x:v>
      </x:c>
      <x:c r="T34" s="82" t="str">
        <x:v>待定</x:v>
      </x:c>
      <x:c r="U34" s="82" t="str">
        <x:v>待定</x:v>
      </x:c>
      <x:c r="V34" s="82" t="str">
        <x:v>待定</x:v>
      </x:c>
      <x:c r="W34" s="68" t="str">
        <x:v>M02基础映射、M08五行有效旺衰、M12流通卡点已完成</x:v>
      </x:c>
      <x:c r="X34" s="68" t="str">
        <x:v>月令基准与全局有效五行均已核查</x:v>
      </x:c>
      <x:c r="Y34" s="68" t="str">
        <x:v>相关调候五行有根有源、透达且能真实改善关键气候问题</x:v>
      </x:c>
      <x:c r="Z34" s="68" t="str">
        <x:v>调候五行无根、受强制、被合绊、改性或加入后产生新的寒热燥湿问题</x:v>
      </x:c>
      <x:c r="AA34" s="90" t="str">
        <x:v>不得只凭出生月份或某一五行数量直接下最终调候结论</x:v>
      </x:c>
      <x:c r="AB34" s="68" t="str">
        <x:v>特殊格局、核心格局用神或更高优先级病药约束转M16—M18裁决</x:v>
      </x:c>
      <x:c r="AC34" s="84" t="str">
        <x:v>秋金凉性条件化</x:v>
      </x:c>
      <x:c r="AD34" s="84" t="str">
        <x:v>金旺本身不直接等同寒但秋令可增强凉性：温度轴判“偏寒”，湿度轴判“待定”；调候候选为“火”，是否成为最终用神仍转M16—M18。</x:v>
      </x:c>
      <x:c r="AE34" s="82" t="str">
        <x:v>较高</x:v>
      </x:c>
      <x:c r="AF34" s="82" t="str">
        <x:v>调候</x:v>
      </x:c>
      <x:c r="AG34" s="68" t="str">
        <x:v>调候以月令气候为起点，但必须结合M08五行有效力量与M12流通状态修正；寒暖与燥湿分轴判断，调候候选不自动等于全局主用神。</x:v>
      </x:c>
      <x:c r="AH34" s="68" t="str">
        <x:v>当“申酉金旺，且全局火弱、水势又偏强”真实成立，且调候机制能改善主要气候问题时，可按“金旺本身不直接等同寒但秋令可增强凉性”记录。</x:v>
      </x:c>
      <x:c r="AI34" s="90" t="str">
        <x:v>仅见月份或表面五行标签，但未满足“申酉金旺，且全局火弱、水势又偏强”及必要修正条件时，不得套用“金旺本身不直接等同寒但秋令可增强凉性”。</x:v>
      </x:c>
      <x:c r="AJ34" s="82" t="str">
        <x:v>采用</x:v>
      </x:c>
      <x:c r="AK34" s="82" t="str">
        <x:v>初审</x:v>
      </x:c>
      <x:c r="AL34" s="87" t="n">
        <x:v>46255</x:v>
      </x:c>
    </x:row>
    <x:row r="35">
      <x:c r="A35" s="72" t="str">
        <x:f>IF(OR(C35="",D35=""),"",B35&amp;"-"&amp;UPPER(C35)&amp;"-"&amp;TEXT(D35,"0000")&amp;"-"&amp;E35)</x:f>
        <x:v>M13-TEMP-0029-V1.0</x:v>
      </x:c>
      <x:c r="B35" s="74" t="str">
        <x:v>M13</x:v>
      </x:c>
      <x:c r="C35" s="74" t="str">
        <x:v>TEMP</x:v>
      </x:c>
      <x:c r="D35" s="215" t="n">
        <x:v>29</x:v>
      </x:c>
      <x:c r="E35" s="74" t="str">
        <x:v>V1.0</x:v>
      </x:c>
      <x:c r="F35" s="68" t="str">
        <x:v>寒暖平衡必须同时排除极端火水集团</x:v>
      </x:c>
      <x:c r="G35" s="82" t="str">
        <x:v>结构层</x:v>
      </x:c>
      <x:c r="H35" s="82" t="str">
        <x:v>寒暖轴</x:v>
      </x:c>
      <x:c r="I35" s="68" t="str">
        <x:v>通用</x:v>
      </x:c>
      <x:c r="J35" s="68" t="str">
        <x:v>月令基准经火水修正后无一方形成决定性热寒优势</x:v>
      </x:c>
      <x:c r="K35" s="68" t="str">
        <x:v>相互抵消</x:v>
      </x:c>
      <x:c r="L35" s="68" t="str">
        <x:v>待定</x:v>
      </x:c>
      <x:c r="M35" s="82" t="str">
        <x:v>平衡</x:v>
      </x:c>
      <x:c r="N35" s="82" t="str">
        <x:v>待定</x:v>
      </x:c>
      <x:c r="O35" s="68" t="str">
        <x:v>无明显温度病</x:v>
      </x:c>
      <x:c r="P35" s="68" t="str">
        <x:v>待定</x:v>
      </x:c>
      <x:c r="Q35" s="68" t="str">
        <x:v>通常不需以调温为首要</x:v>
      </x:c>
      <x:c r="R35" s="82" t="str">
        <x:v>待定</x:v>
      </x:c>
      <x:c r="S35" s="82" t="str">
        <x:v>待定</x:v>
      </x:c>
      <x:c r="T35" s="82" t="str">
        <x:v>低</x:v>
      </x:c>
      <x:c r="U35" s="82" t="str">
        <x:v>待定</x:v>
      </x:c>
      <x:c r="V35" s="82" t="str">
        <x:v>待定</x:v>
      </x:c>
      <x:c r="W35" s="68" t="str">
        <x:v>M02基础映射、M08五行有效旺衰、M12流通卡点已完成</x:v>
      </x:c>
      <x:c r="X35" s="68" t="str">
        <x:v>月令基准与全局有效五行均已核查</x:v>
      </x:c>
      <x:c r="Y35" s="68" t="str">
        <x:v>相关调候五行有根有源、透达且能真实改善关键气候问题</x:v>
      </x:c>
      <x:c r="Z35" s="68" t="str">
        <x:v>调候五行无根、受强制、被合绊、改性或加入后产生新的寒热燥湿问题</x:v>
      </x:c>
      <x:c r="AA35" s="90" t="str">
        <x:v>不得只凭出生月份或某一五行数量直接下最终调候结论</x:v>
      </x:c>
      <x:c r="AB35" s="68" t="str">
        <x:v>特殊格局、核心格局用神或更高优先级病药约束转M16—M18裁决</x:v>
      </x:c>
      <x:c r="AC35" s="84" t="str">
        <x:v>寒暖平衡</x:v>
      </x:c>
      <x:c r="AD35" s="84" t="str">
        <x:v>寒暖平衡必须同时排除极端火水集团：温度轴判“平衡”，湿度轴判“待定”；调候候选为“待定”，是否成为最终用神仍转M16—M18。</x:v>
      </x:c>
      <x:c r="AE35" s="82" t="str">
        <x:v>较高</x:v>
      </x:c>
      <x:c r="AF35" s="82" t="str">
        <x:v>调候</x:v>
      </x:c>
      <x:c r="AG35" s="68" t="str">
        <x:v>调候以月令气候为起点，但必须结合M08五行有效力量与M12流通状态修正；寒暖与燥湿分轴判断，调候候选不自动等于全局主用神。</x:v>
      </x:c>
      <x:c r="AH35" s="68" t="str">
        <x:v>当“月令基准经火水修正后无一方形成决定性热寒优势”真实成立，且调候机制能改善主要气候问题时，可按“寒暖平衡必须同时排除极端火水集团”记录。</x:v>
      </x:c>
      <x:c r="AI35" s="90" t="str">
        <x:v>仅见月份或表面五行标签，但未满足“月令基准经火水修正后无一方形成决定性热寒优势”及必要修正条件时，不得套用“寒暖平衡必须同时排除极端火水集团”。</x:v>
      </x:c>
      <x:c r="AJ35" s="82" t="str">
        <x:v>采用</x:v>
      </x:c>
      <x:c r="AK35" s="82" t="str">
        <x:v>初审</x:v>
      </x:c>
      <x:c r="AL35" s="87" t="n">
        <x:v>46255</x:v>
      </x:c>
    </x:row>
    <x:row r="36">
      <x:c r="A36" s="72" t="str">
        <x:f>IF(OR(C36="",D36=""),"",B36&amp;"-"&amp;UPPER(C36)&amp;"-"&amp;TEXT(D36,"0000")&amp;"-"&amp;E36)</x:f>
        <x:v>M13-TEMP-0030-V1.0</x:v>
      </x:c>
      <x:c r="B36" s="74" t="str">
        <x:v>M13</x:v>
      </x:c>
      <x:c r="C36" s="74" t="str">
        <x:v>TEMP</x:v>
      </x:c>
      <x:c r="D36" s="215" t="n">
        <x:v>30</x:v>
      </x:c>
      <x:c r="E36" s="74" t="str">
        <x:v>V1.0</x:v>
      </x:c>
      <x:c r="F36" s="68" t="str">
        <x:v>温度极端只有影响功能时才升格为首要病</x:v>
      </x:c>
      <x:c r="G36" s="82" t="str">
        <x:v>结构层</x:v>
      </x:c>
      <x:c r="H36" s="82" t="str">
        <x:v>寒暖轴</x:v>
      </x:c>
      <x:c r="I36" s="68" t="str">
        <x:v>通用</x:v>
      </x:c>
      <x:c r="J36" s="68" t="str">
        <x:v>极寒或极热同时造成M12主路径寒凝、燥枯、火熄或水涸等功能问题</x:v>
      </x:c>
      <x:c r="K36" s="68" t="str">
        <x:v>待定</x:v>
      </x:c>
      <x:c r="L36" s="68" t="str">
        <x:v>待定</x:v>
      </x:c>
      <x:c r="M36" s="82" t="str">
        <x:v>待定</x:v>
      </x:c>
      <x:c r="N36" s="82" t="str">
        <x:v>待定</x:v>
      </x:c>
      <x:c r="O36" s="68" t="str">
        <x:v>温度极端已阻断生化</x:v>
      </x:c>
      <x:c r="P36" s="68" t="str">
        <x:v>火/水</x:v>
      </x:c>
      <x:c r="Q36" s="68" t="str">
        <x:v>恢复基本温度条件</x:v>
      </x:c>
      <x:c r="R36" s="82" t="str">
        <x:v>待定</x:v>
      </x:c>
      <x:c r="S36" s="82" t="str">
        <x:v>待定</x:v>
      </x:c>
      <x:c r="T36" s="82" t="str">
        <x:v>首要</x:v>
      </x:c>
      <x:c r="U36" s="82" t="str">
        <x:v>待定</x:v>
      </x:c>
      <x:c r="V36" s="82" t="str">
        <x:v>待定</x:v>
      </x:c>
      <x:c r="W36" s="68" t="str">
        <x:v>M02基础映射、M08五行有效旺衰、M12流通卡点已完成</x:v>
      </x:c>
      <x:c r="X36" s="68" t="str">
        <x:v>月令基准与全局有效五行均已核查</x:v>
      </x:c>
      <x:c r="Y36" s="68" t="str">
        <x:v>相关调候五行有根有源、透达且能真实改善关键气候问题</x:v>
      </x:c>
      <x:c r="Z36" s="68" t="str">
        <x:v>调候五行无根、受强制、被合绊、改性或加入后产生新的寒热燥湿问题</x:v>
      </x:c>
      <x:c r="AA36" s="90" t="str">
        <x:v>不得只凭出生月份或某一五行数量直接下最终调候结论</x:v>
      </x:c>
      <x:c r="AB36" s="68" t="str">
        <x:v>特殊格局、核心格局用神或更高优先级病药约束转M16—M18裁决</x:v>
      </x:c>
      <x:c r="AC36" s="84" t="str">
        <x:v>温度极端功能化</x:v>
      </x:c>
      <x:c r="AD36" s="84" t="str">
        <x:v>温度极端只有影响功能时才升格为首要病：温度轴判“待定”，湿度轴判“待定”；调候候选为“火/水”，是否成为最终用神仍转M16—M18。</x:v>
      </x:c>
      <x:c r="AE36" s="82" t="str">
        <x:v>较高</x:v>
      </x:c>
      <x:c r="AF36" s="82" t="str">
        <x:v>调候</x:v>
      </x:c>
      <x:c r="AG36" s="68" t="str">
        <x:v>调候以月令气候为起点，但必须结合M08五行有效力量与M12流通状态修正；寒暖与燥湿分轴判断，调候候选不自动等于全局主用神。</x:v>
      </x:c>
      <x:c r="AH36" s="68" t="str">
        <x:v>当“极寒或极热同时造成M12主路径寒凝、燥枯、火熄或水涸等功能问题”真实成立，且调候机制能改善主要气候问题时，可按“温度极端只有影响功能时才升格为首要病”记录。</x:v>
      </x:c>
      <x:c r="AI36" s="90" t="str">
        <x:v>仅见月份或表面五行标签，但未满足“极寒或极热同时造成M12主路径寒凝、燥枯、火熄或水涸等功能问题”及必要修正条件时，不得套用“温度极端只有影响功能时才升格为首要病”。</x:v>
      </x:c>
      <x:c r="AJ36" s="82" t="str">
        <x:v>采用</x:v>
      </x:c>
      <x:c r="AK36" s="82" t="str">
        <x:v>初审</x:v>
      </x:c>
      <x:c r="AL36" s="87" t="n">
        <x:v>46255</x:v>
      </x:c>
    </x:row>
    <x:row r="37">
      <x:c r="A37" s="72" t="str">
        <x:f>IF(OR(C37="",D37=""),"",B37&amp;"-"&amp;UPPER(C37)&amp;"-"&amp;TEXT(D37,"0000")&amp;"-"&amp;E37)</x:f>
        <x:v>M13-HUMID-0031-V1.0</x:v>
      </x:c>
      <x:c r="B37" s="74" t="str">
        <x:v>M13</x:v>
      </x:c>
      <x:c r="C37" s="74" t="str">
        <x:v>HUMID</x:v>
      </x:c>
      <x:c r="D37" s="215" t="n">
        <x:v>31</x:v>
      </x:c>
      <x:c r="E37" s="74" t="str">
        <x:v>V1.0</x:v>
      </x:c>
      <x:c r="F37" s="68" t="str">
        <x:v>强水与湿土同势会显著提高湿度</x:v>
      </x:c>
      <x:c r="G37" s="82" t="str">
        <x:v>结构层</x:v>
      </x:c>
      <x:c r="H37" s="82" t="str">
        <x:v>燥湿轴</x:v>
      </x:c>
      <x:c r="I37" s="68" t="str">
        <x:v>通用</x:v>
      </x:c>
      <x:c r="J37" s="68" t="str">
        <x:v>水旺且辰丑湿土有力，或湿土重复成势</x:v>
      </x:c>
      <x:c r="K37" s="68" t="str">
        <x:v>待定</x:v>
      </x:c>
      <x:c r="L37" s="68" t="str">
        <x:v>明显增湿</x:v>
      </x:c>
      <x:c r="M37" s="82" t="str">
        <x:v>待定</x:v>
      </x:c>
      <x:c r="N37" s="82" t="str">
        <x:v>极湿</x:v>
      </x:c>
      <x:c r="O37" s="68" t="str">
        <x:v>水湿壅滞、火木生化受阻</x:v>
      </x:c>
      <x:c r="P37" s="68" t="str">
        <x:v>火/木</x:v>
      </x:c>
      <x:c r="Q37" s="68" t="str">
        <x:v>暖湿、疏土、推动生化</x:v>
      </x:c>
      <x:c r="R37" s="82" t="str">
        <x:v>待定</x:v>
      </x:c>
      <x:c r="S37" s="82" t="str">
        <x:v>待定</x:v>
      </x:c>
      <x:c r="T37" s="82" t="str">
        <x:v>高</x:v>
      </x:c>
      <x:c r="U37" s="82" t="str">
        <x:v>待定</x:v>
      </x:c>
      <x:c r="V37" s="82" t="str">
        <x:v>待定</x:v>
      </x:c>
      <x:c r="W37" s="68" t="str">
        <x:v>M02基础映射、M08五行有效旺衰、M12流通卡点已完成</x:v>
      </x:c>
      <x:c r="X37" s="68" t="str">
        <x:v>月令基准与全局有效五行均已核查</x:v>
      </x:c>
      <x:c r="Y37" s="68" t="str">
        <x:v>相关调候五行有根有源、透达且能真实改善关键气候问题</x:v>
      </x:c>
      <x:c r="Z37" s="68" t="str">
        <x:v>调候五行无根、受强制、被合绊、改性或加入后产生新的寒热燥湿问题</x:v>
      </x:c>
      <x:c r="AA37" s="90" t="str">
        <x:v>不得只凭出生月份或某一五行数量直接下最终调候结论</x:v>
      </x:c>
      <x:c r="AB37" s="68" t="str">
        <x:v>特殊格局、核心格局用神或更高优先级病药约束转M16—M18裁决</x:v>
      </x:c>
      <x:c r="AC37" s="84" t="str">
        <x:v>水湿同势</x:v>
      </x:c>
      <x:c r="AD37" s="84" t="str">
        <x:v>强水与湿土同势会显著提高湿度：温度轴判“待定”，湿度轴判“极湿”；调候候选为“火/木”，是否成为最终用神仍转M16—M18。</x:v>
      </x:c>
      <x:c r="AE37" s="82" t="str">
        <x:v>较高</x:v>
      </x:c>
      <x:c r="AF37" s="82" t="str">
        <x:v>调候</x:v>
      </x:c>
      <x:c r="AG37" s="68" t="str">
        <x:v>调候以月令气候为起点，但必须结合M08五行有效力量与M12流通状态修正；寒暖与燥湿分轴判断，调候候选不自动等于全局主用神。</x:v>
      </x:c>
      <x:c r="AH37" s="68" t="str">
        <x:v>当“水旺且辰丑湿土有力，或湿土重复成势”真实成立，且调候机制能改善主要气候问题时，可按“强水与湿土同势会显著提高湿度”记录。</x:v>
      </x:c>
      <x:c r="AI37" s="90" t="str">
        <x:v>仅见月份或表面五行标签，但未满足“水旺且辰丑湿土有力，或湿土重复成势”及必要修正条件时，不得套用“强水与湿土同势会显著提高湿度”。</x:v>
      </x:c>
      <x:c r="AJ37" s="82" t="str">
        <x:v>采用</x:v>
      </x:c>
      <x:c r="AK37" s="82" t="str">
        <x:v>初审</x:v>
      </x:c>
      <x:c r="AL37" s="87" t="n">
        <x:v>46255</x:v>
      </x:c>
    </x:row>
    <x:row r="38">
      <x:c r="A38" s="72" t="str">
        <x:f>IF(OR(C38="",D38=""),"",B38&amp;"-"&amp;UPPER(C38)&amp;"-"&amp;TEXT(D38,"0000")&amp;"-"&amp;E38)</x:f>
        <x:v>M13-HUMID-0032-V1.0</x:v>
      </x:c>
      <x:c r="B38" s="74" t="str">
        <x:v>M13</x:v>
      </x:c>
      <x:c r="C38" s="74" t="str">
        <x:v>HUMID</x:v>
      </x:c>
      <x:c r="D38" s="215" t="n">
        <x:v>32</x:v>
      </x:c>
      <x:c r="E38" s="74" t="str">
        <x:v>V1.0</x:v>
      </x:c>
      <x:c r="F38" s="68" t="str">
        <x:v>水旺但土不湿未必达到极湿</x:v>
      </x:c>
      <x:c r="G38" s="82" t="str">
        <x:v>结构层</x:v>
      </x:c>
      <x:c r="H38" s="82" t="str">
        <x:v>燥湿轴</x:v>
      </x:c>
      <x:c r="I38" s="68" t="str">
        <x:v>通用</x:v>
      </x:c>
      <x:c r="J38" s="68" t="str">
        <x:v>水旺但湿土不足，且火木仍能有效流通</x:v>
      </x:c>
      <x:c r="K38" s="68" t="str">
        <x:v>待定</x:v>
      </x:c>
      <x:c r="L38" s="68" t="str">
        <x:v>增湿有限</x:v>
      </x:c>
      <x:c r="M38" s="82" t="str">
        <x:v>待定</x:v>
      </x:c>
      <x:c r="N38" s="82" t="str">
        <x:v>偏湿</x:v>
      </x:c>
      <x:c r="O38" s="68" t="str">
        <x:v>湿度增加但未形成壅滞</x:v>
      </x:c>
      <x:c r="P38" s="68" t="str">
        <x:v>待定</x:v>
      </x:c>
      <x:c r="Q38" s="68" t="str">
        <x:v>视流通是否受阻决定</x:v>
      </x:c>
      <x:c r="R38" s="82" t="str">
        <x:v>待定</x:v>
      </x:c>
      <x:c r="S38" s="82" t="str">
        <x:v>待定</x:v>
      </x:c>
      <x:c r="T38" s="82" t="str">
        <x:v>中</x:v>
      </x:c>
      <x:c r="U38" s="82" t="str">
        <x:v>待定</x:v>
      </x:c>
      <x:c r="V38" s="82" t="str">
        <x:v>待定</x:v>
      </x:c>
      <x:c r="W38" s="68" t="str">
        <x:v>M02基础映射、M08五行有效旺衰、M12流通卡点已完成</x:v>
      </x:c>
      <x:c r="X38" s="68" t="str">
        <x:v>月令基准与全局有效五行均已核查</x:v>
      </x:c>
      <x:c r="Y38" s="68" t="str">
        <x:v>相关调候五行有根有源、透达且能真实改善关键气候问题</x:v>
      </x:c>
      <x:c r="Z38" s="68" t="str">
        <x:v>调候五行无根、受强制、被合绊、改性或加入后产生新的寒热燥湿问题</x:v>
      </x:c>
      <x:c r="AA38" s="90" t="str">
        <x:v>不得只凭出生月份或某一五行数量直接下最终调候结论</x:v>
      </x:c>
      <x:c r="AB38" s="68" t="str">
        <x:v>特殊格局、核心格局用神或更高优先级病药约束转M16—M18裁决</x:v>
      </x:c>
      <x:c r="AC38" s="84" t="str">
        <x:v>水旺非极湿</x:v>
      </x:c>
      <x:c r="AD38" s="84" t="str">
        <x:v>水旺但土不湿未必达到极湿：温度轴判“待定”，湿度轴判“偏湿”；调候候选为“待定”，是否成为最终用神仍转M16—M18。</x:v>
      </x:c>
      <x:c r="AE38" s="82" t="str">
        <x:v>较高</x:v>
      </x:c>
      <x:c r="AF38" s="82" t="str">
        <x:v>调候</x:v>
      </x:c>
      <x:c r="AG38" s="68" t="str">
        <x:v>调候以月令气候为起点，但必须结合M08五行有效力量与M12流通状态修正；寒暖与燥湿分轴判断，调候候选不自动等于全局主用神。</x:v>
      </x:c>
      <x:c r="AH38" s="68" t="str">
        <x:v>当“水旺但湿土不足，且火木仍能有效流通”真实成立，且调候机制能改善主要气候问题时，可按“水旺但土不湿未必达到极湿”记录。</x:v>
      </x:c>
      <x:c r="AI38" s="90" t="str">
        <x:v>仅见月份或表面五行标签，但未满足“水旺但湿土不足，且火木仍能有效流通”及必要修正条件时，不得套用“水旺但土不湿未必达到极湿”。</x:v>
      </x:c>
      <x:c r="AJ38" s="82" t="str">
        <x:v>采用</x:v>
      </x:c>
      <x:c r="AK38" s="82" t="str">
        <x:v>初审</x:v>
      </x:c>
      <x:c r="AL38" s="87" t="n">
        <x:v>46255</x:v>
      </x:c>
    </x:row>
    <x:row r="39">
      <x:c r="A39" s="72" t="str">
        <x:f>IF(OR(C39="",D39=""),"",B39&amp;"-"&amp;UPPER(C39)&amp;"-"&amp;TEXT(D39,"0000")&amp;"-"&amp;E39)</x:f>
        <x:v>M13-HUMID-0033-V1.0</x:v>
      </x:c>
      <x:c r="B39" s="74" t="str">
        <x:v>M13</x:v>
      </x:c>
      <x:c r="C39" s="74" t="str">
        <x:v>HUMID</x:v>
      </x:c>
      <x:c r="D39" s="215" t="n">
        <x:v>33</x:v>
      </x:c>
      <x:c r="E39" s="74" t="str">
        <x:v>V1.0</x:v>
      </x:c>
      <x:c r="F39" s="68" t="str">
        <x:v>辰丑湿土成势属于增湿的重要证据</x:v>
      </x:c>
      <x:c r="G39" s="82" t="str">
        <x:v>结构层</x:v>
      </x:c>
      <x:c r="H39" s="82" t="str">
        <x:v>燥湿轴</x:v>
      </x:c>
      <x:c r="I39" s="68" t="str">
        <x:v>通用</x:v>
      </x:c>
      <x:c r="J39" s="68" t="str">
        <x:v>辰丑多现且有效，未被强火燥化</x:v>
      </x:c>
      <x:c r="K39" s="68" t="str">
        <x:v>待定</x:v>
      </x:c>
      <x:c r="L39" s="68" t="str">
        <x:v>明显增湿</x:v>
      </x:c>
      <x:c r="M39" s="82" t="str">
        <x:v>待定</x:v>
      </x:c>
      <x:c r="N39" s="82" t="str">
        <x:v>偏湿</x:v>
      </x:c>
      <x:c r="O39" s="68" t="str">
        <x:v>湿土储湿、滞气</x:v>
      </x:c>
      <x:c r="P39" s="68" t="str">
        <x:v>火/木</x:v>
      </x:c>
      <x:c r="Q39" s="68" t="str">
        <x:v>暖土疏湿</x:v>
      </x:c>
      <x:c r="R39" s="82" t="str">
        <x:v>待定</x:v>
      </x:c>
      <x:c r="S39" s="82" t="str">
        <x:v>待定</x:v>
      </x:c>
      <x:c r="T39" s="82" t="str">
        <x:v>待定</x:v>
      </x:c>
      <x:c r="U39" s="82" t="str">
        <x:v>待定</x:v>
      </x:c>
      <x:c r="V39" s="82" t="str">
        <x:v>待定</x:v>
      </x:c>
      <x:c r="W39" s="68" t="str">
        <x:v>M02基础映射、M08五行有效旺衰、M12流通卡点已完成</x:v>
      </x:c>
      <x:c r="X39" s="68" t="str">
        <x:v>月令基准与全局有效五行均已核查</x:v>
      </x:c>
      <x:c r="Y39" s="68" t="str">
        <x:v>相关调候五行有根有源、透达且能真实改善关键气候问题</x:v>
      </x:c>
      <x:c r="Z39" s="68" t="str">
        <x:v>调候五行无根、受强制、被合绊、改性或加入后产生新的寒热燥湿问题</x:v>
      </x:c>
      <x:c r="AA39" s="90" t="str">
        <x:v>不得只凭出生月份或某一五行数量直接下最终调候结论</x:v>
      </x:c>
      <x:c r="AB39" s="68" t="str">
        <x:v>特殊格局、核心格局用神或更高优先级病药约束转M16—M18裁决</x:v>
      </x:c>
      <x:c r="AC39" s="84" t="str">
        <x:v>辰丑湿土</x:v>
      </x:c>
      <x:c r="AD39" s="84" t="str">
        <x:v>辰丑湿土成势属于增湿的重要证据：温度轴判“待定”，湿度轴判“偏湿”；调候候选为“火/木”，是否成为最终用神仍转M16—M18。</x:v>
      </x:c>
      <x:c r="AE39" s="82" t="str">
        <x:v>较高</x:v>
      </x:c>
      <x:c r="AF39" s="82" t="str">
        <x:v>调候</x:v>
      </x:c>
      <x:c r="AG39" s="68" t="str">
        <x:v>调候以月令气候为起点，但必须结合M08五行有效力量与M12流通状态修正；寒暖与燥湿分轴判断，调候候选不自动等于全局主用神。</x:v>
      </x:c>
      <x:c r="AH39" s="68" t="str">
        <x:v>当“辰丑多现且有效，未被强火燥化”真实成立，且调候机制能改善主要气候问题时，可按“辰丑湿土成势属于增湿的重要证据”记录。</x:v>
      </x:c>
      <x:c r="AI39" s="90" t="str">
        <x:v>仅见月份或表面五行标签，但未满足“辰丑多现且有效，未被强火燥化”及必要修正条件时，不得套用“辰丑湿土成势属于增湿的重要证据”。</x:v>
      </x:c>
      <x:c r="AJ39" s="82" t="str">
        <x:v>采用</x:v>
      </x:c>
      <x:c r="AK39" s="82" t="str">
        <x:v>初审</x:v>
      </x:c>
      <x:c r="AL39" s="87" t="n">
        <x:v>46255</x:v>
      </x:c>
    </x:row>
    <x:row r="40">
      <x:c r="A40" s="72" t="str">
        <x:f>IF(OR(C40="",D40=""),"",B40&amp;"-"&amp;UPPER(C40)&amp;"-"&amp;TEXT(D40,"0000")&amp;"-"&amp;E40)</x:f>
        <x:v>M13-HUMID-0034-V1.0</x:v>
      </x:c>
      <x:c r="B40" s="74" t="str">
        <x:v>M13</x:v>
      </x:c>
      <x:c r="C40" s="74" t="str">
        <x:v>HUMID</x:v>
      </x:c>
      <x:c r="D40" s="215" t="n">
        <x:v>34</x:v>
      </x:c>
      <x:c r="E40" s="74" t="str">
        <x:v>V1.0</x:v>
      </x:c>
      <x:c r="F40" s="68" t="str">
        <x:v>未戌燥土成势属于增燥的重要证据</x:v>
      </x:c>
      <x:c r="G40" s="82" t="str">
        <x:v>结构层</x:v>
      </x:c>
      <x:c r="H40" s="82" t="str">
        <x:v>燥湿轴</x:v>
      </x:c>
      <x:c r="I40" s="68" t="str">
        <x:v>通用</x:v>
      </x:c>
      <x:c r="J40" s="68" t="str">
        <x:v>未戌多现且有效，水弱</x:v>
      </x:c>
      <x:c r="K40" s="68" t="str">
        <x:v>待定</x:v>
      </x:c>
      <x:c r="L40" s="68" t="str">
        <x:v>明显增燥</x:v>
      </x:c>
      <x:c r="M40" s="82" t="str">
        <x:v>待定</x:v>
      </x:c>
      <x:c r="N40" s="82" t="str">
        <x:v>偏燥</x:v>
      </x:c>
      <x:c r="O40" s="68" t="str">
        <x:v>土燥失润</x:v>
      </x:c>
      <x:c r="P40" s="68" t="str">
        <x:v>水</x:v>
      </x:c>
      <x:c r="Q40" s="68" t="str">
        <x:v>润燥</x:v>
      </x:c>
      <x:c r="R40" s="82" t="str">
        <x:v>待定</x:v>
      </x:c>
      <x:c r="S40" s="82" t="str">
        <x:v>待定</x:v>
      </x:c>
      <x:c r="T40" s="82" t="str">
        <x:v>待定</x:v>
      </x:c>
      <x:c r="U40" s="82" t="str">
        <x:v>待定</x:v>
      </x:c>
      <x:c r="V40" s="82" t="str">
        <x:v>待定</x:v>
      </x:c>
      <x:c r="W40" s="68" t="str">
        <x:v>M02基础映射、M08五行有效旺衰、M12流通卡点已完成</x:v>
      </x:c>
      <x:c r="X40" s="68" t="str">
        <x:v>月令基准与全局有效五行均已核查</x:v>
      </x:c>
      <x:c r="Y40" s="68" t="str">
        <x:v>相关调候五行有根有源、透达且能真实改善关键气候问题</x:v>
      </x:c>
      <x:c r="Z40" s="68" t="str">
        <x:v>调候五行无根、受强制、被合绊、改性或加入后产生新的寒热燥湿问题</x:v>
      </x:c>
      <x:c r="AA40" s="90" t="str">
        <x:v>不得只凭出生月份或某一五行数量直接下最终调候结论</x:v>
      </x:c>
      <x:c r="AB40" s="68" t="str">
        <x:v>特殊格局、核心格局用神或更高优先级病药约束转M16—M18裁决</x:v>
      </x:c>
      <x:c r="AC40" s="84" t="str">
        <x:v>未戌燥土</x:v>
      </x:c>
      <x:c r="AD40" s="84" t="str">
        <x:v>未戌燥土成势属于增燥的重要证据：温度轴判“待定”，湿度轴判“偏燥”；调候候选为“水”，是否成为最终用神仍转M16—M18。</x:v>
      </x:c>
      <x:c r="AE40" s="82" t="str">
        <x:v>较高</x:v>
      </x:c>
      <x:c r="AF40" s="82" t="str">
        <x:v>调候</x:v>
      </x:c>
      <x:c r="AG40" s="68" t="str">
        <x:v>调候以月令气候为起点，但必须结合M08五行有效力量与M12流通状态修正；寒暖与燥湿分轴判断，调候候选不自动等于全局主用神。</x:v>
      </x:c>
      <x:c r="AH40" s="68" t="str">
        <x:v>当“未戌多现且有效，水弱”真实成立，且调候机制能改善主要气候问题时，可按“未戌燥土成势属于增燥的重要证据”记录。</x:v>
      </x:c>
      <x:c r="AI40" s="90" t="str">
        <x:v>仅见月份或表面五行标签，但未满足“未戌多现且有效，水弱”及必要修正条件时，不得套用“未戌燥土成势属于增燥的重要证据”。</x:v>
      </x:c>
      <x:c r="AJ40" s="82" t="str">
        <x:v>采用</x:v>
      </x:c>
      <x:c r="AK40" s="82" t="str">
        <x:v>初审</x:v>
      </x:c>
      <x:c r="AL40" s="87" t="n">
        <x:v>46255</x:v>
      </x:c>
    </x:row>
    <x:row r="41">
      <x:c r="A41" s="72" t="str">
        <x:f>IF(OR(C41="",D41=""),"",B41&amp;"-"&amp;UPPER(C41)&amp;"-"&amp;TEXT(D41,"0000")&amp;"-"&amp;E41)</x:f>
        <x:v>M13-HUMID-0035-V1.0</x:v>
      </x:c>
      <x:c r="B41" s="74" t="str">
        <x:v>M13</x:v>
      </x:c>
      <x:c r="C41" s="74" t="str">
        <x:v>HUMID</x:v>
      </x:c>
      <x:c r="D41" s="215" t="n">
        <x:v>35</x:v>
      </x:c>
      <x:c r="E41" s="74" t="str">
        <x:v>V1.0</x:v>
      </x:c>
      <x:c r="F41" s="68" t="str">
        <x:v>强火会蒸耗水分并提高燥度</x:v>
      </x:c>
      <x:c r="G41" s="82" t="str">
        <x:v>结构层</x:v>
      </x:c>
      <x:c r="H41" s="82" t="str">
        <x:v>燥湿轴</x:v>
      </x:c>
      <x:c r="I41" s="68" t="str">
        <x:v>通用</x:v>
      </x:c>
      <x:c r="J41" s="68" t="str">
        <x:v>火旺极旺且水弱、湿土少</x:v>
      </x:c>
      <x:c r="K41" s="68" t="str">
        <x:v>待定</x:v>
      </x:c>
      <x:c r="L41" s="68" t="str">
        <x:v>明显增燥</x:v>
      </x:c>
      <x:c r="M41" s="82" t="str">
        <x:v>待定</x:v>
      </x:c>
      <x:c r="N41" s="82" t="str">
        <x:v>偏燥</x:v>
      </x:c>
      <x:c r="O41" s="68" t="str">
        <x:v>火旺耗津，生化偏枯</x:v>
      </x:c>
      <x:c r="P41" s="68" t="str">
        <x:v>水</x:v>
      </x:c>
      <x:c r="Q41" s="68" t="str">
        <x:v>润燥制火</x:v>
      </x:c>
      <x:c r="R41" s="82" t="str">
        <x:v>待定</x:v>
      </x:c>
      <x:c r="S41" s="82" t="str">
        <x:v>待定</x:v>
      </x:c>
      <x:c r="T41" s="82" t="str">
        <x:v>待定</x:v>
      </x:c>
      <x:c r="U41" s="82" t="str">
        <x:v>待定</x:v>
      </x:c>
      <x:c r="V41" s="82" t="str">
        <x:v>待定</x:v>
      </x:c>
      <x:c r="W41" s="68" t="str">
        <x:v>M02基础映射、M08五行有效旺衰、M12流通卡点已完成</x:v>
      </x:c>
      <x:c r="X41" s="68" t="str">
        <x:v>月令基准与全局有效五行均已核查</x:v>
      </x:c>
      <x:c r="Y41" s="68" t="str">
        <x:v>相关调候五行有根有源、透达且能真实改善关键气候问题</x:v>
      </x:c>
      <x:c r="Z41" s="68" t="str">
        <x:v>调候五行无根、受强制、被合绊、改性或加入后产生新的寒热燥湿问题</x:v>
      </x:c>
      <x:c r="AA41" s="90" t="str">
        <x:v>不得只凭出生月份或某一五行数量直接下最终调候结论</x:v>
      </x:c>
      <x:c r="AB41" s="68" t="str">
        <x:v>特殊格局、核心格局用神或更高优先级病药约束转M16—M18裁决</x:v>
      </x:c>
      <x:c r="AC41" s="84" t="str">
        <x:v>强火增燥</x:v>
      </x:c>
      <x:c r="AD41" s="84" t="str">
        <x:v>强火会蒸耗水分并提高燥度：温度轴判“待定”，湿度轴判“偏燥”；调候候选为“水”，是否成为最终用神仍转M16—M18。</x:v>
      </x:c>
      <x:c r="AE41" s="82" t="str">
        <x:v>较高</x:v>
      </x:c>
      <x:c r="AF41" s="82" t="str">
        <x:v>调候</x:v>
      </x:c>
      <x:c r="AG41" s="68" t="str">
        <x:v>调候以月令气候为起点，但必须结合M08五行有效力量与M12流通状态修正；寒暖与燥湿分轴判断，调候候选不自动等于全局主用神。</x:v>
      </x:c>
      <x:c r="AH41" s="68" t="str">
        <x:v>当“火旺极旺且水弱、湿土少”真实成立，且调候机制能改善主要气候问题时，可按“强火会蒸耗水分并提高燥度”记录。</x:v>
      </x:c>
      <x:c r="AI41" s="90" t="str">
        <x:v>仅见月份或表面五行标签，但未满足“火旺极旺且水弱、湿土少”及必要修正条件时，不得套用“强火会蒸耗水分并提高燥度”。</x:v>
      </x:c>
      <x:c r="AJ41" s="82" t="str">
        <x:v>采用</x:v>
      </x:c>
      <x:c r="AK41" s="82" t="str">
        <x:v>初审</x:v>
      </x:c>
      <x:c r="AL41" s="87" t="n">
        <x:v>46255</x:v>
      </x:c>
    </x:row>
    <x:row r="42">
      <x:c r="A42" s="72" t="str">
        <x:f>IF(OR(C42="",D42=""),"",B42&amp;"-"&amp;UPPER(C42)&amp;"-"&amp;TEXT(D42,"0000")&amp;"-"&amp;E42)</x:f>
        <x:v>M13-HUMID-0036-V1.0</x:v>
      </x:c>
      <x:c r="B42" s="74" t="str">
        <x:v>M13</x:v>
      </x:c>
      <x:c r="C42" s="74" t="str">
        <x:v>HUMID</x:v>
      </x:c>
      <x:c r="D42" s="215" t="n">
        <x:v>36</x:v>
      </x:c>
      <x:c r="E42" s="74" t="str">
        <x:v>V1.0</x:v>
      </x:c>
      <x:c r="F42" s="68" t="str">
        <x:v>有效水可缓解燥局但过量会转为湿病</x:v>
      </x:c>
      <x:c r="G42" s="82" t="str">
        <x:v>结构层</x:v>
      </x:c>
      <x:c r="H42" s="82" t="str">
        <x:v>燥湿轴</x:v>
      </x:c>
      <x:c r="I42" s="68" t="str">
        <x:v>通用</x:v>
      </x:c>
      <x:c r="J42" s="68" t="str">
        <x:v>原局偏燥，水能真实进入关键节点</x:v>
      </x:c>
      <x:c r="K42" s="68" t="str">
        <x:v>待定</x:v>
      </x:c>
      <x:c r="L42" s="68" t="str">
        <x:v>向平衡修正</x:v>
      </x:c>
      <x:c r="M42" s="82" t="str">
        <x:v>待定</x:v>
      </x:c>
      <x:c r="N42" s="82" t="str">
        <x:v>平衡</x:v>
      </x:c>
      <x:c r="O42" s="68" t="str">
        <x:v>润燥有效但需控制水量</x:v>
      </x:c>
      <x:c r="P42" s="68" t="str">
        <x:v>水</x:v>
      </x:c>
      <x:c r="Q42" s="68" t="str">
        <x:v>润燥</x:v>
      </x:c>
      <x:c r="R42" s="82" t="str">
        <x:v>条件性</x:v>
      </x:c>
      <x:c r="S42" s="82" t="str">
        <x:v>有效</x:v>
      </x:c>
      <x:c r="T42" s="82" t="str">
        <x:v>待定</x:v>
      </x:c>
      <x:c r="U42" s="82" t="str">
        <x:v>待定</x:v>
      </x:c>
      <x:c r="V42" s="82" t="str">
        <x:v>待定</x:v>
      </x:c>
      <x:c r="W42" s="68" t="str">
        <x:v>M02基础映射、M08五行有效旺衰、M12流通卡点已完成</x:v>
      </x:c>
      <x:c r="X42" s="68" t="str">
        <x:v>月令基准与全局有效五行均已核查</x:v>
      </x:c>
      <x:c r="Y42" s="68" t="str">
        <x:v>相关调候五行有根有源、透达且能真实改善关键气候问题</x:v>
      </x:c>
      <x:c r="Z42" s="68" t="str">
        <x:v>调候五行无根、受强制、被合绊、改性或加入后产生新的寒热燥湿问题</x:v>
      </x:c>
      <x:c r="AA42" s="90" t="str">
        <x:v>不得只凭出生月份或某一五行数量直接下最终调候结论</x:v>
      </x:c>
      <x:c r="AB42" s="68" t="str">
        <x:v>特殊格局、核心格局用神或更高优先级病药约束转M16—M18裁决</x:v>
      </x:c>
      <x:c r="AC42" s="84" t="str">
        <x:v>水润燥适量</x:v>
      </x:c>
      <x:c r="AD42" s="84" t="str">
        <x:v>有效水可缓解燥局但过量会转为湿病：温度轴判“待定”，湿度轴判“平衡”；调候候选为“水”，是否成为最终用神仍转M16—M18。</x:v>
      </x:c>
      <x:c r="AE42" s="82" t="str">
        <x:v>较高</x:v>
      </x:c>
      <x:c r="AF42" s="82" t="str">
        <x:v>调候</x:v>
      </x:c>
      <x:c r="AG42" s="68" t="str">
        <x:v>调候以月令气候为起点，但必须结合M08五行有效力量与M12流通状态修正；寒暖与燥湿分轴判断，调候候选不自动等于全局主用神。</x:v>
      </x:c>
      <x:c r="AH42" s="68" t="str">
        <x:v>当“原局偏燥，水能真实进入关键节点”真实成立，且调候机制能改善主要气候问题时，可按“有效水可缓解燥局但过量会转为湿病”记录。</x:v>
      </x:c>
      <x:c r="AI42" s="90" t="str">
        <x:v>仅见月份或表面五行标签，但未满足“原局偏燥，水能真实进入关键节点”及必要修正条件时，不得套用“有效水可缓解燥局但过量会转为湿病”。</x:v>
      </x:c>
      <x:c r="AJ42" s="82" t="str">
        <x:v>采用</x:v>
      </x:c>
      <x:c r="AK42" s="82" t="str">
        <x:v>初审</x:v>
      </x:c>
      <x:c r="AL42" s="87" t="n">
        <x:v>46255</x:v>
      </x:c>
    </x:row>
    <x:row r="43">
      <x:c r="A43" s="72" t="str">
        <x:f>IF(OR(C43="",D43=""),"",B43&amp;"-"&amp;UPPER(C43)&amp;"-"&amp;TEXT(D43,"0000")&amp;"-"&amp;E43)</x:f>
        <x:v>M13-HUMID-0037-V1.0</x:v>
      </x:c>
      <x:c r="B43" s="74" t="str">
        <x:v>M13</x:v>
      </x:c>
      <x:c r="C43" s="74" t="str">
        <x:v>HUMID</x:v>
      </x:c>
      <x:c r="D43" s="215" t="n">
        <x:v>37</x:v>
      </x:c>
      <x:c r="E43" s="74" t="str">
        <x:v>V1.0</x:v>
      </x:c>
      <x:c r="F43" s="68" t="str">
        <x:v>有效火可化湿但过量会由湿转燥</x:v>
      </x:c>
      <x:c r="G43" s="82" t="str">
        <x:v>结构层</x:v>
      </x:c>
      <x:c r="H43" s="82" t="str">
        <x:v>燥湿轴</x:v>
      </x:c>
      <x:c r="I43" s="68" t="str">
        <x:v>通用</x:v>
      </x:c>
      <x:c r="J43" s="68" t="str">
        <x:v>原局偏湿，火有根有源并能暖土化湿</x:v>
      </x:c>
      <x:c r="K43" s="68" t="str">
        <x:v>待定</x:v>
      </x:c>
      <x:c r="L43" s="68" t="str">
        <x:v>向平衡修正</x:v>
      </x:c>
      <x:c r="M43" s="82" t="str">
        <x:v>待定</x:v>
      </x:c>
      <x:c r="N43" s="82" t="str">
        <x:v>平衡</x:v>
      </x:c>
      <x:c r="O43" s="68" t="str">
        <x:v>化湿有效但需防过燥</x:v>
      </x:c>
      <x:c r="P43" s="68" t="str">
        <x:v>火</x:v>
      </x:c>
      <x:c r="Q43" s="68" t="str">
        <x:v>暖燥化湿</x:v>
      </x:c>
      <x:c r="R43" s="82" t="str">
        <x:v>条件性</x:v>
      </x:c>
      <x:c r="S43" s="82" t="str">
        <x:v>有效</x:v>
      </x:c>
      <x:c r="T43" s="82" t="str">
        <x:v>待定</x:v>
      </x:c>
      <x:c r="U43" s="82" t="str">
        <x:v>待定</x:v>
      </x:c>
      <x:c r="V43" s="82" t="str">
        <x:v>待定</x:v>
      </x:c>
      <x:c r="W43" s="68" t="str">
        <x:v>M02基础映射、M08五行有效旺衰、M12流通卡点已完成</x:v>
      </x:c>
      <x:c r="X43" s="68" t="str">
        <x:v>月令基准与全局有效五行均已核查</x:v>
      </x:c>
      <x:c r="Y43" s="68" t="str">
        <x:v>相关调候五行有根有源、透达且能真实改善关键气候问题</x:v>
      </x:c>
      <x:c r="Z43" s="68" t="str">
        <x:v>调候五行无根、受强制、被合绊、改性或加入后产生新的寒热燥湿问题</x:v>
      </x:c>
      <x:c r="AA43" s="90" t="str">
        <x:v>不得只凭出生月份或某一五行数量直接下最终调候结论</x:v>
      </x:c>
      <x:c r="AB43" s="68" t="str">
        <x:v>特殊格局、核心格局用神或更高优先级病药约束转M16—M18裁决</x:v>
      </x:c>
      <x:c r="AC43" s="84" t="str">
        <x:v>火化湿适量</x:v>
      </x:c>
      <x:c r="AD43" s="84" t="str">
        <x:v>有效火可化湿但过量会由湿转燥：温度轴判“待定”，湿度轴判“平衡”；调候候选为“火”，是否成为最终用神仍转M16—M18。</x:v>
      </x:c>
      <x:c r="AE43" s="82" t="str">
        <x:v>较高</x:v>
      </x:c>
      <x:c r="AF43" s="82" t="str">
        <x:v>调候</x:v>
      </x:c>
      <x:c r="AG43" s="68" t="str">
        <x:v>调候以月令气候为起点，但必须结合M08五行有效力量与M12流通状态修正；寒暖与燥湿分轴判断，调候候选不自动等于全局主用神。</x:v>
      </x:c>
      <x:c r="AH43" s="68" t="str">
        <x:v>当“原局偏湿，火有根有源并能暖土化湿”真实成立，且调候机制能改善主要气候问题时，可按“有效火可化湿但过量会由湿转燥”记录。</x:v>
      </x:c>
      <x:c r="AI43" s="90" t="str">
        <x:v>仅见月份或表面五行标签，但未满足“原局偏湿，火有根有源并能暖土化湿”及必要修正条件时，不得套用“有效火可化湿但过量会由湿转燥”。</x:v>
      </x:c>
      <x:c r="AJ43" s="82" t="str">
        <x:v>采用</x:v>
      </x:c>
      <x:c r="AK43" s="82" t="str">
        <x:v>初审</x:v>
      </x:c>
      <x:c r="AL43" s="87" t="n">
        <x:v>46255</x:v>
      </x:c>
    </x:row>
    <x:row r="44">
      <x:c r="A44" s="72" t="str">
        <x:f>IF(OR(C44="",D44=""),"",B44&amp;"-"&amp;UPPER(C44)&amp;"-"&amp;TEXT(D44,"0000")&amp;"-"&amp;E44)</x:f>
        <x:v>M13-HUMID-0038-V1.0</x:v>
      </x:c>
      <x:c r="B44" s="74" t="str">
        <x:v>M13</x:v>
      </x:c>
      <x:c r="C44" s="74" t="str">
        <x:v>HUMID</x:v>
      </x:c>
      <x:c r="D44" s="215" t="n">
        <x:v>38</x:v>
      </x:c>
      <x:c r="E44" s="74" t="str">
        <x:v>V1.0</x:v>
      </x:c>
      <x:c r="F44" s="68" t="str">
        <x:v>木可疏湿土但必须自身有生发条件</x:v>
      </x:c>
      <x:c r="G44" s="82" t="str">
        <x:v>结构层</x:v>
      </x:c>
      <x:c r="H44" s="82" t="str">
        <x:v>燥湿轴</x:v>
      </x:c>
      <x:c r="I44" s="68" t="str">
        <x:v>通用</x:v>
      </x:c>
      <x:c r="J44" s="68" t="str">
        <x:v>湿土壅滞，木有效且未被金强制或寒凝</x:v>
      </x:c>
      <x:c r="K44" s="68" t="str">
        <x:v>待定</x:v>
      </x:c>
      <x:c r="L44" s="68" t="str">
        <x:v>降低湿滞</x:v>
      </x:c>
      <x:c r="M44" s="82" t="str">
        <x:v>待定</x:v>
      </x:c>
      <x:c r="N44" s="82" t="str">
        <x:v>待定</x:v>
      </x:c>
      <x:c r="O44" s="68" t="str">
        <x:v>土湿壅滞可由木疏泄</x:v>
      </x:c>
      <x:c r="P44" s="68" t="str">
        <x:v>木</x:v>
      </x:c>
      <x:c r="Q44" s="68" t="str">
        <x:v>疏土导湿</x:v>
      </x:c>
      <x:c r="R44" s="82" t="str">
        <x:v>条件性</x:v>
      </x:c>
      <x:c r="S44" s="82" t="str">
        <x:v>有效</x:v>
      </x:c>
      <x:c r="T44" s="82" t="str">
        <x:v>待定</x:v>
      </x:c>
      <x:c r="U44" s="82" t="str">
        <x:v>待定</x:v>
      </x:c>
      <x:c r="V44" s="82" t="str">
        <x:v>待定</x:v>
      </x:c>
      <x:c r="W44" s="68" t="str">
        <x:v>M02基础映射、M08五行有效旺衰、M12流通卡点已完成</x:v>
      </x:c>
      <x:c r="X44" s="68" t="str">
        <x:v>月令基准与全局有效五行均已核查</x:v>
      </x:c>
      <x:c r="Y44" s="68" t="str">
        <x:v>相关调候五行有根有源、透达且能真实改善关键气候问题</x:v>
      </x:c>
      <x:c r="Z44" s="68" t="str">
        <x:v>调候五行无根、受强制、被合绊、改性或加入后产生新的寒热燥湿问题</x:v>
      </x:c>
      <x:c r="AA44" s="90" t="str">
        <x:v>不得只凭出生月份或某一五行数量直接下最终调候结论</x:v>
      </x:c>
      <x:c r="AB44" s="68" t="str">
        <x:v>特殊格局、核心格局用神或更高优先级病药约束转M16—M18裁决</x:v>
      </x:c>
      <x:c r="AC44" s="84" t="str">
        <x:v>木疏湿土</x:v>
      </x:c>
      <x:c r="AD44" s="84" t="str">
        <x:v>木可疏湿土但必须自身有生发条件：温度轴判“待定”，湿度轴判“待定”；调候候选为“木”，是否成为最终用神仍转M16—M18。</x:v>
      </x:c>
      <x:c r="AE44" s="82" t="str">
        <x:v>较高</x:v>
      </x:c>
      <x:c r="AF44" s="82" t="str">
        <x:v>调候</x:v>
      </x:c>
      <x:c r="AG44" s="68" t="str">
        <x:v>调候以月令气候为起点，但必须结合M08五行有效力量与M12流通状态修正；寒暖与燥湿分轴判断，调候候选不自动等于全局主用神。</x:v>
      </x:c>
      <x:c r="AH44" s="68" t="str">
        <x:v>当“湿土壅滞，木有效且未被金强制或寒凝”真实成立，且调候机制能改善主要气候问题时，可按“木可疏湿土但必须自身有生发条件”记录。</x:v>
      </x:c>
      <x:c r="AI44" s="90" t="str">
        <x:v>仅见月份或表面五行标签，但未满足“湿土壅滞，木有效且未被金强制或寒凝”及必要修正条件时，不得套用“木可疏湿土但必须自身有生发条件”。</x:v>
      </x:c>
      <x:c r="AJ44" s="82" t="str">
        <x:v>采用</x:v>
      </x:c>
      <x:c r="AK44" s="82" t="str">
        <x:v>初审</x:v>
      </x:c>
      <x:c r="AL44" s="87" t="n">
        <x:v>46255</x:v>
      </x:c>
    </x:row>
    <x:row r="45">
      <x:c r="A45" s="72" t="str">
        <x:f>IF(OR(C45="",D45=""),"",B45&amp;"-"&amp;UPPER(C45)&amp;"-"&amp;TEXT(D45,"0000")&amp;"-"&amp;E45)</x:f>
        <x:v>M13-HUMID-0039-V1.0</x:v>
      </x:c>
      <x:c r="B45" s="74" t="str">
        <x:v>M13</x:v>
      </x:c>
      <x:c r="C45" s="74" t="str">
        <x:v>HUMID</x:v>
      </x:c>
      <x:c r="D45" s="215" t="n">
        <x:v>39</x:v>
      </x:c>
      <x:c r="E45" s="74" t="str">
        <x:v>V1.0</x:v>
      </x:c>
      <x:c r="F45" s="68" t="str">
        <x:v>燥湿平衡必须排除局部湿库或燥土集团</x:v>
      </x:c>
      <x:c r="G45" s="82" t="str">
        <x:v>结构层</x:v>
      </x:c>
      <x:c r="H45" s="82" t="str">
        <x:v>燥湿轴</x:v>
      </x:c>
      <x:c r="I45" s="68" t="str">
        <x:v>通用</x:v>
      </x:c>
      <x:c r="J45" s="68" t="str">
        <x:v>全局水火土性相对协调，未出现湿土或燥土成势阻断</x:v>
      </x:c>
      <x:c r="K45" s="68" t="str">
        <x:v>待定</x:v>
      </x:c>
      <x:c r="L45" s="68" t="str">
        <x:v>待定</x:v>
      </x:c>
      <x:c r="M45" s="82" t="str">
        <x:v>待定</x:v>
      </x:c>
      <x:c r="N45" s="82" t="str">
        <x:v>平衡</x:v>
      </x:c>
      <x:c r="O45" s="68" t="str">
        <x:v>无明显湿度病</x:v>
      </x:c>
      <x:c r="P45" s="68" t="str">
        <x:v>待定</x:v>
      </x:c>
      <x:c r="Q45" s="68" t="str">
        <x:v>通常不需以润燥化湿为首要</x:v>
      </x:c>
      <x:c r="R45" s="82" t="str">
        <x:v>待定</x:v>
      </x:c>
      <x:c r="S45" s="82" t="str">
        <x:v>待定</x:v>
      </x:c>
      <x:c r="T45" s="82" t="str">
        <x:v>低</x:v>
      </x:c>
      <x:c r="U45" s="82" t="str">
        <x:v>待定</x:v>
      </x:c>
      <x:c r="V45" s="82" t="str">
        <x:v>待定</x:v>
      </x:c>
      <x:c r="W45" s="68" t="str">
        <x:v>M02基础映射、M08五行有效旺衰、M12流通卡点已完成</x:v>
      </x:c>
      <x:c r="X45" s="68" t="str">
        <x:v>月令基准与全局有效五行均已核查</x:v>
      </x:c>
      <x:c r="Y45" s="68" t="str">
        <x:v>相关调候五行有根有源、透达且能真实改善关键气候问题</x:v>
      </x:c>
      <x:c r="Z45" s="68" t="str">
        <x:v>调候五行无根、受强制、被合绊、改性或加入后产生新的寒热燥湿问题</x:v>
      </x:c>
      <x:c r="AA45" s="90" t="str">
        <x:v>不得只凭出生月份或某一五行数量直接下最终调候结论</x:v>
      </x:c>
      <x:c r="AB45" s="68" t="str">
        <x:v>特殊格局、核心格局用神或更高优先级病药约束转M16—M18裁决</x:v>
      </x:c>
      <x:c r="AC45" s="84" t="str">
        <x:v>燥湿平衡</x:v>
      </x:c>
      <x:c r="AD45" s="84" t="str">
        <x:v>燥湿平衡必须排除局部湿库或燥土集团：温度轴判“待定”，湿度轴判“平衡”；调候候选为“待定”，是否成为最终用神仍转M16—M18。</x:v>
      </x:c>
      <x:c r="AE45" s="82" t="str">
        <x:v>较高</x:v>
      </x:c>
      <x:c r="AF45" s="82" t="str">
        <x:v>调候</x:v>
      </x:c>
      <x:c r="AG45" s="68" t="str">
        <x:v>调候以月令气候为起点，但必须结合M08五行有效力量与M12流通状态修正；寒暖与燥湿分轴判断，调候候选不自动等于全局主用神。</x:v>
      </x:c>
      <x:c r="AH45" s="68" t="str">
        <x:v>当“全局水火土性相对协调，未出现湿土或燥土成势阻断”真实成立，且调候机制能改善主要气候问题时，可按“燥湿平衡必须排除局部湿库或燥土集团”记录。</x:v>
      </x:c>
      <x:c r="AI45" s="90" t="str">
        <x:v>仅见月份或表面五行标签，但未满足“全局水火土性相对协调，未出现湿土或燥土成势阻断”及必要修正条件时，不得套用“燥湿平衡必须排除局部湿库或燥土集团”。</x:v>
      </x:c>
      <x:c r="AJ45" s="82" t="str">
        <x:v>采用</x:v>
      </x:c>
      <x:c r="AK45" s="82" t="str">
        <x:v>初审</x:v>
      </x:c>
      <x:c r="AL45" s="87" t="n">
        <x:v>46255</x:v>
      </x:c>
    </x:row>
    <x:row r="46">
      <x:c r="A46" s="72" t="str">
        <x:f>IF(OR(C46="",D46=""),"",B46&amp;"-"&amp;UPPER(C46)&amp;"-"&amp;TEXT(D46,"0000")&amp;"-"&amp;E46)</x:f>
        <x:v>M13-HUMID-0040-V1.0</x:v>
      </x:c>
      <x:c r="B46" s="74" t="str">
        <x:v>M13</x:v>
      </x:c>
      <x:c r="C46" s="74" t="str">
        <x:v>HUMID</x:v>
      </x:c>
      <x:c r="D46" s="215" t="n">
        <x:v>40</x:v>
      </x:c>
      <x:c r="E46" s="74" t="str">
        <x:v>V1.0</x:v>
      </x:c>
      <x:c r="F46" s="68" t="str">
        <x:v>极湿极燥只有影响流通时才提高紧急度</x:v>
      </x:c>
      <x:c r="G46" s="82" t="str">
        <x:v>结构层</x:v>
      </x:c>
      <x:c r="H46" s="82" t="str">
        <x:v>燥湿轴</x:v>
      </x:c>
      <x:c r="I46" s="68" t="str">
        <x:v>通用</x:v>
      </x:c>
      <x:c r="J46" s="68" t="str">
        <x:v>极湿或极燥造成M12寒凝、燥枯、桥梁失效或终点不能承载</x:v>
      </x:c>
      <x:c r="K46" s="68" t="str">
        <x:v>待定</x:v>
      </x:c>
      <x:c r="L46" s="68" t="str">
        <x:v>待定</x:v>
      </x:c>
      <x:c r="M46" s="82" t="str">
        <x:v>待定</x:v>
      </x:c>
      <x:c r="N46" s="82" t="str">
        <x:v>待定</x:v>
      </x:c>
      <x:c r="O46" s="68" t="str">
        <x:v>湿度极端已转化为功能障碍</x:v>
      </x:c>
      <x:c r="P46" s="68" t="str">
        <x:v>火/水/木</x:v>
      </x:c>
      <x:c r="Q46" s="68" t="str">
        <x:v>针对性暖湿、润燥或疏湿</x:v>
      </x:c>
      <x:c r="R46" s="82" t="str">
        <x:v>待定</x:v>
      </x:c>
      <x:c r="S46" s="82" t="str">
        <x:v>待定</x:v>
      </x:c>
      <x:c r="T46" s="82" t="str">
        <x:v>首要</x:v>
      </x:c>
      <x:c r="U46" s="82" t="str">
        <x:v>待定</x:v>
      </x:c>
      <x:c r="V46" s="82" t="str">
        <x:v>待定</x:v>
      </x:c>
      <x:c r="W46" s="68" t="str">
        <x:v>M02基础映射、M08五行有效旺衰、M12流通卡点已完成</x:v>
      </x:c>
      <x:c r="X46" s="68" t="str">
        <x:v>月令基准与全局有效五行均已核查</x:v>
      </x:c>
      <x:c r="Y46" s="68" t="str">
        <x:v>相关调候五行有根有源、透达且能真实改善关键气候问题</x:v>
      </x:c>
      <x:c r="Z46" s="68" t="str">
        <x:v>调候五行无根、受强制、被合绊、改性或加入后产生新的寒热燥湿问题</x:v>
      </x:c>
      <x:c r="AA46" s="90" t="str">
        <x:v>不得只凭出生月份或某一五行数量直接下最终调候结论</x:v>
      </x:c>
      <x:c r="AB46" s="68" t="str">
        <x:v>特殊格局、核心格局用神或更高优先级病药约束转M16—M18裁决</x:v>
      </x:c>
      <x:c r="AC46" s="84" t="str">
        <x:v>湿度极端功能化</x:v>
      </x:c>
      <x:c r="AD46" s="84" t="str">
        <x:v>极湿极燥只有影响流通时才提高紧急度：温度轴判“待定”，湿度轴判“待定”；调候候选为“火/水/木”，是否成为最终用神仍转M16—M18。</x:v>
      </x:c>
      <x:c r="AE46" s="82" t="str">
        <x:v>较高</x:v>
      </x:c>
      <x:c r="AF46" s="82" t="str">
        <x:v>调候</x:v>
      </x:c>
      <x:c r="AG46" s="68" t="str">
        <x:v>调候以月令气候为起点，但必须结合M08五行有效力量与M12流通状态修正；寒暖与燥湿分轴判断，调候候选不自动等于全局主用神。</x:v>
      </x:c>
      <x:c r="AH46" s="68" t="str">
        <x:v>当“极湿或极燥造成M12寒凝、燥枯、桥梁失效或终点不能承载”真实成立，且调候机制能改善主要气候问题时，可按“极湿极燥只有影响流通时才提高紧急度”记录。</x:v>
      </x:c>
      <x:c r="AI46" s="90" t="str">
        <x:v>仅见月份或表面五行标签，但未满足“极湿或极燥造成M12寒凝、燥枯、桥梁失效或终点不能承载”及必要修正条件时，不得套用“极湿极燥只有影响流通时才提高紧急度”。</x:v>
      </x:c>
      <x:c r="AJ46" s="82" t="str">
        <x:v>采用</x:v>
      </x:c>
      <x:c r="AK46" s="82" t="str">
        <x:v>初审</x:v>
      </x:c>
      <x:c r="AL46" s="87" t="n">
        <x:v>46255</x:v>
      </x:c>
    </x:row>
    <x:row r="47">
      <x:c r="A47" s="72" t="str">
        <x:f>IF(OR(C47="",D47=""),"",B47&amp;"-"&amp;UPPER(C47)&amp;"-"&amp;TEXT(D47,"0000")&amp;"-"&amp;E47)</x:f>
        <x:v>M13-COMBO-0041-V1.0</x:v>
      </x:c>
      <x:c r="B47" s="74" t="str">
        <x:v>M13</x:v>
      </x:c>
      <x:c r="C47" s="74" t="str">
        <x:v>COMBO</x:v>
      </x:c>
      <x:c r="D47" s="215" t="n">
        <x:v>41</x:v>
      </x:c>
      <x:c r="E47" s="74" t="str">
        <x:v>V1.0</x:v>
      </x:c>
      <x:c r="F47" s="68" t="str">
        <x:v>寒湿状态识别</x:v>
      </x:c>
      <x:c r="G47" s="82" t="str">
        <x:v>结构层</x:v>
      </x:c>
      <x:c r="H47" s="82" t="str">
        <x:v>寒暖燥湿综合</x:v>
      </x:c>
      <x:c r="I47" s="68" t="str">
        <x:v>通用</x:v>
      </x:c>
      <x:c r="J47" s="68" t="str">
        <x:v>温度轴=偏寒且湿度轴=偏湿</x:v>
      </x:c>
      <x:c r="K47" s="68" t="str">
        <x:v>待定</x:v>
      </x:c>
      <x:c r="L47" s="68" t="str">
        <x:v>待定</x:v>
      </x:c>
      <x:c r="M47" s="82" t="str">
        <x:v>偏寒</x:v>
      </x:c>
      <x:c r="N47" s="82" t="str">
        <x:v>偏湿</x:v>
      </x:c>
      <x:c r="O47" s="68" t="str">
        <x:v>寒与湿同时形成主矛盾</x:v>
      </x:c>
      <x:c r="P47" s="68" t="str">
        <x:v>火/木</x:v>
      </x:c>
      <x:c r="Q47" s="68" t="str">
        <x:v>以火暖局化湿，木辅助疏湿生火</x:v>
      </x:c>
      <x:c r="R47" s="82" t="str">
        <x:v>待定</x:v>
      </x:c>
      <x:c r="S47" s="82" t="str">
        <x:v>待定</x:v>
      </x:c>
      <x:c r="T47" s="82" t="str">
        <x:v>中</x:v>
      </x:c>
      <x:c r="U47" s="82" t="str">
        <x:v>待定</x:v>
      </x:c>
      <x:c r="V47" s="82" t="str">
        <x:v>待定</x:v>
      </x:c>
      <x:c r="W47" s="68" t="str">
        <x:v>M02基础映射、M08五行有效旺衰、M12流通卡点已完成</x:v>
      </x:c>
      <x:c r="X47" s="68" t="str">
        <x:v>月令基准与全局有效五行均已核查</x:v>
      </x:c>
      <x:c r="Y47" s="68" t="str">
        <x:v>相关调候五行有根有源、透达且能真实改善关键气候问题</x:v>
      </x:c>
      <x:c r="Z47" s="68" t="str">
        <x:v>调候五行无根、受强制、被合绊、改性或加入后产生新的寒热燥湿问题</x:v>
      </x:c>
      <x:c r="AA47" s="90" t="str">
        <x:v>不得只凭出生月份或某一五行数量直接下最终调候结论</x:v>
      </x:c>
      <x:c r="AB47" s="68" t="str">
        <x:v>特殊格局、核心格局用神或更高优先级病药约束转M16—M18裁决</x:v>
      </x:c>
      <x:c r="AC47" s="84" t="str">
        <x:v>寒湿_双轴状态</x:v>
      </x:c>
      <x:c r="AD47" s="84" t="str">
        <x:v>寒湿状态识别：温度轴判“偏寒”，湿度轴判“偏湿”；调候候选为“火/木”，是否成为最终用神仍转M16—M18。</x:v>
      </x:c>
      <x:c r="AE47" s="82" t="str">
        <x:v>较高</x:v>
      </x:c>
      <x:c r="AF47" s="82" t="str">
        <x:v>调候</x:v>
      </x:c>
      <x:c r="AG47" s="68" t="str">
        <x:v>调候以月令气候为起点，但必须结合M08五行有效力量与M12流通状态修正；寒暖与燥湿分轴判断，调候候选不自动等于全局主用神。</x:v>
      </x:c>
      <x:c r="AH47" s="68" t="str">
        <x:v>当“温度轴=偏寒且湿度轴=偏湿”真实成立，且调候机制能改善主要气候问题时，可按“寒湿状态识别”记录。</x:v>
      </x:c>
      <x:c r="AI47" s="90" t="str">
        <x:v>仅见月份或表面五行标签，但未满足“温度轴=偏寒且湿度轴=偏湿”及必要修正条件时，不得套用“寒湿状态识别”。</x:v>
      </x:c>
      <x:c r="AJ47" s="82" t="str">
        <x:v>采用</x:v>
      </x:c>
      <x:c r="AK47" s="82" t="str">
        <x:v>初审</x:v>
      </x:c>
      <x:c r="AL47" s="87" t="n">
        <x:v>46255</x:v>
      </x:c>
    </x:row>
    <x:row r="48">
      <x:c r="A48" s="72" t="str">
        <x:f>IF(OR(C48="",D48=""),"",B48&amp;"-"&amp;UPPER(C48)&amp;"-"&amp;TEXT(D48,"0000")&amp;"-"&amp;E48)</x:f>
        <x:v>M13-COMBO-0042-V1.0</x:v>
      </x:c>
      <x:c r="B48" s="74" t="str">
        <x:v>M13</x:v>
      </x:c>
      <x:c r="C48" s="74" t="str">
        <x:v>COMBO</x:v>
      </x:c>
      <x:c r="D48" s="215" t="n">
        <x:v>42</x:v>
      </x:c>
      <x:c r="E48" s="74" t="str">
        <x:v>V1.0</x:v>
      </x:c>
      <x:c r="F48" s="68" t="str">
        <x:v>寒燥状态识别</x:v>
      </x:c>
      <x:c r="G48" s="82" t="str">
        <x:v>结构层</x:v>
      </x:c>
      <x:c r="H48" s="82" t="str">
        <x:v>寒暖燥湿综合</x:v>
      </x:c>
      <x:c r="I48" s="68" t="str">
        <x:v>通用</x:v>
      </x:c>
      <x:c r="J48" s="68" t="str">
        <x:v>温度轴=偏寒且湿度轴=偏燥</x:v>
      </x:c>
      <x:c r="K48" s="68" t="str">
        <x:v>待定</x:v>
      </x:c>
      <x:c r="L48" s="68" t="str">
        <x:v>待定</x:v>
      </x:c>
      <x:c r="M48" s="82" t="str">
        <x:v>偏寒</x:v>
      </x:c>
      <x:c r="N48" s="82" t="str">
        <x:v>偏燥</x:v>
      </x:c>
      <x:c r="O48" s="68" t="str">
        <x:v>温度低但水分不足、燥性明显</x:v>
      </x:c>
      <x:c r="P48" s="68" t="str">
        <x:v>火/水</x:v>
      </x:c>
      <x:c r="Q48" s="68" t="str">
        <x:v>暖而兼润，避免单纯加火更燥</x:v>
      </x:c>
      <x:c r="R48" s="82" t="str">
        <x:v>待定</x:v>
      </x:c>
      <x:c r="S48" s="82" t="str">
        <x:v>待定</x:v>
      </x:c>
      <x:c r="T48" s="82" t="str">
        <x:v>中</x:v>
      </x:c>
      <x:c r="U48" s="82" t="str">
        <x:v>待定</x:v>
      </x:c>
      <x:c r="V48" s="82" t="str">
        <x:v>待定</x:v>
      </x:c>
      <x:c r="W48" s="68" t="str">
        <x:v>M02基础映射、M08五行有效旺衰、M12流通卡点已完成</x:v>
      </x:c>
      <x:c r="X48" s="68" t="str">
        <x:v>月令基准与全局有效五行均已核查</x:v>
      </x:c>
      <x:c r="Y48" s="68" t="str">
        <x:v>相关调候五行有根有源、透达且能真实改善关键气候问题</x:v>
      </x:c>
      <x:c r="Z48" s="68" t="str">
        <x:v>调候五行无根、受强制、被合绊、改性或加入后产生新的寒热燥湿问题</x:v>
      </x:c>
      <x:c r="AA48" s="90" t="str">
        <x:v>不得只凭出生月份或某一五行数量直接下最终调候结论</x:v>
      </x:c>
      <x:c r="AB48" s="68" t="str">
        <x:v>特殊格局、核心格局用神或更高优先级病药约束转M16—M18裁决</x:v>
      </x:c>
      <x:c r="AC48" s="84" t="str">
        <x:v>寒燥_双轴状态</x:v>
      </x:c>
      <x:c r="AD48" s="84" t="str">
        <x:v>寒燥状态识别：温度轴判“偏寒”，湿度轴判“偏燥”；调候候选为“火/水”，是否成为最终用神仍转M16—M18。</x:v>
      </x:c>
      <x:c r="AE48" s="82" t="str">
        <x:v>较高</x:v>
      </x:c>
      <x:c r="AF48" s="82" t="str">
        <x:v>调候</x:v>
      </x:c>
      <x:c r="AG48" s="68" t="str">
        <x:v>调候以月令气候为起点，但必须结合M08五行有效力量与M12流通状态修正；寒暖与燥湿分轴判断，调候候选不自动等于全局主用神。</x:v>
      </x:c>
      <x:c r="AH48" s="68" t="str">
        <x:v>当“温度轴=偏寒且湿度轴=偏燥”真实成立，且调候机制能改善主要气候问题时，可按“寒燥状态识别”记录。</x:v>
      </x:c>
      <x:c r="AI48" s="90" t="str">
        <x:v>仅见月份或表面五行标签，但未满足“温度轴=偏寒且湿度轴=偏燥”及必要修正条件时，不得套用“寒燥状态识别”。</x:v>
      </x:c>
      <x:c r="AJ48" s="82" t="str">
        <x:v>采用</x:v>
      </x:c>
      <x:c r="AK48" s="82" t="str">
        <x:v>初审</x:v>
      </x:c>
      <x:c r="AL48" s="87" t="n">
        <x:v>46255</x:v>
      </x:c>
    </x:row>
    <x:row r="49">
      <x:c r="A49" s="72" t="str">
        <x:f>IF(OR(C49="",D49=""),"",B49&amp;"-"&amp;UPPER(C49)&amp;"-"&amp;TEXT(D49,"0000")&amp;"-"&amp;E49)</x:f>
        <x:v>M13-COMBO-0043-V1.0</x:v>
      </x:c>
      <x:c r="B49" s="74" t="str">
        <x:v>M13</x:v>
      </x:c>
      <x:c r="C49" s="74" t="str">
        <x:v>COMBO</x:v>
      </x:c>
      <x:c r="D49" s="215" t="n">
        <x:v>43</x:v>
      </x:c>
      <x:c r="E49" s="74" t="str">
        <x:v>V1.0</x:v>
      </x:c>
      <x:c r="F49" s="68" t="str">
        <x:v>暖湿状态识别</x:v>
      </x:c>
      <x:c r="G49" s="82" t="str">
        <x:v>结构层</x:v>
      </x:c>
      <x:c r="H49" s="82" t="str">
        <x:v>寒暖燥湿综合</x:v>
      </x:c>
      <x:c r="I49" s="68" t="str">
        <x:v>通用</x:v>
      </x:c>
      <x:c r="J49" s="68" t="str">
        <x:v>温度轴=偏暖且湿度轴=偏湿</x:v>
      </x:c>
      <x:c r="K49" s="68" t="str">
        <x:v>待定</x:v>
      </x:c>
      <x:c r="L49" s="68" t="str">
        <x:v>待定</x:v>
      </x:c>
      <x:c r="M49" s="82" t="str">
        <x:v>偏暖</x:v>
      </x:c>
      <x:c r="N49" s="82" t="str">
        <x:v>偏湿</x:v>
      </x:c>
      <x:c r="O49" s="68" t="str">
        <x:v>温度偏高但湿气壅滞</x:v>
      </x:c>
      <x:c r="P49" s="68" t="str">
        <x:v>木/土性调节/适度火</x:v>
      </x:c>
      <x:c r="Q49" s="68" t="str">
        <x:v>疏湿优先，火须防进一步升温</x:v>
      </x:c>
      <x:c r="R49" s="82" t="str">
        <x:v>待定</x:v>
      </x:c>
      <x:c r="S49" s="82" t="str">
        <x:v>待定</x:v>
      </x:c>
      <x:c r="T49" s="82" t="str">
        <x:v>中</x:v>
      </x:c>
      <x:c r="U49" s="82" t="str">
        <x:v>待定</x:v>
      </x:c>
      <x:c r="V49" s="82" t="str">
        <x:v>待定</x:v>
      </x:c>
      <x:c r="W49" s="68" t="str">
        <x:v>M02基础映射、M08五行有效旺衰、M12流通卡点已完成</x:v>
      </x:c>
      <x:c r="X49" s="68" t="str">
        <x:v>月令基准与全局有效五行均已核查</x:v>
      </x:c>
      <x:c r="Y49" s="68" t="str">
        <x:v>相关调候五行有根有源、透达且能真实改善关键气候问题</x:v>
      </x:c>
      <x:c r="Z49" s="68" t="str">
        <x:v>调候五行无根、受强制、被合绊、改性或加入后产生新的寒热燥湿问题</x:v>
      </x:c>
      <x:c r="AA49" s="90" t="str">
        <x:v>不得只凭出生月份或某一五行数量直接下最终调候结论</x:v>
      </x:c>
      <x:c r="AB49" s="68" t="str">
        <x:v>特殊格局、核心格局用神或更高优先级病药约束转M16—M18裁决</x:v>
      </x:c>
      <x:c r="AC49" s="84" t="str">
        <x:v>暖湿_双轴状态</x:v>
      </x:c>
      <x:c r="AD49" s="84" t="str">
        <x:v>暖湿状态识别：温度轴判“偏暖”，湿度轴判“偏湿”；调候候选为“木/土性调节/适度火”，是否成为最终用神仍转M16—M18。</x:v>
      </x:c>
      <x:c r="AE49" s="82" t="str">
        <x:v>较高</x:v>
      </x:c>
      <x:c r="AF49" s="82" t="str">
        <x:v>调候</x:v>
      </x:c>
      <x:c r="AG49" s="68" t="str">
        <x:v>调候以月令气候为起点，但必须结合M08五行有效力量与M12流通状态修正；寒暖与燥湿分轴判断，调候候选不自动等于全局主用神。</x:v>
      </x:c>
      <x:c r="AH49" s="68" t="str">
        <x:v>当“温度轴=偏暖且湿度轴=偏湿”真实成立，且调候机制能改善主要气候问题时，可按“暖湿状态识别”记录。</x:v>
      </x:c>
      <x:c r="AI49" s="90" t="str">
        <x:v>仅见月份或表面五行标签，但未满足“温度轴=偏暖且湿度轴=偏湿”及必要修正条件时，不得套用“暖湿状态识别”。</x:v>
      </x:c>
      <x:c r="AJ49" s="82" t="str">
        <x:v>采用</x:v>
      </x:c>
      <x:c r="AK49" s="82" t="str">
        <x:v>初审</x:v>
      </x:c>
      <x:c r="AL49" s="87" t="n">
        <x:v>46255</x:v>
      </x:c>
    </x:row>
    <x:row r="50">
      <x:c r="A50" s="72" t="str">
        <x:f>IF(OR(C50="",D50=""),"",B50&amp;"-"&amp;UPPER(C50)&amp;"-"&amp;TEXT(D50,"0000")&amp;"-"&amp;E50)</x:f>
        <x:v>M13-COMBO-0044-V1.0</x:v>
      </x:c>
      <x:c r="B50" s="74" t="str">
        <x:v>M13</x:v>
      </x:c>
      <x:c r="C50" s="74" t="str">
        <x:v>COMBO</x:v>
      </x:c>
      <x:c r="D50" s="215" t="n">
        <x:v>44</x:v>
      </x:c>
      <x:c r="E50" s="74" t="str">
        <x:v>V1.0</x:v>
      </x:c>
      <x:c r="F50" s="68" t="str">
        <x:v>暖燥状态识别</x:v>
      </x:c>
      <x:c r="G50" s="82" t="str">
        <x:v>结构层</x:v>
      </x:c>
      <x:c r="H50" s="82" t="str">
        <x:v>寒暖燥湿综合</x:v>
      </x:c>
      <x:c r="I50" s="68" t="str">
        <x:v>通用</x:v>
      </x:c>
      <x:c r="J50" s="68" t="str">
        <x:v>温度轴=偏暖且湿度轴=偏燥</x:v>
      </x:c>
      <x:c r="K50" s="68" t="str">
        <x:v>待定</x:v>
      </x:c>
      <x:c r="L50" s="68" t="str">
        <x:v>待定</x:v>
      </x:c>
      <x:c r="M50" s="82" t="str">
        <x:v>偏暖</x:v>
      </x:c>
      <x:c r="N50" s="82" t="str">
        <x:v>偏燥</x:v>
      </x:c>
      <x:c r="O50" s="68" t="str">
        <x:v>热与燥叠加</x:v>
      </x:c>
      <x:c r="P50" s="68" t="str">
        <x:v>水</x:v>
      </x:c>
      <x:c r="Q50" s="68" t="str">
        <x:v>降温润燥</x:v>
      </x:c>
      <x:c r="R50" s="82" t="str">
        <x:v>待定</x:v>
      </x:c>
      <x:c r="S50" s="82" t="str">
        <x:v>待定</x:v>
      </x:c>
      <x:c r="T50" s="82" t="str">
        <x:v>中</x:v>
      </x:c>
      <x:c r="U50" s="82" t="str">
        <x:v>待定</x:v>
      </x:c>
      <x:c r="V50" s="82" t="str">
        <x:v>待定</x:v>
      </x:c>
      <x:c r="W50" s="68" t="str">
        <x:v>M02基础映射、M08五行有效旺衰、M12流通卡点已完成</x:v>
      </x:c>
      <x:c r="X50" s="68" t="str">
        <x:v>月令基准与全局有效五行均已核查</x:v>
      </x:c>
      <x:c r="Y50" s="68" t="str">
        <x:v>相关调候五行有根有源、透达且能真实改善关键气候问题</x:v>
      </x:c>
      <x:c r="Z50" s="68" t="str">
        <x:v>调候五行无根、受强制、被合绊、改性或加入后产生新的寒热燥湿问题</x:v>
      </x:c>
      <x:c r="AA50" s="90" t="str">
        <x:v>不得只凭出生月份或某一五行数量直接下最终调候结论</x:v>
      </x:c>
      <x:c r="AB50" s="68" t="str">
        <x:v>特殊格局、核心格局用神或更高优先级病药约束转M16—M18裁决</x:v>
      </x:c>
      <x:c r="AC50" s="84" t="str">
        <x:v>暖燥_双轴状态</x:v>
      </x:c>
      <x:c r="AD50" s="84" t="str">
        <x:v>暖燥状态识别：温度轴判“偏暖”，湿度轴判“偏燥”；调候候选为“水”，是否成为最终用神仍转M16—M18。</x:v>
      </x:c>
      <x:c r="AE50" s="82" t="str">
        <x:v>较高</x:v>
      </x:c>
      <x:c r="AF50" s="82" t="str">
        <x:v>调候</x:v>
      </x:c>
      <x:c r="AG50" s="68" t="str">
        <x:v>调候以月令气候为起点，但必须结合M08五行有效力量与M12流通状态修正；寒暖与燥湿分轴判断，调候候选不自动等于全局主用神。</x:v>
      </x:c>
      <x:c r="AH50" s="68" t="str">
        <x:v>当“温度轴=偏暖且湿度轴=偏燥”真实成立，且调候机制能改善主要气候问题时，可按“暖燥状态识别”记录。</x:v>
      </x:c>
      <x:c r="AI50" s="90" t="str">
        <x:v>仅见月份或表面五行标签，但未满足“温度轴=偏暖且湿度轴=偏燥”及必要修正条件时，不得套用“暖燥状态识别”。</x:v>
      </x:c>
      <x:c r="AJ50" s="82" t="str">
        <x:v>采用</x:v>
      </x:c>
      <x:c r="AK50" s="82" t="str">
        <x:v>初审</x:v>
      </x:c>
      <x:c r="AL50" s="87" t="n">
        <x:v>46255</x:v>
      </x:c>
    </x:row>
    <x:row r="51">
      <x:c r="A51" s="72" t="str">
        <x:f>IF(OR(C51="",D51=""),"",B51&amp;"-"&amp;UPPER(C51)&amp;"-"&amp;TEXT(D51,"0000")&amp;"-"&amp;E51)</x:f>
        <x:v>M13-COMBO-0045-V1.0</x:v>
      </x:c>
      <x:c r="B51" s="74" t="str">
        <x:v>M13</x:v>
      </x:c>
      <x:c r="C51" s="74" t="str">
        <x:v>COMBO</x:v>
      </x:c>
      <x:c r="D51" s="215" t="n">
        <x:v>45</x:v>
      </x:c>
      <x:c r="E51" s="74" t="str">
        <x:v>V1.0</x:v>
      </x:c>
      <x:c r="F51" s="68" t="str">
        <x:v>极寒湿状态识别</x:v>
      </x:c>
      <x:c r="G51" s="82" t="str">
        <x:v>结构层</x:v>
      </x:c>
      <x:c r="H51" s="82" t="str">
        <x:v>寒暖燥湿综合</x:v>
      </x:c>
      <x:c r="I51" s="68" t="str">
        <x:v>通用</x:v>
      </x:c>
      <x:c r="J51" s="68" t="str">
        <x:v>温度轴=极寒且湿度轴=极湿</x:v>
      </x:c>
      <x:c r="K51" s="68" t="str">
        <x:v>待定</x:v>
      </x:c>
      <x:c r="L51" s="68" t="str">
        <x:v>待定</x:v>
      </x:c>
      <x:c r="M51" s="82" t="str">
        <x:v>极寒</x:v>
      </x:c>
      <x:c r="N51" s="82" t="str">
        <x:v>极湿</x:v>
      </x:c>
      <x:c r="O51" s="68" t="str">
        <x:v>寒湿已明显阻断木火和整体生化</x:v>
      </x:c>
      <x:c r="P51" s="68" t="str">
        <x:v>火</x:v>
      </x:c>
      <x:c r="Q51" s="68" t="str">
        <x:v>优先暖局，必要时木辅助引火疏湿</x:v>
      </x:c>
      <x:c r="R51" s="82" t="str">
        <x:v>待定</x:v>
      </x:c>
      <x:c r="S51" s="82" t="str">
        <x:v>待定</x:v>
      </x:c>
      <x:c r="T51" s="82" t="str">
        <x:v>高</x:v>
      </x:c>
      <x:c r="U51" s="82" t="str">
        <x:v>待定</x:v>
      </x:c>
      <x:c r="V51" s="82" t="str">
        <x:v>待定</x:v>
      </x:c>
      <x:c r="W51" s="68" t="str">
        <x:v>M02基础映射、M08五行有效旺衰、M12流通卡点已完成</x:v>
      </x:c>
      <x:c r="X51" s="68" t="str">
        <x:v>月令基准与全局有效五行均已核查</x:v>
      </x:c>
      <x:c r="Y51" s="68" t="str">
        <x:v>相关调候五行有根有源、透达且能真实改善关键气候问题</x:v>
      </x:c>
      <x:c r="Z51" s="68" t="str">
        <x:v>调候五行无根、受强制、被合绊、改性或加入后产生新的寒热燥湿问题</x:v>
      </x:c>
      <x:c r="AA51" s="90" t="str">
        <x:v>不得只凭出生月份或某一五行数量直接下最终调候结论</x:v>
      </x:c>
      <x:c r="AB51" s="68" t="str">
        <x:v>特殊格局、核心格局用神或更高优先级病药约束转M16—M18裁决</x:v>
      </x:c>
      <x:c r="AC51" s="84" t="str">
        <x:v>极寒湿_双轴状态</x:v>
      </x:c>
      <x:c r="AD51" s="84" t="str">
        <x:v>极寒湿状态识别：温度轴判“极寒”，湿度轴判“极湿”；调候候选为“火”，是否成为最终用神仍转M16—M18。</x:v>
      </x:c>
      <x:c r="AE51" s="82" t="str">
        <x:v>较高</x:v>
      </x:c>
      <x:c r="AF51" s="82" t="str">
        <x:v>调候</x:v>
      </x:c>
      <x:c r="AG51" s="68" t="str">
        <x:v>调候以月令气候为起点，但必须结合M08五行有效力量与M12流通状态修正；寒暖与燥湿分轴判断，调候候选不自动等于全局主用神。</x:v>
      </x:c>
      <x:c r="AH51" s="68" t="str">
        <x:v>当“温度轴=极寒且湿度轴=极湿”真实成立，且调候机制能改善主要气候问题时，可按“极寒湿状态识别”记录。</x:v>
      </x:c>
      <x:c r="AI51" s="90" t="str">
        <x:v>仅见月份或表面五行标签，但未满足“温度轴=极寒且湿度轴=极湿”及必要修正条件时，不得套用“极寒湿状态识别”。</x:v>
      </x:c>
      <x:c r="AJ51" s="82" t="str">
        <x:v>采用</x:v>
      </x:c>
      <x:c r="AK51" s="82" t="str">
        <x:v>初审</x:v>
      </x:c>
      <x:c r="AL51" s="87" t="n">
        <x:v>46255</x:v>
      </x:c>
    </x:row>
    <x:row r="52">
      <x:c r="A52" s="72" t="str">
        <x:f>IF(OR(C52="",D52=""),"",B52&amp;"-"&amp;UPPER(C52)&amp;"-"&amp;TEXT(D52,"0000")&amp;"-"&amp;E52)</x:f>
        <x:v>M13-COMBO-0046-V1.0</x:v>
      </x:c>
      <x:c r="B52" s="74" t="str">
        <x:v>M13</x:v>
      </x:c>
      <x:c r="C52" s="74" t="str">
        <x:v>COMBO</x:v>
      </x:c>
      <x:c r="D52" s="215" t="n">
        <x:v>46</x:v>
      </x:c>
      <x:c r="E52" s="74" t="str">
        <x:v>V1.0</x:v>
      </x:c>
      <x:c r="F52" s="68" t="str">
        <x:v>极热燥状态识别</x:v>
      </x:c>
      <x:c r="G52" s="82" t="str">
        <x:v>结构层</x:v>
      </x:c>
      <x:c r="H52" s="82" t="str">
        <x:v>寒暖燥湿综合</x:v>
      </x:c>
      <x:c r="I52" s="68" t="str">
        <x:v>通用</x:v>
      </x:c>
      <x:c r="J52" s="68" t="str">
        <x:v>温度轴=极热且湿度轴=极燥</x:v>
      </x:c>
      <x:c r="K52" s="68" t="str">
        <x:v>待定</x:v>
      </x:c>
      <x:c r="L52" s="68" t="str">
        <x:v>待定</x:v>
      </x:c>
      <x:c r="M52" s="82" t="str">
        <x:v>极热</x:v>
      </x:c>
      <x:c r="N52" s="82" t="str">
        <x:v>极燥</x:v>
      </x:c>
      <x:c r="O52" s="68" t="str">
        <x:v>热燥已造成水木失养与生化枯竭</x:v>
      </x:c>
      <x:c r="P52" s="68" t="str">
        <x:v>水</x:v>
      </x:c>
      <x:c r="Q52" s="68" t="str">
        <x:v>优先降温润燥</x:v>
      </x:c>
      <x:c r="R52" s="82" t="str">
        <x:v>待定</x:v>
      </x:c>
      <x:c r="S52" s="82" t="str">
        <x:v>待定</x:v>
      </x:c>
      <x:c r="T52" s="82" t="str">
        <x:v>高</x:v>
      </x:c>
      <x:c r="U52" s="82" t="str">
        <x:v>待定</x:v>
      </x:c>
      <x:c r="V52" s="82" t="str">
        <x:v>待定</x:v>
      </x:c>
      <x:c r="W52" s="68" t="str">
        <x:v>M02基础映射、M08五行有效旺衰、M12流通卡点已完成</x:v>
      </x:c>
      <x:c r="X52" s="68" t="str">
        <x:v>月令基准与全局有效五行均已核查</x:v>
      </x:c>
      <x:c r="Y52" s="68" t="str">
        <x:v>相关调候五行有根有源、透达且能真实改善关键气候问题</x:v>
      </x:c>
      <x:c r="Z52" s="68" t="str">
        <x:v>调候五行无根、受强制、被合绊、改性或加入后产生新的寒热燥湿问题</x:v>
      </x:c>
      <x:c r="AA52" s="90" t="str">
        <x:v>不得只凭出生月份或某一五行数量直接下最终调候结论</x:v>
      </x:c>
      <x:c r="AB52" s="68" t="str">
        <x:v>特殊格局、核心格局用神或更高优先级病药约束转M16—M18裁决</x:v>
      </x:c>
      <x:c r="AC52" s="84" t="str">
        <x:v>极热燥_双轴状态</x:v>
      </x:c>
      <x:c r="AD52" s="84" t="str">
        <x:v>极热燥状态识别：温度轴判“极热”，湿度轴判“极燥”；调候候选为“水”，是否成为最终用神仍转M16—M18。</x:v>
      </x:c>
      <x:c r="AE52" s="82" t="str">
        <x:v>较高</x:v>
      </x:c>
      <x:c r="AF52" s="82" t="str">
        <x:v>调候</x:v>
      </x:c>
      <x:c r="AG52" s="68" t="str">
        <x:v>调候以月令气候为起点，但必须结合M08五行有效力量与M12流通状态修正；寒暖与燥湿分轴判断，调候候选不自动等于全局主用神。</x:v>
      </x:c>
      <x:c r="AH52" s="68" t="str">
        <x:v>当“温度轴=极热且湿度轴=极燥”真实成立，且调候机制能改善主要气候问题时，可按“极热燥状态识别”记录。</x:v>
      </x:c>
      <x:c r="AI52" s="90" t="str">
        <x:v>仅见月份或表面五行标签，但未满足“温度轴=极热且湿度轴=极燥”及必要修正条件时，不得套用“极热燥状态识别”。</x:v>
      </x:c>
      <x:c r="AJ52" s="82" t="str">
        <x:v>采用</x:v>
      </x:c>
      <x:c r="AK52" s="82" t="str">
        <x:v>初审</x:v>
      </x:c>
      <x:c r="AL52" s="87" t="n">
        <x:v>46255</x:v>
      </x:c>
    </x:row>
    <x:row r="53">
      <x:c r="A53" s="72" t="str">
        <x:f>IF(OR(C53="",D53=""),"",B53&amp;"-"&amp;UPPER(C53)&amp;"-"&amp;TEXT(D53,"0000")&amp;"-"&amp;E53)</x:f>
        <x:v>M13-COMBO-0047-V1.0</x:v>
      </x:c>
      <x:c r="B53" s="74" t="str">
        <x:v>M13</x:v>
      </x:c>
      <x:c r="C53" s="74" t="str">
        <x:v>COMBO</x:v>
      </x:c>
      <x:c r="D53" s="215" t="n">
        <x:v>47</x:v>
      </x:c>
      <x:c r="E53" s="74" t="str">
        <x:v>V1.0</x:v>
      </x:c>
      <x:c r="F53" s="68" t="str">
        <x:v>寒暖平衡偏湿状态识别</x:v>
      </x:c>
      <x:c r="G53" s="82" t="str">
        <x:v>结构层</x:v>
      </x:c>
      <x:c r="H53" s="82" t="str">
        <x:v>寒暖燥湿综合</x:v>
      </x:c>
      <x:c r="I53" s="68" t="str">
        <x:v>通用</x:v>
      </x:c>
      <x:c r="J53" s="68" t="str">
        <x:v>温度轴=平衡且湿度轴=偏湿</x:v>
      </x:c>
      <x:c r="K53" s="68" t="str">
        <x:v>待定</x:v>
      </x:c>
      <x:c r="L53" s="68" t="str">
        <x:v>待定</x:v>
      </x:c>
      <x:c r="M53" s="82" t="str">
        <x:v>平衡</x:v>
      </x:c>
      <x:c r="N53" s="82" t="str">
        <x:v>偏湿</x:v>
      </x:c>
      <x:c r="O53" s="68" t="str">
        <x:v>温度适中但湿度问题独立存在</x:v>
      </x:c>
      <x:c r="P53" s="68" t="str">
        <x:v>木/火</x:v>
      </x:c>
      <x:c r="Q53" s="68" t="str">
        <x:v>针对湿度而非继续调温</x:v>
      </x:c>
      <x:c r="R53" s="82" t="str">
        <x:v>待定</x:v>
      </x:c>
      <x:c r="S53" s="82" t="str">
        <x:v>待定</x:v>
      </x:c>
      <x:c r="T53" s="82" t="str">
        <x:v>中</x:v>
      </x:c>
      <x:c r="U53" s="82" t="str">
        <x:v>待定</x:v>
      </x:c>
      <x:c r="V53" s="82" t="str">
        <x:v>待定</x:v>
      </x:c>
      <x:c r="W53" s="68" t="str">
        <x:v>M02基础映射、M08五行有效旺衰、M12流通卡点已完成</x:v>
      </x:c>
      <x:c r="X53" s="68" t="str">
        <x:v>月令基准与全局有效五行均已核查</x:v>
      </x:c>
      <x:c r="Y53" s="68" t="str">
        <x:v>相关调候五行有根有源、透达且能真实改善关键气候问题</x:v>
      </x:c>
      <x:c r="Z53" s="68" t="str">
        <x:v>调候五行无根、受强制、被合绊、改性或加入后产生新的寒热燥湿问题</x:v>
      </x:c>
      <x:c r="AA53" s="90" t="str">
        <x:v>不得只凭出生月份或某一五行数量直接下最终调候结论</x:v>
      </x:c>
      <x:c r="AB53" s="68" t="str">
        <x:v>特殊格局、核心格局用神或更高优先级病药约束转M16—M18裁决</x:v>
      </x:c>
      <x:c r="AC53" s="84" t="str">
        <x:v>寒暖平衡偏湿_双轴状态</x:v>
      </x:c>
      <x:c r="AD53" s="84" t="str">
        <x:v>寒暖平衡偏湿状态识别：温度轴判“平衡”，湿度轴判“偏湿”；调候候选为“木/火”，是否成为最终用神仍转M16—M18。</x:v>
      </x:c>
      <x:c r="AE53" s="82" t="str">
        <x:v>较高</x:v>
      </x:c>
      <x:c r="AF53" s="82" t="str">
        <x:v>调候</x:v>
      </x:c>
      <x:c r="AG53" s="68" t="str">
        <x:v>调候以月令气候为起点，但必须结合M08五行有效力量与M12流通状态修正；寒暖与燥湿分轴判断，调候候选不自动等于全局主用神。</x:v>
      </x:c>
      <x:c r="AH53" s="68" t="str">
        <x:v>当“温度轴=平衡且湿度轴=偏湿”真实成立，且调候机制能改善主要气候问题时，可按“寒暖平衡偏湿状态识别”记录。</x:v>
      </x:c>
      <x:c r="AI53" s="90" t="str">
        <x:v>仅见月份或表面五行标签，但未满足“温度轴=平衡且湿度轴=偏湿”及必要修正条件时，不得套用“寒暖平衡偏湿状态识别”。</x:v>
      </x:c>
      <x:c r="AJ53" s="82" t="str">
        <x:v>采用</x:v>
      </x:c>
      <x:c r="AK53" s="82" t="str">
        <x:v>初审</x:v>
      </x:c>
      <x:c r="AL53" s="87" t="n">
        <x:v>46255</x:v>
      </x:c>
    </x:row>
    <x:row r="54">
      <x:c r="A54" s="72" t="str">
        <x:f>IF(OR(C54="",D54=""),"",B54&amp;"-"&amp;UPPER(C54)&amp;"-"&amp;TEXT(D54,"0000")&amp;"-"&amp;E54)</x:f>
        <x:v>M13-COMBO-0048-V1.0</x:v>
      </x:c>
      <x:c r="B54" s="74" t="str">
        <x:v>M13</x:v>
      </x:c>
      <x:c r="C54" s="74" t="str">
        <x:v>COMBO</x:v>
      </x:c>
      <x:c r="D54" s="215" t="n">
        <x:v>48</x:v>
      </x:c>
      <x:c r="E54" s="74" t="str">
        <x:v>V1.0</x:v>
      </x:c>
      <x:c r="F54" s="68" t="str">
        <x:v>寒暖平衡偏燥状态识别</x:v>
      </x:c>
      <x:c r="G54" s="82" t="str">
        <x:v>结构层</x:v>
      </x:c>
      <x:c r="H54" s="82" t="str">
        <x:v>寒暖燥湿综合</x:v>
      </x:c>
      <x:c r="I54" s="68" t="str">
        <x:v>通用</x:v>
      </x:c>
      <x:c r="J54" s="68" t="str">
        <x:v>温度轴=平衡且湿度轴=偏燥</x:v>
      </x:c>
      <x:c r="K54" s="68" t="str">
        <x:v>待定</x:v>
      </x:c>
      <x:c r="L54" s="68" t="str">
        <x:v>待定</x:v>
      </x:c>
      <x:c r="M54" s="82" t="str">
        <x:v>平衡</x:v>
      </x:c>
      <x:c r="N54" s="82" t="str">
        <x:v>偏燥</x:v>
      </x:c>
      <x:c r="O54" s="68" t="str">
        <x:v>温度适中但燥性独立存在</x:v>
      </x:c>
      <x:c r="P54" s="68" t="str">
        <x:v>水</x:v>
      </x:c>
      <x:c r="Q54" s="68" t="str">
        <x:v>只解决润燥，不额外改变温度过多</x:v>
      </x:c>
      <x:c r="R54" s="82" t="str">
        <x:v>待定</x:v>
      </x:c>
      <x:c r="S54" s="82" t="str">
        <x:v>待定</x:v>
      </x:c>
      <x:c r="T54" s="82" t="str">
        <x:v>中</x:v>
      </x:c>
      <x:c r="U54" s="82" t="str">
        <x:v>待定</x:v>
      </x:c>
      <x:c r="V54" s="82" t="str">
        <x:v>待定</x:v>
      </x:c>
      <x:c r="W54" s="68" t="str">
        <x:v>M02基础映射、M08五行有效旺衰、M12流通卡点已完成</x:v>
      </x:c>
      <x:c r="X54" s="68" t="str">
        <x:v>月令基准与全局有效五行均已核查</x:v>
      </x:c>
      <x:c r="Y54" s="68" t="str">
        <x:v>相关调候五行有根有源、透达且能真实改善关键气候问题</x:v>
      </x:c>
      <x:c r="Z54" s="68" t="str">
        <x:v>调候五行无根、受强制、被合绊、改性或加入后产生新的寒热燥湿问题</x:v>
      </x:c>
      <x:c r="AA54" s="90" t="str">
        <x:v>不得只凭出生月份或某一五行数量直接下最终调候结论</x:v>
      </x:c>
      <x:c r="AB54" s="68" t="str">
        <x:v>特殊格局、核心格局用神或更高优先级病药约束转M16—M18裁决</x:v>
      </x:c>
      <x:c r="AC54" s="84" t="str">
        <x:v>寒暖平衡偏燥_双轴状态</x:v>
      </x:c>
      <x:c r="AD54" s="84" t="str">
        <x:v>寒暖平衡偏燥状态识别：温度轴判“平衡”，湿度轴判“偏燥”；调候候选为“水”，是否成为最终用神仍转M16—M18。</x:v>
      </x:c>
      <x:c r="AE54" s="82" t="str">
        <x:v>较高</x:v>
      </x:c>
      <x:c r="AF54" s="82" t="str">
        <x:v>调候</x:v>
      </x:c>
      <x:c r="AG54" s="68" t="str">
        <x:v>调候以月令气候为起点，但必须结合M08五行有效力量与M12流通状态修正；寒暖与燥湿分轴判断，调候候选不自动等于全局主用神。</x:v>
      </x:c>
      <x:c r="AH54" s="68" t="str">
        <x:v>当“温度轴=平衡且湿度轴=偏燥”真实成立，且调候机制能改善主要气候问题时，可按“寒暖平衡偏燥状态识别”记录。</x:v>
      </x:c>
      <x:c r="AI54" s="90" t="str">
        <x:v>仅见月份或表面五行标签，但未满足“温度轴=平衡且湿度轴=偏燥”及必要修正条件时，不得套用“寒暖平衡偏燥状态识别”。</x:v>
      </x:c>
      <x:c r="AJ54" s="82" t="str">
        <x:v>采用</x:v>
      </x:c>
      <x:c r="AK54" s="82" t="str">
        <x:v>初审</x:v>
      </x:c>
      <x:c r="AL54" s="87" t="n">
        <x:v>46255</x:v>
      </x:c>
    </x:row>
    <x:row r="55">
      <x:c r="A55" s="72" t="str">
        <x:f>IF(OR(C55="",D55=""),"",B55&amp;"-"&amp;UPPER(C55)&amp;"-"&amp;TEXT(D55,"0000")&amp;"-"&amp;E55)</x:f>
        <x:v>M13-EFFECT-0049-V1.0</x:v>
      </x:c>
      <x:c r="B55" s="74" t="str">
        <x:v>M13</x:v>
      </x:c>
      <x:c r="C55" s="74" t="str">
        <x:v>EFFECT</x:v>
      </x:c>
      <x:c r="D55" s="215" t="n">
        <x:v>49</x:v>
      </x:c>
      <x:c r="E55" s="74" t="str">
        <x:v>V1.0</x:v>
      </x:c>
      <x:c r="F55" s="68" t="str">
        <x:v>调候五行完全不现只表示原局无现成调候资源</x:v>
      </x:c>
      <x:c r="G55" s="82" t="str">
        <x:v>结构层</x:v>
      </x:c>
      <x:c r="H55" s="82" t="str">
        <x:v>寒暖燥湿综合</x:v>
      </x:c>
      <x:c r="I55" s="68" t="str">
        <x:v>通用</x:v>
      </x:c>
      <x:c r="J55" s="68" t="str">
        <x:v>主要气候问题已成立，但候选调候五行四柱明藏均不现</x:v>
      </x:c>
      <x:c r="K55" s="68" t="str">
        <x:v>待定</x:v>
      </x:c>
      <x:c r="L55" s="68" t="str">
        <x:v>待定</x:v>
      </x:c>
      <x:c r="M55" s="82" t="str">
        <x:v>待定</x:v>
      </x:c>
      <x:c r="N55" s="82" t="str">
        <x:v>待定</x:v>
      </x:c>
      <x:c r="O55" s="68" t="str">
        <x:v>调候资源缺失</x:v>
      </x:c>
      <x:c r="P55" s="68" t="str">
        <x:v>对应调候五行</x:v>
      </x:c>
      <x:c r="Q55" s="68" t="str">
        <x:v>记录缺失而非直接判喜神</x:v>
      </x:c>
      <x:c r="R55" s="82" t="str">
        <x:v>否</x:v>
      </x:c>
      <x:c r="S55" s="82" t="str">
        <x:v>失效</x:v>
      </x:c>
      <x:c r="T55" s="82" t="str">
        <x:v>待定</x:v>
      </x:c>
      <x:c r="U55" s="82" t="str">
        <x:v>待定</x:v>
      </x:c>
      <x:c r="V55" s="82" t="str">
        <x:v>待定</x:v>
      </x:c>
      <x:c r="W55" s="68" t="str">
        <x:v>M02基础映射、M08五行有效旺衰、M12流通卡点已完成</x:v>
      </x:c>
      <x:c r="X55" s="68" t="str">
        <x:v>月令基准与全局有效五行均已核查</x:v>
      </x:c>
      <x:c r="Y55" s="68" t="str">
        <x:v>相关调候五行有根有源、透达且能真实改善关键气候问题</x:v>
      </x:c>
      <x:c r="Z55" s="68" t="str">
        <x:v>调候五行无根、受强制、被合绊、改性或加入后产生新的寒热燥湿问题</x:v>
      </x:c>
      <x:c r="AA55" s="90" t="str">
        <x:v>不得只凭出生月份或某一五行数量直接下最终调候结论</x:v>
      </x:c>
      <x:c r="AB55" s="68" t="str">
        <x:v>特殊格局、核心格局用神或更高优先级病药约束转M16—M18裁决</x:v>
      </x:c>
      <x:c r="AC55" s="84" t="str">
        <x:v>调候五行不现</x:v>
      </x:c>
      <x:c r="AD55" s="84" t="str">
        <x:v>调候五行完全不现只表示原局无现成调候资源：温度轴判“待定”，湿度轴判“待定”；调候候选为“对应调候五行”，是否成为最终用神仍转M16—M18。</x:v>
      </x:c>
      <x:c r="AE55" s="82" t="str">
        <x:v>较高</x:v>
      </x:c>
      <x:c r="AF55" s="82" t="str">
        <x:v>调候</x:v>
      </x:c>
      <x:c r="AG55" s="68" t="str">
        <x:v>调候以月令气候为起点，但必须结合M08五行有效力量与M12流通状态修正；寒暖与燥湿分轴判断，调候候选不自动等于全局主用神。</x:v>
      </x:c>
      <x:c r="AH55" s="68" t="str">
        <x:v>当“主要气候问题已成立，但候选调候五行四柱明藏均不现”真实成立，且调候机制能改善主要气候问题时，可按“调候五行完全不现只表示原局无现成调候资源”记录。</x:v>
      </x:c>
      <x:c r="AI55" s="90" t="str">
        <x:v>仅见月份或表面五行标签，但未满足“主要气候问题已成立，但候选调候五行四柱明藏均不现”及必要修正条件时，不得套用“调候五行完全不现只表示原局无现成调候资源”。</x:v>
      </x:c>
      <x:c r="AJ55" s="82" t="str">
        <x:v>采用</x:v>
      </x:c>
      <x:c r="AK55" s="82" t="str">
        <x:v>初审</x:v>
      </x:c>
      <x:c r="AL55" s="87" t="n">
        <x:v>46255</x:v>
      </x:c>
    </x:row>
    <x:row r="56">
      <x:c r="A56" s="72" t="str">
        <x:f>IF(OR(C56="",D56=""),"",B56&amp;"-"&amp;UPPER(C56)&amp;"-"&amp;TEXT(D56,"0000")&amp;"-"&amp;E56)</x:f>
        <x:v>M13-EFFECT-0050-V1.0</x:v>
      </x:c>
      <x:c r="B56" s="74" t="str">
        <x:v>M13</x:v>
      </x:c>
      <x:c r="C56" s="74" t="str">
        <x:v>EFFECT</x:v>
      </x:c>
      <x:c r="D56" s="215" t="n">
        <x:v>50</x:v>
      </x:c>
      <x:c r="E56" s="74" t="str">
        <x:v>V1.0</x:v>
      </x:c>
      <x:c r="F56" s="68" t="str">
        <x:v>调候五行存在但无根时有效性偏低</x:v>
      </x:c>
      <x:c r="G56" s="82" t="str">
        <x:v>结构层</x:v>
      </x:c>
      <x:c r="H56" s="82" t="str">
        <x:v>寒暖燥湿综合</x:v>
      </x:c>
      <x:c r="I56" s="68" t="str">
        <x:v>通用</x:v>
      </x:c>
      <x:c r="J56" s="68" t="str">
        <x:v>候选调候五行透干或藏支，但M08判无根无源</x:v>
      </x:c>
      <x:c r="K56" s="68" t="str">
        <x:v>待定</x:v>
      </x:c>
      <x:c r="L56" s="68" t="str">
        <x:v>待定</x:v>
      </x:c>
      <x:c r="M56" s="82" t="str">
        <x:v>待定</x:v>
      </x:c>
      <x:c r="N56" s="82" t="str">
        <x:v>待定</x:v>
      </x:c>
      <x:c r="O56" s="68" t="str">
        <x:v>有名义调候资源但持续性不足</x:v>
      </x:c>
      <x:c r="P56" s="68" t="str">
        <x:v>对应调候五行</x:v>
      </x:c>
      <x:c r="Q56" s="68" t="str">
        <x:v>调候能力有限</x:v>
      </x:c>
      <x:c r="R56" s="82" t="str">
        <x:v>是</x:v>
      </x:c>
      <x:c r="S56" s="82" t="str">
        <x:v>受限</x:v>
      </x:c>
      <x:c r="T56" s="82" t="str">
        <x:v>待定</x:v>
      </x:c>
      <x:c r="U56" s="82" t="str">
        <x:v>待定</x:v>
      </x:c>
      <x:c r="V56" s="82" t="str">
        <x:v>待定</x:v>
      </x:c>
      <x:c r="W56" s="68" t="str">
        <x:v>M02基础映射、M08五行有效旺衰、M12流通卡点已完成</x:v>
      </x:c>
      <x:c r="X56" s="68" t="str">
        <x:v>月令基准与全局有效五行均已核查</x:v>
      </x:c>
      <x:c r="Y56" s="68" t="str">
        <x:v>相关调候五行有根有源、透达且能真实改善关键气候问题</x:v>
      </x:c>
      <x:c r="Z56" s="68" t="str">
        <x:v>调候五行无根、受强制、被合绊、改性或加入后产生新的寒热燥湿问题</x:v>
      </x:c>
      <x:c r="AA56" s="90" t="str">
        <x:v>不得只凭出生月份或某一五行数量直接下最终调候结论</x:v>
      </x:c>
      <x:c r="AB56" s="68" t="str">
        <x:v>特殊格局、核心格局用神或更高优先级病药约束转M16—M18裁决</x:v>
      </x:c>
      <x:c r="AC56" s="84" t="str">
        <x:v>调候五行无根</x:v>
      </x:c>
      <x:c r="AD56" s="84" t="str">
        <x:v>调候五行存在但无根时有效性偏低：温度轴判“待定”，湿度轴判“待定”；调候候选为“对应调候五行”，是否成为最终用神仍转M16—M18。</x:v>
      </x:c>
      <x:c r="AE56" s="82" t="str">
        <x:v>较高</x:v>
      </x:c>
      <x:c r="AF56" s="82" t="str">
        <x:v>调候</x:v>
      </x:c>
      <x:c r="AG56" s="68" t="str">
        <x:v>调候以月令气候为起点，但必须结合M08五行有效力量与M12流通状态修正；寒暖与燥湿分轴判断，调候候选不自动等于全局主用神。</x:v>
      </x:c>
      <x:c r="AH56" s="68" t="str">
        <x:v>当“候选调候五行透干或藏支，但M08判无根无源”真实成立，且调候机制能改善主要气候问题时，可按“调候五行存在但无根时有效性偏低”记录。</x:v>
      </x:c>
      <x:c r="AI56" s="90" t="str">
        <x:v>仅见月份或表面五行标签，但未满足“候选调候五行透干或藏支，但M08判无根无源”及必要修正条件时，不得套用“调候五行存在但无根时有效性偏低”。</x:v>
      </x:c>
      <x:c r="AJ56" s="82" t="str">
        <x:v>采用</x:v>
      </x:c>
      <x:c r="AK56" s="82" t="str">
        <x:v>初审</x:v>
      </x:c>
      <x:c r="AL56" s="87" t="n">
        <x:v>46255</x:v>
      </x:c>
    </x:row>
    <x:row r="57">
      <x:c r="A57" s="72" t="str">
        <x:f>IF(OR(C57="",D57=""),"",B57&amp;"-"&amp;UPPER(C57)&amp;"-"&amp;TEXT(D57,"0000")&amp;"-"&amp;E57)</x:f>
        <x:v>M13-EFFECT-0051-V1.0</x:v>
      </x:c>
      <x:c r="B57" s="74" t="str">
        <x:v>M13</x:v>
      </x:c>
      <x:c r="C57" s="74" t="str">
        <x:v>EFFECT</x:v>
      </x:c>
      <x:c r="D57" s="215" t="n">
        <x:v>51</x:v>
      </x:c>
      <x:c r="E57" s="74" t="str">
        <x:v>V1.0</x:v>
      </x:c>
      <x:c r="F57" s="68" t="str">
        <x:v>调候五行有根有源且透达时有效性高</x:v>
      </x:c>
      <x:c r="G57" s="82" t="str">
        <x:v>结构层</x:v>
      </x:c>
      <x:c r="H57" s="82" t="str">
        <x:v>寒暖燥湿综合</x:v>
      </x:c>
      <x:c r="I57" s="68" t="str">
        <x:v>通用</x:v>
      </x:c>
      <x:c r="J57" s="68" t="str">
        <x:v>候选调候五行有有效根、生源并能作用关键气候节点</x:v>
      </x:c>
      <x:c r="K57" s="68" t="str">
        <x:v>待定</x:v>
      </x:c>
      <x:c r="L57" s="68" t="str">
        <x:v>待定</x:v>
      </x:c>
      <x:c r="M57" s="82" t="str">
        <x:v>待定</x:v>
      </x:c>
      <x:c r="N57" s="82" t="str">
        <x:v>待定</x:v>
      </x:c>
      <x:c r="O57" s="68" t="str">
        <x:v>调候资源可稳定发挥</x:v>
      </x:c>
      <x:c r="P57" s="68" t="str">
        <x:v>对应调候五行</x:v>
      </x:c>
      <x:c r="Q57" s="68" t="str">
        <x:v>直接改善气候失衡</x:v>
      </x:c>
      <x:c r="R57" s="82" t="str">
        <x:v>是</x:v>
      </x:c>
      <x:c r="S57" s="82" t="str">
        <x:v>有效</x:v>
      </x:c>
      <x:c r="T57" s="82" t="str">
        <x:v>待定</x:v>
      </x:c>
      <x:c r="U57" s="82" t="str">
        <x:v>待定</x:v>
      </x:c>
      <x:c r="V57" s="82" t="str">
        <x:v>待定</x:v>
      </x:c>
      <x:c r="W57" s="68" t="str">
        <x:v>M02基础映射、M08五行有效旺衰、M12流通卡点已完成</x:v>
      </x:c>
      <x:c r="X57" s="68" t="str">
        <x:v>月令基准与全局有效五行均已核查</x:v>
      </x:c>
      <x:c r="Y57" s="68" t="str">
        <x:v>相关调候五行有根有源、透达且能真实改善关键气候问题</x:v>
      </x:c>
      <x:c r="Z57" s="68" t="str">
        <x:v>调候五行无根、受强制、被合绊、改性或加入后产生新的寒热燥湿问题</x:v>
      </x:c>
      <x:c r="AA57" s="90" t="str">
        <x:v>不得只凭出生月份或某一五行数量直接下最终调候结论</x:v>
      </x:c>
      <x:c r="AB57" s="68" t="str">
        <x:v>特殊格局、核心格局用神或更高优先级病药约束转M16—M18裁决</x:v>
      </x:c>
      <x:c r="AC57" s="84" t="str">
        <x:v>调候五行有效</x:v>
      </x:c>
      <x:c r="AD57" s="84" t="str">
        <x:v>调候五行有根有源且透达时有效性高：温度轴判“待定”，湿度轴判“待定”；调候候选为“对应调候五行”，是否成为最终用神仍转M16—M18。</x:v>
      </x:c>
      <x:c r="AE57" s="82" t="str">
        <x:v>较高</x:v>
      </x:c>
      <x:c r="AF57" s="82" t="str">
        <x:v>调候</x:v>
      </x:c>
      <x:c r="AG57" s="68" t="str">
        <x:v>调候以月令气候为起点，但必须结合M08五行有效力量与M12流通状态修正；寒暖与燥湿分轴判断，调候候选不自动等于全局主用神。</x:v>
      </x:c>
      <x:c r="AH57" s="68" t="str">
        <x:v>当“候选调候五行有有效根、生源并能作用关键气候节点”真实成立，且调候机制能改善主要气候问题时，可按“调候五行有根有源且透达时有效性高”记录。</x:v>
      </x:c>
      <x:c r="AI57" s="90" t="str">
        <x:v>仅见月份或表面五行标签，但未满足“候选调候五行有有效根、生源并能作用关键气候节点”及必要修正条件时，不得套用“调候五行有根有源且透达时有效性高”。</x:v>
      </x:c>
      <x:c r="AJ57" s="82" t="str">
        <x:v>采用</x:v>
      </x:c>
      <x:c r="AK57" s="82" t="str">
        <x:v>初审</x:v>
      </x:c>
      <x:c r="AL57" s="87" t="n">
        <x:v>46255</x:v>
      </x:c>
    </x:row>
    <x:row r="58">
      <x:c r="A58" s="72" t="str">
        <x:f>IF(OR(C58="",D58=""),"",B58&amp;"-"&amp;UPPER(C58)&amp;"-"&amp;TEXT(D58,"0000")&amp;"-"&amp;E58)</x:f>
        <x:v>M13-EFFECT-0052-V1.0</x:v>
      </x:c>
      <x:c r="B58" s="74" t="str">
        <x:v>M13</x:v>
      </x:c>
      <x:c r="C58" s="74" t="str">
        <x:v>EFFECT</x:v>
      </x:c>
      <x:c r="D58" s="215" t="n">
        <x:v>52</x:v>
      </x:c>
      <x:c r="E58" s="74" t="str">
        <x:v>V1.0</x:v>
      </x:c>
      <x:c r="F58" s="68" t="str">
        <x:v>调候五行被强克时需降低有效性</x:v>
      </x:c>
      <x:c r="G58" s="82" t="str">
        <x:v>结构层</x:v>
      </x:c>
      <x:c r="H58" s="82" t="str">
        <x:v>寒暖燥湿综合</x:v>
      </x:c>
      <x:c r="I58" s="68" t="str">
        <x:v>通用</x:v>
      </x:c>
      <x:c r="J58" s="68" t="str">
        <x:v>候选调候五行虽存在，但受到更强五行直接有效克制</x:v>
      </x:c>
      <x:c r="K58" s="68" t="str">
        <x:v>待定</x:v>
      </x:c>
      <x:c r="L58" s="68" t="str">
        <x:v>待定</x:v>
      </x:c>
      <x:c r="M58" s="82" t="str">
        <x:v>待定</x:v>
      </x:c>
      <x:c r="N58" s="82" t="str">
        <x:v>待定</x:v>
      </x:c>
      <x:c r="O58" s="68" t="str">
        <x:v>调候功能被压制</x:v>
      </x:c>
      <x:c r="P58" s="68" t="str">
        <x:v>对应调候五行</x:v>
      </x:c>
      <x:c r="Q58" s="68" t="str">
        <x:v>需先解除强制或增强根源</x:v>
      </x:c>
      <x:c r="R58" s="82" t="str">
        <x:v>是</x:v>
      </x:c>
      <x:c r="S58" s="82" t="str">
        <x:v>受限</x:v>
      </x:c>
      <x:c r="T58" s="82" t="str">
        <x:v>待定</x:v>
      </x:c>
      <x:c r="U58" s="82" t="str">
        <x:v>待定</x:v>
      </x:c>
      <x:c r="V58" s="82" t="str">
        <x:v>待定</x:v>
      </x:c>
      <x:c r="W58" s="68" t="str">
        <x:v>M02基础映射、M08五行有效旺衰、M12流通卡点已完成</x:v>
      </x:c>
      <x:c r="X58" s="68" t="str">
        <x:v>月令基准与全局有效五行均已核查</x:v>
      </x:c>
      <x:c r="Y58" s="68" t="str">
        <x:v>相关调候五行有根有源、透达且能真实改善关键气候问题</x:v>
      </x:c>
      <x:c r="Z58" s="68" t="str">
        <x:v>调候五行无根、受强制、被合绊、改性或加入后产生新的寒热燥湿问题</x:v>
      </x:c>
      <x:c r="AA58" s="90" t="str">
        <x:v>不得只凭出生月份或某一五行数量直接下最终调候结论</x:v>
      </x:c>
      <x:c r="AB58" s="68" t="str">
        <x:v>特殊格局、核心格局用神或更高优先级病药约束转M16—M18裁决</x:v>
      </x:c>
      <x:c r="AC58" s="84" t="str">
        <x:v>调候五行受克</x:v>
      </x:c>
      <x:c r="AD58" s="84" t="str">
        <x:v>调候五行被强克时需降低有效性：温度轴判“待定”，湿度轴判“待定”；调候候选为“对应调候五行”，是否成为最终用神仍转M16—M18。</x:v>
      </x:c>
      <x:c r="AE58" s="82" t="str">
        <x:v>较高</x:v>
      </x:c>
      <x:c r="AF58" s="82" t="str">
        <x:v>调候</x:v>
      </x:c>
      <x:c r="AG58" s="68" t="str">
        <x:v>调候以月令气候为起点，但必须结合M08五行有效力量与M12流通状态修正；寒暖与燥湿分轴判断，调候候选不自动等于全局主用神。</x:v>
      </x:c>
      <x:c r="AH58" s="68" t="str">
        <x:v>当“候选调候五行虽存在，但受到更强五行直接有效克制”真实成立，且调候机制能改善主要气候问题时，可按“调候五行被强克时需降低有效性”记录。</x:v>
      </x:c>
      <x:c r="AI58" s="90" t="str">
        <x:v>仅见月份或表面五行标签，但未满足“候选调候五行虽存在，但受到更强五行直接有效克制”及必要修正条件时，不得套用“调候五行被强克时需降低有效性”。</x:v>
      </x:c>
      <x:c r="AJ58" s="82" t="str">
        <x:v>采用</x:v>
      </x:c>
      <x:c r="AK58" s="82" t="str">
        <x:v>初审</x:v>
      </x:c>
      <x:c r="AL58" s="87" t="n">
        <x:v>46255</x:v>
      </x:c>
    </x:row>
    <x:row r="59">
      <x:c r="A59" s="72" t="str">
        <x:f>IF(OR(C59="",D59=""),"",B59&amp;"-"&amp;UPPER(C59)&amp;"-"&amp;TEXT(D59,"0000")&amp;"-"&amp;E59)</x:f>
        <x:v>M13-EFFECT-0053-V1.0</x:v>
      </x:c>
      <x:c r="B59" s="74" t="str">
        <x:v>M13</x:v>
      </x:c>
      <x:c r="C59" s="74" t="str">
        <x:v>EFFECT</x:v>
      </x:c>
      <x:c r="D59" s="215" t="n">
        <x:v>53</x:v>
      </x:c>
      <x:c r="E59" s="74" t="str">
        <x:v>V1.0</x:v>
      </x:c>
      <x:c r="F59" s="68" t="str">
        <x:v>调候五行被合绊时功能受限但不等于消失</x:v>
      </x:c>
      <x:c r="G59" s="82" t="str">
        <x:v>结构层</x:v>
      </x:c>
      <x:c r="H59" s="82" t="str">
        <x:v>寒暖燥湿综合</x:v>
      </x:c>
      <x:c r="I59" s="68" t="str">
        <x:v>通用</x:v>
      </x:c>
      <x:c r="J59" s="68" t="str">
        <x:v>候选调候五行被合绊，M06未判实质合化消失</x:v>
      </x:c>
      <x:c r="K59" s="68" t="str">
        <x:v>待定</x:v>
      </x:c>
      <x:c r="L59" s="68" t="str">
        <x:v>待定</x:v>
      </x:c>
      <x:c r="M59" s="82" t="str">
        <x:v>待定</x:v>
      </x:c>
      <x:c r="N59" s="82" t="str">
        <x:v>待定</x:v>
      </x:c>
      <x:c r="O59" s="68" t="str">
        <x:v>调候资源被牵制</x:v>
      </x:c>
      <x:c r="P59" s="68" t="str">
        <x:v>对应调候五行</x:v>
      </x:c>
      <x:c r="Q59" s="68" t="str">
        <x:v>仍可有限调候</x:v>
      </x:c>
      <x:c r="R59" s="82" t="str">
        <x:v>是</x:v>
      </x:c>
      <x:c r="S59" s="82" t="str">
        <x:v>受限</x:v>
      </x:c>
      <x:c r="T59" s="82" t="str">
        <x:v>待定</x:v>
      </x:c>
      <x:c r="U59" s="82" t="str">
        <x:v>待定</x:v>
      </x:c>
      <x:c r="V59" s="82" t="str">
        <x:v>待定</x:v>
      </x:c>
      <x:c r="W59" s="68" t="str">
        <x:v>M02基础映射、M08五行有效旺衰、M12流通卡点已完成</x:v>
      </x:c>
      <x:c r="X59" s="68" t="str">
        <x:v>月令基准与全局有效五行均已核查</x:v>
      </x:c>
      <x:c r="Y59" s="68" t="str">
        <x:v>相关调候五行有根有源、透达且能真实改善关键气候问题</x:v>
      </x:c>
      <x:c r="Z59" s="68" t="str">
        <x:v>调候五行无根、受强制、被合绊、改性或加入后产生新的寒热燥湿问题</x:v>
      </x:c>
      <x:c r="AA59" s="90" t="str">
        <x:v>不得只凭出生月份或某一五行数量直接下最终调候结论</x:v>
      </x:c>
      <x:c r="AB59" s="68" t="str">
        <x:v>特殊格局、核心格局用神或更高优先级病药约束转M16—M18裁决</x:v>
      </x:c>
      <x:c r="AC59" s="84" t="str">
        <x:v>调候五行合绊</x:v>
      </x:c>
      <x:c r="AD59" s="84" t="str">
        <x:v>调候五行被合绊时功能受限但不等于消失：温度轴判“待定”，湿度轴判“待定”；调候候选为“对应调候五行”，是否成为最终用神仍转M16—M18。</x:v>
      </x:c>
      <x:c r="AE59" s="82" t="str">
        <x:v>较高</x:v>
      </x:c>
      <x:c r="AF59" s="82" t="str">
        <x:v>调候</x:v>
      </x:c>
      <x:c r="AG59" s="68" t="str">
        <x:v>调候以月令气候为起点，但必须结合M08五行有效力量与M12流通状态修正；寒暖与燥湿分轴判断，调候候选不自动等于全局主用神。</x:v>
      </x:c>
      <x:c r="AH59" s="68" t="str">
        <x:v>当“候选调候五行被合绊，M06未判实质合化消失”真实成立，且调候机制能改善主要气候问题时，可按“调候五行被合绊时功能受限但不等于消失”记录。</x:v>
      </x:c>
      <x:c r="AI59" s="90" t="str">
        <x:v>仅见月份或表面五行标签，但未满足“候选调候五行被合绊，M06未判实质合化消失”及必要修正条件时，不得套用“调候五行被合绊时功能受限但不等于消失”。</x:v>
      </x:c>
      <x:c r="AJ59" s="82" t="str">
        <x:v>采用</x:v>
      </x:c>
      <x:c r="AK59" s="82" t="str">
        <x:v>初审</x:v>
      </x:c>
      <x:c r="AL59" s="87" t="n">
        <x:v>46255</x:v>
      </x:c>
    </x:row>
    <x:row r="60">
      <x:c r="A60" s="72" t="str">
        <x:f>IF(OR(C60="",D60=""),"",B60&amp;"-"&amp;UPPER(C60)&amp;"-"&amp;TEXT(D60,"0000")&amp;"-"&amp;E60)</x:f>
        <x:v>M13-EFFECT-0054-V1.0</x:v>
      </x:c>
      <x:c r="B60" s="74" t="str">
        <x:v>M13</x:v>
      </x:c>
      <x:c r="C60" s="74" t="str">
        <x:v>EFFECT</x:v>
      </x:c>
      <x:c r="D60" s="215" t="n">
        <x:v>54</x:v>
      </x:c>
      <x:c r="E60" s="74" t="str">
        <x:v>V1.0</x:v>
      </x:c>
      <x:c r="F60" s="68" t="str">
        <x:v>调候五行实质合化后必须按新五行重判</x:v>
      </x:c>
      <x:c r="G60" s="82" t="str">
        <x:v>结构层</x:v>
      </x:c>
      <x:c r="H60" s="82" t="str">
        <x:v>寒暖燥湿综合</x:v>
      </x:c>
      <x:c r="I60" s="68" t="str">
        <x:v>通用</x:v>
      </x:c>
      <x:c r="J60" s="68" t="str">
        <x:v>候选调候五行经M06确认实质合化或会局改性</x:v>
      </x:c>
      <x:c r="K60" s="68" t="str">
        <x:v>待定</x:v>
      </x:c>
      <x:c r="L60" s="68" t="str">
        <x:v>待定</x:v>
      </x:c>
      <x:c r="M60" s="82" t="str">
        <x:v>待定</x:v>
      </x:c>
      <x:c r="N60" s="82" t="str">
        <x:v>待定</x:v>
      </x:c>
      <x:c r="O60" s="68" t="str">
        <x:v>原调候属性发生变化</x:v>
      </x:c>
      <x:c r="P60" s="68" t="str">
        <x:v>按化神重算</x:v>
      </x:c>
      <x:c r="Q60" s="68" t="str">
        <x:v>重建寒暖燥湿修正</x:v>
      </x:c>
      <x:c r="R60" s="82" t="str">
        <x:v>条件性</x:v>
      </x:c>
      <x:c r="S60" s="82" t="str">
        <x:v>待定</x:v>
      </x:c>
      <x:c r="T60" s="82" t="str">
        <x:v>待定</x:v>
      </x:c>
      <x:c r="U60" s="82" t="str">
        <x:v>待定</x:v>
      </x:c>
      <x:c r="V60" s="82" t="str">
        <x:v>待定</x:v>
      </x:c>
      <x:c r="W60" s="68" t="str">
        <x:v>M02基础映射、M08五行有效旺衰、M12流通卡点已完成</x:v>
      </x:c>
      <x:c r="X60" s="68" t="str">
        <x:v>月令基准与全局有效五行均已核查</x:v>
      </x:c>
      <x:c r="Y60" s="68" t="str">
        <x:v>相关调候五行有根有源、透达且能真实改善关键气候问题</x:v>
      </x:c>
      <x:c r="Z60" s="68" t="str">
        <x:v>调候五行无根、受强制、被合绊、改性或加入后产生新的寒热燥湿问题</x:v>
      </x:c>
      <x:c r="AA60" s="90" t="str">
        <x:v>不得只凭出生月份或某一五行数量直接下最终调候结论</x:v>
      </x:c>
      <x:c r="AB60" s="68" t="str">
        <x:v>特殊格局、核心格局用神或更高优先级病药约束转M16—M18裁决</x:v>
      </x:c>
      <x:c r="AC60" s="84" t="str">
        <x:v>调候五行改性</x:v>
      </x:c>
      <x:c r="AD60" s="84" t="str">
        <x:v>调候五行实质合化后必须按新五行重判：温度轴判“待定”，湿度轴判“待定”；调候候选为“按化神重算”，是否成为最终用神仍转M16—M18。</x:v>
      </x:c>
      <x:c r="AE60" s="82" t="str">
        <x:v>较高</x:v>
      </x:c>
      <x:c r="AF60" s="82" t="str">
        <x:v>调候</x:v>
      </x:c>
      <x:c r="AG60" s="68" t="str">
        <x:v>调候以月令气候为起点，但必须结合M08五行有效力量与M12流通状态修正；寒暖与燥湿分轴判断，调候候选不自动等于全局主用神。</x:v>
      </x:c>
      <x:c r="AH60" s="68" t="str">
        <x:v>当“候选调候五行经M06确认实质合化或会局改性”真实成立，且调候机制能改善主要气候问题时，可按“调候五行实质合化后必须按新五行重判”记录。</x:v>
      </x:c>
      <x:c r="AI60" s="90" t="str">
        <x:v>仅见月份或表面五行标签，但未满足“候选调候五行经M06确认实质合化或会局改性”及必要修正条件时，不得套用“调候五行实质合化后必须按新五行重判”。</x:v>
      </x:c>
      <x:c r="AJ60" s="82" t="str">
        <x:v>采用</x:v>
      </x:c>
      <x:c r="AK60" s="82" t="str">
        <x:v>初审</x:v>
      </x:c>
      <x:c r="AL60" s="87" t="n">
        <x:v>46255</x:v>
      </x:c>
    </x:row>
    <x:row r="61">
      <x:c r="A61" s="72" t="str">
        <x:f>IF(OR(C61="",D61=""),"",B61&amp;"-"&amp;UPPER(C61)&amp;"-"&amp;TEXT(D61,"0000")&amp;"-"&amp;E61)</x:f>
        <x:v>M13-EFFECT-0055-V1.0</x:v>
      </x:c>
      <x:c r="B61" s="74" t="str">
        <x:v>M13</x:v>
      </x:c>
      <x:c r="C61" s="74" t="str">
        <x:v>EFFECT</x:v>
      </x:c>
      <x:c r="D61" s="215" t="n">
        <x:v>55</x:v>
      </x:c>
      <x:c r="E61" s="74" t="str">
        <x:v>V1.0</x:v>
      </x:c>
      <x:c r="F61" s="68" t="str">
        <x:v>调候五行过强可制造反向气候新病</x:v>
      </x:c>
      <x:c r="G61" s="82" t="str">
        <x:v>结构层</x:v>
      </x:c>
      <x:c r="H61" s="82" t="str">
        <x:v>寒暖燥湿综合</x:v>
      </x:c>
      <x:c r="I61" s="68" t="str">
        <x:v>通用</x:v>
      </x:c>
      <x:c r="J61" s="68" t="str">
        <x:v>候选调候五行加入后达到旺极旺并使原问题跨越平衡点</x:v>
      </x:c>
      <x:c r="K61" s="68" t="str">
        <x:v>待定</x:v>
      </x:c>
      <x:c r="L61" s="68" t="str">
        <x:v>待定</x:v>
      </x:c>
      <x:c r="M61" s="82" t="str">
        <x:v>待定</x:v>
      </x:c>
      <x:c r="N61" s="82" t="str">
        <x:v>待定</x:v>
      </x:c>
      <x:c r="O61" s="68" t="str">
        <x:v>药过量转成新寒热燥湿病</x:v>
      </x:c>
      <x:c r="P61" s="68" t="str">
        <x:v>原调候五行</x:v>
      </x:c>
      <x:c r="Q61" s="68" t="str">
        <x:v>降低使用优先级或改为条件性</x:v>
      </x:c>
      <x:c r="R61" s="82" t="str">
        <x:v>是</x:v>
      </x:c>
      <x:c r="S61" s="82" t="str">
        <x:v>过度</x:v>
      </x:c>
      <x:c r="T61" s="82" t="str">
        <x:v>待定</x:v>
      </x:c>
      <x:c r="U61" s="82" t="str">
        <x:v>待定</x:v>
      </x:c>
      <x:c r="V61" s="82" t="str">
        <x:v>待定</x:v>
      </x:c>
      <x:c r="W61" s="68" t="str">
        <x:v>M02基础映射、M08五行有效旺衰、M12流通卡点已完成</x:v>
      </x:c>
      <x:c r="X61" s="68" t="str">
        <x:v>月令基准与全局有效五行均已核查</x:v>
      </x:c>
      <x:c r="Y61" s="68" t="str">
        <x:v>相关调候五行有根有源、透达且能真实改善关键气候问题</x:v>
      </x:c>
      <x:c r="Z61" s="68" t="str">
        <x:v>调候五行无根、受强制、被合绊、改性或加入后产生新的寒热燥湿问题</x:v>
      </x:c>
      <x:c r="AA61" s="90" t="str">
        <x:v>不得只凭出生月份或某一五行数量直接下最终调候结论</x:v>
      </x:c>
      <x:c r="AB61" s="68" t="str">
        <x:v>特殊格局、核心格局用神或更高优先级病药约束转M16—M18裁决</x:v>
      </x:c>
      <x:c r="AC61" s="84" t="str">
        <x:v>调候过度</x:v>
      </x:c>
      <x:c r="AD61" s="84" t="str">
        <x:v>调候五行过强可制造反向气候新病：温度轴判“待定”，湿度轴判“待定”；调候候选为“原调候五行”，是否成为最终用神仍转M16—M18。</x:v>
      </x:c>
      <x:c r="AE61" s="82" t="str">
        <x:v>较高</x:v>
      </x:c>
      <x:c r="AF61" s="82" t="str">
        <x:v>调候</x:v>
      </x:c>
      <x:c r="AG61" s="68" t="str">
        <x:v>调候以月令气候为起点，但必须结合M08五行有效力量与M12流通状态修正；寒暖与燥湿分轴判断，调候候选不自动等于全局主用神。</x:v>
      </x:c>
      <x:c r="AH61" s="68" t="str">
        <x:v>当“候选调候五行加入后达到旺极旺并使原问题跨越平衡点”真实成立，且调候机制能改善主要气候问题时，可按“调候五行过强可制造反向气候新病”记录。</x:v>
      </x:c>
      <x:c r="AI61" s="90" t="str">
        <x:v>仅见月份或表面五行标签，但未满足“候选调候五行加入后达到旺极旺并使原问题跨越平衡点”及必要修正条件时，不得套用“调候五行过强可制造反向气候新病”。</x:v>
      </x:c>
      <x:c r="AJ61" s="82" t="str">
        <x:v>采用</x:v>
      </x:c>
      <x:c r="AK61" s="82" t="str">
        <x:v>初审</x:v>
      </x:c>
      <x:c r="AL61" s="87" t="n">
        <x:v>46255</x:v>
      </x:c>
    </x:row>
    <x:row r="62">
      <x:c r="A62" s="72" t="str">
        <x:f>IF(OR(C62="",D62=""),"",B62&amp;"-"&amp;UPPER(C62)&amp;"-"&amp;TEXT(D62,"0000")&amp;"-"&amp;E62)</x:f>
        <x:v>M13-EFFECT-0056-V1.0</x:v>
      </x:c>
      <x:c r="B62" s="74" t="str">
        <x:v>M13</x:v>
      </x:c>
      <x:c r="C62" s="74" t="str">
        <x:v>EFFECT</x:v>
      </x:c>
      <x:c r="D62" s="215" t="n">
        <x:v>56</x:v>
      </x:c>
      <x:c r="E62" s="74" t="str">
        <x:v>V1.0</x:v>
      </x:c>
      <x:c r="F62" s="68" t="str">
        <x:v>调候元素必须作用于关键卡点才算功能有效</x:v>
      </x:c>
      <x:c r="G62" s="82" t="str">
        <x:v>结构层</x:v>
      </x:c>
      <x:c r="H62" s="82" t="str">
        <x:v>寒暖燥湿综合</x:v>
      </x:c>
      <x:c r="I62" s="68" t="str">
        <x:v>通用</x:v>
      </x:c>
      <x:c r="J62" s="68" t="str">
        <x:v>候选五行虽能理论上暖、润、燥湿，但无法进入M12主卡点或主要生化路径</x:v>
      </x:c>
      <x:c r="K62" s="68" t="str">
        <x:v>待定</x:v>
      </x:c>
      <x:c r="L62" s="68" t="str">
        <x:v>待定</x:v>
      </x:c>
      <x:c r="M62" s="82" t="str">
        <x:v>待定</x:v>
      </x:c>
      <x:c r="N62" s="82" t="str">
        <x:v>待定</x:v>
      </x:c>
      <x:c r="O62" s="68" t="str">
        <x:v>理论调候与实际路径脱节</x:v>
      </x:c>
      <x:c r="P62" s="68" t="str">
        <x:v>候选五行</x:v>
      </x:c>
      <x:c r="Q62" s="68" t="str">
        <x:v>不能有效触达病位</x:v>
      </x:c>
      <x:c r="R62" s="82" t="str">
        <x:v>是</x:v>
      </x:c>
      <x:c r="S62" s="82" t="str">
        <x:v>受限</x:v>
      </x:c>
      <x:c r="T62" s="82" t="str">
        <x:v>待定</x:v>
      </x:c>
      <x:c r="U62" s="82" t="str">
        <x:v>待定</x:v>
      </x:c>
      <x:c r="V62" s="82" t="str">
        <x:v>待定</x:v>
      </x:c>
      <x:c r="W62" s="68" t="str">
        <x:v>M02基础映射、M08五行有效旺衰、M12流通卡点已完成</x:v>
      </x:c>
      <x:c r="X62" s="68" t="str">
        <x:v>月令基准与全局有效五行均已核查</x:v>
      </x:c>
      <x:c r="Y62" s="68" t="str">
        <x:v>相关调候五行有根有源、透达且能真实改善关键气候问题</x:v>
      </x:c>
      <x:c r="Z62" s="68" t="str">
        <x:v>调候五行无根、受强制、被合绊、改性或加入后产生新的寒热燥湿问题</x:v>
      </x:c>
      <x:c r="AA62" s="90" t="str">
        <x:v>不得只凭出生月份或某一五行数量直接下最终调候结论</x:v>
      </x:c>
      <x:c r="AB62" s="68" t="str">
        <x:v>特殊格局、核心格局用神或更高优先级病药约束转M16—M18裁决</x:v>
      </x:c>
      <x:c r="AC62" s="84" t="str">
        <x:v>调候作用路径要求</x:v>
      </x:c>
      <x:c r="AD62" s="84" t="str">
        <x:v>调候元素必须作用于关键卡点才算功能有效：温度轴判“待定”，湿度轴判“待定”；调候候选为“候选五行”，是否成为最终用神仍转M16—M18。</x:v>
      </x:c>
      <x:c r="AE62" s="82" t="str">
        <x:v>较高</x:v>
      </x:c>
      <x:c r="AF62" s="82" t="str">
        <x:v>调候</x:v>
      </x:c>
      <x:c r="AG62" s="68" t="str">
        <x:v>调候以月令气候为起点，但必须结合M08五行有效力量与M12流通状态修正；寒暖与燥湿分轴判断，调候候选不自动等于全局主用神。</x:v>
      </x:c>
      <x:c r="AH62" s="68" t="str">
        <x:v>当“候选五行虽能理论上暖、润、燥湿，但无法进入M12主卡点或主要生化路径”真实成立，且调候机制能改善主要气候问题时，可按“调候元素必须作用于关键卡点才算功能有效”记录。</x:v>
      </x:c>
      <x:c r="AI62" s="90" t="str">
        <x:v>仅见月份或表面五行标签，但未满足“候选五行虽能理论上暖、润、燥湿，但无法进入M12主卡点或主要生化路径”及必要修正条件时，不得套用“调候元素必须作用于关键卡点才算功能有效”。</x:v>
      </x:c>
      <x:c r="AJ62" s="82" t="str">
        <x:v>采用</x:v>
      </x:c>
      <x:c r="AK62" s="82" t="str">
        <x:v>初审</x:v>
      </x:c>
      <x:c r="AL62" s="87" t="n">
        <x:v>46255</x:v>
      </x:c>
    </x:row>
    <x:row r="63">
      <x:c r="A63" s="72" t="str">
        <x:f>IF(OR(C63="",D63=""),"",B63&amp;"-"&amp;UPPER(C63)&amp;"-"&amp;TEXT(D63,"0000")&amp;"-"&amp;E63)</x:f>
        <x:v>M13-CONFLICT-0057-V1.0</x:v>
      </x:c>
      <x:c r="B63" s="74" t="str">
        <x:v>M13</x:v>
      </x:c>
      <x:c r="C63" s="74" t="str">
        <x:v>CONFLICT</x:v>
      </x:c>
      <x:c r="D63" s="215" t="n">
        <x:v>57</x:v>
      </x:c>
      <x:c r="E63" s="74" t="str">
        <x:v>V1.0</x:v>
      </x:c>
      <x:c r="F63" s="68" t="str">
        <x:v>调候候选与扶抑方向一致时优先级提高</x:v>
      </x:c>
      <x:c r="G63" s="82" t="str">
        <x:v>结构层</x:v>
      </x:c>
      <x:c r="H63" s="82" t="str">
        <x:v>寒暖燥湿综合</x:v>
      </x:c>
      <x:c r="I63" s="68" t="str">
        <x:v>通用</x:v>
      </x:c>
      <x:c r="J63" s="68" t="str">
        <x:v>同一五行既能改善寒暖燥湿，又能改善M09日主或全局旺衰失衡</x:v>
      </x:c>
      <x:c r="K63" s="68" t="str">
        <x:v>待定</x:v>
      </x:c>
      <x:c r="L63" s="68" t="str">
        <x:v>待定</x:v>
      </x:c>
      <x:c r="M63" s="82" t="str">
        <x:v>待定</x:v>
      </x:c>
      <x:c r="N63" s="82" t="str">
        <x:v>待定</x:v>
      </x:c>
      <x:c r="O63" s="68" t="str">
        <x:v>两种需求同向</x:v>
      </x:c>
      <x:c r="P63" s="68" t="str">
        <x:v>同一五行</x:v>
      </x:c>
      <x:c r="Q63" s="68" t="str">
        <x:v>一药多效</x:v>
      </x:c>
      <x:c r="R63" s="82" t="str">
        <x:v>待定</x:v>
      </x:c>
      <x:c r="S63" s="82" t="str">
        <x:v>待定</x:v>
      </x:c>
      <x:c r="T63" s="82" t="str">
        <x:v>高</x:v>
      </x:c>
      <x:c r="U63" s="82" t="str">
        <x:v>否</x:v>
      </x:c>
      <x:c r="V63" s="82" t="str">
        <x:v>待定</x:v>
      </x:c>
      <x:c r="W63" s="68" t="str">
        <x:v>M02基础映射、M08五行有效旺衰、M12流通卡点已完成</x:v>
      </x:c>
      <x:c r="X63" s="68" t="str">
        <x:v>月令基准与全局有效五行均已核查</x:v>
      </x:c>
      <x:c r="Y63" s="68" t="str">
        <x:v>相关调候五行有根有源、透达且能真实改善关键气候问题</x:v>
      </x:c>
      <x:c r="Z63" s="68" t="str">
        <x:v>调候五行无根、受强制、被合绊、改性或加入后产生新的寒热燥湿问题</x:v>
      </x:c>
      <x:c r="AA63" s="90" t="str">
        <x:v>不得只凭出生月份或某一五行数量直接下最终调候结论</x:v>
      </x:c>
      <x:c r="AB63" s="68" t="str">
        <x:v>特殊格局、核心格局用神或更高优先级病药约束转M16—M18裁决</x:v>
      </x:c>
      <x:c r="AC63" s="84" t="str">
        <x:v>调候扶抑一致</x:v>
      </x:c>
      <x:c r="AD63" s="84" t="str">
        <x:v>调候候选与扶抑方向一致时优先级提高：温度轴判“待定”，湿度轴判“待定”；调候候选为“同一五行”，是否成为最终用神仍转M16—M18。</x:v>
      </x:c>
      <x:c r="AE63" s="82" t="str">
        <x:v>较高</x:v>
      </x:c>
      <x:c r="AF63" s="82" t="str">
        <x:v>调候</x:v>
      </x:c>
      <x:c r="AG63" s="68" t="str">
        <x:v>调候以月令气候为起点，但必须结合M08五行有效力量与M12流通状态修正；寒暖与燥湿分轴判断，调候候选不自动等于全局主用神。</x:v>
      </x:c>
      <x:c r="AH63" s="68" t="str">
        <x:v>当“同一五行既能改善寒暖燥湿，又能改善M09日主或全局旺衰失衡”真实成立，且调候机制能改善主要气候问题时，可按“调候候选与扶抑方向一致时优先级提高”记录。</x:v>
      </x:c>
      <x:c r="AI63" s="90" t="str">
        <x:v>仅见月份或表面五行标签，但未满足“同一五行既能改善寒暖燥湿，又能改善M09日主或全局旺衰失衡”及必要修正条件时，不得套用“调候候选与扶抑方向一致时优先级提高”。</x:v>
      </x:c>
      <x:c r="AJ63" s="82" t="str">
        <x:v>采用</x:v>
      </x:c>
      <x:c r="AK63" s="82" t="str">
        <x:v>初审</x:v>
      </x:c>
      <x:c r="AL63" s="87" t="n">
        <x:v>46255</x:v>
      </x:c>
    </x:row>
    <x:row r="64">
      <x:c r="A64" s="72" t="str">
        <x:f>IF(OR(C64="",D64=""),"",B64&amp;"-"&amp;UPPER(C64)&amp;"-"&amp;TEXT(D64,"0000")&amp;"-"&amp;E64)</x:f>
        <x:v>M13-CONFLICT-0058-V1.0</x:v>
      </x:c>
      <x:c r="B64" s="74" t="str">
        <x:v>M13</x:v>
      </x:c>
      <x:c r="C64" s="74" t="str">
        <x:v>CONFLICT</x:v>
      </x:c>
      <x:c r="D64" s="215" t="n">
        <x:v>58</x:v>
      </x:c>
      <x:c r="E64" s="74" t="str">
        <x:v>V1.0</x:v>
      </x:c>
      <x:c r="F64" s="68" t="str">
        <x:v>调候候选与扶抑方向冲突时必须条件化</x:v>
      </x:c>
      <x:c r="G64" s="82" t="str">
        <x:v>结构层</x:v>
      </x:c>
      <x:c r="H64" s="82" t="str">
        <x:v>寒暖燥湿综合</x:v>
      </x:c>
      <x:c r="I64" s="68" t="str">
        <x:v>通用</x:v>
      </x:c>
      <x:c r="J64" s="68" t="str">
        <x:v>调候需要某五行，但该五行会明显加重日主或全局旺衰失衡</x:v>
      </x:c>
      <x:c r="K64" s="68" t="str">
        <x:v>待定</x:v>
      </x:c>
      <x:c r="L64" s="68" t="str">
        <x:v>待定</x:v>
      </x:c>
      <x:c r="M64" s="82" t="str">
        <x:v>待定</x:v>
      </x:c>
      <x:c r="N64" s="82" t="str">
        <x:v>待定</x:v>
      </x:c>
      <x:c r="O64" s="68" t="str">
        <x:v>调候收益与扶抑副作用冲突</x:v>
      </x:c>
      <x:c r="P64" s="68" t="str">
        <x:v>调候五行</x:v>
      </x:c>
      <x:c r="Q64" s="68" t="str">
        <x:v>限量或寻找替代调候路径</x:v>
      </x:c>
      <x:c r="R64" s="82" t="str">
        <x:v>待定</x:v>
      </x:c>
      <x:c r="S64" s="82" t="str">
        <x:v>待定</x:v>
      </x:c>
      <x:c r="T64" s="82" t="str">
        <x:v>待定</x:v>
      </x:c>
      <x:c r="U64" s="82" t="str">
        <x:v>是</x:v>
      </x:c>
      <x:c r="V64" s="82" t="str">
        <x:v>待定</x:v>
      </x:c>
      <x:c r="W64" s="68" t="str">
        <x:v>M02基础映射、M08五行有效旺衰、M12流通卡点已完成</x:v>
      </x:c>
      <x:c r="X64" s="68" t="str">
        <x:v>月令基准与全局有效五行均已核查</x:v>
      </x:c>
      <x:c r="Y64" s="68" t="str">
        <x:v>相关调候五行有根有源、透达且能真实改善关键气候问题</x:v>
      </x:c>
      <x:c r="Z64" s="68" t="str">
        <x:v>调候五行无根、受强制、被合绊、改性或加入后产生新的寒热燥湿问题</x:v>
      </x:c>
      <x:c r="AA64" s="90" t="str">
        <x:v>不得只凭出生月份或某一五行数量直接下最终调候结论</x:v>
      </x:c>
      <x:c r="AB64" s="68" t="str">
        <x:v>特殊格局、核心格局用神或更高优先级病药约束转M16—M18裁决</x:v>
      </x:c>
      <x:c r="AC64" s="84" t="str">
        <x:v>调候扶抑冲突</x:v>
      </x:c>
      <x:c r="AD64" s="84" t="str">
        <x:v>调候候选与扶抑方向冲突时必须条件化：温度轴判“待定”，湿度轴判“待定”；调候候选为“调候五行”，是否成为最终用神仍转M16—M18。</x:v>
      </x:c>
      <x:c r="AE64" s="82" t="str">
        <x:v>较高</x:v>
      </x:c>
      <x:c r="AF64" s="82" t="str">
        <x:v>调候</x:v>
      </x:c>
      <x:c r="AG64" s="68" t="str">
        <x:v>调候以月令气候为起点，但必须结合M08五行有效力量与M12流通状态修正；寒暖与燥湿分轴判断，调候候选不自动等于全局主用神。</x:v>
      </x:c>
      <x:c r="AH64" s="68" t="str">
        <x:v>当“调候需要某五行，但该五行会明显加重日主或全局旺衰失衡”真实成立，且调候机制能改善主要气候问题时，可按“调候候选与扶抑方向冲突时必须条件化”记录。</x:v>
      </x:c>
      <x:c r="AI64" s="90" t="str">
        <x:v>仅见月份或表面五行标签，但未满足“调候需要某五行，但该五行会明显加重日主或全局旺衰失衡”及必要修正条件时，不得套用“调候候选与扶抑方向冲突时必须条件化”。</x:v>
      </x:c>
      <x:c r="AJ64" s="82" t="str">
        <x:v>采用</x:v>
      </x:c>
      <x:c r="AK64" s="82" t="str">
        <x:v>初审</x:v>
      </x:c>
      <x:c r="AL64" s="87" t="n">
        <x:v>46255</x:v>
      </x:c>
    </x:row>
    <x:row r="65">
      <x:c r="A65" s="72" t="str">
        <x:f>IF(OR(C65="",D65=""),"",B65&amp;"-"&amp;UPPER(C65)&amp;"-"&amp;TEXT(D65,"0000")&amp;"-"&amp;E65)</x:f>
        <x:v>M13-CONFLICT-0059-V1.0</x:v>
      </x:c>
      <x:c r="B65" s="74" t="str">
        <x:v>M13</x:v>
      </x:c>
      <x:c r="C65" s="74" t="str">
        <x:v>CONFLICT</x:v>
      </x:c>
      <x:c r="D65" s="215" t="n">
        <x:v>59</x:v>
      </x:c>
      <x:c r="E65" s="74" t="str">
        <x:v>V1.0</x:v>
      </x:c>
      <x:c r="F65" s="68" t="str">
        <x:v>调候候选维护格局时可提高优先级</x:v>
      </x:c>
      <x:c r="G65" s="82" t="str">
        <x:v>结构层</x:v>
      </x:c>
      <x:c r="H65" s="82" t="str">
        <x:v>寒暖燥湿综合</x:v>
      </x:c>
      <x:c r="I65" s="68" t="str">
        <x:v>通用</x:v>
      </x:c>
      <x:c r="J65" s="68" t="str">
        <x:v>调候五行同时属于M14/M15格局所需或能保护核心格神</x:v>
      </x:c>
      <x:c r="K65" s="68" t="str">
        <x:v>待定</x:v>
      </x:c>
      <x:c r="L65" s="68" t="str">
        <x:v>待定</x:v>
      </x:c>
      <x:c r="M65" s="82" t="str">
        <x:v>待定</x:v>
      </x:c>
      <x:c r="N65" s="82" t="str">
        <x:v>待定</x:v>
      </x:c>
      <x:c r="O65" s="68" t="str">
        <x:v>调候与格局方向一致</x:v>
      </x:c>
      <x:c r="P65" s="68" t="str">
        <x:v>调候五行</x:v>
      </x:c>
      <x:c r="Q65" s="68" t="str">
        <x:v>兼顾气候与护格</x:v>
      </x:c>
      <x:c r="R65" s="82" t="str">
        <x:v>待定</x:v>
      </x:c>
      <x:c r="S65" s="82" t="str">
        <x:v>待定</x:v>
      </x:c>
      <x:c r="T65" s="82" t="str">
        <x:v>高</x:v>
      </x:c>
      <x:c r="U65" s="82" t="str">
        <x:v>待定</x:v>
      </x:c>
      <x:c r="V65" s="82" t="str">
        <x:v>否</x:v>
      </x:c>
      <x:c r="W65" s="68" t="str">
        <x:v>M02基础映射、M08五行有效旺衰、M12流通卡点已完成</x:v>
      </x:c>
      <x:c r="X65" s="68" t="str">
        <x:v>月令基准与全局有效五行均已核查</x:v>
      </x:c>
      <x:c r="Y65" s="68" t="str">
        <x:v>相关调候五行有根有源、透达且能真实改善关键气候问题</x:v>
      </x:c>
      <x:c r="Z65" s="68" t="str">
        <x:v>调候五行无根、受强制、被合绊、改性或加入后产生新的寒热燥湿问题</x:v>
      </x:c>
      <x:c r="AA65" s="90" t="str">
        <x:v>不得只凭出生月份或某一五行数量直接下最终调候结论</x:v>
      </x:c>
      <x:c r="AB65" s="68" t="str">
        <x:v>特殊格局、核心格局用神或更高优先级病药约束转M16—M18裁决</x:v>
      </x:c>
      <x:c r="AC65" s="84" t="str">
        <x:v>调候格局一致</x:v>
      </x:c>
      <x:c r="AD65" s="84" t="str">
        <x:v>调候候选维护格局时可提高优先级：温度轴判“待定”，湿度轴判“待定”；调候候选为“调候五行”，是否成为最终用神仍转M16—M18。</x:v>
      </x:c>
      <x:c r="AE65" s="82" t="str">
        <x:v>较高</x:v>
      </x:c>
      <x:c r="AF65" s="82" t="str">
        <x:v>调候</x:v>
      </x:c>
      <x:c r="AG65" s="68" t="str">
        <x:v>调候以月令气候为起点，但必须结合M08五行有效力量与M12流通状态修正；寒暖与燥湿分轴判断，调候候选不自动等于全局主用神。</x:v>
      </x:c>
      <x:c r="AH65" s="68" t="str">
        <x:v>当“调候五行同时属于M14/M15格局所需或能保护核心格神”真实成立，且调候机制能改善主要气候问题时，可按“调候候选维护格局时可提高优先级”记录。</x:v>
      </x:c>
      <x:c r="AI65" s="90" t="str">
        <x:v>仅见月份或表面五行标签，但未满足“调候五行同时属于M14/M15格局所需或能保护核心格神”及必要修正条件时，不得套用“调候候选维护格局时可提高优先级”。</x:v>
      </x:c>
      <x:c r="AJ65" s="82" t="str">
        <x:v>采用</x:v>
      </x:c>
      <x:c r="AK65" s="82" t="str">
        <x:v>初审</x:v>
      </x:c>
      <x:c r="AL65" s="87" t="n">
        <x:v>46255</x:v>
      </x:c>
    </x:row>
    <x:row r="66">
      <x:c r="A66" s="72" t="str">
        <x:f>IF(OR(C66="",D66=""),"",B66&amp;"-"&amp;UPPER(C66)&amp;"-"&amp;TEXT(D66,"0000")&amp;"-"&amp;E66)</x:f>
        <x:v>M13-CONFLICT-0060-V1.0</x:v>
      </x:c>
      <x:c r="B66" s="74" t="str">
        <x:v>M13</x:v>
      </x:c>
      <x:c r="C66" s="74" t="str">
        <x:v>CONFLICT</x:v>
      </x:c>
      <x:c r="D66" s="215" t="n">
        <x:v>60</x:v>
      </x:c>
      <x:c r="E66" s="74" t="str">
        <x:v>V1.0</x:v>
      </x:c>
      <x:c r="F66" s="68" t="str">
        <x:v>调候候选破坏核心格局时不得直接作为主用</x:v>
      </x:c>
      <x:c r="G66" s="82" t="str">
        <x:v>结构层</x:v>
      </x:c>
      <x:c r="H66" s="82" t="str">
        <x:v>寒暖燥湿综合</x:v>
      </x:c>
      <x:c r="I66" s="68" t="str">
        <x:v>通用</x:v>
      </x:c>
      <x:c r="J66" s="68" t="str">
        <x:v>调候五行虽能改善气候，但会强克、合去或泄损核心格神</x:v>
      </x:c>
      <x:c r="K66" s="68" t="str">
        <x:v>待定</x:v>
      </x:c>
      <x:c r="L66" s="68" t="str">
        <x:v>待定</x:v>
      </x:c>
      <x:c r="M66" s="82" t="str">
        <x:v>待定</x:v>
      </x:c>
      <x:c r="N66" s="82" t="str">
        <x:v>待定</x:v>
      </x:c>
      <x:c r="O66" s="68" t="str">
        <x:v>调候与格局冲突</x:v>
      </x:c>
      <x:c r="P66" s="68" t="str">
        <x:v>调候五行</x:v>
      </x:c>
      <x:c r="Q66" s="68" t="str">
        <x:v>降级为条件性或寻找替代方案</x:v>
      </x:c>
      <x:c r="R66" s="82" t="str">
        <x:v>待定</x:v>
      </x:c>
      <x:c r="S66" s="82" t="str">
        <x:v>待定</x:v>
      </x:c>
      <x:c r="T66" s="82" t="str">
        <x:v>待定</x:v>
      </x:c>
      <x:c r="U66" s="82" t="str">
        <x:v>待定</x:v>
      </x:c>
      <x:c r="V66" s="82" t="str">
        <x:v>是</x:v>
      </x:c>
      <x:c r="W66" s="68" t="str">
        <x:v>M02基础映射、M08五行有效旺衰、M12流通卡点已完成</x:v>
      </x:c>
      <x:c r="X66" s="68" t="str">
        <x:v>月令基准与全局有效五行均已核查</x:v>
      </x:c>
      <x:c r="Y66" s="68" t="str">
        <x:v>相关调候五行有根有源、透达且能真实改善关键气候问题</x:v>
      </x:c>
      <x:c r="Z66" s="68" t="str">
        <x:v>调候五行无根、受强制、被合绊、改性或加入后产生新的寒热燥湿问题</x:v>
      </x:c>
      <x:c r="AA66" s="90" t="str">
        <x:v>不得只凭出生月份或某一五行数量直接下最终调候结论</x:v>
      </x:c>
      <x:c r="AB66" s="68" t="str">
        <x:v>特殊格局、核心格局用神或更高优先级病药约束转M16—M18裁决</x:v>
      </x:c>
      <x:c r="AC66" s="84" t="str">
        <x:v>调候破格冲突</x:v>
      </x:c>
      <x:c r="AD66" s="84" t="str">
        <x:v>调候候选破坏核心格局时不得直接作为主用：温度轴判“待定”，湿度轴判“待定”；调候候选为“调候五行”，是否成为最终用神仍转M16—M18。</x:v>
      </x:c>
      <x:c r="AE66" s="82" t="str">
        <x:v>较高</x:v>
      </x:c>
      <x:c r="AF66" s="82" t="str">
        <x:v>调候</x:v>
      </x:c>
      <x:c r="AG66" s="68" t="str">
        <x:v>调候以月令气候为起点，但必须结合M08五行有效力量与M12流通状态修正；寒暖与燥湿分轴判断，调候候选不自动等于全局主用神。</x:v>
      </x:c>
      <x:c r="AH66" s="68" t="str">
        <x:v>当“调候五行虽能改善气候，但会强克、合去或泄损核心格神”真实成立，且调候机制能改善主要气候问题时，可按“调候候选破坏核心格局时不得直接作为主用”记录。</x:v>
      </x:c>
      <x:c r="AI66" s="90" t="str">
        <x:v>仅见月份或表面五行标签，但未满足“调候五行虽能改善气候，但会强克、合去或泄损核心格神”及必要修正条件时，不得套用“调候候选破坏核心格局时不得直接作为主用”。</x:v>
      </x:c>
      <x:c r="AJ66" s="82" t="str">
        <x:v>采用</x:v>
      </x:c>
      <x:c r="AK66" s="82" t="str">
        <x:v>初审</x:v>
      </x:c>
      <x:c r="AL66" s="87" t="n">
        <x:v>46255</x:v>
      </x:c>
    </x:row>
    <x:row r="67">
      <x:c r="A67" s="72" t="str">
        <x:f>IF(OR(C67="",D67=""),"",B67&amp;"-"&amp;UPPER(C67)&amp;"-"&amp;TEXT(D67,"0000")&amp;"-"&amp;E67)</x:f>
        <x:v>M13-CONFLICT-0061-V1.0</x:v>
      </x:c>
      <x:c r="B67" s="74" t="str">
        <x:v>M13</x:v>
      </x:c>
      <x:c r="C67" s="74" t="str">
        <x:v>CONFLICT</x:v>
      </x:c>
      <x:c r="D67" s="215" t="n">
        <x:v>61</x:v>
      </x:c>
      <x:c r="E67" s="74" t="str">
        <x:v>V1.0</x:v>
      </x:c>
      <x:c r="F67" s="68" t="str">
        <x:v>特殊格局严格成立时调候接受格局硬约束</x:v>
      </x:c>
      <x:c r="G67" s="82" t="str">
        <x:v>结构层</x:v>
      </x:c>
      <x:c r="H67" s="82" t="str">
        <x:v>寒暖燥湿综合</x:v>
      </x:c>
      <x:c r="I67" s="68" t="str">
        <x:v>通用</x:v>
      </x:c>
      <x:c r="J67" s="68" t="str">
        <x:v>M14/M15后续确认从格、化气等特殊格局严格成立</x:v>
      </x:c>
      <x:c r="K67" s="68" t="str">
        <x:v>待定</x:v>
      </x:c>
      <x:c r="L67" s="68" t="str">
        <x:v>待定</x:v>
      </x:c>
      <x:c r="M67" s="82" t="str">
        <x:v>待定</x:v>
      </x:c>
      <x:c r="N67" s="82" t="str">
        <x:v>待定</x:v>
      </x:c>
      <x:c r="O67" s="68" t="str">
        <x:v>普通调候可能破坏特殊格局气势</x:v>
      </x:c>
      <x:c r="P67" s="68" t="str">
        <x:v>待定</x:v>
      </x:c>
      <x:c r="Q67" s="68" t="str">
        <x:v>以不破特殊格局为前提</x:v>
      </x:c>
      <x:c r="R67" s="82" t="str">
        <x:v>待定</x:v>
      </x:c>
      <x:c r="S67" s="82" t="str">
        <x:v>待定</x:v>
      </x:c>
      <x:c r="T67" s="82" t="str">
        <x:v>待定</x:v>
      </x:c>
      <x:c r="U67" s="82" t="str">
        <x:v>待定</x:v>
      </x:c>
      <x:c r="V67" s="82" t="str">
        <x:v>是</x:v>
      </x:c>
      <x:c r="W67" s="68" t="str">
        <x:v>M02基础映射、M08五行有效旺衰、M12流通卡点已完成</x:v>
      </x:c>
      <x:c r="X67" s="68" t="str">
        <x:v>月令基准与全局有效五行均已核查</x:v>
      </x:c>
      <x:c r="Y67" s="68" t="str">
        <x:v>相关调候五行有根有源、透达且能真实改善关键气候问题</x:v>
      </x:c>
      <x:c r="Z67" s="68" t="str">
        <x:v>调候五行无根、受强制、被合绊、改性或加入后产生新的寒热燥湿问题</x:v>
      </x:c>
      <x:c r="AA67" s="90" t="str">
        <x:v>不得只凭出生月份或某一五行数量直接下最终调候结论</x:v>
      </x:c>
      <x:c r="AB67" s="68" t="str">
        <x:v>特殊格局、核心格局用神或更高优先级病药约束转M16—M18裁决</x:v>
      </x:c>
      <x:c r="AC67" s="84" t="str">
        <x:v>特殊格局调候约束</x:v>
      </x:c>
      <x:c r="AD67" s="84" t="str">
        <x:v>特殊格局严格成立时调候接受格局硬约束：温度轴判“待定”，湿度轴判“待定”；调候候选为“待定”，是否成为最终用神仍转M16—M18。</x:v>
      </x:c>
      <x:c r="AE67" s="82" t="str">
        <x:v>较高</x:v>
      </x:c>
      <x:c r="AF67" s="82" t="str">
        <x:v>调候</x:v>
      </x:c>
      <x:c r="AG67" s="68" t="str">
        <x:v>调候以月令气候为起点，但必须结合M08五行有效力量与M12流通状态修正；寒暖与燥湿分轴判断，调候候选不自动等于全局主用神。</x:v>
      </x:c>
      <x:c r="AH67" s="68" t="str">
        <x:v>当“M14/M15后续确认从格、化气等特殊格局严格成立”真实成立，且调候机制能改善主要气候问题时，可按“特殊格局严格成立时调候接受格局硬约束”记录。</x:v>
      </x:c>
      <x:c r="AI67" s="90" t="str">
        <x:v>仅见月份或表面五行标签，但未满足“M14/M15后续确认从格、化气等特殊格局严格成立”及必要修正条件时，不得套用“特殊格局严格成立时调候接受格局硬约束”。</x:v>
      </x:c>
      <x:c r="AJ67" s="82" t="str">
        <x:v>采用</x:v>
      </x:c>
      <x:c r="AK67" s="82" t="str">
        <x:v>初审</x:v>
      </x:c>
      <x:c r="AL67" s="87" t="n">
        <x:v>46255</x:v>
      </x:c>
    </x:row>
    <x:row r="68">
      <x:c r="A68" s="72" t="str">
        <x:f>IF(OR(C68="",D68=""),"",B68&amp;"-"&amp;UPPER(C68)&amp;"-"&amp;TEXT(D68,"0000")&amp;"-"&amp;E68)</x:f>
        <x:v>M13-CONFLICT-0062-V1.0</x:v>
      </x:c>
      <x:c r="B68" s="74" t="str">
        <x:v>M13</x:v>
      </x:c>
      <x:c r="C68" s="74" t="str">
        <x:v>CONFLICT</x:v>
      </x:c>
      <x:c r="D68" s="215" t="n">
        <x:v>62</x:v>
      </x:c>
      <x:c r="E68" s="74" t="str">
        <x:v>V1.0</x:v>
      </x:c>
      <x:c r="F68" s="68" t="str">
        <x:v>通关与调候同一五行时形成高价值复合候选</x:v>
      </x:c>
      <x:c r="G68" s="82" t="str">
        <x:v>结构层</x:v>
      </x:c>
      <x:c r="H68" s="82" t="str">
        <x:v>寒暖燥湿综合</x:v>
      </x:c>
      <x:c r="I68" s="68" t="str">
        <x:v>通用</x:v>
      </x:c>
      <x:c r="J68" s="68" t="str">
        <x:v>M12通关候选与M13调候候选五行一致，且无重大格局副作用</x:v>
      </x:c>
      <x:c r="K68" s="68" t="str">
        <x:v>待定</x:v>
      </x:c>
      <x:c r="L68" s="68" t="str">
        <x:v>待定</x:v>
      </x:c>
      <x:c r="M68" s="82" t="str">
        <x:v>待定</x:v>
      </x:c>
      <x:c r="N68" s="82" t="str">
        <x:v>待定</x:v>
      </x:c>
      <x:c r="O68" s="68" t="str">
        <x:v>同时解决流通和气候问题</x:v>
      </x:c>
      <x:c r="P68" s="68" t="str">
        <x:v>同一五行</x:v>
      </x:c>
      <x:c r="Q68" s="68" t="str">
        <x:v>通关＋调候复合</x:v>
      </x:c>
      <x:c r="R68" s="82" t="str">
        <x:v>待定</x:v>
      </x:c>
      <x:c r="S68" s="82" t="str">
        <x:v>待定</x:v>
      </x:c>
      <x:c r="T68" s="82" t="str">
        <x:v>高</x:v>
      </x:c>
      <x:c r="U68" s="82" t="str">
        <x:v>否</x:v>
      </x:c>
      <x:c r="V68" s="82" t="str">
        <x:v>否</x:v>
      </x:c>
      <x:c r="W68" s="68" t="str">
        <x:v>M02基础映射、M08五行有效旺衰、M12流通卡点已完成</x:v>
      </x:c>
      <x:c r="X68" s="68" t="str">
        <x:v>月令基准与全局有效五行均已核查</x:v>
      </x:c>
      <x:c r="Y68" s="68" t="str">
        <x:v>相关调候五行有根有源、透达且能真实改善关键气候问题</x:v>
      </x:c>
      <x:c r="Z68" s="68" t="str">
        <x:v>调候五行无根、受强制、被合绊、改性或加入后产生新的寒热燥湿问题</x:v>
      </x:c>
      <x:c r="AA68" s="90" t="str">
        <x:v>不得只凭出生月份或某一五行数量直接下最终调候结论</x:v>
      </x:c>
      <x:c r="AB68" s="68" t="str">
        <x:v>特殊格局、核心格局用神或更高优先级病药约束转M16—M18裁决</x:v>
      </x:c>
      <x:c r="AC68" s="84" t="str">
        <x:v>通关调候一致</x:v>
      </x:c>
      <x:c r="AD68" s="84" t="str">
        <x:v>通关与调候同一五行时形成高价值复合候选：温度轴判“待定”，湿度轴判“待定”；调候候选为“同一五行”，是否成为最终用神仍转M16—M18。</x:v>
      </x:c>
      <x:c r="AE68" s="82" t="str">
        <x:v>较高</x:v>
      </x:c>
      <x:c r="AF68" s="82" t="str">
        <x:v>调候</x:v>
      </x:c>
      <x:c r="AG68" s="68" t="str">
        <x:v>调候以月令气候为起点，但必须结合M08五行有效力量与M12流通状态修正；寒暖与燥湿分轴判断，调候候选不自动等于全局主用神。</x:v>
      </x:c>
      <x:c r="AH68" s="68" t="str">
        <x:v>当“M12通关候选与M13调候候选五行一致，且无重大格局副作用”真实成立，且调候机制能改善主要气候问题时，可按“通关与调候同一五行时形成高价值复合候选”记录。</x:v>
      </x:c>
      <x:c r="AI68" s="90" t="str">
        <x:v>仅见月份或表面五行标签，但未满足“M12通关候选与M13调候候选五行一致，且无重大格局副作用”及必要修正条件时，不得套用“通关与调候同一五行时形成高价值复合候选”。</x:v>
      </x:c>
      <x:c r="AJ68" s="82" t="str">
        <x:v>采用</x:v>
      </x:c>
      <x:c r="AK68" s="82" t="str">
        <x:v>初审</x:v>
      </x:c>
      <x:c r="AL68" s="87" t="n">
        <x:v>46255</x:v>
      </x:c>
    </x:row>
    <x:row r="69">
      <x:c r="A69" s="72" t="str">
        <x:f>IF(OR(C69="",D69=""),"",B69&amp;"-"&amp;UPPER(C69)&amp;"-"&amp;TEXT(D69,"0000")&amp;"-"&amp;E69)</x:f>
        <x:v>M13-CONFLICT-0063-V1.0</x:v>
      </x:c>
      <x:c r="B69" s="74" t="str">
        <x:v>M13</x:v>
      </x:c>
      <x:c r="C69" s="74" t="str">
        <x:v>CONFLICT</x:v>
      </x:c>
      <x:c r="D69" s="215" t="n">
        <x:v>63</x:v>
      </x:c>
      <x:c r="E69" s="74" t="str">
        <x:v>V1.0</x:v>
      </x:c>
      <x:c r="F69" s="68" t="str">
        <x:v>通关有效但会恶化气候时必须降级</x:v>
      </x:c>
      <x:c r="G69" s="82" t="str">
        <x:v>结构层</x:v>
      </x:c>
      <x:c r="H69" s="82" t="str">
        <x:v>寒暖燥湿综合</x:v>
      </x:c>
      <x:c r="I69" s="68" t="str">
        <x:v>通用</x:v>
      </x:c>
      <x:c r="J69" s="68" t="str">
        <x:v>M12通关候选能解决两强相战，但会把原局推向极寒湿或极热燥</x:v>
      </x:c>
      <x:c r="K69" s="68" t="str">
        <x:v>待定</x:v>
      </x:c>
      <x:c r="L69" s="68" t="str">
        <x:v>待定</x:v>
      </x:c>
      <x:c r="M69" s="82" t="str">
        <x:v>待定</x:v>
      </x:c>
      <x:c r="N69" s="82" t="str">
        <x:v>待定</x:v>
      </x:c>
      <x:c r="O69" s="68" t="str">
        <x:v>流通收益与气候副作用冲突</x:v>
      </x:c>
      <x:c r="P69" s="68" t="str">
        <x:v>通关五行</x:v>
      </x:c>
      <x:c r="Q69" s="68" t="str">
        <x:v>降低优先级或寻找替代桥梁</x:v>
      </x:c>
      <x:c r="R69" s="82" t="str">
        <x:v>待定</x:v>
      </x:c>
      <x:c r="S69" s="82" t="str">
        <x:v>待定</x:v>
      </x:c>
      <x:c r="T69" s="82" t="str">
        <x:v>待定</x:v>
      </x:c>
      <x:c r="U69" s="82" t="str">
        <x:v>待定</x:v>
      </x:c>
      <x:c r="V69" s="82" t="str">
        <x:v>条件性</x:v>
      </x:c>
      <x:c r="W69" s="68" t="str">
        <x:v>M02基础映射、M08五行有效旺衰、M12流通卡点已完成</x:v>
      </x:c>
      <x:c r="X69" s="68" t="str">
        <x:v>月令基准与全局有效五行均已核查</x:v>
      </x:c>
      <x:c r="Y69" s="68" t="str">
        <x:v>相关调候五行有根有源、透达且能真实改善关键气候问题</x:v>
      </x:c>
      <x:c r="Z69" s="68" t="str">
        <x:v>调候五行无根、受强制、被合绊、改性或加入后产生新的寒热燥湿问题</x:v>
      </x:c>
      <x:c r="AA69" s="90" t="str">
        <x:v>不得只凭出生月份或某一五行数量直接下最终调候结论</x:v>
      </x:c>
      <x:c r="AB69" s="68" t="str">
        <x:v>特殊格局、核心格局用神或更高优先级病药约束转M16—M18裁决</x:v>
      </x:c>
      <x:c r="AC69" s="84" t="str">
        <x:v>通关调候冲突</x:v>
      </x:c>
      <x:c r="AD69" s="84" t="str">
        <x:v>通关有效但会恶化气候时必须降级：温度轴判“待定”，湿度轴判“待定”；调候候选为“通关五行”，是否成为最终用神仍转M16—M18。</x:v>
      </x:c>
      <x:c r="AE69" s="82" t="str">
        <x:v>较高</x:v>
      </x:c>
      <x:c r="AF69" s="82" t="str">
        <x:v>调候</x:v>
      </x:c>
      <x:c r="AG69" s="68" t="str">
        <x:v>调候以月令气候为起点，但必须结合M08五行有效力量与M12流通状态修正；寒暖与燥湿分轴判断，调候候选不自动等于全局主用神。</x:v>
      </x:c>
      <x:c r="AH69" s="68" t="str">
        <x:v>当“M12通关候选能解决两强相战，但会把原局推向极寒湿或极热燥”真实成立，且调候机制能改善主要气候问题时，可按“通关有效但会恶化气候时必须降级”记录。</x:v>
      </x:c>
      <x:c r="AI69" s="90" t="str">
        <x:v>仅见月份或表面五行标签，但未满足“M12通关候选能解决两强相战，但会把原局推向极寒湿或极热燥”及必要修正条件时，不得套用“通关有效但会恶化气候时必须降级”。</x:v>
      </x:c>
      <x:c r="AJ69" s="82" t="str">
        <x:v>采用</x:v>
      </x:c>
      <x:c r="AK69" s="82" t="str">
        <x:v>初审</x:v>
      </x:c>
      <x:c r="AL69" s="87" t="n">
        <x:v>46255</x:v>
      </x:c>
    </x:row>
    <x:row r="70">
      <x:c r="A70" s="72" t="str">
        <x:f>IF(OR(C70="",D70=""),"",B70&amp;"-"&amp;UPPER(C70)&amp;"-"&amp;TEXT(D70,"0000")&amp;"-"&amp;E70)</x:f>
        <x:v>M13-CONFLICT-0064-V1.0</x:v>
      </x:c>
      <x:c r="B70" s="74" t="str">
        <x:v>M13</x:v>
      </x:c>
      <x:c r="C70" s="74" t="str">
        <x:v>CONFLICT</x:v>
      </x:c>
      <x:c r="D70" s="215" t="n">
        <x:v>64</x:v>
      </x:c>
      <x:c r="E70" s="74" t="str">
        <x:v>V1.0</x:v>
      </x:c>
      <x:c r="F70" s="68" t="str">
        <x:v>调候优先级只在气候成为根本病时上升到首要</x:v>
      </x:c>
      <x:c r="G70" s="82" t="str">
        <x:v>结构层</x:v>
      </x:c>
      <x:c r="H70" s="82" t="str">
        <x:v>寒暖燥湿综合</x:v>
      </x:c>
      <x:c r="I70" s="68" t="str">
        <x:v>通用</x:v>
      </x:c>
      <x:c r="J70" s="68" t="str">
        <x:v>气候失衡是M12多个卡点和M08功能受限的共同根因</x:v>
      </x:c>
      <x:c r="K70" s="68" t="str">
        <x:v>待定</x:v>
      </x:c>
      <x:c r="L70" s="68" t="str">
        <x:v>待定</x:v>
      </x:c>
      <x:c r="M70" s="82" t="str">
        <x:v>待定</x:v>
      </x:c>
      <x:c r="N70" s="82" t="str">
        <x:v>待定</x:v>
      </x:c>
      <x:c r="O70" s="68" t="str">
        <x:v>寒暖燥湿成为根本病而非表层现象</x:v>
      </x:c>
      <x:c r="P70" s="68" t="str">
        <x:v>对应调候五行</x:v>
      </x:c>
      <x:c r="Q70" s="68" t="str">
        <x:v>先恢复基础生化环境</x:v>
      </x:c>
      <x:c r="R70" s="82" t="str">
        <x:v>待定</x:v>
      </x:c>
      <x:c r="S70" s="82" t="str">
        <x:v>待定</x:v>
      </x:c>
      <x:c r="T70" s="82" t="str">
        <x:v>首要</x:v>
      </x:c>
      <x:c r="U70" s="82" t="str">
        <x:v>待定</x:v>
      </x:c>
      <x:c r="V70" s="82" t="str">
        <x:v>待定</x:v>
      </x:c>
      <x:c r="W70" s="68" t="str">
        <x:v>M02基础映射、M08五行有效旺衰、M12流通卡点已完成</x:v>
      </x:c>
      <x:c r="X70" s="68" t="str">
        <x:v>月令基准与全局有效五行均已核查</x:v>
      </x:c>
      <x:c r="Y70" s="68" t="str">
        <x:v>相关调候五行有根有源、透达且能真实改善关键气候问题</x:v>
      </x:c>
      <x:c r="Z70" s="68" t="str">
        <x:v>调候五行无根、受强制、被合绊、改性或加入后产生新的寒热燥湿问题</x:v>
      </x:c>
      <x:c r="AA70" s="90" t="str">
        <x:v>不得只凭出生月份或某一五行数量直接下最终调候结论</x:v>
      </x:c>
      <x:c r="AB70" s="68" t="str">
        <x:v>特殊格局、核心格局用神或更高优先级病药约束转M16—M18裁决</x:v>
      </x:c>
      <x:c r="AC70" s="84" t="str">
        <x:v>调候根本病升级</x:v>
      </x:c>
      <x:c r="AD70" s="84" t="str">
        <x:v>调候优先级只在气候成为根本病时上升到首要：温度轴判“待定”，湿度轴判“待定”；调候候选为“对应调候五行”，是否成为最终用神仍转M16—M18。</x:v>
      </x:c>
      <x:c r="AE70" s="82" t="str">
        <x:v>较高</x:v>
      </x:c>
      <x:c r="AF70" s="82" t="str">
        <x:v>调候</x:v>
      </x:c>
      <x:c r="AG70" s="68" t="str">
        <x:v>调候以月令气候为起点，但必须结合M08五行有效力量与M12流通状态修正；寒暖与燥湿分轴判断，调候候选不自动等于全局主用神。</x:v>
      </x:c>
      <x:c r="AH70" s="68" t="str">
        <x:v>当“气候失衡是M12多个卡点和M08功能受限的共同根因”真实成立，且调候机制能改善主要气候问题时，可按“调候优先级只在气候成为根本病时上升到首要”记录。</x:v>
      </x:c>
      <x:c r="AI70" s="90" t="str">
        <x:v>仅见月份或表面五行标签，但未满足“气候失衡是M12多个卡点和M08功能受限的共同根因”及必要修正条件时，不得套用“调候优先级只在气候成为根本病时上升到首要”。</x:v>
      </x:c>
      <x:c r="AJ70" s="82" t="str">
        <x:v>采用</x:v>
      </x:c>
      <x:c r="AK70" s="82" t="str">
        <x:v>初审</x:v>
      </x:c>
      <x:c r="AL70" s="87" t="n">
        <x:v>46255</x:v>
      </x:c>
    </x:row>
    <x:row r="71">
      <x:c r="A71" s="72" t="str">
        <x:f>IF(OR(C71="",D71=""),"",B71&amp;"-"&amp;UPPER(C71)&amp;"-"&amp;TEXT(D71,"0000")&amp;"-"&amp;E71)</x:f>
        <x:v>M13-BOUND-0065-V1.0</x:v>
      </x:c>
      <x:c r="B71" s="74" t="str">
        <x:v>M13</x:v>
      </x:c>
      <x:c r="C71" s="74" t="str">
        <x:v>BOUND</x:v>
      </x:c>
      <x:c r="D71" s="215" t="n">
        <x:v>65</x:v>
      </x:c>
      <x:c r="E71" s="74" t="str">
        <x:v>V1.0</x:v>
      </x:c>
      <x:c r="F71" s="68" t="str">
        <x:v>冬月不自动判极寒</x:v>
      </x:c>
      <x:c r="G71" s="82" t="str">
        <x:v>结构层</x:v>
      </x:c>
      <x:c r="H71" s="82" t="str">
        <x:v>寒暖燥湿综合</x:v>
      </x:c>
      <x:c r="I71" s="68" t="str">
        <x:v>通用</x:v>
      </x:c>
      <x:c r="J71" s="68" t="str">
        <x:v>冬月出生但火土有效、火有根有源且全局水势不强</x:v>
      </x:c>
      <x:c r="K71" s="68" t="str">
        <x:v>待定</x:v>
      </x:c>
      <x:c r="L71" s="68" t="str">
        <x:v>待定</x:v>
      </x:c>
      <x:c r="M71" s="82" t="str">
        <x:v>待定</x:v>
      </x:c>
      <x:c r="N71" s="82" t="str">
        <x:v>待定</x:v>
      </x:c>
      <x:c r="O71" s="68" t="str">
        <x:v>月份与全局可能相互抵消</x:v>
      </x:c>
      <x:c r="P71" s="68" t="str">
        <x:v>待定</x:v>
      </x:c>
      <x:c r="Q71" s="68" t="str">
        <x:v>需按全局修正</x:v>
      </x:c>
      <x:c r="R71" s="82" t="str">
        <x:v>待定</x:v>
      </x:c>
      <x:c r="S71" s="82" t="str">
        <x:v>待定</x:v>
      </x:c>
      <x:c r="T71" s="82" t="str">
        <x:v>待定</x:v>
      </x:c>
      <x:c r="U71" s="82" t="str">
        <x:v>待定</x:v>
      </x:c>
      <x:c r="V71" s="82" t="str">
        <x:v>待定</x:v>
      </x:c>
      <x:c r="W71" s="68" t="str">
        <x:v>M02基础映射、M08五行有效旺衰、M12流通卡点已完成</x:v>
      </x:c>
      <x:c r="X71" s="68" t="str">
        <x:v>月令基准与全局有效五行均已核查</x:v>
      </x:c>
      <x:c r="Y71" s="68" t="str">
        <x:v>相关调候五行有根有源、透达且能真实改善关键气候问题</x:v>
      </x:c>
      <x:c r="Z71" s="68" t="str">
        <x:v>调候五行无根、受强制、被合绊、改性或加入后产生新的寒热燥湿问题</x:v>
      </x:c>
      <x:c r="AA71" s="90" t="str">
        <x:v>不得只因亥子丑月出生直接判极寒</x:v>
      </x:c>
      <x:c r="AB71" s="68" t="str">
        <x:v>特殊格局、核心格局用神或更高优先级病药约束转M16—M18裁决</x:v>
      </x:c>
      <x:c r="AC71" s="84" t="str">
        <x:v>冬月非自动极寒</x:v>
      </x:c>
      <x:c r="AD71" s="84" t="str">
        <x:v>冬月不自动判极寒：温度轴判“待定”，湿度轴判“待定”；调候候选为“待定”，是否成为最终用神仍转M16—M18。</x:v>
      </x:c>
      <x:c r="AE71" s="82" t="str">
        <x:v>较高</x:v>
      </x:c>
      <x:c r="AF71" s="82" t="str">
        <x:v>调候</x:v>
      </x:c>
      <x:c r="AG71" s="68" t="str">
        <x:v>调候以月令气候为起点，但必须结合M08五行有效力量与M12流通状态修正；寒暖与燥湿分轴判断，调候候选不自动等于全局主用神。</x:v>
      </x:c>
      <x:c r="AH71" s="68" t="str">
        <x:v>当“冬月出生但火土有效、火有根有源且全局水势不强”真实成立，且调候机制能改善主要气候问题时，可按“冬月不自动判极寒”记录。</x:v>
      </x:c>
      <x:c r="AI71" s="90" t="str">
        <x:v>仅见月份或表面五行标签，但未满足“冬月出生但火土有效、火有根有源且全局水势不强”及必要修正条件时，不得套用“冬月不自动判极寒”。</x:v>
      </x:c>
      <x:c r="AJ71" s="82" t="str">
        <x:v>采用</x:v>
      </x:c>
      <x:c r="AK71" s="82" t="str">
        <x:v>初审</x:v>
      </x:c>
      <x:c r="AL71" s="87" t="n">
        <x:v>46255</x:v>
      </x:c>
    </x:row>
    <x:row r="72">
      <x:c r="A72" s="72" t="str">
        <x:f>IF(OR(C72="",D72=""),"",B72&amp;"-"&amp;UPPER(C72)&amp;"-"&amp;TEXT(D72,"0000")&amp;"-"&amp;E72)</x:f>
        <x:v>M13-BOUND-0066-V1.0</x:v>
      </x:c>
      <x:c r="B72" s="74" t="str">
        <x:v>M13</x:v>
      </x:c>
      <x:c r="C72" s="74" t="str">
        <x:v>BOUND</x:v>
      </x:c>
      <x:c r="D72" s="215" t="n">
        <x:v>66</x:v>
      </x:c>
      <x:c r="E72" s="74" t="str">
        <x:v>V1.0</x:v>
      </x:c>
      <x:c r="F72" s="68" t="str">
        <x:v>夏月不自动判极热</x:v>
      </x:c>
      <x:c r="G72" s="82" t="str">
        <x:v>结构层</x:v>
      </x:c>
      <x:c r="H72" s="82" t="str">
        <x:v>寒暖燥湿综合</x:v>
      </x:c>
      <x:c r="I72" s="68" t="str">
        <x:v>通用</x:v>
      </x:c>
      <x:c r="J72" s="68" t="str">
        <x:v>夏月出生但水旺有根、火受制且湿土能调节</x:v>
      </x:c>
      <x:c r="K72" s="68" t="str">
        <x:v>待定</x:v>
      </x:c>
      <x:c r="L72" s="68" t="str">
        <x:v>待定</x:v>
      </x:c>
      <x:c r="M72" s="82" t="str">
        <x:v>待定</x:v>
      </x:c>
      <x:c r="N72" s="82" t="str">
        <x:v>待定</x:v>
      </x:c>
      <x:c r="O72" s="68" t="str">
        <x:v>月份热势可能被全局水势修正</x:v>
      </x:c>
      <x:c r="P72" s="68" t="str">
        <x:v>待定</x:v>
      </x:c>
      <x:c r="Q72" s="68" t="str">
        <x:v>需按全局修正</x:v>
      </x:c>
      <x:c r="R72" s="82" t="str">
        <x:v>待定</x:v>
      </x:c>
      <x:c r="S72" s="82" t="str">
        <x:v>待定</x:v>
      </x:c>
      <x:c r="T72" s="82" t="str">
        <x:v>待定</x:v>
      </x:c>
      <x:c r="U72" s="82" t="str">
        <x:v>待定</x:v>
      </x:c>
      <x:c r="V72" s="82" t="str">
        <x:v>待定</x:v>
      </x:c>
      <x:c r="W72" s="68" t="str">
        <x:v>M02基础映射、M08五行有效旺衰、M12流通卡点已完成</x:v>
      </x:c>
      <x:c r="X72" s="68" t="str">
        <x:v>月令基准与全局有效五行均已核查</x:v>
      </x:c>
      <x:c r="Y72" s="68" t="str">
        <x:v>相关调候五行有根有源、透达且能真实改善关键气候问题</x:v>
      </x:c>
      <x:c r="Z72" s="68" t="str">
        <x:v>调候五行无根、受强制、被合绊、改性或加入后产生新的寒热燥湿问题</x:v>
      </x:c>
      <x:c r="AA72" s="90" t="str">
        <x:v>不得只因巳午未月出生直接判极热</x:v>
      </x:c>
      <x:c r="AB72" s="68" t="str">
        <x:v>特殊格局、核心格局用神或更高优先级病药约束转M16—M18裁决</x:v>
      </x:c>
      <x:c r="AC72" s="84" t="str">
        <x:v>夏月非自动极热</x:v>
      </x:c>
      <x:c r="AD72" s="84" t="str">
        <x:v>夏月不自动判极热：温度轴判“待定”，湿度轴判“待定”；调候候选为“待定”，是否成为最终用神仍转M16—M18。</x:v>
      </x:c>
      <x:c r="AE72" s="82" t="str">
        <x:v>较高</x:v>
      </x:c>
      <x:c r="AF72" s="82" t="str">
        <x:v>调候</x:v>
      </x:c>
      <x:c r="AG72" s="68" t="str">
        <x:v>调候以月令气候为起点，但必须结合M08五行有效力量与M12流通状态修正；寒暖与燥湿分轴判断，调候候选不自动等于全局主用神。</x:v>
      </x:c>
      <x:c r="AH72" s="68" t="str">
        <x:v>当“夏月出生但水旺有根、火受制且湿土能调节”真实成立，且调候机制能改善主要气候问题时，可按“夏月不自动判极热”记录。</x:v>
      </x:c>
      <x:c r="AI72" s="90" t="str">
        <x:v>仅见月份或表面五行标签，但未满足“夏月出生但水旺有根、火受制且湿土能调节”及必要修正条件时，不得套用“夏月不自动判极热”。</x:v>
      </x:c>
      <x:c r="AJ72" s="82" t="str">
        <x:v>采用</x:v>
      </x:c>
      <x:c r="AK72" s="82" t="str">
        <x:v>初审</x:v>
      </x:c>
      <x:c r="AL72" s="87" t="n">
        <x:v>46255</x:v>
      </x:c>
    </x:row>
    <x:row r="73">
      <x:c r="A73" s="72" t="str">
        <x:f>IF(OR(C73="",D73=""),"",B73&amp;"-"&amp;UPPER(C73)&amp;"-"&amp;TEXT(D73,"0000")&amp;"-"&amp;E73)</x:f>
        <x:v>M13-BOUND-0067-V1.0</x:v>
      </x:c>
      <x:c r="B73" s="74" t="str">
        <x:v>M13</x:v>
      </x:c>
      <x:c r="C73" s="74" t="str">
        <x:v>BOUND</x:v>
      </x:c>
      <x:c r="D73" s="215" t="n">
        <x:v>67</x:v>
      </x:c>
      <x:c r="E73" s="74" t="str">
        <x:v>V1.0</x:v>
      </x:c>
      <x:c r="F73" s="68" t="str">
        <x:v>调候需要某五行不等于越多越好</x:v>
      </x:c>
      <x:c r="G73" s="82" t="str">
        <x:v>结构层</x:v>
      </x:c>
      <x:c r="H73" s="82" t="str">
        <x:v>寒暖燥湿综合</x:v>
      </x:c>
      <x:c r="I73" s="68" t="str">
        <x:v>通用</x:v>
      </x:c>
      <x:c r="J73" s="68" t="str">
        <x:v>候选调候五行已能把气候推近平衡</x:v>
      </x:c>
      <x:c r="K73" s="68" t="str">
        <x:v>待定</x:v>
      </x:c>
      <x:c r="L73" s="68" t="str">
        <x:v>待定</x:v>
      </x:c>
      <x:c r="M73" s="82" t="str">
        <x:v>待定</x:v>
      </x:c>
      <x:c r="N73" s="82" t="str">
        <x:v>待定</x:v>
      </x:c>
      <x:c r="O73" s="68" t="str">
        <x:v>继续增强会越过平衡并制造反向病</x:v>
      </x:c>
      <x:c r="P73" s="68" t="str">
        <x:v>调候五行</x:v>
      </x:c>
      <x:c r="Q73" s="68" t="str">
        <x:v>控制强度</x:v>
      </x:c>
      <x:c r="R73" s="82" t="str">
        <x:v>待定</x:v>
      </x:c>
      <x:c r="S73" s="82" t="str">
        <x:v>过度</x:v>
      </x:c>
      <x:c r="T73" s="82" t="str">
        <x:v>待定</x:v>
      </x:c>
      <x:c r="U73" s="82" t="str">
        <x:v>待定</x:v>
      </x:c>
      <x:c r="V73" s="82" t="str">
        <x:v>待定</x:v>
      </x:c>
      <x:c r="W73" s="68" t="str">
        <x:v>M02基础映射、M08五行有效旺衰、M12流通卡点已完成</x:v>
      </x:c>
      <x:c r="X73" s="68" t="str">
        <x:v>月令基准与全局有效五行均已核查</x:v>
      </x:c>
      <x:c r="Y73" s="68" t="str">
        <x:v>相关调候五行有根有源、透达且能真实改善关键气候问题</x:v>
      </x:c>
      <x:c r="Z73" s="68" t="str">
        <x:v>调候五行无根、受强制、被合绊、改性或加入后产生新的寒热燥湿问题</x:v>
      </x:c>
      <x:c r="AA73" s="90" t="str">
        <x:v>不得只凭出生月份或某一五行数量直接下最终调候结论</x:v>
      </x:c>
      <x:c r="AB73" s="68" t="str">
        <x:v>特殊格局、核心格局用神或更高优先级病药约束转M16—M18裁决</x:v>
      </x:c>
      <x:c r="AC73" s="84" t="str">
        <x:v>调候剂量边界</x:v>
      </x:c>
      <x:c r="AD73" s="84" t="str">
        <x:v>调候需要某五行不等于越多越好：温度轴判“待定”，湿度轴判“待定”；调候候选为“调候五行”，是否成为最终用神仍转M16—M18。</x:v>
      </x:c>
      <x:c r="AE73" s="82" t="str">
        <x:v>较高</x:v>
      </x:c>
      <x:c r="AF73" s="82" t="str">
        <x:v>调候</x:v>
      </x:c>
      <x:c r="AG73" s="68" t="str">
        <x:v>调候以月令气候为起点，但必须结合M08五行有效力量与M12流通状态修正；寒暖与燥湿分轴判断，调候候选不自动等于全局主用神。</x:v>
      </x:c>
      <x:c r="AH73" s="68" t="str">
        <x:v>当“候选调候五行已能把气候推近平衡”真实成立，且调候机制能改善主要气候问题时，可按“调候需要某五行不等于越多越好”记录。</x:v>
      </x:c>
      <x:c r="AI73" s="90" t="str">
        <x:v>仅见月份或表面五行标签，但未满足“候选调候五行已能把气候推近平衡”及必要修正条件时，不得套用“调候需要某五行不等于越多越好”。</x:v>
      </x:c>
      <x:c r="AJ73" s="82" t="str">
        <x:v>采用</x:v>
      </x:c>
      <x:c r="AK73" s="82" t="str">
        <x:v>初审</x:v>
      </x:c>
      <x:c r="AL73" s="87" t="n">
        <x:v>46255</x:v>
      </x:c>
    </x:row>
    <x:row r="74">
      <x:c r="A74" s="72" t="str">
        <x:f>IF(OR(C74="",D74=""),"",B74&amp;"-"&amp;UPPER(C74)&amp;"-"&amp;TEXT(D74,"0000")&amp;"-"&amp;E74)</x:f>
        <x:v>M13-BOUND-0068-V1.0</x:v>
      </x:c>
      <x:c r="B74" s="74" t="str">
        <x:v>M13</x:v>
      </x:c>
      <x:c r="C74" s="74" t="str">
        <x:v>BOUND</x:v>
      </x:c>
      <x:c r="D74" s="215" t="n">
        <x:v>68</x:v>
      </x:c>
      <x:c r="E74" s="74" t="str">
        <x:v>V1.0</x:v>
      </x:c>
      <x:c r="F74" s="68" t="str">
        <x:v>湿土与燥土标签不得脱离全局使用</x:v>
      </x:c>
      <x:c r="G74" s="82" t="str">
        <x:v>结构层</x:v>
      </x:c>
      <x:c r="H74" s="82" t="str">
        <x:v>寒暖燥湿综合</x:v>
      </x:c>
      <x:c r="I74" s="68" t="str">
        <x:v>通用</x:v>
      </x:c>
      <x:c r="J74" s="68" t="str">
        <x:v>辰丑或未戌出现，但受到强火、水、合化或季令明显修正</x:v>
      </x:c>
      <x:c r="K74" s="68" t="str">
        <x:v>待定</x:v>
      </x:c>
      <x:c r="L74" s="68" t="str">
        <x:v>待定</x:v>
      </x:c>
      <x:c r="M74" s="82" t="str">
        <x:v>待定</x:v>
      </x:c>
      <x:c r="N74" s="82" t="str">
        <x:v>待定</x:v>
      </x:c>
      <x:c r="O74" s="68" t="str">
        <x:v>土性标签会被全局条件改变</x:v>
      </x:c>
      <x:c r="P74" s="68" t="str">
        <x:v>待定</x:v>
      </x:c>
      <x:c r="Q74" s="68" t="str">
        <x:v>按有效状态修正</x:v>
      </x:c>
      <x:c r="R74" s="82" t="str">
        <x:v>待定</x:v>
      </x:c>
      <x:c r="S74" s="82" t="str">
        <x:v>待定</x:v>
      </x:c>
      <x:c r="T74" s="82" t="str">
        <x:v>待定</x:v>
      </x:c>
      <x:c r="U74" s="82" t="str">
        <x:v>待定</x:v>
      </x:c>
      <x:c r="V74" s="82" t="str">
        <x:v>待定</x:v>
      </x:c>
      <x:c r="W74" s="68" t="str">
        <x:v>M02基础映射、M08五行有效旺衰、M12流通卡点已完成</x:v>
      </x:c>
      <x:c r="X74" s="68" t="str">
        <x:v>月令基准与全局有效五行均已核查</x:v>
      </x:c>
      <x:c r="Y74" s="68" t="str">
        <x:v>相关调候五行有根有源、透达且能真实改善关键气候问题</x:v>
      </x:c>
      <x:c r="Z74" s="68" t="str">
        <x:v>调候五行无根、受强制、被合绊、改性或加入后产生新的寒热燥湿问题</x:v>
      </x:c>
      <x:c r="AA74" s="90" t="str">
        <x:v>不得只凭出生月份或某一五行数量直接下最终调候结论</x:v>
      </x:c>
      <x:c r="AB74" s="68" t="str">
        <x:v>特殊格局、核心格局用神或更高优先级病药约束转M16—M18裁决</x:v>
      </x:c>
      <x:c r="AC74" s="84" t="str">
        <x:v>土性条件化</x:v>
      </x:c>
      <x:c r="AD74" s="84" t="str">
        <x:v>湿土与燥土标签不得脱离全局使用：温度轴判“待定”，湿度轴判“待定”；调候候选为“待定”，是否成为最终用神仍转M16—M18。</x:v>
      </x:c>
      <x:c r="AE74" s="82" t="str">
        <x:v>中等</x:v>
      </x:c>
      <x:c r="AF74" s="82" t="str">
        <x:v>调候</x:v>
      </x:c>
      <x:c r="AG74" s="68" t="str">
        <x:v>调候以月令气候为起点，但必须结合M08五行有效力量与M12流通状态修正；寒暖与燥湿分轴判断，调候候选不自动等于全局主用神。</x:v>
      </x:c>
      <x:c r="AH74" s="68" t="str">
        <x:v>当“辰丑或未戌出现，但受到强火、水、合化或季令明显修正”真实成立，且调候机制能改善主要气候问题时，可按“湿土与燥土标签不得脱离全局使用”记录。</x:v>
      </x:c>
      <x:c r="AI74" s="90" t="str">
        <x:v>仅见月份或表面五行标签，但未满足“辰丑或未戌出现，但受到强火、水、合化或季令明显修正”及必要修正条件时，不得套用“湿土与燥土标签不得脱离全局使用”。</x:v>
      </x:c>
      <x:c r="AJ74" s="82" t="str">
        <x:v>采用</x:v>
      </x:c>
      <x:c r="AK74" s="82" t="str">
        <x:v>初审</x:v>
      </x:c>
      <x:c r="AL74" s="87" t="n">
        <x:v>46255</x:v>
      </x:c>
    </x:row>
    <x:row r="75">
      <x:c r="A75" s="72" t="str">
        <x:f>IF(OR(C75="",D75=""),"",B75&amp;"-"&amp;UPPER(C75)&amp;"-"&amp;TEXT(D75,"0000")&amp;"-"&amp;E75)</x:f>
        <x:v>M13-BOUND-0069-V1.0</x:v>
      </x:c>
      <x:c r="B75" s="74" t="str">
        <x:v>M13</x:v>
      </x:c>
      <x:c r="C75" s="74" t="str">
        <x:v>BOUND</x:v>
      </x:c>
      <x:c r="D75" s="215" t="n">
        <x:v>69</x:v>
      </x:c>
      <x:c r="E75" s="74" t="str">
        <x:v>V1.0</x:v>
      </x:c>
      <x:c r="F75" s="68" t="str">
        <x:v>寒暖燥湿不能直接推出身体疾病或现实事件</x:v>
      </x:c>
      <x:c r="G75" s="82" t="str">
        <x:v>结构层</x:v>
      </x:c>
      <x:c r="H75" s="82" t="str">
        <x:v>寒暖燥湿综合</x:v>
      </x:c>
      <x:c r="I75" s="68" t="str">
        <x:v>通用</x:v>
      </x:c>
      <x:c r="J75" s="68" t="str">
        <x:v>M13完成气候判断</x:v>
      </x:c>
      <x:c r="K75" s="68" t="str">
        <x:v>待定</x:v>
      </x:c>
      <x:c r="L75" s="68" t="str">
        <x:v>待定</x:v>
      </x:c>
      <x:c r="M75" s="82" t="str">
        <x:v>待定</x:v>
      </x:c>
      <x:c r="N75" s="82" t="str">
        <x:v>待定</x:v>
      </x:c>
      <x:c r="O75" s="68" t="str">
        <x:v>调候结论仅为命局结构状态</x:v>
      </x:c>
      <x:c r="P75" s="68" t="str">
        <x:v>待定</x:v>
      </x:c>
      <x:c r="Q75" s="68" t="str">
        <x:v>上层应用另行解释</x:v>
      </x:c>
      <x:c r="R75" s="82" t="str">
        <x:v>待定</x:v>
      </x:c>
      <x:c r="S75" s="82" t="str">
        <x:v>待定</x:v>
      </x:c>
      <x:c r="T75" s="82" t="str">
        <x:v>待定</x:v>
      </x:c>
      <x:c r="U75" s="82" t="str">
        <x:v>待定</x:v>
      </x:c>
      <x:c r="V75" s="82" t="str">
        <x:v>待定</x:v>
      </x:c>
      <x:c r="W75" s="68" t="str">
        <x:v>M02基础映射、M08五行有效旺衰、M12流通卡点已完成</x:v>
      </x:c>
      <x:c r="X75" s="68" t="str">
        <x:v>月令基准与全局有效五行均已核查</x:v>
      </x:c>
      <x:c r="Y75" s="68" t="str">
        <x:v>相关调候五行有根有源、透达且能真实改善关键气候问题</x:v>
      </x:c>
      <x:c r="Z75" s="68" t="str">
        <x:v>调候五行无根、受强制、被合绊、改性或加入后产生新的寒热燥湿问题</x:v>
      </x:c>
      <x:c r="AA75" s="90" t="str">
        <x:v>不得只凭出生月份或某一五行数量直接下最终调候结论</x:v>
      </x:c>
      <x:c r="AB75" s="68" t="str">
        <x:v>特殊格局、核心格局用神或更高优先级病药约束转M16—M18裁决</x:v>
      </x:c>
      <x:c r="AC75" s="84" t="str">
        <x:v>调候事件边界</x:v>
      </x:c>
      <x:c r="AD75" s="84" t="str">
        <x:v>M13只输出结构性寒暖燥湿与调候需求，不直接断疾病、婚恋、财富或具体事件。</x:v>
      </x:c>
      <x:c r="AE75" s="82" t="str">
        <x:v>较高</x:v>
      </x:c>
      <x:c r="AF75" s="82" t="str">
        <x:v>调候</x:v>
      </x:c>
      <x:c r="AG75" s="68" t="str">
        <x:v>调候以月令气候为起点，但必须结合M08五行有效力量与M12流通状态修正；寒暖与燥湿分轴判断，调候候选不自动等于全局主用神。</x:v>
      </x:c>
      <x:c r="AH75" s="68" t="str">
        <x:v>当“M13完成气候判断”真实成立，且调候机制能改善主要气候问题时，可按“寒暖燥湿不能直接推出身体疾病或现实事件”记录。</x:v>
      </x:c>
      <x:c r="AI75" s="90" t="str">
        <x:v>仅见月份或表面五行标签，但未满足“M13完成气候判断”及必要修正条件时，不得套用“寒暖燥湿不能直接推出身体疾病或现实事件”。</x:v>
      </x:c>
      <x:c r="AJ75" s="82" t="str">
        <x:v>采用</x:v>
      </x:c>
      <x:c r="AK75" s="82" t="str">
        <x:v>初审</x:v>
      </x:c>
      <x:c r="AL75" s="87" t="n">
        <x:v>46255</x:v>
      </x:c>
    </x:row>
    <x:row r="76">
      <x:c r="A76" s="72" t="str">
        <x:f>IF(OR(C76="",D76=""),"",B76&amp;"-"&amp;UPPER(C76)&amp;"-"&amp;TEXT(D76,"0000")&amp;"-"&amp;E76)</x:f>
        <x:v>M13-BOUND-0070-V1.0</x:v>
      </x:c>
      <x:c r="B76" s="74" t="str">
        <x:v>M13</x:v>
      </x:c>
      <x:c r="C76" s="74" t="str">
        <x:v>BOUND</x:v>
      </x:c>
      <x:c r="D76" s="215" t="n">
        <x:v>70</x:v>
      </x:c>
      <x:c r="E76" s="74" t="str">
        <x:v>V1.0</x:v>
      </x:c>
      <x:c r="F76" s="68" t="str">
        <x:v>M13标准输出必须同时给出双轴、候选及冲突</x:v>
      </x:c>
      <x:c r="G76" s="82" t="str">
        <x:v>结构层</x:v>
      </x:c>
      <x:c r="H76" s="82" t="str">
        <x:v>寒暖燥湿综合</x:v>
      </x:c>
      <x:c r="I76" s="68" t="str">
        <x:v>通用</x:v>
      </x:c>
      <x:c r="J76" s="68" t="str">
        <x:v>完成所有寒暖燥湿规则评估</x:v>
      </x:c>
      <x:c r="K76" s="68" t="str">
        <x:v>待定</x:v>
      </x:c>
      <x:c r="L76" s="68" t="str">
        <x:v>待定</x:v>
      </x:c>
      <x:c r="M76" s="82" t="str">
        <x:v>待定</x:v>
      </x:c>
      <x:c r="N76" s="82" t="str">
        <x:v>待定</x:v>
      </x:c>
      <x:c r="O76" s="68" t="str">
        <x:v>需要可审计的调候结论</x:v>
      </x:c>
      <x:c r="P76" s="68" t="str">
        <x:v>待定</x:v>
      </x:c>
      <x:c r="Q76" s="68" t="str">
        <x:v>统一结构化输出</x:v>
      </x:c>
      <x:c r="R76" s="82" t="str">
        <x:v>待定</x:v>
      </x:c>
      <x:c r="S76" s="82" t="str">
        <x:v>待定</x:v>
      </x:c>
      <x:c r="T76" s="82" t="str">
        <x:v>待定</x:v>
      </x:c>
      <x:c r="U76" s="82" t="str">
        <x:v>待定</x:v>
      </x:c>
      <x:c r="V76" s="82" t="str">
        <x:v>待定</x:v>
      </x:c>
      <x:c r="W76" s="68" t="str">
        <x:v>M02基础映射、M08五行有效旺衰、M12流通卡点已完成</x:v>
      </x:c>
      <x:c r="X76" s="68" t="str">
        <x:v>月令基准与全局有效五行均已核查</x:v>
      </x:c>
      <x:c r="Y76" s="68" t="str">
        <x:v>相关调候五行有根有源、透达且能真实改善关键气候问题</x:v>
      </x:c>
      <x:c r="Z76" s="68" t="str">
        <x:v>调候五行无根、受强制、被合绊、改性或加入后产生新的寒热燥湿问题</x:v>
      </x:c>
      <x:c r="AA76" s="90" t="str">
        <x:v>不得只凭出生月份或某一五行数量直接下最终调候结论</x:v>
      </x:c>
      <x:c r="AB76" s="68" t="str">
        <x:v>特殊格局、核心格局用神或更高优先级病药约束转M16—M18裁决</x:v>
      </x:c>
      <x:c r="AC76" s="84" t="str">
        <x:v>M13标准输出</x:v>
      </x:c>
      <x:c r="AD76" s="84" t="str">
        <x:v>M13最终输出：温度状态、湿度状态、主要气候问题、调候候选五行、存在性、有效性、调候机制、紧急度、与扶抑冲突、与格局冲突、反向证据与置信度。</x:v>
      </x:c>
      <x:c r="AE76" s="82" t="str">
        <x:v>较高</x:v>
      </x:c>
      <x:c r="AF76" s="82" t="str">
        <x:v>调候</x:v>
      </x:c>
      <x:c r="AG76" s="68" t="str">
        <x:v>调候以月令气候为起点，但必须结合M08五行有效力量与M12流通状态修正；寒暖与燥湿分轴判断，调候候选不自动等于全局主用神。</x:v>
      </x:c>
      <x:c r="AH76" s="68" t="str">
        <x:v>当“完成所有寒暖燥湿规则评估”真实成立，且调候机制能改善主要气候问题时，可按“M13标准输出必须同时给出双轴、候选及冲突”记录。</x:v>
      </x:c>
      <x:c r="AI76" s="90" t="str">
        <x:v>仅见月份或表面五行标签，但未满足“完成所有寒暖燥湿规则评估”及必要修正条件时，不得套用“M13标准输出必须同时给出双轴、候选及冲突”。</x:v>
      </x:c>
      <x:c r="AJ76" s="82" t="str">
        <x:v>采用</x:v>
      </x:c>
      <x:c r="AK76" s="82" t="str">
        <x:v>初审</x:v>
      </x:c>
      <x:c r="AL76" s="87" t="n">
        <x:v>46255</x:v>
      </x:c>
    </x:row>
    <x:row r="77">
      <x:c r="A77" s="72" t="str">
        <x:f>IF(OR(C77="",D77=""),"",B77&amp;"-"&amp;UPPER(C77)&amp;"-"&amp;TEXT(D77,"0000")&amp;"-"&amp;E77)</x:f>
      </x:c>
      <x:c r="B77" s="74" t="str">
        <x:v>M13</x:v>
      </x:c>
      <x:c r="C77" s="74"/>
      <x:c r="D77" s="79"/>
      <x:c r="E77" s="74" t="str">
        <x:v>V1.0</x:v>
      </x:c>
      <x:c r="F77" s="68"/>
      <x:c r="G77" s="82"/>
      <x:c r="H77" s="82"/>
      <x:c r="I77" s="68"/>
      <x:c r="J77" s="68"/>
      <x:c r="K77" s="68"/>
      <x:c r="L77" s="68"/>
      <x:c r="M77" s="82"/>
      <x:c r="N77" s="82"/>
      <x:c r="O77" s="68"/>
      <x:c r="P77" s="68"/>
      <x:c r="Q77" s="68"/>
      <x:c r="R77" s="82"/>
      <x:c r="S77" s="82"/>
      <x:c r="T77" s="82"/>
      <x:c r="U77" s="82"/>
      <x:c r="V77" s="82"/>
      <x:c r="W77" s="68"/>
      <x:c r="X77" s="68"/>
      <x:c r="Y77" s="68"/>
      <x:c r="Z77" s="68"/>
      <x:c r="AA77" s="90"/>
      <x:c r="AB77" s="68"/>
      <x:c r="AC77" s="84"/>
      <x:c r="AD77" s="84"/>
      <x:c r="AE77" s="82"/>
      <x:c r="AF77" s="82"/>
      <x:c r="AG77" s="68"/>
      <x:c r="AH77" s="68"/>
      <x:c r="AI77" s="90"/>
      <x:c r="AJ77" s="82"/>
      <x:c r="AK77" s="82"/>
      <x:c r="AL77" s="87"/>
    </x:row>
    <x:row r="78">
      <x:c r="A78" s="72" t="str">
        <x:f>IF(OR(C78="",D78=""),"",B78&amp;"-"&amp;UPPER(C78)&amp;"-"&amp;TEXT(D78,"0000")&amp;"-"&amp;E78)</x:f>
      </x:c>
      <x:c r="B78" s="74" t="str">
        <x:v>M13</x:v>
      </x:c>
      <x:c r="C78" s="74"/>
      <x:c r="D78" s="79"/>
      <x:c r="E78" s="74" t="str">
        <x:v>V1.0</x:v>
      </x:c>
      <x:c r="F78" s="68"/>
      <x:c r="G78" s="82"/>
      <x:c r="H78" s="82"/>
      <x:c r="I78" s="68"/>
      <x:c r="J78" s="68"/>
      <x:c r="K78" s="68"/>
      <x:c r="L78" s="68"/>
      <x:c r="M78" s="82"/>
      <x:c r="N78" s="82"/>
      <x:c r="O78" s="68"/>
      <x:c r="P78" s="68"/>
      <x:c r="Q78" s="68"/>
      <x:c r="R78" s="82"/>
      <x:c r="S78" s="82"/>
      <x:c r="T78" s="82"/>
      <x:c r="U78" s="82"/>
      <x:c r="V78" s="82"/>
      <x:c r="W78" s="68"/>
      <x:c r="X78" s="68"/>
      <x:c r="Y78" s="68"/>
      <x:c r="Z78" s="68"/>
      <x:c r="AA78" s="90"/>
      <x:c r="AB78" s="68"/>
      <x:c r="AC78" s="84"/>
      <x:c r="AD78" s="84"/>
      <x:c r="AE78" s="82"/>
      <x:c r="AF78" s="82"/>
      <x:c r="AG78" s="68"/>
      <x:c r="AH78" s="68"/>
      <x:c r="AI78" s="90"/>
      <x:c r="AJ78" s="82"/>
      <x:c r="AK78" s="82"/>
      <x:c r="AL78" s="87"/>
    </x:row>
    <x:row r="79">
      <x:c r="A79" s="72" t="str">
        <x:f>IF(OR(C79="",D79=""),"",B79&amp;"-"&amp;UPPER(C79)&amp;"-"&amp;TEXT(D79,"0000")&amp;"-"&amp;E79)</x:f>
      </x:c>
      <x:c r="B79" s="74" t="str">
        <x:v>M13</x:v>
      </x:c>
      <x:c r="C79" s="74"/>
      <x:c r="D79" s="79"/>
      <x:c r="E79" s="74" t="str">
        <x:v>V1.0</x:v>
      </x:c>
      <x:c r="F79" s="68"/>
      <x:c r="G79" s="82"/>
      <x:c r="H79" s="82"/>
      <x:c r="I79" s="68"/>
      <x:c r="J79" s="68"/>
      <x:c r="K79" s="68"/>
      <x:c r="L79" s="68"/>
      <x:c r="M79" s="82"/>
      <x:c r="N79" s="82"/>
      <x:c r="O79" s="68"/>
      <x:c r="P79" s="68"/>
      <x:c r="Q79" s="68"/>
      <x:c r="R79" s="82"/>
      <x:c r="S79" s="82"/>
      <x:c r="T79" s="82"/>
      <x:c r="U79" s="82"/>
      <x:c r="V79" s="82"/>
      <x:c r="W79" s="68"/>
      <x:c r="X79" s="68"/>
      <x:c r="Y79" s="68"/>
      <x:c r="Z79" s="68"/>
      <x:c r="AA79" s="90"/>
      <x:c r="AB79" s="68"/>
      <x:c r="AC79" s="84"/>
      <x:c r="AD79" s="84"/>
      <x:c r="AE79" s="82"/>
      <x:c r="AF79" s="82"/>
      <x:c r="AG79" s="68"/>
      <x:c r="AH79" s="68"/>
      <x:c r="AI79" s="90"/>
      <x:c r="AJ79" s="82"/>
      <x:c r="AK79" s="82"/>
      <x:c r="AL79" s="87"/>
    </x:row>
    <x:row r="80">
      <x:c r="A80" s="72" t="str">
        <x:f>IF(OR(C80="",D80=""),"",B80&amp;"-"&amp;UPPER(C80)&amp;"-"&amp;TEXT(D80,"0000")&amp;"-"&amp;E80)</x:f>
      </x:c>
      <x:c r="B80" s="74" t="str">
        <x:v>M13</x:v>
      </x:c>
      <x:c r="C80" s="74"/>
      <x:c r="D80" s="79"/>
      <x:c r="E80" s="74" t="str">
        <x:v>V1.0</x:v>
      </x:c>
      <x:c r="F80" s="68"/>
      <x:c r="G80" s="82"/>
      <x:c r="H80" s="82"/>
      <x:c r="I80" s="68"/>
      <x:c r="J80" s="68"/>
      <x:c r="K80" s="68"/>
      <x:c r="L80" s="68"/>
      <x:c r="M80" s="82"/>
      <x:c r="N80" s="82"/>
      <x:c r="O80" s="68"/>
      <x:c r="P80" s="68"/>
      <x:c r="Q80" s="68"/>
      <x:c r="R80" s="82"/>
      <x:c r="S80" s="82"/>
      <x:c r="T80" s="82"/>
      <x:c r="U80" s="82"/>
      <x:c r="V80" s="82"/>
      <x:c r="W80" s="68"/>
      <x:c r="X80" s="68"/>
      <x:c r="Y80" s="68"/>
      <x:c r="Z80" s="68"/>
      <x:c r="AA80" s="90"/>
      <x:c r="AB80" s="68"/>
      <x:c r="AC80" s="84"/>
      <x:c r="AD80" s="84"/>
      <x:c r="AE80" s="82"/>
      <x:c r="AF80" s="82"/>
      <x:c r="AG80" s="68"/>
      <x:c r="AH80" s="68"/>
      <x:c r="AI80" s="90"/>
      <x:c r="AJ80" s="82"/>
      <x:c r="AK80" s="82"/>
      <x:c r="AL80" s="87"/>
    </x:row>
    <x:row r="81">
      <x:c r="A81" s="72" t="str">
        <x:f>IF(OR(C81="",D81=""),"",B81&amp;"-"&amp;UPPER(C81)&amp;"-"&amp;TEXT(D81,"0000")&amp;"-"&amp;E81)</x:f>
      </x:c>
      <x:c r="B81" s="74" t="str">
        <x:v>M13</x:v>
      </x:c>
      <x:c r="C81" s="74"/>
      <x:c r="D81" s="79"/>
      <x:c r="E81" s="74" t="str">
        <x:v>V1.0</x:v>
      </x:c>
      <x:c r="F81" s="68"/>
      <x:c r="G81" s="82"/>
      <x:c r="H81" s="82"/>
      <x:c r="I81" s="68"/>
      <x:c r="J81" s="68"/>
      <x:c r="K81" s="68"/>
      <x:c r="L81" s="68"/>
      <x:c r="M81" s="82"/>
      <x:c r="N81" s="82"/>
      <x:c r="O81" s="68"/>
      <x:c r="P81" s="68"/>
      <x:c r="Q81" s="68"/>
      <x:c r="R81" s="82"/>
      <x:c r="S81" s="82"/>
      <x:c r="T81" s="82"/>
      <x:c r="U81" s="82"/>
      <x:c r="V81" s="82"/>
      <x:c r="W81" s="68"/>
      <x:c r="X81" s="68"/>
      <x:c r="Y81" s="68"/>
      <x:c r="Z81" s="68"/>
      <x:c r="AA81" s="90"/>
      <x:c r="AB81" s="68"/>
      <x:c r="AC81" s="84"/>
      <x:c r="AD81" s="84"/>
      <x:c r="AE81" s="82"/>
      <x:c r="AF81" s="82"/>
      <x:c r="AG81" s="68"/>
      <x:c r="AH81" s="68"/>
      <x:c r="AI81" s="90"/>
      <x:c r="AJ81" s="82"/>
      <x:c r="AK81" s="82"/>
      <x:c r="AL81" s="87"/>
    </x:row>
    <x:row r="82">
      <x:c r="A82" s="72" t="str">
        <x:f>IF(OR(C82="",D82=""),"",B82&amp;"-"&amp;UPPER(C82)&amp;"-"&amp;TEXT(D82,"0000")&amp;"-"&amp;E82)</x:f>
      </x:c>
      <x:c r="B82" s="74" t="str">
        <x:v>M13</x:v>
      </x:c>
      <x:c r="C82" s="74"/>
      <x:c r="D82" s="79"/>
      <x:c r="E82" s="74" t="str">
        <x:v>V1.0</x:v>
      </x:c>
      <x:c r="F82" s="68"/>
      <x:c r="G82" s="82"/>
      <x:c r="H82" s="82"/>
      <x:c r="I82" s="68"/>
      <x:c r="J82" s="68"/>
      <x:c r="K82" s="68"/>
      <x:c r="L82" s="68"/>
      <x:c r="M82" s="82"/>
      <x:c r="N82" s="82"/>
      <x:c r="O82" s="68"/>
      <x:c r="P82" s="68"/>
      <x:c r="Q82" s="68"/>
      <x:c r="R82" s="82"/>
      <x:c r="S82" s="82"/>
      <x:c r="T82" s="82"/>
      <x:c r="U82" s="82"/>
      <x:c r="V82" s="82"/>
      <x:c r="W82" s="68"/>
      <x:c r="X82" s="68"/>
      <x:c r="Y82" s="68"/>
      <x:c r="Z82" s="68"/>
      <x:c r="AA82" s="90"/>
      <x:c r="AB82" s="68"/>
      <x:c r="AC82" s="84"/>
      <x:c r="AD82" s="84"/>
      <x:c r="AE82" s="82"/>
      <x:c r="AF82" s="82"/>
      <x:c r="AG82" s="68"/>
      <x:c r="AH82" s="68"/>
      <x:c r="AI82" s="90"/>
      <x:c r="AJ82" s="82"/>
      <x:c r="AK82" s="82"/>
      <x:c r="AL82" s="87"/>
    </x:row>
    <x:row r="83">
      <x:c r="A83" s="72" t="str">
        <x:f>IF(OR(C83="",D83=""),"",B83&amp;"-"&amp;UPPER(C83)&amp;"-"&amp;TEXT(D83,"0000")&amp;"-"&amp;E83)</x:f>
      </x:c>
      <x:c r="B83" s="74" t="str">
        <x:v>M13</x:v>
      </x:c>
      <x:c r="C83" s="74"/>
      <x:c r="D83" s="79"/>
      <x:c r="E83" s="74" t="str">
        <x:v>V1.0</x:v>
      </x:c>
      <x:c r="F83" s="68"/>
      <x:c r="G83" s="82"/>
      <x:c r="H83" s="82"/>
      <x:c r="I83" s="68"/>
      <x:c r="J83" s="68"/>
      <x:c r="K83" s="68"/>
      <x:c r="L83" s="68"/>
      <x:c r="M83" s="82"/>
      <x:c r="N83" s="82"/>
      <x:c r="O83" s="68"/>
      <x:c r="P83" s="68"/>
      <x:c r="Q83" s="68"/>
      <x:c r="R83" s="82"/>
      <x:c r="S83" s="82"/>
      <x:c r="T83" s="82"/>
      <x:c r="U83" s="82"/>
      <x:c r="V83" s="82"/>
      <x:c r="W83" s="68"/>
      <x:c r="X83" s="68"/>
      <x:c r="Y83" s="68"/>
      <x:c r="Z83" s="68"/>
      <x:c r="AA83" s="90"/>
      <x:c r="AB83" s="68"/>
      <x:c r="AC83" s="84"/>
      <x:c r="AD83" s="84"/>
      <x:c r="AE83" s="82"/>
      <x:c r="AF83" s="82"/>
      <x:c r="AG83" s="68"/>
      <x:c r="AH83" s="68"/>
      <x:c r="AI83" s="90"/>
      <x:c r="AJ83" s="82"/>
      <x:c r="AK83" s="82"/>
      <x:c r="AL83" s="87"/>
    </x:row>
    <x:row r="84">
      <x:c r="A84" s="72" t="str">
        <x:f>IF(OR(C84="",D84=""),"",B84&amp;"-"&amp;UPPER(C84)&amp;"-"&amp;TEXT(D84,"0000")&amp;"-"&amp;E84)</x:f>
      </x:c>
      <x:c r="B84" s="74" t="str">
        <x:v>M13</x:v>
      </x:c>
      <x:c r="C84" s="74"/>
      <x:c r="D84" s="79"/>
      <x:c r="E84" s="74" t="str">
        <x:v>V1.0</x:v>
      </x:c>
      <x:c r="F84" s="68"/>
      <x:c r="G84" s="82"/>
      <x:c r="H84" s="82"/>
      <x:c r="I84" s="68"/>
      <x:c r="J84" s="68"/>
      <x:c r="K84" s="68"/>
      <x:c r="L84" s="68"/>
      <x:c r="M84" s="82"/>
      <x:c r="N84" s="82"/>
      <x:c r="O84" s="68"/>
      <x:c r="P84" s="68"/>
      <x:c r="Q84" s="68"/>
      <x:c r="R84" s="82"/>
      <x:c r="S84" s="82"/>
      <x:c r="T84" s="82"/>
      <x:c r="U84" s="82"/>
      <x:c r="V84" s="82"/>
      <x:c r="W84" s="68"/>
      <x:c r="X84" s="68"/>
      <x:c r="Y84" s="68"/>
      <x:c r="Z84" s="68"/>
      <x:c r="AA84" s="90"/>
      <x:c r="AB84" s="68"/>
      <x:c r="AC84" s="84"/>
      <x:c r="AD84" s="84"/>
      <x:c r="AE84" s="82"/>
      <x:c r="AF84" s="82"/>
      <x:c r="AG84" s="68"/>
      <x:c r="AH84" s="68"/>
      <x:c r="AI84" s="90"/>
      <x:c r="AJ84" s="82"/>
      <x:c r="AK84" s="82"/>
      <x:c r="AL84" s="87"/>
    </x:row>
    <x:row r="85">
      <x:c r="A85" s="72" t="str">
        <x:f>IF(OR(C85="",D85=""),"",B85&amp;"-"&amp;UPPER(C85)&amp;"-"&amp;TEXT(D85,"0000")&amp;"-"&amp;E85)</x:f>
      </x:c>
      <x:c r="B85" s="74" t="str">
        <x:v>M13</x:v>
      </x:c>
      <x:c r="C85" s="74"/>
      <x:c r="D85" s="79"/>
      <x:c r="E85" s="74" t="str">
        <x:v>V1.0</x:v>
      </x:c>
      <x:c r="F85" s="68"/>
      <x:c r="G85" s="82"/>
      <x:c r="H85" s="82"/>
      <x:c r="I85" s="68"/>
      <x:c r="J85" s="68"/>
      <x:c r="K85" s="68"/>
      <x:c r="L85" s="68"/>
      <x:c r="M85" s="82"/>
      <x:c r="N85" s="82"/>
      <x:c r="O85" s="68"/>
      <x:c r="P85" s="68"/>
      <x:c r="Q85" s="68"/>
      <x:c r="R85" s="82"/>
      <x:c r="S85" s="82"/>
      <x:c r="T85" s="82"/>
      <x:c r="U85" s="82"/>
      <x:c r="V85" s="82"/>
      <x:c r="W85" s="68"/>
      <x:c r="X85" s="68"/>
      <x:c r="Y85" s="68"/>
      <x:c r="Z85" s="68"/>
      <x:c r="AA85" s="90"/>
      <x:c r="AB85" s="68"/>
      <x:c r="AC85" s="84"/>
      <x:c r="AD85" s="84"/>
      <x:c r="AE85" s="82"/>
      <x:c r="AF85" s="82"/>
      <x:c r="AG85" s="68"/>
      <x:c r="AH85" s="68"/>
      <x:c r="AI85" s="90"/>
      <x:c r="AJ85" s="82"/>
      <x:c r="AK85" s="82"/>
      <x:c r="AL85" s="87"/>
    </x:row>
    <x:row r="86">
      <x:c r="A86" s="72" t="str">
        <x:f>IF(OR(C86="",D86=""),"",B86&amp;"-"&amp;UPPER(C86)&amp;"-"&amp;TEXT(D86,"0000")&amp;"-"&amp;E86)</x:f>
      </x:c>
      <x:c r="B86" s="74" t="str">
        <x:v>M13</x:v>
      </x:c>
      <x:c r="C86" s="74"/>
      <x:c r="D86" s="79"/>
      <x:c r="E86" s="74" t="str">
        <x:v>V1.0</x:v>
      </x:c>
      <x:c r="F86" s="68"/>
      <x:c r="G86" s="82"/>
      <x:c r="H86" s="82"/>
      <x:c r="I86" s="68"/>
      <x:c r="J86" s="68"/>
      <x:c r="K86" s="68"/>
      <x:c r="L86" s="68"/>
      <x:c r="M86" s="82"/>
      <x:c r="N86" s="82"/>
      <x:c r="O86" s="68"/>
      <x:c r="P86" s="68"/>
      <x:c r="Q86" s="68"/>
      <x:c r="R86" s="82"/>
      <x:c r="S86" s="82"/>
      <x:c r="T86" s="82"/>
      <x:c r="U86" s="82"/>
      <x:c r="V86" s="82"/>
      <x:c r="W86" s="68"/>
      <x:c r="X86" s="68"/>
      <x:c r="Y86" s="68"/>
      <x:c r="Z86" s="68"/>
      <x:c r="AA86" s="90"/>
      <x:c r="AB86" s="68"/>
      <x:c r="AC86" s="84"/>
      <x:c r="AD86" s="84"/>
      <x:c r="AE86" s="82"/>
      <x:c r="AF86" s="82"/>
      <x:c r="AG86" s="68"/>
      <x:c r="AH86" s="68"/>
      <x:c r="AI86" s="90"/>
      <x:c r="AJ86" s="82"/>
      <x:c r="AK86" s="82"/>
      <x:c r="AL86" s="87"/>
    </x:row>
    <x:row r="87">
      <x:c r="A87" s="72" t="str">
        <x:f>IF(OR(C87="",D87=""),"",B87&amp;"-"&amp;UPPER(C87)&amp;"-"&amp;TEXT(D87,"0000")&amp;"-"&amp;E87)</x:f>
      </x:c>
      <x:c r="B87" s="74" t="str">
        <x:v>M13</x:v>
      </x:c>
      <x:c r="C87" s="74"/>
      <x:c r="D87" s="79"/>
      <x:c r="E87" s="74" t="str">
        <x:v>V1.0</x:v>
      </x:c>
      <x:c r="F87" s="68"/>
      <x:c r="G87" s="82"/>
      <x:c r="H87" s="82"/>
      <x:c r="I87" s="68"/>
      <x:c r="J87" s="68"/>
      <x:c r="K87" s="68"/>
      <x:c r="L87" s="68"/>
      <x:c r="M87" s="82"/>
      <x:c r="N87" s="82"/>
      <x:c r="O87" s="68"/>
      <x:c r="P87" s="68"/>
      <x:c r="Q87" s="68"/>
      <x:c r="R87" s="82"/>
      <x:c r="S87" s="82"/>
      <x:c r="T87" s="82"/>
      <x:c r="U87" s="82"/>
      <x:c r="V87" s="82"/>
      <x:c r="W87" s="68"/>
      <x:c r="X87" s="68"/>
      <x:c r="Y87" s="68"/>
      <x:c r="Z87" s="68"/>
      <x:c r="AA87" s="90"/>
      <x:c r="AB87" s="68"/>
      <x:c r="AC87" s="84"/>
      <x:c r="AD87" s="84"/>
      <x:c r="AE87" s="82"/>
      <x:c r="AF87" s="82"/>
      <x:c r="AG87" s="68"/>
      <x:c r="AH87" s="68"/>
      <x:c r="AI87" s="90"/>
      <x:c r="AJ87" s="82"/>
      <x:c r="AK87" s="82"/>
      <x:c r="AL87" s="87"/>
    </x:row>
    <x:row r="88">
      <x:c r="A88" s="72" t="str">
        <x:f>IF(OR(C88="",D88=""),"",B88&amp;"-"&amp;UPPER(C88)&amp;"-"&amp;TEXT(D88,"0000")&amp;"-"&amp;E88)</x:f>
      </x:c>
      <x:c r="B88" s="74" t="str">
        <x:v>M13</x:v>
      </x:c>
      <x:c r="C88" s="74"/>
      <x:c r="D88" s="79"/>
      <x:c r="E88" s="74" t="str">
        <x:v>V1.0</x:v>
      </x:c>
      <x:c r="F88" s="68"/>
      <x:c r="G88" s="82"/>
      <x:c r="H88" s="82"/>
      <x:c r="I88" s="68"/>
      <x:c r="J88" s="68"/>
      <x:c r="K88" s="68"/>
      <x:c r="L88" s="68"/>
      <x:c r="M88" s="82"/>
      <x:c r="N88" s="82"/>
      <x:c r="O88" s="68"/>
      <x:c r="P88" s="68"/>
      <x:c r="Q88" s="68"/>
      <x:c r="R88" s="82"/>
      <x:c r="S88" s="82"/>
      <x:c r="T88" s="82"/>
      <x:c r="U88" s="82"/>
      <x:c r="V88" s="82"/>
      <x:c r="W88" s="68"/>
      <x:c r="X88" s="68"/>
      <x:c r="Y88" s="68"/>
      <x:c r="Z88" s="68"/>
      <x:c r="AA88" s="90"/>
      <x:c r="AB88" s="68"/>
      <x:c r="AC88" s="84"/>
      <x:c r="AD88" s="84"/>
      <x:c r="AE88" s="82"/>
      <x:c r="AF88" s="82"/>
      <x:c r="AG88" s="68"/>
      <x:c r="AH88" s="68"/>
      <x:c r="AI88" s="90"/>
      <x:c r="AJ88" s="82"/>
      <x:c r="AK88" s="82"/>
      <x:c r="AL88" s="87"/>
    </x:row>
    <x:row r="89">
      <x:c r="A89" s="72" t="str">
        <x:f>IF(OR(C89="",D89=""),"",B89&amp;"-"&amp;UPPER(C89)&amp;"-"&amp;TEXT(D89,"0000")&amp;"-"&amp;E89)</x:f>
      </x:c>
      <x:c r="B89" s="74" t="str">
        <x:v>M13</x:v>
      </x:c>
      <x:c r="C89" s="74"/>
      <x:c r="D89" s="79"/>
      <x:c r="E89" s="74" t="str">
        <x:v>V1.0</x:v>
      </x:c>
      <x:c r="F89" s="68"/>
      <x:c r="G89" s="82"/>
      <x:c r="H89" s="82"/>
      <x:c r="I89" s="68"/>
      <x:c r="J89" s="68"/>
      <x:c r="K89" s="68"/>
      <x:c r="L89" s="68"/>
      <x:c r="M89" s="82"/>
      <x:c r="N89" s="82"/>
      <x:c r="O89" s="68"/>
      <x:c r="P89" s="68"/>
      <x:c r="Q89" s="68"/>
      <x:c r="R89" s="82"/>
      <x:c r="S89" s="82"/>
      <x:c r="T89" s="82"/>
      <x:c r="U89" s="82"/>
      <x:c r="V89" s="82"/>
      <x:c r="W89" s="68"/>
      <x:c r="X89" s="68"/>
      <x:c r="Y89" s="68"/>
      <x:c r="Z89" s="68"/>
      <x:c r="AA89" s="90"/>
      <x:c r="AB89" s="68"/>
      <x:c r="AC89" s="84"/>
      <x:c r="AD89" s="84"/>
      <x:c r="AE89" s="82"/>
      <x:c r="AF89" s="82"/>
      <x:c r="AG89" s="68"/>
      <x:c r="AH89" s="68"/>
      <x:c r="AI89" s="90"/>
      <x:c r="AJ89" s="82"/>
      <x:c r="AK89" s="82"/>
      <x:c r="AL89" s="87"/>
    </x:row>
    <x:row r="90">
      <x:c r="A90" s="72" t="str">
        <x:f>IF(OR(C90="",D90=""),"",B90&amp;"-"&amp;UPPER(C90)&amp;"-"&amp;TEXT(D90,"0000")&amp;"-"&amp;E90)</x:f>
      </x:c>
      <x:c r="B90" s="74" t="str">
        <x:v>M13</x:v>
      </x:c>
      <x:c r="C90" s="74"/>
      <x:c r="D90" s="79"/>
      <x:c r="E90" s="74" t="str">
        <x:v>V1.0</x:v>
      </x:c>
      <x:c r="F90" s="68"/>
      <x:c r="G90" s="82"/>
      <x:c r="H90" s="82"/>
      <x:c r="I90" s="68"/>
      <x:c r="J90" s="68"/>
      <x:c r="K90" s="68"/>
      <x:c r="L90" s="68"/>
      <x:c r="M90" s="82"/>
      <x:c r="N90" s="82"/>
      <x:c r="O90" s="68"/>
      <x:c r="P90" s="68"/>
      <x:c r="Q90" s="68"/>
      <x:c r="R90" s="82"/>
      <x:c r="S90" s="82"/>
      <x:c r="T90" s="82"/>
      <x:c r="U90" s="82"/>
      <x:c r="V90" s="82"/>
      <x:c r="W90" s="68"/>
      <x:c r="X90" s="68"/>
      <x:c r="Y90" s="68"/>
      <x:c r="Z90" s="68"/>
      <x:c r="AA90" s="90"/>
      <x:c r="AB90" s="68"/>
      <x:c r="AC90" s="84"/>
      <x:c r="AD90" s="84"/>
      <x:c r="AE90" s="82"/>
      <x:c r="AF90" s="82"/>
      <x:c r="AG90" s="68"/>
      <x:c r="AH90" s="68"/>
      <x:c r="AI90" s="90"/>
      <x:c r="AJ90" s="82"/>
      <x:c r="AK90" s="82"/>
      <x:c r="AL90" s="87"/>
    </x:row>
    <x:row r="91">
      <x:c r="A91" s="72" t="str">
        <x:f>IF(OR(C91="",D91=""),"",B91&amp;"-"&amp;UPPER(C91)&amp;"-"&amp;TEXT(D91,"0000")&amp;"-"&amp;E91)</x:f>
      </x:c>
      <x:c r="B91" s="74" t="str">
        <x:v>M13</x:v>
      </x:c>
      <x:c r="C91" s="74"/>
      <x:c r="D91" s="79"/>
      <x:c r="E91" s="74" t="str">
        <x:v>V1.0</x:v>
      </x:c>
      <x:c r="F91" s="68"/>
      <x:c r="G91" s="82"/>
      <x:c r="H91" s="82"/>
      <x:c r="I91" s="68"/>
      <x:c r="J91" s="68"/>
      <x:c r="K91" s="68"/>
      <x:c r="L91" s="68"/>
      <x:c r="M91" s="82"/>
      <x:c r="N91" s="82"/>
      <x:c r="O91" s="68"/>
      <x:c r="P91" s="68"/>
      <x:c r="Q91" s="68"/>
      <x:c r="R91" s="82"/>
      <x:c r="S91" s="82"/>
      <x:c r="T91" s="82"/>
      <x:c r="U91" s="82"/>
      <x:c r="V91" s="82"/>
      <x:c r="W91" s="68"/>
      <x:c r="X91" s="68"/>
      <x:c r="Y91" s="68"/>
      <x:c r="Z91" s="68"/>
      <x:c r="AA91" s="90"/>
      <x:c r="AB91" s="68"/>
      <x:c r="AC91" s="84"/>
      <x:c r="AD91" s="84"/>
      <x:c r="AE91" s="82"/>
      <x:c r="AF91" s="82"/>
      <x:c r="AG91" s="68"/>
      <x:c r="AH91" s="68"/>
      <x:c r="AI91" s="90"/>
      <x:c r="AJ91" s="82"/>
      <x:c r="AK91" s="82"/>
      <x:c r="AL91" s="87"/>
    </x:row>
    <x:row r="92">
      <x:c r="A92" s="72" t="str">
        <x:f>IF(OR(C92="",D92=""),"",B92&amp;"-"&amp;UPPER(C92)&amp;"-"&amp;TEXT(D92,"0000")&amp;"-"&amp;E92)</x:f>
      </x:c>
      <x:c r="B92" s="74" t="str">
        <x:v>M13</x:v>
      </x:c>
      <x:c r="C92" s="74"/>
      <x:c r="D92" s="79"/>
      <x:c r="E92" s="74" t="str">
        <x:v>V1.0</x:v>
      </x:c>
      <x:c r="F92" s="68"/>
      <x:c r="G92" s="82"/>
      <x:c r="H92" s="82"/>
      <x:c r="I92" s="68"/>
      <x:c r="J92" s="68"/>
      <x:c r="K92" s="68"/>
      <x:c r="L92" s="68"/>
      <x:c r="M92" s="82"/>
      <x:c r="N92" s="82"/>
      <x:c r="O92" s="68"/>
      <x:c r="P92" s="68"/>
      <x:c r="Q92" s="68"/>
      <x:c r="R92" s="82"/>
      <x:c r="S92" s="82"/>
      <x:c r="T92" s="82"/>
      <x:c r="U92" s="82"/>
      <x:c r="V92" s="82"/>
      <x:c r="W92" s="68"/>
      <x:c r="X92" s="68"/>
      <x:c r="Y92" s="68"/>
      <x:c r="Z92" s="68"/>
      <x:c r="AA92" s="90"/>
      <x:c r="AB92" s="68"/>
      <x:c r="AC92" s="84"/>
      <x:c r="AD92" s="84"/>
      <x:c r="AE92" s="82"/>
      <x:c r="AF92" s="82"/>
      <x:c r="AG92" s="68"/>
      <x:c r="AH92" s="68"/>
      <x:c r="AI92" s="90"/>
      <x:c r="AJ92" s="82"/>
      <x:c r="AK92" s="82"/>
      <x:c r="AL92" s="87"/>
    </x:row>
    <x:row r="93">
      <x:c r="A93" s="72" t="str">
        <x:f>IF(OR(C93="",D93=""),"",B93&amp;"-"&amp;UPPER(C93)&amp;"-"&amp;TEXT(D93,"0000")&amp;"-"&amp;E93)</x:f>
      </x:c>
      <x:c r="B93" s="74" t="str">
        <x:v>M13</x:v>
      </x:c>
      <x:c r="C93" s="74"/>
      <x:c r="D93" s="79"/>
      <x:c r="E93" s="74" t="str">
        <x:v>V1.0</x:v>
      </x:c>
      <x:c r="F93" s="68"/>
      <x:c r="G93" s="82"/>
      <x:c r="H93" s="82"/>
      <x:c r="I93" s="68"/>
      <x:c r="J93" s="68"/>
      <x:c r="K93" s="68"/>
      <x:c r="L93" s="68"/>
      <x:c r="M93" s="82"/>
      <x:c r="N93" s="82"/>
      <x:c r="O93" s="68"/>
      <x:c r="P93" s="68"/>
      <x:c r="Q93" s="68"/>
      <x:c r="R93" s="82"/>
      <x:c r="S93" s="82"/>
      <x:c r="T93" s="82"/>
      <x:c r="U93" s="82"/>
      <x:c r="V93" s="82"/>
      <x:c r="W93" s="68"/>
      <x:c r="X93" s="68"/>
      <x:c r="Y93" s="68"/>
      <x:c r="Z93" s="68"/>
      <x:c r="AA93" s="90"/>
      <x:c r="AB93" s="68"/>
      <x:c r="AC93" s="84"/>
      <x:c r="AD93" s="84"/>
      <x:c r="AE93" s="82"/>
      <x:c r="AF93" s="82"/>
      <x:c r="AG93" s="68"/>
      <x:c r="AH93" s="68"/>
      <x:c r="AI93" s="90"/>
      <x:c r="AJ93" s="82"/>
      <x:c r="AK93" s="82"/>
      <x:c r="AL93" s="87"/>
    </x:row>
    <x:row r="94">
      <x:c r="A94" s="72" t="str">
        <x:f>IF(OR(C94="",D94=""),"",B94&amp;"-"&amp;UPPER(C94)&amp;"-"&amp;TEXT(D94,"0000")&amp;"-"&amp;E94)</x:f>
      </x:c>
      <x:c r="B94" s="74" t="str">
        <x:v>M13</x:v>
      </x:c>
      <x:c r="C94" s="74"/>
      <x:c r="D94" s="79"/>
      <x:c r="E94" s="74" t="str">
        <x:v>V1.0</x:v>
      </x:c>
      <x:c r="F94" s="68"/>
      <x:c r="G94" s="82"/>
      <x:c r="H94" s="82"/>
      <x:c r="I94" s="68"/>
      <x:c r="J94" s="68"/>
      <x:c r="K94" s="68"/>
      <x:c r="L94" s="68"/>
      <x:c r="M94" s="82"/>
      <x:c r="N94" s="82"/>
      <x:c r="O94" s="68"/>
      <x:c r="P94" s="68"/>
      <x:c r="Q94" s="68"/>
      <x:c r="R94" s="82"/>
      <x:c r="S94" s="82"/>
      <x:c r="T94" s="82"/>
      <x:c r="U94" s="82"/>
      <x:c r="V94" s="82"/>
      <x:c r="W94" s="68"/>
      <x:c r="X94" s="68"/>
      <x:c r="Y94" s="68"/>
      <x:c r="Z94" s="68"/>
      <x:c r="AA94" s="90"/>
      <x:c r="AB94" s="68"/>
      <x:c r="AC94" s="84"/>
      <x:c r="AD94" s="84"/>
      <x:c r="AE94" s="82"/>
      <x:c r="AF94" s="82"/>
      <x:c r="AG94" s="68"/>
      <x:c r="AH94" s="68"/>
      <x:c r="AI94" s="90"/>
      <x:c r="AJ94" s="82"/>
      <x:c r="AK94" s="82"/>
      <x:c r="AL94" s="87"/>
    </x:row>
    <x:row r="95">
      <x:c r="A95" s="72" t="str">
        <x:f>IF(OR(C95="",D95=""),"",B95&amp;"-"&amp;UPPER(C95)&amp;"-"&amp;TEXT(D95,"0000")&amp;"-"&amp;E95)</x:f>
      </x:c>
      <x:c r="B95" s="74" t="str">
        <x:v>M13</x:v>
      </x:c>
      <x:c r="C95" s="74"/>
      <x:c r="D95" s="79"/>
      <x:c r="E95" s="74" t="str">
        <x:v>V1.0</x:v>
      </x:c>
      <x:c r="F95" s="68"/>
      <x:c r="G95" s="82"/>
      <x:c r="H95" s="82"/>
      <x:c r="I95" s="68"/>
      <x:c r="J95" s="68"/>
      <x:c r="K95" s="68"/>
      <x:c r="L95" s="68"/>
      <x:c r="M95" s="82"/>
      <x:c r="N95" s="82"/>
      <x:c r="O95" s="68"/>
      <x:c r="P95" s="68"/>
      <x:c r="Q95" s="68"/>
      <x:c r="R95" s="82"/>
      <x:c r="S95" s="82"/>
      <x:c r="T95" s="82"/>
      <x:c r="U95" s="82"/>
      <x:c r="V95" s="82"/>
      <x:c r="W95" s="68"/>
      <x:c r="X95" s="68"/>
      <x:c r="Y95" s="68"/>
      <x:c r="Z95" s="68"/>
      <x:c r="AA95" s="90"/>
      <x:c r="AB95" s="68"/>
      <x:c r="AC95" s="84"/>
      <x:c r="AD95" s="84"/>
      <x:c r="AE95" s="82"/>
      <x:c r="AF95" s="82"/>
      <x:c r="AG95" s="68"/>
      <x:c r="AH95" s="68"/>
      <x:c r="AI95" s="90"/>
      <x:c r="AJ95" s="82"/>
      <x:c r="AK95" s="82"/>
      <x:c r="AL95" s="87"/>
    </x:row>
    <x:row r="96">
      <x:c r="A96" s="72" t="str">
        <x:f>IF(OR(C96="",D96=""),"",B96&amp;"-"&amp;UPPER(C96)&amp;"-"&amp;TEXT(D96,"0000")&amp;"-"&amp;E96)</x:f>
      </x:c>
      <x:c r="B96" s="74" t="str">
        <x:v>M13</x:v>
      </x:c>
      <x:c r="C96" s="74"/>
      <x:c r="D96" s="79"/>
      <x:c r="E96" s="74" t="str">
        <x:v>V1.0</x:v>
      </x:c>
      <x:c r="F96" s="68"/>
      <x:c r="G96" s="82"/>
      <x:c r="H96" s="82"/>
      <x:c r="I96" s="68"/>
      <x:c r="J96" s="68"/>
      <x:c r="K96" s="68"/>
      <x:c r="L96" s="68"/>
      <x:c r="M96" s="82"/>
      <x:c r="N96" s="82"/>
      <x:c r="O96" s="68"/>
      <x:c r="P96" s="68"/>
      <x:c r="Q96" s="68"/>
      <x:c r="R96" s="82"/>
      <x:c r="S96" s="82"/>
      <x:c r="T96" s="82"/>
      <x:c r="U96" s="82"/>
      <x:c r="V96" s="82"/>
      <x:c r="W96" s="68"/>
      <x:c r="X96" s="68"/>
      <x:c r="Y96" s="68"/>
      <x:c r="Z96" s="68"/>
      <x:c r="AA96" s="90"/>
      <x:c r="AB96" s="68"/>
      <x:c r="AC96" s="84"/>
      <x:c r="AD96" s="84"/>
      <x:c r="AE96" s="82"/>
      <x:c r="AF96" s="82"/>
      <x:c r="AG96" s="68"/>
      <x:c r="AH96" s="68"/>
      <x:c r="AI96" s="90"/>
      <x:c r="AJ96" s="82"/>
      <x:c r="AK96" s="82"/>
      <x:c r="AL96" s="87"/>
    </x:row>
    <x:row r="97">
      <x:c r="A97" s="72" t="str">
        <x:f>IF(OR(C97="",D97=""),"",B97&amp;"-"&amp;UPPER(C97)&amp;"-"&amp;TEXT(D97,"0000")&amp;"-"&amp;E97)</x:f>
      </x:c>
      <x:c r="B97" s="74" t="str">
        <x:v>M13</x:v>
      </x:c>
      <x:c r="C97" s="74"/>
      <x:c r="D97" s="79"/>
      <x:c r="E97" s="74" t="str">
        <x:v>V1.0</x:v>
      </x:c>
      <x:c r="F97" s="68"/>
      <x:c r="G97" s="82"/>
      <x:c r="H97" s="82"/>
      <x:c r="I97" s="68"/>
      <x:c r="J97" s="68"/>
      <x:c r="K97" s="68"/>
      <x:c r="L97" s="68"/>
      <x:c r="M97" s="82"/>
      <x:c r="N97" s="82"/>
      <x:c r="O97" s="68"/>
      <x:c r="P97" s="68"/>
      <x:c r="Q97" s="68"/>
      <x:c r="R97" s="82"/>
      <x:c r="S97" s="82"/>
      <x:c r="T97" s="82"/>
      <x:c r="U97" s="82"/>
      <x:c r="V97" s="82"/>
      <x:c r="W97" s="68"/>
      <x:c r="X97" s="68"/>
      <x:c r="Y97" s="68"/>
      <x:c r="Z97" s="68"/>
      <x:c r="AA97" s="90"/>
      <x:c r="AB97" s="68"/>
      <x:c r="AC97" s="84"/>
      <x:c r="AD97" s="84"/>
      <x:c r="AE97" s="82"/>
      <x:c r="AF97" s="82"/>
      <x:c r="AG97" s="68"/>
      <x:c r="AH97" s="68"/>
      <x:c r="AI97" s="90"/>
      <x:c r="AJ97" s="82"/>
      <x:c r="AK97" s="82"/>
      <x:c r="AL97" s="87"/>
    </x:row>
    <x:row r="98">
      <x:c r="A98" s="72" t="str">
        <x:f>IF(OR(C98="",D98=""),"",B98&amp;"-"&amp;UPPER(C98)&amp;"-"&amp;TEXT(D98,"0000")&amp;"-"&amp;E98)</x:f>
      </x:c>
      <x:c r="B98" s="74" t="str">
        <x:v>M13</x:v>
      </x:c>
      <x:c r="C98" s="74"/>
      <x:c r="D98" s="79"/>
      <x:c r="E98" s="74" t="str">
        <x:v>V1.0</x:v>
      </x:c>
      <x:c r="F98" s="68"/>
      <x:c r="G98" s="82"/>
      <x:c r="H98" s="82"/>
      <x:c r="I98" s="68"/>
      <x:c r="J98" s="68"/>
      <x:c r="K98" s="68"/>
      <x:c r="L98" s="68"/>
      <x:c r="M98" s="82"/>
      <x:c r="N98" s="82"/>
      <x:c r="O98" s="68"/>
      <x:c r="P98" s="68"/>
      <x:c r="Q98" s="68"/>
      <x:c r="R98" s="82"/>
      <x:c r="S98" s="82"/>
      <x:c r="T98" s="82"/>
      <x:c r="U98" s="82"/>
      <x:c r="V98" s="82"/>
      <x:c r="W98" s="68"/>
      <x:c r="X98" s="68"/>
      <x:c r="Y98" s="68"/>
      <x:c r="Z98" s="68"/>
      <x:c r="AA98" s="90"/>
      <x:c r="AB98" s="68"/>
      <x:c r="AC98" s="84"/>
      <x:c r="AD98" s="84"/>
      <x:c r="AE98" s="82"/>
      <x:c r="AF98" s="82"/>
      <x:c r="AG98" s="68"/>
      <x:c r="AH98" s="68"/>
      <x:c r="AI98" s="90"/>
      <x:c r="AJ98" s="82"/>
      <x:c r="AK98" s="82"/>
      <x:c r="AL98" s="87"/>
    </x:row>
    <x:row r="99">
      <x:c r="A99" s="72" t="str">
        <x:f>IF(OR(C99="",D99=""),"",B99&amp;"-"&amp;UPPER(C99)&amp;"-"&amp;TEXT(D99,"0000")&amp;"-"&amp;E99)</x:f>
      </x:c>
      <x:c r="B99" s="74" t="str">
        <x:v>M13</x:v>
      </x:c>
      <x:c r="C99" s="74"/>
      <x:c r="D99" s="79"/>
      <x:c r="E99" s="74" t="str">
        <x:v>V1.0</x:v>
      </x:c>
      <x:c r="F99" s="68"/>
      <x:c r="G99" s="82"/>
      <x:c r="H99" s="82"/>
      <x:c r="I99" s="68"/>
      <x:c r="J99" s="68"/>
      <x:c r="K99" s="68"/>
      <x:c r="L99" s="68"/>
      <x:c r="M99" s="82"/>
      <x:c r="N99" s="82"/>
      <x:c r="O99" s="68"/>
      <x:c r="P99" s="68"/>
      <x:c r="Q99" s="68"/>
      <x:c r="R99" s="82"/>
      <x:c r="S99" s="82"/>
      <x:c r="T99" s="82"/>
      <x:c r="U99" s="82"/>
      <x:c r="V99" s="82"/>
      <x:c r="W99" s="68"/>
      <x:c r="X99" s="68"/>
      <x:c r="Y99" s="68"/>
      <x:c r="Z99" s="68"/>
      <x:c r="AA99" s="90"/>
      <x:c r="AB99" s="68"/>
      <x:c r="AC99" s="84"/>
      <x:c r="AD99" s="84"/>
      <x:c r="AE99" s="82"/>
      <x:c r="AF99" s="82"/>
      <x:c r="AG99" s="68"/>
      <x:c r="AH99" s="68"/>
      <x:c r="AI99" s="90"/>
      <x:c r="AJ99" s="82"/>
      <x:c r="AK99" s="82"/>
      <x:c r="AL99" s="87"/>
    </x:row>
    <x:row r="100">
      <x:c r="A100" s="72" t="str">
        <x:f>IF(OR(C100="",D100=""),"",B100&amp;"-"&amp;UPPER(C100)&amp;"-"&amp;TEXT(D100,"0000")&amp;"-"&amp;E100)</x:f>
      </x:c>
      <x:c r="B100" s="74" t="str">
        <x:v>M13</x:v>
      </x:c>
      <x:c r="C100" s="74"/>
      <x:c r="D100" s="79"/>
      <x:c r="E100" s="74" t="str">
        <x:v>V1.0</x:v>
      </x:c>
      <x:c r="F100" s="68"/>
      <x:c r="G100" s="82"/>
      <x:c r="H100" s="82"/>
      <x:c r="I100" s="68"/>
      <x:c r="J100" s="68"/>
      <x:c r="K100" s="68"/>
      <x:c r="L100" s="68"/>
      <x:c r="M100" s="82"/>
      <x:c r="N100" s="82"/>
      <x:c r="O100" s="68"/>
      <x:c r="P100" s="68"/>
      <x:c r="Q100" s="68"/>
      <x:c r="R100" s="82"/>
      <x:c r="S100" s="82"/>
      <x:c r="T100" s="82"/>
      <x:c r="U100" s="82"/>
      <x:c r="V100" s="82"/>
      <x:c r="W100" s="68"/>
      <x:c r="X100" s="68"/>
      <x:c r="Y100" s="68"/>
      <x:c r="Z100" s="68"/>
      <x:c r="AA100" s="90"/>
      <x:c r="AB100" s="68"/>
      <x:c r="AC100" s="84"/>
      <x:c r="AD100" s="84"/>
      <x:c r="AE100" s="82"/>
      <x:c r="AF100" s="82"/>
      <x:c r="AG100" s="68"/>
      <x:c r="AH100" s="68"/>
      <x:c r="AI100" s="90"/>
      <x:c r="AJ100" s="82"/>
      <x:c r="AK100" s="82"/>
      <x:c r="AL100" s="87"/>
    </x:row>
    <x:row r="101">
      <x:c r="A101" s="72" t="str">
        <x:f>IF(OR(C101="",D101=""),"",B101&amp;"-"&amp;UPPER(C101)&amp;"-"&amp;TEXT(D101,"0000")&amp;"-"&amp;E101)</x:f>
      </x:c>
      <x:c r="B101" s="74" t="str">
        <x:v>M13</x:v>
      </x:c>
      <x:c r="C101" s="74"/>
      <x:c r="D101" s="79"/>
      <x:c r="E101" s="74" t="str">
        <x:v>V1.0</x:v>
      </x:c>
      <x:c r="F101" s="68"/>
      <x:c r="G101" s="82"/>
      <x:c r="H101" s="82"/>
      <x:c r="I101" s="68"/>
      <x:c r="J101" s="68"/>
      <x:c r="K101" s="68"/>
      <x:c r="L101" s="68"/>
      <x:c r="M101" s="82"/>
      <x:c r="N101" s="82"/>
      <x:c r="O101" s="68"/>
      <x:c r="P101" s="68"/>
      <x:c r="Q101" s="68"/>
      <x:c r="R101" s="82"/>
      <x:c r="S101" s="82"/>
      <x:c r="T101" s="82"/>
      <x:c r="U101" s="82"/>
      <x:c r="V101" s="82"/>
      <x:c r="W101" s="68"/>
      <x:c r="X101" s="68"/>
      <x:c r="Y101" s="68"/>
      <x:c r="Z101" s="68"/>
      <x:c r="AA101" s="90"/>
      <x:c r="AB101" s="68"/>
      <x:c r="AC101" s="84"/>
      <x:c r="AD101" s="84"/>
      <x:c r="AE101" s="82"/>
      <x:c r="AF101" s="82"/>
      <x:c r="AG101" s="68"/>
      <x:c r="AH101" s="68"/>
      <x:c r="AI101" s="90"/>
      <x:c r="AJ101" s="82"/>
      <x:c r="AK101" s="82"/>
      <x:c r="AL101" s="87"/>
    </x:row>
    <x:row r="102">
      <x:c r="A102" s="72" t="str">
        <x:f>IF(OR(C102="",D102=""),"",B102&amp;"-"&amp;UPPER(C102)&amp;"-"&amp;TEXT(D102,"0000")&amp;"-"&amp;E102)</x:f>
      </x:c>
      <x:c r="B102" s="74" t="str">
        <x:v>M13</x:v>
      </x:c>
      <x:c r="C102" s="74"/>
      <x:c r="D102" s="79"/>
      <x:c r="E102" s="74" t="str">
        <x:v>V1.0</x:v>
      </x:c>
      <x:c r="F102" s="68"/>
      <x:c r="G102" s="82"/>
      <x:c r="H102" s="82"/>
      <x:c r="I102" s="68"/>
      <x:c r="J102" s="68"/>
      <x:c r="K102" s="68"/>
      <x:c r="L102" s="68"/>
      <x:c r="M102" s="82"/>
      <x:c r="N102" s="82"/>
      <x:c r="O102" s="68"/>
      <x:c r="P102" s="68"/>
      <x:c r="Q102" s="68"/>
      <x:c r="R102" s="82"/>
      <x:c r="S102" s="82"/>
      <x:c r="T102" s="82"/>
      <x:c r="U102" s="82"/>
      <x:c r="V102" s="82"/>
      <x:c r="W102" s="68"/>
      <x:c r="X102" s="68"/>
      <x:c r="Y102" s="68"/>
      <x:c r="Z102" s="68"/>
      <x:c r="AA102" s="90"/>
      <x:c r="AB102" s="68"/>
      <x:c r="AC102" s="84"/>
      <x:c r="AD102" s="84"/>
      <x:c r="AE102" s="82"/>
      <x:c r="AF102" s="82"/>
      <x:c r="AG102" s="68"/>
      <x:c r="AH102" s="68"/>
      <x:c r="AI102" s="90"/>
      <x:c r="AJ102" s="82"/>
      <x:c r="AK102" s="82"/>
      <x:c r="AL102" s="87"/>
    </x:row>
    <x:row r="103">
      <x:c r="A103" s="72" t="str">
        <x:f>IF(OR(C103="",D103=""),"",B103&amp;"-"&amp;UPPER(C103)&amp;"-"&amp;TEXT(D103,"0000")&amp;"-"&amp;E103)</x:f>
      </x:c>
      <x:c r="B103" s="74" t="str">
        <x:v>M13</x:v>
      </x:c>
      <x:c r="C103" s="74"/>
      <x:c r="D103" s="79"/>
      <x:c r="E103" s="74" t="str">
        <x:v>V1.0</x:v>
      </x:c>
      <x:c r="F103" s="68"/>
      <x:c r="G103" s="82"/>
      <x:c r="H103" s="82"/>
      <x:c r="I103" s="68"/>
      <x:c r="J103" s="68"/>
      <x:c r="K103" s="68"/>
      <x:c r="L103" s="68"/>
      <x:c r="M103" s="82"/>
      <x:c r="N103" s="82"/>
      <x:c r="O103" s="68"/>
      <x:c r="P103" s="68"/>
      <x:c r="Q103" s="68"/>
      <x:c r="R103" s="82"/>
      <x:c r="S103" s="82"/>
      <x:c r="T103" s="82"/>
      <x:c r="U103" s="82"/>
      <x:c r="V103" s="82"/>
      <x:c r="W103" s="68"/>
      <x:c r="X103" s="68"/>
      <x:c r="Y103" s="68"/>
      <x:c r="Z103" s="68"/>
      <x:c r="AA103" s="90"/>
      <x:c r="AB103" s="68"/>
      <x:c r="AC103" s="84"/>
      <x:c r="AD103" s="84"/>
      <x:c r="AE103" s="82"/>
      <x:c r="AF103" s="82"/>
      <x:c r="AG103" s="68"/>
      <x:c r="AH103" s="68"/>
      <x:c r="AI103" s="90"/>
      <x:c r="AJ103" s="82"/>
      <x:c r="AK103" s="82"/>
      <x:c r="AL103" s="87"/>
    </x:row>
    <x:row r="104">
      <x:c r="A104" s="72" t="str">
        <x:f>IF(OR(C104="",D104=""),"",B104&amp;"-"&amp;UPPER(C104)&amp;"-"&amp;TEXT(D104,"0000")&amp;"-"&amp;E104)</x:f>
      </x:c>
      <x:c r="B104" s="74" t="str">
        <x:v>M13</x:v>
      </x:c>
      <x:c r="C104" s="74"/>
      <x:c r="D104" s="79"/>
      <x:c r="E104" s="74" t="str">
        <x:v>V1.0</x:v>
      </x:c>
      <x:c r="F104" s="68"/>
      <x:c r="G104" s="82"/>
      <x:c r="H104" s="82"/>
      <x:c r="I104" s="68"/>
      <x:c r="J104" s="68"/>
      <x:c r="K104" s="68"/>
      <x:c r="L104" s="68"/>
      <x:c r="M104" s="82"/>
      <x:c r="N104" s="82"/>
      <x:c r="O104" s="68"/>
      <x:c r="P104" s="68"/>
      <x:c r="Q104" s="68"/>
      <x:c r="R104" s="82"/>
      <x:c r="S104" s="82"/>
      <x:c r="T104" s="82"/>
      <x:c r="U104" s="82"/>
      <x:c r="V104" s="82"/>
      <x:c r="W104" s="68"/>
      <x:c r="X104" s="68"/>
      <x:c r="Y104" s="68"/>
      <x:c r="Z104" s="68"/>
      <x:c r="AA104" s="90"/>
      <x:c r="AB104" s="68"/>
      <x:c r="AC104" s="84"/>
      <x:c r="AD104" s="84"/>
      <x:c r="AE104" s="82"/>
      <x:c r="AF104" s="82"/>
      <x:c r="AG104" s="68"/>
      <x:c r="AH104" s="68"/>
      <x:c r="AI104" s="90"/>
      <x:c r="AJ104" s="82"/>
      <x:c r="AK104" s="82"/>
      <x:c r="AL104" s="87"/>
    </x:row>
    <x:row r="105">
      <x:c r="A105" s="72" t="str">
        <x:f>IF(OR(C105="",D105=""),"",B105&amp;"-"&amp;UPPER(C105)&amp;"-"&amp;TEXT(D105,"0000")&amp;"-"&amp;E105)</x:f>
      </x:c>
      <x:c r="B105" s="74" t="str">
        <x:v>M13</x:v>
      </x:c>
      <x:c r="C105" s="74"/>
      <x:c r="D105" s="79"/>
      <x:c r="E105" s="74" t="str">
        <x:v>V1.0</x:v>
      </x:c>
      <x:c r="F105" s="68"/>
      <x:c r="G105" s="82"/>
      <x:c r="H105" s="82"/>
      <x:c r="I105" s="68"/>
      <x:c r="J105" s="68"/>
      <x:c r="K105" s="68"/>
      <x:c r="L105" s="68"/>
      <x:c r="M105" s="82"/>
      <x:c r="N105" s="82"/>
      <x:c r="O105" s="68"/>
      <x:c r="P105" s="68"/>
      <x:c r="Q105" s="68"/>
      <x:c r="R105" s="82"/>
      <x:c r="S105" s="82"/>
      <x:c r="T105" s="82"/>
      <x:c r="U105" s="82"/>
      <x:c r="V105" s="82"/>
      <x:c r="W105" s="68"/>
      <x:c r="X105" s="68"/>
      <x:c r="Y105" s="68"/>
      <x:c r="Z105" s="68"/>
      <x:c r="AA105" s="90"/>
      <x:c r="AB105" s="68"/>
      <x:c r="AC105" s="84"/>
      <x:c r="AD105" s="84"/>
      <x:c r="AE105" s="82"/>
      <x:c r="AF105" s="82"/>
      <x:c r="AG105" s="68"/>
      <x:c r="AH105" s="68"/>
      <x:c r="AI105" s="90"/>
      <x:c r="AJ105" s="82"/>
      <x:c r="AK105" s="82"/>
      <x:c r="AL105" s="87"/>
    </x:row>
  </x:sheetData>
  <x:mergeCells>
    <x:mergeCell ref="A1:O1"/>
    <x:mergeCell ref="A2:O2"/>
    <x:mergeCell ref="A3:O3"/>
    <x:mergeCell ref="A4:O4"/>
  </x:mergeCells>
  <x:conditionalFormatting sqref="A6:A105">
    <x:cfRule type="expression" dxfId="11" priority="1">
      <x:formula>AND(A6&lt;&gt;"",COUNTIF($A$6:$A$105,A6)&gt;1)</x:formula>
    </x:cfRule>
  </x:conditionalFormatting>
  <x:dataValidations count="30">
    <x:dataValidation type="list" sqref="E6:E105">
      <x:formula1>'99_下拉选项'!$BG$4:$BG$12</x:formula1>
    </x:dataValidation>
    <x:dataValidation type="list" sqref="G6:G105">
      <x:formula1>'99_下拉选项'!$F$4:$F$7</x:formula1>
    </x:dataValidation>
    <x:dataValidation type="list" sqref="H6:H105">
      <x:formula1>'99_下拉选项'!$AM$4:$AM$6</x:formula1>
    </x:dataValidation>
    <x:dataValidation type="list" sqref="M6:M105">
      <x:formula1>'99_下拉选项'!$AK$4:$AK$9</x:formula1>
    </x:dataValidation>
    <x:dataValidation type="list" sqref="N6:N105">
      <x:formula1>'99_下拉选项'!$AL$4:$AL$9</x:formula1>
    </x:dataValidation>
    <x:dataValidation type="list" sqref="R6:R105">
      <x:formula1>'99_下拉选项'!$X$4:$X$7</x:formula1>
    </x:dataValidation>
    <x:dataValidation type="list" sqref="S6:S105">
      <x:formula1>'99_下拉选项'!$W$4:$W$8</x:formula1>
    </x:dataValidation>
    <x:dataValidation type="list" sqref="T6:T105">
      <x:formula1>'99_下拉选项'!$AN$4:$AN$8</x:formula1>
    </x:dataValidation>
    <x:dataValidation type="list" sqref="U6:U105">
      <x:formula1>'99_下拉选项'!$X$4:$X$7</x:formula1>
    </x:dataValidation>
    <x:dataValidation type="list" sqref="V6:V105">
      <x:formula1>'99_下拉选项'!$X$4:$X$7</x:formula1>
    </x:dataValidation>
    <x:dataValidation type="list" sqref="AE6:AE105">
      <x:formula1>'99_下拉选项'!$Q$4:$Q$8</x:formula1>
    </x:dataValidation>
    <x:dataValidation type="list" sqref="AF6:AF105">
      <x:formula1>'99_下拉选项'!$R$4:$R$11</x:formula1>
    </x:dataValidation>
    <x:dataValidation type="list" sqref="AJ6:AJ105">
      <x:formula1>'99_下拉选项'!$S$4:$S$9</x:formula1>
    </x:dataValidation>
    <x:dataValidation type="list" sqref="AK6:AK105">
      <x:formula1>'99_下拉选项'!$T$4:$T$8</x:formula1>
    </x:dataValidation>
    <x:dataValidation type="list" sqref="E6:E130">
      <x:formula1>'99_下拉选项'!$BG$4:$BG$14</x:formula1>
    </x:dataValidation>
    <x:dataValidation type="list" sqref="E7:E105">
      <x:formula1>'99_下拉选项'!$BG$4:$BG$19</x:formula1>
    </x:dataValidation>
    <x:dataValidation type="list" sqref="E7:E76">
      <x:formula1>'99_下拉选项'!$BG$4:$BG$14</x:formula1>
    </x:dataValidation>
    <x:dataValidation type="list" sqref="G7:G76">
      <x:formula1>'99_下拉选项'!$F$4:$F$7</x:formula1>
    </x:dataValidation>
    <x:dataValidation type="list" sqref="H7:H76">
      <x:formula1>'99_下拉选项'!$AM$4:$AM$6</x:formula1>
    </x:dataValidation>
    <x:dataValidation type="list" sqref="M7:M76">
      <x:formula1>'99_下拉选项'!$AK$4:$AK$9</x:formula1>
    </x:dataValidation>
    <x:dataValidation type="list" sqref="N7:N76">
      <x:formula1>'99_下拉选项'!$AL$4:$AL$9</x:formula1>
    </x:dataValidation>
    <x:dataValidation type="list" sqref="R7:R76">
      <x:formula1>'99_下拉选项'!$X$4:$X$7</x:formula1>
    </x:dataValidation>
    <x:dataValidation type="list" sqref="S7:S76">
      <x:formula1>'99_下拉选项'!$W$4:$W$8</x:formula1>
    </x:dataValidation>
    <x:dataValidation type="list" sqref="T7:T76">
      <x:formula1>'99_下拉选项'!$AN$4:$AN$8</x:formula1>
    </x:dataValidation>
    <x:dataValidation type="list" sqref="U7:U76">
      <x:formula1>'99_下拉选项'!$X$4:$X$7</x:formula1>
    </x:dataValidation>
    <x:dataValidation type="list" sqref="V7:V76">
      <x:formula1>'99_下拉选项'!$X$4:$X$7</x:formula1>
    </x:dataValidation>
    <x:dataValidation type="list" sqref="AE7:AE76">
      <x:formula1>'99_下拉选项'!$Q$4:$Q$8</x:formula1>
    </x:dataValidation>
    <x:dataValidation type="list" sqref="AF7:AF76">
      <x:formula1>'99_下拉选项'!$R$4:$R$11</x:formula1>
    </x:dataValidation>
    <x:dataValidation type="list" sqref="AJ7:AJ76">
      <x:formula1>'99_下拉选项'!$S$4:$S$9</x:formula1>
    </x:dataValidation>
    <x:dataValidation type="list" sqref="AK7:AK76">
      <x:formula1>'99_下拉选项'!$T$4:$T$8</x:formula1>
    </x:dataValidation>
  </x:dataValidations>
  <x:pageMargins left="0.7" right="0.7" top="0.75" bottom="0.75" header="0.3" footer="0.3"/>
  <x:tableParts count="1">
    <x:tablePart xmlns:r="http://schemas.openxmlformats.org/officeDocument/2006/relationships" r:id="R713082649bde47cd"/>
  </x:tableParts>
</x:worksheet>
</file>

<file path=xl/worksheets/sheet1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30" hidden="0" customWidth="1"/>
    <x:col min="11" max="11" width="30" hidden="0" customWidth="1"/>
    <x:col min="12" max="12" width="16" hidden="0" customWidth="1"/>
    <x:col min="13" max="13" width="16"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30" hidden="0" customWidth="1"/>
    <x:col min="34" max="34" width="13" hidden="0" customWidth="1"/>
  </x:cols>
  <x:sheetData>
    <x:row r="1" ht="28" customHeight="1">
      <x:c r="A1" s="32" t="str">
        <x:v>M14｜格局候选生成与排除规则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row>
    <x:row r="2" ht="36" customHeight="1">
      <x:c r="A2" s="39" t="str">
        <x:v>先生成多个普通或特殊格局候选，再按月令、透干、格神、日主配合及严格条件逐一淘汰，禁止一开始强行定格。</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row>
    <x:row r="3" ht="30" customHeight="1">
      <x:c r="A3" s="47" t="str">
        <x:v>前置依赖：M03/M06/M08/M09/M10/M11　｜　主要输出：格局候选清单、排除理由与候选状态　｜　直接下游：M15/M17/M18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格局类别</x:v>
      </x:c>
      <x:c r="I5" s="61" t="str">
        <x:v>格局名称</x:v>
      </x:c>
      <x:c r="J5" s="61" t="str">
        <x:v>月令依据</x:v>
      </x:c>
      <x:c r="K5" s="61" t="str">
        <x:v>透干条件</x:v>
      </x:c>
      <x:c r="L5" s="61" t="str">
        <x:v>主气清纯度</x:v>
      </x:c>
      <x:c r="M5" s="61" t="str">
        <x:v>格神根气</x:v>
      </x:c>
      <x:c r="N5" s="61" t="str">
        <x:v>格神有效力量</x:v>
      </x:c>
      <x:c r="O5" s="61" t="str">
        <x:v>日主配合</x:v>
      </x:c>
      <x:c r="P5" s="61" t="str">
        <x:v>候选生成条件</x:v>
      </x:c>
      <x:c r="Q5" s="61" t="str">
        <x:v>特殊格严格条件</x:v>
      </x:c>
      <x:c r="R5" s="61" t="str">
        <x:v>增强条件</x:v>
      </x:c>
      <x:c r="S5" s="61" t="str">
        <x:v>排除条件</x:v>
      </x:c>
      <x:c r="T5" s="61" t="str">
        <x:v>否决条件</x:v>
      </x:c>
      <x:c r="U5" s="61" t="str">
        <x:v>例外条件</x:v>
      </x:c>
      <x:c r="V5" s="61" t="str">
        <x:v>候选状态</x:v>
      </x:c>
      <x:c r="W5" s="61" t="str">
        <x:v>替代候选</x:v>
      </x:c>
      <x:c r="X5" s="61" t="str">
        <x:v>结论标签</x:v>
      </x:c>
      <x:c r="Y5" s="61" t="str">
        <x:v>标准输出</x:v>
      </x:c>
      <x:c r="Z5" s="61" t="str">
        <x:v>置信等级</x:v>
      </x:c>
      <x:c r="AA5" s="61" t="str">
        <x:v>流派标签</x:v>
      </x:c>
      <x:c r="AB5" s="61" t="str">
        <x:v>依据说明</x:v>
      </x:c>
      <x:c r="AC5" s="61" t="str">
        <x:v>正例</x:v>
      </x:c>
      <x:c r="AD5" s="61" t="str">
        <x:v>反例</x:v>
      </x:c>
      <x:c r="AE5" s="61" t="str">
        <x:v>来源/备注</x:v>
      </x:c>
      <x:c r="AF5" s="61" t="str">
        <x:v>规则状态</x:v>
      </x:c>
      <x:c r="AG5" s="61" t="str">
        <x:v>审核状态</x:v>
      </x:c>
      <x:c r="AH5" s="61" t="str">
        <x:v>更新日期</x:v>
      </x:c>
    </x:row>
    <x:row r="6" ht="66" customHeight="1">
      <x:c r="A6" s="76" t="str">
        <x:f>IF(OR(C6="",D6=""),"",B6&amp;"-"&amp;UPPER(C6)&amp;"-"&amp;TEXT(D6,"0000")&amp;"-"&amp;E6)</x:f>
        <x:v>M14-DEMO-9999-V0.1</x:v>
      </x:c>
      <x:c r="B6" s="76" t="str">
        <x:v>M14</x:v>
      </x:c>
      <x:c r="C6" s="76" t="str">
        <x:v>DEMO</x:v>
      </x:c>
      <x:c r="D6" s="78" t="n">
        <x:v>9999</x:v>
      </x:c>
      <x:c r="E6" s="76" t="str">
        <x:v>V0.1</x:v>
      </x:c>
      <x:c r="F6" s="76" t="str">
        <x:v>格局先列候选后裁定</x:v>
      </x:c>
      <x:c r="G6" s="76" t="str">
        <x:v>综合层</x:v>
      </x:c>
      <x:c r="H6" s="76" t="str">
        <x:v>普通格局</x:v>
      </x:c>
      <x:c r="I6" s="76" t="str">
        <x:v>七杀格候选</x:v>
      </x:c>
      <x:c r="J6" s="76" t="str">
        <x:v>月令主气为七杀或杀星得令</x:v>
      </x:c>
      <x:c r="K6" s="76" t="str">
        <x:v>七杀透干为强候选证据</x:v>
      </x:c>
      <x:c r="L6" s="76" t="str">
        <x:v>较清</x:v>
      </x:c>
      <x:c r="M6" s="76" t="str">
        <x:v>有根</x:v>
      </x:c>
      <x:c r="N6" s="76" t="str">
        <x:v>真实有力</x:v>
      </x:c>
      <x:c r="O6" s="76" t="str">
        <x:v>需有承载或制化</x:v>
      </x:c>
      <x:c r="P6" s="76" t="str">
        <x:v>月令、透干或全局主势共同支持七杀为核心</x:v>
      </x:c>
      <x:c r="Q6" s="76" t="str">
        <x:v>不适用</x:v>
      </x:c>
      <x:c r="R6" s="76" t="str">
        <x:v>杀印相生或食神制杀清晰</x:v>
      </x:c>
      <x:c r="S6" s="76" t="str">
        <x:v>杀弱无根、月令另有更强主气或格局功能被完全替代</x:v>
      </x:c>
      <x:c r="T6" s="76" t="str">
        <x:v>候选不等于最终成立</x:v>
      </x:c>
      <x:c r="U6" s="76" t="str">
        <x:v>建禄羊刃及特殊格需另用严格规则</x:v>
      </x:c>
      <x:c r="V6" s="76" t="str">
        <x:v>候选</x:v>
      </x:c>
      <x:c r="W6" s="76" t="str">
        <x:v>杀印相生、食神制杀等结构候选</x:v>
      </x:c>
      <x:c r="X6" s="76" t="str">
        <x:v>格局候选</x:v>
      </x:c>
      <x:c r="Y6" s="76" t="str">
        <x:v>七杀格可列为候选，但尚需检验日主承载、制化路径及破格因素后才能定格。</x:v>
      </x:c>
      <x:c r="Z6" s="76" t="str">
        <x:v>中等</x:v>
      </x:c>
      <x:c r="AA6" s="76" t="str">
        <x:v>子平格局</x:v>
      </x:c>
      <x:c r="AB6" s="76" t="str">
        <x:v>候选生成与格局成败应分表处理。</x:v>
      </x:c>
      <x:c r="AC6" s="76" t="str">
        <x:v>月令杀旺、透干且制化结构清晰。</x:v>
      </x:c>
      <x:c r="AD6" s="76" t="str">
        <x:v>仅见一个七杀便直接定七杀格。</x:v>
      </x:c>
      <x:c r="AE6" s="76" t="str">
        <x:v>示例，仅演示字段用法</x:v>
      </x:c>
      <x:c r="AF6" s="76" t="str">
        <x:v>示例</x:v>
      </x:c>
      <x:c r="AG6" s="76" t="str">
        <x:v>未审核</x:v>
      </x:c>
      <x:c r="AH6" s="86" t="n">
        <x:v>46254</x:v>
      </x:c>
    </x:row>
    <x:row r="7">
      <x:c r="A7" s="72" t="str">
        <x:f>IF(OR(C7="",D7=""),"",B7&amp;"-"&amp;UPPER(C7)&amp;"-"&amp;TEXT(D7,"0000")&amp;"-"&amp;E7)</x:f>
        <x:v>M14-GEN-0001-V1.0</x:v>
      </x:c>
      <x:c r="B7" s="74" t="str">
        <x:v>M14</x:v>
      </x:c>
      <x:c r="C7" s="74" t="str">
        <x:v>GEN</x:v>
      </x:c>
      <x:c r="D7" s="215" t="n">
        <x:v>1</x:v>
      </x:c>
      <x:c r="E7" s="74" t="str">
        <x:v>V1.0</x:v>
      </x:c>
      <x:c r="F7" s="68" t="str">
        <x:v>格局必须先生成候选清单再逐项淘汰</x:v>
      </x:c>
      <x:c r="G7" s="82" t="str">
        <x:v>综合层</x:v>
      </x:c>
      <x:c r="H7" s="82" t="str">
        <x:v>普通格局</x:v>
      </x:c>
      <x:c r="I7" s="68" t="str">
        <x:v>格局候选通用</x:v>
      </x:c>
      <x:c r="J7" s="68" t="str">
        <x:v>先读取月令主气、中气及月令所透十神</x:v>
      </x:c>
      <x:c r="K7" s="68" t="str">
        <x:v>透干可增强候选，但不作为所有格局的绝对唯一条件</x:v>
      </x:c>
      <x:c r="L7" s="82" t="str">
        <x:v>待定</x:v>
      </x:c>
      <x:c r="M7" s="68" t="str">
        <x:v>待定</x:v>
      </x:c>
      <x:c r="N7" s="68" t="str">
        <x:v>待定</x:v>
      </x:c>
      <x:c r="O7" s="68" t="str">
        <x:v>结合M09日主旺衰与承载判断</x:v>
      </x:c>
      <x:c r="P7" s="68" t="str">
        <x:v>同时生成所有达到最低证据门槛的普通、建禄羊刃和特殊格局候选</x:v>
      </x:c>
      <x:c r="Q7" s="68" t="str">
        <x:v>不适用</x:v>
      </x:c>
      <x:c r="R7" s="68" t="str">
        <x:v>格神得令、有根、透达、清纯，并得到有效生扶或制化配合</x:v>
      </x:c>
      <x:c r="S7" s="68" t="str">
        <x:v>存在更强月令主气、格神功能被替代或全局主势明显转向其他结构</x:v>
      </x:c>
      <x:c r="T7" s="90" t="str">
        <x:v>格神失效、无真实功能，或候选只由单一表面十神名称产生</x:v>
      </x:c>
      <x:c r="U7" s="68" t="str">
        <x:v>特殊格局、建禄羊刃及明确从化结构另用专门规则</x:v>
      </x:c>
      <x:c r="V7" s="82" t="str">
        <x:v>候选</x:v>
      </x:c>
      <x:c r="W7" s="68" t="str">
        <x:v>并列候选</x:v>
      </x:c>
      <x:c r="X7" s="84" t="str">
        <x:v>多候选生成</x:v>
      </x:c>
      <x:c r="Y7" s="84" t="str">
        <x:v>先列出全部合格候选，再按月令、格神有效性、主导性和严格门槛淘汰；禁止先定一个格再倒推证据。</x:v>
      </x:c>
      <x:c r="Z7" s="82" t="str">
        <x:v>较高</x:v>
      </x:c>
      <x:c r="AA7" s="82" t="str">
        <x:v>子平格局</x:v>
      </x:c>
      <x:c r="AB7" s="68" t="str">
        <x:v>M14只生成和排除格局候选。候选须综合月令、透干、格神有效力量、清纯度、日主配合与全局主导性；候选成立不等于M15最终成格。</x:v>
      </x:c>
      <x:c r="AC7" s="68" t="str">
        <x:v>月令与格神有效性共同支持“格局候选通用”，且没有决定性否决条件。</x:v>
      </x:c>
      <x:c r="AD7" s="90" t="str">
        <x:v>仅见相关十神或五行出现，但月令、格神有效性或全局主导性不成立，不能直接列“格局候选通用”。</x:v>
      </x:c>
      <x:c r="AE7" s="68" t="str">
        <x:v>https://zh.wikisource.org/zh-hans/%E6%B7%B5%E6%B5%B7%E5%AD%90%E5%B9%B3 ; https://zh.wikisource.org/wiki/%E6%BB%B4%E5%A4%A9%E9%AB%93%E9%97%A1%E5%BE%AE</x:v>
      </x:c>
      <x:c r="AF7" s="82" t="str">
        <x:v>采用</x:v>
      </x:c>
      <x:c r="AG7" s="82" t="str">
        <x:v>初审</x:v>
      </x:c>
      <x:c r="AH7" s="87" t="n">
        <x:v>46260</x:v>
      </x:c>
    </x:row>
    <x:row r="8">
      <x:c r="A8" s="72" t="str">
        <x:f>IF(OR(C8="",D8=""),"",B8&amp;"-"&amp;UPPER(C8)&amp;"-"&amp;TEXT(D8,"0000")&amp;"-"&amp;E8)</x:f>
        <x:v>M14-GEN-0002-V1.0</x:v>
      </x:c>
      <x:c r="B8" s="74" t="str">
        <x:v>M14</x:v>
      </x:c>
      <x:c r="C8" s="74" t="str">
        <x:v>GEN</x:v>
      </x:c>
      <x:c r="D8" s="215" t="n">
        <x:v>2</x:v>
      </x:c>
      <x:c r="E8" s="74" t="str">
        <x:v>V1.0</x:v>
      </x:c>
      <x:c r="F8" s="68" t="str">
        <x:v>月令主气是普通格局的首要候选来源</x:v>
      </x:c>
      <x:c r="G8" s="82" t="str">
        <x:v>综合层</x:v>
      </x:c>
      <x:c r="H8" s="82" t="str">
        <x:v>普通格局</x:v>
      </x:c>
      <x:c r="I8" s="68" t="str">
        <x:v>格局候选通用</x:v>
      </x:c>
      <x:c r="J8" s="68" t="str">
        <x:v>月令本气映射为某十神，且该十神在M10具备有效功能</x:v>
      </x:c>
      <x:c r="K8" s="68" t="str">
        <x:v>透干可增强候选，但不作为所有格局的绝对唯一条件</x:v>
      </x:c>
      <x:c r="L8" s="82" t="str">
        <x:v>待定</x:v>
      </x:c>
      <x:c r="M8" s="68" t="str">
        <x:v>待定</x:v>
      </x:c>
      <x:c r="N8" s="68" t="str">
        <x:v>待定</x:v>
      </x:c>
      <x:c r="O8" s="68" t="str">
        <x:v>结合M09日主旺衰与承载判断</x:v>
      </x:c>
      <x:c r="P8" s="68" t="str">
        <x:v>月令主气十神有效即可生成对应普通格候选</x:v>
      </x:c>
      <x:c r="Q8" s="68" t="str">
        <x:v>不适用</x:v>
      </x:c>
      <x:c r="R8" s="68" t="str">
        <x:v>格神得令、有根、透达、清纯，并得到有效生扶或制化配合</x:v>
      </x:c>
      <x:c r="S8" s="68" t="str">
        <x:v>存在更强月令主气、格神功能被替代或全局主势明显转向其他结构</x:v>
      </x:c>
      <x:c r="T8" s="90" t="str">
        <x:v>格神失效、无真实功能，或候选只由单一表面十神名称产生</x:v>
      </x:c>
      <x:c r="U8" s="68" t="str">
        <x:v>特殊格局、建禄羊刃及明确从化结构另用专门规则</x:v>
      </x:c>
      <x:c r="V8" s="82" t="str">
        <x:v>候选</x:v>
      </x:c>
      <x:c r="W8" s="68" t="str">
        <x:v>月令中气或全局主势候选</x:v>
      </x:c>
      <x:c r="X8" s="84" t="str">
        <x:v>月令主气取候选</x:v>
      </x:c>
      <x:c r="Y8" s="84" t="str">
        <x:v>格局候选通用列为“候选”：主要依据为月令与格神有效性；仍需M15检验成格、破格、救应与层次。</x:v>
      </x:c>
      <x:c r="Z8" s="82" t="str">
        <x:v>较高</x:v>
      </x:c>
      <x:c r="AA8" s="82" t="str">
        <x:v>子平格局</x:v>
      </x:c>
      <x:c r="AB8" s="68" t="str">
        <x:v>M14只生成和排除格局候选。候选须综合月令、透干、格神有效力量、清纯度、日主配合与全局主导性；候选成立不等于M15最终成格。</x:v>
      </x:c>
      <x:c r="AC8" s="68" t="str">
        <x:v>月令与格神有效性共同支持“格局候选通用”，且没有决定性否决条件。</x:v>
      </x:c>
      <x:c r="AD8" s="90" t="str">
        <x:v>仅见相关十神或五行出现，但月令、格神有效性或全局主导性不成立，不能直接列“格局候选通用”。</x:v>
      </x:c>
      <x:c r="AE8" s="68" t="str">
        <x:v>https://zh.wikisource.org/zh-hans/%E6%B7%B5%E6%B5%B7%E5%AD%90%E5%B9%B3 ; https://zh.wikisource.org/wiki/%E6%BB%B4%E5%A4%A9%E9%AB%93%E9%97%A1%E5%BE%AE</x:v>
      </x:c>
      <x:c r="AF8" s="82" t="str">
        <x:v>采用</x:v>
      </x:c>
      <x:c r="AG8" s="82" t="str">
        <x:v>初审</x:v>
      </x:c>
      <x:c r="AH8" s="87" t="n">
        <x:v>46260</x:v>
      </x:c>
    </x:row>
    <x:row r="9">
      <x:c r="A9" s="72" t="str">
        <x:f>IF(OR(C9="",D9=""),"",B9&amp;"-"&amp;UPPER(C9)&amp;"-"&amp;TEXT(D9,"0000")&amp;"-"&amp;E9)</x:f>
        <x:v>M14-GEN-0003-V1.0</x:v>
      </x:c>
      <x:c r="B9" s="74" t="str">
        <x:v>M14</x:v>
      </x:c>
      <x:c r="C9" s="74" t="str">
        <x:v>GEN</x:v>
      </x:c>
      <x:c r="D9" s="215" t="n">
        <x:v>3</x:v>
      </x:c>
      <x:c r="E9" s="74" t="str">
        <x:v>V1.0</x:v>
      </x:c>
      <x:c r="F9" s="68" t="str">
        <x:v>月令中气余气透干可生成次级候选</x:v>
      </x:c>
      <x:c r="G9" s="82" t="str">
        <x:v>综合层</x:v>
      </x:c>
      <x:c r="H9" s="82" t="str">
        <x:v>普通格局</x:v>
      </x:c>
      <x:c r="I9" s="68" t="str">
        <x:v>格局候选通用</x:v>
      </x:c>
      <x:c r="J9" s="68" t="str">
        <x:v>月令中气或余气透干并在M10达到有效水平</x:v>
      </x:c>
      <x:c r="K9" s="68" t="str">
        <x:v>中余气透干且有根有力</x:v>
      </x:c>
      <x:c r="L9" s="82" t="str">
        <x:v>较清</x:v>
      </x:c>
      <x:c r="M9" s="68" t="str">
        <x:v>待定</x:v>
      </x:c>
      <x:c r="N9" s="68" t="str">
        <x:v>待定</x:v>
      </x:c>
      <x:c r="O9" s="68" t="str">
        <x:v>结合M09日主旺衰与承载判断</x:v>
      </x:c>
      <x:c r="P9" s="68" t="str">
        <x:v>月令主气不构成稳定格局，且中余气透出成为主要功能轴</x:v>
      </x:c>
      <x:c r="Q9" s="68" t="str">
        <x:v>不适用</x:v>
      </x:c>
      <x:c r="R9" s="68" t="str">
        <x:v>格神得令、有根、透达、清纯，并得到有效生扶或制化配合</x:v>
      </x:c>
      <x:c r="S9" s="68" t="str">
        <x:v>存在更强月令主气、格神功能被替代或全局主势明显转向其他结构</x:v>
      </x:c>
      <x:c r="T9" s="90" t="str">
        <x:v>格神失效、无真实功能，或候选只由单一表面十神名称产生</x:v>
      </x:c>
      <x:c r="U9" s="68" t="str">
        <x:v>特殊格局、建禄羊刃及明确从化结构另用专门规则</x:v>
      </x:c>
      <x:c r="V9" s="82" t="str">
        <x:v>候选</x:v>
      </x:c>
      <x:c r="W9" s="68" t="str">
        <x:v>月令主气候选</x:v>
      </x:c>
      <x:c r="X9" s="84" t="str">
        <x:v>月令中余气候选</x:v>
      </x:c>
      <x:c r="Y9" s="84" t="str">
        <x:v>格局候选通用列为“候选”：主要依据为月令与格神有效性；仍需M15检验成格、破格、救应与层次。</x:v>
      </x:c>
      <x:c r="Z9" s="82" t="str">
        <x:v>较高</x:v>
      </x:c>
      <x:c r="AA9" s="82" t="str">
        <x:v>子平格局</x:v>
      </x:c>
      <x:c r="AB9" s="68" t="str">
        <x:v>M14只生成和排除格局候选。候选须综合月令、透干、格神有效力量、清纯度、日主配合与全局主导性；候选成立不等于M15最终成格。</x:v>
      </x:c>
      <x:c r="AC9" s="68" t="str">
        <x:v>月令与格神有效性共同支持“格局候选通用”，且没有决定性否决条件。</x:v>
      </x:c>
      <x:c r="AD9" s="90" t="str">
        <x:v>仅见相关十神或五行出现，但月令、格神有效性或全局主导性不成立，不能直接列“格局候选通用”。</x:v>
      </x:c>
      <x:c r="AE9" s="68" t="str">
        <x:v>https://zh.wikisource.org/zh-hans/%E6%B7%B5%E6%B5%B7%E5%AD%90%E5%B9%B3 ; https://zh.wikisource.org/wiki/%E6%BB%B4%E5%A4%A9%E9%AB%93%E9%97%A1%E5%BE%AE</x:v>
      </x:c>
      <x:c r="AF9" s="82" t="str">
        <x:v>采用</x:v>
      </x:c>
      <x:c r="AG9" s="82" t="str">
        <x:v>初审</x:v>
      </x:c>
      <x:c r="AH9" s="87" t="n">
        <x:v>46260</x:v>
      </x:c>
    </x:row>
    <x:row r="10">
      <x:c r="A10" s="72" t="str">
        <x:f>IF(OR(C10="",D10=""),"",B10&amp;"-"&amp;UPPER(C10)&amp;"-"&amp;TEXT(D10,"0000")&amp;"-"&amp;E10)</x:f>
        <x:v>M14-GEN-0004-V1.0</x:v>
      </x:c>
      <x:c r="B10" s="74" t="str">
        <x:v>M14</x:v>
      </x:c>
      <x:c r="C10" s="74" t="str">
        <x:v>GEN</x:v>
      </x:c>
      <x:c r="D10" s="215" t="n">
        <x:v>4</x:v>
      </x:c>
      <x:c r="E10" s="74" t="str">
        <x:v>V1.0</x:v>
      </x:c>
      <x:c r="F10" s="68" t="str">
        <x:v>透干增强格神显性但不自动成格</x:v>
      </x:c>
      <x:c r="G10" s="82" t="str">
        <x:v>综合层</x:v>
      </x:c>
      <x:c r="H10" s="82" t="str">
        <x:v>普通格局</x:v>
      </x:c>
      <x:c r="I10" s="68" t="str">
        <x:v>格局候选通用</x:v>
      </x:c>
      <x:c r="J10" s="68" t="str">
        <x:v>月令或全局已经提供格神来源</x:v>
      </x:c>
      <x:c r="K10" s="68" t="str">
        <x:v>格神透干属于显性增强证据</x:v>
      </x:c>
      <x:c r="L10" s="82" t="str">
        <x:v>待定</x:v>
      </x:c>
      <x:c r="M10" s="68" t="str">
        <x:v>待定</x:v>
      </x:c>
      <x:c r="N10" s="68" t="str">
        <x:v>待定</x:v>
      </x:c>
      <x:c r="O10" s="68" t="str">
        <x:v>结合M09日主旺衰与承载判断</x:v>
      </x:c>
      <x:c r="P10" s="68" t="str">
        <x:v>透干必须与根气、有效力量和全局功能共同成立</x:v>
      </x:c>
      <x:c r="Q10" s="68" t="str">
        <x:v>不适用</x:v>
      </x:c>
      <x:c r="R10" s="68" t="str">
        <x:v>格神得令、有根、透达、清纯，并得到有效生扶或制化配合</x:v>
      </x:c>
      <x:c r="S10" s="68" t="str">
        <x:v>存在更强月令主气、格神功能被替代或全局主势明显转向其他结构</x:v>
      </x:c>
      <x:c r="T10" s="90" t="str">
        <x:v>格神失效、无真实功能，或候选只由单一表面十神名称产生</x:v>
      </x:c>
      <x:c r="U10" s="68" t="str">
        <x:v>特殊格局、建禄羊刃及明确从化结构另用专门规则</x:v>
      </x:c>
      <x:c r="V10" s="82" t="str">
        <x:v>候选</x:v>
      </x:c>
      <x:c r="W10" s="68" t="str">
        <x:v>待定</x:v>
      </x:c>
      <x:c r="X10" s="84" t="str">
        <x:v>透干非充分条件</x:v>
      </x:c>
      <x:c r="Y10" s="84" t="str">
        <x:v>格局候选通用列为“候选”：主要依据为月令与格神有效性；仍需M15检验成格、破格、救应与层次。</x:v>
      </x:c>
      <x:c r="Z10" s="82" t="str">
        <x:v>较高</x:v>
      </x:c>
      <x:c r="AA10" s="82" t="str">
        <x:v>子平格局</x:v>
      </x:c>
      <x:c r="AB10" s="68" t="str">
        <x:v>M14只生成和排除格局候选。候选须综合月令、透干、格神有效力量、清纯度、日主配合与全局主导性；候选成立不等于M15最终成格。</x:v>
      </x:c>
      <x:c r="AC10" s="68" t="str">
        <x:v>月令与格神有效性共同支持“格局候选通用”，且没有决定性否决条件。</x:v>
      </x:c>
      <x:c r="AD10" s="90" t="str">
        <x:v>仅见相关十神或五行出现，但月令、格神有效性或全局主导性不成立，不能直接列“格局候选通用”。</x:v>
      </x:c>
      <x:c r="AE10" s="68" t="str">
        <x:v>https://zh.wikisource.org/zh-hans/%E6%B7%B5%E6%B5%B7%E5%AD%90%E5%B9%B3 ; https://zh.wikisource.org/wiki/%E6%BB%B4%E5%A4%A9%E9%AB%93%E9%97%A1%E5%BE%AE</x:v>
      </x:c>
      <x:c r="AF10" s="82" t="str">
        <x:v>采用</x:v>
      </x:c>
      <x:c r="AG10" s="82" t="str">
        <x:v>初审</x:v>
      </x:c>
      <x:c r="AH10" s="87" t="n">
        <x:v>46260</x:v>
      </x:c>
    </x:row>
    <x:row r="11">
      <x:c r="A11" s="72" t="str">
        <x:f>IF(OR(C11="",D11=""),"",B11&amp;"-"&amp;UPPER(C11)&amp;"-"&amp;TEXT(D11,"0000")&amp;"-"&amp;E11)</x:f>
        <x:v>M14-GEN-0005-V1.0</x:v>
      </x:c>
      <x:c r="B11" s="74" t="str">
        <x:v>M14</x:v>
      </x:c>
      <x:c r="C11" s="74" t="str">
        <x:v>GEN</x:v>
      </x:c>
      <x:c r="D11" s="215" t="n">
        <x:v>5</x:v>
      </x:c>
      <x:c r="E11" s="74" t="str">
        <x:v>V1.0</x:v>
      </x:c>
      <x:c r="F11" s="68" t="str">
        <x:v>格神有根有力是候选稳定性的核心</x:v>
      </x:c>
      <x:c r="G11" s="82" t="str">
        <x:v>综合层</x:v>
      </x:c>
      <x:c r="H11" s="82" t="str">
        <x:v>普通格局</x:v>
      </x:c>
      <x:c r="I11" s="68" t="str">
        <x:v>格局候选通用</x:v>
      </x:c>
      <x:c r="J11" s="68" t="str">
        <x:v>待核查月令主气、中气与全局主势</x:v>
      </x:c>
      <x:c r="K11" s="68" t="str">
        <x:v>透干可增强候选，但不作为所有格局的绝对唯一条件</x:v>
      </x:c>
      <x:c r="L11" s="82" t="str">
        <x:v>待定</x:v>
      </x:c>
      <x:c r="M11" s="68" t="str">
        <x:v>至少存在一个可调用的有效根或稳定生源</x:v>
      </x:c>
      <x:c r="N11" s="68" t="str">
        <x:v>中和以上通常形成较稳定候选；偏弱时仅作弱候选</x:v>
      </x:c>
      <x:c r="O11" s="68" t="str">
        <x:v>结合M09日主旺衰与承载判断</x:v>
      </x:c>
      <x:c r="P11" s="68" t="str">
        <x:v>格神并非名义存在，而能真实执行对应十神功能</x:v>
      </x:c>
      <x:c r="Q11" s="68" t="str">
        <x:v>不适用</x:v>
      </x:c>
      <x:c r="R11" s="68" t="str">
        <x:v>格神得令、有根、透达、清纯，并得到有效生扶或制化配合</x:v>
      </x:c>
      <x:c r="S11" s="68" t="str">
        <x:v>存在更强月令主气、格神功能被替代或全局主势明显转向其他结构</x:v>
      </x:c>
      <x:c r="T11" s="90" t="str">
        <x:v>格神失效、无真实功能，或候选只由单一表面十神名称产生</x:v>
      </x:c>
      <x:c r="U11" s="68" t="str">
        <x:v>特殊格局、建禄羊刃及明确从化结构另用专门规则</x:v>
      </x:c>
      <x:c r="V11" s="82" t="str">
        <x:v>基本成立</x:v>
      </x:c>
      <x:c r="W11" s="68" t="str">
        <x:v>待定</x:v>
      </x:c>
      <x:c r="X11" s="84" t="str">
        <x:v>格神有效性门槛</x:v>
      </x:c>
      <x:c r="Y11" s="84" t="str">
        <x:v>格局候选通用列为“基本成立”：主要依据为月令与格神有效性；仍需M15检验成格、破格、救应与层次。</x:v>
      </x:c>
      <x:c r="Z11" s="82" t="str">
        <x:v>较高</x:v>
      </x:c>
      <x:c r="AA11" s="82" t="str">
        <x:v>子平格局</x:v>
      </x:c>
      <x:c r="AB11" s="68" t="str">
        <x:v>M14只生成和排除格局候选。候选须综合月令、透干、格神有效力量、清纯度、日主配合与全局主导性；候选成立不等于M15最终成格。</x:v>
      </x:c>
      <x:c r="AC11" s="68" t="str">
        <x:v>月令与格神有效性共同支持“格局候选通用”，且没有决定性否决条件。</x:v>
      </x:c>
      <x:c r="AD11" s="90" t="str">
        <x:v>仅见相关十神或五行出现，但月令、格神有效性或全局主导性不成立，不能直接列“格局候选通用”。</x:v>
      </x:c>
      <x:c r="AE11" s="68" t="str">
        <x:v>https://zh.wikisource.org/zh-hans/%E6%B7%B5%E6%B5%B7%E5%AD%90%E5%B9%B3 ; https://zh.wikisource.org/wiki/%E6%BB%B4%E5%A4%A9%E9%AB%93%E9%97%A1%E5%BE%AE</x:v>
      </x:c>
      <x:c r="AF11" s="82" t="str">
        <x:v>采用</x:v>
      </x:c>
      <x:c r="AG11" s="82" t="str">
        <x:v>初审</x:v>
      </x:c>
      <x:c r="AH11" s="87" t="n">
        <x:v>46260</x:v>
      </x:c>
    </x:row>
    <x:row r="12">
      <x:c r="A12" s="72" t="str">
        <x:f>IF(OR(C12="",D12=""),"",B12&amp;"-"&amp;UPPER(C12)&amp;"-"&amp;TEXT(D12,"0000")&amp;"-"&amp;E12)</x:f>
        <x:v>M14-GEN-0006-V1.0</x:v>
      </x:c>
      <x:c r="B12" s="74" t="str">
        <x:v>M14</x:v>
      </x:c>
      <x:c r="C12" s="74" t="str">
        <x:v>GEN</x:v>
      </x:c>
      <x:c r="D12" s="215" t="n">
        <x:v>6</x:v>
      </x:c>
      <x:c r="E12" s="74" t="str">
        <x:v>V1.0</x:v>
      </x:c>
      <x:c r="F12" s="68" t="str">
        <x:v>日主配合决定候选能否运行但不单独决定取格</x:v>
      </x:c>
      <x:c r="G12" s="82" t="str">
        <x:v>综合层</x:v>
      </x:c>
      <x:c r="H12" s="82" t="str">
        <x:v>普通格局</x:v>
      </x:c>
      <x:c r="I12" s="68" t="str">
        <x:v>格局候选通用</x:v>
      </x:c>
      <x:c r="J12" s="68" t="str">
        <x:v>待核查月令主气、中气与全局主势</x:v>
      </x:c>
      <x:c r="K12" s="68" t="str">
        <x:v>透干可增强候选，但不作为所有格局的绝对唯一条件</x:v>
      </x:c>
      <x:c r="L12" s="82" t="str">
        <x:v>待定</x:v>
      </x:c>
      <x:c r="M12" s="68" t="str">
        <x:v>待定</x:v>
      </x:c>
      <x:c r="N12" s="68" t="str">
        <x:v>待定</x:v>
      </x:c>
      <x:c r="O12" s="68" t="str">
        <x:v>日主能够承受格神带来的生、制、泄、耗，或存在有效制化承载</x:v>
      </x:c>
      <x:c r="P12" s="68" t="str">
        <x:v>月令与格神候选已成立，再检查日主是否能配合</x:v>
      </x:c>
      <x:c r="Q12" s="68" t="str">
        <x:v>不适用</x:v>
      </x:c>
      <x:c r="R12" s="68" t="str">
        <x:v>格神得令、有根、透达、清纯，并得到有效生扶或制化配合</x:v>
      </x:c>
      <x:c r="S12" s="68" t="str">
        <x:v>存在更强月令主气、格神功能被替代或全局主势明显转向其他结构</x:v>
      </x:c>
      <x:c r="T12" s="90" t="str">
        <x:v>格神失效、无真实功能，或候选只由单一表面十神名称产生</x:v>
      </x:c>
      <x:c r="U12" s="68" t="str">
        <x:v>特殊格局、建禄羊刃及明确从化结构另用专门规则</x:v>
      </x:c>
      <x:c r="V12" s="82" t="str">
        <x:v>候选</x:v>
      </x:c>
      <x:c r="W12" s="68" t="str">
        <x:v>待定</x:v>
      </x:c>
      <x:c r="X12" s="84" t="str">
        <x:v>日主配合门槛</x:v>
      </x:c>
      <x:c r="Y12" s="84" t="str">
        <x:v>格局候选通用列为“候选”：主要依据为月令与格神有效性；仍需M15检验成格、破格、救应与层次。</x:v>
      </x:c>
      <x:c r="Z12" s="82" t="str">
        <x:v>较高</x:v>
      </x:c>
      <x:c r="AA12" s="82" t="str">
        <x:v>子平格局</x:v>
      </x:c>
      <x:c r="AB12" s="68" t="str">
        <x:v>M14只生成和排除格局候选。候选须综合月令、透干、格神有效力量、清纯度、日主配合与全局主导性；候选成立不等于M15最终成格。</x:v>
      </x:c>
      <x:c r="AC12" s="68" t="str">
        <x:v>月令与格神有效性共同支持“格局候选通用”，且没有决定性否决条件。</x:v>
      </x:c>
      <x:c r="AD12" s="90" t="str">
        <x:v>仅见相关十神或五行出现，但月令、格神有效性或全局主导性不成立，不能直接列“格局候选通用”。</x:v>
      </x:c>
      <x:c r="AE12" s="68" t="str">
        <x:v>https://zh.wikisource.org/zh-hans/%E6%B7%B5%E6%B5%B7%E5%AD%90%E5%B9%B3 ; https://zh.wikisource.org/wiki/%E6%BB%B4%E5%A4%A9%E9%AB%93%E9%97%A1%E5%BE%AE</x:v>
      </x:c>
      <x:c r="AF12" s="82" t="str">
        <x:v>采用</x:v>
      </x:c>
      <x:c r="AG12" s="82" t="str">
        <x:v>初审</x:v>
      </x:c>
      <x:c r="AH12" s="87" t="n">
        <x:v>46260</x:v>
      </x:c>
    </x:row>
    <x:row r="13">
      <x:c r="A13" s="72" t="str">
        <x:f>IF(OR(C13="",D13=""),"",B13&amp;"-"&amp;UPPER(C13)&amp;"-"&amp;TEXT(D13,"0000")&amp;"-"&amp;E13)</x:f>
        <x:v>M14-GEN-0007-V1.0</x:v>
      </x:c>
      <x:c r="B13" s="74" t="str">
        <x:v>M14</x:v>
      </x:c>
      <x:c r="C13" s="74" t="str">
        <x:v>GEN</x:v>
      </x:c>
      <x:c r="D13" s="215" t="n">
        <x:v>7</x:v>
      </x:c>
      <x:c r="E13" s="74" t="str">
        <x:v>V1.0</x:v>
      </x:c>
      <x:c r="F13" s="68" t="str">
        <x:v>主气清纯度用于候选排序而非单项否决</x:v>
      </x:c>
      <x:c r="G13" s="82" t="str">
        <x:v>综合层</x:v>
      </x:c>
      <x:c r="H13" s="82" t="str">
        <x:v>普通格局</x:v>
      </x:c>
      <x:c r="I13" s="68" t="str">
        <x:v>格局候选通用</x:v>
      </x:c>
      <x:c r="J13" s="68" t="str">
        <x:v>待核查月令主气、中气与全局主势</x:v>
      </x:c>
      <x:c r="K13" s="68" t="str">
        <x:v>透干可增强候选，但不作为所有格局的绝对唯一条件</x:v>
      </x:c>
      <x:c r="L13" s="82" t="str">
        <x:v>待定</x:v>
      </x:c>
      <x:c r="M13" s="68" t="str">
        <x:v>待定</x:v>
      </x:c>
      <x:c r="N13" s="68" t="str">
        <x:v>待定</x:v>
      </x:c>
      <x:c r="O13" s="68" t="str">
        <x:v>结合M09日主旺衰与承载判断</x:v>
      </x:c>
      <x:c r="P13" s="68" t="str">
        <x:v>同类正偏十神、官杀、食伤或印枭并见时判断主从与有效性</x:v>
      </x:c>
      <x:c r="Q13" s="68" t="str">
        <x:v>不适用</x:v>
      </x:c>
      <x:c r="R13" s="68" t="str">
        <x:v>格神得令、有根、透达、清纯，并得到有效生扶或制化配合</x:v>
      </x:c>
      <x:c r="S13" s="68" t="str">
        <x:v>严重混杂且无清化会降低候选优先级</x:v>
      </x:c>
      <x:c r="T13" s="90" t="str">
        <x:v>只有当混杂使格神功能完全无法主导时才否决</x:v>
      </x:c>
      <x:c r="U13" s="68" t="str">
        <x:v>特殊格局、建禄羊刃及明确从化结构另用专门规则</x:v>
      </x:c>
      <x:c r="V13" s="82" t="str">
        <x:v>候选</x:v>
      </x:c>
      <x:c r="W13" s="68" t="str">
        <x:v>清化后的次级候选</x:v>
      </x:c>
      <x:c r="X13" s="84" t="str">
        <x:v>清纯度排序</x:v>
      </x:c>
      <x:c r="Y13" s="84" t="str">
        <x:v>格局候选通用列为“候选”：主要依据为月令与格神有效性；仍需M15检验成格、破格、救应与层次。</x:v>
      </x:c>
      <x:c r="Z13" s="82" t="str">
        <x:v>较高</x:v>
      </x:c>
      <x:c r="AA13" s="82" t="str">
        <x:v>子平格局</x:v>
      </x:c>
      <x:c r="AB13" s="68" t="str">
        <x:v>M14只生成和排除格局候选。候选须综合月令、透干、格神有效力量、清纯度、日主配合与全局主导性；候选成立不等于M15最终成格。</x:v>
      </x:c>
      <x:c r="AC13" s="68" t="str">
        <x:v>月令与格神有效性共同支持“格局候选通用”，且没有决定性否决条件。</x:v>
      </x:c>
      <x:c r="AD13" s="90" t="str">
        <x:v>仅见相关十神或五行出现，但月令、格神有效性或全局主导性不成立，不能直接列“格局候选通用”。</x:v>
      </x:c>
      <x:c r="AE13" s="68" t="str">
        <x:v>https://zh.wikisource.org/zh-hans/%E6%B7%B5%E6%B5%B7%E5%AD%90%E5%B9%B3 ; https://zh.wikisource.org/wiki/%E6%BB%B4%E5%A4%A9%E9%AB%93%E9%97%A1%E5%BE%AE</x:v>
      </x:c>
      <x:c r="AF13" s="82" t="str">
        <x:v>采用</x:v>
      </x:c>
      <x:c r="AG13" s="82" t="str">
        <x:v>初审</x:v>
      </x:c>
      <x:c r="AH13" s="87" t="n">
        <x:v>46260</x:v>
      </x:c>
    </x:row>
    <x:row r="14">
      <x:c r="A14" s="72" t="str">
        <x:f>IF(OR(C14="",D14=""),"",B14&amp;"-"&amp;UPPER(C14)&amp;"-"&amp;TEXT(D14,"0000")&amp;"-"&amp;E14)</x:f>
        <x:v>M14-GEN-0008-V1.0</x:v>
      </x:c>
      <x:c r="B14" s="74" t="str">
        <x:v>M14</x:v>
      </x:c>
      <x:c r="C14" s="74" t="str">
        <x:v>GEN</x:v>
      </x:c>
      <x:c r="D14" s="215" t="n">
        <x:v>8</x:v>
      </x:c>
      <x:c r="E14" s="74" t="str">
        <x:v>V1.0</x:v>
      </x:c>
      <x:c r="F14" s="68" t="str">
        <x:v>组合成立只为格局提供支持不能替代月令取格</x:v>
      </x:c>
      <x:c r="G14" s="82" t="str">
        <x:v>综合层</x:v>
      </x:c>
      <x:c r="H14" s="82" t="str">
        <x:v>普通格局</x:v>
      </x:c>
      <x:c r="I14" s="68" t="str">
        <x:v>格局候选通用</x:v>
      </x:c>
      <x:c r="J14" s="68" t="str">
        <x:v>待核查月令主气、中气与全局主势</x:v>
      </x:c>
      <x:c r="K14" s="68" t="str">
        <x:v>透干可增强候选，但不作为所有格局的绝对唯一条件</x:v>
      </x:c>
      <x:c r="L14" s="82" t="str">
        <x:v>待定</x:v>
      </x:c>
      <x:c r="M14" s="68" t="str">
        <x:v>待定</x:v>
      </x:c>
      <x:c r="N14" s="68" t="str">
        <x:v>待定</x:v>
      </x:c>
      <x:c r="O14" s="68" t="str">
        <x:v>结合M09日主旺衰与承载判断</x:v>
      </x:c>
      <x:c r="P14" s="68" t="str">
        <x:v>M11组合达到基本成立以上，并与月令格神方向一致</x:v>
      </x:c>
      <x:c r="Q14" s="68" t="str">
        <x:v>不适用</x:v>
      </x:c>
      <x:c r="R14" s="68" t="str">
        <x:v>格神得令、有根、透达、清纯，并得到有效生扶或制化配合</x:v>
      </x:c>
      <x:c r="S14" s="68" t="str">
        <x:v>组合仅局部成立但不主导全局</x:v>
      </x:c>
      <x:c r="T14" s="90" t="str">
        <x:v>格神失效、无真实功能，或候选只由单一表面十神名称产生</x:v>
      </x:c>
      <x:c r="U14" s="68" t="str">
        <x:v>特殊格局、建禄羊刃及明确从化结构另用专门规则</x:v>
      </x:c>
      <x:c r="V14" s="82" t="str">
        <x:v>候选</x:v>
      </x:c>
      <x:c r="W14" s="68" t="str">
        <x:v>局部组合候选</x:v>
      </x:c>
      <x:c r="X14" s="84" t="str">
        <x:v>组合与格局分层</x:v>
      </x:c>
      <x:c r="Y14" s="84" t="str">
        <x:v>M11组合可增强格局候选，但不能直接把局部食神制杀、官印相生等组合升级为最终格局。</x:v>
      </x:c>
      <x:c r="Z14" s="82" t="str">
        <x:v>较高</x:v>
      </x:c>
      <x:c r="AA14" s="82" t="str">
        <x:v>子平格局</x:v>
      </x:c>
      <x:c r="AB14" s="68" t="str">
        <x:v>M14只生成和排除格局候选。候选须综合月令、透干、格神有效力量、清纯度、日主配合与全局主导性；候选成立不等于M15最终成格。</x:v>
      </x:c>
      <x:c r="AC14" s="68" t="str">
        <x:v>月令与格神有效性共同支持“格局候选通用”，且没有决定性否决条件。</x:v>
      </x:c>
      <x:c r="AD14" s="90" t="str">
        <x:v>仅见相关十神或五行出现，但月令、格神有效性或全局主导性不成立，不能直接列“格局候选通用”。</x:v>
      </x:c>
      <x:c r="AE14" s="68" t="str">
        <x:v>https://zh.wikisource.org/zh-hans/%E6%B7%B5%E6%B5%B7%E5%AD%90%E5%B9%B3 ; https://zh.wikisource.org/wiki/%E6%BB%B4%E5%A4%A9%E9%AB%93%E9%97%A1%E5%BE%AE</x:v>
      </x:c>
      <x:c r="AF14" s="82" t="str">
        <x:v>采用</x:v>
      </x:c>
      <x:c r="AG14" s="82" t="str">
        <x:v>初审</x:v>
      </x:c>
      <x:c r="AH14" s="87" t="n">
        <x:v>46260</x:v>
      </x:c>
    </x:row>
    <x:row r="15">
      <x:c r="A15" s="72" t="str">
        <x:f>IF(OR(C15="",D15=""),"",B15&amp;"-"&amp;UPPER(C15)&amp;"-"&amp;TEXT(D15,"0000")&amp;"-"&amp;E15)</x:f>
        <x:v>M14-GUAN-0009-V1.0</x:v>
      </x:c>
      <x:c r="B15" s="74" t="str">
        <x:v>M14</x:v>
      </x:c>
      <x:c r="C15" s="74" t="str">
        <x:v>GUAN</x:v>
      </x:c>
      <x:c r="D15" s="215" t="n">
        <x:v>9</x:v>
      </x:c>
      <x:c r="E15" s="74" t="str">
        <x:v>V1.0</x:v>
      </x:c>
      <x:c r="F15" s="68" t="str">
        <x:v>月令正官主气生成正官格候选</x:v>
      </x:c>
      <x:c r="G15" s="82" t="str">
        <x:v>综合层</x:v>
      </x:c>
      <x:c r="H15" s="82" t="str">
        <x:v>普通格局</x:v>
      </x:c>
      <x:c r="I15" s="68" t="str">
        <x:v>正官格候选</x:v>
      </x:c>
      <x:c r="J15" s="68" t="str">
        <x:v>月令本气为正官，或月令官星得令并成为主要功能轴</x:v>
      </x:c>
      <x:c r="K15" s="68" t="str">
        <x:v>正官透干为强增强条件</x:v>
      </x:c>
      <x:c r="L15" s="82" t="str">
        <x:v>较清</x:v>
      </x:c>
      <x:c r="M15" s="68" t="str">
        <x:v>正官有根</x:v>
      </x:c>
      <x:c r="N15" s="68" t="str">
        <x:v>中和偏旺</x:v>
      </x:c>
      <x:c r="O15" s="68" t="str">
        <x:v>日主有根有承载，官制身不过度</x:v>
      </x:c>
      <x:c r="P15" s="68" t="str">
        <x:v>正官得令、有效且能够稳定制身</x:v>
      </x:c>
      <x:c r="Q15" s="68" t="str">
        <x:v>不适用</x:v>
      </x:c>
      <x:c r="R15" s="68" t="str">
        <x:v>格神得令、有根、透达、清纯，并得到有效生扶或制化配合</x:v>
      </x:c>
      <x:c r="S15" s="68" t="str">
        <x:v>存在更强月令主气、格神功能被替代或全局主势明显转向其他结构</x:v>
      </x:c>
      <x:c r="T15" s="90" t="str">
        <x:v>格神失效、无真实功能，或候选只由单一表面十神名称产生</x:v>
      </x:c>
      <x:c r="U15" s="68" t="str">
        <x:v>特殊格局、建禄羊刃及明确从化结构另用专门规则</x:v>
      </x:c>
      <x:c r="V15" s="82" t="str">
        <x:v>候选</x:v>
      </x:c>
      <x:c r="W15" s="68" t="str">
        <x:v>官印相生、财官相生候选</x:v>
      </x:c>
      <x:c r="X15" s="84" t="str">
        <x:v>正官格候选_候选</x:v>
      </x:c>
      <x:c r="Y15" s="84" t="str">
        <x:v>正官格候选列为“候选”：主要依据为月令与格神有效性；仍需M15检验成格、破格、救应与层次。</x:v>
      </x:c>
      <x:c r="Z15" s="82" t="str">
        <x:v>较高</x:v>
      </x:c>
      <x:c r="AA15" s="82" t="str">
        <x:v>子平格局</x:v>
      </x:c>
      <x:c r="AB15" s="68" t="str">
        <x:v>M14只生成和排除格局候选。候选须综合月令、透干、格神有效力量、清纯度、日主配合与全局主导性；候选成立不等于M15最终成格。</x:v>
      </x:c>
      <x:c r="AC15" s="68" t="str">
        <x:v>月令与格神有效性共同支持“正官格候选”，且没有决定性否决条件。</x:v>
      </x:c>
      <x:c r="AD15" s="90" t="str">
        <x:v>仅见相关十神或五行出现，但月令、格神有效性或全局主导性不成立，不能直接列“正官格候选”。</x:v>
      </x:c>
      <x:c r="AE15" s="68" t="str">
        <x:v>https://zh.wikisource.org/zh-hans/%E6%B7%B5%E6%B5%B7%E5%AD%90%E5%B9%B3 ; https://zh.wikisource.org/wiki/%E6%BB%B4%E5%A4%A9%E9%AB%93%E9%97%A1%E5%BE%AE</x:v>
      </x:c>
      <x:c r="AF15" s="82" t="str">
        <x:v>采用</x:v>
      </x:c>
      <x:c r="AG15" s="82" t="str">
        <x:v>初审</x:v>
      </x:c>
      <x:c r="AH15" s="87" t="n">
        <x:v>46260</x:v>
      </x:c>
    </x:row>
    <x:row r="16">
      <x:c r="A16" s="72" t="str">
        <x:f>IF(OR(C16="",D16=""),"",B16&amp;"-"&amp;UPPER(C16)&amp;"-"&amp;TEXT(D16,"0000")&amp;"-"&amp;E16)</x:f>
        <x:v>M14-GUAN-0010-V1.0</x:v>
      </x:c>
      <x:c r="B16" s="74" t="str">
        <x:v>M14</x:v>
      </x:c>
      <x:c r="C16" s="74" t="str">
        <x:v>GUAN</x:v>
      </x:c>
      <x:c r="D16" s="215" t="n">
        <x:v>10</x:v>
      </x:c>
      <x:c r="E16" s="74" t="str">
        <x:v>V1.0</x:v>
      </x:c>
      <x:c r="F16" s="68" t="str">
        <x:v>月令藏官透干可生成正官格次候选</x:v>
      </x:c>
      <x:c r="G16" s="82" t="str">
        <x:v>综合层</x:v>
      </x:c>
      <x:c r="H16" s="82" t="str">
        <x:v>普通格局</x:v>
      </x:c>
      <x:c r="I16" s="68" t="str">
        <x:v>正官格候选</x:v>
      </x:c>
      <x:c r="J16" s="68" t="str">
        <x:v>月令藏正官且正官透干，月令主气未形成更强替代格</x:v>
      </x:c>
      <x:c r="K16" s="68" t="str">
        <x:v>正官透干并有根</x:v>
      </x:c>
      <x:c r="L16" s="82" t="str">
        <x:v>较清</x:v>
      </x:c>
      <x:c r="M16" s="68" t="str">
        <x:v>有根</x:v>
      </x:c>
      <x:c r="N16" s="68" t="str">
        <x:v>中和</x:v>
      </x:c>
      <x:c r="O16" s="68" t="str">
        <x:v>结合M09日主旺衰与承载判断</x:v>
      </x:c>
      <x:c r="P16" s="68" t="str">
        <x:v>官星由月令引出并成为显性结构核心</x:v>
      </x:c>
      <x:c r="Q16" s="68" t="str">
        <x:v>不适用</x:v>
      </x:c>
      <x:c r="R16" s="68" t="str">
        <x:v>格神得令、有根、透达、清纯，并得到有效生扶或制化配合</x:v>
      </x:c>
      <x:c r="S16" s="68" t="str">
        <x:v>存在更强月令主气、格神功能被替代或全局主势明显转向其他结构</x:v>
      </x:c>
      <x:c r="T16" s="90" t="str">
        <x:v>格神失效、无真实功能，或候选只由单一表面十神名称产生</x:v>
      </x:c>
      <x:c r="U16" s="68" t="str">
        <x:v>特殊格局、建禄羊刃及明确从化结构另用专门规则</x:v>
      </x:c>
      <x:c r="V16" s="82" t="str">
        <x:v>候选</x:v>
      </x:c>
      <x:c r="W16" s="68" t="str">
        <x:v>月令主气候选</x:v>
      </x:c>
      <x:c r="X16" s="84" t="str">
        <x:v>正官格候选_候选</x:v>
      </x:c>
      <x:c r="Y16" s="84" t="str">
        <x:v>正官格候选列为“候选”：主要依据为月令与格神有效性；仍需M15检验成格、破格、救应与层次。</x:v>
      </x:c>
      <x:c r="Z16" s="82" t="str">
        <x:v>较高</x:v>
      </x:c>
      <x:c r="AA16" s="82" t="str">
        <x:v>子平格局</x:v>
      </x:c>
      <x:c r="AB16" s="68" t="str">
        <x:v>M14只生成和排除格局候选。候选须综合月令、透干、格神有效力量、清纯度、日主配合与全局主导性；候选成立不等于M15最终成格。</x:v>
      </x:c>
      <x:c r="AC16" s="68" t="str">
        <x:v>月令与格神有效性共同支持“正官格候选”，且没有决定性否决条件。</x:v>
      </x:c>
      <x:c r="AD16" s="90" t="str">
        <x:v>仅见相关十神或五行出现，但月令、格神有效性或全局主导性不成立，不能直接列“正官格候选”。</x:v>
      </x:c>
      <x:c r="AE16" s="68" t="str">
        <x:v>https://zh.wikisource.org/zh-hans/%E6%B7%B5%E6%B5%B7%E5%AD%90%E5%B9%B3 ; https://zh.wikisource.org/wiki/%E6%BB%B4%E5%A4%A9%E9%AB%93%E9%97%A1%E5%BE%AE</x:v>
      </x:c>
      <x:c r="AF16" s="82" t="str">
        <x:v>采用</x:v>
      </x:c>
      <x:c r="AG16" s="82" t="str">
        <x:v>初审</x:v>
      </x:c>
      <x:c r="AH16" s="87" t="n">
        <x:v>46260</x:v>
      </x:c>
    </x:row>
    <x:row r="17">
      <x:c r="A17" s="72" t="str">
        <x:f>IF(OR(C17="",D17=""),"",B17&amp;"-"&amp;UPPER(C17)&amp;"-"&amp;TEXT(D17,"0000")&amp;"-"&amp;E17)</x:f>
        <x:v>M14-GUAN-0011-V1.0</x:v>
      </x:c>
      <x:c r="B17" s="74" t="str">
        <x:v>M14</x:v>
      </x:c>
      <x:c r="C17" s="74" t="str">
        <x:v>GUAN</x:v>
      </x:c>
      <x:c r="D17" s="215" t="n">
        <x:v>11</x:v>
      </x:c>
      <x:c r="E17" s="74" t="str">
        <x:v>V1.0</x:v>
      </x:c>
      <x:c r="F17" s="68" t="str">
        <x:v>官印相生可增强正官格候选</x:v>
      </x:c>
      <x:c r="G17" s="82" t="str">
        <x:v>综合层</x:v>
      </x:c>
      <x:c r="H17" s="82" t="str">
        <x:v>普通格局</x:v>
      </x:c>
      <x:c r="I17" s="68" t="str">
        <x:v>正官格候选</x:v>
      </x:c>
      <x:c r="J17" s="68" t="str">
        <x:v>正官具有月令依据</x:v>
      </x:c>
      <x:c r="K17" s="68" t="str">
        <x:v>官印均透或功能清晰</x:v>
      </x:c>
      <x:c r="L17" s="82" t="str">
        <x:v>较清</x:v>
      </x:c>
      <x:c r="M17" s="68" t="str">
        <x:v>官印均有有效根源</x:v>
      </x:c>
      <x:c r="N17" s="68" t="str">
        <x:v>中和偏旺</x:v>
      </x:c>
      <x:c r="O17" s="68" t="str">
        <x:v>印能承接官气并生日主</x:v>
      </x:c>
      <x:c r="P17" s="68" t="str">
        <x:v>M11官印相生达到基本成立以上</x:v>
      </x:c>
      <x:c r="Q17" s="68" t="str">
        <x:v>不适用</x:v>
      </x:c>
      <x:c r="R17" s="68" t="str">
        <x:v>格神得令、有根、透达、清纯，并得到有效生扶或制化配合</x:v>
      </x:c>
      <x:c r="S17" s="68" t="str">
        <x:v>存在更强月令主气、格神功能被替代或全局主势明显转向其他结构</x:v>
      </x:c>
      <x:c r="T17" s="90" t="str">
        <x:v>格神失效、无真实功能，或候选只由单一表面十神名称产生</x:v>
      </x:c>
      <x:c r="U17" s="68" t="str">
        <x:v>特殊格局、建禄羊刃及明确从化结构另用专门规则</x:v>
      </x:c>
      <x:c r="V17" s="82" t="str">
        <x:v>基本成立</x:v>
      </x:c>
      <x:c r="W17" s="68" t="str">
        <x:v>正印格候选</x:v>
      </x:c>
      <x:c r="X17" s="84" t="str">
        <x:v>正官格候选_候选</x:v>
      </x:c>
      <x:c r="Y17" s="84" t="str">
        <x:v>正官格候选列为“基本成立”：主要依据为月令与格神有效性；仍需M15检验成格、破格、救应与层次。</x:v>
      </x:c>
      <x:c r="Z17" s="82" t="str">
        <x:v>较高</x:v>
      </x:c>
      <x:c r="AA17" s="82" t="str">
        <x:v>子平格局</x:v>
      </x:c>
      <x:c r="AB17" s="68" t="str">
        <x:v>M14只生成和排除格局候选。候选须综合月令、透干、格神有效力量、清纯度、日主配合与全局主导性；候选成立不等于M15最终成格。</x:v>
      </x:c>
      <x:c r="AC17" s="68" t="str">
        <x:v>月令与格神有效性共同支持“正官格候选”，且没有决定性否决条件。</x:v>
      </x:c>
      <x:c r="AD17" s="90" t="str">
        <x:v>仅见相关十神或五行出现，但月令、格神有效性或全局主导性不成立，不能直接列“正官格候选”。</x:v>
      </x:c>
      <x:c r="AE17" s="68" t="str">
        <x:v>https://zh.wikisource.org/zh-hans/%E6%B7%B5%E6%B5%B7%E5%AD%90%E5%B9%B3 ; https://zh.wikisource.org/wiki/%E6%BB%B4%E5%A4%A9%E9%AB%93%E9%97%A1%E5%BE%AE</x:v>
      </x:c>
      <x:c r="AF17" s="82" t="str">
        <x:v>采用</x:v>
      </x:c>
      <x:c r="AG17" s="82" t="str">
        <x:v>初审</x:v>
      </x:c>
      <x:c r="AH17" s="87" t="n">
        <x:v>46260</x:v>
      </x:c>
    </x:row>
    <x:row r="18">
      <x:c r="A18" s="72" t="str">
        <x:f>IF(OR(C18="",D18=""),"",B18&amp;"-"&amp;UPPER(C18)&amp;"-"&amp;TEXT(D18,"0000")&amp;"-"&amp;E18)</x:f>
        <x:v>M14-GUAN-0012-V1.0</x:v>
      </x:c>
      <x:c r="B18" s="74" t="str">
        <x:v>M14</x:v>
      </x:c>
      <x:c r="C18" s="74" t="str">
        <x:v>GUAN</x:v>
      </x:c>
      <x:c r="D18" s="215" t="n">
        <x:v>12</x:v>
      </x:c>
      <x:c r="E18" s="74" t="str">
        <x:v>V1.0</x:v>
      </x:c>
      <x:c r="F18" s="68" t="str">
        <x:v>财生官可增强正官格候选但须防财坏印</x:v>
      </x:c>
      <x:c r="G18" s="82" t="str">
        <x:v>综合层</x:v>
      </x:c>
      <x:c r="H18" s="82" t="str">
        <x:v>普通格局</x:v>
      </x:c>
      <x:c r="I18" s="68" t="str">
        <x:v>正官格候选</x:v>
      </x:c>
      <x:c r="J18" s="68" t="str">
        <x:v>正官候选已生成</x:v>
      </x:c>
      <x:c r="K18" s="68" t="str">
        <x:v>财官作用路径清晰</x:v>
      </x:c>
      <x:c r="L18" s="82" t="str">
        <x:v>待定</x:v>
      </x:c>
      <x:c r="M18" s="68" t="str">
        <x:v>待定</x:v>
      </x:c>
      <x:c r="N18" s="68" t="str">
        <x:v>待定</x:v>
      </x:c>
      <x:c r="O18" s="68" t="str">
        <x:v>结合M09日主旺衰与承载判断</x:v>
      </x:c>
      <x:c r="P18" s="68" t="str">
        <x:v>M11财官相生成立，且财不过度破坏关键印星</x:v>
      </x:c>
      <x:c r="Q18" s="68" t="str">
        <x:v>不适用</x:v>
      </x:c>
      <x:c r="R18" s="68" t="str">
        <x:v>格神得令、有根、透达、清纯，并得到有效生扶或制化配合</x:v>
      </x:c>
      <x:c r="S18" s="68" t="str">
        <x:v>存在更强月令主气、格神功能被替代或全局主势明显转向其他结构</x:v>
      </x:c>
      <x:c r="T18" s="90" t="str">
        <x:v>格神失效、无真实功能，或候选只由单一表面十神名称产生</x:v>
      </x:c>
      <x:c r="U18" s="68" t="str">
        <x:v>特殊格局、建禄羊刃及明确从化结构另用专门规则</x:v>
      </x:c>
      <x:c r="V18" s="82" t="str">
        <x:v>基本成立</x:v>
      </x:c>
      <x:c r="W18" s="68" t="str">
        <x:v>财格候选</x:v>
      </x:c>
      <x:c r="X18" s="84" t="str">
        <x:v>正官格_财官增强</x:v>
      </x:c>
      <x:c r="Y18" s="84" t="str">
        <x:v>正官格候选列为“基本成立”：主要依据为月令与格神有效性；仍需M15检验成格、破格、救应与层次。</x:v>
      </x:c>
      <x:c r="Z18" s="82" t="str">
        <x:v>较高</x:v>
      </x:c>
      <x:c r="AA18" s="82" t="str">
        <x:v>子平格局</x:v>
      </x:c>
      <x:c r="AB18" s="68" t="str">
        <x:v>M14只生成和排除格局候选。候选须综合月令、透干、格神有效力量、清纯度、日主配合与全局主导性；候选成立不等于M15最终成格。</x:v>
      </x:c>
      <x:c r="AC18" s="68" t="str">
        <x:v>月令与格神有效性共同支持“正官格候选”，且没有决定性否决条件。</x:v>
      </x:c>
      <x:c r="AD18" s="90" t="str">
        <x:v>仅见相关十神或五行出现，但月令、格神有效性或全局主导性不成立，不能直接列“正官格候选”。</x:v>
      </x:c>
      <x:c r="AE18" s="68" t="str">
        <x:v>https://zh.wikisource.org/zh-hans/%E6%B7%B5%E6%B5%B7%E5%AD%90%E5%B9%B3 ; https://zh.wikisource.org/wiki/%E6%BB%B4%E5%A4%A9%E9%AB%93%E9%97%A1%E5%BE%AE</x:v>
      </x:c>
      <x:c r="AF18" s="82" t="str">
        <x:v>采用</x:v>
      </x:c>
      <x:c r="AG18" s="82" t="str">
        <x:v>初审</x:v>
      </x:c>
      <x:c r="AH18" s="87" t="n">
        <x:v>46260</x:v>
      </x:c>
    </x:row>
    <x:row r="19">
      <x:c r="A19" s="72" t="str">
        <x:f>IF(OR(C19="",D19=""),"",B19&amp;"-"&amp;UPPER(C19)&amp;"-"&amp;TEXT(D19,"0000")&amp;"-"&amp;E19)</x:f>
        <x:v>M14-GUAN-0013-V1.0</x:v>
      </x:c>
      <x:c r="B19" s="74" t="str">
        <x:v>M14</x:v>
      </x:c>
      <x:c r="C19" s="74" t="str">
        <x:v>GUAN</x:v>
      </x:c>
      <x:c r="D19" s="215" t="n">
        <x:v>13</x:v>
      </x:c>
      <x:c r="E19" s="74" t="str">
        <x:v>V1.0</x:v>
      </x:c>
      <x:c r="F19" s="68" t="str">
        <x:v>伤官强制官会降低或排除正官格候选</x:v>
      </x:c>
      <x:c r="G19" s="82" t="str">
        <x:v>综合层</x:v>
      </x:c>
      <x:c r="H19" s="82" t="str">
        <x:v>普通格局</x:v>
      </x:c>
      <x:c r="I19" s="68" t="str">
        <x:v>正官格候选</x:v>
      </x:c>
      <x:c r="J19" s="68" t="str">
        <x:v>正官具有月令依据</x:v>
      </x:c>
      <x:c r="K19" s="68" t="str">
        <x:v>透干可增强候选，但不作为所有格局的绝对唯一条件</x:v>
      </x:c>
      <x:c r="L19" s="82" t="str">
        <x:v>有杂</x:v>
      </x:c>
      <x:c r="M19" s="68" t="str">
        <x:v>正官根气受损或仍待定</x:v>
      </x:c>
      <x:c r="N19" s="68" t="str">
        <x:v>受限</x:v>
      </x:c>
      <x:c r="O19" s="68" t="str">
        <x:v>结合M09日主旺衰与承载判断</x:v>
      </x:c>
      <x:c r="P19" s="68" t="str">
        <x:v>正官原可列候选，但M11伤官见官冲突成立</x:v>
      </x:c>
      <x:c r="Q19" s="68" t="str">
        <x:v>不适用</x:v>
      </x:c>
      <x:c r="R19" s="68" t="str">
        <x:v>格神得令、有根、透达、清纯，并得到有效生扶或制化配合</x:v>
      </x:c>
      <x:c r="S19" s="68" t="str">
        <x:v>伤官对正官形成持续有效克制</x:v>
      </x:c>
      <x:c r="T19" s="90" t="str">
        <x:v>正官被制至失效且无印制伤、财通关等救应</x:v>
      </x:c>
      <x:c r="U19" s="68" t="str">
        <x:v>特殊格局、建禄羊刃及明确从化结构另用专门规则</x:v>
      </x:c>
      <x:c r="V19" s="82" t="str">
        <x:v>不成立</x:v>
      </x:c>
      <x:c r="W19" s="68" t="str">
        <x:v>伤官格或伤官配印候选</x:v>
      </x:c>
      <x:c r="X19" s="84" t="str">
        <x:v>正官格_伤官破官</x:v>
      </x:c>
      <x:c r="Y19" s="84" t="str">
        <x:v>正官格候选列为“不成立”：主要依据为月令与格神有效性；仍需M15检验成格、破格、救应与层次。</x:v>
      </x:c>
      <x:c r="Z19" s="82" t="str">
        <x:v>较高</x:v>
      </x:c>
      <x:c r="AA19" s="82" t="str">
        <x:v>子平格局</x:v>
      </x:c>
      <x:c r="AB19" s="68" t="str">
        <x:v>M14只生成和排除格局候选。候选须综合月令、透干、格神有效力量、清纯度、日主配合与全局主导性；候选成立不等于M15最终成格。</x:v>
      </x:c>
      <x:c r="AC19" s="68" t="str">
        <x:v>月令与格神有效性共同支持“正官格候选”，且没有决定性否决条件。</x:v>
      </x:c>
      <x:c r="AD19" s="90" t="str">
        <x:v>仅见相关十神或五行出现，但月令、格神有效性或全局主导性不成立，不能直接列“正官格候选”。</x:v>
      </x:c>
      <x:c r="AE19" s="68" t="str">
        <x:v>https://zh.wikisource.org/zh-hans/%E6%B7%B5%E6%B5%B7%E5%AD%90%E5%B9%B3 ; https://zh.wikisource.org/wiki/%E6%BB%B4%E5%A4%A9%E9%AB%93%E9%97%A1%E5%BE%AE</x:v>
      </x:c>
      <x:c r="AF19" s="82" t="str">
        <x:v>采用</x:v>
      </x:c>
      <x:c r="AG19" s="82" t="str">
        <x:v>初审</x:v>
      </x:c>
      <x:c r="AH19" s="87" t="n">
        <x:v>46260</x:v>
      </x:c>
    </x:row>
    <x:row r="20">
      <x:c r="A20" s="72" t="str">
        <x:f>IF(OR(C20="",D20=""),"",B20&amp;"-"&amp;UPPER(C20)&amp;"-"&amp;TEXT(D20,"0000")&amp;"-"&amp;E20)</x:f>
        <x:v>M14-GUAN-0014-V1.0</x:v>
      </x:c>
      <x:c r="B20" s="74" t="str">
        <x:v>M14</x:v>
      </x:c>
      <x:c r="C20" s="74" t="str">
        <x:v>GUAN</x:v>
      </x:c>
      <x:c r="D20" s="215" t="n">
        <x:v>14</x:v>
      </x:c>
      <x:c r="E20" s="74" t="str">
        <x:v>V1.0</x:v>
      </x:c>
      <x:c r="F20" s="68" t="str">
        <x:v>官杀混杂主从不清时正官格降级</x:v>
      </x:c>
      <x:c r="G20" s="82" t="str">
        <x:v>综合层</x:v>
      </x:c>
      <x:c r="H20" s="82" t="str">
        <x:v>普通格局</x:v>
      </x:c>
      <x:c r="I20" s="68" t="str">
        <x:v>正官格候选</x:v>
      </x:c>
      <x:c r="J20" s="68" t="str">
        <x:v>正官有月令依据，但七杀同时有效</x:v>
      </x:c>
      <x:c r="K20" s="68" t="str">
        <x:v>透干可增强候选，但不作为所有格局的绝对唯一条件</x:v>
      </x:c>
      <x:c r="L20" s="82" t="str">
        <x:v>混杂</x:v>
      </x:c>
      <x:c r="M20" s="68" t="str">
        <x:v>待定</x:v>
      </x:c>
      <x:c r="N20" s="68" t="str">
        <x:v>待定</x:v>
      </x:c>
      <x:c r="O20" s="68" t="str">
        <x:v>结合M09日主旺衰与承载判断</x:v>
      </x:c>
      <x:c r="P20" s="68" t="str">
        <x:v>官杀并见且双方都参与制身</x:v>
      </x:c>
      <x:c r="Q20" s="68" t="str">
        <x:v>不适用</x:v>
      </x:c>
      <x:c r="R20" s="68" t="str">
        <x:v>格神得令、有根、透达、清纯，并得到有效生扶或制化配合</x:v>
      </x:c>
      <x:c r="S20" s="68" t="str">
        <x:v>官杀双强、主从不清、无合制清化</x:v>
      </x:c>
      <x:c r="T20" s="90" t="str">
        <x:v>格神失效、无真实功能，或候选只由单一表面十神名称产生</x:v>
      </x:c>
      <x:c r="U20" s="68" t="str">
        <x:v>特殊格局、建禄羊刃及明确从化结构另用专门规则</x:v>
      </x:c>
      <x:c r="V20" s="82" t="str">
        <x:v>候选</x:v>
      </x:c>
      <x:c r="W20" s="68" t="str">
        <x:v>七杀格或官杀混杂结构</x:v>
      </x:c>
      <x:c r="X20" s="84" t="str">
        <x:v>正官格_官杀混杂</x:v>
      </x:c>
      <x:c r="Y20" s="84" t="str">
        <x:v>正官格候选列为“候选”：主要依据为月令与格神有效性；仍需M15检验成格、破格、救应与层次。</x:v>
      </x:c>
      <x:c r="Z20" s="82" t="str">
        <x:v>较高</x:v>
      </x:c>
      <x:c r="AA20" s="82" t="str">
        <x:v>子平格局</x:v>
      </x:c>
      <x:c r="AB20" s="68" t="str">
        <x:v>M14只生成和排除格局候选。候选须综合月令、透干、格神有效力量、清纯度、日主配合与全局主导性；候选成立不等于M15最终成格。</x:v>
      </x:c>
      <x:c r="AC20" s="68" t="str">
        <x:v>月令与格神有效性共同支持“正官格候选”，且没有决定性否决条件。</x:v>
      </x:c>
      <x:c r="AD20" s="90" t="str">
        <x:v>仅见相关十神或五行出现，但月令、格神有效性或全局主导性不成立，不能直接列“正官格候选”。</x:v>
      </x:c>
      <x:c r="AE20" s="68" t="str">
        <x:v>https://zh.wikisource.org/zh-hans/%E6%B7%B5%E6%B5%B7%E5%AD%90%E5%B9%B3 ; https://zh.wikisource.org/wiki/%E6%BB%B4%E5%A4%A9%E9%AB%93%E9%97%A1%E5%BE%AE</x:v>
      </x:c>
      <x:c r="AF20" s="82" t="str">
        <x:v>采用</x:v>
      </x:c>
      <x:c r="AG20" s="82" t="str">
        <x:v>初审</x:v>
      </x:c>
      <x:c r="AH20" s="87" t="n">
        <x:v>46260</x:v>
      </x:c>
    </x:row>
    <x:row r="21">
      <x:c r="A21" s="72" t="str">
        <x:f>IF(OR(C21="",D21=""),"",B21&amp;"-"&amp;UPPER(C21)&amp;"-"&amp;TEXT(D21,"0000")&amp;"-"&amp;E21)</x:f>
        <x:v>M14-SHA-0015-V1.0</x:v>
      </x:c>
      <x:c r="B21" s="74" t="str">
        <x:v>M14</x:v>
      </x:c>
      <x:c r="C21" s="74" t="str">
        <x:v>SHA</x:v>
      </x:c>
      <x:c r="D21" s="215" t="n">
        <x:v>15</x:v>
      </x:c>
      <x:c r="E21" s="74" t="str">
        <x:v>V1.0</x:v>
      </x:c>
      <x:c r="F21" s="68" t="str">
        <x:v>月令七杀主气生成七杀格候选</x:v>
      </x:c>
      <x:c r="G21" s="82" t="str">
        <x:v>综合层</x:v>
      </x:c>
      <x:c r="H21" s="82" t="str">
        <x:v>普通格局</x:v>
      </x:c>
      <x:c r="I21" s="68" t="str">
        <x:v>七杀格候选</x:v>
      </x:c>
      <x:c r="J21" s="68" t="str">
        <x:v>月令本气为七杀，或七杀得令成为主要制身轴</x:v>
      </x:c>
      <x:c r="K21" s="68" t="str">
        <x:v>七杀透干为强增强条件</x:v>
      </x:c>
      <x:c r="L21" s="82" t="str">
        <x:v>较清</x:v>
      </x:c>
      <x:c r="M21" s="68" t="str">
        <x:v>七杀有根</x:v>
      </x:c>
      <x:c r="N21" s="68" t="str">
        <x:v>中和偏旺</x:v>
      </x:c>
      <x:c r="O21" s="68" t="str">
        <x:v>日主有承载，或食制印化等制化路径明确</x:v>
      </x:c>
      <x:c r="P21" s="68" t="str">
        <x:v>七杀得令、有效并形成真实压力</x:v>
      </x:c>
      <x:c r="Q21" s="68" t="str">
        <x:v>不适用</x:v>
      </x:c>
      <x:c r="R21" s="68" t="str">
        <x:v>格神得令、有根、透达、清纯，并得到有效生扶或制化配合</x:v>
      </x:c>
      <x:c r="S21" s="68" t="str">
        <x:v>存在更强月令主气、格神功能被替代或全局主势明显转向其他结构</x:v>
      </x:c>
      <x:c r="T21" s="90" t="str">
        <x:v>格神失效、无真实功能，或候选只由单一表面十神名称产生</x:v>
      </x:c>
      <x:c r="U21" s="68" t="str">
        <x:v>特殊格局、建禄羊刃及明确从化结构另用专门规则</x:v>
      </x:c>
      <x:c r="V21" s="82" t="str">
        <x:v>候选</x:v>
      </x:c>
      <x:c r="W21" s="68" t="str">
        <x:v>食神制杀、杀印相生候选</x:v>
      </x:c>
      <x:c r="X21" s="84" t="str">
        <x:v>七杀格候选_候选</x:v>
      </x:c>
      <x:c r="Y21" s="84" t="str">
        <x:v>七杀格候选列为“候选”：主要依据为月令与格神有效性；仍需M15检验成格、破格、救应与层次。</x:v>
      </x:c>
      <x:c r="Z21" s="82" t="str">
        <x:v>较高</x:v>
      </x:c>
      <x:c r="AA21" s="82" t="str">
        <x:v>子平格局</x:v>
      </x:c>
      <x:c r="AB21" s="68" t="str">
        <x:v>M14只生成和排除格局候选。候选须综合月令、透干、格神有效力量、清纯度、日主配合与全局主导性；候选成立不等于M15最终成格。</x:v>
      </x:c>
      <x:c r="AC21" s="68" t="str">
        <x:v>月令与格神有效性共同支持“七杀格候选”，且没有决定性否决条件。</x:v>
      </x:c>
      <x:c r="AD21" s="90" t="str">
        <x:v>仅见相关十神或五行出现，但月令、格神有效性或全局主导性不成立，不能直接列“七杀格候选”。</x:v>
      </x:c>
      <x:c r="AE21" s="68" t="str">
        <x:v>https://zh.wikisource.org/zh-hans/%E6%B7%B5%E6%B5%B7%E5%AD%90%E5%B9%B3 ; https://zh.wikisource.org/wiki/%E6%BB%B4%E5%A4%A9%E9%AB%93%E9%97%A1%E5%BE%AE</x:v>
      </x:c>
      <x:c r="AF21" s="82" t="str">
        <x:v>采用</x:v>
      </x:c>
      <x:c r="AG21" s="82" t="str">
        <x:v>初审</x:v>
      </x:c>
      <x:c r="AH21" s="87" t="n">
        <x:v>46260</x:v>
      </x:c>
    </x:row>
    <x:row r="22">
      <x:c r="A22" s="72" t="str">
        <x:f>IF(OR(C22="",D22=""),"",B22&amp;"-"&amp;UPPER(C22)&amp;"-"&amp;TEXT(D22,"0000")&amp;"-"&amp;E22)</x:f>
        <x:v>M14-SHA-0016-V1.0</x:v>
      </x:c>
      <x:c r="B22" s="74" t="str">
        <x:v>M14</x:v>
      </x:c>
      <x:c r="C22" s="74" t="str">
        <x:v>SHA</x:v>
      </x:c>
      <x:c r="D22" s="215" t="n">
        <x:v>16</x:v>
      </x:c>
      <x:c r="E22" s="74" t="str">
        <x:v>V1.0</x:v>
      </x:c>
      <x:c r="F22" s="68" t="str">
        <x:v>月令藏杀透干可生成七杀格次候选</x:v>
      </x:c>
      <x:c r="G22" s="82" t="str">
        <x:v>综合层</x:v>
      </x:c>
      <x:c r="H22" s="82" t="str">
        <x:v>普通格局</x:v>
      </x:c>
      <x:c r="I22" s="68" t="str">
        <x:v>七杀格候选</x:v>
      </x:c>
      <x:c r="J22" s="68" t="str">
        <x:v>月令藏七杀且透干，月令主气未形成更强替代格</x:v>
      </x:c>
      <x:c r="K22" s="68" t="str">
        <x:v>七杀透干并有根有源</x:v>
      </x:c>
      <x:c r="L22" s="82" t="str">
        <x:v>较清</x:v>
      </x:c>
      <x:c r="M22" s="68" t="str">
        <x:v>有根</x:v>
      </x:c>
      <x:c r="N22" s="68" t="str">
        <x:v>中和</x:v>
      </x:c>
      <x:c r="O22" s="68" t="str">
        <x:v>结合M09日主旺衰与承载判断</x:v>
      </x:c>
      <x:c r="P22" s="68" t="str">
        <x:v>七杀由月令引出并成为全局主要压力源</x:v>
      </x:c>
      <x:c r="Q22" s="68" t="str">
        <x:v>不适用</x:v>
      </x:c>
      <x:c r="R22" s="68" t="str">
        <x:v>格神得令、有根、透达、清纯，并得到有效生扶或制化配合</x:v>
      </x:c>
      <x:c r="S22" s="68" t="str">
        <x:v>存在更强月令主气、格神功能被替代或全局主势明显转向其他结构</x:v>
      </x:c>
      <x:c r="T22" s="90" t="str">
        <x:v>格神失效、无真实功能，或候选只由单一表面十神名称产生</x:v>
      </x:c>
      <x:c r="U22" s="68" t="str">
        <x:v>特殊格局、建禄羊刃及明确从化结构另用专门规则</x:v>
      </x:c>
      <x:c r="V22" s="82" t="str">
        <x:v>候选</x:v>
      </x:c>
      <x:c r="W22" s="68" t="str">
        <x:v>待定</x:v>
      </x:c>
      <x:c r="X22" s="84" t="str">
        <x:v>七杀格候选_候选</x:v>
      </x:c>
      <x:c r="Y22" s="84" t="str">
        <x:v>七杀格候选列为“候选”：主要依据为月令与格神有效性；仍需M15检验成格、破格、救应与层次。</x:v>
      </x:c>
      <x:c r="Z22" s="82" t="str">
        <x:v>较高</x:v>
      </x:c>
      <x:c r="AA22" s="82" t="str">
        <x:v>子平格局</x:v>
      </x:c>
      <x:c r="AB22" s="68" t="str">
        <x:v>M14只生成和排除格局候选。候选须综合月令、透干、格神有效力量、清纯度、日主配合与全局主导性；候选成立不等于M15最终成格。</x:v>
      </x:c>
      <x:c r="AC22" s="68" t="str">
        <x:v>月令与格神有效性共同支持“七杀格候选”，且没有决定性否决条件。</x:v>
      </x:c>
      <x:c r="AD22" s="90" t="str">
        <x:v>仅见相关十神或五行出现，但月令、格神有效性或全局主导性不成立，不能直接列“七杀格候选”。</x:v>
      </x:c>
      <x:c r="AE22" s="68" t="str">
        <x:v>https://zh.wikisource.org/zh-hans/%E6%B7%B5%E6%B5%B7%E5%AD%90%E5%B9%B3 ; https://zh.wikisource.org/wiki/%E6%BB%B4%E5%A4%A9%E9%AB%93%E9%97%A1%E5%BE%AE</x:v>
      </x:c>
      <x:c r="AF22" s="82" t="str">
        <x:v>采用</x:v>
      </x:c>
      <x:c r="AG22" s="82" t="str">
        <x:v>初审</x:v>
      </x:c>
      <x:c r="AH22" s="87" t="n">
        <x:v>46260</x:v>
      </x:c>
    </x:row>
    <x:row r="23">
      <x:c r="A23" s="72" t="str">
        <x:f>IF(OR(C23="",D23=""),"",B23&amp;"-"&amp;UPPER(C23)&amp;"-"&amp;TEXT(D23,"0000")&amp;"-"&amp;E23)</x:f>
        <x:v>M14-SHA-0017-V1.0</x:v>
      </x:c>
      <x:c r="B23" s="74" t="str">
        <x:v>M14</x:v>
      </x:c>
      <x:c r="C23" s="74" t="str">
        <x:v>SHA</x:v>
      </x:c>
      <x:c r="D23" s="215" t="n">
        <x:v>17</x:v>
      </x:c>
      <x:c r="E23" s="74" t="str">
        <x:v>V1.0</x:v>
      </x:c>
      <x:c r="F23" s="68" t="str">
        <x:v>食神制杀可增强七杀格候选</x:v>
      </x:c>
      <x:c r="G23" s="82" t="str">
        <x:v>综合层</x:v>
      </x:c>
      <x:c r="H23" s="82" t="str">
        <x:v>普通格局</x:v>
      </x:c>
      <x:c r="I23" s="68" t="str">
        <x:v>七杀格候选</x:v>
      </x:c>
      <x:c r="J23" s="68" t="str">
        <x:v>七杀具有月令依据</x:v>
      </x:c>
      <x:c r="K23" s="68" t="str">
        <x:v>透干可增强候选，但不作为所有格局的绝对唯一条件</x:v>
      </x:c>
      <x:c r="L23" s="82" t="str">
        <x:v>待定</x:v>
      </x:c>
      <x:c r="M23" s="68" t="str">
        <x:v>待定</x:v>
      </x:c>
      <x:c r="N23" s="68" t="str">
        <x:v>待定</x:v>
      </x:c>
      <x:c r="O23" s="68" t="str">
        <x:v>日主能承担食神泄身且杀压得到合理控制</x:v>
      </x:c>
      <x:c r="P23" s="68" t="str">
        <x:v>M11食神制杀达到基本成立以上，比例不过与不及</x:v>
      </x:c>
      <x:c r="Q23" s="68" t="str">
        <x:v>不适用</x:v>
      </x:c>
      <x:c r="R23" s="68" t="str">
        <x:v>格神得令、有根、透达、清纯，并得到有效生扶或制化配合</x:v>
      </x:c>
      <x:c r="S23" s="68" t="str">
        <x:v>存在更强月令主气、格神功能被替代或全局主势明显转向其他结构</x:v>
      </x:c>
      <x:c r="T23" s="90" t="str">
        <x:v>格神失效、无真实功能，或候选只由单一表面十神名称产生</x:v>
      </x:c>
      <x:c r="U23" s="68" t="str">
        <x:v>特殊格局、建禄羊刃及明确从化结构另用专门规则</x:v>
      </x:c>
      <x:c r="V23" s="82" t="str">
        <x:v>基本成立</x:v>
      </x:c>
      <x:c r="W23" s="68" t="str">
        <x:v>食神格候选</x:v>
      </x:c>
      <x:c r="X23" s="84" t="str">
        <x:v>七杀格_食制增强</x:v>
      </x:c>
      <x:c r="Y23" s="84" t="str">
        <x:v>七杀格候选列为“基本成立”：主要依据为月令与格神有效性；仍需M15检验成格、破格、救应与层次。</x:v>
      </x:c>
      <x:c r="Z23" s="82" t="str">
        <x:v>较高</x:v>
      </x:c>
      <x:c r="AA23" s="82" t="str">
        <x:v>子平格局</x:v>
      </x:c>
      <x:c r="AB23" s="68" t="str">
        <x:v>M14只生成和排除格局候选。候选须综合月令、透干、格神有效力量、清纯度、日主配合与全局主导性；候选成立不等于M15最终成格。</x:v>
      </x:c>
      <x:c r="AC23" s="68" t="str">
        <x:v>月令与格神有效性共同支持“七杀格候选”，且没有决定性否决条件。</x:v>
      </x:c>
      <x:c r="AD23" s="90" t="str">
        <x:v>仅见相关十神或五行出现，但月令、格神有效性或全局主导性不成立，不能直接列“七杀格候选”。</x:v>
      </x:c>
      <x:c r="AE23" s="68" t="str">
        <x:v>https://zh.wikisource.org/zh-hans/%E6%B7%B5%E6%B5%B7%E5%AD%90%E5%B9%B3 ; https://zh.wikisource.org/wiki/%E6%BB%B4%E5%A4%A9%E9%AB%93%E9%97%A1%E5%BE%AE</x:v>
      </x:c>
      <x:c r="AF23" s="82" t="str">
        <x:v>采用</x:v>
      </x:c>
      <x:c r="AG23" s="82" t="str">
        <x:v>初审</x:v>
      </x:c>
      <x:c r="AH23" s="87" t="n">
        <x:v>46260</x:v>
      </x:c>
    </x:row>
    <x:row r="24">
      <x:c r="A24" s="72" t="str">
        <x:f>IF(OR(C24="",D24=""),"",B24&amp;"-"&amp;UPPER(C24)&amp;"-"&amp;TEXT(D24,"0000")&amp;"-"&amp;E24)</x:f>
        <x:v>M14-SHA-0018-V1.0</x:v>
      </x:c>
      <x:c r="B24" s="74" t="str">
        <x:v>M14</x:v>
      </x:c>
      <x:c r="C24" s="74" t="str">
        <x:v>SHA</x:v>
      </x:c>
      <x:c r="D24" s="215" t="n">
        <x:v>18</x:v>
      </x:c>
      <x:c r="E24" s="74" t="str">
        <x:v>V1.0</x:v>
      </x:c>
      <x:c r="F24" s="68" t="str">
        <x:v>杀印相生可增强七杀格候选</x:v>
      </x:c>
      <x:c r="G24" s="82" t="str">
        <x:v>综合层</x:v>
      </x:c>
      <x:c r="H24" s="82" t="str">
        <x:v>普通格局</x:v>
      </x:c>
      <x:c r="I24" s="68" t="str">
        <x:v>七杀格候选</x:v>
      </x:c>
      <x:c r="J24" s="68" t="str">
        <x:v>七杀有月令依据</x:v>
      </x:c>
      <x:c r="K24" s="68" t="str">
        <x:v>透干可增强候选，但不作为所有格局的绝对唯一条件</x:v>
      </x:c>
      <x:c r="L24" s="82" t="str">
        <x:v>待定</x:v>
      </x:c>
      <x:c r="M24" s="68" t="str">
        <x:v>待定</x:v>
      </x:c>
      <x:c r="N24" s="68" t="str">
        <x:v>待定</x:v>
      </x:c>
      <x:c r="O24" s="68" t="str">
        <x:v>印能承接七杀并继续生日主</x:v>
      </x:c>
      <x:c r="P24" s="68" t="str">
        <x:v>M11杀印相生达到基本成立以上</x:v>
      </x:c>
      <x:c r="Q24" s="68" t="str">
        <x:v>不适用</x:v>
      </x:c>
      <x:c r="R24" s="68" t="str">
        <x:v>格神得令、有根、透达、清纯，并得到有效生扶或制化配合</x:v>
      </x:c>
      <x:c r="S24" s="68" t="str">
        <x:v>存在更强月令主气、格神功能被替代或全局主势明显转向其他结构</x:v>
      </x:c>
      <x:c r="T24" s="90" t="str">
        <x:v>格神失效、无真实功能，或候选只由单一表面十神名称产生</x:v>
      </x:c>
      <x:c r="U24" s="68" t="str">
        <x:v>特殊格局、建禄羊刃及明确从化结构另用专门规则</x:v>
      </x:c>
      <x:c r="V24" s="82" t="str">
        <x:v>基本成立</x:v>
      </x:c>
      <x:c r="W24" s="68" t="str">
        <x:v>印格候选</x:v>
      </x:c>
      <x:c r="X24" s="84" t="str">
        <x:v>七杀格_杀印增强</x:v>
      </x:c>
      <x:c r="Y24" s="84" t="str">
        <x:v>七杀格候选列为“基本成立”：主要依据为月令与格神有效性；仍需M15检验成格、破格、救应与层次。</x:v>
      </x:c>
      <x:c r="Z24" s="82" t="str">
        <x:v>较高</x:v>
      </x:c>
      <x:c r="AA24" s="82" t="str">
        <x:v>子平格局</x:v>
      </x:c>
      <x:c r="AB24" s="68" t="str">
        <x:v>M14只生成和排除格局候选。候选须综合月令、透干、格神有效力量、清纯度、日主配合与全局主导性；候选成立不等于M15最终成格。</x:v>
      </x:c>
      <x:c r="AC24" s="68" t="str">
        <x:v>月令与格神有效性共同支持“七杀格候选”，且没有决定性否决条件。</x:v>
      </x:c>
      <x:c r="AD24" s="90" t="str">
        <x:v>仅见相关十神或五行出现，但月令、格神有效性或全局主导性不成立，不能直接列“七杀格候选”。</x:v>
      </x:c>
      <x:c r="AE24" s="68" t="str">
        <x:v>https://zh.wikisource.org/zh-hans/%E6%B7%B5%E6%B5%B7%E5%AD%90%E5%B9%B3 ; https://zh.wikisource.org/wiki/%E6%BB%B4%E5%A4%A9%E9%AB%93%E9%97%A1%E5%BE%AE</x:v>
      </x:c>
      <x:c r="AF24" s="82" t="str">
        <x:v>采用</x:v>
      </x:c>
      <x:c r="AG24" s="82" t="str">
        <x:v>初审</x:v>
      </x:c>
      <x:c r="AH24" s="87" t="n">
        <x:v>46260</x:v>
      </x:c>
    </x:row>
    <x:row r="25">
      <x:c r="A25" s="72" t="str">
        <x:f>IF(OR(C25="",D25=""),"",B25&amp;"-"&amp;UPPER(C25)&amp;"-"&amp;TEXT(D25,"0000")&amp;"-"&amp;E25)</x:f>
        <x:v>M14-SHA-0019-V1.0</x:v>
      </x:c>
      <x:c r="B25" s="74" t="str">
        <x:v>M14</x:v>
      </x:c>
      <x:c r="C25" s="74" t="str">
        <x:v>SHA</x:v>
      </x:c>
      <x:c r="D25" s="215" t="n">
        <x:v>19</x:v>
      </x:c>
      <x:c r="E25" s="74" t="str">
        <x:v>V1.0</x:v>
      </x:c>
      <x:c r="F25" s="68" t="str">
        <x:v>七杀弱无根且不形成压力时排除七杀格</x:v>
      </x:c>
      <x:c r="G25" s="82" t="str">
        <x:v>综合层</x:v>
      </x:c>
      <x:c r="H25" s="82" t="str">
        <x:v>普通格局</x:v>
      </x:c>
      <x:c r="I25" s="68" t="str">
        <x:v>七杀格候选</x:v>
      </x:c>
      <x:c r="J25" s="68" t="str">
        <x:v>仅有表面七杀或月令余气</x:v>
      </x:c>
      <x:c r="K25" s="68" t="str">
        <x:v>透干可增强候选，但不作为所有格局的绝对唯一条件</x:v>
      </x:c>
      <x:c r="L25" s="82" t="str">
        <x:v>待定</x:v>
      </x:c>
      <x:c r="M25" s="68" t="str">
        <x:v>无根或根失效</x:v>
      </x:c>
      <x:c r="N25" s="68" t="str">
        <x:v>极弱</x:v>
      </x:c>
      <x:c r="O25" s="68" t="str">
        <x:v>结合M09日主旺衰与承载判断</x:v>
      </x:c>
      <x:c r="P25" s="68" t="str">
        <x:v>七杀没有形成真实制身功能</x:v>
      </x:c>
      <x:c r="Q25" s="68" t="str">
        <x:v>不适用</x:v>
      </x:c>
      <x:c r="R25" s="68" t="str">
        <x:v>格神得令、有根、透达、清纯，并得到有效生扶或制化配合</x:v>
      </x:c>
      <x:c r="S25" s="68" t="str">
        <x:v>存在更强月令主气、格神功能被替代或全局主势明显转向其他结构</x:v>
      </x:c>
      <x:c r="T25" s="90" t="str">
        <x:v>杀弱无根且无财生杀、无成势支持</x:v>
      </x:c>
      <x:c r="U25" s="68" t="str">
        <x:v>特殊格局、建禄羊刃及明确从化结构另用专门规则</x:v>
      </x:c>
      <x:c r="V25" s="82" t="str">
        <x:v>不成立</x:v>
      </x:c>
      <x:c r="W25" s="68" t="str">
        <x:v>其他月令候选</x:v>
      </x:c>
      <x:c r="X25" s="84" t="str">
        <x:v>七杀格_杀弱否决</x:v>
      </x:c>
      <x:c r="Y25" s="84" t="str">
        <x:v>七杀格候选列为“不成立”：主要依据为月令与格神有效性；仍需M15检验成格、破格、救应与层次。</x:v>
      </x:c>
      <x:c r="Z25" s="82" t="str">
        <x:v>较高</x:v>
      </x:c>
      <x:c r="AA25" s="82" t="str">
        <x:v>子平格局</x:v>
      </x:c>
      <x:c r="AB25" s="68" t="str">
        <x:v>M14只生成和排除格局候选。候选须综合月令、透干、格神有效力量、清纯度、日主配合与全局主导性；候选成立不等于M15最终成格。</x:v>
      </x:c>
      <x:c r="AC25" s="68" t="str">
        <x:v>月令与格神有效性共同支持“七杀格候选”，且没有决定性否决条件。</x:v>
      </x:c>
      <x:c r="AD25" s="90" t="str">
        <x:v>仅见相关十神或五行出现，但月令、格神有效性或全局主导性不成立，不能直接列“七杀格候选”。</x:v>
      </x:c>
      <x:c r="AE25" s="68" t="str">
        <x:v>https://zh.wikisource.org/zh-hans/%E6%B7%B5%E6%B5%B7%E5%AD%90%E5%B9%B3 ; https://zh.wikisource.org/wiki/%E6%BB%B4%E5%A4%A9%E9%AB%93%E9%97%A1%E5%BE%AE</x:v>
      </x:c>
      <x:c r="AF25" s="82" t="str">
        <x:v>采用</x:v>
      </x:c>
      <x:c r="AG25" s="82" t="str">
        <x:v>初审</x:v>
      </x:c>
      <x:c r="AH25" s="87" t="n">
        <x:v>46260</x:v>
      </x:c>
    </x:row>
    <x:row r="26">
      <x:c r="A26" s="72" t="str">
        <x:f>IF(OR(C26="",D26=""),"",B26&amp;"-"&amp;UPPER(C26)&amp;"-"&amp;TEXT(D26,"0000")&amp;"-"&amp;E26)</x:f>
        <x:v>M14-SHA-0020-V1.0</x:v>
      </x:c>
      <x:c r="B26" s="74" t="str">
        <x:v>M14</x:v>
      </x:c>
      <x:c r="C26" s="74" t="str">
        <x:v>SHA</x:v>
      </x:c>
      <x:c r="D26" s="215" t="n">
        <x:v>20</x:v>
      </x:c>
      <x:c r="E26" s="74" t="str">
        <x:v>V1.0</x:v>
      </x:c>
      <x:c r="F26" s="68" t="str">
        <x:v>官杀混杂无清化时七杀格候选降级</x:v>
      </x:c>
      <x:c r="G26" s="82" t="str">
        <x:v>综合层</x:v>
      </x:c>
      <x:c r="H26" s="82" t="str">
        <x:v>普通格局</x:v>
      </x:c>
      <x:c r="I26" s="68" t="str">
        <x:v>七杀格候选</x:v>
      </x:c>
      <x:c r="J26" s="68" t="str">
        <x:v>七杀有月令依据但正官同时有效</x:v>
      </x:c>
      <x:c r="K26" s="68" t="str">
        <x:v>透干可增强候选，但不作为所有格局的绝对唯一条件</x:v>
      </x:c>
      <x:c r="L26" s="82" t="str">
        <x:v>混杂</x:v>
      </x:c>
      <x:c r="M26" s="68" t="str">
        <x:v>待定</x:v>
      </x:c>
      <x:c r="N26" s="68" t="str">
        <x:v>待定</x:v>
      </x:c>
      <x:c r="O26" s="68" t="str">
        <x:v>结合M09日主旺衰与承载判断</x:v>
      </x:c>
      <x:c r="P26" s="68" t="str">
        <x:v>月令依据、格神有效性与全局主导性共同支持</x:v>
      </x:c>
      <x:c r="Q26" s="68" t="str">
        <x:v>不适用</x:v>
      </x:c>
      <x:c r="R26" s="68" t="str">
        <x:v>格神得令、有根、透达、清纯，并得到有效生扶或制化配合</x:v>
      </x:c>
      <x:c r="S26" s="68" t="str">
        <x:v>官杀双强且无去官留杀、去杀留官等主从清化</x:v>
      </x:c>
      <x:c r="T26" s="90" t="str">
        <x:v>格神失效、无真实功能，或候选只由单一表面十神名称产生</x:v>
      </x:c>
      <x:c r="U26" s="68" t="str">
        <x:v>特殊格局、建禄羊刃及明确从化结构另用专门规则</x:v>
      </x:c>
      <x:c r="V26" s="82" t="str">
        <x:v>候选</x:v>
      </x:c>
      <x:c r="W26" s="68" t="str">
        <x:v>正官格或官杀混杂结构</x:v>
      </x:c>
      <x:c r="X26" s="84" t="str">
        <x:v>七杀格_官杀混杂</x:v>
      </x:c>
      <x:c r="Y26" s="84" t="str">
        <x:v>七杀格候选列为“候选”：主要依据为月令与格神有效性；仍需M15检验成格、破格、救应与层次。</x:v>
      </x:c>
      <x:c r="Z26" s="82" t="str">
        <x:v>较高</x:v>
      </x:c>
      <x:c r="AA26" s="82" t="str">
        <x:v>子平格局</x:v>
      </x:c>
      <x:c r="AB26" s="68" t="str">
        <x:v>M14只生成和排除格局候选。候选须综合月令、透干、格神有效力量、清纯度、日主配合与全局主导性；候选成立不等于M15最终成格。</x:v>
      </x:c>
      <x:c r="AC26" s="68" t="str">
        <x:v>月令与格神有效性共同支持“七杀格候选”，且没有决定性否决条件。</x:v>
      </x:c>
      <x:c r="AD26" s="90" t="str">
        <x:v>仅见相关十神或五行出现，但月令、格神有效性或全局主导性不成立，不能直接列“七杀格候选”。</x:v>
      </x:c>
      <x:c r="AE26" s="68" t="str">
        <x:v>https://zh.wikisource.org/zh-hans/%E6%B7%B5%E6%B5%B7%E5%AD%90%E5%B9%B3 ; https://zh.wikisource.org/wiki/%E6%BB%B4%E5%A4%A9%E9%AB%93%E9%97%A1%E5%BE%AE</x:v>
      </x:c>
      <x:c r="AF26" s="82" t="str">
        <x:v>采用</x:v>
      </x:c>
      <x:c r="AG26" s="82" t="str">
        <x:v>初审</x:v>
      </x:c>
      <x:c r="AH26" s="87" t="n">
        <x:v>46260</x:v>
      </x:c>
    </x:row>
    <x:row r="27">
      <x:c r="A27" s="72" t="str">
        <x:f>IF(OR(C27="",D27=""),"",B27&amp;"-"&amp;UPPER(C27)&amp;"-"&amp;TEXT(D27,"0000")&amp;"-"&amp;E27)</x:f>
        <x:v>M14-YIN-0021-V1.0</x:v>
      </x:c>
      <x:c r="B27" s="74" t="str">
        <x:v>M14</x:v>
      </x:c>
      <x:c r="C27" s="74" t="str">
        <x:v>YIN</x:v>
      </x:c>
      <x:c r="D27" s="215" t="n">
        <x:v>21</x:v>
      </x:c>
      <x:c r="E27" s="74" t="str">
        <x:v>V1.0</x:v>
      </x:c>
      <x:c r="F27" s="68" t="str">
        <x:v>月令正印主气生成正印格候选</x:v>
      </x:c>
      <x:c r="G27" s="82" t="str">
        <x:v>综合层</x:v>
      </x:c>
      <x:c r="H27" s="82" t="str">
        <x:v>普通格局</x:v>
      </x:c>
      <x:c r="I27" s="68" t="str">
        <x:v>正印格候选</x:v>
      </x:c>
      <x:c r="J27" s="68" t="str">
        <x:v>月令本气为正印，或正印得令并成为主要生扶轴</x:v>
      </x:c>
      <x:c r="K27" s="68" t="str">
        <x:v>正印透干为增强条件</x:v>
      </x:c>
      <x:c r="L27" s="82" t="str">
        <x:v>较清</x:v>
      </x:c>
      <x:c r="M27" s="68" t="str">
        <x:v>正印有根</x:v>
      </x:c>
      <x:c r="N27" s="68" t="str">
        <x:v>中和偏旺</x:v>
      </x:c>
      <x:c r="O27" s="68" t="str">
        <x:v>日主能承受印生，不因印多而壅滞</x:v>
      </x:c>
      <x:c r="P27" s="68" t="str">
        <x:v>正印得令、有力且生身功能明确</x:v>
      </x:c>
      <x:c r="Q27" s="68" t="str">
        <x:v>不适用</x:v>
      </x:c>
      <x:c r="R27" s="68" t="str">
        <x:v>格神得令、有根、透达、清纯，并得到有效生扶或制化配合</x:v>
      </x:c>
      <x:c r="S27" s="68" t="str">
        <x:v>存在更强月令主气、格神功能被替代或全局主势明显转向其他结构</x:v>
      </x:c>
      <x:c r="T27" s="90" t="str">
        <x:v>格神失效、无真实功能，或候选只由单一表面十神名称产生</x:v>
      </x:c>
      <x:c r="U27" s="68" t="str">
        <x:v>特殊格局、建禄羊刃及明确从化结构另用专门规则</x:v>
      </x:c>
      <x:c r="V27" s="82" t="str">
        <x:v>候选</x:v>
      </x:c>
      <x:c r="W27" s="68" t="str">
        <x:v>官印相生、印比结构候选</x:v>
      </x:c>
      <x:c r="X27" s="84" t="str">
        <x:v>正印格候选_候选</x:v>
      </x:c>
      <x:c r="Y27" s="84" t="str">
        <x:v>正印格候选列为“候选”：主要依据为月令与格神有效性；仍需M15检验成格、破格、救应与层次。</x:v>
      </x:c>
      <x:c r="Z27" s="82" t="str">
        <x:v>较高</x:v>
      </x:c>
      <x:c r="AA27" s="82" t="str">
        <x:v>子平格局</x:v>
      </x:c>
      <x:c r="AB27" s="68" t="str">
        <x:v>M14只生成和排除格局候选。候选须综合月令、透干、格神有效力量、清纯度、日主配合与全局主导性；候选成立不等于M15最终成格。</x:v>
      </x:c>
      <x:c r="AC27" s="68" t="str">
        <x:v>月令与格神有效性共同支持“正印格候选”，且没有决定性否决条件。</x:v>
      </x:c>
      <x:c r="AD27" s="90" t="str">
        <x:v>仅见相关十神或五行出现，但月令、格神有效性或全局主导性不成立，不能直接列“正印格候选”。</x:v>
      </x:c>
      <x:c r="AE27" s="68" t="str">
        <x:v>https://zh.wikisource.org/zh-hans/%E6%B7%B5%E6%B5%B7%E5%AD%90%E5%B9%B3 ; https://zh.wikisource.org/wiki/%E6%BB%B4%E5%A4%A9%E9%AB%93%E9%97%A1%E5%BE%AE</x:v>
      </x:c>
      <x:c r="AF27" s="82" t="str">
        <x:v>采用</x:v>
      </x:c>
      <x:c r="AG27" s="82" t="str">
        <x:v>初审</x:v>
      </x:c>
      <x:c r="AH27" s="87" t="n">
        <x:v>46260</x:v>
      </x:c>
    </x:row>
    <x:row r="28">
      <x:c r="A28" s="72" t="str">
        <x:f>IF(OR(C28="",D28=""),"",B28&amp;"-"&amp;UPPER(C28)&amp;"-"&amp;TEXT(D28,"0000")&amp;"-"&amp;E28)</x:f>
        <x:v>M14-YIN-0022-V1.0</x:v>
      </x:c>
      <x:c r="B28" s="74" t="str">
        <x:v>M14</x:v>
      </x:c>
      <x:c r="C28" s="74" t="str">
        <x:v>YIN</x:v>
      </x:c>
      <x:c r="D28" s="215" t="n">
        <x:v>22</x:v>
      </x:c>
      <x:c r="E28" s="74" t="str">
        <x:v>V1.0</x:v>
      </x:c>
      <x:c r="F28" s="68" t="str">
        <x:v>月令偏印主气生成偏印格候选</x:v>
      </x:c>
      <x:c r="G28" s="82" t="str">
        <x:v>综合层</x:v>
      </x:c>
      <x:c r="H28" s="82" t="str">
        <x:v>普通格局</x:v>
      </x:c>
      <x:c r="I28" s="68" t="str">
        <x:v>偏印格候选</x:v>
      </x:c>
      <x:c r="J28" s="68" t="str">
        <x:v>月令本气为偏印，或偏印得令成为主要生扶/制食轴</x:v>
      </x:c>
      <x:c r="K28" s="68" t="str">
        <x:v>偏印透干为增强条件</x:v>
      </x:c>
      <x:c r="L28" s="82" t="str">
        <x:v>较清</x:v>
      </x:c>
      <x:c r="M28" s="68" t="str">
        <x:v>偏印有根</x:v>
      </x:c>
      <x:c r="N28" s="68" t="str">
        <x:v>中和偏旺</x:v>
      </x:c>
      <x:c r="O28" s="68" t="str">
        <x:v>日主需要印扶，且偏印不过度制食</x:v>
      </x:c>
      <x:c r="P28" s="68" t="str">
        <x:v>偏印有效并主导全局</x:v>
      </x:c>
      <x:c r="Q28" s="68" t="str">
        <x:v>不适用</x:v>
      </x:c>
      <x:c r="R28" s="68" t="str">
        <x:v>格神得令、有根、透达、清纯，并得到有效生扶或制化配合</x:v>
      </x:c>
      <x:c r="S28" s="68" t="str">
        <x:v>存在更强月令主气、格神功能被替代或全局主势明显转向其他结构</x:v>
      </x:c>
      <x:c r="T28" s="90" t="str">
        <x:v>格神失效、无真实功能，或候选只由单一表面十神名称产生</x:v>
      </x:c>
      <x:c r="U28" s="68" t="str">
        <x:v>特殊格局、建禄羊刃及明确从化结构另用专门规则</x:v>
      </x:c>
      <x:c r="V28" s="82" t="str">
        <x:v>候选</x:v>
      </x:c>
      <x:c r="W28" s="68" t="str">
        <x:v>杀印相生、枭神夺食结构候选</x:v>
      </x:c>
      <x:c r="X28" s="84" t="str">
        <x:v>偏印格候选_候选</x:v>
      </x:c>
      <x:c r="Y28" s="84" t="str">
        <x:v>偏印格候选列为“候选”：主要依据为月令与格神有效性；仍需M15检验成格、破格、救应与层次。</x:v>
      </x:c>
      <x:c r="Z28" s="82" t="str">
        <x:v>较高</x:v>
      </x:c>
      <x:c r="AA28" s="82" t="str">
        <x:v>子平格局</x:v>
      </x:c>
      <x:c r="AB28" s="68" t="str">
        <x:v>M14只生成和排除格局候选。候选须综合月令、透干、格神有效力量、清纯度、日主配合与全局主导性；候选成立不等于M15最终成格。</x:v>
      </x:c>
      <x:c r="AC28" s="68" t="str">
        <x:v>月令与格神有效性共同支持“偏印格候选”，且没有决定性否决条件。</x:v>
      </x:c>
      <x:c r="AD28" s="90" t="str">
        <x:v>仅见相关十神或五行出现，但月令、格神有效性或全局主导性不成立，不能直接列“偏印格候选”。</x:v>
      </x:c>
      <x:c r="AE28" s="68" t="str">
        <x:v>https://zh.wikisource.org/zh-hans/%E6%B7%B5%E6%B5%B7%E5%AD%90%E5%B9%B3 ; https://zh.wikisource.org/wiki/%E6%BB%B4%E5%A4%A9%E9%AB%93%E9%97%A1%E5%BE%AE</x:v>
      </x:c>
      <x:c r="AF28" s="82" t="str">
        <x:v>采用</x:v>
      </x:c>
      <x:c r="AG28" s="82" t="str">
        <x:v>初审</x:v>
      </x:c>
      <x:c r="AH28" s="87" t="n">
        <x:v>46260</x:v>
      </x:c>
    </x:row>
    <x:row r="29">
      <x:c r="A29" s="72" t="str">
        <x:f>IF(OR(C29="",D29=""),"",B29&amp;"-"&amp;UPPER(C29)&amp;"-"&amp;TEXT(D29,"0000")&amp;"-"&amp;E29)</x:f>
        <x:v>M14-YIN-0023-V1.0</x:v>
      </x:c>
      <x:c r="B29" s="74" t="str">
        <x:v>M14</x:v>
      </x:c>
      <x:c r="C29" s="74" t="str">
        <x:v>YIN</x:v>
      </x:c>
      <x:c r="D29" s="215" t="n">
        <x:v>23</x:v>
      </x:c>
      <x:c r="E29" s="74" t="str">
        <x:v>V1.0</x:v>
      </x:c>
      <x:c r="F29" s="68" t="str">
        <x:v>官印相生增强正印格候选</x:v>
      </x:c>
      <x:c r="G29" s="82" t="str">
        <x:v>综合层</x:v>
      </x:c>
      <x:c r="H29" s="82" t="str">
        <x:v>普通格局</x:v>
      </x:c>
      <x:c r="I29" s="68" t="str">
        <x:v>正印格候选</x:v>
      </x:c>
      <x:c r="J29" s="68" t="str">
        <x:v>正印具有月令依据</x:v>
      </x:c>
      <x:c r="K29" s="68" t="str">
        <x:v>透干可增强候选，但不作为所有格局的绝对唯一条件</x:v>
      </x:c>
      <x:c r="L29" s="82" t="str">
        <x:v>待定</x:v>
      </x:c>
      <x:c r="M29" s="68" t="str">
        <x:v>待定</x:v>
      </x:c>
      <x:c r="N29" s="68" t="str">
        <x:v>待定</x:v>
      </x:c>
      <x:c r="O29" s="68" t="str">
        <x:v>结合M09日主旺衰与承载判断</x:v>
      </x:c>
      <x:c r="P29" s="68" t="str">
        <x:v>官星能生印，印能生日主，M11官印相生成立</x:v>
      </x:c>
      <x:c r="Q29" s="68" t="str">
        <x:v>不适用</x:v>
      </x:c>
      <x:c r="R29" s="68" t="str">
        <x:v>格神得令、有根、透达、清纯，并得到有效生扶或制化配合</x:v>
      </x:c>
      <x:c r="S29" s="68" t="str">
        <x:v>存在更强月令主气、格神功能被替代或全局主势明显转向其他结构</x:v>
      </x:c>
      <x:c r="T29" s="90" t="str">
        <x:v>格神失效、无真实功能，或候选只由单一表面十神名称产生</x:v>
      </x:c>
      <x:c r="U29" s="68" t="str">
        <x:v>特殊格局、建禄羊刃及明确从化结构另用专门规则</x:v>
      </x:c>
      <x:c r="V29" s="82" t="str">
        <x:v>基本成立</x:v>
      </x:c>
      <x:c r="W29" s="68" t="str">
        <x:v>正官格候选</x:v>
      </x:c>
      <x:c r="X29" s="84" t="str">
        <x:v>正印格_官印增强</x:v>
      </x:c>
      <x:c r="Y29" s="84" t="str">
        <x:v>正印格候选列为“基本成立”：主要依据为月令与格神有效性；仍需M15检验成格、破格、救应与层次。</x:v>
      </x:c>
      <x:c r="Z29" s="82" t="str">
        <x:v>较高</x:v>
      </x:c>
      <x:c r="AA29" s="82" t="str">
        <x:v>子平格局</x:v>
      </x:c>
      <x:c r="AB29" s="68" t="str">
        <x:v>M14只生成和排除格局候选。候选须综合月令、透干、格神有效力量、清纯度、日主配合与全局主导性；候选成立不等于M15最终成格。</x:v>
      </x:c>
      <x:c r="AC29" s="68" t="str">
        <x:v>月令与格神有效性共同支持“正印格候选”，且没有决定性否决条件。</x:v>
      </x:c>
      <x:c r="AD29" s="90" t="str">
        <x:v>仅见相关十神或五行出现，但月令、格神有效性或全局主导性不成立，不能直接列“正印格候选”。</x:v>
      </x:c>
      <x:c r="AE29" s="68" t="str">
        <x:v>https://zh.wikisource.org/zh-hans/%E6%B7%B5%E6%B5%B7%E5%AD%90%E5%B9%B3 ; https://zh.wikisource.org/wiki/%E6%BB%B4%E5%A4%A9%E9%AB%93%E9%97%A1%E5%BE%AE</x:v>
      </x:c>
      <x:c r="AF29" s="82" t="str">
        <x:v>采用</x:v>
      </x:c>
      <x:c r="AG29" s="82" t="str">
        <x:v>初审</x:v>
      </x:c>
      <x:c r="AH29" s="87" t="n">
        <x:v>46260</x:v>
      </x:c>
    </x:row>
    <x:row r="30">
      <x:c r="A30" s="72" t="str">
        <x:f>IF(OR(C30="",D30=""),"",B30&amp;"-"&amp;UPPER(C30)&amp;"-"&amp;TEXT(D30,"0000")&amp;"-"&amp;E30)</x:f>
        <x:v>M14-YIN-0024-V1.0</x:v>
      </x:c>
      <x:c r="B30" s="74" t="str">
        <x:v>M14</x:v>
      </x:c>
      <x:c r="C30" s="74" t="str">
        <x:v>YIN</x:v>
      </x:c>
      <x:c r="D30" s="215" t="n">
        <x:v>24</x:v>
      </x:c>
      <x:c r="E30" s="74" t="str">
        <x:v>V1.0</x:v>
      </x:c>
      <x:c r="F30" s="68" t="str">
        <x:v>杀印相生增强偏印格候选</x:v>
      </x:c>
      <x:c r="G30" s="82" t="str">
        <x:v>综合层</x:v>
      </x:c>
      <x:c r="H30" s="82" t="str">
        <x:v>普通格局</x:v>
      </x:c>
      <x:c r="I30" s="68" t="str">
        <x:v>偏印格候选</x:v>
      </x:c>
      <x:c r="J30" s="68" t="str">
        <x:v>偏印或印星具有月令依据</x:v>
      </x:c>
      <x:c r="K30" s="68" t="str">
        <x:v>透干可增强候选，但不作为所有格局的绝对唯一条件</x:v>
      </x:c>
      <x:c r="L30" s="82" t="str">
        <x:v>待定</x:v>
      </x:c>
      <x:c r="M30" s="68" t="str">
        <x:v>待定</x:v>
      </x:c>
      <x:c r="N30" s="68" t="str">
        <x:v>待定</x:v>
      </x:c>
      <x:c r="O30" s="68" t="str">
        <x:v>结合M09日主旺衰与承载判断</x:v>
      </x:c>
      <x:c r="P30" s="68" t="str">
        <x:v>七杀生印、印生身链路成立</x:v>
      </x:c>
      <x:c r="Q30" s="68" t="str">
        <x:v>不适用</x:v>
      </x:c>
      <x:c r="R30" s="68" t="str">
        <x:v>格神得令、有根、透达、清纯，并得到有效生扶或制化配合</x:v>
      </x:c>
      <x:c r="S30" s="68" t="str">
        <x:v>存在更强月令主气、格神功能被替代或全局主势明显转向其他结构</x:v>
      </x:c>
      <x:c r="T30" s="90" t="str">
        <x:v>格神失效、无真实功能，或候选只由单一表面十神名称产生</x:v>
      </x:c>
      <x:c r="U30" s="68" t="str">
        <x:v>特殊格局、建禄羊刃及明确从化结构另用专门规则</x:v>
      </x:c>
      <x:c r="V30" s="82" t="str">
        <x:v>基本成立</x:v>
      </x:c>
      <x:c r="W30" s="68" t="str">
        <x:v>七杀格候选</x:v>
      </x:c>
      <x:c r="X30" s="84" t="str">
        <x:v>偏印格_杀印增强</x:v>
      </x:c>
      <x:c r="Y30" s="84" t="str">
        <x:v>偏印格候选列为“基本成立”：主要依据为月令与格神有效性；仍需M15检验成格、破格、救应与层次。</x:v>
      </x:c>
      <x:c r="Z30" s="82" t="str">
        <x:v>较高</x:v>
      </x:c>
      <x:c r="AA30" s="82" t="str">
        <x:v>子平格局</x:v>
      </x:c>
      <x:c r="AB30" s="68" t="str">
        <x:v>M14只生成和排除格局候选。候选须综合月令、透干、格神有效力量、清纯度、日主配合与全局主导性；候选成立不等于M15最终成格。</x:v>
      </x:c>
      <x:c r="AC30" s="68" t="str">
        <x:v>月令与格神有效性共同支持“偏印格候选”，且没有决定性否决条件。</x:v>
      </x:c>
      <x:c r="AD30" s="90" t="str">
        <x:v>仅见相关十神或五行出现，但月令、格神有效性或全局主导性不成立，不能直接列“偏印格候选”。</x:v>
      </x:c>
      <x:c r="AE30" s="68" t="str">
        <x:v>https://zh.wikisource.org/zh-hans/%E6%B7%B5%E6%B5%B7%E5%AD%90%E5%B9%B3 ; https://zh.wikisource.org/wiki/%E6%BB%B4%E5%A4%A9%E9%AB%93%E9%97%A1%E5%BE%AE</x:v>
      </x:c>
      <x:c r="AF30" s="82" t="str">
        <x:v>采用</x:v>
      </x:c>
      <x:c r="AG30" s="82" t="str">
        <x:v>初审</x:v>
      </x:c>
      <x:c r="AH30" s="87" t="n">
        <x:v>46260</x:v>
      </x:c>
    </x:row>
    <x:row r="31">
      <x:c r="A31" s="72" t="str">
        <x:f>IF(OR(C31="",D31=""),"",B31&amp;"-"&amp;UPPER(C31)&amp;"-"&amp;TEXT(D31,"0000")&amp;"-"&amp;E31)</x:f>
        <x:v>M14-YIN-0025-V1.0</x:v>
      </x:c>
      <x:c r="B31" s="74" t="str">
        <x:v>M14</x:v>
      </x:c>
      <x:c r="C31" s="74" t="str">
        <x:v>YIN</x:v>
      </x:c>
      <x:c r="D31" s="215" t="n">
        <x:v>25</x:v>
      </x:c>
      <x:c r="E31" s="74" t="str">
        <x:v>V1.0</x:v>
      </x:c>
      <x:c r="F31" s="68" t="str">
        <x:v>财星强制关键印星会排除印格候选</x:v>
      </x:c>
      <x:c r="G31" s="82" t="str">
        <x:v>综合层</x:v>
      </x:c>
      <x:c r="H31" s="82" t="str">
        <x:v>普通格局</x:v>
      </x:c>
      <x:c r="I31" s="68" t="str">
        <x:v>印格候选</x:v>
      </x:c>
      <x:c r="J31" s="68" t="str">
        <x:v>印星本有月令依据</x:v>
      </x:c>
      <x:c r="K31" s="68" t="str">
        <x:v>透干可增强候选，但不作为所有格局的绝对唯一条件</x:v>
      </x:c>
      <x:c r="L31" s="82" t="str">
        <x:v>待定</x:v>
      </x:c>
      <x:c r="M31" s="68" t="str">
        <x:v>印根受损或待定</x:v>
      </x:c>
      <x:c r="N31" s="68" t="str">
        <x:v>受限</x:v>
      </x:c>
      <x:c r="O31" s="68" t="str">
        <x:v>结合M09日主旺衰与承载判断</x:v>
      </x:c>
      <x:c r="P31" s="68" t="str">
        <x:v>财坏印形成实质作用</x:v>
      </x:c>
      <x:c r="Q31" s="68" t="str">
        <x:v>不适用</x:v>
      </x:c>
      <x:c r="R31" s="68" t="str">
        <x:v>格神得令、有根、透达、清纯，并得到有效生扶或制化配合</x:v>
      </x:c>
      <x:c r="S31" s="68" t="str">
        <x:v>存在更强月令主气、格神功能被替代或全局主势明显转向其他结构</x:v>
      </x:c>
      <x:c r="T31" s="90" t="str">
        <x:v>关键印星被财制至失效且无比劫制财等救应</x:v>
      </x:c>
      <x:c r="U31" s="68" t="str">
        <x:v>特殊格局、建禄羊刃及明确从化结构另用专门规则</x:v>
      </x:c>
      <x:c r="V31" s="82" t="str">
        <x:v>不成立</x:v>
      </x:c>
      <x:c r="W31" s="68" t="str">
        <x:v>财格候选</x:v>
      </x:c>
      <x:c r="X31" s="84" t="str">
        <x:v>印格_财破否决</x:v>
      </x:c>
      <x:c r="Y31" s="84" t="str">
        <x:v>印格候选列为“不成立”：主要依据为月令与格神有效性；仍需M15检验成格、破格、救应与层次。</x:v>
      </x:c>
      <x:c r="Z31" s="82" t="str">
        <x:v>较高</x:v>
      </x:c>
      <x:c r="AA31" s="82" t="str">
        <x:v>子平格局</x:v>
      </x:c>
      <x:c r="AB31" s="68" t="str">
        <x:v>M14只生成和排除格局候选。候选须综合月令、透干、格神有效力量、清纯度、日主配合与全局主导性；候选成立不等于M15最终成格。</x:v>
      </x:c>
      <x:c r="AC31" s="68" t="str">
        <x:v>月令与格神有效性共同支持“印格候选”，且没有决定性否决条件。</x:v>
      </x:c>
      <x:c r="AD31" s="90" t="str">
        <x:v>仅见相关十神或五行出现，但月令、格神有效性或全局主导性不成立，不能直接列“印格候选”。</x:v>
      </x:c>
      <x:c r="AE31" s="68" t="str">
        <x:v>https://zh.wikisource.org/zh-hans/%E6%B7%B5%E6%B5%B7%E5%AD%90%E5%B9%B3 ; https://zh.wikisource.org/wiki/%E6%BB%B4%E5%A4%A9%E9%AB%93%E9%97%A1%E5%BE%AE</x:v>
      </x:c>
      <x:c r="AF31" s="82" t="str">
        <x:v>采用</x:v>
      </x:c>
      <x:c r="AG31" s="82" t="str">
        <x:v>初审</x:v>
      </x:c>
      <x:c r="AH31" s="87" t="n">
        <x:v>46260</x:v>
      </x:c>
    </x:row>
    <x:row r="32">
      <x:c r="A32" s="72" t="str">
        <x:f>IF(OR(C32="",D32=""),"",B32&amp;"-"&amp;UPPER(C32)&amp;"-"&amp;TEXT(D32,"0000")&amp;"-"&amp;E32)</x:f>
        <x:v>M14-YIN-0026-V1.0</x:v>
      </x:c>
      <x:c r="B32" s="74" t="str">
        <x:v>M14</x:v>
      </x:c>
      <x:c r="C32" s="74" t="str">
        <x:v>YIN</x:v>
      </x:c>
      <x:c r="D32" s="215" t="n">
        <x:v>26</x:v>
      </x:c>
      <x:c r="E32" s="74" t="str">
        <x:v>V1.0</x:v>
      </x:c>
      <x:c r="F32" s="68" t="str">
        <x:v>正偏印并见需判断主从和枭夺食</x:v>
      </x:c>
      <x:c r="G32" s="82" t="str">
        <x:v>综合层</x:v>
      </x:c>
      <x:c r="H32" s="82" t="str">
        <x:v>普通格局</x:v>
      </x:c>
      <x:c r="I32" s="68" t="str">
        <x:v>印格候选</x:v>
      </x:c>
      <x:c r="J32" s="68" t="str">
        <x:v>印星具有月令依据</x:v>
      </x:c>
      <x:c r="K32" s="68" t="str">
        <x:v>透干可增强候选，但不作为所有格局的绝对唯一条件</x:v>
      </x:c>
      <x:c r="L32" s="82" t="str">
        <x:v>有杂</x:v>
      </x:c>
      <x:c r="M32" s="68" t="str">
        <x:v>待定</x:v>
      </x:c>
      <x:c r="N32" s="68" t="str">
        <x:v>待定</x:v>
      </x:c>
      <x:c r="O32" s="68" t="str">
        <x:v>结合M09日主旺衰与承载判断</x:v>
      </x:c>
      <x:c r="P32" s="68" t="str">
        <x:v>正印偏印同时有效，但一方可能主导</x:v>
      </x:c>
      <x:c r="Q32" s="68" t="str">
        <x:v>不适用</x:v>
      </x:c>
      <x:c r="R32" s="68" t="str">
        <x:v>格神得令、有根、透达、清纯，并得到有效生扶或制化配合</x:v>
      </x:c>
      <x:c r="S32" s="68" t="str">
        <x:v>偏印强夺食或印枭混杂使格神功能不清</x:v>
      </x:c>
      <x:c r="T32" s="90" t="str">
        <x:v>格神失效、无真实功能，或候选只由单一表面十神名称产生</x:v>
      </x:c>
      <x:c r="U32" s="68" t="str">
        <x:v>特殊格局、建禄羊刃及明确从化结构另用专门规则</x:v>
      </x:c>
      <x:c r="V32" s="82" t="str">
        <x:v>候选</x:v>
      </x:c>
      <x:c r="W32" s="68" t="str">
        <x:v>正印格/偏印格并列</x:v>
      </x:c>
      <x:c r="X32" s="84" t="str">
        <x:v>印格_印枭混杂</x:v>
      </x:c>
      <x:c r="Y32" s="84" t="str">
        <x:v>印格候选列为“候选”：主要依据为月令与格神有效性；仍需M15检验成格、破格、救应与层次。</x:v>
      </x:c>
      <x:c r="Z32" s="82" t="str">
        <x:v>较高</x:v>
      </x:c>
      <x:c r="AA32" s="82" t="str">
        <x:v>子平格局</x:v>
      </x:c>
      <x:c r="AB32" s="68" t="str">
        <x:v>M14只生成和排除格局候选。候选须综合月令、透干、格神有效力量、清纯度、日主配合与全局主导性；候选成立不等于M15最终成格。</x:v>
      </x:c>
      <x:c r="AC32" s="68" t="str">
        <x:v>月令与格神有效性共同支持“印格候选”，且没有决定性否决条件。</x:v>
      </x:c>
      <x:c r="AD32" s="90" t="str">
        <x:v>仅见相关十神或五行出现，但月令、格神有效性或全局主导性不成立，不能直接列“印格候选”。</x:v>
      </x:c>
      <x:c r="AE32" s="68" t="str">
        <x:v>https://zh.wikisource.org/zh-hans/%E6%B7%B5%E6%B5%B7%E5%AD%90%E5%B9%B3 ; https://zh.wikisource.org/wiki/%E6%BB%B4%E5%A4%A9%E9%AB%93%E9%97%A1%E5%BE%AE</x:v>
      </x:c>
      <x:c r="AF32" s="82" t="str">
        <x:v>采用</x:v>
      </x:c>
      <x:c r="AG32" s="82" t="str">
        <x:v>初审</x:v>
      </x:c>
      <x:c r="AH32" s="87" t="n">
        <x:v>46260</x:v>
      </x:c>
    </x:row>
    <x:row r="33">
      <x:c r="A33" s="72" t="str">
        <x:f>IF(OR(C33="",D33=""),"",B33&amp;"-"&amp;UPPER(C33)&amp;"-"&amp;TEXT(D33,"0000")&amp;"-"&amp;E33)</x:f>
        <x:v>M14-CAI-0027-V1.0</x:v>
      </x:c>
      <x:c r="B33" s="74" t="str">
        <x:v>M14</x:v>
      </x:c>
      <x:c r="C33" s="74" t="str">
        <x:v>CAI</x:v>
      </x:c>
      <x:c r="D33" s="215" t="n">
        <x:v>27</x:v>
      </x:c>
      <x:c r="E33" s="74" t="str">
        <x:v>V1.0</x:v>
      </x:c>
      <x:c r="F33" s="68" t="str">
        <x:v>月令正财主气生成正财格候选</x:v>
      </x:c>
      <x:c r="G33" s="82" t="str">
        <x:v>综合层</x:v>
      </x:c>
      <x:c r="H33" s="82" t="str">
        <x:v>普通格局</x:v>
      </x:c>
      <x:c r="I33" s="68" t="str">
        <x:v>正财格候选</x:v>
      </x:c>
      <x:c r="J33" s="68" t="str">
        <x:v>月令本气为正财，或正财得令成为主要耗用轴</x:v>
      </x:c>
      <x:c r="K33" s="68" t="str">
        <x:v>正财透干为增强条件</x:v>
      </x:c>
      <x:c r="L33" s="82" t="str">
        <x:v>较清</x:v>
      </x:c>
      <x:c r="M33" s="68" t="str">
        <x:v>正财有根</x:v>
      </x:c>
      <x:c r="N33" s="68" t="str">
        <x:v>中和偏旺</x:v>
      </x:c>
      <x:c r="O33" s="68" t="str">
        <x:v>日主有足够承载任财</x:v>
      </x:c>
      <x:c r="P33" s="68" t="str">
        <x:v>正财得令、有效且日主可任</x:v>
      </x:c>
      <x:c r="Q33" s="68" t="str">
        <x:v>不适用</x:v>
      </x:c>
      <x:c r="R33" s="68" t="str">
        <x:v>格神得令、有根、透达、清纯，并得到有效生扶或制化配合</x:v>
      </x:c>
      <x:c r="S33" s="68" t="str">
        <x:v>存在更强月令主气、格神功能被替代或全局主势明显转向其他结构</x:v>
      </x:c>
      <x:c r="T33" s="90" t="str">
        <x:v>格神失效、无真实功能，或候选只由单一表面十神名称产生</x:v>
      </x:c>
      <x:c r="U33" s="68" t="str">
        <x:v>特殊格局、建禄羊刃及明确从化结构另用专门规则</x:v>
      </x:c>
      <x:c r="V33" s="82" t="str">
        <x:v>候选</x:v>
      </x:c>
      <x:c r="W33" s="68" t="str">
        <x:v>食伤生财、财官相生候选</x:v>
      </x:c>
      <x:c r="X33" s="84" t="str">
        <x:v>正财格候选_候选</x:v>
      </x:c>
      <x:c r="Y33" s="84" t="str">
        <x:v>正财格候选列为“候选”：主要依据为月令与格神有效性；仍需M15检验成格、破格、救应与层次。</x:v>
      </x:c>
      <x:c r="Z33" s="82" t="str">
        <x:v>较高</x:v>
      </x:c>
      <x:c r="AA33" s="82" t="str">
        <x:v>子平格局</x:v>
      </x:c>
      <x:c r="AB33" s="68" t="str">
        <x:v>M14只生成和排除格局候选。候选须综合月令、透干、格神有效力量、清纯度、日主配合与全局主导性；候选成立不等于M15最终成格。</x:v>
      </x:c>
      <x:c r="AC33" s="68" t="str">
        <x:v>月令与格神有效性共同支持“正财格候选”，且没有决定性否决条件。</x:v>
      </x:c>
      <x:c r="AD33" s="90" t="str">
        <x:v>仅见相关十神或五行出现，但月令、格神有效性或全局主导性不成立，不能直接列“正财格候选”。</x:v>
      </x:c>
      <x:c r="AE33" s="68" t="str">
        <x:v>https://zh.wikisource.org/zh-hans/%E6%B7%B5%E6%B5%B7%E5%AD%90%E5%B9%B3 ; https://zh.wikisource.org/wiki/%E6%BB%B4%E5%A4%A9%E9%AB%93%E9%97%A1%E5%BE%AE</x:v>
      </x:c>
      <x:c r="AF33" s="82" t="str">
        <x:v>采用</x:v>
      </x:c>
      <x:c r="AG33" s="82" t="str">
        <x:v>初审</x:v>
      </x:c>
      <x:c r="AH33" s="87" t="n">
        <x:v>46260</x:v>
      </x:c>
    </x:row>
    <x:row r="34">
      <x:c r="A34" s="72" t="str">
        <x:f>IF(OR(C34="",D34=""),"",B34&amp;"-"&amp;UPPER(C34)&amp;"-"&amp;TEXT(D34,"0000")&amp;"-"&amp;E34)</x:f>
        <x:v>M14-CAI-0028-V1.0</x:v>
      </x:c>
      <x:c r="B34" s="74" t="str">
        <x:v>M14</x:v>
      </x:c>
      <x:c r="C34" s="74" t="str">
        <x:v>CAI</x:v>
      </x:c>
      <x:c r="D34" s="215" t="n">
        <x:v>28</x:v>
      </x:c>
      <x:c r="E34" s="74" t="str">
        <x:v>V1.0</x:v>
      </x:c>
      <x:c r="F34" s="68" t="str">
        <x:v>月令偏财主气生成偏财格候选</x:v>
      </x:c>
      <x:c r="G34" s="82" t="str">
        <x:v>综合层</x:v>
      </x:c>
      <x:c r="H34" s="82" t="str">
        <x:v>普通格局</x:v>
      </x:c>
      <x:c r="I34" s="68" t="str">
        <x:v>偏财格候选</x:v>
      </x:c>
      <x:c r="J34" s="68" t="str">
        <x:v>月令本气为偏财，或偏财得令成为主要耗用轴</x:v>
      </x:c>
      <x:c r="K34" s="68" t="str">
        <x:v>偏财透干为增强条件</x:v>
      </x:c>
      <x:c r="L34" s="82" t="str">
        <x:v>较清</x:v>
      </x:c>
      <x:c r="M34" s="68" t="str">
        <x:v>偏财有根</x:v>
      </x:c>
      <x:c r="N34" s="68" t="str">
        <x:v>中和偏旺</x:v>
      </x:c>
      <x:c r="O34" s="68" t="str">
        <x:v>日主有根有势，能够承受财耗</x:v>
      </x:c>
      <x:c r="P34" s="68" t="str">
        <x:v>偏财有效并成为全局主要资源流向</x:v>
      </x:c>
      <x:c r="Q34" s="68" t="str">
        <x:v>不适用</x:v>
      </x:c>
      <x:c r="R34" s="68" t="str">
        <x:v>格神得令、有根、透达、清纯，并得到有效生扶或制化配合</x:v>
      </x:c>
      <x:c r="S34" s="68" t="str">
        <x:v>存在更强月令主气、格神功能被替代或全局主势明显转向其他结构</x:v>
      </x:c>
      <x:c r="T34" s="90" t="str">
        <x:v>格神失效、无真实功能，或候选只由单一表面十神名称产生</x:v>
      </x:c>
      <x:c r="U34" s="68" t="str">
        <x:v>特殊格局、建禄羊刃及明确从化结构另用专门规则</x:v>
      </x:c>
      <x:c r="V34" s="82" t="str">
        <x:v>候选</x:v>
      </x:c>
      <x:c r="W34" s="68" t="str">
        <x:v>食伤生财、财生官杀候选</x:v>
      </x:c>
      <x:c r="X34" s="84" t="str">
        <x:v>偏财格候选_候选</x:v>
      </x:c>
      <x:c r="Y34" s="84" t="str">
        <x:v>偏财格候选列为“候选”：主要依据为月令与格神有效性；仍需M15检验成格、破格、救应与层次。</x:v>
      </x:c>
      <x:c r="Z34" s="82" t="str">
        <x:v>较高</x:v>
      </x:c>
      <x:c r="AA34" s="82" t="str">
        <x:v>子平格局</x:v>
      </x:c>
      <x:c r="AB34" s="68" t="str">
        <x:v>M14只生成和排除格局候选。候选须综合月令、透干、格神有效力量、清纯度、日主配合与全局主导性；候选成立不等于M15最终成格。</x:v>
      </x:c>
      <x:c r="AC34" s="68" t="str">
        <x:v>月令与格神有效性共同支持“偏财格候选”，且没有决定性否决条件。</x:v>
      </x:c>
      <x:c r="AD34" s="90" t="str">
        <x:v>仅见相关十神或五行出现，但月令、格神有效性或全局主导性不成立，不能直接列“偏财格候选”。</x:v>
      </x:c>
      <x:c r="AE34" s="68" t="str">
        <x:v>https://zh.wikisource.org/zh-hans/%E6%B7%B5%E6%B5%B7%E5%AD%90%E5%B9%B3 ; https://zh.wikisource.org/wiki/%E6%BB%B4%E5%A4%A9%E9%AB%93%E9%97%A1%E5%BE%AE</x:v>
      </x:c>
      <x:c r="AF34" s="82" t="str">
        <x:v>采用</x:v>
      </x:c>
      <x:c r="AG34" s="82" t="str">
        <x:v>初审</x:v>
      </x:c>
      <x:c r="AH34" s="87" t="n">
        <x:v>46260</x:v>
      </x:c>
    </x:row>
    <x:row r="35">
      <x:c r="A35" s="72" t="str">
        <x:f>IF(OR(C35="",D35=""),"",B35&amp;"-"&amp;UPPER(C35)&amp;"-"&amp;TEXT(D35,"0000")&amp;"-"&amp;E35)</x:f>
        <x:v>M14-CAI-0029-V1.0</x:v>
      </x:c>
      <x:c r="B35" s="74" t="str">
        <x:v>M14</x:v>
      </x:c>
      <x:c r="C35" s="74" t="str">
        <x:v>CAI</x:v>
      </x:c>
      <x:c r="D35" s="215" t="n">
        <x:v>29</x:v>
      </x:c>
      <x:c r="E35" s="74" t="str">
        <x:v>V1.0</x:v>
      </x:c>
      <x:c r="F35" s="68" t="str">
        <x:v>食伤生财增强财格候选</x:v>
      </x:c>
      <x:c r="G35" s="82" t="str">
        <x:v>综合层</x:v>
      </x:c>
      <x:c r="H35" s="82" t="str">
        <x:v>普通格局</x:v>
      </x:c>
      <x:c r="I35" s="68" t="str">
        <x:v>财格候选</x:v>
      </x:c>
      <x:c r="J35" s="68" t="str">
        <x:v>财星具有月令依据</x:v>
      </x:c>
      <x:c r="K35" s="68" t="str">
        <x:v>透干可增强候选，但不作为所有格局的绝对唯一条件</x:v>
      </x:c>
      <x:c r="L35" s="82" t="str">
        <x:v>待定</x:v>
      </x:c>
      <x:c r="M35" s="68" t="str">
        <x:v>待定</x:v>
      </x:c>
      <x:c r="N35" s="68" t="str">
        <x:v>待定</x:v>
      </x:c>
      <x:c r="O35" s="68" t="str">
        <x:v>结合M09日主旺衰与承载判断</x:v>
      </x:c>
      <x:c r="P35" s="68" t="str">
        <x:v>M11食伤生财成立且财星能承接</x:v>
      </x:c>
      <x:c r="Q35" s="68" t="str">
        <x:v>不适用</x:v>
      </x:c>
      <x:c r="R35" s="68" t="str">
        <x:v>格神得令、有根、透达、清纯，并得到有效生扶或制化配合</x:v>
      </x:c>
      <x:c r="S35" s="68" t="str">
        <x:v>存在更强月令主气、格神功能被替代或全局主势明显转向其他结构</x:v>
      </x:c>
      <x:c r="T35" s="90" t="str">
        <x:v>格神失效、无真实功能，或候选只由单一表面十神名称产生</x:v>
      </x:c>
      <x:c r="U35" s="68" t="str">
        <x:v>特殊格局、建禄羊刃及明确从化结构另用专门规则</x:v>
      </x:c>
      <x:c r="V35" s="82" t="str">
        <x:v>基本成立</x:v>
      </x:c>
      <x:c r="W35" s="68" t="str">
        <x:v>食神格或伤官格候选</x:v>
      </x:c>
      <x:c r="X35" s="84" t="str">
        <x:v>财格_食伤生财增强</x:v>
      </x:c>
      <x:c r="Y35" s="84" t="str">
        <x:v>财格候选列为“基本成立”：主要依据为月令与格神有效性；仍需M15检验成格、破格、救应与层次。</x:v>
      </x:c>
      <x:c r="Z35" s="82" t="str">
        <x:v>较高</x:v>
      </x:c>
      <x:c r="AA35" s="82" t="str">
        <x:v>子平格局</x:v>
      </x:c>
      <x:c r="AB35" s="68" t="str">
        <x:v>M14只生成和排除格局候选。候选须综合月令、透干、格神有效力量、清纯度、日主配合与全局主导性；候选成立不等于M15最终成格。</x:v>
      </x:c>
      <x:c r="AC35" s="68" t="str">
        <x:v>月令与格神有效性共同支持“财格候选”，且没有决定性否决条件。</x:v>
      </x:c>
      <x:c r="AD35" s="90" t="str">
        <x:v>仅见相关十神或五行出现，但月令、格神有效性或全局主导性不成立，不能直接列“财格候选”。</x:v>
      </x:c>
      <x:c r="AE35" s="68" t="str">
        <x:v>https://zh.wikisource.org/zh-hans/%E6%B7%B5%E6%B5%B7%E5%AD%90%E5%B9%B3 ; https://zh.wikisource.org/wiki/%E6%BB%B4%E5%A4%A9%E9%AB%93%E9%97%A1%E5%BE%AE</x:v>
      </x:c>
      <x:c r="AF35" s="82" t="str">
        <x:v>采用</x:v>
      </x:c>
      <x:c r="AG35" s="82" t="str">
        <x:v>初审</x:v>
      </x:c>
      <x:c r="AH35" s="87" t="n">
        <x:v>46260</x:v>
      </x:c>
    </x:row>
    <x:row r="36">
      <x:c r="A36" s="72" t="str">
        <x:f>IF(OR(C36="",D36=""),"",B36&amp;"-"&amp;UPPER(C36)&amp;"-"&amp;TEXT(D36,"0000")&amp;"-"&amp;E36)</x:f>
        <x:v>M14-CAI-0030-V1.0</x:v>
      </x:c>
      <x:c r="B36" s="74" t="str">
        <x:v>M14</x:v>
      </x:c>
      <x:c r="C36" s="74" t="str">
        <x:v>CAI</x:v>
      </x:c>
      <x:c r="D36" s="215" t="n">
        <x:v>30</x:v>
      </x:c>
      <x:c r="E36" s="74" t="str">
        <x:v>V1.0</x:v>
      </x:c>
      <x:c r="F36" s="68" t="str">
        <x:v>财官相生可增强财格候选</x:v>
      </x:c>
      <x:c r="G36" s="82" t="str">
        <x:v>综合层</x:v>
      </x:c>
      <x:c r="H36" s="82" t="str">
        <x:v>普通格局</x:v>
      </x:c>
      <x:c r="I36" s="68" t="str">
        <x:v>财格候选</x:v>
      </x:c>
      <x:c r="J36" s="68" t="str">
        <x:v>财星具有月令依据</x:v>
      </x:c>
      <x:c r="K36" s="68" t="str">
        <x:v>透干可增强候选，但不作为所有格局的绝对唯一条件</x:v>
      </x:c>
      <x:c r="L36" s="82" t="str">
        <x:v>待定</x:v>
      </x:c>
      <x:c r="M36" s="68" t="str">
        <x:v>待定</x:v>
      </x:c>
      <x:c r="N36" s="68" t="str">
        <x:v>待定</x:v>
      </x:c>
      <x:c r="O36" s="68" t="str">
        <x:v>结合M09日主旺衰与承载判断</x:v>
      </x:c>
      <x:c r="P36" s="68" t="str">
        <x:v>财生官链路有效，官星能够承接且不反过度制身</x:v>
      </x:c>
      <x:c r="Q36" s="68" t="str">
        <x:v>不适用</x:v>
      </x:c>
      <x:c r="R36" s="68" t="str">
        <x:v>格神得令、有根、透达、清纯，并得到有效生扶或制化配合</x:v>
      </x:c>
      <x:c r="S36" s="68" t="str">
        <x:v>存在更强月令主气、格神功能被替代或全局主势明显转向其他结构</x:v>
      </x:c>
      <x:c r="T36" s="90" t="str">
        <x:v>格神失效、无真实功能，或候选只由单一表面十神名称产生</x:v>
      </x:c>
      <x:c r="U36" s="68" t="str">
        <x:v>特殊格局、建禄羊刃及明确从化结构另用专门规则</x:v>
      </x:c>
      <x:c r="V36" s="82" t="str">
        <x:v>基本成立</x:v>
      </x:c>
      <x:c r="W36" s="68" t="str">
        <x:v>正官格候选</x:v>
      </x:c>
      <x:c r="X36" s="84" t="str">
        <x:v>财格_财官增强</x:v>
      </x:c>
      <x:c r="Y36" s="84" t="str">
        <x:v>财格候选列为“基本成立”：主要依据为月令与格神有效性；仍需M15检验成格、破格、救应与层次。</x:v>
      </x:c>
      <x:c r="Z36" s="82" t="str">
        <x:v>较高</x:v>
      </x:c>
      <x:c r="AA36" s="82" t="str">
        <x:v>子平格局</x:v>
      </x:c>
      <x:c r="AB36" s="68" t="str">
        <x:v>M14只生成和排除格局候选。候选须综合月令、透干、格神有效力量、清纯度、日主配合与全局主导性；候选成立不等于M15最终成格。</x:v>
      </x:c>
      <x:c r="AC36" s="68" t="str">
        <x:v>月令与格神有效性共同支持“财格候选”，且没有决定性否决条件。</x:v>
      </x:c>
      <x:c r="AD36" s="90" t="str">
        <x:v>仅见相关十神或五行出现，但月令、格神有效性或全局主导性不成立，不能直接列“财格候选”。</x:v>
      </x:c>
      <x:c r="AE36" s="68" t="str">
        <x:v>https://zh.wikisource.org/zh-hans/%E6%B7%B5%E6%B5%B7%E5%AD%90%E5%B9%B3 ; https://zh.wikisource.org/wiki/%E6%BB%B4%E5%A4%A9%E9%AB%93%E9%97%A1%E5%BE%AE</x:v>
      </x:c>
      <x:c r="AF36" s="82" t="str">
        <x:v>采用</x:v>
      </x:c>
      <x:c r="AG36" s="82" t="str">
        <x:v>初审</x:v>
      </x:c>
      <x:c r="AH36" s="87" t="n">
        <x:v>46260</x:v>
      </x:c>
    </x:row>
    <x:row r="37">
      <x:c r="A37" s="72" t="str">
        <x:f>IF(OR(C37="",D37=""),"",B37&amp;"-"&amp;UPPER(C37)&amp;"-"&amp;TEXT(D37,"0000")&amp;"-"&amp;E37)</x:f>
        <x:v>M14-CAI-0031-V1.0</x:v>
      </x:c>
      <x:c r="B37" s="74" t="str">
        <x:v>M14</x:v>
      </x:c>
      <x:c r="C37" s="74" t="str">
        <x:v>CAI</x:v>
      </x:c>
      <x:c r="D37" s="215" t="n">
        <x:v>31</x:v>
      </x:c>
      <x:c r="E37" s="74" t="str">
        <x:v>V1.0</x:v>
      </x:c>
      <x:c r="F37" s="68" t="str">
        <x:v>比劫强制财会降低或排除财格候选</x:v>
      </x:c>
      <x:c r="G37" s="82" t="str">
        <x:v>综合层</x:v>
      </x:c>
      <x:c r="H37" s="82" t="str">
        <x:v>普通格局</x:v>
      </x:c>
      <x:c r="I37" s="68" t="str">
        <x:v>财格候选</x:v>
      </x:c>
      <x:c r="J37" s="68" t="str">
        <x:v>财星本有月令依据</x:v>
      </x:c>
      <x:c r="K37" s="68" t="str">
        <x:v>透干可增强候选，但不作为所有格局的绝对唯一条件</x:v>
      </x:c>
      <x:c r="L37" s="82" t="str">
        <x:v>待定</x:v>
      </x:c>
      <x:c r="M37" s="68" t="str">
        <x:v>财根受损或仍有余力</x:v>
      </x:c>
      <x:c r="N37" s="68" t="str">
        <x:v>受限</x:v>
      </x:c>
      <x:c r="O37" s="68" t="str">
        <x:v>结合M09日主旺衰与承载判断</x:v>
      </x:c>
      <x:c r="P37" s="68" t="str">
        <x:v>M11比劫夺财冲突成立</x:v>
      </x:c>
      <x:c r="Q37" s="68" t="str">
        <x:v>不适用</x:v>
      </x:c>
      <x:c r="R37" s="68" t="str">
        <x:v>格神得令、有根、透达、清纯，并得到有效生扶或制化配合</x:v>
      </x:c>
      <x:c r="S37" s="68" t="str">
        <x:v>存在更强月令主气、格神功能被替代或全局主势明显转向其他结构</x:v>
      </x:c>
      <x:c r="T37" s="90" t="str">
        <x:v>财星被比劫制至失效且无食伤通关或官杀制比</x:v>
      </x:c>
      <x:c r="U37" s="68" t="str">
        <x:v>特殊格局、建禄羊刃及明确从化结构另用专门规则</x:v>
      </x:c>
      <x:c r="V37" s="82" t="str">
        <x:v>不成立</x:v>
      </x:c>
      <x:c r="W37" s="68" t="str">
        <x:v>建禄/羊刃或比劫结构候选</x:v>
      </x:c>
      <x:c r="X37" s="84" t="str">
        <x:v>财格_比劫破财</x:v>
      </x:c>
      <x:c r="Y37" s="84" t="str">
        <x:v>财格候选列为“不成立”：主要依据为月令与格神有效性；仍需M15检验成格、破格、救应与层次。</x:v>
      </x:c>
      <x:c r="Z37" s="82" t="str">
        <x:v>较高</x:v>
      </x:c>
      <x:c r="AA37" s="82" t="str">
        <x:v>子平格局</x:v>
      </x:c>
      <x:c r="AB37" s="68" t="str">
        <x:v>M14只生成和排除格局候选。候选须综合月令、透干、格神有效力量、清纯度、日主配合与全局主导性；候选成立不等于M15最终成格。</x:v>
      </x:c>
      <x:c r="AC37" s="68" t="str">
        <x:v>月令与格神有效性共同支持“财格候选”，且没有决定性否决条件。</x:v>
      </x:c>
      <x:c r="AD37" s="90" t="str">
        <x:v>仅见相关十神或五行出现，但月令、格神有效性或全局主导性不成立，不能直接列“财格候选”。</x:v>
      </x:c>
      <x:c r="AE37" s="68" t="str">
        <x:v>https://zh.wikisource.org/zh-hans/%E6%B7%B5%E6%B5%B7%E5%AD%90%E5%B9%B3 ; https://zh.wikisource.org/wiki/%E6%BB%B4%E5%A4%A9%E9%AB%93%E9%97%A1%E5%BE%AE</x:v>
      </x:c>
      <x:c r="AF37" s="82" t="str">
        <x:v>采用</x:v>
      </x:c>
      <x:c r="AG37" s="82" t="str">
        <x:v>初审</x:v>
      </x:c>
      <x:c r="AH37" s="87" t="n">
        <x:v>46260</x:v>
      </x:c>
    </x:row>
    <x:row r="38">
      <x:c r="A38" s="72" t="str">
        <x:f>IF(OR(C38="",D38=""),"",B38&amp;"-"&amp;UPPER(C38)&amp;"-"&amp;TEXT(D38,"0000")&amp;"-"&amp;E38)</x:f>
        <x:v>M14-CAI-0032-V1.0</x:v>
      </x:c>
      <x:c r="B38" s="74" t="str">
        <x:v>M14</x:v>
      </x:c>
      <x:c r="C38" s="74" t="str">
        <x:v>CAI</x:v>
      </x:c>
      <x:c r="D38" s="215" t="n">
        <x:v>32</x:v>
      </x:c>
      <x:c r="E38" s="74" t="str">
        <x:v>V1.0</x:v>
      </x:c>
      <x:c r="F38" s="68" t="str">
        <x:v>财旺身弱无承载时财格候选降级</x:v>
      </x:c>
      <x:c r="G38" s="82" t="str">
        <x:v>综合层</x:v>
      </x:c>
      <x:c r="H38" s="82" t="str">
        <x:v>普通格局</x:v>
      </x:c>
      <x:c r="I38" s="68" t="str">
        <x:v>财格候选</x:v>
      </x:c>
      <x:c r="J38" s="68" t="str">
        <x:v>财星得令有力</x:v>
      </x:c>
      <x:c r="K38" s="68" t="str">
        <x:v>透干可增强候选，但不作为所有格局的绝对唯一条件</x:v>
      </x:c>
      <x:c r="L38" s="82" t="str">
        <x:v>待定</x:v>
      </x:c>
      <x:c r="M38" s="68" t="str">
        <x:v>待定</x:v>
      </x:c>
      <x:c r="N38" s="68" t="str">
        <x:v>旺</x:v>
      </x:c>
      <x:c r="O38" s="68" t="str">
        <x:v>日主弱或极弱，印比不足</x:v>
      </x:c>
      <x:c r="P38" s="68" t="str">
        <x:v>财格表面条件成立但日主不能任财</x:v>
      </x:c>
      <x:c r="Q38" s="68" t="str">
        <x:v>不适用</x:v>
      </x:c>
      <x:c r="R38" s="68" t="str">
        <x:v>格神得令、有根、透达、清纯，并得到有效生扶或制化配合</x:v>
      </x:c>
      <x:c r="S38" s="68" t="str">
        <x:v>财耗超过日主承载</x:v>
      </x:c>
      <x:c r="T38" s="90" t="str">
        <x:v>格神失效、无真实功能，或候选只由单一表面十神名称产生</x:v>
      </x:c>
      <x:c r="U38" s="68" t="str">
        <x:v>特殊格局、建禄羊刃及明确从化结构另用专门规则</x:v>
      </x:c>
      <x:c r="V38" s="82" t="str">
        <x:v>候选</x:v>
      </x:c>
      <x:c r="W38" s="68" t="str">
        <x:v>从财格候选或财多身弱结构</x:v>
      </x:c>
      <x:c r="X38" s="84" t="str">
        <x:v>财格_身弱承载不足</x:v>
      </x:c>
      <x:c r="Y38" s="84" t="str">
        <x:v>财格候选列为“候选”：主要依据为月令与格神有效性；仍需M15检验成格、破格、救应与层次。</x:v>
      </x:c>
      <x:c r="Z38" s="82" t="str">
        <x:v>较高</x:v>
      </x:c>
      <x:c r="AA38" s="82" t="str">
        <x:v>子平格局</x:v>
      </x:c>
      <x:c r="AB38" s="68" t="str">
        <x:v>M14只生成和排除格局候选。候选须综合月令、透干、格神有效力量、清纯度、日主配合与全局主导性；候选成立不等于M15最终成格。</x:v>
      </x:c>
      <x:c r="AC38" s="68" t="str">
        <x:v>月令与格神有效性共同支持“财格候选”，且没有决定性否决条件。</x:v>
      </x:c>
      <x:c r="AD38" s="90" t="str">
        <x:v>仅见相关十神或五行出现，但月令、格神有效性或全局主导性不成立，不能直接列“财格候选”。</x:v>
      </x:c>
      <x:c r="AE38" s="68" t="str">
        <x:v>https://zh.wikisource.org/zh-hans/%E6%B7%B5%E6%B5%B7%E5%AD%90%E5%B9%B3 ; https://zh.wikisource.org/wiki/%E6%BB%B4%E5%A4%A9%E9%AB%93%E9%97%A1%E5%BE%AE</x:v>
      </x:c>
      <x:c r="AF38" s="82" t="str">
        <x:v>采用</x:v>
      </x:c>
      <x:c r="AG38" s="82" t="str">
        <x:v>初审</x:v>
      </x:c>
      <x:c r="AH38" s="87" t="n">
        <x:v>46260</x:v>
      </x:c>
    </x:row>
    <x:row r="39">
      <x:c r="A39" s="72" t="str">
        <x:f>IF(OR(C39="",D39=""),"",B39&amp;"-"&amp;UPPER(C39)&amp;"-"&amp;TEXT(D39,"0000")&amp;"-"&amp;E39)</x:f>
        <x:v>M14-SHISHANG-0033-V1.0</x:v>
      </x:c>
      <x:c r="B39" s="74" t="str">
        <x:v>M14</x:v>
      </x:c>
      <x:c r="C39" s="74" t="str">
        <x:v>SHISHANG</x:v>
      </x:c>
      <x:c r="D39" s="215" t="n">
        <x:v>33</x:v>
      </x:c>
      <x:c r="E39" s="74" t="str">
        <x:v>V1.0</x:v>
      </x:c>
      <x:c r="F39" s="68" t="str">
        <x:v>月令食神主气生成食神格候选</x:v>
      </x:c>
      <x:c r="G39" s="82" t="str">
        <x:v>综合层</x:v>
      </x:c>
      <x:c r="H39" s="82" t="str">
        <x:v>普通格局</x:v>
      </x:c>
      <x:c r="I39" s="68" t="str">
        <x:v>食神格候选</x:v>
      </x:c>
      <x:c r="J39" s="68" t="str">
        <x:v>月令本气为食神，或食神得令成为主要泄秀轴</x:v>
      </x:c>
      <x:c r="K39" s="68" t="str">
        <x:v>食神透干且有根为增强条件</x:v>
      </x:c>
      <x:c r="L39" s="82" t="str">
        <x:v>较清</x:v>
      </x:c>
      <x:c r="M39" s="68" t="str">
        <x:v>食神有根</x:v>
      </x:c>
      <x:c r="N39" s="68" t="str">
        <x:v>中和偏旺</x:v>
      </x:c>
      <x:c r="O39" s="68" t="str">
        <x:v>日主有足够力量可泄</x:v>
      </x:c>
      <x:c r="P39" s="68" t="str">
        <x:v>食神得令、有效并承担泄秀、生财或制杀功能</x:v>
      </x:c>
      <x:c r="Q39" s="68" t="str">
        <x:v>不适用</x:v>
      </x:c>
      <x:c r="R39" s="68" t="str">
        <x:v>格神得令、有根、透达、清纯，并得到有效生扶或制化配合</x:v>
      </x:c>
      <x:c r="S39" s="68" t="str">
        <x:v>存在更强月令主气、格神功能被替代或全局主势明显转向其他结构</x:v>
      </x:c>
      <x:c r="T39" s="90" t="str">
        <x:v>格神失效、无真实功能，或候选只由单一表面十神名称产生</x:v>
      </x:c>
      <x:c r="U39" s="68" t="str">
        <x:v>特殊格局、建禄羊刃及明确从化结构另用专门规则</x:v>
      </x:c>
      <x:c r="V39" s="82" t="str">
        <x:v>候选</x:v>
      </x:c>
      <x:c r="W39" s="68" t="str">
        <x:v>食神生财、食神制杀候选</x:v>
      </x:c>
      <x:c r="X39" s="84" t="str">
        <x:v>食神格候选_候选</x:v>
      </x:c>
      <x:c r="Y39" s="84" t="str">
        <x:v>食神格候选列为“候选”：主要依据为月令与格神有效性；仍需M15检验成格、破格、救应与层次。</x:v>
      </x:c>
      <x:c r="Z39" s="82" t="str">
        <x:v>较高</x:v>
      </x:c>
      <x:c r="AA39" s="82" t="str">
        <x:v>子平格局</x:v>
      </x:c>
      <x:c r="AB39" s="68" t="str">
        <x:v>M14只生成和排除格局候选。候选须综合月令、透干、格神有效力量、清纯度、日主配合与全局主导性；候选成立不等于M15最终成格。</x:v>
      </x:c>
      <x:c r="AC39" s="68" t="str">
        <x:v>月令与格神有效性共同支持“食神格候选”，且没有决定性否决条件。</x:v>
      </x:c>
      <x:c r="AD39" s="90" t="str">
        <x:v>仅见相关十神或五行出现，但月令、格神有效性或全局主导性不成立，不能直接列“食神格候选”。</x:v>
      </x:c>
      <x:c r="AE39" s="68" t="str">
        <x:v>https://zh.wikisource.org/zh-hans/%E6%B7%B5%E6%B5%B7%E5%AD%90%E5%B9%B3 ; https://zh.wikisource.org/wiki/%E6%BB%B4%E5%A4%A9%E9%AB%93%E9%97%A1%E5%BE%AE</x:v>
      </x:c>
      <x:c r="AF39" s="82" t="str">
        <x:v>采用</x:v>
      </x:c>
      <x:c r="AG39" s="82" t="str">
        <x:v>初审</x:v>
      </x:c>
      <x:c r="AH39" s="87" t="n">
        <x:v>46260</x:v>
      </x:c>
    </x:row>
    <x:row r="40">
      <x:c r="A40" s="72" t="str">
        <x:f>IF(OR(C40="",D40=""),"",B40&amp;"-"&amp;UPPER(C40)&amp;"-"&amp;TEXT(D40,"0000")&amp;"-"&amp;E40)</x:f>
        <x:v>M14-SHISHANG-0034-V1.0</x:v>
      </x:c>
      <x:c r="B40" s="74" t="str">
        <x:v>M14</x:v>
      </x:c>
      <x:c r="C40" s="74" t="str">
        <x:v>SHISHANG</x:v>
      </x:c>
      <x:c r="D40" s="215" t="n">
        <x:v>34</x:v>
      </x:c>
      <x:c r="E40" s="74" t="str">
        <x:v>V1.0</x:v>
      </x:c>
      <x:c r="F40" s="68" t="str">
        <x:v>食神生财增强食神格候选</x:v>
      </x:c>
      <x:c r="G40" s="82" t="str">
        <x:v>综合层</x:v>
      </x:c>
      <x:c r="H40" s="82" t="str">
        <x:v>普通格局</x:v>
      </x:c>
      <x:c r="I40" s="68" t="str">
        <x:v>食神格候选</x:v>
      </x:c>
      <x:c r="J40" s="68" t="str">
        <x:v>食神具有月令依据</x:v>
      </x:c>
      <x:c r="K40" s="68" t="str">
        <x:v>透干可增强候选，但不作为所有格局的绝对唯一条件</x:v>
      </x:c>
      <x:c r="L40" s="82" t="str">
        <x:v>待定</x:v>
      </x:c>
      <x:c r="M40" s="68" t="str">
        <x:v>待定</x:v>
      </x:c>
      <x:c r="N40" s="68" t="str">
        <x:v>待定</x:v>
      </x:c>
      <x:c r="O40" s="68" t="str">
        <x:v>结合M09日主旺衰与承载判断</x:v>
      </x:c>
      <x:c r="P40" s="68" t="str">
        <x:v>M11食神生财达到基本成立以上</x:v>
      </x:c>
      <x:c r="Q40" s="68" t="str">
        <x:v>不适用</x:v>
      </x:c>
      <x:c r="R40" s="68" t="str">
        <x:v>格神得令、有根、透达、清纯，并得到有效生扶或制化配合</x:v>
      </x:c>
      <x:c r="S40" s="68" t="str">
        <x:v>存在更强月令主气、格神功能被替代或全局主势明显转向其他结构</x:v>
      </x:c>
      <x:c r="T40" s="90" t="str">
        <x:v>格神失效、无真实功能，或候选只由单一表面十神名称产生</x:v>
      </x:c>
      <x:c r="U40" s="68" t="str">
        <x:v>特殊格局、建禄羊刃及明确从化结构另用专门规则</x:v>
      </x:c>
      <x:c r="V40" s="82" t="str">
        <x:v>基本成立</x:v>
      </x:c>
      <x:c r="W40" s="68" t="str">
        <x:v>财格候选</x:v>
      </x:c>
      <x:c r="X40" s="84" t="str">
        <x:v>食神格_生财增强</x:v>
      </x:c>
      <x:c r="Y40" s="84" t="str">
        <x:v>食神格候选列为“基本成立”：主要依据为月令与格神有效性；仍需M15检验成格、破格、救应与层次。</x:v>
      </x:c>
      <x:c r="Z40" s="82" t="str">
        <x:v>较高</x:v>
      </x:c>
      <x:c r="AA40" s="82" t="str">
        <x:v>子平格局</x:v>
      </x:c>
      <x:c r="AB40" s="68" t="str">
        <x:v>M14只生成和排除格局候选。候选须综合月令、透干、格神有效力量、清纯度、日主配合与全局主导性；候选成立不等于M15最终成格。</x:v>
      </x:c>
      <x:c r="AC40" s="68" t="str">
        <x:v>月令与格神有效性共同支持“食神格候选”，且没有决定性否决条件。</x:v>
      </x:c>
      <x:c r="AD40" s="90" t="str">
        <x:v>仅见相关十神或五行出现，但月令、格神有效性或全局主导性不成立，不能直接列“食神格候选”。</x:v>
      </x:c>
      <x:c r="AE40" s="68" t="str">
        <x:v>https://zh.wikisource.org/zh-hans/%E6%B7%B5%E6%B5%B7%E5%AD%90%E5%B9%B3 ; https://zh.wikisource.org/wiki/%E6%BB%B4%E5%A4%A9%E9%AB%93%E9%97%A1%E5%BE%AE</x:v>
      </x:c>
      <x:c r="AF40" s="82" t="str">
        <x:v>采用</x:v>
      </x:c>
      <x:c r="AG40" s="82" t="str">
        <x:v>初审</x:v>
      </x:c>
      <x:c r="AH40" s="87" t="n">
        <x:v>46260</x:v>
      </x:c>
    </x:row>
    <x:row r="41">
      <x:c r="A41" s="72" t="str">
        <x:f>IF(OR(C41="",D41=""),"",B41&amp;"-"&amp;UPPER(C41)&amp;"-"&amp;TEXT(D41,"0000")&amp;"-"&amp;E41)</x:f>
        <x:v>M14-SHISHANG-0035-V1.0</x:v>
      </x:c>
      <x:c r="B41" s="74" t="str">
        <x:v>M14</x:v>
      </x:c>
      <x:c r="C41" s="74" t="str">
        <x:v>SHISHANG</x:v>
      </x:c>
      <x:c r="D41" s="215" t="n">
        <x:v>35</x:v>
      </x:c>
      <x:c r="E41" s="74" t="str">
        <x:v>V1.0</x:v>
      </x:c>
      <x:c r="F41" s="68" t="str">
        <x:v>枭神夺食会降低或排除食神格候选</x:v>
      </x:c>
      <x:c r="G41" s="82" t="str">
        <x:v>综合层</x:v>
      </x:c>
      <x:c r="H41" s="82" t="str">
        <x:v>普通格局</x:v>
      </x:c>
      <x:c r="I41" s="68" t="str">
        <x:v>食神格候选</x:v>
      </x:c>
      <x:c r="J41" s="68" t="str">
        <x:v>食神本有月令依据</x:v>
      </x:c>
      <x:c r="K41" s="68" t="str">
        <x:v>透干可增强候选，但不作为所有格局的绝对唯一条件</x:v>
      </x:c>
      <x:c r="L41" s="82" t="str">
        <x:v>待定</x:v>
      </x:c>
      <x:c r="M41" s="68" t="str">
        <x:v>待定</x:v>
      </x:c>
      <x:c r="N41" s="68" t="str">
        <x:v>受限</x:v>
      </x:c>
      <x:c r="O41" s="68" t="str">
        <x:v>结合M09日主旺衰与承载判断</x:v>
      </x:c>
      <x:c r="P41" s="68" t="str">
        <x:v>偏印对食神形成实质强制</x:v>
      </x:c>
      <x:c r="Q41" s="68" t="str">
        <x:v>不适用</x:v>
      </x:c>
      <x:c r="R41" s="68" t="str">
        <x:v>格神得令、有根、透达、清纯，并得到有效生扶或制化配合</x:v>
      </x:c>
      <x:c r="S41" s="68" t="str">
        <x:v>存在更强月令主气、格神功能被替代或全局主势明显转向其他结构</x:v>
      </x:c>
      <x:c r="T41" s="90" t="str">
        <x:v>食神被枭制至失效且无财制枭救应</x:v>
      </x:c>
      <x:c r="U41" s="68" t="str">
        <x:v>特殊格局、建禄羊刃及明确从化结构另用专门规则</x:v>
      </x:c>
      <x:c r="V41" s="82" t="str">
        <x:v>不成立</x:v>
      </x:c>
      <x:c r="W41" s="68" t="str">
        <x:v>偏印格候选</x:v>
      </x:c>
      <x:c r="X41" s="84" t="str">
        <x:v>食神格_枭夺食否决</x:v>
      </x:c>
      <x:c r="Y41" s="84" t="str">
        <x:v>食神格候选列为“不成立”：主要依据为月令与格神有效性；仍需M15检验成格、破格、救应与层次。</x:v>
      </x:c>
      <x:c r="Z41" s="82" t="str">
        <x:v>较高</x:v>
      </x:c>
      <x:c r="AA41" s="82" t="str">
        <x:v>子平格局</x:v>
      </x:c>
      <x:c r="AB41" s="68" t="str">
        <x:v>M14只生成和排除格局候选。候选须综合月令、透干、格神有效力量、清纯度、日主配合与全局主导性；候选成立不等于M15最终成格。</x:v>
      </x:c>
      <x:c r="AC41" s="68" t="str">
        <x:v>月令与格神有效性共同支持“食神格候选”，且没有决定性否决条件。</x:v>
      </x:c>
      <x:c r="AD41" s="90" t="str">
        <x:v>仅见相关十神或五行出现，但月令、格神有效性或全局主导性不成立，不能直接列“食神格候选”。</x:v>
      </x:c>
      <x:c r="AE41" s="68" t="str">
        <x:v>https://zh.wikisource.org/zh-hans/%E6%B7%B5%E6%B5%B7%E5%AD%90%E5%B9%B3 ; https://zh.wikisource.org/wiki/%E6%BB%B4%E5%A4%A9%E9%AB%93%E9%97%A1%E5%BE%AE</x:v>
      </x:c>
      <x:c r="AF41" s="82" t="str">
        <x:v>采用</x:v>
      </x:c>
      <x:c r="AG41" s="82" t="str">
        <x:v>初审</x:v>
      </x:c>
      <x:c r="AH41" s="87" t="n">
        <x:v>46260</x:v>
      </x:c>
    </x:row>
    <x:row r="42">
      <x:c r="A42" s="72" t="str">
        <x:f>IF(OR(C42="",D42=""),"",B42&amp;"-"&amp;UPPER(C42)&amp;"-"&amp;TEXT(D42,"0000")&amp;"-"&amp;E42)</x:f>
        <x:v>M14-SHISHANG-0036-V1.0</x:v>
      </x:c>
      <x:c r="B42" s="74" t="str">
        <x:v>M14</x:v>
      </x:c>
      <x:c r="C42" s="74" t="str">
        <x:v>SHISHANG</x:v>
      </x:c>
      <x:c r="D42" s="215" t="n">
        <x:v>36</x:v>
      </x:c>
      <x:c r="E42" s="74" t="str">
        <x:v>V1.0</x:v>
      </x:c>
      <x:c r="F42" s="68" t="str">
        <x:v>食伤混杂主从不清时食神格降级</x:v>
      </x:c>
      <x:c r="G42" s="82" t="str">
        <x:v>综合层</x:v>
      </x:c>
      <x:c r="H42" s="82" t="str">
        <x:v>普通格局</x:v>
      </x:c>
      <x:c r="I42" s="68" t="str">
        <x:v>食神格候选</x:v>
      </x:c>
      <x:c r="J42" s="68" t="str">
        <x:v>食神有月令依据但伤官同时有效</x:v>
      </x:c>
      <x:c r="K42" s="68" t="str">
        <x:v>透干可增强候选，但不作为所有格局的绝对唯一条件</x:v>
      </x:c>
      <x:c r="L42" s="82" t="str">
        <x:v>混杂</x:v>
      </x:c>
      <x:c r="M42" s="68" t="str">
        <x:v>待定</x:v>
      </x:c>
      <x:c r="N42" s="68" t="str">
        <x:v>待定</x:v>
      </x:c>
      <x:c r="O42" s="68" t="str">
        <x:v>结合M09日主旺衰与承载判断</x:v>
      </x:c>
      <x:c r="P42" s="68" t="str">
        <x:v>月令依据、格神有效性与全局主导性共同支持</x:v>
      </x:c>
      <x:c r="Q42" s="68" t="str">
        <x:v>不适用</x:v>
      </x:c>
      <x:c r="R42" s="68" t="str">
        <x:v>格神得令、有根、透达、清纯，并得到有效生扶或制化配合</x:v>
      </x:c>
      <x:c r="S42" s="68" t="str">
        <x:v>食神伤官双强、主从不清</x:v>
      </x:c>
      <x:c r="T42" s="90" t="str">
        <x:v>格神失效、无真实功能，或候选只由单一表面十神名称产生</x:v>
      </x:c>
      <x:c r="U42" s="68" t="str">
        <x:v>特殊格局、建禄羊刃及明确从化结构另用专门规则</x:v>
      </x:c>
      <x:c r="V42" s="82" t="str">
        <x:v>候选</x:v>
      </x:c>
      <x:c r="W42" s="68" t="str">
        <x:v>伤官格或食伤混杂结构</x:v>
      </x:c>
      <x:c r="X42" s="84" t="str">
        <x:v>食神格_食伤混杂</x:v>
      </x:c>
      <x:c r="Y42" s="84" t="str">
        <x:v>食神格候选列为“候选”：主要依据为月令与格神有效性；仍需M15检验成格、破格、救应与层次。</x:v>
      </x:c>
      <x:c r="Z42" s="82" t="str">
        <x:v>较高</x:v>
      </x:c>
      <x:c r="AA42" s="82" t="str">
        <x:v>子平格局</x:v>
      </x:c>
      <x:c r="AB42" s="68" t="str">
        <x:v>M14只生成和排除格局候选。候选须综合月令、透干、格神有效力量、清纯度、日主配合与全局主导性；候选成立不等于M15最终成格。</x:v>
      </x:c>
      <x:c r="AC42" s="68" t="str">
        <x:v>月令与格神有效性共同支持“食神格候选”，且没有决定性否决条件。</x:v>
      </x:c>
      <x:c r="AD42" s="90" t="str">
        <x:v>仅见相关十神或五行出现，但月令、格神有效性或全局主导性不成立，不能直接列“食神格候选”。</x:v>
      </x:c>
      <x:c r="AE42" s="68" t="str">
        <x:v>https://zh.wikisource.org/zh-hans/%E6%B7%B5%E6%B5%B7%E5%AD%90%E5%B9%B3 ; https://zh.wikisource.org/wiki/%E6%BB%B4%E5%A4%A9%E9%AB%93%E9%97%A1%E5%BE%AE</x:v>
      </x:c>
      <x:c r="AF42" s="82" t="str">
        <x:v>采用</x:v>
      </x:c>
      <x:c r="AG42" s="82" t="str">
        <x:v>初审</x:v>
      </x:c>
      <x:c r="AH42" s="87" t="n">
        <x:v>46260</x:v>
      </x:c>
    </x:row>
    <x:row r="43">
      <x:c r="A43" s="72" t="str">
        <x:f>IF(OR(C43="",D43=""),"",B43&amp;"-"&amp;UPPER(C43)&amp;"-"&amp;TEXT(D43,"0000")&amp;"-"&amp;E43)</x:f>
        <x:v>M14-SHISHANG-0037-V1.0</x:v>
      </x:c>
      <x:c r="B43" s="74" t="str">
        <x:v>M14</x:v>
      </x:c>
      <x:c r="C43" s="74" t="str">
        <x:v>SHISHANG</x:v>
      </x:c>
      <x:c r="D43" s="215" t="n">
        <x:v>37</x:v>
      </x:c>
      <x:c r="E43" s="74" t="str">
        <x:v>V1.0</x:v>
      </x:c>
      <x:c r="F43" s="68" t="str">
        <x:v>月令伤官主气生成伤官格候选</x:v>
      </x:c>
      <x:c r="G43" s="82" t="str">
        <x:v>综合层</x:v>
      </x:c>
      <x:c r="H43" s="82" t="str">
        <x:v>普通格局</x:v>
      </x:c>
      <x:c r="I43" s="68" t="str">
        <x:v>伤官格候选</x:v>
      </x:c>
      <x:c r="J43" s="68" t="str">
        <x:v>月令本气为伤官，或伤官得令成为主要泄身/制官轴</x:v>
      </x:c>
      <x:c r="K43" s="68" t="str">
        <x:v>伤官透干且有根为增强条件</x:v>
      </x:c>
      <x:c r="L43" s="82" t="str">
        <x:v>较清</x:v>
      </x:c>
      <x:c r="M43" s="68" t="str">
        <x:v>伤官有根</x:v>
      </x:c>
      <x:c r="N43" s="68" t="str">
        <x:v>中和偏旺</x:v>
      </x:c>
      <x:c r="O43" s="68" t="str">
        <x:v>日主有力量可泄，且伤官功能有合理出口</x:v>
      </x:c>
      <x:c r="P43" s="68" t="str">
        <x:v>伤官有效并主导全局</x:v>
      </x:c>
      <x:c r="Q43" s="68" t="str">
        <x:v>不适用</x:v>
      </x:c>
      <x:c r="R43" s="68" t="str">
        <x:v>格神得令、有根、透达、清纯，并得到有效生扶或制化配合</x:v>
      </x:c>
      <x:c r="S43" s="68" t="str">
        <x:v>存在更强月令主气、格神功能被替代或全局主势明显转向其他结构</x:v>
      </x:c>
      <x:c r="T43" s="90" t="str">
        <x:v>格神失效、无真实功能，或候选只由单一表面十神名称产生</x:v>
      </x:c>
      <x:c r="U43" s="68" t="str">
        <x:v>特殊格局、建禄羊刃及明确从化结构另用专门规则</x:v>
      </x:c>
      <x:c r="V43" s="82" t="str">
        <x:v>候选</x:v>
      </x:c>
      <x:c r="W43" s="68" t="str">
        <x:v>伤官生财、伤官配印候选</x:v>
      </x:c>
      <x:c r="X43" s="84" t="str">
        <x:v>伤官格候选_候选</x:v>
      </x:c>
      <x:c r="Y43" s="84" t="str">
        <x:v>伤官格候选列为“候选”：主要依据为月令与格神有效性；仍需M15检验成格、破格、救应与层次。</x:v>
      </x:c>
      <x:c r="Z43" s="82" t="str">
        <x:v>较高</x:v>
      </x:c>
      <x:c r="AA43" s="82" t="str">
        <x:v>子平格局</x:v>
      </x:c>
      <x:c r="AB43" s="68" t="str">
        <x:v>M14只生成和排除格局候选。候选须综合月令、透干、格神有效力量、清纯度、日主配合与全局主导性；候选成立不等于M15最终成格。</x:v>
      </x:c>
      <x:c r="AC43" s="68" t="str">
        <x:v>月令与格神有效性共同支持“伤官格候选”，且没有决定性否决条件。</x:v>
      </x:c>
      <x:c r="AD43" s="90" t="str">
        <x:v>仅见相关十神或五行出现，但月令、格神有效性或全局主导性不成立，不能直接列“伤官格候选”。</x:v>
      </x:c>
      <x:c r="AE43" s="68" t="str">
        <x:v>https://zh.wikisource.org/zh-hans/%E6%B7%B5%E6%B5%B7%E5%AD%90%E5%B9%B3 ; https://zh.wikisource.org/wiki/%E6%BB%B4%E5%A4%A9%E9%AB%93%E9%97%A1%E5%BE%AE</x:v>
      </x:c>
      <x:c r="AF43" s="82" t="str">
        <x:v>采用</x:v>
      </x:c>
      <x:c r="AG43" s="82" t="str">
        <x:v>初审</x:v>
      </x:c>
      <x:c r="AH43" s="87" t="n">
        <x:v>46260</x:v>
      </x:c>
    </x:row>
    <x:row r="44">
      <x:c r="A44" s="72" t="str">
        <x:f>IF(OR(C44="",D44=""),"",B44&amp;"-"&amp;UPPER(C44)&amp;"-"&amp;TEXT(D44,"0000")&amp;"-"&amp;E44)</x:f>
        <x:v>M14-SHISHANG-0038-V1.0</x:v>
      </x:c>
      <x:c r="B44" s="74" t="str">
        <x:v>M14</x:v>
      </x:c>
      <x:c r="C44" s="74" t="str">
        <x:v>SHISHANG</x:v>
      </x:c>
      <x:c r="D44" s="215" t="n">
        <x:v>38</x:v>
      </x:c>
      <x:c r="E44" s="74" t="str">
        <x:v>V1.0</x:v>
      </x:c>
      <x:c r="F44" s="68" t="str">
        <x:v>伤官生财可增强伤官格候选</x:v>
      </x:c>
      <x:c r="G44" s="82" t="str">
        <x:v>综合层</x:v>
      </x:c>
      <x:c r="H44" s="82" t="str">
        <x:v>普通格局</x:v>
      </x:c>
      <x:c r="I44" s="68" t="str">
        <x:v>伤官格候选</x:v>
      </x:c>
      <x:c r="J44" s="68" t="str">
        <x:v>伤官具有月令依据</x:v>
      </x:c>
      <x:c r="K44" s="68" t="str">
        <x:v>透干可增强候选，但不作为所有格局的绝对唯一条件</x:v>
      </x:c>
      <x:c r="L44" s="82" t="str">
        <x:v>待定</x:v>
      </x:c>
      <x:c r="M44" s="68" t="str">
        <x:v>待定</x:v>
      </x:c>
      <x:c r="N44" s="68" t="str">
        <x:v>待定</x:v>
      </x:c>
      <x:c r="O44" s="68" t="str">
        <x:v>结合M09日主旺衰与承载判断</x:v>
      </x:c>
      <x:c r="P44" s="68" t="str">
        <x:v>M11伤官生财成立，财星能承接</x:v>
      </x:c>
      <x:c r="Q44" s="68" t="str">
        <x:v>不适用</x:v>
      </x:c>
      <x:c r="R44" s="68" t="str">
        <x:v>格神得令、有根、透达、清纯，并得到有效生扶或制化配合</x:v>
      </x:c>
      <x:c r="S44" s="68" t="str">
        <x:v>存在更强月令主气、格神功能被替代或全局主势明显转向其他结构</x:v>
      </x:c>
      <x:c r="T44" s="90" t="str">
        <x:v>格神失效、无真实功能，或候选只由单一表面十神名称产生</x:v>
      </x:c>
      <x:c r="U44" s="68" t="str">
        <x:v>特殊格局、建禄羊刃及明确从化结构另用专门规则</x:v>
      </x:c>
      <x:c r="V44" s="82" t="str">
        <x:v>基本成立</x:v>
      </x:c>
      <x:c r="W44" s="68" t="str">
        <x:v>财格候选</x:v>
      </x:c>
      <x:c r="X44" s="84" t="str">
        <x:v>伤官格_生财增强</x:v>
      </x:c>
      <x:c r="Y44" s="84" t="str">
        <x:v>伤官格候选列为“基本成立”：主要依据为月令与格神有效性；仍需M15检验成格、破格、救应与层次。</x:v>
      </x:c>
      <x:c r="Z44" s="82" t="str">
        <x:v>较高</x:v>
      </x:c>
      <x:c r="AA44" s="82" t="str">
        <x:v>子平格局</x:v>
      </x:c>
      <x:c r="AB44" s="68" t="str">
        <x:v>M14只生成和排除格局候选。候选须综合月令、透干、格神有效力量、清纯度、日主配合与全局主导性；候选成立不等于M15最终成格。</x:v>
      </x:c>
      <x:c r="AC44" s="68" t="str">
        <x:v>月令与格神有效性共同支持“伤官格候选”，且没有决定性否决条件。</x:v>
      </x:c>
      <x:c r="AD44" s="90" t="str">
        <x:v>仅见相关十神或五行出现，但月令、格神有效性或全局主导性不成立，不能直接列“伤官格候选”。</x:v>
      </x:c>
      <x:c r="AE44" s="68" t="str">
        <x:v>https://zh.wikisource.org/zh-hans/%E6%B7%B5%E6%B5%B7%E5%AD%90%E5%B9%B3 ; https://zh.wikisource.org/wiki/%E6%BB%B4%E5%A4%A9%E9%AB%93%E9%97%A1%E5%BE%AE</x:v>
      </x:c>
      <x:c r="AF44" s="82" t="str">
        <x:v>采用</x:v>
      </x:c>
      <x:c r="AG44" s="82" t="str">
        <x:v>初审</x:v>
      </x:c>
      <x:c r="AH44" s="87" t="n">
        <x:v>46260</x:v>
      </x:c>
    </x:row>
    <x:row r="45">
      <x:c r="A45" s="72" t="str">
        <x:f>IF(OR(C45="",D45=""),"",B45&amp;"-"&amp;UPPER(C45)&amp;"-"&amp;TEXT(D45,"0000")&amp;"-"&amp;E45)</x:f>
        <x:v>M14-SHISHANG-0039-V1.0</x:v>
      </x:c>
      <x:c r="B45" s="74" t="str">
        <x:v>M14</x:v>
      </x:c>
      <x:c r="C45" s="74" t="str">
        <x:v>SHISHANG</x:v>
      </x:c>
      <x:c r="D45" s="215" t="n">
        <x:v>39</x:v>
      </x:c>
      <x:c r="E45" s="74" t="str">
        <x:v>V1.0</x:v>
      </x:c>
      <x:c r="F45" s="68" t="str">
        <x:v>伤官配印可增强并稳定伤官格候选</x:v>
      </x:c>
      <x:c r="G45" s="82" t="str">
        <x:v>综合层</x:v>
      </x:c>
      <x:c r="H45" s="82" t="str">
        <x:v>普通格局</x:v>
      </x:c>
      <x:c r="I45" s="68" t="str">
        <x:v>伤官格候选</x:v>
      </x:c>
      <x:c r="J45" s="68" t="str">
        <x:v>伤官具有月令依据</x:v>
      </x:c>
      <x:c r="K45" s="68" t="str">
        <x:v>透干可增强候选，但不作为所有格局的绝对唯一条件</x:v>
      </x:c>
      <x:c r="L45" s="82" t="str">
        <x:v>待定</x:v>
      </x:c>
      <x:c r="M45" s="68" t="str">
        <x:v>待定</x:v>
      </x:c>
      <x:c r="N45" s="68" t="str">
        <x:v>待定</x:v>
      </x:c>
      <x:c r="O45" s="68" t="str">
        <x:v>结合M09日主旺衰与承载判断</x:v>
      </x:c>
      <x:c r="P45" s="68" t="str">
        <x:v>M11伤官配印成立，印能制伤而不过度</x:v>
      </x:c>
      <x:c r="Q45" s="68" t="str">
        <x:v>不适用</x:v>
      </x:c>
      <x:c r="R45" s="68" t="str">
        <x:v>格神得令、有根、透达、清纯，并得到有效生扶或制化配合</x:v>
      </x:c>
      <x:c r="S45" s="68" t="str">
        <x:v>存在更强月令主气、格神功能被替代或全局主势明显转向其他结构</x:v>
      </x:c>
      <x:c r="T45" s="90" t="str">
        <x:v>格神失效、无真实功能，或候选只由单一表面十神名称产生</x:v>
      </x:c>
      <x:c r="U45" s="68" t="str">
        <x:v>特殊格局、建禄羊刃及明确从化结构另用专门规则</x:v>
      </x:c>
      <x:c r="V45" s="82" t="str">
        <x:v>基本成立</x:v>
      </x:c>
      <x:c r="W45" s="68" t="str">
        <x:v>印格候选</x:v>
      </x:c>
      <x:c r="X45" s="84" t="str">
        <x:v>伤官格_配印增强</x:v>
      </x:c>
      <x:c r="Y45" s="84" t="str">
        <x:v>伤官格候选列为“基本成立”：主要依据为月令与格神有效性；仍需M15检验成格、破格、救应与层次。</x:v>
      </x:c>
      <x:c r="Z45" s="82" t="str">
        <x:v>较高</x:v>
      </x:c>
      <x:c r="AA45" s="82" t="str">
        <x:v>子平格局</x:v>
      </x:c>
      <x:c r="AB45" s="68" t="str">
        <x:v>M14只生成和排除格局候选。候选须综合月令、透干、格神有效力量、清纯度、日主配合与全局主导性；候选成立不等于M15最终成格。</x:v>
      </x:c>
      <x:c r="AC45" s="68" t="str">
        <x:v>月令与格神有效性共同支持“伤官格候选”，且没有决定性否决条件。</x:v>
      </x:c>
      <x:c r="AD45" s="90" t="str">
        <x:v>仅见相关十神或五行出现，但月令、格神有效性或全局主导性不成立，不能直接列“伤官格候选”。</x:v>
      </x:c>
      <x:c r="AE45" s="68" t="str">
        <x:v>https://zh.wikisource.org/zh-hans/%E6%B7%B5%E6%B5%B7%E5%AD%90%E5%B9%B3 ; https://zh.wikisource.org/wiki/%E6%BB%B4%E5%A4%A9%E9%AB%93%E9%97%A1%E5%BE%AE</x:v>
      </x:c>
      <x:c r="AF45" s="82" t="str">
        <x:v>采用</x:v>
      </x:c>
      <x:c r="AG45" s="82" t="str">
        <x:v>初审</x:v>
      </x:c>
      <x:c r="AH45" s="87" t="n">
        <x:v>46260</x:v>
      </x:c>
    </x:row>
    <x:row r="46">
      <x:c r="A46" s="72" t="str">
        <x:f>IF(OR(C46="",D46=""),"",B46&amp;"-"&amp;UPPER(C46)&amp;"-"&amp;TEXT(D46,"0000")&amp;"-"&amp;E46)</x:f>
        <x:v>M14-SHISHANG-0040-V1.0</x:v>
      </x:c>
      <x:c r="B46" s="74" t="str">
        <x:v>M14</x:v>
      </x:c>
      <x:c r="C46" s="74" t="str">
        <x:v>SHISHANG</x:v>
      </x:c>
      <x:c r="D46" s="215" t="n">
        <x:v>40</x:v>
      </x:c>
      <x:c r="E46" s="74" t="str">
        <x:v>V1.0</x:v>
      </x:c>
      <x:c r="F46" s="68" t="str">
        <x:v>伤官见官无救应时伤官格候选带破</x:v>
      </x:c>
      <x:c r="G46" s="82" t="str">
        <x:v>综合层</x:v>
      </x:c>
      <x:c r="H46" s="82" t="str">
        <x:v>普通格局</x:v>
      </x:c>
      <x:c r="I46" s="68" t="str">
        <x:v>伤官格候选</x:v>
      </x:c>
      <x:c r="J46" s="68" t="str">
        <x:v>伤官有月令依据</x:v>
      </x:c>
      <x:c r="K46" s="68" t="str">
        <x:v>透干可增强候选，但不作为所有格局的绝对唯一条件</x:v>
      </x:c>
      <x:c r="L46" s="82" t="str">
        <x:v>有杂</x:v>
      </x:c>
      <x:c r="M46" s="68" t="str">
        <x:v>待定</x:v>
      </x:c>
      <x:c r="N46" s="68" t="str">
        <x:v>待定</x:v>
      </x:c>
      <x:c r="O46" s="68" t="str">
        <x:v>结合M09日主旺衰与承载判断</x:v>
      </x:c>
      <x:c r="P46" s="68" t="str">
        <x:v>伤官与正官形成实质冲突</x:v>
      </x:c>
      <x:c r="Q46" s="68" t="str">
        <x:v>不适用</x:v>
      </x:c>
      <x:c r="R46" s="68" t="str">
        <x:v>格神得令、有根、透达、清纯，并得到有效生扶或制化配合</x:v>
      </x:c>
      <x:c r="S46" s="68" t="str">
        <x:v>无印制伤、无财通关、官星仍为关键功能</x:v>
      </x:c>
      <x:c r="T46" s="90" t="str">
        <x:v>格神失效、无真实功能，或候选只由单一表面十神名称产生</x:v>
      </x:c>
      <x:c r="U46" s="68" t="str">
        <x:v>特殊格局、建禄羊刃及明确从化结构另用专门规则</x:v>
      </x:c>
      <x:c r="V46" s="82" t="str">
        <x:v>成立但有破</x:v>
      </x:c>
      <x:c r="W46" s="68" t="str">
        <x:v>正官格或伤官配印候选</x:v>
      </x:c>
      <x:c r="X46" s="84" t="str">
        <x:v>伤官格_见官有破</x:v>
      </x:c>
      <x:c r="Y46" s="84" t="str">
        <x:v>伤官格候选列为“成立但有破”：主要依据为月令与格神有效性；仍需M15检验成格、破格、救应与层次。</x:v>
      </x:c>
      <x:c r="Z46" s="82" t="str">
        <x:v>较高</x:v>
      </x:c>
      <x:c r="AA46" s="82" t="str">
        <x:v>子平格局</x:v>
      </x:c>
      <x:c r="AB46" s="68" t="str">
        <x:v>M14只生成和排除格局候选。候选须综合月令、透干、格神有效力量、清纯度、日主配合与全局主导性；候选成立不等于M15最终成格。</x:v>
      </x:c>
      <x:c r="AC46" s="68" t="str">
        <x:v>月令与格神有效性共同支持“伤官格候选”，且没有决定性否决条件。</x:v>
      </x:c>
      <x:c r="AD46" s="90" t="str">
        <x:v>仅见相关十神或五行出现，但月令、格神有效性或全局主导性不成立，不能直接列“伤官格候选”。</x:v>
      </x:c>
      <x:c r="AE46" s="68" t="str">
        <x:v>https://zh.wikisource.org/zh-hans/%E6%B7%B5%E6%B5%B7%E5%AD%90%E5%B9%B3 ; https://zh.wikisource.org/wiki/%E6%BB%B4%E5%A4%A9%E9%AB%93%E9%97%A1%E5%BE%AE</x:v>
      </x:c>
      <x:c r="AF46" s="82" t="str">
        <x:v>采用</x:v>
      </x:c>
      <x:c r="AG46" s="82" t="str">
        <x:v>初审</x:v>
      </x:c>
      <x:c r="AH46" s="87" t="n">
        <x:v>46260</x:v>
      </x:c>
    </x:row>
    <x:row r="47">
      <x:c r="A47" s="72" t="str">
        <x:f>IF(OR(C47="",D47=""),"",B47&amp;"-"&amp;UPPER(C47)&amp;"-"&amp;TEXT(D47,"0000")&amp;"-"&amp;E47)</x:f>
        <x:v>M14-JIANREN-0041-V1.0</x:v>
      </x:c>
      <x:c r="B47" s="74" t="str">
        <x:v>M14</x:v>
      </x:c>
      <x:c r="C47" s="74" t="str">
        <x:v>JIANREN</x:v>
      </x:c>
      <x:c r="D47" s="215" t="n">
        <x:v>41</x:v>
      </x:c>
      <x:c r="E47" s="74" t="str">
        <x:v>V1.0</x:v>
      </x:c>
      <x:c r="F47" s="68" t="str">
        <x:v>日主临月令禄地生成建禄候选</x:v>
      </x:c>
      <x:c r="G47" s="82" t="str">
        <x:v>综合层</x:v>
      </x:c>
      <x:c r="H47" s="82" t="str">
        <x:v>建禄羊刃</x:v>
      </x:c>
      <x:c r="I47" s="68" t="str">
        <x:v>建禄格候选</x:v>
      </x:c>
      <x:c r="J47" s="68" t="str">
        <x:v>月支为日主禄地：甲寅、乙卯、丙戊巳、丁己午、庚申、辛酉、壬亥、癸子</x:v>
      </x:c>
      <x:c r="K47" s="68" t="str">
        <x:v>比劫透干可增强身势，但不是唯一条件</x:v>
      </x:c>
      <x:c r="L47" s="82" t="str">
        <x:v>待定</x:v>
      </x:c>
      <x:c r="M47" s="68" t="str">
        <x:v>月令本气强根</x:v>
      </x:c>
      <x:c r="N47" s="68" t="str">
        <x:v>旺</x:v>
      </x:c>
      <x:c r="O47" s="68" t="str">
        <x:v>日主通常得令得地，需重点寻找财官食伤等取用方向</x:v>
      </x:c>
      <x:c r="P47" s="68" t="str">
        <x:v>月令直接为日主禄地</x:v>
      </x:c>
      <x:c r="Q47" s="68" t="str">
        <x:v>不适用</x:v>
      </x:c>
      <x:c r="R47" s="68" t="str">
        <x:v>格神得令、有根、透达、清纯，并得到有效生扶或制化配合</x:v>
      </x:c>
      <x:c r="S47" s="68" t="str">
        <x:v>存在更强月令主气、格神功能被替代或全局主势明显转向其他结构</x:v>
      </x:c>
      <x:c r="T47" s="90" t="str">
        <x:v>格神失效、无真实功能，或候选只由单一表面十神名称产生</x:v>
      </x:c>
      <x:c r="U47" s="68" t="str">
        <x:v>若严格从旺、专旺或化气成立，转特殊格局候选</x:v>
      </x:c>
      <x:c r="V47" s="82" t="str">
        <x:v>候选</x:v>
      </x:c>
      <x:c r="W47" s="68" t="str">
        <x:v>身旺任财、身旺任官杀、食伤泄秀</x:v>
      </x:c>
      <x:c r="X47" s="84" t="str">
        <x:v>建禄格候选_候选</x:v>
      </x:c>
      <x:c r="Y47" s="84" t="str">
        <x:v>建禄格候选列为“候选”：主要依据为月令与格神有效性；仍需M15检验成格、破格、救应与层次。</x:v>
      </x:c>
      <x:c r="Z47" s="82" t="str">
        <x:v>较高</x:v>
      </x:c>
      <x:c r="AA47" s="82" t="str">
        <x:v>子平格局</x:v>
      </x:c>
      <x:c r="AB47" s="68" t="str">
        <x:v>M14只生成和排除格局候选。候选须综合月令、透干、格神有效力量、清纯度、日主配合与全局主导性；候选成立不等于M15最终成格。</x:v>
      </x:c>
      <x:c r="AC47" s="68" t="str">
        <x:v>月令与格神有效性共同支持“建禄格候选”，且没有决定性否决条件。</x:v>
      </x:c>
      <x:c r="AD47" s="90" t="str">
        <x:v>仅见相关十神或五行出现，但月令、格神有效性或全局主导性不成立，不能直接列“建禄格候选”。</x:v>
      </x:c>
      <x:c r="AE47" s="68" t="str">
        <x:v>https://zh.wikisource.org/zh-hans/%E6%B7%B5%E6%B5%B7%E5%AD%90%E5%B9%B3 ; https://zh.wikisource.org/wiki/%E6%BB%B4%E5%A4%A9%E9%AB%93%E9%97%A1%E5%BE%AE</x:v>
      </x:c>
      <x:c r="AF47" s="82" t="str">
        <x:v>采用</x:v>
      </x:c>
      <x:c r="AG47" s="82" t="str">
        <x:v>初审</x:v>
      </x:c>
      <x:c r="AH47" s="87" t="n">
        <x:v>46260</x:v>
      </x:c>
    </x:row>
    <x:row r="48">
      <x:c r="A48" s="72" t="str">
        <x:f>IF(OR(C48="",D48=""),"",B48&amp;"-"&amp;UPPER(C48)&amp;"-"&amp;TEXT(D48,"0000")&amp;"-"&amp;E48)</x:f>
        <x:v>M14-JIANREN-0042-V1.0</x:v>
      </x:c>
      <x:c r="B48" s="74" t="str">
        <x:v>M14</x:v>
      </x:c>
      <x:c r="C48" s="74" t="str">
        <x:v>JIANREN</x:v>
      </x:c>
      <x:c r="D48" s="215" t="n">
        <x:v>42</x:v>
      </x:c>
      <x:c r="E48" s="74" t="str">
        <x:v>V1.0</x:v>
      </x:c>
      <x:c r="F48" s="68" t="str">
        <x:v>建禄不等于最终身旺无疑</x:v>
      </x:c>
      <x:c r="G48" s="82" t="str">
        <x:v>综合层</x:v>
      </x:c>
      <x:c r="H48" s="82" t="str">
        <x:v>建禄羊刃</x:v>
      </x:c>
      <x:c r="I48" s="68" t="str">
        <x:v>建禄格候选</x:v>
      </x:c>
      <x:c r="J48" s="68" t="str">
        <x:v>日主临月令禄地</x:v>
      </x:c>
      <x:c r="K48" s="68" t="str">
        <x:v>透干可增强候选，但不作为所有格局的绝对唯一条件</x:v>
      </x:c>
      <x:c r="L48" s="82" t="str">
        <x:v>待定</x:v>
      </x:c>
      <x:c r="M48" s="68" t="str">
        <x:v>待定</x:v>
      </x:c>
      <x:c r="N48" s="68" t="str">
        <x:v>中和偏旺</x:v>
      </x:c>
      <x:c r="O48" s="68" t="str">
        <x:v>仍需读取M09有效根、印比与制泄耗</x:v>
      </x:c>
      <x:c r="P48" s="68" t="str">
        <x:v>建禄只提供高权重得令得地证据</x:v>
      </x:c>
      <x:c r="Q48" s="68" t="str">
        <x:v>不适用</x:v>
      </x:c>
      <x:c r="R48" s="68" t="str">
        <x:v>格神得令、有根、透达、清纯，并得到有效生扶或制化配合</x:v>
      </x:c>
      <x:c r="S48" s="68" t="str">
        <x:v>存在更强月令主气、格神功能被替代或全局主势明显转向其他结构</x:v>
      </x:c>
      <x:c r="T48" s="90" t="str">
        <x:v>格神失效、无真实功能，或候选只由单一表面十神名称产生</x:v>
      </x:c>
      <x:c r="U48" s="68" t="str">
        <x:v>特殊格局、建禄羊刃及明确从化结构另用专门规则</x:v>
      </x:c>
      <x:c r="V48" s="82" t="str">
        <x:v>候选</x:v>
      </x:c>
      <x:c r="W48" s="68" t="str">
        <x:v>待定</x:v>
      </x:c>
      <x:c r="X48" s="84" t="str">
        <x:v>建禄_旺衰边界</x:v>
      </x:c>
      <x:c r="Y48" s="84" t="str">
        <x:v>建禄可列候选，但日主最终旺衰与格局运行仍需结合全局制泄耗，不得仅凭月令禄地定旺或定格。</x:v>
      </x:c>
      <x:c r="Z48" s="82" t="str">
        <x:v>较高</x:v>
      </x:c>
      <x:c r="AA48" s="82" t="str">
        <x:v>子平格局</x:v>
      </x:c>
      <x:c r="AB48" s="68" t="str">
        <x:v>M14只生成和排除格局候选。候选须综合月令、透干、格神有效力量、清纯度、日主配合与全局主导性；候选成立不等于M15最终成格。</x:v>
      </x:c>
      <x:c r="AC48" s="68" t="str">
        <x:v>月令与格神有效性共同支持“建禄格候选”，且没有决定性否决条件。</x:v>
      </x:c>
      <x:c r="AD48" s="90" t="str">
        <x:v>仅见相关十神或五行出现，但月令、格神有效性或全局主导性不成立，不能直接列“建禄格候选”。</x:v>
      </x:c>
      <x:c r="AE48" s="68" t="str">
        <x:v>https://zh.wikisource.org/zh-hans/%E6%B7%B5%E6%B5%B7%E5%AD%90%E5%B9%B3 ; https://zh.wikisource.org/wiki/%E6%BB%B4%E5%A4%A9%E9%AB%93%E9%97%A1%E5%BE%AE</x:v>
      </x:c>
      <x:c r="AF48" s="82" t="str">
        <x:v>采用</x:v>
      </x:c>
      <x:c r="AG48" s="82" t="str">
        <x:v>初审</x:v>
      </x:c>
      <x:c r="AH48" s="87" t="n">
        <x:v>46260</x:v>
      </x:c>
    </x:row>
    <x:row r="49">
      <x:c r="A49" s="72" t="str">
        <x:f>IF(OR(C49="",D49=""),"",B49&amp;"-"&amp;UPPER(C49)&amp;"-"&amp;TEXT(D49,"0000")&amp;"-"&amp;E49)</x:f>
        <x:v>M14-JIANREN-0043-V1.0</x:v>
      </x:c>
      <x:c r="B49" s="74" t="str">
        <x:v>M14</x:v>
      </x:c>
      <x:c r="C49" s="74" t="str">
        <x:v>JIANREN</x:v>
      </x:c>
      <x:c r="D49" s="215" t="n">
        <x:v>43</x:v>
      </x:c>
      <x:c r="E49" s="74" t="str">
        <x:v>V1.0</x:v>
      </x:c>
      <x:c r="F49" s="68" t="str">
        <x:v>建禄遇财官食伤有效时形成主要替代结构</x:v>
      </x:c>
      <x:c r="G49" s="82" t="str">
        <x:v>综合层</x:v>
      </x:c>
      <x:c r="H49" s="82" t="str">
        <x:v>建禄羊刃</x:v>
      </x:c>
      <x:c r="I49" s="68" t="str">
        <x:v>建禄格候选</x:v>
      </x:c>
      <x:c r="J49" s="68" t="str">
        <x:v>建禄候选成立</x:v>
      </x:c>
      <x:c r="K49" s="68" t="str">
        <x:v>透干可增强候选，但不作为所有格局的绝对唯一条件</x:v>
      </x:c>
      <x:c r="L49" s="82" t="str">
        <x:v>待定</x:v>
      </x:c>
      <x:c r="M49" s="68" t="str">
        <x:v>待定</x:v>
      </x:c>
      <x:c r="N49" s="68" t="str">
        <x:v>待定</x:v>
      </x:c>
      <x:c r="O49" s="68" t="str">
        <x:v>结合M09日主旺衰与承载判断</x:v>
      </x:c>
      <x:c r="P49" s="68" t="str">
        <x:v>财、官杀或食伤在M10/M11形成清晰有效功能</x:v>
      </x:c>
      <x:c r="Q49" s="68" t="str">
        <x:v>不适用</x:v>
      </x:c>
      <x:c r="R49" s="68" t="str">
        <x:v>格神得令、有根、透达、清纯，并得到有效生扶或制化配合</x:v>
      </x:c>
      <x:c r="S49" s="68" t="str">
        <x:v>存在更强月令主气、格神功能被替代或全局主势明显转向其他结构</x:v>
      </x:c>
      <x:c r="T49" s="90" t="str">
        <x:v>格神失效、无真实功能，或候选只由单一表面十神名称产生</x:v>
      </x:c>
      <x:c r="U49" s="68" t="str">
        <x:v>特殊格局、建禄羊刃及明确从化结构另用专门规则</x:v>
      </x:c>
      <x:c r="V49" s="82" t="str">
        <x:v>候选</x:v>
      </x:c>
      <x:c r="W49" s="68" t="str">
        <x:v>身旺任财、官杀制衡、食伤泄秀</x:v>
      </x:c>
      <x:c r="X49" s="84" t="str">
        <x:v>建禄_取用方向</x:v>
      </x:c>
      <x:c r="Y49" s="84" t="str">
        <x:v>建禄格候选列为“候选”：主要依据为月令与格神有效性；仍需M15检验成格、破格、救应与层次。</x:v>
      </x:c>
      <x:c r="Z49" s="82" t="str">
        <x:v>较高</x:v>
      </x:c>
      <x:c r="AA49" s="82" t="str">
        <x:v>子平格局</x:v>
      </x:c>
      <x:c r="AB49" s="68" t="str">
        <x:v>M14只生成和排除格局候选。候选须综合月令、透干、格神有效力量、清纯度、日主配合与全局主导性；候选成立不等于M15最终成格。</x:v>
      </x:c>
      <x:c r="AC49" s="68" t="str">
        <x:v>月令与格神有效性共同支持“建禄格候选”，且没有决定性否决条件。</x:v>
      </x:c>
      <x:c r="AD49" s="90" t="str">
        <x:v>仅见相关十神或五行出现，但月令、格神有效性或全局主导性不成立，不能直接列“建禄格候选”。</x:v>
      </x:c>
      <x:c r="AE49" s="68" t="str">
        <x:v>https://zh.wikisource.org/zh-hans/%E6%B7%B5%E6%B5%B7%E5%AD%90%E5%B9%B3 ; https://zh.wikisource.org/wiki/%E6%BB%B4%E5%A4%A9%E9%AB%93%E9%97%A1%E5%BE%AE</x:v>
      </x:c>
      <x:c r="AF49" s="82" t="str">
        <x:v>采用</x:v>
      </x:c>
      <x:c r="AG49" s="82" t="str">
        <x:v>初审</x:v>
      </x:c>
      <x:c r="AH49" s="87" t="n">
        <x:v>46260</x:v>
      </x:c>
    </x:row>
    <x:row r="50">
      <x:c r="A50" s="72" t="str">
        <x:f>IF(OR(C50="",D50=""),"",B50&amp;"-"&amp;UPPER(C50)&amp;"-"&amp;TEXT(D50,"0000")&amp;"-"&amp;E50)</x:f>
        <x:v>M14-JIANREN-0044-V1.0</x:v>
      </x:c>
      <x:c r="B50" s="74" t="str">
        <x:v>M14</x:v>
      </x:c>
      <x:c r="C50" s="74" t="str">
        <x:v>JIANREN</x:v>
      </x:c>
      <x:c r="D50" s="215" t="n">
        <x:v>44</x:v>
      </x:c>
      <x:c r="E50" s="74" t="str">
        <x:v>V1.0</x:v>
      </x:c>
      <x:c r="F50" s="68" t="str">
        <x:v>比劫过旺无泄时建禄候选带壅塞</x:v>
      </x:c>
      <x:c r="G50" s="82" t="str">
        <x:v>综合层</x:v>
      </x:c>
      <x:c r="H50" s="82" t="str">
        <x:v>建禄羊刃</x:v>
      </x:c>
      <x:c r="I50" s="68" t="str">
        <x:v>建禄格候选</x:v>
      </x:c>
      <x:c r="J50" s="68" t="str">
        <x:v>建禄且比劫成势</x:v>
      </x:c>
      <x:c r="K50" s="68" t="str">
        <x:v>透干可增强候选，但不作为所有格局的绝对唯一条件</x:v>
      </x:c>
      <x:c r="L50" s="82" t="str">
        <x:v>有杂</x:v>
      </x:c>
      <x:c r="M50" s="68" t="str">
        <x:v>待定</x:v>
      </x:c>
      <x:c r="N50" s="68" t="str">
        <x:v>极旺</x:v>
      </x:c>
      <x:c r="O50" s="68" t="str">
        <x:v>结合M09日主旺衰与承载判断</x:v>
      </x:c>
      <x:c r="P50" s="68" t="str">
        <x:v>M12源头过旺无泄或回流壅塞成立</x:v>
      </x:c>
      <x:c r="Q50" s="68" t="str">
        <x:v>不适用</x:v>
      </x:c>
      <x:c r="R50" s="68" t="str">
        <x:v>格神得令、有根、透达、清纯，并得到有效生扶或制化配合</x:v>
      </x:c>
      <x:c r="S50" s="68" t="str">
        <x:v>存在更强月令主气、格神功能被替代或全局主势明显转向其他结构</x:v>
      </x:c>
      <x:c r="T50" s="90" t="str">
        <x:v>格神失效、无真实功能，或候选只由单一表面十神名称产生</x:v>
      </x:c>
      <x:c r="U50" s="68" t="str">
        <x:v>特殊格局、建禄羊刃及明确从化结构另用专门规则</x:v>
      </x:c>
      <x:c r="V50" s="82" t="str">
        <x:v>成立但有破</x:v>
      </x:c>
      <x:c r="W50" s="68" t="str">
        <x:v>从旺/专旺候选</x:v>
      </x:c>
      <x:c r="X50" s="84" t="str">
        <x:v>建禄_比劫壅塞</x:v>
      </x:c>
      <x:c r="Y50" s="84" t="str">
        <x:v>建禄格候选列为“成立但有破”：主要依据为月令与格神有效性；仍需M15检验成格、破格、救应与层次。</x:v>
      </x:c>
      <x:c r="Z50" s="82" t="str">
        <x:v>较高</x:v>
      </x:c>
      <x:c r="AA50" s="82" t="str">
        <x:v>子平格局</x:v>
      </x:c>
      <x:c r="AB50" s="68" t="str">
        <x:v>M14只生成和排除格局候选。候选须综合月令、透干、格神有效力量、清纯度、日主配合与全局主导性；候选成立不等于M15最终成格。</x:v>
      </x:c>
      <x:c r="AC50" s="68" t="str">
        <x:v>月令与格神有效性共同支持“建禄格候选”，且没有决定性否决条件。</x:v>
      </x:c>
      <x:c r="AD50" s="90" t="str">
        <x:v>仅见相关十神或五行出现，但月令、格神有效性或全局主导性不成立，不能直接列“建禄格候选”。</x:v>
      </x:c>
      <x:c r="AE50" s="68" t="str">
        <x:v>https://zh.wikisource.org/zh-hans/%E6%B7%B5%E6%B5%B7%E5%AD%90%E5%B9%B3 ; https://zh.wikisource.org/wiki/%E6%BB%B4%E5%A4%A9%E9%AB%93%E9%97%A1%E5%BE%AE</x:v>
      </x:c>
      <x:c r="AF50" s="82" t="str">
        <x:v>采用</x:v>
      </x:c>
      <x:c r="AG50" s="82" t="str">
        <x:v>初审</x:v>
      </x:c>
      <x:c r="AH50" s="87" t="n">
        <x:v>46260</x:v>
      </x:c>
    </x:row>
    <x:row r="51">
      <x:c r="A51" s="72" t="str">
        <x:f>IF(OR(C51="",D51=""),"",B51&amp;"-"&amp;UPPER(C51)&amp;"-"&amp;TEXT(D51,"0000")&amp;"-"&amp;E51)</x:f>
        <x:v>M14-JIANREN-0045-V1.0</x:v>
      </x:c>
      <x:c r="B51" s="74" t="str">
        <x:v>M14</x:v>
      </x:c>
      <x:c r="C51" s="74" t="str">
        <x:v>JIANREN</x:v>
      </x:c>
      <x:c r="D51" s="215" t="n">
        <x:v>45</x:v>
      </x:c>
      <x:c r="E51" s="74" t="str">
        <x:v>V1.0</x:v>
      </x:c>
      <x:c r="F51" s="68" t="str">
        <x:v>月令为日主羊刃地生成羊刃候选</x:v>
      </x:c>
      <x:c r="G51" s="82" t="str">
        <x:v>综合层</x:v>
      </x:c>
      <x:c r="H51" s="82" t="str">
        <x:v>建禄羊刃</x:v>
      </x:c>
      <x:c r="I51" s="68" t="str">
        <x:v>羊刃格候选</x:v>
      </x:c>
      <x:c r="J51" s="68" t="str">
        <x:v>按采用流派确认日主羊刃临月令；阳干常用甲卯、丙午、戊午、庚酉、壬子</x:v>
      </x:c>
      <x:c r="K51" s="68" t="str">
        <x:v>比劫透干或刃势成党为增强条件</x:v>
      </x:c>
      <x:c r="L51" s="82" t="str">
        <x:v>待定</x:v>
      </x:c>
      <x:c r="M51" s="68" t="str">
        <x:v>月令强根</x:v>
      </x:c>
      <x:c r="N51" s="68" t="str">
        <x:v>旺</x:v>
      </x:c>
      <x:c r="O51" s="68" t="str">
        <x:v>日主通常强，需官杀制刃或食伤财星泄耗</x:v>
      </x:c>
      <x:c r="P51" s="68" t="str">
        <x:v>月令刃地且刃势真实有效</x:v>
      </x:c>
      <x:c r="Q51" s="68" t="str">
        <x:v>阴干羊刃取法存在流派差异，需M21登记</x:v>
      </x:c>
      <x:c r="R51" s="68" t="str">
        <x:v>格神得令、有根、透达、清纯，并得到有效生扶或制化配合</x:v>
      </x:c>
      <x:c r="S51" s="68" t="str">
        <x:v>存在更强月令主气、格神功能被替代或全局主势明显转向其他结构</x:v>
      </x:c>
      <x:c r="T51" s="90" t="str">
        <x:v>格神失效、无真实功能，或候选只由单一表面十神名称产生</x:v>
      </x:c>
      <x:c r="U51" s="68" t="str">
        <x:v>特殊格局、建禄羊刃及明确从化结构另用专门规则</x:v>
      </x:c>
      <x:c r="V51" s="82" t="str">
        <x:v>候选</x:v>
      </x:c>
      <x:c r="W51" s="68" t="str">
        <x:v>羊刃驾杀、食伤泄秀候选</x:v>
      </x:c>
      <x:c r="X51" s="84" t="str">
        <x:v>羊刃格候选_候选</x:v>
      </x:c>
      <x:c r="Y51" s="84" t="str">
        <x:v>羊刃格候选列为“候选”：主要依据为月令与格神有效性；仍需M15检验成格、破格、救应与层次。</x:v>
      </x:c>
      <x:c r="Z51" s="82" t="str">
        <x:v>较高</x:v>
      </x:c>
      <x:c r="AA51" s="82" t="str">
        <x:v>子平格局</x:v>
      </x:c>
      <x:c r="AB51" s="68" t="str">
        <x:v>M14只生成和排除格局候选。候选须综合月令、透干、格神有效力量、清纯度、日主配合与全局主导性；候选成立不等于M15最终成格。</x:v>
      </x:c>
      <x:c r="AC51" s="68" t="str">
        <x:v>月令与格神有效性共同支持“羊刃格候选”，且没有决定性否决条件。</x:v>
      </x:c>
      <x:c r="AD51" s="90" t="str">
        <x:v>仅见相关十神或五行出现，但月令、格神有效性或全局主导性不成立，不能直接列“羊刃格候选”。</x:v>
      </x:c>
      <x:c r="AE51" s="68" t="str">
        <x:v>https://zh.wikisource.org/zh-hans/%E6%B7%B5%E6%B5%B7%E5%AD%90%E5%B9%B3 ; https://zh.wikisource.org/wiki/%E6%BB%B4%E5%A4%A9%E9%AB%93%E9%97%A1%E5%BE%AE</x:v>
      </x:c>
      <x:c r="AF51" s="82" t="str">
        <x:v>采用</x:v>
      </x:c>
      <x:c r="AG51" s="82" t="str">
        <x:v>初审</x:v>
      </x:c>
      <x:c r="AH51" s="87" t="n">
        <x:v>46260</x:v>
      </x:c>
    </x:row>
    <x:row r="52">
      <x:c r="A52" s="72" t="str">
        <x:f>IF(OR(C52="",D52=""),"",B52&amp;"-"&amp;UPPER(C52)&amp;"-"&amp;TEXT(D52,"0000")&amp;"-"&amp;E52)</x:f>
        <x:v>M14-JIANREN-0046-V1.0</x:v>
      </x:c>
      <x:c r="B52" s="74" t="str">
        <x:v>M14</x:v>
      </x:c>
      <x:c r="C52" s="74" t="str">
        <x:v>JIANREN</x:v>
      </x:c>
      <x:c r="D52" s="215" t="n">
        <x:v>46</x:v>
      </x:c>
      <x:c r="E52" s="74" t="str">
        <x:v>V1.0</x:v>
      </x:c>
      <x:c r="F52" s="68" t="str">
        <x:v>羊刃驾杀成立可增强羊刃候选</x:v>
      </x:c>
      <x:c r="G52" s="82" t="str">
        <x:v>综合层</x:v>
      </x:c>
      <x:c r="H52" s="82" t="str">
        <x:v>建禄羊刃</x:v>
      </x:c>
      <x:c r="I52" s="68" t="str">
        <x:v>羊刃格候选</x:v>
      </x:c>
      <x:c r="J52" s="68" t="str">
        <x:v>羊刃候选成立</x:v>
      </x:c>
      <x:c r="K52" s="68" t="str">
        <x:v>透干可增强候选，但不作为所有格局的绝对唯一条件</x:v>
      </x:c>
      <x:c r="L52" s="82" t="str">
        <x:v>待定</x:v>
      </x:c>
      <x:c r="M52" s="68" t="str">
        <x:v>待定</x:v>
      </x:c>
      <x:c r="N52" s="68" t="str">
        <x:v>待定</x:v>
      </x:c>
      <x:c r="O52" s="68" t="str">
        <x:v>结合M09日主旺衰与承载判断</x:v>
      </x:c>
      <x:c r="P52" s="68" t="str">
        <x:v>M11羊刃驾杀达到基本成立以上</x:v>
      </x:c>
      <x:c r="Q52" s="68" t="str">
        <x:v>不适用</x:v>
      </x:c>
      <x:c r="R52" s="68" t="str">
        <x:v>格神得令、有根、透达、清纯，并得到有效生扶或制化配合</x:v>
      </x:c>
      <x:c r="S52" s="68" t="str">
        <x:v>存在更强月令主气、格神功能被替代或全局主势明显转向其他结构</x:v>
      </x:c>
      <x:c r="T52" s="90" t="str">
        <x:v>格神失效、无真实功能，或候选只由单一表面十神名称产生</x:v>
      </x:c>
      <x:c r="U52" s="68" t="str">
        <x:v>特殊格局、建禄羊刃及明确从化结构另用专门规则</x:v>
      </x:c>
      <x:c r="V52" s="82" t="str">
        <x:v>基本成立</x:v>
      </x:c>
      <x:c r="W52" s="68" t="str">
        <x:v>七杀格候选</x:v>
      </x:c>
      <x:c r="X52" s="84" t="str">
        <x:v>羊刃_驾杀增强</x:v>
      </x:c>
      <x:c r="Y52" s="84" t="str">
        <x:v>羊刃格候选列为“基本成立”：主要依据为月令与格神有效性；仍需M15检验成格、破格、救应与层次。</x:v>
      </x:c>
      <x:c r="Z52" s="82" t="str">
        <x:v>较高</x:v>
      </x:c>
      <x:c r="AA52" s="82" t="str">
        <x:v>子平格局</x:v>
      </x:c>
      <x:c r="AB52" s="68" t="str">
        <x:v>M14只生成和排除格局候选。候选须综合月令、透干、格神有效力量、清纯度、日主配合与全局主导性；候选成立不等于M15最终成格。</x:v>
      </x:c>
      <x:c r="AC52" s="68" t="str">
        <x:v>月令与格神有效性共同支持“羊刃格候选”，且没有决定性否决条件。</x:v>
      </x:c>
      <x:c r="AD52" s="90" t="str">
        <x:v>仅见相关十神或五行出现，但月令、格神有效性或全局主导性不成立，不能直接列“羊刃格候选”。</x:v>
      </x:c>
      <x:c r="AE52" s="68" t="str">
        <x:v>https://zh.wikisource.org/zh-hans/%E6%B7%B5%E6%B5%B7%E5%AD%90%E5%B9%B3 ; https://zh.wikisource.org/wiki/%E6%BB%B4%E5%A4%A9%E9%AB%93%E9%97%A1%E5%BE%AE</x:v>
      </x:c>
      <x:c r="AF52" s="82" t="str">
        <x:v>采用</x:v>
      </x:c>
      <x:c r="AG52" s="82" t="str">
        <x:v>初审</x:v>
      </x:c>
      <x:c r="AH52" s="87" t="n">
        <x:v>46260</x:v>
      </x:c>
    </x:row>
    <x:row r="53">
      <x:c r="A53" s="72" t="str">
        <x:f>IF(OR(C53="",D53=""),"",B53&amp;"-"&amp;UPPER(C53)&amp;"-"&amp;TEXT(D53,"0000")&amp;"-"&amp;E53)</x:f>
        <x:v>M14-JIANREN-0047-V1.0</x:v>
      </x:c>
      <x:c r="B53" s="74" t="str">
        <x:v>M14</x:v>
      </x:c>
      <x:c r="C53" s="74" t="str">
        <x:v>JIANREN</x:v>
      </x:c>
      <x:c r="D53" s="215" t="n">
        <x:v>47</x:v>
      </x:c>
      <x:c r="E53" s="74" t="str">
        <x:v>V1.0</x:v>
      </x:c>
      <x:c r="F53" s="68" t="str">
        <x:v>杀弱无根不足以驾刃时羊刃驾杀候选排除</x:v>
      </x:c>
      <x:c r="G53" s="82" t="str">
        <x:v>综合层</x:v>
      </x:c>
      <x:c r="H53" s="82" t="str">
        <x:v>建禄羊刃</x:v>
      </x:c>
      <x:c r="I53" s="68" t="str">
        <x:v>羊刃格候选</x:v>
      </x:c>
      <x:c r="J53" s="68" t="str">
        <x:v>羊刃得令成势</x:v>
      </x:c>
      <x:c r="K53" s="68" t="str">
        <x:v>透干可增强候选，但不作为所有格局的绝对唯一条件</x:v>
      </x:c>
      <x:c r="L53" s="82" t="str">
        <x:v>待定</x:v>
      </x:c>
      <x:c r="M53" s="68" t="str">
        <x:v>待定</x:v>
      </x:c>
      <x:c r="N53" s="68" t="str">
        <x:v>旺</x:v>
      </x:c>
      <x:c r="O53" s="68" t="str">
        <x:v>结合M09日主旺衰与承载判断</x:v>
      </x:c>
      <x:c r="P53" s="68" t="str">
        <x:v>七杀存在但弱或失效</x:v>
      </x:c>
      <x:c r="Q53" s="68" t="str">
        <x:v>不适用</x:v>
      </x:c>
      <x:c r="R53" s="68" t="str">
        <x:v>格神得令、有根、透达、清纯，并得到有效生扶或制化配合</x:v>
      </x:c>
      <x:c r="S53" s="68" t="str">
        <x:v>存在更强月令主气、格神功能被替代或全局主势明显转向其他结构</x:v>
      </x:c>
      <x:c r="T53" s="90" t="str">
        <x:v>杀无根无源，不能对强刃形成有效制衡</x:v>
      </x:c>
      <x:c r="U53" s="68" t="str">
        <x:v>特殊格局、建禄羊刃及明确从化结构另用专门规则</x:v>
      </x:c>
      <x:c r="V53" s="82" t="str">
        <x:v>候选</x:v>
      </x:c>
      <x:c r="W53" s="68" t="str">
        <x:v>建禄/从旺/专旺候选</x:v>
      </x:c>
      <x:c r="X53" s="84" t="str">
        <x:v>羊刃_杀弱</x:v>
      </x:c>
      <x:c r="Y53" s="84" t="str">
        <x:v>羊刃格候选列为“候选”：主要依据为月令与格神有效性；仍需M15检验成格、破格、救应与层次。</x:v>
      </x:c>
      <x:c r="Z53" s="82" t="str">
        <x:v>较高</x:v>
      </x:c>
      <x:c r="AA53" s="82" t="str">
        <x:v>子平格局</x:v>
      </x:c>
      <x:c r="AB53" s="68" t="str">
        <x:v>M14只生成和排除格局候选。候选须综合月令、透干、格神有效力量、清纯度、日主配合与全局主导性；候选成立不等于M15最终成格。</x:v>
      </x:c>
      <x:c r="AC53" s="68" t="str">
        <x:v>月令与格神有效性共同支持“羊刃格候选”，且没有决定性否决条件。</x:v>
      </x:c>
      <x:c r="AD53" s="90" t="str">
        <x:v>仅见相关十神或五行出现，但月令、格神有效性或全局主导性不成立，不能直接列“羊刃格候选”。</x:v>
      </x:c>
      <x:c r="AE53" s="68" t="str">
        <x:v>https://zh.wikisource.org/zh-hans/%E6%B7%B5%E6%B5%B7%E5%AD%90%E5%B9%B3 ; https://zh.wikisource.org/wiki/%E6%BB%B4%E5%A4%A9%E9%AB%93%E9%97%A1%E5%BE%AE</x:v>
      </x:c>
      <x:c r="AF53" s="82" t="str">
        <x:v>采用</x:v>
      </x:c>
      <x:c r="AG53" s="82" t="str">
        <x:v>初审</x:v>
      </x:c>
      <x:c r="AH53" s="87" t="n">
        <x:v>46260</x:v>
      </x:c>
    </x:row>
    <x:row r="54">
      <x:c r="A54" s="72" t="str">
        <x:f>IF(OR(C54="",D54=""),"",B54&amp;"-"&amp;UPPER(C54)&amp;"-"&amp;TEXT(D54,"0000")&amp;"-"&amp;E54)</x:f>
        <x:v>M14-JIANREN-0048-V1.0</x:v>
      </x:c>
      <x:c r="B54" s="74" t="str">
        <x:v>M14</x:v>
      </x:c>
      <x:c r="C54" s="74" t="str">
        <x:v>JIANREN</x:v>
      </x:c>
      <x:c r="D54" s="215" t="n">
        <x:v>48</x:v>
      </x:c>
      <x:c r="E54" s="74" t="str">
        <x:v>V1.0</x:v>
      </x:c>
      <x:c r="F54" s="68" t="str">
        <x:v>阴干羊刃映射应作为争议规则管理</x:v>
      </x:c>
      <x:c r="G54" s="82" t="str">
        <x:v>综合层</x:v>
      </x:c>
      <x:c r="H54" s="82" t="str">
        <x:v>建禄羊刃</x:v>
      </x:c>
      <x:c r="I54" s="68" t="str">
        <x:v>羊刃格候选</x:v>
      </x:c>
      <x:c r="J54" s="68" t="str">
        <x:v>涉及乙、丁、己、辛、癸的羊刃取法</x:v>
      </x:c>
      <x:c r="K54" s="68" t="str">
        <x:v>透干可增强候选，但不作为所有格局的绝对唯一条件</x:v>
      </x:c>
      <x:c r="L54" s="82" t="str">
        <x:v>待定</x:v>
      </x:c>
      <x:c r="M54" s="68" t="str">
        <x:v>待定</x:v>
      </x:c>
      <x:c r="N54" s="68" t="str">
        <x:v>待定</x:v>
      </x:c>
      <x:c r="O54" s="68" t="str">
        <x:v>结合M09日主旺衰与承载判断</x:v>
      </x:c>
      <x:c r="P54" s="68" t="str">
        <x:v>仅在已选择的流派口径内生成候选</x:v>
      </x:c>
      <x:c r="Q54" s="68" t="str">
        <x:v>不同流派对阴干羊刃地与是否取刃格存在差异</x:v>
      </x:c>
      <x:c r="R54" s="68" t="str">
        <x:v>格神得令、有根、透达、清纯，并得到有效生扶或制化配合</x:v>
      </x:c>
      <x:c r="S54" s="68" t="str">
        <x:v>存在更强月令主气、格神功能被替代或全局主势明显转向其他结构</x:v>
      </x:c>
      <x:c r="T54" s="90" t="str">
        <x:v>格神失效、无真实功能，或候选只由单一表面十神名称产生</x:v>
      </x:c>
      <x:c r="U54" s="68" t="str">
        <x:v>特殊格局、建禄羊刃及明确从化结构另用专门规则</x:v>
      </x:c>
      <x:c r="V54" s="82" t="str">
        <x:v>待定</x:v>
      </x:c>
      <x:c r="W54" s="68" t="str">
        <x:v>建禄或比劫结构候选</x:v>
      </x:c>
      <x:c r="X54" s="84" t="str">
        <x:v>阴干羊刃_流派争议</x:v>
      </x:c>
      <x:c r="Y54" s="84" t="str">
        <x:v>羊刃格候选列为“待定”：主要依据为月令与格神有效性；仍需M15检验成格、破格、救应与层次。</x:v>
      </x:c>
      <x:c r="Z54" s="82" t="str">
        <x:v>待验证</x:v>
      </x:c>
      <x:c r="AA54" s="82" t="str">
        <x:v>待定</x:v>
      </x:c>
      <x:c r="AB54" s="68" t="str">
        <x:v>M14只生成和排除格局候选。候选须综合月令、透干、格神有效力量、清纯度、日主配合与全局主导性；候选成立不等于M15最终成格。</x:v>
      </x:c>
      <x:c r="AC54" s="68" t="str">
        <x:v>月令与格神有效性共同支持“羊刃格候选”，且没有决定性否决条件。</x:v>
      </x:c>
      <x:c r="AD54" s="90" t="str">
        <x:v>仅见相关十神或五行出现，但月令、格神有效性或全局主导性不成立，不能直接列“羊刃格候选”。</x:v>
      </x:c>
      <x:c r="AE54" s="68" t="str">
        <x:v>https://zh.wikisource.org/wiki/%E6%BB%B4%E5%A4%A9%E9%AB%93%E9%97%A1%E5%BE%AE ; https://zh.wikisource.org/zh-hans/%E6%BB%B4%E5%A4%A9%E9%AB%93</x:v>
      </x:c>
      <x:c r="AF54" s="82" t="str">
        <x:v>待验证</x:v>
      </x:c>
      <x:c r="AG54" s="82" t="str">
        <x:v>初审</x:v>
      </x:c>
      <x:c r="AH54" s="87" t="n">
        <x:v>46260</x:v>
      </x:c>
    </x:row>
    <x:row r="55">
      <x:c r="A55" s="72" t="str">
        <x:f>IF(OR(C55="",D55=""),"",B55&amp;"-"&amp;UPPER(C55)&amp;"-"&amp;TEXT(D55,"0000")&amp;"-"&amp;E55)</x:f>
        <x:v>M14-CONG-0049-V1.0</x:v>
      </x:c>
      <x:c r="B55" s="74" t="str">
        <x:v>M14</x:v>
      </x:c>
      <x:c r="C55" s="74" t="str">
        <x:v>CONG</x:v>
      </x:c>
      <x:c r="D55" s="215" t="n">
        <x:v>49</x:v>
      </x:c>
      <x:c r="E55" s="74" t="str">
        <x:v>V1.0</x:v>
      </x:c>
      <x:c r="F55" s="68" t="str">
        <x:v>日主孤立无气是从格核心门槛</x:v>
      </x:c>
      <x:c r="G55" s="82" t="str">
        <x:v>综合层</x:v>
      </x:c>
      <x:c r="H55" s="82" t="str">
        <x:v>从格</x:v>
      </x:c>
      <x:c r="I55" s="68" t="str">
        <x:v>从格通用候选</x:v>
      </x:c>
      <x:c r="J55" s="68" t="str">
        <x:v>月令与全局主势明显不助日主</x:v>
      </x:c>
      <x:c r="K55" s="68" t="str">
        <x:v>日主外的主导集团透干成势</x:v>
      </x:c>
      <x:c r="L55" s="82" t="str">
        <x:v>较清</x:v>
      </x:c>
      <x:c r="M55" s="68" t="str">
        <x:v>日主无有效根或仅残弱假根</x:v>
      </x:c>
      <x:c r="N55" s="68" t="str">
        <x:v>日主极弱</x:v>
      </x:c>
      <x:c r="O55" s="68" t="str">
        <x:v>日主缺乏独立承载，只能顺从主势</x:v>
      </x:c>
      <x:c r="P55" s="68" t="str">
        <x:v>M09极弱，印比无有效生扶，全局主势高度集中</x:v>
      </x:c>
      <x:c r="Q55" s="68" t="str">
        <x:v>日主无有效根、无有效印比、主导五行/十神成势且方向一致</x:v>
      </x:c>
      <x:c r="R55" s="68" t="str">
        <x:v>格神得令、有根、透达、清纯，并得到有效生扶或制化配合</x:v>
      </x:c>
      <x:c r="S55" s="68" t="str">
        <x:v>存在更强月令主气、格神功能被替代或全局主势明显转向其他结构</x:v>
      </x:c>
      <x:c r="T55" s="90" t="str">
        <x:v>格神失效、无真实功能，或候选只由单一表面十神名称产生</x:v>
      </x:c>
      <x:c r="U55" s="68" t="str">
        <x:v>特殊格局、建禄羊刃及明确从化结构另用专门规则</x:v>
      </x:c>
      <x:c r="V55" s="82" t="str">
        <x:v>候选</x:v>
      </x:c>
      <x:c r="W55" s="68" t="str">
        <x:v>普通身弱格局</x:v>
      </x:c>
      <x:c r="X55" s="84" t="str">
        <x:v>从格_通用硬门槛</x:v>
      </x:c>
      <x:c r="Y55" s="84" t="str">
        <x:v>从格通用候选列为“候选”：主要依据为月令与格神有效性；仍需M15检验成格、破格、救应与层次。</x:v>
      </x:c>
      <x:c r="Z55" s="82" t="str">
        <x:v>较高</x:v>
      </x:c>
      <x:c r="AA55" s="82" t="str">
        <x:v>子平格局</x:v>
      </x:c>
      <x:c r="AB55" s="68" t="str">
        <x:v>M14只生成和排除格局候选。候选须综合月令、透干、格神有效力量、清纯度、日主配合与全局主导性；候选成立不等于M15最终成格。</x:v>
      </x:c>
      <x:c r="AC55" s="68" t="str">
        <x:v>月令与格神有效性共同支持“从格通用候选”，且没有决定性否决条件。</x:v>
      </x:c>
      <x:c r="AD55" s="90" t="str">
        <x:v>仅见相关十神或五行出现，但月令、格神有效性或全局主导性不成立，不能直接列“从格通用候选”。</x:v>
      </x:c>
      <x:c r="AE55" s="68" t="str">
        <x:v>https://zh.wikisource.org/wiki/%E6%BB%B4%E5%A4%A9%E9%AB%93%E9%97%A1%E5%BE%AE ; https://zh.wikisource.org/zh-hans/%E6%BB%B4%E5%A4%A9%E9%AB%93</x:v>
      </x:c>
      <x:c r="AF55" s="82" t="str">
        <x:v>采用</x:v>
      </x:c>
      <x:c r="AG55" s="82" t="str">
        <x:v>初审</x:v>
      </x:c>
      <x:c r="AH55" s="87" t="n">
        <x:v>46260</x:v>
      </x:c>
    </x:row>
    <x:row r="56">
      <x:c r="A56" s="72" t="str">
        <x:f>IF(OR(C56="",D56=""),"",B56&amp;"-"&amp;UPPER(C56)&amp;"-"&amp;TEXT(D56,"0000")&amp;"-"&amp;E56)</x:f>
        <x:v>M14-CONG-0050-V1.0</x:v>
      </x:c>
      <x:c r="B56" s="74" t="str">
        <x:v>M14</x:v>
      </x:c>
      <x:c r="C56" s="74" t="str">
        <x:v>CONG</x:v>
      </x:c>
      <x:c r="D56" s="215" t="n">
        <x:v>50</x:v>
      </x:c>
      <x:c r="E56" s="74" t="str">
        <x:v>V1.0</x:v>
      </x:c>
      <x:c r="F56" s="68" t="str">
        <x:v>财星成势且日主无依生成从财候选</x:v>
      </x:c>
      <x:c r="G56" s="82" t="str">
        <x:v>综合层</x:v>
      </x:c>
      <x:c r="H56" s="82" t="str">
        <x:v>从格</x:v>
      </x:c>
      <x:c r="I56" s="68" t="str">
        <x:v>从财格候选</x:v>
      </x:c>
      <x:c r="J56" s="68" t="str">
        <x:v>财星得令或全局财势主导</x:v>
      </x:c>
      <x:c r="K56" s="68" t="str">
        <x:v>财星透干成党</x:v>
      </x:c>
      <x:c r="L56" s="82" t="str">
        <x:v>较清</x:v>
      </x:c>
      <x:c r="M56" s="68" t="str">
        <x:v>日主无有效根</x:v>
      </x:c>
      <x:c r="N56" s="68" t="str">
        <x:v>财星旺极旺</x:v>
      </x:c>
      <x:c r="O56" s="68" t="str">
        <x:v>日主无印比生扶，不能任财而只能从财势</x:v>
      </x:c>
      <x:c r="P56" s="68" t="str">
        <x:v>财星成为唯一或绝对主导集团</x:v>
      </x:c>
      <x:c r="Q56" s="68" t="str">
        <x:v>日主孤立无气；财势强；无有力印比、官杀逆转或其他主导集团</x:v>
      </x:c>
      <x:c r="R56" s="68" t="str">
        <x:v>格神得令、有根、透达、清纯，并得到有效生扶或制化配合</x:v>
      </x:c>
      <x:c r="S56" s="68" t="str">
        <x:v>存在更强月令主气、格神功能被替代或全局主势明显转向其他结构</x:v>
      </x:c>
      <x:c r="T56" s="90" t="str">
        <x:v>格神失效、无真实功能，或候选只由单一表面十神名称产生</x:v>
      </x:c>
      <x:c r="U56" s="68" t="str">
        <x:v>特殊格局、建禄羊刃及明确从化结构另用专门规则</x:v>
      </x:c>
      <x:c r="V56" s="82" t="str">
        <x:v>候选</x:v>
      </x:c>
      <x:c r="W56" s="68" t="str">
        <x:v>财格/财多身弱候选</x:v>
      </x:c>
      <x:c r="X56" s="84" t="str">
        <x:v>从财格候选_候选</x:v>
      </x:c>
      <x:c r="Y56" s="84" t="str">
        <x:v>从财格候选列为“候选”：主要依据为月令与格神有效性；仍需M15检验成格、破格、救应与层次。</x:v>
      </x:c>
      <x:c r="Z56" s="82" t="str">
        <x:v>较高</x:v>
      </x:c>
      <x:c r="AA56" s="82" t="str">
        <x:v>子平格局</x:v>
      </x:c>
      <x:c r="AB56" s="68" t="str">
        <x:v>M14只生成和排除格局候选。候选须综合月令、透干、格神有效力量、清纯度、日主配合与全局主导性；候选成立不等于M15最终成格。</x:v>
      </x:c>
      <x:c r="AC56" s="68" t="str">
        <x:v>月令与格神有效性共同支持“从财格候选”，且没有决定性否决条件。</x:v>
      </x:c>
      <x:c r="AD56" s="90" t="str">
        <x:v>仅见相关十神或五行出现，但月令、格神有效性或全局主导性不成立，不能直接列“从财格候选”。</x:v>
      </x:c>
      <x:c r="AE56" s="68" t="str">
        <x:v>https://zh.wikisource.org/wiki/%E6%BB%B4%E5%A4%A9%E9%AB%93%E9%97%A1%E5%BE%AE ; https://zh.wikisource.org/zh-hans/%E6%BB%B4%E5%A4%A9%E9%AB%93</x:v>
      </x:c>
      <x:c r="AF56" s="82" t="str">
        <x:v>采用</x:v>
      </x:c>
      <x:c r="AG56" s="82" t="str">
        <x:v>初审</x:v>
      </x:c>
      <x:c r="AH56" s="87" t="n">
        <x:v>46260</x:v>
      </x:c>
    </x:row>
    <x:row r="57">
      <x:c r="A57" s="72" t="str">
        <x:f>IF(OR(C57="",D57=""),"",B57&amp;"-"&amp;UPPER(C57)&amp;"-"&amp;TEXT(D57,"0000")&amp;"-"&amp;E57)</x:f>
        <x:v>M14-CONG-0051-V1.0</x:v>
      </x:c>
      <x:c r="B57" s="74" t="str">
        <x:v>M14</x:v>
      </x:c>
      <x:c r="C57" s="74" t="str">
        <x:v>CONG</x:v>
      </x:c>
      <x:c r="D57" s="215" t="n">
        <x:v>51</x:v>
      </x:c>
      <x:c r="E57" s="74" t="str">
        <x:v>V1.0</x:v>
      </x:c>
      <x:c r="F57" s="68" t="str">
        <x:v>官杀成势且日主无依生成从官杀候选</x:v>
      </x:c>
      <x:c r="G57" s="82" t="str">
        <x:v>综合层</x:v>
      </x:c>
      <x:c r="H57" s="82" t="str">
        <x:v>从格</x:v>
      </x:c>
      <x:c r="I57" s="68" t="str">
        <x:v>从官杀格候选</x:v>
      </x:c>
      <x:c r="J57" s="68" t="str">
        <x:v>官杀得令或全局官杀主导</x:v>
      </x:c>
      <x:c r="K57" s="68" t="str">
        <x:v>官杀透干成党</x:v>
      </x:c>
      <x:c r="L57" s="82" t="str">
        <x:v>较清</x:v>
      </x:c>
      <x:c r="M57" s="68" t="str">
        <x:v>日主无有效根</x:v>
      </x:c>
      <x:c r="N57" s="68" t="str">
        <x:v>官杀旺极旺</x:v>
      </x:c>
      <x:c r="O57" s="68" t="str">
        <x:v>日主无印比承载，只能从官杀势</x:v>
      </x:c>
      <x:c r="P57" s="68" t="str">
        <x:v>官杀成为唯一或绝对主导集团</x:v>
      </x:c>
      <x:c r="Q57" s="68" t="str">
        <x:v>日主孤立无气；官杀强；无有效印比、食伤强制或其他逆势</x:v>
      </x:c>
      <x:c r="R57" s="68" t="str">
        <x:v>格神得令、有根、透达、清纯，并得到有效生扶或制化配合</x:v>
      </x:c>
      <x:c r="S57" s="68" t="str">
        <x:v>存在更强月令主气、格神功能被替代或全局主势明显转向其他结构</x:v>
      </x:c>
      <x:c r="T57" s="90" t="str">
        <x:v>格神失效、无真实功能，或候选只由单一表面十神名称产生</x:v>
      </x:c>
      <x:c r="U57" s="68" t="str">
        <x:v>特殊格局、建禄羊刃及明确从化结构另用专门规则</x:v>
      </x:c>
      <x:c r="V57" s="82" t="str">
        <x:v>候选</x:v>
      </x:c>
      <x:c r="W57" s="68" t="str">
        <x:v>七杀格/正官格/杀旺攻身候选</x:v>
      </x:c>
      <x:c r="X57" s="84" t="str">
        <x:v>从官杀格候选_候选</x:v>
      </x:c>
      <x:c r="Y57" s="84" t="str">
        <x:v>从官杀格候选列为“候选”：主要依据为月令与格神有效性；仍需M15检验成格、破格、救应与层次。</x:v>
      </x:c>
      <x:c r="Z57" s="82" t="str">
        <x:v>较高</x:v>
      </x:c>
      <x:c r="AA57" s="82" t="str">
        <x:v>子平格局</x:v>
      </x:c>
      <x:c r="AB57" s="68" t="str">
        <x:v>M14只生成和排除格局候选。候选须综合月令、透干、格神有效力量、清纯度、日主配合与全局主导性；候选成立不等于M15最终成格。</x:v>
      </x:c>
      <x:c r="AC57" s="68" t="str">
        <x:v>月令与格神有效性共同支持“从官杀格候选”，且没有决定性否决条件。</x:v>
      </x:c>
      <x:c r="AD57" s="90" t="str">
        <x:v>仅见相关十神或五行出现，但月令、格神有效性或全局主导性不成立，不能直接列“从官杀格候选”。</x:v>
      </x:c>
      <x:c r="AE57" s="68" t="str">
        <x:v>https://zh.wikisource.org/wiki/%E6%BB%B4%E5%A4%A9%E9%AB%93%E9%97%A1%E5%BE%AE ; https://zh.wikisource.org/zh-hans/%E6%BB%B4%E5%A4%A9%E9%AB%93</x:v>
      </x:c>
      <x:c r="AF57" s="82" t="str">
        <x:v>采用</x:v>
      </x:c>
      <x:c r="AG57" s="82" t="str">
        <x:v>初审</x:v>
      </x:c>
      <x:c r="AH57" s="87" t="n">
        <x:v>46260</x:v>
      </x:c>
    </x:row>
    <x:row r="58">
      <x:c r="A58" s="72" t="str">
        <x:f>IF(OR(C58="",D58=""),"",B58&amp;"-"&amp;UPPER(C58)&amp;"-"&amp;TEXT(D58,"0000")&amp;"-"&amp;E58)</x:f>
        <x:v>M14-CONG-0052-V1.0</x:v>
      </x:c>
      <x:c r="B58" s="74" t="str">
        <x:v>M14</x:v>
      </x:c>
      <x:c r="C58" s="74" t="str">
        <x:v>CONG</x:v>
      </x:c>
      <x:c r="D58" s="215" t="n">
        <x:v>52</x:v>
      </x:c>
      <x:c r="E58" s="74" t="str">
        <x:v>V1.0</x:v>
      </x:c>
      <x:c r="F58" s="68" t="str">
        <x:v>食伤成势并有财承接生成从儿候选</x:v>
      </x:c>
      <x:c r="G58" s="82" t="str">
        <x:v>综合层</x:v>
      </x:c>
      <x:c r="H58" s="82" t="str">
        <x:v>从格</x:v>
      </x:c>
      <x:c r="I58" s="68" t="str">
        <x:v>从儿格候选</x:v>
      </x:c>
      <x:c r="J58" s="68" t="str">
        <x:v>食伤得令或食伤集团主导</x:v>
      </x:c>
      <x:c r="K58" s="68" t="str">
        <x:v>食伤透干，财星有承接更强</x:v>
      </x:c>
      <x:c r="L58" s="82" t="str">
        <x:v>较清</x:v>
      </x:c>
      <x:c r="M58" s="68" t="str">
        <x:v>日主根气不构成逆势</x:v>
      </x:c>
      <x:c r="N58" s="68" t="str">
        <x:v>食伤旺极旺</x:v>
      </x:c>
      <x:c r="O58" s="68" t="str">
        <x:v>日主之气顺势流向食伤，印星不强行逆转</x:v>
      </x:c>
      <x:c r="P58" s="68" t="str">
        <x:v>食伤成势，M11食伤生财或泄秀链清晰</x:v>
      </x:c>
      <x:c r="Q58" s="68" t="str">
        <x:v>食伤主导；印星不能有效制食伤；官杀不形成主导逆冲；财星承接为强增强</x:v>
      </x:c>
      <x:c r="R58" s="68" t="str">
        <x:v>格神得令、有根、透达、清纯，并得到有效生扶或制化配合</x:v>
      </x:c>
      <x:c r="S58" s="68" t="str">
        <x:v>存在更强月令主气、格神功能被替代或全局主势明显转向其他结构</x:v>
      </x:c>
      <x:c r="T58" s="90" t="str">
        <x:v>格神失效、无真实功能，或候选只由单一表面十神名称产生</x:v>
      </x:c>
      <x:c r="U58" s="68" t="str">
        <x:v>特殊格局、建禄羊刃及明确从化结构另用专门规则</x:v>
      </x:c>
      <x:c r="V58" s="82" t="str">
        <x:v>候选</x:v>
      </x:c>
      <x:c r="W58" s="68" t="str">
        <x:v>食神格/伤官格/食伤生财候选</x:v>
      </x:c>
      <x:c r="X58" s="84" t="str">
        <x:v>从儿格候选_候选</x:v>
      </x:c>
      <x:c r="Y58" s="84" t="str">
        <x:v>从儿格候选列为“候选”：主要依据为月令与格神有效性；仍需M15检验成格、破格、救应与层次。</x:v>
      </x:c>
      <x:c r="Z58" s="82" t="str">
        <x:v>较高</x:v>
      </x:c>
      <x:c r="AA58" s="82" t="str">
        <x:v>子平格局</x:v>
      </x:c>
      <x:c r="AB58" s="68" t="str">
        <x:v>M14只生成和排除格局候选。候选须综合月令、透干、格神有效力量、清纯度、日主配合与全局主导性；候选成立不等于M15最终成格。</x:v>
      </x:c>
      <x:c r="AC58" s="68" t="str">
        <x:v>月令与格神有效性共同支持“从儿格候选”，且没有决定性否决条件。</x:v>
      </x:c>
      <x:c r="AD58" s="90" t="str">
        <x:v>仅见相关十神或五行出现，但月令、格神有效性或全局主导性不成立，不能直接列“从儿格候选”。</x:v>
      </x:c>
      <x:c r="AE58" s="68" t="str">
        <x:v>https://zh.wikisource.org/wiki/%E6%BB%B4%E5%A4%A9%E9%AB%93%E9%97%A1%E5%BE%AE ; https://zh.wikisource.org/zh-hans/%E6%BB%B4%E5%A4%A9%E9%AB%93</x:v>
      </x:c>
      <x:c r="AF58" s="82" t="str">
        <x:v>采用</x:v>
      </x:c>
      <x:c r="AG58" s="82" t="str">
        <x:v>初审</x:v>
      </x:c>
      <x:c r="AH58" s="87" t="n">
        <x:v>46260</x:v>
      </x:c>
    </x:row>
    <x:row r="59">
      <x:c r="A59" s="72" t="str">
        <x:f>IF(OR(C59="",D59=""),"",B59&amp;"-"&amp;UPPER(C59)&amp;"-"&amp;TEXT(D59,"0000")&amp;"-"&amp;E59)</x:f>
        <x:v>M14-CONG-0053-V1.0</x:v>
      </x:c>
      <x:c r="B59" s="74" t="str">
        <x:v>M14</x:v>
      </x:c>
      <x:c r="C59" s="74" t="str">
        <x:v>CONG</x:v>
      </x:c>
      <x:c r="D59" s="215" t="n">
        <x:v>53</x:v>
      </x:c>
      <x:c r="E59" s="74" t="str">
        <x:v>V1.0</x:v>
      </x:c>
      <x:c r="F59" s="68" t="str">
        <x:v>比劫一气旺极生成从旺候选</x:v>
      </x:c>
      <x:c r="G59" s="82" t="str">
        <x:v>综合层</x:v>
      </x:c>
      <x:c r="H59" s="82" t="str">
        <x:v>从格</x:v>
      </x:c>
      <x:c r="I59" s="68" t="str">
        <x:v>从旺格候选</x:v>
      </x:c>
      <x:c r="J59" s="68" t="str">
        <x:v>日主得令，比劫成势</x:v>
      </x:c>
      <x:c r="K59" s="68" t="str">
        <x:v>比劫透干成党</x:v>
      </x:c>
      <x:c r="L59" s="82" t="str">
        <x:v>较清</x:v>
      </x:c>
      <x:c r="M59" s="68" t="str">
        <x:v>日主多重强根</x:v>
      </x:c>
      <x:c r="N59" s="68" t="str">
        <x:v>日主与比劫极旺</x:v>
      </x:c>
      <x:c r="O59" s="68" t="str">
        <x:v>顺其旺势，不以普通抑制逻辑优先</x:v>
      </x:c>
      <x:c r="P59" s="68" t="str">
        <x:v>四柱比劫主导，官杀无力，印可生旺</x:v>
      </x:c>
      <x:c r="Q59" s="68" t="str">
        <x:v>旺极且无有效官杀制约；财星不能形成独立对抗；全局气势顺向一致</x:v>
      </x:c>
      <x:c r="R59" s="68" t="str">
        <x:v>格神得令、有根、透达、清纯，并得到有效生扶或制化配合</x:v>
      </x:c>
      <x:c r="S59" s="68" t="str">
        <x:v>存在更强月令主气、格神功能被替代或全局主势明显转向其他结构</x:v>
      </x:c>
      <x:c r="T59" s="90" t="str">
        <x:v>格神失效、无真实功能，或候选只由单一表面十神名称产生</x:v>
      </x:c>
      <x:c r="U59" s="68" t="str">
        <x:v>特殊格局、建禄羊刃及明确从化结构另用专门规则</x:v>
      </x:c>
      <x:c r="V59" s="82" t="str">
        <x:v>候选</x:v>
      </x:c>
      <x:c r="W59" s="68" t="str">
        <x:v>建禄/羊刃/专旺候选</x:v>
      </x:c>
      <x:c r="X59" s="84" t="str">
        <x:v>从旺格候选_候选</x:v>
      </x:c>
      <x:c r="Y59" s="84" t="str">
        <x:v>从旺格候选列为“候选”：主要依据为月令与格神有效性；仍需M15检验成格、破格、救应与层次。</x:v>
      </x:c>
      <x:c r="Z59" s="82" t="str">
        <x:v>较高</x:v>
      </x:c>
      <x:c r="AA59" s="82" t="str">
        <x:v>子平格局</x:v>
      </x:c>
      <x:c r="AB59" s="68" t="str">
        <x:v>M14只生成和排除格局候选。候选须综合月令、透干、格神有效力量、清纯度、日主配合与全局主导性；候选成立不等于M15最终成格。</x:v>
      </x:c>
      <x:c r="AC59" s="68" t="str">
        <x:v>月令与格神有效性共同支持“从旺格候选”，且没有决定性否决条件。</x:v>
      </x:c>
      <x:c r="AD59" s="90" t="str">
        <x:v>仅见相关十神或五行出现，但月令、格神有效性或全局主导性不成立，不能直接列“从旺格候选”。</x:v>
      </x:c>
      <x:c r="AE59" s="68" t="str">
        <x:v>https://zh.wikisource.org/wiki/%E6%BB%B4%E5%A4%A9%E9%AB%93%E9%97%A1%E5%BE%AE ; https://zh.wikisource.org/zh-hans/%E6%BB%B4%E5%A4%A9%E9%AB%93</x:v>
      </x:c>
      <x:c r="AF59" s="82" t="str">
        <x:v>采用</x:v>
      </x:c>
      <x:c r="AG59" s="82" t="str">
        <x:v>初审</x:v>
      </x:c>
      <x:c r="AH59" s="87" t="n">
        <x:v>46260</x:v>
      </x:c>
    </x:row>
    <x:row r="60">
      <x:c r="A60" s="72" t="str">
        <x:f>IF(OR(C60="",D60=""),"",B60&amp;"-"&amp;UPPER(C60)&amp;"-"&amp;TEXT(D60,"0000")&amp;"-"&amp;E60)</x:f>
        <x:v>M14-CONG-0054-V1.0</x:v>
      </x:c>
      <x:c r="B60" s="74" t="str">
        <x:v>M14</x:v>
      </x:c>
      <x:c r="C60" s="74" t="str">
        <x:v>CONG</x:v>
      </x:c>
      <x:c r="D60" s="215" t="n">
        <x:v>54</x:v>
      </x:c>
      <x:c r="E60" s="74" t="str">
        <x:v>V1.0</x:v>
      </x:c>
      <x:c r="F60" s="68" t="str">
        <x:v>印比重重且日主当令生成从强候选</x:v>
      </x:c>
      <x:c r="G60" s="82" t="str">
        <x:v>综合层</x:v>
      </x:c>
      <x:c r="H60" s="82" t="str">
        <x:v>从格</x:v>
      </x:c>
      <x:c r="I60" s="68" t="str">
        <x:v>从强格候选</x:v>
      </x:c>
      <x:c r="J60" s="68" t="str">
        <x:v>印比得令或同势</x:v>
      </x:c>
      <x:c r="K60" s="68" t="str">
        <x:v>印比透干重叠</x:v>
      </x:c>
      <x:c r="L60" s="82" t="str">
        <x:v>较清</x:v>
      </x:c>
      <x:c r="M60" s="68" t="str">
        <x:v>日主多重强根</x:v>
      </x:c>
      <x:c r="N60" s="68" t="str">
        <x:v>印比极旺</x:v>
      </x:c>
      <x:c r="O60" s="68" t="str">
        <x:v>顺印比强势</x:v>
      </x:c>
      <x:c r="P60" s="68" t="str">
        <x:v>印绶重重、比劫叠叠，财官食伤无有效逆势</x:v>
      </x:c>
      <x:c r="Q60" s="68" t="str">
        <x:v>印比形成绝对主导，财官食伤不能构成独立集团</x:v>
      </x:c>
      <x:c r="R60" s="68" t="str">
        <x:v>格神得令、有根、透达、清纯，并得到有效生扶或制化配合</x:v>
      </x:c>
      <x:c r="S60" s="68" t="str">
        <x:v>存在更强月令主气、格神功能被替代或全局主势明显转向其他结构</x:v>
      </x:c>
      <x:c r="T60" s="90" t="str">
        <x:v>格神失效、无真实功能，或候选只由单一表面十神名称产生</x:v>
      </x:c>
      <x:c r="U60" s="68" t="str">
        <x:v>特殊格局、建禄羊刃及明确从化结构另用专门规则</x:v>
      </x:c>
      <x:c r="V60" s="82" t="str">
        <x:v>候选</x:v>
      </x:c>
      <x:c r="W60" s="68" t="str">
        <x:v>正印格/偏印格/建禄候选</x:v>
      </x:c>
      <x:c r="X60" s="84" t="str">
        <x:v>从强格候选_候选</x:v>
      </x:c>
      <x:c r="Y60" s="84" t="str">
        <x:v>从强格候选列为“候选”：主要依据为月令与格神有效性；仍需M15检验成格、破格、救应与层次。</x:v>
      </x:c>
      <x:c r="Z60" s="82" t="str">
        <x:v>较高</x:v>
      </x:c>
      <x:c r="AA60" s="82" t="str">
        <x:v>子平格局</x:v>
      </x:c>
      <x:c r="AB60" s="68" t="str">
        <x:v>M14只生成和排除格局候选。候选须综合月令、透干、格神有效力量、清纯度、日主配合与全局主导性；候选成立不等于M15最终成格。</x:v>
      </x:c>
      <x:c r="AC60" s="68" t="str">
        <x:v>月令与格神有效性共同支持“从强格候选”，且没有决定性否决条件。</x:v>
      </x:c>
      <x:c r="AD60" s="90" t="str">
        <x:v>仅见相关十神或五行出现，但月令、格神有效性或全局主导性不成立，不能直接列“从强格候选”。</x:v>
      </x:c>
      <x:c r="AE60" s="68" t="str">
        <x:v>https://zh.wikisource.org/wiki/%E6%BB%B4%E5%A4%A9%E9%AB%93%E9%97%A1%E5%BE%AE ; https://zh.wikisource.org/zh-hans/%E6%BB%B4%E5%A4%A9%E9%AB%93</x:v>
      </x:c>
      <x:c r="AF60" s="82" t="str">
        <x:v>采用</x:v>
      </x:c>
      <x:c r="AG60" s="82" t="str">
        <x:v>初审</x:v>
      </x:c>
      <x:c r="AH60" s="87" t="n">
        <x:v>46260</x:v>
      </x:c>
    </x:row>
    <x:row r="61">
      <x:c r="A61" s="72" t="str">
        <x:f>IF(OR(C61="",D61=""),"",B61&amp;"-"&amp;UPPER(C61)&amp;"-"&amp;TEXT(D61,"0000")&amp;"-"&amp;E61)</x:f>
        <x:v>M14-CONG-0055-V1.0</x:v>
      </x:c>
      <x:c r="B61" s="74" t="str">
        <x:v>M14</x:v>
      </x:c>
      <x:c r="C61" s="74" t="str">
        <x:v>CONG</x:v>
      </x:c>
      <x:c r="D61" s="215" t="n">
        <x:v>55</x:v>
      </x:c>
      <x:c r="E61" s="74" t="str">
        <x:v>V1.0</x:v>
      </x:c>
      <x:c r="F61" s="68" t="str">
        <x:v>财官食伤混合成势而日主无根可生成从势候选</x:v>
      </x:c>
      <x:c r="G61" s="82" t="str">
        <x:v>综合层</x:v>
      </x:c>
      <x:c r="H61" s="82" t="str">
        <x:v>从格</x:v>
      </x:c>
      <x:c r="I61" s="68" t="str">
        <x:v>从势格候选</x:v>
      </x:c>
      <x:c r="J61" s="68" t="str">
        <x:v>异党多类共同主导，月令支持其中主势</x:v>
      </x:c>
      <x:c r="K61" s="68" t="str">
        <x:v>透干可增强候选，但不作为所有格局的绝对唯一条件</x:v>
      </x:c>
      <x:c r="L61" s="82" t="str">
        <x:v>有杂</x:v>
      </x:c>
      <x:c r="M61" s="68" t="str">
        <x:v>日主无有效根</x:v>
      </x:c>
      <x:c r="N61" s="68" t="str">
        <x:v>日主极弱</x:v>
      </x:c>
      <x:c r="O61" s="68" t="str">
        <x:v>日主不能自立，也不能专从单一十神</x:v>
      </x:c>
      <x:c r="P61" s="68" t="str">
        <x:v>财官食伤均旺或形成连续生化，印比不助身</x:v>
      </x:c>
      <x:c r="Q61" s="68" t="str">
        <x:v>异党整体气势一致；日主孤立；不能归入单一从财、从官杀或从儿</x:v>
      </x:c>
      <x:c r="R61" s="68" t="str">
        <x:v>格神得令、有根、透达、清纯，并得到有效生扶或制化配合</x:v>
      </x:c>
      <x:c r="S61" s="68" t="str">
        <x:v>存在更强月令主气、格神功能被替代或全局主势明显转向其他结构</x:v>
      </x:c>
      <x:c r="T61" s="90" t="str">
        <x:v>格神失效、无真实功能，或候选只由单一表面十神名称产生</x:v>
      </x:c>
      <x:c r="U61" s="68" t="str">
        <x:v>特殊格局、建禄羊刃及明确从化结构另用专门规则</x:v>
      </x:c>
      <x:c r="V61" s="82" t="str">
        <x:v>候选</x:v>
      </x:c>
      <x:c r="W61" s="68" t="str">
        <x:v>从财/从官杀/从儿候选</x:v>
      </x:c>
      <x:c r="X61" s="84" t="str">
        <x:v>从势格候选_候选</x:v>
      </x:c>
      <x:c r="Y61" s="84" t="str">
        <x:v>从势格候选列为“候选”：主要依据为月令与格神有效性；仍需M15检验成格、破格、救应与层次。</x:v>
      </x:c>
      <x:c r="Z61" s="82" t="str">
        <x:v>较高</x:v>
      </x:c>
      <x:c r="AA61" s="82" t="str">
        <x:v>子平格局</x:v>
      </x:c>
      <x:c r="AB61" s="68" t="str">
        <x:v>M14只生成和排除格局候选。候选须综合月令、透干、格神有效力量、清纯度、日主配合与全局主导性；候选成立不等于M15最终成格。</x:v>
      </x:c>
      <x:c r="AC61" s="68" t="str">
        <x:v>月令与格神有效性共同支持“从势格候选”，且没有决定性否决条件。</x:v>
      </x:c>
      <x:c r="AD61" s="90" t="str">
        <x:v>仅见相关十神或五行出现，但月令、格神有效性或全局主导性不成立，不能直接列“从势格候选”。</x:v>
      </x:c>
      <x:c r="AE61" s="68" t="str">
        <x:v>https://zh.wikisource.org/wiki/%E6%BB%B4%E5%A4%A9%E9%AB%93%E9%97%A1%E5%BE%AE ; https://zh.wikisource.org/zh-hans/%E6%BB%B4%E5%A4%A9%E9%AB%93</x:v>
      </x:c>
      <x:c r="AF61" s="82" t="str">
        <x:v>采用</x:v>
      </x:c>
      <x:c r="AG61" s="82" t="str">
        <x:v>初审</x:v>
      </x:c>
      <x:c r="AH61" s="87" t="n">
        <x:v>46260</x:v>
      </x:c>
    </x:row>
    <x:row r="62">
      <x:c r="A62" s="72" t="str">
        <x:f>IF(OR(C62="",D62=""),"",B62&amp;"-"&amp;UPPER(C62)&amp;"-"&amp;TEXT(D62,"0000")&amp;"-"&amp;E62)</x:f>
        <x:v>M14-CONG-0056-V1.0</x:v>
      </x:c>
      <x:c r="B62" s="74" t="str">
        <x:v>M14</x:v>
      </x:c>
      <x:c r="C62" s="74" t="str">
        <x:v>CONG</x:v>
      </x:c>
      <x:c r="D62" s="215" t="n">
        <x:v>56</x:v>
      </x:c>
      <x:c r="E62" s="74" t="str">
        <x:v>V1.0</x:v>
      </x:c>
      <x:c r="F62" s="68" t="str">
        <x:v>残根或微弱印比存在时只能生成假从候选</x:v>
      </x:c>
      <x:c r="G62" s="82" t="str">
        <x:v>综合层</x:v>
      </x:c>
      <x:c r="H62" s="82" t="str">
        <x:v>从格</x:v>
      </x:c>
      <x:c r="I62" s="68" t="str">
        <x:v>假从候选</x:v>
      </x:c>
      <x:c r="J62" s="68" t="str">
        <x:v>全局主势明显，但日主仍有微根或微弱生扶</x:v>
      </x:c>
      <x:c r="K62" s="68" t="str">
        <x:v>透干可增强候选，但不作为所有格局的绝对唯一条件</x:v>
      </x:c>
      <x:c r="L62" s="82" t="str">
        <x:v>待定</x:v>
      </x:c>
      <x:c r="M62" s="68" t="str">
        <x:v>残根、受损根或低效印比</x:v>
      </x:c>
      <x:c r="N62" s="68" t="str">
        <x:v>日主弱极弱</x:v>
      </x:c>
      <x:c r="O62" s="68" t="str">
        <x:v>日主有少量反向证据但不足自立</x:v>
      </x:c>
      <x:c r="P62" s="68" t="str">
        <x:v>大势近从，但不满足真从无依硬门槛</x:v>
      </x:c>
      <x:c r="Q62" s="68" t="str">
        <x:v>保留反向根气和生扶，禁止标记真从</x:v>
      </x:c>
      <x:c r="R62" s="68" t="str">
        <x:v>格神得令、有根、透达、清纯，并得到有效生扶或制化配合</x:v>
      </x:c>
      <x:c r="S62" s="68" t="str">
        <x:v>存在更强月令主气、格神功能被替代或全局主势明显转向其他结构</x:v>
      </x:c>
      <x:c r="T62" s="90" t="str">
        <x:v>格神失效、无真实功能，或候选只由单一表面十神名称产生</x:v>
      </x:c>
      <x:c r="U62" s="68" t="str">
        <x:v>特殊格局、建禄羊刃及明确从化结构另用专门规则</x:v>
      </x:c>
      <x:c r="V62" s="82" t="str">
        <x:v>候选</x:v>
      </x:c>
      <x:c r="W62" s="68" t="str">
        <x:v>普通身弱格局/真从候选</x:v>
      </x:c>
      <x:c r="X62" s="84" t="str">
        <x:v>假从_候选</x:v>
      </x:c>
      <x:c r="Y62" s="84" t="str">
        <x:v>假从候选列为“候选”：主要依据为月令与格神有效性；仍需M15检验成格、破格、救应与层次。</x:v>
      </x:c>
      <x:c r="Z62" s="82" t="str">
        <x:v>中等</x:v>
      </x:c>
      <x:c r="AA62" s="82" t="str">
        <x:v>子平格局</x:v>
      </x:c>
      <x:c r="AB62" s="68" t="str">
        <x:v>M14只生成和排除格局候选。候选须综合月令、透干、格神有效力量、清纯度、日主配合与全局主导性；候选成立不等于M15最终成格。</x:v>
      </x:c>
      <x:c r="AC62" s="68" t="str">
        <x:v>月令与格神有效性共同支持“假从候选”，且没有决定性否决条件。</x:v>
      </x:c>
      <x:c r="AD62" s="90" t="str">
        <x:v>仅见相关十神或五行出现，但月令、格神有效性或全局主导性不成立，不能直接列“假从候选”。</x:v>
      </x:c>
      <x:c r="AE62" s="68" t="str">
        <x:v>https://zh.wikisource.org/wiki/%E6%BB%B4%E5%A4%A9%E9%AB%93%E9%97%A1%E5%BE%AE ; https://zh.wikisource.org/zh-hans/%E6%BB%B4%E5%A4%A9%E9%AB%93</x:v>
      </x:c>
      <x:c r="AF62" s="82" t="str">
        <x:v>待验证</x:v>
      </x:c>
      <x:c r="AG62" s="82" t="str">
        <x:v>初审</x:v>
      </x:c>
      <x:c r="AH62" s="87" t="n">
        <x:v>46260</x:v>
      </x:c>
    </x:row>
    <x:row r="63">
      <x:c r="A63" s="72" t="str">
        <x:f>IF(OR(C63="",D63=""),"",B63&amp;"-"&amp;UPPER(C63)&amp;"-"&amp;TEXT(D63,"0000")&amp;"-"&amp;E63)</x:f>
        <x:v>M14-CONG-0057-V1.0</x:v>
      </x:c>
      <x:c r="B63" s="74" t="str">
        <x:v>M14</x:v>
      </x:c>
      <x:c r="C63" s="74" t="str">
        <x:v>CONG</x:v>
      </x:c>
      <x:c r="D63" s="215" t="n">
        <x:v>57</x:v>
      </x:c>
      <x:c r="E63" s="74" t="str">
        <x:v>V1.0</x:v>
      </x:c>
      <x:c r="F63" s="68" t="str">
        <x:v>一枚有效强根或有力印比可否决真从候选</x:v>
      </x:c>
      <x:c r="G63" s="82" t="str">
        <x:v>综合层</x:v>
      </x:c>
      <x:c r="H63" s="82" t="str">
        <x:v>从格</x:v>
      </x:c>
      <x:c r="I63" s="68" t="str">
        <x:v>从格通用候选</x:v>
      </x:c>
      <x:c r="J63" s="68" t="str">
        <x:v>表面异党成势</x:v>
      </x:c>
      <x:c r="K63" s="68" t="str">
        <x:v>透干可增强候选，但不作为所有格局的绝对唯一条件</x:v>
      </x:c>
      <x:c r="L63" s="82" t="str">
        <x:v>待定</x:v>
      </x:c>
      <x:c r="M63" s="68" t="str">
        <x:v>日主存在可调用强根</x:v>
      </x:c>
      <x:c r="N63" s="68" t="str">
        <x:v>日主至少中和偏弱以上</x:v>
      </x:c>
      <x:c r="O63" s="68" t="str">
        <x:v>日主仍具独立承载</x:v>
      </x:c>
      <x:c r="P63" s="68" t="str">
        <x:v>从格表面条件存在</x:v>
      </x:c>
      <x:c r="Q63" s="68" t="str">
        <x:v>不适用</x:v>
      </x:c>
      <x:c r="R63" s="68" t="str">
        <x:v>格神得令、有根、透达、清纯，并得到有效生扶或制化配合</x:v>
      </x:c>
      <x:c r="S63" s="68" t="str">
        <x:v>存在更强月令主气、格神功能被替代或全局主势明显转向其他结构</x:v>
      </x:c>
      <x:c r="T63" s="90" t="str">
        <x:v>有效强根、当令印比或稳定生扶足以使日主自立</x:v>
      </x:c>
      <x:c r="U63" s="68" t="str">
        <x:v>特殊格局、建禄羊刃及明确从化结构另用专门规则</x:v>
      </x:c>
      <x:c r="V63" s="82" t="str">
        <x:v>不成立</x:v>
      </x:c>
      <x:c r="W63" s="68" t="str">
        <x:v>普通身弱/中和格局</x:v>
      </x:c>
      <x:c r="X63" s="84" t="str">
        <x:v>真从_强根否决</x:v>
      </x:c>
      <x:c r="Y63" s="84" t="str">
        <x:v>从格通用候选列为“不成立”：主要依据为月令与格神有效性；仍需M15检验成格、破格、救应与层次。</x:v>
      </x:c>
      <x:c r="Z63" s="82" t="str">
        <x:v>较高</x:v>
      </x:c>
      <x:c r="AA63" s="82" t="str">
        <x:v>子平格局</x:v>
      </x:c>
      <x:c r="AB63" s="68" t="str">
        <x:v>M14只生成和排除格局候选。候选须综合月令、透干、格神有效力量、清纯度、日主配合与全局主导性；候选成立不等于M15最终成格。</x:v>
      </x:c>
      <x:c r="AC63" s="68" t="str">
        <x:v>月令与格神有效性共同支持“从格通用候选”，且没有决定性否决条件。</x:v>
      </x:c>
      <x:c r="AD63" s="90" t="str">
        <x:v>仅见相关十神或五行出现，但月令、格神有效性或全局主导性不成立，不能直接列“从格通用候选”。</x:v>
      </x:c>
      <x:c r="AE63" s="68" t="str">
        <x:v>https://zh.wikisource.org/wiki/%E6%BB%B4%E5%A4%A9%E9%AB%93%E9%97%A1%E5%BE%AE ; https://zh.wikisource.org/zh-hans/%E6%BB%B4%E5%A4%A9%E9%AB%93</x:v>
      </x:c>
      <x:c r="AF63" s="82" t="str">
        <x:v>采用</x:v>
      </x:c>
      <x:c r="AG63" s="82" t="str">
        <x:v>初审</x:v>
      </x:c>
      <x:c r="AH63" s="87" t="n">
        <x:v>46260</x:v>
      </x:c>
    </x:row>
    <x:row r="64">
      <x:c r="A64" s="72" t="str">
        <x:f>IF(OR(C64="",D64=""),"",B64&amp;"-"&amp;UPPER(C64)&amp;"-"&amp;TEXT(D64,"0000")&amp;"-"&amp;E64)</x:f>
        <x:v>M14-CONG-0058-V1.0</x:v>
      </x:c>
      <x:c r="B64" s="74" t="str">
        <x:v>M14</x:v>
      </x:c>
      <x:c r="C64" s="74" t="str">
        <x:v>CONG</x:v>
      </x:c>
      <x:c r="D64" s="215" t="n">
        <x:v>58</x:v>
      </x:c>
      <x:c r="E64" s="74" t="str">
        <x:v>V1.0</x:v>
      </x:c>
      <x:c r="F64" s="68" t="str">
        <x:v>身弱不等于从格</x:v>
      </x:c>
      <x:c r="G64" s="82" t="str">
        <x:v>综合层</x:v>
      </x:c>
      <x:c r="H64" s="82" t="str">
        <x:v>从格</x:v>
      </x:c>
      <x:c r="I64" s="68" t="str">
        <x:v>从格通用候选</x:v>
      </x:c>
      <x:c r="J64" s="68" t="str">
        <x:v>日主失令或偏弱</x:v>
      </x:c>
      <x:c r="K64" s="68" t="str">
        <x:v>透干可增强候选，但不作为所有格局的绝对唯一条件</x:v>
      </x:c>
      <x:c r="L64" s="82" t="str">
        <x:v>待定</x:v>
      </x:c>
      <x:c r="M64" s="68" t="str">
        <x:v>可能仍有根</x:v>
      </x:c>
      <x:c r="N64" s="68" t="str">
        <x:v>日主弱</x:v>
      </x:c>
      <x:c r="O64" s="68" t="str">
        <x:v>仍能借印比、根气或制化维持承载</x:v>
      </x:c>
      <x:c r="P64" s="68" t="str">
        <x:v>只有普通身弱证据，未达到孤立无气</x:v>
      </x:c>
      <x:c r="Q64" s="68" t="str">
        <x:v>不适用</x:v>
      </x:c>
      <x:c r="R64" s="68" t="str">
        <x:v>格神得令、有根、透达、清纯，并得到有效生扶或制化配合</x:v>
      </x:c>
      <x:c r="S64" s="68" t="str">
        <x:v>存在更强月令主气、格神功能被替代或全局主势明显转向其他结构</x:v>
      </x:c>
      <x:c r="T64" s="90" t="str">
        <x:v>未达到极弱无依和主势绝对集中</x:v>
      </x:c>
      <x:c r="U64" s="68" t="str">
        <x:v>特殊格局、建禄羊刃及明确从化结构另用专门规则</x:v>
      </x:c>
      <x:c r="V64" s="82" t="str">
        <x:v>不成立</x:v>
      </x:c>
      <x:c r="W64" s="68" t="str">
        <x:v>普通格局候选</x:v>
      </x:c>
      <x:c r="X64" s="84" t="str">
        <x:v>身弱非从格</x:v>
      </x:c>
      <x:c r="Y64" s="84" t="str">
        <x:v>从格通用候选列为“不成立”：主要依据为月令与格神有效性；仍需M15检验成格、破格、救应与层次。</x:v>
      </x:c>
      <x:c r="Z64" s="82" t="str">
        <x:v>较高</x:v>
      </x:c>
      <x:c r="AA64" s="82" t="str">
        <x:v>子平格局</x:v>
      </x:c>
      <x:c r="AB64" s="68" t="str">
        <x:v>M14只生成和排除格局候选。候选须综合月令、透干、格神有效力量、清纯度、日主配合与全局主导性；候选成立不等于M15最终成格。</x:v>
      </x:c>
      <x:c r="AC64" s="68" t="str">
        <x:v>月令与格神有效性共同支持“从格通用候选”，且没有决定性否决条件。</x:v>
      </x:c>
      <x:c r="AD64" s="90" t="str">
        <x:v>仅见相关十神或五行出现，但月令、格神有效性或全局主导性不成立，不能直接列“从格通用候选”。</x:v>
      </x:c>
      <x:c r="AE64" s="68" t="str">
        <x:v>https://zh.wikisource.org/wiki/%E6%BB%B4%E5%A4%A9%E9%AB%93%E9%97%A1%E5%BE%AE ; https://zh.wikisource.org/zh-hans/%E6%BB%B4%E5%A4%A9%E9%AB%93</x:v>
      </x:c>
      <x:c r="AF64" s="82" t="str">
        <x:v>采用</x:v>
      </x:c>
      <x:c r="AG64" s="82" t="str">
        <x:v>初审</x:v>
      </x:c>
      <x:c r="AH64" s="87" t="n">
        <x:v>46260</x:v>
      </x:c>
    </x:row>
    <x:row r="65">
      <x:c r="A65" s="72" t="str">
        <x:f>IF(OR(C65="",D65=""),"",B65&amp;"-"&amp;UPPER(C65)&amp;"-"&amp;TEXT(D65,"0000")&amp;"-"&amp;E65)</x:f>
        <x:v>M14-HUAQI-0059-V1.0</x:v>
      </x:c>
      <x:c r="B65" s="74" t="str">
        <x:v>M14</x:v>
      </x:c>
      <x:c r="C65" s="74" t="str">
        <x:v>HUAQI</x:v>
      </x:c>
      <x:c r="D65" s="215" t="n">
        <x:v>59</x:v>
      </x:c>
      <x:c r="E65" s="74" t="str">
        <x:v>V1.0</x:v>
      </x:c>
      <x:c r="F65" s="68" t="str">
        <x:v>日主参与天干五合并满足化神主导才生成化气候选</x:v>
      </x:c>
      <x:c r="G65" s="82" t="str">
        <x:v>综合层</x:v>
      </x:c>
      <x:c r="H65" s="82" t="str">
        <x:v>化气格</x:v>
      </x:c>
      <x:c r="I65" s="68" t="str">
        <x:v>化气格通用候选</x:v>
      </x:c>
      <x:c r="J65" s="68" t="str">
        <x:v>化神得令、得势或获得强季节支持</x:v>
      </x:c>
      <x:c r="K65" s="68" t="str">
        <x:v>日主与相合天干真实相合，且M06仅在具备实质合化条件时确认</x:v>
      </x:c>
      <x:c r="L65" s="82" t="str">
        <x:v>较清</x:v>
      </x:c>
      <x:c r="M65" s="68" t="str">
        <x:v>日主原气无强根或强根不足以抗化</x:v>
      </x:c>
      <x:c r="N65" s="68" t="str">
        <x:v>化神旺</x:v>
      </x:c>
      <x:c r="O65" s="68" t="str">
        <x:v>日主顺从化神，不保留强烈本气自立</x:v>
      </x:c>
      <x:c r="P65" s="68" t="str">
        <x:v>日主参与五合，化神得令成势，原气弱，破化因素不足</x:v>
      </x:c>
      <x:c r="Q65" s="68" t="str">
        <x:v>日主参与固定五合；化神得令/成势；原气无强根；无强争合、强克、冲破或逆势集团</x:v>
      </x:c>
      <x:c r="R65" s="68" t="str">
        <x:v>格神得令、有根、透达、清纯，并得到有效生扶或制化配合</x:v>
      </x:c>
      <x:c r="S65" s="68" t="str">
        <x:v>存在更强月令主气、格神功能被替代或全局主势明显转向其他结构</x:v>
      </x:c>
      <x:c r="T65" s="90" t="str">
        <x:v>格神失效、无真实功能，或候选只由单一表面十神名称产生</x:v>
      </x:c>
      <x:c r="U65" s="68" t="str">
        <x:v>特殊格局、建禄羊刃及明确从化结构另用专门规则</x:v>
      </x:c>
      <x:c r="V65" s="82" t="str">
        <x:v>候选</x:v>
      </x:c>
      <x:c r="W65" s="68" t="str">
        <x:v>普通合绊/合而不化/假化候选</x:v>
      </x:c>
      <x:c r="X65" s="84" t="str">
        <x:v>化气格_通用硬门槛</x:v>
      </x:c>
      <x:c r="Y65" s="84" t="str">
        <x:v>化气格通用候选列为“候选”：主要依据为月令与格神有效性；仍需M15检验成格、破格、救应与层次。</x:v>
      </x:c>
      <x:c r="Z65" s="82" t="str">
        <x:v>较高</x:v>
      </x:c>
      <x:c r="AA65" s="82" t="str">
        <x:v>子平格局</x:v>
      </x:c>
      <x:c r="AB65" s="68" t="str">
        <x:v>M14只生成和排除格局候选。候选须综合月令、透干、格神有效力量、清纯度、日主配合与全局主导性；候选成立不等于M15最终成格。</x:v>
      </x:c>
      <x:c r="AC65" s="68" t="str">
        <x:v>月令与格神有效性共同支持“化气格通用候选”，且没有决定性否决条件。</x:v>
      </x:c>
      <x:c r="AD65" s="90" t="str">
        <x:v>仅见相关十神或五行出现，但月令、格神有效性或全局主导性不成立，不能直接列“化气格通用候选”。</x:v>
      </x:c>
      <x:c r="AE65" s="68" t="str">
        <x:v>https://zh.wikisource.org/wiki/%E6%BB%B4%E5%A4%A9%E9%AB%93%E9%97%A1%E5%BE%AE ; https://zh.wikisource.org/zh-hans/%E6%BB%B4%E5%A4%A9%E9%AB%93</x:v>
      </x:c>
      <x:c r="AF65" s="82" t="str">
        <x:v>采用</x:v>
      </x:c>
      <x:c r="AG65" s="82" t="str">
        <x:v>初审</x:v>
      </x:c>
      <x:c r="AH65" s="87" t="n">
        <x:v>46260</x:v>
      </x:c>
    </x:row>
    <x:row r="66">
      <x:c r="A66" s="72" t="str">
        <x:f>IF(OR(C66="",D66=""),"",B66&amp;"-"&amp;UPPER(C66)&amp;"-"&amp;TEXT(D66,"0000")&amp;"-"&amp;E66)</x:f>
        <x:v>M14-HUAQI-0060-V1.0</x:v>
      </x:c>
      <x:c r="B66" s="74" t="str">
        <x:v>M14</x:v>
      </x:c>
      <x:c r="C66" s="74" t="str">
        <x:v>HUAQI</x:v>
      </x:c>
      <x:c r="D66" s="215" t="n">
        <x:v>60</x:v>
      </x:c>
      <x:c r="E66" s="74" t="str">
        <x:v>V1.0</x:v>
      </x:c>
      <x:c r="F66" s="68" t="str">
        <x:v>甲己相合生成化土候选</x:v>
      </x:c>
      <x:c r="G66" s="82" t="str">
        <x:v>综合层</x:v>
      </x:c>
      <x:c r="H66" s="82" t="str">
        <x:v>化气格</x:v>
      </x:c>
      <x:c r="I66" s="68" t="str">
        <x:v>甲己化土格候选</x:v>
      </x:c>
      <x:c r="J66" s="68" t="str">
        <x:v>土得令、得势或全局气势明显转向土</x:v>
      </x:c>
      <x:c r="K66" s="68" t="str">
        <x:v>日主为甲己之一，并与另一干形成真实合化候选</x:v>
      </x:c>
      <x:c r="L66" s="82" t="str">
        <x:v>较清</x:v>
      </x:c>
      <x:c r="M66" s="68" t="str">
        <x:v>日主原五行无强根或强根受制</x:v>
      </x:c>
      <x:c r="N66" s="68" t="str">
        <x:v>土旺或中和偏旺</x:v>
      </x:c>
      <x:c r="O66" s="68" t="str">
        <x:v>日主不能以原五行独立自立，顺从土势</x:v>
      </x:c>
      <x:c r="P66" s="68" t="str">
        <x:v>M06确认甲己合化条件高度具备，M08显示力量向土重分配</x:v>
      </x:c>
      <x:c r="Q66" s="68" t="str">
        <x:v>化神土有令有势；原气不强；无决定性破化；辰等引化条件仅作流派证据而非机械充分条件</x:v>
      </x:c>
      <x:c r="R66" s="68" t="str">
        <x:v>格神得令、有根、透达、清纯，并得到有效生扶或制化配合</x:v>
      </x:c>
      <x:c r="S66" s="68" t="str">
        <x:v>存在更强月令主气、格神功能被替代或全局主势明显转向其他结构</x:v>
      </x:c>
      <x:c r="T66" s="90" t="str">
        <x:v>格神失效、无真实功能，或候选只由单一表面十神名称产生</x:v>
      </x:c>
      <x:c r="U66" s="68" t="str">
        <x:v>特殊格局、建禄羊刃及明确从化结构另用专门规则</x:v>
      </x:c>
      <x:c r="V66" s="82" t="str">
        <x:v>候选</x:v>
      </x:c>
      <x:c r="W66" s="68" t="str">
        <x:v>合而不化/假化候选</x:v>
      </x:c>
      <x:c r="X66" s="84" t="str">
        <x:v>甲己化土_候选</x:v>
      </x:c>
      <x:c r="Y66" s="84" t="str">
        <x:v>甲己化土格候选列为“候选”：主要依据为月令与格神有效性；仍需M15检验成格、破格、救应与层次。</x:v>
      </x:c>
      <x:c r="Z66" s="82" t="str">
        <x:v>中等</x:v>
      </x:c>
      <x:c r="AA66" s="82" t="str">
        <x:v>子平格局</x:v>
      </x:c>
      <x:c r="AB66" s="68" t="str">
        <x:v>M14只生成和排除格局候选。候选须综合月令、透干、格神有效力量、清纯度、日主配合与全局主导性；候选成立不等于M15最终成格。</x:v>
      </x:c>
      <x:c r="AC66" s="68" t="str">
        <x:v>月令与格神有效性共同支持“甲己化土格候选”，且没有决定性否决条件。</x:v>
      </x:c>
      <x:c r="AD66" s="90" t="str">
        <x:v>仅见相关十神或五行出现，但月令、格神有效性或全局主导性不成立，不能直接列“甲己化土格候选”。</x:v>
      </x:c>
      <x:c r="AE66" s="68" t="str">
        <x:v>https://zh.wikisource.org/wiki/%E6%BB%B4%E5%A4%A9%E9%AB%93%E9%97%A1%E5%BE%AE ; https://zh.wikisource.org/zh-hans/%E6%BB%B4%E5%A4%A9%E9%AB%93</x:v>
      </x:c>
      <x:c r="AF66" s="82" t="str">
        <x:v>采用</x:v>
      </x:c>
      <x:c r="AG66" s="82" t="str">
        <x:v>初审</x:v>
      </x:c>
      <x:c r="AH66" s="87" t="n">
        <x:v>46260</x:v>
      </x:c>
    </x:row>
    <x:row r="67">
      <x:c r="A67" s="72" t="str">
        <x:f>IF(OR(C67="",D67=""),"",B67&amp;"-"&amp;UPPER(C67)&amp;"-"&amp;TEXT(D67,"0000")&amp;"-"&amp;E67)</x:f>
        <x:v>M14-HUAQI-0061-V1.0</x:v>
      </x:c>
      <x:c r="B67" s="74" t="str">
        <x:v>M14</x:v>
      </x:c>
      <x:c r="C67" s="74" t="str">
        <x:v>HUAQI</x:v>
      </x:c>
      <x:c r="D67" s="215" t="n">
        <x:v>61</x:v>
      </x:c>
      <x:c r="E67" s="74" t="str">
        <x:v>V1.0</x:v>
      </x:c>
      <x:c r="F67" s="68" t="str">
        <x:v>乙庚相合生成化金候选</x:v>
      </x:c>
      <x:c r="G67" s="82" t="str">
        <x:v>综合层</x:v>
      </x:c>
      <x:c r="H67" s="82" t="str">
        <x:v>化气格</x:v>
      </x:c>
      <x:c r="I67" s="68" t="str">
        <x:v>乙庚化金格候选</x:v>
      </x:c>
      <x:c r="J67" s="68" t="str">
        <x:v>金得令、得势或全局气势明显转向金</x:v>
      </x:c>
      <x:c r="K67" s="68" t="str">
        <x:v>日主为乙庚之一，并与另一干形成真实合化候选</x:v>
      </x:c>
      <x:c r="L67" s="82" t="str">
        <x:v>较清</x:v>
      </x:c>
      <x:c r="M67" s="68" t="str">
        <x:v>日主原五行无强根或强根受制</x:v>
      </x:c>
      <x:c r="N67" s="68" t="str">
        <x:v>金旺或中和偏旺</x:v>
      </x:c>
      <x:c r="O67" s="68" t="str">
        <x:v>日主不能以原五行独立自立，顺从金势</x:v>
      </x:c>
      <x:c r="P67" s="68" t="str">
        <x:v>M06确认乙庚合化条件高度具备，M08显示力量向金重分配</x:v>
      </x:c>
      <x:c r="Q67" s="68" t="str">
        <x:v>化神金有令有势；原气不强；无决定性破化；辰等引化条件仅作流派证据而非机械充分条件</x:v>
      </x:c>
      <x:c r="R67" s="68" t="str">
        <x:v>格神得令、有根、透达、清纯，并得到有效生扶或制化配合</x:v>
      </x:c>
      <x:c r="S67" s="68" t="str">
        <x:v>存在更强月令主气、格神功能被替代或全局主势明显转向其他结构</x:v>
      </x:c>
      <x:c r="T67" s="90" t="str">
        <x:v>格神失效、无真实功能，或候选只由单一表面十神名称产生</x:v>
      </x:c>
      <x:c r="U67" s="68" t="str">
        <x:v>特殊格局、建禄羊刃及明确从化结构另用专门规则</x:v>
      </x:c>
      <x:c r="V67" s="82" t="str">
        <x:v>候选</x:v>
      </x:c>
      <x:c r="W67" s="68" t="str">
        <x:v>合而不化/假化候选</x:v>
      </x:c>
      <x:c r="X67" s="84" t="str">
        <x:v>乙庚化金_候选</x:v>
      </x:c>
      <x:c r="Y67" s="84" t="str">
        <x:v>乙庚化金格候选列为“候选”：主要依据为月令与格神有效性；仍需M15检验成格、破格、救应与层次。</x:v>
      </x:c>
      <x:c r="Z67" s="82" t="str">
        <x:v>中等</x:v>
      </x:c>
      <x:c r="AA67" s="82" t="str">
        <x:v>子平格局</x:v>
      </x:c>
      <x:c r="AB67" s="68" t="str">
        <x:v>M14只生成和排除格局候选。候选须综合月令、透干、格神有效力量、清纯度、日主配合与全局主导性；候选成立不等于M15最终成格。</x:v>
      </x:c>
      <x:c r="AC67" s="68" t="str">
        <x:v>月令与格神有效性共同支持“乙庚化金格候选”，且没有决定性否决条件。</x:v>
      </x:c>
      <x:c r="AD67" s="90" t="str">
        <x:v>仅见相关十神或五行出现，但月令、格神有效性或全局主导性不成立，不能直接列“乙庚化金格候选”。</x:v>
      </x:c>
      <x:c r="AE67" s="68" t="str">
        <x:v>https://zh.wikisource.org/wiki/%E6%BB%B4%E5%A4%A9%E9%AB%93%E9%97%A1%E5%BE%AE ; https://zh.wikisource.org/zh-hans/%E6%BB%B4%E5%A4%A9%E9%AB%93</x:v>
      </x:c>
      <x:c r="AF67" s="82" t="str">
        <x:v>采用</x:v>
      </x:c>
      <x:c r="AG67" s="82" t="str">
        <x:v>初审</x:v>
      </x:c>
      <x:c r="AH67" s="87" t="n">
        <x:v>46260</x:v>
      </x:c>
    </x:row>
    <x:row r="68">
      <x:c r="A68" s="72" t="str">
        <x:f>IF(OR(C68="",D68=""),"",B68&amp;"-"&amp;UPPER(C68)&amp;"-"&amp;TEXT(D68,"0000")&amp;"-"&amp;E68)</x:f>
        <x:v>M14-HUAQI-0062-V1.0</x:v>
      </x:c>
      <x:c r="B68" s="74" t="str">
        <x:v>M14</x:v>
      </x:c>
      <x:c r="C68" s="74" t="str">
        <x:v>HUAQI</x:v>
      </x:c>
      <x:c r="D68" s="215" t="n">
        <x:v>62</x:v>
      </x:c>
      <x:c r="E68" s="74" t="str">
        <x:v>V1.0</x:v>
      </x:c>
      <x:c r="F68" s="68" t="str">
        <x:v>丙辛相合生成化水候选</x:v>
      </x:c>
      <x:c r="G68" s="82" t="str">
        <x:v>综合层</x:v>
      </x:c>
      <x:c r="H68" s="82" t="str">
        <x:v>化气格</x:v>
      </x:c>
      <x:c r="I68" s="68" t="str">
        <x:v>丙辛化水格候选</x:v>
      </x:c>
      <x:c r="J68" s="68" t="str">
        <x:v>水得令、得势或全局气势明显转向水</x:v>
      </x:c>
      <x:c r="K68" s="68" t="str">
        <x:v>日主为丙辛之一，并与另一干形成真实合化候选</x:v>
      </x:c>
      <x:c r="L68" s="82" t="str">
        <x:v>较清</x:v>
      </x:c>
      <x:c r="M68" s="68" t="str">
        <x:v>日主原五行无强根或强根受制</x:v>
      </x:c>
      <x:c r="N68" s="68" t="str">
        <x:v>水旺或中和偏旺</x:v>
      </x:c>
      <x:c r="O68" s="68" t="str">
        <x:v>日主不能以原五行独立自立，顺从水势</x:v>
      </x:c>
      <x:c r="P68" s="68" t="str">
        <x:v>M06确认丙辛合化条件高度具备，M08显示力量向水重分配</x:v>
      </x:c>
      <x:c r="Q68" s="68" t="str">
        <x:v>化神水有令有势；原气不强；无决定性破化；辰等引化条件仅作流派证据而非机械充分条件</x:v>
      </x:c>
      <x:c r="R68" s="68" t="str">
        <x:v>格神得令、有根、透达、清纯，并得到有效生扶或制化配合</x:v>
      </x:c>
      <x:c r="S68" s="68" t="str">
        <x:v>存在更强月令主气、格神功能被替代或全局主势明显转向其他结构</x:v>
      </x:c>
      <x:c r="T68" s="90" t="str">
        <x:v>格神失效、无真实功能，或候选只由单一表面十神名称产生</x:v>
      </x:c>
      <x:c r="U68" s="68" t="str">
        <x:v>特殊格局、建禄羊刃及明确从化结构另用专门规则</x:v>
      </x:c>
      <x:c r="V68" s="82" t="str">
        <x:v>候选</x:v>
      </x:c>
      <x:c r="W68" s="68" t="str">
        <x:v>合而不化/假化候选</x:v>
      </x:c>
      <x:c r="X68" s="84" t="str">
        <x:v>丙辛化水_候选</x:v>
      </x:c>
      <x:c r="Y68" s="84" t="str">
        <x:v>丙辛化水格候选列为“候选”：主要依据为月令与格神有效性；仍需M15检验成格、破格、救应与层次。</x:v>
      </x:c>
      <x:c r="Z68" s="82" t="str">
        <x:v>中等</x:v>
      </x:c>
      <x:c r="AA68" s="82" t="str">
        <x:v>子平格局</x:v>
      </x:c>
      <x:c r="AB68" s="68" t="str">
        <x:v>M14只生成和排除格局候选。候选须综合月令、透干、格神有效力量、清纯度、日主配合与全局主导性；候选成立不等于M15最终成格。</x:v>
      </x:c>
      <x:c r="AC68" s="68" t="str">
        <x:v>月令与格神有效性共同支持“丙辛化水格候选”，且没有决定性否决条件。</x:v>
      </x:c>
      <x:c r="AD68" s="90" t="str">
        <x:v>仅见相关十神或五行出现，但月令、格神有效性或全局主导性不成立，不能直接列“丙辛化水格候选”。</x:v>
      </x:c>
      <x:c r="AE68" s="68" t="str">
        <x:v>https://zh.wikisource.org/wiki/%E6%BB%B4%E5%A4%A9%E9%AB%93%E9%97%A1%E5%BE%AE ; https://zh.wikisource.org/zh-hans/%E6%BB%B4%E5%A4%A9%E9%AB%93</x:v>
      </x:c>
      <x:c r="AF68" s="82" t="str">
        <x:v>采用</x:v>
      </x:c>
      <x:c r="AG68" s="82" t="str">
        <x:v>初审</x:v>
      </x:c>
      <x:c r="AH68" s="87" t="n">
        <x:v>46260</x:v>
      </x:c>
    </x:row>
    <x:row r="69">
      <x:c r="A69" s="72" t="str">
        <x:f>IF(OR(C69="",D69=""),"",B69&amp;"-"&amp;UPPER(C69)&amp;"-"&amp;TEXT(D69,"0000")&amp;"-"&amp;E69)</x:f>
        <x:v>M14-HUAQI-0063-V1.0</x:v>
      </x:c>
      <x:c r="B69" s="74" t="str">
        <x:v>M14</x:v>
      </x:c>
      <x:c r="C69" s="74" t="str">
        <x:v>HUAQI</x:v>
      </x:c>
      <x:c r="D69" s="215" t="n">
        <x:v>63</x:v>
      </x:c>
      <x:c r="E69" s="74" t="str">
        <x:v>V1.0</x:v>
      </x:c>
      <x:c r="F69" s="68" t="str">
        <x:v>丁壬相合生成化木候选</x:v>
      </x:c>
      <x:c r="G69" s="82" t="str">
        <x:v>综合层</x:v>
      </x:c>
      <x:c r="H69" s="82" t="str">
        <x:v>化气格</x:v>
      </x:c>
      <x:c r="I69" s="68" t="str">
        <x:v>丁壬化木格候选</x:v>
      </x:c>
      <x:c r="J69" s="68" t="str">
        <x:v>木得令、得势或全局气势明显转向木</x:v>
      </x:c>
      <x:c r="K69" s="68" t="str">
        <x:v>日主为丁壬之一，并与另一干形成真实合化候选</x:v>
      </x:c>
      <x:c r="L69" s="82" t="str">
        <x:v>较清</x:v>
      </x:c>
      <x:c r="M69" s="68" t="str">
        <x:v>日主原五行无强根或强根受制</x:v>
      </x:c>
      <x:c r="N69" s="68" t="str">
        <x:v>木旺或中和偏旺</x:v>
      </x:c>
      <x:c r="O69" s="68" t="str">
        <x:v>日主不能以原五行独立自立，顺从木势</x:v>
      </x:c>
      <x:c r="P69" s="68" t="str">
        <x:v>M06确认丁壬合化条件高度具备，M08显示力量向木重分配</x:v>
      </x:c>
      <x:c r="Q69" s="68" t="str">
        <x:v>化神木有令有势；原气不强；无决定性破化；辰等引化条件仅作流派证据而非机械充分条件</x:v>
      </x:c>
      <x:c r="R69" s="68" t="str">
        <x:v>格神得令、有根、透达、清纯，并得到有效生扶或制化配合</x:v>
      </x:c>
      <x:c r="S69" s="68" t="str">
        <x:v>存在更强月令主气、格神功能被替代或全局主势明显转向其他结构</x:v>
      </x:c>
      <x:c r="T69" s="90" t="str">
        <x:v>格神失效、无真实功能，或候选只由单一表面十神名称产生</x:v>
      </x:c>
      <x:c r="U69" s="68" t="str">
        <x:v>特殊格局、建禄羊刃及明确从化结构另用专门规则</x:v>
      </x:c>
      <x:c r="V69" s="82" t="str">
        <x:v>候选</x:v>
      </x:c>
      <x:c r="W69" s="68" t="str">
        <x:v>合而不化/假化候选</x:v>
      </x:c>
      <x:c r="X69" s="84" t="str">
        <x:v>丁壬化木_候选</x:v>
      </x:c>
      <x:c r="Y69" s="84" t="str">
        <x:v>丁壬化木格候选列为“候选”：主要依据为月令与格神有效性；仍需M15检验成格、破格、救应与层次。</x:v>
      </x:c>
      <x:c r="Z69" s="82" t="str">
        <x:v>中等</x:v>
      </x:c>
      <x:c r="AA69" s="82" t="str">
        <x:v>子平格局</x:v>
      </x:c>
      <x:c r="AB69" s="68" t="str">
        <x:v>M14只生成和排除格局候选。候选须综合月令、透干、格神有效力量、清纯度、日主配合与全局主导性；候选成立不等于M15最终成格。</x:v>
      </x:c>
      <x:c r="AC69" s="68" t="str">
        <x:v>月令与格神有效性共同支持“丁壬化木格候选”，且没有决定性否决条件。</x:v>
      </x:c>
      <x:c r="AD69" s="90" t="str">
        <x:v>仅见相关十神或五行出现，但月令、格神有效性或全局主导性不成立，不能直接列“丁壬化木格候选”。</x:v>
      </x:c>
      <x:c r="AE69" s="68" t="str">
        <x:v>https://zh.wikisource.org/wiki/%E6%BB%B4%E5%A4%A9%E9%AB%93%E9%97%A1%E5%BE%AE ; https://zh.wikisource.org/zh-hans/%E6%BB%B4%E5%A4%A9%E9%AB%93</x:v>
      </x:c>
      <x:c r="AF69" s="82" t="str">
        <x:v>采用</x:v>
      </x:c>
      <x:c r="AG69" s="82" t="str">
        <x:v>初审</x:v>
      </x:c>
      <x:c r="AH69" s="87" t="n">
        <x:v>46260</x:v>
      </x:c>
    </x:row>
    <x:row r="70">
      <x:c r="A70" s="72" t="str">
        <x:f>IF(OR(C70="",D70=""),"",B70&amp;"-"&amp;UPPER(C70)&amp;"-"&amp;TEXT(D70,"0000")&amp;"-"&amp;E70)</x:f>
        <x:v>M14-HUAQI-0064-V1.0</x:v>
      </x:c>
      <x:c r="B70" s="74" t="str">
        <x:v>M14</x:v>
      </x:c>
      <x:c r="C70" s="74" t="str">
        <x:v>HUAQI</x:v>
      </x:c>
      <x:c r="D70" s="215" t="n">
        <x:v>64</x:v>
      </x:c>
      <x:c r="E70" s="74" t="str">
        <x:v>V1.0</x:v>
      </x:c>
      <x:c r="F70" s="68" t="str">
        <x:v>戊癸相合生成化火候选</x:v>
      </x:c>
      <x:c r="G70" s="82" t="str">
        <x:v>综合层</x:v>
      </x:c>
      <x:c r="H70" s="82" t="str">
        <x:v>化气格</x:v>
      </x:c>
      <x:c r="I70" s="68" t="str">
        <x:v>戊癸化火格候选</x:v>
      </x:c>
      <x:c r="J70" s="68" t="str">
        <x:v>火得令、得势或全局气势明显转向火</x:v>
      </x:c>
      <x:c r="K70" s="68" t="str">
        <x:v>日主为戊癸之一，并与另一干形成真实合化候选</x:v>
      </x:c>
      <x:c r="L70" s="82" t="str">
        <x:v>较清</x:v>
      </x:c>
      <x:c r="M70" s="68" t="str">
        <x:v>日主原五行无强根或强根受制</x:v>
      </x:c>
      <x:c r="N70" s="68" t="str">
        <x:v>火旺或中和偏旺</x:v>
      </x:c>
      <x:c r="O70" s="68" t="str">
        <x:v>日主不能以原五行独立自立，顺从火势</x:v>
      </x:c>
      <x:c r="P70" s="68" t="str">
        <x:v>M06确认戊癸合化条件高度具备，M08显示力量向火重分配</x:v>
      </x:c>
      <x:c r="Q70" s="68" t="str">
        <x:v>化神火有令有势；原气不强；无决定性破化；辰等引化条件仅作流派证据而非机械充分条件</x:v>
      </x:c>
      <x:c r="R70" s="68" t="str">
        <x:v>格神得令、有根、透达、清纯，并得到有效生扶或制化配合</x:v>
      </x:c>
      <x:c r="S70" s="68" t="str">
        <x:v>存在更强月令主气、格神功能被替代或全局主势明显转向其他结构</x:v>
      </x:c>
      <x:c r="T70" s="90" t="str">
        <x:v>格神失效、无真实功能，或候选只由单一表面十神名称产生</x:v>
      </x:c>
      <x:c r="U70" s="68" t="str">
        <x:v>特殊格局、建禄羊刃及明确从化结构另用专门规则</x:v>
      </x:c>
      <x:c r="V70" s="82" t="str">
        <x:v>候选</x:v>
      </x:c>
      <x:c r="W70" s="68" t="str">
        <x:v>合而不化/假化候选</x:v>
      </x:c>
      <x:c r="X70" s="84" t="str">
        <x:v>戊癸化火_候选</x:v>
      </x:c>
      <x:c r="Y70" s="84" t="str">
        <x:v>戊癸化火格候选列为“候选”：主要依据为月令与格神有效性；仍需M15检验成格、破格、救应与层次。</x:v>
      </x:c>
      <x:c r="Z70" s="82" t="str">
        <x:v>中等</x:v>
      </x:c>
      <x:c r="AA70" s="82" t="str">
        <x:v>子平格局</x:v>
      </x:c>
      <x:c r="AB70" s="68" t="str">
        <x:v>M14只生成和排除格局候选。候选须综合月令、透干、格神有效力量、清纯度、日主配合与全局主导性；候选成立不等于M15最终成格。</x:v>
      </x:c>
      <x:c r="AC70" s="68" t="str">
        <x:v>月令与格神有效性共同支持“戊癸化火格候选”，且没有决定性否决条件。</x:v>
      </x:c>
      <x:c r="AD70" s="90" t="str">
        <x:v>仅见相关十神或五行出现，但月令、格神有效性或全局主导性不成立，不能直接列“戊癸化火格候选”。</x:v>
      </x:c>
      <x:c r="AE70" s="68" t="str">
        <x:v>https://zh.wikisource.org/wiki/%E6%BB%B4%E5%A4%A9%E9%AB%93%E9%97%A1%E5%BE%AE ; https://zh.wikisource.org/zh-hans/%E6%BB%B4%E5%A4%A9%E9%AB%93</x:v>
      </x:c>
      <x:c r="AF70" s="82" t="str">
        <x:v>采用</x:v>
      </x:c>
      <x:c r="AG70" s="82" t="str">
        <x:v>初审</x:v>
      </x:c>
      <x:c r="AH70" s="87" t="n">
        <x:v>46260</x:v>
      </x:c>
    </x:row>
    <x:row r="71">
      <x:c r="A71" s="72" t="str">
        <x:f>IF(OR(C71="",D71=""),"",B71&amp;"-"&amp;UPPER(C71)&amp;"-"&amp;TEXT(D71,"0000")&amp;"-"&amp;E71)</x:f>
        <x:v>M14-ZHUAN-0065-V1.0</x:v>
      </x:c>
      <x:c r="B71" s="74" t="str">
        <x:v>M14</x:v>
      </x:c>
      <x:c r="C71" s="74" t="str">
        <x:v>ZHUAN</x:v>
      </x:c>
      <x:c r="D71" s="215" t="n">
        <x:v>65</x:v>
      </x:c>
      <x:c r="E71" s="74" t="str">
        <x:v>V1.0</x:v>
      </x:c>
      <x:c r="F71" s="68" t="str">
        <x:v>单一五行一气成势可生成专旺候选</x:v>
      </x:c>
      <x:c r="G71" s="82" t="str">
        <x:v>综合层</x:v>
      </x:c>
      <x:c r="H71" s="82" t="str">
        <x:v>专旺候选</x:v>
      </x:c>
      <x:c r="I71" s="68" t="str">
        <x:v>专旺格通用候选</x:v>
      </x:c>
      <x:c r="J71" s="68" t="str">
        <x:v>日主同类五行得令，地支成方成局或多重强根</x:v>
      </x:c>
      <x:c r="K71" s="68" t="str">
        <x:v>同类透干成党</x:v>
      </x:c>
      <x:c r="L71" s="82" t="str">
        <x:v>较清</x:v>
      </x:c>
      <x:c r="M71" s="68" t="str">
        <x:v>多重强根</x:v>
      </x:c>
      <x:c r="N71" s="68" t="str">
        <x:v>极旺</x:v>
      </x:c>
      <x:c r="O71" s="68" t="str">
        <x:v>日主顺从本气极旺之势</x:v>
      </x:c>
      <x:c r="P71" s="68" t="str">
        <x:v>一气独旺，克制该五行的力量无效，生泄路径符合专旺气势</x:v>
      </x:c>
      <x:c r="Q71" s="68" t="str">
        <x:v>同一五行绝对主导；反克力量弱；杂气不足以改变主势；不得仅由数量多生成</x:v>
      </x:c>
      <x:c r="R71" s="68" t="str">
        <x:v>格神得令、有根、透达、清纯，并得到有效生扶或制化配合</x:v>
      </x:c>
      <x:c r="S71" s="68" t="str">
        <x:v>存在更强月令主气、格神功能被替代或全局主势明显转向其他结构</x:v>
      </x:c>
      <x:c r="T71" s="90" t="str">
        <x:v>格神失效、无真实功能，或候选只由单一表面十神名称产生</x:v>
      </x:c>
      <x:c r="U71" s="68" t="str">
        <x:v>特殊格局、建禄羊刃及明确从化结构另用专门规则</x:v>
      </x:c>
      <x:c r="V71" s="82" t="str">
        <x:v>候选</x:v>
      </x:c>
      <x:c r="W71" s="68" t="str">
        <x:v>从旺/建禄/羊刃候选</x:v>
      </x:c>
      <x:c r="X71" s="84" t="str">
        <x:v>专旺_通用候选</x:v>
      </x:c>
      <x:c r="Y71" s="84" t="str">
        <x:v>专旺格通用候选列为“候选”：主要依据为月令与格神有效性；仍需M15检验成格、破格、救应与层次。</x:v>
      </x:c>
      <x:c r="Z71" s="82" t="str">
        <x:v>较高</x:v>
      </x:c>
      <x:c r="AA71" s="82" t="str">
        <x:v>子平格局</x:v>
      </x:c>
      <x:c r="AB71" s="68" t="str">
        <x:v>M14只生成和排除格局候选。候选须综合月令、透干、格神有效力量、清纯度、日主配合与全局主导性；候选成立不等于M15最终成格。</x:v>
      </x:c>
      <x:c r="AC71" s="68" t="str">
        <x:v>月令与格神有效性共同支持“专旺格通用候选”，且没有决定性否决条件。</x:v>
      </x:c>
      <x:c r="AD71" s="90" t="str">
        <x:v>仅见相关十神或五行出现，但月令、格神有效性或全局主导性不成立，不能直接列“专旺格通用候选”。</x:v>
      </x:c>
      <x:c r="AE71" s="68" t="str">
        <x:v>https://zh.wikisource.org/wiki/%E6%BB%B4%E5%A4%A9%E9%AB%93%E9%97%A1%E5%BE%AE ; https://zh.wikisource.org/zh-hans/%E6%BB%B4%E5%A4%A9%E9%AB%93</x:v>
      </x:c>
      <x:c r="AF71" s="82" t="str">
        <x:v>采用</x:v>
      </x:c>
      <x:c r="AG71" s="82" t="str">
        <x:v>初审</x:v>
      </x:c>
      <x:c r="AH71" s="87" t="n">
        <x:v>46260</x:v>
      </x:c>
    </x:row>
    <x:row r="72">
      <x:c r="A72" s="72" t="str">
        <x:f>IF(OR(C72="",D72=""),"",B72&amp;"-"&amp;UPPER(C72)&amp;"-"&amp;TEXT(D72,"0000")&amp;"-"&amp;E72)</x:f>
        <x:v>M14-ZHUAN-0066-V1.0</x:v>
      </x:c>
      <x:c r="B72" s="74" t="str">
        <x:v>M14</x:v>
      </x:c>
      <x:c r="C72" s="74" t="str">
        <x:v>ZHUAN</x:v>
      </x:c>
      <x:c r="D72" s="215" t="n">
        <x:v>66</x:v>
      </x:c>
      <x:c r="E72" s="74" t="str">
        <x:v>V1.0</x:v>
      </x:c>
      <x:c r="F72" s="68" t="str">
        <x:v>木一气成势生成曲直格候选</x:v>
      </x:c>
      <x:c r="G72" s="82" t="str">
        <x:v>综合层</x:v>
      </x:c>
      <x:c r="H72" s="82" t="str">
        <x:v>专旺候选</x:v>
      </x:c>
      <x:c r="I72" s="68" t="str">
        <x:v>曲直格候选</x:v>
      </x:c>
      <x:c r="J72" s="68" t="str">
        <x:v>寅卯辰或木局木势成方</x:v>
      </x:c>
      <x:c r="K72" s="68" t="str">
        <x:v>木透干成党</x:v>
      </x:c>
      <x:c r="L72" s="82" t="str">
        <x:v>较清</x:v>
      </x:c>
      <x:c r="M72" s="68" t="str">
        <x:v>木多重强根</x:v>
      </x:c>
      <x:c r="N72" s="68" t="str">
        <x:v>木极旺</x:v>
      </x:c>
      <x:c r="O72" s="68" t="str">
        <x:v>日主属木并顺从同类旺势</x:v>
      </x:c>
      <x:c r="P72" s="68" t="str">
        <x:v>木成为全局绝对主导，流通方向不逆其势</x:v>
      </x:c>
      <x:c r="Q72" s="68" t="str">
        <x:v>克木的金无力或不能形成有效破局；杂气不足以改变主势</x:v>
      </x:c>
      <x:c r="R72" s="68" t="str">
        <x:v>格神得令、有根、透达、清纯，并得到有效生扶或制化配合</x:v>
      </x:c>
      <x:c r="S72" s="68" t="str">
        <x:v>存在更强月令主气、格神功能被替代或全局主势明显转向其他结构</x:v>
      </x:c>
      <x:c r="T72" s="90" t="str">
        <x:v>格神失效、无真实功能，或候选只由单一表面十神名称产生</x:v>
      </x:c>
      <x:c r="U72" s="68" t="str">
        <x:v>特殊格局、建禄羊刃及明确从化结构另用专门规则</x:v>
      </x:c>
      <x:c r="V72" s="82" t="str">
        <x:v>候选</x:v>
      </x:c>
      <x:c r="W72" s="68" t="str">
        <x:v>从旺/从强候选</x:v>
      </x:c>
      <x:c r="X72" s="84" t="str">
        <x:v>曲直格候选_候选</x:v>
      </x:c>
      <x:c r="Y72" s="84" t="str">
        <x:v>曲直格候选列为“候选”：主要依据为月令与格神有效性；仍需M15检验成格、破格、救应与层次。</x:v>
      </x:c>
      <x:c r="Z72" s="82" t="str">
        <x:v>较高</x:v>
      </x:c>
      <x:c r="AA72" s="82" t="str">
        <x:v>子平格局</x:v>
      </x:c>
      <x:c r="AB72" s="68" t="str">
        <x:v>M14只生成和排除格局候选。候选须综合月令、透干、格神有效力量、清纯度、日主配合与全局主导性；候选成立不等于M15最终成格。</x:v>
      </x:c>
      <x:c r="AC72" s="68" t="str">
        <x:v>月令与格神有效性共同支持“曲直格候选”，且没有决定性否决条件。</x:v>
      </x:c>
      <x:c r="AD72" s="90" t="str">
        <x:v>仅见相关十神或五行出现，但月令、格神有效性或全局主导性不成立，不能直接列“曲直格候选”。</x:v>
      </x:c>
      <x:c r="AE72" s="68" t="str">
        <x:v>https://zh.wikisource.org/wiki/%E6%BB%B4%E5%A4%A9%E9%AB%93%E9%97%A1%E5%BE%AE ; https://zh.wikisource.org/zh-hans/%E6%BB%B4%E5%A4%A9%E9%AB%93</x:v>
      </x:c>
      <x:c r="AF72" s="82" t="str">
        <x:v>采用</x:v>
      </x:c>
      <x:c r="AG72" s="82" t="str">
        <x:v>初审</x:v>
      </x:c>
      <x:c r="AH72" s="87" t="n">
        <x:v>46260</x:v>
      </x:c>
    </x:row>
    <x:row r="73">
      <x:c r="A73" s="72" t="str">
        <x:f>IF(OR(C73="",D73=""),"",B73&amp;"-"&amp;UPPER(C73)&amp;"-"&amp;TEXT(D73,"0000")&amp;"-"&amp;E73)</x:f>
        <x:v>M14-ZHUAN-0067-V1.0</x:v>
      </x:c>
      <x:c r="B73" s="74" t="str">
        <x:v>M14</x:v>
      </x:c>
      <x:c r="C73" s="74" t="str">
        <x:v>ZHUAN</x:v>
      </x:c>
      <x:c r="D73" s="215" t="n">
        <x:v>67</x:v>
      </x:c>
      <x:c r="E73" s="74" t="str">
        <x:v>V1.0</x:v>
      </x:c>
      <x:c r="F73" s="68" t="str">
        <x:v>火一气成势生成炎上格候选</x:v>
      </x:c>
      <x:c r="G73" s="82" t="str">
        <x:v>综合层</x:v>
      </x:c>
      <x:c r="H73" s="82" t="str">
        <x:v>专旺候选</x:v>
      </x:c>
      <x:c r="I73" s="68" t="str">
        <x:v>炎上格候选</x:v>
      </x:c>
      <x:c r="J73" s="68" t="str">
        <x:v>巳午未或火局火势成方</x:v>
      </x:c>
      <x:c r="K73" s="68" t="str">
        <x:v>火透干成党</x:v>
      </x:c>
      <x:c r="L73" s="82" t="str">
        <x:v>较清</x:v>
      </x:c>
      <x:c r="M73" s="68" t="str">
        <x:v>火多重强根</x:v>
      </x:c>
      <x:c r="N73" s="68" t="str">
        <x:v>火极旺</x:v>
      </x:c>
      <x:c r="O73" s="68" t="str">
        <x:v>日主属火并顺从同类旺势</x:v>
      </x:c>
      <x:c r="P73" s="68" t="str">
        <x:v>火成为全局绝对主导，流通方向不逆其势</x:v>
      </x:c>
      <x:c r="Q73" s="68" t="str">
        <x:v>克火的水无力或不能形成有效破局；杂气不足以改变主势</x:v>
      </x:c>
      <x:c r="R73" s="68" t="str">
        <x:v>格神得令、有根、透达、清纯，并得到有效生扶或制化配合</x:v>
      </x:c>
      <x:c r="S73" s="68" t="str">
        <x:v>存在更强月令主气、格神功能被替代或全局主势明显转向其他结构</x:v>
      </x:c>
      <x:c r="T73" s="90" t="str">
        <x:v>格神失效、无真实功能，或候选只由单一表面十神名称产生</x:v>
      </x:c>
      <x:c r="U73" s="68" t="str">
        <x:v>特殊格局、建禄羊刃及明确从化结构另用专门规则</x:v>
      </x:c>
      <x:c r="V73" s="82" t="str">
        <x:v>候选</x:v>
      </x:c>
      <x:c r="W73" s="68" t="str">
        <x:v>从旺/从强候选</x:v>
      </x:c>
      <x:c r="X73" s="84" t="str">
        <x:v>炎上格候选_候选</x:v>
      </x:c>
      <x:c r="Y73" s="84" t="str">
        <x:v>炎上格候选列为“候选”：主要依据为月令与格神有效性；仍需M15检验成格、破格、救应与层次。</x:v>
      </x:c>
      <x:c r="Z73" s="82" t="str">
        <x:v>较高</x:v>
      </x:c>
      <x:c r="AA73" s="82" t="str">
        <x:v>子平格局</x:v>
      </x:c>
      <x:c r="AB73" s="68" t="str">
        <x:v>M14只生成和排除格局候选。候选须综合月令、透干、格神有效力量、清纯度、日主配合与全局主导性；候选成立不等于M15最终成格。</x:v>
      </x:c>
      <x:c r="AC73" s="68" t="str">
        <x:v>月令与格神有效性共同支持“炎上格候选”，且没有决定性否决条件。</x:v>
      </x:c>
      <x:c r="AD73" s="90" t="str">
        <x:v>仅见相关十神或五行出现，但月令、格神有效性或全局主导性不成立，不能直接列“炎上格候选”。</x:v>
      </x:c>
      <x:c r="AE73" s="68" t="str">
        <x:v>https://zh.wikisource.org/wiki/%E6%BB%B4%E5%A4%A9%E9%AB%93%E9%97%A1%E5%BE%AE ; https://zh.wikisource.org/zh-hans/%E6%BB%B4%E5%A4%A9%E9%AB%93</x:v>
      </x:c>
      <x:c r="AF73" s="82" t="str">
        <x:v>采用</x:v>
      </x:c>
      <x:c r="AG73" s="82" t="str">
        <x:v>初审</x:v>
      </x:c>
      <x:c r="AH73" s="87" t="n">
        <x:v>46260</x:v>
      </x:c>
    </x:row>
    <x:row r="74">
      <x:c r="A74" s="72" t="str">
        <x:f>IF(OR(C74="",D74=""),"",B74&amp;"-"&amp;UPPER(C74)&amp;"-"&amp;TEXT(D74,"0000")&amp;"-"&amp;E74)</x:f>
        <x:v>M14-ZHUAN-0068-V1.0</x:v>
      </x:c>
      <x:c r="B74" s="74" t="str">
        <x:v>M14</x:v>
      </x:c>
      <x:c r="C74" s="74" t="str">
        <x:v>ZHUAN</x:v>
      </x:c>
      <x:c r="D74" s="215" t="n">
        <x:v>68</x:v>
      </x:c>
      <x:c r="E74" s="74" t="str">
        <x:v>V1.0</x:v>
      </x:c>
      <x:c r="F74" s="68" t="str">
        <x:v>土一气成势生成稼穑格候选</x:v>
      </x:c>
      <x:c r="G74" s="82" t="str">
        <x:v>综合层</x:v>
      </x:c>
      <x:c r="H74" s="82" t="str">
        <x:v>专旺候选</x:v>
      </x:c>
      <x:c r="I74" s="68" t="str">
        <x:v>稼穑格候选</x:v>
      </x:c>
      <x:c r="J74" s="68" t="str">
        <x:v>四季土月且土势极旺</x:v>
      </x:c>
      <x:c r="K74" s="68" t="str">
        <x:v>土透干成党</x:v>
      </x:c>
      <x:c r="L74" s="82" t="str">
        <x:v>较清</x:v>
      </x:c>
      <x:c r="M74" s="68" t="str">
        <x:v>土多重强根</x:v>
      </x:c>
      <x:c r="N74" s="68" t="str">
        <x:v>土极旺</x:v>
      </x:c>
      <x:c r="O74" s="68" t="str">
        <x:v>日主属土并顺从同类旺势</x:v>
      </x:c>
      <x:c r="P74" s="68" t="str">
        <x:v>土成为全局绝对主导，流通方向不逆其势</x:v>
      </x:c>
      <x:c r="Q74" s="68" t="str">
        <x:v>克土的木无力或不能形成有效破局；杂气不足以改变主势</x:v>
      </x:c>
      <x:c r="R74" s="68" t="str">
        <x:v>格神得令、有根、透达、清纯，并得到有效生扶或制化配合</x:v>
      </x:c>
      <x:c r="S74" s="68" t="str">
        <x:v>存在更强月令主气、格神功能被替代或全局主势明显转向其他结构</x:v>
      </x:c>
      <x:c r="T74" s="90" t="str">
        <x:v>格神失效、无真实功能，或候选只由单一表面十神名称产生</x:v>
      </x:c>
      <x:c r="U74" s="68" t="str">
        <x:v>特殊格局、建禄羊刃及明确从化结构另用专门规则</x:v>
      </x:c>
      <x:c r="V74" s="82" t="str">
        <x:v>候选</x:v>
      </x:c>
      <x:c r="W74" s="68" t="str">
        <x:v>从旺/从强候选</x:v>
      </x:c>
      <x:c r="X74" s="84" t="str">
        <x:v>稼穑格候选_候选</x:v>
      </x:c>
      <x:c r="Y74" s="84" t="str">
        <x:v>稼穑格候选列为“候选”：主要依据为月令与格神有效性；仍需M15检验成格、破格、救应与层次。</x:v>
      </x:c>
      <x:c r="Z74" s="82" t="str">
        <x:v>较高</x:v>
      </x:c>
      <x:c r="AA74" s="82" t="str">
        <x:v>子平格局</x:v>
      </x:c>
      <x:c r="AB74" s="68" t="str">
        <x:v>M14只生成和排除格局候选。候选须综合月令、透干、格神有效力量、清纯度、日主配合与全局主导性；候选成立不等于M15最终成格。</x:v>
      </x:c>
      <x:c r="AC74" s="68" t="str">
        <x:v>月令与格神有效性共同支持“稼穑格候选”，且没有决定性否决条件。</x:v>
      </x:c>
      <x:c r="AD74" s="90" t="str">
        <x:v>仅见相关十神或五行出现，但月令、格神有效性或全局主导性不成立，不能直接列“稼穑格候选”。</x:v>
      </x:c>
      <x:c r="AE74" s="68" t="str">
        <x:v>https://zh.wikisource.org/wiki/%E6%BB%B4%E5%A4%A9%E9%AB%93%E9%97%A1%E5%BE%AE ; https://zh.wikisource.org/zh-hans/%E6%BB%B4%E5%A4%A9%E9%AB%93</x:v>
      </x:c>
      <x:c r="AF74" s="82" t="str">
        <x:v>采用</x:v>
      </x:c>
      <x:c r="AG74" s="82" t="str">
        <x:v>初审</x:v>
      </x:c>
      <x:c r="AH74" s="87" t="n">
        <x:v>46260</x:v>
      </x:c>
    </x:row>
    <x:row r="75">
      <x:c r="A75" s="72" t="str">
        <x:f>IF(OR(C75="",D75=""),"",B75&amp;"-"&amp;UPPER(C75)&amp;"-"&amp;TEXT(D75,"0000")&amp;"-"&amp;E75)</x:f>
        <x:v>M14-ZHUAN-0069-V1.0</x:v>
      </x:c>
      <x:c r="B75" s="74" t="str">
        <x:v>M14</x:v>
      </x:c>
      <x:c r="C75" s="74" t="str">
        <x:v>ZHUAN</x:v>
      </x:c>
      <x:c r="D75" s="215" t="n">
        <x:v>69</x:v>
      </x:c>
      <x:c r="E75" s="74" t="str">
        <x:v>V1.0</x:v>
      </x:c>
      <x:c r="F75" s="68" t="str">
        <x:v>金一气成势生成从革格候选</x:v>
      </x:c>
      <x:c r="G75" s="82" t="str">
        <x:v>综合层</x:v>
      </x:c>
      <x:c r="H75" s="82" t="str">
        <x:v>专旺候选</x:v>
      </x:c>
      <x:c r="I75" s="68" t="str">
        <x:v>从革格候选</x:v>
      </x:c>
      <x:c r="J75" s="68" t="str">
        <x:v>申酉戌或金局金势成方</x:v>
      </x:c>
      <x:c r="K75" s="68" t="str">
        <x:v>金透干成党</x:v>
      </x:c>
      <x:c r="L75" s="82" t="str">
        <x:v>较清</x:v>
      </x:c>
      <x:c r="M75" s="68" t="str">
        <x:v>金多重强根</x:v>
      </x:c>
      <x:c r="N75" s="68" t="str">
        <x:v>金极旺</x:v>
      </x:c>
      <x:c r="O75" s="68" t="str">
        <x:v>日主属金并顺从同类旺势</x:v>
      </x:c>
      <x:c r="P75" s="68" t="str">
        <x:v>金成为全局绝对主导，流通方向不逆其势</x:v>
      </x:c>
      <x:c r="Q75" s="68" t="str">
        <x:v>克金的火无力或不能形成有效破局；杂气不足以改变主势</x:v>
      </x:c>
      <x:c r="R75" s="68" t="str">
        <x:v>格神得令、有根、透达、清纯，并得到有效生扶或制化配合</x:v>
      </x:c>
      <x:c r="S75" s="68" t="str">
        <x:v>存在更强月令主气、格神功能被替代或全局主势明显转向其他结构</x:v>
      </x:c>
      <x:c r="T75" s="90" t="str">
        <x:v>格神失效、无真实功能，或候选只由单一表面十神名称产生</x:v>
      </x:c>
      <x:c r="U75" s="68" t="str">
        <x:v>特殊格局、建禄羊刃及明确从化结构另用专门规则</x:v>
      </x:c>
      <x:c r="V75" s="82" t="str">
        <x:v>候选</x:v>
      </x:c>
      <x:c r="W75" s="68" t="str">
        <x:v>从旺/从强候选</x:v>
      </x:c>
      <x:c r="X75" s="84" t="str">
        <x:v>从革格候选_候选</x:v>
      </x:c>
      <x:c r="Y75" s="84" t="str">
        <x:v>从革格候选列为“候选”：主要依据为月令与格神有效性；仍需M15检验成格、破格、救应与层次。</x:v>
      </x:c>
      <x:c r="Z75" s="82" t="str">
        <x:v>较高</x:v>
      </x:c>
      <x:c r="AA75" s="82" t="str">
        <x:v>子平格局</x:v>
      </x:c>
      <x:c r="AB75" s="68" t="str">
        <x:v>M14只生成和排除格局候选。候选须综合月令、透干、格神有效力量、清纯度、日主配合与全局主导性；候选成立不等于M15最终成格。</x:v>
      </x:c>
      <x:c r="AC75" s="68" t="str">
        <x:v>月令与格神有效性共同支持“从革格候选”，且没有决定性否决条件。</x:v>
      </x:c>
      <x:c r="AD75" s="90" t="str">
        <x:v>仅见相关十神或五行出现，但月令、格神有效性或全局主导性不成立，不能直接列“从革格候选”。</x:v>
      </x:c>
      <x:c r="AE75" s="68" t="str">
        <x:v>https://zh.wikisource.org/wiki/%E6%BB%B4%E5%A4%A9%E9%AB%93%E9%97%A1%E5%BE%AE ; https://zh.wikisource.org/zh-hans/%E6%BB%B4%E5%A4%A9%E9%AB%93</x:v>
      </x:c>
      <x:c r="AF75" s="82" t="str">
        <x:v>采用</x:v>
      </x:c>
      <x:c r="AG75" s="82" t="str">
        <x:v>初审</x:v>
      </x:c>
      <x:c r="AH75" s="87" t="n">
        <x:v>46260</x:v>
      </x:c>
    </x:row>
    <x:row r="76">
      <x:c r="A76" s="72" t="str">
        <x:f>IF(OR(C76="",D76=""),"",B76&amp;"-"&amp;UPPER(C76)&amp;"-"&amp;TEXT(D76,"0000")&amp;"-"&amp;E76)</x:f>
        <x:v>M14-ZHUAN-0070-V1.0</x:v>
      </x:c>
      <x:c r="B76" s="74" t="str">
        <x:v>M14</x:v>
      </x:c>
      <x:c r="C76" s="74" t="str">
        <x:v>ZHUAN</x:v>
      </x:c>
      <x:c r="D76" s="215" t="n">
        <x:v>70</x:v>
      </x:c>
      <x:c r="E76" s="74" t="str">
        <x:v>V1.0</x:v>
      </x:c>
      <x:c r="F76" s="68" t="str">
        <x:v>水一气成势生成润下格候选</x:v>
      </x:c>
      <x:c r="G76" s="82" t="str">
        <x:v>综合层</x:v>
      </x:c>
      <x:c r="H76" s="82" t="str">
        <x:v>专旺候选</x:v>
      </x:c>
      <x:c r="I76" s="68" t="str">
        <x:v>润下格候选</x:v>
      </x:c>
      <x:c r="J76" s="68" t="str">
        <x:v>亥子丑或水局水势成方</x:v>
      </x:c>
      <x:c r="K76" s="68" t="str">
        <x:v>水透干成党</x:v>
      </x:c>
      <x:c r="L76" s="82" t="str">
        <x:v>较清</x:v>
      </x:c>
      <x:c r="M76" s="68" t="str">
        <x:v>水多重强根</x:v>
      </x:c>
      <x:c r="N76" s="68" t="str">
        <x:v>水极旺</x:v>
      </x:c>
      <x:c r="O76" s="68" t="str">
        <x:v>日主属水并顺从同类旺势</x:v>
      </x:c>
      <x:c r="P76" s="68" t="str">
        <x:v>水成为全局绝对主导，流通方向不逆其势</x:v>
      </x:c>
      <x:c r="Q76" s="68" t="str">
        <x:v>克水的土无力或不能形成有效破局；杂气不足以改变主势</x:v>
      </x:c>
      <x:c r="R76" s="68" t="str">
        <x:v>格神得令、有根、透达、清纯，并得到有效生扶或制化配合</x:v>
      </x:c>
      <x:c r="S76" s="68" t="str">
        <x:v>存在更强月令主气、格神功能被替代或全局主势明显转向其他结构</x:v>
      </x:c>
      <x:c r="T76" s="90" t="str">
        <x:v>格神失效、无真实功能，或候选只由单一表面十神名称产生</x:v>
      </x:c>
      <x:c r="U76" s="68" t="str">
        <x:v>特殊格局、建禄羊刃及明确从化结构另用专门规则</x:v>
      </x:c>
      <x:c r="V76" s="82" t="str">
        <x:v>候选</x:v>
      </x:c>
      <x:c r="W76" s="68" t="str">
        <x:v>从旺/从强候选</x:v>
      </x:c>
      <x:c r="X76" s="84" t="str">
        <x:v>润下格候选_候选</x:v>
      </x:c>
      <x:c r="Y76" s="84" t="str">
        <x:v>润下格候选列为“候选”：主要依据为月令与格神有效性；仍需M15检验成格、破格、救应与层次。</x:v>
      </x:c>
      <x:c r="Z76" s="82" t="str">
        <x:v>较高</x:v>
      </x:c>
      <x:c r="AA76" s="82" t="str">
        <x:v>子平格局</x:v>
      </x:c>
      <x:c r="AB76" s="68" t="str">
        <x:v>M14只生成和排除格局候选。候选须综合月令、透干、格神有效力量、清纯度、日主配合与全局主导性；候选成立不等于M15最终成格。</x:v>
      </x:c>
      <x:c r="AC76" s="68" t="str">
        <x:v>月令与格神有效性共同支持“润下格候选”，且没有决定性否决条件。</x:v>
      </x:c>
      <x:c r="AD76" s="90" t="str">
        <x:v>仅见相关十神或五行出现，但月令、格神有效性或全局主导性不成立，不能直接列“润下格候选”。</x:v>
      </x:c>
      <x:c r="AE76" s="68" t="str">
        <x:v>https://zh.wikisource.org/wiki/%E6%BB%B4%E5%A4%A9%E9%AB%93%E9%97%A1%E5%BE%AE ; https://zh.wikisource.org/zh-hans/%E6%BB%B4%E5%A4%A9%E9%AB%93</x:v>
      </x:c>
      <x:c r="AF76" s="82" t="str">
        <x:v>采用</x:v>
      </x:c>
      <x:c r="AG76" s="82" t="str">
        <x:v>初审</x:v>
      </x:c>
      <x:c r="AH76" s="87" t="n">
        <x:v>46260</x:v>
      </x:c>
    </x:row>
    <x:row r="77">
      <x:c r="A77" s="72" t="str">
        <x:f>IF(OR(C77="",D77=""),"",B77&amp;"-"&amp;UPPER(C77)&amp;"-"&amp;TEXT(D77,"0000")&amp;"-"&amp;E77)</x:f>
        <x:v>M14-RANK-0071-V1.0</x:v>
      </x:c>
      <x:c r="B77" s="74" t="str">
        <x:v>M14</x:v>
      </x:c>
      <x:c r="C77" s="74" t="str">
        <x:v>RANK</x:v>
      </x:c>
      <x:c r="D77" s="215" t="n">
        <x:v>71</x:v>
      </x:c>
      <x:c r="E77" s="74" t="str">
        <x:v>V1.0</x:v>
      </x:c>
      <x:c r="F77" s="68" t="str">
        <x:v>月令主气候选通常高于非月令局部组合候选</x:v>
      </x:c>
      <x:c r="G77" s="82" t="str">
        <x:v>综合层</x:v>
      </x:c>
      <x:c r="H77" s="82" t="str">
        <x:v>普通格局</x:v>
      </x:c>
      <x:c r="I77" s="68" t="str">
        <x:v>格局候选排序</x:v>
      </x:c>
      <x:c r="J77" s="68" t="str">
        <x:v>比较月令主气与局部组合来源</x:v>
      </x:c>
      <x:c r="K77" s="68" t="str">
        <x:v>透干可增强候选，但不作为所有格局的绝对唯一条件</x:v>
      </x:c>
      <x:c r="L77" s="82" t="str">
        <x:v>待定</x:v>
      </x:c>
      <x:c r="M77" s="68" t="str">
        <x:v>待定</x:v>
      </x:c>
      <x:c r="N77" s="68" t="str">
        <x:v>待定</x:v>
      </x:c>
      <x:c r="O77" s="68" t="str">
        <x:v>结合M09日主旺衰与承载判断</x:v>
      </x:c>
      <x:c r="P77" s="68" t="str">
        <x:v>月令主气格神有效，局部组合未形成全局主导</x:v>
      </x:c>
      <x:c r="Q77" s="68" t="str">
        <x:v>不适用</x:v>
      </x:c>
      <x:c r="R77" s="68" t="str">
        <x:v>格神得令、有根、透达、清纯，并得到有效生扶或制化配合</x:v>
      </x:c>
      <x:c r="S77" s="68" t="str">
        <x:v>存在更强月令主气、格神功能被替代或全局主势明显转向其他结构</x:v>
      </x:c>
      <x:c r="T77" s="90" t="str">
        <x:v>格神失效、无真实功能，或候选只由单一表面十神名称产生</x:v>
      </x:c>
      <x:c r="U77" s="68" t="str">
        <x:v>特殊格局、建禄羊刃及明确从化结构另用专门规则</x:v>
      </x:c>
      <x:c r="V77" s="82" t="str">
        <x:v>基本成立</x:v>
      </x:c>
      <x:c r="W77" s="68" t="str">
        <x:v>次级局部组合候选</x:v>
      </x:c>
      <x:c r="X77" s="84" t="str">
        <x:v>候选排序_月令优先</x:v>
      </x:c>
      <x:c r="Y77" s="84" t="str">
        <x:v>月令主气格神有效时通常列第一候选；局部组合保留为结构支持，不越级替代。</x:v>
      </x:c>
      <x:c r="Z77" s="82" t="str">
        <x:v>较高</x:v>
      </x:c>
      <x:c r="AA77" s="82" t="str">
        <x:v>子平格局</x:v>
      </x:c>
      <x:c r="AB77" s="68" t="str">
        <x:v>M14只生成和排除格局候选。候选须综合月令、透干、格神有效力量、清纯度、日主配合与全局主导性；候选成立不等于M15最终成格。</x:v>
      </x:c>
      <x:c r="AC77" s="68" t="str">
        <x:v>月令与格神有效性共同支持“格局候选排序”，且没有决定性否决条件。</x:v>
      </x:c>
      <x:c r="AD77" s="90" t="str">
        <x:v>仅见相关十神或五行出现，但月令、格神有效性或全局主导性不成立，不能直接列“格局候选排序”。</x:v>
      </x:c>
      <x:c r="AE77" s="68" t="str">
        <x:v>https://zh.wikisource.org/zh-hans/%E6%B7%B5%E6%B5%B7%E5%AD%90%E5%B9%B3 ; https://zh.wikisource.org/wiki/%E6%BB%B4%E5%A4%A9%E9%AB%93%E9%97%A1%E5%BE%AE</x:v>
      </x:c>
      <x:c r="AF77" s="82" t="str">
        <x:v>采用</x:v>
      </x:c>
      <x:c r="AG77" s="82" t="str">
        <x:v>初审</x:v>
      </x:c>
      <x:c r="AH77" s="87" t="n">
        <x:v>46260</x:v>
      </x:c>
    </x:row>
    <x:row r="78">
      <x:c r="A78" s="72" t="str">
        <x:f>IF(OR(C78="",D78=""),"",B78&amp;"-"&amp;UPPER(C78)&amp;"-"&amp;TEXT(D78,"0000")&amp;"-"&amp;E78)</x:f>
        <x:v>M14-RANK-0072-V1.0</x:v>
      </x:c>
      <x:c r="B78" s="74" t="str">
        <x:v>M14</x:v>
      </x:c>
      <x:c r="C78" s="74" t="str">
        <x:v>RANK</x:v>
      </x:c>
      <x:c r="D78" s="215" t="n">
        <x:v>72</x:v>
      </x:c>
      <x:c r="E78" s="74" t="str">
        <x:v>V1.0</x:v>
      </x:c>
      <x:c r="F78" s="68" t="str">
        <x:v>特殊格局必须凭严格门槛而非优先级自动覆盖普通格</x:v>
      </x:c>
      <x:c r="G78" s="82" t="str">
        <x:v>综合层</x:v>
      </x:c>
      <x:c r="H78" s="82" t="str">
        <x:v>特殊格局</x:v>
      </x:c>
      <x:c r="I78" s="68" t="str">
        <x:v>格局候选排序</x:v>
      </x:c>
      <x:c r="J78" s="68" t="str">
        <x:v>待核查月令主气、中气与全局主势</x:v>
      </x:c>
      <x:c r="K78" s="68" t="str">
        <x:v>透干可增强候选，但不作为所有格局的绝对唯一条件</x:v>
      </x:c>
      <x:c r="L78" s="82" t="str">
        <x:v>待定</x:v>
      </x:c>
      <x:c r="M78" s="68" t="str">
        <x:v>待定</x:v>
      </x:c>
      <x:c r="N78" s="68" t="str">
        <x:v>待定</x:v>
      </x:c>
      <x:c r="O78" s="68" t="str">
        <x:v>结合M09日主旺衰与承载判断</x:v>
      </x:c>
      <x:c r="P78" s="68" t="str">
        <x:v>从格、化气或专旺达到各自严格门槛</x:v>
      </x:c>
      <x:c r="Q78" s="68" t="str">
        <x:v>特殊格证据必须同时满足，不因名称特殊自动优先</x:v>
      </x:c>
      <x:c r="R78" s="68" t="str">
        <x:v>格神得令、有根、透达、清纯，并得到有效生扶或制化配合</x:v>
      </x:c>
      <x:c r="S78" s="68" t="str">
        <x:v>存在更强月令主气、格神功能被替代或全局主势明显转向其他结构</x:v>
      </x:c>
      <x:c r="T78" s="90" t="str">
        <x:v>格神失效、无真实功能，或候选只由单一表面十神名称产生</x:v>
      </x:c>
      <x:c r="U78" s="68" t="str">
        <x:v>特殊格局、建禄羊刃及明确从化结构另用专门规则</x:v>
      </x:c>
      <x:c r="V78" s="82" t="str">
        <x:v>候选</x:v>
      </x:c>
      <x:c r="W78" s="68" t="str">
        <x:v>普通格局候选</x:v>
      </x:c>
      <x:c r="X78" s="84" t="str">
        <x:v>候选排序_特殊格严格</x:v>
      </x:c>
      <x:c r="Y78" s="84" t="str">
        <x:v>格局候选排序列为“候选”：主要依据为月令与格神有效性；仍需M15检验成格、破格、救应与层次。</x:v>
      </x:c>
      <x:c r="Z78" s="82" t="str">
        <x:v>较高</x:v>
      </x:c>
      <x:c r="AA78" s="82" t="str">
        <x:v>子平格局</x:v>
      </x:c>
      <x:c r="AB78" s="68" t="str">
        <x:v>M14只生成和排除格局候选。候选须综合月令、透干、格神有效力量、清纯度、日主配合与全局主导性；候选成立不等于M15最终成格。</x:v>
      </x:c>
      <x:c r="AC78" s="68" t="str">
        <x:v>月令与格神有效性共同支持“格局候选排序”，且没有决定性否决条件。</x:v>
      </x:c>
      <x:c r="AD78" s="90" t="str">
        <x:v>仅见相关十神或五行出现，但月令、格神有效性或全局主导性不成立，不能直接列“格局候选排序”。</x:v>
      </x:c>
      <x:c r="AE78" s="68" t="str">
        <x:v>https://zh.wikisource.org/zh-hans/%E6%B7%B5%E6%B5%B7%E5%AD%90%E5%B9%B3 ; https://zh.wikisource.org/wiki/%E6%BB%B4%E5%A4%A9%E9%AB%93%E9%97%A1%E5%BE%AE</x:v>
      </x:c>
      <x:c r="AF78" s="82" t="str">
        <x:v>采用</x:v>
      </x:c>
      <x:c r="AG78" s="82" t="str">
        <x:v>初审</x:v>
      </x:c>
      <x:c r="AH78" s="87" t="n">
        <x:v>46260</x:v>
      </x:c>
    </x:row>
    <x:row r="79">
      <x:c r="A79" s="72" t="str">
        <x:f>IF(OR(C79="",D79=""),"",B79&amp;"-"&amp;UPPER(C79)&amp;"-"&amp;TEXT(D79,"0000")&amp;"-"&amp;E79)</x:f>
        <x:v>M14-RANK-0073-V1.0</x:v>
      </x:c>
      <x:c r="B79" s="74" t="str">
        <x:v>M14</x:v>
      </x:c>
      <x:c r="C79" s="74" t="str">
        <x:v>RANK</x:v>
      </x:c>
      <x:c r="D79" s="215" t="n">
        <x:v>73</x:v>
      </x:c>
      <x:c r="E79" s="74" t="str">
        <x:v>V1.0</x:v>
      </x:c>
      <x:c r="F79" s="68" t="str">
        <x:v>格神有效力量高于名义月令标签</x:v>
      </x:c>
      <x:c r="G79" s="82" t="str">
        <x:v>综合层</x:v>
      </x:c>
      <x:c r="H79" s="82" t="str">
        <x:v>普通格局</x:v>
      </x:c>
      <x:c r="I79" s="68" t="str">
        <x:v>格局候选排序</x:v>
      </x:c>
      <x:c r="J79" s="68" t="str">
        <x:v>月令虽提供候选，但格神已被制化或失效</x:v>
      </x:c>
      <x:c r="K79" s="68" t="str">
        <x:v>透干可增强候选，但不作为所有格局的绝对唯一条件</x:v>
      </x:c>
      <x:c r="L79" s="82" t="str">
        <x:v>待定</x:v>
      </x:c>
      <x:c r="M79" s="68" t="str">
        <x:v>待定</x:v>
      </x:c>
      <x:c r="N79" s="68" t="str">
        <x:v>格神实际有效力量优先</x:v>
      </x:c>
      <x:c r="O79" s="68" t="str">
        <x:v>结合M09日主旺衰与承载判断</x:v>
      </x:c>
      <x:c r="P79" s="68" t="str">
        <x:v>比较月令标签与M08/M10实际功能</x:v>
      </x:c>
      <x:c r="Q79" s="68" t="str">
        <x:v>不适用</x:v>
      </x:c>
      <x:c r="R79" s="68" t="str">
        <x:v>格神得令、有根、透达、清纯，并得到有效生扶或制化配合</x:v>
      </x:c>
      <x:c r="S79" s="68" t="str">
        <x:v>存在更强月令主气、格神功能被替代或全局主势明显转向其他结构</x:v>
      </x:c>
      <x:c r="T79" s="90" t="str">
        <x:v>格神失效、无真实功能，或候选只由单一表面十神名称产生</x:v>
      </x:c>
      <x:c r="U79" s="68" t="str">
        <x:v>特殊格局、建禄羊刃及明确从化结构另用专门规则</x:v>
      </x:c>
      <x:c r="V79" s="82" t="str">
        <x:v>候选</x:v>
      </x:c>
      <x:c r="W79" s="68" t="str">
        <x:v>实际主导格神候选</x:v>
      </x:c>
      <x:c r="X79" s="84" t="str">
        <x:v>候选排序_有效性优先</x:v>
      </x:c>
      <x:c r="Y79" s="84" t="str">
        <x:v>格局候选排序列为“候选”：主要依据为月令与格神有效性；仍需M15检验成格、破格、救应与层次。</x:v>
      </x:c>
      <x:c r="Z79" s="82" t="str">
        <x:v>较高</x:v>
      </x:c>
      <x:c r="AA79" s="82" t="str">
        <x:v>子平格局</x:v>
      </x:c>
      <x:c r="AB79" s="68" t="str">
        <x:v>M14只生成和排除格局候选。候选须综合月令、透干、格神有效力量、清纯度、日主配合与全局主导性；候选成立不等于M15最终成格。</x:v>
      </x:c>
      <x:c r="AC79" s="68" t="str">
        <x:v>月令与格神有效性共同支持“格局候选排序”，且没有决定性否决条件。</x:v>
      </x:c>
      <x:c r="AD79" s="90" t="str">
        <x:v>仅见相关十神或五行出现，但月令、格神有效性或全局主导性不成立，不能直接列“格局候选排序”。</x:v>
      </x:c>
      <x:c r="AE79" s="68" t="str">
        <x:v>https://zh.wikisource.org/zh-hans/%E6%B7%B5%E6%B5%B7%E5%AD%90%E5%B9%B3 ; https://zh.wikisource.org/wiki/%E6%BB%B4%E5%A4%A9%E9%AB%93%E9%97%A1%E5%BE%AE</x:v>
      </x:c>
      <x:c r="AF79" s="82" t="str">
        <x:v>采用</x:v>
      </x:c>
      <x:c r="AG79" s="82" t="str">
        <x:v>初审</x:v>
      </x:c>
      <x:c r="AH79" s="87" t="n">
        <x:v>46260</x:v>
      </x:c>
    </x:row>
    <x:row r="80">
      <x:c r="A80" s="72" t="str">
        <x:f>IF(OR(C80="",D80=""),"",B80&amp;"-"&amp;UPPER(C80)&amp;"-"&amp;TEXT(D80,"0000")&amp;"-"&amp;E80)</x:f>
        <x:v>M14-RANK-0074-V1.0</x:v>
      </x:c>
      <x:c r="B80" s="74" t="str">
        <x:v>M14</x:v>
      </x:c>
      <x:c r="C80" s="74" t="str">
        <x:v>RANK</x:v>
      </x:c>
      <x:c r="D80" s="215" t="n">
        <x:v>74</x:v>
      </x:c>
      <x:c r="E80" s="74" t="str">
        <x:v>V1.0</x:v>
      </x:c>
      <x:c r="F80" s="68" t="str">
        <x:v>全局主导性用于区分第一候选和备选</x:v>
      </x:c>
      <x:c r="G80" s="82" t="str">
        <x:v>综合层</x:v>
      </x:c>
      <x:c r="H80" s="82" t="str">
        <x:v>普通格局</x:v>
      </x:c>
      <x:c r="I80" s="68" t="str">
        <x:v>格局候选排序</x:v>
      </x:c>
      <x:c r="J80" s="68" t="str">
        <x:v>待核查月令主气、中气与全局主势</x:v>
      </x:c>
      <x:c r="K80" s="68" t="str">
        <x:v>透干可增强候选，但不作为所有格局的绝对唯一条件</x:v>
      </x:c>
      <x:c r="L80" s="82" t="str">
        <x:v>待定</x:v>
      </x:c>
      <x:c r="M80" s="68" t="str">
        <x:v>待定</x:v>
      </x:c>
      <x:c r="N80" s="68" t="str">
        <x:v>待定</x:v>
      </x:c>
      <x:c r="O80" s="68" t="str">
        <x:v>结合M09日主旺衰与承载判断</x:v>
      </x:c>
      <x:c r="P80" s="68" t="str">
        <x:v>候选格神覆盖月令、透干、根气、组合和主要流通路径</x:v>
      </x:c>
      <x:c r="Q80" s="68" t="str">
        <x:v>不适用</x:v>
      </x:c>
      <x:c r="R80" s="68" t="str">
        <x:v>格神得令、有根、透达、清纯，并得到有效生扶或制化配合</x:v>
      </x:c>
      <x:c r="S80" s="68" t="str">
        <x:v>存在更强月令主气、格神功能被替代或全局主势明显转向其他结构</x:v>
      </x:c>
      <x:c r="T80" s="90" t="str">
        <x:v>格神失效、无真实功能，或候选只由单一表面十神名称产生</x:v>
      </x:c>
      <x:c r="U80" s="68" t="str">
        <x:v>特殊格局、建禄羊刃及明确从化结构另用专门规则</x:v>
      </x:c>
      <x:c r="V80" s="82" t="str">
        <x:v>基本成立</x:v>
      </x:c>
      <x:c r="W80" s="68" t="str">
        <x:v>次候选</x:v>
      </x:c>
      <x:c r="X80" s="84" t="str">
        <x:v>候选排序_全局主导</x:v>
      </x:c>
      <x:c r="Y80" s="84" t="str">
        <x:v>格局候选排序列为“基本成立”：主要依据为月令与格神有效性；仍需M15检验成格、破格、救应与层次。</x:v>
      </x:c>
      <x:c r="Z80" s="82" t="str">
        <x:v>较高</x:v>
      </x:c>
      <x:c r="AA80" s="82" t="str">
        <x:v>子平格局</x:v>
      </x:c>
      <x:c r="AB80" s="68" t="str">
        <x:v>M14只生成和排除格局候选。候选须综合月令、透干、格神有效力量、清纯度、日主配合与全局主导性；候选成立不等于M15最终成格。</x:v>
      </x:c>
      <x:c r="AC80" s="68" t="str">
        <x:v>月令与格神有效性共同支持“格局候选排序”，且没有决定性否决条件。</x:v>
      </x:c>
      <x:c r="AD80" s="90" t="str">
        <x:v>仅见相关十神或五行出现，但月令、格神有效性或全局主导性不成立，不能直接列“格局候选排序”。</x:v>
      </x:c>
      <x:c r="AE80" s="68" t="str">
        <x:v>https://zh.wikisource.org/zh-hans/%E6%B7%B5%E6%B5%B7%E5%AD%90%E5%B9%B3 ; https://zh.wikisource.org/wiki/%E6%BB%B4%E5%A4%A9%E9%AB%93%E9%97%A1%E5%BE%AE</x:v>
      </x:c>
      <x:c r="AF80" s="82" t="str">
        <x:v>采用</x:v>
      </x:c>
      <x:c r="AG80" s="82" t="str">
        <x:v>初审</x:v>
      </x:c>
      <x:c r="AH80" s="87" t="n">
        <x:v>46260</x:v>
      </x:c>
    </x:row>
    <x:row r="81">
      <x:c r="A81" s="72" t="str">
        <x:f>IF(OR(C81="",D81=""),"",B81&amp;"-"&amp;UPPER(C81)&amp;"-"&amp;TEXT(D81,"0000")&amp;"-"&amp;E81)</x:f>
        <x:v>M14-RANK-0075-V1.0</x:v>
      </x:c>
      <x:c r="B81" s="74" t="str">
        <x:v>M14</x:v>
      </x:c>
      <x:c r="C81" s="74" t="str">
        <x:v>RANK</x:v>
      </x:c>
      <x:c r="D81" s="215" t="n">
        <x:v>75</x:v>
      </x:c>
      <x:c r="E81" s="74" t="str">
        <x:v>V1.0</x:v>
      </x:c>
      <x:c r="F81" s="68" t="str">
        <x:v>主候选与替代候选都必须保留排除理由</x:v>
      </x:c>
      <x:c r="G81" s="82" t="str">
        <x:v>综合层</x:v>
      </x:c>
      <x:c r="H81" s="82" t="str">
        <x:v>普通格局</x:v>
      </x:c>
      <x:c r="I81" s="68" t="str">
        <x:v>格局候选排序</x:v>
      </x:c>
      <x:c r="J81" s="68" t="str">
        <x:v>待核查月令主气、中气与全局主势</x:v>
      </x:c>
      <x:c r="K81" s="68" t="str">
        <x:v>透干可增强候选，但不作为所有格局的绝对唯一条件</x:v>
      </x:c>
      <x:c r="L81" s="82" t="str">
        <x:v>待定</x:v>
      </x:c>
      <x:c r="M81" s="68" t="str">
        <x:v>待定</x:v>
      </x:c>
      <x:c r="N81" s="68" t="str">
        <x:v>待定</x:v>
      </x:c>
      <x:c r="O81" s="68" t="str">
        <x:v>结合M09日主旺衰与承载判断</x:v>
      </x:c>
      <x:c r="P81" s="68" t="str">
        <x:v>存在两个以上候选且证据接近</x:v>
      </x:c>
      <x:c r="Q81" s="68" t="str">
        <x:v>不适用</x:v>
      </x:c>
      <x:c r="R81" s="68" t="str">
        <x:v>格神得令、有根、透达、清纯，并得到有效生扶或制化配合</x:v>
      </x:c>
      <x:c r="S81" s="68" t="str">
        <x:v>存在更强月令主气、格神功能被替代或全局主势明显转向其他结构</x:v>
      </x:c>
      <x:c r="T81" s="90" t="str">
        <x:v>格神失效、无真实功能，或候选只由单一表面十神名称产生</x:v>
      </x:c>
      <x:c r="U81" s="68" t="str">
        <x:v>特殊格局、建禄羊刃及明确从化结构另用专门规则</x:v>
      </x:c>
      <x:c r="V81" s="82" t="str">
        <x:v>待定</x:v>
      </x:c>
      <x:c r="W81" s="68" t="str">
        <x:v>并列候选</x:v>
      </x:c>
      <x:c r="X81" s="84" t="str">
        <x:v>候选排序_并列保留</x:v>
      </x:c>
      <x:c r="Y81" s="84" t="str">
        <x:v>证据接近时保留第一候选、第二候选及各自支持/反向证据，不得强行唯一化。</x:v>
      </x:c>
      <x:c r="Z81" s="82" t="str">
        <x:v>中等</x:v>
      </x:c>
      <x:c r="AA81" s="82" t="str">
        <x:v>子平格局</x:v>
      </x:c>
      <x:c r="AB81" s="68" t="str">
        <x:v>M14只生成和排除格局候选。候选须综合月令、透干、格神有效力量、清纯度、日主配合与全局主导性；候选成立不等于M15最终成格。</x:v>
      </x:c>
      <x:c r="AC81" s="68" t="str">
        <x:v>月令与格神有效性共同支持“格局候选排序”，且没有决定性否决条件。</x:v>
      </x:c>
      <x:c r="AD81" s="90" t="str">
        <x:v>仅见相关十神或五行出现，但月令、格神有效性或全局主导性不成立，不能直接列“格局候选排序”。</x:v>
      </x:c>
      <x:c r="AE81" s="68" t="str">
        <x:v>https://zh.wikisource.org/zh-hans/%E6%B7%B5%E6%B5%B7%E5%AD%90%E5%B9%B3 ; https://zh.wikisource.org/wiki/%E6%BB%B4%E5%A4%A9%E9%AB%93%E9%97%A1%E5%BE%AE</x:v>
      </x:c>
      <x:c r="AF81" s="82" t="str">
        <x:v>采用</x:v>
      </x:c>
      <x:c r="AG81" s="82" t="str">
        <x:v>初审</x:v>
      </x:c>
      <x:c r="AH81" s="87" t="n">
        <x:v>46260</x:v>
      </x:c>
    </x:row>
    <x:row r="82">
      <x:c r="A82" s="72" t="str">
        <x:f>IF(OR(C82="",D82=""),"",B82&amp;"-"&amp;UPPER(C82)&amp;"-"&amp;TEXT(D82,"0000")&amp;"-"&amp;E82)</x:f>
        <x:v>M14-RANK-0076-V1.0</x:v>
      </x:c>
      <x:c r="B82" s="74" t="str">
        <x:v>M14</x:v>
      </x:c>
      <x:c r="C82" s="74" t="str">
        <x:v>RANK</x:v>
      </x:c>
      <x:c r="D82" s="215" t="n">
        <x:v>76</x:v>
      </x:c>
      <x:c r="E82" s="74" t="str">
        <x:v>V1.0</x:v>
      </x:c>
      <x:c r="F82" s="68" t="str">
        <x:v>M14最终最多输出一至三个核心候选</x:v>
      </x:c>
      <x:c r="G82" s="82" t="str">
        <x:v>综合层</x:v>
      </x:c>
      <x:c r="H82" s="82" t="str">
        <x:v>普通格局</x:v>
      </x:c>
      <x:c r="I82" s="68" t="str">
        <x:v>格局候选排序</x:v>
      </x:c>
      <x:c r="J82" s="68" t="str">
        <x:v>待核查月令主气、中气与全局主势</x:v>
      </x:c>
      <x:c r="K82" s="68" t="str">
        <x:v>透干可增强候选，但不作为所有格局的绝对唯一条件</x:v>
      </x:c>
      <x:c r="L82" s="82" t="str">
        <x:v>待定</x:v>
      </x:c>
      <x:c r="M82" s="68" t="str">
        <x:v>待定</x:v>
      </x:c>
      <x:c r="N82" s="68" t="str">
        <x:v>待定</x:v>
      </x:c>
      <x:c r="O82" s="68" t="str">
        <x:v>结合M09日主旺衰与承载判断</x:v>
      </x:c>
      <x:c r="P82" s="68" t="str">
        <x:v>完成全部候选生成、排除与排序</x:v>
      </x:c>
      <x:c r="Q82" s="68" t="str">
        <x:v>不适用</x:v>
      </x:c>
      <x:c r="R82" s="68" t="str">
        <x:v>格神得令、有根、透达、清纯，并得到有效生扶或制化配合</x:v>
      </x:c>
      <x:c r="S82" s="68" t="str">
        <x:v>存在更强月令主气、格神功能被替代或全局主势明显转向其他结构</x:v>
      </x:c>
      <x:c r="T82" s="90" t="str">
        <x:v>格神失效、无真实功能，或候选只由单一表面十神名称产生</x:v>
      </x:c>
      <x:c r="U82" s="68" t="str">
        <x:v>特殊格局、建禄羊刃及明确从化结构另用专门规则</x:v>
      </x:c>
      <x:c r="V82" s="82" t="str">
        <x:v>待定</x:v>
      </x:c>
      <x:c r="W82" s="68" t="str">
        <x:v>其他被排除候选</x:v>
      </x:c>
      <x:c r="X82" s="84" t="str">
        <x:v>M14候选输出</x:v>
      </x:c>
      <x:c r="Y82" s="84" t="str">
        <x:v>M14最终输出1—3个核心候选：候选名称、类别、月令依据、格神有效性、日主配合、增强、排除、替代候选、状态与置信度。</x:v>
      </x:c>
      <x:c r="Z82" s="82" t="str">
        <x:v>较高</x:v>
      </x:c>
      <x:c r="AA82" s="82" t="str">
        <x:v>子平格局</x:v>
      </x:c>
      <x:c r="AB82" s="68" t="str">
        <x:v>M14只生成和排除格局候选。候选须综合月令、透干、格神有效力量、清纯度、日主配合与全局主导性；候选成立不等于M15最终成格。</x:v>
      </x:c>
      <x:c r="AC82" s="68" t="str">
        <x:v>月令与格神有效性共同支持“格局候选排序”，且没有决定性否决条件。</x:v>
      </x:c>
      <x:c r="AD82" s="90" t="str">
        <x:v>仅见相关十神或五行出现，但月令、格神有效性或全局主导性不成立，不能直接列“格局候选排序”。</x:v>
      </x:c>
      <x:c r="AE82" s="68" t="str">
        <x:v>https://zh.wikisource.org/zh-hans/%E6%B7%B5%E6%B5%B7%E5%AD%90%E5%B9%B3 ; https://zh.wikisource.org/wiki/%E6%BB%B4%E5%A4%A9%E9%AB%93%E9%97%A1%E5%BE%AE</x:v>
      </x:c>
      <x:c r="AF82" s="82" t="str">
        <x:v>采用</x:v>
      </x:c>
      <x:c r="AG82" s="82" t="str">
        <x:v>初审</x:v>
      </x:c>
      <x:c r="AH82" s="87" t="n">
        <x:v>46260</x:v>
      </x:c>
    </x:row>
    <x:row r="83">
      <x:c r="A83" s="72" t="str">
        <x:f>IF(OR(C83="",D83=""),"",B83&amp;"-"&amp;UPPER(C83)&amp;"-"&amp;TEXT(D83,"0000")&amp;"-"&amp;E83)</x:f>
        <x:v>M14-BOUND-0077-V1.0</x:v>
      </x:c>
      <x:c r="B83" s="74" t="str">
        <x:v>M14</x:v>
      </x:c>
      <x:c r="C83" s="74" t="str">
        <x:v>BOUND</x:v>
      </x:c>
      <x:c r="D83" s="215" t="n">
        <x:v>77</x:v>
      </x:c>
      <x:c r="E83" s="74" t="str">
        <x:v>V1.0</x:v>
      </x:c>
      <x:c r="F83" s="68" t="str">
        <x:v>候选状态不等于最终成格</x:v>
      </x:c>
      <x:c r="G83" s="82" t="str">
        <x:v>综合层</x:v>
      </x:c>
      <x:c r="H83" s="82" t="str">
        <x:v>其他</x:v>
      </x:c>
      <x:c r="I83" s="68" t="str">
        <x:v>格局判断边界</x:v>
      </x:c>
      <x:c r="J83" s="68" t="str">
        <x:v>待核查月令主气、中气与全局主势</x:v>
      </x:c>
      <x:c r="K83" s="68" t="str">
        <x:v>透干可增强候选，但不作为所有格局的绝对唯一条件</x:v>
      </x:c>
      <x:c r="L83" s="82" t="str">
        <x:v>待定</x:v>
      </x:c>
      <x:c r="M83" s="68" t="str">
        <x:v>待定</x:v>
      </x:c>
      <x:c r="N83" s="68" t="str">
        <x:v>待定</x:v>
      </x:c>
      <x:c r="O83" s="68" t="str">
        <x:v>结合M09日主旺衰与承载判断</x:v>
      </x:c>
      <x:c r="P83" s="68" t="str">
        <x:v>M14某候选达到候选或基本成立</x:v>
      </x:c>
      <x:c r="Q83" s="68" t="str">
        <x:v>不适用</x:v>
      </x:c>
      <x:c r="R83" s="68" t="str">
        <x:v>格神得令、有根、透达、清纯，并得到有效生扶或制化配合</x:v>
      </x:c>
      <x:c r="S83" s="68" t="str">
        <x:v>存在更强月令主气、格神功能被替代或全局主势明显转向其他结构</x:v>
      </x:c>
      <x:c r="T83" s="90" t="str">
        <x:v>格神失效、无真实功能，或候选只由单一表面十神名称产生</x:v>
      </x:c>
      <x:c r="U83" s="68" t="str">
        <x:v>特殊格局、建禄羊刃及明确从化结构另用专门规则</x:v>
      </x:c>
      <x:c r="V83" s="82" t="str">
        <x:v>候选</x:v>
      </x:c>
      <x:c r="W83" s="68" t="str">
        <x:v>转M15</x:v>
      </x:c>
      <x:c r="X83" s="84" t="str">
        <x:v>候选成格分离</x:v>
      </x:c>
      <x:c r="Y83" s="84" t="str">
        <x:v>M14只说明值得进入M15审查；不得直接写成最终格局、清纯成立或层次高低。</x:v>
      </x:c>
      <x:c r="Z83" s="82" t="str">
        <x:v>较高</x:v>
      </x:c>
      <x:c r="AA83" s="82" t="str">
        <x:v>子平格局</x:v>
      </x:c>
      <x:c r="AB83" s="68" t="str">
        <x:v>M14只生成和排除格局候选。候选须综合月令、透干、格神有效力量、清纯度、日主配合与全局主导性；候选成立不等于M15最终成格。</x:v>
      </x:c>
      <x:c r="AC83" s="68" t="str">
        <x:v>月令与格神有效性共同支持“格局判断边界”，且没有决定性否决条件。</x:v>
      </x:c>
      <x:c r="AD83" s="90" t="str">
        <x:v>仅见相关十神或五行出现，但月令、格神有效性或全局主导性不成立，不能直接列“格局判断边界”。</x:v>
      </x:c>
      <x:c r="AE83" s="68" t="str">
        <x:v>https://zh.wikisource.org/zh-hans/%E6%B7%B5%E6%B5%B7%E5%AD%90%E5%B9%B3 ; https://zh.wikisource.org/wiki/%E6%BB%B4%E5%A4%A9%E9%AB%93%E9%97%A1%E5%BE%AE</x:v>
      </x:c>
      <x:c r="AF83" s="82" t="str">
        <x:v>采用</x:v>
      </x:c>
      <x:c r="AG83" s="82" t="str">
        <x:v>初审</x:v>
      </x:c>
      <x:c r="AH83" s="87" t="n">
        <x:v>46260</x:v>
      </x:c>
    </x:row>
    <x:row r="84">
      <x:c r="A84" s="72" t="str">
        <x:f>IF(OR(C84="",D84=""),"",B84&amp;"-"&amp;UPPER(C84)&amp;"-"&amp;TEXT(D84,"0000")&amp;"-"&amp;E84)</x:f>
        <x:v>M14-BOUND-0078-V1.0</x:v>
      </x:c>
      <x:c r="B84" s="74" t="str">
        <x:v>M14</x:v>
      </x:c>
      <x:c r="C84" s="74" t="str">
        <x:v>BOUND</x:v>
      </x:c>
      <x:c r="D84" s="215" t="n">
        <x:v>78</x:v>
      </x:c>
      <x:c r="E84" s="74" t="str">
        <x:v>V1.0</x:v>
      </x:c>
      <x:c r="F84" s="68" t="str">
        <x:v>不能只凭月令一个字机械定格</x:v>
      </x:c>
      <x:c r="G84" s="82" t="str">
        <x:v>综合层</x:v>
      </x:c>
      <x:c r="H84" s="82" t="str">
        <x:v>其他</x:v>
      </x:c>
      <x:c r="I84" s="68" t="str">
        <x:v>格局判断边界</x:v>
      </x:c>
      <x:c r="J84" s="68" t="str">
        <x:v>月令提供重要候选来源</x:v>
      </x:c>
      <x:c r="K84" s="68" t="str">
        <x:v>透干可增强候选，但不作为所有格局的绝对唯一条件</x:v>
      </x:c>
      <x:c r="L84" s="82" t="str">
        <x:v>待定</x:v>
      </x:c>
      <x:c r="M84" s="68" t="str">
        <x:v>待定</x:v>
      </x:c>
      <x:c r="N84" s="68" t="str">
        <x:v>待定</x:v>
      </x:c>
      <x:c r="O84" s="68" t="str">
        <x:v>结合M09日主旺衰与承载判断</x:v>
      </x:c>
      <x:c r="P84" s="68" t="str">
        <x:v>仍需格神有效性、透干根气、日主配合和全局主导性</x:v>
      </x:c>
      <x:c r="Q84" s="68" t="str">
        <x:v>不适用</x:v>
      </x:c>
      <x:c r="R84" s="68" t="str">
        <x:v>格神得令、有根、透达、清纯，并得到有效生扶或制化配合</x:v>
      </x:c>
      <x:c r="S84" s="68" t="str">
        <x:v>存在更强月令主气、格神功能被替代或全局主势明显转向其他结构</x:v>
      </x:c>
      <x:c r="T84" s="90" t="str">
        <x:v>仅凭月支藏干标签直接定格</x:v>
      </x:c>
      <x:c r="U84" s="68" t="str">
        <x:v>特殊格局、建禄羊刃及明确从化结构另用专门规则</x:v>
      </x:c>
      <x:c r="V84" s="82" t="str">
        <x:v>不成立</x:v>
      </x:c>
      <x:c r="W84" s="68" t="str">
        <x:v>重新生成候选</x:v>
      </x:c>
      <x:c r="X84" s="84" t="str">
        <x:v>禁止月令一字定格</x:v>
      </x:c>
      <x:c r="Y84" s="84" t="str">
        <x:v>格局判断边界列为“不成立”：主要依据为月令与格神有效性；仍需M15检验成格、破格、救应与层次。</x:v>
      </x:c>
      <x:c r="Z84" s="82" t="str">
        <x:v>较高</x:v>
      </x:c>
      <x:c r="AA84" s="82" t="str">
        <x:v>子平格局</x:v>
      </x:c>
      <x:c r="AB84" s="68" t="str">
        <x:v>M14只生成和排除格局候选。候选须综合月令、透干、格神有效力量、清纯度、日主配合与全局主导性；候选成立不等于M15最终成格。</x:v>
      </x:c>
      <x:c r="AC84" s="68" t="str">
        <x:v>月令与格神有效性共同支持“格局判断边界”，且没有决定性否决条件。</x:v>
      </x:c>
      <x:c r="AD84" s="90" t="str">
        <x:v>仅见相关十神或五行出现，但月令、格神有效性或全局主导性不成立，不能直接列“格局判断边界”。</x:v>
      </x:c>
      <x:c r="AE84" s="68" t="str">
        <x:v>https://zh.wikisource.org/zh-hans/%E6%B7%B5%E6%B5%B7%E5%AD%90%E5%B9%B3 ; https://zh.wikisource.org/wiki/%E6%BB%B4%E5%A4%A9%E9%AB%93%E9%97%A1%E5%BE%AE</x:v>
      </x:c>
      <x:c r="AF84" s="82" t="str">
        <x:v>采用</x:v>
      </x:c>
      <x:c r="AG84" s="82" t="str">
        <x:v>初审</x:v>
      </x:c>
      <x:c r="AH84" s="87" t="n">
        <x:v>46260</x:v>
      </x:c>
    </x:row>
    <x:row r="85">
      <x:c r="A85" s="72" t="str">
        <x:f>IF(OR(C85="",D85=""),"",B85&amp;"-"&amp;UPPER(C85)&amp;"-"&amp;TEXT(D85,"0000")&amp;"-"&amp;E85)</x:f>
        <x:v>M14-BOUND-0079-V1.0</x:v>
      </x:c>
      <x:c r="B85" s="74" t="str">
        <x:v>M14</x:v>
      </x:c>
      <x:c r="C85" s="74" t="str">
        <x:v>BOUND</x:v>
      </x:c>
      <x:c r="D85" s="215" t="n">
        <x:v>79</x:v>
      </x:c>
      <x:c r="E85" s="74" t="str">
        <x:v>V1.0</x:v>
      </x:c>
      <x:c r="F85" s="68" t="str">
        <x:v>格局候选不能直接推出富贵贫贱或具体事件</x:v>
      </x:c>
      <x:c r="G85" s="82" t="str">
        <x:v>综合层</x:v>
      </x:c>
      <x:c r="H85" s="82" t="str">
        <x:v>其他</x:v>
      </x:c>
      <x:c r="I85" s="68" t="str">
        <x:v>格局判断边界</x:v>
      </x:c>
      <x:c r="J85" s="68" t="str">
        <x:v>待核查月令主气、中气与全局主势</x:v>
      </x:c>
      <x:c r="K85" s="68" t="str">
        <x:v>透干可增强候选，但不作为所有格局的绝对唯一条件</x:v>
      </x:c>
      <x:c r="L85" s="82" t="str">
        <x:v>待定</x:v>
      </x:c>
      <x:c r="M85" s="68" t="str">
        <x:v>待定</x:v>
      </x:c>
      <x:c r="N85" s="68" t="str">
        <x:v>待定</x:v>
      </x:c>
      <x:c r="O85" s="68" t="str">
        <x:v>结合M09日主旺衰与承载判断</x:v>
      </x:c>
      <x:c r="P85" s="68" t="str">
        <x:v>格局候选已经确定</x:v>
      </x:c>
      <x:c r="Q85" s="68" t="str">
        <x:v>不适用</x:v>
      </x:c>
      <x:c r="R85" s="68" t="str">
        <x:v>格神得令、有根、透达、清纯，并得到有效生扶或制化配合</x:v>
      </x:c>
      <x:c r="S85" s="68" t="str">
        <x:v>存在更强月令主气、格神功能被替代或全局主势明显转向其他结构</x:v>
      </x:c>
      <x:c r="T85" s="90" t="str">
        <x:v>格神失效、无真实功能，或候选只由单一表面十神名称产生</x:v>
      </x:c>
      <x:c r="U85" s="68" t="str">
        <x:v>特殊格局、建禄羊刃及明确从化结构另用专门规则</x:v>
      </x:c>
      <x:c r="V85" s="82" t="str">
        <x:v>待定</x:v>
      </x:c>
      <x:c r="W85" s="68" t="str">
        <x:v>上层模型</x:v>
      </x:c>
      <x:c r="X85" s="84" t="str">
        <x:v>格局事件边界</x:v>
      </x:c>
      <x:c r="Y85" s="84" t="str">
        <x:v>格局候选仅为结构分类，不直接推出财富、职位、婚姻、健康或具体人生事件。</x:v>
      </x:c>
      <x:c r="Z85" s="82" t="str">
        <x:v>较高</x:v>
      </x:c>
      <x:c r="AA85" s="82" t="str">
        <x:v>子平格局</x:v>
      </x:c>
      <x:c r="AB85" s="68" t="str">
        <x:v>M14只生成和排除格局候选。候选须综合月令、透干、格神有效力量、清纯度、日主配合与全局主导性；候选成立不等于M15最终成格。</x:v>
      </x:c>
      <x:c r="AC85" s="68" t="str">
        <x:v>月令与格神有效性共同支持“格局判断边界”，且没有决定性否决条件。</x:v>
      </x:c>
      <x:c r="AD85" s="90" t="str">
        <x:v>仅见相关十神或五行出现，但月令、格神有效性或全局主导性不成立，不能直接列“格局判断边界”。</x:v>
      </x:c>
      <x:c r="AE85" s="68" t="str">
        <x:v>https://zh.wikisource.org/zh-hans/%E6%B7%B5%E6%B5%B7%E5%AD%90%E5%B9%B3 ; https://zh.wikisource.org/wiki/%E6%BB%B4%E5%A4%A9%E9%AB%93%E9%97%A1%E5%BE%AE</x:v>
      </x:c>
      <x:c r="AF85" s="82" t="str">
        <x:v>采用</x:v>
      </x:c>
      <x:c r="AG85" s="82" t="str">
        <x:v>初审</x:v>
      </x:c>
      <x:c r="AH85" s="87" t="n">
        <x:v>46260</x:v>
      </x:c>
    </x:row>
    <x:row r="86">
      <x:c r="A86" s="72" t="str">
        <x:f>IF(OR(C86="",D86=""),"",B86&amp;"-"&amp;UPPER(C86)&amp;"-"&amp;TEXT(D86,"0000")&amp;"-"&amp;E86)</x:f>
        <x:v>M14-BOUND-0080-V1.0</x:v>
      </x:c>
      <x:c r="B86" s="74" t="str">
        <x:v>M14</x:v>
      </x:c>
      <x:c r="C86" s="74" t="str">
        <x:v>BOUND</x:v>
      </x:c>
      <x:c r="D86" s="215" t="n">
        <x:v>80</x:v>
      </x:c>
      <x:c r="E86" s="74" t="str">
        <x:v>V1.0</x:v>
      </x:c>
      <x:c r="F86" s="68" t="str">
        <x:v>原局候选与岁运成格必须分开</x:v>
      </x:c>
      <x:c r="G86" s="82" t="str">
        <x:v>综合层</x:v>
      </x:c>
      <x:c r="H86" s="82" t="str">
        <x:v>其他</x:v>
      </x:c>
      <x:c r="I86" s="68" t="str">
        <x:v>格局判断边界</x:v>
      </x:c>
      <x:c r="J86" s="68" t="str">
        <x:v>待核查月令主气、中气与全局主势</x:v>
      </x:c>
      <x:c r="K86" s="68" t="str">
        <x:v>透干可增强候选，但不作为所有格局的绝对唯一条件</x:v>
      </x:c>
      <x:c r="L86" s="82" t="str">
        <x:v>待定</x:v>
      </x:c>
      <x:c r="M86" s="68" t="str">
        <x:v>待定</x:v>
      </x:c>
      <x:c r="N86" s="68" t="str">
        <x:v>待定</x:v>
      </x:c>
      <x:c r="O86" s="68" t="str">
        <x:v>结合M09日主旺衰与承载判断</x:v>
      </x:c>
      <x:c r="P86" s="68" t="str">
        <x:v>原局缺少关键格神、清化或严格条件，但未来岁运可能补足</x:v>
      </x:c>
      <x:c r="Q86" s="68" t="str">
        <x:v>不适用</x:v>
      </x:c>
      <x:c r="R86" s="68" t="str">
        <x:v>格神得令、有根、透达、清纯，并得到有效生扶或制化配合</x:v>
      </x:c>
      <x:c r="S86" s="68" t="str">
        <x:v>存在更强月令主气、格神功能被替代或全局主势明显转向其他结构</x:v>
      </x:c>
      <x:c r="T86" s="90" t="str">
        <x:v>格神失效、无真实功能，或候选只由单一表面十神名称产生</x:v>
      </x:c>
      <x:c r="U86" s="68" t="str">
        <x:v>岁运补成由动态作用引擎判断</x:v>
      </x:c>
      <x:c r="V86" s="82" t="str">
        <x:v>不成立</x:v>
      </x:c>
      <x:c r="W86" s="68" t="str">
        <x:v>岁运触发候选</x:v>
      </x:c>
      <x:c r="X86" s="84" t="str">
        <x:v>格局静动态边界</x:v>
      </x:c>
      <x:c r="Y86" s="84" t="str">
        <x:v>原局未满足候选门槛时不得用未来岁运提前认定原局成格。</x:v>
      </x:c>
      <x:c r="Z86" s="82" t="str">
        <x:v>较高</x:v>
      </x:c>
      <x:c r="AA86" s="82" t="str">
        <x:v>子平格局</x:v>
      </x:c>
      <x:c r="AB86" s="68" t="str">
        <x:v>M14只生成和排除格局候选。候选须综合月令、透干、格神有效力量、清纯度、日主配合与全局主导性；候选成立不等于M15最终成格。</x:v>
      </x:c>
      <x:c r="AC86" s="68" t="str">
        <x:v>月令与格神有效性共同支持“格局判断边界”，且没有决定性否决条件。</x:v>
      </x:c>
      <x:c r="AD86" s="90" t="str">
        <x:v>仅见相关十神或五行出现，但月令、格神有效性或全局主导性不成立，不能直接列“格局判断边界”。</x:v>
      </x:c>
      <x:c r="AE86" s="68" t="str">
        <x:v>https://zh.wikisource.org/zh-hans/%E6%B7%B5%E6%B5%B7%E5%AD%90%E5%B9%B3 ; https://zh.wikisource.org/wiki/%E6%BB%B4%E5%A4%A9%E9%AB%93%E9%97%A1%E5%BE%AE</x:v>
      </x:c>
      <x:c r="AF86" s="82" t="str">
        <x:v>采用</x:v>
      </x:c>
      <x:c r="AG86" s="82" t="str">
        <x:v>初审</x:v>
      </x:c>
      <x:c r="AH86" s="87" t="n">
        <x:v>46260</x:v>
      </x:c>
    </x:row>
    <x:row r="87">
      <x:c r="A87" s="72" t="str">
        <x:f>IF(OR(C87="",D87=""),"",B87&amp;"-"&amp;UPPER(C87)&amp;"-"&amp;TEXT(D87,"0000")&amp;"-"&amp;E87)</x:f>
      </x:c>
      <x:c r="B87" s="74" t="str">
        <x:v>M14</x:v>
      </x:c>
      <x:c r="C87" s="74"/>
      <x:c r="D87" s="79"/>
      <x:c r="E87" s="74" t="str">
        <x:v>V1.0</x:v>
      </x:c>
      <x:c r="F87" s="68"/>
      <x:c r="G87" s="82"/>
      <x:c r="H87" s="82"/>
      <x:c r="I87" s="68"/>
      <x:c r="J87" s="68"/>
      <x:c r="K87" s="68"/>
      <x:c r="L87" s="82"/>
      <x:c r="M87" s="68"/>
      <x:c r="N87" s="68"/>
      <x:c r="O87" s="68"/>
      <x:c r="P87" s="68"/>
      <x:c r="Q87" s="68"/>
      <x:c r="R87" s="68"/>
      <x:c r="S87" s="68"/>
      <x:c r="T87" s="90"/>
      <x:c r="U87" s="68"/>
      <x:c r="V87" s="82"/>
      <x:c r="W87" s="68"/>
      <x:c r="X87" s="84"/>
      <x:c r="Y87" s="84"/>
      <x:c r="Z87" s="82"/>
      <x:c r="AA87" s="82"/>
      <x:c r="AB87" s="68"/>
      <x:c r="AC87" s="68"/>
      <x:c r="AD87" s="90"/>
      <x:c r="AE87" s="68"/>
      <x:c r="AF87" s="82"/>
      <x:c r="AG87" s="82"/>
      <x:c r="AH87" s="87"/>
    </x:row>
    <x:row r="88">
      <x:c r="A88" s="72" t="str">
        <x:f>IF(OR(C88="",D88=""),"",B88&amp;"-"&amp;UPPER(C88)&amp;"-"&amp;TEXT(D88,"0000")&amp;"-"&amp;E88)</x:f>
      </x:c>
      <x:c r="B88" s="74" t="str">
        <x:v>M14</x:v>
      </x:c>
      <x:c r="C88" s="74"/>
      <x:c r="D88" s="79"/>
      <x:c r="E88" s="74" t="str">
        <x:v>V1.0</x:v>
      </x:c>
      <x:c r="F88" s="68"/>
      <x:c r="G88" s="82"/>
      <x:c r="H88" s="82"/>
      <x:c r="I88" s="68"/>
      <x:c r="J88" s="68"/>
      <x:c r="K88" s="68"/>
      <x:c r="L88" s="82"/>
      <x:c r="M88" s="68"/>
      <x:c r="N88" s="68"/>
      <x:c r="O88" s="68"/>
      <x:c r="P88" s="68"/>
      <x:c r="Q88" s="68"/>
      <x:c r="R88" s="68"/>
      <x:c r="S88" s="68"/>
      <x:c r="T88" s="90"/>
      <x:c r="U88" s="68"/>
      <x:c r="V88" s="82"/>
      <x:c r="W88" s="68"/>
      <x:c r="X88" s="84"/>
      <x:c r="Y88" s="84"/>
      <x:c r="Z88" s="82"/>
      <x:c r="AA88" s="82"/>
      <x:c r="AB88" s="68"/>
      <x:c r="AC88" s="68"/>
      <x:c r="AD88" s="90"/>
      <x:c r="AE88" s="68"/>
      <x:c r="AF88" s="82"/>
      <x:c r="AG88" s="82"/>
      <x:c r="AH88" s="87"/>
    </x:row>
    <x:row r="89">
      <x:c r="A89" s="72" t="str">
        <x:f>IF(OR(C89="",D89=""),"",B89&amp;"-"&amp;UPPER(C89)&amp;"-"&amp;TEXT(D89,"0000")&amp;"-"&amp;E89)</x:f>
      </x:c>
      <x:c r="B89" s="74" t="str">
        <x:v>M14</x:v>
      </x:c>
      <x:c r="C89" s="74"/>
      <x:c r="D89" s="79"/>
      <x:c r="E89" s="74" t="str">
        <x:v>V1.0</x:v>
      </x:c>
      <x:c r="F89" s="68"/>
      <x:c r="G89" s="82"/>
      <x:c r="H89" s="82"/>
      <x:c r="I89" s="68"/>
      <x:c r="J89" s="68"/>
      <x:c r="K89" s="68"/>
      <x:c r="L89" s="82"/>
      <x:c r="M89" s="68"/>
      <x:c r="N89" s="68"/>
      <x:c r="O89" s="68"/>
      <x:c r="P89" s="68"/>
      <x:c r="Q89" s="68"/>
      <x:c r="R89" s="68"/>
      <x:c r="S89" s="68"/>
      <x:c r="T89" s="90"/>
      <x:c r="U89" s="68"/>
      <x:c r="V89" s="82"/>
      <x:c r="W89" s="68"/>
      <x:c r="X89" s="84"/>
      <x:c r="Y89" s="84"/>
      <x:c r="Z89" s="82"/>
      <x:c r="AA89" s="82"/>
      <x:c r="AB89" s="68"/>
      <x:c r="AC89" s="68"/>
      <x:c r="AD89" s="90"/>
      <x:c r="AE89" s="68"/>
      <x:c r="AF89" s="82"/>
      <x:c r="AG89" s="82"/>
      <x:c r="AH89" s="87"/>
    </x:row>
    <x:row r="90">
      <x:c r="A90" s="72" t="str">
        <x:f>IF(OR(C90="",D90=""),"",B90&amp;"-"&amp;UPPER(C90)&amp;"-"&amp;TEXT(D90,"0000")&amp;"-"&amp;E90)</x:f>
      </x:c>
      <x:c r="B90" s="74" t="str">
        <x:v>M14</x:v>
      </x:c>
      <x:c r="C90" s="74"/>
      <x:c r="D90" s="79"/>
      <x:c r="E90" s="74" t="str">
        <x:v>V1.0</x:v>
      </x:c>
      <x:c r="F90" s="68"/>
      <x:c r="G90" s="82"/>
      <x:c r="H90" s="82"/>
      <x:c r="I90" s="68"/>
      <x:c r="J90" s="68"/>
      <x:c r="K90" s="68"/>
      <x:c r="L90" s="82"/>
      <x:c r="M90" s="68"/>
      <x:c r="N90" s="68"/>
      <x:c r="O90" s="68"/>
      <x:c r="P90" s="68"/>
      <x:c r="Q90" s="68"/>
      <x:c r="R90" s="68"/>
      <x:c r="S90" s="68"/>
      <x:c r="T90" s="90"/>
      <x:c r="U90" s="68"/>
      <x:c r="V90" s="82"/>
      <x:c r="W90" s="68"/>
      <x:c r="X90" s="84"/>
      <x:c r="Y90" s="84"/>
      <x:c r="Z90" s="82"/>
      <x:c r="AA90" s="82"/>
      <x:c r="AB90" s="68"/>
      <x:c r="AC90" s="68"/>
      <x:c r="AD90" s="90"/>
      <x:c r="AE90" s="68"/>
      <x:c r="AF90" s="82"/>
      <x:c r="AG90" s="82"/>
      <x:c r="AH90" s="87"/>
    </x:row>
    <x:row r="91">
      <x:c r="A91" s="72" t="str">
        <x:f>IF(OR(C91="",D91=""),"",B91&amp;"-"&amp;UPPER(C91)&amp;"-"&amp;TEXT(D91,"0000")&amp;"-"&amp;E91)</x:f>
      </x:c>
      <x:c r="B91" s="74" t="str">
        <x:v>M14</x:v>
      </x:c>
      <x:c r="C91" s="74"/>
      <x:c r="D91" s="79"/>
      <x:c r="E91" s="74" t="str">
        <x:v>V1.0</x:v>
      </x:c>
      <x:c r="F91" s="68"/>
      <x:c r="G91" s="82"/>
      <x:c r="H91" s="82"/>
      <x:c r="I91" s="68"/>
      <x:c r="J91" s="68"/>
      <x:c r="K91" s="68"/>
      <x:c r="L91" s="82"/>
      <x:c r="M91" s="68"/>
      <x:c r="N91" s="68"/>
      <x:c r="O91" s="68"/>
      <x:c r="P91" s="68"/>
      <x:c r="Q91" s="68"/>
      <x:c r="R91" s="68"/>
      <x:c r="S91" s="68"/>
      <x:c r="T91" s="90"/>
      <x:c r="U91" s="68"/>
      <x:c r="V91" s="82"/>
      <x:c r="W91" s="68"/>
      <x:c r="X91" s="84"/>
      <x:c r="Y91" s="84"/>
      <x:c r="Z91" s="82"/>
      <x:c r="AA91" s="82"/>
      <x:c r="AB91" s="68"/>
      <x:c r="AC91" s="68"/>
      <x:c r="AD91" s="90"/>
      <x:c r="AE91" s="68"/>
      <x:c r="AF91" s="82"/>
      <x:c r="AG91" s="82"/>
      <x:c r="AH91" s="87"/>
    </x:row>
    <x:row r="92">
      <x:c r="A92" s="72" t="str">
        <x:f>IF(OR(C92="",D92=""),"",B92&amp;"-"&amp;UPPER(C92)&amp;"-"&amp;TEXT(D92,"0000")&amp;"-"&amp;E92)</x:f>
      </x:c>
      <x:c r="B92" s="74" t="str">
        <x:v>M14</x:v>
      </x:c>
      <x:c r="C92" s="74"/>
      <x:c r="D92" s="79"/>
      <x:c r="E92" s="74" t="str">
        <x:v>V1.0</x:v>
      </x:c>
      <x:c r="F92" s="68"/>
      <x:c r="G92" s="82"/>
      <x:c r="H92" s="82"/>
      <x:c r="I92" s="68"/>
      <x:c r="J92" s="68"/>
      <x:c r="K92" s="68"/>
      <x:c r="L92" s="82"/>
      <x:c r="M92" s="68"/>
      <x:c r="N92" s="68"/>
      <x:c r="O92" s="68"/>
      <x:c r="P92" s="68"/>
      <x:c r="Q92" s="68"/>
      <x:c r="R92" s="68"/>
      <x:c r="S92" s="68"/>
      <x:c r="T92" s="90"/>
      <x:c r="U92" s="68"/>
      <x:c r="V92" s="82"/>
      <x:c r="W92" s="68"/>
      <x:c r="X92" s="84"/>
      <x:c r="Y92" s="84"/>
      <x:c r="Z92" s="82"/>
      <x:c r="AA92" s="82"/>
      <x:c r="AB92" s="68"/>
      <x:c r="AC92" s="68"/>
      <x:c r="AD92" s="90"/>
      <x:c r="AE92" s="68"/>
      <x:c r="AF92" s="82"/>
      <x:c r="AG92" s="82"/>
      <x:c r="AH92" s="87"/>
    </x:row>
    <x:row r="93">
      <x:c r="A93" s="72" t="str">
        <x:f>IF(OR(C93="",D93=""),"",B93&amp;"-"&amp;UPPER(C93)&amp;"-"&amp;TEXT(D93,"0000")&amp;"-"&amp;E93)</x:f>
      </x:c>
      <x:c r="B93" s="74" t="str">
        <x:v>M14</x:v>
      </x:c>
      <x:c r="C93" s="74"/>
      <x:c r="D93" s="79"/>
      <x:c r="E93" s="74" t="str">
        <x:v>V1.0</x:v>
      </x:c>
      <x:c r="F93" s="68"/>
      <x:c r="G93" s="82"/>
      <x:c r="H93" s="82"/>
      <x:c r="I93" s="68"/>
      <x:c r="J93" s="68"/>
      <x:c r="K93" s="68"/>
      <x:c r="L93" s="82"/>
      <x:c r="M93" s="68"/>
      <x:c r="N93" s="68"/>
      <x:c r="O93" s="68"/>
      <x:c r="P93" s="68"/>
      <x:c r="Q93" s="68"/>
      <x:c r="R93" s="68"/>
      <x:c r="S93" s="68"/>
      <x:c r="T93" s="90"/>
      <x:c r="U93" s="68"/>
      <x:c r="V93" s="82"/>
      <x:c r="W93" s="68"/>
      <x:c r="X93" s="84"/>
      <x:c r="Y93" s="84"/>
      <x:c r="Z93" s="82"/>
      <x:c r="AA93" s="82"/>
      <x:c r="AB93" s="68"/>
      <x:c r="AC93" s="68"/>
      <x:c r="AD93" s="90"/>
      <x:c r="AE93" s="68"/>
      <x:c r="AF93" s="82"/>
      <x:c r="AG93" s="82"/>
      <x:c r="AH93" s="87"/>
    </x:row>
    <x:row r="94">
      <x:c r="A94" s="72" t="str">
        <x:f>IF(OR(C94="",D94=""),"",B94&amp;"-"&amp;UPPER(C94)&amp;"-"&amp;TEXT(D94,"0000")&amp;"-"&amp;E94)</x:f>
      </x:c>
      <x:c r="B94" s="74" t="str">
        <x:v>M14</x:v>
      </x:c>
      <x:c r="C94" s="74"/>
      <x:c r="D94" s="79"/>
      <x:c r="E94" s="74" t="str">
        <x:v>V1.0</x:v>
      </x:c>
      <x:c r="F94" s="68"/>
      <x:c r="G94" s="82"/>
      <x:c r="H94" s="82"/>
      <x:c r="I94" s="68"/>
      <x:c r="J94" s="68"/>
      <x:c r="K94" s="68"/>
      <x:c r="L94" s="82"/>
      <x:c r="M94" s="68"/>
      <x:c r="N94" s="68"/>
      <x:c r="O94" s="68"/>
      <x:c r="P94" s="68"/>
      <x:c r="Q94" s="68"/>
      <x:c r="R94" s="68"/>
      <x:c r="S94" s="68"/>
      <x:c r="T94" s="90"/>
      <x:c r="U94" s="68"/>
      <x:c r="V94" s="82"/>
      <x:c r="W94" s="68"/>
      <x:c r="X94" s="84"/>
      <x:c r="Y94" s="84"/>
      <x:c r="Z94" s="82"/>
      <x:c r="AA94" s="82"/>
      <x:c r="AB94" s="68"/>
      <x:c r="AC94" s="68"/>
      <x:c r="AD94" s="90"/>
      <x:c r="AE94" s="68"/>
      <x:c r="AF94" s="82"/>
      <x:c r="AG94" s="82"/>
      <x:c r="AH94" s="87"/>
    </x:row>
    <x:row r="95">
      <x:c r="A95" s="72" t="str">
        <x:f>IF(OR(C95="",D95=""),"",B95&amp;"-"&amp;UPPER(C95)&amp;"-"&amp;TEXT(D95,"0000")&amp;"-"&amp;E95)</x:f>
      </x:c>
      <x:c r="B95" s="74" t="str">
        <x:v>M14</x:v>
      </x:c>
      <x:c r="C95" s="74"/>
      <x:c r="D95" s="79"/>
      <x:c r="E95" s="74" t="str">
        <x:v>V1.0</x:v>
      </x:c>
      <x:c r="F95" s="68"/>
      <x:c r="G95" s="82"/>
      <x:c r="H95" s="82"/>
      <x:c r="I95" s="68"/>
      <x:c r="J95" s="68"/>
      <x:c r="K95" s="68"/>
      <x:c r="L95" s="82"/>
      <x:c r="M95" s="68"/>
      <x:c r="N95" s="68"/>
      <x:c r="O95" s="68"/>
      <x:c r="P95" s="68"/>
      <x:c r="Q95" s="68"/>
      <x:c r="R95" s="68"/>
      <x:c r="S95" s="68"/>
      <x:c r="T95" s="90"/>
      <x:c r="U95" s="68"/>
      <x:c r="V95" s="82"/>
      <x:c r="W95" s="68"/>
      <x:c r="X95" s="84"/>
      <x:c r="Y95" s="84"/>
      <x:c r="Z95" s="82"/>
      <x:c r="AA95" s="82"/>
      <x:c r="AB95" s="68"/>
      <x:c r="AC95" s="68"/>
      <x:c r="AD95" s="90"/>
      <x:c r="AE95" s="68"/>
      <x:c r="AF95" s="82"/>
      <x:c r="AG95" s="82"/>
      <x:c r="AH95" s="87"/>
    </x:row>
    <x:row r="96">
      <x:c r="A96" s="72" t="str">
        <x:f>IF(OR(C96="",D96=""),"",B96&amp;"-"&amp;UPPER(C96)&amp;"-"&amp;TEXT(D96,"0000")&amp;"-"&amp;E96)</x:f>
      </x:c>
      <x:c r="B96" s="74" t="str">
        <x:v>M14</x:v>
      </x:c>
      <x:c r="C96" s="74"/>
      <x:c r="D96" s="79"/>
      <x:c r="E96" s="74" t="str">
        <x:v>V1.0</x:v>
      </x:c>
      <x:c r="F96" s="68"/>
      <x:c r="G96" s="82"/>
      <x:c r="H96" s="82"/>
      <x:c r="I96" s="68"/>
      <x:c r="J96" s="68"/>
      <x:c r="K96" s="68"/>
      <x:c r="L96" s="82"/>
      <x:c r="M96" s="68"/>
      <x:c r="N96" s="68"/>
      <x:c r="O96" s="68"/>
      <x:c r="P96" s="68"/>
      <x:c r="Q96" s="68"/>
      <x:c r="R96" s="68"/>
      <x:c r="S96" s="68"/>
      <x:c r="T96" s="90"/>
      <x:c r="U96" s="68"/>
      <x:c r="V96" s="82"/>
      <x:c r="W96" s="68"/>
      <x:c r="X96" s="84"/>
      <x:c r="Y96" s="84"/>
      <x:c r="Z96" s="82"/>
      <x:c r="AA96" s="82"/>
      <x:c r="AB96" s="68"/>
      <x:c r="AC96" s="68"/>
      <x:c r="AD96" s="90"/>
      <x:c r="AE96" s="68"/>
      <x:c r="AF96" s="82"/>
      <x:c r="AG96" s="82"/>
      <x:c r="AH96" s="87"/>
    </x:row>
    <x:row r="97">
      <x:c r="A97" s="72" t="str">
        <x:f>IF(OR(C97="",D97=""),"",B97&amp;"-"&amp;UPPER(C97)&amp;"-"&amp;TEXT(D97,"0000")&amp;"-"&amp;E97)</x:f>
      </x:c>
      <x:c r="B97" s="74" t="str">
        <x:v>M14</x:v>
      </x:c>
      <x:c r="C97" s="74"/>
      <x:c r="D97" s="79"/>
      <x:c r="E97" s="74" t="str">
        <x:v>V1.0</x:v>
      </x:c>
      <x:c r="F97" s="68"/>
      <x:c r="G97" s="82"/>
      <x:c r="H97" s="82"/>
      <x:c r="I97" s="68"/>
      <x:c r="J97" s="68"/>
      <x:c r="K97" s="68"/>
      <x:c r="L97" s="82"/>
      <x:c r="M97" s="68"/>
      <x:c r="N97" s="68"/>
      <x:c r="O97" s="68"/>
      <x:c r="P97" s="68"/>
      <x:c r="Q97" s="68"/>
      <x:c r="R97" s="68"/>
      <x:c r="S97" s="68"/>
      <x:c r="T97" s="90"/>
      <x:c r="U97" s="68"/>
      <x:c r="V97" s="82"/>
      <x:c r="W97" s="68"/>
      <x:c r="X97" s="84"/>
      <x:c r="Y97" s="84"/>
      <x:c r="Z97" s="82"/>
      <x:c r="AA97" s="82"/>
      <x:c r="AB97" s="68"/>
      <x:c r="AC97" s="68"/>
      <x:c r="AD97" s="90"/>
      <x:c r="AE97" s="68"/>
      <x:c r="AF97" s="82"/>
      <x:c r="AG97" s="82"/>
      <x:c r="AH97" s="87"/>
    </x:row>
    <x:row r="98">
      <x:c r="A98" s="72" t="str">
        <x:f>IF(OR(C98="",D98=""),"",B98&amp;"-"&amp;UPPER(C98)&amp;"-"&amp;TEXT(D98,"0000")&amp;"-"&amp;E98)</x:f>
      </x:c>
      <x:c r="B98" s="74" t="str">
        <x:v>M14</x:v>
      </x:c>
      <x:c r="C98" s="74"/>
      <x:c r="D98" s="79"/>
      <x:c r="E98" s="74" t="str">
        <x:v>V1.0</x:v>
      </x:c>
      <x:c r="F98" s="68"/>
      <x:c r="G98" s="82"/>
      <x:c r="H98" s="82"/>
      <x:c r="I98" s="68"/>
      <x:c r="J98" s="68"/>
      <x:c r="K98" s="68"/>
      <x:c r="L98" s="82"/>
      <x:c r="M98" s="68"/>
      <x:c r="N98" s="68"/>
      <x:c r="O98" s="68"/>
      <x:c r="P98" s="68"/>
      <x:c r="Q98" s="68"/>
      <x:c r="R98" s="68"/>
      <x:c r="S98" s="68"/>
      <x:c r="T98" s="90"/>
      <x:c r="U98" s="68"/>
      <x:c r="V98" s="82"/>
      <x:c r="W98" s="68"/>
      <x:c r="X98" s="84"/>
      <x:c r="Y98" s="84"/>
      <x:c r="Z98" s="82"/>
      <x:c r="AA98" s="82"/>
      <x:c r="AB98" s="68"/>
      <x:c r="AC98" s="68"/>
      <x:c r="AD98" s="90"/>
      <x:c r="AE98" s="68"/>
      <x:c r="AF98" s="82"/>
      <x:c r="AG98" s="82"/>
      <x:c r="AH98" s="87"/>
    </x:row>
    <x:row r="99">
      <x:c r="A99" s="72" t="str">
        <x:f>IF(OR(C99="",D99=""),"",B99&amp;"-"&amp;UPPER(C99)&amp;"-"&amp;TEXT(D99,"0000")&amp;"-"&amp;E99)</x:f>
      </x:c>
      <x:c r="B99" s="74" t="str">
        <x:v>M14</x:v>
      </x:c>
      <x:c r="C99" s="74"/>
      <x:c r="D99" s="79"/>
      <x:c r="E99" s="74" t="str">
        <x:v>V1.0</x:v>
      </x:c>
      <x:c r="F99" s="68"/>
      <x:c r="G99" s="82"/>
      <x:c r="H99" s="82"/>
      <x:c r="I99" s="68"/>
      <x:c r="J99" s="68"/>
      <x:c r="K99" s="68"/>
      <x:c r="L99" s="82"/>
      <x:c r="M99" s="68"/>
      <x:c r="N99" s="68"/>
      <x:c r="O99" s="68"/>
      <x:c r="P99" s="68"/>
      <x:c r="Q99" s="68"/>
      <x:c r="R99" s="68"/>
      <x:c r="S99" s="68"/>
      <x:c r="T99" s="90"/>
      <x:c r="U99" s="68"/>
      <x:c r="V99" s="82"/>
      <x:c r="W99" s="68"/>
      <x:c r="X99" s="84"/>
      <x:c r="Y99" s="84"/>
      <x:c r="Z99" s="82"/>
      <x:c r="AA99" s="82"/>
      <x:c r="AB99" s="68"/>
      <x:c r="AC99" s="68"/>
      <x:c r="AD99" s="90"/>
      <x:c r="AE99" s="68"/>
      <x:c r="AF99" s="82"/>
      <x:c r="AG99" s="82"/>
      <x:c r="AH99" s="87"/>
    </x:row>
    <x:row r="100">
      <x:c r="A100" s="72" t="str">
        <x:f>IF(OR(C100="",D100=""),"",B100&amp;"-"&amp;UPPER(C100)&amp;"-"&amp;TEXT(D100,"0000")&amp;"-"&amp;E100)</x:f>
      </x:c>
      <x:c r="B100" s="74" t="str">
        <x:v>M14</x:v>
      </x:c>
      <x:c r="C100" s="74"/>
      <x:c r="D100" s="79"/>
      <x:c r="E100" s="74" t="str">
        <x:v>V1.0</x:v>
      </x:c>
      <x:c r="F100" s="68"/>
      <x:c r="G100" s="82"/>
      <x:c r="H100" s="82"/>
      <x:c r="I100" s="68"/>
      <x:c r="J100" s="68"/>
      <x:c r="K100" s="68"/>
      <x:c r="L100" s="82"/>
      <x:c r="M100" s="68"/>
      <x:c r="N100" s="68"/>
      <x:c r="O100" s="68"/>
      <x:c r="P100" s="68"/>
      <x:c r="Q100" s="68"/>
      <x:c r="R100" s="68"/>
      <x:c r="S100" s="68"/>
      <x:c r="T100" s="90"/>
      <x:c r="U100" s="68"/>
      <x:c r="V100" s="82"/>
      <x:c r="W100" s="68"/>
      <x:c r="X100" s="84"/>
      <x:c r="Y100" s="84"/>
      <x:c r="Z100" s="82"/>
      <x:c r="AA100" s="82"/>
      <x:c r="AB100" s="68"/>
      <x:c r="AC100" s="68"/>
      <x:c r="AD100" s="90"/>
      <x:c r="AE100" s="68"/>
      <x:c r="AF100" s="82"/>
      <x:c r="AG100" s="82"/>
      <x:c r="AH100" s="87"/>
    </x:row>
    <x:row r="101">
      <x:c r="A101" s="72" t="str">
        <x:f>IF(OR(C101="",D101=""),"",B101&amp;"-"&amp;UPPER(C101)&amp;"-"&amp;TEXT(D101,"0000")&amp;"-"&amp;E101)</x:f>
      </x:c>
      <x:c r="B101" s="74" t="str">
        <x:v>M14</x:v>
      </x:c>
      <x:c r="C101" s="74"/>
      <x:c r="D101" s="79"/>
      <x:c r="E101" s="74" t="str">
        <x:v>V1.0</x:v>
      </x:c>
      <x:c r="F101" s="68"/>
      <x:c r="G101" s="82"/>
      <x:c r="H101" s="82"/>
      <x:c r="I101" s="68"/>
      <x:c r="J101" s="68"/>
      <x:c r="K101" s="68"/>
      <x:c r="L101" s="82"/>
      <x:c r="M101" s="68"/>
      <x:c r="N101" s="68"/>
      <x:c r="O101" s="68"/>
      <x:c r="P101" s="68"/>
      <x:c r="Q101" s="68"/>
      <x:c r="R101" s="68"/>
      <x:c r="S101" s="68"/>
      <x:c r="T101" s="90"/>
      <x:c r="U101" s="68"/>
      <x:c r="V101" s="82"/>
      <x:c r="W101" s="68"/>
      <x:c r="X101" s="84"/>
      <x:c r="Y101" s="84"/>
      <x:c r="Z101" s="82"/>
      <x:c r="AA101" s="82"/>
      <x:c r="AB101" s="68"/>
      <x:c r="AC101" s="68"/>
      <x:c r="AD101" s="90"/>
      <x:c r="AE101" s="68"/>
      <x:c r="AF101" s="82"/>
      <x:c r="AG101" s="82"/>
      <x:c r="AH101" s="87"/>
    </x:row>
    <x:row r="102">
      <x:c r="A102" s="72" t="str">
        <x:f>IF(OR(C102="",D102=""),"",B102&amp;"-"&amp;UPPER(C102)&amp;"-"&amp;TEXT(D102,"0000")&amp;"-"&amp;E102)</x:f>
      </x:c>
      <x:c r="B102" s="74" t="str">
        <x:v>M14</x:v>
      </x:c>
      <x:c r="C102" s="74"/>
      <x:c r="D102" s="79"/>
      <x:c r="E102" s="74" t="str">
        <x:v>V1.0</x:v>
      </x:c>
      <x:c r="F102" s="68"/>
      <x:c r="G102" s="82"/>
      <x:c r="H102" s="82"/>
      <x:c r="I102" s="68"/>
      <x:c r="J102" s="68"/>
      <x:c r="K102" s="68"/>
      <x:c r="L102" s="82"/>
      <x:c r="M102" s="68"/>
      <x:c r="N102" s="68"/>
      <x:c r="O102" s="68"/>
      <x:c r="P102" s="68"/>
      <x:c r="Q102" s="68"/>
      <x:c r="R102" s="68"/>
      <x:c r="S102" s="68"/>
      <x:c r="T102" s="90"/>
      <x:c r="U102" s="68"/>
      <x:c r="V102" s="82"/>
      <x:c r="W102" s="68"/>
      <x:c r="X102" s="84"/>
      <x:c r="Y102" s="84"/>
      <x:c r="Z102" s="82"/>
      <x:c r="AA102" s="82"/>
      <x:c r="AB102" s="68"/>
      <x:c r="AC102" s="68"/>
      <x:c r="AD102" s="90"/>
      <x:c r="AE102" s="68"/>
      <x:c r="AF102" s="82"/>
      <x:c r="AG102" s="82"/>
      <x:c r="AH102" s="87"/>
    </x:row>
    <x:row r="103">
      <x:c r="A103" s="72" t="str">
        <x:f>IF(OR(C103="",D103=""),"",B103&amp;"-"&amp;UPPER(C103)&amp;"-"&amp;TEXT(D103,"0000")&amp;"-"&amp;E103)</x:f>
      </x:c>
      <x:c r="B103" s="74" t="str">
        <x:v>M14</x:v>
      </x:c>
      <x:c r="C103" s="74"/>
      <x:c r="D103" s="79"/>
      <x:c r="E103" s="74" t="str">
        <x:v>V1.0</x:v>
      </x:c>
      <x:c r="F103" s="68"/>
      <x:c r="G103" s="82"/>
      <x:c r="H103" s="82"/>
      <x:c r="I103" s="68"/>
      <x:c r="J103" s="68"/>
      <x:c r="K103" s="68"/>
      <x:c r="L103" s="82"/>
      <x:c r="M103" s="68"/>
      <x:c r="N103" s="68"/>
      <x:c r="O103" s="68"/>
      <x:c r="P103" s="68"/>
      <x:c r="Q103" s="68"/>
      <x:c r="R103" s="68"/>
      <x:c r="S103" s="68"/>
      <x:c r="T103" s="90"/>
      <x:c r="U103" s="68"/>
      <x:c r="V103" s="82"/>
      <x:c r="W103" s="68"/>
      <x:c r="X103" s="84"/>
      <x:c r="Y103" s="84"/>
      <x:c r="Z103" s="82"/>
      <x:c r="AA103" s="82"/>
      <x:c r="AB103" s="68"/>
      <x:c r="AC103" s="68"/>
      <x:c r="AD103" s="90"/>
      <x:c r="AE103" s="68"/>
      <x:c r="AF103" s="82"/>
      <x:c r="AG103" s="82"/>
      <x:c r="AH103" s="87"/>
    </x:row>
    <x:row r="104">
      <x:c r="A104" s="72" t="str">
        <x:f>IF(OR(C104="",D104=""),"",B104&amp;"-"&amp;UPPER(C104)&amp;"-"&amp;TEXT(D104,"0000")&amp;"-"&amp;E104)</x:f>
      </x:c>
      <x:c r="B104" s="74" t="str">
        <x:v>M14</x:v>
      </x:c>
      <x:c r="C104" s="74"/>
      <x:c r="D104" s="79"/>
      <x:c r="E104" s="74" t="str">
        <x:v>V1.0</x:v>
      </x:c>
      <x:c r="F104" s="68"/>
      <x:c r="G104" s="82"/>
      <x:c r="H104" s="82"/>
      <x:c r="I104" s="68"/>
      <x:c r="J104" s="68"/>
      <x:c r="K104" s="68"/>
      <x:c r="L104" s="82"/>
      <x:c r="M104" s="68"/>
      <x:c r="N104" s="68"/>
      <x:c r="O104" s="68"/>
      <x:c r="P104" s="68"/>
      <x:c r="Q104" s="68"/>
      <x:c r="R104" s="68"/>
      <x:c r="S104" s="68"/>
      <x:c r="T104" s="90"/>
      <x:c r="U104" s="68"/>
      <x:c r="V104" s="82"/>
      <x:c r="W104" s="68"/>
      <x:c r="X104" s="84"/>
      <x:c r="Y104" s="84"/>
      <x:c r="Z104" s="82"/>
      <x:c r="AA104" s="82"/>
      <x:c r="AB104" s="68"/>
      <x:c r="AC104" s="68"/>
      <x:c r="AD104" s="90"/>
      <x:c r="AE104" s="68"/>
      <x:c r="AF104" s="82"/>
      <x:c r="AG104" s="82"/>
      <x:c r="AH104" s="87"/>
    </x:row>
    <x:row r="105">
      <x:c r="A105" s="72" t="str">
        <x:f>IF(OR(C105="",D105=""),"",B105&amp;"-"&amp;UPPER(C105)&amp;"-"&amp;TEXT(D105,"0000")&amp;"-"&amp;E105)</x:f>
      </x:c>
      <x:c r="B105" s="74" t="str">
        <x:v>M14</x:v>
      </x:c>
      <x:c r="C105" s="74"/>
      <x:c r="D105" s="79"/>
      <x:c r="E105" s="74" t="str">
        <x:v>V1.0</x:v>
      </x:c>
      <x:c r="F105" s="68"/>
      <x:c r="G105" s="82"/>
      <x:c r="H105" s="82"/>
      <x:c r="I105" s="68"/>
      <x:c r="J105" s="68"/>
      <x:c r="K105" s="68"/>
      <x:c r="L105" s="82"/>
      <x:c r="M105" s="68"/>
      <x:c r="N105" s="68"/>
      <x:c r="O105" s="68"/>
      <x:c r="P105" s="68"/>
      <x:c r="Q105" s="68"/>
      <x:c r="R105" s="68"/>
      <x:c r="S105" s="68"/>
      <x:c r="T105" s="90"/>
      <x:c r="U105" s="68"/>
      <x:c r="V105" s="82"/>
      <x:c r="W105" s="68"/>
      <x:c r="X105" s="84"/>
      <x:c r="Y105" s="84"/>
      <x:c r="Z105" s="82"/>
      <x:c r="AA105" s="82"/>
      <x:c r="AB105" s="68"/>
      <x:c r="AC105" s="68"/>
      <x:c r="AD105" s="90"/>
      <x:c r="AE105" s="68"/>
      <x:c r="AF105" s="82"/>
      <x:c r="AG105" s="82"/>
      <x:c r="AH105" s="87"/>
    </x:row>
  </x:sheetData>
  <x:mergeCells>
    <x:mergeCell ref="A1:O1"/>
    <x:mergeCell ref="A2:O2"/>
    <x:mergeCell ref="A3:O3"/>
    <x:mergeCell ref="A4:O4"/>
  </x:mergeCells>
  <x:conditionalFormatting sqref="A6:A105">
    <x:cfRule type="expression" dxfId="12" priority="1">
      <x:formula>AND(A6&lt;&gt;"",COUNTIF($A$6:$A$105,A6)&gt;1)</x:formula>
    </x:cfRule>
  </x:conditionalFormatting>
  <x:dataValidations count="20">
    <x:dataValidation type="list" sqref="E6:E105">
      <x:formula1>'99_下拉选项'!$BG$4:$BG$12</x:formula1>
    </x:dataValidation>
    <x:dataValidation type="list" sqref="G6:G105">
      <x:formula1>'99_下拉选项'!$F$4:$F$7</x:formula1>
    </x:dataValidation>
    <x:dataValidation type="list" sqref="H6:H105">
      <x:formula1>'99_下拉选项'!$AC$4:$AC$10</x:formula1>
    </x:dataValidation>
    <x:dataValidation type="list" sqref="L6:L105">
      <x:formula1>'99_下拉选项'!$AE$4:$AE$9</x:formula1>
    </x:dataValidation>
    <x:dataValidation type="list" sqref="V6:V105">
      <x:formula1>'99_下拉选项'!$AD$4:$AD$11</x:formula1>
    </x:dataValidation>
    <x:dataValidation type="list" sqref="Z6:Z105">
      <x:formula1>'99_下拉选项'!$Q$4:$Q$8</x:formula1>
    </x:dataValidation>
    <x:dataValidation type="list" sqref="AA6:AA105">
      <x:formula1>'99_下拉选项'!$R$4:$R$11</x:formula1>
    </x:dataValidation>
    <x:dataValidation type="list" sqref="AF6:AF105">
      <x:formula1>'99_下拉选项'!$S$4:$S$9</x:formula1>
    </x:dataValidation>
    <x:dataValidation type="list" sqref="AG6:AG105">
      <x:formula1>'99_下拉选项'!$T$4:$T$8</x:formula1>
    </x:dataValidation>
    <x:dataValidation type="list" sqref="E6:E130">
      <x:formula1>'99_下拉选项'!$BG$4:$BG$14</x:formula1>
    </x:dataValidation>
    <x:dataValidation type="list" sqref="E7:E105">
      <x:formula1>'99_下拉选项'!$BG$4:$BG$19</x:formula1>
    </x:dataValidation>
    <x:dataValidation type="list" sqref="E7:E86">
      <x:formula1>'99_下拉选项'!$BG$4:$BG$14</x:formula1>
    </x:dataValidation>
    <x:dataValidation type="list" sqref="G7:G86">
      <x:formula1>'99_下拉选项'!$F$4:$F$7</x:formula1>
    </x:dataValidation>
    <x:dataValidation type="list" sqref="H7:H86">
      <x:formula1>'99_下拉选项'!$AC$4:$AC$10</x:formula1>
    </x:dataValidation>
    <x:dataValidation type="list" sqref="L7:L86">
      <x:formula1>'99_下拉选项'!$AE$4:$AE$9</x:formula1>
    </x:dataValidation>
    <x:dataValidation type="list" sqref="V7:V86">
      <x:formula1>'99_下拉选项'!$AD$4:$AD$11</x:formula1>
    </x:dataValidation>
    <x:dataValidation type="list" sqref="Z7:Z86">
      <x:formula1>'99_下拉选项'!$Q$4:$Q$8</x:formula1>
    </x:dataValidation>
    <x:dataValidation type="list" sqref="AA7:AA86">
      <x:formula1>'99_下拉选项'!$R$4:$R$11</x:formula1>
    </x:dataValidation>
    <x:dataValidation type="list" sqref="AF7:AF86">
      <x:formula1>'99_下拉选项'!$S$4:$S$9</x:formula1>
    </x:dataValidation>
    <x:dataValidation type="list" sqref="AG7:AG86">
      <x:formula1>'99_下拉选项'!$T$4:$T$8</x:formula1>
    </x:dataValidation>
  </x:dataValidations>
  <x:pageMargins left="0.7" right="0.7" top="0.75" bottom="0.75" header="0.3" footer="0.3"/>
  <x:tableParts count="1">
    <x:tablePart xmlns:r="http://schemas.openxmlformats.org/officeDocument/2006/relationships" r:id="R9ad469d41ea745f8"/>
  </x:tableParts>
</x:worksheet>
</file>

<file path=xl/worksheets/sheet1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16" hidden="0" customWidth="1"/>
    <x:col min="13" max="13" width="30"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M15｜格局成立、破格与救应规则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对M14候选逐项判断成格、破格、清纯度、救应有效性和层次，保留反向证据，并区分“成立”与“层次高低”。</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前置依赖：M14/M11/M08　｜　主要输出：最终格局、破格、救应与层次　｜　直接下游：M16/M17/M18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关联格局</x:v>
      </x:c>
      <x:c r="I5" s="61" t="str">
        <x:v>成格条件</x:v>
      </x:c>
      <x:c r="J5" s="61" t="str">
        <x:v>成格证据</x:v>
      </x:c>
      <x:c r="K5" s="61" t="str">
        <x:v>破格因素</x:v>
      </x:c>
      <x:c r="L5" s="61" t="str">
        <x:v>破格等级</x:v>
      </x:c>
      <x:c r="M5" s="61" t="str">
        <x:v>救应因素</x:v>
      </x:c>
      <x:c r="N5" s="61" t="str">
        <x:v>救应有效性</x:v>
      </x:c>
      <x:c r="O5" s="61" t="str">
        <x:v>格局状态</x:v>
      </x:c>
      <x:c r="P5" s="61" t="str">
        <x:v>清纯程度</x:v>
      </x:c>
      <x:c r="Q5" s="61" t="str">
        <x:v>层次判断</x:v>
      </x:c>
      <x:c r="R5" s="61" t="str">
        <x:v>前置条件</x:v>
      </x:c>
      <x:c r="S5" s="61" t="str">
        <x:v>必要条件</x:v>
      </x:c>
      <x:c r="T5" s="61" t="str">
        <x:v>增强条件</x:v>
      </x:c>
      <x:c r="U5" s="61" t="str">
        <x:v>削弱条件</x:v>
      </x:c>
      <x:c r="V5" s="61" t="str">
        <x:v>否决条件</x:v>
      </x:c>
      <x:c r="W5" s="61" t="str">
        <x:v>例外条件</x:v>
      </x:c>
      <x:c r="X5" s="61" t="str">
        <x:v>结论标签</x:v>
      </x:c>
      <x:c r="Y5" s="61" t="str">
        <x:v>标准输出</x:v>
      </x:c>
      <x:c r="Z5" s="61" t="str">
        <x:v>反向证据</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M15-DEMO-9999-V0.1</x:v>
      </x:c>
      <x:c r="B6" s="76" t="str">
        <x:v>M15</x:v>
      </x:c>
      <x:c r="C6" s="76" t="str">
        <x:v>DEMO</x:v>
      </x:c>
      <x:c r="D6" s="78" t="n">
        <x:v>9999</x:v>
      </x:c>
      <x:c r="E6" s="76" t="str">
        <x:v>V0.1</x:v>
      </x:c>
      <x:c r="F6" s="76" t="str">
        <x:v>破格后存在有效救应可标记有破有救</x:v>
      </x:c>
      <x:c r="G6" s="76" t="str">
        <x:v>综合层</x:v>
      </x:c>
      <x:c r="H6" s="76" t="str">
        <x:v>伤官配印候选</x:v>
      </x:c>
      <x:c r="I6" s="76" t="str">
        <x:v>伤官有力，印星能有效制伤并护持日主</x:v>
      </x:c>
      <x:c r="J6" s="76" t="str">
        <x:v>伤印作用路径明确</x:v>
      </x:c>
      <x:c r="K6" s="76" t="str">
        <x:v>财星强力坏印</x:v>
      </x:c>
      <x:c r="L6" s="76" t="str">
        <x:v>一般</x:v>
      </x:c>
      <x:c r="M6" s="76" t="str">
        <x:v>比劫制财或财星受合制，印功能恢复</x:v>
      </x:c>
      <x:c r="N6" s="76" t="str">
        <x:v>部分有效</x:v>
      </x:c>
      <x:c r="O6" s="76" t="str">
        <x:v>有破有救</x:v>
      </x:c>
      <x:c r="P6" s="76" t="str">
        <x:v>有杂</x:v>
      </x:c>
      <x:c r="Q6" s="76" t="str">
        <x:v>格局可运行但稳定性下降</x:v>
      </x:c>
      <x:c r="R6" s="76" t="str">
        <x:v>M14候选已成立</x:v>
      </x:c>
      <x:c r="S6" s="76" t="str">
        <x:v>救应必须实际作用于破格因素</x:v>
      </x:c>
      <x:c r="T6" s="76" t="str">
        <x:v>救应有根有力且不产生更大副作用</x:v>
      </x:c>
      <x:c r="U6" s="76" t="str">
        <x:v>救应遥隔、无根或同时破坏格神</x:v>
      </x:c>
      <x:c r="V6" s="76" t="str">
        <x:v>不存在有效作用路径时不得写有救</x:v>
      </x:c>
      <x:c r="W6" s="76" t="str">
        <x:v>救应仅局部有效时须降低格局层次</x:v>
      </x:c>
      <x:c r="X6" s="76" t="str">
        <x:v>格局救应</x:v>
      </x:c>
      <x:c r="Y6" s="76" t="str">
        <x:v>该格局存在破损，但有部分有效救应，故可判“有破有救”；格局稳定性与层次低于清纯成立。</x:v>
      </x:c>
      <x:c r="Z6" s="76" t="str">
        <x:v>若财星持续有力坏印且无制化，则应降为成立但有破或不成立。</x:v>
      </x:c>
      <x:c r="AA6" s="76" t="str">
        <x:v>中等</x:v>
      </x:c>
      <x:c r="AB6" s="76" t="str">
        <x:v>子平格局</x:v>
      </x:c>
      <x:c r="AC6" s="76" t="str">
        <x:v>救应不是“另有好五行”，而是必须对破格机制形成真实修复。</x:v>
      </x:c>
      <x:c r="AD6" s="76" t="str">
        <x:v>财坏印但比劫制财，印功能得到恢复。</x:v>
      </x:c>
      <x:c r="AE6" s="76" t="str">
        <x:v>虽有比劫但与财印无有效作用路径，仍写有救。</x:v>
      </x:c>
      <x:c r="AF6" s="76" t="str">
        <x:v>示例，仅演示字段用法</x:v>
      </x:c>
      <x:c r="AG6" s="76" t="str">
        <x:v>示例</x:v>
      </x:c>
      <x:c r="AH6" s="76" t="str">
        <x:v>未审核</x:v>
      </x:c>
      <x:c r="AI6" s="86" t="n">
        <x:v>46254</x:v>
      </x:c>
    </x:row>
    <x:row r="7">
      <x:c r="A7" s="72" t="str">
        <x:f>IF(OR(C7="",D7=""),"",B7&amp;"-"&amp;UPPER(C7)&amp;"-"&amp;TEXT(D7,"0000")&amp;"-"&amp;E7)</x:f>
        <x:v>M15-GEN-0001-V1.0</x:v>
      </x:c>
      <x:c r="B7" s="74" t="str">
        <x:v>M15</x:v>
      </x:c>
      <x:c r="C7" s="74" t="str">
        <x:v>GEN</x:v>
      </x:c>
      <x:c r="D7" s="215" t="n">
        <x:v>1</x:v>
      </x:c>
      <x:c r="E7" s="74" t="str">
        <x:v>V1.0</x:v>
      </x:c>
      <x:c r="F7" s="68" t="str">
        <x:v>候选只有满足核心成格条件才进入基本成立</x:v>
      </x:c>
      <x:c r="G7" s="82" t="str">
        <x:v>综合层</x:v>
      </x:c>
      <x:c r="H7" s="68" t="str">
        <x:v>所有M14候选</x:v>
      </x:c>
      <x:c r="I7" s="68" t="str">
        <x:v>M14候选具备月令或严格结构依据，格神有效，日主配合，结构可真实运行</x:v>
      </x:c>
      <x:c r="J7" s="68" t="str">
        <x:v>月令依据、格神根气与有效力量、日主配合及M11组合证据相互支持</x:v>
      </x:c>
      <x:c r="K7" s="68" t="str">
        <x:v>无决定性破格因素</x:v>
      </x:c>
      <x:c r="L7" s="82" t="str">
        <x:v>无破</x:v>
      </x:c>
      <x:c r="M7" s="68" t="str">
        <x:v>无须救应</x:v>
      </x:c>
      <x:c r="N7" s="82" t="str">
        <x:v>无救应</x:v>
      </x:c>
      <x:c r="O7" s="84" t="str">
        <x:v>基本成立</x:v>
      </x:c>
      <x:c r="P7" s="82" t="str">
        <x:v>待定</x:v>
      </x:c>
      <x:c r="Q7" s="68" t="str">
        <x:v>达到成格最低门槛，但尚未证明清纯或高层次</x:v>
      </x:c>
      <x:c r="R7" s="68" t="str">
        <x:v>M14已生成候选；M08、M09、M10、M11相关结论可追溯</x:v>
      </x:c>
      <x:c r="S7" s="68" t="str">
        <x:v>格神与关键配合十神均以有效力量和实际功能为准</x:v>
      </x:c>
      <x:c r="T7" s="68" t="str">
        <x:v>格神得令、有根、透达、清纯，组合路径稳定且日主承载匹配</x:v>
      </x:c>
      <x:c r="U7" s="68" t="str">
        <x:v>格神受制、混杂、路径受阻、日主承载不足或救应只能局部作用</x:v>
      </x:c>
      <x:c r="V7" s="90" t="str">
        <x:v>格神失效、核心作用路径完全中断，或特殊格局硬门槛被有效反证否决</x:v>
      </x:c>
      <x:c r="W7" s="68" t="str">
        <x:v>特殊格局严格条件、流派争议及岁运补成另按专门规则处理</x:v>
      </x:c>
      <x:c r="X7" s="84" t="str">
        <x:v>格局最低成立门槛</x:v>
      </x:c>
      <x:c r="Y7" s="84" t="str">
        <x:v>所有M14候选判为“基本成立”：破格等级为“无破”，救应为“无救应”，清纯度为“待定”；层次需结合全局继续评估。</x:v>
      </x:c>
      <x:c r="Z7" s="68" t="str">
        <x:v>若“格神失效、核心作用路径完全中断，或特殊格局硬门槛被有效反证否决”成立，应降低为成立但有破或不成立，不得维持当前结论。</x:v>
      </x:c>
      <x:c r="AA7" s="82" t="str">
        <x:v>较高</x:v>
      </x:c>
      <x:c r="AB7" s="82" t="str">
        <x:v>子平格局</x:v>
      </x:c>
      <x:c r="AC7" s="68" t="str">
        <x:v>格局成败须区分：格神是否有效、结构是否能运行、是否存在破坏、救应是否直接修复破格机制，以及格局成立与层次高低。</x:v>
      </x:c>
      <x:c r="AD7" s="68" t="str">
        <x:v>当“M14候选具备月令或严格结构依据，格神有效，日主配合，结构可真实运行”成立，且成格证据相互支持、无决定性否决时，可按本规则判断。</x:v>
      </x:c>
      <x:c r="AE7" s="90" t="str">
        <x:v>只有格局名称或局部组合，但“格神失效、核心作用路径完全中断，或特殊格局硬门槛被有效反证否决”成立时，不能按本规则维持格局。</x:v>
      </x:c>
      <x:c r="AF7" s="68" t="str">
        <x:v>https://zh.wikisource.org/zh-hans/%E6%B7%B5%E6%B5%B7%E5%AD%90%E5%B9%B3 ; https://zh.wikisource.org/wiki/%E6%BB%B4%E5%A4%A9%E9%AB%93%E9%97%A1%E5%BE%AE</x:v>
      </x:c>
      <x:c r="AG7" s="82" t="str">
        <x:v>采用</x:v>
      </x:c>
      <x:c r="AH7" s="82" t="str">
        <x:v>初审</x:v>
      </x:c>
      <x:c r="AI7" s="87" t="n">
        <x:v>46260</x:v>
      </x:c>
    </x:row>
    <x:row r="8">
      <x:c r="A8" s="72" t="str">
        <x:f>IF(OR(C8="",D8=""),"",B8&amp;"-"&amp;UPPER(C8)&amp;"-"&amp;TEXT(D8,"0000")&amp;"-"&amp;E8)</x:f>
        <x:v>M15-GEN-0002-V1.0</x:v>
      </x:c>
      <x:c r="B8" s="74" t="str">
        <x:v>M15</x:v>
      </x:c>
      <x:c r="C8" s="74" t="str">
        <x:v>GEN</x:v>
      </x:c>
      <x:c r="D8" s="215" t="n">
        <x:v>2</x:v>
      </x:c>
      <x:c r="E8" s="74" t="str">
        <x:v>V1.0</x:v>
      </x:c>
      <x:c r="F8" s="68" t="str">
        <x:v>格神清纯且无实质破坏可判清纯成立</x:v>
      </x:c>
      <x:c r="G8" s="82" t="str">
        <x:v>综合层</x:v>
      </x:c>
      <x:c r="H8" s="68" t="str">
        <x:v>所有M14候选</x:v>
      </x:c>
      <x:c r="I8" s="68" t="str">
        <x:v>格神得令有根、功能主导，关键配合完整，未发现实际破格因素</x:v>
      </x:c>
      <x:c r="J8" s="68" t="str">
        <x:v>月令依据、格神根气与有效力量、日主配合及M11组合证据相互支持</x:v>
      </x:c>
      <x:c r="K8" s="68" t="str">
        <x:v>无实质破格</x:v>
      </x:c>
      <x:c r="L8" s="82" t="str">
        <x:v>无破</x:v>
      </x:c>
      <x:c r="M8" s="68" t="str">
        <x:v>无须救应</x:v>
      </x:c>
      <x:c r="N8" s="82" t="str">
        <x:v>无救应</x:v>
      </x:c>
      <x:c r="O8" s="84" t="str">
        <x:v>清纯成立</x:v>
      </x:c>
      <x:c r="P8" s="82" t="str">
        <x:v>清纯</x:v>
      </x:c>
      <x:c r="Q8" s="68" t="str">
        <x:v>结构完整、主次明确、运行稳定，属于较高质量的成立状态</x:v>
      </x:c>
      <x:c r="R8" s="68" t="str">
        <x:v>M14已生成候选；M08、M09、M10、M11相关结论可追溯</x:v>
      </x:c>
      <x:c r="S8" s="68" t="str">
        <x:v>格神与关键配合十神均以有效力量和实际功能为准</x:v>
      </x:c>
      <x:c r="T8" s="68" t="str">
        <x:v>格神得令、有根、透达、清纯，组合路径稳定且日主承载匹配</x:v>
      </x:c>
      <x:c r="U8" s="68" t="str">
        <x:v>格神受制、混杂、路径受阻、日主承载不足或救应只能局部作用</x:v>
      </x:c>
      <x:c r="V8" s="90" t="str">
        <x:v>格神失效、核心作用路径完全中断，或特殊格局硬门槛被有效反证否决</x:v>
      </x:c>
      <x:c r="W8" s="68" t="str">
        <x:v>特殊格局严格条件、流派争议及岁运补成另按专门规则处理</x:v>
      </x:c>
      <x:c r="X8" s="84" t="str">
        <x:v>清纯成立</x:v>
      </x:c>
      <x:c r="Y8" s="84" t="str">
        <x:v>所有M14候选判为“清纯成立”：破格等级为“无破”，救应为“无救应”，清纯度为“清纯”；层次需结合全局继续评估。</x:v>
      </x:c>
      <x:c r="Z8" s="68" t="str">
        <x:v>若“格神失效、核心作用路径完全中断，或特殊格局硬门槛被有效反证否决”成立，应降低为成立但有破或不成立，不得维持当前结论。</x:v>
      </x:c>
      <x:c r="AA8" s="82" t="str">
        <x:v>较高</x:v>
      </x:c>
      <x:c r="AB8" s="82" t="str">
        <x:v>子平格局</x:v>
      </x:c>
      <x:c r="AC8" s="68" t="str">
        <x:v>格局成败须区分：格神是否有效、结构是否能运行、是否存在破坏、救应是否直接修复破格机制，以及格局成立与层次高低。</x:v>
      </x:c>
      <x:c r="AD8" s="68" t="str">
        <x:v>当“格神得令有根、功能主导，关键配合完整，未发现实际破格因素”成立，且成格证据相互支持、无决定性否决时，可按本规则判断。</x:v>
      </x:c>
      <x:c r="AE8" s="90" t="str">
        <x:v>只有格局名称或局部组合，但“格神失效、核心作用路径完全中断，或特殊格局硬门槛被有效反证否决”成立时，不能按本规则维持格局。</x:v>
      </x:c>
      <x:c r="AF8" s="68" t="str">
        <x:v>https://zh.wikisource.org/zh-hans/%E6%B7%B5%E6%B5%B7%E5%AD%90%E5%B9%B3 ; https://zh.wikisource.org/wiki/%E6%BB%B4%E5%A4%A9%E9%AB%93%E9%97%A1%E5%BE%AE</x:v>
      </x:c>
      <x:c r="AG8" s="82" t="str">
        <x:v>采用</x:v>
      </x:c>
      <x:c r="AH8" s="82" t="str">
        <x:v>初审</x:v>
      </x:c>
      <x:c r="AI8" s="87" t="n">
        <x:v>46260</x:v>
      </x:c>
    </x:row>
    <x:row r="9">
      <x:c r="A9" s="72" t="str">
        <x:f>IF(OR(C9="",D9=""),"",B9&amp;"-"&amp;UPPER(C9)&amp;"-"&amp;TEXT(D9,"0000")&amp;"-"&amp;E9)</x:f>
        <x:v>M15-GEN-0003-V1.0</x:v>
      </x:c>
      <x:c r="B9" s="74" t="str">
        <x:v>M15</x:v>
      </x:c>
      <x:c r="C9" s="74" t="str">
        <x:v>GEN</x:v>
      </x:c>
      <x:c r="D9" s="215" t="n">
        <x:v>3</x:v>
      </x:c>
      <x:c r="E9" s="74" t="str">
        <x:v>V1.0</x:v>
      </x:c>
      <x:c r="F9" s="68" t="str">
        <x:v>轻微破损不否决格局但降低稳定性</x:v>
      </x:c>
      <x:c r="G9" s="82" t="str">
        <x:v>综合层</x:v>
      </x:c>
      <x:c r="H9" s="68" t="str">
        <x:v>所有M14候选</x:v>
      </x:c>
      <x:c r="I9" s="68" t="str">
        <x:v>格局核心条件仍成立，破坏只影响局部节点或次级功能</x:v>
      </x:c>
      <x:c r="J9" s="68" t="str">
        <x:v>月令依据、格神根气与有效力量、日主配合及M11组合证据相互支持</x:v>
      </x:c>
      <x:c r="K9" s="68" t="str">
        <x:v>存在局部合绊、轻制、轻杂或次级通路受阻</x:v>
      </x:c>
      <x:c r="L9" s="82" t="str">
        <x:v>轻微</x:v>
      </x:c>
      <x:c r="M9" s="68" t="str">
        <x:v>无须救应</x:v>
      </x:c>
      <x:c r="N9" s="82" t="str">
        <x:v>无救应</x:v>
      </x:c>
      <x:c r="O9" s="84" t="str">
        <x:v>成立但有破</x:v>
      </x:c>
      <x:c r="P9" s="82" t="str">
        <x:v>有杂</x:v>
      </x:c>
      <x:c r="Q9" s="68" t="str">
        <x:v>格局可运行，但稳定性和清纯度低于无破结构</x:v>
      </x:c>
      <x:c r="R9" s="68" t="str">
        <x:v>M14已生成候选；M08、M09、M10、M11相关结论可追溯</x:v>
      </x:c>
      <x:c r="S9" s="68" t="str">
        <x:v>格神与关键配合十神均以有效力量和实际功能为准</x:v>
      </x:c>
      <x:c r="T9" s="68" t="str">
        <x:v>格神得令、有根、透达、清纯，组合路径稳定且日主承载匹配</x:v>
      </x:c>
      <x:c r="U9" s="68" t="str">
        <x:v>格神受制、混杂、路径受阻、日主承载不足或救应只能局部作用</x:v>
      </x:c>
      <x:c r="V9" s="90" t="str">
        <x:v>格神失效、核心作用路径完全中断，或特殊格局硬门槛被有效反证否决</x:v>
      </x:c>
      <x:c r="W9" s="68" t="str">
        <x:v>特殊格局严格条件、流派争议及岁运补成另按专门规则处理</x:v>
      </x:c>
      <x:c r="X9" s="84" t="str">
        <x:v>轻微破格</x:v>
      </x:c>
      <x:c r="Y9" s="84" t="str">
        <x:v>所有M14候选判为“成立但有破”：破格等级为“轻微”，救应为“无救应”，清纯度为“有杂”；层次需结合全局继续评估。</x:v>
      </x:c>
      <x:c r="Z9" s="68" t="str">
        <x:v>若“格神失效、核心作用路径完全中断，或特殊格局硬门槛被有效反证否决”成立，应降低为成立但有破或不成立，不得维持当前结论。</x:v>
      </x:c>
      <x:c r="AA9" s="82" t="str">
        <x:v>较高</x:v>
      </x:c>
      <x:c r="AB9" s="82" t="str">
        <x:v>子平格局</x:v>
      </x:c>
      <x:c r="AC9" s="68" t="str">
        <x:v>格局成败须区分：格神是否有效、结构是否能运行、是否存在破坏、救应是否直接修复破格机制，以及格局成立与层次高低。</x:v>
      </x:c>
      <x:c r="AD9" s="68" t="str">
        <x:v>当“格局核心条件仍成立，破坏只影响局部节点或次级功能”成立，且成格证据相互支持、无决定性否决时，可按本规则判断。</x:v>
      </x:c>
      <x:c r="AE9" s="90" t="str">
        <x:v>只有格局名称或局部组合，但“格神失效、核心作用路径完全中断，或特殊格局硬门槛被有效反证否决”成立时，不能按本规则维持格局。</x:v>
      </x:c>
      <x:c r="AF9" s="68" t="str">
        <x:v>https://zh.wikisource.org/zh-hans/%E6%B7%B5%E6%B5%B7%E5%AD%90%E5%B9%B3 ; https://zh.wikisource.org/wiki/%E6%BB%B4%E5%A4%A9%E9%AB%93%E9%97%A1%E5%BE%AE</x:v>
      </x:c>
      <x:c r="AG9" s="82" t="str">
        <x:v>采用</x:v>
      </x:c>
      <x:c r="AH9" s="82" t="str">
        <x:v>初审</x:v>
      </x:c>
      <x:c r="AI9" s="87" t="n">
        <x:v>46260</x:v>
      </x:c>
    </x:row>
    <x:row r="10">
      <x:c r="A10" s="72" t="str">
        <x:f>IF(OR(C10="",D10=""),"",B10&amp;"-"&amp;UPPER(C10)&amp;"-"&amp;TEXT(D10,"0000")&amp;"-"&amp;E10)</x:f>
        <x:v>M15-GEN-0004-V1.0</x:v>
      </x:c>
      <x:c r="B10" s="74" t="str">
        <x:v>M15</x:v>
      </x:c>
      <x:c r="C10" s="74" t="str">
        <x:v>GEN</x:v>
      </x:c>
      <x:c r="D10" s="215" t="n">
        <x:v>4</x:v>
      </x:c>
      <x:c r="E10" s="74" t="str">
        <x:v>V1.0</x:v>
      </x:c>
      <x:c r="F10" s="68" t="str">
        <x:v>一般破格会明显降低格局层次</x:v>
      </x:c>
      <x:c r="G10" s="82" t="str">
        <x:v>综合层</x:v>
      </x:c>
      <x:c r="H10" s="68" t="str">
        <x:v>所有M14候选</x:v>
      </x:c>
      <x:c r="I10" s="68" t="str">
        <x:v>格局核心仍未完全失效，但格神、关键配合或日主承载受到明显损伤</x:v>
      </x:c>
      <x:c r="J10" s="68" t="str">
        <x:v>月令依据、格神根气与有效力量、日主配合及M11组合证据相互支持</x:v>
      </x:c>
      <x:c r="K10" s="68" t="str">
        <x:v>关键节点受制、混杂、比例失衡或主路径局部中断</x:v>
      </x:c>
      <x:c r="L10" s="82" t="str">
        <x:v>一般</x:v>
      </x:c>
      <x:c r="M10" s="68" t="str">
        <x:v>无须救应</x:v>
      </x:c>
      <x:c r="N10" s="82" t="str">
        <x:v>无救应</x:v>
      </x:c>
      <x:c r="O10" s="84" t="str">
        <x:v>成立但有破</x:v>
      </x:c>
      <x:c r="P10" s="82" t="str">
        <x:v>混杂</x:v>
      </x:c>
      <x:c r="Q10" s="68" t="str">
        <x:v>格局只能部分运行，层次和可持续性明显下降</x:v>
      </x:c>
      <x:c r="R10" s="68" t="str">
        <x:v>M14已生成候选；M08、M09、M10、M11相关结论可追溯</x:v>
      </x:c>
      <x:c r="S10" s="68" t="str">
        <x:v>格神与关键配合十神均以有效力量和实际功能为准</x:v>
      </x:c>
      <x:c r="T10" s="68" t="str">
        <x:v>格神得令、有根、透达、清纯，组合路径稳定且日主承载匹配</x:v>
      </x:c>
      <x:c r="U10" s="68" t="str">
        <x:v>格神受制、混杂、路径受阻、日主承载不足或救应只能局部作用</x:v>
      </x:c>
      <x:c r="V10" s="90" t="str">
        <x:v>格神失效、核心作用路径完全中断，或特殊格局硬门槛被有效反证否决</x:v>
      </x:c>
      <x:c r="W10" s="68" t="str">
        <x:v>特殊格局严格条件、流派争议及岁运补成另按专门规则处理</x:v>
      </x:c>
      <x:c r="X10" s="84" t="str">
        <x:v>一般破格</x:v>
      </x:c>
      <x:c r="Y10" s="84" t="str">
        <x:v>所有M14候选判为“成立但有破”：破格等级为“一般”，救应为“无救应”，清纯度为“混杂”；层次需结合全局继续评估。</x:v>
      </x:c>
      <x:c r="Z10" s="68" t="str">
        <x:v>若“格神失效、核心作用路径完全中断，或特殊格局硬门槛被有效反证否决”成立，应降低为成立但有破或不成立，不得维持当前结论。</x:v>
      </x:c>
      <x:c r="AA10" s="82" t="str">
        <x:v>较高</x:v>
      </x:c>
      <x:c r="AB10" s="82" t="str">
        <x:v>子平格局</x:v>
      </x:c>
      <x:c r="AC10" s="68" t="str">
        <x:v>格局成败须区分：格神是否有效、结构是否能运行、是否存在破坏、救应是否直接修复破格机制，以及格局成立与层次高低。</x:v>
      </x:c>
      <x:c r="AD10" s="68" t="str">
        <x:v>当“格局核心仍未完全失效，但格神、关键配合或日主承载受到明显损伤”成立，且成格证据相互支持、无决定性否决时，可按本规则判断。</x:v>
      </x:c>
      <x:c r="AE10" s="90" t="str">
        <x:v>只有格局名称或局部组合，但“格神失效、核心作用路径完全中断，或特殊格局硬门槛被有效反证否决”成立时，不能按本规则维持格局。</x:v>
      </x:c>
      <x:c r="AF10" s="68" t="str">
        <x:v>https://zh.wikisource.org/zh-hans/%E6%B7%B5%E6%B5%B7%E5%AD%90%E5%B9%B3 ; https://zh.wikisource.org/wiki/%E6%BB%B4%E5%A4%A9%E9%AB%93%E9%97%A1%E5%BE%AE</x:v>
      </x:c>
      <x:c r="AG10" s="82" t="str">
        <x:v>采用</x:v>
      </x:c>
      <x:c r="AH10" s="82" t="str">
        <x:v>初审</x:v>
      </x:c>
      <x:c r="AI10" s="87" t="n">
        <x:v>46260</x:v>
      </x:c>
    </x:row>
    <x:row r="11">
      <x:c r="A11" s="72" t="str">
        <x:f>IF(OR(C11="",D11=""),"",B11&amp;"-"&amp;UPPER(C11)&amp;"-"&amp;TEXT(D11,"0000")&amp;"-"&amp;E11)</x:f>
        <x:v>M15-GEN-0005-V1.0</x:v>
      </x:c>
      <x:c r="B11" s="74" t="str">
        <x:v>M15</x:v>
      </x:c>
      <x:c r="C11" s="74" t="str">
        <x:v>GEN</x:v>
      </x:c>
      <x:c r="D11" s="215" t="n">
        <x:v>5</x:v>
      </x:c>
      <x:c r="E11" s="74" t="str">
        <x:v>V1.0</x:v>
      </x:c>
      <x:c r="F11" s="68" t="str">
        <x:v>严重破格使格局接近失去主导性</x:v>
      </x:c>
      <x:c r="G11" s="82" t="str">
        <x:v>综合层</x:v>
      </x:c>
      <x:c r="H11" s="68" t="str">
        <x:v>所有M14候选</x:v>
      </x:c>
      <x:c r="I11" s="68" t="str">
        <x:v>候选曾具成格基础，但主要格神或关键配合受到严重损伤</x:v>
      </x:c>
      <x:c r="J11" s="68" t="str">
        <x:v>月令依据、格神根气与有效力量、日主配合及M11组合证据相互支持</x:v>
      </x:c>
      <x:c r="K11" s="68" t="str">
        <x:v>格神受重制、关键用神失效、主结构被另一集团夺权</x:v>
      </x:c>
      <x:c r="L11" s="82" t="str">
        <x:v>严重</x:v>
      </x:c>
      <x:c r="M11" s="68" t="str">
        <x:v>无须救应</x:v>
      </x:c>
      <x:c r="N11" s="82" t="str">
        <x:v>无救应</x:v>
      </x:c>
      <x:c r="O11" s="84" t="str">
        <x:v>成立但有破</x:v>
      </x:c>
      <x:c r="P11" s="82" t="str">
        <x:v>严重混杂</x:v>
      </x:c>
      <x:c r="Q11" s="68" t="str">
        <x:v>仅保留残余格局功能，通常不再作为清晰主格</x:v>
      </x:c>
      <x:c r="R11" s="68" t="str">
        <x:v>M14已生成候选；M08、M09、M10、M11相关结论可追溯</x:v>
      </x:c>
      <x:c r="S11" s="68" t="str">
        <x:v>格神与关键配合十神均以有效力量和实际功能为准</x:v>
      </x:c>
      <x:c r="T11" s="68" t="str">
        <x:v>格神得令、有根、透达、清纯，组合路径稳定且日主承载匹配</x:v>
      </x:c>
      <x:c r="U11" s="68" t="str">
        <x:v>格神受制、混杂、路径受阻、日主承载不足或救应只能局部作用</x:v>
      </x:c>
      <x:c r="V11" s="90" t="str">
        <x:v>格神失效、核心作用路径完全中断，或特殊格局硬门槛被有效反证否决</x:v>
      </x:c>
      <x:c r="W11" s="68" t="str">
        <x:v>特殊格局严格条件、流派争议及岁运补成另按专门规则处理</x:v>
      </x:c>
      <x:c r="X11" s="84" t="str">
        <x:v>严重破格</x:v>
      </x:c>
      <x:c r="Y11" s="84" t="str">
        <x:v>所有M14候选判为“成立但有破”：破格等级为“严重”，救应为“无救应”，清纯度为“严重混杂”；层次需结合全局继续评估。</x:v>
      </x:c>
      <x:c r="Z11" s="68" t="str">
        <x:v>若“格神失效、核心作用路径完全中断，或特殊格局硬门槛被有效反证否决”成立，应降低为成立但有破或不成立，不得维持当前结论。</x:v>
      </x:c>
      <x:c r="AA11" s="82" t="str">
        <x:v>较高</x:v>
      </x:c>
      <x:c r="AB11" s="82" t="str">
        <x:v>子平格局</x:v>
      </x:c>
      <x:c r="AC11" s="68" t="str">
        <x:v>格局成败须区分：格神是否有效、结构是否能运行、是否存在破坏、救应是否直接修复破格机制，以及格局成立与层次高低。</x:v>
      </x:c>
      <x:c r="AD11" s="68" t="str">
        <x:v>当“候选曾具成格基础，但主要格神或关键配合受到严重损伤”成立，且成格证据相互支持、无决定性否决时，可按本规则判断。</x:v>
      </x:c>
      <x:c r="AE11" s="90" t="str">
        <x:v>只有格局名称或局部组合，但“格神失效、核心作用路径完全中断，或特殊格局硬门槛被有效反证否决”成立时，不能按本规则维持格局。</x:v>
      </x:c>
      <x:c r="AF11" s="68" t="str">
        <x:v>https://zh.wikisource.org/zh-hans/%E6%B7%B5%E6%B5%B7%E5%AD%90%E5%B9%B3 ; https://zh.wikisource.org/wiki/%E6%BB%B4%E5%A4%A9%E9%AB%93%E9%97%A1%E5%BE%AE</x:v>
      </x:c>
      <x:c r="AG11" s="82" t="str">
        <x:v>采用</x:v>
      </x:c>
      <x:c r="AH11" s="82" t="str">
        <x:v>初审</x:v>
      </x:c>
      <x:c r="AI11" s="87" t="n">
        <x:v>46260</x:v>
      </x:c>
    </x:row>
    <x:row r="12">
      <x:c r="A12" s="72" t="str">
        <x:f>IF(OR(C12="",D12=""),"",B12&amp;"-"&amp;UPPER(C12)&amp;"-"&amp;TEXT(D12,"0000")&amp;"-"&amp;E12)</x:f>
        <x:v>M15-GEN-0006-V1.0</x:v>
      </x:c>
      <x:c r="B12" s="74" t="str">
        <x:v>M15</x:v>
      </x:c>
      <x:c r="C12" s="74" t="str">
        <x:v>GEN</x:v>
      </x:c>
      <x:c r="D12" s="215" t="n">
        <x:v>6</x:v>
      </x:c>
      <x:c r="E12" s="74" t="str">
        <x:v>V1.0</x:v>
      </x:c>
      <x:c r="F12" s="68" t="str">
        <x:v>根本破格应判格局不成立</x:v>
      </x:c>
      <x:c r="G12" s="82" t="str">
        <x:v>综合层</x:v>
      </x:c>
      <x:c r="H12" s="68" t="str">
        <x:v>所有M14候选</x:v>
      </x:c>
      <x:c r="I12" s="68" t="str">
        <x:v>表面候选存在，但格神失效或核心结构不能运行</x:v>
      </x:c>
      <x:c r="J12" s="68" t="str">
        <x:v>月令依据、格神根气与有效力量、日主配合及M11组合证据相互支持</x:v>
      </x:c>
      <x:c r="K12" s="68" t="str">
        <x:v>格神被制化至失效、核心路径完全切断或特殊格局硬门槛失败</x:v>
      </x:c>
      <x:c r="L12" s="82" t="str">
        <x:v>根本破格</x:v>
      </x:c>
      <x:c r="M12" s="68" t="str">
        <x:v>无有效救应</x:v>
      </x:c>
      <x:c r="N12" s="82" t="str">
        <x:v>无救应</x:v>
      </x:c>
      <x:c r="O12" s="84" t="str">
        <x:v>不成立</x:v>
      </x:c>
      <x:c r="P12" s="82" t="str">
        <x:v>待定</x:v>
      </x:c>
      <x:c r="Q12" s="68" t="str">
        <x:v>格局名称不能成立，应返回M14替代候选</x:v>
      </x:c>
      <x:c r="R12" s="68" t="str">
        <x:v>M14已生成候选；M08、M09、M10、M11相关结论可追溯</x:v>
      </x:c>
      <x:c r="S12" s="68" t="str">
        <x:v>格神与关键配合十神均以有效力量和实际功能为准</x:v>
      </x:c>
      <x:c r="T12" s="68" t="str">
        <x:v>格神得令、有根、透达、清纯，组合路径稳定且日主承载匹配</x:v>
      </x:c>
      <x:c r="U12" s="68" t="str">
        <x:v>格神受制、混杂、路径受阻、日主承载不足或救应只能局部作用</x:v>
      </x:c>
      <x:c r="V12" s="90" t="str">
        <x:v>格神失效、核心作用路径完全中断，或特殊格局硬门槛被有效反证否决</x:v>
      </x:c>
      <x:c r="W12" s="68" t="str">
        <x:v>特殊格局严格条件、流派争议及岁运补成另按专门规则处理</x:v>
      </x:c>
      <x:c r="X12" s="84" t="str">
        <x:v>根本破格否决</x:v>
      </x:c>
      <x:c r="Y12" s="84" t="str">
        <x:v>所有M14候选判为“不成立”：破格等级为“根本破格”，救应为“无救应”，清纯度为“待定”；层次需结合全局继续评估。</x:v>
      </x:c>
      <x:c r="Z12" s="68" t="str">
        <x:v>若“格神失效、核心作用路径完全中断，或特殊格局硬门槛被有效反证否决”成立，应降低为成立但有破或不成立，不得维持当前结论。</x:v>
      </x:c>
      <x:c r="AA12" s="82" t="str">
        <x:v>较高</x:v>
      </x:c>
      <x:c r="AB12" s="82" t="str">
        <x:v>子平格局</x:v>
      </x:c>
      <x:c r="AC12" s="68" t="str">
        <x:v>格局成败须区分：格神是否有效、结构是否能运行、是否存在破坏、救应是否直接修复破格机制，以及格局成立与层次高低。</x:v>
      </x:c>
      <x:c r="AD12" s="68" t="str">
        <x:v>当“表面候选存在，但格神失效或核心结构不能运行”成立，且成格证据相互支持、无决定性否决时，可按本规则判断。</x:v>
      </x:c>
      <x:c r="AE12" s="90" t="str">
        <x:v>只有格局名称或局部组合，但“格神失效、核心作用路径完全中断，或特殊格局硬门槛被有效反证否决”成立时，不能按本规则维持格局。</x:v>
      </x:c>
      <x:c r="AF12" s="68" t="str">
        <x:v>https://zh.wikisource.org/zh-hans/%E6%B7%B5%E6%B5%B7%E5%AD%90%E5%B9%B3 ; https://zh.wikisource.org/wiki/%E6%BB%B4%E5%A4%A9%E9%AB%93%E9%97%A1%E5%BE%AE</x:v>
      </x:c>
      <x:c r="AG12" s="82" t="str">
        <x:v>采用</x:v>
      </x:c>
      <x:c r="AH12" s="82" t="str">
        <x:v>初审</x:v>
      </x:c>
      <x:c r="AI12" s="87" t="n">
        <x:v>46260</x:v>
      </x:c>
    </x:row>
    <x:row r="13">
      <x:c r="A13" s="72" t="str">
        <x:f>IF(OR(C13="",D13=""),"",B13&amp;"-"&amp;UPPER(C13)&amp;"-"&amp;TEXT(D13,"0000")&amp;"-"&amp;E13)</x:f>
        <x:v>M15-GEN-0007-V1.0</x:v>
      </x:c>
      <x:c r="B13" s="74" t="str">
        <x:v>M15</x:v>
      </x:c>
      <x:c r="C13" s="74" t="str">
        <x:v>GEN</x:v>
      </x:c>
      <x:c r="D13" s="215" t="n">
        <x:v>7</x:v>
      </x:c>
      <x:c r="E13" s="74" t="str">
        <x:v>V1.0</x:v>
      </x:c>
      <x:c r="F13" s="68" t="str">
        <x:v>救应必须直接修复破格机制</x:v>
      </x:c>
      <x:c r="G13" s="82" t="str">
        <x:v>综合层</x:v>
      </x:c>
      <x:c r="H13" s="68" t="str">
        <x:v>所有M14候选</x:v>
      </x:c>
      <x:c r="I13" s="68" t="str">
        <x:v>格局存在明确破格因素，同时出现第三力量</x:v>
      </x:c>
      <x:c r="J13" s="68" t="str">
        <x:v>第三力量与破格因素存在真实作用路径，能恢复格神或关键配合</x:v>
      </x:c>
      <x:c r="K13" s="68" t="str">
        <x:v>已有破格</x:v>
      </x:c>
      <x:c r="L13" s="82" t="str">
        <x:v>一般</x:v>
      </x:c>
      <x:c r="M13" s="68" t="str">
        <x:v>直接制去、合住、通关或重新生扶受损关键节点</x:v>
      </x:c>
      <x:c r="N13" s="82" t="str">
        <x:v>部分有效</x:v>
      </x:c>
      <x:c r="O13" s="84" t="str">
        <x:v>有破有救</x:v>
      </x:c>
      <x:c r="P13" s="82" t="str">
        <x:v>有杂</x:v>
      </x:c>
      <x:c r="Q13" s="68" t="str">
        <x:v>救应只在实际修复破格时有效，不因另有喜神而自动称救</x:v>
      </x:c>
      <x:c r="R13" s="68" t="str">
        <x:v>M14已生成候选；M08、M09、M10、M11相关结论可追溯</x:v>
      </x:c>
      <x:c r="S13" s="68" t="str">
        <x:v>格神与关键配合十神均以有效力量和实际功能为准</x:v>
      </x:c>
      <x:c r="T13" s="68" t="str">
        <x:v>格神得令、有根、透达、清纯，组合路径稳定且日主承载匹配</x:v>
      </x:c>
      <x:c r="U13" s="68" t="str">
        <x:v>格神受制、混杂、路径受阻、日主承载不足或救应只能局部作用</x:v>
      </x:c>
      <x:c r="V13" s="90" t="str">
        <x:v>格神失效、核心作用路径完全中断，或特殊格局硬门槛被有效反证否决</x:v>
      </x:c>
      <x:c r="W13" s="68" t="str">
        <x:v>特殊格局严格条件、流派争议及岁运补成另按专门规则处理</x:v>
      </x:c>
      <x:c r="X13" s="84" t="str">
        <x:v>救应直接性</x:v>
      </x:c>
      <x:c r="Y13" s="84" t="str">
        <x:v>所有M14候选判为“有破有救”：破格等级为“一般”，救应为“部分有效”，清纯度为“有杂”；层次需结合全局继续评估。</x:v>
      </x:c>
      <x:c r="Z13" s="68" t="str">
        <x:v>若“格神失效、核心作用路径完全中断，或特殊格局硬门槛被有效反证否决”成立，应降低为成立但有破或不成立，不得维持当前结论。</x:v>
      </x:c>
      <x:c r="AA13" s="82" t="str">
        <x:v>较高</x:v>
      </x:c>
      <x:c r="AB13" s="82" t="str">
        <x:v>子平格局</x:v>
      </x:c>
      <x:c r="AC13" s="68" t="str">
        <x:v>格局成败须区分：格神是否有效、结构是否能运行、是否存在破坏、救应是否直接修复破格机制，以及格局成立与层次高低。</x:v>
      </x:c>
      <x:c r="AD13" s="68" t="str">
        <x:v>当“格局存在明确破格因素，同时出现第三力量”成立，且成格证据相互支持、无决定性否决时，可按本规则判断。</x:v>
      </x:c>
      <x:c r="AE13" s="90" t="str">
        <x:v>只有格局名称或局部组合，但“格神失效、核心作用路径完全中断，或特殊格局硬门槛被有效反证否决”成立时，不能按本规则维持格局。</x:v>
      </x:c>
      <x:c r="AF13" s="68" t="str">
        <x:v>https://zh.wikisource.org/zh-hans/%E6%B7%B5%E6%B5%B7%E5%AD%90%E5%B9%B3 ; https://zh.wikisource.org/wiki/%E6%BB%B4%E5%A4%A9%E9%AB%93%E9%97%A1%E5%BE%AE</x:v>
      </x:c>
      <x:c r="AG13" s="82" t="str">
        <x:v>采用</x:v>
      </x:c>
      <x:c r="AH13" s="82" t="str">
        <x:v>初审</x:v>
      </x:c>
      <x:c r="AI13" s="87" t="n">
        <x:v>46260</x:v>
      </x:c>
    </x:row>
    <x:row r="14">
      <x:c r="A14" s="72" t="str">
        <x:f>IF(OR(C14="",D14=""),"",B14&amp;"-"&amp;UPPER(C14)&amp;"-"&amp;TEXT(D14,"0000")&amp;"-"&amp;E14)</x:f>
        <x:v>M15-GEN-0008-V1.0</x:v>
      </x:c>
      <x:c r="B14" s="74" t="str">
        <x:v>M15</x:v>
      </x:c>
      <x:c r="C14" s="74" t="str">
        <x:v>GEN</x:v>
      </x:c>
      <x:c r="D14" s="215" t="n">
        <x:v>8</x:v>
      </x:c>
      <x:c r="E14" s="74" t="str">
        <x:v>V1.0</x:v>
      </x:c>
      <x:c r="F14" s="68" t="str">
        <x:v>救应强弱决定格局恢复程度</x:v>
      </x:c>
      <x:c r="G14" s="82" t="str">
        <x:v>综合层</x:v>
      </x:c>
      <x:c r="H14" s="68" t="str">
        <x:v>所有M14候选</x:v>
      </x:c>
      <x:c r="I14" s="68" t="str">
        <x:v>破格与救应同时存在</x:v>
      </x:c>
      <x:c r="J14" s="68" t="str">
        <x:v>比较破格力量、救应力量、作用路径和持续性</x:v>
      </x:c>
      <x:c r="K14" s="68" t="str">
        <x:v>破格因素仍有剩余作用</x:v>
      </x:c>
      <x:c r="L14" s="82" t="str">
        <x:v>一般</x:v>
      </x:c>
      <x:c r="M14" s="68" t="str">
        <x:v>有效救应</x:v>
      </x:c>
      <x:c r="N14" s="82" t="str">
        <x:v>明显有效</x:v>
      </x:c>
      <x:c r="O14" s="84" t="str">
        <x:v>有破有救</x:v>
      </x:c>
      <x:c r="P14" s="82" t="str">
        <x:v>有杂</x:v>
      </x:c>
      <x:c r="Q14" s="68" t="str">
        <x:v>弱救应仅减轻破损，强救应才能恢复格局主要功能</x:v>
      </x:c>
      <x:c r="R14" s="68" t="str">
        <x:v>M14已生成候选；M08、M09、M10、M11相关结论可追溯</x:v>
      </x:c>
      <x:c r="S14" s="68" t="str">
        <x:v>格神与关键配合十神均以有效力量和实际功能为准</x:v>
      </x:c>
      <x:c r="T14" s="68" t="str">
        <x:v>格神得令、有根、透达、清纯，组合路径稳定且日主承载匹配</x:v>
      </x:c>
      <x:c r="U14" s="68" t="str">
        <x:v>格神受制、混杂、路径受阻、日主承载不足或救应只能局部作用</x:v>
      </x:c>
      <x:c r="V14" s="90" t="str">
        <x:v>格神失效、核心作用路径完全中断，或特殊格局硬门槛被有效反证否决</x:v>
      </x:c>
      <x:c r="W14" s="68" t="str">
        <x:v>特殊格局严格条件、流派争议及岁运补成另按专门规则处理</x:v>
      </x:c>
      <x:c r="X14" s="84" t="str">
        <x:v>救应强度分级</x:v>
      </x:c>
      <x:c r="Y14" s="84" t="str">
        <x:v>所有M14候选判为“有破有救”：破格等级为“一般”，救应为“明显有效”，清纯度为“有杂”；层次需结合全局继续评估。</x:v>
      </x:c>
      <x:c r="Z14" s="68" t="str">
        <x:v>若“格神失效、核心作用路径完全中断，或特殊格局硬门槛被有效反证否决”成立，应降低为成立但有破或不成立，不得维持当前结论。</x:v>
      </x:c>
      <x:c r="AA14" s="82" t="str">
        <x:v>较高</x:v>
      </x:c>
      <x:c r="AB14" s="82" t="str">
        <x:v>子平格局</x:v>
      </x:c>
      <x:c r="AC14" s="68" t="str">
        <x:v>格局成败须区分：格神是否有效、结构是否能运行、是否存在破坏、救应是否直接修复破格机制，以及格局成立与层次高低。</x:v>
      </x:c>
      <x:c r="AD14" s="68" t="str">
        <x:v>当“破格与救应同时存在”成立，且成格证据相互支持、无决定性否决时，可按本规则判断。</x:v>
      </x:c>
      <x:c r="AE14" s="90" t="str">
        <x:v>只有格局名称或局部组合，但“格神失效、核心作用路径完全中断，或特殊格局硬门槛被有效反证否决”成立时，不能按本规则维持格局。</x:v>
      </x:c>
      <x:c r="AF14" s="68" t="str">
        <x:v>https://zh.wikisource.org/zh-hans/%E6%B7%B5%E6%B5%B7%E5%AD%90%E5%B9%B3 ; https://zh.wikisource.org/wiki/%E6%BB%B4%E5%A4%A9%E9%AB%93%E9%97%A1%E5%BE%AE</x:v>
      </x:c>
      <x:c r="AG14" s="82" t="str">
        <x:v>采用</x:v>
      </x:c>
      <x:c r="AH14" s="82" t="str">
        <x:v>初审</x:v>
      </x:c>
      <x:c r="AI14" s="87" t="n">
        <x:v>46260</x:v>
      </x:c>
    </x:row>
    <x:row r="15">
      <x:c r="A15" s="72" t="str">
        <x:f>IF(OR(C15="",D15=""),"",B15&amp;"-"&amp;UPPER(C15)&amp;"-"&amp;TEXT(D15,"0000")&amp;"-"&amp;E15)</x:f>
        <x:v>M15-GEN-0009-V1.0</x:v>
      </x:c>
      <x:c r="B15" s="74" t="str">
        <x:v>M15</x:v>
      </x:c>
      <x:c r="C15" s="74" t="str">
        <x:v>GEN</x:v>
      </x:c>
      <x:c r="D15" s="215" t="n">
        <x:v>9</x:v>
      </x:c>
      <x:c r="E15" s="74" t="str">
        <x:v>V1.0</x:v>
      </x:c>
      <x:c r="F15" s="68" t="str">
        <x:v>格局成立与格局层次必须分开</x:v>
      </x:c>
      <x:c r="G15" s="82" t="str">
        <x:v>综合层</x:v>
      </x:c>
      <x:c r="H15" s="68" t="str">
        <x:v>所有M14候选</x:v>
      </x:c>
      <x:c r="I15" s="68" t="str">
        <x:v>格局达到基本成立或以上</x:v>
      </x:c>
      <x:c r="J15" s="68" t="str">
        <x:v>成格条件成立，但清纯度、制化比例、流通、调候和日主承载可能不同</x:v>
      </x:c>
      <x:c r="K15" s="68" t="str">
        <x:v>待定</x:v>
      </x:c>
      <x:c r="L15" s="82" t="str">
        <x:v>待定</x:v>
      </x:c>
      <x:c r="M15" s="68" t="str">
        <x:v>待定</x:v>
      </x:c>
      <x:c r="N15" s="82" t="str">
        <x:v>待定</x:v>
      </x:c>
      <x:c r="O15" s="84" t="str">
        <x:v>基本成立</x:v>
      </x:c>
      <x:c r="P15" s="82" t="str">
        <x:v>待定</x:v>
      </x:c>
      <x:c r="Q15" s="68" t="str">
        <x:v>成立只回答能否运行；层次回答运行质量、稳定性和副作用</x:v>
      </x:c>
      <x:c r="R15" s="68" t="str">
        <x:v>M14已生成候选；M08、M09、M10、M11相关结论可追溯</x:v>
      </x:c>
      <x:c r="S15" s="68" t="str">
        <x:v>格神与关键配合十神均以有效力量和实际功能为准</x:v>
      </x:c>
      <x:c r="T15" s="68" t="str">
        <x:v>格神得令、有根、透达、清纯，组合路径稳定且日主承载匹配</x:v>
      </x:c>
      <x:c r="U15" s="68" t="str">
        <x:v>格神受制、混杂、路径受阻、日主承载不足或救应只能局部作用</x:v>
      </x:c>
      <x:c r="V15" s="90" t="str">
        <x:v>格神失效、核心作用路径完全中断，或特殊格局硬门槛被有效反证否决</x:v>
      </x:c>
      <x:c r="W15" s="68" t="str">
        <x:v>特殊格局严格条件、流派争议及岁运补成另按专门规则处理</x:v>
      </x:c>
      <x:c r="X15" s="84" t="str">
        <x:v>成立层次分离</x:v>
      </x:c>
      <x:c r="Y15" s="84" t="str">
        <x:v>所有M14候选判为“基本成立”：破格等级为“待定”，救应为“待定”，清纯度为“待定”；层次需结合全局继续评估。</x:v>
      </x:c>
      <x:c r="Z15" s="68" t="str">
        <x:v>若“格神失效、核心作用路径完全中断，或特殊格局硬门槛被有效反证否决”成立，应降低为成立但有破或不成立，不得维持当前结论。</x:v>
      </x:c>
      <x:c r="AA15" s="82" t="str">
        <x:v>较高</x:v>
      </x:c>
      <x:c r="AB15" s="82" t="str">
        <x:v>子平格局</x:v>
      </x:c>
      <x:c r="AC15" s="68" t="str">
        <x:v>格局成败须区分：格神是否有效、结构是否能运行、是否存在破坏、救应是否直接修复破格机制，以及格局成立与层次高低。</x:v>
      </x:c>
      <x:c r="AD15" s="68" t="str">
        <x:v>当“格局达到基本成立或以上”成立，且成格证据相互支持、无决定性否决时，可按本规则判断。</x:v>
      </x:c>
      <x:c r="AE15" s="90" t="str">
        <x:v>只有格局名称或局部组合，但“格神失效、核心作用路径完全中断，或特殊格局硬门槛被有效反证否决”成立时，不能按本规则维持格局。</x:v>
      </x:c>
      <x:c r="AF15" s="68" t="str">
        <x:v>https://zh.wikisource.org/zh-hans/%E6%B7%B5%E6%B5%B7%E5%AD%90%E5%B9%B3 ; https://zh.wikisource.org/wiki/%E6%BB%B4%E5%A4%A9%E9%AB%93%E9%97%A1%E5%BE%AE</x:v>
      </x:c>
      <x:c r="AG15" s="82" t="str">
        <x:v>采用</x:v>
      </x:c>
      <x:c r="AH15" s="82" t="str">
        <x:v>初审</x:v>
      </x:c>
      <x:c r="AI15" s="87" t="n">
        <x:v>46260</x:v>
      </x:c>
    </x:row>
    <x:row r="16">
      <x:c r="A16" s="72" t="str">
        <x:f>IF(OR(C16="",D16=""),"",B16&amp;"-"&amp;UPPER(C16)&amp;"-"&amp;TEXT(D16,"0000")&amp;"-"&amp;E16)</x:f>
        <x:v>M15-GEN-0010-V1.0</x:v>
      </x:c>
      <x:c r="B16" s="74" t="str">
        <x:v>M15</x:v>
      </x:c>
      <x:c r="C16" s="74" t="str">
        <x:v>GEN</x:v>
      </x:c>
      <x:c r="D16" s="215" t="n">
        <x:v>10</x:v>
      </x:c>
      <x:c r="E16" s="74" t="str">
        <x:v>V1.0</x:v>
      </x:c>
      <x:c r="F16" s="68" t="str">
        <x:v>多个破格因素不得机械按数量叠加</x:v>
      </x:c>
      <x:c r="G16" s="82" t="str">
        <x:v>综合层</x:v>
      </x:c>
      <x:c r="H16" s="68" t="str">
        <x:v>所有M14候选</x:v>
      </x:c>
      <x:c r="I16" s="68" t="str">
        <x:v>格局同时存在两个以上破格因素</x:v>
      </x:c>
      <x:c r="J16" s="68" t="str">
        <x:v>逐项判断是否共享节点、是否相互放大、是否被同一救应修复</x:v>
      </x:c>
      <x:c r="K16" s="68" t="str">
        <x:v>多重破格因素</x:v>
      </x:c>
      <x:c r="L16" s="82" t="str">
        <x:v>待定</x:v>
      </x:c>
      <x:c r="M16" s="68" t="str">
        <x:v>可能共享救应</x:v>
      </x:c>
      <x:c r="N16" s="82" t="str">
        <x:v>待定</x:v>
      </x:c>
      <x:c r="O16" s="84" t="str">
        <x:v>待定</x:v>
      </x:c>
      <x:c r="P16" s="82" t="str">
        <x:v>待定</x:v>
      </x:c>
      <x:c r="Q16" s="68" t="str">
        <x:v>以净破坏强度和对核心结构的影响判断，不使用固定扣分</x:v>
      </x:c>
      <x:c r="R16" s="68" t="str">
        <x:v>M14已生成候选；M08、M09、M10、M11相关结论可追溯</x:v>
      </x:c>
      <x:c r="S16" s="68" t="str">
        <x:v>格神与关键配合十神均以有效力量和实际功能为准</x:v>
      </x:c>
      <x:c r="T16" s="68" t="str">
        <x:v>格神得令、有根、透达、清纯，组合路径稳定且日主承载匹配</x:v>
      </x:c>
      <x:c r="U16" s="68" t="str">
        <x:v>格神受制、混杂、路径受阻、日主承载不足或救应只能局部作用</x:v>
      </x:c>
      <x:c r="V16" s="90" t="str">
        <x:v>格神失效、核心作用路径完全中断，或特殊格局硬门槛被有效反证否决</x:v>
      </x:c>
      <x:c r="W16" s="68" t="str">
        <x:v>特殊格局严格条件、流派争议及岁运补成另按专门规则处理</x:v>
      </x:c>
      <x:c r="X16" s="84" t="str">
        <x:v>多重破格净效应</x:v>
      </x:c>
      <x:c r="Y16" s="84" t="str">
        <x:v>所有M14候选判为“待定”：破格等级为“待定”，救应为“待定”，清纯度为“待定”；层次需结合全局继续评估。</x:v>
      </x:c>
      <x:c r="Z16" s="68" t="str">
        <x:v>若“格神失效、核心作用路径完全中断，或特殊格局硬门槛被有效反证否决”成立，应降低为成立但有破或不成立，不得维持当前结论。</x:v>
      </x:c>
      <x:c r="AA16" s="82" t="str">
        <x:v>较高</x:v>
      </x:c>
      <x:c r="AB16" s="82" t="str">
        <x:v>子平格局</x:v>
      </x:c>
      <x:c r="AC16" s="68" t="str">
        <x:v>格局成败须区分：格神是否有效、结构是否能运行、是否存在破坏、救应是否直接修复破格机制，以及格局成立与层次高低。</x:v>
      </x:c>
      <x:c r="AD16" s="68" t="str">
        <x:v>当“格局同时存在两个以上破格因素”成立，且成格证据相互支持、无决定性否决时，可按本规则判断。</x:v>
      </x:c>
      <x:c r="AE16" s="90" t="str">
        <x:v>只有格局名称或局部组合，但“格神失效、核心作用路径完全中断，或特殊格局硬门槛被有效反证否决”成立时，不能按本规则维持格局。</x:v>
      </x:c>
      <x:c r="AF16" s="68" t="str">
        <x:v>https://zh.wikisource.org/zh-hans/%E6%B7%B5%E6%B5%B7%E5%AD%90%E5%B9%B3 ; https://zh.wikisource.org/wiki/%E6%BB%B4%E5%A4%A9%E9%AB%93%E9%97%A1%E5%BE%AE</x:v>
      </x:c>
      <x:c r="AG16" s="82" t="str">
        <x:v>采用</x:v>
      </x:c>
      <x:c r="AH16" s="82" t="str">
        <x:v>初审</x:v>
      </x:c>
      <x:c r="AI16" s="87" t="n">
        <x:v>46260</x:v>
      </x:c>
    </x:row>
    <x:row r="17">
      <x:c r="A17" s="72" t="str">
        <x:f>IF(OR(C17="",D17=""),"",B17&amp;"-"&amp;UPPER(C17)&amp;"-"&amp;TEXT(D17,"0000")&amp;"-"&amp;E17)</x:f>
        <x:v>M15-GUAN-0011-V1.0</x:v>
      </x:c>
      <x:c r="B17" s="74" t="str">
        <x:v>M15</x:v>
      </x:c>
      <x:c r="C17" s="74" t="str">
        <x:v>GUAN</x:v>
      </x:c>
      <x:c r="D17" s="215" t="n">
        <x:v>11</x:v>
      </x:c>
      <x:c r="E17" s="74" t="str">
        <x:v>V1.0</x:v>
      </x:c>
      <x:c r="F17" s="68" t="str">
        <x:v>正官格的基本成格条件</x:v>
      </x:c>
      <x:c r="G17" s="82" t="str">
        <x:v>综合层</x:v>
      </x:c>
      <x:c r="H17" s="68" t="str">
        <x:v>正官格候选</x:v>
      </x:c>
      <x:c r="I17" s="68" t="str">
        <x:v>正官具月令依据、有效有根，日主能承官，官星未被强伤官或混杀夺权</x:v>
      </x:c>
      <x:c r="J17" s="68" t="str">
        <x:v>官星得令透达，官印或财官路径至少一项稳定</x:v>
      </x:c>
      <x:c r="K17" s="68" t="str">
        <x:v>无决定性破格因素</x:v>
      </x:c>
      <x:c r="L17" s="82" t="str">
        <x:v>无破</x:v>
      </x:c>
      <x:c r="M17" s="68" t="str">
        <x:v>无须救应</x:v>
      </x:c>
      <x:c r="N17" s="82" t="str">
        <x:v>无救应</x:v>
      </x:c>
      <x:c r="O17" s="84" t="str">
        <x:v>基本成立</x:v>
      </x:c>
      <x:c r="P17" s="82" t="str">
        <x:v>较清</x:v>
      </x:c>
      <x:c r="Q17" s="68" t="str">
        <x:v>官星能够稳定发挥制衡功能，仍需审查财印配合与混杂</x:v>
      </x:c>
      <x:c r="R17" s="68" t="str">
        <x:v>M14已生成候选；M08、M09、M10、M11相关结论可追溯</x:v>
      </x:c>
      <x:c r="S17" s="68" t="str">
        <x:v>格神与关键配合十神均以有效力量和实际功能为准</x:v>
      </x:c>
      <x:c r="T17" s="68" t="str">
        <x:v>格神得令、有根、透达、清纯，组合路径稳定且日主承载匹配</x:v>
      </x:c>
      <x:c r="U17" s="68" t="str">
        <x:v>格神受制、混杂、路径受阻、日主承载不足或救应只能局部作用</x:v>
      </x:c>
      <x:c r="V17" s="90" t="str">
        <x:v>格神失效、核心作用路径完全中断，或特殊格局硬门槛被有效反证否决</x:v>
      </x:c>
      <x:c r="W17" s="68" t="str">
        <x:v>特殊格局严格条件、流派争议及岁运补成另按专门规则处理</x:v>
      </x:c>
      <x:c r="X17" s="84" t="str">
        <x:v>正官格候选_成败救应</x:v>
      </x:c>
      <x:c r="Y17" s="84" t="str">
        <x:v>正官格候选判为“基本成立”：破格等级为“无破”，救应为“无救应”，清纯度为“较清”；层次需结合全局继续评估。</x:v>
      </x:c>
      <x:c r="Z17" s="68" t="str">
        <x:v>若“格神失效、核心作用路径完全中断，或特殊格局硬门槛被有效反证否决”成立，应降低为成立但有破或不成立，不得维持当前结论。</x:v>
      </x:c>
      <x:c r="AA17" s="82" t="str">
        <x:v>较高</x:v>
      </x:c>
      <x:c r="AB17" s="82" t="str">
        <x:v>子平格局</x:v>
      </x:c>
      <x:c r="AC17" s="68" t="str">
        <x:v>格局成败须区分：格神是否有效、结构是否能运行、是否存在破坏、救应是否直接修复破格机制，以及格局成立与层次高低。</x:v>
      </x:c>
      <x:c r="AD17" s="68" t="str">
        <x:v>当“正官具月令依据、有效有根，日主能承官，官星未被强伤官或混杀夺权”成立，且成格证据相互支持、无决定性否决时，可按本规则判断。</x:v>
      </x:c>
      <x:c r="AE17" s="90" t="str">
        <x:v>只有格局名称或局部组合，但“格神失效、核心作用路径完全中断，或特殊格局硬门槛被有效反证否决”成立时，不能按本规则维持格局。</x:v>
      </x:c>
      <x:c r="AF17" s="68" t="str">
        <x:v>https://zh.wikisource.org/zh-hans/%E6%B7%B5%E6%B5%B7%E5%AD%90%E5%B9%B3 ; https://zh.wikisource.org/wiki/%E6%BB%B4%E5%A4%A9%E9%AB%93%E9%97%A1%E5%BE%AE</x:v>
      </x:c>
      <x:c r="AG17" s="82" t="str">
        <x:v>采用</x:v>
      </x:c>
      <x:c r="AH17" s="82" t="str">
        <x:v>初审</x:v>
      </x:c>
      <x:c r="AI17" s="87" t="n">
        <x:v>46260</x:v>
      </x:c>
    </x:row>
    <x:row r="18">
      <x:c r="A18" s="72" t="str">
        <x:f>IF(OR(C18="",D18=""),"",B18&amp;"-"&amp;UPPER(C18)&amp;"-"&amp;TEXT(D18,"0000")&amp;"-"&amp;E18)</x:f>
        <x:v>M15-GUAN-0012-V1.0</x:v>
      </x:c>
      <x:c r="B18" s="74" t="str">
        <x:v>M15</x:v>
      </x:c>
      <x:c r="C18" s="74" t="str">
        <x:v>GUAN</x:v>
      </x:c>
      <x:c r="D18" s="215" t="n">
        <x:v>12</x:v>
      </x:c>
      <x:c r="E18" s="74" t="str">
        <x:v>V1.0</x:v>
      </x:c>
      <x:c r="F18" s="68" t="str">
        <x:v>官印相生完整可判正官格清纯增强</x:v>
      </x:c>
      <x:c r="G18" s="82" t="str">
        <x:v>综合层</x:v>
      </x:c>
      <x:c r="H18" s="68" t="str">
        <x:v>正官格候选</x:v>
      </x:c>
      <x:c r="I18" s="68" t="str">
        <x:v>正官有效，印星能承官并生日主，官印链连续</x:v>
      </x:c>
      <x:c r="J18" s="68" t="str">
        <x:v>M11官印相生明显成立，官印均有根有源</x:v>
      </x:c>
      <x:c r="K18" s="68" t="str">
        <x:v>无决定性破格因素</x:v>
      </x:c>
      <x:c r="L18" s="82" t="str">
        <x:v>无破</x:v>
      </x:c>
      <x:c r="M18" s="68" t="str">
        <x:v>无须救应</x:v>
      </x:c>
      <x:c r="N18" s="82" t="str">
        <x:v>无救应</x:v>
      </x:c>
      <x:c r="O18" s="84" t="str">
        <x:v>清纯成立</x:v>
      </x:c>
      <x:c r="P18" s="82" t="str">
        <x:v>清纯</x:v>
      </x:c>
      <x:c r="Q18" s="68" t="str">
        <x:v>官有来源、印能化承，结构稳定且日主承载良好</x:v>
      </x:c>
      <x:c r="R18" s="68" t="str">
        <x:v>M14已生成候选；M08、M09、M10、M11相关结论可追溯</x:v>
      </x:c>
      <x:c r="S18" s="68" t="str">
        <x:v>格神与关键配合十神均以有效力量和实际功能为准</x:v>
      </x:c>
      <x:c r="T18" s="68" t="str">
        <x:v>格神得令、有根、透达、清纯，组合路径稳定且日主承载匹配</x:v>
      </x:c>
      <x:c r="U18" s="68" t="str">
        <x:v>格神受制、混杂、路径受阻、日主承载不足或救应只能局部作用</x:v>
      </x:c>
      <x:c r="V18" s="90" t="str">
        <x:v>格神失效、核心作用路径完全中断，或特殊格局硬门槛被有效反证否决</x:v>
      </x:c>
      <x:c r="W18" s="68" t="str">
        <x:v>特殊格局严格条件、流派争议及岁运补成另按专门规则处理</x:v>
      </x:c>
      <x:c r="X18" s="84" t="str">
        <x:v>正官格_官印清纯</x:v>
      </x:c>
      <x:c r="Y18" s="84" t="str">
        <x:v>正官格候选判为“清纯成立”：破格等级为“无破”，救应为“无救应”，清纯度为“清纯”；层次需结合全局继续评估。</x:v>
      </x:c>
      <x:c r="Z18" s="68" t="str">
        <x:v>若“格神失效、核心作用路径完全中断，或特殊格局硬门槛被有效反证否决”成立，应降低为成立但有破或不成立，不得维持当前结论。</x:v>
      </x:c>
      <x:c r="AA18" s="82" t="str">
        <x:v>较高</x:v>
      </x:c>
      <x:c r="AB18" s="82" t="str">
        <x:v>子平格局</x:v>
      </x:c>
      <x:c r="AC18" s="68" t="str">
        <x:v>格局成败须区分：格神是否有效、结构是否能运行、是否存在破坏、救应是否直接修复破格机制，以及格局成立与层次高低。</x:v>
      </x:c>
      <x:c r="AD18" s="68" t="str">
        <x:v>当“正官有效，印星能承官并生日主，官印链连续”成立，且成格证据相互支持、无决定性否决时，可按本规则判断。</x:v>
      </x:c>
      <x:c r="AE18" s="90" t="str">
        <x:v>只有格局名称或局部组合，但“格神失效、核心作用路径完全中断，或特殊格局硬门槛被有效反证否决”成立时，不能按本规则维持格局。</x:v>
      </x:c>
      <x:c r="AF18" s="68" t="str">
        <x:v>https://zh.wikisource.org/zh-hans/%E6%B7%B5%E6%B5%B7%E5%AD%90%E5%B9%B3 ; https://zh.wikisource.org/wiki/%E6%BB%B4%E5%A4%A9%E9%AB%93%E9%97%A1%E5%BE%AE</x:v>
      </x:c>
      <x:c r="AG18" s="82" t="str">
        <x:v>采用</x:v>
      </x:c>
      <x:c r="AH18" s="82" t="str">
        <x:v>初审</x:v>
      </x:c>
      <x:c r="AI18" s="87" t="n">
        <x:v>46260</x:v>
      </x:c>
    </x:row>
    <x:row r="19">
      <x:c r="A19" s="72" t="str">
        <x:f>IF(OR(C19="",D19=""),"",B19&amp;"-"&amp;UPPER(C19)&amp;"-"&amp;TEXT(D19,"0000")&amp;"-"&amp;E19)</x:f>
        <x:v>M15-GUAN-0013-V1.0</x:v>
      </x:c>
      <x:c r="B19" s="74" t="str">
        <x:v>M15</x:v>
      </x:c>
      <x:c r="C19" s="74" t="str">
        <x:v>GUAN</x:v>
      </x:c>
      <x:c r="D19" s="215" t="n">
        <x:v>13</x:v>
      </x:c>
      <x:c r="E19" s="74" t="str">
        <x:v>V1.0</x:v>
      </x:c>
      <x:c r="F19" s="68" t="str">
        <x:v>财官相生可提高正官格运行层次</x:v>
      </x:c>
      <x:c r="G19" s="82" t="str">
        <x:v>综合层</x:v>
      </x:c>
      <x:c r="H19" s="68" t="str">
        <x:v>正官格候选</x:v>
      </x:c>
      <x:c r="I19" s="68" t="str">
        <x:v>财星有效生官，官星可承接，财不过度坏印或耗身</x:v>
      </x:c>
      <x:c r="J19" s="68" t="str">
        <x:v>财→官路径连续，日主有能力承受财耗与官制</x:v>
      </x:c>
      <x:c r="K19" s="68" t="str">
        <x:v>无决定性破格因素</x:v>
      </x:c>
      <x:c r="L19" s="82" t="str">
        <x:v>无破</x:v>
      </x:c>
      <x:c r="M19" s="68" t="str">
        <x:v>无须救应</x:v>
      </x:c>
      <x:c r="N19" s="82" t="str">
        <x:v>无救应</x:v>
      </x:c>
      <x:c r="O19" s="84" t="str">
        <x:v>清纯成立</x:v>
      </x:c>
      <x:c r="P19" s="82" t="str">
        <x:v>较清</x:v>
      </x:c>
      <x:c r="Q19" s="68" t="str">
        <x:v>财官相辅，正官格资源链较完整</x:v>
      </x:c>
      <x:c r="R19" s="68" t="str">
        <x:v>M14已生成候选；M08、M09、M10、M11相关结论可追溯</x:v>
      </x:c>
      <x:c r="S19" s="68" t="str">
        <x:v>格神与关键配合十神均以有效力量和实际功能为准</x:v>
      </x:c>
      <x:c r="T19" s="68" t="str">
        <x:v>格神得令、有根、透达、清纯，组合路径稳定且日主承载匹配</x:v>
      </x:c>
      <x:c r="U19" s="68" t="str">
        <x:v>格神受制、混杂、路径受阻、日主承载不足或救应只能局部作用</x:v>
      </x:c>
      <x:c r="V19" s="90" t="str">
        <x:v>格神失效、核心作用路径完全中断，或特殊格局硬门槛被有效反证否决</x:v>
      </x:c>
      <x:c r="W19" s="68" t="str">
        <x:v>特殊格局严格条件、流派争议及岁运补成另按专门规则处理</x:v>
      </x:c>
      <x:c r="X19" s="84" t="str">
        <x:v>正官格_财官相生</x:v>
      </x:c>
      <x:c r="Y19" s="84" t="str">
        <x:v>正官格候选判为“清纯成立”：破格等级为“无破”，救应为“无救应”，清纯度为“较清”；层次需结合全局继续评估。</x:v>
      </x:c>
      <x:c r="Z19" s="68" t="str">
        <x:v>若“格神失效、核心作用路径完全中断，或特殊格局硬门槛被有效反证否决”成立，应降低为成立但有破或不成立，不得维持当前结论。</x:v>
      </x:c>
      <x:c r="AA19" s="82" t="str">
        <x:v>较高</x:v>
      </x:c>
      <x:c r="AB19" s="82" t="str">
        <x:v>子平格局</x:v>
      </x:c>
      <x:c r="AC19" s="68" t="str">
        <x:v>格局成败须区分：格神是否有效、结构是否能运行、是否存在破坏、救应是否直接修复破格机制，以及格局成立与层次高低。</x:v>
      </x:c>
      <x:c r="AD19" s="68" t="str">
        <x:v>当“财星有效生官，官星可承接，财不过度坏印或耗身”成立，且成格证据相互支持、无决定性否决时，可按本规则判断。</x:v>
      </x:c>
      <x:c r="AE19" s="90" t="str">
        <x:v>只有格局名称或局部组合，但“格神失效、核心作用路径完全中断，或特殊格局硬门槛被有效反证否决”成立时，不能按本规则维持格局。</x:v>
      </x:c>
      <x:c r="AF19" s="68" t="str">
        <x:v>https://zh.wikisource.org/zh-hans/%E6%B7%B5%E6%B5%B7%E5%AD%90%E5%B9%B3 ; https://zh.wikisource.org/wiki/%E6%BB%B4%E5%A4%A9%E9%AB%93%E9%97%A1%E5%BE%AE</x:v>
      </x:c>
      <x:c r="AG19" s="82" t="str">
        <x:v>采用</x:v>
      </x:c>
      <x:c r="AH19" s="82" t="str">
        <x:v>初审</x:v>
      </x:c>
      <x:c r="AI19" s="87" t="n">
        <x:v>46260</x:v>
      </x:c>
    </x:row>
    <x:row r="20">
      <x:c r="A20" s="72" t="str">
        <x:f>IF(OR(C20="",D20=""),"",B20&amp;"-"&amp;UPPER(C20)&amp;"-"&amp;TEXT(D20,"0000")&amp;"-"&amp;E20)</x:f>
        <x:v>M15-GUAN-0014-V1.0</x:v>
      </x:c>
      <x:c r="B20" s="74" t="str">
        <x:v>M15</x:v>
      </x:c>
      <x:c r="C20" s="74" t="str">
        <x:v>GUAN</x:v>
      </x:c>
      <x:c r="D20" s="215" t="n">
        <x:v>14</x:v>
      </x:c>
      <x:c r="E20" s="74" t="str">
        <x:v>V1.0</x:v>
      </x:c>
      <x:c r="F20" s="68" t="str">
        <x:v>伤官见官无救应构成严重破格</x:v>
      </x:c>
      <x:c r="G20" s="82" t="str">
        <x:v>综合层</x:v>
      </x:c>
      <x:c r="H20" s="68" t="str">
        <x:v>正官格候选</x:v>
      </x:c>
      <x:c r="I20" s="68" t="str">
        <x:v>正官原具成格基础</x:v>
      </x:c>
      <x:c r="J20" s="68" t="str">
        <x:v>月令依据、格神根气与有效力量、日主配合及M11组合证据相互支持</x:v>
      </x:c>
      <x:c r="K20" s="68" t="str">
        <x:v>伤官有力并直接持续克制正官</x:v>
      </x:c>
      <x:c r="L20" s="82" t="str">
        <x:v>严重</x:v>
      </x:c>
      <x:c r="M20" s="68" t="str">
        <x:v>无印制伤、无财通关</x:v>
      </x:c>
      <x:c r="N20" s="82" t="str">
        <x:v>无救应</x:v>
      </x:c>
      <x:c r="O20" s="84" t="str">
        <x:v>成立但有破</x:v>
      </x:c>
      <x:c r="P20" s="82" t="str">
        <x:v>混杂</x:v>
      </x:c>
      <x:c r="Q20" s="68" t="str">
        <x:v>官星主导性显著受损；若官被制至失效则转根本破格</x:v>
      </x:c>
      <x:c r="R20" s="68" t="str">
        <x:v>M14已生成候选；M08、M09、M10、M11相关结论可追溯</x:v>
      </x:c>
      <x:c r="S20" s="68" t="str">
        <x:v>格神与关键配合十神均以有效力量和实际功能为准</x:v>
      </x:c>
      <x:c r="T20" s="68" t="str">
        <x:v>格神得令、有根、透达、清纯，组合路径稳定且日主承载匹配</x:v>
      </x:c>
      <x:c r="U20" s="68" t="str">
        <x:v>格神受制、混杂、路径受阻、日主承载不足或救应只能局部作用</x:v>
      </x:c>
      <x:c r="V20" s="90" t="str">
        <x:v>正官被伤官制至失效且不存在恢复路径</x:v>
      </x:c>
      <x:c r="W20" s="68" t="str">
        <x:v>特殊格局严格条件、流派争议及岁运补成另按专门规则处理</x:v>
      </x:c>
      <x:c r="X20" s="84" t="str">
        <x:v>正官格_伤官破格</x:v>
      </x:c>
      <x:c r="Y20" s="84" t="str">
        <x:v>正官格候选判为“成立但有破”：破格等级为“严重”，救应为“无救应”，清纯度为“混杂”；层次需结合全局继续评估。</x:v>
      </x:c>
      <x:c r="Z20" s="68" t="str">
        <x:v>若“正官被伤官制至失效且不存在恢复路径”成立，应降低为成立但有破或不成立，不得维持当前结论。</x:v>
      </x:c>
      <x:c r="AA20" s="82" t="str">
        <x:v>较高</x:v>
      </x:c>
      <x:c r="AB20" s="82" t="str">
        <x:v>子平格局</x:v>
      </x:c>
      <x:c r="AC20" s="68" t="str">
        <x:v>格局成败须区分：格神是否有效、结构是否能运行、是否存在破坏、救应是否直接修复破格机制，以及格局成立与层次高低。</x:v>
      </x:c>
      <x:c r="AD20" s="68" t="str">
        <x:v>当“正官原具成格基础”成立，且成格证据相互支持、无决定性否决时，可按本规则判断。</x:v>
      </x:c>
      <x:c r="AE20" s="90" t="str">
        <x:v>只有格局名称或局部组合，但“正官被伤官制至失效且不存在恢复路径”成立时，不能按本规则维持格局。</x:v>
      </x:c>
      <x:c r="AF20" s="68" t="str">
        <x:v>https://zh.wikisource.org/zh-hans/%E6%B7%B5%E6%B5%B7%E5%AD%90%E5%B9%B3 ; https://zh.wikisource.org/wiki/%E6%BB%B4%E5%A4%A9%E9%AB%93%E9%97%A1%E5%BE%AE</x:v>
      </x:c>
      <x:c r="AG20" s="82" t="str">
        <x:v>采用</x:v>
      </x:c>
      <x:c r="AH20" s="82" t="str">
        <x:v>初审</x:v>
      </x:c>
      <x:c r="AI20" s="87" t="n">
        <x:v>46260</x:v>
      </x:c>
    </x:row>
    <x:row r="21">
      <x:c r="A21" s="72" t="str">
        <x:f>IF(OR(C21="",D21=""),"",B21&amp;"-"&amp;UPPER(C21)&amp;"-"&amp;TEXT(D21,"0000")&amp;"-"&amp;E21)</x:f>
        <x:v>M15-GUAN-0015-V1.0</x:v>
      </x:c>
      <x:c r="B21" s="74" t="str">
        <x:v>M15</x:v>
      </x:c>
      <x:c r="C21" s="74" t="str">
        <x:v>GUAN</x:v>
      </x:c>
      <x:c r="D21" s="215" t="n">
        <x:v>15</x:v>
      </x:c>
      <x:c r="E21" s="74" t="str">
        <x:v>V1.0</x:v>
      </x:c>
      <x:c r="F21" s="68" t="str">
        <x:v>印制伤官可救正官格</x:v>
      </x:c>
      <x:c r="G21" s="82" t="str">
        <x:v>综合层</x:v>
      </x:c>
      <x:c r="H21" s="68" t="str">
        <x:v>正官格候选</x:v>
      </x:c>
      <x:c r="I21" s="68" t="str">
        <x:v>正官格遭伤官破坏，印星有效制伤</x:v>
      </x:c>
      <x:c r="J21" s="68" t="str">
        <x:v>印→伤官克制路径真实，官星功能得到恢复</x:v>
      </x:c>
      <x:c r="K21" s="68" t="str">
        <x:v>伤官克官</x:v>
      </x:c>
      <x:c r="L21" s="82" t="str">
        <x:v>一般</x:v>
      </x:c>
      <x:c r="M21" s="68" t="str">
        <x:v>印星制伤并护官</x:v>
      </x:c>
      <x:c r="N21" s="82" t="str">
        <x:v>明显有效</x:v>
      </x:c>
      <x:c r="O21" s="84" t="str">
        <x:v>有破有救</x:v>
      </x:c>
      <x:c r="P21" s="82" t="str">
        <x:v>有杂</x:v>
      </x:c>
      <x:c r="Q21" s="68" t="str">
        <x:v>格局恢复主要运行，但层次低于原局无伤官者</x:v>
      </x:c>
      <x:c r="R21" s="68" t="str">
        <x:v>M14已生成候选；M08、M09、M10、M11相关结论可追溯</x:v>
      </x:c>
      <x:c r="S21" s="68" t="str">
        <x:v>格神与关键配合十神均以有效力量和实际功能为准</x:v>
      </x:c>
      <x:c r="T21" s="68" t="str">
        <x:v>格神得令、有根、透达、清纯，组合路径稳定且日主承载匹配</x:v>
      </x:c>
      <x:c r="U21" s="68" t="str">
        <x:v>格神受制、混杂、路径受阻、日主承载不足或救应只能局部作用</x:v>
      </x:c>
      <x:c r="V21" s="90" t="str">
        <x:v>格神失效、核心作用路径完全中断，或特殊格局硬门槛被有效反证否决</x:v>
      </x:c>
      <x:c r="W21" s="68" t="str">
        <x:v>特殊格局严格条件、流派争议及岁运补成另按专门规则处理</x:v>
      </x:c>
      <x:c r="X21" s="84" t="str">
        <x:v>正官格_印制伤救应</x:v>
      </x:c>
      <x:c r="Y21" s="84" t="str">
        <x:v>正官格候选判为“有破有救”：破格等级为“一般”，救应为“明显有效”，清纯度为“有杂”；层次需结合全局继续评估。</x:v>
      </x:c>
      <x:c r="Z21" s="68" t="str">
        <x:v>若“格神失效、核心作用路径完全中断，或特殊格局硬门槛被有效反证否决”成立，应降低为成立但有破或不成立，不得维持当前结论。</x:v>
      </x:c>
      <x:c r="AA21" s="82" t="str">
        <x:v>较高</x:v>
      </x:c>
      <x:c r="AB21" s="82" t="str">
        <x:v>子平格局</x:v>
      </x:c>
      <x:c r="AC21" s="68" t="str">
        <x:v>格局成败须区分：格神是否有效、结构是否能运行、是否存在破坏、救应是否直接修复破格机制，以及格局成立与层次高低。</x:v>
      </x:c>
      <x:c r="AD21" s="68" t="str">
        <x:v>当“正官格遭伤官破坏，印星有效制伤”成立，且成格证据相互支持、无决定性否决时，可按本规则判断。</x:v>
      </x:c>
      <x:c r="AE21" s="90" t="str">
        <x:v>只有格局名称或局部组合，但“格神失效、核心作用路径完全中断，或特殊格局硬门槛被有效反证否决”成立时，不能按本规则维持格局。</x:v>
      </x:c>
      <x:c r="AF21" s="68" t="str">
        <x:v>https://zh.wikisource.org/zh-hans/%E6%B7%B5%E6%B5%B7%E5%AD%90%E5%B9%B3 ; https://zh.wikisource.org/wiki/%E6%BB%B4%E5%A4%A9%E9%AB%93%E9%97%A1%E5%BE%AE</x:v>
      </x:c>
      <x:c r="AG21" s="82" t="str">
        <x:v>采用</x:v>
      </x:c>
      <x:c r="AH21" s="82" t="str">
        <x:v>初审</x:v>
      </x:c>
      <x:c r="AI21" s="87" t="n">
        <x:v>46260</x:v>
      </x:c>
    </x:row>
    <x:row r="22">
      <x:c r="A22" s="72" t="str">
        <x:f>IF(OR(C22="",D22=""),"",B22&amp;"-"&amp;UPPER(C22)&amp;"-"&amp;TEXT(D22,"0000")&amp;"-"&amp;E22)</x:f>
        <x:v>M15-GUAN-0016-V1.0</x:v>
      </x:c>
      <x:c r="B22" s="74" t="str">
        <x:v>M15</x:v>
      </x:c>
      <x:c r="C22" s="74" t="str">
        <x:v>GUAN</x:v>
      </x:c>
      <x:c r="D22" s="215" t="n">
        <x:v>16</x:v>
      </x:c>
      <x:c r="E22" s="74" t="str">
        <x:v>V1.0</x:v>
      </x:c>
      <x:c r="F22" s="68" t="str">
        <x:v>财通伤官生官可形成条件性救应</x:v>
      </x:c>
      <x:c r="G22" s="82" t="str">
        <x:v>综合层</x:v>
      </x:c>
      <x:c r="H22" s="68" t="str">
        <x:v>正官格候选</x:v>
      </x:c>
      <x:c r="I22" s="68" t="str">
        <x:v>伤官克官冲突存在，财星能承接伤官并继续生官</x:v>
      </x:c>
      <x:c r="J22" s="68" t="str">
        <x:v>伤→财→官链路连续且财不过度坏印</x:v>
      </x:c>
      <x:c r="K22" s="68" t="str">
        <x:v>伤官见官</x:v>
      </x:c>
      <x:c r="L22" s="82" t="str">
        <x:v>一般</x:v>
      </x:c>
      <x:c r="M22" s="68" t="str">
        <x:v>财星通关</x:v>
      </x:c>
      <x:c r="N22" s="82" t="str">
        <x:v>部分有效</x:v>
      </x:c>
      <x:c r="O22" s="84" t="str">
        <x:v>有破有救</x:v>
      </x:c>
      <x:c r="P22" s="82" t="str">
        <x:v>有杂</x:v>
      </x:c>
      <x:c r="Q22" s="68" t="str">
        <x:v>直接冲突得到缓和，但财的副作用需同步评估</x:v>
      </x:c>
      <x:c r="R22" s="68" t="str">
        <x:v>M14已生成候选；M08、M09、M10、M11相关结论可追溯</x:v>
      </x:c>
      <x:c r="S22" s="68" t="str">
        <x:v>格神与关键配合十神均以有效力量和实际功能为准</x:v>
      </x:c>
      <x:c r="T22" s="68" t="str">
        <x:v>格神得令、有根、透达、清纯，组合路径稳定且日主承载匹配</x:v>
      </x:c>
      <x:c r="U22" s="68" t="str">
        <x:v>格神受制、混杂、路径受阻、日主承载不足或救应只能局部作用</x:v>
      </x:c>
      <x:c r="V22" s="90" t="str">
        <x:v>格神失效、核心作用路径完全中断，或特殊格局硬门槛被有效反证否决</x:v>
      </x:c>
      <x:c r="W22" s="68" t="str">
        <x:v>特殊格局严格条件、流派争议及岁运补成另按专门规则处理</x:v>
      </x:c>
      <x:c r="X22" s="84" t="str">
        <x:v>正官格_财通关救应</x:v>
      </x:c>
      <x:c r="Y22" s="84" t="str">
        <x:v>正官格候选判为“有破有救”：破格等级为“一般”，救应为“部分有效”，清纯度为“有杂”；层次需结合全局继续评估。</x:v>
      </x:c>
      <x:c r="Z22" s="68" t="str">
        <x:v>若“格神失效、核心作用路径完全中断，或特殊格局硬门槛被有效反证否决”成立，应降低为成立但有破或不成立，不得维持当前结论。</x:v>
      </x:c>
      <x:c r="AA22" s="82" t="str">
        <x:v>较高</x:v>
      </x:c>
      <x:c r="AB22" s="82" t="str">
        <x:v>子平格局</x:v>
      </x:c>
      <x:c r="AC22" s="68" t="str">
        <x:v>格局成败须区分：格神是否有效、结构是否能运行、是否存在破坏、救应是否直接修复破格机制，以及格局成立与层次高低。</x:v>
      </x:c>
      <x:c r="AD22" s="68" t="str">
        <x:v>当“伤官克官冲突存在，财星能承接伤官并继续生官”成立，且成格证据相互支持、无决定性否决时，可按本规则判断。</x:v>
      </x:c>
      <x:c r="AE22" s="90" t="str">
        <x:v>只有格局名称或局部组合，但“格神失效、核心作用路径完全中断，或特殊格局硬门槛被有效反证否决”成立时，不能按本规则维持格局。</x:v>
      </x:c>
      <x:c r="AF22" s="68" t="str">
        <x:v>https://zh.wikisource.org/zh-hans/%E6%B7%B5%E6%B5%B7%E5%AD%90%E5%B9%B3 ; https://zh.wikisource.org/wiki/%E6%BB%B4%E5%A4%A9%E9%AB%93%E9%97%A1%E5%BE%AE</x:v>
      </x:c>
      <x:c r="AG22" s="82" t="str">
        <x:v>采用</x:v>
      </x:c>
      <x:c r="AH22" s="82" t="str">
        <x:v>初审</x:v>
      </x:c>
      <x:c r="AI22" s="87" t="n">
        <x:v>46260</x:v>
      </x:c>
    </x:row>
    <x:row r="23">
      <x:c r="A23" s="72" t="str">
        <x:f>IF(OR(C23="",D23=""),"",B23&amp;"-"&amp;UPPER(C23)&amp;"-"&amp;TEXT(D23,"0000")&amp;"-"&amp;E23)</x:f>
        <x:v>M15-GUAN-0017-V1.0</x:v>
      </x:c>
      <x:c r="B23" s="74" t="str">
        <x:v>M15</x:v>
      </x:c>
      <x:c r="C23" s="74" t="str">
        <x:v>GUAN</x:v>
      </x:c>
      <x:c r="D23" s="215" t="n">
        <x:v>17</x:v>
      </x:c>
      <x:c r="E23" s="74" t="str">
        <x:v>V1.0</x:v>
      </x:c>
      <x:c r="F23" s="68" t="str">
        <x:v>官杀混杂无清化降低正官格层次</x:v>
      </x:c>
      <x:c r="G23" s="82" t="str">
        <x:v>综合层</x:v>
      </x:c>
      <x:c r="H23" s="68" t="str">
        <x:v>正官格候选</x:v>
      </x:c>
      <x:c r="I23" s="68" t="str">
        <x:v>正官仍具月令和有效性基础</x:v>
      </x:c>
      <x:c r="J23" s="68" t="str">
        <x:v>月令依据、格神根气与有效力量、日主配合及M11组合证据相互支持</x:v>
      </x:c>
      <x:c r="K23" s="68" t="str">
        <x:v>七杀同时有效，官杀均参与制身且主从不清</x:v>
      </x:c>
      <x:c r="L23" s="82" t="str">
        <x:v>一般</x:v>
      </x:c>
      <x:c r="M23" s="68" t="str">
        <x:v>合杀、制杀或形成明确去留</x:v>
      </x:c>
      <x:c r="N23" s="82" t="str">
        <x:v>待定</x:v>
      </x:c>
      <x:c r="O23" s="84" t="str">
        <x:v>成立但有破</x:v>
      </x:c>
      <x:c r="P23" s="82" t="str">
        <x:v>混杂</x:v>
      </x:c>
      <x:c r="Q23" s="68" t="str">
        <x:v>正官主导性下降，需审是否可去杀留官</x:v>
      </x:c>
      <x:c r="R23" s="68" t="str">
        <x:v>M14已生成候选；M08、M09、M10、M11相关结论可追溯</x:v>
      </x:c>
      <x:c r="S23" s="68" t="str">
        <x:v>格神与关键配合十神均以有效力量和实际功能为准</x:v>
      </x:c>
      <x:c r="T23" s="68" t="str">
        <x:v>格神得令、有根、透达、清纯，组合路径稳定且日主承载匹配</x:v>
      </x:c>
      <x:c r="U23" s="68" t="str">
        <x:v>格神受制、混杂、路径受阻、日主承载不足或救应只能局部作用</x:v>
      </x:c>
      <x:c r="V23" s="90" t="str">
        <x:v>格神失效、核心作用路径完全中断，或特殊格局硬门槛被有效反证否决</x:v>
      </x:c>
      <x:c r="W23" s="68" t="str">
        <x:v>特殊格局严格条件、流派争议及岁运补成另按专门规则处理</x:v>
      </x:c>
      <x:c r="X23" s="84" t="str">
        <x:v>正官格_官杀混杂</x:v>
      </x:c>
      <x:c r="Y23" s="84" t="str">
        <x:v>正官格候选判为“成立但有破”：破格等级为“一般”，救应为“待定”，清纯度为“混杂”；层次需结合全局继续评估。</x:v>
      </x:c>
      <x:c r="Z23" s="68" t="str">
        <x:v>若“格神失效、核心作用路径完全中断，或特殊格局硬门槛被有效反证否决”成立，应降低为成立但有破或不成立，不得维持当前结论。</x:v>
      </x:c>
      <x:c r="AA23" s="82" t="str">
        <x:v>较高</x:v>
      </x:c>
      <x:c r="AB23" s="82" t="str">
        <x:v>子平格局</x:v>
      </x:c>
      <x:c r="AC23" s="68" t="str">
        <x:v>格局成败须区分：格神是否有效、结构是否能运行、是否存在破坏、救应是否直接修复破格机制，以及格局成立与层次高低。</x:v>
      </x:c>
      <x:c r="AD23" s="68" t="str">
        <x:v>当“正官仍具月令和有效性基础”成立，且成格证据相互支持、无决定性否决时，可按本规则判断。</x:v>
      </x:c>
      <x:c r="AE23" s="90" t="str">
        <x:v>只有格局名称或局部组合，但“格神失效、核心作用路径完全中断，或特殊格局硬门槛被有效反证否决”成立时，不能按本规则维持格局。</x:v>
      </x:c>
      <x:c r="AF23" s="68" t="str">
        <x:v>https://zh.wikisource.org/zh-hans/%E6%B7%B5%E6%B5%B7%E5%AD%90%E5%B9%B3 ; https://zh.wikisource.org/wiki/%E6%BB%B4%E5%A4%A9%E9%AB%93%E9%97%A1%E5%BE%AE</x:v>
      </x:c>
      <x:c r="AG23" s="82" t="str">
        <x:v>采用</x:v>
      </x:c>
      <x:c r="AH23" s="82" t="str">
        <x:v>初审</x:v>
      </x:c>
      <x:c r="AI23" s="87" t="n">
        <x:v>46260</x:v>
      </x:c>
    </x:row>
    <x:row r="24">
      <x:c r="A24" s="72" t="str">
        <x:f>IF(OR(C24="",D24=""),"",B24&amp;"-"&amp;UPPER(C24)&amp;"-"&amp;TEXT(D24,"0000")&amp;"-"&amp;E24)</x:f>
        <x:v>M15-GUAN-0018-V1.0</x:v>
      </x:c>
      <x:c r="B24" s="74" t="str">
        <x:v>M15</x:v>
      </x:c>
      <x:c r="C24" s="74" t="str">
        <x:v>GUAN</x:v>
      </x:c>
      <x:c r="D24" s="215" t="n">
        <x:v>18</x:v>
      </x:c>
      <x:c r="E24" s="74" t="str">
        <x:v>V1.0</x:v>
      </x:c>
      <x:c r="F24" s="68" t="str">
        <x:v>去杀留官可恢复正官格清纯度</x:v>
      </x:c>
      <x:c r="G24" s="82" t="str">
        <x:v>综合层</x:v>
      </x:c>
      <x:c r="H24" s="68" t="str">
        <x:v>正官格候选</x:v>
      </x:c>
      <x:c r="I24" s="68" t="str">
        <x:v>官杀并见但七杀被有效合住、制去或转化，正官保持有效</x:v>
      </x:c>
      <x:c r="J24" s="68" t="str">
        <x:v>七杀功能显著下降，正官重新成为唯一主导制身者</x:v>
      </x:c>
      <x:c r="K24" s="68" t="str">
        <x:v>原官杀混杂</x:v>
      </x:c>
      <x:c r="L24" s="82" t="str">
        <x:v>轻微</x:v>
      </x:c>
      <x:c r="M24" s="68" t="str">
        <x:v>去杀留官</x:v>
      </x:c>
      <x:c r="N24" s="82" t="str">
        <x:v>完全救应</x:v>
      </x:c>
      <x:c r="O24" s="84" t="str">
        <x:v>有破有救</x:v>
      </x:c>
      <x:c r="P24" s="82" t="str">
        <x:v>较清</x:v>
      </x:c>
      <x:c r="Q24" s="68" t="str">
        <x:v>混杂被清化，正官格可恢复较高稳定度</x:v>
      </x:c>
      <x:c r="R24" s="68" t="str">
        <x:v>M14已生成候选；M08、M09、M10、M11相关结论可追溯</x:v>
      </x:c>
      <x:c r="S24" s="68" t="str">
        <x:v>格神与关键配合十神均以有效力量和实际功能为准</x:v>
      </x:c>
      <x:c r="T24" s="68" t="str">
        <x:v>格神得令、有根、透达、清纯，组合路径稳定且日主承载匹配</x:v>
      </x:c>
      <x:c r="U24" s="68" t="str">
        <x:v>格神受制、混杂、路径受阻、日主承载不足或救应只能局部作用</x:v>
      </x:c>
      <x:c r="V24" s="90" t="str">
        <x:v>格神失效、核心作用路径完全中断，或特殊格局硬门槛被有效反证否决</x:v>
      </x:c>
      <x:c r="W24" s="68" t="str">
        <x:v>特殊格局严格条件、流派争议及岁运补成另按专门规则处理</x:v>
      </x:c>
      <x:c r="X24" s="84" t="str">
        <x:v>正官格_去杀留官</x:v>
      </x:c>
      <x:c r="Y24" s="84" t="str">
        <x:v>正官格候选判为“有破有救”：破格等级为“轻微”，救应为“完全救应”，清纯度为“较清”；层次需结合全局继续评估。</x:v>
      </x:c>
      <x:c r="Z24" s="68" t="str">
        <x:v>若“格神失效、核心作用路径完全中断，或特殊格局硬门槛被有效反证否决”成立，应降低为成立但有破或不成立，不得维持当前结论。</x:v>
      </x:c>
      <x:c r="AA24" s="82" t="str">
        <x:v>较高</x:v>
      </x:c>
      <x:c r="AB24" s="82" t="str">
        <x:v>子平格局</x:v>
      </x:c>
      <x:c r="AC24" s="68" t="str">
        <x:v>格局成败须区分：格神是否有效、结构是否能运行、是否存在破坏、救应是否直接修复破格机制，以及格局成立与层次高低。</x:v>
      </x:c>
      <x:c r="AD24" s="68" t="str">
        <x:v>当“官杀并见但七杀被有效合住、制去或转化，正官保持有效”成立，且成格证据相互支持、无决定性否决时，可按本规则判断。</x:v>
      </x:c>
      <x:c r="AE24" s="90" t="str">
        <x:v>只有格局名称或局部组合，但“格神失效、核心作用路径完全中断，或特殊格局硬门槛被有效反证否决”成立时，不能按本规则维持格局。</x:v>
      </x:c>
      <x:c r="AF24" s="68" t="str">
        <x:v>https://zh.wikisource.org/zh-hans/%E6%B7%B5%E6%B5%B7%E5%AD%90%E5%B9%B3 ; https://zh.wikisource.org/wiki/%E6%BB%B4%E5%A4%A9%E9%AB%93%E9%97%A1%E5%BE%AE</x:v>
      </x:c>
      <x:c r="AG24" s="82" t="str">
        <x:v>采用</x:v>
      </x:c>
      <x:c r="AH24" s="82" t="str">
        <x:v>初审</x:v>
      </x:c>
      <x:c r="AI24" s="87" t="n">
        <x:v>46260</x:v>
      </x:c>
    </x:row>
    <x:row r="25">
      <x:c r="A25" s="72" t="str">
        <x:f>IF(OR(C25="",D25=""),"",B25&amp;"-"&amp;UPPER(C25)&amp;"-"&amp;TEXT(D25,"0000")&amp;"-"&amp;E25)</x:f>
        <x:v>M15-SHA-0019-V1.0</x:v>
      </x:c>
      <x:c r="B25" s="74" t="str">
        <x:v>M15</x:v>
      </x:c>
      <x:c r="C25" s="74" t="str">
        <x:v>SHA</x:v>
      </x:c>
      <x:c r="D25" s="215" t="n">
        <x:v>19</x:v>
      </x:c>
      <x:c r="E25" s="74" t="str">
        <x:v>V1.0</x:v>
      </x:c>
      <x:c r="F25" s="68" t="str">
        <x:v>七杀格必须具备承载或制化才能稳定成格</x:v>
      </x:c>
      <x:c r="G25" s="82" t="str">
        <x:v>综合层</x:v>
      </x:c>
      <x:c r="H25" s="68" t="str">
        <x:v>七杀格候选</x:v>
      </x:c>
      <x:c r="I25" s="68" t="str">
        <x:v>七杀得令有根并形成真实压力，日主有承载或存在食制、印化</x:v>
      </x:c>
      <x:c r="J25" s="68" t="str">
        <x:v>杀星有效，制化路径至少一条稳定</x:v>
      </x:c>
      <x:c r="K25" s="68" t="str">
        <x:v>无决定性破格因素</x:v>
      </x:c>
      <x:c r="L25" s="82" t="str">
        <x:v>无破</x:v>
      </x:c>
      <x:c r="M25" s="68" t="str">
        <x:v>无须救应</x:v>
      </x:c>
      <x:c r="N25" s="82" t="str">
        <x:v>无救应</x:v>
      </x:c>
      <x:c r="O25" s="84" t="str">
        <x:v>基本成立</x:v>
      </x:c>
      <x:c r="P25" s="82" t="str">
        <x:v>较清</x:v>
      </x:c>
      <x:c r="Q25" s="68" t="str">
        <x:v>七杀有权且不至无序攻身，格局具备运行基础</x:v>
      </x:c>
      <x:c r="R25" s="68" t="str">
        <x:v>M14已生成候选；M08、M09、M10、M11相关结论可追溯</x:v>
      </x:c>
      <x:c r="S25" s="68" t="str">
        <x:v>格神与关键配合十神均以有效力量和实际功能为准</x:v>
      </x:c>
      <x:c r="T25" s="68" t="str">
        <x:v>格神得令、有根、透达、清纯，组合路径稳定且日主承载匹配</x:v>
      </x:c>
      <x:c r="U25" s="68" t="str">
        <x:v>格神受制、混杂、路径受阻、日主承载不足或救应只能局部作用</x:v>
      </x:c>
      <x:c r="V25" s="90" t="str">
        <x:v>格神失效、核心作用路径完全中断，或特殊格局硬门槛被有效反证否决</x:v>
      </x:c>
      <x:c r="W25" s="68" t="str">
        <x:v>特殊格局严格条件、流派争议及岁运补成另按专门规则处理</x:v>
      </x:c>
      <x:c r="X25" s="84" t="str">
        <x:v>七杀格候选_成败救应</x:v>
      </x:c>
      <x:c r="Y25" s="84" t="str">
        <x:v>七杀格候选判为“基本成立”：破格等级为“无破”，救应为“无救应”，清纯度为“较清”；层次需结合全局继续评估。</x:v>
      </x:c>
      <x:c r="Z25" s="68" t="str">
        <x:v>若“格神失效、核心作用路径完全中断，或特殊格局硬门槛被有效反证否决”成立，应降低为成立但有破或不成立，不得维持当前结论。</x:v>
      </x:c>
      <x:c r="AA25" s="82" t="str">
        <x:v>较高</x:v>
      </x:c>
      <x:c r="AB25" s="82" t="str">
        <x:v>子平格局</x:v>
      </x:c>
      <x:c r="AC25" s="68" t="str">
        <x:v>格局成败须区分：格神是否有效、结构是否能运行、是否存在破坏、救应是否直接修复破格机制，以及格局成立与层次高低。</x:v>
      </x:c>
      <x:c r="AD25" s="68" t="str">
        <x:v>当“七杀得令有根并形成真实压力，日主有承载或存在食制、印化”成立，且成格证据相互支持、无决定性否决时，可按本规则判断。</x:v>
      </x:c>
      <x:c r="AE25" s="90" t="str">
        <x:v>只有格局名称或局部组合，但“格神失效、核心作用路径完全中断，或特殊格局硬门槛被有效反证否决”成立时，不能按本规则维持格局。</x:v>
      </x:c>
      <x:c r="AF25" s="68" t="str">
        <x:v>https://zh.wikisource.org/zh-hans/%E6%B7%B5%E6%B5%B7%E5%AD%90%E5%B9%B3 ; https://zh.wikisource.org/wiki/%E6%BB%B4%E5%A4%A9%E9%AB%93%E9%97%A1%E5%BE%AE</x:v>
      </x:c>
      <x:c r="AG25" s="82" t="str">
        <x:v>采用</x:v>
      </x:c>
      <x:c r="AH25" s="82" t="str">
        <x:v>初审</x:v>
      </x:c>
      <x:c r="AI25" s="87" t="n">
        <x:v>46260</x:v>
      </x:c>
    </x:row>
    <x:row r="26">
      <x:c r="A26" s="72" t="str">
        <x:f>IF(OR(C26="",D26=""),"",B26&amp;"-"&amp;UPPER(C26)&amp;"-"&amp;TEXT(D26,"0000")&amp;"-"&amp;E26)</x:f>
        <x:v>M15-SHA-0020-V1.0</x:v>
      </x:c>
      <x:c r="B26" s="74" t="str">
        <x:v>M15</x:v>
      </x:c>
      <x:c r="C26" s="74" t="str">
        <x:v>SHA</x:v>
      </x:c>
      <x:c r="D26" s="215" t="n">
        <x:v>20</x:v>
      </x:c>
      <x:c r="E26" s="74" t="str">
        <x:v>V1.0</x:v>
      </x:c>
      <x:c r="F26" s="68" t="str">
        <x:v>食神制杀比例适中可判七杀格清纯成立</x:v>
      </x:c>
      <x:c r="G26" s="82" t="str">
        <x:v>综合层</x:v>
      </x:c>
      <x:c r="H26" s="68" t="str">
        <x:v>七杀格候选</x:v>
      </x:c>
      <x:c r="I26" s="68" t="str">
        <x:v>杀有力、食神有力、制杀路径清晰，制而不过</x:v>
      </x:c>
      <x:c r="J26" s="68" t="str">
        <x:v>M11食神制杀明显成立，无强枭夺食</x:v>
      </x:c>
      <x:c r="K26" s="68" t="str">
        <x:v>无决定性破格因素</x:v>
      </x:c>
      <x:c r="L26" s="82" t="str">
        <x:v>无破</x:v>
      </x:c>
      <x:c r="M26" s="68" t="str">
        <x:v>无须救应</x:v>
      </x:c>
      <x:c r="N26" s="82" t="str">
        <x:v>无救应</x:v>
      </x:c>
      <x:c r="O26" s="84" t="str">
        <x:v>清纯成立</x:v>
      </x:c>
      <x:c r="P26" s="82" t="str">
        <x:v>清纯</x:v>
      </x:c>
      <x:c r="Q26" s="68" t="str">
        <x:v>制化目标明确，七杀压力转化为可控结构</x:v>
      </x:c>
      <x:c r="R26" s="68" t="str">
        <x:v>M14已生成候选；M08、M09、M10、M11相关结论可追溯</x:v>
      </x:c>
      <x:c r="S26" s="68" t="str">
        <x:v>格神与关键配合十神均以有效力量和实际功能为准</x:v>
      </x:c>
      <x:c r="T26" s="68" t="str">
        <x:v>格神得令、有根、透达、清纯，组合路径稳定且日主承载匹配</x:v>
      </x:c>
      <x:c r="U26" s="68" t="str">
        <x:v>格神受制、混杂、路径受阻、日主承载不足或救应只能局部作用</x:v>
      </x:c>
      <x:c r="V26" s="90" t="str">
        <x:v>格神失效、核心作用路径完全中断，或特殊格局硬门槛被有效反证否决</x:v>
      </x:c>
      <x:c r="W26" s="68" t="str">
        <x:v>特殊格局严格条件、流派争议及岁运补成另按专门规则处理</x:v>
      </x:c>
      <x:c r="X26" s="84" t="str">
        <x:v>七杀格_食神制杀清纯</x:v>
      </x:c>
      <x:c r="Y26" s="84" t="str">
        <x:v>七杀格候选判为“清纯成立”：破格等级为“无破”，救应为“无救应”，清纯度为“清纯”；层次需结合全局继续评估。</x:v>
      </x:c>
      <x:c r="Z26" s="68" t="str">
        <x:v>若“格神失效、核心作用路径完全中断，或特殊格局硬门槛被有效反证否决”成立，应降低为成立但有破或不成立，不得维持当前结论。</x:v>
      </x:c>
      <x:c r="AA26" s="82" t="str">
        <x:v>较高</x:v>
      </x:c>
      <x:c r="AB26" s="82" t="str">
        <x:v>子平格局</x:v>
      </x:c>
      <x:c r="AC26" s="68" t="str">
        <x:v>格局成败须区分：格神是否有效、结构是否能运行、是否存在破坏、救应是否直接修复破格机制，以及格局成立与层次高低。</x:v>
      </x:c>
      <x:c r="AD26" s="68" t="str">
        <x:v>当“杀有力、食神有力、制杀路径清晰，制而不过”成立，且成格证据相互支持、无决定性否决时，可按本规则判断。</x:v>
      </x:c>
      <x:c r="AE26" s="90" t="str">
        <x:v>只有格局名称或局部组合，但“格神失效、核心作用路径完全中断，或特殊格局硬门槛被有效反证否决”成立时，不能按本规则维持格局。</x:v>
      </x:c>
      <x:c r="AF26" s="68" t="str">
        <x:v>https://zh.wikisource.org/zh-hans/%E6%B7%B5%E6%B5%B7%E5%AD%90%E5%B9%B3 ; https://zh.wikisource.org/wiki/%E6%BB%B4%E5%A4%A9%E9%AB%93%E9%97%A1%E5%BE%AE</x:v>
      </x:c>
      <x:c r="AG26" s="82" t="str">
        <x:v>采用</x:v>
      </x:c>
      <x:c r="AH26" s="82" t="str">
        <x:v>初审</x:v>
      </x:c>
      <x:c r="AI26" s="87" t="n">
        <x:v>46260</x:v>
      </x:c>
    </x:row>
    <x:row r="27">
      <x:c r="A27" s="72" t="str">
        <x:f>IF(OR(C27="",D27=""),"",B27&amp;"-"&amp;UPPER(C27)&amp;"-"&amp;TEXT(D27,"0000")&amp;"-"&amp;E27)</x:f>
        <x:v>M15-SHA-0021-V1.0</x:v>
      </x:c>
      <x:c r="B27" s="74" t="str">
        <x:v>M15</x:v>
      </x:c>
      <x:c r="C27" s="74" t="str">
        <x:v>SHA</x:v>
      </x:c>
      <x:c r="D27" s="215" t="n">
        <x:v>21</x:v>
      </x:c>
      <x:c r="E27" s="74" t="str">
        <x:v>V1.0</x:v>
      </x:c>
      <x:c r="F27" s="68" t="str">
        <x:v>杀印相生完整可判七杀格清纯成立</x:v>
      </x:c>
      <x:c r="G27" s="82" t="str">
        <x:v>综合层</x:v>
      </x:c>
      <x:c r="H27" s="68" t="str">
        <x:v>七杀格候选</x:v>
      </x:c>
      <x:c r="I27" s="68" t="str">
        <x:v>七杀生印、印生身两段连续，印能承杀</x:v>
      </x:c>
      <x:c r="J27" s="68" t="str">
        <x:v>M11杀印相生明显成立，无财坏印</x:v>
      </x:c>
      <x:c r="K27" s="68" t="str">
        <x:v>无决定性破格因素</x:v>
      </x:c>
      <x:c r="L27" s="82" t="str">
        <x:v>无破</x:v>
      </x:c>
      <x:c r="M27" s="68" t="str">
        <x:v>无须救应</x:v>
      </x:c>
      <x:c r="N27" s="82" t="str">
        <x:v>无救应</x:v>
      </x:c>
      <x:c r="O27" s="84" t="str">
        <x:v>清纯成立</x:v>
      </x:c>
      <x:c r="P27" s="82" t="str">
        <x:v>较清</x:v>
      </x:c>
      <x:c r="Q27" s="68" t="str">
        <x:v>杀气经印转化，日主承载和结构稳定性较高</x:v>
      </x:c>
      <x:c r="R27" s="68" t="str">
        <x:v>M14已生成候选；M08、M09、M10、M11相关结论可追溯</x:v>
      </x:c>
      <x:c r="S27" s="68" t="str">
        <x:v>格神与关键配合十神均以有效力量和实际功能为准</x:v>
      </x:c>
      <x:c r="T27" s="68" t="str">
        <x:v>格神得令、有根、透达、清纯，组合路径稳定且日主承载匹配</x:v>
      </x:c>
      <x:c r="U27" s="68" t="str">
        <x:v>格神受制、混杂、路径受阻、日主承载不足或救应只能局部作用</x:v>
      </x:c>
      <x:c r="V27" s="90" t="str">
        <x:v>格神失效、核心作用路径完全中断，或特殊格局硬门槛被有效反证否决</x:v>
      </x:c>
      <x:c r="W27" s="68" t="str">
        <x:v>特殊格局严格条件、流派争议及岁运补成另按专门规则处理</x:v>
      </x:c>
      <x:c r="X27" s="84" t="str">
        <x:v>七杀格_杀印相生清纯</x:v>
      </x:c>
      <x:c r="Y27" s="84" t="str">
        <x:v>七杀格候选判为“清纯成立”：破格等级为“无破”，救应为“无救应”，清纯度为“较清”；层次需结合全局继续评估。</x:v>
      </x:c>
      <x:c r="Z27" s="68" t="str">
        <x:v>若“格神失效、核心作用路径完全中断，或特殊格局硬门槛被有效反证否决”成立，应降低为成立但有破或不成立，不得维持当前结论。</x:v>
      </x:c>
      <x:c r="AA27" s="82" t="str">
        <x:v>较高</x:v>
      </x:c>
      <x:c r="AB27" s="82" t="str">
        <x:v>子平格局</x:v>
      </x:c>
      <x:c r="AC27" s="68" t="str">
        <x:v>格局成败须区分：格神是否有效、结构是否能运行、是否存在破坏、救应是否直接修复破格机制，以及格局成立与层次高低。</x:v>
      </x:c>
      <x:c r="AD27" s="68" t="str">
        <x:v>当“七杀生印、印生身两段连续，印能承杀”成立，且成格证据相互支持、无决定性否决时，可按本规则判断。</x:v>
      </x:c>
      <x:c r="AE27" s="90" t="str">
        <x:v>只有格局名称或局部组合，但“格神失效、核心作用路径完全中断，或特殊格局硬门槛被有效反证否决”成立时，不能按本规则维持格局。</x:v>
      </x:c>
      <x:c r="AF27" s="68" t="str">
        <x:v>https://zh.wikisource.org/zh-hans/%E6%B7%B5%E6%B5%B7%E5%AD%90%E5%B9%B3 ; https://zh.wikisource.org/wiki/%E6%BB%B4%E5%A4%A9%E9%AB%93%E9%97%A1%E5%BE%AE</x:v>
      </x:c>
      <x:c r="AG27" s="82" t="str">
        <x:v>采用</x:v>
      </x:c>
      <x:c r="AH27" s="82" t="str">
        <x:v>初审</x:v>
      </x:c>
      <x:c r="AI27" s="87" t="n">
        <x:v>46260</x:v>
      </x:c>
    </x:row>
    <x:row r="28">
      <x:c r="A28" s="72" t="str">
        <x:f>IF(OR(C28="",D28=""),"",B28&amp;"-"&amp;UPPER(C28)&amp;"-"&amp;TEXT(D28,"0000")&amp;"-"&amp;E28)</x:f>
        <x:v>M15-SHA-0022-V1.0</x:v>
      </x:c>
      <x:c r="B28" s="74" t="str">
        <x:v>M15</x:v>
      </x:c>
      <x:c r="C28" s="74" t="str">
        <x:v>SHA</x:v>
      </x:c>
      <x:c r="D28" s="215" t="n">
        <x:v>22</x:v>
      </x:c>
      <x:c r="E28" s="74" t="str">
        <x:v>V1.0</x:v>
      </x:c>
      <x:c r="F28" s="68" t="str">
        <x:v>七杀无制无化且日主弱构成严重破格</x:v>
      </x:c>
      <x:c r="G28" s="82" t="str">
        <x:v>综合层</x:v>
      </x:c>
      <x:c r="H28" s="68" t="str">
        <x:v>七杀格候选</x:v>
      </x:c>
      <x:c r="I28" s="68" t="str">
        <x:v>七杀候选有月令依据但缺乏有效制化</x:v>
      </x:c>
      <x:c r="J28" s="68" t="str">
        <x:v>月令依据、格神根气与有效力量、日主配合及M11组合证据相互支持</x:v>
      </x:c>
      <x:c r="K28" s="68" t="str">
        <x:v>杀旺直接攻身，食神印星均不能承担制化</x:v>
      </x:c>
      <x:c r="L28" s="82" t="str">
        <x:v>严重</x:v>
      </x:c>
      <x:c r="M28" s="68" t="str">
        <x:v>无有效救应</x:v>
      </x:c>
      <x:c r="N28" s="82" t="str">
        <x:v>无救应</x:v>
      </x:c>
      <x:c r="O28" s="84" t="str">
        <x:v>成立但有破</x:v>
      </x:c>
      <x:c r="P28" s="82" t="str">
        <x:v>较清</x:v>
      </x:c>
      <x:c r="Q28" s="68" t="str">
        <x:v>格神虽有权，但结构失衡；若日主完全无承载可能不成立</x:v>
      </x:c>
      <x:c r="R28" s="68" t="str">
        <x:v>M14已生成候选；M08、M09、M10、M11相关结论可追溯</x:v>
      </x:c>
      <x:c r="S28" s="68" t="str">
        <x:v>格神与关键配合十神均以有效力量和实际功能为准</x:v>
      </x:c>
      <x:c r="T28" s="68" t="str">
        <x:v>格神得令、有根、透达、清纯，组合路径稳定且日主承载匹配</x:v>
      </x:c>
      <x:c r="U28" s="68" t="str">
        <x:v>格神受制、混杂、路径受阻、日主承载不足或救应只能局部作用</x:v>
      </x:c>
      <x:c r="V28" s="90" t="str">
        <x:v>格神失效、核心作用路径完全中断，或特殊格局硬门槛被有效反证否决</x:v>
      </x:c>
      <x:c r="W28" s="68" t="str">
        <x:v>特殊格局严格条件、流派争议及岁运补成另按专门规则处理</x:v>
      </x:c>
      <x:c r="X28" s="84" t="str">
        <x:v>七杀格_无制无化</x:v>
      </x:c>
      <x:c r="Y28" s="84" t="str">
        <x:v>七杀格候选判为“成立但有破”：破格等级为“严重”，救应为“无救应”，清纯度为“较清”；层次需结合全局继续评估。</x:v>
      </x:c>
      <x:c r="Z28" s="68" t="str">
        <x:v>若“格神失效、核心作用路径完全中断，或特殊格局硬门槛被有效反证否决”成立，应降低为成立但有破或不成立，不得维持当前结论。</x:v>
      </x:c>
      <x:c r="AA28" s="82" t="str">
        <x:v>较高</x:v>
      </x:c>
      <x:c r="AB28" s="82" t="str">
        <x:v>子平格局</x:v>
      </x:c>
      <x:c r="AC28" s="68" t="str">
        <x:v>格局成败须区分：格神是否有效、结构是否能运行、是否存在破坏、救应是否直接修复破格机制，以及格局成立与层次高低。</x:v>
      </x:c>
      <x:c r="AD28" s="68" t="str">
        <x:v>当“七杀候选有月令依据但缺乏有效制化”成立，且成格证据相互支持、无决定性否决时，可按本规则判断。</x:v>
      </x:c>
      <x:c r="AE28" s="90" t="str">
        <x:v>只有格局名称或局部组合，但“格神失效、核心作用路径完全中断，或特殊格局硬门槛被有效反证否决”成立时，不能按本规则维持格局。</x:v>
      </x:c>
      <x:c r="AF28" s="68" t="str">
        <x:v>https://zh.wikisource.org/zh-hans/%E6%B7%B5%E6%B5%B7%E5%AD%90%E5%B9%B3 ; https://zh.wikisource.org/wiki/%E6%BB%B4%E5%A4%A9%E9%AB%93%E9%97%A1%E5%BE%AE</x:v>
      </x:c>
      <x:c r="AG28" s="82" t="str">
        <x:v>采用</x:v>
      </x:c>
      <x:c r="AH28" s="82" t="str">
        <x:v>初审</x:v>
      </x:c>
      <x:c r="AI28" s="87" t="n">
        <x:v>46260</x:v>
      </x:c>
    </x:row>
    <x:row r="29">
      <x:c r="A29" s="72" t="str">
        <x:f>IF(OR(C29="",D29=""),"",B29&amp;"-"&amp;UPPER(C29)&amp;"-"&amp;TEXT(D29,"0000")&amp;"-"&amp;E29)</x:f>
        <x:v>M15-SHA-0023-V1.0</x:v>
      </x:c>
      <x:c r="B29" s="74" t="str">
        <x:v>M15</x:v>
      </x:c>
      <x:c r="C29" s="74" t="str">
        <x:v>SHA</x:v>
      </x:c>
      <x:c r="D29" s="215" t="n">
        <x:v>23</x:v>
      </x:c>
      <x:c r="E29" s="74" t="str">
        <x:v>V1.0</x:v>
      </x:c>
      <x:c r="F29" s="68" t="str">
        <x:v>制杀太过会破坏七杀格平衡</x:v>
      </x:c>
      <x:c r="G29" s="82" t="str">
        <x:v>综合层</x:v>
      </x:c>
      <x:c r="H29" s="68" t="str">
        <x:v>七杀格候选</x:v>
      </x:c>
      <x:c r="I29" s="68" t="str">
        <x:v>食神制杀结构原成立</x:v>
      </x:c>
      <x:c r="J29" s="68" t="str">
        <x:v>月令依据、格神根气与有效力量、日主配合及M11组合证据相互支持</x:v>
      </x:c>
      <x:c r="K29" s="68" t="str">
        <x:v>食伤过旺，将七杀制至残弱或失效</x:v>
      </x:c>
      <x:c r="L29" s="82" t="str">
        <x:v>一般</x:v>
      </x:c>
      <x:c r="M29" s="68" t="str">
        <x:v>财星生杀或印星制食伤须谨慎比较</x:v>
      </x:c>
      <x:c r="N29" s="82" t="str">
        <x:v>待定</x:v>
      </x:c>
      <x:c r="O29" s="84" t="str">
        <x:v>成立但有破</x:v>
      </x:c>
      <x:c r="P29" s="82" t="str">
        <x:v>有杂</x:v>
      </x:c>
      <x:c r="Q29" s="68" t="str">
        <x:v>七杀失去必要制衡功能，制化由平衡转为过度</x:v>
      </x:c>
      <x:c r="R29" s="68" t="str">
        <x:v>M14已生成候选；M08、M09、M10、M11相关结论可追溯</x:v>
      </x:c>
      <x:c r="S29" s="68" t="str">
        <x:v>格神与关键配合十神均以有效力量和实际功能为准</x:v>
      </x:c>
      <x:c r="T29" s="68" t="str">
        <x:v>格神得令、有根、透达、清纯，组合路径稳定且日主承载匹配</x:v>
      </x:c>
      <x:c r="U29" s="68" t="str">
        <x:v>格神受制、混杂、路径受阻、日主承载不足或救应只能局部作用</x:v>
      </x:c>
      <x:c r="V29" s="90" t="str">
        <x:v>格神失效、核心作用路径完全中断，或特殊格局硬门槛被有效反证否决</x:v>
      </x:c>
      <x:c r="W29" s="68" t="str">
        <x:v>特殊格局严格条件、流派争议及岁运补成另按专门规则处理</x:v>
      </x:c>
      <x:c r="X29" s="84" t="str">
        <x:v>七杀格_制杀太过</x:v>
      </x:c>
      <x:c r="Y29" s="84" t="str">
        <x:v>七杀格候选判为“成立但有破”：破格等级为“一般”，救应为“待定”，清纯度为“有杂”；层次需结合全局继续评估。</x:v>
      </x:c>
      <x:c r="Z29" s="68" t="str">
        <x:v>若“格神失效、核心作用路径完全中断，或特殊格局硬门槛被有效反证否决”成立，应降低为成立但有破或不成立，不得维持当前结论。</x:v>
      </x:c>
      <x:c r="AA29" s="82" t="str">
        <x:v>较高</x:v>
      </x:c>
      <x:c r="AB29" s="82" t="str">
        <x:v>子平格局</x:v>
      </x:c>
      <x:c r="AC29" s="68" t="str">
        <x:v>格局成败须区分：格神是否有效、结构是否能运行、是否存在破坏、救应是否直接修复破格机制，以及格局成立与层次高低。</x:v>
      </x:c>
      <x:c r="AD29" s="68" t="str">
        <x:v>当“食神制杀结构原成立”成立，且成格证据相互支持、无决定性否决时，可按本规则判断。</x:v>
      </x:c>
      <x:c r="AE29" s="90" t="str">
        <x:v>只有格局名称或局部组合，但“格神失效、核心作用路径完全中断，或特殊格局硬门槛被有效反证否决”成立时，不能按本规则维持格局。</x:v>
      </x:c>
      <x:c r="AF29" s="68" t="str">
        <x:v>https://zh.wikisource.org/zh-hans/%E6%B7%B5%E6%B5%B7%E5%AD%90%E5%B9%B3 ; https://zh.wikisource.org/wiki/%E6%BB%B4%E5%A4%A9%E9%AB%93%E9%97%A1%E5%BE%AE</x:v>
      </x:c>
      <x:c r="AG29" s="82" t="str">
        <x:v>采用</x:v>
      </x:c>
      <x:c r="AH29" s="82" t="str">
        <x:v>初审</x:v>
      </x:c>
      <x:c r="AI29" s="87" t="n">
        <x:v>46260</x:v>
      </x:c>
    </x:row>
    <x:row r="30">
      <x:c r="A30" s="72" t="str">
        <x:f>IF(OR(C30="",D30=""),"",B30&amp;"-"&amp;UPPER(C30)&amp;"-"&amp;TEXT(D30,"0000")&amp;"-"&amp;E30)</x:f>
        <x:v>M15-SHA-0024-V1.0</x:v>
      </x:c>
      <x:c r="B30" s="74" t="str">
        <x:v>M15</x:v>
      </x:c>
      <x:c r="C30" s="74" t="str">
        <x:v>SHA</x:v>
      </x:c>
      <x:c r="D30" s="215" t="n">
        <x:v>24</x:v>
      </x:c>
      <x:c r="E30" s="74" t="str">
        <x:v>V1.0</x:v>
      </x:c>
      <x:c r="F30" s="68" t="str">
        <x:v>枭夺食会破坏食神制杀型七杀格</x:v>
      </x:c>
      <x:c r="G30" s="82" t="str">
        <x:v>综合层</x:v>
      </x:c>
      <x:c r="H30" s="68" t="str">
        <x:v>七杀格候选</x:v>
      </x:c>
      <x:c r="I30" s="68" t="str">
        <x:v>七杀格主要依赖食神制杀</x:v>
      </x:c>
      <x:c r="J30" s="68" t="str">
        <x:v>月令依据、格神根气与有效力量、日主配合及M11组合证据相互支持</x:v>
      </x:c>
      <x:c r="K30" s="68" t="str">
        <x:v>偏印强克关键食神，使制杀功能受限或失效</x:v>
      </x:c>
      <x:c r="L30" s="82" t="str">
        <x:v>严重</x:v>
      </x:c>
      <x:c r="M30" s="68" t="str">
        <x:v>财星制枭护食</x:v>
      </x:c>
      <x:c r="N30" s="82" t="str">
        <x:v>待定</x:v>
      </x:c>
      <x:c r="O30" s="84" t="str">
        <x:v>成立但有破</x:v>
      </x:c>
      <x:c r="P30" s="82" t="str">
        <x:v>混杂</x:v>
      </x:c>
      <x:c r="Q30" s="68" t="str">
        <x:v>制杀环节受损，格局稳定性明显下降</x:v>
      </x:c>
      <x:c r="R30" s="68" t="str">
        <x:v>M14已生成候选；M08、M09、M10、M11相关结论可追溯</x:v>
      </x:c>
      <x:c r="S30" s="68" t="str">
        <x:v>格神与关键配合十神均以有效力量和实际功能为准</x:v>
      </x:c>
      <x:c r="T30" s="68" t="str">
        <x:v>格神得令、有根、透达、清纯，组合路径稳定且日主承载匹配</x:v>
      </x:c>
      <x:c r="U30" s="68" t="str">
        <x:v>格神受制、混杂、路径受阻、日主承载不足或救应只能局部作用</x:v>
      </x:c>
      <x:c r="V30" s="90" t="str">
        <x:v>格神失效、核心作用路径完全中断，或特殊格局硬门槛被有效反证否决</x:v>
      </x:c>
      <x:c r="W30" s="68" t="str">
        <x:v>特殊格局严格条件、流派争议及岁运补成另按专门规则处理</x:v>
      </x:c>
      <x:c r="X30" s="84" t="str">
        <x:v>七杀格_枭夺食破格</x:v>
      </x:c>
      <x:c r="Y30" s="84" t="str">
        <x:v>七杀格候选判为“成立但有破”：破格等级为“严重”，救应为“待定”，清纯度为“混杂”；层次需结合全局继续评估。</x:v>
      </x:c>
      <x:c r="Z30" s="68" t="str">
        <x:v>若“格神失效、核心作用路径完全中断，或特殊格局硬门槛被有效反证否决”成立，应降低为成立但有破或不成立，不得维持当前结论。</x:v>
      </x:c>
      <x:c r="AA30" s="82" t="str">
        <x:v>较高</x:v>
      </x:c>
      <x:c r="AB30" s="82" t="str">
        <x:v>子平格局</x:v>
      </x:c>
      <x:c r="AC30" s="68" t="str">
        <x:v>格局成败须区分：格神是否有效、结构是否能运行、是否存在破坏、救应是否直接修复破格机制，以及格局成立与层次高低。</x:v>
      </x:c>
      <x:c r="AD30" s="68" t="str">
        <x:v>当“七杀格主要依赖食神制杀”成立，且成格证据相互支持、无决定性否决时，可按本规则判断。</x:v>
      </x:c>
      <x:c r="AE30" s="90" t="str">
        <x:v>只有格局名称或局部组合，但“格神失效、核心作用路径完全中断，或特殊格局硬门槛被有效反证否决”成立时，不能按本规则维持格局。</x:v>
      </x:c>
      <x:c r="AF30" s="68" t="str">
        <x:v>https://zh.wikisource.org/zh-hans/%E6%B7%B5%E6%B5%B7%E5%AD%90%E5%B9%B3 ; https://zh.wikisource.org/wiki/%E6%BB%B4%E5%A4%A9%E9%AB%93%E9%97%A1%E5%BE%AE</x:v>
      </x:c>
      <x:c r="AG30" s="82" t="str">
        <x:v>采用</x:v>
      </x:c>
      <x:c r="AH30" s="82" t="str">
        <x:v>初审</x:v>
      </x:c>
      <x:c r="AI30" s="87" t="n">
        <x:v>46260</x:v>
      </x:c>
    </x:row>
    <x:row r="31">
      <x:c r="A31" s="72" t="str">
        <x:f>IF(OR(C31="",D31=""),"",B31&amp;"-"&amp;UPPER(C31)&amp;"-"&amp;TEXT(D31,"0000")&amp;"-"&amp;E31)</x:f>
        <x:v>M15-SHA-0025-V1.0</x:v>
      </x:c>
      <x:c r="B31" s="74" t="str">
        <x:v>M15</x:v>
      </x:c>
      <x:c r="C31" s="74" t="str">
        <x:v>SHA</x:v>
      </x:c>
      <x:c r="D31" s="215" t="n">
        <x:v>25</x:v>
      </x:c>
      <x:c r="E31" s="74" t="str">
        <x:v>V1.0</x:v>
      </x:c>
      <x:c r="F31" s="68" t="str">
        <x:v>财制枭护食可救食神制杀型七杀格</x:v>
      </x:c>
      <x:c r="G31" s="82" t="str">
        <x:v>综合层</x:v>
      </x:c>
      <x:c r="H31" s="68" t="str">
        <x:v>七杀格候选</x:v>
      </x:c>
      <x:c r="I31" s="68" t="str">
        <x:v>枭夺食已经破坏制杀，但财星能有效制枭且不过度生杀</x:v>
      </x:c>
      <x:c r="J31" s="68" t="str">
        <x:v>财制枭路径直接，食神功能恢复，杀不过度增强</x:v>
      </x:c>
      <x:c r="K31" s="68" t="str">
        <x:v>枭夺食</x:v>
      </x:c>
      <x:c r="L31" s="82" t="str">
        <x:v>一般</x:v>
      </x:c>
      <x:c r="M31" s="68" t="str">
        <x:v>财制枭护食</x:v>
      </x:c>
      <x:c r="N31" s="82" t="str">
        <x:v>明显有效</x:v>
      </x:c>
      <x:c r="O31" s="84" t="str">
        <x:v>有破有救</x:v>
      </x:c>
      <x:c r="P31" s="82" t="str">
        <x:v>有杂</x:v>
      </x:c>
      <x:c r="Q31" s="68" t="str">
        <x:v>食神制杀得以恢复，但财生杀副作用需保留</x:v>
      </x:c>
      <x:c r="R31" s="68" t="str">
        <x:v>M14已生成候选；M08、M09、M10、M11相关结论可追溯</x:v>
      </x:c>
      <x:c r="S31" s="68" t="str">
        <x:v>格神与关键配合十神均以有效力量和实际功能为准</x:v>
      </x:c>
      <x:c r="T31" s="68" t="str">
        <x:v>格神得令、有根、透达、清纯，组合路径稳定且日主承载匹配</x:v>
      </x:c>
      <x:c r="U31" s="68" t="str">
        <x:v>格神受制、混杂、路径受阻、日主承载不足或救应只能局部作用</x:v>
      </x:c>
      <x:c r="V31" s="90" t="str">
        <x:v>格神失效、核心作用路径完全中断，或特殊格局硬门槛被有效反证否决</x:v>
      </x:c>
      <x:c r="W31" s="68" t="str">
        <x:v>特殊格局严格条件、流派争议及岁运补成另按专门规则处理</x:v>
      </x:c>
      <x:c r="X31" s="84" t="str">
        <x:v>七杀格_财制枭救应</x:v>
      </x:c>
      <x:c r="Y31" s="84" t="str">
        <x:v>七杀格候选判为“有破有救”：破格等级为“一般”，救应为“明显有效”，清纯度为“有杂”；层次需结合全局继续评估。</x:v>
      </x:c>
      <x:c r="Z31" s="68" t="str">
        <x:v>若“格神失效、核心作用路径完全中断，或特殊格局硬门槛被有效反证否决”成立，应降低为成立但有破或不成立，不得维持当前结论。</x:v>
      </x:c>
      <x:c r="AA31" s="82" t="str">
        <x:v>较高</x:v>
      </x:c>
      <x:c r="AB31" s="82" t="str">
        <x:v>子平格局</x:v>
      </x:c>
      <x:c r="AC31" s="68" t="str">
        <x:v>格局成败须区分：格神是否有效、结构是否能运行、是否存在破坏、救应是否直接修复破格机制，以及格局成立与层次高低。</x:v>
      </x:c>
      <x:c r="AD31" s="68" t="str">
        <x:v>当“枭夺食已经破坏制杀，但财星能有效制枭且不过度生杀”成立，且成格证据相互支持、无决定性否决时，可按本规则判断。</x:v>
      </x:c>
      <x:c r="AE31" s="90" t="str">
        <x:v>只有格局名称或局部组合，但“格神失效、核心作用路径完全中断，或特殊格局硬门槛被有效反证否决”成立时，不能按本规则维持格局。</x:v>
      </x:c>
      <x:c r="AF31" s="68" t="str">
        <x:v>https://zh.wikisource.org/zh-hans/%E6%B7%B5%E6%B5%B7%E5%AD%90%E5%B9%B3 ; https://zh.wikisource.org/wiki/%E6%BB%B4%E5%A4%A9%E9%AB%93%E9%97%A1%E5%BE%AE</x:v>
      </x:c>
      <x:c r="AG31" s="82" t="str">
        <x:v>采用</x:v>
      </x:c>
      <x:c r="AH31" s="82" t="str">
        <x:v>初审</x:v>
      </x:c>
      <x:c r="AI31" s="87" t="n">
        <x:v>46260</x:v>
      </x:c>
    </x:row>
    <x:row r="32">
      <x:c r="A32" s="72" t="str">
        <x:f>IF(OR(C32="",D32=""),"",B32&amp;"-"&amp;UPPER(C32)&amp;"-"&amp;TEXT(D32,"0000")&amp;"-"&amp;E32)</x:f>
        <x:v>M15-SHA-0026-V1.0</x:v>
      </x:c>
      <x:c r="B32" s="74" t="str">
        <x:v>M15</x:v>
      </x:c>
      <x:c r="C32" s="74" t="str">
        <x:v>SHA</x:v>
      </x:c>
      <x:c r="D32" s="215" t="n">
        <x:v>26</x:v>
      </x:c>
      <x:c r="E32" s="74" t="str">
        <x:v>V1.0</x:v>
      </x:c>
      <x:c r="F32" s="68" t="str">
        <x:v>印化杀可救无食制的七杀格</x:v>
      </x:c>
      <x:c r="G32" s="82" t="str">
        <x:v>综合层</x:v>
      </x:c>
      <x:c r="H32" s="68" t="str">
        <x:v>七杀格候选</x:v>
      </x:c>
      <x:c r="I32" s="68" t="str">
        <x:v>食神不足，但印星有效承接七杀并生日主</x:v>
      </x:c>
      <x:c r="J32" s="68" t="str">
        <x:v>杀→印→身链路连续</x:v>
      </x:c>
      <x:c r="K32" s="68" t="str">
        <x:v>原杀压直接落身</x:v>
      </x:c>
      <x:c r="L32" s="82" t="str">
        <x:v>一般</x:v>
      </x:c>
      <x:c r="M32" s="68" t="str">
        <x:v>印星化杀生身</x:v>
      </x:c>
      <x:c r="N32" s="82" t="str">
        <x:v>明显有效</x:v>
      </x:c>
      <x:c r="O32" s="84" t="str">
        <x:v>有破有救</x:v>
      </x:c>
      <x:c r="P32" s="82" t="str">
        <x:v>较清</x:v>
      </x:c>
      <x:c r="Q32" s="68" t="str">
        <x:v>制化路线由食制转为印化，格局可重新稳定</x:v>
      </x:c>
      <x:c r="R32" s="68" t="str">
        <x:v>M14已生成候选；M08、M09、M10、M11相关结论可追溯</x:v>
      </x:c>
      <x:c r="S32" s="68" t="str">
        <x:v>格神与关键配合十神均以有效力量和实际功能为准</x:v>
      </x:c>
      <x:c r="T32" s="68" t="str">
        <x:v>格神得令、有根、透达、清纯，组合路径稳定且日主承载匹配</x:v>
      </x:c>
      <x:c r="U32" s="68" t="str">
        <x:v>格神受制、混杂、路径受阻、日主承载不足或救应只能局部作用</x:v>
      </x:c>
      <x:c r="V32" s="90" t="str">
        <x:v>格神失效、核心作用路径完全中断，或特殊格局硬门槛被有效反证否决</x:v>
      </x:c>
      <x:c r="W32" s="68" t="str">
        <x:v>特殊格局严格条件、流派争议及岁运补成另按专门规则处理</x:v>
      </x:c>
      <x:c r="X32" s="84" t="str">
        <x:v>七杀格_印化杀救应</x:v>
      </x:c>
      <x:c r="Y32" s="84" t="str">
        <x:v>七杀格候选判为“有破有救”：破格等级为“一般”，救应为“明显有效”，清纯度为“较清”；层次需结合全局继续评估。</x:v>
      </x:c>
      <x:c r="Z32" s="68" t="str">
        <x:v>若“格神失效、核心作用路径完全中断，或特殊格局硬门槛被有效反证否决”成立，应降低为成立但有破或不成立，不得维持当前结论。</x:v>
      </x:c>
      <x:c r="AA32" s="82" t="str">
        <x:v>较高</x:v>
      </x:c>
      <x:c r="AB32" s="82" t="str">
        <x:v>子平格局</x:v>
      </x:c>
      <x:c r="AC32" s="68" t="str">
        <x:v>格局成败须区分：格神是否有效、结构是否能运行、是否存在破坏、救应是否直接修复破格机制，以及格局成立与层次高低。</x:v>
      </x:c>
      <x:c r="AD32" s="68" t="str">
        <x:v>当“食神不足，但印星有效承接七杀并生日主”成立，且成格证据相互支持、无决定性否决时，可按本规则判断。</x:v>
      </x:c>
      <x:c r="AE32" s="90" t="str">
        <x:v>只有格局名称或局部组合，但“格神失效、核心作用路径完全中断，或特殊格局硬门槛被有效反证否决”成立时，不能按本规则维持格局。</x:v>
      </x:c>
      <x:c r="AF32" s="68" t="str">
        <x:v>https://zh.wikisource.org/zh-hans/%E6%B7%B5%E6%B5%B7%E5%AD%90%E5%B9%B3 ; https://zh.wikisource.org/wiki/%E6%BB%B4%E5%A4%A9%E9%AB%93%E9%97%A1%E5%BE%AE</x:v>
      </x:c>
      <x:c r="AG32" s="82" t="str">
        <x:v>采用</x:v>
      </x:c>
      <x:c r="AH32" s="82" t="str">
        <x:v>初审</x:v>
      </x:c>
      <x:c r="AI32" s="87" t="n">
        <x:v>46260</x:v>
      </x:c>
    </x:row>
    <x:row r="33">
      <x:c r="A33" s="72" t="str">
        <x:f>IF(OR(C33="",D33=""),"",B33&amp;"-"&amp;UPPER(C33)&amp;"-"&amp;TEXT(D33,"0000")&amp;"-"&amp;E33)</x:f>
        <x:v>M15-YIN-0027-V1.0</x:v>
      </x:c>
      <x:c r="B33" s="74" t="str">
        <x:v>M15</x:v>
      </x:c>
      <x:c r="C33" s="74" t="str">
        <x:v>YIN</x:v>
      </x:c>
      <x:c r="D33" s="215" t="n">
        <x:v>27</x:v>
      </x:c>
      <x:c r="E33" s="74" t="str">
        <x:v>V1.0</x:v>
      </x:c>
      <x:c r="F33" s="68" t="str">
        <x:v>印格基本成格要求印星真实生身并不过度</x:v>
      </x:c>
      <x:c r="G33" s="82" t="str">
        <x:v>综合层</x:v>
      </x:c>
      <x:c r="H33" s="68" t="str">
        <x:v>正印格/偏印格候选</x:v>
      </x:c>
      <x:c r="I33" s="68" t="str">
        <x:v>印星有月令依据、有根有源，日主需要或能承受印生</x:v>
      </x:c>
      <x:c r="J33" s="68" t="str">
        <x:v>印星有效生身，未被财星重制，未形成严重壅塞</x:v>
      </x:c>
      <x:c r="K33" s="68" t="str">
        <x:v>无决定性破格因素</x:v>
      </x:c>
      <x:c r="L33" s="82" t="str">
        <x:v>无破</x:v>
      </x:c>
      <x:c r="M33" s="68" t="str">
        <x:v>无须救应</x:v>
      </x:c>
      <x:c r="N33" s="82" t="str">
        <x:v>无救应</x:v>
      </x:c>
      <x:c r="O33" s="84" t="str">
        <x:v>基本成立</x:v>
      </x:c>
      <x:c r="P33" s="82" t="str">
        <x:v>较清</x:v>
      </x:c>
      <x:c r="Q33" s="68" t="str">
        <x:v>印星能够完成生扶或承接官杀功能</x:v>
      </x:c>
      <x:c r="R33" s="68" t="str">
        <x:v>M14已生成候选；M08、M09、M10、M11相关结论可追溯</x:v>
      </x:c>
      <x:c r="S33" s="68" t="str">
        <x:v>格神与关键配合十神均以有效力量和实际功能为准</x:v>
      </x:c>
      <x:c r="T33" s="68" t="str">
        <x:v>格神得令、有根、透达、清纯，组合路径稳定且日主承载匹配</x:v>
      </x:c>
      <x:c r="U33" s="68" t="str">
        <x:v>格神受制、混杂、路径受阻、日主承载不足或救应只能局部作用</x:v>
      </x:c>
      <x:c r="V33" s="90" t="str">
        <x:v>格神失效、核心作用路径完全中断，或特殊格局硬门槛被有效反证否决</x:v>
      </x:c>
      <x:c r="W33" s="68" t="str">
        <x:v>特殊格局严格条件、流派争议及岁运补成另按专门规则处理</x:v>
      </x:c>
      <x:c r="X33" s="84" t="str">
        <x:v>正印格/偏印格候选_成败救应</x:v>
      </x:c>
      <x:c r="Y33" s="84" t="str">
        <x:v>正印格/偏印格候选判为“基本成立”：破格等级为“无破”，救应为“无救应”，清纯度为“较清”；层次需结合全局继续评估。</x:v>
      </x:c>
      <x:c r="Z33" s="68" t="str">
        <x:v>若“格神失效、核心作用路径完全中断，或特殊格局硬门槛被有效反证否决”成立，应降低为成立但有破或不成立，不得维持当前结论。</x:v>
      </x:c>
      <x:c r="AA33" s="82" t="str">
        <x:v>较高</x:v>
      </x:c>
      <x:c r="AB33" s="82" t="str">
        <x:v>子平格局</x:v>
      </x:c>
      <x:c r="AC33" s="68" t="str">
        <x:v>格局成败须区分：格神是否有效、结构是否能运行、是否存在破坏、救应是否直接修复破格机制，以及格局成立与层次高低。</x:v>
      </x:c>
      <x:c r="AD33" s="68" t="str">
        <x:v>当“印星有月令依据、有根有源，日主需要或能承受印生”成立，且成格证据相互支持、无决定性否决时，可按本规则判断。</x:v>
      </x:c>
      <x:c r="AE33" s="90" t="str">
        <x:v>只有格局名称或局部组合，但“格神失效、核心作用路径完全中断，或特殊格局硬门槛被有效反证否决”成立时，不能按本规则维持格局。</x:v>
      </x:c>
      <x:c r="AF33" s="68" t="str">
        <x:v>https://zh.wikisource.org/zh-hans/%E6%B7%B5%E6%B5%B7%E5%AD%90%E5%B9%B3 ; https://zh.wikisource.org/wiki/%E6%BB%B4%E5%A4%A9%E9%AB%93%E9%97%A1%E5%BE%AE</x:v>
      </x:c>
      <x:c r="AG33" s="82" t="str">
        <x:v>采用</x:v>
      </x:c>
      <x:c r="AH33" s="82" t="str">
        <x:v>初审</x:v>
      </x:c>
      <x:c r="AI33" s="87" t="n">
        <x:v>46260</x:v>
      </x:c>
    </x:row>
    <x:row r="34">
      <x:c r="A34" s="72" t="str">
        <x:f>IF(OR(C34="",D34=""),"",B34&amp;"-"&amp;UPPER(C34)&amp;"-"&amp;TEXT(D34,"0000")&amp;"-"&amp;E34)</x:f>
        <x:v>M15-YIN-0028-V1.0</x:v>
      </x:c>
      <x:c r="B34" s="74" t="str">
        <x:v>M15</x:v>
      </x:c>
      <x:c r="C34" s="74" t="str">
        <x:v>YIN</x:v>
      </x:c>
      <x:c r="D34" s="215" t="n">
        <x:v>28</x:v>
      </x:c>
      <x:c r="E34" s="74" t="str">
        <x:v>V1.0</x:v>
      </x:c>
      <x:c r="F34" s="68" t="str">
        <x:v>官印相生清晰可提高正印格层次</x:v>
      </x:c>
      <x:c r="G34" s="82" t="str">
        <x:v>综合层</x:v>
      </x:c>
      <x:c r="H34" s="68" t="str">
        <x:v>正印格候选</x:v>
      </x:c>
      <x:c r="I34" s="68" t="str">
        <x:v>官星生印，印星生日主，链路连续</x:v>
      </x:c>
      <x:c r="J34" s="68" t="str">
        <x:v>官印均清纯有效，日主承载匹配</x:v>
      </x:c>
      <x:c r="K34" s="68" t="str">
        <x:v>无决定性破格因素</x:v>
      </x:c>
      <x:c r="L34" s="82" t="str">
        <x:v>无破</x:v>
      </x:c>
      <x:c r="M34" s="68" t="str">
        <x:v>无须救应</x:v>
      </x:c>
      <x:c r="N34" s="82" t="str">
        <x:v>无救应</x:v>
      </x:c>
      <x:c r="O34" s="84" t="str">
        <x:v>清纯成立</x:v>
      </x:c>
      <x:c r="P34" s="82" t="str">
        <x:v>清纯</x:v>
      </x:c>
      <x:c r="Q34" s="68" t="str">
        <x:v>印有源、官有序，结构完整稳定</x:v>
      </x:c>
      <x:c r="R34" s="68" t="str">
        <x:v>M14已生成候选；M08、M09、M10、M11相关结论可追溯</x:v>
      </x:c>
      <x:c r="S34" s="68" t="str">
        <x:v>格神与关键配合十神均以有效力量和实际功能为准</x:v>
      </x:c>
      <x:c r="T34" s="68" t="str">
        <x:v>格神得令、有根、透达、清纯，组合路径稳定且日主承载匹配</x:v>
      </x:c>
      <x:c r="U34" s="68" t="str">
        <x:v>格神受制、混杂、路径受阻、日主承载不足或救应只能局部作用</x:v>
      </x:c>
      <x:c r="V34" s="90" t="str">
        <x:v>格神失效、核心作用路径完全中断，或特殊格局硬门槛被有效反证否决</x:v>
      </x:c>
      <x:c r="W34" s="68" t="str">
        <x:v>特殊格局严格条件、流派争议及岁运补成另按专门规则处理</x:v>
      </x:c>
      <x:c r="X34" s="84" t="str">
        <x:v>正印格_官印相生</x:v>
      </x:c>
      <x:c r="Y34" s="84" t="str">
        <x:v>正印格候选判为“清纯成立”：破格等级为“无破”，救应为“无救应”，清纯度为“清纯”；层次需结合全局继续评估。</x:v>
      </x:c>
      <x:c r="Z34" s="68" t="str">
        <x:v>若“格神失效、核心作用路径完全中断，或特殊格局硬门槛被有效反证否决”成立，应降低为成立但有破或不成立，不得维持当前结论。</x:v>
      </x:c>
      <x:c r="AA34" s="82" t="str">
        <x:v>较高</x:v>
      </x:c>
      <x:c r="AB34" s="82" t="str">
        <x:v>子平格局</x:v>
      </x:c>
      <x:c r="AC34" s="68" t="str">
        <x:v>格局成败须区分：格神是否有效、结构是否能运行、是否存在破坏、救应是否直接修复破格机制，以及格局成立与层次高低。</x:v>
      </x:c>
      <x:c r="AD34" s="68" t="str">
        <x:v>当“官星生印，印星生日主，链路连续”成立，且成格证据相互支持、无决定性否决时，可按本规则判断。</x:v>
      </x:c>
      <x:c r="AE34" s="90" t="str">
        <x:v>只有格局名称或局部组合，但“格神失效、核心作用路径完全中断，或特殊格局硬门槛被有效反证否决”成立时，不能按本规则维持格局。</x:v>
      </x:c>
      <x:c r="AF34" s="68" t="str">
        <x:v>https://zh.wikisource.org/zh-hans/%E6%B7%B5%E6%B5%B7%E5%AD%90%E5%B9%B3 ; https://zh.wikisource.org/wiki/%E6%BB%B4%E5%A4%A9%E9%AB%93%E9%97%A1%E5%BE%AE</x:v>
      </x:c>
      <x:c r="AG34" s="82" t="str">
        <x:v>采用</x:v>
      </x:c>
      <x:c r="AH34" s="82" t="str">
        <x:v>初审</x:v>
      </x:c>
      <x:c r="AI34" s="87" t="n">
        <x:v>46260</x:v>
      </x:c>
    </x:row>
    <x:row r="35">
      <x:c r="A35" s="72" t="str">
        <x:f>IF(OR(C35="",D35=""),"",B35&amp;"-"&amp;UPPER(C35)&amp;"-"&amp;TEXT(D35,"0000")&amp;"-"&amp;E35)</x:f>
        <x:v>M15-YIN-0029-V1.0</x:v>
      </x:c>
      <x:c r="B35" s="74" t="str">
        <x:v>M15</x:v>
      </x:c>
      <x:c r="C35" s="74" t="str">
        <x:v>YIN</x:v>
      </x:c>
      <x:c r="D35" s="215" t="n">
        <x:v>29</x:v>
      </x:c>
      <x:c r="E35" s="74" t="str">
        <x:v>V1.0</x:v>
      </x:c>
      <x:c r="F35" s="68" t="str">
        <x:v>杀印相生清晰可提高偏印格层次</x:v>
      </x:c>
      <x:c r="G35" s="82" t="str">
        <x:v>综合层</x:v>
      </x:c>
      <x:c r="H35" s="68" t="str">
        <x:v>偏印格候选</x:v>
      </x:c>
      <x:c r="I35" s="68" t="str">
        <x:v>七杀有效生偏印，偏印继续生日主</x:v>
      </x:c>
      <x:c r="J35" s="68" t="str">
        <x:v>杀印链稳定，财不坏印，日主能承</x:v>
      </x:c>
      <x:c r="K35" s="68" t="str">
        <x:v>无决定性破格因素</x:v>
      </x:c>
      <x:c r="L35" s="82" t="str">
        <x:v>无破</x:v>
      </x:c>
      <x:c r="M35" s="68" t="str">
        <x:v>无须救应</x:v>
      </x:c>
      <x:c r="N35" s="82" t="str">
        <x:v>无救应</x:v>
      </x:c>
      <x:c r="O35" s="84" t="str">
        <x:v>清纯成立</x:v>
      </x:c>
      <x:c r="P35" s="82" t="str">
        <x:v>较清</x:v>
      </x:c>
      <x:c r="Q35" s="68" t="str">
        <x:v>偏印承担化杀生身核心功能</x:v>
      </x:c>
      <x:c r="R35" s="68" t="str">
        <x:v>M14已生成候选；M08、M09、M10、M11相关结论可追溯</x:v>
      </x:c>
      <x:c r="S35" s="68" t="str">
        <x:v>格神与关键配合十神均以有效力量和实际功能为准</x:v>
      </x:c>
      <x:c r="T35" s="68" t="str">
        <x:v>格神得令、有根、透达、清纯，组合路径稳定且日主承载匹配</x:v>
      </x:c>
      <x:c r="U35" s="68" t="str">
        <x:v>格神受制、混杂、路径受阻、日主承载不足或救应只能局部作用</x:v>
      </x:c>
      <x:c r="V35" s="90" t="str">
        <x:v>格神失效、核心作用路径完全中断，或特殊格局硬门槛被有效反证否决</x:v>
      </x:c>
      <x:c r="W35" s="68" t="str">
        <x:v>特殊格局严格条件、流派争议及岁运补成另按专门规则处理</x:v>
      </x:c>
      <x:c r="X35" s="84" t="str">
        <x:v>偏印格_杀印相生</x:v>
      </x:c>
      <x:c r="Y35" s="84" t="str">
        <x:v>偏印格候选判为“清纯成立”：破格等级为“无破”，救应为“无救应”，清纯度为“较清”；层次需结合全局继续评估。</x:v>
      </x:c>
      <x:c r="Z35" s="68" t="str">
        <x:v>若“格神失效、核心作用路径完全中断，或特殊格局硬门槛被有效反证否决”成立，应降低为成立但有破或不成立，不得维持当前结论。</x:v>
      </x:c>
      <x:c r="AA35" s="82" t="str">
        <x:v>较高</x:v>
      </x:c>
      <x:c r="AB35" s="82" t="str">
        <x:v>子平格局</x:v>
      </x:c>
      <x:c r="AC35" s="68" t="str">
        <x:v>格局成败须区分：格神是否有效、结构是否能运行、是否存在破坏、救应是否直接修复破格机制，以及格局成立与层次高低。</x:v>
      </x:c>
      <x:c r="AD35" s="68" t="str">
        <x:v>当“七杀有效生偏印，偏印继续生日主”成立，且成格证据相互支持、无决定性否决时，可按本规则判断。</x:v>
      </x:c>
      <x:c r="AE35" s="90" t="str">
        <x:v>只有格局名称或局部组合，但“格神失效、核心作用路径完全中断，或特殊格局硬门槛被有效反证否决”成立时，不能按本规则维持格局。</x:v>
      </x:c>
      <x:c r="AF35" s="68" t="str">
        <x:v>https://zh.wikisource.org/zh-hans/%E6%B7%B5%E6%B5%B7%E5%AD%90%E5%B9%B3 ; https://zh.wikisource.org/wiki/%E6%BB%B4%E5%A4%A9%E9%AB%93%E9%97%A1%E5%BE%AE</x:v>
      </x:c>
      <x:c r="AG35" s="82" t="str">
        <x:v>采用</x:v>
      </x:c>
      <x:c r="AH35" s="82" t="str">
        <x:v>初审</x:v>
      </x:c>
      <x:c r="AI35" s="87" t="n">
        <x:v>46260</x:v>
      </x:c>
    </x:row>
    <x:row r="36">
      <x:c r="A36" s="72" t="str">
        <x:f>IF(OR(C36="",D36=""),"",B36&amp;"-"&amp;UPPER(C36)&amp;"-"&amp;TEXT(D36,"0000")&amp;"-"&amp;E36)</x:f>
        <x:v>M15-YIN-0030-V1.0</x:v>
      </x:c>
      <x:c r="B36" s="74" t="str">
        <x:v>M15</x:v>
      </x:c>
      <x:c r="C36" s="74" t="str">
        <x:v>YIN</x:v>
      </x:c>
      <x:c r="D36" s="215" t="n">
        <x:v>30</x:v>
      </x:c>
      <x:c r="E36" s="74" t="str">
        <x:v>V1.0</x:v>
      </x:c>
      <x:c r="F36" s="68" t="str">
        <x:v>财坏关键印星构成严重破格</x:v>
      </x:c>
      <x:c r="G36" s="82" t="str">
        <x:v>综合层</x:v>
      </x:c>
      <x:c r="H36" s="68" t="str">
        <x:v>印格候选</x:v>
      </x:c>
      <x:c r="I36" s="68" t="str">
        <x:v>印格原成立且印为生身、化杀或制伤关键节点</x:v>
      </x:c>
      <x:c r="J36" s="68" t="str">
        <x:v>月令依据、格神根气与有效力量、日主配合及M11组合证据相互支持</x:v>
      </x:c>
      <x:c r="K36" s="68" t="str">
        <x:v>财星有力并直接克制关键印星</x:v>
      </x:c>
      <x:c r="L36" s="82" t="str">
        <x:v>严重</x:v>
      </x:c>
      <x:c r="M36" s="68" t="str">
        <x:v>比劫制财或财星被合制</x:v>
      </x:c>
      <x:c r="N36" s="82" t="str">
        <x:v>待定</x:v>
      </x:c>
      <x:c r="O36" s="84" t="str">
        <x:v>成立但有破</x:v>
      </x:c>
      <x:c r="P36" s="82" t="str">
        <x:v>有杂</x:v>
      </x:c>
      <x:c r="Q36" s="68" t="str">
        <x:v>印星主功能受损；若印完全失效则格局不成立</x:v>
      </x:c>
      <x:c r="R36" s="68" t="str">
        <x:v>M14已生成候选；M08、M09、M10、M11相关结论可追溯</x:v>
      </x:c>
      <x:c r="S36" s="68" t="str">
        <x:v>格神与关键配合十神均以有效力量和实际功能为准</x:v>
      </x:c>
      <x:c r="T36" s="68" t="str">
        <x:v>格神得令、有根、透达、清纯，组合路径稳定且日主承载匹配</x:v>
      </x:c>
      <x:c r="U36" s="68" t="str">
        <x:v>格神受制、混杂、路径受阻、日主承载不足或救应只能局部作用</x:v>
      </x:c>
      <x:c r="V36" s="90" t="str">
        <x:v>格神失效、核心作用路径完全中断，或特殊格局硬门槛被有效反证否决</x:v>
      </x:c>
      <x:c r="W36" s="68" t="str">
        <x:v>特殊格局严格条件、流派争议及岁运补成另按专门规则处理</x:v>
      </x:c>
      <x:c r="X36" s="84" t="str">
        <x:v>印格_财坏印</x:v>
      </x:c>
      <x:c r="Y36" s="84" t="str">
        <x:v>印格候选判为“成立但有破”：破格等级为“严重”，救应为“待定”，清纯度为“有杂”；层次需结合全局继续评估。</x:v>
      </x:c>
      <x:c r="Z36" s="68" t="str">
        <x:v>若“格神失效、核心作用路径完全中断，或特殊格局硬门槛被有效反证否决”成立，应降低为成立但有破或不成立，不得维持当前结论。</x:v>
      </x:c>
      <x:c r="AA36" s="82" t="str">
        <x:v>较高</x:v>
      </x:c>
      <x:c r="AB36" s="82" t="str">
        <x:v>子平格局</x:v>
      </x:c>
      <x:c r="AC36" s="68" t="str">
        <x:v>格局成败须区分：格神是否有效、结构是否能运行、是否存在破坏、救应是否直接修复破格机制，以及格局成立与层次高低。</x:v>
      </x:c>
      <x:c r="AD36" s="68" t="str">
        <x:v>当“印格原成立且印为生身、化杀或制伤关键节点”成立，且成格证据相互支持、无决定性否决时，可按本规则判断。</x:v>
      </x:c>
      <x:c r="AE36" s="90" t="str">
        <x:v>只有格局名称或局部组合，但“格神失效、核心作用路径完全中断，或特殊格局硬门槛被有效反证否决”成立时，不能按本规则维持格局。</x:v>
      </x:c>
      <x:c r="AF36" s="68" t="str">
        <x:v>https://zh.wikisource.org/zh-hans/%E6%B7%B5%E6%B5%B7%E5%AD%90%E5%B9%B3 ; https://zh.wikisource.org/wiki/%E6%BB%B4%E5%A4%A9%E9%AB%93%E9%97%A1%E5%BE%AE</x:v>
      </x:c>
      <x:c r="AG36" s="82" t="str">
        <x:v>采用</x:v>
      </x:c>
      <x:c r="AH36" s="82" t="str">
        <x:v>初审</x:v>
      </x:c>
      <x:c r="AI36" s="87" t="n">
        <x:v>46260</x:v>
      </x:c>
    </x:row>
    <x:row r="37">
      <x:c r="A37" s="72" t="str">
        <x:f>IF(OR(C37="",D37=""),"",B37&amp;"-"&amp;UPPER(C37)&amp;"-"&amp;TEXT(D37,"0000")&amp;"-"&amp;E37)</x:f>
        <x:v>M15-YIN-0031-V1.0</x:v>
      </x:c>
      <x:c r="B37" s="74" t="str">
        <x:v>M15</x:v>
      </x:c>
      <x:c r="C37" s="74" t="str">
        <x:v>YIN</x:v>
      </x:c>
      <x:c r="D37" s="215" t="n">
        <x:v>31</x:v>
      </x:c>
      <x:c r="E37" s="74" t="str">
        <x:v>V1.0</x:v>
      </x:c>
      <x:c r="F37" s="68" t="str">
        <x:v>比劫制财可救财坏印</x:v>
      </x:c>
      <x:c r="G37" s="82" t="str">
        <x:v>综合层</x:v>
      </x:c>
      <x:c r="H37" s="68" t="str">
        <x:v>印格候选</x:v>
      </x:c>
      <x:c r="I37" s="68" t="str">
        <x:v>财星正在破坏关键印星，比劫有力并能制财</x:v>
      </x:c>
      <x:c r="J37" s="68" t="str">
        <x:v>比劫→财克制真实，印星功能恢复</x:v>
      </x:c>
      <x:c r="K37" s="68" t="str">
        <x:v>财坏印</x:v>
      </x:c>
      <x:c r="L37" s="82" t="str">
        <x:v>一般</x:v>
      </x:c>
      <x:c r="M37" s="68" t="str">
        <x:v>比劫制财护印</x:v>
      </x:c>
      <x:c r="N37" s="82" t="str">
        <x:v>明显有效</x:v>
      </x:c>
      <x:c r="O37" s="84" t="str">
        <x:v>有破有救</x:v>
      </x:c>
      <x:c r="P37" s="82" t="str">
        <x:v>有杂</x:v>
      </x:c>
      <x:c r="Q37" s="68" t="str">
        <x:v>格局主要功能恢复，但比劫过强副作用需另审</x:v>
      </x:c>
      <x:c r="R37" s="68" t="str">
        <x:v>M14已生成候选；M08、M09、M10、M11相关结论可追溯</x:v>
      </x:c>
      <x:c r="S37" s="68" t="str">
        <x:v>格神与关键配合十神均以有效力量和实际功能为准</x:v>
      </x:c>
      <x:c r="T37" s="68" t="str">
        <x:v>格神得令、有根、透达、清纯，组合路径稳定且日主承载匹配</x:v>
      </x:c>
      <x:c r="U37" s="68" t="str">
        <x:v>格神受制、混杂、路径受阻、日主承载不足或救应只能局部作用</x:v>
      </x:c>
      <x:c r="V37" s="90" t="str">
        <x:v>格神失效、核心作用路径完全中断，或特殊格局硬门槛被有效反证否决</x:v>
      </x:c>
      <x:c r="W37" s="68" t="str">
        <x:v>特殊格局严格条件、流派争议及岁运补成另按专门规则处理</x:v>
      </x:c>
      <x:c r="X37" s="84" t="str">
        <x:v>印格_比劫制财救应</x:v>
      </x:c>
      <x:c r="Y37" s="84" t="str">
        <x:v>印格候选判为“有破有救”：破格等级为“一般”，救应为“明显有效”，清纯度为“有杂”；层次需结合全局继续评估。</x:v>
      </x:c>
      <x:c r="Z37" s="68" t="str">
        <x:v>若“格神失效、核心作用路径完全中断，或特殊格局硬门槛被有效反证否决”成立，应降低为成立但有破或不成立，不得维持当前结论。</x:v>
      </x:c>
      <x:c r="AA37" s="82" t="str">
        <x:v>较高</x:v>
      </x:c>
      <x:c r="AB37" s="82" t="str">
        <x:v>子平格局</x:v>
      </x:c>
      <x:c r="AC37" s="68" t="str">
        <x:v>格局成败须区分：格神是否有效、结构是否能运行、是否存在破坏、救应是否直接修复破格机制，以及格局成立与层次高低。</x:v>
      </x:c>
      <x:c r="AD37" s="68" t="str">
        <x:v>当“财星正在破坏关键印星，比劫有力并能制财”成立，且成格证据相互支持、无决定性否决时，可按本规则判断。</x:v>
      </x:c>
      <x:c r="AE37" s="90" t="str">
        <x:v>只有格局名称或局部组合，但“格神失效、核心作用路径完全中断，或特殊格局硬门槛被有效反证否决”成立时，不能按本规则维持格局。</x:v>
      </x:c>
      <x:c r="AF37" s="68" t="str">
        <x:v>https://zh.wikisource.org/zh-hans/%E6%B7%B5%E6%B5%B7%E5%AD%90%E5%B9%B3 ; https://zh.wikisource.org/wiki/%E6%BB%B4%E5%A4%A9%E9%AB%93%E9%97%A1%E5%BE%AE</x:v>
      </x:c>
      <x:c r="AG37" s="82" t="str">
        <x:v>采用</x:v>
      </x:c>
      <x:c r="AH37" s="82" t="str">
        <x:v>初审</x:v>
      </x:c>
      <x:c r="AI37" s="87" t="n">
        <x:v>46260</x:v>
      </x:c>
    </x:row>
    <x:row r="38">
      <x:c r="A38" s="72" t="str">
        <x:f>IF(OR(C38="",D38=""),"",B38&amp;"-"&amp;UPPER(C38)&amp;"-"&amp;TEXT(D38,"0000")&amp;"-"&amp;E38)</x:f>
        <x:v>M15-YIN-0032-V1.0</x:v>
      </x:c>
      <x:c r="B38" s="74" t="str">
        <x:v>M15</x:v>
      </x:c>
      <x:c r="C38" s="74" t="str">
        <x:v>YIN</x:v>
      </x:c>
      <x:c r="D38" s="215" t="n">
        <x:v>32</x:v>
      </x:c>
      <x:c r="E38" s="74" t="str">
        <x:v>V1.0</x:v>
      </x:c>
      <x:c r="F38" s="68" t="str">
        <x:v>印多身滞会降低印格层次</x:v>
      </x:c>
      <x:c r="G38" s="82" t="str">
        <x:v>综合层</x:v>
      </x:c>
      <x:c r="H38" s="68" t="str">
        <x:v>印格候选</x:v>
      </x:c>
      <x:c r="I38" s="68" t="str">
        <x:v>印星得令成势，但日主已旺，食伤输出受压</x:v>
      </x:c>
      <x:c r="J38" s="68" t="str">
        <x:v>月令依据、格神根气与有效力量、日主配合及M11组合证据相互支持</x:v>
      </x:c>
      <x:c r="K38" s="68" t="str">
        <x:v>印生过度并阻断必要泄出</x:v>
      </x:c>
      <x:c r="L38" s="82" t="str">
        <x:v>一般</x:v>
      </x:c>
      <x:c r="M38" s="68" t="str">
        <x:v>食伤有效泄秀或财星适度制印</x:v>
      </x:c>
      <x:c r="N38" s="82" t="str">
        <x:v>待定</x:v>
      </x:c>
      <x:c r="O38" s="84" t="str">
        <x:v>成立但有破</x:v>
      </x:c>
      <x:c r="P38" s="82" t="str">
        <x:v>较清</x:v>
      </x:c>
      <x:c r="Q38" s="68" t="str">
        <x:v>格局成立但流通不佳，层次受壅滞限制</x:v>
      </x:c>
      <x:c r="R38" s="68" t="str">
        <x:v>M14已生成候选；M08、M09、M10、M11相关结论可追溯</x:v>
      </x:c>
      <x:c r="S38" s="68" t="str">
        <x:v>格神与关键配合十神均以有效力量和实际功能为准</x:v>
      </x:c>
      <x:c r="T38" s="68" t="str">
        <x:v>格神得令、有根、透达、清纯，组合路径稳定且日主承载匹配</x:v>
      </x:c>
      <x:c r="U38" s="68" t="str">
        <x:v>格神受制、混杂、路径受阻、日主承载不足或救应只能局部作用</x:v>
      </x:c>
      <x:c r="V38" s="90" t="str">
        <x:v>格神失效、核心作用路径完全中断，或特殊格局硬门槛被有效反证否决</x:v>
      </x:c>
      <x:c r="W38" s="68" t="str">
        <x:v>特殊格局严格条件、流派争议及岁运补成另按专门规则处理</x:v>
      </x:c>
      <x:c r="X38" s="84" t="str">
        <x:v>印格_印多身滞</x:v>
      </x:c>
      <x:c r="Y38" s="84" t="str">
        <x:v>印格候选判为“成立但有破”：破格等级为“一般”，救应为“待定”，清纯度为“较清”；层次需结合全局继续评估。</x:v>
      </x:c>
      <x:c r="Z38" s="68" t="str">
        <x:v>若“格神失效、核心作用路径完全中断，或特殊格局硬门槛被有效反证否决”成立，应降低为成立但有破或不成立，不得维持当前结论。</x:v>
      </x:c>
      <x:c r="AA38" s="82" t="str">
        <x:v>较高</x:v>
      </x:c>
      <x:c r="AB38" s="82" t="str">
        <x:v>子平格局</x:v>
      </x:c>
      <x:c r="AC38" s="68" t="str">
        <x:v>格局成败须区分：格神是否有效、结构是否能运行、是否存在破坏、救应是否直接修复破格机制，以及格局成立与层次高低。</x:v>
      </x:c>
      <x:c r="AD38" s="68" t="str">
        <x:v>当“印星得令成势，但日主已旺，食伤输出受压”成立，且成格证据相互支持、无决定性否决时，可按本规则判断。</x:v>
      </x:c>
      <x:c r="AE38" s="90" t="str">
        <x:v>只有格局名称或局部组合，但“格神失效、核心作用路径完全中断，或特殊格局硬门槛被有效反证否决”成立时，不能按本规则维持格局。</x:v>
      </x:c>
      <x:c r="AF38" s="68" t="str">
        <x:v>https://zh.wikisource.org/zh-hans/%E6%B7%B5%E6%B5%B7%E5%AD%90%E5%B9%B3 ; https://zh.wikisource.org/wiki/%E6%BB%B4%E5%A4%A9%E9%AB%93%E9%97%A1%E5%BE%AE</x:v>
      </x:c>
      <x:c r="AG38" s="82" t="str">
        <x:v>采用</x:v>
      </x:c>
      <x:c r="AH38" s="82" t="str">
        <x:v>初审</x:v>
      </x:c>
      <x:c r="AI38" s="87" t="n">
        <x:v>46260</x:v>
      </x:c>
    </x:row>
    <x:row r="39">
      <x:c r="A39" s="72" t="str">
        <x:f>IF(OR(C39="",D39=""),"",B39&amp;"-"&amp;UPPER(C39)&amp;"-"&amp;TEXT(D39,"0000")&amp;"-"&amp;E39)</x:f>
        <x:v>M15-YIN-0033-V1.0</x:v>
      </x:c>
      <x:c r="B39" s="74" t="str">
        <x:v>M15</x:v>
      </x:c>
      <x:c r="C39" s="74" t="str">
        <x:v>YIN</x:v>
      </x:c>
      <x:c r="D39" s="215" t="n">
        <x:v>33</x:v>
      </x:c>
      <x:c r="E39" s="74" t="str">
        <x:v>V1.0</x:v>
      </x:c>
      <x:c r="F39" s="68" t="str">
        <x:v>枭神夺食会使偏印格带明显副作用</x:v>
      </x:c>
      <x:c r="G39" s="82" t="str">
        <x:v>综合层</x:v>
      </x:c>
      <x:c r="H39" s="68" t="str">
        <x:v>偏印格候选</x:v>
      </x:c>
      <x:c r="I39" s="68" t="str">
        <x:v>偏印格成立且食神承担关键生财或制杀功能</x:v>
      </x:c>
      <x:c r="J39" s="68" t="str">
        <x:v>月令依据、格神根气与有效力量、日主配合及M11组合证据相互支持</x:v>
      </x:c>
      <x:c r="K39" s="68" t="str">
        <x:v>偏印强制食神，破坏关键输出</x:v>
      </x:c>
      <x:c r="L39" s="82" t="str">
        <x:v>一般</x:v>
      </x:c>
      <x:c r="M39" s="68" t="str">
        <x:v>财星制枭</x:v>
      </x:c>
      <x:c r="N39" s="82" t="str">
        <x:v>待定</x:v>
      </x:c>
      <x:c r="O39" s="84" t="str">
        <x:v>成立但有破</x:v>
      </x:c>
      <x:c r="P39" s="82" t="str">
        <x:v>有杂</x:v>
      </x:c>
      <x:c r="Q39" s="68" t="str">
        <x:v>偏印格仍可运行，但重要食神功能受损</x:v>
      </x:c>
      <x:c r="R39" s="68" t="str">
        <x:v>M14已生成候选；M08、M09、M10、M11相关结论可追溯</x:v>
      </x:c>
      <x:c r="S39" s="68" t="str">
        <x:v>格神与关键配合十神均以有效力量和实际功能为准</x:v>
      </x:c>
      <x:c r="T39" s="68" t="str">
        <x:v>格神得令、有根、透达、清纯，组合路径稳定且日主承载匹配</x:v>
      </x:c>
      <x:c r="U39" s="68" t="str">
        <x:v>格神受制、混杂、路径受阻、日主承载不足或救应只能局部作用</x:v>
      </x:c>
      <x:c r="V39" s="90" t="str">
        <x:v>格神失效、核心作用路径完全中断，或特殊格局硬门槛被有效反证否决</x:v>
      </x:c>
      <x:c r="W39" s="68" t="str">
        <x:v>特殊格局严格条件、流派争议及岁运补成另按专门规则处理</x:v>
      </x:c>
      <x:c r="X39" s="84" t="str">
        <x:v>偏印格_枭夺食</x:v>
      </x:c>
      <x:c r="Y39" s="84" t="str">
        <x:v>偏印格候选判为“成立但有破”：破格等级为“一般”，救应为“待定”，清纯度为“有杂”；层次需结合全局继续评估。</x:v>
      </x:c>
      <x:c r="Z39" s="68" t="str">
        <x:v>若“格神失效、核心作用路径完全中断，或特殊格局硬门槛被有效反证否决”成立，应降低为成立但有破或不成立，不得维持当前结论。</x:v>
      </x:c>
      <x:c r="AA39" s="82" t="str">
        <x:v>较高</x:v>
      </x:c>
      <x:c r="AB39" s="82" t="str">
        <x:v>子平格局</x:v>
      </x:c>
      <x:c r="AC39" s="68" t="str">
        <x:v>格局成败须区分：格神是否有效、结构是否能运行、是否存在破坏、救应是否直接修复破格机制，以及格局成立与层次高低。</x:v>
      </x:c>
      <x:c r="AD39" s="68" t="str">
        <x:v>当“偏印格成立且食神承担关键生财或制杀功能”成立，且成格证据相互支持、无决定性否决时，可按本规则判断。</x:v>
      </x:c>
      <x:c r="AE39" s="90" t="str">
        <x:v>只有格局名称或局部组合，但“格神失效、核心作用路径完全中断，或特殊格局硬门槛被有效反证否决”成立时，不能按本规则维持格局。</x:v>
      </x:c>
      <x:c r="AF39" s="68" t="str">
        <x:v>https://zh.wikisource.org/zh-hans/%E6%B7%B5%E6%B5%B7%E5%AD%90%E5%B9%B3 ; https://zh.wikisource.org/wiki/%E6%BB%B4%E5%A4%A9%E9%AB%93%E9%97%A1%E5%BE%AE</x:v>
      </x:c>
      <x:c r="AG39" s="82" t="str">
        <x:v>采用</x:v>
      </x:c>
      <x:c r="AH39" s="82" t="str">
        <x:v>初审</x:v>
      </x:c>
      <x:c r="AI39" s="87" t="n">
        <x:v>46260</x:v>
      </x:c>
    </x:row>
    <x:row r="40">
      <x:c r="A40" s="72" t="str">
        <x:f>IF(OR(C40="",D40=""),"",B40&amp;"-"&amp;UPPER(C40)&amp;"-"&amp;TEXT(D40,"0000")&amp;"-"&amp;E40)</x:f>
        <x:v>M15-YIN-0034-V1.0</x:v>
      </x:c>
      <x:c r="B40" s="74" t="str">
        <x:v>M15</x:v>
      </x:c>
      <x:c r="C40" s="74" t="str">
        <x:v>YIN</x:v>
      </x:c>
      <x:c r="D40" s="215" t="n">
        <x:v>34</x:v>
      </x:c>
      <x:c r="E40" s="74" t="str">
        <x:v>V1.0</x:v>
      </x:c>
      <x:c r="F40" s="68" t="str">
        <x:v>印枭混杂主从不清时格局降级</x:v>
      </x:c>
      <x:c r="G40" s="82" t="str">
        <x:v>综合层</x:v>
      </x:c>
      <x:c r="H40" s="68" t="str">
        <x:v>印格候选</x:v>
      </x:c>
      <x:c r="I40" s="68" t="str">
        <x:v>正印与偏印均有效且共同主导生身或制食伤</x:v>
      </x:c>
      <x:c r="J40" s="68" t="str">
        <x:v>月令依据、格神根气与有效力量、日主配合及M11组合证据相互支持</x:v>
      </x:c>
      <x:c r="K40" s="68" t="str">
        <x:v>印枭双强、功能主从不清</x:v>
      </x:c>
      <x:c r="L40" s="82" t="str">
        <x:v>轻微</x:v>
      </x:c>
      <x:c r="M40" s="68" t="str">
        <x:v>形成明确主从或一方被有效制化</x:v>
      </x:c>
      <x:c r="N40" s="82" t="str">
        <x:v>待定</x:v>
      </x:c>
      <x:c r="O40" s="84" t="str">
        <x:v>成立但有破</x:v>
      </x:c>
      <x:c r="P40" s="82" t="str">
        <x:v>混杂</x:v>
      </x:c>
      <x:c r="Q40" s="68" t="str">
        <x:v>格局仍成立，但清纯度和取用稳定性下降</x:v>
      </x:c>
      <x:c r="R40" s="68" t="str">
        <x:v>M14已生成候选；M08、M09、M10、M11相关结论可追溯</x:v>
      </x:c>
      <x:c r="S40" s="68" t="str">
        <x:v>格神与关键配合十神均以有效力量和实际功能为准</x:v>
      </x:c>
      <x:c r="T40" s="68" t="str">
        <x:v>格神得令、有根、透达、清纯，组合路径稳定且日主承载匹配</x:v>
      </x:c>
      <x:c r="U40" s="68" t="str">
        <x:v>格神受制、混杂、路径受阻、日主承载不足或救应只能局部作用</x:v>
      </x:c>
      <x:c r="V40" s="90" t="str">
        <x:v>格神失效、核心作用路径完全中断，或特殊格局硬门槛被有效反证否决</x:v>
      </x:c>
      <x:c r="W40" s="68" t="str">
        <x:v>特殊格局严格条件、流派争议及岁运补成另按专门规则处理</x:v>
      </x:c>
      <x:c r="X40" s="84" t="str">
        <x:v>印格_印枭混杂</x:v>
      </x:c>
      <x:c r="Y40" s="84" t="str">
        <x:v>印格候选判为“成立但有破”：破格等级为“轻微”，救应为“待定”，清纯度为“混杂”；层次需结合全局继续评估。</x:v>
      </x:c>
      <x:c r="Z40" s="68" t="str">
        <x:v>若“格神失效、核心作用路径完全中断，或特殊格局硬门槛被有效反证否决”成立，应降低为成立但有破或不成立，不得维持当前结论。</x:v>
      </x:c>
      <x:c r="AA40" s="82" t="str">
        <x:v>较高</x:v>
      </x:c>
      <x:c r="AB40" s="82" t="str">
        <x:v>子平格局</x:v>
      </x:c>
      <x:c r="AC40" s="68" t="str">
        <x:v>格局成败须区分：格神是否有效、结构是否能运行、是否存在破坏、救应是否直接修复破格机制，以及格局成立与层次高低。</x:v>
      </x:c>
      <x:c r="AD40" s="68" t="str">
        <x:v>当“正印与偏印均有效且共同主导生身或制食伤”成立，且成格证据相互支持、无决定性否决时，可按本规则判断。</x:v>
      </x:c>
      <x:c r="AE40" s="90" t="str">
        <x:v>只有格局名称或局部组合，但“格神失效、核心作用路径完全中断，或特殊格局硬门槛被有效反证否决”成立时，不能按本规则维持格局。</x:v>
      </x:c>
      <x:c r="AF40" s="68" t="str">
        <x:v>https://zh.wikisource.org/zh-hans/%E6%B7%B5%E6%B5%B7%E5%AD%90%E5%B9%B3 ; https://zh.wikisource.org/wiki/%E6%BB%B4%E5%A4%A9%E9%AB%93%E9%97%A1%E5%BE%AE</x:v>
      </x:c>
      <x:c r="AG40" s="82" t="str">
        <x:v>采用</x:v>
      </x:c>
      <x:c r="AH40" s="82" t="str">
        <x:v>初审</x:v>
      </x:c>
      <x:c r="AI40" s="87" t="n">
        <x:v>46260</x:v>
      </x:c>
    </x:row>
    <x:row r="41">
      <x:c r="A41" s="72" t="str">
        <x:f>IF(OR(C41="",D41=""),"",B41&amp;"-"&amp;UPPER(C41)&amp;"-"&amp;TEXT(D41,"0000")&amp;"-"&amp;E41)</x:f>
        <x:v>M15-CAI-0035-V1.0</x:v>
      </x:c>
      <x:c r="B41" s="74" t="str">
        <x:v>M15</x:v>
      </x:c>
      <x:c r="C41" s="74" t="str">
        <x:v>CAI</x:v>
      </x:c>
      <x:c r="D41" s="215" t="n">
        <x:v>35</x:v>
      </x:c>
      <x:c r="E41" s="74" t="str">
        <x:v>V1.0</x:v>
      </x:c>
      <x:c r="F41" s="68" t="str">
        <x:v>财格基本成格要求财星有力且日主能任</x:v>
      </x:c>
      <x:c r="G41" s="82" t="str">
        <x:v>综合层</x:v>
      </x:c>
      <x:c r="H41" s="68" t="str">
        <x:v>正财格/偏财格候选</x:v>
      </x:c>
      <x:c r="I41" s="68" t="str">
        <x:v>财星有月令依据、有根有源，日主具备承载，财未被比劫完全制去</x:v>
      </x:c>
      <x:c r="J41" s="68" t="str">
        <x:v>财星有效，食伤生财或财官链可运行</x:v>
      </x:c>
      <x:c r="K41" s="68" t="str">
        <x:v>无决定性破格因素</x:v>
      </x:c>
      <x:c r="L41" s="82" t="str">
        <x:v>无破</x:v>
      </x:c>
      <x:c r="M41" s="68" t="str">
        <x:v>无须救应</x:v>
      </x:c>
      <x:c r="N41" s="82" t="str">
        <x:v>无救应</x:v>
      </x:c>
      <x:c r="O41" s="84" t="str">
        <x:v>基本成立</x:v>
      </x:c>
      <x:c r="P41" s="82" t="str">
        <x:v>较清</x:v>
      </x:c>
      <x:c r="Q41" s="68" t="str">
        <x:v>财星能够形成稳定耗用与资源流向</x:v>
      </x:c>
      <x:c r="R41" s="68" t="str">
        <x:v>M14已生成候选；M08、M09、M10、M11相关结论可追溯</x:v>
      </x:c>
      <x:c r="S41" s="68" t="str">
        <x:v>格神与关键配合十神均以有效力量和实际功能为准</x:v>
      </x:c>
      <x:c r="T41" s="68" t="str">
        <x:v>格神得令、有根、透达、清纯，组合路径稳定且日主承载匹配</x:v>
      </x:c>
      <x:c r="U41" s="68" t="str">
        <x:v>格神受制、混杂、路径受阻、日主承载不足或救应只能局部作用</x:v>
      </x:c>
      <x:c r="V41" s="90" t="str">
        <x:v>格神失效、核心作用路径完全中断，或特殊格局硬门槛被有效反证否决</x:v>
      </x:c>
      <x:c r="W41" s="68" t="str">
        <x:v>特殊格局严格条件、流派争议及岁运补成另按专门规则处理</x:v>
      </x:c>
      <x:c r="X41" s="84" t="str">
        <x:v>正财格/偏财格候选_成败救应</x:v>
      </x:c>
      <x:c r="Y41" s="84" t="str">
        <x:v>正财格/偏财格候选判为“基本成立”：破格等级为“无破”，救应为“无救应”，清纯度为“较清”；层次需结合全局继续评估。</x:v>
      </x:c>
      <x:c r="Z41" s="68" t="str">
        <x:v>若“格神失效、核心作用路径完全中断，或特殊格局硬门槛被有效反证否决”成立，应降低为成立但有破或不成立，不得维持当前结论。</x:v>
      </x:c>
      <x:c r="AA41" s="82" t="str">
        <x:v>较高</x:v>
      </x:c>
      <x:c r="AB41" s="82" t="str">
        <x:v>子平格局</x:v>
      </x:c>
      <x:c r="AC41" s="68" t="str">
        <x:v>格局成败须区分：格神是否有效、结构是否能运行、是否存在破坏、救应是否直接修复破格机制，以及格局成立与层次高低。</x:v>
      </x:c>
      <x:c r="AD41" s="68" t="str">
        <x:v>当“财星有月令依据、有根有源，日主具备承载，财未被比劫完全制去”成立，且成格证据相互支持、无决定性否决时，可按本规则判断。</x:v>
      </x:c>
      <x:c r="AE41" s="90" t="str">
        <x:v>只有格局名称或局部组合，但“格神失效、核心作用路径完全中断，或特殊格局硬门槛被有效反证否决”成立时，不能按本规则维持格局。</x:v>
      </x:c>
      <x:c r="AF41" s="68" t="str">
        <x:v>https://zh.wikisource.org/zh-hans/%E6%B7%B5%E6%B5%B7%E5%AD%90%E5%B9%B3 ; https://zh.wikisource.org/wiki/%E6%BB%B4%E5%A4%A9%E9%AB%93%E9%97%A1%E5%BE%AE</x:v>
      </x:c>
      <x:c r="AG41" s="82" t="str">
        <x:v>采用</x:v>
      </x:c>
      <x:c r="AH41" s="82" t="str">
        <x:v>初审</x:v>
      </x:c>
      <x:c r="AI41" s="87" t="n">
        <x:v>46260</x:v>
      </x:c>
    </x:row>
    <x:row r="42">
      <x:c r="A42" s="72" t="str">
        <x:f>IF(OR(C42="",D42=""),"",B42&amp;"-"&amp;UPPER(C42)&amp;"-"&amp;TEXT(D42,"0000")&amp;"-"&amp;E42)</x:f>
        <x:v>M15-CAI-0036-V1.0</x:v>
      </x:c>
      <x:c r="B42" s="74" t="str">
        <x:v>M15</x:v>
      </x:c>
      <x:c r="C42" s="74" t="str">
        <x:v>CAI</x:v>
      </x:c>
      <x:c r="D42" s="215" t="n">
        <x:v>36</x:v>
      </x:c>
      <x:c r="E42" s="74" t="str">
        <x:v>V1.0</x:v>
      </x:c>
      <x:c r="F42" s="68" t="str">
        <x:v>食伤生财完整可提高财格层次</x:v>
      </x:c>
      <x:c r="G42" s="82" t="str">
        <x:v>综合层</x:v>
      </x:c>
      <x:c r="H42" s="68" t="str">
        <x:v>财格候选</x:v>
      </x:c>
      <x:c r="I42" s="68" t="str">
        <x:v>食伤有效生财，财星能承接，日主有足够源头</x:v>
      </x:c>
      <x:c r="J42" s="68" t="str">
        <x:v>身→食伤→财链路连续</x:v>
      </x:c>
      <x:c r="K42" s="68" t="str">
        <x:v>无决定性破格因素</x:v>
      </x:c>
      <x:c r="L42" s="82" t="str">
        <x:v>无破</x:v>
      </x:c>
      <x:c r="M42" s="68" t="str">
        <x:v>无须救应</x:v>
      </x:c>
      <x:c r="N42" s="82" t="str">
        <x:v>无救应</x:v>
      </x:c>
      <x:c r="O42" s="84" t="str">
        <x:v>清纯成立</x:v>
      </x:c>
      <x:c r="P42" s="82" t="str">
        <x:v>较清</x:v>
      </x:c>
      <x:c r="Q42" s="68" t="str">
        <x:v>财有源、输出有路，结构连续性较高</x:v>
      </x:c>
      <x:c r="R42" s="68" t="str">
        <x:v>M14已生成候选；M08、M09、M10、M11相关结论可追溯</x:v>
      </x:c>
      <x:c r="S42" s="68" t="str">
        <x:v>格神与关键配合十神均以有效力量和实际功能为准</x:v>
      </x:c>
      <x:c r="T42" s="68" t="str">
        <x:v>格神得令、有根、透达、清纯，组合路径稳定且日主承载匹配</x:v>
      </x:c>
      <x:c r="U42" s="68" t="str">
        <x:v>格神受制、混杂、路径受阻、日主承载不足或救应只能局部作用</x:v>
      </x:c>
      <x:c r="V42" s="90" t="str">
        <x:v>格神失效、核心作用路径完全中断，或特殊格局硬门槛被有效反证否决</x:v>
      </x:c>
      <x:c r="W42" s="68" t="str">
        <x:v>特殊格局严格条件、流派争议及岁运补成另按专门规则处理</x:v>
      </x:c>
      <x:c r="X42" s="84" t="str">
        <x:v>财格_食伤生财</x:v>
      </x:c>
      <x:c r="Y42" s="84" t="str">
        <x:v>财格候选判为“清纯成立”：破格等级为“无破”，救应为“无救应”，清纯度为“较清”；层次需结合全局继续评估。</x:v>
      </x:c>
      <x:c r="Z42" s="68" t="str">
        <x:v>若“格神失效、核心作用路径完全中断，或特殊格局硬门槛被有效反证否决”成立，应降低为成立但有破或不成立，不得维持当前结论。</x:v>
      </x:c>
      <x:c r="AA42" s="82" t="str">
        <x:v>较高</x:v>
      </x:c>
      <x:c r="AB42" s="82" t="str">
        <x:v>子平格局</x:v>
      </x:c>
      <x:c r="AC42" s="68" t="str">
        <x:v>格局成败须区分：格神是否有效、结构是否能运行、是否存在破坏、救应是否直接修复破格机制，以及格局成立与层次高低。</x:v>
      </x:c>
      <x:c r="AD42" s="68" t="str">
        <x:v>当“食伤有效生财，财星能承接，日主有足够源头”成立，且成格证据相互支持、无决定性否决时，可按本规则判断。</x:v>
      </x:c>
      <x:c r="AE42" s="90" t="str">
        <x:v>只有格局名称或局部组合，但“格神失效、核心作用路径完全中断，或特殊格局硬门槛被有效反证否决”成立时，不能按本规则维持格局。</x:v>
      </x:c>
      <x:c r="AF42" s="68" t="str">
        <x:v>https://zh.wikisource.org/zh-hans/%E6%B7%B5%E6%B5%B7%E5%AD%90%E5%B9%B3 ; https://zh.wikisource.org/wiki/%E6%BB%B4%E5%A4%A9%E9%AB%93%E9%97%A1%E5%BE%AE</x:v>
      </x:c>
      <x:c r="AG42" s="82" t="str">
        <x:v>采用</x:v>
      </x:c>
      <x:c r="AH42" s="82" t="str">
        <x:v>初审</x:v>
      </x:c>
      <x:c r="AI42" s="87" t="n">
        <x:v>46260</x:v>
      </x:c>
    </x:row>
    <x:row r="43">
      <x:c r="A43" s="72" t="str">
        <x:f>IF(OR(C43="",D43=""),"",B43&amp;"-"&amp;UPPER(C43)&amp;"-"&amp;TEXT(D43,"0000")&amp;"-"&amp;E43)</x:f>
        <x:v>M15-CAI-0037-V1.0</x:v>
      </x:c>
      <x:c r="B43" s="74" t="str">
        <x:v>M15</x:v>
      </x:c>
      <x:c r="C43" s="74" t="str">
        <x:v>CAI</x:v>
      </x:c>
      <x:c r="D43" s="215" t="n">
        <x:v>37</x:v>
      </x:c>
      <x:c r="E43" s="74" t="str">
        <x:v>V1.0</x:v>
      </x:c>
      <x:c r="F43" s="68" t="str">
        <x:v>财官相生完整可提高财格层次</x:v>
      </x:c>
      <x:c r="G43" s="82" t="str">
        <x:v>综合层</x:v>
      </x:c>
      <x:c r="H43" s="68" t="str">
        <x:v>财格候选</x:v>
      </x:c>
      <x:c r="I43" s="68" t="str">
        <x:v>财星生官，官星有效承接，日主能承受财耗官制</x:v>
      </x:c>
      <x:c r="J43" s="68" t="str">
        <x:v>财→官链清晰，官不过度，印不被财重破</x:v>
      </x:c>
      <x:c r="K43" s="68" t="str">
        <x:v>无决定性破格因素</x:v>
      </x:c>
      <x:c r="L43" s="82" t="str">
        <x:v>无破</x:v>
      </x:c>
      <x:c r="M43" s="68" t="str">
        <x:v>无须救应</x:v>
      </x:c>
      <x:c r="N43" s="82" t="str">
        <x:v>无救应</x:v>
      </x:c>
      <x:c r="O43" s="84" t="str">
        <x:v>清纯成立</x:v>
      </x:c>
      <x:c r="P43" s="82" t="str">
        <x:v>较清</x:v>
      </x:c>
      <x:c r="Q43" s="68" t="str">
        <x:v>财官资源链完整，格局运行较稳定</x:v>
      </x:c>
      <x:c r="R43" s="68" t="str">
        <x:v>M14已生成候选；M08、M09、M10、M11相关结论可追溯</x:v>
      </x:c>
      <x:c r="S43" s="68" t="str">
        <x:v>格神与关键配合十神均以有效力量和实际功能为准</x:v>
      </x:c>
      <x:c r="T43" s="68" t="str">
        <x:v>格神得令、有根、透达、清纯，组合路径稳定且日主承载匹配</x:v>
      </x:c>
      <x:c r="U43" s="68" t="str">
        <x:v>格神受制、混杂、路径受阻、日主承载不足或救应只能局部作用</x:v>
      </x:c>
      <x:c r="V43" s="90" t="str">
        <x:v>格神失效、核心作用路径完全中断，或特殊格局硬门槛被有效反证否决</x:v>
      </x:c>
      <x:c r="W43" s="68" t="str">
        <x:v>特殊格局严格条件、流派争议及岁运补成另按专门规则处理</x:v>
      </x:c>
      <x:c r="X43" s="84" t="str">
        <x:v>财格_财官相生</x:v>
      </x:c>
      <x:c r="Y43" s="84" t="str">
        <x:v>财格候选判为“清纯成立”：破格等级为“无破”，救应为“无救应”，清纯度为“较清”；层次需结合全局继续评估。</x:v>
      </x:c>
      <x:c r="Z43" s="68" t="str">
        <x:v>若“格神失效、核心作用路径完全中断，或特殊格局硬门槛被有效反证否决”成立，应降低为成立但有破或不成立，不得维持当前结论。</x:v>
      </x:c>
      <x:c r="AA43" s="82" t="str">
        <x:v>较高</x:v>
      </x:c>
      <x:c r="AB43" s="82" t="str">
        <x:v>子平格局</x:v>
      </x:c>
      <x:c r="AC43" s="68" t="str">
        <x:v>格局成败须区分：格神是否有效、结构是否能运行、是否存在破坏、救应是否直接修复破格机制，以及格局成立与层次高低。</x:v>
      </x:c>
      <x:c r="AD43" s="68" t="str">
        <x:v>当“财星生官，官星有效承接，日主能承受财耗官制”成立，且成格证据相互支持、无决定性否决时，可按本规则判断。</x:v>
      </x:c>
      <x:c r="AE43" s="90" t="str">
        <x:v>只有格局名称或局部组合，但“格神失效、核心作用路径完全中断，或特殊格局硬门槛被有效反证否决”成立时，不能按本规则维持格局。</x:v>
      </x:c>
      <x:c r="AF43" s="68" t="str">
        <x:v>https://zh.wikisource.org/zh-hans/%E6%B7%B5%E6%B5%B7%E5%AD%90%E5%B9%B3 ; https://zh.wikisource.org/wiki/%E6%BB%B4%E5%A4%A9%E9%AB%93%E9%97%A1%E5%BE%AE</x:v>
      </x:c>
      <x:c r="AG43" s="82" t="str">
        <x:v>采用</x:v>
      </x:c>
      <x:c r="AH43" s="82" t="str">
        <x:v>初审</x:v>
      </x:c>
      <x:c r="AI43" s="87" t="n">
        <x:v>46260</x:v>
      </x:c>
    </x:row>
    <x:row r="44">
      <x:c r="A44" s="72" t="str">
        <x:f>IF(OR(C44="",D44=""),"",B44&amp;"-"&amp;UPPER(C44)&amp;"-"&amp;TEXT(D44,"0000")&amp;"-"&amp;E44)</x:f>
        <x:v>M15-CAI-0038-V1.0</x:v>
      </x:c>
      <x:c r="B44" s="74" t="str">
        <x:v>M15</x:v>
      </x:c>
      <x:c r="C44" s="74" t="str">
        <x:v>CAI</x:v>
      </x:c>
      <x:c r="D44" s="215" t="n">
        <x:v>38</x:v>
      </x:c>
      <x:c r="E44" s="74" t="str">
        <x:v>V1.0</x:v>
      </x:c>
      <x:c r="F44" s="68" t="str">
        <x:v>财旺身弱不能任财构成严重破格</x:v>
      </x:c>
      <x:c r="G44" s="82" t="str">
        <x:v>综合层</x:v>
      </x:c>
      <x:c r="H44" s="68" t="str">
        <x:v>财格候选</x:v>
      </x:c>
      <x:c r="I44" s="68" t="str">
        <x:v>财格表面条件成立，但日主弱或极弱，印比不足</x:v>
      </x:c>
      <x:c r="J44" s="68" t="str">
        <x:v>月令依据、格神根气与有效力量、日主配合及M11组合证据相互支持</x:v>
      </x:c>
      <x:c r="K44" s="68" t="str">
        <x:v>财耗超过日主承载</x:v>
      </x:c>
      <x:c r="L44" s="82" t="str">
        <x:v>严重</x:v>
      </x:c>
      <x:c r="M44" s="68" t="str">
        <x:v>印比生扶或比劫分担制财</x:v>
      </x:c>
      <x:c r="N44" s="82" t="str">
        <x:v>待定</x:v>
      </x:c>
      <x:c r="O44" s="84" t="str">
        <x:v>成立但有破</x:v>
      </x:c>
      <x:c r="P44" s="82" t="str">
        <x:v>较清</x:v>
      </x:c>
      <x:c r="Q44" s="68" t="str">
        <x:v>财星有权但日主无法承担，格局运行成本过高</x:v>
      </x:c>
      <x:c r="R44" s="68" t="str">
        <x:v>M14已生成候选；M08、M09、M10、M11相关结论可追溯</x:v>
      </x:c>
      <x:c r="S44" s="68" t="str">
        <x:v>格神与关键配合十神均以有效力量和实际功能为准</x:v>
      </x:c>
      <x:c r="T44" s="68" t="str">
        <x:v>格神得令、有根、透达、清纯，组合路径稳定且日主承载匹配</x:v>
      </x:c>
      <x:c r="U44" s="68" t="str">
        <x:v>格神受制、混杂、路径受阻、日主承载不足或救应只能局部作用</x:v>
      </x:c>
      <x:c r="V44" s="90" t="str">
        <x:v>格神失效、核心作用路径完全中断，或特殊格局硬门槛被有效反证否决</x:v>
      </x:c>
      <x:c r="W44" s="68" t="str">
        <x:v>特殊格局严格条件、流派争议及岁运补成另按专门规则处理</x:v>
      </x:c>
      <x:c r="X44" s="84" t="str">
        <x:v>财格_身弱不任</x:v>
      </x:c>
      <x:c r="Y44" s="84" t="str">
        <x:v>财格候选判为“成立但有破”：破格等级为“严重”，救应为“待定”，清纯度为“较清”；层次需结合全局继续评估。</x:v>
      </x:c>
      <x:c r="Z44" s="68" t="str">
        <x:v>若“格神失效、核心作用路径完全中断，或特殊格局硬门槛被有效反证否决”成立，应降低为成立但有破或不成立，不得维持当前结论。</x:v>
      </x:c>
      <x:c r="AA44" s="82" t="str">
        <x:v>较高</x:v>
      </x:c>
      <x:c r="AB44" s="82" t="str">
        <x:v>子平格局</x:v>
      </x:c>
      <x:c r="AC44" s="68" t="str">
        <x:v>格局成败须区分：格神是否有效、结构是否能运行、是否存在破坏、救应是否直接修复破格机制，以及格局成立与层次高低。</x:v>
      </x:c>
      <x:c r="AD44" s="68" t="str">
        <x:v>当“财格表面条件成立，但日主弱或极弱，印比不足”成立，且成格证据相互支持、无决定性否决时，可按本规则判断。</x:v>
      </x:c>
      <x:c r="AE44" s="90" t="str">
        <x:v>只有格局名称或局部组合，但“格神失效、核心作用路径完全中断，或特殊格局硬门槛被有效反证否决”成立时，不能按本规则维持格局。</x:v>
      </x:c>
      <x:c r="AF44" s="68" t="str">
        <x:v>https://zh.wikisource.org/zh-hans/%E6%B7%B5%E6%B5%B7%E5%AD%90%E5%B9%B3 ; https://zh.wikisource.org/wiki/%E6%BB%B4%E5%A4%A9%E9%AB%93%E9%97%A1%E5%BE%AE</x:v>
      </x:c>
      <x:c r="AG44" s="82" t="str">
        <x:v>采用</x:v>
      </x:c>
      <x:c r="AH44" s="82" t="str">
        <x:v>初审</x:v>
      </x:c>
      <x:c r="AI44" s="87" t="n">
        <x:v>46260</x:v>
      </x:c>
    </x:row>
    <x:row r="45">
      <x:c r="A45" s="72" t="str">
        <x:f>IF(OR(C45="",D45=""),"",B45&amp;"-"&amp;UPPER(C45)&amp;"-"&amp;TEXT(D45,"0000")&amp;"-"&amp;E45)</x:f>
        <x:v>M15-CAI-0039-V1.0</x:v>
      </x:c>
      <x:c r="B45" s="74" t="str">
        <x:v>M15</x:v>
      </x:c>
      <x:c r="C45" s="74" t="str">
        <x:v>CAI</x:v>
      </x:c>
      <x:c r="D45" s="215" t="n">
        <x:v>39</x:v>
      </x:c>
      <x:c r="E45" s="74" t="str">
        <x:v>V1.0</x:v>
      </x:c>
      <x:c r="F45" s="68" t="str">
        <x:v>比劫夺财会破坏财格核心</x:v>
      </x:c>
      <x:c r="G45" s="82" t="str">
        <x:v>综合层</x:v>
      </x:c>
      <x:c r="H45" s="68" t="str">
        <x:v>财格候选</x:v>
      </x:c>
      <x:c r="I45" s="68" t="str">
        <x:v>财格成立且财星为主要格神</x:v>
      </x:c>
      <x:c r="J45" s="68" t="str">
        <x:v>月令依据、格神根气与有效力量、日主配合及M11组合证据相互支持</x:v>
      </x:c>
      <x:c r="K45" s="68" t="str">
        <x:v>比劫有力并直接制财，使财星受限</x:v>
      </x:c>
      <x:c r="L45" s="82" t="str">
        <x:v>严重</x:v>
      </x:c>
      <x:c r="M45" s="68" t="str">
        <x:v>官杀制比或食伤通关生财</x:v>
      </x:c>
      <x:c r="N45" s="82" t="str">
        <x:v>待定</x:v>
      </x:c>
      <x:c r="O45" s="84" t="str">
        <x:v>成立但有破</x:v>
      </x:c>
      <x:c r="P45" s="82" t="str">
        <x:v>有杂</x:v>
      </x:c>
      <x:c r="Q45" s="68" t="str">
        <x:v>财星主导性下降；财被制至失效时转不成立</x:v>
      </x:c>
      <x:c r="R45" s="68" t="str">
        <x:v>M14已生成候选；M08、M09、M10、M11相关结论可追溯</x:v>
      </x:c>
      <x:c r="S45" s="68" t="str">
        <x:v>格神与关键配合十神均以有效力量和实际功能为准</x:v>
      </x:c>
      <x:c r="T45" s="68" t="str">
        <x:v>格神得令、有根、透达、清纯，组合路径稳定且日主承载匹配</x:v>
      </x:c>
      <x:c r="U45" s="68" t="str">
        <x:v>格神受制、混杂、路径受阻、日主承载不足或救应只能局部作用</x:v>
      </x:c>
      <x:c r="V45" s="90" t="str">
        <x:v>格神失效、核心作用路径完全中断，或特殊格局硬门槛被有效反证否决</x:v>
      </x:c>
      <x:c r="W45" s="68" t="str">
        <x:v>特殊格局严格条件、流派争议及岁运补成另按专门规则处理</x:v>
      </x:c>
      <x:c r="X45" s="84" t="str">
        <x:v>财格_比劫夺财</x:v>
      </x:c>
      <x:c r="Y45" s="84" t="str">
        <x:v>财格候选判为“成立但有破”：破格等级为“严重”，救应为“待定”，清纯度为“有杂”；层次需结合全局继续评估。</x:v>
      </x:c>
      <x:c r="Z45" s="68" t="str">
        <x:v>若“格神失效、核心作用路径完全中断，或特殊格局硬门槛被有效反证否决”成立，应降低为成立但有破或不成立，不得维持当前结论。</x:v>
      </x:c>
      <x:c r="AA45" s="82" t="str">
        <x:v>较高</x:v>
      </x:c>
      <x:c r="AB45" s="82" t="str">
        <x:v>子平格局</x:v>
      </x:c>
      <x:c r="AC45" s="68" t="str">
        <x:v>格局成败须区分：格神是否有效、结构是否能运行、是否存在破坏、救应是否直接修复破格机制，以及格局成立与层次高低。</x:v>
      </x:c>
      <x:c r="AD45" s="68" t="str">
        <x:v>当“财格成立且财星为主要格神”成立，且成格证据相互支持、无决定性否决时，可按本规则判断。</x:v>
      </x:c>
      <x:c r="AE45" s="90" t="str">
        <x:v>只有格局名称或局部组合，但“格神失效、核心作用路径完全中断，或特殊格局硬门槛被有效反证否决”成立时，不能按本规则维持格局。</x:v>
      </x:c>
      <x:c r="AF45" s="68" t="str">
        <x:v>https://zh.wikisource.org/zh-hans/%E6%B7%B5%E6%B5%B7%E5%AD%90%E5%B9%B3 ; https://zh.wikisource.org/wiki/%E6%BB%B4%E5%A4%A9%E9%AB%93%E9%97%A1%E5%BE%AE</x:v>
      </x:c>
      <x:c r="AG45" s="82" t="str">
        <x:v>采用</x:v>
      </x:c>
      <x:c r="AH45" s="82" t="str">
        <x:v>初审</x:v>
      </x:c>
      <x:c r="AI45" s="87" t="n">
        <x:v>46260</x:v>
      </x:c>
    </x:row>
    <x:row r="46">
      <x:c r="A46" s="72" t="str">
        <x:f>IF(OR(C46="",D46=""),"",B46&amp;"-"&amp;UPPER(C46)&amp;"-"&amp;TEXT(D46,"0000")&amp;"-"&amp;E46)</x:f>
        <x:v>M15-CAI-0040-V1.0</x:v>
      </x:c>
      <x:c r="B46" s="74" t="str">
        <x:v>M15</x:v>
      </x:c>
      <x:c r="C46" s="74" t="str">
        <x:v>CAI</x:v>
      </x:c>
      <x:c r="D46" s="215" t="n">
        <x:v>40</x:v>
      </x:c>
      <x:c r="E46" s="74" t="str">
        <x:v>V1.0</x:v>
      </x:c>
      <x:c r="F46" s="68" t="str">
        <x:v>官杀制比可救比劫夺财</x:v>
      </x:c>
      <x:c r="G46" s="82" t="str">
        <x:v>综合层</x:v>
      </x:c>
      <x:c r="H46" s="68" t="str">
        <x:v>财格候选</x:v>
      </x:c>
      <x:c r="I46" s="68" t="str">
        <x:v>比劫正在破财，官杀有效制约比劫且不过度攻身</x:v>
      </x:c>
      <x:c r="J46" s="68" t="str">
        <x:v>官杀→比劫制约路径真实，财星恢复</x:v>
      </x:c>
      <x:c r="K46" s="68" t="str">
        <x:v>比劫夺财</x:v>
      </x:c>
      <x:c r="L46" s="82" t="str">
        <x:v>一般</x:v>
      </x:c>
      <x:c r="M46" s="68" t="str">
        <x:v>官杀制比护财</x:v>
      </x:c>
      <x:c r="N46" s="82" t="str">
        <x:v>明显有效</x:v>
      </x:c>
      <x:c r="O46" s="84" t="str">
        <x:v>有破有救</x:v>
      </x:c>
      <x:c r="P46" s="82" t="str">
        <x:v>有杂</x:v>
      </x:c>
      <x:c r="Q46" s="68" t="str">
        <x:v>财格恢复，但需核查日主是否能承官杀</x:v>
      </x:c>
      <x:c r="R46" s="68" t="str">
        <x:v>M14已生成候选；M08、M09、M10、M11相关结论可追溯</x:v>
      </x:c>
      <x:c r="S46" s="68" t="str">
        <x:v>格神与关键配合十神均以有效力量和实际功能为准</x:v>
      </x:c>
      <x:c r="T46" s="68" t="str">
        <x:v>格神得令、有根、透达、清纯，组合路径稳定且日主承载匹配</x:v>
      </x:c>
      <x:c r="U46" s="68" t="str">
        <x:v>格神受制、混杂、路径受阻、日主承载不足或救应只能局部作用</x:v>
      </x:c>
      <x:c r="V46" s="90" t="str">
        <x:v>格神失效、核心作用路径完全中断，或特殊格局硬门槛被有效反证否决</x:v>
      </x:c>
      <x:c r="W46" s="68" t="str">
        <x:v>特殊格局严格条件、流派争议及岁运补成另按专门规则处理</x:v>
      </x:c>
      <x:c r="X46" s="84" t="str">
        <x:v>财格_官杀制比救应</x:v>
      </x:c>
      <x:c r="Y46" s="84" t="str">
        <x:v>财格候选判为“有破有救”：破格等级为“一般”，救应为“明显有效”，清纯度为“有杂”；层次需结合全局继续评估。</x:v>
      </x:c>
      <x:c r="Z46" s="68" t="str">
        <x:v>若“格神失效、核心作用路径完全中断，或特殊格局硬门槛被有效反证否决”成立，应降低为成立但有破或不成立，不得维持当前结论。</x:v>
      </x:c>
      <x:c r="AA46" s="82" t="str">
        <x:v>较高</x:v>
      </x:c>
      <x:c r="AB46" s="82" t="str">
        <x:v>子平格局</x:v>
      </x:c>
      <x:c r="AC46" s="68" t="str">
        <x:v>格局成败须区分：格神是否有效、结构是否能运行、是否存在破坏、救应是否直接修复破格机制，以及格局成立与层次高低。</x:v>
      </x:c>
      <x:c r="AD46" s="68" t="str">
        <x:v>当“比劫正在破财，官杀有效制约比劫且不过度攻身”成立，且成格证据相互支持、无决定性否决时，可按本规则判断。</x:v>
      </x:c>
      <x:c r="AE46" s="90" t="str">
        <x:v>只有格局名称或局部组合，但“格神失效、核心作用路径完全中断，或特殊格局硬门槛被有效反证否决”成立时，不能按本规则维持格局。</x:v>
      </x:c>
      <x:c r="AF46" s="68" t="str">
        <x:v>https://zh.wikisource.org/zh-hans/%E6%B7%B5%E6%B5%B7%E5%AD%90%E5%B9%B3 ; https://zh.wikisource.org/wiki/%E6%BB%B4%E5%A4%A9%E9%AB%93%E9%97%A1%E5%BE%AE</x:v>
      </x:c>
      <x:c r="AG46" s="82" t="str">
        <x:v>采用</x:v>
      </x:c>
      <x:c r="AH46" s="82" t="str">
        <x:v>初审</x:v>
      </x:c>
      <x:c r="AI46" s="87" t="n">
        <x:v>46260</x:v>
      </x:c>
    </x:row>
    <x:row r="47">
      <x:c r="A47" s="72" t="str">
        <x:f>IF(OR(C47="",D47=""),"",B47&amp;"-"&amp;UPPER(C47)&amp;"-"&amp;TEXT(D47,"0000")&amp;"-"&amp;E47)</x:f>
        <x:v>M15-CAI-0041-V1.0</x:v>
      </x:c>
      <x:c r="B47" s="74" t="str">
        <x:v>M15</x:v>
      </x:c>
      <x:c r="C47" s="74" t="str">
        <x:v>CAI</x:v>
      </x:c>
      <x:c r="D47" s="215" t="n">
        <x:v>41</x:v>
      </x:c>
      <x:c r="E47" s="74" t="str">
        <x:v>V1.0</x:v>
      </x:c>
      <x:c r="F47" s="68" t="str">
        <x:v>食伤持续生财可部分修复财星受损</x:v>
      </x:c>
      <x:c r="G47" s="82" t="str">
        <x:v>综合层</x:v>
      </x:c>
      <x:c r="H47" s="68" t="str">
        <x:v>财格候选</x:v>
      </x:c>
      <x:c r="I47" s="68" t="str">
        <x:v>财星受比劫制约但食伤有力持续生财</x:v>
      </x:c>
      <x:c r="J47" s="68" t="str">
        <x:v>食伤生财输入能够抵消部分财损</x:v>
      </x:c>
      <x:c r="K47" s="68" t="str">
        <x:v>比劫制财</x:v>
      </x:c>
      <x:c r="L47" s="82" t="str">
        <x:v>一般</x:v>
      </x:c>
      <x:c r="M47" s="68" t="str">
        <x:v>食伤生财补源</x:v>
      </x:c>
      <x:c r="N47" s="82" t="str">
        <x:v>部分有效</x:v>
      </x:c>
      <x:c r="O47" s="84" t="str">
        <x:v>有破有救</x:v>
      </x:c>
      <x:c r="P47" s="82" t="str">
        <x:v>有杂</x:v>
      </x:c>
      <x:c r="Q47" s="68" t="str">
        <x:v>财星有补充来源，但不能视为完全解除比劫克财</x:v>
      </x:c>
      <x:c r="R47" s="68" t="str">
        <x:v>M14已生成候选；M08、M09、M10、M11相关结论可追溯</x:v>
      </x:c>
      <x:c r="S47" s="68" t="str">
        <x:v>格神与关键配合十神均以有效力量和实际功能为准</x:v>
      </x:c>
      <x:c r="T47" s="68" t="str">
        <x:v>格神得令、有根、透达、清纯，组合路径稳定且日主承载匹配</x:v>
      </x:c>
      <x:c r="U47" s="68" t="str">
        <x:v>格神受制、混杂、路径受阻、日主承载不足或救应只能局部作用</x:v>
      </x:c>
      <x:c r="V47" s="90" t="str">
        <x:v>格神失效、核心作用路径完全中断，或特殊格局硬门槛被有效反证否决</x:v>
      </x:c>
      <x:c r="W47" s="68" t="str">
        <x:v>特殊格局严格条件、流派争议及岁运补成另按专门规则处理</x:v>
      </x:c>
      <x:c r="X47" s="84" t="str">
        <x:v>财格_食伤补财救应</x:v>
      </x:c>
      <x:c r="Y47" s="84" t="str">
        <x:v>财格候选判为“有破有救”：破格等级为“一般”，救应为“部分有效”，清纯度为“有杂”；层次需结合全局继续评估。</x:v>
      </x:c>
      <x:c r="Z47" s="68" t="str">
        <x:v>若“格神失效、核心作用路径完全中断，或特殊格局硬门槛被有效反证否决”成立，应降低为成立但有破或不成立，不得维持当前结论。</x:v>
      </x:c>
      <x:c r="AA47" s="82" t="str">
        <x:v>较高</x:v>
      </x:c>
      <x:c r="AB47" s="82" t="str">
        <x:v>子平格局</x:v>
      </x:c>
      <x:c r="AC47" s="68" t="str">
        <x:v>格局成败须区分：格神是否有效、结构是否能运行、是否存在破坏、救应是否直接修复破格机制，以及格局成立与层次高低。</x:v>
      </x:c>
      <x:c r="AD47" s="68" t="str">
        <x:v>当“财星受比劫制约但食伤有力持续生财”成立，且成格证据相互支持、无决定性否决时，可按本规则判断。</x:v>
      </x:c>
      <x:c r="AE47" s="90" t="str">
        <x:v>只有格局名称或局部组合，但“格神失效、核心作用路径完全中断，或特殊格局硬门槛被有效反证否决”成立时，不能按本规则维持格局。</x:v>
      </x:c>
      <x:c r="AF47" s="68" t="str">
        <x:v>https://zh.wikisource.org/zh-hans/%E6%B7%B5%E6%B5%B7%E5%AD%90%E5%B9%B3 ; https://zh.wikisource.org/wiki/%E6%BB%B4%E5%A4%A9%E9%AB%93%E9%97%A1%E5%BE%AE</x:v>
      </x:c>
      <x:c r="AG47" s="82" t="str">
        <x:v>采用</x:v>
      </x:c>
      <x:c r="AH47" s="82" t="str">
        <x:v>初审</x:v>
      </x:c>
      <x:c r="AI47" s="87" t="n">
        <x:v>46260</x:v>
      </x:c>
    </x:row>
    <x:row r="48">
      <x:c r="A48" s="72" t="str">
        <x:f>IF(OR(C48="",D48=""),"",B48&amp;"-"&amp;UPPER(C48)&amp;"-"&amp;TEXT(D48,"0000")&amp;"-"&amp;E48)</x:f>
        <x:v>M15-CAI-0042-V1.0</x:v>
      </x:c>
      <x:c r="B48" s="74" t="str">
        <x:v>M15</x:v>
      </x:c>
      <x:c r="C48" s="74" t="str">
        <x:v>CAI</x:v>
      </x:c>
      <x:c r="D48" s="215" t="n">
        <x:v>42</x:v>
      </x:c>
      <x:c r="E48" s="74" t="str">
        <x:v>V1.0</x:v>
      </x:c>
      <x:c r="F48" s="68" t="str">
        <x:v>财星坏印并破坏关键配合时财格层次下降</x:v>
      </x:c>
      <x:c r="G48" s="82" t="str">
        <x:v>综合层</x:v>
      </x:c>
      <x:c r="H48" s="68" t="str">
        <x:v>财格候选</x:v>
      </x:c>
      <x:c r="I48" s="68" t="str">
        <x:v>财格成立，但印星同时承担日主承载或官杀化解功能</x:v>
      </x:c>
      <x:c r="J48" s="68" t="str">
        <x:v>月令依据、格神根气与有效力量、日主配合及M11组合证据相互支持</x:v>
      </x:c>
      <x:c r="K48" s="68" t="str">
        <x:v>财星过强制印，破坏日主承载或格局配合</x:v>
      </x:c>
      <x:c r="L48" s="82" t="str">
        <x:v>一般</x:v>
      </x:c>
      <x:c r="M48" s="68" t="str">
        <x:v>比劫制财或官印链补充</x:v>
      </x:c>
      <x:c r="N48" s="82" t="str">
        <x:v>待定</x:v>
      </x:c>
      <x:c r="O48" s="84" t="str">
        <x:v>成立但有破</x:v>
      </x:c>
      <x:c r="P48" s="82" t="str">
        <x:v>有杂</x:v>
      </x:c>
      <x:c r="Q48" s="68" t="str">
        <x:v>财格自身有力，但副作用削弱整体结构层次</x:v>
      </x:c>
      <x:c r="R48" s="68" t="str">
        <x:v>M14已生成候选；M08、M09、M10、M11相关结论可追溯</x:v>
      </x:c>
      <x:c r="S48" s="68" t="str">
        <x:v>格神与关键配合十神均以有效力量和实际功能为准</x:v>
      </x:c>
      <x:c r="T48" s="68" t="str">
        <x:v>格神得令、有根、透达、清纯，组合路径稳定且日主承载匹配</x:v>
      </x:c>
      <x:c r="U48" s="68" t="str">
        <x:v>格神受制、混杂、路径受阻、日主承载不足或救应只能局部作用</x:v>
      </x:c>
      <x:c r="V48" s="90" t="str">
        <x:v>格神失效、核心作用路径完全中断，或特殊格局硬门槛被有效反证否决</x:v>
      </x:c>
      <x:c r="W48" s="68" t="str">
        <x:v>特殊格局严格条件、流派争议及岁运补成另按专门规则处理</x:v>
      </x:c>
      <x:c r="X48" s="84" t="str">
        <x:v>财格_财坏印副作用</x:v>
      </x:c>
      <x:c r="Y48" s="84" t="str">
        <x:v>财格候选判为“成立但有破”：破格等级为“一般”，救应为“待定”，清纯度为“有杂”；层次需结合全局继续评估。</x:v>
      </x:c>
      <x:c r="Z48" s="68" t="str">
        <x:v>若“格神失效、核心作用路径完全中断，或特殊格局硬门槛被有效反证否决”成立，应降低为成立但有破或不成立，不得维持当前结论。</x:v>
      </x:c>
      <x:c r="AA48" s="82" t="str">
        <x:v>较高</x:v>
      </x:c>
      <x:c r="AB48" s="82" t="str">
        <x:v>子平格局</x:v>
      </x:c>
      <x:c r="AC48" s="68" t="str">
        <x:v>格局成败须区分：格神是否有效、结构是否能运行、是否存在破坏、救应是否直接修复破格机制，以及格局成立与层次高低。</x:v>
      </x:c>
      <x:c r="AD48" s="68" t="str">
        <x:v>当“财格成立，但印星同时承担日主承载或官杀化解功能”成立，且成格证据相互支持、无决定性否决时，可按本规则判断。</x:v>
      </x:c>
      <x:c r="AE48" s="90" t="str">
        <x:v>只有格局名称或局部组合，但“格神失效、核心作用路径完全中断，或特殊格局硬门槛被有效反证否决”成立时，不能按本规则维持格局。</x:v>
      </x:c>
      <x:c r="AF48" s="68" t="str">
        <x:v>https://zh.wikisource.org/zh-hans/%E6%B7%B5%E6%B5%B7%E5%AD%90%E5%B9%B3 ; https://zh.wikisource.org/wiki/%E6%BB%B4%E5%A4%A9%E9%AB%93%E9%97%A1%E5%BE%AE</x:v>
      </x:c>
      <x:c r="AG48" s="82" t="str">
        <x:v>采用</x:v>
      </x:c>
      <x:c r="AH48" s="82" t="str">
        <x:v>初审</x:v>
      </x:c>
      <x:c r="AI48" s="87" t="n">
        <x:v>46260</x:v>
      </x:c>
    </x:row>
    <x:row r="49">
      <x:c r="A49" s="72" t="str">
        <x:f>IF(OR(C49="",D49=""),"",B49&amp;"-"&amp;UPPER(C49)&amp;"-"&amp;TEXT(D49,"0000")&amp;"-"&amp;E49)</x:f>
        <x:v>M15-SHISHANG-0043-V1.0</x:v>
      </x:c>
      <x:c r="B49" s="74" t="str">
        <x:v>M15</x:v>
      </x:c>
      <x:c r="C49" s="74" t="str">
        <x:v>SHISHANG</x:v>
      </x:c>
      <x:c r="D49" s="215" t="n">
        <x:v>43</x:v>
      </x:c>
      <x:c r="E49" s="74" t="str">
        <x:v>V1.0</x:v>
      </x:c>
      <x:c r="F49" s="68" t="str">
        <x:v>食神格基本成格要求食神有力且日主可泄</x:v>
      </x:c>
      <x:c r="G49" s="82" t="str">
        <x:v>综合层</x:v>
      </x:c>
      <x:c r="H49" s="68" t="str">
        <x:v>食神格候选</x:v>
      </x:c>
      <x:c r="I49" s="68" t="str">
        <x:v>食神具月令依据、有根有源，日主有力量可泄，食神未被枭重制</x:v>
      </x:c>
      <x:c r="J49" s="68" t="str">
        <x:v>食神泄秀、生财或制杀至少一项功能稳定</x:v>
      </x:c>
      <x:c r="K49" s="68" t="str">
        <x:v>无决定性破格因素</x:v>
      </x:c>
      <x:c r="L49" s="82" t="str">
        <x:v>无破</x:v>
      </x:c>
      <x:c r="M49" s="68" t="str">
        <x:v>无须救应</x:v>
      </x:c>
      <x:c r="N49" s="82" t="str">
        <x:v>无救应</x:v>
      </x:c>
      <x:c r="O49" s="84" t="str">
        <x:v>基本成立</x:v>
      </x:c>
      <x:c r="P49" s="82" t="str">
        <x:v>较清</x:v>
      </x:c>
      <x:c r="Q49" s="68" t="str">
        <x:v>食神能够形成稳定输出</x:v>
      </x:c>
      <x:c r="R49" s="68" t="str">
        <x:v>M14已生成候选；M08、M09、M10、M11相关结论可追溯</x:v>
      </x:c>
      <x:c r="S49" s="68" t="str">
        <x:v>格神与关键配合十神均以有效力量和实际功能为准</x:v>
      </x:c>
      <x:c r="T49" s="68" t="str">
        <x:v>格神得令、有根、透达、清纯，组合路径稳定且日主承载匹配</x:v>
      </x:c>
      <x:c r="U49" s="68" t="str">
        <x:v>格神受制、混杂、路径受阻、日主承载不足或救应只能局部作用</x:v>
      </x:c>
      <x:c r="V49" s="90" t="str">
        <x:v>格神失效、核心作用路径完全中断，或特殊格局硬门槛被有效反证否决</x:v>
      </x:c>
      <x:c r="W49" s="68" t="str">
        <x:v>特殊格局严格条件、流派争议及岁运补成另按专门规则处理</x:v>
      </x:c>
      <x:c r="X49" s="84" t="str">
        <x:v>食神格候选_成败救应</x:v>
      </x:c>
      <x:c r="Y49" s="84" t="str">
        <x:v>食神格候选判为“基本成立”：破格等级为“无破”，救应为“无救应”，清纯度为“较清”；层次需结合全局继续评估。</x:v>
      </x:c>
      <x:c r="Z49" s="68" t="str">
        <x:v>若“格神失效、核心作用路径完全中断，或特殊格局硬门槛被有效反证否决”成立，应降低为成立但有破或不成立，不得维持当前结论。</x:v>
      </x:c>
      <x:c r="AA49" s="82" t="str">
        <x:v>较高</x:v>
      </x:c>
      <x:c r="AB49" s="82" t="str">
        <x:v>子平格局</x:v>
      </x:c>
      <x:c r="AC49" s="68" t="str">
        <x:v>格局成败须区分：格神是否有效、结构是否能运行、是否存在破坏、救应是否直接修复破格机制，以及格局成立与层次高低。</x:v>
      </x:c>
      <x:c r="AD49" s="68" t="str">
        <x:v>当“食神具月令依据、有根有源，日主有力量可泄，食神未被枭重制”成立，且成格证据相互支持、无决定性否决时，可按本规则判断。</x:v>
      </x:c>
      <x:c r="AE49" s="90" t="str">
        <x:v>只有格局名称或局部组合，但“格神失效、核心作用路径完全中断，或特殊格局硬门槛被有效反证否决”成立时，不能按本规则维持格局。</x:v>
      </x:c>
      <x:c r="AF49" s="68" t="str">
        <x:v>https://zh.wikisource.org/zh-hans/%E6%B7%B5%E6%B5%B7%E5%AD%90%E5%B9%B3 ; https://zh.wikisource.org/wiki/%E6%BB%B4%E5%A4%A9%E9%AB%93%E9%97%A1%E5%BE%AE</x:v>
      </x:c>
      <x:c r="AG49" s="82" t="str">
        <x:v>采用</x:v>
      </x:c>
      <x:c r="AH49" s="82" t="str">
        <x:v>初审</x:v>
      </x:c>
      <x:c r="AI49" s="87" t="n">
        <x:v>46260</x:v>
      </x:c>
    </x:row>
    <x:row r="50">
      <x:c r="A50" s="72" t="str">
        <x:f>IF(OR(C50="",D50=""),"",B50&amp;"-"&amp;UPPER(C50)&amp;"-"&amp;TEXT(D50,"0000")&amp;"-"&amp;E50)</x:f>
        <x:v>M15-SHISHANG-0044-V1.0</x:v>
      </x:c>
      <x:c r="B50" s="74" t="str">
        <x:v>M15</x:v>
      </x:c>
      <x:c r="C50" s="74" t="str">
        <x:v>SHISHANG</x:v>
      </x:c>
      <x:c r="D50" s="215" t="n">
        <x:v>44</x:v>
      </x:c>
      <x:c r="E50" s="74" t="str">
        <x:v>V1.0</x:v>
      </x:c>
      <x:c r="F50" s="68" t="str">
        <x:v>食神生财完整可判食神格清纯增强</x:v>
      </x:c>
      <x:c r="G50" s="82" t="str">
        <x:v>综合层</x:v>
      </x:c>
      <x:c r="H50" s="68" t="str">
        <x:v>食神格候选</x:v>
      </x:c>
      <x:c r="I50" s="68" t="str">
        <x:v>食神有力生财，财星能承接，日主供给充足</x:v>
      </x:c>
      <x:c r="J50" s="68" t="str">
        <x:v>身→食神→财连续</x:v>
      </x:c>
      <x:c r="K50" s="68" t="str">
        <x:v>无决定性破格因素</x:v>
      </x:c>
      <x:c r="L50" s="82" t="str">
        <x:v>无破</x:v>
      </x:c>
      <x:c r="M50" s="68" t="str">
        <x:v>无须救应</x:v>
      </x:c>
      <x:c r="N50" s="82" t="str">
        <x:v>无救应</x:v>
      </x:c>
      <x:c r="O50" s="84" t="str">
        <x:v>清纯成立</x:v>
      </x:c>
      <x:c r="P50" s="82" t="str">
        <x:v>清纯</x:v>
      </x:c>
      <x:c r="Q50" s="68" t="str">
        <x:v>泄秀与财星承接完整，结构流通较佳</x:v>
      </x:c>
      <x:c r="R50" s="68" t="str">
        <x:v>M14已生成候选；M08、M09、M10、M11相关结论可追溯</x:v>
      </x:c>
      <x:c r="S50" s="68" t="str">
        <x:v>格神与关键配合十神均以有效力量和实际功能为准</x:v>
      </x:c>
      <x:c r="T50" s="68" t="str">
        <x:v>格神得令、有根、透达、清纯，组合路径稳定且日主承载匹配</x:v>
      </x:c>
      <x:c r="U50" s="68" t="str">
        <x:v>格神受制、混杂、路径受阻、日主承载不足或救应只能局部作用</x:v>
      </x:c>
      <x:c r="V50" s="90" t="str">
        <x:v>格神失效、核心作用路径完全中断，或特殊格局硬门槛被有效反证否决</x:v>
      </x:c>
      <x:c r="W50" s="68" t="str">
        <x:v>特殊格局严格条件、流派争议及岁运补成另按专门规则处理</x:v>
      </x:c>
      <x:c r="X50" s="84" t="str">
        <x:v>食神格_生财清纯</x:v>
      </x:c>
      <x:c r="Y50" s="84" t="str">
        <x:v>食神格候选判为“清纯成立”：破格等级为“无破”，救应为“无救应”，清纯度为“清纯”；层次需结合全局继续评估。</x:v>
      </x:c>
      <x:c r="Z50" s="68" t="str">
        <x:v>若“格神失效、核心作用路径完全中断，或特殊格局硬门槛被有效反证否决”成立，应降低为成立但有破或不成立，不得维持当前结论。</x:v>
      </x:c>
      <x:c r="AA50" s="82" t="str">
        <x:v>较高</x:v>
      </x:c>
      <x:c r="AB50" s="82" t="str">
        <x:v>子平格局</x:v>
      </x:c>
      <x:c r="AC50" s="68" t="str">
        <x:v>格局成败须区分：格神是否有效、结构是否能运行、是否存在破坏、救应是否直接修复破格机制，以及格局成立与层次高低。</x:v>
      </x:c>
      <x:c r="AD50" s="68" t="str">
        <x:v>当“食神有力生财，财星能承接，日主供给充足”成立，且成格证据相互支持、无决定性否决时，可按本规则判断。</x:v>
      </x:c>
      <x:c r="AE50" s="90" t="str">
        <x:v>只有格局名称或局部组合，但“格神失效、核心作用路径完全中断，或特殊格局硬门槛被有效反证否决”成立时，不能按本规则维持格局。</x:v>
      </x:c>
      <x:c r="AF50" s="68" t="str">
        <x:v>https://zh.wikisource.org/zh-hans/%E6%B7%B5%E6%B5%B7%E5%AD%90%E5%B9%B3 ; https://zh.wikisource.org/wiki/%E6%BB%B4%E5%A4%A9%E9%AB%93%E9%97%A1%E5%BE%AE</x:v>
      </x:c>
      <x:c r="AG50" s="82" t="str">
        <x:v>采用</x:v>
      </x:c>
      <x:c r="AH50" s="82" t="str">
        <x:v>初审</x:v>
      </x:c>
      <x:c r="AI50" s="87" t="n">
        <x:v>46260</x:v>
      </x:c>
    </x:row>
    <x:row r="51">
      <x:c r="A51" s="72" t="str">
        <x:f>IF(OR(C51="",D51=""),"",B51&amp;"-"&amp;UPPER(C51)&amp;"-"&amp;TEXT(D51,"0000")&amp;"-"&amp;E51)</x:f>
        <x:v>M15-SHISHANG-0045-V1.0</x:v>
      </x:c>
      <x:c r="B51" s="74" t="str">
        <x:v>M15</x:v>
      </x:c>
      <x:c r="C51" s="74" t="str">
        <x:v>SHISHANG</x:v>
      </x:c>
      <x:c r="D51" s="215" t="n">
        <x:v>45</x:v>
      </x:c>
      <x:c r="E51" s="74" t="str">
        <x:v>V1.0</x:v>
      </x:c>
      <x:c r="F51" s="68" t="str">
        <x:v>食神制杀比例适中可提高食神格层次</x:v>
      </x:c>
      <x:c r="G51" s="82" t="str">
        <x:v>综合层</x:v>
      </x:c>
      <x:c r="H51" s="68" t="str">
        <x:v>食神格候选</x:v>
      </x:c>
      <x:c r="I51" s="68" t="str">
        <x:v>食神有效制杀，杀有必要被制，制而不过</x:v>
      </x:c>
      <x:c r="J51" s="68" t="str">
        <x:v>M11食神制杀明显成立</x:v>
      </x:c>
      <x:c r="K51" s="68" t="str">
        <x:v>无决定性破格因素</x:v>
      </x:c>
      <x:c r="L51" s="82" t="str">
        <x:v>无破</x:v>
      </x:c>
      <x:c r="M51" s="68" t="str">
        <x:v>无须救应</x:v>
      </x:c>
      <x:c r="N51" s="82" t="str">
        <x:v>无救应</x:v>
      </x:c>
      <x:c r="O51" s="84" t="str">
        <x:v>清纯成立</x:v>
      </x:c>
      <x:c r="P51" s="82" t="str">
        <x:v>较清</x:v>
      </x:c>
      <x:c r="Q51" s="68" t="str">
        <x:v>食神承担关键制化功能，结构目标明确</x:v>
      </x:c>
      <x:c r="R51" s="68" t="str">
        <x:v>M14已生成候选；M08、M09、M10、M11相关结论可追溯</x:v>
      </x:c>
      <x:c r="S51" s="68" t="str">
        <x:v>格神与关键配合十神均以有效力量和实际功能为准</x:v>
      </x:c>
      <x:c r="T51" s="68" t="str">
        <x:v>格神得令、有根、透达、清纯，组合路径稳定且日主承载匹配</x:v>
      </x:c>
      <x:c r="U51" s="68" t="str">
        <x:v>格神受制、混杂、路径受阻、日主承载不足或救应只能局部作用</x:v>
      </x:c>
      <x:c r="V51" s="90" t="str">
        <x:v>格神失效、核心作用路径完全中断，或特殊格局硬门槛被有效反证否决</x:v>
      </x:c>
      <x:c r="W51" s="68" t="str">
        <x:v>特殊格局严格条件、流派争议及岁运补成另按专门规则处理</x:v>
      </x:c>
      <x:c r="X51" s="84" t="str">
        <x:v>食神格_制杀清纯</x:v>
      </x:c>
      <x:c r="Y51" s="84" t="str">
        <x:v>食神格候选判为“清纯成立”：破格等级为“无破”，救应为“无救应”，清纯度为“较清”；层次需结合全局继续评估。</x:v>
      </x:c>
      <x:c r="Z51" s="68" t="str">
        <x:v>若“格神失效、核心作用路径完全中断，或特殊格局硬门槛被有效反证否决”成立，应降低为成立但有破或不成立，不得维持当前结论。</x:v>
      </x:c>
      <x:c r="AA51" s="82" t="str">
        <x:v>较高</x:v>
      </x:c>
      <x:c r="AB51" s="82" t="str">
        <x:v>子平格局</x:v>
      </x:c>
      <x:c r="AC51" s="68" t="str">
        <x:v>格局成败须区分：格神是否有效、结构是否能运行、是否存在破坏、救应是否直接修复破格机制，以及格局成立与层次高低。</x:v>
      </x:c>
      <x:c r="AD51" s="68" t="str">
        <x:v>当“食神有效制杀，杀有必要被制，制而不过”成立，且成格证据相互支持、无决定性否决时，可按本规则判断。</x:v>
      </x:c>
      <x:c r="AE51" s="90" t="str">
        <x:v>只有格局名称或局部组合，但“格神失效、核心作用路径完全中断，或特殊格局硬门槛被有效反证否决”成立时，不能按本规则维持格局。</x:v>
      </x:c>
      <x:c r="AF51" s="68" t="str">
        <x:v>https://zh.wikisource.org/zh-hans/%E6%B7%B5%E6%B5%B7%E5%AD%90%E5%B9%B3 ; https://zh.wikisource.org/wiki/%E6%BB%B4%E5%A4%A9%E9%AB%93%E9%97%A1%E5%BE%AE</x:v>
      </x:c>
      <x:c r="AG51" s="82" t="str">
        <x:v>采用</x:v>
      </x:c>
      <x:c r="AH51" s="82" t="str">
        <x:v>初审</x:v>
      </x:c>
      <x:c r="AI51" s="87" t="n">
        <x:v>46260</x:v>
      </x:c>
    </x:row>
    <x:row r="52">
      <x:c r="A52" s="72" t="str">
        <x:f>IF(OR(C52="",D52=""),"",B52&amp;"-"&amp;UPPER(C52)&amp;"-"&amp;TEXT(D52,"0000")&amp;"-"&amp;E52)</x:f>
        <x:v>M15-SHISHANG-0046-V1.0</x:v>
      </x:c>
      <x:c r="B52" s="74" t="str">
        <x:v>M15</x:v>
      </x:c>
      <x:c r="C52" s="74" t="str">
        <x:v>SHISHANG</x:v>
      </x:c>
      <x:c r="D52" s="215" t="n">
        <x:v>46</x:v>
      </x:c>
      <x:c r="E52" s="74" t="str">
        <x:v>V1.0</x:v>
      </x:c>
      <x:c r="F52" s="68" t="str">
        <x:v>枭神夺食构成食神格严重破格</x:v>
      </x:c>
      <x:c r="G52" s="82" t="str">
        <x:v>综合层</x:v>
      </x:c>
      <x:c r="H52" s="68" t="str">
        <x:v>食神格候选</x:v>
      </x:c>
      <x:c r="I52" s="68" t="str">
        <x:v>食神为格神或关键组合核心</x:v>
      </x:c>
      <x:c r="J52" s="68" t="str">
        <x:v>月令依据、格神根气与有效力量、日主配合及M11组合证据相互支持</x:v>
      </x:c>
      <x:c r="K52" s="68" t="str">
        <x:v>偏印强克食神，使泄秀、生财或制杀功能受损</x:v>
      </x:c>
      <x:c r="L52" s="82" t="str">
        <x:v>严重</x:v>
      </x:c>
      <x:c r="M52" s="68" t="str">
        <x:v>财制枭护食</x:v>
      </x:c>
      <x:c r="N52" s="82" t="str">
        <x:v>待定</x:v>
      </x:c>
      <x:c r="O52" s="84" t="str">
        <x:v>成立但有破</x:v>
      </x:c>
      <x:c r="P52" s="82" t="str">
        <x:v>有杂</x:v>
      </x:c>
      <x:c r="Q52" s="68" t="str">
        <x:v>食神主功能明显下降；食神失效时格局不成立</x:v>
      </x:c>
      <x:c r="R52" s="68" t="str">
        <x:v>M14已生成候选；M08、M09、M10、M11相关结论可追溯</x:v>
      </x:c>
      <x:c r="S52" s="68" t="str">
        <x:v>格神与关键配合十神均以有效力量和实际功能为准</x:v>
      </x:c>
      <x:c r="T52" s="68" t="str">
        <x:v>格神得令、有根、透达、清纯，组合路径稳定且日主承载匹配</x:v>
      </x:c>
      <x:c r="U52" s="68" t="str">
        <x:v>格神受制、混杂、路径受阻、日主承载不足或救应只能局部作用</x:v>
      </x:c>
      <x:c r="V52" s="90" t="str">
        <x:v>格神失效、核心作用路径完全中断，或特殊格局硬门槛被有效反证否决</x:v>
      </x:c>
      <x:c r="W52" s="68" t="str">
        <x:v>特殊格局严格条件、流派争议及岁运补成另按专门规则处理</x:v>
      </x:c>
      <x:c r="X52" s="84" t="str">
        <x:v>食神格_枭夺食</x:v>
      </x:c>
      <x:c r="Y52" s="84" t="str">
        <x:v>食神格候选判为“成立但有破”：破格等级为“严重”，救应为“待定”，清纯度为“有杂”；层次需结合全局继续评估。</x:v>
      </x:c>
      <x:c r="Z52" s="68" t="str">
        <x:v>若“格神失效、核心作用路径完全中断，或特殊格局硬门槛被有效反证否决”成立，应降低为成立但有破或不成立，不得维持当前结论。</x:v>
      </x:c>
      <x:c r="AA52" s="82" t="str">
        <x:v>较高</x:v>
      </x:c>
      <x:c r="AB52" s="82" t="str">
        <x:v>子平格局</x:v>
      </x:c>
      <x:c r="AC52" s="68" t="str">
        <x:v>格局成败须区分：格神是否有效、结构是否能运行、是否存在破坏、救应是否直接修复破格机制，以及格局成立与层次高低。</x:v>
      </x:c>
      <x:c r="AD52" s="68" t="str">
        <x:v>当“食神为格神或关键组合核心”成立，且成格证据相互支持、无决定性否决时，可按本规则判断。</x:v>
      </x:c>
      <x:c r="AE52" s="90" t="str">
        <x:v>只有格局名称或局部组合，但“格神失效、核心作用路径完全中断，或特殊格局硬门槛被有效反证否决”成立时，不能按本规则维持格局。</x:v>
      </x:c>
      <x:c r="AF52" s="68" t="str">
        <x:v>https://zh.wikisource.org/zh-hans/%E6%B7%B5%E6%B5%B7%E5%AD%90%E5%B9%B3 ; https://zh.wikisource.org/wiki/%E6%BB%B4%E5%A4%A9%E9%AB%93%E9%97%A1%E5%BE%AE</x:v>
      </x:c>
      <x:c r="AG52" s="82" t="str">
        <x:v>采用</x:v>
      </x:c>
      <x:c r="AH52" s="82" t="str">
        <x:v>初审</x:v>
      </x:c>
      <x:c r="AI52" s="87" t="n">
        <x:v>46260</x:v>
      </x:c>
    </x:row>
    <x:row r="53">
      <x:c r="A53" s="72" t="str">
        <x:f>IF(OR(C53="",D53=""),"",B53&amp;"-"&amp;UPPER(C53)&amp;"-"&amp;TEXT(D53,"0000")&amp;"-"&amp;E53)</x:f>
        <x:v>M15-SHISHANG-0047-V1.0</x:v>
      </x:c>
      <x:c r="B53" s="74" t="str">
        <x:v>M15</x:v>
      </x:c>
      <x:c r="C53" s="74" t="str">
        <x:v>SHISHANG</x:v>
      </x:c>
      <x:c r="D53" s="215" t="n">
        <x:v>47</x:v>
      </x:c>
      <x:c r="E53" s="74" t="str">
        <x:v>V1.0</x:v>
      </x:c>
      <x:c r="F53" s="68" t="str">
        <x:v>财制枭可救食神格</x:v>
      </x:c>
      <x:c r="G53" s="82" t="str">
        <x:v>综合层</x:v>
      </x:c>
      <x:c r="H53" s="68" t="str">
        <x:v>食神格候选</x:v>
      </x:c>
      <x:c r="I53" s="68" t="str">
        <x:v>枭夺食成立，财星能够有效制偏印且不过度耗身或生杀</x:v>
      </x:c>
      <x:c r="J53" s="68" t="str">
        <x:v>财→偏印克制真实，食神功能恢复</x:v>
      </x:c>
      <x:c r="K53" s="68" t="str">
        <x:v>枭夺食</x:v>
      </x:c>
      <x:c r="L53" s="82" t="str">
        <x:v>一般</x:v>
      </x:c>
      <x:c r="M53" s="68" t="str">
        <x:v>财制枭护食</x:v>
      </x:c>
      <x:c r="N53" s="82" t="str">
        <x:v>明显有效</x:v>
      </x:c>
      <x:c r="O53" s="84" t="str">
        <x:v>有破有救</x:v>
      </x:c>
      <x:c r="P53" s="82" t="str">
        <x:v>有杂</x:v>
      </x:c>
      <x:c r="Q53" s="68" t="str">
        <x:v>食神格恢复主要功能，但财的次级副作用需保留</x:v>
      </x:c>
      <x:c r="R53" s="68" t="str">
        <x:v>M14已生成候选；M08、M09、M10、M11相关结论可追溯</x:v>
      </x:c>
      <x:c r="S53" s="68" t="str">
        <x:v>格神与关键配合十神均以有效力量和实际功能为准</x:v>
      </x:c>
      <x:c r="T53" s="68" t="str">
        <x:v>格神得令、有根、透达、清纯，组合路径稳定且日主承载匹配</x:v>
      </x:c>
      <x:c r="U53" s="68" t="str">
        <x:v>格神受制、混杂、路径受阻、日主承载不足或救应只能局部作用</x:v>
      </x:c>
      <x:c r="V53" s="90" t="str">
        <x:v>格神失效、核心作用路径完全中断，或特殊格局硬门槛被有效反证否决</x:v>
      </x:c>
      <x:c r="W53" s="68" t="str">
        <x:v>特殊格局严格条件、流派争议及岁运补成另按专门规则处理</x:v>
      </x:c>
      <x:c r="X53" s="84" t="str">
        <x:v>食神格_财制枭救应</x:v>
      </x:c>
      <x:c r="Y53" s="84" t="str">
        <x:v>食神格候选判为“有破有救”：破格等级为“一般”，救应为“明显有效”，清纯度为“有杂”；层次需结合全局继续评估。</x:v>
      </x:c>
      <x:c r="Z53" s="68" t="str">
        <x:v>若“格神失效、核心作用路径完全中断，或特殊格局硬门槛被有效反证否决”成立，应降低为成立但有破或不成立，不得维持当前结论。</x:v>
      </x:c>
      <x:c r="AA53" s="82" t="str">
        <x:v>较高</x:v>
      </x:c>
      <x:c r="AB53" s="82" t="str">
        <x:v>子平格局</x:v>
      </x:c>
      <x:c r="AC53" s="68" t="str">
        <x:v>格局成败须区分：格神是否有效、结构是否能运行、是否存在破坏、救应是否直接修复破格机制，以及格局成立与层次高低。</x:v>
      </x:c>
      <x:c r="AD53" s="68" t="str">
        <x:v>当“枭夺食成立，财星能够有效制偏印且不过度耗身或生杀”成立，且成格证据相互支持、无决定性否决时，可按本规则判断。</x:v>
      </x:c>
      <x:c r="AE53" s="90" t="str">
        <x:v>只有格局名称或局部组合，但“格神失效、核心作用路径完全中断，或特殊格局硬门槛被有效反证否决”成立时，不能按本规则维持格局。</x:v>
      </x:c>
      <x:c r="AF53" s="68" t="str">
        <x:v>https://zh.wikisource.org/zh-hans/%E6%B7%B5%E6%B5%B7%E5%AD%90%E5%B9%B3 ; https://zh.wikisource.org/wiki/%E6%BB%B4%E5%A4%A9%E9%AB%93%E9%97%A1%E5%BE%AE</x:v>
      </x:c>
      <x:c r="AG53" s="82" t="str">
        <x:v>采用</x:v>
      </x:c>
      <x:c r="AH53" s="82" t="str">
        <x:v>初审</x:v>
      </x:c>
      <x:c r="AI53" s="87" t="n">
        <x:v>46260</x:v>
      </x:c>
    </x:row>
    <x:row r="54">
      <x:c r="A54" s="72" t="str">
        <x:f>IF(OR(C54="",D54=""),"",B54&amp;"-"&amp;UPPER(C54)&amp;"-"&amp;TEXT(D54,"0000")&amp;"-"&amp;E54)</x:f>
        <x:v>M15-SHISHANG-0048-V1.0</x:v>
      </x:c>
      <x:c r="B54" s="74" t="str">
        <x:v>M15</x:v>
      </x:c>
      <x:c r="C54" s="74" t="str">
        <x:v>SHISHANG</x:v>
      </x:c>
      <x:c r="D54" s="215" t="n">
        <x:v>48</x:v>
      </x:c>
      <x:c r="E54" s="74" t="str">
        <x:v>V1.0</x:v>
      </x:c>
      <x:c r="F54" s="68" t="str">
        <x:v>伤官格基本成格要求伤官有合理出口</x:v>
      </x:c>
      <x:c r="G54" s="82" t="str">
        <x:v>综合层</x:v>
      </x:c>
      <x:c r="H54" s="68" t="str">
        <x:v>伤官格候选</x:v>
      </x:c>
      <x:c r="I54" s="68" t="str">
        <x:v>伤官具月令依据、有根有力，日主可泄，且伤官能生财或配印</x:v>
      </x:c>
      <x:c r="J54" s="68" t="str">
        <x:v>伤官生财或伤官配印至少一条路径稳定</x:v>
      </x:c>
      <x:c r="K54" s="68" t="str">
        <x:v>无决定性破格因素</x:v>
      </x:c>
      <x:c r="L54" s="82" t="str">
        <x:v>无破</x:v>
      </x:c>
      <x:c r="M54" s="68" t="str">
        <x:v>无须救应</x:v>
      </x:c>
      <x:c r="N54" s="82" t="str">
        <x:v>无救应</x:v>
      </x:c>
      <x:c r="O54" s="84" t="str">
        <x:v>基本成立</x:v>
      </x:c>
      <x:c r="P54" s="82" t="str">
        <x:v>较清</x:v>
      </x:c>
      <x:c r="Q54" s="68" t="str">
        <x:v>伤官输出有承接或约束，不形成无序冲突</x:v>
      </x:c>
      <x:c r="R54" s="68" t="str">
        <x:v>M14已生成候选；M08、M09、M10、M11相关结论可追溯</x:v>
      </x:c>
      <x:c r="S54" s="68" t="str">
        <x:v>格神与关键配合十神均以有效力量和实际功能为准</x:v>
      </x:c>
      <x:c r="T54" s="68" t="str">
        <x:v>格神得令、有根、透达、清纯，组合路径稳定且日主承载匹配</x:v>
      </x:c>
      <x:c r="U54" s="68" t="str">
        <x:v>格神受制、混杂、路径受阻、日主承载不足或救应只能局部作用</x:v>
      </x:c>
      <x:c r="V54" s="90" t="str">
        <x:v>格神失效、核心作用路径完全中断，或特殊格局硬门槛被有效反证否决</x:v>
      </x:c>
      <x:c r="W54" s="68" t="str">
        <x:v>特殊格局严格条件、流派争议及岁运补成另按专门规则处理</x:v>
      </x:c>
      <x:c r="X54" s="84" t="str">
        <x:v>伤官格候选_成败救应</x:v>
      </x:c>
      <x:c r="Y54" s="84" t="str">
        <x:v>伤官格候选判为“基本成立”：破格等级为“无破”，救应为“无救应”，清纯度为“较清”；层次需结合全局继续评估。</x:v>
      </x:c>
      <x:c r="Z54" s="68" t="str">
        <x:v>若“格神失效、核心作用路径完全中断，或特殊格局硬门槛被有效反证否决”成立，应降低为成立但有破或不成立，不得维持当前结论。</x:v>
      </x:c>
      <x:c r="AA54" s="82" t="str">
        <x:v>较高</x:v>
      </x:c>
      <x:c r="AB54" s="82" t="str">
        <x:v>子平格局</x:v>
      </x:c>
      <x:c r="AC54" s="68" t="str">
        <x:v>格局成败须区分：格神是否有效、结构是否能运行、是否存在破坏、救应是否直接修复破格机制，以及格局成立与层次高低。</x:v>
      </x:c>
      <x:c r="AD54" s="68" t="str">
        <x:v>当“伤官具月令依据、有根有力，日主可泄，且伤官能生财或配印”成立，且成格证据相互支持、无决定性否决时，可按本规则判断。</x:v>
      </x:c>
      <x:c r="AE54" s="90" t="str">
        <x:v>只有格局名称或局部组合，但“格神失效、核心作用路径完全中断，或特殊格局硬门槛被有效反证否决”成立时，不能按本规则维持格局。</x:v>
      </x:c>
      <x:c r="AF54" s="68" t="str">
        <x:v>https://zh.wikisource.org/zh-hans/%E6%B7%B5%E6%B5%B7%E5%AD%90%E5%B9%B3 ; https://zh.wikisource.org/wiki/%E6%BB%B4%E5%A4%A9%E9%AB%93%E9%97%A1%E5%BE%AE</x:v>
      </x:c>
      <x:c r="AG54" s="82" t="str">
        <x:v>采用</x:v>
      </x:c>
      <x:c r="AH54" s="82" t="str">
        <x:v>初审</x:v>
      </x:c>
      <x:c r="AI54" s="87" t="n">
        <x:v>46260</x:v>
      </x:c>
    </x:row>
    <x:row r="55">
      <x:c r="A55" s="72" t="str">
        <x:f>IF(OR(C55="",D55=""),"",B55&amp;"-"&amp;UPPER(C55)&amp;"-"&amp;TEXT(D55,"0000")&amp;"-"&amp;E55)</x:f>
        <x:v>M15-SHISHANG-0049-V1.0</x:v>
      </x:c>
      <x:c r="B55" s="74" t="str">
        <x:v>M15</x:v>
      </x:c>
      <x:c r="C55" s="74" t="str">
        <x:v>SHISHANG</x:v>
      </x:c>
      <x:c r="D55" s="215" t="n">
        <x:v>49</x:v>
      </x:c>
      <x:c r="E55" s="74" t="str">
        <x:v>V1.0</x:v>
      </x:c>
      <x:c r="F55" s="68" t="str">
        <x:v>伤官生财完整可判伤官格清纯增强</x:v>
      </x:c>
      <x:c r="G55" s="82" t="str">
        <x:v>综合层</x:v>
      </x:c>
      <x:c r="H55" s="68" t="str">
        <x:v>伤官格候选</x:v>
      </x:c>
      <x:c r="I55" s="68" t="str">
        <x:v>伤官有力生财，财星能承接，日主供给匹配</x:v>
      </x:c>
      <x:c r="J55" s="68" t="str">
        <x:v>身→伤官→财链连续</x:v>
      </x:c>
      <x:c r="K55" s="68" t="str">
        <x:v>无决定性破格因素</x:v>
      </x:c>
      <x:c r="L55" s="82" t="str">
        <x:v>无破</x:v>
      </x:c>
      <x:c r="M55" s="68" t="str">
        <x:v>无须救应</x:v>
      </x:c>
      <x:c r="N55" s="82" t="str">
        <x:v>无救应</x:v>
      </x:c>
      <x:c r="O55" s="84" t="str">
        <x:v>清纯成立</x:v>
      </x:c>
      <x:c r="P55" s="82" t="str">
        <x:v>较清</x:v>
      </x:c>
      <x:c r="Q55" s="68" t="str">
        <x:v>伤官输出转化为财星，冲突性降低</x:v>
      </x:c>
      <x:c r="R55" s="68" t="str">
        <x:v>M14已生成候选；M08、M09、M10、M11相关结论可追溯</x:v>
      </x:c>
      <x:c r="S55" s="68" t="str">
        <x:v>格神与关键配合十神均以有效力量和实际功能为准</x:v>
      </x:c>
      <x:c r="T55" s="68" t="str">
        <x:v>格神得令、有根、透达、清纯，组合路径稳定且日主承载匹配</x:v>
      </x:c>
      <x:c r="U55" s="68" t="str">
        <x:v>格神受制、混杂、路径受阻、日主承载不足或救应只能局部作用</x:v>
      </x:c>
      <x:c r="V55" s="90" t="str">
        <x:v>格神失效、核心作用路径完全中断，或特殊格局硬门槛被有效反证否决</x:v>
      </x:c>
      <x:c r="W55" s="68" t="str">
        <x:v>特殊格局严格条件、流派争议及岁运补成另按专门规则处理</x:v>
      </x:c>
      <x:c r="X55" s="84" t="str">
        <x:v>伤官格_生财清纯</x:v>
      </x:c>
      <x:c r="Y55" s="84" t="str">
        <x:v>伤官格候选判为“清纯成立”：破格等级为“无破”，救应为“无救应”，清纯度为“较清”；层次需结合全局继续评估。</x:v>
      </x:c>
      <x:c r="Z55" s="68" t="str">
        <x:v>若“格神失效、核心作用路径完全中断，或特殊格局硬门槛被有效反证否决”成立，应降低为成立但有破或不成立，不得维持当前结论。</x:v>
      </x:c>
      <x:c r="AA55" s="82" t="str">
        <x:v>较高</x:v>
      </x:c>
      <x:c r="AB55" s="82" t="str">
        <x:v>子平格局</x:v>
      </x:c>
      <x:c r="AC55" s="68" t="str">
        <x:v>格局成败须区分：格神是否有效、结构是否能运行、是否存在破坏、救应是否直接修复破格机制，以及格局成立与层次高低。</x:v>
      </x:c>
      <x:c r="AD55" s="68" t="str">
        <x:v>当“伤官有力生财，财星能承接，日主供给匹配”成立，且成格证据相互支持、无决定性否决时，可按本规则判断。</x:v>
      </x:c>
      <x:c r="AE55" s="90" t="str">
        <x:v>只有格局名称或局部组合，但“格神失效、核心作用路径完全中断，或特殊格局硬门槛被有效反证否决”成立时，不能按本规则维持格局。</x:v>
      </x:c>
      <x:c r="AF55" s="68" t="str">
        <x:v>https://zh.wikisource.org/zh-hans/%E6%B7%B5%E6%B5%B7%E5%AD%90%E5%B9%B3 ; https://zh.wikisource.org/wiki/%E6%BB%B4%E5%A4%A9%E9%AB%93%E9%97%A1%E5%BE%AE</x:v>
      </x:c>
      <x:c r="AG55" s="82" t="str">
        <x:v>采用</x:v>
      </x:c>
      <x:c r="AH55" s="82" t="str">
        <x:v>初审</x:v>
      </x:c>
      <x:c r="AI55" s="87" t="n">
        <x:v>46260</x:v>
      </x:c>
    </x:row>
    <x:row r="56">
      <x:c r="A56" s="72" t="str">
        <x:f>IF(OR(C56="",D56=""),"",B56&amp;"-"&amp;UPPER(C56)&amp;"-"&amp;TEXT(D56,"0000")&amp;"-"&amp;E56)</x:f>
        <x:v>M15-SHISHANG-0050-V1.0</x:v>
      </x:c>
      <x:c r="B56" s="74" t="str">
        <x:v>M15</x:v>
      </x:c>
      <x:c r="C56" s="74" t="str">
        <x:v>SHISHANG</x:v>
      </x:c>
      <x:c r="D56" s="215" t="n">
        <x:v>50</x:v>
      </x:c>
      <x:c r="E56" s="74" t="str">
        <x:v>V1.0</x:v>
      </x:c>
      <x:c r="F56" s="68" t="str">
        <x:v>伤官配印比例适中可判伤官格清纯增强</x:v>
      </x:c>
      <x:c r="G56" s="82" t="str">
        <x:v>综合层</x:v>
      </x:c>
      <x:c r="H56" s="68" t="str">
        <x:v>伤官格候选</x:v>
      </x:c>
      <x:c r="I56" s="68" t="str">
        <x:v>伤官有力，印星能制伤而不过度，日主需要印扶</x:v>
      </x:c>
      <x:c r="J56" s="68" t="str">
        <x:v>M11伤官配印明显成立，无财重破印</x:v>
      </x:c>
      <x:c r="K56" s="68" t="str">
        <x:v>无决定性破格因素</x:v>
      </x:c>
      <x:c r="L56" s="82" t="str">
        <x:v>无破</x:v>
      </x:c>
      <x:c r="M56" s="68" t="str">
        <x:v>无须救应</x:v>
      </x:c>
      <x:c r="N56" s="82" t="str">
        <x:v>无救应</x:v>
      </x:c>
      <x:c r="O56" s="84" t="str">
        <x:v>清纯成立</x:v>
      </x:c>
      <x:c r="P56" s="82" t="str">
        <x:v>较清</x:v>
      </x:c>
      <x:c r="Q56" s="68" t="str">
        <x:v>伤官得到约束，印又能扶身，结构稳定</x:v>
      </x:c>
      <x:c r="R56" s="68" t="str">
        <x:v>M14已生成候选；M08、M09、M10、M11相关结论可追溯</x:v>
      </x:c>
      <x:c r="S56" s="68" t="str">
        <x:v>格神与关键配合十神均以有效力量和实际功能为准</x:v>
      </x:c>
      <x:c r="T56" s="68" t="str">
        <x:v>格神得令、有根、透达、清纯，组合路径稳定且日主承载匹配</x:v>
      </x:c>
      <x:c r="U56" s="68" t="str">
        <x:v>格神受制、混杂、路径受阻、日主承载不足或救应只能局部作用</x:v>
      </x:c>
      <x:c r="V56" s="90" t="str">
        <x:v>格神失效、核心作用路径完全中断，或特殊格局硬门槛被有效反证否决</x:v>
      </x:c>
      <x:c r="W56" s="68" t="str">
        <x:v>特殊格局严格条件、流派争议及岁运补成另按专门规则处理</x:v>
      </x:c>
      <x:c r="X56" s="84" t="str">
        <x:v>伤官格_配印清纯</x:v>
      </x:c>
      <x:c r="Y56" s="84" t="str">
        <x:v>伤官格候选判为“清纯成立”：破格等级为“无破”，救应为“无救应”，清纯度为“较清”；层次需结合全局继续评估。</x:v>
      </x:c>
      <x:c r="Z56" s="68" t="str">
        <x:v>若“格神失效、核心作用路径完全中断，或特殊格局硬门槛被有效反证否决”成立，应降低为成立但有破或不成立，不得维持当前结论。</x:v>
      </x:c>
      <x:c r="AA56" s="82" t="str">
        <x:v>较高</x:v>
      </x:c>
      <x:c r="AB56" s="82" t="str">
        <x:v>子平格局</x:v>
      </x:c>
      <x:c r="AC56" s="68" t="str">
        <x:v>格局成败须区分：格神是否有效、结构是否能运行、是否存在破坏、救应是否直接修复破格机制，以及格局成立与层次高低。</x:v>
      </x:c>
      <x:c r="AD56" s="68" t="str">
        <x:v>当“伤官有力，印星能制伤而不过度，日主需要印扶”成立，且成格证据相互支持、无决定性否决时，可按本规则判断。</x:v>
      </x:c>
      <x:c r="AE56" s="90" t="str">
        <x:v>只有格局名称或局部组合，但“格神失效、核心作用路径完全中断，或特殊格局硬门槛被有效反证否决”成立时，不能按本规则维持格局。</x:v>
      </x:c>
      <x:c r="AF56" s="68" t="str">
        <x:v>https://zh.wikisource.org/zh-hans/%E6%B7%B5%E6%B5%B7%E5%AD%90%E5%B9%B3 ; https://zh.wikisource.org/wiki/%E6%BB%B4%E5%A4%A9%E9%AB%93%E9%97%A1%E5%BE%AE</x:v>
      </x:c>
      <x:c r="AG56" s="82" t="str">
        <x:v>采用</x:v>
      </x:c>
      <x:c r="AH56" s="82" t="str">
        <x:v>初审</x:v>
      </x:c>
      <x:c r="AI56" s="87" t="n">
        <x:v>46260</x:v>
      </x:c>
    </x:row>
    <x:row r="57">
      <x:c r="A57" s="72" t="str">
        <x:f>IF(OR(C57="",D57=""),"",B57&amp;"-"&amp;UPPER(C57)&amp;"-"&amp;TEXT(D57,"0000")&amp;"-"&amp;E57)</x:f>
        <x:v>M15-SHISHANG-0051-V1.0</x:v>
      </x:c>
      <x:c r="B57" s="74" t="str">
        <x:v>M15</x:v>
      </x:c>
      <x:c r="C57" s="74" t="str">
        <x:v>SHISHANG</x:v>
      </x:c>
      <x:c r="D57" s="215" t="n">
        <x:v>51</x:v>
      </x:c>
      <x:c r="E57" s="74" t="str">
        <x:v>V1.0</x:v>
      </x:c>
      <x:c r="F57" s="68" t="str">
        <x:v>伤官见官无救应构成严重破格</x:v>
      </x:c>
      <x:c r="G57" s="82" t="str">
        <x:v>综合层</x:v>
      </x:c>
      <x:c r="H57" s="68" t="str">
        <x:v>伤官格候选</x:v>
      </x:c>
      <x:c r="I57" s="68" t="str">
        <x:v>伤官格成立且正官仍承担关键功能</x:v>
      </x:c>
      <x:c r="J57" s="68" t="str">
        <x:v>月令依据、格神根气与有效力量、日主配合及M11组合证据相互支持</x:v>
      </x:c>
      <x:c r="K57" s="68" t="str">
        <x:v>伤官直接强克正官，双方均有力</x:v>
      </x:c>
      <x:c r="L57" s="82" t="str">
        <x:v>严重</x:v>
      </x:c>
      <x:c r="M57" s="68" t="str">
        <x:v>印制伤或财通关</x:v>
      </x:c>
      <x:c r="N57" s="82" t="str">
        <x:v>待定</x:v>
      </x:c>
      <x:c r="O57" s="84" t="str">
        <x:v>成立但有破</x:v>
      </x:c>
      <x:c r="P57" s="82" t="str">
        <x:v>混杂</x:v>
      </x:c>
      <x:c r="Q57" s="68" t="str">
        <x:v>冲突直接作用于官星，格局稳定性显著下降</x:v>
      </x:c>
      <x:c r="R57" s="68" t="str">
        <x:v>M14已生成候选；M08、M09、M10、M11相关结论可追溯</x:v>
      </x:c>
      <x:c r="S57" s="68" t="str">
        <x:v>格神与关键配合十神均以有效力量和实际功能为准</x:v>
      </x:c>
      <x:c r="T57" s="68" t="str">
        <x:v>格神得令、有根、透达、清纯，组合路径稳定且日主承载匹配</x:v>
      </x:c>
      <x:c r="U57" s="68" t="str">
        <x:v>格神受制、混杂、路径受阻、日主承载不足或救应只能局部作用</x:v>
      </x:c>
      <x:c r="V57" s="90" t="str">
        <x:v>格神失效、核心作用路径完全中断，或特殊格局硬门槛被有效反证否决</x:v>
      </x:c>
      <x:c r="W57" s="68" t="str">
        <x:v>特殊格局严格条件、流派争议及岁运补成另按专门规则处理</x:v>
      </x:c>
      <x:c r="X57" s="84" t="str">
        <x:v>伤官格_见官破格</x:v>
      </x:c>
      <x:c r="Y57" s="84" t="str">
        <x:v>伤官格候选判为“成立但有破”：破格等级为“严重”，救应为“待定”，清纯度为“混杂”；层次需结合全局继续评估。</x:v>
      </x:c>
      <x:c r="Z57" s="68" t="str">
        <x:v>若“格神失效、核心作用路径完全中断，或特殊格局硬门槛被有效反证否决”成立，应降低为成立但有破或不成立，不得维持当前结论。</x:v>
      </x:c>
      <x:c r="AA57" s="82" t="str">
        <x:v>较高</x:v>
      </x:c>
      <x:c r="AB57" s="82" t="str">
        <x:v>子平格局</x:v>
      </x:c>
      <x:c r="AC57" s="68" t="str">
        <x:v>格局成败须区分：格神是否有效、结构是否能运行、是否存在破坏、救应是否直接修复破格机制，以及格局成立与层次高低。</x:v>
      </x:c>
      <x:c r="AD57" s="68" t="str">
        <x:v>当“伤官格成立且正官仍承担关键功能”成立，且成格证据相互支持、无决定性否决时，可按本规则判断。</x:v>
      </x:c>
      <x:c r="AE57" s="90" t="str">
        <x:v>只有格局名称或局部组合，但“格神失效、核心作用路径完全中断，或特殊格局硬门槛被有效反证否决”成立时，不能按本规则维持格局。</x:v>
      </x:c>
      <x:c r="AF57" s="68" t="str">
        <x:v>https://zh.wikisource.org/zh-hans/%E6%B7%B5%E6%B5%B7%E5%AD%90%E5%B9%B3 ; https://zh.wikisource.org/wiki/%E6%BB%B4%E5%A4%A9%E9%AB%93%E9%97%A1%E5%BE%AE</x:v>
      </x:c>
      <x:c r="AG57" s="82" t="str">
        <x:v>采用</x:v>
      </x:c>
      <x:c r="AH57" s="82" t="str">
        <x:v>初审</x:v>
      </x:c>
      <x:c r="AI57" s="87" t="n">
        <x:v>46260</x:v>
      </x:c>
    </x:row>
    <x:row r="58">
      <x:c r="A58" s="72" t="str">
        <x:f>IF(OR(C58="",D58=""),"",B58&amp;"-"&amp;UPPER(C58)&amp;"-"&amp;TEXT(D58,"0000")&amp;"-"&amp;E58)</x:f>
        <x:v>M15-SHISHANG-0052-V1.0</x:v>
      </x:c>
      <x:c r="B58" s="74" t="str">
        <x:v>M15</x:v>
      </x:c>
      <x:c r="C58" s="74" t="str">
        <x:v>SHISHANG</x:v>
      </x:c>
      <x:c r="D58" s="215" t="n">
        <x:v>52</x:v>
      </x:c>
      <x:c r="E58" s="74" t="str">
        <x:v>V1.0</x:v>
      </x:c>
      <x:c r="F58" s="68" t="str">
        <x:v>印制伤或财通关可救伤官见官</x:v>
      </x:c>
      <x:c r="G58" s="82" t="str">
        <x:v>综合层</x:v>
      </x:c>
      <x:c r="H58" s="68" t="str">
        <x:v>伤官格候选</x:v>
      </x:c>
      <x:c r="I58" s="68" t="str">
        <x:v>伤官见官冲突成立，印或财能够真实改变冲突路径</x:v>
      </x:c>
      <x:c r="J58" s="68" t="str">
        <x:v>印制伤，或伤→财→官链至少一条有效</x:v>
      </x:c>
      <x:c r="K58" s="68" t="str">
        <x:v>伤官见官</x:v>
      </x:c>
      <x:c r="L58" s="82" t="str">
        <x:v>一般</x:v>
      </x:c>
      <x:c r="M58" s="68" t="str">
        <x:v>印制伤/财通关</x:v>
      </x:c>
      <x:c r="N58" s="82" t="str">
        <x:v>明显有效</x:v>
      </x:c>
      <x:c r="O58" s="84" t="str">
        <x:v>有破有救</x:v>
      </x:c>
      <x:c r="P58" s="82" t="str">
        <x:v>有杂</x:v>
      </x:c>
      <x:c r="Q58" s="68" t="str">
        <x:v>冲突被修复，但有救结构低于原局无官伤冲突</x:v>
      </x:c>
      <x:c r="R58" s="68" t="str">
        <x:v>M14已生成候选；M08、M09、M10、M11相关结论可追溯</x:v>
      </x:c>
      <x:c r="S58" s="68" t="str">
        <x:v>格神与关键配合十神均以有效力量和实际功能为准</x:v>
      </x:c>
      <x:c r="T58" s="68" t="str">
        <x:v>格神得令、有根、透达、清纯，组合路径稳定且日主承载匹配</x:v>
      </x:c>
      <x:c r="U58" s="68" t="str">
        <x:v>格神受制、混杂、路径受阻、日主承载不足或救应只能局部作用</x:v>
      </x:c>
      <x:c r="V58" s="90" t="str">
        <x:v>格神失效、核心作用路径完全中断，或特殊格局硬门槛被有效反证否决</x:v>
      </x:c>
      <x:c r="W58" s="68" t="str">
        <x:v>特殊格局严格条件、流派争议及岁运补成另按专门规则处理</x:v>
      </x:c>
      <x:c r="X58" s="84" t="str">
        <x:v>伤官格_见官救应</x:v>
      </x:c>
      <x:c r="Y58" s="84" t="str">
        <x:v>伤官格候选判为“有破有救”：破格等级为“一般”，救应为“明显有效”，清纯度为“有杂”；层次需结合全局继续评估。</x:v>
      </x:c>
      <x:c r="Z58" s="68" t="str">
        <x:v>若“格神失效、核心作用路径完全中断，或特殊格局硬门槛被有效反证否决”成立，应降低为成立但有破或不成立，不得维持当前结论。</x:v>
      </x:c>
      <x:c r="AA58" s="82" t="str">
        <x:v>较高</x:v>
      </x:c>
      <x:c r="AB58" s="82" t="str">
        <x:v>子平格局</x:v>
      </x:c>
      <x:c r="AC58" s="68" t="str">
        <x:v>格局成败须区分：格神是否有效、结构是否能运行、是否存在破坏、救应是否直接修复破格机制，以及格局成立与层次高低。</x:v>
      </x:c>
      <x:c r="AD58" s="68" t="str">
        <x:v>当“伤官见官冲突成立，印或财能够真实改变冲突路径”成立，且成格证据相互支持、无决定性否决时，可按本规则判断。</x:v>
      </x:c>
      <x:c r="AE58" s="90" t="str">
        <x:v>只有格局名称或局部组合，但“格神失效、核心作用路径完全中断，或特殊格局硬门槛被有效反证否决”成立时，不能按本规则维持格局。</x:v>
      </x:c>
      <x:c r="AF58" s="68" t="str">
        <x:v>https://zh.wikisource.org/zh-hans/%E6%B7%B5%E6%B5%B7%E5%AD%90%E5%B9%B3 ; https://zh.wikisource.org/wiki/%E6%BB%B4%E5%A4%A9%E9%AB%93%E9%97%A1%E5%BE%AE</x:v>
      </x:c>
      <x:c r="AG58" s="82" t="str">
        <x:v>采用</x:v>
      </x:c>
      <x:c r="AH58" s="82" t="str">
        <x:v>初审</x:v>
      </x:c>
      <x:c r="AI58" s="87" t="n">
        <x:v>46260</x:v>
      </x:c>
    </x:row>
    <x:row r="59">
      <x:c r="A59" s="72" t="str">
        <x:f>IF(OR(C59="",D59=""),"",B59&amp;"-"&amp;UPPER(C59)&amp;"-"&amp;TEXT(D59,"0000")&amp;"-"&amp;E59)</x:f>
        <x:v>M15-JIANREN-0053-V1.0</x:v>
      </x:c>
      <x:c r="B59" s="74" t="str">
        <x:v>M15</x:v>
      </x:c>
      <x:c r="C59" s="74" t="str">
        <x:v>JIANREN</x:v>
      </x:c>
      <x:c r="D59" s="215" t="n">
        <x:v>53</x:v>
      </x:c>
      <x:c r="E59" s="74" t="str">
        <x:v>V1.0</x:v>
      </x:c>
      <x:c r="F59" s="68" t="str">
        <x:v>建禄格需有财官食伤出口才能形成较完整结构</x:v>
      </x:c>
      <x:c r="G59" s="82" t="str">
        <x:v>综合层</x:v>
      </x:c>
      <x:c r="H59" s="68" t="str">
        <x:v>建禄格候选</x:v>
      </x:c>
      <x:c r="I59" s="68" t="str">
        <x:v>日主临月令禄地且身势有力，财、官杀或食伤至少一方有效</x:v>
      </x:c>
      <x:c r="J59" s="68" t="str">
        <x:v>强身有明确制、泄、耗路径</x:v>
      </x:c>
      <x:c r="K59" s="68" t="str">
        <x:v>无决定性破格因素</x:v>
      </x:c>
      <x:c r="L59" s="82" t="str">
        <x:v>无破</x:v>
      </x:c>
      <x:c r="M59" s="68" t="str">
        <x:v>无须救应</x:v>
      </x:c>
      <x:c r="N59" s="82" t="str">
        <x:v>无救应</x:v>
      </x:c>
      <x:c r="O59" s="84" t="str">
        <x:v>基本成立</x:v>
      </x:c>
      <x:c r="P59" s="82" t="str">
        <x:v>待定</x:v>
      </x:c>
      <x:c r="Q59" s="68" t="str">
        <x:v>建禄本身只是强身基础，层次取决于能否合理输出或制衡</x:v>
      </x:c>
      <x:c r="R59" s="68" t="str">
        <x:v>M14已生成候选；M08、M09、M10、M11相关结论可追溯</x:v>
      </x:c>
      <x:c r="S59" s="68" t="str">
        <x:v>格神与关键配合十神均以有效力量和实际功能为准</x:v>
      </x:c>
      <x:c r="T59" s="68" t="str">
        <x:v>格神得令、有根、透达、清纯，组合路径稳定且日主承载匹配</x:v>
      </x:c>
      <x:c r="U59" s="68" t="str">
        <x:v>格神受制、混杂、路径受阻、日主承载不足或救应只能局部作用</x:v>
      </x:c>
      <x:c r="V59" s="90" t="str">
        <x:v>格神失效、核心作用路径完全中断，或特殊格局硬门槛被有效反证否决</x:v>
      </x:c>
      <x:c r="W59" s="68" t="str">
        <x:v>特殊格局严格条件、流派争议及岁运补成另按专门规则处理</x:v>
      </x:c>
      <x:c r="X59" s="84" t="str">
        <x:v>建禄格_基本成格</x:v>
      </x:c>
      <x:c r="Y59" s="84" t="str">
        <x:v>建禄格候选判为“基本成立”：破格等级为“无破”，救应为“无救应”，清纯度为“待定”；层次需结合全局继续评估。</x:v>
      </x:c>
      <x:c r="Z59" s="68" t="str">
        <x:v>若“格神失效、核心作用路径完全中断，或特殊格局硬门槛被有效反证否决”成立，应降低为成立但有破或不成立，不得维持当前结论。</x:v>
      </x:c>
      <x:c r="AA59" s="82" t="str">
        <x:v>较高</x:v>
      </x:c>
      <x:c r="AB59" s="82" t="str">
        <x:v>子平格局</x:v>
      </x:c>
      <x:c r="AC59" s="68" t="str">
        <x:v>格局成败须区分：格神是否有效、结构是否能运行、是否存在破坏、救应是否直接修复破格机制，以及格局成立与层次高低。</x:v>
      </x:c>
      <x:c r="AD59" s="68" t="str">
        <x:v>当“日主临月令禄地且身势有力，财、官杀或食伤至少一方有效”成立，且成格证据相互支持、无决定性否决时，可按本规则判断。</x:v>
      </x:c>
      <x:c r="AE59" s="90" t="str">
        <x:v>只有格局名称或局部组合，但“格神失效、核心作用路径完全中断，或特殊格局硬门槛被有效反证否决”成立时，不能按本规则维持格局。</x:v>
      </x:c>
      <x:c r="AF59" s="68" t="str">
        <x:v>https://zh.wikisource.org/zh-hans/%E6%B7%B5%E6%B5%B7%E5%AD%90%E5%B9%B3 ; https://zh.wikisource.org/wiki/%E6%BB%B4%E5%A4%A9%E9%AB%93%E9%97%A1%E5%BE%AE</x:v>
      </x:c>
      <x:c r="AG59" s="82" t="str">
        <x:v>采用</x:v>
      </x:c>
      <x:c r="AH59" s="82" t="str">
        <x:v>初审</x:v>
      </x:c>
      <x:c r="AI59" s="87" t="n">
        <x:v>46260</x:v>
      </x:c>
    </x:row>
    <x:row r="60">
      <x:c r="A60" s="72" t="str">
        <x:f>IF(OR(C60="",D60=""),"",B60&amp;"-"&amp;UPPER(C60)&amp;"-"&amp;TEXT(D60,"0000")&amp;"-"&amp;E60)</x:f>
        <x:v>M15-JIANREN-0054-V1.0</x:v>
      </x:c>
      <x:c r="B60" s="74" t="str">
        <x:v>M15</x:v>
      </x:c>
      <x:c r="C60" s="74" t="str">
        <x:v>JIANREN</x:v>
      </x:c>
      <x:c r="D60" s="215" t="n">
        <x:v>54</x:v>
      </x:c>
      <x:c r="E60" s="74" t="str">
        <x:v>V1.0</x:v>
      </x:c>
      <x:c r="F60" s="68" t="str">
        <x:v>食伤泄秀可提高建禄格层次</x:v>
      </x:c>
      <x:c r="G60" s="82" t="str">
        <x:v>综合层</x:v>
      </x:c>
      <x:c r="H60" s="68" t="str">
        <x:v>建禄格候选</x:v>
      </x:c>
      <x:c r="I60" s="68" t="str">
        <x:v>建禄身旺，食伤有力且不被印重制，财星可承接更佳</x:v>
      </x:c>
      <x:c r="J60" s="68" t="str">
        <x:v>身→食伤路径连续</x:v>
      </x:c>
      <x:c r="K60" s="68" t="str">
        <x:v>无决定性破格因素</x:v>
      </x:c>
      <x:c r="L60" s="82" t="str">
        <x:v>无破</x:v>
      </x:c>
      <x:c r="M60" s="68" t="str">
        <x:v>无须救应</x:v>
      </x:c>
      <x:c r="N60" s="82" t="str">
        <x:v>无救应</x:v>
      </x:c>
      <x:c r="O60" s="84" t="str">
        <x:v>清纯成立</x:v>
      </x:c>
      <x:c r="P60" s="82" t="str">
        <x:v>较清</x:v>
      </x:c>
      <x:c r="Q60" s="68" t="str">
        <x:v>强身有稳定出口，流通和格局运行较顺</x:v>
      </x:c>
      <x:c r="R60" s="68" t="str">
        <x:v>M14已生成候选；M08、M09、M10、M11相关结论可追溯</x:v>
      </x:c>
      <x:c r="S60" s="68" t="str">
        <x:v>格神与关键配合十神均以有效力量和实际功能为准</x:v>
      </x:c>
      <x:c r="T60" s="68" t="str">
        <x:v>格神得令、有根、透达、清纯，组合路径稳定且日主承载匹配</x:v>
      </x:c>
      <x:c r="U60" s="68" t="str">
        <x:v>格神受制、混杂、路径受阻、日主承载不足或救应只能局部作用</x:v>
      </x:c>
      <x:c r="V60" s="90" t="str">
        <x:v>格神失效、核心作用路径完全中断，或特殊格局硬门槛被有效反证否决</x:v>
      </x:c>
      <x:c r="W60" s="68" t="str">
        <x:v>特殊格局严格条件、流派争议及岁运补成另按专门规则处理</x:v>
      </x:c>
      <x:c r="X60" s="84" t="str">
        <x:v>建禄格_食伤泄秀</x:v>
      </x:c>
      <x:c r="Y60" s="84" t="str">
        <x:v>建禄格候选判为“清纯成立”：破格等级为“无破”，救应为“无救应”，清纯度为“较清”；层次需结合全局继续评估。</x:v>
      </x:c>
      <x:c r="Z60" s="68" t="str">
        <x:v>若“格神失效、核心作用路径完全中断，或特殊格局硬门槛被有效反证否决”成立，应降低为成立但有破或不成立，不得维持当前结论。</x:v>
      </x:c>
      <x:c r="AA60" s="82" t="str">
        <x:v>较高</x:v>
      </x:c>
      <x:c r="AB60" s="82" t="str">
        <x:v>子平格局</x:v>
      </x:c>
      <x:c r="AC60" s="68" t="str">
        <x:v>格局成败须区分：格神是否有效、结构是否能运行、是否存在破坏、救应是否直接修复破格机制，以及格局成立与层次高低。</x:v>
      </x:c>
      <x:c r="AD60" s="68" t="str">
        <x:v>当“建禄身旺，食伤有力且不被印重制，财星可承接更佳”成立，且成格证据相互支持、无决定性否决时，可按本规则判断。</x:v>
      </x:c>
      <x:c r="AE60" s="90" t="str">
        <x:v>只有格局名称或局部组合，但“格神失效、核心作用路径完全中断，或特殊格局硬门槛被有效反证否决”成立时，不能按本规则维持格局。</x:v>
      </x:c>
      <x:c r="AF60" s="68" t="str">
        <x:v>https://zh.wikisource.org/zh-hans/%E6%B7%B5%E6%B5%B7%E5%AD%90%E5%B9%B3 ; https://zh.wikisource.org/wiki/%E6%BB%B4%E5%A4%A9%E9%AB%93%E9%97%A1%E5%BE%AE</x:v>
      </x:c>
      <x:c r="AG60" s="82" t="str">
        <x:v>采用</x:v>
      </x:c>
      <x:c r="AH60" s="82" t="str">
        <x:v>初审</x:v>
      </x:c>
      <x:c r="AI60" s="87" t="n">
        <x:v>46260</x:v>
      </x:c>
    </x:row>
    <x:row r="61">
      <x:c r="A61" s="72" t="str">
        <x:f>IF(OR(C61="",D61=""),"",B61&amp;"-"&amp;UPPER(C61)&amp;"-"&amp;TEXT(D61,"0000")&amp;"-"&amp;E61)</x:f>
        <x:v>M15-JIANREN-0055-V1.0</x:v>
      </x:c>
      <x:c r="B61" s="74" t="str">
        <x:v>M15</x:v>
      </x:c>
      <x:c r="C61" s="74" t="str">
        <x:v>JIANREN</x:v>
      </x:c>
      <x:c r="D61" s="215" t="n">
        <x:v>55</x:v>
      </x:c>
      <x:c r="E61" s="74" t="str">
        <x:v>V1.0</x:v>
      </x:c>
      <x:c r="F61" s="68" t="str">
        <x:v>官杀有力制衡可提高建禄格层次</x:v>
      </x:c>
      <x:c r="G61" s="82" t="str">
        <x:v>综合层</x:v>
      </x:c>
      <x:c r="H61" s="68" t="str">
        <x:v>建禄格候选</x:v>
      </x:c>
      <x:c r="I61" s="68" t="str">
        <x:v>建禄身旺，官杀有根有力且制身不过度</x:v>
      </x:c>
      <x:c r="J61" s="68" t="str">
        <x:v>官杀能够约束比劫集团，日主仍可承载</x:v>
      </x:c>
      <x:c r="K61" s="68" t="str">
        <x:v>无决定性破格因素</x:v>
      </x:c>
      <x:c r="L61" s="82" t="str">
        <x:v>无破</x:v>
      </x:c>
      <x:c r="M61" s="68" t="str">
        <x:v>无须救应</x:v>
      </x:c>
      <x:c r="N61" s="82" t="str">
        <x:v>无救应</x:v>
      </x:c>
      <x:c r="O61" s="84" t="str">
        <x:v>清纯成立</x:v>
      </x:c>
      <x:c r="P61" s="82" t="str">
        <x:v>较清</x:v>
      </x:c>
      <x:c r="Q61" s="68" t="str">
        <x:v>强身得到有效制衡，结构稳定</x:v>
      </x:c>
      <x:c r="R61" s="68" t="str">
        <x:v>M14已生成候选；M08、M09、M10、M11相关结论可追溯</x:v>
      </x:c>
      <x:c r="S61" s="68" t="str">
        <x:v>格神与关键配合十神均以有效力量和实际功能为准</x:v>
      </x:c>
      <x:c r="T61" s="68" t="str">
        <x:v>格神得令、有根、透达、清纯，组合路径稳定且日主承载匹配</x:v>
      </x:c>
      <x:c r="U61" s="68" t="str">
        <x:v>格神受制、混杂、路径受阻、日主承载不足或救应只能局部作用</x:v>
      </x:c>
      <x:c r="V61" s="90" t="str">
        <x:v>格神失效、核心作用路径完全中断，或特殊格局硬门槛被有效反证否决</x:v>
      </x:c>
      <x:c r="W61" s="68" t="str">
        <x:v>特殊格局严格条件、流派争议及岁运补成另按专门规则处理</x:v>
      </x:c>
      <x:c r="X61" s="84" t="str">
        <x:v>建禄格_官杀制衡</x:v>
      </x:c>
      <x:c r="Y61" s="84" t="str">
        <x:v>建禄格候选判为“清纯成立”：破格等级为“无破”，救应为“无救应”，清纯度为“较清”；层次需结合全局继续评估。</x:v>
      </x:c>
      <x:c r="Z61" s="68" t="str">
        <x:v>若“格神失效、核心作用路径完全中断，或特殊格局硬门槛被有效反证否决”成立，应降低为成立但有破或不成立，不得维持当前结论。</x:v>
      </x:c>
      <x:c r="AA61" s="82" t="str">
        <x:v>较高</x:v>
      </x:c>
      <x:c r="AB61" s="82" t="str">
        <x:v>子平格局</x:v>
      </x:c>
      <x:c r="AC61" s="68" t="str">
        <x:v>格局成败须区分：格神是否有效、结构是否能运行、是否存在破坏、救应是否直接修复破格机制，以及格局成立与层次高低。</x:v>
      </x:c>
      <x:c r="AD61" s="68" t="str">
        <x:v>当“建禄身旺，官杀有根有力且制身不过度”成立，且成格证据相互支持、无决定性否决时，可按本规则判断。</x:v>
      </x:c>
      <x:c r="AE61" s="90" t="str">
        <x:v>只有格局名称或局部组合，但“格神失效、核心作用路径完全中断，或特殊格局硬门槛被有效反证否决”成立时，不能按本规则维持格局。</x:v>
      </x:c>
      <x:c r="AF61" s="68" t="str">
        <x:v>https://zh.wikisource.org/zh-hans/%E6%B7%B5%E6%B5%B7%E5%AD%90%E5%B9%B3 ; https://zh.wikisource.org/wiki/%E6%BB%B4%E5%A4%A9%E9%AB%93%E9%97%A1%E5%BE%AE</x:v>
      </x:c>
      <x:c r="AG61" s="82" t="str">
        <x:v>采用</x:v>
      </x:c>
      <x:c r="AH61" s="82" t="str">
        <x:v>初审</x:v>
      </x:c>
      <x:c r="AI61" s="87" t="n">
        <x:v>46260</x:v>
      </x:c>
    </x:row>
    <x:row r="62">
      <x:c r="A62" s="72" t="str">
        <x:f>IF(OR(C62="",D62=""),"",B62&amp;"-"&amp;UPPER(C62)&amp;"-"&amp;TEXT(D62,"0000")&amp;"-"&amp;E62)</x:f>
        <x:v>M15-JIANREN-0056-V1.0</x:v>
      </x:c>
      <x:c r="B62" s="74" t="str">
        <x:v>M15</x:v>
      </x:c>
      <x:c r="C62" s="74" t="str">
        <x:v>JIANREN</x:v>
      </x:c>
      <x:c r="D62" s="215" t="n">
        <x:v>56</x:v>
      </x:c>
      <x:c r="E62" s="74" t="str">
        <x:v>V1.0</x:v>
      </x:c>
      <x:c r="F62" s="68" t="str">
        <x:v>比劫壅塞无泄构成建禄格一般破格</x:v>
      </x:c>
      <x:c r="G62" s="82" t="str">
        <x:v>综合层</x:v>
      </x:c>
      <x:c r="H62" s="68" t="str">
        <x:v>建禄格候选</x:v>
      </x:c>
      <x:c r="I62" s="68" t="str">
        <x:v>建禄成立但比劫过旺，财官食伤均弱或受阻</x:v>
      </x:c>
      <x:c r="J62" s="68" t="str">
        <x:v>月令依据、格神根气与有效力量、日主配合及M11组合证据相互支持</x:v>
      </x:c>
      <x:c r="K62" s="68" t="str">
        <x:v>源头过旺无泄、回流壅塞</x:v>
      </x:c>
      <x:c r="L62" s="82" t="str">
        <x:v>一般</x:v>
      </x:c>
      <x:c r="M62" s="68" t="str">
        <x:v>食伤泄秀或官杀制比</x:v>
      </x:c>
      <x:c r="N62" s="82" t="str">
        <x:v>待定</x:v>
      </x:c>
      <x:c r="O62" s="84" t="str">
        <x:v>成立但有破</x:v>
      </x:c>
      <x:c r="P62" s="82" t="str">
        <x:v>较清</x:v>
      </x:c>
      <x:c r="Q62" s="68" t="str">
        <x:v>身势强但功能出口不足，层次受流通限制</x:v>
      </x:c>
      <x:c r="R62" s="68" t="str">
        <x:v>M14已生成候选；M08、M09、M10、M11相关结论可追溯</x:v>
      </x:c>
      <x:c r="S62" s="68" t="str">
        <x:v>格神与关键配合十神均以有效力量和实际功能为准</x:v>
      </x:c>
      <x:c r="T62" s="68" t="str">
        <x:v>格神得令、有根、透达、清纯，组合路径稳定且日主承载匹配</x:v>
      </x:c>
      <x:c r="U62" s="68" t="str">
        <x:v>格神受制、混杂、路径受阻、日主承载不足或救应只能局部作用</x:v>
      </x:c>
      <x:c r="V62" s="90" t="str">
        <x:v>格神失效、核心作用路径完全中断，或特殊格局硬门槛被有效反证否决</x:v>
      </x:c>
      <x:c r="W62" s="68" t="str">
        <x:v>特殊格局严格条件、流派争议及岁运补成另按专门规则处理</x:v>
      </x:c>
      <x:c r="X62" s="84" t="str">
        <x:v>建禄格_比劫壅塞</x:v>
      </x:c>
      <x:c r="Y62" s="84" t="str">
        <x:v>建禄格候选判为“成立但有破”：破格等级为“一般”，救应为“待定”，清纯度为“较清”；层次需结合全局继续评估。</x:v>
      </x:c>
      <x:c r="Z62" s="68" t="str">
        <x:v>若“格神失效、核心作用路径完全中断，或特殊格局硬门槛被有效反证否决”成立，应降低为成立但有破或不成立，不得维持当前结论。</x:v>
      </x:c>
      <x:c r="AA62" s="82" t="str">
        <x:v>较高</x:v>
      </x:c>
      <x:c r="AB62" s="82" t="str">
        <x:v>子平格局</x:v>
      </x:c>
      <x:c r="AC62" s="68" t="str">
        <x:v>格局成败须区分：格神是否有效、结构是否能运行、是否存在破坏、救应是否直接修复破格机制，以及格局成立与层次高低。</x:v>
      </x:c>
      <x:c r="AD62" s="68" t="str">
        <x:v>当“建禄成立但比劫过旺，财官食伤均弱或受阻”成立，且成格证据相互支持、无决定性否决时，可按本规则判断。</x:v>
      </x:c>
      <x:c r="AE62" s="90" t="str">
        <x:v>只有格局名称或局部组合，但“格神失效、核心作用路径完全中断，或特殊格局硬门槛被有效反证否决”成立时，不能按本规则维持格局。</x:v>
      </x:c>
      <x:c r="AF62" s="68" t="str">
        <x:v>https://zh.wikisource.org/zh-hans/%E6%B7%B5%E6%B5%B7%E5%AD%90%E5%B9%B3 ; https://zh.wikisource.org/wiki/%E6%BB%B4%E5%A4%A9%E9%AB%93%E9%97%A1%E5%BE%AE</x:v>
      </x:c>
      <x:c r="AG62" s="82" t="str">
        <x:v>采用</x:v>
      </x:c>
      <x:c r="AH62" s="82" t="str">
        <x:v>初审</x:v>
      </x:c>
      <x:c r="AI62" s="87" t="n">
        <x:v>46260</x:v>
      </x:c>
    </x:row>
    <x:row r="63">
      <x:c r="A63" s="72" t="str">
        <x:f>IF(OR(C63="",D63=""),"",B63&amp;"-"&amp;UPPER(C63)&amp;"-"&amp;TEXT(D63,"0000")&amp;"-"&amp;E63)</x:f>
        <x:v>M15-JIANREN-0057-V1.0</x:v>
      </x:c>
      <x:c r="B63" s="74" t="str">
        <x:v>M15</x:v>
      </x:c>
      <x:c r="C63" s="74" t="str">
        <x:v>JIANREN</x:v>
      </x:c>
      <x:c r="D63" s="215" t="n">
        <x:v>57</x:v>
      </x:c>
      <x:c r="E63" s="74" t="str">
        <x:v>V1.0</x:v>
      </x:c>
      <x:c r="F63" s="68" t="str">
        <x:v>羊刃格必须有有效制化才能稳定运行</x:v>
      </x:c>
      <x:c r="G63" s="82" t="str">
        <x:v>综合层</x:v>
      </x:c>
      <x:c r="H63" s="68" t="str">
        <x:v>羊刃格候选</x:v>
      </x:c>
      <x:c r="I63" s="68" t="str">
        <x:v>羊刃临月令并成势，官杀或食伤财星能够制泄强刃</x:v>
      </x:c>
      <x:c r="J63" s="68" t="str">
        <x:v>强身有明确制衡，不形成无序比劫壅塞</x:v>
      </x:c>
      <x:c r="K63" s="68" t="str">
        <x:v>无决定性破格因素</x:v>
      </x:c>
      <x:c r="L63" s="82" t="str">
        <x:v>无破</x:v>
      </x:c>
      <x:c r="M63" s="68" t="str">
        <x:v>无须救应</x:v>
      </x:c>
      <x:c r="N63" s="82" t="str">
        <x:v>无救应</x:v>
      </x:c>
      <x:c r="O63" s="84" t="str">
        <x:v>基本成立</x:v>
      </x:c>
      <x:c r="P63" s="82" t="str">
        <x:v>待定</x:v>
      </x:c>
      <x:c r="Q63" s="68" t="str">
        <x:v>刃势有权但受合理约束</x:v>
      </x:c>
      <x:c r="R63" s="68" t="str">
        <x:v>M14已生成候选；M08、M09、M10、M11相关结论可追溯</x:v>
      </x:c>
      <x:c r="S63" s="68" t="str">
        <x:v>格神与关键配合十神均以有效力量和实际功能为准</x:v>
      </x:c>
      <x:c r="T63" s="68" t="str">
        <x:v>格神得令、有根、透达、清纯，组合路径稳定且日主承载匹配</x:v>
      </x:c>
      <x:c r="U63" s="68" t="str">
        <x:v>格神受制、混杂、路径受阻、日主承载不足或救应只能局部作用</x:v>
      </x:c>
      <x:c r="V63" s="90" t="str">
        <x:v>格神失效、核心作用路径完全中断，或特殊格局硬门槛被有效反证否决</x:v>
      </x:c>
      <x:c r="W63" s="68" t="str">
        <x:v>特殊格局严格条件、流派争议及岁运补成另按专门规则处理</x:v>
      </x:c>
      <x:c r="X63" s="84" t="str">
        <x:v>羊刃格候选_成败救应</x:v>
      </x:c>
      <x:c r="Y63" s="84" t="str">
        <x:v>羊刃格候选判为“基本成立”：破格等级为“无破”，救应为“无救应”，清纯度为“待定”；层次需结合全局继续评估。</x:v>
      </x:c>
      <x:c r="Z63" s="68" t="str">
        <x:v>若“格神失效、核心作用路径完全中断，或特殊格局硬门槛被有效反证否决”成立，应降低为成立但有破或不成立，不得维持当前结论。</x:v>
      </x:c>
      <x:c r="AA63" s="82" t="str">
        <x:v>较高</x:v>
      </x:c>
      <x:c r="AB63" s="82" t="str">
        <x:v>子平格局</x:v>
      </x:c>
      <x:c r="AC63" s="68" t="str">
        <x:v>格局成败须区分：格神是否有效、结构是否能运行、是否存在破坏、救应是否直接修复破格机制，以及格局成立与层次高低。</x:v>
      </x:c>
      <x:c r="AD63" s="68" t="str">
        <x:v>当“羊刃临月令并成势，官杀或食伤财星能够制泄强刃”成立，且成格证据相互支持、无决定性否决时，可按本规则判断。</x:v>
      </x:c>
      <x:c r="AE63" s="90" t="str">
        <x:v>只有格局名称或局部组合，但“格神失效、核心作用路径完全中断，或特殊格局硬门槛被有效反证否决”成立时，不能按本规则维持格局。</x:v>
      </x:c>
      <x:c r="AF63" s="68" t="str">
        <x:v>https://zh.wikisource.org/zh-hans/%E6%B7%B5%E6%B5%B7%E5%AD%90%E5%B9%B3 ; https://zh.wikisource.org/wiki/%E6%BB%B4%E5%A4%A9%E9%AB%93%E9%97%A1%E5%BE%AE</x:v>
      </x:c>
      <x:c r="AG63" s="82" t="str">
        <x:v>采用</x:v>
      </x:c>
      <x:c r="AH63" s="82" t="str">
        <x:v>初审</x:v>
      </x:c>
      <x:c r="AI63" s="87" t="n">
        <x:v>46260</x:v>
      </x:c>
    </x:row>
    <x:row r="64">
      <x:c r="A64" s="72" t="str">
        <x:f>IF(OR(C64="",D64=""),"",B64&amp;"-"&amp;UPPER(C64)&amp;"-"&amp;TEXT(D64,"0000")&amp;"-"&amp;E64)</x:f>
        <x:v>M15-JIANREN-0058-V1.0</x:v>
      </x:c>
      <x:c r="B64" s="74" t="str">
        <x:v>M15</x:v>
      </x:c>
      <x:c r="C64" s="74" t="str">
        <x:v>JIANREN</x:v>
      </x:c>
      <x:c r="D64" s="215" t="n">
        <x:v>58</x:v>
      </x:c>
      <x:c r="E64" s="74" t="str">
        <x:v>V1.0</x:v>
      </x:c>
      <x:c r="F64" s="68" t="str">
        <x:v>羊刃驾杀比例适中可判清纯增强</x:v>
      </x:c>
      <x:c r="G64" s="82" t="str">
        <x:v>综合层</x:v>
      </x:c>
      <x:c r="H64" s="68" t="str">
        <x:v>羊刃格候选</x:v>
      </x:c>
      <x:c r="I64" s="68" t="str">
        <x:v>刃强、杀有权，七杀能制刃且日主承受不过度</x:v>
      </x:c>
      <x:c r="J64" s="68" t="str">
        <x:v>M11羊刃驾杀明显成立</x:v>
      </x:c>
      <x:c r="K64" s="68" t="str">
        <x:v>无决定性破格因素</x:v>
      </x:c>
      <x:c r="L64" s="82" t="str">
        <x:v>无破</x:v>
      </x:c>
      <x:c r="M64" s="68" t="str">
        <x:v>无须救应</x:v>
      </x:c>
      <x:c r="N64" s="82" t="str">
        <x:v>无救应</x:v>
      </x:c>
      <x:c r="O64" s="84" t="str">
        <x:v>清纯成立</x:v>
      </x:c>
      <x:c r="P64" s="82" t="str">
        <x:v>较清</x:v>
      </x:c>
      <x:c r="Q64" s="68" t="str">
        <x:v>强刃与七杀相互制衡，结构目标清晰</x:v>
      </x:c>
      <x:c r="R64" s="68" t="str">
        <x:v>M14已生成候选；M08、M09、M10、M11相关结论可追溯</x:v>
      </x:c>
      <x:c r="S64" s="68" t="str">
        <x:v>格神与关键配合十神均以有效力量和实际功能为准</x:v>
      </x:c>
      <x:c r="T64" s="68" t="str">
        <x:v>格神得令、有根、透达、清纯，组合路径稳定且日主承载匹配</x:v>
      </x:c>
      <x:c r="U64" s="68" t="str">
        <x:v>格神受制、混杂、路径受阻、日主承载不足或救应只能局部作用</x:v>
      </x:c>
      <x:c r="V64" s="90" t="str">
        <x:v>格神失效、核心作用路径完全中断，或特殊格局硬门槛被有效反证否决</x:v>
      </x:c>
      <x:c r="W64" s="68" t="str">
        <x:v>特殊格局严格条件、流派争议及岁运补成另按专门规则处理</x:v>
      </x:c>
      <x:c r="X64" s="84" t="str">
        <x:v>羊刃格_驾杀清纯</x:v>
      </x:c>
      <x:c r="Y64" s="84" t="str">
        <x:v>羊刃格候选判为“清纯成立”：破格等级为“无破”，救应为“无救应”，清纯度为“较清”；层次需结合全局继续评估。</x:v>
      </x:c>
      <x:c r="Z64" s="68" t="str">
        <x:v>若“格神失效、核心作用路径完全中断，或特殊格局硬门槛被有效反证否决”成立，应降低为成立但有破或不成立，不得维持当前结论。</x:v>
      </x:c>
      <x:c r="AA64" s="82" t="str">
        <x:v>较高</x:v>
      </x:c>
      <x:c r="AB64" s="82" t="str">
        <x:v>子平格局</x:v>
      </x:c>
      <x:c r="AC64" s="68" t="str">
        <x:v>格局成败须区分：格神是否有效、结构是否能运行、是否存在破坏、救应是否直接修复破格机制，以及格局成立与层次高低。</x:v>
      </x:c>
      <x:c r="AD64" s="68" t="str">
        <x:v>当“刃强、杀有权，七杀能制刃且日主承受不过度”成立，且成格证据相互支持、无决定性否决时，可按本规则判断。</x:v>
      </x:c>
      <x:c r="AE64" s="90" t="str">
        <x:v>只有格局名称或局部组合，但“格神失效、核心作用路径完全中断，或特殊格局硬门槛被有效反证否决”成立时，不能按本规则维持格局。</x:v>
      </x:c>
      <x:c r="AF64" s="68" t="str">
        <x:v>https://zh.wikisource.org/zh-hans/%E6%B7%B5%E6%B5%B7%E5%AD%90%E5%B9%B3 ; https://zh.wikisource.org/wiki/%E6%BB%B4%E5%A4%A9%E9%AB%93%E9%97%A1%E5%BE%AE</x:v>
      </x:c>
      <x:c r="AG64" s="82" t="str">
        <x:v>采用</x:v>
      </x:c>
      <x:c r="AH64" s="82" t="str">
        <x:v>初审</x:v>
      </x:c>
      <x:c r="AI64" s="87" t="n">
        <x:v>46260</x:v>
      </x:c>
    </x:row>
    <x:row r="65">
      <x:c r="A65" s="72" t="str">
        <x:f>IF(OR(C65="",D65=""),"",B65&amp;"-"&amp;UPPER(C65)&amp;"-"&amp;TEXT(D65,"0000")&amp;"-"&amp;E65)</x:f>
        <x:v>M15-JIANREN-0059-V1.0</x:v>
      </x:c>
      <x:c r="B65" s="74" t="str">
        <x:v>M15</x:v>
      </x:c>
      <x:c r="C65" s="74" t="str">
        <x:v>JIANREN</x:v>
      </x:c>
      <x:c r="D65" s="215" t="n">
        <x:v>59</x:v>
      </x:c>
      <x:c r="E65" s="74" t="str">
        <x:v>V1.0</x:v>
      </x:c>
      <x:c r="F65" s="68" t="str">
        <x:v>杀弱不能驾刃会降低羊刃格层次</x:v>
      </x:c>
      <x:c r="G65" s="82" t="str">
        <x:v>综合层</x:v>
      </x:c>
      <x:c r="H65" s="68" t="str">
        <x:v>羊刃格候选</x:v>
      </x:c>
      <x:c r="I65" s="68" t="str">
        <x:v>羊刃成势但七杀弱、无根或失效</x:v>
      </x:c>
      <x:c r="J65" s="68" t="str">
        <x:v>月令依据、格神根气与有效力量、日主配合及M11组合证据相互支持</x:v>
      </x:c>
      <x:c r="K65" s="68" t="str">
        <x:v>制刃力量不足</x:v>
      </x:c>
      <x:c r="L65" s="82" t="str">
        <x:v>一般</x:v>
      </x:c>
      <x:c r="M65" s="68" t="str">
        <x:v>增强官杀有效性或以食伤泄刃</x:v>
      </x:c>
      <x:c r="N65" s="82" t="str">
        <x:v>待定</x:v>
      </x:c>
      <x:c r="O65" s="84" t="str">
        <x:v>成立但有破</x:v>
      </x:c>
      <x:c r="P65" s="82" t="str">
        <x:v>较清</x:v>
      </x:c>
      <x:c r="Q65" s="68" t="str">
        <x:v>刃势缺乏约束，结构偏于壅滞</x:v>
      </x:c>
      <x:c r="R65" s="68" t="str">
        <x:v>M14已生成候选；M08、M09、M10、M11相关结论可追溯</x:v>
      </x:c>
      <x:c r="S65" s="68" t="str">
        <x:v>格神与关键配合十神均以有效力量和实际功能为准</x:v>
      </x:c>
      <x:c r="T65" s="68" t="str">
        <x:v>格神得令、有根、透达、清纯，组合路径稳定且日主承载匹配</x:v>
      </x:c>
      <x:c r="U65" s="68" t="str">
        <x:v>格神受制、混杂、路径受阻、日主承载不足或救应只能局部作用</x:v>
      </x:c>
      <x:c r="V65" s="90" t="str">
        <x:v>格神失效、核心作用路径完全中断，或特殊格局硬门槛被有效反证否决</x:v>
      </x:c>
      <x:c r="W65" s="68" t="str">
        <x:v>特殊格局严格条件、流派争议及岁运补成另按专门规则处理</x:v>
      </x:c>
      <x:c r="X65" s="84" t="str">
        <x:v>羊刃格_杀弱</x:v>
      </x:c>
      <x:c r="Y65" s="84" t="str">
        <x:v>羊刃格候选判为“成立但有破”：破格等级为“一般”，救应为“待定”，清纯度为“较清”；层次需结合全局继续评估。</x:v>
      </x:c>
      <x:c r="Z65" s="68" t="str">
        <x:v>若“格神失效、核心作用路径完全中断，或特殊格局硬门槛被有效反证否决”成立，应降低为成立但有破或不成立，不得维持当前结论。</x:v>
      </x:c>
      <x:c r="AA65" s="82" t="str">
        <x:v>较高</x:v>
      </x:c>
      <x:c r="AB65" s="82" t="str">
        <x:v>子平格局</x:v>
      </x:c>
      <x:c r="AC65" s="68" t="str">
        <x:v>格局成败须区分：格神是否有效、结构是否能运行、是否存在破坏、救应是否直接修复破格机制，以及格局成立与层次高低。</x:v>
      </x:c>
      <x:c r="AD65" s="68" t="str">
        <x:v>当“羊刃成势但七杀弱、无根或失效”成立，且成格证据相互支持、无决定性否决时，可按本规则判断。</x:v>
      </x:c>
      <x:c r="AE65" s="90" t="str">
        <x:v>只有格局名称或局部组合，但“格神失效、核心作用路径完全中断，或特殊格局硬门槛被有效反证否决”成立时，不能按本规则维持格局。</x:v>
      </x:c>
      <x:c r="AF65" s="68" t="str">
        <x:v>https://zh.wikisource.org/zh-hans/%E6%B7%B5%E6%B5%B7%E5%AD%90%E5%B9%B3 ; https://zh.wikisource.org/wiki/%E6%BB%B4%E5%A4%A9%E9%AB%93%E9%97%A1%E5%BE%AE</x:v>
      </x:c>
      <x:c r="AG65" s="82" t="str">
        <x:v>采用</x:v>
      </x:c>
      <x:c r="AH65" s="82" t="str">
        <x:v>初审</x:v>
      </x:c>
      <x:c r="AI65" s="87" t="n">
        <x:v>46260</x:v>
      </x:c>
    </x:row>
    <x:row r="66">
      <x:c r="A66" s="72" t="str">
        <x:f>IF(OR(C66="",D66=""),"",B66&amp;"-"&amp;UPPER(C66)&amp;"-"&amp;TEXT(D66,"0000")&amp;"-"&amp;E66)</x:f>
        <x:v>M15-JIANREN-0060-V1.0</x:v>
      </x:c>
      <x:c r="B66" s="74" t="str">
        <x:v>M15</x:v>
      </x:c>
      <x:c r="C66" s="74" t="str">
        <x:v>JIANREN</x:v>
      </x:c>
      <x:c r="D66" s="215" t="n">
        <x:v>60</x:v>
      </x:c>
      <x:c r="E66" s="74" t="str">
        <x:v>V1.0</x:v>
      </x:c>
      <x:c r="F66" s="68" t="str">
        <x:v>制刃太过会使平衡结构失效</x:v>
      </x:c>
      <x:c r="G66" s="82" t="str">
        <x:v>综合层</x:v>
      </x:c>
      <x:c r="H66" s="68" t="str">
        <x:v>羊刃格候选</x:v>
      </x:c>
      <x:c r="I66" s="68" t="str">
        <x:v>羊刃格以官杀制刃运行</x:v>
      </x:c>
      <x:c r="J66" s="68" t="str">
        <x:v>月令依据、格神根气与有效力量、日主配合及M11组合证据相互支持</x:v>
      </x:c>
      <x:c r="K66" s="68" t="str">
        <x:v>官杀过强，日主和比劫承载被压至不足</x:v>
      </x:c>
      <x:c r="L66" s="82" t="str">
        <x:v>一般</x:v>
      </x:c>
      <x:c r="M66" s="68" t="str">
        <x:v>印星化杀或比劫补充承载</x:v>
      </x:c>
      <x:c r="N66" s="82" t="str">
        <x:v>待定</x:v>
      </x:c>
      <x:c r="O66" s="84" t="str">
        <x:v>成立但有破</x:v>
      </x:c>
      <x:c r="P66" s="82" t="str">
        <x:v>有杂</x:v>
      </x:c>
      <x:c r="Q66" s="68" t="str">
        <x:v>由驾杀平衡转为官杀压身，格局层次下降</x:v>
      </x:c>
      <x:c r="R66" s="68" t="str">
        <x:v>M14已生成候选；M08、M09、M10、M11相关结论可追溯</x:v>
      </x:c>
      <x:c r="S66" s="68" t="str">
        <x:v>格神与关键配合十神均以有效力量和实际功能为准</x:v>
      </x:c>
      <x:c r="T66" s="68" t="str">
        <x:v>格神得令、有根、透达、清纯，组合路径稳定且日主承载匹配</x:v>
      </x:c>
      <x:c r="U66" s="68" t="str">
        <x:v>格神受制、混杂、路径受阻、日主承载不足或救应只能局部作用</x:v>
      </x:c>
      <x:c r="V66" s="90" t="str">
        <x:v>格神失效、核心作用路径完全中断，或特殊格局硬门槛被有效反证否决</x:v>
      </x:c>
      <x:c r="W66" s="68" t="str">
        <x:v>特殊格局严格条件、流派争议及岁运补成另按专门规则处理</x:v>
      </x:c>
      <x:c r="X66" s="84" t="str">
        <x:v>羊刃格_制刃太过</x:v>
      </x:c>
      <x:c r="Y66" s="84" t="str">
        <x:v>羊刃格候选判为“成立但有破”：破格等级为“一般”，救应为“待定”，清纯度为“有杂”；层次需结合全局继续评估。</x:v>
      </x:c>
      <x:c r="Z66" s="68" t="str">
        <x:v>若“格神失效、核心作用路径完全中断，或特殊格局硬门槛被有效反证否决”成立，应降低为成立但有破或不成立，不得维持当前结论。</x:v>
      </x:c>
      <x:c r="AA66" s="82" t="str">
        <x:v>较高</x:v>
      </x:c>
      <x:c r="AB66" s="82" t="str">
        <x:v>子平格局</x:v>
      </x:c>
      <x:c r="AC66" s="68" t="str">
        <x:v>格局成败须区分：格神是否有效、结构是否能运行、是否存在破坏、救应是否直接修复破格机制，以及格局成立与层次高低。</x:v>
      </x:c>
      <x:c r="AD66" s="68" t="str">
        <x:v>当“羊刃格以官杀制刃运行”成立，且成格证据相互支持、无决定性否决时，可按本规则判断。</x:v>
      </x:c>
      <x:c r="AE66" s="90" t="str">
        <x:v>只有格局名称或局部组合，但“格神失效、核心作用路径完全中断，或特殊格局硬门槛被有效反证否决”成立时，不能按本规则维持格局。</x:v>
      </x:c>
      <x:c r="AF66" s="68" t="str">
        <x:v>https://zh.wikisource.org/zh-hans/%E6%B7%B5%E6%B5%B7%E5%AD%90%E5%B9%B3 ; https://zh.wikisource.org/wiki/%E6%BB%B4%E5%A4%A9%E9%AB%93%E9%97%A1%E5%BE%AE</x:v>
      </x:c>
      <x:c r="AG66" s="82" t="str">
        <x:v>采用</x:v>
      </x:c>
      <x:c r="AH66" s="82" t="str">
        <x:v>初审</x:v>
      </x:c>
      <x:c r="AI66" s="87" t="n">
        <x:v>46260</x:v>
      </x:c>
    </x:row>
    <x:row r="67">
      <x:c r="A67" s="72" t="str">
        <x:f>IF(OR(C67="",D67=""),"",B67&amp;"-"&amp;UPPER(C67)&amp;"-"&amp;TEXT(D67,"0000")&amp;"-"&amp;E67)</x:f>
        <x:v>M15-CONG-0061-V1.0</x:v>
      </x:c>
      <x:c r="B67" s="74" t="str">
        <x:v>M15</x:v>
      </x:c>
      <x:c r="C67" s="74" t="str">
        <x:v>CONG</x:v>
      </x:c>
      <x:c r="D67" s="215" t="n">
        <x:v>61</x:v>
      </x:c>
      <x:c r="E67" s="74" t="str">
        <x:v>V1.0</x:v>
      </x:c>
      <x:c r="F67" s="68" t="str">
        <x:v>真从必须全部通过无依与主势集中硬门槛</x:v>
      </x:c>
      <x:c r="G67" s="82" t="str">
        <x:v>综合层</x:v>
      </x:c>
      <x:c r="H67" s="68" t="str">
        <x:v>从格候选</x:v>
      </x:c>
      <x:c r="I67" s="68" t="str">
        <x:v>日主极弱无有效根，无有效印比，主导集团旺极且方向一致</x:v>
      </x:c>
      <x:c r="J67" s="68" t="str">
        <x:v>M14从格候选的所有严格条件同时成立</x:v>
      </x:c>
      <x:c r="K67" s="68" t="str">
        <x:v>无逆势有效力量</x:v>
      </x:c>
      <x:c r="L67" s="82" t="str">
        <x:v>无破</x:v>
      </x:c>
      <x:c r="M67" s="68" t="str">
        <x:v>无须救应</x:v>
      </x:c>
      <x:c r="N67" s="82" t="str">
        <x:v>无救应</x:v>
      </x:c>
      <x:c r="O67" s="84" t="str">
        <x:v>特殊格局严格成立</x:v>
      </x:c>
      <x:c r="P67" s="82" t="str">
        <x:v>清纯</x:v>
      </x:c>
      <x:c r="Q67" s="68" t="str">
        <x:v>真从成立，普通扶抑逻辑需让位于顺势原则</x:v>
      </x:c>
      <x:c r="R67" s="68" t="str">
        <x:v>M14已生成候选；M08、M09、M10、M11相关结论可追溯</x:v>
      </x:c>
      <x:c r="S67" s="68" t="str">
        <x:v>格神与关键配合十神均以有效力量和实际功能为准</x:v>
      </x:c>
      <x:c r="T67" s="68" t="str">
        <x:v>格神得令、有根、透达、清纯，组合路径稳定且日主承载匹配</x:v>
      </x:c>
      <x:c r="U67" s="68" t="str">
        <x:v>格神受制、混杂、路径受阻、日主承载不足或救应只能局部作用</x:v>
      </x:c>
      <x:c r="V67" s="90" t="str">
        <x:v>格神失效、核心作用路径完全中断，或特殊格局硬门槛被有效反证否决</x:v>
      </x:c>
      <x:c r="W67" s="68" t="str">
        <x:v>任何有效强根或有力印比都需重新否决真从</x:v>
      </x:c>
      <x:c r="X67" s="84" t="str">
        <x:v>真从严格成立</x:v>
      </x:c>
      <x:c r="Y67" s="84" t="str">
        <x:v>从格候选判为“特殊格局严格成立”：破格等级为“无破”，救应为“无救应”，清纯度为“清纯”；层次需结合全局继续评估。</x:v>
      </x:c>
      <x:c r="Z67" s="68" t="str">
        <x:v>若“格神失效、核心作用路径完全中断，或特殊格局硬门槛被有效反证否决”成立，应降低为成立但有破或不成立，不得维持当前结论。</x:v>
      </x:c>
      <x:c r="AA67" s="82" t="str">
        <x:v>较高</x:v>
      </x:c>
      <x:c r="AB67" s="82" t="str">
        <x:v>子平格局</x:v>
      </x:c>
      <x:c r="AC67" s="68" t="str">
        <x:v>格局成败须区分：格神是否有效、结构是否能运行、是否存在破坏、救应是否直接修复破格机制，以及格局成立与层次高低。</x:v>
      </x:c>
      <x:c r="AD67" s="68" t="str">
        <x:v>当“日主极弱无有效根，无有效印比，主导集团旺极且方向一致”成立，且成格证据相互支持、无决定性否决时，可按本规则判断。</x:v>
      </x:c>
      <x:c r="AE67" s="90" t="str">
        <x:v>只有格局名称或局部组合，但“格神失效、核心作用路径完全中断，或特殊格局硬门槛被有效反证否决”成立时，不能按本规则维持格局。</x:v>
      </x:c>
      <x:c r="AF67" s="68" t="str">
        <x:v>https://zh.wikisource.org/wiki/%E6%BB%B4%E5%A4%A9%E9%AB%93%E9%97%A1%E5%BE%AE ; https://zh.wikisource.org/zh-hans/%E6%BB%B4%E5%A4%A9%E9%AB%93</x:v>
      </x:c>
      <x:c r="AG67" s="82" t="str">
        <x:v>采用</x:v>
      </x:c>
      <x:c r="AH67" s="82" t="str">
        <x:v>初审</x:v>
      </x:c>
      <x:c r="AI67" s="87" t="n">
        <x:v>46260</x:v>
      </x:c>
    </x:row>
    <x:row r="68">
      <x:c r="A68" s="72" t="str">
        <x:f>IF(OR(C68="",D68=""),"",B68&amp;"-"&amp;UPPER(C68)&amp;"-"&amp;TEXT(D68,"0000")&amp;"-"&amp;E68)</x:f>
        <x:v>M15-CONG-0062-V1.0</x:v>
      </x:c>
      <x:c r="B68" s="74" t="str">
        <x:v>M15</x:v>
      </x:c>
      <x:c r="C68" s="74" t="str">
        <x:v>CONG</x:v>
      </x:c>
      <x:c r="D68" s="215" t="n">
        <x:v>62</x:v>
      </x:c>
      <x:c r="E68" s="74" t="str">
        <x:v>V1.0</x:v>
      </x:c>
      <x:c r="F68" s="68" t="str">
        <x:v>从财格严格成立要求财势绝对主导</x:v>
      </x:c>
      <x:c r="G68" s="82" t="str">
        <x:v>综合层</x:v>
      </x:c>
      <x:c r="H68" s="68" t="str">
        <x:v>从财格候选</x:v>
      </x:c>
      <x:c r="I68" s="68" t="str">
        <x:v>财星得令成势，日主无根无印比，其他异党顺财势或不成逆势</x:v>
      </x:c>
      <x:c r="J68" s="68" t="str">
        <x:v>财集团覆盖月令、透干、根气和主要流通终点</x:v>
      </x:c>
      <x:c r="K68" s="68" t="str">
        <x:v>无决定性破格因素</x:v>
      </x:c>
      <x:c r="L68" s="82" t="str">
        <x:v>无破</x:v>
      </x:c>
      <x:c r="M68" s="68" t="str">
        <x:v>无须救应</x:v>
      </x:c>
      <x:c r="N68" s="82" t="str">
        <x:v>无救应</x:v>
      </x:c>
      <x:c r="O68" s="84" t="str">
        <x:v>特殊格局严格成立</x:v>
      </x:c>
      <x:c r="P68" s="82" t="str">
        <x:v>较清</x:v>
      </x:c>
      <x:c r="Q68" s="68" t="str">
        <x:v>全局顺财势运行，任何扶身强根都会破从</x:v>
      </x:c>
      <x:c r="R68" s="68" t="str">
        <x:v>M14已生成候选；M08、M09、M10、M11相关结论可追溯</x:v>
      </x:c>
      <x:c r="S68" s="68" t="str">
        <x:v>格神与关键配合十神均以有效力量和实际功能为准</x:v>
      </x:c>
      <x:c r="T68" s="68" t="str">
        <x:v>格神得令、有根、透达、清纯，组合路径稳定且日主承载匹配</x:v>
      </x:c>
      <x:c r="U68" s="68" t="str">
        <x:v>格神受制、混杂、路径受阻、日主承载不足或救应只能局部作用</x:v>
      </x:c>
      <x:c r="V68" s="90" t="str">
        <x:v>格神失效、核心作用路径完全中断，或特殊格局硬门槛被有效反证否决</x:v>
      </x:c>
      <x:c r="W68" s="68" t="str">
        <x:v>特殊格局严格条件、流派争议及岁运补成另按专门规则处理</x:v>
      </x:c>
      <x:c r="X68" s="84" t="str">
        <x:v>从财格_严格成立</x:v>
      </x:c>
      <x:c r="Y68" s="84" t="str">
        <x:v>从财格候选判为“特殊格局严格成立”：破格等级为“无破”，救应为“无救应”，清纯度为“较清”；层次需结合全局继续评估。</x:v>
      </x:c>
      <x:c r="Z68" s="68" t="str">
        <x:v>若“格神失效、核心作用路径完全中断，或特殊格局硬门槛被有效反证否决”成立，应降低为成立但有破或不成立，不得维持当前结论。</x:v>
      </x:c>
      <x:c r="AA68" s="82" t="str">
        <x:v>较高</x:v>
      </x:c>
      <x:c r="AB68" s="82" t="str">
        <x:v>子平格局</x:v>
      </x:c>
      <x:c r="AC68" s="68" t="str">
        <x:v>格局成败须区分：格神是否有效、结构是否能运行、是否存在破坏、救应是否直接修复破格机制，以及格局成立与层次高低。</x:v>
      </x:c>
      <x:c r="AD68" s="68" t="str">
        <x:v>当“财星得令成势，日主无根无印比，其他异党顺财势或不成逆势”成立，且成格证据相互支持、无决定性否决时，可按本规则判断。</x:v>
      </x:c>
      <x:c r="AE68" s="90" t="str">
        <x:v>只有格局名称或局部组合，但“格神失效、核心作用路径完全中断，或特殊格局硬门槛被有效反证否决”成立时，不能按本规则维持格局。</x:v>
      </x:c>
      <x:c r="AF68" s="68" t="str">
        <x:v>https://zh.wikisource.org/wiki/%E6%BB%B4%E5%A4%A9%E9%AB%93%E9%97%A1%E5%BE%AE ; https://zh.wikisource.org/zh-hans/%E6%BB%B4%E5%A4%A9%E9%AB%93</x:v>
      </x:c>
      <x:c r="AG68" s="82" t="str">
        <x:v>采用</x:v>
      </x:c>
      <x:c r="AH68" s="82" t="str">
        <x:v>初审</x:v>
      </x:c>
      <x:c r="AI68" s="87" t="n">
        <x:v>46260</x:v>
      </x:c>
    </x:row>
    <x:row r="69">
      <x:c r="A69" s="72" t="str">
        <x:f>IF(OR(C69="",D69=""),"",B69&amp;"-"&amp;UPPER(C69)&amp;"-"&amp;TEXT(D69,"0000")&amp;"-"&amp;E69)</x:f>
        <x:v>M15-CONG-0063-V1.0</x:v>
      </x:c>
      <x:c r="B69" s="74" t="str">
        <x:v>M15</x:v>
      </x:c>
      <x:c r="C69" s="74" t="str">
        <x:v>CONG</x:v>
      </x:c>
      <x:c r="D69" s="215" t="n">
        <x:v>63</x:v>
      </x:c>
      <x:c r="E69" s="74" t="str">
        <x:v>V1.0</x:v>
      </x:c>
      <x:c r="F69" s="68" t="str">
        <x:v>从官杀格严格成立要求官杀绝对主导</x:v>
      </x:c>
      <x:c r="G69" s="82" t="str">
        <x:v>综合层</x:v>
      </x:c>
      <x:c r="H69" s="68" t="str">
        <x:v>从官杀格候选</x:v>
      </x:c>
      <x:c r="I69" s="68" t="str">
        <x:v>官杀得令成势，日主无依，食伤不能有效反制，印比不能自立</x:v>
      </x:c>
      <x:c r="J69" s="68" t="str">
        <x:v>官杀集团成为全局唯一或绝对主势</x:v>
      </x:c>
      <x:c r="K69" s="68" t="str">
        <x:v>无决定性破格因素</x:v>
      </x:c>
      <x:c r="L69" s="82" t="str">
        <x:v>无破</x:v>
      </x:c>
      <x:c r="M69" s="68" t="str">
        <x:v>无须救应</x:v>
      </x:c>
      <x:c r="N69" s="82" t="str">
        <x:v>无救应</x:v>
      </x:c>
      <x:c r="O69" s="84" t="str">
        <x:v>特殊格局严格成立</x:v>
      </x:c>
      <x:c r="P69" s="82" t="str">
        <x:v>较清</x:v>
      </x:c>
      <x:c r="Q69" s="68" t="str">
        <x:v>全局顺官杀势运行，逆势印比食伤为破格因素</x:v>
      </x:c>
      <x:c r="R69" s="68" t="str">
        <x:v>M14已生成候选；M08、M09、M10、M11相关结论可追溯</x:v>
      </x:c>
      <x:c r="S69" s="68" t="str">
        <x:v>格神与关键配合十神均以有效力量和实际功能为准</x:v>
      </x:c>
      <x:c r="T69" s="68" t="str">
        <x:v>格神得令、有根、透达、清纯，组合路径稳定且日主承载匹配</x:v>
      </x:c>
      <x:c r="U69" s="68" t="str">
        <x:v>格神受制、混杂、路径受阻、日主承载不足或救应只能局部作用</x:v>
      </x:c>
      <x:c r="V69" s="90" t="str">
        <x:v>格神失效、核心作用路径完全中断，或特殊格局硬门槛被有效反证否决</x:v>
      </x:c>
      <x:c r="W69" s="68" t="str">
        <x:v>特殊格局严格条件、流派争议及岁运补成另按专门规则处理</x:v>
      </x:c>
      <x:c r="X69" s="84" t="str">
        <x:v>从官杀格_严格成立</x:v>
      </x:c>
      <x:c r="Y69" s="84" t="str">
        <x:v>从官杀格候选判为“特殊格局严格成立”：破格等级为“无破”，救应为“无救应”，清纯度为“较清”；层次需结合全局继续评估。</x:v>
      </x:c>
      <x:c r="Z69" s="68" t="str">
        <x:v>若“格神失效、核心作用路径完全中断，或特殊格局硬门槛被有效反证否决”成立，应降低为成立但有破或不成立，不得维持当前结论。</x:v>
      </x:c>
      <x:c r="AA69" s="82" t="str">
        <x:v>较高</x:v>
      </x:c>
      <x:c r="AB69" s="82" t="str">
        <x:v>子平格局</x:v>
      </x:c>
      <x:c r="AC69" s="68" t="str">
        <x:v>格局成败须区分：格神是否有效、结构是否能运行、是否存在破坏、救应是否直接修复破格机制，以及格局成立与层次高低。</x:v>
      </x:c>
      <x:c r="AD69" s="68" t="str">
        <x:v>当“官杀得令成势，日主无依，食伤不能有效反制，印比不能自立”成立，且成格证据相互支持、无决定性否决时，可按本规则判断。</x:v>
      </x:c>
      <x:c r="AE69" s="90" t="str">
        <x:v>只有格局名称或局部组合，但“格神失效、核心作用路径完全中断，或特殊格局硬门槛被有效反证否决”成立时，不能按本规则维持格局。</x:v>
      </x:c>
      <x:c r="AF69" s="68" t="str">
        <x:v>https://zh.wikisource.org/wiki/%E6%BB%B4%E5%A4%A9%E9%AB%93%E9%97%A1%E5%BE%AE ; https://zh.wikisource.org/zh-hans/%E6%BB%B4%E5%A4%A9%E9%AB%93</x:v>
      </x:c>
      <x:c r="AG69" s="82" t="str">
        <x:v>采用</x:v>
      </x:c>
      <x:c r="AH69" s="82" t="str">
        <x:v>初审</x:v>
      </x:c>
      <x:c r="AI69" s="87" t="n">
        <x:v>46260</x:v>
      </x:c>
    </x:row>
    <x:row r="70">
      <x:c r="A70" s="72" t="str">
        <x:f>IF(OR(C70="",D70=""),"",B70&amp;"-"&amp;UPPER(C70)&amp;"-"&amp;TEXT(D70,"0000")&amp;"-"&amp;E70)</x:f>
        <x:v>M15-CONG-0064-V1.0</x:v>
      </x:c>
      <x:c r="B70" s="74" t="str">
        <x:v>M15</x:v>
      </x:c>
      <x:c r="C70" s="74" t="str">
        <x:v>CONG</x:v>
      </x:c>
      <x:c r="D70" s="215" t="n">
        <x:v>64</x:v>
      </x:c>
      <x:c r="E70" s="74" t="str">
        <x:v>V1.0</x:v>
      </x:c>
      <x:c r="F70" s="68" t="str">
        <x:v>从儿格严格成立要求食伤主导且印不夺食</x:v>
      </x:c>
      <x:c r="G70" s="82" t="str">
        <x:v>综合层</x:v>
      </x:c>
      <x:c r="H70" s="68" t="str">
        <x:v>从儿格候选</x:v>
      </x:c>
      <x:c r="I70" s="68" t="str">
        <x:v>食伤得令成势，日主顺泄，财可承接，印星不能有效制食伤</x:v>
      </x:c>
      <x:c r="J70" s="68" t="str">
        <x:v>身→食伤→财路径成为全局主线</x:v>
      </x:c>
      <x:c r="K70" s="68" t="str">
        <x:v>无决定性破格因素</x:v>
      </x:c>
      <x:c r="L70" s="82" t="str">
        <x:v>无破</x:v>
      </x:c>
      <x:c r="M70" s="68" t="str">
        <x:v>无须救应</x:v>
      </x:c>
      <x:c r="N70" s="82" t="str">
        <x:v>无救应</x:v>
      </x:c>
      <x:c r="O70" s="84" t="str">
        <x:v>特殊格局严格成立</x:v>
      </x:c>
      <x:c r="P70" s="82" t="str">
        <x:v>较清</x:v>
      </x:c>
      <x:c r="Q70" s="68" t="str">
        <x:v>全局顺食伤之势，强印或官杀逆流会破格</x:v>
      </x:c>
      <x:c r="R70" s="68" t="str">
        <x:v>M14已生成候选；M08、M09、M10、M11相关结论可追溯</x:v>
      </x:c>
      <x:c r="S70" s="68" t="str">
        <x:v>格神与关键配合十神均以有效力量和实际功能为准</x:v>
      </x:c>
      <x:c r="T70" s="68" t="str">
        <x:v>格神得令、有根、透达、清纯，组合路径稳定且日主承载匹配</x:v>
      </x:c>
      <x:c r="U70" s="68" t="str">
        <x:v>格神受制、混杂、路径受阻、日主承载不足或救应只能局部作用</x:v>
      </x:c>
      <x:c r="V70" s="90" t="str">
        <x:v>格神失效、核心作用路径完全中断，或特殊格局硬门槛被有效反证否决</x:v>
      </x:c>
      <x:c r="W70" s="68" t="str">
        <x:v>特殊格局严格条件、流派争议及岁运补成另按专门规则处理</x:v>
      </x:c>
      <x:c r="X70" s="84" t="str">
        <x:v>从儿格_严格成立</x:v>
      </x:c>
      <x:c r="Y70" s="84" t="str">
        <x:v>从儿格候选判为“特殊格局严格成立”：破格等级为“无破”，救应为“无救应”，清纯度为“较清”；层次需结合全局继续评估。</x:v>
      </x:c>
      <x:c r="Z70" s="68" t="str">
        <x:v>若“格神失效、核心作用路径完全中断，或特殊格局硬门槛被有效反证否决”成立，应降低为成立但有破或不成立，不得维持当前结论。</x:v>
      </x:c>
      <x:c r="AA70" s="82" t="str">
        <x:v>较高</x:v>
      </x:c>
      <x:c r="AB70" s="82" t="str">
        <x:v>子平格局</x:v>
      </x:c>
      <x:c r="AC70" s="68" t="str">
        <x:v>格局成败须区分：格神是否有效、结构是否能运行、是否存在破坏、救应是否直接修复破格机制，以及格局成立与层次高低。</x:v>
      </x:c>
      <x:c r="AD70" s="68" t="str">
        <x:v>当“食伤得令成势，日主顺泄，财可承接，印星不能有效制食伤”成立，且成格证据相互支持、无决定性否决时，可按本规则判断。</x:v>
      </x:c>
      <x:c r="AE70" s="90" t="str">
        <x:v>只有格局名称或局部组合，但“格神失效、核心作用路径完全中断，或特殊格局硬门槛被有效反证否决”成立时，不能按本规则维持格局。</x:v>
      </x:c>
      <x:c r="AF70" s="68" t="str">
        <x:v>https://zh.wikisource.org/wiki/%E6%BB%B4%E5%A4%A9%E9%AB%93%E9%97%A1%E5%BE%AE ; https://zh.wikisource.org/zh-hans/%E6%BB%B4%E5%A4%A9%E9%AB%93</x:v>
      </x:c>
      <x:c r="AG70" s="82" t="str">
        <x:v>采用</x:v>
      </x:c>
      <x:c r="AH70" s="82" t="str">
        <x:v>初审</x:v>
      </x:c>
      <x:c r="AI70" s="87" t="n">
        <x:v>46260</x:v>
      </x:c>
    </x:row>
    <x:row r="71">
      <x:c r="A71" s="72" t="str">
        <x:f>IF(OR(C71="",D71=""),"",B71&amp;"-"&amp;UPPER(C71)&amp;"-"&amp;TEXT(D71,"0000")&amp;"-"&amp;E71)</x:f>
        <x:v>M15-CONG-0065-V1.0</x:v>
      </x:c>
      <x:c r="B71" s="74" t="str">
        <x:v>M15</x:v>
      </x:c>
      <x:c r="C71" s="74" t="str">
        <x:v>CONG</x:v>
      </x:c>
      <x:c r="D71" s="215" t="n">
        <x:v>65</x:v>
      </x:c>
      <x:c r="E71" s="74" t="str">
        <x:v>V1.0</x:v>
      </x:c>
      <x:c r="F71" s="68" t="str">
        <x:v>从旺格严格成立要求比劫一气且无有效制约</x:v>
      </x:c>
      <x:c r="G71" s="82" t="str">
        <x:v>综合层</x:v>
      </x:c>
      <x:c r="H71" s="68" t="str">
        <x:v>从旺格候选</x:v>
      </x:c>
      <x:c r="I71" s="68" t="str">
        <x:v>日主与比劫极旺，官杀无力，财星不能形成独立对抗，印星顺势生旺</x:v>
      </x:c>
      <x:c r="J71" s="68" t="str">
        <x:v>同类集团覆盖月令、透干与多重强根</x:v>
      </x:c>
      <x:c r="K71" s="68" t="str">
        <x:v>无决定性破格因素</x:v>
      </x:c>
      <x:c r="L71" s="82" t="str">
        <x:v>无破</x:v>
      </x:c>
      <x:c r="M71" s="68" t="str">
        <x:v>无须救应</x:v>
      </x:c>
      <x:c r="N71" s="82" t="str">
        <x:v>无救应</x:v>
      </x:c>
      <x:c r="O71" s="84" t="str">
        <x:v>特殊格局严格成立</x:v>
      </x:c>
      <x:c r="P71" s="82" t="str">
        <x:v>较清</x:v>
      </x:c>
      <x:c r="Q71" s="68" t="str">
        <x:v>顺其旺势，普通克制性用神需谨慎</x:v>
      </x:c>
      <x:c r="R71" s="68" t="str">
        <x:v>M14已生成候选；M08、M09、M10、M11相关结论可追溯</x:v>
      </x:c>
      <x:c r="S71" s="68" t="str">
        <x:v>格神与关键配合十神均以有效力量和实际功能为准</x:v>
      </x:c>
      <x:c r="T71" s="68" t="str">
        <x:v>格神得令、有根、透达、清纯，组合路径稳定且日主承载匹配</x:v>
      </x:c>
      <x:c r="U71" s="68" t="str">
        <x:v>格神受制、混杂、路径受阻、日主承载不足或救应只能局部作用</x:v>
      </x:c>
      <x:c r="V71" s="90" t="str">
        <x:v>格神失效、核心作用路径完全中断，或特殊格局硬门槛被有效反证否决</x:v>
      </x:c>
      <x:c r="W71" s="68" t="str">
        <x:v>特殊格局严格条件、流派争议及岁运补成另按专门规则处理</x:v>
      </x:c>
      <x:c r="X71" s="84" t="str">
        <x:v>从旺格_严格成立</x:v>
      </x:c>
      <x:c r="Y71" s="84" t="str">
        <x:v>从旺格候选判为“特殊格局严格成立”：破格等级为“无破”，救应为“无救应”，清纯度为“较清”；层次需结合全局继续评估。</x:v>
      </x:c>
      <x:c r="Z71" s="68" t="str">
        <x:v>若“格神失效、核心作用路径完全中断，或特殊格局硬门槛被有效反证否决”成立，应降低为成立但有破或不成立，不得维持当前结论。</x:v>
      </x:c>
      <x:c r="AA71" s="82" t="str">
        <x:v>较高</x:v>
      </x:c>
      <x:c r="AB71" s="82" t="str">
        <x:v>子平格局</x:v>
      </x:c>
      <x:c r="AC71" s="68" t="str">
        <x:v>格局成败须区分：格神是否有效、结构是否能运行、是否存在破坏、救应是否直接修复破格机制，以及格局成立与层次高低。</x:v>
      </x:c>
      <x:c r="AD71" s="68" t="str">
        <x:v>当“日主与比劫极旺，官杀无力，财星不能形成独立对抗，印星顺势生旺”成立，且成格证据相互支持、无决定性否决时，可按本规则判断。</x:v>
      </x:c>
      <x:c r="AE71" s="90" t="str">
        <x:v>只有格局名称或局部组合，但“格神失效、核心作用路径完全中断，或特殊格局硬门槛被有效反证否决”成立时，不能按本规则维持格局。</x:v>
      </x:c>
      <x:c r="AF71" s="68" t="str">
        <x:v>https://zh.wikisource.org/wiki/%E6%BB%B4%E5%A4%A9%E9%AB%93%E9%97%A1%E5%BE%AE ; https://zh.wikisource.org/zh-hans/%E6%BB%B4%E5%A4%A9%E9%AB%93</x:v>
      </x:c>
      <x:c r="AG71" s="82" t="str">
        <x:v>采用</x:v>
      </x:c>
      <x:c r="AH71" s="82" t="str">
        <x:v>初审</x:v>
      </x:c>
      <x:c r="AI71" s="87" t="n">
        <x:v>46260</x:v>
      </x:c>
    </x:row>
    <x:row r="72">
      <x:c r="A72" s="72" t="str">
        <x:f>IF(OR(C72="",D72=""),"",B72&amp;"-"&amp;UPPER(C72)&amp;"-"&amp;TEXT(D72,"0000")&amp;"-"&amp;E72)</x:f>
        <x:v>M15-CONG-0066-V1.0</x:v>
      </x:c>
      <x:c r="B72" s="74" t="str">
        <x:v>M15</x:v>
      </x:c>
      <x:c r="C72" s="74" t="str">
        <x:v>CONG</x:v>
      </x:c>
      <x:c r="D72" s="215" t="n">
        <x:v>66</x:v>
      </x:c>
      <x:c r="E72" s="74" t="str">
        <x:v>V1.0</x:v>
      </x:c>
      <x:c r="F72" s="68" t="str">
        <x:v>从强格严格成立要求印比成为绝对主势</x:v>
      </x:c>
      <x:c r="G72" s="82" t="str">
        <x:v>综合层</x:v>
      </x:c>
      <x:c r="H72" s="68" t="str">
        <x:v>从强格候选</x:v>
      </x:c>
      <x:c r="I72" s="68" t="str">
        <x:v>印比极旺，财官食伤不能构成有效逆势集团</x:v>
      </x:c>
      <x:c r="J72" s="68" t="str">
        <x:v>印→身与比劫集团共同主导</x:v>
      </x:c>
      <x:c r="K72" s="68" t="str">
        <x:v>无决定性破格因素</x:v>
      </x:c>
      <x:c r="L72" s="82" t="str">
        <x:v>无破</x:v>
      </x:c>
      <x:c r="M72" s="68" t="str">
        <x:v>无须救应</x:v>
      </x:c>
      <x:c r="N72" s="82" t="str">
        <x:v>无救应</x:v>
      </x:c>
      <x:c r="O72" s="84" t="str">
        <x:v>特殊格局严格成立</x:v>
      </x:c>
      <x:c r="P72" s="82" t="str">
        <x:v>较清</x:v>
      </x:c>
      <x:c r="Q72" s="68" t="str">
        <x:v>顺印比强势，逆势财官需视为破格因素</x:v>
      </x:c>
      <x:c r="R72" s="68" t="str">
        <x:v>M14已生成候选；M08、M09、M10、M11相关结论可追溯</x:v>
      </x:c>
      <x:c r="S72" s="68" t="str">
        <x:v>格神与关键配合十神均以有效力量和实际功能为准</x:v>
      </x:c>
      <x:c r="T72" s="68" t="str">
        <x:v>格神得令、有根、透达、清纯，组合路径稳定且日主承载匹配</x:v>
      </x:c>
      <x:c r="U72" s="68" t="str">
        <x:v>格神受制、混杂、路径受阻、日主承载不足或救应只能局部作用</x:v>
      </x:c>
      <x:c r="V72" s="90" t="str">
        <x:v>格神失效、核心作用路径完全中断，或特殊格局硬门槛被有效反证否决</x:v>
      </x:c>
      <x:c r="W72" s="68" t="str">
        <x:v>特殊格局严格条件、流派争议及岁运补成另按专门规则处理</x:v>
      </x:c>
      <x:c r="X72" s="84" t="str">
        <x:v>从强格_严格成立</x:v>
      </x:c>
      <x:c r="Y72" s="84" t="str">
        <x:v>从强格候选判为“特殊格局严格成立”：破格等级为“无破”，救应为“无救应”，清纯度为“较清”；层次需结合全局继续评估。</x:v>
      </x:c>
      <x:c r="Z72" s="68" t="str">
        <x:v>若“格神失效、核心作用路径完全中断，或特殊格局硬门槛被有效反证否决”成立，应降低为成立但有破或不成立，不得维持当前结论。</x:v>
      </x:c>
      <x:c r="AA72" s="82" t="str">
        <x:v>较高</x:v>
      </x:c>
      <x:c r="AB72" s="82" t="str">
        <x:v>子平格局</x:v>
      </x:c>
      <x:c r="AC72" s="68" t="str">
        <x:v>格局成败须区分：格神是否有效、结构是否能运行、是否存在破坏、救应是否直接修复破格机制，以及格局成立与层次高低。</x:v>
      </x:c>
      <x:c r="AD72" s="68" t="str">
        <x:v>当“印比极旺，财官食伤不能构成有效逆势集团”成立，且成格证据相互支持、无决定性否决时，可按本规则判断。</x:v>
      </x:c>
      <x:c r="AE72" s="90" t="str">
        <x:v>只有格局名称或局部组合，但“格神失效、核心作用路径完全中断，或特殊格局硬门槛被有效反证否决”成立时，不能按本规则维持格局。</x:v>
      </x:c>
      <x:c r="AF72" s="68" t="str">
        <x:v>https://zh.wikisource.org/wiki/%E6%BB%B4%E5%A4%A9%E9%AB%93%E9%97%A1%E5%BE%AE ; https://zh.wikisource.org/zh-hans/%E6%BB%B4%E5%A4%A9%E9%AB%93</x:v>
      </x:c>
      <x:c r="AG72" s="82" t="str">
        <x:v>采用</x:v>
      </x:c>
      <x:c r="AH72" s="82" t="str">
        <x:v>初审</x:v>
      </x:c>
      <x:c r="AI72" s="87" t="n">
        <x:v>46260</x:v>
      </x:c>
    </x:row>
    <x:row r="73">
      <x:c r="A73" s="72" t="str">
        <x:f>IF(OR(C73="",D73=""),"",B73&amp;"-"&amp;UPPER(C73)&amp;"-"&amp;TEXT(D73,"0000")&amp;"-"&amp;E73)</x:f>
        <x:v>M15-CONG-0067-V1.0</x:v>
      </x:c>
      <x:c r="B73" s="74" t="str">
        <x:v>M15</x:v>
      </x:c>
      <x:c r="C73" s="74" t="str">
        <x:v>CONG</x:v>
      </x:c>
      <x:c r="D73" s="215" t="n">
        <x:v>67</x:v>
      </x:c>
      <x:c r="E73" s="74" t="str">
        <x:v>V1.0</x:v>
      </x:c>
      <x:c r="F73" s="68" t="str">
        <x:v>从势格严格成立要求异党整体同向而日主无依</x:v>
      </x:c>
      <x:c r="G73" s="82" t="str">
        <x:v>综合层</x:v>
      </x:c>
      <x:c r="H73" s="68" t="str">
        <x:v>从势格候选</x:v>
      </x:c>
      <x:c r="I73" s="68" t="str">
        <x:v>财官食伤虽非单一集团，但生化方向一致，日主无根无印比</x:v>
      </x:c>
      <x:c r="J73" s="68" t="str">
        <x:v>异党形成连续主势，无法归入单一从财、从官或从儿</x:v>
      </x:c>
      <x:c r="K73" s="68" t="str">
        <x:v>无决定性破格因素</x:v>
      </x:c>
      <x:c r="L73" s="82" t="str">
        <x:v>无破</x:v>
      </x:c>
      <x:c r="M73" s="68" t="str">
        <x:v>无须救应</x:v>
      </x:c>
      <x:c r="N73" s="82" t="str">
        <x:v>无救应</x:v>
      </x:c>
      <x:c r="O73" s="84" t="str">
        <x:v>特殊格局严格成立</x:v>
      </x:c>
      <x:c r="P73" s="82" t="str">
        <x:v>有杂</x:v>
      </x:c>
      <x:c r="Q73" s="68" t="str">
        <x:v>格局可从整体气势，但清纯度通常低于单一从格</x:v>
      </x:c>
      <x:c r="R73" s="68" t="str">
        <x:v>M14已生成候选；M08、M09、M10、M11相关结论可追溯</x:v>
      </x:c>
      <x:c r="S73" s="68" t="str">
        <x:v>格神与关键配合十神均以有效力量和实际功能为准</x:v>
      </x:c>
      <x:c r="T73" s="68" t="str">
        <x:v>格神得令、有根、透达、清纯，组合路径稳定且日主承载匹配</x:v>
      </x:c>
      <x:c r="U73" s="68" t="str">
        <x:v>格神受制、混杂、路径受阻、日主承载不足或救应只能局部作用</x:v>
      </x:c>
      <x:c r="V73" s="90" t="str">
        <x:v>格神失效、核心作用路径完全中断，或特殊格局硬门槛被有效反证否决</x:v>
      </x:c>
      <x:c r="W73" s="68" t="str">
        <x:v>特殊格局严格条件、流派争议及岁运补成另按专门规则处理</x:v>
      </x:c>
      <x:c r="X73" s="84" t="str">
        <x:v>从势格_严格成立</x:v>
      </x:c>
      <x:c r="Y73" s="84" t="str">
        <x:v>从势格候选判为“特殊格局严格成立”：破格等级为“无破”，救应为“无救应”，清纯度为“有杂”；层次需结合全局继续评估。</x:v>
      </x:c>
      <x:c r="Z73" s="68" t="str">
        <x:v>若“格神失效、核心作用路径完全中断，或特殊格局硬门槛被有效反证否决”成立，应降低为成立但有破或不成立，不得维持当前结论。</x:v>
      </x:c>
      <x:c r="AA73" s="82" t="str">
        <x:v>较高</x:v>
      </x:c>
      <x:c r="AB73" s="82" t="str">
        <x:v>子平格局</x:v>
      </x:c>
      <x:c r="AC73" s="68" t="str">
        <x:v>格局成败须区分：格神是否有效、结构是否能运行、是否存在破坏、救应是否直接修复破格机制，以及格局成立与层次高低。</x:v>
      </x:c>
      <x:c r="AD73" s="68" t="str">
        <x:v>当“财官食伤虽非单一集团，但生化方向一致，日主无根无印比”成立，且成格证据相互支持、无决定性否决时，可按本规则判断。</x:v>
      </x:c>
      <x:c r="AE73" s="90" t="str">
        <x:v>只有格局名称或局部组合，但“格神失效、核心作用路径完全中断，或特殊格局硬门槛被有效反证否决”成立时，不能按本规则维持格局。</x:v>
      </x:c>
      <x:c r="AF73" s="68" t="str">
        <x:v>https://zh.wikisource.org/wiki/%E6%BB%B4%E5%A4%A9%E9%AB%93%E9%97%A1%E5%BE%AE ; https://zh.wikisource.org/zh-hans/%E6%BB%B4%E5%A4%A9%E9%AB%93</x:v>
      </x:c>
      <x:c r="AG73" s="82" t="str">
        <x:v>采用</x:v>
      </x:c>
      <x:c r="AH73" s="82" t="str">
        <x:v>初审</x:v>
      </x:c>
      <x:c r="AI73" s="87" t="n">
        <x:v>46260</x:v>
      </x:c>
    </x:row>
    <x:row r="74">
      <x:c r="A74" s="72" t="str">
        <x:f>IF(OR(C74="",D74=""),"",B74&amp;"-"&amp;UPPER(C74)&amp;"-"&amp;TEXT(D74,"0000")&amp;"-"&amp;E74)</x:f>
        <x:v>M15-CONG-0068-V1.0</x:v>
      </x:c>
      <x:c r="B74" s="74" t="str">
        <x:v>M15</x:v>
      </x:c>
      <x:c r="C74" s="74" t="str">
        <x:v>CONG</x:v>
      </x:c>
      <x:c r="D74" s="215" t="n">
        <x:v>68</x:v>
      </x:c>
      <x:c r="E74" s="74" t="str">
        <x:v>V1.0</x:v>
      </x:c>
      <x:c r="F74" s="68" t="str">
        <x:v>有效强根或有力印比构成真从根本破格</x:v>
      </x:c>
      <x:c r="G74" s="82" t="str">
        <x:v>综合层</x:v>
      </x:c>
      <x:c r="H74" s="68" t="str">
        <x:v>从格候选</x:v>
      </x:c>
      <x:c r="I74" s="68" t="str">
        <x:v>表面从格条件成立</x:v>
      </x:c>
      <x:c r="J74" s="68" t="str">
        <x:v>月令依据、格神根气与有效力量、日主配合及M11组合证据相互支持</x:v>
      </x:c>
      <x:c r="K74" s="68" t="str">
        <x:v>日主存在可调用强根、当令印星或成势比劫</x:v>
      </x:c>
      <x:c r="L74" s="82" t="str">
        <x:v>根本破格</x:v>
      </x:c>
      <x:c r="M74" s="68" t="str">
        <x:v>无；这些力量本身就是反从证据</x:v>
      </x:c>
      <x:c r="N74" s="82" t="str">
        <x:v>无救应</x:v>
      </x:c>
      <x:c r="O74" s="84" t="str">
        <x:v>不成立</x:v>
      </x:c>
      <x:c r="P74" s="82" t="str">
        <x:v>待定</x:v>
      </x:c>
      <x:c r="Q74" s="68" t="str">
        <x:v>退回普通身弱、中和或其他格局</x:v>
      </x:c>
      <x:c r="R74" s="68" t="str">
        <x:v>M14已生成候选；M08、M09、M10、M11相关结论可追溯</x:v>
      </x:c>
      <x:c r="S74" s="68" t="str">
        <x:v>格神与关键配合十神均以有效力量和实际功能为准</x:v>
      </x:c>
      <x:c r="T74" s="68" t="str">
        <x:v>格神得令、有根、透达、清纯，组合路径稳定且日主承载匹配</x:v>
      </x:c>
      <x:c r="U74" s="68" t="str">
        <x:v>格神受制、混杂、路径受阻、日主承载不足或救应只能局部作用</x:v>
      </x:c>
      <x:c r="V74" s="90" t="str">
        <x:v>格神失效、核心作用路径完全中断，或特殊格局硬门槛被有效反证否决</x:v>
      </x:c>
      <x:c r="W74" s="68" t="str">
        <x:v>特殊格局严格条件、流派争议及岁运补成另按专门规则处理</x:v>
      </x:c>
      <x:c r="X74" s="84" t="str">
        <x:v>从格_强根破格</x:v>
      </x:c>
      <x:c r="Y74" s="84" t="str">
        <x:v>从格候选判为“不成立”：破格等级为“根本破格”，救应为“无救应”，清纯度为“待定”；层次需结合全局继续评估。</x:v>
      </x:c>
      <x:c r="Z74" s="68" t="str">
        <x:v>若“格神失效、核心作用路径完全中断，或特殊格局硬门槛被有效反证否决”成立，应降低为成立但有破或不成立，不得维持当前结论。</x:v>
      </x:c>
      <x:c r="AA74" s="82" t="str">
        <x:v>较高</x:v>
      </x:c>
      <x:c r="AB74" s="82" t="str">
        <x:v>子平格局</x:v>
      </x:c>
      <x:c r="AC74" s="68" t="str">
        <x:v>格局成败须区分：格神是否有效、结构是否能运行、是否存在破坏、救应是否直接修复破格机制，以及格局成立与层次高低。</x:v>
      </x:c>
      <x:c r="AD74" s="68" t="str">
        <x:v>当“表面从格条件成立”成立，且成格证据相互支持、无决定性否决时，可按本规则判断。</x:v>
      </x:c>
      <x:c r="AE74" s="90" t="str">
        <x:v>只有格局名称或局部组合，但“格神失效、核心作用路径完全中断，或特殊格局硬门槛被有效反证否决”成立时，不能按本规则维持格局。</x:v>
      </x:c>
      <x:c r="AF74" s="68" t="str">
        <x:v>https://zh.wikisource.org/wiki/%E6%BB%B4%E5%A4%A9%E9%AB%93%E9%97%A1%E5%BE%AE ; https://zh.wikisource.org/zh-hans/%E6%BB%B4%E5%A4%A9%E9%AB%93</x:v>
      </x:c>
      <x:c r="AG74" s="82" t="str">
        <x:v>采用</x:v>
      </x:c>
      <x:c r="AH74" s="82" t="str">
        <x:v>初审</x:v>
      </x:c>
      <x:c r="AI74" s="87" t="n">
        <x:v>46260</x:v>
      </x:c>
    </x:row>
    <x:row r="75">
      <x:c r="A75" s="72" t="str">
        <x:f>IF(OR(C75="",D75=""),"",B75&amp;"-"&amp;UPPER(C75)&amp;"-"&amp;TEXT(D75,"0000")&amp;"-"&amp;E75)</x:f>
        <x:v>M15-CONG-0069-V1.0</x:v>
      </x:c>
      <x:c r="B75" s="74" t="str">
        <x:v>M15</x:v>
      </x:c>
      <x:c r="C75" s="74" t="str">
        <x:v>CONG</x:v>
      </x:c>
      <x:c r="D75" s="215" t="n">
        <x:v>69</x:v>
      </x:c>
      <x:c r="E75" s="74" t="str">
        <x:v>V1.0</x:v>
      </x:c>
      <x:c r="F75" s="68" t="str">
        <x:v>假从只能判成立但有破或待定</x:v>
      </x:c>
      <x:c r="G75" s="82" t="str">
        <x:v>综合层</x:v>
      </x:c>
      <x:c r="H75" s="68" t="str">
        <x:v>假从候选</x:v>
      </x:c>
      <x:c r="I75" s="68" t="str">
        <x:v>主势明显接近从格，但日主保留残根或低效印比</x:v>
      </x:c>
      <x:c r="J75" s="68" t="str">
        <x:v>顺势证据强，反向证据弱但未消失</x:v>
      </x:c>
      <x:c r="K75" s="68" t="str">
        <x:v>残根、微印比或局部逆势</x:v>
      </x:c>
      <x:c r="L75" s="82" t="str">
        <x:v>一般</x:v>
      </x:c>
      <x:c r="M75" s="68" t="str">
        <x:v>若反向证据进一步失效可趋近真从；原局不预设</x:v>
      </x:c>
      <x:c r="N75" s="82" t="str">
        <x:v>无救应</x:v>
      </x:c>
      <x:c r="O75" s="84" t="str">
        <x:v>成立但有破</x:v>
      </x:c>
      <x:c r="P75" s="82" t="str">
        <x:v>有杂</x:v>
      </x:c>
      <x:c r="Q75" s="68" t="str">
        <x:v>假从稳定性低于真从，不能套用真从硬结论</x:v>
      </x:c>
      <x:c r="R75" s="68" t="str">
        <x:v>M14已生成候选；M08、M09、M10、M11相关结论可追溯</x:v>
      </x:c>
      <x:c r="S75" s="68" t="str">
        <x:v>格神与关键配合十神均以有效力量和实际功能为准</x:v>
      </x:c>
      <x:c r="T75" s="68" t="str">
        <x:v>格神得令、有根、透达、清纯，组合路径稳定且日主承载匹配</x:v>
      </x:c>
      <x:c r="U75" s="68" t="str">
        <x:v>格神受制、混杂、路径受阻、日主承载不足或救应只能局部作用</x:v>
      </x:c>
      <x:c r="V75" s="90" t="str">
        <x:v>格神失效、核心作用路径完全中断，或特殊格局硬门槛被有效反证否决</x:v>
      </x:c>
      <x:c r="W75" s="68" t="str">
        <x:v>特殊格局严格条件、流派争议及岁运补成另按专门规则处理</x:v>
      </x:c>
      <x:c r="X75" s="84" t="str">
        <x:v>假从_成立但有破</x:v>
      </x:c>
      <x:c r="Y75" s="84" t="str">
        <x:v>假从候选判为“成立但有破”：破格等级为“一般”，救应为“无救应”，清纯度为“有杂”；层次需结合全局继续评估。</x:v>
      </x:c>
      <x:c r="Z75" s="68" t="str">
        <x:v>若“格神失效、核心作用路径完全中断，或特殊格局硬门槛被有效反证否决”成立，应降低为成立但有破或不成立，不得维持当前结论。</x:v>
      </x:c>
      <x:c r="AA75" s="82" t="str">
        <x:v>中等</x:v>
      </x:c>
      <x:c r="AB75" s="82" t="str">
        <x:v>子平格局</x:v>
      </x:c>
      <x:c r="AC75" s="68" t="str">
        <x:v>格局成败须区分：格神是否有效、结构是否能运行、是否存在破坏、救应是否直接修复破格机制，以及格局成立与层次高低。</x:v>
      </x:c>
      <x:c r="AD75" s="68" t="str">
        <x:v>当“主势明显接近从格，但日主保留残根或低效印比”成立，且成格证据相互支持、无决定性否决时，可按本规则判断。</x:v>
      </x:c>
      <x:c r="AE75" s="90" t="str">
        <x:v>只有格局名称或局部组合，但“格神失效、核心作用路径完全中断，或特殊格局硬门槛被有效反证否决”成立时，不能按本规则维持格局。</x:v>
      </x:c>
      <x:c r="AF75" s="68" t="str">
        <x:v>https://zh.wikisource.org/wiki/%E6%BB%B4%E5%A4%A9%E9%AB%93%E9%97%A1%E5%BE%AE ; https://zh.wikisource.org/zh-hans/%E6%BB%B4%E5%A4%A9%E9%AB%93</x:v>
      </x:c>
      <x:c r="AG75" s="82" t="str">
        <x:v>待验证</x:v>
      </x:c>
      <x:c r="AH75" s="82" t="str">
        <x:v>初审</x:v>
      </x:c>
      <x:c r="AI75" s="87" t="n">
        <x:v>46260</x:v>
      </x:c>
    </x:row>
    <x:row r="76">
      <x:c r="A76" s="72" t="str">
        <x:f>IF(OR(C76="",D76=""),"",B76&amp;"-"&amp;UPPER(C76)&amp;"-"&amp;TEXT(D76,"0000")&amp;"-"&amp;E76)</x:f>
        <x:v>M15-CONG-0070-V1.0</x:v>
      </x:c>
      <x:c r="B76" s="74" t="str">
        <x:v>M15</x:v>
      </x:c>
      <x:c r="C76" s="74" t="str">
        <x:v>CONG</x:v>
      </x:c>
      <x:c r="D76" s="215" t="n">
        <x:v>70</x:v>
      </x:c>
      <x:c r="E76" s="74" t="str">
        <x:v>V1.0</x:v>
      </x:c>
      <x:c r="F76" s="68" t="str">
        <x:v>逆势五行虽弱但作用关键时可严重破从</x:v>
      </x:c>
      <x:c r="G76" s="82" t="str">
        <x:v>综合层</x:v>
      </x:c>
      <x:c r="H76" s="68" t="str">
        <x:v>从格候选</x:v>
      </x:c>
      <x:c r="I76" s="68" t="str">
        <x:v>特殊从格候选达到高门槛</x:v>
      </x:c>
      <x:c r="J76" s="68" t="str">
        <x:v>月令依据、格神根气与有效力量、日主配合及M11组合证据相互支持</x:v>
      </x:c>
      <x:c r="K76" s="68" t="str">
        <x:v>一枚或一组逆势五行虽数量少，却有根有源并直击主势关键节点</x:v>
      </x:c>
      <x:c r="L76" s="82" t="str">
        <x:v>严重</x:v>
      </x:c>
      <x:c r="M76" s="68" t="str">
        <x:v>主势制去逆神或使其失效</x:v>
      </x:c>
      <x:c r="N76" s="82" t="str">
        <x:v>待定</x:v>
      </x:c>
      <x:c r="O76" s="84" t="str">
        <x:v>成立但有破</x:v>
      </x:c>
      <x:c r="P76" s="82" t="str">
        <x:v>有杂</x:v>
      </x:c>
      <x:c r="Q76" s="68" t="str">
        <x:v>从格是否破坏取决于逆神有效性，不取决于数量</x:v>
      </x:c>
      <x:c r="R76" s="68" t="str">
        <x:v>M14已生成候选；M08、M09、M10、M11相关结论可追溯</x:v>
      </x:c>
      <x:c r="S76" s="68" t="str">
        <x:v>格神与关键配合十神均以有效力量和实际功能为准</x:v>
      </x:c>
      <x:c r="T76" s="68" t="str">
        <x:v>格神得令、有根、透达、清纯，组合路径稳定且日主承载匹配</x:v>
      </x:c>
      <x:c r="U76" s="68" t="str">
        <x:v>格神受制、混杂、路径受阻、日主承载不足或救应只能局部作用</x:v>
      </x:c>
      <x:c r="V76" s="90" t="str">
        <x:v>格神失效、核心作用路径完全中断，或特殊格局硬门槛被有效反证否决</x:v>
      </x:c>
      <x:c r="W76" s="68" t="str">
        <x:v>特殊格局严格条件、流派争议及岁运补成另按专门规则处理</x:v>
      </x:c>
      <x:c r="X76" s="84" t="str">
        <x:v>从格_有效逆神破格</x:v>
      </x:c>
      <x:c r="Y76" s="84" t="str">
        <x:v>从格候选判为“成立但有破”：破格等级为“严重”，救应为“待定”，清纯度为“有杂”；层次需结合全局继续评估。</x:v>
      </x:c>
      <x:c r="Z76" s="68" t="str">
        <x:v>若“格神失效、核心作用路径完全中断，或特殊格局硬门槛被有效反证否决”成立，应降低为成立但有破或不成立，不得维持当前结论。</x:v>
      </x:c>
      <x:c r="AA76" s="82" t="str">
        <x:v>较高</x:v>
      </x:c>
      <x:c r="AB76" s="82" t="str">
        <x:v>子平格局</x:v>
      </x:c>
      <x:c r="AC76" s="68" t="str">
        <x:v>格局成败须区分：格神是否有效、结构是否能运行、是否存在破坏、救应是否直接修复破格机制，以及格局成立与层次高低。</x:v>
      </x:c>
      <x:c r="AD76" s="68" t="str">
        <x:v>当“特殊从格候选达到高门槛”成立，且成格证据相互支持、无决定性否决时，可按本规则判断。</x:v>
      </x:c>
      <x:c r="AE76" s="90" t="str">
        <x:v>只有格局名称或局部组合，但“格神失效、核心作用路径完全中断，或特殊格局硬门槛被有效反证否决”成立时，不能按本规则维持格局。</x:v>
      </x:c>
      <x:c r="AF76" s="68" t="str">
        <x:v>https://zh.wikisource.org/wiki/%E6%BB%B4%E5%A4%A9%E9%AB%93%E9%97%A1%E5%BE%AE ; https://zh.wikisource.org/zh-hans/%E6%BB%B4%E5%A4%A9%E9%AB%93</x:v>
      </x:c>
      <x:c r="AG76" s="82" t="str">
        <x:v>采用</x:v>
      </x:c>
      <x:c r="AH76" s="82" t="str">
        <x:v>初审</x:v>
      </x:c>
      <x:c r="AI76" s="87" t="n">
        <x:v>46260</x:v>
      </x:c>
    </x:row>
    <x:row r="77">
      <x:c r="A77" s="72" t="str">
        <x:f>IF(OR(C77="",D77=""),"",B77&amp;"-"&amp;UPPER(C77)&amp;"-"&amp;TEXT(D77,"0000")&amp;"-"&amp;E77)</x:f>
        <x:v>M15-HUAQI-0071-V1.0</x:v>
      </x:c>
      <x:c r="B77" s="74" t="str">
        <x:v>M15</x:v>
      </x:c>
      <x:c r="C77" s="74" t="str">
        <x:v>HUAQI</x:v>
      </x:c>
      <x:c r="D77" s="215" t="n">
        <x:v>71</x:v>
      </x:c>
      <x:c r="E77" s="74" t="str">
        <x:v>V1.0</x:v>
      </x:c>
      <x:c r="F77" s="68" t="str">
        <x:v>真化必须通过化神得势与原气不自立的全部硬门槛</x:v>
      </x:c>
      <x:c r="G77" s="82" t="str">
        <x:v>综合层</x:v>
      </x:c>
      <x:c r="H77" s="68" t="str">
        <x:v>化气格候选</x:v>
      </x:c>
      <x:c r="I77" s="68" t="str">
        <x:v>日主参与五合，M06确认实质化势，化神得令成势，原气无强根，破化因素不足</x:v>
      </x:c>
      <x:c r="J77" s="68" t="str">
        <x:v>M08力量已向化神重分配，全局主要路径顺化神</x:v>
      </x:c>
      <x:c r="K77" s="68" t="str">
        <x:v>无决定性破格因素</x:v>
      </x:c>
      <x:c r="L77" s="82" t="str">
        <x:v>无破</x:v>
      </x:c>
      <x:c r="M77" s="68" t="str">
        <x:v>无须救应</x:v>
      </x:c>
      <x:c r="N77" s="82" t="str">
        <x:v>无救应</x:v>
      </x:c>
      <x:c r="O77" s="84" t="str">
        <x:v>特殊格局严格成立</x:v>
      </x:c>
      <x:c r="P77" s="82" t="str">
        <x:v>清纯</x:v>
      </x:c>
      <x:c r="Q77" s="68" t="str">
        <x:v>真化成立，按化神而非原日主五行理解结构</x:v>
      </x:c>
      <x:c r="R77" s="68" t="str">
        <x:v>M14已生成候选；M08、M09、M10、M11相关结论可追溯</x:v>
      </x:c>
      <x:c r="S77" s="68" t="str">
        <x:v>格神与关键配合十神均以有效力量和实际功能为准</x:v>
      </x:c>
      <x:c r="T77" s="68" t="str">
        <x:v>格神得令、有根、透达、清纯，组合路径稳定且日主承载匹配</x:v>
      </x:c>
      <x:c r="U77" s="68" t="str">
        <x:v>格神受制、混杂、路径受阻、日主承载不足或救应只能局部作用</x:v>
      </x:c>
      <x:c r="V77" s="90" t="str">
        <x:v>格神失效、核心作用路径完全中断，或特殊格局硬门槛被有效反证否决</x:v>
      </x:c>
      <x:c r="W77" s="68" t="str">
        <x:v>特殊格局严格条件、流派争议及岁运补成另按专门规则处理</x:v>
      </x:c>
      <x:c r="X77" s="84" t="str">
        <x:v>化气格_真化严格成立</x:v>
      </x:c>
      <x:c r="Y77" s="84" t="str">
        <x:v>化气格候选判为“特殊格局严格成立”：破格等级为“无破”，救应为“无救应”，清纯度为“清纯”；层次需结合全局继续评估。</x:v>
      </x:c>
      <x:c r="Z77" s="68" t="str">
        <x:v>若“格神失效、核心作用路径完全中断，或特殊格局硬门槛被有效反证否决”成立，应降低为成立但有破或不成立，不得维持当前结论。</x:v>
      </x:c>
      <x:c r="AA77" s="82" t="str">
        <x:v>较高</x:v>
      </x:c>
      <x:c r="AB77" s="82" t="str">
        <x:v>子平格局</x:v>
      </x:c>
      <x:c r="AC77" s="68" t="str">
        <x:v>格局成败须区分：格神是否有效、结构是否能运行、是否存在破坏、救应是否直接修复破格机制，以及格局成立与层次高低。</x:v>
      </x:c>
      <x:c r="AD77" s="68" t="str">
        <x:v>当“日主参与五合，M06确认实质化势，化神得令成势，原气无强根，破化因素不足”成立，且成格证据相互支持、无决定性否决时，可按本规则判断。</x:v>
      </x:c>
      <x:c r="AE77" s="90" t="str">
        <x:v>只有格局名称或局部组合，但“格神失效、核心作用路径完全中断，或特殊格局硬门槛被有效反证否决”成立时，不能按本规则维持格局。</x:v>
      </x:c>
      <x:c r="AF77" s="68" t="str">
        <x:v>https://zh.wikisource.org/wiki/%E6%BB%B4%E5%A4%A9%E9%AB%93%E9%97%A1%E5%BE%AE ; https://zh.wikisource.org/zh-hans/%E6%BB%B4%E5%A4%A9%E9%AB%93</x:v>
      </x:c>
      <x:c r="AG77" s="82" t="str">
        <x:v>采用</x:v>
      </x:c>
      <x:c r="AH77" s="82" t="str">
        <x:v>初审</x:v>
      </x:c>
      <x:c r="AI77" s="87" t="n">
        <x:v>46260</x:v>
      </x:c>
    </x:row>
    <x:row r="78">
      <x:c r="A78" s="72" t="str">
        <x:f>IF(OR(C78="",D78=""),"",B78&amp;"-"&amp;UPPER(C78)&amp;"-"&amp;TEXT(D78,"0000")&amp;"-"&amp;E78)</x:f>
        <x:v>M15-HUAQI-0072-V1.0</x:v>
      </x:c>
      <x:c r="B78" s="74" t="str">
        <x:v>M15</x:v>
      </x:c>
      <x:c r="C78" s="74" t="str">
        <x:v>HUAQI</x:v>
      </x:c>
      <x:c r="D78" s="215" t="n">
        <x:v>72</x:v>
      </x:c>
      <x:c r="E78" s="74" t="str">
        <x:v>V1.0</x:v>
      </x:c>
      <x:c r="F78" s="68" t="str">
        <x:v>化神得令有根有源是化气格核心成格证据</x:v>
      </x:c>
      <x:c r="G78" s="82" t="str">
        <x:v>综合层</x:v>
      </x:c>
      <x:c r="H78" s="68" t="str">
        <x:v>化气格候选</x:v>
      </x:c>
      <x:c r="I78" s="68" t="str">
        <x:v>化神得到月令、透干、根气或会局的多重有效支持</x:v>
      </x:c>
      <x:c r="J78" s="68" t="str">
        <x:v>化神至少具备三类独立强证据且主导全局</x:v>
      </x:c>
      <x:c r="K78" s="68" t="str">
        <x:v>无决定性破格因素</x:v>
      </x:c>
      <x:c r="L78" s="82" t="str">
        <x:v>无破</x:v>
      </x:c>
      <x:c r="M78" s="68" t="str">
        <x:v>无须救应</x:v>
      </x:c>
      <x:c r="N78" s="82" t="str">
        <x:v>无救应</x:v>
      </x:c>
      <x:c r="O78" s="84" t="str">
        <x:v>基本成立</x:v>
      </x:c>
      <x:c r="P78" s="82" t="str">
        <x:v>较清</x:v>
      </x:c>
      <x:c r="Q78" s="68" t="str">
        <x:v>化势有承载，可进入真化复核</x:v>
      </x:c>
      <x:c r="R78" s="68" t="str">
        <x:v>M14已生成候选；M08、M09、M10、M11相关结论可追溯</x:v>
      </x:c>
      <x:c r="S78" s="68" t="str">
        <x:v>格神与关键配合十神均以有效力量和实际功能为准</x:v>
      </x:c>
      <x:c r="T78" s="68" t="str">
        <x:v>格神得令、有根、透达、清纯，组合路径稳定且日主承载匹配</x:v>
      </x:c>
      <x:c r="U78" s="68" t="str">
        <x:v>格神受制、混杂、路径受阻、日主承载不足或救应只能局部作用</x:v>
      </x:c>
      <x:c r="V78" s="90" t="str">
        <x:v>格神失效、核心作用路径完全中断，或特殊格局硬门槛被有效反证否决</x:v>
      </x:c>
      <x:c r="W78" s="68" t="str">
        <x:v>特殊格局严格条件、流派争议及岁运补成另按专门规则处理</x:v>
      </x:c>
      <x:c r="X78" s="84" t="str">
        <x:v>化气格_化神有权</x:v>
      </x:c>
      <x:c r="Y78" s="84" t="str">
        <x:v>化气格候选判为“基本成立”：破格等级为“无破”，救应为“无救应”，清纯度为“较清”；层次需结合全局继续评估。</x:v>
      </x:c>
      <x:c r="Z78" s="68" t="str">
        <x:v>若“格神失效、核心作用路径完全中断，或特殊格局硬门槛被有效反证否决”成立，应降低为成立但有破或不成立，不得维持当前结论。</x:v>
      </x:c>
      <x:c r="AA78" s="82" t="str">
        <x:v>较高</x:v>
      </x:c>
      <x:c r="AB78" s="82" t="str">
        <x:v>子平格局</x:v>
      </x:c>
      <x:c r="AC78" s="68" t="str">
        <x:v>格局成败须区分：格神是否有效、结构是否能运行、是否存在破坏、救应是否直接修复破格机制，以及格局成立与层次高低。</x:v>
      </x:c>
      <x:c r="AD78" s="68" t="str">
        <x:v>当“化神得到月令、透干、根气或会局的多重有效支持”成立，且成格证据相互支持、无决定性否决时，可按本规则判断。</x:v>
      </x:c>
      <x:c r="AE78" s="90" t="str">
        <x:v>只有格局名称或局部组合，但“格神失效、核心作用路径完全中断，或特殊格局硬门槛被有效反证否决”成立时，不能按本规则维持格局。</x:v>
      </x:c>
      <x:c r="AF78" s="68" t="str">
        <x:v>https://zh.wikisource.org/wiki/%E6%BB%B4%E5%A4%A9%E9%AB%93%E9%97%A1%E5%BE%AE ; https://zh.wikisource.org/zh-hans/%E6%BB%B4%E5%A4%A9%E9%AB%93</x:v>
      </x:c>
      <x:c r="AG78" s="82" t="str">
        <x:v>采用</x:v>
      </x:c>
      <x:c r="AH78" s="82" t="str">
        <x:v>初审</x:v>
      </x:c>
      <x:c r="AI78" s="87" t="n">
        <x:v>46260</x:v>
      </x:c>
    </x:row>
    <x:row r="79">
      <x:c r="A79" s="72" t="str">
        <x:f>IF(OR(C79="",D79=""),"",B79&amp;"-"&amp;UPPER(C79)&amp;"-"&amp;TEXT(D79,"0000")&amp;"-"&amp;E79)</x:f>
        <x:v>M15-HUAQI-0073-V1.0</x:v>
      </x:c>
      <x:c r="B79" s="74" t="str">
        <x:v>M15</x:v>
      </x:c>
      <x:c r="C79" s="74" t="str">
        <x:v>HUAQI</x:v>
      </x:c>
      <x:c r="D79" s="215" t="n">
        <x:v>73</x:v>
      </x:c>
      <x:c r="E79" s="74" t="str">
        <x:v>V1.0</x:v>
      </x:c>
      <x:c r="F79" s="68" t="str">
        <x:v>日主原气强根会构成化气根本破格</x:v>
      </x:c>
      <x:c r="G79" s="82" t="str">
        <x:v>综合层</x:v>
      </x:c>
      <x:c r="H79" s="68" t="str">
        <x:v>化气格候选</x:v>
      </x:c>
      <x:c r="I79" s="68" t="str">
        <x:v>天干合化候选存在</x:v>
      </x:c>
      <x:c r="J79" s="68" t="str">
        <x:v>月令依据、格神根气与有效力量、日主配合及M11组合证据相互支持</x:v>
      </x:c>
      <x:c r="K79" s="68" t="str">
        <x:v>日主原五行保留可调用强根或同党成势</x:v>
      </x:c>
      <x:c r="L79" s="82" t="str">
        <x:v>根本破格</x:v>
      </x:c>
      <x:c r="M79" s="68" t="str">
        <x:v>无；除非原根被实质制化失效</x:v>
      </x:c>
      <x:c r="N79" s="82" t="str">
        <x:v>无救应</x:v>
      </x:c>
      <x:c r="O79" s="84" t="str">
        <x:v>不成立</x:v>
      </x:c>
      <x:c r="P79" s="82" t="str">
        <x:v>待定</x:v>
      </x:c>
      <x:c r="Q79" s="68" t="str">
        <x:v>只能按合绊、合动或合而不化处理</x:v>
      </x:c>
      <x:c r="R79" s="68" t="str">
        <x:v>M14已生成候选；M08、M09、M10、M11相关结论可追溯</x:v>
      </x:c>
      <x:c r="S79" s="68" t="str">
        <x:v>格神与关键配合十神均以有效力量和实际功能为准</x:v>
      </x:c>
      <x:c r="T79" s="68" t="str">
        <x:v>格神得令、有根、透达、清纯，组合路径稳定且日主承载匹配</x:v>
      </x:c>
      <x:c r="U79" s="68" t="str">
        <x:v>格神受制、混杂、路径受阻、日主承载不足或救应只能局部作用</x:v>
      </x:c>
      <x:c r="V79" s="90" t="str">
        <x:v>格神失效、核心作用路径完全中断，或特殊格局硬门槛被有效反证否决</x:v>
      </x:c>
      <x:c r="W79" s="68" t="str">
        <x:v>特殊格局严格条件、流派争议及岁运补成另按专门规则处理</x:v>
      </x:c>
      <x:c r="X79" s="84" t="str">
        <x:v>化气格_原气强根否决</x:v>
      </x:c>
      <x:c r="Y79" s="84" t="str">
        <x:v>化气格候选判为“不成立”：破格等级为“根本破格”，救应为“无救应”，清纯度为“待定”；层次需结合全局继续评估。</x:v>
      </x:c>
      <x:c r="Z79" s="68" t="str">
        <x:v>若“格神失效、核心作用路径完全中断，或特殊格局硬门槛被有效反证否决”成立，应降低为成立但有破或不成立，不得维持当前结论。</x:v>
      </x:c>
      <x:c r="AA79" s="82" t="str">
        <x:v>较高</x:v>
      </x:c>
      <x:c r="AB79" s="82" t="str">
        <x:v>子平格局</x:v>
      </x:c>
      <x:c r="AC79" s="68" t="str">
        <x:v>格局成败须区分：格神是否有效、结构是否能运行、是否存在破坏、救应是否直接修复破格机制，以及格局成立与层次高低。</x:v>
      </x:c>
      <x:c r="AD79" s="68" t="str">
        <x:v>当“天干合化候选存在”成立，且成格证据相互支持、无决定性否决时，可按本规则判断。</x:v>
      </x:c>
      <x:c r="AE79" s="90" t="str">
        <x:v>只有格局名称或局部组合，但“格神失效、核心作用路径完全中断，或特殊格局硬门槛被有效反证否决”成立时，不能按本规则维持格局。</x:v>
      </x:c>
      <x:c r="AF79" s="68" t="str">
        <x:v>https://zh.wikisource.org/wiki/%E6%BB%B4%E5%A4%A9%E9%AB%93%E9%97%A1%E5%BE%AE ; https://zh.wikisource.org/zh-hans/%E6%BB%B4%E5%A4%A9%E9%AB%93</x:v>
      </x:c>
      <x:c r="AG79" s="82" t="str">
        <x:v>采用</x:v>
      </x:c>
      <x:c r="AH79" s="82" t="str">
        <x:v>初审</x:v>
      </x:c>
      <x:c r="AI79" s="87" t="n">
        <x:v>46260</x:v>
      </x:c>
    </x:row>
    <x:row r="80">
      <x:c r="A80" s="72" t="str">
        <x:f>IF(OR(C80="",D80=""),"",B80&amp;"-"&amp;UPPER(C80)&amp;"-"&amp;TEXT(D80,"0000")&amp;"-"&amp;E80)</x:f>
        <x:v>M15-HUAQI-0074-V1.0</x:v>
      </x:c>
      <x:c r="B80" s="74" t="str">
        <x:v>M15</x:v>
      </x:c>
      <x:c r="C80" s="74" t="str">
        <x:v>HUAQI</x:v>
      </x:c>
      <x:c r="D80" s="215" t="n">
        <x:v>74</x:v>
      </x:c>
      <x:c r="E80" s="74" t="str">
        <x:v>V1.0</x:v>
      </x:c>
      <x:c r="F80" s="68" t="str">
        <x:v>争合妒合会降低或破坏化气纯度</x:v>
      </x:c>
      <x:c r="G80" s="82" t="str">
        <x:v>综合层</x:v>
      </x:c>
      <x:c r="H80" s="68" t="str">
        <x:v>化气格候选</x:v>
      </x:c>
      <x:c r="I80" s="68" t="str">
        <x:v>日主合化候选存在</x:v>
      </x:c>
      <x:c r="J80" s="68" t="str">
        <x:v>月令依据、格神根气与有效力量、日主配合及M11组合证据相互支持</x:v>
      </x:c>
      <x:c r="K80" s="68" t="str">
        <x:v>同一合神被多干争合或出现妒合，化势不专</x:v>
      </x:c>
      <x:c r="L80" s="82" t="str">
        <x:v>严重</x:v>
      </x:c>
      <x:c r="M80" s="68" t="str">
        <x:v>争合一方失效或被制去</x:v>
      </x:c>
      <x:c r="N80" s="82" t="str">
        <x:v>待定</x:v>
      </x:c>
      <x:c r="O80" s="84" t="str">
        <x:v>成立但有破</x:v>
      </x:c>
      <x:c r="P80" s="82" t="str">
        <x:v>混杂</x:v>
      </x:c>
      <x:c r="Q80" s="68" t="str">
        <x:v>化势不专，通常降为假化或合而不化</x:v>
      </x:c>
      <x:c r="R80" s="68" t="str">
        <x:v>M14已生成候选；M08、M09、M10、M11相关结论可追溯</x:v>
      </x:c>
      <x:c r="S80" s="68" t="str">
        <x:v>格神与关键配合十神均以有效力量和实际功能为准</x:v>
      </x:c>
      <x:c r="T80" s="68" t="str">
        <x:v>格神得令、有根、透达、清纯，组合路径稳定且日主承载匹配</x:v>
      </x:c>
      <x:c r="U80" s="68" t="str">
        <x:v>格神受制、混杂、路径受阻、日主承载不足或救应只能局部作用</x:v>
      </x:c>
      <x:c r="V80" s="90" t="str">
        <x:v>格神失效、核心作用路径完全中断，或特殊格局硬门槛被有效反证否决</x:v>
      </x:c>
      <x:c r="W80" s="68" t="str">
        <x:v>特殊格局严格条件、流派争议及岁运补成另按专门规则处理</x:v>
      </x:c>
      <x:c r="X80" s="84" t="str">
        <x:v>化气格_争合破化</x:v>
      </x:c>
      <x:c r="Y80" s="84" t="str">
        <x:v>化气格候选判为“成立但有破”：破格等级为“严重”，救应为“待定”，清纯度为“混杂”；层次需结合全局继续评估。</x:v>
      </x:c>
      <x:c r="Z80" s="68" t="str">
        <x:v>若“格神失效、核心作用路径完全中断，或特殊格局硬门槛被有效反证否决”成立，应降低为成立但有破或不成立，不得维持当前结论。</x:v>
      </x:c>
      <x:c r="AA80" s="82" t="str">
        <x:v>较高</x:v>
      </x:c>
      <x:c r="AB80" s="82" t="str">
        <x:v>子平格局</x:v>
      </x:c>
      <x:c r="AC80" s="68" t="str">
        <x:v>格局成败须区分：格神是否有效、结构是否能运行、是否存在破坏、救应是否直接修复破格机制，以及格局成立与层次高低。</x:v>
      </x:c>
      <x:c r="AD80" s="68" t="str">
        <x:v>当“日主合化候选存在”成立，且成格证据相互支持、无决定性否决时，可按本规则判断。</x:v>
      </x:c>
      <x:c r="AE80" s="90" t="str">
        <x:v>只有格局名称或局部组合，但“格神失效、核心作用路径完全中断，或特殊格局硬门槛被有效反证否决”成立时，不能按本规则维持格局。</x:v>
      </x:c>
      <x:c r="AF80" s="68" t="str">
        <x:v>https://zh.wikisource.org/wiki/%E6%BB%B4%E5%A4%A9%E9%AB%93%E9%97%A1%E5%BE%AE ; https://zh.wikisource.org/zh-hans/%E6%BB%B4%E5%A4%A9%E9%AB%93</x:v>
      </x:c>
      <x:c r="AG80" s="82" t="str">
        <x:v>采用</x:v>
      </x:c>
      <x:c r="AH80" s="82" t="str">
        <x:v>初审</x:v>
      </x:c>
      <x:c r="AI80" s="87" t="n">
        <x:v>46260</x:v>
      </x:c>
    </x:row>
    <x:row r="81">
      <x:c r="A81" s="72" t="str">
        <x:f>IF(OR(C81="",D81=""),"",B81&amp;"-"&amp;UPPER(C81)&amp;"-"&amp;TEXT(D81,"0000")&amp;"-"&amp;E81)</x:f>
        <x:v>M15-HUAQI-0075-V1.0</x:v>
      </x:c>
      <x:c r="B81" s="74" t="str">
        <x:v>M15</x:v>
      </x:c>
      <x:c r="C81" s="74" t="str">
        <x:v>HUAQI</x:v>
      </x:c>
      <x:c r="D81" s="215" t="n">
        <x:v>75</x:v>
      </x:c>
      <x:c r="E81" s="74" t="str">
        <x:v>V1.0</x:v>
      </x:c>
      <x:c r="F81" s="68" t="str">
        <x:v>强克冲破化神会构成严重破化</x:v>
      </x:c>
      <x:c r="G81" s="82" t="str">
        <x:v>综合层</x:v>
      </x:c>
      <x:c r="H81" s="68" t="str">
        <x:v>化气格候选</x:v>
      </x:c>
      <x:c r="I81" s="68" t="str">
        <x:v>化气候选已具化神基础</x:v>
      </x:c>
      <x:c r="J81" s="68" t="str">
        <x:v>月令依据、格神根气与有效力量、日主配合及M11组合证据相互支持</x:v>
      </x:c>
      <x:c r="K81" s="68" t="str">
        <x:v>化神被强克、关键根气被冲散或化局被破</x:v>
      </x:c>
      <x:c r="L81" s="82" t="str">
        <x:v>严重</x:v>
      </x:c>
      <x:c r="M81" s="68" t="str">
        <x:v>生扶化神或制去破化之神</x:v>
      </x:c>
      <x:c r="N81" s="82" t="str">
        <x:v>待定</x:v>
      </x:c>
      <x:c r="O81" s="84" t="str">
        <x:v>成立但有破</x:v>
      </x:c>
      <x:c r="P81" s="82" t="str">
        <x:v>有杂</x:v>
      </x:c>
      <x:c r="Q81" s="68" t="str">
        <x:v>化神主导性下降，需判断能否维持假化</x:v>
      </x:c>
      <x:c r="R81" s="68" t="str">
        <x:v>M14已生成候选；M08、M09、M10、M11相关结论可追溯</x:v>
      </x:c>
      <x:c r="S81" s="68" t="str">
        <x:v>格神与关键配合十神均以有效力量和实际功能为准</x:v>
      </x:c>
      <x:c r="T81" s="68" t="str">
        <x:v>格神得令、有根、透达、清纯，组合路径稳定且日主承载匹配</x:v>
      </x:c>
      <x:c r="U81" s="68" t="str">
        <x:v>格神受制、混杂、路径受阻、日主承载不足或救应只能局部作用</x:v>
      </x:c>
      <x:c r="V81" s="90" t="str">
        <x:v>格神失效、核心作用路径完全中断，或特殊格局硬门槛被有效反证否决</x:v>
      </x:c>
      <x:c r="W81" s="68" t="str">
        <x:v>特殊格局严格条件、流派争议及岁运补成另按专门规则处理</x:v>
      </x:c>
      <x:c r="X81" s="84" t="str">
        <x:v>化气格_化神受损</x:v>
      </x:c>
      <x:c r="Y81" s="84" t="str">
        <x:v>化气格候选判为“成立但有破”：破格等级为“严重”，救应为“待定”，清纯度为“有杂”；层次需结合全局继续评估。</x:v>
      </x:c>
      <x:c r="Z81" s="68" t="str">
        <x:v>若“格神失效、核心作用路径完全中断，或特殊格局硬门槛被有效反证否决”成立，应降低为成立但有破或不成立，不得维持当前结论。</x:v>
      </x:c>
      <x:c r="AA81" s="82" t="str">
        <x:v>较高</x:v>
      </x:c>
      <x:c r="AB81" s="82" t="str">
        <x:v>子平格局</x:v>
      </x:c>
      <x:c r="AC81" s="68" t="str">
        <x:v>格局成败须区分：格神是否有效、结构是否能运行、是否存在破坏、救应是否直接修复破格机制，以及格局成立与层次高低。</x:v>
      </x:c>
      <x:c r="AD81" s="68" t="str">
        <x:v>当“化气候选已具化神基础”成立，且成格证据相互支持、无决定性否决时，可按本规则判断。</x:v>
      </x:c>
      <x:c r="AE81" s="90" t="str">
        <x:v>只有格局名称或局部组合，但“格神失效、核心作用路径完全中断，或特殊格局硬门槛被有效反证否决”成立时，不能按本规则维持格局。</x:v>
      </x:c>
      <x:c r="AF81" s="68" t="str">
        <x:v>https://zh.wikisource.org/wiki/%E6%BB%B4%E5%A4%A9%E9%AB%93%E9%97%A1%E5%BE%AE ; https://zh.wikisource.org/zh-hans/%E6%BB%B4%E5%A4%A9%E9%AB%93</x:v>
      </x:c>
      <x:c r="AG81" s="82" t="str">
        <x:v>采用</x:v>
      </x:c>
      <x:c r="AH81" s="82" t="str">
        <x:v>初审</x:v>
      </x:c>
      <x:c r="AI81" s="87" t="n">
        <x:v>46260</x:v>
      </x:c>
    </x:row>
    <x:row r="82">
      <x:c r="A82" s="72" t="str">
        <x:f>IF(OR(C82="",D82=""),"",B82&amp;"-"&amp;UPPER(C82)&amp;"-"&amp;TEXT(D82,"0000")&amp;"-"&amp;E82)</x:f>
        <x:v>M15-HUAQI-0076-V1.0</x:v>
      </x:c>
      <x:c r="B82" s="74" t="str">
        <x:v>M15</x:v>
      </x:c>
      <x:c r="C82" s="74" t="str">
        <x:v>HUAQI</x:v>
      </x:c>
      <x:c r="D82" s="215" t="n">
        <x:v>76</x:v>
      </x:c>
      <x:c r="E82" s="74" t="str">
        <x:v>V1.0</x:v>
      </x:c>
      <x:c r="F82" s="68" t="str">
        <x:v>化神有势但原气未尽时只能判假化</x:v>
      </x:c>
      <x:c r="G82" s="82" t="str">
        <x:v>综合层</x:v>
      </x:c>
      <x:c r="H82" s="68" t="str">
        <x:v>假化候选</x:v>
      </x:c>
      <x:c r="I82" s="68" t="str">
        <x:v>化神明显成势，但日主仍有残根、同党或局部自立能力</x:v>
      </x:c>
      <x:c r="J82" s="68" t="str">
        <x:v>化势强于原气但未达到完全转化</x:v>
      </x:c>
      <x:c r="K82" s="68" t="str">
        <x:v>原气未尽</x:v>
      </x:c>
      <x:c r="L82" s="82" t="str">
        <x:v>一般</x:v>
      </x:c>
      <x:c r="M82" s="68" t="str">
        <x:v>原气进一步受制或化神增强不作为原局既成事实</x:v>
      </x:c>
      <x:c r="N82" s="82" t="str">
        <x:v>无救应</x:v>
      </x:c>
      <x:c r="O82" s="84" t="str">
        <x:v>成立但有破</x:v>
      </x:c>
      <x:c r="P82" s="82" t="str">
        <x:v>有杂</x:v>
      </x:c>
      <x:c r="Q82" s="68" t="str">
        <x:v>假化低于真化，需同时保留原气与化神双重作用</x:v>
      </x:c>
      <x:c r="R82" s="68" t="str">
        <x:v>M14已生成候选；M08、M09、M10、M11相关结论可追溯</x:v>
      </x:c>
      <x:c r="S82" s="68" t="str">
        <x:v>格神与关键配合十神均以有效力量和实际功能为准</x:v>
      </x:c>
      <x:c r="T82" s="68" t="str">
        <x:v>格神得令、有根、透达、清纯，组合路径稳定且日主承载匹配</x:v>
      </x:c>
      <x:c r="U82" s="68" t="str">
        <x:v>格神受制、混杂、路径受阻、日主承载不足或救应只能局部作用</x:v>
      </x:c>
      <x:c r="V82" s="90" t="str">
        <x:v>格神失效、核心作用路径完全中断，或特殊格局硬门槛被有效反证否决</x:v>
      </x:c>
      <x:c r="W82" s="68" t="str">
        <x:v>特殊格局严格条件、流派争议及岁运补成另按专门规则处理</x:v>
      </x:c>
      <x:c r="X82" s="84" t="str">
        <x:v>化气格_假化</x:v>
      </x:c>
      <x:c r="Y82" s="84" t="str">
        <x:v>假化候选判为“成立但有破”：破格等级为“一般”，救应为“无救应”，清纯度为“有杂”；层次需结合全局继续评估。</x:v>
      </x:c>
      <x:c r="Z82" s="68" t="str">
        <x:v>若“格神失效、核心作用路径完全中断，或特殊格局硬门槛被有效反证否决”成立，应降低为成立但有破或不成立，不得维持当前结论。</x:v>
      </x:c>
      <x:c r="AA82" s="82" t="str">
        <x:v>中等</x:v>
      </x:c>
      <x:c r="AB82" s="82" t="str">
        <x:v>子平格局</x:v>
      </x:c>
      <x:c r="AC82" s="68" t="str">
        <x:v>格局成败须区分：格神是否有效、结构是否能运行、是否存在破坏、救应是否直接修复破格机制，以及格局成立与层次高低。</x:v>
      </x:c>
      <x:c r="AD82" s="68" t="str">
        <x:v>当“化神明显成势，但日主仍有残根、同党或局部自立能力”成立，且成格证据相互支持、无决定性否决时，可按本规则判断。</x:v>
      </x:c>
      <x:c r="AE82" s="90" t="str">
        <x:v>只有格局名称或局部组合，但“格神失效、核心作用路径完全中断，或特殊格局硬门槛被有效反证否决”成立时，不能按本规则维持格局。</x:v>
      </x:c>
      <x:c r="AF82" s="68" t="str">
        <x:v>https://zh.wikisource.org/wiki/%E6%BB%B4%E5%A4%A9%E9%AB%93%E9%97%A1%E5%BE%AE ; https://zh.wikisource.org/zh-hans/%E6%BB%B4%E5%A4%A9%E9%AB%93</x:v>
      </x:c>
      <x:c r="AG82" s="82" t="str">
        <x:v>待验证</x:v>
      </x:c>
      <x:c r="AH82" s="82" t="str">
        <x:v>初审</x:v>
      </x:c>
      <x:c r="AI82" s="87" t="n">
        <x:v>46260</x:v>
      </x:c>
    </x:row>
    <x:row r="83">
      <x:c r="A83" s="72" t="str">
        <x:f>IF(OR(C83="",D83=""),"",B83&amp;"-"&amp;UPPER(C83)&amp;"-"&amp;TEXT(D83,"0000")&amp;"-"&amp;E83)</x:f>
        <x:v>M15-HUAQI-0077-V1.0</x:v>
      </x:c>
      <x:c r="B83" s="74" t="str">
        <x:v>M15</x:v>
      </x:c>
      <x:c r="C83" s="74" t="str">
        <x:v>HUAQI</x:v>
      </x:c>
      <x:c r="D83" s="215" t="n">
        <x:v>77</x:v>
      </x:c>
      <x:c r="E83" s="74" t="str">
        <x:v>V1.0</x:v>
      </x:c>
      <x:c r="F83" s="68" t="str">
        <x:v>生扶化神并制去逆神可形成有破有救</x:v>
      </x:c>
      <x:c r="G83" s="82" t="str">
        <x:v>综合层</x:v>
      </x:c>
      <x:c r="H83" s="68" t="str">
        <x:v>化气格候选</x:v>
      </x:c>
      <x:c r="I83" s="68" t="str">
        <x:v>化神原受损，但第三力量直接生扶化神或制去破化之神</x:v>
      </x:c>
      <x:c r="J83" s="68" t="str">
        <x:v>救应能恢复化神主导性和主要流通路径</x:v>
      </x:c>
      <x:c r="K83" s="68" t="str">
        <x:v>化神受克或化局受破</x:v>
      </x:c>
      <x:c r="L83" s="82" t="str">
        <x:v>一般</x:v>
      </x:c>
      <x:c r="M83" s="68" t="str">
        <x:v>扶化神、制逆神</x:v>
      </x:c>
      <x:c r="N83" s="82" t="str">
        <x:v>明显有效</x:v>
      </x:c>
      <x:c r="O83" s="84" t="str">
        <x:v>有破有救</x:v>
      </x:c>
      <x:c r="P83" s="82" t="str">
        <x:v>有杂</x:v>
      </x:c>
      <x:c r="Q83" s="68" t="str">
        <x:v>化气结构得到恢复，但低于原局真化无破</x:v>
      </x:c>
      <x:c r="R83" s="68" t="str">
        <x:v>M14已生成候选；M08、M09、M10、M11相关结论可追溯</x:v>
      </x:c>
      <x:c r="S83" s="68" t="str">
        <x:v>格神与关键配合十神均以有效力量和实际功能为准</x:v>
      </x:c>
      <x:c r="T83" s="68" t="str">
        <x:v>格神得令、有根、透达、清纯，组合路径稳定且日主承载匹配</x:v>
      </x:c>
      <x:c r="U83" s="68" t="str">
        <x:v>格神受制、混杂、路径受阻、日主承载不足或救应只能局部作用</x:v>
      </x:c>
      <x:c r="V83" s="90" t="str">
        <x:v>格神失效、核心作用路径完全中断，或特殊格局硬门槛被有效反证否决</x:v>
      </x:c>
      <x:c r="W83" s="68" t="str">
        <x:v>特殊格局严格条件、流派争议及岁运补成另按专门规则处理</x:v>
      </x:c>
      <x:c r="X83" s="84" t="str">
        <x:v>化气格_救化</x:v>
      </x:c>
      <x:c r="Y83" s="84" t="str">
        <x:v>化气格候选判为“有破有救”：破格等级为“一般”，救应为“明显有效”，清纯度为“有杂”；层次需结合全局继续评估。</x:v>
      </x:c>
      <x:c r="Z83" s="68" t="str">
        <x:v>若“格神失效、核心作用路径完全中断，或特殊格局硬门槛被有效反证否决”成立，应降低为成立但有破或不成立，不得维持当前结论。</x:v>
      </x:c>
      <x:c r="AA83" s="82" t="str">
        <x:v>较高</x:v>
      </x:c>
      <x:c r="AB83" s="82" t="str">
        <x:v>子平格局</x:v>
      </x:c>
      <x:c r="AC83" s="68" t="str">
        <x:v>格局成败须区分：格神是否有效、结构是否能运行、是否存在破坏、救应是否直接修复破格机制，以及格局成立与层次高低。</x:v>
      </x:c>
      <x:c r="AD83" s="68" t="str">
        <x:v>当“化神原受损，但第三力量直接生扶化神或制去破化之神”成立，且成格证据相互支持、无决定性否决时，可按本规则判断。</x:v>
      </x:c>
      <x:c r="AE83" s="90" t="str">
        <x:v>只有格局名称或局部组合，但“格神失效、核心作用路径完全中断，或特殊格局硬门槛被有效反证否决”成立时，不能按本规则维持格局。</x:v>
      </x:c>
      <x:c r="AF83" s="68" t="str">
        <x:v>https://zh.wikisource.org/wiki/%E6%BB%B4%E5%A4%A9%E9%AB%93%E9%97%A1%E5%BE%AE ; https://zh.wikisource.org/zh-hans/%E6%BB%B4%E5%A4%A9%E9%AB%93</x:v>
      </x:c>
      <x:c r="AG83" s="82" t="str">
        <x:v>采用</x:v>
      </x:c>
      <x:c r="AH83" s="82" t="str">
        <x:v>初审</x:v>
      </x:c>
      <x:c r="AI83" s="87" t="n">
        <x:v>46260</x:v>
      </x:c>
    </x:row>
    <x:row r="84">
      <x:c r="A84" s="72" t="str">
        <x:f>IF(OR(C84="",D84=""),"",B84&amp;"-"&amp;UPPER(C84)&amp;"-"&amp;TEXT(D84,"0000")&amp;"-"&amp;E84)</x:f>
        <x:v>M15-HUAQI-0078-V1.0</x:v>
      </x:c>
      <x:c r="B84" s="74" t="str">
        <x:v>M15</x:v>
      </x:c>
      <x:c r="C84" s="74" t="str">
        <x:v>HUAQI</x:v>
      </x:c>
      <x:c r="D84" s="215" t="n">
        <x:v>78</x:v>
      </x:c>
      <x:c r="E84" s="74" t="str">
        <x:v>V1.0</x:v>
      </x:c>
      <x:c r="F84" s="68" t="str">
        <x:v>化气格清纯度取决于全局是否顺化神</x:v>
      </x:c>
      <x:c r="G84" s="82" t="str">
        <x:v>综合层</x:v>
      </x:c>
      <x:c r="H84" s="68" t="str">
        <x:v>化气格候选</x:v>
      </x:c>
      <x:c r="I84" s="68" t="str">
        <x:v>真化或假化候选成立</x:v>
      </x:c>
      <x:c r="J84" s="68" t="str">
        <x:v>财官印食等十神关系按化神重映射后方向一致</x:v>
      </x:c>
      <x:c r="K84" s="68" t="str">
        <x:v>杂气逆化或原气反复出现</x:v>
      </x:c>
      <x:c r="L84" s="82" t="str">
        <x:v>待定</x:v>
      </x:c>
      <x:c r="M84" s="68" t="str">
        <x:v>待定</x:v>
      </x:c>
      <x:c r="N84" s="82" t="str">
        <x:v>待定</x:v>
      </x:c>
      <x:c r="O84" s="84" t="str">
        <x:v>待定</x:v>
      </x:c>
      <x:c r="P84" s="82" t="str">
        <x:v>待定</x:v>
      </x:c>
      <x:c r="Q84" s="68" t="str">
        <x:v>不能只看天干一合，需看全局是否真正围绕化神运行</x:v>
      </x:c>
      <x:c r="R84" s="68" t="str">
        <x:v>M14已生成候选；M08、M09、M10、M11相关结论可追溯</x:v>
      </x:c>
      <x:c r="S84" s="68" t="str">
        <x:v>格神与关键配合十神均以有效力量和实际功能为准</x:v>
      </x:c>
      <x:c r="T84" s="68" t="str">
        <x:v>格神得令、有根、透达、清纯，组合路径稳定且日主承载匹配</x:v>
      </x:c>
      <x:c r="U84" s="68" t="str">
        <x:v>格神受制、混杂、路径受阻、日主承载不足或救应只能局部作用</x:v>
      </x:c>
      <x:c r="V84" s="90" t="str">
        <x:v>格神失效、核心作用路径完全中断，或特殊格局硬门槛被有效反证否决</x:v>
      </x:c>
      <x:c r="W84" s="68" t="str">
        <x:v>特殊格局严格条件、流派争议及岁运补成另按专门规则处理</x:v>
      </x:c>
      <x:c r="X84" s="84" t="str">
        <x:v>化气格_全局顺化</x:v>
      </x:c>
      <x:c r="Y84" s="84" t="str">
        <x:v>化气格候选判为“待定”：破格等级为“待定”，救应为“待定”，清纯度为“待定”；层次需结合全局继续评估。</x:v>
      </x:c>
      <x:c r="Z84" s="68" t="str">
        <x:v>若“格神失效、核心作用路径完全中断，或特殊格局硬门槛被有效反证否决”成立，应降低为成立但有破或不成立，不得维持当前结论。</x:v>
      </x:c>
      <x:c r="AA84" s="82" t="str">
        <x:v>较高</x:v>
      </x:c>
      <x:c r="AB84" s="82" t="str">
        <x:v>子平格局</x:v>
      </x:c>
      <x:c r="AC84" s="68" t="str">
        <x:v>格局成败须区分：格神是否有效、结构是否能运行、是否存在破坏、救应是否直接修复破格机制，以及格局成立与层次高低。</x:v>
      </x:c>
      <x:c r="AD84" s="68" t="str">
        <x:v>当“真化或假化候选成立”成立，且成格证据相互支持、无决定性否决时，可按本规则判断。</x:v>
      </x:c>
      <x:c r="AE84" s="90" t="str">
        <x:v>只有格局名称或局部组合，但“格神失效、核心作用路径完全中断，或特殊格局硬门槛被有效反证否决”成立时，不能按本规则维持格局。</x:v>
      </x:c>
      <x:c r="AF84" s="68" t="str">
        <x:v>https://zh.wikisource.org/wiki/%E6%BB%B4%E5%A4%A9%E9%AB%93%E9%97%A1%E5%BE%AE ; https://zh.wikisource.org/zh-hans/%E6%BB%B4%E5%A4%A9%E9%AB%93</x:v>
      </x:c>
      <x:c r="AG84" s="82" t="str">
        <x:v>采用</x:v>
      </x:c>
      <x:c r="AH84" s="82" t="str">
        <x:v>初审</x:v>
      </x:c>
      <x:c r="AI84" s="87" t="n">
        <x:v>46260</x:v>
      </x:c>
    </x:row>
    <x:row r="85">
      <x:c r="A85" s="72" t="str">
        <x:f>IF(OR(C85="",D85=""),"",B85&amp;"-"&amp;UPPER(C85)&amp;"-"&amp;TEXT(D85,"0000")&amp;"-"&amp;E85)</x:f>
        <x:v>M15-ZHUAN-0079-V1.0</x:v>
      </x:c>
      <x:c r="B85" s="74" t="str">
        <x:v>M15</x:v>
      </x:c>
      <x:c r="C85" s="74" t="str">
        <x:v>ZHUAN</x:v>
      </x:c>
      <x:c r="D85" s="215" t="n">
        <x:v>79</x:v>
      </x:c>
      <x:c r="E85" s="74" t="str">
        <x:v>V1.0</x:v>
      </x:c>
      <x:c r="F85" s="68" t="str">
        <x:v>专旺格严格成立要求一气独旺且逆神无效</x:v>
      </x:c>
      <x:c r="G85" s="82" t="str">
        <x:v>综合层</x:v>
      </x:c>
      <x:c r="H85" s="68" t="str">
        <x:v>专旺候选</x:v>
      </x:c>
      <x:c r="I85" s="68" t="str">
        <x:v>日主同类五行得令、多根、透干成党，全局一气主导，克制该气的力量无效</x:v>
      </x:c>
      <x:c r="J85" s="68" t="str">
        <x:v>月令、地支方局、透干与主路径均指向同一五行</x:v>
      </x:c>
      <x:c r="K85" s="68" t="str">
        <x:v>无决定性破格因素</x:v>
      </x:c>
      <x:c r="L85" s="82" t="str">
        <x:v>无破</x:v>
      </x:c>
      <x:c r="M85" s="68" t="str">
        <x:v>无须救应</x:v>
      </x:c>
      <x:c r="N85" s="82" t="str">
        <x:v>无救应</x:v>
      </x:c>
      <x:c r="O85" s="84" t="str">
        <x:v>特殊格局严格成立</x:v>
      </x:c>
      <x:c r="P85" s="82" t="str">
        <x:v>清纯</x:v>
      </x:c>
      <x:c r="Q85" s="68" t="str">
        <x:v>一气成象，普通均衡逻辑需服从专旺气势</x:v>
      </x:c>
      <x:c r="R85" s="68" t="str">
        <x:v>M14已生成候选；M08、M09、M10、M11相关结论可追溯</x:v>
      </x:c>
      <x:c r="S85" s="68" t="str">
        <x:v>格神与关键配合十神均以有效力量和实际功能为准</x:v>
      </x:c>
      <x:c r="T85" s="68" t="str">
        <x:v>格神得令、有根、透达、清纯，组合路径稳定且日主承载匹配</x:v>
      </x:c>
      <x:c r="U85" s="68" t="str">
        <x:v>格神受制、混杂、路径受阻、日主承载不足或救应只能局部作用</x:v>
      </x:c>
      <x:c r="V85" s="90" t="str">
        <x:v>格神失效、核心作用路径完全中断，或特殊格局硬门槛被有效反证否决</x:v>
      </x:c>
      <x:c r="W85" s="68" t="str">
        <x:v>特殊格局严格条件、流派争议及岁运补成另按专门规则处理</x:v>
      </x:c>
      <x:c r="X85" s="84" t="str">
        <x:v>专旺格_严格成立</x:v>
      </x:c>
      <x:c r="Y85" s="84" t="str">
        <x:v>专旺候选判为“特殊格局严格成立”：破格等级为“无破”，救应为“无救应”，清纯度为“清纯”；层次需结合全局继续评估。</x:v>
      </x:c>
      <x:c r="Z85" s="68" t="str">
        <x:v>若“格神失效、核心作用路径完全中断，或特殊格局硬门槛被有效反证否决”成立，应降低为成立但有破或不成立，不得维持当前结论。</x:v>
      </x:c>
      <x:c r="AA85" s="82" t="str">
        <x:v>较高</x:v>
      </x:c>
      <x:c r="AB85" s="82" t="str">
        <x:v>子平格局</x:v>
      </x:c>
      <x:c r="AC85" s="68" t="str">
        <x:v>格局成败须区分：格神是否有效、结构是否能运行、是否存在破坏、救应是否直接修复破格机制，以及格局成立与层次高低。</x:v>
      </x:c>
      <x:c r="AD85" s="68" t="str">
        <x:v>当“日主同类五行得令、多根、透干成党，全局一气主导，克制该气的力量无效”成立，且成格证据相互支持、无决定性否决时，可按本规则判断。</x:v>
      </x:c>
      <x:c r="AE85" s="90" t="str">
        <x:v>只有格局名称或局部组合，但“格神失效、核心作用路径完全中断，或特殊格局硬门槛被有效反证否决”成立时，不能按本规则维持格局。</x:v>
      </x:c>
      <x:c r="AF85" s="68" t="str">
        <x:v>https://zh.wikisource.org/wiki/%E6%BB%B4%E5%A4%A9%E9%AB%93%E9%97%A1%E5%BE%AE ; https://zh.wikisource.org/zh-hans/%E6%BB%B4%E5%A4%A9%E9%AB%93</x:v>
      </x:c>
      <x:c r="AG85" s="82" t="str">
        <x:v>采用</x:v>
      </x:c>
      <x:c r="AH85" s="82" t="str">
        <x:v>初审</x:v>
      </x:c>
      <x:c r="AI85" s="87" t="n">
        <x:v>46260</x:v>
      </x:c>
    </x:row>
    <x:row r="86">
      <x:c r="A86" s="72" t="str">
        <x:f>IF(OR(C86="",D86=""),"",B86&amp;"-"&amp;UPPER(C86)&amp;"-"&amp;TEXT(D86,"0000")&amp;"-"&amp;E86)</x:f>
        <x:v>M15-ZHUAN-0080-V1.0</x:v>
      </x:c>
      <x:c r="B86" s="74" t="str">
        <x:v>M15</x:v>
      </x:c>
      <x:c r="C86" s="74" t="str">
        <x:v>ZHUAN</x:v>
      </x:c>
      <x:c r="D86" s="215" t="n">
        <x:v>80</x:v>
      </x:c>
      <x:c r="E86" s="74" t="str">
        <x:v>V1.0</x:v>
      </x:c>
      <x:c r="F86" s="68" t="str">
        <x:v>曲直格候选严格成立条件</x:v>
      </x:c>
      <x:c r="G86" s="82" t="str">
        <x:v>综合层</x:v>
      </x:c>
      <x:c r="H86" s="68" t="str">
        <x:v>曲直格候选</x:v>
      </x:c>
      <x:c r="I86" s="68" t="str">
        <x:v>木得令成方成局、透干成党，日主属木，全局顺木势</x:v>
      </x:c>
      <x:c r="J86" s="68" t="str">
        <x:v>木覆盖月令、根气、透干和主要流通方向</x:v>
      </x:c>
      <x:c r="K86" s="68" t="str">
        <x:v>克木的金无有效成势</x:v>
      </x:c>
      <x:c r="L86" s="82" t="str">
        <x:v>无破</x:v>
      </x:c>
      <x:c r="M86" s="68" t="str">
        <x:v>无须救应</x:v>
      </x:c>
      <x:c r="N86" s="82" t="str">
        <x:v>无救应</x:v>
      </x:c>
      <x:c r="O86" s="84" t="str">
        <x:v>特殊格局严格成立</x:v>
      </x:c>
      <x:c r="P86" s="82" t="str">
        <x:v>清纯</x:v>
      </x:c>
      <x:c r="Q86" s="68" t="str">
        <x:v>木一气成象，杂气不足以改变主势</x:v>
      </x:c>
      <x:c r="R86" s="68" t="str">
        <x:v>M14已生成候选；M08、M09、M10、M11相关结论可追溯</x:v>
      </x:c>
      <x:c r="S86" s="68" t="str">
        <x:v>格神与关键配合十神均以有效力量和实际功能为准</x:v>
      </x:c>
      <x:c r="T86" s="68" t="str">
        <x:v>格神得令、有根、透达、清纯，组合路径稳定且日主承载匹配</x:v>
      </x:c>
      <x:c r="U86" s="68" t="str">
        <x:v>格神受制、混杂、路径受阻、日主承载不足或救应只能局部作用</x:v>
      </x:c>
      <x:c r="V86" s="90" t="str">
        <x:v>格神失效、核心作用路径完全中断，或特殊格局硬门槛被有效反证否决</x:v>
      </x:c>
      <x:c r="W86" s="68" t="str">
        <x:v>特殊格局严格条件、流派争议及岁运补成另按专门规则处理</x:v>
      </x:c>
      <x:c r="X86" s="84" t="str">
        <x:v>曲直格候选_严格成立</x:v>
      </x:c>
      <x:c r="Y86" s="84" t="str">
        <x:v>曲直格候选判为“特殊格局严格成立”：破格等级为“无破”，救应为“无救应”，清纯度为“清纯”；层次需结合全局继续评估。</x:v>
      </x:c>
      <x:c r="Z86" s="68" t="str">
        <x:v>若“格神失效、核心作用路径完全中断，或特殊格局硬门槛被有效反证否决”成立，应降低为成立但有破或不成立，不得维持当前结论。</x:v>
      </x:c>
      <x:c r="AA86" s="82" t="str">
        <x:v>较高</x:v>
      </x:c>
      <x:c r="AB86" s="82" t="str">
        <x:v>子平格局</x:v>
      </x:c>
      <x:c r="AC86" s="68" t="str">
        <x:v>格局成败须区分：格神是否有效、结构是否能运行、是否存在破坏、救应是否直接修复破格机制，以及格局成立与层次高低。</x:v>
      </x:c>
      <x:c r="AD86" s="68" t="str">
        <x:v>当“木得令成方成局、透干成党，日主属木，全局顺木势”成立，且成格证据相互支持、无决定性否决时，可按本规则判断。</x:v>
      </x:c>
      <x:c r="AE86" s="90" t="str">
        <x:v>只有格局名称或局部组合，但“格神失效、核心作用路径完全中断，或特殊格局硬门槛被有效反证否决”成立时，不能按本规则维持格局。</x:v>
      </x:c>
      <x:c r="AF86" s="68" t="str">
        <x:v>https://zh.wikisource.org/wiki/%E6%BB%B4%E5%A4%A9%E9%AB%93%E9%97%A1%E5%BE%AE ; https://zh.wikisource.org/zh-hans/%E6%BB%B4%E5%A4%A9%E9%AB%93</x:v>
      </x:c>
      <x:c r="AG86" s="82" t="str">
        <x:v>采用</x:v>
      </x:c>
      <x:c r="AH86" s="82" t="str">
        <x:v>初审</x:v>
      </x:c>
      <x:c r="AI86" s="87" t="n">
        <x:v>46260</x:v>
      </x:c>
    </x:row>
    <x:row r="87">
      <x:c r="A87" s="72" t="str">
        <x:f>IF(OR(C87="",D87=""),"",B87&amp;"-"&amp;UPPER(C87)&amp;"-"&amp;TEXT(D87,"0000")&amp;"-"&amp;E87)</x:f>
        <x:v>M15-ZHUAN-0081-V1.0</x:v>
      </x:c>
      <x:c r="B87" s="74" t="str">
        <x:v>M15</x:v>
      </x:c>
      <x:c r="C87" s="74" t="str">
        <x:v>ZHUAN</x:v>
      </x:c>
      <x:c r="D87" s="215" t="n">
        <x:v>81</x:v>
      </x:c>
      <x:c r="E87" s="74" t="str">
        <x:v>V1.0</x:v>
      </x:c>
      <x:c r="F87" s="68" t="str">
        <x:v>炎上格候选严格成立条件</x:v>
      </x:c>
      <x:c r="G87" s="82" t="str">
        <x:v>综合层</x:v>
      </x:c>
      <x:c r="H87" s="68" t="str">
        <x:v>炎上格候选</x:v>
      </x:c>
      <x:c r="I87" s="68" t="str">
        <x:v>火得令成方成局、透干成党，日主属火，全局顺火势</x:v>
      </x:c>
      <x:c r="J87" s="68" t="str">
        <x:v>火覆盖月令、根气、透干和主要流通方向</x:v>
      </x:c>
      <x:c r="K87" s="68" t="str">
        <x:v>克火的水无有效成势</x:v>
      </x:c>
      <x:c r="L87" s="82" t="str">
        <x:v>无破</x:v>
      </x:c>
      <x:c r="M87" s="68" t="str">
        <x:v>无须救应</x:v>
      </x:c>
      <x:c r="N87" s="82" t="str">
        <x:v>无救应</x:v>
      </x:c>
      <x:c r="O87" s="84" t="str">
        <x:v>特殊格局严格成立</x:v>
      </x:c>
      <x:c r="P87" s="82" t="str">
        <x:v>清纯</x:v>
      </x:c>
      <x:c r="Q87" s="68" t="str">
        <x:v>火一气成象，杂气不足以改变主势</x:v>
      </x:c>
      <x:c r="R87" s="68" t="str">
        <x:v>M14已生成候选；M08、M09、M10、M11相关结论可追溯</x:v>
      </x:c>
      <x:c r="S87" s="68" t="str">
        <x:v>格神与关键配合十神均以有效力量和实际功能为准</x:v>
      </x:c>
      <x:c r="T87" s="68" t="str">
        <x:v>格神得令、有根、透达、清纯，组合路径稳定且日主承载匹配</x:v>
      </x:c>
      <x:c r="U87" s="68" t="str">
        <x:v>格神受制、混杂、路径受阻、日主承载不足或救应只能局部作用</x:v>
      </x:c>
      <x:c r="V87" s="90" t="str">
        <x:v>格神失效、核心作用路径完全中断，或特殊格局硬门槛被有效反证否决</x:v>
      </x:c>
      <x:c r="W87" s="68" t="str">
        <x:v>特殊格局严格条件、流派争议及岁运补成另按专门规则处理</x:v>
      </x:c>
      <x:c r="X87" s="84" t="str">
        <x:v>炎上格候选_严格成立</x:v>
      </x:c>
      <x:c r="Y87" s="84" t="str">
        <x:v>炎上格候选判为“特殊格局严格成立”：破格等级为“无破”，救应为“无救应”，清纯度为“清纯”；层次需结合全局继续评估。</x:v>
      </x:c>
      <x:c r="Z87" s="68" t="str">
        <x:v>若“格神失效、核心作用路径完全中断，或特殊格局硬门槛被有效反证否决”成立，应降低为成立但有破或不成立，不得维持当前结论。</x:v>
      </x:c>
      <x:c r="AA87" s="82" t="str">
        <x:v>较高</x:v>
      </x:c>
      <x:c r="AB87" s="82" t="str">
        <x:v>子平格局</x:v>
      </x:c>
      <x:c r="AC87" s="68" t="str">
        <x:v>格局成败须区分：格神是否有效、结构是否能运行、是否存在破坏、救应是否直接修复破格机制，以及格局成立与层次高低。</x:v>
      </x:c>
      <x:c r="AD87" s="68" t="str">
        <x:v>当“火得令成方成局、透干成党，日主属火，全局顺火势”成立，且成格证据相互支持、无决定性否决时，可按本规则判断。</x:v>
      </x:c>
      <x:c r="AE87" s="90" t="str">
        <x:v>只有格局名称或局部组合，但“格神失效、核心作用路径完全中断，或特殊格局硬门槛被有效反证否决”成立时，不能按本规则维持格局。</x:v>
      </x:c>
      <x:c r="AF87" s="68" t="str">
        <x:v>https://zh.wikisource.org/wiki/%E6%BB%B4%E5%A4%A9%E9%AB%93%E9%97%A1%E5%BE%AE ; https://zh.wikisource.org/zh-hans/%E6%BB%B4%E5%A4%A9%E9%AB%93</x:v>
      </x:c>
      <x:c r="AG87" s="82" t="str">
        <x:v>采用</x:v>
      </x:c>
      <x:c r="AH87" s="82" t="str">
        <x:v>初审</x:v>
      </x:c>
      <x:c r="AI87" s="87" t="n">
        <x:v>46260</x:v>
      </x:c>
    </x:row>
    <x:row r="88">
      <x:c r="A88" s="72" t="str">
        <x:f>IF(OR(C88="",D88=""),"",B88&amp;"-"&amp;UPPER(C88)&amp;"-"&amp;TEXT(D88,"0000")&amp;"-"&amp;E88)</x:f>
        <x:v>M15-ZHUAN-0082-V1.0</x:v>
      </x:c>
      <x:c r="B88" s="74" t="str">
        <x:v>M15</x:v>
      </x:c>
      <x:c r="C88" s="74" t="str">
        <x:v>ZHUAN</x:v>
      </x:c>
      <x:c r="D88" s="215" t="n">
        <x:v>82</x:v>
      </x:c>
      <x:c r="E88" s="74" t="str">
        <x:v>V1.0</x:v>
      </x:c>
      <x:c r="F88" s="68" t="str">
        <x:v>稼穑格候选严格成立条件</x:v>
      </x:c>
      <x:c r="G88" s="82" t="str">
        <x:v>综合层</x:v>
      </x:c>
      <x:c r="H88" s="68" t="str">
        <x:v>稼穑格候选</x:v>
      </x:c>
      <x:c r="I88" s="68" t="str">
        <x:v>土得令成方成局、透干成党，日主属土，全局顺土势</x:v>
      </x:c>
      <x:c r="J88" s="68" t="str">
        <x:v>土覆盖月令、根气、透干和主要流通方向</x:v>
      </x:c>
      <x:c r="K88" s="68" t="str">
        <x:v>克土的木无有效成势</x:v>
      </x:c>
      <x:c r="L88" s="82" t="str">
        <x:v>无破</x:v>
      </x:c>
      <x:c r="M88" s="68" t="str">
        <x:v>无须救应</x:v>
      </x:c>
      <x:c r="N88" s="82" t="str">
        <x:v>无救应</x:v>
      </x:c>
      <x:c r="O88" s="84" t="str">
        <x:v>特殊格局严格成立</x:v>
      </x:c>
      <x:c r="P88" s="82" t="str">
        <x:v>清纯</x:v>
      </x:c>
      <x:c r="Q88" s="68" t="str">
        <x:v>土一气成象，杂气不足以改变主势</x:v>
      </x:c>
      <x:c r="R88" s="68" t="str">
        <x:v>M14已生成候选；M08、M09、M10、M11相关结论可追溯</x:v>
      </x:c>
      <x:c r="S88" s="68" t="str">
        <x:v>格神与关键配合十神均以有效力量和实际功能为准</x:v>
      </x:c>
      <x:c r="T88" s="68" t="str">
        <x:v>格神得令、有根、透达、清纯，组合路径稳定且日主承载匹配</x:v>
      </x:c>
      <x:c r="U88" s="68" t="str">
        <x:v>格神受制、混杂、路径受阻、日主承载不足或救应只能局部作用</x:v>
      </x:c>
      <x:c r="V88" s="90" t="str">
        <x:v>格神失效、核心作用路径完全中断，或特殊格局硬门槛被有效反证否决</x:v>
      </x:c>
      <x:c r="W88" s="68" t="str">
        <x:v>特殊格局严格条件、流派争议及岁运补成另按专门规则处理</x:v>
      </x:c>
      <x:c r="X88" s="84" t="str">
        <x:v>稼穑格候选_严格成立</x:v>
      </x:c>
      <x:c r="Y88" s="84" t="str">
        <x:v>稼穑格候选判为“特殊格局严格成立”：破格等级为“无破”，救应为“无救应”，清纯度为“清纯”；层次需结合全局继续评估。</x:v>
      </x:c>
      <x:c r="Z88" s="68" t="str">
        <x:v>若“格神失效、核心作用路径完全中断，或特殊格局硬门槛被有效反证否决”成立，应降低为成立但有破或不成立，不得维持当前结论。</x:v>
      </x:c>
      <x:c r="AA88" s="82" t="str">
        <x:v>较高</x:v>
      </x:c>
      <x:c r="AB88" s="82" t="str">
        <x:v>子平格局</x:v>
      </x:c>
      <x:c r="AC88" s="68" t="str">
        <x:v>格局成败须区分：格神是否有效、结构是否能运行、是否存在破坏、救应是否直接修复破格机制，以及格局成立与层次高低。</x:v>
      </x:c>
      <x:c r="AD88" s="68" t="str">
        <x:v>当“土得令成方成局、透干成党，日主属土，全局顺土势”成立，且成格证据相互支持、无决定性否决时，可按本规则判断。</x:v>
      </x:c>
      <x:c r="AE88" s="90" t="str">
        <x:v>只有格局名称或局部组合，但“格神失效、核心作用路径完全中断，或特殊格局硬门槛被有效反证否决”成立时，不能按本规则维持格局。</x:v>
      </x:c>
      <x:c r="AF88" s="68" t="str">
        <x:v>https://zh.wikisource.org/wiki/%E6%BB%B4%E5%A4%A9%E9%AB%93%E9%97%A1%E5%BE%AE ; https://zh.wikisource.org/zh-hans/%E6%BB%B4%E5%A4%A9%E9%AB%93</x:v>
      </x:c>
      <x:c r="AG88" s="82" t="str">
        <x:v>采用</x:v>
      </x:c>
      <x:c r="AH88" s="82" t="str">
        <x:v>初审</x:v>
      </x:c>
      <x:c r="AI88" s="87" t="n">
        <x:v>46260</x:v>
      </x:c>
    </x:row>
    <x:row r="89">
      <x:c r="A89" s="72" t="str">
        <x:f>IF(OR(C89="",D89=""),"",B89&amp;"-"&amp;UPPER(C89)&amp;"-"&amp;TEXT(D89,"0000")&amp;"-"&amp;E89)</x:f>
        <x:v>M15-ZHUAN-0083-V1.0</x:v>
      </x:c>
      <x:c r="B89" s="74" t="str">
        <x:v>M15</x:v>
      </x:c>
      <x:c r="C89" s="74" t="str">
        <x:v>ZHUAN</x:v>
      </x:c>
      <x:c r="D89" s="215" t="n">
        <x:v>83</x:v>
      </x:c>
      <x:c r="E89" s="74" t="str">
        <x:v>V1.0</x:v>
      </x:c>
      <x:c r="F89" s="68" t="str">
        <x:v>从革格候选严格成立条件</x:v>
      </x:c>
      <x:c r="G89" s="82" t="str">
        <x:v>综合层</x:v>
      </x:c>
      <x:c r="H89" s="68" t="str">
        <x:v>从革格候选</x:v>
      </x:c>
      <x:c r="I89" s="68" t="str">
        <x:v>金得令成方成局、透干成党，日主属金，全局顺金势</x:v>
      </x:c>
      <x:c r="J89" s="68" t="str">
        <x:v>金覆盖月令、根气、透干和主要流通方向</x:v>
      </x:c>
      <x:c r="K89" s="68" t="str">
        <x:v>克金的火无有效成势</x:v>
      </x:c>
      <x:c r="L89" s="82" t="str">
        <x:v>无破</x:v>
      </x:c>
      <x:c r="M89" s="68" t="str">
        <x:v>无须救应</x:v>
      </x:c>
      <x:c r="N89" s="82" t="str">
        <x:v>无救应</x:v>
      </x:c>
      <x:c r="O89" s="84" t="str">
        <x:v>特殊格局严格成立</x:v>
      </x:c>
      <x:c r="P89" s="82" t="str">
        <x:v>清纯</x:v>
      </x:c>
      <x:c r="Q89" s="68" t="str">
        <x:v>金一气成象，杂气不足以改变主势</x:v>
      </x:c>
      <x:c r="R89" s="68" t="str">
        <x:v>M14已生成候选；M08、M09、M10、M11相关结论可追溯</x:v>
      </x:c>
      <x:c r="S89" s="68" t="str">
        <x:v>格神与关键配合十神均以有效力量和实际功能为准</x:v>
      </x:c>
      <x:c r="T89" s="68" t="str">
        <x:v>格神得令、有根、透达、清纯，组合路径稳定且日主承载匹配</x:v>
      </x:c>
      <x:c r="U89" s="68" t="str">
        <x:v>格神受制、混杂、路径受阻、日主承载不足或救应只能局部作用</x:v>
      </x:c>
      <x:c r="V89" s="90" t="str">
        <x:v>格神失效、核心作用路径完全中断，或特殊格局硬门槛被有效反证否决</x:v>
      </x:c>
      <x:c r="W89" s="68" t="str">
        <x:v>特殊格局严格条件、流派争议及岁运补成另按专门规则处理</x:v>
      </x:c>
      <x:c r="X89" s="84" t="str">
        <x:v>从革格候选_严格成立</x:v>
      </x:c>
      <x:c r="Y89" s="84" t="str">
        <x:v>从革格候选判为“特殊格局严格成立”：破格等级为“无破”，救应为“无救应”，清纯度为“清纯”；层次需结合全局继续评估。</x:v>
      </x:c>
      <x:c r="Z89" s="68" t="str">
        <x:v>若“格神失效、核心作用路径完全中断，或特殊格局硬门槛被有效反证否决”成立，应降低为成立但有破或不成立，不得维持当前结论。</x:v>
      </x:c>
      <x:c r="AA89" s="82" t="str">
        <x:v>较高</x:v>
      </x:c>
      <x:c r="AB89" s="82" t="str">
        <x:v>子平格局</x:v>
      </x:c>
      <x:c r="AC89" s="68" t="str">
        <x:v>格局成败须区分：格神是否有效、结构是否能运行、是否存在破坏、救应是否直接修复破格机制，以及格局成立与层次高低。</x:v>
      </x:c>
      <x:c r="AD89" s="68" t="str">
        <x:v>当“金得令成方成局、透干成党，日主属金，全局顺金势”成立，且成格证据相互支持、无决定性否决时，可按本规则判断。</x:v>
      </x:c>
      <x:c r="AE89" s="90" t="str">
        <x:v>只有格局名称或局部组合，但“格神失效、核心作用路径完全中断，或特殊格局硬门槛被有效反证否决”成立时，不能按本规则维持格局。</x:v>
      </x:c>
      <x:c r="AF89" s="68" t="str">
        <x:v>https://zh.wikisource.org/wiki/%E6%BB%B4%E5%A4%A9%E9%AB%93%E9%97%A1%E5%BE%AE ; https://zh.wikisource.org/zh-hans/%E6%BB%B4%E5%A4%A9%E9%AB%93</x:v>
      </x:c>
      <x:c r="AG89" s="82" t="str">
        <x:v>采用</x:v>
      </x:c>
      <x:c r="AH89" s="82" t="str">
        <x:v>初审</x:v>
      </x:c>
      <x:c r="AI89" s="87" t="n">
        <x:v>46260</x:v>
      </x:c>
    </x:row>
    <x:row r="90">
      <x:c r="A90" s="72" t="str">
        <x:f>IF(OR(C90="",D90=""),"",B90&amp;"-"&amp;UPPER(C90)&amp;"-"&amp;TEXT(D90,"0000")&amp;"-"&amp;E90)</x:f>
        <x:v>M15-ZHUAN-0084-V1.0</x:v>
      </x:c>
      <x:c r="B90" s="74" t="str">
        <x:v>M15</x:v>
      </x:c>
      <x:c r="C90" s="74" t="str">
        <x:v>ZHUAN</x:v>
      </x:c>
      <x:c r="D90" s="215" t="n">
        <x:v>84</x:v>
      </x:c>
      <x:c r="E90" s="74" t="str">
        <x:v>V1.0</x:v>
      </x:c>
      <x:c r="F90" s="68" t="str">
        <x:v>润下格候选严格成立条件</x:v>
      </x:c>
      <x:c r="G90" s="82" t="str">
        <x:v>综合层</x:v>
      </x:c>
      <x:c r="H90" s="68" t="str">
        <x:v>润下格候选</x:v>
      </x:c>
      <x:c r="I90" s="68" t="str">
        <x:v>水得令成方成局、透干成党，日主属水，全局顺水势</x:v>
      </x:c>
      <x:c r="J90" s="68" t="str">
        <x:v>水覆盖月令、根气、透干和主要流通方向</x:v>
      </x:c>
      <x:c r="K90" s="68" t="str">
        <x:v>克水的土无有效成势</x:v>
      </x:c>
      <x:c r="L90" s="82" t="str">
        <x:v>无破</x:v>
      </x:c>
      <x:c r="M90" s="68" t="str">
        <x:v>无须救应</x:v>
      </x:c>
      <x:c r="N90" s="82" t="str">
        <x:v>无救应</x:v>
      </x:c>
      <x:c r="O90" s="84" t="str">
        <x:v>特殊格局严格成立</x:v>
      </x:c>
      <x:c r="P90" s="82" t="str">
        <x:v>清纯</x:v>
      </x:c>
      <x:c r="Q90" s="68" t="str">
        <x:v>水一气成象，杂气不足以改变主势</x:v>
      </x:c>
      <x:c r="R90" s="68" t="str">
        <x:v>M14已生成候选；M08、M09、M10、M11相关结论可追溯</x:v>
      </x:c>
      <x:c r="S90" s="68" t="str">
        <x:v>格神与关键配合十神均以有效力量和实际功能为准</x:v>
      </x:c>
      <x:c r="T90" s="68" t="str">
        <x:v>格神得令、有根、透达、清纯，组合路径稳定且日主承载匹配</x:v>
      </x:c>
      <x:c r="U90" s="68" t="str">
        <x:v>格神受制、混杂、路径受阻、日主承载不足或救应只能局部作用</x:v>
      </x:c>
      <x:c r="V90" s="90" t="str">
        <x:v>格神失效、核心作用路径完全中断，或特殊格局硬门槛被有效反证否决</x:v>
      </x:c>
      <x:c r="W90" s="68" t="str">
        <x:v>特殊格局严格条件、流派争议及岁运补成另按专门规则处理</x:v>
      </x:c>
      <x:c r="X90" s="84" t="str">
        <x:v>润下格候选_严格成立</x:v>
      </x:c>
      <x:c r="Y90" s="84" t="str">
        <x:v>润下格候选判为“特殊格局严格成立”：破格等级为“无破”，救应为“无救应”，清纯度为“清纯”；层次需结合全局继续评估。</x:v>
      </x:c>
      <x:c r="Z90" s="68" t="str">
        <x:v>若“格神失效、核心作用路径完全中断，或特殊格局硬门槛被有效反证否决”成立，应降低为成立但有破或不成立，不得维持当前结论。</x:v>
      </x:c>
      <x:c r="AA90" s="82" t="str">
        <x:v>较高</x:v>
      </x:c>
      <x:c r="AB90" s="82" t="str">
        <x:v>子平格局</x:v>
      </x:c>
      <x:c r="AC90" s="68" t="str">
        <x:v>格局成败须区分：格神是否有效、结构是否能运行、是否存在破坏、救应是否直接修复破格机制，以及格局成立与层次高低。</x:v>
      </x:c>
      <x:c r="AD90" s="68" t="str">
        <x:v>当“水得令成方成局、透干成党，日主属水，全局顺水势”成立，且成格证据相互支持、无决定性否决时，可按本规则判断。</x:v>
      </x:c>
      <x:c r="AE90" s="90" t="str">
        <x:v>只有格局名称或局部组合，但“格神失效、核心作用路径完全中断，或特殊格局硬门槛被有效反证否决”成立时，不能按本规则维持格局。</x:v>
      </x:c>
      <x:c r="AF90" s="68" t="str">
        <x:v>https://zh.wikisource.org/wiki/%E6%BB%B4%E5%A4%A9%E9%AB%93%E9%97%A1%E5%BE%AE ; https://zh.wikisource.org/zh-hans/%E6%BB%B4%E5%A4%A9%E9%AB%93</x:v>
      </x:c>
      <x:c r="AG90" s="82" t="str">
        <x:v>采用</x:v>
      </x:c>
      <x:c r="AH90" s="82" t="str">
        <x:v>初审</x:v>
      </x:c>
      <x:c r="AI90" s="87" t="n">
        <x:v>46260</x:v>
      </x:c>
    </x:row>
    <x:row r="91">
      <x:c r="A91" s="72" t="str">
        <x:f>IF(OR(C91="",D91=""),"",B91&amp;"-"&amp;UPPER(C91)&amp;"-"&amp;TEXT(D91,"0000")&amp;"-"&amp;E91)</x:f>
        <x:v>M15-ZHUAN-0085-V1.0</x:v>
      </x:c>
      <x:c r="B91" s="74" t="str">
        <x:v>M15</x:v>
      </x:c>
      <x:c r="C91" s="74" t="str">
        <x:v>ZHUAN</x:v>
      </x:c>
      <x:c r="D91" s="215" t="n">
        <x:v>85</x:v>
      </x:c>
      <x:c r="E91" s="74" t="str">
        <x:v>V1.0</x:v>
      </x:c>
      <x:c r="F91" s="68" t="str">
        <x:v>有效逆克力量会严重破坏专旺</x:v>
      </x:c>
      <x:c r="G91" s="82" t="str">
        <x:v>综合层</x:v>
      </x:c>
      <x:c r="H91" s="68" t="str">
        <x:v>专旺候选</x:v>
      </x:c>
      <x:c r="I91" s="68" t="str">
        <x:v>专旺候选具一气基础</x:v>
      </x:c>
      <x:c r="J91" s="68" t="str">
        <x:v>月令依据、格神根气与有效力量、日主配合及M11组合证据相互支持</x:v>
      </x:c>
      <x:c r="K91" s="68" t="str">
        <x:v>克制主气的逆神有根有源并形成真实制约</x:v>
      </x:c>
      <x:c r="L91" s="82" t="str">
        <x:v>严重</x:v>
      </x:c>
      <x:c r="M91" s="68" t="str">
        <x:v>主气制化逆神或逆神被合制失效</x:v>
      </x:c>
      <x:c r="N91" s="82" t="str">
        <x:v>待定</x:v>
      </x:c>
      <x:c r="O91" s="84" t="str">
        <x:v>成立但有破</x:v>
      </x:c>
      <x:c r="P91" s="82" t="str">
        <x:v>有杂</x:v>
      </x:c>
      <x:c r="Q91" s="68" t="str">
        <x:v>专旺纯度下降；逆神形成独立集团时格局不成立</x:v>
      </x:c>
      <x:c r="R91" s="68" t="str">
        <x:v>M14已生成候选；M08、M09、M10、M11相关结论可追溯</x:v>
      </x:c>
      <x:c r="S91" s="68" t="str">
        <x:v>格神与关键配合十神均以有效力量和实际功能为准</x:v>
      </x:c>
      <x:c r="T91" s="68" t="str">
        <x:v>格神得令、有根、透达、清纯，组合路径稳定且日主承载匹配</x:v>
      </x:c>
      <x:c r="U91" s="68" t="str">
        <x:v>格神受制、混杂、路径受阻、日主承载不足或救应只能局部作用</x:v>
      </x:c>
      <x:c r="V91" s="90" t="str">
        <x:v>格神失效、核心作用路径完全中断，或特殊格局硬门槛被有效反证否决</x:v>
      </x:c>
      <x:c r="W91" s="68" t="str">
        <x:v>特殊格局严格条件、流派争议及岁运补成另按专门规则处理</x:v>
      </x:c>
      <x:c r="X91" s="84" t="str">
        <x:v>专旺格_逆克破格</x:v>
      </x:c>
      <x:c r="Y91" s="84" t="str">
        <x:v>专旺候选判为“成立但有破”：破格等级为“严重”，救应为“待定”，清纯度为“有杂”；层次需结合全局继续评估。</x:v>
      </x:c>
      <x:c r="Z91" s="68" t="str">
        <x:v>若“格神失效、核心作用路径完全中断，或特殊格局硬门槛被有效反证否决”成立，应降低为成立但有破或不成立，不得维持当前结论。</x:v>
      </x:c>
      <x:c r="AA91" s="82" t="str">
        <x:v>较高</x:v>
      </x:c>
      <x:c r="AB91" s="82" t="str">
        <x:v>子平格局</x:v>
      </x:c>
      <x:c r="AC91" s="68" t="str">
        <x:v>格局成败须区分：格神是否有效、结构是否能运行、是否存在破坏、救应是否直接修复破格机制，以及格局成立与层次高低。</x:v>
      </x:c>
      <x:c r="AD91" s="68" t="str">
        <x:v>当“专旺候选具一气基础”成立，且成格证据相互支持、无决定性否决时，可按本规则判断。</x:v>
      </x:c>
      <x:c r="AE91" s="90" t="str">
        <x:v>只有格局名称或局部组合，但“格神失效、核心作用路径完全中断，或特殊格局硬门槛被有效反证否决”成立时，不能按本规则维持格局。</x:v>
      </x:c>
      <x:c r="AF91" s="68" t="str">
        <x:v>https://zh.wikisource.org/wiki/%E6%BB%B4%E5%A4%A9%E9%AB%93%E9%97%A1%E5%BE%AE ; https://zh.wikisource.org/zh-hans/%E6%BB%B4%E5%A4%A9%E9%AB%93</x:v>
      </x:c>
      <x:c r="AG91" s="82" t="str">
        <x:v>采用</x:v>
      </x:c>
      <x:c r="AH91" s="82" t="str">
        <x:v>初审</x:v>
      </x:c>
      <x:c r="AI91" s="87" t="n">
        <x:v>46260</x:v>
      </x:c>
    </x:row>
    <x:row r="92">
      <x:c r="A92" s="72" t="str">
        <x:f>IF(OR(C92="",D92=""),"",B92&amp;"-"&amp;UPPER(C92)&amp;"-"&amp;TEXT(D92,"0000")&amp;"-"&amp;E92)</x:f>
        <x:v>M15-ZHUAN-0086-V1.0</x:v>
      </x:c>
      <x:c r="B92" s="74" t="str">
        <x:v>M15</x:v>
      </x:c>
      <x:c r="C92" s="74" t="str">
        <x:v>ZHUAN</x:v>
      </x:c>
      <x:c r="D92" s="215" t="n">
        <x:v>86</x:v>
      </x:c>
      <x:c r="E92" s="74" t="str">
        <x:v>V1.0</x:v>
      </x:c>
      <x:c r="F92" s="68" t="str">
        <x:v>杂气虽少但能改变主路径时不可忽略</x:v>
      </x:c>
      <x:c r="G92" s="82" t="str">
        <x:v>综合层</x:v>
      </x:c>
      <x:c r="H92" s="68" t="str">
        <x:v>专旺候选</x:v>
      </x:c>
      <x:c r="I92" s="68" t="str">
        <x:v>专旺候选成立</x:v>
      </x:c>
      <x:c r="J92" s="68" t="str">
        <x:v>月令依据、格神根气与有效力量、日主配合及M11组合证据相互支持</x:v>
      </x:c>
      <x:c r="K92" s="68" t="str">
        <x:v>异气数量少但位居关键桥梁、格神或直接克制主气</x:v>
      </x:c>
      <x:c r="L92" s="82" t="str">
        <x:v>一般</x:v>
      </x:c>
      <x:c r="M92" s="68" t="str">
        <x:v>主气使杂气失效或杂气顺势转化</x:v>
      </x:c>
      <x:c r="N92" s="82" t="str">
        <x:v>待定</x:v>
      </x:c>
      <x:c r="O92" s="84" t="str">
        <x:v>成立但有破</x:v>
      </x:c>
      <x:c r="P92" s="82" t="str">
        <x:v>有杂</x:v>
      </x:c>
      <x:c r="Q92" s="68" t="str">
        <x:v>专旺判断看有效作用，不按杂气数量机械定纯杂</x:v>
      </x:c>
      <x:c r="R92" s="68" t="str">
        <x:v>M14已生成候选；M08、M09、M10、M11相关结论可追溯</x:v>
      </x:c>
      <x:c r="S92" s="68" t="str">
        <x:v>格神与关键配合十神均以有效力量和实际功能为准</x:v>
      </x:c>
      <x:c r="T92" s="68" t="str">
        <x:v>格神得令、有根、透达、清纯，组合路径稳定且日主承载匹配</x:v>
      </x:c>
      <x:c r="U92" s="68" t="str">
        <x:v>格神受制、混杂、路径受阻、日主承载不足或救应只能局部作用</x:v>
      </x:c>
      <x:c r="V92" s="90" t="str">
        <x:v>格神失效、核心作用路径完全中断，或特殊格局硬门槛被有效反证否决</x:v>
      </x:c>
      <x:c r="W92" s="68" t="str">
        <x:v>特殊格局严格条件、流派争议及岁运补成另按专门规则处理</x:v>
      </x:c>
      <x:c r="X92" s="84" t="str">
        <x:v>专旺格_关键杂气</x:v>
      </x:c>
      <x:c r="Y92" s="84" t="str">
        <x:v>专旺候选判为“成立但有破”：破格等级为“一般”，救应为“待定”，清纯度为“有杂”；层次需结合全局继续评估。</x:v>
      </x:c>
      <x:c r="Z92" s="68" t="str">
        <x:v>若“格神失效、核心作用路径完全中断，或特殊格局硬门槛被有效反证否决”成立，应降低为成立但有破或不成立，不得维持当前结论。</x:v>
      </x:c>
      <x:c r="AA92" s="82" t="str">
        <x:v>较高</x:v>
      </x:c>
      <x:c r="AB92" s="82" t="str">
        <x:v>子平格局</x:v>
      </x:c>
      <x:c r="AC92" s="68" t="str">
        <x:v>格局成败须区分：格神是否有效、结构是否能运行、是否存在破坏、救应是否直接修复破格机制，以及格局成立与层次高低。</x:v>
      </x:c>
      <x:c r="AD92" s="68" t="str">
        <x:v>当“专旺候选成立”成立，且成格证据相互支持、无决定性否决时，可按本规则判断。</x:v>
      </x:c>
      <x:c r="AE92" s="90" t="str">
        <x:v>只有格局名称或局部组合，但“格神失效、核心作用路径完全中断，或特殊格局硬门槛被有效反证否决”成立时，不能按本规则维持格局。</x:v>
      </x:c>
      <x:c r="AF92" s="68" t="str">
        <x:v>https://zh.wikisource.org/wiki/%E6%BB%B4%E5%A4%A9%E9%AB%93%E9%97%A1%E5%BE%AE ; https://zh.wikisource.org/zh-hans/%E6%BB%B4%E5%A4%A9%E9%AB%93</x:v>
      </x:c>
      <x:c r="AG92" s="82" t="str">
        <x:v>采用</x:v>
      </x:c>
      <x:c r="AH92" s="82" t="str">
        <x:v>初审</x:v>
      </x:c>
      <x:c r="AI92" s="87" t="n">
        <x:v>46260</x:v>
      </x:c>
    </x:row>
    <x:row r="93">
      <x:c r="A93" s="72" t="str">
        <x:f>IF(OR(C93="",D93=""),"",B93&amp;"-"&amp;UPPER(C93)&amp;"-"&amp;TEXT(D93,"0000")&amp;"-"&amp;E93)</x:f>
        <x:v>M15-RESCUE-0087-V1.0</x:v>
      </x:c>
      <x:c r="B93" s="74" t="str">
        <x:v>M15</x:v>
      </x:c>
      <x:c r="C93" s="74" t="str">
        <x:v>RESCUE</x:v>
      </x:c>
      <x:c r="D93" s="215" t="n">
        <x:v>87</x:v>
      </x:c>
      <x:c r="E93" s="74" t="str">
        <x:v>V1.0</x:v>
      </x:c>
      <x:c r="F93" s="68" t="str">
        <x:v>无救应表示破格机制未被任何有效力量修复</x:v>
      </x:c>
      <x:c r="G93" s="82" t="str">
        <x:v>综合层</x:v>
      </x:c>
      <x:c r="H93" s="68" t="str">
        <x:v>所有破格候选</x:v>
      </x:c>
      <x:c r="I93" s="68" t="str">
        <x:v>格局存在破损，未发现可直接作用破格因素的第三力量</x:v>
      </x:c>
      <x:c r="J93" s="68" t="str">
        <x:v>月令依据、格神根气与有效力量、日主配合及M11组合证据相互支持</x:v>
      </x:c>
      <x:c r="K93" s="68" t="str">
        <x:v>破格持续存在</x:v>
      </x:c>
      <x:c r="L93" s="82" t="str">
        <x:v>待定</x:v>
      </x:c>
      <x:c r="M93" s="68" t="str">
        <x:v>无</x:v>
      </x:c>
      <x:c r="N93" s="82" t="str">
        <x:v>无救应</x:v>
      </x:c>
      <x:c r="O93" s="84" t="str">
        <x:v>成立但有破</x:v>
      </x:c>
      <x:c r="P93" s="82" t="str">
        <x:v>待定</x:v>
      </x:c>
      <x:c r="Q93" s="68" t="str">
        <x:v>格局只能按破损后的净状态运行</x:v>
      </x:c>
      <x:c r="R93" s="68" t="str">
        <x:v>M14已生成候选；M08、M09、M10、M11相关结论可追溯</x:v>
      </x:c>
      <x:c r="S93" s="68" t="str">
        <x:v>格神与关键配合十神均以有效力量和实际功能为准</x:v>
      </x:c>
      <x:c r="T93" s="68" t="str">
        <x:v>格神得令、有根、透达、清纯，组合路径稳定且日主承载匹配</x:v>
      </x:c>
      <x:c r="U93" s="68" t="str">
        <x:v>格神受制、混杂、路径受阻、日主承载不足或救应只能局部作用</x:v>
      </x:c>
      <x:c r="V93" s="90" t="str">
        <x:v>格神失效、核心作用路径完全中断，或特殊格局硬门槛被有效反证否决</x:v>
      </x:c>
      <x:c r="W93" s="68" t="str">
        <x:v>特殊格局严格条件、流派争议及岁运补成另按专门规则处理</x:v>
      </x:c>
      <x:c r="X93" s="84" t="str">
        <x:v>救应_无救应</x:v>
      </x:c>
      <x:c r="Y93" s="84" t="str">
        <x:v>所有破格候选判为“成立但有破”：破格等级为“待定”，救应为“无救应”，清纯度为“待定”；层次需结合全局继续评估。</x:v>
      </x:c>
      <x:c r="Z93" s="68" t="str">
        <x:v>若“格神失效、核心作用路径完全中断，或特殊格局硬门槛被有效反证否决”成立，应降低为成立但有破或不成立，不得维持当前结论。</x:v>
      </x:c>
      <x:c r="AA93" s="82" t="str">
        <x:v>较高</x:v>
      </x:c>
      <x:c r="AB93" s="82" t="str">
        <x:v>子平格局</x:v>
      </x:c>
      <x:c r="AC93" s="68" t="str">
        <x:v>格局成败须区分：格神是否有效、结构是否能运行、是否存在破坏、救应是否直接修复破格机制，以及格局成立与层次高低。</x:v>
      </x:c>
      <x:c r="AD93" s="68" t="str">
        <x:v>当“格局存在破损，未发现可直接作用破格因素的第三力量”成立，且成格证据相互支持、无决定性否决时，可按本规则判断。</x:v>
      </x:c>
      <x:c r="AE93" s="90" t="str">
        <x:v>只有格局名称或局部组合，但“格神失效、核心作用路径完全中断，或特殊格局硬门槛被有效反证否决”成立时，不能按本规则维持格局。</x:v>
      </x:c>
      <x:c r="AF93" s="68" t="str">
        <x:v>https://zh.wikisource.org/zh-hans/%E6%B7%B5%E6%B5%B7%E5%AD%90%E5%B9%B3 ; https://zh.wikisource.org/wiki/%E6%BB%B4%E5%A4%A9%E9%AB%93%E9%97%A1%E5%BE%AE</x:v>
      </x:c>
      <x:c r="AG93" s="82" t="str">
        <x:v>采用</x:v>
      </x:c>
      <x:c r="AH93" s="82" t="str">
        <x:v>初审</x:v>
      </x:c>
      <x:c r="AI93" s="87" t="n">
        <x:v>46260</x:v>
      </x:c>
    </x:row>
    <x:row r="94">
      <x:c r="A94" s="72" t="str">
        <x:f>IF(OR(C94="",D94=""),"",B94&amp;"-"&amp;UPPER(C94)&amp;"-"&amp;TEXT(D94,"0000")&amp;"-"&amp;E94)</x:f>
        <x:v>M15-RESCUE-0088-V1.0</x:v>
      </x:c>
      <x:c r="B94" s="74" t="str">
        <x:v>M15</x:v>
      </x:c>
      <x:c r="C94" s="74" t="str">
        <x:v>RESCUE</x:v>
      </x:c>
      <x:c r="D94" s="215" t="n">
        <x:v>88</x:v>
      </x:c>
      <x:c r="E94" s="74" t="str">
        <x:v>V1.0</x:v>
      </x:c>
      <x:c r="F94" s="68" t="str">
        <x:v>弱救应只能轻微缓解破格</x:v>
      </x:c>
      <x:c r="G94" s="82" t="str">
        <x:v>综合层</x:v>
      </x:c>
      <x:c r="H94" s="68" t="str">
        <x:v>所有破格候选</x:v>
      </x:c>
      <x:c r="I94" s="68" t="str">
        <x:v>救应存在但无根、遥隔、力量弱或作用路径不完整</x:v>
      </x:c>
      <x:c r="J94" s="68" t="str">
        <x:v>只能部分牵制破格因素</x:v>
      </x:c>
      <x:c r="K94" s="68" t="str">
        <x:v>破格仍占明显优势</x:v>
      </x:c>
      <x:c r="L94" s="82" t="str">
        <x:v>一般</x:v>
      </x:c>
      <x:c r="M94" s="68" t="str">
        <x:v>弱救应</x:v>
      </x:c>
      <x:c r="N94" s="82" t="str">
        <x:v>弱救应</x:v>
      </x:c>
      <x:c r="O94" s="84" t="str">
        <x:v>有破有救</x:v>
      </x:c>
      <x:c r="P94" s="82" t="str">
        <x:v>有杂</x:v>
      </x:c>
      <x:c r="Q94" s="68" t="str">
        <x:v>格局改善有限，层次接近成立但有破</x:v>
      </x:c>
      <x:c r="R94" s="68" t="str">
        <x:v>M14已生成候选；M08、M09、M10、M11相关结论可追溯</x:v>
      </x:c>
      <x:c r="S94" s="68" t="str">
        <x:v>格神与关键配合十神均以有效力量和实际功能为准</x:v>
      </x:c>
      <x:c r="T94" s="68" t="str">
        <x:v>格神得令、有根、透达、清纯，组合路径稳定且日主承载匹配</x:v>
      </x:c>
      <x:c r="U94" s="68" t="str">
        <x:v>格神受制、混杂、路径受阻、日主承载不足或救应只能局部作用</x:v>
      </x:c>
      <x:c r="V94" s="90" t="str">
        <x:v>格神失效、核心作用路径完全中断，或特殊格局硬门槛被有效反证否决</x:v>
      </x:c>
      <x:c r="W94" s="68" t="str">
        <x:v>特殊格局严格条件、流派争议及岁运补成另按专门规则处理</x:v>
      </x:c>
      <x:c r="X94" s="84" t="str">
        <x:v>救应_弱救应</x:v>
      </x:c>
      <x:c r="Y94" s="84" t="str">
        <x:v>所有破格候选判为“有破有救”：破格等级为“一般”，救应为“弱救应”，清纯度为“有杂”；层次需结合全局继续评估。</x:v>
      </x:c>
      <x:c r="Z94" s="68" t="str">
        <x:v>若“格神失效、核心作用路径完全中断，或特殊格局硬门槛被有效反证否决”成立，应降低为成立但有破或不成立，不得维持当前结论。</x:v>
      </x:c>
      <x:c r="AA94" s="82" t="str">
        <x:v>较高</x:v>
      </x:c>
      <x:c r="AB94" s="82" t="str">
        <x:v>子平格局</x:v>
      </x:c>
      <x:c r="AC94" s="68" t="str">
        <x:v>格局成败须区分：格神是否有效、结构是否能运行、是否存在破坏、救应是否直接修复破格机制，以及格局成立与层次高低。</x:v>
      </x:c>
      <x:c r="AD94" s="68" t="str">
        <x:v>当“救应存在但无根、遥隔、力量弱或作用路径不完整”成立，且成格证据相互支持、无决定性否决时，可按本规则判断。</x:v>
      </x:c>
      <x:c r="AE94" s="90" t="str">
        <x:v>只有格局名称或局部组合，但“格神失效、核心作用路径完全中断，或特殊格局硬门槛被有效反证否决”成立时，不能按本规则维持格局。</x:v>
      </x:c>
      <x:c r="AF94" s="68" t="str">
        <x:v>https://zh.wikisource.org/zh-hans/%E6%B7%B5%E6%B5%B7%E5%AD%90%E5%B9%B3 ; https://zh.wikisource.org/wiki/%E6%BB%B4%E5%A4%A9%E9%AB%93%E9%97%A1%E5%BE%AE</x:v>
      </x:c>
      <x:c r="AG94" s="82" t="str">
        <x:v>采用</x:v>
      </x:c>
      <x:c r="AH94" s="82" t="str">
        <x:v>初审</x:v>
      </x:c>
      <x:c r="AI94" s="87" t="n">
        <x:v>46260</x:v>
      </x:c>
    </x:row>
    <x:row r="95">
      <x:c r="A95" s="72" t="str">
        <x:f>IF(OR(C95="",D95=""),"",B95&amp;"-"&amp;UPPER(C95)&amp;"-"&amp;TEXT(D95,"0000")&amp;"-"&amp;E95)</x:f>
        <x:v>M15-RESCUE-0089-V1.0</x:v>
      </x:c>
      <x:c r="B95" s="74" t="str">
        <x:v>M15</x:v>
      </x:c>
      <x:c r="C95" s="74" t="str">
        <x:v>RESCUE</x:v>
      </x:c>
      <x:c r="D95" s="215" t="n">
        <x:v>89</x:v>
      </x:c>
      <x:c r="E95" s="74" t="str">
        <x:v>V1.0</x:v>
      </x:c>
      <x:c r="F95" s="68" t="str">
        <x:v>部分有效救应可恢复局部功能</x:v>
      </x:c>
      <x:c r="G95" s="82" t="str">
        <x:v>综合层</x:v>
      </x:c>
      <x:c r="H95" s="68" t="str">
        <x:v>所有破格候选</x:v>
      </x:c>
      <x:c r="I95" s="68" t="str">
        <x:v>救应对破格因素形成真实作用，但不能完全覆盖全部破坏</x:v>
      </x:c>
      <x:c r="J95" s="68" t="str">
        <x:v>受损格神或关键路径部分恢复</x:v>
      </x:c>
      <x:c r="K95" s="68" t="str">
        <x:v>仍有剩余破损</x:v>
      </x:c>
      <x:c r="L95" s="82" t="str">
        <x:v>一般</x:v>
      </x:c>
      <x:c r="M95" s="68" t="str">
        <x:v>局部修复</x:v>
      </x:c>
      <x:c r="N95" s="82" t="str">
        <x:v>部分有效</x:v>
      </x:c>
      <x:c r="O95" s="84" t="str">
        <x:v>有破有救</x:v>
      </x:c>
      <x:c r="P95" s="82" t="str">
        <x:v>有杂</x:v>
      </x:c>
      <x:c r="Q95" s="68" t="str">
        <x:v>格局可运行但稳定性仍受限制</x:v>
      </x:c>
      <x:c r="R95" s="68" t="str">
        <x:v>M14已生成候选；M08、M09、M10、M11相关结论可追溯</x:v>
      </x:c>
      <x:c r="S95" s="68" t="str">
        <x:v>格神与关键配合十神均以有效力量和实际功能为准</x:v>
      </x:c>
      <x:c r="T95" s="68" t="str">
        <x:v>格神得令、有根、透达、清纯，组合路径稳定且日主承载匹配</x:v>
      </x:c>
      <x:c r="U95" s="68" t="str">
        <x:v>格神受制、混杂、路径受阻、日主承载不足或救应只能局部作用</x:v>
      </x:c>
      <x:c r="V95" s="90" t="str">
        <x:v>格神失效、核心作用路径完全中断，或特殊格局硬门槛被有效反证否决</x:v>
      </x:c>
      <x:c r="W95" s="68" t="str">
        <x:v>特殊格局严格条件、流派争议及岁运补成另按专门规则处理</x:v>
      </x:c>
      <x:c r="X95" s="84" t="str">
        <x:v>救应_部分有效</x:v>
      </x:c>
      <x:c r="Y95" s="84" t="str">
        <x:v>所有破格候选判为“有破有救”：破格等级为“一般”，救应为“部分有效”，清纯度为“有杂”；层次需结合全局继续评估。</x:v>
      </x:c>
      <x:c r="Z95" s="68" t="str">
        <x:v>若“格神失效、核心作用路径完全中断，或特殊格局硬门槛被有效反证否决”成立，应降低为成立但有破或不成立，不得维持当前结论。</x:v>
      </x:c>
      <x:c r="AA95" s="82" t="str">
        <x:v>较高</x:v>
      </x:c>
      <x:c r="AB95" s="82" t="str">
        <x:v>子平格局</x:v>
      </x:c>
      <x:c r="AC95" s="68" t="str">
        <x:v>格局成败须区分：格神是否有效、结构是否能运行、是否存在破坏、救应是否直接修复破格机制，以及格局成立与层次高低。</x:v>
      </x:c>
      <x:c r="AD95" s="68" t="str">
        <x:v>当“救应对破格因素形成真实作用，但不能完全覆盖全部破坏”成立，且成格证据相互支持、无决定性否决时，可按本规则判断。</x:v>
      </x:c>
      <x:c r="AE95" s="90" t="str">
        <x:v>只有格局名称或局部组合，但“格神失效、核心作用路径完全中断，或特殊格局硬门槛被有效反证否决”成立时，不能按本规则维持格局。</x:v>
      </x:c>
      <x:c r="AF95" s="68" t="str">
        <x:v>https://zh.wikisource.org/zh-hans/%E6%B7%B5%E6%B5%B7%E5%AD%90%E5%B9%B3 ; https://zh.wikisource.org/wiki/%E6%BB%B4%E5%A4%A9%E9%AB%93%E9%97%A1%E5%BE%AE</x:v>
      </x:c>
      <x:c r="AG95" s="82" t="str">
        <x:v>采用</x:v>
      </x:c>
      <x:c r="AH95" s="82" t="str">
        <x:v>初审</x:v>
      </x:c>
      <x:c r="AI95" s="87" t="n">
        <x:v>46260</x:v>
      </x:c>
    </x:row>
    <x:row r="96">
      <x:c r="A96" s="72" t="str">
        <x:f>IF(OR(C96="",D96=""),"",B96&amp;"-"&amp;UPPER(C96)&amp;"-"&amp;TEXT(D96,"0000")&amp;"-"&amp;E96)</x:f>
        <x:v>M15-RESCUE-0090-V1.0</x:v>
      </x:c>
      <x:c r="B96" s="74" t="str">
        <x:v>M15</x:v>
      </x:c>
      <x:c r="C96" s="74" t="str">
        <x:v>RESCUE</x:v>
      </x:c>
      <x:c r="D96" s="215" t="n">
        <x:v>90</x:v>
      </x:c>
      <x:c r="E96" s="74" t="str">
        <x:v>V1.0</x:v>
      </x:c>
      <x:c r="F96" s="68" t="str">
        <x:v>明显有效救应可恢复格局主要功能</x:v>
      </x:c>
      <x:c r="G96" s="82" t="str">
        <x:v>综合层</x:v>
      </x:c>
      <x:c r="H96" s="68" t="str">
        <x:v>所有破格候选</x:v>
      </x:c>
      <x:c r="I96" s="68" t="str">
        <x:v>救应有根有源、路径直接，能够压制主要破格因素</x:v>
      </x:c>
      <x:c r="J96" s="68" t="str">
        <x:v>格神与主路径恢复，破格只留次级影响</x:v>
      </x:c>
      <x:c r="K96" s="68" t="str">
        <x:v>主要破格已受控</x:v>
      </x:c>
      <x:c r="L96" s="82" t="str">
        <x:v>轻微</x:v>
      </x:c>
      <x:c r="M96" s="68" t="str">
        <x:v>强救应</x:v>
      </x:c>
      <x:c r="N96" s="82" t="str">
        <x:v>明显有效</x:v>
      </x:c>
      <x:c r="O96" s="84" t="str">
        <x:v>有破有救</x:v>
      </x:c>
      <x:c r="P96" s="82" t="str">
        <x:v>较清</x:v>
      </x:c>
      <x:c r="Q96" s="68" t="str">
        <x:v>格局主要功能恢复，低于原局无破但高于普通破格</x:v>
      </x:c>
      <x:c r="R96" s="68" t="str">
        <x:v>M14已生成候选；M08、M09、M10、M11相关结论可追溯</x:v>
      </x:c>
      <x:c r="S96" s="68" t="str">
        <x:v>格神与关键配合十神均以有效力量和实际功能为准</x:v>
      </x:c>
      <x:c r="T96" s="68" t="str">
        <x:v>格神得令、有根、透达、清纯，组合路径稳定且日主承载匹配</x:v>
      </x:c>
      <x:c r="U96" s="68" t="str">
        <x:v>格神受制、混杂、路径受阻、日主承载不足或救应只能局部作用</x:v>
      </x:c>
      <x:c r="V96" s="90" t="str">
        <x:v>格神失效、核心作用路径完全中断，或特殊格局硬门槛被有效反证否决</x:v>
      </x:c>
      <x:c r="W96" s="68" t="str">
        <x:v>特殊格局严格条件、流派争议及岁运补成另按专门规则处理</x:v>
      </x:c>
      <x:c r="X96" s="84" t="str">
        <x:v>救应_明显有效</x:v>
      </x:c>
      <x:c r="Y96" s="84" t="str">
        <x:v>所有破格候选判为“有破有救”：破格等级为“轻微”，救应为“明显有效”，清纯度为“较清”；层次需结合全局继续评估。</x:v>
      </x:c>
      <x:c r="Z96" s="68" t="str">
        <x:v>若“格神失效、核心作用路径完全中断，或特殊格局硬门槛被有效反证否决”成立，应降低为成立但有破或不成立，不得维持当前结论。</x:v>
      </x:c>
      <x:c r="AA96" s="82" t="str">
        <x:v>较高</x:v>
      </x:c>
      <x:c r="AB96" s="82" t="str">
        <x:v>子平格局</x:v>
      </x:c>
      <x:c r="AC96" s="68" t="str">
        <x:v>格局成败须区分：格神是否有效、结构是否能运行、是否存在破坏、救应是否直接修复破格机制，以及格局成立与层次高低。</x:v>
      </x:c>
      <x:c r="AD96" s="68" t="str">
        <x:v>当“救应有根有源、路径直接，能够压制主要破格因素”成立，且成格证据相互支持、无决定性否决时，可按本规则判断。</x:v>
      </x:c>
      <x:c r="AE96" s="90" t="str">
        <x:v>只有格局名称或局部组合，但“格神失效、核心作用路径完全中断，或特殊格局硬门槛被有效反证否决”成立时，不能按本规则维持格局。</x:v>
      </x:c>
      <x:c r="AF96" s="68" t="str">
        <x:v>https://zh.wikisource.org/zh-hans/%E6%B7%B5%E6%B5%B7%E5%AD%90%E5%B9%B3 ; https://zh.wikisource.org/wiki/%E6%BB%B4%E5%A4%A9%E9%AB%93%E9%97%A1%E5%BE%AE</x:v>
      </x:c>
      <x:c r="AG96" s="82" t="str">
        <x:v>采用</x:v>
      </x:c>
      <x:c r="AH96" s="82" t="str">
        <x:v>初审</x:v>
      </x:c>
      <x:c r="AI96" s="87" t="n">
        <x:v>46260</x:v>
      </x:c>
    </x:row>
    <x:row r="97">
      <x:c r="A97" s="72" t="str">
        <x:f>IF(OR(C97="",D97=""),"",B97&amp;"-"&amp;UPPER(C97)&amp;"-"&amp;TEXT(D97,"0000")&amp;"-"&amp;E97)</x:f>
        <x:v>M15-RESCUE-0091-V1.0</x:v>
      </x:c>
      <x:c r="B97" s="74" t="str">
        <x:v>M15</x:v>
      </x:c>
      <x:c r="C97" s="74" t="str">
        <x:v>RESCUE</x:v>
      </x:c>
      <x:c r="D97" s="215" t="n">
        <x:v>91</x:v>
      </x:c>
      <x:c r="E97" s="74" t="str">
        <x:v>V1.0</x:v>
      </x:c>
      <x:c r="F97" s="68" t="str">
        <x:v>完全救应要求破格因素功能基本消失</x:v>
      </x:c>
      <x:c r="G97" s="82" t="str">
        <x:v>综合层</x:v>
      </x:c>
      <x:c r="H97" s="68" t="str">
        <x:v>所有破格候选</x:v>
      </x:c>
      <x:c r="I97" s="68" t="str">
        <x:v>救应直接制去、合住或转化破格因素，格神与主路径完整恢复</x:v>
      </x:c>
      <x:c r="J97" s="68" t="str">
        <x:v>破格因素不再形成有效破坏</x:v>
      </x:c>
      <x:c r="K97" s="68" t="str">
        <x:v>原破格已被解除</x:v>
      </x:c>
      <x:c r="L97" s="82" t="str">
        <x:v>轻微</x:v>
      </x:c>
      <x:c r="M97" s="68" t="str">
        <x:v>完全修复</x:v>
      </x:c>
      <x:c r="N97" s="82" t="str">
        <x:v>完全救应</x:v>
      </x:c>
      <x:c r="O97" s="84" t="str">
        <x:v>有破有救</x:v>
      </x:c>
      <x:c r="P97" s="82" t="str">
        <x:v>较清</x:v>
      </x:c>
      <x:c r="Q97" s="68" t="str">
        <x:v>格局接近无破状态，但仍应记录曾有破有救的结构</x:v>
      </x:c>
      <x:c r="R97" s="68" t="str">
        <x:v>M14已生成候选；M08、M09、M10、M11相关结论可追溯</x:v>
      </x:c>
      <x:c r="S97" s="68" t="str">
        <x:v>格神与关键配合十神均以有效力量和实际功能为准</x:v>
      </x:c>
      <x:c r="T97" s="68" t="str">
        <x:v>格神得令、有根、透达、清纯，组合路径稳定且日主承载匹配</x:v>
      </x:c>
      <x:c r="U97" s="68" t="str">
        <x:v>格神受制、混杂、路径受阻、日主承载不足或救应只能局部作用</x:v>
      </x:c>
      <x:c r="V97" s="90" t="str">
        <x:v>格神失效、核心作用路径完全中断，或特殊格局硬门槛被有效反证否决</x:v>
      </x:c>
      <x:c r="W97" s="68" t="str">
        <x:v>特殊格局严格条件、流派争议及岁运补成另按专门规则处理</x:v>
      </x:c>
      <x:c r="X97" s="84" t="str">
        <x:v>救应_完全救应</x:v>
      </x:c>
      <x:c r="Y97" s="84" t="str">
        <x:v>所有破格候选判为“有破有救”：破格等级为“轻微”，救应为“完全救应”，清纯度为“较清”；层次需结合全局继续评估。</x:v>
      </x:c>
      <x:c r="Z97" s="68" t="str">
        <x:v>若“格神失效、核心作用路径完全中断，或特殊格局硬门槛被有效反证否决”成立，应降低为成立但有破或不成立，不得维持当前结论。</x:v>
      </x:c>
      <x:c r="AA97" s="82" t="str">
        <x:v>较高</x:v>
      </x:c>
      <x:c r="AB97" s="82" t="str">
        <x:v>子平格局</x:v>
      </x:c>
      <x:c r="AC97" s="68" t="str">
        <x:v>格局成败须区分：格神是否有效、结构是否能运行、是否存在破坏、救应是否直接修复破格机制，以及格局成立与层次高低。</x:v>
      </x:c>
      <x:c r="AD97" s="68" t="str">
        <x:v>当“救应直接制去、合住或转化破格因素，格神与主路径完整恢复”成立，且成格证据相互支持、无决定性否决时，可按本规则判断。</x:v>
      </x:c>
      <x:c r="AE97" s="90" t="str">
        <x:v>只有格局名称或局部组合，但“格神失效、核心作用路径完全中断，或特殊格局硬门槛被有效反证否决”成立时，不能按本规则维持格局。</x:v>
      </x:c>
      <x:c r="AF97" s="68" t="str">
        <x:v>https://zh.wikisource.org/zh-hans/%E6%B7%B5%E6%B5%B7%E5%AD%90%E5%B9%B3 ; https://zh.wikisource.org/wiki/%E6%BB%B4%E5%A4%A9%E9%AB%93%E9%97%A1%E5%BE%AE</x:v>
      </x:c>
      <x:c r="AG97" s="82" t="str">
        <x:v>采用</x:v>
      </x:c>
      <x:c r="AH97" s="82" t="str">
        <x:v>初审</x:v>
      </x:c>
      <x:c r="AI97" s="87" t="n">
        <x:v>46260</x:v>
      </x:c>
    </x:row>
    <x:row r="98">
      <x:c r="A98" s="72" t="str">
        <x:f>IF(OR(C98="",D98=""),"",B98&amp;"-"&amp;UPPER(C98)&amp;"-"&amp;TEXT(D98,"0000")&amp;"-"&amp;E98)</x:f>
        <x:v>M15-RESCUE-0092-V1.0</x:v>
      </x:c>
      <x:c r="B98" s="74" t="str">
        <x:v>M15</x:v>
      </x:c>
      <x:c r="C98" s="74" t="str">
        <x:v>RESCUE</x:v>
      </x:c>
      <x:c r="D98" s="215" t="n">
        <x:v>92</x:v>
      </x:c>
      <x:c r="E98" s="74" t="str">
        <x:v>V1.0</x:v>
      </x:c>
      <x:c r="F98" s="68" t="str">
        <x:v>救应产生更大副作用时不得升格</x:v>
      </x:c>
      <x:c r="G98" s="82" t="str">
        <x:v>综合层</x:v>
      </x:c>
      <x:c r="H98" s="68" t="str">
        <x:v>所有破格候选</x:v>
      </x:c>
      <x:c r="I98" s="68" t="str">
        <x:v>某力量能够修复原破格</x:v>
      </x:c>
      <x:c r="J98" s="68" t="str">
        <x:v>同时会破坏另一核心格神、加重日主失衡或制造更严重调候流通问题</x:v>
      </x:c>
      <x:c r="K98" s="68" t="str">
        <x:v>原破格与新副作用并存</x:v>
      </x:c>
      <x:c r="L98" s="82" t="str">
        <x:v>待定</x:v>
      </x:c>
      <x:c r="M98" s="68" t="str">
        <x:v>有副作用的救应</x:v>
      </x:c>
      <x:c r="N98" s="82" t="str">
        <x:v>部分有效</x:v>
      </x:c>
      <x:c r="O98" s="84" t="str">
        <x:v>有破有救</x:v>
      </x:c>
      <x:c r="P98" s="82" t="str">
        <x:v>有杂</x:v>
      </x:c>
      <x:c r="Q98" s="68" t="str">
        <x:v>只按净收益判断，不因存在救应而自动提高层次</x:v>
      </x:c>
      <x:c r="R98" s="68" t="str">
        <x:v>M14已生成候选；M08、M09、M10、M11相关结论可追溯</x:v>
      </x:c>
      <x:c r="S98" s="68" t="str">
        <x:v>格神与关键配合十神均以有效力量和实际功能为准</x:v>
      </x:c>
      <x:c r="T98" s="68" t="str">
        <x:v>格神得令、有根、透达、清纯，组合路径稳定且日主承载匹配</x:v>
      </x:c>
      <x:c r="U98" s="68" t="str">
        <x:v>格神受制、混杂、路径受阻、日主承载不足或救应只能局部作用</x:v>
      </x:c>
      <x:c r="V98" s="90" t="str">
        <x:v>格神失效、核心作用路径完全中断，或特殊格局硬门槛被有效反证否决</x:v>
      </x:c>
      <x:c r="W98" s="68" t="str">
        <x:v>特殊格局严格条件、流派争议及岁运补成另按专门规则处理</x:v>
      </x:c>
      <x:c r="X98" s="84" t="str">
        <x:v>救应_副作用限制</x:v>
      </x:c>
      <x:c r="Y98" s="84" t="str">
        <x:v>所有破格候选判为“有破有救”：破格等级为“待定”，救应为“部分有效”，清纯度为“有杂”；层次需结合全局继续评估。</x:v>
      </x:c>
      <x:c r="Z98" s="68" t="str">
        <x:v>若“格神失效、核心作用路径完全中断，或特殊格局硬门槛被有效反证否决”成立，应降低为成立但有破或不成立，不得维持当前结论。</x:v>
      </x:c>
      <x:c r="AA98" s="82" t="str">
        <x:v>较高</x:v>
      </x:c>
      <x:c r="AB98" s="82" t="str">
        <x:v>子平格局</x:v>
      </x:c>
      <x:c r="AC98" s="68" t="str">
        <x:v>格局成败须区分：格神是否有效、结构是否能运行、是否存在破坏、救应是否直接修复破格机制，以及格局成立与层次高低。</x:v>
      </x:c>
      <x:c r="AD98" s="68" t="str">
        <x:v>当“某力量能够修复原破格”成立，且成格证据相互支持、无决定性否决时，可按本规则判断。</x:v>
      </x:c>
      <x:c r="AE98" s="90" t="str">
        <x:v>只有格局名称或局部组合，但“格神失效、核心作用路径完全中断，或特殊格局硬门槛被有效反证否决”成立时，不能按本规则维持格局。</x:v>
      </x:c>
      <x:c r="AF98" s="68" t="str">
        <x:v>https://zh.wikisource.org/zh-hans/%E6%B7%B5%E6%B5%B7%E5%AD%90%E5%B9%B3 ; https://zh.wikisource.org/wiki/%E6%BB%B4%E5%A4%A9%E9%AB%93%E9%97%A1%E5%BE%AE</x:v>
      </x:c>
      <x:c r="AG98" s="82" t="str">
        <x:v>采用</x:v>
      </x:c>
      <x:c r="AH98" s="82" t="str">
        <x:v>初审</x:v>
      </x:c>
      <x:c r="AI98" s="87" t="n">
        <x:v>46260</x:v>
      </x:c>
    </x:row>
    <x:row r="99">
      <x:c r="A99" s="72" t="str">
        <x:f>IF(OR(C99="",D99=""),"",B99&amp;"-"&amp;UPPER(C99)&amp;"-"&amp;TEXT(D99,"0000")&amp;"-"&amp;E99)</x:f>
        <x:v>M15-RESCUE-0093-V1.0</x:v>
      </x:c>
      <x:c r="B99" s="74" t="str">
        <x:v>M15</x:v>
      </x:c>
      <x:c r="C99" s="74" t="str">
        <x:v>RESCUE</x:v>
      </x:c>
      <x:c r="D99" s="215" t="n">
        <x:v>93</x:v>
      </x:c>
      <x:c r="E99" s="74" t="str">
        <x:v>V1.0</x:v>
      </x:c>
      <x:c r="F99" s="68" t="str">
        <x:v>救应必须有足够作用容量</x:v>
      </x:c>
      <x:c r="G99" s="82" t="str">
        <x:v>综合层</x:v>
      </x:c>
      <x:c r="H99" s="68" t="str">
        <x:v>所有破格候选</x:v>
      </x:c>
      <x:c r="I99" s="68" t="str">
        <x:v>同一救应力量同时承担多个修复任务</x:v>
      </x:c>
      <x:c r="J99" s="68" t="str">
        <x:v>其有效力量需要在多个对象间分配</x:v>
      </x:c>
      <x:c r="K99" s="68" t="str">
        <x:v>多处破损共享同一救应</x:v>
      </x:c>
      <x:c r="L99" s="82" t="str">
        <x:v>待定</x:v>
      </x:c>
      <x:c r="M99" s="68" t="str">
        <x:v>共享救应</x:v>
      </x:c>
      <x:c r="N99" s="82" t="str">
        <x:v>待定</x:v>
      </x:c>
      <x:c r="O99" s="84" t="str">
        <x:v>待定</x:v>
      </x:c>
      <x:c r="P99" s="82" t="str">
        <x:v>待定</x:v>
      </x:c>
      <x:c r="Q99" s="68" t="str">
        <x:v>不能把同一节点在多个救应中重复全额调用</x:v>
      </x:c>
      <x:c r="R99" s="68" t="str">
        <x:v>M14已生成候选；M08、M09、M10、M11相关结论可追溯</x:v>
      </x:c>
      <x:c r="S99" s="68" t="str">
        <x:v>格神与关键配合十神均以有效力量和实际功能为准</x:v>
      </x:c>
      <x:c r="T99" s="68" t="str">
        <x:v>格神得令、有根、透达、清纯，组合路径稳定且日主承载匹配</x:v>
      </x:c>
      <x:c r="U99" s="68" t="str">
        <x:v>格神受制、混杂、路径受阻、日主承载不足或救应只能局部作用</x:v>
      </x:c>
      <x:c r="V99" s="90" t="str">
        <x:v>格神失效、核心作用路径完全中断，或特殊格局硬门槛被有效反证否决</x:v>
      </x:c>
      <x:c r="W99" s="68" t="str">
        <x:v>特殊格局严格条件、流派争议及岁运补成另按专门规则处理</x:v>
      </x:c>
      <x:c r="X99" s="84" t="str">
        <x:v>救应_容量去重</x:v>
      </x:c>
      <x:c r="Y99" s="84" t="str">
        <x:v>所有破格候选判为“待定”：破格等级为“待定”，救应为“待定”，清纯度为“待定”；层次需结合全局继续评估。</x:v>
      </x:c>
      <x:c r="Z99" s="68" t="str">
        <x:v>若“格神失效、核心作用路径完全中断，或特殊格局硬门槛被有效反证否决”成立，应降低为成立但有破或不成立，不得维持当前结论。</x:v>
      </x:c>
      <x:c r="AA99" s="82" t="str">
        <x:v>较高</x:v>
      </x:c>
      <x:c r="AB99" s="82" t="str">
        <x:v>子平格局</x:v>
      </x:c>
      <x:c r="AC99" s="68" t="str">
        <x:v>格局成败须区分：格神是否有效、结构是否能运行、是否存在破坏、救应是否直接修复破格机制，以及格局成立与层次高低。</x:v>
      </x:c>
      <x:c r="AD99" s="68" t="str">
        <x:v>当“同一救应力量同时承担多个修复任务”成立，且成格证据相互支持、无决定性否决时，可按本规则判断。</x:v>
      </x:c>
      <x:c r="AE99" s="90" t="str">
        <x:v>只有格局名称或局部组合，但“格神失效、核心作用路径完全中断，或特殊格局硬门槛被有效反证否决”成立时，不能按本规则维持格局。</x:v>
      </x:c>
      <x:c r="AF99" s="68" t="str">
        <x:v>https://zh.wikisource.org/zh-hans/%E6%B7%B5%E6%B5%B7%E5%AD%90%E5%B9%B3 ; https://zh.wikisource.org/wiki/%E6%BB%B4%E5%A4%A9%E9%AB%93%E9%97%A1%E5%BE%AE</x:v>
      </x:c>
      <x:c r="AG99" s="82" t="str">
        <x:v>采用</x:v>
      </x:c>
      <x:c r="AH99" s="82" t="str">
        <x:v>初审</x:v>
      </x:c>
      <x:c r="AI99" s="87" t="n">
        <x:v>46260</x:v>
      </x:c>
    </x:row>
    <x:row r="100">
      <x:c r="A100" s="72" t="str">
        <x:f>IF(OR(C100="",D100=""),"",B100&amp;"-"&amp;UPPER(C100)&amp;"-"&amp;TEXT(D100,"0000")&amp;"-"&amp;E100)</x:f>
        <x:v>M15-RESCUE-0094-V1.0</x:v>
      </x:c>
      <x:c r="B100" s="74" t="str">
        <x:v>M15</x:v>
      </x:c>
      <x:c r="C100" s="74" t="str">
        <x:v>RESCUE</x:v>
      </x:c>
      <x:c r="D100" s="215" t="n">
        <x:v>94</x:v>
      </x:c>
      <x:c r="E100" s="74" t="str">
        <x:v>V1.0</x:v>
      </x:c>
      <x:c r="F100" s="68" t="str">
        <x:v>多重救应需要判断是否相互协同</x:v>
      </x:c>
      <x:c r="G100" s="82" t="str">
        <x:v>综合层</x:v>
      </x:c>
      <x:c r="H100" s="68" t="str">
        <x:v>所有破格候选</x:v>
      </x:c>
      <x:c r="I100" s="68" t="str">
        <x:v>两个以上救应力量同时出现</x:v>
      </x:c>
      <x:c r="J100" s="68" t="str">
        <x:v>救应可能互相生扶，也可能互相克制或争夺同一节点</x:v>
      </x:c>
      <x:c r="K100" s="68" t="str">
        <x:v>待定</x:v>
      </x:c>
      <x:c r="L100" s="82" t="str">
        <x:v>待定</x:v>
      </x:c>
      <x:c r="M100" s="68" t="str">
        <x:v>多重救应</x:v>
      </x:c>
      <x:c r="N100" s="82" t="str">
        <x:v>待定</x:v>
      </x:c>
      <x:c r="O100" s="84" t="str">
        <x:v>待定</x:v>
      </x:c>
      <x:c r="P100" s="82" t="str">
        <x:v>待定</x:v>
      </x:c>
      <x:c r="Q100" s="68" t="str">
        <x:v>按协同后的净修复效果定级，不按救应数量累加</x:v>
      </x:c>
      <x:c r="R100" s="68" t="str">
        <x:v>M14已生成候选；M08、M09、M10、M11相关结论可追溯</x:v>
      </x:c>
      <x:c r="S100" s="68" t="str">
        <x:v>格神与关键配合十神均以有效力量和实际功能为准</x:v>
      </x:c>
      <x:c r="T100" s="68" t="str">
        <x:v>格神得令、有根、透达、清纯，组合路径稳定且日主承载匹配</x:v>
      </x:c>
      <x:c r="U100" s="68" t="str">
        <x:v>格神受制、混杂、路径受阻、日主承载不足或救应只能局部作用</x:v>
      </x:c>
      <x:c r="V100" s="90" t="str">
        <x:v>格神失效、核心作用路径完全中断，或特殊格局硬门槛被有效反证否决</x:v>
      </x:c>
      <x:c r="W100" s="68" t="str">
        <x:v>特殊格局严格条件、流派争议及岁运补成另按专门规则处理</x:v>
      </x:c>
      <x:c r="X100" s="84" t="str">
        <x:v>救应_多救应协同</x:v>
      </x:c>
      <x:c r="Y100" s="84" t="str">
        <x:v>所有破格候选判为“待定”：破格等级为“待定”，救应为“待定”，清纯度为“待定”；层次需结合全局继续评估。</x:v>
      </x:c>
      <x:c r="Z100" s="68" t="str">
        <x:v>若“格神失效、核心作用路径完全中断，或特殊格局硬门槛被有效反证否决”成立，应降低为成立但有破或不成立，不得维持当前结论。</x:v>
      </x:c>
      <x:c r="AA100" s="82" t="str">
        <x:v>较高</x:v>
      </x:c>
      <x:c r="AB100" s="82" t="str">
        <x:v>子平格局</x:v>
      </x:c>
      <x:c r="AC100" s="68" t="str">
        <x:v>格局成败须区分：格神是否有效、结构是否能运行、是否存在破坏、救应是否直接修复破格机制，以及格局成立与层次高低。</x:v>
      </x:c>
      <x:c r="AD100" s="68" t="str">
        <x:v>当“两个以上救应力量同时出现”成立，且成格证据相互支持、无决定性否决时，可按本规则判断。</x:v>
      </x:c>
      <x:c r="AE100" s="90" t="str">
        <x:v>只有格局名称或局部组合，但“格神失效、核心作用路径完全中断，或特殊格局硬门槛被有效反证否决”成立时，不能按本规则维持格局。</x:v>
      </x:c>
      <x:c r="AF100" s="68" t="str">
        <x:v>https://zh.wikisource.org/zh-hans/%E6%B7%B5%E6%B5%B7%E5%AD%90%E5%B9%B3 ; https://zh.wikisource.org/wiki/%E6%BB%B4%E5%A4%A9%E9%AB%93%E9%97%A1%E5%BE%AE</x:v>
      </x:c>
      <x:c r="AG100" s="82" t="str">
        <x:v>采用</x:v>
      </x:c>
      <x:c r="AH100" s="82" t="str">
        <x:v>初审</x:v>
      </x:c>
      <x:c r="AI100" s="87" t="n">
        <x:v>46260</x:v>
      </x:c>
    </x:row>
    <x:row r="101">
      <x:c r="A101" s="72" t="str">
        <x:f>IF(OR(C101="",D101=""),"",B101&amp;"-"&amp;UPPER(C101)&amp;"-"&amp;TEXT(D101,"0000")&amp;"-"&amp;E101)</x:f>
        <x:v>M15-RESCUE-0095-V1.0</x:v>
      </x:c>
      <x:c r="B101" s="74" t="str">
        <x:v>M15</x:v>
      </x:c>
      <x:c r="C101" s="74" t="str">
        <x:v>RESCUE</x:v>
      </x:c>
      <x:c r="D101" s="215" t="n">
        <x:v>95</x:v>
      </x:c>
      <x:c r="E101" s="74" t="str">
        <x:v>V1.0</x:v>
      </x:c>
      <x:c r="F101" s="68" t="str">
        <x:v>救应只能修复其对应的破格对象</x:v>
      </x:c>
      <x:c r="G101" s="82" t="str">
        <x:v>综合层</x:v>
      </x:c>
      <x:c r="H101" s="68" t="str">
        <x:v>所有破格候选</x:v>
      </x:c>
      <x:c r="I101" s="68" t="str">
        <x:v>救应与某一破格因素作用路径成立</x:v>
      </x:c>
      <x:c r="J101" s="68" t="str">
        <x:v>对其他无路径的破格因素不产生自动修复</x:v>
      </x:c>
      <x:c r="K101" s="68" t="str">
        <x:v>多类破格并存</x:v>
      </x:c>
      <x:c r="L101" s="82" t="str">
        <x:v>待定</x:v>
      </x:c>
      <x:c r="M101" s="68" t="str">
        <x:v>定向救应</x:v>
      </x:c>
      <x:c r="N101" s="82" t="str">
        <x:v>待定</x:v>
      </x:c>
      <x:c r="O101" s="84" t="str">
        <x:v>待定</x:v>
      </x:c>
      <x:c r="P101" s="82" t="str">
        <x:v>待定</x:v>
      </x:c>
      <x:c r="Q101" s="68" t="str">
        <x:v>一个救应不能无条件包治全局所有破格</x:v>
      </x:c>
      <x:c r="R101" s="68" t="str">
        <x:v>M14已生成候选；M08、M09、M10、M11相关结论可追溯</x:v>
      </x:c>
      <x:c r="S101" s="68" t="str">
        <x:v>格神与关键配合十神均以有效力量和实际功能为准</x:v>
      </x:c>
      <x:c r="T101" s="68" t="str">
        <x:v>格神得令、有根、透达、清纯，组合路径稳定且日主承载匹配</x:v>
      </x:c>
      <x:c r="U101" s="68" t="str">
        <x:v>格神受制、混杂、路径受阻、日主承载不足或救应只能局部作用</x:v>
      </x:c>
      <x:c r="V101" s="90" t="str">
        <x:v>格神失效、核心作用路径完全中断，或特殊格局硬门槛被有效反证否决</x:v>
      </x:c>
      <x:c r="W101" s="68" t="str">
        <x:v>特殊格局严格条件、流派争议及岁运补成另按专门规则处理</x:v>
      </x:c>
      <x:c r="X101" s="84" t="str">
        <x:v>救应_对象限定</x:v>
      </x:c>
      <x:c r="Y101" s="84" t="str">
        <x:v>所有破格候选判为“待定”：破格等级为“待定”，救应为“待定”，清纯度为“待定”；层次需结合全局继续评估。</x:v>
      </x:c>
      <x:c r="Z101" s="68" t="str">
        <x:v>若“格神失效、核心作用路径完全中断，或特殊格局硬门槛被有效反证否决”成立，应降低为成立但有破或不成立，不得维持当前结论。</x:v>
      </x:c>
      <x:c r="AA101" s="82" t="str">
        <x:v>较高</x:v>
      </x:c>
      <x:c r="AB101" s="82" t="str">
        <x:v>子平格局</x:v>
      </x:c>
      <x:c r="AC101" s="68" t="str">
        <x:v>格局成败须区分：格神是否有效、结构是否能运行、是否存在破坏、救应是否直接修复破格机制，以及格局成立与层次高低。</x:v>
      </x:c>
      <x:c r="AD101" s="68" t="str">
        <x:v>当“救应与某一破格因素作用路径成立”成立，且成格证据相互支持、无决定性否决时，可按本规则判断。</x:v>
      </x:c>
      <x:c r="AE101" s="90" t="str">
        <x:v>只有格局名称或局部组合，但“格神失效、核心作用路径完全中断，或特殊格局硬门槛被有效反证否决”成立时，不能按本规则维持格局。</x:v>
      </x:c>
      <x:c r="AF101" s="68" t="str">
        <x:v>https://zh.wikisource.org/zh-hans/%E6%B7%B5%E6%B5%B7%E5%AD%90%E5%B9%B3 ; https://zh.wikisource.org/wiki/%E6%BB%B4%E5%A4%A9%E9%AB%93%E9%97%A1%E5%BE%AE</x:v>
      </x:c>
      <x:c r="AG101" s="82" t="str">
        <x:v>采用</x:v>
      </x:c>
      <x:c r="AH101" s="82" t="str">
        <x:v>初审</x:v>
      </x:c>
      <x:c r="AI101" s="87" t="n">
        <x:v>46260</x:v>
      </x:c>
    </x:row>
    <x:row r="102">
      <x:c r="A102" s="72" t="str">
        <x:f>IF(OR(C102="",D102=""),"",B102&amp;"-"&amp;UPPER(C102)&amp;"-"&amp;TEXT(D102,"0000")&amp;"-"&amp;E102)</x:f>
        <x:v>M15-RESCUE-0096-V1.0</x:v>
      </x:c>
      <x:c r="B102" s="74" t="str">
        <x:v>M15</x:v>
      </x:c>
      <x:c r="C102" s="74" t="str">
        <x:v>RESCUE</x:v>
      </x:c>
      <x:c r="D102" s="215" t="n">
        <x:v>96</x:v>
      </x:c>
      <x:c r="E102" s="74" t="str">
        <x:v>V1.0</x:v>
      </x:c>
      <x:c r="F102" s="68" t="str">
        <x:v>救应有效性应进入格局层次而非改变原始事实</x:v>
      </x:c>
      <x:c r="G102" s="82" t="str">
        <x:v>综合层</x:v>
      </x:c>
      <x:c r="H102" s="68" t="str">
        <x:v>所有格局</x:v>
      </x:c>
      <x:c r="I102" s="68" t="str">
        <x:v>有破有救结构已经确认</x:v>
      </x:c>
      <x:c r="J102" s="68" t="str">
        <x:v>原破格与救应两者均保留记录</x:v>
      </x:c>
      <x:c r="K102" s="68" t="str">
        <x:v>历史破格事实存在</x:v>
      </x:c>
      <x:c r="L102" s="82" t="str">
        <x:v>待定</x:v>
      </x:c>
      <x:c r="M102" s="68" t="str">
        <x:v>有效救应</x:v>
      </x:c>
      <x:c r="N102" s="82" t="str">
        <x:v>待定</x:v>
      </x:c>
      <x:c r="O102" s="84" t="str">
        <x:v>有破有救</x:v>
      </x:c>
      <x:c r="P102" s="82" t="str">
        <x:v>待定</x:v>
      </x:c>
      <x:c r="Q102" s="68" t="str">
        <x:v>输出应说明“有破有救”，不能把它改写成原局从未有破</x:v>
      </x:c>
      <x:c r="R102" s="68" t="str">
        <x:v>M14已生成候选；M08、M09、M10、M11相关结论可追溯</x:v>
      </x:c>
      <x:c r="S102" s="68" t="str">
        <x:v>格神与关键配合十神均以有效力量和实际功能为准</x:v>
      </x:c>
      <x:c r="T102" s="68" t="str">
        <x:v>格神得令、有根、透达、清纯，组合路径稳定且日主承载匹配</x:v>
      </x:c>
      <x:c r="U102" s="68" t="str">
        <x:v>格神受制、混杂、路径受阻、日主承载不足或救应只能局部作用</x:v>
      </x:c>
      <x:c r="V102" s="90" t="str">
        <x:v>格神失效、核心作用路径完全中断，或特殊格局硬门槛被有效反证否决</x:v>
      </x:c>
      <x:c r="W102" s="68" t="str">
        <x:v>特殊格局严格条件、流派争议及岁运补成另按专门规则处理</x:v>
      </x:c>
      <x:c r="X102" s="84" t="str">
        <x:v>救应_事实保留</x:v>
      </x:c>
      <x:c r="Y102" s="84" t="str">
        <x:v>最终表述必须同时保留破格机制和救应机制，并说明净结果与层次，不把有破有救伪装成天然清纯无破。</x:v>
      </x:c>
      <x:c r="Z102" s="68" t="str">
        <x:v>若“格神失效、核心作用路径完全中断，或特殊格局硬门槛被有效反证否决”成立，应降低为成立但有破或不成立，不得维持当前结论。</x:v>
      </x:c>
      <x:c r="AA102" s="82" t="str">
        <x:v>较高</x:v>
      </x:c>
      <x:c r="AB102" s="82" t="str">
        <x:v>子平格局</x:v>
      </x:c>
      <x:c r="AC102" s="68" t="str">
        <x:v>格局成败须区分：格神是否有效、结构是否能运行、是否存在破坏、救应是否直接修复破格机制，以及格局成立与层次高低。</x:v>
      </x:c>
      <x:c r="AD102" s="68" t="str">
        <x:v>当“有破有救结构已经确认”成立，且成格证据相互支持、无决定性否决时，可按本规则判断。</x:v>
      </x:c>
      <x:c r="AE102" s="90" t="str">
        <x:v>只有格局名称或局部组合，但“格神失效、核心作用路径完全中断，或特殊格局硬门槛被有效反证否决”成立时，不能按本规则维持格局。</x:v>
      </x:c>
      <x:c r="AF102" s="68" t="str">
        <x:v>https://zh.wikisource.org/zh-hans/%E6%B7%B5%E6%B5%B7%E5%AD%90%E5%B9%B3 ; https://zh.wikisource.org/wiki/%E6%BB%B4%E5%A4%A9%E9%AB%93%E9%97%A1%E5%BE%AE</x:v>
      </x:c>
      <x:c r="AG102" s="82" t="str">
        <x:v>采用</x:v>
      </x:c>
      <x:c r="AH102" s="82" t="str">
        <x:v>初审</x:v>
      </x:c>
      <x:c r="AI102" s="87" t="n">
        <x:v>46260</x:v>
      </x:c>
    </x:row>
    <x:row r="103">
      <x:c r="A103" s="72" t="str">
        <x:f>IF(OR(C103="",D103=""),"",B103&amp;"-"&amp;UPPER(C103)&amp;"-"&amp;TEXT(D103,"0000")&amp;"-"&amp;E103)</x:f>
        <x:v>M15-BOUND-0097-V1.0</x:v>
      </x:c>
      <x:c r="B103" s="74" t="str">
        <x:v>M15</x:v>
      </x:c>
      <x:c r="C103" s="74" t="str">
        <x:v>BOUND</x:v>
      </x:c>
      <x:c r="D103" s="215" t="n">
        <x:v>97</x:v>
      </x:c>
      <x:c r="E103" s="74" t="str">
        <x:v>V1.0</x:v>
      </x:c>
      <x:c r="F103" s="68" t="str">
        <x:v>格局成立不等于格局层次高</x:v>
      </x:c>
      <x:c r="G103" s="82" t="str">
        <x:v>综合层</x:v>
      </x:c>
      <x:c r="H103" s="68" t="str">
        <x:v>所有格局</x:v>
      </x:c>
      <x:c r="I103" s="68" t="str">
        <x:v>格局达到基本成立</x:v>
      </x:c>
      <x:c r="J103" s="68" t="str">
        <x:v>清纯度、破格、救应、流通、调候与日主承载仍可能一般</x:v>
      </x:c>
      <x:c r="K103" s="68" t="str">
        <x:v>待定</x:v>
      </x:c>
      <x:c r="L103" s="82" t="str">
        <x:v>待定</x:v>
      </x:c>
      <x:c r="M103" s="68" t="str">
        <x:v>待定</x:v>
      </x:c>
      <x:c r="N103" s="82" t="str">
        <x:v>待定</x:v>
      </x:c>
      <x:c r="O103" s="84" t="str">
        <x:v>基本成立</x:v>
      </x:c>
      <x:c r="P103" s="82" t="str">
        <x:v>待定</x:v>
      </x:c>
      <x:c r="Q103" s="68" t="str">
        <x:v>必须单独评价运行质量和稳定性</x:v>
      </x:c>
      <x:c r="R103" s="68" t="str">
        <x:v>M14已生成候选；M08、M09、M10、M11相关结论可追溯</x:v>
      </x:c>
      <x:c r="S103" s="68" t="str">
        <x:v>格神与关键配合十神均以有效力量和实际功能为准</x:v>
      </x:c>
      <x:c r="T103" s="68" t="str">
        <x:v>格神得令、有根、透达、清纯，组合路径稳定且日主承载匹配</x:v>
      </x:c>
      <x:c r="U103" s="68" t="str">
        <x:v>格神受制、混杂、路径受阻、日主承载不足或救应只能局部作用</x:v>
      </x:c>
      <x:c r="V103" s="90" t="str">
        <x:v>格神失效、核心作用路径完全中断，或特殊格局硬门槛被有效反证否决</x:v>
      </x:c>
      <x:c r="W103" s="68" t="str">
        <x:v>特殊格局严格条件、流派争议及岁运补成另按专门规则处理</x:v>
      </x:c>
      <x:c r="X103" s="84" t="str">
        <x:v>格局成立层次边界</x:v>
      </x:c>
      <x:c r="Y103" s="84" t="str">
        <x:v>所有格局判为“基本成立”：破格等级为“待定”，救应为“待定”，清纯度为“待定”；层次需结合全局继续评估。</x:v>
      </x:c>
      <x:c r="Z103" s="68" t="str">
        <x:v>若“格神失效、核心作用路径完全中断，或特殊格局硬门槛被有效反证否决”成立，应降低为成立但有破或不成立，不得维持当前结论。</x:v>
      </x:c>
      <x:c r="AA103" s="82" t="str">
        <x:v>较高</x:v>
      </x:c>
      <x:c r="AB103" s="82" t="str">
        <x:v>子平格局</x:v>
      </x:c>
      <x:c r="AC103" s="68" t="str">
        <x:v>格局成败须区分：格神是否有效、结构是否能运行、是否存在破坏、救应是否直接修复破格机制，以及格局成立与层次高低。</x:v>
      </x:c>
      <x:c r="AD103" s="68" t="str">
        <x:v>当“格局达到基本成立”成立，且成格证据相互支持、无决定性否决时，可按本规则判断。</x:v>
      </x:c>
      <x:c r="AE103" s="90" t="str">
        <x:v>只有格局名称或局部组合，但“格神失效、核心作用路径完全中断，或特殊格局硬门槛被有效反证否决”成立时，不能按本规则维持格局。</x:v>
      </x:c>
      <x:c r="AF103" s="68" t="str">
        <x:v>https://zh.wikisource.org/zh-hans/%E6%B7%B5%E6%B5%B7%E5%AD%90%E5%B9%B3 ; https://zh.wikisource.org/wiki/%E6%BB%B4%E5%A4%A9%E9%AB%93%E9%97%A1%E5%BE%AE</x:v>
      </x:c>
      <x:c r="AG103" s="82" t="str">
        <x:v>采用</x:v>
      </x:c>
      <x:c r="AH103" s="82" t="str">
        <x:v>初审</x:v>
      </x:c>
      <x:c r="AI103" s="87" t="n">
        <x:v>46260</x:v>
      </x:c>
    </x:row>
    <x:row r="104">
      <x:c r="A104" s="72" t="str">
        <x:f>IF(OR(C104="",D104=""),"",B104&amp;"-"&amp;UPPER(C104)&amp;"-"&amp;TEXT(D104,"0000")&amp;"-"&amp;E104)</x:f>
        <x:v>M15-BOUND-0098-V1.0</x:v>
      </x:c>
      <x:c r="B104" s="74" t="str">
        <x:v>M15</x:v>
      </x:c>
      <x:c r="C104" s="74" t="str">
        <x:v>BOUND</x:v>
      </x:c>
      <x:c r="D104" s="215" t="n">
        <x:v>98</x:v>
      </x:c>
      <x:c r="E104" s="74" t="str">
        <x:v>V1.0</x:v>
      </x:c>
      <x:c r="F104" s="68" t="str">
        <x:v>格局有破不等于必然完全不成立</x:v>
      </x:c>
      <x:c r="G104" s="82" t="str">
        <x:v>综合层</x:v>
      </x:c>
      <x:c r="H104" s="68" t="str">
        <x:v>所有格局</x:v>
      </x:c>
      <x:c r="I104" s="68" t="str">
        <x:v>核心格神和结构仍能运行</x:v>
      </x:c>
      <x:c r="J104" s="68" t="str">
        <x:v>月令依据、格神根气与有效力量、日主配合及M11组合证据相互支持</x:v>
      </x:c>
      <x:c r="K104" s="68" t="str">
        <x:v>存在轻微、一般或严重破损</x:v>
      </x:c>
      <x:c r="L104" s="82" t="str">
        <x:v>待定</x:v>
      </x:c>
      <x:c r="M104" s="68" t="str">
        <x:v>待定</x:v>
      </x:c>
      <x:c r="N104" s="82" t="str">
        <x:v>待定</x:v>
      </x:c>
      <x:c r="O104" s="84" t="str">
        <x:v>成立但有破</x:v>
      </x:c>
      <x:c r="P104" s="82" t="str">
        <x:v>待定</x:v>
      </x:c>
      <x:c r="Q104" s="68" t="str">
        <x:v>只有根本破格或核心失效才判不成立</x:v>
      </x:c>
      <x:c r="R104" s="68" t="str">
        <x:v>M14已生成候选；M08、M09、M10、M11相关结论可追溯</x:v>
      </x:c>
      <x:c r="S104" s="68" t="str">
        <x:v>格神与关键配合十神均以有效力量和实际功能为准</x:v>
      </x:c>
      <x:c r="T104" s="68" t="str">
        <x:v>格神得令、有根、透达、清纯，组合路径稳定且日主承载匹配</x:v>
      </x:c>
      <x:c r="U104" s="68" t="str">
        <x:v>格神受制、混杂、路径受阻、日主承载不足或救应只能局部作用</x:v>
      </x:c>
      <x:c r="V104" s="90" t="str">
        <x:v>格神失效、核心作用路径完全中断，或特殊格局硬门槛被有效反证否决</x:v>
      </x:c>
      <x:c r="W104" s="68" t="str">
        <x:v>特殊格局严格条件、流派争议及岁运补成另按专门规则处理</x:v>
      </x:c>
      <x:c r="X104" s="84" t="str">
        <x:v>有破非自动否决</x:v>
      </x:c>
      <x:c r="Y104" s="84" t="str">
        <x:v>所有格局判为“成立但有破”：破格等级为“待定”，救应为“待定”，清纯度为“待定”；层次需结合全局继续评估。</x:v>
      </x:c>
      <x:c r="Z104" s="68" t="str">
        <x:v>若“格神失效、核心作用路径完全中断，或特殊格局硬门槛被有效反证否决”成立，应降低为成立但有破或不成立，不得维持当前结论。</x:v>
      </x:c>
      <x:c r="AA104" s="82" t="str">
        <x:v>较高</x:v>
      </x:c>
      <x:c r="AB104" s="82" t="str">
        <x:v>子平格局</x:v>
      </x:c>
      <x:c r="AC104" s="68" t="str">
        <x:v>格局成败须区分：格神是否有效、结构是否能运行、是否存在破坏、救应是否直接修复破格机制，以及格局成立与层次高低。</x:v>
      </x:c>
      <x:c r="AD104" s="68" t="str">
        <x:v>当“核心格神和结构仍能运行”成立，且成格证据相互支持、无决定性否决时，可按本规则判断。</x:v>
      </x:c>
      <x:c r="AE104" s="90" t="str">
        <x:v>只有格局名称或局部组合，但“格神失效、核心作用路径完全中断，或特殊格局硬门槛被有效反证否决”成立时，不能按本规则维持格局。</x:v>
      </x:c>
      <x:c r="AF104" s="68" t="str">
        <x:v>https://zh.wikisource.org/zh-hans/%E6%B7%B5%E6%B5%B7%E5%AD%90%E5%B9%B3 ; https://zh.wikisource.org/wiki/%E6%BB%B4%E5%A4%A9%E9%AB%93%E9%97%A1%E5%BE%AE</x:v>
      </x:c>
      <x:c r="AG104" s="82" t="str">
        <x:v>采用</x:v>
      </x:c>
      <x:c r="AH104" s="82" t="str">
        <x:v>初审</x:v>
      </x:c>
      <x:c r="AI104" s="87" t="n">
        <x:v>46260</x:v>
      </x:c>
    </x:row>
    <x:row r="105">
      <x:c r="A105" s="72" t="str">
        <x:f>IF(OR(C105="",D105=""),"",B105&amp;"-"&amp;UPPER(C105)&amp;"-"&amp;TEXT(D105,"0000")&amp;"-"&amp;E105)</x:f>
        <x:v>M15-BOUND-0099-V1.0</x:v>
      </x:c>
      <x:c r="B105" s="74" t="str">
        <x:v>M15</x:v>
      </x:c>
      <x:c r="C105" s="74" t="str">
        <x:v>BOUND</x:v>
      </x:c>
      <x:c r="D105" s="215" t="n">
        <x:v>99</x:v>
      </x:c>
      <x:c r="E105" s="74" t="str">
        <x:v>V1.0</x:v>
      </x:c>
      <x:c r="F105" s="68" t="str">
        <x:v>格局成败不能直接推出富贵贫贱与具体事件</x:v>
      </x:c>
      <x:c r="G105" s="82" t="str">
        <x:v>综合层</x:v>
      </x:c>
      <x:c r="H105" s="68" t="str">
        <x:v>所有格局</x:v>
      </x:c>
      <x:c r="I105" s="68" t="str">
        <x:v>M15完成最终格局状态</x:v>
      </x:c>
      <x:c r="J105" s="68" t="str">
        <x:v>格局是结构运行方式，不是现实结果的单因决定</x:v>
      </x:c>
      <x:c r="K105" s="68" t="str">
        <x:v>不适用</x:v>
      </x:c>
      <x:c r="L105" s="82" t="str">
        <x:v>无破</x:v>
      </x:c>
      <x:c r="M105" s="68" t="str">
        <x:v>不适用</x:v>
      </x:c>
      <x:c r="N105" s="82" t="str">
        <x:v>无救应</x:v>
      </x:c>
      <x:c r="O105" s="84" t="str">
        <x:v>待定</x:v>
      </x:c>
      <x:c r="P105" s="82" t="str">
        <x:v>待定</x:v>
      </x:c>
      <x:c r="Q105" s="68" t="str">
        <x:v>现实表现需结合用神、岁运和上层主题模型</x:v>
      </x:c>
      <x:c r="R105" s="68" t="str">
        <x:v>M14已生成候选；M08、M09、M10、M11相关结论可追溯</x:v>
      </x:c>
      <x:c r="S105" s="68" t="str">
        <x:v>格神与关键配合十神均以有效力量和实际功能为准</x:v>
      </x:c>
      <x:c r="T105" s="68" t="str">
        <x:v>格神得令、有根、透达、清纯，组合路径稳定且日主承载匹配</x:v>
      </x:c>
      <x:c r="U105" s="68" t="str">
        <x:v>格神受制、混杂、路径受阻、日主承载不足或救应只能局部作用</x:v>
      </x:c>
      <x:c r="V105" s="90" t="str">
        <x:v>格神失效、核心作用路径完全中断，或特殊格局硬门槛被有效反证否决</x:v>
      </x:c>
      <x:c r="W105" s="68" t="str">
        <x:v>特殊格局严格条件、流派争议及岁运补成另按专门规则处理</x:v>
      </x:c>
      <x:c r="X105" s="84" t="str">
        <x:v>格局事件边界</x:v>
      </x:c>
      <x:c r="Y105" s="84" t="str">
        <x:v>M15只输出格局成立、破格、救应、清纯度与层次，不直接断财富、职位、婚姻、疾病或具体人生事件。</x:v>
      </x:c>
      <x:c r="Z105" s="68" t="str">
        <x:v>若“格神失效、核心作用路径完全中断，或特殊格局硬门槛被有效反证否决”成立，应降低为成立但有破或不成立，不得维持当前结论。</x:v>
      </x:c>
      <x:c r="AA105" s="82" t="str">
        <x:v>较高</x:v>
      </x:c>
      <x:c r="AB105" s="82" t="str">
        <x:v>子平格局</x:v>
      </x:c>
      <x:c r="AC105" s="68" t="str">
        <x:v>格局成败须区分：格神是否有效、结构是否能运行、是否存在破坏、救应是否直接修复破格机制，以及格局成立与层次高低。</x:v>
      </x:c>
      <x:c r="AD105" s="68" t="str">
        <x:v>当“M15完成最终格局状态”成立，且成格证据相互支持、无决定性否决时，可按本规则判断。</x:v>
      </x:c>
      <x:c r="AE105" s="90" t="str">
        <x:v>只有格局名称或局部组合，但“格神失效、核心作用路径完全中断，或特殊格局硬门槛被有效反证否决”成立时，不能按本规则维持格局。</x:v>
      </x:c>
      <x:c r="AF105" s="68" t="str">
        <x:v>https://zh.wikisource.org/zh-hans/%E6%B7%B5%E6%B5%B7%E5%AD%90%E5%B9%B3 ; https://zh.wikisource.org/wiki/%E6%BB%B4%E5%A4%A9%E9%AB%93%E9%97%A1%E5%BE%AE</x:v>
      </x:c>
      <x:c r="AG105" s="82" t="str">
        <x:v>采用</x:v>
      </x:c>
      <x:c r="AH105" s="82" t="str">
        <x:v>初审</x:v>
      </x:c>
      <x:c r="AI105" s="87" t="n">
        <x:v>46260</x:v>
      </x:c>
    </x:row>
    <x:row r="106">
      <x:c r="A106" s="214" t="str">
        <x:f>IF(OR(C106="",D106=""),"",B106&amp;"-"&amp;UPPER(C106)&amp;"-"&amp;TEXT(D106,"0000")&amp;"-"&amp;E106)</x:f>
        <x:v>M15-BOUND-0100-V1.0</x:v>
      </x:c>
      <x:c r="B106" s="214" t="str">
        <x:v>M15</x:v>
      </x:c>
      <x:c r="C106" s="214" t="str">
        <x:v>BOUND</x:v>
      </x:c>
      <x:c r="D106" s="216" t="n">
        <x:v>100</x:v>
      </x:c>
      <x:c r="E106" s="214" t="str">
        <x:v>V1.0</x:v>
      </x:c>
      <x:c r="F106" s="214" t="str">
        <x:v>原局成败与岁运救格必须分开</x:v>
      </x:c>
      <x:c r="G106" s="214" t="str">
        <x:v>综合层</x:v>
      </x:c>
      <x:c r="H106" s="214" t="str">
        <x:v>所有格局</x:v>
      </x:c>
      <x:c r="I106" s="214" t="str">
        <x:v>原局格局存在破损或缺少救应</x:v>
      </x:c>
      <x:c r="J106" s="214" t="str">
        <x:v>未来岁运可能补入救应，但不属于原局静态事实</x:v>
      </x:c>
      <x:c r="K106" s="214" t="str">
        <x:v>原局破格照实保留</x:v>
      </x:c>
      <x:c r="L106" s="214" t="str">
        <x:v>待定</x:v>
      </x:c>
      <x:c r="M106" s="214" t="str">
        <x:v>岁运可能救格</x:v>
      </x:c>
      <x:c r="N106" s="214" t="str">
        <x:v>待定</x:v>
      </x:c>
      <x:c r="O106" s="214" t="str">
        <x:v>待定</x:v>
      </x:c>
      <x:c r="P106" s="214" t="str">
        <x:v>待定</x:v>
      </x:c>
      <x:c r="Q106" s="214" t="str">
        <x:v>原局状态先定，岁运变化由动态作用引擎另判</x:v>
      </x:c>
      <x:c r="R106" s="214" t="str">
        <x:v>M14已生成候选；M08、M09、M10、M11相关结论可追溯</x:v>
      </x:c>
      <x:c r="S106" s="214" t="str">
        <x:v>格神与关键配合十神均以有效力量和实际功能为准</x:v>
      </x:c>
      <x:c r="T106" s="214" t="str">
        <x:v>格神得令、有根、透达、清纯，组合路径稳定且日主承载匹配</x:v>
      </x:c>
      <x:c r="U106" s="214" t="str">
        <x:v>格神受制、混杂、路径受阻、日主承载不足或救应只能局部作用</x:v>
      </x:c>
      <x:c r="V106" s="214" t="str">
        <x:v>格神失效、核心作用路径完全中断，或特殊格局硬门槛被有效反证否决</x:v>
      </x:c>
      <x:c r="W106" s="214" t="str">
        <x:v>岁运引动、成格、破格与救格属于D0动态模型</x:v>
      </x:c>
      <x:c r="X106" s="214" t="str">
        <x:v>格局静动态边界</x:v>
      </x:c>
      <x:c r="Y106" s="214" t="str">
        <x:v>不得用未来岁运的潜在救应提前把原局写成有破有救或清纯成立。</x:v>
      </x:c>
      <x:c r="Z106" s="214" t="str">
        <x:v>若“格神失效、核心作用路径完全中断，或特殊格局硬门槛被有效反证否决”成立，应降低为成立但有破或不成立，不得维持当前结论。</x:v>
      </x:c>
      <x:c r="AA106" s="214" t="str">
        <x:v>较高</x:v>
      </x:c>
      <x:c r="AB106" s="214" t="str">
        <x:v>子平格局</x:v>
      </x:c>
      <x:c r="AC106" s="214" t="str">
        <x:v>格局成败须区分：格神是否有效、结构是否能运行、是否存在破坏、救应是否直接修复破格机制，以及格局成立与层次高低。</x:v>
      </x:c>
      <x:c r="AD106" s="214" t="str">
        <x:v>当“原局格局存在破损或缺少救应”成立，且成格证据相互支持、无决定性否决时，可按本规则判断。</x:v>
      </x:c>
      <x:c r="AE106" s="214" t="str">
        <x:v>只有格局名称或局部组合，但“格神失效、核心作用路径完全中断，或特殊格局硬门槛被有效反证否决”成立时，不能按本规则维持格局。</x:v>
      </x:c>
      <x:c r="AF106" s="214" t="str">
        <x:v>https://zh.wikisource.org/zh-hans/%E6%B7%B5%E6%B5%B7%E5%AD%90%E5%B9%B3 ; https://zh.wikisource.org/wiki/%E6%BB%B4%E5%A4%A9%E9%AB%93%E9%97%A1%E5%BE%AE</x:v>
      </x:c>
      <x:c r="AG106" s="214" t="str">
        <x:v>采用</x:v>
      </x:c>
      <x:c r="AH106" s="214" t="str">
        <x:v>初审</x:v>
      </x:c>
      <x:c r="AI106" s="217" t="n">
        <x:v>46260</x:v>
      </x:c>
    </x:row>
  </x:sheetData>
  <x:mergeCells>
    <x:mergeCell ref="A1:O1"/>
    <x:mergeCell ref="A2:O2"/>
    <x:mergeCell ref="A3:O3"/>
    <x:mergeCell ref="A4:O4"/>
  </x:mergeCells>
  <x:conditionalFormatting sqref="A6:A105">
    <x:cfRule type="expression" dxfId="13" priority="1">
      <x:formula>AND(A6&lt;&gt;"",COUNTIF($A$6:$A$105,A6)&gt;1)</x:formula>
    </x:cfRule>
  </x:conditionalFormatting>
  <x:dataValidations count="22">
    <x:dataValidation type="list" sqref="E6:E105">
      <x:formula1>'99_下拉选项'!$BG$4:$BG$12</x:formula1>
    </x:dataValidation>
    <x:dataValidation type="list" sqref="G6:G105">
      <x:formula1>'99_下拉选项'!$F$4:$F$7</x:formula1>
    </x:dataValidation>
    <x:dataValidation type="list" sqref="L6:L105">
      <x:formula1>'99_下拉选项'!$AF$4:$AF$9</x:formula1>
    </x:dataValidation>
    <x:dataValidation type="list" sqref="N6:N105">
      <x:formula1>'99_下拉选项'!$AG$4:$AG$9</x:formula1>
    </x:dataValidation>
    <x:dataValidation type="list" sqref="O6:O105">
      <x:formula1>'99_下拉选项'!$AD$4:$AD$11</x:formula1>
    </x:dataValidation>
    <x:dataValidation type="list" sqref="P6:P105">
      <x:formula1>'99_下拉选项'!$AE$4:$AE$9</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'99_下拉选项'!$BG$4:$BG$15</x:formula1>
    </x:dataValidation>
    <x:dataValidation type="list" sqref="G7:G106">
      <x:formula1>'99_下拉选项'!$F$4:$F$7</x:formula1>
    </x:dataValidation>
    <x:dataValidation type="list" sqref="L7:L106">
      <x:formula1>'99_下拉选项'!$AF$4:$AF$9</x:formula1>
    </x:dataValidation>
    <x:dataValidation type="list" sqref="N7:N106">
      <x:formula1>'99_下拉选项'!$AG$4:$AG$9</x:formula1>
    </x:dataValidation>
    <x:dataValidation type="list" sqref="O7:O106">
      <x:formula1>'99_下拉选项'!$AD$4:$AD$11</x:formula1>
    </x:dataValidation>
    <x:dataValidation type="list" sqref="P7:P106">
      <x:formula1>'99_下拉选项'!$AE$4:$AE$9</x:formula1>
    </x:dataValidation>
    <x:dataValidation type="list" sqref="AA7:AA106">
      <x:formula1>'99_下拉选项'!$Q$4:$Q$8</x:formula1>
    </x:dataValidation>
    <x:dataValidation type="list" sqref="AB7:AB106">
      <x:formula1>'99_下拉选项'!$R$4:$R$11</x:formula1>
    </x:dataValidation>
    <x:dataValidation type="list" sqref="AG7:AG106">
      <x:formula1>'99_下拉选项'!$S$4:$S$9</x:formula1>
    </x:dataValidation>
    <x:dataValidation type="list" sqref="AH7:AH106">
      <x:formula1>'99_下拉选项'!$T$4:$T$8</x:formula1>
    </x:dataValidation>
    <x:dataValidation type="list" sqref="E7:E106">
      <x:formula1>'99_下拉选项'!$BG$4:$BG$19</x:formula1>
    </x:dataValidation>
  </x:dataValidations>
  <x:pageMargins left="0.7" right="0.7" top="0.75" bottom="0.75" header="0.3" footer="0.3"/>
  <x:tableParts count="1">
    <x:tablePart xmlns:r="http://schemas.openxmlformats.org/officeDocument/2006/relationships" r:id="R22522bcbd2164bc4"/>
  </x:tableParts>
</x:worksheet>
</file>

<file path=xl/worksheets/sheet1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30" hidden="0" customWidth="1"/>
    <x:col min="12" max="12" width="30"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16"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M16｜根本之病、表层之病与药神规则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把旺衰、流通、制化、格局和调候问题转化为病位、病性、根因与药理，评估药力不足、过量和产生新病的风险。</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前置依赖：M08/M09/M10/M11/M12/M13/M15　｜　主要输出：根本病、表层病、主药、辅助药与副作用　｜　直接下游：M17/M18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病类</x:v>
      </x:c>
      <x:c r="I5" s="61" t="str">
        <x:v>病位</x:v>
      </x:c>
      <x:c r="J5" s="61" t="str">
        <x:v>病性</x:v>
      </x:c>
      <x:c r="K5" s="61" t="str">
        <x:v>根本原因</x:v>
      </x:c>
      <x:c r="L5" s="61" t="str">
        <x:v>表层表现</x:v>
      </x:c>
      <x:c r="M5" s="61" t="str">
        <x:v>严重程度</x:v>
      </x:c>
      <x:c r="N5" s="61" t="str">
        <x:v>主药五行/十神</x:v>
      </x:c>
      <x:c r="O5" s="61" t="str">
        <x:v>辅助药五行/十神</x:v>
      </x:c>
      <x:c r="P5" s="61" t="str">
        <x:v>药理</x:v>
      </x:c>
      <x:c r="Q5" s="61" t="str">
        <x:v>成立条件</x:v>
      </x:c>
      <x:c r="R5" s="61" t="str">
        <x:v>禁忌条件</x:v>
      </x:c>
      <x:c r="S5" s="61" t="str">
        <x:v>药力不足后果</x:v>
      </x:c>
      <x:c r="T5" s="61" t="str">
        <x:v>药力过度后果</x:v>
      </x:c>
      <x:c r="U5" s="61" t="str">
        <x:v>是否伤害格局</x:v>
      </x:c>
      <x:c r="V5" s="61" t="str">
        <x:v>是否产生新病</x:v>
      </x:c>
      <x:c r="W5" s="61" t="str">
        <x:v>新病类型</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M16-DEMO-9999-V0.1</x:v>
      </x:c>
      <x:c r="B6" s="76" t="str">
        <x:v>M16</x:v>
      </x:c>
      <x:c r="C6" s="76" t="str">
        <x:v>DEMO</x:v>
      </x:c>
      <x:c r="D6" s="78" t="n">
        <x:v>9999</x:v>
      </x:c>
      <x:c r="E6" s="76" t="str">
        <x:v>V0.1</x:v>
      </x:c>
      <x:c r="F6" s="76" t="str">
        <x:v>根本之病优先于表层症状</x:v>
      </x:c>
      <x:c r="G6" s="76" t="str">
        <x:v>综合层</x:v>
      </x:c>
      <x:c r="H6" s="76" t="str">
        <x:v>制化病</x:v>
      </x:c>
      <x:c r="I6" s="76" t="str">
        <x:v>官杀—日主作用链</x:v>
      </x:c>
      <x:c r="J6" s="76" t="str">
        <x:v>杀旺攻身的表象</x:v>
      </x:c>
      <x:c r="K6" s="76" t="str">
        <x:v>日主缺乏有效承载且制化路径失效</x:v>
      </x:c>
      <x:c r="L6" s="76" t="str">
        <x:v>官杀压力明显</x:v>
      </x:c>
      <x:c r="M6" s="76" t="str">
        <x:v>首要矛盾</x:v>
      </x:c>
      <x:c r="N6" s="76" t="str">
        <x:v>印星或食神，需按路径择一</x:v>
      </x:c>
      <x:c r="O6" s="76" t="str">
        <x:v>比劫或财星，取决于保护印/食的需要</x:v>
      </x:c>
      <x:c r="P6" s="76" t="str">
        <x:v>复合药理</x:v>
      </x:c>
      <x:c r="Q6" s="76" t="str">
        <x:v>确认杀有力、日主承载不足且现有制化无效</x:v>
      </x:c>
      <x:c r="R6" s="76" t="str">
        <x:v>不得同时无差别加强印与食，避免制化两立或进一步泄身</x:v>
      </x:c>
      <x:c r="S6" s="76" t="str">
        <x:v>官杀压力仍直接落在日主</x:v>
      </x:c>
      <x:c r="T6" s="76" t="str">
        <x:v>印过旺可能夺食，食过旺可能泄身太过</x:v>
      </x:c>
      <x:c r="U6" s="76" t="str">
        <x:v>条件性</x:v>
      </x:c>
      <x:c r="V6" s="76" t="str">
        <x:v>条件性</x:v>
      </x:c>
      <x:c r="W6" s="76" t="str">
        <x:v>枭夺食、泄身过度或格局冲突</x:v>
      </x:c>
      <x:c r="X6" s="76" t="str">
        <x:v>M09-M15完成</x:v>
      </x:c>
      <x:c r="Y6" s="76" t="str">
        <x:v>区分根因与症状</x:v>
      </x:c>
      <x:c r="Z6" s="76" t="str">
        <x:v>药神有根有源且直接作用于病位</x:v>
      </x:c>
      <x:c r="AA6" s="76" t="str">
        <x:v>药神被合制或产生更大格局冲突</x:v>
      </x:c>
      <x:c r="AB6" s="76" t="str">
        <x:v>仅看到官杀旺，不得跳过承载与制化直接指定单一药神</x:v>
      </x:c>
      <x:c r="AC6" s="76" t="str">
        <x:v>特殊格局严格成立时，病药须服从格局硬约束</x:v>
      </x:c>
      <x:c r="AD6" s="76" t="str">
        <x:v>根因病药</x:v>
      </x:c>
      <x:c r="AE6" s="76" t="str">
        <x:v>表层为官杀压力，根本之病在承载与制化失效；药神须优先修复该机制，而非只压低官杀数量。</x:v>
      </x:c>
      <x:c r="AF6" s="76" t="str">
        <x:v>中等</x:v>
      </x:c>
      <x:c r="AG6" s="76" t="str">
        <x:v>病药</x:v>
      </x:c>
      <x:c r="AH6" s="76" t="str">
        <x:v>同一表象可能由不同根因造成，药神因此不同。</x:v>
      </x:c>
      <x:c r="AI6" s="76" t="str">
        <x:v>杀旺、身弱、印被财坏，应先处理印功能。</x:v>
      </x:c>
      <x:c r="AJ6" s="76" t="str">
        <x:v>见杀旺一律用食神制杀，不审身弱与枭夺食。</x:v>
      </x:c>
      <x:c r="AK6" s="76" t="str">
        <x:v>示例</x:v>
      </x:c>
      <x:c r="AL6" s="76" t="str">
        <x:v>未审核</x:v>
      </x:c>
      <x:c r="AM6" s="86" t="n">
        <x:v>46254</x:v>
      </x:c>
    </x:row>
    <x:row r="7">
      <x:c r="A7" s="72" t="str">
        <x:f>IF(OR(C7="",D7=""),"",B7&amp;"-"&amp;UPPER(C7)&amp;"-"&amp;TEXT(D7,"0000")&amp;"-"&amp;E7)</x:f>
        <x:v>M16-GEN-0001-V1.0</x:v>
      </x:c>
      <x:c r="B7" s="74" t="str">
        <x:v>M16</x:v>
      </x:c>
      <x:c r="C7" s="74" t="str">
        <x:v>GEN</x:v>
      </x:c>
      <x:c r="D7" s="215" t="n">
        <x:v>1</x:v>
      </x:c>
      <x:c r="E7" s="74" t="str">
        <x:v>V1.0</x:v>
      </x:c>
      <x:c r="F7" s="68" t="str">
        <x:v>根本之病优先于表层症状</x:v>
      </x:c>
      <x:c r="G7" s="82" t="str">
        <x:v>综合层</x:v>
      </x:c>
      <x:c r="H7" s="82" t="str">
        <x:v>复合病</x:v>
      </x:c>
      <x:c r="I7" s="68" t="str">
        <x:v>根因—表象链</x:v>
      </x:c>
      <x:c r="J7" s="68" t="str">
        <x:v>根因识别</x:v>
      </x:c>
      <x:c r="K7" s="68" t="str">
        <x:v>同一表象背后的承载、流通、制化、格局或调候机制失效</x:v>
      </x:c>
      <x:c r="L7" s="68" t="str">
        <x:v>某五行过旺、官杀压力、财耗、寒湿等表面现象</x:v>
      </x:c>
      <x:c r="M7" s="82" t="str">
        <x:v>首要矛盾</x:v>
      </x:c>
      <x:c r="N7" s="68" t="str">
        <x:v>直接修复根因的五行/十神</x:v>
      </x:c>
      <x:c r="O7" s="68" t="str">
        <x:v>处理表层残余问题的辅助药</x:v>
      </x:c>
      <x:c r="P7" s="82" t="str">
        <x:v>复合药理</x:v>
      </x:c>
      <x:c r="Q7" s="68" t="str">
        <x:v>M08—M15已经确认相应结构性失衡与实际功能障碍</x:v>
      </x:c>
      <x:c r="R7" s="90" t="str">
        <x:v>不得只凭五行数量、十神名称或单一旺衰标签直接立病用药</x:v>
      </x:c>
      <x:c r="S7" s="90" t="str">
        <x:v>主要病位未被修复，原有失衡继续运行</x:v>
      </x:c>
      <x:c r="T7" s="90" t="str">
        <x:v>药神反向过度，可能跨越平衡并形成新的结构性失衡</x:v>
      </x:c>
      <x:c r="U7" s="82" t="str">
        <x:v>条件性</x:v>
      </x:c>
      <x:c r="V7" s="90" t="str">
        <x:v>条件性</x:v>
      </x:c>
      <x:c r="W7" s="90" t="str">
        <x:v>药不对症或制造次生失衡</x:v>
      </x:c>
      <x:c r="X7" s="68" t="str">
        <x:v>M08有效旺衰、M09日主旺衰、M10十神功能、M11组合、M12流通、M13调候、M15格局成败均已完成</x:v>
      </x:c>
      <x:c r="Y7" s="68" t="str">
        <x:v>病位、根因、功能障碍与药神作用路径均能够追溯</x:v>
      </x:c>
      <x:c r="Z7" s="68" t="str">
        <x:v>药神有根有源、透达，能够直接进入病位且兼顾多个主要问题</x:v>
      </x:c>
      <x:c r="AA7" s="68" t="str">
        <x:v>药神无根、受强制、被合绊、作用路径遥隔或同时被多个任务分流</x:v>
      </x:c>
      <x:c r="AB7" s="90" t="str">
        <x:v>若该失衡没有造成实际功能障碍，或特殊格局要求顺势，则不得按普通病药立论</x:v>
      </x:c>
      <x:c r="AC7" s="68" t="str">
        <x:v>特殊格局严格成立、岁运动态作用或流派争议转M18/M21及动态引擎</x:v>
      </x:c>
      <x:c r="AD7" s="84" t="str">
        <x:v>根本病优先</x:v>
      </x:c>
      <x:c r="AE7" s="84" t="str">
        <x:v>根本之病在“根因—表象链”：同一表象背后的承载、流通、制化、格局或调候机制失效；表层表现为“某五行过旺、官杀压力、财耗、寒湿等表面现象”。主药候选为“直接修复根因的五行/十神”，药理为“复合药理”；最终喜忌与主次仍转M17/M18裁决。</x:v>
      </x:c>
      <x:c r="AF7" s="82" t="str">
        <x:v>较高</x:v>
      </x:c>
      <x:c r="AG7" s="82" t="str">
        <x:v>病药</x:v>
      </x:c>
      <x:c r="AH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 s="68" t="str">
        <x:v>当“M08—M15已经确认相应结构性失衡与实际功能障碍”真实成立，且药神能够直接作用病位时，可按“根本之病优先于表层症状”记录。</x:v>
      </x:c>
      <x:c r="AJ7" s="90" t="str">
        <x:v>只有表面“某五行过旺、官杀压力、财耗、寒湿等表面现象”，但未证明根因“同一表象背后的承载、流通、制化、格局或调候机制失效”及药神作用路径时，不得套用“根本之病优先于表层症状”。</x:v>
      </x:c>
      <x:c r="AK7" s="82" t="str">
        <x:v>采用</x:v>
      </x:c>
      <x:c r="AL7" s="82" t="str">
        <x:v>初审</x:v>
      </x:c>
      <x:c r="AM7" s="87" t="n">
        <x:v>46260</x:v>
      </x:c>
    </x:row>
    <x:row r="8">
      <x:c r="A8" s="72" t="str">
        <x:f>IF(OR(C8="",D8=""),"",B8&amp;"-"&amp;UPPER(C8)&amp;"-"&amp;TEXT(D8,"0000")&amp;"-"&amp;E8)</x:f>
        <x:v>M16-GEN-0002-V1.0</x:v>
      </x:c>
      <x:c r="B8" s="74" t="str">
        <x:v>M16</x:v>
      </x:c>
      <x:c r="C8" s="74" t="str">
        <x:v>GEN</x:v>
      </x:c>
      <x:c r="D8" s="215" t="n">
        <x:v>2</x:v>
      </x:c>
      <x:c r="E8" s="74" t="str">
        <x:v>V1.0</x:v>
      </x:c>
      <x:c r="F8" s="68" t="str">
        <x:v>病必须以实际功能障碍为成立门槛</x:v>
      </x:c>
      <x:c r="G8" s="82" t="str">
        <x:v>综合层</x:v>
      </x:c>
      <x:c r="H8" s="82" t="str">
        <x:v>待定</x:v>
      </x:c>
      <x:c r="I8" s="68" t="str">
        <x:v>受损功能节点</x:v>
      </x:c>
      <x:c r="J8" s="68" t="str">
        <x:v>功能失衡</x:v>
      </x:c>
      <x:c r="K8" s="68" t="str">
        <x:v>结构失衡已经造成生、克、制、化、泄、承载或调候功能受阻</x:v>
      </x:c>
      <x:c r="L8" s="68" t="str">
        <x:v>力量存在但功能失效、流通中断或格局破损</x:v>
      </x:c>
      <x:c r="M8" s="82" t="str">
        <x:v>明显</x:v>
      </x:c>
      <x:c r="N8" s="68" t="str">
        <x:v>恢复受损功能的直接药神</x:v>
      </x:c>
      <x:c r="O8" s="68" t="str">
        <x:v>保护药神或修复相邻通路的辅助力量</x:v>
      </x:c>
      <x:c r="P8" s="82" t="str">
        <x:v>救应</x:v>
      </x:c>
      <x:c r="Q8" s="68" t="str">
        <x:v>M08—M15已经确认相应结构性失衡与实际功能障碍</x:v>
      </x:c>
      <x:c r="R8" s="90" t="str">
        <x:v>不得只凭五行数量、十神名称或单一旺衰标签直接立病用药</x:v>
      </x:c>
      <x:c r="S8" s="90" t="str">
        <x:v>主要病位未被修复，原有失衡继续运行</x:v>
      </x:c>
      <x:c r="T8" s="90" t="str">
        <x:v>药神反向过度，可能跨越平衡并形成新的结构性失衡</x:v>
      </x:c>
      <x:c r="U8" s="82" t="str">
        <x:v>条件性</x:v>
      </x:c>
      <x:c r="V8" s="90" t="str">
        <x:v>条件性</x:v>
      </x:c>
      <x:c r="W8" s="90" t="str">
        <x:v>待定</x:v>
      </x:c>
      <x:c r="X8" s="68" t="str">
        <x:v>M08有效旺衰、M09日主旺衰、M10十神功能、M11组合、M12流通、M13调候、M15格局成败均已完成</x:v>
      </x:c>
      <x:c r="Y8" s="68" t="str">
        <x:v>病位、根因、功能障碍与药神作用路径均能够追溯</x:v>
      </x:c>
      <x:c r="Z8" s="68" t="str">
        <x:v>药神有根有源、透达，能够直接进入病位且兼顾多个主要问题</x:v>
      </x:c>
      <x:c r="AA8" s="68" t="str">
        <x:v>药神无根、受强制、被合绊、作用路径遥隔或同时被多个任务分流</x:v>
      </x:c>
      <x:c r="AB8" s="90" t="str">
        <x:v>若该失衡没有造成实际功能障碍，或特殊格局要求顺势，则不得按普通病药立论</x:v>
      </x:c>
      <x:c r="AC8" s="68" t="str">
        <x:v>特殊格局严格成立、岁运动态作用或流派争议转M18/M21及动态引擎</x:v>
      </x:c>
      <x:c r="AD8" s="84" t="str">
        <x:v>功能障碍立病</x:v>
      </x:c>
      <x:c r="AE8" s="84" t="str">
        <x:v>根本之病在“受损功能节点”：结构失衡已经造成生、克、制、化、泄、承载或调候功能受阻；表层表现为“力量存在但功能失效、流通中断或格局破损”。主药候选为“恢复受损功能的直接药神”，药理为“救应”；最终喜忌与主次仍转M17/M18裁决。</x:v>
      </x:c>
      <x:c r="AF8" s="82" t="str">
        <x:v>较高</x:v>
      </x:c>
      <x:c r="AG8" s="82" t="str">
        <x:v>病药</x:v>
      </x:c>
      <x:c r="AH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 s="68" t="str">
        <x:v>当“M08—M15已经确认相应结构性失衡与实际功能障碍”真实成立，且药神能够直接作用病位时，可按“病必须以实际功能障碍为成立门槛”记录。</x:v>
      </x:c>
      <x:c r="AJ8" s="90" t="str">
        <x:v>只有表面“力量存在但功能失效、流通中断或格局破损”，但未证明根因“结构失衡已经造成生、克、制、化、泄、承载或调候功能受阻”及药神作用路径时，不得套用“病必须以实际功能障碍为成立门槛”。</x:v>
      </x:c>
      <x:c r="AK8" s="82" t="str">
        <x:v>采用</x:v>
      </x:c>
      <x:c r="AL8" s="82" t="str">
        <x:v>初审</x:v>
      </x:c>
      <x:c r="AM8" s="87" t="n">
        <x:v>46260</x:v>
      </x:c>
    </x:row>
    <x:row r="9">
      <x:c r="A9" s="72" t="str">
        <x:f>IF(OR(C9="",D9=""),"",B9&amp;"-"&amp;UPPER(C9)&amp;"-"&amp;TEXT(D9,"0000")&amp;"-"&amp;E9)</x:f>
        <x:v>M16-GEN-0003-V1.0</x:v>
      </x:c>
      <x:c r="B9" s="74" t="str">
        <x:v>M16</x:v>
      </x:c>
      <x:c r="C9" s="74" t="str">
        <x:v>GEN</x:v>
      </x:c>
      <x:c r="D9" s="215" t="n">
        <x:v>3</x:v>
      </x:c>
      <x:c r="E9" s="74" t="str">
        <x:v>V1.0</x:v>
      </x:c>
      <x:c r="F9" s="68" t="str">
        <x:v>五行旺弱本身不自动构成病</x:v>
      </x:c>
      <x:c r="G9" s="82" t="str">
        <x:v>综合层</x:v>
      </x:c>
      <x:c r="H9" s="82" t="str">
        <x:v>旺衰病</x:v>
      </x:c>
      <x:c r="I9" s="68" t="str">
        <x:v>五行力量层</x:v>
      </x:c>
      <x:c r="J9" s="68" t="str">
        <x:v>力量事实与病性分离</x:v>
      </x:c>
      <x:c r="K9" s="68" t="str">
        <x:v>只有旺弱，没有证明其妨碍承载、流通、格局或调候</x:v>
      </x:c>
      <x:c r="L9" s="68" t="str">
        <x:v>某五行旺或弱</x:v>
      </x:c>
      <x:c r="M9" s="82" t="str">
        <x:v>轻微</x:v>
      </x:c>
      <x:c r="N9" s="68" t="str">
        <x:v>不预设</x:v>
      </x:c>
      <x:c r="O9" s="68" t="str">
        <x:v>不预设</x:v>
      </x:c>
      <x:c r="P9" s="82" t="str">
        <x:v>待定</x:v>
      </x:c>
      <x:c r="Q9" s="68" t="str">
        <x:v>M08已判旺弱，但M12—M15未发现由此产生的实际功能问题</x:v>
      </x:c>
      <x:c r="R9" s="90" t="str">
        <x:v>不得见旺即抑、见弱即扶</x:v>
      </x:c>
      <x:c r="S9" s="90" t="str">
        <x:v>不适用</x:v>
      </x:c>
      <x:c r="T9" s="90" t="str">
        <x:v>错误用药会打破原本可运行的结构</x:v>
      </x:c>
      <x:c r="U9" s="82" t="str">
        <x:v>是</x:v>
      </x:c>
      <x:c r="V9" s="90" t="str">
        <x:v>是</x:v>
      </x:c>
      <x:c r="W9" s="90" t="str">
        <x:v>人为制造旺衰或格局病</x:v>
      </x:c>
      <x:c r="X9" s="68" t="str">
        <x:v>M08有效旺衰、M09日主旺衰、M10十神功能、M11组合、M12流通、M13调候、M15格局成败均已完成</x:v>
      </x:c>
      <x:c r="Y9" s="68" t="str">
        <x:v>病位、根因、功能障碍与药神作用路径均能够追溯</x:v>
      </x:c>
      <x:c r="Z9" s="68" t="str">
        <x:v>药神有根有源、透达，能够直接进入病位且兼顾多个主要问题</x:v>
      </x:c>
      <x:c r="AA9" s="68" t="str">
        <x:v>药神无根、受强制、被合绊、作用路径遥隔或同时被多个任务分流</x:v>
      </x:c>
      <x:c r="AB9" s="90" t="str">
        <x:v>若该失衡没有造成实际功能障碍，或特殊格局要求顺势，则不得按普通病药立论</x:v>
      </x:c>
      <x:c r="AC9" s="68" t="str">
        <x:v>特殊格局严格成立、岁运动态作用或流派争议转M18/M21及动态引擎</x:v>
      </x:c>
      <x:c r="AD9" s="84" t="str">
        <x:v>旺弱非自动为病</x:v>
      </x:c>
      <x:c r="AE9" s="84" t="str">
        <x:v>该五行存在旺弱事实，但尚未形成结构性病位；M16不立病、不指定药神。</x:v>
      </x:c>
      <x:c r="AF9" s="82" t="str">
        <x:v>较高</x:v>
      </x:c>
      <x:c r="AG9" s="82" t="str">
        <x:v>病药</x:v>
      </x:c>
      <x:c r="AH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 s="68" t="str">
        <x:v>当“M08已判旺弱，但M12—M15未发现由此产生的实际功能问题”真实成立，且药神能够直接作用病位时，可按“五行旺弱本身不自动构成病”记录。</x:v>
      </x:c>
      <x:c r="AJ9" s="90" t="str">
        <x:v>只有表面“某五行旺或弱”，但未证明根因“只有旺弱，没有证明其妨碍承载、流通、格局或调候”及药神作用路径时，不得套用“五行旺弱本身不自动构成病”。</x:v>
      </x:c>
      <x:c r="AK9" s="82" t="str">
        <x:v>采用</x:v>
      </x:c>
      <x:c r="AL9" s="82" t="str">
        <x:v>初审</x:v>
      </x:c>
      <x:c r="AM9" s="87" t="n">
        <x:v>46260</x:v>
      </x:c>
    </x:row>
    <x:row r="10">
      <x:c r="A10" s="72" t="str">
        <x:f>IF(OR(C10="",D10=""),"",B10&amp;"-"&amp;UPPER(C10)&amp;"-"&amp;TEXT(D10,"0000")&amp;"-"&amp;E10)</x:f>
        <x:v>M16-GEN-0004-V1.0</x:v>
      </x:c>
      <x:c r="B10" s="74" t="str">
        <x:v>M16</x:v>
      </x:c>
      <x:c r="C10" s="74" t="str">
        <x:v>GEN</x:v>
      </x:c>
      <x:c r="D10" s="215" t="n">
        <x:v>4</x:v>
      </x:c>
      <x:c r="E10" s="74" t="str">
        <x:v>V1.0</x:v>
      </x:c>
      <x:c r="F10" s="68" t="str">
        <x:v>五行缺失本身不自动构成病</x:v>
      </x:c>
      <x:c r="G10" s="82" t="str">
        <x:v>综合层</x:v>
      </x:c>
      <x:c r="H10" s="82" t="str">
        <x:v>流通病</x:v>
      </x:c>
      <x:c r="I10" s="68" t="str">
        <x:v>潜在桥梁</x:v>
      </x:c>
      <x:c r="J10" s="68" t="str">
        <x:v>缺失事实与卡点分离</x:v>
      </x:c>
      <x:c r="K10" s="68" t="str">
        <x:v>缺失五行并非主路径必要桥梁，或已有替代路径</x:v>
      </x:c>
      <x:c r="L10" s="68" t="str">
        <x:v>原局某五行不现</x:v>
      </x:c>
      <x:c r="M10" s="82" t="str">
        <x:v>轻微</x:v>
      </x:c>
      <x:c r="N10" s="68" t="str">
        <x:v>不预设</x:v>
      </x:c>
      <x:c r="O10" s="68" t="str">
        <x:v>不预设</x:v>
      </x:c>
      <x:c r="P10" s="82" t="str">
        <x:v>待定</x:v>
      </x:c>
      <x:c r="Q10" s="68" t="str">
        <x:v>M12未确认该缺失造成缺桥或核心功能阻断</x:v>
      </x:c>
      <x:c r="R10" s="90" t="str">
        <x:v>禁止缺什么补什么</x:v>
      </x:c>
      <x:c r="S10" s="90" t="str">
        <x:v>不适用</x:v>
      </x:c>
      <x:c r="T10" s="90" t="str">
        <x:v>补入无关五行可能破格或加重调候失衡</x:v>
      </x:c>
      <x:c r="U10" s="82" t="str">
        <x:v>条件性</x:v>
      </x:c>
      <x:c r="V10" s="90" t="str">
        <x:v>是</x:v>
      </x:c>
      <x:c r="W10" s="90" t="str">
        <x:v>格局冲突或调候反向病</x:v>
      </x:c>
      <x:c r="X10" s="68" t="str">
        <x:v>M08有效旺衰、M09日主旺衰、M10十神功能、M11组合、M12流通、M13调候、M15格局成败均已完成</x:v>
      </x:c>
      <x:c r="Y10" s="68" t="str">
        <x:v>病位、根因、功能障碍与药神作用路径均能够追溯</x:v>
      </x:c>
      <x:c r="Z10" s="68" t="str">
        <x:v>药神有根有源、透达，能够直接进入病位且兼顾多个主要问题</x:v>
      </x:c>
      <x:c r="AA10" s="68" t="str">
        <x:v>药神无根、受强制、被合绊、作用路径遥隔或同时被多个任务分流</x:v>
      </x:c>
      <x:c r="AB10" s="90" t="str">
        <x:v>若该失衡没有造成实际功能障碍，或特殊格局要求顺势，则不得按普通病药立论</x:v>
      </x:c>
      <x:c r="AC10" s="68" t="str">
        <x:v>特殊格局严格成立、岁运动态作用或流派争议转M18/M21及动态引擎</x:v>
      </x:c>
      <x:c r="AD10" s="84" t="str">
        <x:v>缺失非自动为病</x:v>
      </x:c>
      <x:c r="AE10" s="84" t="str">
        <x:v>该五行虽不现，但未构成关键卡点；不因缺失直接指定药神。</x:v>
      </x:c>
      <x:c r="AF10" s="82" t="str">
        <x:v>较高</x:v>
      </x:c>
      <x:c r="AG10" s="82" t="str">
        <x:v>病药</x:v>
      </x:c>
      <x:c r="AH1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 s="68" t="str">
        <x:v>当“M12未确认该缺失造成缺桥或核心功能阻断”真实成立，且药神能够直接作用病位时，可按“五行缺失本身不自动构成病”记录。</x:v>
      </x:c>
      <x:c r="AJ10" s="90" t="str">
        <x:v>只有表面“原局某五行不现”，但未证明根因“缺失五行并非主路径必要桥梁，或已有替代路径”及药神作用路径时，不得套用“五行缺失本身不自动构成病”。</x:v>
      </x:c>
      <x:c r="AK10" s="82" t="str">
        <x:v>采用</x:v>
      </x:c>
      <x:c r="AL10" s="82" t="str">
        <x:v>初审</x:v>
      </x:c>
      <x:c r="AM10" s="87" t="n">
        <x:v>46260</x:v>
      </x:c>
    </x:row>
    <x:row r="11">
      <x:c r="A11" s="72" t="str">
        <x:f>IF(OR(C11="",D11=""),"",B11&amp;"-"&amp;UPPER(C11)&amp;"-"&amp;TEXT(D11,"0000")&amp;"-"&amp;E11)</x:f>
        <x:v>M16-GEN-0005-V1.0</x:v>
      </x:c>
      <x:c r="B11" s="74" t="str">
        <x:v>M16</x:v>
      </x:c>
      <x:c r="C11" s="74" t="str">
        <x:v>GEN</x:v>
      </x:c>
      <x:c r="D11" s="215" t="n">
        <x:v>5</x:v>
      </x:c>
      <x:c r="E11" s="74" t="str">
        <x:v>V1.0</x:v>
      </x:c>
      <x:c r="F11" s="68" t="str">
        <x:v>同一表象可以对应不同根因和不同药神</x:v>
      </x:c>
      <x:c r="G11" s="82" t="str">
        <x:v>综合层</x:v>
      </x:c>
      <x:c r="H11" s="82" t="str">
        <x:v>复合病</x:v>
      </x:c>
      <x:c r="I11" s="68" t="str">
        <x:v>诊断分叉点</x:v>
      </x:c>
      <x:c r="J11" s="68" t="str">
        <x:v>同象异因</x:v>
      </x:c>
      <x:c r="K11" s="68" t="str">
        <x:v>表象相同但底层可能分别来自旺衰、流通、制化、格局或调候</x:v>
      </x:c>
      <x:c r="L11" s="68" t="str">
        <x:v>例如官杀压力、财星受损或食神功能下降</x:v>
      </x:c>
      <x:c r="M11" s="82" t="str">
        <x:v>明显</x:v>
      </x:c>
      <x:c r="N11" s="68" t="str">
        <x:v>按根因分别选择印、食、比、财或通关五行</x:v>
      </x:c>
      <x:c r="O11" s="68" t="str">
        <x:v>按副作用配置</x:v>
      </x:c>
      <x:c r="P11" s="82" t="str">
        <x:v>复合药理</x:v>
      </x:c>
      <x:c r="Q11" s="68" t="str">
        <x:v>M08—M15已经确认相应结构性失衡与实际功能障碍</x:v>
      </x:c>
      <x:c r="R11" s="90" t="str">
        <x:v>不得只凭五行数量、十神名称或单一旺衰标签直接立病用药</x:v>
      </x:c>
      <x:c r="S11" s="90" t="str">
        <x:v>主要病位未被修复，原有失衡继续运行</x:v>
      </x:c>
      <x:c r="T11" s="90" t="str">
        <x:v>药神反向过度，可能跨越平衡并形成新的结构性失衡</x:v>
      </x:c>
      <x:c r="U11" s="82" t="str">
        <x:v>条件性</x:v>
      </x:c>
      <x:c r="V11" s="90" t="str">
        <x:v>条件性</x:v>
      </x:c>
      <x:c r="W11" s="90" t="str">
        <x:v>误诊导致用药方向相反</x:v>
      </x:c>
      <x:c r="X11" s="68" t="str">
        <x:v>M08有效旺衰、M09日主旺衰、M10十神功能、M11组合、M12流通、M13调候、M15格局成败均已完成</x:v>
      </x:c>
      <x:c r="Y11" s="68" t="str">
        <x:v>病位、根因、功能障碍与药神作用路径均能够追溯</x:v>
      </x:c>
      <x:c r="Z11" s="68" t="str">
        <x:v>药神有根有源、透达，能够直接进入病位且兼顾多个主要问题</x:v>
      </x:c>
      <x:c r="AA11" s="68" t="str">
        <x:v>药神无根、受强制、被合绊、作用路径遥隔或同时被多个任务分流</x:v>
      </x:c>
      <x:c r="AB11" s="90" t="str">
        <x:v>若该失衡没有造成实际功能障碍，或特殊格局要求顺势，则不得按普通病药立论</x:v>
      </x:c>
      <x:c r="AC11" s="68" t="str">
        <x:v>特殊格局严格成立、岁运动态作用或流派争议转M18/M21及动态引擎</x:v>
      </x:c>
      <x:c r="AD11" s="84" t="str">
        <x:v>同象异因</x:v>
      </x:c>
      <x:c r="AE11" s="84" t="str">
        <x:v>根本之病在“诊断分叉点”：表象相同但底层可能分别来自旺衰、流通、制化、格局或调候；表层表现为“例如官杀压力、财星受损或食神功能下降”。主药候选为“按根因分别选择印、食、比、财或通关五行”，药理为“复合药理”；最终喜忌与主次仍转M17/M18裁决。</x:v>
      </x:c>
      <x:c r="AF11" s="82" t="str">
        <x:v>较高</x:v>
      </x:c>
      <x:c r="AG11" s="82" t="str">
        <x:v>病药</x:v>
      </x:c>
      <x:c r="AH1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 s="68" t="str">
        <x:v>当“M08—M15已经确认相应结构性失衡与实际功能障碍”真实成立，且药神能够直接作用病位时，可按“同一表象可以对应不同根因和不同药神”记录。</x:v>
      </x:c>
      <x:c r="AJ11" s="90" t="str">
        <x:v>只有表面“例如官杀压力、财星受损或食神功能下降”，但未证明根因“表象相同但底层可能分别来自旺衰、流通、制化、格局或调候”及药神作用路径时，不得套用“同一表象可以对应不同根因和不同药神”。</x:v>
      </x:c>
      <x:c r="AK11" s="82" t="str">
        <x:v>采用</x:v>
      </x:c>
      <x:c r="AL11" s="82" t="str">
        <x:v>初审</x:v>
      </x:c>
      <x:c r="AM11" s="87" t="n">
        <x:v>46260</x:v>
      </x:c>
    </x:row>
    <x:row r="12">
      <x:c r="A12" s="72" t="str">
        <x:f>IF(OR(C12="",D12=""),"",B12&amp;"-"&amp;UPPER(C12)&amp;"-"&amp;TEXT(D12,"0000")&amp;"-"&amp;E12)</x:f>
        <x:v>M16-GEN-0006-V1.0</x:v>
      </x:c>
      <x:c r="B12" s="74" t="str">
        <x:v>M16</x:v>
      </x:c>
      <x:c r="C12" s="74" t="str">
        <x:v>GEN</x:v>
      </x:c>
      <x:c r="D12" s="215" t="n">
        <x:v>6</x:v>
      </x:c>
      <x:c r="E12" s="74" t="str">
        <x:v>V1.0</x:v>
      </x:c>
      <x:c r="F12" s="68" t="str">
        <x:v>病药关系是相对的而非固定五行标签</x:v>
      </x:c>
      <x:c r="G12" s="82" t="str">
        <x:v>综合层</x:v>
      </x:c>
      <x:c r="H12" s="82" t="str">
        <x:v>复合病</x:v>
      </x:c>
      <x:c r="I12" s="68" t="str">
        <x:v>全局主要矛盾</x:v>
      </x:c>
      <x:c r="J12" s="68" t="str">
        <x:v>条件性价值</x:v>
      </x:c>
      <x:c r="K12" s="68" t="str">
        <x:v>同一五行在不同命局中可能治病，也可能加重另一病位</x:v>
      </x:c>
      <x:c r="L12" s="68" t="str">
        <x:v>某五行同时具备收益与副作用</x:v>
      </x:c>
      <x:c r="M12" s="82" t="str">
        <x:v>待定</x:v>
      </x:c>
      <x:c r="N12" s="68" t="str">
        <x:v>条件性药神</x:v>
      </x:c>
      <x:c r="O12" s="68" t="str">
        <x:v>降低副作用的保护神</x:v>
      </x:c>
      <x:c r="P12" s="82" t="str">
        <x:v>复合药理</x:v>
      </x:c>
      <x:c r="Q12" s="68" t="str">
        <x:v>M08—M15已经确认相应结构性失衡与实际功能障碍</x:v>
      </x:c>
      <x:c r="R12" s="90" t="str">
        <x:v>不得只凭五行数量、十神名称或单一旺衰标签直接立病用药</x:v>
      </x:c>
      <x:c r="S12" s="90" t="str">
        <x:v>主要病位未被修复，原有失衡继续运行</x:v>
      </x:c>
      <x:c r="T12" s="90" t="str">
        <x:v>药神反向过度，可能跨越平衡并形成新的结构性失衡</x:v>
      </x:c>
      <x:c r="U12" s="82" t="str">
        <x:v>条件性</x:v>
      </x:c>
      <x:c r="V12" s="90" t="str">
        <x:v>条件性</x:v>
      </x:c>
      <x:c r="W12" s="90" t="str">
        <x:v>药神转忌或药过成病</x:v>
      </x:c>
      <x:c r="X12" s="68" t="str">
        <x:v>M08有效旺衰、M09日主旺衰、M10十神功能、M11组合、M12流通、M13调候、M15格局成败均已完成</x:v>
      </x:c>
      <x:c r="Y12" s="68" t="str">
        <x:v>病位、根因、功能障碍与药神作用路径均能够追溯</x:v>
      </x:c>
      <x:c r="Z12" s="68" t="str">
        <x:v>药神有根有源、透达，能够直接进入病位且兼顾多个主要问题</x:v>
      </x:c>
      <x:c r="AA12" s="68" t="str">
        <x:v>药神无根、受强制、被合绊、作用路径遥隔或同时被多个任务分流</x:v>
      </x:c>
      <x:c r="AB12" s="90" t="str">
        <x:v>若该失衡没有造成实际功能障碍，或特殊格局要求顺势，则不得按普通病药立论</x:v>
      </x:c>
      <x:c r="AC12" s="68" t="str">
        <x:v>特殊格局严格成立、岁运动态作用或流派争议转M18/M21及动态引擎</x:v>
      </x:c>
      <x:c r="AD12" s="84" t="str">
        <x:v>病药相对性</x:v>
      </x:c>
      <x:c r="AE12" s="84" t="str">
        <x:v>根本之病在“全局主要矛盾”：同一五行在不同命局中可能治病，也可能加重另一病位；表层表现为“某五行同时具备收益与副作用”。主药候选为“条件性药神”，药理为“复合药理”；最终喜忌与主次仍转M17/M18裁决。</x:v>
      </x:c>
      <x:c r="AF12" s="82" t="str">
        <x:v>较高</x:v>
      </x:c>
      <x:c r="AG12" s="82" t="str">
        <x:v>病药</x:v>
      </x:c>
      <x:c r="AH1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2" s="68" t="str">
        <x:v>当“M08—M15已经确认相应结构性失衡与实际功能障碍”真实成立，且药神能够直接作用病位时，可按“病药关系是相对的而非固定五行标签”记录。</x:v>
      </x:c>
      <x:c r="AJ12" s="90" t="str">
        <x:v>只有表面“某五行同时具备收益与副作用”，但未证明根因“同一五行在不同命局中可能治病，也可能加重另一病位”及药神作用路径时，不得套用“病药关系是相对的而非固定五行标签”。</x:v>
      </x:c>
      <x:c r="AK12" s="82" t="str">
        <x:v>采用</x:v>
      </x:c>
      <x:c r="AL12" s="82" t="str">
        <x:v>初审</x:v>
      </x:c>
      <x:c r="AM12" s="87" t="n">
        <x:v>46260</x:v>
      </x:c>
    </x:row>
    <x:row r="13">
      <x:c r="A13" s="72" t="str">
        <x:f>IF(OR(C13="",D13=""),"",B13&amp;"-"&amp;UPPER(C13)&amp;"-"&amp;TEXT(D13,"0000")&amp;"-"&amp;E13)</x:f>
        <x:v>M16-GEN-0007-V1.0</x:v>
      </x:c>
      <x:c r="B13" s="74" t="str">
        <x:v>M16</x:v>
      </x:c>
      <x:c r="C13" s="74" t="str">
        <x:v>GEN</x:v>
      </x:c>
      <x:c r="D13" s="215" t="n">
        <x:v>7</x:v>
      </x:c>
      <x:c r="E13" s="74" t="str">
        <x:v>V1.0</x:v>
      </x:c>
      <x:c r="F13" s="68" t="str">
        <x:v>主药必须直接作用根本病位</x:v>
      </x:c>
      <x:c r="G13" s="82" t="str">
        <x:v>综合层</x:v>
      </x:c>
      <x:c r="H13" s="82" t="str">
        <x:v>复合病</x:v>
      </x:c>
      <x:c r="I13" s="68" t="str">
        <x:v>根本病位</x:v>
      </x:c>
      <x:c r="J13" s="68" t="str">
        <x:v>直接修复</x:v>
      </x:c>
      <x:c r="K13" s="68" t="str">
        <x:v>原局最主要的功能失效机制</x:v>
      </x:c>
      <x:c r="L13" s="68" t="str">
        <x:v>多个表层问题同时出现</x:v>
      </x:c>
      <x:c r="M13" s="82" t="str">
        <x:v>首要矛盾</x:v>
      </x:c>
      <x:c r="N13" s="68" t="str">
        <x:v>能直接修复根因者</x:v>
      </x:c>
      <x:c r="O13" s="68" t="str">
        <x:v>保护主药或处理次级病</x:v>
      </x:c>
      <x:c r="P13" s="82" t="str">
        <x:v>救应</x:v>
      </x:c>
      <x:c r="Q13" s="68" t="str">
        <x:v>M08—M15已经确认相应结构性失衡与实际功能障碍</x:v>
      </x:c>
      <x:c r="R13" s="90" t="str">
        <x:v>不能只因某五行通常有利便列主药；必须证明病位—药神路径</x:v>
      </x:c>
      <x:c r="S13" s="90" t="str">
        <x:v>主要病位未被修复，原有失衡继续运行</x:v>
      </x:c>
      <x:c r="T13" s="90" t="str">
        <x:v>药神反向过度，可能跨越平衡并形成新的结构性失衡</x:v>
      </x:c>
      <x:c r="U13" s="82" t="str">
        <x:v>条件性</x:v>
      </x:c>
      <x:c r="V13" s="90" t="str">
        <x:v>条件性</x:v>
      </x:c>
      <x:c r="W13" s="90" t="str">
        <x:v>待定</x:v>
      </x:c>
      <x:c r="X13" s="68" t="str">
        <x:v>M08有效旺衰、M09日主旺衰、M10十神功能、M11组合、M12流通、M13调候、M15格局成败均已完成</x:v>
      </x:c>
      <x:c r="Y13" s="68" t="str">
        <x:v>病位、根因、功能障碍与药神作用路径均能够追溯</x:v>
      </x:c>
      <x:c r="Z13" s="68" t="str">
        <x:v>药神有根有源、透达，能够直接进入病位且兼顾多个主要问题</x:v>
      </x:c>
      <x:c r="AA13" s="68" t="str">
        <x:v>药神无根、受强制、被合绊、作用路径遥隔或同时被多个任务分流</x:v>
      </x:c>
      <x:c r="AB13" s="90" t="str">
        <x:v>若该失衡没有造成实际功能障碍，或特殊格局要求顺势，则不得按普通病药立论</x:v>
      </x:c>
      <x:c r="AC13" s="68" t="str">
        <x:v>特殊格局严格成立、岁运动态作用或流派争议转M18/M21及动态引擎</x:v>
      </x:c>
      <x:c r="AD13" s="84" t="str">
        <x:v>主药直接性</x:v>
      </x:c>
      <x:c r="AE13" s="84" t="str">
        <x:v>根本之病在“根本病位”：原局最主要的功能失效机制；表层表现为“多个表层问题同时出现”。主药候选为“能直接修复根因者”，药理为“救应”；最终喜忌与主次仍转M17/M18裁决。</x:v>
      </x:c>
      <x:c r="AF13" s="82" t="str">
        <x:v>较高</x:v>
      </x:c>
      <x:c r="AG13" s="82" t="str">
        <x:v>病药</x:v>
      </x:c>
      <x:c r="AH1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3" s="68" t="str">
        <x:v>当“M08—M15已经确认相应结构性失衡与实际功能障碍”真实成立，且药神能够直接作用病位时，可按“主药必须直接作用根本病位”记录。</x:v>
      </x:c>
      <x:c r="AJ13" s="90" t="str">
        <x:v>只有表面“多个表层问题同时出现”，但未证明根因“原局最主要的功能失效机制”及药神作用路径时，不得套用“主药必须直接作用根本病位”。</x:v>
      </x:c>
      <x:c r="AK13" s="82" t="str">
        <x:v>采用</x:v>
      </x:c>
      <x:c r="AL13" s="82" t="str">
        <x:v>初审</x:v>
      </x:c>
      <x:c r="AM13" s="87" t="n">
        <x:v>46260</x:v>
      </x:c>
    </x:row>
    <x:row r="14">
      <x:c r="A14" s="72" t="str">
        <x:f>IF(OR(C14="",D14=""),"",B14&amp;"-"&amp;UPPER(C14)&amp;"-"&amp;TEXT(D14,"0000")&amp;"-"&amp;E14)</x:f>
        <x:v>M16-GEN-0008-V1.0</x:v>
      </x:c>
      <x:c r="B14" s="74" t="str">
        <x:v>M16</x:v>
      </x:c>
      <x:c r="C14" s="74" t="str">
        <x:v>GEN</x:v>
      </x:c>
      <x:c r="D14" s="215" t="n">
        <x:v>8</x:v>
      </x:c>
      <x:c r="E14" s="74" t="str">
        <x:v>V1.0</x:v>
      </x:c>
      <x:c r="F14" s="68" t="str">
        <x:v>病药结论必须保留反向证据与副作用</x:v>
      </x:c>
      <x:c r="G14" s="82" t="str">
        <x:v>综合层</x:v>
      </x:c>
      <x:c r="H14" s="82" t="str">
        <x:v>复合病</x:v>
      </x:c>
      <x:c r="I14" s="68" t="str">
        <x:v>综合诊断输出</x:v>
      </x:c>
      <x:c r="J14" s="68" t="str">
        <x:v>可审计性</x:v>
      </x:c>
      <x:c r="K14" s="68" t="str">
        <x:v>病药判断存在支持、反证与条件限制</x:v>
      </x:c>
      <x:c r="L14" s="68" t="str">
        <x:v>主药候选可能同时影响扶抑、格局、通关和调候</x:v>
      </x:c>
      <x:c r="M14" s="82" t="str">
        <x:v>待定</x:v>
      </x:c>
      <x:c r="N14" s="68" t="str">
        <x:v>主药候选</x:v>
      </x:c>
      <x:c r="O14" s="68" t="str">
        <x:v>辅助药候选</x:v>
      </x:c>
      <x:c r="P14" s="82" t="str">
        <x:v>复合药理</x:v>
      </x:c>
      <x:c r="Q14" s="68" t="str">
        <x:v>M08—M15已经确认相应结构性失衡与实际功能障碍</x:v>
      </x:c>
      <x:c r="R14" s="90" t="str">
        <x:v>不得只凭五行数量、十神名称或单一旺衰标签直接立病用药</x:v>
      </x:c>
      <x:c r="S14" s="90" t="str">
        <x:v>主要病位未被修复，原有失衡继续运行</x:v>
      </x:c>
      <x:c r="T14" s="90" t="str">
        <x:v>药神反向过度，可能跨越平衡并形成新的结构性失衡</x:v>
      </x:c>
      <x:c r="U14" s="82" t="str">
        <x:v>待定</x:v>
      </x:c>
      <x:c r="V14" s="90" t="str">
        <x:v>待定</x:v>
      </x:c>
      <x:c r="W14" s="90" t="str">
        <x:v>待评估</x:v>
      </x:c>
      <x:c r="X14" s="68" t="str">
        <x:v>M08有效旺衰、M09日主旺衰、M10十神功能、M11组合、M12流通、M13调候、M15格局成败均已完成</x:v>
      </x:c>
      <x:c r="Y14" s="68" t="str">
        <x:v>病位、根因、功能障碍与药神作用路径均能够追溯</x:v>
      </x:c>
      <x:c r="Z14" s="68" t="str">
        <x:v>药神有根有源、透达，能够直接进入病位且兼顾多个主要问题</x:v>
      </x:c>
      <x:c r="AA14" s="68" t="str">
        <x:v>药神无根、受强制、被合绊、作用路径遥隔或同时被多个任务分流</x:v>
      </x:c>
      <x:c r="AB14" s="90" t="str">
        <x:v>若该失衡没有造成实际功能障碍，或特殊格局要求顺势，则不得按普通病药立论</x:v>
      </x:c>
      <x:c r="AC14" s="68" t="str">
        <x:v>特殊格局严格成立、岁运动态作用或流派争议转M18/M21及动态引擎</x:v>
      </x:c>
      <x:c r="AD14" s="84" t="str">
        <x:v>病药标准证据链</x:v>
      </x:c>
      <x:c r="AE14" s="84" t="str">
        <x:v>每个病药结论必须同时输出根因、表象、病位、严重度、主药、辅助药、作用路径、禁忌、药力不足、药力过度、格局伤害、新病风险与置信度。</x:v>
      </x:c>
      <x:c r="AF14" s="82" t="str">
        <x:v>较高</x:v>
      </x:c>
      <x:c r="AG14" s="82" t="str">
        <x:v>病药</x:v>
      </x:c>
      <x:c r="AH1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4" s="68" t="str">
        <x:v>当“M08—M15已经确认相应结构性失衡与实际功能障碍”真实成立，且药神能够直接作用病位时，可按“病药结论必须保留反向证据与副作用”记录。</x:v>
      </x:c>
      <x:c r="AJ14" s="90" t="str">
        <x:v>只有表面“主药候选可能同时影响扶抑、格局、通关和调候”，但未证明根因“病药判断存在支持、反证与条件限制”及药神作用路径时，不得套用“病药结论必须保留反向证据与副作用”。</x:v>
      </x:c>
      <x:c r="AK14" s="82" t="str">
        <x:v>采用</x:v>
      </x:c>
      <x:c r="AL14" s="82" t="str">
        <x:v>初审</x:v>
      </x:c>
      <x:c r="AM14" s="87" t="n">
        <x:v>46260</x:v>
      </x:c>
    </x:row>
    <x:row r="15">
      <x:c r="A15" s="72" t="str">
        <x:f>IF(OR(C15="",D15=""),"",B15&amp;"-"&amp;UPPER(C15)&amp;"-"&amp;TEXT(D15,"0000")&amp;"-"&amp;E15)</x:f>
        <x:v>M16-WEAK-0009-V1.0</x:v>
      </x:c>
      <x:c r="B15" s="74" t="str">
        <x:v>M16</x:v>
      </x:c>
      <x:c r="C15" s="74" t="str">
        <x:v>WEAK</x:v>
      </x:c>
      <x:c r="D15" s="215" t="n">
        <x:v>9</x:v>
      </x:c>
      <x:c r="E15" s="74" t="str">
        <x:v>V1.0</x:v>
      </x:c>
      <x:c r="F15" s="68" t="str">
        <x:v>日主无有效根导致基础承载不足</x:v>
      </x:c>
      <x:c r="G15" s="82" t="str">
        <x:v>综合层</x:v>
      </x:c>
      <x:c r="H15" s="82" t="str">
        <x:v>旺衰病</x:v>
      </x:c>
      <x:c r="I15" s="68" t="str">
        <x:v>日主根气与承载</x:v>
      </x:c>
      <x:c r="J15" s="68" t="str">
        <x:v>身弱无依</x:v>
      </x:c>
      <x:c r="K15" s="68" t="str">
        <x:v>日主失令或弱，且无有效根、比劫与印星持续生扶</x:v>
      </x:c>
      <x:c r="L15" s="68" t="str">
        <x:v>财官食伤任一负荷都容易超过承载</x:v>
      </x:c>
      <x:c r="M15" s="82" t="str">
        <x:v>严重</x:v>
      </x:c>
      <x:c r="N15" s="68" t="str">
        <x:v>印星或比劫，按原局副作用择一</x:v>
      </x:c>
      <x:c r="O15" s="68" t="str">
        <x:v>保护根气或制约主要负荷者</x:v>
      </x:c>
      <x:c r="P15" s="82" t="str">
        <x:v>扶</x:v>
      </x:c>
      <x:c r="Q15" s="68" t="str">
        <x:v>M09判日主弱或极弱，M08确认根气和印比均不足，且不满足真从</x:v>
      </x:c>
      <x:c r="R15" s="90" t="str">
        <x:v>真从格严格成立时不得逆势强扶</x:v>
      </x:c>
      <x:c r="S15" s="90" t="str">
        <x:v>主要病位未被修复，原有失衡继续运行</x:v>
      </x:c>
      <x:c r="T15" s="90" t="str">
        <x:v>扶身过度可能破坏财官食伤格局或由弱转旺</x:v>
      </x:c>
      <x:c r="U15" s="82" t="str">
        <x:v>条件性</x:v>
      </x:c>
      <x:c r="V15" s="90" t="str">
        <x:v>条件性</x:v>
      </x:c>
      <x:c r="W15" s="90" t="str">
        <x:v>身旺、印多身滞或比劫夺财</x:v>
      </x:c>
      <x:c r="X15" s="68" t="str">
        <x:v>M08有效旺衰、M09日主旺衰、M10十神功能、M11组合、M12流通、M13调候、M15格局成败均已完成</x:v>
      </x:c>
      <x:c r="Y15" s="68" t="str">
        <x:v>病位、根因、功能障碍与药神作用路径均能够追溯</x:v>
      </x:c>
      <x:c r="Z15" s="68" t="str">
        <x:v>药神有根有源、透达，能够直接进入病位且兼顾多个主要问题</x:v>
      </x:c>
      <x:c r="AA15" s="68" t="str">
        <x:v>药神无根、受强制、被合绊、作用路径遥隔或同时被多个任务分流</x:v>
      </x:c>
      <x:c r="AB15" s="90" t="str">
        <x:v>若该失衡没有造成实际功能障碍，或特殊格局要求顺势，则不得按普通病药立论</x:v>
      </x:c>
      <x:c r="AC15" s="68" t="str">
        <x:v>特殊格局严格成立、岁运动态作用或流派争议转M18/M21及动态引擎</x:v>
      </x:c>
      <x:c r="AD15" s="84" t="str">
        <x:v>身弱无根</x:v>
      </x:c>
      <x:c r="AE15" s="84" t="str">
        <x:v>根本之病在“日主根气与承载”：日主失令或弱，且无有效根、比劫与印星持续生扶；表层表现为“财官食伤任一负荷都容易超过承载”。主药候选为“印星或比劫，按原局副作用择一”，药理为“扶”；最终喜忌与主次仍转M17/M18裁决。</x:v>
      </x:c>
      <x:c r="AF15" s="82" t="str">
        <x:v>较高</x:v>
      </x:c>
      <x:c r="AG15" s="82" t="str">
        <x:v>病药</x:v>
      </x:c>
      <x:c r="AH1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5" s="68" t="str">
        <x:v>当“M09判日主弱或极弱，M08确认根气和印比均不足，且不满足真从”真实成立，且药神能够直接作用病位时，可按“日主无有效根导致基础承载不足”记录。</x:v>
      </x:c>
      <x:c r="AJ15" s="90" t="str">
        <x:v>只有表面“财官食伤任一负荷都容易超过承载”，但未证明根因“日主失令或弱，且无有效根、比劫与印星持续生扶”及药神作用路径时，不得套用“日主无有效根导致基础承载不足”。</x:v>
      </x:c>
      <x:c r="AK15" s="82" t="str">
        <x:v>采用</x:v>
      </x:c>
      <x:c r="AL15" s="82" t="str">
        <x:v>初审</x:v>
      </x:c>
      <x:c r="AM15" s="87" t="n">
        <x:v>46260</x:v>
      </x:c>
    </x:row>
    <x:row r="16">
      <x:c r="A16" s="72" t="str">
        <x:f>IF(OR(C16="",D16=""),"",B16&amp;"-"&amp;UPPER(C16)&amp;"-"&amp;TEXT(D16,"0000")&amp;"-"&amp;E16)</x:f>
        <x:v>M16-WEAK-0010-V1.0</x:v>
      </x:c>
      <x:c r="B16" s="74" t="str">
        <x:v>M16</x:v>
      </x:c>
      <x:c r="C16" s="74" t="str">
        <x:v>WEAK</x:v>
      </x:c>
      <x:c r="D16" s="215" t="n">
        <x:v>10</x:v>
      </x:c>
      <x:c r="E16" s="74" t="str">
        <x:v>V1.0</x:v>
      </x:c>
      <x:c r="F16" s="68" t="str">
        <x:v>日主根气被实质破坏形成承载病</x:v>
      </x:c>
      <x:c r="G16" s="82" t="str">
        <x:v>综合层</x:v>
      </x:c>
      <x:c r="H16" s="82" t="str">
        <x:v>旺衰病</x:v>
      </x:c>
      <x:c r="I16" s="68" t="str">
        <x:v>日主有效根</x:v>
      </x:c>
      <x:c r="J16" s="68" t="str">
        <x:v>根损身弱</x:v>
      </x:c>
      <x:c r="K16" s="68" t="str">
        <x:v>原有根气被M06/M08确认冲散、合化、强制或失去可调用性</x:v>
      </x:c>
      <x:c r="L16" s="68" t="str">
        <x:v>日主由原有承载转为不稳定或偏弱</x:v>
      </x:c>
      <x:c r="M16" s="82" t="str">
        <x:v>明显</x:v>
      </x:c>
      <x:c r="N16" s="68" t="str">
        <x:v>恢复根源的印比或制去破根之神</x:v>
      </x:c>
      <x:c r="O16" s="68" t="str">
        <x:v>替代根气或通关五行</x:v>
      </x:c>
      <x:c r="P16" s="82" t="str">
        <x:v>扶</x:v>
      </x:c>
      <x:c r="Q16" s="68" t="str">
        <x:v>必须确认不是单纯冲动，而是根气实际减损</x:v>
      </x:c>
      <x:c r="R16" s="90" t="str">
        <x:v>不得见冲刑便自动认定拔根</x:v>
      </x:c>
      <x:c r="S16" s="90" t="str">
        <x:v>主要病位未被修复，原有失衡继续运行</x:v>
      </x:c>
      <x:c r="T16" s="90" t="str">
        <x:v>药神反向过度，可能跨越平衡并形成新的结构性失衡</x:v>
      </x:c>
      <x:c r="U16" s="82" t="str">
        <x:v>条件性</x:v>
      </x:c>
      <x:c r="V16" s="90" t="str">
        <x:v>条件性</x:v>
      </x:c>
      <x:c r="W16" s="90" t="str">
        <x:v>待定</x:v>
      </x:c>
      <x:c r="X16" s="68" t="str">
        <x:v>M08有效旺衰、M09日主旺衰、M10十神功能、M11组合、M12流通、M13调候、M15格局成败均已完成</x:v>
      </x:c>
      <x:c r="Y16" s="68" t="str">
        <x:v>病位、根因、功能障碍与药神作用路径均能够追溯</x:v>
      </x:c>
      <x:c r="Z16" s="68" t="str">
        <x:v>药神有根有源、透达，能够直接进入病位且兼顾多个主要问题</x:v>
      </x:c>
      <x:c r="AA16" s="68" t="str">
        <x:v>药神无根、受强制、被合绊、作用路径遥隔或同时被多个任务分流</x:v>
      </x:c>
      <x:c r="AB16" s="90" t="str">
        <x:v>若该失衡没有造成实际功能障碍，或特殊格局要求顺势，则不得按普通病药立论</x:v>
      </x:c>
      <x:c r="AC16" s="68" t="str">
        <x:v>特殊格局严格成立、岁运动态作用或流派争议转M18/M21及动态引擎</x:v>
      </x:c>
      <x:c r="AD16" s="84" t="str">
        <x:v>有效根受损</x:v>
      </x:c>
      <x:c r="AE16" s="84" t="str">
        <x:v>根本之病在“日主有效根”：原有根气被M06/M08确认冲散、合化、强制或失去可调用性；表层表现为“日主由原有承载转为不稳定或偏弱”。主药候选为“恢复根源的印比或制去破根之神”，药理为“扶”；最终喜忌与主次仍转M17/M18裁决。</x:v>
      </x:c>
      <x:c r="AF16" s="82" t="str">
        <x:v>较高</x:v>
      </x:c>
      <x:c r="AG16" s="82" t="str">
        <x:v>病药</x:v>
      </x:c>
      <x:c r="AH1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6" s="68" t="str">
        <x:v>当“必须确认不是单纯冲动，而是根气实际减损”真实成立，且药神能够直接作用病位时，可按“日主根气被实质破坏形成承载病”记录。</x:v>
      </x:c>
      <x:c r="AJ16" s="90" t="str">
        <x:v>只有表面“日主由原有承载转为不稳定或偏弱”，但未证明根因“原有根气被M06/M08确认冲散、合化、强制或失去可调用性”及药神作用路径时，不得套用“日主根气被实质破坏形成承载病”。</x:v>
      </x:c>
      <x:c r="AK16" s="82" t="str">
        <x:v>采用</x:v>
      </x:c>
      <x:c r="AL16" s="82" t="str">
        <x:v>初审</x:v>
      </x:c>
      <x:c r="AM16" s="87" t="n">
        <x:v>46260</x:v>
      </x:c>
    </x:row>
    <x:row r="17">
      <x:c r="A17" s="72" t="str">
        <x:f>IF(OR(C17="",D17=""),"",B17&amp;"-"&amp;UPPER(C17)&amp;"-"&amp;TEXT(D17,"0000")&amp;"-"&amp;E17)</x:f>
        <x:v>M16-WEAK-0011-V1.0</x:v>
      </x:c>
      <x:c r="B17" s="74" t="str">
        <x:v>M16</x:v>
      </x:c>
      <x:c r="C17" s="74" t="str">
        <x:v>WEAK</x:v>
      </x:c>
      <x:c r="D17" s="215" t="n">
        <x:v>11</x:v>
      </x:c>
      <x:c r="E17" s="74" t="str">
        <x:v>V1.0</x:v>
      </x:c>
      <x:c r="F17" s="68" t="str">
        <x:v>食伤过旺导致日主持续过泄</x:v>
      </x:c>
      <x:c r="G17" s="82" t="str">
        <x:v>综合层</x:v>
      </x:c>
      <x:c r="H17" s="82" t="str">
        <x:v>旺衰病</x:v>
      </x:c>
      <x:c r="I17" s="68" t="str">
        <x:v>日主→食伤泄出链</x:v>
      </x:c>
      <x:c r="J17" s="68" t="str">
        <x:v>泄身过度</x:v>
      </x:c>
      <x:c r="K17" s="68" t="str">
        <x:v>食伤旺强且持续泄身，日主根气和印比不足</x:v>
      </x:c>
      <x:c r="L17" s="68" t="str">
        <x:v>日主承载下降，食伤虽旺但源头难续</x:v>
      </x:c>
      <x:c r="M17" s="82" t="str">
        <x:v>明显</x:v>
      </x:c>
      <x:c r="N17" s="68" t="str">
        <x:v>印星制食伤或比劫补身，依组合选择</x:v>
      </x:c>
      <x:c r="O17" s="68" t="str">
        <x:v>恢复根气或保护印星</x:v>
      </x:c>
      <x:c r="P17" s="82" t="str">
        <x:v>扶</x:v>
      </x:c>
      <x:c r="Q17" s="68" t="str">
        <x:v>M09受泄明显，M10食伤功能过度，且非从儿格</x:v>
      </x:c>
      <x:c r="R17" s="90" t="str">
        <x:v>食伤承担制杀或生财核心时，强印可能破坏格局</x:v>
      </x:c>
      <x:c r="S17" s="90" t="str">
        <x:v>主要病位未被修复，原有失衡继续运行</x:v>
      </x:c>
      <x:c r="T17" s="90" t="str">
        <x:v>印过强可能枭夺食，比劫过强可能壅塞或夺财</x:v>
      </x:c>
      <x:c r="U17" s="82" t="str">
        <x:v>条件性</x:v>
      </x:c>
      <x:c r="V17" s="90" t="str">
        <x:v>条件性</x:v>
      </x:c>
      <x:c r="W17" s="90" t="str">
        <x:v>枭夺食、比劫壅塞</x:v>
      </x:c>
      <x:c r="X17" s="68" t="str">
        <x:v>M08有效旺衰、M09日主旺衰、M10十神功能、M11组合、M12流通、M13调候、M15格局成败均已完成</x:v>
      </x:c>
      <x:c r="Y17" s="68" t="str">
        <x:v>病位、根因、功能障碍与药神作用路径均能够追溯</x:v>
      </x:c>
      <x:c r="Z17" s="68" t="str">
        <x:v>药神有根有源、透达，能够直接进入病位且兼顾多个主要问题</x:v>
      </x:c>
      <x:c r="AA17" s="68" t="str">
        <x:v>药神无根、受强制、被合绊、作用路径遥隔或同时被多个任务分流</x:v>
      </x:c>
      <x:c r="AB17" s="90" t="str">
        <x:v>若该失衡没有造成实际功能障碍，或特殊格局要求顺势，则不得按普通病药立论</x:v>
      </x:c>
      <x:c r="AC17" s="68" t="str">
        <x:v>特殊格局严格成立、岁运动态作用或流派争议转M18/M21及动态引擎</x:v>
      </x:c>
      <x:c r="AD17" s="84" t="str">
        <x:v>食伤过泄</x:v>
      </x:c>
      <x:c r="AE17" s="84" t="str">
        <x:v>根本之病在“日主→食伤泄出链”：食伤旺强且持续泄身，日主根气和印比不足；表层表现为“日主承载下降，食伤虽旺但源头难续”。主药候选为“印星制食伤或比劫补身，依组合选择”，药理为“扶”；最终喜忌与主次仍转M17/M18裁决。</x:v>
      </x:c>
      <x:c r="AF17" s="82" t="str">
        <x:v>较高</x:v>
      </x:c>
      <x:c r="AG17" s="82" t="str">
        <x:v>病药</x:v>
      </x:c>
      <x:c r="AH1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7" s="68" t="str">
        <x:v>当“M09受泄明显，M10食伤功能过度，且非从儿格”真实成立，且药神能够直接作用病位时，可按“食伤过旺导致日主持续过泄”记录。</x:v>
      </x:c>
      <x:c r="AJ17" s="90" t="str">
        <x:v>只有表面“日主承载下降，食伤虽旺但源头难续”，但未证明根因“食伤旺强且持续泄身，日主根气和印比不足”及药神作用路径时，不得套用“食伤过旺导致日主持续过泄”。</x:v>
      </x:c>
      <x:c r="AK17" s="82" t="str">
        <x:v>采用</x:v>
      </x:c>
      <x:c r="AL17" s="82" t="str">
        <x:v>初审</x:v>
      </x:c>
      <x:c r="AM17" s="87" t="n">
        <x:v>46260</x:v>
      </x:c>
    </x:row>
    <x:row r="18">
      <x:c r="A18" s="72" t="str">
        <x:f>IF(OR(C18="",D18=""),"",B18&amp;"-"&amp;UPPER(C18)&amp;"-"&amp;TEXT(D18,"0000")&amp;"-"&amp;E18)</x:f>
        <x:v>M16-WEAK-0012-V1.0</x:v>
      </x:c>
      <x:c r="B18" s="74" t="str">
        <x:v>M16</x:v>
      </x:c>
      <x:c r="C18" s="74" t="str">
        <x:v>WEAK</x:v>
      </x:c>
      <x:c r="D18" s="215" t="n">
        <x:v>12</x:v>
      </x:c>
      <x:c r="E18" s="74" t="str">
        <x:v>V1.0</x:v>
      </x:c>
      <x:c r="F18" s="68" t="str">
        <x:v>财星过旺导致日主持续受耗</x:v>
      </x:c>
      <x:c r="G18" s="82" t="str">
        <x:v>综合层</x:v>
      </x:c>
      <x:c r="H18" s="82" t="str">
        <x:v>旺衰病</x:v>
      </x:c>
      <x:c r="I18" s="68" t="str">
        <x:v>日主→财星耗力链</x:v>
      </x:c>
      <x:c r="J18" s="68" t="str">
        <x:v>财多身弱</x:v>
      </x:c>
      <x:c r="K18" s="68" t="str">
        <x:v>财星旺强，日主弱且无足够印比承载</x:v>
      </x:c>
      <x:c r="L18" s="68" t="str">
        <x:v>财星有权但日主不能任财</x:v>
      </x:c>
      <x:c r="M18" s="82" t="str">
        <x:v>严重</x:v>
      </x:c>
      <x:c r="N18" s="68" t="str">
        <x:v>比劫分担制财或印星生身</x:v>
      </x:c>
      <x:c r="O18" s="68" t="str">
        <x:v>食伤节制需谨慎，官杀不可再增压</x:v>
      </x:c>
      <x:c r="P18" s="82" t="str">
        <x:v>扶</x:v>
      </x:c>
      <x:c r="Q18" s="68" t="str">
        <x:v>M09弱，M10财旺，M11财多身弱成立，且非从财格</x:v>
      </x:c>
      <x:c r="R18" s="90" t="str">
        <x:v>从财格严格成立时不得按普通身弱用印比</x:v>
      </x:c>
      <x:c r="S18" s="90" t="str">
        <x:v>主要病位未被修复，原有失衡继续运行</x:v>
      </x:c>
      <x:c r="T18" s="90" t="str">
        <x:v>比劫过强形成夺财，印过强可能阻断食伤生财</x:v>
      </x:c>
      <x:c r="U18" s="82" t="str">
        <x:v>条件性</x:v>
      </x:c>
      <x:c r="V18" s="90" t="str">
        <x:v>条件性</x:v>
      </x:c>
      <x:c r="W18" s="90" t="str">
        <x:v>比劫夺财或印多阻财</x:v>
      </x:c>
      <x:c r="X18" s="68" t="str">
        <x:v>M08有效旺衰、M09日主旺衰、M10十神功能、M11组合、M12流通、M13调候、M15格局成败均已完成</x:v>
      </x:c>
      <x:c r="Y18" s="68" t="str">
        <x:v>病位、根因、功能障碍与药神作用路径均能够追溯</x:v>
      </x:c>
      <x:c r="Z18" s="68" t="str">
        <x:v>药神有根有源、透达，能够直接进入病位且兼顾多个主要问题</x:v>
      </x:c>
      <x:c r="AA18" s="68" t="str">
        <x:v>药神无根、受强制、被合绊、作用路径遥隔或同时被多个任务分流</x:v>
      </x:c>
      <x:c r="AB18" s="90" t="str">
        <x:v>若该失衡没有造成实际功能障碍，或特殊格局要求顺势，则不得按普通病药立论</x:v>
      </x:c>
      <x:c r="AC18" s="68" t="str">
        <x:v>特殊格局严格成立、岁运动态作用或流派争议转M18/M21及动态引擎</x:v>
      </x:c>
      <x:c r="AD18" s="84" t="str">
        <x:v>财多身弱</x:v>
      </x:c>
      <x:c r="AE18" s="84" t="str">
        <x:v>根本之病在“日主→财星耗力链”：财星旺强，日主弱且无足够印比承载；表层表现为“财星有权但日主不能任财”。主药候选为“比劫分担制财或印星生身”，药理为“扶”；最终喜忌与主次仍转M17/M18裁决。</x:v>
      </x:c>
      <x:c r="AF18" s="82" t="str">
        <x:v>较高</x:v>
      </x:c>
      <x:c r="AG18" s="82" t="str">
        <x:v>病药</x:v>
      </x:c>
      <x:c r="AH1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8" s="68" t="str">
        <x:v>当“M09弱，M10财旺，M11财多身弱成立，且非从财格”真实成立，且药神能够直接作用病位时，可按“财星过旺导致日主持续受耗”记录。</x:v>
      </x:c>
      <x:c r="AJ18" s="90" t="str">
        <x:v>只有表面“财星有权但日主不能任财”，但未证明根因“财星旺强，日主弱且无足够印比承载”及药神作用路径时，不得套用“财星过旺导致日主持续受耗”。</x:v>
      </x:c>
      <x:c r="AK18" s="82" t="str">
        <x:v>采用</x:v>
      </x:c>
      <x:c r="AL18" s="82" t="str">
        <x:v>初审</x:v>
      </x:c>
      <x:c r="AM18" s="87" t="n">
        <x:v>46260</x:v>
      </x:c>
    </x:row>
    <x:row r="19">
      <x:c r="A19" s="72" t="str">
        <x:f>IF(OR(C19="",D19=""),"",B19&amp;"-"&amp;UPPER(C19)&amp;"-"&amp;TEXT(D19,"0000")&amp;"-"&amp;E19)</x:f>
        <x:v>M16-WEAK-0013-V1.0</x:v>
      </x:c>
      <x:c r="B19" s="74" t="str">
        <x:v>M16</x:v>
      </x:c>
      <x:c r="C19" s="74" t="str">
        <x:v>WEAK</x:v>
      </x:c>
      <x:c r="D19" s="215" t="n">
        <x:v>13</x:v>
      </x:c>
      <x:c r="E19" s="74" t="str">
        <x:v>V1.0</x:v>
      </x:c>
      <x:c r="F19" s="68" t="str">
        <x:v>官杀压力超过日主承载形成身弱制身病</x:v>
      </x:c>
      <x:c r="G19" s="82" t="str">
        <x:v>综合层</x:v>
      </x:c>
      <x:c r="H19" s="82" t="str">
        <x:v>旺衰病</x:v>
      </x:c>
      <x:c r="I19" s="68" t="str">
        <x:v>官杀→日主制身链</x:v>
      </x:c>
      <x:c r="J19" s="68" t="str">
        <x:v>制身过度</x:v>
      </x:c>
      <x:c r="K19" s="68" t="str">
        <x:v>日主承载不足，官杀有效压力直接落身，现有制化不能分流</x:v>
      </x:c>
      <x:c r="L19" s="68" t="str">
        <x:v>官杀旺或不一定极旺但制身净效应过强</x:v>
      </x:c>
      <x:c r="M19" s="82" t="str">
        <x:v>严重</x:v>
      </x:c>
      <x:c r="N19" s="68" t="str">
        <x:v>印星化官杀或比劫扶身；若食神有条件则转制化药</x:v>
      </x:c>
      <x:c r="O19" s="68" t="str">
        <x:v>保护印星或食神的财比</x:v>
      </x:c>
      <x:c r="P19" s="82" t="str">
        <x:v>复合药理</x:v>
      </x:c>
      <x:c r="Q19" s="68" t="str">
        <x:v>M09受制明显，M10官杀功能过度，且非从官杀</x:v>
      </x:c>
      <x:c r="R19" s="90" t="str">
        <x:v>不得同时无差别加强印和食，避免制化路线竞争或加重泄身</x:v>
      </x:c>
      <x:c r="S19" s="90" t="str">
        <x:v>主要病位未被修复，原有失衡继续运行</x:v>
      </x:c>
      <x:c r="T19" s="90" t="str">
        <x:v>印过旺可能夺食，食过旺可能继续泄身</x:v>
      </x:c>
      <x:c r="U19" s="82" t="str">
        <x:v>条件性</x:v>
      </x:c>
      <x:c r="V19" s="90" t="str">
        <x:v>条件性</x:v>
      </x:c>
      <x:c r="W19" s="90" t="str">
        <x:v>枭夺食或泄身过度</x:v>
      </x:c>
      <x:c r="X19" s="68" t="str">
        <x:v>M08有效旺衰、M09日主旺衰、M10十神功能、M11组合、M12流通、M13调候、M15格局成败均已完成</x:v>
      </x:c>
      <x:c r="Y19" s="68" t="str">
        <x:v>病位、根因、功能障碍与药神作用路径均能够追溯</x:v>
      </x:c>
      <x:c r="Z19" s="68" t="str">
        <x:v>药神有根有源、透达，能够直接进入病位且兼顾多个主要问题</x:v>
      </x:c>
      <x:c r="AA19" s="68" t="str">
        <x:v>药神无根、受强制、被合绊、作用路径遥隔或同时被多个任务分流</x:v>
      </x:c>
      <x:c r="AB19" s="90" t="str">
        <x:v>若该失衡没有造成实际功能障碍，或特殊格局要求顺势，则不得按普通病药立论</x:v>
      </x:c>
      <x:c r="AC19" s="68" t="str">
        <x:v>特殊格局严格成立、岁运动态作用或流派争议转M18/M21及动态引擎</x:v>
      </x:c>
      <x:c r="AD19" s="84" t="str">
        <x:v>官杀超承载</x:v>
      </x:c>
      <x:c r="AE19" s="84" t="str">
        <x:v>根本之病在“官杀→日主制身链”：日主承载不足，官杀有效压力直接落身，现有制化不能分流；表层表现为“官杀旺或不一定极旺但制身净效应过强”。主药候选为“印星化官杀或比劫扶身；若食神有条件则转制化药”，药理为“复合药理”；最终喜忌与主次仍转M17/M18裁决。</x:v>
      </x:c>
      <x:c r="AF19" s="82" t="str">
        <x:v>较高</x:v>
      </x:c>
      <x:c r="AG19" s="82" t="str">
        <x:v>病药</x:v>
      </x:c>
      <x:c r="AH1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9" s="68" t="str">
        <x:v>当“M09受制明显，M10官杀功能过度，且非从官杀”真实成立，且药神能够直接作用病位时，可按“官杀压力超过日主承载形成身弱制身病”记录。</x:v>
      </x:c>
      <x:c r="AJ19" s="90" t="str">
        <x:v>只有表面“官杀旺或不一定极旺但制身净效应过强”，但未证明根因“日主承载不足，官杀有效压力直接落身，现有制化不能分流”及药神作用路径时，不得套用“官杀压力超过日主承载形成身弱制身病”。</x:v>
      </x:c>
      <x:c r="AK19" s="82" t="str">
        <x:v>采用</x:v>
      </x:c>
      <x:c r="AL19" s="82" t="str">
        <x:v>初审</x:v>
      </x:c>
      <x:c r="AM19" s="87" t="n">
        <x:v>46260</x:v>
      </x:c>
    </x:row>
    <x:row r="20">
      <x:c r="A20" s="72" t="str">
        <x:f>IF(OR(C20="",D20=""),"",B20&amp;"-"&amp;UPPER(C20)&amp;"-"&amp;TEXT(D20,"0000")&amp;"-"&amp;E20)</x:f>
        <x:v>M16-WEAK-0014-V1.0</x:v>
      </x:c>
      <x:c r="B20" s="74" t="str">
        <x:v>M16</x:v>
      </x:c>
      <x:c r="C20" s="74" t="str">
        <x:v>WEAK</x:v>
      </x:c>
      <x:c r="D20" s="215" t="n">
        <x:v>14</x:v>
      </x:c>
      <x:c r="E20" s="74" t="str">
        <x:v>V1.0</x:v>
      </x:c>
      <x:c r="F20" s="68" t="str">
        <x:v>关键五行过弱且承担桥梁功能时形成弱病</x:v>
      </x:c>
      <x:c r="G20" s="82" t="str">
        <x:v>综合层</x:v>
      </x:c>
      <x:c r="H20" s="82" t="str">
        <x:v>旺衰病</x:v>
      </x:c>
      <x:c r="I20" s="68" t="str">
        <x:v>关键桥梁五行</x:v>
      </x:c>
      <x:c r="J20" s="68" t="str">
        <x:v>弱而失职</x:v>
      </x:c>
      <x:c r="K20" s="68" t="str">
        <x:v>该五行本身弱，并因此无法完成M12必要通关或生化任务</x:v>
      </x:c>
      <x:c r="L20" s="68" t="str">
        <x:v>五行存在但桥梁失效</x:v>
      </x:c>
      <x:c r="M20" s="82" t="str">
        <x:v>明显</x:v>
      </x:c>
      <x:c r="N20" s="68" t="str">
        <x:v>生扶该桥梁的上游五行或直接增强桥梁</x:v>
      </x:c>
      <x:c r="O20" s="68" t="str">
        <x:v>制去克桥梁之神</x:v>
      </x:c>
      <x:c r="P20" s="82" t="str">
        <x:v>生</x:v>
      </x:c>
      <x:c r="Q20" s="68" t="str">
        <x:v>M12明确该五行为不可替代桥梁且桥梁太弱</x:v>
      </x:c>
      <x:c r="R20" s="90" t="str">
        <x:v>非关键弱五行不得因弱而补</x:v>
      </x:c>
      <x:c r="S20" s="90" t="str">
        <x:v>主要病位未被修复，原有失衡继续运行</x:v>
      </x:c>
      <x:c r="T20" s="90" t="str">
        <x:v>桥梁过旺可能截流、回流壅塞或改变格局</x:v>
      </x:c>
      <x:c r="U20" s="82" t="str">
        <x:v>条件性</x:v>
      </x:c>
      <x:c r="V20" s="90" t="str">
        <x:v>条件性</x:v>
      </x:c>
      <x:c r="W20" s="90" t="str">
        <x:v>桥梁过旺、回流壅塞</x:v>
      </x:c>
      <x:c r="X20" s="68" t="str">
        <x:v>M08有效旺衰、M09日主旺衰、M10十神功能、M11组合、M12流通、M13调候、M15格局成败均已完成</x:v>
      </x:c>
      <x:c r="Y20" s="68" t="str">
        <x:v>病位、根因、功能障碍与药神作用路径均能够追溯</x:v>
      </x:c>
      <x:c r="Z20" s="68" t="str">
        <x:v>药神有根有源、透达，能够直接进入病位且兼顾多个主要问题</x:v>
      </x:c>
      <x:c r="AA20" s="68" t="str">
        <x:v>药神无根、受强制、被合绊、作用路径遥隔或同时被多个任务分流</x:v>
      </x:c>
      <x:c r="AB20" s="90" t="str">
        <x:v>若该失衡没有造成实际功能障碍，或特殊格局要求顺势，则不得按普通病药立论</x:v>
      </x:c>
      <x:c r="AC20" s="68" t="str">
        <x:v>特殊格局严格成立、岁运动态作用或流派争议转M18/M21及动态引擎</x:v>
      </x:c>
      <x:c r="AD20" s="84" t="str">
        <x:v>关键桥梁弱病</x:v>
      </x:c>
      <x:c r="AE20" s="84" t="str">
        <x:v>根本之病在“关键桥梁五行”：该五行本身弱，并因此无法完成M12必要通关或生化任务；表层表现为“五行存在但桥梁失效”。主药候选为“生扶该桥梁的上游五行或直接增强桥梁”，药理为“生”；最终喜忌与主次仍转M17/M18裁决。</x:v>
      </x:c>
      <x:c r="AF20" s="82" t="str">
        <x:v>较高</x:v>
      </x:c>
      <x:c r="AG20" s="82" t="str">
        <x:v>病药</x:v>
      </x:c>
      <x:c r="AH2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0" s="68" t="str">
        <x:v>当“M12明确该五行为不可替代桥梁且桥梁太弱”真实成立，且药神能够直接作用病位时，可按“关键五行过弱且承担桥梁功能时形成弱病”记录。</x:v>
      </x:c>
      <x:c r="AJ20" s="90" t="str">
        <x:v>只有表面“五行存在但桥梁失效”，但未证明根因“该五行本身弱，并因此无法完成M12必要通关或生化任务”及药神作用路径时，不得套用“关键五行过弱且承担桥梁功能时形成弱病”。</x:v>
      </x:c>
      <x:c r="AK20" s="82" t="str">
        <x:v>采用</x:v>
      </x:c>
      <x:c r="AL20" s="82" t="str">
        <x:v>初审</x:v>
      </x:c>
      <x:c r="AM20" s="87" t="n">
        <x:v>46260</x:v>
      </x:c>
    </x:row>
    <x:row r="21">
      <x:c r="A21" s="72" t="str">
        <x:f>IF(OR(C21="",D21=""),"",B21&amp;"-"&amp;UPPER(C21)&amp;"-"&amp;TEXT(D21,"0000")&amp;"-"&amp;E21)</x:f>
        <x:v>M16-WEAK-0015-V1.0</x:v>
      </x:c>
      <x:c r="B21" s="74" t="str">
        <x:v>M16</x:v>
      </x:c>
      <x:c r="C21" s="74" t="str">
        <x:v>WEAK</x:v>
      </x:c>
      <x:c r="D21" s="215" t="n">
        <x:v>15</x:v>
      </x:c>
      <x:c r="E21" s="74" t="str">
        <x:v>V1.0</x:v>
      </x:c>
      <x:c r="F21" s="68" t="str">
        <x:v>关键十神无根无源导致组合功能失效</x:v>
      </x:c>
      <x:c r="G21" s="82" t="str">
        <x:v>综合层</x:v>
      </x:c>
      <x:c r="H21" s="82" t="str">
        <x:v>旺衰病</x:v>
      </x:c>
      <x:c r="I21" s="68" t="str">
        <x:v>十神功能节点</x:v>
      </x:c>
      <x:c r="J21" s="68" t="str">
        <x:v>弱而无功</x:v>
      </x:c>
      <x:c r="K21" s="68" t="str">
        <x:v>承担制化、护格或生化任务的十神仅名义存在，缺根缺源</x:v>
      </x:c>
      <x:c r="L21" s="68" t="str">
        <x:v>组合表面齐全但实际不能运行</x:v>
      </x:c>
      <x:c r="M21" s="82" t="str">
        <x:v>明显</x:v>
      </x:c>
      <x:c r="N21" s="68" t="str">
        <x:v>生扶该十神的五行或保护其根源</x:v>
      </x:c>
      <x:c r="O21" s="68" t="str">
        <x:v>制去直接克制该十神者</x:v>
      </x:c>
      <x:c r="P21" s="82" t="str">
        <x:v>生</x:v>
      </x:c>
      <x:c r="Q21" s="68" t="str">
        <x:v>M10功能受限或失效，M11组合因该十神弱而降级</x:v>
      </x:c>
      <x:c r="R21" s="90" t="str">
        <x:v>必须确认强化该十神不会造成制化过度</x:v>
      </x:c>
      <x:c r="S21" s="90" t="str">
        <x:v>主要病位未被修复，原有失衡继续运行</x:v>
      </x:c>
      <x:c r="T21" s="90" t="str">
        <x:v>十神由弱转过旺可能破坏原比例</x:v>
      </x:c>
      <x:c r="U21" s="82" t="str">
        <x:v>条件性</x:v>
      </x:c>
      <x:c r="V21" s="90" t="str">
        <x:v>条件性</x:v>
      </x:c>
      <x:c r="W21" s="90" t="str">
        <x:v>制化太过或格局改写</x:v>
      </x:c>
      <x:c r="X21" s="68" t="str">
        <x:v>M08有效旺衰、M09日主旺衰、M10十神功能、M11组合、M12流通、M13调候、M15格局成败均已完成</x:v>
      </x:c>
      <x:c r="Y21" s="68" t="str">
        <x:v>病位、根因、功能障碍与药神作用路径均能够追溯</x:v>
      </x:c>
      <x:c r="Z21" s="68" t="str">
        <x:v>药神有根有源、透达，能够直接进入病位且兼顾多个主要问题</x:v>
      </x:c>
      <x:c r="AA21" s="68" t="str">
        <x:v>药神无根、受强制、被合绊、作用路径遥隔或同时被多个任务分流</x:v>
      </x:c>
      <x:c r="AB21" s="90" t="str">
        <x:v>若该失衡没有造成实际功能障碍，或特殊格局要求顺势，则不得按普通病药立论</x:v>
      </x:c>
      <x:c r="AC21" s="68" t="str">
        <x:v>特殊格局严格成立、岁运动态作用或流派争议转M18/M21及动态引擎</x:v>
      </x:c>
      <x:c r="AD21" s="84" t="str">
        <x:v>关键十神弱病</x:v>
      </x:c>
      <x:c r="AE21" s="84" t="str">
        <x:v>根本之病在“十神功能节点”：承担制化、护格或生化任务的十神仅名义存在，缺根缺源；表层表现为“组合表面齐全但实际不能运行”。主药候选为“生扶该十神的五行或保护其根源”，药理为“生”；最终喜忌与主次仍转M17/M18裁决。</x:v>
      </x:c>
      <x:c r="AF21" s="82" t="str">
        <x:v>较高</x:v>
      </x:c>
      <x:c r="AG21" s="82" t="str">
        <x:v>病药</x:v>
      </x:c>
      <x:c r="AH2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1" s="68" t="str">
        <x:v>当“M10功能受限或失效，M11组合因该十神弱而降级”真实成立，且药神能够直接作用病位时，可按“关键十神无根无源导致组合功能失效”记录。</x:v>
      </x:c>
      <x:c r="AJ21" s="90" t="str">
        <x:v>只有表面“组合表面齐全但实际不能运行”，但未证明根因“承担制化、护格或生化任务的十神仅名义存在，缺根缺源”及药神作用路径时，不得套用“关键十神无根无源导致组合功能失效”。</x:v>
      </x:c>
      <x:c r="AK21" s="82" t="str">
        <x:v>采用</x:v>
      </x:c>
      <x:c r="AL21" s="82" t="str">
        <x:v>初审</x:v>
      </x:c>
      <x:c r="AM21" s="87" t="n">
        <x:v>46260</x:v>
      </x:c>
    </x:row>
    <x:row r="22">
      <x:c r="A22" s="72" t="str">
        <x:f>IF(OR(C22="",D22=""),"",B22&amp;"-"&amp;UPPER(C22)&amp;"-"&amp;TEXT(D22,"0000")&amp;"-"&amp;E22)</x:f>
        <x:v>M16-WEAK-0016-V1.0</x:v>
      </x:c>
      <x:c r="B22" s="74" t="str">
        <x:v>M16</x:v>
      </x:c>
      <x:c r="C22" s="74" t="str">
        <x:v>WEAK</x:v>
      </x:c>
      <x:c r="D22" s="215" t="n">
        <x:v>16</x:v>
      </x:c>
      <x:c r="E22" s="74" t="str">
        <x:v>V1.0</x:v>
      </x:c>
      <x:c r="F22" s="68" t="str">
        <x:v>真从格中的日主极弱不按普通身弱立病</x:v>
      </x:c>
      <x:c r="G22" s="82" t="str">
        <x:v>综合层</x:v>
      </x:c>
      <x:c r="H22" s="82" t="str">
        <x:v>旺衰病</x:v>
      </x:c>
      <x:c r="I22" s="68" t="str">
        <x:v>日主</x:v>
      </x:c>
      <x:c r="J22" s="68" t="str">
        <x:v>顺势非病</x:v>
      </x:c>
      <x:c r="K22" s="68" t="str">
        <x:v>M15确认特殊从格严格成立，日主无依属于成格条件</x:v>
      </x:c>
      <x:c r="L22" s="68" t="str">
        <x:v>日主极弱、无根无印比</x:v>
      </x:c>
      <x:c r="M22" s="82" t="str">
        <x:v>轻微</x:v>
      </x:c>
      <x:c r="N22" s="68" t="str">
        <x:v>顺从主势的五行/十神</x:v>
      </x:c>
      <x:c r="O22" s="68" t="str">
        <x:v>维护从格清纯者</x:v>
      </x:c>
      <x:c r="P22" s="82" t="str">
        <x:v>护格</x:v>
      </x:c>
      <x:c r="Q22" s="68" t="str">
        <x:v>从格严格成立且无有效反从证据</x:v>
      </x:c>
      <x:c r="R22" s="90" t="str">
        <x:v>禁止以普通扶身药破从</x:v>
      </x:c>
      <x:c r="S22" s="90" t="str">
        <x:v>主势维护不足可能使从格不稳</x:v>
      </x:c>
      <x:c r="T22" s="90" t="str">
        <x:v>主势过度但仍需检查调候与流通副作用</x:v>
      </x:c>
      <x:c r="U22" s="82" t="str">
        <x:v>否</x:v>
      </x:c>
      <x:c r="V22" s="90" t="str">
        <x:v>条件性</x:v>
      </x:c>
      <x:c r="W22" s="90" t="str">
        <x:v>调候或流通副作用</x:v>
      </x:c>
      <x:c r="X22" s="68" t="str">
        <x:v>M08有效旺衰、M09日主旺衰、M10十神功能、M11组合、M12流通、M13调候、M15格局成败均已完成</x:v>
      </x:c>
      <x:c r="Y22" s="68" t="str">
        <x:v>病位、根因、功能障碍与药神作用路径均能够追溯</x:v>
      </x:c>
      <x:c r="Z22" s="68" t="str">
        <x:v>药神有根有源、透达，能够直接进入病位且兼顾多个主要问题</x:v>
      </x:c>
      <x:c r="AA22" s="68" t="str">
        <x:v>药神无根、受强制、被合绊、作用路径遥隔或同时被多个任务分流</x:v>
      </x:c>
      <x:c r="AB22" s="90" t="str">
        <x:v>若该失衡没有造成实际功能障碍，或特殊格局要求顺势，则不得按普通病药立论</x:v>
      </x:c>
      <x:c r="AC22" s="68" t="str">
        <x:v>特殊格局严格成立、岁运动态作用或流派争议转M18/M21及动态引擎</x:v>
      </x:c>
      <x:c r="AD22" s="84" t="str">
        <x:v>从格弱非病</x:v>
      </x:c>
      <x:c r="AE22" s="84" t="str">
        <x:v>日主极弱在真从结构中属于成格条件，不按普通身弱立病；药神方向须顺势护格。</x:v>
      </x:c>
      <x:c r="AF22" s="82" t="str">
        <x:v>较高</x:v>
      </x:c>
      <x:c r="AG22" s="82" t="str">
        <x:v>病药</x:v>
      </x:c>
      <x:c r="AH2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2" s="68" t="str">
        <x:v>当“从格严格成立且无有效反从证据”真实成立，且药神能够直接作用病位时，可按“真从格中的日主极弱不按普通身弱立病”记录。</x:v>
      </x:c>
      <x:c r="AJ22" s="90" t="str">
        <x:v>只有表面“日主极弱、无根无印比”，但未证明根因“M15确认特殊从格严格成立，日主无依属于成格条件”及药神作用路径时，不得套用“真从格中的日主极弱不按普通身弱立病”。</x:v>
      </x:c>
      <x:c r="AK22" s="82" t="str">
        <x:v>采用</x:v>
      </x:c>
      <x:c r="AL22" s="82" t="str">
        <x:v>初审</x:v>
      </x:c>
      <x:c r="AM22" s="87" t="n">
        <x:v>46260</x:v>
      </x:c>
    </x:row>
    <x:row r="23">
      <x:c r="A23" s="72" t="str">
        <x:f>IF(OR(C23="",D23=""),"",B23&amp;"-"&amp;UPPER(C23)&amp;"-"&amp;TEXT(D23,"0000")&amp;"-"&amp;E23)</x:f>
        <x:v>M16-STRONG-0017-V1.0</x:v>
      </x:c>
      <x:c r="B23" s="74" t="str">
        <x:v>M16</x:v>
      </x:c>
      <x:c r="C23" s="74" t="str">
        <x:v>STRONG</x:v>
      </x:c>
      <x:c r="D23" s="215" t="n">
        <x:v>17</x:v>
      </x:c>
      <x:c r="E23" s="74" t="str">
        <x:v>V1.0</x:v>
      </x:c>
      <x:c r="F23" s="68" t="str">
        <x:v>比劫成势导致日主过旺且无合理出口</x:v>
      </x:c>
      <x:c r="G23" s="82" t="str">
        <x:v>综合层</x:v>
      </x:c>
      <x:c r="H23" s="82" t="str">
        <x:v>旺衰病</x:v>
      </x:c>
      <x:c r="I23" s="68" t="str">
        <x:v>日主—比劫集团</x:v>
      </x:c>
      <x:c r="J23" s="68" t="str">
        <x:v>身旺壅塞</x:v>
      </x:c>
      <x:c r="K23" s="68" t="str">
        <x:v>日主与比劫旺强，财官食伤均弱或受阻</x:v>
      </x:c>
      <x:c r="L23" s="68" t="str">
        <x:v>身势强但制、泄、耗路径不足</x:v>
      </x:c>
      <x:c r="M23" s="82" t="str">
        <x:v>明显</x:v>
      </x:c>
      <x:c r="N23" s="68" t="str">
        <x:v>食伤泄秀或官杀制衡，按格局选择</x:v>
      </x:c>
      <x:c r="O23" s="68" t="str">
        <x:v>财星承接食伤或保护官杀</x:v>
      </x:c>
      <x:c r="P23" s="82" t="str">
        <x:v>泄</x:v>
      </x:c>
      <x:c r="Q23" s="68" t="str">
        <x:v>M09旺或极旺，M12源头过旺无泄，且非从旺/专旺</x:v>
      </x:c>
      <x:c r="R23" s="90" t="str">
        <x:v>核心印格或特殊格局严格成立时不得机械泄制</x:v>
      </x:c>
      <x:c r="S23" s="90" t="str">
        <x:v>主要病位未被修复，原有失衡继续运行</x:v>
      </x:c>
      <x:c r="T23" s="90" t="str">
        <x:v>食伤过泄或官杀过制会由旺转弱</x:v>
      </x:c>
      <x:c r="U23" s="82" t="str">
        <x:v>条件性</x:v>
      </x:c>
      <x:c r="V23" s="90" t="str">
        <x:v>条件性</x:v>
      </x:c>
      <x:c r="W23" s="90" t="str">
        <x:v>泄身过度或官杀压身</x:v>
      </x:c>
      <x:c r="X23" s="68" t="str">
        <x:v>M08有效旺衰、M09日主旺衰、M10十神功能、M11组合、M12流通、M13调候、M15格局成败均已完成</x:v>
      </x:c>
      <x:c r="Y23" s="68" t="str">
        <x:v>病位、根因、功能障碍与药神作用路径均能够追溯</x:v>
      </x:c>
      <x:c r="Z23" s="68" t="str">
        <x:v>药神有根有源、透达，能够直接进入病位且兼顾多个主要问题</x:v>
      </x:c>
      <x:c r="AA23" s="68" t="str">
        <x:v>药神无根、受强制、被合绊、作用路径遥隔或同时被多个任务分流</x:v>
      </x:c>
      <x:c r="AB23" s="90" t="str">
        <x:v>若该失衡没有造成实际功能障碍，或特殊格局要求顺势，则不得按普通病药立论</x:v>
      </x:c>
      <x:c r="AC23" s="68" t="str">
        <x:v>特殊格局严格成立、岁运动态作用或流派争议转M18/M21及动态引擎</x:v>
      </x:c>
      <x:c r="AD23" s="84" t="str">
        <x:v>比劫旺无出口</x:v>
      </x:c>
      <x:c r="AE23" s="84" t="str">
        <x:v>根本之病在“日主—比劫集团”：日主与比劫旺强，财官食伤均弱或受阻；表层表现为“身势强但制、泄、耗路径不足”。主药候选为“食伤泄秀或官杀制衡，按格局选择”，药理为“泄”；最终喜忌与主次仍转M17/M18裁决。</x:v>
      </x:c>
      <x:c r="AF23" s="82" t="str">
        <x:v>较高</x:v>
      </x:c>
      <x:c r="AG23" s="82" t="str">
        <x:v>病药</x:v>
      </x:c>
      <x:c r="AH2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3" s="68" t="str">
        <x:v>当“M09旺或极旺，M12源头过旺无泄，且非从旺/专旺”真实成立，且药神能够直接作用病位时，可按“比劫成势导致日主过旺且无合理出口”记录。</x:v>
      </x:c>
      <x:c r="AJ23" s="90" t="str">
        <x:v>只有表面“身势强但制、泄、耗路径不足”，但未证明根因“日主与比劫旺强，财官食伤均弱或受阻”及药神作用路径时，不得套用“比劫成势导致日主过旺且无合理出口”。</x:v>
      </x:c>
      <x:c r="AK23" s="82" t="str">
        <x:v>采用</x:v>
      </x:c>
      <x:c r="AL23" s="82" t="str">
        <x:v>初审</x:v>
      </x:c>
      <x:c r="AM23" s="87" t="n">
        <x:v>46260</x:v>
      </x:c>
    </x:row>
    <x:row r="24">
      <x:c r="A24" s="72" t="str">
        <x:f>IF(OR(C24="",D24=""),"",B24&amp;"-"&amp;UPPER(C24)&amp;"-"&amp;TEXT(D24,"0000")&amp;"-"&amp;E24)</x:f>
        <x:v>M16-STRONG-0018-V1.0</x:v>
      </x:c>
      <x:c r="B24" s="74" t="str">
        <x:v>M16</x:v>
      </x:c>
      <x:c r="C24" s="74" t="str">
        <x:v>STRONG</x:v>
      </x:c>
      <x:c r="D24" s="215" t="n">
        <x:v>18</x:v>
      </x:c>
      <x:c r="E24" s="74" t="str">
        <x:v>V1.0</x:v>
      </x:c>
      <x:c r="F24" s="68" t="str">
        <x:v>印星过旺持续生身形成印多身滞</x:v>
      </x:c>
      <x:c r="G24" s="82" t="str">
        <x:v>综合层</x:v>
      </x:c>
      <x:c r="H24" s="82" t="str">
        <x:v>旺衰病</x:v>
      </x:c>
      <x:c r="I24" s="68" t="str">
        <x:v>印→日主生扶链</x:v>
      </x:c>
      <x:c r="J24" s="68" t="str">
        <x:v>生扶过度</x:v>
      </x:c>
      <x:c r="K24" s="68" t="str">
        <x:v>印星旺强，日主已旺，食伤输出又被印制</x:v>
      </x:c>
      <x:c r="L24" s="68" t="str">
        <x:v>身势壅滞、输出链受阻</x:v>
      </x:c>
      <x:c r="M24" s="82" t="str">
        <x:v>明显</x:v>
      </x:c>
      <x:c r="N24" s="68" t="str">
        <x:v>食伤泄秀或财星适度制印</x:v>
      </x:c>
      <x:c r="O24" s="68" t="str">
        <x:v>保护食伤或疏通财星</x:v>
      </x:c>
      <x:c r="P24" s="82" t="str">
        <x:v>泄</x:v>
      </x:c>
      <x:c r="Q24" s="68" t="str">
        <x:v>M10印星过度，M11印多身滞成立，且印非关键化杀唯一节点</x:v>
      </x:c>
      <x:c r="R24" s="90" t="str">
        <x:v>杀印相生依赖印星时，强财破印可能伤格</x:v>
      </x:c>
      <x:c r="S24" s="90" t="str">
        <x:v>主要病位未被修复，原有失衡继续运行</x:v>
      </x:c>
      <x:c r="T24" s="90" t="str">
        <x:v>财过强坏印、食伤过旺泄身过度</x:v>
      </x:c>
      <x:c r="U24" s="82" t="str">
        <x:v>条件性</x:v>
      </x:c>
      <x:c r="V24" s="90" t="str">
        <x:v>条件性</x:v>
      </x:c>
      <x:c r="W24" s="90" t="str">
        <x:v>财坏印或食伤过泄</x:v>
      </x:c>
      <x:c r="X24" s="68" t="str">
        <x:v>M08有效旺衰、M09日主旺衰、M10十神功能、M11组合、M12流通、M13调候、M15格局成败均已完成</x:v>
      </x:c>
      <x:c r="Y24" s="68" t="str">
        <x:v>病位、根因、功能障碍与药神作用路径均能够追溯</x:v>
      </x:c>
      <x:c r="Z24" s="68" t="str">
        <x:v>药神有根有源、透达，能够直接进入病位且兼顾多个主要问题</x:v>
      </x:c>
      <x:c r="AA24" s="68" t="str">
        <x:v>药神无根、受强制、被合绊、作用路径遥隔或同时被多个任务分流</x:v>
      </x:c>
      <x:c r="AB24" s="90" t="str">
        <x:v>若该失衡没有造成实际功能障碍，或特殊格局要求顺势，则不得按普通病药立论</x:v>
      </x:c>
      <x:c r="AC24" s="68" t="str">
        <x:v>特殊格局严格成立、岁运动态作用或流派争议转M18/M21及动态引擎</x:v>
      </x:c>
      <x:c r="AD24" s="84" t="str">
        <x:v>印多身滞</x:v>
      </x:c>
      <x:c r="AE24" s="84" t="str">
        <x:v>根本之病在“印→日主生扶链”：印星旺强，日主已旺，食伤输出又被印制；表层表现为“身势壅滞、输出链受阻”。主药候选为“食伤泄秀或财星适度制印”，药理为“泄”；最终喜忌与主次仍转M17/M18裁决。</x:v>
      </x:c>
      <x:c r="AF24" s="82" t="str">
        <x:v>较高</x:v>
      </x:c>
      <x:c r="AG24" s="82" t="str">
        <x:v>病药</x:v>
      </x:c>
      <x:c r="AH2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4" s="68" t="str">
        <x:v>当“M10印星过度，M11印多身滞成立，且印非关键化杀唯一节点”真实成立，且药神能够直接作用病位时，可按“印星过旺持续生身形成印多身滞”记录。</x:v>
      </x:c>
      <x:c r="AJ24" s="90" t="str">
        <x:v>只有表面“身势壅滞、输出链受阻”，但未证明根因“印星旺强，日主已旺，食伤输出又被印制”及药神作用路径时，不得套用“印星过旺持续生身形成印多身滞”。</x:v>
      </x:c>
      <x:c r="AK24" s="82" t="str">
        <x:v>采用</x:v>
      </x:c>
      <x:c r="AL24" s="82" t="str">
        <x:v>初审</x:v>
      </x:c>
      <x:c r="AM24" s="87" t="n">
        <x:v>46260</x:v>
      </x:c>
    </x:row>
    <x:row r="25">
      <x:c r="A25" s="72" t="str">
        <x:f>IF(OR(C25="",D25=""),"",B25&amp;"-"&amp;UPPER(C25)&amp;"-"&amp;TEXT(D25,"0000")&amp;"-"&amp;E25)</x:f>
        <x:v>M16-STRONG-0019-V1.0</x:v>
      </x:c>
      <x:c r="B25" s="74" t="str">
        <x:v>M16</x:v>
      </x:c>
      <x:c r="C25" s="74" t="str">
        <x:v>STRONG</x:v>
      </x:c>
      <x:c r="D25" s="215" t="n">
        <x:v>19</x:v>
      </x:c>
      <x:c r="E25" s="74" t="str">
        <x:v>V1.0</x:v>
      </x:c>
      <x:c r="F25" s="68" t="str">
        <x:v>单一五行极旺且无泄形成源头过旺病</x:v>
      </x:c>
      <x:c r="G25" s="82" t="str">
        <x:v>综合层</x:v>
      </x:c>
      <x:c r="H25" s="82" t="str">
        <x:v>旺衰病</x:v>
      </x:c>
      <x:c r="I25" s="68" t="str">
        <x:v>极旺五行源头</x:v>
      </x:c>
      <x:c r="J25" s="68" t="str">
        <x:v>旺而无泄</x:v>
      </x:c>
      <x:c r="K25" s="68" t="str">
        <x:v>某五行旺极并聚集，M12未找到有效输出或转化路径</x:v>
      </x:c>
      <x:c r="L25" s="68" t="str">
        <x:v>力量强但功能壅塞</x:v>
      </x:c>
      <x:c r="M25" s="82" t="str">
        <x:v>严重</x:v>
      </x:c>
      <x:c r="N25" s="68" t="str">
        <x:v>该五行所生之五行作为泄神</x:v>
      </x:c>
      <x:c r="O25" s="68" t="str">
        <x:v>能保护泄神或建立终点承载者</x:v>
      </x:c>
      <x:c r="P25" s="82" t="str">
        <x:v>泄</x:v>
      </x:c>
      <x:c r="Q25" s="68" t="str">
        <x:v>M08极旺，M12源头过旺无泄，且非专旺/从旺严格成立</x:v>
      </x:c>
      <x:c r="R25" s="90" t="str">
        <x:v>特殊专旺结构不得逆势强泄</x:v>
      </x:c>
      <x:c r="S25" s="90" t="str">
        <x:v>主要病位未被修复，原有失衡继续运行</x:v>
      </x:c>
      <x:c r="T25" s="90" t="str">
        <x:v>泄神过旺会消耗源头过度或推高终点</x:v>
      </x:c>
      <x:c r="U25" s="82" t="str">
        <x:v>条件性</x:v>
      </x:c>
      <x:c r="V25" s="90" t="str">
        <x:v>条件性</x:v>
      </x:c>
      <x:c r="W25" s="90" t="str">
        <x:v>泄耗过度或终点过旺</x:v>
      </x:c>
      <x:c r="X25" s="68" t="str">
        <x:v>M08有效旺衰、M09日主旺衰、M10十神功能、M11组合、M12流通、M13调候、M15格局成败均已完成</x:v>
      </x:c>
      <x:c r="Y25" s="68" t="str">
        <x:v>病位、根因、功能障碍与药神作用路径均能够追溯</x:v>
      </x:c>
      <x:c r="Z25" s="68" t="str">
        <x:v>药神有根有源、透达，能够直接进入病位且兼顾多个主要问题</x:v>
      </x:c>
      <x:c r="AA25" s="68" t="str">
        <x:v>药神无根、受强制、被合绊、作用路径遥隔或同时被多个任务分流</x:v>
      </x:c>
      <x:c r="AB25" s="90" t="str">
        <x:v>若该失衡没有造成实际功能障碍，或特殊格局要求顺势，则不得按普通病药立论</x:v>
      </x:c>
      <x:c r="AC25" s="68" t="str">
        <x:v>特殊格局严格成立、岁运动态作用或流派争议转M18/M21及动态引擎</x:v>
      </x:c>
      <x:c r="AD25" s="84" t="str">
        <x:v>极旺源头无泄</x:v>
      </x:c>
      <x:c r="AE25" s="84" t="str">
        <x:v>根本之病在“极旺五行源头”：某五行旺极并聚集，M12未找到有效输出或转化路径；表层表现为“力量强但功能壅塞”。主药候选为“该五行所生之五行作为泄神”，药理为“泄”；最终喜忌与主次仍转M17/M18裁决。</x:v>
      </x:c>
      <x:c r="AF25" s="82" t="str">
        <x:v>较高</x:v>
      </x:c>
      <x:c r="AG25" s="82" t="str">
        <x:v>病药</x:v>
      </x:c>
      <x:c r="AH2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5" s="68" t="str">
        <x:v>当“M08极旺，M12源头过旺无泄，且非专旺/从旺严格成立”真实成立，且药神能够直接作用病位时，可按“单一五行极旺且无泄形成源头过旺病”记录。</x:v>
      </x:c>
      <x:c r="AJ25" s="90" t="str">
        <x:v>只有表面“力量强但功能壅塞”，但未证明根因“某五行旺极并聚集，M12未找到有效输出或转化路径”及药神作用路径时，不得套用“单一五行极旺且无泄形成源头过旺病”。</x:v>
      </x:c>
      <x:c r="AK25" s="82" t="str">
        <x:v>采用</x:v>
      </x:c>
      <x:c r="AL25" s="82" t="str">
        <x:v>初审</x:v>
      </x:c>
      <x:c r="AM25" s="87" t="n">
        <x:v>46260</x:v>
      </x:c>
    </x:row>
    <x:row r="26">
      <x:c r="A26" s="72" t="str">
        <x:f>IF(OR(C26="",D26=""),"",B26&amp;"-"&amp;UPPER(C26)&amp;"-"&amp;TEXT(D26,"0000")&amp;"-"&amp;E26)</x:f>
        <x:v>M16-STRONG-0020-V1.0</x:v>
      </x:c>
      <x:c r="B26" s="74" t="str">
        <x:v>M16</x:v>
      </x:c>
      <x:c r="C26" s="74" t="str">
        <x:v>STRONG</x:v>
      </x:c>
      <x:c r="D26" s="215" t="n">
        <x:v>20</x:v>
      </x:c>
      <x:c r="E26" s="74" t="str">
        <x:v>V1.0</x:v>
      </x:c>
      <x:c r="F26" s="68" t="str">
        <x:v>财官食伤任一负荷端过旺可形成局部过强病</x:v>
      </x:c>
      <x:c r="G26" s="82" t="str">
        <x:v>综合层</x:v>
      </x:c>
      <x:c r="H26" s="82" t="str">
        <x:v>旺衰病</x:v>
      </x:c>
      <x:c r="I26" s="68" t="str">
        <x:v>过旺十神集团</x:v>
      </x:c>
      <x:c r="J26" s="68" t="str">
        <x:v>功能过度</x:v>
      </x:c>
      <x:c r="K26" s="68" t="str">
        <x:v>某十神有效力量远超日主或其制化对象承载</x:v>
      </x:c>
      <x:c r="L26" s="68" t="str">
        <x:v>耗、制或泄功能超量</x:v>
      </x:c>
      <x:c r="M26" s="82" t="str">
        <x:v>明显</x:v>
      </x:c>
      <x:c r="N26" s="68" t="str">
        <x:v>制约该十神或增强承载的一方</x:v>
      </x:c>
      <x:c r="O26" s="68" t="str">
        <x:v>通关与保护关键组合者</x:v>
      </x:c>
      <x:c r="P26" s="82" t="str">
        <x:v>抑</x:v>
      </x:c>
      <x:c r="Q26" s="68" t="str">
        <x:v>M10功能状态为过度，M11/M15未将其认定为特殊顺势条件</x:v>
      </x:c>
      <x:c r="R26" s="90" t="str">
        <x:v>不能只看该十神旺，要确认其净作用确实失衡</x:v>
      </x:c>
      <x:c r="S26" s="90" t="str">
        <x:v>主要病位未被修复，原有失衡继续运行</x:v>
      </x:c>
      <x:c r="T26" s="90" t="str">
        <x:v>过度压制该十神会破坏格局或造成反向失衡</x:v>
      </x:c>
      <x:c r="U26" s="82" t="str">
        <x:v>条件性</x:v>
      </x:c>
      <x:c r="V26" s="90" t="str">
        <x:v>条件性</x:v>
      </x:c>
      <x:c r="W26" s="90" t="str">
        <x:v>格神受损或制化太过</x:v>
      </x:c>
      <x:c r="X26" s="68" t="str">
        <x:v>M08有效旺衰、M09日主旺衰、M10十神功能、M11组合、M12流通、M13调候、M15格局成败均已完成</x:v>
      </x:c>
      <x:c r="Y26" s="68" t="str">
        <x:v>病位、根因、功能障碍与药神作用路径均能够追溯</x:v>
      </x:c>
      <x:c r="Z26" s="68" t="str">
        <x:v>药神有根有源、透达，能够直接进入病位且兼顾多个主要问题</x:v>
      </x:c>
      <x:c r="AA26" s="68" t="str">
        <x:v>药神无根、受强制、被合绊、作用路径遥隔或同时被多个任务分流</x:v>
      </x:c>
      <x:c r="AB26" s="90" t="str">
        <x:v>若该失衡没有造成实际功能障碍，或特殊格局要求顺势，则不得按普通病药立论</x:v>
      </x:c>
      <x:c r="AC26" s="68" t="str">
        <x:v>特殊格局严格成立、岁运动态作用或流派争议转M18/M21及动态引擎</x:v>
      </x:c>
      <x:c r="AD26" s="84" t="str">
        <x:v>十神功能过旺</x:v>
      </x:c>
      <x:c r="AE26" s="84" t="str">
        <x:v>根本之病在“过旺十神集团”：某十神有效力量远超日主或其制化对象承载；表层表现为“耗、制或泄功能超量”。主药候选为“制约该十神或增强承载的一方”，药理为“抑”；最终喜忌与主次仍转M17/M18裁决。</x:v>
      </x:c>
      <x:c r="AF26" s="82" t="str">
        <x:v>较高</x:v>
      </x:c>
      <x:c r="AG26" s="82" t="str">
        <x:v>病药</x:v>
      </x:c>
      <x:c r="AH2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6" s="68" t="str">
        <x:v>当“M10功能状态为过度，M11/M15未将其认定为特殊顺势条件”真实成立，且药神能够直接作用病位时，可按“财官食伤任一负荷端过旺可形成局部过强病”记录。</x:v>
      </x:c>
      <x:c r="AJ26" s="90" t="str">
        <x:v>只有表面“耗、制或泄功能超量”，但未证明根因“某十神有效力量远超日主或其制化对象承载”及药神作用路径时，不得套用“财官食伤任一负荷端过旺可形成局部过强病”。</x:v>
      </x:c>
      <x:c r="AK26" s="82" t="str">
        <x:v>采用</x:v>
      </x:c>
      <x:c r="AL26" s="82" t="str">
        <x:v>初审</x:v>
      </x:c>
      <x:c r="AM26" s="87" t="n">
        <x:v>46260</x:v>
      </x:c>
    </x:row>
    <x:row r="27">
      <x:c r="A27" s="72" t="str">
        <x:f>IF(OR(C27="",D27=""),"",B27&amp;"-"&amp;UPPER(C27)&amp;"-"&amp;TEXT(D27,"0000")&amp;"-"&amp;E27)</x:f>
        <x:v>M16-STRONG-0021-V1.0</x:v>
      </x:c>
      <x:c r="B27" s="74" t="str">
        <x:v>M16</x:v>
      </x:c>
      <x:c r="C27" s="74" t="str">
        <x:v>STRONG</x:v>
      </x:c>
      <x:c r="D27" s="215" t="n">
        <x:v>21</x:v>
      </x:c>
      <x:c r="E27" s="74" t="str">
        <x:v>V1.0</x:v>
      </x:c>
      <x:c r="F27" s="68" t="str">
        <x:v>旺而流通良好且承担格局功能时不立旺病</x:v>
      </x:c>
      <x:c r="G27" s="82" t="str">
        <x:v>综合层</x:v>
      </x:c>
      <x:c r="H27" s="82" t="str">
        <x:v>旺衰病</x:v>
      </x:c>
      <x:c r="I27" s="68" t="str">
        <x:v>旺强五行/十神</x:v>
      </x:c>
      <x:c r="J27" s="68" t="str">
        <x:v>旺而有用</x:v>
      </x:c>
      <x:c r="K27" s="68" t="str">
        <x:v>力量虽旺，但有稳定泄化、终点承载和格局功能</x:v>
      </x:c>
      <x:c r="L27" s="68" t="str">
        <x:v>某五行或十神旺</x:v>
      </x:c>
      <x:c r="M27" s="82" t="str">
        <x:v>轻微</x:v>
      </x:c>
      <x:c r="N27" s="68" t="str">
        <x:v>不预设抑制药</x:v>
      </x:c>
      <x:c r="O27" s="68" t="str">
        <x:v>维护现有流通者</x:v>
      </x:c>
      <x:c r="P27" s="82" t="str">
        <x:v>护格</x:v>
      </x:c>
      <x:c r="Q27" s="68" t="str">
        <x:v>M12通畅，M15格局成立，旺神未造成承载或制化失衡</x:v>
      </x:c>
      <x:c r="R27" s="90" t="str">
        <x:v>禁止见旺必抑</x:v>
      </x:c>
      <x:c r="S27" s="90" t="str">
        <x:v>不适用</x:v>
      </x:c>
      <x:c r="T27" s="90" t="str">
        <x:v>错误抑制会破坏格局主轴</x:v>
      </x:c>
      <x:c r="U27" s="82" t="str">
        <x:v>是</x:v>
      </x:c>
      <x:c r="V27" s="90" t="str">
        <x:v>是</x:v>
      </x:c>
      <x:c r="W27" s="90" t="str">
        <x:v>格局病或流通病</x:v>
      </x:c>
      <x:c r="X27" s="68" t="str">
        <x:v>M08有效旺衰、M09日主旺衰、M10十神功能、M11组合、M12流通、M13调候、M15格局成败均已完成</x:v>
      </x:c>
      <x:c r="Y27" s="68" t="str">
        <x:v>病位、根因、功能障碍与药神作用路径均能够追溯</x:v>
      </x:c>
      <x:c r="Z27" s="68" t="str">
        <x:v>药神有根有源、透达，能够直接进入病位且兼顾多个主要问题</x:v>
      </x:c>
      <x:c r="AA27" s="68" t="str">
        <x:v>药神无根、受强制、被合绊、作用路径遥隔或同时被多个任务分流</x:v>
      </x:c>
      <x:c r="AB27" s="90" t="str">
        <x:v>若该失衡没有造成实际功能障碍，或特殊格局要求顺势，则不得按普通病药立论</x:v>
      </x:c>
      <x:c r="AC27" s="68" t="str">
        <x:v>特殊格局严格成立、岁运动态作用或流派争议转M18/M21及动态引擎</x:v>
      </x:c>
      <x:c r="AD27" s="84" t="str">
        <x:v>旺而有用非病</x:v>
      </x:c>
      <x:c r="AE27" s="84" t="str">
        <x:v>该五行虽旺，但流通和格局功能正常，不作为旺病处理。</x:v>
      </x:c>
      <x:c r="AF27" s="82" t="str">
        <x:v>较高</x:v>
      </x:c>
      <x:c r="AG27" s="82" t="str">
        <x:v>病药</x:v>
      </x:c>
      <x:c r="AH2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7" s="68" t="str">
        <x:v>当“M12通畅，M15格局成立，旺神未造成承载或制化失衡”真实成立，且药神能够直接作用病位时，可按“旺而流通良好且承担格局功能时不立旺病”记录。</x:v>
      </x:c>
      <x:c r="AJ27" s="90" t="str">
        <x:v>只有表面“某五行或十神旺”，但未证明根因“力量虽旺，但有稳定泄化、终点承载和格局功能”及药神作用路径时，不得套用“旺而流通良好且承担格局功能时不立旺病”。</x:v>
      </x:c>
      <x:c r="AK27" s="82" t="str">
        <x:v>采用</x:v>
      </x:c>
      <x:c r="AL27" s="82" t="str">
        <x:v>初审</x:v>
      </x:c>
      <x:c r="AM27" s="87" t="n">
        <x:v>46260</x:v>
      </x:c>
    </x:row>
    <x:row r="28">
      <x:c r="A28" s="72" t="str">
        <x:f>IF(OR(C28="",D28=""),"",B28&amp;"-"&amp;UPPER(C28)&amp;"-"&amp;TEXT(D28,"0000")&amp;"-"&amp;E28)</x:f>
        <x:v>M16-STRONG-0022-V1.0</x:v>
      </x:c>
      <x:c r="B28" s="74" t="str">
        <x:v>M16</x:v>
      </x:c>
      <x:c r="C28" s="74" t="str">
        <x:v>STRONG</x:v>
      </x:c>
      <x:c r="D28" s="215" t="n">
        <x:v>22</x:v>
      </x:c>
      <x:c r="E28" s="74" t="str">
        <x:v>V1.0</x:v>
      </x:c>
      <x:c r="F28" s="68" t="str">
        <x:v>从旺从强或专旺中的极旺属于顺势条件</x:v>
      </x:c>
      <x:c r="G28" s="82" t="str">
        <x:v>综合层</x:v>
      </x:c>
      <x:c r="H28" s="82" t="str">
        <x:v>旺衰病</x:v>
      </x:c>
      <x:c r="I28" s="68" t="str">
        <x:v>特殊格局主势</x:v>
      </x:c>
      <x:c r="J28" s="68" t="str">
        <x:v>顺旺非病</x:v>
      </x:c>
      <x:c r="K28" s="68" t="str">
        <x:v>M15确认从旺、从强或专旺严格成立</x:v>
      </x:c>
      <x:c r="L28" s="68" t="str">
        <x:v>日主或同类五行极旺</x:v>
      </x:c>
      <x:c r="M28" s="82" t="str">
        <x:v>轻微</x:v>
      </x:c>
      <x:c r="N28" s="68" t="str">
        <x:v>顺势生助或合理泄秀者</x:v>
      </x:c>
      <x:c r="O28" s="68" t="str">
        <x:v>维护格局清纯者</x:v>
      </x:c>
      <x:c r="P28" s="82" t="str">
        <x:v>护格</x:v>
      </x:c>
      <x:c r="Q28" s="68" t="str">
        <x:v>特殊格局严格成立且逆神无效</x:v>
      </x:c>
      <x:c r="R28" s="90" t="str">
        <x:v>不得按普通旺衰用强克逆格</x:v>
      </x:c>
      <x:c r="S28" s="90" t="str">
        <x:v>主要病位未被修复，原有失衡继续运行</x:v>
      </x:c>
      <x:c r="T28" s="90" t="str">
        <x:v>药神反向过度，可能跨越平衡并形成新的结构性失衡</x:v>
      </x:c>
      <x:c r="U28" s="82" t="str">
        <x:v>否</x:v>
      </x:c>
      <x:c r="V28" s="90" t="str">
        <x:v>条件性</x:v>
      </x:c>
      <x:c r="W28" s="90" t="str">
        <x:v>调候、流通或杂气破格</x:v>
      </x:c>
      <x:c r="X28" s="68" t="str">
        <x:v>M08有效旺衰、M09日主旺衰、M10十神功能、M11组合、M12流通、M13调候、M15格局成败均已完成</x:v>
      </x:c>
      <x:c r="Y28" s="68" t="str">
        <x:v>病位、根因、功能障碍与药神作用路径均能够追溯</x:v>
      </x:c>
      <x:c r="Z28" s="68" t="str">
        <x:v>药神有根有源、透达，能够直接进入病位且兼顾多个主要问题</x:v>
      </x:c>
      <x:c r="AA28" s="68" t="str">
        <x:v>药神无根、受强制、被合绊、作用路径遥隔或同时被多个任务分流</x:v>
      </x:c>
      <x:c r="AB28" s="90" t="str">
        <x:v>若该失衡没有造成实际功能障碍，或特殊格局要求顺势，则不得按普通病药立论</x:v>
      </x:c>
      <x:c r="AC28" s="68" t="str">
        <x:v>特殊格局严格成立、岁运动态作用或流派争议转M18/M21及动态引擎</x:v>
      </x:c>
      <x:c r="AD28" s="84" t="str">
        <x:v>特殊旺势非病</x:v>
      </x:c>
      <x:c r="AE28" s="84" t="str">
        <x:v>根本之病在“特殊格局主势”：M15确认从旺、从强或专旺严格成立；表层表现为“日主或同类五行极旺”。主药候选为“顺势生助或合理泄秀者”，药理为“护格”；最终喜忌与主次仍转M17/M18裁决。</x:v>
      </x:c>
      <x:c r="AF28" s="82" t="str">
        <x:v>较高</x:v>
      </x:c>
      <x:c r="AG28" s="82" t="str">
        <x:v>病药</x:v>
      </x:c>
      <x:c r="AH2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8" s="68" t="str">
        <x:v>当“特殊格局严格成立且逆神无效”真实成立，且药神能够直接作用病位时，可按“从旺从强或专旺中的极旺属于顺势条件”记录。</x:v>
      </x:c>
      <x:c r="AJ28" s="90" t="str">
        <x:v>只有表面“日主或同类五行极旺”，但未证明根因“M15确认从旺、从强或专旺严格成立”及药神作用路径时，不得套用“从旺从强或专旺中的极旺属于顺势条件”。</x:v>
      </x:c>
      <x:c r="AK28" s="82" t="str">
        <x:v>采用</x:v>
      </x:c>
      <x:c r="AL28" s="82" t="str">
        <x:v>初审</x:v>
      </x:c>
      <x:c r="AM28" s="87" t="n">
        <x:v>46260</x:v>
      </x:c>
    </x:row>
    <x:row r="29">
      <x:c r="A29" s="72" t="str">
        <x:f>IF(OR(C29="",D29=""),"",B29&amp;"-"&amp;UPPER(C29)&amp;"-"&amp;TEXT(D29,"0000")&amp;"-"&amp;E29)</x:f>
        <x:v>M16-STRONG-0023-V1.0</x:v>
      </x:c>
      <x:c r="B29" s="74" t="str">
        <x:v>M16</x:v>
      </x:c>
      <x:c r="C29" s="74" t="str">
        <x:v>STRONG</x:v>
      </x:c>
      <x:c r="D29" s="215" t="n">
        <x:v>23</x:v>
      </x:c>
      <x:c r="E29" s="74" t="str">
        <x:v>V1.0</x:v>
      </x:c>
      <x:c r="F29" s="68" t="str">
        <x:v>过旺宜泄还是宜制须服从格局和流通</x:v>
      </x:c>
      <x:c r="G29" s="82" t="str">
        <x:v>综合层</x:v>
      </x:c>
      <x:c r="H29" s="82" t="str">
        <x:v>旺衰病</x:v>
      </x:c>
      <x:c r="I29" s="68" t="str">
        <x:v>过旺主势的出口</x:v>
      </x:c>
      <x:c r="J29" s="68" t="str">
        <x:v>药理选择</x:v>
      </x:c>
      <x:c r="K29" s="68" t="str">
        <x:v>同一过旺问题可以通过泄、制或耗处理，但结构成本不同</x:v>
      </x:c>
      <x:c r="L29" s="68" t="str">
        <x:v>强身、强印比或强五行无平衡</x:v>
      </x:c>
      <x:c r="M29" s="82" t="str">
        <x:v>明显</x:v>
      </x:c>
      <x:c r="N29" s="68" t="str">
        <x:v>泄神或制神二选一</x:v>
      </x:c>
      <x:c r="O29" s="68" t="str">
        <x:v>承接终点或保护制神者</x:v>
      </x:c>
      <x:c r="P29" s="82" t="str">
        <x:v>复合药理</x:v>
      </x:c>
      <x:c r="Q29" s="68" t="str">
        <x:v>比较M12路径、M15格局与M13调候后选择净收益更高的路线</x:v>
      </x:c>
      <x:c r="R29" s="90" t="str">
        <x:v>不得同时机械叠加泄与强制，造成过度削弱</x:v>
      </x:c>
      <x:c r="S29" s="90" t="str">
        <x:v>主要病位未被修复，原有失衡继续运行</x:v>
      </x:c>
      <x:c r="T29" s="90" t="str">
        <x:v>药神反向过度，可能跨越平衡并形成新的结构性失衡</x:v>
      </x:c>
      <x:c r="U29" s="82" t="str">
        <x:v>条件性</x:v>
      </x:c>
      <x:c r="V29" s="90" t="str">
        <x:v>条件性</x:v>
      </x:c>
      <x:c r="W29" s="90" t="str">
        <x:v>制泄并用过度、格局冲突</x:v>
      </x:c>
      <x:c r="X29" s="68" t="str">
        <x:v>M08有效旺衰、M09日主旺衰、M10十神功能、M11组合、M12流通、M13调候、M15格局成败均已完成</x:v>
      </x:c>
      <x:c r="Y29" s="68" t="str">
        <x:v>病位、根因、功能障碍与药神作用路径均能够追溯</x:v>
      </x:c>
      <x:c r="Z29" s="68" t="str">
        <x:v>药神有根有源、透达，能够直接进入病位且兼顾多个主要问题</x:v>
      </x:c>
      <x:c r="AA29" s="68" t="str">
        <x:v>药神无根、受强制、被合绊、作用路径遥隔或同时被多个任务分流</x:v>
      </x:c>
      <x:c r="AB29" s="90" t="str">
        <x:v>若该失衡没有造成实际功能障碍，或特殊格局要求顺势，则不得按普通病药立论</x:v>
      </x:c>
      <x:c r="AC29" s="68" t="str">
        <x:v>特殊格局严格成立、岁运动态作用或流派争议转M18/M21及动态引擎</x:v>
      </x:c>
      <x:c r="AD29" s="84" t="str">
        <x:v>旺病药理择路</x:v>
      </x:c>
      <x:c r="AE29" s="84" t="str">
        <x:v>根本之病在“过旺主势的出口”：同一过旺问题可以通过泄、制或耗处理，但结构成本不同；表层表现为“强身、强印比或强五行无平衡”。主药候选为“泄神或制神二选一”，药理为“复合药理”；最终喜忌与主次仍转M17/M18裁决。</x:v>
      </x:c>
      <x:c r="AF29" s="82" t="str">
        <x:v>较高</x:v>
      </x:c>
      <x:c r="AG29" s="82" t="str">
        <x:v>病药</x:v>
      </x:c>
      <x:c r="AH2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9" s="68" t="str">
        <x:v>当“比较M12路径、M15格局与M13调候后选择净收益更高的路线”真实成立，且药神能够直接作用病位时，可按“过旺宜泄还是宜制须服从格局和流通”记录。</x:v>
      </x:c>
      <x:c r="AJ29" s="90" t="str">
        <x:v>只有表面“强身、强印比或强五行无平衡”，但未证明根因“同一过旺问题可以通过泄、制或耗处理，但结构成本不同”及药神作用路径时，不得套用“过旺宜泄还是宜制须服从格局和流通”。</x:v>
      </x:c>
      <x:c r="AK29" s="82" t="str">
        <x:v>采用</x:v>
      </x:c>
      <x:c r="AL29" s="82" t="str">
        <x:v>初审</x:v>
      </x:c>
      <x:c r="AM29" s="87" t="n">
        <x:v>46260</x:v>
      </x:c>
    </x:row>
    <x:row r="30">
      <x:c r="A30" s="72" t="str">
        <x:f>IF(OR(C30="",D30=""),"",B30&amp;"-"&amp;UPPER(C30)&amp;"-"&amp;TEXT(D30,"0000")&amp;"-"&amp;E30)</x:f>
        <x:v>M16-STRONG-0024-V1.0</x:v>
      </x:c>
      <x:c r="B30" s="74" t="str">
        <x:v>M16</x:v>
      </x:c>
      <x:c r="C30" s="74" t="str">
        <x:v>STRONG</x:v>
      </x:c>
      <x:c r="D30" s="215" t="n">
        <x:v>24</x:v>
      </x:c>
      <x:c r="E30" s="74" t="str">
        <x:v>V1.0</x:v>
      </x:c>
      <x:c r="F30" s="68" t="str">
        <x:v>抑制药过量会把旺病转成弱病</x:v>
      </x:c>
      <x:c r="G30" s="82" t="str">
        <x:v>综合层</x:v>
      </x:c>
      <x:c r="H30" s="82" t="str">
        <x:v>旺衰病</x:v>
      </x:c>
      <x:c r="I30" s="68" t="str">
        <x:v>被抑制主势</x:v>
      </x:c>
      <x:c r="J30" s="68" t="str">
        <x:v>药过反弱</x:v>
      </x:c>
      <x:c r="K30" s="68" t="str">
        <x:v>制、泄、耗药神强度超过原旺势可承受范围</x:v>
      </x:c>
      <x:c r="L30" s="68" t="str">
        <x:v>原旺神由有余转为受损或失效</x:v>
      </x:c>
      <x:c r="M30" s="82" t="str">
        <x:v>明显</x:v>
      </x:c>
      <x:c r="N30" s="68" t="str">
        <x:v>降低原药强度并恢复承载</x:v>
      </x:c>
      <x:c r="O30" s="68" t="str">
        <x:v>保护被损格神</x:v>
      </x:c>
      <x:c r="P30" s="82" t="str">
        <x:v>救应</x:v>
      </x:c>
      <x:c r="Q30" s="68" t="str">
        <x:v>药后净效应已跨越中和，出现根损、格神失效或终点断裂</x:v>
      </x:c>
      <x:c r="R30" s="90" t="str">
        <x:v>不得因为原局旺就忽略药量边界</x:v>
      </x:c>
      <x:c r="S30" s="90" t="str">
        <x:v>不适用</x:v>
      </x:c>
      <x:c r="T30" s="90" t="str">
        <x:v>形成身弱、格神受损或流通断裂</x:v>
      </x:c>
      <x:c r="U30" s="82" t="str">
        <x:v>是</x:v>
      </x:c>
      <x:c r="V30" s="90" t="str">
        <x:v>是</x:v>
      </x:c>
      <x:c r="W30" s="90" t="str">
        <x:v>旺病转弱病</x:v>
      </x:c>
      <x:c r="X30" s="68" t="str">
        <x:v>M08有效旺衰、M09日主旺衰、M10十神功能、M11组合、M12流通、M13调候、M15格局成败均已完成</x:v>
      </x:c>
      <x:c r="Y30" s="68" t="str">
        <x:v>病位、根因、功能障碍与药神作用路径均能够追溯</x:v>
      </x:c>
      <x:c r="Z30" s="68" t="str">
        <x:v>药神有根有源、透达，能够直接进入病位且兼顾多个主要问题</x:v>
      </x:c>
      <x:c r="AA30" s="68" t="str">
        <x:v>药神无根、受强制、被合绊、作用路径遥隔或同时被多个任务分流</x:v>
      </x:c>
      <x:c r="AB30" s="90" t="str">
        <x:v>若该失衡没有造成实际功能障碍，或特殊格局要求顺势，则不得按普通病药立论</x:v>
      </x:c>
      <x:c r="AC30" s="68" t="str">
        <x:v>特殊格局严格成立、岁运动态作用或流派争议转M18/M21及动态引擎</x:v>
      </x:c>
      <x:c r="AD30" s="84" t="str">
        <x:v>抑旺过度成新病</x:v>
      </x:c>
      <x:c r="AE30" s="84" t="str">
        <x:v>根本之病在“被抑制主势”：制、泄、耗药神强度超过原旺势可承受范围；表层表现为“原旺神由有余转为受损或失效”。主药候选为“降低原药强度并恢复承载”，药理为“救应”；最终喜忌与主次仍转M17/M18裁决。</x:v>
      </x:c>
      <x:c r="AF30" s="82" t="str">
        <x:v>较高</x:v>
      </x:c>
      <x:c r="AG30" s="82" t="str">
        <x:v>病药</x:v>
      </x:c>
      <x:c r="AH3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0" s="68" t="str">
        <x:v>当“药后净效应已跨越中和，出现根损、格神失效或终点断裂”真实成立，且药神能够直接作用病位时，可按“抑制药过量会把旺病转成弱病”记录。</x:v>
      </x:c>
      <x:c r="AJ30" s="90" t="str">
        <x:v>只有表面“原旺神由有余转为受损或失效”，但未证明根因“制、泄、耗药神强度超过原旺势可承受范围”及药神作用路径时，不得套用“抑制药过量会把旺病转成弱病”。</x:v>
      </x:c>
      <x:c r="AK30" s="82" t="str">
        <x:v>采用</x:v>
      </x:c>
      <x:c r="AL30" s="82" t="str">
        <x:v>初审</x:v>
      </x:c>
      <x:c r="AM30" s="87" t="n">
        <x:v>46260</x:v>
      </x:c>
    </x:row>
    <x:row r="31">
      <x:c r="A31" s="72" t="str">
        <x:f>IF(OR(C31="",D31=""),"",B31&amp;"-"&amp;UPPER(C31)&amp;"-"&amp;TEXT(D31,"0000")&amp;"-"&amp;E31)</x:f>
        <x:v>M16-FLOW-0025-V1.0</x:v>
      </x:c>
      <x:c r="B31" s="74" t="str">
        <x:v>M16</x:v>
      </x:c>
      <x:c r="C31" s="74" t="str">
        <x:v>FLOW</x:v>
      </x:c>
      <x:c r="D31" s="215" t="n">
        <x:v>25</x:v>
      </x:c>
      <x:c r="E31" s="74" t="str">
        <x:v>V1.0</x:v>
      </x:c>
      <x:c r="F31" s="68" t="str">
        <x:v>缺少不可替代桥梁形成缺桥病</x:v>
      </x:c>
      <x:c r="G31" s="82" t="str">
        <x:v>综合层</x:v>
      </x:c>
      <x:c r="H31" s="82" t="str">
        <x:v>流通病</x:v>
      </x:c>
      <x:c r="I31" s="68" t="str">
        <x:v>起点—终点之间的缺失桥梁</x:v>
      </x:c>
      <x:c r="J31" s="68" t="str">
        <x:v>路径中断</x:v>
      </x:c>
      <x:c r="K31" s="68" t="str">
        <x:v>M12确认主路径必须经过某五行，而该五行不现或全部失效</x:v>
      </x:c>
      <x:c r="L31" s="68" t="str">
        <x:v>两端力量无法生化或通关</x:v>
      </x:c>
      <x:c r="M31" s="82" t="str">
        <x:v>严重</x:v>
      </x:c>
      <x:c r="N31" s="68" t="str">
        <x:v>缺失的关键桥梁五行</x:v>
      </x:c>
      <x:c r="O31" s="68" t="str">
        <x:v>生扶并保护桥梁者</x:v>
      </x:c>
      <x:c r="P31" s="82" t="str">
        <x:v>通</x:v>
      </x:c>
      <x:c r="Q31" s="68" t="str">
        <x:v>不存在更短、更强、副作用更小的替代路径</x:v>
      </x:c>
      <x:c r="R31" s="90" t="str">
        <x:v>缺失五行若非主路径必要节点，不得列药</x:v>
      </x:c>
      <x:c r="S31" s="90" t="str">
        <x:v>主要病位未被修复，原有失衡继续运行</x:v>
      </x:c>
      <x:c r="T31" s="90" t="str">
        <x:v>桥梁过旺可能截流、寒湿燥热或改变格局</x:v>
      </x:c>
      <x:c r="U31" s="82" t="str">
        <x:v>条件性</x:v>
      </x:c>
      <x:c r="V31" s="90" t="str">
        <x:v>条件性</x:v>
      </x:c>
      <x:c r="W31" s="90" t="str">
        <x:v>桥梁过旺或调候冲突</x:v>
      </x:c>
      <x:c r="X31" s="68" t="str">
        <x:v>M08有效旺衰、M09日主旺衰、M10十神功能、M11组合、M12流通、M13调候、M15格局成败均已完成</x:v>
      </x:c>
      <x:c r="Y31" s="68" t="str">
        <x:v>病位、根因、功能障碍与药神作用路径均能够追溯</x:v>
      </x:c>
      <x:c r="Z31" s="68" t="str">
        <x:v>药神有根有源、透达，能够直接进入病位且兼顾多个主要问题</x:v>
      </x:c>
      <x:c r="AA31" s="68" t="str">
        <x:v>药神无根、受强制、被合绊、作用路径遥隔或同时被多个任务分流</x:v>
      </x:c>
      <x:c r="AB31" s="90" t="str">
        <x:v>若该失衡没有造成实际功能障碍，或特殊格局要求顺势，则不得按普通病药立论</x:v>
      </x:c>
      <x:c r="AC31" s="68" t="str">
        <x:v>特殊格局严格成立、岁运动态作用或流派争议转M18/M21及动态引擎</x:v>
      </x:c>
      <x:c r="AD31" s="84" t="str">
        <x:v>缺桥病</x:v>
      </x:c>
      <x:c r="AE31" s="84" t="str">
        <x:v>根本之病在“起点—终点之间的缺失桥梁”：M12确认主路径必须经过某五行，而该五行不现或全部失效；表层表现为“两端力量无法生化或通关”。主药候选为“缺失的关键桥梁五行”，药理为“通”；最终喜忌与主次仍转M17/M18裁决。</x:v>
      </x:c>
      <x:c r="AF31" s="82" t="str">
        <x:v>较高</x:v>
      </x:c>
      <x:c r="AG31" s="82" t="str">
        <x:v>病药</x:v>
      </x:c>
      <x:c r="AH3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1" s="68" t="str">
        <x:v>当“不存在更短、更强、副作用更小的替代路径”真实成立，且药神能够直接作用病位时，可按“缺少不可替代桥梁形成缺桥病”记录。</x:v>
      </x:c>
      <x:c r="AJ31" s="90" t="str">
        <x:v>只有表面“两端力量无法生化或通关”，但未证明根因“M12确认主路径必须经过某五行，而该五行不现或全部失效”及药神作用路径时，不得套用“缺少不可替代桥梁形成缺桥病”。</x:v>
      </x:c>
      <x:c r="AK31" s="82" t="str">
        <x:v>采用</x:v>
      </x:c>
      <x:c r="AL31" s="82" t="str">
        <x:v>初审</x:v>
      </x:c>
      <x:c r="AM31" s="87" t="n">
        <x:v>46260</x:v>
      </x:c>
    </x:row>
    <x:row r="32">
      <x:c r="A32" s="72" t="str">
        <x:f>IF(OR(C32="",D32=""),"",B32&amp;"-"&amp;UPPER(C32)&amp;"-"&amp;TEXT(D32,"0000")&amp;"-"&amp;E32)</x:f>
        <x:v>M16-FLOW-0026-V1.0</x:v>
      </x:c>
      <x:c r="B32" s="74" t="str">
        <x:v>M16</x:v>
      </x:c>
      <x:c r="C32" s="74" t="str">
        <x:v>FLOW</x:v>
      </x:c>
      <x:c r="D32" s="215" t="n">
        <x:v>26</x:v>
      </x:c>
      <x:c r="E32" s="74" t="str">
        <x:v>V1.0</x:v>
      </x:c>
      <x:c r="F32" s="68" t="str">
        <x:v>桥梁有而太弱形成传递不足</x:v>
      </x:c>
      <x:c r="G32" s="82" t="str">
        <x:v>综合层</x:v>
      </x:c>
      <x:c r="H32" s="82" t="str">
        <x:v>流通病</x:v>
      </x:c>
      <x:c r="I32" s="68" t="str">
        <x:v>弱桥梁</x:v>
      </x:c>
      <x:c r="J32" s="68" t="str">
        <x:v>桥梁失职</x:v>
      </x:c>
      <x:c r="K32" s="68" t="str">
        <x:v>桥梁存在但有效力量不足以承接上游并作用下游</x:v>
      </x:c>
      <x:c r="L32" s="68" t="str">
        <x:v>路径局部阻塞、力量传递中断</x:v>
      </x:c>
      <x:c r="M32" s="82" t="str">
        <x:v>明显</x:v>
      </x:c>
      <x:c r="N32" s="68" t="str">
        <x:v>直接增强桥梁或生扶桥梁之神</x:v>
      </x:c>
      <x:c r="O32" s="68" t="str">
        <x:v>制去克桥梁者</x:v>
      </x:c>
      <x:c r="P32" s="82" t="str">
        <x:v>生</x:v>
      </x:c>
      <x:c r="Q32" s="68" t="str">
        <x:v>M12桥梁太弱且该路径为主要结构</x:v>
      </x:c>
      <x:c r="R32" s="90" t="str">
        <x:v>不得只凭五行数量、十神名称或单一旺衰标签直接立病用药</x:v>
      </x:c>
      <x:c r="S32" s="90" t="str">
        <x:v>主要病位未被修复，原有失衡继续运行</x:v>
      </x:c>
      <x:c r="T32" s="90" t="str">
        <x:v>桥梁从弱转强过度会形成截流或回流</x:v>
      </x:c>
      <x:c r="U32" s="82" t="str">
        <x:v>条件性</x:v>
      </x:c>
      <x:c r="V32" s="90" t="str">
        <x:v>条件性</x:v>
      </x:c>
      <x:c r="W32" s="90" t="str">
        <x:v>回流壅塞</x:v>
      </x:c>
      <x:c r="X32" s="68" t="str">
        <x:v>M08有效旺衰、M09日主旺衰、M10十神功能、M11组合、M12流通、M13调候、M15格局成败均已完成</x:v>
      </x:c>
      <x:c r="Y32" s="68" t="str">
        <x:v>病位、根因、功能障碍与药神作用路径均能够追溯</x:v>
      </x:c>
      <x:c r="Z32" s="68" t="str">
        <x:v>药神有根有源、透达，能够直接进入病位且兼顾多个主要问题</x:v>
      </x:c>
      <x:c r="AA32" s="68" t="str">
        <x:v>药神无根、受强制、被合绊、作用路径遥隔或同时被多个任务分流</x:v>
      </x:c>
      <x:c r="AB32" s="90" t="str">
        <x:v>若该失衡没有造成实际功能障碍，或特殊格局要求顺势，则不得按普通病药立论</x:v>
      </x:c>
      <x:c r="AC32" s="68" t="str">
        <x:v>特殊格局严格成立、岁运动态作用或流派争议转M18/M21及动态引擎</x:v>
      </x:c>
      <x:c r="AD32" s="84" t="str">
        <x:v>桥弱病</x:v>
      </x:c>
      <x:c r="AE32" s="84" t="str">
        <x:v>根本之病在“弱桥梁”：桥梁存在但有效力量不足以承接上游并作用下游；表层表现为“路径局部阻塞、力量传递中断”。主药候选为“直接增强桥梁或生扶桥梁之神”，药理为“生”；最终喜忌与主次仍转M17/M18裁决。</x:v>
      </x:c>
      <x:c r="AF32" s="82" t="str">
        <x:v>较高</x:v>
      </x:c>
      <x:c r="AG32" s="82" t="str">
        <x:v>病药</x:v>
      </x:c>
      <x:c r="AH3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2" s="68" t="str">
        <x:v>当“M12桥梁太弱且该路径为主要结构”真实成立，且药神能够直接作用病位时，可按“桥梁有而太弱形成传递不足”记录。</x:v>
      </x:c>
      <x:c r="AJ32" s="90" t="str">
        <x:v>只有表面“路径局部阻塞、力量传递中断”，但未证明根因“桥梁存在但有效力量不足以承接上游并作用下游”及药神作用路径时，不得套用“桥梁有而太弱形成传递不足”。</x:v>
      </x:c>
      <x:c r="AK32" s="82" t="str">
        <x:v>采用</x:v>
      </x:c>
      <x:c r="AL32" s="82" t="str">
        <x:v>初审</x:v>
      </x:c>
      <x:c r="AM32" s="87" t="n">
        <x:v>46260</x:v>
      </x:c>
    </x:row>
    <x:row r="33">
      <x:c r="A33" s="72" t="str">
        <x:f>IF(OR(C33="",D33=""),"",B33&amp;"-"&amp;UPPER(C33)&amp;"-"&amp;TEXT(D33,"0000")&amp;"-"&amp;E33)</x:f>
        <x:v>M16-FLOW-0027-V1.0</x:v>
      </x:c>
      <x:c r="B33" s="74" t="str">
        <x:v>M16</x:v>
      </x:c>
      <x:c r="C33" s="74" t="str">
        <x:v>FLOW</x:v>
      </x:c>
      <x:c r="D33" s="215" t="n">
        <x:v>27</x:v>
      </x:c>
      <x:c r="E33" s="74" t="str">
        <x:v>V1.0</x:v>
      </x:c>
      <x:c r="F33" s="68" t="str">
        <x:v>桥梁被强克形成外部截断病</x:v>
      </x:c>
      <x:c r="G33" s="82" t="str">
        <x:v>综合层</x:v>
      </x:c>
      <x:c r="H33" s="82" t="str">
        <x:v>流通病</x:v>
      </x:c>
      <x:c r="I33" s="68" t="str">
        <x:v>受克桥梁</x:v>
      </x:c>
      <x:c r="J33" s="68" t="str">
        <x:v>桥梁被制</x:v>
      </x:c>
      <x:c r="K33" s="68" t="str">
        <x:v>第三方强克桥梁，使其有效传递能力显著下降</x:v>
      </x:c>
      <x:c r="L33" s="68" t="str">
        <x:v>原本存在的生化链变成明显阻断</x:v>
      </x:c>
      <x:c r="M33" s="82" t="str">
        <x:v>严重</x:v>
      </x:c>
      <x:c r="N33" s="68" t="str">
        <x:v>制去克桥梁之神或通关五行</x:v>
      </x:c>
      <x:c r="O33" s="68" t="str">
        <x:v>生扶桥梁</x:v>
      </x:c>
      <x:c r="P33" s="82" t="str">
        <x:v>制</x:v>
      </x:c>
      <x:c r="Q33" s="68" t="str">
        <x:v>M06/M08确认克制真实且为主要阻断</x:v>
      </x:c>
      <x:c r="R33" s="90" t="str">
        <x:v>克桥梁之神若为核心格神，不可直接强制，需寻找替代路径</x:v>
      </x:c>
      <x:c r="S33" s="90" t="str">
        <x:v>主要病位未被修复，原有失衡继续运行</x:v>
      </x:c>
      <x:c r="T33" s="90" t="str">
        <x:v>强制克神可能破格或造成另一端失衡</x:v>
      </x:c>
      <x:c r="U33" s="82" t="str">
        <x:v>条件性</x:v>
      </x:c>
      <x:c r="V33" s="90" t="str">
        <x:v>条件性</x:v>
      </x:c>
      <x:c r="W33" s="90" t="str">
        <x:v>格局破坏或反向克战</x:v>
      </x:c>
      <x:c r="X33" s="68" t="str">
        <x:v>M08有效旺衰、M09日主旺衰、M10十神功能、M11组合、M12流通、M13调候、M15格局成败均已完成</x:v>
      </x:c>
      <x:c r="Y33" s="68" t="str">
        <x:v>病位、根因、功能障碍与药神作用路径均能够追溯</x:v>
      </x:c>
      <x:c r="Z33" s="68" t="str">
        <x:v>药神有根有源、透达，能够直接进入病位且兼顾多个主要问题</x:v>
      </x:c>
      <x:c r="AA33" s="68" t="str">
        <x:v>药神无根、受强制、被合绊、作用路径遥隔或同时被多个任务分流</x:v>
      </x:c>
      <x:c r="AB33" s="90" t="str">
        <x:v>若该失衡没有造成实际功能障碍，或特殊格局要求顺势，则不得按普通病药立论</x:v>
      </x:c>
      <x:c r="AC33" s="68" t="str">
        <x:v>特殊格局严格成立、岁运动态作用或流派争议转M18/M21及动态引擎</x:v>
      </x:c>
      <x:c r="AD33" s="84" t="str">
        <x:v>桥梁受克病</x:v>
      </x:c>
      <x:c r="AE33" s="84" t="str">
        <x:v>根本之病在“受克桥梁”：第三方强克桥梁，使其有效传递能力显著下降；表层表现为“原本存在的生化链变成明显阻断”。主药候选为“制去克桥梁之神或通关五行”，药理为“制”；最终喜忌与主次仍转M17/M18裁决。</x:v>
      </x:c>
      <x:c r="AF33" s="82" t="str">
        <x:v>较高</x:v>
      </x:c>
      <x:c r="AG33" s="82" t="str">
        <x:v>病药</x:v>
      </x:c>
      <x:c r="AH3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3" s="68" t="str">
        <x:v>当“M06/M08确认克制真实且为主要阻断”真实成立，且药神能够直接作用病位时，可按“桥梁被强克形成外部截断病”记录。</x:v>
      </x:c>
      <x:c r="AJ33" s="90" t="str">
        <x:v>只有表面“原本存在的生化链变成明显阻断”，但未证明根因“第三方强克桥梁，使其有效传递能力显著下降”及药神作用路径时，不得套用“桥梁被强克形成外部截断病”。</x:v>
      </x:c>
      <x:c r="AK33" s="82" t="str">
        <x:v>采用</x:v>
      </x:c>
      <x:c r="AL33" s="82" t="str">
        <x:v>初审</x:v>
      </x:c>
      <x:c r="AM33" s="87" t="n">
        <x:v>46260</x:v>
      </x:c>
    </x:row>
    <x:row r="34">
      <x:c r="A34" s="72" t="str">
        <x:f>IF(OR(C34="",D34=""),"",B34&amp;"-"&amp;UPPER(C34)&amp;"-"&amp;TEXT(D34,"0000")&amp;"-"&amp;E34)</x:f>
        <x:v>M16-FLOW-0028-V1.0</x:v>
      </x:c>
      <x:c r="B34" s="74" t="str">
        <x:v>M16</x:v>
      </x:c>
      <x:c r="C34" s="74" t="str">
        <x:v>FLOW</x:v>
      </x:c>
      <x:c r="D34" s="215" t="n">
        <x:v>28</x:v>
      </x:c>
      <x:c r="E34" s="74" t="str">
        <x:v>V1.0</x:v>
      </x:c>
      <x:c r="F34" s="68" t="str">
        <x:v>桥梁被合绊形成占用型阻塞</x:v>
      </x:c>
      <x:c r="G34" s="82" t="str">
        <x:v>综合层</x:v>
      </x:c>
      <x:c r="H34" s="82" t="str">
        <x:v>流通病</x:v>
      </x:c>
      <x:c r="I34" s="68" t="str">
        <x:v>被合绊桥梁</x:v>
      </x:c>
      <x:c r="J34" s="68" t="str">
        <x:v>牵制失职</x:v>
      </x:c>
      <x:c r="K34" s="68" t="str">
        <x:v>桥梁被其他关系占用或冻结，不能全额完成传递</x:v>
      </x:c>
      <x:c r="L34" s="68" t="str">
        <x:v>路径仍有但效率明显下降</x:v>
      </x:c>
      <x:c r="M34" s="82" t="str">
        <x:v>一般</x:v>
      </x:c>
      <x:c r="N34" s="68" t="str">
        <x:v>解合、增强独立桥梁或启用替代路径</x:v>
      </x:c>
      <x:c r="O34" s="68" t="str">
        <x:v>保护桥梁根源</x:v>
      </x:c>
      <x:c r="P34" s="82" t="str">
        <x:v>通</x:v>
      </x:c>
      <x:c r="Q34" s="68" t="str">
        <x:v>M06判合绊/合住而非单纯合意</x:v>
      </x:c>
      <x:c r="R34" s="90" t="str">
        <x:v>若实质合化形成新有效路径，不能按原桥梁被绊处理</x:v>
      </x:c>
      <x:c r="S34" s="90" t="str">
        <x:v>主要病位未被修复，原有失衡继续运行</x:v>
      </x:c>
      <x:c r="T34" s="90" t="str">
        <x:v>强行破合可能损坏已成立组合或格局</x:v>
      </x:c>
      <x:c r="U34" s="82" t="str">
        <x:v>条件性</x:v>
      </x:c>
      <x:c r="V34" s="90" t="str">
        <x:v>条件性</x:v>
      </x:c>
      <x:c r="W34" s="90" t="str">
        <x:v>破坏合化或格局</x:v>
      </x:c>
      <x:c r="X34" s="68" t="str">
        <x:v>M08有效旺衰、M09日主旺衰、M10十神功能、M11组合、M12流通、M13调候、M15格局成败均已完成</x:v>
      </x:c>
      <x:c r="Y34" s="68" t="str">
        <x:v>病位、根因、功能障碍与药神作用路径均能够追溯</x:v>
      </x:c>
      <x:c r="Z34" s="68" t="str">
        <x:v>药神有根有源、透达，能够直接进入病位且兼顾多个主要问题</x:v>
      </x:c>
      <x:c r="AA34" s="68" t="str">
        <x:v>药神无根、受强制、被合绊、作用路径遥隔或同时被多个任务分流</x:v>
      </x:c>
      <x:c r="AB34" s="90" t="str">
        <x:v>若该失衡没有造成实际功能障碍，或特殊格局要求顺势，则不得按普通病药立论</x:v>
      </x:c>
      <x:c r="AC34" s="68" t="str">
        <x:v>特殊格局严格成立、岁运动态作用或流派争议转M18/M21及动态引擎</x:v>
      </x:c>
      <x:c r="AD34" s="84" t="str">
        <x:v>桥梁合绊病</x:v>
      </x:c>
      <x:c r="AE34" s="84" t="str">
        <x:v>根本之病在“被合绊桥梁”：桥梁被其他关系占用或冻结，不能全额完成传递；表层表现为“路径仍有但效率明显下降”。主药候选为“解合、增强独立桥梁或启用替代路径”，药理为“通”；最终喜忌与主次仍转M17/M18裁决。</x:v>
      </x:c>
      <x:c r="AF34" s="82" t="str">
        <x:v>较高</x:v>
      </x:c>
      <x:c r="AG34" s="82" t="str">
        <x:v>病药</x:v>
      </x:c>
      <x:c r="AH3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4" s="68" t="str">
        <x:v>当“M06判合绊/合住而非单纯合意”真实成立，且药神能够直接作用病位时，可按“桥梁被合绊形成占用型阻塞”记录。</x:v>
      </x:c>
      <x:c r="AJ34" s="90" t="str">
        <x:v>只有表面“路径仍有但效率明显下降”，但未证明根因“桥梁被其他关系占用或冻结，不能全额完成传递”及药神作用路径时，不得套用“桥梁被合绊形成占用型阻塞”。</x:v>
      </x:c>
      <x:c r="AK34" s="82" t="str">
        <x:v>采用</x:v>
      </x:c>
      <x:c r="AL34" s="82" t="str">
        <x:v>初审</x:v>
      </x:c>
      <x:c r="AM34" s="87" t="n">
        <x:v>46260</x:v>
      </x:c>
    </x:row>
    <x:row r="35">
      <x:c r="A35" s="72" t="str">
        <x:f>IF(OR(C35="",D35=""),"",B35&amp;"-"&amp;UPPER(C35)&amp;"-"&amp;TEXT(D35,"0000")&amp;"-"&amp;E35)</x:f>
        <x:v>M16-FLOW-0029-V1.0</x:v>
      </x:c>
      <x:c r="B35" s="74" t="str">
        <x:v>M16</x:v>
      </x:c>
      <x:c r="C35" s="74" t="str">
        <x:v>FLOW</x:v>
      </x:c>
      <x:c r="D35" s="215" t="n">
        <x:v>29</x:v>
      </x:c>
      <x:c r="E35" s="74" t="str">
        <x:v>V1.0</x:v>
      </x:c>
      <x:c r="F35" s="68" t="str">
        <x:v>源头过旺无泄形成上游壅塞病</x:v>
      </x:c>
      <x:c r="G35" s="82" t="str">
        <x:v>综合层</x:v>
      </x:c>
      <x:c r="H35" s="82" t="str">
        <x:v>流通病</x:v>
      </x:c>
      <x:c r="I35" s="68" t="str">
        <x:v>旺强源头</x:v>
      </x:c>
      <x:c r="J35" s="68" t="str">
        <x:v>源头壅塞</x:v>
      </x:c>
      <x:c r="K35" s="68" t="str">
        <x:v>源头强势聚集，缺少有效泄神或下游承载</x:v>
      </x:c>
      <x:c r="L35" s="68" t="str">
        <x:v>力量旺而不流通、局部反复聚集</x:v>
      </x:c>
      <x:c r="M35" s="82" t="str">
        <x:v>明显</x:v>
      </x:c>
      <x:c r="N35" s="68" t="str">
        <x:v>源头所生之泄神</x:v>
      </x:c>
      <x:c r="O35" s="68" t="str">
        <x:v>增强终点承载者</x:v>
      </x:c>
      <x:c r="P35" s="82" t="str">
        <x:v>泄</x:v>
      </x:c>
      <x:c r="Q35" s="68" t="str">
        <x:v>M12源头过旺无泄且非专旺顺势</x:v>
      </x:c>
      <x:c r="R35" s="90" t="str">
        <x:v>不得只凭五行数量、十神名称或单一旺衰标签直接立病用药</x:v>
      </x:c>
      <x:c r="S35" s="90" t="str">
        <x:v>主要病位未被修复，原有失衡继续运行</x:v>
      </x:c>
      <x:c r="T35" s="90" t="str">
        <x:v>泄神过旺可导致源头受损或终点过强</x:v>
      </x:c>
      <x:c r="U35" s="82" t="str">
        <x:v>条件性</x:v>
      </x:c>
      <x:c r="V35" s="90" t="str">
        <x:v>条件性</x:v>
      </x:c>
      <x:c r="W35" s="90" t="str">
        <x:v>泄耗过度或终点过旺</x:v>
      </x:c>
      <x:c r="X35" s="68" t="str">
        <x:v>M08有效旺衰、M09日主旺衰、M10十神功能、M11组合、M12流通、M13调候、M15格局成败均已完成</x:v>
      </x:c>
      <x:c r="Y35" s="68" t="str">
        <x:v>病位、根因、功能障碍与药神作用路径均能够追溯</x:v>
      </x:c>
      <x:c r="Z35" s="68" t="str">
        <x:v>药神有根有源、透达，能够直接进入病位且兼顾多个主要问题</x:v>
      </x:c>
      <x:c r="AA35" s="68" t="str">
        <x:v>药神无根、受强制、被合绊、作用路径遥隔或同时被多个任务分流</x:v>
      </x:c>
      <x:c r="AB35" s="90" t="str">
        <x:v>若该失衡没有造成实际功能障碍，或特殊格局要求顺势，则不得按普通病药立论</x:v>
      </x:c>
      <x:c r="AC35" s="68" t="str">
        <x:v>特殊格局严格成立、岁运动态作用或流派争议转M18/M21及动态引擎</x:v>
      </x:c>
      <x:c r="AD35" s="84" t="str">
        <x:v>源头壅塞病</x:v>
      </x:c>
      <x:c r="AE35" s="84" t="str">
        <x:v>根本之病在“旺强源头”：源头强势聚集，缺少有效泄神或下游承载；表层表现为“力量旺而不流通、局部反复聚集”。主药候选为“源头所生之泄神”，药理为“泄”；最终喜忌与主次仍转M17/M18裁决。</x:v>
      </x:c>
      <x:c r="AF35" s="82" t="str">
        <x:v>较高</x:v>
      </x:c>
      <x:c r="AG35" s="82" t="str">
        <x:v>病药</x:v>
      </x:c>
      <x:c r="AH3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5" s="68" t="str">
        <x:v>当“M12源头过旺无泄且非专旺顺势”真实成立，且药神能够直接作用病位时，可按“源头过旺无泄形成上游壅塞病”记录。</x:v>
      </x:c>
      <x:c r="AJ35" s="90" t="str">
        <x:v>只有表面“力量旺而不流通、局部反复聚集”，但未证明根因“源头强势聚集，缺少有效泄神或下游承载”及药神作用路径时，不得套用“源头过旺无泄形成上游壅塞病”。</x:v>
      </x:c>
      <x:c r="AK35" s="82" t="str">
        <x:v>采用</x:v>
      </x:c>
      <x:c r="AL35" s="82" t="str">
        <x:v>初审</x:v>
      </x:c>
      <x:c r="AM35" s="87" t="n">
        <x:v>46260</x:v>
      </x:c>
    </x:row>
    <x:row r="36">
      <x:c r="A36" s="72" t="str">
        <x:f>IF(OR(C36="",D36=""),"",B36&amp;"-"&amp;UPPER(C36)&amp;"-"&amp;TEXT(D36,"0000")&amp;"-"&amp;E36)</x:f>
        <x:v>M16-FLOW-0030-V1.0</x:v>
      </x:c>
      <x:c r="B36" s="74" t="str">
        <x:v>M16</x:v>
      </x:c>
      <x:c r="C36" s="74" t="str">
        <x:v>FLOW</x:v>
      </x:c>
      <x:c r="D36" s="215" t="n">
        <x:v>30</x:v>
      </x:c>
      <x:c r="E36" s="74" t="str">
        <x:v>V1.0</x:v>
      </x:c>
      <x:c r="F36" s="68" t="str">
        <x:v>终点过弱不能承载形成无落点病</x:v>
      </x:c>
      <x:c r="G36" s="82" t="str">
        <x:v>综合层</x:v>
      </x:c>
      <x:c r="H36" s="82" t="str">
        <x:v>流通病</x:v>
      </x:c>
      <x:c r="I36" s="68" t="str">
        <x:v>流通终点</x:v>
      </x:c>
      <x:c r="J36" s="68" t="str">
        <x:v>终点承载不足</x:v>
      </x:c>
      <x:c r="K36" s="68" t="str">
        <x:v>上游与桥梁有效，但终点无根无源或受强制</x:v>
      </x:c>
      <x:c r="L36" s="68" t="str">
        <x:v>力量送达后无法稳定落脚或转化</x:v>
      </x:c>
      <x:c r="M36" s="82" t="str">
        <x:v>明显</x:v>
      </x:c>
      <x:c r="N36" s="68" t="str">
        <x:v>生扶终点或恢复终点根气</x:v>
      </x:c>
      <x:c r="O36" s="68" t="str">
        <x:v>降低上游输入强度</x:v>
      </x:c>
      <x:c r="P36" s="82" t="str">
        <x:v>生</x:v>
      </x:c>
      <x:c r="Q36" s="68" t="str">
        <x:v>M12确认终点为关键落点且承载不足</x:v>
      </x:c>
      <x:c r="R36" s="90" t="str">
        <x:v>不得只凭五行数量、十神名称或单一旺衰标签直接立病用药</x:v>
      </x:c>
      <x:c r="S36" s="90" t="str">
        <x:v>主要病位未被修复，原有失衡继续运行</x:v>
      </x:c>
      <x:c r="T36" s="90" t="str">
        <x:v>终点补强过度会形成反制或新的旺病</x:v>
      </x:c>
      <x:c r="U36" s="82" t="str">
        <x:v>条件性</x:v>
      </x:c>
      <x:c r="V36" s="90" t="str">
        <x:v>条件性</x:v>
      </x:c>
      <x:c r="W36" s="90" t="str">
        <x:v>终点过旺反制</x:v>
      </x:c>
      <x:c r="X36" s="68" t="str">
        <x:v>M08有效旺衰、M09日主旺衰、M10十神功能、M11组合、M12流通、M13调候、M15格局成败均已完成</x:v>
      </x:c>
      <x:c r="Y36" s="68" t="str">
        <x:v>病位、根因、功能障碍与药神作用路径均能够追溯</x:v>
      </x:c>
      <x:c r="Z36" s="68" t="str">
        <x:v>药神有根有源、透达，能够直接进入病位且兼顾多个主要问题</x:v>
      </x:c>
      <x:c r="AA36" s="68" t="str">
        <x:v>药神无根、受强制、被合绊、作用路径遥隔或同时被多个任务分流</x:v>
      </x:c>
      <x:c r="AB36" s="90" t="str">
        <x:v>若该失衡没有造成实际功能障碍，或特殊格局要求顺势，则不得按普通病药立论</x:v>
      </x:c>
      <x:c r="AC36" s="68" t="str">
        <x:v>特殊格局严格成立、岁运动态作用或流派争议转M18/M21及动态引擎</x:v>
      </x:c>
      <x:c r="AD36" s="84" t="str">
        <x:v>终点弱病</x:v>
      </x:c>
      <x:c r="AE36" s="84" t="str">
        <x:v>根本之病在“流通终点”：上游与桥梁有效，但终点无根无源或受强制；表层表现为“力量送达后无法稳定落脚或转化”。主药候选为“生扶终点或恢复终点根气”，药理为“生”；最终喜忌与主次仍转M17/M18裁决。</x:v>
      </x:c>
      <x:c r="AF36" s="82" t="str">
        <x:v>较高</x:v>
      </x:c>
      <x:c r="AG36" s="82" t="str">
        <x:v>病药</x:v>
      </x:c>
      <x:c r="AH3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6" s="68" t="str">
        <x:v>当“M12确认终点为关键落点且承载不足”真实成立，且药神能够直接作用病位时，可按“终点过弱不能承载形成无落点病”记录。</x:v>
      </x:c>
      <x:c r="AJ36" s="90" t="str">
        <x:v>只有表面“力量送达后无法稳定落脚或转化”，但未证明根因“上游与桥梁有效，但终点无根无源或受强制”及药神作用路径时，不得套用“终点过弱不能承载形成无落点病”。</x:v>
      </x:c>
      <x:c r="AK36" s="82" t="str">
        <x:v>采用</x:v>
      </x:c>
      <x:c r="AL36" s="82" t="str">
        <x:v>初审</x:v>
      </x:c>
      <x:c r="AM36" s="87" t="n">
        <x:v>46260</x:v>
      </x:c>
    </x:row>
    <x:row r="37">
      <x:c r="A37" s="72" t="str">
        <x:f>IF(OR(C37="",D37=""),"",B37&amp;"-"&amp;UPPER(C37)&amp;"-"&amp;TEXT(D37,"0000")&amp;"-"&amp;E37)</x:f>
        <x:v>M16-FLOW-0031-V1.0</x:v>
      </x:c>
      <x:c r="B37" s="74" t="str">
        <x:v>M16</x:v>
      </x:c>
      <x:c r="C37" s="74" t="str">
        <x:v>FLOW</x:v>
      </x:c>
      <x:c r="D37" s="215" t="n">
        <x:v>31</x:v>
      </x:c>
      <x:c r="E37" s="74" t="str">
        <x:v>V1.0</x:v>
      </x:c>
      <x:c r="F37" s="68" t="str">
        <x:v>终点过旺反制形成逆向阻塞</x:v>
      </x:c>
      <x:c r="G37" s="82" t="str">
        <x:v>综合层</x:v>
      </x:c>
      <x:c r="H37" s="82" t="str">
        <x:v>流通病</x:v>
      </x:c>
      <x:c r="I37" s="68" t="str">
        <x:v>过旺终点</x:v>
      </x:c>
      <x:c r="J37" s="68" t="str">
        <x:v>终点反制</x:v>
      </x:c>
      <x:c r="K37" s="68" t="str">
        <x:v>终点集团过强，反向克制桥梁或上游，导致预期流向失真</x:v>
      </x:c>
      <x:c r="L37" s="68" t="str">
        <x:v>力量在终点聚集并反噬上游</x:v>
      </x:c>
      <x:c r="M37" s="82" t="str">
        <x:v>明显</x:v>
      </x:c>
      <x:c r="N37" s="68" t="str">
        <x:v>泄终点或制约终点之神</x:v>
      </x:c>
      <x:c r="O37" s="68" t="str">
        <x:v>保护桥梁</x:v>
      </x:c>
      <x:c r="P37" s="82" t="str">
        <x:v>泄</x:v>
      </x:c>
      <x:c r="Q37" s="68" t="str">
        <x:v>M12终点过旺反制真实成立</x:v>
      </x:c>
      <x:c r="R37" s="90" t="str">
        <x:v>终点若为核心格神或特殊主势，须服从格局硬约束</x:v>
      </x:c>
      <x:c r="S37" s="90" t="str">
        <x:v>主要病位未被修复，原有失衡继续运行</x:v>
      </x:c>
      <x:c r="T37" s="90" t="str">
        <x:v>过度削弱终点会造成无落点</x:v>
      </x:c>
      <x:c r="U37" s="82" t="str">
        <x:v>条件性</x:v>
      </x:c>
      <x:c r="V37" s="90" t="str">
        <x:v>条件性</x:v>
      </x:c>
      <x:c r="W37" s="90" t="str">
        <x:v>终点承载不足</x:v>
      </x:c>
      <x:c r="X37" s="68" t="str">
        <x:v>M08有效旺衰、M09日主旺衰、M10十神功能、M11组合、M12流通、M13调候、M15格局成败均已完成</x:v>
      </x:c>
      <x:c r="Y37" s="68" t="str">
        <x:v>病位、根因、功能障碍与药神作用路径均能够追溯</x:v>
      </x:c>
      <x:c r="Z37" s="68" t="str">
        <x:v>药神有根有源、透达，能够直接进入病位且兼顾多个主要问题</x:v>
      </x:c>
      <x:c r="AA37" s="68" t="str">
        <x:v>药神无根、受强制、被合绊、作用路径遥隔或同时被多个任务分流</x:v>
      </x:c>
      <x:c r="AB37" s="90" t="str">
        <x:v>若该失衡没有造成实际功能障碍，或特殊格局要求顺势，则不得按普通病药立论</x:v>
      </x:c>
      <x:c r="AC37" s="68" t="str">
        <x:v>特殊格局严格成立、岁运动态作用或流派争议转M18/M21及动态引擎</x:v>
      </x:c>
      <x:c r="AD37" s="84" t="str">
        <x:v>终点反制病</x:v>
      </x:c>
      <x:c r="AE37" s="84" t="str">
        <x:v>根本之病在“过旺终点”：终点集团过强，反向克制桥梁或上游，导致预期流向失真；表层表现为“力量在终点聚集并反噬上游”。主药候选为“泄终点或制约终点之神”，药理为“泄”；最终喜忌与主次仍转M17/M18裁决。</x:v>
      </x:c>
      <x:c r="AF37" s="82" t="str">
        <x:v>较高</x:v>
      </x:c>
      <x:c r="AG37" s="82" t="str">
        <x:v>病药</x:v>
      </x:c>
      <x:c r="AH3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7" s="68" t="str">
        <x:v>当“M12终点过旺反制真实成立”真实成立，且药神能够直接作用病位时，可按“终点过旺反制形成逆向阻塞”记录。</x:v>
      </x:c>
      <x:c r="AJ37" s="90" t="str">
        <x:v>只有表面“力量在终点聚集并反噬上游”，但未证明根因“终点集团过强，反向克制桥梁或上游，导致预期流向失真”及药神作用路径时，不得套用“终点过旺反制形成逆向阻塞”。</x:v>
      </x:c>
      <x:c r="AK37" s="82" t="str">
        <x:v>采用</x:v>
      </x:c>
      <x:c r="AL37" s="82" t="str">
        <x:v>初审</x:v>
      </x:c>
      <x:c r="AM37" s="87" t="n">
        <x:v>46260</x:v>
      </x:c>
    </x:row>
    <x:row r="38">
      <x:c r="A38" s="72" t="str">
        <x:f>IF(OR(C38="",D38=""),"",B38&amp;"-"&amp;UPPER(C38)&amp;"-"&amp;TEXT(D38,"0000")&amp;"-"&amp;E38)</x:f>
        <x:v>M16-FLOW-0032-V1.0</x:v>
      </x:c>
      <x:c r="B38" s="74" t="str">
        <x:v>M16</x:v>
      </x:c>
      <x:c r="C38" s="74" t="str">
        <x:v>FLOW</x:v>
      </x:c>
      <x:c r="D38" s="215" t="n">
        <x:v>32</x:v>
      </x:c>
      <x:c r="E38" s="74" t="str">
        <x:v>V1.0</x:v>
      </x:c>
      <x:c r="F38" s="68" t="str">
        <x:v>两强相战且无桥梁形成克战病</x:v>
      </x:c>
      <x:c r="G38" s="82" t="str">
        <x:v>综合层</x:v>
      </x:c>
      <x:c r="H38" s="82" t="str">
        <x:v>流通病</x:v>
      </x:c>
      <x:c r="I38" s="68" t="str">
        <x:v>相克两端之间</x:v>
      </x:c>
      <x:c r="J38" s="68" t="str">
        <x:v>两强对战</x:v>
      </x:c>
      <x:c r="K38" s="68" t="str">
        <x:v>克方与被克方均有力，中间没有有效泄化桥梁</x:v>
      </x:c>
      <x:c r="L38" s="68" t="str">
        <x:v>持续对战、双方被引动、流通明显阻断</x:v>
      </x:c>
      <x:c r="M38" s="82" t="str">
        <x:v>严重</x:v>
      </x:c>
      <x:c r="N38" s="68" t="str">
        <x:v>既能泄上游又能生下游的通关五行</x:v>
      </x:c>
      <x:c r="O38" s="68" t="str">
        <x:v>保护通关五行根源</x:v>
      </x:c>
      <x:c r="P38" s="82" t="str">
        <x:v>通</x:v>
      </x:c>
      <x:c r="Q38" s="68" t="str">
        <x:v>M12确认两强相战是主矛盾</x:v>
      </x:c>
      <x:c r="R38" s="90" t="str">
        <x:v>不得只因相克关系存在便立通关病；两端必须都真实有力</x:v>
      </x:c>
      <x:c r="S38" s="90" t="str">
        <x:v>主要病位未被修复，原有失衡继续运行</x:v>
      </x:c>
      <x:c r="T38" s="90" t="str">
        <x:v>通关过旺可能改变调候、日主旺衰或格局</x:v>
      </x:c>
      <x:c r="U38" s="82" t="str">
        <x:v>条件性</x:v>
      </x:c>
      <x:c r="V38" s="90" t="str">
        <x:v>条件性</x:v>
      </x:c>
      <x:c r="W38" s="90" t="str">
        <x:v>调候病、格局冲突</x:v>
      </x:c>
      <x:c r="X38" s="68" t="str">
        <x:v>M08有效旺衰、M09日主旺衰、M10十神功能、M11组合、M12流通、M13调候、M15格局成败均已完成</x:v>
      </x:c>
      <x:c r="Y38" s="68" t="str">
        <x:v>病位、根因、功能障碍与药神作用路径均能够追溯</x:v>
      </x:c>
      <x:c r="Z38" s="68" t="str">
        <x:v>药神有根有源、透达，能够直接进入病位且兼顾多个主要问题</x:v>
      </x:c>
      <x:c r="AA38" s="68" t="str">
        <x:v>药神无根、受强制、被合绊、作用路径遥隔或同时被多个任务分流</x:v>
      </x:c>
      <x:c r="AB38" s="90" t="str">
        <x:v>若该失衡没有造成实际功能障碍，或特殊格局要求顺势，则不得按普通病药立论</x:v>
      </x:c>
      <x:c r="AC38" s="68" t="str">
        <x:v>特殊格局严格成立、岁运动态作用或流派争议转M18/M21及动态引擎</x:v>
      </x:c>
      <x:c r="AD38" s="84" t="str">
        <x:v>两强相战病</x:v>
      </x:c>
      <x:c r="AE38" s="84" t="str">
        <x:v>根本之病在“相克两端之间”：克方与被克方均有力，中间没有有效泄化桥梁；表层表现为“持续对战、双方被引动、流通明显阻断”。主药候选为“既能泄上游又能生下游的通关五行”，药理为“通”；最终喜忌与主次仍转M17/M18裁决。</x:v>
      </x:c>
      <x:c r="AF38" s="82" t="str">
        <x:v>较高</x:v>
      </x:c>
      <x:c r="AG38" s="82" t="str">
        <x:v>病药</x:v>
      </x:c>
      <x:c r="AH3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8" s="68" t="str">
        <x:v>当“M12确认两强相战是主矛盾”真实成立，且药神能够直接作用病位时，可按“两强相战且无桥梁形成克战病”记录。</x:v>
      </x:c>
      <x:c r="AJ38" s="90" t="str">
        <x:v>只有表面“持续对战、双方被引动、流通明显阻断”，但未证明根因“克方与被克方均有力，中间没有有效泄化桥梁”及药神作用路径时，不得套用“两强相战且无桥梁形成克战病”。</x:v>
      </x:c>
      <x:c r="AK38" s="82" t="str">
        <x:v>采用</x:v>
      </x:c>
      <x:c r="AL38" s="82" t="str">
        <x:v>初审</x:v>
      </x:c>
      <x:c r="AM38" s="87" t="n">
        <x:v>46260</x:v>
      </x:c>
    </x:row>
    <x:row r="39">
      <x:c r="A39" s="72" t="str">
        <x:f>IF(OR(C39="",D39=""),"",B39&amp;"-"&amp;UPPER(C39)&amp;"-"&amp;TEXT(D39,"0000")&amp;"-"&amp;E39)</x:f>
        <x:v>M16-FLOW-0033-V1.0</x:v>
      </x:c>
      <x:c r="B39" s="74" t="str">
        <x:v>M16</x:v>
      </x:c>
      <x:c r="C39" s="74" t="str">
        <x:v>FLOW</x:v>
      </x:c>
      <x:c r="D39" s="215" t="n">
        <x:v>33</x:v>
      </x:c>
      <x:c r="E39" s="74" t="str">
        <x:v>V1.0</x:v>
      </x:c>
      <x:c r="F39" s="68" t="str">
        <x:v>链路过长导致末端力量衰减</x:v>
      </x:c>
      <x:c r="G39" s="82" t="str">
        <x:v>综合层</x:v>
      </x:c>
      <x:c r="H39" s="82" t="str">
        <x:v>流通病</x:v>
      </x:c>
      <x:c r="I39" s="68" t="str">
        <x:v>多层生化链</x:v>
      </x:c>
      <x:c r="J39" s="68" t="str">
        <x:v>传递耗散</x:v>
      </x:c>
      <x:c r="K39" s="68" t="str">
        <x:v>力量需跨越多个中间节点，每层均承担容量与耗散成本</x:v>
      </x:c>
      <x:c r="L39" s="68" t="str">
        <x:v>名义链完整但末端实际获得力量不足</x:v>
      </x:c>
      <x:c r="M39" s="82" t="str">
        <x:v>一般</x:v>
      </x:c>
      <x:c r="N39" s="68" t="str">
        <x:v>缩短路径或增强最弱关键桥梁</x:v>
      </x:c>
      <x:c r="O39" s="68" t="str">
        <x:v>直接补强末端承载</x:v>
      </x:c>
      <x:c r="P39" s="82" t="str">
        <x:v>通</x:v>
      </x:c>
      <x:c r="Q39" s="68" t="str">
        <x:v>M12链路过长且末端功能确实不足</x:v>
      </x:c>
      <x:c r="R39" s="90" t="str">
        <x:v>不得只凭五行数量、十神名称或单一旺衰标签直接立病用药</x:v>
      </x:c>
      <x:c r="S39" s="90" t="str">
        <x:v>主要病位未被修复，原有失衡继续运行</x:v>
      </x:c>
      <x:c r="T39" s="90" t="str">
        <x:v>同时强化多层节点可能造成中间壅塞</x:v>
      </x:c>
      <x:c r="U39" s="82" t="str">
        <x:v>条件性</x:v>
      </x:c>
      <x:c r="V39" s="90" t="str">
        <x:v>条件性</x:v>
      </x:c>
      <x:c r="W39" s="90" t="str">
        <x:v>桥梁过旺或多节点竞争</x:v>
      </x:c>
      <x:c r="X39" s="68" t="str">
        <x:v>M08有效旺衰、M09日主旺衰、M10十神功能、M11组合、M12流通、M13调候、M15格局成败均已完成</x:v>
      </x:c>
      <x:c r="Y39" s="68" t="str">
        <x:v>病位、根因、功能障碍与药神作用路径均能够追溯</x:v>
      </x:c>
      <x:c r="Z39" s="68" t="str">
        <x:v>药神有根有源、透达，能够直接进入病位且兼顾多个主要问题</x:v>
      </x:c>
      <x:c r="AA39" s="68" t="str">
        <x:v>药神无根、受强制、被合绊、作用路径遥隔或同时被多个任务分流</x:v>
      </x:c>
      <x:c r="AB39" s="90" t="str">
        <x:v>若该失衡没有造成实际功能障碍，或特殊格局要求顺势，则不得按普通病药立论</x:v>
      </x:c>
      <x:c r="AC39" s="68" t="str">
        <x:v>特殊格局严格成立、岁运动态作用或流派争议转M18/M21及动态引擎</x:v>
      </x:c>
      <x:c r="AD39" s="84" t="str">
        <x:v>长链衰减病</x:v>
      </x:c>
      <x:c r="AE39" s="84" t="str">
        <x:v>根本之病在“多层生化链”：力量需跨越多个中间节点，每层均承担容量与耗散成本；表层表现为“名义链完整但末端实际获得力量不足”。主药候选为“缩短路径或增强最弱关键桥梁”，药理为“通”；最终喜忌与主次仍转M17/M18裁决。</x:v>
      </x:c>
      <x:c r="AF39" s="82" t="str">
        <x:v>较高</x:v>
      </x:c>
      <x:c r="AG39" s="82" t="str">
        <x:v>病药</x:v>
      </x:c>
      <x:c r="AH3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9" s="68" t="str">
        <x:v>当“M12链路过长且末端功能确实不足”真实成立，且药神能够直接作用病位时，可按“链路过长导致末端力量衰减”记录。</x:v>
      </x:c>
      <x:c r="AJ39" s="90" t="str">
        <x:v>只有表面“名义链完整但末端实际获得力量不足”，但未证明根因“力量需跨越多个中间节点，每层均承担容量与耗散成本”及药神作用路径时，不得套用“链路过长导致末端力量衰减”。</x:v>
      </x:c>
      <x:c r="AK39" s="82" t="str">
        <x:v>采用</x:v>
      </x:c>
      <x:c r="AL39" s="82" t="str">
        <x:v>初审</x:v>
      </x:c>
      <x:c r="AM39" s="87" t="n">
        <x:v>46260</x:v>
      </x:c>
    </x:row>
    <x:row r="40">
      <x:c r="A40" s="72" t="str">
        <x:f>IF(OR(C40="",D40=""),"",B40&amp;"-"&amp;UPPER(C40)&amp;"-"&amp;TEXT(D40,"0000")&amp;"-"&amp;E40)</x:f>
        <x:v>M16-FLOW-0034-V1.0</x:v>
      </x:c>
      <x:c r="B40" s="74" t="str">
        <x:v>M16</x:v>
      </x:c>
      <x:c r="C40" s="74" t="str">
        <x:v>FLOW</x:v>
      </x:c>
      <x:c r="D40" s="215" t="n">
        <x:v>34</x:v>
      </x:c>
      <x:c r="E40" s="74" t="str">
        <x:v>V1.0</x:v>
      </x:c>
      <x:c r="F40" s="68" t="str">
        <x:v>回流壅塞形成内部循环病</x:v>
      </x:c>
      <x:c r="G40" s="82" t="str">
        <x:v>综合层</x:v>
      </x:c>
      <x:c r="H40" s="82" t="str">
        <x:v>流通病</x:v>
      </x:c>
      <x:c r="I40" s="68" t="str">
        <x:v>循环生化节点</x:v>
      </x:c>
      <x:c r="J40" s="68" t="str">
        <x:v>力量回流</x:v>
      </x:c>
      <x:c r="K40" s="68" t="str">
        <x:v>力量在局部集团反复相生而缺乏外泄终点</x:v>
      </x:c>
      <x:c r="L40" s="68" t="str">
        <x:v>内部很旺但外部功能不足</x:v>
      </x:c>
      <x:c r="M40" s="82" t="str">
        <x:v>明显</x:v>
      </x:c>
      <x:c r="N40" s="68" t="str">
        <x:v>建立外泄终点的食伤、财或相应五行</x:v>
      </x:c>
      <x:c r="O40" s="68" t="str">
        <x:v>抑制不必要回流节点</x:v>
      </x:c>
      <x:c r="P40" s="82" t="str">
        <x:v>泄</x:v>
      </x:c>
      <x:c r="Q40" s="68" t="str">
        <x:v>M12回流壅塞成立，且非专旺顺势</x:v>
      </x:c>
      <x:c r="R40" s="90" t="str">
        <x:v>不得只凭五行数量、十神名称或单一旺衰标签直接立病用药</x:v>
      </x:c>
      <x:c r="S40" s="90" t="str">
        <x:v>主要病位未被修复，原有失衡继续运行</x:v>
      </x:c>
      <x:c r="T40" s="90" t="str">
        <x:v>泄出过强会破坏原集团承载</x:v>
      </x:c>
      <x:c r="U40" s="82" t="str">
        <x:v>条件性</x:v>
      </x:c>
      <x:c r="V40" s="90" t="str">
        <x:v>条件性</x:v>
      </x:c>
      <x:c r="W40" s="90" t="str">
        <x:v>源头转弱或格局改写</x:v>
      </x:c>
      <x:c r="X40" s="68" t="str">
        <x:v>M08有效旺衰、M09日主旺衰、M10十神功能、M11组合、M12流通、M13调候、M15格局成败均已完成</x:v>
      </x:c>
      <x:c r="Y40" s="68" t="str">
        <x:v>病位、根因、功能障碍与药神作用路径均能够追溯</x:v>
      </x:c>
      <x:c r="Z40" s="68" t="str">
        <x:v>药神有根有源、透达，能够直接进入病位且兼顾多个主要问题</x:v>
      </x:c>
      <x:c r="AA40" s="68" t="str">
        <x:v>药神无根、受强制、被合绊、作用路径遥隔或同时被多个任务分流</x:v>
      </x:c>
      <x:c r="AB40" s="90" t="str">
        <x:v>若该失衡没有造成实际功能障碍，或特殊格局要求顺势，则不得按普通病药立论</x:v>
      </x:c>
      <x:c r="AC40" s="68" t="str">
        <x:v>特殊格局严格成立、岁运动态作用或流派争议转M18/M21及动态引擎</x:v>
      </x:c>
      <x:c r="AD40" s="84" t="str">
        <x:v>回流壅塞病</x:v>
      </x:c>
      <x:c r="AE40" s="84" t="str">
        <x:v>根本之病在“循环生化节点”：力量在局部集团反复相生而缺乏外泄终点；表层表现为“内部很旺但外部功能不足”。主药候选为“建立外泄终点的食伤、财或相应五行”，药理为“泄”；最终喜忌与主次仍转M17/M18裁决。</x:v>
      </x:c>
      <x:c r="AF40" s="82" t="str">
        <x:v>较高</x:v>
      </x:c>
      <x:c r="AG40" s="82" t="str">
        <x:v>病药</x:v>
      </x:c>
      <x:c r="AH4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0" s="68" t="str">
        <x:v>当“M12回流壅塞成立，且非专旺顺势”真实成立，且药神能够直接作用病位时，可按“回流壅塞形成内部循环病”记录。</x:v>
      </x:c>
      <x:c r="AJ40" s="90" t="str">
        <x:v>只有表面“内部很旺但外部功能不足”，但未证明根因“力量在局部集团反复相生而缺乏外泄终点”及药神作用路径时，不得套用“回流壅塞形成内部循环病”。</x:v>
      </x:c>
      <x:c r="AK40" s="82" t="str">
        <x:v>采用</x:v>
      </x:c>
      <x:c r="AL40" s="82" t="str">
        <x:v>初审</x:v>
      </x:c>
      <x:c r="AM40" s="87" t="n">
        <x:v>46260</x:v>
      </x:c>
    </x:row>
    <x:row r="41">
      <x:c r="A41" s="72" t="str">
        <x:f>IF(OR(C41="",D41=""),"",B41&amp;"-"&amp;UPPER(C41)&amp;"-"&amp;TEXT(D41,"0000")&amp;"-"&amp;E41)</x:f>
        <x:v>M16-FLOW-0035-V1.0</x:v>
      </x:c>
      <x:c r="B41" s="74" t="str">
        <x:v>M16</x:v>
      </x:c>
      <x:c r="C41" s="74" t="str">
        <x:v>FLOW</x:v>
      </x:c>
      <x:c r="D41" s="215" t="n">
        <x:v>35</x:v>
      </x:c>
      <x:c r="E41" s="74" t="str">
        <x:v>V1.0</x:v>
      </x:c>
      <x:c r="F41" s="68" t="str">
        <x:v>寒凝导致桥梁存在但不流动</x:v>
      </x:c>
      <x:c r="G41" s="82" t="str">
        <x:v>综合层</x:v>
      </x:c>
      <x:c r="H41" s="82" t="str">
        <x:v>流通病</x:v>
      </x:c>
      <x:c r="I41" s="68" t="str">
        <x:v>受寒关键桥梁</x:v>
      </x:c>
      <x:c r="J41" s="68" t="str">
        <x:v>寒凝阻流</x:v>
      </x:c>
      <x:c r="K41" s="68" t="str">
        <x:v>M13偏寒/极寒使木火生发、蒸腾或水流转化效率不足</x:v>
      </x:c>
      <x:c r="L41" s="68" t="str">
        <x:v>M12路径因寒凝局部阻塞</x:v>
      </x:c>
      <x:c r="M41" s="82" t="str">
        <x:v>明显</x:v>
      </x:c>
      <x:c r="N41" s="68" t="str">
        <x:v>火</x:v>
      </x:c>
      <x:c r="O41" s="68" t="str">
        <x:v>木或能保护火源者</x:v>
      </x:c>
      <x:c r="P41" s="82" t="str">
        <x:v>暖</x:v>
      </x:c>
      <x:c r="Q41" s="68" t="str">
        <x:v>寒凝被确认是路径失效的共同根因</x:v>
      </x:c>
      <x:c r="R41" s="90" t="str">
        <x:v>原局已极燥或火为格局忌神时需条件化</x:v>
      </x:c>
      <x:c r="S41" s="90" t="str">
        <x:v>主要病位未被修复，原有失衡继续运行</x:v>
      </x:c>
      <x:c r="T41" s="90" t="str">
        <x:v>火过度会转成热燥、耗水或破格</x:v>
      </x:c>
      <x:c r="U41" s="82" t="str">
        <x:v>条件性</x:v>
      </x:c>
      <x:c r="V41" s="90" t="str">
        <x:v>是</x:v>
      </x:c>
      <x:c r="W41" s="90" t="str">
        <x:v>极热燥或格局破坏</x:v>
      </x:c>
      <x:c r="X41" s="68" t="str">
        <x:v>M08有效旺衰、M09日主旺衰、M10十神功能、M11组合、M12流通、M13调候、M15格局成败均已完成</x:v>
      </x:c>
      <x:c r="Y41" s="68" t="str">
        <x:v>病位、根因、功能障碍与药神作用路径均能够追溯</x:v>
      </x:c>
      <x:c r="Z41" s="68" t="str">
        <x:v>药神有根有源、透达，能够直接进入病位且兼顾多个主要问题</x:v>
      </x:c>
      <x:c r="AA41" s="68" t="str">
        <x:v>药神无根、受强制、被合绊、作用路径遥隔或同时被多个任务分流</x:v>
      </x:c>
      <x:c r="AB41" s="90" t="str">
        <x:v>若该失衡没有造成实际功能障碍，或特殊格局要求顺势，则不得按普通病药立论</x:v>
      </x:c>
      <x:c r="AC41" s="68" t="str">
        <x:v>特殊格局严格成立、岁运动态作用或流派争议转M18/M21及动态引擎</x:v>
      </x:c>
      <x:c r="AD41" s="84" t="str">
        <x:v>寒凝流通病</x:v>
      </x:c>
      <x:c r="AE41" s="84" t="str">
        <x:v>根本之病在“受寒关键桥梁”：M13偏寒/极寒使木火生发、蒸腾或水流转化效率不足；表层表现为“M12路径因寒凝局部阻塞”。主药候选为“火”，药理为“暖”；最终喜忌与主次仍转M17/M18裁决。</x:v>
      </x:c>
      <x:c r="AF41" s="82" t="str">
        <x:v>较高</x:v>
      </x:c>
      <x:c r="AG41" s="82" t="str">
        <x:v>病药</x:v>
      </x:c>
      <x:c r="AH4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1" s="68" t="str">
        <x:v>当“寒凝被确认是路径失效的共同根因”真实成立，且药神能够直接作用病位时，可按“寒凝导致桥梁存在但不流动”记录。</x:v>
      </x:c>
      <x:c r="AJ41" s="90" t="str">
        <x:v>只有表面“M12路径因寒凝局部阻塞”，但未证明根因“M13偏寒/极寒使木火生发、蒸腾或水流转化效率不足”及药神作用路径时，不得套用“寒凝导致桥梁存在但不流动”。</x:v>
      </x:c>
      <x:c r="AK41" s="82" t="str">
        <x:v>采用</x:v>
      </x:c>
      <x:c r="AL41" s="82" t="str">
        <x:v>初审</x:v>
      </x:c>
      <x:c r="AM41" s="87" t="n">
        <x:v>46260</x:v>
      </x:c>
    </x:row>
    <x:row r="42">
      <x:c r="A42" s="72" t="str">
        <x:f>IF(OR(C42="",D42=""),"",B42&amp;"-"&amp;UPPER(C42)&amp;"-"&amp;TEXT(D42,"0000")&amp;"-"&amp;E42)</x:f>
        <x:v>M16-FLOW-0036-V1.0</x:v>
      </x:c>
      <x:c r="B42" s="74" t="str">
        <x:v>M16</x:v>
      </x:c>
      <x:c r="C42" s="74" t="str">
        <x:v>FLOW</x:v>
      </x:c>
      <x:c r="D42" s="215" t="n">
        <x:v>36</x:v>
      </x:c>
      <x:c r="E42" s="74" t="str">
        <x:v>V1.0</x:v>
      </x:c>
      <x:c r="F42" s="68" t="str">
        <x:v>燥枯导致桥梁失去持续生化能力</x:v>
      </x:c>
      <x:c r="G42" s="82" t="str">
        <x:v>综合层</x:v>
      </x:c>
      <x:c r="H42" s="82" t="str">
        <x:v>流通病</x:v>
      </x:c>
      <x:c r="I42" s="68" t="str">
        <x:v>受燥关键桥梁</x:v>
      </x:c>
      <x:c r="J42" s="68" t="str">
        <x:v>燥枯阻流</x:v>
      </x:c>
      <x:c r="K42" s="68" t="str">
        <x:v>M13偏燥/极燥使木、水或土失去润泽和承接条件</x:v>
      </x:c>
      <x:c r="L42" s="68" t="str">
        <x:v>路径存在但不能持续运行</x:v>
      </x:c>
      <x:c r="M42" s="82" t="str">
        <x:v>明显</x:v>
      </x:c>
      <x:c r="N42" s="68" t="str">
        <x:v>水</x:v>
      </x:c>
      <x:c r="O42" s="68" t="str">
        <x:v>能引水润燥或保护水源者</x:v>
      </x:c>
      <x:c r="P42" s="82" t="str">
        <x:v>润</x:v>
      </x:c>
      <x:c r="Q42" s="68" t="str">
        <x:v>燥枯被确认是桥梁失效的共同根因</x:v>
      </x:c>
      <x:c r="R42" s="90" t="str">
        <x:v>原局极寒湿或水会破格时需寻找替代润法</x:v>
      </x:c>
      <x:c r="S42" s="90" t="str">
        <x:v>主要病位未被修复，原有失衡继续运行</x:v>
      </x:c>
      <x:c r="T42" s="90" t="str">
        <x:v>水过度会转为寒湿、冲坏火格或终点过湿</x:v>
      </x:c>
      <x:c r="U42" s="82" t="str">
        <x:v>条件性</x:v>
      </x:c>
      <x:c r="V42" s="90" t="str">
        <x:v>是</x:v>
      </x:c>
      <x:c r="W42" s="90" t="str">
        <x:v>寒湿或格局冲突</x:v>
      </x:c>
      <x:c r="X42" s="68" t="str">
        <x:v>M08有效旺衰、M09日主旺衰、M10十神功能、M11组合、M12流通、M13调候、M15格局成败均已完成</x:v>
      </x:c>
      <x:c r="Y42" s="68" t="str">
        <x:v>病位、根因、功能障碍与药神作用路径均能够追溯</x:v>
      </x:c>
      <x:c r="Z42" s="68" t="str">
        <x:v>药神有根有源、透达，能够直接进入病位且兼顾多个主要问题</x:v>
      </x:c>
      <x:c r="AA42" s="68" t="str">
        <x:v>药神无根、受强制、被合绊、作用路径遥隔或同时被多个任务分流</x:v>
      </x:c>
      <x:c r="AB42" s="90" t="str">
        <x:v>若该失衡没有造成实际功能障碍，或特殊格局要求顺势，则不得按普通病药立论</x:v>
      </x:c>
      <x:c r="AC42" s="68" t="str">
        <x:v>特殊格局严格成立、岁运动态作用或流派争议转M18/M21及动态引擎</x:v>
      </x:c>
      <x:c r="AD42" s="84" t="str">
        <x:v>燥枯流通病</x:v>
      </x:c>
      <x:c r="AE42" s="84" t="str">
        <x:v>根本之病在“受燥关键桥梁”：M13偏燥/极燥使木、水或土失去润泽和承接条件；表层表现为“路径存在但不能持续运行”。主药候选为“水”，药理为“润”；最终喜忌与主次仍转M17/M18裁决。</x:v>
      </x:c>
      <x:c r="AF42" s="82" t="str">
        <x:v>较高</x:v>
      </x:c>
      <x:c r="AG42" s="82" t="str">
        <x:v>病药</x:v>
      </x:c>
      <x:c r="AH4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2" s="68" t="str">
        <x:v>当“燥枯被确认是桥梁失效的共同根因”真实成立，且药神能够直接作用病位时，可按“燥枯导致桥梁失去持续生化能力”记录。</x:v>
      </x:c>
      <x:c r="AJ42" s="90" t="str">
        <x:v>只有表面“路径存在但不能持续运行”，但未证明根因“M13偏燥/极燥使木、水或土失去润泽和承接条件”及药神作用路径时，不得套用“燥枯导致桥梁失去持续生化能力”。</x:v>
      </x:c>
      <x:c r="AK42" s="82" t="str">
        <x:v>采用</x:v>
      </x:c>
      <x:c r="AL42" s="82" t="str">
        <x:v>初审</x:v>
      </x:c>
      <x:c r="AM42" s="87" t="n">
        <x:v>46260</x:v>
      </x:c>
    </x:row>
    <x:row r="43">
      <x:c r="A43" s="72" t="str">
        <x:f>IF(OR(C43="",D43=""),"",B43&amp;"-"&amp;UPPER(C43)&amp;"-"&amp;TEXT(D43,"0000")&amp;"-"&amp;E43)</x:f>
        <x:v>M16-FLOW-0037-V1.0</x:v>
      </x:c>
      <x:c r="B43" s="74" t="str">
        <x:v>M16</x:v>
      </x:c>
      <x:c r="C43" s="74" t="str">
        <x:v>FLOW</x:v>
      </x:c>
      <x:c r="D43" s="215" t="n">
        <x:v>37</x:v>
      </x:c>
      <x:c r="E43" s="74" t="str">
        <x:v>V1.0</x:v>
      </x:c>
      <x:c r="F43" s="68" t="str">
        <x:v>共享桥梁过载形成容量竞争病</x:v>
      </x:c>
      <x:c r="G43" s="82" t="str">
        <x:v>综合层</x:v>
      </x:c>
      <x:c r="H43" s="82" t="str">
        <x:v>流通病</x:v>
      </x:c>
      <x:c r="I43" s="68" t="str">
        <x:v>多路径共享桥梁</x:v>
      </x:c>
      <x:c r="J43" s="68" t="str">
        <x:v>容量过载</x:v>
      </x:c>
      <x:c r="K43" s="68" t="str">
        <x:v>同一桥梁被多个强源和多个组合同时调用，实际容量不足</x:v>
      </x:c>
      <x:c r="L43" s="68" t="str">
        <x:v>每条路径表面成立但均只能部分运行</x:v>
      </x:c>
      <x:c r="M43" s="82" t="str">
        <x:v>一般</x:v>
      </x:c>
      <x:c r="N43" s="68" t="str">
        <x:v>增强桥梁或减少次级路径竞争</x:v>
      </x:c>
      <x:c r="O43" s="68" t="str">
        <x:v>建立替代桥梁</x:v>
      </x:c>
      <x:c r="P43" s="82" t="str">
        <x:v>通</x:v>
      </x:c>
      <x:c r="Q43" s="68" t="str">
        <x:v>M12/M11确认共享节点并存在容量分流</x:v>
      </x:c>
      <x:c r="R43" s="90" t="str">
        <x:v>不得只凭五行数量、十神名称或单一旺衰标签直接立病用药</x:v>
      </x:c>
      <x:c r="S43" s="90" t="str">
        <x:v>主要病位未被修复，原有失衡继续运行</x:v>
      </x:c>
      <x:c r="T43" s="90" t="str">
        <x:v>桥梁补强过度可能反客为主</x:v>
      </x:c>
      <x:c r="U43" s="82" t="str">
        <x:v>条件性</x:v>
      </x:c>
      <x:c r="V43" s="90" t="str">
        <x:v>条件性</x:v>
      </x:c>
      <x:c r="W43" s="90" t="str">
        <x:v>桥梁壅塞或格局主轴改变</x:v>
      </x:c>
      <x:c r="X43" s="68" t="str">
        <x:v>M08有效旺衰、M09日主旺衰、M10十神功能、M11组合、M12流通、M13调候、M15格局成败均已完成</x:v>
      </x:c>
      <x:c r="Y43" s="68" t="str">
        <x:v>病位、根因、功能障碍与药神作用路径均能够追溯</x:v>
      </x:c>
      <x:c r="Z43" s="68" t="str">
        <x:v>药神有根有源、透达，能够直接进入病位且兼顾多个主要问题</x:v>
      </x:c>
      <x:c r="AA43" s="68" t="str">
        <x:v>药神无根、受强制、被合绊、作用路径遥隔或同时被多个任务分流</x:v>
      </x:c>
      <x:c r="AB43" s="90" t="str">
        <x:v>若该失衡没有造成实际功能障碍，或特殊格局要求顺势，则不得按普通病药立论</x:v>
      </x:c>
      <x:c r="AC43" s="68" t="str">
        <x:v>特殊格局严格成立、岁运动态作用或流派争议转M18/M21及动态引擎</x:v>
      </x:c>
      <x:c r="AD43" s="84" t="str">
        <x:v>共享桥梁过载</x:v>
      </x:c>
      <x:c r="AE43" s="84" t="str">
        <x:v>根本之病在“多路径共享桥梁”：同一桥梁被多个强源和多个组合同时调用，实际容量不足；表层表现为“每条路径表面成立但均只能部分运行”。主药候选为“增强桥梁或减少次级路径竞争”，药理为“通”；最终喜忌与主次仍转M17/M18裁决。</x:v>
      </x:c>
      <x:c r="AF43" s="82" t="str">
        <x:v>较高</x:v>
      </x:c>
      <x:c r="AG43" s="82" t="str">
        <x:v>病药</x:v>
      </x:c>
      <x:c r="AH4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3" s="68" t="str">
        <x:v>当“M12/M11确认共享节点并存在容量分流”真实成立，且药神能够直接作用病位时，可按“共享桥梁过载形成容量竞争病”记录。</x:v>
      </x:c>
      <x:c r="AJ43" s="90" t="str">
        <x:v>只有表面“每条路径表面成立但均只能部分运行”，但未证明根因“同一桥梁被多个强源和多个组合同时调用，实际容量不足”及药神作用路径时，不得套用“共享桥梁过载形成容量竞争病”。</x:v>
      </x:c>
      <x:c r="AK43" s="82" t="str">
        <x:v>采用</x:v>
      </x:c>
      <x:c r="AL43" s="82" t="str">
        <x:v>初审</x:v>
      </x:c>
      <x:c r="AM43" s="87" t="n">
        <x:v>46260</x:v>
      </x:c>
    </x:row>
    <x:row r="44">
      <x:c r="A44" s="72" t="str">
        <x:f>IF(OR(C44="",D44=""),"",B44&amp;"-"&amp;UPPER(C44)&amp;"-"&amp;TEXT(D44,"0000")&amp;"-"&amp;E44)</x:f>
        <x:v>M16-FLOW-0038-V1.0</x:v>
      </x:c>
      <x:c r="B44" s="74" t="str">
        <x:v>M16</x:v>
      </x:c>
      <x:c r="C44" s="74" t="str">
        <x:v>FLOW</x:v>
      </x:c>
      <x:c r="D44" s="215" t="n">
        <x:v>38</x:v>
      </x:c>
      <x:c r="E44" s="74" t="str">
        <x:v>V1.0</x:v>
      </x:c>
      <x:c r="F44" s="68" t="str">
        <x:v>多个通路并存时主药应优先修复主路径卡点</x:v>
      </x:c>
      <x:c r="G44" s="82" t="str">
        <x:v>综合层</x:v>
      </x:c>
      <x:c r="H44" s="82" t="str">
        <x:v>流通病</x:v>
      </x:c>
      <x:c r="I44" s="68" t="str">
        <x:v>主路径首要卡点</x:v>
      </x:c>
      <x:c r="J44" s="68" t="str">
        <x:v>路径优先级</x:v>
      </x:c>
      <x:c r="K44" s="68" t="str">
        <x:v>多条路径分别有卡点，但对全局影响范围不同</x:v>
      </x:c>
      <x:c r="L44" s="68" t="str">
        <x:v>多个候选通关五行并存</x:v>
      </x:c>
      <x:c r="M44" s="82" t="str">
        <x:v>首要矛盾</x:v>
      </x:c>
      <x:c r="N44" s="68" t="str">
        <x:v>修复覆盖范围最大且副作用最小的主卡点者</x:v>
      </x:c>
      <x:c r="O44" s="68" t="str">
        <x:v>处理次级卡点者</x:v>
      </x:c>
      <x:c r="P44" s="82" t="str">
        <x:v>通</x:v>
      </x:c>
      <x:c r="Q44" s="68" t="str">
        <x:v>M12已排序主路径与主卡点</x:v>
      </x:c>
      <x:c r="R44" s="90" t="str">
        <x:v>不得按卡点数量平均用药</x:v>
      </x:c>
      <x:c r="S44" s="90" t="str">
        <x:v>主要病位未被修复，原有失衡继续运行</x:v>
      </x:c>
      <x:c r="T44" s="90" t="str">
        <x:v>药神反向过度，可能跨越平衡并形成新的结构性失衡</x:v>
      </x:c>
      <x:c r="U44" s="82" t="str">
        <x:v>条件性</x:v>
      </x:c>
      <x:c r="V44" s="90" t="str">
        <x:v>条件性</x:v>
      </x:c>
      <x:c r="W44" s="90" t="str">
        <x:v>药力分散、主病未治</x:v>
      </x:c>
      <x:c r="X44" s="68" t="str">
        <x:v>M08有效旺衰、M09日主旺衰、M10十神功能、M11组合、M12流通、M13调候、M15格局成败均已完成</x:v>
      </x:c>
      <x:c r="Y44" s="68" t="str">
        <x:v>病位、根因、功能障碍与药神作用路径均能够追溯</x:v>
      </x:c>
      <x:c r="Z44" s="68" t="str">
        <x:v>药神有根有源、透达，能够直接进入病位且兼顾多个主要问题</x:v>
      </x:c>
      <x:c r="AA44" s="68" t="str">
        <x:v>药神无根、受强制、被合绊、作用路径遥隔或同时被多个任务分流</x:v>
      </x:c>
      <x:c r="AB44" s="90" t="str">
        <x:v>若该失衡没有造成实际功能障碍，或特殊格局要求顺势，则不得按普通病药立论</x:v>
      </x:c>
      <x:c r="AC44" s="68" t="str">
        <x:v>特殊格局严格成立、岁运动态作用或流派争议转M18/M21及动态引擎</x:v>
      </x:c>
      <x:c r="AD44" s="84" t="str">
        <x:v>流通病主次择药</x:v>
      </x:c>
      <x:c r="AE44" s="84" t="str">
        <x:v>根本之病在“主路径首要卡点”：多条路径分别有卡点，但对全局影响范围不同；表层表现为“多个候选通关五行并存”。主药候选为“修复覆盖范围最大且副作用最小的主卡点者”，药理为“通”；最终喜忌与主次仍转M17/M18裁决。</x:v>
      </x:c>
      <x:c r="AF44" s="82" t="str">
        <x:v>较高</x:v>
      </x:c>
      <x:c r="AG44" s="82" t="str">
        <x:v>病药</x:v>
      </x:c>
      <x:c r="AH4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4" s="68" t="str">
        <x:v>当“M12已排序主路径与主卡点”真实成立，且药神能够直接作用病位时，可按“多个通路并存时主药应优先修复主路径卡点”记录。</x:v>
      </x:c>
      <x:c r="AJ44" s="90" t="str">
        <x:v>只有表面“多个候选通关五行并存”，但未证明根因“多条路径分别有卡点，但对全局影响范围不同”及药神作用路径时，不得套用“多个通路并存时主药应优先修复主路径卡点”。</x:v>
      </x:c>
      <x:c r="AK44" s="82" t="str">
        <x:v>采用</x:v>
      </x:c>
      <x:c r="AL44" s="82" t="str">
        <x:v>初审</x:v>
      </x:c>
      <x:c r="AM44" s="87" t="n">
        <x:v>46260</x:v>
      </x:c>
    </x:row>
    <x:row r="45">
      <x:c r="A45" s="72" t="str">
        <x:f>IF(OR(C45="",D45=""),"",B45&amp;"-"&amp;UPPER(C45)&amp;"-"&amp;TEXT(D45,"0000")&amp;"-"&amp;E45)</x:f>
        <x:v>M16-CONTROL-0039-V1.0</x:v>
      </x:c>
      <x:c r="B45" s="74" t="str">
        <x:v>M16</x:v>
      </x:c>
      <x:c r="C45" s="74" t="str">
        <x:v>CONTROL</x:v>
      </x:c>
      <x:c r="D45" s="215" t="n">
        <x:v>39</x:v>
      </x:c>
      <x:c r="E45" s="74" t="str">
        <x:v>V1.0</x:v>
      </x:c>
      <x:c r="F45" s="68" t="str">
        <x:v>七杀无制无化形成直接攻身病</x:v>
      </x:c>
      <x:c r="G45" s="82" t="str">
        <x:v>综合层</x:v>
      </x:c>
      <x:c r="H45" s="82" t="str">
        <x:v>制化病</x:v>
      </x:c>
      <x:c r="I45" s="68" t="str">
        <x:v>七杀—日主作用链</x:v>
      </x:c>
      <x:c r="J45" s="68" t="str">
        <x:v>杀无制化</x:v>
      </x:c>
      <x:c r="K45" s="68" t="str">
        <x:v>七杀有力，日主承载不足，食神制杀与印化杀均不能运行</x:v>
      </x:c>
      <x:c r="L45" s="68" t="str">
        <x:v>杀压直接落身</x:v>
      </x:c>
      <x:c r="M45" s="82" t="str">
        <x:v>严重</x:v>
      </x:c>
      <x:c r="N45" s="68" t="str">
        <x:v>印星或食神，按承载与格局择一</x:v>
      </x:c>
      <x:c r="O45" s="68" t="str">
        <x:v>保护所选制化路线者</x:v>
      </x:c>
      <x:c r="P45" s="82" t="str">
        <x:v>化</x:v>
      </x:c>
      <x:c r="Q45" s="68" t="str">
        <x:v>M11/M15确认无制无化且非从官杀</x:v>
      </x:c>
      <x:c r="R45" s="90" t="str">
        <x:v>身弱食伤再泄或枭夺食时不宜机械用食；财坏印时需先护印</x:v>
      </x:c>
      <x:c r="S45" s="90" t="str">
        <x:v>主要病位未被修复，原有失衡继续运行</x:v>
      </x:c>
      <x:c r="T45" s="90" t="str">
        <x:v>印过旺夺食，食过旺制杀太过或泄身过度</x:v>
      </x:c>
      <x:c r="U45" s="82" t="str">
        <x:v>条件性</x:v>
      </x:c>
      <x:c r="V45" s="90" t="str">
        <x:v>是</x:v>
      </x:c>
      <x:c r="W45" s="90" t="str">
        <x:v>枭夺食、制杀太过或身弱</x:v>
      </x:c>
      <x:c r="X45" s="68" t="str">
        <x:v>M08有效旺衰、M09日主旺衰、M10十神功能、M11组合、M12流通、M13调候、M15格局成败均已完成</x:v>
      </x:c>
      <x:c r="Y45" s="68" t="str">
        <x:v>病位、根因、功能障碍与药神作用路径均能够追溯</x:v>
      </x:c>
      <x:c r="Z45" s="68" t="str">
        <x:v>药神有根有源、透达，能够直接进入病位且兼顾多个主要问题</x:v>
      </x:c>
      <x:c r="AA45" s="68" t="str">
        <x:v>药神无根、受强制、被合绊、作用路径遥隔或同时被多个任务分流</x:v>
      </x:c>
      <x:c r="AB45" s="90" t="str">
        <x:v>若该失衡没有造成实际功能障碍，或特殊格局要求顺势，则不得按普通病药立论</x:v>
      </x:c>
      <x:c r="AC45" s="68" t="str">
        <x:v>特殊格局严格成立、岁运动态作用或流派争议转M18/M21及动态引擎</x:v>
      </x:c>
      <x:c r="AD45" s="84" t="str">
        <x:v>杀无制化病</x:v>
      </x:c>
      <x:c r="AE45" s="84" t="str">
        <x:v>根本之病在“七杀—日主作用链”：七杀有力，日主承载不足，食神制杀与印化杀均不能运行；表层表现为“杀压直接落身”。主药候选为“印星或食神，按承载与格局择一”，药理为“化”；最终喜忌与主次仍转M17/M18裁决。</x:v>
      </x:c>
      <x:c r="AF45" s="82" t="str">
        <x:v>较高</x:v>
      </x:c>
      <x:c r="AG45" s="82" t="str">
        <x:v>病药</x:v>
      </x:c>
      <x:c r="AH4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5" s="68" t="str">
        <x:v>当“M11/M15确认无制无化且非从官杀”真实成立，且药神能够直接作用病位时，可按“七杀无制无化形成直接攻身病”记录。</x:v>
      </x:c>
      <x:c r="AJ45" s="90" t="str">
        <x:v>只有表面“杀压直接落身”，但未证明根因“七杀有力，日主承载不足，食神制杀与印化杀均不能运行”及药神作用路径时，不得套用“七杀无制无化形成直接攻身病”。</x:v>
      </x:c>
      <x:c r="AK45" s="82" t="str">
        <x:v>采用</x:v>
      </x:c>
      <x:c r="AL45" s="82" t="str">
        <x:v>初审</x:v>
      </x:c>
      <x:c r="AM45" s="87" t="n">
        <x:v>46260</x:v>
      </x:c>
    </x:row>
    <x:row r="46">
      <x:c r="A46" s="72" t="str">
        <x:f>IF(OR(C46="",D46=""),"",B46&amp;"-"&amp;UPPER(C46)&amp;"-"&amp;TEXT(D46,"0000")&amp;"-"&amp;E46)</x:f>
        <x:v>M16-CONTROL-0040-V1.0</x:v>
      </x:c>
      <x:c r="B46" s="74" t="str">
        <x:v>M16</x:v>
      </x:c>
      <x:c r="C46" s="74" t="str">
        <x:v>CONTROL</x:v>
      </x:c>
      <x:c r="D46" s="215" t="n">
        <x:v>40</x:v>
      </x:c>
      <x:c r="E46" s="74" t="str">
        <x:v>V1.0</x:v>
      </x:c>
      <x:c r="F46" s="68" t="str">
        <x:v>食神制杀不足形成制杀不及病</x:v>
      </x:c>
      <x:c r="G46" s="82" t="str">
        <x:v>综合层</x:v>
      </x:c>
      <x:c r="H46" s="82" t="str">
        <x:v>制化病</x:v>
      </x:c>
      <x:c r="I46" s="68" t="str">
        <x:v>食神→七杀制约链</x:v>
      </x:c>
      <x:c r="J46" s="68" t="str">
        <x:v>制杀不足</x:v>
      </x:c>
      <x:c r="K46" s="68" t="str">
        <x:v>七杀强而食神弱、受制或路径不稳</x:v>
      </x:c>
      <x:c r="L46" s="68" t="str">
        <x:v>杀压仍有较大部分直接落身</x:v>
      </x:c>
      <x:c r="M46" s="82" t="str">
        <x:v>明显</x:v>
      </x:c>
      <x:c r="N46" s="68" t="str">
        <x:v>增强食神或解除枭制</x:v>
      </x:c>
      <x:c r="O46" s="68" t="str">
        <x:v>财制枭或比劫生食</x:v>
      </x:c>
      <x:c r="P46" s="82" t="str">
        <x:v>制</x:v>
      </x:c>
      <x:c r="Q46" s="68" t="str">
        <x:v>M11食神制杀仅弱成立或制杀不足</x:v>
      </x:c>
      <x:c r="R46" s="90" t="str">
        <x:v>日主极弱无法承担食神泄身时须改走印化路线</x:v>
      </x:c>
      <x:c r="S46" s="90" t="str">
        <x:v>主要病位未被修复，原有失衡继续运行</x:v>
      </x:c>
      <x:c r="T46" s="90" t="str">
        <x:v>食神增强过度会制杀太过并加重泄身</x:v>
      </x:c>
      <x:c r="U46" s="82" t="str">
        <x:v>条件性</x:v>
      </x:c>
      <x:c r="V46" s="90" t="str">
        <x:v>条件性</x:v>
      </x:c>
      <x:c r="W46" s="90" t="str">
        <x:v>制杀太过或泄身过度</x:v>
      </x:c>
      <x:c r="X46" s="68" t="str">
        <x:v>M08有效旺衰、M09日主旺衰、M10十神功能、M11组合、M12流通、M13调候、M15格局成败均已完成</x:v>
      </x:c>
      <x:c r="Y46" s="68" t="str">
        <x:v>病位、根因、功能障碍与药神作用路径均能够追溯</x:v>
      </x:c>
      <x:c r="Z46" s="68" t="str">
        <x:v>药神有根有源、透达，能够直接进入病位且兼顾多个主要问题</x:v>
      </x:c>
      <x:c r="AA46" s="68" t="str">
        <x:v>药神无根、受强制、被合绊、作用路径遥隔或同时被多个任务分流</x:v>
      </x:c>
      <x:c r="AB46" s="90" t="str">
        <x:v>若该失衡没有造成实际功能障碍，或特殊格局要求顺势，则不得按普通病药立论</x:v>
      </x:c>
      <x:c r="AC46" s="68" t="str">
        <x:v>特殊格局严格成立、岁运动态作用或流派争议转M18/M21及动态引擎</x:v>
      </x:c>
      <x:c r="AD46" s="84" t="str">
        <x:v>制杀不及</x:v>
      </x:c>
      <x:c r="AE46" s="84" t="str">
        <x:v>根本之病在“食神→七杀制约链”：七杀强而食神弱、受制或路径不稳；表层表现为“杀压仍有较大部分直接落身”。主药候选为“增强食神或解除枭制”，药理为“制”；最终喜忌与主次仍转M17/M18裁决。</x:v>
      </x:c>
      <x:c r="AF46" s="82" t="str">
        <x:v>较高</x:v>
      </x:c>
      <x:c r="AG46" s="82" t="str">
        <x:v>病药</x:v>
      </x:c>
      <x:c r="AH4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6" s="68" t="str">
        <x:v>当“M11食神制杀仅弱成立或制杀不足”真实成立，且药神能够直接作用病位时，可按“食神制杀不足形成制杀不及病”记录。</x:v>
      </x:c>
      <x:c r="AJ46" s="90" t="str">
        <x:v>只有表面“杀压仍有较大部分直接落身”，但未证明根因“七杀强而食神弱、受制或路径不稳”及药神作用路径时，不得套用“食神制杀不足形成制杀不及病”。</x:v>
      </x:c>
      <x:c r="AK46" s="82" t="str">
        <x:v>采用</x:v>
      </x:c>
      <x:c r="AL46" s="82" t="str">
        <x:v>初审</x:v>
      </x:c>
      <x:c r="AM46" s="87" t="n">
        <x:v>46260</x:v>
      </x:c>
    </x:row>
    <x:row r="47">
      <x:c r="A47" s="72" t="str">
        <x:f>IF(OR(C47="",D47=""),"",B47&amp;"-"&amp;UPPER(C47)&amp;"-"&amp;TEXT(D47,"0000")&amp;"-"&amp;E47)</x:f>
        <x:v>M16-CONTROL-0041-V1.0</x:v>
      </x:c>
      <x:c r="B47" s="74" t="str">
        <x:v>M16</x:v>
      </x:c>
      <x:c r="C47" s="74" t="str">
        <x:v>CONTROL</x:v>
      </x:c>
      <x:c r="D47" s="215" t="n">
        <x:v>41</x:v>
      </x:c>
      <x:c r="E47" s="74" t="str">
        <x:v>V1.0</x:v>
      </x:c>
      <x:c r="F47" s="68" t="str">
        <x:v>制杀太过使七杀失去必要制衡功能</x:v>
      </x:c>
      <x:c r="G47" s="82" t="str">
        <x:v>综合层</x:v>
      </x:c>
      <x:c r="H47" s="82" t="str">
        <x:v>制化病</x:v>
      </x:c>
      <x:c r="I47" s="68" t="str">
        <x:v>食伤—七杀比例</x:v>
      </x:c>
      <x:c r="J47" s="68" t="str">
        <x:v>制化过度</x:v>
      </x:c>
      <x:c r="K47" s="68" t="str">
        <x:v>食伤远强于七杀，将七杀制至残弱或失效</x:v>
      </x:c>
      <x:c r="L47" s="68" t="str">
        <x:v>原本平衡结构转为食伤独旺</x:v>
      </x:c>
      <x:c r="M47" s="82" t="str">
        <x:v>明显</x:v>
      </x:c>
      <x:c r="N47" s="68" t="str">
        <x:v>适度生扶七杀或制约过旺食伤</x:v>
      </x:c>
      <x:c r="O47" s="68" t="str">
        <x:v>财星生杀需防再耗身</x:v>
      </x:c>
      <x:c r="P47" s="82" t="str">
        <x:v>生</x:v>
      </x:c>
      <x:c r="Q47" s="68" t="str">
        <x:v>M11/M15制杀太过成立，且七杀原承担必要格局功能</x:v>
      </x:c>
      <x:c r="R47" s="90" t="str">
        <x:v>杀本为忌且不需保留时，不应为了形式平衡而生杀</x:v>
      </x:c>
      <x:c r="S47" s="90" t="str">
        <x:v>主要病位未被修复，原有失衡继续运行</x:v>
      </x:c>
      <x:c r="T47" s="90" t="str">
        <x:v>生杀过量会恢复杀攻身，制食过度会枭夺食</x:v>
      </x:c>
      <x:c r="U47" s="82" t="str">
        <x:v>条件性</x:v>
      </x:c>
      <x:c r="V47" s="90" t="str">
        <x:v>条件性</x:v>
      </x:c>
      <x:c r="W47" s="90" t="str">
        <x:v>杀旺攻身或枭夺食</x:v>
      </x:c>
      <x:c r="X47" s="68" t="str">
        <x:v>M08有效旺衰、M09日主旺衰、M10十神功能、M11组合、M12流通、M13调候、M15格局成败均已完成</x:v>
      </x:c>
      <x:c r="Y47" s="68" t="str">
        <x:v>病位、根因、功能障碍与药神作用路径均能够追溯</x:v>
      </x:c>
      <x:c r="Z47" s="68" t="str">
        <x:v>药神有根有源、透达，能够直接进入病位且兼顾多个主要问题</x:v>
      </x:c>
      <x:c r="AA47" s="68" t="str">
        <x:v>药神无根、受强制、被合绊、作用路径遥隔或同时被多个任务分流</x:v>
      </x:c>
      <x:c r="AB47" s="90" t="str">
        <x:v>若该失衡没有造成实际功能障碍，或特殊格局要求顺势，则不得按普通病药立论</x:v>
      </x:c>
      <x:c r="AC47" s="68" t="str">
        <x:v>特殊格局严格成立、岁运动态作用或流派争议转M18/M21及动态引擎</x:v>
      </x:c>
      <x:c r="AD47" s="84" t="str">
        <x:v>制杀太过病</x:v>
      </x:c>
      <x:c r="AE47" s="84" t="str">
        <x:v>根本之病在“食伤—七杀比例”：食伤远强于七杀，将七杀制至残弱或失效；表层表现为“原本平衡结构转为食伤独旺”。主药候选为“适度生扶七杀或制约过旺食伤”，药理为“生”；最终喜忌与主次仍转M17/M18裁决。</x:v>
      </x:c>
      <x:c r="AF47" s="82" t="str">
        <x:v>较高</x:v>
      </x:c>
      <x:c r="AG47" s="82" t="str">
        <x:v>病药</x:v>
      </x:c>
      <x:c r="AH4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7" s="68" t="str">
        <x:v>当“M11/M15制杀太过成立，且七杀原承担必要格局功能”真实成立，且药神能够直接作用病位时，可按“制杀太过使七杀失去必要制衡功能”记录。</x:v>
      </x:c>
      <x:c r="AJ47" s="90" t="str">
        <x:v>只有表面“原本平衡结构转为食伤独旺”，但未证明根因“食伤远强于七杀，将七杀制至残弱或失效”及药神作用路径时，不得套用“制杀太过使七杀失去必要制衡功能”。</x:v>
      </x:c>
      <x:c r="AK47" s="82" t="str">
        <x:v>采用</x:v>
      </x:c>
      <x:c r="AL47" s="82" t="str">
        <x:v>初审</x:v>
      </x:c>
      <x:c r="AM47" s="87" t="n">
        <x:v>46260</x:v>
      </x:c>
    </x:row>
    <x:row r="48">
      <x:c r="A48" s="72" t="str">
        <x:f>IF(OR(C48="",D48=""),"",B48&amp;"-"&amp;UPPER(C48)&amp;"-"&amp;TEXT(D48,"0000")&amp;"-"&amp;E48)</x:f>
        <x:v>M16-CONTROL-0042-V1.0</x:v>
      </x:c>
      <x:c r="B48" s="74" t="str">
        <x:v>M16</x:v>
      </x:c>
      <x:c r="C48" s="74" t="str">
        <x:v>CONTROL</x:v>
      </x:c>
      <x:c r="D48" s="215" t="n">
        <x:v>42</x:v>
      </x:c>
      <x:c r="E48" s="74" t="str">
        <x:v>V1.0</x:v>
      </x:c>
      <x:c r="F48" s="68" t="str">
        <x:v>杀印相生链中印弱形成化杀不及</x:v>
      </x:c>
      <x:c r="G48" s="82" t="str">
        <x:v>综合层</x:v>
      </x:c>
      <x:c r="H48" s="82" t="str">
        <x:v>制化病</x:v>
      </x:c>
      <x:c r="I48" s="68" t="str">
        <x:v>七杀→印→日主链</x:v>
      </x:c>
      <x:c r="J48" s="68" t="str">
        <x:v>化杀不及</x:v>
      </x:c>
      <x:c r="K48" s="68" t="str">
        <x:v>七杀有力而印星弱、无根或被财制，无法承接杀气</x:v>
      </x:c>
      <x:c r="L48" s="68" t="str">
        <x:v>杀印相生表面存在但杀压未被转化</x:v>
      </x:c>
      <x:c r="M48" s="82" t="str">
        <x:v>严重</x:v>
      </x:c>
      <x:c r="N48" s="68" t="str">
        <x:v>生扶印星或制财护印</x:v>
      </x:c>
      <x:c r="O48" s="68" t="str">
        <x:v>比劫增强承载</x:v>
      </x:c>
      <x:c r="P48" s="82" t="str">
        <x:v>化</x:v>
      </x:c>
      <x:c r="Q48" s="68" t="str">
        <x:v>M11/M15杀印相生因印弱或财坏印而受损</x:v>
      </x:c>
      <x:c r="R48" s="90" t="str">
        <x:v>印过强可能夺食或加重身旺</x:v>
      </x:c>
      <x:c r="S48" s="90" t="str">
        <x:v>主要病位未被修复，原有失衡继续运行</x:v>
      </x:c>
      <x:c r="T48" s="90" t="str">
        <x:v>印旺过度形成印多身滞、枭夺食</x:v>
      </x:c>
      <x:c r="U48" s="82" t="str">
        <x:v>条件性</x:v>
      </x:c>
      <x:c r="V48" s="90" t="str">
        <x:v>是</x:v>
      </x:c>
      <x:c r="W48" s="90" t="str">
        <x:v>印多身滞或枭夺食</x:v>
      </x:c>
      <x:c r="X48" s="68" t="str">
        <x:v>M08有效旺衰、M09日主旺衰、M10十神功能、M11组合、M12流通、M13调候、M15格局成败均已完成</x:v>
      </x:c>
      <x:c r="Y48" s="68" t="str">
        <x:v>病位、根因、功能障碍与药神作用路径均能够追溯</x:v>
      </x:c>
      <x:c r="Z48" s="68" t="str">
        <x:v>药神有根有源、透达，能够直接进入病位且兼顾多个主要问题</x:v>
      </x:c>
      <x:c r="AA48" s="68" t="str">
        <x:v>药神无根、受强制、被合绊、作用路径遥隔或同时被多个任务分流</x:v>
      </x:c>
      <x:c r="AB48" s="90" t="str">
        <x:v>若该失衡没有造成实际功能障碍，或特殊格局要求顺势，则不得按普通病药立论</x:v>
      </x:c>
      <x:c r="AC48" s="68" t="str">
        <x:v>特殊格局严格成立、岁运动态作用或流派争议转M18/M21及动态引擎</x:v>
      </x:c>
      <x:c r="AD48" s="84" t="str">
        <x:v>化杀不及</x:v>
      </x:c>
      <x:c r="AE48" s="84" t="str">
        <x:v>根本之病在“七杀→印→日主链”：七杀有力而印星弱、无根或被财制，无法承接杀气；表层表现为“杀印相生表面存在但杀压未被转化”。主药候选为“生扶印星或制财护印”，药理为“化”；最终喜忌与主次仍转M17/M18裁决。</x:v>
      </x:c>
      <x:c r="AF48" s="82" t="str">
        <x:v>较高</x:v>
      </x:c>
      <x:c r="AG48" s="82" t="str">
        <x:v>病药</x:v>
      </x:c>
      <x:c r="AH4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8" s="68" t="str">
        <x:v>当“M11/M15杀印相生因印弱或财坏印而受损”真实成立，且药神能够直接作用病位时，可按“杀印相生链中印弱形成化杀不及”记录。</x:v>
      </x:c>
      <x:c r="AJ48" s="90" t="str">
        <x:v>只有表面“杀印相生表面存在但杀压未被转化”，但未证明根因“七杀有力而印星弱、无根或被财制，无法承接杀气”及药神作用路径时，不得套用“杀印相生链中印弱形成化杀不及”。</x:v>
      </x:c>
      <x:c r="AK48" s="82" t="str">
        <x:v>采用</x:v>
      </x:c>
      <x:c r="AL48" s="82" t="str">
        <x:v>初审</x:v>
      </x:c>
      <x:c r="AM48" s="87" t="n">
        <x:v>46260</x:v>
      </x:c>
    </x:row>
    <x:row r="49">
      <x:c r="A49" s="72" t="str">
        <x:f>IF(OR(C49="",D49=""),"",B49&amp;"-"&amp;UPPER(C49)&amp;"-"&amp;TEXT(D49,"0000")&amp;"-"&amp;E49)</x:f>
        <x:v>M16-CONTROL-0043-V1.0</x:v>
      </x:c>
      <x:c r="B49" s="74" t="str">
        <x:v>M16</x:v>
      </x:c>
      <x:c r="C49" s="74" t="str">
        <x:v>CONTROL</x:v>
      </x:c>
      <x:c r="D49" s="215" t="n">
        <x:v>43</x:v>
      </x:c>
      <x:c r="E49" s="74" t="str">
        <x:v>V1.0</x:v>
      </x:c>
      <x:c r="F49" s="68" t="str">
        <x:v>伤官见官形成直接功能冲突病</x:v>
      </x:c>
      <x:c r="G49" s="82" t="str">
        <x:v>综合层</x:v>
      </x:c>
      <x:c r="H49" s="82" t="str">
        <x:v>制化病</x:v>
      </x:c>
      <x:c r="I49" s="68" t="str">
        <x:v>伤官—正官冲突链</x:v>
      </x:c>
      <x:c r="J49" s="68" t="str">
        <x:v>伤官克官</x:v>
      </x:c>
      <x:c r="K49" s="68" t="str">
        <x:v>伤官与正官均有效，伤官直接损害关键官星功能</x:v>
      </x:c>
      <x:c r="L49" s="68" t="str">
        <x:v>官格、官印或财官结构不稳定</x:v>
      </x:c>
      <x:c r="M49" s="82" t="str">
        <x:v>严重</x:v>
      </x:c>
      <x:c r="N49" s="68" t="str">
        <x:v>印星制伤或财星通关，择一为主</x:v>
      </x:c>
      <x:c r="O49" s="68" t="str">
        <x:v>保护官星或主药</x:v>
      </x:c>
      <x:c r="P49" s="82" t="str">
        <x:v>制</x:v>
      </x:c>
      <x:c r="Q49" s="68" t="str">
        <x:v>M11伤官见官成立且M15确认官星为关键</x:v>
      </x:c>
      <x:c r="R49" s="90" t="str">
        <x:v>官星本弱无用或伤官格不需官时，不应机械立病</x:v>
      </x:c>
      <x:c r="S49" s="90" t="str">
        <x:v>主要病位未被修复，原有失衡继续运行</x:v>
      </x:c>
      <x:c r="T49" s="90" t="str">
        <x:v>印过强压制食伤，财过强坏印或生官过度</x:v>
      </x:c>
      <x:c r="U49" s="82" t="str">
        <x:v>条件性</x:v>
      </x:c>
      <x:c r="V49" s="90" t="str">
        <x:v>是</x:v>
      </x:c>
      <x:c r="W49" s="90" t="str">
        <x:v>印多制食或财坏印</x:v>
      </x:c>
      <x:c r="X49" s="68" t="str">
        <x:v>M08有效旺衰、M09日主旺衰、M10十神功能、M11组合、M12流通、M13调候、M15格局成败均已完成</x:v>
      </x:c>
      <x:c r="Y49" s="68" t="str">
        <x:v>病位、根因、功能障碍与药神作用路径均能够追溯</x:v>
      </x:c>
      <x:c r="Z49" s="68" t="str">
        <x:v>药神有根有源、透达，能够直接进入病位且兼顾多个主要问题</x:v>
      </x:c>
      <x:c r="AA49" s="68" t="str">
        <x:v>药神无根、受强制、被合绊、作用路径遥隔或同时被多个任务分流</x:v>
      </x:c>
      <x:c r="AB49" s="90" t="str">
        <x:v>若该失衡没有造成实际功能障碍，或特殊格局要求顺势，则不得按普通病药立论</x:v>
      </x:c>
      <x:c r="AC49" s="68" t="str">
        <x:v>特殊格局严格成立、岁运动态作用或流派争议转M18/M21及动态引擎</x:v>
      </x:c>
      <x:c r="AD49" s="84" t="str">
        <x:v>伤官见官病</x:v>
      </x:c>
      <x:c r="AE49" s="84" t="str">
        <x:v>根本之病在“伤官—正官冲突链”：伤官与正官均有效，伤官直接损害关键官星功能；表层表现为“官格、官印或财官结构不稳定”。主药候选为“印星制伤或财星通关，择一为主”，药理为“制”；最终喜忌与主次仍转M17/M18裁决。</x:v>
      </x:c>
      <x:c r="AF49" s="82" t="str">
        <x:v>较高</x:v>
      </x:c>
      <x:c r="AG49" s="82" t="str">
        <x:v>病药</x:v>
      </x:c>
      <x:c r="AH4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9" s="68" t="str">
        <x:v>当“M11伤官见官成立且M15确认官星为关键”真实成立，且药神能够直接作用病位时，可按“伤官见官形成直接功能冲突病”记录。</x:v>
      </x:c>
      <x:c r="AJ49" s="90" t="str">
        <x:v>只有表面“官格、官印或财官结构不稳定”，但未证明根因“伤官与正官均有效，伤官直接损害关键官星功能”及药神作用路径时，不得套用“伤官见官形成直接功能冲突病”。</x:v>
      </x:c>
      <x:c r="AK49" s="82" t="str">
        <x:v>采用</x:v>
      </x:c>
      <x:c r="AL49" s="82" t="str">
        <x:v>初审</x:v>
      </x:c>
      <x:c r="AM49" s="87" t="n">
        <x:v>46260</x:v>
      </x:c>
    </x:row>
    <x:row r="50">
      <x:c r="A50" s="72" t="str">
        <x:f>IF(OR(C50="",D50=""),"",B50&amp;"-"&amp;UPPER(C50)&amp;"-"&amp;TEXT(D50,"0000")&amp;"-"&amp;E50)</x:f>
        <x:v>M16-CONTROL-0044-V1.0</x:v>
      </x:c>
      <x:c r="B50" s="74" t="str">
        <x:v>M16</x:v>
      </x:c>
      <x:c r="C50" s="74" t="str">
        <x:v>CONTROL</x:v>
      </x:c>
      <x:c r="D50" s="215" t="n">
        <x:v>44</x:v>
      </x:c>
      <x:c r="E50" s="74" t="str">
        <x:v>V1.0</x:v>
      </x:c>
      <x:c r="F50" s="68" t="str">
        <x:v>伤官配印中印弱形成配印不足</x:v>
      </x:c>
      <x:c r="G50" s="82" t="str">
        <x:v>综合层</x:v>
      </x:c>
      <x:c r="H50" s="82" t="str">
        <x:v>制化病</x:v>
      </x:c>
      <x:c r="I50" s="68" t="str">
        <x:v>印星→伤官制约链</x:v>
      </x:c>
      <x:c r="J50" s="68" t="str">
        <x:v>印制不足</x:v>
      </x:c>
      <x:c r="K50" s="68" t="str">
        <x:v>伤官有力而印星弱、受财克或不能直接制伤</x:v>
      </x:c>
      <x:c r="L50" s="68" t="str">
        <x:v>伤官仍过泄或克官</x:v>
      </x:c>
      <x:c r="M50" s="82" t="str">
        <x:v>明显</x:v>
      </x:c>
      <x:c r="N50" s="68" t="str">
        <x:v>增强印星或制财护印</x:v>
      </x:c>
      <x:c r="O50" s="68" t="str">
        <x:v>比劫辅助承载</x:v>
      </x:c>
      <x:c r="P50" s="82" t="str">
        <x:v>制</x:v>
      </x:c>
      <x:c r="Q50" s="68" t="str">
        <x:v>M11伤官配印弱成立，M15印受损</x:v>
      </x:c>
      <x:c r="R50" s="90" t="str">
        <x:v>日主已极旺且印再生身副作用大时需寻找财通关</x:v>
      </x:c>
      <x:c r="S50" s="90" t="str">
        <x:v>主要病位未被修复，原有失衡继续运行</x:v>
      </x:c>
      <x:c r="T50" s="90" t="str">
        <x:v>印过度会把伤官制至失效并加重身势</x:v>
      </x:c>
      <x:c r="U50" s="82" t="str">
        <x:v>条件性</x:v>
      </x:c>
      <x:c r="V50" s="90" t="str">
        <x:v>是</x:v>
      </x:c>
      <x:c r="W50" s="90" t="str">
        <x:v>印多身滞或食伤失效</x:v>
      </x:c>
      <x:c r="X50" s="68" t="str">
        <x:v>M08有效旺衰、M09日主旺衰、M10十神功能、M11组合、M12流通、M13调候、M15格局成败均已完成</x:v>
      </x:c>
      <x:c r="Y50" s="68" t="str">
        <x:v>病位、根因、功能障碍与药神作用路径均能够追溯</x:v>
      </x:c>
      <x:c r="Z50" s="68" t="str">
        <x:v>药神有根有源、透达，能够直接进入病位且兼顾多个主要问题</x:v>
      </x:c>
      <x:c r="AA50" s="68" t="str">
        <x:v>药神无根、受强制、被合绊、作用路径遥隔或同时被多个任务分流</x:v>
      </x:c>
      <x:c r="AB50" s="90" t="str">
        <x:v>若该失衡没有造成实际功能障碍，或特殊格局要求顺势，则不得按普通病药立论</x:v>
      </x:c>
      <x:c r="AC50" s="68" t="str">
        <x:v>特殊格局严格成立、岁运动态作用或流派争议转M18/M21及动态引擎</x:v>
      </x:c>
      <x:c r="AD50" s="84" t="str">
        <x:v>配印不足</x:v>
      </x:c>
      <x:c r="AE50" s="84" t="str">
        <x:v>根本之病在“印星→伤官制约链”：伤官有力而印星弱、受财克或不能直接制伤；表层表现为“伤官仍过泄或克官”。主药候选为“增强印星或制财护印”，药理为“制”；最终喜忌与主次仍转M17/M18裁决。</x:v>
      </x:c>
      <x:c r="AF50" s="82" t="str">
        <x:v>较高</x:v>
      </x:c>
      <x:c r="AG50" s="82" t="str">
        <x:v>病药</x:v>
      </x:c>
      <x:c r="AH5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0" s="68" t="str">
        <x:v>当“M11伤官配印弱成立，M15印受损”真实成立，且药神能够直接作用病位时，可按“伤官配印中印弱形成配印不足”记录。</x:v>
      </x:c>
      <x:c r="AJ50" s="90" t="str">
        <x:v>只有表面“伤官仍过泄或克官”，但未证明根因“伤官有力而印星弱、受财克或不能直接制伤”及药神作用路径时，不得套用“伤官配印中印弱形成配印不足”。</x:v>
      </x:c>
      <x:c r="AK50" s="82" t="str">
        <x:v>采用</x:v>
      </x:c>
      <x:c r="AL50" s="82" t="str">
        <x:v>初审</x:v>
      </x:c>
      <x:c r="AM50" s="87" t="n">
        <x:v>46260</x:v>
      </x:c>
    </x:row>
    <x:row r="51">
      <x:c r="A51" s="72" t="str">
        <x:f>IF(OR(C51="",D51=""),"",B51&amp;"-"&amp;UPPER(C51)&amp;"-"&amp;TEXT(D51,"0000")&amp;"-"&amp;E51)</x:f>
        <x:v>M16-CONTROL-0045-V1.0</x:v>
      </x:c>
      <x:c r="B51" s="74" t="str">
        <x:v>M16</x:v>
      </x:c>
      <x:c r="C51" s="74" t="str">
        <x:v>CONTROL</x:v>
      </x:c>
      <x:c r="D51" s="215" t="n">
        <x:v>45</x:v>
      </x:c>
      <x:c r="E51" s="74" t="str">
        <x:v>V1.0</x:v>
      </x:c>
      <x:c r="F51" s="68" t="str">
        <x:v>枭神夺食破坏关键食神功能</x:v>
      </x:c>
      <x:c r="G51" s="82" t="str">
        <x:v>综合层</x:v>
      </x:c>
      <x:c r="H51" s="82" t="str">
        <x:v>制化病</x:v>
      </x:c>
      <x:c r="I51" s="68" t="str">
        <x:v>偏印→食神克制链</x:v>
      </x:c>
      <x:c r="J51" s="68" t="str">
        <x:v>枭夺食</x:v>
      </x:c>
      <x:c r="K51" s="68" t="str">
        <x:v>偏印有力，直接克制承担生财、制杀或泄秀功能的食神</x:v>
      </x:c>
      <x:c r="L51" s="68" t="str">
        <x:v>食神功能受限或失效</x:v>
      </x:c>
      <x:c r="M51" s="82" t="str">
        <x:v>严重</x:v>
      </x:c>
      <x:c r="N51" s="68" t="str">
        <x:v>财星制枭</x:v>
      </x:c>
      <x:c r="O51" s="68" t="str">
        <x:v>比劫生食或保护财星</x:v>
      </x:c>
      <x:c r="P51" s="82" t="str">
        <x:v>制</x:v>
      </x:c>
      <x:c r="Q51" s="68" t="str">
        <x:v>M11/M15枭神夺食成立，且食神为关键功能节点</x:v>
      </x:c>
      <x:c r="R51" s="90" t="str">
        <x:v>财星过强可能坏正印、生杀或加重财耗</x:v>
      </x:c>
      <x:c r="S51" s="90" t="str">
        <x:v>主要病位未被修复，原有失衡继续运行</x:v>
      </x:c>
      <x:c r="T51" s="90" t="str">
        <x:v>财过强形成财坏印、财多身弱</x:v>
      </x:c>
      <x:c r="U51" s="82" t="str">
        <x:v>条件性</x:v>
      </x:c>
      <x:c r="V51" s="90" t="str">
        <x:v>是</x:v>
      </x:c>
      <x:c r="W51" s="90" t="str">
        <x:v>财坏印或财多身弱</x:v>
      </x:c>
      <x:c r="X51" s="68" t="str">
        <x:v>M08有效旺衰、M09日主旺衰、M10十神功能、M11组合、M12流通、M13调候、M15格局成败均已完成</x:v>
      </x:c>
      <x:c r="Y51" s="68" t="str">
        <x:v>病位、根因、功能障碍与药神作用路径均能够追溯</x:v>
      </x:c>
      <x:c r="Z51" s="68" t="str">
        <x:v>药神有根有源、透达，能够直接进入病位且兼顾多个主要问题</x:v>
      </x:c>
      <x:c r="AA51" s="68" t="str">
        <x:v>药神无根、受强制、被合绊、作用路径遥隔或同时被多个任务分流</x:v>
      </x:c>
      <x:c r="AB51" s="90" t="str">
        <x:v>若该失衡没有造成实际功能障碍，或特殊格局要求顺势，则不得按普通病药立论</x:v>
      </x:c>
      <x:c r="AC51" s="68" t="str">
        <x:v>特殊格局严格成立、岁运动态作用或流派争议转M18/M21及动态引擎</x:v>
      </x:c>
      <x:c r="AD51" s="84" t="str">
        <x:v>枭神夺食病</x:v>
      </x:c>
      <x:c r="AE51" s="84" t="str">
        <x:v>根本之病在“偏印→食神克制链”：偏印有力，直接克制承担生财、制杀或泄秀功能的食神；表层表现为“食神功能受限或失效”。主药候选为“财星制枭”，药理为“制”；最终喜忌与主次仍转M17/M18裁决。</x:v>
      </x:c>
      <x:c r="AF51" s="82" t="str">
        <x:v>较高</x:v>
      </x:c>
      <x:c r="AG51" s="82" t="str">
        <x:v>病药</x:v>
      </x:c>
      <x:c r="AH5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1" s="68" t="str">
        <x:v>当“M11/M15枭神夺食成立，且食神为关键功能节点”真实成立，且药神能够直接作用病位时，可按“枭神夺食破坏关键食神功能”记录。</x:v>
      </x:c>
      <x:c r="AJ51" s="90" t="str">
        <x:v>只有表面“食神功能受限或失效”，但未证明根因“偏印有力，直接克制承担生财、制杀或泄秀功能的食神”及药神作用路径时，不得套用“枭神夺食破坏关键食神功能”。</x:v>
      </x:c>
      <x:c r="AK51" s="82" t="str">
        <x:v>采用</x:v>
      </x:c>
      <x:c r="AL51" s="82" t="str">
        <x:v>初审</x:v>
      </x:c>
      <x:c r="AM51" s="87" t="n">
        <x:v>46260</x:v>
      </x:c>
    </x:row>
    <x:row r="52">
      <x:c r="A52" s="72" t="str">
        <x:f>IF(OR(C52="",D52=""),"",B52&amp;"-"&amp;UPPER(C52)&amp;"-"&amp;TEXT(D52,"0000")&amp;"-"&amp;E52)</x:f>
        <x:v>M16-CONTROL-0046-V1.0</x:v>
      </x:c>
      <x:c r="B52" s="74" t="str">
        <x:v>M16</x:v>
      </x:c>
      <x:c r="C52" s="74" t="str">
        <x:v>CONTROL</x:v>
      </x:c>
      <x:c r="D52" s="215" t="n">
        <x:v>46</x:v>
      </x:c>
      <x:c r="E52" s="74" t="str">
        <x:v>V1.0</x:v>
      </x:c>
      <x:c r="F52" s="68" t="str">
        <x:v>财坏印破坏生身或化杀功能</x:v>
      </x:c>
      <x:c r="G52" s="82" t="str">
        <x:v>综合层</x:v>
      </x:c>
      <x:c r="H52" s="82" t="str">
        <x:v>制化病</x:v>
      </x:c>
      <x:c r="I52" s="68" t="str">
        <x:v>财星→印星克制链</x:v>
      </x:c>
      <x:c r="J52" s="68" t="str">
        <x:v>财坏印</x:v>
      </x:c>
      <x:c r="K52" s="68" t="str">
        <x:v>财星有力并制约关键印星，印承担生身、化杀或配印功能</x:v>
      </x:c>
      <x:c r="L52" s="68" t="str">
        <x:v>日主承载下降、杀印或伤官配印链断裂</x:v>
      </x:c>
      <x:c r="M52" s="82" t="str">
        <x:v>严重</x:v>
      </x:c>
      <x:c r="N52" s="68" t="str">
        <x:v>比劫制财护印或官杀泄财生印的替代路径</x:v>
      </x:c>
      <x:c r="O52" s="68" t="str">
        <x:v>生扶印星</x:v>
      </x:c>
      <x:c r="P52" s="82" t="str">
        <x:v>护格</x:v>
      </x:c>
      <x:c r="Q52" s="68" t="str">
        <x:v>M11/M15财坏印成立且印为关键格神/药神</x:v>
      </x:c>
      <x:c r="R52" s="90" t="str">
        <x:v>财格为主且印非关键时，不得机械制财</x:v>
      </x:c>
      <x:c r="S52" s="90" t="str">
        <x:v>主要病位未被修复，原有失衡继续运行</x:v>
      </x:c>
      <x:c r="T52" s="90" t="str">
        <x:v>比劫过强夺财，印过强身滞</x:v>
      </x:c>
      <x:c r="U52" s="82" t="str">
        <x:v>条件性</x:v>
      </x:c>
      <x:c r="V52" s="90" t="str">
        <x:v>是</x:v>
      </x:c>
      <x:c r="W52" s="90" t="str">
        <x:v>比劫夺财或印多身滞</x:v>
      </x:c>
      <x:c r="X52" s="68" t="str">
        <x:v>M08有效旺衰、M09日主旺衰、M10十神功能、M11组合、M12流通、M13调候、M15格局成败均已完成</x:v>
      </x:c>
      <x:c r="Y52" s="68" t="str">
        <x:v>病位、根因、功能障碍与药神作用路径均能够追溯</x:v>
      </x:c>
      <x:c r="Z52" s="68" t="str">
        <x:v>药神有根有源、透达，能够直接进入病位且兼顾多个主要问题</x:v>
      </x:c>
      <x:c r="AA52" s="68" t="str">
        <x:v>药神无根、受强制、被合绊、作用路径遥隔或同时被多个任务分流</x:v>
      </x:c>
      <x:c r="AB52" s="90" t="str">
        <x:v>若该失衡没有造成实际功能障碍，或特殊格局要求顺势，则不得按普通病药立论</x:v>
      </x:c>
      <x:c r="AC52" s="68" t="str">
        <x:v>特殊格局严格成立、岁运动态作用或流派争议转M18/M21及动态引擎</x:v>
      </x:c>
      <x:c r="AD52" s="84" t="str">
        <x:v>财坏印病</x:v>
      </x:c>
      <x:c r="AE52" s="84" t="str">
        <x:v>根本之病在“财星→印星克制链”：财星有力并制约关键印星，印承担生身、化杀或配印功能；表层表现为“日主承载下降、杀印或伤官配印链断裂”。主药候选为“比劫制财护印或官杀泄财生印的替代路径”，药理为“护格”；最终喜忌与主次仍转M17/M18裁决。</x:v>
      </x:c>
      <x:c r="AF52" s="82" t="str">
        <x:v>较高</x:v>
      </x:c>
      <x:c r="AG52" s="82" t="str">
        <x:v>病药</x:v>
      </x:c>
      <x:c r="AH5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2" s="68" t="str">
        <x:v>当“M11/M15财坏印成立且印为关键格神/药神”真实成立，且药神能够直接作用病位时，可按“财坏印破坏生身或化杀功能”记录。</x:v>
      </x:c>
      <x:c r="AJ52" s="90" t="str">
        <x:v>只有表面“日主承载下降、杀印或伤官配印链断裂”，但未证明根因“财星有力并制约关键印星，印承担生身、化杀或配印功能”及药神作用路径时，不得套用“财坏印破坏生身或化杀功能”。</x:v>
      </x:c>
      <x:c r="AK52" s="82" t="str">
        <x:v>采用</x:v>
      </x:c>
      <x:c r="AL52" s="82" t="str">
        <x:v>初审</x:v>
      </x:c>
      <x:c r="AM52" s="87" t="n">
        <x:v>46260</x:v>
      </x:c>
    </x:row>
    <x:row r="53">
      <x:c r="A53" s="72" t="str">
        <x:f>IF(OR(C53="",D53=""),"",B53&amp;"-"&amp;UPPER(C53)&amp;"-"&amp;TEXT(D53,"0000")&amp;"-"&amp;E53)</x:f>
        <x:v>M16-CONTROL-0047-V1.0</x:v>
      </x:c>
      <x:c r="B53" s="74" t="str">
        <x:v>M16</x:v>
      </x:c>
      <x:c r="C53" s="74" t="str">
        <x:v>CONTROL</x:v>
      </x:c>
      <x:c r="D53" s="215" t="n">
        <x:v>47</x:v>
      </x:c>
      <x:c r="E53" s="74" t="str">
        <x:v>V1.0</x:v>
      </x:c>
      <x:c r="F53" s="68" t="str">
        <x:v>比劫夺财破坏财星承载功能</x:v>
      </x:c>
      <x:c r="G53" s="82" t="str">
        <x:v>综合层</x:v>
      </x:c>
      <x:c r="H53" s="82" t="str">
        <x:v>制化病</x:v>
      </x:c>
      <x:c r="I53" s="68" t="str">
        <x:v>比劫→财星克制链</x:v>
      </x:c>
      <x:c r="J53" s="68" t="str">
        <x:v>夺财</x:v>
      </x:c>
      <x:c r="K53" s="68" t="str">
        <x:v>比劫有力并直接制财，财为格神或主要流通终点</x:v>
      </x:c>
      <x:c r="L53" s="68" t="str">
        <x:v>财星受损，食伤生财链无稳定落点</x:v>
      </x:c>
      <x:c r="M53" s="82" t="str">
        <x:v>严重</x:v>
      </x:c>
      <x:c r="N53" s="68" t="str">
        <x:v>官杀制比或食伤通关生财</x:v>
      </x:c>
      <x:c r="O53" s="68" t="str">
        <x:v>保护财星根源</x:v>
      </x:c>
      <x:c r="P53" s="82" t="str">
        <x:v>制</x:v>
      </x:c>
      <x:c r="Q53" s="68" t="str">
        <x:v>M11/M15比劫夺财成立，且财星为关键</x:v>
      </x:c>
      <x:c r="R53" s="90" t="str">
        <x:v>身弱财旺时比劫可能是护身药，不得只见制财便定病</x:v>
      </x:c>
      <x:c r="S53" s="90" t="str">
        <x:v>主要病位未被修复，原有失衡继续运行</x:v>
      </x:c>
      <x:c r="T53" s="90" t="str">
        <x:v>官杀过强攻身，食伤过旺泄身</x:v>
      </x:c>
      <x:c r="U53" s="82" t="str">
        <x:v>条件性</x:v>
      </x:c>
      <x:c r="V53" s="90" t="str">
        <x:v>是</x:v>
      </x:c>
      <x:c r="W53" s="90" t="str">
        <x:v>官杀压身或食伤过泄</x:v>
      </x:c>
      <x:c r="X53" s="68" t="str">
        <x:v>M08有效旺衰、M09日主旺衰、M10十神功能、M11组合、M12流通、M13调候、M15格局成败均已完成</x:v>
      </x:c>
      <x:c r="Y53" s="68" t="str">
        <x:v>病位、根因、功能障碍与药神作用路径均能够追溯</x:v>
      </x:c>
      <x:c r="Z53" s="68" t="str">
        <x:v>药神有根有源、透达，能够直接进入病位且兼顾多个主要问题</x:v>
      </x:c>
      <x:c r="AA53" s="68" t="str">
        <x:v>药神无根、受强制、被合绊、作用路径遥隔或同时被多个任务分流</x:v>
      </x:c>
      <x:c r="AB53" s="90" t="str">
        <x:v>若该失衡没有造成实际功能障碍，或特殊格局要求顺势，则不得按普通病药立论</x:v>
      </x:c>
      <x:c r="AC53" s="68" t="str">
        <x:v>特殊格局严格成立、岁运动态作用或流派争议转M18/M21及动态引擎</x:v>
      </x:c>
      <x:c r="AD53" s="84" t="str">
        <x:v>比劫夺财病</x:v>
      </x:c>
      <x:c r="AE53" s="84" t="str">
        <x:v>根本之病在“比劫→财星克制链”：比劫有力并直接制财，财为格神或主要流通终点；表层表现为“财星受损，食伤生财链无稳定落点”。主药候选为“官杀制比或食伤通关生财”，药理为“制”；最终喜忌与主次仍转M17/M18裁决。</x:v>
      </x:c>
      <x:c r="AF53" s="82" t="str">
        <x:v>较高</x:v>
      </x:c>
      <x:c r="AG53" s="82" t="str">
        <x:v>病药</x:v>
      </x:c>
      <x:c r="AH5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3" s="68" t="str">
        <x:v>当“M11/M15比劫夺财成立，且财星为关键”真实成立，且药神能够直接作用病位时，可按“比劫夺财破坏财星承载功能”记录。</x:v>
      </x:c>
      <x:c r="AJ53" s="90" t="str">
        <x:v>只有表面“财星受损，食伤生财链无稳定落点”，但未证明根因“比劫有力并直接制财，财为格神或主要流通终点”及药神作用路径时，不得套用“比劫夺财破坏财星承载功能”。</x:v>
      </x:c>
      <x:c r="AK53" s="82" t="str">
        <x:v>采用</x:v>
      </x:c>
      <x:c r="AL53" s="82" t="str">
        <x:v>初审</x:v>
      </x:c>
      <x:c r="AM53" s="87" t="n">
        <x:v>46260</x:v>
      </x:c>
    </x:row>
    <x:row r="54">
      <x:c r="A54" s="72" t="str">
        <x:f>IF(OR(C54="",D54=""),"",B54&amp;"-"&amp;UPPER(C54)&amp;"-"&amp;TEXT(D54,"0000")&amp;"-"&amp;E54)</x:f>
        <x:v>M16-CONTROL-0048-V1.0</x:v>
      </x:c>
      <x:c r="B54" s="74" t="str">
        <x:v>M16</x:v>
      </x:c>
      <x:c r="C54" s="74" t="str">
        <x:v>CONTROL</x:v>
      </x:c>
      <x:c r="D54" s="215" t="n">
        <x:v>48</x:v>
      </x:c>
      <x:c r="E54" s="74" t="str">
        <x:v>V1.0</x:v>
      </x:c>
      <x:c r="F54" s="68" t="str">
        <x:v>官杀混杂主从不清形成多路制身病</x:v>
      </x:c>
      <x:c r="G54" s="82" t="str">
        <x:v>综合层</x:v>
      </x:c>
      <x:c r="H54" s="82" t="str">
        <x:v>制化病</x:v>
      </x:c>
      <x:c r="I54" s="68" t="str">
        <x:v>正官、七杀—日主双路径</x:v>
      </x:c>
      <x:c r="J54" s="68" t="str">
        <x:v>官杀混杂</x:v>
      </x:c>
      <x:c r="K54" s="68" t="str">
        <x:v>官杀均有效且同时制身，主从不清，无去留清化</x:v>
      </x:c>
      <x:c r="L54" s="68" t="str">
        <x:v>制身压力复杂，格局清纯度下降</x:v>
      </x:c>
      <x:c r="M54" s="82" t="str">
        <x:v>明显</x:v>
      </x:c>
      <x:c r="N54" s="68" t="str">
        <x:v>合制一方以清杂，或印化主要官杀</x:v>
      </x:c>
      <x:c r="O54" s="68" t="str">
        <x:v>食神制杀或保护所留官杀者</x:v>
      </x:c>
      <x:c r="P54" s="82" t="str">
        <x:v>清杂</x:v>
      </x:c>
      <x:c r="Q54" s="68" t="str">
        <x:v>M11/M15官杀混杂成立且无清化</x:v>
      </x:c>
      <x:c r="R54" s="90" t="str">
        <x:v>一方极弱或已失效时不立严重混杂病</x:v>
      </x:c>
      <x:c r="S54" s="90" t="str">
        <x:v>主要病位未被修复，原有失衡继续运行</x:v>
      </x:c>
      <x:c r="T54" s="90" t="str">
        <x:v>去留错误会伤所需官杀或导致无制衡</x:v>
      </x:c>
      <x:c r="U54" s="82" t="str">
        <x:v>条件性</x:v>
      </x:c>
      <x:c r="V54" s="90" t="str">
        <x:v>条件性</x:v>
      </x:c>
      <x:c r="W54" s="90" t="str">
        <x:v>官杀失衡或格局破坏</x:v>
      </x:c>
      <x:c r="X54" s="68" t="str">
        <x:v>M08有效旺衰、M09日主旺衰、M10十神功能、M11组合、M12流通、M13调候、M15格局成败均已完成</x:v>
      </x:c>
      <x:c r="Y54" s="68" t="str">
        <x:v>病位、根因、功能障碍与药神作用路径均能够追溯</x:v>
      </x:c>
      <x:c r="Z54" s="68" t="str">
        <x:v>药神有根有源、透达，能够直接进入病位且兼顾多个主要问题</x:v>
      </x:c>
      <x:c r="AA54" s="68" t="str">
        <x:v>药神无根、受强制、被合绊、作用路径遥隔或同时被多个任务分流</x:v>
      </x:c>
      <x:c r="AB54" s="90" t="str">
        <x:v>若该失衡没有造成实际功能障碍，或特殊格局要求顺势，则不得按普通病药立论</x:v>
      </x:c>
      <x:c r="AC54" s="68" t="str">
        <x:v>特殊格局严格成立、岁运动态作用或流派争议转M18/M21及动态引擎</x:v>
      </x:c>
      <x:c r="AD54" s="84" t="str">
        <x:v>官杀混杂病</x:v>
      </x:c>
      <x:c r="AE54" s="84" t="str">
        <x:v>根本之病在“正官、七杀—日主双路径”：官杀均有效且同时制身，主从不清，无去留清化；表层表现为“制身压力复杂，格局清纯度下降”。主药候选为“合制一方以清杂，或印化主要官杀”，药理为“清杂”；最终喜忌与主次仍转M17/M18裁决。</x:v>
      </x:c>
      <x:c r="AF54" s="82" t="str">
        <x:v>较高</x:v>
      </x:c>
      <x:c r="AG54" s="82" t="str">
        <x:v>病药</x:v>
      </x:c>
      <x:c r="AH5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4" s="68" t="str">
        <x:v>当“M11/M15官杀混杂成立且无清化”真实成立，且药神能够直接作用病位时，可按“官杀混杂主从不清形成多路制身病”记录。</x:v>
      </x:c>
      <x:c r="AJ54" s="90" t="str">
        <x:v>只有表面“制身压力复杂，格局清纯度下降”，但未证明根因“官杀均有效且同时制身，主从不清，无去留清化”及药神作用路径时，不得套用“官杀混杂主从不清形成多路制身病”。</x:v>
      </x:c>
      <x:c r="AK54" s="82" t="str">
        <x:v>采用</x:v>
      </x:c>
      <x:c r="AL54" s="82" t="str">
        <x:v>初审</x:v>
      </x:c>
      <x:c r="AM54" s="87" t="n">
        <x:v>46260</x:v>
      </x:c>
    </x:row>
    <x:row r="55">
      <x:c r="A55" s="72" t="str">
        <x:f>IF(OR(C55="",D55=""),"",B55&amp;"-"&amp;UPPER(C55)&amp;"-"&amp;TEXT(D55,"0000")&amp;"-"&amp;E55)</x:f>
        <x:v>M16-CONTROL-0049-V1.0</x:v>
      </x:c>
      <x:c r="B55" s="74" t="str">
        <x:v>M16</x:v>
      </x:c>
      <x:c r="C55" s="74" t="str">
        <x:v>CONTROL</x:v>
      </x:c>
      <x:c r="D55" s="215" t="n">
        <x:v>49</x:v>
      </x:c>
      <x:c r="E55" s="74" t="str">
        <x:v>V1.0</x:v>
      </x:c>
      <x:c r="F55" s="68" t="str">
        <x:v>食伤混杂主从不清导致输出功能分散</x:v>
      </x:c>
      <x:c r="G55" s="82" t="str">
        <x:v>综合层</x:v>
      </x:c>
      <x:c r="H55" s="82" t="str">
        <x:v>制化病</x:v>
      </x:c>
      <x:c r="I55" s="68" t="str">
        <x:v>食神、伤官输出集团</x:v>
      </x:c>
      <x:c r="J55" s="68" t="str">
        <x:v>食伤混杂</x:v>
      </x:c>
      <x:c r="K55" s="68" t="str">
        <x:v>食神与伤官均有效、主从不清，分别承担不同方向功能</x:v>
      </x:c>
      <x:c r="L55" s="68" t="str">
        <x:v>泄秀、生财、制杀、克官路径相互竞争</x:v>
      </x:c>
      <x:c r="M55" s="82" t="str">
        <x:v>一般</x:v>
      </x:c>
      <x:c r="N55" s="68" t="str">
        <x:v>清一留一或通过财星统一承接</x:v>
      </x:c>
      <x:c r="O55" s="68" t="str">
        <x:v>印星适度约束不必要输出</x:v>
      </x:c>
      <x:c r="P55" s="82" t="str">
        <x:v>清杂</x:v>
      </x:c>
      <x:c r="Q55" s="68" t="str">
        <x:v>M11食伤混杂成立并实际影响主组合</x:v>
      </x:c>
      <x:c r="R55" s="90" t="str">
        <x:v>一方弱或两者同向生财且无冲突时，不必强行清杂</x:v>
      </x:c>
      <x:c r="S55" s="90" t="str">
        <x:v>主要病位未被修复，原有失衡继续运行</x:v>
      </x:c>
      <x:c r="T55" s="90" t="str">
        <x:v>印制过度会使食伤整体失效</x:v>
      </x:c>
      <x:c r="U55" s="82" t="str">
        <x:v>条件性</x:v>
      </x:c>
      <x:c r="V55" s="90" t="str">
        <x:v>条件性</x:v>
      </x:c>
      <x:c r="W55" s="90" t="str">
        <x:v>枭夺食或输出不足</x:v>
      </x:c>
      <x:c r="X55" s="68" t="str">
        <x:v>M08有效旺衰、M09日主旺衰、M10十神功能、M11组合、M12流通、M13调候、M15格局成败均已完成</x:v>
      </x:c>
      <x:c r="Y55" s="68" t="str">
        <x:v>病位、根因、功能障碍与药神作用路径均能够追溯</x:v>
      </x:c>
      <x:c r="Z55" s="68" t="str">
        <x:v>药神有根有源、透达，能够直接进入病位且兼顾多个主要问题</x:v>
      </x:c>
      <x:c r="AA55" s="68" t="str">
        <x:v>药神无根、受强制、被合绊、作用路径遥隔或同时被多个任务分流</x:v>
      </x:c>
      <x:c r="AB55" s="90" t="str">
        <x:v>若该失衡没有造成实际功能障碍，或特殊格局要求顺势，则不得按普通病药立论</x:v>
      </x:c>
      <x:c r="AC55" s="68" t="str">
        <x:v>特殊格局严格成立、岁运动态作用或流派争议转M18/M21及动态引擎</x:v>
      </x:c>
      <x:c r="AD55" s="84" t="str">
        <x:v>食伤混杂病</x:v>
      </x:c>
      <x:c r="AE55" s="84" t="str">
        <x:v>根本之病在“食神、伤官输出集团”：食神与伤官均有效、主从不清，分别承担不同方向功能；表层表现为“泄秀、生财、制杀、克官路径相互竞争”。主药候选为“清一留一或通过财星统一承接”，药理为“清杂”；最终喜忌与主次仍转M17/M18裁决。</x:v>
      </x:c>
      <x:c r="AF55" s="82" t="str">
        <x:v>较高</x:v>
      </x:c>
      <x:c r="AG55" s="82" t="str">
        <x:v>病药</x:v>
      </x:c>
      <x:c r="AH5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5" s="68" t="str">
        <x:v>当“M11食伤混杂成立并实际影响主组合”真实成立，且药神能够直接作用病位时，可按“食伤混杂主从不清导致输出功能分散”记录。</x:v>
      </x:c>
      <x:c r="AJ55" s="90" t="str">
        <x:v>只有表面“泄秀、生财、制杀、克官路径相互竞争”，但未证明根因“食神与伤官均有效、主从不清，分别承担不同方向功能”及药神作用路径时，不得套用“食伤混杂主从不清导致输出功能分散”。</x:v>
      </x:c>
      <x:c r="AK55" s="82" t="str">
        <x:v>采用</x:v>
      </x:c>
      <x:c r="AL55" s="82" t="str">
        <x:v>初审</x:v>
      </x:c>
      <x:c r="AM55" s="87" t="n">
        <x:v>46260</x:v>
      </x:c>
    </x:row>
    <x:row r="56">
      <x:c r="A56" s="72" t="str">
        <x:f>IF(OR(C56="",D56=""),"",B56&amp;"-"&amp;UPPER(C56)&amp;"-"&amp;TEXT(D56,"0000")&amp;"-"&amp;E56)</x:f>
        <x:v>M16-CONTROL-0050-V1.0</x:v>
      </x:c>
      <x:c r="B56" s="74" t="str">
        <x:v>M16</x:v>
      </x:c>
      <x:c r="C56" s="74" t="str">
        <x:v>CONTROL</x:v>
      </x:c>
      <x:c r="D56" s="215" t="n">
        <x:v>50</x:v>
      </x:c>
      <x:c r="E56" s="74" t="str">
        <x:v>V1.0</x:v>
      </x:c>
      <x:c r="F56" s="68" t="str">
        <x:v>印枭混杂使生身与制食功能主次不清</x:v>
      </x:c>
      <x:c r="G56" s="82" t="str">
        <x:v>综合层</x:v>
      </x:c>
      <x:c r="H56" s="82" t="str">
        <x:v>制化病</x:v>
      </x:c>
      <x:c r="I56" s="68" t="str">
        <x:v>正印、偏印集团</x:v>
      </x:c>
      <x:c r="J56" s="68" t="str">
        <x:v>印枭混杂</x:v>
      </x:c>
      <x:c r="K56" s="68" t="str">
        <x:v>正偏印均有效，既生身又制食伤，功能方向和清纯度下降</x:v>
      </x:c>
      <x:c r="L56" s="68" t="str">
        <x:v>印格或食伤结构不稳定</x:v>
      </x:c>
      <x:c r="M56" s="82" t="str">
        <x:v>一般</x:v>
      </x:c>
      <x:c r="N56" s="68" t="str">
        <x:v>清一留一或财星适度制偏印</x:v>
      </x:c>
      <x:c r="O56" s="68" t="str">
        <x:v>保护正印或关键食神</x:v>
      </x:c>
      <x:c r="P56" s="82" t="str">
        <x:v>清杂</x:v>
      </x:c>
      <x:c r="Q56" s="68" t="str">
        <x:v>M11/M15印枭混杂成立且影响关键结构</x:v>
      </x:c>
      <x:c r="R56" s="90" t="str">
        <x:v>杀印相生需要偏印或正印时不得机械清除</x:v>
      </x:c>
      <x:c r="S56" s="90" t="str">
        <x:v>主要病位未被修复，原有失衡继续运行</x:v>
      </x:c>
      <x:c r="T56" s="90" t="str">
        <x:v>财过强会坏印，食伤过强会泄身</x:v>
      </x:c>
      <x:c r="U56" s="82" t="str">
        <x:v>条件性</x:v>
      </x:c>
      <x:c r="V56" s="90" t="str">
        <x:v>条件性</x:v>
      </x:c>
      <x:c r="W56" s="90" t="str">
        <x:v>财坏印或身弱</x:v>
      </x:c>
      <x:c r="X56" s="68" t="str">
        <x:v>M08有效旺衰、M09日主旺衰、M10十神功能、M11组合、M12流通、M13调候、M15格局成败均已完成</x:v>
      </x:c>
      <x:c r="Y56" s="68" t="str">
        <x:v>病位、根因、功能障碍与药神作用路径均能够追溯</x:v>
      </x:c>
      <x:c r="Z56" s="68" t="str">
        <x:v>药神有根有源、透达，能够直接进入病位且兼顾多个主要问题</x:v>
      </x:c>
      <x:c r="AA56" s="68" t="str">
        <x:v>药神无根、受强制、被合绊、作用路径遥隔或同时被多个任务分流</x:v>
      </x:c>
      <x:c r="AB56" s="90" t="str">
        <x:v>若该失衡没有造成实际功能障碍，或特殊格局要求顺势，则不得按普通病药立论</x:v>
      </x:c>
      <x:c r="AC56" s="68" t="str">
        <x:v>特殊格局严格成立、岁运动态作用或流派争议转M18/M21及动态引擎</x:v>
      </x:c>
      <x:c r="AD56" s="84" t="str">
        <x:v>印枭混杂病</x:v>
      </x:c>
      <x:c r="AE56" s="84" t="str">
        <x:v>根本之病在“正印、偏印集团”：正偏印均有效，既生身又制食伤，功能方向和清纯度下降；表层表现为“印格或食伤结构不稳定”。主药候选为“清一留一或财星适度制偏印”，药理为“清杂”；最终喜忌与主次仍转M17/M18裁决。</x:v>
      </x:c>
      <x:c r="AF56" s="82" t="str">
        <x:v>较高</x:v>
      </x:c>
      <x:c r="AG56" s="82" t="str">
        <x:v>病药</x:v>
      </x:c>
      <x:c r="AH5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6" s="68" t="str">
        <x:v>当“M11/M15印枭混杂成立且影响关键结构”真实成立，且药神能够直接作用病位时，可按“印枭混杂使生身与制食功能主次不清”记录。</x:v>
      </x:c>
      <x:c r="AJ56" s="90" t="str">
        <x:v>只有表面“印格或食伤结构不稳定”，但未证明根因“正偏印均有效，既生身又制食伤，功能方向和清纯度下降”及药神作用路径时，不得套用“印枭混杂使生身与制食功能主次不清”。</x:v>
      </x:c>
      <x:c r="AK56" s="82" t="str">
        <x:v>采用</x:v>
      </x:c>
      <x:c r="AL56" s="82" t="str">
        <x:v>初审</x:v>
      </x:c>
      <x:c r="AM56" s="87" t="n">
        <x:v>46260</x:v>
      </x:c>
    </x:row>
    <x:row r="57">
      <x:c r="A57" s="72" t="str">
        <x:f>IF(OR(C57="",D57=""),"",B57&amp;"-"&amp;UPPER(C57)&amp;"-"&amp;TEXT(D57,"0000")&amp;"-"&amp;E57)</x:f>
        <x:v>M16-CONTROL-0051-V1.0</x:v>
      </x:c>
      <x:c r="B57" s="74" t="str">
        <x:v>M16</x:v>
      </x:c>
      <x:c r="C57" s="74" t="str">
        <x:v>CONTROL</x:v>
      </x:c>
      <x:c r="D57" s="215" t="n">
        <x:v>51</x:v>
      </x:c>
      <x:c r="E57" s="74" t="str">
        <x:v>V1.0</x:v>
      </x:c>
      <x:c r="F57" s="68" t="str">
        <x:v>财星持续生杀放大七杀压力</x:v>
      </x:c>
      <x:c r="G57" s="82" t="str">
        <x:v>综合层</x:v>
      </x:c>
      <x:c r="H57" s="82" t="str">
        <x:v>制化病</x:v>
      </x:c>
      <x:c r="I57" s="68" t="str">
        <x:v>财→七杀→日主链</x:v>
      </x:c>
      <x:c r="J57" s="68" t="str">
        <x:v>财滋杀</x:v>
      </x:c>
      <x:c r="K57" s="68" t="str">
        <x:v>财星旺强并持续生七杀，七杀制化不足</x:v>
      </x:c>
      <x:c r="L57" s="68" t="str">
        <x:v>日主同时承受财耗与杀制</x:v>
      </x:c>
      <x:c r="M57" s="82" t="str">
        <x:v>严重</x:v>
      </x:c>
      <x:c r="N57" s="68" t="str">
        <x:v>制财、化杀或建立食制杀路线</x:v>
      </x:c>
      <x:c r="O57" s="68" t="str">
        <x:v>印比增强承载</x:v>
      </x:c>
      <x:c r="P57" s="82" t="str">
        <x:v>复合药理</x:v>
      </x:c>
      <x:c r="Q57" s="68" t="str">
        <x:v>M10财生杀、M11/M15杀压过重且非从杀</x:v>
      </x:c>
      <x:c r="R57" s="90" t="str">
        <x:v>财为核心格神时强制财会伤格，需优先化杀或增强承载</x:v>
      </x:c>
      <x:c r="S57" s="90" t="str">
        <x:v>主要病位未被修复，原有失衡继续运行</x:v>
      </x:c>
      <x:c r="T57" s="90" t="str">
        <x:v>制财过度破财格，食制过度泄身</x:v>
      </x:c>
      <x:c r="U57" s="82" t="str">
        <x:v>条件性</x:v>
      </x:c>
      <x:c r="V57" s="90" t="str">
        <x:v>是</x:v>
      </x:c>
      <x:c r="W57" s="90" t="str">
        <x:v>财格受损或泄身过度</x:v>
      </x:c>
      <x:c r="X57" s="68" t="str">
        <x:v>M08有效旺衰、M09日主旺衰、M10十神功能、M11组合、M12流通、M13调候、M15格局成败均已完成</x:v>
      </x:c>
      <x:c r="Y57" s="68" t="str">
        <x:v>病位、根因、功能障碍与药神作用路径均能够追溯</x:v>
      </x:c>
      <x:c r="Z57" s="68" t="str">
        <x:v>药神有根有源、透达，能够直接进入病位且兼顾多个主要问题</x:v>
      </x:c>
      <x:c r="AA57" s="68" t="str">
        <x:v>药神无根、受强制、被合绊、作用路径遥隔或同时被多个任务分流</x:v>
      </x:c>
      <x:c r="AB57" s="90" t="str">
        <x:v>若该失衡没有造成实际功能障碍，或特殊格局要求顺势，则不得按普通病药立论</x:v>
      </x:c>
      <x:c r="AC57" s="68" t="str">
        <x:v>特殊格局严格成立、岁运动态作用或流派争议转M18/M21及动态引擎</x:v>
      </x:c>
      <x:c r="AD57" s="84" t="str">
        <x:v>财滋杀病</x:v>
      </x:c>
      <x:c r="AE57" s="84" t="str">
        <x:v>根本之病在“财→七杀→日主链”：财星旺强并持续生七杀，七杀制化不足；表层表现为“日主同时承受财耗与杀制”。主药候选为“制财、化杀或建立食制杀路线”，药理为“复合药理”；最终喜忌与主次仍转M17/M18裁决。</x:v>
      </x:c>
      <x:c r="AF57" s="82" t="str">
        <x:v>较高</x:v>
      </x:c>
      <x:c r="AG57" s="82" t="str">
        <x:v>病药</x:v>
      </x:c>
      <x:c r="AH5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7" s="68" t="str">
        <x:v>当“M10财生杀、M11/M15杀压过重且非从杀”真实成立，且药神能够直接作用病位时，可按“财星持续生杀放大七杀压力”记录。</x:v>
      </x:c>
      <x:c r="AJ57" s="90" t="str">
        <x:v>只有表面“日主同时承受财耗与杀制”，但未证明根因“财星旺强并持续生七杀，七杀制化不足”及药神作用路径时，不得套用“财星持续生杀放大七杀压力”。</x:v>
      </x:c>
      <x:c r="AK57" s="82" t="str">
        <x:v>采用</x:v>
      </x:c>
      <x:c r="AL57" s="82" t="str">
        <x:v>初审</x:v>
      </x:c>
      <x:c r="AM57" s="87" t="n">
        <x:v>46260</x:v>
      </x:c>
    </x:row>
    <x:row r="58">
      <x:c r="A58" s="72" t="str">
        <x:f>IF(OR(C58="",D58=""),"",B58&amp;"-"&amp;UPPER(C58)&amp;"-"&amp;TEXT(D58,"0000")&amp;"-"&amp;E58)</x:f>
        <x:v>M16-CONTROL-0052-V1.0</x:v>
      </x:c>
      <x:c r="B58" s="74" t="str">
        <x:v>M16</x:v>
      </x:c>
      <x:c r="C58" s="74" t="str">
        <x:v>CONTROL</x:v>
      </x:c>
      <x:c r="D58" s="215" t="n">
        <x:v>52</x:v>
      </x:c>
      <x:c r="E58" s="74" t="str">
        <x:v>V1.0</x:v>
      </x:c>
      <x:c r="F58" s="68" t="str">
        <x:v>制化两立造成路线竞争</x:v>
      </x:c>
      <x:c r="G58" s="82" t="str">
        <x:v>综合层</x:v>
      </x:c>
      <x:c r="H58" s="82" t="str">
        <x:v>制化病</x:v>
      </x:c>
      <x:c r="I58" s="68" t="str">
        <x:v>同一官杀或食伤共享节点</x:v>
      </x:c>
      <x:c r="J58" s="68" t="str">
        <x:v>制化竞争</x:v>
      </x:c>
      <x:c r="K58" s="68" t="str">
        <x:v>食神制杀与印化杀、印制伤与财通关等多路线同时争夺同一力量</x:v>
      </x:c>
      <x:c r="L58" s="68" t="str">
        <x:v>每条路线表面成立但容量不足或互相破坏</x:v>
      </x:c>
      <x:c r="M58" s="82" t="str">
        <x:v>明显</x:v>
      </x:c>
      <x:c r="N58" s="68" t="str">
        <x:v>选择主导且副作用较小的一条制化路线</x:v>
      </x:c>
      <x:c r="O58" s="68" t="str">
        <x:v>保护主路线、降低次路线竞争</x:v>
      </x:c>
      <x:c r="P58" s="82" t="str">
        <x:v>清杂</x:v>
      </x:c>
      <x:c r="Q58" s="68" t="str">
        <x:v>M11制化两立成立且共享节点容量不足</x:v>
      </x:c>
      <x:c r="R58" s="90" t="str">
        <x:v>两条路线能协同且容量充足时，不应强行二选一</x:v>
      </x:c>
      <x:c r="S58" s="90" t="str">
        <x:v>主要病位未被修复，原有失衡继续运行</x:v>
      </x:c>
      <x:c r="T58" s="90" t="str">
        <x:v>药神反向过度，可能跨越平衡并形成新的结构性失衡</x:v>
      </x:c>
      <x:c r="U58" s="82" t="str">
        <x:v>条件性</x:v>
      </x:c>
      <x:c r="V58" s="90" t="str">
        <x:v>条件性</x:v>
      </x:c>
      <x:c r="W58" s="90" t="str">
        <x:v>药力分散、枭夺食或格局冲突</x:v>
      </x:c>
      <x:c r="X58" s="68" t="str">
        <x:v>M08有效旺衰、M09日主旺衰、M10十神功能、M11组合、M12流通、M13调候、M15格局成败均已完成</x:v>
      </x:c>
      <x:c r="Y58" s="68" t="str">
        <x:v>病位、根因、功能障碍与药神作用路径均能够追溯</x:v>
      </x:c>
      <x:c r="Z58" s="68" t="str">
        <x:v>药神有根有源、透达，能够直接进入病位且兼顾多个主要问题</x:v>
      </x:c>
      <x:c r="AA58" s="68" t="str">
        <x:v>药神无根、受强制、被合绊、作用路径遥隔或同时被多个任务分流</x:v>
      </x:c>
      <x:c r="AB58" s="90" t="str">
        <x:v>若该失衡没有造成实际功能障碍，或特殊格局要求顺势，则不得按普通病药立论</x:v>
      </x:c>
      <x:c r="AC58" s="68" t="str">
        <x:v>特殊格局严格成立、岁运动态作用或流派争议转M18/M21及动态引擎</x:v>
      </x:c>
      <x:c r="AD58" s="84" t="str">
        <x:v>制化两立病</x:v>
      </x:c>
      <x:c r="AE58" s="84" t="str">
        <x:v>根本之病在“同一官杀或食伤共享节点”：食神制杀与印化杀、印制伤与财通关等多路线同时争夺同一力量；表层表现为“每条路线表面成立但容量不足或互相破坏”。主药候选为“选择主导且副作用较小的一条制化路线”，药理为“清杂”；最终喜忌与主次仍转M17/M18裁决。</x:v>
      </x:c>
      <x:c r="AF58" s="82" t="str">
        <x:v>较高</x:v>
      </x:c>
      <x:c r="AG58" s="82" t="str">
        <x:v>病药</x:v>
      </x:c>
      <x:c r="AH5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8" s="68" t="str">
        <x:v>当“M11制化两立成立且共享节点容量不足”真实成立，且药神能够直接作用病位时，可按“制化两立造成路线竞争”记录。</x:v>
      </x:c>
      <x:c r="AJ58" s="90" t="str">
        <x:v>只有表面“每条路线表面成立但容量不足或互相破坏”，但未证明根因“食神制杀与印化杀、印制伤与财通关等多路线同时争夺同一力量”及药神作用路径时，不得套用“制化两立造成路线竞争”。</x:v>
      </x:c>
      <x:c r="AK58" s="82" t="str">
        <x:v>采用</x:v>
      </x:c>
      <x:c r="AL58" s="82" t="str">
        <x:v>初审</x:v>
      </x:c>
      <x:c r="AM58" s="87" t="n">
        <x:v>46260</x:v>
      </x:c>
    </x:row>
    <x:row r="59">
      <x:c r="A59" s="72" t="str">
        <x:f>IF(OR(C59="",D59=""),"",B59&amp;"-"&amp;UPPER(C59)&amp;"-"&amp;TEXT(D59,"0000")&amp;"-"&amp;E59)</x:f>
        <x:v>M16-CONTROL-0053-V1.0</x:v>
      </x:c>
      <x:c r="B59" s="74" t="str">
        <x:v>M16</x:v>
      </x:c>
      <x:c r="C59" s="74" t="str">
        <x:v>CONTROL</x:v>
      </x:c>
      <x:c r="D59" s="215" t="n">
        <x:v>53</x:v>
      </x:c>
      <x:c r="E59" s="74" t="str">
        <x:v>V1.0</x:v>
      </x:c>
      <x:c r="F59" s="68" t="str">
        <x:v>羊刃强而无制形成刃势失控</x:v>
      </x:c>
      <x:c r="G59" s="82" t="str">
        <x:v>综合层</x:v>
      </x:c>
      <x:c r="H59" s="82" t="str">
        <x:v>制化病</x:v>
      </x:c>
      <x:c r="I59" s="68" t="str">
        <x:v>羊刃/比劫集团</x:v>
      </x:c>
      <x:c r="J59" s="68" t="str">
        <x:v>强刃无制</x:v>
      </x:c>
      <x:c r="K59" s="68" t="str">
        <x:v>刃势得令成势，官杀弱，食伤财星也不能有效泄耗</x:v>
      </x:c>
      <x:c r="L59" s="68" t="str">
        <x:v>强身集团缺乏制衡</x:v>
      </x:c>
      <x:c r="M59" s="82" t="str">
        <x:v>严重</x:v>
      </x:c>
      <x:c r="N59" s="68" t="str">
        <x:v>有根官杀制刃或食伤泄刃</x:v>
      </x:c>
      <x:c r="O59" s="68" t="str">
        <x:v>印星仅在化杀需要时使用</x:v>
      </x:c>
      <x:c r="P59" s="82" t="str">
        <x:v>制</x:v>
      </x:c>
      <x:c r="Q59" s="68" t="str">
        <x:v>M15羊刃格成立但杀弱或无制</x:v>
      </x:c>
      <x:c r="R59" s="90" t="str">
        <x:v>从旺/专旺严格成立时不得按普通制刃</x:v>
      </x:c>
      <x:c r="S59" s="90" t="str">
        <x:v>主要病位未被修复，原有失衡继续运行</x:v>
      </x:c>
      <x:c r="T59" s="90" t="str">
        <x:v>官杀过强制刃太过，食伤过旺泄身过度</x:v>
      </x:c>
      <x:c r="U59" s="82" t="str">
        <x:v>条件性</x:v>
      </x:c>
      <x:c r="V59" s="90" t="str">
        <x:v>是</x:v>
      </x:c>
      <x:c r="W59" s="90" t="str">
        <x:v>官杀压身或泄身过度</x:v>
      </x:c>
      <x:c r="X59" s="68" t="str">
        <x:v>M08有效旺衰、M09日主旺衰、M10十神功能、M11组合、M12流通、M13调候、M15格局成败均已完成</x:v>
      </x:c>
      <x:c r="Y59" s="68" t="str">
        <x:v>病位、根因、功能障碍与药神作用路径均能够追溯</x:v>
      </x:c>
      <x:c r="Z59" s="68" t="str">
        <x:v>药神有根有源、透达，能够直接进入病位且兼顾多个主要问题</x:v>
      </x:c>
      <x:c r="AA59" s="68" t="str">
        <x:v>药神无根、受强制、被合绊、作用路径遥隔或同时被多个任务分流</x:v>
      </x:c>
      <x:c r="AB59" s="90" t="str">
        <x:v>若该失衡没有造成实际功能障碍，或特殊格局要求顺势，则不得按普通病药立论</x:v>
      </x:c>
      <x:c r="AC59" s="68" t="str">
        <x:v>特殊格局严格成立、岁运动态作用或流派争议转M18/M21及动态引擎</x:v>
      </x:c>
      <x:c r="AD59" s="84" t="str">
        <x:v>羊刃无制病</x:v>
      </x:c>
      <x:c r="AE59" s="84" t="str">
        <x:v>根本之病在“羊刃/比劫集团”：刃势得令成势，官杀弱，食伤财星也不能有效泄耗；表层表现为“强身集团缺乏制衡”。主药候选为“有根官杀制刃或食伤泄刃”，药理为“制”；最终喜忌与主次仍转M17/M18裁决。</x:v>
      </x:c>
      <x:c r="AF59" s="82" t="str">
        <x:v>较高</x:v>
      </x:c>
      <x:c r="AG59" s="82" t="str">
        <x:v>病药</x:v>
      </x:c>
      <x:c r="AH5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9" s="68" t="str">
        <x:v>当“M15羊刃格成立但杀弱或无制”真实成立，且药神能够直接作用病位时，可按“羊刃强而无制形成刃势失控”记录。</x:v>
      </x:c>
      <x:c r="AJ59" s="90" t="str">
        <x:v>只有表面“强身集团缺乏制衡”，但未证明根因“刃势得令成势，官杀弱，食伤财星也不能有效泄耗”及药神作用路径时，不得套用“羊刃强而无制形成刃势失控”。</x:v>
      </x:c>
      <x:c r="AK59" s="82" t="str">
        <x:v>采用</x:v>
      </x:c>
      <x:c r="AL59" s="82" t="str">
        <x:v>初审</x:v>
      </x:c>
      <x:c r="AM59" s="87" t="n">
        <x:v>46260</x:v>
      </x:c>
    </x:row>
    <x:row r="60">
      <x:c r="A60" s="72" t="str">
        <x:f>IF(OR(C60="",D60=""),"",B60&amp;"-"&amp;UPPER(C60)&amp;"-"&amp;TEXT(D60,"0000")&amp;"-"&amp;E60)</x:f>
        <x:v>M16-CONTROL-0054-V1.0</x:v>
      </x:c>
      <x:c r="B60" s="74" t="str">
        <x:v>M16</x:v>
      </x:c>
      <x:c r="C60" s="74" t="str">
        <x:v>CONTROL</x:v>
      </x:c>
      <x:c r="D60" s="215" t="n">
        <x:v>54</x:v>
      </x:c>
      <x:c r="E60" s="74" t="str">
        <x:v>V1.0</x:v>
      </x:c>
      <x:c r="F60" s="68" t="str">
        <x:v>制刃太过使日主承载转弱</x:v>
      </x:c>
      <x:c r="G60" s="82" t="str">
        <x:v>综合层</x:v>
      </x:c>
      <x:c r="H60" s="82" t="str">
        <x:v>制化病</x:v>
      </x:c>
      <x:c r="I60" s="68" t="str">
        <x:v>官杀→羊刃制约链</x:v>
      </x:c>
      <x:c r="J60" s="68" t="str">
        <x:v>制刃过度</x:v>
      </x:c>
      <x:c r="K60" s="68" t="str">
        <x:v>官杀远强于刃势与日主承载，原制衡转为压身</x:v>
      </x:c>
      <x:c r="L60" s="68" t="str">
        <x:v>羊刃驾杀结构失去平衡</x:v>
      </x:c>
      <x:c r="M60" s="82" t="str">
        <x:v>明显</x:v>
      </x:c>
      <x:c r="N60" s="68" t="str">
        <x:v>印星化杀或比劫补充承载</x:v>
      </x:c>
      <x:c r="O60" s="68" t="str">
        <x:v>适度制约官杀</x:v>
      </x:c>
      <x:c r="P60" s="82" t="str">
        <x:v>化</x:v>
      </x:c>
      <x:c r="Q60" s="68" t="str">
        <x:v>M15制刃太过成立</x:v>
      </x:c>
      <x:c r="R60" s="90" t="str">
        <x:v>不能把所有官杀都化掉，需保留必要制衡</x:v>
      </x:c>
      <x:c r="S60" s="90" t="str">
        <x:v>主要病位未被修复，原有失衡继续运行</x:v>
      </x:c>
      <x:c r="T60" s="90" t="str">
        <x:v>印比补强过度会恢复刃旺无制</x:v>
      </x:c>
      <x:c r="U60" s="82" t="str">
        <x:v>条件性</x:v>
      </x:c>
      <x:c r="V60" s="90" t="str">
        <x:v>条件性</x:v>
      </x:c>
      <x:c r="W60" s="90" t="str">
        <x:v>羊刃再旺或印多身滞</x:v>
      </x:c>
      <x:c r="X60" s="68" t="str">
        <x:v>M08有效旺衰、M09日主旺衰、M10十神功能、M11组合、M12流通、M13调候、M15格局成败均已完成</x:v>
      </x:c>
      <x:c r="Y60" s="68" t="str">
        <x:v>病位、根因、功能障碍与药神作用路径均能够追溯</x:v>
      </x:c>
      <x:c r="Z60" s="68" t="str">
        <x:v>药神有根有源、透达，能够直接进入病位且兼顾多个主要问题</x:v>
      </x:c>
      <x:c r="AA60" s="68" t="str">
        <x:v>药神无根、受强制、被合绊、作用路径遥隔或同时被多个任务分流</x:v>
      </x:c>
      <x:c r="AB60" s="90" t="str">
        <x:v>若该失衡没有造成实际功能障碍，或特殊格局要求顺势，则不得按普通病药立论</x:v>
      </x:c>
      <x:c r="AC60" s="68" t="str">
        <x:v>特殊格局严格成立、岁运动态作用或流派争议转M18/M21及动态引擎</x:v>
      </x:c>
      <x:c r="AD60" s="84" t="str">
        <x:v>制刃太过病</x:v>
      </x:c>
      <x:c r="AE60" s="84" t="str">
        <x:v>根本之病在“官杀→羊刃制约链”：官杀远强于刃势与日主承载，原制衡转为压身；表层表现为“羊刃驾杀结构失去平衡”。主药候选为“印星化杀或比劫补充承载”，药理为“化”；最终喜忌与主次仍转M17/M18裁决。</x:v>
      </x:c>
      <x:c r="AF60" s="82" t="str">
        <x:v>较高</x:v>
      </x:c>
      <x:c r="AG60" s="82" t="str">
        <x:v>病药</x:v>
      </x:c>
      <x:c r="AH6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0" s="68" t="str">
        <x:v>当“M15制刃太过成立”真实成立，且药神能够直接作用病位时，可按“制刃太过使日主承载转弱”记录。</x:v>
      </x:c>
      <x:c r="AJ60" s="90" t="str">
        <x:v>只有表面“羊刃驾杀结构失去平衡”，但未证明根因“官杀远强于刃势与日主承载，原制衡转为压身”及药神作用路径时，不得套用“制刃太过使日主承载转弱”。</x:v>
      </x:c>
      <x:c r="AK60" s="82" t="str">
        <x:v>采用</x:v>
      </x:c>
      <x:c r="AL60" s="82" t="str">
        <x:v>初审</x:v>
      </x:c>
      <x:c r="AM60" s="87" t="n">
        <x:v>46260</x:v>
      </x:c>
    </x:row>
    <x:row r="61">
      <x:c r="A61" s="72" t="str">
        <x:f>IF(OR(C61="",D61=""),"",B61&amp;"-"&amp;UPPER(C61)&amp;"-"&amp;TEXT(D61,"0000")&amp;"-"&amp;E61)</x:f>
        <x:v>M16-PATTERN-0055-V1.0</x:v>
      </x:c>
      <x:c r="B61" s="74" t="str">
        <x:v>M16</x:v>
      </x:c>
      <x:c r="C61" s="74" t="str">
        <x:v>PATTERN</x:v>
      </x:c>
      <x:c r="D61" s="215" t="n">
        <x:v>55</x:v>
      </x:c>
      <x:c r="E61" s="74" t="str">
        <x:v>V1.0</x:v>
      </x:c>
      <x:c r="F61" s="68" t="str">
        <x:v>格神受损但尚未失效形成格局病</x:v>
      </x:c>
      <x:c r="G61" s="82" t="str">
        <x:v>综合层</x:v>
      </x:c>
      <x:c r="H61" s="82" t="str">
        <x:v>格局病</x:v>
      </x:c>
      <x:c r="I61" s="68" t="str">
        <x:v>核心格神</x:v>
      </x:c>
      <x:c r="J61" s="68" t="str">
        <x:v>格神受损</x:v>
      </x:c>
      <x:c r="K61" s="68" t="str">
        <x:v>格神被克、合绊、混杂或根源受伤，主要功能下降</x:v>
      </x:c>
      <x:c r="L61" s="68" t="str">
        <x:v>格局成立但有破</x:v>
      </x:c>
      <x:c r="M61" s="82" t="str">
        <x:v>明显</x:v>
      </x:c>
      <x:c r="N61" s="68" t="str">
        <x:v>护持格神或制去破格之神</x:v>
      </x:c>
      <x:c r="O61" s="68" t="str">
        <x:v>恢复格神根源与流通</x:v>
      </x:c>
      <x:c r="P61" s="82" t="str">
        <x:v>护格</x:v>
      </x:c>
      <x:c r="Q61" s="68" t="str">
        <x:v>M15破格等级轻微至严重但非根本破格</x:v>
      </x:c>
      <x:c r="R61" s="90" t="str">
        <x:v>格神本身为全局病因时不能无条件护格</x:v>
      </x:c>
      <x:c r="S61" s="90" t="str">
        <x:v>主要病位未被修复，原有失衡继续运行</x:v>
      </x:c>
      <x:c r="T61" s="90" t="str">
        <x:v>护格过度可能加重旺衰、制化或调候问题</x:v>
      </x:c>
      <x:c r="U61" s="82" t="str">
        <x:v>否</x:v>
      </x:c>
      <x:c r="V61" s="90" t="str">
        <x:v>条件性</x:v>
      </x:c>
      <x:c r="W61" s="90" t="str">
        <x:v>旺衰或调候副作用</x:v>
      </x:c>
      <x:c r="X61" s="68" t="str">
        <x:v>M08有效旺衰、M09日主旺衰、M10十神功能、M11组合、M12流通、M13调候、M15格局成败均已完成</x:v>
      </x:c>
      <x:c r="Y61" s="68" t="str">
        <x:v>病位、根因、功能障碍与药神作用路径均能够追溯</x:v>
      </x:c>
      <x:c r="Z61" s="68" t="str">
        <x:v>药神有根有源、透达，能够直接进入病位且兼顾多个主要问题</x:v>
      </x:c>
      <x:c r="AA61" s="68" t="str">
        <x:v>药神无根、受强制、被合绊、作用路径遥隔或同时被多个任务分流</x:v>
      </x:c>
      <x:c r="AB61" s="90" t="str">
        <x:v>若该失衡没有造成实际功能障碍，或特殊格局要求顺势，则不得按普通病药立论</x:v>
      </x:c>
      <x:c r="AC61" s="68" t="str">
        <x:v>特殊格局严格成立、岁运动态作用或流派争议转M18/M21及动态引擎</x:v>
      </x:c>
      <x:c r="AD61" s="84" t="str">
        <x:v>格神受损病</x:v>
      </x:c>
      <x:c r="AE61" s="84" t="str">
        <x:v>根本之病在“核心格神”：格神被克、合绊、混杂或根源受伤，主要功能下降；表层表现为“格局成立但有破”。主药候选为“护持格神或制去破格之神”，药理为“护格”；最终喜忌与主次仍转M17/M18裁决。</x:v>
      </x:c>
      <x:c r="AF61" s="82" t="str">
        <x:v>较高</x:v>
      </x:c>
      <x:c r="AG61" s="82" t="str">
        <x:v>病药</x:v>
      </x:c>
      <x:c r="AH6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1" s="68" t="str">
        <x:v>当“M15破格等级轻微至严重但非根本破格”真实成立，且药神能够直接作用病位时，可按“格神受损但尚未失效形成格局病”记录。</x:v>
      </x:c>
      <x:c r="AJ61" s="90" t="str">
        <x:v>只有表面“格局成立但有破”，但未证明根因“格神被克、合绊、混杂或根源受伤，主要功能下降”及药神作用路径时，不得套用“格神受损但尚未失效形成格局病”。</x:v>
      </x:c>
      <x:c r="AK61" s="82" t="str">
        <x:v>采用</x:v>
      </x:c>
      <x:c r="AL61" s="82" t="str">
        <x:v>初审</x:v>
      </x:c>
      <x:c r="AM61" s="87" t="n">
        <x:v>46260</x:v>
      </x:c>
    </x:row>
    <x:row r="62">
      <x:c r="A62" s="72" t="str">
        <x:f>IF(OR(C62="",D62=""),"",B62&amp;"-"&amp;UPPER(C62)&amp;"-"&amp;TEXT(D62,"0000")&amp;"-"&amp;E62)</x:f>
        <x:v>M16-PATTERN-0056-V1.0</x:v>
      </x:c>
      <x:c r="B62" s="74" t="str">
        <x:v>M16</x:v>
      </x:c>
      <x:c r="C62" s="74" t="str">
        <x:v>PATTERN</x:v>
      </x:c>
      <x:c r="D62" s="215" t="n">
        <x:v>56</x:v>
      </x:c>
      <x:c r="E62" s="74" t="str">
        <x:v>V1.0</x:v>
      </x:c>
      <x:c r="F62" s="68" t="str">
        <x:v>格神失效构成根本格局病</x:v>
      </x:c>
      <x:c r="G62" s="82" t="str">
        <x:v>综合层</x:v>
      </x:c>
      <x:c r="H62" s="82" t="str">
        <x:v>格局病</x:v>
      </x:c>
      <x:c r="I62" s="68" t="str">
        <x:v>核心格神与主路径</x:v>
      </x:c>
      <x:c r="J62" s="68" t="str">
        <x:v>根本破格</x:v>
      </x:c>
      <x:c r="K62" s="68" t="str">
        <x:v>格神失效或核心作用路径完全中断</x:v>
      </x:c>
      <x:c r="L62" s="68" t="str">
        <x:v>M14候选无法在M15成格</x:v>
      </x:c>
      <x:c r="M62" s="82" t="str">
        <x:v>首要矛盾</x:v>
      </x:c>
      <x:c r="N62" s="68" t="str">
        <x:v>若可修复则恢复格神；否则转用替代格局的药理</x:v>
      </x:c>
      <x:c r="O62" s="68" t="str">
        <x:v>清除根本破格因素</x:v>
      </x:c>
      <x:c r="P62" s="82" t="str">
        <x:v>救应</x:v>
      </x:c>
      <x:c r="Q62" s="68" t="str">
        <x:v>M15根本破格成立</x:v>
      </x:c>
      <x:c r="R62" s="90" t="str">
        <x:v>不能为了保留格局名称而强行指定不现实的药神</x:v>
      </x:c>
      <x:c r="S62" s="90" t="str">
        <x:v>主要病位未被修复，原有失衡继续运行</x:v>
      </x:c>
      <x:c r="T62" s="90" t="str">
        <x:v>强救原格可能破坏更稳定的替代结构</x:v>
      </x:c>
      <x:c r="U62" s="82" t="str">
        <x:v>条件性</x:v>
      </x:c>
      <x:c r="V62" s="90" t="str">
        <x:v>条件性</x:v>
      </x:c>
      <x:c r="W62" s="90" t="str">
        <x:v>替代格局受损</x:v>
      </x:c>
      <x:c r="X62" s="68" t="str">
        <x:v>M08有效旺衰、M09日主旺衰、M10十神功能、M11组合、M12流通、M13调候、M15格局成败均已完成</x:v>
      </x:c>
      <x:c r="Y62" s="68" t="str">
        <x:v>病位、根因、功能障碍与药神作用路径均能够追溯</x:v>
      </x:c>
      <x:c r="Z62" s="68" t="str">
        <x:v>药神有根有源、透达，能够直接进入病位且兼顾多个主要问题</x:v>
      </x:c>
      <x:c r="AA62" s="68" t="str">
        <x:v>药神无根、受强制、被合绊、作用路径遥隔或同时被多个任务分流</x:v>
      </x:c>
      <x:c r="AB62" s="90" t="str">
        <x:v>若该失衡没有造成实际功能障碍，或特殊格局要求顺势，则不得按普通病药立论</x:v>
      </x:c>
      <x:c r="AC62" s="68" t="str">
        <x:v>特殊格局严格成立、岁运动态作用或流派争议转M18/M21及动态引擎</x:v>
      </x:c>
      <x:c r="AD62" s="84" t="str">
        <x:v>根本破格病</x:v>
      </x:c>
      <x:c r="AE62" s="84" t="str">
        <x:v>根本之病在“核心格神与主路径”：格神失效或核心作用路径完全中断；表层表现为“M14候选无法在M15成格”。主药候选为“若可修复则恢复格神；否则转用替代格局的药理”，药理为“救应”；最终喜忌与主次仍转M17/M18裁决。</x:v>
      </x:c>
      <x:c r="AF62" s="82" t="str">
        <x:v>较高</x:v>
      </x:c>
      <x:c r="AG62" s="82" t="str">
        <x:v>病药</x:v>
      </x:c>
      <x:c r="AH6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2" s="68" t="str">
        <x:v>当“M15根本破格成立”真实成立，且药神能够直接作用病位时，可按“格神失效构成根本格局病”记录。</x:v>
      </x:c>
      <x:c r="AJ62" s="90" t="str">
        <x:v>只有表面“M14候选无法在M15成格”，但未证明根因“格神失效或核心作用路径完全中断”及药神作用路径时，不得套用“格神失效构成根本格局病”。</x:v>
      </x:c>
      <x:c r="AK62" s="82" t="str">
        <x:v>采用</x:v>
      </x:c>
      <x:c r="AL62" s="82" t="str">
        <x:v>初审</x:v>
      </x:c>
      <x:c r="AM62" s="87" t="n">
        <x:v>46260</x:v>
      </x:c>
    </x:row>
    <x:row r="63">
      <x:c r="A63" s="72" t="str">
        <x:f>IF(OR(C63="",D63=""),"",B63&amp;"-"&amp;UPPER(C63)&amp;"-"&amp;TEXT(D63,"0000")&amp;"-"&amp;E63)</x:f>
        <x:v>M16-PATTERN-0057-V1.0</x:v>
      </x:c>
      <x:c r="B63" s="74" t="str">
        <x:v>M16</x:v>
      </x:c>
      <x:c r="C63" s="74" t="str">
        <x:v>PATTERN</x:v>
      </x:c>
      <x:c r="D63" s="215" t="n">
        <x:v>57</x:v>
      </x:c>
      <x:c r="E63" s="74" t="str">
        <x:v>V1.0</x:v>
      </x:c>
      <x:c r="F63" s="68" t="str">
        <x:v>格神混杂主从不清形成清纯度病</x:v>
      </x:c>
      <x:c r="G63" s="82" t="str">
        <x:v>综合层</x:v>
      </x:c>
      <x:c r="H63" s="82" t="str">
        <x:v>格局病</x:v>
      </x:c>
      <x:c r="I63" s="68" t="str">
        <x:v>格神与同类异类竞争节点</x:v>
      </x:c>
      <x:c r="J63" s="68" t="str">
        <x:v>格局混杂</x:v>
      </x:c>
      <x:c r="K63" s="68" t="str">
        <x:v>官杀、食伤、印枭或正偏财双强并见，主次不清</x:v>
      </x:c>
      <x:c r="L63" s="68" t="str">
        <x:v>格局有杂、混杂或严重混杂</x:v>
      </x:c>
      <x:c r="M63" s="82" t="str">
        <x:v>一般</x:v>
      </x:c>
      <x:c r="N63" s="68" t="str">
        <x:v>清一留一或建立明确主从</x:v>
      </x:c>
      <x:c r="O63" s="68" t="str">
        <x:v>保护所留格神</x:v>
      </x:c>
      <x:c r="P63" s="82" t="str">
        <x:v>清杂</x:v>
      </x:c>
      <x:c r="Q63" s="68" t="str">
        <x:v>M15清纯度为混杂/严重混杂且影响格局主导性</x:v>
      </x:c>
      <x:c r="R63" s="90" t="str">
        <x:v>多个十神能形成连续良性组合时不应机械清杂</x:v>
      </x:c>
      <x:c r="S63" s="90" t="str">
        <x:v>主要病位未被修复，原有失衡继续运行</x:v>
      </x:c>
      <x:c r="T63" s="90" t="str">
        <x:v>清杂过度会损失必要配合十神</x:v>
      </x:c>
      <x:c r="U63" s="82" t="str">
        <x:v>条件性</x:v>
      </x:c>
      <x:c r="V63" s="90" t="str">
        <x:v>条件性</x:v>
      </x:c>
      <x:c r="W63" s="90" t="str">
        <x:v>格局配合缺失</x:v>
      </x:c>
      <x:c r="X63" s="68" t="str">
        <x:v>M08有效旺衰、M09日主旺衰、M10十神功能、M11组合、M12流通、M13调候、M15格局成败均已完成</x:v>
      </x:c>
      <x:c r="Y63" s="68" t="str">
        <x:v>病位、根因、功能障碍与药神作用路径均能够追溯</x:v>
      </x:c>
      <x:c r="Z63" s="68" t="str">
        <x:v>药神有根有源、透达，能够直接进入病位且兼顾多个主要问题</x:v>
      </x:c>
      <x:c r="AA63" s="68" t="str">
        <x:v>药神无根、受强制、被合绊、作用路径遥隔或同时被多个任务分流</x:v>
      </x:c>
      <x:c r="AB63" s="90" t="str">
        <x:v>若该失衡没有造成实际功能障碍，或特殊格局要求顺势，则不得按普通病药立论</x:v>
      </x:c>
      <x:c r="AC63" s="68" t="str">
        <x:v>特殊格局严格成立、岁运动态作用或流派争议转M18/M21及动态引擎</x:v>
      </x:c>
      <x:c r="AD63" s="84" t="str">
        <x:v>格神混杂病</x:v>
      </x:c>
      <x:c r="AE63" s="84" t="str">
        <x:v>根本之病在“格神与同类异类竞争节点”：官杀、食伤、印枭或正偏财双强并见，主次不清；表层表现为“格局有杂、混杂或严重混杂”。主药候选为“清一留一或建立明确主从”，药理为“清杂”；最终喜忌与主次仍转M17/M18裁决。</x:v>
      </x:c>
      <x:c r="AF63" s="82" t="str">
        <x:v>较高</x:v>
      </x:c>
      <x:c r="AG63" s="82" t="str">
        <x:v>病药</x:v>
      </x:c>
      <x:c r="AH6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3" s="68" t="str">
        <x:v>当“M15清纯度为混杂/严重混杂且影响格局主导性”真实成立，且药神能够直接作用病位时，可按“格神混杂主从不清形成清纯度病”记录。</x:v>
      </x:c>
      <x:c r="AJ63" s="90" t="str">
        <x:v>只有表面“格局有杂、混杂或严重混杂”，但未证明根因“官杀、食伤、印枭或正偏财双强并见，主次不清”及药神作用路径时，不得套用“格神混杂主从不清形成清纯度病”。</x:v>
      </x:c>
      <x:c r="AK63" s="82" t="str">
        <x:v>采用</x:v>
      </x:c>
      <x:c r="AL63" s="82" t="str">
        <x:v>初审</x:v>
      </x:c>
      <x:c r="AM63" s="87" t="n">
        <x:v>46260</x:v>
      </x:c>
    </x:row>
    <x:row r="64">
      <x:c r="A64" s="72" t="str">
        <x:f>IF(OR(C64="",D64=""),"",B64&amp;"-"&amp;UPPER(C64)&amp;"-"&amp;TEXT(D64,"0000")&amp;"-"&amp;E64)</x:f>
        <x:v>M16-PATTERN-0058-V1.0</x:v>
      </x:c>
      <x:c r="B64" s="74" t="str">
        <x:v>M16</x:v>
      </x:c>
      <x:c r="C64" s="74" t="str">
        <x:v>PATTERN</x:v>
      </x:c>
      <x:c r="D64" s="215" t="n">
        <x:v>58</x:v>
      </x:c>
      <x:c r="E64" s="74" t="str">
        <x:v>V1.0</x:v>
      </x:c>
      <x:c r="F64" s="68" t="str">
        <x:v>格局所需用神无力形成运行不足</x:v>
      </x:c>
      <x:c r="G64" s="82" t="str">
        <x:v>综合层</x:v>
      </x:c>
      <x:c r="H64" s="82" t="str">
        <x:v>格局病</x:v>
      </x:c>
      <x:c r="I64" s="68" t="str">
        <x:v>格局关键配合神</x:v>
      </x:c>
      <x:c r="J64" s="68" t="str">
        <x:v>用神无力</x:v>
      </x:c>
      <x:c r="K64" s="68" t="str">
        <x:v>格神虽有力，但完成成格所需的印、食、财、官或通关者偏弱</x:v>
      </x:c>
      <x:c r="L64" s="68" t="str">
        <x:v>格局基本成立但层次低、运行不稳</x:v>
      </x:c>
      <x:c r="M64" s="82" t="str">
        <x:v>明显</x:v>
      </x:c>
      <x:c r="N64" s="68" t="str">
        <x:v>生扶格局关键配合神</x:v>
      </x:c>
      <x:c r="O64" s="68" t="str">
        <x:v>制去直接破坏配合神者</x:v>
      </x:c>
      <x:c r="P64" s="82" t="str">
        <x:v>生</x:v>
      </x:c>
      <x:c r="Q64" s="68" t="str">
        <x:v>M15格局成立，但关键配合十神为弱/受限</x:v>
      </x:c>
      <x:c r="R64" s="90" t="str">
        <x:v>增强配合神前必须检查比例，防止制化过度</x:v>
      </x:c>
      <x:c r="S64" s="90" t="str">
        <x:v>主要病位未被修复，原有失衡继续运行</x:v>
      </x:c>
      <x:c r="T64" s="90" t="str">
        <x:v>配合神过强会反客为主或破坏格神</x:v>
      </x:c>
      <x:c r="U64" s="82" t="str">
        <x:v>条件性</x:v>
      </x:c>
      <x:c r="V64" s="90" t="str">
        <x:v>条件性</x:v>
      </x:c>
      <x:c r="W64" s="90" t="str">
        <x:v>格局改写或制化过度</x:v>
      </x:c>
      <x:c r="X64" s="68" t="str">
        <x:v>M08有效旺衰、M09日主旺衰、M10十神功能、M11组合、M12流通、M13调候、M15格局成败均已完成</x:v>
      </x:c>
      <x:c r="Y64" s="68" t="str">
        <x:v>病位、根因、功能障碍与药神作用路径均能够追溯</x:v>
      </x:c>
      <x:c r="Z64" s="68" t="str">
        <x:v>药神有根有源、透达，能够直接进入病位且兼顾多个主要问题</x:v>
      </x:c>
      <x:c r="AA64" s="68" t="str">
        <x:v>药神无根、受强制、被合绊、作用路径遥隔或同时被多个任务分流</x:v>
      </x:c>
      <x:c r="AB64" s="90" t="str">
        <x:v>若该失衡没有造成实际功能障碍，或特殊格局要求顺势，则不得按普通病药立论</x:v>
      </x:c>
      <x:c r="AC64" s="68" t="str">
        <x:v>特殊格局严格成立、岁运动态作用或流派争议转M18/M21及动态引擎</x:v>
      </x:c>
      <x:c r="AD64" s="84" t="str">
        <x:v>格局配合神无力</x:v>
      </x:c>
      <x:c r="AE64" s="84" t="str">
        <x:v>根本之病在“格局关键配合神”：格神虽有力，但完成成格所需的印、食、财、官或通关者偏弱；表层表现为“格局基本成立但层次低、运行不稳”。主药候选为“生扶格局关键配合神”，药理为“生”；最终喜忌与主次仍转M17/M18裁决。</x:v>
      </x:c>
      <x:c r="AF64" s="82" t="str">
        <x:v>较高</x:v>
      </x:c>
      <x:c r="AG64" s="82" t="str">
        <x:v>病药</x:v>
      </x:c>
      <x:c r="AH6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4" s="68" t="str">
        <x:v>当“M15格局成立，但关键配合十神为弱/受限”真实成立，且药神能够直接作用病位时，可按“格局所需用神无力形成运行不足”记录。</x:v>
      </x:c>
      <x:c r="AJ64" s="90" t="str">
        <x:v>只有表面“格局基本成立但层次低、运行不稳”，但未证明根因“格神虽有力，但完成成格所需的印、食、财、官或通关者偏弱”及药神作用路径时，不得套用“格局所需用神无力形成运行不足”。</x:v>
      </x:c>
      <x:c r="AK64" s="82" t="str">
        <x:v>采用</x:v>
      </x:c>
      <x:c r="AL64" s="82" t="str">
        <x:v>初审</x:v>
      </x:c>
      <x:c r="AM64" s="87" t="n">
        <x:v>46260</x:v>
      </x:c>
    </x:row>
    <x:row r="65">
      <x:c r="A65" s="72" t="str">
        <x:f>IF(OR(C65="",D65=""),"",B65&amp;"-"&amp;UPPER(C65)&amp;"-"&amp;TEXT(D65,"0000")&amp;"-"&amp;E65)</x:f>
        <x:v>M16-PATTERN-0059-V1.0</x:v>
      </x:c>
      <x:c r="B65" s="74" t="str">
        <x:v>M16</x:v>
      </x:c>
      <x:c r="C65" s="74" t="str">
        <x:v>PATTERN</x:v>
      </x:c>
      <x:c r="D65" s="215" t="n">
        <x:v>59</x:v>
      </x:c>
      <x:c r="E65" s="74" t="str">
        <x:v>V1.0</x:v>
      </x:c>
      <x:c r="F65" s="68" t="str">
        <x:v>忌神直接破格形成格局病</x:v>
      </x:c>
      <x:c r="G65" s="82" t="str">
        <x:v>综合层</x:v>
      </x:c>
      <x:c r="H65" s="82" t="str">
        <x:v>格局病</x:v>
      </x:c>
      <x:c r="I65" s="68" t="str">
        <x:v>破格神→格神作用链</x:v>
      </x:c>
      <x:c r="J65" s="68" t="str">
        <x:v>外来破坏</x:v>
      </x:c>
      <x:c r="K65" s="68" t="str">
        <x:v>某五行/十神直接克、合、冲或截断核心格神</x:v>
      </x:c>
      <x:c r="L65" s="68" t="str">
        <x:v>成立但有破或有破有救</x:v>
      </x:c>
      <x:c r="M65" s="82" t="str">
        <x:v>严重</x:v>
      </x:c>
      <x:c r="N65" s="68" t="str">
        <x:v>制去、合住或通关破格神</x:v>
      </x:c>
      <x:c r="O65" s="68" t="str">
        <x:v>护持格神</x:v>
      </x:c>
      <x:c r="P65" s="82" t="str">
        <x:v>制</x:v>
      </x:c>
      <x:c r="Q65" s="68" t="str">
        <x:v>M15已明确破格因素与对象</x:v>
      </x:c>
      <x:c r="R65" s="90" t="str">
        <x:v>破格神同时承担更高优先级调候或承载功能时需净效应裁决</x:v>
      </x:c>
      <x:c r="S65" s="90" t="str">
        <x:v>主要病位未被修复，原有失衡继续运行</x:v>
      </x:c>
      <x:c r="T65" s="90" t="str">
        <x:v>制破格神过度会引发另一结构失衡</x:v>
      </x:c>
      <x:c r="U65" s="82" t="str">
        <x:v>条件性</x:v>
      </x:c>
      <x:c r="V65" s="90" t="str">
        <x:v>条件性</x:v>
      </x:c>
      <x:c r="W65" s="90" t="str">
        <x:v>调候、旺衰或流通新病</x:v>
      </x:c>
      <x:c r="X65" s="68" t="str">
        <x:v>M08有效旺衰、M09日主旺衰、M10十神功能、M11组合、M12流通、M13调候、M15格局成败均已完成</x:v>
      </x:c>
      <x:c r="Y65" s="68" t="str">
        <x:v>病位、根因、功能障碍与药神作用路径均能够追溯</x:v>
      </x:c>
      <x:c r="Z65" s="68" t="str">
        <x:v>药神有根有源、透达，能够直接进入病位且兼顾多个主要问题</x:v>
      </x:c>
      <x:c r="AA65" s="68" t="str">
        <x:v>药神无根、受强制、被合绊、作用路径遥隔或同时被多个任务分流</x:v>
      </x:c>
      <x:c r="AB65" s="90" t="str">
        <x:v>若该失衡没有造成实际功能障碍，或特殊格局要求顺势，则不得按普通病药立论</x:v>
      </x:c>
      <x:c r="AC65" s="68" t="str">
        <x:v>特殊格局严格成立、岁运动态作用或流派争议转M18/M21及动态引擎</x:v>
      </x:c>
      <x:c r="AD65" s="84" t="str">
        <x:v>忌神破格病</x:v>
      </x:c>
      <x:c r="AE65" s="84" t="str">
        <x:v>根本之病在“破格神→格神作用链”：某五行/十神直接克、合、冲或截断核心格神；表层表现为“成立但有破或有破有救”。主药候选为“制去、合住或通关破格神”，药理为“制”；最终喜忌与主次仍转M17/M18裁决。</x:v>
      </x:c>
      <x:c r="AF65" s="82" t="str">
        <x:v>较高</x:v>
      </x:c>
      <x:c r="AG65" s="82" t="str">
        <x:v>病药</x:v>
      </x:c>
      <x:c r="AH6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5" s="68" t="str">
        <x:v>当“M15已明确破格因素与对象”真实成立，且药神能够直接作用病位时，可按“忌神直接破格形成格局病”记录。</x:v>
      </x:c>
      <x:c r="AJ65" s="90" t="str">
        <x:v>只有表面“成立但有破或有破有救”，但未证明根因“某五行/十神直接克、合、冲或截断核心格神”及药神作用路径时，不得套用“忌神直接破格形成格局病”。</x:v>
      </x:c>
      <x:c r="AK65" s="82" t="str">
        <x:v>采用</x:v>
      </x:c>
      <x:c r="AL65" s="82" t="str">
        <x:v>初审</x:v>
      </x:c>
      <x:c r="AM65" s="87" t="n">
        <x:v>46260</x:v>
      </x:c>
    </x:row>
    <x:row r="66">
      <x:c r="A66" s="72" t="str">
        <x:f>IF(OR(C66="",D66=""),"",B66&amp;"-"&amp;UPPER(C66)&amp;"-"&amp;TEXT(D66,"0000")&amp;"-"&amp;E66)</x:f>
        <x:v>M16-PATTERN-0060-V1.0</x:v>
      </x:c>
      <x:c r="B66" s="74" t="str">
        <x:v>M16</x:v>
      </x:c>
      <x:c r="C66" s="74" t="str">
        <x:v>PATTERN</x:v>
      </x:c>
      <x:c r="D66" s="215" t="n">
        <x:v>60</x:v>
      </x:c>
      <x:c r="E66" s="74" t="str">
        <x:v>V1.0</x:v>
      </x:c>
      <x:c r="F66" s="68" t="str">
        <x:v>救应不足导致格局只能部分恢复</x:v>
      </x:c>
      <x:c r="G66" s="82" t="str">
        <x:v>综合层</x:v>
      </x:c>
      <x:c r="H66" s="82" t="str">
        <x:v>格局病</x:v>
      </x:c>
      <x:c r="I66" s="68" t="str">
        <x:v>救应—破格作用链</x:v>
      </x:c>
      <x:c r="J66" s="68" t="str">
        <x:v>救格不足</x:v>
      </x:c>
      <x:c r="K66" s="68" t="str">
        <x:v>救应存在但无根、力量弱、遥隔或只能修复局部</x:v>
      </x:c>
      <x:c r="L66" s="68" t="str">
        <x:v>格局有破有救但救应仅弱/部分有效</x:v>
      </x:c>
      <x:c r="M66" s="82" t="str">
        <x:v>明显</x:v>
      </x:c>
      <x:c r="N66" s="68" t="str">
        <x:v>增强原救应或建立更直接救应</x:v>
      </x:c>
      <x:c r="O66" s="68" t="str">
        <x:v>保护救应根源</x:v>
      </x:c>
      <x:c r="P66" s="82" t="str">
        <x:v>救应</x:v>
      </x:c>
      <x:c r="Q66" s="68" t="str">
        <x:v>M15救应有效性为弱救应或部分有效</x:v>
      </x:c>
      <x:c r="R66" s="90" t="str">
        <x:v>不得忽略救应增强后的副作用</x:v>
      </x:c>
      <x:c r="S66" s="90" t="str">
        <x:v>主要病位未被修复，原有失衡继续运行</x:v>
      </x:c>
      <x:c r="T66" s="90" t="str">
        <x:v>救应过强可能转为新的破格力量</x:v>
      </x:c>
      <x:c r="U66" s="82" t="str">
        <x:v>条件性</x:v>
      </x:c>
      <x:c r="V66" s="90" t="str">
        <x:v>条件性</x:v>
      </x:c>
      <x:c r="W66" s="90" t="str">
        <x:v>救应过度成病</x:v>
      </x:c>
      <x:c r="X66" s="68" t="str">
        <x:v>M08有效旺衰、M09日主旺衰、M10十神功能、M11组合、M12流通、M13调候、M15格局成败均已完成</x:v>
      </x:c>
      <x:c r="Y66" s="68" t="str">
        <x:v>病位、根因、功能障碍与药神作用路径均能够追溯</x:v>
      </x:c>
      <x:c r="Z66" s="68" t="str">
        <x:v>药神有根有源、透达，能够直接进入病位且兼顾多个主要问题</x:v>
      </x:c>
      <x:c r="AA66" s="68" t="str">
        <x:v>药神无根、受强制、被合绊、作用路径遥隔或同时被多个任务分流</x:v>
      </x:c>
      <x:c r="AB66" s="90" t="str">
        <x:v>若该失衡没有造成实际功能障碍，或特殊格局要求顺势，则不得按普通病药立论</x:v>
      </x:c>
      <x:c r="AC66" s="68" t="str">
        <x:v>特殊格局严格成立、岁运动态作用或流派争议转M18/M21及动态引擎</x:v>
      </x:c>
      <x:c r="AD66" s="84" t="str">
        <x:v>救应不足病</x:v>
      </x:c>
      <x:c r="AE66" s="84" t="str">
        <x:v>根本之病在“救应—破格作用链”：救应存在但无根、力量弱、遥隔或只能修复局部；表层表现为“格局有破有救但救应仅弱/部分有效”。主药候选为“增强原救应或建立更直接救应”，药理为“救应”；最终喜忌与主次仍转M17/M18裁决。</x:v>
      </x:c>
      <x:c r="AF66" s="82" t="str">
        <x:v>较高</x:v>
      </x:c>
      <x:c r="AG66" s="82" t="str">
        <x:v>病药</x:v>
      </x:c>
      <x:c r="AH6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6" s="68" t="str">
        <x:v>当“M15救应有效性为弱救应或部分有效”真实成立，且药神能够直接作用病位时，可按“救应不足导致格局只能部分恢复”记录。</x:v>
      </x:c>
      <x:c r="AJ66" s="90" t="str">
        <x:v>只有表面“格局有破有救但救应仅弱/部分有效”，但未证明根因“救应存在但无根、力量弱、遥隔或只能修复局部”及药神作用路径时，不得套用“救应不足导致格局只能部分恢复”。</x:v>
      </x:c>
      <x:c r="AK66" s="82" t="str">
        <x:v>采用</x:v>
      </x:c>
      <x:c r="AL66" s="82" t="str">
        <x:v>初审</x:v>
      </x:c>
      <x:c r="AM66" s="87" t="n">
        <x:v>46260</x:v>
      </x:c>
    </x:row>
    <x:row r="67">
      <x:c r="A67" s="72" t="str">
        <x:f>IF(OR(C67="",D67=""),"",B67&amp;"-"&amp;UPPER(C67)&amp;"-"&amp;TEXT(D67,"0000")&amp;"-"&amp;E67)</x:f>
        <x:v>M16-PATTERN-0061-V1.0</x:v>
      </x:c>
      <x:c r="B67" s="74" t="str">
        <x:v>M16</x:v>
      </x:c>
      <x:c r="C67" s="74" t="str">
        <x:v>PATTERN</x:v>
      </x:c>
      <x:c r="D67" s="215" t="n">
        <x:v>61</x:v>
      </x:c>
      <x:c r="E67" s="74" t="str">
        <x:v>V1.0</x:v>
      </x:c>
      <x:c r="F67" s="68" t="str">
        <x:v>救应过度反而破坏格局比例</x:v>
      </x:c>
      <x:c r="G67" s="82" t="str">
        <x:v>综合层</x:v>
      </x:c>
      <x:c r="H67" s="82" t="str">
        <x:v>格局病</x:v>
      </x:c>
      <x:c r="I67" s="68" t="str">
        <x:v>过强救应节点</x:v>
      </x:c>
      <x:c r="J67" s="68" t="str">
        <x:v>救应反客</x:v>
      </x:c>
      <x:c r="K67" s="68" t="str">
        <x:v>原救应强度超过修复所需，压制格神或关键配合神</x:v>
      </x:c>
      <x:c r="L67" s="68" t="str">
        <x:v>有破有救转为新的制化失衡</x:v>
      </x:c>
      <x:c r="M67" s="82" t="str">
        <x:v>明显</x:v>
      </x:c>
      <x:c r="N67" s="68" t="str">
        <x:v>降低救应强度并恢复格神比例</x:v>
      </x:c>
      <x:c r="O67" s="68" t="str">
        <x:v>保护被过度制约的一方</x:v>
      </x:c>
      <x:c r="P67" s="82" t="str">
        <x:v>救应</x:v>
      </x:c>
      <x:c r="Q67" s="68" t="str">
        <x:v>M15救应本有效，但M16判断其产生更大副作用</x:v>
      </x:c>
      <x:c r="R67" s="90" t="str">
        <x:v>不得因救应名义为喜便忽略药量</x:v>
      </x:c>
      <x:c r="S67" s="90" t="str">
        <x:v>主要病位未被修复，原有失衡继续运行</x:v>
      </x:c>
      <x:c r="T67" s="90" t="str">
        <x:v>继续增强会形成根本破格</x:v>
      </x:c>
      <x:c r="U67" s="82" t="str">
        <x:v>是</x:v>
      </x:c>
      <x:c r="V67" s="90" t="str">
        <x:v>是</x:v>
      </x:c>
      <x:c r="W67" s="90" t="str">
        <x:v>制化过度或格神失效</x:v>
      </x:c>
      <x:c r="X67" s="68" t="str">
        <x:v>M08有效旺衰、M09日主旺衰、M10十神功能、M11组合、M12流通、M13调候、M15格局成败均已完成</x:v>
      </x:c>
      <x:c r="Y67" s="68" t="str">
        <x:v>病位、根因、功能障碍与药神作用路径均能够追溯</x:v>
      </x:c>
      <x:c r="Z67" s="68" t="str">
        <x:v>药神有根有源、透达，能够直接进入病位且兼顾多个主要问题</x:v>
      </x:c>
      <x:c r="AA67" s="68" t="str">
        <x:v>药神无根、受强制、被合绊、作用路径遥隔或同时被多个任务分流</x:v>
      </x:c>
      <x:c r="AB67" s="90" t="str">
        <x:v>若该失衡没有造成实际功能障碍，或特殊格局要求顺势，则不得按普通病药立论</x:v>
      </x:c>
      <x:c r="AC67" s="68" t="str">
        <x:v>特殊格局严格成立、岁运动态作用或流派争议转M18/M21及动态引擎</x:v>
      </x:c>
      <x:c r="AD67" s="84" t="str">
        <x:v>救应过度病</x:v>
      </x:c>
      <x:c r="AE67" s="84" t="str">
        <x:v>根本之病在“过强救应节点”：原救应强度超过修复所需，压制格神或关键配合神；表层表现为“有破有救转为新的制化失衡”。主药候选为“降低救应强度并恢复格神比例”，药理为“救应”；最终喜忌与主次仍转M17/M18裁决。</x:v>
      </x:c>
      <x:c r="AF67" s="82" t="str">
        <x:v>较高</x:v>
      </x:c>
      <x:c r="AG67" s="82" t="str">
        <x:v>病药</x:v>
      </x:c>
      <x:c r="AH6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7" s="68" t="str">
        <x:v>当“M15救应本有效，但M16判断其产生更大副作用”真实成立，且药神能够直接作用病位时，可按“救应过度反而破坏格局比例”记录。</x:v>
      </x:c>
      <x:c r="AJ67" s="90" t="str">
        <x:v>只有表面“有破有救转为新的制化失衡”，但未证明根因“原救应强度超过修复所需，压制格神或关键配合神”及药神作用路径时，不得套用“救应过度反而破坏格局比例”。</x:v>
      </x:c>
      <x:c r="AK67" s="82" t="str">
        <x:v>采用</x:v>
      </x:c>
      <x:c r="AL67" s="82" t="str">
        <x:v>初审</x:v>
      </x:c>
      <x:c r="AM67" s="87" t="n">
        <x:v>46260</x:v>
      </x:c>
    </x:row>
    <x:row r="68">
      <x:c r="A68" s="72" t="str">
        <x:f>IF(OR(C68="",D68=""),"",B68&amp;"-"&amp;UPPER(C68)&amp;"-"&amp;TEXT(D68,"0000")&amp;"-"&amp;E68)</x:f>
        <x:v>M16-PATTERN-0062-V1.0</x:v>
      </x:c>
      <x:c r="B68" s="74" t="str">
        <x:v>M16</x:v>
      </x:c>
      <x:c r="C68" s="74" t="str">
        <x:v>PATTERN</x:v>
      </x:c>
      <x:c r="D68" s="215" t="n">
        <x:v>62</x:v>
      </x:c>
      <x:c r="E68" s="74" t="str">
        <x:v>V1.0</x:v>
      </x:c>
      <x:c r="F68" s="68" t="str">
        <x:v>真从格被有效强根或印比破坏</x:v>
      </x:c>
      <x:c r="G68" s="82" t="str">
        <x:v>综合层</x:v>
      </x:c>
      <x:c r="H68" s="82" t="str">
        <x:v>格局病</x:v>
      </x:c>
      <x:c r="I68" s="68" t="str">
        <x:v>反从根气/印比节点</x:v>
      </x:c>
      <x:c r="J68" s="68" t="str">
        <x:v>破从</x:v>
      </x:c>
      <x:c r="K68" s="68" t="str">
        <x:v>从格主势已成，但日主出现可调用强根或有力印比自立</x:v>
      </x:c>
      <x:c r="L68" s="68" t="str">
        <x:v>真从降为假从或普通格局</x:v>
      </x:c>
      <x:c r="M68" s="82" t="str">
        <x:v>首要矛盾</x:v>
      </x:c>
      <x:c r="N68" s="68" t="str">
        <x:v>若原局事实已存在则不能用药抹除，应重定格局；动态中可制去逆神</x:v>
      </x:c>
      <x:c r="O68" s="68" t="str">
        <x:v>顺从主势者</x:v>
      </x:c>
      <x:c r="P68" s="82" t="str">
        <x:v>护格</x:v>
      </x:c>
      <x:c r="Q68" s="68" t="str">
        <x:v>M15从格强根破格或有效逆神破格成立</x:v>
      </x:c>
      <x:c r="R68" s="90" t="str">
        <x:v>不得为了套从格而忽略真实根气</x:v>
      </x:c>
      <x:c r="S68" s="90" t="str">
        <x:v>主要病位未被修复，原有失衡继续运行</x:v>
      </x:c>
      <x:c r="T68" s="90" t="str">
        <x:v>药神反向过度，可能跨越平衡并形成新的结构性失衡</x:v>
      </x:c>
      <x:c r="U68" s="82" t="str">
        <x:v>是</x:v>
      </x:c>
      <x:c r="V68" s="90" t="str">
        <x:v>否</x:v>
      </x:c>
      <x:c r="W68" s="90" t="str">
        <x:v>格局重定</x:v>
      </x:c>
      <x:c r="X68" s="68" t="str">
        <x:v>M08有效旺衰、M09日主旺衰、M10十神功能、M11组合、M12流通、M13调候、M15格局成败均已完成</x:v>
      </x:c>
      <x:c r="Y68" s="68" t="str">
        <x:v>病位、根因、功能障碍与药神作用路径均能够追溯</x:v>
      </x:c>
      <x:c r="Z68" s="68" t="str">
        <x:v>药神有根有源、透达，能够直接进入病位且兼顾多个主要问题</x:v>
      </x:c>
      <x:c r="AA68" s="68" t="str">
        <x:v>药神无根、受强制、被合绊、作用路径遥隔或同时被多个任务分流</x:v>
      </x:c>
      <x:c r="AB68" s="90" t="str">
        <x:v>若该失衡没有造成实际功能障碍，或特殊格局要求顺势，则不得按普通病药立论</x:v>
      </x:c>
      <x:c r="AC68" s="68" t="str">
        <x:v>特殊格局严格成立、岁运动态作用或流派争议转M18/M21及动态引擎</x:v>
      </x:c>
      <x:c r="AD68" s="84" t="str">
        <x:v>从格破格病</x:v>
      </x:c>
      <x:c r="AE68" s="84" t="str">
        <x:v>有效强根/印比属于真从硬否决；原局应重定格局，而不是简单指定药神“消除”事实。</x:v>
      </x:c>
      <x:c r="AF68" s="82" t="str">
        <x:v>较高</x:v>
      </x:c>
      <x:c r="AG68" s="82" t="str">
        <x:v>病药</x:v>
      </x:c>
      <x:c r="AH6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8" s="68" t="str">
        <x:v>当“M15从格强根破格或有效逆神破格成立”真实成立，且药神能够直接作用病位时，可按“真从格被有效强根或印比破坏”记录。</x:v>
      </x:c>
      <x:c r="AJ68" s="90" t="str">
        <x:v>只有表面“真从降为假从或普通格局”，但未证明根因“从格主势已成，但日主出现可调用强根或有力印比自立”及药神作用路径时，不得套用“真从格被有效强根或印比破坏”。</x:v>
      </x:c>
      <x:c r="AK68" s="82" t="str">
        <x:v>采用</x:v>
      </x:c>
      <x:c r="AL68" s="82" t="str">
        <x:v>初审</x:v>
      </x:c>
      <x:c r="AM68" s="87" t="n">
        <x:v>46260</x:v>
      </x:c>
    </x:row>
    <x:row r="69">
      <x:c r="A69" s="72" t="str">
        <x:f>IF(OR(C69="",D69=""),"",B69&amp;"-"&amp;UPPER(C69)&amp;"-"&amp;TEXT(D69,"0000")&amp;"-"&amp;E69)</x:f>
        <x:v>M16-PATTERN-0063-V1.0</x:v>
      </x:c>
      <x:c r="B69" s="74" t="str">
        <x:v>M16</x:v>
      </x:c>
      <x:c r="C69" s="74" t="str">
        <x:v>PATTERN</x:v>
      </x:c>
      <x:c r="D69" s="215" t="n">
        <x:v>63</x:v>
      </x:c>
      <x:c r="E69" s="74" t="str">
        <x:v>V1.0</x:v>
      </x:c>
      <x:c r="F69" s="68" t="str">
        <x:v>化气格中原气强根或争合形成破化</x:v>
      </x:c>
      <x:c r="G69" s="82" t="str">
        <x:v>综合层</x:v>
      </x:c>
      <x:c r="H69" s="82" t="str">
        <x:v>格局病</x:v>
      </x:c>
      <x:c r="I69" s="68" t="str">
        <x:v>原气根与化神主势</x:v>
      </x:c>
      <x:c r="J69" s="68" t="str">
        <x:v>破化</x:v>
      </x:c>
      <x:c r="K69" s="68" t="str">
        <x:v>日主原五行仍能自立，或争合、强克、冲破使化势不专</x:v>
      </x:c>
      <x:c r="L69" s="68" t="str">
        <x:v>真化降为假化、合绊或合而不化</x:v>
      </x:c>
      <x:c r="M69" s="82" t="str">
        <x:v>严重</x:v>
      </x:c>
      <x:c r="N69" s="68" t="str">
        <x:v>生扶化神并制逆神；若硬门槛失败则重定格局</x:v>
      </x:c>
      <x:c r="O69" s="68" t="str">
        <x:v>保护化神根源</x:v>
      </x:c>
      <x:c r="P69" s="82" t="str">
        <x:v>护格</x:v>
      </x:c>
      <x:c r="Q69" s="68" t="str">
        <x:v>M15化气格原气强根、争合破化或化神受损成立</x:v>
      </x:c>
      <x:c r="R69" s="90" t="str">
        <x:v>不能把原局强根当作可轻易消除的表层病</x:v>
      </x:c>
      <x:c r="S69" s="90" t="str">
        <x:v>主要病位未被修复，原有失衡继续运行</x:v>
      </x:c>
      <x:c r="T69" s="90" t="str">
        <x:v>药神反向过度，可能跨越平衡并形成新的结构性失衡</x:v>
      </x:c>
      <x:c r="U69" s="82" t="str">
        <x:v>条件性</x:v>
      </x:c>
      <x:c r="V69" s="90" t="str">
        <x:v>条件性</x:v>
      </x:c>
      <x:c r="W69" s="90" t="str">
        <x:v>原格局重定或假化不稳</x:v>
      </x:c>
      <x:c r="X69" s="68" t="str">
        <x:v>M08有效旺衰、M09日主旺衰、M10十神功能、M11组合、M12流通、M13调候、M15格局成败均已完成</x:v>
      </x:c>
      <x:c r="Y69" s="68" t="str">
        <x:v>病位、根因、功能障碍与药神作用路径均能够追溯</x:v>
      </x:c>
      <x:c r="Z69" s="68" t="str">
        <x:v>药神有根有源、透达，能够直接进入病位且兼顾多个主要问题</x:v>
      </x:c>
      <x:c r="AA69" s="68" t="str">
        <x:v>药神无根、受强制、被合绊、作用路径遥隔或同时被多个任务分流</x:v>
      </x:c>
      <x:c r="AB69" s="90" t="str">
        <x:v>若该失衡没有造成实际功能障碍，或特殊格局要求顺势，则不得按普通病药立论</x:v>
      </x:c>
      <x:c r="AC69" s="68" t="str">
        <x:v>特殊格局严格成立、岁运动态作用或流派争议转M18/M21及动态引擎</x:v>
      </x:c>
      <x:c r="AD69" s="84" t="str">
        <x:v>化气破化病</x:v>
      </x:c>
      <x:c r="AE69" s="84" t="str">
        <x:v>根本之病在“原气根与化神主势”：日主原五行仍能自立，或争合、强克、冲破使化势不专；表层表现为“真化降为假化、合绊或合而不化”。主药候选为“生扶化神并制逆神；若硬门槛失败则重定格局”，药理为“护格”；最终喜忌与主次仍转M17/M18裁决。</x:v>
      </x:c>
      <x:c r="AF69" s="82" t="str">
        <x:v>较高</x:v>
      </x:c>
      <x:c r="AG69" s="82" t="str">
        <x:v>病药</x:v>
      </x:c>
      <x:c r="AH6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9" s="68" t="str">
        <x:v>当“M15化气格原气强根、争合破化或化神受损成立”真实成立，且药神能够直接作用病位时，可按“化气格中原气强根或争合形成破化”记录。</x:v>
      </x:c>
      <x:c r="AJ69" s="90" t="str">
        <x:v>只有表面“真化降为假化、合绊或合而不化”，但未证明根因“日主原五行仍能自立，或争合、强克、冲破使化势不专”及药神作用路径时，不得套用“化气格中原气强根或争合形成破化”。</x:v>
      </x:c>
      <x:c r="AK69" s="82" t="str">
        <x:v>采用</x:v>
      </x:c>
      <x:c r="AL69" s="82" t="str">
        <x:v>初审</x:v>
      </x:c>
      <x:c r="AM69" s="87" t="n">
        <x:v>46260</x:v>
      </x:c>
    </x:row>
    <x:row r="70">
      <x:c r="A70" s="72" t="str">
        <x:f>IF(OR(C70="",D70=""),"",B70&amp;"-"&amp;UPPER(C70)&amp;"-"&amp;TEXT(D70,"0000")&amp;"-"&amp;E70)</x:f>
        <x:v>M16-PATTERN-0064-V1.0</x:v>
      </x:c>
      <x:c r="B70" s="74" t="str">
        <x:v>M16</x:v>
      </x:c>
      <x:c r="C70" s="74" t="str">
        <x:v>PATTERN</x:v>
      </x:c>
      <x:c r="D70" s="215" t="n">
        <x:v>64</x:v>
      </x:c>
      <x:c r="E70" s="74" t="str">
        <x:v>V1.0</x:v>
      </x:c>
      <x:c r="F70" s="68" t="str">
        <x:v>专旺格中有效逆神形成破格</x:v>
      </x:c>
      <x:c r="G70" s="82" t="str">
        <x:v>综合层</x:v>
      </x:c>
      <x:c r="H70" s="82" t="str">
        <x:v>格局病</x:v>
      </x:c>
      <x:c r="I70" s="68" t="str">
        <x:v>专旺主势—逆克神</x:v>
      </x:c>
      <x:c r="J70" s="68" t="str">
        <x:v>逆神破专</x:v>
      </x:c>
      <x:c r="K70" s="68" t="str">
        <x:v>克制主气的五行有根有源并形成真实逆势</x:v>
      </x:c>
      <x:c r="L70" s="68" t="str">
        <x:v>专旺清纯度下降或不成立</x:v>
      </x:c>
      <x:c r="M70" s="82" t="str">
        <x:v>严重</x:v>
      </x:c>
      <x:c r="N70" s="68" t="str">
        <x:v>使逆神失效或顺势转化；硬门槛失败则重定格局</x:v>
      </x:c>
      <x:c r="O70" s="68" t="str">
        <x:v>维护主势流通</x:v>
      </x:c>
      <x:c r="P70" s="82" t="str">
        <x:v>护格</x:v>
      </x:c>
      <x:c r="Q70" s="68" t="str">
        <x:v>M15专旺逆克破格成立</x:v>
      </x:c>
      <x:c r="R70" s="90" t="str">
        <x:v>逆神是调候必需时必须进入M18冲突裁决</x:v>
      </x:c>
      <x:c r="S70" s="90" t="str">
        <x:v>主要病位未被修复，原有失衡继续运行</x:v>
      </x:c>
      <x:c r="T70" s="90" t="str">
        <x:v>药神反向过度，可能跨越平衡并形成新的结构性失衡</x:v>
      </x:c>
      <x:c r="U70" s="82" t="str">
        <x:v>条件性</x:v>
      </x:c>
      <x:c r="V70" s="90" t="str">
        <x:v>条件性</x:v>
      </x:c>
      <x:c r="W70" s="90" t="str">
        <x:v>调候与格局冲突</x:v>
      </x:c>
      <x:c r="X70" s="68" t="str">
        <x:v>M08有效旺衰、M09日主旺衰、M10十神功能、M11组合、M12流通、M13调候、M15格局成败均已完成</x:v>
      </x:c>
      <x:c r="Y70" s="68" t="str">
        <x:v>病位、根因、功能障碍与药神作用路径均能够追溯</x:v>
      </x:c>
      <x:c r="Z70" s="68" t="str">
        <x:v>药神有根有源、透达，能够直接进入病位且兼顾多个主要问题</x:v>
      </x:c>
      <x:c r="AA70" s="68" t="str">
        <x:v>药神无根、受强制、被合绊、作用路径遥隔或同时被多个任务分流</x:v>
      </x:c>
      <x:c r="AB70" s="90" t="str">
        <x:v>若该失衡没有造成实际功能障碍，或特殊格局要求顺势，则不得按普通病药立论</x:v>
      </x:c>
      <x:c r="AC70" s="68" t="str">
        <x:v>特殊格局严格成立、岁运动态作用或流派争议转M18/M21及动态引擎</x:v>
      </x:c>
      <x:c r="AD70" s="84" t="str">
        <x:v>专旺逆神病</x:v>
      </x:c>
      <x:c r="AE70" s="84" t="str">
        <x:v>根本之病在“专旺主势—逆克神”：克制主气的五行有根有源并形成真实逆势；表层表现为“专旺清纯度下降或不成立”。主药候选为“使逆神失效或顺势转化；硬门槛失败则重定格局”，药理为“护格”；最终喜忌与主次仍转M17/M18裁决。</x:v>
      </x:c>
      <x:c r="AF70" s="82" t="str">
        <x:v>较高</x:v>
      </x:c>
      <x:c r="AG70" s="82" t="str">
        <x:v>病药</x:v>
      </x:c>
      <x:c r="AH7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0" s="68" t="str">
        <x:v>当“M15专旺逆克破格成立”真实成立，且药神能够直接作用病位时，可按“专旺格中有效逆神形成破格”记录。</x:v>
      </x:c>
      <x:c r="AJ70" s="90" t="str">
        <x:v>只有表面“专旺清纯度下降或不成立”，但未证明根因“克制主气的五行有根有源并形成真实逆势”及药神作用路径时，不得套用“专旺格中有效逆神形成破格”。</x:v>
      </x:c>
      <x:c r="AK70" s="82" t="str">
        <x:v>采用</x:v>
      </x:c>
      <x:c r="AL70" s="82" t="str">
        <x:v>初审</x:v>
      </x:c>
      <x:c r="AM70" s="87" t="n">
        <x:v>46260</x:v>
      </x:c>
    </x:row>
    <x:row r="71">
      <x:c r="A71" s="72" t="str">
        <x:f>IF(OR(C71="",D71=""),"",B71&amp;"-"&amp;UPPER(C71)&amp;"-"&amp;TEXT(D71,"0000")&amp;"-"&amp;E71)</x:f>
        <x:v>M16-PATTERN-0065-V1.0</x:v>
      </x:c>
      <x:c r="B71" s="74" t="str">
        <x:v>M16</x:v>
      </x:c>
      <x:c r="C71" s="74" t="str">
        <x:v>PATTERN</x:v>
      </x:c>
      <x:c r="D71" s="215" t="n">
        <x:v>65</x:v>
      </x:c>
      <x:c r="E71" s="74" t="str">
        <x:v>V1.0</x:v>
      </x:c>
      <x:c r="F71" s="68" t="str">
        <x:v>建禄比劫壅塞形成格局运行病</x:v>
      </x:c>
      <x:c r="G71" s="82" t="str">
        <x:v>综合层</x:v>
      </x:c>
      <x:c r="H71" s="82" t="str">
        <x:v>格局病</x:v>
      </x:c>
      <x:c r="I71" s="68" t="str">
        <x:v>建禄强身集团的输出端</x:v>
      </x:c>
      <x:c r="J71" s="68" t="str">
        <x:v>无制无泄</x:v>
      </x:c>
      <x:c r="K71" s="68" t="str">
        <x:v>建禄身旺，比劫成势，财官食伤均不能形成有效出口</x:v>
      </x:c>
      <x:c r="L71" s="68" t="str">
        <x:v>建禄格成立但有破、层次受限</x:v>
      </x:c>
      <x:c r="M71" s="82" t="str">
        <x:v>明显</x:v>
      </x:c>
      <x:c r="N71" s="68" t="str">
        <x:v>食伤泄秀或官杀制衡</x:v>
      </x:c>
      <x:c r="O71" s="68" t="str">
        <x:v>财星承接食伤</x:v>
      </x:c>
      <x:c r="P71" s="82" t="str">
        <x:v>泄</x:v>
      </x:c>
      <x:c r="Q71" s="68" t="str">
        <x:v>M15建禄比劫壅塞成立且非从旺</x:v>
      </x:c>
      <x:c r="R71" s="90" t="str">
        <x:v>不得同时强制泄耗导致过度</x:v>
      </x:c>
      <x:c r="S71" s="90" t="str">
        <x:v>主要病位未被修复，原有失衡继续运行</x:v>
      </x:c>
      <x:c r="T71" s="90" t="str">
        <x:v>泄制过量会由旺转弱或伤格</x:v>
      </x:c>
      <x:c r="U71" s="82" t="str">
        <x:v>条件性</x:v>
      </x:c>
      <x:c r="V71" s="90" t="str">
        <x:v>条件性</x:v>
      </x:c>
      <x:c r="W71" s="90" t="str">
        <x:v>身弱或官杀压身</x:v>
      </x:c>
      <x:c r="X71" s="68" t="str">
        <x:v>M08有效旺衰、M09日主旺衰、M10十神功能、M11组合、M12流通、M13调候、M15格局成败均已完成</x:v>
      </x:c>
      <x:c r="Y71" s="68" t="str">
        <x:v>病位、根因、功能障碍与药神作用路径均能够追溯</x:v>
      </x:c>
      <x:c r="Z71" s="68" t="str">
        <x:v>药神有根有源、透达，能够直接进入病位且兼顾多个主要问题</x:v>
      </x:c>
      <x:c r="AA71" s="68" t="str">
        <x:v>药神无根、受强制、被合绊、作用路径遥隔或同时被多个任务分流</x:v>
      </x:c>
      <x:c r="AB71" s="90" t="str">
        <x:v>若该失衡没有造成实际功能障碍，或特殊格局要求顺势，则不得按普通病药立论</x:v>
      </x:c>
      <x:c r="AC71" s="68" t="str">
        <x:v>特殊格局严格成立、岁运动态作用或流派争议转M18/M21及动态引擎</x:v>
      </x:c>
      <x:c r="AD71" s="84" t="str">
        <x:v>建禄壅塞病</x:v>
      </x:c>
      <x:c r="AE71" s="84" t="str">
        <x:v>根本之病在“建禄强身集团的输出端”：建禄身旺，比劫成势，财官食伤均不能形成有效出口；表层表现为“建禄格成立但有破、层次受限”。主药候选为“食伤泄秀或官杀制衡”，药理为“泄”；最终喜忌与主次仍转M17/M18裁决。</x:v>
      </x:c>
      <x:c r="AF71" s="82" t="str">
        <x:v>较高</x:v>
      </x:c>
      <x:c r="AG71" s="82" t="str">
        <x:v>病药</x:v>
      </x:c>
      <x:c r="AH7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1" s="68" t="str">
        <x:v>当“M15建禄比劫壅塞成立且非从旺”真实成立，且药神能够直接作用病位时，可按“建禄比劫壅塞形成格局运行病”记录。</x:v>
      </x:c>
      <x:c r="AJ71" s="90" t="str">
        <x:v>只有表面“建禄格成立但有破、层次受限”，但未证明根因“建禄身旺，比劫成势，财官食伤均不能形成有效出口”及药神作用路径时，不得套用“建禄比劫壅塞形成格局运行病”。</x:v>
      </x:c>
      <x:c r="AK71" s="82" t="str">
        <x:v>采用</x:v>
      </x:c>
      <x:c r="AL71" s="82" t="str">
        <x:v>初审</x:v>
      </x:c>
      <x:c r="AM71" s="87" t="n">
        <x:v>46260</x:v>
      </x:c>
    </x:row>
    <x:row r="72">
      <x:c r="A72" s="72" t="str">
        <x:f>IF(OR(C72="",D72=""),"",B72&amp;"-"&amp;UPPER(C72)&amp;"-"&amp;TEXT(D72,"0000")&amp;"-"&amp;E72)</x:f>
        <x:v>M16-PATTERN-0066-V1.0</x:v>
      </x:c>
      <x:c r="B72" s="74" t="str">
        <x:v>M16</x:v>
      </x:c>
      <x:c r="C72" s="74" t="str">
        <x:v>PATTERN</x:v>
      </x:c>
      <x:c r="D72" s="215" t="n">
        <x:v>66</x:v>
      </x:c>
      <x:c r="E72" s="74" t="str">
        <x:v>V1.0</x:v>
      </x:c>
      <x:c r="F72" s="68" t="str">
        <x:v>格局清纯成立且运行正常时不立格局病</x:v>
      </x:c>
      <x:c r="G72" s="82" t="str">
        <x:v>综合层</x:v>
      </x:c>
      <x:c r="H72" s="82" t="str">
        <x:v>格局病</x:v>
      </x:c>
      <x:c r="I72" s="68" t="str">
        <x:v>核心格局</x:v>
      </x:c>
      <x:c r="J72" s="68" t="str">
        <x:v>无病</x:v>
      </x:c>
      <x:c r="K72" s="68" t="str">
        <x:v>M15清纯成立或特殊格局严格成立，未发现实际破格与功能障碍</x:v>
      </x:c>
      <x:c r="L72" s="68" t="str">
        <x:v>格局主次明确、运行稳定</x:v>
      </x:c>
      <x:c r="M72" s="82" t="str">
        <x:v>轻微</x:v>
      </x:c>
      <x:c r="N72" s="68" t="str">
        <x:v>不预设护格之外的新药</x:v>
      </x:c>
      <x:c r="O72" s="68" t="str">
        <x:v>维持现有结构者</x:v>
      </x:c>
      <x:c r="P72" s="82" t="str">
        <x:v>护格</x:v>
      </x:c>
      <x:c r="Q72" s="68" t="str">
        <x:v>无破、无需救应，且调候/流通无共同根病</x:v>
      </x:c>
      <x:c r="R72" s="90" t="str">
        <x:v>不得为了凑病药模型而人为立格局病</x:v>
      </x:c>
      <x:c r="S72" s="90" t="str">
        <x:v>不适用</x:v>
      </x:c>
      <x:c r="T72" s="90" t="str">
        <x:v>无必要用药会制造新病</x:v>
      </x:c>
      <x:c r="U72" s="82" t="str">
        <x:v>是</x:v>
      </x:c>
      <x:c r="V72" s="90" t="str">
        <x:v>是</x:v>
      </x:c>
      <x:c r="W72" s="90" t="str">
        <x:v>人为破格</x:v>
      </x:c>
      <x:c r="X72" s="68" t="str">
        <x:v>M08有效旺衰、M09日主旺衰、M10十神功能、M11组合、M12流通、M13调候、M15格局成败均已完成</x:v>
      </x:c>
      <x:c r="Y72" s="68" t="str">
        <x:v>病位、根因、功能障碍与药神作用路径均能够追溯</x:v>
      </x:c>
      <x:c r="Z72" s="68" t="str">
        <x:v>药神有根有源、透达，能够直接进入病位且兼顾多个主要问题</x:v>
      </x:c>
      <x:c r="AA72" s="68" t="str">
        <x:v>药神无根、受强制、被合绊、作用路径遥隔或同时被多个任务分流</x:v>
      </x:c>
      <x:c r="AB72" s="90" t="str">
        <x:v>若该失衡没有造成实际功能障碍，或特殊格局要求顺势，则不得按普通病药立论</x:v>
      </x:c>
      <x:c r="AC72" s="68" t="str">
        <x:v>特殊格局严格成立、岁运动态作用或流派争议转M18/M21及动态引擎</x:v>
      </x:c>
      <x:c r="AD72" s="84" t="str">
        <x:v>清纯格局无病</x:v>
      </x:c>
      <x:c r="AE72" s="84" t="str">
        <x:v>格局运行正常，不另立格局病；只保留维护条件和可能的外部风险。</x:v>
      </x:c>
      <x:c r="AF72" s="82" t="str">
        <x:v>较高</x:v>
      </x:c>
      <x:c r="AG72" s="82" t="str">
        <x:v>病药</x:v>
      </x:c>
      <x:c r="AH7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2" s="68" t="str">
        <x:v>当“无破、无需救应，且调候/流通无共同根病”真实成立，且药神能够直接作用病位时，可按“格局清纯成立且运行正常时不立格局病”记录。</x:v>
      </x:c>
      <x:c r="AJ72" s="90" t="str">
        <x:v>只有表面“格局主次明确、运行稳定”，但未证明根因“M15清纯成立或特殊格局严格成立，未发现实际破格与功能障碍”及药神作用路径时，不得套用“格局清纯成立且运行正常时不立格局病”。</x:v>
      </x:c>
      <x:c r="AK72" s="82" t="str">
        <x:v>采用</x:v>
      </x:c>
      <x:c r="AL72" s="82" t="str">
        <x:v>初审</x:v>
      </x:c>
      <x:c r="AM72" s="87" t="n">
        <x:v>46260</x:v>
      </x:c>
    </x:row>
    <x:row r="73">
      <x:c r="A73" s="72" t="str">
        <x:f>IF(OR(C73="",D73=""),"",B73&amp;"-"&amp;UPPER(C73)&amp;"-"&amp;TEXT(D73,"0000")&amp;"-"&amp;E73)</x:f>
        <x:v>M16-CLIMATE-0067-V1.0</x:v>
      </x:c>
      <x:c r="B73" s="74" t="str">
        <x:v>M16</x:v>
      </x:c>
      <x:c r="C73" s="74" t="str">
        <x:v>CLIMATE</x:v>
      </x:c>
      <x:c r="D73" s="215" t="n">
        <x:v>67</x:v>
      </x:c>
      <x:c r="E73" s="74" t="str">
        <x:v>V1.0</x:v>
      </x:c>
      <x:c r="F73" s="68" t="str">
        <x:v>极寒导致全局生化停滞</x:v>
      </x:c>
      <x:c r="G73" s="82" t="str">
        <x:v>综合层</x:v>
      </x:c>
      <x:c r="H73" s="82" t="str">
        <x:v>调候病</x:v>
      </x:c>
      <x:c r="I73" s="68" t="str">
        <x:v>全局温度轴与木火生化节点</x:v>
      </x:c>
      <x:c r="J73" s="68" t="str">
        <x:v>寒凝</x:v>
      </x:c>
      <x:c r="K73" s="68" t="str">
        <x:v>M13极寒，火弱无效，寒凝已阻断M12关键路径</x:v>
      </x:c>
      <x:c r="L73" s="68" t="str">
        <x:v>木火不生、湿土不化或水寒凝滞</x:v>
      </x:c>
      <x:c r="M73" s="82" t="str">
        <x:v>首要矛盾</x:v>
      </x:c>
      <x:c r="N73" s="68" t="str">
        <x:v>火</x:v>
      </x:c>
      <x:c r="O73" s="68" t="str">
        <x:v>木或能护火源者</x:v>
      </x:c>
      <x:c r="P73" s="82" t="str">
        <x:v>暖</x:v>
      </x:c>
      <x:c r="Q73" s="68" t="str">
        <x:v>极寒不仅是季节标签，而是多个功能障碍的共同根因</x:v>
      </x:c>
      <x:c r="R73" s="90" t="str">
        <x:v>从水、润下等特殊格局或原局极燥时需服从硬约束</x:v>
      </x:c>
      <x:c r="S73" s="90" t="str">
        <x:v>主要病位未被修复，原有失衡继续运行</x:v>
      </x:c>
      <x:c r="T73" s="90" t="str">
        <x:v>火过旺转为热燥、耗水或破格</x:v>
      </x:c>
      <x:c r="U73" s="82" t="str">
        <x:v>条件性</x:v>
      </x:c>
      <x:c r="V73" s="90" t="str">
        <x:v>是</x:v>
      </x:c>
      <x:c r="W73" s="90" t="str">
        <x:v>极热燥或特殊格局破坏</x:v>
      </x:c>
      <x:c r="X73" s="68" t="str">
        <x:v>M08有效旺衰、M09日主旺衰、M10十神功能、M11组合、M12流通、M13调候、M15格局成败均已完成</x:v>
      </x:c>
      <x:c r="Y73" s="68" t="str">
        <x:v>病位、根因、功能障碍与药神作用路径均能够追溯</x:v>
      </x:c>
      <x:c r="Z73" s="68" t="str">
        <x:v>药神有根有源、透达，能够直接进入病位且兼顾多个主要问题</x:v>
      </x:c>
      <x:c r="AA73" s="68" t="str">
        <x:v>药神无根、受强制、被合绊、作用路径遥隔或同时被多个任务分流</x:v>
      </x:c>
      <x:c r="AB73" s="90" t="str">
        <x:v>若该失衡没有造成实际功能障碍，或特殊格局要求顺势，则不得按普通病药立论</x:v>
      </x:c>
      <x:c r="AC73" s="68" t="str">
        <x:v>特殊格局严格成立、岁运动态作用或流派争议转M18/M21及动态引擎</x:v>
      </x:c>
      <x:c r="AD73" s="84" t="str">
        <x:v>极寒病</x:v>
      </x:c>
      <x:c r="AE73" s="84" t="str">
        <x:v>根本之病在“全局温度轴与木火生化节点”：M13极寒，火弱无效，寒凝已阻断M12关键路径；表层表现为“木火不生、湿土不化或水寒凝滞”。主药候选为“火”，药理为“暖”；最终喜忌与主次仍转M17/M18裁决。</x:v>
      </x:c>
      <x:c r="AF73" s="82" t="str">
        <x:v>较高</x:v>
      </x:c>
      <x:c r="AG73" s="82" t="str">
        <x:v>病药</x:v>
      </x:c>
      <x:c r="AH7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3" s="68" t="str">
        <x:v>当“极寒不仅是季节标签，而是多个功能障碍的共同根因”真实成立，且药神能够直接作用病位时，可按“极寒导致全局生化停滞”记录。</x:v>
      </x:c>
      <x:c r="AJ73" s="90" t="str">
        <x:v>只有表面“木火不生、湿土不化或水寒凝滞”，但未证明根因“M13极寒，火弱无效，寒凝已阻断M12关键路径”及药神作用路径时，不得套用“极寒导致全局生化停滞”。</x:v>
      </x:c>
      <x:c r="AK73" s="82" t="str">
        <x:v>采用</x:v>
      </x:c>
      <x:c r="AL73" s="82" t="str">
        <x:v>初审</x:v>
      </x:c>
      <x:c r="AM73" s="87" t="n">
        <x:v>46260</x:v>
      </x:c>
    </x:row>
    <x:row r="74">
      <x:c r="A74" s="72" t="str">
        <x:f>IF(OR(C74="",D74=""),"",B74&amp;"-"&amp;UPPER(C74)&amp;"-"&amp;TEXT(D74,"0000")&amp;"-"&amp;E74)</x:f>
        <x:v>M16-CLIMATE-0068-V1.0</x:v>
      </x:c>
      <x:c r="B74" s="74" t="str">
        <x:v>M16</x:v>
      </x:c>
      <x:c r="C74" s="74" t="str">
        <x:v>CLIMATE</x:v>
      </x:c>
      <x:c r="D74" s="215" t="n">
        <x:v>68</x:v>
      </x:c>
      <x:c r="E74" s="74" t="str">
        <x:v>V1.0</x:v>
      </x:c>
      <x:c r="F74" s="68" t="str">
        <x:v>寒湿并重形成暖局化湿病</x:v>
      </x:c>
      <x:c r="G74" s="82" t="str">
        <x:v>综合层</x:v>
      </x:c>
      <x:c r="H74" s="82" t="str">
        <x:v>调候病</x:v>
      </x:c>
      <x:c r="I74" s="68" t="str">
        <x:v>温度与湿度双轴</x:v>
      </x:c>
      <x:c r="J74" s="68" t="str">
        <x:v>寒湿</x:v>
      </x:c>
      <x:c r="K74" s="68" t="str">
        <x:v>偏寒/极寒与偏湿/极湿共同造成流通壅滞</x:v>
      </x:c>
      <x:c r="L74" s="68" t="str">
        <x:v>湿土晦火、木火生化不足、水湿停聚</x:v>
      </x:c>
      <x:c r="M74" s="82" t="str">
        <x:v>严重</x:v>
      </x:c>
      <x:c r="N74" s="68" t="str">
        <x:v>火</x:v>
      </x:c>
      <x:c r="O74" s="68" t="str">
        <x:v>木</x:v>
      </x:c>
      <x:c r="P74" s="82" t="str">
        <x:v>燥湿</x:v>
      </x:c>
      <x:c r="Q74" s="68" t="str">
        <x:v>M13寒湿状态且M12桥梁受寒凝/湿滞</x:v>
      </x:c>
      <x:c r="R74" s="90" t="str">
        <x:v>火为核心忌神或从水格严格成立时需替代调候方案</x:v>
      </x:c>
      <x:c r="S74" s="90" t="str">
        <x:v>主要病位未被修复，原有失衡继续运行</x:v>
      </x:c>
      <x:c r="T74" s="90" t="str">
        <x:v>火过度形成暖燥，木过旺可能加重火势</x:v>
      </x:c>
      <x:c r="U74" s="82" t="str">
        <x:v>条件性</x:v>
      </x:c>
      <x:c r="V74" s="90" t="str">
        <x:v>是</x:v>
      </x:c>
      <x:c r="W74" s="90" t="str">
        <x:v>暖燥或格局冲突</x:v>
      </x:c>
      <x:c r="X74" s="68" t="str">
        <x:v>M08有效旺衰、M09日主旺衰、M10十神功能、M11组合、M12流通、M13调候、M15格局成败均已完成</x:v>
      </x:c>
      <x:c r="Y74" s="68" t="str">
        <x:v>病位、根因、功能障碍与药神作用路径均能够追溯</x:v>
      </x:c>
      <x:c r="Z74" s="68" t="str">
        <x:v>药神有根有源、透达，能够直接进入病位且兼顾多个主要问题</x:v>
      </x:c>
      <x:c r="AA74" s="68" t="str">
        <x:v>药神无根、受强制、被合绊、作用路径遥隔或同时被多个任务分流</x:v>
      </x:c>
      <x:c r="AB74" s="90" t="str">
        <x:v>若该失衡没有造成实际功能障碍，或特殊格局要求顺势，则不得按普通病药立论</x:v>
      </x:c>
      <x:c r="AC74" s="68" t="str">
        <x:v>特殊格局严格成立、岁运动态作用或流派争议转M18/M21及动态引擎</x:v>
      </x:c>
      <x:c r="AD74" s="84" t="str">
        <x:v>寒湿病</x:v>
      </x:c>
      <x:c r="AE74" s="84" t="str">
        <x:v>根本之病在“温度与湿度双轴”：偏寒/极寒与偏湿/极湿共同造成流通壅滞；表层表现为“湿土晦火、木火生化不足、水湿停聚”。主药候选为“火”，药理为“燥湿”；最终喜忌与主次仍转M17/M18裁决。</x:v>
      </x:c>
      <x:c r="AF74" s="82" t="str">
        <x:v>较高</x:v>
      </x:c>
      <x:c r="AG74" s="82" t="str">
        <x:v>病药</x:v>
      </x:c>
      <x:c r="AH7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4" s="68" t="str">
        <x:v>当“M13寒湿状态且M12桥梁受寒凝/湿滞”真实成立，且药神能够直接作用病位时，可按“寒湿并重形成暖局化湿病”记录。</x:v>
      </x:c>
      <x:c r="AJ74" s="90" t="str">
        <x:v>只有表面“湿土晦火、木火生化不足、水湿停聚”，但未证明根因“偏寒/极寒与偏湿/极湿共同造成流通壅滞”及药神作用路径时，不得套用“寒湿并重形成暖局化湿病”。</x:v>
      </x:c>
      <x:c r="AK74" s="82" t="str">
        <x:v>采用</x:v>
      </x:c>
      <x:c r="AL74" s="82" t="str">
        <x:v>初审</x:v>
      </x:c>
      <x:c r="AM74" s="87" t="n">
        <x:v>46260</x:v>
      </x:c>
    </x:row>
    <x:row r="75">
      <x:c r="A75" s="72" t="str">
        <x:f>IF(OR(C75="",D75=""),"",B75&amp;"-"&amp;UPPER(C75)&amp;"-"&amp;TEXT(D75,"0000")&amp;"-"&amp;E75)</x:f>
        <x:v>M16-CLIMATE-0069-V1.0</x:v>
      </x:c>
      <x:c r="B75" s="74" t="str">
        <x:v>M16</x:v>
      </x:c>
      <x:c r="C75" s="74" t="str">
        <x:v>CLIMATE</x:v>
      </x:c>
      <x:c r="D75" s="215" t="n">
        <x:v>69</x:v>
      </x:c>
      <x:c r="E75" s="74" t="str">
        <x:v>V1.0</x:v>
      </x:c>
      <x:c r="F75" s="68" t="str">
        <x:v>寒燥需要兼顾暖与润</x:v>
      </x:c>
      <x:c r="G75" s="82" t="str">
        <x:v>综合层</x:v>
      </x:c>
      <x:c r="H75" s="82" t="str">
        <x:v>调候病</x:v>
      </x:c>
      <x:c r="I75" s="68" t="str">
        <x:v>温度与湿度双轴</x:v>
      </x:c>
      <x:c r="J75" s="68" t="str">
        <x:v>寒燥</x:v>
      </x:c>
      <x:c r="K75" s="68" t="str">
        <x:v>温度偏寒而湿度偏燥，单纯加火会进一步燥枯</x:v>
      </x:c>
      <x:c r="L75" s="68" t="str">
        <x:v>既寒凝又失润</x:v>
      </x:c>
      <x:c r="M75" s="82" t="str">
        <x:v>明显</x:v>
      </x:c>
      <x:c r="N75" s="68" t="str">
        <x:v>火与水择主辅并控制比例</x:v>
      </x:c>
      <x:c r="O75" s="68" t="str">
        <x:v>木作为协调桥梁</x:v>
      </x:c>
      <x:c r="P75" s="82" t="str">
        <x:v>复合药理</x:v>
      </x:c>
      <x:c r="Q75" s="68" t="str">
        <x:v>M13明确寒燥而非寒湿</x:v>
      </x:c>
      <x:c r="R75" s="90" t="str">
        <x:v>不得只见寒便无限加火，或只见燥便大量加水</x:v>
      </x:c>
      <x:c r="S75" s="90" t="str">
        <x:v>主要病位未被修复，原有失衡继续运行</x:v>
      </x:c>
      <x:c r="T75" s="90" t="str">
        <x:v>火过燥、水过寒，双向都可能制造新病</x:v>
      </x:c>
      <x:c r="U75" s="82" t="str">
        <x:v>条件性</x:v>
      </x:c>
      <x:c r="V75" s="90" t="str">
        <x:v>是</x:v>
      </x:c>
      <x:c r="W75" s="90" t="str">
        <x:v>极热燥或寒湿</x:v>
      </x:c>
      <x:c r="X75" s="68" t="str">
        <x:v>M08有效旺衰、M09日主旺衰、M10十神功能、M11组合、M12流通、M13调候、M15格局成败均已完成</x:v>
      </x:c>
      <x:c r="Y75" s="68" t="str">
        <x:v>病位、根因、功能障碍与药神作用路径均能够追溯</x:v>
      </x:c>
      <x:c r="Z75" s="68" t="str">
        <x:v>药神有根有源、透达，能够直接进入病位且兼顾多个主要问题</x:v>
      </x:c>
      <x:c r="AA75" s="68" t="str">
        <x:v>药神无根、受强制、被合绊、作用路径遥隔或同时被多个任务分流</x:v>
      </x:c>
      <x:c r="AB75" s="90" t="str">
        <x:v>若该失衡没有造成实际功能障碍，或特殊格局要求顺势，则不得按普通病药立论</x:v>
      </x:c>
      <x:c r="AC75" s="68" t="str">
        <x:v>特殊格局严格成立、岁运动态作用或流派争议转M18/M21及动态引擎</x:v>
      </x:c>
      <x:c r="AD75" s="84" t="str">
        <x:v>寒燥病</x:v>
      </x:c>
      <x:c r="AE75" s="84" t="str">
        <x:v>根本之病在“温度与湿度双轴”：温度偏寒而湿度偏燥，单纯加火会进一步燥枯；表层表现为“既寒凝又失润”。主药候选为“火与水择主辅并控制比例”，药理为“复合药理”；最终喜忌与主次仍转M17/M18裁决。</x:v>
      </x:c>
      <x:c r="AF75" s="82" t="str">
        <x:v>较高</x:v>
      </x:c>
      <x:c r="AG75" s="82" t="str">
        <x:v>病药</x:v>
      </x:c>
      <x:c r="AH7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5" s="68" t="str">
        <x:v>当“M13明确寒燥而非寒湿”真实成立，且药神能够直接作用病位时，可按“寒燥需要兼顾暖与润”记录。</x:v>
      </x:c>
      <x:c r="AJ75" s="90" t="str">
        <x:v>只有表面“既寒凝又失润”，但未证明根因“温度偏寒而湿度偏燥，单纯加火会进一步燥枯”及药神作用路径时，不得套用“寒燥需要兼顾暖与润”。</x:v>
      </x:c>
      <x:c r="AK75" s="82" t="str">
        <x:v>采用</x:v>
      </x:c>
      <x:c r="AL75" s="82" t="str">
        <x:v>初审</x:v>
      </x:c>
      <x:c r="AM75" s="87" t="n">
        <x:v>46260</x:v>
      </x:c>
    </x:row>
    <x:row r="76">
      <x:c r="A76" s="72" t="str">
        <x:f>IF(OR(C76="",D76=""),"",B76&amp;"-"&amp;UPPER(C76)&amp;"-"&amp;TEXT(D76,"0000")&amp;"-"&amp;E76)</x:f>
        <x:v>M16-CLIMATE-0070-V1.0</x:v>
      </x:c>
      <x:c r="B76" s="74" t="str">
        <x:v>M16</x:v>
      </x:c>
      <x:c r="C76" s="74" t="str">
        <x:v>CLIMATE</x:v>
      </x:c>
      <x:c r="D76" s="215" t="n">
        <x:v>70</x:v>
      </x:c>
      <x:c r="E76" s="74" t="str">
        <x:v>V1.0</x:v>
      </x:c>
      <x:c r="F76" s="68" t="str">
        <x:v>极热导致水木失养和火炎无制</x:v>
      </x:c>
      <x:c r="G76" s="82" t="str">
        <x:v>综合层</x:v>
      </x:c>
      <x:c r="H76" s="82" t="str">
        <x:v>调候病</x:v>
      </x:c>
      <x:c r="I76" s="68" t="str">
        <x:v>全局温度轴与水木节点</x:v>
      </x:c>
      <x:c r="J76" s="68" t="str">
        <x:v>火炎</x:v>
      </x:c>
      <x:c r="K76" s="68" t="str">
        <x:v>M13极热，水弱无效，热势已影响流通与五行功能</x:v>
      </x:c>
      <x:c r="L76" s="68" t="str">
        <x:v>水涸、木燥、土焦或金受热制</x:v>
      </x:c>
      <x:c r="M76" s="82" t="str">
        <x:v>首要矛盾</x:v>
      </x:c>
      <x:c r="N76" s="68" t="str">
        <x:v>水</x:v>
      </x:c>
      <x:c r="O76" s="68" t="str">
        <x:v>金生水或湿润承接者</x:v>
      </x:c>
      <x:c r="P76" s="82" t="str">
        <x:v>润</x:v>
      </x:c>
      <x:c r="Q76" s="68" t="str">
        <x:v>极热是多个功能失效的共同根因</x:v>
      </x:c>
      <x:c r="R76" s="90" t="str">
        <x:v>从火、炎上等特殊格局严格成立时需服从格局硬约束</x:v>
      </x:c>
      <x:c r="S76" s="90" t="str">
        <x:v>主要病位未被修复，原有失衡继续运行</x:v>
      </x:c>
      <x:c r="T76" s="90" t="str">
        <x:v>水过量转寒湿、冲熄关键火格</x:v>
      </x:c>
      <x:c r="U76" s="82" t="str">
        <x:v>条件性</x:v>
      </x:c>
      <x:c r="V76" s="90" t="str">
        <x:v>是</x:v>
      </x:c>
      <x:c r="W76" s="90" t="str">
        <x:v>寒湿或特殊格局破坏</x:v>
      </x:c>
      <x:c r="X76" s="68" t="str">
        <x:v>M08有效旺衰、M09日主旺衰、M10十神功能、M11组合、M12流通、M13调候、M15格局成败均已完成</x:v>
      </x:c>
      <x:c r="Y76" s="68" t="str">
        <x:v>病位、根因、功能障碍与药神作用路径均能够追溯</x:v>
      </x:c>
      <x:c r="Z76" s="68" t="str">
        <x:v>药神有根有源、透达，能够直接进入病位且兼顾多个主要问题</x:v>
      </x:c>
      <x:c r="AA76" s="68" t="str">
        <x:v>药神无根、受强制、被合绊、作用路径遥隔或同时被多个任务分流</x:v>
      </x:c>
      <x:c r="AB76" s="90" t="str">
        <x:v>若该失衡没有造成实际功能障碍，或特殊格局要求顺势，则不得按普通病药立论</x:v>
      </x:c>
      <x:c r="AC76" s="68" t="str">
        <x:v>特殊格局严格成立、岁运动态作用或流派争议转M18/M21及动态引擎</x:v>
      </x:c>
      <x:c r="AD76" s="84" t="str">
        <x:v>极热病</x:v>
      </x:c>
      <x:c r="AE76" s="84" t="str">
        <x:v>根本之病在“全局温度轴与水木节点”：M13极热，水弱无效，热势已影响流通与五行功能；表层表现为“水涸、木燥、土焦或金受热制”。主药候选为“水”，药理为“润”；最终喜忌与主次仍转M17/M18裁决。</x:v>
      </x:c>
      <x:c r="AF76" s="82" t="str">
        <x:v>较高</x:v>
      </x:c>
      <x:c r="AG76" s="82" t="str">
        <x:v>病药</x:v>
      </x:c>
      <x:c r="AH7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6" s="68" t="str">
        <x:v>当“极热是多个功能失效的共同根因”真实成立，且药神能够直接作用病位时，可按“极热导致水木失养和火炎无制”记录。</x:v>
      </x:c>
      <x:c r="AJ76" s="90" t="str">
        <x:v>只有表面“水涸、木燥、土焦或金受热制”，但未证明根因“M13极热，水弱无效，热势已影响流通与五行功能”及药神作用路径时，不得套用“极热导致水木失养和火炎无制”。</x:v>
      </x:c>
      <x:c r="AK76" s="82" t="str">
        <x:v>采用</x:v>
      </x:c>
      <x:c r="AL76" s="82" t="str">
        <x:v>初审</x:v>
      </x:c>
      <x:c r="AM76" s="87" t="n">
        <x:v>46260</x:v>
      </x:c>
    </x:row>
    <x:row r="77">
      <x:c r="A77" s="72" t="str">
        <x:f>IF(OR(C77="",D77=""),"",B77&amp;"-"&amp;UPPER(C77)&amp;"-"&amp;TEXT(D77,"0000")&amp;"-"&amp;E77)</x:f>
        <x:v>M16-CLIMATE-0071-V1.0</x:v>
      </x:c>
      <x:c r="B77" s="74" t="str">
        <x:v>M16</x:v>
      </x:c>
      <x:c r="C77" s="74" t="str">
        <x:v>CLIMATE</x:v>
      </x:c>
      <x:c r="D77" s="215" t="n">
        <x:v>71</x:v>
      </x:c>
      <x:c r="E77" s="74" t="str">
        <x:v>V1.0</x:v>
      </x:c>
      <x:c r="F77" s="68" t="str">
        <x:v>暖燥并重需要降温润燥</x:v>
      </x:c>
      <x:c r="G77" s="82" t="str">
        <x:v>综合层</x:v>
      </x:c>
      <x:c r="H77" s="82" t="str">
        <x:v>调候病</x:v>
      </x:c>
      <x:c r="I77" s="68" t="str">
        <x:v>温度与湿度双轴</x:v>
      </x:c>
      <x:c r="J77" s="68" t="str">
        <x:v>暖燥</x:v>
      </x:c>
      <x:c r="K77" s="68" t="str">
        <x:v>偏暖/极热与偏燥/极燥叠加</x:v>
      </x:c>
      <x:c r="L77" s="68" t="str">
        <x:v>木水失养、火土燥烈、流通燥枯</x:v>
      </x:c>
      <x:c r="M77" s="82" t="str">
        <x:v>严重</x:v>
      </x:c>
      <x:c r="N77" s="68" t="str">
        <x:v>水</x:v>
      </x:c>
      <x:c r="O77" s="68" t="str">
        <x:v>金或能保护水源者</x:v>
      </x:c>
      <x:c r="P77" s="82" t="str">
        <x:v>润</x:v>
      </x:c>
      <x:c r="Q77" s="68" t="str">
        <x:v>M13暖燥且M12出现燥枯</x:v>
      </x:c>
      <x:c r="R77" s="90" t="str">
        <x:v>水会破坏核心火格或形成两强相战时需条件化</x:v>
      </x:c>
      <x:c r="S77" s="90" t="str">
        <x:v>主要病位未被修复，原有失衡继续运行</x:v>
      </x:c>
      <x:c r="T77" s="90" t="str">
        <x:v>水过量形成寒湿或终点过旺</x:v>
      </x:c>
      <x:c r="U77" s="82" t="str">
        <x:v>条件性</x:v>
      </x:c>
      <x:c r="V77" s="90" t="str">
        <x:v>是</x:v>
      </x:c>
      <x:c r="W77" s="90" t="str">
        <x:v>寒湿或格局冲突</x:v>
      </x:c>
      <x:c r="X77" s="68" t="str">
        <x:v>M08有效旺衰、M09日主旺衰、M10十神功能、M11组合、M12流通、M13调候、M15格局成败均已完成</x:v>
      </x:c>
      <x:c r="Y77" s="68" t="str">
        <x:v>病位、根因、功能障碍与药神作用路径均能够追溯</x:v>
      </x:c>
      <x:c r="Z77" s="68" t="str">
        <x:v>药神有根有源、透达，能够直接进入病位且兼顾多个主要问题</x:v>
      </x:c>
      <x:c r="AA77" s="68" t="str">
        <x:v>药神无根、受强制、被合绊、作用路径遥隔或同时被多个任务分流</x:v>
      </x:c>
      <x:c r="AB77" s="90" t="str">
        <x:v>若该失衡没有造成实际功能障碍，或特殊格局要求顺势，则不得按普通病药立论</x:v>
      </x:c>
      <x:c r="AC77" s="68" t="str">
        <x:v>特殊格局严格成立、岁运动态作用或流派争议转M18/M21及动态引擎</x:v>
      </x:c>
      <x:c r="AD77" s="84" t="str">
        <x:v>暖燥病</x:v>
      </x:c>
      <x:c r="AE77" s="84" t="str">
        <x:v>根本之病在“温度与湿度双轴”：偏暖/极热与偏燥/极燥叠加；表层表现为“木水失养、火土燥烈、流通燥枯”。主药候选为“水”，药理为“润”；最终喜忌与主次仍转M17/M18裁决。</x:v>
      </x:c>
      <x:c r="AF77" s="82" t="str">
        <x:v>较高</x:v>
      </x:c>
      <x:c r="AG77" s="82" t="str">
        <x:v>病药</x:v>
      </x:c>
      <x:c r="AH7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7" s="68" t="str">
        <x:v>当“M13暖燥且M12出现燥枯”真实成立，且药神能够直接作用病位时，可按“暖燥并重需要降温润燥”记录。</x:v>
      </x:c>
      <x:c r="AJ77" s="90" t="str">
        <x:v>只有表面“木水失养、火土燥烈、流通燥枯”，但未证明根因“偏暖/极热与偏燥/极燥叠加”及药神作用路径时，不得套用“暖燥并重需要降温润燥”。</x:v>
      </x:c>
      <x:c r="AK77" s="82" t="str">
        <x:v>采用</x:v>
      </x:c>
      <x:c r="AL77" s="82" t="str">
        <x:v>初审</x:v>
      </x:c>
      <x:c r="AM77" s="87" t="n">
        <x:v>46260</x:v>
      </x:c>
    </x:row>
    <x:row r="78">
      <x:c r="A78" s="72" t="str">
        <x:f>IF(OR(C78="",D78=""),"",B78&amp;"-"&amp;UPPER(C78)&amp;"-"&amp;TEXT(D78,"0000")&amp;"-"&amp;E78)</x:f>
        <x:v>M16-CLIMATE-0072-V1.0</x:v>
      </x:c>
      <x:c r="B78" s="74" t="str">
        <x:v>M16</x:v>
      </x:c>
      <x:c r="C78" s="74" t="str">
        <x:v>CLIMATE</x:v>
      </x:c>
      <x:c r="D78" s="215" t="n">
        <x:v>72</x:v>
      </x:c>
      <x:c r="E78" s="74" t="str">
        <x:v>V1.0</x:v>
      </x:c>
      <x:c r="F78" s="68" t="str">
        <x:v>暖湿应以疏湿为主而非继续升温</x:v>
      </x:c>
      <x:c r="G78" s="82" t="str">
        <x:v>综合层</x:v>
      </x:c>
      <x:c r="H78" s="82" t="str">
        <x:v>调候病</x:v>
      </x:c>
      <x:c r="I78" s="68" t="str">
        <x:v>湿度轴与湿土节点</x:v>
      </x:c>
      <x:c r="J78" s="68" t="str">
        <x:v>暖湿</x:v>
      </x:c>
      <x:c r="K78" s="68" t="str">
        <x:v>温度已偏暖，但湿气壅滞，继续加火可能过热</x:v>
      </x:c>
      <x:c r="L78" s="68" t="str">
        <x:v>湿土滞气、流通不畅</x:v>
      </x:c>
      <x:c r="M78" s="82" t="str">
        <x:v>明显</x:v>
      </x:c>
      <x:c r="N78" s="68" t="str">
        <x:v>木疏湿或适度土性调节</x:v>
      </x:c>
      <x:c r="O78" s="68" t="str">
        <x:v>少量火仅用于化湿</x:v>
      </x:c>
      <x:c r="P78" s="82" t="str">
        <x:v>燥湿</x:v>
      </x:c>
      <x:c r="Q78" s="68" t="str">
        <x:v>M13暖湿且温度并不需要明显上调</x:v>
      </x:c>
      <x:c r="R78" s="90" t="str">
        <x:v>不得把所有湿病都机械以强火处理</x:v>
      </x:c>
      <x:c r="S78" s="90" t="str">
        <x:v>主要病位未被修复，原有失衡继续运行</x:v>
      </x:c>
      <x:c r="T78" s="90" t="str">
        <x:v>火过强形成热燥，木过强可能生火过度</x:v>
      </x:c>
      <x:c r="U78" s="82" t="str">
        <x:v>条件性</x:v>
      </x:c>
      <x:c r="V78" s="90" t="str">
        <x:v>是</x:v>
      </x:c>
      <x:c r="W78" s="90" t="str">
        <x:v>暖燥</x:v>
      </x:c>
      <x:c r="X78" s="68" t="str">
        <x:v>M08有效旺衰、M09日主旺衰、M10十神功能、M11组合、M12流通、M13调候、M15格局成败均已完成</x:v>
      </x:c>
      <x:c r="Y78" s="68" t="str">
        <x:v>病位、根因、功能障碍与药神作用路径均能够追溯</x:v>
      </x:c>
      <x:c r="Z78" s="68" t="str">
        <x:v>药神有根有源、透达，能够直接进入病位且兼顾多个主要问题</x:v>
      </x:c>
      <x:c r="AA78" s="68" t="str">
        <x:v>药神无根、受强制、被合绊、作用路径遥隔或同时被多个任务分流</x:v>
      </x:c>
      <x:c r="AB78" s="90" t="str">
        <x:v>若该失衡没有造成实际功能障碍，或特殊格局要求顺势，则不得按普通病药立论</x:v>
      </x:c>
      <x:c r="AC78" s="68" t="str">
        <x:v>特殊格局严格成立、岁运动态作用或流派争议转M18/M21及动态引擎</x:v>
      </x:c>
      <x:c r="AD78" s="84" t="str">
        <x:v>暖湿病</x:v>
      </x:c>
      <x:c r="AE78" s="84" t="str">
        <x:v>根本之病在“湿度轴与湿土节点”：温度已偏暖，但湿气壅滞，继续加火可能过热；表层表现为“湿土滞气、流通不畅”。主药候选为“木疏湿或适度土性调节”，药理为“燥湿”；最终喜忌与主次仍转M17/M18裁决。</x:v>
      </x:c>
      <x:c r="AF78" s="82" t="str">
        <x:v>较高</x:v>
      </x:c>
      <x:c r="AG78" s="82" t="str">
        <x:v>病药</x:v>
      </x:c>
      <x:c r="AH7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8" s="68" t="str">
        <x:v>当“M13暖湿且温度并不需要明显上调”真实成立，且药神能够直接作用病位时，可按“暖湿应以疏湿为主而非继续升温”记录。</x:v>
      </x:c>
      <x:c r="AJ78" s="90" t="str">
        <x:v>只有表面“湿土滞气、流通不畅”，但未证明根因“温度已偏暖，但湿气壅滞，继续加火可能过热”及药神作用路径时，不得套用“暖湿应以疏湿为主而非继续升温”。</x:v>
      </x:c>
      <x:c r="AK78" s="82" t="str">
        <x:v>采用</x:v>
      </x:c>
      <x:c r="AL78" s="82" t="str">
        <x:v>初审</x:v>
      </x:c>
      <x:c r="AM78" s="87" t="n">
        <x:v>46260</x:v>
      </x:c>
    </x:row>
    <x:row r="79">
      <x:c r="A79" s="72" t="str">
        <x:f>IF(OR(C79="",D79=""),"",B79&amp;"-"&amp;UPPER(C79)&amp;"-"&amp;TEXT(D79,"0000")&amp;"-"&amp;E79)</x:f>
        <x:v>M16-CLIMATE-0073-V1.0</x:v>
      </x:c>
      <x:c r="B79" s="74" t="str">
        <x:v>M16</x:v>
      </x:c>
      <x:c r="C79" s="74" t="str">
        <x:v>CLIMATE</x:v>
      </x:c>
      <x:c r="D79" s="215" t="n">
        <x:v>73</x:v>
      </x:c>
      <x:c r="E79" s="74" t="str">
        <x:v>V1.0</x:v>
      </x:c>
      <x:c r="F79" s="68" t="str">
        <x:v>极湿形成湿滞和桥梁失效</x:v>
      </x:c>
      <x:c r="G79" s="82" t="str">
        <x:v>综合层</x:v>
      </x:c>
      <x:c r="H79" s="82" t="str">
        <x:v>调候病</x:v>
      </x:c>
      <x:c r="I79" s="68" t="str">
        <x:v>湿度轴、湿土与水势</x:v>
      </x:c>
      <x:c r="J79" s="68" t="str">
        <x:v>湿滞</x:v>
      </x:c>
      <x:c r="K79" s="68" t="str">
        <x:v>水与湿土成势，火木不足，湿度极端阻断生化</x:v>
      </x:c>
      <x:c r="L79" s="68" t="str">
        <x:v>桥梁沉滞、火受晦、终点不能承载</x:v>
      </x:c>
      <x:c r="M79" s="82" t="str">
        <x:v>首要矛盾</x:v>
      </x:c>
      <x:c r="N79" s="68" t="str">
        <x:v>火化湿</x:v>
      </x:c>
      <x:c r="O79" s="68" t="str">
        <x:v>木疏土导湿</x:v>
      </x:c>
      <x:c r="P79" s="82" t="str">
        <x:v>燥湿</x:v>
      </x:c>
      <x:c r="Q79" s="68" t="str">
        <x:v>M13极湿且M12多个卡点同源于湿滞</x:v>
      </x:c>
      <x:c r="R79" s="90" t="str">
        <x:v>原局极热或火格核心受损风险需控制火量</x:v>
      </x:c>
      <x:c r="S79" s="90" t="str">
        <x:v>主要病位未被修复，原有失衡继续运行</x:v>
      </x:c>
      <x:c r="T79" s="90" t="str">
        <x:v>火过量转热燥，木火同增可过暖</x:v>
      </x:c>
      <x:c r="U79" s="82" t="str">
        <x:v>条件性</x:v>
      </x:c>
      <x:c r="V79" s="90" t="str">
        <x:v>是</x:v>
      </x:c>
      <x:c r="W79" s="90" t="str">
        <x:v>暖燥</x:v>
      </x:c>
      <x:c r="X79" s="68" t="str">
        <x:v>M08有效旺衰、M09日主旺衰、M10十神功能、M11组合、M12流通、M13调候、M15格局成败均已完成</x:v>
      </x:c>
      <x:c r="Y79" s="68" t="str">
        <x:v>病位、根因、功能障碍与药神作用路径均能够追溯</x:v>
      </x:c>
      <x:c r="Z79" s="68" t="str">
        <x:v>药神有根有源、透达，能够直接进入病位且兼顾多个主要问题</x:v>
      </x:c>
      <x:c r="AA79" s="68" t="str">
        <x:v>药神无根、受强制、被合绊、作用路径遥隔或同时被多个任务分流</x:v>
      </x:c>
      <x:c r="AB79" s="90" t="str">
        <x:v>若该失衡没有造成实际功能障碍，或特殊格局要求顺势，则不得按普通病药立论</x:v>
      </x:c>
      <x:c r="AC79" s="68" t="str">
        <x:v>特殊格局严格成立、岁运动态作用或流派争议转M18/M21及动态引擎</x:v>
      </x:c>
      <x:c r="AD79" s="84" t="str">
        <x:v>极湿病</x:v>
      </x:c>
      <x:c r="AE79" s="84" t="str">
        <x:v>根本之病在“湿度轴、湿土与水势”：水与湿土成势，火木不足，湿度极端阻断生化；表层表现为“桥梁沉滞、火受晦、终点不能承载”。主药候选为“火化湿”，药理为“燥湿”；最终喜忌与主次仍转M17/M18裁决。</x:v>
      </x:c>
      <x:c r="AF79" s="82" t="str">
        <x:v>较高</x:v>
      </x:c>
      <x:c r="AG79" s="82" t="str">
        <x:v>病药</x:v>
      </x:c>
      <x:c r="AH7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9" s="68" t="str">
        <x:v>当“M13极湿且M12多个卡点同源于湿滞”真实成立，且药神能够直接作用病位时，可按“极湿形成湿滞和桥梁失效”记录。</x:v>
      </x:c>
      <x:c r="AJ79" s="90" t="str">
        <x:v>只有表面“桥梁沉滞、火受晦、终点不能承载”，但未证明根因“水与湿土成势，火木不足，湿度极端阻断生化”及药神作用路径时，不得套用“极湿形成湿滞和桥梁失效”。</x:v>
      </x:c>
      <x:c r="AK79" s="82" t="str">
        <x:v>采用</x:v>
      </x:c>
      <x:c r="AL79" s="82" t="str">
        <x:v>初审</x:v>
      </x:c>
      <x:c r="AM79" s="87" t="n">
        <x:v>46260</x:v>
      </x:c>
    </x:row>
    <x:row r="80">
      <x:c r="A80" s="72" t="str">
        <x:f>IF(OR(C80="",D80=""),"",B80&amp;"-"&amp;UPPER(C80)&amp;"-"&amp;TEXT(D80,"0000")&amp;"-"&amp;E80)</x:f>
        <x:v>M16-CLIMATE-0074-V1.0</x:v>
      </x:c>
      <x:c r="B80" s="74" t="str">
        <x:v>M16</x:v>
      </x:c>
      <x:c r="C80" s="74" t="str">
        <x:v>CLIMATE</x:v>
      </x:c>
      <x:c r="D80" s="215" t="n">
        <x:v>74</x:v>
      </x:c>
      <x:c r="E80" s="74" t="str">
        <x:v>V1.0</x:v>
      </x:c>
      <x:c r="F80" s="68" t="str">
        <x:v>极燥形成燥枯和承接失败</x:v>
      </x:c>
      <x:c r="G80" s="82" t="str">
        <x:v>综合层</x:v>
      </x:c>
      <x:c r="H80" s="82" t="str">
        <x:v>调候病</x:v>
      </x:c>
      <x:c r="I80" s="68" t="str">
        <x:v>湿度轴与水木节点</x:v>
      </x:c>
      <x:c r="J80" s="68" t="str">
        <x:v>燥烈</x:v>
      </x:c>
      <x:c r="K80" s="68" t="str">
        <x:v>火燥土成势，水弱，关键五行失润</x:v>
      </x:c>
      <x:c r="L80" s="68" t="str">
        <x:v>木枯、水涸、土燥、链路难续</x:v>
      </x:c>
      <x:c r="M80" s="82" t="str">
        <x:v>首要矛盾</x:v>
      </x:c>
      <x:c r="N80" s="68" t="str">
        <x:v>水润燥</x:v>
      </x:c>
      <x:c r="O80" s="68" t="str">
        <x:v>金生水或保护水源</x:v>
      </x:c>
      <x:c r="P80" s="82" t="str">
        <x:v>润</x:v>
      </x:c>
      <x:c r="Q80" s="68" t="str">
        <x:v>M13极燥且M12燥枯为多路径共同根因</x:v>
      </x:c>
      <x:c r="R80" s="90" t="str">
        <x:v>极寒局或润下格需防水过度</x:v>
      </x:c>
      <x:c r="S80" s="90" t="str">
        <x:v>主要病位未被修复，原有失衡继续运行</x:v>
      </x:c>
      <x:c r="T80" s="90" t="str">
        <x:v>水过量形成寒湿或破坏燥土/火格</x:v>
      </x:c>
      <x:c r="U80" s="82" t="str">
        <x:v>条件性</x:v>
      </x:c>
      <x:c r="V80" s="90" t="str">
        <x:v>是</x:v>
      </x:c>
      <x:c r="W80" s="90" t="str">
        <x:v>寒湿或格局冲突</x:v>
      </x:c>
      <x:c r="X80" s="68" t="str">
        <x:v>M08有效旺衰、M09日主旺衰、M10十神功能、M11组合、M12流通、M13调候、M15格局成败均已完成</x:v>
      </x:c>
      <x:c r="Y80" s="68" t="str">
        <x:v>病位、根因、功能障碍与药神作用路径均能够追溯</x:v>
      </x:c>
      <x:c r="Z80" s="68" t="str">
        <x:v>药神有根有源、透达，能够直接进入病位且兼顾多个主要问题</x:v>
      </x:c>
      <x:c r="AA80" s="68" t="str">
        <x:v>药神无根、受强制、被合绊、作用路径遥隔或同时被多个任务分流</x:v>
      </x:c>
      <x:c r="AB80" s="90" t="str">
        <x:v>若该失衡没有造成实际功能障碍，或特殊格局要求顺势，则不得按普通病药立论</x:v>
      </x:c>
      <x:c r="AC80" s="68" t="str">
        <x:v>特殊格局严格成立、岁运动态作用或流派争议转M18/M21及动态引擎</x:v>
      </x:c>
      <x:c r="AD80" s="84" t="str">
        <x:v>极燥病</x:v>
      </x:c>
      <x:c r="AE80" s="84" t="str">
        <x:v>根本之病在“湿度轴与水木节点”：火燥土成势，水弱，关键五行失润；表层表现为“木枯、水涸、土燥、链路难续”。主药候选为“水润燥”，药理为“润”；最终喜忌与主次仍转M17/M18裁决。</x:v>
      </x:c>
      <x:c r="AF80" s="82" t="str">
        <x:v>较高</x:v>
      </x:c>
      <x:c r="AG80" s="82" t="str">
        <x:v>病药</x:v>
      </x:c>
      <x:c r="AH8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0" s="68" t="str">
        <x:v>当“M13极燥且M12燥枯为多路径共同根因”真实成立，且药神能够直接作用病位时，可按“极燥形成燥枯和承接失败”记录。</x:v>
      </x:c>
      <x:c r="AJ80" s="90" t="str">
        <x:v>只有表面“木枯、水涸、土燥、链路难续”，但未证明根因“火燥土成势，水弱，关键五行失润”及药神作用路径时，不得套用“极燥形成燥枯和承接失败”。</x:v>
      </x:c>
      <x:c r="AK80" s="82" t="str">
        <x:v>采用</x:v>
      </x:c>
      <x:c r="AL80" s="82" t="str">
        <x:v>初审</x:v>
      </x:c>
      <x:c r="AM80" s="87" t="n">
        <x:v>46260</x:v>
      </x:c>
    </x:row>
    <x:row r="81">
      <x:c r="A81" s="72" t="str">
        <x:f>IF(OR(C81="",D81=""),"",B81&amp;"-"&amp;UPPER(C81)&amp;"-"&amp;TEXT(D81,"0000")&amp;"-"&amp;E81)</x:f>
        <x:v>M16-CLIMATE-0075-V1.0</x:v>
      </x:c>
      <x:c r="B81" s="74" t="str">
        <x:v>M16</x:v>
      </x:c>
      <x:c r="C81" s="74" t="str">
        <x:v>CLIMATE</x:v>
      </x:c>
      <x:c r="D81" s="215" t="n">
        <x:v>75</x:v>
      </x:c>
      <x:c r="E81" s="74" t="str">
        <x:v>V1.0</x:v>
      </x:c>
      <x:c r="F81" s="68" t="str">
        <x:v>调候五行存在但无效形成名义有药无药力</x:v>
      </x:c>
      <x:c r="G81" s="82" t="str">
        <x:v>综合层</x:v>
      </x:c>
      <x:c r="H81" s="82" t="str">
        <x:v>调候病</x:v>
      </x:c>
      <x:c r="I81" s="68" t="str">
        <x:v>调候药神节点</x:v>
      </x:c>
      <x:c r="J81" s="68" t="str">
        <x:v>药神失效</x:v>
      </x:c>
      <x:c r="K81" s="68" t="str">
        <x:v>所需火、水、木等虽出现，但无根无源、受克、合绊或不能触达病位</x:v>
      </x:c>
      <x:c r="L81" s="68" t="str">
        <x:v>命局看似有调候五行，实际寒热燥湿仍未改善</x:v>
      </x:c>
      <x:c r="M81" s="82" t="str">
        <x:v>明显</x:v>
      </x:c>
      <x:c r="N81" s="68" t="str">
        <x:v>恢复调候五行有效性</x:v>
      </x:c>
      <x:c r="O81" s="68" t="str">
        <x:v>保护其根源或解除制约</x:v>
      </x:c>
      <x:c r="P81" s="82" t="str">
        <x:v>生</x:v>
      </x:c>
      <x:c r="Q81" s="68" t="str">
        <x:v>M13调候五行存在性为是但有效性为受限/失效</x:v>
      </x:c>
      <x:c r="R81" s="90" t="str">
        <x:v>不得把字面出现当作调候完成</x:v>
      </x:c>
      <x:c r="S81" s="90" t="str">
        <x:v>主要病位未被修复，原有失衡继续运行</x:v>
      </x:c>
      <x:c r="T81" s="90" t="str">
        <x:v>补强过度会跨越平衡</x:v>
      </x:c>
      <x:c r="U81" s="82" t="str">
        <x:v>条件性</x:v>
      </x:c>
      <x:c r="V81" s="90" t="str">
        <x:v>条件性</x:v>
      </x:c>
      <x:c r="W81" s="90" t="str">
        <x:v>反向调候病</x:v>
      </x:c>
      <x:c r="X81" s="68" t="str">
        <x:v>M08有效旺衰、M09日主旺衰、M10十神功能、M11组合、M12流通、M13调候、M15格局成败均已完成</x:v>
      </x:c>
      <x:c r="Y81" s="68" t="str">
        <x:v>病位、根因、功能障碍与药神作用路径均能够追溯</x:v>
      </x:c>
      <x:c r="Z81" s="68" t="str">
        <x:v>药神有根有源、透达，能够直接进入病位且兼顾多个主要问题</x:v>
      </x:c>
      <x:c r="AA81" s="68" t="str">
        <x:v>药神无根、受强制、被合绊、作用路径遥隔或同时被多个任务分流</x:v>
      </x:c>
      <x:c r="AB81" s="90" t="str">
        <x:v>若该失衡没有造成实际功能障碍，或特殊格局要求顺势，则不得按普通病药立论</x:v>
      </x:c>
      <x:c r="AC81" s="68" t="str">
        <x:v>特殊格局严格成立、岁运动态作用或流派争议转M18/M21及动态引擎</x:v>
      </x:c>
      <x:c r="AD81" s="84" t="str">
        <x:v>调候有形无力</x:v>
      </x:c>
      <x:c r="AE81" s="84" t="str">
        <x:v>根本之病在“调候药神节点”：所需火、水、木等虽出现，但无根无源、受克、合绊或不能触达病位；表层表现为“命局看似有调候五行，实际寒热燥湿仍未改善”。主药候选为“恢复调候五行有效性”，药理为“生”；最终喜忌与主次仍转M17/M18裁决。</x:v>
      </x:c>
      <x:c r="AF81" s="82" t="str">
        <x:v>较高</x:v>
      </x:c>
      <x:c r="AG81" s="82" t="str">
        <x:v>病药</x:v>
      </x:c>
      <x:c r="AH8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1" s="68" t="str">
        <x:v>当“M13调候五行存在性为是但有效性为受限/失效”真实成立，且药神能够直接作用病位时，可按“调候五行存在但无效形成名义有药无药力”记录。</x:v>
      </x:c>
      <x:c r="AJ81" s="90" t="str">
        <x:v>只有表面“命局看似有调候五行，实际寒热燥湿仍未改善”，但未证明根因“所需火、水、木等虽出现，但无根无源、受克、合绊或不能触达病位”及药神作用路径时，不得套用“调候五行存在但无效形成名义有药无药力”。</x:v>
      </x:c>
      <x:c r="AK81" s="82" t="str">
        <x:v>采用</x:v>
      </x:c>
      <x:c r="AL81" s="82" t="str">
        <x:v>初审</x:v>
      </x:c>
      <x:c r="AM81" s="87" t="n">
        <x:v>46260</x:v>
      </x:c>
    </x:row>
    <x:row r="82">
      <x:c r="A82" s="72" t="str">
        <x:f>IF(OR(C82="",D82=""),"",B82&amp;"-"&amp;UPPER(C82)&amp;"-"&amp;TEXT(D82,"0000")&amp;"-"&amp;E82)</x:f>
        <x:v>M16-CLIMATE-0076-V1.0</x:v>
      </x:c>
      <x:c r="B82" s="74" t="str">
        <x:v>M16</x:v>
      </x:c>
      <x:c r="C82" s="74" t="str">
        <x:v>CLIMATE</x:v>
      </x:c>
      <x:c r="D82" s="215" t="n">
        <x:v>76</x:v>
      </x:c>
      <x:c r="E82" s="74" t="str">
        <x:v>V1.0</x:v>
      </x:c>
      <x:c r="F82" s="68" t="str">
        <x:v>寒暖燥湿平衡时不立调候病</x:v>
      </x:c>
      <x:c r="G82" s="82" t="str">
        <x:v>综合层</x:v>
      </x:c>
      <x:c r="H82" s="82" t="str">
        <x:v>调候病</x:v>
      </x:c>
      <x:c r="I82" s="68" t="str">
        <x:v>温度与湿度双轴</x:v>
      </x:c>
      <x:c r="J82" s="68" t="str">
        <x:v>无气候病</x:v>
      </x:c>
      <x:c r="K82" s="68" t="str">
        <x:v>M13双轴平衡，未发现寒凝、燥枯、湿滞或火炎功能障碍</x:v>
      </x:c>
      <x:c r="L82" s="68" t="str">
        <x:v>无明显调候问题</x:v>
      </x:c>
      <x:c r="M82" s="82" t="str">
        <x:v>轻微</x:v>
      </x:c>
      <x:c r="N82" s="68" t="str">
        <x:v>不预设</x:v>
      </x:c>
      <x:c r="O82" s="68" t="str">
        <x:v>维持平衡者</x:v>
      </x:c>
      <x:c r="P82" s="82" t="str">
        <x:v>待定</x:v>
      </x:c>
      <x:c r="Q82" s="68" t="str">
        <x:v>双轴平衡且M12无气候型卡点</x:v>
      </x:c>
      <x:c r="R82" s="90" t="str">
        <x:v>不得因月令季节性自动追加调候药</x:v>
      </x:c>
      <x:c r="S82" s="90" t="str">
        <x:v>不适用</x:v>
      </x:c>
      <x:c r="T82" s="90" t="str">
        <x:v>无必要调候会制造寒热燥湿新病</x:v>
      </x:c>
      <x:c r="U82" s="82" t="str">
        <x:v>是</x:v>
      </x:c>
      <x:c r="V82" s="90" t="str">
        <x:v>是</x:v>
      </x:c>
      <x:c r="W82" s="90" t="str">
        <x:v>人为调候失衡</x:v>
      </x:c>
      <x:c r="X82" s="68" t="str">
        <x:v>M08有效旺衰、M09日主旺衰、M10十神功能、M11组合、M12流通、M13调候、M15格局成败均已完成</x:v>
      </x:c>
      <x:c r="Y82" s="68" t="str">
        <x:v>病位、根因、功能障碍与药神作用路径均能够追溯</x:v>
      </x:c>
      <x:c r="Z82" s="68" t="str">
        <x:v>药神有根有源、透达，能够直接进入病位且兼顾多个主要问题</x:v>
      </x:c>
      <x:c r="AA82" s="68" t="str">
        <x:v>药神无根、受强制、被合绊、作用路径遥隔或同时被多个任务分流</x:v>
      </x:c>
      <x:c r="AB82" s="90" t="str">
        <x:v>若该失衡没有造成实际功能障碍，或特殊格局要求顺势，则不得按普通病药立论</x:v>
      </x:c>
      <x:c r="AC82" s="68" t="str">
        <x:v>特殊格局严格成立、岁运动态作用或流派争议转M18/M21及动态引擎</x:v>
      </x:c>
      <x:c r="AD82" s="84" t="str">
        <x:v>调候平衡无病</x:v>
      </x:c>
      <x:c r="AE82" s="84" t="str">
        <x:v>寒暖燥湿已平衡，不另立调候病；调候不应成为主用神来源。</x:v>
      </x:c>
      <x:c r="AF82" s="82" t="str">
        <x:v>较高</x:v>
      </x:c>
      <x:c r="AG82" s="82" t="str">
        <x:v>病药</x:v>
      </x:c>
      <x:c r="AH8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2" s="68" t="str">
        <x:v>当“双轴平衡且M12无气候型卡点”真实成立，且药神能够直接作用病位时，可按“寒暖燥湿平衡时不立调候病”记录。</x:v>
      </x:c>
      <x:c r="AJ82" s="90" t="str">
        <x:v>只有表面“无明显调候问题”，但未证明根因“M13双轴平衡，未发现寒凝、燥枯、湿滞或火炎功能障碍”及药神作用路径时，不得套用“寒暖燥湿平衡时不立调候病”。</x:v>
      </x:c>
      <x:c r="AK82" s="82" t="str">
        <x:v>采用</x:v>
      </x:c>
      <x:c r="AL82" s="82" t="str">
        <x:v>初审</x:v>
      </x:c>
      <x:c r="AM82" s="87" t="n">
        <x:v>46260</x:v>
      </x:c>
    </x:row>
    <x:row r="83">
      <x:c r="A83" s="72" t="str">
        <x:f>IF(OR(C83="",D83=""),"",B83&amp;"-"&amp;UPPER(C83)&amp;"-"&amp;TEXT(D83,"0000")&amp;"-"&amp;E83)</x:f>
        <x:v>M16-MED-0077-V1.0</x:v>
      </x:c>
      <x:c r="B83" s="74" t="str">
        <x:v>M16</x:v>
      </x:c>
      <x:c r="C83" s="74" t="str">
        <x:v>MED</x:v>
      </x:c>
      <x:c r="D83" s="215" t="n">
        <x:v>77</x:v>
      </x:c>
      <x:c r="E83" s="74" t="str">
        <x:v>V1.0</x:v>
      </x:c>
      <x:c r="F83" s="68" t="str">
        <x:v>主药按根本病位而非最显眼五行选择</x:v>
      </x:c>
      <x:c r="G83" s="82" t="str">
        <x:v>综合层</x:v>
      </x:c>
      <x:c r="H83" s="82" t="str">
        <x:v>复合病</x:v>
      </x:c>
      <x:c r="I83" s="68" t="str">
        <x:v>根本病位</x:v>
      </x:c>
      <x:c r="J83" s="68" t="str">
        <x:v>选药原则</x:v>
      </x:c>
      <x:c r="K83" s="68" t="str">
        <x:v>表层最旺或最弱者未必是导致全局失衡的根因</x:v>
      </x:c>
      <x:c r="L83" s="68" t="str">
        <x:v>显眼五行与根本病位不一致</x:v>
      </x:c>
      <x:c r="M83" s="82" t="str">
        <x:v>首要矛盾</x:v>
      </x:c>
      <x:c r="N83" s="68" t="str">
        <x:v>直接修复根因者</x:v>
      </x:c>
      <x:c r="O83" s="68" t="str">
        <x:v>处理表象残余者</x:v>
      </x:c>
      <x:c r="P83" s="82" t="str">
        <x:v>复合药理</x:v>
      </x:c>
      <x:c r="Q83" s="68" t="str">
        <x:v>M08—M15已经确认相应结构性失衡与实际功能障碍</x:v>
      </x:c>
      <x:c r="R83" s="90" t="str">
        <x:v>不得只凭五行数量、十神名称或单一旺衰标签直接立病用药</x:v>
      </x:c>
      <x:c r="S83" s="90" t="str">
        <x:v>主要病位未被修复，原有失衡继续运行</x:v>
      </x:c>
      <x:c r="T83" s="90" t="str">
        <x:v>药神反向过度，可能跨越平衡并形成新的结构性失衡</x:v>
      </x:c>
      <x:c r="U83" s="82" t="str">
        <x:v>条件性</x:v>
      </x:c>
      <x:c r="V83" s="90" t="str">
        <x:v>条件性</x:v>
      </x:c>
      <x:c r="W83" s="90" t="str">
        <x:v>待定</x:v>
      </x:c>
      <x:c r="X83" s="68" t="str">
        <x:v>M08有效旺衰、M09日主旺衰、M10十神功能、M11组合、M12流通、M13调候、M15格局成败均已完成</x:v>
      </x:c>
      <x:c r="Y83" s="68" t="str">
        <x:v>病位、根因、功能障碍与药神作用路径均能够追溯</x:v>
      </x:c>
      <x:c r="Z83" s="68" t="str">
        <x:v>药神有根有源、透达，能够直接进入病位且兼顾多个主要问题</x:v>
      </x:c>
      <x:c r="AA83" s="68" t="str">
        <x:v>药神无根、受强制、被合绊、作用路径遥隔或同时被多个任务分流</x:v>
      </x:c>
      <x:c r="AB83" s="90" t="str">
        <x:v>若该失衡没有造成实际功能障碍，或特殊格局要求顺势，则不得按普通病药立论</x:v>
      </x:c>
      <x:c r="AC83" s="68" t="str">
        <x:v>特殊格局严格成立、岁运动态作用或流派争议转M18/M21及动态引擎</x:v>
      </x:c>
      <x:c r="AD83" s="84" t="str">
        <x:v>根因择主药</x:v>
      </x:c>
      <x:c r="AE83" s="84" t="str">
        <x:v>根本之病在“根本病位”：表层最旺或最弱者未必是导致全局失衡的根因；表层表现为“显眼五行与根本病位不一致”。主药候选为“直接修复根因者”，药理为“复合药理”；最终喜忌与主次仍转M17/M18裁决。</x:v>
      </x:c>
      <x:c r="AF83" s="82" t="str">
        <x:v>较高</x:v>
      </x:c>
      <x:c r="AG83" s="82" t="str">
        <x:v>病药</x:v>
      </x:c>
      <x:c r="AH8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3" s="68" t="str">
        <x:v>当“M08—M15已经确认相应结构性失衡与实际功能障碍”真实成立，且药神能够直接作用病位时，可按“主药按根本病位而非最显眼五行选择”记录。</x:v>
      </x:c>
      <x:c r="AJ83" s="90" t="str">
        <x:v>只有表面“显眼五行与根本病位不一致”，但未证明根因“表层最旺或最弱者未必是导致全局失衡的根因”及药神作用路径时，不得套用“主药按根本病位而非最显眼五行选择”。</x:v>
      </x:c>
      <x:c r="AK83" s="82" t="str">
        <x:v>采用</x:v>
      </x:c>
      <x:c r="AL83" s="82" t="str">
        <x:v>初审</x:v>
      </x:c>
      <x:c r="AM83" s="87" t="n">
        <x:v>46260</x:v>
      </x:c>
    </x:row>
    <x:row r="84">
      <x:c r="A84" s="72" t="str">
        <x:f>IF(OR(C84="",D84=""),"",B84&amp;"-"&amp;UPPER(C84)&amp;"-"&amp;TEXT(D84,"0000")&amp;"-"&amp;E84)</x:f>
        <x:v>M16-MED-0078-V1.0</x:v>
      </x:c>
      <x:c r="B84" s="74" t="str">
        <x:v>M16</x:v>
      </x:c>
      <x:c r="C84" s="74" t="str">
        <x:v>MED</x:v>
      </x:c>
      <x:c r="D84" s="215" t="n">
        <x:v>78</x:v>
      </x:c>
      <x:c r="E84" s="74" t="str">
        <x:v>V1.0</x:v>
      </x:c>
      <x:c r="F84" s="68" t="str">
        <x:v>一药能够同时解决多个主问题时优先级提高</x:v>
      </x:c>
      <x:c r="G84" s="82" t="str">
        <x:v>综合层</x:v>
      </x:c>
      <x:c r="H84" s="82" t="str">
        <x:v>复合病</x:v>
      </x:c>
      <x:c r="I84" s="68" t="str">
        <x:v>多个同源病位</x:v>
      </x:c>
      <x:c r="J84" s="68" t="str">
        <x:v>一药多效</x:v>
      </x:c>
      <x:c r="K84" s="68" t="str">
        <x:v>同一五行可同时扶抑、通关、调候、护格或救应</x:v>
      </x:c>
      <x:c r="L84" s="68" t="str">
        <x:v>多个模块给出同向候选</x:v>
      </x:c>
      <x:c r="M84" s="82" t="str">
        <x:v>首要矛盾</x:v>
      </x:c>
      <x:c r="N84" s="68" t="str">
        <x:v>复合收益最高且副作用可控者</x:v>
      </x:c>
      <x:c r="O84" s="68" t="str">
        <x:v>保护主药或完成次级环节者</x:v>
      </x:c>
      <x:c r="P84" s="82" t="str">
        <x:v>复合药理</x:v>
      </x:c>
      <x:c r="Q84" s="68" t="str">
        <x:v>M09/M12/M13/M15均至少两项支持同一候选</x:v>
      </x:c>
      <x:c r="R84" s="90" t="str">
        <x:v>不得只凭五行数量、十神名称或单一旺衰标签直接立病用药</x:v>
      </x:c>
      <x:c r="S84" s="90" t="str">
        <x:v>主要病位未被修复，原有失衡继续运行</x:v>
      </x:c>
      <x:c r="T84" s="90" t="str">
        <x:v>药神反向过度，可能跨越平衡并形成新的结构性失衡</x:v>
      </x:c>
      <x:c r="U84" s="82" t="str">
        <x:v>条件性</x:v>
      </x:c>
      <x:c r="V84" s="90" t="str">
        <x:v>条件性</x:v>
      </x:c>
      <x:c r="W84" s="90" t="str">
        <x:v>待定</x:v>
      </x:c>
      <x:c r="X84" s="68" t="str">
        <x:v>M08有效旺衰、M09日主旺衰、M10十神功能、M11组合、M12流通、M13调候、M15格局成败均已完成</x:v>
      </x:c>
      <x:c r="Y84" s="68" t="str">
        <x:v>病位、根因、功能障碍与药神作用路径均能够追溯</x:v>
      </x:c>
      <x:c r="Z84" s="68" t="str">
        <x:v>药神有根有源、透达，能够直接进入病位且兼顾多个主要问题</x:v>
      </x:c>
      <x:c r="AA84" s="68" t="str">
        <x:v>药神无根、受强制、被合绊、作用路径遥隔或同时被多个任务分流</x:v>
      </x:c>
      <x:c r="AB84" s="90" t="str">
        <x:v>若该失衡没有造成实际功能障碍，或特殊格局要求顺势，则不得按普通病药立论</x:v>
      </x:c>
      <x:c r="AC84" s="68" t="str">
        <x:v>特殊格局严格成立、岁运动态作用或流派争议转M18/M21及动态引擎</x:v>
      </x:c>
      <x:c r="AD84" s="84" t="str">
        <x:v>一药多效优先</x:v>
      </x:c>
      <x:c r="AE84" s="84" t="str">
        <x:v>根本之病在“多个同源病位”：同一五行可同时扶抑、通关、调候、护格或救应；表层表现为“多个模块给出同向候选”。主药候选为“复合收益最高且副作用可控者”，药理为“复合药理”；最终喜忌与主次仍转M17/M18裁决。</x:v>
      </x:c>
      <x:c r="AF84" s="82" t="str">
        <x:v>较高</x:v>
      </x:c>
      <x:c r="AG84" s="82" t="str">
        <x:v>病药</x:v>
      </x:c>
      <x:c r="AH8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4" s="68" t="str">
        <x:v>当“M09/M12/M13/M15均至少两项支持同一候选”真实成立，且药神能够直接作用病位时，可按“一药能够同时解决多个主问题时优先级提高”记录。</x:v>
      </x:c>
      <x:c r="AJ84" s="90" t="str">
        <x:v>只有表面“多个模块给出同向候选”，但未证明根因“同一五行可同时扶抑、通关、调候、护格或救应”及药神作用路径时，不得套用“一药能够同时解决多个主问题时优先级提高”。</x:v>
      </x:c>
      <x:c r="AK84" s="82" t="str">
        <x:v>采用</x:v>
      </x:c>
      <x:c r="AL84" s="82" t="str">
        <x:v>初审</x:v>
      </x:c>
      <x:c r="AM84" s="87" t="n">
        <x:v>46260</x:v>
      </x:c>
    </x:row>
    <x:row r="85">
      <x:c r="A85" s="72" t="str">
        <x:f>IF(OR(C85="",D85=""),"",B85&amp;"-"&amp;UPPER(C85)&amp;"-"&amp;TEXT(D85,"0000")&amp;"-"&amp;E85)</x:f>
        <x:v>M16-MED-0079-V1.0</x:v>
      </x:c>
      <x:c r="B85" s="74" t="str">
        <x:v>M16</x:v>
      </x:c>
      <x:c r="C85" s="74" t="str">
        <x:v>MED</x:v>
      </x:c>
      <x:c r="D85" s="215" t="n">
        <x:v>79</x:v>
      </x:c>
      <x:c r="E85" s="74" t="str">
        <x:v>V1.0</x:v>
      </x:c>
      <x:c r="F85" s="68" t="str">
        <x:v>辅助药应保护主药或完成主药无法独立完成的环节</x:v>
      </x:c>
      <x:c r="G85" s="82" t="str">
        <x:v>综合层</x:v>
      </x:c>
      <x:c r="H85" s="82" t="str">
        <x:v>复合病</x:v>
      </x:c>
      <x:c r="I85" s="68" t="str">
        <x:v>主药相邻节点</x:v>
      </x:c>
      <x:c r="J85" s="68" t="str">
        <x:v>辅助配伍</x:v>
      </x:c>
      <x:c r="K85" s="68" t="str">
        <x:v>主药虽正确，但自身无根、受制或需要终点承载</x:v>
      </x:c>
      <x:c r="L85" s="68" t="str">
        <x:v>主药候选存在但单独使用药力不足</x:v>
      </x:c>
      <x:c r="M85" s="82" t="str">
        <x:v>明显</x:v>
      </x:c>
      <x:c r="N85" s="68" t="str">
        <x:v>直接药神</x:v>
      </x:c>
      <x:c r="O85" s="68" t="str">
        <x:v>生扶、护持、通关或承接主药者</x:v>
      </x:c>
      <x:c r="P85" s="82" t="str">
        <x:v>救应</x:v>
      </x:c>
      <x:c r="Q85" s="68" t="str">
        <x:v>M08—M15已经确认相应结构性失衡与实际功能障碍</x:v>
      </x:c>
      <x:c r="R85" s="90" t="str">
        <x:v>不得只凭五行数量、十神名称或单一旺衰标签直接立病用药</x:v>
      </x:c>
      <x:c r="S85" s="90" t="str">
        <x:v>主要病位未被修复，原有失衡继续运行</x:v>
      </x:c>
      <x:c r="T85" s="90" t="str">
        <x:v>药神反向过度，可能跨越平衡并形成新的结构性失衡</x:v>
      </x:c>
      <x:c r="U85" s="82" t="str">
        <x:v>条件性</x:v>
      </x:c>
      <x:c r="V85" s="90" t="str">
        <x:v>条件性</x:v>
      </x:c>
      <x:c r="W85" s="90" t="str">
        <x:v>待定</x:v>
      </x:c>
      <x:c r="X85" s="68" t="str">
        <x:v>M08有效旺衰、M09日主旺衰、M10十神功能、M11组合、M12流通、M13调候、M15格局成败均已完成</x:v>
      </x:c>
      <x:c r="Y85" s="68" t="str">
        <x:v>病位、根因、功能障碍与药神作用路径均能够追溯</x:v>
      </x:c>
      <x:c r="Z85" s="68" t="str">
        <x:v>药神有根有源、透达，能够直接进入病位且兼顾多个主要问题</x:v>
      </x:c>
      <x:c r="AA85" s="68" t="str">
        <x:v>药神无根、受强制、被合绊、作用路径遥隔或同时被多个任务分流</x:v>
      </x:c>
      <x:c r="AB85" s="90" t="str">
        <x:v>若该失衡没有造成实际功能障碍，或特殊格局要求顺势，则不得按普通病药立论</x:v>
      </x:c>
      <x:c r="AC85" s="68" t="str">
        <x:v>特殊格局严格成立、岁运动态作用或流派争议转M18/M21及动态引擎</x:v>
      </x:c>
      <x:c r="AD85" s="84" t="str">
        <x:v>辅助药配伍</x:v>
      </x:c>
      <x:c r="AE85" s="84" t="str">
        <x:v>根本之病在“主药相邻节点”：主药虽正确，但自身无根、受制或需要终点承载；表层表现为“主药候选存在但单独使用药力不足”。主药候选为“直接药神”，药理为“救应”；最终喜忌与主次仍转M17/M18裁决。</x:v>
      </x:c>
      <x:c r="AF85" s="82" t="str">
        <x:v>较高</x:v>
      </x:c>
      <x:c r="AG85" s="82" t="str">
        <x:v>病药</x:v>
      </x:c>
      <x:c r="AH8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5" s="68" t="str">
        <x:v>当“M08—M15已经确认相应结构性失衡与实际功能障碍”真实成立，且药神能够直接作用病位时，可按“辅助药应保护主药或完成主药无法独立完成的环节”记录。</x:v>
      </x:c>
      <x:c r="AJ85" s="90" t="str">
        <x:v>只有表面“主药候选存在但单独使用药力不足”，但未证明根因“主药虽正确，但自身无根、受制或需要终点承载”及药神作用路径时，不得套用“辅助药应保护主药或完成主药无法独立完成的环节”。</x:v>
      </x:c>
      <x:c r="AK85" s="82" t="str">
        <x:v>采用</x:v>
      </x:c>
      <x:c r="AL85" s="82" t="str">
        <x:v>初审</x:v>
      </x:c>
      <x:c r="AM85" s="87" t="n">
        <x:v>46260</x:v>
      </x:c>
    </x:row>
    <x:row r="86">
      <x:c r="A86" s="72" t="str">
        <x:f>IF(OR(C86="",D86=""),"",B86&amp;"-"&amp;UPPER(C86)&amp;"-"&amp;TEXT(D86,"0000")&amp;"-"&amp;E86)</x:f>
        <x:v>M16-MED-0080-V1.0</x:v>
      </x:c>
      <x:c r="B86" s="74" t="str">
        <x:v>M16</x:v>
      </x:c>
      <x:c r="C86" s="74" t="str">
        <x:v>MED</x:v>
      </x:c>
      <x:c r="D86" s="215" t="n">
        <x:v>80</x:v>
      </x:c>
      <x:c r="E86" s="74" t="str">
        <x:v>V1.0</x:v>
      </x:c>
      <x:c r="F86" s="68" t="str">
        <x:v>药神自身必须有根有源并能够进入病位</x:v>
      </x:c>
      <x:c r="G86" s="82" t="str">
        <x:v>综合层</x:v>
      </x:c>
      <x:c r="H86" s="82" t="str">
        <x:v>复合病</x:v>
      </x:c>
      <x:c r="I86" s="68" t="str">
        <x:v>药神作用路径</x:v>
      </x:c>
      <x:c r="J86" s="68" t="str">
        <x:v>药力有效性</x:v>
      </x:c>
      <x:c r="K86" s="68" t="str">
        <x:v>候选药神名义存在但无有效力量或路径</x:v>
      </x:c>
      <x:c r="L86" s="68" t="str">
        <x:v>有药名、无药力</x:v>
      </x:c>
      <x:c r="M86" s="82" t="str">
        <x:v>明显</x:v>
      </x:c>
      <x:c r="N86" s="68" t="str">
        <x:v>有实际作用能力的药神</x:v>
      </x:c>
      <x:c r="O86" s="68" t="str">
        <x:v>增强药神有效性者</x:v>
      </x:c>
      <x:c r="P86" s="82" t="str">
        <x:v>生</x:v>
      </x:c>
      <x:c r="Q86" s="68" t="str">
        <x:v>候选药神通过M08有效性和M12路径检验</x:v>
      </x:c>
      <x:c r="R86" s="90" t="str">
        <x:v>不得只凭五行数量、十神名称或单一旺衰标签直接立病用药</x:v>
      </x:c>
      <x:c r="S86" s="90" t="str">
        <x:v>主要病位未被修复，原有失衡继续运行</x:v>
      </x:c>
      <x:c r="T86" s="90" t="str">
        <x:v>药神反向过度，可能跨越平衡并形成新的结构性失衡</x:v>
      </x:c>
      <x:c r="U86" s="82" t="str">
        <x:v>条件性</x:v>
      </x:c>
      <x:c r="V86" s="90" t="str">
        <x:v>条件性</x:v>
      </x:c>
      <x:c r="W86" s="90" t="str">
        <x:v>待定</x:v>
      </x:c>
      <x:c r="X86" s="68" t="str">
        <x:v>M08有效旺衰、M09日主旺衰、M10十神功能、M11组合、M12流通、M13调候、M15格局成败均已完成</x:v>
      </x:c>
      <x:c r="Y86" s="68" t="str">
        <x:v>病位、根因、功能障碍与药神作用路径均能够追溯</x:v>
      </x:c>
      <x:c r="Z86" s="68" t="str">
        <x:v>药神有根有源、透达，能够直接进入病位且兼顾多个主要问题</x:v>
      </x:c>
      <x:c r="AA86" s="68" t="str">
        <x:v>药神无根、受强制、被合绊、作用路径遥隔或同时被多个任务分流</x:v>
      </x:c>
      <x:c r="AB86" s="90" t="str">
        <x:v>若该失衡没有造成实际功能障碍，或特殊格局要求顺势，则不得按普通病药立论</x:v>
      </x:c>
      <x:c r="AC86" s="68" t="str">
        <x:v>特殊格局严格成立、岁运动态作用或流派争议转M18/M21及动态引擎</x:v>
      </x:c>
      <x:c r="AD86" s="84" t="str">
        <x:v>药神有效性门槛</x:v>
      </x:c>
      <x:c r="AE86" s="84" t="str">
        <x:v>根本之病在“药神作用路径”：候选药神名义存在但无有效力量或路径；表层表现为“有药名、无药力”。主药候选为“有实际作用能力的药神”，药理为“生”；最终喜忌与主次仍转M17/M18裁决。</x:v>
      </x:c>
      <x:c r="AF86" s="82" t="str">
        <x:v>较高</x:v>
      </x:c>
      <x:c r="AG86" s="82" t="str">
        <x:v>病药</x:v>
      </x:c>
      <x:c r="AH8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6" s="68" t="str">
        <x:v>当“候选药神通过M08有效性和M12路径检验”真实成立，且药神能够直接作用病位时，可按“药神自身必须有根有源并能够进入病位”记录。</x:v>
      </x:c>
      <x:c r="AJ86" s="90" t="str">
        <x:v>只有表面“有药名、无药力”，但未证明根因“候选药神名义存在但无有效力量或路径”及药神作用路径时，不得套用“药神自身必须有根有源并能够进入病位”。</x:v>
      </x:c>
      <x:c r="AK86" s="82" t="str">
        <x:v>采用</x:v>
      </x:c>
      <x:c r="AL86" s="82" t="str">
        <x:v>初审</x:v>
      </x:c>
      <x:c r="AM86" s="87" t="n">
        <x:v>46260</x:v>
      </x:c>
    </x:row>
    <x:row r="87">
      <x:c r="A87" s="72" t="str">
        <x:f>IF(OR(C87="",D87=""),"",B87&amp;"-"&amp;UPPER(C87)&amp;"-"&amp;TEXT(D87,"0000")&amp;"-"&amp;E87)</x:f>
        <x:v>M16-MED-0081-V1.0</x:v>
      </x:c>
      <x:c r="B87" s="74" t="str">
        <x:v>M16</x:v>
      </x:c>
      <x:c r="C87" s="74" t="str">
        <x:v>MED</x:v>
      </x:c>
      <x:c r="D87" s="215" t="n">
        <x:v>81</x:v>
      </x:c>
      <x:c r="E87" s="74" t="str">
        <x:v>V1.0</x:v>
      </x:c>
      <x:c r="F87" s="68" t="str">
        <x:v>药神作用路径越直接越适合作为主药</x:v>
      </x:c>
      <x:c r="G87" s="82" t="str">
        <x:v>综合层</x:v>
      </x:c>
      <x:c r="H87" s="82" t="str">
        <x:v>复合病</x:v>
      </x:c>
      <x:c r="I87" s="68" t="str">
        <x:v>病位—药神路径</x:v>
      </x:c>
      <x:c r="J87" s="68" t="str">
        <x:v>路径直接性</x:v>
      </x:c>
      <x:c r="K87" s="68" t="str">
        <x:v>多个候选都能改善问题，但距离、桥梁和容量不同</x:v>
      </x:c>
      <x:c r="L87" s="68" t="str">
        <x:v>多个可用药神候选</x:v>
      </x:c>
      <x:c r="M87" s="82" t="str">
        <x:v>待定</x:v>
      </x:c>
      <x:c r="N87" s="68" t="str">
        <x:v>路径更短、桥梁更稳者</x:v>
      </x:c>
      <x:c r="O87" s="68" t="str">
        <x:v>次优路径候选</x:v>
      </x:c>
      <x:c r="P87" s="82" t="str">
        <x:v>复合药理</x:v>
      </x:c>
      <x:c r="Q87" s="68" t="str">
        <x:v>M08—M15已经确认相应结构性失衡与实际功能障碍</x:v>
      </x:c>
      <x:c r="R87" s="90" t="str">
        <x:v>不得只凭五行数量、十神名称或单一旺衰标签直接立病用药</x:v>
      </x:c>
      <x:c r="S87" s="90" t="str">
        <x:v>主要病位未被修复，原有失衡继续运行</x:v>
      </x:c>
      <x:c r="T87" s="90" t="str">
        <x:v>药神反向过度，可能跨越平衡并形成新的结构性失衡</x:v>
      </x:c>
      <x:c r="U87" s="82" t="str">
        <x:v>条件性</x:v>
      </x:c>
      <x:c r="V87" s="90" t="str">
        <x:v>条件性</x:v>
      </x:c>
      <x:c r="W87" s="90" t="str">
        <x:v>待定</x:v>
      </x:c>
      <x:c r="X87" s="68" t="str">
        <x:v>M08有效旺衰、M09日主旺衰、M10十神功能、M11组合、M12流通、M13调候、M15格局成败均已完成</x:v>
      </x:c>
      <x:c r="Y87" s="68" t="str">
        <x:v>病位、根因、功能障碍与药神作用路径均能够追溯</x:v>
      </x:c>
      <x:c r="Z87" s="68" t="str">
        <x:v>药神有根有源、透达，能够直接进入病位且兼顾多个主要问题</x:v>
      </x:c>
      <x:c r="AA87" s="68" t="str">
        <x:v>药神无根、受强制、被合绊、作用路径遥隔或同时被多个任务分流</x:v>
      </x:c>
      <x:c r="AB87" s="90" t="str">
        <x:v>若该失衡没有造成实际功能障碍，或特殊格局要求顺势，则不得按普通病药立论</x:v>
      </x:c>
      <x:c r="AC87" s="68" t="str">
        <x:v>特殊格局严格成立、岁运动态作用或流派争议转M18/M21及动态引擎</x:v>
      </x:c>
      <x:c r="AD87" s="84" t="str">
        <x:v>药路直接优先</x:v>
      </x:c>
      <x:c r="AE87" s="84" t="str">
        <x:v>根本之病在“病位—药神路径”：多个候选都能改善问题，但距离、桥梁和容量不同；表层表现为“多个可用药神候选”。主药候选为“路径更短、桥梁更稳者”，药理为“复合药理”；最终喜忌与主次仍转M17/M18裁决。</x:v>
      </x:c>
      <x:c r="AF87" s="82" t="str">
        <x:v>较高</x:v>
      </x:c>
      <x:c r="AG87" s="82" t="str">
        <x:v>病药</x:v>
      </x:c>
      <x:c r="AH8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7" s="68" t="str">
        <x:v>当“M08—M15已经确认相应结构性失衡与实际功能障碍”真实成立，且药神能够直接作用病位时，可按“药神作用路径越直接越适合作为主药”记录。</x:v>
      </x:c>
      <x:c r="AJ87" s="90" t="str">
        <x:v>只有表面“多个可用药神候选”，但未证明根因“多个候选都能改善问题，但距离、桥梁和容量不同”及药神作用路径时，不得套用“药神作用路径越直接越适合作为主药”。</x:v>
      </x:c>
      <x:c r="AK87" s="82" t="str">
        <x:v>采用</x:v>
      </x:c>
      <x:c r="AL87" s="82" t="str">
        <x:v>初审</x:v>
      </x:c>
      <x:c r="AM87" s="87" t="n">
        <x:v>46260</x:v>
      </x:c>
    </x:row>
    <x:row r="88">
      <x:c r="A88" s="72" t="str">
        <x:f>IF(OR(C88="",D88=""),"",B88&amp;"-"&amp;UPPER(C88)&amp;"-"&amp;TEXT(D88,"0000")&amp;"-"&amp;E88)</x:f>
        <x:v>M16-MED-0082-V1.0</x:v>
      </x:c>
      <x:c r="B88" s="74" t="str">
        <x:v>M16</x:v>
      </x:c>
      <x:c r="C88" s="74" t="str">
        <x:v>MED</x:v>
      </x:c>
      <x:c r="D88" s="215" t="n">
        <x:v>82</x:v>
      </x:c>
      <x:c r="E88" s="74" t="str">
        <x:v>V1.0</x:v>
      </x:c>
      <x:c r="F88" s="68" t="str">
        <x:v>制杀宜印还是宜食须按日主承载与格局择路</x:v>
      </x:c>
      <x:c r="G88" s="82" t="str">
        <x:v>综合层</x:v>
      </x:c>
      <x:c r="H88" s="82" t="str">
        <x:v>制化病</x:v>
      </x:c>
      <x:c r="I88" s="68" t="str">
        <x:v>七杀制化路线</x:v>
      </x:c>
      <x:c r="J88" s="68" t="str">
        <x:v>药路择一</x:v>
      </x:c>
      <x:c r="K88" s="68" t="str">
        <x:v>印化杀与食制杀均可能有效，但对日主和格局副作用不同</x:v>
      </x:c>
      <x:c r="L88" s="68" t="str">
        <x:v>七杀压力</x:v>
      </x:c>
      <x:c r="M88" s="82" t="str">
        <x:v>严重</x:v>
      </x:c>
      <x:c r="N88" s="68" t="str">
        <x:v>印星或食神择优</x:v>
      </x:c>
      <x:c r="O88" s="68" t="str">
        <x:v>保护主路线者</x:v>
      </x:c>
      <x:c r="P88" s="82" t="str">
        <x:v>复合药理</x:v>
      </x:c>
      <x:c r="Q88" s="68" t="str">
        <x:v>比较日主强弱、枭夺食、财坏印、食泄身和格局主轴</x:v>
      </x:c>
      <x:c r="R88" s="90" t="str">
        <x:v>不得默认同时加强印与食</x:v>
      </x:c>
      <x:c r="S88" s="90" t="str">
        <x:v>主要病位未被修复，原有失衡继续运行</x:v>
      </x:c>
      <x:c r="T88" s="90" t="str">
        <x:v>药神反向过度，可能跨越平衡并形成新的结构性失衡</x:v>
      </x:c>
      <x:c r="U88" s="82" t="str">
        <x:v>条件性</x:v>
      </x:c>
      <x:c r="V88" s="90" t="str">
        <x:v>条件性</x:v>
      </x:c>
      <x:c r="W88" s="90" t="str">
        <x:v>制化两立或药力分散</x:v>
      </x:c>
      <x:c r="X88" s="68" t="str">
        <x:v>M08有效旺衰、M09日主旺衰、M10十神功能、M11组合、M12流通、M13调候、M15格局成败均已完成</x:v>
      </x:c>
      <x:c r="Y88" s="68" t="str">
        <x:v>病位、根因、功能障碍与药神作用路径均能够追溯</x:v>
      </x:c>
      <x:c r="Z88" s="68" t="str">
        <x:v>药神有根有源、透达，能够直接进入病位且兼顾多个主要问题</x:v>
      </x:c>
      <x:c r="AA88" s="68" t="str">
        <x:v>药神无根、受强制、被合绊、作用路径遥隔或同时被多个任务分流</x:v>
      </x:c>
      <x:c r="AB88" s="90" t="str">
        <x:v>若该失衡没有造成实际功能障碍，或特殊格局要求顺势，则不得按普通病药立论</x:v>
      </x:c>
      <x:c r="AC88" s="68" t="str">
        <x:v>特殊格局严格成立、岁运动态作用或流派争议转M18/M21及动态引擎</x:v>
      </x:c>
      <x:c r="AD88" s="84" t="str">
        <x:v>制杀药路选择</x:v>
      </x:c>
      <x:c r="AE88" s="84" t="str">
        <x:v>根本之病在“七杀制化路线”：印化杀与食制杀均可能有效，但对日主和格局副作用不同；表层表现为“七杀压力”。主药候选为“印星或食神择优”，药理为“复合药理”；最终喜忌与主次仍转M17/M18裁决。</x:v>
      </x:c>
      <x:c r="AF88" s="82" t="str">
        <x:v>较高</x:v>
      </x:c>
      <x:c r="AG88" s="82" t="str">
        <x:v>病药</x:v>
      </x:c>
      <x:c r="AH8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8" s="68" t="str">
        <x:v>当“比较日主强弱、枭夺食、财坏印、食泄身和格局主轴”真实成立，且药神能够直接作用病位时，可按“制杀宜印还是宜食须按日主承载与格局择路”记录。</x:v>
      </x:c>
      <x:c r="AJ88" s="90" t="str">
        <x:v>只有表面“七杀压力”，但未证明根因“印化杀与食制杀均可能有效，但对日主和格局副作用不同”及药神作用路径时，不得套用“制杀宜印还是宜食须按日主承载与格局择路”。</x:v>
      </x:c>
      <x:c r="AK88" s="82" t="str">
        <x:v>采用</x:v>
      </x:c>
      <x:c r="AL88" s="82" t="str">
        <x:v>初审</x:v>
      </x:c>
      <x:c r="AM88" s="87" t="n">
        <x:v>46260</x:v>
      </x:c>
    </x:row>
    <x:row r="89">
      <x:c r="A89" s="72" t="str">
        <x:f>IF(OR(C89="",D89=""),"",B89&amp;"-"&amp;UPPER(C89)&amp;"-"&amp;TEXT(D89,"0000")&amp;"-"&amp;E89)</x:f>
        <x:v>M16-MED-0083-V1.0</x:v>
      </x:c>
      <x:c r="B89" s="74" t="str">
        <x:v>M16</x:v>
      </x:c>
      <x:c r="C89" s="74" t="str">
        <x:v>MED</x:v>
      </x:c>
      <x:c r="D89" s="215" t="n">
        <x:v>83</x:v>
      </x:c>
      <x:c r="E89" s="74" t="str">
        <x:v>V1.0</x:v>
      </x:c>
      <x:c r="F89" s="68" t="str">
        <x:v>先修复桥梁再增强终点适用于流通型病</x:v>
      </x:c>
      <x:c r="G89" s="82" t="str">
        <x:v>综合层</x:v>
      </x:c>
      <x:c r="H89" s="82" t="str">
        <x:v>流通病</x:v>
      </x:c>
      <x:c r="I89" s="68" t="str">
        <x:v>桥梁→终点</x:v>
      </x:c>
      <x:c r="J89" s="68" t="str">
        <x:v>用药顺序</x:v>
      </x:c>
      <x:c r="K89" s="68" t="str">
        <x:v>终点弱是由上游桥梁失效造成，直接补终点无法建立持续来源</x:v>
      </x:c>
      <x:c r="L89" s="68" t="str">
        <x:v>终点承载不足</x:v>
      </x:c>
      <x:c r="M89" s="82" t="str">
        <x:v>明显</x:v>
      </x:c>
      <x:c r="N89" s="68" t="str">
        <x:v>先恢复关键桥梁</x:v>
      </x:c>
      <x:c r="O89" s="68" t="str">
        <x:v>再扶终点</x:v>
      </x:c>
      <x:c r="P89" s="82" t="str">
        <x:v>通</x:v>
      </x:c>
      <x:c r="Q89" s="68" t="str">
        <x:v>M12确认桥梁为根因、终点弱为表象</x:v>
      </x:c>
      <x:c r="R89" s="90" t="str">
        <x:v>不得只凭五行数量、十神名称或单一旺衰标签直接立病用药</x:v>
      </x:c>
      <x:c r="S89" s="90" t="str">
        <x:v>主要病位未被修复，原有失衡继续运行</x:v>
      </x:c>
      <x:c r="T89" s="90" t="str">
        <x:v>药神反向过度，可能跨越平衡并形成新的结构性失衡</x:v>
      </x:c>
      <x:c r="U89" s="82" t="str">
        <x:v>条件性</x:v>
      </x:c>
      <x:c r="V89" s="90" t="str">
        <x:v>条件性</x:v>
      </x:c>
      <x:c r="W89" s="90" t="str">
        <x:v>待定</x:v>
      </x:c>
      <x:c r="X89" s="68" t="str">
        <x:v>M08有效旺衰、M09日主旺衰、M10十神功能、M11组合、M12流通、M13调候、M15格局成败均已完成</x:v>
      </x:c>
      <x:c r="Y89" s="68" t="str">
        <x:v>病位、根因、功能障碍与药神作用路径均能够追溯</x:v>
      </x:c>
      <x:c r="Z89" s="68" t="str">
        <x:v>药神有根有源、透达，能够直接进入病位且兼顾多个主要问题</x:v>
      </x:c>
      <x:c r="AA89" s="68" t="str">
        <x:v>药神无根、受强制、被合绊、作用路径遥隔或同时被多个任务分流</x:v>
      </x:c>
      <x:c r="AB89" s="90" t="str">
        <x:v>若该失衡没有造成实际功能障碍，或特殊格局要求顺势，则不得按普通病药立论</x:v>
      </x:c>
      <x:c r="AC89" s="68" t="str">
        <x:v>特殊格局严格成立、岁运动态作用或流派争议转M18/M21及动态引擎</x:v>
      </x:c>
      <x:c r="AD89" s="84" t="str">
        <x:v>先桥后终点</x:v>
      </x:c>
      <x:c r="AE89" s="84" t="str">
        <x:v>根本之病在“桥梁→终点”：终点弱是由上游桥梁失效造成，直接补终点无法建立持续来源；表层表现为“终点承载不足”。主药候选为“先恢复关键桥梁”，药理为“通”；最终喜忌与主次仍转M17/M18裁决。</x:v>
      </x:c>
      <x:c r="AF89" s="82" t="str">
        <x:v>较高</x:v>
      </x:c>
      <x:c r="AG89" s="82" t="str">
        <x:v>病药</x:v>
      </x:c>
      <x:c r="AH8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9" s="68" t="str">
        <x:v>当“M12确认桥梁为根因、终点弱为表象”真实成立，且药神能够直接作用病位时，可按“先修复桥梁再增强终点适用于流通型病”记录。</x:v>
      </x:c>
      <x:c r="AJ89" s="90" t="str">
        <x:v>只有表面“终点承载不足”，但未证明根因“终点弱是由上游桥梁失效造成，直接补终点无法建立持续来源”及药神作用路径时，不得套用“先修复桥梁再增强终点适用于流通型病”。</x:v>
      </x:c>
      <x:c r="AK89" s="82" t="str">
        <x:v>采用</x:v>
      </x:c>
      <x:c r="AL89" s="82" t="str">
        <x:v>初审</x:v>
      </x:c>
      <x:c r="AM89" s="87" t="n">
        <x:v>46260</x:v>
      </x:c>
    </x:row>
    <x:row r="90">
      <x:c r="A90" s="72" t="str">
        <x:f>IF(OR(C90="",D90=""),"",B90&amp;"-"&amp;UPPER(C90)&amp;"-"&amp;TEXT(D90,"0000")&amp;"-"&amp;E90)</x:f>
        <x:v>M16-MED-0084-V1.0</x:v>
      </x:c>
      <x:c r="B90" s="74" t="str">
        <x:v>M16</x:v>
      </x:c>
      <x:c r="C90" s="74" t="str">
        <x:v>MED</x:v>
      </x:c>
      <x:c r="D90" s="215" t="n">
        <x:v>84</x:v>
      </x:c>
      <x:c r="E90" s="74" t="str">
        <x:v>V1.0</x:v>
      </x:c>
      <x:c r="F90" s="68" t="str">
        <x:v>先保护格神再处理次级旺衰适用于格局型病</x:v>
      </x:c>
      <x:c r="G90" s="82" t="str">
        <x:v>综合层</x:v>
      </x:c>
      <x:c r="H90" s="82" t="str">
        <x:v>格局病</x:v>
      </x:c>
      <x:c r="I90" s="68" t="str">
        <x:v>格神与次级失衡</x:v>
      </x:c>
      <x:c r="J90" s="68" t="str">
        <x:v>用药顺序</x:v>
      </x:c>
      <x:c r="K90" s="68" t="str">
        <x:v>格神正在受损，而次级旺衰问题不影响核心运行</x:v>
      </x:c>
      <x:c r="L90" s="68" t="str">
        <x:v>格局破损并伴随一般旺衰偏差</x:v>
      </x:c>
      <x:c r="M90" s="82" t="str">
        <x:v>首要矛盾</x:v>
      </x:c>
      <x:c r="N90" s="68" t="str">
        <x:v>护格或救格之神</x:v>
      </x:c>
      <x:c r="O90" s="68" t="str">
        <x:v>处理次级旺衰者</x:v>
      </x:c>
      <x:c r="P90" s="82" t="str">
        <x:v>护格</x:v>
      </x:c>
      <x:c r="Q90" s="68" t="str">
        <x:v>M15格局病为首要矛盾且特殊格局硬约束未被否决</x:v>
      </x:c>
      <x:c r="R90" s="90" t="str">
        <x:v>不得只凭五行数量、十神名称或单一旺衰标签直接立病用药</x:v>
      </x:c>
      <x:c r="S90" s="90" t="str">
        <x:v>主要病位未被修复，原有失衡继续运行</x:v>
      </x:c>
      <x:c r="T90" s="90" t="str">
        <x:v>药神反向过度，可能跨越平衡并形成新的结构性失衡</x:v>
      </x:c>
      <x:c r="U90" s="82" t="str">
        <x:v>条件性</x:v>
      </x:c>
      <x:c r="V90" s="90" t="str">
        <x:v>条件性</x:v>
      </x:c>
      <x:c r="W90" s="90" t="str">
        <x:v>待定</x:v>
      </x:c>
      <x:c r="X90" s="68" t="str">
        <x:v>M08有效旺衰、M09日主旺衰、M10十神功能、M11组合、M12流通、M13调候、M15格局成败均已完成</x:v>
      </x:c>
      <x:c r="Y90" s="68" t="str">
        <x:v>病位、根因、功能障碍与药神作用路径均能够追溯</x:v>
      </x:c>
      <x:c r="Z90" s="68" t="str">
        <x:v>药神有根有源、透达，能够直接进入病位且兼顾多个主要问题</x:v>
      </x:c>
      <x:c r="AA90" s="68" t="str">
        <x:v>药神无根、受强制、被合绊、作用路径遥隔或同时被多个任务分流</x:v>
      </x:c>
      <x:c r="AB90" s="90" t="str">
        <x:v>若该失衡没有造成实际功能障碍，或特殊格局要求顺势，则不得按普通病药立论</x:v>
      </x:c>
      <x:c r="AC90" s="68" t="str">
        <x:v>特殊格局严格成立、岁运动态作用或流派争议转M18/M21及动态引擎</x:v>
      </x:c>
      <x:c r="AD90" s="84" t="str">
        <x:v>护格优先</x:v>
      </x:c>
      <x:c r="AE90" s="84" t="str">
        <x:v>根本之病在“格神与次级失衡”：格神正在受损，而次级旺衰问题不影响核心运行；表层表现为“格局破损并伴随一般旺衰偏差”。主药候选为“护格或救格之神”，药理为“护格”；最终喜忌与主次仍转M17/M18裁决。</x:v>
      </x:c>
      <x:c r="AF90" s="82" t="str">
        <x:v>较高</x:v>
      </x:c>
      <x:c r="AG90" s="82" t="str">
        <x:v>病药</x:v>
      </x:c>
      <x:c r="AH9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0" s="68" t="str">
        <x:v>当“M15格局病为首要矛盾且特殊格局硬约束未被否决”真实成立，且药神能够直接作用病位时，可按“先保护格神再处理次级旺衰适用于格局型病”记录。</x:v>
      </x:c>
      <x:c r="AJ90" s="90" t="str">
        <x:v>只有表面“格局破损并伴随一般旺衰偏差”，但未证明根因“格神正在受损，而次级旺衰问题不影响核心运行”及药神作用路径时，不得套用“先保护格神再处理次级旺衰适用于格局型病”。</x:v>
      </x:c>
      <x:c r="AK90" s="82" t="str">
        <x:v>采用</x:v>
      </x:c>
      <x:c r="AL90" s="82" t="str">
        <x:v>初审</x:v>
      </x:c>
      <x:c r="AM90" s="87" t="n">
        <x:v>46260</x:v>
      </x:c>
    </x:row>
    <x:row r="91">
      <x:c r="A91" s="72" t="str">
        <x:f>IF(OR(C91="",D91=""),"",B91&amp;"-"&amp;UPPER(C91)&amp;"-"&amp;TEXT(D91,"0000")&amp;"-"&amp;E91)</x:f>
        <x:v>M16-MED-0085-V1.0</x:v>
      </x:c>
      <x:c r="B91" s="74" t="str">
        <x:v>M16</x:v>
      </x:c>
      <x:c r="C91" s="74" t="str">
        <x:v>MED</x:v>
      </x:c>
      <x:c r="D91" s="215" t="n">
        <x:v>85</x:v>
      </x:c>
      <x:c r="E91" s="74" t="str">
        <x:v>V1.0</x:v>
      </x:c>
      <x:c r="F91" s="68" t="str">
        <x:v>调候药只有触达功能卡点才可升为主药</x:v>
      </x:c>
      <x:c r="G91" s="82" t="str">
        <x:v>综合层</x:v>
      </x:c>
      <x:c r="H91" s="82" t="str">
        <x:v>调候病</x:v>
      </x:c>
      <x:c r="I91" s="68" t="str">
        <x:v>气候根因与流通卡点</x:v>
      </x:c>
      <x:c r="J91" s="68" t="str">
        <x:v>调候药升级</x:v>
      </x:c>
      <x:c r="K91" s="68" t="str">
        <x:v>寒暖燥湿不仅偏离平衡，而且是多个功能障碍共同根因</x:v>
      </x:c>
      <x:c r="L91" s="68" t="str">
        <x:v>寒凝、燥枯、湿滞或火炎</x:v>
      </x:c>
      <x:c r="M91" s="82" t="str">
        <x:v>首要矛盾</x:v>
      </x:c>
      <x:c r="N91" s="68" t="str">
        <x:v>相应火、水、木等调候药</x:v>
      </x:c>
      <x:c r="O91" s="68" t="str">
        <x:v>保护调候药者</x:v>
      </x:c>
      <x:c r="P91" s="82" t="str">
        <x:v>暖</x:v>
      </x:c>
      <x:c r="Q91" s="68" t="str">
        <x:v>M13紧急度首要，M12多个卡点同源于气候</x:v>
      </x:c>
      <x:c r="R91" s="90" t="str">
        <x:v>仅季节偏寒偏热但功能正常时不得升为主药</x:v>
      </x:c>
      <x:c r="S91" s="90" t="str">
        <x:v>主要病位未被修复，原有失衡继续运行</x:v>
      </x:c>
      <x:c r="T91" s="90" t="str">
        <x:v>药神反向过度，可能跨越平衡并形成新的结构性失衡</x:v>
      </x:c>
      <x:c r="U91" s="82" t="str">
        <x:v>条件性</x:v>
      </x:c>
      <x:c r="V91" s="90" t="str">
        <x:v>条件性</x:v>
      </x:c>
      <x:c r="W91" s="90" t="str">
        <x:v>待定</x:v>
      </x:c>
      <x:c r="X91" s="68" t="str">
        <x:v>M08有效旺衰、M09日主旺衰、M10十神功能、M11组合、M12流通、M13调候、M15格局成败均已完成</x:v>
      </x:c>
      <x:c r="Y91" s="68" t="str">
        <x:v>病位、根因、功能障碍与药神作用路径均能够追溯</x:v>
      </x:c>
      <x:c r="Z91" s="68" t="str">
        <x:v>药神有根有源、透达，能够直接进入病位且兼顾多个主要问题</x:v>
      </x:c>
      <x:c r="AA91" s="68" t="str">
        <x:v>药神无根、受强制、被合绊、作用路径遥隔或同时被多个任务分流</x:v>
      </x:c>
      <x:c r="AB91" s="90" t="str">
        <x:v>若该失衡没有造成实际功能障碍，或特殊格局要求顺势，则不得按普通病药立论</x:v>
      </x:c>
      <x:c r="AC91" s="68" t="str">
        <x:v>特殊格局严格成立、岁运动态作用或流派争议转M18/M21及动态引擎</x:v>
      </x:c>
      <x:c r="AD91" s="84" t="str">
        <x:v>调候药主药门槛</x:v>
      </x:c>
      <x:c r="AE91" s="84" t="str">
        <x:v>根本之病在“气候根因与流通卡点”：寒暖燥湿不仅偏离平衡，而且是多个功能障碍共同根因；表层表现为“寒凝、燥枯、湿滞或火炎”。主药候选为“相应火、水、木等调候药”，药理为“暖”；最终喜忌与主次仍转M17/M18裁决。</x:v>
      </x:c>
      <x:c r="AF91" s="82" t="str">
        <x:v>较高</x:v>
      </x:c>
      <x:c r="AG91" s="82" t="str">
        <x:v>病药</x:v>
      </x:c>
      <x:c r="AH9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1" s="68" t="str">
        <x:v>当“M13紧急度首要，M12多个卡点同源于气候”真实成立，且药神能够直接作用病位时，可按“调候药只有触达功能卡点才可升为主药”记录。</x:v>
      </x:c>
      <x:c r="AJ91" s="90" t="str">
        <x:v>只有表面“寒凝、燥枯、湿滞或火炎”，但未证明根因“寒暖燥湿不仅偏离平衡，而且是多个功能障碍共同根因”及药神作用路径时，不得套用“调候药只有触达功能卡点才可升为主药”。</x:v>
      </x:c>
      <x:c r="AK91" s="82" t="str">
        <x:v>采用</x:v>
      </x:c>
      <x:c r="AL91" s="82" t="str">
        <x:v>初审</x:v>
      </x:c>
      <x:c r="AM91" s="87" t="n">
        <x:v>46260</x:v>
      </x:c>
    </x:row>
    <x:row r="92">
      <x:c r="A92" s="72" t="str">
        <x:f>IF(OR(C92="",D92=""),"",B92&amp;"-"&amp;UPPER(C92)&amp;"-"&amp;TEXT(D92,"0000")&amp;"-"&amp;E92)</x:f>
        <x:v>M16-MED-0086-V1.0</x:v>
      </x:c>
      <x:c r="B92" s="74" t="str">
        <x:v>M16</x:v>
      </x:c>
      <x:c r="C92" s="74" t="str">
        <x:v>MED</x:v>
      </x:c>
      <x:c r="D92" s="215" t="n">
        <x:v>86</x:v>
      </x:c>
      <x:c r="E92" s="74" t="str">
        <x:v>V1.0</x:v>
      </x:c>
      <x:c r="F92" s="68" t="str">
        <x:v>病药候选必须转M17矩阵而不能在M16直接定最终用神</x:v>
      </x:c>
      <x:c r="G92" s="82" t="str">
        <x:v>综合层</x:v>
      </x:c>
      <x:c r="H92" s="82" t="str">
        <x:v>复合病</x:v>
      </x:c>
      <x:c r="I92" s="68" t="str">
        <x:v>病药到用神接口</x:v>
      </x:c>
      <x:c r="J92" s="68" t="str">
        <x:v>模块边界</x:v>
      </x:c>
      <x:c r="K92" s="68" t="str">
        <x:v>药神只描述治疗某病的价值，尚未完成扶抑、格局、通关、调候与副作用综合</x:v>
      </x:c>
      <x:c r="L92" s="68" t="str">
        <x:v>存在一个或多个药神候选</x:v>
      </x:c>
      <x:c r="M92" s="82" t="str">
        <x:v>待定</x:v>
      </x:c>
      <x:c r="N92" s="68" t="str">
        <x:v>药神候选</x:v>
      </x:c>
      <x:c r="O92" s="68" t="str">
        <x:v>辅助药候选</x:v>
      </x:c>
      <x:c r="P92" s="82" t="str">
        <x:v>复合药理</x:v>
      </x:c>
      <x:c r="Q92" s="68" t="str">
        <x:v>M08—M15已经确认相应结构性失衡与实际功能障碍</x:v>
      </x:c>
      <x:c r="R92" s="90" t="str">
        <x:v>不得只凭五行数量、十神名称或单一旺衰标签直接立病用药</x:v>
      </x:c>
      <x:c r="S92" s="90" t="str">
        <x:v>主要病位未被修复，原有失衡继续运行</x:v>
      </x:c>
      <x:c r="T92" s="90" t="str">
        <x:v>药神反向过度，可能跨越平衡并形成新的结构性失衡</x:v>
      </x:c>
      <x:c r="U92" s="82" t="str">
        <x:v>待定</x:v>
      </x:c>
      <x:c r="V92" s="90" t="str">
        <x:v>待定</x:v>
      </x:c>
      <x:c r="W92" s="90" t="str">
        <x:v>待M17/M18裁决</x:v>
      </x:c>
      <x:c r="X92" s="68" t="str">
        <x:v>M08有效旺衰、M09日主旺衰、M10十神功能、M11组合、M12流通、M13调候、M15格局成败均已完成</x:v>
      </x:c>
      <x:c r="Y92" s="68" t="str">
        <x:v>病位、根因、功能障碍与药神作用路径均能够追溯</x:v>
      </x:c>
      <x:c r="Z92" s="68" t="str">
        <x:v>药神有根有源、透达，能够直接进入病位且兼顾多个主要问题</x:v>
      </x:c>
      <x:c r="AA92" s="68" t="str">
        <x:v>药神无根、受强制、被合绊、作用路径遥隔或同时被多个任务分流</x:v>
      </x:c>
      <x:c r="AB92" s="90" t="str">
        <x:v>若该失衡没有造成实际功能障碍，或特殊格局要求顺势，则不得按普通病药立论</x:v>
      </x:c>
      <x:c r="AC92" s="68" t="str">
        <x:v>特殊格局严格成立、岁运动态作用或流派争议转M18/M21及动态引擎</x:v>
      </x:c>
      <x:c r="AD92" s="84" t="str">
        <x:v>病药非最终用神</x:v>
      </x:c>
      <x:c r="AE92" s="84" t="str">
        <x:v>M16只生成主药、辅助药和风险；最终主用、喜忌与条件性定位必须进入M17/M18。</x:v>
      </x:c>
      <x:c r="AF92" s="82" t="str">
        <x:v>较高</x:v>
      </x:c>
      <x:c r="AG92" s="82" t="str">
        <x:v>病药</x:v>
      </x:c>
      <x:c r="AH9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2" s="68" t="str">
        <x:v>当“M08—M15已经确认相应结构性失衡与实际功能障碍”真实成立，且药神能够直接作用病位时，可按“病药候选必须转M17矩阵而不能在M16直接定最终用神”记录。</x:v>
      </x:c>
      <x:c r="AJ92" s="90" t="str">
        <x:v>只有表面“存在一个或多个药神候选”，但未证明根因“药神只描述治疗某病的价值，尚未完成扶抑、格局、通关、调候与副作用综合”及药神作用路径时，不得套用“病药候选必须转M17矩阵而不能在M16直接定最终用神”。</x:v>
      </x:c>
      <x:c r="AK92" s="82" t="str">
        <x:v>采用</x:v>
      </x:c>
      <x:c r="AL92" s="82" t="str">
        <x:v>初审</x:v>
      </x:c>
      <x:c r="AM92" s="87" t="n">
        <x:v>46260</x:v>
      </x:c>
    </x:row>
    <x:row r="93">
      <x:c r="A93" s="72" t="str">
        <x:f>IF(OR(C93="",D93=""),"",B93&amp;"-"&amp;UPPER(C93)&amp;"-"&amp;TEXT(D93,"0000")&amp;"-"&amp;E93)</x:f>
        <x:v>M16-DOSE-0087-V1.0</x:v>
      </x:c>
      <x:c r="B93" s="74" t="str">
        <x:v>M16</x:v>
      </x:c>
      <x:c r="C93" s="74" t="str">
        <x:v>DOSE</x:v>
      </x:c>
      <x:c r="D93" s="215" t="n">
        <x:v>87</x:v>
      </x:c>
      <x:c r="E93" s="74" t="str">
        <x:v>V1.0</x:v>
      </x:c>
      <x:c r="F93" s="68" t="str">
        <x:v>药神无根无源时只能形成名义药力</x:v>
      </x:c>
      <x:c r="G93" s="82" t="str">
        <x:v>综合层</x:v>
      </x:c>
      <x:c r="H93" s="82" t="str">
        <x:v>复合病</x:v>
      </x:c>
      <x:c r="I93" s="68" t="str">
        <x:v>药神根源</x:v>
      </x:c>
      <x:c r="J93" s="68" t="str">
        <x:v>药力不足</x:v>
      </x:c>
      <x:c r="K93" s="68" t="str">
        <x:v>药神存在但无有效根、生源或透达</x:v>
      </x:c>
      <x:c r="L93" s="68" t="str">
        <x:v>理论能治病，实际修复有限</x:v>
      </x:c>
      <x:c r="M93" s="82" t="str">
        <x:v>一般</x:v>
      </x:c>
      <x:c r="N93" s="68" t="str">
        <x:v>增强药神根源</x:v>
      </x:c>
      <x:c r="O93" s="68" t="str">
        <x:v>保护药神</x:v>
      </x:c>
      <x:c r="P93" s="82" t="str">
        <x:v>生</x:v>
      </x:c>
      <x:c r="Q93" s="68" t="str">
        <x:v>M08—M15已经确认相应结构性失衡与实际功能障碍</x:v>
      </x:c>
      <x:c r="R93" s="90" t="str">
        <x:v>不得只凭五行数量、十神名称或单一旺衰标签直接立病用药</x:v>
      </x:c>
      <x:c r="S93" s="90" t="str">
        <x:v>主病只能轻微缓解或完全未被修复</x:v>
      </x:c>
      <x:c r="T93" s="90" t="str">
        <x:v>补强过度仍需防药过成病</x:v>
      </x:c>
      <x:c r="U93" s="82" t="str">
        <x:v>条件性</x:v>
      </x:c>
      <x:c r="V93" s="90" t="str">
        <x:v>条件性</x:v>
      </x:c>
      <x:c r="W93" s="90" t="str">
        <x:v>待定</x:v>
      </x:c>
      <x:c r="X93" s="68" t="str">
        <x:v>M08有效旺衰、M09日主旺衰、M10十神功能、M11组合、M12流通、M13调候、M15格局成败均已完成</x:v>
      </x:c>
      <x:c r="Y93" s="68" t="str">
        <x:v>病位、根因、功能障碍与药神作用路径均能够追溯</x:v>
      </x:c>
      <x:c r="Z93" s="68" t="str">
        <x:v>药神有根有源、透达，能够直接进入病位且兼顾多个主要问题</x:v>
      </x:c>
      <x:c r="AA93" s="68" t="str">
        <x:v>药神无根、受强制、被合绊、作用路径遥隔或同时被多个任务分流</x:v>
      </x:c>
      <x:c r="AB93" s="90" t="str">
        <x:v>若该失衡没有造成实际功能障碍，或特殊格局要求顺势，则不得按普通病药立论</x:v>
      </x:c>
      <x:c r="AC93" s="68" t="str">
        <x:v>特殊格局严格成立、岁运动态作用或流派争议转M18/M21及动态引擎</x:v>
      </x:c>
      <x:c r="AD93" s="84" t="str">
        <x:v>药神无根药力不足</x:v>
      </x:c>
      <x:c r="AE93" s="84" t="str">
        <x:v>根本之病在“药神根源”：药神存在但无有效根、生源或透达；表层表现为“理论能治病，实际修复有限”。主药候选为“增强药神根源”，药理为“生”；最终喜忌与主次仍转M17/M18裁决。</x:v>
      </x:c>
      <x:c r="AF93" s="82" t="str">
        <x:v>较高</x:v>
      </x:c>
      <x:c r="AG93" s="82" t="str">
        <x:v>病药</x:v>
      </x:c>
      <x:c r="AH9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3" s="68" t="str">
        <x:v>当“M08—M15已经确认相应结构性失衡与实际功能障碍”真实成立，且药神能够直接作用病位时，可按“药神无根无源时只能形成名义药力”记录。</x:v>
      </x:c>
      <x:c r="AJ93" s="90" t="str">
        <x:v>只有表面“理论能治病，实际修复有限”，但未证明根因“药神存在但无有效根、生源或透达”及药神作用路径时，不得套用“药神无根无源时只能形成名义药力”。</x:v>
      </x:c>
      <x:c r="AK93" s="82" t="str">
        <x:v>采用</x:v>
      </x:c>
      <x:c r="AL93" s="82" t="str">
        <x:v>初审</x:v>
      </x:c>
      <x:c r="AM93" s="87" t="n">
        <x:v>46260</x:v>
      </x:c>
    </x:row>
    <x:row r="94">
      <x:c r="A94" s="72" t="str">
        <x:f>IF(OR(C94="",D94=""),"",B94&amp;"-"&amp;UPPER(C94)&amp;"-"&amp;TEXT(D94,"0000")&amp;"-"&amp;E94)</x:f>
        <x:v>M16-DOSE-0088-V1.0</x:v>
      </x:c>
      <x:c r="B94" s="74" t="str">
        <x:v>M16</x:v>
      </x:c>
      <x:c r="C94" s="74" t="str">
        <x:v>DOSE</x:v>
      </x:c>
      <x:c r="D94" s="215" t="n">
        <x:v>88</x:v>
      </x:c>
      <x:c r="E94" s="74" t="str">
        <x:v>V1.0</x:v>
      </x:c>
      <x:c r="F94" s="68" t="str">
        <x:v>药神被强克时药力会被截断</x:v>
      </x:c>
      <x:c r="G94" s="82" t="str">
        <x:v>综合层</x:v>
      </x:c>
      <x:c r="H94" s="82" t="str">
        <x:v>复合病</x:v>
      </x:c>
      <x:c r="I94" s="68" t="str">
        <x:v>药神受克节点</x:v>
      </x:c>
      <x:c r="J94" s="68" t="str">
        <x:v>药力受制</x:v>
      </x:c>
      <x:c r="K94" s="68" t="str">
        <x:v>克药之神有效力量高于药神</x:v>
      </x:c>
      <x:c r="L94" s="68" t="str">
        <x:v>药神进入病位前已经被制</x:v>
      </x:c>
      <x:c r="M94" s="82" t="str">
        <x:v>明显</x:v>
      </x:c>
      <x:c r="N94" s="68" t="str">
        <x:v>制去克药者或改用替代药路</x:v>
      </x:c>
      <x:c r="O94" s="68" t="str">
        <x:v>生扶药神</x:v>
      </x:c>
      <x:c r="P94" s="82" t="str">
        <x:v>制</x:v>
      </x:c>
      <x:c r="Q94" s="68" t="str">
        <x:v>M08—M15已经确认相应结构性失衡与实际功能障碍</x:v>
      </x:c>
      <x:c r="R94" s="90" t="str">
        <x:v>不得只凭五行数量、十神名称或单一旺衰标签直接立病用药</x:v>
      </x:c>
      <x:c r="S94" s="90" t="str">
        <x:v>主药不能到达病位</x:v>
      </x:c>
      <x:c r="T94" s="90" t="str">
        <x:v>制克药者过度可能伤格</x:v>
      </x:c>
      <x:c r="U94" s="82" t="str">
        <x:v>条件性</x:v>
      </x:c>
      <x:c r="V94" s="90" t="str">
        <x:v>条件性</x:v>
      </x:c>
      <x:c r="W94" s="90" t="str">
        <x:v>格局冲突</x:v>
      </x:c>
      <x:c r="X94" s="68" t="str">
        <x:v>M08有效旺衰、M09日主旺衰、M10十神功能、M11组合、M12流通、M13调候、M15格局成败均已完成</x:v>
      </x:c>
      <x:c r="Y94" s="68" t="str">
        <x:v>病位、根因、功能障碍与药神作用路径均能够追溯</x:v>
      </x:c>
      <x:c r="Z94" s="68" t="str">
        <x:v>药神有根有源、透达，能够直接进入病位且兼顾多个主要问题</x:v>
      </x:c>
      <x:c r="AA94" s="68" t="str">
        <x:v>药神无根、受强制、被合绊、作用路径遥隔或同时被多个任务分流</x:v>
      </x:c>
      <x:c r="AB94" s="90" t="str">
        <x:v>若该失衡没有造成实际功能障碍，或特殊格局要求顺势，则不得按普通病药立论</x:v>
      </x:c>
      <x:c r="AC94" s="68" t="str">
        <x:v>特殊格局严格成立、岁运动态作用或流派争议转M18/M21及动态引擎</x:v>
      </x:c>
      <x:c r="AD94" s="84" t="str">
        <x:v>药神受克</x:v>
      </x:c>
      <x:c r="AE94" s="84" t="str">
        <x:v>根本之病在“药神受克节点”：克药之神有效力量高于药神；表层表现为“药神进入病位前已经被制”。主药候选为“制去克药者或改用替代药路”，药理为“制”；最终喜忌与主次仍转M17/M18裁决。</x:v>
      </x:c>
      <x:c r="AF94" s="82" t="str">
        <x:v>较高</x:v>
      </x:c>
      <x:c r="AG94" s="82" t="str">
        <x:v>病药</x:v>
      </x:c>
      <x:c r="AH9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4" s="68" t="str">
        <x:v>当“M08—M15已经确认相应结构性失衡与实际功能障碍”真实成立，且药神能够直接作用病位时，可按“药神被强克时药力会被截断”记录。</x:v>
      </x:c>
      <x:c r="AJ94" s="90" t="str">
        <x:v>只有表面“药神进入病位前已经被制”，但未证明根因“克药之神有效力量高于药神”及药神作用路径时，不得套用“药神被强克时药力会被截断”。</x:v>
      </x:c>
      <x:c r="AK94" s="82" t="str">
        <x:v>采用</x:v>
      </x:c>
      <x:c r="AL94" s="82" t="str">
        <x:v>初审</x:v>
      </x:c>
      <x:c r="AM94" s="87" t="n">
        <x:v>46260</x:v>
      </x:c>
    </x:row>
    <x:row r="95">
      <x:c r="A95" s="72" t="str">
        <x:f>IF(OR(C95="",D95=""),"",B95&amp;"-"&amp;UPPER(C95)&amp;"-"&amp;TEXT(D95,"0000")&amp;"-"&amp;E95)</x:f>
        <x:v>M16-DOSE-0089-V1.0</x:v>
      </x:c>
      <x:c r="B95" s="74" t="str">
        <x:v>M16</x:v>
      </x:c>
      <x:c r="C95" s="74" t="str">
        <x:v>DOSE</x:v>
      </x:c>
      <x:c r="D95" s="215" t="n">
        <x:v>89</x:v>
      </x:c>
      <x:c r="E95" s="74" t="str">
        <x:v>V1.0</x:v>
      </x:c>
      <x:c r="F95" s="68" t="str">
        <x:v>药神被合绊时药力只能部分调用</x:v>
      </x:c>
      <x:c r="G95" s="82" t="str">
        <x:v>综合层</x:v>
      </x:c>
      <x:c r="H95" s="82" t="str">
        <x:v>复合病</x:v>
      </x:c>
      <x:c r="I95" s="68" t="str">
        <x:v>药神被合绊节点</x:v>
      </x:c>
      <x:c r="J95" s="68" t="str">
        <x:v>药力冻结</x:v>
      </x:c>
      <x:c r="K95" s="68" t="str">
        <x:v>药神被其他关系牵制或合住</x:v>
      </x:c>
      <x:c r="L95" s="68" t="str">
        <x:v>药神存在但作用不稳定</x:v>
      </x:c>
      <x:c r="M95" s="82" t="str">
        <x:v>一般</x:v>
      </x:c>
      <x:c r="N95" s="68" t="str">
        <x:v>解合、增强独立药源或改用替代药</x:v>
      </x:c>
      <x:c r="O95" s="68" t="str">
        <x:v>保护药神</x:v>
      </x:c>
      <x:c r="P95" s="82" t="str">
        <x:v>救应</x:v>
      </x:c>
      <x:c r="Q95" s="68" t="str">
        <x:v>M08—M15已经确认相应结构性失衡与实际功能障碍</x:v>
      </x:c>
      <x:c r="R95" s="90" t="str">
        <x:v>不得只凭五行数量、十神名称或单一旺衰标签直接立病用药</x:v>
      </x:c>
      <x:c r="S95" s="90" t="str">
        <x:v>药力只能局部发挥</x:v>
      </x:c>
      <x:c r="T95" s="90" t="str">
        <x:v>强行破合可能破坏合化或格局</x:v>
      </x:c>
      <x:c r="U95" s="82" t="str">
        <x:v>条件性</x:v>
      </x:c>
      <x:c r="V95" s="90" t="str">
        <x:v>条件性</x:v>
      </x:c>
      <x:c r="W95" s="90" t="str">
        <x:v>合局破损或格局病</x:v>
      </x:c>
      <x:c r="X95" s="68" t="str">
        <x:v>M08有效旺衰、M09日主旺衰、M10十神功能、M11组合、M12流通、M13调候、M15格局成败均已完成</x:v>
      </x:c>
      <x:c r="Y95" s="68" t="str">
        <x:v>病位、根因、功能障碍与药神作用路径均能够追溯</x:v>
      </x:c>
      <x:c r="Z95" s="68" t="str">
        <x:v>药神有根有源、透达，能够直接进入病位且兼顾多个主要问题</x:v>
      </x:c>
      <x:c r="AA95" s="68" t="str">
        <x:v>药神无根、受强制、被合绊、作用路径遥隔或同时被多个任务分流</x:v>
      </x:c>
      <x:c r="AB95" s="90" t="str">
        <x:v>若该失衡没有造成实际功能障碍，或特殊格局要求顺势，则不得按普通病药立论</x:v>
      </x:c>
      <x:c r="AC95" s="68" t="str">
        <x:v>特殊格局严格成立、岁运动态作用或流派争议转M18/M21及动态引擎</x:v>
      </x:c>
      <x:c r="AD95" s="84" t="str">
        <x:v>药神合绊</x:v>
      </x:c>
      <x:c r="AE95" s="84" t="str">
        <x:v>根本之病在“药神被合绊节点”：药神被其他关系牵制或合住；表层表现为“药神存在但作用不稳定”。主药候选为“解合、增强独立药源或改用替代药”，药理为“救应”；最终喜忌与主次仍转M17/M18裁决。</x:v>
      </x:c>
      <x:c r="AF95" s="82" t="str">
        <x:v>较高</x:v>
      </x:c>
      <x:c r="AG95" s="82" t="str">
        <x:v>病药</x:v>
      </x:c>
      <x:c r="AH9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5" s="68" t="str">
        <x:v>当“M08—M15已经确认相应结构性失衡与实际功能障碍”真实成立，且药神能够直接作用病位时，可按“药神被合绊时药力只能部分调用”记录。</x:v>
      </x:c>
      <x:c r="AJ95" s="90" t="str">
        <x:v>只有表面“药神存在但作用不稳定”，但未证明根因“药神被其他关系牵制或合住”及药神作用路径时，不得套用“药神被合绊时药力只能部分调用”。</x:v>
      </x:c>
      <x:c r="AK95" s="82" t="str">
        <x:v>采用</x:v>
      </x:c>
      <x:c r="AL95" s="82" t="str">
        <x:v>初审</x:v>
      </x:c>
      <x:c r="AM95" s="87" t="n">
        <x:v>46260</x:v>
      </x:c>
    </x:row>
    <x:row r="96">
      <x:c r="A96" s="72" t="str">
        <x:f>IF(OR(C96="",D96=""),"",B96&amp;"-"&amp;UPPER(C96)&amp;"-"&amp;TEXT(D96,"0000")&amp;"-"&amp;E96)</x:f>
        <x:v>M16-DOSE-0090-V1.0</x:v>
      </x:c>
      <x:c r="B96" s="74" t="str">
        <x:v>M16</x:v>
      </x:c>
      <x:c r="C96" s="74" t="str">
        <x:v>DOSE</x:v>
      </x:c>
      <x:c r="D96" s="215" t="n">
        <x:v>90</x:v>
      </x:c>
      <x:c r="E96" s="74" t="str">
        <x:v>V1.0</x:v>
      </x:c>
      <x:c r="F96" s="68" t="str">
        <x:v>药力不足时主病会持续并转移到下游</x:v>
      </x:c>
      <x:c r="G96" s="82" t="str">
        <x:v>综合层</x:v>
      </x:c>
      <x:c r="H96" s="82" t="str">
        <x:v>复合病</x:v>
      </x:c>
      <x:c r="I96" s="68" t="str">
        <x:v>病位及下游链</x:v>
      </x:c>
      <x:c r="J96" s="68" t="str">
        <x:v>治疗不足</x:v>
      </x:c>
      <x:c r="K96" s="68" t="str">
        <x:v>主药方向正确但力量、路径或持续性不足</x:v>
      </x:c>
      <x:c r="L96" s="68" t="str">
        <x:v>原病部分缓解，次级卡点仍然暴露</x:v>
      </x:c>
      <x:c r="M96" s="82" t="str">
        <x:v>明显</x:v>
      </x:c>
      <x:c r="N96" s="68" t="str">
        <x:v>增强主药有效性</x:v>
      </x:c>
      <x:c r="O96" s="68" t="str">
        <x:v>修复下游承载</x:v>
      </x:c>
      <x:c r="P96" s="82" t="str">
        <x:v>救应</x:v>
      </x:c>
      <x:c r="Q96" s="68" t="str">
        <x:v>M08—M15已经确认相应结构性失衡与实际功能障碍</x:v>
      </x:c>
      <x:c r="R96" s="90" t="str">
        <x:v>不得只凭五行数量、十神名称或单一旺衰标签直接立病用药</x:v>
      </x:c>
      <x:c r="S96" s="90" t="str">
        <x:v>原病持续，或力量传到下一弱节点形成次级病</x:v>
      </x:c>
      <x:c r="T96" s="90" t="str">
        <x:v>增强过度会跨越平衡</x:v>
      </x:c>
      <x:c r="U96" s="82" t="str">
        <x:v>条件性</x:v>
      </x:c>
      <x:c r="V96" s="90" t="str">
        <x:v>条件性</x:v>
      </x:c>
      <x:c r="W96" s="90" t="str">
        <x:v>待定</x:v>
      </x:c>
      <x:c r="X96" s="68" t="str">
        <x:v>M08有效旺衰、M09日主旺衰、M10十神功能、M11组合、M12流通、M13调候、M15格局成败均已完成</x:v>
      </x:c>
      <x:c r="Y96" s="68" t="str">
        <x:v>病位、根因、功能障碍与药神作用路径均能够追溯</x:v>
      </x:c>
      <x:c r="Z96" s="68" t="str">
        <x:v>药神有根有源、透达，能够直接进入病位且兼顾多个主要问题</x:v>
      </x:c>
      <x:c r="AA96" s="68" t="str">
        <x:v>药神无根、受强制、被合绊、作用路径遥隔或同时被多个任务分流</x:v>
      </x:c>
      <x:c r="AB96" s="90" t="str">
        <x:v>若该失衡没有造成实际功能障碍，或特殊格局要求顺势，则不得按普通病药立论</x:v>
      </x:c>
      <x:c r="AC96" s="68" t="str">
        <x:v>特殊格局严格成立、岁运动态作用或流派争议转M18/M21及动态引擎</x:v>
      </x:c>
      <x:c r="AD96" s="84" t="str">
        <x:v>药力不足后果</x:v>
      </x:c>
      <x:c r="AE96" s="84" t="str">
        <x:v>根本之病在“病位及下游链”：主药方向正确但力量、路径或持续性不足；表层表现为“原病部分缓解，次级卡点仍然暴露”。主药候选为“增强主药有效性”，药理为“救应”；最终喜忌与主次仍转M17/M18裁决。</x:v>
      </x:c>
      <x:c r="AF96" s="82" t="str">
        <x:v>较高</x:v>
      </x:c>
      <x:c r="AG96" s="82" t="str">
        <x:v>病药</x:v>
      </x:c>
      <x:c r="AH9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6" s="68" t="str">
        <x:v>当“M08—M15已经确认相应结构性失衡与实际功能障碍”真实成立，且药神能够直接作用病位时，可按“药力不足时主病会持续并转移到下游”记录。</x:v>
      </x:c>
      <x:c r="AJ96" s="90" t="str">
        <x:v>只有表面“原病部分缓解，次级卡点仍然暴露”，但未证明根因“主药方向正确但力量、路径或持续性不足”及药神作用路径时，不得套用“药力不足时主病会持续并转移到下游”。</x:v>
      </x:c>
      <x:c r="AK96" s="82" t="str">
        <x:v>采用</x:v>
      </x:c>
      <x:c r="AL96" s="82" t="str">
        <x:v>初审</x:v>
      </x:c>
      <x:c r="AM96" s="87" t="n">
        <x:v>46260</x:v>
      </x:c>
    </x:row>
    <x:row r="97">
      <x:c r="A97" s="72" t="str">
        <x:f>IF(OR(C97="",D97=""),"",B97&amp;"-"&amp;UPPER(C97)&amp;"-"&amp;TEXT(D97,"0000")&amp;"-"&amp;E97)</x:f>
        <x:v>M16-DOSE-0091-V1.0</x:v>
      </x:c>
      <x:c r="B97" s="74" t="str">
        <x:v>M16</x:v>
      </x:c>
      <x:c r="C97" s="74" t="str">
        <x:v>DOSE</x:v>
      </x:c>
      <x:c r="D97" s="215" t="n">
        <x:v>91</x:v>
      </x:c>
      <x:c r="E97" s="74" t="str">
        <x:v>V1.0</x:v>
      </x:c>
      <x:c r="F97" s="68" t="str">
        <x:v>药力过量会跨越平衡形成反向病</x:v>
      </x:c>
      <x:c r="G97" s="82" t="str">
        <x:v>综合层</x:v>
      </x:c>
      <x:c r="H97" s="82" t="str">
        <x:v>复合病</x:v>
      </x:c>
      <x:c r="I97" s="68" t="str">
        <x:v>被治疗的力量轴</x:v>
      </x:c>
      <x:c r="J97" s="68" t="str">
        <x:v>药过成病</x:v>
      </x:c>
      <x:c r="K97" s="68" t="str">
        <x:v>药神强度超过修复所需，使原偏差反向越界</x:v>
      </x:c>
      <x:c r="L97" s="68" t="str">
        <x:v>由寒转热、由湿转燥、由旺转弱或由弱转旺</x:v>
      </x:c>
      <x:c r="M97" s="82" t="str">
        <x:v>严重</x:v>
      </x:c>
      <x:c r="N97" s="68" t="str">
        <x:v>降低药量、恢复被过度抑制一方</x:v>
      </x:c>
      <x:c r="O97" s="68" t="str">
        <x:v>保护格神和桥梁</x:v>
      </x:c>
      <x:c r="P97" s="82" t="str">
        <x:v>救应</x:v>
      </x:c>
      <x:c r="Q97" s="68" t="str">
        <x:v>M08—M15已经确认相应结构性失衡与实际功能障碍</x:v>
      </x:c>
      <x:c r="R97" s="90" t="str">
        <x:v>不得只凭五行数量、十神名称或单一旺衰标签直接立病用药</x:v>
      </x:c>
      <x:c r="S97" s="90" t="str">
        <x:v>不适用</x:v>
      </x:c>
      <x:c r="T97" s="90" t="str">
        <x:v>形成反向旺衰、调候或制化病</x:v>
      </x:c>
      <x:c r="U97" s="82" t="str">
        <x:v>是</x:v>
      </x:c>
      <x:c r="V97" s="90" t="str">
        <x:v>是</x:v>
      </x:c>
      <x:c r="W97" s="90" t="str">
        <x:v>反向失衡</x:v>
      </x:c>
      <x:c r="X97" s="68" t="str">
        <x:v>M08有效旺衰、M09日主旺衰、M10十神功能、M11组合、M12流通、M13调候、M15格局成败均已完成</x:v>
      </x:c>
      <x:c r="Y97" s="68" t="str">
        <x:v>病位、根因、功能障碍与药神作用路径均能够追溯</x:v>
      </x:c>
      <x:c r="Z97" s="68" t="str">
        <x:v>药神有根有源、透达，能够直接进入病位且兼顾多个主要问题</x:v>
      </x:c>
      <x:c r="AA97" s="68" t="str">
        <x:v>药神无根、受强制、被合绊、作用路径遥隔或同时被多个任务分流</x:v>
      </x:c>
      <x:c r="AB97" s="90" t="str">
        <x:v>若该失衡没有造成实际功能障碍，或特殊格局要求顺势，则不得按普通病药立论</x:v>
      </x:c>
      <x:c r="AC97" s="68" t="str">
        <x:v>特殊格局严格成立、岁运动态作用或流派争议转M18/M21及动态引擎</x:v>
      </x:c>
      <x:c r="AD97" s="84" t="str">
        <x:v>药过成反病</x:v>
      </x:c>
      <x:c r="AE97" s="84" t="str">
        <x:v>根本之病在“被治疗的力量轴”：药神强度超过修复所需，使原偏差反向越界；表层表现为“由寒转热、由湿转燥、由旺转弱或由弱转旺”。主药候选为“降低药量、恢复被过度抑制一方”，药理为“救应”；最终喜忌与主次仍转M17/M18裁决。</x:v>
      </x:c>
      <x:c r="AF97" s="82" t="str">
        <x:v>较高</x:v>
      </x:c>
      <x:c r="AG97" s="82" t="str">
        <x:v>病药</x:v>
      </x:c>
      <x:c r="AH9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7" s="68" t="str">
        <x:v>当“M08—M15已经确认相应结构性失衡与实际功能障碍”真实成立，且药神能够直接作用病位时，可按“药力过量会跨越平衡形成反向病”记录。</x:v>
      </x:c>
      <x:c r="AJ97" s="90" t="str">
        <x:v>只有表面“由寒转热、由湿转燥、由旺转弱或由弱转旺”，但未证明根因“药神强度超过修复所需，使原偏差反向越界”及药神作用路径时，不得套用“药力过量会跨越平衡形成反向病”。</x:v>
      </x:c>
      <x:c r="AK97" s="82" t="str">
        <x:v>采用</x:v>
      </x:c>
      <x:c r="AL97" s="82" t="str">
        <x:v>初审</x:v>
      </x:c>
      <x:c r="AM97" s="87" t="n">
        <x:v>46260</x:v>
      </x:c>
    </x:row>
    <x:row r="98">
      <x:c r="A98" s="72" t="str">
        <x:f>IF(OR(C98="",D98=""),"",B98&amp;"-"&amp;UPPER(C98)&amp;"-"&amp;TEXT(D98,"0000")&amp;"-"&amp;E98)</x:f>
        <x:v>M16-DOSE-0092-V1.0</x:v>
      </x:c>
      <x:c r="B98" s="74" t="str">
        <x:v>M16</x:v>
      </x:c>
      <x:c r="C98" s="74" t="str">
        <x:v>DOSE</x:v>
      </x:c>
      <x:c r="D98" s="215" t="n">
        <x:v>92</x:v>
      </x:c>
      <x:c r="E98" s="74" t="str">
        <x:v>V1.0</x:v>
      </x:c>
      <x:c r="F98" s="68" t="str">
        <x:v>药神伤害核心格局时必须降级为条件性</x:v>
      </x:c>
      <x:c r="G98" s="82" t="str">
        <x:v>综合层</x:v>
      </x:c>
      <x:c r="H98" s="82" t="str">
        <x:v>格局病</x:v>
      </x:c>
      <x:c r="I98" s="68" t="str">
        <x:v>药神—格神冲突链</x:v>
      </x:c>
      <x:c r="J98" s="68" t="str">
        <x:v>药格冲突</x:v>
      </x:c>
      <x:c r="K98" s="68" t="str">
        <x:v>药神能治某一病，但会克、合、泄损核心格神或破坏特殊格局</x:v>
      </x:c>
      <x:c r="L98" s="68" t="str">
        <x:v>局部病改善、格局主轴受损</x:v>
      </x:c>
      <x:c r="M98" s="82" t="str">
        <x:v>严重</x:v>
      </x:c>
      <x:c r="N98" s="68" t="str">
        <x:v>寻找替代药路或限量使用</x:v>
      </x:c>
      <x:c r="O98" s="68" t="str">
        <x:v>护持格神</x:v>
      </x:c>
      <x:c r="P98" s="82" t="str">
        <x:v>护格</x:v>
      </x:c>
      <x:c r="Q98" s="68" t="str">
        <x:v>M15格局稳定且该药与格神存在直接冲突</x:v>
      </x:c>
      <x:c r="R98" s="90" t="str">
        <x:v>不得只凭五行数量、十神名称或单一旺衰标签直接立病用药</x:v>
      </x:c>
      <x:c r="S98" s="90" t="str">
        <x:v>主要病位未被修复，原有失衡继续运行</x:v>
      </x:c>
      <x:c r="T98" s="90" t="str">
        <x:v>药神反向过度，可能跨越平衡并形成新的结构性失衡</x:v>
      </x:c>
      <x:c r="U98" s="82" t="str">
        <x:v>是</x:v>
      </x:c>
      <x:c r="V98" s="90" t="str">
        <x:v>是</x:v>
      </x:c>
      <x:c r="W98" s="90" t="str">
        <x:v>格局病</x:v>
      </x:c>
      <x:c r="X98" s="68" t="str">
        <x:v>M08有效旺衰、M09日主旺衰、M10十神功能、M11组合、M12流通、M13调候、M15格局成败均已完成</x:v>
      </x:c>
      <x:c r="Y98" s="68" t="str">
        <x:v>病位、根因、功能障碍与药神作用路径均能够追溯</x:v>
      </x:c>
      <x:c r="Z98" s="68" t="str">
        <x:v>药神有根有源、透达，能够直接进入病位且兼顾多个主要问题</x:v>
      </x:c>
      <x:c r="AA98" s="68" t="str">
        <x:v>药神无根、受强制、被合绊、作用路径遥隔或同时被多个任务分流</x:v>
      </x:c>
      <x:c r="AB98" s="90" t="str">
        <x:v>若该失衡没有造成实际功能障碍，或特殊格局要求顺势，则不得按普通病药立论</x:v>
      </x:c>
      <x:c r="AC98" s="68" t="str">
        <x:v>特殊格局严格成立、岁运动态作用或流派争议转M18/M21及动态引擎</x:v>
      </x:c>
      <x:c r="AD98" s="84" t="str">
        <x:v>药伤格局</x:v>
      </x:c>
      <x:c r="AE98" s="84" t="str">
        <x:v>根本之病在“药神—格神冲突链”：药神能治某一病，但会克、合、泄损核心格神或破坏特殊格局；表层表现为“局部病改善、格局主轴受损”。主药候选为“寻找替代药路或限量使用”，药理为“护格”；最终喜忌与主次仍转M17/M18裁决。</x:v>
      </x:c>
      <x:c r="AF98" s="82" t="str">
        <x:v>较高</x:v>
      </x:c>
      <x:c r="AG98" s="82" t="str">
        <x:v>病药</x:v>
      </x:c>
      <x:c r="AH9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8" s="68" t="str">
        <x:v>当“M15格局稳定且该药与格神存在直接冲突”真实成立，且药神能够直接作用病位时，可按“药神伤害核心格局时必须降级为条件性”记录。</x:v>
      </x:c>
      <x:c r="AJ98" s="90" t="str">
        <x:v>只有表面“局部病改善、格局主轴受损”，但未证明根因“药神能治某一病，但会克、合、泄损核心格神或破坏特殊格局”及药神作用路径时，不得套用“药神伤害核心格局时必须降级为条件性”。</x:v>
      </x:c>
      <x:c r="AK98" s="82" t="str">
        <x:v>采用</x:v>
      </x:c>
      <x:c r="AL98" s="82" t="str">
        <x:v>初审</x:v>
      </x:c>
      <x:c r="AM98" s="87" t="n">
        <x:v>46260</x:v>
      </x:c>
    </x:row>
    <x:row r="99">
      <x:c r="A99" s="72" t="str">
        <x:f>IF(OR(C99="",D99=""),"",B99&amp;"-"&amp;UPPER(C99)&amp;"-"&amp;TEXT(D99,"0000")&amp;"-"&amp;E99)</x:f>
        <x:v>M16-DOSE-0093-V1.0</x:v>
      </x:c>
      <x:c r="B99" s="74" t="str">
        <x:v>M16</x:v>
      </x:c>
      <x:c r="C99" s="74" t="str">
        <x:v>DOSE</x:v>
      </x:c>
      <x:c r="D99" s="215" t="n">
        <x:v>93</x:v>
      </x:c>
      <x:c r="E99" s="74" t="str">
        <x:v>V1.0</x:v>
      </x:c>
      <x:c r="F99" s="68" t="str">
        <x:v>药神解决流通却恶化调候时形成新病</x:v>
      </x:c>
      <x:c r="G99" s="82" t="str">
        <x:v>综合层</x:v>
      </x:c>
      <x:c r="H99" s="82" t="str">
        <x:v>复合病</x:v>
      </x:c>
      <x:c r="I99" s="68" t="str">
        <x:v>通关—调候冲突</x:v>
      </x:c>
      <x:c r="J99" s="68" t="str">
        <x:v>一病愈一病生</x:v>
      </x:c>
      <x:c r="K99" s="68" t="str">
        <x:v>通关药能连接两端，但会把全局推向极寒湿或极热燥</x:v>
      </x:c>
      <x:c r="L99" s="68" t="str">
        <x:v>流通改善、气候恶化</x:v>
      </x:c>
      <x:c r="M99" s="82" t="str">
        <x:v>明显</x:v>
      </x:c>
      <x:c r="N99" s="68" t="str">
        <x:v>替代通关五行或条件性限量</x:v>
      </x:c>
      <x:c r="O99" s="68" t="str">
        <x:v>调候保护神</x:v>
      </x:c>
      <x:c r="P99" s="82" t="str">
        <x:v>复合药理</x:v>
      </x:c>
      <x:c r="Q99" s="68" t="str">
        <x:v>M08—M15已经确认相应结构性失衡与实际功能障碍</x:v>
      </x:c>
      <x:c r="R99" s="90" t="str">
        <x:v>不得只凭五行数量、十神名称或单一旺衰标签直接立病用药</x:v>
      </x:c>
      <x:c r="S99" s="90" t="str">
        <x:v>主要病位未被修复，原有失衡继续运行</x:v>
      </x:c>
      <x:c r="T99" s="90" t="str">
        <x:v>药神反向过度，可能跨越平衡并形成新的结构性失衡</x:v>
      </x:c>
      <x:c r="U99" s="82" t="str">
        <x:v>条件性</x:v>
      </x:c>
      <x:c r="V99" s="90" t="str">
        <x:v>是</x:v>
      </x:c>
      <x:c r="W99" s="90" t="str">
        <x:v>调候病</x:v>
      </x:c>
      <x:c r="X99" s="68" t="str">
        <x:v>M08有效旺衰、M09日主旺衰、M10十神功能、M11组合、M12流通、M13调候、M15格局成败均已完成</x:v>
      </x:c>
      <x:c r="Y99" s="68" t="str">
        <x:v>病位、根因、功能障碍与药神作用路径均能够追溯</x:v>
      </x:c>
      <x:c r="Z99" s="68" t="str">
        <x:v>药神有根有源、透达，能够直接进入病位且兼顾多个主要问题</x:v>
      </x:c>
      <x:c r="AA99" s="68" t="str">
        <x:v>药神无根、受强制、被合绊、作用路径遥隔或同时被多个任务分流</x:v>
      </x:c>
      <x:c r="AB99" s="90" t="str">
        <x:v>若该失衡没有造成实际功能障碍，或特殊格局要求顺势，则不得按普通病药立论</x:v>
      </x:c>
      <x:c r="AC99" s="68" t="str">
        <x:v>特殊格局严格成立、岁运动态作用或流派争议转M18/M21及动态引擎</x:v>
      </x:c>
      <x:c r="AD99" s="84" t="str">
        <x:v>通关药生调候新病</x:v>
      </x:c>
      <x:c r="AE99" s="84" t="str">
        <x:v>根本之病在“通关—调候冲突”：通关药能连接两端，但会把全局推向极寒湿或极热燥；表层表现为“流通改善、气候恶化”。主药候选为“替代通关五行或条件性限量”，药理为“复合药理”；最终喜忌与主次仍转M17/M18裁决。</x:v>
      </x:c>
      <x:c r="AF99" s="82" t="str">
        <x:v>较高</x:v>
      </x:c>
      <x:c r="AG99" s="82" t="str">
        <x:v>病药</x:v>
      </x:c>
      <x:c r="AH9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9" s="68" t="str">
        <x:v>当“M08—M15已经确认相应结构性失衡与实际功能障碍”真实成立，且药神能够直接作用病位时，可按“药神解决流通却恶化调候时形成新病”记录。</x:v>
      </x:c>
      <x:c r="AJ99" s="90" t="str">
        <x:v>只有表面“流通改善、气候恶化”，但未证明根因“通关药能连接两端，但会把全局推向极寒湿或极热燥”及药神作用路径时，不得套用“药神解决流通却恶化调候时形成新病”。</x:v>
      </x:c>
      <x:c r="AK99" s="82" t="str">
        <x:v>采用</x:v>
      </x:c>
      <x:c r="AL99" s="82" t="str">
        <x:v>初审</x:v>
      </x:c>
      <x:c r="AM99" s="87" t="n">
        <x:v>46260</x:v>
      </x:c>
    </x:row>
    <x:row r="100">
      <x:c r="A100" s="72" t="str">
        <x:f>IF(OR(C100="",D100=""),"",B100&amp;"-"&amp;UPPER(C100)&amp;"-"&amp;TEXT(D100,"0000")&amp;"-"&amp;E100)</x:f>
        <x:v>M16-DOSE-0094-V1.0</x:v>
      </x:c>
      <x:c r="B100" s="74" t="str">
        <x:v>M16</x:v>
      </x:c>
      <x:c r="C100" s="74" t="str">
        <x:v>DOSE</x:v>
      </x:c>
      <x:c r="D100" s="215" t="n">
        <x:v>94</x:v>
      </x:c>
      <x:c r="E100" s="74" t="str">
        <x:v>V1.0</x:v>
      </x:c>
      <x:c r="F100" s="68" t="str">
        <x:v>药神改善调候却加重日主失衡时形成新病</x:v>
      </x:c>
      <x:c r="G100" s="82" t="str">
        <x:v>综合层</x:v>
      </x:c>
      <x:c r="H100" s="82" t="str">
        <x:v>复合病</x:v>
      </x:c>
      <x:c r="I100" s="68" t="str">
        <x:v>调候—扶抑冲突</x:v>
      </x:c>
      <x:c r="J100" s="68" t="str">
        <x:v>一病愈一病生</x:v>
      </x:c>
      <x:c r="K100" s="68" t="str">
        <x:v>调候五行改善寒暖燥湿，但明显增加日主过旺或过弱</x:v>
      </x:c>
      <x:c r="L100" s="68" t="str">
        <x:v>气候改善、承载恶化</x:v>
      </x:c>
      <x:c r="M100" s="82" t="str">
        <x:v>明显</x:v>
      </x:c>
      <x:c r="N100" s="68" t="str">
        <x:v>限量调候或寻找间接调候路径</x:v>
      </x:c>
      <x:c r="O100" s="68" t="str">
        <x:v>扶抑保护神</x:v>
      </x:c>
      <x:c r="P100" s="82" t="str">
        <x:v>复合药理</x:v>
      </x:c>
      <x:c r="Q100" s="68" t="str">
        <x:v>M08—M15已经确认相应结构性失衡与实际功能障碍</x:v>
      </x:c>
      <x:c r="R100" s="90" t="str">
        <x:v>不得只凭五行数量、十神名称或单一旺衰标签直接立病用药</x:v>
      </x:c>
      <x:c r="S100" s="90" t="str">
        <x:v>主要病位未被修复，原有失衡继续运行</x:v>
      </x:c>
      <x:c r="T100" s="90" t="str">
        <x:v>药神反向过度，可能跨越平衡并形成新的结构性失衡</x:v>
      </x:c>
      <x:c r="U100" s="82" t="str">
        <x:v>条件性</x:v>
      </x:c>
      <x:c r="V100" s="90" t="str">
        <x:v>是</x:v>
      </x:c>
      <x:c r="W100" s="90" t="str">
        <x:v>旺衰病</x:v>
      </x:c>
      <x:c r="X100" s="68" t="str">
        <x:v>M08有效旺衰、M09日主旺衰、M10十神功能、M11组合、M12流通、M13调候、M15格局成败均已完成</x:v>
      </x:c>
      <x:c r="Y100" s="68" t="str">
        <x:v>病位、根因、功能障碍与药神作用路径均能够追溯</x:v>
      </x:c>
      <x:c r="Z100" s="68" t="str">
        <x:v>药神有根有源、透达，能够直接进入病位且兼顾多个主要问题</x:v>
      </x:c>
      <x:c r="AA100" s="68" t="str">
        <x:v>药神无根、受强制、被合绊、作用路径遥隔或同时被多个任务分流</x:v>
      </x:c>
      <x:c r="AB100" s="90" t="str">
        <x:v>若该失衡没有造成实际功能障碍，或特殊格局要求顺势，则不得按普通病药立论</x:v>
      </x:c>
      <x:c r="AC100" s="68" t="str">
        <x:v>特殊格局严格成立、岁运动态作用或流派争议转M18/M21及动态引擎</x:v>
      </x:c>
      <x:c r="AD100" s="84" t="str">
        <x:v>调候药生旺衰新病</x:v>
      </x:c>
      <x:c r="AE100" s="84" t="str">
        <x:v>根本之病在“调候—扶抑冲突”：调候五行改善寒暖燥湿，但明显增加日主过旺或过弱；表层表现为“气候改善、承载恶化”。主药候选为“限量调候或寻找间接调候路径”，药理为“复合药理”；最终喜忌与主次仍转M17/M18裁决。</x:v>
      </x:c>
      <x:c r="AF100" s="82" t="str">
        <x:v>较高</x:v>
      </x:c>
      <x:c r="AG100" s="82" t="str">
        <x:v>病药</x:v>
      </x:c>
      <x:c r="AH10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0" s="68" t="str">
        <x:v>当“M08—M15已经确认相应结构性失衡与实际功能障碍”真实成立，且药神能够直接作用病位时，可按“药神改善调候却加重日主失衡时形成新病”记录。</x:v>
      </x:c>
      <x:c r="AJ100" s="90" t="str">
        <x:v>只有表面“气候改善、承载恶化”，但未证明根因“调候五行改善寒暖燥湿，但明显增加日主过旺或过弱”及药神作用路径时，不得套用“药神改善调候却加重日主失衡时形成新病”。</x:v>
      </x:c>
      <x:c r="AK100" s="82" t="str">
        <x:v>采用</x:v>
      </x:c>
      <x:c r="AL100" s="82" t="str">
        <x:v>初审</x:v>
      </x:c>
      <x:c r="AM100" s="87" t="n">
        <x:v>46260</x:v>
      </x:c>
    </x:row>
    <x:row r="101">
      <x:c r="A101" s="72" t="str">
        <x:f>IF(OR(C101="",D101=""),"",B101&amp;"-"&amp;UPPER(C101)&amp;"-"&amp;TEXT(D101,"0000")&amp;"-"&amp;E101)</x:f>
        <x:v>M16-DOSE-0095-V1.0</x:v>
      </x:c>
      <x:c r="B101" s="74" t="str">
        <x:v>M16</x:v>
      </x:c>
      <x:c r="C101" s="74" t="str">
        <x:v>DOSE</x:v>
      </x:c>
      <x:c r="D101" s="215" t="n">
        <x:v>95</x:v>
      </x:c>
      <x:c r="E101" s="74" t="str">
        <x:v>V1.0</x:v>
      </x:c>
      <x:c r="F101" s="68" t="str">
        <x:v>多药同时作用同一节点会发生容量竞争</x:v>
      </x:c>
      <x:c r="G101" s="82" t="str">
        <x:v>综合层</x:v>
      </x:c>
      <x:c r="H101" s="82" t="str">
        <x:v>复合病</x:v>
      </x:c>
      <x:c r="I101" s="68" t="str">
        <x:v>共享药效节点</x:v>
      </x:c>
      <x:c r="J101" s="68" t="str">
        <x:v>药效竞争</x:v>
      </x:c>
      <x:c r="K101" s="68" t="str">
        <x:v>多个药神或药理同时争夺同一五行/十神的有限作用容量</x:v>
      </x:c>
      <x:c r="L101" s="68" t="str">
        <x:v>每个药神理论有效，合用后实际效果低于预期</x:v>
      </x:c>
      <x:c r="M101" s="82" t="str">
        <x:v>一般</x:v>
      </x:c>
      <x:c r="N101" s="68" t="str">
        <x:v>确定主药，次药降级</x:v>
      </x:c>
      <x:c r="O101" s="68" t="str">
        <x:v>仅保留协同者</x:v>
      </x:c>
      <x:c r="P101" s="82" t="str">
        <x:v>清杂</x:v>
      </x:c>
      <x:c r="Q101" s="68" t="str">
        <x:v>M08—M15已经确认相应结构性失衡与实际功能障碍</x:v>
      </x:c>
      <x:c r="R101" s="90" t="str">
        <x:v>不得只凭五行数量、十神名称或单一旺衰标签直接立病用药</x:v>
      </x:c>
      <x:c r="S101" s="90" t="str">
        <x:v>主要病位未被修复，原有失衡继续运行</x:v>
      </x:c>
      <x:c r="T101" s="90" t="str">
        <x:v>药神反向过度，可能跨越平衡并形成新的结构性失衡</x:v>
      </x:c>
      <x:c r="U101" s="82" t="str">
        <x:v>条件性</x:v>
      </x:c>
      <x:c r="V101" s="90" t="str">
        <x:v>条件性</x:v>
      </x:c>
      <x:c r="W101" s="90" t="str">
        <x:v>药力分散、制化两立</x:v>
      </x:c>
      <x:c r="X101" s="68" t="str">
        <x:v>M08有效旺衰、M09日主旺衰、M10十神功能、M11组合、M12流通、M13调候、M15格局成败均已完成</x:v>
      </x:c>
      <x:c r="Y101" s="68" t="str">
        <x:v>病位、根因、功能障碍与药神作用路径均能够追溯</x:v>
      </x:c>
      <x:c r="Z101" s="68" t="str">
        <x:v>药神有根有源、透达，能够直接进入病位且兼顾多个主要问题</x:v>
      </x:c>
      <x:c r="AA101" s="68" t="str">
        <x:v>药神无根、受强制、被合绊、作用路径遥隔或同时被多个任务分流</x:v>
      </x:c>
      <x:c r="AB101" s="90" t="str">
        <x:v>若该失衡没有造成实际功能障碍，或特殊格局要求顺势，则不得按普通病药立论</x:v>
      </x:c>
      <x:c r="AC101" s="68" t="str">
        <x:v>特殊格局严格成立、岁运动态作用或流派争议转M18/M21及动态引擎</x:v>
      </x:c>
      <x:c r="AD101" s="84" t="str">
        <x:v>多药容量竞争</x:v>
      </x:c>
      <x:c r="AE101" s="84" t="str">
        <x:v>根本之病在“共享药效节点”：多个药神或药理同时争夺同一五行/十神的有限作用容量；表层表现为“每个药神理论有效，合用后实际效果低于预期”。主药候选为“确定主药，次药降级”，药理为“清杂”；最终喜忌与主次仍转M17/M18裁决。</x:v>
      </x:c>
      <x:c r="AF101" s="82" t="str">
        <x:v>较高</x:v>
      </x:c>
      <x:c r="AG101" s="82" t="str">
        <x:v>病药</x:v>
      </x:c>
      <x:c r="AH10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1" s="68" t="str">
        <x:v>当“M08—M15已经确认相应结构性失衡与实际功能障碍”真实成立，且药神能够直接作用病位时，可按“多药同时作用同一节点会发生容量竞争”记录。</x:v>
      </x:c>
      <x:c r="AJ101" s="90" t="str">
        <x:v>只有表面“每个药神理论有效，合用后实际效果低于预期”，但未证明根因“多个药神或药理同时争夺同一五行/十神的有限作用容量”及药神作用路径时，不得套用“多药同时作用同一节点会发生容量竞争”。</x:v>
      </x:c>
      <x:c r="AK101" s="82" t="str">
        <x:v>采用</x:v>
      </x:c>
      <x:c r="AL101" s="82" t="str">
        <x:v>初审</x:v>
      </x:c>
      <x:c r="AM101" s="87" t="n">
        <x:v>46260</x:v>
      </x:c>
    </x:row>
    <x:row r="102">
      <x:c r="A102" s="72" t="str">
        <x:f>IF(OR(C102="",D102=""),"",B102&amp;"-"&amp;UPPER(C102)&amp;"-"&amp;TEXT(D102,"0000")&amp;"-"&amp;E102)</x:f>
        <x:v>M16-DOSE-0096-V1.0</x:v>
      </x:c>
      <x:c r="B102" s="74" t="str">
        <x:v>M16</x:v>
      </x:c>
      <x:c r="C102" s="74" t="str">
        <x:v>DOSE</x:v>
      </x:c>
      <x:c r="D102" s="215" t="n">
        <x:v>96</x:v>
      </x:c>
      <x:c r="E102" s="74" t="str">
        <x:v>V1.0</x:v>
      </x:c>
      <x:c r="F102" s="68" t="str">
        <x:v>药神依赖单一共享桥梁时需评估桥梁过载</x:v>
      </x:c>
      <x:c r="G102" s="82" t="str">
        <x:v>综合层</x:v>
      </x:c>
      <x:c r="H102" s="82" t="str">
        <x:v>复合病</x:v>
      </x:c>
      <x:c r="I102" s="68" t="str">
        <x:v>药神共享桥梁</x:v>
      </x:c>
      <x:c r="J102" s="68" t="str">
        <x:v>药效瓶颈</x:v>
      </x:c>
      <x:c r="K102" s="68" t="str">
        <x:v>主药与辅助药都需经过同一中等或偏弱桥梁</x:v>
      </x:c>
      <x:c r="L102" s="68" t="str">
        <x:v>药物组合完整但实际传递不足</x:v>
      </x:c>
      <x:c r="M102" s="82" t="str">
        <x:v>一般</x:v>
      </x:c>
      <x:c r="N102" s="68" t="str">
        <x:v>优先增强桥梁或简化药路</x:v>
      </x:c>
      <x:c r="O102" s="68" t="str">
        <x:v>替代桥梁</x:v>
      </x:c>
      <x:c r="P102" s="82" t="str">
        <x:v>通</x:v>
      </x:c>
      <x:c r="Q102" s="68" t="str">
        <x:v>M08—M15已经确认相应结构性失衡与实际功能障碍</x:v>
      </x:c>
      <x:c r="R102" s="90" t="str">
        <x:v>不得只凭五行数量、十神名称或单一旺衰标签直接立病用药</x:v>
      </x:c>
      <x:c r="S102" s="90" t="str">
        <x:v>主要病位未被修复，原有失衡继续运行</x:v>
      </x:c>
      <x:c r="T102" s="90" t="str">
        <x:v>药神反向过度，可能跨越平衡并形成新的结构性失衡</x:v>
      </x:c>
      <x:c r="U102" s="82" t="str">
        <x:v>条件性</x:v>
      </x:c>
      <x:c r="V102" s="90" t="str">
        <x:v>条件性</x:v>
      </x:c>
      <x:c r="W102" s="90" t="str">
        <x:v>桥梁过载或药效不足</x:v>
      </x:c>
      <x:c r="X102" s="68" t="str">
        <x:v>M08有效旺衰、M09日主旺衰、M10十神功能、M11组合、M12流通、M13调候、M15格局成败均已完成</x:v>
      </x:c>
      <x:c r="Y102" s="68" t="str">
        <x:v>病位、根因、功能障碍与药神作用路径均能够追溯</x:v>
      </x:c>
      <x:c r="Z102" s="68" t="str">
        <x:v>药神有根有源、透达，能够直接进入病位且兼顾多个主要问题</x:v>
      </x:c>
      <x:c r="AA102" s="68" t="str">
        <x:v>药神无根、受强制、被合绊、作用路径遥隔或同时被多个任务分流</x:v>
      </x:c>
      <x:c r="AB102" s="90" t="str">
        <x:v>若该失衡没有造成实际功能障碍，或特殊格局要求顺势，则不得按普通病药立论</x:v>
      </x:c>
      <x:c r="AC102" s="68" t="str">
        <x:v>特殊格局严格成立、岁运动态作用或流派争议转M18/M21及动态引擎</x:v>
      </x:c>
      <x:c r="AD102" s="84" t="str">
        <x:v>药路桥梁过载</x:v>
      </x:c>
      <x:c r="AE102" s="84" t="str">
        <x:v>根本之病在“药神共享桥梁”：主药与辅助药都需经过同一中等或偏弱桥梁；表层表现为“药物组合完整但实际传递不足”。主药候选为“优先增强桥梁或简化药路”，药理为“通”；最终喜忌与主次仍转M17/M18裁决。</x:v>
      </x:c>
      <x:c r="AF102" s="82" t="str">
        <x:v>较高</x:v>
      </x:c>
      <x:c r="AG102" s="82" t="str">
        <x:v>病药</x:v>
      </x:c>
      <x:c r="AH10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2" s="68" t="str">
        <x:v>当“M08—M15已经确认相应结构性失衡与实际功能障碍”真实成立，且药神能够直接作用病位时，可按“药神依赖单一共享桥梁时需评估桥梁过载”记录。</x:v>
      </x:c>
      <x:c r="AJ102" s="90" t="str">
        <x:v>只有表面“药物组合完整但实际传递不足”，但未证明根因“主药与辅助药都需经过同一中等或偏弱桥梁”及药神作用路径时，不得套用“药神依赖单一共享桥梁时需评估桥梁过载”。</x:v>
      </x:c>
      <x:c r="AK102" s="82" t="str">
        <x:v>采用</x:v>
      </x:c>
      <x:c r="AL102" s="82" t="str">
        <x:v>初审</x:v>
      </x:c>
      <x:c r="AM102" s="87" t="n">
        <x:v>46260</x:v>
      </x:c>
    </x:row>
    <x:row r="103">
      <x:c r="A103" s="72" t="str">
        <x:f>IF(OR(C103="",D103=""),"",B103&amp;"-"&amp;UPPER(C103)&amp;"-"&amp;TEXT(D103,"0000")&amp;"-"&amp;E103)</x:f>
        <x:v>M16-RANK-0097-V1.0</x:v>
      </x:c>
      <x:c r="B103" s="74" t="str">
        <x:v>M16</x:v>
      </x:c>
      <x:c r="C103" s="74" t="str">
        <x:v>RANK</x:v>
      </x:c>
      <x:c r="D103" s="215" t="n">
        <x:v>97</x:v>
      </x:c>
      <x:c r="E103" s="74" t="str">
        <x:v>V1.0</x:v>
      </x:c>
      <x:c r="F103" s="68" t="str">
        <x:v>共同根因能够解释多个模块问题时列根本病</x:v>
      </x:c>
      <x:c r="G103" s="82" t="str">
        <x:v>综合层</x:v>
      </x:c>
      <x:c r="H103" s="82" t="str">
        <x:v>复合病</x:v>
      </x:c>
      <x:c r="I103" s="68" t="str">
        <x:v>跨模块共同根因</x:v>
      </x:c>
      <x:c r="J103" s="68" t="str">
        <x:v>根因汇聚</x:v>
      </x:c>
      <x:c r="K103" s="68" t="str">
        <x:v>同一失衡同时导致旺衰、流通、制化、格局或调候中的多个问题</x:v>
      </x:c>
      <x:c r="L103" s="68" t="str">
        <x:v>多个表层病并存</x:v>
      </x:c>
      <x:c r="M103" s="82" t="str">
        <x:v>首要矛盾</x:v>
      </x:c>
      <x:c r="N103" s="68" t="str">
        <x:v>直接修复共同根因者</x:v>
      </x:c>
      <x:c r="O103" s="68" t="str">
        <x:v>处理剩余次级病者</x:v>
      </x:c>
      <x:c r="P103" s="82" t="str">
        <x:v>复合药理</x:v>
      </x:c>
      <x:c r="Q103" s="68" t="str">
        <x:v>M08—M15已经确认相应结构性失衡与实际功能障碍</x:v>
      </x:c>
      <x:c r="R103" s="90" t="str">
        <x:v>不得只凭五行数量、十神名称或单一旺衰标签直接立病用药</x:v>
      </x:c>
      <x:c r="S103" s="90" t="str">
        <x:v>主要病位未被修复，原有失衡继续运行</x:v>
      </x:c>
      <x:c r="T103" s="90" t="str">
        <x:v>药神反向过度，可能跨越平衡并形成新的结构性失衡</x:v>
      </x:c>
      <x:c r="U103" s="82" t="str">
        <x:v>条件性</x:v>
      </x:c>
      <x:c r="V103" s="90" t="str">
        <x:v>条件性</x:v>
      </x:c>
      <x:c r="W103" s="90" t="str">
        <x:v>待定</x:v>
      </x:c>
      <x:c r="X103" s="68" t="str">
        <x:v>M08有效旺衰、M09日主旺衰、M10十神功能、M11组合、M12流通、M13调候、M15格局成败均已完成</x:v>
      </x:c>
      <x:c r="Y103" s="68" t="str">
        <x:v>病位、根因、功能障碍与药神作用路径均能够追溯</x:v>
      </x:c>
      <x:c r="Z103" s="68" t="str">
        <x:v>药神有根有源、透达，能够直接进入病位且兼顾多个主要问题</x:v>
      </x:c>
      <x:c r="AA103" s="68" t="str">
        <x:v>药神无根、受强制、被合绊、作用路径遥隔或同时被多个任务分流</x:v>
      </x:c>
      <x:c r="AB103" s="90" t="str">
        <x:v>若该失衡没有造成实际功能障碍，或特殊格局要求顺势，则不得按普通病药立论</x:v>
      </x:c>
      <x:c r="AC103" s="68" t="str">
        <x:v>特殊格局严格成立、岁运动态作用或流派争议转M18/M21及动态引擎</x:v>
      </x:c>
      <x:c r="AD103" s="84" t="str">
        <x:v>共同根因优先</x:v>
      </x:c>
      <x:c r="AE103" s="84" t="str">
        <x:v>根本之病在“跨模块共同根因”：同一失衡同时导致旺衰、流通、制化、格局或调候中的多个问题；表层表现为“多个表层病并存”。主药候选为“直接修复共同根因者”，药理为“复合药理”；最终喜忌与主次仍转M17/M18裁决。</x:v>
      </x:c>
      <x:c r="AF103" s="82" t="str">
        <x:v>较高</x:v>
      </x:c>
      <x:c r="AG103" s="82" t="str">
        <x:v>病药</x:v>
      </x:c>
      <x:c r="AH10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3" s="68" t="str">
        <x:v>当“M08—M15已经确认相应结构性失衡与实际功能障碍”真实成立，且药神能够直接作用病位时，可按“共同根因能够解释多个模块问题时列根本病”记录。</x:v>
      </x:c>
      <x:c r="AJ103" s="90" t="str">
        <x:v>只有表面“多个表层病并存”，但未证明根因“同一失衡同时导致旺衰、流通、制化、格局或调候中的多个问题”及药神作用路径时，不得套用“共同根因能够解释多个模块问题时列根本病”。</x:v>
      </x:c>
      <x:c r="AK103" s="82" t="str">
        <x:v>采用</x:v>
      </x:c>
      <x:c r="AL103" s="82" t="str">
        <x:v>初审</x:v>
      </x:c>
      <x:c r="AM103" s="87" t="n">
        <x:v>46260</x:v>
      </x:c>
    </x:row>
    <x:row r="104">
      <x:c r="A104" s="72" t="str">
        <x:f>IF(OR(C104="",D104=""),"",B104&amp;"-"&amp;UPPER(C104)&amp;"-"&amp;TEXT(D104,"0000")&amp;"-"&amp;E104)</x:f>
        <x:v>M16-RANK-0098-V1.0</x:v>
      </x:c>
      <x:c r="B104" s="74" t="str">
        <x:v>M16</x:v>
      </x:c>
      <x:c r="C104" s="74" t="str">
        <x:v>RANK</x:v>
      </x:c>
      <x:c r="D104" s="215" t="n">
        <x:v>98</x:v>
      </x:c>
      <x:c r="E104" s="74" t="str">
        <x:v>V1.0</x:v>
      </x:c>
      <x:c r="F104" s="68" t="str">
        <x:v>严重度高且影响核心路径者优先于轻微偏差</x:v>
      </x:c>
      <x:c r="G104" s="82" t="str">
        <x:v>综合层</x:v>
      </x:c>
      <x:c r="H104" s="82" t="str">
        <x:v>复合病</x:v>
      </x:c>
      <x:c r="I104" s="68" t="str">
        <x:v>主卡点/核心格神/日主承载</x:v>
      </x:c>
      <x:c r="J104" s="68" t="str">
        <x:v>严重度排序</x:v>
      </x:c>
      <x:c r="K104" s="68" t="str">
        <x:v>多个病位严重程度不同</x:v>
      </x:c>
      <x:c r="L104" s="68" t="str">
        <x:v>轻微旺衰偏差与严重格局/流通破坏并存</x:v>
      </x:c>
      <x:c r="M104" s="82" t="str">
        <x:v>首要矛盾</x:v>
      </x:c>
      <x:c r="N104" s="68" t="str">
        <x:v>优先治疗严重核心病位</x:v>
      </x:c>
      <x:c r="O104" s="68" t="str">
        <x:v>次级病药</x:v>
      </x:c>
      <x:c r="P104" s="82" t="str">
        <x:v>复合药理</x:v>
      </x:c>
      <x:c r="Q104" s="68" t="str">
        <x:v>M08—M15已经确认相应结构性失衡与实际功能障碍</x:v>
      </x:c>
      <x:c r="R104" s="90" t="str">
        <x:v>不得只凭五行数量、十神名称或单一旺衰标签直接立病用药</x:v>
      </x:c>
      <x:c r="S104" s="90" t="str">
        <x:v>主要病位未被修复，原有失衡继续运行</x:v>
      </x:c>
      <x:c r="T104" s="90" t="str">
        <x:v>药神反向过度，可能跨越平衡并形成新的结构性失衡</x:v>
      </x:c>
      <x:c r="U104" s="82" t="str">
        <x:v>条件性</x:v>
      </x:c>
      <x:c r="V104" s="90" t="str">
        <x:v>条件性</x:v>
      </x:c>
      <x:c r="W104" s="90" t="str">
        <x:v>待定</x:v>
      </x:c>
      <x:c r="X104" s="68" t="str">
        <x:v>M08有效旺衰、M09日主旺衰、M10十神功能、M11组合、M12流通、M13调候、M15格局成败均已完成</x:v>
      </x:c>
      <x:c r="Y104" s="68" t="str">
        <x:v>病位、根因、功能障碍与药神作用路径均能够追溯</x:v>
      </x:c>
      <x:c r="Z104" s="68" t="str">
        <x:v>药神有根有源、透达，能够直接进入病位且兼顾多个主要问题</x:v>
      </x:c>
      <x:c r="AA104" s="68" t="str">
        <x:v>药神无根、受强制、被合绊、作用路径遥隔或同时被多个任务分流</x:v>
      </x:c>
      <x:c r="AB104" s="90" t="str">
        <x:v>若该失衡没有造成实际功能障碍，或特殊格局要求顺势，则不得按普通病药立论</x:v>
      </x:c>
      <x:c r="AC104" s="68" t="str">
        <x:v>特殊格局严格成立、岁运动态作用或流派争议转M18/M21及动态引擎</x:v>
      </x:c>
      <x:c r="AD104" s="84" t="str">
        <x:v>严重核心病优先</x:v>
      </x:c>
      <x:c r="AE104" s="84" t="str">
        <x:v>根本之病在“主卡点/核心格神/日主承载”：多个病位严重程度不同；表层表现为“轻微旺衰偏差与严重格局/流通破坏并存”。主药候选为“优先治疗严重核心病位”，药理为“复合药理”；最终喜忌与主次仍转M17/M18裁决。</x:v>
      </x:c>
      <x:c r="AF104" s="82" t="str">
        <x:v>较高</x:v>
      </x:c>
      <x:c r="AG104" s="82" t="str">
        <x:v>病药</x:v>
      </x:c>
      <x:c r="AH10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4" s="68" t="str">
        <x:v>当“M08—M15已经确认相应结构性失衡与实际功能障碍”真实成立，且药神能够直接作用病位时，可按“严重度高且影响核心路径者优先于轻微偏差”记录。</x:v>
      </x:c>
      <x:c r="AJ104" s="90" t="str">
        <x:v>只有表面“轻微旺衰偏差与严重格局/流通破坏并存”，但未证明根因“多个病位严重程度不同”及药神作用路径时，不得套用“严重度高且影响核心路径者优先于轻微偏差”。</x:v>
      </x:c>
      <x:c r="AK104" s="82" t="str">
        <x:v>采用</x:v>
      </x:c>
      <x:c r="AL104" s="82" t="str">
        <x:v>初审</x:v>
      </x:c>
      <x:c r="AM104" s="87" t="n">
        <x:v>46260</x:v>
      </x:c>
    </x:row>
    <x:row r="105">
      <x:c r="A105" s="72" t="str">
        <x:f>IF(OR(C105="",D105=""),"",B105&amp;"-"&amp;UPPER(C105)&amp;"-"&amp;TEXT(D105,"0000")&amp;"-"&amp;E105)</x:f>
        <x:v>M16-RANK-0099-V1.0</x:v>
      </x:c>
      <x:c r="B105" s="74" t="str">
        <x:v>M16</x:v>
      </x:c>
      <x:c r="C105" s="74" t="str">
        <x:v>RANK</x:v>
      </x:c>
      <x:c r="D105" s="215" t="n">
        <x:v>99</x:v>
      </x:c>
      <x:c r="E105" s="74" t="str">
        <x:v>V1.0</x:v>
      </x:c>
      <x:c r="F105" s="68" t="str">
        <x:v>特殊格局硬约束优先于普通扶抑病药</x:v>
      </x:c>
      <x:c r="G105" s="82" t="str">
        <x:v>综合层</x:v>
      </x:c>
      <x:c r="H105" s="82" t="str">
        <x:v>格局病</x:v>
      </x:c>
      <x:c r="I105" s="68" t="str">
        <x:v>特殊格局主势</x:v>
      </x:c>
      <x:c r="J105" s="68" t="str">
        <x:v>硬约束排序</x:v>
      </x:c>
      <x:c r="K105" s="68" t="str">
        <x:v>从格、化气、专旺严格成立时普通扶抑药可能破格</x:v>
      </x:c>
      <x:c r="L105" s="68" t="str">
        <x:v>普通旺衰与特殊格局方向冲突</x:v>
      </x:c>
      <x:c r="M105" s="82" t="str">
        <x:v>首要矛盾</x:v>
      </x:c>
      <x:c r="N105" s="68" t="str">
        <x:v>护持特殊格局者</x:v>
      </x:c>
      <x:c r="O105" s="68" t="str">
        <x:v>不破格的调候/流通药</x:v>
      </x:c>
      <x:c r="P105" s="82" t="str">
        <x:v>护格</x:v>
      </x:c>
      <x:c r="Q105" s="68" t="str">
        <x:v>M15特殊格局严格成立</x:v>
      </x:c>
      <x:c r="R105" s="90" t="str">
        <x:v>不得只凭五行数量、十神名称或单一旺衰标签直接立病用药</x:v>
      </x:c>
      <x:c r="S105" s="90" t="str">
        <x:v>主要病位未被修复，原有失衡继续运行</x:v>
      </x:c>
      <x:c r="T105" s="90" t="str">
        <x:v>药神反向过度，可能跨越平衡并形成新的结构性失衡</x:v>
      </x:c>
      <x:c r="U105" s="82" t="str">
        <x:v>条件性</x:v>
      </x:c>
      <x:c r="V105" s="90" t="str">
        <x:v>条件性</x:v>
      </x:c>
      <x:c r="W105" s="90" t="str">
        <x:v>待定</x:v>
      </x:c>
      <x:c r="X105" s="68" t="str">
        <x:v>M08有效旺衰、M09日主旺衰、M10十神功能、M11组合、M12流通、M13调候、M15格局成败均已完成</x:v>
      </x:c>
      <x:c r="Y105" s="68" t="str">
        <x:v>病位、根因、功能障碍与药神作用路径均能够追溯</x:v>
      </x:c>
      <x:c r="Z105" s="68" t="str">
        <x:v>药神有根有源、透达，能够直接进入病位且兼顾多个主要问题</x:v>
      </x:c>
      <x:c r="AA105" s="68" t="str">
        <x:v>药神无根、受强制、被合绊、作用路径遥隔或同时被多个任务分流</x:v>
      </x:c>
      <x:c r="AB105" s="90" t="str">
        <x:v>若该失衡没有造成实际功能障碍，或特殊格局要求顺势，则不得按普通病药立论</x:v>
      </x:c>
      <x:c r="AC105" s="68" t="str">
        <x:v>特殊格局严格成立、岁运动态作用或流派争议转M18/M21及动态引擎</x:v>
      </x:c>
      <x:c r="AD105" s="84" t="str">
        <x:v>特殊格局病药优先</x:v>
      </x:c>
      <x:c r="AE105" s="84" t="str">
        <x:v>根本之病在“特殊格局主势”：从格、化气、专旺严格成立时普通扶抑药可能破格；表层表现为“普通旺衰与特殊格局方向冲突”。主药候选为“护持特殊格局者”，药理为“护格”；最终喜忌与主次仍转M17/M18裁决。</x:v>
      </x:c>
      <x:c r="AF105" s="82" t="str">
        <x:v>较高</x:v>
      </x:c>
      <x:c r="AG105" s="82" t="str">
        <x:v>病药</x:v>
      </x:c>
      <x:c r="AH10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5" s="68" t="str">
        <x:v>当“M15特殊格局严格成立”真实成立，且药神能够直接作用病位时，可按“特殊格局硬约束优先于普通扶抑病药”记录。</x:v>
      </x:c>
      <x:c r="AJ105" s="90" t="str">
        <x:v>只有表面“普通旺衰与特殊格局方向冲突”，但未证明根因“从格、化气、专旺严格成立时普通扶抑药可能破格”及药神作用路径时，不得套用“特殊格局硬约束优先于普通扶抑病药”。</x:v>
      </x:c>
      <x:c r="AK105" s="82" t="str">
        <x:v>采用</x:v>
      </x:c>
      <x:c r="AL105" s="82" t="str">
        <x:v>初审</x:v>
      </x:c>
      <x:c r="AM105" s="87" t="n">
        <x:v>46260</x:v>
      </x:c>
    </x:row>
    <x:row r="106">
      <x:c r="A106" s="214" t="str">
        <x:f>IF(OR(C106="",D106=""),"",B106&amp;"-"&amp;UPPER(C106)&amp;"-"&amp;TEXT(D106,"0000")&amp;"-"&amp;E106)</x:f>
        <x:v>M16-RANK-0100-V1.0</x:v>
      </x:c>
      <x:c r="B106" s="214" t="str">
        <x:v>M16</x:v>
      </x:c>
      <x:c r="C106" s="214" t="str">
        <x:v>RANK</x:v>
      </x:c>
      <x:c r="D106" s="216" t="n">
        <x:v>100</x:v>
      </x:c>
      <x:c r="E106" s="214" t="str">
        <x:v>V1.0</x:v>
      </x:c>
      <x:c r="F106" s="214" t="str">
        <x:v>表层病若由根本病自动引发应降为次级病</x:v>
      </x:c>
      <x:c r="G106" s="214" t="str">
        <x:v>综合层</x:v>
      </x:c>
      <x:c r="H106" s="214" t="str">
        <x:v>复合病</x:v>
      </x:c>
      <x:c r="I106" s="214" t="str">
        <x:v>根因下游表象</x:v>
      </x:c>
      <x:c r="J106" s="214" t="str">
        <x:v>病位降级</x:v>
      </x:c>
      <x:c r="K106" s="214" t="str">
        <x:v>表层问题会在根因修复后自然缓解</x:v>
      </x:c>
      <x:c r="L106" s="214" t="str">
        <x:v>例如终点弱源于桥梁断、官杀压力源于印被财坏</x:v>
      </x:c>
      <x:c r="M106" s="214" t="str">
        <x:v>一般</x:v>
      </x:c>
      <x:c r="N106" s="214" t="str">
        <x:v>根本病主药</x:v>
      </x:c>
      <x:c r="O106" s="214" t="str">
        <x:v>必要时处理残余表象</x:v>
      </x:c>
      <x:c r="P106" s="214" t="str">
        <x:v>复合药理</x:v>
      </x:c>
      <x:c r="Q106" s="214" t="str">
        <x:v>M08—M15已经确认相应结构性失衡与实际功能障碍</x:v>
      </x:c>
      <x:c r="R106" s="214" t="str">
        <x:v>不得只凭五行数量、十神名称或单一旺衰标签直接立病用药</x:v>
      </x:c>
      <x:c r="S106" s="214" t="str">
        <x:v>主要病位未被修复，原有失衡继续运行</x:v>
      </x:c>
      <x:c r="T106" s="214" t="str">
        <x:v>药神反向过度，可能跨越平衡并形成新的结构性失衡</x:v>
      </x:c>
      <x:c r="U106" s="214" t="str">
        <x:v>条件性</x:v>
      </x:c>
      <x:c r="V106" s="214" t="str">
        <x:v>条件性</x:v>
      </x:c>
      <x:c r="W106" s="214" t="str">
        <x:v>待定</x:v>
      </x:c>
      <x:c r="X106" s="214" t="str">
        <x:v>M08有效旺衰、M09日主旺衰、M10十神功能、M11组合、M12流通、M13调候、M15格局成败均已完成</x:v>
      </x:c>
      <x:c r="Y106" s="214" t="str">
        <x:v>病位、根因、功能障碍与药神作用路径均能够追溯</x:v>
      </x:c>
      <x:c r="Z106" s="214" t="str">
        <x:v>药神有根有源、透达，能够直接进入病位且兼顾多个主要问题</x:v>
      </x:c>
      <x:c r="AA106" s="214" t="str">
        <x:v>药神无根、受强制、被合绊、作用路径遥隔或同时被多个任务分流</x:v>
      </x:c>
      <x:c r="AB106" s="214" t="str">
        <x:v>若该失衡没有造成实际功能障碍，或特殊格局要求顺势，则不得按普通病药立论</x:v>
      </x:c>
      <x:c r="AC106" s="214" t="str">
        <x:v>特殊格局严格成立、岁运动态作用或流派争议转M18/M21及动态引擎</x:v>
      </x:c>
      <x:c r="AD106" s="214" t="str">
        <x:v>表层病降级</x:v>
      </x:c>
      <x:c r="AE106" s="214" t="str">
        <x:v>根本之病在“根因下游表象”：表层问题会在根因修复后自然缓解；表层表现为“例如终点弱源于桥梁断、官杀压力源于印被财坏”。主药候选为“根本病主药”，药理为“复合药理”；最终喜忌与主次仍转M17/M18裁决。</x:v>
      </x:c>
      <x:c r="AF106" s="214" t="str">
        <x:v>较高</x:v>
      </x:c>
      <x:c r="AG106" s="214" t="str">
        <x:v>病药</x:v>
      </x:c>
      <x:c r="AH106"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6" s="214" t="str">
        <x:v>当“M08—M15已经确认相应结构性失衡与实际功能障碍”真实成立，且药神能够直接作用病位时，可按“表层病若由根本病自动引发应降为次级病”记录。</x:v>
      </x:c>
      <x:c r="AJ106" s="214" t="str">
        <x:v>只有表面“例如终点弱源于桥梁断、官杀压力源于印被财坏”，但未证明根因“表层问题会在根因修复后自然缓解”及药神作用路径时，不得套用“表层病若由根本病自动引发应降为次级病”。</x:v>
      </x:c>
      <x:c r="AK106" s="214" t="str">
        <x:v>采用</x:v>
      </x:c>
      <x:c r="AL106" s="214" t="str">
        <x:v>初审</x:v>
      </x:c>
      <x:c r="AM106" s="217" t="n">
        <x:v>46260</x:v>
      </x:c>
    </x:row>
    <x:row r="107">
      <x:c r="A107" s="214" t="str">
        <x:f>IF(OR(C107="",D107=""),"",B107&amp;"-"&amp;UPPER(C107)&amp;"-"&amp;TEXT(D107,"0000")&amp;"-"&amp;E107)</x:f>
        <x:v>M16-RANK-0101-V1.0</x:v>
      </x:c>
      <x:c r="B107" s="214" t="str">
        <x:v>M16</x:v>
      </x:c>
      <x:c r="C107" s="214" t="str">
        <x:v>RANK</x:v>
      </x:c>
      <x:c r="D107" s="216" t="n">
        <x:v>101</x:v>
      </x:c>
      <x:c r="E107" s="214" t="str">
        <x:v>V1.0</x:v>
      </x:c>
      <x:c r="F107" s="214" t="str">
        <x:v>同一原局原则上输出一个主病和一至三个次病</x:v>
      </x:c>
      <x:c r="G107" s="214" t="str">
        <x:v>综合层</x:v>
      </x:c>
      <x:c r="H107" s="214" t="str">
        <x:v>复合病</x:v>
      </x:c>
      <x:c r="I107" s="214" t="str">
        <x:v>综合病位列表</x:v>
      </x:c>
      <x:c r="J107" s="214" t="str">
        <x:v>输出治理</x:v>
      </x:c>
      <x:c r="K107" s="214" t="str">
        <x:v>病位过多时需要避免无主次罗列</x:v>
      </x:c>
      <x:c r="L107" s="214" t="str">
        <x:v>多个病类同时成立</x:v>
      </x:c>
      <x:c r="M107" s="214" t="str">
        <x:v>待定</x:v>
      </x:c>
      <x:c r="N107" s="214" t="str">
        <x:v>主病对应主药</x:v>
      </x:c>
      <x:c r="O107" s="214" t="str">
        <x:v>次病对应辅助药</x:v>
      </x:c>
      <x:c r="P107" s="214" t="str">
        <x:v>复合药理</x:v>
      </x:c>
      <x:c r="Q107" s="214" t="str">
        <x:v>完成全部病位比较</x:v>
      </x:c>
      <x:c r="R107" s="214" t="str">
        <x:v>不得只凭五行数量、十神名称或单一旺衰标签直接立病用药</x:v>
      </x:c>
      <x:c r="S107" s="214" t="str">
        <x:v>主要病位未被修复，原有失衡继续运行</x:v>
      </x:c>
      <x:c r="T107" s="214" t="str">
        <x:v>药神反向过度，可能跨越平衡并形成新的结构性失衡</x:v>
      </x:c>
      <x:c r="U107" s="214" t="str">
        <x:v>条件性</x:v>
      </x:c>
      <x:c r="V107" s="214" t="str">
        <x:v>条件性</x:v>
      </x:c>
      <x:c r="W107" s="214" t="str">
        <x:v>待定</x:v>
      </x:c>
      <x:c r="X107" s="214" t="str">
        <x:v>M08有效旺衰、M09日主旺衰、M10十神功能、M11组合、M12流通、M13调候、M15格局成败均已完成</x:v>
      </x:c>
      <x:c r="Y107" s="214" t="str">
        <x:v>病位、根因、功能障碍与药神作用路径均能够追溯</x:v>
      </x:c>
      <x:c r="Z107" s="214" t="str">
        <x:v>药神有根有源、透达，能够直接进入病位且兼顾多个主要问题</x:v>
      </x:c>
      <x:c r="AA107" s="214" t="str">
        <x:v>药神无根、受强制、被合绊、作用路径遥隔或同时被多个任务分流</x:v>
      </x:c>
      <x:c r="AB107" s="214" t="str">
        <x:v>若该失衡没有造成实际功能障碍，或特殊格局要求顺势，则不得按普通病药立论</x:v>
      </x:c>
      <x:c r="AC107" s="214" t="str">
        <x:v>特殊格局严格成立、岁运动态作用或流派争议转M18/M21及动态引擎</x:v>
      </x:c>
      <x:c r="AD107" s="214" t="str">
        <x:v>病位主次输出</x:v>
      </x:c>
      <x:c r="AE107" s="214" t="str">
        <x:v>M16原则上输出1个根本主病、1—3个次级病；每个病位说明与主病关系，避免把所有旺弱、刑冲和缺失都列为病。</x:v>
      </x:c>
      <x:c r="AF107" s="214" t="str">
        <x:v>较高</x:v>
      </x:c>
      <x:c r="AG107" s="214" t="str">
        <x:v>病药</x:v>
      </x:c>
      <x:c r="AH107"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7" s="214" t="str">
        <x:v>当“完成全部病位比较”真实成立，且药神能够直接作用病位时，可按“同一原局原则上输出一个主病和一至三个次病”记录。</x:v>
      </x:c>
      <x:c r="AJ107" s="214" t="str">
        <x:v>只有表面“多个病类同时成立”，但未证明根因“病位过多时需要避免无主次罗列”及药神作用路径时，不得套用“同一原局原则上输出一个主病和一至三个次病”。</x:v>
      </x:c>
      <x:c r="AK107" s="214" t="str">
        <x:v>采用</x:v>
      </x:c>
      <x:c r="AL107" s="214" t="str">
        <x:v>初审</x:v>
      </x:c>
      <x:c r="AM107" s="217" t="n">
        <x:v>46260</x:v>
      </x:c>
    </x:row>
    <x:row r="108">
      <x:c r="A108" s="214" t="str">
        <x:f>IF(OR(C108="",D108=""),"",B108&amp;"-"&amp;UPPER(C108)&amp;"-"&amp;TEXT(D108,"0000")&amp;"-"&amp;E108)</x:f>
        <x:v>M16-RANK-0102-V1.0</x:v>
      </x:c>
      <x:c r="B108" s="214" t="str">
        <x:v>M16</x:v>
      </x:c>
      <x:c r="C108" s="214" t="str">
        <x:v>RANK</x:v>
      </x:c>
      <x:c r="D108" s="216" t="n">
        <x:v>102</x:v>
      </x:c>
      <x:c r="E108" s="214" t="str">
        <x:v>V1.0</x:v>
      </x:c>
      <x:c r="F108" s="214" t="str">
        <x:v>证据冲突大时降低置信度而不强行唯一化</x:v>
      </x:c>
      <x:c r="G108" s="214" t="str">
        <x:v>综合层</x:v>
      </x:c>
      <x:c r="H108" s="214" t="str">
        <x:v>复合病</x:v>
      </x:c>
      <x:c r="I108" s="214" t="str">
        <x:v>争议病位</x:v>
      </x:c>
      <x:c r="J108" s="214" t="str">
        <x:v>不确定性治理</x:v>
      </x:c>
      <x:c r="K108" s="214" t="str">
        <x:v>两个根因解释力接近，或药神收益与副作用相当</x:v>
      </x:c>
      <x:c r="L108" s="214" t="str">
        <x:v>主病/主药候选难以唯一确定</x:v>
      </x:c>
      <x:c r="M108" s="214" t="str">
        <x:v>待定</x:v>
      </x:c>
      <x:c r="N108" s="214" t="str">
        <x:v>并列条件性候选</x:v>
      </x:c>
      <x:c r="O108" s="214" t="str">
        <x:v>待案例回归</x:v>
      </x:c>
      <x:c r="P108" s="214" t="str">
        <x:v>复合药理</x:v>
      </x:c>
      <x:c r="Q108" s="214" t="str">
        <x:v>M08—M15已经确认相应结构性失衡与实际功能障碍</x:v>
      </x:c>
      <x:c r="R108" s="214" t="str">
        <x:v>不得只凭五行数量、十神名称或单一旺衰标签直接立病用药</x:v>
      </x:c>
      <x:c r="S108" s="214" t="str">
        <x:v>主要病位未被修复，原有失衡继续运行</x:v>
      </x:c>
      <x:c r="T108" s="214" t="str">
        <x:v>药神反向过度，可能跨越平衡并形成新的结构性失衡</x:v>
      </x:c>
      <x:c r="U108" s="214" t="str">
        <x:v>条件性</x:v>
      </x:c>
      <x:c r="V108" s="214" t="str">
        <x:v>条件性</x:v>
      </x:c>
      <x:c r="W108" s="214" t="str">
        <x:v>待定</x:v>
      </x:c>
      <x:c r="X108" s="214" t="str">
        <x:v>M08有效旺衰、M09日主旺衰、M10十神功能、M11组合、M12流通、M13调候、M15格局成败均已完成</x:v>
      </x:c>
      <x:c r="Y108" s="214" t="str">
        <x:v>病位、根因、功能障碍与药神作用路径均能够追溯</x:v>
      </x:c>
      <x:c r="Z108" s="214" t="str">
        <x:v>药神有根有源、透达，能够直接进入病位且兼顾多个主要问题</x:v>
      </x:c>
      <x:c r="AA108" s="214" t="str">
        <x:v>药神无根、受强制、被合绊、作用路径遥隔或同时被多个任务分流</x:v>
      </x:c>
      <x:c r="AB108" s="214" t="str">
        <x:v>若该失衡没有造成实际功能障碍，或特殊格局要求顺势，则不得按普通病药立论</x:v>
      </x:c>
      <x:c r="AC108" s="214" t="str">
        <x:v>特殊格局严格成立、岁运动态作用或流派争议转M18/M21及动态引擎</x:v>
      </x:c>
      <x:c r="AD108" s="214" t="str">
        <x:v>病药争议降置信</x:v>
      </x:c>
      <x:c r="AE108" s="214" t="str">
        <x:v>证据接近时保留主候选与替代候选、各自成立条件和反证，不凭感觉强行唯一化。</x:v>
      </x:c>
      <x:c r="AF108" s="214" t="str">
        <x:v>中等</x:v>
      </x:c>
      <x:c r="AG108" s="214" t="str">
        <x:v>病药</x:v>
      </x:c>
      <x:c r="AH108"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8" s="214" t="str">
        <x:v>当“M08—M15已经确认相应结构性失衡与实际功能障碍”真实成立，且药神能够直接作用病位时，可按“证据冲突大时降低置信度而不强行唯一化”记录。</x:v>
      </x:c>
      <x:c r="AJ108" s="214" t="str">
        <x:v>只有表面“主病/主药候选难以唯一确定”，但未证明根因“两个根因解释力接近，或药神收益与副作用相当”及药神作用路径时，不得套用“证据冲突大时降低置信度而不强行唯一化”。</x:v>
      </x:c>
      <x:c r="AK108" s="214" t="str">
        <x:v>待验证</x:v>
      </x:c>
      <x:c r="AL108" s="214" t="str">
        <x:v>初审</x:v>
      </x:c>
      <x:c r="AM108" s="217" t="n">
        <x:v>46260</x:v>
      </x:c>
    </x:row>
    <x:row r="109">
      <x:c r="A109" s="214" t="str">
        <x:f>IF(OR(C109="",D109=""),"",B109&amp;"-"&amp;UPPER(C109)&amp;"-"&amp;TEXT(D109,"0000")&amp;"-"&amp;E109)</x:f>
        <x:v>M16-COMPOSITE-0103-V1.0</x:v>
      </x:c>
      <x:c r="B109" s="214" t="str">
        <x:v>M16</x:v>
      </x:c>
      <x:c r="C109" s="214" t="str">
        <x:v>COMPOSITE</x:v>
      </x:c>
      <x:c r="D109" s="216" t="n">
        <x:v>103</x:v>
      </x:c>
      <x:c r="E109" s="214" t="str">
        <x:v>V1.0</x:v>
      </x:c>
      <x:c r="F109" s="214" t="str">
        <x:v>旺衰病与流通病同源时以流通根因优先</x:v>
      </x:c>
      <x:c r="G109" s="214" t="str">
        <x:v>综合层</x:v>
      </x:c>
      <x:c r="H109" s="214" t="str">
        <x:v>复合病</x:v>
      </x:c>
      <x:c r="I109" s="214" t="str">
        <x:v>旺强源头—失效桥梁</x:v>
      </x:c>
      <x:c r="J109" s="214" t="str">
        <x:v>旺衰流通复合</x:v>
      </x:c>
      <x:c r="K109" s="214" t="str">
        <x:v>某五行之所以过旺，是因下游桥梁失效而无泄</x:v>
      </x:c>
      <x:c r="L109" s="214" t="str">
        <x:v>五行旺、源头壅塞、终点弱</x:v>
      </x:c>
      <x:c r="M109" s="214" t="str">
        <x:v>首要矛盾</x:v>
      </x:c>
      <x:c r="N109" s="214" t="str">
        <x:v>修复泄出桥梁</x:v>
      </x:c>
      <x:c r="O109" s="214" t="str">
        <x:v>增强终点承载</x:v>
      </x:c>
      <x:c r="P109" s="214" t="str">
        <x:v>通</x:v>
      </x:c>
      <x:c r="Q109" s="214" t="str">
        <x:v>M08旺与M12源头无泄由同一链路解释</x:v>
      </x:c>
      <x:c r="R109" s="214" t="str">
        <x:v>不得先强行压低源头而忽略流通根因</x:v>
      </x:c>
      <x:c r="S109" s="214" t="str">
        <x:v>主要病位未被修复，原有失衡继续运行</x:v>
      </x:c>
      <x:c r="T109" s="214" t="str">
        <x:v>药神反向过度，可能跨越平衡并形成新的结构性失衡</x:v>
      </x:c>
      <x:c r="U109" s="214" t="str">
        <x:v>条件性</x:v>
      </x:c>
      <x:c r="V109" s="214" t="str">
        <x:v>条件性</x:v>
      </x:c>
      <x:c r="W109" s="214" t="str">
        <x:v>待定</x:v>
      </x:c>
      <x:c r="X109" s="214" t="str">
        <x:v>M08有效旺衰、M09日主旺衰、M10十神功能、M11组合、M12流通、M13调候、M15格局成败均已完成</x:v>
      </x:c>
      <x:c r="Y109" s="214" t="str">
        <x:v>病位、根因、功能障碍与药神作用路径均能够追溯</x:v>
      </x:c>
      <x:c r="Z109" s="214" t="str">
        <x:v>药神有根有源、透达，能够直接进入病位且兼顾多个主要问题</x:v>
      </x:c>
      <x:c r="AA109" s="214" t="str">
        <x:v>药神无根、受强制、被合绊、作用路径遥隔或同时被多个任务分流</x:v>
      </x:c>
      <x:c r="AB109" s="214" t="str">
        <x:v>若该失衡没有造成实际功能障碍，或特殊格局要求顺势，则不得按普通病药立论</x:v>
      </x:c>
      <x:c r="AC109" s="214" t="str">
        <x:v>特殊格局严格成立、岁运动态作用或流派争议转M18/M21及动态引擎</x:v>
      </x:c>
      <x:c r="AD109" s="214" t="str">
        <x:v>旺衰流通复合病</x:v>
      </x:c>
      <x:c r="AE109" s="214" t="str">
        <x:v>根本之病在“旺强源头—失效桥梁”：某五行之所以过旺，是因下游桥梁失效而无泄；表层表现为“五行旺、源头壅塞、终点弱”。主药候选为“修复泄出桥梁”，药理为“通”；最终喜忌与主次仍转M17/M18裁决。</x:v>
      </x:c>
      <x:c r="AF109" s="214" t="str">
        <x:v>较高</x:v>
      </x:c>
      <x:c r="AG109" s="214" t="str">
        <x:v>病药</x:v>
      </x:c>
      <x:c r="AH109"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9" s="214" t="str">
        <x:v>当“M08旺与M12源头无泄由同一链路解释”真实成立，且药神能够直接作用病位时，可按“旺衰病与流通病同源时以流通根因优先”记录。</x:v>
      </x:c>
      <x:c r="AJ109" s="214" t="str">
        <x:v>只有表面“五行旺、源头壅塞、终点弱”，但未证明根因“某五行之所以过旺，是因下游桥梁失效而无泄”及药神作用路径时，不得套用“旺衰病与流通病同源时以流通根因优先”。</x:v>
      </x:c>
      <x:c r="AK109" s="214" t="str">
        <x:v>采用</x:v>
      </x:c>
      <x:c r="AL109" s="214" t="str">
        <x:v>初审</x:v>
      </x:c>
      <x:c r="AM109" s="217" t="n">
        <x:v>46260</x:v>
      </x:c>
    </x:row>
    <x:row r="110">
      <x:c r="A110" s="214" t="str">
        <x:f>IF(OR(C110="",D110=""),"",B110&amp;"-"&amp;UPPER(C110)&amp;"-"&amp;TEXT(D110,"0000")&amp;"-"&amp;E110)</x:f>
        <x:v>M16-COMPOSITE-0104-V1.0</x:v>
      </x:c>
      <x:c r="B110" s="214" t="str">
        <x:v>M16</x:v>
      </x:c>
      <x:c r="C110" s="214" t="str">
        <x:v>COMPOSITE</x:v>
      </x:c>
      <x:c r="D110" s="216" t="n">
        <x:v>104</x:v>
      </x:c>
      <x:c r="E110" s="214" t="str">
        <x:v>V1.0</x:v>
      </x:c>
      <x:c r="F110" s="214" t="str">
        <x:v>制化病与格局病同源时优先保护核心制化链</x:v>
      </x:c>
      <x:c r="G110" s="214" t="str">
        <x:v>综合层</x:v>
      </x:c>
      <x:c r="H110" s="214" t="str">
        <x:v>复合病</x:v>
      </x:c>
      <x:c r="I110" s="214" t="str">
        <x:v>格局核心制化节点</x:v>
      </x:c>
      <x:c r="J110" s="214" t="str">
        <x:v>制化格局复合</x:v>
      </x:c>
      <x:c r="K110" s="214" t="str">
        <x:v>格局破损源于食制、印化、配印或官印等核心链失效</x:v>
      </x:c>
      <x:c r="L110" s="214" t="str">
        <x:v>制化失衡与格局成立但有破同时出现</x:v>
      </x:c>
      <x:c r="M110" s="214" t="str">
        <x:v>首要矛盾</x:v>
      </x:c>
      <x:c r="N110" s="214" t="str">
        <x:v>恢复核心制化节点</x:v>
      </x:c>
      <x:c r="O110" s="214" t="str">
        <x:v>护持格神</x:v>
      </x:c>
      <x:c r="P110" s="214" t="str">
        <x:v>护格</x:v>
      </x:c>
      <x:c r="Q110" s="214" t="str">
        <x:v>M08—M15已经确认相应结构性失衡与实际功能障碍</x:v>
      </x:c>
      <x:c r="R110" s="214" t="str">
        <x:v>不得只凭五行数量、十神名称或单一旺衰标签直接立病用药</x:v>
      </x:c>
      <x:c r="S110" s="214" t="str">
        <x:v>主要病位未被修复，原有失衡继续运行</x:v>
      </x:c>
      <x:c r="T110" s="214" t="str">
        <x:v>药神反向过度，可能跨越平衡并形成新的结构性失衡</x:v>
      </x:c>
      <x:c r="U110" s="214" t="str">
        <x:v>条件性</x:v>
      </x:c>
      <x:c r="V110" s="214" t="str">
        <x:v>条件性</x:v>
      </x:c>
      <x:c r="W110" s="214" t="str">
        <x:v>待定</x:v>
      </x:c>
      <x:c r="X110" s="214" t="str">
        <x:v>M08有效旺衰、M09日主旺衰、M10十神功能、M11组合、M12流通、M13调候、M15格局成败均已完成</x:v>
      </x:c>
      <x:c r="Y110" s="214" t="str">
        <x:v>病位、根因、功能障碍与药神作用路径均能够追溯</x:v>
      </x:c>
      <x:c r="Z110" s="214" t="str">
        <x:v>药神有根有源、透达，能够直接进入病位且兼顾多个主要问题</x:v>
      </x:c>
      <x:c r="AA110" s="214" t="str">
        <x:v>药神无根、受强制、被合绊、作用路径遥隔或同时被多个任务分流</x:v>
      </x:c>
      <x:c r="AB110" s="214" t="str">
        <x:v>若该失衡没有造成实际功能障碍，或特殊格局要求顺势，则不得按普通病药立论</x:v>
      </x:c>
      <x:c r="AC110" s="214" t="str">
        <x:v>特殊格局严格成立、岁运动态作用或流派争议转M18/M21及动态引擎</x:v>
      </x:c>
      <x:c r="AD110" s="214" t="str">
        <x:v>制化格局复合病</x:v>
      </x:c>
      <x:c r="AE110" s="214" t="str">
        <x:v>根本之病在“格局核心制化节点”：格局破损源于食制、印化、配印或官印等核心链失效；表层表现为“制化失衡与格局成立但有破同时出现”。主药候选为“恢复核心制化节点”，药理为“护格”；最终喜忌与主次仍转M17/M18裁决。</x:v>
      </x:c>
      <x:c r="AF110" s="214" t="str">
        <x:v>较高</x:v>
      </x:c>
      <x:c r="AG110" s="214" t="str">
        <x:v>病药</x:v>
      </x:c>
      <x:c r="AH110"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0" s="214" t="str">
        <x:v>当“M08—M15已经确认相应结构性失衡与实际功能障碍”真实成立，且药神能够直接作用病位时，可按“制化病与格局病同源时优先保护核心制化链”记录。</x:v>
      </x:c>
      <x:c r="AJ110" s="214" t="str">
        <x:v>只有表面“制化失衡与格局成立但有破同时出现”，但未证明根因“格局破损源于食制、印化、配印或官印等核心链失效”及药神作用路径时，不得套用“制化病与格局病同源时优先保护核心制化链”。</x:v>
      </x:c>
      <x:c r="AK110" s="214" t="str">
        <x:v>采用</x:v>
      </x:c>
      <x:c r="AL110" s="214" t="str">
        <x:v>初审</x:v>
      </x:c>
      <x:c r="AM110" s="217" t="n">
        <x:v>46260</x:v>
      </x:c>
    </x:row>
    <x:row r="111">
      <x:c r="A111" s="214" t="str">
        <x:f>IF(OR(C111="",D111=""),"",B111&amp;"-"&amp;UPPER(C111)&amp;"-"&amp;TEXT(D111,"0000")&amp;"-"&amp;E111)</x:f>
        <x:v>M16-COMPOSITE-0105-V1.0</x:v>
      </x:c>
      <x:c r="B111" s="214" t="str">
        <x:v>M16</x:v>
      </x:c>
      <x:c r="C111" s="214" t="str">
        <x:v>COMPOSITE</x:v>
      </x:c>
      <x:c r="D111" s="216" t="n">
        <x:v>105</x:v>
      </x:c>
      <x:c r="E111" s="214" t="str">
        <x:v>V1.0</x:v>
      </x:c>
      <x:c r="F111" s="214" t="str">
        <x:v>调候病与流通病同源时调候可上升为主药</x:v>
      </x:c>
      <x:c r="G111" s="214" t="str">
        <x:v>综合层</x:v>
      </x:c>
      <x:c r="H111" s="214" t="str">
        <x:v>复合病</x:v>
      </x:c>
      <x:c r="I111" s="214" t="str">
        <x:v>气候根因—多个桥梁卡点</x:v>
      </x:c>
      <x:c r="J111" s="214" t="str">
        <x:v>调候流通复合</x:v>
      </x:c>
      <x:c r="K111" s="214" t="str">
        <x:v>寒凝、燥枯或湿滞同时导致多个流通节点失效</x:v>
      </x:c>
      <x:c r="L111" s="214" t="str">
        <x:v>M13极端气候与M12多个同源卡点</x:v>
      </x:c>
      <x:c r="M111" s="214" t="str">
        <x:v>首要矛盾</x:v>
      </x:c>
      <x:c r="N111" s="214" t="str">
        <x:v>对应调候五行</x:v>
      </x:c>
      <x:c r="O111" s="214" t="str">
        <x:v>疏通具体桥梁者</x:v>
      </x:c>
      <x:c r="P111" s="214" t="str">
        <x:v>复合药理</x:v>
      </x:c>
      <x:c r="Q111" s="214" t="str">
        <x:v>M08—M15已经确认相应结构性失衡与实际功能障碍</x:v>
      </x:c>
      <x:c r="R111" s="214" t="str">
        <x:v>不得只凭五行数量、十神名称或单一旺衰标签直接立病用药</x:v>
      </x:c>
      <x:c r="S111" s="214" t="str">
        <x:v>主要病位未被修复，原有失衡继续运行</x:v>
      </x:c>
      <x:c r="T111" s="214" t="str">
        <x:v>药神反向过度，可能跨越平衡并形成新的结构性失衡</x:v>
      </x:c>
      <x:c r="U111" s="214" t="str">
        <x:v>条件性</x:v>
      </x:c>
      <x:c r="V111" s="214" t="str">
        <x:v>条件性</x:v>
      </x:c>
      <x:c r="W111" s="214" t="str">
        <x:v>待定</x:v>
      </x:c>
      <x:c r="X111" s="214" t="str">
        <x:v>M08有效旺衰、M09日主旺衰、M10十神功能、M11组合、M12流通、M13调候、M15格局成败均已完成</x:v>
      </x:c>
      <x:c r="Y111" s="214" t="str">
        <x:v>病位、根因、功能障碍与药神作用路径均能够追溯</x:v>
      </x:c>
      <x:c r="Z111" s="214" t="str">
        <x:v>药神有根有源、透达，能够直接进入病位且兼顾多个主要问题</x:v>
      </x:c>
      <x:c r="AA111" s="214" t="str">
        <x:v>药神无根、受强制、被合绊、作用路径遥隔或同时被多个任务分流</x:v>
      </x:c>
      <x:c r="AB111" s="214" t="str">
        <x:v>若该失衡没有造成实际功能障碍，或特殊格局要求顺势，则不得按普通病药立论</x:v>
      </x:c>
      <x:c r="AC111" s="214" t="str">
        <x:v>特殊格局严格成立、岁运动态作用或流派争议转M18/M21及动态引擎</x:v>
      </x:c>
      <x:c r="AD111" s="214" t="str">
        <x:v>调候流通复合病</x:v>
      </x:c>
      <x:c r="AE111" s="214" t="str">
        <x:v>根本之病在“气候根因—多个桥梁卡点”：寒凝、燥枯或湿滞同时导致多个流通节点失效；表层表现为“M13极端气候与M12多个同源卡点”。主药候选为“对应调候五行”，药理为“复合药理”；最终喜忌与主次仍转M17/M18裁决。</x:v>
      </x:c>
      <x:c r="AF111" s="214" t="str">
        <x:v>较高</x:v>
      </x:c>
      <x:c r="AG111" s="214" t="str">
        <x:v>病药</x:v>
      </x:c>
      <x:c r="AH111"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1" s="214" t="str">
        <x:v>当“M08—M15已经确认相应结构性失衡与实际功能障碍”真实成立，且药神能够直接作用病位时，可按“调候病与流通病同源时调候可上升为主药”记录。</x:v>
      </x:c>
      <x:c r="AJ111" s="214" t="str">
        <x:v>只有表面“M13极端气候与M12多个同源卡点”，但未证明根因“寒凝、燥枯或湿滞同时导致多个流通节点失效”及药神作用路径时，不得套用“调候病与流通病同源时调候可上升为主药”。</x:v>
      </x:c>
      <x:c r="AK111" s="214" t="str">
        <x:v>采用</x:v>
      </x:c>
      <x:c r="AL111" s="214" t="str">
        <x:v>初审</x:v>
      </x:c>
      <x:c r="AM111" s="217" t="n">
        <x:v>46260</x:v>
      </x:c>
    </x:row>
    <x:row r="112">
      <x:c r="A112" s="214" t="str">
        <x:f>IF(OR(C112="",D112=""),"",B112&amp;"-"&amp;UPPER(C112)&amp;"-"&amp;TEXT(D112,"0000")&amp;"-"&amp;E112)</x:f>
        <x:v>M16-COMPOSITE-0106-V1.0</x:v>
      </x:c>
      <x:c r="B112" s="214" t="str">
        <x:v>M16</x:v>
      </x:c>
      <x:c r="C112" s="214" t="str">
        <x:v>COMPOSITE</x:v>
      </x:c>
      <x:c r="D112" s="216" t="n">
        <x:v>106</x:v>
      </x:c>
      <x:c r="E112" s="214" t="str">
        <x:v>V1.0</x:v>
      </x:c>
      <x:c r="F112" s="214" t="str">
        <x:v>多病多药冲突时必须比较净收益</x:v>
      </x:c>
      <x:c r="G112" s="214" t="str">
        <x:v>综合层</x:v>
      </x:c>
      <x:c r="H112" s="214" t="str">
        <x:v>复合病</x:v>
      </x:c>
      <x:c r="I112" s="214" t="str">
        <x:v>多病位—多药神矩阵</x:v>
      </x:c>
      <x:c r="J112" s="214" t="str">
        <x:v>药物冲突</x:v>
      </x:c>
      <x:c r="K112" s="214" t="str">
        <x:v>不同病位分别要求相反五行或相互破坏的药理</x:v>
      </x:c>
      <x:c r="L112" s="214" t="str">
        <x:v>扶抑、格局、通关、调候和病药候选冲突</x:v>
      </x:c>
      <x:c r="M112" s="214" t="str">
        <x:v>首要矛盾</x:v>
      </x:c>
      <x:c r="N112" s="214" t="str">
        <x:v>解决根本病且副作用最小者</x:v>
      </x:c>
      <x:c r="O112" s="214" t="str">
        <x:v>条件性次药</x:v>
      </x:c>
      <x:c r="P112" s="214" t="str">
        <x:v>复合药理</x:v>
      </x:c>
      <x:c r="Q112" s="214" t="str">
        <x:v>至少两个模块给出相反方向候选</x:v>
      </x:c>
      <x:c r="R112" s="214" t="str">
        <x:v>不得把相反药神同时无条件列为喜用</x:v>
      </x:c>
      <x:c r="S112" s="214" t="str">
        <x:v>主要病位未被修复，原有失衡继续运行</x:v>
      </x:c>
      <x:c r="T112" s="214" t="str">
        <x:v>药神反向过度，可能跨越平衡并形成新的结构性失衡</x:v>
      </x:c>
      <x:c r="U112" s="214" t="str">
        <x:v>条件性</x:v>
      </x:c>
      <x:c r="V112" s="214" t="str">
        <x:v>条件性</x:v>
      </x:c>
      <x:c r="W112" s="214" t="str">
        <x:v>冲突裁决不足</x:v>
      </x:c>
      <x:c r="X112" s="214" t="str">
        <x:v>M08有效旺衰、M09日主旺衰、M10十神功能、M11组合、M12流通、M13调候、M15格局成败均已完成</x:v>
      </x:c>
      <x:c r="Y112" s="214" t="str">
        <x:v>病位、根因、功能障碍与药神作用路径均能够追溯</x:v>
      </x:c>
      <x:c r="Z112" s="214" t="str">
        <x:v>药神有根有源、透达，能够直接进入病位且兼顾多个主要问题</x:v>
      </x:c>
      <x:c r="AA112" s="214" t="str">
        <x:v>药神无根、受强制、被合绊、作用路径遥隔或同时被多个任务分流</x:v>
      </x:c>
      <x:c r="AB112" s="214" t="str">
        <x:v>若该失衡没有造成实际功能障碍，或特殊格局要求顺势，则不得按普通病药立论</x:v>
      </x:c>
      <x:c r="AC112" s="214" t="str">
        <x:v>特殊格局严格成立、岁运动态作用或流派争议转M18/M21及动态引擎</x:v>
      </x:c>
      <x:c r="AD112" s="214" t="str">
        <x:v>多病药冲突</x:v>
      </x:c>
      <x:c r="AE112" s="214" t="str">
        <x:v>多病多药冲突时，M16只输出各药收益与风险；最终硬约束、主次和条件性由M18裁决。</x:v>
      </x:c>
      <x:c r="AF112" s="214" t="str">
        <x:v>较高</x:v>
      </x:c>
      <x:c r="AG112" s="214" t="str">
        <x:v>病药</x:v>
      </x:c>
      <x:c r="AH112"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2" s="214" t="str">
        <x:v>当“至少两个模块给出相反方向候选”真实成立，且药神能够直接作用病位时，可按“多病多药冲突时必须比较净收益”记录。</x:v>
      </x:c>
      <x:c r="AJ112" s="214" t="str">
        <x:v>只有表面“扶抑、格局、通关、调候和病药候选冲突”，但未证明根因“不同病位分别要求相反五行或相互破坏的药理”及药神作用路径时，不得套用“多病多药冲突时必须比较净收益”。</x:v>
      </x:c>
      <x:c r="AK112" s="214" t="str">
        <x:v>采用</x:v>
      </x:c>
      <x:c r="AL112" s="214" t="str">
        <x:v>初审</x:v>
      </x:c>
      <x:c r="AM112" s="217" t="n">
        <x:v>46260</x:v>
      </x:c>
    </x:row>
    <x:row r="113">
      <x:c r="A113" s="214" t="str">
        <x:f>IF(OR(C113="",D113=""),"",B113&amp;"-"&amp;UPPER(C113)&amp;"-"&amp;TEXT(D113,"0000")&amp;"-"&amp;E113)</x:f>
        <x:v>M16-BOUND-0107-V1.0</x:v>
      </x:c>
      <x:c r="B113" s="214" t="str">
        <x:v>M16</x:v>
      </x:c>
      <x:c r="C113" s="214" t="str">
        <x:v>BOUND</x:v>
      </x:c>
      <x:c r="D113" s="216" t="n">
        <x:v>107</x:v>
      </x:c>
      <x:c r="E113" s="214" t="str">
        <x:v>V1.0</x:v>
      </x:c>
      <x:c r="F113" s="214" t="str">
        <x:v>病药模型不能直接等同医学诊断</x:v>
      </x:c>
      <x:c r="G113" s="214" t="str">
        <x:v>综合层</x:v>
      </x:c>
      <x:c r="H113" s="214" t="str">
        <x:v>待定</x:v>
      </x:c>
      <x:c r="I113" s="214" t="str">
        <x:v>结构性病位</x:v>
      </x:c>
      <x:c r="J113" s="214" t="str">
        <x:v>命理结构边界</x:v>
      </x:c>
      <x:c r="K113" s="214" t="str">
        <x:v>病、药为命局结构比喻，不是临床疾病诊断</x:v>
      </x:c>
      <x:c r="L113" s="214" t="str">
        <x:v>寒、湿、燥、火炎、某五行受损等结构描述</x:v>
      </x:c>
      <x:c r="M113" s="214" t="str">
        <x:v>待定</x:v>
      </x:c>
      <x:c r="N113" s="214" t="str">
        <x:v>命理结构药神</x:v>
      </x:c>
      <x:c r="O113" s="214" t="str">
        <x:v>待定</x:v>
      </x:c>
      <x:c r="P113" s="214" t="str">
        <x:v>待定</x:v>
      </x:c>
      <x:c r="Q113" s="214" t="str">
        <x:v>M16完成结构性病药判断</x:v>
      </x:c>
      <x:c r="R113" s="214" t="str">
        <x:v>不得据此诊断、治疗或延误专业医疗</x:v>
      </x:c>
      <x:c r="S113" s="214" t="str">
        <x:v>不适用</x:v>
      </x:c>
      <x:c r="T113" s="214" t="str">
        <x:v>不适用</x:v>
      </x:c>
      <x:c r="U113" s="214" t="str">
        <x:v>否</x:v>
      </x:c>
      <x:c r="V113" s="214" t="str">
        <x:v>否</x:v>
      </x:c>
      <x:c r="W113" s="214" t="str">
        <x:v>不适用</x:v>
      </x:c>
      <x:c r="X113" s="214" t="str">
        <x:v>M08有效旺衰、M09日主旺衰、M10十神功能、M11组合、M12流通、M13调候、M15格局成败均已完成</x:v>
      </x:c>
      <x:c r="Y113" s="214" t="str">
        <x:v>病位、根因、功能障碍与药神作用路径均能够追溯</x:v>
      </x:c>
      <x:c r="Z113" s="214" t="str">
        <x:v>药神有根有源、透达，能够直接进入病位且兼顾多个主要问题</x:v>
      </x:c>
      <x:c r="AA113" s="214" t="str">
        <x:v>药神无根、受强制、被合绊、作用路径遥隔或同时被多个任务分流</x:v>
      </x:c>
      <x:c r="AB113" s="214" t="str">
        <x:v>若该失衡没有造成实际功能障碍，或特殊格局要求顺势，则不得按普通病药立论</x:v>
      </x:c>
      <x:c r="AC113" s="214" t="str">
        <x:v>特殊格局严格成立、岁运动态作用或流派争议转M18/M21及动态引擎</x:v>
      </x:c>
      <x:c r="AD113" s="214" t="str">
        <x:v>病药医学边界</x:v>
      </x:c>
      <x:c r="AE113" s="214" t="str">
        <x:v>M16中的“病”“药”仅指命局结构失衡与修复机制，不构成医学诊断或治疗建议。</x:v>
      </x:c>
      <x:c r="AF113" s="214" t="str">
        <x:v>较高</x:v>
      </x:c>
      <x:c r="AG113" s="214" t="str">
        <x:v>病药</x:v>
      </x:c>
      <x:c r="AH113"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3" s="214" t="str">
        <x:v>当“M16完成结构性病药判断”真实成立，且药神能够直接作用病位时，可按“病药模型不能直接等同医学诊断”记录。</x:v>
      </x:c>
      <x:c r="AJ113" s="214" t="str">
        <x:v>只有表面“寒、湿、燥、火炎、某五行受损等结构描述”，但未证明根因“病、药为命局结构比喻，不是临床疾病诊断”及药神作用路径时，不得套用“病药模型不能直接等同医学诊断”。</x:v>
      </x:c>
      <x:c r="AK113" s="214" t="str">
        <x:v>采用</x:v>
      </x:c>
      <x:c r="AL113" s="214" t="str">
        <x:v>初审</x:v>
      </x:c>
      <x:c r="AM113" s="217" t="n">
        <x:v>46260</x:v>
      </x:c>
    </x:row>
    <x:row r="114">
      <x:c r="A114" s="214" t="str">
        <x:f>IF(OR(C114="",D114=""),"",B114&amp;"-"&amp;UPPER(C114)&amp;"-"&amp;TEXT(D114,"0000")&amp;"-"&amp;E114)</x:f>
        <x:v>M16-BOUND-0108-V1.0</x:v>
      </x:c>
      <x:c r="B114" s="214" t="str">
        <x:v>M16</x:v>
      </x:c>
      <x:c r="C114" s="214" t="str">
        <x:v>BOUND</x:v>
      </x:c>
      <x:c r="D114" s="216" t="n">
        <x:v>108</x:v>
      </x:c>
      <x:c r="E114" s="214" t="str">
        <x:v>V1.0</x:v>
      </x:c>
      <x:c r="F114" s="214" t="str">
        <x:v>原局静态病药与岁运触发必须分开</x:v>
      </x:c>
      <x:c r="G114" s="214" t="str">
        <x:v>综合层</x:v>
      </x:c>
      <x:c r="H114" s="214" t="str">
        <x:v>复合病</x:v>
      </x:c>
      <x:c r="I114" s="214" t="str">
        <x:v>原局静态结构</x:v>
      </x:c>
      <x:c r="J114" s="214" t="str">
        <x:v>静动态边界</x:v>
      </x:c>
      <x:c r="K114" s="214" t="str">
        <x:v>原局已有病位与未来岁运可能补药、加病属于不同层次</x:v>
      </x:c>
      <x:c r="L114" s="214" t="str">
        <x:v>未来某运可能通关、救格或加重病位</x:v>
      </x:c>
      <x:c r="M114" s="214" t="str">
        <x:v>待定</x:v>
      </x:c>
      <x:c r="N114" s="214" t="str">
        <x:v>原局药神候选</x:v>
      </x:c>
      <x:c r="O114" s="214" t="str">
        <x:v>岁运触发另判</x:v>
      </x:c>
      <x:c r="P114" s="214" t="str">
        <x:v>待定</x:v>
      </x:c>
      <x:c r="Q114" s="214" t="str">
        <x:v>M08—M15已经确认相应结构性失衡与实际功能障碍</x:v>
      </x:c>
      <x:c r="R114" s="214" t="str">
        <x:v>不得只凭五行数量、十神名称或单一旺衰标签直接立病用药</x:v>
      </x:c>
      <x:c r="S114" s="214" t="str">
        <x:v>主要病位未被修复，原有失衡继续运行</x:v>
      </x:c>
      <x:c r="T114" s="214" t="str">
        <x:v>药神反向过度，可能跨越平衡并形成新的结构性失衡</x:v>
      </x:c>
      <x:c r="U114" s="214" t="str">
        <x:v>条件性</x:v>
      </x:c>
      <x:c r="V114" s="214" t="str">
        <x:v>条件性</x:v>
      </x:c>
      <x:c r="W114" s="214" t="str">
        <x:v>待定</x:v>
      </x:c>
      <x:c r="X114" s="214" t="str">
        <x:v>M08有效旺衰、M09日主旺衰、M10十神功能、M11组合、M12流通、M13调候、M15格局成败均已完成</x:v>
      </x:c>
      <x:c r="Y114" s="214" t="str">
        <x:v>病位、根因、功能障碍与药神作用路径均能够追溯</x:v>
      </x:c>
      <x:c r="Z114" s="214" t="str">
        <x:v>药神有根有源、透达，能够直接进入病位且兼顾多个主要问题</x:v>
      </x:c>
      <x:c r="AA114" s="214" t="str">
        <x:v>药神无根、受强制、被合绊、作用路径遥隔或同时被多个任务分流</x:v>
      </x:c>
      <x:c r="AB114" s="214" t="str">
        <x:v>若该失衡没有造成实际功能障碍，或特殊格局要求顺势，则不得按普通病药立论</x:v>
      </x:c>
      <x:c r="AC114" s="214" t="str">
        <x:v>动态作用转D0大运流年引擎</x:v>
      </x:c>
      <x:c r="AD114" s="214" t="str">
        <x:v>病药静动态边界</x:v>
      </x:c>
      <x:c r="AE114" s="214" t="str">
        <x:v>M16只判断原局已有病位和药神需求；不得用未来岁运潜在补药提前改写原局结论。</x:v>
      </x:c>
      <x:c r="AF114" s="214" t="str">
        <x:v>较高</x:v>
      </x:c>
      <x:c r="AG114" s="214" t="str">
        <x:v>病药</x:v>
      </x:c>
      <x:c r="AH114"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4" s="214" t="str">
        <x:v>当“M08—M15已经确认相应结构性失衡与实际功能障碍”真实成立，且药神能够直接作用病位时，可按“原局静态病药与岁运触发必须分开”记录。</x:v>
      </x:c>
      <x:c r="AJ114" s="214" t="str">
        <x:v>只有表面“未来某运可能通关、救格或加重病位”，但未证明根因“原局已有病位与未来岁运可能补药、加病属于不同层次”及药神作用路径时，不得套用“原局静态病药与岁运触发必须分开”。</x:v>
      </x:c>
      <x:c r="AK114" s="214" t="str">
        <x:v>采用</x:v>
      </x:c>
      <x:c r="AL114" s="214" t="str">
        <x:v>初审</x:v>
      </x:c>
      <x:c r="AM114" s="217" t="n">
        <x:v>46260</x:v>
      </x:c>
    </x:row>
    <x:row r="115">
      <x:c r="A115" s="214" t="str">
        <x:f>IF(OR(C115="",D115=""),"",B115&amp;"-"&amp;UPPER(C115)&amp;"-"&amp;TEXT(D115,"0000")&amp;"-"&amp;E115)</x:f>
        <x:v>M16-BOUND-0109-V1.0</x:v>
      </x:c>
      <x:c r="B115" s="214" t="str">
        <x:v>M16</x:v>
      </x:c>
      <x:c r="C115" s="214" t="str">
        <x:v>BOUND</x:v>
      </x:c>
      <x:c r="D115" s="216" t="n">
        <x:v>109</x:v>
      </x:c>
      <x:c r="E115" s="214" t="str">
        <x:v>V1.0</x:v>
      </x:c>
      <x:c r="F115" s="214" t="str">
        <x:v>病药不使用固定百分比或机械总分</x:v>
      </x:c>
      <x:c r="G115" s="214" t="str">
        <x:v>综合层</x:v>
      </x:c>
      <x:c r="H115" s="214" t="str">
        <x:v>复合病</x:v>
      </x:c>
      <x:c r="I115" s="214" t="str">
        <x:v>综合证据</x:v>
      </x:c>
      <x:c r="J115" s="214" t="str">
        <x:v>非机械计分</x:v>
      </x:c>
      <x:c r="K115" s="214" t="str">
        <x:v>病位严重度取决于核心节点、作用路径和净效应，不是规则数量相加</x:v>
      </x:c>
      <x:c r="L115" s="214" t="str">
        <x:v>多个证据标签并存</x:v>
      </x:c>
      <x:c r="M115" s="214" t="str">
        <x:v>待定</x:v>
      </x:c>
      <x:c r="N115" s="214" t="str">
        <x:v>按强证据和根因选择</x:v>
      </x:c>
      <x:c r="O115" s="214" t="str">
        <x:v>待定</x:v>
      </x:c>
      <x:c r="P115" s="214" t="str">
        <x:v>复合药理</x:v>
      </x:c>
      <x:c r="Q115" s="214" t="str">
        <x:v>M08—M15已经确认相应结构性失衡与实际功能障碍</x:v>
      </x:c>
      <x:c r="R115" s="214" t="str">
        <x:v>禁止把旺衰、刑冲、破格按固定百分比扣分后直接定药</x:v>
      </x:c>
      <x:c r="S115" s="214" t="str">
        <x:v>主要病位未被修复，原有失衡继续运行</x:v>
      </x:c>
      <x:c r="T115" s="214" t="str">
        <x:v>药神反向过度，可能跨越平衡并形成新的结构性失衡</x:v>
      </x:c>
      <x:c r="U115" s="214" t="str">
        <x:v>条件性</x:v>
      </x:c>
      <x:c r="V115" s="214" t="str">
        <x:v>条件性</x:v>
      </x:c>
      <x:c r="W115" s="214" t="str">
        <x:v>待定</x:v>
      </x:c>
      <x:c r="X115" s="214" t="str">
        <x:v>M08有效旺衰、M09日主旺衰、M10十神功能、M11组合、M12流通、M13调候、M15格局成败均已完成</x:v>
      </x:c>
      <x:c r="Y115" s="214" t="str">
        <x:v>病位、根因、功能障碍与药神作用路径均能够追溯</x:v>
      </x:c>
      <x:c r="Z115" s="214" t="str">
        <x:v>药神有根有源、透达，能够直接进入病位且兼顾多个主要问题</x:v>
      </x:c>
      <x:c r="AA115" s="214" t="str">
        <x:v>药神无根、受强制、被合绊、作用路径遥隔或同时被多个任务分流</x:v>
      </x:c>
      <x:c r="AB115" s="214" t="str">
        <x:v>若该失衡没有造成实际功能障碍，或特殊格局要求顺势，则不得按普通病药立论</x:v>
      </x:c>
      <x:c r="AC115" s="214" t="str">
        <x:v>特殊格局严格成立、岁运动态作用或流派争议转M18/M21及动态引擎</x:v>
      </x:c>
      <x:c r="AD115" s="214" t="str">
        <x:v>病药非机械计分</x:v>
      </x:c>
      <x:c r="AE115" s="214" t="str">
        <x:v>根本之病在“综合证据”：病位严重度取决于核心节点、作用路径和净效应，不是规则数量相加；表层表现为“多个证据标签并存”。主药候选为“按强证据和根因选择”，药理为“复合药理”；最终喜忌与主次仍转M17/M18裁决。</x:v>
      </x:c>
      <x:c r="AF115" s="214" t="str">
        <x:v>较高</x:v>
      </x:c>
      <x:c r="AG115" s="214" t="str">
        <x:v>病药</x:v>
      </x:c>
      <x:c r="AH115"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5" s="214" t="str">
        <x:v>当“M08—M15已经确认相应结构性失衡与实际功能障碍”真实成立，且药神能够直接作用病位时，可按“病药不使用固定百分比或机械总分”记录。</x:v>
      </x:c>
      <x:c r="AJ115" s="214" t="str">
        <x:v>只有表面“多个证据标签并存”，但未证明根因“病位严重度取决于核心节点、作用路径和净效应，不是规则数量相加”及药神作用路径时，不得套用“病药不使用固定百分比或机械总分”。</x:v>
      </x:c>
      <x:c r="AK115" s="214" t="str">
        <x:v>采用</x:v>
      </x:c>
      <x:c r="AL115" s="214" t="str">
        <x:v>初审</x:v>
      </x:c>
      <x:c r="AM115" s="217" t="n">
        <x:v>46260</x:v>
      </x:c>
    </x:row>
    <x:row r="116">
      <x:c r="A116" s="214" t="str">
        <x:f>IF(OR(C116="",D116=""),"",B116&amp;"-"&amp;UPPER(C116)&amp;"-"&amp;TEXT(D116,"0000")&amp;"-"&amp;E116)</x:f>
        <x:v>M16-BOUND-0110-V1.0</x:v>
      </x:c>
      <x:c r="B116" s="214" t="str">
        <x:v>M16</x:v>
      </x:c>
      <x:c r="C116" s="214" t="str">
        <x:v>BOUND</x:v>
      </x:c>
      <x:c r="D116" s="216" t="n">
        <x:v>110</x:v>
      </x:c>
      <x:c r="E116" s="214" t="str">
        <x:v>V1.0</x:v>
      </x:c>
      <x:c r="F116" s="214" t="str">
        <x:v>M16标准输出必须说明主病、次病、主药与风险</x:v>
      </x:c>
      <x:c r="G116" s="214" t="str">
        <x:v>综合层</x:v>
      </x:c>
      <x:c r="H116" s="214" t="str">
        <x:v>复合病</x:v>
      </x:c>
      <x:c r="I116" s="214" t="str">
        <x:v>综合输出</x:v>
      </x:c>
      <x:c r="J116" s="214" t="str">
        <x:v>输出规范</x:v>
      </x:c>
      <x:c r="K116" s="214" t="str">
        <x:v>完成全局病位和药神扫描</x:v>
      </x:c>
      <x:c r="L116" s="214" t="str">
        <x:v>需要可追溯的病药结论</x:v>
      </x:c>
      <x:c r="M116" s="214" t="str">
        <x:v>待定</x:v>
      </x:c>
      <x:c r="N116" s="214" t="str">
        <x:v>主药候选</x:v>
      </x:c>
      <x:c r="O116" s="214" t="str">
        <x:v>辅助药候选</x:v>
      </x:c>
      <x:c r="P116" s="214" t="str">
        <x:v>复合药理</x:v>
      </x:c>
      <x:c r="Q116" s="214" t="str">
        <x:v>M08—M15已经确认相应结构性失衡与实际功能障碍</x:v>
      </x:c>
      <x:c r="R116" s="214" t="str">
        <x:v>不得只凭五行数量、十神名称或单一旺衰标签直接立病用药</x:v>
      </x:c>
      <x:c r="S116" s="214" t="str">
        <x:v>主要病位未被修复，原有失衡继续运行</x:v>
      </x:c>
      <x:c r="T116" s="214" t="str">
        <x:v>药神反向过度，可能跨越平衡并形成新的结构性失衡</x:v>
      </x:c>
      <x:c r="U116" s="214" t="str">
        <x:v>条件性</x:v>
      </x:c>
      <x:c r="V116" s="214" t="str">
        <x:v>条件性</x:v>
      </x:c>
      <x:c r="W116" s="214" t="str">
        <x:v>待定</x:v>
      </x:c>
      <x:c r="X116" s="214" t="str">
        <x:v>M08有效旺衰、M09日主旺衰、M10十神功能、M11组合、M12流通、M13调候、M15格局成败均已完成</x:v>
      </x:c>
      <x:c r="Y116" s="214" t="str">
        <x:v>病位、根因、功能障碍与药神作用路径均能够追溯</x:v>
      </x:c>
      <x:c r="Z116" s="214" t="str">
        <x:v>药神有根有源、透达，能够直接进入病位且兼顾多个主要问题</x:v>
      </x:c>
      <x:c r="AA116" s="214" t="str">
        <x:v>药神无根、受强制、被合绊、作用路径遥隔或同时被多个任务分流</x:v>
      </x:c>
      <x:c r="AB116" s="214" t="str">
        <x:v>若该失衡没有造成实际功能障碍，或特殊格局要求顺势，则不得按普通病药立论</x:v>
      </x:c>
      <x:c r="AC116" s="214" t="str">
        <x:v>特殊格局严格成立、岁运动态作用或流派争议转M18/M21及动态引擎</x:v>
      </x:c>
      <x:c r="AD116" s="214" t="str">
        <x:v>M16标准输出</x:v>
      </x:c>
      <x:c r="AE116" s="214" t="str">
        <x:v>M16最终输出：根本主病、1—3个次病、病位、病性、根因、表层表现、严重度、主药、辅助药、药理、成立条件、禁忌、药力不足、药力过度、格局伤害、新病风险、替代药路、反向证据与置信度。</x:v>
      </x:c>
      <x:c r="AF116" s="214" t="str">
        <x:v>较高</x:v>
      </x:c>
      <x:c r="AG116" s="214" t="str">
        <x:v>病药</x:v>
      </x:c>
      <x:c r="AH116"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6" s="214" t="str">
        <x:v>当“M08—M15已经确认相应结构性失衡与实际功能障碍”真实成立，且药神能够直接作用病位时，可按“M16标准输出必须说明主病、次病、主药与风险”记录。</x:v>
      </x:c>
      <x:c r="AJ116" s="214" t="str">
        <x:v>只有表面“需要可追溯的病药结论”，但未证明根因“完成全局病位和药神扫描”及药神作用路径时，不得套用“M16标准输出必须说明主病、次病、主药与风险”。</x:v>
      </x:c>
      <x:c r="AK116" s="214" t="str">
        <x:v>采用</x:v>
      </x:c>
      <x:c r="AL116" s="214" t="str">
        <x:v>初审</x:v>
      </x:c>
      <x:c r="AM116" s="217" t="n">
        <x:v>46260</x:v>
      </x:c>
    </x:row>
  </x:sheetData>
  <x:mergeCells>
    <x:mergeCell ref="A1:O1"/>
    <x:mergeCell ref="A2:O2"/>
    <x:mergeCell ref="A3:O3"/>
    <x:mergeCell ref="A4:O4"/>
  </x:mergeCells>
  <x:conditionalFormatting sqref="A6:A105">
    <x:cfRule type="expression" dxfId="14" priority="1">
      <x:formula>AND(A6&lt;&gt;"",COUNTIF($A$6:$A$105,A6)&gt;1)</x:formula>
    </x:cfRule>
  </x:conditionalFormatting>
  <x:dataValidations count="24">
    <x:dataValidation type="list" sqref="E6:E105">
      <x:formula1>'99_下拉选项'!$BG$4:$BG$12</x:formula1>
    </x:dataValidation>
    <x:dataValidation type="list" sqref="G6:G105">
      <x:formula1>'99_下拉选项'!$F$4:$F$7</x:formula1>
    </x:dataValidation>
    <x:dataValidation type="list" sqref="H6:H105">
      <x:formula1>'99_下拉选项'!$AH$4:$AH$10</x:formula1>
    </x:dataValidation>
    <x:dataValidation type="list" sqref="M6:M105">
      <x:formula1>'99_下拉选项'!$AI$4:$AI$9</x:formula1>
    </x:dataValidation>
    <x:dataValidation type="list" sqref="P6:P105">
      <x:formula1>'99_下拉选项'!$AJ$4:$AJ$18</x:formula1>
    </x:dataValidation>
    <x:dataValidation type="list" sqref="U6:U105">
      <x:formula1>'99_下拉选项'!$X$4:$X$7</x:formula1>
    </x:dataValidation>
    <x:dataValidation type="list" sqref="V6:V105">
      <x:formula1>'99_下拉选项'!$X$4:$X$7</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 type="list" sqref="E6:E130">
      <x:formula1>'99_下拉选项'!$BG$4:$BG$14</x:formula1>
    </x:dataValidation>
    <x:dataValidation type="list" sqref="E7:E105">
      <x:formula1>'99_下拉选项'!$BG$4:$BG$16</x:formula1>
    </x:dataValidation>
    <x:dataValidation type="list" sqref="G7:G116">
      <x:formula1>'99_下拉选项'!$F$4:$F$7</x:formula1>
    </x:dataValidation>
    <x:dataValidation type="list" sqref="H7:H116">
      <x:formula1>'99_下拉选项'!$AH$4:$AH$10</x:formula1>
    </x:dataValidation>
    <x:dataValidation type="list" sqref="M7:M116">
      <x:formula1>'99_下拉选项'!$AI$4:$AI$9</x:formula1>
    </x:dataValidation>
    <x:dataValidation type="list" sqref="P7:P116">
      <x:formula1>'99_下拉选项'!$AJ$4:$AJ$18</x:formula1>
    </x:dataValidation>
    <x:dataValidation type="list" sqref="U7:U116">
      <x:formula1>'99_下拉选项'!$X$4:$X$7</x:formula1>
    </x:dataValidation>
    <x:dataValidation type="list" sqref="V7:V116">
      <x:formula1>'99_下拉选项'!$X$4:$X$7</x:formula1>
    </x:dataValidation>
    <x:dataValidation type="list" sqref="AF7:AF116">
      <x:formula1>'99_下拉选项'!$Q$4:$Q$8</x:formula1>
    </x:dataValidation>
    <x:dataValidation type="list" sqref="AG7:AG116">
      <x:formula1>'99_下拉选项'!$R$4:$R$11</x:formula1>
    </x:dataValidation>
    <x:dataValidation type="list" sqref="AK7:AK116">
      <x:formula1>'99_下拉选项'!$S$4:$S$9</x:formula1>
    </x:dataValidation>
    <x:dataValidation type="list" sqref="AL7:AL116">
      <x:formula1>'99_下拉选项'!$T$4:$T$8</x:formula1>
    </x:dataValidation>
    <x:dataValidation type="list" sqref="E7:E116">
      <x:formula1>'99_下拉选项'!$BG$4:$BG$19</x:formula1>
    </x:dataValidation>
  </x:dataValidations>
  <x:pageMargins left="0.7" right="0.7" top="0.75" bottom="0.75" header="0.3" footer="0.3"/>
  <x:tableParts count="1">
    <x:tablePart xmlns:r="http://schemas.openxmlformats.org/officeDocument/2006/relationships" r:id="R169e6b0063e6406a"/>
  </x:tableParts>
</x:worksheet>
</file>

<file path=xl/worksheets/sheet1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2" hidden="0" customWidth="1"/>
    <x:col min="10" max="10" width="30"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13" hidden="0" customWidth="1"/>
  </x:cols>
  <x:sheetData>
    <x:row r="1" ht="28" customHeight="1">
      <x:c r="A1" s="32" t="str">
        <x:v>M17｜扶抑、格局、通关、调候与病药用神矩阵</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把每个候选五行放入五维用神矩阵，分别记录收益、冲突与副作用，最后定主用、辅助用、喜、忌及条件性定位。</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前置依赖：M09/M12/M13/M15/M16　｜　主要输出：主用、辅助用、喜忌及条件说明　｜　直接下游：M18/M19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候选五行</x:v>
      </x:c>
      <x:c r="I5" s="61" t="str">
        <x:v>对应十神</x:v>
      </x:c>
      <x:c r="J5" s="61" t="str">
        <x:v>用神来源</x:v>
      </x:c>
      <x:c r="K5" s="61" t="str">
        <x:v>扶抑作用</x:v>
      </x:c>
      <x:c r="L5" s="61" t="str">
        <x:v>格局作用</x:v>
      </x:c>
      <x:c r="M5" s="61" t="str">
        <x:v>通关作用</x:v>
      </x:c>
      <x:c r="N5" s="61" t="str">
        <x:v>调候作用</x:v>
      </x:c>
      <x:c r="O5" s="61" t="str">
        <x:v>病药作用</x:v>
      </x:c>
      <x:c r="P5" s="61" t="str">
        <x:v>主要收益</x:v>
      </x:c>
      <x:c r="Q5" s="61" t="str">
        <x:v>主要副作用</x:v>
      </x:c>
      <x:c r="R5" s="61" t="str">
        <x:v>适用条件</x:v>
      </x:c>
      <x:c r="S5" s="61" t="str">
        <x:v>不适用条件</x:v>
      </x:c>
      <x:c r="T5" s="61" t="str">
        <x:v>冲突维度</x:v>
      </x:c>
      <x:c r="U5" s="61" t="str">
        <x:v>冲突裁决Rule_ID</x:v>
      </x:c>
      <x:c r="V5" s="61" t="str">
        <x:v>综合定位</x:v>
      </x:c>
      <x:c r="W5" s="61" t="str">
        <x:v>主次优先级</x:v>
      </x:c>
      <x:c r="X5" s="61" t="str">
        <x:v>是否条件性</x:v>
      </x:c>
      <x:c r="Y5" s="61" t="str">
        <x:v>条件说明</x:v>
      </x:c>
      <x:c r="Z5" s="61" t="str">
        <x:v>结论标签</x:v>
      </x:c>
      <x:c r="AA5" s="61" t="str">
        <x:v>标准输出</x:v>
      </x:c>
      <x:c r="AB5" s="61" t="str">
        <x:v>置信等级</x:v>
      </x:c>
      <x:c r="AC5" s="61" t="str">
        <x:v>流派标签</x:v>
      </x:c>
      <x:c r="AD5" s="61" t="str">
        <x:v>依据说明</x:v>
      </x:c>
      <x:c r="AE5" s="61" t="str">
        <x:v>正例</x:v>
      </x:c>
      <x:c r="AF5" s="61" t="str">
        <x:v>反例</x:v>
      </x:c>
      <x:c r="AG5" s="61" t="str">
        <x:v>规则状态</x:v>
      </x:c>
      <x:c r="AH5" s="61" t="str">
        <x:v>审核状态</x:v>
      </x:c>
      <x:c r="AI5" s="61" t="str">
        <x:v>更新日期</x:v>
      </x:c>
    </x:row>
    <x:row r="6" ht="66" customHeight="1">
      <x:c r="A6" s="76" t="str">
        <x:f>IF(OR(C6="",D6=""),"",B6&amp;"-"&amp;UPPER(C6)&amp;"-"&amp;TEXT(D6,"0000")&amp;"-"&amp;E6)</x:f>
        <x:v>M17-DEMO-9999-V0.1</x:v>
      </x:c>
      <x:c r="B6" s="76" t="str">
        <x:v>M17</x:v>
      </x:c>
      <x:c r="C6" s="76" t="str">
        <x:v>DEMO</x:v>
      </x:c>
      <x:c r="D6" s="78" t="n">
        <x:v>9999</x:v>
      </x:c>
      <x:c r="E6" s="76" t="str">
        <x:v>V0.1</x:v>
      </x:c>
      <x:c r="F6" s="76" t="str">
        <x:v>调候有利但破格时降为条件性用神</x:v>
      </x:c>
      <x:c r="G6" s="76" t="str">
        <x:v>综合层</x:v>
      </x:c>
      <x:c r="H6" s="76" t="str">
        <x:v>火</x:v>
      </x:c>
      <x:c r="I6" s="76" t="str">
        <x:v>食神</x:v>
      </x:c>
      <x:c r="J6" s="76" t="str">
        <x:v>复合来源</x:v>
      </x:c>
      <x:c r="K6" s="76" t="str">
        <x:v>可能泄身</x:v>
      </x:c>
      <x:c r="L6" s="76" t="str">
        <x:v>可能伤害特殊格局或冲击核心格神</x:v>
      </x:c>
      <x:c r="M6" s="76" t="str">
        <x:v>视路径而定</x:v>
      </x:c>
      <x:c r="N6" s="76" t="str">
        <x:v>暖局明显</x:v>
      </x:c>
      <x:c r="O6" s="76" t="str">
        <x:v>解决寒凝</x:v>
      </x:c>
      <x:c r="P6" s="76" t="str">
        <x:v>改善寒冷与生化停滞</x:v>
      </x:c>
      <x:c r="Q6" s="76" t="str">
        <x:v>日主偏弱时进一步泄身，或破坏格局硬约束</x:v>
      </x:c>
      <x:c r="R6" s="76" t="str">
        <x:v>寒凝达到首要问题且火有根有源</x:v>
      </x:c>
      <x:c r="S6" s="76" t="str">
        <x:v>特殊格局严格成立且忌火，或身弱无承载</x:v>
      </x:c>
      <x:c r="T6" s="76" t="str">
        <x:v>调候与格局/扶抑冲突</x:v>
      </x:c>
      <x:c r="U6" s="76" t="str">
        <x:v>M18-CLIMATE-0029-V1.0</x:v>
      </x:c>
      <x:c r="V6" s="76" t="str">
        <x:v>条件性喜神</x:v>
      </x:c>
      <x:c r="W6" s="76" t="str">
        <x:v>条件顺位</x:v>
      </x:c>
      <x:c r="X6" s="76" t="str">
        <x:v>是</x:v>
      </x:c>
      <x:c r="Y6" s="76" t="str">
        <x:v>只有在不破格且日主可承载时，火才发挥正面作用</x:v>
      </x:c>
      <x:c r="Z6" s="76" t="str">
        <x:v>条件性用神</x:v>
      </x:c>
      <x:c r="AA6" s="76" t="str">
        <x:v>火在调候层面有利，但可能泄身或破格，故暂定条件性喜神，不列为无条件主用。</x:v>
      </x:c>
      <x:c r="AB6" s="76" t="str">
        <x:v>中等</x:v>
      </x:c>
      <x:c r="AC6" s="76" t="str">
        <x:v>现代综合</x:v>
      </x:c>
      <x:c r="AD6" s="76" t="str">
        <x:v>用神需多维评估，某一维度有利不足以自动成为主用。</x:v>
      </x:c>
      <x:c r="AE6" s="76" t="str">
        <x:v>寒局需火，但从格严格忌火时只能条件采用。</x:v>
      </x:c>
      <x:c r="AF6" s="76" t="str">
        <x:v>调候需火便直接写火为唯一主用。</x:v>
      </x:c>
      <x:c r="AG6" s="76" t="str">
        <x:v>示例</x:v>
      </x:c>
      <x:c r="AH6" s="76" t="str">
        <x:v>未审核</x:v>
      </x:c>
      <x:c r="AI6" s="86" t="n">
        <x:v>46254</x:v>
      </x:c>
    </x:row>
    <x:row r="7">
      <x:c r="A7" s="72" t="str">
        <x:f>IF(OR(C7="",D7=""),"",B7&amp;"-"&amp;UPPER(C7)&amp;"-"&amp;TEXT(D7,"0000")&amp;"-"&amp;E7)</x:f>
        <x:v>M17-GEN-0001-V1.0</x:v>
      </x:c>
      <x:c r="B7" s="74" t="str">
        <x:v>M17</x:v>
      </x:c>
      <x:c r="C7" s="74" t="str">
        <x:v>GEN</x:v>
      </x:c>
      <x:c r="D7" s="215" t="n">
        <x:v>1</x:v>
      </x:c>
      <x:c r="E7" s="74" t="str">
        <x:v>V1.0</x:v>
      </x:c>
      <x:c r="F7" s="68" t="str">
        <x:v>所有候选五行必须进入五维矩阵</x:v>
      </x:c>
      <x:c r="G7" s="82" t="str">
        <x:v>综合层</x:v>
      </x:c>
      <x:c r="H7" s="82"/>
      <x:c r="I7" s="82"/>
      <x:c r="J7" s="82" t="str">
        <x:v>复合来源</x:v>
      </x:c>
      <x:c r="K7" s="68" t="str">
        <x:v>读取M09扶抑需求</x:v>
      </x:c>
      <x:c r="L7" s="68" t="str">
        <x:v>读取M15格局成败与护格需求</x:v>
      </x:c>
      <x:c r="M7" s="68" t="str">
        <x:v>读取M12主路径与卡点</x:v>
      </x:c>
      <x:c r="N7" s="68" t="str">
        <x:v>读取M13双轴调候需求</x:v>
      </x:c>
      <x:c r="O7" s="68" t="str">
        <x:v>读取M16主病与药神</x:v>
      </x:c>
      <x:c r="P7" s="68" t="str">
        <x:v>避免单维度越级定用神</x:v>
      </x:c>
      <x:c r="Q7" s="90" t="str">
        <x:v>若证据不足则保持待定</x:v>
      </x:c>
      <x:c r="R7" s="68" t="str">
        <x:v>完成M09、M12、M13、M15、M16的基础结论</x:v>
      </x:c>
      <x:c r="S7" s="68" t="str">
        <x:v>任一关键前置模块尚未完成</x:v>
      </x:c>
      <x:c r="T7" s="68" t="str">
        <x:v>五维证据可能方向不一致</x:v>
      </x:c>
      <x:c r="U7" s="68" t="str">
        <x:v>M18-GEN-0001-V1.0</x:v>
      </x:c>
      <x:c r="V7" s="84" t="str">
        <x:v>待定</x:v>
      </x:c>
      <x:c r="W7" s="82" t="str">
        <x:v>待定</x:v>
      </x:c>
      <x:c r="X7" s="82" t="str">
        <x:v>待定</x:v>
      </x:c>
      <x:c r="Y7" s="68" t="str">
        <x:v>必须逐维填写收益、冲突与副作用</x:v>
      </x:c>
      <x:c r="Z7" s="84" t="str">
        <x:v>五维矩阵前置</x:v>
      </x:c>
      <x:c r="AA7" s="84" t="str">
        <x:v>该候选五行综合定位为“待定”，优先级为“待定”。主要收益：避免单维度越级定用神；主要副作用：若证据不足则保持待定；必须逐维填写收益、冲突与副作用。</x:v>
      </x:c>
      <x:c r="AB7" s="82" t="str">
        <x:v>较高</x:v>
      </x:c>
      <x:c r="AC7" s="82" t="str">
        <x:v>现代综合</x:v>
      </x:c>
      <x:c r="AD7" s="68" t="str">
        <x:v>喜忌用神必须同时读取扶抑、格局、通关、调候和病药五个维度。单一维度有利不足以自动成为主用；最终定位取决于是否解决根本问题、是否触犯格局硬约束、药力是否可达以及副作用是否可控。</x:v>
      </x:c>
      <x:c r="AE7" s="68" t="str">
        <x:v>满足“完成M09、M12、M13、M15、M16的基础结论”，且主要收益大于副作用时，可按“所有候选五行必须进入五维矩阵”定位。</x:v>
      </x:c>
      <x:c r="AF7" s="90" t="str">
        <x:v>若“任一关键前置模块尚未完成”成立，则不得按“所有候选五行必须进入五维矩阵”无条件定位。</x:v>
      </x:c>
      <x:c r="AG7" s="82" t="str">
        <x:v>采用</x:v>
      </x:c>
      <x:c r="AH7" s="82" t="str">
        <x:v>初审</x:v>
      </x:c>
      <x:c r="AI7" s="87" t="n">
        <x:v>46260</x:v>
      </x:c>
    </x:row>
    <x:row r="8">
      <x:c r="A8" s="72" t="str">
        <x:f>IF(OR(C8="",D8=""),"",B8&amp;"-"&amp;UPPER(C8)&amp;"-"&amp;TEXT(D8,"0000")&amp;"-"&amp;E8)</x:f>
        <x:v>M17-GEN-0002-V1.0</x:v>
      </x:c>
      <x:c r="B8" s="74" t="str">
        <x:v>M17</x:v>
      </x:c>
      <x:c r="C8" s="74" t="str">
        <x:v>GEN</x:v>
      </x:c>
      <x:c r="D8" s="215" t="n">
        <x:v>2</x:v>
      </x:c>
      <x:c r="E8" s="74" t="str">
        <x:v>V1.0</x:v>
      </x:c>
      <x:c r="F8" s="68" t="str">
        <x:v>单一维度有利只能生成候选</x:v>
      </x:c>
      <x:c r="G8" s="82" t="str">
        <x:v>综合层</x:v>
      </x:c>
      <x:c r="H8" s="82"/>
      <x:c r="I8" s="82"/>
      <x:c r="J8" s="82" t="str">
        <x:v>复合来源</x:v>
      </x:c>
      <x:c r="K8" s="68" t="str">
        <x:v>可能有利</x:v>
      </x:c>
      <x:c r="L8" s="68" t="str">
        <x:v>待核查</x:v>
      </x:c>
      <x:c r="M8" s="68" t="str">
        <x:v>待核查</x:v>
      </x:c>
      <x:c r="N8" s="68" t="str">
        <x:v>待核查</x:v>
      </x:c>
      <x:c r="O8" s="68" t="str">
        <x:v>待核查</x:v>
      </x:c>
      <x:c r="P8" s="68" t="str">
        <x:v>保留该维度的正向价值</x:v>
      </x:c>
      <x:c r="Q8" s="90" t="str">
        <x:v>其他维度可能否定或降级</x:v>
      </x:c>
      <x:c r="R8" s="68" t="str">
        <x:v>只有一个维度明确支持该五行</x:v>
      </x:c>
      <x:c r="S8" s="68" t="str">
        <x:v>该五行已触犯格局硬约束或制造更大根本病</x:v>
      </x:c>
      <x:c r="T8" s="68" t="str">
        <x:v>单维收益与其他维度未知</x:v>
      </x:c>
      <x:c r="U8" s="68" t="str">
        <x:v>M18-GEN-0008-V1.0</x:v>
      </x:c>
      <x:c r="V8" s="84" t="str">
        <x:v>条件性喜神</x:v>
      </x:c>
      <x:c r="W8" s="82" t="str">
        <x:v>条件顺位</x:v>
      </x:c>
      <x:c r="X8" s="82" t="str">
        <x:v>是</x:v>
      </x:c>
      <x:c r="Y8" s="68" t="str">
        <x:v>其他四维无重大反对时方可采用</x:v>
      </x:c>
      <x:c r="Z8" s="84" t="str">
        <x:v>单维有利不升主用</x:v>
      </x:c>
      <x:c r="AA8" s="84" t="str">
        <x:v>该候选五行综合定位为“条件性喜神”，优先级为“条件顺位”。主要收益：保留该维度的正向价值；主要副作用：其他维度可能否定或降级；仅在其他四维无重大反对时方可采用时成立。</x:v>
      </x:c>
      <x:c r="AB8" s="82" t="str">
        <x:v>较高</x:v>
      </x:c>
      <x:c r="AC8" s="82" t="str">
        <x:v>现代综合</x:v>
      </x:c>
      <x:c r="AD8" s="68" t="str">
        <x:v>喜忌用神必须同时读取扶抑、格局、通关、调候和病药五个维度。单一维度有利不足以自动成为主用；最终定位取决于是否解决根本问题、是否触犯格局硬约束、药力是否可达以及副作用是否可控。</x:v>
      </x:c>
      <x:c r="AE8" s="68" t="str">
        <x:v>满足“只有一个维度明确支持该五行”，且主要收益大于副作用时，可按“单一维度有利只能生成候选”定位。</x:v>
      </x:c>
      <x:c r="AF8" s="90" t="str">
        <x:v>若“该五行已触犯格局硬约束或制造更大根本病”成立，则不得按“单一维度有利只能生成候选”无条件定位。</x:v>
      </x:c>
      <x:c r="AG8" s="82" t="str">
        <x:v>采用</x:v>
      </x:c>
      <x:c r="AH8" s="82" t="str">
        <x:v>初审</x:v>
      </x:c>
      <x:c r="AI8" s="87" t="n">
        <x:v>46260</x:v>
      </x:c>
    </x:row>
    <x:row r="9">
      <x:c r="A9" s="72" t="str">
        <x:f>IF(OR(C9="",D9=""),"",B9&amp;"-"&amp;UPPER(C9)&amp;"-"&amp;TEXT(D9,"0000")&amp;"-"&amp;E9)</x:f>
        <x:v>M17-GEN-0003-V1.0</x:v>
      </x:c>
      <x:c r="B9" s="74" t="str">
        <x:v>M17</x:v>
      </x:c>
      <x:c r="C9" s="74" t="str">
        <x:v>GEN</x:v>
      </x:c>
      <x:c r="D9" s="215" t="n">
        <x:v>3</x:v>
      </x:c>
      <x:c r="E9" s="74" t="str">
        <x:v>V1.0</x:v>
      </x:c>
      <x:c r="F9" s="68" t="str">
        <x:v>两个以上关键维度同向可提高定位</x:v>
      </x:c>
      <x:c r="G9" s="82" t="str">
        <x:v>综合层</x:v>
      </x:c>
      <x:c r="H9" s="82"/>
      <x:c r="I9" s="82"/>
      <x:c r="J9" s="82" t="str">
        <x:v>复合来源</x:v>
      </x:c>
      <x:c r="K9" s="68" t="str">
        <x:v>至少一个维度正向</x:v>
      </x:c>
      <x:c r="L9" s="68" t="str">
        <x:v>至少一个维度正向</x:v>
      </x:c>
      <x:c r="M9" s="68" t="str">
        <x:v>可能正向</x:v>
      </x:c>
      <x:c r="N9" s="68" t="str">
        <x:v>可能正向</x:v>
      </x:c>
      <x:c r="O9" s="68" t="str">
        <x:v>可能正向</x:v>
      </x:c>
      <x:c r="P9" s="68" t="str">
        <x:v>一神多效，减少多药冲突</x:v>
      </x:c>
      <x:c r="Q9" s="90" t="str">
        <x:v>仍需检查是否触犯硬约束</x:v>
      </x:c>
      <x:c r="R9" s="68" t="str">
        <x:v>至少两个相互独立的关键维度明确支持同一五行</x:v>
      </x:c>
      <x:c r="S9" s="68" t="str">
        <x:v>支持证据来自同一事实重复计数</x:v>
      </x:c>
      <x:c r="T9" s="68" t="str">
        <x:v>同源证据去重</x:v>
      </x:c>
      <x:c r="U9" s="68" t="str">
        <x:v>M18-GEN-0006-V1.0</x:v>
      </x:c>
      <x:c r="V9" s="84" t="str">
        <x:v>喜神</x:v>
      </x:c>
      <x:c r="W9" s="82" t="str">
        <x:v>第三顺位</x:v>
      </x:c>
      <x:c r="X9" s="82" t="str">
        <x:v>条件性</x:v>
      </x:c>
      <x:c r="Y9" s="68" t="str">
        <x:v>独立证据成立且无严重副作用</x:v>
      </x:c>
      <x:c r="Z9" s="84" t="str">
        <x:v>多维同向升级</x:v>
      </x:c>
      <x:c r="AA9" s="84" t="str">
        <x:v>该候选五行综合定位为“喜神”，优先级为“第三顺位”。主要收益：一神多效，减少多药冲突；主要副作用：仍需检查是否触犯硬约束；仅在独立证据成立且无严重副作用时成立。</x:v>
      </x:c>
      <x:c r="AB9" s="82" t="str">
        <x:v>较高</x:v>
      </x:c>
      <x:c r="AC9" s="82" t="str">
        <x:v>现代综合</x:v>
      </x:c>
      <x:c r="AD9" s="68" t="str">
        <x:v>喜忌用神必须同时读取扶抑、格局、通关、调候和病药五个维度。单一维度有利不足以自动成为主用；最终定位取决于是否解决根本问题、是否触犯格局硬约束、药力是否可达以及副作用是否可控。</x:v>
      </x:c>
      <x:c r="AE9" s="68" t="str">
        <x:v>满足“至少两个相互独立的关键维度明确支持同一五行”，且主要收益大于副作用时，可按“两个以上关键维度同向可提高定位”定位。</x:v>
      </x:c>
      <x:c r="AF9" s="90" t="str">
        <x:v>若“支持证据来自同一事实重复计数”成立，则不得按“两个以上关键维度同向可提高定位”无条件定位。</x:v>
      </x:c>
      <x:c r="AG9" s="82" t="str">
        <x:v>采用</x:v>
      </x:c>
      <x:c r="AH9" s="82" t="str">
        <x:v>初审</x:v>
      </x:c>
      <x:c r="AI9" s="87" t="n">
        <x:v>46260</x:v>
      </x:c>
    </x:row>
    <x:row r="10">
      <x:c r="A10" s="72" t="str">
        <x:f>IF(OR(C10="",D10=""),"",B10&amp;"-"&amp;UPPER(C10)&amp;"-"&amp;TEXT(D10,"0000")&amp;"-"&amp;E10)</x:f>
        <x:v>M17-GEN-0004-V1.0</x:v>
      </x:c>
      <x:c r="B10" s="74" t="str">
        <x:v>M17</x:v>
      </x:c>
      <x:c r="C10" s="74" t="str">
        <x:v>GEN</x:v>
      </x:c>
      <x:c r="D10" s="215" t="n">
        <x:v>4</x:v>
      </x:c>
      <x:c r="E10" s="74" t="str">
        <x:v>V1.0</x:v>
      </x:c>
      <x:c r="F10" s="68" t="str">
        <x:v>根本病药与格局需求同向时可列主用候选</x:v>
      </x:c>
      <x:c r="G10" s="82" t="str">
        <x:v>综合层</x:v>
      </x:c>
      <x:c r="H10" s="82"/>
      <x:c r="I10" s="82"/>
      <x:c r="J10" s="82" t="str">
        <x:v>复合来源</x:v>
      </x:c>
      <x:c r="K10" s="68" t="str">
        <x:v>按日主状态复核</x:v>
      </x:c>
      <x:c r="L10" s="68" t="str">
        <x:v>保护或修复核心格局</x:v>
      </x:c>
      <x:c r="M10" s="68" t="str">
        <x:v>可同时改善主路径</x:v>
      </x:c>
      <x:c r="N10" s="68" t="str">
        <x:v>无重大反向</x:v>
      </x:c>
      <x:c r="O10" s="68" t="str">
        <x:v>直接治疗根本主病</x:v>
      </x:c>
      <x:c r="P10" s="68" t="str">
        <x:v>同时治根本病并维护格局</x:v>
      </x:c>
      <x:c r="Q10" s="90" t="str">
        <x:v>需控制药力过量</x:v>
      </x:c>
      <x:c r="R10" s="68" t="str">
        <x:v>M16主药与M15格局用神方向一致</x:v>
      </x:c>
      <x:c r="S10" s="68" t="str">
        <x:v>药神无效、伤害日主承载或造成严重调候问题</x:v>
      </x:c>
      <x:c r="T10" s="68" t="str">
        <x:v>病药与扶抑/调候潜在冲突</x:v>
      </x:c>
      <x:c r="U10" s="68" t="str">
        <x:v>M18-MED-0041-V1.0</x:v>
      </x:c>
      <x:c r="V10" s="84" t="str">
        <x:v>主用神</x:v>
      </x:c>
      <x:c r="W10" s="82" t="str">
        <x:v>第一顺位</x:v>
      </x:c>
      <x:c r="X10" s="82" t="str">
        <x:v>条件性</x:v>
      </x:c>
      <x:c r="Y10" s="68" t="str">
        <x:v>药力可达且其他维度无硬否决</x:v>
      </x:c>
      <x:c r="Z10" s="84" t="str">
        <x:v>病格同向主用候选</x:v>
      </x:c>
      <x:c r="AA10" s="84" t="str">
        <x:v>该候选五行综合定位为“主用神”，优先级为“第一顺位”。主要收益：同时治根本病并维护格局；主要副作用：需控制药力过量；仅在药力可达且其他维度无硬否决时成立。</x:v>
      </x:c>
      <x:c r="AB10" s="82" t="str">
        <x:v>较高</x:v>
      </x:c>
      <x:c r="AC10" s="82" t="str">
        <x:v>现代综合</x:v>
      </x:c>
      <x:c r="AD10" s="68" t="str">
        <x:v>喜忌用神必须同时读取扶抑、格局、通关、调候和病药五个维度。单一维度有利不足以自动成为主用；最终定位取决于是否解决根本问题、是否触犯格局硬约束、药力是否可达以及副作用是否可控。</x:v>
      </x:c>
      <x:c r="AE10" s="68" t="str">
        <x:v>满足“M16主药与M15格局用神方向一致”，且主要收益大于副作用时，可按“根本病药与格局需求同向时可列主用候选”定位。</x:v>
      </x:c>
      <x:c r="AF10" s="90" t="str">
        <x:v>若“药神无效、伤害日主承载或造成严重调候问题”成立，则不得按“根本病药与格局需求同向时可列主用候选”无条件定位。</x:v>
      </x:c>
      <x:c r="AG10" s="82" t="str">
        <x:v>采用</x:v>
      </x:c>
      <x:c r="AH10" s="82" t="str">
        <x:v>初审</x:v>
      </x:c>
      <x:c r="AI10" s="87" t="n">
        <x:v>46260</x:v>
      </x:c>
    </x:row>
    <x:row r="11">
      <x:c r="A11" s="72" t="str">
        <x:f>IF(OR(C11="",D11=""),"",B11&amp;"-"&amp;UPPER(C11)&amp;"-"&amp;TEXT(D11,"0000")&amp;"-"&amp;E11)</x:f>
        <x:v>M17-GEN-0005-V1.0</x:v>
      </x:c>
      <x:c r="B11" s="74" t="str">
        <x:v>M17</x:v>
      </x:c>
      <x:c r="C11" s="74" t="str">
        <x:v>GEN</x:v>
      </x:c>
      <x:c r="D11" s="215" t="n">
        <x:v>5</x:v>
      </x:c>
      <x:c r="E11" s="74" t="str">
        <x:v>V1.0</x:v>
      </x:c>
      <x:c r="F11" s="68" t="str">
        <x:v>特殊格局严格成立时维护主势属于硬约束</x:v>
      </x:c>
      <x:c r="G11" s="82" t="str">
        <x:v>综合层</x:v>
      </x:c>
      <x:c r="H11" s="82"/>
      <x:c r="I11" s="82"/>
      <x:c r="J11" s="82" t="str">
        <x:v>格局用神</x:v>
      </x:c>
      <x:c r="K11" s="68" t="str">
        <x:v>普通扶抑结论让位于顺势</x:v>
      </x:c>
      <x:c r="L11" s="68" t="str">
        <x:v>维护从格、化气或专旺</x:v>
      </x:c>
      <x:c r="M11" s="68" t="str">
        <x:v>仅采用不破主势的流通方案</x:v>
      </x:c>
      <x:c r="N11" s="68" t="str">
        <x:v>调候须条件化</x:v>
      </x:c>
      <x:c r="O11" s="68" t="str">
        <x:v>病药不得逆格</x:v>
      </x:c>
      <x:c r="P11" s="68" t="str">
        <x:v>保护特殊格局成立条件</x:v>
      </x:c>
      <x:c r="Q11" s="90" t="str">
        <x:v>可能无法完全解决普通旺衰或调候偏差</x:v>
      </x:c>
      <x:c r="R11" s="68" t="str">
        <x:v>M15判特殊格局严格成立</x:v>
      </x:c>
      <x:c r="S11" s="68" t="str">
        <x:v>特殊格局被M15否决或仅为假从、假化</x:v>
      </x:c>
      <x:c r="T11" s="68" t="str">
        <x:v>特殊格局与普通扶抑/调候冲突</x:v>
      </x:c>
      <x:c r="U11" s="68" t="str">
        <x:v>M18-SPECIAL-0009-V1.0</x:v>
      </x:c>
      <x:c r="V11" s="84" t="str">
        <x:v>主用神</x:v>
      </x:c>
      <x:c r="W11" s="82" t="str">
        <x:v>第一顺位</x:v>
      </x:c>
      <x:c r="X11" s="82" t="str">
        <x:v>否</x:v>
      </x:c>
      <x:c r="Y11" s="68" t="str">
        <x:v>仅限严格成立的特殊格局</x:v>
      </x:c>
      <x:c r="Z11" s="84" t="str">
        <x:v>特殊格局硬约束</x:v>
      </x:c>
      <x:c r="AA11" s="84" t="str">
        <x:v>该候选五行综合定位为“主用神”，优先级为“第一顺位”。主要收益：保护特殊格局成立条件；主要副作用：可能无法完全解决普通旺衰或调候偏差；仅限严格成立的特殊格局。</x:v>
      </x:c>
      <x:c r="AB11" s="82" t="str">
        <x:v>较高</x:v>
      </x:c>
      <x:c r="AC11" s="82" t="str">
        <x:v>现代综合</x:v>
      </x:c>
      <x:c r="AD11" s="68" t="str">
        <x:v>喜忌用神必须同时读取扶抑、格局、通关、调候和病药五个维度。单一维度有利不足以自动成为主用；最终定位取决于是否解决根本问题、是否触犯格局硬约束、药力是否可达以及副作用是否可控。</x:v>
      </x:c>
      <x:c r="AE11" s="68" t="str">
        <x:v>满足“M15判特殊格局严格成立”，且主要收益大于副作用时，可按“特殊格局严格成立时维护主势属于硬约束”定位。</x:v>
      </x:c>
      <x:c r="AF11" s="90" t="str">
        <x:v>若“特殊格局被M15否决或仅为假从、假化”成立，则不得按“特殊格局严格成立时维护主势属于硬约束”无条件定位。</x:v>
      </x:c>
      <x:c r="AG11" s="82" t="str">
        <x:v>采用</x:v>
      </x:c>
      <x:c r="AH11" s="82" t="str">
        <x:v>初审</x:v>
      </x:c>
      <x:c r="AI11" s="87" t="n">
        <x:v>46260</x:v>
      </x:c>
    </x:row>
    <x:row r="12">
      <x:c r="A12" s="72" t="str">
        <x:f>IF(OR(C12="",D12=""),"",B12&amp;"-"&amp;UPPER(C12)&amp;"-"&amp;TEXT(D12,"0000")&amp;"-"&amp;E12)</x:f>
        <x:v>M17-GEN-0006-V1.0</x:v>
      </x:c>
      <x:c r="B12" s="74" t="str">
        <x:v>M17</x:v>
      </x:c>
      <x:c r="C12" s="74" t="str">
        <x:v>GEN</x:v>
      </x:c>
      <x:c r="D12" s="215" t="n">
        <x:v>6</x:v>
      </x:c>
      <x:c r="E12" s="74" t="str">
        <x:v>V1.0</x:v>
      </x:c>
      <x:c r="F12" s="68" t="str">
        <x:v>有利但伤害核心格局时必须降级</x:v>
      </x:c>
      <x:c r="G12" s="82" t="str">
        <x:v>综合层</x:v>
      </x:c>
      <x:c r="H12" s="82"/>
      <x:c r="I12" s="82"/>
      <x:c r="J12" s="82" t="str">
        <x:v>复合来源</x:v>
      </x:c>
      <x:c r="K12" s="68" t="str">
        <x:v>可能正向</x:v>
      </x:c>
      <x:c r="L12" s="68" t="str">
        <x:v>直接损伤格神或破坏特殊格局</x:v>
      </x:c>
      <x:c r="M12" s="68" t="str">
        <x:v>可能正向</x:v>
      </x:c>
      <x:c r="N12" s="68" t="str">
        <x:v>可能正向</x:v>
      </x:c>
      <x:c r="O12" s="68" t="str">
        <x:v>可能治次病</x:v>
      </x:c>
      <x:c r="P12" s="68" t="str">
        <x:v>解决局部旺衰、流通或调候问题</x:v>
      </x:c>
      <x:c r="Q12" s="90" t="str">
        <x:v>制造更高优先级格局病</x:v>
      </x:c>
      <x:c r="R12" s="68" t="str">
        <x:v>该五行有局部收益但格局损伤可被严格限制</x:v>
      </x:c>
      <x:c r="S12" s="68" t="str">
        <x:v>格局损伤不可逆或属于根本破格</x:v>
      </x:c>
      <x:c r="T12" s="68" t="str">
        <x:v>局部收益与格局硬约束冲突</x:v>
      </x:c>
      <x:c r="U12" s="68" t="str">
        <x:v>M18-PATTERN-0017-V1.0</x:v>
      </x:c>
      <x:c r="V12" s="84" t="str">
        <x:v>条件性喜神</x:v>
      </x:c>
      <x:c r="W12" s="82" t="str">
        <x:v>条件顺位</x:v>
      </x:c>
      <x:c r="X12" s="82" t="str">
        <x:v>是</x:v>
      </x:c>
      <x:c r="Y12" s="68" t="str">
        <x:v>仅在不破格或存在替代保护机制时采用</x:v>
      </x:c>
      <x:c r="Z12" s="84" t="str">
        <x:v>伤格降级</x:v>
      </x:c>
      <x:c r="AA12" s="84" t="str">
        <x:v>该候选五行综合定位为“条件性喜神”，优先级为“条件顺位”。主要收益：解决局部旺衰、流通或调候问题；主要副作用：制造更高优先级格局病。仅在不破格或存在替代保护机制时采用。</x:v>
      </x:c>
      <x:c r="AB12" s="82" t="str">
        <x:v>较高</x:v>
      </x:c>
      <x:c r="AC12" s="82" t="str">
        <x:v>现代综合</x:v>
      </x:c>
      <x:c r="AD12" s="68" t="str">
        <x:v>喜忌用神必须同时读取扶抑、格局、通关、调候和病药五个维度。单一维度有利不足以自动成为主用；最终定位取决于是否解决根本问题、是否触犯格局硬约束、药力是否可达以及副作用是否可控。</x:v>
      </x:c>
      <x:c r="AE12" s="68" t="str">
        <x:v>满足“该五行有局部收益但格局损伤可被严格限制”，且主要收益大于副作用时，可按“有利但伤害核心格局时必须降级”定位。</x:v>
      </x:c>
      <x:c r="AF12" s="90" t="str">
        <x:v>若“格局损伤不可逆或属于根本破格”成立，则不得按“有利但伤害核心格局时必须降级”无条件定位。</x:v>
      </x:c>
      <x:c r="AG12" s="82" t="str">
        <x:v>采用</x:v>
      </x:c>
      <x:c r="AH12" s="82" t="str">
        <x:v>初审</x:v>
      </x:c>
      <x:c r="AI12" s="87" t="n">
        <x:v>46260</x:v>
      </x:c>
    </x:row>
    <x:row r="13">
      <x:c r="A13" s="72" t="str">
        <x:f>IF(OR(C13="",D13=""),"",B13&amp;"-"&amp;UPPER(C13)&amp;"-"&amp;TEXT(D13,"0000")&amp;"-"&amp;E13)</x:f>
        <x:v>M17-GEN-0007-V1.0</x:v>
      </x:c>
      <x:c r="B13" s="74" t="str">
        <x:v>M17</x:v>
      </x:c>
      <x:c r="C13" s="74" t="str">
        <x:v>GEN</x:v>
      </x:c>
      <x:c r="D13" s="215" t="n">
        <x:v>7</x:v>
      </x:c>
      <x:c r="E13" s="74" t="str">
        <x:v>V1.0</x:v>
      </x:c>
      <x:c r="F13" s="68" t="str">
        <x:v>能够治病但制造同级新病时保持条件性</x:v>
      </x:c>
      <x:c r="G13" s="82" t="str">
        <x:v>综合层</x:v>
      </x:c>
      <x:c r="H13" s="82"/>
      <x:c r="I13" s="82"/>
      <x:c r="J13" s="82" t="str">
        <x:v>病药用神</x:v>
      </x:c>
      <x:c r="K13" s="68" t="str">
        <x:v>待定</x:v>
      </x:c>
      <x:c r="L13" s="68" t="str">
        <x:v>待定</x:v>
      </x:c>
      <x:c r="M13" s="68" t="str">
        <x:v>待定</x:v>
      </x:c>
      <x:c r="N13" s="68" t="str">
        <x:v>待定</x:v>
      </x:c>
      <x:c r="O13" s="68" t="str">
        <x:v>治原病但产生新病</x:v>
      </x:c>
      <x:c r="P13" s="68" t="str">
        <x:v>缓解原根本病</x:v>
      </x:c>
      <x:c r="Q13" s="90" t="str">
        <x:v>生成同等严重的新旺衰、格局、流通或调候病</x:v>
      </x:c>
      <x:c r="R13" s="68" t="str">
        <x:v>新病可通过剂量、配伍或替代路径控制</x:v>
      </x:c>
      <x:c r="S13" s="68" t="str">
        <x:v>新病严重度高于原病</x:v>
      </x:c>
      <x:c r="T13" s="68" t="str">
        <x:v>病药收益与新病风险冲突</x:v>
      </x:c>
      <x:c r="U13" s="68" t="str">
        <x:v>M18-MED-0044-V1.0</x:v>
      </x:c>
      <x:c r="V13" s="84" t="str">
        <x:v>条件性喜神</x:v>
      </x:c>
      <x:c r="W13" s="82" t="str">
        <x:v>条件顺位</x:v>
      </x:c>
      <x:c r="X13" s="82" t="str">
        <x:v>是</x:v>
      </x:c>
      <x:c r="Y13" s="68" t="str">
        <x:v>净收益为正且新病风险可控</x:v>
      </x:c>
      <x:c r="Z13" s="84" t="str">
        <x:v>治病生病条件化</x:v>
      </x:c>
      <x:c r="AA13" s="84" t="str">
        <x:v>该候选五行综合定位为“条件性喜神”，优先级为“条件顺位”。主要收益：缓解原根本病；主要副作用：生成同等严重的新旺衰、格局、流通或调候病；仅在净收益为正且新病风险可控时成立。</x:v>
      </x:c>
      <x:c r="AB13" s="82" t="str">
        <x:v>较高</x:v>
      </x:c>
      <x:c r="AC13" s="82" t="str">
        <x:v>现代综合</x:v>
      </x:c>
      <x:c r="AD13" s="68" t="str">
        <x:v>喜忌用神必须同时读取扶抑、格局、通关、调候和病药五个维度。单一维度有利不足以自动成为主用；最终定位取决于是否解决根本问题、是否触犯格局硬约束、药力是否可达以及副作用是否可控。</x:v>
      </x:c>
      <x:c r="AE13" s="68" t="str">
        <x:v>满足“新病可通过剂量、配伍或替代路径控制”，且主要收益大于副作用时，可按“能够治病但制造同级新病时保持条件性”定位。</x:v>
      </x:c>
      <x:c r="AF13" s="90" t="str">
        <x:v>若“新病严重度高于原病”成立，则不得按“能够治病但制造同级新病时保持条件性”无条件定位。</x:v>
      </x:c>
      <x:c r="AG13" s="82" t="str">
        <x:v>采用</x:v>
      </x:c>
      <x:c r="AH13" s="82" t="str">
        <x:v>初审</x:v>
      </x:c>
      <x:c r="AI13" s="87" t="n">
        <x:v>46260</x:v>
      </x:c>
    </x:row>
    <x:row r="14">
      <x:c r="A14" s="72" t="str">
        <x:f>IF(OR(C14="",D14=""),"",B14&amp;"-"&amp;UPPER(C14)&amp;"-"&amp;TEXT(D14,"0000")&amp;"-"&amp;E14)</x:f>
        <x:v>M17-GEN-0008-V1.0</x:v>
      </x:c>
      <x:c r="B14" s="74" t="str">
        <x:v>M17</x:v>
      </x:c>
      <x:c r="C14" s="74" t="str">
        <x:v>GEN</x:v>
      </x:c>
      <x:c r="D14" s="215" t="n">
        <x:v>8</x:v>
      </x:c>
      <x:c r="E14" s="74" t="str">
        <x:v>V1.0</x:v>
      </x:c>
      <x:c r="F14" s="68" t="str">
        <x:v>无明显收益也无明显伤害时定位中性</x:v>
      </x:c>
      <x:c r="G14" s="82" t="str">
        <x:v>综合层</x:v>
      </x:c>
      <x:c r="H14" s="82"/>
      <x:c r="I14" s="82"/>
      <x:c r="J14" s="82" t="str">
        <x:v>复合来源</x:v>
      </x:c>
      <x:c r="K14" s="68" t="str">
        <x:v>中性</x:v>
      </x:c>
      <x:c r="L14" s="68" t="str">
        <x:v>中性</x:v>
      </x:c>
      <x:c r="M14" s="68" t="str">
        <x:v>中性</x:v>
      </x:c>
      <x:c r="N14" s="68" t="str">
        <x:v>中性</x:v>
      </x:c>
      <x:c r="O14" s="68" t="str">
        <x:v>中性</x:v>
      </x:c>
      <x:c r="P14" s="68" t="str">
        <x:v>不明显改变主要结构</x:v>
      </x:c>
      <x:c r="Q14" s="90" t="str">
        <x:v>占用判断资源但无核心价值</x:v>
      </x:c>
      <x:c r="R14" s="68" t="str">
        <x:v>五维均无明确正向或负向作用</x:v>
      </x:c>
      <x:c r="S14" s="68" t="str">
        <x:v>任一维度出现显著收益或伤害</x:v>
      </x:c>
      <x:c r="T14" s="68" t="str">
        <x:v>无重大冲突</x:v>
      </x:c>
      <x:c r="U14" s="68"/>
      <x:c r="V14" s="84" t="str">
        <x:v>中性</x:v>
      </x:c>
      <x:c r="W14" s="82" t="str">
        <x:v>不采用</x:v>
      </x:c>
      <x:c r="X14" s="82" t="str">
        <x:v>否</x:v>
      </x:c>
      <x:c r="Y14" s="68" t="str">
        <x:v>不列入主要喜忌排序</x:v>
      </x:c>
      <x:c r="Z14" s="84" t="str">
        <x:v>五维中性</x:v>
      </x:c>
      <x:c r="AA14" s="84" t="str">
        <x:v>该候选五行综合定位为“中性”，优先级为“不采用”。主要收益：不明显改变主要结构；主要副作用：占用判断资源但无核心价值；不列入主要喜忌排序。</x:v>
      </x:c>
      <x:c r="AB14" s="82" t="str">
        <x:v>较高</x:v>
      </x:c>
      <x:c r="AC14" s="82" t="str">
        <x:v>现代综合</x:v>
      </x:c>
      <x:c r="AD14" s="68" t="str">
        <x:v>喜忌用神必须同时读取扶抑、格局、通关、调候和病药五个维度。单一维度有利不足以自动成为主用；最终定位取决于是否解决根本问题、是否触犯格局硬约束、药力是否可达以及副作用是否可控。</x:v>
      </x:c>
      <x:c r="AE14" s="68" t="str">
        <x:v>满足“五维均无明确正向或负向作用”，且主要收益大于副作用时，可按“无明显收益也无明显伤害时定位中性”定位。</x:v>
      </x:c>
      <x:c r="AF14" s="90" t="str">
        <x:v>若“任一维度出现显著收益或伤害”成立，则不得按“无明显收益也无明显伤害时定位中性”无条件定位。</x:v>
      </x:c>
      <x:c r="AG14" s="82" t="str">
        <x:v>采用</x:v>
      </x:c>
      <x:c r="AH14" s="82" t="str">
        <x:v>初审</x:v>
      </x:c>
      <x:c r="AI14" s="87" t="n">
        <x:v>46260</x:v>
      </x:c>
    </x:row>
    <x:row r="15">
      <x:c r="A15" s="72" t="str">
        <x:f>IF(OR(C15="",D15=""),"",B15&amp;"-"&amp;UPPER(C15)&amp;"-"&amp;TEXT(D15,"0000")&amp;"-"&amp;E15)</x:f>
        <x:v>M17-GEN-0009-V1.0</x:v>
      </x:c>
      <x:c r="B15" s="74" t="str">
        <x:v>M17</x:v>
      </x:c>
      <x:c r="C15" s="74" t="str">
        <x:v>GEN</x:v>
      </x:c>
      <x:c r="D15" s="215" t="n">
        <x:v>9</x:v>
      </x:c>
      <x:c r="E15" s="74" t="str">
        <x:v>V1.0</x:v>
      </x:c>
      <x:c r="F15" s="68" t="str">
        <x:v>收益证据与伤害证据接近时保持待定</x:v>
      </x:c>
      <x:c r="G15" s="82" t="str">
        <x:v>综合层</x:v>
      </x:c>
      <x:c r="H15" s="82"/>
      <x:c r="I15" s="82"/>
      <x:c r="J15" s="82" t="str">
        <x:v>复合来源</x:v>
      </x:c>
      <x:c r="K15" s="68" t="str">
        <x:v>正反并存</x:v>
      </x:c>
      <x:c r="L15" s="68" t="str">
        <x:v>正反并存</x:v>
      </x:c>
      <x:c r="M15" s="68" t="str">
        <x:v>待定</x:v>
      </x:c>
      <x:c r="N15" s="68" t="str">
        <x:v>待定</x:v>
      </x:c>
      <x:c r="O15" s="68" t="str">
        <x:v>待定</x:v>
      </x:c>
      <x:c r="P15" s="68" t="str">
        <x:v>可能解决一个主要问题</x:v>
      </x:c>
      <x:c r="Q15" s="90" t="str">
        <x:v>可能造成同等严重的另一问题</x:v>
      </x:c>
      <x:c r="R15" s="68" t="str">
        <x:v>正反证据权重接近且缺少硬约束</x:v>
      </x:c>
      <x:c r="S15" s="68" t="str">
        <x:v>已有明确硬约束可裁决</x:v>
      </x:c>
      <x:c r="T15" s="68" t="str">
        <x:v>多维证据接近</x:v>
      </x:c>
      <x:c r="U15" s="68" t="str">
        <x:v>M18-GEN-0008-V1.0</x:v>
      </x:c>
      <x:c r="V15" s="84" t="str">
        <x:v>待定</x:v>
      </x:c>
      <x:c r="W15" s="82" t="str">
        <x:v>待定</x:v>
      </x:c>
      <x:c r="X15" s="82" t="str">
        <x:v>待定</x:v>
      </x:c>
      <x:c r="Y15" s="68" t="str">
        <x:v>保留替代候选与反向证据，待M18裁决</x:v>
      </x:c>
      <x:c r="Z15" s="84" t="str">
        <x:v>证据接近待定</x:v>
      </x:c>
      <x:c r="AA15" s="84" t="str">
        <x:v>该候选五行综合定位为“待定”，优先级为“待定”。主要收益：可能解决一个主要问题；主要副作用：可能造成同等严重的另一问题；保留替代候选与反向证据，待M18裁决。</x:v>
      </x:c>
      <x:c r="AB15" s="82" t="str">
        <x:v>中等</x:v>
      </x:c>
      <x:c r="AC15" s="82" t="str">
        <x:v>现代综合</x:v>
      </x:c>
      <x:c r="AD15" s="68" t="str">
        <x:v>喜忌用神必须同时读取扶抑、格局、通关、调候和病药五个维度。单一维度有利不足以自动成为主用；最终定位取决于是否解决根本问题、是否触犯格局硬约束、药力是否可达以及副作用是否可控。</x:v>
      </x:c>
      <x:c r="AE15" s="68" t="str">
        <x:v>满足“正反证据权重接近且缺少硬约束”，且主要收益大于副作用时，可按“收益证据与伤害证据接近时保持待定”定位。</x:v>
      </x:c>
      <x:c r="AF15" s="90" t="str">
        <x:v>若“已有明确硬约束可裁决”成立，则不得按“收益证据与伤害证据接近时保持待定”无条件定位。</x:v>
      </x:c>
      <x:c r="AG15" s="82" t="str">
        <x:v>待验证</x:v>
      </x:c>
      <x:c r="AH15" s="82" t="str">
        <x:v>初审</x:v>
      </x:c>
      <x:c r="AI15" s="87" t="n">
        <x:v>46260</x:v>
      </x:c>
    </x:row>
    <x:row r="16">
      <x:c r="A16" s="72" t="str">
        <x:f>IF(OR(C16="",D16=""),"",B16&amp;"-"&amp;UPPER(C16)&amp;"-"&amp;TEXT(D16,"0000")&amp;"-"&amp;E16)</x:f>
        <x:v>M17-GEN-0010-V1.0</x:v>
      </x:c>
      <x:c r="B16" s="74" t="str">
        <x:v>M17</x:v>
      </x:c>
      <x:c r="C16" s="74" t="str">
        <x:v>GEN</x:v>
      </x:c>
      <x:c r="D16" s="215" t="n">
        <x:v>10</x:v>
      </x:c>
      <x:c r="E16" s="74" t="str">
        <x:v>V1.0</x:v>
      </x:c>
      <x:c r="F16" s="68" t="str">
        <x:v>最终用神定位不得使用固定总分</x:v>
      </x:c>
      <x:c r="G16" s="82" t="str">
        <x:v>综合层</x:v>
      </x:c>
      <x:c r="H16" s="82"/>
      <x:c r="I16" s="82"/>
      <x:c r="J16" s="82" t="str">
        <x:v>复合来源</x:v>
      </x:c>
      <x:c r="K16" s="68" t="str">
        <x:v>强证据优先</x:v>
      </x:c>
      <x:c r="L16" s="68" t="str">
        <x:v>硬约束优先</x:v>
      </x:c>
      <x:c r="M16" s="68" t="str">
        <x:v>主路径优先</x:v>
      </x:c>
      <x:c r="N16" s="68" t="str">
        <x:v>根本气候病优先</x:v>
      </x:c>
      <x:c r="O16" s="68" t="str">
        <x:v>根本病优先</x:v>
      </x:c>
      <x:c r="P16" s="68" t="str">
        <x:v>避免弱证据堆叠压过决定性条件</x:v>
      </x:c>
      <x:c r="Q16" s="90" t="str">
        <x:v>需要保留判断过程</x:v>
      </x:c>
      <x:c r="R16" s="68" t="str">
        <x:v>存在多个维度证据</x:v>
      </x:c>
      <x:c r="S16" s="68" t="str">
        <x:v>无</x:v>
      </x:c>
      <x:c r="T16" s="68" t="str">
        <x:v>证据优先级而非机械分数</x:v>
      </x:c>
      <x:c r="U16" s="68" t="str">
        <x:v>M18-BOUND-0078-V1.0</x:v>
      </x:c>
      <x:c r="V16" s="84" t="str">
        <x:v>待定</x:v>
      </x:c>
      <x:c r="W16" s="82" t="str">
        <x:v>待定</x:v>
      </x:c>
      <x:c r="X16" s="82" t="str">
        <x:v>待定</x:v>
      </x:c>
      <x:c r="Y16" s="68" t="str">
        <x:v>按硬约束、根本病、主路径和副作用裁决</x:v>
      </x:c>
      <x:c r="Z16" s="84" t="str">
        <x:v>用神非机械计分</x:v>
      </x:c>
      <x:c r="AA16" s="84" t="str">
        <x:v>该候选五行综合定位为“待定”，优先级为“待定”。主要收益：避免弱证据堆叠压过决定性条件；主要副作用：需要保留判断过程；按硬约束、根本病、主路径和副作用裁决。</x:v>
      </x:c>
      <x:c r="AB16" s="82" t="str">
        <x:v>较高</x:v>
      </x:c>
      <x:c r="AC16" s="82" t="str">
        <x:v>现代综合</x:v>
      </x:c>
      <x:c r="AD16" s="68" t="str">
        <x:v>喜忌用神必须同时读取扶抑、格局、通关、调候和病药五个维度。单一维度有利不足以自动成为主用；最终定位取决于是否解决根本问题、是否触犯格局硬约束、药力是否可达以及副作用是否可控。</x:v>
      </x:c>
      <x:c r="AE16" s="68" t="str">
        <x:v>满足“存在多个维度证据”，且主要收益大于副作用时，可按“最终用神定位不得使用固定总分”定位。</x:v>
      </x:c>
      <x:c r="AF16" s="90" t="str">
        <x:v>若“无”成立，则不得按“最终用神定位不得使用固定总分”无条件定位。</x:v>
      </x:c>
      <x:c r="AG16" s="82" t="str">
        <x:v>采用</x:v>
      </x:c>
      <x:c r="AH16" s="82" t="str">
        <x:v>初审</x:v>
      </x:c>
      <x:c r="AI16" s="87" t="n">
        <x:v>46260</x:v>
      </x:c>
    </x:row>
    <x:row r="17">
      <x:c r="A17" s="72" t="str">
        <x:f>IF(OR(C17="",D17=""),"",B17&amp;"-"&amp;UPPER(C17)&amp;"-"&amp;TEXT(D17,"0000")&amp;"-"&amp;E17)</x:f>
        <x:v>M17-FUYI-0011-V1.0</x:v>
      </x:c>
      <x:c r="B17" s="74" t="str">
        <x:v>M17</x:v>
      </x:c>
      <x:c r="C17" s="74" t="str">
        <x:v>FUYI</x:v>
      </x:c>
      <x:c r="D17" s="215" t="n">
        <x:v>11</x:v>
      </x:c>
      <x:c r="E17" s="74" t="str">
        <x:v>V1.0</x:v>
      </x:c>
      <x:c r="F17" s="68" t="str">
        <x:v>身弱无依时正印可列扶身候选</x:v>
      </x:c>
      <x:c r="G17" s="82" t="str">
        <x:v>综合层</x:v>
      </x:c>
      <x:c r="H17" s="82"/>
      <x:c r="I17" s="82" t="str">
        <x:v>正印</x:v>
      </x:c>
      <x:c r="J17" s="82" t="str">
        <x:v>扶抑用神</x:v>
      </x:c>
      <x:c r="K17" s="68" t="str">
        <x:v>直接生日主并补充承载</x:v>
      </x:c>
      <x:c r="L17" s="68" t="str">
        <x:v>可支持官印相生或护身</x:v>
      </x:c>
      <x:c r="M17" s="68" t="str">
        <x:v>可承接官杀后生日主</x:v>
      </x:c>
      <x:c r="N17" s="68" t="str">
        <x:v>随印星五行另判</x:v>
      </x:c>
      <x:c r="O17" s="68" t="str">
        <x:v>治疗身弱无依或化杀不及</x:v>
      </x:c>
      <x:c r="P17" s="68" t="str">
        <x:v>补充日主根源与承载</x:v>
      </x:c>
      <x:c r="Q17" s="90" t="str">
        <x:v>印过旺可能身滞、制食伤或坏财格</x:v>
      </x:c>
      <x:c r="R17" s="68" t="str">
        <x:v>M09身弱，正印有效，且不是从格</x:v>
      </x:c>
      <x:c r="S17" s="68" t="str">
        <x:v>日主已旺、印多身滞或食伤为核心格神</x:v>
      </x:c>
      <x:c r="T17" s="68" t="str">
        <x:v>扶身与食伤/财格冲突</x:v>
      </x:c>
      <x:c r="U17" s="68" t="str">
        <x:v>M18-PATTERN-0017-V1.0</x:v>
      </x:c>
      <x:c r="V17" s="84" t="str">
        <x:v>喜神</x:v>
      </x:c>
      <x:c r="W17" s="82" t="str">
        <x:v>第二顺位</x:v>
      </x:c>
      <x:c r="X17" s="82" t="str">
        <x:v>条件性</x:v>
      </x:c>
      <x:c r="Y17" s="68" t="str">
        <x:v>印不过量且不破坏关键食伤财星</x:v>
      </x:c>
      <x:c r="Z17" s="84" t="str">
        <x:v>身弱正印候选</x:v>
      </x:c>
      <x:c r="AA17" s="84" t="str">
        <x:v>该候选五行综合定位为“喜神”，优先级为“第二顺位”。主要收益：补充日主根源与承载；主要副作用：印过旺可能身滞、制食伤或坏财格；仅在印不过量且不破坏关键食伤财星时成立。</x:v>
      </x:c>
      <x:c r="AB17" s="82" t="str">
        <x:v>较高</x:v>
      </x:c>
      <x:c r="AC17" s="82" t="str">
        <x:v>现代综合</x:v>
      </x:c>
      <x:c r="AD17" s="68" t="str">
        <x:v>喜忌用神必须同时读取扶抑、格局、通关、调候和病药五个维度。单一维度有利不足以自动成为主用；最终定位取决于是否解决根本问题、是否触犯格局硬约束、药力是否可达以及副作用是否可控。</x:v>
      </x:c>
      <x:c r="AE17" s="68" t="str">
        <x:v>满足“M09身弱，正印有效，且不是从格”，且主要收益大于副作用时，可按“身弱无依时正印可列扶身候选”定位。</x:v>
      </x:c>
      <x:c r="AF17" s="90" t="str">
        <x:v>若“日主已旺、印多身滞或食伤为核心格神”成立，则不得按“身弱无依时正印可列扶身候选”无条件定位。</x:v>
      </x:c>
      <x:c r="AG17" s="82" t="str">
        <x:v>采用</x:v>
      </x:c>
      <x:c r="AH17" s="82" t="str">
        <x:v>初审</x:v>
      </x:c>
      <x:c r="AI17" s="87" t="n">
        <x:v>46260</x:v>
      </x:c>
    </x:row>
    <x:row r="18">
      <x:c r="A18" s="72" t="str">
        <x:f>IF(OR(C18="",D18=""),"",B18&amp;"-"&amp;UPPER(C18)&amp;"-"&amp;TEXT(D18,"0000")&amp;"-"&amp;E18)</x:f>
        <x:v>M17-FUYI-0012-V1.0</x:v>
      </x:c>
      <x:c r="B18" s="74" t="str">
        <x:v>M17</x:v>
      </x:c>
      <x:c r="C18" s="74" t="str">
        <x:v>FUYI</x:v>
      </x:c>
      <x:c r="D18" s="215" t="n">
        <x:v>12</x:v>
      </x:c>
      <x:c r="E18" s="74" t="str">
        <x:v>V1.0</x:v>
      </x:c>
      <x:c r="F18" s="68" t="str">
        <x:v>身弱且杀旺时偏印可列化杀扶身候选</x:v>
      </x:c>
      <x:c r="G18" s="82" t="str">
        <x:v>综合层</x:v>
      </x:c>
      <x:c r="H18" s="82"/>
      <x:c r="I18" s="82" t="str">
        <x:v>偏印</x:v>
      </x:c>
      <x:c r="J18" s="82" t="str">
        <x:v>扶抑用神</x:v>
      </x:c>
      <x:c r="K18" s="68" t="str">
        <x:v>生日主并提高承杀能力</x:v>
      </x:c>
      <x:c r="L18" s="68" t="str">
        <x:v>支持杀印相生</x:v>
      </x:c>
      <x:c r="M18" s="68" t="str">
        <x:v>官杀→印→身通路</x:v>
      </x:c>
      <x:c r="N18" s="68" t="str">
        <x:v>随偏印五行另判</x:v>
      </x:c>
      <x:c r="O18" s="68" t="str">
        <x:v>化杀生身</x:v>
      </x:c>
      <x:c r="P18" s="68" t="str">
        <x:v>同时缓解杀压和身弱</x:v>
      </x:c>
      <x:c r="Q18" s="90" t="str">
        <x:v>可能枭夺食、压制食神制杀</x:v>
      </x:c>
      <x:c r="R18" s="68" t="str">
        <x:v>身弱杀旺，偏印有效，且杀印路线优于食制路线</x:v>
      </x:c>
      <x:c r="S18" s="68" t="str">
        <x:v>食神为核心制杀药且偏印会夺食</x:v>
      </x:c>
      <x:c r="T18" s="68" t="str">
        <x:v>印化杀与食制杀路线冲突</x:v>
      </x:c>
      <x:c r="U18" s="68" t="str">
        <x:v>M18-ROUTE-0051-V1.0</x:v>
      </x:c>
      <x:c r="V18" s="84" t="str">
        <x:v>主用神</x:v>
      </x:c>
      <x:c r="W18" s="82" t="str">
        <x:v>第一顺位</x:v>
      </x:c>
      <x:c r="X18" s="82" t="str">
        <x:v>是</x:v>
      </x:c>
      <x:c r="Y18" s="68" t="str">
        <x:v>选择印化杀主路线且偏印不夺关键食神</x:v>
      </x:c>
      <x:c r="Z18" s="84" t="str">
        <x:v>身弱偏印化杀</x:v>
      </x:c>
      <x:c r="AA18" s="84" t="str">
        <x:v>该候选五行综合定位为“主用神”，优先级为“第一顺位”。主要收益：同时缓解杀压和身弱；主要副作用：可能枭夺食、压制食神制杀；仅在选择印化杀主路线且偏印不夺关键食神时成立。</x:v>
      </x:c>
      <x:c r="AB18" s="82" t="str">
        <x:v>较高</x:v>
      </x:c>
      <x:c r="AC18" s="82" t="str">
        <x:v>现代综合</x:v>
      </x:c>
      <x:c r="AD18" s="68" t="str">
        <x:v>喜忌用神必须同时读取扶抑、格局、通关、调候和病药五个维度。单一维度有利不足以自动成为主用；最终定位取决于是否解决根本问题、是否触犯格局硬约束、药力是否可达以及副作用是否可控。</x:v>
      </x:c>
      <x:c r="AE18" s="68" t="str">
        <x:v>满足“身弱杀旺，偏印有效，且杀印路线优于食制路线”，且主要收益大于副作用时，可按“身弱且杀旺时偏印可列化杀扶身候选”定位。</x:v>
      </x:c>
      <x:c r="AF18" s="90" t="str">
        <x:v>若“食神为核心制杀药且偏印会夺食”成立，则不得按“身弱且杀旺时偏印可列化杀扶身候选”无条件定位。</x:v>
      </x:c>
      <x:c r="AG18" s="82" t="str">
        <x:v>采用</x:v>
      </x:c>
      <x:c r="AH18" s="82" t="str">
        <x:v>初审</x:v>
      </x:c>
      <x:c r="AI18" s="87" t="n">
        <x:v>46260</x:v>
      </x:c>
    </x:row>
    <x:row r="19">
      <x:c r="A19" s="72" t="str">
        <x:f>IF(OR(C19="",D19=""),"",B19&amp;"-"&amp;UPPER(C19)&amp;"-"&amp;TEXT(D19,"0000")&amp;"-"&amp;E19)</x:f>
        <x:v>M17-FUYI-0013-V1.0</x:v>
      </x:c>
      <x:c r="B19" s="74" t="str">
        <x:v>M17</x:v>
      </x:c>
      <x:c r="C19" s="74" t="str">
        <x:v>FUYI</x:v>
      </x:c>
      <x:c r="D19" s="215" t="n">
        <x:v>13</x:v>
      </x:c>
      <x:c r="E19" s="74" t="str">
        <x:v>V1.0</x:v>
      </x:c>
      <x:c r="F19" s="68" t="str">
        <x:v>身弱财旺时比肩可列承财候选</x:v>
      </x:c>
      <x:c r="G19" s="82" t="str">
        <x:v>综合层</x:v>
      </x:c>
      <x:c r="H19" s="82"/>
      <x:c r="I19" s="82" t="str">
        <x:v>比肩</x:v>
      </x:c>
      <x:c r="J19" s="82" t="str">
        <x:v>扶抑用神</x:v>
      </x:c>
      <x:c r="K19" s="68" t="str">
        <x:v>增强日主同类承载</x:v>
      </x:c>
      <x:c r="L19" s="68" t="str">
        <x:v>可帮助身财两停</x:v>
      </x:c>
      <x:c r="M19" s="68" t="str">
        <x:v>提高身→食伤→财链源头容量</x:v>
      </x:c>
      <x:c r="N19" s="68" t="str">
        <x:v>随比肩五行另判</x:v>
      </x:c>
      <x:c r="O19" s="68" t="str">
        <x:v>治疗财多身弱</x:v>
      </x:c>
      <x:c r="P19" s="68" t="str">
        <x:v>分担财耗并稳固日主</x:v>
      </x:c>
      <x:c r="Q19" s="90" t="str">
        <x:v>比肩过旺可能争财、壅塞或破财格</x:v>
      </x:c>
      <x:c r="R19" s="68" t="str">
        <x:v>日主弱、财旺、比肩有效且财格并非严格从财</x:v>
      </x:c>
      <x:c r="S19" s="68" t="str">
        <x:v>真从财格或比劫已经成势夺财</x:v>
      </x:c>
      <x:c r="T19" s="68" t="str">
        <x:v>扶身与财格清纯冲突</x:v>
      </x:c>
      <x:c r="U19" s="68" t="str">
        <x:v>M18-ROUTE-0055-V1.0</x:v>
      </x:c>
      <x:c r="V19" s="84" t="str">
        <x:v>喜神</x:v>
      </x:c>
      <x:c r="W19" s="82" t="str">
        <x:v>第二顺位</x:v>
      </x:c>
      <x:c r="X19" s="82" t="str">
        <x:v>条件性</x:v>
      </x:c>
      <x:c r="Y19" s="68" t="str">
        <x:v>扶身收益大于对财星的克制副作用</x:v>
      </x:c>
      <x:c r="Z19" s="84" t="str">
        <x:v>身弱比肩承财</x:v>
      </x:c>
      <x:c r="AA19" s="84" t="str">
        <x:v>该候选五行综合定位为“喜神”，优先级为“第二顺位”。主要收益：分担财耗并稳固日主；主要副作用：比肩过旺可能争财、壅塞或破财格；仅在扶身收益大于对财星的克制副作用时成立。</x:v>
      </x:c>
      <x:c r="AB19" s="82" t="str">
        <x:v>较高</x:v>
      </x:c>
      <x:c r="AC19" s="82" t="str">
        <x:v>现代综合</x:v>
      </x:c>
      <x:c r="AD19" s="68" t="str">
        <x:v>喜忌用神必须同时读取扶抑、格局、通关、调候和病药五个维度。单一维度有利不足以自动成为主用；最终定位取决于是否解决根本问题、是否触犯格局硬约束、药力是否可达以及副作用是否可控。</x:v>
      </x:c>
      <x:c r="AE19" s="68" t="str">
        <x:v>满足“日主弱、财旺、比肩有效且财格并非严格从财”，且主要收益大于副作用时，可按“身弱财旺时比肩可列承财候选”定位。</x:v>
      </x:c>
      <x:c r="AF19" s="90" t="str">
        <x:v>若“真从财格或比劫已经成势夺财”成立，则不得按“身弱财旺时比肩可列承财候选”无条件定位。</x:v>
      </x:c>
      <x:c r="AG19" s="82" t="str">
        <x:v>采用</x:v>
      </x:c>
      <x:c r="AH19" s="82" t="str">
        <x:v>初审</x:v>
      </x:c>
      <x:c r="AI19" s="87" t="n">
        <x:v>46260</x:v>
      </x:c>
    </x:row>
    <x:row r="20">
      <x:c r="A20" s="72" t="str">
        <x:f>IF(OR(C20="",D20=""),"",B20&amp;"-"&amp;UPPER(C20)&amp;"-"&amp;TEXT(D20,"0000")&amp;"-"&amp;E20)</x:f>
        <x:v>M17-FUYI-0014-V1.0</x:v>
      </x:c>
      <x:c r="B20" s="74" t="str">
        <x:v>M17</x:v>
      </x:c>
      <x:c r="C20" s="74" t="str">
        <x:v>FUYI</x:v>
      </x:c>
      <x:c r="D20" s="215" t="n">
        <x:v>14</x:v>
      </x:c>
      <x:c r="E20" s="74" t="str">
        <x:v>V1.0</x:v>
      </x:c>
      <x:c r="F20" s="68" t="str">
        <x:v>身弱财旺时劫财只能条件性护身</x:v>
      </x:c>
      <x:c r="G20" s="82" t="str">
        <x:v>综合层</x:v>
      </x:c>
      <x:c r="H20" s="82"/>
      <x:c r="I20" s="82" t="str">
        <x:v>劫财</x:v>
      </x:c>
      <x:c r="J20" s="82" t="str">
        <x:v>扶抑用神</x:v>
      </x:c>
      <x:c r="K20" s="68" t="str">
        <x:v>扶身并直接制财</x:v>
      </x:c>
      <x:c r="L20" s="68" t="str">
        <x:v>可能破坏财格</x:v>
      </x:c>
      <x:c r="M20" s="68" t="str">
        <x:v>可降低财星耗身但截断食伤生财终点</x:v>
      </x:c>
      <x:c r="N20" s="68" t="str">
        <x:v>随劫财五行另判</x:v>
      </x:c>
      <x:c r="O20" s="68" t="str">
        <x:v>比劫制财护身</x:v>
      </x:c>
      <x:c r="P20" s="68" t="str">
        <x:v>减轻财耗、提高日主承载</x:v>
      </x:c>
      <x:c r="Q20" s="90" t="str">
        <x:v>夺财、破财格或阻断财官链</x:v>
      </x:c>
      <x:c r="R20" s="68" t="str">
        <x:v>财多身弱且财并非核心不可损格神</x:v>
      </x:c>
      <x:c r="S20" s="68" t="str">
        <x:v>财格清纯成立、从财格严格成立</x:v>
      </x:c>
      <x:c r="T20" s="68" t="str">
        <x:v>扶抑与格局冲突</x:v>
      </x:c>
      <x:c r="U20" s="68" t="str">
        <x:v>M18-PATTERN-0017-V1.0</x:v>
      </x:c>
      <x:c r="V20" s="84" t="str">
        <x:v>条件性喜神</x:v>
      </x:c>
      <x:c r="W20" s="82" t="str">
        <x:v>条件顺位</x:v>
      </x:c>
      <x:c r="X20" s="82" t="str">
        <x:v>是</x:v>
      </x:c>
      <x:c r="Y20" s="68" t="str">
        <x:v>只在护身需求高于护财需求时采用</x:v>
      </x:c>
      <x:c r="Z20" s="84" t="str">
        <x:v>劫财护身条件化</x:v>
      </x:c>
      <x:c r="AA20" s="84" t="str">
        <x:v>该候选五行综合定位为“条件性喜神”，优先级为“条件顺位”。主要收益：减轻财耗、提高日主承载；主要副作用：夺财、破财格或阻断财官链；仅在只在护身需求高于护财需求时采用时成立。</x:v>
      </x:c>
      <x:c r="AB20" s="82" t="str">
        <x:v>较高</x:v>
      </x:c>
      <x:c r="AC20" s="82" t="str">
        <x:v>现代综合</x:v>
      </x:c>
      <x:c r="AD20" s="68" t="str">
        <x:v>喜忌用神必须同时读取扶抑、格局、通关、调候和病药五个维度。单一维度有利不足以自动成为主用；最终定位取决于是否解决根本问题、是否触犯格局硬约束、药力是否可达以及副作用是否可控。</x:v>
      </x:c>
      <x:c r="AE20" s="68" t="str">
        <x:v>满足“财多身弱且财并非核心不可损格神”，且主要收益大于副作用时，可按“身弱财旺时劫财只能条件性护身”定位。</x:v>
      </x:c>
      <x:c r="AF20" s="90" t="str">
        <x:v>若“财格清纯成立、从财格严格成立”成立，则不得按“身弱财旺时劫财只能条件性护身”无条件定位。</x:v>
      </x:c>
      <x:c r="AG20" s="82" t="str">
        <x:v>采用</x:v>
      </x:c>
      <x:c r="AH20" s="82" t="str">
        <x:v>初审</x:v>
      </x:c>
      <x:c r="AI20" s="87" t="n">
        <x:v>46260</x:v>
      </x:c>
    </x:row>
    <x:row r="21">
      <x:c r="A21" s="72" t="str">
        <x:f>IF(OR(C21="",D21=""),"",B21&amp;"-"&amp;UPPER(C21)&amp;"-"&amp;TEXT(D21,"0000")&amp;"-"&amp;E21)</x:f>
        <x:v>M17-FUYI-0015-V1.0</x:v>
      </x:c>
      <x:c r="B21" s="74" t="str">
        <x:v>M17</x:v>
      </x:c>
      <x:c r="C21" s="74" t="str">
        <x:v>FUYI</x:v>
      </x:c>
      <x:c r="D21" s="215" t="n">
        <x:v>15</x:v>
      </x:c>
      <x:c r="E21" s="74" t="str">
        <x:v>V1.0</x:v>
      </x:c>
      <x:c r="F21" s="68" t="str">
        <x:v>身旺无泄时食神可列泄秀候选</x:v>
      </x:c>
      <x:c r="G21" s="82" t="str">
        <x:v>综合层</x:v>
      </x:c>
      <x:c r="H21" s="82"/>
      <x:c r="I21" s="82" t="str">
        <x:v>食神</x:v>
      </x:c>
      <x:c r="J21" s="82" t="str">
        <x:v>扶抑用神</x:v>
      </x:c>
      <x:c r="K21" s="68" t="str">
        <x:v>稳定泄日主旺气</x:v>
      </x:c>
      <x:c r="L21" s="68" t="str">
        <x:v>可支持食神格、食神生财或制杀</x:v>
      </x:c>
      <x:c r="M21" s="68" t="str">
        <x:v>身→食神→财通路</x:v>
      </x:c>
      <x:c r="N21" s="68" t="str">
        <x:v>随食神五行另判</x:v>
      </x:c>
      <x:c r="O21" s="68" t="str">
        <x:v>治疗比劫壅塞或源头过旺无泄</x:v>
      </x:c>
      <x:c r="P21" s="68" t="str">
        <x:v>提供温和持续的输出出口</x:v>
      </x:c>
      <x:c r="Q21" s="90" t="str">
        <x:v>身弱时过泄；可能受枭夺食</x:v>
      </x:c>
      <x:c r="R21" s="68" t="str">
        <x:v>日主旺或中和偏旺，食神有效且有终点承接</x:v>
      </x:c>
      <x:c r="S21" s="68" t="str">
        <x:v>日主弱、食神被枭制或特殊从旺格忌逆势</x:v>
      </x:c>
      <x:c r="T21" s="68" t="str">
        <x:v>泄身与特殊格局/承载冲突</x:v>
      </x:c>
      <x:c r="U21" s="68" t="str">
        <x:v>M18-SPECIAL-0009-V1.0</x:v>
      </x:c>
      <x:c r="V21" s="84" t="str">
        <x:v>喜神</x:v>
      </x:c>
      <x:c r="W21" s="82" t="str">
        <x:v>第二顺位</x:v>
      </x:c>
      <x:c r="X21" s="82" t="str">
        <x:v>条件性</x:v>
      </x:c>
      <x:c r="Y21" s="68" t="str">
        <x:v>日主有足够源头且食神不破格</x:v>
      </x:c>
      <x:c r="Z21" s="84" t="str">
        <x:v>身旺食神泄秀</x:v>
      </x:c>
      <x:c r="AA21" s="84" t="str">
        <x:v>该候选五行综合定位为“喜神”，优先级为“第二顺位”。主要收益：提供温和持续的输出出口；主要副作用：身弱时过泄；可能受枭夺食；仅在日主有足够源头且食神不破格时成立。</x:v>
      </x:c>
      <x:c r="AB21" s="82" t="str">
        <x:v>较高</x:v>
      </x:c>
      <x:c r="AC21" s="82" t="str">
        <x:v>现代综合</x:v>
      </x:c>
      <x:c r="AD21" s="68" t="str">
        <x:v>喜忌用神必须同时读取扶抑、格局、通关、调候和病药五个维度。单一维度有利不足以自动成为主用；最终定位取决于是否解决根本问题、是否触犯格局硬约束、药力是否可达以及副作用是否可控。</x:v>
      </x:c>
      <x:c r="AE21" s="68" t="str">
        <x:v>满足“日主旺或中和偏旺，食神有效且有终点承接”，且主要收益大于副作用时，可按“身旺无泄时食神可列泄秀候选”定位。</x:v>
      </x:c>
      <x:c r="AF21" s="90" t="str">
        <x:v>若“日主弱、食神被枭制或特殊从旺格忌逆势”成立，则不得按“身旺无泄时食神可列泄秀候选”无条件定位。</x:v>
      </x:c>
      <x:c r="AG21" s="82" t="str">
        <x:v>采用</x:v>
      </x:c>
      <x:c r="AH21" s="82" t="str">
        <x:v>初审</x:v>
      </x:c>
      <x:c r="AI21" s="87" t="n">
        <x:v>46260</x:v>
      </x:c>
    </x:row>
    <x:row r="22">
      <x:c r="A22" s="72" t="str">
        <x:f>IF(OR(C22="",D22=""),"",B22&amp;"-"&amp;UPPER(C22)&amp;"-"&amp;TEXT(D22,"0000")&amp;"-"&amp;E22)</x:f>
        <x:v>M17-FUYI-0016-V1.0</x:v>
      </x:c>
      <x:c r="B22" s="74" t="str">
        <x:v>M17</x:v>
      </x:c>
      <x:c r="C22" s="74" t="str">
        <x:v>FUYI</x:v>
      </x:c>
      <x:c r="D22" s="215" t="n">
        <x:v>16</x:v>
      </x:c>
      <x:c r="E22" s="74" t="str">
        <x:v>V1.0</x:v>
      </x:c>
      <x:c r="F22" s="68" t="str">
        <x:v>身旺且需强力输出时伤官可列泄身候选</x:v>
      </x:c>
      <x:c r="G22" s="82" t="str">
        <x:v>综合层</x:v>
      </x:c>
      <x:c r="H22" s="82"/>
      <x:c r="I22" s="82" t="str">
        <x:v>伤官</x:v>
      </x:c>
      <x:c r="J22" s="82" t="str">
        <x:v>扶抑用神</x:v>
      </x:c>
      <x:c r="K22" s="68" t="str">
        <x:v>强力泄身</x:v>
      </x:c>
      <x:c r="L22" s="68" t="str">
        <x:v>可支持伤官生财或配印，也可能伤官见官</x:v>
      </x:c>
      <x:c r="M22" s="68" t="str">
        <x:v>身→伤官→财通路</x:v>
      </x:c>
      <x:c r="N22" s="68" t="str">
        <x:v>随伤官五行另判</x:v>
      </x:c>
      <x:c r="O22" s="68" t="str">
        <x:v>治疗身旺壅塞</x:v>
      </x:c>
      <x:c r="P22" s="68" t="str">
        <x:v>迅速释放过强身势</x:v>
      </x:c>
      <x:c r="Q22" s="90" t="str">
        <x:v>克官、过泄或破正官格</x:v>
      </x:c>
      <x:c r="R22" s="68" t="str">
        <x:v>日主旺，伤官有财或印形成合理出口</x:v>
      </x:c>
      <x:c r="S22" s="68" t="str">
        <x:v>正官为核心格神且无救应，或日主偏弱</x:v>
      </x:c>
      <x:c r="T22" s="68" t="str">
        <x:v>扶抑与正官格冲突</x:v>
      </x:c>
      <x:c r="U22" s="68" t="str">
        <x:v>M18-PATTERN-0017-V1.0</x:v>
      </x:c>
      <x:c r="V22" s="84" t="str">
        <x:v>条件性喜神</x:v>
      </x:c>
      <x:c r="W22" s="82" t="str">
        <x:v>条件顺位</x:v>
      </x:c>
      <x:c r="X22" s="82" t="str">
        <x:v>是</x:v>
      </x:c>
      <x:c r="Y22" s="68" t="str">
        <x:v>必须有生财或配印机制且不重伤官星</x:v>
      </x:c>
      <x:c r="Z22" s="84" t="str">
        <x:v>伤官泄身条件化</x:v>
      </x:c>
      <x:c r="AA22" s="84" t="str">
        <x:v>该候选五行综合定位为“条件性喜神”，优先级为“条件顺位”。主要收益：迅速释放过强身势；主要副作用：克官、过泄或破正官格；仅在必须有生财或配印机制且不重伤官星时成立。</x:v>
      </x:c>
      <x:c r="AB22" s="82" t="str">
        <x:v>较高</x:v>
      </x:c>
      <x:c r="AC22" s="82" t="str">
        <x:v>现代综合</x:v>
      </x:c>
      <x:c r="AD22" s="68" t="str">
        <x:v>喜忌用神必须同时读取扶抑、格局、通关、调候和病药五个维度。单一维度有利不足以自动成为主用；最终定位取决于是否解决根本问题、是否触犯格局硬约束、药力是否可达以及副作用是否可控。</x:v>
      </x:c>
      <x:c r="AE22" s="68" t="str">
        <x:v>满足“日主旺，伤官有财或印形成合理出口”，且主要收益大于副作用时，可按“身旺且需强力输出时伤官可列泄身候选”定位。</x:v>
      </x:c>
      <x:c r="AF22" s="90" t="str">
        <x:v>若“正官为核心格神且无救应，或日主偏弱”成立，则不得按“身旺且需强力输出时伤官可列泄身候选”无条件定位。</x:v>
      </x:c>
      <x:c r="AG22" s="82" t="str">
        <x:v>采用</x:v>
      </x:c>
      <x:c r="AH22" s="82" t="str">
        <x:v>初审</x:v>
      </x:c>
      <x:c r="AI22" s="87" t="n">
        <x:v>46260</x:v>
      </x:c>
    </x:row>
    <x:row r="23">
      <x:c r="A23" s="72" t="str">
        <x:f>IF(OR(C23="",D23=""),"",B23&amp;"-"&amp;UPPER(C23)&amp;"-"&amp;TEXT(D23,"0000")&amp;"-"&amp;E23)</x:f>
        <x:v>M17-FUYI-0017-V1.0</x:v>
      </x:c>
      <x:c r="B23" s="74" t="str">
        <x:v>M17</x:v>
      </x:c>
      <x:c r="C23" s="74" t="str">
        <x:v>FUYI</x:v>
      </x:c>
      <x:c r="D23" s="215" t="n">
        <x:v>17</x:v>
      </x:c>
      <x:c r="E23" s="74" t="str">
        <x:v>V1.0</x:v>
      </x:c>
      <x:c r="F23" s="68" t="str">
        <x:v>身旺能任财时正财可列耗身候选</x:v>
      </x:c>
      <x:c r="G23" s="82" t="str">
        <x:v>综合层</x:v>
      </x:c>
      <x:c r="H23" s="82"/>
      <x:c r="I23" s="82" t="str">
        <x:v>正财</x:v>
      </x:c>
      <x:c r="J23" s="82" t="str">
        <x:v>扶抑用神</x:v>
      </x:c>
      <x:c r="K23" s="68" t="str">
        <x:v>耗泄旺身的可用力量</x:v>
      </x:c>
      <x:c r="L23" s="68" t="str">
        <x:v>可支持正财格或财官相生</x:v>
      </x:c>
      <x:c r="M23" s="68" t="str">
        <x:v>承接食伤输出</x:v>
      </x:c>
      <x:c r="N23" s="68" t="str">
        <x:v>随财星五行另判</x:v>
      </x:c>
      <x:c r="O23" s="68" t="str">
        <x:v>治疗身旺无耗或印多身滞</x:v>
      </x:c>
      <x:c r="P23" s="68" t="str">
        <x:v>为强身提供稳定耗用终点</x:v>
      </x:c>
      <x:c r="Q23" s="90" t="str">
        <x:v>财过旺会坏印、加重身弱或生官杀</x:v>
      </x:c>
      <x:c r="R23" s="68" t="str">
        <x:v>日主旺且能任财，财星有承接能力</x:v>
      </x:c>
      <x:c r="S23" s="68" t="str">
        <x:v>日主弱、印为关键化杀药或财已过旺</x:v>
      </x:c>
      <x:c r="T23" s="68" t="str">
        <x:v>耗身与护印/承载冲突</x:v>
      </x:c>
      <x:c r="U23" s="68" t="str">
        <x:v>M18-PATTERN-0022-V1.0</x:v>
      </x:c>
      <x:c r="V23" s="84" t="str">
        <x:v>喜神</x:v>
      </x:c>
      <x:c r="W23" s="82" t="str">
        <x:v>第三顺位</x:v>
      </x:c>
      <x:c r="X23" s="82" t="str">
        <x:v>条件性</x:v>
      </x:c>
      <x:c r="Y23" s="68" t="str">
        <x:v>日主能任且财不过度破印</x:v>
      </x:c>
      <x:c r="Z23" s="84" t="str">
        <x:v>身旺正财耗身</x:v>
      </x:c>
      <x:c r="AA23" s="84" t="str">
        <x:v>该候选五行综合定位为“喜神”，优先级为“第三顺位”。主要收益：为强身提供稳定耗用终点；主要副作用：财过旺会坏印、加重身弱或生官杀；仅在日主能任且财不过度破印时成立。</x:v>
      </x:c>
      <x:c r="AB23" s="82" t="str">
        <x:v>较高</x:v>
      </x:c>
      <x:c r="AC23" s="82" t="str">
        <x:v>现代综合</x:v>
      </x:c>
      <x:c r="AD23" s="68" t="str">
        <x:v>喜忌用神必须同时读取扶抑、格局、通关、调候和病药五个维度。单一维度有利不足以自动成为主用；最终定位取决于是否解决根本问题、是否触犯格局硬约束、药力是否可达以及副作用是否可控。</x:v>
      </x:c>
      <x:c r="AE23" s="68" t="str">
        <x:v>满足“日主旺且能任财，财星有承接能力”，且主要收益大于副作用时，可按“身旺能任财时正财可列耗身候选”定位。</x:v>
      </x:c>
      <x:c r="AF23" s="90" t="str">
        <x:v>若“日主弱、印为关键化杀药或财已过旺”成立，则不得按“身旺能任财时正财可列耗身候选”无条件定位。</x:v>
      </x:c>
      <x:c r="AG23" s="82" t="str">
        <x:v>采用</x:v>
      </x:c>
      <x:c r="AH23" s="82" t="str">
        <x:v>初审</x:v>
      </x:c>
      <x:c r="AI23" s="87" t="n">
        <x:v>46260</x:v>
      </x:c>
    </x:row>
    <x:row r="24">
      <x:c r="A24" s="72" t="str">
        <x:f>IF(OR(C24="",D24=""),"",B24&amp;"-"&amp;UPPER(C24)&amp;"-"&amp;TEXT(D24,"0000")&amp;"-"&amp;E24)</x:f>
        <x:v>M17-FUYI-0018-V1.0</x:v>
      </x:c>
      <x:c r="B24" s="74" t="str">
        <x:v>M17</x:v>
      </x:c>
      <x:c r="C24" s="74" t="str">
        <x:v>FUYI</x:v>
      </x:c>
      <x:c r="D24" s="215" t="n">
        <x:v>18</x:v>
      </x:c>
      <x:c r="E24" s="74" t="str">
        <x:v>V1.0</x:v>
      </x:c>
      <x:c r="F24" s="68" t="str">
        <x:v>身旺时偏财可列条件性耗身候选</x:v>
      </x:c>
      <x:c r="G24" s="82" t="str">
        <x:v>综合层</x:v>
      </x:c>
      <x:c r="H24" s="82"/>
      <x:c r="I24" s="82" t="str">
        <x:v>偏财</x:v>
      </x:c>
      <x:c r="J24" s="82" t="str">
        <x:v>扶抑用神</x:v>
      </x:c>
      <x:c r="K24" s="68" t="str">
        <x:v>耗身并制印</x:v>
      </x:c>
      <x:c r="L24" s="68" t="str">
        <x:v>可支持偏财格或财生官杀</x:v>
      </x:c>
      <x:c r="M24" s="68" t="str">
        <x:v>食伤→偏财→官杀通路</x:v>
      </x:c>
      <x:c r="N24" s="68" t="str">
        <x:v>随偏财五行另判</x:v>
      </x:c>
      <x:c r="O24" s="68" t="str">
        <x:v>可治疗印多身滞</x:v>
      </x:c>
      <x:c r="P24" s="68" t="str">
        <x:v>降低印比过旺、建立财官出口</x:v>
      </x:c>
      <x:c r="Q24" s="90" t="str">
        <x:v>可能财坏印、财滋杀或耗身过度</x:v>
      </x:c>
      <x:c r="R24" s="68" t="str">
        <x:v>身旺印旺，偏财可控且印非唯一关键药神</x:v>
      </x:c>
      <x:c r="S24" s="68" t="str">
        <x:v>身弱、杀旺无制或印为核心格神</x:v>
      </x:c>
      <x:c r="T24" s="68" t="str">
        <x:v>扶抑收益与财坏印/生杀冲突</x:v>
      </x:c>
      <x:c r="U24" s="68" t="str">
        <x:v>M18-MED-0044-V1.0</x:v>
      </x:c>
      <x:c r="V24" s="84" t="str">
        <x:v>条件性喜神</x:v>
      </x:c>
      <x:c r="W24" s="82" t="str">
        <x:v>条件顺位</x:v>
      </x:c>
      <x:c r="X24" s="82" t="str">
        <x:v>是</x:v>
      </x:c>
      <x:c r="Y24" s="68" t="str">
        <x:v>财的净耗用收益大于坏印生杀副作用</x:v>
      </x:c>
      <x:c r="Z24" s="84" t="str">
        <x:v>偏财耗身条件化</x:v>
      </x:c>
      <x:c r="AA24" s="84" t="str">
        <x:v>该候选五行综合定位为“条件性喜神”，优先级为“条件顺位”。主要收益：降低印比过旺、建立财官出口；主要副作用：可能财坏印、财滋杀或耗身过度；仅在财的净耗用收益大于坏印生杀副作用时成立。</x:v>
      </x:c>
      <x:c r="AB24" s="82" t="str">
        <x:v>较高</x:v>
      </x:c>
      <x:c r="AC24" s="82" t="str">
        <x:v>现代综合</x:v>
      </x:c>
      <x:c r="AD24" s="68" t="str">
        <x:v>喜忌用神必须同时读取扶抑、格局、通关、调候和病药五个维度。单一维度有利不足以自动成为主用；最终定位取决于是否解决根本问题、是否触犯格局硬约束、药力是否可达以及副作用是否可控。</x:v>
      </x:c>
      <x:c r="AE24" s="68" t="str">
        <x:v>满足“身旺印旺，偏财可控且印非唯一关键药神”，且主要收益大于副作用时，可按“身旺时偏财可列条件性耗身候选”定位。</x:v>
      </x:c>
      <x:c r="AF24" s="90" t="str">
        <x:v>若“身弱、杀旺无制或印为核心格神”成立，则不得按“身旺时偏财可列条件性耗身候选”无条件定位。</x:v>
      </x:c>
      <x:c r="AG24" s="82" t="str">
        <x:v>采用</x:v>
      </x:c>
      <x:c r="AH24" s="82" t="str">
        <x:v>初审</x:v>
      </x:c>
      <x:c r="AI24" s="87" t="n">
        <x:v>46260</x:v>
      </x:c>
    </x:row>
    <x:row r="25">
      <x:c r="A25" s="72" t="str">
        <x:f>IF(OR(C25="",D25=""),"",B25&amp;"-"&amp;UPPER(C25)&amp;"-"&amp;TEXT(D25,"0000")&amp;"-"&amp;E25)</x:f>
        <x:v>M17-FUYI-0019-V1.0</x:v>
      </x:c>
      <x:c r="B25" s="74" t="str">
        <x:v>M17</x:v>
      </x:c>
      <x:c r="C25" s="74" t="str">
        <x:v>FUYI</x:v>
      </x:c>
      <x:c r="D25" s="215" t="n">
        <x:v>19</x:v>
      </x:c>
      <x:c r="E25" s="74" t="str">
        <x:v>V1.0</x:v>
      </x:c>
      <x:c r="F25" s="68" t="str">
        <x:v>身旺有承载时正官可列制衡候选</x:v>
      </x:c>
      <x:c r="G25" s="82" t="str">
        <x:v>综合层</x:v>
      </x:c>
      <x:c r="H25" s="82"/>
      <x:c r="I25" s="82" t="str">
        <x:v>正官</x:v>
      </x:c>
      <x:c r="J25" s="82" t="str">
        <x:v>扶抑用神</x:v>
      </x:c>
      <x:c r="K25" s="68" t="str">
        <x:v>有序制约旺身</x:v>
      </x:c>
      <x:c r="L25" s="68" t="str">
        <x:v>支持正官格、官印相生</x:v>
      </x:c>
      <x:c r="M25" s="68" t="str">
        <x:v>可生印形成官→印→身链</x:v>
      </x:c>
      <x:c r="N25" s="68" t="str">
        <x:v>随正官五行另判</x:v>
      </x:c>
      <x:c r="O25" s="68" t="str">
        <x:v>治疗比劫旺无制</x:v>
      </x:c>
      <x:c r="P25" s="68" t="str">
        <x:v>约束旺身与比劫集团</x:v>
      </x:c>
      <x:c r="Q25" s="90" t="str">
        <x:v>官过旺会压身；伤官见官会冲突</x:v>
      </x:c>
      <x:c r="R25" s="68" t="str">
        <x:v>日主旺，正官有根有力且不过度</x:v>
      </x:c>
      <x:c r="S25" s="68" t="str">
        <x:v>日主弱、正官受伤官强制或从旺/专旺严格成立</x:v>
      </x:c>
      <x:c r="T25" s="68" t="str">
        <x:v>制身与特殊格局/伤官结构冲突</x:v>
      </x:c>
      <x:c r="U25" s="68" t="str">
        <x:v>M18-SPECIAL-0009-V1.0</x:v>
      </x:c>
      <x:c r="V25" s="84" t="str">
        <x:v>喜神</x:v>
      </x:c>
      <x:c r="W25" s="82" t="str">
        <x:v>第二顺位</x:v>
      </x:c>
      <x:c r="X25" s="82" t="str">
        <x:v>条件性</x:v>
      </x:c>
      <x:c r="Y25" s="68" t="str">
        <x:v>制身适中且官星不被重伤</x:v>
      </x:c>
      <x:c r="Z25" s="84" t="str">
        <x:v>身旺正官制衡</x:v>
      </x:c>
      <x:c r="AA25" s="84" t="str">
        <x:v>该候选五行综合定位为“喜神”，优先级为“第二顺位”。主要收益：约束旺身与比劫集团；主要副作用：官过旺会压身；伤官见官会冲突；仅在制身适中且官星不被重伤时成立。</x:v>
      </x:c>
      <x:c r="AB25" s="82" t="str">
        <x:v>较高</x:v>
      </x:c>
      <x:c r="AC25" s="82" t="str">
        <x:v>现代综合</x:v>
      </x:c>
      <x:c r="AD25" s="68" t="str">
        <x:v>喜忌用神必须同时读取扶抑、格局、通关、调候和病药五个维度。单一维度有利不足以自动成为主用；最终定位取决于是否解决根本问题、是否触犯格局硬约束、药力是否可达以及副作用是否可控。</x:v>
      </x:c>
      <x:c r="AE25" s="68" t="str">
        <x:v>满足“日主旺，正官有根有力且不过度”，且主要收益大于副作用时，可按“身旺有承载时正官可列制衡候选”定位。</x:v>
      </x:c>
      <x:c r="AF25" s="90" t="str">
        <x:v>若“日主弱、正官受伤官强制或从旺/专旺严格成立”成立，则不得按“身旺有承载时正官可列制衡候选”无条件定位。</x:v>
      </x:c>
      <x:c r="AG25" s="82" t="str">
        <x:v>采用</x:v>
      </x:c>
      <x:c r="AH25" s="82" t="str">
        <x:v>初审</x:v>
      </x:c>
      <x:c r="AI25" s="87" t="n">
        <x:v>46260</x:v>
      </x:c>
    </x:row>
    <x:row r="26">
      <x:c r="A26" s="72" t="str">
        <x:f>IF(OR(C26="",D26=""),"",B26&amp;"-"&amp;UPPER(C26)&amp;"-"&amp;TEXT(D26,"0000")&amp;"-"&amp;E26)</x:f>
        <x:v>M17-FUYI-0020-V1.0</x:v>
      </x:c>
      <x:c r="B26" s="74" t="str">
        <x:v>M17</x:v>
      </x:c>
      <x:c r="C26" s="74" t="str">
        <x:v>FUYI</x:v>
      </x:c>
      <x:c r="D26" s="215" t="n">
        <x:v>20</x:v>
      </x:c>
      <x:c r="E26" s="74" t="str">
        <x:v>V1.0</x:v>
      </x:c>
      <x:c r="F26" s="68" t="str">
        <x:v>身旺刃强时七杀可列制衡候选</x:v>
      </x:c>
      <x:c r="G26" s="82" t="str">
        <x:v>综合层</x:v>
      </x:c>
      <x:c r="H26" s="82"/>
      <x:c r="I26" s="82" t="str">
        <x:v>七杀</x:v>
      </x:c>
      <x:c r="J26" s="82" t="str">
        <x:v>扶抑用神</x:v>
      </x:c>
      <x:c r="K26" s="68" t="str">
        <x:v>强力制身或制刃</x:v>
      </x:c>
      <x:c r="L26" s="68" t="str">
        <x:v>支持七杀格、羊刃驾杀</x:v>
      </x:c>
      <x:c r="M26" s="68" t="str">
        <x:v>可经印星转化</x:v>
      </x:c>
      <x:c r="N26" s="68" t="str">
        <x:v>随七杀五行另判</x:v>
      </x:c>
      <x:c r="O26" s="68" t="str">
        <x:v>治疗羊刃无制或比劫极旺</x:v>
      </x:c>
      <x:c r="P26" s="68" t="str">
        <x:v>提供强制衡力量</x:v>
      </x:c>
      <x:c r="Q26" s="90" t="str">
        <x:v>杀过旺会攻身，需制化承载</x:v>
      </x:c>
      <x:c r="R26" s="68" t="str">
        <x:v>日主或羊刃强，七杀有权且比例适中</x:v>
      </x:c>
      <x:c r="S26" s="68" t="str">
        <x:v>日主弱、杀旺无制或特殊从旺格忌杀</x:v>
      </x:c>
      <x:c r="T26" s="68" t="str">
        <x:v>制衡收益与杀压风险</x:v>
      </x:c>
      <x:c r="U26" s="68" t="str">
        <x:v>M18-DOSE-0061-V1.0</x:v>
      </x:c>
      <x:c r="V26" s="84" t="str">
        <x:v>条件性喜神</x:v>
      </x:c>
      <x:c r="W26" s="82" t="str">
        <x:v>条件顺位</x:v>
      </x:c>
      <x:c r="X26" s="82" t="str">
        <x:v>是</x:v>
      </x:c>
      <x:c r="Y26" s="68" t="str">
        <x:v>身杀匹配或有印食制化</x:v>
      </x:c>
      <x:c r="Z26" s="84" t="str">
        <x:v>七杀制旺条件化</x:v>
      </x:c>
      <x:c r="AA26" s="84" t="str">
        <x:v>该候选五行综合定位为“条件性喜神”，优先级为“条件顺位”。主要收益：提供强制衡力量；主要副作用：杀过旺会攻身，需制化承载；仅在身杀匹配或有印食制化时成立。</x:v>
      </x:c>
      <x:c r="AB26" s="82" t="str">
        <x:v>较高</x:v>
      </x:c>
      <x:c r="AC26" s="82" t="str">
        <x:v>现代综合</x:v>
      </x:c>
      <x:c r="AD26" s="68" t="str">
        <x:v>喜忌用神必须同时读取扶抑、格局、通关、调候和病药五个维度。单一维度有利不足以自动成为主用；最终定位取决于是否解决根本问题、是否触犯格局硬约束、药力是否可达以及副作用是否可控。</x:v>
      </x:c>
      <x:c r="AE26" s="68" t="str">
        <x:v>满足“日主或羊刃强，七杀有权且比例适中”，且主要收益大于副作用时，可按“身旺刃强时七杀可列制衡候选”定位。</x:v>
      </x:c>
      <x:c r="AF26" s="90" t="str">
        <x:v>若“日主弱、杀旺无制或特殊从旺格忌杀”成立，则不得按“身旺刃强时七杀可列制衡候选”无条件定位。</x:v>
      </x:c>
      <x:c r="AG26" s="82" t="str">
        <x:v>采用</x:v>
      </x:c>
      <x:c r="AH26" s="82" t="str">
        <x:v>初审</x:v>
      </x:c>
      <x:c r="AI26" s="87" t="n">
        <x:v>46260</x:v>
      </x:c>
    </x:row>
    <x:row r="27">
      <x:c r="A27" s="72" t="str">
        <x:f>IF(OR(C27="",D27=""),"",B27&amp;"-"&amp;UPPER(C27)&amp;"-"&amp;TEXT(D27,"0000")&amp;"-"&amp;E27)</x:f>
        <x:v>M17-FUYI-0021-V1.0</x:v>
      </x:c>
      <x:c r="B27" s="74" t="str">
        <x:v>M17</x:v>
      </x:c>
      <x:c r="C27" s="74" t="str">
        <x:v>FUYI</x:v>
      </x:c>
      <x:c r="D27" s="215" t="n">
        <x:v>21</x:v>
      </x:c>
      <x:c r="E27" s="74" t="str">
        <x:v>V1.0</x:v>
      </x:c>
      <x:c r="F27" s="68" t="str">
        <x:v>身弱时财官食伤通常降为负荷候选</x:v>
      </x:c>
      <x:c r="G27" s="82" t="str">
        <x:v>综合层</x:v>
      </x:c>
      <x:c r="H27" s="82"/>
      <x:c r="I27" s="82"/>
      <x:c r="J27" s="82" t="str">
        <x:v>扶抑用神</x:v>
      </x:c>
      <x:c r="K27" s="68" t="str">
        <x:v>进一步泄耗或制身</x:v>
      </x:c>
      <x:c r="L27" s="68" t="str">
        <x:v>可能仍为格神</x:v>
      </x:c>
      <x:c r="M27" s="68" t="str">
        <x:v>可能形成有效路径但增加日主成本</x:v>
      </x:c>
      <x:c r="N27" s="68" t="str">
        <x:v>随五行另判</x:v>
      </x:c>
      <x:c r="O27" s="68" t="str">
        <x:v>可能加重根本承载病</x:v>
      </x:c>
      <x:c r="P27" s="68" t="str">
        <x:v>若格局严格需要可保留局部功能</x:v>
      </x:c>
      <x:c r="Q27" s="90" t="str">
        <x:v>加重身弱与承载不足</x:v>
      </x:c>
      <x:c r="R27" s="68" t="str">
        <x:v>日主弱且对应十神有效作用于日主</x:v>
      </x:c>
      <x:c r="S27" s="68" t="str">
        <x:v>特殊从格严格成立或有强印比承载</x:v>
      </x:c>
      <x:c r="T27" s="68" t="str">
        <x:v>扶抑与格局需求冲突</x:v>
      </x:c>
      <x:c r="U27" s="68" t="str">
        <x:v>M18-PATTERN-0017-V1.0</x:v>
      </x:c>
      <x:c r="V27" s="84" t="str">
        <x:v>条件性忌神</x:v>
      </x:c>
      <x:c r="W27" s="82" t="str">
        <x:v>条件顺位</x:v>
      </x:c>
      <x:c r="X27" s="82" t="str">
        <x:v>是</x:v>
      </x:c>
      <x:c r="Y27" s="68" t="str">
        <x:v>除非格局/病药有更高优先级需求</x:v>
      </x:c>
      <x:c r="Z27" s="84" t="str">
        <x:v>身弱负荷端降级</x:v>
      </x:c>
      <x:c r="AA27" s="84" t="str">
        <x:v>该候选五行综合定位为“条件性忌神”，优先级为“条件顺位”。主要收益：若格局严格需要可保留局部功能；主要副作用：加重身弱与承载不足；仅在除非格局/病药有更高优先级需求时成立。</x:v>
      </x:c>
      <x:c r="AB27" s="82" t="str">
        <x:v>较高</x:v>
      </x:c>
      <x:c r="AC27" s="82" t="str">
        <x:v>现代综合</x:v>
      </x:c>
      <x:c r="AD27" s="68" t="str">
        <x:v>喜忌用神必须同时读取扶抑、格局、通关、调候和病药五个维度。单一维度有利不足以自动成为主用；最终定位取决于是否解决根本问题、是否触犯格局硬约束、药力是否可达以及副作用是否可控。</x:v>
      </x:c>
      <x:c r="AE27" s="68" t="str">
        <x:v>满足“日主弱且对应十神有效作用于日主”，且主要收益大于副作用时，可按“身弱时财官食伤通常降为负荷候选”定位。</x:v>
      </x:c>
      <x:c r="AF27" s="90" t="str">
        <x:v>若“特殊从格严格成立或有强印比承载”成立，则不得按“身弱时财官食伤通常降为负荷候选”无条件定位。</x:v>
      </x:c>
      <x:c r="AG27" s="82" t="str">
        <x:v>采用</x:v>
      </x:c>
      <x:c r="AH27" s="82" t="str">
        <x:v>初审</x:v>
      </x:c>
      <x:c r="AI27" s="87" t="n">
        <x:v>46260</x:v>
      </x:c>
    </x:row>
    <x:row r="28">
      <x:c r="A28" s="72" t="str">
        <x:f>IF(OR(C28="",D28=""),"",B28&amp;"-"&amp;UPPER(C28)&amp;"-"&amp;TEXT(D28,"0000")&amp;"-"&amp;E28)</x:f>
        <x:v>M17-FUYI-0022-V1.0</x:v>
      </x:c>
      <x:c r="B28" s="74" t="str">
        <x:v>M17</x:v>
      </x:c>
      <x:c r="C28" s="74" t="str">
        <x:v>FUYI</x:v>
      </x:c>
      <x:c r="D28" s="215" t="n">
        <x:v>22</x:v>
      </x:c>
      <x:c r="E28" s="74" t="str">
        <x:v>V1.0</x:v>
      </x:c>
      <x:c r="F28" s="68" t="str">
        <x:v>日主中和时扶抑维度不应独占用神判断</x:v>
      </x:c>
      <x:c r="G28" s="82" t="str">
        <x:v>综合层</x:v>
      </x:c>
      <x:c r="H28" s="82"/>
      <x:c r="I28" s="82"/>
      <x:c r="J28" s="82" t="str">
        <x:v>扶抑用神</x:v>
      </x:c>
      <x:c r="K28" s="68" t="str">
        <x:v>无明显扶抑缺口</x:v>
      </x:c>
      <x:c r="L28" s="68" t="str">
        <x:v>转格局维度</x:v>
      </x:c>
      <x:c r="M28" s="68" t="str">
        <x:v>转通关维度</x:v>
      </x:c>
      <x:c r="N28" s="68" t="str">
        <x:v>转调候维度</x:v>
      </x:c>
      <x:c r="O28" s="68" t="str">
        <x:v>转病药维度</x:v>
      </x:c>
      <x:c r="P28" s="68" t="str">
        <x:v>避免为了扶抑而人为打破中和</x:v>
      </x:c>
      <x:c r="Q28" s="90" t="str">
        <x:v>单纯扶或抑都可能制造偏差</x:v>
      </x:c>
      <x:c r="R28" s="68" t="str">
        <x:v>M09判中和且正反证据均衡</x:v>
      </x:c>
      <x:c r="S28" s="68" t="str">
        <x:v>其他维度存在明确根本病或硬约束</x:v>
      </x:c>
      <x:c r="T28" s="68" t="str">
        <x:v>扶抑低优先级</x:v>
      </x:c>
      <x:c r="U28" s="68" t="str">
        <x:v>M18-GEN-0003-V1.0</x:v>
      </x:c>
      <x:c r="V28" s="84" t="str">
        <x:v>中性</x:v>
      </x:c>
      <x:c r="W28" s="82" t="str">
        <x:v>不采用</x:v>
      </x:c>
      <x:c r="X28" s="82" t="str">
        <x:v>否</x:v>
      </x:c>
      <x:c r="Y28" s="68" t="str">
        <x:v>以格局、流通、调候和病药为主要依据</x:v>
      </x:c>
      <x:c r="Z28" s="84" t="str">
        <x:v>中和扶抑降权</x:v>
      </x:c>
      <x:c r="AA28" s="84" t="str">
        <x:v>该候选五行综合定位为“中性”，优先级为“不采用”。主要收益：避免为了扶抑而人为打破中和；主要副作用：单纯扶或抑都可能制造偏差；以格局、流通、调候和病药为主要依据。</x:v>
      </x:c>
      <x:c r="AB28" s="82" t="str">
        <x:v>较高</x:v>
      </x:c>
      <x:c r="AC28" s="82" t="str">
        <x:v>现代综合</x:v>
      </x:c>
      <x:c r="AD28" s="68" t="str">
        <x:v>喜忌用神必须同时读取扶抑、格局、通关、调候和病药五个维度。单一维度有利不足以自动成为主用；最终定位取决于是否解决根本问题、是否触犯格局硬约束、药力是否可达以及副作用是否可控。</x:v>
      </x:c>
      <x:c r="AE28" s="68" t="str">
        <x:v>满足“M09判中和且正反证据均衡”，且主要收益大于副作用时，可按“日主中和时扶抑维度不应独占用神判断”定位。</x:v>
      </x:c>
      <x:c r="AF28" s="90" t="str">
        <x:v>若“其他维度存在明确根本病或硬约束”成立，则不得按“日主中和时扶抑维度不应独占用神判断”无条件定位。</x:v>
      </x:c>
      <x:c r="AG28" s="82" t="str">
        <x:v>采用</x:v>
      </x:c>
      <x:c r="AH28" s="82" t="str">
        <x:v>初审</x:v>
      </x:c>
      <x:c r="AI28" s="87" t="n">
        <x:v>46260</x:v>
      </x:c>
    </x:row>
    <x:row r="29">
      <x:c r="A29" s="72" t="str">
        <x:f>IF(OR(C29="",D29=""),"",B29&amp;"-"&amp;UPPER(C29)&amp;"-"&amp;TEXT(D29,"0000")&amp;"-"&amp;E29)</x:f>
        <x:v>M17-GEJU-0023-V1.0</x:v>
      </x:c>
      <x:c r="B29" s="74" t="str">
        <x:v>M17</x:v>
      </x:c>
      <x:c r="C29" s="74" t="str">
        <x:v>GEJU</x:v>
      </x:c>
      <x:c r="D29" s="215" t="n">
        <x:v>23</x:v>
      </x:c>
      <x:c r="E29" s="74" t="str">
        <x:v>V1.0</x:v>
      </x:c>
      <x:c r="F29" s="68" t="str">
        <x:v>正官格以护官和维持官印/财官链为格局用神方向</x:v>
      </x:c>
      <x:c r="G29" s="82" t="str">
        <x:v>综合层</x:v>
      </x:c>
      <x:c r="H29" s="82"/>
      <x:c r="I29" s="82" t="str">
        <x:v>正官</x:v>
      </x:c>
      <x:c r="J29" s="82" t="str">
        <x:v>格局用神</x:v>
      </x:c>
      <x:c r="K29" s="68" t="str">
        <x:v>视日主承官能力而定</x:v>
      </x:c>
      <x:c r="L29" s="68" t="str">
        <x:v>保护正官格神与清纯度</x:v>
      </x:c>
      <x:c r="M29" s="68" t="str">
        <x:v>官→印→身或财→官链</x:v>
      </x:c>
      <x:c r="N29" s="68" t="str">
        <x:v>随官星五行另判</x:v>
      </x:c>
      <x:c r="O29" s="68" t="str">
        <x:v>治疗伤官破官或官星受损</x:v>
      </x:c>
      <x:c r="P29" s="68" t="str">
        <x:v>维护正官格主轴</x:v>
      </x:c>
      <x:c r="Q29" s="90" t="str">
        <x:v>官过旺会压身，护官药可能伤伤官格</x:v>
      </x:c>
      <x:c r="R29" s="68" t="str">
        <x:v>M15正官格基本成立以上且官星为核心格神</x:v>
      </x:c>
      <x:c r="S29" s="68" t="str">
        <x:v>正官格不成立、官星失效或伤官格更为主导</x:v>
      </x:c>
      <x:c r="T29" s="68" t="str">
        <x:v>护官与扶抑/伤官结构冲突</x:v>
      </x:c>
      <x:c r="U29" s="68" t="str">
        <x:v>M18-PATTERN-0017-V1.0</x:v>
      </x:c>
      <x:c r="V29" s="84" t="str">
        <x:v>主用神</x:v>
      </x:c>
      <x:c r="W29" s="82" t="str">
        <x:v>第一顺位</x:v>
      </x:c>
      <x:c r="X29" s="82" t="str">
        <x:v>条件性</x:v>
      </x:c>
      <x:c r="Y29" s="68" t="str">
        <x:v>日主能承官且护官不造成官杀过重</x:v>
      </x:c>
      <x:c r="Z29" s="84" t="str">
        <x:v>正官格护格用神</x:v>
      </x:c>
      <x:c r="AA29" s="84" t="str">
        <x:v>该候选五行综合定位为“主用神”，优先级为“第一顺位”。主要收益：维护正官格主轴；主要副作用：官过旺会压身，护官药可能伤伤官格；仅在日主能承官且护官不造成官杀过重时成立。</x:v>
      </x:c>
      <x:c r="AB29" s="82" t="str">
        <x:v>较高</x:v>
      </x:c>
      <x:c r="AC29" s="82" t="str">
        <x:v>现代综合</x:v>
      </x:c>
      <x:c r="AD29" s="68" t="str">
        <x:v>喜忌用神必须同时读取扶抑、格局、通关、调候和病药五个维度。单一维度有利不足以自动成为主用；最终定位取决于是否解决根本问题、是否触犯格局硬约束、药力是否可达以及副作用是否可控。</x:v>
      </x:c>
      <x:c r="AE29" s="68" t="str">
        <x:v>满足“M15正官格基本成立以上且官星为核心格神”，且主要收益大于副作用时，可按“正官格以护官和维持官印/财官链为格局用神方向”定位。</x:v>
      </x:c>
      <x:c r="AF29" s="90" t="str">
        <x:v>若“正官格不成立、官星失效或伤官格更为主导”成立，则不得按“正官格以护官和维持官印/财官链为格局用神方向”无条件定位。</x:v>
      </x:c>
      <x:c r="AG29" s="82" t="str">
        <x:v>采用</x:v>
      </x:c>
      <x:c r="AH29" s="82" t="str">
        <x:v>初审</x:v>
      </x:c>
      <x:c r="AI29" s="87" t="n">
        <x:v>46260</x:v>
      </x:c>
    </x:row>
    <x:row r="30">
      <x:c r="A30" s="72" t="str">
        <x:f>IF(OR(C30="",D30=""),"",B30&amp;"-"&amp;UPPER(C30)&amp;"-"&amp;TEXT(D30,"0000")&amp;"-"&amp;E30)</x:f>
        <x:v>M17-GEJU-0024-V1.0</x:v>
      </x:c>
      <x:c r="B30" s="74" t="str">
        <x:v>M17</x:v>
      </x:c>
      <x:c r="C30" s="74" t="str">
        <x:v>GEJU</x:v>
      </x:c>
      <x:c r="D30" s="215" t="n">
        <x:v>24</x:v>
      </x:c>
      <x:c r="E30" s="74" t="str">
        <x:v>V1.0</x:v>
      </x:c>
      <x:c r="F30" s="68" t="str">
        <x:v>七杀格以制杀或化杀的主路线为格局用神</x:v>
      </x:c>
      <x:c r="G30" s="82" t="str">
        <x:v>综合层</x:v>
      </x:c>
      <x:c r="H30" s="82"/>
      <x:c r="I30" s="82" t="str">
        <x:v>七杀</x:v>
      </x:c>
      <x:c r="J30" s="82" t="str">
        <x:v>格局用神</x:v>
      </x:c>
      <x:c r="K30" s="68" t="str">
        <x:v>取决于食制或印化路线</x:v>
      </x:c>
      <x:c r="L30" s="68" t="str">
        <x:v>维持七杀有权而不过度攻身</x:v>
      </x:c>
      <x:c r="M30" s="68" t="str">
        <x:v>食神→杀或杀→印→身</x:v>
      </x:c>
      <x:c r="N30" s="68" t="str">
        <x:v>随相关五行另判</x:v>
      </x:c>
      <x:c r="O30" s="68" t="str">
        <x:v>治疗杀无制化、制杀不及或化杀不及</x:v>
      </x:c>
      <x:c r="P30" s="68" t="str">
        <x:v>建立稳定七杀制化结构</x:v>
      </x:c>
      <x:c r="Q30" s="90" t="str">
        <x:v>路线选择错误会泄身、夺食或印多</x:v>
      </x:c>
      <x:c r="R30" s="68" t="str">
        <x:v>M15七杀格成立且制化路线明确</x:v>
      </x:c>
      <x:c r="S30" s="68" t="str">
        <x:v>七杀格不成立或真从官杀严格成立</x:v>
      </x:c>
      <x:c r="T30" s="68" t="str">
        <x:v>食制与印化路线竞争</x:v>
      </x:c>
      <x:c r="U30" s="68" t="str">
        <x:v>M18-ROUTE-0051-V1.0</x:v>
      </x:c>
      <x:c r="V30" s="84" t="str">
        <x:v>主用神</x:v>
      </x:c>
      <x:c r="W30" s="82" t="str">
        <x:v>第一顺位</x:v>
      </x:c>
      <x:c r="X30" s="82" t="str">
        <x:v>是</x:v>
      </x:c>
      <x:c r="Y30" s="68" t="str">
        <x:v>只选净收益更高的一条主制化路线</x:v>
      </x:c>
      <x:c r="Z30" s="84" t="str">
        <x:v>七杀格制化用神</x:v>
      </x:c>
      <x:c r="AA30" s="84" t="str">
        <x:v>该候选五行综合定位为“主用神”，优先级为“第一顺位”。主要收益：建立稳定七杀制化结构；主要副作用：路线选择错误会泄身、夺食或印多；仅在只选净收益更高的一条主制化路线时成立。</x:v>
      </x:c>
      <x:c r="AB30" s="82" t="str">
        <x:v>较高</x:v>
      </x:c>
      <x:c r="AC30" s="82" t="str">
        <x:v>现代综合</x:v>
      </x:c>
      <x:c r="AD30" s="68" t="str">
        <x:v>喜忌用神必须同时读取扶抑、格局、通关、调候和病药五个维度。单一维度有利不足以自动成为主用；最终定位取决于是否解决根本问题、是否触犯格局硬约束、药力是否可达以及副作用是否可控。</x:v>
      </x:c>
      <x:c r="AE30" s="68" t="str">
        <x:v>满足“M15七杀格成立且制化路线明确”，且主要收益大于副作用时，可按“七杀格以制杀或化杀的主路线为格局用神”定位。</x:v>
      </x:c>
      <x:c r="AF30" s="90" t="str">
        <x:v>若“七杀格不成立或真从官杀严格成立”成立，则不得按“七杀格以制杀或化杀的主路线为格局用神”无条件定位。</x:v>
      </x:c>
      <x:c r="AG30" s="82" t="str">
        <x:v>采用</x:v>
      </x:c>
      <x:c r="AH30" s="82" t="str">
        <x:v>初审</x:v>
      </x:c>
      <x:c r="AI30" s="87" t="n">
        <x:v>46260</x:v>
      </x:c>
    </x:row>
    <x:row r="31">
      <x:c r="A31" s="72" t="str">
        <x:f>IF(OR(C31="",D31=""),"",B31&amp;"-"&amp;UPPER(C31)&amp;"-"&amp;TEXT(D31,"0000")&amp;"-"&amp;E31)</x:f>
        <x:v>M17-GEJU-0025-V1.0</x:v>
      </x:c>
      <x:c r="B31" s="74" t="str">
        <x:v>M17</x:v>
      </x:c>
      <x:c r="C31" s="74" t="str">
        <x:v>GEJU</x:v>
      </x:c>
      <x:c r="D31" s="215" t="n">
        <x:v>25</x:v>
      </x:c>
      <x:c r="E31" s="74" t="str">
        <x:v>V1.0</x:v>
      </x:c>
      <x:c r="F31" s="68" t="str">
        <x:v>印格以保护印星功能并防生身过度为用神方向</x:v>
      </x:c>
      <x:c r="G31" s="82" t="str">
        <x:v>综合层</x:v>
      </x:c>
      <x:c r="H31" s="82"/>
      <x:c r="I31" s="82" t="str">
        <x:v>正印</x:v>
      </x:c>
      <x:c r="J31" s="82" t="str">
        <x:v>格局用神</x:v>
      </x:c>
      <x:c r="K31" s="68" t="str">
        <x:v>印生身，需防身旺过度</x:v>
      </x:c>
      <x:c r="L31" s="68" t="str">
        <x:v>保护正偏印格、官印或杀印链</x:v>
      </x:c>
      <x:c r="M31" s="68" t="str">
        <x:v>官杀→印→身</x:v>
      </x:c>
      <x:c r="N31" s="68" t="str">
        <x:v>随印星五行另判</x:v>
      </x:c>
      <x:c r="O31" s="68" t="str">
        <x:v>治疗财坏印或印格配合神无力</x:v>
      </x:c>
      <x:c r="P31" s="68" t="str">
        <x:v>维持生身、化杀和配印功能</x:v>
      </x:c>
      <x:c r="Q31" s="90" t="str">
        <x:v>护印过度会印多身滞、枭夺食</x:v>
      </x:c>
      <x:c r="R31" s="68" t="str">
        <x:v>M15印格成立且印为关键格神</x:v>
      </x:c>
      <x:c r="S31" s="68" t="str">
        <x:v>印已过旺为根本病，或财格主导且印非关键</x:v>
      </x:c>
      <x:c r="T31" s="68" t="str">
        <x:v>护印与泄秀/财格需求冲突</x:v>
      </x:c>
      <x:c r="U31" s="68" t="str">
        <x:v>M18-PATTERN-0022-V1.0</x:v>
      </x:c>
      <x:c r="V31" s="84" t="str">
        <x:v>主用神</x:v>
      </x:c>
      <x:c r="W31" s="82" t="str">
        <x:v>第一顺位</x:v>
      </x:c>
      <x:c r="X31" s="82" t="str">
        <x:v>条件性</x:v>
      </x:c>
      <x:c r="Y31" s="68" t="str">
        <x:v>只护持印的必要功能，不使印生过度</x:v>
      </x:c>
      <x:c r="Z31" s="84" t="str">
        <x:v>印格护印用神</x:v>
      </x:c>
      <x:c r="AA31" s="84" t="str">
        <x:v>该候选五行综合定位为“主用神”，优先级为“第一顺位”。主要收益：维持生身、化杀和配印功能；主要副作用：护印过度会印多身滞、枭夺食；仅在只护持印的必要功能，不使印生过度时成立。</x:v>
      </x:c>
      <x:c r="AB31" s="82" t="str">
        <x:v>较高</x:v>
      </x:c>
      <x:c r="AC31" s="82" t="str">
        <x:v>现代综合</x:v>
      </x:c>
      <x:c r="AD31" s="68" t="str">
        <x:v>喜忌用神必须同时读取扶抑、格局、通关、调候和病药五个维度。单一维度有利不足以自动成为主用；最终定位取决于是否解决根本问题、是否触犯格局硬约束、药力是否可达以及副作用是否可控。</x:v>
      </x:c>
      <x:c r="AE31" s="68" t="str">
        <x:v>满足“M15印格成立且印为关键格神”，且主要收益大于副作用时，可按“印格以保护印星功能并防生身过度为用神方向”定位。</x:v>
      </x:c>
      <x:c r="AF31" s="90" t="str">
        <x:v>若“印已过旺为根本病，或财格主导且印非关键”成立，则不得按“印格以保护印星功能并防生身过度为用神方向”无条件定位。</x:v>
      </x:c>
      <x:c r="AG31" s="82" t="str">
        <x:v>采用</x:v>
      </x:c>
      <x:c r="AH31" s="82" t="str">
        <x:v>初审</x:v>
      </x:c>
      <x:c r="AI31" s="87" t="n">
        <x:v>46260</x:v>
      </x:c>
    </x:row>
    <x:row r="32">
      <x:c r="A32" s="72" t="str">
        <x:f>IF(OR(C32="",D32=""),"",B32&amp;"-"&amp;UPPER(C32)&amp;"-"&amp;TEXT(D32,"0000")&amp;"-"&amp;E32)</x:f>
        <x:v>M17-GEJU-0026-V1.0</x:v>
      </x:c>
      <x:c r="B32" s="74" t="str">
        <x:v>M17</x:v>
      </x:c>
      <x:c r="C32" s="74" t="str">
        <x:v>GEJU</x:v>
      </x:c>
      <x:c r="D32" s="215" t="n">
        <x:v>26</x:v>
      </x:c>
      <x:c r="E32" s="74" t="str">
        <x:v>V1.0</x:v>
      </x:c>
      <x:c r="F32" s="68" t="str">
        <x:v>财格以保护财星与日主任财能力为用神方向</x:v>
      </x:c>
      <x:c r="G32" s="82" t="str">
        <x:v>综合层</x:v>
      </x:c>
      <x:c r="H32" s="82"/>
      <x:c r="I32" s="82" t="str">
        <x:v>正财</x:v>
      </x:c>
      <x:c r="J32" s="82" t="str">
        <x:v>格局用神</x:v>
      </x:c>
      <x:c r="K32" s="68" t="str">
        <x:v>日主必须具备任财承载</x:v>
      </x:c>
      <x:c r="L32" s="68" t="str">
        <x:v>保护财格、食伤生财或财官链</x:v>
      </x:c>
      <x:c r="M32" s="68" t="str">
        <x:v>食伤→财→官</x:v>
      </x:c>
      <x:c r="N32" s="68" t="str">
        <x:v>随财星五行另判</x:v>
      </x:c>
      <x:c r="O32" s="68" t="str">
        <x:v>治疗比劫夺财、财格配合神无力</x:v>
      </x:c>
      <x:c r="P32" s="68" t="str">
        <x:v>保持财星终点与资源链</x:v>
      </x:c>
      <x:c r="Q32" s="90" t="str">
        <x:v>护财过度会财多身弱、财坏印或财滋杀</x:v>
      </x:c>
      <x:c r="R32" s="68" t="str">
        <x:v>M15财格成立且日主能任财</x:v>
      </x:c>
      <x:c r="S32" s="68" t="str">
        <x:v>财多身弱、从财格严格成立时应顺势另判，或财为主要病因</x:v>
      </x:c>
      <x:c r="T32" s="68" t="str">
        <x:v>护财与扶身/护印冲突</x:v>
      </x:c>
      <x:c r="U32" s="68" t="str">
        <x:v>M18-ROUTE-0055-V1.0</x:v>
      </x:c>
      <x:c r="V32" s="84" t="str">
        <x:v>主用神</x:v>
      </x:c>
      <x:c r="W32" s="82" t="str">
        <x:v>第一顺位</x:v>
      </x:c>
      <x:c r="X32" s="82" t="str">
        <x:v>条件性</x:v>
      </x:c>
      <x:c r="Y32" s="68" t="str">
        <x:v>财星不过度耗身、坏印或生杀</x:v>
      </x:c>
      <x:c r="Z32" s="84" t="str">
        <x:v>财格护财用神</x:v>
      </x:c>
      <x:c r="AA32" s="84" t="str">
        <x:v>该候选五行综合定位为“主用神”，优先级为“第一顺位”。主要收益：保持财星终点与资源链；主要副作用：护财过度会财多身弱、财坏印或财滋杀；仅在财星不过度耗身、坏印或生杀时成立。</x:v>
      </x:c>
      <x:c r="AB32" s="82" t="str">
        <x:v>较高</x:v>
      </x:c>
      <x:c r="AC32" s="82" t="str">
        <x:v>现代综合</x:v>
      </x:c>
      <x:c r="AD32" s="68" t="str">
        <x:v>喜忌用神必须同时读取扶抑、格局、通关、调候和病药五个维度。单一维度有利不足以自动成为主用；最终定位取决于是否解决根本问题、是否触犯格局硬约束、药力是否可达以及副作用是否可控。</x:v>
      </x:c>
      <x:c r="AE32" s="68" t="str">
        <x:v>满足“M15财格成立且日主能任财”，且主要收益大于副作用时，可按“财格以保护财星与日主任财能力为用神方向”定位。</x:v>
      </x:c>
      <x:c r="AF32" s="90" t="str">
        <x:v>若“财多身弱、从财格严格成立时应顺势另判，或财为主要病因”成立，则不得按“财格以保护财星与日主任财能力为用神方向”无条件定位。</x:v>
      </x:c>
      <x:c r="AG32" s="82" t="str">
        <x:v>采用</x:v>
      </x:c>
      <x:c r="AH32" s="82" t="str">
        <x:v>初审</x:v>
      </x:c>
      <x:c r="AI32" s="87" t="n">
        <x:v>46260</x:v>
      </x:c>
    </x:row>
    <x:row r="33">
      <x:c r="A33" s="72" t="str">
        <x:f>IF(OR(C33="",D33=""),"",B33&amp;"-"&amp;UPPER(C33)&amp;"-"&amp;TEXT(D33,"0000")&amp;"-"&amp;E33)</x:f>
        <x:v>M17-GEJU-0027-V1.0</x:v>
      </x:c>
      <x:c r="B33" s="74" t="str">
        <x:v>M17</x:v>
      </x:c>
      <x:c r="C33" s="74" t="str">
        <x:v>GEJU</x:v>
      </x:c>
      <x:c r="D33" s="215" t="n">
        <x:v>27</x:v>
      </x:c>
      <x:c r="E33" s="74" t="str">
        <x:v>V1.0</x:v>
      </x:c>
      <x:c r="F33" s="68" t="str">
        <x:v>食神格以保护食神并维持生财或制杀功能为用神方向</x:v>
      </x:c>
      <x:c r="G33" s="82" t="str">
        <x:v>综合层</x:v>
      </x:c>
      <x:c r="H33" s="82"/>
      <x:c r="I33" s="82" t="str">
        <x:v>食神</x:v>
      </x:c>
      <x:c r="J33" s="82" t="str">
        <x:v>格局用神</x:v>
      </x:c>
      <x:c r="K33" s="68" t="str">
        <x:v>泄身，须日主有源</x:v>
      </x:c>
      <x:c r="L33" s="68" t="str">
        <x:v>保护食神格、食神生财或食神制杀</x:v>
      </x:c>
      <x:c r="M33" s="68" t="str">
        <x:v>身→食神→财或食神→杀</x:v>
      </x:c>
      <x:c r="N33" s="68" t="str">
        <x:v>随食神五行另判</x:v>
      </x:c>
      <x:c r="O33" s="68" t="str">
        <x:v>治疗枭夺食和食神无力</x:v>
      </x:c>
      <x:c r="P33" s="68" t="str">
        <x:v>维持温和输出与关键制化</x:v>
      </x:c>
      <x:c r="Q33" s="90" t="str">
        <x:v>日主弱时过泄，护食可能与印格冲突</x:v>
      </x:c>
      <x:c r="R33" s="68" t="str">
        <x:v>M15食神格成立且食神承担核心功能</x:v>
      </x:c>
      <x:c r="S33" s="68" t="str">
        <x:v>食神格不成立、日主极弱或从儿格另按顺势</x:v>
      </x:c>
      <x:c r="T33" s="68" t="str">
        <x:v>护食与印扶身/印化杀冲突</x:v>
      </x:c>
      <x:c r="U33" s="68" t="str">
        <x:v>M18-ROUTE-0051-V1.0</x:v>
      </x:c>
      <x:c r="V33" s="84" t="str">
        <x:v>主用神</x:v>
      </x:c>
      <x:c r="W33" s="82" t="str">
        <x:v>第一顺位</x:v>
      </x:c>
      <x:c r="X33" s="82" t="str">
        <x:v>条件性</x:v>
      </x:c>
      <x:c r="Y33" s="68" t="str">
        <x:v>食神有源且不因护食而失去必要印星</x:v>
      </x:c>
      <x:c r="Z33" s="84" t="str">
        <x:v>食神格护食用神</x:v>
      </x:c>
      <x:c r="AA33" s="84" t="str">
        <x:v>该候选五行综合定位为“主用神”，优先级为“第一顺位”。主要收益：维持温和输出与关键制化；主要副作用：日主弱时过泄，护食可能与印格冲突；仅在食神有源且不因护食而失去必要印星时成立。</x:v>
      </x:c>
      <x:c r="AB33" s="82" t="str">
        <x:v>较高</x:v>
      </x:c>
      <x:c r="AC33" s="82" t="str">
        <x:v>现代综合</x:v>
      </x:c>
      <x:c r="AD33" s="68" t="str">
        <x:v>喜忌用神必须同时读取扶抑、格局、通关、调候和病药五个维度。单一维度有利不足以自动成为主用；最终定位取决于是否解决根本问题、是否触犯格局硬约束、药力是否可达以及副作用是否可控。</x:v>
      </x:c>
      <x:c r="AE33" s="68" t="str">
        <x:v>满足“M15食神格成立且食神承担核心功能”，且主要收益大于副作用时，可按“食神格以保护食神并维持生财或制杀功能为用神方向”定位。</x:v>
      </x:c>
      <x:c r="AF33" s="90" t="str">
        <x:v>若“食神格不成立、日主极弱或从儿格另按顺势”成立，则不得按“食神格以保护食神并维持生财或制杀功能为用神方向”无条件定位。</x:v>
      </x:c>
      <x:c r="AG33" s="82" t="str">
        <x:v>采用</x:v>
      </x:c>
      <x:c r="AH33" s="82" t="str">
        <x:v>初审</x:v>
      </x:c>
      <x:c r="AI33" s="87" t="n">
        <x:v>46260</x:v>
      </x:c>
    </x:row>
    <x:row r="34">
      <x:c r="A34" s="72" t="str">
        <x:f>IF(OR(C34="",D34=""),"",B34&amp;"-"&amp;UPPER(C34)&amp;"-"&amp;TEXT(D34,"0000")&amp;"-"&amp;E34)</x:f>
        <x:v>M17-GEJU-0028-V1.0</x:v>
      </x:c>
      <x:c r="B34" s="74" t="str">
        <x:v>M17</x:v>
      </x:c>
      <x:c r="C34" s="74" t="str">
        <x:v>GEJU</x:v>
      </x:c>
      <x:c r="D34" s="215" t="n">
        <x:v>28</x:v>
      </x:c>
      <x:c r="E34" s="74" t="str">
        <x:v>V1.0</x:v>
      </x:c>
      <x:c r="F34" s="68" t="str">
        <x:v>伤官格以生财或配印的稳定路线为格局用神</x:v>
      </x:c>
      <x:c r="G34" s="82" t="str">
        <x:v>综合层</x:v>
      </x:c>
      <x:c r="H34" s="82"/>
      <x:c r="I34" s="82" t="str">
        <x:v>伤官</x:v>
      </x:c>
      <x:c r="J34" s="82" t="str">
        <x:v>格局用神</x:v>
      </x:c>
      <x:c r="K34" s="68" t="str">
        <x:v>泄身，需控制强度</x:v>
      </x:c>
      <x:c r="L34" s="68" t="str">
        <x:v>支持伤官生财或伤官配印</x:v>
      </x:c>
      <x:c r="M34" s="68" t="str">
        <x:v>身→伤官→财，或印→伤官制约</x:v>
      </x:c>
      <x:c r="N34" s="68" t="str">
        <x:v>随相关五行另判</x:v>
      </x:c>
      <x:c r="O34" s="68" t="str">
        <x:v>治疗伤官见官、配印不足或输出无承接</x:v>
      </x:c>
      <x:c r="P34" s="68" t="str">
        <x:v>为伤官提供出口或约束</x:v>
      </x:c>
      <x:c r="Q34" s="90" t="str">
        <x:v>生财会耗身，配印会增身并可能制伤过度</x:v>
      </x:c>
      <x:c r="R34" s="68" t="str">
        <x:v>M15伤官格成立且主路线明确</x:v>
      </x:c>
      <x:c r="S34" s="68" t="str">
        <x:v>伤官格不成立或正官格为更高优先主格</x:v>
      </x:c>
      <x:c r="T34" s="68" t="str">
        <x:v>生财路线与配印路线、副作用竞争</x:v>
      </x:c>
      <x:c r="U34" s="68" t="str">
        <x:v>M18-ROUTE-0052-V1.0</x:v>
      </x:c>
      <x:c r="V34" s="84" t="str">
        <x:v>主用神</x:v>
      </x:c>
      <x:c r="W34" s="82" t="str">
        <x:v>第一顺位</x:v>
      </x:c>
      <x:c r="X34" s="82" t="str">
        <x:v>是</x:v>
      </x:c>
      <x:c r="Y34" s="68" t="str">
        <x:v>选择生财或配印中更符合日主承载的一条路线</x:v>
      </x:c>
      <x:c r="Z34" s="84" t="str">
        <x:v>伤官格路线用神</x:v>
      </x:c>
      <x:c r="AA34" s="84" t="str">
        <x:v>该候选五行综合定位为“主用神”，优先级为“第一顺位”。主要收益：为伤官提供出口或约束；主要副作用：生财会耗身，配印会增身并可能制伤过度；仅在选择生财或配印中更符合日主承载的一条路线时成立。</x:v>
      </x:c>
      <x:c r="AB34" s="82" t="str">
        <x:v>较高</x:v>
      </x:c>
      <x:c r="AC34" s="82" t="str">
        <x:v>现代综合</x:v>
      </x:c>
      <x:c r="AD34" s="68" t="str">
        <x:v>喜忌用神必须同时读取扶抑、格局、通关、调候和病药五个维度。单一维度有利不足以自动成为主用；最终定位取决于是否解决根本问题、是否触犯格局硬约束、药力是否可达以及副作用是否可控。</x:v>
      </x:c>
      <x:c r="AE34" s="68" t="str">
        <x:v>满足“M15伤官格成立且主路线明确”，且主要收益大于副作用时，可按“伤官格以生财或配印的稳定路线为格局用神”定位。</x:v>
      </x:c>
      <x:c r="AF34" s="90" t="str">
        <x:v>若“伤官格不成立或正官格为更高优先主格”成立，则不得按“伤官格以生财或配印的稳定路线为格局用神”无条件定位。</x:v>
      </x:c>
      <x:c r="AG34" s="82" t="str">
        <x:v>采用</x:v>
      </x:c>
      <x:c r="AH34" s="82" t="str">
        <x:v>初审</x:v>
      </x:c>
      <x:c r="AI34" s="87" t="n">
        <x:v>46260</x:v>
      </x:c>
    </x:row>
    <x:row r="35">
      <x:c r="A35" s="72" t="str">
        <x:f>IF(OR(C35="",D35=""),"",B35&amp;"-"&amp;UPPER(C35)&amp;"-"&amp;TEXT(D35,"0000")&amp;"-"&amp;E35)</x:f>
        <x:v>M17-GEJU-0029-V1.0</x:v>
      </x:c>
      <x:c r="B35" s="74" t="str">
        <x:v>M17</x:v>
      </x:c>
      <x:c r="C35" s="74" t="str">
        <x:v>GEJU</x:v>
      </x:c>
      <x:c r="D35" s="215" t="n">
        <x:v>29</x:v>
      </x:c>
      <x:c r="E35" s="74" t="str">
        <x:v>V1.0</x:v>
      </x:c>
      <x:c r="F35" s="68" t="str">
        <x:v>建禄格以建立制泄耗出口为格局用神方向</x:v>
      </x:c>
      <x:c r="G35" s="82" t="str">
        <x:v>综合层</x:v>
      </x:c>
      <x:c r="H35" s="82"/>
      <x:c r="I35" s="82"/>
      <x:c r="J35" s="82" t="str">
        <x:v>格局用神</x:v>
      </x:c>
      <x:c r="K35" s="68" t="str">
        <x:v>通常不再增加印比</x:v>
      </x:c>
      <x:c r="L35" s="68" t="str">
        <x:v>以财官食伤疏导建禄强身</x:v>
      </x:c>
      <x:c r="M35" s="68" t="str">
        <x:v>身→食伤→财或官杀制比</x:v>
      </x:c>
      <x:c r="N35" s="68" t="str">
        <x:v>随候选五行另判</x:v>
      </x:c>
      <x:c r="O35" s="68" t="str">
        <x:v>治疗比劫壅塞、源头过旺无泄</x:v>
      </x:c>
      <x:c r="P35" s="68" t="str">
        <x:v>让强身有出口或制衡</x:v>
      </x:c>
      <x:c r="Q35" s="90" t="str">
        <x:v>制泄过度会由旺转弱，财官食伤各有格局风险</x:v>
      </x:c>
      <x:c r="R35" s="68" t="str">
        <x:v>M15建禄格成立且非从旺/专旺</x:v>
      </x:c>
      <x:c r="S35" s="68" t="str">
        <x:v>日主并不旺或特殊格局严格成立</x:v>
      </x:c>
      <x:c r="T35" s="68" t="str">
        <x:v>泄、制、耗三路线选择</x:v>
      </x:c>
      <x:c r="U35" s="68" t="str">
        <x:v>M18-ROUTE-0053-V1.0</x:v>
      </x:c>
      <x:c r="V35" s="84" t="str">
        <x:v>主用神</x:v>
      </x:c>
      <x:c r="W35" s="82" t="str">
        <x:v>第一顺位</x:v>
      </x:c>
      <x:c r="X35" s="82" t="str">
        <x:v>是</x:v>
      </x:c>
      <x:c r="Y35" s="68" t="str">
        <x:v>按主路径选择食伤、官杀或财星之一为主</x:v>
      </x:c>
      <x:c r="Z35" s="84" t="str">
        <x:v>建禄格出口用神</x:v>
      </x:c>
      <x:c r="AA35" s="84" t="str">
        <x:v>该候选五行综合定位为“主用神”，优先级为“第一顺位”。主要收益：让强身有出口或制衡；主要副作用：制泄过度会由旺转弱，财官食伤各有格局风险；仅在按主路径选择食伤、官杀或财星之一为主时成立。</x:v>
      </x:c>
      <x:c r="AB35" s="82" t="str">
        <x:v>较高</x:v>
      </x:c>
      <x:c r="AC35" s="82" t="str">
        <x:v>现代综合</x:v>
      </x:c>
      <x:c r="AD35" s="68" t="str">
        <x:v>喜忌用神必须同时读取扶抑、格局、通关、调候和病药五个维度。单一维度有利不足以自动成为主用；最终定位取决于是否解决根本问题、是否触犯格局硬约束、药力是否可达以及副作用是否可控。</x:v>
      </x:c>
      <x:c r="AE35" s="68" t="str">
        <x:v>满足“M15建禄格成立且非从旺/专旺”，且主要收益大于副作用时，可按“建禄格以建立制泄耗出口为格局用神方向”定位。</x:v>
      </x:c>
      <x:c r="AF35" s="90" t="str">
        <x:v>若“日主并不旺或特殊格局严格成立”成立，则不得按“建禄格以建立制泄耗出口为格局用神方向”无条件定位。</x:v>
      </x:c>
      <x:c r="AG35" s="82" t="str">
        <x:v>采用</x:v>
      </x:c>
      <x:c r="AH35" s="82" t="str">
        <x:v>初审</x:v>
      </x:c>
      <x:c r="AI35" s="87" t="n">
        <x:v>46260</x:v>
      </x:c>
    </x:row>
    <x:row r="36">
      <x:c r="A36" s="72" t="str">
        <x:f>IF(OR(C36="",D36=""),"",B36&amp;"-"&amp;UPPER(C36)&amp;"-"&amp;TEXT(D36,"0000")&amp;"-"&amp;E36)</x:f>
        <x:v>M17-GEJU-0030-V1.0</x:v>
      </x:c>
      <x:c r="B36" s="74" t="str">
        <x:v>M17</x:v>
      </x:c>
      <x:c r="C36" s="74" t="str">
        <x:v>GEJU</x:v>
      </x:c>
      <x:c r="D36" s="215" t="n">
        <x:v>30</x:v>
      </x:c>
      <x:c r="E36" s="74" t="str">
        <x:v>V1.0</x:v>
      </x:c>
      <x:c r="F36" s="68" t="str">
        <x:v>羊刃格以有效制刃或泄刃为格局用神方向</x:v>
      </x:c>
      <x:c r="G36" s="82" t="str">
        <x:v>综合层</x:v>
      </x:c>
      <x:c r="H36" s="82"/>
      <x:c r="I36" s="82" t="str">
        <x:v>七杀</x:v>
      </x:c>
      <x:c r="J36" s="82" t="str">
        <x:v>格局用神</x:v>
      </x:c>
      <x:c r="K36" s="68" t="str">
        <x:v>官杀制刃或食伤泄刃</x:v>
      </x:c>
      <x:c r="L36" s="68" t="str">
        <x:v>维护羊刃驾杀或强身制衡</x:v>
      </x:c>
      <x:c r="M36" s="68" t="str">
        <x:v>官杀→刃制约或身→食伤泄出</x:v>
      </x:c>
      <x:c r="N36" s="68" t="str">
        <x:v>随候选五行另判</x:v>
      </x:c>
      <x:c r="O36" s="68" t="str">
        <x:v>治疗羊刃无制或比劫极旺</x:v>
      </x:c>
      <x:c r="P36" s="68" t="str">
        <x:v>约束强刃并保持格局运行</x:v>
      </x:c>
      <x:c r="Q36" s="90" t="str">
        <x:v>制刃太过会压身，泄刃太过会伤承载</x:v>
      </x:c>
      <x:c r="R36" s="68" t="str">
        <x:v>M15羊刃格成立且非从旺</x:v>
      </x:c>
      <x:c r="S36" s="68" t="str">
        <x:v>杀弱无根、日主承载不足或从旺/专旺严格成立</x:v>
      </x:c>
      <x:c r="T36" s="68" t="str">
        <x:v>驾杀与泄刃路线冲突</x:v>
      </x:c>
      <x:c r="U36" s="68" t="str">
        <x:v>M18-ROUTE-0054-V1.0</x:v>
      </x:c>
      <x:c r="V36" s="84" t="str">
        <x:v>主用神</x:v>
      </x:c>
      <x:c r="W36" s="82" t="str">
        <x:v>第一顺位</x:v>
      </x:c>
      <x:c r="X36" s="82" t="str">
        <x:v>是</x:v>
      </x:c>
      <x:c r="Y36" s="68" t="str">
        <x:v>制刃或泄刃比例适中</x:v>
      </x:c>
      <x:c r="Z36" s="84" t="str">
        <x:v>羊刃格制泄用神</x:v>
      </x:c>
      <x:c r="AA36" s="84" t="str">
        <x:v>该候选五行综合定位为“主用神”，优先级为“第一顺位”。主要收益：约束强刃并保持格局运行；主要副作用：制刃太过会压身，泄刃太过会伤承载；仅在制刃或泄刃比例适中时成立。</x:v>
      </x:c>
      <x:c r="AB36" s="82" t="str">
        <x:v>较高</x:v>
      </x:c>
      <x:c r="AC36" s="82" t="str">
        <x:v>现代综合</x:v>
      </x:c>
      <x:c r="AD36" s="68" t="str">
        <x:v>喜忌用神必须同时读取扶抑、格局、通关、调候和病药五个维度。单一维度有利不足以自动成为主用；最终定位取决于是否解决根本问题、是否触犯格局硬约束、药力是否可达以及副作用是否可控。</x:v>
      </x:c>
      <x:c r="AE36" s="68" t="str">
        <x:v>满足“M15羊刃格成立且非从旺”，且主要收益大于副作用时，可按“羊刃格以有效制刃或泄刃为格局用神方向”定位。</x:v>
      </x:c>
      <x:c r="AF36" s="90" t="str">
        <x:v>若“杀弱无根、日主承载不足或从旺/专旺严格成立”成立，则不得按“羊刃格以有效制刃或泄刃为格局用神方向”无条件定位。</x:v>
      </x:c>
      <x:c r="AG36" s="82" t="str">
        <x:v>采用</x:v>
      </x:c>
      <x:c r="AH36" s="82" t="str">
        <x:v>初审</x:v>
      </x:c>
      <x:c r="AI36" s="87" t="n">
        <x:v>46260</x:v>
      </x:c>
    </x:row>
    <x:row r="37">
      <x:c r="A37" s="72" t="str">
        <x:f>IF(OR(C37="",D37=""),"",B37&amp;"-"&amp;UPPER(C37)&amp;"-"&amp;TEXT(D37,"0000")&amp;"-"&amp;E37)</x:f>
        <x:v>M17-GEJU-0031-V1.0</x:v>
      </x:c>
      <x:c r="B37" s="74" t="str">
        <x:v>M17</x:v>
      </x:c>
      <x:c r="C37" s="74" t="str">
        <x:v>GEJU</x:v>
      </x:c>
      <x:c r="D37" s="215" t="n">
        <x:v>31</x:v>
      </x:c>
      <x:c r="E37" s="74" t="str">
        <x:v>V1.0</x:v>
      </x:c>
      <x:c r="F37" s="68" t="str">
        <x:v>真从格以顺从主势者为格局用神</x:v>
      </x:c>
      <x:c r="G37" s="82" t="str">
        <x:v>综合层</x:v>
      </x:c>
      <x:c r="H37" s="82"/>
      <x:c r="I37" s="82"/>
      <x:c r="J37" s="82" t="str">
        <x:v>格局用神</x:v>
      </x:c>
      <x:c r="K37" s="68" t="str">
        <x:v>不采用普通扶身逆势</x:v>
      </x:c>
      <x:c r="L37" s="68" t="str">
        <x:v>维护从财、从官杀、从儿、从旺、从强或从势</x:v>
      </x:c>
      <x:c r="M37" s="68" t="str">
        <x:v>顺主势建立连续流通</x:v>
      </x:c>
      <x:c r="N37" s="68" t="str">
        <x:v>只采用不破从的调候方案</x:v>
      </x:c>
      <x:c r="O37" s="68" t="str">
        <x:v>护格而非逆格治普通旺衰</x:v>
      </x:c>
      <x:c r="P37" s="68" t="str">
        <x:v>保持特殊格局严格成立</x:v>
      </x:c>
      <x:c r="Q37" s="90" t="str">
        <x:v>可能保留一般调候或局部流通偏差</x:v>
      </x:c>
      <x:c r="R37" s="68" t="str">
        <x:v>M15真从格严格成立</x:v>
      </x:c>
      <x:c r="S37" s="68" t="str">
        <x:v>假从、强根反从或普通身弱</x:v>
      </x:c>
      <x:c r="T37" s="68" t="str">
        <x:v>从格与普通扶抑冲突</x:v>
      </x:c>
      <x:c r="U37" s="68" t="str">
        <x:v>M18-SPECIAL-0014-V1.0</x:v>
      </x:c>
      <x:c r="V37" s="84" t="str">
        <x:v>主用神</x:v>
      </x:c>
      <x:c r="W37" s="82" t="str">
        <x:v>第一顺位</x:v>
      </x:c>
      <x:c r="X37" s="82" t="str">
        <x:v>否</x:v>
      </x:c>
      <x:c r="Y37" s="68" t="str">
        <x:v>严格顺从已确认主势</x:v>
      </x:c>
      <x:c r="Z37" s="84" t="str">
        <x:v>真从顺势用神</x:v>
      </x:c>
      <x:c r="AA37" s="84" t="str">
        <x:v>该候选五行综合定位为“主用神”，优先级为“第一顺位”。主要收益：保持特殊格局严格成立；主要副作用：可能保留一般调候或局部流通偏差；严格顺从已确认主势。</x:v>
      </x:c>
      <x:c r="AB37" s="82" t="str">
        <x:v>较高</x:v>
      </x:c>
      <x:c r="AC37" s="82" t="str">
        <x:v>现代综合</x:v>
      </x:c>
      <x:c r="AD37" s="68" t="str">
        <x:v>喜忌用神必须同时读取扶抑、格局、通关、调候和病药五个维度。单一维度有利不足以自动成为主用；最终定位取决于是否解决根本问题、是否触犯格局硬约束、药力是否可达以及副作用是否可控。</x:v>
      </x:c>
      <x:c r="AE37" s="68" t="str">
        <x:v>满足“M15真从格严格成立”，且主要收益大于副作用时，可按“真从格以顺从主势者为格局用神”定位。</x:v>
      </x:c>
      <x:c r="AF37" s="90" t="str">
        <x:v>若“假从、强根反从或普通身弱”成立，则不得按“真从格以顺从主势者为格局用神”无条件定位。</x:v>
      </x:c>
      <x:c r="AG37" s="82" t="str">
        <x:v>采用</x:v>
      </x:c>
      <x:c r="AH37" s="82" t="str">
        <x:v>初审</x:v>
      </x:c>
      <x:c r="AI37" s="87" t="n">
        <x:v>46260</x:v>
      </x:c>
    </x:row>
    <x:row r="38">
      <x:c r="A38" s="72" t="str">
        <x:f>IF(OR(C38="",D38=""),"",B38&amp;"-"&amp;UPPER(C38)&amp;"-"&amp;TEXT(D38,"0000")&amp;"-"&amp;E38)</x:f>
        <x:v>M17-GEJU-0032-V1.0</x:v>
      </x:c>
      <x:c r="B38" s="74" t="str">
        <x:v>M17</x:v>
      </x:c>
      <x:c r="C38" s="74" t="str">
        <x:v>GEJU</x:v>
      </x:c>
      <x:c r="D38" s="215" t="n">
        <x:v>32</x:v>
      </x:c>
      <x:c r="E38" s="74" t="str">
        <x:v>V1.0</x:v>
      </x:c>
      <x:c r="F38" s="68" t="str">
        <x:v>真化格以生扶化神和清除破化因素为用神方向</x:v>
      </x:c>
      <x:c r="G38" s="82" t="str">
        <x:v>综合层</x:v>
      </x:c>
      <x:c r="H38" s="82"/>
      <x:c r="I38" s="82"/>
      <x:c r="J38" s="82" t="str">
        <x:v>格局用神</x:v>
      </x:c>
      <x:c r="K38" s="68" t="str">
        <x:v>按化神重映射日主与十神</x:v>
      </x:c>
      <x:c r="L38" s="68" t="str">
        <x:v>维护化神主导与全局顺化</x:v>
      </x:c>
      <x:c r="M38" s="68" t="str">
        <x:v>所有主路径围绕化神重建</x:v>
      </x:c>
      <x:c r="N38" s="68" t="str">
        <x:v>调候不得重伤化神</x:v>
      </x:c>
      <x:c r="O38" s="68" t="str">
        <x:v>治疗化神受损、争合或逆神破化</x:v>
      </x:c>
      <x:c r="P38" s="68" t="str">
        <x:v>保护真化成立</x:v>
      </x:c>
      <x:c r="Q38" s="90" t="str">
        <x:v>若原气仍自立，强扶化神会加剧双重结构冲突</x:v>
      </x:c>
      <x:c r="R38" s="68" t="str">
        <x:v>M15化气格严格成立</x:v>
      </x:c>
      <x:c r="S38" s="68" t="str">
        <x:v>假化、合而不化或原气强根存在</x:v>
      </x:c>
      <x:c r="T38" s="68" t="str">
        <x:v>化格与原气/调候冲突</x:v>
      </x:c>
      <x:c r="U38" s="68" t="str">
        <x:v>M18-SPECIAL-0015-V1.0</x:v>
      </x:c>
      <x:c r="V38" s="84" t="str">
        <x:v>主用神</x:v>
      </x:c>
      <x:c r="W38" s="82" t="str">
        <x:v>第一顺位</x:v>
      </x:c>
      <x:c r="X38" s="82" t="str">
        <x:v>否</x:v>
      </x:c>
      <x:c r="Y38" s="68" t="str">
        <x:v>仅限真化严格成立</x:v>
      </x:c>
      <x:c r="Z38" s="84" t="str">
        <x:v>真化护化神用神</x:v>
      </x:c>
      <x:c r="AA38" s="84" t="str">
        <x:v>该候选五行综合定位为“主用神”，优先级为“第一顺位”。主要收益：保护真化成立；主要副作用：若原气仍自立，强扶化神会加剧双重结构冲突；仅限真化严格成立。</x:v>
      </x:c>
      <x:c r="AB38" s="82" t="str">
        <x:v>较高</x:v>
      </x:c>
      <x:c r="AC38" s="82" t="str">
        <x:v>现代综合</x:v>
      </x:c>
      <x:c r="AD38" s="68" t="str">
        <x:v>喜忌用神必须同时读取扶抑、格局、通关、调候和病药五个维度。单一维度有利不足以自动成为主用；最终定位取决于是否解决根本问题、是否触犯格局硬约束、药力是否可达以及副作用是否可控。</x:v>
      </x:c>
      <x:c r="AE38" s="68" t="str">
        <x:v>满足“M15化气格严格成立”，且主要收益大于副作用时，可按“真化格以生扶化神和清除破化因素为用神方向”定位。</x:v>
      </x:c>
      <x:c r="AF38" s="90" t="str">
        <x:v>若“假化、合而不化或原气强根存在”成立，则不得按“真化格以生扶化神和清除破化因素为用神方向”无条件定位。</x:v>
      </x:c>
      <x:c r="AG38" s="82" t="str">
        <x:v>采用</x:v>
      </x:c>
      <x:c r="AH38" s="82" t="str">
        <x:v>初审</x:v>
      </x:c>
      <x:c r="AI38" s="87" t="n">
        <x:v>46260</x:v>
      </x:c>
    </x:row>
    <x:row r="39">
      <x:c r="A39" s="72" t="str">
        <x:f>IF(OR(C39="",D39=""),"",B39&amp;"-"&amp;UPPER(C39)&amp;"-"&amp;TEXT(D39,"0000")&amp;"-"&amp;E39)</x:f>
        <x:v>M17-GEJU-0033-V1.0</x:v>
      </x:c>
      <x:c r="B39" s="74" t="str">
        <x:v>M17</x:v>
      </x:c>
      <x:c r="C39" s="74" t="str">
        <x:v>GEJU</x:v>
      </x:c>
      <x:c r="D39" s="215" t="n">
        <x:v>33</x:v>
      </x:c>
      <x:c r="E39" s="74" t="str">
        <x:v>V1.0</x:v>
      </x:c>
      <x:c r="F39" s="68" t="str">
        <x:v>专旺格以顺一气并防有效逆神为用神方向</x:v>
      </x:c>
      <x:c r="G39" s="82" t="str">
        <x:v>综合层</x:v>
      </x:c>
      <x:c r="H39" s="82"/>
      <x:c r="I39" s="82"/>
      <x:c r="J39" s="82" t="str">
        <x:v>格局用神</x:v>
      </x:c>
      <x:c r="K39" s="68" t="str">
        <x:v>不按普通平衡强克主气</x:v>
      </x:c>
      <x:c r="L39" s="68" t="str">
        <x:v>维护曲直、炎上、稼穑、从革或润下</x:v>
      </x:c>
      <x:c r="M39" s="68" t="str">
        <x:v>顺主气生化或合理泄秀</x:v>
      </x:c>
      <x:c r="N39" s="68" t="str">
        <x:v>调候须避免根本破专</x:v>
      </x:c>
      <x:c r="O39" s="68" t="str">
        <x:v>治疗逆神破专或关键杂气</x:v>
      </x:c>
      <x:c r="P39" s="68" t="str">
        <x:v>维持一气成象</x:v>
      </x:c>
      <x:c r="Q39" s="90" t="str">
        <x:v>顺势过度可能加剧极端调候或终点壅塞</x:v>
      </x:c>
      <x:c r="R39" s="68" t="str">
        <x:v>M15专旺格严格成立</x:v>
      </x:c>
      <x:c r="S39" s="68" t="str">
        <x:v>专旺仅候选、逆神有效成势或普通身旺</x:v>
      </x:c>
      <x:c r="T39" s="68" t="str">
        <x:v>专旺与普通扶抑/调候冲突</x:v>
      </x:c>
      <x:c r="U39" s="68" t="str">
        <x:v>M18-SPECIAL-0016-V1.0</x:v>
      </x:c>
      <x:c r="V39" s="84" t="str">
        <x:v>主用神</x:v>
      </x:c>
      <x:c r="W39" s="82" t="str">
        <x:v>第一顺位</x:v>
      </x:c>
      <x:c r="X39" s="82" t="str">
        <x:v>否</x:v>
      </x:c>
      <x:c r="Y39" s="68" t="str">
        <x:v>以不破一气主势为硬条件</x:v>
      </x:c>
      <x:c r="Z39" s="84" t="str">
        <x:v>专旺顺势用神</x:v>
      </x:c>
      <x:c r="AA39" s="84" t="str">
        <x:v>该候选五行综合定位为“主用神”，优先级为“第一顺位”。主要收益：维持一气成象；主要副作用：顺势过度可能加剧极端调候或终点壅塞；以不破一气主势为硬条件。</x:v>
      </x:c>
      <x:c r="AB39" s="82" t="str">
        <x:v>较高</x:v>
      </x:c>
      <x:c r="AC39" s="82" t="str">
        <x:v>现代综合</x:v>
      </x:c>
      <x:c r="AD39" s="68" t="str">
        <x:v>喜忌用神必须同时读取扶抑、格局、通关、调候和病药五个维度。单一维度有利不足以自动成为主用；最终定位取决于是否解决根本问题、是否触犯格局硬约束、药力是否可达以及副作用是否可控。</x:v>
      </x:c>
      <x:c r="AE39" s="68" t="str">
        <x:v>满足“M15专旺格严格成立”，且主要收益大于副作用时，可按“专旺格以顺一气并防有效逆神为用神方向”定位。</x:v>
      </x:c>
      <x:c r="AF39" s="90" t="str">
        <x:v>若“专旺仅候选、逆神有效成势或普通身旺”成立，则不得按“专旺格以顺一气并防有效逆神为用神方向”无条件定位。</x:v>
      </x:c>
      <x:c r="AG39" s="82" t="str">
        <x:v>采用</x:v>
      </x:c>
      <x:c r="AH39" s="82" t="str">
        <x:v>初审</x:v>
      </x:c>
      <x:c r="AI39" s="87" t="n">
        <x:v>46260</x:v>
      </x:c>
    </x:row>
    <x:row r="40">
      <x:c r="A40" s="72" t="str">
        <x:f>IF(OR(C40="",D40=""),"",B40&amp;"-"&amp;UPPER(C40)&amp;"-"&amp;TEXT(D40,"0000")&amp;"-"&amp;E40)</x:f>
        <x:v>M17-GEJU-0034-V1.0</x:v>
      </x:c>
      <x:c r="B40" s="74" t="str">
        <x:v>M17</x:v>
      </x:c>
      <x:c r="C40" s="74" t="str">
        <x:v>GEJU</x:v>
      </x:c>
      <x:c r="D40" s="215" t="n">
        <x:v>34</x:v>
      </x:c>
      <x:c r="E40" s="74" t="str">
        <x:v>V1.0</x:v>
      </x:c>
      <x:c r="F40" s="68" t="str">
        <x:v>有破有救格局中的救应五行通常列辅助用神</x:v>
      </x:c>
      <x:c r="G40" s="82" t="str">
        <x:v>综合层</x:v>
      </x:c>
      <x:c r="H40" s="82"/>
      <x:c r="I40" s="82"/>
      <x:c r="J40" s="82" t="str">
        <x:v>格局用神</x:v>
      </x:c>
      <x:c r="K40" s="68" t="str">
        <x:v>视救应五行对日主作用而定</x:v>
      </x:c>
      <x:c r="L40" s="68" t="str">
        <x:v>直接修复M15破格因素</x:v>
      </x:c>
      <x:c r="M40" s="68" t="str">
        <x:v>恢复格神或关键组合路径</x:v>
      </x:c>
      <x:c r="N40" s="68" t="str">
        <x:v>另审调候副作用</x:v>
      </x:c>
      <x:c r="O40" s="68" t="str">
        <x:v>对应M16格局病主药或辅助药</x:v>
      </x:c>
      <x:c r="P40" s="68" t="str">
        <x:v>恢复格局主要功能</x:v>
      </x:c>
      <x:c r="Q40" s="90" t="str">
        <x:v>救应可能过度、伤害另一维度或只局部有效</x:v>
      </x:c>
      <x:c r="R40" s="68" t="str">
        <x:v>M15格局有破有救，救应至少部分有效</x:v>
      </x:c>
      <x:c r="S40" s="68" t="str">
        <x:v>救应无实际路径、药力不足或副作用大于修复收益</x:v>
      </x:c>
      <x:c r="T40" s="68" t="str">
        <x:v>救格收益与药过/其他维度冲突</x:v>
      </x:c>
      <x:c r="U40" s="68" t="str">
        <x:v>M18-PATTERN-0019-V1.0</x:v>
      </x:c>
      <x:c r="V40" s="84" t="str">
        <x:v>辅助用神</x:v>
      </x:c>
      <x:c r="W40" s="82" t="str">
        <x:v>第二顺位</x:v>
      </x:c>
      <x:c r="X40" s="82" t="str">
        <x:v>条件性</x:v>
      </x:c>
      <x:c r="Y40" s="68" t="str">
        <x:v>救应直接、有效且不过量</x:v>
      </x:c>
      <x:c r="Z40" s="84" t="str">
        <x:v>救格辅助用神</x:v>
      </x:c>
      <x:c r="AA40" s="84" t="str">
        <x:v>该候选五行综合定位为“辅助用神”，优先级为“第二顺位”。主要收益：恢复格局主要功能；主要副作用：救应可能过度、伤害另一维度或只局部有效；仅在救应直接、有效且不过量时成立。</x:v>
      </x:c>
      <x:c r="AB40" s="82" t="str">
        <x:v>较高</x:v>
      </x:c>
      <x:c r="AC40" s="82" t="str">
        <x:v>现代综合</x:v>
      </x:c>
      <x:c r="AD40" s="68" t="str">
        <x:v>喜忌用神必须同时读取扶抑、格局、通关、调候和病药五个维度。单一维度有利不足以自动成为主用；最终定位取决于是否解决根本问题、是否触犯格局硬约束、药力是否可达以及副作用是否可控。</x:v>
      </x:c>
      <x:c r="AE40" s="68" t="str">
        <x:v>满足“M15格局有破有救，救应至少部分有效”，且主要收益大于副作用时，可按“有破有救格局中的救应五行通常列辅助用神”定位。</x:v>
      </x:c>
      <x:c r="AF40" s="90" t="str">
        <x:v>若“救应无实际路径、药力不足或副作用大于修复收益”成立，则不得按“有破有救格局中的救应五行通常列辅助用神”无条件定位。</x:v>
      </x:c>
      <x:c r="AG40" s="82" t="str">
        <x:v>采用</x:v>
      </x:c>
      <x:c r="AH40" s="82" t="str">
        <x:v>初审</x:v>
      </x:c>
      <x:c r="AI40" s="87" t="n">
        <x:v>46260</x:v>
      </x:c>
    </x:row>
    <x:row r="41">
      <x:c r="A41" s="72" t="str">
        <x:f>IF(OR(C41="",D41=""),"",B41&amp;"-"&amp;UPPER(C41)&amp;"-"&amp;TEXT(D41,"0000")&amp;"-"&amp;E41)</x:f>
        <x:v>M17-TONGGUAN-0035-V1.0</x:v>
      </x:c>
      <x:c r="B41" s="74" t="str">
        <x:v>M17</x:v>
      </x:c>
      <x:c r="C41" s="74" t="str">
        <x:v>TONGGUAN</x:v>
      </x:c>
      <x:c r="D41" s="215" t="n">
        <x:v>35</x:v>
      </x:c>
      <x:c r="E41" s="74" t="str">
        <x:v>V1.0</x:v>
      </x:c>
      <x:c r="F41" s="68" t="str">
        <x:v>金木相战以水通关</x:v>
      </x:c>
      <x:c r="G41" s="82" t="str">
        <x:v>综合层</x:v>
      </x:c>
      <x:c r="H41" s="82" t="str">
        <x:v>水</x:v>
      </x:c>
      <x:c r="I41" s="82"/>
      <x:c r="J41" s="82" t="str">
        <x:v>通关用神</x:v>
      </x:c>
      <x:c r="K41" s="68" t="str">
        <x:v>视该五行与日主十神关系另判</x:v>
      </x:c>
      <x:c r="L41" s="68" t="str">
        <x:v>不得破坏核心格神</x:v>
      </x:c>
      <x:c r="M41" s="68" t="str">
        <x:v>同时泄金、生木</x:v>
      </x:c>
      <x:c r="N41" s="68" t="str">
        <x:v>需检查水对寒暖燥湿的修正</x:v>
      </x:c>
      <x:c r="O41" s="68" t="str">
        <x:v>治疗两强相战流通病</x:v>
      </x:c>
      <x:c r="P41" s="68" t="str">
        <x:v>泄金并生木，缓解金木两强相战</x:v>
      </x:c>
      <x:c r="Q41" s="90" t="str">
        <x:v>水过强可能寒湿、灭火或使土水冲突加重</x:v>
      </x:c>
      <x:c r="R41" s="68" t="str">
        <x:v>M12确认金与木均有力且无有效桥梁</x:v>
      </x:c>
      <x:c r="S41" s="68" t="str">
        <x:v>金木并未形成主矛盾，或水无根无源、受强制</x:v>
      </x:c>
      <x:c r="T41" s="68" t="str">
        <x:v>通关与扶抑/格局/调候冲突</x:v>
      </x:c>
      <x:c r="U41" s="68" t="str">
        <x:v>M18-FLOW-0035-V1.0</x:v>
      </x:c>
      <x:c r="V41" s="84" t="str">
        <x:v>条件性喜神</x:v>
      </x:c>
      <x:c r="W41" s="82" t="str">
        <x:v>条件顺位</x:v>
      </x:c>
      <x:c r="X41" s="82" t="str">
        <x:v>是</x:v>
      </x:c>
      <x:c r="Y41" s="68" t="str">
        <x:v>水有根有源、能同时完成双向通关且副作用可控</x:v>
      </x:c>
      <x:c r="Z41" s="84" t="str">
        <x:v>金木_水通关</x:v>
      </x:c>
      <x:c r="AA41" s="84" t="str">
        <x:v>水综合定位为“条件性喜神”，优先级为“条件顺位”。主要收益：泄金并生木，缓解金木两强相战；主要副作用：水过强可能寒湿、灭火或使土水冲突加重；仅在水有根有源、能同时完成双向通关且副作用可控时成立。</x:v>
      </x:c>
      <x:c r="AB41" s="82" t="str">
        <x:v>较高</x:v>
      </x:c>
      <x:c r="AC41" s="82" t="str">
        <x:v>现代综合</x:v>
      </x:c>
      <x:c r="AD41" s="68" t="str">
        <x:v>喜忌用神必须同时读取扶抑、格局、通关、调候和病药五个维度。单一维度有利不足以自动成为主用；最终定位取决于是否解决根本问题、是否触犯格局硬约束、药力是否可达以及副作用是否可控。</x:v>
      </x:c>
      <x:c r="AE41" s="68" t="str">
        <x:v>满足“M12确认金与木均有力且无有效桥梁”，且主要收益大于副作用时，可按“金木相战以水通关”定位。</x:v>
      </x:c>
      <x:c r="AF41" s="90" t="str">
        <x:v>若“金木并未形成主矛盾，或水无根无源、受强制”成立，则不得按“金木相战以水通关”无条件定位。</x:v>
      </x:c>
      <x:c r="AG41" s="82" t="str">
        <x:v>采用</x:v>
      </x:c>
      <x:c r="AH41" s="82" t="str">
        <x:v>初审</x:v>
      </x:c>
      <x:c r="AI41" s="87" t="n">
        <x:v>46260</x:v>
      </x:c>
    </x:row>
    <x:row r="42">
      <x:c r="A42" s="72" t="str">
        <x:f>IF(OR(C42="",D42=""),"",B42&amp;"-"&amp;UPPER(C42)&amp;"-"&amp;TEXT(D42,"0000")&amp;"-"&amp;E42)</x:f>
        <x:v>M17-TONGGUAN-0036-V1.0</x:v>
      </x:c>
      <x:c r="B42" s="74" t="str">
        <x:v>M17</x:v>
      </x:c>
      <x:c r="C42" s="74" t="str">
        <x:v>TONGGUAN</x:v>
      </x:c>
      <x:c r="D42" s="215" t="n">
        <x:v>36</x:v>
      </x:c>
      <x:c r="E42" s="74" t="str">
        <x:v>V1.0</x:v>
      </x:c>
      <x:c r="F42" s="68" t="str">
        <x:v>木土相战以火通关</x:v>
      </x:c>
      <x:c r="G42" s="82" t="str">
        <x:v>综合层</x:v>
      </x:c>
      <x:c r="H42" s="82" t="str">
        <x:v>火</x:v>
      </x:c>
      <x:c r="I42" s="82"/>
      <x:c r="J42" s="82" t="str">
        <x:v>通关用神</x:v>
      </x:c>
      <x:c r="K42" s="68" t="str">
        <x:v>视该五行与日主十神关系另判</x:v>
      </x:c>
      <x:c r="L42" s="68" t="str">
        <x:v>不得破坏核心格神</x:v>
      </x:c>
      <x:c r="M42" s="68" t="str">
        <x:v>同时泄木、生土</x:v>
      </x:c>
      <x:c r="N42" s="68" t="str">
        <x:v>需检查火对寒暖燥湿的修正</x:v>
      </x:c>
      <x:c r="O42" s="68" t="str">
        <x:v>治疗两强相战流通病</x:v>
      </x:c>
      <x:c r="P42" s="68" t="str">
        <x:v>泄木并生土，缓解木土两强相战</x:v>
      </x:c>
      <x:c r="Q42" s="90" t="str">
        <x:v>火过强可能热燥、耗水或破坏金格</x:v>
      </x:c>
      <x:c r="R42" s="68" t="str">
        <x:v>M12确认木与土均有力且无有效桥梁</x:v>
      </x:c>
      <x:c r="S42" s="68" t="str">
        <x:v>木土并未形成主矛盾，或火无根无源、受强制</x:v>
      </x:c>
      <x:c r="T42" s="68" t="str">
        <x:v>通关与扶抑/格局/调候冲突</x:v>
      </x:c>
      <x:c r="U42" s="68" t="str">
        <x:v>M18-FLOW-0035-V1.0</x:v>
      </x:c>
      <x:c r="V42" s="84" t="str">
        <x:v>条件性喜神</x:v>
      </x:c>
      <x:c r="W42" s="82" t="str">
        <x:v>条件顺位</x:v>
      </x:c>
      <x:c r="X42" s="82" t="str">
        <x:v>是</x:v>
      </x:c>
      <x:c r="Y42" s="68" t="str">
        <x:v>火有根有源、能同时完成双向通关且副作用可控</x:v>
      </x:c>
      <x:c r="Z42" s="84" t="str">
        <x:v>木土_火通关</x:v>
      </x:c>
      <x:c r="AA42" s="84" t="str">
        <x:v>火综合定位为“条件性喜神”，优先级为“条件顺位”。主要收益：泄木并生土，缓解木土两强相战；主要副作用：火过强可能热燥、耗水或破坏金格；仅在火有根有源、能同时完成双向通关且副作用可控时成立。</x:v>
      </x:c>
      <x:c r="AB42" s="82" t="str">
        <x:v>较高</x:v>
      </x:c>
      <x:c r="AC42" s="82" t="str">
        <x:v>现代综合</x:v>
      </x:c>
      <x:c r="AD42" s="68" t="str">
        <x:v>喜忌用神必须同时读取扶抑、格局、通关、调候和病药五个维度。单一维度有利不足以自动成为主用；最终定位取决于是否解决根本问题、是否触犯格局硬约束、药力是否可达以及副作用是否可控。</x:v>
      </x:c>
      <x:c r="AE42" s="68" t="str">
        <x:v>满足“M12确认木与土均有力且无有效桥梁”，且主要收益大于副作用时，可按“木土相战以火通关”定位。</x:v>
      </x:c>
      <x:c r="AF42" s="90" t="str">
        <x:v>若“木土并未形成主矛盾，或火无根无源、受强制”成立，则不得按“木土相战以火通关”无条件定位。</x:v>
      </x:c>
      <x:c r="AG42" s="82" t="str">
        <x:v>采用</x:v>
      </x:c>
      <x:c r="AH42" s="82" t="str">
        <x:v>初审</x:v>
      </x:c>
      <x:c r="AI42" s="87" t="n">
        <x:v>46260</x:v>
      </x:c>
    </x:row>
    <x:row r="43">
      <x:c r="A43" s="72" t="str">
        <x:f>IF(OR(C43="",D43=""),"",B43&amp;"-"&amp;UPPER(C43)&amp;"-"&amp;TEXT(D43,"0000")&amp;"-"&amp;E43)</x:f>
        <x:v>M17-TONGGUAN-0037-V1.0</x:v>
      </x:c>
      <x:c r="B43" s="74" t="str">
        <x:v>M17</x:v>
      </x:c>
      <x:c r="C43" s="74" t="str">
        <x:v>TONGGUAN</x:v>
      </x:c>
      <x:c r="D43" s="215" t="n">
        <x:v>37</x:v>
      </x:c>
      <x:c r="E43" s="74" t="str">
        <x:v>V1.0</x:v>
      </x:c>
      <x:c r="F43" s="68" t="str">
        <x:v>土水相战以金通关</x:v>
      </x:c>
      <x:c r="G43" s="82" t="str">
        <x:v>综合层</x:v>
      </x:c>
      <x:c r="H43" s="82" t="str">
        <x:v>金</x:v>
      </x:c>
      <x:c r="I43" s="82"/>
      <x:c r="J43" s="82" t="str">
        <x:v>通关用神</x:v>
      </x:c>
      <x:c r="K43" s="68" t="str">
        <x:v>视该五行与日主十神关系另判</x:v>
      </x:c>
      <x:c r="L43" s="68" t="str">
        <x:v>不得破坏核心格神</x:v>
      </x:c>
      <x:c r="M43" s="68" t="str">
        <x:v>同时泄土、生水</x:v>
      </x:c>
      <x:c r="N43" s="68" t="str">
        <x:v>需检查金对寒暖燥湿的修正</x:v>
      </x:c>
      <x:c r="O43" s="68" t="str">
        <x:v>治疗两强相战流通病</x:v>
      </x:c>
      <x:c r="P43" s="68" t="str">
        <x:v>泄土并生水，缓解土水两强相战</x:v>
      </x:c>
      <x:c r="Q43" s="90" t="str">
        <x:v>金过强可能克木、助水寒或破坏木格</x:v>
      </x:c>
      <x:c r="R43" s="68" t="str">
        <x:v>M12确认土与水均有力且无有效桥梁</x:v>
      </x:c>
      <x:c r="S43" s="68" t="str">
        <x:v>土水并未形成主矛盾，或金无根无源、受强制</x:v>
      </x:c>
      <x:c r="T43" s="68" t="str">
        <x:v>通关与扶抑/格局/调候冲突</x:v>
      </x:c>
      <x:c r="U43" s="68" t="str">
        <x:v>M18-FLOW-0035-V1.0</x:v>
      </x:c>
      <x:c r="V43" s="84" t="str">
        <x:v>条件性喜神</x:v>
      </x:c>
      <x:c r="W43" s="82" t="str">
        <x:v>条件顺位</x:v>
      </x:c>
      <x:c r="X43" s="82" t="str">
        <x:v>是</x:v>
      </x:c>
      <x:c r="Y43" s="68" t="str">
        <x:v>金有根有源、能同时完成双向通关且副作用可控</x:v>
      </x:c>
      <x:c r="Z43" s="84" t="str">
        <x:v>土水_金通关</x:v>
      </x:c>
      <x:c r="AA43" s="84" t="str">
        <x:v>金综合定位为“条件性喜神”，优先级为“条件顺位”。主要收益：泄土并生水，缓解土水两强相战；主要副作用：金过强可能克木、助水寒或破坏木格；仅在金有根有源、能同时完成双向通关且副作用可控时成立。</x:v>
      </x:c>
      <x:c r="AB43" s="82" t="str">
        <x:v>较高</x:v>
      </x:c>
      <x:c r="AC43" s="82" t="str">
        <x:v>现代综合</x:v>
      </x:c>
      <x:c r="AD43" s="68" t="str">
        <x:v>喜忌用神必须同时读取扶抑、格局、通关、调候和病药五个维度。单一维度有利不足以自动成为主用；最终定位取决于是否解决根本问题、是否触犯格局硬约束、药力是否可达以及副作用是否可控。</x:v>
      </x:c>
      <x:c r="AE43" s="68" t="str">
        <x:v>满足“M12确认土与水均有力且无有效桥梁”，且主要收益大于副作用时，可按“土水相战以金通关”定位。</x:v>
      </x:c>
      <x:c r="AF43" s="90" t="str">
        <x:v>若“土水并未形成主矛盾，或金无根无源、受强制”成立，则不得按“土水相战以金通关”无条件定位。</x:v>
      </x:c>
      <x:c r="AG43" s="82" t="str">
        <x:v>采用</x:v>
      </x:c>
      <x:c r="AH43" s="82" t="str">
        <x:v>初审</x:v>
      </x:c>
      <x:c r="AI43" s="87" t="n">
        <x:v>46260</x:v>
      </x:c>
    </x:row>
    <x:row r="44">
      <x:c r="A44" s="72" t="str">
        <x:f>IF(OR(C44="",D44=""),"",B44&amp;"-"&amp;UPPER(C44)&amp;"-"&amp;TEXT(D44,"0000")&amp;"-"&amp;E44)</x:f>
        <x:v>M17-TONGGUAN-0038-V1.0</x:v>
      </x:c>
      <x:c r="B44" s="74" t="str">
        <x:v>M17</x:v>
      </x:c>
      <x:c r="C44" s="74" t="str">
        <x:v>TONGGUAN</x:v>
      </x:c>
      <x:c r="D44" s="215" t="n">
        <x:v>38</x:v>
      </x:c>
      <x:c r="E44" s="74" t="str">
        <x:v>V1.0</x:v>
      </x:c>
      <x:c r="F44" s="68" t="str">
        <x:v>水火相战以木通关</x:v>
      </x:c>
      <x:c r="G44" s="82" t="str">
        <x:v>综合层</x:v>
      </x:c>
      <x:c r="H44" s="82" t="str">
        <x:v>木</x:v>
      </x:c>
      <x:c r="I44" s="82"/>
      <x:c r="J44" s="82" t="str">
        <x:v>通关用神</x:v>
      </x:c>
      <x:c r="K44" s="68" t="str">
        <x:v>视该五行与日主十神关系另判</x:v>
      </x:c>
      <x:c r="L44" s="68" t="str">
        <x:v>不得破坏核心格神</x:v>
      </x:c>
      <x:c r="M44" s="68" t="str">
        <x:v>同时泄水、生火</x:v>
      </x:c>
      <x:c r="N44" s="68" t="str">
        <x:v>需检查木对寒暖燥湿的修正</x:v>
      </x:c>
      <x:c r="O44" s="68" t="str">
        <x:v>治疗两强相战流通病</x:v>
      </x:c>
      <x:c r="P44" s="68" t="str">
        <x:v>泄水并生火，缓解水火两强相战</x:v>
      </x:c>
      <x:c r="Q44" s="90" t="str">
        <x:v>木过强可能生火过度、克土或加重木旺</x:v>
      </x:c>
      <x:c r="R44" s="68" t="str">
        <x:v>M12确认水与火均有力且无有效桥梁</x:v>
      </x:c>
      <x:c r="S44" s="68" t="str">
        <x:v>水火并未形成主矛盾，或木无根无源、受强制</x:v>
      </x:c>
      <x:c r="T44" s="68" t="str">
        <x:v>通关与扶抑/格局/调候冲突</x:v>
      </x:c>
      <x:c r="U44" s="68" t="str">
        <x:v>M18-FLOW-0035-V1.0</x:v>
      </x:c>
      <x:c r="V44" s="84" t="str">
        <x:v>条件性喜神</x:v>
      </x:c>
      <x:c r="W44" s="82" t="str">
        <x:v>条件顺位</x:v>
      </x:c>
      <x:c r="X44" s="82" t="str">
        <x:v>是</x:v>
      </x:c>
      <x:c r="Y44" s="68" t="str">
        <x:v>木有根有源、能同时完成双向通关且副作用可控</x:v>
      </x:c>
      <x:c r="Z44" s="84" t="str">
        <x:v>水火_木通关</x:v>
      </x:c>
      <x:c r="AA44" s="84" t="str">
        <x:v>木综合定位为“条件性喜神”，优先级为“条件顺位”。主要收益：泄水并生火，缓解水火两强相战；主要副作用：木过强可能生火过度、克土或加重木旺；仅在木有根有源、能同时完成双向通关且副作用可控时成立。</x:v>
      </x:c>
      <x:c r="AB44" s="82" t="str">
        <x:v>较高</x:v>
      </x:c>
      <x:c r="AC44" s="82" t="str">
        <x:v>现代综合</x:v>
      </x:c>
      <x:c r="AD44" s="68" t="str">
        <x:v>喜忌用神必须同时读取扶抑、格局、通关、调候和病药五个维度。单一维度有利不足以自动成为主用；最终定位取决于是否解决根本问题、是否触犯格局硬约束、药力是否可达以及副作用是否可控。</x:v>
      </x:c>
      <x:c r="AE44" s="68" t="str">
        <x:v>满足“M12确认水与火均有力且无有效桥梁”，且主要收益大于副作用时，可按“水火相战以木通关”定位。</x:v>
      </x:c>
      <x:c r="AF44" s="90" t="str">
        <x:v>若“水火并未形成主矛盾，或木无根无源、受强制”成立，则不得按“水火相战以木通关”无条件定位。</x:v>
      </x:c>
      <x:c r="AG44" s="82" t="str">
        <x:v>采用</x:v>
      </x:c>
      <x:c r="AH44" s="82" t="str">
        <x:v>初审</x:v>
      </x:c>
      <x:c r="AI44" s="87" t="n">
        <x:v>46260</x:v>
      </x:c>
    </x:row>
    <x:row r="45">
      <x:c r="A45" s="72" t="str">
        <x:f>IF(OR(C45="",D45=""),"",B45&amp;"-"&amp;UPPER(C45)&amp;"-"&amp;TEXT(D45,"0000")&amp;"-"&amp;E45)</x:f>
        <x:v>M17-TONGGUAN-0039-V1.0</x:v>
      </x:c>
      <x:c r="B45" s="74" t="str">
        <x:v>M17</x:v>
      </x:c>
      <x:c r="C45" s="74" t="str">
        <x:v>TONGGUAN</x:v>
      </x:c>
      <x:c r="D45" s="215" t="n">
        <x:v>39</x:v>
      </x:c>
      <x:c r="E45" s="74" t="str">
        <x:v>V1.0</x:v>
      </x:c>
      <x:c r="F45" s="68" t="str">
        <x:v>火金相战以土通关</x:v>
      </x:c>
      <x:c r="G45" s="82" t="str">
        <x:v>综合层</x:v>
      </x:c>
      <x:c r="H45" s="82" t="str">
        <x:v>土</x:v>
      </x:c>
      <x:c r="I45" s="82"/>
      <x:c r="J45" s="82" t="str">
        <x:v>通关用神</x:v>
      </x:c>
      <x:c r="K45" s="68" t="str">
        <x:v>视该五行与日主十神关系另判</x:v>
      </x:c>
      <x:c r="L45" s="68" t="str">
        <x:v>不得破坏核心格神</x:v>
      </x:c>
      <x:c r="M45" s="68" t="str">
        <x:v>同时泄火、生金</x:v>
      </x:c>
      <x:c r="N45" s="68" t="str">
        <x:v>需检查土对寒暖燥湿的修正</x:v>
      </x:c>
      <x:c r="O45" s="68" t="str">
        <x:v>治疗两强相战流通病</x:v>
      </x:c>
      <x:c r="P45" s="68" t="str">
        <x:v>泄火并生金，缓解火金两强相战</x:v>
      </x:c>
      <x:c r="Q45" s="90" t="str">
        <x:v>土过强可能晦火、克水或形成湿燥土壅塞</x:v>
      </x:c>
      <x:c r="R45" s="68" t="str">
        <x:v>M12确认火与金均有力且无有效桥梁</x:v>
      </x:c>
      <x:c r="S45" s="68" t="str">
        <x:v>火金并未形成主矛盾，或土无根无源、受强制</x:v>
      </x:c>
      <x:c r="T45" s="68" t="str">
        <x:v>通关与扶抑/格局/调候冲突</x:v>
      </x:c>
      <x:c r="U45" s="68" t="str">
        <x:v>M18-FLOW-0035-V1.0</x:v>
      </x:c>
      <x:c r="V45" s="84" t="str">
        <x:v>条件性喜神</x:v>
      </x:c>
      <x:c r="W45" s="82" t="str">
        <x:v>条件顺位</x:v>
      </x:c>
      <x:c r="X45" s="82" t="str">
        <x:v>是</x:v>
      </x:c>
      <x:c r="Y45" s="68" t="str">
        <x:v>土有根有源、能同时完成双向通关且副作用可控</x:v>
      </x:c>
      <x:c r="Z45" s="84" t="str">
        <x:v>火金_土通关</x:v>
      </x:c>
      <x:c r="AA45" s="84" t="str">
        <x:v>土综合定位为“条件性喜神”，优先级为“条件顺位”。主要收益：泄火并生金，缓解火金两强相战；主要副作用：土过强可能晦火、克水或形成湿燥土壅塞；仅在土有根有源、能同时完成双向通关且副作用可控时成立。</x:v>
      </x:c>
      <x:c r="AB45" s="82" t="str">
        <x:v>较高</x:v>
      </x:c>
      <x:c r="AC45" s="82" t="str">
        <x:v>现代综合</x:v>
      </x:c>
      <x:c r="AD45" s="68" t="str">
        <x:v>喜忌用神必须同时读取扶抑、格局、通关、调候和病药五个维度。单一维度有利不足以自动成为主用；最终定位取决于是否解决根本问题、是否触犯格局硬约束、药力是否可达以及副作用是否可控。</x:v>
      </x:c>
      <x:c r="AE45" s="68" t="str">
        <x:v>满足“M12确认火与金均有力且无有效桥梁”，且主要收益大于副作用时，可按“火金相战以土通关”定位。</x:v>
      </x:c>
      <x:c r="AF45" s="90" t="str">
        <x:v>若“火金并未形成主矛盾，或土无根无源、受强制”成立，则不得按“火金相战以土通关”无条件定位。</x:v>
      </x:c>
      <x:c r="AG45" s="82" t="str">
        <x:v>采用</x:v>
      </x:c>
      <x:c r="AH45" s="82" t="str">
        <x:v>初审</x:v>
      </x:c>
      <x:c r="AI45" s="87" t="n">
        <x:v>46260</x:v>
      </x:c>
    </x:row>
    <x:row r="46">
      <x:c r="A46" s="72" t="str">
        <x:f>IF(OR(C46="",D46=""),"",B46&amp;"-"&amp;UPPER(C46)&amp;"-"&amp;TEXT(D46,"0000")&amp;"-"&amp;E46)</x:f>
        <x:v>M17-TONGGUAN-0040-V1.0</x:v>
      </x:c>
      <x:c r="B46" s="74" t="str">
        <x:v>M17</x:v>
      </x:c>
      <x:c r="C46" s="74" t="str">
        <x:v>TONGGUAN</x:v>
      </x:c>
      <x:c r="D46" s="215" t="n">
        <x:v>40</x:v>
      </x:c>
      <x:c r="E46" s="74" t="str">
        <x:v>V1.0</x:v>
      </x:c>
      <x:c r="F46" s="68" t="str">
        <x:v>通关五行有根有源且兼治主病时可升级</x:v>
      </x:c>
      <x:c r="G46" s="82" t="str">
        <x:v>综合层</x:v>
      </x:c>
      <x:c r="H46" s="82"/>
      <x:c r="I46" s="82"/>
      <x:c r="J46" s="82" t="str">
        <x:v>复合来源</x:v>
      </x:c>
      <x:c r="K46" s="68" t="str">
        <x:v>不明显伤害日主承载</x:v>
      </x:c>
      <x:c r="L46" s="68" t="str">
        <x:v>不破核心格局</x:v>
      </x:c>
      <x:c r="M46" s="68" t="str">
        <x:v>直接修复主卡点</x:v>
      </x:c>
      <x:c r="N46" s="68" t="str">
        <x:v>同时改善或不恶化调候</x:v>
      </x:c>
      <x:c r="O46" s="68" t="str">
        <x:v>与M16主药同向</x:v>
      </x:c>
      <x:c r="P46" s="68" t="str">
        <x:v>通关与病药一神多效</x:v>
      </x:c>
      <x:c r="Q46" s="90" t="str">
        <x:v>仍需防药力过量</x:v>
      </x:c>
      <x:c r="R46" s="68" t="str">
        <x:v>M12通关候选与M16主药一致，且药神有效</x:v>
      </x:c>
      <x:c r="S46" s="68" t="str">
        <x:v>只理论通关而无实际药力</x:v>
      </x:c>
      <x:c r="T46" s="68" t="str">
        <x:v>多维同向但需剂量控制</x:v>
      </x:c>
      <x:c r="U46" s="68" t="str">
        <x:v>M18-DOSE-0066-V1.0</x:v>
      </x:c>
      <x:c r="V46" s="84" t="str">
        <x:v>主用神</x:v>
      </x:c>
      <x:c r="W46" s="82" t="str">
        <x:v>第一顺位</x:v>
      </x:c>
      <x:c r="X46" s="82" t="str">
        <x:v>条件性</x:v>
      </x:c>
      <x:c r="Y46" s="68" t="str">
        <x:v>通关解决根本主病且无硬冲突</x:v>
      </x:c>
      <x:c r="Z46" s="84" t="str">
        <x:v>通关病药同向升级</x:v>
      </x:c>
      <x:c r="AA46" s="84" t="str">
        <x:v>该候选五行综合定位为“主用神”，优先级为“第一顺位”。主要收益：通关与病药一神多效；主要副作用：仍需防药力过量；仅在通关解决根本主病且无硬冲突时成立。</x:v>
      </x:c>
      <x:c r="AB46" s="82" t="str">
        <x:v>较高</x:v>
      </x:c>
      <x:c r="AC46" s="82" t="str">
        <x:v>现代综合</x:v>
      </x:c>
      <x:c r="AD46" s="68" t="str">
        <x:v>喜忌用神必须同时读取扶抑、格局、通关、调候和病药五个维度。单一维度有利不足以自动成为主用；最终定位取决于是否解决根本问题、是否触犯格局硬约束、药力是否可达以及副作用是否可控。</x:v>
      </x:c>
      <x:c r="AE46" s="68" t="str">
        <x:v>满足“M12通关候选与M16主药一致，且药神有效”，且主要收益大于副作用时，可按“通关五行有根有源且兼治主病时可升级”定位。</x:v>
      </x:c>
      <x:c r="AF46" s="90" t="str">
        <x:v>若“只理论通关而无实际药力”成立，则不得按“通关五行有根有源且兼治主病时可升级”无条件定位。</x:v>
      </x:c>
      <x:c r="AG46" s="82" t="str">
        <x:v>采用</x:v>
      </x:c>
      <x:c r="AH46" s="82" t="str">
        <x:v>初审</x:v>
      </x:c>
      <x:c r="AI46" s="87" t="n">
        <x:v>46260</x:v>
      </x:c>
    </x:row>
    <x:row r="47">
      <x:c r="A47" s="72" t="str">
        <x:f>IF(OR(C47="",D47=""),"",B47&amp;"-"&amp;UPPER(C47)&amp;"-"&amp;TEXT(D47,"0000")&amp;"-"&amp;E47)</x:f>
        <x:v>M17-TONGGUAN-0041-V1.0</x:v>
      </x:c>
      <x:c r="B47" s="74" t="str">
        <x:v>M17</x:v>
      </x:c>
      <x:c r="C47" s="74" t="str">
        <x:v>TONGGUAN</x:v>
      </x:c>
      <x:c r="D47" s="215" t="n">
        <x:v>41</x:v>
      </x:c>
      <x:c r="E47" s="74" t="str">
        <x:v>V1.0</x:v>
      </x:c>
      <x:c r="F47" s="68" t="str">
        <x:v>通关五行无根无源时只列弱候选</x:v>
      </x:c>
      <x:c r="G47" s="82" t="str">
        <x:v>综合层</x:v>
      </x:c>
      <x:c r="H47" s="82"/>
      <x:c r="I47" s="82"/>
      <x:c r="J47" s="82" t="str">
        <x:v>通关用神</x:v>
      </x:c>
      <x:c r="K47" s="68" t="str">
        <x:v>作用有限</x:v>
      </x:c>
      <x:c r="L47" s="68" t="str">
        <x:v>待定</x:v>
      </x:c>
      <x:c r="M47" s="68" t="str">
        <x:v>理论可通但药力不足</x:v>
      </x:c>
      <x:c r="N47" s="68" t="str">
        <x:v>待定</x:v>
      </x:c>
      <x:c r="O47" s="68" t="str">
        <x:v>不能稳定修复卡点</x:v>
      </x:c>
      <x:c r="P47" s="68" t="str">
        <x:v>提供潜在路径方向</x:v>
      </x:c>
      <x:c r="Q47" s="90" t="str">
        <x:v>无力时不能承担主用，增强后又可能制造副作用</x:v>
      </x:c>
      <x:c r="R47" s="68" t="str">
        <x:v>理论通关关系成立但M08判该五行弱或极弱</x:v>
      </x:c>
      <x:c r="S47" s="68" t="str">
        <x:v>存在更强替代桥梁</x:v>
      </x:c>
      <x:c r="T47" s="68" t="str">
        <x:v>药力不足</x:v>
      </x:c>
      <x:c r="U47" s="68" t="str">
        <x:v>M18-MED-0046-V1.0</x:v>
      </x:c>
      <x:c r="V47" s="84" t="str">
        <x:v>条件性喜神</x:v>
      </x:c>
      <x:c r="W47" s="82" t="str">
        <x:v>条件顺位</x:v>
      </x:c>
      <x:c r="X47" s="82" t="str">
        <x:v>是</x:v>
      </x:c>
      <x:c r="Y47" s="68" t="str">
        <x:v>先满足有根有源和可达病位的条件</x:v>
      </x:c>
      <x:c r="Z47" s="84" t="str">
        <x:v>弱通关候选</x:v>
      </x:c>
      <x:c r="AA47" s="84" t="str">
        <x:v>该候选五行综合定位为“条件性喜神”，优先级为“条件顺位”。主要收益：提供潜在路径方向；主要副作用：无力时不能承担主用，增强后又可能制造副作用；仅在先满足有根有源和可达病位的条件时成立。</x:v>
      </x:c>
      <x:c r="AB47" s="82" t="str">
        <x:v>较高</x:v>
      </x:c>
      <x:c r="AC47" s="82" t="str">
        <x:v>现代综合</x:v>
      </x:c>
      <x:c r="AD47" s="68" t="str">
        <x:v>喜忌用神必须同时读取扶抑、格局、通关、调候和病药五个维度。单一维度有利不足以自动成为主用；最终定位取决于是否解决根本问题、是否触犯格局硬约束、药力是否可达以及副作用是否可控。</x:v>
      </x:c>
      <x:c r="AE47" s="68" t="str">
        <x:v>满足“理论通关关系成立但M08判该五行弱或极弱”，且主要收益大于副作用时，可按“通关五行无根无源时只列弱候选”定位。</x:v>
      </x:c>
      <x:c r="AF47" s="90" t="str">
        <x:v>若“存在更强替代桥梁”成立，则不得按“通关五行无根无源时只列弱候选”无条件定位。</x:v>
      </x:c>
      <x:c r="AG47" s="82" t="str">
        <x:v>采用</x:v>
      </x:c>
      <x:c r="AH47" s="82" t="str">
        <x:v>初审</x:v>
      </x:c>
      <x:c r="AI47" s="87" t="n">
        <x:v>46260</x:v>
      </x:c>
    </x:row>
    <x:row r="48">
      <x:c r="A48" s="72" t="str">
        <x:f>IF(OR(C48="",D48=""),"",B48&amp;"-"&amp;UPPER(C48)&amp;"-"&amp;TEXT(D48,"0000")&amp;"-"&amp;E48)</x:f>
        <x:v>M17-TONGGUAN-0042-V1.0</x:v>
      </x:c>
      <x:c r="B48" s="74" t="str">
        <x:v>M17</x:v>
      </x:c>
      <x:c r="C48" s="74" t="str">
        <x:v>TONGGUAN</x:v>
      </x:c>
      <x:c r="D48" s="215" t="n">
        <x:v>42</x:v>
      </x:c>
      <x:c r="E48" s="74" t="str">
        <x:v>V1.0</x:v>
      </x:c>
      <x:c r="F48" s="68" t="str">
        <x:v>通关五行破坏核心格局时降为条件性或不采用</x:v>
      </x:c>
      <x:c r="G48" s="82" t="str">
        <x:v>综合层</x:v>
      </x:c>
      <x:c r="H48" s="82"/>
      <x:c r="I48" s="82"/>
      <x:c r="J48" s="82" t="str">
        <x:v>通关用神</x:v>
      </x:c>
      <x:c r="K48" s="68" t="str">
        <x:v>可能有利</x:v>
      </x:c>
      <x:c r="L48" s="68" t="str">
        <x:v>直接克合泄损格神</x:v>
      </x:c>
      <x:c r="M48" s="68" t="str">
        <x:v>能修复流通</x:v>
      </x:c>
      <x:c r="N48" s="68" t="str">
        <x:v>待定</x:v>
      </x:c>
      <x:c r="O48" s="68" t="str">
        <x:v>治流通次病</x:v>
      </x:c>
      <x:c r="P48" s="68" t="str">
        <x:v>缓解两强相战或缺桥</x:v>
      </x:c>
      <x:c r="Q48" s="90" t="str">
        <x:v>制造更高优先级格局病</x:v>
      </x:c>
      <x:c r="R48" s="68" t="str">
        <x:v>存在替代保护机制或通关仅需有限强度</x:v>
      </x:c>
      <x:c r="S48" s="68" t="str">
        <x:v>通关会导致根本破格或特殊格局失效</x:v>
      </x:c>
      <x:c r="T48" s="68" t="str">
        <x:v>通关与格局硬约束</x:v>
      </x:c>
      <x:c r="U48" s="68" t="str">
        <x:v>M18-FLOW-0035-V1.0</x:v>
      </x:c>
      <x:c r="V48" s="84" t="str">
        <x:v>条件性喜神</x:v>
      </x:c>
      <x:c r="W48" s="82" t="str">
        <x:v>条件顺位</x:v>
      </x:c>
      <x:c r="X48" s="82" t="str">
        <x:v>是</x:v>
      </x:c>
      <x:c r="Y48" s="68" t="str">
        <x:v>不破格或净收益经M18确认</x:v>
      </x:c>
      <x:c r="Z48" s="84" t="str">
        <x:v>通关伤格降级</x:v>
      </x:c>
      <x:c r="AA48" s="84" t="str">
        <x:v>该候选五行综合定位为“条件性喜神”，优先级为“条件顺位”。主要收益：缓解两强相战或缺桥；主要副作用：制造更高优先级格局病；仅在不破格或净收益经M18确认时成立。</x:v>
      </x:c>
      <x:c r="AB48" s="82" t="str">
        <x:v>较高</x:v>
      </x:c>
      <x:c r="AC48" s="82" t="str">
        <x:v>现代综合</x:v>
      </x:c>
      <x:c r="AD48" s="68" t="str">
        <x:v>喜忌用神必须同时读取扶抑、格局、通关、调候和病药五个维度。单一维度有利不足以自动成为主用；最终定位取决于是否解决根本问题、是否触犯格局硬约束、药力是否可达以及副作用是否可控。</x:v>
      </x:c>
      <x:c r="AE48" s="68" t="str">
        <x:v>满足“存在替代保护机制或通关仅需有限强度”，且主要收益大于副作用时，可按“通关五行破坏核心格局时降为条件性或不采用”定位。</x:v>
      </x:c>
      <x:c r="AF48" s="90" t="str">
        <x:v>若“通关会导致根本破格或特殊格局失效”成立，则不得按“通关五行破坏核心格局时降为条件性或不采用”无条件定位。</x:v>
      </x:c>
      <x:c r="AG48" s="82" t="str">
        <x:v>采用</x:v>
      </x:c>
      <x:c r="AH48" s="82" t="str">
        <x:v>初审</x:v>
      </x:c>
      <x:c r="AI48" s="87" t="n">
        <x:v>46260</x:v>
      </x:c>
    </x:row>
    <x:row r="49">
      <x:c r="A49" s="72" t="str">
        <x:f>IF(OR(C49="",D49=""),"",B49&amp;"-"&amp;UPPER(C49)&amp;"-"&amp;TEXT(D49,"0000")&amp;"-"&amp;E49)</x:f>
        <x:v>M17-TONGGUAN-0043-V1.0</x:v>
      </x:c>
      <x:c r="B49" s="74" t="str">
        <x:v>M17</x:v>
      </x:c>
      <x:c r="C49" s="74" t="str">
        <x:v>TONGGUAN</x:v>
      </x:c>
      <x:c r="D49" s="215" t="n">
        <x:v>43</x:v>
      </x:c>
      <x:c r="E49" s="74" t="str">
        <x:v>V1.0</x:v>
      </x:c>
      <x:c r="F49" s="68" t="str">
        <x:v>通关五行恶化极端气候时不得列无条件喜用</x:v>
      </x:c>
      <x:c r="G49" s="82" t="str">
        <x:v>综合层</x:v>
      </x:c>
      <x:c r="H49" s="82"/>
      <x:c r="I49" s="82"/>
      <x:c r="J49" s="82" t="str">
        <x:v>通关用神</x:v>
      </x:c>
      <x:c r="K49" s="68" t="str">
        <x:v>待定</x:v>
      </x:c>
      <x:c r="L49" s="68" t="str">
        <x:v>待定</x:v>
      </x:c>
      <x:c r="M49" s="68" t="str">
        <x:v>正向</x:v>
      </x:c>
      <x:c r="N49" s="68" t="str">
        <x:v>把命局推向极寒湿或极热燥</x:v>
      </x:c>
      <x:c r="O49" s="68" t="str">
        <x:v>治一病生一病</x:v>
      </x:c>
      <x:c r="P49" s="68" t="str">
        <x:v>修复流通卡点</x:v>
      </x:c>
      <x:c r="Q49" s="90" t="str">
        <x:v>形成首要调候病</x:v>
      </x:c>
      <x:c r="R49" s="68" t="str">
        <x:v>气候副作用可通过配伍和剂量控制</x:v>
      </x:c>
      <x:c r="S49" s="68" t="str">
        <x:v>新调候病严重度高于原流通病</x:v>
      </x:c>
      <x:c r="T49" s="68" t="str">
        <x:v>通关与调候冲突</x:v>
      </x:c>
      <x:c r="U49" s="68" t="str">
        <x:v>M18-FLOW-0036-V1.0</x:v>
      </x:c>
      <x:c r="V49" s="84" t="str">
        <x:v>条件性喜神</x:v>
      </x:c>
      <x:c r="W49" s="82" t="str">
        <x:v>条件顺位</x:v>
      </x:c>
      <x:c r="X49" s="82" t="str">
        <x:v>是</x:v>
      </x:c>
      <x:c r="Y49" s="68" t="str">
        <x:v>通关净收益高于调候损害</x:v>
      </x:c>
      <x:c r="Z49" s="84" t="str">
        <x:v>通关调候冲突</x:v>
      </x:c>
      <x:c r="AA49" s="84" t="str">
        <x:v>该候选五行综合定位为“条件性喜神”，优先级为“条件顺位”。主要收益：修复流通卡点；主要副作用：形成首要调候病；仅在通关净收益高于调候损害时成立。</x:v>
      </x:c>
      <x:c r="AB49" s="82" t="str">
        <x:v>较高</x:v>
      </x:c>
      <x:c r="AC49" s="82" t="str">
        <x:v>现代综合</x:v>
      </x:c>
      <x:c r="AD49" s="68" t="str">
        <x:v>喜忌用神必须同时读取扶抑、格局、通关、调候和病药五个维度。单一维度有利不足以自动成为主用；最终定位取决于是否解决根本问题、是否触犯格局硬约束、药力是否可达以及副作用是否可控。</x:v>
      </x:c>
      <x:c r="AE49" s="68" t="str">
        <x:v>满足“气候副作用可通过配伍和剂量控制”，且主要收益大于副作用时，可按“通关五行恶化极端气候时不得列无条件喜用”定位。</x:v>
      </x:c>
      <x:c r="AF49" s="90" t="str">
        <x:v>若“新调候病严重度高于原流通病”成立，则不得按“通关五行恶化极端气候时不得列无条件喜用”无条件定位。</x:v>
      </x:c>
      <x:c r="AG49" s="82" t="str">
        <x:v>采用</x:v>
      </x:c>
      <x:c r="AH49" s="82" t="str">
        <x:v>初审</x:v>
      </x:c>
      <x:c r="AI49" s="87" t="n">
        <x:v>46260</x:v>
      </x:c>
    </x:row>
    <x:row r="50">
      <x:c r="A50" s="72" t="str">
        <x:f>IF(OR(C50="",D50=""),"",B50&amp;"-"&amp;UPPER(C50)&amp;"-"&amp;TEXT(D50,"0000")&amp;"-"&amp;E50)</x:f>
        <x:v>M17-TONGGUAN-0044-V1.0</x:v>
      </x:c>
      <x:c r="B50" s="74" t="str">
        <x:v>M17</x:v>
      </x:c>
      <x:c r="C50" s="74" t="str">
        <x:v>TONGGUAN</x:v>
      </x:c>
      <x:c r="D50" s="215" t="n">
        <x:v>44</x:v>
      </x:c>
      <x:c r="E50" s="74" t="str">
        <x:v>V1.0</x:v>
      </x:c>
      <x:c r="F50" s="68" t="str">
        <x:v>两端并非都强时不立两强通关用神</x:v>
      </x:c>
      <x:c r="G50" s="82" t="str">
        <x:v>综合层</x:v>
      </x:c>
      <x:c r="H50" s="82"/>
      <x:c r="I50" s="82"/>
      <x:c r="J50" s="82" t="str">
        <x:v>通关用神</x:v>
      </x:c>
      <x:c r="K50" s="68" t="str">
        <x:v>不适用</x:v>
      </x:c>
      <x:c r="L50" s="68" t="str">
        <x:v>不适用</x:v>
      </x:c>
      <x:c r="M50" s="68" t="str">
        <x:v>不存在真实两强相战</x:v>
      </x:c>
      <x:c r="N50" s="68" t="str">
        <x:v>不适用</x:v>
      </x:c>
      <x:c r="O50" s="68" t="str">
        <x:v>无对应流通病</x:v>
      </x:c>
      <x:c r="P50" s="68" t="str">
        <x:v>避免错误补桥</x:v>
      </x:c>
      <x:c r="Q50" s="90" t="str">
        <x:v>错误通关会扶起弱端或损伤强端</x:v>
      </x:c>
      <x:c r="R50" s="68" t="str">
        <x:v>仅用于否决错误通关候选</x:v>
      </x:c>
      <x:c r="S50" s="68" t="str">
        <x:v>M12已证明两端真实强且相战</x:v>
      </x:c>
      <x:c r="T50" s="68" t="str">
        <x:v>无</x:v>
      </x:c>
      <x:c r="U50" s="68"/>
      <x:c r="V50" s="84" t="str">
        <x:v>中性</x:v>
      </x:c>
      <x:c r="W50" s="82" t="str">
        <x:v>不采用</x:v>
      </x:c>
      <x:c r="X50" s="82" t="str">
        <x:v>否</x:v>
      </x:c>
      <x:c r="Y50" s="68" t="str">
        <x:v>没有真实克战就不设通关用神</x:v>
      </x:c>
      <x:c r="Z50" s="84" t="str">
        <x:v>非两强不通关</x:v>
      </x:c>
      <x:c r="AA50" s="84" t="str">
        <x:v>两端未形成真实两强相战，不生成专门通关用神；候选五行按其他维度另评。</x:v>
      </x:c>
      <x:c r="AB50" s="82" t="str">
        <x:v>较高</x:v>
      </x:c>
      <x:c r="AC50" s="82" t="str">
        <x:v>现代综合</x:v>
      </x:c>
      <x:c r="AD50" s="68" t="str">
        <x:v>喜忌用神必须同时读取扶抑、格局、通关、调候和病药五个维度。单一维度有利不足以自动成为主用；最终定位取决于是否解决根本问题、是否触犯格局硬约束、药力是否可达以及副作用是否可控。</x:v>
      </x:c>
      <x:c r="AE50" s="68" t="str">
        <x:v>满足“仅用于否决错误通关候选”，且主要收益大于副作用时，可按“两端并非都强时不立两强通关用神”定位。</x:v>
      </x:c>
      <x:c r="AF50" s="90" t="str">
        <x:v>若“M12已证明两端真实强且相战”成立，则不得按“两端并非都强时不立两强通关用神”无条件定位。</x:v>
      </x:c>
      <x:c r="AG50" s="82" t="str">
        <x:v>采用</x:v>
      </x:c>
      <x:c r="AH50" s="82" t="str">
        <x:v>初审</x:v>
      </x:c>
      <x:c r="AI50" s="87" t="n">
        <x:v>46260</x:v>
      </x:c>
    </x:row>
    <x:row r="51">
      <x:c r="A51" s="72" t="str">
        <x:f>IF(OR(C51="",D51=""),"",B51&amp;"-"&amp;UPPER(C51)&amp;"-"&amp;TEXT(D51,"0000")&amp;"-"&amp;E51)</x:f>
        <x:v>M17-TIAOHOU-0045-V1.0</x:v>
      </x:c>
      <x:c r="B51" s="74" t="str">
        <x:v>M17</x:v>
      </x:c>
      <x:c r="C51" s="74" t="str">
        <x:v>TIAOHOU</x:v>
      </x:c>
      <x:c r="D51" s="215" t="n">
        <x:v>45</x:v>
      </x:c>
      <x:c r="E51" s="74" t="str">
        <x:v>V1.0</x:v>
      </x:c>
      <x:c r="F51" s="68" t="str">
        <x:v>偏寒或极寒时火可列暖局候选</x:v>
      </x:c>
      <x:c r="G51" s="82" t="str">
        <x:v>综合层</x:v>
      </x:c>
      <x:c r="H51" s="82" t="str">
        <x:v>火</x:v>
      </x:c>
      <x:c r="I51" s="82"/>
      <x:c r="J51" s="82" t="str">
        <x:v>调候用神</x:v>
      </x:c>
      <x:c r="K51" s="68" t="str">
        <x:v>火对日主可能生、扶、泄、耗或制，需另映射</x:v>
      </x:c>
      <x:c r="L51" s="68" t="str">
        <x:v>须检查是否伤害从水、润下、金水或其他核心格局</x:v>
      </x:c>
      <x:c r="M51" s="68" t="str">
        <x:v>可解除寒凝并恢复木火、湿土生化</x:v>
      </x:c>
      <x:c r="N51" s="68" t="str">
        <x:v>直接升温，改善偏寒/极寒</x:v>
      </x:c>
      <x:c r="O51" s="68" t="str">
        <x:v>治疗寒凝或寒湿主病</x:v>
      </x:c>
      <x:c r="P51" s="68" t="str">
        <x:v>恢复基础温度与生化活性</x:v>
      </x:c>
      <x:c r="Q51" s="90" t="str">
        <x:v>火过量会热燥、耗水、伤金或破特殊格局</x:v>
      </x:c>
      <x:c r="R51" s="68" t="str">
        <x:v>M13偏寒/极寒且寒已影响M12主路径或M16根本病</x:v>
      </x:c>
      <x:c r="S51" s="68" t="str">
        <x:v>温度已平衡/偏暖，或从水、润下等格局严格忌火</x:v>
      </x:c>
      <x:c r="T51" s="68" t="str">
        <x:v>调候与扶抑/格局冲突</x:v>
      </x:c>
      <x:c r="U51" s="68" t="str">
        <x:v>M18-CLIMATE-0029-V1.0</x:v>
      </x:c>
      <x:c r="V51" s="84" t="str">
        <x:v>条件性喜神</x:v>
      </x:c>
      <x:c r="W51" s="82" t="str">
        <x:v>条件顺位</x:v>
      </x:c>
      <x:c r="X51" s="82" t="str">
        <x:v>是</x:v>
      </x:c>
      <x:c r="Y51" s="68" t="str">
        <x:v>火有根有源、不过量且不破格</x:v>
      </x:c>
      <x:c r="Z51" s="84" t="str">
        <x:v>火暖寒局</x:v>
      </x:c>
      <x:c r="AA51" s="84" t="str">
        <x:v>火综合定位为“条件性喜神”，优先级为“条件顺位”。主要收益：恢复基础温度与生化活性；主要副作用：火过量会热燥、耗水、伤金或破特殊格局；仅在火有根有源、不过量且不破格时成立。</x:v>
      </x:c>
      <x:c r="AB51" s="82" t="str">
        <x:v>较高</x:v>
      </x:c>
      <x:c r="AC51" s="82" t="str">
        <x:v>现代综合</x:v>
      </x:c>
      <x:c r="AD51" s="68" t="str">
        <x:v>喜忌用神必须同时读取扶抑、格局、通关、调候和病药五个维度。单一维度有利不足以自动成为主用；最终定位取决于是否解决根本问题、是否触犯格局硬约束、药力是否可达以及副作用是否可控。</x:v>
      </x:c>
      <x:c r="AE51" s="68" t="str">
        <x:v>满足“M13偏寒/极寒且寒已影响M12主路径或M16根本病”，且主要收益大于副作用时，可按“偏寒或极寒时火可列暖局候选”定位。</x:v>
      </x:c>
      <x:c r="AF51" s="90" t="str">
        <x:v>若“温度已平衡/偏暖，或从水、润下等格局严格忌火”成立，则不得按“偏寒或极寒时火可列暖局候选”无条件定位。</x:v>
      </x:c>
      <x:c r="AG51" s="82" t="str">
        <x:v>采用</x:v>
      </x:c>
      <x:c r="AH51" s="82" t="str">
        <x:v>初审</x:v>
      </x:c>
      <x:c r="AI51" s="87" t="n">
        <x:v>46260</x:v>
      </x:c>
    </x:row>
    <x:row r="52">
      <x:c r="A52" s="72" t="str">
        <x:f>IF(OR(C52="",D52=""),"",B52&amp;"-"&amp;UPPER(C52)&amp;"-"&amp;TEXT(D52,"0000")&amp;"-"&amp;E52)</x:f>
        <x:v>M17-TIAOHOU-0046-V1.0</x:v>
      </x:c>
      <x:c r="B52" s="74" t="str">
        <x:v>M17</x:v>
      </x:c>
      <x:c r="C52" s="74" t="str">
        <x:v>TIAOHOU</x:v>
      </x:c>
      <x:c r="D52" s="215" t="n">
        <x:v>46</x:v>
      </x:c>
      <x:c r="E52" s="74" t="str">
        <x:v>V1.0</x:v>
      </x:c>
      <x:c r="F52" s="68" t="str">
        <x:v>寒湿并重时火可由调候候选升级为主药候选</x:v>
      </x:c>
      <x:c r="G52" s="82" t="str">
        <x:v>综合层</x:v>
      </x:c>
      <x:c r="H52" s="82" t="str">
        <x:v>火</x:v>
      </x:c>
      <x:c r="I52" s="82"/>
      <x:c r="J52" s="82" t="str">
        <x:v>复合来源</x:v>
      </x:c>
      <x:c r="K52" s="68" t="str">
        <x:v>视日主承载而定</x:v>
      </x:c>
      <x:c r="L52" s="68" t="str">
        <x:v>不得根本破格</x:v>
      </x:c>
      <x:c r="M52" s="68" t="str">
        <x:v>解除寒凝并推动湿土流动</x:v>
      </x:c>
      <x:c r="N52" s="68" t="str">
        <x:v>暖局兼化湿</x:v>
      </x:c>
      <x:c r="O52" s="68" t="str">
        <x:v>治疗寒湿—流通复合病</x:v>
      </x:c>
      <x:c r="P52" s="68" t="str">
        <x:v>同时改善温度、湿度和多个流通卡点</x:v>
      </x:c>
      <x:c r="Q52" s="90" t="str">
        <x:v>火太强转暖燥，可能耗水或伤金格</x:v>
      </x:c>
      <x:c r="R52" s="68" t="str">
        <x:v>M13寒湿严重，M16判调候流通同源主病</x:v>
      </x:c>
      <x:c r="S52" s="68" t="str">
        <x:v>火无根受制，或火会破坏严格特殊格局</x:v>
      </x:c>
      <x:c r="T52" s="68" t="str">
        <x:v>调候、病药与格局冲突</x:v>
      </x:c>
      <x:c r="U52" s="68" t="str">
        <x:v>M18-PATTERN-0020-V1.0</x:v>
      </x:c>
      <x:c r="V52" s="84" t="str">
        <x:v>主用神</x:v>
      </x:c>
      <x:c r="W52" s="82" t="str">
        <x:v>第一顺位</x:v>
      </x:c>
      <x:c r="X52" s="82" t="str">
        <x:v>条件性</x:v>
      </x:c>
      <x:c r="Y52" s="68" t="str">
        <x:v>寒湿为根本主病且火的格局副作用可控</x:v>
      </x:c>
      <x:c r="Z52" s="84" t="str">
        <x:v>火治寒湿主药</x:v>
      </x:c>
      <x:c r="AA52" s="84" t="str">
        <x:v>火综合定位为“主用神”，优先级为“第一顺位”。主要收益：同时改善温度、湿度和多个流通卡点；主要副作用：火太强转暖燥，可能耗水或伤金格；仅在寒湿为根本主病且火的格局副作用可控时成立。</x:v>
      </x:c>
      <x:c r="AB52" s="82" t="str">
        <x:v>较高</x:v>
      </x:c>
      <x:c r="AC52" s="82" t="str">
        <x:v>现代综合</x:v>
      </x:c>
      <x:c r="AD52" s="68" t="str">
        <x:v>喜忌用神必须同时读取扶抑、格局、通关、调候和病药五个维度。单一维度有利不足以自动成为主用；最终定位取决于是否解决根本问题、是否触犯格局硬约束、药力是否可达以及副作用是否可控。</x:v>
      </x:c>
      <x:c r="AE52" s="68" t="str">
        <x:v>满足“M13寒湿严重，M16判调候流通同源主病”，且主要收益大于副作用时，可按“寒湿并重时火可由调候候选升级为主药候选”定位。</x:v>
      </x:c>
      <x:c r="AF52" s="90" t="str">
        <x:v>若“火无根受制，或火会破坏严格特殊格局”成立，则不得按“寒湿并重时火可由调候候选升级为主药候选”无条件定位。</x:v>
      </x:c>
      <x:c r="AG52" s="82" t="str">
        <x:v>采用</x:v>
      </x:c>
      <x:c r="AH52" s="82" t="str">
        <x:v>初审</x:v>
      </x:c>
      <x:c r="AI52" s="87" t="n">
        <x:v>46260</x:v>
      </x:c>
    </x:row>
    <x:row r="53">
      <x:c r="A53" s="72" t="str">
        <x:f>IF(OR(C53="",D53=""),"",B53&amp;"-"&amp;UPPER(C53)&amp;"-"&amp;TEXT(D53,"0000")&amp;"-"&amp;E53)</x:f>
        <x:v>M17-TIAOHOU-0047-V1.0</x:v>
      </x:c>
      <x:c r="B53" s="74" t="str">
        <x:v>M17</x:v>
      </x:c>
      <x:c r="C53" s="74" t="str">
        <x:v>TIAOHOU</x:v>
      </x:c>
      <x:c r="D53" s="215" t="n">
        <x:v>47</x:v>
      </x:c>
      <x:c r="E53" s="74" t="str">
        <x:v>V1.0</x:v>
      </x:c>
      <x:c r="F53" s="68" t="str">
        <x:v>偏热或极热时水可列降温候选</x:v>
      </x:c>
      <x:c r="G53" s="82" t="str">
        <x:v>综合层</x:v>
      </x:c>
      <x:c r="H53" s="82" t="str">
        <x:v>水</x:v>
      </x:c>
      <x:c r="I53" s="82"/>
      <x:c r="J53" s="82" t="str">
        <x:v>调候用神</x:v>
      </x:c>
      <x:c r="K53" s="68" t="str">
        <x:v>水对日主作用另按十神映射</x:v>
      </x:c>
      <x:c r="L53" s="68" t="str">
        <x:v>须防冲熄核心火格或破炎上</x:v>
      </x:c>
      <x:c r="M53" s="68" t="str">
        <x:v>可恢复水木链并缓解火炎</x:v>
      </x:c>
      <x:c r="N53" s="68" t="str">
        <x:v>直接降温</x:v>
      </x:c>
      <x:c r="O53" s="68" t="str">
        <x:v>治疗极热或火炎主病</x:v>
      </x:c>
      <x:c r="P53" s="68" t="str">
        <x:v>降低过热、保护水木与金</x:v>
      </x:c>
      <x:c r="Q53" s="90" t="str">
        <x:v>水过量会寒湿、克火、冲坏火格或令土水相战</x:v>
      </x:c>
      <x:c r="R53" s="68" t="str">
        <x:v>M13偏暖/极热且热已造成M12/M16功能障碍</x:v>
      </x:c>
      <x:c r="S53" s="68" t="str">
        <x:v>温度平衡/偏寒，或炎上、从火格严格成立</x:v>
      </x:c>
      <x:c r="T53" s="68" t="str">
        <x:v>调候与格局/扶抑冲突</x:v>
      </x:c>
      <x:c r="U53" s="68" t="str">
        <x:v>M18-CLIMATE-0029-V1.0</x:v>
      </x:c>
      <x:c r="V53" s="84" t="str">
        <x:v>条件性喜神</x:v>
      </x:c>
      <x:c r="W53" s="82" t="str">
        <x:v>条件顺位</x:v>
      </x:c>
      <x:c r="X53" s="82" t="str">
        <x:v>是</x:v>
      </x:c>
      <x:c r="Y53" s="68" t="str">
        <x:v>水有效可达且不根本破坏火势格局</x:v>
      </x:c>
      <x:c r="Z53" s="84" t="str">
        <x:v>水降热局</x:v>
      </x:c>
      <x:c r="AA53" s="84" t="str">
        <x:v>水综合定位为“条件性喜神”，优先级为“条件顺位”。主要收益：降低过热、保护水木与金；主要副作用：水过量会寒湿、克火、冲坏火格或令土水相战；仅在水有效可达且不根本破坏火势格局时成立。</x:v>
      </x:c>
      <x:c r="AB53" s="82" t="str">
        <x:v>较高</x:v>
      </x:c>
      <x:c r="AC53" s="82" t="str">
        <x:v>现代综合</x:v>
      </x:c>
      <x:c r="AD53" s="68" t="str">
        <x:v>喜忌用神必须同时读取扶抑、格局、通关、调候和病药五个维度。单一维度有利不足以自动成为主用；最终定位取决于是否解决根本问题、是否触犯格局硬约束、药力是否可达以及副作用是否可控。</x:v>
      </x:c>
      <x:c r="AE53" s="68" t="str">
        <x:v>满足“M13偏暖/极热且热已造成M12/M16功能障碍”，且主要收益大于副作用时，可按“偏热或极热时水可列降温候选”定位。</x:v>
      </x:c>
      <x:c r="AF53" s="90" t="str">
        <x:v>若“温度平衡/偏寒，或炎上、从火格严格成立”成立，则不得按“偏热或极热时水可列降温候选”无条件定位。</x:v>
      </x:c>
      <x:c r="AG53" s="82" t="str">
        <x:v>采用</x:v>
      </x:c>
      <x:c r="AH53" s="82" t="str">
        <x:v>初审</x:v>
      </x:c>
      <x:c r="AI53" s="87" t="n">
        <x:v>46260</x:v>
      </x:c>
    </x:row>
    <x:row r="54">
      <x:c r="A54" s="72" t="str">
        <x:f>IF(OR(C54="",D54=""),"",B54&amp;"-"&amp;UPPER(C54)&amp;"-"&amp;TEXT(D54,"0000")&amp;"-"&amp;E54)</x:f>
        <x:v>M17-TIAOHOU-0048-V1.0</x:v>
      </x:c>
      <x:c r="B54" s="74" t="str">
        <x:v>M17</x:v>
      </x:c>
      <x:c r="C54" s="74" t="str">
        <x:v>TIAOHOU</x:v>
      </x:c>
      <x:c r="D54" s="215" t="n">
        <x:v>48</x:v>
      </x:c>
      <x:c r="E54" s="74" t="str">
        <x:v>V1.0</x:v>
      </x:c>
      <x:c r="F54" s="68" t="str">
        <x:v>偏燥或极燥时水可列润燥候选</x:v>
      </x:c>
      <x:c r="G54" s="82" t="str">
        <x:v>综合层</x:v>
      </x:c>
      <x:c r="H54" s="82" t="str">
        <x:v>水</x:v>
      </x:c>
      <x:c r="I54" s="82"/>
      <x:c r="J54" s="82" t="str">
        <x:v>调候用神</x:v>
      </x:c>
      <x:c r="K54" s="68" t="str">
        <x:v>视日主关系而定</x:v>
      </x:c>
      <x:c r="L54" s="68" t="str">
        <x:v>须检查是否伤火格或加重水势</x:v>
      </x:c>
      <x:c r="M54" s="68" t="str">
        <x:v>恢复燥枯桥梁和终点承载</x:v>
      </x:c>
      <x:c r="N54" s="68" t="str">
        <x:v>润燥增湿</x:v>
      </x:c>
      <x:c r="O54" s="68" t="str">
        <x:v>治疗燥枯、暖燥或极燥病</x:v>
      </x:c>
      <x:c r="P54" s="68" t="str">
        <x:v>恢复木、水、土的润泽与连续生化</x:v>
      </x:c>
      <x:c r="Q54" s="90" t="str">
        <x:v>水过量会转寒湿或终点过旺</x:v>
      </x:c>
      <x:c r="R54" s="68" t="str">
        <x:v>M13偏燥/极燥且M12燥枯成立</x:v>
      </x:c>
      <x:c r="S54" s="68" t="str">
        <x:v>原局极寒湿、水已过旺或水会根本破格</x:v>
      </x:c>
      <x:c r="T54" s="68" t="str">
        <x:v>润燥与寒湿/格局冲突</x:v>
      </x:c>
      <x:c r="U54" s="68" t="str">
        <x:v>M18-CLIMATE-0028-V1.0</x:v>
      </x:c>
      <x:c r="V54" s="84" t="str">
        <x:v>喜神</x:v>
      </x:c>
      <x:c r="W54" s="82" t="str">
        <x:v>第二顺位</x:v>
      </x:c>
      <x:c r="X54" s="82" t="str">
        <x:v>条件性</x:v>
      </x:c>
      <x:c r="Y54" s="68" t="str">
        <x:v>水量适度、能触达燥枯病位且不转寒湿</x:v>
      </x:c>
      <x:c r="Z54" s="84" t="str">
        <x:v>水润燥</x:v>
      </x:c>
      <x:c r="AA54" s="84" t="str">
        <x:v>水综合定位为“喜神”，优先级为“第二顺位”。主要收益：恢复木、水、土的润泽与连续生化；主要副作用：水过量会转寒湿或终点过旺；仅在水量适度、能触达燥枯病位且不转寒湿时成立。</x:v>
      </x:c>
      <x:c r="AB54" s="82" t="str">
        <x:v>较高</x:v>
      </x:c>
      <x:c r="AC54" s="82" t="str">
        <x:v>现代综合</x:v>
      </x:c>
      <x:c r="AD54" s="68" t="str">
        <x:v>喜忌用神必须同时读取扶抑、格局、通关、调候和病药五个维度。单一维度有利不足以自动成为主用；最终定位取决于是否解决根本问题、是否触犯格局硬约束、药力是否可达以及副作用是否可控。</x:v>
      </x:c>
      <x:c r="AE54" s="68" t="str">
        <x:v>满足“M13偏燥/极燥且M12燥枯成立”，且主要收益大于副作用时，可按“偏燥或极燥时水可列润燥候选”定位。</x:v>
      </x:c>
      <x:c r="AF54" s="90" t="str">
        <x:v>若“原局极寒湿、水已过旺或水会根本破格”成立，则不得按“偏燥或极燥时水可列润燥候选”无条件定位。</x:v>
      </x:c>
      <x:c r="AG54" s="82" t="str">
        <x:v>采用</x:v>
      </x:c>
      <x:c r="AH54" s="82" t="str">
        <x:v>初审</x:v>
      </x:c>
      <x:c r="AI54" s="87" t="n">
        <x:v>46260</x:v>
      </x:c>
    </x:row>
    <x:row r="55">
      <x:c r="A55" s="72" t="str">
        <x:f>IF(OR(C55="",D55=""),"",B55&amp;"-"&amp;UPPER(C55)&amp;"-"&amp;TEXT(D55,"0000")&amp;"-"&amp;E55)</x:f>
        <x:v>M17-TIAOHOU-0049-V1.0</x:v>
      </x:c>
      <x:c r="B55" s="74" t="str">
        <x:v>M17</x:v>
      </x:c>
      <x:c r="C55" s="74" t="str">
        <x:v>TIAOHOU</x:v>
      </x:c>
      <x:c r="D55" s="215" t="n">
        <x:v>49</x:v>
      </x:c>
      <x:c r="E55" s="74" t="str">
        <x:v>V1.0</x:v>
      </x:c>
      <x:c r="F55" s="68" t="str">
        <x:v>寒燥并见时火水必须分主辅而非同时无条件增强</x:v>
      </x:c>
      <x:c r="G55" s="82" t="str">
        <x:v>综合层</x:v>
      </x:c>
      <x:c r="H55" s="82"/>
      <x:c r="I55" s="82"/>
      <x:c r="J55" s="82" t="str">
        <x:v>调候用神</x:v>
      </x:c>
      <x:c r="K55" s="68" t="str">
        <x:v>火水对日主作用可能相反</x:v>
      </x:c>
      <x:c r="L55" s="68" t="str">
        <x:v>分别检查火水对格局的影响</x:v>
      </x:c>
      <x:c r="M55" s="68" t="str">
        <x:v>木可作为协调桥梁</x:v>
      </x:c>
      <x:c r="N55" s="68" t="str">
        <x:v>火暖、水润，需控制比例</x:v>
      </x:c>
      <x:c r="O55" s="68" t="str">
        <x:v>治疗寒燥复合病</x:v>
      </x:c>
      <x:c r="P55" s="68" t="str">
        <x:v>同时处理温度低与湿度不足</x:v>
      </x:c>
      <x:c r="Q55" s="90" t="str">
        <x:v>火过燥、水过寒，二者无序并用会形成相战</x:v>
      </x:c>
      <x:c r="R55" s="68" t="str">
        <x:v>M13明确寒燥且两轴均已造成障碍</x:v>
      </x:c>
      <x:c r="S55" s="68" t="str">
        <x:v>仅偏寒或仅偏燥，不需要双药</x:v>
      </x:c>
      <x:c r="T55" s="68" t="str">
        <x:v>火水主辅与两强相战</x:v>
      </x:c>
      <x:c r="U55" s="68" t="str">
        <x:v>M18-ROUTE-0060-V1.0</x:v>
      </x:c>
      <x:c r="V55" s="84" t="str">
        <x:v>辅助用神</x:v>
      </x:c>
      <x:c r="W55" s="82" t="str">
        <x:v>第二顺位</x:v>
      </x:c>
      <x:c r="X55" s="82" t="str">
        <x:v>是</x:v>
      </x:c>
      <x:c r="Y55" s="68" t="str">
        <x:v>根据根本病确定火或水为主，另一方仅作辅助</x:v>
      </x:c>
      <x:c r="Z55" s="84" t="str">
        <x:v>寒燥火水主辅</x:v>
      </x:c>
      <x:c r="AA55" s="84" t="str">
        <x:v>该候选五行综合定位为“辅助用神”，优先级为“第二顺位”。主要收益：同时处理温度低与湿度不足；主要副作用：火过燥、水过寒，二者无序并用会形成相战；仅在根据根本病确定火或水为主，另一方仅作辅助时成立。</x:v>
      </x:c>
      <x:c r="AB55" s="82" t="str">
        <x:v>较高</x:v>
      </x:c>
      <x:c r="AC55" s="82" t="str">
        <x:v>现代综合</x:v>
      </x:c>
      <x:c r="AD55" s="68" t="str">
        <x:v>喜忌用神必须同时读取扶抑、格局、通关、调候和病药五个维度。单一维度有利不足以自动成为主用；最终定位取决于是否解决根本问题、是否触犯格局硬约束、药力是否可达以及副作用是否可控。</x:v>
      </x:c>
      <x:c r="AE55" s="68" t="str">
        <x:v>满足“M13明确寒燥且两轴均已造成障碍”，且主要收益大于副作用时，可按“寒燥并见时火水必须分主辅而非同时无条件增强”定位。</x:v>
      </x:c>
      <x:c r="AF55" s="90" t="str">
        <x:v>若“仅偏寒或仅偏燥，不需要双药”成立，则不得按“寒燥并见时火水必须分主辅而非同时无条件增强”无条件定位。</x:v>
      </x:c>
      <x:c r="AG55" s="82" t="str">
        <x:v>采用</x:v>
      </x:c>
      <x:c r="AH55" s="82" t="str">
        <x:v>初审</x:v>
      </x:c>
      <x:c r="AI55" s="87" t="n">
        <x:v>46260</x:v>
      </x:c>
    </x:row>
    <x:row r="56">
      <x:c r="A56" s="72" t="str">
        <x:f>IF(OR(C56="",D56=""),"",B56&amp;"-"&amp;UPPER(C56)&amp;"-"&amp;TEXT(D56,"0000")&amp;"-"&amp;E56)</x:f>
        <x:v>M17-TIAOHOU-0050-V1.0</x:v>
      </x:c>
      <x:c r="B56" s="74" t="str">
        <x:v>M17</x:v>
      </x:c>
      <x:c r="C56" s="74" t="str">
        <x:v>TIAOHOU</x:v>
      </x:c>
      <x:c r="D56" s="215" t="n">
        <x:v>50</x:v>
      </x:c>
      <x:c r="E56" s="74" t="str">
        <x:v>V1.0</x:v>
      </x:c>
      <x:c r="F56" s="68" t="str">
        <x:v>暖湿时木可列疏湿而不过度升温的候选</x:v>
      </x:c>
      <x:c r="G56" s="82" t="str">
        <x:v>综合层</x:v>
      </x:c>
      <x:c r="H56" s="82" t="str">
        <x:v>木</x:v>
      </x:c>
      <x:c r="I56" s="82"/>
      <x:c r="J56" s="82" t="str">
        <x:v>调候用神</x:v>
      </x:c>
      <x:c r="K56" s="68" t="str">
        <x:v>木对日主作用另判</x:v>
      </x:c>
      <x:c r="L56" s="68" t="str">
        <x:v>须防木克土或生火过度</x:v>
      </x:c>
      <x:c r="M56" s="68" t="str">
        <x:v>疏土、导湿并可连接水火</x:v>
      </x:c>
      <x:c r="N56" s="68" t="str">
        <x:v>降低湿滞但可能间接升温</x:v>
      </x:c>
      <x:c r="O56" s="68" t="str">
        <x:v>治疗暖湿、湿土壅滞</x:v>
      </x:c>
      <x:c r="P56" s="68" t="str">
        <x:v>在不明显加热的情况下疏湿</x:v>
      </x:c>
      <x:c r="Q56" s="90" t="str">
        <x:v>木过旺会克土、生火或加重木势</x:v>
      </x:c>
      <x:c r="R56" s="68" t="str">
        <x:v>M13暖湿，温度无需显著上调，湿土为主要病位</x:v>
      </x:c>
      <x:c r="S56" s="68" t="str">
        <x:v>木受金重制、寒凝无生发条件或土格核心不可克</x:v>
      </x:c>
      <x:c r="T56" s="68" t="str">
        <x:v>疏湿与格局/土承载冲突</x:v>
      </x:c>
      <x:c r="U56" s="68" t="str">
        <x:v>M18-PATTERN-0020-V1.0</x:v>
      </x:c>
      <x:c r="V56" s="84" t="str">
        <x:v>条件性喜神</x:v>
      </x:c>
      <x:c r="W56" s="82" t="str">
        <x:v>条件顺位</x:v>
      </x:c>
      <x:c r="X56" s="82" t="str">
        <x:v>是</x:v>
      </x:c>
      <x:c r="Y56" s="68" t="str">
        <x:v>木有效且疏湿收益大于克土生火副作用</x:v>
      </x:c>
      <x:c r="Z56" s="84" t="str">
        <x:v>木疏暖湿</x:v>
      </x:c>
      <x:c r="AA56" s="84" t="str">
        <x:v>木综合定位为“条件性喜神”，优先级为“条件顺位”。主要收益：在不明显加热的情况下疏湿；主要副作用：木过旺会克土、生火或加重木势；仅在木有效且疏湿收益大于克土生火副作用时成立。</x:v>
      </x:c>
      <x:c r="AB56" s="82" t="str">
        <x:v>较高</x:v>
      </x:c>
      <x:c r="AC56" s="82" t="str">
        <x:v>现代综合</x:v>
      </x:c>
      <x:c r="AD56" s="68" t="str">
        <x:v>喜忌用神必须同时读取扶抑、格局、通关、调候和病药五个维度。单一维度有利不足以自动成为主用；最终定位取决于是否解决根本问题、是否触犯格局硬约束、药力是否可达以及副作用是否可控。</x:v>
      </x:c>
      <x:c r="AE56" s="68" t="str">
        <x:v>满足“M13暖湿，温度无需显著上调，湿土为主要病位”，且主要收益大于副作用时，可按“暖湿时木可列疏湿而不过度升温的候选”定位。</x:v>
      </x:c>
      <x:c r="AF56" s="90" t="str">
        <x:v>若“木受金重制、寒凝无生发条件或土格核心不可克”成立，则不得按“暖湿时木可列疏湿而不过度升温的候选”无条件定位。</x:v>
      </x:c>
      <x:c r="AG56" s="82" t="str">
        <x:v>采用</x:v>
      </x:c>
      <x:c r="AH56" s="82" t="str">
        <x:v>初审</x:v>
      </x:c>
      <x:c r="AI56" s="87" t="n">
        <x:v>46260</x:v>
      </x:c>
    </x:row>
    <x:row r="57">
      <x:c r="A57" s="72" t="str">
        <x:f>IF(OR(C57="",D57=""),"",B57&amp;"-"&amp;UPPER(C57)&amp;"-"&amp;TEXT(D57,"0000")&amp;"-"&amp;E57)</x:f>
        <x:v>M17-TIAOHOU-0051-V1.0</x:v>
      </x:c>
      <x:c r="B57" s="74" t="str">
        <x:v>M17</x:v>
      </x:c>
      <x:c r="C57" s="74" t="str">
        <x:v>TIAOHOU</x:v>
      </x:c>
      <x:c r="D57" s="215" t="n">
        <x:v>51</x:v>
      </x:c>
      <x:c r="E57" s="74" t="str">
        <x:v>V1.0</x:v>
      </x:c>
      <x:c r="F57" s="68" t="str">
        <x:v>寒湿时木可作为引火疏湿的辅助用神</x:v>
      </x:c>
      <x:c r="G57" s="82" t="str">
        <x:v>综合层</x:v>
      </x:c>
      <x:c r="H57" s="82" t="str">
        <x:v>木</x:v>
      </x:c>
      <x:c r="I57" s="82"/>
      <x:c r="J57" s="82" t="str">
        <x:v>调候用神</x:v>
      </x:c>
      <x:c r="K57" s="68" t="str">
        <x:v>可能生火或扶木日主</x:v>
      </x:c>
      <x:c r="L57" s="68" t="str">
        <x:v>须防木为忌或克土格神</x:v>
      </x:c>
      <x:c r="M57" s="68" t="str">
        <x:v>水→木→火，帮助火源持续</x:v>
      </x:c>
      <x:c r="N57" s="68" t="str">
        <x:v>辅助暖湿而非直接主暖</x:v>
      </x:c>
      <x:c r="O57" s="68" t="str">
        <x:v>保护火药、疏湿土</x:v>
      </x:c>
      <x:c r="P57" s="68" t="str">
        <x:v>为火提供生源并疏导湿土</x:v>
      </x:c>
      <x:c r="Q57" s="90" t="str">
        <x:v>木太旺会耗水、生火过度或克土</x:v>
      </x:c>
      <x:c r="R57" s="68" t="str">
        <x:v>寒湿主药为火，但火弱无源且木可生火</x:v>
      </x:c>
      <x:c r="S57" s="68" t="str">
        <x:v>木无根受金制，或木会根本破坏土格</x:v>
      </x:c>
      <x:c r="T57" s="68" t="str">
        <x:v>辅助火与土格/木旺冲突</x:v>
      </x:c>
      <x:c r="U57" s="68" t="str">
        <x:v>M18-CLIMATE-0028-V1.0</x:v>
      </x:c>
      <x:c r="V57" s="84" t="str">
        <x:v>辅助用神</x:v>
      </x:c>
      <x:c r="W57" s="82" t="str">
        <x:v>第二顺位</x:v>
      </x:c>
      <x:c r="X57" s="82" t="str">
        <x:v>是</x:v>
      </x:c>
      <x:c r="Y57" s="68" t="str">
        <x:v>木只作为火的生源和疏湿辅助</x:v>
      </x:c>
      <x:c r="Z57" s="84" t="str">
        <x:v>木助火化寒湿</x:v>
      </x:c>
      <x:c r="AA57" s="84" t="str">
        <x:v>木综合定位为“辅助用神”，优先级为“第二顺位”。主要收益：为火提供生源并疏导湿土；主要副作用：木太旺会耗水、生火过度或克土；仅在木只作为火的生源和疏湿辅助时成立。</x:v>
      </x:c>
      <x:c r="AB57" s="82" t="str">
        <x:v>较高</x:v>
      </x:c>
      <x:c r="AC57" s="82" t="str">
        <x:v>现代综合</x:v>
      </x:c>
      <x:c r="AD57" s="68" t="str">
        <x:v>喜忌用神必须同时读取扶抑、格局、通关、调候和病药五个维度。单一维度有利不足以自动成为主用；最终定位取决于是否解决根本问题、是否触犯格局硬约束、药力是否可达以及副作用是否可控。</x:v>
      </x:c>
      <x:c r="AE57" s="68" t="str">
        <x:v>满足“寒湿主药为火，但火弱无源且木可生火”，且主要收益大于副作用时，可按“寒湿时木可作为引火疏湿的辅助用神”定位。</x:v>
      </x:c>
      <x:c r="AF57" s="90" t="str">
        <x:v>若“木无根受金制，或木会根本破坏土格”成立，则不得按“寒湿时木可作为引火疏湿的辅助用神”无条件定位。</x:v>
      </x:c>
      <x:c r="AG57" s="82" t="str">
        <x:v>采用</x:v>
      </x:c>
      <x:c r="AH57" s="82" t="str">
        <x:v>初审</x:v>
      </x:c>
      <x:c r="AI57" s="87" t="n">
        <x:v>46260</x:v>
      </x:c>
    </x:row>
    <x:row r="58">
      <x:c r="A58" s="72" t="str">
        <x:f>IF(OR(C58="",D58=""),"",B58&amp;"-"&amp;UPPER(C58)&amp;"-"&amp;TEXT(D58,"0000")&amp;"-"&amp;E58)</x:f>
        <x:v>M17-TIAOHOU-0052-V1.0</x:v>
      </x:c>
      <x:c r="B58" s="74" t="str">
        <x:v>M17</x:v>
      </x:c>
      <x:c r="C58" s="74" t="str">
        <x:v>TIAOHOU</x:v>
      </x:c>
      <x:c r="D58" s="215" t="n">
        <x:v>52</x:v>
      </x:c>
      <x:c r="E58" s="74" t="str">
        <x:v>V1.0</x:v>
      </x:c>
      <x:c r="F58" s="68" t="str">
        <x:v>极热燥且水源不足时金可列生水辅助候选</x:v>
      </x:c>
      <x:c r="G58" s="82" t="str">
        <x:v>综合层</x:v>
      </x:c>
      <x:c r="H58" s="82" t="str">
        <x:v>金</x:v>
      </x:c>
      <x:c r="I58" s="82"/>
      <x:c r="J58" s="82" t="str">
        <x:v>调候用神</x:v>
      </x:c>
      <x:c r="K58" s="68" t="str">
        <x:v>金对日主作用另判</x:v>
      </x:c>
      <x:c r="L58" s="68" t="str">
        <x:v>须防金克木或破木格</x:v>
      </x:c>
      <x:c r="M58" s="68" t="str">
        <x:v>金→水，增强润燥降温药源</x:v>
      </x:c>
      <x:c r="N58" s="68" t="str">
        <x:v>间接增水，不直接替代水</x:v>
      </x:c>
      <x:c r="O58" s="68" t="str">
        <x:v>保护水药、治疗调候有形无力</x:v>
      </x:c>
      <x:c r="P58" s="68" t="str">
        <x:v>为弱水提供持续生源</x:v>
      </x:c>
      <x:c r="Q58" s="90" t="str">
        <x:v>金过旺克木、助寒或改变金格结构</x:v>
      </x:c>
      <x:c r="R58" s="68" t="str">
        <x:v>水为主调候药但无根无源，金能有效生水</x:v>
      </x:c>
      <x:c r="S58" s="68" t="str">
        <x:v>金受火重制、木为核心格神或金会加重寒凉</x:v>
      </x:c>
      <x:c r="T58" s="68" t="str">
        <x:v>生水辅助与木格/扶抑冲突</x:v>
      </x:c>
      <x:c r="U58" s="68" t="str">
        <x:v>M18-PATTERN-0020-V1.0</x:v>
      </x:c>
      <x:c r="V58" s="84" t="str">
        <x:v>辅助用神</x:v>
      </x:c>
      <x:c r="W58" s="82" t="str">
        <x:v>第二顺位</x:v>
      </x:c>
      <x:c r="X58" s="82" t="str">
        <x:v>是</x:v>
      </x:c>
      <x:c r="Y58" s="68" t="str">
        <x:v>金能真实生水且不造成更大克木问题</x:v>
      </x:c>
      <x:c r="Z58" s="84" t="str">
        <x:v>金生水辅助调候</x:v>
      </x:c>
      <x:c r="AA58" s="84" t="str">
        <x:v>金综合定位为“辅助用神”，优先级为“第二顺位”。主要收益：为弱水提供持续生源；主要副作用：金过旺克木、助寒或改变金格结构；仅在金能真实生水且不造成更大克木问题时成立。</x:v>
      </x:c>
      <x:c r="AB58" s="82" t="str">
        <x:v>较高</x:v>
      </x:c>
      <x:c r="AC58" s="82" t="str">
        <x:v>现代综合</x:v>
      </x:c>
      <x:c r="AD58" s="68" t="str">
        <x:v>喜忌用神必须同时读取扶抑、格局、通关、调候和病药五个维度。单一维度有利不足以自动成为主用；最终定位取决于是否解决根本问题、是否触犯格局硬约束、药力是否可达以及副作用是否可控。</x:v>
      </x:c>
      <x:c r="AE58" s="68" t="str">
        <x:v>满足“水为主调候药但无根无源，金能有效生水”，且主要收益大于副作用时，可按“极热燥且水源不足时金可列生水辅助候选”定位。</x:v>
      </x:c>
      <x:c r="AF58" s="90" t="str">
        <x:v>若“金受火重制、木为核心格神或金会加重寒凉”成立，则不得按“极热燥且水源不足时金可列生水辅助候选”无条件定位。</x:v>
      </x:c>
      <x:c r="AG58" s="82" t="str">
        <x:v>采用</x:v>
      </x:c>
      <x:c r="AH58" s="82" t="str">
        <x:v>初审</x:v>
      </x:c>
      <x:c r="AI58" s="87" t="n">
        <x:v>46260</x:v>
      </x:c>
    </x:row>
    <x:row r="59">
      <x:c r="A59" s="72" t="str">
        <x:f>IF(OR(C59="",D59=""),"",B59&amp;"-"&amp;UPPER(C59)&amp;"-"&amp;TEXT(D59,"0000")&amp;"-"&amp;E59)</x:f>
        <x:v>M17-TIAOHOU-0053-V1.0</x:v>
      </x:c>
      <x:c r="B59" s="74" t="str">
        <x:v>M17</x:v>
      </x:c>
      <x:c r="C59" s="74" t="str">
        <x:v>TIAOHOU</x:v>
      </x:c>
      <x:c r="D59" s="215" t="n">
        <x:v>53</x:v>
      </x:c>
      <x:c r="E59" s="74" t="str">
        <x:v>V1.0</x:v>
      </x:c>
      <x:c r="F59" s="68" t="str">
        <x:v>湿气过重时燥土只能作为条件性吸纳与承载候选</x:v>
      </x:c>
      <x:c r="G59" s="82" t="str">
        <x:v>综合层</x:v>
      </x:c>
      <x:c r="H59" s="82" t="str">
        <x:v>土</x:v>
      </x:c>
      <x:c r="I59" s="82"/>
      <x:c r="J59" s="82" t="str">
        <x:v>调候用神</x:v>
      </x:c>
      <x:c r="K59" s="68" t="str">
        <x:v>土对日主作用另判</x:v>
      </x:c>
      <x:c r="L59" s="68" t="str">
        <x:v>须区分湿土、燥土及土格</x:v>
      </x:c>
      <x:c r="M59" s="68" t="str">
        <x:v>可承水、制水，但可能堵塞水路</x:v>
      </x:c>
      <x:c r="N59" s="68" t="str">
        <x:v>适度降低湿度</x:v>
      </x:c>
      <x:c r="O59" s="68" t="str">
        <x:v>治疗局部水湿过量或终点无承载</x:v>
      </x:c>
      <x:c r="P59" s="68" t="str">
        <x:v>提供承载并节制过量水湿</x:v>
      </x:c>
      <x:c r="Q59" s="90" t="str">
        <x:v>土过旺会克水、埋金、湿滞或燥烈</x:v>
      </x:c>
      <x:c r="R59" s="68" t="str">
        <x:v>湿气过重且土能形成适度承载，不是湿土再增</x:v>
      </x:c>
      <x:c r="S59" s="68" t="str">
        <x:v>土已旺、湿土成势或水为关键格神/调候主药</x:v>
      </x:c>
      <x:c r="T59" s="68" t="str">
        <x:v>化湿与水路/格局冲突</x:v>
      </x:c>
      <x:c r="U59" s="68" t="str">
        <x:v>M18-CLIMATE-0028-V1.0</x:v>
      </x:c>
      <x:c r="V59" s="84" t="str">
        <x:v>条件性喜神</x:v>
      </x:c>
      <x:c r="W59" s="82" t="str">
        <x:v>条件顺位</x:v>
      </x:c>
      <x:c r="X59" s="82" t="str">
        <x:v>是</x:v>
      </x:c>
      <x:c r="Y59" s="68" t="str">
        <x:v>使用的是适度有效土，不得把湿土继续叠加</x:v>
      </x:c>
      <x:c r="Z59" s="84" t="str">
        <x:v>土承湿条件化</x:v>
      </x:c>
      <x:c r="AA59" s="84" t="str">
        <x:v>土综合定位为“条件性喜神”，优先级为“条件顺位”。主要收益：提供承载并节制过量水湿；主要副作用：土过旺会克水、埋金、湿滞或燥烈；仅在使用的是适度有效土，不得把湿土继续叠加时成立。</x:v>
      </x:c>
      <x:c r="AB59" s="82" t="str">
        <x:v>较高</x:v>
      </x:c>
      <x:c r="AC59" s="82" t="str">
        <x:v>现代综合</x:v>
      </x:c>
      <x:c r="AD59" s="68" t="str">
        <x:v>喜忌用神必须同时读取扶抑、格局、通关、调候和病药五个维度。单一维度有利不足以自动成为主用；最终定位取决于是否解决根本问题、是否触犯格局硬约束、药力是否可达以及副作用是否可控。</x:v>
      </x:c>
      <x:c r="AE59" s="68" t="str">
        <x:v>满足“湿气过重且土能形成适度承载，不是湿土再增”，且主要收益大于副作用时，可按“湿气过重时燥土只能作为条件性吸纳与承载候选”定位。</x:v>
      </x:c>
      <x:c r="AF59" s="90" t="str">
        <x:v>若“土已旺、湿土成势或水为关键格神/调候主药”成立，则不得按“湿气过重时燥土只能作为条件性吸纳与承载候选”无条件定位。</x:v>
      </x:c>
      <x:c r="AG59" s="82" t="str">
        <x:v>采用</x:v>
      </x:c>
      <x:c r="AH59" s="82" t="str">
        <x:v>初审</x:v>
      </x:c>
      <x:c r="AI59" s="87" t="n">
        <x:v>46260</x:v>
      </x:c>
    </x:row>
    <x:row r="60">
      <x:c r="A60" s="72" t="str">
        <x:f>IF(OR(C60="",D60=""),"",B60&amp;"-"&amp;UPPER(C60)&amp;"-"&amp;TEXT(D60,"0000")&amp;"-"&amp;E60)</x:f>
        <x:v>M17-TIAOHOU-0054-V1.0</x:v>
      </x:c>
      <x:c r="B60" s="74" t="str">
        <x:v>M17</x:v>
      </x:c>
      <x:c r="C60" s="74" t="str">
        <x:v>TIAOHOU</x:v>
      </x:c>
      <x:c r="D60" s="215" t="n">
        <x:v>54</x:v>
      </x:c>
      <x:c r="E60" s="74" t="str">
        <x:v>V1.0</x:v>
      </x:c>
      <x:c r="F60" s="68" t="str">
        <x:v>双轴平衡时调候维度应退出主用排序</x:v>
      </x:c>
      <x:c r="G60" s="82" t="str">
        <x:v>综合层</x:v>
      </x:c>
      <x:c r="H60" s="82"/>
      <x:c r="I60" s="82"/>
      <x:c r="J60" s="82" t="str">
        <x:v>调候用神</x:v>
      </x:c>
      <x:c r="K60" s="68" t="str">
        <x:v>不适用</x:v>
      </x:c>
      <x:c r="L60" s="68" t="str">
        <x:v>不适用</x:v>
      </x:c>
      <x:c r="M60" s="68" t="str">
        <x:v>不适用</x:v>
      </x:c>
      <x:c r="N60" s="68" t="str">
        <x:v>寒暖燥湿已平衡</x:v>
      </x:c>
      <x:c r="O60" s="68" t="str">
        <x:v>无调候病</x:v>
      </x:c>
      <x:c r="P60" s="68" t="str">
        <x:v>避免无必要改变气候平衡</x:v>
      </x:c>
      <x:c r="Q60" s="90" t="str">
        <x:v>错误调候会制造寒热燥湿新病</x:v>
      </x:c>
      <x:c r="R60" s="68" t="str">
        <x:v>M13双轴平衡且M16不立调候病</x:v>
      </x:c>
      <x:c r="S60" s="68" t="str">
        <x:v>其他模块需要同一五行，但其来源不再是调候</x:v>
      </x:c>
      <x:c r="T60" s="68" t="str">
        <x:v>无</x:v>
      </x:c>
      <x:c r="U60" s="68"/>
      <x:c r="V60" s="84" t="str">
        <x:v>中性</x:v>
      </x:c>
      <x:c r="W60" s="82" t="str">
        <x:v>不采用</x:v>
      </x:c>
      <x:c r="X60" s="82" t="str">
        <x:v>否</x:v>
      </x:c>
      <x:c r="Y60" s="68" t="str">
        <x:v>调候不作为该命局主用来源</x:v>
      </x:c>
      <x:c r="Z60" s="84" t="str">
        <x:v>调候平衡退出</x:v>
      </x:c>
      <x:c r="AA60" s="84" t="str">
        <x:v>该候选五行综合定位为“中性”，优先级为“不采用”。主要收益：避免无必要改变气候平衡；主要副作用：错误调候会制造寒热燥湿新病；调候不作为该命局主用来源。</x:v>
      </x:c>
      <x:c r="AB60" s="82" t="str">
        <x:v>较高</x:v>
      </x:c>
      <x:c r="AC60" s="82" t="str">
        <x:v>现代综合</x:v>
      </x:c>
      <x:c r="AD60" s="68" t="str">
        <x:v>喜忌用神必须同时读取扶抑、格局、通关、调候和病药五个维度。单一维度有利不足以自动成为主用；最终定位取决于是否解决根本问题、是否触犯格局硬约束、药力是否可达以及副作用是否可控。</x:v>
      </x:c>
      <x:c r="AE60" s="68" t="str">
        <x:v>满足“M13双轴平衡且M16不立调候病”，且主要收益大于副作用时，可按“双轴平衡时调候维度应退出主用排序”定位。</x:v>
      </x:c>
      <x:c r="AF60" s="90" t="str">
        <x:v>若“其他模块需要同一五行，但其来源不再是调候”成立，则不得按“双轴平衡时调候维度应退出主用排序”无条件定位。</x:v>
      </x:c>
      <x:c r="AG60" s="82" t="str">
        <x:v>采用</x:v>
      </x:c>
      <x:c r="AH60" s="82" t="str">
        <x:v>初审</x:v>
      </x:c>
      <x:c r="AI60" s="87" t="n">
        <x:v>46260</x:v>
      </x:c>
    </x:row>
    <x:row r="61">
      <x:c r="A61" s="72" t="str">
        <x:f>IF(OR(C61="",D61=""),"",B61&amp;"-"&amp;UPPER(C61)&amp;"-"&amp;TEXT(D61,"0000")&amp;"-"&amp;E61)</x:f>
        <x:v>M17-BINGYAO-0055-V1.0</x:v>
      </x:c>
      <x:c r="B61" s="74" t="str">
        <x:v>M17</x:v>
      </x:c>
      <x:c r="C61" s="74" t="str">
        <x:v>BINGYAO</x:v>
      </x:c>
      <x:c r="D61" s="215" t="n">
        <x:v>55</x:v>
      </x:c>
      <x:c r="E61" s="74" t="str">
        <x:v>V1.0</x:v>
      </x:c>
      <x:c r="F61" s="68" t="str">
        <x:v>M16根本主病对应的直接主药优先进入主用候选</x:v>
      </x:c>
      <x:c r="G61" s="82" t="str">
        <x:v>综合层</x:v>
      </x:c>
      <x:c r="H61" s="82"/>
      <x:c r="I61" s="82"/>
      <x:c r="J61" s="82" t="str">
        <x:v>病药用神</x:v>
      </x:c>
      <x:c r="K61" s="68" t="str">
        <x:v>按主药与日主关系复核</x:v>
      </x:c>
      <x:c r="L61" s="68" t="str">
        <x:v>检查是否护格或伤格</x:v>
      </x:c>
      <x:c r="M61" s="68" t="str">
        <x:v>检查能否触达主病位</x:v>
      </x:c>
      <x:c r="N61" s="68" t="str">
        <x:v>检查是否制造反向调候病</x:v>
      </x:c>
      <x:c r="O61" s="68" t="str">
        <x:v>直接治疗根本主病</x:v>
      </x:c>
      <x:c r="P61" s="68" t="str">
        <x:v>优先解决解释力最强的共同根因</x:v>
      </x:c>
      <x:c r="Q61" s="90" t="str">
        <x:v>药过、药伤格或新病风险</x:v>
      </x:c>
      <x:c r="R61" s="68" t="str">
        <x:v>M16已确定一个根本主病和直接主药</x:v>
      </x:c>
      <x:c r="S61" s="68" t="str">
        <x:v>主药无根无源、无法进入病位或触犯硬约束</x:v>
      </x:c>
      <x:c r="T61" s="68" t="str">
        <x:v>病药与其他四维冲突</x:v>
      </x:c>
      <x:c r="U61" s="68" t="str">
        <x:v>M18-GEN-0001-V1.0</x:v>
      </x:c>
      <x:c r="V61" s="84" t="str">
        <x:v>主用神</x:v>
      </x:c>
      <x:c r="W61" s="82" t="str">
        <x:v>第一顺位</x:v>
      </x:c>
      <x:c r="X61" s="82" t="str">
        <x:v>条件性</x:v>
      </x:c>
      <x:c r="Y61" s="68" t="str">
        <x:v>主药有效且净收益最高</x:v>
      </x:c>
      <x:c r="Z61" s="84" t="str">
        <x:v>根本病主药入主用</x:v>
      </x:c>
      <x:c r="AA61" s="84" t="str">
        <x:v>该候选五行综合定位为“主用神”，优先级为“第一顺位”。主要收益：优先解决解释力最强的共同根因；主要副作用：药过、药伤格或新病风险；仅在主药有效且净收益最高时成立。</x:v>
      </x:c>
      <x:c r="AB61" s="82" t="str">
        <x:v>较高</x:v>
      </x:c>
      <x:c r="AC61" s="82" t="str">
        <x:v>现代综合</x:v>
      </x:c>
      <x:c r="AD61" s="68" t="str">
        <x:v>喜忌用神必须同时读取扶抑、格局、通关、调候和病药五个维度。单一维度有利不足以自动成为主用；最终定位取决于是否解决根本问题、是否触犯格局硬约束、药力是否可达以及副作用是否可控。</x:v>
      </x:c>
      <x:c r="AE61" s="68" t="str">
        <x:v>满足“M16已确定一个根本主病和直接主药”，且主要收益大于副作用时，可按“M16根本主病对应的直接主药优先进入主用候选”定位。</x:v>
      </x:c>
      <x:c r="AF61" s="90" t="str">
        <x:v>若“主药无根无源、无法进入病位或触犯硬约束”成立，则不得按“M16根本主病对应的直接主药优先进入主用候选”无条件定位。</x:v>
      </x:c>
      <x:c r="AG61" s="82" t="str">
        <x:v>采用</x:v>
      </x:c>
      <x:c r="AH61" s="82" t="str">
        <x:v>初审</x:v>
      </x:c>
      <x:c r="AI61" s="87" t="n">
        <x:v>46260</x:v>
      </x:c>
    </x:row>
    <x:row r="62">
      <x:c r="A62" s="72" t="str">
        <x:f>IF(OR(C62="",D62=""),"",B62&amp;"-"&amp;UPPER(C62)&amp;"-"&amp;TEXT(D62,"0000")&amp;"-"&amp;E62)</x:f>
        <x:v>M17-BINGYAO-0056-V1.0</x:v>
      </x:c>
      <x:c r="B62" s="74" t="str">
        <x:v>M17</x:v>
      </x:c>
      <x:c r="C62" s="74" t="str">
        <x:v>BINGYAO</x:v>
      </x:c>
      <x:c r="D62" s="215" t="n">
        <x:v>56</x:v>
      </x:c>
      <x:c r="E62" s="74" t="str">
        <x:v>V1.0</x:v>
      </x:c>
      <x:c r="F62" s="68" t="str">
        <x:v>辅助药只解决主药药力或配伍问题时列辅助用神</x:v>
      </x:c>
      <x:c r="G62" s="82" t="str">
        <x:v>综合层</x:v>
      </x:c>
      <x:c r="H62" s="82"/>
      <x:c r="I62" s="82"/>
      <x:c r="J62" s="82" t="str">
        <x:v>病药用神</x:v>
      </x:c>
      <x:c r="K62" s="68" t="str">
        <x:v>视辅助药关系而定</x:v>
      </x:c>
      <x:c r="L62" s="68" t="str">
        <x:v>可保护主药或格神</x:v>
      </x:c>
      <x:c r="M62" s="68" t="str">
        <x:v>补桥、护根或建立终点承载</x:v>
      </x:c>
      <x:c r="N62" s="68" t="str">
        <x:v>可控制主药调候副作用</x:v>
      </x:c>
      <x:c r="O62" s="68" t="str">
        <x:v>增强主药、保护主药或处理次病</x:v>
      </x:c>
      <x:c r="P62" s="68" t="str">
        <x:v>使主药能够稳定到达病位</x:v>
      </x:c>
      <x:c r="Q62" s="90" t="str">
        <x:v>辅助药过强可能反客为主</x:v>
      </x:c>
      <x:c r="R62" s="68" t="str">
        <x:v>M16明确辅助药和主药之间的配伍路径</x:v>
      </x:c>
      <x:c r="S62" s="68" t="str">
        <x:v>辅助药无实际作用路径或副作用超过主药收益</x:v>
      </x:c>
      <x:c r="T62" s="68" t="str">
        <x:v>辅助药容量与副作用</x:v>
      </x:c>
      <x:c r="U62" s="68" t="str">
        <x:v>M18-DOSE-0064-V1.0</x:v>
      </x:c>
      <x:c r="V62" s="84" t="str">
        <x:v>辅助用神</x:v>
      </x:c>
      <x:c r="W62" s="82" t="str">
        <x:v>第二顺位</x:v>
      </x:c>
      <x:c r="X62" s="82" t="str">
        <x:v>条件性</x:v>
      </x:c>
      <x:c r="Y62" s="68" t="str">
        <x:v>仅服务主药或次病，不替代根本主药</x:v>
      </x:c>
      <x:c r="Z62" s="84" t="str">
        <x:v>病药辅助用神</x:v>
      </x:c>
      <x:c r="AA62" s="84" t="str">
        <x:v>该候选五行综合定位为“辅助用神”，优先级为“第二顺位”。主要收益：使主药能够稳定到达病位；主要副作用：辅助药过强可能反客为主；仅在仅服务主药或次病，不替代根本主药时成立。</x:v>
      </x:c>
      <x:c r="AB62" s="82" t="str">
        <x:v>较高</x:v>
      </x:c>
      <x:c r="AC62" s="82" t="str">
        <x:v>现代综合</x:v>
      </x:c>
      <x:c r="AD62" s="68" t="str">
        <x:v>喜忌用神必须同时读取扶抑、格局、通关、调候和病药五个维度。单一维度有利不足以自动成为主用；最终定位取决于是否解决根本问题、是否触犯格局硬约束、药力是否可达以及副作用是否可控。</x:v>
      </x:c>
      <x:c r="AE62" s="68" t="str">
        <x:v>满足“M16明确辅助药和主药之间的配伍路径”，且主要收益大于副作用时，可按“辅助药只解决主药药力或配伍问题时列辅助用神”定位。</x:v>
      </x:c>
      <x:c r="AF62" s="90" t="str">
        <x:v>若“辅助药无实际作用路径或副作用超过主药收益”成立，则不得按“辅助药只解决主药药力或配伍问题时列辅助用神”无条件定位。</x:v>
      </x:c>
      <x:c r="AG62" s="82" t="str">
        <x:v>采用</x:v>
      </x:c>
      <x:c r="AH62" s="82" t="str">
        <x:v>初审</x:v>
      </x:c>
      <x:c r="AI62" s="87" t="n">
        <x:v>46260</x:v>
      </x:c>
    </x:row>
    <x:row r="63">
      <x:c r="A63" s="72" t="str">
        <x:f>IF(OR(C63="",D63=""),"",B63&amp;"-"&amp;UPPER(C63)&amp;"-"&amp;TEXT(D63,"0000")&amp;"-"&amp;E63)</x:f>
        <x:v>M17-BINGYAO-0057-V1.0</x:v>
      </x:c>
      <x:c r="B63" s="74" t="str">
        <x:v>M17</x:v>
      </x:c>
      <x:c r="C63" s="74" t="str">
        <x:v>BINGYAO</x:v>
      </x:c>
      <x:c r="D63" s="215" t="n">
        <x:v>57</x:v>
      </x:c>
      <x:c r="E63" s="74" t="str">
        <x:v>V1.0</x:v>
      </x:c>
      <x:c r="F63" s="68" t="str">
        <x:v>药神无根无源时不得列无条件主用</x:v>
      </x:c>
      <x:c r="G63" s="82" t="str">
        <x:v>综合层</x:v>
      </x:c>
      <x:c r="H63" s="82"/>
      <x:c r="I63" s="82"/>
      <x:c r="J63" s="82" t="str">
        <x:v>病药用神</x:v>
      </x:c>
      <x:c r="K63" s="68" t="str">
        <x:v>理论有利</x:v>
      </x:c>
      <x:c r="L63" s="68" t="str">
        <x:v>待定</x:v>
      </x:c>
      <x:c r="M63" s="68" t="str">
        <x:v>无法稳定到达病位</x:v>
      </x:c>
      <x:c r="N63" s="68" t="str">
        <x:v>待定</x:v>
      </x:c>
      <x:c r="O63" s="68" t="str">
        <x:v>药力不足</x:v>
      </x:c>
      <x:c r="P63" s="68" t="str">
        <x:v>提供治疗方向</x:v>
      </x:c>
      <x:c r="Q63" s="90" t="str">
        <x:v>名义有药而实际无药力</x:v>
      </x:c>
      <x:c r="R63" s="68" t="str">
        <x:v>可通过有效生源、根气或替代路径增强</x:v>
      </x:c>
      <x:c r="S63" s="68" t="str">
        <x:v>完全没有补强条件或存在更有效替代药</x:v>
      </x:c>
      <x:c r="T63" s="68" t="str">
        <x:v>药力有效性不足</x:v>
      </x:c>
      <x:c r="U63" s="68" t="str">
        <x:v>M18-MED-0046-V1.0</x:v>
      </x:c>
      <x:c r="V63" s="84" t="str">
        <x:v>条件性喜神</x:v>
      </x:c>
      <x:c r="W63" s="82" t="str">
        <x:v>条件顺位</x:v>
      </x:c>
      <x:c r="X63" s="82" t="str">
        <x:v>是</x:v>
      </x:c>
      <x:c r="Y63" s="68" t="str">
        <x:v>必须先具备有效根源和作用路径</x:v>
      </x:c>
      <x:c r="Z63" s="84" t="str">
        <x:v>无根药神降级</x:v>
      </x:c>
      <x:c r="AA63" s="84" t="str">
        <x:v>该候选五行综合定位为“条件性喜神”，优先级为“条件顺位”。主要收益：提供治疗方向；主要副作用：名义有药而实际无药力；仅在必须先具备有效根源和作用路径时成立。</x:v>
      </x:c>
      <x:c r="AB63" s="82" t="str">
        <x:v>较高</x:v>
      </x:c>
      <x:c r="AC63" s="82" t="str">
        <x:v>现代综合</x:v>
      </x:c>
      <x:c r="AD63" s="68" t="str">
        <x:v>喜忌用神必须同时读取扶抑、格局、通关、调候和病药五个维度。单一维度有利不足以自动成为主用；最终定位取决于是否解决根本问题、是否触犯格局硬约束、药力是否可达以及副作用是否可控。</x:v>
      </x:c>
      <x:c r="AE63" s="68" t="str">
        <x:v>满足“可通过有效生源、根气或替代路径增强”，且主要收益大于副作用时，可按“药神无根无源时不得列无条件主用”定位。</x:v>
      </x:c>
      <x:c r="AF63" s="90" t="str">
        <x:v>若“完全没有补强条件或存在更有效替代药”成立，则不得按“药神无根无源时不得列无条件主用”无条件定位。</x:v>
      </x:c>
      <x:c r="AG63" s="82" t="str">
        <x:v>采用</x:v>
      </x:c>
      <x:c r="AH63" s="82" t="str">
        <x:v>初审</x:v>
      </x:c>
      <x:c r="AI63" s="87" t="n">
        <x:v>46260</x:v>
      </x:c>
    </x:row>
    <x:row r="64">
      <x:c r="A64" s="72" t="str">
        <x:f>IF(OR(C64="",D64=""),"",B64&amp;"-"&amp;UPPER(C64)&amp;"-"&amp;TEXT(D64,"0000")&amp;"-"&amp;E64)</x:f>
        <x:v>M17-BINGYAO-0058-V1.0</x:v>
      </x:c>
      <x:c r="B64" s="74" t="str">
        <x:v>M17</x:v>
      </x:c>
      <x:c r="C64" s="74" t="str">
        <x:v>BINGYAO</x:v>
      </x:c>
      <x:c r="D64" s="215" t="n">
        <x:v>58</x:v>
      </x:c>
      <x:c r="E64" s="74" t="str">
        <x:v>V1.0</x:v>
      </x:c>
      <x:c r="F64" s="68" t="str">
        <x:v>药神被强克或合绊时应下调定位</x:v>
      </x:c>
      <x:c r="G64" s="82" t="str">
        <x:v>综合层</x:v>
      </x:c>
      <x:c r="H64" s="82"/>
      <x:c r="I64" s="82"/>
      <x:c r="J64" s="82" t="str">
        <x:v>病药用神</x:v>
      </x:c>
      <x:c r="K64" s="68" t="str">
        <x:v>理论正向</x:v>
      </x:c>
      <x:c r="L64" s="68" t="str">
        <x:v>待定</x:v>
      </x:c>
      <x:c r="M64" s="68" t="str">
        <x:v>药路被截断或占用</x:v>
      </x:c>
      <x:c r="N64" s="68" t="str">
        <x:v>待定</x:v>
      </x:c>
      <x:c r="O64" s="68" t="str">
        <x:v>只能部分治疗病位</x:v>
      </x:c>
      <x:c r="P64" s="68" t="str">
        <x:v>仍可能提供局部修复</x:v>
      </x:c>
      <x:c r="Q64" s="90" t="str">
        <x:v>药力不稳定，强行解克解合可能破格</x:v>
      </x:c>
      <x:c r="R64" s="68" t="str">
        <x:v>制约可被解除或存在独立药源</x:v>
      </x:c>
      <x:c r="S64" s="68" t="str">
        <x:v>药神已失效且无替代路径</x:v>
      </x:c>
      <x:c r="T64" s="68" t="str">
        <x:v>药效与解制副作用</x:v>
      </x:c>
      <x:c r="U64" s="68" t="str">
        <x:v>M18-DOSE-0067-V1.0</x:v>
      </x:c>
      <x:c r="V64" s="84" t="str">
        <x:v>条件性喜神</x:v>
      </x:c>
      <x:c r="W64" s="82" t="str">
        <x:v>条件顺位</x:v>
      </x:c>
      <x:c r="X64" s="82" t="str">
        <x:v>是</x:v>
      </x:c>
      <x:c r="Y64" s="68" t="str">
        <x:v>药神功能恢复后方可提高定位</x:v>
      </x:c>
      <x:c r="Z64" s="84" t="str">
        <x:v>受制药神降级</x:v>
      </x:c>
      <x:c r="AA64" s="84" t="str">
        <x:v>该候选五行综合定位为“条件性喜神”，优先级为“条件顺位”。主要收益：仍可能提供局部修复；主要副作用：药力不稳定，强行解克解合可能破格；仅在药神功能恢复后方可提高定位时成立。</x:v>
      </x:c>
      <x:c r="AB64" s="82" t="str">
        <x:v>较高</x:v>
      </x:c>
      <x:c r="AC64" s="82" t="str">
        <x:v>现代综合</x:v>
      </x:c>
      <x:c r="AD64" s="68" t="str">
        <x:v>喜忌用神必须同时读取扶抑、格局、通关、调候和病药五个维度。单一维度有利不足以自动成为主用；最终定位取决于是否解决根本问题、是否触犯格局硬约束、药力是否可达以及副作用是否可控。</x:v>
      </x:c>
      <x:c r="AE64" s="68" t="str">
        <x:v>满足“制约可被解除或存在独立药源”，且主要收益大于副作用时，可按“药神被强克或合绊时应下调定位”定位。</x:v>
      </x:c>
      <x:c r="AF64" s="90" t="str">
        <x:v>若“药神已失效且无替代路径”成立，则不得按“药神被强克或合绊时应下调定位”无条件定位。</x:v>
      </x:c>
      <x:c r="AG64" s="82" t="str">
        <x:v>采用</x:v>
      </x:c>
      <x:c r="AH64" s="82" t="str">
        <x:v>初审</x:v>
      </x:c>
      <x:c r="AI64" s="87" t="n">
        <x:v>46260</x:v>
      </x:c>
    </x:row>
    <x:row r="65">
      <x:c r="A65" s="72" t="str">
        <x:f>IF(OR(C65="",D65=""),"",B65&amp;"-"&amp;UPPER(C65)&amp;"-"&amp;TEXT(D65,"0000")&amp;"-"&amp;E65)</x:f>
        <x:v>M17-BINGYAO-0059-V1.0</x:v>
      </x:c>
      <x:c r="B65" s="74" t="str">
        <x:v>M17</x:v>
      </x:c>
      <x:c r="C65" s="74" t="str">
        <x:v>BINGYAO</x:v>
      </x:c>
      <x:c r="D65" s="215" t="n">
        <x:v>59</x:v>
      </x:c>
      <x:c r="E65" s="74" t="str">
        <x:v>V1.0</x:v>
      </x:c>
      <x:c r="F65" s="68" t="str">
        <x:v>一药多效且无硬冲突时可由喜神升级为主用</x:v>
      </x:c>
      <x:c r="G65" s="82" t="str">
        <x:v>综合层</x:v>
      </x:c>
      <x:c r="H65" s="82"/>
      <x:c r="I65" s="82"/>
      <x:c r="J65" s="82" t="str">
        <x:v>复合来源</x:v>
      </x:c>
      <x:c r="K65" s="68" t="str">
        <x:v>正向或中性</x:v>
      </x:c>
      <x:c r="L65" s="68" t="str">
        <x:v>护格或不伤格</x:v>
      </x:c>
      <x:c r="M65" s="68" t="str">
        <x:v>修复主卡点</x:v>
      </x:c>
      <x:c r="N65" s="68" t="str">
        <x:v>改善或不恶化调候</x:v>
      </x:c>
      <x:c r="O65" s="68" t="str">
        <x:v>治疗根本病</x:v>
      </x:c>
      <x:c r="P65" s="68" t="str">
        <x:v>同时覆盖多个主要问题，减少药神数量与冲突</x:v>
      </x:c>
      <x:c r="Q65" s="90" t="str">
        <x:v>需防药力集中后过量</x:v>
      </x:c>
      <x:c r="R65" s="68" t="str">
        <x:v>至少三个独立维度同向，且包括病药或格局关键维度</x:v>
      </x:c>
      <x:c r="S65" s="68" t="str">
        <x:v>证据同源重复或存在一个硬否决</x:v>
      </x:c>
      <x:c r="T65" s="68" t="str">
        <x:v>多维一致但需剂量控制</x:v>
      </x:c>
      <x:c r="U65" s="68" t="str">
        <x:v>M18-DOSE-0066-V1.0</x:v>
      </x:c>
      <x:c r="V65" s="84" t="str">
        <x:v>主用神</x:v>
      </x:c>
      <x:c r="W65" s="82" t="str">
        <x:v>第一顺位</x:v>
      </x:c>
      <x:c r="X65" s="82" t="str">
        <x:v>条件性</x:v>
      </x:c>
      <x:c r="Y65" s="68" t="str">
        <x:v>多个独立维度真实同向且药量可控</x:v>
      </x:c>
      <x:c r="Z65" s="84" t="str">
        <x:v>一药多效升级主用</x:v>
      </x:c>
      <x:c r="AA65" s="84" t="str">
        <x:v>该候选五行综合定位为“主用神”，优先级为“第一顺位”。主要收益：同时覆盖多个主要问题，减少药神数量与冲突；主要副作用：需防药力集中后过量；仅在多个独立维度真实同向且药量可控时成立。</x:v>
      </x:c>
      <x:c r="AB65" s="82" t="str">
        <x:v>较高</x:v>
      </x:c>
      <x:c r="AC65" s="82" t="str">
        <x:v>现代综合</x:v>
      </x:c>
      <x:c r="AD65" s="68" t="str">
        <x:v>喜忌用神必须同时读取扶抑、格局、通关、调候和病药五个维度。单一维度有利不足以自动成为主用；最终定位取决于是否解决根本问题、是否触犯格局硬约束、药力是否可达以及副作用是否可控。</x:v>
      </x:c>
      <x:c r="AE65" s="68" t="str">
        <x:v>满足“至少三个独立维度同向，且包括病药或格局关键维度”，且主要收益大于副作用时，可按“一药多效且无硬冲突时可由喜神升级为主用”定位。</x:v>
      </x:c>
      <x:c r="AF65" s="90" t="str">
        <x:v>若“证据同源重复或存在一个硬否决”成立，则不得按“一药多效且无硬冲突时可由喜神升级为主用”无条件定位。</x:v>
      </x:c>
      <x:c r="AG65" s="82" t="str">
        <x:v>采用</x:v>
      </x:c>
      <x:c r="AH65" s="82" t="str">
        <x:v>初审</x:v>
      </x:c>
      <x:c r="AI65" s="87" t="n">
        <x:v>46260</x:v>
      </x:c>
    </x:row>
    <x:row r="66">
      <x:c r="A66" s="72" t="str">
        <x:f>IF(OR(C66="",D66=""),"",B66&amp;"-"&amp;UPPER(C66)&amp;"-"&amp;TEXT(D66,"0000")&amp;"-"&amp;E66)</x:f>
        <x:v>M17-BINGYAO-0060-V1.0</x:v>
      </x:c>
      <x:c r="B66" s="74" t="str">
        <x:v>M17</x:v>
      </x:c>
      <x:c r="C66" s="74" t="str">
        <x:v>BINGYAO</x:v>
      </x:c>
      <x:c r="D66" s="215" t="n">
        <x:v>60</x:v>
      </x:c>
      <x:c r="E66" s="74" t="str">
        <x:v>V1.0</x:v>
      </x:c>
      <x:c r="F66" s="68" t="str">
        <x:v>药神能治次病但不能触达主病时仅列喜神或辅助</x:v>
      </x:c>
      <x:c r="G66" s="82" t="str">
        <x:v>综合层</x:v>
      </x:c>
      <x:c r="H66" s="82"/>
      <x:c r="I66" s="82"/>
      <x:c r="J66" s="82" t="str">
        <x:v>病药用神</x:v>
      </x:c>
      <x:c r="K66" s="68" t="str">
        <x:v>待定</x:v>
      </x:c>
      <x:c r="L66" s="68" t="str">
        <x:v>待定</x:v>
      </x:c>
      <x:c r="M66" s="68" t="str">
        <x:v>只修复次级路径</x:v>
      </x:c>
      <x:c r="N66" s="68" t="str">
        <x:v>可能正向</x:v>
      </x:c>
      <x:c r="O66" s="68" t="str">
        <x:v>治疗次病，不治疗根本病</x:v>
      </x:c>
      <x:c r="P66" s="68" t="str">
        <x:v>改善局部功能</x:v>
      </x:c>
      <x:c r="Q66" s="90" t="str">
        <x:v>不能替代根本主药，可能分散药力</x:v>
      </x:c>
      <x:c r="R66" s="68" t="str">
        <x:v>根本主病已有更直接主药</x:v>
      </x:c>
      <x:c r="S66" s="68" t="str">
        <x:v>该药会干扰根本主药或制造新病</x:v>
      </x:c>
      <x:c r="T66" s="68" t="str">
        <x:v>主病与次病优先级</x:v>
      </x:c>
      <x:c r="U66" s="68" t="str">
        <x:v>M18-MED-0047-V1.0</x:v>
      </x:c>
      <x:c r="V66" s="84" t="str">
        <x:v>喜神</x:v>
      </x:c>
      <x:c r="W66" s="82" t="str">
        <x:v>第三顺位</x:v>
      </x:c>
      <x:c r="X66" s="82" t="str">
        <x:v>条件性</x:v>
      </x:c>
      <x:c r="Y66" s="68" t="str">
        <x:v>只在主病已得到控制后作为次级改善</x:v>
      </x:c>
      <x:c r="Z66" s="84" t="str">
        <x:v>次病药降级</x:v>
      </x:c>
      <x:c r="AA66" s="84" t="str">
        <x:v>该候选五行综合定位为“喜神”，优先级为“第三顺位”。主要收益：改善局部功能；主要副作用：不能替代根本主药，可能分散药力；仅在只在主病已得到控制后作为次级改善时成立。</x:v>
      </x:c>
      <x:c r="AB66" s="82" t="str">
        <x:v>较高</x:v>
      </x:c>
      <x:c r="AC66" s="82" t="str">
        <x:v>现代综合</x:v>
      </x:c>
      <x:c r="AD66" s="68" t="str">
        <x:v>喜忌用神必须同时读取扶抑、格局、通关、调候和病药五个维度。单一维度有利不足以自动成为主用；最终定位取决于是否解决根本问题、是否触犯格局硬约束、药力是否可达以及副作用是否可控。</x:v>
      </x:c>
      <x:c r="AE66" s="68" t="str">
        <x:v>满足“根本主病已有更直接主药”，且主要收益大于副作用时，可按“药神能治次病但不能触达主病时仅列喜神或辅助”定位。</x:v>
      </x:c>
      <x:c r="AF66" s="90" t="str">
        <x:v>若“该药会干扰根本主药或制造新病”成立，则不得按“药神能治次病但不能触达主病时仅列喜神或辅助”无条件定位。</x:v>
      </x:c>
      <x:c r="AG66" s="82" t="str">
        <x:v>采用</x:v>
      </x:c>
      <x:c r="AH66" s="82" t="str">
        <x:v>初审</x:v>
      </x:c>
      <x:c r="AI66" s="87" t="n">
        <x:v>46260</x:v>
      </x:c>
    </x:row>
    <x:row r="67">
      <x:c r="A67" s="72" t="str">
        <x:f>IF(OR(C67="",D67=""),"",B67&amp;"-"&amp;UPPER(C67)&amp;"-"&amp;TEXT(D67,"0000")&amp;"-"&amp;E67)</x:f>
        <x:v>M17-BINGYAO-0061-V1.0</x:v>
      </x:c>
      <x:c r="B67" s="74" t="str">
        <x:v>M17</x:v>
      </x:c>
      <x:c r="C67" s="74" t="str">
        <x:v>BINGYAO</x:v>
      </x:c>
      <x:c r="D67" s="215" t="n">
        <x:v>61</x:v>
      </x:c>
      <x:c r="E67" s="74" t="str">
        <x:v>V1.0</x:v>
      </x:c>
      <x:c r="F67" s="68" t="str">
        <x:v>药过会形成反向病时应标记条件性而非无条件喜</x:v>
      </x:c>
      <x:c r="G67" s="82" t="str">
        <x:v>综合层</x:v>
      </x:c>
      <x:c r="H67" s="82"/>
      <x:c r="I67" s="82"/>
      <x:c r="J67" s="82" t="str">
        <x:v>病药用神</x:v>
      </x:c>
      <x:c r="K67" s="68" t="str">
        <x:v>适量正向、过量反向</x:v>
      </x:c>
      <x:c r="L67" s="68" t="str">
        <x:v>过量可能破格</x:v>
      </x:c>
      <x:c r="M67" s="68" t="str">
        <x:v>过量可能截流或终点过旺</x:v>
      </x:c>
      <x:c r="N67" s="68" t="str">
        <x:v>过量可能反向寒热燥湿</x:v>
      </x:c>
      <x:c r="O67" s="68" t="str">
        <x:v>适量治病、过量成病</x:v>
      </x:c>
      <x:c r="P67" s="68" t="str">
        <x:v>在合适强度下修复主病</x:v>
      </x:c>
      <x:c r="Q67" s="90" t="str">
        <x:v>跨越平衡形成新病</x:v>
      </x:c>
      <x:c r="R67" s="68" t="str">
        <x:v>可明确控制作用条件和强度</x:v>
      </x:c>
      <x:c r="S67" s="68" t="str">
        <x:v>原局该药已经过旺或新病不可控</x:v>
      </x:c>
      <x:c r="T67" s="68" t="str">
        <x:v>药量与反向病</x:v>
      </x:c>
      <x:c r="U67" s="68" t="str">
        <x:v>M18-DOSE-0062-V1.0</x:v>
      </x:c>
      <x:c r="V67" s="84" t="str">
        <x:v>条件性喜神</x:v>
      </x:c>
      <x:c r="W67" s="82" t="str">
        <x:v>条件顺位</x:v>
      </x:c>
      <x:c r="X67" s="82" t="str">
        <x:v>是</x:v>
      </x:c>
      <x:c r="Y67" s="68" t="str">
        <x:v>只取适量，不宜继续增强</x:v>
      </x:c>
      <x:c r="Z67" s="84" t="str">
        <x:v>药量边界条件化</x:v>
      </x:c>
      <x:c r="AA67" s="84" t="str">
        <x:v>该候选五行综合定位为“条件性喜神”，优先级为“条件顺位”。主要收益：在合适强度下修复主病；主要副作用：跨越平衡形成新病；仅在只取适量，不宜继续增强时成立。</x:v>
      </x:c>
      <x:c r="AB67" s="82" t="str">
        <x:v>较高</x:v>
      </x:c>
      <x:c r="AC67" s="82" t="str">
        <x:v>现代综合</x:v>
      </x:c>
      <x:c r="AD67" s="68" t="str">
        <x:v>喜忌用神必须同时读取扶抑、格局、通关、调候和病药五个维度。单一维度有利不足以自动成为主用；最终定位取决于是否解决根本问题、是否触犯格局硬约束、药力是否可达以及副作用是否可控。</x:v>
      </x:c>
      <x:c r="AE67" s="68" t="str">
        <x:v>满足“可明确控制作用条件和强度”，且主要收益大于副作用时，可按“药过会形成反向病时应标记条件性而非无条件喜”定位。</x:v>
      </x:c>
      <x:c r="AF67" s="90" t="str">
        <x:v>若“原局该药已经过旺或新病不可控”成立，则不得按“药过会形成反向病时应标记条件性而非无条件喜”无条件定位。</x:v>
      </x:c>
      <x:c r="AG67" s="82" t="str">
        <x:v>采用</x:v>
      </x:c>
      <x:c r="AH67" s="82" t="str">
        <x:v>初审</x:v>
      </x:c>
      <x:c r="AI67" s="87" t="n">
        <x:v>46260</x:v>
      </x:c>
    </x:row>
    <x:row r="68">
      <x:c r="A68" s="72" t="str">
        <x:f>IF(OR(C68="",D68=""),"",B68&amp;"-"&amp;UPPER(C68)&amp;"-"&amp;TEXT(D68,"0000")&amp;"-"&amp;E68)</x:f>
        <x:v>M17-BINGYAO-0062-V1.0</x:v>
      </x:c>
      <x:c r="B68" s="74" t="str">
        <x:v>M17</x:v>
      </x:c>
      <x:c r="C68" s="74" t="str">
        <x:v>BINGYAO</x:v>
      </x:c>
      <x:c r="D68" s="215" t="n">
        <x:v>62</x:v>
      </x:c>
      <x:c r="E68" s="74" t="str">
        <x:v>V1.0</x:v>
      </x:c>
      <x:c r="F68" s="68" t="str">
        <x:v>主药伤格且无替代保护时可转为条件性忌神</x:v>
      </x:c>
      <x:c r="G68" s="82" t="str">
        <x:v>综合层</x:v>
      </x:c>
      <x:c r="H68" s="82"/>
      <x:c r="I68" s="82"/>
      <x:c r="J68" s="82" t="str">
        <x:v>病药用神</x:v>
      </x:c>
      <x:c r="K68" s="68" t="str">
        <x:v>可能治旺衰病</x:v>
      </x:c>
      <x:c r="L68" s="68" t="str">
        <x:v>根本破坏核心格神或特殊格局</x:v>
      </x:c>
      <x:c r="M68" s="68" t="str">
        <x:v>可能正向</x:v>
      </x:c>
      <x:c r="N68" s="68" t="str">
        <x:v>可能正向</x:v>
      </x:c>
      <x:c r="O68" s="68" t="str">
        <x:v>治疗一个病位</x:v>
      </x:c>
      <x:c r="P68" s="68" t="str">
        <x:v>局部治病</x:v>
      </x:c>
      <x:c r="Q68" s="90" t="str">
        <x:v>制造更高优先级根本格局病</x:v>
      </x:c>
      <x:c r="R68" s="68" t="str">
        <x:v>只作为警示与M18冲突裁决输入</x:v>
      </x:c>
      <x:c r="S68" s="68" t="str">
        <x:v>存在不伤格的替代药路</x:v>
      </x:c>
      <x:c r="T68" s="68" t="str">
        <x:v>病药与格局硬冲突</x:v>
      </x:c>
      <x:c r="U68" s="68" t="str">
        <x:v>M18-MED-0043-V1.0</x:v>
      </x:c>
      <x:c r="V68" s="84" t="str">
        <x:v>条件性忌神</x:v>
      </x:c>
      <x:c r="W68" s="82" t="str">
        <x:v>不采用</x:v>
      </x:c>
      <x:c r="X68" s="82" t="str">
        <x:v>是</x:v>
      </x:c>
      <x:c r="Y68" s="68" t="str">
        <x:v>原则上不采用，除非格局本身已经失效并重定</x:v>
      </x:c>
      <x:c r="Z68" s="84" t="str">
        <x:v>药伤格转忌</x:v>
      </x:c>
      <x:c r="AA68" s="84" t="str">
        <x:v>该候选五行综合定位为“条件性忌神”，优先级为“不采用”。主要收益：局部治病；主要副作用：制造更高优先级根本格局病；仅在原则上不采用，除非格局本身已经失效并重定时成立。</x:v>
      </x:c>
      <x:c r="AB68" s="82" t="str">
        <x:v>较高</x:v>
      </x:c>
      <x:c r="AC68" s="82" t="str">
        <x:v>现代综合</x:v>
      </x:c>
      <x:c r="AD68" s="68" t="str">
        <x:v>喜忌用神必须同时读取扶抑、格局、通关、调候和病药五个维度。单一维度有利不足以自动成为主用；最终定位取决于是否解决根本问题、是否触犯格局硬约束、药力是否可达以及副作用是否可控。</x:v>
      </x:c>
      <x:c r="AE68" s="68" t="str">
        <x:v>满足“只作为警示与M18冲突裁决输入”，且主要收益大于副作用时，可按“主药伤格且无替代保护时可转为条件性忌神”定位。</x:v>
      </x:c>
      <x:c r="AF68" s="90" t="str">
        <x:v>若“存在不伤格的替代药路”成立，则不得按“主药伤格且无替代保护时可转为条件性忌神”无条件定位。</x:v>
      </x:c>
      <x:c r="AG68" s="82" t="str">
        <x:v>采用</x:v>
      </x:c>
      <x:c r="AH68" s="82" t="str">
        <x:v>初审</x:v>
      </x:c>
      <x:c r="AI68" s="87" t="n">
        <x:v>46260</x:v>
      </x:c>
    </x:row>
    <x:row r="69">
      <x:c r="A69" s="72" t="str">
        <x:f>IF(OR(C69="",D69=""),"",B69&amp;"-"&amp;UPPER(C69)&amp;"-"&amp;TEXT(D69,"0000")&amp;"-"&amp;E69)</x:f>
        <x:v>M17-BINGYAO-0063-V1.0</x:v>
      </x:c>
      <x:c r="B69" s="74" t="str">
        <x:v>M17</x:v>
      </x:c>
      <x:c r="C69" s="74" t="str">
        <x:v>BINGYAO</x:v>
      </x:c>
      <x:c r="D69" s="215" t="n">
        <x:v>63</x:v>
      </x:c>
      <x:c r="E69" s="74" t="str">
        <x:v>V1.0</x:v>
      </x:c>
      <x:c r="F69" s="68" t="str">
        <x:v>无病位时不应为了完整矩阵强行指定病药用神</x:v>
      </x:c>
      <x:c r="G69" s="82" t="str">
        <x:v>综合层</x:v>
      </x:c>
      <x:c r="H69" s="82"/>
      <x:c r="I69" s="82"/>
      <x:c r="J69" s="82" t="str">
        <x:v>病药用神</x:v>
      </x:c>
      <x:c r="K69" s="68" t="str">
        <x:v>不适用</x:v>
      </x:c>
      <x:c r="L69" s="68" t="str">
        <x:v>结构正常</x:v>
      </x:c>
      <x:c r="M69" s="68" t="str">
        <x:v>结构正常</x:v>
      </x:c>
      <x:c r="N69" s="68" t="str">
        <x:v>结构正常</x:v>
      </x:c>
      <x:c r="O69" s="68" t="str">
        <x:v>无根本病可治</x:v>
      </x:c>
      <x:c r="P69" s="68" t="str">
        <x:v>避免人为制造用神</x:v>
      </x:c>
      <x:c r="Q69" s="90" t="str">
        <x:v>无必要用药会打破原局平衡</x:v>
      </x:c>
      <x:c r="R69" s="68" t="str">
        <x:v>M16未立根本病或仅有轻微无功能障碍偏差</x:v>
      </x:c>
      <x:c r="S69" s="68" t="str">
        <x:v>其他来源仍可产生格局、通关或调候用神</x:v>
      </x:c>
      <x:c r="T69" s="68" t="str">
        <x:v>无</x:v>
      </x:c>
      <x:c r="U69" s="68"/>
      <x:c r="V69" s="84" t="str">
        <x:v>中性</x:v>
      </x:c>
      <x:c r="W69" s="82" t="str">
        <x:v>不采用</x:v>
      </x:c>
      <x:c r="X69" s="82" t="str">
        <x:v>否</x:v>
      </x:c>
      <x:c r="Y69" s="68" t="str">
        <x:v>病药维度退出，但其他维度继续评估</x:v>
      </x:c>
      <x:c r="Z69" s="84" t="str">
        <x:v>无病不设药</x:v>
      </x:c>
      <x:c r="AA69" s="84" t="str">
        <x:v>该候选五行综合定位为“中性”，优先级为“不采用”。主要收益：避免人为制造用神；主要副作用：无必要用药会打破原局平衡；病药维度退出，但其他维度继续评估。</x:v>
      </x:c>
      <x:c r="AB69" s="82" t="str">
        <x:v>较高</x:v>
      </x:c>
      <x:c r="AC69" s="82" t="str">
        <x:v>现代综合</x:v>
      </x:c>
      <x:c r="AD69" s="68" t="str">
        <x:v>喜忌用神必须同时读取扶抑、格局、通关、调候和病药五个维度。单一维度有利不足以自动成为主用；最终定位取决于是否解决根本问题、是否触犯格局硬约束、药力是否可达以及副作用是否可控。</x:v>
      </x:c>
      <x:c r="AE69" s="68" t="str">
        <x:v>满足“M16未立根本病或仅有轻微无功能障碍偏差”，且主要收益大于副作用时，可按“无病位时不应为了完整矩阵强行指定病药用神”定位。</x:v>
      </x:c>
      <x:c r="AF69" s="90" t="str">
        <x:v>若“其他来源仍可产生格局、通关或调候用神”成立，则不得按“无病位时不应为了完整矩阵强行指定病药用神”无条件定位。</x:v>
      </x:c>
      <x:c r="AG69" s="82" t="str">
        <x:v>采用</x:v>
      </x:c>
      <x:c r="AH69" s="82" t="str">
        <x:v>初审</x:v>
      </x:c>
      <x:c r="AI69" s="87" t="n">
        <x:v>46260</x:v>
      </x:c>
    </x:row>
    <x:row r="70">
      <x:c r="A70" s="72" t="str">
        <x:f>IF(OR(C70="",D70=""),"",B70&amp;"-"&amp;UPPER(C70)&amp;"-"&amp;TEXT(D70,"0000")&amp;"-"&amp;E70)</x:f>
        <x:v>M17-BINGYAO-0064-V1.0</x:v>
      </x:c>
      <x:c r="B70" s="74" t="str">
        <x:v>M17</x:v>
      </x:c>
      <x:c r="C70" s="74" t="str">
        <x:v>BINGYAO</x:v>
      </x:c>
      <x:c r="D70" s="215" t="n">
        <x:v>64</x:v>
      </x:c>
      <x:c r="E70" s="74" t="str">
        <x:v>V1.0</x:v>
      </x:c>
      <x:c r="F70" s="68" t="str">
        <x:v>多个主药候选相反时保持并列并转M18</x:v>
      </x:c>
      <x:c r="G70" s="82" t="str">
        <x:v>综合层</x:v>
      </x:c>
      <x:c r="H70" s="82"/>
      <x:c r="I70" s="82"/>
      <x:c r="J70" s="82" t="str">
        <x:v>病药用神</x:v>
      </x:c>
      <x:c r="K70" s="68" t="str">
        <x:v>候选方向相反</x:v>
      </x:c>
      <x:c r="L70" s="68" t="str">
        <x:v>可能分别护不同结构</x:v>
      </x:c>
      <x:c r="M70" s="68" t="str">
        <x:v>可能处理不同卡点</x:v>
      </x:c>
      <x:c r="N70" s="68" t="str">
        <x:v>可能冷热相反</x:v>
      </x:c>
      <x:c r="O70" s="68" t="str">
        <x:v>分别治疗不同病位</x:v>
      </x:c>
      <x:c r="P70" s="68" t="str">
        <x:v>完整保留不同诊断路径</x:v>
      </x:c>
      <x:c r="Q70" s="90" t="str">
        <x:v>同时采用会冲突或相战</x:v>
      </x:c>
      <x:c r="R70" s="68" t="str">
        <x:v>M16主病解释接近，主药候选相反且无硬约束</x:v>
      </x:c>
      <x:c r="S70" s="68" t="str">
        <x:v>已有共同根因或更高优先级可唯一化</x:v>
      </x:c>
      <x:c r="T70" s="68" t="str">
        <x:v>多病多药方向冲突</x:v>
      </x:c>
      <x:c r="U70" s="68" t="str">
        <x:v>M18-MED-0048-V1.0</x:v>
      </x:c>
      <x:c r="V70" s="84" t="str">
        <x:v>待定</x:v>
      </x:c>
      <x:c r="W70" s="82" t="str">
        <x:v>待定</x:v>
      </x:c>
      <x:c r="X70" s="82" t="str">
        <x:v>待定</x:v>
      </x:c>
      <x:c r="Y70" s="68" t="str">
        <x:v>保留主候选、替代候选及各自成立条件</x:v>
      </x:c>
      <x:c r="Z70" s="84" t="str">
        <x:v>相反主药并列待裁决</x:v>
      </x:c>
      <x:c r="AA70" s="84" t="str">
        <x:v>该候选五行综合定位为“待定”，优先级为“待定”。主要收益：完整保留不同诊断路径；主要副作用：同时采用会冲突或相战；保留主候选、替代候选及各自成立条件。</x:v>
      </x:c>
      <x:c r="AB70" s="82" t="str">
        <x:v>中等</x:v>
      </x:c>
      <x:c r="AC70" s="82" t="str">
        <x:v>现代综合</x:v>
      </x:c>
      <x:c r="AD70" s="68" t="str">
        <x:v>喜忌用神必须同时读取扶抑、格局、通关、调候和病药五个维度。单一维度有利不足以自动成为主用；最终定位取决于是否解决根本问题、是否触犯格局硬约束、药力是否可达以及副作用是否可控。</x:v>
      </x:c>
      <x:c r="AE70" s="68" t="str">
        <x:v>满足“M16主病解释接近，主药候选相反且无硬约束”，且主要收益大于副作用时，可按“多个主药候选相反时保持并列并转M18”定位。</x:v>
      </x:c>
      <x:c r="AF70" s="90" t="str">
        <x:v>若“已有共同根因或更高优先级可唯一化”成立，则不得按“多个主药候选相反时保持并列并转M18”无条件定位。</x:v>
      </x:c>
      <x:c r="AG70" s="82" t="str">
        <x:v>待验证</x:v>
      </x:c>
      <x:c r="AH70" s="82" t="str">
        <x:v>初审</x:v>
      </x:c>
      <x:c r="AI70" s="87" t="n">
        <x:v>46260</x:v>
      </x:c>
    </x:row>
    <x:row r="71">
      <x:c r="A71" s="72" t="str">
        <x:f>IF(OR(C71="",D71=""),"",B71&amp;"-"&amp;UPPER(C71)&amp;"-"&amp;TEXT(D71,"0000")&amp;"-"&amp;E71)</x:f>
        <x:v>M17-WUXING-0065-V1.0</x:v>
      </x:c>
      <x:c r="B71" s="74" t="str">
        <x:v>M17</x:v>
      </x:c>
      <x:c r="C71" s="74" t="str">
        <x:v>WUXING</x:v>
      </x:c>
      <x:c r="D71" s="215" t="n">
        <x:v>65</x:v>
      </x:c>
      <x:c r="E71" s="74" t="str">
        <x:v>V1.0</x:v>
      </x:c>
      <x:c r="F71" s="68" t="str">
        <x:v>木作为生火与疏土之神的正向候选</x:v>
      </x:c>
      <x:c r="G71" s="82" t="str">
        <x:v>综合层</x:v>
      </x:c>
      <x:c r="H71" s="82" t="str">
        <x:v>木</x:v>
      </x:c>
      <x:c r="I71" s="82"/>
      <x:c r="J71" s="82" t="str">
        <x:v>复合来源</x:v>
      </x:c>
      <x:c r="K71" s="68" t="str">
        <x:v>按日主映射，可能为印比食财官之一</x:v>
      </x:c>
      <x:c r="L71" s="68" t="str">
        <x:v>可生火、疏土或保护木类格神</x:v>
      </x:c>
      <x:c r="M71" s="68" t="str">
        <x:v>连接水→木→火，或缓解木土关系</x:v>
      </x:c>
      <x:c r="N71" s="68" t="str">
        <x:v>可引火暖局、疏湿土</x:v>
      </x:c>
      <x:c r="O71" s="68" t="str">
        <x:v>可治疗火无源、湿土壅滞或木桥梁弱</x:v>
      </x:c>
      <x:c r="P71" s="68" t="str">
        <x:v>提供生发、桥梁和疏导功能</x:v>
      </x:c>
      <x:c r="Q71" s="90" t="str">
        <x:v>木过旺会克土、耗水、生火过度</x:v>
      </x:c>
      <x:c r="R71" s="68" t="str">
        <x:v>火需生源、湿土需疏、或水火之间缺木桥梁</x:v>
      </x:c>
      <x:c r="S71" s="68" t="str">
        <x:v>木已旺极、土为核心格神不可克、或金重制木无药力</x:v>
      </x:c>
      <x:c r="T71" s="68" t="str">
        <x:v>木的生火疏土收益与克土耗水副作用</x:v>
      </x:c>
      <x:c r="U71" s="68" t="str">
        <x:v>M18-DOSE-0067-V1.0</x:v>
      </x:c>
      <x:c r="V71" s="84" t="str">
        <x:v>条件性喜神</x:v>
      </x:c>
      <x:c r="W71" s="82" t="str">
        <x:v>条件顺位</x:v>
      </x:c>
      <x:c r="X71" s="82" t="str">
        <x:v>是</x:v>
      </x:c>
      <x:c r="Y71" s="68" t="str">
        <x:v>木有根有源且不造成克土、生火过度</x:v>
      </x:c>
      <x:c r="Z71" s="84" t="str">
        <x:v>木生火疏土候选</x:v>
      </x:c>
      <x:c r="AA71" s="84" t="str">
        <x:v>木综合定位为“条件性喜神”，优先级为“条件顺位”。主要收益：提供生发、桥梁和疏导功能；主要副作用：木过旺会克土、耗水、生火过度；仅在木有根有源且不造成克土、生火过度时成立。</x:v>
      </x:c>
      <x:c r="AB71" s="82" t="str">
        <x:v>较高</x:v>
      </x:c>
      <x:c r="AC71" s="82" t="str">
        <x:v>现代综合</x:v>
      </x:c>
      <x:c r="AD71" s="68" t="str">
        <x:v>喜忌用神必须同时读取扶抑、格局、通关、调候和病药五个维度。单一维度有利不足以自动成为主用；最终定位取决于是否解决根本问题、是否触犯格局硬约束、药力是否可达以及副作用是否可控。</x:v>
      </x:c>
      <x:c r="AE71" s="68" t="str">
        <x:v>满足“火需生源、湿土需疏、或水火之间缺木桥梁”，且主要收益大于副作用时，可按“木作为生火与疏土之神的正向候选”定位。</x:v>
      </x:c>
      <x:c r="AF71" s="90" t="str">
        <x:v>若“木已旺极、土为核心格神不可克、或金重制木无药力”成立，则不得按“木作为生火与疏土之神的正向候选”无条件定位。</x:v>
      </x:c>
      <x:c r="AG71" s="82" t="str">
        <x:v>采用</x:v>
      </x:c>
      <x:c r="AH71" s="82" t="str">
        <x:v>初审</x:v>
      </x:c>
      <x:c r="AI71" s="87" t="n">
        <x:v>46260</x:v>
      </x:c>
    </x:row>
    <x:row r="72">
      <x:c r="A72" s="72" t="str">
        <x:f>IF(OR(C72="",D72=""),"",B72&amp;"-"&amp;UPPER(C72)&amp;"-"&amp;TEXT(D72,"0000")&amp;"-"&amp;E72)</x:f>
        <x:v>M17-WUXING-0066-V1.0</x:v>
      </x:c>
      <x:c r="B72" s="74" t="str">
        <x:v>M17</x:v>
      </x:c>
      <x:c r="C72" s="74" t="str">
        <x:v>WUXING</x:v>
      </x:c>
      <x:c r="D72" s="215" t="n">
        <x:v>66</x:v>
      </x:c>
      <x:c r="E72" s="74" t="str">
        <x:v>V1.0</x:v>
      </x:c>
      <x:c r="F72" s="68" t="str">
        <x:v>木在水火相战中可承担通关桥梁</x:v>
      </x:c>
      <x:c r="G72" s="82" t="str">
        <x:v>综合层</x:v>
      </x:c>
      <x:c r="H72" s="82" t="str">
        <x:v>木</x:v>
      </x:c>
      <x:c r="I72" s="82"/>
      <x:c r="J72" s="82" t="str">
        <x:v>通关用神</x:v>
      </x:c>
      <x:c r="K72" s="68" t="str">
        <x:v>视日主而定</x:v>
      </x:c>
      <x:c r="L72" s="68" t="str">
        <x:v>不得破坏土格或木格外的核心结构</x:v>
      </x:c>
      <x:c r="M72" s="68" t="str">
        <x:v>泄水并生火</x:v>
      </x:c>
      <x:c r="N72" s="68" t="str">
        <x:v>可改善寒局但可能升温</x:v>
      </x:c>
      <x:c r="O72" s="68" t="str">
        <x:v>治疗水火两强相战或火无源</x:v>
      </x:c>
      <x:c r="P72" s="68" t="str">
        <x:v>把水势导向火，缓解直接相克</x:v>
      </x:c>
      <x:c r="Q72" s="90" t="str">
        <x:v>木无根则通关不足，木过旺则生火太过或克土</x:v>
      </x:c>
      <x:c r="R72" s="68" t="str">
        <x:v>M12确认水火两强相战且木具有效力量</x:v>
      </x:c>
      <x:c r="S72" s="68" t="str">
        <x:v>水火并非双强、木受金重制或木会根本破格</x:v>
      </x:c>
      <x:c r="T72" s="68" t="str">
        <x:v>通关与调候/土格冲突</x:v>
      </x:c>
      <x:c r="U72" s="68" t="str">
        <x:v>M18-FLOW-0035-V1.0</x:v>
      </x:c>
      <x:c r="V72" s="84" t="str">
        <x:v>条件性喜神</x:v>
      </x:c>
      <x:c r="W72" s="82" t="str">
        <x:v>条件顺位</x:v>
      </x:c>
      <x:c r="X72" s="82" t="str">
        <x:v>是</x:v>
      </x:c>
      <x:c r="Y72" s="68" t="str">
        <x:v>木能同时泄水生火且药力适中</x:v>
      </x:c>
      <x:c r="Z72" s="84" t="str">
        <x:v>木通水火</x:v>
      </x:c>
      <x:c r="AA72" s="84" t="str">
        <x:v>木综合定位为“条件性喜神”，优先级为“条件顺位”。主要收益：把水势导向火，缓解直接相克；主要副作用：木无根则通关不足，木过旺则生火太过或克土；仅在木能同时泄水生火且药力适中时成立。</x:v>
      </x:c>
      <x:c r="AB72" s="82" t="str">
        <x:v>较高</x:v>
      </x:c>
      <x:c r="AC72" s="82" t="str">
        <x:v>现代综合</x:v>
      </x:c>
      <x:c r="AD72" s="68" t="str">
        <x:v>喜忌用神必须同时读取扶抑、格局、通关、调候和病药五个维度。单一维度有利不足以自动成为主用；最终定位取决于是否解决根本问题、是否触犯格局硬约束、药力是否可达以及副作用是否可控。</x:v>
      </x:c>
      <x:c r="AE72" s="68" t="str">
        <x:v>满足“M12确认水火两强相战且木具有效力量”，且主要收益大于副作用时，可按“木在水火相战中可承担通关桥梁”定位。</x:v>
      </x:c>
      <x:c r="AF72" s="90" t="str">
        <x:v>若“水火并非双强、木受金重制或木会根本破格”成立，则不得按“木在水火相战中可承担通关桥梁”无条件定位。</x:v>
      </x:c>
      <x:c r="AG72" s="82" t="str">
        <x:v>采用</x:v>
      </x:c>
      <x:c r="AH72" s="82" t="str">
        <x:v>初审</x:v>
      </x:c>
      <x:c r="AI72" s="87" t="n">
        <x:v>46260</x:v>
      </x:c>
    </x:row>
    <x:row r="73">
      <x:c r="A73" s="72" t="str">
        <x:f>IF(OR(C73="",D73=""),"",B73&amp;"-"&amp;UPPER(C73)&amp;"-"&amp;TEXT(D73,"0000")&amp;"-"&amp;E73)</x:f>
        <x:v>M17-WUXING-0067-V1.0</x:v>
      </x:c>
      <x:c r="B73" s="74" t="str">
        <x:v>M17</x:v>
      </x:c>
      <x:c r="C73" s="74" t="str">
        <x:v>WUXING</x:v>
      </x:c>
      <x:c r="D73" s="215" t="n">
        <x:v>67</x:v>
      </x:c>
      <x:c r="E73" s="74" t="str">
        <x:v>V1.0</x:v>
      </x:c>
      <x:c r="F73" s="68" t="str">
        <x:v>木过旺时可能转为条件性忌神</x:v>
      </x:c>
      <x:c r="G73" s="82" t="str">
        <x:v>综合层</x:v>
      </x:c>
      <x:c r="H73" s="82" t="str">
        <x:v>木</x:v>
      </x:c>
      <x:c r="I73" s="82"/>
      <x:c r="J73" s="82" t="str">
        <x:v>复合来源</x:v>
      </x:c>
      <x:c r="K73" s="68" t="str">
        <x:v>可能加重木日主或木类印比食财官一方</x:v>
      </x:c>
      <x:c r="L73" s="68" t="str">
        <x:v>可能破土格、财格或使火势过强</x:v>
      </x:c>
      <x:c r="M73" s="68" t="str">
        <x:v>桥梁过旺会截留水并集中生火</x:v>
      </x:c>
      <x:c r="N73" s="68" t="str">
        <x:v>可能加剧暖燥</x:v>
      </x:c>
      <x:c r="O73" s="68" t="str">
        <x:v>由药转病，形成木旺克土或生火过度</x:v>
      </x:c>
      <x:c r="P73" s="68" t="str">
        <x:v>仍可能维持必要生发</x:v>
      </x:c>
      <x:c r="Q73" s="90" t="str">
        <x:v>克土、耗水、火炎、木势壅塞</x:v>
      </x:c>
      <x:c r="R73" s="68" t="str">
        <x:v>木已旺或极旺且其新增作用制造主病</x:v>
      </x:c>
      <x:c r="S73" s="68" t="str">
        <x:v>木虽旺但流通良好且为特殊专旺主势</x:v>
      </x:c>
      <x:c r="T73" s="68" t="str">
        <x:v>木的格局功能与过旺副作用</x:v>
      </x:c>
      <x:c r="U73" s="68" t="str">
        <x:v>M18-DOSE-0062-V1.0</x:v>
      </x:c>
      <x:c r="V73" s="84" t="str">
        <x:v>条件性忌神</x:v>
      </x:c>
      <x:c r="W73" s="82" t="str">
        <x:v>不采用</x:v>
      </x:c>
      <x:c r="X73" s="82" t="str">
        <x:v>是</x:v>
      </x:c>
      <x:c r="Y73" s="68" t="str">
        <x:v>仅在继续增木会加重根本病时定忌</x:v>
      </x:c>
      <x:c r="Z73" s="84" t="str">
        <x:v>木过旺转忌</x:v>
      </x:c>
      <x:c r="AA73" s="84" t="str">
        <x:v>木综合定位为“条件性忌神”，优先级为“不采用”。主要收益：仍可能维持必要生发；主要副作用：克土、耗水、火炎、木势壅塞。仅在继续增木会加重根本病时定忌。</x:v>
      </x:c>
      <x:c r="AB73" s="82" t="str">
        <x:v>较高</x:v>
      </x:c>
      <x:c r="AC73" s="82" t="str">
        <x:v>现代综合</x:v>
      </x:c>
      <x:c r="AD73" s="68" t="str">
        <x:v>喜忌用神必须同时读取扶抑、格局、通关、调候和病药五个维度。单一维度有利不足以自动成为主用；最终定位取决于是否解决根本问题、是否触犯格局硬约束、药力是否可达以及副作用是否可控。</x:v>
      </x:c>
      <x:c r="AE73" s="68" t="str">
        <x:v>满足“木已旺或极旺且其新增作用制造主病”，且主要收益大于副作用时，可按“木过旺时可能转为条件性忌神”定位。</x:v>
      </x:c>
      <x:c r="AF73" s="90" t="str">
        <x:v>若“木虽旺但流通良好且为特殊专旺主势”成立，则不得按“木过旺时可能转为条件性忌神”无条件定位。</x:v>
      </x:c>
      <x:c r="AG73" s="82" t="str">
        <x:v>采用</x:v>
      </x:c>
      <x:c r="AH73" s="82" t="str">
        <x:v>初审</x:v>
      </x:c>
      <x:c r="AI73" s="87" t="n">
        <x:v>46260</x:v>
      </x:c>
    </x:row>
    <x:row r="74">
      <x:c r="A74" s="72" t="str">
        <x:f>IF(OR(C74="",D74=""),"",B74&amp;"-"&amp;UPPER(C74)&amp;"-"&amp;TEXT(D74,"0000")&amp;"-"&amp;E74)</x:f>
        <x:v>M17-WUXING-0068-V1.0</x:v>
      </x:c>
      <x:c r="B74" s="74" t="str">
        <x:v>M17</x:v>
      </x:c>
      <x:c r="C74" s="74" t="str">
        <x:v>WUXING</x:v>
      </x:c>
      <x:c r="D74" s="215" t="n">
        <x:v>68</x:v>
      </x:c>
      <x:c r="E74" s="74" t="str">
        <x:v>V1.0</x:v>
      </x:c>
      <x:c r="F74" s="68" t="str">
        <x:v>木弱但非关键桥梁时不因弱自动列喜</x:v>
      </x:c>
      <x:c r="G74" s="82" t="str">
        <x:v>综合层</x:v>
      </x:c>
      <x:c r="H74" s="82" t="str">
        <x:v>木</x:v>
      </x:c>
      <x:c r="I74" s="82"/>
      <x:c r="J74" s="82" t="str">
        <x:v>复合来源</x:v>
      </x:c>
      <x:c r="K74" s="68" t="str">
        <x:v>木弱事实</x:v>
      </x:c>
      <x:c r="L74" s="68" t="str">
        <x:v>无关键格局职责</x:v>
      </x:c>
      <x:c r="M74" s="68" t="str">
        <x:v>非主路径必要桥梁</x:v>
      </x:c>
      <x:c r="N74" s="68" t="str">
        <x:v>非主要调候药</x:v>
      </x:c>
      <x:c r="O74" s="68" t="str">
        <x:v>M16未立木弱病</x:v>
      </x:c>
      <x:c r="P74" s="68" t="str">
        <x:v>无明确核心收益</x:v>
      </x:c>
      <x:c r="Q74" s="90" t="str">
        <x:v>补木可能克土、生火或耗水</x:v>
      </x:c>
      <x:c r="R74" s="68" t="str">
        <x:v>木弱但未造成格局、流通、调候或病药功能障碍</x:v>
      </x:c>
      <x:c r="S74" s="68" t="str">
        <x:v>木是不可替代桥梁或核心药神</x:v>
      </x:c>
      <x:c r="T74" s="68" t="str">
        <x:v>无</x:v>
      </x:c>
      <x:c r="U74" s="68"/>
      <x:c r="V74" s="84" t="str">
        <x:v>中性</x:v>
      </x:c>
      <x:c r="W74" s="82" t="str">
        <x:v>不采用</x:v>
      </x:c>
      <x:c r="X74" s="82" t="str">
        <x:v>否</x:v>
      </x:c>
      <x:c r="Y74" s="68" t="str">
        <x:v>弱不等于喜，保持中性</x:v>
      </x:c>
      <x:c r="Z74" s="84" t="str">
        <x:v>木弱非自动喜</x:v>
      </x:c>
      <x:c r="AA74" s="84" t="str">
        <x:v>木综合定位为“中性”，优先级为“不采用”。主要收益：无明确核心收益；主要副作用：补木可能克土、生火或耗水；弱不等于喜，保持中性。</x:v>
      </x:c>
      <x:c r="AB74" s="82" t="str">
        <x:v>较高</x:v>
      </x:c>
      <x:c r="AC74" s="82" t="str">
        <x:v>现代综合</x:v>
      </x:c>
      <x:c r="AD74" s="68" t="str">
        <x:v>喜忌用神必须同时读取扶抑、格局、通关、调候和病药五个维度。单一维度有利不足以自动成为主用；最终定位取决于是否解决根本问题、是否触犯格局硬约束、药力是否可达以及副作用是否可控。</x:v>
      </x:c>
      <x:c r="AE74" s="68" t="str">
        <x:v>满足“木弱但未造成格局、流通、调候或病药功能障碍”，且主要收益大于副作用时，可按“木弱但非关键桥梁时不因弱自动列喜”定位。</x:v>
      </x:c>
      <x:c r="AF74" s="90" t="str">
        <x:v>若“木是不可替代桥梁或核心药神”成立，则不得按“木弱但非关键桥梁时不因弱自动列喜”无条件定位。</x:v>
      </x:c>
      <x:c r="AG74" s="82" t="str">
        <x:v>采用</x:v>
      </x:c>
      <x:c r="AH74" s="82" t="str">
        <x:v>初审</x:v>
      </x:c>
      <x:c r="AI74" s="87" t="n">
        <x:v>46260</x:v>
      </x:c>
    </x:row>
    <x:row r="75">
      <x:c r="A75" s="72" t="str">
        <x:f>IF(OR(C75="",D75=""),"",B75&amp;"-"&amp;UPPER(C75)&amp;"-"&amp;TEXT(D75,"0000")&amp;"-"&amp;E75)</x:f>
        <x:v>M17-WUXING-0069-V1.0</x:v>
      </x:c>
      <x:c r="B75" s="74" t="str">
        <x:v>M17</x:v>
      </x:c>
      <x:c r="C75" s="74" t="str">
        <x:v>WUXING</x:v>
      </x:c>
      <x:c r="D75" s="215" t="n">
        <x:v>69</x:v>
      </x:c>
      <x:c r="E75" s="74" t="str">
        <x:v>V1.0</x:v>
      </x:c>
      <x:c r="F75" s="68" t="str">
        <x:v>火作为暖局、化湿和泄木之神的正向候选</x:v>
      </x:c>
      <x:c r="G75" s="82" t="str">
        <x:v>综合层</x:v>
      </x:c>
      <x:c r="H75" s="82" t="str">
        <x:v>火</x:v>
      </x:c>
      <x:c r="I75" s="82"/>
      <x:c r="J75" s="82" t="str">
        <x:v>复合来源</x:v>
      </x:c>
      <x:c r="K75" s="68" t="str">
        <x:v>按日主映射另判</x:v>
      </x:c>
      <x:c r="L75" s="68" t="str">
        <x:v>可支持火类格神或为木势提供出口</x:v>
      </x:c>
      <x:c r="M75" s="68" t="str">
        <x:v>连接木→火→土</x:v>
      </x:c>
      <x:c r="N75" s="68" t="str">
        <x:v>升温、化寒湿</x:v>
      </x:c>
      <x:c r="O75" s="68" t="str">
        <x:v>治疗寒凝、寒湿、木旺无泄</x:v>
      </x:c>
      <x:c r="P75" s="68" t="str">
        <x:v>暖局、推动生化、化湿并泄木</x:v>
      </x:c>
      <x:c r="Q75" s="90" t="str">
        <x:v>火过旺会热燥、耗水、克金、焦土</x:v>
      </x:c>
      <x:c r="R75" s="68" t="str">
        <x:v>偏寒/寒湿、木旺需泄或火为关键格神</x:v>
      </x:c>
      <x:c r="S75" s="68" t="str">
        <x:v>极热燥、炎上/从火外存在火过旺病，或水为关键药神</x:v>
      </x:c>
      <x:c r="T75" s="68" t="str">
        <x:v>暖局收益与热燥、耗水、克金副作用</x:v>
      </x:c>
      <x:c r="U75" s="68" t="str">
        <x:v>M18-DOSE-0067-V1.0</x:v>
      </x:c>
      <x:c r="V75" s="84" t="str">
        <x:v>条件性喜神</x:v>
      </x:c>
      <x:c r="W75" s="82" t="str">
        <x:v>条件顺位</x:v>
      </x:c>
      <x:c r="X75" s="82" t="str">
        <x:v>是</x:v>
      </x:c>
      <x:c r="Y75" s="68" t="str">
        <x:v>火量适中且不破格、不耗尽水源</x:v>
      </x:c>
      <x:c r="Z75" s="84" t="str">
        <x:v>火暖局化湿候选</x:v>
      </x:c>
      <x:c r="AA75" s="84" t="str">
        <x:v>火综合定位为“条件性喜神”，优先级为“条件顺位”。主要收益：暖局、推动生化、化湿并泄木；主要副作用：火过旺会热燥、耗水、克金、焦土；仅在火量适中且不破格、不耗尽水源时成立。</x:v>
      </x:c>
      <x:c r="AB75" s="82" t="str">
        <x:v>较高</x:v>
      </x:c>
      <x:c r="AC75" s="82" t="str">
        <x:v>现代综合</x:v>
      </x:c>
      <x:c r="AD75" s="68" t="str">
        <x:v>喜忌用神必须同时读取扶抑、格局、通关、调候和病药五个维度。单一维度有利不足以自动成为主用；最终定位取决于是否解决根本问题、是否触犯格局硬约束、药力是否可达以及副作用是否可控。</x:v>
      </x:c>
      <x:c r="AE75" s="68" t="str">
        <x:v>满足“偏寒/寒湿、木旺需泄或火为关键格神”，且主要收益大于副作用时，可按“火作为暖局、化湿和泄木之神的正向候选”定位。</x:v>
      </x:c>
      <x:c r="AF75" s="90" t="str">
        <x:v>若“极热燥、炎上/从火外存在火过旺病，或水为关键药神”成立，则不得按“火作为暖局、化湿和泄木之神的正向候选”无条件定位。</x:v>
      </x:c>
      <x:c r="AG75" s="82" t="str">
        <x:v>采用</x:v>
      </x:c>
      <x:c r="AH75" s="82" t="str">
        <x:v>初审</x:v>
      </x:c>
      <x:c r="AI75" s="87" t="n">
        <x:v>46260</x:v>
      </x:c>
    </x:row>
    <x:row r="76">
      <x:c r="A76" s="72" t="str">
        <x:f>IF(OR(C76="",D76=""),"",B76&amp;"-"&amp;UPPER(C76)&amp;"-"&amp;TEXT(D76,"0000")&amp;"-"&amp;E76)</x:f>
        <x:v>M17-WUXING-0070-V1.0</x:v>
      </x:c>
      <x:c r="B76" s="74" t="str">
        <x:v>M17</x:v>
      </x:c>
      <x:c r="C76" s="74" t="str">
        <x:v>WUXING</x:v>
      </x:c>
      <x:c r="D76" s="215" t="n">
        <x:v>70</x:v>
      </x:c>
      <x:c r="E76" s="74" t="str">
        <x:v>V1.0</x:v>
      </x:c>
      <x:c r="F76" s="68" t="str">
        <x:v>火在木土相战中可承担通关桥梁</x:v>
      </x:c>
      <x:c r="G76" s="82" t="str">
        <x:v>综合层</x:v>
      </x:c>
      <x:c r="H76" s="82" t="str">
        <x:v>火</x:v>
      </x:c>
      <x:c r="I76" s="82"/>
      <x:c r="J76" s="82" t="str">
        <x:v>通关用神</x:v>
      </x:c>
      <x:c r="K76" s="68" t="str">
        <x:v>视日主而定</x:v>
      </x:c>
      <x:c r="L76" s="68" t="str">
        <x:v>不得破坏水格或金格</x:v>
      </x:c>
      <x:c r="M76" s="68" t="str">
        <x:v>泄木并生土</x:v>
      </x:c>
      <x:c r="N76" s="68" t="str">
        <x:v>升温并可能增燥</x:v>
      </x:c>
      <x:c r="O76" s="68" t="str">
        <x:v>治疗木土两强相战</x:v>
      </x:c>
      <x:c r="P76" s="68" t="str">
        <x:v>缓解木克土并使木气有出口</x:v>
      </x:c>
      <x:c r="Q76" s="90" t="str">
        <x:v>火过旺会使土燥、耗水或形成热病</x:v>
      </x:c>
      <x:c r="R76" s="68" t="str">
        <x:v>M12确认木土双强相战且火有效</x:v>
      </x:c>
      <x:c r="S76" s="68" t="str">
        <x:v>原局已极热燥、火无根或火会根本破格</x:v>
      </x:c>
      <x:c r="T76" s="68" t="str">
        <x:v>通关与调候冲突</x:v>
      </x:c>
      <x:c r="U76" s="68" t="str">
        <x:v>M18-FLOW-0036-V1.0</x:v>
      </x:c>
      <x:c r="V76" s="84" t="str">
        <x:v>条件性喜神</x:v>
      </x:c>
      <x:c r="W76" s="82" t="str">
        <x:v>条件顺位</x:v>
      </x:c>
      <x:c r="X76" s="82" t="str">
        <x:v>是</x:v>
      </x:c>
      <x:c r="Y76" s="68" t="str">
        <x:v>火能泄木生土且不使土燥火炎</x:v>
      </x:c>
      <x:c r="Z76" s="84" t="str">
        <x:v>火通木土</x:v>
      </x:c>
      <x:c r="AA76" s="84" t="str">
        <x:v>火综合定位为“条件性喜神”，优先级为“条件顺位”。主要收益：缓解木克土并使木气有出口；主要副作用：火过旺会使土燥、耗水或形成热病；仅在火能泄木生土且不使土燥火炎时成立。</x:v>
      </x:c>
      <x:c r="AB76" s="82" t="str">
        <x:v>较高</x:v>
      </x:c>
      <x:c r="AC76" s="82" t="str">
        <x:v>现代综合</x:v>
      </x:c>
      <x:c r="AD76" s="68" t="str">
        <x:v>喜忌用神必须同时读取扶抑、格局、通关、调候和病药五个维度。单一维度有利不足以自动成为主用；最终定位取决于是否解决根本问题、是否触犯格局硬约束、药力是否可达以及副作用是否可控。</x:v>
      </x:c>
      <x:c r="AE76" s="68" t="str">
        <x:v>满足“M12确认木土双强相战且火有效”，且主要收益大于副作用时，可按“火在木土相战中可承担通关桥梁”定位。</x:v>
      </x:c>
      <x:c r="AF76" s="90" t="str">
        <x:v>若“原局已极热燥、火无根或火会根本破格”成立，则不得按“火在木土相战中可承担通关桥梁”无条件定位。</x:v>
      </x:c>
      <x:c r="AG76" s="82" t="str">
        <x:v>采用</x:v>
      </x:c>
      <x:c r="AH76" s="82" t="str">
        <x:v>初审</x:v>
      </x:c>
      <x:c r="AI76" s="87" t="n">
        <x:v>46260</x:v>
      </x:c>
    </x:row>
    <x:row r="77">
      <x:c r="A77" s="72" t="str">
        <x:f>IF(OR(C77="",D77=""),"",B77&amp;"-"&amp;UPPER(C77)&amp;"-"&amp;TEXT(D77,"0000")&amp;"-"&amp;E77)</x:f>
        <x:v>M17-WUXING-0071-V1.0</x:v>
      </x:c>
      <x:c r="B77" s="74" t="str">
        <x:v>M17</x:v>
      </x:c>
      <x:c r="C77" s="74" t="str">
        <x:v>WUXING</x:v>
      </x:c>
      <x:c r="D77" s="215" t="n">
        <x:v>71</x:v>
      </x:c>
      <x:c r="E77" s="74" t="str">
        <x:v>V1.0</x:v>
      </x:c>
      <x:c r="F77" s="68" t="str">
        <x:v>火过旺时可能成为忌神或仇神</x:v>
      </x:c>
      <x:c r="G77" s="82" t="str">
        <x:v>综合层</x:v>
      </x:c>
      <x:c r="H77" s="82" t="str">
        <x:v>火</x:v>
      </x:c>
      <x:c r="I77" s="82"/>
      <x:c r="J77" s="82" t="str">
        <x:v>复合来源</x:v>
      </x:c>
      <x:c r="K77" s="68" t="str">
        <x:v>可能加重日主或泄损木、克金</x:v>
      </x:c>
      <x:c r="L77" s="68" t="str">
        <x:v>可能破金格、水格或财官印食结构</x:v>
      </x:c>
      <x:c r="M77" s="68" t="str">
        <x:v>使桥梁、终点过热过燥</x:v>
      </x:c>
      <x:c r="N77" s="68" t="str">
        <x:v>推向极热极燥</x:v>
      </x:c>
      <x:c r="O77" s="68" t="str">
        <x:v>形成火炎、暖燥或药过成病</x:v>
      </x:c>
      <x:c r="P77" s="68" t="str">
        <x:v>仅保留必要暖局/格局功能</x:v>
      </x:c>
      <x:c r="Q77" s="90" t="str">
        <x:v>耗水、克金、土焦、木燥、格局受损</x:v>
      </x:c>
      <x:c r="R77" s="68" t="str">
        <x:v>火已旺极且新增火直接加重根本病</x:v>
      </x:c>
      <x:c r="S77" s="68" t="str">
        <x:v>炎上、从火严格成立且火为主势</x:v>
      </x:c>
      <x:c r="T77" s="68" t="str">
        <x:v>特殊格局与普通调候/旺衰冲突</x:v>
      </x:c>
      <x:c r="U77" s="68" t="str">
        <x:v>M18-SPECIAL-0011-V1.0</x:v>
      </x:c>
      <x:c r="V77" s="84" t="str">
        <x:v>忌神</x:v>
      </x:c>
      <x:c r="W77" s="82" t="str">
        <x:v>不采用</x:v>
      </x:c>
      <x:c r="X77" s="82" t="str">
        <x:v>条件性</x:v>
      </x:c>
      <x:c r="Y77" s="68" t="str">
        <x:v>若火继续生助忌神或破坏主用，则可升级为仇神</x:v>
      </x:c>
      <x:c r="Z77" s="84" t="str">
        <x:v>火旺转忌</x:v>
      </x:c>
      <x:c r="AA77" s="84" t="str">
        <x:v>火综合定位为“忌神”，优先级为“不采用”。主要收益：仅保留必要暖局/格局功能；主要副作用：耗水、克金、土焦、木燥、格局受损；仅在若火继续生助忌神或破坏主用，则可升级为仇神时成立。</x:v>
      </x:c>
      <x:c r="AB77" s="82" t="str">
        <x:v>较高</x:v>
      </x:c>
      <x:c r="AC77" s="82" t="str">
        <x:v>现代综合</x:v>
      </x:c>
      <x:c r="AD77" s="68" t="str">
        <x:v>喜忌用神必须同时读取扶抑、格局、通关、调候和病药五个维度。单一维度有利不足以自动成为主用；最终定位取决于是否解决根本问题、是否触犯格局硬约束、药力是否可达以及副作用是否可控。</x:v>
      </x:c>
      <x:c r="AE77" s="68" t="str">
        <x:v>满足“火已旺极且新增火直接加重根本病”，且主要收益大于副作用时，可按“火过旺时可能成为忌神或仇神”定位。</x:v>
      </x:c>
      <x:c r="AF77" s="90" t="str">
        <x:v>若“炎上、从火严格成立且火为主势”成立，则不得按“火过旺时可能成为忌神或仇神”无条件定位。</x:v>
      </x:c>
      <x:c r="AG77" s="82" t="str">
        <x:v>采用</x:v>
      </x:c>
      <x:c r="AH77" s="82" t="str">
        <x:v>初审</x:v>
      </x:c>
      <x:c r="AI77" s="87" t="n">
        <x:v>46260</x:v>
      </x:c>
    </x:row>
    <x:row r="78">
      <x:c r="A78" s="72" t="str">
        <x:f>IF(OR(C78="",D78=""),"",B78&amp;"-"&amp;UPPER(C78)&amp;"-"&amp;TEXT(D78,"0000")&amp;"-"&amp;E78)</x:f>
        <x:v>M17-WUXING-0072-V1.0</x:v>
      </x:c>
      <x:c r="B78" s="74" t="str">
        <x:v>M17</x:v>
      </x:c>
      <x:c r="C78" s="74" t="str">
        <x:v>WUXING</x:v>
      </x:c>
      <x:c r="D78" s="215" t="n">
        <x:v>72</x:v>
      </x:c>
      <x:c r="E78" s="74" t="str">
        <x:v>V1.0</x:v>
      </x:c>
      <x:c r="F78" s="68" t="str">
        <x:v>火弱但寒暖平衡时不因弱自动列喜</x:v>
      </x:c>
      <x:c r="G78" s="82" t="str">
        <x:v>综合层</x:v>
      </x:c>
      <x:c r="H78" s="82" t="str">
        <x:v>火</x:v>
      </x:c>
      <x:c r="I78" s="82"/>
      <x:c r="J78" s="82" t="str">
        <x:v>复合来源</x:v>
      </x:c>
      <x:c r="K78" s="68" t="str">
        <x:v>火弱事实</x:v>
      </x:c>
      <x:c r="L78" s="68" t="str">
        <x:v>非核心格神</x:v>
      </x:c>
      <x:c r="M78" s="68" t="str">
        <x:v>非主路径关键桥梁</x:v>
      </x:c>
      <x:c r="N78" s="68" t="str">
        <x:v>温度已平衡</x:v>
      </x:c>
      <x:c r="O78" s="68" t="str">
        <x:v>M16未立火弱或寒凝病</x:v>
      </x:c>
      <x:c r="P78" s="68" t="str">
        <x:v>无明确主问题可治</x:v>
      </x:c>
      <x:c r="Q78" s="90" t="str">
        <x:v>补火可能制造热燥、耗水或克金</x:v>
      </x:c>
      <x:c r="R78" s="68" t="str">
        <x:v>火弱但双轴平衡、流通格局正常</x:v>
      </x:c>
      <x:c r="S78" s="68" t="str">
        <x:v>火为核心药神、格神或不可替代桥梁</x:v>
      </x:c>
      <x:c r="T78" s="68" t="str">
        <x:v>无</x:v>
      </x:c>
      <x:c r="U78" s="68"/>
      <x:c r="V78" s="84" t="str">
        <x:v>中性</x:v>
      </x:c>
      <x:c r="W78" s="82" t="str">
        <x:v>不采用</x:v>
      </x:c>
      <x:c r="X78" s="82" t="str">
        <x:v>否</x:v>
      </x:c>
      <x:c r="Y78" s="68" t="str">
        <x:v>火弱不等于需要火</x:v>
      </x:c>
      <x:c r="Z78" s="84" t="str">
        <x:v>火弱非自动喜</x:v>
      </x:c>
      <x:c r="AA78" s="84" t="str">
        <x:v>火综合定位为“中性”，优先级为“不采用”。主要收益：无明确主问题可治；主要副作用：补火可能制造热燥、耗水或克金；火弱不等于需要火。</x:v>
      </x:c>
      <x:c r="AB78" s="82" t="str">
        <x:v>较高</x:v>
      </x:c>
      <x:c r="AC78" s="82" t="str">
        <x:v>现代综合</x:v>
      </x:c>
      <x:c r="AD78" s="68" t="str">
        <x:v>喜忌用神必须同时读取扶抑、格局、通关、调候和病药五个维度。单一维度有利不足以自动成为主用；最终定位取决于是否解决根本问题、是否触犯格局硬约束、药力是否可达以及副作用是否可控。</x:v>
      </x:c>
      <x:c r="AE78" s="68" t="str">
        <x:v>满足“火弱但双轴平衡、流通格局正常”，且主要收益大于副作用时，可按“火弱但寒暖平衡时不因弱自动列喜”定位。</x:v>
      </x:c>
      <x:c r="AF78" s="90" t="str">
        <x:v>若“火为核心药神、格神或不可替代桥梁”成立，则不得按“火弱但寒暖平衡时不因弱自动列喜”无条件定位。</x:v>
      </x:c>
      <x:c r="AG78" s="82" t="str">
        <x:v>采用</x:v>
      </x:c>
      <x:c r="AH78" s="82" t="str">
        <x:v>初审</x:v>
      </x:c>
      <x:c r="AI78" s="87" t="n">
        <x:v>46260</x:v>
      </x:c>
    </x:row>
    <x:row r="79">
      <x:c r="A79" s="72" t="str">
        <x:f>IF(OR(C79="",D79=""),"",B79&amp;"-"&amp;UPPER(C79)&amp;"-"&amp;TEXT(D79,"0000")&amp;"-"&amp;E79)</x:f>
        <x:v>M17-WUXING-0073-V1.0</x:v>
      </x:c>
      <x:c r="B79" s="74" t="str">
        <x:v>M17</x:v>
      </x:c>
      <x:c r="C79" s="74" t="str">
        <x:v>WUXING</x:v>
      </x:c>
      <x:c r="D79" s="215" t="n">
        <x:v>73</x:v>
      </x:c>
      <x:c r="E79" s="74" t="str">
        <x:v>V1.0</x:v>
      </x:c>
      <x:c r="F79" s="68" t="str">
        <x:v>土作为承载、制水和生金之神的正向候选</x:v>
      </x:c>
      <x:c r="G79" s="82" t="str">
        <x:v>综合层</x:v>
      </x:c>
      <x:c r="H79" s="82" t="str">
        <x:v>土</x:v>
      </x:c>
      <x:c r="I79" s="82"/>
      <x:c r="J79" s="82" t="str">
        <x:v>复合来源</x:v>
      </x:c>
      <x:c r="K79" s="68" t="str">
        <x:v>按日主映射另判</x:v>
      </x:c>
      <x:c r="L79" s="68" t="str">
        <x:v>可保护土类格神或承接火势</x:v>
      </x:c>
      <x:c r="M79" s="68" t="str">
        <x:v>连接火→土→金，提供终点承载</x:v>
      </x:c>
      <x:c r="N79" s="68" t="str">
        <x:v>适度土可调湿，但湿燥属性须分辨</x:v>
      </x:c>
      <x:c r="O79" s="68" t="str">
        <x:v>治疗终点无承载、火金相战或水湿过量</x:v>
      </x:c>
      <x:c r="P79" s="68" t="str">
        <x:v>承载、稳定、制水并生金</x:v>
      </x:c>
      <x:c r="Q79" s="90" t="str">
        <x:v>土过旺会克水、埋金、晦火、湿滞或燥烈</x:v>
      </x:c>
      <x:c r="R79" s="68" t="str">
        <x:v>需要承载水火、通火金或适度节水</x:v>
      </x:c>
      <x:c r="S79" s="68" t="str">
        <x:v>土已旺、湿土壅塞、燥土成病或水为核心药神</x:v>
      </x:c>
      <x:c r="T79" s="68" t="str">
        <x:v>承载收益与克水埋金副作用</x:v>
      </x:c>
      <x:c r="U79" s="68" t="str">
        <x:v>M18-DOSE-0067-V1.0</x:v>
      </x:c>
      <x:c r="V79" s="84" t="str">
        <x:v>条件性喜神</x:v>
      </x:c>
      <x:c r="W79" s="82" t="str">
        <x:v>条件顺位</x:v>
      </x:c>
      <x:c r="X79" s="82" t="str">
        <x:v>是</x:v>
      </x:c>
      <x:c r="Y79" s="68" t="str">
        <x:v>必须区分湿土/燥土并控制土量</x:v>
      </x:c>
      <x:c r="Z79" s="84" t="str">
        <x:v>土承载候选</x:v>
      </x:c>
      <x:c r="AA79" s="84" t="str">
        <x:v>土综合定位为“条件性喜神”，优先级为“条件顺位”。主要收益：承载、稳定、制水并生金；主要副作用：土过旺会克水、埋金、晦火、湿滞或燥烈；仅在必须区分湿土/燥土并控制土量时成立。</x:v>
      </x:c>
      <x:c r="AB79" s="82" t="str">
        <x:v>较高</x:v>
      </x:c>
      <x:c r="AC79" s="82" t="str">
        <x:v>现代综合</x:v>
      </x:c>
      <x:c r="AD79" s="68" t="str">
        <x:v>喜忌用神必须同时读取扶抑、格局、通关、调候和病药五个维度。单一维度有利不足以自动成为主用；最终定位取决于是否解决根本问题、是否触犯格局硬约束、药力是否可达以及副作用是否可控。</x:v>
      </x:c>
      <x:c r="AE79" s="68" t="str">
        <x:v>满足“需要承载水火、通火金或适度节水”，且主要收益大于副作用时，可按“土作为承载、制水和生金之神的正向候选”定位。</x:v>
      </x:c>
      <x:c r="AF79" s="90" t="str">
        <x:v>若“土已旺、湿土壅塞、燥土成病或水为核心药神”成立，则不得按“土作为承载、制水和生金之神的正向候选”无条件定位。</x:v>
      </x:c>
      <x:c r="AG79" s="82" t="str">
        <x:v>采用</x:v>
      </x:c>
      <x:c r="AH79" s="82" t="str">
        <x:v>初审</x:v>
      </x:c>
      <x:c r="AI79" s="87" t="n">
        <x:v>46260</x:v>
      </x:c>
    </x:row>
    <x:row r="80">
      <x:c r="A80" s="72" t="str">
        <x:f>IF(OR(C80="",D80=""),"",B80&amp;"-"&amp;UPPER(C80)&amp;"-"&amp;TEXT(D80,"0000")&amp;"-"&amp;E80)</x:f>
        <x:v>M17-WUXING-0074-V1.0</x:v>
      </x:c>
      <x:c r="B80" s="74" t="str">
        <x:v>M17</x:v>
      </x:c>
      <x:c r="C80" s="74" t="str">
        <x:v>WUXING</x:v>
      </x:c>
      <x:c r="D80" s="215" t="n">
        <x:v>74</x:v>
      </x:c>
      <x:c r="E80" s="74" t="str">
        <x:v>V1.0</x:v>
      </x:c>
      <x:c r="F80" s="68" t="str">
        <x:v>土在火金相战中可承担通关桥梁</x:v>
      </x:c>
      <x:c r="G80" s="82" t="str">
        <x:v>综合层</x:v>
      </x:c>
      <x:c r="H80" s="82" t="str">
        <x:v>土</x:v>
      </x:c>
      <x:c r="I80" s="82"/>
      <x:c r="J80" s="82" t="str">
        <x:v>通关用神</x:v>
      </x:c>
      <x:c r="K80" s="68" t="str">
        <x:v>视日主而定</x:v>
      </x:c>
      <x:c r="L80" s="68" t="str">
        <x:v>不得破坏水格或木格</x:v>
      </x:c>
      <x:c r="M80" s="68" t="str">
        <x:v>泄火并生金</x:v>
      </x:c>
      <x:c r="N80" s="68" t="str">
        <x:v>可能增湿或增燥，取决于土性</x:v>
      </x:c>
      <x:c r="O80" s="68" t="str">
        <x:v>治疗火金两强相战</x:v>
      </x:c>
      <x:c r="P80" s="68" t="str">
        <x:v>缓解火克金并提供中介承载</x:v>
      </x:c>
      <x:c r="Q80" s="90" t="str">
        <x:v>土过旺会埋金、克水或形成土壅</x:v>
      </x:c>
      <x:c r="R80" s="68" t="str">
        <x:v>M12确认火金双强相战且土有效</x:v>
      </x:c>
      <x:c r="S80" s="68" t="str">
        <x:v>土无根、土已过旺或土会根本破坏水木格局</x:v>
      </x:c>
      <x:c r="T80" s="68" t="str">
        <x:v>通关与水路/调候冲突</x:v>
      </x:c>
      <x:c r="U80" s="68" t="str">
        <x:v>M18-FLOW-0036-V1.0</x:v>
      </x:c>
      <x:c r="V80" s="84" t="str">
        <x:v>条件性喜神</x:v>
      </x:c>
      <x:c r="W80" s="82" t="str">
        <x:v>条件顺位</x:v>
      </x:c>
      <x:c r="X80" s="82" t="str">
        <x:v>是</x:v>
      </x:c>
      <x:c r="Y80" s="68" t="str">
        <x:v>土能泄火生金且不埋金克水过度</x:v>
      </x:c>
      <x:c r="Z80" s="84" t="str">
        <x:v>土通火金</x:v>
      </x:c>
      <x:c r="AA80" s="84" t="str">
        <x:v>土综合定位为“条件性喜神”，优先级为“条件顺位”。主要收益：缓解火克金并提供中介承载；主要副作用：土过旺会埋金、克水或形成土壅；仅在土能泄火生金且不埋金克水过度时成立。</x:v>
      </x:c>
      <x:c r="AB80" s="82" t="str">
        <x:v>较高</x:v>
      </x:c>
      <x:c r="AC80" s="82" t="str">
        <x:v>现代综合</x:v>
      </x:c>
      <x:c r="AD80" s="68" t="str">
        <x:v>喜忌用神必须同时读取扶抑、格局、通关、调候和病药五个维度。单一维度有利不足以自动成为主用；最终定位取决于是否解决根本问题、是否触犯格局硬约束、药力是否可达以及副作用是否可控。</x:v>
      </x:c>
      <x:c r="AE80" s="68" t="str">
        <x:v>满足“M12确认火金双强相战且土有效”，且主要收益大于副作用时，可按“土在火金相战中可承担通关桥梁”定位。</x:v>
      </x:c>
      <x:c r="AF80" s="90" t="str">
        <x:v>若“土无根、土已过旺或土会根本破坏水木格局”成立，则不得按“土在火金相战中可承担通关桥梁”无条件定位。</x:v>
      </x:c>
      <x:c r="AG80" s="82" t="str">
        <x:v>采用</x:v>
      </x:c>
      <x:c r="AH80" s="82" t="str">
        <x:v>初审</x:v>
      </x:c>
      <x:c r="AI80" s="87" t="n">
        <x:v>46260</x:v>
      </x:c>
    </x:row>
    <x:row r="81">
      <x:c r="A81" s="72" t="str">
        <x:f>IF(OR(C81="",D81=""),"",B81&amp;"-"&amp;UPPER(C81)&amp;"-"&amp;TEXT(D81,"0000")&amp;"-"&amp;E81)</x:f>
        <x:v>M17-WUXING-0075-V1.0</x:v>
      </x:c>
      <x:c r="B81" s="74" t="str">
        <x:v>M17</x:v>
      </x:c>
      <x:c r="C81" s="74" t="str">
        <x:v>WUXING</x:v>
      </x:c>
      <x:c r="D81" s="215" t="n">
        <x:v>75</x:v>
      </x:c>
      <x:c r="E81" s="74" t="str">
        <x:v>V1.0</x:v>
      </x:c>
      <x:c r="F81" s="68" t="str">
        <x:v>土过旺时可能转为忌神</x:v>
      </x:c>
      <x:c r="G81" s="82" t="str">
        <x:v>综合层</x:v>
      </x:c>
      <x:c r="H81" s="82" t="str">
        <x:v>土</x:v>
      </x:c>
      <x:c r="I81" s="82"/>
      <x:c r="J81" s="82" t="str">
        <x:v>复合来源</x:v>
      </x:c>
      <x:c r="K81" s="68" t="str">
        <x:v>可能加重土日主或耗泄火、制水</x:v>
      </x:c>
      <x:c r="L81" s="68" t="str">
        <x:v>可能破水格、木格、埋金或晦火</x:v>
      </x:c>
      <x:c r="M81" s="68" t="str">
        <x:v>阻断水路、造成桥梁或终点壅塞</x:v>
      </x:c>
      <x:c r="N81" s="68" t="str">
        <x:v>湿土增湿、燥土增燥</x:v>
      </x:c>
      <x:c r="O81" s="68" t="str">
        <x:v>形成土重壅塞、克水、埋金或调候病</x:v>
      </x:c>
      <x:c r="P81" s="68" t="str">
        <x:v>仅保留必要承载功能</x:v>
      </x:c>
      <x:c r="Q81" s="90" t="str">
        <x:v>水路受阻、金被埋、木受克、火被晦</x:v>
      </x:c>
      <x:c r="R81" s="68" t="str">
        <x:v>土旺极且新增土加重根本病</x:v>
      </x:c>
      <x:c r="S81" s="68" t="str">
        <x:v>稼穑、从土或专旺严格成立</x:v>
      </x:c>
      <x:c r="T81" s="68" t="str">
        <x:v>特殊格局与普通流通/调候冲突</x:v>
      </x:c>
      <x:c r="U81" s="68" t="str">
        <x:v>M18-SPECIAL-0012-V1.0</x:v>
      </x:c>
      <x:c r="V81" s="84" t="str">
        <x:v>忌神</x:v>
      </x:c>
      <x:c r="W81" s="82" t="str">
        <x:v>不采用</x:v>
      </x:c>
      <x:c r="X81" s="82" t="str">
        <x:v>条件性</x:v>
      </x:c>
      <x:c r="Y81" s="68" t="str">
        <x:v>继续增土会直接加重主病或破主用</x:v>
      </x:c>
      <x:c r="Z81" s="84" t="str">
        <x:v>土旺转忌</x:v>
      </x:c>
      <x:c r="AA81" s="84" t="str">
        <x:v>土综合定位为“忌神”，优先级为“不采用”。主要收益：仅保留必要承载功能；主要副作用：水路受阻、金被埋、木受克、火被晦；仅在继续增土会直接加重主病或破主用时成立。</x:v>
      </x:c>
      <x:c r="AB81" s="82" t="str">
        <x:v>较高</x:v>
      </x:c>
      <x:c r="AC81" s="82" t="str">
        <x:v>现代综合</x:v>
      </x:c>
      <x:c r="AD81" s="68" t="str">
        <x:v>喜忌用神必须同时读取扶抑、格局、通关、调候和病药五个维度。单一维度有利不足以自动成为主用；最终定位取决于是否解决根本问题、是否触犯格局硬约束、药力是否可达以及副作用是否可控。</x:v>
      </x:c>
      <x:c r="AE81" s="68" t="str">
        <x:v>满足“土旺极且新增土加重根本病”，且主要收益大于副作用时，可按“土过旺时可能转为忌神”定位。</x:v>
      </x:c>
      <x:c r="AF81" s="90" t="str">
        <x:v>若“稼穑、从土或专旺严格成立”成立，则不得按“土过旺时可能转为忌神”无条件定位。</x:v>
      </x:c>
      <x:c r="AG81" s="82" t="str">
        <x:v>采用</x:v>
      </x:c>
      <x:c r="AH81" s="82" t="str">
        <x:v>初审</x:v>
      </x:c>
      <x:c r="AI81" s="87" t="n">
        <x:v>46260</x:v>
      </x:c>
    </x:row>
    <x:row r="82">
      <x:c r="A82" s="72" t="str">
        <x:f>IF(OR(C82="",D82=""),"",B82&amp;"-"&amp;UPPER(C82)&amp;"-"&amp;TEXT(D82,"0000")&amp;"-"&amp;E82)</x:f>
        <x:v>M17-WUXING-0076-V1.0</x:v>
      </x:c>
      <x:c r="B82" s="74" t="str">
        <x:v>M17</x:v>
      </x:c>
      <x:c r="C82" s="74" t="str">
        <x:v>WUXING</x:v>
      </x:c>
      <x:c r="D82" s="215" t="n">
        <x:v>76</x:v>
      </x:c>
      <x:c r="E82" s="74" t="str">
        <x:v>V1.0</x:v>
      </x:c>
      <x:c r="F82" s="68" t="str">
        <x:v>土的喜忌必须区分湿土与燥土功能</x:v>
      </x:c>
      <x:c r="G82" s="82" t="str">
        <x:v>综合层</x:v>
      </x:c>
      <x:c r="H82" s="82" t="str">
        <x:v>土</x:v>
      </x:c>
      <x:c r="I82" s="82"/>
      <x:c r="J82" s="82" t="str">
        <x:v>复合来源</x:v>
      </x:c>
      <x:c r="K82" s="68" t="str">
        <x:v>同为土但有效状态不同</x:v>
      </x:c>
      <x:c r="L82" s="68" t="str">
        <x:v>格神土性需结合月令和全局</x:v>
      </x:c>
      <x:c r="M82" s="68" t="str">
        <x:v>湿土可滞水晦火，燥土可吸湿但加燥</x:v>
      </x:c>
      <x:c r="N82" s="68" t="str">
        <x:v>湿土增湿、燥土增燥</x:v>
      </x:c>
      <x:c r="O82" s="68" t="str">
        <x:v>同一土不能统一作为燥湿药</x:v>
      </x:c>
      <x:c r="P82" s="68" t="str">
        <x:v>精确选择承载、化湿或润燥方向</x:v>
      </x:c>
      <x:c r="Q82" s="90" t="str">
        <x:v>忽略土性会用药相反</x:v>
      </x:c>
      <x:c r="R82" s="68" t="str">
        <x:v>候选土涉及调候或流通功能</x:v>
      </x:c>
      <x:c r="S82" s="68" t="str">
        <x:v>只凭辰丑未戌标签，不审全局有效状态</x:v>
      </x:c>
      <x:c r="T82" s="68" t="str">
        <x:v>土性与调候方向</x:v>
      </x:c>
      <x:c r="U82" s="68" t="str">
        <x:v>M18-CLIMATE-0028-V1.0</x:v>
      </x:c>
      <x:c r="V82" s="84" t="str">
        <x:v>待定</x:v>
      </x:c>
      <x:c r="W82" s="82" t="str">
        <x:v>待定</x:v>
      </x:c>
      <x:c r="X82" s="82" t="str">
        <x:v>待定</x:v>
      </x:c>
      <x:c r="Y82" s="68" t="str">
        <x:v>先由M13确认实际湿燥属性再定位</x:v>
      </x:c>
      <x:c r="Z82" s="84" t="str">
        <x:v>土性分型定位</x:v>
      </x:c>
      <x:c r="AA82" s="84" t="str">
        <x:v>土综合定位为“待定”，优先级为“待定”。主要收益：精确选择承载、化湿或润燥方向；主要副作用：忽略土性会用药相反；先由M13确认实际湿燥属性再定位。</x:v>
      </x:c>
      <x:c r="AB82" s="82" t="str">
        <x:v>中等</x:v>
      </x:c>
      <x:c r="AC82" s="82" t="str">
        <x:v>现代综合</x:v>
      </x:c>
      <x:c r="AD82" s="68" t="str">
        <x:v>喜忌用神必须同时读取扶抑、格局、通关、调候和病药五个维度。单一维度有利不足以自动成为主用；最终定位取决于是否解决根本问题、是否触犯格局硬约束、药力是否可达以及副作用是否可控。</x:v>
      </x:c>
      <x:c r="AE82" s="68" t="str">
        <x:v>满足“候选土涉及调候或流通功能”，且主要收益大于副作用时，可按“土的喜忌必须区分湿土与燥土功能”定位。</x:v>
      </x:c>
      <x:c r="AF82" s="90" t="str">
        <x:v>若“只凭辰丑未戌标签，不审全局有效状态”成立，则不得按“土的喜忌必须区分湿土与燥土功能”无条件定位。</x:v>
      </x:c>
      <x:c r="AG82" s="82" t="str">
        <x:v>待验证</x:v>
      </x:c>
      <x:c r="AH82" s="82" t="str">
        <x:v>初审</x:v>
      </x:c>
      <x:c r="AI82" s="87" t="n">
        <x:v>46260</x:v>
      </x:c>
    </x:row>
    <x:row r="83">
      <x:c r="A83" s="72" t="str">
        <x:f>IF(OR(C83="",D83=""),"",B83&amp;"-"&amp;UPPER(C83)&amp;"-"&amp;TEXT(D83,"0000")&amp;"-"&amp;E83)</x:f>
        <x:v>M17-WUXING-0077-V1.0</x:v>
      </x:c>
      <x:c r="B83" s="74" t="str">
        <x:v>M17</x:v>
      </x:c>
      <x:c r="C83" s="74" t="str">
        <x:v>WUXING</x:v>
      </x:c>
      <x:c r="D83" s="215" t="n">
        <x:v>77</x:v>
      </x:c>
      <x:c r="E83" s="74" t="str">
        <x:v>V1.0</x:v>
      </x:c>
      <x:c r="F83" s="68" t="str">
        <x:v>金作为生水、制木与泄土之神的正向候选</x:v>
      </x:c>
      <x:c r="G83" s="82" t="str">
        <x:v>综合层</x:v>
      </x:c>
      <x:c r="H83" s="82" t="str">
        <x:v>金</x:v>
      </x:c>
      <x:c r="I83" s="82"/>
      <x:c r="J83" s="82" t="str">
        <x:v>复合来源</x:v>
      </x:c>
      <x:c r="K83" s="68" t="str">
        <x:v>按日主映射另判</x:v>
      </x:c>
      <x:c r="L83" s="68" t="str">
        <x:v>可保护金类格神或为土势提供出口</x:v>
      </x:c>
      <x:c r="M83" s="68" t="str">
        <x:v>连接土→金→水，或制约过旺木势</x:v>
      </x:c>
      <x:c r="N83" s="68" t="str">
        <x:v>可生水润燥但也可能增凉</x:v>
      </x:c>
      <x:c r="O83" s="68" t="str">
        <x:v>治疗水无源、土旺无泄或木旺克土</x:v>
      </x:c>
      <x:c r="P83" s="68" t="str">
        <x:v>生水、泄土、制木并建立土水桥梁</x:v>
      </x:c>
      <x:c r="Q83" s="90" t="str">
        <x:v>金过旺克木、助水寒、伤火或形成金木相战</x:v>
      </x:c>
      <x:c r="R83" s="68" t="str">
        <x:v>水需生源、土旺需泄或木旺需适度制约</x:v>
      </x:c>
      <x:c r="S83" s="68" t="str">
        <x:v>木为核心格神不可伤、原局极寒或金已旺</x:v>
      </x:c>
      <x:c r="T83" s="68" t="str">
        <x:v>生水泄土收益与克木增寒副作用</x:v>
      </x:c>
      <x:c r="U83" s="68" t="str">
        <x:v>M18-DOSE-0067-V1.0</x:v>
      </x:c>
      <x:c r="V83" s="84" t="str">
        <x:v>条件性喜神</x:v>
      </x:c>
      <x:c r="W83" s="82" t="str">
        <x:v>条件顺位</x:v>
      </x:c>
      <x:c r="X83" s="82" t="str">
        <x:v>是</x:v>
      </x:c>
      <x:c r="Y83" s="68" t="str">
        <x:v>金有根有源且不重克木、不加重寒局</x:v>
      </x:c>
      <x:c r="Z83" s="84" t="str">
        <x:v>金生水泄土候选</x:v>
      </x:c>
      <x:c r="AA83" s="84" t="str">
        <x:v>金综合定位为“条件性喜神”，优先级为“条件顺位”。主要收益：生水、泄土、制木并建立土水桥梁；主要副作用：金过旺克木、助水寒、伤火或形成金木相战；仅在金有根有源且不重克木、不加重寒局时成立。</x:v>
      </x:c>
      <x:c r="AB83" s="82" t="str">
        <x:v>较高</x:v>
      </x:c>
      <x:c r="AC83" s="82" t="str">
        <x:v>现代综合</x:v>
      </x:c>
      <x:c r="AD83" s="68" t="str">
        <x:v>喜忌用神必须同时读取扶抑、格局、通关、调候和病药五个维度。单一维度有利不足以自动成为主用；最终定位取决于是否解决根本问题、是否触犯格局硬约束、药力是否可达以及副作用是否可控。</x:v>
      </x:c>
      <x:c r="AE83" s="68" t="str">
        <x:v>满足“水需生源、土旺需泄或木旺需适度制约”，且主要收益大于副作用时，可按“金作为生水、制木与泄土之神的正向候选”定位。</x:v>
      </x:c>
      <x:c r="AF83" s="90" t="str">
        <x:v>若“木为核心格神不可伤、原局极寒或金已旺”成立，则不得按“金作为生水、制木与泄土之神的正向候选”无条件定位。</x:v>
      </x:c>
      <x:c r="AG83" s="82" t="str">
        <x:v>采用</x:v>
      </x:c>
      <x:c r="AH83" s="82" t="str">
        <x:v>初审</x:v>
      </x:c>
      <x:c r="AI83" s="87" t="n">
        <x:v>46260</x:v>
      </x:c>
    </x:row>
    <x:row r="84">
      <x:c r="A84" s="72" t="str">
        <x:f>IF(OR(C84="",D84=""),"",B84&amp;"-"&amp;UPPER(C84)&amp;"-"&amp;TEXT(D84,"0000")&amp;"-"&amp;E84)</x:f>
        <x:v>M17-WUXING-0078-V1.0</x:v>
      </x:c>
      <x:c r="B84" s="74" t="str">
        <x:v>M17</x:v>
      </x:c>
      <x:c r="C84" s="74" t="str">
        <x:v>WUXING</x:v>
      </x:c>
      <x:c r="D84" s="215" t="n">
        <x:v>78</x:v>
      </x:c>
      <x:c r="E84" s="74" t="str">
        <x:v>V1.0</x:v>
      </x:c>
      <x:c r="F84" s="68" t="str">
        <x:v>金在土水相战中可承担通关桥梁</x:v>
      </x:c>
      <x:c r="G84" s="82" t="str">
        <x:v>综合层</x:v>
      </x:c>
      <x:c r="H84" s="82" t="str">
        <x:v>金</x:v>
      </x:c>
      <x:c r="I84" s="82"/>
      <x:c r="J84" s="82" t="str">
        <x:v>通关用神</x:v>
      </x:c>
      <x:c r="K84" s="68" t="str">
        <x:v>视日主而定</x:v>
      </x:c>
      <x:c r="L84" s="68" t="str">
        <x:v>不得破坏木格或火格</x:v>
      </x:c>
      <x:c r="M84" s="68" t="str">
        <x:v>泄土并生水</x:v>
      </x:c>
      <x:c r="N84" s="68" t="str">
        <x:v>可能增寒、增水湿</x:v>
      </x:c>
      <x:c r="O84" s="68" t="str">
        <x:v>治疗土水两强相战</x:v>
      </x:c>
      <x:c r="P84" s="68" t="str">
        <x:v>缓解土克水并使土气有出口</x:v>
      </x:c>
      <x:c r="Q84" s="90" t="str">
        <x:v>金过旺克木、助水过度或受火重制</x:v>
      </x:c>
      <x:c r="R84" s="68" t="str">
        <x:v>M12确认土水双强相战且金有效</x:v>
      </x:c>
      <x:c r="S84" s="68" t="str">
        <x:v>原局极寒湿、金无根或金会根本破格</x:v>
      </x:c>
      <x:c r="T84" s="68" t="str">
        <x:v>通关与调候/木格冲突</x:v>
      </x:c>
      <x:c r="U84" s="68" t="str">
        <x:v>M18-FLOW-0035-V1.0</x:v>
      </x:c>
      <x:c r="V84" s="84" t="str">
        <x:v>条件性喜神</x:v>
      </x:c>
      <x:c r="W84" s="82" t="str">
        <x:v>条件顺位</x:v>
      </x:c>
      <x:c r="X84" s="82" t="str">
        <x:v>是</x:v>
      </x:c>
      <x:c r="Y84" s="68" t="str">
        <x:v>金能泄土生水且不使水寒湿过度</x:v>
      </x:c>
      <x:c r="Z84" s="84" t="str">
        <x:v>金通土水</x:v>
      </x:c>
      <x:c r="AA84" s="84" t="str">
        <x:v>金综合定位为“条件性喜神”，优先级为“条件顺位”。主要收益：缓解土克水并使土气有出口；主要副作用：金过旺克木、助水过度或受火重制；仅在金能泄土生水且不使水寒湿过度时成立。</x:v>
      </x:c>
      <x:c r="AB84" s="82" t="str">
        <x:v>较高</x:v>
      </x:c>
      <x:c r="AC84" s="82" t="str">
        <x:v>现代综合</x:v>
      </x:c>
      <x:c r="AD84" s="68" t="str">
        <x:v>喜忌用神必须同时读取扶抑、格局、通关、调候和病药五个维度。单一维度有利不足以自动成为主用；最终定位取决于是否解决根本问题、是否触犯格局硬约束、药力是否可达以及副作用是否可控。</x:v>
      </x:c>
      <x:c r="AE84" s="68" t="str">
        <x:v>满足“M12确认土水双强相战且金有效”，且主要收益大于副作用时，可按“金在土水相战中可承担通关桥梁”定位。</x:v>
      </x:c>
      <x:c r="AF84" s="90" t="str">
        <x:v>若“原局极寒湿、金无根或金会根本破格”成立，则不得按“金在土水相战中可承担通关桥梁”无条件定位。</x:v>
      </x:c>
      <x:c r="AG84" s="82" t="str">
        <x:v>采用</x:v>
      </x:c>
      <x:c r="AH84" s="82" t="str">
        <x:v>初审</x:v>
      </x:c>
      <x:c r="AI84" s="87" t="n">
        <x:v>46260</x:v>
      </x:c>
    </x:row>
    <x:row r="85">
      <x:c r="A85" s="72" t="str">
        <x:f>IF(OR(C85="",D85=""),"",B85&amp;"-"&amp;UPPER(C85)&amp;"-"&amp;TEXT(D85,"0000")&amp;"-"&amp;E85)</x:f>
        <x:v>M17-WUXING-0079-V1.0</x:v>
      </x:c>
      <x:c r="B85" s="74" t="str">
        <x:v>M17</x:v>
      </x:c>
      <x:c r="C85" s="74" t="str">
        <x:v>WUXING</x:v>
      </x:c>
      <x:c r="D85" s="215" t="n">
        <x:v>79</x:v>
      </x:c>
      <x:c r="E85" s="74" t="str">
        <x:v>V1.0</x:v>
      </x:c>
      <x:c r="F85" s="68" t="str">
        <x:v>金过旺时可能转为忌神</x:v>
      </x:c>
      <x:c r="G85" s="82" t="str">
        <x:v>综合层</x:v>
      </x:c>
      <x:c r="H85" s="82" t="str">
        <x:v>金</x:v>
      </x:c>
      <x:c r="I85" s="82"/>
      <x:c r="J85" s="82" t="str">
        <x:v>复合来源</x:v>
      </x:c>
      <x:c r="K85" s="68" t="str">
        <x:v>可能加重金日主或克木</x:v>
      </x:c>
      <x:c r="L85" s="68" t="str">
        <x:v>可能破木格、食伤财官链或伤火</x:v>
      </x:c>
      <x:c r="M85" s="68" t="str">
        <x:v>使水端过旺或形成金木持续对战</x:v>
      </x:c>
      <x:c r="N85" s="68" t="str">
        <x:v>可能加重秋凉寒燥</x:v>
      </x:c>
      <x:c r="O85" s="68" t="str">
        <x:v>形成金旺克木、助水寒或格局病</x:v>
      </x:c>
      <x:c r="P85" s="68" t="str">
        <x:v>仅保留必要制木、生水功能</x:v>
      </x:c>
      <x:c r="Q85" s="90" t="str">
        <x:v>木受损、火受耗、水过旺、金木相战</x:v>
      </x:c>
      <x:c r="R85" s="68" t="str">
        <x:v>金已旺极且新增金加重根本病</x:v>
      </x:c>
      <x:c r="S85" s="68" t="str">
        <x:v>从革、从金或专旺严格成立</x:v>
      </x:c>
      <x:c r="T85" s="68" t="str">
        <x:v>特殊格局与普通调候/流通冲突</x:v>
      </x:c>
      <x:c r="U85" s="68" t="str">
        <x:v>M18-SPECIAL-0011-V1.0</x:v>
      </x:c>
      <x:c r="V85" s="84" t="str">
        <x:v>忌神</x:v>
      </x:c>
      <x:c r="W85" s="82" t="str">
        <x:v>不采用</x:v>
      </x:c>
      <x:c r="X85" s="82" t="str">
        <x:v>条件性</x:v>
      </x:c>
      <x:c r="Y85" s="68" t="str">
        <x:v>继续增金会克关键木、助忌水或破格</x:v>
      </x:c>
      <x:c r="Z85" s="84" t="str">
        <x:v>金旺转忌</x:v>
      </x:c>
      <x:c r="AA85" s="84" t="str">
        <x:v>金综合定位为“忌神”，优先级为“不采用”。主要收益：仅保留必要制木、生水功能；主要副作用：木受损、火受耗、水过旺、金木相战；仅在继续增金会克关键木、助忌水或破格时成立。</x:v>
      </x:c>
      <x:c r="AB85" s="82" t="str">
        <x:v>较高</x:v>
      </x:c>
      <x:c r="AC85" s="82" t="str">
        <x:v>现代综合</x:v>
      </x:c>
      <x:c r="AD85" s="68" t="str">
        <x:v>喜忌用神必须同时读取扶抑、格局、通关、调候和病药五个维度。单一维度有利不足以自动成为主用；最终定位取决于是否解决根本问题、是否触犯格局硬约束、药力是否可达以及副作用是否可控。</x:v>
      </x:c>
      <x:c r="AE85" s="68" t="str">
        <x:v>满足“金已旺极且新增金加重根本病”，且主要收益大于副作用时，可按“金过旺时可能转为忌神”定位。</x:v>
      </x:c>
      <x:c r="AF85" s="90" t="str">
        <x:v>若“从革、从金或专旺严格成立”成立，则不得按“金过旺时可能转为忌神”无条件定位。</x:v>
      </x:c>
      <x:c r="AG85" s="82" t="str">
        <x:v>采用</x:v>
      </x:c>
      <x:c r="AH85" s="82" t="str">
        <x:v>初审</x:v>
      </x:c>
      <x:c r="AI85" s="87" t="n">
        <x:v>46260</x:v>
      </x:c>
    </x:row>
    <x:row r="86">
      <x:c r="A86" s="72" t="str">
        <x:f>IF(OR(C86="",D86=""),"",B86&amp;"-"&amp;UPPER(C86)&amp;"-"&amp;TEXT(D86,"0000")&amp;"-"&amp;E86)</x:f>
        <x:v>M17-WUXING-0080-V1.0</x:v>
      </x:c>
      <x:c r="B86" s="74" t="str">
        <x:v>M17</x:v>
      </x:c>
      <x:c r="C86" s="74" t="str">
        <x:v>WUXING</x:v>
      </x:c>
      <x:c r="D86" s="215" t="n">
        <x:v>80</x:v>
      </x:c>
      <x:c r="E86" s="74" t="str">
        <x:v>V1.0</x:v>
      </x:c>
      <x:c r="F86" s="68" t="str">
        <x:v>金弱但不承担生水通关或格神功能时不自动列喜</x:v>
      </x:c>
      <x:c r="G86" s="82" t="str">
        <x:v>综合层</x:v>
      </x:c>
      <x:c r="H86" s="82" t="str">
        <x:v>金</x:v>
      </x:c>
      <x:c r="I86" s="82"/>
      <x:c r="J86" s="82" t="str">
        <x:v>复合来源</x:v>
      </x:c>
      <x:c r="K86" s="68" t="str">
        <x:v>金弱事实</x:v>
      </x:c>
      <x:c r="L86" s="68" t="str">
        <x:v>非核心格神</x:v>
      </x:c>
      <x:c r="M86" s="68" t="str">
        <x:v>非土水主桥梁</x:v>
      </x:c>
      <x:c r="N86" s="68" t="str">
        <x:v>非润燥水源</x:v>
      </x:c>
      <x:c r="O86" s="68" t="str">
        <x:v>M16未立金弱病</x:v>
      </x:c>
      <x:c r="P86" s="68" t="str">
        <x:v>无明确主问题可治</x:v>
      </x:c>
      <x:c r="Q86" s="90" t="str">
        <x:v>补金可能克木、助水寒或伤火</x:v>
      </x:c>
      <x:c r="R86" s="68" t="str">
        <x:v>金弱但流通、格局、调候正常</x:v>
      </x:c>
      <x:c r="S86" s="68" t="str">
        <x:v>金为关键桥梁、格神或水药生源</x:v>
      </x:c>
      <x:c r="T86" s="68" t="str">
        <x:v>无</x:v>
      </x:c>
      <x:c r="U86" s="68"/>
      <x:c r="V86" s="84" t="str">
        <x:v>中性</x:v>
      </x:c>
      <x:c r="W86" s="82" t="str">
        <x:v>不采用</x:v>
      </x:c>
      <x:c r="X86" s="82" t="str">
        <x:v>否</x:v>
      </x:c>
      <x:c r="Y86" s="68" t="str">
        <x:v>金弱不等于喜金</x:v>
      </x:c>
      <x:c r="Z86" s="84" t="str">
        <x:v>金弱非自动喜</x:v>
      </x:c>
      <x:c r="AA86" s="84" t="str">
        <x:v>金综合定位为“中性”，优先级为“不采用”。主要收益：无明确主问题可治；主要副作用：补金可能克木、助水寒或伤火；金弱不等于喜金。</x:v>
      </x:c>
      <x:c r="AB86" s="82" t="str">
        <x:v>较高</x:v>
      </x:c>
      <x:c r="AC86" s="82" t="str">
        <x:v>现代综合</x:v>
      </x:c>
      <x:c r="AD86" s="68" t="str">
        <x:v>喜忌用神必须同时读取扶抑、格局、通关、调候和病药五个维度。单一维度有利不足以自动成为主用；最终定位取决于是否解决根本问题、是否触犯格局硬约束、药力是否可达以及副作用是否可控。</x:v>
      </x:c>
      <x:c r="AE86" s="68" t="str">
        <x:v>满足“金弱但流通、格局、调候正常”，且主要收益大于副作用时，可按“金弱但不承担生水通关或格神功能时不自动列喜”定位。</x:v>
      </x:c>
      <x:c r="AF86" s="90" t="str">
        <x:v>若“金为关键桥梁、格神或水药生源”成立，则不得按“金弱但不承担生水通关或格神功能时不自动列喜”无条件定位。</x:v>
      </x:c>
      <x:c r="AG86" s="82" t="str">
        <x:v>采用</x:v>
      </x:c>
      <x:c r="AH86" s="82" t="str">
        <x:v>初审</x:v>
      </x:c>
      <x:c r="AI86" s="87" t="n">
        <x:v>46260</x:v>
      </x:c>
    </x:row>
    <x:row r="87">
      <x:c r="A87" s="72" t="str">
        <x:f>IF(OR(C87="",D87=""),"",B87&amp;"-"&amp;UPPER(C87)&amp;"-"&amp;TEXT(D87,"0000")&amp;"-"&amp;E87)</x:f>
        <x:v>M17-WUXING-0081-V1.0</x:v>
      </x:c>
      <x:c r="B87" s="74" t="str">
        <x:v>M17</x:v>
      </x:c>
      <x:c r="C87" s="74" t="str">
        <x:v>WUXING</x:v>
      </x:c>
      <x:c r="D87" s="215" t="n">
        <x:v>81</x:v>
      </x:c>
      <x:c r="E87" s="74" t="str">
        <x:v>V1.0</x:v>
      </x:c>
      <x:c r="F87" s="68" t="str">
        <x:v>水作为润燥、降温、生木与泄金之神的正向候选</x:v>
      </x:c>
      <x:c r="G87" s="82" t="str">
        <x:v>综合层</x:v>
      </x:c>
      <x:c r="H87" s="82" t="str">
        <x:v>水</x:v>
      </x:c>
      <x:c r="I87" s="82"/>
      <x:c r="J87" s="82" t="str">
        <x:v>复合来源</x:v>
      </x:c>
      <x:c r="K87" s="68" t="str">
        <x:v>按日主映射另判</x:v>
      </x:c>
      <x:c r="L87" s="68" t="str">
        <x:v>可保护水类格神或为金势提供出口</x:v>
      </x:c>
      <x:c r="M87" s="68" t="str">
        <x:v>连接金→水→木</x:v>
      </x:c>
      <x:c r="N87" s="68" t="str">
        <x:v>降温、润燥、增湿</x:v>
      </x:c>
      <x:c r="O87" s="68" t="str">
        <x:v>治疗热燥、金木相战或木无源</x:v>
      </x:c>
      <x:c r="P87" s="68" t="str">
        <x:v>润燥、降热、生木并泄金</x:v>
      </x:c>
      <x:c r="Q87" s="90" t="str">
        <x:v>水过旺会寒湿、灭火、冲土或形成水火相战</x:v>
      </x:c>
      <x:c r="R87" s="68" t="str">
        <x:v>偏热燥、木需生源、金旺需泄或金木需通关</x:v>
      </x:c>
      <x:c r="S87" s="68" t="str">
        <x:v>极寒湿、水已旺、火为核心格神或土水冲突加剧</x:v>
      </x:c>
      <x:c r="T87" s="68" t="str">
        <x:v>润燥生木收益与寒湿灭火副作用</x:v>
      </x:c>
      <x:c r="U87" s="68" t="str">
        <x:v>M18-DOSE-0067-V1.0</x:v>
      </x:c>
      <x:c r="V87" s="84" t="str">
        <x:v>条件性喜神</x:v>
      </x:c>
      <x:c r="W87" s="82" t="str">
        <x:v>条件顺位</x:v>
      </x:c>
      <x:c r="X87" s="82" t="str">
        <x:v>是</x:v>
      </x:c>
      <x:c r="Y87" s="68" t="str">
        <x:v>水有根有源、适量且不破火土格局</x:v>
      </x:c>
      <x:c r="Z87" s="84" t="str">
        <x:v>水润燥生木候选</x:v>
      </x:c>
      <x:c r="AA87" s="84" t="str">
        <x:v>水综合定位为“条件性喜神”，优先级为“条件顺位”。主要收益：润燥、降热、生木并泄金；主要副作用：水过旺会寒湿、灭火、冲土或形成水火相战；仅在水有根有源、适量且不破火土格局时成立。</x:v>
      </x:c>
      <x:c r="AB87" s="82" t="str">
        <x:v>较高</x:v>
      </x:c>
      <x:c r="AC87" s="82" t="str">
        <x:v>现代综合</x:v>
      </x:c>
      <x:c r="AD87" s="68" t="str">
        <x:v>喜忌用神必须同时读取扶抑、格局、通关、调候和病药五个维度。单一维度有利不足以自动成为主用；最终定位取决于是否解决根本问题、是否触犯格局硬约束、药力是否可达以及副作用是否可控。</x:v>
      </x:c>
      <x:c r="AE87" s="68" t="str">
        <x:v>满足“偏热燥、木需生源、金旺需泄或金木需通关”，且主要收益大于副作用时，可按“水作为润燥、降温、生木与泄金之神的正向候选”定位。</x:v>
      </x:c>
      <x:c r="AF87" s="90" t="str">
        <x:v>若“极寒湿、水已旺、火为核心格神或土水冲突加剧”成立，则不得按“水作为润燥、降温、生木与泄金之神的正向候选”无条件定位。</x:v>
      </x:c>
      <x:c r="AG87" s="82" t="str">
        <x:v>采用</x:v>
      </x:c>
      <x:c r="AH87" s="82" t="str">
        <x:v>初审</x:v>
      </x:c>
      <x:c r="AI87" s="87" t="n">
        <x:v>46260</x:v>
      </x:c>
    </x:row>
    <x:row r="88">
      <x:c r="A88" s="72" t="str">
        <x:f>IF(OR(C88="",D88=""),"",B88&amp;"-"&amp;UPPER(C88)&amp;"-"&amp;TEXT(D88,"0000")&amp;"-"&amp;E88)</x:f>
        <x:v>M17-WUXING-0082-V1.0</x:v>
      </x:c>
      <x:c r="B88" s="74" t="str">
        <x:v>M17</x:v>
      </x:c>
      <x:c r="C88" s="74" t="str">
        <x:v>WUXING</x:v>
      </x:c>
      <x:c r="D88" s="215" t="n">
        <x:v>82</x:v>
      </x:c>
      <x:c r="E88" s="74" t="str">
        <x:v>V1.0</x:v>
      </x:c>
      <x:c r="F88" s="68" t="str">
        <x:v>水在金木相战中可承担通关桥梁</x:v>
      </x:c>
      <x:c r="G88" s="82" t="str">
        <x:v>综合层</x:v>
      </x:c>
      <x:c r="H88" s="82" t="str">
        <x:v>水</x:v>
      </x:c>
      <x:c r="I88" s="82"/>
      <x:c r="J88" s="82" t="str">
        <x:v>通关用神</x:v>
      </x:c>
      <x:c r="K88" s="68" t="str">
        <x:v>视日主而定</x:v>
      </x:c>
      <x:c r="L88" s="68" t="str">
        <x:v>不得破坏火格或土格</x:v>
      </x:c>
      <x:c r="M88" s="68" t="str">
        <x:v>泄金并生木</x:v>
      </x:c>
      <x:c r="N88" s="68" t="str">
        <x:v>可能降温增湿</x:v>
      </x:c>
      <x:c r="O88" s="68" t="str">
        <x:v>治疗金木两强相战</x:v>
      </x:c>
      <x:c r="P88" s="68" t="str">
        <x:v>缓解金克木并为木提供生源</x:v>
      </x:c>
      <x:c r="Q88" s="90" t="str">
        <x:v>水过旺寒湿、灭火或克土</x:v>
      </x:c>
      <x:c r="R88" s="68" t="str">
        <x:v>M12确认金木双强相战且水有效</x:v>
      </x:c>
      <x:c r="S88" s="68" t="str">
        <x:v>原局极寒湿、水无根或水会根本破格</x:v>
      </x:c>
      <x:c r="T88" s="68" t="str">
        <x:v>通关与调候/火土格冲突</x:v>
      </x:c>
      <x:c r="U88" s="68" t="str">
        <x:v>M18-FLOW-0035-V1.0</x:v>
      </x:c>
      <x:c r="V88" s="84" t="str">
        <x:v>条件性喜神</x:v>
      </x:c>
      <x:c r="W88" s="82" t="str">
        <x:v>条件顺位</x:v>
      </x:c>
      <x:c r="X88" s="82" t="str">
        <x:v>是</x:v>
      </x:c>
      <x:c r="Y88" s="68" t="str">
        <x:v>水能泄金生木且不使全局寒湿</x:v>
      </x:c>
      <x:c r="Z88" s="84" t="str">
        <x:v>水通金木</x:v>
      </x:c>
      <x:c r="AA88" s="84" t="str">
        <x:v>水综合定位为“条件性喜神”，优先级为“条件顺位”。主要收益：缓解金克木并为木提供生源；主要副作用：水过旺寒湿、灭火或克土；仅在水能泄金生木且不使全局寒湿时成立。</x:v>
      </x:c>
      <x:c r="AB88" s="82" t="str">
        <x:v>较高</x:v>
      </x:c>
      <x:c r="AC88" s="82" t="str">
        <x:v>现代综合</x:v>
      </x:c>
      <x:c r="AD88" s="68" t="str">
        <x:v>喜忌用神必须同时读取扶抑、格局、通关、调候和病药五个维度。单一维度有利不足以自动成为主用；最终定位取决于是否解决根本问题、是否触犯格局硬约束、药力是否可达以及副作用是否可控。</x:v>
      </x:c>
      <x:c r="AE88" s="68" t="str">
        <x:v>满足“M12确认金木双强相战且水有效”，且主要收益大于副作用时，可按“水在金木相战中可承担通关桥梁”定位。</x:v>
      </x:c>
      <x:c r="AF88" s="90" t="str">
        <x:v>若“原局极寒湿、水无根或水会根本破格”成立，则不得按“水在金木相战中可承担通关桥梁”无条件定位。</x:v>
      </x:c>
      <x:c r="AG88" s="82" t="str">
        <x:v>采用</x:v>
      </x:c>
      <x:c r="AH88" s="82" t="str">
        <x:v>初审</x:v>
      </x:c>
      <x:c r="AI88" s="87" t="n">
        <x:v>46260</x:v>
      </x:c>
    </x:row>
    <x:row r="89">
      <x:c r="A89" s="72" t="str">
        <x:f>IF(OR(C89="",D89=""),"",B89&amp;"-"&amp;UPPER(C89)&amp;"-"&amp;TEXT(D89,"0000")&amp;"-"&amp;E89)</x:f>
        <x:v>M17-WUXING-0083-V1.0</x:v>
      </x:c>
      <x:c r="B89" s="74" t="str">
        <x:v>M17</x:v>
      </x:c>
      <x:c r="C89" s="74" t="str">
        <x:v>WUXING</x:v>
      </x:c>
      <x:c r="D89" s="215" t="n">
        <x:v>83</x:v>
      </x:c>
      <x:c r="E89" s="74" t="str">
        <x:v>V1.0</x:v>
      </x:c>
      <x:c r="F89" s="68" t="str">
        <x:v>水过旺时可能转为忌神</x:v>
      </x:c>
      <x:c r="G89" s="82" t="str">
        <x:v>综合层</x:v>
      </x:c>
      <x:c r="H89" s="82" t="str">
        <x:v>水</x:v>
      </x:c>
      <x:c r="I89" s="82"/>
      <x:c r="J89" s="82" t="str">
        <x:v>复合来源</x:v>
      </x:c>
      <x:c r="K89" s="68" t="str">
        <x:v>可能加重水日主或印比食财官一方</x:v>
      </x:c>
      <x:c r="L89" s="68" t="str">
        <x:v>可能破火格、土格或使木势过旺</x:v>
      </x:c>
      <x:c r="M89" s="68" t="str">
        <x:v>形成源头过旺、终点湿滞或水火相战</x:v>
      </x:c>
      <x:c r="N89" s="68" t="str">
        <x:v>推向极寒极湿</x:v>
      </x:c>
      <x:c r="O89" s="68" t="str">
        <x:v>形成寒湿、水旺无泄、灭火或克土病</x:v>
      </x:c>
      <x:c r="P89" s="68" t="str">
        <x:v>仅保留必要润燥、生木、通关功能</x:v>
      </x:c>
      <x:c r="Q89" s="90" t="str">
        <x:v>寒凝、湿滞、火熄、土受克、木漂</x:v>
      </x:c>
      <x:c r="R89" s="68" t="str">
        <x:v>水已旺极且新增水加重根本病</x:v>
      </x:c>
      <x:c r="S89" s="68" t="str">
        <x:v>润下、从水或专旺严格成立</x:v>
      </x:c>
      <x:c r="T89" s="68" t="str">
        <x:v>特殊格局与普通调候/流通冲突</x:v>
      </x:c>
      <x:c r="U89" s="68" t="str">
        <x:v>M18-SPECIAL-0011-V1.0</x:v>
      </x:c>
      <x:c r="V89" s="84" t="str">
        <x:v>忌神</x:v>
      </x:c>
      <x:c r="W89" s="82" t="str">
        <x:v>不采用</x:v>
      </x:c>
      <x:c r="X89" s="82" t="str">
        <x:v>条件性</x:v>
      </x:c>
      <x:c r="Y89" s="68" t="str">
        <x:v>继续增水会加重寒湿或破火土主轴</x:v>
      </x:c>
      <x:c r="Z89" s="84" t="str">
        <x:v>水旺转忌</x:v>
      </x:c>
      <x:c r="AA89" s="84" t="str">
        <x:v>水综合定位为“忌神”，优先级为“不采用”。主要收益：仅保留必要润燥、生木、通关功能；主要副作用：寒凝、湿滞、火熄、土受克、木漂；仅在继续增水会加重寒湿或破火土主轴时成立。</x:v>
      </x:c>
      <x:c r="AB89" s="82" t="str">
        <x:v>较高</x:v>
      </x:c>
      <x:c r="AC89" s="82" t="str">
        <x:v>现代综合</x:v>
      </x:c>
      <x:c r="AD89" s="68" t="str">
        <x:v>喜忌用神必须同时读取扶抑、格局、通关、调候和病药五个维度。单一维度有利不足以自动成为主用；最终定位取决于是否解决根本问题、是否触犯格局硬约束、药力是否可达以及副作用是否可控。</x:v>
      </x:c>
      <x:c r="AE89" s="68" t="str">
        <x:v>满足“水已旺极且新增水加重根本病”，且主要收益大于副作用时，可按“水过旺时可能转为忌神”定位。</x:v>
      </x:c>
      <x:c r="AF89" s="90" t="str">
        <x:v>若“润下、从水或专旺严格成立”成立，则不得按“水过旺时可能转为忌神”无条件定位。</x:v>
      </x:c>
      <x:c r="AG89" s="82" t="str">
        <x:v>采用</x:v>
      </x:c>
      <x:c r="AH89" s="82" t="str">
        <x:v>初审</x:v>
      </x:c>
      <x:c r="AI89" s="87" t="n">
        <x:v>46260</x:v>
      </x:c>
    </x:row>
    <x:row r="90">
      <x:c r="A90" s="72" t="str">
        <x:f>IF(OR(C90="",D90=""),"",B90&amp;"-"&amp;UPPER(C90)&amp;"-"&amp;TEXT(D90,"0000")&amp;"-"&amp;E90)</x:f>
        <x:v>M17-WUXING-0084-V1.0</x:v>
      </x:c>
      <x:c r="B90" s="74" t="str">
        <x:v>M17</x:v>
      </x:c>
      <x:c r="C90" s="74" t="str">
        <x:v>WUXING</x:v>
      </x:c>
      <x:c r="D90" s="215" t="n">
        <x:v>84</x:v>
      </x:c>
      <x:c r="E90" s="74" t="str">
        <x:v>V1.0</x:v>
      </x:c>
      <x:c r="F90" s="68" t="str">
        <x:v>水弱但双轴不燥且非关键生源时不自动列喜</x:v>
      </x:c>
      <x:c r="G90" s="82" t="str">
        <x:v>综合层</x:v>
      </x:c>
      <x:c r="H90" s="82" t="str">
        <x:v>水</x:v>
      </x:c>
      <x:c r="I90" s="82"/>
      <x:c r="J90" s="82" t="str">
        <x:v>复合来源</x:v>
      </x:c>
      <x:c r="K90" s="68" t="str">
        <x:v>水弱事实</x:v>
      </x:c>
      <x:c r="L90" s="68" t="str">
        <x:v>非核心格神</x:v>
      </x:c>
      <x:c r="M90" s="68" t="str">
        <x:v>非金木桥梁或木的必要生源</x:v>
      </x:c>
      <x:c r="N90" s="68" t="str">
        <x:v>湿度与温度已平衡</x:v>
      </x:c>
      <x:c r="O90" s="68" t="str">
        <x:v>M16未立水弱、燥枯或热病</x:v>
      </x:c>
      <x:c r="P90" s="68" t="str">
        <x:v>无明确主问题可治</x:v>
      </x:c>
      <x:c r="Q90" s="90" t="str">
        <x:v>补水可能寒湿、灭火、克土</x:v>
      </x:c>
      <x:c r="R90" s="68" t="str">
        <x:v>水弱但无燥热、流通与格局功能缺口</x:v>
      </x:c>
      <x:c r="S90" s="68" t="str">
        <x:v>水为核心调候药、通关桥梁或格神</x:v>
      </x:c>
      <x:c r="T90" s="68" t="str">
        <x:v>无</x:v>
      </x:c>
      <x:c r="U90" s="68"/>
      <x:c r="V90" s="84" t="str">
        <x:v>中性</x:v>
      </x:c>
      <x:c r="W90" s="82" t="str">
        <x:v>不采用</x:v>
      </x:c>
      <x:c r="X90" s="82" t="str">
        <x:v>否</x:v>
      </x:c>
      <x:c r="Y90" s="68" t="str">
        <x:v>水弱不等于喜水</x:v>
      </x:c>
      <x:c r="Z90" s="84" t="str">
        <x:v>水弱非自动喜</x:v>
      </x:c>
      <x:c r="AA90" s="84" t="str">
        <x:v>水综合定位为“中性”，优先级为“不采用”。主要收益：无明确主问题可治；主要副作用：补水可能寒湿、灭火、克土；水弱不等于喜水。</x:v>
      </x:c>
      <x:c r="AB90" s="82" t="str">
        <x:v>较高</x:v>
      </x:c>
      <x:c r="AC90" s="82" t="str">
        <x:v>现代综合</x:v>
      </x:c>
      <x:c r="AD90" s="68" t="str">
        <x:v>喜忌用神必须同时读取扶抑、格局、通关、调候和病药五个维度。单一维度有利不足以自动成为主用；最终定位取决于是否解决根本问题、是否触犯格局硬约束、药力是否可达以及副作用是否可控。</x:v>
      </x:c>
      <x:c r="AE90" s="68" t="str">
        <x:v>满足“水弱但无燥热、流通与格局功能缺口”，且主要收益大于副作用时，可按“水弱但双轴不燥且非关键生源时不自动列喜”定位。</x:v>
      </x:c>
      <x:c r="AF90" s="90" t="str">
        <x:v>若“水为核心调候药、通关桥梁或格神”成立，则不得按“水弱但双轴不燥且非关键生源时不自动列喜”无条件定位。</x:v>
      </x:c>
      <x:c r="AG90" s="82" t="str">
        <x:v>采用</x:v>
      </x:c>
      <x:c r="AH90" s="82" t="str">
        <x:v>初审</x:v>
      </x:c>
      <x:c r="AI90" s="87" t="n">
        <x:v>46260</x:v>
      </x:c>
    </x:row>
    <x:row r="91">
      <x:c r="A91" s="72" t="str">
        <x:f>IF(OR(C91="",D91=""),"",B91&amp;"-"&amp;UPPER(C91)&amp;"-"&amp;TEXT(D91,"0000")&amp;"-"&amp;E91)</x:f>
        <x:v>M17-RANK-0085-V1.0</x:v>
      </x:c>
      <x:c r="B91" s="74" t="str">
        <x:v>M17</x:v>
      </x:c>
      <x:c r="C91" s="74" t="str">
        <x:v>RANK</x:v>
      </x:c>
      <x:c r="D91" s="215" t="n">
        <x:v>85</x:v>
      </x:c>
      <x:c r="E91" s="74" t="str">
        <x:v>V1.0</x:v>
      </x:c>
      <x:c r="F91" s="68" t="str">
        <x:v>主用神必须解决根本主病或维护最高优先级硬约束</x:v>
      </x:c>
      <x:c r="G91" s="82" t="str">
        <x:v>综合层</x:v>
      </x:c>
      <x:c r="H91" s="82"/>
      <x:c r="I91" s="82"/>
      <x:c r="J91" s="82" t="str">
        <x:v>复合来源</x:v>
      </x:c>
      <x:c r="K91" s="68" t="str">
        <x:v>至少不产生决定性承载损害</x:v>
      </x:c>
      <x:c r="L91" s="68" t="str">
        <x:v>维护核心格局或不触犯格局硬约束</x:v>
      </x:c>
      <x:c r="M91" s="68" t="str">
        <x:v>能够直接修复主路径或不妨碍主路径</x:v>
      </x:c>
      <x:c r="N91" s="68" t="str">
        <x:v>不制造更严重调候病</x:v>
      </x:c>
      <x:c r="O91" s="68" t="str">
        <x:v>直接治疗根本主病或承担不可替代主药</x:v>
      </x:c>
      <x:c r="P91" s="68" t="str">
        <x:v>决定全局主要矛盾能否被修复</x:v>
      </x:c>
      <x:c r="Q91" s="90" t="str">
        <x:v>允许有可控次级副作用，但不得有硬否决</x:v>
      </x:c>
      <x:c r="R91" s="68" t="str">
        <x:v>解决根本主病、核心格局或特殊格局硬约束，且药力有效</x:v>
      </x:c>
      <x:c r="S91" s="68" t="str">
        <x:v>只解决次病、单一维度有利或存在更高优先级硬冲突</x:v>
      </x:c>
      <x:c r="T91" s="68" t="str">
        <x:v>最终主用需M18确认无硬否决</x:v>
      </x:c>
      <x:c r="U91" s="68" t="str">
        <x:v>M18-RANK-0069-V1.0</x:v>
      </x:c>
      <x:c r="V91" s="84" t="str">
        <x:v>主用神</x:v>
      </x:c>
      <x:c r="W91" s="82" t="str">
        <x:v>第一顺位</x:v>
      </x:c>
      <x:c r="X91" s="82" t="str">
        <x:v>条件性</x:v>
      </x:c>
      <x:c r="Y91" s="68" t="str">
        <x:v>必须说明主用解决的根本问题、作用路径与副作用控制</x:v>
      </x:c>
      <x:c r="Z91" s="84" t="str">
        <x:v>主用神定义</x:v>
      </x:c>
      <x:c r="AA91" s="84" t="str">
        <x:v>该候选五行综合定位为“主用神”，优先级为“第一顺位”。主要收益：决定全局主要矛盾能否被修复；主要副作用：允许有可控次级副作用，但不得有硬否决；仅在必须说明主用解决的根本问题、作用路径与副作用控制时成立。</x:v>
      </x:c>
      <x:c r="AB91" s="82" t="str">
        <x:v>较高</x:v>
      </x:c>
      <x:c r="AC91" s="82" t="str">
        <x:v>现代综合</x:v>
      </x:c>
      <x:c r="AD91" s="68" t="str">
        <x:v>喜忌用神必须同时读取扶抑、格局、通关、调候和病药五个维度。单一维度有利不足以自动成为主用；最终定位取决于是否解决根本问题、是否触犯格局硬约束、药力是否可达以及副作用是否可控。</x:v>
      </x:c>
      <x:c r="AE91" s="68" t="str">
        <x:v>满足“解决根本主病、核心格局或特殊格局硬约束，且药力有效”，且主要收益大于副作用时，可按“主用神必须解决根本主病或维护最高优先级硬约束”定位。</x:v>
      </x:c>
      <x:c r="AF91" s="90" t="str">
        <x:v>若“只解决次病、单一维度有利或存在更高优先级硬冲突”成立，则不得按“主用神必须解决根本主病或维护最高优先级硬约束”无条件定位。</x:v>
      </x:c>
      <x:c r="AG91" s="82" t="str">
        <x:v>采用</x:v>
      </x:c>
      <x:c r="AH91" s="82" t="str">
        <x:v>初审</x:v>
      </x:c>
      <x:c r="AI91" s="87" t="n">
        <x:v>46260</x:v>
      </x:c>
    </x:row>
    <x:row r="92">
      <x:c r="A92" s="72" t="str">
        <x:f>IF(OR(C92="",D92=""),"",B92&amp;"-"&amp;UPPER(C92)&amp;"-"&amp;TEXT(D92,"0000")&amp;"-"&amp;E92)</x:f>
        <x:v>M17-RANK-0086-V1.0</x:v>
      </x:c>
      <x:c r="B92" s="74" t="str">
        <x:v>M17</x:v>
      </x:c>
      <x:c r="C92" s="74" t="str">
        <x:v>RANK</x:v>
      </x:c>
      <x:c r="D92" s="215" t="n">
        <x:v>86</x:v>
      </x:c>
      <x:c r="E92" s="74" t="str">
        <x:v>V1.0</x:v>
      </x:c>
      <x:c r="F92" s="68" t="str">
        <x:v>辅助用神必须服务主用或修复次级关键环节</x:v>
      </x:c>
      <x:c r="G92" s="82" t="str">
        <x:v>综合层</x:v>
      </x:c>
      <x:c r="H92" s="82"/>
      <x:c r="I92" s="82"/>
      <x:c r="J92" s="82" t="str">
        <x:v>复合来源</x:v>
      </x:c>
      <x:c r="K92" s="68" t="str">
        <x:v>可补充主用承载</x:v>
      </x:c>
      <x:c r="L92" s="68" t="str">
        <x:v>可护格或保护主用</x:v>
      </x:c>
      <x:c r="M92" s="68" t="str">
        <x:v>补桥、护根或建立终点承载</x:v>
      </x:c>
      <x:c r="N92" s="68" t="str">
        <x:v>控制主用的寒热燥湿副作用</x:v>
      </x:c>
      <x:c r="O92" s="68" t="str">
        <x:v>增强主药、保护主药或治疗次病</x:v>
      </x:c>
      <x:c r="P92" s="68" t="str">
        <x:v>使主用能够稳定发挥</x:v>
      </x:c>
      <x:c r="Q92" s="90" t="str">
        <x:v>辅助过强可能反客为主或制造新病</x:v>
      </x:c>
      <x:c r="R92" s="68" t="str">
        <x:v>主用已明确，辅助神与主用存在直接协同路径</x:v>
      </x:c>
      <x:c r="S92" s="68" t="str">
        <x:v>与主用无关、争夺同一节点或副作用大于协同收益</x:v>
      </x:c>
      <x:c r="T92" s="68" t="str">
        <x:v>主辅容量和路线协同</x:v>
      </x:c>
      <x:c r="U92" s="68" t="str">
        <x:v>M18-RANK-0070-V1.0</x:v>
      </x:c>
      <x:c r="V92" s="84" t="str">
        <x:v>辅助用神</x:v>
      </x:c>
      <x:c r="W92" s="82" t="str">
        <x:v>第二顺位</x:v>
      </x:c>
      <x:c r="X92" s="82" t="str">
        <x:v>条件性</x:v>
      </x:c>
      <x:c r="Y92" s="68" t="str">
        <x:v>辅助神不得替代主用，也不得破坏主用主轴</x:v>
      </x:c>
      <x:c r="Z92" s="84" t="str">
        <x:v>辅助用神定义</x:v>
      </x:c>
      <x:c r="AA92" s="84" t="str">
        <x:v>该候选五行综合定位为“辅助用神”，优先级为“第二顺位”。主要收益：使主用能够稳定发挥；主要副作用：辅助过强可能反客为主或制造新病；仅在辅助神不得替代主用，也不得破坏主用主轴时成立。</x:v>
      </x:c>
      <x:c r="AB92" s="82" t="str">
        <x:v>较高</x:v>
      </x:c>
      <x:c r="AC92" s="82" t="str">
        <x:v>现代综合</x:v>
      </x:c>
      <x:c r="AD92" s="68" t="str">
        <x:v>喜忌用神必须同时读取扶抑、格局、通关、调候和病药五个维度。单一维度有利不足以自动成为主用；最终定位取决于是否解决根本问题、是否触犯格局硬约束、药力是否可达以及副作用是否可控。</x:v>
      </x:c>
      <x:c r="AE92" s="68" t="str">
        <x:v>满足“主用已明确，辅助神与主用存在直接协同路径”，且主要收益大于副作用时，可按“辅助用神必须服务主用或修复次级关键环节”定位。</x:v>
      </x:c>
      <x:c r="AF92" s="90" t="str">
        <x:v>若“与主用无关、争夺同一节点或副作用大于协同收益”成立，则不得按“辅助用神必须服务主用或修复次级关键环节”无条件定位。</x:v>
      </x:c>
      <x:c r="AG92" s="82" t="str">
        <x:v>采用</x:v>
      </x:c>
      <x:c r="AH92" s="82" t="str">
        <x:v>初审</x:v>
      </x:c>
      <x:c r="AI92" s="87" t="n">
        <x:v>46260</x:v>
      </x:c>
    </x:row>
    <x:row r="93">
      <x:c r="A93" s="72" t="str">
        <x:f>IF(OR(C93="",D93=""),"",B93&amp;"-"&amp;UPPER(C93)&amp;"-"&amp;TEXT(D93,"0000")&amp;"-"&amp;E93)</x:f>
        <x:v>M17-RANK-0087-V1.0</x:v>
      </x:c>
      <x:c r="B93" s="74" t="str">
        <x:v>M17</x:v>
      </x:c>
      <x:c r="C93" s="74" t="str">
        <x:v>RANK</x:v>
      </x:c>
      <x:c r="D93" s="215" t="n">
        <x:v>87</x:v>
      </x:c>
      <x:c r="E93" s="74" t="str">
        <x:v>V1.0</x:v>
      </x:c>
      <x:c r="F93" s="68" t="str">
        <x:v>喜神是净收益明确但不承担根本主药职责的五行</x:v>
      </x:c>
      <x:c r="G93" s="82" t="str">
        <x:v>综合层</x:v>
      </x:c>
      <x:c r="H93" s="82"/>
      <x:c r="I93" s="82"/>
      <x:c r="J93" s="82" t="str">
        <x:v>复合来源</x:v>
      </x:c>
      <x:c r="K93" s="68" t="str">
        <x:v>总体正向</x:v>
      </x:c>
      <x:c r="L93" s="68" t="str">
        <x:v>不伤格或有一般护格收益</x:v>
      </x:c>
      <x:c r="M93" s="68" t="str">
        <x:v>改善次级路径</x:v>
      </x:c>
      <x:c r="N93" s="68" t="str">
        <x:v>改善或不恶化调候</x:v>
      </x:c>
      <x:c r="O93" s="68" t="str">
        <x:v>治疗次病或增强整体稳定性</x:v>
      </x:c>
      <x:c r="P93" s="68" t="str">
        <x:v>提高结构运行质量</x:v>
      </x:c>
      <x:c r="Q93" s="90" t="str">
        <x:v>存在但较小或可控</x:v>
      </x:c>
      <x:c r="R93" s="68" t="str">
        <x:v>至少一个重要维度正向，其他维度无严重反对</x:v>
      </x:c>
      <x:c r="S93" s="68" t="str">
        <x:v>承担根本主病主药或只在严格条件下有利</x:v>
      </x:c>
      <x:c r="T93" s="68" t="str">
        <x:v>一般净收益判断</x:v>
      </x:c>
      <x:c r="U93" s="68" t="str">
        <x:v>M18-RANK-0071-V1.0</x:v>
      </x:c>
      <x:c r="V93" s="84" t="str">
        <x:v>喜神</x:v>
      </x:c>
      <x:c r="W93" s="82" t="str">
        <x:v>第三顺位</x:v>
      </x:c>
      <x:c r="X93" s="82" t="str">
        <x:v>条件性</x:v>
      </x:c>
      <x:c r="Y93" s="68" t="str">
        <x:v>对全局有稳定正收益但不是不可替代核心</x:v>
      </x:c>
      <x:c r="Z93" s="84" t="str">
        <x:v>喜神定义</x:v>
      </x:c>
      <x:c r="AA93" s="84" t="str">
        <x:v>该候选五行综合定位为“喜神”，优先级为“第三顺位”。主要收益：提高结构运行质量；主要副作用：存在但较小或可控；仅在对全局有稳定正收益但不是不可替代核心时成立。</x:v>
      </x:c>
      <x:c r="AB93" s="82" t="str">
        <x:v>较高</x:v>
      </x:c>
      <x:c r="AC93" s="82" t="str">
        <x:v>现代综合</x:v>
      </x:c>
      <x:c r="AD93" s="68" t="str">
        <x:v>喜忌用神必须同时读取扶抑、格局、通关、调候和病药五个维度。单一维度有利不足以自动成为主用；最终定位取决于是否解决根本问题、是否触犯格局硬约束、药力是否可达以及副作用是否可控。</x:v>
      </x:c>
      <x:c r="AE93" s="68" t="str">
        <x:v>满足“至少一个重要维度正向，其他维度无严重反对”，且主要收益大于副作用时，可按“喜神是净收益明确但不承担根本主药职责的五行”定位。</x:v>
      </x:c>
      <x:c r="AF93" s="90" t="str">
        <x:v>若“承担根本主病主药或只在严格条件下有利”成立，则不得按“喜神是净收益明确但不承担根本主药职责的五行”无条件定位。</x:v>
      </x:c>
      <x:c r="AG93" s="82" t="str">
        <x:v>采用</x:v>
      </x:c>
      <x:c r="AH93" s="82" t="str">
        <x:v>初审</x:v>
      </x:c>
      <x:c r="AI93" s="87" t="n">
        <x:v>46260</x:v>
      </x:c>
    </x:row>
    <x:row r="94">
      <x:c r="A94" s="72" t="str">
        <x:f>IF(OR(C94="",D94=""),"",B94&amp;"-"&amp;UPPER(C94)&amp;"-"&amp;TEXT(D94,"0000")&amp;"-"&amp;E94)</x:f>
        <x:v>M17-RANK-0088-V1.0</x:v>
      </x:c>
      <x:c r="B94" s="74" t="str">
        <x:v>M17</x:v>
      </x:c>
      <x:c r="C94" s="74" t="str">
        <x:v>RANK</x:v>
      </x:c>
      <x:c r="D94" s="215" t="n">
        <x:v>88</x:v>
      </x:c>
      <x:c r="E94" s="74" t="str">
        <x:v>V1.0</x:v>
      </x:c>
      <x:c r="F94" s="68" t="str">
        <x:v>条件性喜神只有在限定结构和剂量下才有利</x:v>
      </x:c>
      <x:c r="G94" s="82" t="str">
        <x:v>综合层</x:v>
      </x:c>
      <x:c r="H94" s="82"/>
      <x:c r="I94" s="82"/>
      <x:c r="J94" s="82" t="str">
        <x:v>复合来源</x:v>
      </x:c>
      <x:c r="K94" s="68" t="str">
        <x:v>有利与不利并存</x:v>
      </x:c>
      <x:c r="L94" s="68" t="str">
        <x:v>可能护格也可能破格</x:v>
      </x:c>
      <x:c r="M94" s="68" t="str">
        <x:v>可能通关但需药力条件</x:v>
      </x:c>
      <x:c r="N94" s="68" t="str">
        <x:v>可能调候但需防反向病</x:v>
      </x:c>
      <x:c r="O94" s="68" t="str">
        <x:v>适量治病、过量成病</x:v>
      </x:c>
      <x:c r="P94" s="68" t="str">
        <x:v>在限定条件下解决重要问题</x:v>
      </x:c>
      <x:c r="Q94" s="90" t="str">
        <x:v>条件不满足即无效或转害</x:v>
      </x:c>
      <x:c r="R94" s="68" t="str">
        <x:v>可清楚写出成立条件、剂量边界和不适用条件</x:v>
      </x:c>
      <x:c r="S94" s="68" t="str">
        <x:v>无法控制副作用或存在硬否决</x:v>
      </x:c>
      <x:c r="T94" s="68" t="str">
        <x:v>多维条件化</x:v>
      </x:c>
      <x:c r="U94" s="68" t="str">
        <x:v>M18-RANK-0072-V1.0</x:v>
      </x:c>
      <x:c r="V94" s="84" t="str">
        <x:v>条件性喜神</x:v>
      </x:c>
      <x:c r="W94" s="82" t="str">
        <x:v>条件顺位</x:v>
      </x:c>
      <x:c r="X94" s="82" t="str">
        <x:v>是</x:v>
      </x:c>
      <x:c r="Y94" s="68" t="str">
        <x:v>必须同步输出“何时有利、何时转忌”</x:v>
      </x:c>
      <x:c r="Z94" s="84" t="str">
        <x:v>条件性喜神定义</x:v>
      </x:c>
      <x:c r="AA94" s="84" t="str">
        <x:v>该候选五行综合定位为“条件性喜神”，优先级为“条件顺位”。主要收益：在限定条件下解决重要问题；主要副作用：条件不满足即无效或转害；仅在必须同步输出“何时有利、何时转忌”时成立。</x:v>
      </x:c>
      <x:c r="AB94" s="82" t="str">
        <x:v>较高</x:v>
      </x:c>
      <x:c r="AC94" s="82" t="str">
        <x:v>现代综合</x:v>
      </x:c>
      <x:c r="AD94" s="68" t="str">
        <x:v>喜忌用神必须同时读取扶抑、格局、通关、调候和病药五个维度。单一维度有利不足以自动成为主用；最终定位取决于是否解决根本问题、是否触犯格局硬约束、药力是否可达以及副作用是否可控。</x:v>
      </x:c>
      <x:c r="AE94" s="68" t="str">
        <x:v>满足“可清楚写出成立条件、剂量边界和不适用条件”，且主要收益大于副作用时，可按“条件性喜神只有在限定结构和剂量下才有利”定位。</x:v>
      </x:c>
      <x:c r="AF94" s="90" t="str">
        <x:v>若“无法控制副作用或存在硬否决”成立，则不得按“条件性喜神只有在限定结构和剂量下才有利”无条件定位。</x:v>
      </x:c>
      <x:c r="AG94" s="82" t="str">
        <x:v>采用</x:v>
      </x:c>
      <x:c r="AH94" s="82" t="str">
        <x:v>初审</x:v>
      </x:c>
      <x:c r="AI94" s="87" t="n">
        <x:v>46260</x:v>
      </x:c>
    </x:row>
    <x:row r="95">
      <x:c r="A95" s="72" t="str">
        <x:f>IF(OR(C95="",D95=""),"",B95&amp;"-"&amp;UPPER(C95)&amp;"-"&amp;TEXT(D95,"0000")&amp;"-"&amp;E95)</x:f>
        <x:v>M17-RANK-0089-V1.0</x:v>
      </x:c>
      <x:c r="B95" s="74" t="str">
        <x:v>M17</x:v>
      </x:c>
      <x:c r="C95" s="74" t="str">
        <x:v>RANK</x:v>
      </x:c>
      <x:c r="D95" s="215" t="n">
        <x:v>89</x:v>
      </x:c>
      <x:c r="E95" s="74" t="str">
        <x:v>V1.0</x:v>
      </x:c>
      <x:c r="F95" s="68" t="str">
        <x:v>中性五行不进入主要喜忌与用神排序</x:v>
      </x:c>
      <x:c r="G95" s="82" t="str">
        <x:v>综合层</x:v>
      </x:c>
      <x:c r="H95" s="82"/>
      <x:c r="I95" s="82"/>
      <x:c r="J95" s="82" t="str">
        <x:v>复合来源</x:v>
      </x:c>
      <x:c r="K95" s="68" t="str">
        <x:v>无明显净作用</x:v>
      </x:c>
      <x:c r="L95" s="68" t="str">
        <x:v>不护格也不破格</x:v>
      </x:c>
      <x:c r="M95" s="68" t="str">
        <x:v>非关键节点</x:v>
      </x:c>
      <x:c r="N95" s="68" t="str">
        <x:v>不显著改变双轴</x:v>
      </x:c>
      <x:c r="O95" s="68" t="str">
        <x:v>不对应主病或次病</x:v>
      </x:c>
      <x:c r="P95" s="68" t="str">
        <x:v>维持现状</x:v>
      </x:c>
      <x:c r="Q95" s="90" t="str">
        <x:v>无明显结构价值</x:v>
      </x:c>
      <x:c r="R95" s="68" t="str">
        <x:v>五维净作用接近零</x:v>
      </x:c>
      <x:c r="S95" s="68" t="str">
        <x:v>任一重要维度出现明确正负作用</x:v>
      </x:c>
      <x:c r="T95" s="68" t="str">
        <x:v>无</x:v>
      </x:c>
      <x:c r="U95" s="68"/>
      <x:c r="V95" s="84" t="str">
        <x:v>中性</x:v>
      </x:c>
      <x:c r="W95" s="82" t="str">
        <x:v>不采用</x:v>
      </x:c>
      <x:c r="X95" s="82" t="str">
        <x:v>否</x:v>
      </x:c>
      <x:c r="Y95" s="68" t="str">
        <x:v>只记录存在，不纳入主要用神喜忌</x:v>
      </x:c>
      <x:c r="Z95" s="84" t="str">
        <x:v>中性定义</x:v>
      </x:c>
      <x:c r="AA95" s="84" t="str">
        <x:v>该候选五行综合定位为“中性”，优先级为“不采用”。主要收益：维持现状；主要副作用：无明显结构价值；只记录存在，不纳入主要用神喜忌。</x:v>
      </x:c>
      <x:c r="AB95" s="82" t="str">
        <x:v>较高</x:v>
      </x:c>
      <x:c r="AC95" s="82" t="str">
        <x:v>现代综合</x:v>
      </x:c>
      <x:c r="AD95" s="68" t="str">
        <x:v>喜忌用神必须同时读取扶抑、格局、通关、调候和病药五个维度。单一维度有利不足以自动成为主用；最终定位取决于是否解决根本问题、是否触犯格局硬约束、药力是否可达以及副作用是否可控。</x:v>
      </x:c>
      <x:c r="AE95" s="68" t="str">
        <x:v>满足“五维净作用接近零”，且主要收益大于副作用时，可按“中性五行不进入主要喜忌与用神排序”定位。</x:v>
      </x:c>
      <x:c r="AF95" s="90" t="str">
        <x:v>若“任一重要维度出现明确正负作用”成立，则不得按“中性五行不进入主要喜忌与用神排序”无条件定位。</x:v>
      </x:c>
      <x:c r="AG95" s="82" t="str">
        <x:v>采用</x:v>
      </x:c>
      <x:c r="AH95" s="82" t="str">
        <x:v>初审</x:v>
      </x:c>
      <x:c r="AI95" s="87" t="n">
        <x:v>46260</x:v>
      </x:c>
    </x:row>
    <x:row r="96">
      <x:c r="A96" s="72" t="str">
        <x:f>IF(OR(C96="",D96=""),"",B96&amp;"-"&amp;UPPER(C96)&amp;"-"&amp;TEXT(D96,"0000")&amp;"-"&amp;E96)</x:f>
        <x:v>M17-RANK-0090-V1.0</x:v>
      </x:c>
      <x:c r="B96" s="74" t="str">
        <x:v>M17</x:v>
      </x:c>
      <x:c r="C96" s="74" t="str">
        <x:v>RANK</x:v>
      </x:c>
      <x:c r="D96" s="215" t="n">
        <x:v>90</x:v>
      </x:c>
      <x:c r="E96" s="74" t="str">
        <x:v>V1.0</x:v>
      </x:c>
      <x:c r="F96" s="68" t="str">
        <x:v>条件性忌神在特定情况下会加重主要矛盾</x:v>
      </x:c>
      <x:c r="G96" s="82" t="str">
        <x:v>综合层</x:v>
      </x:c>
      <x:c r="H96" s="82"/>
      <x:c r="I96" s="82"/>
      <x:c r="J96" s="82" t="str">
        <x:v>复合来源</x:v>
      </x:c>
      <x:c r="K96" s="68" t="str">
        <x:v>可能正向也可能负向</x:v>
      </x:c>
      <x:c r="L96" s="68" t="str">
        <x:v>可能在特定条件下破格</x:v>
      </x:c>
      <x:c r="M96" s="68" t="str">
        <x:v>可能截流或加剧对战</x:v>
      </x:c>
      <x:c r="N96" s="68" t="str">
        <x:v>可能推向极端</x:v>
      </x:c>
      <x:c r="O96" s="68" t="str">
        <x:v>可能由药转病</x:v>
      </x:c>
      <x:c r="P96" s="68" t="str">
        <x:v>在少数结构中仍可能有局部用途</x:v>
      </x:c>
      <x:c r="Q96" s="90" t="str">
        <x:v>条件触发时加重根本病或伤主用</x:v>
      </x:c>
      <x:c r="R96" s="68" t="str">
        <x:v>负面作用依赖特定强度、位置、格局或组合条件</x:v>
      </x:c>
      <x:c r="S96" s="68" t="str">
        <x:v>该五行始终稳定为害，应直接定忌</x:v>
      </x:c>
      <x:c r="T96" s="68" t="str">
        <x:v>正负条件切换</x:v>
      </x:c>
      <x:c r="U96" s="68" t="str">
        <x:v>M18-RANK-0074-V1.0</x:v>
      </x:c>
      <x:c r="V96" s="84" t="str">
        <x:v>条件性忌神</x:v>
      </x:c>
      <x:c r="W96" s="82" t="str">
        <x:v>不采用</x:v>
      </x:c>
      <x:c r="X96" s="82" t="str">
        <x:v>是</x:v>
      </x:c>
      <x:c r="Y96" s="68" t="str">
        <x:v>必须说明触发忌性的条件以及例外用途</x:v>
      </x:c>
      <x:c r="Z96" s="84" t="str">
        <x:v>条件性忌神定义</x:v>
      </x:c>
      <x:c r="AA96" s="84" t="str">
        <x:v>该候选五行综合定位为“条件性忌神”，优先级为“不采用”。主要收益：在少数结构中仍可能有局部用途；主要副作用：条件触发时加重根本病或伤主用；仅在必须说明触发忌性的条件以及例外用途时成立。</x:v>
      </x:c>
      <x:c r="AB96" s="82" t="str">
        <x:v>较高</x:v>
      </x:c>
      <x:c r="AC96" s="82" t="str">
        <x:v>现代综合</x:v>
      </x:c>
      <x:c r="AD96" s="68" t="str">
        <x:v>喜忌用神必须同时读取扶抑、格局、通关、调候和病药五个维度。单一维度有利不足以自动成为主用；最终定位取决于是否解决根本问题、是否触犯格局硬约束、药力是否可达以及副作用是否可控。</x:v>
      </x:c>
      <x:c r="AE96" s="68" t="str">
        <x:v>满足“负面作用依赖特定强度、位置、格局或组合条件”，且主要收益大于副作用时，可按“条件性忌神在特定情况下会加重主要矛盾”定位。</x:v>
      </x:c>
      <x:c r="AF96" s="90" t="str">
        <x:v>若“该五行始终稳定为害，应直接定忌”成立，则不得按“条件性忌神在特定情况下会加重主要矛盾”无条件定位。</x:v>
      </x:c>
      <x:c r="AG96" s="82" t="str">
        <x:v>采用</x:v>
      </x:c>
      <x:c r="AH96" s="82" t="str">
        <x:v>初审</x:v>
      </x:c>
      <x:c r="AI96" s="87" t="n">
        <x:v>46260</x:v>
      </x:c>
    </x:row>
    <x:row r="97">
      <x:c r="A97" s="72" t="str">
        <x:f>IF(OR(C97="",D97=""),"",B97&amp;"-"&amp;UPPER(C97)&amp;"-"&amp;TEXT(D97,"0000")&amp;"-"&amp;E97)</x:f>
        <x:v>M17-RANK-0091-V1.0</x:v>
      </x:c>
      <x:c r="B97" s="74" t="str">
        <x:v>M17</x:v>
      </x:c>
      <x:c r="C97" s="74" t="str">
        <x:v>RANK</x:v>
      </x:c>
      <x:c r="D97" s="215" t="n">
        <x:v>91</x:v>
      </x:c>
      <x:c r="E97" s="74" t="str">
        <x:v>V1.0</x:v>
      </x:c>
      <x:c r="F97" s="68" t="str">
        <x:v>忌神是稳定加重根本病或直接破坏核心结构的五行</x:v>
      </x:c>
      <x:c r="G97" s="82" t="str">
        <x:v>综合层</x:v>
      </x:c>
      <x:c r="H97" s="82"/>
      <x:c r="I97" s="82"/>
      <x:c r="J97" s="82" t="str">
        <x:v>复合来源</x:v>
      </x:c>
      <x:c r="K97" s="68" t="str">
        <x:v>明显负向或造成承载失衡</x:v>
      </x:c>
      <x:c r="L97" s="68" t="str">
        <x:v>破格、伤格或破坏特殊主势</x:v>
      </x:c>
      <x:c r="M97" s="68" t="str">
        <x:v>阻断主路径或加剧两强相战</x:v>
      </x:c>
      <x:c r="N97" s="68" t="str">
        <x:v>加重首要调候病</x:v>
      </x:c>
      <x:c r="O97" s="68" t="str">
        <x:v>加重根本病并削弱主药</x:v>
      </x:c>
      <x:c r="P97" s="68" t="str">
        <x:v>局部收益不足以抵消主要伤害</x:v>
      </x:c>
      <x:c r="Q97" s="90" t="str">
        <x:v>稳定扩大主要矛盾</x:v>
      </x:c>
      <x:c r="R97" s="68" t="str">
        <x:v>至少一个核心维度严重负向，且无更高价值正向功能</x:v>
      </x:c>
      <x:c r="S97" s="68" t="str">
        <x:v>只在特定条件下有害或仍承担不可替代格局功能</x:v>
      </x:c>
      <x:c r="T97" s="68" t="str">
        <x:v>负向主导</x:v>
      </x:c>
      <x:c r="U97" s="68" t="str">
        <x:v>M18-RANK-0075-V1.0</x:v>
      </x:c>
      <x:c r="V97" s="84" t="str">
        <x:v>忌神</x:v>
      </x:c>
      <x:c r="W97" s="82" t="str">
        <x:v>不采用</x:v>
      </x:c>
      <x:c r="X97" s="82" t="str">
        <x:v>否</x:v>
      </x:c>
      <x:c r="Y97" s="68" t="str">
        <x:v>明确其伤害对象、作用路径和严重度</x:v>
      </x:c>
      <x:c r="Z97" s="84" t="str">
        <x:v>忌神定义</x:v>
      </x:c>
      <x:c r="AA97" s="84" t="str">
        <x:v>该候选五行综合定位为“忌神”，优先级为“不采用”。主要收益：局部收益不足以抵消主要伤害；主要副作用：稳定扩大主要矛盾；明确其伤害对象、作用路径和严重度。</x:v>
      </x:c>
      <x:c r="AB97" s="82" t="str">
        <x:v>较高</x:v>
      </x:c>
      <x:c r="AC97" s="82" t="str">
        <x:v>现代综合</x:v>
      </x:c>
      <x:c r="AD97" s="68" t="str">
        <x:v>喜忌用神必须同时读取扶抑、格局、通关、调候和病药五个维度。单一维度有利不足以自动成为主用；最终定位取决于是否解决根本问题、是否触犯格局硬约束、药力是否可达以及副作用是否可控。</x:v>
      </x:c>
      <x:c r="AE97" s="68" t="str">
        <x:v>满足“至少一个核心维度严重负向，且无更高价值正向功能”，且主要收益大于副作用时，可按“忌神是稳定加重根本病或直接破坏核心结构的五行”定位。</x:v>
      </x:c>
      <x:c r="AF97" s="90" t="str">
        <x:v>若“只在特定条件下有害或仍承担不可替代格局功能”成立，则不得按“忌神是稳定加重根本病或直接破坏核心结构的五行”无条件定位。</x:v>
      </x:c>
      <x:c r="AG97" s="82" t="str">
        <x:v>采用</x:v>
      </x:c>
      <x:c r="AH97" s="82" t="str">
        <x:v>初审</x:v>
      </x:c>
      <x:c r="AI97" s="87" t="n">
        <x:v>46260</x:v>
      </x:c>
    </x:row>
    <x:row r="98">
      <x:c r="A98" s="72" t="str">
        <x:f>IF(OR(C98="",D98=""),"",B98&amp;"-"&amp;UPPER(C98)&amp;"-"&amp;TEXT(D98,"0000")&amp;"-"&amp;E98)</x:f>
        <x:v>M17-RANK-0092-V1.0</x:v>
      </x:c>
      <x:c r="B98" s="74" t="str">
        <x:v>M17</x:v>
      </x:c>
      <x:c r="C98" s="74" t="str">
        <x:v>RANK</x:v>
      </x:c>
      <x:c r="D98" s="215" t="n">
        <x:v>92</x:v>
      </x:c>
      <x:c r="E98" s="74" t="str">
        <x:v>V1.0</x:v>
      </x:c>
      <x:c r="F98" s="68" t="str">
        <x:v>仇神是生助忌神、克制主用或破坏救应的次级有害五行</x:v>
      </x:c>
      <x:c r="G98" s="82" t="str">
        <x:v>综合层</x:v>
      </x:c>
      <x:c r="H98" s="82"/>
      <x:c r="I98" s="82"/>
      <x:c r="J98" s="82" t="str">
        <x:v>复合来源</x:v>
      </x:c>
      <x:c r="K98" s="68" t="str">
        <x:v>间接加重负荷</x:v>
      </x:c>
      <x:c r="L98" s="68" t="str">
        <x:v>帮助破格神或克制护格神</x:v>
      </x:c>
      <x:c r="M98" s="68" t="str">
        <x:v>切断主用药路或生助卡点源头</x:v>
      </x:c>
      <x:c r="N98" s="68" t="str">
        <x:v>间接加重调候病</x:v>
      </x:c>
      <x:c r="O98" s="68" t="str">
        <x:v>制主药、坏辅助药或生助根本病</x:v>
      </x:c>
      <x:c r="P98" s="68" t="str">
        <x:v>通常没有独立重要正向价值</x:v>
      </x:c>
      <x:c r="Q98" s="90" t="str">
        <x:v>强化忌神并削弱用神</x:v>
      </x:c>
      <x:c r="R98" s="68" t="str">
        <x:v>其主要净作用是生忌、克用、坏药或阻救</x:v>
      </x:c>
      <x:c r="S98" s="68" t="str">
        <x:v>自身已经是直接根本病，应定忌而非仇</x:v>
      </x:c>
      <x:c r="T98" s="68" t="str">
        <x:v>间接有害链</x:v>
      </x:c>
      <x:c r="U98" s="68" t="str">
        <x:v>M18-RANK-0076-V1.0</x:v>
      </x:c>
      <x:c r="V98" s="84" t="str">
        <x:v>仇神</x:v>
      </x:c>
      <x:c r="W98" s="82" t="str">
        <x:v>不采用</x:v>
      </x:c>
      <x:c r="X98" s="82" t="str">
        <x:v>条件性</x:v>
      </x:c>
      <x:c r="Y98" s="68" t="str">
        <x:v>必须明确其通过哪条生克链助忌伤用</x:v>
      </x:c>
      <x:c r="Z98" s="84" t="str">
        <x:v>仇神定义</x:v>
      </x:c>
      <x:c r="AA98" s="84" t="str">
        <x:v>该候选五行综合定位为“仇神”，优先级为“不采用”。主要收益：通常没有独立重要正向价值；主要副作用：强化忌神并削弱用神；仅在必须明确其通过哪条生克链助忌伤用时成立。</x:v>
      </x:c>
      <x:c r="AB98" s="82" t="str">
        <x:v>较高</x:v>
      </x:c>
      <x:c r="AC98" s="82" t="str">
        <x:v>现代综合</x:v>
      </x:c>
      <x:c r="AD98" s="68" t="str">
        <x:v>喜忌用神必须同时读取扶抑、格局、通关、调候和病药五个维度。单一维度有利不足以自动成为主用；最终定位取决于是否解决根本问题、是否触犯格局硬约束、药力是否可达以及副作用是否可控。</x:v>
      </x:c>
      <x:c r="AE98" s="68" t="str">
        <x:v>满足“其主要净作用是生忌、克用、坏药或阻救”，且主要收益大于副作用时，可按“仇神是生助忌神、克制主用或破坏救应的次级有害五行”定位。</x:v>
      </x:c>
      <x:c r="AF98" s="90" t="str">
        <x:v>若“自身已经是直接根本病，应定忌而非仇”成立，则不得按“仇神是生助忌神、克制主用或破坏救应的次级有害五行”无条件定位。</x:v>
      </x:c>
      <x:c r="AG98" s="82" t="str">
        <x:v>采用</x:v>
      </x:c>
      <x:c r="AH98" s="82" t="str">
        <x:v>初审</x:v>
      </x:c>
      <x:c r="AI98" s="87" t="n">
        <x:v>46260</x:v>
      </x:c>
    </x:row>
    <x:row r="99">
      <x:c r="A99" s="72" t="str">
        <x:f>IF(OR(C99="",D99=""),"",B99&amp;"-"&amp;UPPER(C99)&amp;"-"&amp;TEXT(D99,"0000")&amp;"-"&amp;E99)</x:f>
        <x:v>M17-BOUND-0093-V1.0</x:v>
      </x:c>
      <x:c r="B99" s="74" t="str">
        <x:v>M17</x:v>
      </x:c>
      <x:c r="C99" s="74" t="str">
        <x:v>BOUND</x:v>
      </x:c>
      <x:c r="D99" s="215" t="n">
        <x:v>93</x:v>
      </x:c>
      <x:c r="E99" s="74" t="str">
        <x:v>V1.0</x:v>
      </x:c>
      <x:c r="F99" s="68" t="str">
        <x:v>五行旺衰与喜忌定位必须分离</x:v>
      </x:c>
      <x:c r="G99" s="82" t="str">
        <x:v>综合层</x:v>
      </x:c>
      <x:c r="H99" s="82"/>
      <x:c r="I99" s="82"/>
      <x:c r="J99" s="82" t="str">
        <x:v>复合来源</x:v>
      </x:c>
      <x:c r="K99" s="68" t="str">
        <x:v>旺弱只是力量事实</x:v>
      </x:c>
      <x:c r="L99" s="68" t="str">
        <x:v>喜忌取决于格局功能</x:v>
      </x:c>
      <x:c r="M99" s="68" t="str">
        <x:v>取决于路径角色</x:v>
      </x:c>
      <x:c r="N99" s="68" t="str">
        <x:v>取决于双轴影响</x:v>
      </x:c>
      <x:c r="O99" s="68" t="str">
        <x:v>取决于是否治病或成病</x:v>
      </x:c>
      <x:c r="P99" s="68" t="str">
        <x:v>防止见旺即忌、见弱即喜</x:v>
      </x:c>
      <x:c r="Q99" s="90" t="str">
        <x:v>无</x:v>
      </x:c>
      <x:c r="R99" s="68" t="str">
        <x:v>任何五行进入M17评估</x:v>
      </x:c>
      <x:c r="S99" s="68" t="str">
        <x:v>无</x:v>
      </x:c>
      <x:c r="T99" s="68" t="str">
        <x:v>无</x:v>
      </x:c>
      <x:c r="U99" s="68"/>
      <x:c r="V99" s="84" t="str">
        <x:v>待定</x:v>
      </x:c>
      <x:c r="W99" s="82" t="str">
        <x:v>待定</x:v>
      </x:c>
      <x:c r="X99" s="82" t="str">
        <x:v>待定</x:v>
      </x:c>
      <x:c r="Y99" s="68" t="str">
        <x:v>先判力量和功能，再判价值</x:v>
      </x:c>
      <x:c r="Z99" s="84" t="str">
        <x:v>旺衰喜忌分离</x:v>
      </x:c>
      <x:c r="AA99" s="84" t="str">
        <x:v>五行旺弱不直接决定喜忌；必须通过五维矩阵判断其净作用。</x:v>
      </x:c>
      <x:c r="AB99" s="82" t="str">
        <x:v>较高</x:v>
      </x:c>
      <x:c r="AC99" s="82" t="str">
        <x:v>现代综合</x:v>
      </x:c>
      <x:c r="AD99" s="68" t="str">
        <x:v>喜忌用神必须同时读取扶抑、格局、通关、调候和病药五个维度。单一维度有利不足以自动成为主用；最终定位取决于是否解决根本问题、是否触犯格局硬约束、药力是否可达以及副作用是否可控。</x:v>
      </x:c>
      <x:c r="AE99" s="68" t="str">
        <x:v>满足“任何五行进入M17评估”，且主要收益大于副作用时，可按“五行旺衰与喜忌定位必须分离”定位。</x:v>
      </x:c>
      <x:c r="AF99" s="90" t="str">
        <x:v>若“无”成立，则不得按“五行旺衰与喜忌定位必须分离”无条件定位。</x:v>
      </x:c>
      <x:c r="AG99" s="82" t="str">
        <x:v>采用</x:v>
      </x:c>
      <x:c r="AH99" s="82" t="str">
        <x:v>初审</x:v>
      </x:c>
      <x:c r="AI99" s="87" t="n">
        <x:v>46260</x:v>
      </x:c>
    </x:row>
    <x:row r="100">
      <x:c r="A100" s="72" t="str">
        <x:f>IF(OR(C100="",D100=""),"",B100&amp;"-"&amp;UPPER(C100)&amp;"-"&amp;TEXT(D100,"0000")&amp;"-"&amp;E100)</x:f>
        <x:v>M17-BOUND-0094-V1.0</x:v>
      </x:c>
      <x:c r="B100" s="74" t="str">
        <x:v>M17</x:v>
      </x:c>
      <x:c r="C100" s="74" t="str">
        <x:v>BOUND</x:v>
      </x:c>
      <x:c r="D100" s="215" t="n">
        <x:v>94</x:v>
      </x:c>
      <x:c r="E100" s="74" t="str">
        <x:v>V1.0</x:v>
      </x:c>
      <x:c r="F100" s="68" t="str">
        <x:v>五行缺失与用神需求必须分离</x:v>
      </x:c>
      <x:c r="G100" s="82" t="str">
        <x:v>综合层</x:v>
      </x:c>
      <x:c r="H100" s="82"/>
      <x:c r="I100" s="82"/>
      <x:c r="J100" s="82" t="str">
        <x:v>复合来源</x:v>
      </x:c>
      <x:c r="K100" s="68" t="str">
        <x:v>缺失不代表需要扶</x:v>
      </x:c>
      <x:c r="L100" s="68" t="str">
        <x:v>缺失不代表格局缺神</x:v>
      </x:c>
      <x:c r="M100" s="68" t="str">
        <x:v>只有关键缺桥才有通关需求</x:v>
      </x:c>
      <x:c r="N100" s="68" t="str">
        <x:v>只有气候病才有调候需求</x:v>
      </x:c>
      <x:c r="O100" s="68" t="str">
        <x:v>只有实际病位才有药神需求</x:v>
      </x:c>
      <x:c r="P100" s="68" t="str">
        <x:v>防止缺什么补什么</x:v>
      </x:c>
      <x:c r="Q100" s="90" t="str">
        <x:v>补入无关五行可能破格成病</x:v>
      </x:c>
      <x:c r="R100" s="68" t="str">
        <x:v>发现某五行完全不现</x:v>
      </x:c>
      <x:c r="S100" s="68" t="str">
        <x:v>M12/M13/M16已证明该五行确为不可替代药神</x:v>
      </x:c>
      <x:c r="T100" s="68" t="str">
        <x:v>无</x:v>
      </x:c>
      <x:c r="U100" s="68"/>
      <x:c r="V100" s="84" t="str">
        <x:v>中性</x:v>
      </x:c>
      <x:c r="W100" s="82" t="str">
        <x:v>不采用</x:v>
      </x:c>
      <x:c r="X100" s="82" t="str">
        <x:v>否</x:v>
      </x:c>
      <x:c r="Y100" s="68" t="str">
        <x:v>缺失只记录事实，不自动进入喜用排序</x:v>
      </x:c>
      <x:c r="Z100" s="84" t="str">
        <x:v>缺失用神分离</x:v>
      </x:c>
      <x:c r="AA100" s="84" t="str">
        <x:v>该候选五行综合定位为“中性”，优先级为“不采用”。主要收益：防止缺什么补什么；主要副作用：补入无关五行可能破格成病；缺失只记录事实，不自动进入喜用排序。</x:v>
      </x:c>
      <x:c r="AB100" s="82" t="str">
        <x:v>较高</x:v>
      </x:c>
      <x:c r="AC100" s="82" t="str">
        <x:v>现代综合</x:v>
      </x:c>
      <x:c r="AD100" s="68" t="str">
        <x:v>喜忌用神必须同时读取扶抑、格局、通关、调候和病药五个维度。单一维度有利不足以自动成为主用；最终定位取决于是否解决根本问题、是否触犯格局硬约束、药力是否可达以及副作用是否可控。</x:v>
      </x:c>
      <x:c r="AE100" s="68" t="str">
        <x:v>满足“发现某五行完全不现”，且主要收益大于副作用时，可按“五行缺失与用神需求必须分离”定位。</x:v>
      </x:c>
      <x:c r="AF100" s="90" t="str">
        <x:v>若“M12/M13/M16已证明该五行确为不可替代药神”成立，则不得按“五行缺失与用神需求必须分离”无条件定位。</x:v>
      </x:c>
      <x:c r="AG100" s="82" t="str">
        <x:v>采用</x:v>
      </x:c>
      <x:c r="AH100" s="82" t="str">
        <x:v>初审</x:v>
      </x:c>
      <x:c r="AI100" s="87" t="n">
        <x:v>46260</x:v>
      </x:c>
    </x:row>
    <x:row r="101">
      <x:c r="A101" s="72" t="str">
        <x:f>IF(OR(C101="",D101=""),"",B101&amp;"-"&amp;UPPER(C101)&amp;"-"&amp;TEXT(D101,"0000")&amp;"-"&amp;E101)</x:f>
        <x:v>M17-BOUND-0095-V1.0</x:v>
      </x:c>
      <x:c r="B101" s="74" t="str">
        <x:v>M17</x:v>
      </x:c>
      <x:c r="C101" s="74" t="str">
        <x:v>BOUND</x:v>
      </x:c>
      <x:c r="D101" s="215" t="n">
        <x:v>95</x:v>
      </x:c>
      <x:c r="E101" s="74" t="str">
        <x:v>V1.0</x:v>
      </x:c>
      <x:c r="F101" s="68" t="str">
        <x:v>候选五行对应十神必须随日主重新映射</x:v>
      </x:c>
      <x:c r="G101" s="82" t="str">
        <x:v>综合层</x:v>
      </x:c>
      <x:c r="H101" s="82"/>
      <x:c r="I101" s="82"/>
      <x:c r="J101" s="82" t="str">
        <x:v>复合来源</x:v>
      </x:c>
      <x:c r="K101" s="68" t="str">
        <x:v>同一五行对不同日主可为不同十神</x:v>
      </x:c>
      <x:c r="L101" s="68" t="str">
        <x:v>格局角色随日主改变</x:v>
      </x:c>
      <x:c r="M101" s="68" t="str">
        <x:v>五行路径稳定但十神含义改变</x:v>
      </x:c>
      <x:c r="N101" s="68" t="str">
        <x:v>五行调候属性相对稳定</x:v>
      </x:c>
      <x:c r="O101" s="68" t="str">
        <x:v>药神的十神副作用随日主改变</x:v>
      </x:c>
      <x:c r="P101" s="68" t="str">
        <x:v>防止给五行贴固定十神标签</x:v>
      </x:c>
      <x:c r="Q101" s="90" t="str">
        <x:v>误映射会导致扶抑和格局结论相反</x:v>
      </x:c>
      <x:c r="R101" s="68" t="str">
        <x:v>把木火土金水转换为十神评价时</x:v>
      </x:c>
      <x:c r="S101" s="68" t="str">
        <x:v>无</x:v>
      </x:c>
      <x:c r="T101" s="68" t="str">
        <x:v>五行功能与十神功能双层映射</x:v>
      </x:c>
      <x:c r="U101" s="68"/>
      <x:c r="V101" s="84" t="str">
        <x:v>待定</x:v>
      </x:c>
      <x:c r="W101" s="82" t="str">
        <x:v>待定</x:v>
      </x:c>
      <x:c r="X101" s="82" t="str">
        <x:v>待定</x:v>
      </x:c>
      <x:c r="Y101" s="68" t="str">
        <x:v>必须先确定日主阴阳与生克关系</x:v>
      </x:c>
      <x:c r="Z101" s="84" t="str">
        <x:v>五行十神相对映射</x:v>
      </x:c>
      <x:c r="AA101" s="84" t="str">
        <x:v>M17的“候选五行”与“对应十神”必须按具体日主映射，不能固定绑定。</x:v>
      </x:c>
      <x:c r="AB101" s="82" t="str">
        <x:v>较高</x:v>
      </x:c>
      <x:c r="AC101" s="82" t="str">
        <x:v>现代综合</x:v>
      </x:c>
      <x:c r="AD101" s="68" t="str">
        <x:v>喜忌用神必须同时读取扶抑、格局、通关、调候和病药五个维度。单一维度有利不足以自动成为主用；最终定位取决于是否解决根本问题、是否触犯格局硬约束、药力是否可达以及副作用是否可控。</x:v>
      </x:c>
      <x:c r="AE101" s="68" t="str">
        <x:v>满足“把木火土金水转换为十神评价时”，且主要收益大于副作用时，可按“候选五行对应十神必须随日主重新映射”定位。</x:v>
      </x:c>
      <x:c r="AF101" s="90" t="str">
        <x:v>若“无”成立，则不得按“候选五行对应十神必须随日主重新映射”无条件定位。</x:v>
      </x:c>
      <x:c r="AG101" s="82" t="str">
        <x:v>采用</x:v>
      </x:c>
      <x:c r="AH101" s="82" t="str">
        <x:v>初审</x:v>
      </x:c>
      <x:c r="AI101" s="87" t="n">
        <x:v>46260</x:v>
      </x:c>
    </x:row>
    <x:row r="102">
      <x:c r="A102" s="72" t="str">
        <x:f>IF(OR(C102="",D102=""),"",B102&amp;"-"&amp;UPPER(C102)&amp;"-"&amp;TEXT(D102,"0000")&amp;"-"&amp;E102)</x:f>
        <x:v>M17-BOUND-0096-V1.0</x:v>
      </x:c>
      <x:c r="B102" s="74" t="str">
        <x:v>M17</x:v>
      </x:c>
      <x:c r="C102" s="74" t="str">
        <x:v>BOUND</x:v>
      </x:c>
      <x:c r="D102" s="215" t="n">
        <x:v>96</x:v>
      </x:c>
      <x:c r="E102" s="74" t="str">
        <x:v>V1.0</x:v>
      </x:c>
      <x:c r="F102" s="68" t="str">
        <x:v>同一五行可以同时有收益与副作用，最终取净定位</x:v>
      </x:c>
      <x:c r="G102" s="82" t="str">
        <x:v>综合层</x:v>
      </x:c>
      <x:c r="H102" s="82"/>
      <x:c r="I102" s="82"/>
      <x:c r="J102" s="82" t="str">
        <x:v>复合来源</x:v>
      </x:c>
      <x:c r="K102" s="68" t="str">
        <x:v>可能正负并存</x:v>
      </x:c>
      <x:c r="L102" s="68" t="str">
        <x:v>可能护一格而伤另一结构</x:v>
      </x:c>
      <x:c r="M102" s="68" t="str">
        <x:v>可能通一处而堵另一处</x:v>
      </x:c>
      <x:c r="N102" s="68" t="str">
        <x:v>可能改善一轴而恶化另一轴</x:v>
      </x:c>
      <x:c r="O102" s="68" t="str">
        <x:v>可能治一病而生一病</x:v>
      </x:c>
      <x:c r="P102" s="68" t="str">
        <x:v>完整保留多重功能</x:v>
      </x:c>
      <x:c r="Q102" s="90" t="str">
        <x:v>不能因一个正向标签忽略其他伤害</x:v>
      </x:c>
      <x:c r="R102" s="68" t="str">
        <x:v>同一五行参与多个路径或模块</x:v>
      </x:c>
      <x:c r="S102" s="68" t="str">
        <x:v>作用单一且无冲突</x:v>
      </x:c>
      <x:c r="T102" s="68" t="str">
        <x:v>多维净收益</x:v>
      </x:c>
      <x:c r="U102" s="68" t="str">
        <x:v>M18-GEN-0005-V1.0</x:v>
      </x:c>
      <x:c r="V102" s="84" t="str">
        <x:v>待定</x:v>
      </x:c>
      <x:c r="W102" s="82" t="str">
        <x:v>待定</x:v>
      </x:c>
      <x:c r="X102" s="82" t="str">
        <x:v>待定</x:v>
      </x:c>
      <x:c r="Y102" s="68" t="str">
        <x:v>最终按根本病、硬约束和副作用确定净定位</x:v>
      </x:c>
      <x:c r="Z102" s="84" t="str">
        <x:v>一行多效净定位</x:v>
      </x:c>
      <x:c r="AA102" s="84" t="str">
        <x:v>该候选五行综合定位为“待定”，优先级为“待定”。主要收益：完整保留多重功能；主要副作用：不能因一个正向标签忽略其他伤害；最终按根本病、硬约束和副作用确定净定位。</x:v>
      </x:c>
      <x:c r="AB102" s="82" t="str">
        <x:v>较高</x:v>
      </x:c>
      <x:c r="AC102" s="82" t="str">
        <x:v>现代综合</x:v>
      </x:c>
      <x:c r="AD102" s="68" t="str">
        <x:v>喜忌用神必须同时读取扶抑、格局、通关、调候和病药五个维度。单一维度有利不足以自动成为主用；最终定位取决于是否解决根本问题、是否触犯格局硬约束、药力是否可达以及副作用是否可控。</x:v>
      </x:c>
      <x:c r="AE102" s="68" t="str">
        <x:v>满足“同一五行参与多个路径或模块”，且主要收益大于副作用时，可按“同一五行可以同时有收益与副作用，最终取净定位”定位。</x:v>
      </x:c>
      <x:c r="AF102" s="90" t="str">
        <x:v>若“作用单一且无冲突”成立，则不得按“同一五行可以同时有收益与副作用，最终取净定位”无条件定位。</x:v>
      </x:c>
      <x:c r="AG102" s="82" t="str">
        <x:v>采用</x:v>
      </x:c>
      <x:c r="AH102" s="82" t="str">
        <x:v>初审</x:v>
      </x:c>
      <x:c r="AI102" s="87" t="n">
        <x:v>46260</x:v>
      </x:c>
    </x:row>
    <x:row r="103">
      <x:c r="A103" s="72" t="str">
        <x:f>IF(OR(C103="",D103=""),"",B103&amp;"-"&amp;UPPER(C103)&amp;"-"&amp;TEXT(D103,"0000")&amp;"-"&amp;E103)</x:f>
        <x:v>M17-BOUND-0097-V1.0</x:v>
      </x:c>
      <x:c r="B103" s="74" t="str">
        <x:v>M17</x:v>
      </x:c>
      <x:c r="C103" s="74" t="str">
        <x:v>BOUND</x:v>
      </x:c>
      <x:c r="D103" s="215" t="n">
        <x:v>97</x:v>
      </x:c>
      <x:c r="E103" s="74" t="str">
        <x:v>V1.0</x:v>
      </x:c>
      <x:c r="F103" s="68" t="str">
        <x:v>喜用神结论不直接等同现实中的物质补充建议</x:v>
      </x:c>
      <x:c r="G103" s="82" t="str">
        <x:v>综合层</x:v>
      </x:c>
      <x:c r="H103" s="82"/>
      <x:c r="I103" s="82"/>
      <x:c r="J103" s="82" t="str">
        <x:v>复合来源</x:v>
      </x:c>
      <x:c r="K103" s="68" t="str">
        <x:v>结构层用神</x:v>
      </x:c>
      <x:c r="L103" s="68" t="str">
        <x:v>结构层用神</x:v>
      </x:c>
      <x:c r="M103" s="68" t="str">
        <x:v>结构层通关</x:v>
      </x:c>
      <x:c r="N103" s="68" t="str">
        <x:v>结构层调候</x:v>
      </x:c>
      <x:c r="O103" s="68" t="str">
        <x:v>结构层病药</x:v>
      </x:c>
      <x:c r="P103" s="68" t="str">
        <x:v>明确知识库结论边界</x:v>
      </x:c>
      <x:c r="Q103" s="90" t="str">
        <x:v>机械对应颜色、方位、行业或物品可能脱离结构条件</x:v>
      </x:c>
      <x:c r="R103" s="68" t="str">
        <x:v>M17完成喜忌用神定位</x:v>
      </x:c>
      <x:c r="S103" s="68" t="str">
        <x:v>上层应用另有经过验证的转化规则</x:v>
      </x:c>
      <x:c r="T103" s="68" t="str">
        <x:v>应用层边界</x:v>
      </x:c>
      <x:c r="U103" s="68"/>
      <x:c r="V103" s="84" t="str">
        <x:v>待定</x:v>
      </x:c>
      <x:c r="W103" s="82" t="str">
        <x:v>待定</x:v>
      </x:c>
      <x:c r="X103" s="82" t="str">
        <x:v>待定</x:v>
      </x:c>
      <x:c r="Y103" s="68" t="str">
        <x:v>M17只给结构性五行价值，不自动生成生活化补救方案</x:v>
      </x:c>
      <x:c r="Z103" s="84" t="str">
        <x:v>用神应用边界</x:v>
      </x:c>
      <x:c r="AA103" s="84" t="str">
        <x:v>喜用神是命局结构中的作用方向，不自动等同于佩戴、颜色、方位、行业或物质补充建议。</x:v>
      </x:c>
      <x:c r="AB103" s="82" t="str">
        <x:v>较高</x:v>
      </x:c>
      <x:c r="AC103" s="82" t="str">
        <x:v>现代综合</x:v>
      </x:c>
      <x:c r="AD103" s="68" t="str">
        <x:v>喜忌用神必须同时读取扶抑、格局、通关、调候和病药五个维度。单一维度有利不足以自动成为主用；最终定位取决于是否解决根本问题、是否触犯格局硬约束、药力是否可达以及副作用是否可控。</x:v>
      </x:c>
      <x:c r="AE103" s="68" t="str">
        <x:v>满足“M17完成喜忌用神定位”，且主要收益大于副作用时，可按“喜用神结论不直接等同现实中的物质补充建议”定位。</x:v>
      </x:c>
      <x:c r="AF103" s="90" t="str">
        <x:v>若“上层应用另有经过验证的转化规则”成立，则不得按“喜用神结论不直接等同现实中的物质补充建议”无条件定位。</x:v>
      </x:c>
      <x:c r="AG103" s="82" t="str">
        <x:v>采用</x:v>
      </x:c>
      <x:c r="AH103" s="82" t="str">
        <x:v>初审</x:v>
      </x:c>
      <x:c r="AI103" s="87" t="n">
        <x:v>46260</x:v>
      </x:c>
    </x:row>
    <x:row r="104">
      <x:c r="A104" s="72" t="str">
        <x:f>IF(OR(C104="",D104=""),"",B104&amp;"-"&amp;UPPER(C104)&amp;"-"&amp;TEXT(D104,"0000")&amp;"-"&amp;E104)</x:f>
        <x:v>M17-BOUND-0098-V1.0</x:v>
      </x:c>
      <x:c r="B104" s="74" t="str">
        <x:v>M17</x:v>
      </x:c>
      <x:c r="C104" s="74" t="str">
        <x:v>BOUND</x:v>
      </x:c>
      <x:c r="D104" s="215" t="n">
        <x:v>98</x:v>
      </x:c>
      <x:c r="E104" s="74" t="str">
        <x:v>V1.0</x:v>
      </x:c>
      <x:c r="F104" s="68" t="str">
        <x:v>原局喜忌与岁运中的实际吉凶必须分开</x:v>
      </x:c>
      <x:c r="G104" s="82" t="str">
        <x:v>综合层</x:v>
      </x:c>
      <x:c r="H104" s="82"/>
      <x:c r="I104" s="82"/>
      <x:c r="J104" s="82" t="str">
        <x:v>复合来源</x:v>
      </x:c>
      <x:c r="K104" s="68" t="str">
        <x:v>原局静态价值</x:v>
      </x:c>
      <x:c r="L104" s="68" t="str">
        <x:v>原局格局需求</x:v>
      </x:c>
      <x:c r="M104" s="68" t="str">
        <x:v>原局路径需求</x:v>
      </x:c>
      <x:c r="N104" s="68" t="str">
        <x:v>原局调候需求</x:v>
      </x:c>
      <x:c r="O104" s="68" t="str">
        <x:v>原局病药需求</x:v>
      </x:c>
      <x:c r="P104" s="68" t="str">
        <x:v>建立动态模型的稳定基准</x:v>
      </x:c>
      <x:c r="Q104" s="90" t="str">
        <x:v>岁运引动后作用强度和条件会变化</x:v>
      </x:c>
      <x:c r="R104" s="68" t="str">
        <x:v>M17判断原局木火土金水喜忌</x:v>
      </x:c>
      <x:c r="S104" s="68" t="str">
        <x:v>具体大运流年吉凶和事件判断</x:v>
      </x:c>
      <x:c r="T104" s="68" t="str">
        <x:v>静态与动态边界</x:v>
      </x:c>
      <x:c r="U104" s="68" t="str">
        <x:v>M18-BOUND-0079-V1.0</x:v>
      </x:c>
      <x:c r="V104" s="84" t="str">
        <x:v>待定</x:v>
      </x:c>
      <x:c r="W104" s="82" t="str">
        <x:v>待定</x:v>
      </x:c>
      <x:c r="X104" s="82" t="str">
        <x:v>待定</x:v>
      </x:c>
      <x:c r="Y104" s="68" t="str">
        <x:v>岁运作用由D0动态引擎重新计算</x:v>
      </x:c>
      <x:c r="Z104" s="84" t="str">
        <x:v>喜忌静动态边界</x:v>
      </x:c>
      <x:c r="AA104" s="84" t="str">
        <x:v>M17只判断原局静态喜忌；某五行在具体岁运中是否吉利，需结合引动方式、强度和原局承载重新判断。</x:v>
      </x:c>
      <x:c r="AB104" s="82" t="str">
        <x:v>较高</x:v>
      </x:c>
      <x:c r="AC104" s="82" t="str">
        <x:v>现代综合</x:v>
      </x:c>
      <x:c r="AD104" s="68" t="str">
        <x:v>喜忌用神必须同时读取扶抑、格局、通关、调候和病药五个维度。单一维度有利不足以自动成为主用；最终定位取决于是否解决根本问题、是否触犯格局硬约束、药力是否可达以及副作用是否可控。</x:v>
      </x:c>
      <x:c r="AE104" s="68" t="str">
        <x:v>满足“M17判断原局木火土金水喜忌”，且主要收益大于副作用时，可按“原局喜忌与岁运中的实际吉凶必须分开”定位。</x:v>
      </x:c>
      <x:c r="AF104" s="90" t="str">
        <x:v>若“具体大运流年吉凶和事件判断”成立，则不得按“原局喜忌与岁运中的实际吉凶必须分开”无条件定位。</x:v>
      </x:c>
      <x:c r="AG104" s="82" t="str">
        <x:v>采用</x:v>
      </x:c>
      <x:c r="AH104" s="82" t="str">
        <x:v>初审</x:v>
      </x:c>
      <x:c r="AI104" s="87" t="n">
        <x:v>46260</x:v>
      </x:c>
    </x:row>
    <x:row r="105">
      <x:c r="A105" s="72" t="str">
        <x:f>IF(OR(C105="",D105=""),"",B105&amp;"-"&amp;UPPER(C105)&amp;"-"&amp;TEXT(D105,"0000")&amp;"-"&amp;E105)</x:f>
        <x:v>M17-BOUND-0099-V1.0</x:v>
      </x:c>
      <x:c r="B105" s="74" t="str">
        <x:v>M17</x:v>
      </x:c>
      <x:c r="C105" s="74" t="str">
        <x:v>BOUND</x:v>
      </x:c>
      <x:c r="D105" s="215" t="n">
        <x:v>99</x:v>
      </x:c>
      <x:c r="E105" s="74" t="str">
        <x:v>V1.0</x:v>
      </x:c>
      <x:c r="F105" s="68" t="str">
        <x:v>用神喜忌不能直接推出财富婚姻职业健康事件</x:v>
      </x:c>
      <x:c r="G105" s="82" t="str">
        <x:v>综合层</x:v>
      </x:c>
      <x:c r="H105" s="82"/>
      <x:c r="I105" s="82"/>
      <x:c r="J105" s="82" t="str">
        <x:v>复合来源</x:v>
      </x:c>
      <x:c r="K105" s="68" t="str">
        <x:v>结构结论</x:v>
      </x:c>
      <x:c r="L105" s="68" t="str">
        <x:v>结构结论</x:v>
      </x:c>
      <x:c r="M105" s="68" t="str">
        <x:v>结构结论</x:v>
      </x:c>
      <x:c r="N105" s="68" t="str">
        <x:v>结构结论</x:v>
      </x:c>
      <x:c r="O105" s="68" t="str">
        <x:v>结构结论</x:v>
      </x:c>
      <x:c r="P105" s="68" t="str">
        <x:v>保持底层模型与上层主题模型分离</x:v>
      </x:c>
      <x:c r="Q105" s="90" t="str">
        <x:v>越级断事会忽略宫位、岁运和主题规则</x:v>
      </x:c>
      <x:c r="R105" s="68" t="str">
        <x:v>M17完成最终用神排序</x:v>
      </x:c>
      <x:c r="S105" s="68" t="str">
        <x:v>上层模型读取M17后进行主题化分析</x:v>
      </x:c>
      <x:c r="T105" s="68" t="str">
        <x:v>输出层级边界</x:v>
      </x:c>
      <x:c r="U105" s="68"/>
      <x:c r="V105" s="84" t="str">
        <x:v>待定</x:v>
      </x:c>
      <x:c r="W105" s="82" t="str">
        <x:v>待定</x:v>
      </x:c>
      <x:c r="X105" s="82" t="str">
        <x:v>待定</x:v>
      </x:c>
      <x:c r="Y105" s="68" t="str">
        <x:v>只输出结构价值和成立条件</x:v>
      </x:c>
      <x:c r="Z105" s="84" t="str">
        <x:v>用神事件边界</x:v>
      </x:c>
      <x:c r="AA105" s="84" t="str">
        <x:v>M17不得直接由喜木、忌火等结论推出财富、婚恋、职业、疾病或具体人生事件。</x:v>
      </x:c>
      <x:c r="AB105" s="82" t="str">
        <x:v>较高</x:v>
      </x:c>
      <x:c r="AC105" s="82" t="str">
        <x:v>现代综合</x:v>
      </x:c>
      <x:c r="AD105" s="68" t="str">
        <x:v>喜忌用神必须同时读取扶抑、格局、通关、调候和病药五个维度。单一维度有利不足以自动成为主用；最终定位取决于是否解决根本问题、是否触犯格局硬约束、药力是否可达以及副作用是否可控。</x:v>
      </x:c>
      <x:c r="AE105" s="68" t="str">
        <x:v>满足“M17完成最终用神排序”，且主要收益大于副作用时，可按“用神喜忌不能直接推出财富婚姻职业健康事件”定位。</x:v>
      </x:c>
      <x:c r="AF105" s="90" t="str">
        <x:v>若“上层模型读取M17后进行主题化分析”成立，则不得按“用神喜忌不能直接推出财富婚姻职业健康事件”无条件定位。</x:v>
      </x:c>
      <x:c r="AG105" s="82" t="str">
        <x:v>采用</x:v>
      </x:c>
      <x:c r="AH105" s="82" t="str">
        <x:v>初审</x:v>
      </x:c>
      <x:c r="AI105" s="87" t="n">
        <x:v>46260</x:v>
      </x:c>
    </x:row>
    <x:row r="106">
      <x:c r="A106" s="214" t="str">
        <x:f>IF(OR(C106="",D106=""),"",B106&amp;"-"&amp;UPPER(C106)&amp;"-"&amp;TEXT(D106,"0000")&amp;"-"&amp;E106)</x:f>
        <x:v>M17-BOUND-0100-V1.0</x:v>
      </x:c>
      <x:c r="B106" s="214" t="str">
        <x:v>M17</x:v>
      </x:c>
      <x:c r="C106" s="214" t="str">
        <x:v>BOUND</x:v>
      </x:c>
      <x:c r="D106" s="216" t="n">
        <x:v>100</x:v>
      </x:c>
      <x:c r="E106" s="214" t="str">
        <x:v>V1.0</x:v>
      </x:c>
      <x:c r="F106" s="214" t="str">
        <x:v>M17标准输出必须给出五行全表和主次依据</x:v>
      </x:c>
      <x:c r="G106" s="214" t="str">
        <x:v>综合层</x:v>
      </x:c>
      <x:c r="H106" s="214"/>
      <x:c r="I106" s="214"/>
      <x:c r="J106" s="214" t="str">
        <x:v>复合来源</x:v>
      </x:c>
      <x:c r="K106" s="214" t="str">
        <x:v>逐五行记录</x:v>
      </x:c>
      <x:c r="L106" s="214" t="str">
        <x:v>逐五行记录</x:v>
      </x:c>
      <x:c r="M106" s="214" t="str">
        <x:v>逐五行记录</x:v>
      </x:c>
      <x:c r="N106" s="214" t="str">
        <x:v>逐五行记录</x:v>
      </x:c>
      <x:c r="O106" s="214" t="str">
        <x:v>逐五行记录</x:v>
      </x:c>
      <x:c r="P106" s="214" t="str">
        <x:v>形成可审计的最终用神矩阵</x:v>
      </x:c>
      <x:c r="Q106" s="214" t="str">
        <x:v>若只输出一两个五行会丢失反证和条件</x:v>
      </x:c>
      <x:c r="R106" s="214" t="str">
        <x:v>完成木火土金水五维评估</x:v>
      </x:c>
      <x:c r="S106" s="214" t="str">
        <x:v>无</x:v>
      </x:c>
      <x:c r="T106" s="214" t="str">
        <x:v>最终冲突转M18</x:v>
      </x:c>
      <x:c r="U106" s="214" t="str">
        <x:v>M18-BOUND-0077-V1.0</x:v>
      </x:c>
      <x:c r="V106" s="214" t="str">
        <x:v>待定</x:v>
      </x:c>
      <x:c r="W106" s="214" t="str">
        <x:v>待定</x:v>
      </x:c>
      <x:c r="X106" s="214" t="str">
        <x:v>待定</x:v>
      </x:c>
      <x:c r="Y106" s="214" t="str">
        <x:v>输出主用、辅助、喜、条件性喜、中性、条件性忌、忌、仇及待定项</x:v>
      </x:c>
      <x:c r="Z106" s="214" t="str">
        <x:v>M17标准输出</x:v>
      </x:c>
      <x:c r="AA106" s="214" t="str">
        <x:v>M17最终必须输出木、火、土、金、水五行矩阵：五维作用、主要收益、副作用、适用/不适用条件、冲突、综合定位、主次优先级、条件性说明、反向证据与置信度。</x:v>
      </x:c>
      <x:c r="AB106" s="214" t="str">
        <x:v>较高</x:v>
      </x:c>
      <x:c r="AC106" s="214" t="str">
        <x:v>现代综合</x:v>
      </x:c>
      <x:c r="AD106" s="214" t="str">
        <x:v>喜忌用神必须同时读取扶抑、格局、通关、调候和病药五个维度。单一维度有利不足以自动成为主用；最终定位取决于是否解决根本问题、是否触犯格局硬约束、药力是否可达以及副作用是否可控。</x:v>
      </x:c>
      <x:c r="AE106" s="214" t="str">
        <x:v>满足“完成木火土金水五维评估”，且主要收益大于副作用时，可按“M17标准输出必须给出五行全表和主次依据”定位。</x:v>
      </x:c>
      <x:c r="AF106" s="214" t="str">
        <x:v>若“无”成立，则不得按“M17标准输出必须给出五行全表和主次依据”无条件定位。</x:v>
      </x:c>
      <x:c r="AG106" s="214" t="str">
        <x:v>采用</x:v>
      </x:c>
      <x:c r="AH106" s="214" t="str">
        <x:v>初审</x:v>
      </x:c>
      <x:c r="AI106" s="217" t="n">
        <x:v>46260</x:v>
      </x:c>
    </x:row>
  </x:sheetData>
  <x:mergeCells>
    <x:mergeCell ref="A1:O1"/>
    <x:mergeCell ref="A2:O2"/>
    <x:mergeCell ref="A3:O3"/>
    <x:mergeCell ref="A4:O4"/>
  </x:mergeCells>
  <x:conditionalFormatting sqref="A6:A105">
    <x:cfRule type="expression" dxfId="15" priority="1">
      <x:formula>AND(A6&lt;&gt;"",COUNTIF($A$6:$A$105,A6)&gt;1)</x:formula>
    </x:cfRule>
  </x:conditionalFormatting>
  <x:dataValidations count="26">
    <x:dataValidation type="list" sqref="E6:E105">
      <x:formula1>'99_下拉选项'!$BG$4:$BG$12</x:formula1>
    </x:dataValidation>
    <x:dataValidation type="list" sqref="G6:G105">
      <x:formula1>'99_下拉选项'!$F$4:$F$7</x:formula1>
    </x:dataValidation>
    <x:dataValidation type="list" sqref="H6:H105">
      <x:formula1>'99_下拉选项'!$D$4:$D$8</x:formula1>
    </x:dataValidation>
    <x:dataValidation type="list" sqref="I6:I105">
      <x:formula1>'99_下拉选项'!$Y$4:$Y$13</x:formula1>
    </x:dataValidation>
    <x:dataValidation type="list" sqref="J6:J105">
      <x:formula1>'99_下拉选项'!$AR$4:$AR$9</x:formula1>
    </x:dataValidation>
    <x:dataValidation type="list" sqref="V6:V105">
      <x:formula1>'99_下拉选项'!$AB$4:$AB$12</x:formula1>
    </x:dataValidation>
    <x:dataValidation type="list" sqref="W6:W105">
      <x:formula1>'99_下拉选项'!$AS$4:$AS$9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'99_下拉选项'!$BG$4:$BG$17</x:formula1>
    </x:dataValidation>
    <x:dataValidation type="list" sqref="G7:G106">
      <x:formula1>'99_下拉选项'!$F$4:$F$7</x:formula1>
    </x:dataValidation>
    <x:dataValidation type="list" sqref="H7:H106">
      <x:formula1>'99_下拉选项'!$D$4:$D$8</x:formula1>
    </x:dataValidation>
    <x:dataValidation type="list" sqref="I7:I106">
      <x:formula1>'99_下拉选项'!$Y$4:$Y$13</x:formula1>
    </x:dataValidation>
    <x:dataValidation type="list" sqref="J7:J106">
      <x:formula1>'99_下拉选项'!$AR$4:$AR$9</x:formula1>
    </x:dataValidation>
    <x:dataValidation type="list" sqref="V7:V106">
      <x:formula1>'99_下拉选项'!$AB$4:$AB$12</x:formula1>
    </x:dataValidation>
    <x:dataValidation type="list" sqref="W7:W106">
      <x:formula1>'99_下拉选项'!$AS$4:$AS$9</x:formula1>
    </x:dataValidation>
    <x:dataValidation type="list" sqref="X7:X106">
      <x:formula1>'99_下拉选项'!$X$4:$X$7</x:formula1>
    </x:dataValidation>
    <x:dataValidation type="list" sqref="AB7:AB106">
      <x:formula1>'99_下拉选项'!$Q$4:$Q$8</x:formula1>
    </x:dataValidation>
    <x:dataValidation type="list" sqref="AC7:AC106">
      <x:formula1>'99_下拉选项'!$R$4:$R$11</x:formula1>
    </x:dataValidation>
    <x:dataValidation type="list" sqref="AG7:AG106">
      <x:formula1>'99_下拉选项'!$S$4:$S$9</x:formula1>
    </x:dataValidation>
    <x:dataValidation type="list" sqref="AH7:AH106">
      <x:formula1>'99_下拉选项'!$T$4:$T$8</x:formula1>
    </x:dataValidation>
    <x:dataValidation type="list" sqref="E7:E106">
      <x:formula1>'99_下拉选项'!$BG$4:$BG$19</x:formula1>
    </x:dataValidation>
  </x:dataValidations>
  <x:pageMargins left="0.7" right="0.7" top="0.75" bottom="0.75" header="0.3" footer="0.3"/>
  <x:tableParts count="1">
    <x:tablePart xmlns:r="http://schemas.openxmlformats.org/officeDocument/2006/relationships" r:id="R87156a32cbe64929"/>
  </x:tableParts>
</x:worksheet>
</file>

<file path=xl/worksheets/sheet1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30" hidden="0" customWidth="1"/>
    <x:col min="11" max="11" width="16" hidden="0" customWidth="1"/>
    <x:col min="12" max="12" width="30" hidden="0" customWidth="1"/>
    <x:col min="13" max="13" width="30" hidden="0" customWidth="1"/>
    <x:col min="14" max="14" width="16"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13" hidden="0" customWidth="1"/>
  </x:cols>
  <x:sheetData>
    <x:row r="1" ht="28" customHeight="1">
      <x:c r="A1" s="32" t="str">
        <x:v>M18｜跨模块冲突裁决与优先级规则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处理扶抑、格局、调候、通关和病药结论冲突。记录硬约束、优先规则、降级规则、反向证据和副作用控制。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前置依赖：M14/M15/M16/M17　｜　主要输出：跨模块裁决、降级与条件性结论　｜　直接下游：M19/M20/M21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冲突主题</x:v>
      </x:c>
      <x:c r="I5" s="61" t="str">
        <x:v>规则A_ID</x:v>
      </x:c>
      <x:c r="J5" s="61" t="str">
        <x:v>规则A结论</x:v>
      </x:c>
      <x:c r="K5" s="61" t="str">
        <x:v>规则B_ID</x:v>
      </x:c>
      <x:c r="L5" s="61" t="str">
        <x:v>规则B结论</x:v>
      </x:c>
      <x:c r="M5" s="61" t="str">
        <x:v>冲突情境</x:v>
      </x:c>
      <x:c r="N5" s="61" t="str">
        <x:v>硬约束</x:v>
      </x:c>
      <x:c r="O5" s="61" t="str">
        <x:v>裁决原则</x:v>
      </x:c>
      <x:c r="P5" s="61" t="str">
        <x:v>优先规则</x:v>
      </x:c>
      <x:c r="Q5" s="61" t="str">
        <x:v>降级规则</x:v>
      </x:c>
      <x:c r="R5" s="61" t="str">
        <x:v>裁决结果</x:v>
      </x:c>
      <x:c r="S5" s="61" t="str">
        <x:v>适用条件</x:v>
      </x:c>
      <x:c r="T5" s="61" t="str">
        <x:v>不适用条件</x:v>
      </x:c>
      <x:c r="U5" s="61" t="str">
        <x:v>反向证据</x:v>
      </x:c>
      <x:c r="V5" s="61" t="str">
        <x:v>例外条件</x:v>
      </x:c>
      <x:c r="W5" s="61" t="str">
        <x:v>副作用控制</x:v>
      </x:c>
      <x:c r="X5" s="61" t="str">
        <x:v>结论标签</x:v>
      </x:c>
      <x:c r="Y5" s="61" t="str">
        <x:v>标准输出</x:v>
      </x:c>
      <x:c r="Z5" s="61" t="str">
        <x:v>置信等级</x:v>
      </x:c>
      <x:c r="AA5" s="61" t="str">
        <x:v>流派标签</x:v>
      </x:c>
      <x:c r="AB5" s="61" t="str">
        <x:v>依据说明</x:v>
      </x:c>
      <x:c r="AC5" s="61" t="str">
        <x:v>正例</x:v>
      </x:c>
      <x:c r="AD5" s="61" t="str">
        <x:v>反例</x:v>
      </x:c>
      <x:c r="AE5" s="61" t="str">
        <x:v>规则状态</x:v>
      </x:c>
      <x:c r="AF5" s="61" t="str">
        <x:v>审核状态</x:v>
      </x:c>
      <x:c r="AG5" s="61" t="str">
        <x:v>更新日期</x:v>
      </x:c>
    </x:row>
    <x:row r="6" ht="66" customHeight="1">
      <x:c r="A6" s="76" t="str">
        <x:f>IF(OR(C6="",D6=""),"",B6&amp;"-"&amp;UPPER(C6)&amp;"-"&amp;TEXT(D6,"0000")&amp;"-"&amp;E6)</x:f>
        <x:v>M18-DEMO-9999-V0.1</x:v>
      </x:c>
      <x:c r="B6" s="76" t="str">
        <x:v>M18</x:v>
      </x:c>
      <x:c r="C6" s="76" t="str">
        <x:v>DEMO</x:v>
      </x:c>
      <x:c r="D6" s="78" t="n">
        <x:v>9999</x:v>
      </x:c>
      <x:c r="E6" s="76" t="str">
        <x:v>V0.1</x:v>
      </x:c>
      <x:c r="F6" s="76" t="str">
        <x:v>严格特殊格局先作为硬约束审查</x:v>
      </x:c>
      <x:c r="G6" s="76" t="str">
        <x:v>综合层</x:v>
      </x:c>
      <x:c r="H6" s="76" t="str">
        <x:v>特殊格局与普通扶抑冲突</x:v>
      </x:c>
      <x:c r="I6" s="76" t="str">
        <x:v>M14-特殊格局规则</x:v>
      </x:c>
      <x:c r="J6" s="76" t="str">
        <x:v>特殊格局严格成立，宜维护其气势</x:v>
      </x:c>
      <x:c r="K6" s="76" t="str">
        <x:v>M09-普通扶抑规则</x:v>
      </x:c>
      <x:c r="L6" s="76" t="str">
        <x:v>按普通身弱逻辑宜扶身</x:v>
      </x:c>
      <x:c r="M6" s="76" t="str">
        <x:v>从格候选与普通身弱结论并存</x:v>
      </x:c>
      <x:c r="N6" s="76" t="str">
        <x:v>先验证特殊格局是否达到严格成立标准</x:v>
      </x:c>
      <x:c r="O6" s="76" t="str">
        <x:v>严格成立则格局优先；任一关键条件不满足则退回普通格局与扶抑</x:v>
      </x:c>
      <x:c r="P6" s="76" t="str">
        <x:v>特殊格局严格成立规则</x:v>
      </x:c>
      <x:c r="Q6" s="76" t="str">
        <x:v>普通旺衰扶抑与病药综合</x:v>
      </x:c>
      <x:c r="R6" s="76" t="str">
        <x:v>条件裁决</x:v>
      </x:c>
      <x:c r="S6" s="76" t="str">
        <x:v>从格/化气格关键条件完整且无实质逆势</x:v>
      </x:c>
      <x:c r="T6" s="76" t="str">
        <x:v>假从、杂气有根、逆势力量有效</x:v>
      </x:c>
      <x:c r="U6" s="76" t="str">
        <x:v>日主仍有有效根助或逆势十神可独立发挥</x:v>
      </x:c>
      <x:c r="V6" s="76" t="str">
        <x:v>调候若达到生化停顿的极端程度，仍需记录但不得无条件破格</x:v>
      </x:c>
      <x:c r="W6" s="76" t="str">
        <x:v>将冲突五行降为条件性用神并写明触发条件</x:v>
      </x:c>
      <x:c r="X6" s="76" t="str">
        <x:v>用神冲突裁决</x:v>
      </x:c>
      <x:c r="Y6" s="76" t="str">
        <x:v>先审特殊格局是否严格成立；成立则维护格局为硬约束，不成立则退回普通扶抑与病药逻辑。</x:v>
      </x:c>
      <x:c r="Z6" s="76" t="str">
        <x:v>较高</x:v>
      </x:c>
      <x:c r="AA6" s="76" t="str">
        <x:v>现代综合</x:v>
      </x:c>
      <x:c r="AB6" s="76" t="str">
        <x:v>优先级不是固定口诀，而是由严格成立条件决定。</x:v>
      </x:c>
      <x:c r="AC6" s="76" t="str">
        <x:v>真从格与普通身弱扶身冲突时，以真从硬约束优先。</x:v>
      </x:c>
      <x:c r="AD6" s="76" t="str">
        <x:v>未验证从格条件便一概排斥扶身。</x:v>
      </x:c>
      <x:c r="AE6" s="76" t="str">
        <x:v>示例</x:v>
      </x:c>
      <x:c r="AF6" s="76" t="str">
        <x:v>未审核</x:v>
      </x:c>
      <x:c r="AG6" s="86" t="n">
        <x:v>46254</x:v>
      </x:c>
    </x:row>
    <x:row r="7">
      <x:c r="A7" s="72" t="str">
        <x:f>IF(OR(C7="",D7=""),"",B7&amp;"-"&amp;UPPER(C7)&amp;"-"&amp;TEXT(D7,"0000")&amp;"-"&amp;E7)</x:f>
        <x:v>M18-GEN-0001-V1.0</x:v>
      </x:c>
      <x:c r="B7" s="74" t="str">
        <x:v>M18</x:v>
      </x:c>
      <x:c r="C7" s="74" t="str">
        <x:v>GEN</x:v>
      </x:c>
      <x:c r="D7" s="215" t="n">
        <x:v>1</x:v>
      </x:c>
      <x:c r="E7" s="74" t="str">
        <x:v>V1.0</x:v>
      </x:c>
      <x:c r="F7" s="68" t="str">
        <x:v>硬约束优先于一般收益</x:v>
      </x:c>
      <x:c r="G7" s="82" t="str">
        <x:v>综合层</x:v>
      </x:c>
      <x:c r="H7" s="68" t="str">
        <x:v>硬约束与软收益冲突</x:v>
      </x:c>
      <x:c r="I7" s="68" t="str">
        <x:v>M15-GEN-0006-V1.0</x:v>
      </x:c>
      <x:c r="J7" s="68" t="str">
        <x:v>格神失效或特殊格局硬门槛失败可构成根本破格</x:v>
      </x:c>
      <x:c r="K7" s="68" t="str">
        <x:v>M17-GEN-0003-V1.0</x:v>
      </x:c>
      <x:c r="L7" s="68" t="str">
        <x:v>多个维度同向可提高某五行的喜用定位</x:v>
      </x:c>
      <x:c r="M7" s="68" t="str">
        <x:v>某五行在多个一般维度有利，但会触发根本破格或破坏严格特殊格局</x:v>
      </x:c>
      <x:c r="N7" s="68" t="str">
        <x:v>根本破格、特殊格局严格成立条件和不可替代格神属于硬约束</x:v>
      </x:c>
      <x:c r="O7" s="68" t="str">
        <x:v>硬约束不能被多个弱正向证据叠加覆盖</x:v>
      </x:c>
      <x:c r="P7" s="68" t="str">
        <x:v>先保留不触发根本破格的方案</x:v>
      </x:c>
      <x:c r="Q7" s="68" t="str">
        <x:v>有一般收益但触犯硬约束者降为条件性忌神或不采用</x:v>
      </x:c>
      <x:c r="R7" s="84" t="str">
        <x:v>硬约束优先</x:v>
      </x:c>
      <x:c r="S7" s="68" t="str">
        <x:v>冲突双方均有有效证据且作用于同一原局</x:v>
      </x:c>
      <x:c r="T7" s="68" t="str">
        <x:v>其中一方只是名义候选、已经失效或不作用于主要矛盾</x:v>
      </x:c>
      <x:c r="U7" s="68" t="str">
        <x:v>若被降级一方实际承担不可替代功能，应重新进入本规则复审</x:v>
      </x:c>
      <x:c r="V7" s="68" t="str">
        <x:v>证据接近或存在流派争议时保留并列候选并降低置信度</x:v>
      </x:c>
      <x:c r="W7" s="90" t="str">
        <x:v>寻找能够解决同一问题而不触犯硬约束的替代路径</x:v>
      </x:c>
      <x:c r="X7" s="84" t="str">
        <x:v>硬约束优先</x:v>
      </x:c>
      <x:c r="Y7" s="84" t="str">
        <x:v>冲突主题：硬约束与软收益冲突。裁决结果为“硬约束优先”；优先采用：先保留不触发根本破格的方案；降级处理：有一般收益但触犯硬约束者降为条件性忌神或不采用。同时控制副作用：寻找能够解决同一问题而不触犯硬约束的替代路径。</x:v>
      </x:c>
      <x:c r="Z7" s="82" t="str">
        <x:v>较高</x:v>
      </x:c>
      <x:c r="AA7" s="82" t="str">
        <x:v>现代综合</x:v>
      </x:c>
      <x:c r="AB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 s="68" t="str">
        <x:v>当“某五行在多个一般维度有利，但会触发根本破格或破坏严格特殊格局”成立，且硬约束与主次证据清晰时，可按本规则裁决。</x:v>
      </x:c>
      <x:c r="AD7" s="90" t="str">
        <x:v>若冲突双方并未同时有效，或“其中一方只是名义候选、已经失效或不作用于主要矛盾”成立，不得套用本规则制造假冲突。</x:v>
      </x:c>
      <x:c r="AE7" s="82" t="str">
        <x:v>采用</x:v>
      </x:c>
      <x:c r="AF7" s="82" t="str">
        <x:v>初审</x:v>
      </x:c>
      <x:c r="AG7" s="87" t="n">
        <x:v>46260</x:v>
      </x:c>
    </x:row>
    <x:row r="8">
      <x:c r="A8" s="72" t="str">
        <x:f>IF(OR(C8="",D8=""),"",B8&amp;"-"&amp;UPPER(C8)&amp;"-"&amp;TEXT(D8,"0000")&amp;"-"&amp;E8)</x:f>
        <x:v>M18-GEN-0002-V1.0</x:v>
      </x:c>
      <x:c r="B8" s="74" t="str">
        <x:v>M18</x:v>
      </x:c>
      <x:c r="C8" s="74" t="str">
        <x:v>GEN</x:v>
      </x:c>
      <x:c r="D8" s="215" t="n">
        <x:v>2</x:v>
      </x:c>
      <x:c r="E8" s="74" t="str">
        <x:v>V1.0</x:v>
      </x:c>
      <x:c r="F8" s="68" t="str">
        <x:v>只有严格成立的条件才能成为硬约束</x:v>
      </x:c>
      <x:c r="G8" s="82" t="str">
        <x:v>综合层</x:v>
      </x:c>
      <x:c r="H8" s="68" t="str">
        <x:v>候选结论与硬约束资格冲突</x:v>
      </x:c>
      <x:c r="I8" s="68" t="str">
        <x:v>M14-BOUND-0077-V1.0</x:v>
      </x:c>
      <x:c r="J8" s="68" t="str">
        <x:v>M14候选状态不等于最终成格</x:v>
      </x:c>
      <x:c r="K8" s="68" t="str">
        <x:v>M17-GEN-0005-V1.0</x:v>
      </x:c>
      <x:c r="L8" s="68" t="str">
        <x:v>严格特殊格局成立时维护主势属于硬约束</x:v>
      </x:c>
      <x:c r="M8" s="68" t="str">
        <x:v>某候选特殊格局尚未通过M15严格审查，却被提前用于否决普通扶抑或调候</x:v>
      </x:c>
      <x:c r="N8" s="68" t="str">
        <x:v>只有M15判清纯成立、特殊格局严格成立或确认不可替代核心结构后，才可作为硬约束</x:v>
      </x:c>
      <x:c r="O8" s="68" t="str">
        <x:v>先验证硬约束资格，再讨论优先级</x:v>
      </x:c>
      <x:c r="P8" s="68" t="str">
        <x:v>未严格成立时退回普通格局、旺衰、流通和病药综合</x:v>
      </x:c>
      <x:c r="Q8" s="68" t="str">
        <x:v>仅为候选、假从、假化或证据不足者不得享有硬约束优先级</x:v>
      </x:c>
      <x:c r="R8" s="84" t="str">
        <x:v>先验资格审查</x:v>
      </x:c>
      <x:c r="S8" s="68" t="str">
        <x:v>冲突双方均有有效证据且作用于同一原局</x:v>
      </x:c>
      <x:c r="T8" s="68" t="str">
        <x:v>其中一方只是名义候选、已经失效或不作用于主要矛盾</x:v>
      </x:c>
      <x:c r="U8" s="68" t="str">
        <x:v>若被降级一方实际承担不可替代功能，应重新进入本规则复审</x:v>
      </x:c>
      <x:c r="V8" s="68" t="str">
        <x:v>证据接近或存在流派争议时保留并列候选并降低置信度</x:v>
      </x:c>
      <x:c r="W8" s="90" t="str">
        <x:v>保留特殊格局候选的反向证据，避免一刀切否决普通用神</x:v>
      </x:c>
      <x:c r="X8" s="84" t="str">
        <x:v>硬约束资格</x:v>
      </x:c>
      <x:c r="Y8" s="84" t="str">
        <x:v>冲突主题：候选结论与硬约束资格冲突。裁决结果为“先验资格审查”；优先采用：未严格成立时退回普通格局、旺衰、流通和病药综合；降级处理：仅为候选、假从、假化或证据不足者不得享有硬约束优先级。同时控制副作用：保留特殊格局候选的反向证据，避免一刀切否决普通用神。</x:v>
      </x:c>
      <x:c r="Z8" s="82" t="str">
        <x:v>较高</x:v>
      </x:c>
      <x:c r="AA8" s="82" t="str">
        <x:v>现代综合</x:v>
      </x:c>
      <x:c r="AB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 s="68" t="str">
        <x:v>当“某候选特殊格局尚未通过M15严格审查，却被提前用于否决普通扶抑或调候”成立，且硬约束与主次证据清晰时，可按本规则裁决。</x:v>
      </x:c>
      <x:c r="AD8" s="90" t="str">
        <x:v>若冲突双方并未同时有效，或“其中一方只是名义候选、已经失效或不作用于主要矛盾”成立，不得套用本规则制造假冲突。</x:v>
      </x:c>
      <x:c r="AE8" s="82" t="str">
        <x:v>采用</x:v>
      </x:c>
      <x:c r="AF8" s="82" t="str">
        <x:v>初审</x:v>
      </x:c>
      <x:c r="AG8" s="87" t="n">
        <x:v>46260</x:v>
      </x:c>
    </x:row>
    <x:row r="9">
      <x:c r="A9" s="72" t="str">
        <x:f>IF(OR(C9="",D9=""),"",B9&amp;"-"&amp;UPPER(C9)&amp;"-"&amp;TEXT(D9,"0000")&amp;"-"&amp;E9)</x:f>
        <x:v>M18-GEN-0003-V1.0</x:v>
      </x:c>
      <x:c r="B9" s="74" t="str">
        <x:v>M18</x:v>
      </x:c>
      <x:c r="C9" s="74" t="str">
        <x:v>GEN</x:v>
      </x:c>
      <x:c r="D9" s="215" t="n">
        <x:v>3</x:v>
      </x:c>
      <x:c r="E9" s="74" t="str">
        <x:v>V1.0</x:v>
      </x:c>
      <x:c r="F9" s="68" t="str">
        <x:v>根本主病优先于表层旺弱收益</x:v>
      </x:c>
      <x:c r="G9" s="82" t="str">
        <x:v>综合层</x:v>
      </x:c>
      <x:c r="H9" s="68" t="str">
        <x:v>根本病与表层扶抑冲突</x:v>
      </x:c>
      <x:c r="I9" s="68" t="str">
        <x:v>M16-RANK-0097-V1.0</x:v>
      </x:c>
      <x:c r="J9" s="68" t="str">
        <x:v>能够解释多个模块问题的共同根因应列根本病</x:v>
      </x:c>
      <x:c r="K9" s="68" t="str">
        <x:v>M17-FUYI-0011-V1.0</x:v>
      </x:c>
      <x:c r="L9" s="68" t="str">
        <x:v>身弱时正印可列扶身候选</x:v>
      </x:c>
      <x:c r="M9" s="68" t="str">
        <x:v>某五行能改善表层身弱，但不能修复导致身弱的桥梁、制化或格局根因</x:v>
      </x:c>
      <x:c r="N9" s="68" t="str">
        <x:v>根本病位必须已由M16确认并具有跨模块解释力</x:v>
      </x:c>
      <x:c r="O9" s="68" t="str">
        <x:v>优先治疗根因，表层扶抑仅在根因修复后仍有必要时保留</x:v>
      </x:c>
      <x:c r="P9" s="68" t="str">
        <x:v>直接作用根本病位的药神优先</x:v>
      </x:c>
      <x:c r="Q9" s="68" t="str">
        <x:v>只缓解表象者降为辅助用神、喜神或不采用</x:v>
      </x:c>
      <x:c r="R9" s="84" t="str">
        <x:v>根因优先</x:v>
      </x:c>
      <x:c r="S9" s="68" t="str">
        <x:v>冲突双方均有有效证据且作用于同一原局</x:v>
      </x:c>
      <x:c r="T9" s="68" t="str">
        <x:v>其中一方只是名义候选、已经失效或不作用于主要矛盾</x:v>
      </x:c>
      <x:c r="U9" s="68" t="str">
        <x:v>若被降级一方实际承担不可替代功能，应重新进入本规则复审</x:v>
      </x:c>
      <x:c r="V9" s="68" t="str">
        <x:v>证据接近或存在流派争议时保留并列候选并降低置信度</x:v>
      </x:c>
      <x:c r="W9" s="90" t="str">
        <x:v>防止表层扶抑掩盖桥梁失效、财坏印或制化中断</x:v>
      </x:c>
      <x:c r="X9" s="84" t="str">
        <x:v>根本病优先</x:v>
      </x:c>
      <x:c r="Y9" s="84" t="str">
        <x:v>冲突主题：根本病与表层扶抑冲突。裁决结果为“根因优先”；优先采用：直接作用根本病位的药神优先；降级处理：只缓解表象者降为辅助用神、喜神或不采用。同时控制副作用：防止表层扶抑掩盖桥梁失效、财坏印或制化中断。</x:v>
      </x:c>
      <x:c r="Z9" s="82" t="str">
        <x:v>较高</x:v>
      </x:c>
      <x:c r="AA9" s="82" t="str">
        <x:v>现代综合</x:v>
      </x:c>
      <x:c r="AB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9" s="68" t="str">
        <x:v>当“某五行能改善表层身弱，但不能修复导致身弱的桥梁、制化或格局根因”成立，且硬约束与主次证据清晰时，可按本规则裁决。</x:v>
      </x:c>
      <x:c r="AD9" s="90" t="str">
        <x:v>若冲突双方并未同时有效，或“其中一方只是名义候选、已经失效或不作用于主要矛盾”成立，不得套用本规则制造假冲突。</x:v>
      </x:c>
      <x:c r="AE9" s="82" t="str">
        <x:v>采用</x:v>
      </x:c>
      <x:c r="AF9" s="82" t="str">
        <x:v>初审</x:v>
      </x:c>
      <x:c r="AG9" s="87" t="n">
        <x:v>46260</x:v>
      </x:c>
    </x:row>
    <x:row r="10">
      <x:c r="A10" s="72" t="str">
        <x:f>IF(OR(C10="",D10=""),"",B10&amp;"-"&amp;UPPER(C10)&amp;"-"&amp;TEXT(D10,"0000")&amp;"-"&amp;E10)</x:f>
        <x:v>M18-GEN-0004-V1.0</x:v>
      </x:c>
      <x:c r="B10" s="74" t="str">
        <x:v>M18</x:v>
      </x:c>
      <x:c r="C10" s="74" t="str">
        <x:v>GEN</x:v>
      </x:c>
      <x:c r="D10" s="215" t="n">
        <x:v>4</x:v>
      </x:c>
      <x:c r="E10" s="74" t="str">
        <x:v>V1.0</x:v>
      </x:c>
      <x:c r="F10" s="68" t="str">
        <x:v>主路径优先于次级路径</x:v>
      </x:c>
      <x:c r="G10" s="82" t="str">
        <x:v>综合层</x:v>
      </x:c>
      <x:c r="H10" s="68" t="str">
        <x:v>主流通路径与次级改善冲突</x:v>
      </x:c>
      <x:c r="I10" s="68" t="str">
        <x:v>M16-FLOW-0038-V1.0</x:v>
      </x:c>
      <x:c r="J10" s="68" t="str">
        <x:v>多个通路并存时应优先修复主路径卡点</x:v>
      </x:c>
      <x:c r="K10" s="68" t="str">
        <x:v>M17-BINGYAO-0060-V1.0</x:v>
      </x:c>
      <x:c r="L10" s="68" t="str">
        <x:v>能治次病但不能触达主病者仅列喜神或辅助</x:v>
      </x:c>
      <x:c r="M10" s="68" t="str">
        <x:v>多个五行分别改善不同路径，但只有一条路径覆盖核心格局、日主承载或根本病</x:v>
      </x:c>
      <x:c r="N10" s="68" t="str">
        <x:v>主路径需由M12/M16按覆盖范围、不可替代性和严重度排序</x:v>
      </x:c>
      <x:c r="O10" s="68" t="str">
        <x:v>先恢复主路径，次级路径在主病受控后再处理</x:v>
      </x:c>
      <x:c r="P10" s="68" t="str">
        <x:v>覆盖核心节点最多且直接修复主卡点者优先</x:v>
      </x:c>
      <x:c r="Q10" s="68" t="str">
        <x:v>只改善次级路径者降为第三顺位喜神或条件性辅助</x:v>
      </x:c>
      <x:c r="R10" s="84" t="str">
        <x:v>主路径优先</x:v>
      </x:c>
      <x:c r="S10" s="68" t="str">
        <x:v>冲突双方均有有效证据且作用于同一原局</x:v>
      </x:c>
      <x:c r="T10" s="68" t="str">
        <x:v>其中一方只是名义候选、已经失效或不作用于主要矛盾</x:v>
      </x:c>
      <x:c r="U10" s="68" t="str">
        <x:v>若被降级一方实际承担不可替代功能，应重新进入本规则复审</x:v>
      </x:c>
      <x:c r="V10" s="68" t="str">
        <x:v>证据接近或存在流派争议时保留并列候选并降低置信度</x:v>
      </x:c>
      <x:c r="W10" s="90" t="str">
        <x:v>避免多药分散导致主卡点仍未修复</x:v>
      </x:c>
      <x:c r="X10" s="84" t="str">
        <x:v>主路径优先</x:v>
      </x:c>
      <x:c r="Y10" s="84" t="str">
        <x:v>冲突主题：主流通路径与次级改善冲突。裁决结果为“主路径优先”；优先采用：覆盖核心节点最多且直接修复主卡点者优先；降级处理：只改善次级路径者降为第三顺位喜神或条件性辅助。同时控制副作用：避免多药分散导致主卡点仍未修复。</x:v>
      </x:c>
      <x:c r="Z10" s="82" t="str">
        <x:v>较高</x:v>
      </x:c>
      <x:c r="AA10" s="82" t="str">
        <x:v>现代综合</x:v>
      </x:c>
      <x:c r="AB1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0" s="68" t="str">
        <x:v>当“多个五行分别改善不同路径，但只有一条路径覆盖核心格局、日主承载或根本病”成立，且硬约束与主次证据清晰时，可按本规则裁决。</x:v>
      </x:c>
      <x:c r="AD10" s="90" t="str">
        <x:v>若冲突双方并未同时有效，或“其中一方只是名义候选、已经失效或不作用于主要矛盾”成立，不得套用本规则制造假冲突。</x:v>
      </x:c>
      <x:c r="AE10" s="82" t="str">
        <x:v>采用</x:v>
      </x:c>
      <x:c r="AF10" s="82" t="str">
        <x:v>初审</x:v>
      </x:c>
      <x:c r="AG10" s="87" t="n">
        <x:v>46260</x:v>
      </x:c>
    </x:row>
    <x:row r="11">
      <x:c r="A11" s="72" t="str">
        <x:f>IF(OR(C11="",D11=""),"",B11&amp;"-"&amp;UPPER(C11)&amp;"-"&amp;TEXT(D11,"0000")&amp;"-"&amp;E11)</x:f>
        <x:v>M18-GEN-0005-V1.0</x:v>
      </x:c>
      <x:c r="B11" s="74" t="str">
        <x:v>M18</x:v>
      </x:c>
      <x:c r="C11" s="74" t="str">
        <x:v>GEN</x:v>
      </x:c>
      <x:c r="D11" s="215" t="n">
        <x:v>5</x:v>
      </x:c>
      <x:c r="E11" s="74" t="str">
        <x:v>V1.0</x:v>
      </x:c>
      <x:c r="F11" s="68" t="str">
        <x:v>局部收益不能抵消更严重的新病</x:v>
      </x:c>
      <x:c r="G11" s="82" t="str">
        <x:v>综合层</x:v>
      </x:c>
      <x:c r="H11" s="68" t="str">
        <x:v>局部收益与更高严重度伤害冲突</x:v>
      </x:c>
      <x:c r="I11" s="68" t="str">
        <x:v>M17-GEN-0006-V1.0</x:v>
      </x:c>
      <x:c r="J11" s="68" t="str">
        <x:v>有利但伤害核心格局时必须降级</x:v>
      </x:c>
      <x:c r="K11" s="68" t="str">
        <x:v>M16-DOSE-0091-V1.0</x:v>
      </x:c>
      <x:c r="L11" s="68" t="str">
        <x:v>药力过量或药神冲突可形成反向新病</x:v>
      </x:c>
      <x:c r="M11" s="68" t="str">
        <x:v>某五行能解决一个局部问题，却制造严重度更高的格局、调候、承载或流通病</x:v>
      </x:c>
      <x:c r="N11" s="68" t="str">
        <x:v>新病严重度高于原问题时构成否决</x:v>
      </x:c>
      <x:c r="O11" s="68" t="str">
        <x:v>按净收益和严重度比较，而非只看是否有一项正向作用</x:v>
      </x:c>
      <x:c r="P11" s="68" t="str">
        <x:v>不产生更严重新病的替代方案优先</x:v>
      </x:c>
      <x:c r="Q11" s="68" t="str">
        <x:v>治一病而生更重病者定为不采用、忌神或条件性忌神</x:v>
      </x:c>
      <x:c r="R11" s="84" t="str">
        <x:v>净伤害否决</x:v>
      </x:c>
      <x:c r="S11" s="68" t="str">
        <x:v>冲突双方均有有效证据且作用于同一原局</x:v>
      </x:c>
      <x:c r="T11" s="68" t="str">
        <x:v>其中一方只是名义候选、已经失效或不作用于主要矛盾</x:v>
      </x:c>
      <x:c r="U11" s="68" t="str">
        <x:v>若被降级一方实际承担不可替代功能，应重新进入本规则复审</x:v>
      </x:c>
      <x:c r="V11" s="68" t="str">
        <x:v>证据接近或存在流派争议时保留并列候选并降低置信度</x:v>
      </x:c>
      <x:c r="W11" s="90" t="str">
        <x:v>明确记录原收益与新病路径，防止将其误写为无条件喜神</x:v>
      </x:c>
      <x:c r="X11" s="84" t="str">
        <x:v>更重新病否决</x:v>
      </x:c>
      <x:c r="Y11" s="84" t="str">
        <x:v>冲突主题：局部收益与更高严重度伤害冲突。裁决结果为“净伤害否决”；优先采用：不产生更严重新病的替代方案优先；降级处理：治一病而生更重病者定为不采用、忌神或条件性忌神。同时控制副作用：明确记录原收益与新病路径，防止将其误写为无条件喜神。</x:v>
      </x:c>
      <x:c r="Z11" s="82" t="str">
        <x:v>较高</x:v>
      </x:c>
      <x:c r="AA11" s="82" t="str">
        <x:v>现代综合</x:v>
      </x:c>
      <x:c r="AB1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1" s="68" t="str">
        <x:v>当“某五行能解决一个局部问题，却制造严重度更高的格局、调候、承载或流通病”成立，且硬约束与主次证据清晰时，可按本规则裁决。</x:v>
      </x:c>
      <x:c r="AD11" s="90" t="str">
        <x:v>若冲突双方并未同时有效，或“其中一方只是名义候选、已经失效或不作用于主要矛盾”成立，不得套用本规则制造假冲突。</x:v>
      </x:c>
      <x:c r="AE11" s="82" t="str">
        <x:v>采用</x:v>
      </x:c>
      <x:c r="AF11" s="82" t="str">
        <x:v>初审</x:v>
      </x:c>
      <x:c r="AG11" s="87" t="n">
        <x:v>46260</x:v>
      </x:c>
    </x:row>
    <x:row r="12">
      <x:c r="A12" s="72" t="str">
        <x:f>IF(OR(C12="",D12=""),"",B12&amp;"-"&amp;UPPER(C12)&amp;"-"&amp;TEXT(D12,"0000")&amp;"-"&amp;E12)</x:f>
        <x:v>M18-GEN-0006-V1.0</x:v>
      </x:c>
      <x:c r="B12" s="74" t="str">
        <x:v>M18</x:v>
      </x:c>
      <x:c r="C12" s="74" t="str">
        <x:v>GEN</x:v>
      </x:c>
      <x:c r="D12" s="215" t="n">
        <x:v>6</x:v>
      </x:c>
      <x:c r="E12" s="74" t="str">
        <x:v>V1.0</x:v>
      </x:c>
      <x:c r="F12" s="68" t="str">
        <x:v>同源证据不得重复叠加提高优先级</x:v>
      </x:c>
      <x:c r="G12" s="82" t="str">
        <x:v>综合层</x:v>
      </x:c>
      <x:c r="H12" s="68" t="str">
        <x:v>证据去重与多维同向冲突</x:v>
      </x:c>
      <x:c r="I12" s="68" t="str">
        <x:v>M17-GEN-0003-V1.0</x:v>
      </x:c>
      <x:c r="J12" s="68" t="str">
        <x:v>两个以上独立关键维度同向可提高定位</x:v>
      </x:c>
      <x:c r="K12" s="68" t="str">
        <x:v>M17-GEN-0010-V1.0</x:v>
      </x:c>
      <x:c r="L12" s="68" t="str">
        <x:v>最终用神不采用固定总分</x:v>
      </x:c>
      <x:c r="M12" s="68" t="str">
        <x:v>同一事实同时被表述为得令、有根、格局需要、病药需要，实际并非独立证据</x:v>
      </x:c>
      <x:c r="N12" s="68" t="str">
        <x:v>只有来源、作用对象或功能路径相互独立的证据才可视为多维同向</x:v>
      </x:c>
      <x:c r="O12" s="68" t="str">
        <x:v>同一节点、同一病因、同一作用链只计一个主权重</x:v>
      </x:c>
      <x:c r="P12" s="68" t="str">
        <x:v>独立强证据优先于重复标签数量</x:v>
      </x:c>
      <x:c r="Q12" s="68" t="str">
        <x:v>重复计数所得的主用或喜神结论降回原始单维等级</x:v>
      </x:c>
      <x:c r="R12" s="84" t="str">
        <x:v>证据去重</x:v>
      </x:c>
      <x:c r="S12" s="68" t="str">
        <x:v>冲突双方均有有效证据且作用于同一原局</x:v>
      </x:c>
      <x:c r="T12" s="68" t="str">
        <x:v>其中一方只是名义候选、已经失效或不作用于主要矛盾</x:v>
      </x:c>
      <x:c r="U12" s="68" t="str">
        <x:v>若被降级一方实际承担不可替代功能，应重新进入本规则复审</x:v>
      </x:c>
      <x:c r="V12" s="68" t="str">
        <x:v>证据接近或存在流派争议时保留并列候选并降低置信度</x:v>
      </x:c>
      <x:c r="W12" s="90" t="str">
        <x:v>在标准输出中注明哪些证据同源、哪些真正独立</x:v>
      </x:c>
      <x:c r="X12" s="84" t="str">
        <x:v>同源证据去重</x:v>
      </x:c>
      <x:c r="Y12" s="84" t="str">
        <x:v>冲突主题：证据去重与多维同向冲突。裁决结果为“证据去重”；优先采用：独立强证据优先于重复标签数量；降级处理：重复计数所得的主用或喜神结论降回原始单维等级。同时控制副作用：在标准输出中注明哪些证据同源、哪些真正独立。</x:v>
      </x:c>
      <x:c r="Z12" s="82" t="str">
        <x:v>较高</x:v>
      </x:c>
      <x:c r="AA12" s="82" t="str">
        <x:v>现代综合</x:v>
      </x:c>
      <x:c r="AB1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2" s="68" t="str">
        <x:v>当“同一事实同时被表述为得令、有根、格局需要、病药需要，实际并非独立证据”成立，且硬约束与主次证据清晰时，可按本规则裁决。</x:v>
      </x:c>
      <x:c r="AD12" s="90" t="str">
        <x:v>若冲突双方并未同时有效，或“其中一方只是名义候选、已经失效或不作用于主要矛盾”成立，不得套用本规则制造假冲突。</x:v>
      </x:c>
      <x:c r="AE12" s="82" t="str">
        <x:v>采用</x:v>
      </x:c>
      <x:c r="AF12" s="82" t="str">
        <x:v>初审</x:v>
      </x:c>
      <x:c r="AG12" s="87" t="n">
        <x:v>46260</x:v>
      </x:c>
    </x:row>
    <x:row r="13">
      <x:c r="A13" s="72" t="str">
        <x:f>IF(OR(C13="",D13=""),"",B13&amp;"-"&amp;UPPER(C13)&amp;"-"&amp;TEXT(D13,"0000")&amp;"-"&amp;E13)</x:f>
        <x:v>M18-GEN-0007-V1.0</x:v>
      </x:c>
      <x:c r="B13" s="74" t="str">
        <x:v>M18</x:v>
      </x:c>
      <x:c r="C13" s="74" t="str">
        <x:v>GEN</x:v>
      </x:c>
      <x:c r="D13" s="215" t="n">
        <x:v>7</x:v>
      </x:c>
      <x:c r="E13" s="74" t="str">
        <x:v>V1.0</x:v>
      </x:c>
      <x:c r="F13" s="68" t="str">
        <x:v>直接作用路径优先于间接长链路径</x:v>
      </x:c>
      <x:c r="G13" s="82" t="str">
        <x:v>综合层</x:v>
      </x:c>
      <x:c r="H13" s="68" t="str">
        <x:v>直接药路与间接药路冲突</x:v>
      </x:c>
      <x:c r="I13" s="68" t="str">
        <x:v>M16-MED-0081-V1.0</x:v>
      </x:c>
      <x:c r="J13" s="68" t="str">
        <x:v>药神作用路径越直接越适合作为主药</x:v>
      </x:c>
      <x:c r="K13" s="68" t="str">
        <x:v>M16-FLOW-0033-V1.0</x:v>
      </x:c>
      <x:c r="L13" s="68" t="str">
        <x:v>长链存在传递耗散与容量限制</x:v>
      </x:c>
      <x:c r="M13" s="68" t="str">
        <x:v>两个候选都能理论解决同一病位，但一个路径短且稳定，另一个依赖多层弱桥梁</x:v>
      </x:c>
      <x:c r="N13" s="68" t="str">
        <x:v>直接路径必须不触犯格局硬约束且药神自身有效</x:v>
      </x:c>
      <x:c r="O13" s="68" t="str">
        <x:v>在净副作用相近时，短、稳、直接的作用路径优先</x:v>
      </x:c>
      <x:c r="P13" s="68" t="str">
        <x:v>直接进入病位且桥梁最少者优先</x:v>
      </x:c>
      <x:c r="Q13" s="68" t="str">
        <x:v>长链候选降为辅助、替代方案或条件性喜神</x:v>
      </x:c>
      <x:c r="R13" s="84" t="str">
        <x:v>直接路径优先</x:v>
      </x:c>
      <x:c r="S13" s="68" t="str">
        <x:v>冲突双方均有有效证据且作用于同一原局</x:v>
      </x:c>
      <x:c r="T13" s="68" t="str">
        <x:v>其中一方只是名义候选、已经失效或不作用于主要矛盾</x:v>
      </x:c>
      <x:c r="U13" s="68" t="str">
        <x:v>若被降级一方实际承担不可替代功能，应重新进入本规则复审</x:v>
      </x:c>
      <x:c r="V13" s="68" t="str">
        <x:v>证据接近或存在流派争议时保留并列候选并降低置信度</x:v>
      </x:c>
      <x:c r="W13" s="90" t="str">
        <x:v>直接药路若副作用更大，仍需转净收益裁决而非机械优先</x:v>
      </x:c>
      <x:c r="X13" s="84" t="str">
        <x:v>直接路径优先</x:v>
      </x:c>
      <x:c r="Y13" s="84" t="str">
        <x:v>冲突主题：直接药路与间接药路冲突。裁决结果为“直接路径优先”；优先采用：直接进入病位且桥梁最少者优先；降级处理：长链候选降为辅助、替代方案或条件性喜神。同时控制副作用：直接药路若副作用更大，仍需转净收益裁决而非机械优先。</x:v>
      </x:c>
      <x:c r="Z13" s="82" t="str">
        <x:v>较高</x:v>
      </x:c>
      <x:c r="AA13" s="82" t="str">
        <x:v>现代综合</x:v>
      </x:c>
      <x:c r="AB1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3" s="68" t="str">
        <x:v>当“两个候选都能理论解决同一病位，但一个路径短且稳定，另一个依赖多层弱桥梁”成立，且硬约束与主次证据清晰时，可按本规则裁决。</x:v>
      </x:c>
      <x:c r="AD13" s="90" t="str">
        <x:v>若冲突双方并未同时有效，或“其中一方只是名义候选、已经失效或不作用于主要矛盾”成立，不得套用本规则制造假冲突。</x:v>
      </x:c>
      <x:c r="AE13" s="82" t="str">
        <x:v>采用</x:v>
      </x:c>
      <x:c r="AF13" s="82" t="str">
        <x:v>初审</x:v>
      </x:c>
      <x:c r="AG13" s="87" t="n">
        <x:v>46260</x:v>
      </x:c>
    </x:row>
    <x:row r="14">
      <x:c r="A14" s="72" t="str">
        <x:f>IF(OR(C14="",D14=""),"",B14&amp;"-"&amp;UPPER(C14)&amp;"-"&amp;TEXT(D14,"0000")&amp;"-"&amp;E14)</x:f>
        <x:v>M18-GEN-0008-V1.0</x:v>
      </x:c>
      <x:c r="B14" s="74" t="str">
        <x:v>M18</x:v>
      </x:c>
      <x:c r="C14" s="74" t="str">
        <x:v>GEN</x:v>
      </x:c>
      <x:c r="D14" s="215" t="n">
        <x:v>8</x:v>
      </x:c>
      <x:c r="E14" s="74" t="str">
        <x:v>V1.0</x:v>
      </x:c>
      <x:c r="F14" s="68" t="str">
        <x:v>证据接近时保持条件性或待定</x:v>
      </x:c>
      <x:c r="G14" s="82" t="str">
        <x:v>综合层</x:v>
      </x:c>
      <x:c r="H14" s="68" t="str">
        <x:v>多维证据接近与强行唯一化冲突</x:v>
      </x:c>
      <x:c r="I14" s="68" t="str">
        <x:v>M17-GEN-0009-V1.0</x:v>
      </x:c>
      <x:c r="J14" s="68" t="str">
        <x:v>收益与伤害接近时保持待定</x:v>
      </x:c>
      <x:c r="K14" s="68" t="str">
        <x:v>M16-RANK-0102-V1.0</x:v>
      </x:c>
      <x:c r="L14" s="68" t="str">
        <x:v>病药证据冲突大时降低置信度</x:v>
      </x:c>
      <x:c r="M14" s="68" t="str">
        <x:v>两种用神路线均有实质证据，且无硬约束足以排除任一方</x:v>
      </x:c>
      <x:c r="N14" s="68" t="str">
        <x:v>不得用主观偏好或单一流派术语强行唯一化</x:v>
      </x:c>
      <x:c r="O14" s="68" t="str">
        <x:v>并列保留候选、成立条件、反向证据和触发边界</x:v>
      </x:c>
      <x:c r="P14" s="68" t="str">
        <x:v>无固定优先，等待案例回归或更强证据</x:v>
      </x:c>
      <x:c r="Q14" s="68" t="str">
        <x:v>双方均标记条件性或待定，不列无条件主用</x:v>
      </x:c>
      <x:c r="R14" s="84" t="str">
        <x:v>并列待定</x:v>
      </x:c>
      <x:c r="S14" s="68" t="str">
        <x:v>冲突双方均有有效证据且作用于同一原局</x:v>
      </x:c>
      <x:c r="T14" s="68" t="str">
        <x:v>其中一方只是名义候选、已经失效或不作用于主要矛盾</x:v>
      </x:c>
      <x:c r="U14" s="68" t="str">
        <x:v>若被降级一方实际承担不可替代功能，应重新进入本规则复审</x:v>
      </x:c>
      <x:c r="V14" s="68" t="str">
        <x:v>证据接近或存在流派争议时保留并列候选并降低置信度</x:v>
      </x:c>
      <x:c r="W14" s="90" t="str">
        <x:v>降低置信度并转M20边界案例测试、M21争议治理</x:v>
      </x:c>
      <x:c r="X14" s="84" t="str">
        <x:v>证据接近待定</x:v>
      </x:c>
      <x:c r="Y14" s="84" t="str">
        <x:v>冲突主题：多维证据接近与强行唯一化冲突。裁决结果为“并列待定”；优先采用：无固定优先，等待案例回归或更强证据；降级处理：双方均标记条件性或待定，不列无条件主用。同时控制副作用：降低置信度并转M20边界案例测试、M21争议治理。</x:v>
      </x:c>
      <x:c r="Z14" s="82" t="str">
        <x:v>中等</x:v>
      </x:c>
      <x:c r="AA14" s="82" t="str">
        <x:v>现代综合</x:v>
      </x:c>
      <x:c r="AB1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4" s="68" t="str">
        <x:v>当“两种用神路线均有实质证据，且无硬约束足以排除任一方”成立，且硬约束与主次证据清晰时，可按本规则裁决。</x:v>
      </x:c>
      <x:c r="AD14" s="90" t="str">
        <x:v>若冲突双方并未同时有效，或“其中一方只是名义候选、已经失效或不作用于主要矛盾”成立，不得套用本规则制造假冲突。</x:v>
      </x:c>
      <x:c r="AE14" s="82" t="str">
        <x:v>待验证</x:v>
      </x:c>
      <x:c r="AF14" s="82" t="str">
        <x:v>初审</x:v>
      </x:c>
      <x:c r="AG14" s="87" t="n">
        <x:v>46260</x:v>
      </x:c>
    </x:row>
    <x:row r="15">
      <x:c r="A15" s="72" t="str">
        <x:f>IF(OR(C15="",D15=""),"",B15&amp;"-"&amp;UPPER(C15)&amp;"-"&amp;TEXT(D15,"0000")&amp;"-"&amp;E15)</x:f>
        <x:v>M18-SPECIAL-0009-V1.0</x:v>
      </x:c>
      <x:c r="B15" s="74" t="str">
        <x:v>M18</x:v>
      </x:c>
      <x:c r="C15" s="74" t="str">
        <x:v>SPECIAL</x:v>
      </x:c>
      <x:c r="D15" s="215" t="n">
        <x:v>9</x:v>
      </x:c>
      <x:c r="E15" s="74" t="str">
        <x:v>V1.0</x:v>
      </x:c>
      <x:c r="F15" s="68" t="str">
        <x:v>严格特殊格局优先于普通扶抑</x:v>
      </x:c>
      <x:c r="G15" s="82" t="str">
        <x:v>综合层</x:v>
      </x:c>
      <x:c r="H15" s="68" t="str">
        <x:v>特殊格局与普通扶抑冲突</x:v>
      </x:c>
      <x:c r="I15" s="68" t="str">
        <x:v>M17-GEJU-0031-V1.0</x:v>
      </x:c>
      <x:c r="J15" s="68" t="str">
        <x:v>真从格以顺从主势者为格局用神</x:v>
      </x:c>
      <x:c r="K15" s="68" t="str">
        <x:v>M17-FUYI-0011-V1.0</x:v>
      </x:c>
      <x:c r="L15" s="68" t="str">
        <x:v>普通身弱可用印星扶身</x:v>
      </x:c>
      <x:c r="M15" s="68" t="str">
        <x:v>真从、真化或专旺严格成立，但普通旺衰逻辑提出逆势扶抑</x:v>
      </x:c>
      <x:c r="N15" s="68" t="str">
        <x:v>M15必须判特殊格局严格成立，且无有效强根、逆神或破格证据</x:v>
      </x:c>
      <x:c r="O15" s="68" t="str">
        <x:v>严格特殊格局成立条件属于优先硬约束</x:v>
      </x:c>
      <x:c r="P15" s="68" t="str">
        <x:v>顺势护格方案优先</x:v>
      </x:c>
      <x:c r="Q15" s="68" t="str">
        <x:v>普通扶抑结论降为不采用或条件性忌神</x:v>
      </x:c>
      <x:c r="R15" s="84" t="str">
        <x:v>特殊格局优先</x:v>
      </x:c>
      <x:c r="S15" s="68" t="str">
        <x:v>冲突双方均有有效证据且作用于同一原局</x:v>
      </x:c>
      <x:c r="T15" s="68" t="str">
        <x:v>其中一方只是名义候选、已经失效或不作用于主要矛盾</x:v>
      </x:c>
      <x:c r="U15" s="68" t="str">
        <x:v>若被降级一方实际承担不可替代功能，应重新进入本规则复审</x:v>
      </x:c>
      <x:c r="V15" s="68" t="str">
        <x:v>证据接近或存在流派争议时保留并列候选并降低置信度</x:v>
      </x:c>
      <x:c r="W15" s="90" t="str">
        <x:v>仍保留不破格的最低限度调候和流通需求</x:v>
      </x:c>
      <x:c r="X15" s="84" t="str">
        <x:v>特殊格局优先</x:v>
      </x:c>
      <x:c r="Y15" s="84" t="str">
        <x:v>冲突主题：特殊格局与普通扶抑冲突。裁决结果为“特殊格局优先”；优先采用：顺势护格方案优先；降级处理：普通扶抑结论降为不采用或条件性忌神。同时控制副作用：仍保留不破格的最低限度调候和流通需求。</x:v>
      </x:c>
      <x:c r="Z15" s="82" t="str">
        <x:v>较高</x:v>
      </x:c>
      <x:c r="AA15" s="82" t="str">
        <x:v>现代综合</x:v>
      </x:c>
      <x:c r="AB1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5" s="68" t="str">
        <x:v>当“真从、真化或专旺严格成立，但普通旺衰逻辑提出逆势扶抑”成立，且硬约束与主次证据清晰时，可按本规则裁决。</x:v>
      </x:c>
      <x:c r="AD15" s="90" t="str">
        <x:v>若冲突双方并未同时有效，或“其中一方只是名义候选、已经失效或不作用于主要矛盾”成立，不得套用本规则制造假冲突。</x:v>
      </x:c>
      <x:c r="AE15" s="82" t="str">
        <x:v>采用</x:v>
      </x:c>
      <x:c r="AF15" s="82" t="str">
        <x:v>初审</x:v>
      </x:c>
      <x:c r="AG15" s="87" t="n">
        <x:v>46260</x:v>
      </x:c>
    </x:row>
    <x:row r="16">
      <x:c r="A16" s="72" t="str">
        <x:f>IF(OR(C16="",D16=""),"",B16&amp;"-"&amp;UPPER(C16)&amp;"-"&amp;TEXT(D16,"0000")&amp;"-"&amp;E16)</x:f>
        <x:v>M18-SPECIAL-0010-V1.0</x:v>
      </x:c>
      <x:c r="B16" s="74" t="str">
        <x:v>M18</x:v>
      </x:c>
      <x:c r="C16" s="74" t="str">
        <x:v>SPECIAL</x:v>
      </x:c>
      <x:c r="D16" s="215" t="n">
        <x:v>10</x:v>
      </x:c>
      <x:c r="E16" s="74" t="str">
        <x:v>V1.0</x:v>
      </x:c>
      <x:c r="F16" s="68" t="str">
        <x:v>假从假化或特殊格局候选不得压过普通逻辑</x:v>
      </x:c>
      <x:c r="G16" s="82" t="str">
        <x:v>综合层</x:v>
      </x:c>
      <x:c r="H16" s="68" t="str">
        <x:v>非严格特殊格局与普通旺衰冲突</x:v>
      </x:c>
      <x:c r="I16" s="68" t="str">
        <x:v>M15-CONG-0069-V1.0</x:v>
      </x:c>
      <x:c r="J16" s="68" t="str">
        <x:v>假从只能判成立但有破或待定</x:v>
      </x:c>
      <x:c r="K16" s="68" t="str">
        <x:v>M17-FUYI-0011-V1.0</x:v>
      </x:c>
      <x:c r="L16" s="68" t="str">
        <x:v>普通身弱存在扶身需求</x:v>
      </x:c>
      <x:c r="M16" s="68" t="str">
        <x:v>假从、假化或专旺候选仍有有效反向力量，却试图按真格完全排斥普通扶抑</x:v>
      </x:c>
      <x:c r="N16" s="68" t="str">
        <x:v>假从、假化及仅候选状态不构成完全顺势硬约束</x:v>
      </x:c>
      <x:c r="O16" s="68" t="str">
        <x:v>保留原气、根气和普通承载需求，按双重结构综合</x:v>
      </x:c>
      <x:c r="P16" s="68" t="str">
        <x:v>能解释有效反向证据和实际承载的一方优先</x:v>
      </x:c>
      <x:c r="Q16" s="68" t="str">
        <x:v>特殊格局仅保留条件性候选，不得无条件定顺势用神</x:v>
      </x:c>
      <x:c r="R16" s="84" t="str">
        <x:v>退回普通综合</x:v>
      </x:c>
      <x:c r="S16" s="68" t="str">
        <x:v>冲突双方均有有效证据且作用于同一原局</x:v>
      </x:c>
      <x:c r="T16" s="68" t="str">
        <x:v>其中一方只是名义候选、已经失效或不作用于主要矛盾</x:v>
      </x:c>
      <x:c r="U16" s="68" t="str">
        <x:v>若被降级一方实际承担不可替代功能，应重新进入本规则复审</x:v>
      </x:c>
      <x:c r="V16" s="68" t="str">
        <x:v>证据接近或存在流派争议时保留并列候选并降低置信度</x:v>
      </x:c>
      <x:c r="W16" s="90" t="str">
        <x:v>标明何种条件下可能趋近真从/真化，避免混用</x:v>
      </x:c>
      <x:c r="X16" s="84" t="str">
        <x:v>假格不压普通逻辑</x:v>
      </x:c>
      <x:c r="Y16" s="84" t="str">
        <x:v>冲突主题：非严格特殊格局与普通旺衰冲突。裁决结果为“退回普通综合”；优先采用：能解释有效反向证据和实际承载的一方优先；降级处理：特殊格局仅保留条件性候选，不得无条件定顺势用神。同时控制副作用：标明何种条件下可能趋近真从/真化，避免混用。</x:v>
      </x:c>
      <x:c r="Z16" s="82" t="str">
        <x:v>较高</x:v>
      </x:c>
      <x:c r="AA16" s="82" t="str">
        <x:v>现代综合</x:v>
      </x:c>
      <x:c r="AB1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6" s="68" t="str">
        <x:v>当“假从、假化或专旺候选仍有有效反向力量，却试图按真格完全排斥普通扶抑”成立，且硬约束与主次证据清晰时，可按本规则裁决。</x:v>
      </x:c>
      <x:c r="AD16" s="90" t="str">
        <x:v>若冲突双方并未同时有效，或“其中一方只是名义候选、已经失效或不作用于主要矛盾”成立，不得套用本规则制造假冲突。</x:v>
      </x:c>
      <x:c r="AE16" s="82" t="str">
        <x:v>采用</x:v>
      </x:c>
      <x:c r="AF16" s="82" t="str">
        <x:v>初审</x:v>
      </x:c>
      <x:c r="AG16" s="87" t="n">
        <x:v>46260</x:v>
      </x:c>
    </x:row>
    <x:row r="17">
      <x:c r="A17" s="72" t="str">
        <x:f>IF(OR(C17="",D17=""),"",B17&amp;"-"&amp;UPPER(C17)&amp;"-"&amp;TEXT(D17,"0000")&amp;"-"&amp;E17)</x:f>
        <x:v>M18-SPECIAL-0011-V1.0</x:v>
      </x:c>
      <x:c r="B17" s="74" t="str">
        <x:v>M18</x:v>
      </x:c>
      <x:c r="C17" s="74" t="str">
        <x:v>SPECIAL</x:v>
      </x:c>
      <x:c r="D17" s="215" t="n">
        <x:v>11</x:v>
      </x:c>
      <x:c r="E17" s="74" t="str">
        <x:v>V1.0</x:v>
      </x:c>
      <x:c r="F17" s="68" t="str">
        <x:v>严格特殊格局与极端调候冲突时采用不破格的最低干预</x:v>
      </x:c>
      <x:c r="G17" s="82" t="str">
        <x:v>综合层</x:v>
      </x:c>
      <x:c r="H17" s="68" t="str">
        <x:v>特殊格局与首要调候冲突</x:v>
      </x:c>
      <x:c r="I17" s="68" t="str">
        <x:v>M17-GEJU-0031-V1.0</x:v>
      </x:c>
      <x:c r="J17" s="68" t="str">
        <x:v>真从格维护主势属于格局硬约束</x:v>
      </x:c>
      <x:c r="K17" s="68" t="str">
        <x:v>M17-TIAOHOU-0046-V1.0</x:v>
      </x:c>
      <x:c r="L17" s="68" t="str">
        <x:v>寒湿根本病时火可升为主药候选</x:v>
      </x:c>
      <x:c r="M17" s="68" t="str">
        <x:v>特殊格局严格成立，但寒凝、极热、极湿或极燥已造成基础生化停顿</x:v>
      </x:c>
      <x:c r="N17" s="68" t="str">
        <x:v>不得用足以根本破格的调候强度；同时不得忽略已达首要矛盾的生化停顿</x:v>
      </x:c>
      <x:c r="O17" s="68" t="str">
        <x:v>先寻找顺势兼容的调候路径；无兼容方案时只采用最低必要干预</x:v>
      </x:c>
      <x:c r="P17" s="68" t="str">
        <x:v>不破特殊格局且能恢复最低生化条件的方案优先</x:v>
      </x:c>
      <x:c r="Q17" s="68" t="str">
        <x:v>与格局正面冲突的调候五行降为条件性辅助或不采用</x:v>
      </x:c>
      <x:c r="R17" s="84" t="str">
        <x:v>格局约束下调候</x:v>
      </x:c>
      <x:c r="S17" s="68" t="str">
        <x:v>冲突双方均有有效证据且作用于同一原局</x:v>
      </x:c>
      <x:c r="T17" s="68" t="str">
        <x:v>其中一方只是名义候选、已经失效或不作用于主要矛盾</x:v>
      </x:c>
      <x:c r="U17" s="68" t="str">
        <x:v>若被降级一方实际承担不可替代功能，应重新进入本规则复审</x:v>
      </x:c>
      <x:c r="V17" s="68" t="str">
        <x:v>证据接近或存在流派争议时保留并列候选并降低置信度</x:v>
      </x:c>
      <x:c r="W17" s="90" t="str">
        <x:v>严格限定强度，并记录调候不足与破格风险两端边界</x:v>
      </x:c>
      <x:c r="X17" s="84" t="str">
        <x:v>特殊格局调候最低干预</x:v>
      </x:c>
      <x:c r="Y17" s="84" t="str">
        <x:v>冲突主题：特殊格局与首要调候冲突。裁决结果为“格局约束下调候”；优先采用：不破特殊格局且能恢复最低生化条件的方案优先；降级处理：与格局正面冲突的调候五行降为条件性辅助或不采用。同时控制副作用：严格限定强度，并记录调候不足与破格风险两端边界。</x:v>
      </x:c>
      <x:c r="Z17" s="82" t="str">
        <x:v>较高</x:v>
      </x:c>
      <x:c r="AA17" s="82" t="str">
        <x:v>现代综合</x:v>
      </x:c>
      <x:c r="AB1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7" s="68" t="str">
        <x:v>当“特殊格局严格成立，但寒凝、极热、极湿或极燥已造成基础生化停顿”成立，且硬约束与主次证据清晰时，可按本规则裁决。</x:v>
      </x:c>
      <x:c r="AD17" s="90" t="str">
        <x:v>若冲突双方并未同时有效，或“其中一方只是名义候选、已经失效或不作用于主要矛盾”成立，不得套用本规则制造假冲突。</x:v>
      </x:c>
      <x:c r="AE17" s="82" t="str">
        <x:v>采用</x:v>
      </x:c>
      <x:c r="AF17" s="82" t="str">
        <x:v>初审</x:v>
      </x:c>
      <x:c r="AG17" s="87" t="n">
        <x:v>46260</x:v>
      </x:c>
    </x:row>
    <x:row r="18">
      <x:c r="A18" s="72" t="str">
        <x:f>IF(OR(C18="",D18=""),"",B18&amp;"-"&amp;UPPER(C18)&amp;"-"&amp;TEXT(D18,"0000")&amp;"-"&amp;E18)</x:f>
        <x:v>M18-SPECIAL-0012-V1.0</x:v>
      </x:c>
      <x:c r="B18" s="74" t="str">
        <x:v>M18</x:v>
      </x:c>
      <x:c r="C18" s="74" t="str">
        <x:v>SPECIAL</x:v>
      </x:c>
      <x:c r="D18" s="215" t="n">
        <x:v>12</x:v>
      </x:c>
      <x:c r="E18" s="74" t="str">
        <x:v>V1.0</x:v>
      </x:c>
      <x:c r="F18" s="68" t="str">
        <x:v>严格特殊格局与通关冲突时优先选择顺势桥梁</x:v>
      </x:c>
      <x:c r="G18" s="82" t="str">
        <x:v>综合层</x:v>
      </x:c>
      <x:c r="H18" s="68" t="str">
        <x:v>特殊格局与通关用神冲突</x:v>
      </x:c>
      <x:c r="I18" s="68" t="str">
        <x:v>M17-GEJU-0033-V1.0</x:v>
      </x:c>
      <x:c r="J18" s="68" t="str">
        <x:v>专旺格以顺一气并防逆神为用神方向</x:v>
      </x:c>
      <x:c r="K18" s="68" t="str">
        <x:v>M17-TONGGUAN-0035-V1.0</x:v>
      </x:c>
      <x:c r="L18" s="68" t="str">
        <x:v>克战可用桥梁五行通关</x:v>
      </x:c>
      <x:c r="M18" s="68" t="str">
        <x:v>通关候选能缓解局部相战，但会引入有效逆神并破坏特殊主势</x:v>
      </x:c>
      <x:c r="N18" s="68" t="str">
        <x:v>特殊格局严格成立时，桥梁不得成为根本逆势集团</x:v>
      </x:c>
      <x:c r="O18" s="68" t="str">
        <x:v>优先采用顺主势、可兼作桥梁的五行；无兼容桥梁则保留局部不通而不破格</x:v>
      </x:c>
      <x:c r="P18" s="68" t="str">
        <x:v>顺势通关或不破格替代路径优先</x:v>
      </x:c>
      <x:c r="Q18" s="68" t="str">
        <x:v>逆势通关五行降为条件性忌神或不采用</x:v>
      </x:c>
      <x:c r="R18" s="84" t="str">
        <x:v>顺势通关</x:v>
      </x:c>
      <x:c r="S18" s="68" t="str">
        <x:v>冲突双方均有有效证据且作用于同一原局</x:v>
      </x:c>
      <x:c r="T18" s="68" t="str">
        <x:v>其中一方只是名义候选、已经失效或不作用于主要矛盾</x:v>
      </x:c>
      <x:c r="U18" s="68" t="str">
        <x:v>若被降级一方实际承担不可替代功能，应重新进入本规则复审</x:v>
      </x:c>
      <x:c r="V18" s="68" t="str">
        <x:v>证据接近或存在流派争议时保留并列候选并降低置信度</x:v>
      </x:c>
      <x:c r="W18" s="90" t="str">
        <x:v>记录未完全解决的局部卡点，不伪装成全局通畅</x:v>
      </x:c>
      <x:c r="X18" s="84" t="str">
        <x:v>特殊格局顺势通关</x:v>
      </x:c>
      <x:c r="Y18" s="84" t="str">
        <x:v>冲突主题：特殊格局与通关用神冲突。裁决结果为“顺势通关”；优先采用：顺势通关或不破格替代路径优先；降级处理：逆势通关五行降为条件性忌神或不采用。同时控制副作用：记录未完全解决的局部卡点，不伪装成全局通畅。</x:v>
      </x:c>
      <x:c r="Z18" s="82" t="str">
        <x:v>较高</x:v>
      </x:c>
      <x:c r="AA18" s="82" t="str">
        <x:v>现代综合</x:v>
      </x:c>
      <x:c r="AB1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8" s="68" t="str">
        <x:v>当“通关候选能缓解局部相战，但会引入有效逆神并破坏特殊主势”成立，且硬约束与主次证据清晰时，可按本规则裁决。</x:v>
      </x:c>
      <x:c r="AD18" s="90" t="str">
        <x:v>若冲突双方并未同时有效，或“其中一方只是名义候选、已经失效或不作用于主要矛盾”成立，不得套用本规则制造假冲突。</x:v>
      </x:c>
      <x:c r="AE18" s="82" t="str">
        <x:v>采用</x:v>
      </x:c>
      <x:c r="AF18" s="82" t="str">
        <x:v>初审</x:v>
      </x:c>
      <x:c r="AG18" s="87" t="n">
        <x:v>46260</x:v>
      </x:c>
    </x:row>
    <x:row r="19">
      <x:c r="A19" s="72" t="str">
        <x:f>IF(OR(C19="",D19=""),"",B19&amp;"-"&amp;UPPER(C19)&amp;"-"&amp;TEXT(D19,"0000")&amp;"-"&amp;E19)</x:f>
        <x:v>M18-SPECIAL-0013-V1.0</x:v>
      </x:c>
      <x:c r="B19" s="74" t="str">
        <x:v>M18</x:v>
      </x:c>
      <x:c r="C19" s="74" t="str">
        <x:v>SPECIAL</x:v>
      </x:c>
      <x:c r="D19" s="215" t="n">
        <x:v>13</x:v>
      </x:c>
      <x:c r="E19" s="74" t="str">
        <x:v>V1.0</x:v>
      </x:c>
      <x:c r="F19" s="68" t="str">
        <x:v>严格特殊格局与普通病药冲突时先重审病的定义</x:v>
      </x:c>
      <x:c r="G19" s="82" t="str">
        <x:v>综合层</x:v>
      </x:c>
      <x:c r="H19" s="68" t="str">
        <x:v>特殊格局与普通病药冲突</x:v>
      </x:c>
      <x:c r="I19" s="68" t="str">
        <x:v>M17-GEJU-0031-V1.0</x:v>
      </x:c>
      <x:c r="J19" s="68" t="str">
        <x:v>真从格不按普通身弱扶抑</x:v>
      </x:c>
      <x:c r="K19" s="68" t="str">
        <x:v>M17-BINGYAO-0055-V1.0</x:v>
      </x:c>
      <x:c r="L19" s="68" t="str">
        <x:v>M16根本主病直接主药优先进入主用候选</x:v>
      </x:c>
      <x:c r="M19" s="68" t="str">
        <x:v>M16按普通旺衰立病，而M15已确认该旺弱正是特殊格局成立条件</x:v>
      </x:c>
      <x:c r="N19" s="68" t="str">
        <x:v>顺势成格条件不能被误判为普通病位</x:v>
      </x:c>
      <x:c r="O19" s="68" t="str">
        <x:v>先重审M16病位是否在特殊格局语境下仍为功能障碍</x:v>
      </x:c>
      <x:c r="P19" s="68" t="str">
        <x:v>特殊格局内部真正的破格、流通或调候病优先</x:v>
      </x:c>
      <x:c r="Q19" s="68" t="str">
        <x:v>普通身弱、身旺病药若与成格条件同义则取消或降为中性</x:v>
      </x:c>
      <x:c r="R19" s="84" t="str">
        <x:v>重定病位</x:v>
      </x:c>
      <x:c r="S19" s="68" t="str">
        <x:v>冲突双方均有有效证据且作用于同一原局</x:v>
      </x:c>
      <x:c r="T19" s="68" t="str">
        <x:v>其中一方只是名义候选、已经失效或不作用于主要矛盾</x:v>
      </x:c>
      <x:c r="U19" s="68" t="str">
        <x:v>若被降级一方实际承担不可替代功能，应重新进入本规则复审</x:v>
      </x:c>
      <x:c r="V19" s="68" t="str">
        <x:v>证据接近或存在流派争议时保留并列候选并降低置信度</x:v>
      </x:c>
      <x:c r="W19" s="90" t="str">
        <x:v>只保留特殊格局内部的真实逆神、破格和生化停顿问题</x:v>
      </x:c>
      <x:c r="X19" s="84" t="str">
        <x:v>特殊格局重审病位</x:v>
      </x:c>
      <x:c r="Y19" s="84" t="str">
        <x:v>冲突主题：特殊格局与普通病药冲突。裁决结果为“重定病位”；优先采用：特殊格局内部真正的破格、流通或调候病优先；降级处理：普通身弱、身旺病药若与成格条件同义则取消或降为中性。同时控制副作用：只保留特殊格局内部的真实逆神、破格和生化停顿问题。</x:v>
      </x:c>
      <x:c r="Z19" s="82" t="str">
        <x:v>较高</x:v>
      </x:c>
      <x:c r="AA19" s="82" t="str">
        <x:v>现代综合</x:v>
      </x:c>
      <x:c r="AB1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9" s="68" t="str">
        <x:v>当“M16按普通旺衰立病，而M15已确认该旺弱正是特殊格局成立条件”成立，且硬约束与主次证据清晰时，可按本规则裁决。</x:v>
      </x:c>
      <x:c r="AD19" s="90" t="str">
        <x:v>若冲突双方并未同时有效，或“其中一方只是名义候选、已经失效或不作用于主要矛盾”成立，不得套用本规则制造假冲突。</x:v>
      </x:c>
      <x:c r="AE19" s="82" t="str">
        <x:v>采用</x:v>
      </x:c>
      <x:c r="AF19" s="82" t="str">
        <x:v>初审</x:v>
      </x:c>
      <x:c r="AG19" s="87" t="n">
        <x:v>46260</x:v>
      </x:c>
    </x:row>
    <x:row r="20">
      <x:c r="A20" s="72" t="str">
        <x:f>IF(OR(C20="",D20=""),"",B20&amp;"-"&amp;UPPER(C20)&amp;"-"&amp;TEXT(D20,"0000")&amp;"-"&amp;E20)</x:f>
        <x:v>M18-SPECIAL-0014-V1.0</x:v>
      </x:c>
      <x:c r="B20" s="74" t="str">
        <x:v>M18</x:v>
      </x:c>
      <x:c r="C20" s="74" t="str">
        <x:v>SPECIAL</x:v>
      </x:c>
      <x:c r="D20" s="215" t="n">
        <x:v>14</x:v>
      </x:c>
      <x:c r="E20" s="74" t="str">
        <x:v>V1.0</x:v>
      </x:c>
      <x:c r="F20" s="68" t="str">
        <x:v>真从格与扶身冲突时顺势为硬约束</x:v>
      </x:c>
      <x:c r="G20" s="82" t="str">
        <x:v>综合层</x:v>
      </x:c>
      <x:c r="H20" s="68" t="str">
        <x:v>从格与普通扶抑冲突</x:v>
      </x:c>
      <x:c r="I20" s="68" t="str">
        <x:v>M15-CONG-0061-V1.0</x:v>
      </x:c>
      <x:c r="J20" s="68" t="str">
        <x:v>真从严格成立要求日主极弱无依且主势绝对集中</x:v>
      </x:c>
      <x:c r="K20" s="68" t="str">
        <x:v>M17-FUYI-0013-V1.0</x:v>
      </x:c>
      <x:c r="L20" s="68" t="str">
        <x:v>身弱财旺时比肩可扶身承财</x:v>
      </x:c>
      <x:c r="M20" s="68" t="str">
        <x:v>真从财、从官杀或从势成立，但印比扶身候选会使日主自立</x:v>
      </x:c>
      <x:c r="N20" s="68" t="str">
        <x:v>无根无印比与主势绝对集中是从格硬条件</x:v>
      </x:c>
      <x:c r="O20" s="68" t="str">
        <x:v>扶身会直接破从时不得采用</x:v>
      </x:c>
      <x:c r="P20" s="68" t="str">
        <x:v>顺从主势的格局用神优先</x:v>
      </x:c>
      <x:c r="Q20" s="68" t="str">
        <x:v>印比扶身定为忌神；生助印比者可定仇神</x:v>
      </x:c>
      <x:c r="R20" s="84" t="str">
        <x:v>从格顺势</x:v>
      </x:c>
      <x:c r="S20" s="68" t="str">
        <x:v>冲突双方均有有效证据且作用于同一原局</x:v>
      </x:c>
      <x:c r="T20" s="68" t="str">
        <x:v>其中一方只是名义候选、已经失效或不作用于主要矛盾</x:v>
      </x:c>
      <x:c r="U20" s="68" t="str">
        <x:v>若被降级一方实际承担不可替代功能，应重新进入本规则复审</x:v>
      </x:c>
      <x:c r="V20" s="68" t="str">
        <x:v>证据接近或存在流派争议时保留并列候选并降低置信度</x:v>
      </x:c>
      <x:c r="W20" s="90" t="str">
        <x:v>如发现真实强根或印比，则先否决真从再重做普通扶抑</x:v>
      </x:c>
      <x:c r="X20" s="84" t="str">
        <x:v>从格顺势硬约束</x:v>
      </x:c>
      <x:c r="Y20" s="84" t="str">
        <x:v>冲突主题：从格与普通扶抑冲突。裁决结果为“从格顺势”；优先采用：顺从主势的格局用神优先；降级处理：印比扶身定为忌神；生助印比者可定仇神。同时控制副作用：如发现真实强根或印比，则先否决真从再重做普通扶抑。</x:v>
      </x:c>
      <x:c r="Z20" s="82" t="str">
        <x:v>较高</x:v>
      </x:c>
      <x:c r="AA20" s="82" t="str">
        <x:v>现代综合</x:v>
      </x:c>
      <x:c r="AB2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0" s="68" t="str">
        <x:v>当“真从财、从官杀或从势成立，但印比扶身候选会使日主自立”成立，且硬约束与主次证据清晰时，可按本规则裁决。</x:v>
      </x:c>
      <x:c r="AD20" s="90" t="str">
        <x:v>若冲突双方并未同时有效，或“其中一方只是名义候选、已经失效或不作用于主要矛盾”成立，不得套用本规则制造假冲突。</x:v>
      </x:c>
      <x:c r="AE20" s="82" t="str">
        <x:v>采用</x:v>
      </x:c>
      <x:c r="AF20" s="82" t="str">
        <x:v>初审</x:v>
      </x:c>
      <x:c r="AG20" s="87" t="n">
        <x:v>46260</x:v>
      </x:c>
    </x:row>
    <x:row r="21">
      <x:c r="A21" s="72" t="str">
        <x:f>IF(OR(C21="",D21=""),"",B21&amp;"-"&amp;UPPER(C21)&amp;"-"&amp;TEXT(D21,"0000")&amp;"-"&amp;E21)</x:f>
        <x:v>M18-SPECIAL-0015-V1.0</x:v>
      </x:c>
      <x:c r="B21" s="74" t="str">
        <x:v>M18</x:v>
      </x:c>
      <x:c r="C21" s="74" t="str">
        <x:v>SPECIAL</x:v>
      </x:c>
      <x:c r="D21" s="215" t="n">
        <x:v>15</x:v>
      </x:c>
      <x:c r="E21" s="74" t="str">
        <x:v>V1.0</x:v>
      </x:c>
      <x:c r="F21" s="68" t="str">
        <x:v>真化格与原气扶助冲突时护化神优先</x:v>
      </x:c>
      <x:c r="G21" s="82" t="str">
        <x:v>综合层</x:v>
      </x:c>
      <x:c r="H21" s="68" t="str">
        <x:v>化格与原气扶助冲突</x:v>
      </x:c>
      <x:c r="I21" s="68" t="str">
        <x:v>M15-HUAQI-0071-V1.0</x:v>
      </x:c>
      <x:c r="J21" s="68" t="str">
        <x:v>真化要求化神得势且原气不能自立</x:v>
      </x:c>
      <x:c r="K21" s="68" t="str">
        <x:v>M17-FUYI-0011-V1.0</x:v>
      </x:c>
      <x:c r="L21" s="68" t="str">
        <x:v>普通身弱可用印星扶助原日主</x:v>
      </x:c>
      <x:c r="M21" s="68" t="str">
        <x:v>真化成立后，普通扶助原五行会恢复原气并破坏化神主导</x:v>
      </x:c>
      <x:c r="N21" s="68" t="str">
        <x:v>M15真化严格成立且M08力量已向化神重分配</x:v>
      </x:c>
      <x:c r="O21" s="68" t="str">
        <x:v>按化神重映射结构，不再沿用原日主普通扶抑</x:v>
      </x:c>
      <x:c r="P21" s="68" t="str">
        <x:v>生扶化神、清除破化因素者优先</x:v>
      </x:c>
      <x:c r="Q21" s="68" t="str">
        <x:v>恢复原气强根的五行定为忌神或仇神</x:v>
      </x:c>
      <x:c r="R21" s="84" t="str">
        <x:v>护化神优先</x:v>
      </x:c>
      <x:c r="S21" s="68" t="str">
        <x:v>冲突双方均有有效证据且作用于同一原局</x:v>
      </x:c>
      <x:c r="T21" s="68" t="str">
        <x:v>其中一方只是名义候选、已经失效或不作用于主要矛盾</x:v>
      </x:c>
      <x:c r="U21" s="68" t="str">
        <x:v>若被降级一方实际承担不可替代功能，应重新进入本规则复审</x:v>
      </x:c>
      <x:c r="V21" s="68" t="str">
        <x:v>证据接近或存在流派争议时保留并列候选并降低置信度</x:v>
      </x:c>
      <x:c r="W21" s="90" t="str">
        <x:v>假化或原气仍有强根时不适用，应重回双重结构</x:v>
      </x:c>
      <x:c r="X21" s="84" t="str">
        <x:v>真化护化神</x:v>
      </x:c>
      <x:c r="Y21" s="84" t="str">
        <x:v>冲突主题：化格与原气扶助冲突。裁决结果为“护化神优先”；优先采用：生扶化神、清除破化因素者优先；降级处理：恢复原气强根的五行定为忌神或仇神。同时控制副作用：假化或原气仍有强根时不适用，应重回双重结构。</x:v>
      </x:c>
      <x:c r="Z21" s="82" t="str">
        <x:v>较高</x:v>
      </x:c>
      <x:c r="AA21" s="82" t="str">
        <x:v>现代综合</x:v>
      </x:c>
      <x:c r="AB2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1" s="68" t="str">
        <x:v>当“真化成立后，普通扶助原五行会恢复原气并破坏化神主导”成立，且硬约束与主次证据清晰时，可按本规则裁决。</x:v>
      </x:c>
      <x:c r="AD21" s="90" t="str">
        <x:v>若冲突双方并未同时有效，或“其中一方只是名义候选、已经失效或不作用于主要矛盾”成立，不得套用本规则制造假冲突。</x:v>
      </x:c>
      <x:c r="AE21" s="82" t="str">
        <x:v>采用</x:v>
      </x:c>
      <x:c r="AF21" s="82" t="str">
        <x:v>初审</x:v>
      </x:c>
      <x:c r="AG21" s="87" t="n">
        <x:v>46260</x:v>
      </x:c>
    </x:row>
    <x:row r="22">
      <x:c r="A22" s="72" t="str">
        <x:f>IF(OR(C22="",D22=""),"",B22&amp;"-"&amp;UPPER(C22)&amp;"-"&amp;TEXT(D22,"0000")&amp;"-"&amp;E22)</x:f>
        <x:v>M18-SPECIAL-0016-V1.0</x:v>
      </x:c>
      <x:c r="B22" s="74" t="str">
        <x:v>M18</x:v>
      </x:c>
      <x:c r="C22" s="74" t="str">
        <x:v>SPECIAL</x:v>
      </x:c>
      <x:c r="D22" s="215" t="n">
        <x:v>16</x:v>
      </x:c>
      <x:c r="E22" s="74" t="str">
        <x:v>V1.0</x:v>
      </x:c>
      <x:c r="F22" s="68" t="str">
        <x:v>专旺格与普通制泄冲突时顺一气优先</x:v>
      </x:c>
      <x:c r="G22" s="82" t="str">
        <x:v>综合层</x:v>
      </x:c>
      <x:c r="H22" s="68" t="str">
        <x:v>专旺与普通制泄冲突</x:v>
      </x:c>
      <x:c r="I22" s="68" t="str">
        <x:v>M15-ZHUAN-0079-V1.0</x:v>
      </x:c>
      <x:c r="J22" s="68" t="str">
        <x:v>专旺严格成立要求一气独旺且逆神无效</x:v>
      </x:c>
      <x:c r="K22" s="68" t="str">
        <x:v>M17-FUYI-0019-V1.0</x:v>
      </x:c>
      <x:c r="L22" s="68" t="str">
        <x:v>身旺可用正官制衡</x:v>
      </x:c>
      <x:c r="M22" s="68" t="str">
        <x:v>专旺、曲直、炎上、稼穑、从革或润下严格成立，而普通逻辑提出强克主气</x:v>
      </x:c>
      <x:c r="N22" s="68" t="str">
        <x:v>一气主导与逆神无效是专旺硬条件</x:v>
      </x:c>
      <x:c r="O22" s="68" t="str">
        <x:v>顺主气生化或合理泄秀优先于直接逆克</x:v>
      </x:c>
      <x:c r="P22" s="68" t="str">
        <x:v>维护一气主势的格局用神优先</x:v>
      </x:c>
      <x:c r="Q22" s="68" t="str">
        <x:v>直接形成有效逆克者定为忌神；生逆神者可定仇神</x:v>
      </x:c>
      <x:c r="R22" s="84" t="str">
        <x:v>专旺顺势</x:v>
      </x:c>
      <x:c r="S22" s="68" t="str">
        <x:v>冲突双方均有有效证据且作用于同一原局</x:v>
      </x:c>
      <x:c r="T22" s="68" t="str">
        <x:v>其中一方只是名义候选、已经失效或不作用于主要矛盾</x:v>
      </x:c>
      <x:c r="U22" s="68" t="str">
        <x:v>若被降级一方实际承担不可替代功能，应重新进入本规则复审</x:v>
      </x:c>
      <x:c r="V22" s="68" t="str">
        <x:v>证据接近或存在流派争议时保留并列候选并降低置信度</x:v>
      </x:c>
      <x:c r="W22" s="90" t="str">
        <x:v>若逆神已真实成势，应先否决专旺而非强行护格</x:v>
      </x:c>
      <x:c r="X22" s="84" t="str">
        <x:v>专旺顺势硬约束</x:v>
      </x:c>
      <x:c r="Y22" s="84" t="str">
        <x:v>冲突主题：专旺与普通制泄冲突。裁决结果为“专旺顺势”；优先采用：维护一气主势的格局用神优先；降级处理：直接形成有效逆克者定为忌神；生逆神者可定仇神。同时控制副作用：若逆神已真实成势，应先否决专旺而非强行护格。</x:v>
      </x:c>
      <x:c r="Z22" s="82" t="str">
        <x:v>较高</x:v>
      </x:c>
      <x:c r="AA22" s="82" t="str">
        <x:v>现代综合</x:v>
      </x:c>
      <x:c r="AB2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2" s="68" t="str">
        <x:v>当“专旺、曲直、炎上、稼穑、从革或润下严格成立，而普通逻辑提出强克主气”成立，且硬约束与主次证据清晰时，可按本规则裁决。</x:v>
      </x:c>
      <x:c r="AD22" s="90" t="str">
        <x:v>若冲突双方并未同时有效，或“其中一方只是名义候选、已经失效或不作用于主要矛盾”成立，不得套用本规则制造假冲突。</x:v>
      </x:c>
      <x:c r="AE22" s="82" t="str">
        <x:v>采用</x:v>
      </x:c>
      <x:c r="AF22" s="82" t="str">
        <x:v>初审</x:v>
      </x:c>
      <x:c r="AG22" s="87" t="n">
        <x:v>46260</x:v>
      </x:c>
    </x:row>
    <x:row r="23">
      <x:c r="A23" s="72" t="str">
        <x:f>IF(OR(C23="",D23=""),"",B23&amp;"-"&amp;UPPER(C23)&amp;"-"&amp;TEXT(D23,"0000")&amp;"-"&amp;E23)</x:f>
        <x:v>M18-PATTERN-0017-V1.0</x:v>
      </x:c>
      <x:c r="B23" s="74" t="str">
        <x:v>M18</x:v>
      </x:c>
      <x:c r="C23" s="74" t="str">
        <x:v>PATTERN</x:v>
      </x:c>
      <x:c r="D23" s="215" t="n">
        <x:v>17</x:v>
      </x:c>
      <x:c r="E23" s="74" t="str">
        <x:v>V1.0</x:v>
      </x:c>
      <x:c r="F23" s="68" t="str">
        <x:v>核心格神保护优先于一般扶抑收益</x:v>
      </x:c>
      <x:c r="G23" s="82" t="str">
        <x:v>综合层</x:v>
      </x:c>
      <x:c r="H23" s="68" t="str">
        <x:v>格局用神与普通扶抑冲突</x:v>
      </x:c>
      <x:c r="I23" s="68" t="str">
        <x:v>M17-GEJU-0023-V1.0</x:v>
      </x:c>
      <x:c r="J23" s="68" t="str">
        <x:v>正官格需保护官星与官印/财官主轴</x:v>
      </x:c>
      <x:c r="K23" s="68" t="str">
        <x:v>M17-FUYI-0016-V1.0</x:v>
      </x:c>
      <x:c r="L23" s="68" t="str">
        <x:v>身旺时伤官可泄身</x:v>
      </x:c>
      <x:c r="M23" s="68" t="str">
        <x:v>某五行能改善普通旺衰，却会直接克制、合去或泄损仍有效的核心格神</x:v>
      </x:c>
      <x:c r="N23" s="68" t="str">
        <x:v>核心格局必须已由M15判基本成立以上，格神仍具不可替代主导功能</x:v>
      </x:c>
      <x:c r="O23" s="68" t="str">
        <x:v>保护仍能运行的核心格局优先于一般扶抑优化</x:v>
      </x:c>
      <x:c r="P23" s="68" t="str">
        <x:v>不伤格的替代扶抑方案优先</x:v>
      </x:c>
      <x:c r="Q23" s="68" t="str">
        <x:v>直接伤格的扶抑候选降为条件性忌神或不采用</x:v>
      </x:c>
      <x:c r="R23" s="84" t="str">
        <x:v>护格优先</x:v>
      </x:c>
      <x:c r="S23" s="68" t="str">
        <x:v>冲突双方均有有效证据且作用于同一原局</x:v>
      </x:c>
      <x:c r="T23" s="68" t="str">
        <x:v>其中一方只是名义候选、已经失效或不作用于主要矛盾</x:v>
      </x:c>
      <x:c r="U23" s="68" t="str">
        <x:v>若被降级一方实际承担不可替代功能，应重新进入本规则复审</x:v>
      </x:c>
      <x:c r="V23" s="68" t="str">
        <x:v>证据接近或存在流派争议时保留并列候选并降低置信度</x:v>
      </x:c>
      <x:c r="W23" s="90" t="str">
        <x:v>同时评估护格是否造成日主承载过度，必要时采用辅助平衡而非伤格</x:v>
      </x:c>
      <x:c r="X23" s="84" t="str">
        <x:v>核心格神优先</x:v>
      </x:c>
      <x:c r="Y23" s="84" t="str">
        <x:v>冲突主题：格局用神与普通扶抑冲突。裁决结果为“护格优先”；优先采用：不伤格的替代扶抑方案优先；降级处理：直接伤格的扶抑候选降为条件性忌神或不采用。同时控制副作用：同时评估护格是否造成日主承载过度，必要时采用辅助平衡而非伤格。</x:v>
      </x:c>
      <x:c r="Z23" s="82" t="str">
        <x:v>较高</x:v>
      </x:c>
      <x:c r="AA23" s="82" t="str">
        <x:v>现代综合</x:v>
      </x:c>
      <x:c r="AB2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3" s="68" t="str">
        <x:v>当“某五行能改善普通旺衰，却会直接克制、合去或泄损仍有效的核心格神”成立，且硬约束与主次证据清晰时，可按本规则裁决。</x:v>
      </x:c>
      <x:c r="AD23" s="90" t="str">
        <x:v>若冲突双方并未同时有效，或“其中一方只是名义候选、已经失效或不作用于主要矛盾”成立，不得套用本规则制造假冲突。</x:v>
      </x:c>
      <x:c r="AE23" s="82" t="str">
        <x:v>采用</x:v>
      </x:c>
      <x:c r="AF23" s="82" t="str">
        <x:v>初审</x:v>
      </x:c>
      <x:c r="AG23" s="87" t="n">
        <x:v>46260</x:v>
      </x:c>
    </x:row>
    <x:row r="24">
      <x:c r="A24" s="72" t="str">
        <x:f>IF(OR(C24="",D24=""),"",B24&amp;"-"&amp;UPPER(C24)&amp;"-"&amp;TEXT(D24,"0000")&amp;"-"&amp;E24)</x:f>
        <x:v>M18-PATTERN-0018-V1.0</x:v>
      </x:c>
      <x:c r="B24" s="74" t="str">
        <x:v>M18</x:v>
      </x:c>
      <x:c r="C24" s="74" t="str">
        <x:v>PATTERN</x:v>
      </x:c>
      <x:c r="D24" s="215" t="n">
        <x:v>18</x:v>
      </x:c>
      <x:c r="E24" s="74" t="str">
        <x:v>V1.0</x:v>
      </x:c>
      <x:c r="F24" s="68" t="str">
        <x:v>格局已经根本破格时不再机械护持失效格神</x:v>
      </x:c>
      <x:c r="G24" s="82" t="str">
        <x:v>综合层</x:v>
      </x:c>
      <x:c r="H24" s="68" t="str">
        <x:v>失效格局与护格用神冲突</x:v>
      </x:c>
      <x:c r="I24" s="68" t="str">
        <x:v>M15-GEN-0006-V1.0</x:v>
      </x:c>
      <x:c r="J24" s="68" t="str">
        <x:v>根本破格应判格局不成立</x:v>
      </x:c>
      <x:c r="K24" s="68" t="str">
        <x:v>M17-GEJU-0023-V1.0</x:v>
      </x:c>
      <x:c r="L24" s="68" t="str">
        <x:v>正官格以护官为格局用神方向</x:v>
      </x:c>
      <x:c r="M24" s="68" t="str">
        <x:v>某格局已经因格神失效或核心路径完全中断而不成立，却仍按原格局指定护格用神</x:v>
      </x:c>
      <x:c r="N24" s="68" t="str">
        <x:v>M15根本破格或候选不成立时，原格局不再享有硬约束资格</x:v>
      </x:c>
      <x:c r="O24" s="68" t="str">
        <x:v>转向可运行的替代格局、根本病或主路径重新取用</x:v>
      </x:c>
      <x:c r="P24" s="68" t="str">
        <x:v>能够支持当前真实主结构的方案优先</x:v>
      </x:c>
      <x:c r="Q24" s="68" t="str">
        <x:v>原护格用神降为待定、中性或按其他维度重评</x:v>
      </x:c>
      <x:c r="R24" s="84" t="str">
        <x:v>重定格局</x:v>
      </x:c>
      <x:c r="S24" s="68" t="str">
        <x:v>冲突双方均有有效证据且作用于同一原局</x:v>
      </x:c>
      <x:c r="T24" s="68" t="str">
        <x:v>其中一方只是名义候选、已经失效或不作用于主要矛盾</x:v>
      </x:c>
      <x:c r="U24" s="68" t="str">
        <x:v>若被降级一方实际承担不可替代功能，应重新进入本规则复审</x:v>
      </x:c>
      <x:c r="V24" s="68" t="str">
        <x:v>证据接近或存在流派争议时保留并列候选并降低置信度</x:v>
      </x:c>
      <x:c r="W24" s="90" t="str">
        <x:v>保留原破格事实，但不得为了维持格名牺牲更稳定的替代结构</x:v>
      </x:c>
      <x:c r="X24" s="84" t="str">
        <x:v>失效格局不护</x:v>
      </x:c>
      <x:c r="Y24" s="84" t="str">
        <x:v>冲突主题：失效格局与护格用神冲突。裁决结果为“重定格局”；优先采用：能够支持当前真实主结构的方案优先；降级处理：原护格用神降为待定、中性或按其他维度重评。同时控制副作用：保留原破格事实，但不得为了维持格名牺牲更稳定的替代结构。</x:v>
      </x:c>
      <x:c r="Z24" s="82" t="str">
        <x:v>较高</x:v>
      </x:c>
      <x:c r="AA24" s="82" t="str">
        <x:v>现代综合</x:v>
      </x:c>
      <x:c r="AB2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4" s="68" t="str">
        <x:v>当“某格局已经因格神失效或核心路径完全中断而不成立，却仍按原格局指定护格用神”成立，且硬约束与主次证据清晰时，可按本规则裁决。</x:v>
      </x:c>
      <x:c r="AD24" s="90" t="str">
        <x:v>若冲突双方并未同时有效，或“其中一方只是名义候选、已经失效或不作用于主要矛盾”成立，不得套用本规则制造假冲突。</x:v>
      </x:c>
      <x:c r="AE24" s="82" t="str">
        <x:v>采用</x:v>
      </x:c>
      <x:c r="AF24" s="82" t="str">
        <x:v>初审</x:v>
      </x:c>
      <x:c r="AG24" s="87" t="n">
        <x:v>46260</x:v>
      </x:c>
    </x:row>
    <x:row r="25">
      <x:c r="A25" s="72" t="str">
        <x:f>IF(OR(C25="",D25=""),"",B25&amp;"-"&amp;UPPER(C25)&amp;"-"&amp;TEXT(D25,"0000")&amp;"-"&amp;E25)</x:f>
        <x:v>M18-PATTERN-0019-V1.0</x:v>
      </x:c>
      <x:c r="B25" s="74" t="str">
        <x:v>M18</x:v>
      </x:c>
      <x:c r="C25" s="74" t="str">
        <x:v>PATTERN</x:v>
      </x:c>
      <x:c r="D25" s="215" t="n">
        <x:v>19</x:v>
      </x:c>
      <x:c r="E25" s="74" t="str">
        <x:v>V1.0</x:v>
      </x:c>
      <x:c r="F25" s="68" t="str">
        <x:v>救格与普通扶抑冲突时按救应直接性和格局必要性裁决</x:v>
      </x:c>
      <x:c r="G25" s="82" t="str">
        <x:v>综合层</x:v>
      </x:c>
      <x:c r="H25" s="68" t="str">
        <x:v>救格用神与普通旺衰冲突</x:v>
      </x:c>
      <x:c r="I25" s="68" t="str">
        <x:v>M17-GEJU-0034-V1.0</x:v>
      </x:c>
      <x:c r="J25" s="68" t="str">
        <x:v>有破有救格局中的救应五行通常列辅助用神</x:v>
      </x:c>
      <x:c r="K25" s="68" t="str">
        <x:v>M17-FUYI-0012-V1.0</x:v>
      </x:c>
      <x:c r="L25" s="68" t="str">
        <x:v>身弱杀旺时偏印可化杀扶身</x:v>
      </x:c>
      <x:c r="M25" s="68" t="str">
        <x:v>同一救应五行能修复格局，但会加重普通旺衰；或扶抑五行能改善身势却破坏救格机制</x:v>
      </x:c>
      <x:c r="N25" s="68" t="str">
        <x:v>救应必须直接修复M15确认的破格因素，且格局仍具主导性</x:v>
      </x:c>
      <x:c r="O25" s="68" t="str">
        <x:v>比较格局恢复收益与旺衰副作用，优先不可替代且净收益更高者</x:v>
      </x:c>
      <x:c r="P25" s="68" t="str">
        <x:v>直接救格且副作用可通过辅助控制者优先</x:v>
      </x:c>
      <x:c r="Q25" s="68" t="str">
        <x:v>副作用过大或仅弱救应者降为条件性辅助用神</x:v>
      </x:c>
      <x:c r="R25" s="84" t="str">
        <x:v>救格条件优先</x:v>
      </x:c>
      <x:c r="S25" s="68" t="str">
        <x:v>冲突双方均有有效证据且作用于同一原局</x:v>
      </x:c>
      <x:c r="T25" s="68" t="str">
        <x:v>其中一方只是名义候选、已经失效或不作用于主要矛盾</x:v>
      </x:c>
      <x:c r="U25" s="68" t="str">
        <x:v>若被降级一方实际承担不可替代功能，应重新进入本规则复审</x:v>
      </x:c>
      <x:c r="V25" s="68" t="str">
        <x:v>证据接近或存在流派争议时保留并列候选并降低置信度</x:v>
      </x:c>
      <x:c r="W25" s="90" t="str">
        <x:v>限定救应强度，防止救应过度反客为主</x:v>
      </x:c>
      <x:c r="X25" s="84" t="str">
        <x:v>救格与扶抑裁决</x:v>
      </x:c>
      <x:c r="Y25" s="84" t="str">
        <x:v>冲突主题：救格用神与普通旺衰冲突。裁决结果为“救格条件优先”；优先采用：直接救格且副作用可通过辅助控制者优先；降级处理：副作用过大或仅弱救应者降为条件性辅助用神。同时控制副作用：限定救应强度，防止救应过度反客为主。</x:v>
      </x:c>
      <x:c r="Z25" s="82" t="str">
        <x:v>较高</x:v>
      </x:c>
      <x:c r="AA25" s="82" t="str">
        <x:v>现代综合</x:v>
      </x:c>
      <x:c r="AB2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5" s="68" t="str">
        <x:v>当“同一救应五行能修复格局，但会加重普通旺衰；或扶抑五行能改善身势却破坏救格机制”成立，且硬约束与主次证据清晰时，可按本规则裁决。</x:v>
      </x:c>
      <x:c r="AD25" s="90" t="str">
        <x:v>若冲突双方并未同时有效，或“其中一方只是名义候选、已经失效或不作用于主要矛盾”成立，不得套用本规则制造假冲突。</x:v>
      </x:c>
      <x:c r="AE25" s="82" t="str">
        <x:v>采用</x:v>
      </x:c>
      <x:c r="AF25" s="82" t="str">
        <x:v>初审</x:v>
      </x:c>
      <x:c r="AG25" s="87" t="n">
        <x:v>46260</x:v>
      </x:c>
    </x:row>
    <x:row r="26">
      <x:c r="A26" s="72" t="str">
        <x:f>IF(OR(C26="",D26=""),"",B26&amp;"-"&amp;UPPER(C26)&amp;"-"&amp;TEXT(D26,"0000")&amp;"-"&amp;E26)</x:f>
        <x:v>M18-PATTERN-0020-V1.0</x:v>
      </x:c>
      <x:c r="B26" s="74" t="str">
        <x:v>M18</x:v>
      </x:c>
      <x:c r="C26" s="74" t="str">
        <x:v>PATTERN</x:v>
      </x:c>
      <x:c r="D26" s="215" t="n">
        <x:v>20</x:v>
      </x:c>
      <x:c r="E26" s="74" t="str">
        <x:v>V1.0</x:v>
      </x:c>
      <x:c r="F26" s="68" t="str">
        <x:v>格局与极端调候冲突时先判断气候是否已成根本病</x:v>
      </x:c>
      <x:c r="G26" s="82" t="str">
        <x:v>综合层</x:v>
      </x:c>
      <x:c r="H26" s="68" t="str">
        <x:v>格局用神与调候用神冲突</x:v>
      </x:c>
      <x:c r="I26" s="68" t="str">
        <x:v>M17-GEJU-0025-V1.0</x:v>
      </x:c>
      <x:c r="J26" s="68" t="str">
        <x:v>印格需保护印星功能</x:v>
      </x:c>
      <x:c r="K26" s="68" t="str">
        <x:v>M17-TIAOHOU-0045-V1.0</x:v>
      </x:c>
      <x:c r="L26" s="68" t="str">
        <x:v>偏寒或极寒时火可暖局</x:v>
      </x:c>
      <x:c r="M26" s="68" t="str">
        <x:v>调候五行会损伤格神，但寒凝、燥枯或火炎可能已阻断格局本身运行</x:v>
      </x:c>
      <x:c r="N26" s="68" t="str">
        <x:v>只有M13/M16确认气候为首要根本病时，调候才有资格挑战一般护格优先</x:v>
      </x:c>
      <x:c r="O26" s="68" t="str">
        <x:v>若气候不修复则格局也无法运行，采用最小伤格的调候方案；否则护格优先</x:v>
      </x:c>
      <x:c r="P26" s="68" t="str">
        <x:v>能同时恢复基础生化并保留格神的兼容方案优先</x:v>
      </x:c>
      <x:c r="Q26" s="68" t="str">
        <x:v>轻微季节偏差的调候候选降为条件性喜神或不采用</x:v>
      </x:c>
      <x:c r="R26" s="84" t="str">
        <x:v>根本气候条件裁决</x:v>
      </x:c>
      <x:c r="S26" s="68" t="str">
        <x:v>冲突双方均有有效证据且作用于同一原局</x:v>
      </x:c>
      <x:c r="T26" s="68" t="str">
        <x:v>其中一方只是名义候选、已经失效或不作用于主要矛盾</x:v>
      </x:c>
      <x:c r="U26" s="68" t="str">
        <x:v>若被降级一方实际承担不可替代功能，应重新进入本规则复审</x:v>
      </x:c>
      <x:c r="V26" s="68" t="str">
        <x:v>证据接近或存在流派争议时保留并列候选并降低置信度</x:v>
      </x:c>
      <x:c r="W26" s="90" t="str">
        <x:v>控制调候强度并设置格神保护辅助用神</x:v>
      </x:c>
      <x:c r="X26" s="84" t="str">
        <x:v>格局调候根因裁决</x:v>
      </x:c>
      <x:c r="Y26" s="84" t="str">
        <x:v>冲突主题：格局用神与调候用神冲突。裁决结果为“根本气候条件裁决”；优先采用：能同时恢复基础生化并保留格神的兼容方案优先；降级处理：轻微季节偏差的调候候选降为条件性喜神或不采用。同时控制副作用：控制调候强度并设置格神保护辅助用神。</x:v>
      </x:c>
      <x:c r="Z26" s="82" t="str">
        <x:v>较高</x:v>
      </x:c>
      <x:c r="AA26" s="82" t="str">
        <x:v>现代综合</x:v>
      </x:c>
      <x:c r="AB2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6" s="68" t="str">
        <x:v>当“调候五行会损伤格神，但寒凝、燥枯或火炎可能已阻断格局本身运行”成立，且硬约束与主次证据清晰时，可按本规则裁决。</x:v>
      </x:c>
      <x:c r="AD26" s="90" t="str">
        <x:v>若冲突双方并未同时有效，或“其中一方只是名义候选、已经失效或不作用于主要矛盾”成立，不得套用本规则制造假冲突。</x:v>
      </x:c>
      <x:c r="AE26" s="82" t="str">
        <x:v>采用</x:v>
      </x:c>
      <x:c r="AF26" s="82" t="str">
        <x:v>初审</x:v>
      </x:c>
      <x:c r="AG26" s="87" t="n">
        <x:v>46260</x:v>
      </x:c>
    </x:row>
    <x:row r="27">
      <x:c r="A27" s="72" t="str">
        <x:f>IF(OR(C27="",D27=""),"",B27&amp;"-"&amp;UPPER(C27)&amp;"-"&amp;TEXT(D27,"0000")&amp;"-"&amp;E27)</x:f>
        <x:v>M18-PATTERN-0021-V1.0</x:v>
      </x:c>
      <x:c r="B27" s="74" t="str">
        <x:v>M18</x:v>
      </x:c>
      <x:c r="C27" s="74" t="str">
        <x:v>PATTERN</x:v>
      </x:c>
      <x:c r="D27" s="215" t="n">
        <x:v>21</x:v>
      </x:c>
      <x:c r="E27" s="74" t="str">
        <x:v>V1.0</x:v>
      </x:c>
      <x:c r="F27" s="68" t="str">
        <x:v>格局与流通冲突时优先维持格局核心运行链</x:v>
      </x:c>
      <x:c r="G27" s="82" t="str">
        <x:v>综合层</x:v>
      </x:c>
      <x:c r="H27" s="68" t="str">
        <x:v>格局用神与通关用神冲突</x:v>
      </x:c>
      <x:c r="I27" s="68" t="str">
        <x:v>M17-GEJU-0027-V1.0</x:v>
      </x:c>
      <x:c r="J27" s="68" t="str">
        <x:v>食神格需保护食神及生财/制杀主链</x:v>
      </x:c>
      <x:c r="K27" s="68" t="str">
        <x:v>M17-TONGGUAN-0043-V1.0</x:v>
      </x:c>
      <x:c r="L27" s="68" t="str">
        <x:v>通关五行可能修复局部克战</x:v>
      </x:c>
      <x:c r="M27" s="68" t="str">
        <x:v>某通关五行能缓解局部相战，却会切断格局核心生化或制化链</x:v>
      </x:c>
      <x:c r="N27" s="68" t="str">
        <x:v>格局核心链必须已由M15确认有效且覆盖主要功能</x:v>
      </x:c>
      <x:c r="O27" s="68" t="str">
        <x:v>主格运行链优先于次级局部通关；若卡点正位于格局核心链，则通关可升级</x:v>
      </x:c>
      <x:c r="P27" s="68" t="str">
        <x:v>不破主格且能修复核心卡点的方案优先</x:v>
      </x:c>
      <x:c r="Q27" s="68" t="str">
        <x:v>只修复次级局部冲突但伤格者降为不采用</x:v>
      </x:c>
      <x:c r="R27" s="84" t="str">
        <x:v>核心格局链优先</x:v>
      </x:c>
      <x:c r="S27" s="68" t="str">
        <x:v>冲突双方均有有效证据且作用于同一原局</x:v>
      </x:c>
      <x:c r="T27" s="68" t="str">
        <x:v>其中一方只是名义候选、已经失效或不作用于主要矛盾</x:v>
      </x:c>
      <x:c r="U27" s="68" t="str">
        <x:v>若被降级一方实际承担不可替代功能，应重新进入本规则复审</x:v>
      </x:c>
      <x:c r="V27" s="68" t="str">
        <x:v>证据接近或存在流派争议时保留并列候选并降低置信度</x:v>
      </x:c>
      <x:c r="W27" s="90" t="str">
        <x:v>记录未解决的次级相战，并避免把局部通畅误写为全局最优</x:v>
      </x:c>
      <x:c r="X27" s="84" t="str">
        <x:v>格局主链优先</x:v>
      </x:c>
      <x:c r="Y27" s="84" t="str">
        <x:v>冲突主题：格局用神与通关用神冲突。裁决结果为“核心格局链优先”；优先采用：不破主格且能修复核心卡点的方案优先；降级处理：只修复次级局部冲突但伤格者降为不采用。同时控制副作用：记录未解决的次级相战，并避免把局部通畅误写为全局最优。</x:v>
      </x:c>
      <x:c r="Z27" s="82" t="str">
        <x:v>较高</x:v>
      </x:c>
      <x:c r="AA27" s="82" t="str">
        <x:v>现代综合</x:v>
      </x:c>
      <x:c r="AB2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7" s="68" t="str">
        <x:v>当“某通关五行能缓解局部相战，却会切断格局核心生化或制化链”成立，且硬约束与主次证据清晰时，可按本规则裁决。</x:v>
      </x:c>
      <x:c r="AD27" s="90" t="str">
        <x:v>若冲突双方并未同时有效，或“其中一方只是名义候选、已经失效或不作用于主要矛盾”成立，不得套用本规则制造假冲突。</x:v>
      </x:c>
      <x:c r="AE27" s="82" t="str">
        <x:v>采用</x:v>
      </x:c>
      <x:c r="AF27" s="82" t="str">
        <x:v>初审</x:v>
      </x:c>
      <x:c r="AG27" s="87" t="n">
        <x:v>46260</x:v>
      </x:c>
    </x:row>
    <x:row r="28">
      <x:c r="A28" s="72" t="str">
        <x:f>IF(OR(C28="",D28=""),"",B28&amp;"-"&amp;UPPER(C28)&amp;"-"&amp;TEXT(D28,"0000")&amp;"-"&amp;E28)</x:f>
        <x:v>M18-PATTERN-0022-V1.0</x:v>
      </x:c>
      <x:c r="B28" s="74" t="str">
        <x:v>M18</x:v>
      </x:c>
      <x:c r="C28" s="74" t="str">
        <x:v>PATTERN</x:v>
      </x:c>
      <x:c r="D28" s="215" t="n">
        <x:v>22</x:v>
      </x:c>
      <x:c r="E28" s="74" t="str">
        <x:v>V1.0</x:v>
      </x:c>
      <x:c r="F28" s="68" t="str">
        <x:v>病药主药伤格时先判断格局病是否就是根本病</x:v>
      </x:c>
      <x:c r="G28" s="82" t="str">
        <x:v>综合层</x:v>
      </x:c>
      <x:c r="H28" s="68" t="str">
        <x:v>病药用神与格局硬约束冲突</x:v>
      </x:c>
      <x:c r="I28" s="68" t="str">
        <x:v>M17-BINGYAO-0062-V1.0</x:v>
      </x:c>
      <x:c r="J28" s="68" t="str">
        <x:v>主药伤格且无替代保护时可转条件性忌神</x:v>
      </x:c>
      <x:c r="K28" s="68" t="str">
        <x:v>M17-GEJU-0026-V1.0</x:v>
      </x:c>
      <x:c r="L28" s="68" t="str">
        <x:v>财格以保护财星与任财能力为用神方向</x:v>
      </x:c>
      <x:c r="M28" s="68" t="str">
        <x:v>M16主药能治旺衰或流通病，却直接破坏核心格局</x:v>
      </x:c>
      <x:c r="N28" s="68" t="str">
        <x:v>若格局仍有效且不是根本病，伤格属于高等级副作用；若格局自身已根本破格，则应重定</x:v>
      </x:c>
      <x:c r="O28" s="68" t="str">
        <x:v>先判断格局是否仍值得保护，再比较主病严重度与替代药路</x:v>
      </x:c>
      <x:c r="P28" s="68" t="str">
        <x:v>不伤有效格局的替代主药优先</x:v>
      </x:c>
      <x:c r="Q28" s="68" t="str">
        <x:v>无替代且必须用药时仅作条件性，严格限定强度并配置护格辅助</x:v>
      </x:c>
      <x:c r="R28" s="84" t="str">
        <x:v>药格净收益裁决</x:v>
      </x:c>
      <x:c r="S28" s="68" t="str">
        <x:v>冲突双方均有有效证据且作用于同一原局</x:v>
      </x:c>
      <x:c r="T28" s="68" t="str">
        <x:v>其中一方只是名义候选、已经失效或不作用于主要矛盾</x:v>
      </x:c>
      <x:c r="U28" s="68" t="str">
        <x:v>若被降级一方实际承担不可替代功能，应重新进入本规则复审</x:v>
      </x:c>
      <x:c r="V28" s="68" t="str">
        <x:v>证据接近或存在流派争议时保留并列候选并降低置信度</x:v>
      </x:c>
      <x:c r="W28" s="90" t="str">
        <x:v>防止用药把一般病治成根本破格</x:v>
      </x:c>
      <x:c r="X28" s="84" t="str">
        <x:v>病药伤格裁决</x:v>
      </x:c>
      <x:c r="Y28" s="84" t="str">
        <x:v>冲突主题：病药用神与格局硬约束冲突。裁决结果为“药格净收益裁决”；优先采用：不伤有效格局的替代主药优先；降级处理：无替代且必须用药时仅作条件性，严格限定强度并配置护格辅助。同时控制副作用：防止用药把一般病治成根本破格。</x:v>
      </x:c>
      <x:c r="Z28" s="82" t="str">
        <x:v>较高</x:v>
      </x:c>
      <x:c r="AA28" s="82" t="str">
        <x:v>现代综合</x:v>
      </x:c>
      <x:c r="AB2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8" s="68" t="str">
        <x:v>当“M16主药能治旺衰或流通病，却直接破坏核心格局”成立，且硬约束与主次证据清晰时，可按本规则裁决。</x:v>
      </x:c>
      <x:c r="AD28" s="90" t="str">
        <x:v>若冲突双方并未同时有效，或“其中一方只是名义候选、已经失效或不作用于主要矛盾”成立，不得套用本规则制造假冲突。</x:v>
      </x:c>
      <x:c r="AE28" s="82" t="str">
        <x:v>采用</x:v>
      </x:c>
      <x:c r="AF28" s="82" t="str">
        <x:v>初审</x:v>
      </x:c>
      <x:c r="AG28" s="87" t="n">
        <x:v>46260</x:v>
      </x:c>
    </x:row>
    <x:row r="29">
      <x:c r="A29" s="72" t="str">
        <x:f>IF(OR(C29="",D29=""),"",B29&amp;"-"&amp;UPPER(C29)&amp;"-"&amp;TEXT(D29,"0000")&amp;"-"&amp;E29)</x:f>
        <x:v>M18-PATTERN-0023-V1.0</x:v>
      </x:c>
      <x:c r="B29" s="74" t="str">
        <x:v>M18</x:v>
      </x:c>
      <x:c r="C29" s="74" t="str">
        <x:v>PATTERN</x:v>
      </x:c>
      <x:c r="D29" s="215" t="n">
        <x:v>23</x:v>
      </x:c>
      <x:c r="E29" s="74" t="str">
        <x:v>V1.0</x:v>
      </x:c>
      <x:c r="F29" s="68" t="str">
        <x:v>格局关键配合神无力时优先补其功能而非追逐次级收益</x:v>
      </x:c>
      <x:c r="G29" s="82" t="str">
        <x:v>综合层</x:v>
      </x:c>
      <x:c r="H29" s="68" t="str">
        <x:v>格局配合神与次级喜神冲突</x:v>
      </x:c>
      <x:c r="I29" s="68" t="str">
        <x:v>M16-PATTERN-0058-V1.0</x:v>
      </x:c>
      <x:c r="J29" s="68" t="str">
        <x:v>格局关键配合神无力会导致运行不足</x:v>
      </x:c>
      <x:c r="K29" s="68" t="str">
        <x:v>M17-RANK-0087-V1.0</x:v>
      </x:c>
      <x:c r="L29" s="68" t="str">
        <x:v>喜神只提供稳定净收益但不承担根本职责</x:v>
      </x:c>
      <x:c r="M29" s="68" t="str">
        <x:v>一个五行能补足格局不可替代配合神，另一个只改善一般旺衰或次级流通</x:v>
      </x:c>
      <x:c r="N29" s="68" t="str">
        <x:v>配合神必须被M15/M16确认为格局运行的关键瓶颈</x:v>
      </x:c>
      <x:c r="O29" s="68" t="str">
        <x:v>不可替代格局功能优先于一般改善</x:v>
      </x:c>
      <x:c r="P29" s="68" t="str">
        <x:v>直接补足关键配合神者列主用或辅助用神</x:v>
      </x:c>
      <x:c r="Q29" s="68" t="str">
        <x:v>只改善次级问题者降为喜神或第三顺位</x:v>
      </x:c>
      <x:c r="R29" s="84" t="str">
        <x:v>关键配合神优先</x:v>
      </x:c>
      <x:c r="S29" s="68" t="str">
        <x:v>冲突双方均有有效证据且作用于同一原局</x:v>
      </x:c>
      <x:c r="T29" s="68" t="str">
        <x:v>其中一方只是名义候选、已经失效或不作用于主要矛盾</x:v>
      </x:c>
      <x:c r="U29" s="68" t="str">
        <x:v>若被降级一方实际承担不可替代功能，应重新进入本规则复审</x:v>
      </x:c>
      <x:c r="V29" s="68" t="str">
        <x:v>证据接近或存在流派争议时保留并列候选并降低置信度</x:v>
      </x:c>
      <x:c r="W29" s="90" t="str">
        <x:v>补强配合神须防比例过度和格局改写</x:v>
      </x:c>
      <x:c r="X29" s="84" t="str">
        <x:v>关键配合神优先</x:v>
      </x:c>
      <x:c r="Y29" s="84" t="str">
        <x:v>冲突主题：格局配合神与次级喜神冲突。裁决结果为“关键配合神优先”；优先采用：直接补足关键配合神者列主用或辅助用神；降级处理：只改善次级问题者降为喜神或第三顺位。同时控制副作用：补强配合神须防比例过度和格局改写。</x:v>
      </x:c>
      <x:c r="Z29" s="82" t="str">
        <x:v>较高</x:v>
      </x:c>
      <x:c r="AA29" s="82" t="str">
        <x:v>现代综合</x:v>
      </x:c>
      <x:c r="AB2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9" s="68" t="str">
        <x:v>当“一个五行能补足格局不可替代配合神，另一个只改善一般旺衰或次级流通”成立，且硬约束与主次证据清晰时，可按本规则裁决。</x:v>
      </x:c>
      <x:c r="AD29" s="90" t="str">
        <x:v>若冲突双方并未同时有效，或“其中一方只是名义候选、已经失效或不作用于主要矛盾”成立，不得套用本规则制造假冲突。</x:v>
      </x:c>
      <x:c r="AE29" s="82" t="str">
        <x:v>采用</x:v>
      </x:c>
      <x:c r="AF29" s="82" t="str">
        <x:v>初审</x:v>
      </x:c>
      <x:c r="AG29" s="87" t="n">
        <x:v>46260</x:v>
      </x:c>
    </x:row>
    <x:row r="30">
      <x:c r="A30" s="72" t="str">
        <x:f>IF(OR(C30="",D30=""),"",B30&amp;"-"&amp;UPPER(C30)&amp;"-"&amp;TEXT(D30,"0000")&amp;"-"&amp;E30)</x:f>
        <x:v>M18-PATTERN-0024-V1.0</x:v>
      </x:c>
      <x:c r="B30" s="74" t="str">
        <x:v>M18</x:v>
      </x:c>
      <x:c r="C30" s="74" t="str">
        <x:v>PATTERN</x:v>
      </x:c>
      <x:c r="D30" s="215" t="n">
        <x:v>24</x:v>
      </x:c>
      <x:c r="E30" s="74" t="str">
        <x:v>V1.0</x:v>
      </x:c>
      <x:c r="F30" s="68" t="str">
        <x:v>多个格局候选冲突时以最终成格状态和全局主导性裁决</x:v>
      </x:c>
      <x:c r="G30" s="82" t="str">
        <x:v>综合层</x:v>
      </x:c>
      <x:c r="H30" s="68" t="str">
        <x:v>多格局候选冲突</x:v>
      </x:c>
      <x:c r="I30" s="68" t="str">
        <x:v>M14-RANK-0074-V1.0</x:v>
      </x:c>
      <x:c r="J30" s="68" t="str">
        <x:v>全局主导性用于区分第一候选和备选</x:v>
      </x:c>
      <x:c r="K30" s="68" t="str">
        <x:v>M15-GEN-0009-V1.0</x:v>
      </x:c>
      <x:c r="L30" s="68" t="str">
        <x:v>格局成立与层次必须分开</x:v>
      </x:c>
      <x:c r="M30" s="68" t="str">
        <x:v>两个以上格局候选均有证据，但只有一个覆盖月令、主路径、格神和日主配合</x:v>
      </x:c>
      <x:c r="N30" s="68" t="str">
        <x:v>M15最终状态高于M14候选状态；根本破格者退出主格竞争</x:v>
      </x:c>
      <x:c r="O30" s="68" t="str">
        <x:v>按成格状态、主导性、不可替代性、清纯度和副作用排序</x:v>
      </x:c>
      <x:c r="P30" s="68" t="str">
        <x:v>清纯成立或基本成立且覆盖全局主轴者优先</x:v>
      </x:c>
      <x:c r="Q30" s="68" t="str">
        <x:v>次格保留为局部组合或辅助结构，不分享同等用神优先级</x:v>
      </x:c>
      <x:c r="R30" s="84" t="str">
        <x:v>主格唯一化或有序并列</x:v>
      </x:c>
      <x:c r="S30" s="68" t="str">
        <x:v>冲突双方均有有效证据且作用于同一原局</x:v>
      </x:c>
      <x:c r="T30" s="68" t="str">
        <x:v>其中一方只是名义候选、已经失效或不作用于主要矛盾</x:v>
      </x:c>
      <x:c r="U30" s="68" t="str">
        <x:v>若被降级一方实际承担不可替代功能，应重新进入本规则复审</x:v>
      </x:c>
      <x:c r="V30" s="68" t="str">
        <x:v>证据接近或存在流派争议时保留并列候选并降低置信度</x:v>
      </x:c>
      <x:c r="W30" s="90" t="str">
        <x:v>证据接近时保留第一、第二候选并降低置信度</x:v>
      </x:c>
      <x:c r="X30" s="84" t="str">
        <x:v>多格局排序</x:v>
      </x:c>
      <x:c r="Y30" s="84" t="str">
        <x:v>冲突主题：多格局候选冲突。裁决结果为“主格唯一化或有序并列”；优先采用：清纯成立或基本成立且覆盖全局主轴者优先；降级处理：次格保留为局部组合或辅助结构，不分享同等用神优先级。同时控制副作用：证据接近时保留第一、第二候选并降低置信度。</x:v>
      </x:c>
      <x:c r="Z30" s="82" t="str">
        <x:v>较高</x:v>
      </x:c>
      <x:c r="AA30" s="82" t="str">
        <x:v>现代综合</x:v>
      </x:c>
      <x:c r="AB3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0" s="68" t="str">
        <x:v>当“两个以上格局候选均有证据，但只有一个覆盖月令、主路径、格神和日主配合”成立，且硬约束与主次证据清晰时，可按本规则裁决。</x:v>
      </x:c>
      <x:c r="AD30" s="90" t="str">
        <x:v>若冲突双方并未同时有效，或“其中一方只是名义候选、已经失效或不作用于主要矛盾”成立，不得套用本规则制造假冲突。</x:v>
      </x:c>
      <x:c r="AE30" s="82" t="str">
        <x:v>采用</x:v>
      </x:c>
      <x:c r="AF30" s="82" t="str">
        <x:v>初审</x:v>
      </x:c>
      <x:c r="AG30" s="87" t="n">
        <x:v>46260</x:v>
      </x:c>
    </x:row>
    <x:row r="31">
      <x:c r="A31" s="72" t="str">
        <x:f>IF(OR(C31="",D31=""),"",B31&amp;"-"&amp;UPPER(C31)&amp;"-"&amp;TEXT(D31,"0000")&amp;"-"&amp;E31)</x:f>
        <x:v>M18-CLIMATE-0025-V1.0</x:v>
      </x:c>
      <x:c r="B31" s="74" t="str">
        <x:v>M18</x:v>
      </x:c>
      <x:c r="C31" s="74" t="str">
        <x:v>CLIMATE</x:v>
      </x:c>
      <x:c r="D31" s="215" t="n">
        <x:v>25</x:v>
      </x:c>
      <x:c r="E31" s="74" t="str">
        <x:v>V1.0</x:v>
      </x:c>
      <x:c r="F31" s="68" t="str">
        <x:v>极端气候造成生化停顿时优先于普通扶抑</x:v>
      </x:c>
      <x:c r="G31" s="82" t="str">
        <x:v>综合层</x:v>
      </x:c>
      <x:c r="H31" s="68" t="str">
        <x:v>首要调候与普通扶抑冲突</x:v>
      </x:c>
      <x:c r="I31" s="68" t="str">
        <x:v>M16-CLIMATE-0067-V1.0</x:v>
      </x:c>
      <x:c r="J31" s="68" t="str">
        <x:v>极寒造成全局生化停顿可列首要矛盾</x:v>
      </x:c>
      <x:c r="K31" s="68" t="str">
        <x:v>M17-FUYI-0011-V1.0</x:v>
      </x:c>
      <x:c r="L31" s="68" t="str">
        <x:v>身弱可用印星扶身</x:v>
      </x:c>
      <x:c r="M31" s="68" t="str">
        <x:v>普通扶抑方向与恢复基础温度、湿度的调候方向相反</x:v>
      </x:c>
      <x:c r="N31" s="68" t="str">
        <x:v>气候必须已造成多个M12卡点或格局功能失效，而非仅季节偏性</x:v>
      </x:c>
      <x:c r="O31" s="68" t="str">
        <x:v>先恢复基本生化环境，再处理普通旺衰细调</x:v>
      </x:c>
      <x:c r="P31" s="68" t="str">
        <x:v>能解除极端气候且不根本破格者优先</x:v>
      </x:c>
      <x:c r="Q31" s="68" t="str">
        <x:v>普通扶抑候选暂降为辅助、条件性或延后处理</x:v>
      </x:c>
      <x:c r="R31" s="84" t="str">
        <x:v>首要调候优先</x:v>
      </x:c>
      <x:c r="S31" s="68" t="str">
        <x:v>冲突双方均有有效证据且作用于同一原局</x:v>
      </x:c>
      <x:c r="T31" s="68" t="str">
        <x:v>其中一方只是名义候选、已经失效或不作用于主要矛盾</x:v>
      </x:c>
      <x:c r="U31" s="68" t="str">
        <x:v>若被降级一方实际承担不可替代功能，应重新进入本规则复审</x:v>
      </x:c>
      <x:c r="V31" s="68" t="str">
        <x:v>证据接近或存在流派争议时保留并列候选并降低置信度</x:v>
      </x:c>
      <x:c r="W31" s="90" t="str">
        <x:v>调候达到可运行阈值后停止继续增强，防止反向气候病</x:v>
      </x:c>
      <x:c r="X31" s="84" t="str">
        <x:v>极端调候优先</x:v>
      </x:c>
      <x:c r="Y31" s="84" t="str">
        <x:v>冲突主题：首要调候与普通扶抑冲突。裁决结果为“首要调候优先”；优先采用：能解除极端气候且不根本破格者优先；降级处理：普通扶抑候选暂降为辅助、条件性或延后处理。同时控制副作用：调候达到可运行阈值后停止继续增强，防止反向气候病。</x:v>
      </x:c>
      <x:c r="Z31" s="82" t="str">
        <x:v>较高</x:v>
      </x:c>
      <x:c r="AA31" s="82" t="str">
        <x:v>现代综合</x:v>
      </x:c>
      <x:c r="AB3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1" s="68" t="str">
        <x:v>当“普通扶抑方向与恢复基础温度、湿度的调候方向相反”成立，且硬约束与主次证据清晰时，可按本规则裁决。</x:v>
      </x:c>
      <x:c r="AD31" s="90" t="str">
        <x:v>若冲突双方并未同时有效，或“其中一方只是名义候选、已经失效或不作用于主要矛盾”成立，不得套用本规则制造假冲突。</x:v>
      </x:c>
      <x:c r="AE31" s="82" t="str">
        <x:v>采用</x:v>
      </x:c>
      <x:c r="AF31" s="82" t="str">
        <x:v>初审</x:v>
      </x:c>
      <x:c r="AG31" s="87" t="n">
        <x:v>46260</x:v>
      </x:c>
    </x:row>
    <x:row r="32">
      <x:c r="A32" s="72" t="str">
        <x:f>IF(OR(C32="",D32=""),"",B32&amp;"-"&amp;UPPER(C32)&amp;"-"&amp;TEXT(D32,"0000")&amp;"-"&amp;E32)</x:f>
        <x:v>M18-CLIMATE-0026-V1.0</x:v>
      </x:c>
      <x:c r="B32" s="74" t="str">
        <x:v>M18</x:v>
      </x:c>
      <x:c r="C32" s="74" t="str">
        <x:v>CLIMATE</x:v>
      </x:c>
      <x:c r="D32" s="215" t="n">
        <x:v>26</x:v>
      </x:c>
      <x:c r="E32" s="74" t="str">
        <x:v>V1.0</x:v>
      </x:c>
      <x:c r="F32" s="68" t="str">
        <x:v>轻度调候偏差不能压过清晰格局和根本病</x:v>
      </x:c>
      <x:c r="G32" s="82" t="str">
        <x:v>综合层</x:v>
      </x:c>
      <x:c r="H32" s="68" t="str">
        <x:v>一般调候与格局/病药冲突</x:v>
      </x:c>
      <x:c r="I32" s="68" t="str">
        <x:v>M13-GEN-0002-V1.0</x:v>
      </x:c>
      <x:c r="J32" s="68" t="str">
        <x:v>月令只提供气候基准而非最终结论</x:v>
      </x:c>
      <x:c r="K32" s="68" t="str">
        <x:v>M17-GEJU-0023-V1.0</x:v>
      </x:c>
      <x:c r="L32" s="68" t="str">
        <x:v>有效正官格需护持核心格神</x:v>
      </x:c>
      <x:c r="M32" s="68" t="str">
        <x:v>命局仅偏寒、偏暖、偏湿或偏燥，但没有造成实际功能障碍，却试图以调候否决格局主轴</x:v>
      </x:c>
      <x:c r="N32" s="68" t="str">
        <x:v>调候紧急度低或中、M16未立调候主病时不具备硬约束资格</x:v>
      </x:c>
      <x:c r="O32" s="68" t="str">
        <x:v>清晰格局、根本病和主路径优先于轻微气候优化</x:v>
      </x:c>
      <x:c r="P32" s="68" t="str">
        <x:v>格局用神或根本病主药优先</x:v>
      </x:c>
      <x:c r="Q32" s="68" t="str">
        <x:v>一般调候五行降为第三顺位喜神、条件性喜神或中性</x:v>
      </x:c>
      <x:c r="R32" s="84" t="str">
        <x:v>调候降权</x:v>
      </x:c>
      <x:c r="S32" s="68" t="str">
        <x:v>冲突双方均有有效证据且作用于同一原局</x:v>
      </x:c>
      <x:c r="T32" s="68" t="str">
        <x:v>其中一方只是名义候选、已经失效或不作用于主要矛盾</x:v>
      </x:c>
      <x:c r="U32" s="68" t="str">
        <x:v>若被降级一方实际承担不可替代功能，应重新进入本规则复审</x:v>
      </x:c>
      <x:c r="V32" s="68" t="str">
        <x:v>证据接近或存在流派争议时保留并列候选并降低置信度</x:v>
      </x:c>
      <x:c r="W32" s="90" t="str">
        <x:v>只保留不伤格的小幅调候收益</x:v>
      </x:c>
      <x:c r="X32" s="84" t="str">
        <x:v>轻调候不压主轴</x:v>
      </x:c>
      <x:c r="Y32" s="84" t="str">
        <x:v>冲突主题：一般调候与格局/病药冲突。裁决结果为“调候降权”；优先采用：格局用神或根本病主药优先；降级处理：一般调候五行降为第三顺位喜神、条件性喜神或中性。同时控制副作用：只保留不伤格的小幅调候收益。</x:v>
      </x:c>
      <x:c r="Z32" s="82" t="str">
        <x:v>较高</x:v>
      </x:c>
      <x:c r="AA32" s="82" t="str">
        <x:v>现代综合</x:v>
      </x:c>
      <x:c r="AB3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2" s="68" t="str">
        <x:v>当“命局仅偏寒、偏暖、偏湿或偏燥，但没有造成实际功能障碍，却试图以调候否决格局主轴”成立，且硬约束与主次证据清晰时，可按本规则裁决。</x:v>
      </x:c>
      <x:c r="AD32" s="90" t="str">
        <x:v>若冲突双方并未同时有效，或“其中一方只是名义候选、已经失效或不作用于主要矛盾”成立，不得套用本规则制造假冲突。</x:v>
      </x:c>
      <x:c r="AE32" s="82" t="str">
        <x:v>采用</x:v>
      </x:c>
      <x:c r="AF32" s="82" t="str">
        <x:v>初审</x:v>
      </x:c>
      <x:c r="AG32" s="87" t="n">
        <x:v>46260</x:v>
      </x:c>
    </x:row>
    <x:row r="33">
      <x:c r="A33" s="72" t="str">
        <x:f>IF(OR(C33="",D33=""),"",B33&amp;"-"&amp;UPPER(C33)&amp;"-"&amp;TEXT(D33,"0000")&amp;"-"&amp;E33)</x:f>
        <x:v>M18-CLIMATE-0027-V1.0</x:v>
      </x:c>
      <x:c r="B33" s="74" t="str">
        <x:v>M18</x:v>
      </x:c>
      <x:c r="C33" s="74" t="str">
        <x:v>CLIMATE</x:v>
      </x:c>
      <x:c r="D33" s="215" t="n">
        <x:v>27</x:v>
      </x:c>
      <x:c r="E33" s="74" t="str">
        <x:v>V1.0</x:v>
      </x:c>
      <x:c r="F33" s="68" t="str">
        <x:v>调候与流通同源时可合并为一个主问题</x:v>
      </x:c>
      <x:c r="G33" s="82" t="str">
        <x:v>综合层</x:v>
      </x:c>
      <x:c r="H33" s="68" t="str">
        <x:v>调候与流通同向</x:v>
      </x:c>
      <x:c r="I33" s="68" t="str">
        <x:v>M16-COMPOSITE-0105-V1.0</x:v>
      </x:c>
      <x:c r="J33" s="68" t="str">
        <x:v>调候病与流通病同源时调候可上升为主药</x:v>
      </x:c>
      <x:c r="K33" s="68" t="str">
        <x:v>M17-TONGGUAN-0040-V1.0</x:v>
      </x:c>
      <x:c r="L33" s="68" t="str">
        <x:v>通关五行兼治主病时可升级</x:v>
      </x:c>
      <x:c r="M33" s="68" t="str">
        <x:v>寒凝、燥枯或湿滞既是气候问题，也是多个桥梁失效的共同根因</x:v>
      </x:c>
      <x:c r="N33" s="68" t="str">
        <x:v>M13与M12必须指向同一病位和同一作用链</x:v>
      </x:c>
      <x:c r="O33" s="68" t="str">
        <x:v>合并同源问题，避免把调候和通关作为两个独立权重重复计数</x:v>
      </x:c>
      <x:c r="P33" s="68" t="str">
        <x:v>同时恢复气候与主路径的同一五行优先</x:v>
      </x:c>
      <x:c r="Q33" s="68" t="str">
        <x:v>重复来源只计一个主权重，辅助候选按实际配伍定位</x:v>
      </x:c>
      <x:c r="R33" s="84" t="str">
        <x:v>同源合并升级</x:v>
      </x:c>
      <x:c r="S33" s="68" t="str">
        <x:v>冲突双方均有有效证据且作用于同一原局</x:v>
      </x:c>
      <x:c r="T33" s="68" t="str">
        <x:v>其中一方只是名义候选、已经失效或不作用于主要矛盾</x:v>
      </x:c>
      <x:c r="U33" s="68" t="str">
        <x:v>若被降级一方实际承担不可替代功能，应重新进入本规则复审</x:v>
      </x:c>
      <x:c r="V33" s="68" t="str">
        <x:v>证据接近或存在流派争议时保留并列候选并降低置信度</x:v>
      </x:c>
      <x:c r="W33" s="90" t="str">
        <x:v>仍需控制药量，防止通关完成后调候继续过量</x:v>
      </x:c>
      <x:c r="X33" s="84" t="str">
        <x:v>调候流通同源</x:v>
      </x:c>
      <x:c r="Y33" s="84" t="str">
        <x:v>冲突主题：调候与流通同向。裁决结果为“同源合并升级”；优先采用：同时恢复气候与主路径的同一五行优先；降级处理：重复来源只计一个主权重，辅助候选按实际配伍定位。同时控制副作用：仍需控制药量，防止通关完成后调候继续过量。</x:v>
      </x:c>
      <x:c r="Z33" s="82" t="str">
        <x:v>较高</x:v>
      </x:c>
      <x:c r="AA33" s="82" t="str">
        <x:v>现代综合</x:v>
      </x:c>
      <x:c r="AB3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3" s="68" t="str">
        <x:v>当“寒凝、燥枯或湿滞既是气候问题，也是多个桥梁失效的共同根因”成立，且硬约束与主次证据清晰时，可按本规则裁决。</x:v>
      </x:c>
      <x:c r="AD33" s="90" t="str">
        <x:v>若冲突双方并未同时有效，或“其中一方只是名义候选、已经失效或不作用于主要矛盾”成立，不得套用本规则制造假冲突。</x:v>
      </x:c>
      <x:c r="AE33" s="82" t="str">
        <x:v>采用</x:v>
      </x:c>
      <x:c r="AF33" s="82" t="str">
        <x:v>初审</x:v>
      </x:c>
      <x:c r="AG33" s="87" t="n">
        <x:v>46260</x:v>
      </x:c>
    </x:row>
    <x:row r="34">
      <x:c r="A34" s="72" t="str">
        <x:f>IF(OR(C34="",D34=""),"",B34&amp;"-"&amp;UPPER(C34)&amp;"-"&amp;TEXT(D34,"0000")&amp;"-"&amp;E34)</x:f>
        <x:v>M18-CLIMATE-0028-V1.0</x:v>
      </x:c>
      <x:c r="B34" s="74" t="str">
        <x:v>M18</x:v>
      </x:c>
      <x:c r="C34" s="74" t="str">
        <x:v>CLIMATE</x:v>
      </x:c>
      <x:c r="D34" s="215" t="n">
        <x:v>28</x:v>
      </x:c>
      <x:c r="E34" s="74" t="str">
        <x:v>V1.0</x:v>
      </x:c>
      <x:c r="F34" s="68" t="str">
        <x:v>调候改善一轴却恶化另一轴时按双轴净效应裁决</x:v>
      </x:c>
      <x:c r="G34" s="82" t="str">
        <x:v>综合层</x:v>
      </x:c>
      <x:c r="H34" s="68" t="str">
        <x:v>寒暖轴与燥湿轴冲突</x:v>
      </x:c>
      <x:c r="I34" s="68" t="str">
        <x:v>M17-TIAOHOU-0045-V1.0</x:v>
      </x:c>
      <x:c r="J34" s="68" t="str">
        <x:v>火可暖寒局</x:v>
      </x:c>
      <x:c r="K34" s="68" t="str">
        <x:v>M17-TIAOHOU-0048-V1.0</x:v>
      </x:c>
      <x:c r="L34" s="68" t="str">
        <x:v>水可润燥</x:v>
      </x:c>
      <x:c r="M34" s="68" t="str">
        <x:v>寒燥、暖湿等复合状态中，单一调候五行改善温度却恶化湿度，或反之</x:v>
      </x:c>
      <x:c r="N34" s="68" t="str">
        <x:v>温度轴与湿度轴必须分别判级，不能以一轴改善替代另一轴恶化</x:v>
      </x:c>
      <x:c r="O34" s="68" t="str">
        <x:v>优先处理严重度更高、影响功能更广的一轴，并以另一五行作受控辅助</x:v>
      </x:c>
      <x:c r="P34" s="68" t="str">
        <x:v>根本轴主药优先，次轴药神列辅助</x:v>
      </x:c>
      <x:c r="Q34" s="68" t="str">
        <x:v>无法兼顾两轴的单药降为条件性，不得无条件增强</x:v>
      </x:c>
      <x:c r="R34" s="84" t="str">
        <x:v>双轴主辅裁决</x:v>
      </x:c>
      <x:c r="S34" s="68" t="str">
        <x:v>冲突双方均有有效证据且作用于同一原局</x:v>
      </x:c>
      <x:c r="T34" s="68" t="str">
        <x:v>其中一方只是名义候选、已经失效或不作用于主要矛盾</x:v>
      </x:c>
      <x:c r="U34" s="68" t="str">
        <x:v>若被降级一方实际承担不可替代功能，应重新进入本规则复审</x:v>
      </x:c>
      <x:c r="V34" s="68" t="str">
        <x:v>证据接近或存在流派争议时保留并列候选并降低置信度</x:v>
      </x:c>
      <x:c r="W34" s="90" t="str">
        <x:v>明确火水或木火的主辅比例和转病阈值</x:v>
      </x:c>
      <x:c r="X34" s="84" t="str">
        <x:v>双轴净效应</x:v>
      </x:c>
      <x:c r="Y34" s="84" t="str">
        <x:v>冲突主题：寒暖轴与燥湿轴冲突。裁决结果为“双轴主辅裁决”；优先采用：根本轴主药优先，次轴药神列辅助；降级处理：无法兼顾两轴的单药降为条件性，不得无条件增强。同时控制副作用：明确火水或木火的主辅比例和转病阈值。</x:v>
      </x:c>
      <x:c r="Z34" s="82" t="str">
        <x:v>较高</x:v>
      </x:c>
      <x:c r="AA34" s="82" t="str">
        <x:v>现代综合</x:v>
      </x:c>
      <x:c r="AB3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4" s="68" t="str">
        <x:v>当“寒燥、暖湿等复合状态中，单一调候五行改善温度却恶化湿度，或反之”成立，且硬约束与主次证据清晰时，可按本规则裁决。</x:v>
      </x:c>
      <x:c r="AD34" s="90" t="str">
        <x:v>若冲突双方并未同时有效，或“其中一方只是名义候选、已经失效或不作用于主要矛盾”成立，不得套用本规则制造假冲突。</x:v>
      </x:c>
      <x:c r="AE34" s="82" t="str">
        <x:v>采用</x:v>
      </x:c>
      <x:c r="AF34" s="82" t="str">
        <x:v>初审</x:v>
      </x:c>
      <x:c r="AG34" s="87" t="n">
        <x:v>46260</x:v>
      </x:c>
    </x:row>
    <x:row r="35">
      <x:c r="A35" s="72" t="str">
        <x:f>IF(OR(C35="",D35=""),"",B35&amp;"-"&amp;UPPER(C35)&amp;"-"&amp;TEXT(D35,"0000")&amp;"-"&amp;E35)</x:f>
        <x:v>M18-CLIMATE-0029-V1.0</x:v>
      </x:c>
      <x:c r="B35" s="74" t="str">
        <x:v>M18</x:v>
      </x:c>
      <x:c r="C35" s="74" t="str">
        <x:v>CLIMATE</x:v>
      </x:c>
      <x:c r="D35" s="215" t="n">
        <x:v>29</x:v>
      </x:c>
      <x:c r="E35" s="74" t="str">
        <x:v>V1.0</x:v>
      </x:c>
      <x:c r="F35" s="68" t="str">
        <x:v>调候与扶抑冲突时以基本生化阈值和日主承载共同裁决</x:v>
      </x:c>
      <x:c r="G35" s="82" t="str">
        <x:v>综合层</x:v>
      </x:c>
      <x:c r="H35" s="68" t="str">
        <x:v>调候用神与扶抑用神冲突</x:v>
      </x:c>
      <x:c r="I35" s="68" t="str">
        <x:v>M17-TIAOHOU-0046-V1.0</x:v>
      </x:c>
      <x:c r="J35" s="68" t="str">
        <x:v>寒湿根本病时火可升主药</x:v>
      </x:c>
      <x:c r="K35" s="68" t="str">
        <x:v>M17-FUYI-0021-V1.0</x:v>
      </x:c>
      <x:c r="L35" s="68" t="str">
        <x:v>身弱时财官食伤通常增加负荷</x:v>
      </x:c>
      <x:c r="M35" s="68" t="str">
        <x:v>调候所需五行在十神层面会进一步泄耗或制约偏弱日主</x:v>
      </x:c>
      <x:c r="N35" s="68" t="str">
        <x:v>调候若未达首要矛盾，不能牺牲日主基本承载；若已生化停顿，则需要最低必要调候</x:v>
      </x:c>
      <x:c r="O35" s="68" t="str">
        <x:v>采用能恢复生化但不突破日主承载底线的最小有效强度</x:v>
      </x:c>
      <x:c r="P35" s="68" t="str">
        <x:v>兼顾调候与承载的间接路径或辅助配伍优先</x:v>
      </x:c>
      <x:c r="Q35" s="68" t="str">
        <x:v>直接强调候五行降为条件性喜神，并配置扶身保护</x:v>
      </x:c>
      <x:c r="R35" s="84" t="str">
        <x:v>阈值型条件裁决</x:v>
      </x:c>
      <x:c r="S35" s="68" t="str">
        <x:v>冲突双方均有有效证据且作用于同一原局</x:v>
      </x:c>
      <x:c r="T35" s="68" t="str">
        <x:v>其中一方只是名义候选、已经失效或不作用于主要矛盾</x:v>
      </x:c>
      <x:c r="U35" s="68" t="str">
        <x:v>若被降级一方实际承担不可替代功能，应重新进入本规则复审</x:v>
      </x:c>
      <x:c r="V35" s="68" t="str">
        <x:v>证据接近或存在流派争议时保留并列候选并降低置信度</x:v>
      </x:c>
      <x:c r="W35" s="90" t="str">
        <x:v>达到温度/湿度平衡阈值后停止加药，防止身弱进一步恶化</x:v>
      </x:c>
      <x:c r="X35" s="84" t="str">
        <x:v>调候扶抑阈值裁决</x:v>
      </x:c>
      <x:c r="Y35" s="84" t="str">
        <x:v>冲突主题：调候用神与扶抑用神冲突。裁决结果为“阈值型条件裁决”；优先采用：兼顾调候与承载的间接路径或辅助配伍优先；降级处理：直接强调候五行降为条件性喜神，并配置扶身保护。同时控制副作用：达到温度/湿度平衡阈值后停止加药，防止身弱进一步恶化。</x:v>
      </x:c>
      <x:c r="Z35" s="82" t="str">
        <x:v>较高</x:v>
      </x:c>
      <x:c r="AA35" s="82" t="str">
        <x:v>现代综合</x:v>
      </x:c>
      <x:c r="AB3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5" s="68" t="str">
        <x:v>当“调候所需五行在十神层面会进一步泄耗或制约偏弱日主”成立，且硬约束与主次证据清晰时，可按本规则裁决。</x:v>
      </x:c>
      <x:c r="AD35" s="90" t="str">
        <x:v>若冲突双方并未同时有效，或“其中一方只是名义候选、已经失效或不作用于主要矛盾”成立，不得套用本规则制造假冲突。</x:v>
      </x:c>
      <x:c r="AE35" s="82" t="str">
        <x:v>采用</x:v>
      </x:c>
      <x:c r="AF35" s="82" t="str">
        <x:v>初审</x:v>
      </x:c>
      <x:c r="AG35" s="87" t="n">
        <x:v>46260</x:v>
      </x:c>
    </x:row>
    <x:row r="36">
      <x:c r="A36" s="72" t="str">
        <x:f>IF(OR(C36="",D36=""),"",B36&amp;"-"&amp;UPPER(C36)&amp;"-"&amp;TEXT(D36,"0000")&amp;"-"&amp;E36)</x:f>
        <x:v>M18-CLIMATE-0030-V1.0</x:v>
      </x:c>
      <x:c r="B36" s="74" t="str">
        <x:v>M18</x:v>
      </x:c>
      <x:c r="C36" s="74" t="str">
        <x:v>CLIMATE</x:v>
      </x:c>
      <x:c r="D36" s="215" t="n">
        <x:v>30</x:v>
      </x:c>
      <x:c r="E36" s="74" t="str">
        <x:v>V1.0</x:v>
      </x:c>
      <x:c r="F36" s="68" t="str">
        <x:v>调候与特殊格局冲突时不得以一般季节偏性破格</x:v>
      </x:c>
      <x:c r="G36" s="82" t="str">
        <x:v>综合层</x:v>
      </x:c>
      <x:c r="H36" s="68" t="str">
        <x:v>调候与特殊格局冲突</x:v>
      </x:c>
      <x:c r="I36" s="68" t="str">
        <x:v>M17-TIAOHOU-0047-V1.0</x:v>
      </x:c>
      <x:c r="J36" s="68" t="str">
        <x:v>偏热或极热时水可降温</x:v>
      </x:c>
      <x:c r="K36" s="68" t="str">
        <x:v>M17-GEJU-0033-V1.0</x:v>
      </x:c>
      <x:c r="L36" s="68" t="str">
        <x:v>专旺格需维护一气主势</x:v>
      </x:c>
      <x:c r="M36" s="68" t="str">
        <x:v>调候候选会形成专旺、从格或化气格的有效逆神</x:v>
      </x:c>
      <x:c r="N36" s="68" t="str">
        <x:v>特殊格局严格成立时，一般偏热偏寒不构成破格理由</x:v>
      </x:c>
      <x:c r="O36" s="68" t="str">
        <x:v>只有极端气候已使特殊格局自身无法运行时，才采用不破格的最低调候</x:v>
      </x:c>
      <x:c r="P36" s="68" t="str">
        <x:v>格局兼容调候方案优先</x:v>
      </x:c>
      <x:c r="Q36" s="68" t="str">
        <x:v>直接逆格的调候五行降为条件性或不采用</x:v>
      </x:c>
      <x:c r="R36" s="84" t="str">
        <x:v>格局约束调候</x:v>
      </x:c>
      <x:c r="S36" s="68" t="str">
        <x:v>冲突双方均有有效证据且作用于同一原局</x:v>
      </x:c>
      <x:c r="T36" s="68" t="str">
        <x:v>其中一方只是名义候选、已经失效或不作用于主要矛盾</x:v>
      </x:c>
      <x:c r="U36" s="68" t="str">
        <x:v>若被降级一方实际承担不可替代功能，应重新进入本规则复审</x:v>
      </x:c>
      <x:c r="V36" s="68" t="str">
        <x:v>证据接近或存在流派争议时保留并列候选并降低置信度</x:v>
      </x:c>
      <x:c r="W36" s="90" t="str">
        <x:v>记录未完全纠正的气候偏差，避免为了追求双轴绝对平衡破格</x:v>
      </x:c>
      <x:c r="X36" s="84" t="str">
        <x:v>特殊格局调候约束</x:v>
      </x:c>
      <x:c r="Y36" s="84" t="str">
        <x:v>冲突主题：调候与特殊格局冲突。裁决结果为“格局约束调候”；优先采用：格局兼容调候方案优先；降级处理：直接逆格的调候五行降为条件性或不采用。同时控制副作用：记录未完全纠正的气候偏差，避免为了追求双轴绝对平衡破格。</x:v>
      </x:c>
      <x:c r="Z36" s="82" t="str">
        <x:v>较高</x:v>
      </x:c>
      <x:c r="AA36" s="82" t="str">
        <x:v>现代综合</x:v>
      </x:c>
      <x:c r="AB3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6" s="68" t="str">
        <x:v>当“调候候选会形成专旺、从格或化气格的有效逆神”成立，且硬约束与主次证据清晰时，可按本规则裁决。</x:v>
      </x:c>
      <x:c r="AD36" s="90" t="str">
        <x:v>若冲突双方并未同时有效，或“其中一方只是名义候选、已经失效或不作用于主要矛盾”成立，不得套用本规则制造假冲突。</x:v>
      </x:c>
      <x:c r="AE36" s="82" t="str">
        <x:v>采用</x:v>
      </x:c>
      <x:c r="AF36" s="82" t="str">
        <x:v>初审</x:v>
      </x:c>
      <x:c r="AG36" s="87" t="n">
        <x:v>46260</x:v>
      </x:c>
    </x:row>
    <x:row r="37">
      <x:c r="A37" s="72" t="str">
        <x:f>IF(OR(C37="",D37=""),"",B37&amp;"-"&amp;UPPER(C37)&amp;"-"&amp;TEXT(D37,"0000")&amp;"-"&amp;E37)</x:f>
        <x:v>M18-CLIMATE-0031-V1.0</x:v>
      </x:c>
      <x:c r="B37" s="74" t="str">
        <x:v>M18</x:v>
      </x:c>
      <x:c r="C37" s="74" t="str">
        <x:v>CLIMATE</x:v>
      </x:c>
      <x:c r="D37" s="215" t="n">
        <x:v>31</x:v>
      </x:c>
      <x:c r="E37" s="74" t="str">
        <x:v>V1.0</x:v>
      </x:c>
      <x:c r="F37" s="68" t="str">
        <x:v>寒燥火水并用必须明确主药和辅助药</x:v>
      </x:c>
      <x:c r="G37" s="82" t="str">
        <x:v>综合层</x:v>
      </x:c>
      <x:c r="H37" s="68" t="str">
        <x:v>寒燥中的火水路线冲突</x:v>
      </x:c>
      <x:c r="I37" s="68" t="str">
        <x:v>M17-TIAOHOU-0049-V1.0</x:v>
      </x:c>
      <x:c r="J37" s="68" t="str">
        <x:v>寒燥需火水分主辅而非无条件同时增强</x:v>
      </x:c>
      <x:c r="K37" s="68" t="str">
        <x:v>M16-CLIMATE-0069-V1.0</x:v>
      </x:c>
      <x:c r="L37" s="68" t="str">
        <x:v>寒燥病既需暖又需润</x:v>
      </x:c>
      <x:c r="M37" s="68" t="str">
        <x:v>火可暖但加燥，水可润但加寒，二者同时无序使用会形成水火相战</x:v>
      </x:c>
      <x:c r="N37" s="68" t="str">
        <x:v>先判断寒与燥哪一轴是根本病、哪一轴是次病</x:v>
      </x:c>
      <x:c r="O37" s="68" t="str">
        <x:v>根本轴对应五行为主药，另一五行仅作辅助并通过木等桥梁协调</x:v>
      </x:c>
      <x:c r="P37" s="68" t="str">
        <x:v>能解释更多功能障碍的一轴优先</x:v>
      </x:c>
      <x:c r="Q37" s="68" t="str">
        <x:v>次轴药神列辅助用神或条件性喜神</x:v>
      </x:c>
      <x:c r="R37" s="84" t="str">
        <x:v>火水主辅裁决</x:v>
      </x:c>
      <x:c r="S37" s="68" t="str">
        <x:v>冲突双方均有有效证据且作用于同一原局</x:v>
      </x:c>
      <x:c r="T37" s="68" t="str">
        <x:v>其中一方只是名义候选、已经失效或不作用于主要矛盾</x:v>
      </x:c>
      <x:c r="U37" s="68" t="str">
        <x:v>若被降级一方实际承担不可替代功能，应重新进入本规则复审</x:v>
      </x:c>
      <x:c r="V37" s="68" t="str">
        <x:v>证据接近或存在流派争议时保留并列候选并降低置信度</x:v>
      </x:c>
      <x:c r="W37" s="90" t="str">
        <x:v>限制两药强度，防止直接水火对战和双向药过</x:v>
      </x:c>
      <x:c r="X37" s="84" t="str">
        <x:v>寒燥火水主辅</x:v>
      </x:c>
      <x:c r="Y37" s="84" t="str">
        <x:v>冲突主题：寒燥中的火水路线冲突。裁决结果为“火水主辅裁决”；优先采用：能解释更多功能障碍的一轴优先；降级处理：次轴药神列辅助用神或条件性喜神。同时控制副作用：限制两药强度，防止直接水火对战和双向药过。</x:v>
      </x:c>
      <x:c r="Z37" s="82" t="str">
        <x:v>较高</x:v>
      </x:c>
      <x:c r="AA37" s="82" t="str">
        <x:v>现代综合</x:v>
      </x:c>
      <x:c r="AB3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7" s="68" t="str">
        <x:v>当“火可暖但加燥，水可润但加寒，二者同时无序使用会形成水火相战”成立，且硬约束与主次证据清晰时，可按本规则裁决。</x:v>
      </x:c>
      <x:c r="AD37" s="90" t="str">
        <x:v>若冲突双方并未同时有效，或“其中一方只是名义候选、已经失效或不作用于主要矛盾”成立，不得套用本规则制造假冲突。</x:v>
      </x:c>
      <x:c r="AE37" s="82" t="str">
        <x:v>采用</x:v>
      </x:c>
      <x:c r="AF37" s="82" t="str">
        <x:v>初审</x:v>
      </x:c>
      <x:c r="AG37" s="87" t="n">
        <x:v>46260</x:v>
      </x:c>
    </x:row>
    <x:row r="38">
      <x:c r="A38" s="72" t="str">
        <x:f>IF(OR(C38="",D38=""),"",B38&amp;"-"&amp;UPPER(C38)&amp;"-"&amp;TEXT(D38,"0000")&amp;"-"&amp;E38)</x:f>
        <x:v>M18-CLIMATE-0032-V1.0</x:v>
      </x:c>
      <x:c r="B38" s="74" t="str">
        <x:v>M18</x:v>
      </x:c>
      <x:c r="C38" s="74" t="str">
        <x:v>CLIMATE</x:v>
      </x:c>
      <x:c r="D38" s="215" t="n">
        <x:v>32</x:v>
      </x:c>
      <x:c r="E38" s="74" t="str">
        <x:v>V1.0</x:v>
      </x:c>
      <x:c r="F38" s="68" t="str">
        <x:v>调候药超过平衡点时由喜转忌</x:v>
      </x:c>
      <x:c r="G38" s="82" t="str">
        <x:v>综合层</x:v>
      </x:c>
      <x:c r="H38" s="68" t="str">
        <x:v>调候收益与药量过度冲突</x:v>
      </x:c>
      <x:c r="I38" s="68" t="str">
        <x:v>M17-BINGYAO-0061-V1.0</x:v>
      </x:c>
      <x:c r="J38" s="68" t="str">
        <x:v>适量治病、过量成病的药神应条件化</x:v>
      </x:c>
      <x:c r="K38" s="68" t="str">
        <x:v>M16-DOSE-0091-V1.0</x:v>
      </x:c>
      <x:c r="L38" s="68" t="str">
        <x:v>药力过量会跨越平衡形成反向病</x:v>
      </x:c>
      <x:c r="M38" s="68" t="str">
        <x:v>火、水、木、土或金已经完成调候，继续增强会由寒转热、湿转燥或反向</x:v>
      </x:c>
      <x:c r="N38" s="68" t="str">
        <x:v>双轴已达到平衡或原调候病不再构成功能障碍</x:v>
      </x:c>
      <x:c r="O38" s="68" t="str">
        <x:v>调候用神只在病位存在和剂量未越界时为喜</x:v>
      </x:c>
      <x:c r="P38" s="68" t="str">
        <x:v>维持平衡而非继续强化原药</x:v>
      </x:c>
      <x:c r="Q38" s="68" t="str">
        <x:v>越过阈值后由喜神降为中性、条件性忌神或忌神</x:v>
      </x:c>
      <x:c r="R38" s="84" t="str">
        <x:v>调候剂量转化</x:v>
      </x:c>
      <x:c r="S38" s="68" t="str">
        <x:v>冲突双方均有有效证据且作用于同一原局</x:v>
      </x:c>
      <x:c r="T38" s="68" t="str">
        <x:v>其中一方只是名义候选、已经失效或不作用于主要矛盾</x:v>
      </x:c>
      <x:c r="U38" s="68" t="str">
        <x:v>若被降级一方实际承担不可替代功能，应重新进入本规则复审</x:v>
      </x:c>
      <x:c r="V38" s="68" t="str">
        <x:v>证据接近或存在流派争议时保留并列候选并降低置信度</x:v>
      </x:c>
      <x:c r="W38" s="90" t="str">
        <x:v>标准输出明确有利区间和转忌条件</x:v>
      </x:c>
      <x:c r="X38" s="84" t="str">
        <x:v>调候药量边界</x:v>
      </x:c>
      <x:c r="Y38" s="84" t="str">
        <x:v>冲突主题：调候收益与药量过度冲突。裁决结果为“调候剂量转化”；优先采用：维持平衡而非继续强化原药；降级处理：越过阈值后由喜神降为中性、条件性忌神或忌神。同时控制副作用：标准输出明确有利区间和转忌条件。</x:v>
      </x:c>
      <x:c r="Z38" s="82" t="str">
        <x:v>较高</x:v>
      </x:c>
      <x:c r="AA38" s="82" t="str">
        <x:v>现代综合</x:v>
      </x:c>
      <x:c r="AB3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8" s="68" t="str">
        <x:v>当“火、水、木、土或金已经完成调候，继续增强会由寒转热、湿转燥或反向”成立，且硬约束与主次证据清晰时，可按本规则裁决。</x:v>
      </x:c>
      <x:c r="AD38" s="90" t="str">
        <x:v>若冲突双方并未同时有效，或“其中一方只是名义候选、已经失效或不作用于主要矛盾”成立，不得套用本规则制造假冲突。</x:v>
      </x:c>
      <x:c r="AE38" s="82" t="str">
        <x:v>采用</x:v>
      </x:c>
      <x:c r="AF38" s="82" t="str">
        <x:v>初审</x:v>
      </x:c>
      <x:c r="AG38" s="87" t="n">
        <x:v>46260</x:v>
      </x:c>
    </x:row>
    <x:row r="39">
      <x:c r="A39" s="72" t="str">
        <x:f>IF(OR(C39="",D39=""),"",B39&amp;"-"&amp;UPPER(C39)&amp;"-"&amp;TEXT(D39,"0000")&amp;"-"&amp;E39)</x:f>
        <x:v>M18-FLOW-0033-V1.0</x:v>
      </x:c>
      <x:c r="B39" s="74" t="str">
        <x:v>M18</x:v>
      </x:c>
      <x:c r="C39" s="74" t="str">
        <x:v>FLOW</x:v>
      </x:c>
      <x:c r="D39" s="215" t="n">
        <x:v>33</x:v>
      </x:c>
      <x:c r="E39" s="74" t="str">
        <x:v>V1.0</x:v>
      </x:c>
      <x:c r="F39" s="68" t="str">
        <x:v>主流通卡点优先于一般扶抑微调</x:v>
      </x:c>
      <x:c r="G39" s="82" t="str">
        <x:v>综合层</x:v>
      </x:c>
      <x:c r="H39" s="68" t="str">
        <x:v>主卡点与普通扶抑冲突</x:v>
      </x:c>
      <x:c r="I39" s="68" t="str">
        <x:v>M16-FLOW-0038-V1.0</x:v>
      </x:c>
      <x:c r="J39" s="68" t="str">
        <x:v>主路径首要卡点应优先修复</x:v>
      </x:c>
      <x:c r="K39" s="68" t="str">
        <x:v>M17-FUYI-0022-V1.0</x:v>
      </x:c>
      <x:c r="L39" s="68" t="str">
        <x:v>日主中和时扶抑维度应降权</x:v>
      </x:c>
      <x:c r="M39" s="68" t="str">
        <x:v>日主仅轻度偏旺偏弱，但关键桥梁断裂、两强相战或终点失效影响全局</x:v>
      </x:c>
      <x:c r="N39" s="68" t="str">
        <x:v>M12/M16必须确认该卡点覆盖核心格局、日主承载或多个组合</x:v>
      </x:c>
      <x:c r="O39" s="68" t="str">
        <x:v>修复主路径比微调普通旺衰更具全局收益</x:v>
      </x:c>
      <x:c r="P39" s="68" t="str">
        <x:v>直接修复主卡点的通关/桥梁五行优先</x:v>
      </x:c>
      <x:c r="Q39" s="68" t="str">
        <x:v>一般扶抑候选降为辅助、第三顺位或中性</x:v>
      </x:c>
      <x:c r="R39" s="84" t="str">
        <x:v>主卡点优先</x:v>
      </x:c>
      <x:c r="S39" s="68" t="str">
        <x:v>冲突双方均有有效证据且作用于同一原局</x:v>
      </x:c>
      <x:c r="T39" s="68" t="str">
        <x:v>其中一方只是名义候选、已经失效或不作用于主要矛盾</x:v>
      </x:c>
      <x:c r="U39" s="68" t="str">
        <x:v>若被降级一方实际承担不可替代功能，应重新进入本规则复审</x:v>
      </x:c>
      <x:c r="V39" s="68" t="str">
        <x:v>证据接近或存在流派争议时保留并列候选并降低置信度</x:v>
      </x:c>
      <x:c r="W39" s="90" t="str">
        <x:v>通关完成后重新评估日主净旺衰，防止修复路径后扶抑方向变化</x:v>
      </x:c>
      <x:c r="X39" s="84" t="str">
        <x:v>主卡点压过微扶抑</x:v>
      </x:c>
      <x:c r="Y39" s="84" t="str">
        <x:v>冲突主题：主卡点与普通扶抑冲突。裁决结果为“主卡点优先”；优先采用：直接修复主卡点的通关/桥梁五行优先；降级处理：一般扶抑候选降为辅助、第三顺位或中性。同时控制副作用：通关完成后重新评估日主净旺衰，防止修复路径后扶抑方向变化。</x:v>
      </x:c>
      <x:c r="Z39" s="82" t="str">
        <x:v>较高</x:v>
      </x:c>
      <x:c r="AA39" s="82" t="str">
        <x:v>现代综合</x:v>
      </x:c>
      <x:c r="AB3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9" s="68" t="str">
        <x:v>当“日主仅轻度偏旺偏弱，但关键桥梁断裂、两强相战或终点失效影响全局”成立，且硬约束与主次证据清晰时，可按本规则裁决。</x:v>
      </x:c>
      <x:c r="AD39" s="90" t="str">
        <x:v>若冲突双方并未同时有效，或“其中一方只是名义候选、已经失效或不作用于主要矛盾”成立，不得套用本规则制造假冲突。</x:v>
      </x:c>
      <x:c r="AE39" s="82" t="str">
        <x:v>采用</x:v>
      </x:c>
      <x:c r="AF39" s="82" t="str">
        <x:v>初审</x:v>
      </x:c>
      <x:c r="AG39" s="87" t="n">
        <x:v>46260</x:v>
      </x:c>
    </x:row>
    <x:row r="40">
      <x:c r="A40" s="72" t="str">
        <x:f>IF(OR(C40="",D40=""),"",B40&amp;"-"&amp;UPPER(C40)&amp;"-"&amp;TEXT(D40,"0000")&amp;"-"&amp;E40)</x:f>
        <x:v>M18-FLOW-0034-V1.0</x:v>
      </x:c>
      <x:c r="B40" s="74" t="str">
        <x:v>M18</x:v>
      </x:c>
      <x:c r="C40" s="74" t="str">
        <x:v>FLOW</x:v>
      </x:c>
      <x:c r="D40" s="215" t="n">
        <x:v>34</x:v>
      </x:c>
      <x:c r="E40" s="74" t="str">
        <x:v>V1.0</x:v>
      </x:c>
      <x:c r="F40" s="68" t="str">
        <x:v>理论通关但药力不足时不得列主用</x:v>
      </x:c>
      <x:c r="G40" s="82" t="str">
        <x:v>综合层</x:v>
      </x:c>
      <x:c r="H40" s="68" t="str">
        <x:v>通关功能与药力有效性冲突</x:v>
      </x:c>
      <x:c r="I40" s="68" t="str">
        <x:v>M17-TONGGUAN-0041-V1.0</x:v>
      </x:c>
      <x:c r="J40" s="68" t="str">
        <x:v>通关五行无根无源时只列弱候选</x:v>
      </x:c>
      <x:c r="K40" s="68" t="str">
        <x:v>M16-MED-0080-V1.0</x:v>
      </x:c>
      <x:c r="L40" s="68" t="str">
        <x:v>药神必须有根有源并能进入病位</x:v>
      </x:c>
      <x:c r="M40" s="68" t="str">
        <x:v>五行生克关系上可以通关，但该五行无根、受克、合绊或不在有效路径</x:v>
      </x:c>
      <x:c r="N40" s="68" t="str">
        <x:v>理论生克关系不能替代实际药力</x:v>
      </x:c>
      <x:c r="O40" s="68" t="str">
        <x:v>先检验有效性，再确定通关定位</x:v>
      </x:c>
      <x:c r="P40" s="68" t="str">
        <x:v>有根有源、路径直接的替代桥梁优先</x:v>
      </x:c>
      <x:c r="Q40" s="68" t="str">
        <x:v>理论通关者降为条件性喜神、待定或不采用</x:v>
      </x:c>
      <x:c r="R40" s="84" t="str">
        <x:v>药力门槛裁决</x:v>
      </x:c>
      <x:c r="S40" s="68" t="str">
        <x:v>冲突双方均有有效证据且作用于同一原局</x:v>
      </x:c>
      <x:c r="T40" s="68" t="str">
        <x:v>其中一方只是名义候选、已经失效或不作用于主要矛盾</x:v>
      </x:c>
      <x:c r="U40" s="68" t="str">
        <x:v>若被降级一方实际承担不可替代功能，应重新进入本规则复审</x:v>
      </x:c>
      <x:c r="V40" s="68" t="str">
        <x:v>证据接近或存在流派争议时保留并列候选并降低置信度</x:v>
      </x:c>
      <x:c r="W40" s="90" t="str">
        <x:v>若需先增强桥梁，应把增强桥梁者列辅助用神而非虚设主用</x:v>
      </x:c>
      <x:c r="X40" s="84" t="str">
        <x:v>弱通关降级</x:v>
      </x:c>
      <x:c r="Y40" s="84" t="str">
        <x:v>冲突主题：通关功能与药力有效性冲突。裁决结果为“药力门槛裁决”；优先采用：有根有源、路径直接的替代桥梁优先；降级处理：理论通关者降为条件性喜神、待定或不采用。同时控制副作用：若需先增强桥梁，应把增强桥梁者列辅助用神而非虚设主用。</x:v>
      </x:c>
      <x:c r="Z40" s="82" t="str">
        <x:v>较高</x:v>
      </x:c>
      <x:c r="AA40" s="82" t="str">
        <x:v>现代综合</x:v>
      </x:c>
      <x:c r="AB4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0" s="68" t="str">
        <x:v>当“五行生克关系上可以通关，但该五行无根、受克、合绊或不在有效路径”成立，且硬约束与主次证据清晰时，可按本规则裁决。</x:v>
      </x:c>
      <x:c r="AD40" s="90" t="str">
        <x:v>若冲突双方并未同时有效，或“其中一方只是名义候选、已经失效或不作用于主要矛盾”成立，不得套用本规则制造假冲突。</x:v>
      </x:c>
      <x:c r="AE40" s="82" t="str">
        <x:v>采用</x:v>
      </x:c>
      <x:c r="AF40" s="82" t="str">
        <x:v>初审</x:v>
      </x:c>
      <x:c r="AG40" s="87" t="n">
        <x:v>46260</x:v>
      </x:c>
    </x:row>
    <x:row r="41">
      <x:c r="A41" s="72" t="str">
        <x:f>IF(OR(C41="",D41=""),"",B41&amp;"-"&amp;UPPER(C41)&amp;"-"&amp;TEXT(D41,"0000")&amp;"-"&amp;E41)</x:f>
        <x:v>M18-FLOW-0035-V1.0</x:v>
      </x:c>
      <x:c r="B41" s="74" t="str">
        <x:v>M18</x:v>
      </x:c>
      <x:c r="C41" s="74" t="str">
        <x:v>FLOW</x:v>
      </x:c>
      <x:c r="D41" s="215" t="n">
        <x:v>35</x:v>
      </x:c>
      <x:c r="E41" s="74" t="str">
        <x:v>V1.0</x:v>
      </x:c>
      <x:c r="F41" s="68" t="str">
        <x:v>通关与核心格局冲突时格局主轴优先</x:v>
      </x:c>
      <x:c r="G41" s="82" t="str">
        <x:v>综合层</x:v>
      </x:c>
      <x:c r="H41" s="68" t="str">
        <x:v>通关用神与格局硬约束冲突</x:v>
      </x:c>
      <x:c r="I41" s="68" t="str">
        <x:v>M17-TONGGUAN-0042-V1.0</x:v>
      </x:c>
      <x:c r="J41" s="68" t="str">
        <x:v>通关五行破坏核心格局时应降级</x:v>
      </x:c>
      <x:c r="K41" s="68" t="str">
        <x:v>M17-GEJU-0023-V1.0</x:v>
      </x:c>
      <x:c r="L41" s="68" t="str">
        <x:v>有效主格需保护核心格神</x:v>
      </x:c>
      <x:c r="M41" s="68" t="str">
        <x:v>通关候选能解决局部克战，但会使格神失效或特殊格局破格</x:v>
      </x:c>
      <x:c r="N41" s="68" t="str">
        <x:v>主格必须仍有效且局部克战不是更高严重度根本病</x:v>
      </x:c>
      <x:c r="O41" s="68" t="str">
        <x:v>不以局部通畅换取根本破格</x:v>
      </x:c>
      <x:c r="P41" s="68" t="str">
        <x:v>兼容格局的替代通关方案优先</x:v>
      </x:c>
      <x:c r="Q41" s="68" t="str">
        <x:v>伤格通关五行降为条件性忌神或不采用</x:v>
      </x:c>
      <x:c r="R41" s="84" t="str">
        <x:v>护格优先</x:v>
      </x:c>
      <x:c r="S41" s="68" t="str">
        <x:v>冲突双方均有有效证据且作用于同一原局</x:v>
      </x:c>
      <x:c r="T41" s="68" t="str">
        <x:v>其中一方只是名义候选、已经失效或不作用于主要矛盾</x:v>
      </x:c>
      <x:c r="U41" s="68" t="str">
        <x:v>若被降级一方实际承担不可替代功能，应重新进入本规则复审</x:v>
      </x:c>
      <x:c r="V41" s="68" t="str">
        <x:v>证据接近或存在流派争议时保留并列候选并降低置信度</x:v>
      </x:c>
      <x:c r="W41" s="90" t="str">
        <x:v>局部卡点保留为次病，并说明未完全通关的代价</x:v>
      </x:c>
      <x:c r="X41" s="84" t="str">
        <x:v>通关伤格否决</x:v>
      </x:c>
      <x:c r="Y41" s="84" t="str">
        <x:v>冲突主题：通关用神与格局硬约束冲突。裁决结果为“护格优先”；优先采用：兼容格局的替代通关方案优先；降级处理：伤格通关五行降为条件性忌神或不采用。同时控制副作用：局部卡点保留为次病，并说明未完全通关的代价。</x:v>
      </x:c>
      <x:c r="Z41" s="82" t="str">
        <x:v>较高</x:v>
      </x:c>
      <x:c r="AA41" s="82" t="str">
        <x:v>现代综合</x:v>
      </x:c>
      <x:c r="AB4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1" s="68" t="str">
        <x:v>当“通关候选能解决局部克战，但会使格神失效或特殊格局破格”成立，且硬约束与主次证据清晰时，可按本规则裁决。</x:v>
      </x:c>
      <x:c r="AD41" s="90" t="str">
        <x:v>若冲突双方并未同时有效，或“其中一方只是名义候选、已经失效或不作用于主要矛盾”成立，不得套用本规则制造假冲突。</x:v>
      </x:c>
      <x:c r="AE41" s="82" t="str">
        <x:v>采用</x:v>
      </x:c>
      <x:c r="AF41" s="82" t="str">
        <x:v>初审</x:v>
      </x:c>
      <x:c r="AG41" s="87" t="n">
        <x:v>46260</x:v>
      </x:c>
    </x:row>
    <x:row r="42">
      <x:c r="A42" s="72" t="str">
        <x:f>IF(OR(C42="",D42=""),"",B42&amp;"-"&amp;UPPER(C42)&amp;"-"&amp;TEXT(D42,"0000")&amp;"-"&amp;E42)</x:f>
        <x:v>M18-FLOW-0036-V1.0</x:v>
      </x:c>
      <x:c r="B42" s="74" t="str">
        <x:v>M18</x:v>
      </x:c>
      <x:c r="C42" s="74" t="str">
        <x:v>FLOW</x:v>
      </x:c>
      <x:c r="D42" s="215" t="n">
        <x:v>36</x:v>
      </x:c>
      <x:c r="E42" s="74" t="str">
        <x:v>V1.0</x:v>
      </x:c>
      <x:c r="F42" s="68" t="str">
        <x:v>通关与首要调候冲突时比较新病严重度</x:v>
      </x:c>
      <x:c r="G42" s="82" t="str">
        <x:v>综合层</x:v>
      </x:c>
      <x:c r="H42" s="68" t="str">
        <x:v>通关用神与调候用神冲突</x:v>
      </x:c>
      <x:c r="I42" s="68" t="str">
        <x:v>M17-TONGGUAN-0043-V1.0</x:v>
      </x:c>
      <x:c r="J42" s="68" t="str">
        <x:v>通关五行恶化极端气候时不得列无条件喜用</x:v>
      </x:c>
      <x:c r="K42" s="68" t="str">
        <x:v>M16-CLIMATE-0067-V1.0</x:v>
      </x:c>
      <x:c r="L42" s="68" t="str">
        <x:v>极端气候可构成首要根本病</x:v>
      </x:c>
      <x:c r="M42" s="68" t="str">
        <x:v>桥梁五行能通关，但会把命局推向极寒湿、极热燥或使气候主病加重</x:v>
      </x:c>
      <x:c r="N42" s="68" t="str">
        <x:v>新调候病严重度不得高于原流通病</x:v>
      </x:c>
      <x:c r="O42" s="68" t="str">
        <x:v>按通关收益与气候损害的净严重度裁决</x:v>
      </x:c>
      <x:c r="P42" s="68" t="str">
        <x:v>不恶化气候的替代桥梁或间接通关优先</x:v>
      </x:c>
      <x:c r="Q42" s="68" t="str">
        <x:v>会制造更严重调候病者降为不采用或条件性忌神</x:v>
      </x:c>
      <x:c r="R42" s="84" t="str">
        <x:v>通关调候净收益</x:v>
      </x:c>
      <x:c r="S42" s="68" t="str">
        <x:v>冲突双方均有有效证据且作用于同一原局</x:v>
      </x:c>
      <x:c r="T42" s="68" t="str">
        <x:v>其中一方只是名义候选、已经失效或不作用于主要矛盾</x:v>
      </x:c>
      <x:c r="U42" s="68" t="str">
        <x:v>若被降级一方实际承担不可替代功能，应重新进入本规则复审</x:v>
      </x:c>
      <x:c r="V42" s="68" t="str">
        <x:v>证据接近或存在流派争议时保留并列候选并降低置信度</x:v>
      </x:c>
      <x:c r="W42" s="90" t="str">
        <x:v>若有限强度可通关且不越气候阈值，则标条件性喜神</x:v>
      </x:c>
      <x:c r="X42" s="84" t="str">
        <x:v>通关调候裁决</x:v>
      </x:c>
      <x:c r="Y42" s="84" t="str">
        <x:v>冲突主题：通关用神与调候用神冲突。裁决结果为“通关调候净收益”；优先采用：不恶化气候的替代桥梁或间接通关优先；降级处理：会制造更严重调候病者降为不采用或条件性忌神。同时控制副作用：若有限强度可通关且不越气候阈值，则标条件性喜神。</x:v>
      </x:c>
      <x:c r="Z42" s="82" t="str">
        <x:v>较高</x:v>
      </x:c>
      <x:c r="AA42" s="82" t="str">
        <x:v>现代综合</x:v>
      </x:c>
      <x:c r="AB4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2" s="68" t="str">
        <x:v>当“桥梁五行能通关，但会把命局推向极寒湿、极热燥或使气候主病加重”成立，且硬约束与主次证据清晰时，可按本规则裁决。</x:v>
      </x:c>
      <x:c r="AD42" s="90" t="str">
        <x:v>若冲突双方并未同时有效，或“其中一方只是名义候选、已经失效或不作用于主要矛盾”成立，不得套用本规则制造假冲突。</x:v>
      </x:c>
      <x:c r="AE42" s="82" t="str">
        <x:v>采用</x:v>
      </x:c>
      <x:c r="AF42" s="82" t="str">
        <x:v>初审</x:v>
      </x:c>
      <x:c r="AG42" s="87" t="n">
        <x:v>46260</x:v>
      </x:c>
    </x:row>
    <x:row r="43">
      <x:c r="A43" s="72" t="str">
        <x:f>IF(OR(C43="",D43=""),"",B43&amp;"-"&amp;UPPER(C43)&amp;"-"&amp;TEXT(D43,"0000")&amp;"-"&amp;E43)</x:f>
        <x:v>M18-FLOW-0037-V1.0</x:v>
      </x:c>
      <x:c r="B43" s="74" t="str">
        <x:v>M18</x:v>
      </x:c>
      <x:c r="C43" s="74" t="str">
        <x:v>FLOW</x:v>
      </x:c>
      <x:c r="D43" s="215" t="n">
        <x:v>37</x:v>
      </x:c>
      <x:c r="E43" s="74" t="str">
        <x:v>V1.0</x:v>
      </x:c>
      <x:c r="F43" s="68" t="str">
        <x:v>主路径优先于次级流通路径</x:v>
      </x:c>
      <x:c r="G43" s="82" t="str">
        <x:v>综合层</x:v>
      </x:c>
      <x:c r="H43" s="68" t="str">
        <x:v>多流通路径优先级冲突</x:v>
      </x:c>
      <x:c r="I43" s="68" t="str">
        <x:v>M16-FLOW-0038-V1.0</x:v>
      </x:c>
      <x:c r="J43" s="68" t="str">
        <x:v>多个通路并存时主药优先修复主路径</x:v>
      </x:c>
      <x:c r="K43" s="68" t="str">
        <x:v>M17-BINGYAO-0060-V1.0</x:v>
      </x:c>
      <x:c r="L43" s="68" t="str">
        <x:v>只治疗次病者降为喜神或辅助</x:v>
      </x:c>
      <x:c r="M43" s="68" t="str">
        <x:v>多个桥梁或通关五行分别改善不同路径，且资源容量有限</x:v>
      </x:c>
      <x:c r="N43" s="68" t="str">
        <x:v>主路径由覆盖范围、核心格局、根本病和不可替代性共同确定</x:v>
      </x:c>
      <x:c r="O43" s="68" t="str">
        <x:v>先修复主路径，再处理次级路径</x:v>
      </x:c>
      <x:c r="P43" s="68" t="str">
        <x:v>覆盖核心节点最多者列主用</x:v>
      </x:c>
      <x:c r="Q43" s="68" t="str">
        <x:v>次级路径药神列辅助或第三顺位喜神</x:v>
      </x:c>
      <x:c r="R43" s="84" t="str">
        <x:v>路径分层</x:v>
      </x:c>
      <x:c r="S43" s="68" t="str">
        <x:v>冲突双方均有有效证据且作用于同一原局</x:v>
      </x:c>
      <x:c r="T43" s="68" t="str">
        <x:v>其中一方只是名义候选、已经失效或不作用于主要矛盾</x:v>
      </x:c>
      <x:c r="U43" s="68" t="str">
        <x:v>若被降级一方实际承担不可替代功能，应重新进入本规则复审</x:v>
      </x:c>
      <x:c r="V43" s="68" t="str">
        <x:v>证据接近或存在流派争议时保留并列候选并降低置信度</x:v>
      </x:c>
      <x:c r="W43" s="90" t="str">
        <x:v>防止多个路径同时争夺同一桥梁造成容量过载</x:v>
      </x:c>
      <x:c r="X43" s="84" t="str">
        <x:v>主次流通分层</x:v>
      </x:c>
      <x:c r="Y43" s="84" t="str">
        <x:v>冲突主题：多流通路径优先级冲突。裁决结果为“路径分层”；优先采用：覆盖核心节点最多者列主用；降级处理：次级路径药神列辅助或第三顺位喜神。同时控制副作用：防止多个路径同时争夺同一桥梁造成容量过载。</x:v>
      </x:c>
      <x:c r="Z43" s="82" t="str">
        <x:v>较高</x:v>
      </x:c>
      <x:c r="AA43" s="82" t="str">
        <x:v>现代综合</x:v>
      </x:c>
      <x:c r="AB4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3" s="68" t="str">
        <x:v>当“多个桥梁或通关五行分别改善不同路径，且资源容量有限”成立，且硬约束与主次证据清晰时，可按本规则裁决。</x:v>
      </x:c>
      <x:c r="AD43" s="90" t="str">
        <x:v>若冲突双方并未同时有效，或“其中一方只是名义候选、已经失效或不作用于主要矛盾”成立，不得套用本规则制造假冲突。</x:v>
      </x:c>
      <x:c r="AE43" s="82" t="str">
        <x:v>采用</x:v>
      </x:c>
      <x:c r="AF43" s="82" t="str">
        <x:v>初审</x:v>
      </x:c>
      <x:c r="AG43" s="87" t="n">
        <x:v>46260</x:v>
      </x:c>
    </x:row>
    <x:row r="44">
      <x:c r="A44" s="72" t="str">
        <x:f>IF(OR(C44="",D44=""),"",B44&amp;"-"&amp;UPPER(C44)&amp;"-"&amp;TEXT(D44,"0000")&amp;"-"&amp;E44)</x:f>
        <x:v>M18-FLOW-0038-V1.0</x:v>
      </x:c>
      <x:c r="B44" s="74" t="str">
        <x:v>M18</x:v>
      </x:c>
      <x:c r="C44" s="74" t="str">
        <x:v>FLOW</x:v>
      </x:c>
      <x:c r="D44" s="215" t="n">
        <x:v>38</x:v>
      </x:c>
      <x:c r="E44" s="74" t="str">
        <x:v>V1.0</x:v>
      </x:c>
      <x:c r="F44" s="68" t="str">
        <x:v>桥梁失效导致终点弱时先修桥后扶终点</x:v>
      </x:c>
      <x:c r="G44" s="82" t="str">
        <x:v>综合层</x:v>
      </x:c>
      <x:c r="H44" s="68" t="str">
        <x:v>桥梁修复与终点补强冲突</x:v>
      </x:c>
      <x:c r="I44" s="68" t="str">
        <x:v>M16-MED-0083-V1.0</x:v>
      </x:c>
      <x:c r="J44" s="68" t="str">
        <x:v>流通型病应先修复桥梁再增强终点</x:v>
      </x:c>
      <x:c r="K44" s="68" t="str">
        <x:v>M16-FLOW-0030-V1.0</x:v>
      </x:c>
      <x:c r="L44" s="68" t="str">
        <x:v>终点过弱不能承载可用生扶终点之药</x:v>
      </x:c>
      <x:c r="M44" s="68" t="str">
        <x:v>终点偏弱既可直接补强，也可能只是上游桥梁失效的表象</x:v>
      </x:c>
      <x:c r="N44" s="68" t="str">
        <x:v>若终点弱由桥梁断裂直接导致，桥梁属于根因</x:v>
      </x:c>
      <x:c r="O44" s="68" t="str">
        <x:v>先修复持续来源，再决定是否仍需补终点</x:v>
      </x:c>
      <x:c r="P44" s="68" t="str">
        <x:v>桥梁药神列主用，终点补强列辅助</x:v>
      </x:c>
      <x:c r="Q44" s="68" t="str">
        <x:v>直接补终点方案降为辅助或暂缓</x:v>
      </x:c>
      <x:c r="R44" s="84" t="str">
        <x:v>先桥后终点</x:v>
      </x:c>
      <x:c r="S44" s="68" t="str">
        <x:v>冲突双方均有有效证据且作用于同一原局</x:v>
      </x:c>
      <x:c r="T44" s="68" t="str">
        <x:v>其中一方只是名义候选、已经失效或不作用于主要矛盾</x:v>
      </x:c>
      <x:c r="U44" s="68" t="str">
        <x:v>若被降级一方实际承担不可替代功能，应重新进入本规则复审</x:v>
      </x:c>
      <x:c r="V44" s="68" t="str">
        <x:v>证据接近或存在流派争议时保留并列候选并降低置信度</x:v>
      </x:c>
      <x:c r="W44" s="90" t="str">
        <x:v>桥梁恢复后重新评估终点，避免双重补强导致终点过旺</x:v>
      </x:c>
      <x:c r="X44" s="84" t="str">
        <x:v>桥梁根因优先</x:v>
      </x:c>
      <x:c r="Y44" s="84" t="str">
        <x:v>冲突主题：桥梁修复与终点补强冲突。裁决结果为“先桥后终点”；优先采用：桥梁药神列主用，终点补强列辅助；降级处理：直接补终点方案降为辅助或暂缓。同时控制副作用：桥梁恢复后重新评估终点，避免双重补强导致终点过旺。</x:v>
      </x:c>
      <x:c r="Z44" s="82" t="str">
        <x:v>较高</x:v>
      </x:c>
      <x:c r="AA44" s="82" t="str">
        <x:v>现代综合</x:v>
      </x:c>
      <x:c r="AB4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4" s="68" t="str">
        <x:v>当“终点偏弱既可直接补强，也可能只是上游桥梁失效的表象”成立，且硬约束与主次证据清晰时，可按本规则裁决。</x:v>
      </x:c>
      <x:c r="AD44" s="90" t="str">
        <x:v>若冲突双方并未同时有效，或“其中一方只是名义候选、已经失效或不作用于主要矛盾”成立，不得套用本规则制造假冲突。</x:v>
      </x:c>
      <x:c r="AE44" s="82" t="str">
        <x:v>采用</x:v>
      </x:c>
      <x:c r="AF44" s="82" t="str">
        <x:v>初审</x:v>
      </x:c>
      <x:c r="AG44" s="87" t="n">
        <x:v>46260</x:v>
      </x:c>
    </x:row>
    <x:row r="45">
      <x:c r="A45" s="72" t="str">
        <x:f>IF(OR(C45="",D45=""),"",B45&amp;"-"&amp;UPPER(C45)&amp;"-"&amp;TEXT(D45,"0000")&amp;"-"&amp;E45)</x:f>
        <x:v>M18-FLOW-0039-V1.0</x:v>
      </x:c>
      <x:c r="B45" s="74" t="str">
        <x:v>M18</x:v>
      </x:c>
      <x:c r="C45" s="74" t="str">
        <x:v>FLOW</x:v>
      </x:c>
      <x:c r="D45" s="215" t="n">
        <x:v>39</x:v>
      </x:c>
      <x:c r="E45" s="74" t="str">
        <x:v>V1.0</x:v>
      </x:c>
      <x:c r="F45" s="68" t="str">
        <x:v>多个通关候选并存时优先最短、最稳、最少副作用者</x:v>
      </x:c>
      <x:c r="G45" s="82" t="str">
        <x:v>综合层</x:v>
      </x:c>
      <x:c r="H45" s="68" t="str">
        <x:v>多通关候选冲突</x:v>
      </x:c>
      <x:c r="I45" s="68" t="str">
        <x:v>M16-MED-0081-V1.0</x:v>
      </x:c>
      <x:c r="J45" s="68" t="str">
        <x:v>药神作用路径越直接越适合作为主药</x:v>
      </x:c>
      <x:c r="K45" s="68" t="str">
        <x:v>M17-TONGGUAN-0040-V1.0</x:v>
      </x:c>
      <x:c r="L45" s="68" t="str">
        <x:v>通关兼治主病时可升级</x:v>
      </x:c>
      <x:c r="M45" s="68" t="str">
        <x:v>两个以上五行都能理论连接同一对战或缺桥结构</x:v>
      </x:c>
      <x:c r="N45" s="68" t="str">
        <x:v>候选都必须有实际药力并能完成双向通关</x:v>
      </x:c>
      <x:c r="O45" s="68" t="str">
        <x:v>比较路径长度、桥梁稳定性、覆盖范围、调候和格局副作用</x:v>
      </x:c>
      <x:c r="P45" s="68" t="str">
        <x:v>最短、最稳、兼治根本病且副作用最小者优先</x:v>
      </x:c>
      <x:c r="Q45" s="68" t="str">
        <x:v>其余候选列替代方案、辅助用神或条件性喜神</x:v>
      </x:c>
      <x:c r="R45" s="84" t="str">
        <x:v>通关候选排序</x:v>
      </x:c>
      <x:c r="S45" s="68" t="str">
        <x:v>冲突双方均有有效证据且作用于同一原局</x:v>
      </x:c>
      <x:c r="T45" s="68" t="str">
        <x:v>其中一方只是名义候选、已经失效或不作用于主要矛盾</x:v>
      </x:c>
      <x:c r="U45" s="68" t="str">
        <x:v>若被降级一方实际承担不可替代功能，应重新进入本规则复审</x:v>
      </x:c>
      <x:c r="V45" s="68" t="str">
        <x:v>证据接近或存在流派争议时保留并列候选并降低置信度</x:v>
      </x:c>
      <x:c r="W45" s="90" t="str">
        <x:v>避免同一时间无序并用多个桥梁造成路径竞争</x:v>
      </x:c>
      <x:c r="X45" s="84" t="str">
        <x:v>通关最优路径</x:v>
      </x:c>
      <x:c r="Y45" s="84" t="str">
        <x:v>冲突主题：多通关候选冲突。裁决结果为“通关候选排序”；优先采用：最短、最稳、兼治根本病且副作用最小者优先；降级处理：其余候选列替代方案、辅助用神或条件性喜神。同时控制副作用：避免同一时间无序并用多个桥梁造成路径竞争。</x:v>
      </x:c>
      <x:c r="Z45" s="82" t="str">
        <x:v>较高</x:v>
      </x:c>
      <x:c r="AA45" s="82" t="str">
        <x:v>现代综合</x:v>
      </x:c>
      <x:c r="AB4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5" s="68" t="str">
        <x:v>当“两个以上五行都能理论连接同一对战或缺桥结构”成立，且硬约束与主次证据清晰时，可按本规则裁决。</x:v>
      </x:c>
      <x:c r="AD45" s="90" t="str">
        <x:v>若冲突双方并未同时有效，或“其中一方只是名义候选、已经失效或不作用于主要矛盾”成立，不得套用本规则制造假冲突。</x:v>
      </x:c>
      <x:c r="AE45" s="82" t="str">
        <x:v>采用</x:v>
      </x:c>
      <x:c r="AF45" s="82" t="str">
        <x:v>初审</x:v>
      </x:c>
      <x:c r="AG45" s="87" t="n">
        <x:v>46260</x:v>
      </x:c>
    </x:row>
    <x:row r="46">
      <x:c r="A46" s="72" t="str">
        <x:f>IF(OR(C46="",D46=""),"",B46&amp;"-"&amp;UPPER(C46)&amp;"-"&amp;TEXT(D46,"0000")&amp;"-"&amp;E46)</x:f>
        <x:v>M18-FLOW-0040-V1.0</x:v>
      </x:c>
      <x:c r="B46" s="74" t="str">
        <x:v>M18</x:v>
      </x:c>
      <x:c r="C46" s="74" t="str">
        <x:v>FLOW</x:v>
      </x:c>
      <x:c r="D46" s="215" t="n">
        <x:v>40</x:v>
      </x:c>
      <x:c r="E46" s="74" t="str">
        <x:v>V1.0</x:v>
      </x:c>
      <x:c r="F46" s="68" t="str">
        <x:v>修复一个卡点却制造更严重下游阻塞时不得升为主用</x:v>
      </x:c>
      <x:c r="G46" s="82" t="str">
        <x:v>综合层</x:v>
      </x:c>
      <x:c r="H46" s="68" t="str">
        <x:v>流通修复与次生卡点冲突</x:v>
      </x:c>
      <x:c r="I46" s="68" t="str">
        <x:v>M16-DOSE-0094-V1.0</x:v>
      </x:c>
      <x:c r="J46" s="68" t="str">
        <x:v>药神解决流通却恶化调候可形成新病</x:v>
      </x:c>
      <x:c r="K46" s="68" t="str">
        <x:v>M12-BLOCK-0053-V1.0</x:v>
      </x:c>
      <x:c r="L46" s="68" t="str">
        <x:v>一处卡点修复后可能暴露下一处次级卡点</x:v>
      </x:c>
      <x:c r="M46" s="68" t="str">
        <x:v>候选桥梁恢复上游流通，但使终点过载、下游相战或形成回流壅塞</x:v>
      </x:c>
      <x:c r="N46" s="68" t="str">
        <x:v>次生卡点严重度和覆盖范围不得高于原卡点</x:v>
      </x:c>
      <x:c r="O46" s="68" t="str">
        <x:v>评估完整路径而非只看第一处卡点是否打开</x:v>
      </x:c>
      <x:c r="P46" s="68" t="str">
        <x:v>能完成源头—桥梁—终点全链修复者优先</x:v>
      </x:c>
      <x:c r="Q46" s="68" t="str">
        <x:v>只把问题向下游转移者降为条件性或不采用</x:v>
      </x:c>
      <x:c r="R46" s="84" t="str">
        <x:v>全链净流通裁决</x:v>
      </x:c>
      <x:c r="S46" s="68" t="str">
        <x:v>冲突双方均有有效证据且作用于同一原局</x:v>
      </x:c>
      <x:c r="T46" s="68" t="str">
        <x:v>其中一方只是名义候选、已经失效或不作用于主要矛盾</x:v>
      </x:c>
      <x:c r="U46" s="68" t="str">
        <x:v>若被降级一方实际承担不可替代功能，应重新进入本规则复审</x:v>
      </x:c>
      <x:c r="V46" s="68" t="str">
        <x:v>证据接近或存在流派争议时保留并列候选并降低置信度</x:v>
      </x:c>
      <x:c r="W46" s="90" t="str">
        <x:v>同时配置终点承载或限制桥梁药力</x:v>
      </x:c>
      <x:c r="X46" s="84" t="str">
        <x:v>流通次生卡点控制</x:v>
      </x:c>
      <x:c r="Y46" s="84" t="str">
        <x:v>冲突主题：流通修复与次生卡点冲突。裁决结果为“全链净流通裁决”；优先采用：能完成源头—桥梁—终点全链修复者优先；降级处理：只把问题向下游转移者降为条件性或不采用。同时控制副作用：同时配置终点承载或限制桥梁药力。</x:v>
      </x:c>
      <x:c r="Z46" s="82" t="str">
        <x:v>较高</x:v>
      </x:c>
      <x:c r="AA46" s="82" t="str">
        <x:v>现代综合</x:v>
      </x:c>
      <x:c r="AB4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6" s="68" t="str">
        <x:v>当“候选桥梁恢复上游流通，但使终点过载、下游相战或形成回流壅塞”成立，且硬约束与主次证据清晰时，可按本规则裁决。</x:v>
      </x:c>
      <x:c r="AD46" s="90" t="str">
        <x:v>若冲突双方并未同时有效，或“其中一方只是名义候选、已经失效或不作用于主要矛盾”成立，不得套用本规则制造假冲突。</x:v>
      </x:c>
      <x:c r="AE46" s="82" t="str">
        <x:v>采用</x:v>
      </x:c>
      <x:c r="AF46" s="82" t="str">
        <x:v>初审</x:v>
      </x:c>
      <x:c r="AG46" s="87" t="n">
        <x:v>46260</x:v>
      </x:c>
    </x:row>
    <x:row r="47">
      <x:c r="A47" s="72" t="str">
        <x:f>IF(OR(C47="",D47=""),"",B47&amp;"-"&amp;UPPER(C47)&amp;"-"&amp;TEXT(D47,"0000")&amp;"-"&amp;E47)</x:f>
        <x:v>M18-MED-0041-V1.0</x:v>
      </x:c>
      <x:c r="B47" s="74" t="str">
        <x:v>M18</x:v>
      </x:c>
      <x:c r="C47" s="74" t="str">
        <x:v>MED</x:v>
      </x:c>
      <x:c r="D47" s="215" t="n">
        <x:v>41</x:v>
      </x:c>
      <x:c r="E47" s="74" t="str">
        <x:v>V1.0</x:v>
      </x:c>
      <x:c r="F47" s="68" t="str">
        <x:v>根本病主药优先于表层扶抑药</x:v>
      </x:c>
      <x:c r="G47" s="82" t="str">
        <x:v>综合层</x:v>
      </x:c>
      <x:c r="H47" s="68" t="str">
        <x:v>病药主药与表层扶抑冲突</x:v>
      </x:c>
      <x:c r="I47" s="68" t="str">
        <x:v>M17-BINGYAO-0055-V1.0</x:v>
      </x:c>
      <x:c r="J47" s="68" t="str">
        <x:v>M16根本主病的直接主药优先进入主用候选</x:v>
      </x:c>
      <x:c r="K47" s="68" t="str">
        <x:v>M17-FUYI-0011-V1.0</x:v>
      </x:c>
      <x:c r="L47" s="68" t="str">
        <x:v>身弱时印星可扶身</x:v>
      </x:c>
      <x:c r="M47" s="68" t="str">
        <x:v>一个候选直接修复根本病，另一个只改善由根本病引发的表层旺衰</x:v>
      </x:c>
      <x:c r="N47" s="68" t="str">
        <x:v>根本病必须已由M16确认具有跨模块解释力</x:v>
      </x:c>
      <x:c r="O47" s="68" t="str">
        <x:v>治根因优先，表层药仅在主病修复后仍有必要时保留</x:v>
      </x:c>
      <x:c r="P47" s="68" t="str">
        <x:v>直接进入根本病位者列主用</x:v>
      </x:c>
      <x:c r="Q47" s="68" t="str">
        <x:v>表层扶抑药降为辅助、喜神或暂缓</x:v>
      </x:c>
      <x:c r="R47" s="84" t="str">
        <x:v>根本主药优先</x:v>
      </x:c>
      <x:c r="S47" s="68" t="str">
        <x:v>冲突双方均有有效证据且作用于同一原局</x:v>
      </x:c>
      <x:c r="T47" s="68" t="str">
        <x:v>其中一方只是名义候选、已经失效或不作用于主要矛盾</x:v>
      </x:c>
      <x:c r="U47" s="68" t="str">
        <x:v>若被降级一方实际承担不可替代功能，应重新进入本规则复审</x:v>
      </x:c>
      <x:c r="V47" s="68" t="str">
        <x:v>证据接近或存在流派争议时保留并列候选并降低置信度</x:v>
      </x:c>
      <x:c r="W47" s="90" t="str">
        <x:v>主药若伤格或产生更严重副作用，转药格净收益裁决</x:v>
      </x:c>
      <x:c r="X47" s="84" t="str">
        <x:v>根本主药优先</x:v>
      </x:c>
      <x:c r="Y47" s="84" t="str">
        <x:v>冲突主题：病药主药与表层扶抑冲突。裁决结果为“根本主药优先”；优先采用：直接进入根本病位者列主用；降级处理：表层扶抑药降为辅助、喜神或暂缓。同时控制副作用：主药若伤格或产生更严重副作用，转药格净收益裁决。</x:v>
      </x:c>
      <x:c r="Z47" s="82" t="str">
        <x:v>较高</x:v>
      </x:c>
      <x:c r="AA47" s="82" t="str">
        <x:v>现代综合</x:v>
      </x:c>
      <x:c r="AB4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7" s="68" t="str">
        <x:v>当“一个候选直接修复根本病，另一个只改善由根本病引发的表层旺衰”成立，且硬约束与主次证据清晰时，可按本规则裁决。</x:v>
      </x:c>
      <x:c r="AD47" s="90" t="str">
        <x:v>若冲突双方并未同时有效，或“其中一方只是名义候选、已经失效或不作用于主要矛盾”成立，不得套用本规则制造假冲突。</x:v>
      </x:c>
      <x:c r="AE47" s="82" t="str">
        <x:v>采用</x:v>
      </x:c>
      <x:c r="AF47" s="82" t="str">
        <x:v>初审</x:v>
      </x:c>
      <x:c r="AG47" s="87" t="n">
        <x:v>46260</x:v>
      </x:c>
    </x:row>
    <x:row r="48">
      <x:c r="A48" s="72" t="str">
        <x:f>IF(OR(C48="",D48=""),"",B48&amp;"-"&amp;UPPER(C48)&amp;"-"&amp;TEXT(D48,"0000")&amp;"-"&amp;E48)</x:f>
        <x:v>M18-MED-0042-V1.0</x:v>
      </x:c>
      <x:c r="B48" s="74" t="str">
        <x:v>M18</x:v>
      </x:c>
      <x:c r="C48" s="74" t="str">
        <x:v>MED</x:v>
      </x:c>
      <x:c r="D48" s="215" t="n">
        <x:v>42</x:v>
      </x:c>
      <x:c r="E48" s="74" t="str">
        <x:v>V1.0</x:v>
      </x:c>
      <x:c r="F48" s="68" t="str">
        <x:v>格局病本身是根本病时救格药可压过一般扶抑</x:v>
      </x:c>
      <x:c r="G48" s="82" t="str">
        <x:v>综合层</x:v>
      </x:c>
      <x:c r="H48" s="68" t="str">
        <x:v>格局病主药与普通扶抑冲突</x:v>
      </x:c>
      <x:c r="I48" s="68" t="str">
        <x:v>M16-COMPOSITE-0104-V1.0</x:v>
      </x:c>
      <x:c r="J48" s="68" t="str">
        <x:v>制化病与格局病同源时优先保护核心制化链</x:v>
      </x:c>
      <x:c r="K48" s="68" t="str">
        <x:v>M17-FUYI-0015-V1.0</x:v>
      </x:c>
      <x:c r="L48" s="68" t="str">
        <x:v>身旺可用食神泄秀</x:v>
      </x:c>
      <x:c r="M48" s="68" t="str">
        <x:v>格局破损由关键制化链失效造成，而普通泄身或扶身并不能恢复该链</x:v>
      </x:c>
      <x:c r="N48" s="68" t="str">
        <x:v>M15格局仍有效且该制化链是不可替代核心</x:v>
      </x:c>
      <x:c r="O48" s="68" t="str">
        <x:v>直接恢复格局核心链优先于一般旺衰优化</x:v>
      </x:c>
      <x:c r="P48" s="68" t="str">
        <x:v>救格主药列第一顺位</x:v>
      </x:c>
      <x:c r="Q48" s="68" t="str">
        <x:v>普通扶抑药降为辅助或第三顺位</x:v>
      </x:c>
      <x:c r="R48" s="84" t="str">
        <x:v>格局病主药优先</x:v>
      </x:c>
      <x:c r="S48" s="68" t="str">
        <x:v>冲突双方均有有效证据且作用于同一原局</x:v>
      </x:c>
      <x:c r="T48" s="68" t="str">
        <x:v>其中一方只是名义候选、已经失效或不作用于主要矛盾</x:v>
      </x:c>
      <x:c r="U48" s="68" t="str">
        <x:v>若被降级一方实际承担不可替代功能，应重新进入本规则复审</x:v>
      </x:c>
      <x:c r="V48" s="68" t="str">
        <x:v>证据接近或存在流派争议时保留并列候选并降低置信度</x:v>
      </x:c>
      <x:c r="W48" s="90" t="str">
        <x:v>救格药必须控制药量，防止修复过度造成新的制化失衡</x:v>
      </x:c>
      <x:c r="X48" s="84" t="str">
        <x:v>格局病救药优先</x:v>
      </x:c>
      <x:c r="Y48" s="84" t="str">
        <x:v>冲突主题：格局病主药与普通扶抑冲突。裁决结果为“格局病主药优先”；优先采用：救格主药列第一顺位；降级处理：普通扶抑药降为辅助或第三顺位。同时控制副作用：救格药必须控制药量，防止修复过度造成新的制化失衡。</x:v>
      </x:c>
      <x:c r="Z48" s="82" t="str">
        <x:v>较高</x:v>
      </x:c>
      <x:c r="AA48" s="82" t="str">
        <x:v>现代综合</x:v>
      </x:c>
      <x:c r="AB4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8" s="68" t="str">
        <x:v>当“格局破损由关键制化链失效造成，而普通泄身或扶身并不能恢复该链”成立，且硬约束与主次证据清晰时，可按本规则裁决。</x:v>
      </x:c>
      <x:c r="AD48" s="90" t="str">
        <x:v>若冲突双方并未同时有效，或“其中一方只是名义候选、已经失效或不作用于主要矛盾”成立，不得套用本规则制造假冲突。</x:v>
      </x:c>
      <x:c r="AE48" s="82" t="str">
        <x:v>采用</x:v>
      </x:c>
      <x:c r="AF48" s="82" t="str">
        <x:v>初审</x:v>
      </x:c>
      <x:c r="AG48" s="87" t="n">
        <x:v>46260</x:v>
      </x:c>
    </x:row>
    <x:row r="49">
      <x:c r="A49" s="72" t="str">
        <x:f>IF(OR(C49="",D49=""),"",B49&amp;"-"&amp;UPPER(C49)&amp;"-"&amp;TEXT(D49,"0000")&amp;"-"&amp;E49)</x:f>
        <x:v>M18-MED-0043-V1.0</x:v>
      </x:c>
      <x:c r="B49" s="74" t="str">
        <x:v>M18</x:v>
      </x:c>
      <x:c r="C49" s="74" t="str">
        <x:v>MED</x:v>
      </x:c>
      <x:c r="D49" s="215" t="n">
        <x:v>43</x:v>
      </x:c>
      <x:c r="E49" s="74" t="str">
        <x:v>V1.0</x:v>
      </x:c>
      <x:c r="F49" s="68" t="str">
        <x:v>主药伤害有效核心格局时优先寻找替代药路</x:v>
      </x:c>
      <x:c r="G49" s="82" t="str">
        <x:v>综合层</x:v>
      </x:c>
      <x:c r="H49" s="68" t="str">
        <x:v>病药主药与格局硬冲突</x:v>
      </x:c>
      <x:c r="I49" s="68" t="str">
        <x:v>M17-BINGYAO-0062-V1.0</x:v>
      </x:c>
      <x:c r="J49" s="68" t="str">
        <x:v>主药伤格且无替代保护时可转条件性忌神</x:v>
      </x:c>
      <x:c r="K49" s="68" t="str">
        <x:v>M17-GEJU-0024-V1.0</x:v>
      </x:c>
      <x:c r="L49" s="68" t="str">
        <x:v>七杀格需维持适当制化而非简单消杀</x:v>
      </x:c>
      <x:c r="M49" s="68" t="str">
        <x:v>某主药可治旺衰或调候病，却会使格神失效、制化链断裂或特殊格局破格</x:v>
      </x:c>
      <x:c r="N49" s="68" t="str">
        <x:v>格局仍有效且格局病严重度不低于所治之病</x:v>
      </x:c>
      <x:c r="O49" s="68" t="str">
        <x:v>先寻找不伤格的等效药路；没有替代时才讨论限量条件性使用</x:v>
      </x:c>
      <x:c r="P49" s="68" t="str">
        <x:v>替代药路优先</x:v>
      </x:c>
      <x:c r="Q49" s="68" t="str">
        <x:v>伤格主药降为条件性喜神、条件性忌神或不采用</x:v>
      </x:c>
      <x:c r="R49" s="84" t="str">
        <x:v>替代药路优先</x:v>
      </x:c>
      <x:c r="S49" s="68" t="str">
        <x:v>冲突双方均有有效证据且作用于同一原局</x:v>
      </x:c>
      <x:c r="T49" s="68" t="str">
        <x:v>其中一方只是名义候选、已经失效或不作用于主要矛盾</x:v>
      </x:c>
      <x:c r="U49" s="68" t="str">
        <x:v>若被降级一方实际承担不可替代功能，应重新进入本规则复审</x:v>
      </x:c>
      <x:c r="V49" s="68" t="str">
        <x:v>证据接近或存在流派争议时保留并列候选并降低置信度</x:v>
      </x:c>
      <x:c r="W49" s="90" t="str">
        <x:v>若必须使用，配置护格辅助并限定不触发根本破格的上限</x:v>
      </x:c>
      <x:c r="X49" s="84" t="str">
        <x:v>主药伤格替代</x:v>
      </x:c>
      <x:c r="Y49" s="84" t="str">
        <x:v>冲突主题：病药主药与格局硬冲突。裁决结果为“替代药路优先”；优先采用：替代药路优先；降级处理：伤格主药降为条件性喜神、条件性忌神或不采用。同时控制副作用：若必须使用，配置护格辅助并限定不触发根本破格的上限。</x:v>
      </x:c>
      <x:c r="Z49" s="82" t="str">
        <x:v>较高</x:v>
      </x:c>
      <x:c r="AA49" s="82" t="str">
        <x:v>现代综合</x:v>
      </x:c>
      <x:c r="AB4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9" s="68" t="str">
        <x:v>当“某主药可治旺衰或调候病，却会使格神失效、制化链断裂或特殊格局破格”成立，且硬约束与主次证据清晰时，可按本规则裁决。</x:v>
      </x:c>
      <x:c r="AD49" s="90" t="str">
        <x:v>若冲突双方并未同时有效，或“其中一方只是名义候选、已经失效或不作用于主要矛盾”成立，不得套用本规则制造假冲突。</x:v>
      </x:c>
      <x:c r="AE49" s="82" t="str">
        <x:v>采用</x:v>
      </x:c>
      <x:c r="AF49" s="82" t="str">
        <x:v>初审</x:v>
      </x:c>
      <x:c r="AG49" s="87" t="n">
        <x:v>46260</x:v>
      </x:c>
    </x:row>
    <x:row r="50">
      <x:c r="A50" s="72" t="str">
        <x:f>IF(OR(C50="",D50=""),"",B50&amp;"-"&amp;UPPER(C50)&amp;"-"&amp;TEXT(D50,"0000")&amp;"-"&amp;E50)</x:f>
        <x:v>M18-MED-0044-V1.0</x:v>
      </x:c>
      <x:c r="B50" s="74" t="str">
        <x:v>M18</x:v>
      </x:c>
      <x:c r="C50" s="74" t="str">
        <x:v>MED</x:v>
      </x:c>
      <x:c r="D50" s="215" t="n">
        <x:v>44</x:v>
      </x:c>
      <x:c r="E50" s="74" t="str">
        <x:v>V1.0</x:v>
      </x:c>
      <x:c r="F50" s="68" t="str">
        <x:v>治一病而产生更严重的新病时否决该药</x:v>
      </x:c>
      <x:c r="G50" s="82" t="str">
        <x:v>综合层</x:v>
      </x:c>
      <x:c r="H50" s="68" t="str">
        <x:v>病药收益与新病风险冲突</x:v>
      </x:c>
      <x:c r="I50" s="68" t="str">
        <x:v>M16-DOSE-0091-V1.0</x:v>
      </x:c>
      <x:c r="J50" s="68" t="str">
        <x:v>药力过量或方向冲突可形成反向新病</x:v>
      </x:c>
      <x:c r="K50" s="68" t="str">
        <x:v>M17-BINGYAO-0061-V1.0</x:v>
      </x:c>
      <x:c r="L50" s="68" t="str">
        <x:v>药神适量治病、过量成病时应条件化</x:v>
      </x:c>
      <x:c r="M50" s="68" t="str">
        <x:v>候选药神能治原病，但会制造严重度更高的身弱、破格、寒湿、热燥或流通病</x:v>
      </x:c>
      <x:c r="N50" s="68" t="str">
        <x:v>新病严重度高于原病或触发根本破格时构成否决</x:v>
      </x:c>
      <x:c r="O50" s="68" t="str">
        <x:v>按净严重度而非单项疗效判断</x:v>
      </x:c>
      <x:c r="P50" s="68" t="str">
        <x:v>无同级新病的替代药优先</x:v>
      </x:c>
      <x:c r="Q50" s="68" t="str">
        <x:v>该药定为不采用、忌神或条件性忌神</x:v>
      </x:c>
      <x:c r="R50" s="84" t="str">
        <x:v>更重药害否决</x:v>
      </x:c>
      <x:c r="S50" s="68" t="str">
        <x:v>冲突双方均有有效证据且作用于同一原局</x:v>
      </x:c>
      <x:c r="T50" s="68" t="str">
        <x:v>其中一方只是名义候选、已经失效或不作用于主要矛盾</x:v>
      </x:c>
      <x:c r="U50" s="68" t="str">
        <x:v>若被降级一方实际承担不可替代功能，应重新进入本规则复审</x:v>
      </x:c>
      <x:c r="V50" s="68" t="str">
        <x:v>证据接近或存在流派争议时保留并列候选并降低置信度</x:v>
      </x:c>
      <x:c r="W50" s="90" t="str">
        <x:v>列明原病收益、新病类型和转害阈值</x:v>
      </x:c>
      <x:c r="X50" s="84" t="str">
        <x:v>治病生重病否决</x:v>
      </x:c>
      <x:c r="Y50" s="84" t="str">
        <x:v>冲突主题：病药收益与新病风险冲突。裁决结果为“更重药害否决”；优先采用：无同级新病的替代药优先；降级处理：该药定为不采用、忌神或条件性忌神。同时控制副作用：列明原病收益、新病类型和转害阈值。</x:v>
      </x:c>
      <x:c r="Z50" s="82" t="str">
        <x:v>较高</x:v>
      </x:c>
      <x:c r="AA50" s="82" t="str">
        <x:v>现代综合</x:v>
      </x:c>
      <x:c r="AB5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0" s="68" t="str">
        <x:v>当“候选药神能治原病，但会制造严重度更高的身弱、破格、寒湿、热燥或流通病”成立，且硬约束与主次证据清晰时，可按本规则裁决。</x:v>
      </x:c>
      <x:c r="AD50" s="90" t="str">
        <x:v>若冲突双方并未同时有效，或“其中一方只是名义候选、已经失效或不作用于主要矛盾”成立，不得套用本规则制造假冲突。</x:v>
      </x:c>
      <x:c r="AE50" s="82" t="str">
        <x:v>采用</x:v>
      </x:c>
      <x:c r="AF50" s="82" t="str">
        <x:v>初审</x:v>
      </x:c>
      <x:c r="AG50" s="87" t="n">
        <x:v>46260</x:v>
      </x:c>
    </x:row>
    <x:row r="51">
      <x:c r="A51" s="72" t="str">
        <x:f>IF(OR(C51="",D51=""),"",B51&amp;"-"&amp;UPPER(C51)&amp;"-"&amp;TEXT(D51,"0000")&amp;"-"&amp;E51)</x:f>
        <x:v>M18-MED-0045-V1.0</x:v>
      </x:c>
      <x:c r="B51" s="74" t="str">
        <x:v>M18</x:v>
      </x:c>
      <x:c r="C51" s="74" t="str">
        <x:v>MED</x:v>
      </x:c>
      <x:c r="D51" s="215" t="n">
        <x:v>45</x:v>
      </x:c>
      <x:c r="E51" s="74" t="str">
        <x:v>V1.0</x:v>
      </x:c>
      <x:c r="F51" s="68" t="str">
        <x:v>一药多效且证据独立时可升级为主用</x:v>
      </x:c>
      <x:c r="G51" s="82" t="str">
        <x:v>综合层</x:v>
      </x:c>
      <x:c r="H51" s="68" t="str">
        <x:v>多维一致与主用升级</x:v>
      </x:c>
      <x:c r="I51" s="68" t="str">
        <x:v>M17-BINGYAO-0059-V1.0</x:v>
      </x:c>
      <x:c r="J51" s="68" t="str">
        <x:v>一药多效且无硬冲突时可由喜神升级为主用</x:v>
      </x:c>
      <x:c r="K51" s="68" t="str">
        <x:v>M18-GEN-0006-V1.0</x:v>
      </x:c>
      <x:c r="L51" s="68" t="str">
        <x:v>同源证据不得重复计数</x:v>
      </x:c>
      <x:c r="M51" s="68" t="str">
        <x:v>同一五行同时治疗根本病、修复主路径并维护格局或调候</x:v>
      </x:c>
      <x:c r="N51" s="68" t="str">
        <x:v>至少两个关键收益必须来自独立病位或独立作用链</x:v>
      </x:c>
      <x:c r="O51" s="68" t="str">
        <x:v>独立多效提高不可替代性，但仍须通过硬约束与药量审查</x:v>
      </x:c>
      <x:c r="P51" s="68" t="str">
        <x:v>覆盖根本病且减少药路冲突者优先</x:v>
      </x:c>
      <x:c r="Q51" s="68" t="str">
        <x:v>证据同源或副作用明显者只列喜神、辅助或条件性</x:v>
      </x:c>
      <x:c r="R51" s="84" t="str">
        <x:v>多效升级</x:v>
      </x:c>
      <x:c r="S51" s="68" t="str">
        <x:v>冲突双方均有有效证据且作用于同一原局</x:v>
      </x:c>
      <x:c r="T51" s="68" t="str">
        <x:v>其中一方只是名义候选、已经失效或不作用于主要矛盾</x:v>
      </x:c>
      <x:c r="U51" s="68" t="str">
        <x:v>若被降级一方实际承担不可替代功能，应重新进入本规则复审</x:v>
      </x:c>
      <x:c r="V51" s="68" t="str">
        <x:v>证据接近或存在流派争议时保留并列候选并降低置信度</x:v>
      </x:c>
      <x:c r="W51" s="90" t="str">
        <x:v>防止药效集中后过量，设置主辅与强度边界</x:v>
      </x:c>
      <x:c r="X51" s="84" t="str">
        <x:v>一药多效升级</x:v>
      </x:c>
      <x:c r="Y51" s="84" t="str">
        <x:v>冲突主题：多维一致与主用升级。裁决结果为“多效升级”；优先采用：覆盖根本病且减少药路冲突者优先；降级处理：证据同源或副作用明显者只列喜神、辅助或条件性。同时控制副作用：防止药效集中后过量，设置主辅与强度边界。</x:v>
      </x:c>
      <x:c r="Z51" s="82" t="str">
        <x:v>较高</x:v>
      </x:c>
      <x:c r="AA51" s="82" t="str">
        <x:v>现代综合</x:v>
      </x:c>
      <x:c r="AB5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1" s="68" t="str">
        <x:v>当“同一五行同时治疗根本病、修复主路径并维护格局或调候”成立，且硬约束与主次证据清晰时，可按本规则裁决。</x:v>
      </x:c>
      <x:c r="AD51" s="90" t="str">
        <x:v>若冲突双方并未同时有效，或“其中一方只是名义候选、已经失效或不作用于主要矛盾”成立，不得套用本规则制造假冲突。</x:v>
      </x:c>
      <x:c r="AE51" s="82" t="str">
        <x:v>采用</x:v>
      </x:c>
      <x:c r="AF51" s="82" t="str">
        <x:v>初审</x:v>
      </x:c>
      <x:c r="AG51" s="87" t="n">
        <x:v>46260</x:v>
      </x:c>
    </x:row>
    <x:row r="52">
      <x:c r="A52" s="72" t="str">
        <x:f>IF(OR(C52="",D52=""),"",B52&amp;"-"&amp;UPPER(C52)&amp;"-"&amp;TEXT(D52,"0000")&amp;"-"&amp;E52)</x:f>
        <x:v>M18-MED-0046-V1.0</x:v>
      </x:c>
      <x:c r="B52" s="74" t="str">
        <x:v>M18</x:v>
      </x:c>
      <x:c r="C52" s="74" t="str">
        <x:v>MED</x:v>
      </x:c>
      <x:c r="D52" s="215" t="n">
        <x:v>46</x:v>
      </x:c>
      <x:c r="E52" s="74" t="str">
        <x:v>V1.0</x:v>
      </x:c>
      <x:c r="F52" s="68" t="str">
        <x:v>药神无根受制时不得承担主用职责</x:v>
      </x:c>
      <x:c r="G52" s="82" t="str">
        <x:v>综合层</x:v>
      </x:c>
      <x:c r="H52" s="68" t="str">
        <x:v>病药方向正确与药力不足冲突</x:v>
      </x:c>
      <x:c r="I52" s="68" t="str">
        <x:v>M17-BINGYAO-0057-V1.0</x:v>
      </x:c>
      <x:c r="J52" s="68" t="str">
        <x:v>药神无根无源时不得列无条件主用</x:v>
      </x:c>
      <x:c r="K52" s="68" t="str">
        <x:v>M16-DOSE-0087-V1.0</x:v>
      </x:c>
      <x:c r="L52" s="68" t="str">
        <x:v>药神无根无源只能形成名义药力</x:v>
      </x:c>
      <x:c r="M52" s="68" t="str">
        <x:v>候选药理正确，但药神极弱、受克、合绊或依赖失效桥梁</x:v>
      </x:c>
      <x:c r="N52" s="68" t="str">
        <x:v>主用神必须具备可达病位的实际药力</x:v>
      </x:c>
      <x:c r="O52" s="68" t="str">
        <x:v>方向正确不等于能够执行</x:v>
      </x:c>
      <x:c r="P52" s="68" t="str">
        <x:v>先增强药神或改用有力替代药路</x:v>
      </x:c>
      <x:c r="Q52" s="68" t="str">
        <x:v>原候选降为条件性喜神或待定</x:v>
      </x:c>
      <x:c r="R52" s="84" t="str">
        <x:v>药力不足降级</x:v>
      </x:c>
      <x:c r="S52" s="68" t="str">
        <x:v>冲突双方均有有效证据且作用于同一原局</x:v>
      </x:c>
      <x:c r="T52" s="68" t="str">
        <x:v>其中一方只是名义候选、已经失效或不作用于主要矛盾</x:v>
      </x:c>
      <x:c r="U52" s="68" t="str">
        <x:v>若被降级一方实际承担不可替代功能，应重新进入本规则复审</x:v>
      </x:c>
      <x:c r="V52" s="68" t="str">
        <x:v>证据接近或存在流派争议时保留并列候选并降低置信度</x:v>
      </x:c>
      <x:c r="W52" s="90" t="str">
        <x:v>将生扶药神或解除制约者列辅助用神，并防辅助过强</x:v>
      </x:c>
      <x:c r="X52" s="84" t="str">
        <x:v>药力不足降级</x:v>
      </x:c>
      <x:c r="Y52" s="84" t="str">
        <x:v>冲突主题：病药方向正确与药力不足冲突。裁决结果为“药力不足降级”；优先采用：先增强药神或改用有力替代药路；降级处理：原候选降为条件性喜神或待定。同时控制副作用：将生扶药神或解除制约者列辅助用神，并防辅助过强。</x:v>
      </x:c>
      <x:c r="Z52" s="82" t="str">
        <x:v>较高</x:v>
      </x:c>
      <x:c r="AA52" s="82" t="str">
        <x:v>现代综合</x:v>
      </x:c>
      <x:c r="AB5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2" s="68" t="str">
        <x:v>当“候选药理正确，但药神极弱、受克、合绊或依赖失效桥梁”成立，且硬约束与主次证据清晰时，可按本规则裁决。</x:v>
      </x:c>
      <x:c r="AD52" s="90" t="str">
        <x:v>若冲突双方并未同时有效，或“其中一方只是名义候选、已经失效或不作用于主要矛盾”成立，不得套用本规则制造假冲突。</x:v>
      </x:c>
      <x:c r="AE52" s="82" t="str">
        <x:v>采用</x:v>
      </x:c>
      <x:c r="AF52" s="82" t="str">
        <x:v>初审</x:v>
      </x:c>
      <x:c r="AG52" s="87" t="n">
        <x:v>46260</x:v>
      </x:c>
    </x:row>
    <x:row r="53">
      <x:c r="A53" s="72" t="str">
        <x:f>IF(OR(C53="",D53=""),"",B53&amp;"-"&amp;UPPER(C53)&amp;"-"&amp;TEXT(D53,"0000")&amp;"-"&amp;E53)</x:f>
        <x:v>M18-MED-0047-V1.0</x:v>
      </x:c>
      <x:c r="B53" s="74" t="str">
        <x:v>M18</x:v>
      </x:c>
      <x:c r="C53" s="74" t="str">
        <x:v>MED</x:v>
      </x:c>
      <x:c r="D53" s="215" t="n">
        <x:v>47</x:v>
      </x:c>
      <x:c r="E53" s="74" t="str">
        <x:v>V1.0</x:v>
      </x:c>
      <x:c r="F53" s="68" t="str">
        <x:v>主病优先于次病，次病药不得干扰主药</x:v>
      </x:c>
      <x:c r="G53" s="82" t="str">
        <x:v>综合层</x:v>
      </x:c>
      <x:c r="H53" s="68" t="str">
        <x:v>主病与次病优先级冲突</x:v>
      </x:c>
      <x:c r="I53" s="68" t="str">
        <x:v>M16-RANK-0101-V1.0</x:v>
      </x:c>
      <x:c r="J53" s="68" t="str">
        <x:v>同一原局原则上输出一个主病和一至三个次病</x:v>
      </x:c>
      <x:c r="K53" s="68" t="str">
        <x:v>M17-BINGYAO-0060-V1.0</x:v>
      </x:c>
      <x:c r="L53" s="68" t="str">
        <x:v>只治疗次病的药神列喜神或辅助</x:v>
      </x:c>
      <x:c r="M53" s="68" t="str">
        <x:v>主病与次病分别需要不同甚至相反五行</x:v>
      </x:c>
      <x:c r="N53" s="68" t="str">
        <x:v>主病必须已按共同根因、严重度和核心路径确定</x:v>
      </x:c>
      <x:c r="O53" s="68" t="str">
        <x:v>先确保主病药路不被破坏，再处理次病</x:v>
      </x:c>
      <x:c r="P53" s="68" t="str">
        <x:v>主病直接药列主用</x:v>
      </x:c>
      <x:c r="Q53" s="68" t="str">
        <x:v>次病药列辅助、第三顺位或条件性，若妨碍主药则不采用</x:v>
      </x:c>
      <x:c r="R53" s="84" t="str">
        <x:v>主病优先</x:v>
      </x:c>
      <x:c r="S53" s="68" t="str">
        <x:v>冲突双方均有有效证据且作用于同一原局</x:v>
      </x:c>
      <x:c r="T53" s="68" t="str">
        <x:v>其中一方只是名义候选、已经失效或不作用于主要矛盾</x:v>
      </x:c>
      <x:c r="U53" s="68" t="str">
        <x:v>若被降级一方实际承担不可替代功能，应重新进入本规则复审</x:v>
      </x:c>
      <x:c r="V53" s="68" t="str">
        <x:v>证据接近或存在流派争议时保留并列候选并降低置信度</x:v>
      </x:c>
      <x:c r="W53" s="90" t="str">
        <x:v>主病受控后重新评估次病是否仍存在，避免过度用药</x:v>
      </x:c>
      <x:c r="X53" s="84" t="str">
        <x:v>主病优先裁决</x:v>
      </x:c>
      <x:c r="Y53" s="84" t="str">
        <x:v>冲突主题：主病与次病优先级冲突。裁决结果为“主病优先”；优先采用：主病直接药列主用；降级处理：次病药列辅助、第三顺位或条件性，若妨碍主药则不采用。同时控制副作用：主病受控后重新评估次病是否仍存在，避免过度用药。</x:v>
      </x:c>
      <x:c r="Z53" s="82" t="str">
        <x:v>较高</x:v>
      </x:c>
      <x:c r="AA53" s="82" t="str">
        <x:v>现代综合</x:v>
      </x:c>
      <x:c r="AB5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3" s="68" t="str">
        <x:v>当“主病与次病分别需要不同甚至相反五行”成立，且硬约束与主次证据清晰时，可按本规则裁决。</x:v>
      </x:c>
      <x:c r="AD53" s="90" t="str">
        <x:v>若冲突双方并未同时有效，或“其中一方只是名义候选、已经失效或不作用于主要矛盾”成立，不得套用本规则制造假冲突。</x:v>
      </x:c>
      <x:c r="AE53" s="82" t="str">
        <x:v>采用</x:v>
      </x:c>
      <x:c r="AF53" s="82" t="str">
        <x:v>初审</x:v>
      </x:c>
      <x:c r="AG53" s="87" t="n">
        <x:v>46260</x:v>
      </x:c>
    </x:row>
    <x:row r="54">
      <x:c r="A54" s="72" t="str">
        <x:f>IF(OR(C54="",D54=""),"",B54&amp;"-"&amp;UPPER(C54)&amp;"-"&amp;TEXT(D54,"0000")&amp;"-"&amp;E54)</x:f>
        <x:v>M18-MED-0048-V1.0</x:v>
      </x:c>
      <x:c r="B54" s="74" t="str">
        <x:v>M18</x:v>
      </x:c>
      <x:c r="C54" s="74" t="str">
        <x:v>MED</x:v>
      </x:c>
      <x:c r="D54" s="215" t="n">
        <x:v>48</x:v>
      </x:c>
      <x:c r="E54" s="74" t="str">
        <x:v>V1.0</x:v>
      </x:c>
      <x:c r="F54" s="68" t="str">
        <x:v>同一病位存在多条药路时按净收益择一主路线</x:v>
      </x:c>
      <x:c r="G54" s="82" t="str">
        <x:v>综合层</x:v>
      </x:c>
      <x:c r="H54" s="68" t="str">
        <x:v>多病药路线冲突</x:v>
      </x:c>
      <x:c r="I54" s="68" t="str">
        <x:v>M16-MED-0082-V1.0</x:v>
      </x:c>
      <x:c r="J54" s="68" t="str">
        <x:v>制杀宜印还是宜食须按承载与格局择路</x:v>
      </x:c>
      <x:c r="K54" s="68" t="str">
        <x:v>M17-BINGYAO-0064-V1.0</x:v>
      </x:c>
      <x:c r="L54" s="68" t="str">
        <x:v>相反主药候选应并列并转M18裁决</x:v>
      </x:c>
      <x:c r="M54" s="68" t="str">
        <x:v>同一根本病可用两种不同药理修复，但两路线相互竞争或副作用相反</x:v>
      </x:c>
      <x:c r="N54" s="68" t="str">
        <x:v>两路线都必须具备实际药力和真实作用路径</x:v>
      </x:c>
      <x:c r="O54" s="68" t="str">
        <x:v>比较日主承载、格局主轴、作用直接性、药量风险和新病</x:v>
      </x:c>
      <x:c r="P54" s="68" t="str">
        <x:v>净收益更高且副作用可控者定主路线</x:v>
      </x:c>
      <x:c r="Q54" s="68" t="str">
        <x:v>次路线降为替代候选或不采用，不默认同时增强</x:v>
      </x:c>
      <x:c r="R54" s="84" t="str">
        <x:v>主药路线择一</x:v>
      </x:c>
      <x:c r="S54" s="68" t="str">
        <x:v>冲突双方均有有效证据且作用于同一原局</x:v>
      </x:c>
      <x:c r="T54" s="68" t="str">
        <x:v>其中一方只是名义候选、已经失效或不作用于主要矛盾</x:v>
      </x:c>
      <x:c r="U54" s="68" t="str">
        <x:v>若被降级一方实际承担不可替代功能，应重新进入本规则复审</x:v>
      </x:c>
      <x:c r="V54" s="68" t="str">
        <x:v>证据接近或存在流派争议时保留并列候选并降低置信度</x:v>
      </x:c>
      <x:c r="W54" s="90" t="str">
        <x:v>若两路线可协同且容量充足，可主辅配置；否则避免制化两立</x:v>
      </x:c>
      <x:c r="X54" s="84" t="str">
        <x:v>同病多药择路</x:v>
      </x:c>
      <x:c r="Y54" s="84" t="str">
        <x:v>冲突主题：多病药路线冲突。裁决结果为“主药路线择一”；优先采用：净收益更高且副作用可控者定主路线；降级处理：次路线降为替代候选或不采用，不默认同时增强。同时控制副作用：若两路线可协同且容量充足，可主辅配置；否则避免制化两立。</x:v>
      </x:c>
      <x:c r="Z54" s="82" t="str">
        <x:v>较高</x:v>
      </x:c>
      <x:c r="AA54" s="82" t="str">
        <x:v>现代综合</x:v>
      </x:c>
      <x:c r="AB5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4" s="68" t="str">
        <x:v>当“同一根本病可用两种不同药理修复，但两路线相互竞争或副作用相反”成立，且硬约束与主次证据清晰时，可按本规则裁决。</x:v>
      </x:c>
      <x:c r="AD54" s="90" t="str">
        <x:v>若冲突双方并未同时有效，或“其中一方只是名义候选、已经失效或不作用于主要矛盾”成立，不得套用本规则制造假冲突。</x:v>
      </x:c>
      <x:c r="AE54" s="82" t="str">
        <x:v>采用</x:v>
      </x:c>
      <x:c r="AF54" s="82" t="str">
        <x:v>初审</x:v>
      </x:c>
      <x:c r="AG54" s="87" t="n">
        <x:v>46260</x:v>
      </x:c>
    </x:row>
    <x:row r="55">
      <x:c r="A55" s="72" t="str">
        <x:f>IF(OR(C55="",D55=""),"",B55&amp;"-"&amp;UPPER(C55)&amp;"-"&amp;TEXT(D55,"0000")&amp;"-"&amp;E55)</x:f>
        <x:v>M18-MED-0049-V1.0</x:v>
      </x:c>
      <x:c r="B55" s="74" t="str">
        <x:v>M18</x:v>
      </x:c>
      <x:c r="C55" s="74" t="str">
        <x:v>MED</x:v>
      </x:c>
      <x:c r="D55" s="215" t="n">
        <x:v>49</x:v>
      </x:c>
      <x:c r="E55" s="74" t="str">
        <x:v>V1.0</x:v>
      </x:c>
      <x:c r="F55" s="68" t="str">
        <x:v>生助忌神、克制主用或破坏救应者定仇神</x:v>
      </x:c>
      <x:c r="G55" s="82" t="str">
        <x:v>综合层</x:v>
      </x:c>
      <x:c r="H55" s="68" t="str">
        <x:v>间接有害链与仇神定位</x:v>
      </x:c>
      <x:c r="I55" s="68" t="str">
        <x:v>M17-RANK-0092-V1.0</x:v>
      </x:c>
      <x:c r="J55" s="68" t="str">
        <x:v>仇神通过生忌、克用、坏药或阻救间接为害</x:v>
      </x:c>
      <x:c r="K55" s="68" t="str">
        <x:v>M17-RANK-0091-V1.0</x:v>
      </x:c>
      <x:c r="L55" s="68" t="str">
        <x:v>忌神直接加重根本病或破坏核心结构</x:v>
      </x:c>
      <x:c r="M55" s="68" t="str">
        <x:v>某五行自身不是直接根本病，却稳定强化忌神或削弱主辅用神</x:v>
      </x:c>
      <x:c r="N55" s="68" t="str">
        <x:v>必须明确完整的生克链和被伤害对象</x:v>
      </x:c>
      <x:c r="O55" s="68" t="str">
        <x:v>直接病因定忌，间接助害者定仇</x:v>
      </x:c>
      <x:c r="P55" s="68" t="str">
        <x:v>保护主用、切断助忌链的方案优先</x:v>
      </x:c>
      <x:c r="Q55" s="68" t="str">
        <x:v>该五行不进入任何喜用排序</x:v>
      </x:c>
      <x:c r="R55" s="84" t="str">
        <x:v>仇神定位</x:v>
      </x:c>
      <x:c r="S55" s="68" t="str">
        <x:v>冲突双方均有有效证据且作用于同一原局</x:v>
      </x:c>
      <x:c r="T55" s="68" t="str">
        <x:v>其中一方只是名义候选、已经失效或不作用于主要矛盾</x:v>
      </x:c>
      <x:c r="U55" s="68" t="str">
        <x:v>若被降级一方实际承担不可替代功能，应重新进入本规则复审</x:v>
      </x:c>
      <x:c r="V55" s="68" t="str">
        <x:v>证据接近或存在流派争议时保留并列候选并降低置信度</x:v>
      </x:c>
      <x:c r="W55" s="90" t="str">
        <x:v>若其另有不可替代正向功能，则降为条件性仇神并写明例外</x:v>
      </x:c>
      <x:c r="X55" s="84" t="str">
        <x:v>助忌伤用定仇</x:v>
      </x:c>
      <x:c r="Y55" s="84" t="str">
        <x:v>冲突主题：间接有害链与仇神定位。裁决结果为“仇神定位”；优先采用：保护主用、切断助忌链的方案优先；降级处理：该五行不进入任何喜用排序。同时控制副作用：若其另有不可替代正向功能，则降为条件性仇神并写明例外。</x:v>
      </x:c>
      <x:c r="Z55" s="82" t="str">
        <x:v>较高</x:v>
      </x:c>
      <x:c r="AA55" s="82" t="str">
        <x:v>现代综合</x:v>
      </x:c>
      <x:c r="AB5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5" s="68" t="str">
        <x:v>当“某五行自身不是直接根本病，却稳定强化忌神或削弱主辅用神”成立，且硬约束与主次证据清晰时，可按本规则裁决。</x:v>
      </x:c>
      <x:c r="AD55" s="90" t="str">
        <x:v>若冲突双方并未同时有效，或“其中一方只是名义候选、已经失效或不作用于主要矛盾”成立，不得套用本规则制造假冲突。</x:v>
      </x:c>
      <x:c r="AE55" s="82" t="str">
        <x:v>采用</x:v>
      </x:c>
      <x:c r="AF55" s="82" t="str">
        <x:v>初审</x:v>
      </x:c>
      <x:c r="AG55" s="87" t="n">
        <x:v>46260</x:v>
      </x:c>
    </x:row>
    <x:row r="56">
      <x:c r="A56" s="72" t="str">
        <x:f>IF(OR(C56="",D56=""),"",B56&amp;"-"&amp;UPPER(C56)&amp;"-"&amp;TEXT(D56,"0000")&amp;"-"&amp;E56)</x:f>
        <x:v>M18-MED-0050-V1.0</x:v>
      </x:c>
      <x:c r="B56" s="74" t="str">
        <x:v>M18</x:v>
      </x:c>
      <x:c r="C56" s="74" t="str">
        <x:v>MED</x:v>
      </x:c>
      <x:c r="D56" s="215" t="n">
        <x:v>50</x:v>
      </x:c>
      <x:c r="E56" s="74" t="str">
        <x:v>V1.0</x:v>
      </x:c>
      <x:c r="F56" s="68" t="str">
        <x:v>无真实病位时不设病药主用</x:v>
      </x:c>
      <x:c r="G56" s="82" t="str">
        <x:v>综合层</x:v>
      </x:c>
      <x:c r="H56" s="68" t="str">
        <x:v>无病与强行设药冲突</x:v>
      </x:c>
      <x:c r="I56" s="68" t="str">
        <x:v>M17-BINGYAO-0063-V1.0</x:v>
      </x:c>
      <x:c r="J56" s="68" t="str">
        <x:v>无病位时不应强行指定病药用神</x:v>
      </x:c>
      <x:c r="K56" s="68" t="str">
        <x:v>M17-RANK-0085-V1.0</x:v>
      </x:c>
      <x:c r="L56" s="68" t="str">
        <x:v>主用神必须解决根本主病或最高优先级硬约束</x:v>
      </x:c>
      <x:c r="M56" s="68" t="str">
        <x:v>命局结构基本正常，却为了完整喜用列表人为指定药神</x:v>
      </x:c>
      <x:c r="N56" s="68" t="str">
        <x:v>M16未立根本病，或只有轻微偏差且无功能障碍</x:v>
      </x:c>
      <x:c r="O56" s="68" t="str">
        <x:v>无病不设药；仍可从格局、通关或调候其他来源取用</x:v>
      </x:c>
      <x:c r="P56" s="68" t="str">
        <x:v>真实存在的格局或主路径需求优先</x:v>
      </x:c>
      <x:c r="Q56" s="68" t="str">
        <x:v>病药维度退出，该候选五行按其他维度重评</x:v>
      </x:c>
      <x:c r="R56" s="84" t="str">
        <x:v>取消病药来源</x:v>
      </x:c>
      <x:c r="S56" s="68" t="str">
        <x:v>冲突双方均有有效证据且作用于同一原局</x:v>
      </x:c>
      <x:c r="T56" s="68" t="str">
        <x:v>其中一方只是名义候选、已经失效或不作用于主要矛盾</x:v>
      </x:c>
      <x:c r="U56" s="68" t="str">
        <x:v>若被降级一方实际承担不可替代功能，应重新进入本规则复审</x:v>
      </x:c>
      <x:c r="V56" s="68" t="str">
        <x:v>证据接近或存在流派争议时保留并列候选并降低置信度</x:v>
      </x:c>
      <x:c r="W56" s="90" t="str">
        <x:v>避免无必要用药打破原局平衡</x:v>
      </x:c>
      <x:c r="X56" s="84" t="str">
        <x:v>无病不设药</x:v>
      </x:c>
      <x:c r="Y56" s="84" t="str">
        <x:v>冲突主题：无病与强行设药冲突。裁决结果为“取消病药来源”；优先采用：真实存在的格局或主路径需求优先；降级处理：病药维度退出，该候选五行按其他维度重评。同时控制副作用：避免无必要用药打破原局平衡。</x:v>
      </x:c>
      <x:c r="Z56" s="82" t="str">
        <x:v>较高</x:v>
      </x:c>
      <x:c r="AA56" s="82" t="str">
        <x:v>现代综合</x:v>
      </x:c>
      <x:c r="AB5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6" s="68" t="str">
        <x:v>当“命局结构基本正常，却为了完整喜用列表人为指定药神”成立，且硬约束与主次证据清晰时，可按本规则裁决。</x:v>
      </x:c>
      <x:c r="AD56" s="90" t="str">
        <x:v>若冲突双方并未同时有效，或“其中一方只是名义候选、已经失效或不作用于主要矛盾”成立，不得套用本规则制造假冲突。</x:v>
      </x:c>
      <x:c r="AE56" s="82" t="str">
        <x:v>采用</x:v>
      </x:c>
      <x:c r="AF56" s="82" t="str">
        <x:v>初审</x:v>
      </x:c>
      <x:c r="AG56" s="87" t="n">
        <x:v>46260</x:v>
      </x:c>
    </x:row>
    <x:row r="57">
      <x:c r="A57" s="72" t="str">
        <x:f>IF(OR(C57="",D57=""),"",B57&amp;"-"&amp;UPPER(C57)&amp;"-"&amp;TEXT(D57,"0000")&amp;"-"&amp;E57)</x:f>
        <x:v>M18-ROUTE-0051-V1.0</x:v>
      </x:c>
      <x:c r="B57" s="74" t="str">
        <x:v>M18</x:v>
      </x:c>
      <x:c r="C57" s="74" t="str">
        <x:v>ROUTE</x:v>
      </x:c>
      <x:c r="D57" s="215" t="n">
        <x:v>51</x:v>
      </x:c>
      <x:c r="E57" s="74" t="str">
        <x:v>V1.0</x:v>
      </x:c>
      <x:c r="F57" s="68" t="str">
        <x:v>印化杀与食神制杀冲突时按日主承载和破坏因素择路</x:v>
      </x:c>
      <x:c r="G57" s="82" t="str">
        <x:v>综合层</x:v>
      </x:c>
      <x:c r="H57" s="68" t="str">
        <x:v>印化杀与食制杀路线冲突</x:v>
      </x:c>
      <x:c r="I57" s="68" t="str">
        <x:v>M16-CONTROL-0039-V1.0</x:v>
      </x:c>
      <x:c r="J57" s="68" t="str">
        <x:v>七杀无制无化需选印化或食制主路线</x:v>
      </x:c>
      <x:c r="K57" s="68" t="str">
        <x:v>M16-MED-0082-V1.0</x:v>
      </x:c>
      <x:c r="L57" s="68" t="str">
        <x:v>制杀宜印还是宜食须按日主承载与格局择路</x:v>
      </x:c>
      <x:c r="M57" s="68" t="str">
        <x:v>印星与食神都可处理七杀，但印会夺食、食会泄身，且两者可能争夺同一杀气</x:v>
      </x:c>
      <x:c r="N57" s="68" t="str">
        <x:v>日主弱且食神再泄明显时优先印化；食神为格神且印会枭夺食时优先食制</x:v>
      </x:c>
      <x:c r="O57" s="68" t="str">
        <x:v>比较身强弱、财坏印、枭夺食、制杀比例和格局主轴</x:v>
      </x:c>
      <x:c r="P57" s="68" t="str">
        <x:v>能稳定处理杀压且副作用更小的一条路线优先</x:v>
      </x:c>
      <x:c r="Q57" s="68" t="str">
        <x:v>另一条路线降为替代候选或辅助，不默认同时加强</x:v>
      </x:c>
      <x:c r="R57" s="84" t="str">
        <x:v>制杀路线择一</x:v>
      </x:c>
      <x:c r="S57" s="68" t="str">
        <x:v>冲突双方均有有效证据且作用于同一原局</x:v>
      </x:c>
      <x:c r="T57" s="68" t="str">
        <x:v>其中一方只是名义候选、已经失效或不作用于主要矛盾</x:v>
      </x:c>
      <x:c r="U57" s="68" t="str">
        <x:v>若被降级一方实际承担不可替代功能，应重新进入本规则复审</x:v>
      </x:c>
      <x:c r="V57" s="68" t="str">
        <x:v>证据接近或存在流派争议时保留并列候选并降低置信度</x:v>
      </x:c>
      <x:c r="W57" s="90" t="str">
        <x:v>防止制杀太过、印多身滞和制化两立</x:v>
      </x:c>
      <x:c r="X57" s="84" t="str">
        <x:v>印食制杀择路</x:v>
      </x:c>
      <x:c r="Y57" s="84" t="str">
        <x:v>冲突主题：印化杀与食制杀路线冲突。裁决结果为“制杀路线择一”；优先采用：能稳定处理杀压且副作用更小的一条路线优先；降级处理：另一条路线降为替代候选或辅助，不默认同时加强。同时控制副作用：防止制杀太过、印多身滞和制化两立。</x:v>
      </x:c>
      <x:c r="Z57" s="82" t="str">
        <x:v>较高</x:v>
      </x:c>
      <x:c r="AA57" s="82" t="str">
        <x:v>现代综合</x:v>
      </x:c>
      <x:c r="AB5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7" s="68" t="str">
        <x:v>当“印星与食神都可处理七杀，但印会夺食、食会泄身，且两者可能争夺同一杀气”成立，且硬约束与主次证据清晰时，可按本规则裁决。</x:v>
      </x:c>
      <x:c r="AD57" s="90" t="str">
        <x:v>若冲突双方并未同时有效，或“其中一方只是名义候选、已经失效或不作用于主要矛盾”成立，不得套用本规则制造假冲突。</x:v>
      </x:c>
      <x:c r="AE57" s="82" t="str">
        <x:v>采用</x:v>
      </x:c>
      <x:c r="AF57" s="82" t="str">
        <x:v>初审</x:v>
      </x:c>
      <x:c r="AG57" s="87" t="n">
        <x:v>46260</x:v>
      </x:c>
    </x:row>
    <x:row r="58">
      <x:c r="A58" s="72" t="str">
        <x:f>IF(OR(C58="",D58=""),"",B58&amp;"-"&amp;UPPER(C58)&amp;"-"&amp;TEXT(D58,"0000")&amp;"-"&amp;E58)</x:f>
        <x:v>M18-ROUTE-0052-V1.0</x:v>
      </x:c>
      <x:c r="B58" s="74" t="str">
        <x:v>M18</x:v>
      </x:c>
      <x:c r="C58" s="74" t="str">
        <x:v>ROUTE</x:v>
      </x:c>
      <x:c r="D58" s="215" t="n">
        <x:v>52</x:v>
      </x:c>
      <x:c r="E58" s="74" t="str">
        <x:v>V1.0</x:v>
      </x:c>
      <x:c r="F58" s="68" t="str">
        <x:v>伤官配印与伤官生财冲突时按日主与格局择路</x:v>
      </x:c>
      <x:c r="G58" s="82" t="str">
        <x:v>综合层</x:v>
      </x:c>
      <x:c r="H58" s="68" t="str">
        <x:v>伤官生财与伤官配印路线冲突</x:v>
      </x:c>
      <x:c r="I58" s="68" t="str">
        <x:v>M17-GEJU-0028-V1.0</x:v>
      </x:c>
      <x:c r="J58" s="68" t="str">
        <x:v>伤官格以生财或配印的稳定路线为用神</x:v>
      </x:c>
      <x:c r="K58" s="68" t="str">
        <x:v>M16-CONTROL-0044-V1.0</x:v>
      </x:c>
      <x:c r="L58" s="68" t="str">
        <x:v>配印不足时需增强印或改走财通关</x:v>
      </x:c>
      <x:c r="M58" s="68" t="str">
        <x:v>财与印分别为伤官提供出口和约束，但财会坏印、印会制伤并生身</x:v>
      </x:c>
      <x:c r="N58" s="68" t="str">
        <x:v>身弱伤旺、伤官克官时偏向配印；身旺伤旺且财能承接时偏向生财</x:v>
      </x:c>
      <x:c r="O58" s="68" t="str">
        <x:v>比较日主承载、正官是否关键、财坏印风险和输出终点</x:v>
      </x:c>
      <x:c r="P58" s="68" t="str">
        <x:v>与日主和主格更匹配者优先</x:v>
      </x:c>
      <x:c r="Q58" s="68" t="str">
        <x:v>次路线降为辅助或条件性，避免财印同时强冲</x:v>
      </x:c>
      <x:c r="R58" s="84" t="str">
        <x:v>伤官路线择一</x:v>
      </x:c>
      <x:c r="S58" s="68" t="str">
        <x:v>冲突双方均有有效证据且作用于同一原局</x:v>
      </x:c>
      <x:c r="T58" s="68" t="str">
        <x:v>其中一方只是名义候选、已经失效或不作用于主要矛盾</x:v>
      </x:c>
      <x:c r="U58" s="68" t="str">
        <x:v>若被降级一方实际承担不可替代功能，应重新进入本规则复审</x:v>
      </x:c>
      <x:c r="V58" s="68" t="str">
        <x:v>证据接近或存在流派争议时保留并列候选并降低置信度</x:v>
      </x:c>
      <x:c r="W58" s="90" t="str">
        <x:v>防止印制太过或财耗身、坏印过度</x:v>
      </x:c>
      <x:c r="X58" s="84" t="str">
        <x:v>伤官财印择路</x:v>
      </x:c>
      <x:c r="Y58" s="84" t="str">
        <x:v>冲突主题：伤官生财与伤官配印路线冲突。裁决结果为“伤官路线择一”；优先采用：与日主和主格更匹配者优先；降级处理：次路线降为辅助或条件性，避免财印同时强冲。同时控制副作用：防止印制太过或财耗身、坏印过度。</x:v>
      </x:c>
      <x:c r="Z58" s="82" t="str">
        <x:v>较高</x:v>
      </x:c>
      <x:c r="AA58" s="82" t="str">
        <x:v>现代综合</x:v>
      </x:c>
      <x:c r="AB5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8" s="68" t="str">
        <x:v>当“财与印分别为伤官提供出口和约束，但财会坏印、印会制伤并生身”成立，且硬约束与主次证据清晰时，可按本规则裁决。</x:v>
      </x:c>
      <x:c r="AD58" s="90" t="str">
        <x:v>若冲突双方并未同时有效，或“其中一方只是名义候选、已经失效或不作用于主要矛盾”成立，不得套用本规则制造假冲突。</x:v>
      </x:c>
      <x:c r="AE58" s="82" t="str">
        <x:v>采用</x:v>
      </x:c>
      <x:c r="AF58" s="82" t="str">
        <x:v>初审</x:v>
      </x:c>
      <x:c r="AG58" s="87" t="n">
        <x:v>46260</x:v>
      </x:c>
    </x:row>
    <x:row r="59">
      <x:c r="A59" s="72" t="str">
        <x:f>IF(OR(C59="",D59=""),"",B59&amp;"-"&amp;UPPER(C59)&amp;"-"&amp;TEXT(D59,"0000")&amp;"-"&amp;E59)</x:f>
        <x:v>M18-ROUTE-0053-V1.0</x:v>
      </x:c>
      <x:c r="B59" s="74" t="str">
        <x:v>M18</x:v>
      </x:c>
      <x:c r="C59" s="74" t="str">
        <x:v>ROUTE</x:v>
      </x:c>
      <x:c r="D59" s="215" t="n">
        <x:v>53</x:v>
      </x:c>
      <x:c r="E59" s="74" t="str">
        <x:v>V1.0</x:v>
      </x:c>
      <x:c r="F59" s="68" t="str">
        <x:v>建禄身旺的泄、制、耗三路线按主路径择一</x:v>
      </x:c>
      <x:c r="G59" s="82" t="str">
        <x:v>综合层</x:v>
      </x:c>
      <x:c r="H59" s="68" t="str">
        <x:v>建禄格泄制耗路线冲突</x:v>
      </x:c>
      <x:c r="I59" s="68" t="str">
        <x:v>M17-GEJU-0029-V1.0</x:v>
      </x:c>
      <x:c r="J59" s="68" t="str">
        <x:v>建禄格需在食伤泄、官杀制、财星耗中选择主出口</x:v>
      </x:c>
      <x:c r="K59" s="68" t="str">
        <x:v>M16-STRONG-0023-V1.0</x:v>
      </x:c>
      <x:c r="L59" s="68" t="str">
        <x:v>过旺宜泄还是宜制须服从格局和流通</x:v>
      </x:c>
      <x:c r="M59" s="68" t="str">
        <x:v>食伤、官杀、财星都可处理强身，但三者对格局、调候和承载副作用不同</x:v>
      </x:c>
      <x:c r="N59" s="68" t="str">
        <x:v>必须先确认日主实际旺度、主要卡点和现有格局主轴</x:v>
      </x:c>
      <x:c r="O59" s="68" t="str">
        <x:v>有稳定食伤财链则优先泄；官杀有权且日主可承则可制；财星有承接且不坏印时可耗</x:v>
      </x:c>
      <x:c r="P59" s="68" t="str">
        <x:v>能形成最短主路径且副作用最小的路线优先</x:v>
      </x:c>
      <x:c r="Q59" s="68" t="str">
        <x:v>其他路线列辅助或不采用，避免泄制耗叠加过度</x:v>
      </x:c>
      <x:c r="R59" s="84" t="str">
        <x:v>建禄出口择一</x:v>
      </x:c>
      <x:c r="S59" s="68" t="str">
        <x:v>冲突双方均有有效证据且作用于同一原局</x:v>
      </x:c>
      <x:c r="T59" s="68" t="str">
        <x:v>其中一方只是名义候选、已经失效或不作用于主要矛盾</x:v>
      </x:c>
      <x:c r="U59" s="68" t="str">
        <x:v>若被降级一方实际承担不可替代功能，应重新进入本规则复审</x:v>
      </x:c>
      <x:c r="V59" s="68" t="str">
        <x:v>证据接近或存在流派争议时保留并列候选并降低置信度</x:v>
      </x:c>
      <x:c r="W59" s="90" t="str">
        <x:v>防止由旺转弱、伤官见官、财坏印或官杀压身</x:v>
      </x:c>
      <x:c r="X59" s="84" t="str">
        <x:v>建禄泄制耗择路</x:v>
      </x:c>
      <x:c r="Y59" s="84" t="str">
        <x:v>冲突主题：建禄格泄制耗路线冲突。裁决结果为“建禄出口择一”；优先采用：能形成最短主路径且副作用最小的路线优先；降级处理：其他路线列辅助或不采用，避免泄制耗叠加过度。同时控制副作用：防止由旺转弱、伤官见官、财坏印或官杀压身。</x:v>
      </x:c>
      <x:c r="Z59" s="82" t="str">
        <x:v>较高</x:v>
      </x:c>
      <x:c r="AA59" s="82" t="str">
        <x:v>现代综合</x:v>
      </x:c>
      <x:c r="AB5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9" s="68" t="str">
        <x:v>当“食伤、官杀、财星都可处理强身，但三者对格局、调候和承载副作用不同”成立，且硬约束与主次证据清晰时，可按本规则裁决。</x:v>
      </x:c>
      <x:c r="AD59" s="90" t="str">
        <x:v>若冲突双方并未同时有效，或“其中一方只是名义候选、已经失效或不作用于主要矛盾”成立，不得套用本规则制造假冲突。</x:v>
      </x:c>
      <x:c r="AE59" s="82" t="str">
        <x:v>采用</x:v>
      </x:c>
      <x:c r="AF59" s="82" t="str">
        <x:v>初审</x:v>
      </x:c>
      <x:c r="AG59" s="87" t="n">
        <x:v>46260</x:v>
      </x:c>
    </x:row>
    <x:row r="60">
      <x:c r="A60" s="72" t="str">
        <x:f>IF(OR(C60="",D60=""),"",B60&amp;"-"&amp;UPPER(C60)&amp;"-"&amp;TEXT(D60,"0000")&amp;"-"&amp;E60)</x:f>
        <x:v>M18-ROUTE-0054-V1.0</x:v>
      </x:c>
      <x:c r="B60" s="74" t="str">
        <x:v>M18</x:v>
      </x:c>
      <x:c r="C60" s="74" t="str">
        <x:v>ROUTE</x:v>
      </x:c>
      <x:c r="D60" s="215" t="n">
        <x:v>54</x:v>
      </x:c>
      <x:c r="E60" s="74" t="str">
        <x:v>V1.0</x:v>
      </x:c>
      <x:c r="F60" s="68" t="str">
        <x:v>羊刃驾杀与食伤泄刃冲突时按杀权和承载择路</x:v>
      </x:c>
      <x:c r="G60" s="82" t="str">
        <x:v>综合层</x:v>
      </x:c>
      <x:c r="H60" s="68" t="str">
        <x:v>羊刃制刃与泄刃路线冲突</x:v>
      </x:c>
      <x:c r="I60" s="68" t="str">
        <x:v>M17-GEJU-0030-V1.0</x:v>
      </x:c>
      <x:c r="J60" s="68" t="str">
        <x:v>羊刃格可用官杀制刃或食伤泄刃</x:v>
      </x:c>
      <x:c r="K60" s="68" t="str">
        <x:v>M16-CONTROL-0053-V1.0</x:v>
      </x:c>
      <x:c r="L60" s="68" t="str">
        <x:v>羊刃强而无制需制刃或泄刃</x:v>
      </x:c>
      <x:c r="M60" s="68" t="str">
        <x:v>七杀与食伤都能处理强刃，但七杀过强压身，食伤过强泄身或伤官</x:v>
      </x:c>
      <x:c r="N60" s="68" t="str">
        <x:v>杀有权且身能承时可驾杀；杀弱或有伤官见官风险时优先泄刃</x:v>
      </x:c>
      <x:c r="O60" s="68" t="str">
        <x:v>比较杀权、食伤有效性、日主承载和格局清纯度</x:v>
      </x:c>
      <x:c r="P60" s="68" t="str">
        <x:v>制泄比例最接近稳定平衡者优先</x:v>
      </x:c>
      <x:c r="Q60" s="68" t="str">
        <x:v>另一方案降为辅助或替代，不同时强力使用</x:v>
      </x:c>
      <x:c r="R60" s="84" t="str">
        <x:v>制刃路线择一</x:v>
      </x:c>
      <x:c r="S60" s="68" t="str">
        <x:v>冲突双方均有有效证据且作用于同一原局</x:v>
      </x:c>
      <x:c r="T60" s="68" t="str">
        <x:v>其中一方只是名义候选、已经失效或不作用于主要矛盾</x:v>
      </x:c>
      <x:c r="U60" s="68" t="str">
        <x:v>若被降级一方实际承担不可替代功能，应重新进入本规则复审</x:v>
      </x:c>
      <x:c r="V60" s="68" t="str">
        <x:v>证据接近或存在流派争议时保留并列候选并降低置信度</x:v>
      </x:c>
      <x:c r="W60" s="90" t="str">
        <x:v>防止制刃太过、泄身过度和官伤冲突</x:v>
      </x:c>
      <x:c r="X60" s="84" t="str">
        <x:v>羊刃制泄择路</x:v>
      </x:c>
      <x:c r="Y60" s="84" t="str">
        <x:v>冲突主题：羊刃制刃与泄刃路线冲突。裁决结果为“制刃路线择一”；优先采用：制泄比例最接近稳定平衡者优先；降级处理：另一方案降为辅助或替代，不同时强力使用。同时控制副作用：防止制刃太过、泄身过度和官伤冲突。</x:v>
      </x:c>
      <x:c r="Z60" s="82" t="str">
        <x:v>较高</x:v>
      </x:c>
      <x:c r="AA60" s="82" t="str">
        <x:v>现代综合</x:v>
      </x:c>
      <x:c r="AB6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0" s="68" t="str">
        <x:v>当“七杀与食伤都能处理强刃，但七杀过强压身，食伤过强泄身或伤官”成立，且硬约束与主次证据清晰时，可按本规则裁决。</x:v>
      </x:c>
      <x:c r="AD60" s="90" t="str">
        <x:v>若冲突双方并未同时有效，或“其中一方只是名义候选、已经失效或不作用于主要矛盾”成立，不得套用本规则制造假冲突。</x:v>
      </x:c>
      <x:c r="AE60" s="82" t="str">
        <x:v>采用</x:v>
      </x:c>
      <x:c r="AF60" s="82" t="str">
        <x:v>初审</x:v>
      </x:c>
      <x:c r="AG60" s="87" t="n">
        <x:v>46260</x:v>
      </x:c>
    </x:row>
    <x:row r="61">
      <x:c r="A61" s="72" t="str">
        <x:f>IF(OR(C61="",D61=""),"",B61&amp;"-"&amp;UPPER(C61)&amp;"-"&amp;TEXT(D61,"0000")&amp;"-"&amp;E61)</x:f>
        <x:v>M18-ROUTE-0055-V1.0</x:v>
      </x:c>
      <x:c r="B61" s="74" t="str">
        <x:v>M18</x:v>
      </x:c>
      <x:c r="C61" s="74" t="str">
        <x:v>ROUTE</x:v>
      </x:c>
      <x:c r="D61" s="215" t="n">
        <x:v>55</x:v>
      </x:c>
      <x:c r="E61" s="74" t="str">
        <x:v>V1.0</x:v>
      </x:c>
      <x:c r="F61" s="68" t="str">
        <x:v>财多身弱时印扶与比劫制财按格局副作用择路</x:v>
      </x:c>
      <x:c r="G61" s="82" t="str">
        <x:v>综合层</x:v>
      </x:c>
      <x:c r="H61" s="68" t="str">
        <x:v>财多身弱的印比路线冲突</x:v>
      </x:c>
      <x:c r="I61" s="68" t="str">
        <x:v>M17-FUYI-0011-V1.0</x:v>
      </x:c>
      <x:c r="J61" s="68" t="str">
        <x:v>正印可扶身并补承载</x:v>
      </x:c>
      <x:c r="K61" s="68" t="str">
        <x:v>M17-FUYI-0014-V1.0</x:v>
      </x:c>
      <x:c r="L61" s="68" t="str">
        <x:v>劫财可扶身并制财但可能破财格</x:v>
      </x:c>
      <x:c r="M61" s="68" t="str">
        <x:v>印星和比劫都能缓解财耗，但印可能阻食伤生财，比劫会直接克财</x:v>
      </x:c>
      <x:c r="N61" s="68" t="str">
        <x:v>财格清纯且财不可损时优先印扶；印被财重破且财非核心时可用比劫制财</x:v>
      </x:c>
      <x:c r="O61" s="68" t="str">
        <x:v>比较财格主导性、印有效性、食伤生财链和比劫夺财风险</x:v>
      </x:c>
      <x:c r="P61" s="68" t="str">
        <x:v>对主格伤害更小且能稳定扶身者优先</x:v>
      </x:c>
      <x:c r="Q61" s="68" t="str">
        <x:v>次路线列辅助或条件性喜神</x:v>
      </x:c>
      <x:c r="R61" s="84" t="str">
        <x:v>财弱身扶路线择一</x:v>
      </x:c>
      <x:c r="S61" s="68" t="str">
        <x:v>冲突双方均有有效证据且作用于同一原局</x:v>
      </x:c>
      <x:c r="T61" s="68" t="str">
        <x:v>其中一方只是名义候选、已经失效或不作用于主要矛盾</x:v>
      </x:c>
      <x:c r="U61" s="68" t="str">
        <x:v>若被降级一方实际承担不可替代功能，应重新进入本规则复审</x:v>
      </x:c>
      <x:c r="V61" s="68" t="str">
        <x:v>证据接近或存在流派争议时保留并列候选并降低置信度</x:v>
      </x:c>
      <x:c r="W61" s="90" t="str">
        <x:v>防止印多身滞或比劫夺财</x:v>
      </x:c>
      <x:c r="X61" s="84" t="str">
        <x:v>财多身弱印比择路</x:v>
      </x:c>
      <x:c r="Y61" s="84" t="str">
        <x:v>冲突主题：财多身弱的印比路线冲突。裁决结果为“财弱身扶路线择一”；优先采用：对主格伤害更小且能稳定扶身者优先；降级处理：次路线列辅助或条件性喜神。同时控制副作用：防止印多身滞或比劫夺财。</x:v>
      </x:c>
      <x:c r="Z61" s="82" t="str">
        <x:v>较高</x:v>
      </x:c>
      <x:c r="AA61" s="82" t="str">
        <x:v>现代综合</x:v>
      </x:c>
      <x:c r="AB6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1" s="68" t="str">
        <x:v>当“印星和比劫都能缓解财耗，但印可能阻食伤生财，比劫会直接克财”成立，且硬约束与主次证据清晰时，可按本规则裁决。</x:v>
      </x:c>
      <x:c r="AD61" s="90" t="str">
        <x:v>若冲突双方并未同时有效，或“其中一方只是名义候选、已经失效或不作用于主要矛盾”成立，不得套用本规则制造假冲突。</x:v>
      </x:c>
      <x:c r="AE61" s="82" t="str">
        <x:v>采用</x:v>
      </x:c>
      <x:c r="AF61" s="82" t="str">
        <x:v>初审</x:v>
      </x:c>
      <x:c r="AG61" s="87" t="n">
        <x:v>46260</x:v>
      </x:c>
    </x:row>
    <x:row r="62">
      <x:c r="A62" s="72" t="str">
        <x:f>IF(OR(C62="",D62=""),"",B62&amp;"-"&amp;UPPER(C62)&amp;"-"&amp;TEXT(D62,"0000")&amp;"-"&amp;E62)</x:f>
        <x:v>M18-ROUTE-0056-V1.0</x:v>
      </x:c>
      <x:c r="B62" s="74" t="str">
        <x:v>M18</x:v>
      </x:c>
      <x:c r="C62" s="74" t="str">
        <x:v>ROUTE</x:v>
      </x:c>
      <x:c r="D62" s="215" t="n">
        <x:v>56</x:v>
      </x:c>
      <x:c r="E62" s="74" t="str">
        <x:v>V1.0</x:v>
      </x:c>
      <x:c r="F62" s="68" t="str">
        <x:v>枭夺食时财制枭优先于单纯生扶食神</x:v>
      </x:c>
      <x:c r="G62" s="82" t="str">
        <x:v>综合层</x:v>
      </x:c>
      <x:c r="H62" s="68" t="str">
        <x:v>枭夺食救应路线冲突</x:v>
      </x:c>
      <x:c r="I62" s="68" t="str">
        <x:v>M16-CONTROL-0045-V1.0</x:v>
      </x:c>
      <x:c r="J62" s="68" t="str">
        <x:v>枭神夺食的直接病因是偏印克食神</x:v>
      </x:c>
      <x:c r="K62" s="68" t="str">
        <x:v>M17-BINGYAO-0056-V1.0</x:v>
      </x:c>
      <x:c r="L62" s="68" t="str">
        <x:v>辅助药可增强主药或保护关键节点</x:v>
      </x:c>
      <x:c r="M62" s="68" t="str">
        <x:v>可直接用财制枭，也可用比劫生食或其他方式增强食神</x:v>
      </x:c>
      <x:c r="N62" s="68" t="str">
        <x:v>若偏印持续强克，单纯生食不能解除根因</x:v>
      </x:c>
      <x:c r="O62" s="68" t="str">
        <x:v>先制去克食之枭，再考虑补充食神来源</x:v>
      </x:c>
      <x:c r="P62" s="68" t="str">
        <x:v>财制枭列主药，比劫生食列辅助</x:v>
      </x:c>
      <x:c r="Q62" s="68" t="str">
        <x:v>不能解除枭制的单纯生食方案降为辅助或无效</x:v>
      </x:c>
      <x:c r="R62" s="84" t="str">
        <x:v>先制枭后生食</x:v>
      </x:c>
      <x:c r="S62" s="68" t="str">
        <x:v>冲突双方均有有效证据且作用于同一原局</x:v>
      </x:c>
      <x:c r="T62" s="68" t="str">
        <x:v>其中一方只是名义候选、已经失效或不作用于主要矛盾</x:v>
      </x:c>
      <x:c r="U62" s="68" t="str">
        <x:v>若被降级一方实际承担不可替代功能，应重新进入本规则复审</x:v>
      </x:c>
      <x:c r="V62" s="68" t="str">
        <x:v>证据接近或存在流派争议时保留并列候选并降低置信度</x:v>
      </x:c>
      <x:c r="W62" s="90" t="str">
        <x:v>财星过强会财坏印、财多身弱或财滋杀，需限定强度</x:v>
      </x:c>
      <x:c r="X62" s="84" t="str">
        <x:v>枭夺食救应择路</x:v>
      </x:c>
      <x:c r="Y62" s="84" t="str">
        <x:v>冲突主题：枭夺食救应路线冲突。裁决结果为“先制枭后生食”；优先采用：财制枭列主药，比劫生食列辅助；降级处理：不能解除枭制的单纯生食方案降为辅助或无效。同时控制副作用：财星过强会财坏印、财多身弱或财滋杀，需限定强度。</x:v>
      </x:c>
      <x:c r="Z62" s="82" t="str">
        <x:v>较高</x:v>
      </x:c>
      <x:c r="AA62" s="82" t="str">
        <x:v>现代综合</x:v>
      </x:c>
      <x:c r="AB6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2" s="68" t="str">
        <x:v>当“可直接用财制枭，也可用比劫生食或其他方式增强食神”成立，且硬约束与主次证据清晰时，可按本规则裁决。</x:v>
      </x:c>
      <x:c r="AD62" s="90" t="str">
        <x:v>若冲突双方并未同时有效，或“其中一方只是名义候选、已经失效或不作用于主要矛盾”成立，不得套用本规则制造假冲突。</x:v>
      </x:c>
      <x:c r="AE62" s="82" t="str">
        <x:v>采用</x:v>
      </x:c>
      <x:c r="AF62" s="82" t="str">
        <x:v>初审</x:v>
      </x:c>
      <x:c r="AG62" s="87" t="n">
        <x:v>46260</x:v>
      </x:c>
    </x:row>
    <x:row r="63">
      <x:c r="A63" s="72" t="str">
        <x:f>IF(OR(C63="",D63=""),"",B63&amp;"-"&amp;UPPER(C63)&amp;"-"&amp;TEXT(D63,"0000")&amp;"-"&amp;E63)</x:f>
        <x:v>M18-ROUTE-0057-V1.0</x:v>
      </x:c>
      <x:c r="B63" s="74" t="str">
        <x:v>M18</x:v>
      </x:c>
      <x:c r="C63" s="74" t="str">
        <x:v>ROUTE</x:v>
      </x:c>
      <x:c r="D63" s="215" t="n">
        <x:v>57</x:v>
      </x:c>
      <x:c r="E63" s="74" t="str">
        <x:v>V1.0</x:v>
      </x:c>
      <x:c r="F63" s="68" t="str">
        <x:v>财坏印时先制财还是扶印取决于克制强度</x:v>
      </x:c>
      <x:c r="G63" s="82" t="str">
        <x:v>综合层</x:v>
      </x:c>
      <x:c r="H63" s="68" t="str">
        <x:v>财坏印救应路线冲突</x:v>
      </x:c>
      <x:c r="I63" s="68" t="str">
        <x:v>M16-CONTROL-0046-V1.0</x:v>
      </x:c>
      <x:c r="J63" s="68" t="str">
        <x:v>财坏印破坏关键生身或化杀功能</x:v>
      </x:c>
      <x:c r="K63" s="68" t="str">
        <x:v>M17-FUYI-0011-V1.0</x:v>
      </x:c>
      <x:c r="L63" s="68" t="str">
        <x:v>印星可生身并恢复承载</x:v>
      </x:c>
      <x:c r="M63" s="68" t="str">
        <x:v>比劫制财能处理病因，直接扶印能增强受损一方，但两者副作用不同</x:v>
      </x:c>
      <x:c r="N63" s="68" t="str">
        <x:v>财克印明显且持续时，单纯扶印可能被继续消耗</x:v>
      </x:c>
      <x:c r="O63" s="68" t="str">
        <x:v>病因强则先制财，印弱但财压一般则可扶印；必要时主辅配合</x:v>
      </x:c>
      <x:c r="P63" s="68" t="str">
        <x:v>直接解除主要克制的一方优先</x:v>
      </x:c>
      <x:c r="Q63" s="68" t="str">
        <x:v>次路线列辅助用神</x:v>
      </x:c>
      <x:c r="R63" s="84" t="str">
        <x:v>财印救应择路</x:v>
      </x:c>
      <x:c r="S63" s="68" t="str">
        <x:v>冲突双方均有有效证据且作用于同一原局</x:v>
      </x:c>
      <x:c r="T63" s="68" t="str">
        <x:v>其中一方只是名义候选、已经失效或不作用于主要矛盾</x:v>
      </x:c>
      <x:c r="U63" s="68" t="str">
        <x:v>若被降级一方实际承担不可替代功能，应重新进入本规则复审</x:v>
      </x:c>
      <x:c r="V63" s="68" t="str">
        <x:v>证据接近或存在流派争议时保留并列候选并降低置信度</x:v>
      </x:c>
      <x:c r="W63" s="90" t="str">
        <x:v>比劫过强会夺财，印过强会身滞或夺食</x:v>
      </x:c>
      <x:c r="X63" s="84" t="str">
        <x:v>财坏印制扶择路</x:v>
      </x:c>
      <x:c r="Y63" s="84" t="str">
        <x:v>冲突主题：财坏印救应路线冲突。裁决结果为“财印救应择路”；优先采用：直接解除主要克制的一方优先；降级处理：次路线列辅助用神。同时控制副作用：比劫过强会夺财，印过强会身滞或夺食。</x:v>
      </x:c>
      <x:c r="Z63" s="82" t="str">
        <x:v>较高</x:v>
      </x:c>
      <x:c r="AA63" s="82" t="str">
        <x:v>现代综合</x:v>
      </x:c>
      <x:c r="AB6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3" s="68" t="str">
        <x:v>当“比劫制财能处理病因，直接扶印能增强受损一方，但两者副作用不同”成立，且硬约束与主次证据清晰时，可按本规则裁决。</x:v>
      </x:c>
      <x:c r="AD63" s="90" t="str">
        <x:v>若冲突双方并未同时有效，或“其中一方只是名义候选、已经失效或不作用于主要矛盾”成立，不得套用本规则制造假冲突。</x:v>
      </x:c>
      <x:c r="AE63" s="82" t="str">
        <x:v>采用</x:v>
      </x:c>
      <x:c r="AF63" s="82" t="str">
        <x:v>初审</x:v>
      </x:c>
      <x:c r="AG63" s="87" t="n">
        <x:v>46260</x:v>
      </x:c>
    </x:row>
    <x:row r="64">
      <x:c r="A64" s="72" t="str">
        <x:f>IF(OR(C64="",D64=""),"",B64&amp;"-"&amp;UPPER(C64)&amp;"-"&amp;TEXT(D64,"0000")&amp;"-"&amp;E64)</x:f>
        <x:v>M18-ROUTE-0058-V1.0</x:v>
      </x:c>
      <x:c r="B64" s="74" t="str">
        <x:v>M18</x:v>
      </x:c>
      <x:c r="C64" s="74" t="str">
        <x:v>ROUTE</x:v>
      </x:c>
      <x:c r="D64" s="215" t="n">
        <x:v>58</x:v>
      </x:c>
      <x:c r="E64" s="74" t="str">
        <x:v>V1.0</x:v>
      </x:c>
      <x:c r="F64" s="68" t="str">
        <x:v>比劫夺财时官杀制比与食伤生财按承载择路</x:v>
      </x:c>
      <x:c r="G64" s="82" t="str">
        <x:v>综合层</x:v>
      </x:c>
      <x:c r="H64" s="68" t="str">
        <x:v>比劫夺财救应路线冲突</x:v>
      </x:c>
      <x:c r="I64" s="68" t="str">
        <x:v>M16-CONTROL-0047-V1.0</x:v>
      </x:c>
      <x:c r="J64" s="68" t="str">
        <x:v>比劫夺财可用官杀制比或食伤通关生财</x:v>
      </x:c>
      <x:c r="K64" s="68" t="str">
        <x:v>M17-GEJU-0026-V1.0</x:v>
      </x:c>
      <x:c r="L64" s="68" t="str">
        <x:v>财格需保护财星并维持日主任财</x:v>
      </x:c>
      <x:c r="M64" s="68" t="str">
        <x:v>官杀制比直接，食伤生财间接补源；官杀可能攻身，食伤可能泄身</x:v>
      </x:c>
      <x:c r="N64" s="68" t="str">
        <x:v>日主强可承官杀时优先制比；日主偏弱且食伤有源时可考虑生财补源</x:v>
      </x:c>
      <x:c r="O64" s="68" t="str">
        <x:v>比较日主承载、官杀有效性、食伤源头和财星恢复程度</x:v>
      </x:c>
      <x:c r="P64" s="68" t="str">
        <x:v>能护财且不制造更严重身弱者优先</x:v>
      </x:c>
      <x:c r="Q64" s="68" t="str">
        <x:v>次路线列辅助或替代</x:v>
      </x:c>
      <x:c r="R64" s="84" t="str">
        <x:v>护财路线择一</x:v>
      </x:c>
      <x:c r="S64" s="68" t="str">
        <x:v>冲突双方均有有效证据且作用于同一原局</x:v>
      </x:c>
      <x:c r="T64" s="68" t="str">
        <x:v>其中一方只是名义候选、已经失效或不作用于主要矛盾</x:v>
      </x:c>
      <x:c r="U64" s="68" t="str">
        <x:v>若被降级一方实际承担不可替代功能，应重新进入本规则复审</x:v>
      </x:c>
      <x:c r="V64" s="68" t="str">
        <x:v>证据接近或存在流派争议时保留并列候选并降低置信度</x:v>
      </x:c>
      <x:c r="W64" s="90" t="str">
        <x:v>防止官杀压身或食伤过泄</x:v>
      </x:c>
      <x:c r="X64" s="84" t="str">
        <x:v>比劫夺财救应择路</x:v>
      </x:c>
      <x:c r="Y64" s="84" t="str">
        <x:v>冲突主题：比劫夺财救应路线冲突。裁决结果为“护财路线择一”；优先采用：能护财且不制造更严重身弱者优先；降级处理：次路线列辅助或替代。同时控制副作用：防止官杀压身或食伤过泄。</x:v>
      </x:c>
      <x:c r="Z64" s="82" t="str">
        <x:v>较高</x:v>
      </x:c>
      <x:c r="AA64" s="82" t="str">
        <x:v>现代综合</x:v>
      </x:c>
      <x:c r="AB6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4" s="68" t="str">
        <x:v>当“官杀制比直接，食伤生财间接补源；官杀可能攻身，食伤可能泄身”成立，且硬约束与主次证据清晰时，可按本规则裁决。</x:v>
      </x:c>
      <x:c r="AD64" s="90" t="str">
        <x:v>若冲突双方并未同时有效，或“其中一方只是名义候选、已经失效或不作用于主要矛盾”成立，不得套用本规则制造假冲突。</x:v>
      </x:c>
      <x:c r="AE64" s="82" t="str">
        <x:v>采用</x:v>
      </x:c>
      <x:c r="AF64" s="82" t="str">
        <x:v>初审</x:v>
      </x:c>
      <x:c r="AG64" s="87" t="n">
        <x:v>46260</x:v>
      </x:c>
    </x:row>
    <x:row r="65">
      <x:c r="A65" s="72" t="str">
        <x:f>IF(OR(C65="",D65=""),"",B65&amp;"-"&amp;UPPER(C65)&amp;"-"&amp;TEXT(D65,"0000")&amp;"-"&amp;E65)</x:f>
        <x:v>M18-ROUTE-0059-V1.0</x:v>
      </x:c>
      <x:c r="B65" s="74" t="str">
        <x:v>M18</x:v>
      </x:c>
      <x:c r="C65" s="74" t="str">
        <x:v>ROUTE</x:v>
      </x:c>
      <x:c r="D65" s="215" t="n">
        <x:v>59</x:v>
      </x:c>
      <x:c r="E65" s="74" t="str">
        <x:v>V1.0</x:v>
      </x:c>
      <x:c r="F65" s="68" t="str">
        <x:v>官杀混杂时清一留一优先于同时制化两端</x:v>
      </x:c>
      <x:c r="G65" s="82" t="str">
        <x:v>综合层</x:v>
      </x:c>
      <x:c r="H65" s="68" t="str">
        <x:v>官杀混杂清化路线冲突</x:v>
      </x:c>
      <x:c r="I65" s="68" t="str">
        <x:v>M16-CONTROL-0048-V1.0</x:v>
      </x:c>
      <x:c r="J65" s="68" t="str">
        <x:v>官杀混杂需清一留一或建立明确主从</x:v>
      </x:c>
      <x:c r="K65" s="68" t="str">
        <x:v>M17-GEJU-0024-V1.0</x:v>
      </x:c>
      <x:c r="L65" s="68" t="str">
        <x:v>七杀格以制杀或化杀主路线运行</x:v>
      </x:c>
      <x:c r="M65" s="68" t="str">
        <x:v>正官、七杀均有力，可选择合制一方、印化主要一方或食神制杀</x:v>
      </x:c>
      <x:c r="N65" s="68" t="str">
        <x:v>先确认月令主格和哪一方承担不可替代功能</x:v>
      </x:c>
      <x:c r="O65" s="68" t="str">
        <x:v>优先保留主格所需一方，清除或降级另一方；不默认同时强化两端</x:v>
      </x:c>
      <x:c r="P65" s="68" t="str">
        <x:v>去留清晰且主格稳定的方案优先</x:v>
      </x:c>
      <x:c r="Q65" s="68" t="str">
        <x:v>无法清化时格局降为有杂/混杂，用神保持条件性</x:v>
      </x:c>
      <x:c r="R65" s="84" t="str">
        <x:v>官杀去留裁决</x:v>
      </x:c>
      <x:c r="S65" s="68" t="str">
        <x:v>冲突双方均有有效证据且作用于同一原局</x:v>
      </x:c>
      <x:c r="T65" s="68" t="str">
        <x:v>其中一方只是名义候选、已经失效或不作用于主要矛盾</x:v>
      </x:c>
      <x:c r="U65" s="68" t="str">
        <x:v>若被降级一方实际承担不可替代功能，应重新进入本规则复审</x:v>
      </x:c>
      <x:c r="V65" s="68" t="str">
        <x:v>证据接近或存在流派争议时保留并列候选并降低置信度</x:v>
      </x:c>
      <x:c r="W65" s="90" t="str">
        <x:v>防止去错主神或把必要制衡全部消除</x:v>
      </x:c>
      <x:c r="X65" s="84" t="str">
        <x:v>官杀清一留一</x:v>
      </x:c>
      <x:c r="Y65" s="84" t="str">
        <x:v>冲突主题：官杀混杂清化路线冲突。裁决结果为“官杀去留裁决”；优先采用：去留清晰且主格稳定的方案优先；降级处理：无法清化时格局降为有杂/混杂，用神保持条件性。同时控制副作用：防止去错主神或把必要制衡全部消除。</x:v>
      </x:c>
      <x:c r="Z65" s="82" t="str">
        <x:v>较高</x:v>
      </x:c>
      <x:c r="AA65" s="82" t="str">
        <x:v>现代综合</x:v>
      </x:c>
      <x:c r="AB6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5" s="68" t="str">
        <x:v>当“正官、七杀均有力，可选择合制一方、印化主要一方或食神制杀”成立，且硬约束与主次证据清晰时，可按本规则裁决。</x:v>
      </x:c>
      <x:c r="AD65" s="90" t="str">
        <x:v>若冲突双方并未同时有效，或“其中一方只是名义候选、已经失效或不作用于主要矛盾”成立，不得套用本规则制造假冲突。</x:v>
      </x:c>
      <x:c r="AE65" s="82" t="str">
        <x:v>采用</x:v>
      </x:c>
      <x:c r="AF65" s="82" t="str">
        <x:v>初审</x:v>
      </x:c>
      <x:c r="AG65" s="87" t="n">
        <x:v>46260</x:v>
      </x:c>
    </x:row>
    <x:row r="66">
      <x:c r="A66" s="72" t="str">
        <x:f>IF(OR(C66="",D66=""),"",B66&amp;"-"&amp;UPPER(C66)&amp;"-"&amp;TEXT(D66,"0000")&amp;"-"&amp;E66)</x:f>
        <x:v>M18-ROUTE-0060-V1.0</x:v>
      </x:c>
      <x:c r="B66" s="74" t="str">
        <x:v>M18</x:v>
      </x:c>
      <x:c r="C66" s="74" t="str">
        <x:v>ROUTE</x:v>
      </x:c>
      <x:c r="D66" s="215" t="n">
        <x:v>60</x:v>
      </x:c>
      <x:c r="E66" s="74" t="str">
        <x:v>V1.0</x:v>
      </x:c>
      <x:c r="F66" s="68" t="str">
        <x:v>寒燥火水路线以根本轴定主辅并防直接相战</x:v>
      </x:c>
      <x:c r="G66" s="82" t="str">
        <x:v>综合层</x:v>
      </x:c>
      <x:c r="H66" s="68" t="str">
        <x:v>寒燥火水主辅路线</x:v>
      </x:c>
      <x:c r="I66" s="68" t="str">
        <x:v>M18-CLIMATE-0031-V1.0</x:v>
      </x:c>
      <x:c r="J66" s="68" t="str">
        <x:v>寒燥必须先判断温度轴与湿度轴的主次</x:v>
      </x:c>
      <x:c r="K66" s="68" t="str">
        <x:v>M17-TIAOHOU-0049-V1.0</x:v>
      </x:c>
      <x:c r="L66" s="68" t="str">
        <x:v>火暖、水润需要主辅控制</x:v>
      </x:c>
      <x:c r="M66" s="68" t="str">
        <x:v>火水均为调候候选且作用方向相反</x:v>
      </x:c>
      <x:c r="N66" s="68" t="str">
        <x:v>主药必须对应导致更多功能障碍的根本轴</x:v>
      </x:c>
      <x:c r="O66" s="68" t="str">
        <x:v>主轴药神列主用，次轴药神列辅助，并尽量通过木等桥梁协调</x:v>
      </x:c>
      <x:c r="P66" s="68" t="str">
        <x:v>根本轴药优先</x:v>
      </x:c>
      <x:c r="Q66" s="68" t="str">
        <x:v>次轴药降为辅助或条件性喜神</x:v>
      </x:c>
      <x:c r="R66" s="84" t="str">
        <x:v>寒燥主辅确定</x:v>
      </x:c>
      <x:c r="S66" s="68" t="str">
        <x:v>冲突双方均有有效证据且作用于同一原局</x:v>
      </x:c>
      <x:c r="T66" s="68" t="str">
        <x:v>其中一方只是名义候选、已经失效或不作用于主要矛盾</x:v>
      </x:c>
      <x:c r="U66" s="68" t="str">
        <x:v>若被降级一方实际承担不可替代功能，应重新进入本规则复审</x:v>
      </x:c>
      <x:c r="V66" s="68" t="str">
        <x:v>证据接近或存在流派争议时保留并列候选并降低置信度</x:v>
      </x:c>
      <x:c r="W66" s="90" t="str">
        <x:v>限制火水强度，避免直接水火相战和双向过量</x:v>
      </x:c>
      <x:c r="X66" s="84" t="str">
        <x:v>寒燥火水主辅路线</x:v>
      </x:c>
      <x:c r="Y66" s="84" t="str">
        <x:v>冲突主题：寒燥火水主辅路线。裁决结果为“寒燥主辅确定”；优先采用：根本轴药优先；降级处理：次轴药降为辅助或条件性喜神。同时控制副作用：限制火水强度，避免直接水火相战和双向过量。</x:v>
      </x:c>
      <x:c r="Z66" s="82" t="str">
        <x:v>较高</x:v>
      </x:c>
      <x:c r="AA66" s="82" t="str">
        <x:v>现代综合</x:v>
      </x:c>
      <x:c r="AB6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6" s="68" t="str">
        <x:v>当“火水均为调候候选且作用方向相反”成立，且硬约束与主次证据清晰时，可按本规则裁决。</x:v>
      </x:c>
      <x:c r="AD66" s="90" t="str">
        <x:v>若冲突双方并未同时有效，或“其中一方只是名义候选、已经失效或不作用于主要矛盾”成立，不得套用本规则制造假冲突。</x:v>
      </x:c>
      <x:c r="AE66" s="82" t="str">
        <x:v>采用</x:v>
      </x:c>
      <x:c r="AF66" s="82" t="str">
        <x:v>初审</x:v>
      </x:c>
      <x:c r="AG66" s="87" t="n">
        <x:v>46260</x:v>
      </x:c>
    </x:row>
    <x:row r="67">
      <x:c r="A67" s="72" t="str">
        <x:f>IF(OR(C67="",D67=""),"",B67&amp;"-"&amp;UPPER(C67)&amp;"-"&amp;TEXT(D67,"0000")&amp;"-"&amp;E67)</x:f>
        <x:v>M18-DOSE-0061-V1.0</x:v>
      </x:c>
      <x:c r="B67" s="74" t="str">
        <x:v>M18</x:v>
      </x:c>
      <x:c r="C67" s="74" t="str">
        <x:v>DOSE</x:v>
      </x:c>
      <x:c r="D67" s="215" t="n">
        <x:v>61</x:v>
      </x:c>
      <x:c r="E67" s="74" t="str">
        <x:v>V1.0</x:v>
      </x:c>
      <x:c r="F67" s="68" t="str">
        <x:v>药神达到最小有效强度后才具备正向定位</x:v>
      </x:c>
      <x:c r="G67" s="82" t="str">
        <x:v>综合层</x:v>
      </x:c>
      <x:c r="H67" s="68" t="str">
        <x:v>理论有利与有效剂量冲突</x:v>
      </x:c>
      <x:c r="I67" s="68" t="str">
        <x:v>M16-MED-0080-V1.0</x:v>
      </x:c>
      <x:c r="J67" s="68" t="str">
        <x:v>药神必须有根有源并能进入病位</x:v>
      </x:c>
      <x:c r="K67" s="68" t="str">
        <x:v>M17-BINGYAO-0057-V1.0</x:v>
      </x:c>
      <x:c r="L67" s="68" t="str">
        <x:v>无根无源药神不得列无条件主用</x:v>
      </x:c>
      <x:c r="M67" s="68" t="str">
        <x:v>候选五行方向正确，但力量不足以改变病位、格局或主路径</x:v>
      </x:c>
      <x:c r="N67" s="68" t="str">
        <x:v>必须达到能够产生实际净修复的最低药力门槛</x:v>
      </x:c>
      <x:c r="O67" s="68" t="str">
        <x:v>方向、路径和剂量三者同时成立才算有效</x:v>
      </x:c>
      <x:c r="P67" s="68" t="str">
        <x:v>达到最小有效剂量且副作用仍低者优先</x:v>
      </x:c>
      <x:c r="Q67" s="68" t="str">
        <x:v>未达门槛者降为条件性喜神、待定或仅保留潜在方向</x:v>
      </x:c>
      <x:c r="R67" s="84" t="str">
        <x:v>最小有效剂量裁决</x:v>
      </x:c>
      <x:c r="S67" s="68" t="str">
        <x:v>冲突双方均有有效证据且作用于同一原局</x:v>
      </x:c>
      <x:c r="T67" s="68" t="str">
        <x:v>其中一方只是名义候选、已经失效或不作用于主要矛盾</x:v>
      </x:c>
      <x:c r="U67" s="68" t="str">
        <x:v>若被降级一方实际承担不可替代功能，应重新进入本规则复审</x:v>
      </x:c>
      <x:c r="V67" s="68" t="str">
        <x:v>证据接近或存在流派争议时保留并列候选并降低置信度</x:v>
      </x:c>
      <x:c r="W67" s="90" t="str">
        <x:v>增强药神时同步监测格局、调候和承载是否越界</x:v>
      </x:c>
      <x:c r="X67" s="84" t="str">
        <x:v>最小有效药力</x:v>
      </x:c>
      <x:c r="Y67" s="84" t="str">
        <x:v>冲突主题：理论有利与有效剂量冲突。裁决结果为“最小有效剂量裁决”；优先采用：达到最小有效剂量且副作用仍低者优先；降级处理：未达门槛者降为条件性喜神、待定或仅保留潜在方向。同时控制副作用：增强药神时同步监测格局、调候和承载是否越界。</x:v>
      </x:c>
      <x:c r="Z67" s="82" t="str">
        <x:v>较高</x:v>
      </x:c>
      <x:c r="AA67" s="82" t="str">
        <x:v>现代综合</x:v>
      </x:c>
      <x:c r="AB6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7" s="68" t="str">
        <x:v>当“候选五行方向正确，但力量不足以改变病位、格局或主路径”成立，且硬约束与主次证据清晰时，可按本规则裁决。</x:v>
      </x:c>
      <x:c r="AD67" s="90" t="str">
        <x:v>若冲突双方并未同时有效，或“其中一方只是名义候选、已经失效或不作用于主要矛盾”成立，不得套用本规则制造假冲突。</x:v>
      </x:c>
      <x:c r="AE67" s="82" t="str">
        <x:v>采用</x:v>
      </x:c>
      <x:c r="AF67" s="82" t="str">
        <x:v>初审</x:v>
      </x:c>
      <x:c r="AG67" s="87" t="n">
        <x:v>46260</x:v>
      </x:c>
    </x:row>
    <x:row r="68">
      <x:c r="A68" s="72" t="str">
        <x:f>IF(OR(C68="",D68=""),"",B68&amp;"-"&amp;UPPER(C68)&amp;"-"&amp;TEXT(D68,"0000")&amp;"-"&amp;E68)</x:f>
        <x:v>M18-DOSE-0062-V1.0</x:v>
      </x:c>
      <x:c r="B68" s="74" t="str">
        <x:v>M18</x:v>
      </x:c>
      <x:c r="C68" s="74" t="str">
        <x:v>DOSE</x:v>
      </x:c>
      <x:c r="D68" s="215" t="n">
        <x:v>62</x:v>
      </x:c>
      <x:c r="E68" s="74" t="str">
        <x:v>V1.0</x:v>
      </x:c>
      <x:c r="F68" s="68" t="str">
        <x:v>药力超过修复需要后喜神可转条件性忌神或忌神</x:v>
      </x:c>
      <x:c r="G68" s="82" t="str">
        <x:v>综合层</x:v>
      </x:c>
      <x:c r="H68" s="68" t="str">
        <x:v>药量与反向病冲突</x:v>
      </x:c>
      <x:c r="I68" s="68" t="str">
        <x:v>M16-DOSE-0091-V1.0</x:v>
      </x:c>
      <x:c r="J68" s="68" t="str">
        <x:v>药力过量会跨越平衡形成反向病</x:v>
      </x:c>
      <x:c r="K68" s="68" t="str">
        <x:v>M17-RANK-0088-V1.0</x:v>
      </x:c>
      <x:c r="L68" s="68" t="str">
        <x:v>条件性喜神只有在限定强度下有利</x:v>
      </x:c>
      <x:c r="M68" s="68" t="str">
        <x:v>原药已完成扶抑、通关、调候或救格，继续增强开始损伤另一端</x:v>
      </x:c>
      <x:c r="N68" s="68" t="str">
        <x:v>出现新的功能障碍、根本破格或严重反向调候时必须转性</x:v>
      </x:c>
      <x:c r="O68" s="68" t="str">
        <x:v>喜忌定位随有效强度和结构条件变化</x:v>
      </x:c>
      <x:c r="P68" s="68" t="str">
        <x:v>维持接近平衡和格局稳定的强度优先</x:v>
      </x:c>
      <x:c r="Q68" s="68" t="str">
        <x:v>由主用/喜神降为中性、条件性忌神或忌神</x:v>
      </x:c>
      <x:c r="R68" s="84" t="str">
        <x:v>药过转忌</x:v>
      </x:c>
      <x:c r="S68" s="68" t="str">
        <x:v>冲突双方均有有效证据且作用于同一原局</x:v>
      </x:c>
      <x:c r="T68" s="68" t="str">
        <x:v>其中一方只是名义候选、已经失效或不作用于主要矛盾</x:v>
      </x:c>
      <x:c r="U68" s="68" t="str">
        <x:v>若被降级一方实际承担不可替代功能，应重新进入本规则复审</x:v>
      </x:c>
      <x:c r="V68" s="68" t="str">
        <x:v>证据接近或存在流派争议时保留并列候选并降低置信度</x:v>
      </x:c>
      <x:c r="W68" s="90" t="str">
        <x:v>标准输出明确转忌阈值与首先受损的对象</x:v>
      </x:c>
      <x:c r="X68" s="84" t="str">
        <x:v>药过转忌</x:v>
      </x:c>
      <x:c r="Y68" s="84" t="str">
        <x:v>冲突主题：药量与反向病冲突。裁决结果为“药过转忌”；优先采用：维持接近平衡和格局稳定的强度优先；降级处理：由主用/喜神降为中性、条件性忌神或忌神。同时控制副作用：标准输出明确转忌阈值与首先受损的对象。</x:v>
      </x:c>
      <x:c r="Z68" s="82" t="str">
        <x:v>较高</x:v>
      </x:c>
      <x:c r="AA68" s="82" t="str">
        <x:v>现代综合</x:v>
      </x:c>
      <x:c r="AB6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8" s="68" t="str">
        <x:v>当“原药已完成扶抑、通关、调候或救格，继续增强开始损伤另一端”成立，且硬约束与主次证据清晰时，可按本规则裁决。</x:v>
      </x:c>
      <x:c r="AD68" s="90" t="str">
        <x:v>若冲突双方并未同时有效，或“其中一方只是名义候选、已经失效或不作用于主要矛盾”成立，不得套用本规则制造假冲突。</x:v>
      </x:c>
      <x:c r="AE68" s="82" t="str">
        <x:v>采用</x:v>
      </x:c>
      <x:c r="AF68" s="82" t="str">
        <x:v>初审</x:v>
      </x:c>
      <x:c r="AG68" s="87" t="n">
        <x:v>46260</x:v>
      </x:c>
    </x:row>
    <x:row r="69">
      <x:c r="A69" s="72" t="str">
        <x:f>IF(OR(C69="",D69=""),"",B69&amp;"-"&amp;UPPER(C69)&amp;"-"&amp;TEXT(D69,"0000")&amp;"-"&amp;E69)</x:f>
        <x:v>M18-DOSE-0063-V1.0</x:v>
      </x:c>
      <x:c r="B69" s="74" t="str">
        <x:v>M18</x:v>
      </x:c>
      <x:c r="C69" s="74" t="str">
        <x:v>DOSE</x:v>
      </x:c>
      <x:c r="D69" s="215" t="n">
        <x:v>63</x:v>
      </x:c>
      <x:c r="E69" s="74" t="str">
        <x:v>V1.0</x:v>
      </x:c>
      <x:c r="F69" s="68" t="str">
        <x:v>药力弱只能作为辅助或条件性候选</x:v>
      </x:c>
      <x:c r="G69" s="82" t="str">
        <x:v>综合层</x:v>
      </x:c>
      <x:c r="H69" s="68" t="str">
        <x:v>药力不足与主次定位冲突</x:v>
      </x:c>
      <x:c r="I69" s="68" t="str">
        <x:v>M16-DOSE-0087-V1.0</x:v>
      </x:c>
      <x:c r="J69" s="68" t="str">
        <x:v>药神无根无源只能形成名义药力</x:v>
      </x:c>
      <x:c r="K69" s="68" t="str">
        <x:v>M17-RANK-0085-V1.0</x:v>
      </x:c>
      <x:c r="L69" s="68" t="str">
        <x:v>主用神必须解决根本主病或最高硬约束</x:v>
      </x:c>
      <x:c r="M69" s="68" t="str">
        <x:v>某五行理论能治根本病，但实际只具弱救应或局部作用</x:v>
      </x:c>
      <x:c r="N69" s="68" t="str">
        <x:v>主用要求能够实际修复根本病的主要部分</x:v>
      </x:c>
      <x:c r="O69" s="68" t="str">
        <x:v>按实际药效而不是理论药理定主次</x:v>
      </x:c>
      <x:c r="P69" s="68" t="str">
        <x:v>有力直接药神优先</x:v>
      </x:c>
      <x:c r="Q69" s="68" t="str">
        <x:v>弱药降为辅助用神、条件性喜神或待定</x:v>
      </x:c>
      <x:c r="R69" s="84" t="str">
        <x:v>弱药降级</x:v>
      </x:c>
      <x:c r="S69" s="68" t="str">
        <x:v>冲突双方均有有效证据且作用于同一原局</x:v>
      </x:c>
      <x:c r="T69" s="68" t="str">
        <x:v>其中一方只是名义候选、已经失效或不作用于主要矛盾</x:v>
      </x:c>
      <x:c r="U69" s="68" t="str">
        <x:v>若被降级一方实际承担不可替代功能，应重新进入本规则复审</x:v>
      </x:c>
      <x:c r="V69" s="68" t="str">
        <x:v>证据接近或存在流派争议时保留并列候选并降低置信度</x:v>
      </x:c>
      <x:c r="W69" s="90" t="str">
        <x:v>如需另一五行生扶弱药，明确主药与辅助药角色，避免主次倒置</x:v>
      </x:c>
      <x:c r="X69" s="84" t="str">
        <x:v>弱药降级</x:v>
      </x:c>
      <x:c r="Y69" s="84" t="str">
        <x:v>冲突主题：药力不足与主次定位冲突。裁决结果为“弱药降级”；优先采用：有力直接药神优先；降级处理：弱药降为辅助用神、条件性喜神或待定。同时控制副作用：如需另一五行生扶弱药，明确主药与辅助药角色，避免主次倒置。</x:v>
      </x:c>
      <x:c r="Z69" s="82" t="str">
        <x:v>较高</x:v>
      </x:c>
      <x:c r="AA69" s="82" t="str">
        <x:v>现代综合</x:v>
      </x:c>
      <x:c r="AB6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9" s="68" t="str">
        <x:v>当“某五行理论能治根本病，但实际只具弱救应或局部作用”成立，且硬约束与主次证据清晰时，可按本规则裁决。</x:v>
      </x:c>
      <x:c r="AD69" s="90" t="str">
        <x:v>若冲突双方并未同时有效，或“其中一方只是名义候选、已经失效或不作用于主要矛盾”成立，不得套用本规则制造假冲突。</x:v>
      </x:c>
      <x:c r="AE69" s="82" t="str">
        <x:v>采用</x:v>
      </x:c>
      <x:c r="AF69" s="82" t="str">
        <x:v>初审</x:v>
      </x:c>
      <x:c r="AG69" s="87" t="n">
        <x:v>46260</x:v>
      </x:c>
    </x:row>
    <x:row r="70">
      <x:c r="A70" s="72" t="str">
        <x:f>IF(OR(C70="",D70=""),"",B70&amp;"-"&amp;UPPER(C70)&amp;"-"&amp;TEXT(D70,"0000")&amp;"-"&amp;E70)</x:f>
        <x:v>M18-DOSE-0064-V1.0</x:v>
      </x:c>
      <x:c r="B70" s="74" t="str">
        <x:v>M18</x:v>
      </x:c>
      <x:c r="C70" s="74" t="str">
        <x:v>DOSE</x:v>
      </x:c>
      <x:c r="D70" s="215" t="n">
        <x:v>64</x:v>
      </x:c>
      <x:c r="E70" s="74" t="str">
        <x:v>V1.0</x:v>
      </x:c>
      <x:c r="F70" s="68" t="str">
        <x:v>辅助药强于主药并改变主轴时应重新定主辅</x:v>
      </x:c>
      <x:c r="G70" s="82" t="str">
        <x:v>综合层</x:v>
      </x:c>
      <x:c r="H70" s="68" t="str">
        <x:v>主辅容量和路线协同</x:v>
      </x:c>
      <x:c r="I70" s="68" t="str">
        <x:v>M17-RANK-0086-V1.0</x:v>
      </x:c>
      <x:c r="J70" s="68" t="str">
        <x:v>辅助用神应服务主用而不得反客为主</x:v>
      </x:c>
      <x:c r="K70" s="68" t="str">
        <x:v>M16-PATTERN-0061-V1.0</x:v>
      </x:c>
      <x:c r="L70" s="68" t="str">
        <x:v>救应过度会破坏格局比例</x:v>
      </x:c>
      <x:c r="M70" s="68" t="str">
        <x:v>辅助药力量过强，开始主导全局、压制主药或改变格局方向</x:v>
      </x:c>
      <x:c r="N70" s="68" t="str">
        <x:v>辅助药不能制造比原病更严重的新主病或夺取核心格神地位</x:v>
      </x:c>
      <x:c r="O70" s="68" t="str">
        <x:v>主辅角色按实际功能和力量重新判定，而非沿用名称</x:v>
      </x:c>
      <x:c r="P70" s="68" t="str">
        <x:v>真正解决根本病的一方保留主用地位</x:v>
      </x:c>
      <x:c r="Q70" s="68" t="str">
        <x:v>过强辅助药降级、限量，或重定为新主用并重新计算全局</x:v>
      </x:c>
      <x:c r="R70" s="84" t="str">
        <x:v>主辅重定</x:v>
      </x:c>
      <x:c r="S70" s="68" t="str">
        <x:v>冲突双方均有有效证据且作用于同一原局</x:v>
      </x:c>
      <x:c r="T70" s="68" t="str">
        <x:v>其中一方只是名义候选、已经失效或不作用于主要矛盾</x:v>
      </x:c>
      <x:c r="U70" s="68" t="str">
        <x:v>若被降级一方实际承担不可替代功能，应重新进入本规则复审</x:v>
      </x:c>
      <x:c r="V70" s="68" t="str">
        <x:v>证据接近或存在流派争议时保留并列候选并降低置信度</x:v>
      </x:c>
      <x:c r="W70" s="90" t="str">
        <x:v>检查辅助药过强后的制化、旺衰和格局改写</x:v>
      </x:c>
      <x:c r="X70" s="84" t="str">
        <x:v>辅助反客重定</x:v>
      </x:c>
      <x:c r="Y70" s="84" t="str">
        <x:v>冲突主题：主辅容量和路线协同。裁决结果为“主辅重定”；优先采用：真正解决根本病的一方保留主用地位；降级处理：过强辅助药降级、限量，或重定为新主用并重新计算全局。同时控制副作用：检查辅助药过强后的制化、旺衰和格局改写。</x:v>
      </x:c>
      <x:c r="Z70" s="82" t="str">
        <x:v>较高</x:v>
      </x:c>
      <x:c r="AA70" s="82" t="str">
        <x:v>现代综合</x:v>
      </x:c>
      <x:c r="AB7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0" s="68" t="str">
        <x:v>当“辅助药力量过强，开始主导全局、压制主药或改变格局方向”成立，且硬约束与主次证据清晰时，可按本规则裁决。</x:v>
      </x:c>
      <x:c r="AD70" s="90" t="str">
        <x:v>若冲突双方并未同时有效，或“其中一方只是名义候选、已经失效或不作用于主要矛盾”成立，不得套用本规则制造假冲突。</x:v>
      </x:c>
      <x:c r="AE70" s="82" t="str">
        <x:v>采用</x:v>
      </x:c>
      <x:c r="AF70" s="82" t="str">
        <x:v>初审</x:v>
      </x:c>
      <x:c r="AG70" s="87" t="n">
        <x:v>46260</x:v>
      </x:c>
    </x:row>
    <x:row r="71">
      <x:c r="A71" s="72" t="str">
        <x:f>IF(OR(C71="",D71=""),"",B71&amp;"-"&amp;UPPER(C71)&amp;"-"&amp;TEXT(D71,"0000")&amp;"-"&amp;E71)</x:f>
        <x:v>M18-DOSE-0065-V1.0</x:v>
      </x:c>
      <x:c r="B71" s="74" t="str">
        <x:v>M18</x:v>
      </x:c>
      <x:c r="C71" s="74" t="str">
        <x:v>DOSE</x:v>
      </x:c>
      <x:c r="D71" s="215" t="n">
        <x:v>65</x:v>
      </x:c>
      <x:c r="E71" s="74" t="str">
        <x:v>V1.0</x:v>
      </x:c>
      <x:c r="F71" s="68" t="str">
        <x:v>多药争夺同一节点时优先保留主路线</x:v>
      </x:c>
      <x:c r="G71" s="82" t="str">
        <x:v>综合层</x:v>
      </x:c>
      <x:c r="H71" s="68" t="str">
        <x:v>多药容量竞争</x:v>
      </x:c>
      <x:c r="I71" s="68" t="str">
        <x:v>M16-DOSE-0095-V1.0</x:v>
      </x:c>
      <x:c r="J71" s="68" t="str">
        <x:v>多药同时作用同一节点会发生容量竞争</x:v>
      </x:c>
      <x:c r="K71" s="68" t="str">
        <x:v>M18-MED-0048-V1.0</x:v>
      </x:c>
      <x:c r="L71" s="68" t="str">
        <x:v>同一病位多条药路应择一主路线</x:v>
      </x:c>
      <x:c r="M71" s="68" t="str">
        <x:v>两个以上药神或药理共享同一印、食、财、官杀或桥梁节点</x:v>
      </x:c>
      <x:c r="N71" s="68" t="str">
        <x:v>共享节点的有效容量不能被多条路线重复全额调用</x:v>
      </x:c>
      <x:c r="O71" s="68" t="str">
        <x:v>优先保留直接治疗根本病且副作用较小的主路线</x:v>
      </x:c>
      <x:c r="P71" s="68" t="str">
        <x:v>主路线药神优先</x:v>
      </x:c>
      <x:c r="Q71" s="68" t="str">
        <x:v>次路线降为辅助、替代或不采用</x:v>
      </x:c>
      <x:c r="R71" s="84" t="str">
        <x:v>药路去重</x:v>
      </x:c>
      <x:c r="S71" s="68" t="str">
        <x:v>冲突双方均有有效证据且作用于同一原局</x:v>
      </x:c>
      <x:c r="T71" s="68" t="str">
        <x:v>其中一方只是名义候选、已经失效或不作用于主要矛盾</x:v>
      </x:c>
      <x:c r="U71" s="68" t="str">
        <x:v>若被降级一方实际承担不可替代功能，应重新进入本规则复审</x:v>
      </x:c>
      <x:c r="V71" s="68" t="str">
        <x:v>证据接近或存在流派争议时保留并列候选并降低置信度</x:v>
      </x:c>
      <x:c r="W71" s="90" t="str">
        <x:v>防止制化两立、桥梁过载和药力分散</x:v>
      </x:c>
      <x:c r="X71" s="84" t="str">
        <x:v>多药容量去重</x:v>
      </x:c>
      <x:c r="Y71" s="84" t="str">
        <x:v>冲突主题：多药容量竞争。裁决结果为“药路去重”；优先采用：主路线药神优先；降级处理：次路线降为辅助、替代或不采用。同时控制副作用：防止制化两立、桥梁过载和药力分散。</x:v>
      </x:c>
      <x:c r="Z71" s="82" t="str">
        <x:v>较高</x:v>
      </x:c>
      <x:c r="AA71" s="82" t="str">
        <x:v>现代综合</x:v>
      </x:c>
      <x:c r="AB7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1" s="68" t="str">
        <x:v>当“两个以上药神或药理共享同一印、食、财、官杀或桥梁节点”成立，且硬约束与主次证据清晰时，可按本规则裁决。</x:v>
      </x:c>
      <x:c r="AD71" s="90" t="str">
        <x:v>若冲突双方并未同时有效，或“其中一方只是名义候选、已经失效或不作用于主要矛盾”成立，不得套用本规则制造假冲突。</x:v>
      </x:c>
      <x:c r="AE71" s="82" t="str">
        <x:v>采用</x:v>
      </x:c>
      <x:c r="AF71" s="82" t="str">
        <x:v>初审</x:v>
      </x:c>
      <x:c r="AG71" s="87" t="n">
        <x:v>46260</x:v>
      </x:c>
    </x:row>
    <x:row r="72">
      <x:c r="A72" s="72" t="str">
        <x:f>IF(OR(C72="",D72=""),"",B72&amp;"-"&amp;UPPER(C72)&amp;"-"&amp;TEXT(D72,"0000")&amp;"-"&amp;E72)</x:f>
        <x:v>M18-DOSE-0066-V1.0</x:v>
      </x:c>
      <x:c r="B72" s="74" t="str">
        <x:v>M18</x:v>
      </x:c>
      <x:c r="C72" s="74" t="str">
        <x:v>DOSE</x:v>
      </x:c>
      <x:c r="D72" s="215" t="n">
        <x:v>66</x:v>
      </x:c>
      <x:c r="E72" s="74" t="str">
        <x:v>V1.0</x:v>
      </x:c>
      <x:c r="F72" s="68" t="str">
        <x:v>一药多效升级后必须设置总药量上限</x:v>
      </x:c>
      <x:c r="G72" s="82" t="str">
        <x:v>综合层</x:v>
      </x:c>
      <x:c r="H72" s="68" t="str">
        <x:v>多维同向与药力集中冲突</x:v>
      </x:c>
      <x:c r="I72" s="68" t="str">
        <x:v>M18-MED-0045-V1.0</x:v>
      </x:c>
      <x:c r="J72" s="68" t="str">
        <x:v>一药多效且证据独立时可升级主用</x:v>
      </x:c>
      <x:c r="K72" s="68" t="str">
        <x:v>M16-DOSE-0091-V1.0</x:v>
      </x:c>
      <x:c r="L72" s="68" t="str">
        <x:v>药力过量会形成反向病</x:v>
      </x:c>
      <x:c r="M72" s="68" t="str">
        <x:v>同一五行同时承担扶抑、格局、通关、调候和病药多项职责</x:v>
      </x:c>
      <x:c r="N72" s="68" t="str">
        <x:v>多项职责共享同一药力，不等于需要按职责数量叠加剂量</x:v>
      </x:c>
      <x:c r="O72" s="68" t="str">
        <x:v>一药多效提高优先级，不提高无上限的强度</x:v>
      </x:c>
      <x:c r="P72" s="68" t="str">
        <x:v>最小能够覆盖核心职责的有效强度优先</x:v>
      </x:c>
      <x:c r="Q72" s="68" t="str">
        <x:v>超过总药量上限后转条件性、减量或由喜转忌</x:v>
      </x:c>
      <x:c r="R72" s="84" t="str">
        <x:v>多效限量</x:v>
      </x:c>
      <x:c r="S72" s="68" t="str">
        <x:v>冲突双方均有有效证据且作用于同一原局</x:v>
      </x:c>
      <x:c r="T72" s="68" t="str">
        <x:v>其中一方只是名义候选、已经失效或不作用于主要矛盾</x:v>
      </x:c>
      <x:c r="U72" s="68" t="str">
        <x:v>若被降级一方实际承担不可替代功能，应重新进入本规则复审</x:v>
      </x:c>
      <x:c r="V72" s="68" t="str">
        <x:v>证据接近或存在流派争议时保留并列候选并降低置信度</x:v>
      </x:c>
      <x:c r="W72" s="90" t="str">
        <x:v>按最敏感副作用设置上限，而不是按收益数量加码</x:v>
      </x:c>
      <x:c r="X72" s="84" t="str">
        <x:v>一药多效剂量控制</x:v>
      </x:c>
      <x:c r="Y72" s="84" t="str">
        <x:v>冲突主题：多维同向与药力集中冲突。裁决结果为“多效限量”；优先采用：最小能够覆盖核心职责的有效强度优先；降级处理：超过总药量上限后转条件性、减量或由喜转忌。同时控制副作用：按最敏感副作用设置上限，而不是按收益数量加码。</x:v>
      </x:c>
      <x:c r="Z72" s="82" t="str">
        <x:v>较高</x:v>
      </x:c>
      <x:c r="AA72" s="82" t="str">
        <x:v>现代综合</x:v>
      </x:c>
      <x:c r="AB7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2" s="68" t="str">
        <x:v>当“同一五行同时承担扶抑、格局、通关、调候和病药多项职责”成立，且硬约束与主次证据清晰时，可按本规则裁决。</x:v>
      </x:c>
      <x:c r="AD72" s="90" t="str">
        <x:v>若冲突双方并未同时有效，或“其中一方只是名义候选、已经失效或不作用于主要矛盾”成立，不得套用本规则制造假冲突。</x:v>
      </x:c>
      <x:c r="AE72" s="82" t="str">
        <x:v>采用</x:v>
      </x:c>
      <x:c r="AF72" s="82" t="str">
        <x:v>初审</x:v>
      </x:c>
      <x:c r="AG72" s="87" t="n">
        <x:v>46260</x:v>
      </x:c>
    </x:row>
    <x:row r="73">
      <x:c r="A73" s="72" t="str">
        <x:f>IF(OR(C73="",D73=""),"",B73&amp;"-"&amp;UPPER(C73)&amp;"-"&amp;TEXT(D73,"0000")&amp;"-"&amp;E73)</x:f>
        <x:v>M18-DOSE-0067-V1.0</x:v>
      </x:c>
      <x:c r="B73" s="74" t="str">
        <x:v>M18</x:v>
      </x:c>
      <x:c r="C73" s="74" t="str">
        <x:v>DOSE</x:v>
      </x:c>
      <x:c r="D73" s="215" t="n">
        <x:v>67</x:v>
      </x:c>
      <x:c r="E73" s="74" t="str">
        <x:v>V1.0</x:v>
      </x:c>
      <x:c r="F73" s="68" t="str">
        <x:v>治一病同时产生同级新病时只可条件采用</x:v>
      </x:c>
      <x:c r="G73" s="82" t="str">
        <x:v>综合层</x:v>
      </x:c>
      <x:c r="H73" s="68" t="str">
        <x:v>治病收益与同级新病冲突</x:v>
      </x:c>
      <x:c r="I73" s="68" t="str">
        <x:v>M17-GEN-0007-V1.0</x:v>
      </x:c>
      <x:c r="J73" s="68" t="str">
        <x:v>能治病但制造同级新病时保持条件性</x:v>
      </x:c>
      <x:c r="K73" s="68" t="str">
        <x:v>M16-DOSE-0093-V1.0</x:v>
      </x:c>
      <x:c r="L73" s="68" t="str">
        <x:v>药神可能解决一病却恶化另一维度</x:v>
      </x:c>
      <x:c r="M73" s="68" t="str">
        <x:v>原病与新病严重度接近，且没有完全无副作用的替代方案</x:v>
      </x:c>
      <x:c r="N73" s="68" t="str">
        <x:v>必须能通过剂量、辅助药或路径限制控制新病</x:v>
      </x:c>
      <x:c r="O73" s="68" t="str">
        <x:v>按可控净收益决定是否条件采用</x:v>
      </x:c>
      <x:c r="P73" s="68" t="str">
        <x:v>新病可控且原病更直接者优先</x:v>
      </x:c>
      <x:c r="Q73" s="68" t="str">
        <x:v>定为条件性喜神或条件性辅助，不列无条件主用</x:v>
      </x:c>
      <x:c r="R73" s="84" t="str">
        <x:v>同级新病条件裁决</x:v>
      </x:c>
      <x:c r="S73" s="68" t="str">
        <x:v>冲突双方均有有效证据且作用于同一原局</x:v>
      </x:c>
      <x:c r="T73" s="68" t="str">
        <x:v>其中一方只是名义候选、已经失效或不作用于主要矛盾</x:v>
      </x:c>
      <x:c r="U73" s="68" t="str">
        <x:v>若被降级一方实际承担不可替代功能，应重新进入本规则复审</x:v>
      </x:c>
      <x:c r="V73" s="68" t="str">
        <x:v>证据接近或存在流派争议时保留并列候选并降低置信度</x:v>
      </x:c>
      <x:c r="W73" s="90" t="str">
        <x:v>明确新病监测对象、转忌阈值和替代方案</x:v>
      </x:c>
      <x:c r="X73" s="84" t="str">
        <x:v>同级药害条件化</x:v>
      </x:c>
      <x:c r="Y73" s="84" t="str">
        <x:v>冲突主题：治病收益与同级新病冲突。裁决结果为“同级新病条件裁决”；优先采用：新病可控且原病更直接者优先；降级处理：定为条件性喜神或条件性辅助，不列无条件主用。同时控制副作用：明确新病监测对象、转忌阈值和替代方案。</x:v>
      </x:c>
      <x:c r="Z73" s="82" t="str">
        <x:v>较高</x:v>
      </x:c>
      <x:c r="AA73" s="82" t="str">
        <x:v>现代综合</x:v>
      </x:c>
      <x:c r="AB7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3" s="68" t="str">
        <x:v>当“原病与新病严重度接近，且没有完全无副作用的替代方案”成立，且硬约束与主次证据清晰时，可按本规则裁决。</x:v>
      </x:c>
      <x:c r="AD73" s="90" t="str">
        <x:v>若冲突双方并未同时有效，或“其中一方只是名义候选、已经失效或不作用于主要矛盾”成立，不得套用本规则制造假冲突。</x:v>
      </x:c>
      <x:c r="AE73" s="82" t="str">
        <x:v>采用</x:v>
      </x:c>
      <x:c r="AF73" s="82" t="str">
        <x:v>初审</x:v>
      </x:c>
      <x:c r="AG73" s="87" t="n">
        <x:v>46260</x:v>
      </x:c>
    </x:row>
    <x:row r="74">
      <x:c r="A74" s="72" t="str">
        <x:f>IF(OR(C74="",D74=""),"",B74&amp;"-"&amp;UPPER(C74)&amp;"-"&amp;TEXT(D74,"0000")&amp;"-"&amp;E74)</x:f>
        <x:v>M18-DOSE-0068-V1.0</x:v>
      </x:c>
      <x:c r="B74" s="74" t="str">
        <x:v>M18</x:v>
      </x:c>
      <x:c r="C74" s="74" t="str">
        <x:v>DOSE</x:v>
      </x:c>
      <x:c r="D74" s="215" t="n">
        <x:v>68</x:v>
      </x:c>
      <x:c r="E74" s="74" t="str">
        <x:v>V1.0</x:v>
      </x:c>
      <x:c r="F74" s="68" t="str">
        <x:v>新病严重度高于原病时直接否决原药</x:v>
      </x:c>
      <x:c r="G74" s="82" t="str">
        <x:v>综合层</x:v>
      </x:c>
      <x:c r="H74" s="68" t="str">
        <x:v>治病收益与更严重药害冲突</x:v>
      </x:c>
      <x:c r="I74" s="68" t="str">
        <x:v>M18-MED-0044-V1.0</x:v>
      </x:c>
      <x:c r="J74" s="68" t="str">
        <x:v>治一病而产生更严重的新病时否决该药</x:v>
      </x:c>
      <x:c r="K74" s="68" t="str">
        <x:v>M17-RANK-0091-V1.0</x:v>
      </x:c>
      <x:c r="L74" s="68" t="str">
        <x:v>稳定加重根本病或破坏核心结构者为忌神</x:v>
      </x:c>
      <x:c r="M74" s="68" t="str">
        <x:v>候选药神的副作用触发根本破格、首要调候病、严重承载病或主路径崩溃</x:v>
      </x:c>
      <x:c r="N74" s="68" t="str">
        <x:v>更严重的新病或根本破格属于否决条件</x:v>
      </x:c>
      <x:c r="O74" s="68" t="str">
        <x:v>不以较小局部收益交换更大结构损害</x:v>
      </x:c>
      <x:c r="P74" s="68" t="str">
        <x:v>寻找替代药路或接受原次病而保护主结构</x:v>
      </x:c>
      <x:c r="Q74" s="68" t="str">
        <x:v>该药定为忌神；若还生助其他忌神则可定仇神</x:v>
      </x:c>
      <x:c r="R74" s="84" t="str">
        <x:v>严重药害否决</x:v>
      </x:c>
      <x:c r="S74" s="68" t="str">
        <x:v>冲突双方均有有效证据且作用于同一原局</x:v>
      </x:c>
      <x:c r="T74" s="68" t="str">
        <x:v>其中一方只是名义候选、已经失效或不作用于主要矛盾</x:v>
      </x:c>
      <x:c r="U74" s="68" t="str">
        <x:v>若被降级一方实际承担不可替代功能，应重新进入本规则复审</x:v>
      </x:c>
      <x:c r="V74" s="68" t="str">
        <x:v>证据接近或存在流派争议时保留并列候选并降低置信度</x:v>
      </x:c>
      <x:c r="W74" s="90" t="str">
        <x:v>记录为什么宁可保留原次病，也不采用该药</x:v>
      </x:c>
      <x:c r="X74" s="84" t="str">
        <x:v>更重药害定忌</x:v>
      </x:c>
      <x:c r="Y74" s="84" t="str">
        <x:v>冲突主题：治病收益与更严重药害冲突。裁决结果为“严重药害否决”；优先采用：寻找替代药路或接受原次病而保护主结构；降级处理：该药定为忌神；若还生助其他忌神则可定仇神。同时控制副作用：记录为什么宁可保留原次病，也不采用该药。</x:v>
      </x:c>
      <x:c r="Z74" s="82" t="str">
        <x:v>较高</x:v>
      </x:c>
      <x:c r="AA74" s="82" t="str">
        <x:v>现代综合</x:v>
      </x:c>
      <x:c r="AB7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4" s="68" t="str">
        <x:v>当“候选药神的副作用触发根本破格、首要调候病、严重承载病或主路径崩溃”成立，且硬约束与主次证据清晰时，可按本规则裁决。</x:v>
      </x:c>
      <x:c r="AD74" s="90" t="str">
        <x:v>若冲突双方并未同时有效，或“其中一方只是名义候选、已经失效或不作用于主要矛盾”成立，不得套用本规则制造假冲突。</x:v>
      </x:c>
      <x:c r="AE74" s="82" t="str">
        <x:v>采用</x:v>
      </x:c>
      <x:c r="AF74" s="82" t="str">
        <x:v>初审</x:v>
      </x:c>
      <x:c r="AG74" s="87" t="n">
        <x:v>46260</x:v>
      </x:c>
    </x:row>
    <x:row r="75">
      <x:c r="A75" s="72" t="str">
        <x:f>IF(OR(C75="",D75=""),"",B75&amp;"-"&amp;UPPER(C75)&amp;"-"&amp;TEXT(D75,"0000")&amp;"-"&amp;E75)</x:f>
        <x:v>M18-RANK-0069-V1.0</x:v>
      </x:c>
      <x:c r="B75" s="74" t="str">
        <x:v>M18</x:v>
      </x:c>
      <x:c r="C75" s="74" t="str">
        <x:v>RANK</x:v>
      </x:c>
      <x:c r="D75" s="215" t="n">
        <x:v>69</x:v>
      </x:c>
      <x:c r="E75" s="74" t="str">
        <x:v>V1.0</x:v>
      </x:c>
      <x:c r="F75" s="68" t="str">
        <x:v>主用神须通过无硬否决的最终审查</x:v>
      </x:c>
      <x:c r="G75" s="82" t="str">
        <x:v>综合层</x:v>
      </x:c>
      <x:c r="H75" s="68" t="str">
        <x:v>最终主用需确认无硬否决</x:v>
      </x:c>
      <x:c r="I75" s="68" t="str">
        <x:v>M17-RANK-0085-V1.0</x:v>
      </x:c>
      <x:c r="J75" s="68" t="str">
        <x:v>主用神必须解决根本主病或最高优先级硬约束</x:v>
      </x:c>
      <x:c r="K75" s="68" t="str">
        <x:v>M18-GEN-0001-V1.0</x:v>
      </x:c>
      <x:c r="L75" s="68" t="str">
        <x:v>硬约束优先于一般收益</x:v>
      </x:c>
      <x:c r="M75" s="68" t="str">
        <x:v>M17已提出主用候选，但尚有格局、调候、药害或特殊格局冲突</x:v>
      </x:c>
      <x:c r="N75" s="68" t="str">
        <x:v>不得触发根本破格、更严重的新病或药力失效</x:v>
      </x:c>
      <x:c r="O75" s="68" t="str">
        <x:v>主用候选需通过硬约束、药力、净收益和剂量四项审查</x:v>
      </x:c>
      <x:c r="P75" s="68" t="str">
        <x:v>通过全部审查且不可替代者确认为第一顺位</x:v>
      </x:c>
      <x:c r="Q75" s="68" t="str">
        <x:v>未通过者降为辅助、条件性喜神、待定或忌神</x:v>
      </x:c>
      <x:c r="R75" s="84" t="str">
        <x:v>主用最终确认</x:v>
      </x:c>
      <x:c r="S75" s="68" t="str">
        <x:v>冲突双方均有有效证据且作用于同一原局</x:v>
      </x:c>
      <x:c r="T75" s="68" t="str">
        <x:v>其中一方只是名义候选、已经失效或不作用于主要矛盾</x:v>
      </x:c>
      <x:c r="U75" s="68" t="str">
        <x:v>若被降级一方实际承担不可替代功能，应重新进入本规则复审</x:v>
      </x:c>
      <x:c r="V75" s="68" t="str">
        <x:v>证据接近或存在流派争议时保留并列候选并降低置信度</x:v>
      </x:c>
      <x:c r="W75" s="90" t="str">
        <x:v>输出主用成立条件、转忌条件和替代方案</x:v>
      </x:c>
      <x:c r="X75" s="84" t="str">
        <x:v>主用最终审查</x:v>
      </x:c>
      <x:c r="Y75" s="84" t="str">
        <x:v>冲突主题：最终主用需确认无硬否决。裁决结果为“主用最终确认”；优先采用：通过全部审查且不可替代者确认为第一顺位；降级处理：未通过者降为辅助、条件性喜神、待定或忌神。同时控制副作用：输出主用成立条件、转忌条件和替代方案。</x:v>
      </x:c>
      <x:c r="Z75" s="82" t="str">
        <x:v>较高</x:v>
      </x:c>
      <x:c r="AA75" s="82" t="str">
        <x:v>现代综合</x:v>
      </x:c>
      <x:c r="AB7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5" s="68" t="str">
        <x:v>当“M17已提出主用候选，但尚有格局、调候、药害或特殊格局冲突”成立，且硬约束与主次证据清晰时，可按本规则裁决。</x:v>
      </x:c>
      <x:c r="AD75" s="90" t="str">
        <x:v>若冲突双方并未同时有效，或“其中一方只是名义候选、已经失效或不作用于主要矛盾”成立，不得套用本规则制造假冲突。</x:v>
      </x:c>
      <x:c r="AE75" s="82" t="str">
        <x:v>采用</x:v>
      </x:c>
      <x:c r="AF75" s="82" t="str">
        <x:v>初审</x:v>
      </x:c>
      <x:c r="AG75" s="87" t="n">
        <x:v>46260</x:v>
      </x:c>
    </x:row>
    <x:row r="76">
      <x:c r="A76" s="72" t="str">
        <x:f>IF(OR(C76="",D76=""),"",B76&amp;"-"&amp;UPPER(C76)&amp;"-"&amp;TEXT(D76,"0000")&amp;"-"&amp;E76)</x:f>
        <x:v>M18-RANK-0070-V1.0</x:v>
      </x:c>
      <x:c r="B76" s="74" t="str">
        <x:v>M18</x:v>
      </x:c>
      <x:c r="C76" s="74" t="str">
        <x:v>RANK</x:v>
      </x:c>
      <x:c r="D76" s="215" t="n">
        <x:v>70</x:v>
      </x:c>
      <x:c r="E76" s="74" t="str">
        <x:v>V1.0</x:v>
      </x:c>
      <x:c r="F76" s="68" t="str">
        <x:v>辅助用神按协同与容量确定第二顺位</x:v>
      </x:c>
      <x:c r="G76" s="82" t="str">
        <x:v>综合层</x:v>
      </x:c>
      <x:c r="H76" s="68" t="str">
        <x:v>主辅容量和路线协同</x:v>
      </x:c>
      <x:c r="I76" s="68" t="str">
        <x:v>M17-RANK-0086-V1.0</x:v>
      </x:c>
      <x:c r="J76" s="68" t="str">
        <x:v>辅助用神应服务主用并完成次级关键环节</x:v>
      </x:c>
      <x:c r="K76" s="68" t="str">
        <x:v>M18-DOSE-0064-V1.0</x:v>
      </x:c>
      <x:c r="L76" s="68" t="str">
        <x:v>辅助药反客为主时需重定主辅</x:v>
      </x:c>
      <x:c r="M76" s="68" t="str">
        <x:v>多个候选都可帮助主用，但协同路径、容量和副作用不同</x:v>
      </x:c>
      <x:c r="N76" s="68" t="str">
        <x:v>辅助必须与主用有直接协同，不得破坏主药或核心格局</x:v>
      </x:c>
      <x:c r="O76" s="68" t="str">
        <x:v>按护药、补桥、承载和副作用控制的必要性排序</x:v>
      </x:c>
      <x:c r="P76" s="68" t="str">
        <x:v>不可替代且药力适中的协同者列第二顺位</x:v>
      </x:c>
      <x:c r="Q76" s="68" t="str">
        <x:v>可替代、弱效或副作用大的候选降为喜神或不采用</x:v>
      </x:c>
      <x:c r="R76" s="84" t="str">
        <x:v>辅助用神确认</x:v>
      </x:c>
      <x:c r="S76" s="68" t="str">
        <x:v>冲突双方均有有效证据且作用于同一原局</x:v>
      </x:c>
      <x:c r="T76" s="68" t="str">
        <x:v>其中一方只是名义候选、已经失效或不作用于主要矛盾</x:v>
      </x:c>
      <x:c r="U76" s="68" t="str">
        <x:v>若被降级一方实际承担不可替代功能，应重新进入本规则复审</x:v>
      </x:c>
      <x:c r="V76" s="68" t="str">
        <x:v>证据接近或存在流派争议时保留并列候选并降低置信度</x:v>
      </x:c>
      <x:c r="W76" s="90" t="str">
        <x:v>限制辅助强度并避免多个辅助共享节点过载</x:v>
      </x:c>
      <x:c r="X76" s="84" t="str">
        <x:v>辅助用神最终审查</x:v>
      </x:c>
      <x:c r="Y76" s="84" t="str">
        <x:v>冲突主题：主辅容量和路线协同。裁决结果为“辅助用神确认”；优先采用：不可替代且药力适中的协同者列第二顺位；降级处理：可替代、弱效或副作用大的候选降为喜神或不采用。同时控制副作用：限制辅助强度并避免多个辅助共享节点过载。</x:v>
      </x:c>
      <x:c r="Z76" s="82" t="str">
        <x:v>较高</x:v>
      </x:c>
      <x:c r="AA76" s="82" t="str">
        <x:v>现代综合</x:v>
      </x:c>
      <x:c r="AB7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6" s="68" t="str">
        <x:v>当“多个候选都可帮助主用，但协同路径、容量和副作用不同”成立，且硬约束与主次证据清晰时，可按本规则裁决。</x:v>
      </x:c>
      <x:c r="AD76" s="90" t="str">
        <x:v>若冲突双方并未同时有效，或“其中一方只是名义候选、已经失效或不作用于主要矛盾”成立，不得套用本规则制造假冲突。</x:v>
      </x:c>
      <x:c r="AE76" s="82" t="str">
        <x:v>采用</x:v>
      </x:c>
      <x:c r="AF76" s="82" t="str">
        <x:v>初审</x:v>
      </x:c>
      <x:c r="AG76" s="87" t="n">
        <x:v>46260</x:v>
      </x:c>
    </x:row>
    <x:row r="77">
      <x:c r="A77" s="72" t="str">
        <x:f>IF(OR(C77="",D77=""),"",B77&amp;"-"&amp;UPPER(C77)&amp;"-"&amp;TEXT(D77,"0000")&amp;"-"&amp;E77)</x:f>
        <x:v>M18-RANK-0071-V1.0</x:v>
      </x:c>
      <x:c r="B77" s="74" t="str">
        <x:v>M18</x:v>
      </x:c>
      <x:c r="C77" s="74" t="str">
        <x:v>RANK</x:v>
      </x:c>
      <x:c r="D77" s="215" t="n">
        <x:v>71</x:v>
      </x:c>
      <x:c r="E77" s="74" t="str">
        <x:v>V1.0</x:v>
      </x:c>
      <x:c r="F77" s="68" t="str">
        <x:v>喜神按一般净收益确定第三顺位</x:v>
      </x:c>
      <x:c r="G77" s="82" t="str">
        <x:v>综合层</x:v>
      </x:c>
      <x:c r="H77" s="68" t="str">
        <x:v>一般净收益判断</x:v>
      </x:c>
      <x:c r="I77" s="68" t="str">
        <x:v>M17-RANK-0087-V1.0</x:v>
      </x:c>
      <x:c r="J77" s="68" t="str">
        <x:v>喜神有稳定净收益但不承担根本主药职责</x:v>
      </x:c>
      <x:c r="K77" s="68" t="str">
        <x:v>M18-GEN-0005-V1.0</x:v>
      </x:c>
      <x:c r="L77" s="68" t="str">
        <x:v>局部收益不能抵消更严重伤害</x:v>
      </x:c>
      <x:c r="M77" s="68" t="str">
        <x:v>某五行改善次级结构，其他维度无严重反对，但并非不可替代</x:v>
      </x:c>
      <x:c r="N77" s="68" t="str">
        <x:v>不存在根本破格、严重药害或主病冲突</x:v>
      </x:c>
      <x:c r="O77" s="68" t="str">
        <x:v>稳定正收益且副作用小者列喜神</x:v>
      </x:c>
      <x:c r="P77" s="68" t="str">
        <x:v>在主用和辅助之后列第三顺位</x:v>
      </x:c>
      <x:c r="Q77" s="68" t="str">
        <x:v>收益依赖条件或药量者降为条件性喜神</x:v>
      </x:c>
      <x:c r="R77" s="84" t="str">
        <x:v>喜神确认</x:v>
      </x:c>
      <x:c r="S77" s="68" t="str">
        <x:v>冲突双方均有有效证据且作用于同一原局</x:v>
      </x:c>
      <x:c r="T77" s="68" t="str">
        <x:v>其中一方只是名义候选、已经失效或不作用于主要矛盾</x:v>
      </x:c>
      <x:c r="U77" s="68" t="str">
        <x:v>若被降级一方实际承担不可替代功能，应重新进入本规则复审</x:v>
      </x:c>
      <x:c r="V77" s="68" t="str">
        <x:v>证据接近或存在流派争议时保留并列候选并降低置信度</x:v>
      </x:c>
      <x:c r="W77" s="90" t="str">
        <x:v>注明其改善的次级问题，避免与主用混淆</x:v>
      </x:c>
      <x:c r="X77" s="84" t="str">
        <x:v>喜神最终审查</x:v>
      </x:c>
      <x:c r="Y77" s="84" t="str">
        <x:v>冲突主题：一般净收益判断。裁决结果为“喜神确认”；优先采用：在主用和辅助之后列第三顺位；降级处理：收益依赖条件或药量者降为条件性喜神。同时控制副作用：注明其改善的次级问题，避免与主用混淆。</x:v>
      </x:c>
      <x:c r="Z77" s="82" t="str">
        <x:v>较高</x:v>
      </x:c>
      <x:c r="AA77" s="82" t="str">
        <x:v>现代综合</x:v>
      </x:c>
      <x:c r="AB7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7" s="68" t="str">
        <x:v>当“某五行改善次级结构，其他维度无严重反对，但并非不可替代”成立，且硬约束与主次证据清晰时，可按本规则裁决。</x:v>
      </x:c>
      <x:c r="AD77" s="90" t="str">
        <x:v>若冲突双方并未同时有效，或“其中一方只是名义候选、已经失效或不作用于主要矛盾”成立，不得套用本规则制造假冲突。</x:v>
      </x:c>
      <x:c r="AE77" s="82" t="str">
        <x:v>采用</x:v>
      </x:c>
      <x:c r="AF77" s="82" t="str">
        <x:v>初审</x:v>
      </x:c>
      <x:c r="AG77" s="87" t="n">
        <x:v>46260</x:v>
      </x:c>
    </x:row>
    <x:row r="78">
      <x:c r="A78" s="72" t="str">
        <x:f>IF(OR(C78="",D78=""),"",B78&amp;"-"&amp;UPPER(C78)&amp;"-"&amp;TEXT(D78,"0000")&amp;"-"&amp;E78)</x:f>
        <x:v>M18-RANK-0072-V1.0</x:v>
      </x:c>
      <x:c r="B78" s="74" t="str">
        <x:v>M18</x:v>
      </x:c>
      <x:c r="C78" s="74" t="str">
        <x:v>RANK</x:v>
      </x:c>
      <x:c r="D78" s="215" t="n">
        <x:v>72</x:v>
      </x:c>
      <x:c r="E78" s="74" t="str">
        <x:v>V1.0</x:v>
      </x:c>
      <x:c r="F78" s="68" t="str">
        <x:v>条件性喜神必须能够明确写出触发条件</x:v>
      </x:c>
      <x:c r="G78" s="82" t="str">
        <x:v>综合层</x:v>
      </x:c>
      <x:c r="H78" s="68" t="str">
        <x:v>多维条件化</x:v>
      </x:c>
      <x:c r="I78" s="68" t="str">
        <x:v>M17-RANK-0088-V1.0</x:v>
      </x:c>
      <x:c r="J78" s="68" t="str">
        <x:v>条件性喜神仅在限定结构和剂量下有利</x:v>
      </x:c>
      <x:c r="K78" s="68" t="str">
        <x:v>M18-DOSE-0062-V1.0</x:v>
      </x:c>
      <x:c r="L78" s="68" t="str">
        <x:v>药过平衡点后喜可转忌</x:v>
      </x:c>
      <x:c r="M78" s="68" t="str">
        <x:v>某五行有实质收益，但药力、格局、调候或承载条件变化会使其失效或转害</x:v>
      </x:c>
      <x:c r="N78" s="68" t="str">
        <x:v>必须可明确列出有利条件、不适用条件和转忌阈值</x:v>
      </x:c>
      <x:c r="O78" s="68" t="str">
        <x:v>无法描述条件边界的候选不得模糊标记条件性喜神</x:v>
      </x:c>
      <x:c r="P78" s="68" t="str">
        <x:v>条件满足时按条件顺位采用</x:v>
      </x:c>
      <x:c r="Q78" s="68" t="str">
        <x:v>条件不满足时转中性、条件性忌神或忌神</x:v>
      </x:c>
      <x:c r="R78" s="84" t="str">
        <x:v>条件性喜神确认</x:v>
      </x:c>
      <x:c r="S78" s="68" t="str">
        <x:v>冲突双方均有有效证据且作用于同一原局</x:v>
      </x:c>
      <x:c r="T78" s="68" t="str">
        <x:v>其中一方只是名义候选、已经失效或不作用于主要矛盾</x:v>
      </x:c>
      <x:c r="U78" s="68" t="str">
        <x:v>若被降级一方实际承担不可替代功能，应重新进入本规则复审</x:v>
      </x:c>
      <x:c r="V78" s="68" t="str">
        <x:v>证据接近或存在流派争议时保留并列候选并降低置信度</x:v>
      </x:c>
      <x:c r="W78" s="90" t="str">
        <x:v>标准输出同步写明何时有利、何时转忌</x:v>
      </x:c>
      <x:c r="X78" s="84" t="str">
        <x:v>条件性喜神最终审查</x:v>
      </x:c>
      <x:c r="Y78" s="84" t="str">
        <x:v>冲突主题：多维条件化。裁决结果为“条件性喜神确认”；优先采用：条件满足时按条件顺位采用；降级处理：条件不满足时转中性、条件性忌神或忌神。同时控制副作用：标准输出同步写明何时有利、何时转忌。</x:v>
      </x:c>
      <x:c r="Z78" s="82" t="str">
        <x:v>较高</x:v>
      </x:c>
      <x:c r="AA78" s="82" t="str">
        <x:v>现代综合</x:v>
      </x:c>
      <x:c r="AB7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8" s="68" t="str">
        <x:v>当“某五行有实质收益，但药力、格局、调候或承载条件变化会使其失效或转害”成立，且硬约束与主次证据清晰时，可按本规则裁决。</x:v>
      </x:c>
      <x:c r="AD78" s="90" t="str">
        <x:v>若冲突双方并未同时有效，或“其中一方只是名义候选、已经失效或不作用于主要矛盾”成立，不得套用本规则制造假冲突。</x:v>
      </x:c>
      <x:c r="AE78" s="82" t="str">
        <x:v>采用</x:v>
      </x:c>
      <x:c r="AF78" s="82" t="str">
        <x:v>初审</x:v>
      </x:c>
      <x:c r="AG78" s="87" t="n">
        <x:v>46260</x:v>
      </x:c>
    </x:row>
    <x:row r="79">
      <x:c r="A79" s="72" t="str">
        <x:f>IF(OR(C79="",D79=""),"",B79&amp;"-"&amp;UPPER(C79)&amp;"-"&amp;TEXT(D79,"0000")&amp;"-"&amp;E79)</x:f>
        <x:v>M18-RANK-0073-V1.0</x:v>
      </x:c>
      <x:c r="B79" s="74" t="str">
        <x:v>M18</x:v>
      </x:c>
      <x:c r="C79" s="74" t="str">
        <x:v>RANK</x:v>
      </x:c>
      <x:c r="D79" s="215" t="n">
        <x:v>73</x:v>
      </x:c>
      <x:c r="E79" s="74" t="str">
        <x:v>V1.0</x:v>
      </x:c>
      <x:c r="F79" s="68" t="str">
        <x:v>五维净作用接近零时定位中性</x:v>
      </x:c>
      <x:c r="G79" s="82" t="str">
        <x:v>综合层</x:v>
      </x:c>
      <x:c r="H79" s="68" t="str">
        <x:v>中性定位与强行喜忌冲突</x:v>
      </x:c>
      <x:c r="I79" s="68" t="str">
        <x:v>M17-RANK-0089-V1.0</x:v>
      </x:c>
      <x:c r="J79" s="68" t="str">
        <x:v>中性五行不进入主要喜忌排序</x:v>
      </x:c>
      <x:c r="K79" s="68" t="str">
        <x:v>M17-BOUND-0093-V1.0</x:v>
      </x:c>
      <x:c r="L79" s="68" t="str">
        <x:v>旺衰事实不直接决定喜忌</x:v>
      </x:c>
      <x:c r="M79" s="68" t="str">
        <x:v>某五行虽旺、弱或缺失，但不承担格局、通关、调候或病药关键功能</x:v>
      </x:c>
      <x:c r="N79" s="68" t="str">
        <x:v>不存在明确核心收益或稳定核心伤害</x:v>
      </x:c>
      <x:c r="O79" s="68" t="str">
        <x:v>无实质净作用则保持中性</x:v>
      </x:c>
      <x:c r="P79" s="68" t="str">
        <x:v>不采用、不列主要排序</x:v>
      </x:c>
      <x:c r="Q79" s="68" t="str">
        <x:v>后续若岁运引动或结构条件变化再动态重评</x:v>
      </x:c>
      <x:c r="R79" s="84" t="str">
        <x:v>中性确认</x:v>
      </x:c>
      <x:c r="S79" s="68" t="str">
        <x:v>冲突双方均有有效证据且作用于同一原局</x:v>
      </x:c>
      <x:c r="T79" s="68" t="str">
        <x:v>其中一方只是名义候选、已经失效或不作用于主要矛盾</x:v>
      </x:c>
      <x:c r="U79" s="68" t="str">
        <x:v>若被降级一方实际承担不可替代功能，应重新进入本规则复审</x:v>
      </x:c>
      <x:c r="V79" s="68" t="str">
        <x:v>证据接近或存在流派争议时保留并列候选并降低置信度</x:v>
      </x:c>
      <x:c r="W79" s="90" t="str">
        <x:v>避免为了五行齐全或列表完整强行定喜忌</x:v>
      </x:c>
      <x:c r="X79" s="84" t="str">
        <x:v>中性最终审查</x:v>
      </x:c>
      <x:c r="Y79" s="84" t="str">
        <x:v>冲突主题：中性定位与强行喜忌冲突。裁决结果为“中性确认”；优先采用：不采用、不列主要排序；降级处理：后续若岁运引动或结构条件变化再动态重评。同时控制副作用：避免为了五行齐全或列表完整强行定喜忌。</x:v>
      </x:c>
      <x:c r="Z79" s="82" t="str">
        <x:v>较高</x:v>
      </x:c>
      <x:c r="AA79" s="82" t="str">
        <x:v>现代综合</x:v>
      </x:c>
      <x:c r="AB7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9" s="68" t="str">
        <x:v>当“某五行虽旺、弱或缺失，但不承担格局、通关、调候或病药关键功能”成立，且硬约束与主次证据清晰时，可按本规则裁决。</x:v>
      </x:c>
      <x:c r="AD79" s="90" t="str">
        <x:v>若冲突双方并未同时有效，或“其中一方只是名义候选、已经失效或不作用于主要矛盾”成立，不得套用本规则制造假冲突。</x:v>
      </x:c>
      <x:c r="AE79" s="82" t="str">
        <x:v>采用</x:v>
      </x:c>
      <x:c r="AF79" s="82" t="str">
        <x:v>初审</x:v>
      </x:c>
      <x:c r="AG79" s="87" t="n">
        <x:v>46260</x:v>
      </x:c>
    </x:row>
    <x:row r="80">
      <x:c r="A80" s="72" t="str">
        <x:f>IF(OR(C80="",D80=""),"",B80&amp;"-"&amp;UPPER(C80)&amp;"-"&amp;TEXT(D80,"0000")&amp;"-"&amp;E80)</x:f>
        <x:v>M18-RANK-0074-V1.0</x:v>
      </x:c>
      <x:c r="B80" s="74" t="str">
        <x:v>M18</x:v>
      </x:c>
      <x:c r="C80" s="74" t="str">
        <x:v>RANK</x:v>
      </x:c>
      <x:c r="D80" s="215" t="n">
        <x:v>74</x:v>
      </x:c>
      <x:c r="E80" s="74" t="str">
        <x:v>V1.0</x:v>
      </x:c>
      <x:c r="F80" s="68" t="str">
        <x:v>正负条件切换明显时定位条件性忌神</x:v>
      </x:c>
      <x:c r="G80" s="82" t="str">
        <x:v>综合层</x:v>
      </x:c>
      <x:c r="H80" s="68" t="str">
        <x:v>正负条件切换</x:v>
      </x:c>
      <x:c r="I80" s="68" t="str">
        <x:v>M17-RANK-0090-V1.0</x:v>
      </x:c>
      <x:c r="J80" s="68" t="str">
        <x:v>条件性忌神在特定结构或强度下加重主要矛盾</x:v>
      </x:c>
      <x:c r="K80" s="68" t="str">
        <x:v>M18-DOSE-0062-V1.0</x:v>
      </x:c>
      <x:c r="L80" s="68" t="str">
        <x:v>药量越界后喜可转忌</x:v>
      </x:c>
      <x:c r="M80" s="68" t="str">
        <x:v>某五行在低量或特定位置有用，但增强、成势或触发特定组合后明显为害</x:v>
      </x:c>
      <x:c r="N80" s="68" t="str">
        <x:v>负面作用依赖可识别的强度、位置、格局或组合条件</x:v>
      </x:c>
      <x:c r="O80" s="68" t="str">
        <x:v>以条件切换而非绝对善恶描述该五行</x:v>
      </x:c>
      <x:c r="P80" s="68" t="str">
        <x:v>不主动采用，必要时仅在安全条件内有限使用</x:v>
      </x:c>
      <x:c r="Q80" s="68" t="str">
        <x:v>触发忌性条件后列不采用</x:v>
      </x:c>
      <x:c r="R80" s="84" t="str">
        <x:v>条件性忌神确认</x:v>
      </x:c>
      <x:c r="S80" s="68" t="str">
        <x:v>冲突双方均有有效证据且作用于同一原局</x:v>
      </x:c>
      <x:c r="T80" s="68" t="str">
        <x:v>其中一方只是名义候选、已经失效或不作用于主要矛盾</x:v>
      </x:c>
      <x:c r="U80" s="68" t="str">
        <x:v>若被降级一方实际承担不可替代功能，应重新进入本规则复审</x:v>
      </x:c>
      <x:c r="V80" s="68" t="str">
        <x:v>证据接近或存在流派争议时保留并列候选并降低置信度</x:v>
      </x:c>
      <x:c r="W80" s="90" t="str">
        <x:v>写明触发忌性的具体阈值和少数例外用途</x:v>
      </x:c>
      <x:c r="X80" s="84" t="str">
        <x:v>条件性忌神最终审查</x:v>
      </x:c>
      <x:c r="Y80" s="84" t="str">
        <x:v>冲突主题：正负条件切换。裁决结果为“条件性忌神确认”；优先采用：不主动采用，必要时仅在安全条件内有限使用；降级处理：触发忌性条件后列不采用。同时控制副作用：写明触发忌性的具体阈值和少数例外用途。</x:v>
      </x:c>
      <x:c r="Z80" s="82" t="str">
        <x:v>较高</x:v>
      </x:c>
      <x:c r="AA80" s="82" t="str">
        <x:v>现代综合</x:v>
      </x:c>
      <x:c r="AB8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0" s="68" t="str">
        <x:v>当“某五行在低量或特定位置有用，但增强、成势或触发特定组合后明显为害”成立，且硬约束与主次证据清晰时，可按本规则裁决。</x:v>
      </x:c>
      <x:c r="AD80" s="90" t="str">
        <x:v>若冲突双方并未同时有效，或“其中一方只是名义候选、已经失效或不作用于主要矛盾”成立，不得套用本规则制造假冲突。</x:v>
      </x:c>
      <x:c r="AE80" s="82" t="str">
        <x:v>采用</x:v>
      </x:c>
      <x:c r="AF80" s="82" t="str">
        <x:v>初审</x:v>
      </x:c>
      <x:c r="AG80" s="87" t="n">
        <x:v>46260</x:v>
      </x:c>
    </x:row>
    <x:row r="81">
      <x:c r="A81" s="72" t="str">
        <x:f>IF(OR(C81="",D81=""),"",B81&amp;"-"&amp;UPPER(C81)&amp;"-"&amp;TEXT(D81,"0000")&amp;"-"&amp;E81)</x:f>
        <x:v>M18-RANK-0075-V1.0</x:v>
      </x:c>
      <x:c r="B81" s="74" t="str">
        <x:v>M18</x:v>
      </x:c>
      <x:c r="C81" s="74" t="str">
        <x:v>RANK</x:v>
      </x:c>
      <x:c r="D81" s="215" t="n">
        <x:v>75</x:v>
      </x:c>
      <x:c r="E81" s="74" t="str">
        <x:v>V1.0</x:v>
      </x:c>
      <x:c r="F81" s="68" t="str">
        <x:v>稳定加重根本病或破格者定位忌神</x:v>
      </x:c>
      <x:c r="G81" s="82" t="str">
        <x:v>综合层</x:v>
      </x:c>
      <x:c r="H81" s="68" t="str">
        <x:v>负向主导</x:v>
      </x:c>
      <x:c r="I81" s="68" t="str">
        <x:v>M17-RANK-0091-V1.0</x:v>
      </x:c>
      <x:c r="J81" s="68" t="str">
        <x:v>忌神稳定加重根本病或直接破坏核心结构</x:v>
      </x:c>
      <x:c r="K81" s="68" t="str">
        <x:v>M18-GEN-0005-V1.0</x:v>
      </x:c>
      <x:c r="L81" s="68" t="str">
        <x:v>更严重伤害可否决局部收益</x:v>
      </x:c>
      <x:c r="M81" s="68" t="str">
        <x:v>某五行在核心维度持续负向，局部收益不足以抵消</x:v>
      </x:c>
      <x:c r="N81" s="68" t="str">
        <x:v>负向作用必须真实、稳定且指向根本病、格神或主路径</x:v>
      </x:c>
      <x:c r="O81" s="68" t="str">
        <x:v>按负向净效应定位，而非按五行旺弱或传统标签</x:v>
      </x:c>
      <x:c r="P81" s="68" t="str">
        <x:v>列不采用，并优先保护其伤害对象</x:v>
      </x:c>
      <x:c r="Q81" s="68" t="str">
        <x:v>若负面只在特定条件下成立，则降为条件性忌神</x:v>
      </x:c>
      <x:c r="R81" s="84" t="str">
        <x:v>忌神确认</x:v>
      </x:c>
      <x:c r="S81" s="68" t="str">
        <x:v>冲突双方均有有效证据且作用于同一原局</x:v>
      </x:c>
      <x:c r="T81" s="68" t="str">
        <x:v>其中一方只是名义候选、已经失效或不作用于主要矛盾</x:v>
      </x:c>
      <x:c r="U81" s="68" t="str">
        <x:v>若被降级一方实际承担不可替代功能，应重新进入本规则复审</x:v>
      </x:c>
      <x:c r="V81" s="68" t="str">
        <x:v>证据接近或存在流派争议时保留并列候选并降低置信度</x:v>
      </x:c>
      <x:c r="W81" s="90" t="str">
        <x:v>明确忌神伤害链和是否存在剂量/位置例外</x:v>
      </x:c>
      <x:c r="X81" s="84" t="str">
        <x:v>忌神最终审查</x:v>
      </x:c>
      <x:c r="Y81" s="84" t="str">
        <x:v>冲突主题：负向主导。裁决结果为“忌神确认”；优先采用：列不采用，并优先保护其伤害对象；降级处理：若负面只在特定条件下成立，则降为条件性忌神。同时控制副作用：明确忌神伤害链和是否存在剂量/位置例外。</x:v>
      </x:c>
      <x:c r="Z81" s="82" t="str">
        <x:v>较高</x:v>
      </x:c>
      <x:c r="AA81" s="82" t="str">
        <x:v>现代综合</x:v>
      </x:c>
      <x:c r="AB8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1" s="68" t="str">
        <x:v>当“某五行在核心维度持续负向，局部收益不足以抵消”成立，且硬约束与主次证据清晰时，可按本规则裁决。</x:v>
      </x:c>
      <x:c r="AD81" s="90" t="str">
        <x:v>若冲突双方并未同时有效，或“其中一方只是名义候选、已经失效或不作用于主要矛盾”成立，不得套用本规则制造假冲突。</x:v>
      </x:c>
      <x:c r="AE81" s="82" t="str">
        <x:v>采用</x:v>
      </x:c>
      <x:c r="AF81" s="82" t="str">
        <x:v>初审</x:v>
      </x:c>
      <x:c r="AG81" s="87" t="n">
        <x:v>46260</x:v>
      </x:c>
    </x:row>
    <x:row r="82">
      <x:c r="A82" s="72" t="str">
        <x:f>IF(OR(C82="",D82=""),"",B82&amp;"-"&amp;UPPER(C82)&amp;"-"&amp;TEXT(D82,"0000")&amp;"-"&amp;E82)</x:f>
        <x:v>M18-RANK-0076-V1.0</x:v>
      </x:c>
      <x:c r="B82" s="74" t="str">
        <x:v>M18</x:v>
      </x:c>
      <x:c r="C82" s="74" t="str">
        <x:v>RANK</x:v>
      </x:c>
      <x:c r="D82" s="215" t="n">
        <x:v>76</x:v>
      </x:c>
      <x:c r="E82" s="74" t="str">
        <x:v>V1.0</x:v>
      </x:c>
      <x:c r="F82" s="68" t="str">
        <x:v>间接生忌克用坏药者定位仇神</x:v>
      </x:c>
      <x:c r="G82" s="82" t="str">
        <x:v>综合层</x:v>
      </x:c>
      <x:c r="H82" s="68" t="str">
        <x:v>间接有害链</x:v>
      </x:c>
      <x:c r="I82" s="68" t="str">
        <x:v>M17-RANK-0092-V1.0</x:v>
      </x:c>
      <x:c r="J82" s="68" t="str">
        <x:v>仇神通过生忌、克用、坏药或阻救间接为害</x:v>
      </x:c>
      <x:c r="K82" s="68" t="str">
        <x:v>M18-MED-0049-V1.0</x:v>
      </x:c>
      <x:c r="L82" s="68" t="str">
        <x:v>直接病因定忌，间接助害者定仇</x:v>
      </x:c>
      <x:c r="M82" s="68" t="str">
        <x:v>某五行自身不是直接根本病，但稳定帮助忌神或削弱主辅用神</x:v>
      </x:c>
      <x:c r="N82" s="68" t="str">
        <x:v>必须存在明确连续的间接有害链</x:v>
      </x:c>
      <x:c r="O82" s="68" t="str">
        <x:v>区分直接病因和间接助害者</x:v>
      </x:c>
      <x:c r="P82" s="68" t="str">
        <x:v>切断仇神—忌神或仇神—用神作用链</x:v>
      </x:c>
      <x:c r="Q82" s="68" t="str">
        <x:v>若其另有不可替代正向功能，则标条件性仇神并降低置信度</x:v>
      </x:c>
      <x:c r="R82" s="84" t="str">
        <x:v>仇神确认</x:v>
      </x:c>
      <x:c r="S82" s="68" t="str">
        <x:v>冲突双方均有有效证据且作用于同一原局</x:v>
      </x:c>
      <x:c r="T82" s="68" t="str">
        <x:v>其中一方只是名义候选、已经失效或不作用于主要矛盾</x:v>
      </x:c>
      <x:c r="U82" s="68" t="str">
        <x:v>若被降级一方实际承担不可替代功能，应重新进入本规则复审</x:v>
      </x:c>
      <x:c r="V82" s="68" t="str">
        <x:v>证据接近或存在流派争议时保留并列候选并降低置信度</x:v>
      </x:c>
      <x:c r="W82" s="90" t="str">
        <x:v>说明其助忌伤用的具体对象与路径</x:v>
      </x:c>
      <x:c r="X82" s="84" t="str">
        <x:v>仇神最终审查</x:v>
      </x:c>
      <x:c r="Y82" s="84" t="str">
        <x:v>冲突主题：间接有害链。裁决结果为“仇神确认”；优先采用：切断仇神—忌神或仇神—用神作用链；降级处理：若其另有不可替代正向功能，则标条件性仇神并降低置信度。同时控制副作用：说明其助忌伤用的具体对象与路径。</x:v>
      </x:c>
      <x:c r="Z82" s="82" t="str">
        <x:v>较高</x:v>
      </x:c>
      <x:c r="AA82" s="82" t="str">
        <x:v>现代综合</x:v>
      </x:c>
      <x:c r="AB8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2" s="68" t="str">
        <x:v>当“某五行自身不是直接根本病，但稳定帮助忌神或削弱主辅用神”成立，且硬约束与主次证据清晰时，可按本规则裁决。</x:v>
      </x:c>
      <x:c r="AD82" s="90" t="str">
        <x:v>若冲突双方并未同时有效，或“其中一方只是名义候选、已经失效或不作用于主要矛盾”成立，不得套用本规则制造假冲突。</x:v>
      </x:c>
      <x:c r="AE82" s="82" t="str">
        <x:v>采用</x:v>
      </x:c>
      <x:c r="AF82" s="82" t="str">
        <x:v>初审</x:v>
      </x:c>
      <x:c r="AG82" s="87" t="n">
        <x:v>46260</x:v>
      </x:c>
    </x:row>
    <x:row r="83">
      <x:c r="A83" s="72" t="str">
        <x:f>IF(OR(C83="",D83=""),"",B83&amp;"-"&amp;UPPER(C83)&amp;"-"&amp;TEXT(D83,"0000")&amp;"-"&amp;E83)</x:f>
        <x:v>M18-BOUND-0077-V1.0</x:v>
      </x:c>
      <x:c r="B83" s="74" t="str">
        <x:v>M18</x:v>
      </x:c>
      <x:c r="C83" s="74" t="str">
        <x:v>BOUND</x:v>
      </x:c>
      <x:c r="D83" s="215" t="n">
        <x:v>77</x:v>
      </x:c>
      <x:c r="E83" s="74" t="str">
        <x:v>V1.0</x:v>
      </x:c>
      <x:c r="F83" s="68" t="str">
        <x:v>最终输出必须说明为何优先及为何降级其他候选</x:v>
      </x:c>
      <x:c r="G83" s="82" t="str">
        <x:v>综合层</x:v>
      </x:c>
      <x:c r="H83" s="68" t="str">
        <x:v>裁决输出完整性</x:v>
      </x:c>
      <x:c r="I83" s="68" t="str">
        <x:v>M17-BOUND-0100-V1.0</x:v>
      </x:c>
      <x:c r="J83" s="68" t="str">
        <x:v>M17需输出五行全表、冲突、定位和条件</x:v>
      </x:c>
      <x:c r="K83" s="68" t="str">
        <x:v>M18-RANK-0069-V1.0</x:v>
      </x:c>
      <x:c r="L83" s="68" t="str">
        <x:v>主用候选需通过最终硬约束审查</x:v>
      </x:c>
      <x:c r="M83" s="68" t="str">
        <x:v>完成跨模块裁决并确定主用、辅助、喜忌</x:v>
      </x:c>
      <x:c r="N83" s="68" t="str">
        <x:v>每个最终定位都必须可回溯到规则、病位、路径和副作用</x:v>
      </x:c>
      <x:c r="O83" s="68" t="str">
        <x:v>不仅给答案，还保留被排除方案的理由和反向证据</x:v>
      </x:c>
      <x:c r="P83" s="68" t="str">
        <x:v>输出主用、辅助、喜、忌、仇及待定项的裁决链</x:v>
      </x:c>
      <x:c r="Q83" s="68" t="str">
        <x:v>证据不足者不得伪装成确定结论</x:v>
      </x:c>
      <x:c r="R83" s="84" t="str">
        <x:v>结构化裁决输出</x:v>
      </x:c>
      <x:c r="S83" s="68" t="str">
        <x:v>冲突双方均有有效证据且作用于同一原局</x:v>
      </x:c>
      <x:c r="T83" s="68" t="str">
        <x:v>其中一方只是名义候选、已经失效或不作用于主要矛盾</x:v>
      </x:c>
      <x:c r="U83" s="68" t="str">
        <x:v>若被降级一方实际承担不可替代功能，应重新进入本规则复审</x:v>
      </x:c>
      <x:c r="V83" s="68" t="str">
        <x:v>证据接近或存在流派争议时保留并列候选并降低置信度</x:v>
      </x:c>
      <x:c r="W83" s="90" t="str">
        <x:v>明确条件性结论的触发与转性边界</x:v>
      </x:c>
      <x:c r="X83" s="84" t="str">
        <x:v>M18标准输出</x:v>
      </x:c>
      <x:c r="Y83" s="84" t="str">
        <x:v>M18最终输出：冲突双方、硬约束、优先规则、被降级候选、裁决结果、适用/不适用条件、反向证据、例外、副作用控制、置信度及引用Rule_ID。</x:v>
      </x:c>
      <x:c r="Z83" s="82" t="str">
        <x:v>较高</x:v>
      </x:c>
      <x:c r="AA83" s="82" t="str">
        <x:v>现代综合</x:v>
      </x:c>
      <x:c r="AB8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3" s="68" t="str">
        <x:v>当“完成跨模块裁决并确定主用、辅助、喜忌”成立，且硬约束与主次证据清晰时，可按本规则裁决。</x:v>
      </x:c>
      <x:c r="AD83" s="90" t="str">
        <x:v>若冲突双方并未同时有效，或“其中一方只是名义候选、已经失效或不作用于主要矛盾”成立，不得套用本规则制造假冲突。</x:v>
      </x:c>
      <x:c r="AE83" s="82" t="str">
        <x:v>采用</x:v>
      </x:c>
      <x:c r="AF83" s="82" t="str">
        <x:v>初审</x:v>
      </x:c>
      <x:c r="AG83" s="87" t="n">
        <x:v>46260</x:v>
      </x:c>
    </x:row>
    <x:row r="84">
      <x:c r="A84" s="72" t="str">
        <x:f>IF(OR(C84="",D84=""),"",B84&amp;"-"&amp;UPPER(C84)&amp;"-"&amp;TEXT(D84,"0000")&amp;"-"&amp;E84)</x:f>
        <x:v>M18-BOUND-0078-V1.0</x:v>
      </x:c>
      <x:c r="B84" s="74" t="str">
        <x:v>M18</x:v>
      </x:c>
      <x:c r="C84" s="74" t="str">
        <x:v>BOUND</x:v>
      </x:c>
      <x:c r="D84" s="215" t="n">
        <x:v>78</x:v>
      </x:c>
      <x:c r="E84" s="74" t="str">
        <x:v>V1.0</x:v>
      </x:c>
      <x:c r="F84" s="68" t="str">
        <x:v>冲突裁决不采用固定模块顺序或机械总分</x:v>
      </x:c>
      <x:c r="G84" s="82" t="str">
        <x:v>综合层</x:v>
      </x:c>
      <x:c r="H84" s="68" t="str">
        <x:v>固定优先级与条件裁决冲突</x:v>
      </x:c>
      <x:c r="I84" s="68" t="str">
        <x:v>M17-GEN-0010-V1.0</x:v>
      </x:c>
      <x:c r="J84" s="68" t="str">
        <x:v>最终用神不使用固定总分</x:v>
      </x:c>
      <x:c r="K84" s="68" t="str">
        <x:v>M18-GEN-0002-V1.0</x:v>
      </x:c>
      <x:c r="L84" s="68" t="str">
        <x:v>只有严格成立条件才具硬约束资格</x:v>
      </x:c>
      <x:c r="M84" s="68" t="str">
        <x:v>试图用“格局永远高于调候”或“病药永远高于扶抑”等固定口诀裁决所有命局</x:v>
      </x:c>
      <x:c r="N84" s="68" t="str">
        <x:v>优先级必须建立在严格成立、根本病、主路径和严重度事实之上</x:v>
      </x:c>
      <x:c r="O84" s="68" t="str">
        <x:v>模块没有无条件恒定顺序，只有条件化硬约束和净收益</x:v>
      </x:c>
      <x:c r="P84" s="68" t="str">
        <x:v>当前命局中不可替代且严重度更高的问题优先</x:v>
      </x:c>
      <x:c r="Q84" s="68" t="str">
        <x:v>固定口诀结论降为待验证或流派标签，不作跨库硬规则</x:v>
      </x:c>
      <x:c r="R84" s="84" t="str">
        <x:v>条件优先级</x:v>
      </x:c>
      <x:c r="S84" s="68" t="str">
        <x:v>冲突双方均有有效证据且作用于同一原局</x:v>
      </x:c>
      <x:c r="T84" s="68" t="str">
        <x:v>其中一方只是名义候选、已经失效或不作用于主要矛盾</x:v>
      </x:c>
      <x:c r="U84" s="68" t="str">
        <x:v>若被降级一方实际承担不可替代功能，应重新进入本规则复审</x:v>
      </x:c>
      <x:c r="V84" s="68" t="str">
        <x:v>证据接近或存在流派争议时保留并列候选并降低置信度</x:v>
      </x:c>
      <x:c r="W84" s="90" t="str">
        <x:v>出现流派分歧时转M21登记，不伪装成共识</x:v>
      </x:c>
      <x:c r="X84" s="84" t="str">
        <x:v>非固定优先级</x:v>
      </x:c>
      <x:c r="Y84" s="84" t="str">
        <x:v>冲突主题：固定优先级与条件裁决冲突。裁决结果为“条件优先级”；优先采用：当前命局中不可替代且严重度更高的问题优先；降级处理：固定口诀结论降为待验证或流派标签，不作跨库硬规则。同时控制副作用：出现流派分歧时转M21登记，不伪装成共识。</x:v>
      </x:c>
      <x:c r="Z84" s="82" t="str">
        <x:v>较高</x:v>
      </x:c>
      <x:c r="AA84" s="82" t="str">
        <x:v>现代综合</x:v>
      </x:c>
      <x:c r="AB8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4" s="68" t="str">
        <x:v>当“试图用“格局永远高于调候”或“病药永远高于扶抑”等固定口诀裁决所有命局”成立，且硬约束与主次证据清晰时，可按本规则裁决。</x:v>
      </x:c>
      <x:c r="AD84" s="90" t="str">
        <x:v>若冲突双方并未同时有效，或“其中一方只是名义候选、已经失效或不作用于主要矛盾”成立，不得套用本规则制造假冲突。</x:v>
      </x:c>
      <x:c r="AE84" s="82" t="str">
        <x:v>采用</x:v>
      </x:c>
      <x:c r="AF84" s="82" t="str">
        <x:v>初审</x:v>
      </x:c>
      <x:c r="AG84" s="87" t="n">
        <x:v>46260</x:v>
      </x:c>
    </x:row>
    <x:row r="85">
      <x:c r="A85" s="72" t="str">
        <x:f>IF(OR(C85="",D85=""),"",B85&amp;"-"&amp;UPPER(C85)&amp;"-"&amp;TEXT(D85,"0000")&amp;"-"&amp;E85)</x:f>
        <x:v>M18-BOUND-0079-V1.0</x:v>
      </x:c>
      <x:c r="B85" s="74" t="str">
        <x:v>M18</x:v>
      </x:c>
      <x:c r="C85" s="74" t="str">
        <x:v>BOUND</x:v>
      </x:c>
      <x:c r="D85" s="215" t="n">
        <x:v>79</x:v>
      </x:c>
      <x:c r="E85" s="74" t="str">
        <x:v>V1.0</x:v>
      </x:c>
      <x:c r="F85" s="68" t="str">
        <x:v>原局静态裁决与岁运动态变化必须分开</x:v>
      </x:c>
      <x:c r="G85" s="82" t="str">
        <x:v>综合层</x:v>
      </x:c>
      <x:c r="H85" s="68" t="str">
        <x:v>静态喜忌与动态引动冲突</x:v>
      </x:c>
      <x:c r="I85" s="68" t="str">
        <x:v>M17-BOUND-0098-V1.0</x:v>
      </x:c>
      <x:c r="J85" s="68" t="str">
        <x:v>M17只判断原局静态喜忌</x:v>
      </x:c>
      <x:c r="K85" s="68" t="str">
        <x:v>M16-BOUND-0108-V1.0</x:v>
      </x:c>
      <x:c r="L85" s="68" t="str">
        <x:v>未来岁运补药或加病不改写原局事实</x:v>
      </x:c>
      <x:c r="M85" s="68" t="str">
        <x:v>某五行原局为条件性喜神，但在特定岁运中可能过量、被合冲或破格</x:v>
      </x:c>
      <x:c r="N85" s="68" t="str">
        <x:v>M18只裁决原局静态结构下的优先级</x:v>
      </x:c>
      <x:c r="O85" s="68" t="str">
        <x:v>动态进入后重新计算力量、路径、格局、病药和剂量</x:v>
      </x:c>
      <x:c r="P85" s="68" t="str">
        <x:v>原局裁决作为D0动态模型的基准输入</x:v>
      </x:c>
      <x:c r="Q85" s="68" t="str">
        <x:v>不得把某五行原局喜用直接等同所有岁运均吉</x:v>
      </x:c>
      <x:c r="R85" s="84" t="str">
        <x:v>静动态分层</x:v>
      </x:c>
      <x:c r="S85" s="68" t="str">
        <x:v>冲突双方均有有效证据且作用于同一原局</x:v>
      </x:c>
      <x:c r="T85" s="68" t="str">
        <x:v>其中一方只是名义候选、已经失效或不作用于主要矛盾</x:v>
      </x:c>
      <x:c r="U85" s="68" t="str">
        <x:v>若被降级一方实际承担不可替代功能，应重新进入本规则复审</x:v>
      </x:c>
      <x:c r="V85" s="68" t="str">
        <x:v>证据接近或存在流派争议时保留并列候选并降低置信度</x:v>
      </x:c>
      <x:c r="W85" s="90" t="str">
        <x:v>标准输出注明动态重算条件</x:v>
      </x:c>
      <x:c r="X85" s="84" t="str">
        <x:v>裁决静动态边界</x:v>
      </x:c>
      <x:c r="Y85" s="84" t="str">
        <x:v>冲突主题：静态喜忌与动态引动冲突。裁决结果为“静动态分层”；优先采用：原局裁决作为D0动态模型的基准输入；降级处理：不得把某五行原局喜用直接等同所有岁运均吉。同时控制副作用：标准输出注明动态重算条件。</x:v>
      </x:c>
      <x:c r="Z85" s="82" t="str">
        <x:v>较高</x:v>
      </x:c>
      <x:c r="AA85" s="82" t="str">
        <x:v>现代综合</x:v>
      </x:c>
      <x:c r="AB8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5" s="68" t="str">
        <x:v>当“某五行原局为条件性喜神，但在特定岁运中可能过量、被合冲或破格”成立，且硬约束与主次证据清晰时，可按本规则裁决。</x:v>
      </x:c>
      <x:c r="AD85" s="90" t="str">
        <x:v>若冲突双方并未同时有效，或“其中一方只是名义候选、已经失效或不作用于主要矛盾”成立，不得套用本规则制造假冲突。</x:v>
      </x:c>
      <x:c r="AE85" s="82" t="str">
        <x:v>采用</x:v>
      </x:c>
      <x:c r="AF85" s="82" t="str">
        <x:v>初审</x:v>
      </x:c>
      <x:c r="AG85" s="87" t="n">
        <x:v>46260</x:v>
      </x:c>
    </x:row>
    <x:row r="86">
      <x:c r="A86" s="72" t="str">
        <x:f>IF(OR(C86="",D86=""),"",B86&amp;"-"&amp;UPPER(C86)&amp;"-"&amp;TEXT(D86,"0000")&amp;"-"&amp;E86)</x:f>
        <x:v>M18-BOUND-0080-V1.0</x:v>
      </x:c>
      <x:c r="B86" s="74" t="str">
        <x:v>M18</x:v>
      </x:c>
      <x:c r="C86" s="74" t="str">
        <x:v>BOUND</x:v>
      </x:c>
      <x:c r="D86" s="215" t="n">
        <x:v>80</x:v>
      </x:c>
      <x:c r="E86" s="74" t="str">
        <x:v>V1.0</x:v>
      </x:c>
      <x:c r="F86" s="68" t="str">
        <x:v>证据不足、流派争议或案例反证应转测试与版本治理</x:v>
      </x:c>
      <x:c r="G86" s="82" t="str">
        <x:v>综合层</x:v>
      </x:c>
      <x:c r="H86" s="68" t="str">
        <x:v>不确定性与规则治理</x:v>
      </x:c>
      <x:c r="I86" s="68" t="str">
        <x:v>M18-GEN-0008-V1.0</x:v>
      </x:c>
      <x:c r="J86" s="68" t="str">
        <x:v>证据接近时应并列待定并降低置信度</x:v>
      </x:c>
      <x:c r="K86" s="68" t="str">
        <x:v>M17-GEN-0009-V1.0</x:v>
      </x:c>
      <x:c r="L86" s="68" t="str">
        <x:v>多维正反接近时保持待定</x:v>
      </x:c>
      <x:c r="M86" s="68" t="str">
        <x:v>冲突无法被现有规则稳定裁决，或不同流派对硬门槛、权重和例外存在显著分歧</x:v>
      </x:c>
      <x:c r="N86" s="68" t="str">
        <x:v>不得用模糊语言伪装为确定结论</x:v>
      </x:c>
      <x:c r="O86" s="68" t="str">
        <x:v>保留候选、反证和触发条件，进入M20边界/争议测试及M21治理</x:v>
      </x:c>
      <x:c r="P86" s="68" t="str">
        <x:v>证据透明和可回归验证优先</x:v>
      </x:c>
      <x:c r="Q86" s="68" t="str">
        <x:v>结论标记待定或条件性，置信度降为中等/低</x:v>
      </x:c>
      <x:c r="R86" s="84" t="str">
        <x:v>治理转交</x:v>
      </x:c>
      <x:c r="S86" s="68" t="str">
        <x:v>冲突双方均有有效证据且作用于同一原局</x:v>
      </x:c>
      <x:c r="T86" s="68" t="str">
        <x:v>其中一方只是名义候选、已经失效或不作用于主要矛盾</x:v>
      </x:c>
      <x:c r="U86" s="68" t="str">
        <x:v>若被降级一方实际承担不可替代功能，应重新进入本规则复审</x:v>
      </x:c>
      <x:c r="V86" s="68" t="str">
        <x:v>证据接近或存在流派争议时保留并列候选并降低置信度</x:v>
      </x:c>
      <x:c r="W86" s="90" t="str">
        <x:v>记录影响模块、争议点、预期测试案例和版本变更需求</x:v>
      </x:c>
      <x:c r="X86" s="84" t="str">
        <x:v>冲突争议治理</x:v>
      </x:c>
      <x:c r="Y86" s="84" t="str">
        <x:v>冲突主题：不确定性与规则治理。裁决结果为“治理转交”；优先采用：证据透明和可回归验证优先；降级处理：结论标记待定或条件性，置信度降为中等/低。同时控制副作用：记录影响模块、争议点、预期测试案例和版本变更需求。</x:v>
      </x:c>
      <x:c r="Z86" s="82" t="str">
        <x:v>中等</x:v>
      </x:c>
      <x:c r="AA86" s="82" t="str">
        <x:v>现代综合</x:v>
      </x:c>
      <x:c r="AB8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6" s="68" t="str">
        <x:v>当“冲突无法被现有规则稳定裁决，或不同流派对硬门槛、权重和例外存在显著分歧”成立，且硬约束与主次证据清晰时，可按本规则裁决。</x:v>
      </x:c>
      <x:c r="AD86" s="90" t="str">
        <x:v>若冲突双方并未同时有效，或“其中一方只是名义候选、已经失效或不作用于主要矛盾”成立，不得套用本规则制造假冲突。</x:v>
      </x:c>
      <x:c r="AE86" s="82" t="str">
        <x:v>待验证</x:v>
      </x:c>
      <x:c r="AF86" s="82" t="str">
        <x:v>初审</x:v>
      </x:c>
      <x:c r="AG86" s="87" t="n">
        <x:v>46260</x:v>
      </x:c>
    </x:row>
    <x:row r="87">
      <x:c r="A87" s="72" t="str">
        <x:f>IF(OR(C87="",D87=""),"",B87&amp;"-"&amp;UPPER(C87)&amp;"-"&amp;TEXT(D87,"0000")&amp;"-"&amp;E87)</x:f>
      </x:c>
      <x:c r="B87" s="74" t="str">
        <x:v>M18</x:v>
      </x:c>
      <x:c r="C87" s="74"/>
      <x:c r="D87" s="79"/>
      <x:c r="E87" s="74" t="str">
        <x:v>V1.0</x:v>
      </x:c>
      <x:c r="F87" s="68"/>
      <x:c r="G87" s="82"/>
      <x:c r="H87" s="68"/>
      <x:c r="I87" s="68"/>
      <x:c r="J87" s="68"/>
      <x:c r="K87" s="68"/>
      <x:c r="L87" s="68"/>
      <x:c r="M87" s="68"/>
      <x:c r="N87" s="68"/>
      <x:c r="O87" s="68"/>
      <x:c r="P87" s="68"/>
      <x:c r="Q87" s="68"/>
      <x:c r="R87" s="84"/>
      <x:c r="S87" s="68"/>
      <x:c r="T87" s="68"/>
      <x:c r="U87" s="68"/>
      <x:c r="V87" s="68"/>
      <x:c r="W87" s="90"/>
      <x:c r="X87" s="84"/>
      <x:c r="Y87" s="84"/>
      <x:c r="Z87" s="82"/>
      <x:c r="AA87" s="82"/>
      <x:c r="AB87" s="68"/>
      <x:c r="AC87" s="68"/>
      <x:c r="AD87" s="90"/>
      <x:c r="AE87" s="82"/>
      <x:c r="AF87" s="82"/>
      <x:c r="AG87" s="87"/>
    </x:row>
    <x:row r="88">
      <x:c r="A88" s="72" t="str">
        <x:f>IF(OR(C88="",D88=""),"",B88&amp;"-"&amp;UPPER(C88)&amp;"-"&amp;TEXT(D88,"0000")&amp;"-"&amp;E88)</x:f>
      </x:c>
      <x:c r="B88" s="74" t="str">
        <x:v>M18</x:v>
      </x:c>
      <x:c r="C88" s="74"/>
      <x:c r="D88" s="79"/>
      <x:c r="E88" s="74" t="str">
        <x:v>V1.0</x:v>
      </x:c>
      <x:c r="F88" s="68"/>
      <x:c r="G88" s="82"/>
      <x:c r="H88" s="68"/>
      <x:c r="I88" s="68"/>
      <x:c r="J88" s="68"/>
      <x:c r="K88" s="68"/>
      <x:c r="L88" s="68"/>
      <x:c r="M88" s="68"/>
      <x:c r="N88" s="68"/>
      <x:c r="O88" s="68"/>
      <x:c r="P88" s="68"/>
      <x:c r="Q88" s="68"/>
      <x:c r="R88" s="84"/>
      <x:c r="S88" s="68"/>
      <x:c r="T88" s="68"/>
      <x:c r="U88" s="68"/>
      <x:c r="V88" s="68"/>
      <x:c r="W88" s="90"/>
      <x:c r="X88" s="84"/>
      <x:c r="Y88" s="84"/>
      <x:c r="Z88" s="82"/>
      <x:c r="AA88" s="82"/>
      <x:c r="AB88" s="68"/>
      <x:c r="AC88" s="68"/>
      <x:c r="AD88" s="90"/>
      <x:c r="AE88" s="82"/>
      <x:c r="AF88" s="82"/>
      <x:c r="AG88" s="87"/>
    </x:row>
    <x:row r="89">
      <x:c r="A89" s="72" t="str">
        <x:f>IF(OR(C89="",D89=""),"",B89&amp;"-"&amp;UPPER(C89)&amp;"-"&amp;TEXT(D89,"0000")&amp;"-"&amp;E89)</x:f>
      </x:c>
      <x:c r="B89" s="74" t="str">
        <x:v>M18</x:v>
      </x:c>
      <x:c r="C89" s="74"/>
      <x:c r="D89" s="79"/>
      <x:c r="E89" s="74" t="str">
        <x:v>V1.0</x:v>
      </x:c>
      <x:c r="F89" s="68"/>
      <x:c r="G89" s="82"/>
      <x:c r="H89" s="68"/>
      <x:c r="I89" s="68"/>
      <x:c r="J89" s="68"/>
      <x:c r="K89" s="68"/>
      <x:c r="L89" s="68"/>
      <x:c r="M89" s="68"/>
      <x:c r="N89" s="68"/>
      <x:c r="O89" s="68"/>
      <x:c r="P89" s="68"/>
      <x:c r="Q89" s="68"/>
      <x:c r="R89" s="84"/>
      <x:c r="S89" s="68"/>
      <x:c r="T89" s="68"/>
      <x:c r="U89" s="68"/>
      <x:c r="V89" s="68"/>
      <x:c r="W89" s="90"/>
      <x:c r="X89" s="84"/>
      <x:c r="Y89" s="84"/>
      <x:c r="Z89" s="82"/>
      <x:c r="AA89" s="82"/>
      <x:c r="AB89" s="68"/>
      <x:c r="AC89" s="68"/>
      <x:c r="AD89" s="90"/>
      <x:c r="AE89" s="82"/>
      <x:c r="AF89" s="82"/>
      <x:c r="AG89" s="87"/>
    </x:row>
    <x:row r="90">
      <x:c r="A90" s="72" t="str">
        <x:f>IF(OR(C90="",D90=""),"",B90&amp;"-"&amp;UPPER(C90)&amp;"-"&amp;TEXT(D90,"0000")&amp;"-"&amp;E90)</x:f>
      </x:c>
      <x:c r="B90" s="74" t="str">
        <x:v>M18</x:v>
      </x:c>
      <x:c r="C90" s="74"/>
      <x:c r="D90" s="79"/>
      <x:c r="E90" s="74" t="str">
        <x:v>V1.0</x:v>
      </x:c>
      <x:c r="F90" s="68"/>
      <x:c r="G90" s="82"/>
      <x:c r="H90" s="68"/>
      <x:c r="I90" s="68"/>
      <x:c r="J90" s="68"/>
      <x:c r="K90" s="68"/>
      <x:c r="L90" s="68"/>
      <x:c r="M90" s="68"/>
      <x:c r="N90" s="68"/>
      <x:c r="O90" s="68"/>
      <x:c r="P90" s="68"/>
      <x:c r="Q90" s="68"/>
      <x:c r="R90" s="84"/>
      <x:c r="S90" s="68"/>
      <x:c r="T90" s="68"/>
      <x:c r="U90" s="68"/>
      <x:c r="V90" s="68"/>
      <x:c r="W90" s="90"/>
      <x:c r="X90" s="84"/>
      <x:c r="Y90" s="84"/>
      <x:c r="Z90" s="82"/>
      <x:c r="AA90" s="82"/>
      <x:c r="AB90" s="68"/>
      <x:c r="AC90" s="68"/>
      <x:c r="AD90" s="90"/>
      <x:c r="AE90" s="82"/>
      <x:c r="AF90" s="82"/>
      <x:c r="AG90" s="87"/>
    </x:row>
    <x:row r="91">
      <x:c r="A91" s="72" t="str">
        <x:f>IF(OR(C91="",D91=""),"",B91&amp;"-"&amp;UPPER(C91)&amp;"-"&amp;TEXT(D91,"0000")&amp;"-"&amp;E91)</x:f>
      </x:c>
      <x:c r="B91" s="74" t="str">
        <x:v>M18</x:v>
      </x:c>
      <x:c r="C91" s="74"/>
      <x:c r="D91" s="79"/>
      <x:c r="E91" s="74" t="str">
        <x:v>V1.0</x:v>
      </x:c>
      <x:c r="F91" s="68"/>
      <x:c r="G91" s="82"/>
      <x:c r="H91" s="68"/>
      <x:c r="I91" s="68"/>
      <x:c r="J91" s="68"/>
      <x:c r="K91" s="68"/>
      <x:c r="L91" s="68"/>
      <x:c r="M91" s="68"/>
      <x:c r="N91" s="68"/>
      <x:c r="O91" s="68"/>
      <x:c r="P91" s="68"/>
      <x:c r="Q91" s="68"/>
      <x:c r="R91" s="84"/>
      <x:c r="S91" s="68"/>
      <x:c r="T91" s="68"/>
      <x:c r="U91" s="68"/>
      <x:c r="V91" s="68"/>
      <x:c r="W91" s="90"/>
      <x:c r="X91" s="84"/>
      <x:c r="Y91" s="84"/>
      <x:c r="Z91" s="82"/>
      <x:c r="AA91" s="82"/>
      <x:c r="AB91" s="68"/>
      <x:c r="AC91" s="68"/>
      <x:c r="AD91" s="90"/>
      <x:c r="AE91" s="82"/>
      <x:c r="AF91" s="82"/>
      <x:c r="AG91" s="87"/>
    </x:row>
    <x:row r="92">
      <x:c r="A92" s="72" t="str">
        <x:f>IF(OR(C92="",D92=""),"",B92&amp;"-"&amp;UPPER(C92)&amp;"-"&amp;TEXT(D92,"0000")&amp;"-"&amp;E92)</x:f>
      </x:c>
      <x:c r="B92" s="74" t="str">
        <x:v>M18</x:v>
      </x:c>
      <x:c r="C92" s="74"/>
      <x:c r="D92" s="79"/>
      <x:c r="E92" s="74" t="str">
        <x:v>V1.0</x:v>
      </x:c>
      <x:c r="F92" s="68"/>
      <x:c r="G92" s="82"/>
      <x:c r="H92" s="68"/>
      <x:c r="I92" s="68"/>
      <x:c r="J92" s="68"/>
      <x:c r="K92" s="68"/>
      <x:c r="L92" s="68"/>
      <x:c r="M92" s="68"/>
      <x:c r="N92" s="68"/>
      <x:c r="O92" s="68"/>
      <x:c r="P92" s="68"/>
      <x:c r="Q92" s="68"/>
      <x:c r="R92" s="84"/>
      <x:c r="S92" s="68"/>
      <x:c r="T92" s="68"/>
      <x:c r="U92" s="68"/>
      <x:c r="V92" s="68"/>
      <x:c r="W92" s="90"/>
      <x:c r="X92" s="84"/>
      <x:c r="Y92" s="84"/>
      <x:c r="Z92" s="82"/>
      <x:c r="AA92" s="82"/>
      <x:c r="AB92" s="68"/>
      <x:c r="AC92" s="68"/>
      <x:c r="AD92" s="90"/>
      <x:c r="AE92" s="82"/>
      <x:c r="AF92" s="82"/>
      <x:c r="AG92" s="87"/>
    </x:row>
    <x:row r="93">
      <x:c r="A93" s="72" t="str">
        <x:f>IF(OR(C93="",D93=""),"",B93&amp;"-"&amp;UPPER(C93)&amp;"-"&amp;TEXT(D93,"0000")&amp;"-"&amp;E93)</x:f>
      </x:c>
      <x:c r="B93" s="74" t="str">
        <x:v>M18</x:v>
      </x:c>
      <x:c r="C93" s="74"/>
      <x:c r="D93" s="79"/>
      <x:c r="E93" s="74" t="str">
        <x:v>V1.0</x:v>
      </x:c>
      <x:c r="F93" s="68"/>
      <x:c r="G93" s="82"/>
      <x:c r="H93" s="68"/>
      <x:c r="I93" s="68"/>
      <x:c r="J93" s="68"/>
      <x:c r="K93" s="68"/>
      <x:c r="L93" s="68"/>
      <x:c r="M93" s="68"/>
      <x:c r="N93" s="68"/>
      <x:c r="O93" s="68"/>
      <x:c r="P93" s="68"/>
      <x:c r="Q93" s="68"/>
      <x:c r="R93" s="84"/>
      <x:c r="S93" s="68"/>
      <x:c r="T93" s="68"/>
      <x:c r="U93" s="68"/>
      <x:c r="V93" s="68"/>
      <x:c r="W93" s="90"/>
      <x:c r="X93" s="84"/>
      <x:c r="Y93" s="84"/>
      <x:c r="Z93" s="82"/>
      <x:c r="AA93" s="82"/>
      <x:c r="AB93" s="68"/>
      <x:c r="AC93" s="68"/>
      <x:c r="AD93" s="90"/>
      <x:c r="AE93" s="82"/>
      <x:c r="AF93" s="82"/>
      <x:c r="AG93" s="87"/>
    </x:row>
    <x:row r="94">
      <x:c r="A94" s="72" t="str">
        <x:f>IF(OR(C94="",D94=""),"",B94&amp;"-"&amp;UPPER(C94)&amp;"-"&amp;TEXT(D94,"0000")&amp;"-"&amp;E94)</x:f>
      </x:c>
      <x:c r="B94" s="74" t="str">
        <x:v>M18</x:v>
      </x:c>
      <x:c r="C94" s="74"/>
      <x:c r="D94" s="79"/>
      <x:c r="E94" s="74" t="str">
        <x:v>V1.0</x:v>
      </x:c>
      <x:c r="F94" s="68"/>
      <x:c r="G94" s="82"/>
      <x:c r="H94" s="68"/>
      <x:c r="I94" s="68"/>
      <x:c r="J94" s="68"/>
      <x:c r="K94" s="68"/>
      <x:c r="L94" s="68"/>
      <x:c r="M94" s="68"/>
      <x:c r="N94" s="68"/>
      <x:c r="O94" s="68"/>
      <x:c r="P94" s="68"/>
      <x:c r="Q94" s="68"/>
      <x:c r="R94" s="84"/>
      <x:c r="S94" s="68"/>
      <x:c r="T94" s="68"/>
      <x:c r="U94" s="68"/>
      <x:c r="V94" s="68"/>
      <x:c r="W94" s="90"/>
      <x:c r="X94" s="84"/>
      <x:c r="Y94" s="84"/>
      <x:c r="Z94" s="82"/>
      <x:c r="AA94" s="82"/>
      <x:c r="AB94" s="68"/>
      <x:c r="AC94" s="68"/>
      <x:c r="AD94" s="90"/>
      <x:c r="AE94" s="82"/>
      <x:c r="AF94" s="82"/>
      <x:c r="AG94" s="87"/>
    </x:row>
    <x:row r="95">
      <x:c r="A95" s="72" t="str">
        <x:f>IF(OR(C95="",D95=""),"",B95&amp;"-"&amp;UPPER(C95)&amp;"-"&amp;TEXT(D95,"0000")&amp;"-"&amp;E95)</x:f>
      </x:c>
      <x:c r="B95" s="74" t="str">
        <x:v>M18</x:v>
      </x:c>
      <x:c r="C95" s="74"/>
      <x:c r="D95" s="79"/>
      <x:c r="E95" s="74" t="str">
        <x:v>V1.0</x:v>
      </x:c>
      <x:c r="F95" s="68"/>
      <x:c r="G95" s="82"/>
      <x:c r="H95" s="68"/>
      <x:c r="I95" s="68"/>
      <x:c r="J95" s="68"/>
      <x:c r="K95" s="68"/>
      <x:c r="L95" s="68"/>
      <x:c r="M95" s="68"/>
      <x:c r="N95" s="68"/>
      <x:c r="O95" s="68"/>
      <x:c r="P95" s="68"/>
      <x:c r="Q95" s="68"/>
      <x:c r="R95" s="84"/>
      <x:c r="S95" s="68"/>
      <x:c r="T95" s="68"/>
      <x:c r="U95" s="68"/>
      <x:c r="V95" s="68"/>
      <x:c r="W95" s="90"/>
      <x:c r="X95" s="84"/>
      <x:c r="Y95" s="84"/>
      <x:c r="Z95" s="82"/>
      <x:c r="AA95" s="82"/>
      <x:c r="AB95" s="68"/>
      <x:c r="AC95" s="68"/>
      <x:c r="AD95" s="90"/>
      <x:c r="AE95" s="82"/>
      <x:c r="AF95" s="82"/>
      <x:c r="AG95" s="87"/>
    </x:row>
    <x:row r="96">
      <x:c r="A96" s="72" t="str">
        <x:f>IF(OR(C96="",D96=""),"",B96&amp;"-"&amp;UPPER(C96)&amp;"-"&amp;TEXT(D96,"0000")&amp;"-"&amp;E96)</x:f>
      </x:c>
      <x:c r="B96" s="74" t="str">
        <x:v>M18</x:v>
      </x:c>
      <x:c r="C96" s="74"/>
      <x:c r="D96" s="79"/>
      <x:c r="E96" s="74" t="str">
        <x:v>V1.0</x:v>
      </x:c>
      <x:c r="F96" s="68"/>
      <x:c r="G96" s="82"/>
      <x:c r="H96" s="68"/>
      <x:c r="I96" s="68"/>
      <x:c r="J96" s="68"/>
      <x:c r="K96" s="68"/>
      <x:c r="L96" s="68"/>
      <x:c r="M96" s="68"/>
      <x:c r="N96" s="68"/>
      <x:c r="O96" s="68"/>
      <x:c r="P96" s="68"/>
      <x:c r="Q96" s="68"/>
      <x:c r="R96" s="84"/>
      <x:c r="S96" s="68"/>
      <x:c r="T96" s="68"/>
      <x:c r="U96" s="68"/>
      <x:c r="V96" s="68"/>
      <x:c r="W96" s="90"/>
      <x:c r="X96" s="84"/>
      <x:c r="Y96" s="84"/>
      <x:c r="Z96" s="82"/>
      <x:c r="AA96" s="82"/>
      <x:c r="AB96" s="68"/>
      <x:c r="AC96" s="68"/>
      <x:c r="AD96" s="90"/>
      <x:c r="AE96" s="82"/>
      <x:c r="AF96" s="82"/>
      <x:c r="AG96" s="87"/>
    </x:row>
    <x:row r="97">
      <x:c r="A97" s="72" t="str">
        <x:f>IF(OR(C97="",D97=""),"",B97&amp;"-"&amp;UPPER(C97)&amp;"-"&amp;TEXT(D97,"0000")&amp;"-"&amp;E97)</x:f>
      </x:c>
      <x:c r="B97" s="74" t="str">
        <x:v>M18</x:v>
      </x:c>
      <x:c r="C97" s="74"/>
      <x:c r="D97" s="79"/>
      <x:c r="E97" s="74" t="str">
        <x:v>V1.0</x:v>
      </x:c>
      <x:c r="F97" s="68"/>
      <x:c r="G97" s="82"/>
      <x:c r="H97" s="68"/>
      <x:c r="I97" s="68"/>
      <x:c r="J97" s="68"/>
      <x:c r="K97" s="68"/>
      <x:c r="L97" s="68"/>
      <x:c r="M97" s="68"/>
      <x:c r="N97" s="68"/>
      <x:c r="O97" s="68"/>
      <x:c r="P97" s="68"/>
      <x:c r="Q97" s="68"/>
      <x:c r="R97" s="84"/>
      <x:c r="S97" s="68"/>
      <x:c r="T97" s="68"/>
      <x:c r="U97" s="68"/>
      <x:c r="V97" s="68"/>
      <x:c r="W97" s="90"/>
      <x:c r="X97" s="84"/>
      <x:c r="Y97" s="84"/>
      <x:c r="Z97" s="82"/>
      <x:c r="AA97" s="82"/>
      <x:c r="AB97" s="68"/>
      <x:c r="AC97" s="68"/>
      <x:c r="AD97" s="90"/>
      <x:c r="AE97" s="82"/>
      <x:c r="AF97" s="82"/>
      <x:c r="AG97" s="87"/>
    </x:row>
    <x:row r="98">
      <x:c r="A98" s="72" t="str">
        <x:f>IF(OR(C98="",D98=""),"",B98&amp;"-"&amp;UPPER(C98)&amp;"-"&amp;TEXT(D98,"0000")&amp;"-"&amp;E98)</x:f>
      </x:c>
      <x:c r="B98" s="74" t="str">
        <x:v>M18</x:v>
      </x:c>
      <x:c r="C98" s="74"/>
      <x:c r="D98" s="79"/>
      <x:c r="E98" s="74" t="str">
        <x:v>V1.0</x:v>
      </x:c>
      <x:c r="F98" s="68"/>
      <x:c r="G98" s="82"/>
      <x:c r="H98" s="68"/>
      <x:c r="I98" s="68"/>
      <x:c r="J98" s="68"/>
      <x:c r="K98" s="68"/>
      <x:c r="L98" s="68"/>
      <x:c r="M98" s="68"/>
      <x:c r="N98" s="68"/>
      <x:c r="O98" s="68"/>
      <x:c r="P98" s="68"/>
      <x:c r="Q98" s="68"/>
      <x:c r="R98" s="84"/>
      <x:c r="S98" s="68"/>
      <x:c r="T98" s="68"/>
      <x:c r="U98" s="68"/>
      <x:c r="V98" s="68"/>
      <x:c r="W98" s="90"/>
      <x:c r="X98" s="84"/>
      <x:c r="Y98" s="84"/>
      <x:c r="Z98" s="82"/>
      <x:c r="AA98" s="82"/>
      <x:c r="AB98" s="68"/>
      <x:c r="AC98" s="68"/>
      <x:c r="AD98" s="90"/>
      <x:c r="AE98" s="82"/>
      <x:c r="AF98" s="82"/>
      <x:c r="AG98" s="87"/>
    </x:row>
    <x:row r="99">
      <x:c r="A99" s="72" t="str">
        <x:f>IF(OR(C99="",D99=""),"",B99&amp;"-"&amp;UPPER(C99)&amp;"-"&amp;TEXT(D99,"0000")&amp;"-"&amp;E99)</x:f>
      </x:c>
      <x:c r="B99" s="74" t="str">
        <x:v>M18</x:v>
      </x:c>
      <x:c r="C99" s="74"/>
      <x:c r="D99" s="79"/>
      <x:c r="E99" s="74" t="str">
        <x:v>V1.0</x:v>
      </x:c>
      <x:c r="F99" s="68"/>
      <x:c r="G99" s="82"/>
      <x:c r="H99" s="68"/>
      <x:c r="I99" s="68"/>
      <x:c r="J99" s="68"/>
      <x:c r="K99" s="68"/>
      <x:c r="L99" s="68"/>
      <x:c r="M99" s="68"/>
      <x:c r="N99" s="68"/>
      <x:c r="O99" s="68"/>
      <x:c r="P99" s="68"/>
      <x:c r="Q99" s="68"/>
      <x:c r="R99" s="84"/>
      <x:c r="S99" s="68"/>
      <x:c r="T99" s="68"/>
      <x:c r="U99" s="68"/>
      <x:c r="V99" s="68"/>
      <x:c r="W99" s="90"/>
      <x:c r="X99" s="84"/>
      <x:c r="Y99" s="84"/>
      <x:c r="Z99" s="82"/>
      <x:c r="AA99" s="82"/>
      <x:c r="AB99" s="68"/>
      <x:c r="AC99" s="68"/>
      <x:c r="AD99" s="90"/>
      <x:c r="AE99" s="82"/>
      <x:c r="AF99" s="82"/>
      <x:c r="AG99" s="87"/>
    </x:row>
    <x:row r="100">
      <x:c r="A100" s="72" t="str">
        <x:f>IF(OR(C100="",D100=""),"",B100&amp;"-"&amp;UPPER(C100)&amp;"-"&amp;TEXT(D100,"0000")&amp;"-"&amp;E100)</x:f>
      </x:c>
      <x:c r="B100" s="74" t="str">
        <x:v>M18</x:v>
      </x:c>
      <x:c r="C100" s="74"/>
      <x:c r="D100" s="79"/>
      <x:c r="E100" s="74" t="str">
        <x:v>V1.0</x:v>
      </x:c>
      <x:c r="F100" s="68"/>
      <x:c r="G100" s="82"/>
      <x:c r="H100" s="68"/>
      <x:c r="I100" s="68"/>
      <x:c r="J100" s="68"/>
      <x:c r="K100" s="68"/>
      <x:c r="L100" s="68"/>
      <x:c r="M100" s="68"/>
      <x:c r="N100" s="68"/>
      <x:c r="O100" s="68"/>
      <x:c r="P100" s="68"/>
      <x:c r="Q100" s="68"/>
      <x:c r="R100" s="84"/>
      <x:c r="S100" s="68"/>
      <x:c r="T100" s="68"/>
      <x:c r="U100" s="68"/>
      <x:c r="V100" s="68"/>
      <x:c r="W100" s="90"/>
      <x:c r="X100" s="84"/>
      <x:c r="Y100" s="84"/>
      <x:c r="Z100" s="82"/>
      <x:c r="AA100" s="82"/>
      <x:c r="AB100" s="68"/>
      <x:c r="AC100" s="68"/>
      <x:c r="AD100" s="90"/>
      <x:c r="AE100" s="82"/>
      <x:c r="AF100" s="82"/>
      <x:c r="AG100" s="87"/>
    </x:row>
    <x:row r="101">
      <x:c r="A101" s="72" t="str">
        <x:f>IF(OR(C101="",D101=""),"",B101&amp;"-"&amp;UPPER(C101)&amp;"-"&amp;TEXT(D101,"0000")&amp;"-"&amp;E101)</x:f>
      </x:c>
      <x:c r="B101" s="74" t="str">
        <x:v>M18</x:v>
      </x:c>
      <x:c r="C101" s="74"/>
      <x:c r="D101" s="79"/>
      <x:c r="E101" s="74" t="str">
        <x:v>V1.0</x:v>
      </x:c>
      <x:c r="F101" s="68"/>
      <x:c r="G101" s="82"/>
      <x:c r="H101" s="68"/>
      <x:c r="I101" s="68"/>
      <x:c r="J101" s="68"/>
      <x:c r="K101" s="68"/>
      <x:c r="L101" s="68"/>
      <x:c r="M101" s="68"/>
      <x:c r="N101" s="68"/>
      <x:c r="O101" s="68"/>
      <x:c r="P101" s="68"/>
      <x:c r="Q101" s="68"/>
      <x:c r="R101" s="84"/>
      <x:c r="S101" s="68"/>
      <x:c r="T101" s="68"/>
      <x:c r="U101" s="68"/>
      <x:c r="V101" s="68"/>
      <x:c r="W101" s="90"/>
      <x:c r="X101" s="84"/>
      <x:c r="Y101" s="84"/>
      <x:c r="Z101" s="82"/>
      <x:c r="AA101" s="82"/>
      <x:c r="AB101" s="68"/>
      <x:c r="AC101" s="68"/>
      <x:c r="AD101" s="90"/>
      <x:c r="AE101" s="82"/>
      <x:c r="AF101" s="82"/>
      <x:c r="AG101" s="87"/>
    </x:row>
    <x:row r="102">
      <x:c r="A102" s="72" t="str">
        <x:f>IF(OR(C102="",D102=""),"",B102&amp;"-"&amp;UPPER(C102)&amp;"-"&amp;TEXT(D102,"0000")&amp;"-"&amp;E102)</x:f>
      </x:c>
      <x:c r="B102" s="74" t="str">
        <x:v>M18</x:v>
      </x:c>
      <x:c r="C102" s="74"/>
      <x:c r="D102" s="79"/>
      <x:c r="E102" s="74" t="str">
        <x:v>V1.0</x:v>
      </x:c>
      <x:c r="F102" s="68"/>
      <x:c r="G102" s="82"/>
      <x:c r="H102" s="68"/>
      <x:c r="I102" s="68"/>
      <x:c r="J102" s="68"/>
      <x:c r="K102" s="68"/>
      <x:c r="L102" s="68"/>
      <x:c r="M102" s="68"/>
      <x:c r="N102" s="68"/>
      <x:c r="O102" s="68"/>
      <x:c r="P102" s="68"/>
      <x:c r="Q102" s="68"/>
      <x:c r="R102" s="84"/>
      <x:c r="S102" s="68"/>
      <x:c r="T102" s="68"/>
      <x:c r="U102" s="68"/>
      <x:c r="V102" s="68"/>
      <x:c r="W102" s="90"/>
      <x:c r="X102" s="84"/>
      <x:c r="Y102" s="84"/>
      <x:c r="Z102" s="82"/>
      <x:c r="AA102" s="82"/>
      <x:c r="AB102" s="68"/>
      <x:c r="AC102" s="68"/>
      <x:c r="AD102" s="90"/>
      <x:c r="AE102" s="82"/>
      <x:c r="AF102" s="82"/>
      <x:c r="AG102" s="87"/>
    </x:row>
    <x:row r="103">
      <x:c r="A103" s="72" t="str">
        <x:f>IF(OR(C103="",D103=""),"",B103&amp;"-"&amp;UPPER(C103)&amp;"-"&amp;TEXT(D103,"0000")&amp;"-"&amp;E103)</x:f>
      </x:c>
      <x:c r="B103" s="74" t="str">
        <x:v>M18</x:v>
      </x:c>
      <x:c r="C103" s="74"/>
      <x:c r="D103" s="79"/>
      <x:c r="E103" s="74" t="str">
        <x:v>V1.0</x:v>
      </x:c>
      <x:c r="F103" s="68"/>
      <x:c r="G103" s="82"/>
      <x:c r="H103" s="68"/>
      <x:c r="I103" s="68"/>
      <x:c r="J103" s="68"/>
      <x:c r="K103" s="68"/>
      <x:c r="L103" s="68"/>
      <x:c r="M103" s="68"/>
      <x:c r="N103" s="68"/>
      <x:c r="O103" s="68"/>
      <x:c r="P103" s="68"/>
      <x:c r="Q103" s="68"/>
      <x:c r="R103" s="84"/>
      <x:c r="S103" s="68"/>
      <x:c r="T103" s="68"/>
      <x:c r="U103" s="68"/>
      <x:c r="V103" s="68"/>
      <x:c r="W103" s="90"/>
      <x:c r="X103" s="84"/>
      <x:c r="Y103" s="84"/>
      <x:c r="Z103" s="82"/>
      <x:c r="AA103" s="82"/>
      <x:c r="AB103" s="68"/>
      <x:c r="AC103" s="68"/>
      <x:c r="AD103" s="90"/>
      <x:c r="AE103" s="82"/>
      <x:c r="AF103" s="82"/>
      <x:c r="AG103" s="87"/>
    </x:row>
    <x:row r="104">
      <x:c r="A104" s="72" t="str">
        <x:f>IF(OR(C104="",D104=""),"",B104&amp;"-"&amp;UPPER(C104)&amp;"-"&amp;TEXT(D104,"0000")&amp;"-"&amp;E104)</x:f>
      </x:c>
      <x:c r="B104" s="74" t="str">
        <x:v>M18</x:v>
      </x:c>
      <x:c r="C104" s="74"/>
      <x:c r="D104" s="79"/>
      <x:c r="E104" s="74" t="str">
        <x:v>V1.0</x:v>
      </x:c>
      <x:c r="F104" s="68"/>
      <x:c r="G104" s="82"/>
      <x:c r="H104" s="68"/>
      <x:c r="I104" s="68"/>
      <x:c r="J104" s="68"/>
      <x:c r="K104" s="68"/>
      <x:c r="L104" s="68"/>
      <x:c r="M104" s="68"/>
      <x:c r="N104" s="68"/>
      <x:c r="O104" s="68"/>
      <x:c r="P104" s="68"/>
      <x:c r="Q104" s="68"/>
      <x:c r="R104" s="84"/>
      <x:c r="S104" s="68"/>
      <x:c r="T104" s="68"/>
      <x:c r="U104" s="68"/>
      <x:c r="V104" s="68"/>
      <x:c r="W104" s="90"/>
      <x:c r="X104" s="84"/>
      <x:c r="Y104" s="84"/>
      <x:c r="Z104" s="82"/>
      <x:c r="AA104" s="82"/>
      <x:c r="AB104" s="68"/>
      <x:c r="AC104" s="68"/>
      <x:c r="AD104" s="90"/>
      <x:c r="AE104" s="82"/>
      <x:c r="AF104" s="82"/>
      <x:c r="AG104" s="87"/>
    </x:row>
    <x:row r="105">
      <x:c r="A105" s="72" t="str">
        <x:f>IF(OR(C105="",D105=""),"",B105&amp;"-"&amp;UPPER(C105)&amp;"-"&amp;TEXT(D105,"0000")&amp;"-"&amp;E105)</x:f>
      </x:c>
      <x:c r="B105" s="74" t="str">
        <x:v>M18</x:v>
      </x:c>
      <x:c r="C105" s="74"/>
      <x:c r="D105" s="79"/>
      <x:c r="E105" s="74" t="str">
        <x:v>V1.0</x:v>
      </x:c>
      <x:c r="F105" s="68"/>
      <x:c r="G105" s="82"/>
      <x:c r="H105" s="68"/>
      <x:c r="I105" s="68"/>
      <x:c r="J105" s="68"/>
      <x:c r="K105" s="68"/>
      <x:c r="L105" s="68"/>
      <x:c r="M105" s="68"/>
      <x:c r="N105" s="68"/>
      <x:c r="O105" s="68"/>
      <x:c r="P105" s="68"/>
      <x:c r="Q105" s="68"/>
      <x:c r="R105" s="84"/>
      <x:c r="S105" s="68"/>
      <x:c r="T105" s="68"/>
      <x:c r="U105" s="68"/>
      <x:c r="V105" s="68"/>
      <x:c r="W105" s="90"/>
      <x:c r="X105" s="84"/>
      <x:c r="Y105" s="84"/>
      <x:c r="Z105" s="82"/>
      <x:c r="AA105" s="82"/>
      <x:c r="AB105" s="68"/>
      <x:c r="AC105" s="68"/>
      <x:c r="AD105" s="90"/>
      <x:c r="AE105" s="82"/>
      <x:c r="AF105" s="82"/>
      <x:c r="AG105" s="87"/>
    </x:row>
  </x:sheetData>
  <x:mergeCells>
    <x:mergeCell ref="A1:O1"/>
    <x:mergeCell ref="A2:O2"/>
    <x:mergeCell ref="A3:O3"/>
    <x:mergeCell ref="A4:O4"/>
  </x:mergeCells>
  <x:conditionalFormatting sqref="A6:A105">
    <x:cfRule type="expression" dxfId="16" priority="1">
      <x:formula>AND(A6&lt;&gt;"",COUNTIF($A$6:$A$105,A6)&gt;1)</x:formula>
    </x:cfRule>
  </x:conditionalFormatting>
  <x:dataValidations count="13">
    <x:dataValidation type="list" sqref="E6:E105">
      <x:formula1>'99_下拉选项'!$BG$4:$BG$12</x:formula1>
    </x:dataValidation>
    <x:dataValidation type="list" sqref="G6:G105">
      <x:formula1>'99_下拉选项'!$F$4:$F$7</x:formula1>
    </x:dataValidation>
    <x:dataValidation type="list" sqref="Z6:Z105">
      <x:formula1>'99_下拉选项'!$Q$4:$Q$8</x:formula1>
    </x:dataValidation>
    <x:dataValidation type="list" sqref="AA6:AA105">
      <x:formula1>'99_下拉选项'!$R$4:$R$11</x:formula1>
    </x:dataValidation>
    <x:dataValidation type="list" sqref="AE6:AE105">
      <x:formula1>'99_下拉选项'!$S$4:$S$9</x:formula1>
    </x:dataValidation>
    <x:dataValidation type="list" sqref="AF6:AF105">
      <x:formula1>'99_下拉选项'!$T$4:$T$8</x:formula1>
    </x:dataValidation>
    <x:dataValidation type="list" sqref="E6:E130">
      <x:formula1>'99_下拉选项'!$BG$4:$BG$14</x:formula1>
    </x:dataValidation>
    <x:dataValidation type="list" sqref="E7:E105">
      <x:formula1>'99_下拉选项'!$BG$4:$BG$19</x:formula1>
    </x:dataValidation>
    <x:dataValidation type="list" sqref="G7:G86">
      <x:formula1>'99_下拉选项'!$F$4:$F$7</x:formula1>
    </x:dataValidation>
    <x:dataValidation type="list" sqref="Z7:Z86">
      <x:formula1>'99_下拉选项'!$Q$4:$Q$8</x:formula1>
    </x:dataValidation>
    <x:dataValidation type="list" sqref="AA7:AA86">
      <x:formula1>'99_下拉选项'!$R$4:$R$11</x:formula1>
    </x:dataValidation>
    <x:dataValidation type="list" sqref="AE7:AE86">
      <x:formula1>'99_下拉选项'!$S$4:$S$9</x:formula1>
    </x:dataValidation>
    <x:dataValidation type="list" sqref="AF7:AF86">
      <x:formula1>'99_下拉选项'!$T$4:$T$8</x:formula1>
    </x:dataValidation>
  </x:dataValidations>
  <x:pageMargins left="0.7" right="0.7" top="0.75" bottom="0.75" header="0.3" footer="0.3"/>
  <x:tableParts count="1">
    <x:tablePart xmlns:r="http://schemas.openxmlformats.org/officeDocument/2006/relationships" r:id="Re0e60d905ae94967"/>
  </x:tableParts>
</x:worksheet>
</file>

<file path=xl/worksheets/sheet2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0" hidden="0" customWidth="1"/>
    <x:col min="8" max="8" width="22" hidden="0" customWidth="1"/>
    <x:col min="9" max="9" width="30" hidden="0" customWidth="1"/>
    <x:col min="10" max="10" width="30" hidden="0" customWidth="1"/>
    <x:col min="11" max="11" width="30" hidden="0" customWidth="1"/>
    <x:col min="12" max="12" width="16"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13" hidden="0" customWidth="1"/>
  </x:cols>
  <x:sheetData>
    <x:row r="1" ht="28" customHeight="1">
      <x:c r="A1" s="32" t="str">
        <x:v>M19｜结构化输出字段与表达模板</x:v>
      </x:c>
      <x:c r="B1" s="32"/>
      <x:c r="C1" s="32"/>
      <x:c r="D1" s="32"/>
      <x:c r="E1" s="32"/>
      <x:c r="F1" s="32"/>
      <x:c r="G1" s="32"/>
      <x:c r="H1" s="32"/>
      <x:c r="I1" s="32"/>
      <x:c r="J1" s="32"/>
      <x:c r="K1" s="32"/>
      <x:c r="L1" s="32"/>
      <x:c r="M1" s="32"/>
      <x:c r="N1" s="32"/>
      <x:c r="O1" s="32"/>
      <x:c r="P1" s="32"/>
      <x:c r="Q1" s="32"/>
      <x:c r="R1" s="32"/>
      <x:c r="S1" s="32"/>
      <x:c r="T1" s="32"/>
      <x:c r="U1" s="32"/>
      <x:c r="V1" s="32"/>
      <x:c r="W1" s="32"/>
      <x:c r="X1" s="32"/>
    </x:row>
    <x:row r="2" ht="36" customHeight="1">
      <x:c r="A2" s="39" t="str">
        <x:v>规定M0分析必须输出的章节、字段、数据来源、内部分析表达与用户表达。此表把底层结论转成稳定、可追溯的报告结构。</x:v>
      </x:c>
      <x:c r="B2" s="39"/>
      <x:c r="C2" s="39"/>
      <x:c r="D2" s="39"/>
      <x:c r="E2" s="39"/>
      <x:c r="F2" s="39"/>
      <x:c r="G2" s="39"/>
      <x:c r="H2" s="39"/>
      <x:c r="I2" s="39"/>
      <x:c r="J2" s="39"/>
      <x:c r="K2" s="39"/>
      <x:c r="L2" s="39"/>
      <x:c r="M2" s="39"/>
      <x:c r="N2" s="39"/>
      <x:c r="O2" s="39"/>
      <x:c r="P2" s="39"/>
      <x:c r="Q2" s="39"/>
      <x:c r="R2" s="39"/>
      <x:c r="S2" s="39"/>
      <x:c r="T2" s="39"/>
      <x:c r="U2" s="39"/>
      <x:c r="V2" s="39"/>
      <x:c r="W2" s="39"/>
      <x:c r="X2" s="39"/>
    </x:row>
    <x:row r="3" ht="30" customHeight="1">
      <x:c r="A3" s="47" t="str">
        <x:v>前置依赖：M02-M18　｜　主要输出：统一结构化输出字段与用户表达　｜　直接下游：上层婚恋/事业/财富/岁运模型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row>
    <x:row r="5" ht="38" customHeight="1">
      <x:c r="A5" s="61" t="str">
        <x:v>Field_ID</x:v>
      </x:c>
      <x:c r="B5" s="61" t="str">
        <x:v>模块代码</x:v>
      </x:c>
      <x:c r="C5" s="61" t="str">
        <x:v>子类代码</x:v>
      </x:c>
      <x:c r="D5" s="61" t="str">
        <x:v>序号</x:v>
      </x:c>
      <x:c r="E5" s="61" t="str">
        <x:v>版本号</x:v>
      </x:c>
      <x:c r="F5" s="61" t="str">
        <x:v>输出章节</x:v>
      </x:c>
      <x:c r="G5" s="61" t="str">
        <x:v>章节顺序</x:v>
      </x:c>
      <x:c r="H5" s="61" t="str">
        <x:v>字段名称</x:v>
      </x:c>
      <x:c r="I5" s="61" t="str">
        <x:v>字段定义</x:v>
      </x:c>
      <x:c r="J5" s="61" t="str">
        <x:v>来源模块</x:v>
      </x:c>
      <x:c r="K5" s="61" t="str">
        <x:v>来源字段/Rule_ID</x:v>
      </x:c>
      <x:c r="L5" s="61" t="str">
        <x:v>必填性</x:v>
      </x:c>
      <x:c r="M5" s="61" t="str">
        <x:v>输出层级</x:v>
      </x:c>
      <x:c r="N5" s="61" t="str">
        <x:v>数据类型</x:v>
      </x:c>
      <x:c r="O5" s="61" t="str">
        <x:v>推荐格式</x:v>
      </x:c>
      <x:c r="P5" s="61" t="str">
        <x:v>内部分析模板</x:v>
      </x:c>
      <x:c r="Q5" s="61" t="str">
        <x:v>用户表达模板</x:v>
      </x:c>
      <x:c r="R5" s="61" t="str">
        <x:v>空值处理</x:v>
      </x:c>
      <x:c r="S5" s="61" t="str">
        <x:v>冲突处理</x:v>
      </x:c>
      <x:c r="T5" s="61" t="str">
        <x:v>示例</x:v>
      </x:c>
      <x:c r="U5" s="61" t="str">
        <x:v>备注</x:v>
      </x:c>
      <x:c r="V5" s="61" t="str">
        <x:v>规则状态</x:v>
      </x:c>
      <x:c r="W5" s="61" t="str">
        <x:v>审核状态</x:v>
      </x:c>
      <x:c r="X5" s="61" t="str">
        <x:v>更新日期</x:v>
      </x:c>
    </x:row>
    <x:row r="6" ht="66" customHeight="1">
      <x:c r="A6" s="76" t="str">
        <x:f>IF(OR(C6="",D6=""),"",B6&amp;"-"&amp;UPPER(C6)&amp;"-"&amp;TEXT(D6,"0000")&amp;"-"&amp;E6)</x:f>
        <x:v>M19-DEMO-9999-V0.1</x:v>
      </x:c>
      <x:c r="B6" s="76" t="str">
        <x:v>M19</x:v>
      </x:c>
      <x:c r="C6" s="76" t="str">
        <x:v>DEMO</x:v>
      </x:c>
      <x:c r="D6" s="78" t="n">
        <x:v>9999</x:v>
      </x:c>
      <x:c r="E6" s="76" t="str">
        <x:v>V0.1</x:v>
      </x:c>
      <x:c r="F6" s="76" t="str">
        <x:v>日主状态</x:v>
      </x:c>
      <x:c r="G6" s="76" t="n">
        <x:v>4</x:v>
      </x:c>
      <x:c r="H6" s="76" t="str">
        <x:v>日主旺衰</x:v>
      </x:c>
      <x:c r="I6" s="76" t="str">
        <x:v>M09综合裁定的七级旺衰结论，必须附主要证据、反向证据和置信度。</x:v>
      </x:c>
      <x:c r="J6" s="76" t="str">
        <x:v>M09</x:v>
      </x:c>
      <x:c r="K6" s="76" t="str">
        <x:v>旺衰候选、反向证据、置信等级</x:v>
      </x:c>
      <x:c r="L6" s="76" t="str">
        <x:v>必填</x:v>
      </x:c>
      <x:c r="M6" s="76" t="str">
        <x:v>三层通用</x:v>
      </x:c>
      <x:c r="N6" s="76" t="str">
        <x:v>枚举</x:v>
      </x:c>
      <x:c r="O6" s="76" t="str">
        <x:v>旺衰等级＋主要证据＋反向证据＋置信度</x:v>
      </x:c>
      <x:c r="P6" s="76" t="str">
        <x:v>日主【旺衰等级】；支持证据：【…】；反向证据：【…】；置信度：【…】。</x:v>
      </x:c>
      <x:c r="Q6" s="76" t="str">
        <x:v>整体看，日主处于【旺衰等级】。主要因为【核心证据】，同时也有【反向因素】，所以不宜简单判成【被排除等级】。</x:v>
      </x:c>
      <x:c r="R6" s="76" t="str">
        <x:v>缺少M09结果时禁止输出最终喜忌</x:v>
      </x:c>
      <x:c r="S6" s="76" t="str">
        <x:v>调用M18裁决并保留双方证据</x:v>
      </x:c>
      <x:c r="T6" s="76" t="str">
        <x:v>日主中和偏弱；得令但根气受限，泄耗较多；置信度较高。</x:v>
      </x:c>
      <x:c r="U6" s="76" t="str">
        <x:v>示例字段，正式模板需逐项补齐</x:v>
      </x:c>
      <x:c r="V6" s="76" t="str">
        <x:v>示例</x:v>
      </x:c>
      <x:c r="W6" s="76" t="str">
        <x:v>未审核</x:v>
      </x:c>
      <x:c r="X6" s="86" t="n">
        <x:v>46254</x:v>
      </x:c>
    </x:row>
    <x:row r="7">
      <x:c r="A7" s="72" t="str">
        <x:f>IF(OR(C7="",D7=""),"",B7&amp;"-"&amp;UPPER(C7)&amp;"-"&amp;TEXT(D7,"0000")&amp;"-"&amp;E7)</x:f>
      </x:c>
      <x:c r="B7" s="74" t="str">
        <x:v>M19</x:v>
      </x:c>
      <x:c r="C7" s="74"/>
      <x:c r="D7" s="79"/>
      <x:c r="E7" s="74" t="str">
        <x:v>V1.0</x:v>
      </x:c>
      <x:c r="F7" s="68"/>
      <x:c r="G7" s="68"/>
      <x:c r="H7" s="68"/>
      <x:c r="I7" s="68"/>
      <x:c r="J7" s="68"/>
      <x:c r="K7" s="68"/>
      <x:c r="L7" s="82"/>
      <x:c r="M7" s="82"/>
      <x:c r="N7" s="82"/>
      <x:c r="O7" s="68"/>
      <x:c r="P7" s="68"/>
      <x:c r="Q7" s="68"/>
      <x:c r="R7" s="68"/>
      <x:c r="S7" s="68"/>
      <x:c r="T7" s="68"/>
      <x:c r="U7" s="68"/>
      <x:c r="V7" s="82"/>
      <x:c r="W7" s="82"/>
      <x:c r="X7" s="87"/>
    </x:row>
    <x:row r="8">
      <x:c r="A8" s="72" t="str">
        <x:f>IF(OR(C8="",D8=""),"",B8&amp;"-"&amp;UPPER(C8)&amp;"-"&amp;TEXT(D8,"0000")&amp;"-"&amp;E8)</x:f>
      </x:c>
      <x:c r="B8" s="74" t="str">
        <x:v>M19</x:v>
      </x:c>
      <x:c r="C8" s="74"/>
      <x:c r="D8" s="79"/>
      <x:c r="E8" s="74" t="str">
        <x:v>V1.0</x:v>
      </x:c>
      <x:c r="F8" s="68"/>
      <x:c r="G8" s="68"/>
      <x:c r="H8" s="68"/>
      <x:c r="I8" s="68"/>
      <x:c r="J8" s="68"/>
      <x:c r="K8" s="68"/>
      <x:c r="L8" s="82"/>
      <x:c r="M8" s="82"/>
      <x:c r="N8" s="82"/>
      <x:c r="O8" s="68"/>
      <x:c r="P8" s="68"/>
      <x:c r="Q8" s="68"/>
      <x:c r="R8" s="68"/>
      <x:c r="S8" s="68"/>
      <x:c r="T8" s="68"/>
      <x:c r="U8" s="68"/>
      <x:c r="V8" s="82"/>
      <x:c r="W8" s="82"/>
      <x:c r="X8" s="87"/>
    </x:row>
    <x:row r="9">
      <x:c r="A9" s="72" t="str">
        <x:f>IF(OR(C9="",D9=""),"",B9&amp;"-"&amp;UPPER(C9)&amp;"-"&amp;TEXT(D9,"0000")&amp;"-"&amp;E9)</x:f>
      </x:c>
      <x:c r="B9" s="74" t="str">
        <x:v>M19</x:v>
      </x:c>
      <x:c r="C9" s="74"/>
      <x:c r="D9" s="79"/>
      <x:c r="E9" s="74" t="str">
        <x:v>V1.0</x:v>
      </x:c>
      <x:c r="F9" s="68"/>
      <x:c r="G9" s="68"/>
      <x:c r="H9" s="68"/>
      <x:c r="I9" s="68"/>
      <x:c r="J9" s="68"/>
      <x:c r="K9" s="68"/>
      <x:c r="L9" s="82"/>
      <x:c r="M9" s="82"/>
      <x:c r="N9" s="82"/>
      <x:c r="O9" s="68"/>
      <x:c r="P9" s="68"/>
      <x:c r="Q9" s="68"/>
      <x:c r="R9" s="68"/>
      <x:c r="S9" s="68"/>
      <x:c r="T9" s="68"/>
      <x:c r="U9" s="68"/>
      <x:c r="V9" s="82"/>
      <x:c r="W9" s="82"/>
      <x:c r="X9" s="87"/>
    </x:row>
    <x:row r="10">
      <x:c r="A10" s="72" t="str">
        <x:f>IF(OR(C10="",D10=""),"",B10&amp;"-"&amp;UPPER(C10)&amp;"-"&amp;TEXT(D10,"0000")&amp;"-"&amp;E10)</x:f>
      </x:c>
      <x:c r="B10" s="74" t="str">
        <x:v>M19</x:v>
      </x:c>
      <x:c r="C10" s="74"/>
      <x:c r="D10" s="79"/>
      <x:c r="E10" s="74" t="str">
        <x:v>V1.0</x:v>
      </x:c>
      <x:c r="F10" s="68"/>
      <x:c r="G10" s="68"/>
      <x:c r="H10" s="68"/>
      <x:c r="I10" s="68"/>
      <x:c r="J10" s="68"/>
      <x:c r="K10" s="68"/>
      <x:c r="L10" s="82"/>
      <x:c r="M10" s="82"/>
      <x:c r="N10" s="82"/>
      <x:c r="O10" s="68"/>
      <x:c r="P10" s="68"/>
      <x:c r="Q10" s="68"/>
      <x:c r="R10" s="68"/>
      <x:c r="S10" s="68"/>
      <x:c r="T10" s="68"/>
      <x:c r="U10" s="68"/>
      <x:c r="V10" s="82"/>
      <x:c r="W10" s="82"/>
      <x:c r="X10" s="87"/>
    </x:row>
    <x:row r="11">
      <x:c r="A11" s="72" t="str">
        <x:f>IF(OR(C11="",D11=""),"",B11&amp;"-"&amp;UPPER(C11)&amp;"-"&amp;TEXT(D11,"0000")&amp;"-"&amp;E11)</x:f>
      </x:c>
      <x:c r="B11" s="74" t="str">
        <x:v>M19</x:v>
      </x:c>
      <x:c r="C11" s="74"/>
      <x:c r="D11" s="79"/>
      <x:c r="E11" s="74" t="str">
        <x:v>V1.0</x:v>
      </x:c>
      <x:c r="F11" s="68"/>
      <x:c r="G11" s="68"/>
      <x:c r="H11" s="68"/>
      <x:c r="I11" s="68"/>
      <x:c r="J11" s="68"/>
      <x:c r="K11" s="68"/>
      <x:c r="L11" s="82"/>
      <x:c r="M11" s="82"/>
      <x:c r="N11" s="82"/>
      <x:c r="O11" s="68"/>
      <x:c r="P11" s="68"/>
      <x:c r="Q11" s="68"/>
      <x:c r="R11" s="68"/>
      <x:c r="S11" s="68"/>
      <x:c r="T11" s="68"/>
      <x:c r="U11" s="68"/>
      <x:c r="V11" s="82"/>
      <x:c r="W11" s="82"/>
      <x:c r="X11" s="87"/>
    </x:row>
    <x:row r="12">
      <x:c r="A12" s="72" t="str">
        <x:f>IF(OR(C12="",D12=""),"",B12&amp;"-"&amp;UPPER(C12)&amp;"-"&amp;TEXT(D12,"0000")&amp;"-"&amp;E12)</x:f>
      </x:c>
      <x:c r="B12" s="74" t="str">
        <x:v>M19</x:v>
      </x:c>
      <x:c r="C12" s="74"/>
      <x:c r="D12" s="79"/>
      <x:c r="E12" s="74" t="str">
        <x:v>V1.0</x:v>
      </x:c>
      <x:c r="F12" s="68"/>
      <x:c r="G12" s="68"/>
      <x:c r="H12" s="68"/>
      <x:c r="I12" s="68"/>
      <x:c r="J12" s="68"/>
      <x:c r="K12" s="68"/>
      <x:c r="L12" s="82"/>
      <x:c r="M12" s="82"/>
      <x:c r="N12" s="82"/>
      <x:c r="O12" s="68"/>
      <x:c r="P12" s="68"/>
      <x:c r="Q12" s="68"/>
      <x:c r="R12" s="68"/>
      <x:c r="S12" s="68"/>
      <x:c r="T12" s="68"/>
      <x:c r="U12" s="68"/>
      <x:c r="V12" s="82"/>
      <x:c r="W12" s="82"/>
      <x:c r="X12" s="87"/>
    </x:row>
    <x:row r="13">
      <x:c r="A13" s="72" t="str">
        <x:f>IF(OR(C13="",D13=""),"",B13&amp;"-"&amp;UPPER(C13)&amp;"-"&amp;TEXT(D13,"0000")&amp;"-"&amp;E13)</x:f>
      </x:c>
      <x:c r="B13" s="74" t="str">
        <x:v>M19</x:v>
      </x:c>
      <x:c r="C13" s="74"/>
      <x:c r="D13" s="79"/>
      <x:c r="E13" s="74" t="str">
        <x:v>V1.0</x:v>
      </x:c>
      <x:c r="F13" s="68"/>
      <x:c r="G13" s="68"/>
      <x:c r="H13" s="68"/>
      <x:c r="I13" s="68"/>
      <x:c r="J13" s="68"/>
      <x:c r="K13" s="68"/>
      <x:c r="L13" s="82"/>
      <x:c r="M13" s="82"/>
      <x:c r="N13" s="82"/>
      <x:c r="O13" s="68"/>
      <x:c r="P13" s="68"/>
      <x:c r="Q13" s="68"/>
      <x:c r="R13" s="68"/>
      <x:c r="S13" s="68"/>
      <x:c r="T13" s="68"/>
      <x:c r="U13" s="68"/>
      <x:c r="V13" s="82"/>
      <x:c r="W13" s="82"/>
      <x:c r="X13" s="87"/>
    </x:row>
    <x:row r="14">
      <x:c r="A14" s="72" t="str">
        <x:f>IF(OR(C14="",D14=""),"",B14&amp;"-"&amp;UPPER(C14)&amp;"-"&amp;TEXT(D14,"0000")&amp;"-"&amp;E14)</x:f>
      </x:c>
      <x:c r="B14" s="74" t="str">
        <x:v>M19</x:v>
      </x:c>
      <x:c r="C14" s="74"/>
      <x:c r="D14" s="79"/>
      <x:c r="E14" s="74" t="str">
        <x:v>V1.0</x:v>
      </x:c>
      <x:c r="F14" s="68"/>
      <x:c r="G14" s="68"/>
      <x:c r="H14" s="68"/>
      <x:c r="I14" s="68"/>
      <x:c r="J14" s="68"/>
      <x:c r="K14" s="68"/>
      <x:c r="L14" s="82"/>
      <x:c r="M14" s="82"/>
      <x:c r="N14" s="82"/>
      <x:c r="O14" s="68"/>
      <x:c r="P14" s="68"/>
      <x:c r="Q14" s="68"/>
      <x:c r="R14" s="68"/>
      <x:c r="S14" s="68"/>
      <x:c r="T14" s="68"/>
      <x:c r="U14" s="68"/>
      <x:c r="V14" s="82"/>
      <x:c r="W14" s="82"/>
      <x:c r="X14" s="87"/>
    </x:row>
    <x:row r="15">
      <x:c r="A15" s="72" t="str">
        <x:f>IF(OR(C15="",D15=""),"",B15&amp;"-"&amp;UPPER(C15)&amp;"-"&amp;TEXT(D15,"0000")&amp;"-"&amp;E15)</x:f>
      </x:c>
      <x:c r="B15" s="74" t="str">
        <x:v>M19</x:v>
      </x:c>
      <x:c r="C15" s="74"/>
      <x:c r="D15" s="79"/>
      <x:c r="E15" s="74" t="str">
        <x:v>V1.0</x:v>
      </x:c>
      <x:c r="F15" s="68"/>
      <x:c r="G15" s="68"/>
      <x:c r="H15" s="68"/>
      <x:c r="I15" s="68"/>
      <x:c r="J15" s="68"/>
      <x:c r="K15" s="68"/>
      <x:c r="L15" s="82"/>
      <x:c r="M15" s="82"/>
      <x:c r="N15" s="82"/>
      <x:c r="O15" s="68"/>
      <x:c r="P15" s="68"/>
      <x:c r="Q15" s="68"/>
      <x:c r="R15" s="68"/>
      <x:c r="S15" s="68"/>
      <x:c r="T15" s="68"/>
      <x:c r="U15" s="68"/>
      <x:c r="V15" s="82"/>
      <x:c r="W15" s="82"/>
      <x:c r="X15" s="87"/>
    </x:row>
    <x:row r="16">
      <x:c r="A16" s="72" t="str">
        <x:f>IF(OR(C16="",D16=""),"",B16&amp;"-"&amp;UPPER(C16)&amp;"-"&amp;TEXT(D16,"0000")&amp;"-"&amp;E16)</x:f>
      </x:c>
      <x:c r="B16" s="74" t="str">
        <x:v>M19</x:v>
      </x:c>
      <x:c r="C16" s="74"/>
      <x:c r="D16" s="79"/>
      <x:c r="E16" s="74" t="str">
        <x:v>V1.0</x:v>
      </x:c>
      <x:c r="F16" s="68"/>
      <x:c r="G16" s="68"/>
      <x:c r="H16" s="68"/>
      <x:c r="I16" s="68"/>
      <x:c r="J16" s="68"/>
      <x:c r="K16" s="68"/>
      <x:c r="L16" s="82"/>
      <x:c r="M16" s="82"/>
      <x:c r="N16" s="82"/>
      <x:c r="O16" s="68"/>
      <x:c r="P16" s="68"/>
      <x:c r="Q16" s="68"/>
      <x:c r="R16" s="68"/>
      <x:c r="S16" s="68"/>
      <x:c r="T16" s="68"/>
      <x:c r="U16" s="68"/>
      <x:c r="V16" s="82"/>
      <x:c r="W16" s="82"/>
      <x:c r="X16" s="87"/>
    </x:row>
    <x:row r="17">
      <x:c r="A17" s="72" t="str">
        <x:f>IF(OR(C17="",D17=""),"",B17&amp;"-"&amp;UPPER(C17)&amp;"-"&amp;TEXT(D17,"0000")&amp;"-"&amp;E17)</x:f>
      </x:c>
      <x:c r="B17" s="74" t="str">
        <x:v>M19</x:v>
      </x:c>
      <x:c r="C17" s="74"/>
      <x:c r="D17" s="79"/>
      <x:c r="E17" s="74" t="str">
        <x:v>V1.0</x:v>
      </x:c>
      <x:c r="F17" s="68"/>
      <x:c r="G17" s="68"/>
      <x:c r="H17" s="68"/>
      <x:c r="I17" s="68"/>
      <x:c r="J17" s="68"/>
      <x:c r="K17" s="68"/>
      <x:c r="L17" s="82"/>
      <x:c r="M17" s="82"/>
      <x:c r="N17" s="82"/>
      <x:c r="O17" s="68"/>
      <x:c r="P17" s="68"/>
      <x:c r="Q17" s="68"/>
      <x:c r="R17" s="68"/>
      <x:c r="S17" s="68"/>
      <x:c r="T17" s="68"/>
      <x:c r="U17" s="68"/>
      <x:c r="V17" s="82"/>
      <x:c r="W17" s="82"/>
      <x:c r="X17" s="87"/>
    </x:row>
    <x:row r="18">
      <x:c r="A18" s="72" t="str">
        <x:f>IF(OR(C18="",D18=""),"",B18&amp;"-"&amp;UPPER(C18)&amp;"-"&amp;TEXT(D18,"0000")&amp;"-"&amp;E18)</x:f>
      </x:c>
      <x:c r="B18" s="74" t="str">
        <x:v>M19</x:v>
      </x:c>
      <x:c r="C18" s="74"/>
      <x:c r="D18" s="79"/>
      <x:c r="E18" s="74" t="str">
        <x:v>V1.0</x:v>
      </x:c>
      <x:c r="F18" s="68"/>
      <x:c r="G18" s="68"/>
      <x:c r="H18" s="68"/>
      <x:c r="I18" s="68"/>
      <x:c r="J18" s="68"/>
      <x:c r="K18" s="68"/>
      <x:c r="L18" s="82"/>
      <x:c r="M18" s="82"/>
      <x:c r="N18" s="82"/>
      <x:c r="O18" s="68"/>
      <x:c r="P18" s="68"/>
      <x:c r="Q18" s="68"/>
      <x:c r="R18" s="68"/>
      <x:c r="S18" s="68"/>
      <x:c r="T18" s="68"/>
      <x:c r="U18" s="68"/>
      <x:c r="V18" s="82"/>
      <x:c r="W18" s="82"/>
      <x:c r="X18" s="87"/>
    </x:row>
    <x:row r="19">
      <x:c r="A19" s="72" t="str">
        <x:f>IF(OR(C19="",D19=""),"",B19&amp;"-"&amp;UPPER(C19)&amp;"-"&amp;TEXT(D19,"0000")&amp;"-"&amp;E19)</x:f>
      </x:c>
      <x:c r="B19" s="74" t="str">
        <x:v>M19</x:v>
      </x:c>
      <x:c r="C19" s="74"/>
      <x:c r="D19" s="79"/>
      <x:c r="E19" s="74" t="str">
        <x:v>V1.0</x:v>
      </x:c>
      <x:c r="F19" s="68"/>
      <x:c r="G19" s="68"/>
      <x:c r="H19" s="68"/>
      <x:c r="I19" s="68"/>
      <x:c r="J19" s="68"/>
      <x:c r="K19" s="68"/>
      <x:c r="L19" s="82"/>
      <x:c r="M19" s="82"/>
      <x:c r="N19" s="82"/>
      <x:c r="O19" s="68"/>
      <x:c r="P19" s="68"/>
      <x:c r="Q19" s="68"/>
      <x:c r="R19" s="68"/>
      <x:c r="S19" s="68"/>
      <x:c r="T19" s="68"/>
      <x:c r="U19" s="68"/>
      <x:c r="V19" s="82"/>
      <x:c r="W19" s="82"/>
      <x:c r="X19" s="87"/>
    </x:row>
    <x:row r="20">
      <x:c r="A20" s="72" t="str">
        <x:f>IF(OR(C20="",D20=""),"",B20&amp;"-"&amp;UPPER(C20)&amp;"-"&amp;TEXT(D20,"0000")&amp;"-"&amp;E20)</x:f>
      </x:c>
      <x:c r="B20" s="74" t="str">
        <x:v>M19</x:v>
      </x:c>
      <x:c r="C20" s="74"/>
      <x:c r="D20" s="79"/>
      <x:c r="E20" s="74" t="str">
        <x:v>V1.0</x:v>
      </x:c>
      <x:c r="F20" s="68"/>
      <x:c r="G20" s="68"/>
      <x:c r="H20" s="68"/>
      <x:c r="I20" s="68"/>
      <x:c r="J20" s="68"/>
      <x:c r="K20" s="68"/>
      <x:c r="L20" s="82"/>
      <x:c r="M20" s="82"/>
      <x:c r="N20" s="82"/>
      <x:c r="O20" s="68"/>
      <x:c r="P20" s="68"/>
      <x:c r="Q20" s="68"/>
      <x:c r="R20" s="68"/>
      <x:c r="S20" s="68"/>
      <x:c r="T20" s="68"/>
      <x:c r="U20" s="68"/>
      <x:c r="V20" s="82"/>
      <x:c r="W20" s="82"/>
      <x:c r="X20" s="87"/>
    </x:row>
    <x:row r="21">
      <x:c r="A21" s="72" t="str">
        <x:f>IF(OR(C21="",D21=""),"",B21&amp;"-"&amp;UPPER(C21)&amp;"-"&amp;TEXT(D21,"0000")&amp;"-"&amp;E21)</x:f>
      </x:c>
      <x:c r="B21" s="74" t="str">
        <x:v>M19</x:v>
      </x:c>
      <x:c r="C21" s="74"/>
      <x:c r="D21" s="79"/>
      <x:c r="E21" s="74" t="str">
        <x:v>V1.0</x:v>
      </x:c>
      <x:c r="F21" s="68"/>
      <x:c r="G21" s="68"/>
      <x:c r="H21" s="68"/>
      <x:c r="I21" s="68"/>
      <x:c r="J21" s="68"/>
      <x:c r="K21" s="68"/>
      <x:c r="L21" s="82"/>
      <x:c r="M21" s="82"/>
      <x:c r="N21" s="82"/>
      <x:c r="O21" s="68"/>
      <x:c r="P21" s="68"/>
      <x:c r="Q21" s="68"/>
      <x:c r="R21" s="68"/>
      <x:c r="S21" s="68"/>
      <x:c r="T21" s="68"/>
      <x:c r="U21" s="68"/>
      <x:c r="V21" s="82"/>
      <x:c r="W21" s="82"/>
      <x:c r="X21" s="87"/>
    </x:row>
    <x:row r="22">
      <x:c r="A22" s="72" t="str">
        <x:f>IF(OR(C22="",D22=""),"",B22&amp;"-"&amp;UPPER(C22)&amp;"-"&amp;TEXT(D22,"0000")&amp;"-"&amp;E22)</x:f>
      </x:c>
      <x:c r="B22" s="74" t="str">
        <x:v>M19</x:v>
      </x:c>
      <x:c r="C22" s="74"/>
      <x:c r="D22" s="79"/>
      <x:c r="E22" s="74" t="str">
        <x:v>V1.0</x:v>
      </x:c>
      <x:c r="F22" s="68"/>
      <x:c r="G22" s="68"/>
      <x:c r="H22" s="68"/>
      <x:c r="I22" s="68"/>
      <x:c r="J22" s="68"/>
      <x:c r="K22" s="68"/>
      <x:c r="L22" s="82"/>
      <x:c r="M22" s="82"/>
      <x:c r="N22" s="82"/>
      <x:c r="O22" s="68"/>
      <x:c r="P22" s="68"/>
      <x:c r="Q22" s="68"/>
      <x:c r="R22" s="68"/>
      <x:c r="S22" s="68"/>
      <x:c r="T22" s="68"/>
      <x:c r="U22" s="68"/>
      <x:c r="V22" s="82"/>
      <x:c r="W22" s="82"/>
      <x:c r="X22" s="87"/>
    </x:row>
    <x:row r="23">
      <x:c r="A23" s="72" t="str">
        <x:f>IF(OR(C23="",D23=""),"",B23&amp;"-"&amp;UPPER(C23)&amp;"-"&amp;TEXT(D23,"0000")&amp;"-"&amp;E23)</x:f>
      </x:c>
      <x:c r="B23" s="74" t="str">
        <x:v>M19</x:v>
      </x:c>
      <x:c r="C23" s="74"/>
      <x:c r="D23" s="79"/>
      <x:c r="E23" s="74" t="str">
        <x:v>V1.0</x:v>
      </x:c>
      <x:c r="F23" s="68"/>
      <x:c r="G23" s="68"/>
      <x:c r="H23" s="68"/>
      <x:c r="I23" s="68"/>
      <x:c r="J23" s="68"/>
      <x:c r="K23" s="68"/>
      <x:c r="L23" s="82"/>
      <x:c r="M23" s="82"/>
      <x:c r="N23" s="82"/>
      <x:c r="O23" s="68"/>
      <x:c r="P23" s="68"/>
      <x:c r="Q23" s="68"/>
      <x:c r="R23" s="68"/>
      <x:c r="S23" s="68"/>
      <x:c r="T23" s="68"/>
      <x:c r="U23" s="68"/>
      <x:c r="V23" s="82"/>
      <x:c r="W23" s="82"/>
      <x:c r="X23" s="87"/>
    </x:row>
    <x:row r="24">
      <x:c r="A24" s="72" t="str">
        <x:f>IF(OR(C24="",D24=""),"",B24&amp;"-"&amp;UPPER(C24)&amp;"-"&amp;TEXT(D24,"0000")&amp;"-"&amp;E24)</x:f>
      </x:c>
      <x:c r="B24" s="74" t="str">
        <x:v>M19</x:v>
      </x:c>
      <x:c r="C24" s="74"/>
      <x:c r="D24" s="79"/>
      <x:c r="E24" s="74" t="str">
        <x:v>V1.0</x:v>
      </x:c>
      <x:c r="F24" s="68"/>
      <x:c r="G24" s="68"/>
      <x:c r="H24" s="68"/>
      <x:c r="I24" s="68"/>
      <x:c r="J24" s="68"/>
      <x:c r="K24" s="68"/>
      <x:c r="L24" s="82"/>
      <x:c r="M24" s="82"/>
      <x:c r="N24" s="82"/>
      <x:c r="O24" s="68"/>
      <x:c r="P24" s="68"/>
      <x:c r="Q24" s="68"/>
      <x:c r="R24" s="68"/>
      <x:c r="S24" s="68"/>
      <x:c r="T24" s="68"/>
      <x:c r="U24" s="68"/>
      <x:c r="V24" s="82"/>
      <x:c r="W24" s="82"/>
      <x:c r="X24" s="87"/>
    </x:row>
    <x:row r="25">
      <x:c r="A25" s="72" t="str">
        <x:f>IF(OR(C25="",D25=""),"",B25&amp;"-"&amp;UPPER(C25)&amp;"-"&amp;TEXT(D25,"0000")&amp;"-"&amp;E25)</x:f>
      </x:c>
      <x:c r="B25" s="74" t="str">
        <x:v>M19</x:v>
      </x:c>
      <x:c r="C25" s="74"/>
      <x:c r="D25" s="79"/>
      <x:c r="E25" s="74" t="str">
        <x:v>V1.0</x:v>
      </x:c>
      <x:c r="F25" s="68"/>
      <x:c r="G25" s="68"/>
      <x:c r="H25" s="68"/>
      <x:c r="I25" s="68"/>
      <x:c r="J25" s="68"/>
      <x:c r="K25" s="68"/>
      <x:c r="L25" s="82"/>
      <x:c r="M25" s="82"/>
      <x:c r="N25" s="82"/>
      <x:c r="O25" s="68"/>
      <x:c r="P25" s="68"/>
      <x:c r="Q25" s="68"/>
      <x:c r="R25" s="68"/>
      <x:c r="S25" s="68"/>
      <x:c r="T25" s="68"/>
      <x:c r="U25" s="68"/>
      <x:c r="V25" s="82"/>
      <x:c r="W25" s="82"/>
      <x:c r="X25" s="87"/>
    </x:row>
    <x:row r="26">
      <x:c r="A26" s="72" t="str">
        <x:f>IF(OR(C26="",D26=""),"",B26&amp;"-"&amp;UPPER(C26)&amp;"-"&amp;TEXT(D26,"0000")&amp;"-"&amp;E26)</x:f>
      </x:c>
      <x:c r="B26" s="74" t="str">
        <x:v>M19</x:v>
      </x:c>
      <x:c r="C26" s="74"/>
      <x:c r="D26" s="79"/>
      <x:c r="E26" s="74" t="str">
        <x:v>V1.0</x:v>
      </x:c>
      <x:c r="F26" s="68"/>
      <x:c r="G26" s="68"/>
      <x:c r="H26" s="68"/>
      <x:c r="I26" s="68"/>
      <x:c r="J26" s="68"/>
      <x:c r="K26" s="68"/>
      <x:c r="L26" s="82"/>
      <x:c r="M26" s="82"/>
      <x:c r="N26" s="82"/>
      <x:c r="O26" s="68"/>
      <x:c r="P26" s="68"/>
      <x:c r="Q26" s="68"/>
      <x:c r="R26" s="68"/>
      <x:c r="S26" s="68"/>
      <x:c r="T26" s="68"/>
      <x:c r="U26" s="68"/>
      <x:c r="V26" s="82"/>
      <x:c r="W26" s="82"/>
      <x:c r="X26" s="87"/>
    </x:row>
    <x:row r="27">
      <x:c r="A27" s="72" t="str">
        <x:f>IF(OR(C27="",D27=""),"",B27&amp;"-"&amp;UPPER(C27)&amp;"-"&amp;TEXT(D27,"0000")&amp;"-"&amp;E27)</x:f>
      </x:c>
      <x:c r="B27" s="74" t="str">
        <x:v>M19</x:v>
      </x:c>
      <x:c r="C27" s="74"/>
      <x:c r="D27" s="79"/>
      <x:c r="E27" s="74" t="str">
        <x:v>V1.0</x:v>
      </x:c>
      <x:c r="F27" s="68"/>
      <x:c r="G27" s="68"/>
      <x:c r="H27" s="68"/>
      <x:c r="I27" s="68"/>
      <x:c r="J27" s="68"/>
      <x:c r="K27" s="68"/>
      <x:c r="L27" s="82"/>
      <x:c r="M27" s="82"/>
      <x:c r="N27" s="82"/>
      <x:c r="O27" s="68"/>
      <x:c r="P27" s="68"/>
      <x:c r="Q27" s="68"/>
      <x:c r="R27" s="68"/>
      <x:c r="S27" s="68"/>
      <x:c r="T27" s="68"/>
      <x:c r="U27" s="68"/>
      <x:c r="V27" s="82"/>
      <x:c r="W27" s="82"/>
      <x:c r="X27" s="87"/>
    </x:row>
    <x:row r="28">
      <x:c r="A28" s="72" t="str">
        <x:f>IF(OR(C28="",D28=""),"",B28&amp;"-"&amp;UPPER(C28)&amp;"-"&amp;TEXT(D28,"0000")&amp;"-"&amp;E28)</x:f>
      </x:c>
      <x:c r="B28" s="74" t="str">
        <x:v>M19</x:v>
      </x:c>
      <x:c r="C28" s="74"/>
      <x:c r="D28" s="79"/>
      <x:c r="E28" s="74" t="str">
        <x:v>V1.0</x:v>
      </x:c>
      <x:c r="F28" s="68"/>
      <x:c r="G28" s="68"/>
      <x:c r="H28" s="68"/>
      <x:c r="I28" s="68"/>
      <x:c r="J28" s="68"/>
      <x:c r="K28" s="68"/>
      <x:c r="L28" s="82"/>
      <x:c r="M28" s="82"/>
      <x:c r="N28" s="82"/>
      <x:c r="O28" s="68"/>
      <x:c r="P28" s="68"/>
      <x:c r="Q28" s="68"/>
      <x:c r="R28" s="68"/>
      <x:c r="S28" s="68"/>
      <x:c r="T28" s="68"/>
      <x:c r="U28" s="68"/>
      <x:c r="V28" s="82"/>
      <x:c r="W28" s="82"/>
      <x:c r="X28" s="87"/>
    </x:row>
    <x:row r="29">
      <x:c r="A29" s="72" t="str">
        <x:f>IF(OR(C29="",D29=""),"",B29&amp;"-"&amp;UPPER(C29)&amp;"-"&amp;TEXT(D29,"0000")&amp;"-"&amp;E29)</x:f>
      </x:c>
      <x:c r="B29" s="74" t="str">
        <x:v>M19</x:v>
      </x:c>
      <x:c r="C29" s="74"/>
      <x:c r="D29" s="79"/>
      <x:c r="E29" s="74" t="str">
        <x:v>V1.0</x:v>
      </x:c>
      <x:c r="F29" s="68"/>
      <x:c r="G29" s="68"/>
      <x:c r="H29" s="68"/>
      <x:c r="I29" s="68"/>
      <x:c r="J29" s="68"/>
      <x:c r="K29" s="68"/>
      <x:c r="L29" s="82"/>
      <x:c r="M29" s="82"/>
      <x:c r="N29" s="82"/>
      <x:c r="O29" s="68"/>
      <x:c r="P29" s="68"/>
      <x:c r="Q29" s="68"/>
      <x:c r="R29" s="68"/>
      <x:c r="S29" s="68"/>
      <x:c r="T29" s="68"/>
      <x:c r="U29" s="68"/>
      <x:c r="V29" s="82"/>
      <x:c r="W29" s="82"/>
      <x:c r="X29" s="87"/>
    </x:row>
    <x:row r="30">
      <x:c r="A30" s="72" t="str">
        <x:f>IF(OR(C30="",D30=""),"",B30&amp;"-"&amp;UPPER(C30)&amp;"-"&amp;TEXT(D30,"0000")&amp;"-"&amp;E30)</x:f>
      </x:c>
      <x:c r="B30" s="74" t="str">
        <x:v>M19</x:v>
      </x:c>
      <x:c r="C30" s="74"/>
      <x:c r="D30" s="79"/>
      <x:c r="E30" s="74" t="str">
        <x:v>V1.0</x:v>
      </x:c>
      <x:c r="F30" s="68"/>
      <x:c r="G30" s="68"/>
      <x:c r="H30" s="68"/>
      <x:c r="I30" s="68"/>
      <x:c r="J30" s="68"/>
      <x:c r="K30" s="68"/>
      <x:c r="L30" s="82"/>
      <x:c r="M30" s="82"/>
      <x:c r="N30" s="82"/>
      <x:c r="O30" s="68"/>
      <x:c r="P30" s="68"/>
      <x:c r="Q30" s="68"/>
      <x:c r="R30" s="68"/>
      <x:c r="S30" s="68"/>
      <x:c r="T30" s="68"/>
      <x:c r="U30" s="68"/>
      <x:c r="V30" s="82"/>
      <x:c r="W30" s="82"/>
      <x:c r="X30" s="87"/>
    </x:row>
    <x:row r="31">
      <x:c r="A31" s="72" t="str">
        <x:f>IF(OR(C31="",D31=""),"",B31&amp;"-"&amp;UPPER(C31)&amp;"-"&amp;TEXT(D31,"0000")&amp;"-"&amp;E31)</x:f>
      </x:c>
      <x:c r="B31" s="74" t="str">
        <x:v>M19</x:v>
      </x:c>
      <x:c r="C31" s="74"/>
      <x:c r="D31" s="79"/>
      <x:c r="E31" s="74" t="str">
        <x:v>V1.0</x:v>
      </x:c>
      <x:c r="F31" s="68"/>
      <x:c r="G31" s="68"/>
      <x:c r="H31" s="68"/>
      <x:c r="I31" s="68"/>
      <x:c r="J31" s="68"/>
      <x:c r="K31" s="68"/>
      <x:c r="L31" s="82"/>
      <x:c r="M31" s="82"/>
      <x:c r="N31" s="82"/>
      <x:c r="O31" s="68"/>
      <x:c r="P31" s="68"/>
      <x:c r="Q31" s="68"/>
      <x:c r="R31" s="68"/>
      <x:c r="S31" s="68"/>
      <x:c r="T31" s="68"/>
      <x:c r="U31" s="68"/>
      <x:c r="V31" s="82"/>
      <x:c r="W31" s="82"/>
      <x:c r="X31" s="87"/>
    </x:row>
    <x:row r="32">
      <x:c r="A32" s="72" t="str">
        <x:f>IF(OR(C32="",D32=""),"",B32&amp;"-"&amp;UPPER(C32)&amp;"-"&amp;TEXT(D32,"0000")&amp;"-"&amp;E32)</x:f>
      </x:c>
      <x:c r="B32" s="74" t="str">
        <x:v>M19</x:v>
      </x:c>
      <x:c r="C32" s="74"/>
      <x:c r="D32" s="79"/>
      <x:c r="E32" s="74" t="str">
        <x:v>V1.0</x:v>
      </x:c>
      <x:c r="F32" s="68"/>
      <x:c r="G32" s="68"/>
      <x:c r="H32" s="68"/>
      <x:c r="I32" s="68"/>
      <x:c r="J32" s="68"/>
      <x:c r="K32" s="68"/>
      <x:c r="L32" s="82"/>
      <x:c r="M32" s="82"/>
      <x:c r="N32" s="82"/>
      <x:c r="O32" s="68"/>
      <x:c r="P32" s="68"/>
      <x:c r="Q32" s="68"/>
      <x:c r="R32" s="68"/>
      <x:c r="S32" s="68"/>
      <x:c r="T32" s="68"/>
      <x:c r="U32" s="68"/>
      <x:c r="V32" s="82"/>
      <x:c r="W32" s="82"/>
      <x:c r="X32" s="87"/>
    </x:row>
    <x:row r="33">
      <x:c r="A33" s="72" t="str">
        <x:f>IF(OR(C33="",D33=""),"",B33&amp;"-"&amp;UPPER(C33)&amp;"-"&amp;TEXT(D33,"0000")&amp;"-"&amp;E33)</x:f>
      </x:c>
      <x:c r="B33" s="74" t="str">
        <x:v>M19</x:v>
      </x:c>
      <x:c r="C33" s="74"/>
      <x:c r="D33" s="79"/>
      <x:c r="E33" s="74" t="str">
        <x:v>V1.0</x:v>
      </x:c>
      <x:c r="F33" s="68"/>
      <x:c r="G33" s="68"/>
      <x:c r="H33" s="68"/>
      <x:c r="I33" s="68"/>
      <x:c r="J33" s="68"/>
      <x:c r="K33" s="68"/>
      <x:c r="L33" s="82"/>
      <x:c r="M33" s="82"/>
      <x:c r="N33" s="82"/>
      <x:c r="O33" s="68"/>
      <x:c r="P33" s="68"/>
      <x:c r="Q33" s="68"/>
      <x:c r="R33" s="68"/>
      <x:c r="S33" s="68"/>
      <x:c r="T33" s="68"/>
      <x:c r="U33" s="68"/>
      <x:c r="V33" s="82"/>
      <x:c r="W33" s="82"/>
      <x:c r="X33" s="87"/>
    </x:row>
    <x:row r="34">
      <x:c r="A34" s="72" t="str">
        <x:f>IF(OR(C34="",D34=""),"",B34&amp;"-"&amp;UPPER(C34)&amp;"-"&amp;TEXT(D34,"0000")&amp;"-"&amp;E34)</x:f>
      </x:c>
      <x:c r="B34" s="74" t="str">
        <x:v>M19</x:v>
      </x:c>
      <x:c r="C34" s="74"/>
      <x:c r="D34" s="79"/>
      <x:c r="E34" s="74" t="str">
        <x:v>V1.0</x:v>
      </x:c>
      <x:c r="F34" s="68"/>
      <x:c r="G34" s="68"/>
      <x:c r="H34" s="68"/>
      <x:c r="I34" s="68"/>
      <x:c r="J34" s="68"/>
      <x:c r="K34" s="68"/>
      <x:c r="L34" s="82"/>
      <x:c r="M34" s="82"/>
      <x:c r="N34" s="82"/>
      <x:c r="O34" s="68"/>
      <x:c r="P34" s="68"/>
      <x:c r="Q34" s="68"/>
      <x:c r="R34" s="68"/>
      <x:c r="S34" s="68"/>
      <x:c r="T34" s="68"/>
      <x:c r="U34" s="68"/>
      <x:c r="V34" s="82"/>
      <x:c r="W34" s="82"/>
      <x:c r="X34" s="87"/>
    </x:row>
    <x:row r="35">
      <x:c r="A35" s="72" t="str">
        <x:f>IF(OR(C35="",D35=""),"",B35&amp;"-"&amp;UPPER(C35)&amp;"-"&amp;TEXT(D35,"0000")&amp;"-"&amp;E35)</x:f>
      </x:c>
      <x:c r="B35" s="74" t="str">
        <x:v>M19</x:v>
      </x:c>
      <x:c r="C35" s="74"/>
      <x:c r="D35" s="79"/>
      <x:c r="E35" s="74" t="str">
        <x:v>V1.0</x:v>
      </x:c>
      <x:c r="F35" s="68"/>
      <x:c r="G35" s="68"/>
      <x:c r="H35" s="68"/>
      <x:c r="I35" s="68"/>
      <x:c r="J35" s="68"/>
      <x:c r="K35" s="68"/>
      <x:c r="L35" s="82"/>
      <x:c r="M35" s="82"/>
      <x:c r="N35" s="82"/>
      <x:c r="O35" s="68"/>
      <x:c r="P35" s="68"/>
      <x:c r="Q35" s="68"/>
      <x:c r="R35" s="68"/>
      <x:c r="S35" s="68"/>
      <x:c r="T35" s="68"/>
      <x:c r="U35" s="68"/>
      <x:c r="V35" s="82"/>
      <x:c r="W35" s="82"/>
      <x:c r="X35" s="87"/>
    </x:row>
    <x:row r="36">
      <x:c r="A36" s="72" t="str">
        <x:f>IF(OR(C36="",D36=""),"",B36&amp;"-"&amp;UPPER(C36)&amp;"-"&amp;TEXT(D36,"0000")&amp;"-"&amp;E36)</x:f>
      </x:c>
      <x:c r="B36" s="74" t="str">
        <x:v>M19</x:v>
      </x:c>
      <x:c r="C36" s="74"/>
      <x:c r="D36" s="79"/>
      <x:c r="E36" s="74" t="str">
        <x:v>V1.0</x:v>
      </x:c>
      <x:c r="F36" s="68"/>
      <x:c r="G36" s="68"/>
      <x:c r="H36" s="68"/>
      <x:c r="I36" s="68"/>
      <x:c r="J36" s="68"/>
      <x:c r="K36" s="68"/>
      <x:c r="L36" s="82"/>
      <x:c r="M36" s="82"/>
      <x:c r="N36" s="82"/>
      <x:c r="O36" s="68"/>
      <x:c r="P36" s="68"/>
      <x:c r="Q36" s="68"/>
      <x:c r="R36" s="68"/>
      <x:c r="S36" s="68"/>
      <x:c r="T36" s="68"/>
      <x:c r="U36" s="68"/>
      <x:c r="V36" s="82"/>
      <x:c r="W36" s="82"/>
      <x:c r="X36" s="87"/>
    </x:row>
    <x:row r="37">
      <x:c r="A37" s="72" t="str">
        <x:f>IF(OR(C37="",D37=""),"",B37&amp;"-"&amp;UPPER(C37)&amp;"-"&amp;TEXT(D37,"0000")&amp;"-"&amp;E37)</x:f>
      </x:c>
      <x:c r="B37" s="74" t="str">
        <x:v>M19</x:v>
      </x:c>
      <x:c r="C37" s="74"/>
      <x:c r="D37" s="79"/>
      <x:c r="E37" s="74" t="str">
        <x:v>V1.0</x:v>
      </x:c>
      <x:c r="F37" s="68"/>
      <x:c r="G37" s="68"/>
      <x:c r="H37" s="68"/>
      <x:c r="I37" s="68"/>
      <x:c r="J37" s="68"/>
      <x:c r="K37" s="68"/>
      <x:c r="L37" s="82"/>
      <x:c r="M37" s="82"/>
      <x:c r="N37" s="82"/>
      <x:c r="O37" s="68"/>
      <x:c r="P37" s="68"/>
      <x:c r="Q37" s="68"/>
      <x:c r="R37" s="68"/>
      <x:c r="S37" s="68"/>
      <x:c r="T37" s="68"/>
      <x:c r="U37" s="68"/>
      <x:c r="V37" s="82"/>
      <x:c r="W37" s="82"/>
      <x:c r="X37" s="87"/>
    </x:row>
    <x:row r="38">
      <x:c r="A38" s="72" t="str">
        <x:f>IF(OR(C38="",D38=""),"",B38&amp;"-"&amp;UPPER(C38)&amp;"-"&amp;TEXT(D38,"0000")&amp;"-"&amp;E38)</x:f>
      </x:c>
      <x:c r="B38" s="74" t="str">
        <x:v>M19</x:v>
      </x:c>
      <x:c r="C38" s="74"/>
      <x:c r="D38" s="79"/>
      <x:c r="E38" s="74" t="str">
        <x:v>V1.0</x:v>
      </x:c>
      <x:c r="F38" s="68"/>
      <x:c r="G38" s="68"/>
      <x:c r="H38" s="68"/>
      <x:c r="I38" s="68"/>
      <x:c r="J38" s="68"/>
      <x:c r="K38" s="68"/>
      <x:c r="L38" s="82"/>
      <x:c r="M38" s="82"/>
      <x:c r="N38" s="82"/>
      <x:c r="O38" s="68"/>
      <x:c r="P38" s="68"/>
      <x:c r="Q38" s="68"/>
      <x:c r="R38" s="68"/>
      <x:c r="S38" s="68"/>
      <x:c r="T38" s="68"/>
      <x:c r="U38" s="68"/>
      <x:c r="V38" s="82"/>
      <x:c r="W38" s="82"/>
      <x:c r="X38" s="87"/>
    </x:row>
    <x:row r="39">
      <x:c r="A39" s="72" t="str">
        <x:f>IF(OR(C39="",D39=""),"",B39&amp;"-"&amp;UPPER(C39)&amp;"-"&amp;TEXT(D39,"0000")&amp;"-"&amp;E39)</x:f>
      </x:c>
      <x:c r="B39" s="74" t="str">
        <x:v>M19</x:v>
      </x:c>
      <x:c r="C39" s="74"/>
      <x:c r="D39" s="79"/>
      <x:c r="E39" s="74" t="str">
        <x:v>V1.0</x:v>
      </x:c>
      <x:c r="F39" s="68"/>
      <x:c r="G39" s="68"/>
      <x:c r="H39" s="68"/>
      <x:c r="I39" s="68"/>
      <x:c r="J39" s="68"/>
      <x:c r="K39" s="68"/>
      <x:c r="L39" s="82"/>
      <x:c r="M39" s="82"/>
      <x:c r="N39" s="82"/>
      <x:c r="O39" s="68"/>
      <x:c r="P39" s="68"/>
      <x:c r="Q39" s="68"/>
      <x:c r="R39" s="68"/>
      <x:c r="S39" s="68"/>
      <x:c r="T39" s="68"/>
      <x:c r="U39" s="68"/>
      <x:c r="V39" s="82"/>
      <x:c r="W39" s="82"/>
      <x:c r="X39" s="87"/>
    </x:row>
    <x:row r="40">
      <x:c r="A40" s="72" t="str">
        <x:f>IF(OR(C40="",D40=""),"",B40&amp;"-"&amp;UPPER(C40)&amp;"-"&amp;TEXT(D40,"0000")&amp;"-"&amp;E40)</x:f>
      </x:c>
      <x:c r="B40" s="74" t="str">
        <x:v>M19</x:v>
      </x:c>
      <x:c r="C40" s="74"/>
      <x:c r="D40" s="79"/>
      <x:c r="E40" s="74" t="str">
        <x:v>V1.0</x:v>
      </x:c>
      <x:c r="F40" s="68"/>
      <x:c r="G40" s="68"/>
      <x:c r="H40" s="68"/>
      <x:c r="I40" s="68"/>
      <x:c r="J40" s="68"/>
      <x:c r="K40" s="68"/>
      <x:c r="L40" s="82"/>
      <x:c r="M40" s="82"/>
      <x:c r="N40" s="82"/>
      <x:c r="O40" s="68"/>
      <x:c r="P40" s="68"/>
      <x:c r="Q40" s="68"/>
      <x:c r="R40" s="68"/>
      <x:c r="S40" s="68"/>
      <x:c r="T40" s="68"/>
      <x:c r="U40" s="68"/>
      <x:c r="V40" s="82"/>
      <x:c r="W40" s="82"/>
      <x:c r="X40" s="87"/>
    </x:row>
    <x:row r="41">
      <x:c r="A41" s="72" t="str">
        <x:f>IF(OR(C41="",D41=""),"",B41&amp;"-"&amp;UPPER(C41)&amp;"-"&amp;TEXT(D41,"0000")&amp;"-"&amp;E41)</x:f>
      </x:c>
      <x:c r="B41" s="74" t="str">
        <x:v>M19</x:v>
      </x:c>
      <x:c r="C41" s="74"/>
      <x:c r="D41" s="79"/>
      <x:c r="E41" s="74" t="str">
        <x:v>V1.0</x:v>
      </x:c>
      <x:c r="F41" s="68"/>
      <x:c r="G41" s="68"/>
      <x:c r="H41" s="68"/>
      <x:c r="I41" s="68"/>
      <x:c r="J41" s="68"/>
      <x:c r="K41" s="68"/>
      <x:c r="L41" s="82"/>
      <x:c r="M41" s="82"/>
      <x:c r="N41" s="82"/>
      <x:c r="O41" s="68"/>
      <x:c r="P41" s="68"/>
      <x:c r="Q41" s="68"/>
      <x:c r="R41" s="68"/>
      <x:c r="S41" s="68"/>
      <x:c r="T41" s="68"/>
      <x:c r="U41" s="68"/>
      <x:c r="V41" s="82"/>
      <x:c r="W41" s="82"/>
      <x:c r="X41" s="87"/>
    </x:row>
    <x:row r="42">
      <x:c r="A42" s="72" t="str">
        <x:f>IF(OR(C42="",D42=""),"",B42&amp;"-"&amp;UPPER(C42)&amp;"-"&amp;TEXT(D42,"0000")&amp;"-"&amp;E42)</x:f>
      </x:c>
      <x:c r="B42" s="74" t="str">
        <x:v>M19</x:v>
      </x:c>
      <x:c r="C42" s="74"/>
      <x:c r="D42" s="79"/>
      <x:c r="E42" s="74" t="str">
        <x:v>V1.0</x:v>
      </x:c>
      <x:c r="F42" s="68"/>
      <x:c r="G42" s="68"/>
      <x:c r="H42" s="68"/>
      <x:c r="I42" s="68"/>
      <x:c r="J42" s="68"/>
      <x:c r="K42" s="68"/>
      <x:c r="L42" s="82"/>
      <x:c r="M42" s="82"/>
      <x:c r="N42" s="82"/>
      <x:c r="O42" s="68"/>
      <x:c r="P42" s="68"/>
      <x:c r="Q42" s="68"/>
      <x:c r="R42" s="68"/>
      <x:c r="S42" s="68"/>
      <x:c r="T42" s="68"/>
      <x:c r="U42" s="68"/>
      <x:c r="V42" s="82"/>
      <x:c r="W42" s="82"/>
      <x:c r="X42" s="87"/>
    </x:row>
    <x:row r="43">
      <x:c r="A43" s="72" t="str">
        <x:f>IF(OR(C43="",D43=""),"",B43&amp;"-"&amp;UPPER(C43)&amp;"-"&amp;TEXT(D43,"0000")&amp;"-"&amp;E43)</x:f>
      </x:c>
      <x:c r="B43" s="74" t="str">
        <x:v>M19</x:v>
      </x:c>
      <x:c r="C43" s="74"/>
      <x:c r="D43" s="79"/>
      <x:c r="E43" s="74" t="str">
        <x:v>V1.0</x:v>
      </x:c>
      <x:c r="F43" s="68"/>
      <x:c r="G43" s="68"/>
      <x:c r="H43" s="68"/>
      <x:c r="I43" s="68"/>
      <x:c r="J43" s="68"/>
      <x:c r="K43" s="68"/>
      <x:c r="L43" s="82"/>
      <x:c r="M43" s="82"/>
      <x:c r="N43" s="82"/>
      <x:c r="O43" s="68"/>
      <x:c r="P43" s="68"/>
      <x:c r="Q43" s="68"/>
      <x:c r="R43" s="68"/>
      <x:c r="S43" s="68"/>
      <x:c r="T43" s="68"/>
      <x:c r="U43" s="68"/>
      <x:c r="V43" s="82"/>
      <x:c r="W43" s="82"/>
      <x:c r="X43" s="87"/>
    </x:row>
    <x:row r="44">
      <x:c r="A44" s="72" t="str">
        <x:f>IF(OR(C44="",D44=""),"",B44&amp;"-"&amp;UPPER(C44)&amp;"-"&amp;TEXT(D44,"0000")&amp;"-"&amp;E44)</x:f>
      </x:c>
      <x:c r="B44" s="74" t="str">
        <x:v>M19</x:v>
      </x:c>
      <x:c r="C44" s="74"/>
      <x:c r="D44" s="79"/>
      <x:c r="E44" s="74" t="str">
        <x:v>V1.0</x:v>
      </x:c>
      <x:c r="F44" s="68"/>
      <x:c r="G44" s="68"/>
      <x:c r="H44" s="68"/>
      <x:c r="I44" s="68"/>
      <x:c r="J44" s="68"/>
      <x:c r="K44" s="68"/>
      <x:c r="L44" s="82"/>
      <x:c r="M44" s="82"/>
      <x:c r="N44" s="82"/>
      <x:c r="O44" s="68"/>
      <x:c r="P44" s="68"/>
      <x:c r="Q44" s="68"/>
      <x:c r="R44" s="68"/>
      <x:c r="S44" s="68"/>
      <x:c r="T44" s="68"/>
      <x:c r="U44" s="68"/>
      <x:c r="V44" s="82"/>
      <x:c r="W44" s="82"/>
      <x:c r="X44" s="87"/>
    </x:row>
    <x:row r="45">
      <x:c r="A45" s="72" t="str">
        <x:f>IF(OR(C45="",D45=""),"",B45&amp;"-"&amp;UPPER(C45)&amp;"-"&amp;TEXT(D45,"0000")&amp;"-"&amp;E45)</x:f>
      </x:c>
      <x:c r="B45" s="74" t="str">
        <x:v>M19</x:v>
      </x:c>
      <x:c r="C45" s="74"/>
      <x:c r="D45" s="79"/>
      <x:c r="E45" s="74" t="str">
        <x:v>V1.0</x:v>
      </x:c>
      <x:c r="F45" s="68"/>
      <x:c r="G45" s="68"/>
      <x:c r="H45" s="68"/>
      <x:c r="I45" s="68"/>
      <x:c r="J45" s="68"/>
      <x:c r="K45" s="68"/>
      <x:c r="L45" s="82"/>
      <x:c r="M45" s="82"/>
      <x:c r="N45" s="82"/>
      <x:c r="O45" s="68"/>
      <x:c r="P45" s="68"/>
      <x:c r="Q45" s="68"/>
      <x:c r="R45" s="68"/>
      <x:c r="S45" s="68"/>
      <x:c r="T45" s="68"/>
      <x:c r="U45" s="68"/>
      <x:c r="V45" s="82"/>
      <x:c r="W45" s="82"/>
      <x:c r="X45" s="87"/>
    </x:row>
    <x:row r="46">
      <x:c r="A46" s="72" t="str">
        <x:f>IF(OR(C46="",D46=""),"",B46&amp;"-"&amp;UPPER(C46)&amp;"-"&amp;TEXT(D46,"0000")&amp;"-"&amp;E46)</x:f>
      </x:c>
      <x:c r="B46" s="74" t="str">
        <x:v>M19</x:v>
      </x:c>
      <x:c r="C46" s="74"/>
      <x:c r="D46" s="79"/>
      <x:c r="E46" s="74" t="str">
        <x:v>V1.0</x:v>
      </x:c>
      <x:c r="F46" s="68"/>
      <x:c r="G46" s="68"/>
      <x:c r="H46" s="68"/>
      <x:c r="I46" s="68"/>
      <x:c r="J46" s="68"/>
      <x:c r="K46" s="68"/>
      <x:c r="L46" s="82"/>
      <x:c r="M46" s="82"/>
      <x:c r="N46" s="82"/>
      <x:c r="O46" s="68"/>
      <x:c r="P46" s="68"/>
      <x:c r="Q46" s="68"/>
      <x:c r="R46" s="68"/>
      <x:c r="S46" s="68"/>
      <x:c r="T46" s="68"/>
      <x:c r="U46" s="68"/>
      <x:c r="V46" s="82"/>
      <x:c r="W46" s="82"/>
      <x:c r="X46" s="87"/>
    </x:row>
    <x:row r="47">
      <x:c r="A47" s="72" t="str">
        <x:f>IF(OR(C47="",D47=""),"",B47&amp;"-"&amp;UPPER(C47)&amp;"-"&amp;TEXT(D47,"0000")&amp;"-"&amp;E47)</x:f>
      </x:c>
      <x:c r="B47" s="74" t="str">
        <x:v>M19</x:v>
      </x:c>
      <x:c r="C47" s="74"/>
      <x:c r="D47" s="79"/>
      <x:c r="E47" s="74" t="str">
        <x:v>V1.0</x:v>
      </x:c>
      <x:c r="F47" s="68"/>
      <x:c r="G47" s="68"/>
      <x:c r="H47" s="68"/>
      <x:c r="I47" s="68"/>
      <x:c r="J47" s="68"/>
      <x:c r="K47" s="68"/>
      <x:c r="L47" s="82"/>
      <x:c r="M47" s="82"/>
      <x:c r="N47" s="82"/>
      <x:c r="O47" s="68"/>
      <x:c r="P47" s="68"/>
      <x:c r="Q47" s="68"/>
      <x:c r="R47" s="68"/>
      <x:c r="S47" s="68"/>
      <x:c r="T47" s="68"/>
      <x:c r="U47" s="68"/>
      <x:c r="V47" s="82"/>
      <x:c r="W47" s="82"/>
      <x:c r="X47" s="87"/>
    </x:row>
    <x:row r="48">
      <x:c r="A48" s="72" t="str">
        <x:f>IF(OR(C48="",D48=""),"",B48&amp;"-"&amp;UPPER(C48)&amp;"-"&amp;TEXT(D48,"0000")&amp;"-"&amp;E48)</x:f>
      </x:c>
      <x:c r="B48" s="74" t="str">
        <x:v>M19</x:v>
      </x:c>
      <x:c r="C48" s="74"/>
      <x:c r="D48" s="79"/>
      <x:c r="E48" s="74" t="str">
        <x:v>V1.0</x:v>
      </x:c>
      <x:c r="F48" s="68"/>
      <x:c r="G48" s="68"/>
      <x:c r="H48" s="68"/>
      <x:c r="I48" s="68"/>
      <x:c r="J48" s="68"/>
      <x:c r="K48" s="68"/>
      <x:c r="L48" s="82"/>
      <x:c r="M48" s="82"/>
      <x:c r="N48" s="82"/>
      <x:c r="O48" s="68"/>
      <x:c r="P48" s="68"/>
      <x:c r="Q48" s="68"/>
      <x:c r="R48" s="68"/>
      <x:c r="S48" s="68"/>
      <x:c r="T48" s="68"/>
      <x:c r="U48" s="68"/>
      <x:c r="V48" s="82"/>
      <x:c r="W48" s="82"/>
      <x:c r="X48" s="87"/>
    </x:row>
    <x:row r="49">
      <x:c r="A49" s="72" t="str">
        <x:f>IF(OR(C49="",D49=""),"",B49&amp;"-"&amp;UPPER(C49)&amp;"-"&amp;TEXT(D49,"0000")&amp;"-"&amp;E49)</x:f>
      </x:c>
      <x:c r="B49" s="74" t="str">
        <x:v>M19</x:v>
      </x:c>
      <x:c r="C49" s="74"/>
      <x:c r="D49" s="79"/>
      <x:c r="E49" s="74" t="str">
        <x:v>V1.0</x:v>
      </x:c>
      <x:c r="F49" s="68"/>
      <x:c r="G49" s="68"/>
      <x:c r="H49" s="68"/>
      <x:c r="I49" s="68"/>
      <x:c r="J49" s="68"/>
      <x:c r="K49" s="68"/>
      <x:c r="L49" s="82"/>
      <x:c r="M49" s="82"/>
      <x:c r="N49" s="82"/>
      <x:c r="O49" s="68"/>
      <x:c r="P49" s="68"/>
      <x:c r="Q49" s="68"/>
      <x:c r="R49" s="68"/>
      <x:c r="S49" s="68"/>
      <x:c r="T49" s="68"/>
      <x:c r="U49" s="68"/>
      <x:c r="V49" s="82"/>
      <x:c r="W49" s="82"/>
      <x:c r="X49" s="87"/>
    </x:row>
    <x:row r="50">
      <x:c r="A50" s="72" t="str">
        <x:f>IF(OR(C50="",D50=""),"",B50&amp;"-"&amp;UPPER(C50)&amp;"-"&amp;TEXT(D50,"0000")&amp;"-"&amp;E50)</x:f>
      </x:c>
      <x:c r="B50" s="74" t="str">
        <x:v>M19</x:v>
      </x:c>
      <x:c r="C50" s="74"/>
      <x:c r="D50" s="79"/>
      <x:c r="E50" s="74" t="str">
        <x:v>V1.0</x:v>
      </x:c>
      <x:c r="F50" s="68"/>
      <x:c r="G50" s="68"/>
      <x:c r="H50" s="68"/>
      <x:c r="I50" s="68"/>
      <x:c r="J50" s="68"/>
      <x:c r="K50" s="68"/>
      <x:c r="L50" s="82"/>
      <x:c r="M50" s="82"/>
      <x:c r="N50" s="82"/>
      <x:c r="O50" s="68"/>
      <x:c r="P50" s="68"/>
      <x:c r="Q50" s="68"/>
      <x:c r="R50" s="68"/>
      <x:c r="S50" s="68"/>
      <x:c r="T50" s="68"/>
      <x:c r="U50" s="68"/>
      <x:c r="V50" s="82"/>
      <x:c r="W50" s="82"/>
      <x:c r="X50" s="87"/>
    </x:row>
    <x:row r="51">
      <x:c r="A51" s="72" t="str">
        <x:f>IF(OR(C51="",D51=""),"",B51&amp;"-"&amp;UPPER(C51)&amp;"-"&amp;TEXT(D51,"0000")&amp;"-"&amp;E51)</x:f>
      </x:c>
      <x:c r="B51" s="74" t="str">
        <x:v>M19</x:v>
      </x:c>
      <x:c r="C51" s="74"/>
      <x:c r="D51" s="79"/>
      <x:c r="E51" s="74" t="str">
        <x:v>V1.0</x:v>
      </x:c>
      <x:c r="F51" s="68"/>
      <x:c r="G51" s="68"/>
      <x:c r="H51" s="68"/>
      <x:c r="I51" s="68"/>
      <x:c r="J51" s="68"/>
      <x:c r="K51" s="68"/>
      <x:c r="L51" s="82"/>
      <x:c r="M51" s="82"/>
      <x:c r="N51" s="82"/>
      <x:c r="O51" s="68"/>
      <x:c r="P51" s="68"/>
      <x:c r="Q51" s="68"/>
      <x:c r="R51" s="68"/>
      <x:c r="S51" s="68"/>
      <x:c r="T51" s="68"/>
      <x:c r="U51" s="68"/>
      <x:c r="V51" s="82"/>
      <x:c r="W51" s="82"/>
      <x:c r="X51" s="87"/>
    </x:row>
    <x:row r="52">
      <x:c r="A52" s="72" t="str">
        <x:f>IF(OR(C52="",D52=""),"",B52&amp;"-"&amp;UPPER(C52)&amp;"-"&amp;TEXT(D52,"0000")&amp;"-"&amp;E52)</x:f>
      </x:c>
      <x:c r="B52" s="74" t="str">
        <x:v>M19</x:v>
      </x:c>
      <x:c r="C52" s="74"/>
      <x:c r="D52" s="79"/>
      <x:c r="E52" s="74" t="str">
        <x:v>V1.0</x:v>
      </x:c>
      <x:c r="F52" s="68"/>
      <x:c r="G52" s="68"/>
      <x:c r="H52" s="68"/>
      <x:c r="I52" s="68"/>
      <x:c r="J52" s="68"/>
      <x:c r="K52" s="68"/>
      <x:c r="L52" s="82"/>
      <x:c r="M52" s="82"/>
      <x:c r="N52" s="82"/>
      <x:c r="O52" s="68"/>
      <x:c r="P52" s="68"/>
      <x:c r="Q52" s="68"/>
      <x:c r="R52" s="68"/>
      <x:c r="S52" s="68"/>
      <x:c r="T52" s="68"/>
      <x:c r="U52" s="68"/>
      <x:c r="V52" s="82"/>
      <x:c r="W52" s="82"/>
      <x:c r="X52" s="87"/>
    </x:row>
    <x:row r="53">
      <x:c r="A53" s="72" t="str">
        <x:f>IF(OR(C53="",D53=""),"",B53&amp;"-"&amp;UPPER(C53)&amp;"-"&amp;TEXT(D53,"0000")&amp;"-"&amp;E53)</x:f>
      </x:c>
      <x:c r="B53" s="74" t="str">
        <x:v>M19</x:v>
      </x:c>
      <x:c r="C53" s="74"/>
      <x:c r="D53" s="79"/>
      <x:c r="E53" s="74" t="str">
        <x:v>V1.0</x:v>
      </x:c>
      <x:c r="F53" s="68"/>
      <x:c r="G53" s="68"/>
      <x:c r="H53" s="68"/>
      <x:c r="I53" s="68"/>
      <x:c r="J53" s="68"/>
      <x:c r="K53" s="68"/>
      <x:c r="L53" s="82"/>
      <x:c r="M53" s="82"/>
      <x:c r="N53" s="82"/>
      <x:c r="O53" s="68"/>
      <x:c r="P53" s="68"/>
      <x:c r="Q53" s="68"/>
      <x:c r="R53" s="68"/>
      <x:c r="S53" s="68"/>
      <x:c r="T53" s="68"/>
      <x:c r="U53" s="68"/>
      <x:c r="V53" s="82"/>
      <x:c r="W53" s="82"/>
      <x:c r="X53" s="87"/>
    </x:row>
    <x:row r="54">
      <x:c r="A54" s="72" t="str">
        <x:f>IF(OR(C54="",D54=""),"",B54&amp;"-"&amp;UPPER(C54)&amp;"-"&amp;TEXT(D54,"0000")&amp;"-"&amp;E54)</x:f>
      </x:c>
      <x:c r="B54" s="74" t="str">
        <x:v>M19</x:v>
      </x:c>
      <x:c r="C54" s="74"/>
      <x:c r="D54" s="79"/>
      <x:c r="E54" s="74" t="str">
        <x:v>V1.0</x:v>
      </x:c>
      <x:c r="F54" s="68"/>
      <x:c r="G54" s="68"/>
      <x:c r="H54" s="68"/>
      <x:c r="I54" s="68"/>
      <x:c r="J54" s="68"/>
      <x:c r="K54" s="68"/>
      <x:c r="L54" s="82"/>
      <x:c r="M54" s="82"/>
      <x:c r="N54" s="82"/>
      <x:c r="O54" s="68"/>
      <x:c r="P54" s="68"/>
      <x:c r="Q54" s="68"/>
      <x:c r="R54" s="68"/>
      <x:c r="S54" s="68"/>
      <x:c r="T54" s="68"/>
      <x:c r="U54" s="68"/>
      <x:c r="V54" s="82"/>
      <x:c r="W54" s="82"/>
      <x:c r="X54" s="87"/>
    </x:row>
    <x:row r="55">
      <x:c r="A55" s="72" t="str">
        <x:f>IF(OR(C55="",D55=""),"",B55&amp;"-"&amp;UPPER(C55)&amp;"-"&amp;TEXT(D55,"0000")&amp;"-"&amp;E55)</x:f>
      </x:c>
      <x:c r="B55" s="74" t="str">
        <x:v>M19</x:v>
      </x:c>
      <x:c r="C55" s="74"/>
      <x:c r="D55" s="79"/>
      <x:c r="E55" s="74" t="str">
        <x:v>V1.0</x:v>
      </x:c>
      <x:c r="F55" s="68"/>
      <x:c r="G55" s="68"/>
      <x:c r="H55" s="68"/>
      <x:c r="I55" s="68"/>
      <x:c r="J55" s="68"/>
      <x:c r="K55" s="68"/>
      <x:c r="L55" s="82"/>
      <x:c r="M55" s="82"/>
      <x:c r="N55" s="82"/>
      <x:c r="O55" s="68"/>
      <x:c r="P55" s="68"/>
      <x:c r="Q55" s="68"/>
      <x:c r="R55" s="68"/>
      <x:c r="S55" s="68"/>
      <x:c r="T55" s="68"/>
      <x:c r="U55" s="68"/>
      <x:c r="V55" s="82"/>
      <x:c r="W55" s="82"/>
      <x:c r="X55" s="87"/>
    </x:row>
    <x:row r="56">
      <x:c r="A56" s="72" t="str">
        <x:f>IF(OR(C56="",D56=""),"",B56&amp;"-"&amp;UPPER(C56)&amp;"-"&amp;TEXT(D56,"0000")&amp;"-"&amp;E56)</x:f>
      </x:c>
      <x:c r="B56" s="74" t="str">
        <x:v>M19</x:v>
      </x:c>
      <x:c r="C56" s="74"/>
      <x:c r="D56" s="79"/>
      <x:c r="E56" s="74" t="str">
        <x:v>V1.0</x:v>
      </x:c>
      <x:c r="F56" s="68"/>
      <x:c r="G56" s="68"/>
      <x:c r="H56" s="68"/>
      <x:c r="I56" s="68"/>
      <x:c r="J56" s="68"/>
      <x:c r="K56" s="68"/>
      <x:c r="L56" s="82"/>
      <x:c r="M56" s="82"/>
      <x:c r="N56" s="82"/>
      <x:c r="O56" s="68"/>
      <x:c r="P56" s="68"/>
      <x:c r="Q56" s="68"/>
      <x:c r="R56" s="68"/>
      <x:c r="S56" s="68"/>
      <x:c r="T56" s="68"/>
      <x:c r="U56" s="68"/>
      <x:c r="V56" s="82"/>
      <x:c r="W56" s="82"/>
      <x:c r="X56" s="87"/>
    </x:row>
    <x:row r="57">
      <x:c r="A57" s="72" t="str">
        <x:f>IF(OR(C57="",D57=""),"",B57&amp;"-"&amp;UPPER(C57)&amp;"-"&amp;TEXT(D57,"0000")&amp;"-"&amp;E57)</x:f>
      </x:c>
      <x:c r="B57" s="74" t="str">
        <x:v>M19</x:v>
      </x:c>
      <x:c r="C57" s="74"/>
      <x:c r="D57" s="79"/>
      <x:c r="E57" s="74" t="str">
        <x:v>V1.0</x:v>
      </x:c>
      <x:c r="F57" s="68"/>
      <x:c r="G57" s="68"/>
      <x:c r="H57" s="68"/>
      <x:c r="I57" s="68"/>
      <x:c r="J57" s="68"/>
      <x:c r="K57" s="68"/>
      <x:c r="L57" s="82"/>
      <x:c r="M57" s="82"/>
      <x:c r="N57" s="82"/>
      <x:c r="O57" s="68"/>
      <x:c r="P57" s="68"/>
      <x:c r="Q57" s="68"/>
      <x:c r="R57" s="68"/>
      <x:c r="S57" s="68"/>
      <x:c r="T57" s="68"/>
      <x:c r="U57" s="68"/>
      <x:c r="V57" s="82"/>
      <x:c r="W57" s="82"/>
      <x:c r="X57" s="87"/>
    </x:row>
    <x:row r="58">
      <x:c r="A58" s="72" t="str">
        <x:f>IF(OR(C58="",D58=""),"",B58&amp;"-"&amp;UPPER(C58)&amp;"-"&amp;TEXT(D58,"0000")&amp;"-"&amp;E58)</x:f>
      </x:c>
      <x:c r="B58" s="74" t="str">
        <x:v>M19</x:v>
      </x:c>
      <x:c r="C58" s="74"/>
      <x:c r="D58" s="79"/>
      <x:c r="E58" s="74" t="str">
        <x:v>V1.0</x:v>
      </x:c>
      <x:c r="F58" s="68"/>
      <x:c r="G58" s="68"/>
      <x:c r="H58" s="68"/>
      <x:c r="I58" s="68"/>
      <x:c r="J58" s="68"/>
      <x:c r="K58" s="68"/>
      <x:c r="L58" s="82"/>
      <x:c r="M58" s="82"/>
      <x:c r="N58" s="82"/>
      <x:c r="O58" s="68"/>
      <x:c r="P58" s="68"/>
      <x:c r="Q58" s="68"/>
      <x:c r="R58" s="68"/>
      <x:c r="S58" s="68"/>
      <x:c r="T58" s="68"/>
      <x:c r="U58" s="68"/>
      <x:c r="V58" s="82"/>
      <x:c r="W58" s="82"/>
      <x:c r="X58" s="87"/>
    </x:row>
    <x:row r="59">
      <x:c r="A59" s="72" t="str">
        <x:f>IF(OR(C59="",D59=""),"",B59&amp;"-"&amp;UPPER(C59)&amp;"-"&amp;TEXT(D59,"0000")&amp;"-"&amp;E59)</x:f>
      </x:c>
      <x:c r="B59" s="74" t="str">
        <x:v>M19</x:v>
      </x:c>
      <x:c r="C59" s="74"/>
      <x:c r="D59" s="79"/>
      <x:c r="E59" s="74" t="str">
        <x:v>V1.0</x:v>
      </x:c>
      <x:c r="F59" s="68"/>
      <x:c r="G59" s="68"/>
      <x:c r="H59" s="68"/>
      <x:c r="I59" s="68"/>
      <x:c r="J59" s="68"/>
      <x:c r="K59" s="68"/>
      <x:c r="L59" s="82"/>
      <x:c r="M59" s="82"/>
      <x:c r="N59" s="82"/>
      <x:c r="O59" s="68"/>
      <x:c r="P59" s="68"/>
      <x:c r="Q59" s="68"/>
      <x:c r="R59" s="68"/>
      <x:c r="S59" s="68"/>
      <x:c r="T59" s="68"/>
      <x:c r="U59" s="68"/>
      <x:c r="V59" s="82"/>
      <x:c r="W59" s="82"/>
      <x:c r="X59" s="87"/>
    </x:row>
    <x:row r="60">
      <x:c r="A60" s="72" t="str">
        <x:f>IF(OR(C60="",D60=""),"",B60&amp;"-"&amp;UPPER(C60)&amp;"-"&amp;TEXT(D60,"0000")&amp;"-"&amp;E60)</x:f>
      </x:c>
      <x:c r="B60" s="74" t="str">
        <x:v>M19</x:v>
      </x:c>
      <x:c r="C60" s="74"/>
      <x:c r="D60" s="79"/>
      <x:c r="E60" s="74" t="str">
        <x:v>V1.0</x:v>
      </x:c>
      <x:c r="F60" s="68"/>
      <x:c r="G60" s="68"/>
      <x:c r="H60" s="68"/>
      <x:c r="I60" s="68"/>
      <x:c r="J60" s="68"/>
      <x:c r="K60" s="68"/>
      <x:c r="L60" s="82"/>
      <x:c r="M60" s="82"/>
      <x:c r="N60" s="82"/>
      <x:c r="O60" s="68"/>
      <x:c r="P60" s="68"/>
      <x:c r="Q60" s="68"/>
      <x:c r="R60" s="68"/>
      <x:c r="S60" s="68"/>
      <x:c r="T60" s="68"/>
      <x:c r="U60" s="68"/>
      <x:c r="V60" s="82"/>
      <x:c r="W60" s="82"/>
      <x:c r="X60" s="87"/>
    </x:row>
    <x:row r="61">
      <x:c r="A61" s="72" t="str">
        <x:f>IF(OR(C61="",D61=""),"",B61&amp;"-"&amp;UPPER(C61)&amp;"-"&amp;TEXT(D61,"0000")&amp;"-"&amp;E61)</x:f>
      </x:c>
      <x:c r="B61" s="74" t="str">
        <x:v>M19</x:v>
      </x:c>
      <x:c r="C61" s="74"/>
      <x:c r="D61" s="79"/>
      <x:c r="E61" s="74" t="str">
        <x:v>V1.0</x:v>
      </x:c>
      <x:c r="F61" s="68"/>
      <x:c r="G61" s="68"/>
      <x:c r="H61" s="68"/>
      <x:c r="I61" s="68"/>
      <x:c r="J61" s="68"/>
      <x:c r="K61" s="68"/>
      <x:c r="L61" s="82"/>
      <x:c r="M61" s="82"/>
      <x:c r="N61" s="82"/>
      <x:c r="O61" s="68"/>
      <x:c r="P61" s="68"/>
      <x:c r="Q61" s="68"/>
      <x:c r="R61" s="68"/>
      <x:c r="S61" s="68"/>
      <x:c r="T61" s="68"/>
      <x:c r="U61" s="68"/>
      <x:c r="V61" s="82"/>
      <x:c r="W61" s="82"/>
      <x:c r="X61" s="87"/>
    </x:row>
    <x:row r="62">
      <x:c r="A62" s="72" t="str">
        <x:f>IF(OR(C62="",D62=""),"",B62&amp;"-"&amp;UPPER(C62)&amp;"-"&amp;TEXT(D62,"0000")&amp;"-"&amp;E62)</x:f>
      </x:c>
      <x:c r="B62" s="74" t="str">
        <x:v>M19</x:v>
      </x:c>
      <x:c r="C62" s="74"/>
      <x:c r="D62" s="79"/>
      <x:c r="E62" s="74" t="str">
        <x:v>V1.0</x:v>
      </x:c>
      <x:c r="F62" s="68"/>
      <x:c r="G62" s="68"/>
      <x:c r="H62" s="68"/>
      <x:c r="I62" s="68"/>
      <x:c r="J62" s="68"/>
      <x:c r="K62" s="68"/>
      <x:c r="L62" s="82"/>
      <x:c r="M62" s="82"/>
      <x:c r="N62" s="82"/>
      <x:c r="O62" s="68"/>
      <x:c r="P62" s="68"/>
      <x:c r="Q62" s="68"/>
      <x:c r="R62" s="68"/>
      <x:c r="S62" s="68"/>
      <x:c r="T62" s="68"/>
      <x:c r="U62" s="68"/>
      <x:c r="V62" s="82"/>
      <x:c r="W62" s="82"/>
      <x:c r="X62" s="87"/>
    </x:row>
    <x:row r="63">
      <x:c r="A63" s="72" t="str">
        <x:f>IF(OR(C63="",D63=""),"",B63&amp;"-"&amp;UPPER(C63)&amp;"-"&amp;TEXT(D63,"0000")&amp;"-"&amp;E63)</x:f>
      </x:c>
      <x:c r="B63" s="74" t="str">
        <x:v>M19</x:v>
      </x:c>
      <x:c r="C63" s="74"/>
      <x:c r="D63" s="79"/>
      <x:c r="E63" s="74" t="str">
        <x:v>V1.0</x:v>
      </x:c>
      <x:c r="F63" s="68"/>
      <x:c r="G63" s="68"/>
      <x:c r="H63" s="68"/>
      <x:c r="I63" s="68"/>
      <x:c r="J63" s="68"/>
      <x:c r="K63" s="68"/>
      <x:c r="L63" s="82"/>
      <x:c r="M63" s="82"/>
      <x:c r="N63" s="82"/>
      <x:c r="O63" s="68"/>
      <x:c r="P63" s="68"/>
      <x:c r="Q63" s="68"/>
      <x:c r="R63" s="68"/>
      <x:c r="S63" s="68"/>
      <x:c r="T63" s="68"/>
      <x:c r="U63" s="68"/>
      <x:c r="V63" s="82"/>
      <x:c r="W63" s="82"/>
      <x:c r="X63" s="87"/>
    </x:row>
    <x:row r="64">
      <x:c r="A64" s="72" t="str">
        <x:f>IF(OR(C64="",D64=""),"",B64&amp;"-"&amp;UPPER(C64)&amp;"-"&amp;TEXT(D64,"0000")&amp;"-"&amp;E64)</x:f>
      </x:c>
      <x:c r="B64" s="74" t="str">
        <x:v>M19</x:v>
      </x:c>
      <x:c r="C64" s="74"/>
      <x:c r="D64" s="79"/>
      <x:c r="E64" s="74" t="str">
        <x:v>V1.0</x:v>
      </x:c>
      <x:c r="F64" s="68"/>
      <x:c r="G64" s="68"/>
      <x:c r="H64" s="68"/>
      <x:c r="I64" s="68"/>
      <x:c r="J64" s="68"/>
      <x:c r="K64" s="68"/>
      <x:c r="L64" s="82"/>
      <x:c r="M64" s="82"/>
      <x:c r="N64" s="82"/>
      <x:c r="O64" s="68"/>
      <x:c r="P64" s="68"/>
      <x:c r="Q64" s="68"/>
      <x:c r="R64" s="68"/>
      <x:c r="S64" s="68"/>
      <x:c r="T64" s="68"/>
      <x:c r="U64" s="68"/>
      <x:c r="V64" s="82"/>
      <x:c r="W64" s="82"/>
      <x:c r="X64" s="87"/>
    </x:row>
    <x:row r="65">
      <x:c r="A65" s="72" t="str">
        <x:f>IF(OR(C65="",D65=""),"",B65&amp;"-"&amp;UPPER(C65)&amp;"-"&amp;TEXT(D65,"0000")&amp;"-"&amp;E65)</x:f>
      </x:c>
      <x:c r="B65" s="74" t="str">
        <x:v>M19</x:v>
      </x:c>
      <x:c r="C65" s="74"/>
      <x:c r="D65" s="79"/>
      <x:c r="E65" s="74" t="str">
        <x:v>V1.0</x:v>
      </x:c>
      <x:c r="F65" s="68"/>
      <x:c r="G65" s="68"/>
      <x:c r="H65" s="68"/>
      <x:c r="I65" s="68"/>
      <x:c r="J65" s="68"/>
      <x:c r="K65" s="68"/>
      <x:c r="L65" s="82"/>
      <x:c r="M65" s="82"/>
      <x:c r="N65" s="82"/>
      <x:c r="O65" s="68"/>
      <x:c r="P65" s="68"/>
      <x:c r="Q65" s="68"/>
      <x:c r="R65" s="68"/>
      <x:c r="S65" s="68"/>
      <x:c r="T65" s="68"/>
      <x:c r="U65" s="68"/>
      <x:c r="V65" s="82"/>
      <x:c r="W65" s="82"/>
      <x:c r="X65" s="87"/>
    </x:row>
    <x:row r="66">
      <x:c r="A66" s="72" t="str">
        <x:f>IF(OR(C66="",D66=""),"",B66&amp;"-"&amp;UPPER(C66)&amp;"-"&amp;TEXT(D66,"0000")&amp;"-"&amp;E66)</x:f>
      </x:c>
      <x:c r="B66" s="74" t="str">
        <x:v>M19</x:v>
      </x:c>
      <x:c r="C66" s="74"/>
      <x:c r="D66" s="79"/>
      <x:c r="E66" s="74" t="str">
        <x:v>V1.0</x:v>
      </x:c>
      <x:c r="F66" s="68"/>
      <x:c r="G66" s="68"/>
      <x:c r="H66" s="68"/>
      <x:c r="I66" s="68"/>
      <x:c r="J66" s="68"/>
      <x:c r="K66" s="68"/>
      <x:c r="L66" s="82"/>
      <x:c r="M66" s="82"/>
      <x:c r="N66" s="82"/>
      <x:c r="O66" s="68"/>
      <x:c r="P66" s="68"/>
      <x:c r="Q66" s="68"/>
      <x:c r="R66" s="68"/>
      <x:c r="S66" s="68"/>
      <x:c r="T66" s="68"/>
      <x:c r="U66" s="68"/>
      <x:c r="V66" s="82"/>
      <x:c r="W66" s="82"/>
      <x:c r="X66" s="87"/>
    </x:row>
    <x:row r="67">
      <x:c r="A67" s="72" t="str">
        <x:f>IF(OR(C67="",D67=""),"",B67&amp;"-"&amp;UPPER(C67)&amp;"-"&amp;TEXT(D67,"0000")&amp;"-"&amp;E67)</x:f>
      </x:c>
      <x:c r="B67" s="74" t="str">
        <x:v>M19</x:v>
      </x:c>
      <x:c r="C67" s="74"/>
      <x:c r="D67" s="79"/>
      <x:c r="E67" s="74" t="str">
        <x:v>V1.0</x:v>
      </x:c>
      <x:c r="F67" s="68"/>
      <x:c r="G67" s="68"/>
      <x:c r="H67" s="68"/>
      <x:c r="I67" s="68"/>
      <x:c r="J67" s="68"/>
      <x:c r="K67" s="68"/>
      <x:c r="L67" s="82"/>
      <x:c r="M67" s="82"/>
      <x:c r="N67" s="82"/>
      <x:c r="O67" s="68"/>
      <x:c r="P67" s="68"/>
      <x:c r="Q67" s="68"/>
      <x:c r="R67" s="68"/>
      <x:c r="S67" s="68"/>
      <x:c r="T67" s="68"/>
      <x:c r="U67" s="68"/>
      <x:c r="V67" s="82"/>
      <x:c r="W67" s="82"/>
      <x:c r="X67" s="87"/>
    </x:row>
    <x:row r="68">
      <x:c r="A68" s="72" t="str">
        <x:f>IF(OR(C68="",D68=""),"",B68&amp;"-"&amp;UPPER(C68)&amp;"-"&amp;TEXT(D68,"0000")&amp;"-"&amp;E68)</x:f>
      </x:c>
      <x:c r="B68" s="74" t="str">
        <x:v>M19</x:v>
      </x:c>
      <x:c r="C68" s="74"/>
      <x:c r="D68" s="79"/>
      <x:c r="E68" s="74" t="str">
        <x:v>V1.0</x:v>
      </x:c>
      <x:c r="F68" s="68"/>
      <x:c r="G68" s="68"/>
      <x:c r="H68" s="68"/>
      <x:c r="I68" s="68"/>
      <x:c r="J68" s="68"/>
      <x:c r="K68" s="68"/>
      <x:c r="L68" s="82"/>
      <x:c r="M68" s="82"/>
      <x:c r="N68" s="82"/>
      <x:c r="O68" s="68"/>
      <x:c r="P68" s="68"/>
      <x:c r="Q68" s="68"/>
      <x:c r="R68" s="68"/>
      <x:c r="S68" s="68"/>
      <x:c r="T68" s="68"/>
      <x:c r="U68" s="68"/>
      <x:c r="V68" s="82"/>
      <x:c r="W68" s="82"/>
      <x:c r="X68" s="87"/>
    </x:row>
    <x:row r="69">
      <x:c r="A69" s="72" t="str">
        <x:f>IF(OR(C69="",D69=""),"",B69&amp;"-"&amp;UPPER(C69)&amp;"-"&amp;TEXT(D69,"0000")&amp;"-"&amp;E69)</x:f>
      </x:c>
      <x:c r="B69" s="74" t="str">
        <x:v>M19</x:v>
      </x:c>
      <x:c r="C69" s="74"/>
      <x:c r="D69" s="79"/>
      <x:c r="E69" s="74" t="str">
        <x:v>V1.0</x:v>
      </x:c>
      <x:c r="F69" s="68"/>
      <x:c r="G69" s="68"/>
      <x:c r="H69" s="68"/>
      <x:c r="I69" s="68"/>
      <x:c r="J69" s="68"/>
      <x:c r="K69" s="68"/>
      <x:c r="L69" s="82"/>
      <x:c r="M69" s="82"/>
      <x:c r="N69" s="82"/>
      <x:c r="O69" s="68"/>
      <x:c r="P69" s="68"/>
      <x:c r="Q69" s="68"/>
      <x:c r="R69" s="68"/>
      <x:c r="S69" s="68"/>
      <x:c r="T69" s="68"/>
      <x:c r="U69" s="68"/>
      <x:c r="V69" s="82"/>
      <x:c r="W69" s="82"/>
      <x:c r="X69" s="87"/>
    </x:row>
    <x:row r="70">
      <x:c r="A70" s="72" t="str">
        <x:f>IF(OR(C70="",D70=""),"",B70&amp;"-"&amp;UPPER(C70)&amp;"-"&amp;TEXT(D70,"0000")&amp;"-"&amp;E70)</x:f>
      </x:c>
      <x:c r="B70" s="74" t="str">
        <x:v>M19</x:v>
      </x:c>
      <x:c r="C70" s="74"/>
      <x:c r="D70" s="79"/>
      <x:c r="E70" s="74" t="str">
        <x:v>V1.0</x:v>
      </x:c>
      <x:c r="F70" s="68"/>
      <x:c r="G70" s="68"/>
      <x:c r="H70" s="68"/>
      <x:c r="I70" s="68"/>
      <x:c r="J70" s="68"/>
      <x:c r="K70" s="68"/>
      <x:c r="L70" s="82"/>
      <x:c r="M70" s="82"/>
      <x:c r="N70" s="82"/>
      <x:c r="O70" s="68"/>
      <x:c r="P70" s="68"/>
      <x:c r="Q70" s="68"/>
      <x:c r="R70" s="68"/>
      <x:c r="S70" s="68"/>
      <x:c r="T70" s="68"/>
      <x:c r="U70" s="68"/>
      <x:c r="V70" s="82"/>
      <x:c r="W70" s="82"/>
      <x:c r="X70" s="87"/>
    </x:row>
    <x:row r="71">
      <x:c r="A71" s="72" t="str">
        <x:f>IF(OR(C71="",D71=""),"",B71&amp;"-"&amp;UPPER(C71)&amp;"-"&amp;TEXT(D71,"0000")&amp;"-"&amp;E71)</x:f>
      </x:c>
      <x:c r="B71" s="74" t="str">
        <x:v>M19</x:v>
      </x:c>
      <x:c r="C71" s="74"/>
      <x:c r="D71" s="79"/>
      <x:c r="E71" s="74" t="str">
        <x:v>V1.0</x:v>
      </x:c>
      <x:c r="F71" s="68"/>
      <x:c r="G71" s="68"/>
      <x:c r="H71" s="68"/>
      <x:c r="I71" s="68"/>
      <x:c r="J71" s="68"/>
      <x:c r="K71" s="68"/>
      <x:c r="L71" s="82"/>
      <x:c r="M71" s="82"/>
      <x:c r="N71" s="82"/>
      <x:c r="O71" s="68"/>
      <x:c r="P71" s="68"/>
      <x:c r="Q71" s="68"/>
      <x:c r="R71" s="68"/>
      <x:c r="S71" s="68"/>
      <x:c r="T71" s="68"/>
      <x:c r="U71" s="68"/>
      <x:c r="V71" s="82"/>
      <x:c r="W71" s="82"/>
      <x:c r="X71" s="87"/>
    </x:row>
    <x:row r="72">
      <x:c r="A72" s="72" t="str">
        <x:f>IF(OR(C72="",D72=""),"",B72&amp;"-"&amp;UPPER(C72)&amp;"-"&amp;TEXT(D72,"0000")&amp;"-"&amp;E72)</x:f>
      </x:c>
      <x:c r="B72" s="74" t="str">
        <x:v>M19</x:v>
      </x:c>
      <x:c r="C72" s="74"/>
      <x:c r="D72" s="79"/>
      <x:c r="E72" s="74" t="str">
        <x:v>V1.0</x:v>
      </x:c>
      <x:c r="F72" s="68"/>
      <x:c r="G72" s="68"/>
      <x:c r="H72" s="68"/>
      <x:c r="I72" s="68"/>
      <x:c r="J72" s="68"/>
      <x:c r="K72" s="68"/>
      <x:c r="L72" s="82"/>
      <x:c r="M72" s="82"/>
      <x:c r="N72" s="82"/>
      <x:c r="O72" s="68"/>
      <x:c r="P72" s="68"/>
      <x:c r="Q72" s="68"/>
      <x:c r="R72" s="68"/>
      <x:c r="S72" s="68"/>
      <x:c r="T72" s="68"/>
      <x:c r="U72" s="68"/>
      <x:c r="V72" s="82"/>
      <x:c r="W72" s="82"/>
      <x:c r="X72" s="87"/>
    </x:row>
    <x:row r="73">
      <x:c r="A73" s="72" t="str">
        <x:f>IF(OR(C73="",D73=""),"",B73&amp;"-"&amp;UPPER(C73)&amp;"-"&amp;TEXT(D73,"0000")&amp;"-"&amp;E73)</x:f>
      </x:c>
      <x:c r="B73" s="74" t="str">
        <x:v>M19</x:v>
      </x:c>
      <x:c r="C73" s="74"/>
      <x:c r="D73" s="79"/>
      <x:c r="E73" s="74" t="str">
        <x:v>V1.0</x:v>
      </x:c>
      <x:c r="F73" s="68"/>
      <x:c r="G73" s="68"/>
      <x:c r="H73" s="68"/>
      <x:c r="I73" s="68"/>
      <x:c r="J73" s="68"/>
      <x:c r="K73" s="68"/>
      <x:c r="L73" s="82"/>
      <x:c r="M73" s="82"/>
      <x:c r="N73" s="82"/>
      <x:c r="O73" s="68"/>
      <x:c r="P73" s="68"/>
      <x:c r="Q73" s="68"/>
      <x:c r="R73" s="68"/>
      <x:c r="S73" s="68"/>
      <x:c r="T73" s="68"/>
      <x:c r="U73" s="68"/>
      <x:c r="V73" s="82"/>
      <x:c r="W73" s="82"/>
      <x:c r="X73" s="87"/>
    </x:row>
    <x:row r="74">
      <x:c r="A74" s="72" t="str">
        <x:f>IF(OR(C74="",D74=""),"",B74&amp;"-"&amp;UPPER(C74)&amp;"-"&amp;TEXT(D74,"0000")&amp;"-"&amp;E74)</x:f>
      </x:c>
      <x:c r="B74" s="74" t="str">
        <x:v>M19</x:v>
      </x:c>
      <x:c r="C74" s="74"/>
      <x:c r="D74" s="79"/>
      <x:c r="E74" s="74" t="str">
        <x:v>V1.0</x:v>
      </x:c>
      <x:c r="F74" s="68"/>
      <x:c r="G74" s="68"/>
      <x:c r="H74" s="68"/>
      <x:c r="I74" s="68"/>
      <x:c r="J74" s="68"/>
      <x:c r="K74" s="68"/>
      <x:c r="L74" s="82"/>
      <x:c r="M74" s="82"/>
      <x:c r="N74" s="82"/>
      <x:c r="O74" s="68"/>
      <x:c r="P74" s="68"/>
      <x:c r="Q74" s="68"/>
      <x:c r="R74" s="68"/>
      <x:c r="S74" s="68"/>
      <x:c r="T74" s="68"/>
      <x:c r="U74" s="68"/>
      <x:c r="V74" s="82"/>
      <x:c r="W74" s="82"/>
      <x:c r="X74" s="87"/>
    </x:row>
    <x:row r="75">
      <x:c r="A75" s="72" t="str">
        <x:f>IF(OR(C75="",D75=""),"",B75&amp;"-"&amp;UPPER(C75)&amp;"-"&amp;TEXT(D75,"0000")&amp;"-"&amp;E75)</x:f>
      </x:c>
      <x:c r="B75" s="74" t="str">
        <x:v>M19</x:v>
      </x:c>
      <x:c r="C75" s="74"/>
      <x:c r="D75" s="79"/>
      <x:c r="E75" s="74" t="str">
        <x:v>V1.0</x:v>
      </x:c>
      <x:c r="F75" s="68"/>
      <x:c r="G75" s="68"/>
      <x:c r="H75" s="68"/>
      <x:c r="I75" s="68"/>
      <x:c r="J75" s="68"/>
      <x:c r="K75" s="68"/>
      <x:c r="L75" s="82"/>
      <x:c r="M75" s="82"/>
      <x:c r="N75" s="82"/>
      <x:c r="O75" s="68"/>
      <x:c r="P75" s="68"/>
      <x:c r="Q75" s="68"/>
      <x:c r="R75" s="68"/>
      <x:c r="S75" s="68"/>
      <x:c r="T75" s="68"/>
      <x:c r="U75" s="68"/>
      <x:c r="V75" s="82"/>
      <x:c r="W75" s="82"/>
      <x:c r="X75" s="87"/>
    </x:row>
    <x:row r="76">
      <x:c r="A76" s="72" t="str">
        <x:f>IF(OR(C76="",D76=""),"",B76&amp;"-"&amp;UPPER(C76)&amp;"-"&amp;TEXT(D76,"0000")&amp;"-"&amp;E76)</x:f>
      </x:c>
      <x:c r="B76" s="74" t="str">
        <x:v>M19</x:v>
      </x:c>
      <x:c r="C76" s="74"/>
      <x:c r="D76" s="79"/>
      <x:c r="E76" s="74" t="str">
        <x:v>V1.0</x:v>
      </x:c>
      <x:c r="F76" s="68"/>
      <x:c r="G76" s="68"/>
      <x:c r="H76" s="68"/>
      <x:c r="I76" s="68"/>
      <x:c r="J76" s="68"/>
      <x:c r="K76" s="68"/>
      <x:c r="L76" s="82"/>
      <x:c r="M76" s="82"/>
      <x:c r="N76" s="82"/>
      <x:c r="O76" s="68"/>
      <x:c r="P76" s="68"/>
      <x:c r="Q76" s="68"/>
      <x:c r="R76" s="68"/>
      <x:c r="S76" s="68"/>
      <x:c r="T76" s="68"/>
      <x:c r="U76" s="68"/>
      <x:c r="V76" s="82"/>
      <x:c r="W76" s="82"/>
      <x:c r="X76" s="87"/>
    </x:row>
    <x:row r="77">
      <x:c r="A77" s="72" t="str">
        <x:f>IF(OR(C77="",D77=""),"",B77&amp;"-"&amp;UPPER(C77)&amp;"-"&amp;TEXT(D77,"0000")&amp;"-"&amp;E77)</x:f>
      </x:c>
      <x:c r="B77" s="74" t="str">
        <x:v>M19</x:v>
      </x:c>
      <x:c r="C77" s="74"/>
      <x:c r="D77" s="79"/>
      <x:c r="E77" s="74" t="str">
        <x:v>V1.0</x:v>
      </x:c>
      <x:c r="F77" s="68"/>
      <x:c r="G77" s="68"/>
      <x:c r="H77" s="68"/>
      <x:c r="I77" s="68"/>
      <x:c r="J77" s="68"/>
      <x:c r="K77" s="68"/>
      <x:c r="L77" s="82"/>
      <x:c r="M77" s="82"/>
      <x:c r="N77" s="82"/>
      <x:c r="O77" s="68"/>
      <x:c r="P77" s="68"/>
      <x:c r="Q77" s="68"/>
      <x:c r="R77" s="68"/>
      <x:c r="S77" s="68"/>
      <x:c r="T77" s="68"/>
      <x:c r="U77" s="68"/>
      <x:c r="V77" s="82"/>
      <x:c r="W77" s="82"/>
      <x:c r="X77" s="87"/>
    </x:row>
    <x:row r="78">
      <x:c r="A78" s="72" t="str">
        <x:f>IF(OR(C78="",D78=""),"",B78&amp;"-"&amp;UPPER(C78)&amp;"-"&amp;TEXT(D78,"0000")&amp;"-"&amp;E78)</x:f>
      </x:c>
      <x:c r="B78" s="74" t="str">
        <x:v>M19</x:v>
      </x:c>
      <x:c r="C78" s="74"/>
      <x:c r="D78" s="79"/>
      <x:c r="E78" s="74" t="str">
        <x:v>V1.0</x:v>
      </x:c>
      <x:c r="F78" s="68"/>
      <x:c r="G78" s="68"/>
      <x:c r="H78" s="68"/>
      <x:c r="I78" s="68"/>
      <x:c r="J78" s="68"/>
      <x:c r="K78" s="68"/>
      <x:c r="L78" s="82"/>
      <x:c r="M78" s="82"/>
      <x:c r="N78" s="82"/>
      <x:c r="O78" s="68"/>
      <x:c r="P78" s="68"/>
      <x:c r="Q78" s="68"/>
      <x:c r="R78" s="68"/>
      <x:c r="S78" s="68"/>
      <x:c r="T78" s="68"/>
      <x:c r="U78" s="68"/>
      <x:c r="V78" s="82"/>
      <x:c r="W78" s="82"/>
      <x:c r="X78" s="87"/>
    </x:row>
    <x:row r="79">
      <x:c r="A79" s="72" t="str">
        <x:f>IF(OR(C79="",D79=""),"",B79&amp;"-"&amp;UPPER(C79)&amp;"-"&amp;TEXT(D79,"0000")&amp;"-"&amp;E79)</x:f>
      </x:c>
      <x:c r="B79" s="74" t="str">
        <x:v>M19</x:v>
      </x:c>
      <x:c r="C79" s="74"/>
      <x:c r="D79" s="79"/>
      <x:c r="E79" s="74" t="str">
        <x:v>V1.0</x:v>
      </x:c>
      <x:c r="F79" s="68"/>
      <x:c r="G79" s="68"/>
      <x:c r="H79" s="68"/>
      <x:c r="I79" s="68"/>
      <x:c r="J79" s="68"/>
      <x:c r="K79" s="68"/>
      <x:c r="L79" s="82"/>
      <x:c r="M79" s="82"/>
      <x:c r="N79" s="82"/>
      <x:c r="O79" s="68"/>
      <x:c r="P79" s="68"/>
      <x:c r="Q79" s="68"/>
      <x:c r="R79" s="68"/>
      <x:c r="S79" s="68"/>
      <x:c r="T79" s="68"/>
      <x:c r="U79" s="68"/>
      <x:c r="V79" s="82"/>
      <x:c r="W79" s="82"/>
      <x:c r="X79" s="87"/>
    </x:row>
    <x:row r="80">
      <x:c r="A80" s="72" t="str">
        <x:f>IF(OR(C80="",D80=""),"",B80&amp;"-"&amp;UPPER(C80)&amp;"-"&amp;TEXT(D80,"0000")&amp;"-"&amp;E80)</x:f>
      </x:c>
      <x:c r="B80" s="74" t="str">
        <x:v>M19</x:v>
      </x:c>
      <x:c r="C80" s="74"/>
      <x:c r="D80" s="79"/>
      <x:c r="E80" s="74" t="str">
        <x:v>V1.0</x:v>
      </x:c>
      <x:c r="F80" s="68"/>
      <x:c r="G80" s="68"/>
      <x:c r="H80" s="68"/>
      <x:c r="I80" s="68"/>
      <x:c r="J80" s="68"/>
      <x:c r="K80" s="68"/>
      <x:c r="L80" s="82"/>
      <x:c r="M80" s="82"/>
      <x:c r="N80" s="82"/>
      <x:c r="O80" s="68"/>
      <x:c r="P80" s="68"/>
      <x:c r="Q80" s="68"/>
      <x:c r="R80" s="68"/>
      <x:c r="S80" s="68"/>
      <x:c r="T80" s="68"/>
      <x:c r="U80" s="68"/>
      <x:c r="V80" s="82"/>
      <x:c r="W80" s="82"/>
      <x:c r="X80" s="87"/>
    </x:row>
    <x:row r="81">
      <x:c r="A81" s="72" t="str">
        <x:f>IF(OR(C81="",D81=""),"",B81&amp;"-"&amp;UPPER(C81)&amp;"-"&amp;TEXT(D81,"0000")&amp;"-"&amp;E81)</x:f>
      </x:c>
      <x:c r="B81" s="74" t="str">
        <x:v>M19</x:v>
      </x:c>
      <x:c r="C81" s="74"/>
      <x:c r="D81" s="79"/>
      <x:c r="E81" s="74" t="str">
        <x:v>V1.0</x:v>
      </x:c>
      <x:c r="F81" s="68"/>
      <x:c r="G81" s="68"/>
      <x:c r="H81" s="68"/>
      <x:c r="I81" s="68"/>
      <x:c r="J81" s="68"/>
      <x:c r="K81" s="68"/>
      <x:c r="L81" s="82"/>
      <x:c r="M81" s="82"/>
      <x:c r="N81" s="82"/>
      <x:c r="O81" s="68"/>
      <x:c r="P81" s="68"/>
      <x:c r="Q81" s="68"/>
      <x:c r="R81" s="68"/>
      <x:c r="S81" s="68"/>
      <x:c r="T81" s="68"/>
      <x:c r="U81" s="68"/>
      <x:c r="V81" s="82"/>
      <x:c r="W81" s="82"/>
      <x:c r="X81" s="87"/>
    </x:row>
    <x:row r="82">
      <x:c r="A82" s="72" t="str">
        <x:f>IF(OR(C82="",D82=""),"",B82&amp;"-"&amp;UPPER(C82)&amp;"-"&amp;TEXT(D82,"0000")&amp;"-"&amp;E82)</x:f>
      </x:c>
      <x:c r="B82" s="74" t="str">
        <x:v>M19</x:v>
      </x:c>
      <x:c r="C82" s="74"/>
      <x:c r="D82" s="79"/>
      <x:c r="E82" s="74" t="str">
        <x:v>V1.0</x:v>
      </x:c>
      <x:c r="F82" s="68"/>
      <x:c r="G82" s="68"/>
      <x:c r="H82" s="68"/>
      <x:c r="I82" s="68"/>
      <x:c r="J82" s="68"/>
      <x:c r="K82" s="68"/>
      <x:c r="L82" s="82"/>
      <x:c r="M82" s="82"/>
      <x:c r="N82" s="82"/>
      <x:c r="O82" s="68"/>
      <x:c r="P82" s="68"/>
      <x:c r="Q82" s="68"/>
      <x:c r="R82" s="68"/>
      <x:c r="S82" s="68"/>
      <x:c r="T82" s="68"/>
      <x:c r="U82" s="68"/>
      <x:c r="V82" s="82"/>
      <x:c r="W82" s="82"/>
      <x:c r="X82" s="87"/>
    </x:row>
    <x:row r="83">
      <x:c r="A83" s="72" t="str">
        <x:f>IF(OR(C83="",D83=""),"",B83&amp;"-"&amp;UPPER(C83)&amp;"-"&amp;TEXT(D83,"0000")&amp;"-"&amp;E83)</x:f>
      </x:c>
      <x:c r="B83" s="74" t="str">
        <x:v>M19</x:v>
      </x:c>
      <x:c r="C83" s="74"/>
      <x:c r="D83" s="79"/>
      <x:c r="E83" s="74" t="str">
        <x:v>V1.0</x:v>
      </x:c>
      <x:c r="F83" s="68"/>
      <x:c r="G83" s="68"/>
      <x:c r="H83" s="68"/>
      <x:c r="I83" s="68"/>
      <x:c r="J83" s="68"/>
      <x:c r="K83" s="68"/>
      <x:c r="L83" s="82"/>
      <x:c r="M83" s="82"/>
      <x:c r="N83" s="82"/>
      <x:c r="O83" s="68"/>
      <x:c r="P83" s="68"/>
      <x:c r="Q83" s="68"/>
      <x:c r="R83" s="68"/>
      <x:c r="S83" s="68"/>
      <x:c r="T83" s="68"/>
      <x:c r="U83" s="68"/>
      <x:c r="V83" s="82"/>
      <x:c r="W83" s="82"/>
      <x:c r="X83" s="87"/>
    </x:row>
    <x:row r="84">
      <x:c r="A84" s="72" t="str">
        <x:f>IF(OR(C84="",D84=""),"",B84&amp;"-"&amp;UPPER(C84)&amp;"-"&amp;TEXT(D84,"0000")&amp;"-"&amp;E84)</x:f>
      </x:c>
      <x:c r="B84" s="74" t="str">
        <x:v>M19</x:v>
      </x:c>
      <x:c r="C84" s="74"/>
      <x:c r="D84" s="79"/>
      <x:c r="E84" s="74" t="str">
        <x:v>V1.0</x:v>
      </x:c>
      <x:c r="F84" s="68"/>
      <x:c r="G84" s="68"/>
      <x:c r="H84" s="68"/>
      <x:c r="I84" s="68"/>
      <x:c r="J84" s="68"/>
      <x:c r="K84" s="68"/>
      <x:c r="L84" s="82"/>
      <x:c r="M84" s="82"/>
      <x:c r="N84" s="82"/>
      <x:c r="O84" s="68"/>
      <x:c r="P84" s="68"/>
      <x:c r="Q84" s="68"/>
      <x:c r="R84" s="68"/>
      <x:c r="S84" s="68"/>
      <x:c r="T84" s="68"/>
      <x:c r="U84" s="68"/>
      <x:c r="V84" s="82"/>
      <x:c r="W84" s="82"/>
      <x:c r="X84" s="87"/>
    </x:row>
    <x:row r="85">
      <x:c r="A85" s="72" t="str">
        <x:f>IF(OR(C85="",D85=""),"",B85&amp;"-"&amp;UPPER(C85)&amp;"-"&amp;TEXT(D85,"0000")&amp;"-"&amp;E85)</x:f>
      </x:c>
      <x:c r="B85" s="74" t="str">
        <x:v>M19</x:v>
      </x:c>
      <x:c r="C85" s="74"/>
      <x:c r="D85" s="79"/>
      <x:c r="E85" s="74" t="str">
        <x:v>V1.0</x:v>
      </x:c>
      <x:c r="F85" s="68"/>
      <x:c r="G85" s="68"/>
      <x:c r="H85" s="68"/>
      <x:c r="I85" s="68"/>
      <x:c r="J85" s="68"/>
      <x:c r="K85" s="68"/>
      <x:c r="L85" s="82"/>
      <x:c r="M85" s="82"/>
      <x:c r="N85" s="82"/>
      <x:c r="O85" s="68"/>
      <x:c r="P85" s="68"/>
      <x:c r="Q85" s="68"/>
      <x:c r="R85" s="68"/>
      <x:c r="S85" s="68"/>
      <x:c r="T85" s="68"/>
      <x:c r="U85" s="68"/>
      <x:c r="V85" s="82"/>
      <x:c r="W85" s="82"/>
      <x:c r="X85" s="87"/>
    </x:row>
    <x:row r="86">
      <x:c r="A86" s="72" t="str">
        <x:f>IF(OR(C86="",D86=""),"",B86&amp;"-"&amp;UPPER(C86)&amp;"-"&amp;TEXT(D86,"0000")&amp;"-"&amp;E86)</x:f>
      </x:c>
      <x:c r="B86" s="74" t="str">
        <x:v>M19</x:v>
      </x:c>
      <x:c r="C86" s="74"/>
      <x:c r="D86" s="79"/>
      <x:c r="E86" s="74" t="str">
        <x:v>V1.0</x:v>
      </x:c>
      <x:c r="F86" s="68"/>
      <x:c r="G86" s="68"/>
      <x:c r="H86" s="68"/>
      <x:c r="I86" s="68"/>
      <x:c r="J86" s="68"/>
      <x:c r="K86" s="68"/>
      <x:c r="L86" s="82"/>
      <x:c r="M86" s="82"/>
      <x:c r="N86" s="82"/>
      <x:c r="O86" s="68"/>
      <x:c r="P86" s="68"/>
      <x:c r="Q86" s="68"/>
      <x:c r="R86" s="68"/>
      <x:c r="S86" s="68"/>
      <x:c r="T86" s="68"/>
      <x:c r="U86" s="68"/>
      <x:c r="V86" s="82"/>
      <x:c r="W86" s="82"/>
      <x:c r="X86" s="87"/>
    </x:row>
    <x:row r="87">
      <x:c r="A87" s="72" t="str">
        <x:f>IF(OR(C87="",D87=""),"",B87&amp;"-"&amp;UPPER(C87)&amp;"-"&amp;TEXT(D87,"0000")&amp;"-"&amp;E87)</x:f>
      </x:c>
      <x:c r="B87" s="74" t="str">
        <x:v>M19</x:v>
      </x:c>
      <x:c r="C87" s="74"/>
      <x:c r="D87" s="79"/>
      <x:c r="E87" s="74" t="str">
        <x:v>V1.0</x:v>
      </x:c>
      <x:c r="F87" s="68"/>
      <x:c r="G87" s="68"/>
      <x:c r="H87" s="68"/>
      <x:c r="I87" s="68"/>
      <x:c r="J87" s="68"/>
      <x:c r="K87" s="68"/>
      <x:c r="L87" s="82"/>
      <x:c r="M87" s="82"/>
      <x:c r="N87" s="82"/>
      <x:c r="O87" s="68"/>
      <x:c r="P87" s="68"/>
      <x:c r="Q87" s="68"/>
      <x:c r="R87" s="68"/>
      <x:c r="S87" s="68"/>
      <x:c r="T87" s="68"/>
      <x:c r="U87" s="68"/>
      <x:c r="V87" s="82"/>
      <x:c r="W87" s="82"/>
      <x:c r="X87" s="87"/>
    </x:row>
    <x:row r="88">
      <x:c r="A88" s="72" t="str">
        <x:f>IF(OR(C88="",D88=""),"",B88&amp;"-"&amp;UPPER(C88)&amp;"-"&amp;TEXT(D88,"0000")&amp;"-"&amp;E88)</x:f>
      </x:c>
      <x:c r="B88" s="74" t="str">
        <x:v>M19</x:v>
      </x:c>
      <x:c r="C88" s="74"/>
      <x:c r="D88" s="79"/>
      <x:c r="E88" s="74" t="str">
        <x:v>V1.0</x:v>
      </x:c>
      <x:c r="F88" s="68"/>
      <x:c r="G88" s="68"/>
      <x:c r="H88" s="68"/>
      <x:c r="I88" s="68"/>
      <x:c r="J88" s="68"/>
      <x:c r="K88" s="68"/>
      <x:c r="L88" s="82"/>
      <x:c r="M88" s="82"/>
      <x:c r="N88" s="82"/>
      <x:c r="O88" s="68"/>
      <x:c r="P88" s="68"/>
      <x:c r="Q88" s="68"/>
      <x:c r="R88" s="68"/>
      <x:c r="S88" s="68"/>
      <x:c r="T88" s="68"/>
      <x:c r="U88" s="68"/>
      <x:c r="V88" s="82"/>
      <x:c r="W88" s="82"/>
      <x:c r="X88" s="87"/>
    </x:row>
    <x:row r="89">
      <x:c r="A89" s="72" t="str">
        <x:f>IF(OR(C89="",D89=""),"",B89&amp;"-"&amp;UPPER(C89)&amp;"-"&amp;TEXT(D89,"0000")&amp;"-"&amp;E89)</x:f>
      </x:c>
      <x:c r="B89" s="74" t="str">
        <x:v>M19</x:v>
      </x:c>
      <x:c r="C89" s="74"/>
      <x:c r="D89" s="79"/>
      <x:c r="E89" s="74" t="str">
        <x:v>V1.0</x:v>
      </x:c>
      <x:c r="F89" s="68"/>
      <x:c r="G89" s="68"/>
      <x:c r="H89" s="68"/>
      <x:c r="I89" s="68"/>
      <x:c r="J89" s="68"/>
      <x:c r="K89" s="68"/>
      <x:c r="L89" s="82"/>
      <x:c r="M89" s="82"/>
      <x:c r="N89" s="82"/>
      <x:c r="O89" s="68"/>
      <x:c r="P89" s="68"/>
      <x:c r="Q89" s="68"/>
      <x:c r="R89" s="68"/>
      <x:c r="S89" s="68"/>
      <x:c r="T89" s="68"/>
      <x:c r="U89" s="68"/>
      <x:c r="V89" s="82"/>
      <x:c r="W89" s="82"/>
      <x:c r="X89" s="87"/>
    </x:row>
    <x:row r="90">
      <x:c r="A90" s="72" t="str">
        <x:f>IF(OR(C90="",D90=""),"",B90&amp;"-"&amp;UPPER(C90)&amp;"-"&amp;TEXT(D90,"0000")&amp;"-"&amp;E90)</x:f>
      </x:c>
      <x:c r="B90" s="74" t="str">
        <x:v>M19</x:v>
      </x:c>
      <x:c r="C90" s="74"/>
      <x:c r="D90" s="79"/>
      <x:c r="E90" s="74" t="str">
        <x:v>V1.0</x:v>
      </x:c>
      <x:c r="F90" s="68"/>
      <x:c r="G90" s="68"/>
      <x:c r="H90" s="68"/>
      <x:c r="I90" s="68"/>
      <x:c r="J90" s="68"/>
      <x:c r="K90" s="68"/>
      <x:c r="L90" s="82"/>
      <x:c r="M90" s="82"/>
      <x:c r="N90" s="82"/>
      <x:c r="O90" s="68"/>
      <x:c r="P90" s="68"/>
      <x:c r="Q90" s="68"/>
      <x:c r="R90" s="68"/>
      <x:c r="S90" s="68"/>
      <x:c r="T90" s="68"/>
      <x:c r="U90" s="68"/>
      <x:c r="V90" s="82"/>
      <x:c r="W90" s="82"/>
      <x:c r="X90" s="87"/>
    </x:row>
    <x:row r="91">
      <x:c r="A91" s="72" t="str">
        <x:f>IF(OR(C91="",D91=""),"",B91&amp;"-"&amp;UPPER(C91)&amp;"-"&amp;TEXT(D91,"0000")&amp;"-"&amp;E91)</x:f>
      </x:c>
      <x:c r="B91" s="74" t="str">
        <x:v>M19</x:v>
      </x:c>
      <x:c r="C91" s="74"/>
      <x:c r="D91" s="79"/>
      <x:c r="E91" s="74" t="str">
        <x:v>V1.0</x:v>
      </x:c>
      <x:c r="F91" s="68"/>
      <x:c r="G91" s="68"/>
      <x:c r="H91" s="68"/>
      <x:c r="I91" s="68"/>
      <x:c r="J91" s="68"/>
      <x:c r="K91" s="68"/>
      <x:c r="L91" s="82"/>
      <x:c r="M91" s="82"/>
      <x:c r="N91" s="82"/>
      <x:c r="O91" s="68"/>
      <x:c r="P91" s="68"/>
      <x:c r="Q91" s="68"/>
      <x:c r="R91" s="68"/>
      <x:c r="S91" s="68"/>
      <x:c r="T91" s="68"/>
      <x:c r="U91" s="68"/>
      <x:c r="V91" s="82"/>
      <x:c r="W91" s="82"/>
      <x:c r="X91" s="87"/>
    </x:row>
    <x:row r="92">
      <x:c r="A92" s="72" t="str">
        <x:f>IF(OR(C92="",D92=""),"",B92&amp;"-"&amp;UPPER(C92)&amp;"-"&amp;TEXT(D92,"0000")&amp;"-"&amp;E92)</x:f>
      </x:c>
      <x:c r="B92" s="74" t="str">
        <x:v>M19</x:v>
      </x:c>
      <x:c r="C92" s="74"/>
      <x:c r="D92" s="79"/>
      <x:c r="E92" s="74" t="str">
        <x:v>V1.0</x:v>
      </x:c>
      <x:c r="F92" s="68"/>
      <x:c r="G92" s="68"/>
      <x:c r="H92" s="68"/>
      <x:c r="I92" s="68"/>
      <x:c r="J92" s="68"/>
      <x:c r="K92" s="68"/>
      <x:c r="L92" s="82"/>
      <x:c r="M92" s="82"/>
      <x:c r="N92" s="82"/>
      <x:c r="O92" s="68"/>
      <x:c r="P92" s="68"/>
      <x:c r="Q92" s="68"/>
      <x:c r="R92" s="68"/>
      <x:c r="S92" s="68"/>
      <x:c r="T92" s="68"/>
      <x:c r="U92" s="68"/>
      <x:c r="V92" s="82"/>
      <x:c r="W92" s="82"/>
      <x:c r="X92" s="87"/>
    </x:row>
    <x:row r="93">
      <x:c r="A93" s="72" t="str">
        <x:f>IF(OR(C93="",D93=""),"",B93&amp;"-"&amp;UPPER(C93)&amp;"-"&amp;TEXT(D93,"0000")&amp;"-"&amp;E93)</x:f>
      </x:c>
      <x:c r="B93" s="74" t="str">
        <x:v>M19</x:v>
      </x:c>
      <x:c r="C93" s="74"/>
      <x:c r="D93" s="79"/>
      <x:c r="E93" s="74" t="str">
        <x:v>V1.0</x:v>
      </x:c>
      <x:c r="F93" s="68"/>
      <x:c r="G93" s="68"/>
      <x:c r="H93" s="68"/>
      <x:c r="I93" s="68"/>
      <x:c r="J93" s="68"/>
      <x:c r="K93" s="68"/>
      <x:c r="L93" s="82"/>
      <x:c r="M93" s="82"/>
      <x:c r="N93" s="82"/>
      <x:c r="O93" s="68"/>
      <x:c r="P93" s="68"/>
      <x:c r="Q93" s="68"/>
      <x:c r="R93" s="68"/>
      <x:c r="S93" s="68"/>
      <x:c r="T93" s="68"/>
      <x:c r="U93" s="68"/>
      <x:c r="V93" s="82"/>
      <x:c r="W93" s="82"/>
      <x:c r="X93" s="87"/>
    </x:row>
    <x:row r="94">
      <x:c r="A94" s="72" t="str">
        <x:f>IF(OR(C94="",D94=""),"",B94&amp;"-"&amp;UPPER(C94)&amp;"-"&amp;TEXT(D94,"0000")&amp;"-"&amp;E94)</x:f>
      </x:c>
      <x:c r="B94" s="74" t="str">
        <x:v>M19</x:v>
      </x:c>
      <x:c r="C94" s="74"/>
      <x:c r="D94" s="79"/>
      <x:c r="E94" s="74" t="str">
        <x:v>V1.0</x:v>
      </x:c>
      <x:c r="F94" s="68"/>
      <x:c r="G94" s="68"/>
      <x:c r="H94" s="68"/>
      <x:c r="I94" s="68"/>
      <x:c r="J94" s="68"/>
      <x:c r="K94" s="68"/>
      <x:c r="L94" s="82"/>
      <x:c r="M94" s="82"/>
      <x:c r="N94" s="82"/>
      <x:c r="O94" s="68"/>
      <x:c r="P94" s="68"/>
      <x:c r="Q94" s="68"/>
      <x:c r="R94" s="68"/>
      <x:c r="S94" s="68"/>
      <x:c r="T94" s="68"/>
      <x:c r="U94" s="68"/>
      <x:c r="V94" s="82"/>
      <x:c r="W94" s="82"/>
      <x:c r="X94" s="87"/>
    </x:row>
    <x:row r="95">
      <x:c r="A95" s="72" t="str">
        <x:f>IF(OR(C95="",D95=""),"",B95&amp;"-"&amp;UPPER(C95)&amp;"-"&amp;TEXT(D95,"0000")&amp;"-"&amp;E95)</x:f>
      </x:c>
      <x:c r="B95" s="74" t="str">
        <x:v>M19</x:v>
      </x:c>
      <x:c r="C95" s="74"/>
      <x:c r="D95" s="79"/>
      <x:c r="E95" s="74" t="str">
        <x:v>V1.0</x:v>
      </x:c>
      <x:c r="F95" s="68"/>
      <x:c r="G95" s="68"/>
      <x:c r="H95" s="68"/>
      <x:c r="I95" s="68"/>
      <x:c r="J95" s="68"/>
      <x:c r="K95" s="68"/>
      <x:c r="L95" s="82"/>
      <x:c r="M95" s="82"/>
      <x:c r="N95" s="82"/>
      <x:c r="O95" s="68"/>
      <x:c r="P95" s="68"/>
      <x:c r="Q95" s="68"/>
      <x:c r="R95" s="68"/>
      <x:c r="S95" s="68"/>
      <x:c r="T95" s="68"/>
      <x:c r="U95" s="68"/>
      <x:c r="V95" s="82"/>
      <x:c r="W95" s="82"/>
      <x:c r="X95" s="87"/>
    </x:row>
    <x:row r="96">
      <x:c r="A96" s="72" t="str">
        <x:f>IF(OR(C96="",D96=""),"",B96&amp;"-"&amp;UPPER(C96)&amp;"-"&amp;TEXT(D96,"0000")&amp;"-"&amp;E96)</x:f>
      </x:c>
      <x:c r="B96" s="74" t="str">
        <x:v>M19</x:v>
      </x:c>
      <x:c r="C96" s="74"/>
      <x:c r="D96" s="79"/>
      <x:c r="E96" s="74" t="str">
        <x:v>V1.0</x:v>
      </x:c>
      <x:c r="F96" s="68"/>
      <x:c r="G96" s="68"/>
      <x:c r="H96" s="68"/>
      <x:c r="I96" s="68"/>
      <x:c r="J96" s="68"/>
      <x:c r="K96" s="68"/>
      <x:c r="L96" s="82"/>
      <x:c r="M96" s="82"/>
      <x:c r="N96" s="82"/>
      <x:c r="O96" s="68"/>
      <x:c r="P96" s="68"/>
      <x:c r="Q96" s="68"/>
      <x:c r="R96" s="68"/>
      <x:c r="S96" s="68"/>
      <x:c r="T96" s="68"/>
      <x:c r="U96" s="68"/>
      <x:c r="V96" s="82"/>
      <x:c r="W96" s="82"/>
      <x:c r="X96" s="87"/>
    </x:row>
    <x:row r="97">
      <x:c r="A97" s="72" t="str">
        <x:f>IF(OR(C97="",D97=""),"",B97&amp;"-"&amp;UPPER(C97)&amp;"-"&amp;TEXT(D97,"0000")&amp;"-"&amp;E97)</x:f>
      </x:c>
      <x:c r="B97" s="74" t="str">
        <x:v>M19</x:v>
      </x:c>
      <x:c r="C97" s="74"/>
      <x:c r="D97" s="79"/>
      <x:c r="E97" s="74" t="str">
        <x:v>V1.0</x:v>
      </x:c>
      <x:c r="F97" s="68"/>
      <x:c r="G97" s="68"/>
      <x:c r="H97" s="68"/>
      <x:c r="I97" s="68"/>
      <x:c r="J97" s="68"/>
      <x:c r="K97" s="68"/>
      <x:c r="L97" s="82"/>
      <x:c r="M97" s="82"/>
      <x:c r="N97" s="82"/>
      <x:c r="O97" s="68"/>
      <x:c r="P97" s="68"/>
      <x:c r="Q97" s="68"/>
      <x:c r="R97" s="68"/>
      <x:c r="S97" s="68"/>
      <x:c r="T97" s="68"/>
      <x:c r="U97" s="68"/>
      <x:c r="V97" s="82"/>
      <x:c r="W97" s="82"/>
      <x:c r="X97" s="87"/>
    </x:row>
    <x:row r="98">
      <x:c r="A98" s="72" t="str">
        <x:f>IF(OR(C98="",D98=""),"",B98&amp;"-"&amp;UPPER(C98)&amp;"-"&amp;TEXT(D98,"0000")&amp;"-"&amp;E98)</x:f>
      </x:c>
      <x:c r="B98" s="74" t="str">
        <x:v>M19</x:v>
      </x:c>
      <x:c r="C98" s="74"/>
      <x:c r="D98" s="79"/>
      <x:c r="E98" s="74" t="str">
        <x:v>V1.0</x:v>
      </x:c>
      <x:c r="F98" s="68"/>
      <x:c r="G98" s="68"/>
      <x:c r="H98" s="68"/>
      <x:c r="I98" s="68"/>
      <x:c r="J98" s="68"/>
      <x:c r="K98" s="68"/>
      <x:c r="L98" s="82"/>
      <x:c r="M98" s="82"/>
      <x:c r="N98" s="82"/>
      <x:c r="O98" s="68"/>
      <x:c r="P98" s="68"/>
      <x:c r="Q98" s="68"/>
      <x:c r="R98" s="68"/>
      <x:c r="S98" s="68"/>
      <x:c r="T98" s="68"/>
      <x:c r="U98" s="68"/>
      <x:c r="V98" s="82"/>
      <x:c r="W98" s="82"/>
      <x:c r="X98" s="87"/>
    </x:row>
    <x:row r="99">
      <x:c r="A99" s="72" t="str">
        <x:f>IF(OR(C99="",D99=""),"",B99&amp;"-"&amp;UPPER(C99)&amp;"-"&amp;TEXT(D99,"0000")&amp;"-"&amp;E99)</x:f>
      </x:c>
      <x:c r="B99" s="74" t="str">
        <x:v>M19</x:v>
      </x:c>
      <x:c r="C99" s="74"/>
      <x:c r="D99" s="79"/>
      <x:c r="E99" s="74" t="str">
        <x:v>V1.0</x:v>
      </x:c>
      <x:c r="F99" s="68"/>
      <x:c r="G99" s="68"/>
      <x:c r="H99" s="68"/>
      <x:c r="I99" s="68"/>
      <x:c r="J99" s="68"/>
      <x:c r="K99" s="68"/>
      <x:c r="L99" s="82"/>
      <x:c r="M99" s="82"/>
      <x:c r="N99" s="82"/>
      <x:c r="O99" s="68"/>
      <x:c r="P99" s="68"/>
      <x:c r="Q99" s="68"/>
      <x:c r="R99" s="68"/>
      <x:c r="S99" s="68"/>
      <x:c r="T99" s="68"/>
      <x:c r="U99" s="68"/>
      <x:c r="V99" s="82"/>
      <x:c r="W99" s="82"/>
      <x:c r="X99" s="87"/>
    </x:row>
    <x:row r="100">
      <x:c r="A100" s="72" t="str">
        <x:f>IF(OR(C100="",D100=""),"",B100&amp;"-"&amp;UPPER(C100)&amp;"-"&amp;TEXT(D100,"0000")&amp;"-"&amp;E100)</x:f>
      </x:c>
      <x:c r="B100" s="74" t="str">
        <x:v>M19</x:v>
      </x:c>
      <x:c r="C100" s="74"/>
      <x:c r="D100" s="79"/>
      <x:c r="E100" s="74" t="str">
        <x:v>V1.0</x:v>
      </x:c>
      <x:c r="F100" s="68"/>
      <x:c r="G100" s="68"/>
      <x:c r="H100" s="68"/>
      <x:c r="I100" s="68"/>
      <x:c r="J100" s="68"/>
      <x:c r="K100" s="68"/>
      <x:c r="L100" s="82"/>
      <x:c r="M100" s="82"/>
      <x:c r="N100" s="82"/>
      <x:c r="O100" s="68"/>
      <x:c r="P100" s="68"/>
      <x:c r="Q100" s="68"/>
      <x:c r="R100" s="68"/>
      <x:c r="S100" s="68"/>
      <x:c r="T100" s="68"/>
      <x:c r="U100" s="68"/>
      <x:c r="V100" s="82"/>
      <x:c r="W100" s="82"/>
      <x:c r="X100" s="87"/>
    </x:row>
    <x:row r="101">
      <x:c r="A101" s="72" t="str">
        <x:f>IF(OR(C101="",D101=""),"",B101&amp;"-"&amp;UPPER(C101)&amp;"-"&amp;TEXT(D101,"0000")&amp;"-"&amp;E101)</x:f>
      </x:c>
      <x:c r="B101" s="74" t="str">
        <x:v>M19</x:v>
      </x:c>
      <x:c r="C101" s="74"/>
      <x:c r="D101" s="79"/>
      <x:c r="E101" s="74" t="str">
        <x:v>V1.0</x:v>
      </x:c>
      <x:c r="F101" s="68"/>
      <x:c r="G101" s="68"/>
      <x:c r="H101" s="68"/>
      <x:c r="I101" s="68"/>
      <x:c r="J101" s="68"/>
      <x:c r="K101" s="68"/>
      <x:c r="L101" s="82"/>
      <x:c r="M101" s="82"/>
      <x:c r="N101" s="82"/>
      <x:c r="O101" s="68"/>
      <x:c r="P101" s="68"/>
      <x:c r="Q101" s="68"/>
      <x:c r="R101" s="68"/>
      <x:c r="S101" s="68"/>
      <x:c r="T101" s="68"/>
      <x:c r="U101" s="68"/>
      <x:c r="V101" s="82"/>
      <x:c r="W101" s="82"/>
      <x:c r="X101" s="87"/>
    </x:row>
    <x:row r="102">
      <x:c r="A102" s="72" t="str">
        <x:f>IF(OR(C102="",D102=""),"",B102&amp;"-"&amp;UPPER(C102)&amp;"-"&amp;TEXT(D102,"0000")&amp;"-"&amp;E102)</x:f>
      </x:c>
      <x:c r="B102" s="74" t="str">
        <x:v>M19</x:v>
      </x:c>
      <x:c r="C102" s="74"/>
      <x:c r="D102" s="79"/>
      <x:c r="E102" s="74" t="str">
        <x:v>V1.0</x:v>
      </x:c>
      <x:c r="F102" s="68"/>
      <x:c r="G102" s="68"/>
      <x:c r="H102" s="68"/>
      <x:c r="I102" s="68"/>
      <x:c r="J102" s="68"/>
      <x:c r="K102" s="68"/>
      <x:c r="L102" s="82"/>
      <x:c r="M102" s="82"/>
      <x:c r="N102" s="82"/>
      <x:c r="O102" s="68"/>
      <x:c r="P102" s="68"/>
      <x:c r="Q102" s="68"/>
      <x:c r="R102" s="68"/>
      <x:c r="S102" s="68"/>
      <x:c r="T102" s="68"/>
      <x:c r="U102" s="68"/>
      <x:c r="V102" s="82"/>
      <x:c r="W102" s="82"/>
      <x:c r="X102" s="87"/>
    </x:row>
    <x:row r="103">
      <x:c r="A103" s="72" t="str">
        <x:f>IF(OR(C103="",D103=""),"",B103&amp;"-"&amp;UPPER(C103)&amp;"-"&amp;TEXT(D103,"0000")&amp;"-"&amp;E103)</x:f>
      </x:c>
      <x:c r="B103" s="74" t="str">
        <x:v>M19</x:v>
      </x:c>
      <x:c r="C103" s="74"/>
      <x:c r="D103" s="79"/>
      <x:c r="E103" s="74" t="str">
        <x:v>V1.0</x:v>
      </x:c>
      <x:c r="F103" s="68"/>
      <x:c r="G103" s="68"/>
      <x:c r="H103" s="68"/>
      <x:c r="I103" s="68"/>
      <x:c r="J103" s="68"/>
      <x:c r="K103" s="68"/>
      <x:c r="L103" s="82"/>
      <x:c r="M103" s="82"/>
      <x:c r="N103" s="82"/>
      <x:c r="O103" s="68"/>
      <x:c r="P103" s="68"/>
      <x:c r="Q103" s="68"/>
      <x:c r="R103" s="68"/>
      <x:c r="S103" s="68"/>
      <x:c r="T103" s="68"/>
      <x:c r="U103" s="68"/>
      <x:c r="V103" s="82"/>
      <x:c r="W103" s="82"/>
      <x:c r="X103" s="87"/>
    </x:row>
    <x:row r="104">
      <x:c r="A104" s="72" t="str">
        <x:f>IF(OR(C104="",D104=""),"",B104&amp;"-"&amp;UPPER(C104)&amp;"-"&amp;TEXT(D104,"0000")&amp;"-"&amp;E104)</x:f>
      </x:c>
      <x:c r="B104" s="74" t="str">
        <x:v>M19</x:v>
      </x:c>
      <x:c r="C104" s="74"/>
      <x:c r="D104" s="79"/>
      <x:c r="E104" s="74" t="str">
        <x:v>V1.0</x:v>
      </x:c>
      <x:c r="F104" s="68"/>
      <x:c r="G104" s="68"/>
      <x:c r="H104" s="68"/>
      <x:c r="I104" s="68"/>
      <x:c r="J104" s="68"/>
      <x:c r="K104" s="68"/>
      <x:c r="L104" s="82"/>
      <x:c r="M104" s="82"/>
      <x:c r="N104" s="82"/>
      <x:c r="O104" s="68"/>
      <x:c r="P104" s="68"/>
      <x:c r="Q104" s="68"/>
      <x:c r="R104" s="68"/>
      <x:c r="S104" s="68"/>
      <x:c r="T104" s="68"/>
      <x:c r="U104" s="68"/>
      <x:c r="V104" s="82"/>
      <x:c r="W104" s="82"/>
      <x:c r="X104" s="87"/>
    </x:row>
    <x:row r="105">
      <x:c r="A105" s="72" t="str">
        <x:f>IF(OR(C105="",D105=""),"",B105&amp;"-"&amp;UPPER(C105)&amp;"-"&amp;TEXT(D105,"0000")&amp;"-"&amp;E105)</x:f>
      </x:c>
      <x:c r="B105" s="74" t="str">
        <x:v>M19</x:v>
      </x:c>
      <x:c r="C105" s="74"/>
      <x:c r="D105" s="79"/>
      <x:c r="E105" s="74" t="str">
        <x:v>V1.0</x:v>
      </x:c>
      <x:c r="F105" s="68"/>
      <x:c r="G105" s="68"/>
      <x:c r="H105" s="68"/>
      <x:c r="I105" s="68"/>
      <x:c r="J105" s="68"/>
      <x:c r="K105" s="68"/>
      <x:c r="L105" s="82"/>
      <x:c r="M105" s="82"/>
      <x:c r="N105" s="82"/>
      <x:c r="O105" s="68"/>
      <x:c r="P105" s="68"/>
      <x:c r="Q105" s="68"/>
      <x:c r="R105" s="68"/>
      <x:c r="S105" s="68"/>
      <x:c r="T105" s="68"/>
      <x:c r="U105" s="68"/>
      <x:c r="V105" s="82"/>
      <x:c r="W105" s="82"/>
      <x:c r="X105" s="87"/>
    </x:row>
  </x:sheetData>
  <x:mergeCells>
    <x:mergeCell ref="A1:O1"/>
    <x:mergeCell ref="A2:O2"/>
    <x:mergeCell ref="A3:O3"/>
    <x:mergeCell ref="A4:O4"/>
  </x:mergeCells>
  <x:conditionalFormatting sqref="A6:A105">
    <x:cfRule type="expression" dxfId="17" priority="1">
      <x:formula>AND(A6&lt;&gt;"",COUNTIF($A$6:$A$105,A6)&gt;1)</x:formula>
    </x:cfRule>
  </x:conditionalFormatting>
  <x:dataValidations count="8">
    <x:dataValidation type="list" sqref="E6:E105">
      <x:formula1>'99_下拉选项'!$BG$4:$BG$12</x:formula1>
    </x:dataValidation>
    <x:dataValidation type="list" sqref="L6:L105">
      <x:formula1>'99_下拉选项'!$AT$4:$AT$7</x:formula1>
    </x:dataValidation>
    <x:dataValidation type="list" sqref="M6:M105">
      <x:formula1>'99_下拉选项'!$AU$4:$AU$7</x:formula1>
    </x:dataValidation>
    <x:dataValidation type="list" sqref="N6:N105">
      <x:formula1>'99_下拉选项'!$AV$4:$AV$12</x:formula1>
    </x:dataValidation>
    <x:dataValidation type="list" sqref="V6:V105">
      <x:formula1>'99_下拉选项'!$S$4:$S$9</x:formula1>
    </x:dataValidation>
    <x:dataValidation type="list" sqref="W6:W105">
      <x:formula1>'99_下拉选项'!$T$4:$T$8</x:formula1>
    </x:dataValidation>
    <x:dataValidation type="list" sqref="E6:E130">
      <x:formula1>'99_下拉选项'!$BG$4:$BG$14</x:formula1>
    </x:dataValidation>
    <x:dataValidation type="list" sqref="E7:E105">
      <x:formula1>'99_下拉选项'!$BG$4:$BG$19</x:formula1>
    </x:dataValidation>
  </x:dataValidations>
  <x:pageMargins left="0.7" right="0.7" top="0.75" bottom="0.75" header="0.3" footer="0.3"/>
  <x:tableParts count="1">
    <x:tablePart xmlns:r="http://schemas.openxmlformats.org/officeDocument/2006/relationships" r:id="R5421254337b34b8c"/>
  </x:tableParts>
</x:worksheet>
</file>

<file path=xl/worksheets/sheet2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16" hidden="0" customWidth="1"/>
    <x:col min="26" max="26" width="16" hidden="0" customWidth="1"/>
    <x:col min="27" max="27" width="13" hidden="0" customWidth="1"/>
    <x:col min="28" max="28" width="16" hidden="0" customWidth="1"/>
    <x:col min="29" max="29" width="30" hidden="0" customWidth="1"/>
  </x:cols>
  <x:sheetData>
    <x:row r="1" ht="28" customHeight="1">
      <x:c r="A1" s="32" t="str">
        <x:v>M20｜规则正例、反例与边界案例测试集</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row>
    <x:row r="2" ht="36" customHeight="1">
      <x:c r="A2" s="39" t="str">
        <x:v>保存案例输入、中间识别、效应、结构与综合预期结果，对目标Rule_ID做正例、反例、边界与回归测试。不得只保存最终喜忌。</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row>
    <x:row r="3" ht="30" customHeight="1">
      <x:c r="A3" s="47" t="str">
        <x:v>前置依赖：M02-M19　｜　主要输出：规则通过率、反例与修订线索　｜　直接下游：M21及所有模块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row>
    <x:row r="5" ht="38" customHeight="1">
      <x:c r="A5" s="61" t="str">
        <x:v>Case_ID</x:v>
      </x:c>
      <x:c r="B5" s="61" t="str">
        <x:v>模块代码</x:v>
      </x:c>
      <x:c r="C5" s="61" t="str">
        <x:v>子类代码</x:v>
      </x:c>
      <x:c r="D5" s="61" t="str">
        <x:v>序号</x:v>
      </x:c>
      <x:c r="E5" s="61" t="str">
        <x:v>版本号</x:v>
      </x:c>
      <x:c r="F5" s="61" t="str">
        <x:v>案例名称</x:v>
      </x:c>
      <x:c r="G5" s="61" t="str">
        <x:v>四柱</x:v>
      </x:c>
      <x:c r="H5" s="61" t="str">
        <x:v>性别</x:v>
      </x:c>
      <x:c r="I5" s="61" t="str">
        <x:v>历法/时区</x:v>
      </x:c>
      <x:c r="J5" s="61" t="str">
        <x:v>案例来源</x:v>
      </x:c>
      <x:c r="K5" s="61" t="str">
        <x:v>测试类型</x:v>
      </x:c>
      <x:c r="L5" s="61" t="str">
        <x:v>目标模块</x:v>
      </x:c>
      <x:c r="M5" s="61" t="str">
        <x:v>目标Rule_ID</x:v>
      </x:c>
      <x:c r="N5" s="61" t="str">
        <x:v>输入事实</x:v>
      </x:c>
      <x:c r="O5" s="61" t="str">
        <x:v>预期识别结果</x:v>
      </x:c>
      <x:c r="P5" s="61" t="str">
        <x:v>预期效应结果</x:v>
      </x:c>
      <x:c r="Q5" s="61" t="str">
        <x:v>预期结构结果</x:v>
      </x:c>
      <x:c r="R5" s="61" t="str">
        <x:v>预期综合结果</x:v>
      </x:c>
      <x:c r="S5" s="61" t="str">
        <x:v>实际结果</x:v>
      </x:c>
      <x:c r="T5" s="61" t="str">
        <x:v>测试结果</x:v>
      </x:c>
      <x:c r="U5" s="61" t="str">
        <x:v>差异说明</x:v>
      </x:c>
      <x:c r="V5" s="61" t="str">
        <x:v>根因定位</x:v>
      </x:c>
      <x:c r="W5" s="61" t="str">
        <x:v>规则修订建议</x:v>
      </x:c>
      <x:c r="X5" s="61" t="str">
        <x:v>复测结果</x:v>
      </x:c>
      <x:c r="Y5" s="61" t="str">
        <x:v>测试人</x:v>
      </x:c>
      <x:c r="Z5" s="61" t="str">
        <x:v>复核人</x:v>
      </x:c>
      <x:c r="AA5" s="61" t="str">
        <x:v>测试日期</x:v>
      </x:c>
      <x:c r="AB5" s="61" t="str">
        <x:v>适用版本</x:v>
      </x:c>
      <x:c r="AC5" s="61" t="str">
        <x:v>备注</x:v>
      </x:c>
    </x:row>
    <x:row r="6" ht="66" customHeight="1">
      <x:c r="A6" s="76" t="str">
        <x:f>IF(OR(C6="",D6=""),"",B6&amp;"-"&amp;UPPER(C6)&amp;"-"&amp;TEXT(D6,"0000")&amp;"-"&amp;E6)</x:f>
        <x:v>M20-DEMO-9999-V0.1</x:v>
      </x:c>
      <x:c r="B6" s="76" t="str">
        <x:v>M20</x:v>
      </x:c>
      <x:c r="C6" s="76" t="str">
        <x:v>DEMO</x:v>
      </x:c>
      <x:c r="D6" s="78" t="n">
        <x:v>9999</x:v>
      </x:c>
      <x:c r="E6" s="76" t="str">
        <x:v>V0.1</x:v>
      </x:c>
      <x:c r="F6" s="76" t="str">
        <x:v>寅巳申三刑不等于巳火自动减力</x:v>
      </x:c>
      <x:c r="G6" s="76" t="str">
        <x:v>示例占位，不作为真实命例</x:v>
      </x:c>
      <x:c r="H6" s="76" t="str">
        <x:v>未知/不适用</x:v>
      </x:c>
      <x:c r="I6" s="76" t="str">
        <x:v>不适用</x:v>
      </x:c>
      <x:c r="J6" s="76" t="str">
        <x:v>内部规则测试</x:v>
      </x:c>
      <x:c r="K6" s="76" t="str">
        <x:v>边界案例</x:v>
      </x:c>
      <x:c r="L6" s="76" t="str">
        <x:v>M05/M06/M08</x:v>
      </x:c>
      <x:c r="M6" s="76" t="str">
        <x:v>M05-DEMO-9999-V0.1；M06-DEMO-9999-V0.1</x:v>
      </x:c>
      <x:c r="N6" s="76" t="str">
        <x:v>原局具寅、巳、申；另需分别补充月令、透干、根气和叠加关系。</x:v>
      </x:c>
      <x:c r="O6" s="76" t="str">
        <x:v>三刑结构完整</x:v>
      </x:c>
      <x:c r="P6" s="76" t="str">
        <x:v>逐支判断，不预设巳火必减</x:v>
      </x:c>
      <x:c r="Q6" s="76" t="str">
        <x:v>只有在效应层证据支持时才修正巳火有效力量</x:v>
      </x:c>
      <x:c r="R6" s="76" t="str">
        <x:v>禁止由三刑直接跳到日主旺衰或喜忌结论</x:v>
      </x:c>
      <x:c r="S6" s="76" t="str">
        <x:v>待测试</x:v>
      </x:c>
      <x:c r="T6" s="76" t="str">
        <x:v>未测试</x:v>
      </x:c>
      <x:c r="U6" s="76" t="str"/>
      <x:c r="V6" s="76" t="str"/>
      <x:c r="W6" s="76" t="str"/>
      <x:c r="X6" s="76" t="str">
        <x:v>未测试</x:v>
      </x:c>
      <x:c r="Y6" s="76" t="str"/>
      <x:c r="Z6" s="76" t="str"/>
      <x:c r="AA6" s="86" t="n">
        <x:v>46254</x:v>
      </x:c>
      <x:c r="AB6" s="76" t="str">
        <x:v>V0.1</x:v>
      </x:c>
      <x:c r="AC6" s="76" t="str">
        <x:v>示例案例；正式测试需填写完整四柱及全部中间证据</x:v>
      </x:c>
    </x:row>
    <x:row r="7">
      <x:c r="A7" s="72" t="str">
        <x:f>IF(OR(C7="",D7=""),"",B7&amp;"-"&amp;UPPER(C7)&amp;"-"&amp;TEXT(D7,"0000")&amp;"-"&amp;E7)</x:f>
      </x:c>
      <x:c r="B7" s="74" t="str">
        <x:v>M20</x:v>
      </x:c>
      <x:c r="C7" s="74"/>
      <x:c r="D7" s="79"/>
      <x:c r="E7" s="74" t="str">
        <x:v>V1.0</x:v>
      </x:c>
      <x:c r="F7" s="68"/>
      <x:c r="G7" s="68"/>
      <x:c r="H7" s="82"/>
      <x:c r="I7" s="68"/>
      <x:c r="J7" s="68"/>
      <x:c r="K7" s="82"/>
      <x:c r="L7" s="68"/>
      <x:c r="M7" s="68"/>
      <x:c r="N7" s="68"/>
      <x:c r="O7" s="68"/>
      <x:c r="P7" s="68"/>
      <x:c r="Q7" s="68"/>
      <x:c r="R7" s="68"/>
      <x:c r="S7" s="68"/>
      <x:c r="T7" s="82"/>
      <x:c r="U7" s="68"/>
      <x:c r="V7" s="68"/>
      <x:c r="W7" s="68"/>
      <x:c r="X7" s="82"/>
      <x:c r="Y7" s="68"/>
      <x:c r="Z7" s="68"/>
      <x:c r="AA7" s="87"/>
      <x:c r="AB7" s="68"/>
      <x:c r="AC7" s="68"/>
    </x:row>
    <x:row r="8">
      <x:c r="A8" s="72" t="str">
        <x:f>IF(OR(C8="",D8=""),"",B8&amp;"-"&amp;UPPER(C8)&amp;"-"&amp;TEXT(D8,"0000")&amp;"-"&amp;E8)</x:f>
      </x:c>
      <x:c r="B8" s="74" t="str">
        <x:v>M20</x:v>
      </x:c>
      <x:c r="C8" s="74"/>
      <x:c r="D8" s="79"/>
      <x:c r="E8" s="74" t="str">
        <x:v>V1.0</x:v>
      </x:c>
      <x:c r="F8" s="68"/>
      <x:c r="G8" s="68"/>
      <x:c r="H8" s="82"/>
      <x:c r="I8" s="68"/>
      <x:c r="J8" s="68"/>
      <x:c r="K8" s="82"/>
      <x:c r="L8" s="68"/>
      <x:c r="M8" s="68"/>
      <x:c r="N8" s="68"/>
      <x:c r="O8" s="68"/>
      <x:c r="P8" s="68"/>
      <x:c r="Q8" s="68"/>
      <x:c r="R8" s="68"/>
      <x:c r="S8" s="68"/>
      <x:c r="T8" s="82"/>
      <x:c r="U8" s="68"/>
      <x:c r="V8" s="68"/>
      <x:c r="W8" s="68"/>
      <x:c r="X8" s="82"/>
      <x:c r="Y8" s="68"/>
      <x:c r="Z8" s="68"/>
      <x:c r="AA8" s="87"/>
      <x:c r="AB8" s="68"/>
      <x:c r="AC8" s="68"/>
    </x:row>
    <x:row r="9">
      <x:c r="A9" s="72" t="str">
        <x:f>IF(OR(C9="",D9=""),"",B9&amp;"-"&amp;UPPER(C9)&amp;"-"&amp;TEXT(D9,"0000")&amp;"-"&amp;E9)</x:f>
      </x:c>
      <x:c r="B9" s="74" t="str">
        <x:v>M20</x:v>
      </x:c>
      <x:c r="C9" s="74"/>
      <x:c r="D9" s="79"/>
      <x:c r="E9" s="74" t="str">
        <x:v>V1.0</x:v>
      </x:c>
      <x:c r="F9" s="68"/>
      <x:c r="G9" s="68"/>
      <x:c r="H9" s="82"/>
      <x:c r="I9" s="68"/>
      <x:c r="J9" s="68"/>
      <x:c r="K9" s="82"/>
      <x:c r="L9" s="68"/>
      <x:c r="M9" s="68"/>
      <x:c r="N9" s="68"/>
      <x:c r="O9" s="68"/>
      <x:c r="P9" s="68"/>
      <x:c r="Q9" s="68"/>
      <x:c r="R9" s="68"/>
      <x:c r="S9" s="68"/>
      <x:c r="T9" s="82"/>
      <x:c r="U9" s="68"/>
      <x:c r="V9" s="68"/>
      <x:c r="W9" s="68"/>
      <x:c r="X9" s="82"/>
      <x:c r="Y9" s="68"/>
      <x:c r="Z9" s="68"/>
      <x:c r="AA9" s="87"/>
      <x:c r="AB9" s="68"/>
      <x:c r="AC9" s="68"/>
    </x:row>
    <x:row r="10">
      <x:c r="A10" s="72" t="str">
        <x:f>IF(OR(C10="",D10=""),"",B10&amp;"-"&amp;UPPER(C10)&amp;"-"&amp;TEXT(D10,"0000")&amp;"-"&amp;E10)</x:f>
      </x:c>
      <x:c r="B10" s="74" t="str">
        <x:v>M20</x:v>
      </x:c>
      <x:c r="C10" s="74"/>
      <x:c r="D10" s="79"/>
      <x:c r="E10" s="74" t="str">
        <x:v>V1.0</x:v>
      </x:c>
      <x:c r="F10" s="68"/>
      <x:c r="G10" s="68"/>
      <x:c r="H10" s="82"/>
      <x:c r="I10" s="68"/>
      <x:c r="J10" s="68"/>
      <x:c r="K10" s="82"/>
      <x:c r="L10" s="68"/>
      <x:c r="M10" s="68"/>
      <x:c r="N10" s="68"/>
      <x:c r="O10" s="68"/>
      <x:c r="P10" s="68"/>
      <x:c r="Q10" s="68"/>
      <x:c r="R10" s="68"/>
      <x:c r="S10" s="68"/>
      <x:c r="T10" s="82"/>
      <x:c r="U10" s="68"/>
      <x:c r="V10" s="68"/>
      <x:c r="W10" s="68"/>
      <x:c r="X10" s="82"/>
      <x:c r="Y10" s="68"/>
      <x:c r="Z10" s="68"/>
      <x:c r="AA10" s="87"/>
      <x:c r="AB10" s="68"/>
      <x:c r="AC10" s="68"/>
    </x:row>
    <x:row r="11">
      <x:c r="A11" s="72" t="str">
        <x:f>IF(OR(C11="",D11=""),"",B11&amp;"-"&amp;UPPER(C11)&amp;"-"&amp;TEXT(D11,"0000")&amp;"-"&amp;E11)</x:f>
      </x:c>
      <x:c r="B11" s="74" t="str">
        <x:v>M20</x:v>
      </x:c>
      <x:c r="C11" s="74"/>
      <x:c r="D11" s="79"/>
      <x:c r="E11" s="74" t="str">
        <x:v>V1.0</x:v>
      </x:c>
      <x:c r="F11" s="68"/>
      <x:c r="G11" s="68"/>
      <x:c r="H11" s="82"/>
      <x:c r="I11" s="68"/>
      <x:c r="J11" s="68"/>
      <x:c r="K11" s="82"/>
      <x:c r="L11" s="68"/>
      <x:c r="M11" s="68"/>
      <x:c r="N11" s="68"/>
      <x:c r="O11" s="68"/>
      <x:c r="P11" s="68"/>
      <x:c r="Q11" s="68"/>
      <x:c r="R11" s="68"/>
      <x:c r="S11" s="68"/>
      <x:c r="T11" s="82"/>
      <x:c r="U11" s="68"/>
      <x:c r="V11" s="68"/>
      <x:c r="W11" s="68"/>
      <x:c r="X11" s="82"/>
      <x:c r="Y11" s="68"/>
      <x:c r="Z11" s="68"/>
      <x:c r="AA11" s="87"/>
      <x:c r="AB11" s="68"/>
      <x:c r="AC11" s="68"/>
    </x:row>
    <x:row r="12">
      <x:c r="A12" s="72" t="str">
        <x:f>IF(OR(C12="",D12=""),"",B12&amp;"-"&amp;UPPER(C12)&amp;"-"&amp;TEXT(D12,"0000")&amp;"-"&amp;E12)</x:f>
      </x:c>
      <x:c r="B12" s="74" t="str">
        <x:v>M20</x:v>
      </x:c>
      <x:c r="C12" s="74"/>
      <x:c r="D12" s="79"/>
      <x:c r="E12" s="74" t="str">
        <x:v>V1.0</x:v>
      </x:c>
      <x:c r="F12" s="68"/>
      <x:c r="G12" s="68"/>
      <x:c r="H12" s="82"/>
      <x:c r="I12" s="68"/>
      <x:c r="J12" s="68"/>
      <x:c r="K12" s="82"/>
      <x:c r="L12" s="68"/>
      <x:c r="M12" s="68"/>
      <x:c r="N12" s="68"/>
      <x:c r="O12" s="68"/>
      <x:c r="P12" s="68"/>
      <x:c r="Q12" s="68"/>
      <x:c r="R12" s="68"/>
      <x:c r="S12" s="68"/>
      <x:c r="T12" s="82"/>
      <x:c r="U12" s="68"/>
      <x:c r="V12" s="68"/>
      <x:c r="W12" s="68"/>
      <x:c r="X12" s="82"/>
      <x:c r="Y12" s="68"/>
      <x:c r="Z12" s="68"/>
      <x:c r="AA12" s="87"/>
      <x:c r="AB12" s="68"/>
      <x:c r="AC12" s="68"/>
    </x:row>
    <x:row r="13">
      <x:c r="A13" s="72" t="str">
        <x:f>IF(OR(C13="",D13=""),"",B13&amp;"-"&amp;UPPER(C13)&amp;"-"&amp;TEXT(D13,"0000")&amp;"-"&amp;E13)</x:f>
      </x:c>
      <x:c r="B13" s="74" t="str">
        <x:v>M20</x:v>
      </x:c>
      <x:c r="C13" s="74"/>
      <x:c r="D13" s="79"/>
      <x:c r="E13" s="74" t="str">
        <x:v>V1.0</x:v>
      </x:c>
      <x:c r="F13" s="68"/>
      <x:c r="G13" s="68"/>
      <x:c r="H13" s="82"/>
      <x:c r="I13" s="68"/>
      <x:c r="J13" s="68"/>
      <x:c r="K13" s="82"/>
      <x:c r="L13" s="68"/>
      <x:c r="M13" s="68"/>
      <x:c r="N13" s="68"/>
      <x:c r="O13" s="68"/>
      <x:c r="P13" s="68"/>
      <x:c r="Q13" s="68"/>
      <x:c r="R13" s="68"/>
      <x:c r="S13" s="68"/>
      <x:c r="T13" s="82"/>
      <x:c r="U13" s="68"/>
      <x:c r="V13" s="68"/>
      <x:c r="W13" s="68"/>
      <x:c r="X13" s="82"/>
      <x:c r="Y13" s="68"/>
      <x:c r="Z13" s="68"/>
      <x:c r="AA13" s="87"/>
      <x:c r="AB13" s="68"/>
      <x:c r="AC13" s="68"/>
    </x:row>
    <x:row r="14">
      <x:c r="A14" s="72" t="str">
        <x:f>IF(OR(C14="",D14=""),"",B14&amp;"-"&amp;UPPER(C14)&amp;"-"&amp;TEXT(D14,"0000")&amp;"-"&amp;E14)</x:f>
      </x:c>
      <x:c r="B14" s="74" t="str">
        <x:v>M20</x:v>
      </x:c>
      <x:c r="C14" s="74"/>
      <x:c r="D14" s="79"/>
      <x:c r="E14" s="74" t="str">
        <x:v>V1.0</x:v>
      </x:c>
      <x:c r="F14" s="68"/>
      <x:c r="G14" s="68"/>
      <x:c r="H14" s="82"/>
      <x:c r="I14" s="68"/>
      <x:c r="J14" s="68"/>
      <x:c r="K14" s="82"/>
      <x:c r="L14" s="68"/>
      <x:c r="M14" s="68"/>
      <x:c r="N14" s="68"/>
      <x:c r="O14" s="68"/>
      <x:c r="P14" s="68"/>
      <x:c r="Q14" s="68"/>
      <x:c r="R14" s="68"/>
      <x:c r="S14" s="68"/>
      <x:c r="T14" s="82"/>
      <x:c r="U14" s="68"/>
      <x:c r="V14" s="68"/>
      <x:c r="W14" s="68"/>
      <x:c r="X14" s="82"/>
      <x:c r="Y14" s="68"/>
      <x:c r="Z14" s="68"/>
      <x:c r="AA14" s="87"/>
      <x:c r="AB14" s="68"/>
      <x:c r="AC14" s="68"/>
    </x:row>
    <x:row r="15">
      <x:c r="A15" s="72" t="str">
        <x:f>IF(OR(C15="",D15=""),"",B15&amp;"-"&amp;UPPER(C15)&amp;"-"&amp;TEXT(D15,"0000")&amp;"-"&amp;E15)</x:f>
      </x:c>
      <x:c r="B15" s="74" t="str">
        <x:v>M20</x:v>
      </x:c>
      <x:c r="C15" s="74"/>
      <x:c r="D15" s="79"/>
      <x:c r="E15" s="74" t="str">
        <x:v>V1.0</x:v>
      </x:c>
      <x:c r="F15" s="68"/>
      <x:c r="G15" s="68"/>
      <x:c r="H15" s="82"/>
      <x:c r="I15" s="68"/>
      <x:c r="J15" s="68"/>
      <x:c r="K15" s="82"/>
      <x:c r="L15" s="68"/>
      <x:c r="M15" s="68"/>
      <x:c r="N15" s="68"/>
      <x:c r="O15" s="68"/>
      <x:c r="P15" s="68"/>
      <x:c r="Q15" s="68"/>
      <x:c r="R15" s="68"/>
      <x:c r="S15" s="68"/>
      <x:c r="T15" s="82"/>
      <x:c r="U15" s="68"/>
      <x:c r="V15" s="68"/>
      <x:c r="W15" s="68"/>
      <x:c r="X15" s="82"/>
      <x:c r="Y15" s="68"/>
      <x:c r="Z15" s="68"/>
      <x:c r="AA15" s="87"/>
      <x:c r="AB15" s="68"/>
      <x:c r="AC15" s="68"/>
    </x:row>
    <x:row r="16">
      <x:c r="A16" s="72" t="str">
        <x:f>IF(OR(C16="",D16=""),"",B16&amp;"-"&amp;UPPER(C16)&amp;"-"&amp;TEXT(D16,"0000")&amp;"-"&amp;E16)</x:f>
      </x:c>
      <x:c r="B16" s="74" t="str">
        <x:v>M20</x:v>
      </x:c>
      <x:c r="C16" s="74"/>
      <x:c r="D16" s="79"/>
      <x:c r="E16" s="74" t="str">
        <x:v>V1.0</x:v>
      </x:c>
      <x:c r="F16" s="68"/>
      <x:c r="G16" s="68"/>
      <x:c r="H16" s="82"/>
      <x:c r="I16" s="68"/>
      <x:c r="J16" s="68"/>
      <x:c r="K16" s="82"/>
      <x:c r="L16" s="68"/>
      <x:c r="M16" s="68"/>
      <x:c r="N16" s="68"/>
      <x:c r="O16" s="68"/>
      <x:c r="P16" s="68"/>
      <x:c r="Q16" s="68"/>
      <x:c r="R16" s="68"/>
      <x:c r="S16" s="68"/>
      <x:c r="T16" s="82"/>
      <x:c r="U16" s="68"/>
      <x:c r="V16" s="68"/>
      <x:c r="W16" s="68"/>
      <x:c r="X16" s="82"/>
      <x:c r="Y16" s="68"/>
      <x:c r="Z16" s="68"/>
      <x:c r="AA16" s="87"/>
      <x:c r="AB16" s="68"/>
      <x:c r="AC16" s="68"/>
    </x:row>
    <x:row r="17">
      <x:c r="A17" s="72" t="str">
        <x:f>IF(OR(C17="",D17=""),"",B17&amp;"-"&amp;UPPER(C17)&amp;"-"&amp;TEXT(D17,"0000")&amp;"-"&amp;E17)</x:f>
      </x:c>
      <x:c r="B17" s="74" t="str">
        <x:v>M20</x:v>
      </x:c>
      <x:c r="C17" s="74"/>
      <x:c r="D17" s="79"/>
      <x:c r="E17" s="74" t="str">
        <x:v>V1.0</x:v>
      </x:c>
      <x:c r="F17" s="68"/>
      <x:c r="G17" s="68"/>
      <x:c r="H17" s="82"/>
      <x:c r="I17" s="68"/>
      <x:c r="J17" s="68"/>
      <x:c r="K17" s="82"/>
      <x:c r="L17" s="68"/>
      <x:c r="M17" s="68"/>
      <x:c r="N17" s="68"/>
      <x:c r="O17" s="68"/>
      <x:c r="P17" s="68"/>
      <x:c r="Q17" s="68"/>
      <x:c r="R17" s="68"/>
      <x:c r="S17" s="68"/>
      <x:c r="T17" s="82"/>
      <x:c r="U17" s="68"/>
      <x:c r="V17" s="68"/>
      <x:c r="W17" s="68"/>
      <x:c r="X17" s="82"/>
      <x:c r="Y17" s="68"/>
      <x:c r="Z17" s="68"/>
      <x:c r="AA17" s="87"/>
      <x:c r="AB17" s="68"/>
      <x:c r="AC17" s="68"/>
    </x:row>
    <x:row r="18">
      <x:c r="A18" s="72" t="str">
        <x:f>IF(OR(C18="",D18=""),"",B18&amp;"-"&amp;UPPER(C18)&amp;"-"&amp;TEXT(D18,"0000")&amp;"-"&amp;E18)</x:f>
      </x:c>
      <x:c r="B18" s="74" t="str">
        <x:v>M20</x:v>
      </x:c>
      <x:c r="C18" s="74"/>
      <x:c r="D18" s="79"/>
      <x:c r="E18" s="74" t="str">
        <x:v>V1.0</x:v>
      </x:c>
      <x:c r="F18" s="68"/>
      <x:c r="G18" s="68"/>
      <x:c r="H18" s="82"/>
      <x:c r="I18" s="68"/>
      <x:c r="J18" s="68"/>
      <x:c r="K18" s="82"/>
      <x:c r="L18" s="68"/>
      <x:c r="M18" s="68"/>
      <x:c r="N18" s="68"/>
      <x:c r="O18" s="68"/>
      <x:c r="P18" s="68"/>
      <x:c r="Q18" s="68"/>
      <x:c r="R18" s="68"/>
      <x:c r="S18" s="68"/>
      <x:c r="T18" s="82"/>
      <x:c r="U18" s="68"/>
      <x:c r="V18" s="68"/>
      <x:c r="W18" s="68"/>
      <x:c r="X18" s="82"/>
      <x:c r="Y18" s="68"/>
      <x:c r="Z18" s="68"/>
      <x:c r="AA18" s="87"/>
      <x:c r="AB18" s="68"/>
      <x:c r="AC18" s="68"/>
    </x:row>
    <x:row r="19">
      <x:c r="A19" s="72" t="str">
        <x:f>IF(OR(C19="",D19=""),"",B19&amp;"-"&amp;UPPER(C19)&amp;"-"&amp;TEXT(D19,"0000")&amp;"-"&amp;E19)</x:f>
      </x:c>
      <x:c r="B19" s="74" t="str">
        <x:v>M20</x:v>
      </x:c>
      <x:c r="C19" s="74"/>
      <x:c r="D19" s="79"/>
      <x:c r="E19" s="74" t="str">
        <x:v>V1.0</x:v>
      </x:c>
      <x:c r="F19" s="68"/>
      <x:c r="G19" s="68"/>
      <x:c r="H19" s="82"/>
      <x:c r="I19" s="68"/>
      <x:c r="J19" s="68"/>
      <x:c r="K19" s="82"/>
      <x:c r="L19" s="68"/>
      <x:c r="M19" s="68"/>
      <x:c r="N19" s="68"/>
      <x:c r="O19" s="68"/>
      <x:c r="P19" s="68"/>
      <x:c r="Q19" s="68"/>
      <x:c r="R19" s="68"/>
      <x:c r="S19" s="68"/>
      <x:c r="T19" s="82"/>
      <x:c r="U19" s="68"/>
      <x:c r="V19" s="68"/>
      <x:c r="W19" s="68"/>
      <x:c r="X19" s="82"/>
      <x:c r="Y19" s="68"/>
      <x:c r="Z19" s="68"/>
      <x:c r="AA19" s="87"/>
      <x:c r="AB19" s="68"/>
      <x:c r="AC19" s="68"/>
    </x:row>
    <x:row r="20">
      <x:c r="A20" s="72" t="str">
        <x:f>IF(OR(C20="",D20=""),"",B20&amp;"-"&amp;UPPER(C20)&amp;"-"&amp;TEXT(D20,"0000")&amp;"-"&amp;E20)</x:f>
      </x:c>
      <x:c r="B20" s="74" t="str">
        <x:v>M20</x:v>
      </x:c>
      <x:c r="C20" s="74"/>
      <x:c r="D20" s="79"/>
      <x:c r="E20" s="74" t="str">
        <x:v>V1.0</x:v>
      </x:c>
      <x:c r="F20" s="68"/>
      <x:c r="G20" s="68"/>
      <x:c r="H20" s="82"/>
      <x:c r="I20" s="68"/>
      <x:c r="J20" s="68"/>
      <x:c r="K20" s="82"/>
      <x:c r="L20" s="68"/>
      <x:c r="M20" s="68"/>
      <x:c r="N20" s="68"/>
      <x:c r="O20" s="68"/>
      <x:c r="P20" s="68"/>
      <x:c r="Q20" s="68"/>
      <x:c r="R20" s="68"/>
      <x:c r="S20" s="68"/>
      <x:c r="T20" s="82"/>
      <x:c r="U20" s="68"/>
      <x:c r="V20" s="68"/>
      <x:c r="W20" s="68"/>
      <x:c r="X20" s="82"/>
      <x:c r="Y20" s="68"/>
      <x:c r="Z20" s="68"/>
      <x:c r="AA20" s="87"/>
      <x:c r="AB20" s="68"/>
      <x:c r="AC20" s="68"/>
    </x:row>
    <x:row r="21">
      <x:c r="A21" s="72" t="str">
        <x:f>IF(OR(C21="",D21=""),"",B21&amp;"-"&amp;UPPER(C21)&amp;"-"&amp;TEXT(D21,"0000")&amp;"-"&amp;E21)</x:f>
      </x:c>
      <x:c r="B21" s="74" t="str">
        <x:v>M20</x:v>
      </x:c>
      <x:c r="C21" s="74"/>
      <x:c r="D21" s="79"/>
      <x:c r="E21" s="74" t="str">
        <x:v>V1.0</x:v>
      </x:c>
      <x:c r="F21" s="68"/>
      <x:c r="G21" s="68"/>
      <x:c r="H21" s="82"/>
      <x:c r="I21" s="68"/>
      <x:c r="J21" s="68"/>
      <x:c r="K21" s="82"/>
      <x:c r="L21" s="68"/>
      <x:c r="M21" s="68"/>
      <x:c r="N21" s="68"/>
      <x:c r="O21" s="68"/>
      <x:c r="P21" s="68"/>
      <x:c r="Q21" s="68"/>
      <x:c r="R21" s="68"/>
      <x:c r="S21" s="68"/>
      <x:c r="T21" s="82"/>
      <x:c r="U21" s="68"/>
      <x:c r="V21" s="68"/>
      <x:c r="W21" s="68"/>
      <x:c r="X21" s="82"/>
      <x:c r="Y21" s="68"/>
      <x:c r="Z21" s="68"/>
      <x:c r="AA21" s="87"/>
      <x:c r="AB21" s="68"/>
      <x:c r="AC21" s="68"/>
    </x:row>
    <x:row r="22">
      <x:c r="A22" s="72" t="str">
        <x:f>IF(OR(C22="",D22=""),"",B22&amp;"-"&amp;UPPER(C22)&amp;"-"&amp;TEXT(D22,"0000")&amp;"-"&amp;E22)</x:f>
      </x:c>
      <x:c r="B22" s="74" t="str">
        <x:v>M20</x:v>
      </x:c>
      <x:c r="C22" s="74"/>
      <x:c r="D22" s="79"/>
      <x:c r="E22" s="74" t="str">
        <x:v>V1.0</x:v>
      </x:c>
      <x:c r="F22" s="68"/>
      <x:c r="G22" s="68"/>
      <x:c r="H22" s="82"/>
      <x:c r="I22" s="68"/>
      <x:c r="J22" s="68"/>
      <x:c r="K22" s="82"/>
      <x:c r="L22" s="68"/>
      <x:c r="M22" s="68"/>
      <x:c r="N22" s="68"/>
      <x:c r="O22" s="68"/>
      <x:c r="P22" s="68"/>
      <x:c r="Q22" s="68"/>
      <x:c r="R22" s="68"/>
      <x:c r="S22" s="68"/>
      <x:c r="T22" s="82"/>
      <x:c r="U22" s="68"/>
      <x:c r="V22" s="68"/>
      <x:c r="W22" s="68"/>
      <x:c r="X22" s="82"/>
      <x:c r="Y22" s="68"/>
      <x:c r="Z22" s="68"/>
      <x:c r="AA22" s="87"/>
      <x:c r="AB22" s="68"/>
      <x:c r="AC22" s="68"/>
    </x:row>
    <x:row r="23">
      <x:c r="A23" s="72" t="str">
        <x:f>IF(OR(C23="",D23=""),"",B23&amp;"-"&amp;UPPER(C23)&amp;"-"&amp;TEXT(D23,"0000")&amp;"-"&amp;E23)</x:f>
      </x:c>
      <x:c r="B23" s="74" t="str">
        <x:v>M20</x:v>
      </x:c>
      <x:c r="C23" s="74"/>
      <x:c r="D23" s="79"/>
      <x:c r="E23" s="74" t="str">
        <x:v>V1.0</x:v>
      </x:c>
      <x:c r="F23" s="68"/>
      <x:c r="G23" s="68"/>
      <x:c r="H23" s="82"/>
      <x:c r="I23" s="68"/>
      <x:c r="J23" s="68"/>
      <x:c r="K23" s="82"/>
      <x:c r="L23" s="68"/>
      <x:c r="M23" s="68"/>
      <x:c r="N23" s="68"/>
      <x:c r="O23" s="68"/>
      <x:c r="P23" s="68"/>
      <x:c r="Q23" s="68"/>
      <x:c r="R23" s="68"/>
      <x:c r="S23" s="68"/>
      <x:c r="T23" s="82"/>
      <x:c r="U23" s="68"/>
      <x:c r="V23" s="68"/>
      <x:c r="W23" s="68"/>
      <x:c r="X23" s="82"/>
      <x:c r="Y23" s="68"/>
      <x:c r="Z23" s="68"/>
      <x:c r="AA23" s="87"/>
      <x:c r="AB23" s="68"/>
      <x:c r="AC23" s="68"/>
    </x:row>
    <x:row r="24">
      <x:c r="A24" s="72" t="str">
        <x:f>IF(OR(C24="",D24=""),"",B24&amp;"-"&amp;UPPER(C24)&amp;"-"&amp;TEXT(D24,"0000")&amp;"-"&amp;E24)</x:f>
      </x:c>
      <x:c r="B24" s="74" t="str">
        <x:v>M20</x:v>
      </x:c>
      <x:c r="C24" s="74"/>
      <x:c r="D24" s="79"/>
      <x:c r="E24" s="74" t="str">
        <x:v>V1.0</x:v>
      </x:c>
      <x:c r="F24" s="68"/>
      <x:c r="G24" s="68"/>
      <x:c r="H24" s="82"/>
      <x:c r="I24" s="68"/>
      <x:c r="J24" s="68"/>
      <x:c r="K24" s="82"/>
      <x:c r="L24" s="68"/>
      <x:c r="M24" s="68"/>
      <x:c r="N24" s="68"/>
      <x:c r="O24" s="68"/>
      <x:c r="P24" s="68"/>
      <x:c r="Q24" s="68"/>
      <x:c r="R24" s="68"/>
      <x:c r="S24" s="68"/>
      <x:c r="T24" s="82"/>
      <x:c r="U24" s="68"/>
      <x:c r="V24" s="68"/>
      <x:c r="W24" s="68"/>
      <x:c r="X24" s="82"/>
      <x:c r="Y24" s="68"/>
      <x:c r="Z24" s="68"/>
      <x:c r="AA24" s="87"/>
      <x:c r="AB24" s="68"/>
      <x:c r="AC24" s="68"/>
    </x:row>
    <x:row r="25">
      <x:c r="A25" s="72" t="str">
        <x:f>IF(OR(C25="",D25=""),"",B25&amp;"-"&amp;UPPER(C25)&amp;"-"&amp;TEXT(D25,"0000")&amp;"-"&amp;E25)</x:f>
      </x:c>
      <x:c r="B25" s="74" t="str">
        <x:v>M20</x:v>
      </x:c>
      <x:c r="C25" s="74"/>
      <x:c r="D25" s="79"/>
      <x:c r="E25" s="74" t="str">
        <x:v>V1.0</x:v>
      </x:c>
      <x:c r="F25" s="68"/>
      <x:c r="G25" s="68"/>
      <x:c r="H25" s="82"/>
      <x:c r="I25" s="68"/>
      <x:c r="J25" s="68"/>
      <x:c r="K25" s="82"/>
      <x:c r="L25" s="68"/>
      <x:c r="M25" s="68"/>
      <x:c r="N25" s="68"/>
      <x:c r="O25" s="68"/>
      <x:c r="P25" s="68"/>
      <x:c r="Q25" s="68"/>
      <x:c r="R25" s="68"/>
      <x:c r="S25" s="68"/>
      <x:c r="T25" s="82"/>
      <x:c r="U25" s="68"/>
      <x:c r="V25" s="68"/>
      <x:c r="W25" s="68"/>
      <x:c r="X25" s="82"/>
      <x:c r="Y25" s="68"/>
      <x:c r="Z25" s="68"/>
      <x:c r="AA25" s="87"/>
      <x:c r="AB25" s="68"/>
      <x:c r="AC25" s="68"/>
    </x:row>
    <x:row r="26">
      <x:c r="A26" s="72" t="str">
        <x:f>IF(OR(C26="",D26=""),"",B26&amp;"-"&amp;UPPER(C26)&amp;"-"&amp;TEXT(D26,"0000")&amp;"-"&amp;E26)</x:f>
      </x:c>
      <x:c r="B26" s="74" t="str">
        <x:v>M20</x:v>
      </x:c>
      <x:c r="C26" s="74"/>
      <x:c r="D26" s="79"/>
      <x:c r="E26" s="74" t="str">
        <x:v>V1.0</x:v>
      </x:c>
      <x:c r="F26" s="68"/>
      <x:c r="G26" s="68"/>
      <x:c r="H26" s="82"/>
      <x:c r="I26" s="68"/>
      <x:c r="J26" s="68"/>
      <x:c r="K26" s="82"/>
      <x:c r="L26" s="68"/>
      <x:c r="M26" s="68"/>
      <x:c r="N26" s="68"/>
      <x:c r="O26" s="68"/>
      <x:c r="P26" s="68"/>
      <x:c r="Q26" s="68"/>
      <x:c r="R26" s="68"/>
      <x:c r="S26" s="68"/>
      <x:c r="T26" s="82"/>
      <x:c r="U26" s="68"/>
      <x:c r="V26" s="68"/>
      <x:c r="W26" s="68"/>
      <x:c r="X26" s="82"/>
      <x:c r="Y26" s="68"/>
      <x:c r="Z26" s="68"/>
      <x:c r="AA26" s="87"/>
      <x:c r="AB26" s="68"/>
      <x:c r="AC26" s="68"/>
    </x:row>
    <x:row r="27">
      <x:c r="A27" s="72" t="str">
        <x:f>IF(OR(C27="",D27=""),"",B27&amp;"-"&amp;UPPER(C27)&amp;"-"&amp;TEXT(D27,"0000")&amp;"-"&amp;E27)</x:f>
      </x:c>
      <x:c r="B27" s="74" t="str">
        <x:v>M20</x:v>
      </x:c>
      <x:c r="C27" s="74"/>
      <x:c r="D27" s="79"/>
      <x:c r="E27" s="74" t="str">
        <x:v>V1.0</x:v>
      </x:c>
      <x:c r="F27" s="68"/>
      <x:c r="G27" s="68"/>
      <x:c r="H27" s="82"/>
      <x:c r="I27" s="68"/>
      <x:c r="J27" s="68"/>
      <x:c r="K27" s="82"/>
      <x:c r="L27" s="68"/>
      <x:c r="M27" s="68"/>
      <x:c r="N27" s="68"/>
      <x:c r="O27" s="68"/>
      <x:c r="P27" s="68"/>
      <x:c r="Q27" s="68"/>
      <x:c r="R27" s="68"/>
      <x:c r="S27" s="68"/>
      <x:c r="T27" s="82"/>
      <x:c r="U27" s="68"/>
      <x:c r="V27" s="68"/>
      <x:c r="W27" s="68"/>
      <x:c r="X27" s="82"/>
      <x:c r="Y27" s="68"/>
      <x:c r="Z27" s="68"/>
      <x:c r="AA27" s="87"/>
      <x:c r="AB27" s="68"/>
      <x:c r="AC27" s="68"/>
    </x:row>
    <x:row r="28">
      <x:c r="A28" s="72" t="str">
        <x:f>IF(OR(C28="",D28=""),"",B28&amp;"-"&amp;UPPER(C28)&amp;"-"&amp;TEXT(D28,"0000")&amp;"-"&amp;E28)</x:f>
      </x:c>
      <x:c r="B28" s="74" t="str">
        <x:v>M20</x:v>
      </x:c>
      <x:c r="C28" s="74"/>
      <x:c r="D28" s="79"/>
      <x:c r="E28" s="74" t="str">
        <x:v>V1.0</x:v>
      </x:c>
      <x:c r="F28" s="68"/>
      <x:c r="G28" s="68"/>
      <x:c r="H28" s="82"/>
      <x:c r="I28" s="68"/>
      <x:c r="J28" s="68"/>
      <x:c r="K28" s="82"/>
      <x:c r="L28" s="68"/>
      <x:c r="M28" s="68"/>
      <x:c r="N28" s="68"/>
      <x:c r="O28" s="68"/>
      <x:c r="P28" s="68"/>
      <x:c r="Q28" s="68"/>
      <x:c r="R28" s="68"/>
      <x:c r="S28" s="68"/>
      <x:c r="T28" s="82"/>
      <x:c r="U28" s="68"/>
      <x:c r="V28" s="68"/>
      <x:c r="W28" s="68"/>
      <x:c r="X28" s="82"/>
      <x:c r="Y28" s="68"/>
      <x:c r="Z28" s="68"/>
      <x:c r="AA28" s="87"/>
      <x:c r="AB28" s="68"/>
      <x:c r="AC28" s="68"/>
    </x:row>
    <x:row r="29">
      <x:c r="A29" s="72" t="str">
        <x:f>IF(OR(C29="",D29=""),"",B29&amp;"-"&amp;UPPER(C29)&amp;"-"&amp;TEXT(D29,"0000")&amp;"-"&amp;E29)</x:f>
      </x:c>
      <x:c r="B29" s="74" t="str">
        <x:v>M20</x:v>
      </x:c>
      <x:c r="C29" s="74"/>
      <x:c r="D29" s="79"/>
      <x:c r="E29" s="74" t="str">
        <x:v>V1.0</x:v>
      </x:c>
      <x:c r="F29" s="68"/>
      <x:c r="G29" s="68"/>
      <x:c r="H29" s="82"/>
      <x:c r="I29" s="68"/>
      <x:c r="J29" s="68"/>
      <x:c r="K29" s="82"/>
      <x:c r="L29" s="68"/>
      <x:c r="M29" s="68"/>
      <x:c r="N29" s="68"/>
      <x:c r="O29" s="68"/>
      <x:c r="P29" s="68"/>
      <x:c r="Q29" s="68"/>
      <x:c r="R29" s="68"/>
      <x:c r="S29" s="68"/>
      <x:c r="T29" s="82"/>
      <x:c r="U29" s="68"/>
      <x:c r="V29" s="68"/>
      <x:c r="W29" s="68"/>
      <x:c r="X29" s="82"/>
      <x:c r="Y29" s="68"/>
      <x:c r="Z29" s="68"/>
      <x:c r="AA29" s="87"/>
      <x:c r="AB29" s="68"/>
      <x:c r="AC29" s="68"/>
    </x:row>
    <x:row r="30">
      <x:c r="A30" s="72" t="str">
        <x:f>IF(OR(C30="",D30=""),"",B30&amp;"-"&amp;UPPER(C30)&amp;"-"&amp;TEXT(D30,"0000")&amp;"-"&amp;E30)</x:f>
      </x:c>
      <x:c r="B30" s="74" t="str">
        <x:v>M20</x:v>
      </x:c>
      <x:c r="C30" s="74"/>
      <x:c r="D30" s="79"/>
      <x:c r="E30" s="74" t="str">
        <x:v>V1.0</x:v>
      </x:c>
      <x:c r="F30" s="68"/>
      <x:c r="G30" s="68"/>
      <x:c r="H30" s="82"/>
      <x:c r="I30" s="68"/>
      <x:c r="J30" s="68"/>
      <x:c r="K30" s="82"/>
      <x:c r="L30" s="68"/>
      <x:c r="M30" s="68"/>
      <x:c r="N30" s="68"/>
      <x:c r="O30" s="68"/>
      <x:c r="P30" s="68"/>
      <x:c r="Q30" s="68"/>
      <x:c r="R30" s="68"/>
      <x:c r="S30" s="68"/>
      <x:c r="T30" s="82"/>
      <x:c r="U30" s="68"/>
      <x:c r="V30" s="68"/>
      <x:c r="W30" s="68"/>
      <x:c r="X30" s="82"/>
      <x:c r="Y30" s="68"/>
      <x:c r="Z30" s="68"/>
      <x:c r="AA30" s="87"/>
      <x:c r="AB30" s="68"/>
      <x:c r="AC30" s="68"/>
    </x:row>
    <x:row r="31">
      <x:c r="A31" s="72" t="str">
        <x:f>IF(OR(C31="",D31=""),"",B31&amp;"-"&amp;UPPER(C31)&amp;"-"&amp;TEXT(D31,"0000")&amp;"-"&amp;E31)</x:f>
      </x:c>
      <x:c r="B31" s="74" t="str">
        <x:v>M20</x:v>
      </x:c>
      <x:c r="C31" s="74"/>
      <x:c r="D31" s="79"/>
      <x:c r="E31" s="74" t="str">
        <x:v>V1.0</x:v>
      </x:c>
      <x:c r="F31" s="68"/>
      <x:c r="G31" s="68"/>
      <x:c r="H31" s="82"/>
      <x:c r="I31" s="68"/>
      <x:c r="J31" s="68"/>
      <x:c r="K31" s="82"/>
      <x:c r="L31" s="68"/>
      <x:c r="M31" s="68"/>
      <x:c r="N31" s="68"/>
      <x:c r="O31" s="68"/>
      <x:c r="P31" s="68"/>
      <x:c r="Q31" s="68"/>
      <x:c r="R31" s="68"/>
      <x:c r="S31" s="68"/>
      <x:c r="T31" s="82"/>
      <x:c r="U31" s="68"/>
      <x:c r="V31" s="68"/>
      <x:c r="W31" s="68"/>
      <x:c r="X31" s="82"/>
      <x:c r="Y31" s="68"/>
      <x:c r="Z31" s="68"/>
      <x:c r="AA31" s="87"/>
      <x:c r="AB31" s="68"/>
      <x:c r="AC31" s="68"/>
    </x:row>
    <x:row r="32">
      <x:c r="A32" s="72" t="str">
        <x:f>IF(OR(C32="",D32=""),"",B32&amp;"-"&amp;UPPER(C32)&amp;"-"&amp;TEXT(D32,"0000")&amp;"-"&amp;E32)</x:f>
      </x:c>
      <x:c r="B32" s="74" t="str">
        <x:v>M20</x:v>
      </x:c>
      <x:c r="C32" s="74"/>
      <x:c r="D32" s="79"/>
      <x:c r="E32" s="74" t="str">
        <x:v>V1.0</x:v>
      </x:c>
      <x:c r="F32" s="68"/>
      <x:c r="G32" s="68"/>
      <x:c r="H32" s="82"/>
      <x:c r="I32" s="68"/>
      <x:c r="J32" s="68"/>
      <x:c r="K32" s="82"/>
      <x:c r="L32" s="68"/>
      <x:c r="M32" s="68"/>
      <x:c r="N32" s="68"/>
      <x:c r="O32" s="68"/>
      <x:c r="P32" s="68"/>
      <x:c r="Q32" s="68"/>
      <x:c r="R32" s="68"/>
      <x:c r="S32" s="68"/>
      <x:c r="T32" s="82"/>
      <x:c r="U32" s="68"/>
      <x:c r="V32" s="68"/>
      <x:c r="W32" s="68"/>
      <x:c r="X32" s="82"/>
      <x:c r="Y32" s="68"/>
      <x:c r="Z32" s="68"/>
      <x:c r="AA32" s="87"/>
      <x:c r="AB32" s="68"/>
      <x:c r="AC32" s="68"/>
    </x:row>
    <x:row r="33">
      <x:c r="A33" s="72" t="str">
        <x:f>IF(OR(C33="",D33=""),"",B33&amp;"-"&amp;UPPER(C33)&amp;"-"&amp;TEXT(D33,"0000")&amp;"-"&amp;E33)</x:f>
      </x:c>
      <x:c r="B33" s="74" t="str">
        <x:v>M20</x:v>
      </x:c>
      <x:c r="C33" s="74"/>
      <x:c r="D33" s="79"/>
      <x:c r="E33" s="74" t="str">
        <x:v>V1.0</x:v>
      </x:c>
      <x:c r="F33" s="68"/>
      <x:c r="G33" s="68"/>
      <x:c r="H33" s="82"/>
      <x:c r="I33" s="68"/>
      <x:c r="J33" s="68"/>
      <x:c r="K33" s="82"/>
      <x:c r="L33" s="68"/>
      <x:c r="M33" s="68"/>
      <x:c r="N33" s="68"/>
      <x:c r="O33" s="68"/>
      <x:c r="P33" s="68"/>
      <x:c r="Q33" s="68"/>
      <x:c r="R33" s="68"/>
      <x:c r="S33" s="68"/>
      <x:c r="T33" s="82"/>
      <x:c r="U33" s="68"/>
      <x:c r="V33" s="68"/>
      <x:c r="W33" s="68"/>
      <x:c r="X33" s="82"/>
      <x:c r="Y33" s="68"/>
      <x:c r="Z33" s="68"/>
      <x:c r="AA33" s="87"/>
      <x:c r="AB33" s="68"/>
      <x:c r="AC33" s="68"/>
    </x:row>
    <x:row r="34">
      <x:c r="A34" s="72" t="str">
        <x:f>IF(OR(C34="",D34=""),"",B34&amp;"-"&amp;UPPER(C34)&amp;"-"&amp;TEXT(D34,"0000")&amp;"-"&amp;E34)</x:f>
      </x:c>
      <x:c r="B34" s="74" t="str">
        <x:v>M20</x:v>
      </x:c>
      <x:c r="C34" s="74"/>
      <x:c r="D34" s="79"/>
      <x:c r="E34" s="74" t="str">
        <x:v>V1.0</x:v>
      </x:c>
      <x:c r="F34" s="68"/>
      <x:c r="G34" s="68"/>
      <x:c r="H34" s="82"/>
      <x:c r="I34" s="68"/>
      <x:c r="J34" s="68"/>
      <x:c r="K34" s="82"/>
      <x:c r="L34" s="68"/>
      <x:c r="M34" s="68"/>
      <x:c r="N34" s="68"/>
      <x:c r="O34" s="68"/>
      <x:c r="P34" s="68"/>
      <x:c r="Q34" s="68"/>
      <x:c r="R34" s="68"/>
      <x:c r="S34" s="68"/>
      <x:c r="T34" s="82"/>
      <x:c r="U34" s="68"/>
      <x:c r="V34" s="68"/>
      <x:c r="W34" s="68"/>
      <x:c r="X34" s="82"/>
      <x:c r="Y34" s="68"/>
      <x:c r="Z34" s="68"/>
      <x:c r="AA34" s="87"/>
      <x:c r="AB34" s="68"/>
      <x:c r="AC34" s="68"/>
    </x:row>
    <x:row r="35">
      <x:c r="A35" s="72" t="str">
        <x:f>IF(OR(C35="",D35=""),"",B35&amp;"-"&amp;UPPER(C35)&amp;"-"&amp;TEXT(D35,"0000")&amp;"-"&amp;E35)</x:f>
      </x:c>
      <x:c r="B35" s="74" t="str">
        <x:v>M20</x:v>
      </x:c>
      <x:c r="C35" s="74"/>
      <x:c r="D35" s="79"/>
      <x:c r="E35" s="74" t="str">
        <x:v>V1.0</x:v>
      </x:c>
      <x:c r="F35" s="68"/>
      <x:c r="G35" s="68"/>
      <x:c r="H35" s="82"/>
      <x:c r="I35" s="68"/>
      <x:c r="J35" s="68"/>
      <x:c r="K35" s="82"/>
      <x:c r="L35" s="68"/>
      <x:c r="M35" s="68"/>
      <x:c r="N35" s="68"/>
      <x:c r="O35" s="68"/>
      <x:c r="P35" s="68"/>
      <x:c r="Q35" s="68"/>
      <x:c r="R35" s="68"/>
      <x:c r="S35" s="68"/>
      <x:c r="T35" s="82"/>
      <x:c r="U35" s="68"/>
      <x:c r="V35" s="68"/>
      <x:c r="W35" s="68"/>
      <x:c r="X35" s="82"/>
      <x:c r="Y35" s="68"/>
      <x:c r="Z35" s="68"/>
      <x:c r="AA35" s="87"/>
      <x:c r="AB35" s="68"/>
      <x:c r="AC35" s="68"/>
    </x:row>
    <x:row r="36">
      <x:c r="A36" s="72" t="str">
        <x:f>IF(OR(C36="",D36=""),"",B36&amp;"-"&amp;UPPER(C36)&amp;"-"&amp;TEXT(D36,"0000")&amp;"-"&amp;E36)</x:f>
      </x:c>
      <x:c r="B36" s="74" t="str">
        <x:v>M20</x:v>
      </x:c>
      <x:c r="C36" s="74"/>
      <x:c r="D36" s="79"/>
      <x:c r="E36" s="74" t="str">
        <x:v>V1.0</x:v>
      </x:c>
      <x:c r="F36" s="68"/>
      <x:c r="G36" s="68"/>
      <x:c r="H36" s="82"/>
      <x:c r="I36" s="68"/>
      <x:c r="J36" s="68"/>
      <x:c r="K36" s="82"/>
      <x:c r="L36" s="68"/>
      <x:c r="M36" s="68"/>
      <x:c r="N36" s="68"/>
      <x:c r="O36" s="68"/>
      <x:c r="P36" s="68"/>
      <x:c r="Q36" s="68"/>
      <x:c r="R36" s="68"/>
      <x:c r="S36" s="68"/>
      <x:c r="T36" s="82"/>
      <x:c r="U36" s="68"/>
      <x:c r="V36" s="68"/>
      <x:c r="W36" s="68"/>
      <x:c r="X36" s="82"/>
      <x:c r="Y36" s="68"/>
      <x:c r="Z36" s="68"/>
      <x:c r="AA36" s="87"/>
      <x:c r="AB36" s="68"/>
      <x:c r="AC36" s="68"/>
    </x:row>
    <x:row r="37">
      <x:c r="A37" s="72" t="str">
        <x:f>IF(OR(C37="",D37=""),"",B37&amp;"-"&amp;UPPER(C37)&amp;"-"&amp;TEXT(D37,"0000")&amp;"-"&amp;E37)</x:f>
      </x:c>
      <x:c r="B37" s="74" t="str">
        <x:v>M20</x:v>
      </x:c>
      <x:c r="C37" s="74"/>
      <x:c r="D37" s="79"/>
      <x:c r="E37" s="74" t="str">
        <x:v>V1.0</x:v>
      </x:c>
      <x:c r="F37" s="68"/>
      <x:c r="G37" s="68"/>
      <x:c r="H37" s="82"/>
      <x:c r="I37" s="68"/>
      <x:c r="J37" s="68"/>
      <x:c r="K37" s="82"/>
      <x:c r="L37" s="68"/>
      <x:c r="M37" s="68"/>
      <x:c r="N37" s="68"/>
      <x:c r="O37" s="68"/>
      <x:c r="P37" s="68"/>
      <x:c r="Q37" s="68"/>
      <x:c r="R37" s="68"/>
      <x:c r="S37" s="68"/>
      <x:c r="T37" s="82"/>
      <x:c r="U37" s="68"/>
      <x:c r="V37" s="68"/>
      <x:c r="W37" s="68"/>
      <x:c r="X37" s="82"/>
      <x:c r="Y37" s="68"/>
      <x:c r="Z37" s="68"/>
      <x:c r="AA37" s="87"/>
      <x:c r="AB37" s="68"/>
      <x:c r="AC37" s="68"/>
    </x:row>
    <x:row r="38">
      <x:c r="A38" s="72" t="str">
        <x:f>IF(OR(C38="",D38=""),"",B38&amp;"-"&amp;UPPER(C38)&amp;"-"&amp;TEXT(D38,"0000")&amp;"-"&amp;E38)</x:f>
      </x:c>
      <x:c r="B38" s="74" t="str">
        <x:v>M20</x:v>
      </x:c>
      <x:c r="C38" s="74"/>
      <x:c r="D38" s="79"/>
      <x:c r="E38" s="74" t="str">
        <x:v>V1.0</x:v>
      </x:c>
      <x:c r="F38" s="68"/>
      <x:c r="G38" s="68"/>
      <x:c r="H38" s="82"/>
      <x:c r="I38" s="68"/>
      <x:c r="J38" s="68"/>
      <x:c r="K38" s="82"/>
      <x:c r="L38" s="68"/>
      <x:c r="M38" s="68"/>
      <x:c r="N38" s="68"/>
      <x:c r="O38" s="68"/>
      <x:c r="P38" s="68"/>
      <x:c r="Q38" s="68"/>
      <x:c r="R38" s="68"/>
      <x:c r="S38" s="68"/>
      <x:c r="T38" s="82"/>
      <x:c r="U38" s="68"/>
      <x:c r="V38" s="68"/>
      <x:c r="W38" s="68"/>
      <x:c r="X38" s="82"/>
      <x:c r="Y38" s="68"/>
      <x:c r="Z38" s="68"/>
      <x:c r="AA38" s="87"/>
      <x:c r="AB38" s="68"/>
      <x:c r="AC38" s="68"/>
    </x:row>
    <x:row r="39">
      <x:c r="A39" s="72" t="str">
        <x:f>IF(OR(C39="",D39=""),"",B39&amp;"-"&amp;UPPER(C39)&amp;"-"&amp;TEXT(D39,"0000")&amp;"-"&amp;E39)</x:f>
      </x:c>
      <x:c r="B39" s="74" t="str">
        <x:v>M20</x:v>
      </x:c>
      <x:c r="C39" s="74"/>
      <x:c r="D39" s="79"/>
      <x:c r="E39" s="74" t="str">
        <x:v>V1.0</x:v>
      </x:c>
      <x:c r="F39" s="68"/>
      <x:c r="G39" s="68"/>
      <x:c r="H39" s="82"/>
      <x:c r="I39" s="68"/>
      <x:c r="J39" s="68"/>
      <x:c r="K39" s="82"/>
      <x:c r="L39" s="68"/>
      <x:c r="M39" s="68"/>
      <x:c r="N39" s="68"/>
      <x:c r="O39" s="68"/>
      <x:c r="P39" s="68"/>
      <x:c r="Q39" s="68"/>
      <x:c r="R39" s="68"/>
      <x:c r="S39" s="68"/>
      <x:c r="T39" s="82"/>
      <x:c r="U39" s="68"/>
      <x:c r="V39" s="68"/>
      <x:c r="W39" s="68"/>
      <x:c r="X39" s="82"/>
      <x:c r="Y39" s="68"/>
      <x:c r="Z39" s="68"/>
      <x:c r="AA39" s="87"/>
      <x:c r="AB39" s="68"/>
      <x:c r="AC39" s="68"/>
    </x:row>
    <x:row r="40">
      <x:c r="A40" s="72" t="str">
        <x:f>IF(OR(C40="",D40=""),"",B40&amp;"-"&amp;UPPER(C40)&amp;"-"&amp;TEXT(D40,"0000")&amp;"-"&amp;E40)</x:f>
      </x:c>
      <x:c r="B40" s="74" t="str">
        <x:v>M20</x:v>
      </x:c>
      <x:c r="C40" s="74"/>
      <x:c r="D40" s="79"/>
      <x:c r="E40" s="74" t="str">
        <x:v>V1.0</x:v>
      </x:c>
      <x:c r="F40" s="68"/>
      <x:c r="G40" s="68"/>
      <x:c r="H40" s="82"/>
      <x:c r="I40" s="68"/>
      <x:c r="J40" s="68"/>
      <x:c r="K40" s="82"/>
      <x:c r="L40" s="68"/>
      <x:c r="M40" s="68"/>
      <x:c r="N40" s="68"/>
      <x:c r="O40" s="68"/>
      <x:c r="P40" s="68"/>
      <x:c r="Q40" s="68"/>
      <x:c r="R40" s="68"/>
      <x:c r="S40" s="68"/>
      <x:c r="T40" s="82"/>
      <x:c r="U40" s="68"/>
      <x:c r="V40" s="68"/>
      <x:c r="W40" s="68"/>
      <x:c r="X40" s="82"/>
      <x:c r="Y40" s="68"/>
      <x:c r="Z40" s="68"/>
      <x:c r="AA40" s="87"/>
      <x:c r="AB40" s="68"/>
      <x:c r="AC40" s="68"/>
    </x:row>
    <x:row r="41">
      <x:c r="A41" s="72" t="str">
        <x:f>IF(OR(C41="",D41=""),"",B41&amp;"-"&amp;UPPER(C41)&amp;"-"&amp;TEXT(D41,"0000")&amp;"-"&amp;E41)</x:f>
      </x:c>
      <x:c r="B41" s="74" t="str">
        <x:v>M20</x:v>
      </x:c>
      <x:c r="C41" s="74"/>
      <x:c r="D41" s="79"/>
      <x:c r="E41" s="74" t="str">
        <x:v>V1.0</x:v>
      </x:c>
      <x:c r="F41" s="68"/>
      <x:c r="G41" s="68"/>
      <x:c r="H41" s="82"/>
      <x:c r="I41" s="68"/>
      <x:c r="J41" s="68"/>
      <x:c r="K41" s="82"/>
      <x:c r="L41" s="68"/>
      <x:c r="M41" s="68"/>
      <x:c r="N41" s="68"/>
      <x:c r="O41" s="68"/>
      <x:c r="P41" s="68"/>
      <x:c r="Q41" s="68"/>
      <x:c r="R41" s="68"/>
      <x:c r="S41" s="68"/>
      <x:c r="T41" s="82"/>
      <x:c r="U41" s="68"/>
      <x:c r="V41" s="68"/>
      <x:c r="W41" s="68"/>
      <x:c r="X41" s="82"/>
      <x:c r="Y41" s="68"/>
      <x:c r="Z41" s="68"/>
      <x:c r="AA41" s="87"/>
      <x:c r="AB41" s="68"/>
      <x:c r="AC41" s="68"/>
    </x:row>
    <x:row r="42">
      <x:c r="A42" s="72" t="str">
        <x:f>IF(OR(C42="",D42=""),"",B42&amp;"-"&amp;UPPER(C42)&amp;"-"&amp;TEXT(D42,"0000")&amp;"-"&amp;E42)</x:f>
      </x:c>
      <x:c r="B42" s="74" t="str">
        <x:v>M20</x:v>
      </x:c>
      <x:c r="C42" s="74"/>
      <x:c r="D42" s="79"/>
      <x:c r="E42" s="74" t="str">
        <x:v>V1.0</x:v>
      </x:c>
      <x:c r="F42" s="68"/>
      <x:c r="G42" s="68"/>
      <x:c r="H42" s="82"/>
      <x:c r="I42" s="68"/>
      <x:c r="J42" s="68"/>
      <x:c r="K42" s="82"/>
      <x:c r="L42" s="68"/>
      <x:c r="M42" s="68"/>
      <x:c r="N42" s="68"/>
      <x:c r="O42" s="68"/>
      <x:c r="P42" s="68"/>
      <x:c r="Q42" s="68"/>
      <x:c r="R42" s="68"/>
      <x:c r="S42" s="68"/>
      <x:c r="T42" s="82"/>
      <x:c r="U42" s="68"/>
      <x:c r="V42" s="68"/>
      <x:c r="W42" s="68"/>
      <x:c r="X42" s="82"/>
      <x:c r="Y42" s="68"/>
      <x:c r="Z42" s="68"/>
      <x:c r="AA42" s="87"/>
      <x:c r="AB42" s="68"/>
      <x:c r="AC42" s="68"/>
    </x:row>
    <x:row r="43">
      <x:c r="A43" s="72" t="str">
        <x:f>IF(OR(C43="",D43=""),"",B43&amp;"-"&amp;UPPER(C43)&amp;"-"&amp;TEXT(D43,"0000")&amp;"-"&amp;E43)</x:f>
      </x:c>
      <x:c r="B43" s="74" t="str">
        <x:v>M20</x:v>
      </x:c>
      <x:c r="C43" s="74"/>
      <x:c r="D43" s="79"/>
      <x:c r="E43" s="74" t="str">
        <x:v>V1.0</x:v>
      </x:c>
      <x:c r="F43" s="68"/>
      <x:c r="G43" s="68"/>
      <x:c r="H43" s="82"/>
      <x:c r="I43" s="68"/>
      <x:c r="J43" s="68"/>
      <x:c r="K43" s="82"/>
      <x:c r="L43" s="68"/>
      <x:c r="M43" s="68"/>
      <x:c r="N43" s="68"/>
      <x:c r="O43" s="68"/>
      <x:c r="P43" s="68"/>
      <x:c r="Q43" s="68"/>
      <x:c r="R43" s="68"/>
      <x:c r="S43" s="68"/>
      <x:c r="T43" s="82"/>
      <x:c r="U43" s="68"/>
      <x:c r="V43" s="68"/>
      <x:c r="W43" s="68"/>
      <x:c r="X43" s="82"/>
      <x:c r="Y43" s="68"/>
      <x:c r="Z43" s="68"/>
      <x:c r="AA43" s="87"/>
      <x:c r="AB43" s="68"/>
      <x:c r="AC43" s="68"/>
    </x:row>
    <x:row r="44">
      <x:c r="A44" s="72" t="str">
        <x:f>IF(OR(C44="",D44=""),"",B44&amp;"-"&amp;UPPER(C44)&amp;"-"&amp;TEXT(D44,"0000")&amp;"-"&amp;E44)</x:f>
      </x:c>
      <x:c r="B44" s="74" t="str">
        <x:v>M20</x:v>
      </x:c>
      <x:c r="C44" s="74"/>
      <x:c r="D44" s="79"/>
      <x:c r="E44" s="74" t="str">
        <x:v>V1.0</x:v>
      </x:c>
      <x:c r="F44" s="68"/>
      <x:c r="G44" s="68"/>
      <x:c r="H44" s="82"/>
      <x:c r="I44" s="68"/>
      <x:c r="J44" s="68"/>
      <x:c r="K44" s="82"/>
      <x:c r="L44" s="68"/>
      <x:c r="M44" s="68"/>
      <x:c r="N44" s="68"/>
      <x:c r="O44" s="68"/>
      <x:c r="P44" s="68"/>
      <x:c r="Q44" s="68"/>
      <x:c r="R44" s="68"/>
      <x:c r="S44" s="68"/>
      <x:c r="T44" s="82"/>
      <x:c r="U44" s="68"/>
      <x:c r="V44" s="68"/>
      <x:c r="W44" s="68"/>
      <x:c r="X44" s="82"/>
      <x:c r="Y44" s="68"/>
      <x:c r="Z44" s="68"/>
      <x:c r="AA44" s="87"/>
      <x:c r="AB44" s="68"/>
      <x:c r="AC44" s="68"/>
    </x:row>
    <x:row r="45">
      <x:c r="A45" s="72" t="str">
        <x:f>IF(OR(C45="",D45=""),"",B45&amp;"-"&amp;UPPER(C45)&amp;"-"&amp;TEXT(D45,"0000")&amp;"-"&amp;E45)</x:f>
      </x:c>
      <x:c r="B45" s="74" t="str">
        <x:v>M20</x:v>
      </x:c>
      <x:c r="C45" s="74"/>
      <x:c r="D45" s="79"/>
      <x:c r="E45" s="74" t="str">
        <x:v>V1.0</x:v>
      </x:c>
      <x:c r="F45" s="68"/>
      <x:c r="G45" s="68"/>
      <x:c r="H45" s="82"/>
      <x:c r="I45" s="68"/>
      <x:c r="J45" s="68"/>
      <x:c r="K45" s="82"/>
      <x:c r="L45" s="68"/>
      <x:c r="M45" s="68"/>
      <x:c r="N45" s="68"/>
      <x:c r="O45" s="68"/>
      <x:c r="P45" s="68"/>
      <x:c r="Q45" s="68"/>
      <x:c r="R45" s="68"/>
      <x:c r="S45" s="68"/>
      <x:c r="T45" s="82"/>
      <x:c r="U45" s="68"/>
      <x:c r="V45" s="68"/>
      <x:c r="W45" s="68"/>
      <x:c r="X45" s="82"/>
      <x:c r="Y45" s="68"/>
      <x:c r="Z45" s="68"/>
      <x:c r="AA45" s="87"/>
      <x:c r="AB45" s="68"/>
      <x:c r="AC45" s="68"/>
    </x:row>
    <x:row r="46">
      <x:c r="A46" s="72" t="str">
        <x:f>IF(OR(C46="",D46=""),"",B46&amp;"-"&amp;UPPER(C46)&amp;"-"&amp;TEXT(D46,"0000")&amp;"-"&amp;E46)</x:f>
      </x:c>
      <x:c r="B46" s="74" t="str">
        <x:v>M20</x:v>
      </x:c>
      <x:c r="C46" s="74"/>
      <x:c r="D46" s="79"/>
      <x:c r="E46" s="74" t="str">
        <x:v>V1.0</x:v>
      </x:c>
      <x:c r="F46" s="68"/>
      <x:c r="G46" s="68"/>
      <x:c r="H46" s="82"/>
      <x:c r="I46" s="68"/>
      <x:c r="J46" s="68"/>
      <x:c r="K46" s="82"/>
      <x:c r="L46" s="68"/>
      <x:c r="M46" s="68"/>
      <x:c r="N46" s="68"/>
      <x:c r="O46" s="68"/>
      <x:c r="P46" s="68"/>
      <x:c r="Q46" s="68"/>
      <x:c r="R46" s="68"/>
      <x:c r="S46" s="68"/>
      <x:c r="T46" s="82"/>
      <x:c r="U46" s="68"/>
      <x:c r="V46" s="68"/>
      <x:c r="W46" s="68"/>
      <x:c r="X46" s="82"/>
      <x:c r="Y46" s="68"/>
      <x:c r="Z46" s="68"/>
      <x:c r="AA46" s="87"/>
      <x:c r="AB46" s="68"/>
      <x:c r="AC46" s="68"/>
    </x:row>
    <x:row r="47">
      <x:c r="A47" s="72" t="str">
        <x:f>IF(OR(C47="",D47=""),"",B47&amp;"-"&amp;UPPER(C47)&amp;"-"&amp;TEXT(D47,"0000")&amp;"-"&amp;E47)</x:f>
      </x:c>
      <x:c r="B47" s="74" t="str">
        <x:v>M20</x:v>
      </x:c>
      <x:c r="C47" s="74"/>
      <x:c r="D47" s="79"/>
      <x:c r="E47" s="74" t="str">
        <x:v>V1.0</x:v>
      </x:c>
      <x:c r="F47" s="68"/>
      <x:c r="G47" s="68"/>
      <x:c r="H47" s="82"/>
      <x:c r="I47" s="68"/>
      <x:c r="J47" s="68"/>
      <x:c r="K47" s="82"/>
      <x:c r="L47" s="68"/>
      <x:c r="M47" s="68"/>
      <x:c r="N47" s="68"/>
      <x:c r="O47" s="68"/>
      <x:c r="P47" s="68"/>
      <x:c r="Q47" s="68"/>
      <x:c r="R47" s="68"/>
      <x:c r="S47" s="68"/>
      <x:c r="T47" s="82"/>
      <x:c r="U47" s="68"/>
      <x:c r="V47" s="68"/>
      <x:c r="W47" s="68"/>
      <x:c r="X47" s="82"/>
      <x:c r="Y47" s="68"/>
      <x:c r="Z47" s="68"/>
      <x:c r="AA47" s="87"/>
      <x:c r="AB47" s="68"/>
      <x:c r="AC47" s="68"/>
    </x:row>
    <x:row r="48">
      <x:c r="A48" s="72" t="str">
        <x:f>IF(OR(C48="",D48=""),"",B48&amp;"-"&amp;UPPER(C48)&amp;"-"&amp;TEXT(D48,"0000")&amp;"-"&amp;E48)</x:f>
      </x:c>
      <x:c r="B48" s="74" t="str">
        <x:v>M20</x:v>
      </x:c>
      <x:c r="C48" s="74"/>
      <x:c r="D48" s="79"/>
      <x:c r="E48" s="74" t="str">
        <x:v>V1.0</x:v>
      </x:c>
      <x:c r="F48" s="68"/>
      <x:c r="G48" s="68"/>
      <x:c r="H48" s="82"/>
      <x:c r="I48" s="68"/>
      <x:c r="J48" s="68"/>
      <x:c r="K48" s="82"/>
      <x:c r="L48" s="68"/>
      <x:c r="M48" s="68"/>
      <x:c r="N48" s="68"/>
      <x:c r="O48" s="68"/>
      <x:c r="P48" s="68"/>
      <x:c r="Q48" s="68"/>
      <x:c r="R48" s="68"/>
      <x:c r="S48" s="68"/>
      <x:c r="T48" s="82"/>
      <x:c r="U48" s="68"/>
      <x:c r="V48" s="68"/>
      <x:c r="W48" s="68"/>
      <x:c r="X48" s="82"/>
      <x:c r="Y48" s="68"/>
      <x:c r="Z48" s="68"/>
      <x:c r="AA48" s="87"/>
      <x:c r="AB48" s="68"/>
      <x:c r="AC48" s="68"/>
    </x:row>
    <x:row r="49">
      <x:c r="A49" s="72" t="str">
        <x:f>IF(OR(C49="",D49=""),"",B49&amp;"-"&amp;UPPER(C49)&amp;"-"&amp;TEXT(D49,"0000")&amp;"-"&amp;E49)</x:f>
      </x:c>
      <x:c r="B49" s="74" t="str">
        <x:v>M20</x:v>
      </x:c>
      <x:c r="C49" s="74"/>
      <x:c r="D49" s="79"/>
      <x:c r="E49" s="74" t="str">
        <x:v>V1.0</x:v>
      </x:c>
      <x:c r="F49" s="68"/>
      <x:c r="G49" s="68"/>
      <x:c r="H49" s="82"/>
      <x:c r="I49" s="68"/>
      <x:c r="J49" s="68"/>
      <x:c r="K49" s="82"/>
      <x:c r="L49" s="68"/>
      <x:c r="M49" s="68"/>
      <x:c r="N49" s="68"/>
      <x:c r="O49" s="68"/>
      <x:c r="P49" s="68"/>
      <x:c r="Q49" s="68"/>
      <x:c r="R49" s="68"/>
      <x:c r="S49" s="68"/>
      <x:c r="T49" s="82"/>
      <x:c r="U49" s="68"/>
      <x:c r="V49" s="68"/>
      <x:c r="W49" s="68"/>
      <x:c r="X49" s="82"/>
      <x:c r="Y49" s="68"/>
      <x:c r="Z49" s="68"/>
      <x:c r="AA49" s="87"/>
      <x:c r="AB49" s="68"/>
      <x:c r="AC49" s="68"/>
    </x:row>
    <x:row r="50">
      <x:c r="A50" s="72" t="str">
        <x:f>IF(OR(C50="",D50=""),"",B50&amp;"-"&amp;UPPER(C50)&amp;"-"&amp;TEXT(D50,"0000")&amp;"-"&amp;E50)</x:f>
      </x:c>
      <x:c r="B50" s="74" t="str">
        <x:v>M20</x:v>
      </x:c>
      <x:c r="C50" s="74"/>
      <x:c r="D50" s="79"/>
      <x:c r="E50" s="74" t="str">
        <x:v>V1.0</x:v>
      </x:c>
      <x:c r="F50" s="68"/>
      <x:c r="G50" s="68"/>
      <x:c r="H50" s="82"/>
      <x:c r="I50" s="68"/>
      <x:c r="J50" s="68"/>
      <x:c r="K50" s="82"/>
      <x:c r="L50" s="68"/>
      <x:c r="M50" s="68"/>
      <x:c r="N50" s="68"/>
      <x:c r="O50" s="68"/>
      <x:c r="P50" s="68"/>
      <x:c r="Q50" s="68"/>
      <x:c r="R50" s="68"/>
      <x:c r="S50" s="68"/>
      <x:c r="T50" s="82"/>
      <x:c r="U50" s="68"/>
      <x:c r="V50" s="68"/>
      <x:c r="W50" s="68"/>
      <x:c r="X50" s="82"/>
      <x:c r="Y50" s="68"/>
      <x:c r="Z50" s="68"/>
      <x:c r="AA50" s="87"/>
      <x:c r="AB50" s="68"/>
      <x:c r="AC50" s="68"/>
    </x:row>
    <x:row r="51">
      <x:c r="A51" s="72" t="str">
        <x:f>IF(OR(C51="",D51=""),"",B51&amp;"-"&amp;UPPER(C51)&amp;"-"&amp;TEXT(D51,"0000")&amp;"-"&amp;E51)</x:f>
      </x:c>
      <x:c r="B51" s="74" t="str">
        <x:v>M20</x:v>
      </x:c>
      <x:c r="C51" s="74"/>
      <x:c r="D51" s="79"/>
      <x:c r="E51" s="74" t="str">
        <x:v>V1.0</x:v>
      </x:c>
      <x:c r="F51" s="68"/>
      <x:c r="G51" s="68"/>
      <x:c r="H51" s="82"/>
      <x:c r="I51" s="68"/>
      <x:c r="J51" s="68"/>
      <x:c r="K51" s="82"/>
      <x:c r="L51" s="68"/>
      <x:c r="M51" s="68"/>
      <x:c r="N51" s="68"/>
      <x:c r="O51" s="68"/>
      <x:c r="P51" s="68"/>
      <x:c r="Q51" s="68"/>
      <x:c r="R51" s="68"/>
      <x:c r="S51" s="68"/>
      <x:c r="T51" s="82"/>
      <x:c r="U51" s="68"/>
      <x:c r="V51" s="68"/>
      <x:c r="W51" s="68"/>
      <x:c r="X51" s="82"/>
      <x:c r="Y51" s="68"/>
      <x:c r="Z51" s="68"/>
      <x:c r="AA51" s="87"/>
      <x:c r="AB51" s="68"/>
      <x:c r="AC51" s="68"/>
    </x:row>
    <x:row r="52">
      <x:c r="A52" s="72" t="str">
        <x:f>IF(OR(C52="",D52=""),"",B52&amp;"-"&amp;UPPER(C52)&amp;"-"&amp;TEXT(D52,"0000")&amp;"-"&amp;E52)</x:f>
      </x:c>
      <x:c r="B52" s="74" t="str">
        <x:v>M20</x:v>
      </x:c>
      <x:c r="C52" s="74"/>
      <x:c r="D52" s="79"/>
      <x:c r="E52" s="74" t="str">
        <x:v>V1.0</x:v>
      </x:c>
      <x:c r="F52" s="68"/>
      <x:c r="G52" s="68"/>
      <x:c r="H52" s="82"/>
      <x:c r="I52" s="68"/>
      <x:c r="J52" s="68"/>
      <x:c r="K52" s="82"/>
      <x:c r="L52" s="68"/>
      <x:c r="M52" s="68"/>
      <x:c r="N52" s="68"/>
      <x:c r="O52" s="68"/>
      <x:c r="P52" s="68"/>
      <x:c r="Q52" s="68"/>
      <x:c r="R52" s="68"/>
      <x:c r="S52" s="68"/>
      <x:c r="T52" s="82"/>
      <x:c r="U52" s="68"/>
      <x:c r="V52" s="68"/>
      <x:c r="W52" s="68"/>
      <x:c r="X52" s="82"/>
      <x:c r="Y52" s="68"/>
      <x:c r="Z52" s="68"/>
      <x:c r="AA52" s="87"/>
      <x:c r="AB52" s="68"/>
      <x:c r="AC52" s="68"/>
    </x:row>
    <x:row r="53">
      <x:c r="A53" s="72" t="str">
        <x:f>IF(OR(C53="",D53=""),"",B53&amp;"-"&amp;UPPER(C53)&amp;"-"&amp;TEXT(D53,"0000")&amp;"-"&amp;E53)</x:f>
      </x:c>
      <x:c r="B53" s="74" t="str">
        <x:v>M20</x:v>
      </x:c>
      <x:c r="C53" s="74"/>
      <x:c r="D53" s="79"/>
      <x:c r="E53" s="74" t="str">
        <x:v>V1.0</x:v>
      </x:c>
      <x:c r="F53" s="68"/>
      <x:c r="G53" s="68"/>
      <x:c r="H53" s="82"/>
      <x:c r="I53" s="68"/>
      <x:c r="J53" s="68"/>
      <x:c r="K53" s="82"/>
      <x:c r="L53" s="68"/>
      <x:c r="M53" s="68"/>
      <x:c r="N53" s="68"/>
      <x:c r="O53" s="68"/>
      <x:c r="P53" s="68"/>
      <x:c r="Q53" s="68"/>
      <x:c r="R53" s="68"/>
      <x:c r="S53" s="68"/>
      <x:c r="T53" s="82"/>
      <x:c r="U53" s="68"/>
      <x:c r="V53" s="68"/>
      <x:c r="W53" s="68"/>
      <x:c r="X53" s="82"/>
      <x:c r="Y53" s="68"/>
      <x:c r="Z53" s="68"/>
      <x:c r="AA53" s="87"/>
      <x:c r="AB53" s="68"/>
      <x:c r="AC53" s="68"/>
    </x:row>
    <x:row r="54">
      <x:c r="A54" s="72" t="str">
        <x:f>IF(OR(C54="",D54=""),"",B54&amp;"-"&amp;UPPER(C54)&amp;"-"&amp;TEXT(D54,"0000")&amp;"-"&amp;E54)</x:f>
      </x:c>
      <x:c r="B54" s="74" t="str">
        <x:v>M20</x:v>
      </x:c>
      <x:c r="C54" s="74"/>
      <x:c r="D54" s="79"/>
      <x:c r="E54" s="74" t="str">
        <x:v>V1.0</x:v>
      </x:c>
      <x:c r="F54" s="68"/>
      <x:c r="G54" s="68"/>
      <x:c r="H54" s="82"/>
      <x:c r="I54" s="68"/>
      <x:c r="J54" s="68"/>
      <x:c r="K54" s="82"/>
      <x:c r="L54" s="68"/>
      <x:c r="M54" s="68"/>
      <x:c r="N54" s="68"/>
      <x:c r="O54" s="68"/>
      <x:c r="P54" s="68"/>
      <x:c r="Q54" s="68"/>
      <x:c r="R54" s="68"/>
      <x:c r="S54" s="68"/>
      <x:c r="T54" s="82"/>
      <x:c r="U54" s="68"/>
      <x:c r="V54" s="68"/>
      <x:c r="W54" s="68"/>
      <x:c r="X54" s="82"/>
      <x:c r="Y54" s="68"/>
      <x:c r="Z54" s="68"/>
      <x:c r="AA54" s="87"/>
      <x:c r="AB54" s="68"/>
      <x:c r="AC54" s="68"/>
    </x:row>
    <x:row r="55">
      <x:c r="A55" s="72" t="str">
        <x:f>IF(OR(C55="",D55=""),"",B55&amp;"-"&amp;UPPER(C55)&amp;"-"&amp;TEXT(D55,"0000")&amp;"-"&amp;E55)</x:f>
      </x:c>
      <x:c r="B55" s="74" t="str">
        <x:v>M20</x:v>
      </x:c>
      <x:c r="C55" s="74"/>
      <x:c r="D55" s="79"/>
      <x:c r="E55" s="74" t="str">
        <x:v>V1.0</x:v>
      </x:c>
      <x:c r="F55" s="68"/>
      <x:c r="G55" s="68"/>
      <x:c r="H55" s="82"/>
      <x:c r="I55" s="68"/>
      <x:c r="J55" s="68"/>
      <x:c r="K55" s="82"/>
      <x:c r="L55" s="68"/>
      <x:c r="M55" s="68"/>
      <x:c r="N55" s="68"/>
      <x:c r="O55" s="68"/>
      <x:c r="P55" s="68"/>
      <x:c r="Q55" s="68"/>
      <x:c r="R55" s="68"/>
      <x:c r="S55" s="68"/>
      <x:c r="T55" s="82"/>
      <x:c r="U55" s="68"/>
      <x:c r="V55" s="68"/>
      <x:c r="W55" s="68"/>
      <x:c r="X55" s="82"/>
      <x:c r="Y55" s="68"/>
      <x:c r="Z55" s="68"/>
      <x:c r="AA55" s="87"/>
      <x:c r="AB55" s="68"/>
      <x:c r="AC55" s="68"/>
    </x:row>
    <x:row r="56">
      <x:c r="A56" s="72" t="str">
        <x:f>IF(OR(C56="",D56=""),"",B56&amp;"-"&amp;UPPER(C56)&amp;"-"&amp;TEXT(D56,"0000")&amp;"-"&amp;E56)</x:f>
      </x:c>
      <x:c r="B56" s="74" t="str">
        <x:v>M20</x:v>
      </x:c>
      <x:c r="C56" s="74"/>
      <x:c r="D56" s="79"/>
      <x:c r="E56" s="74" t="str">
        <x:v>V1.0</x:v>
      </x:c>
      <x:c r="F56" s="68"/>
      <x:c r="G56" s="68"/>
      <x:c r="H56" s="82"/>
      <x:c r="I56" s="68"/>
      <x:c r="J56" s="68"/>
      <x:c r="K56" s="82"/>
      <x:c r="L56" s="68"/>
      <x:c r="M56" s="68"/>
      <x:c r="N56" s="68"/>
      <x:c r="O56" s="68"/>
      <x:c r="P56" s="68"/>
      <x:c r="Q56" s="68"/>
      <x:c r="R56" s="68"/>
      <x:c r="S56" s="68"/>
      <x:c r="T56" s="82"/>
      <x:c r="U56" s="68"/>
      <x:c r="V56" s="68"/>
      <x:c r="W56" s="68"/>
      <x:c r="X56" s="82"/>
      <x:c r="Y56" s="68"/>
      <x:c r="Z56" s="68"/>
      <x:c r="AA56" s="87"/>
      <x:c r="AB56" s="68"/>
      <x:c r="AC56" s="68"/>
    </x:row>
    <x:row r="57">
      <x:c r="A57" s="72" t="str">
        <x:f>IF(OR(C57="",D57=""),"",B57&amp;"-"&amp;UPPER(C57)&amp;"-"&amp;TEXT(D57,"0000")&amp;"-"&amp;E57)</x:f>
      </x:c>
      <x:c r="B57" s="74" t="str">
        <x:v>M20</x:v>
      </x:c>
      <x:c r="C57" s="74"/>
      <x:c r="D57" s="79"/>
      <x:c r="E57" s="74" t="str">
        <x:v>V1.0</x:v>
      </x:c>
      <x:c r="F57" s="68"/>
      <x:c r="G57" s="68"/>
      <x:c r="H57" s="82"/>
      <x:c r="I57" s="68"/>
      <x:c r="J57" s="68"/>
      <x:c r="K57" s="82"/>
      <x:c r="L57" s="68"/>
      <x:c r="M57" s="68"/>
      <x:c r="N57" s="68"/>
      <x:c r="O57" s="68"/>
      <x:c r="P57" s="68"/>
      <x:c r="Q57" s="68"/>
      <x:c r="R57" s="68"/>
      <x:c r="S57" s="68"/>
      <x:c r="T57" s="82"/>
      <x:c r="U57" s="68"/>
      <x:c r="V57" s="68"/>
      <x:c r="W57" s="68"/>
      <x:c r="X57" s="82"/>
      <x:c r="Y57" s="68"/>
      <x:c r="Z57" s="68"/>
      <x:c r="AA57" s="87"/>
      <x:c r="AB57" s="68"/>
      <x:c r="AC57" s="68"/>
    </x:row>
    <x:row r="58">
      <x:c r="A58" s="72" t="str">
        <x:f>IF(OR(C58="",D58=""),"",B58&amp;"-"&amp;UPPER(C58)&amp;"-"&amp;TEXT(D58,"0000")&amp;"-"&amp;E58)</x:f>
      </x:c>
      <x:c r="B58" s="74" t="str">
        <x:v>M20</x:v>
      </x:c>
      <x:c r="C58" s="74"/>
      <x:c r="D58" s="79"/>
      <x:c r="E58" s="74" t="str">
        <x:v>V1.0</x:v>
      </x:c>
      <x:c r="F58" s="68"/>
      <x:c r="G58" s="68"/>
      <x:c r="H58" s="82"/>
      <x:c r="I58" s="68"/>
      <x:c r="J58" s="68"/>
      <x:c r="K58" s="82"/>
      <x:c r="L58" s="68"/>
      <x:c r="M58" s="68"/>
      <x:c r="N58" s="68"/>
      <x:c r="O58" s="68"/>
      <x:c r="P58" s="68"/>
      <x:c r="Q58" s="68"/>
      <x:c r="R58" s="68"/>
      <x:c r="S58" s="68"/>
      <x:c r="T58" s="82"/>
      <x:c r="U58" s="68"/>
      <x:c r="V58" s="68"/>
      <x:c r="W58" s="68"/>
      <x:c r="X58" s="82"/>
      <x:c r="Y58" s="68"/>
      <x:c r="Z58" s="68"/>
      <x:c r="AA58" s="87"/>
      <x:c r="AB58" s="68"/>
      <x:c r="AC58" s="68"/>
    </x:row>
    <x:row r="59">
      <x:c r="A59" s="72" t="str">
        <x:f>IF(OR(C59="",D59=""),"",B59&amp;"-"&amp;UPPER(C59)&amp;"-"&amp;TEXT(D59,"0000")&amp;"-"&amp;E59)</x:f>
      </x:c>
      <x:c r="B59" s="74" t="str">
        <x:v>M20</x:v>
      </x:c>
      <x:c r="C59" s="74"/>
      <x:c r="D59" s="79"/>
      <x:c r="E59" s="74" t="str">
        <x:v>V1.0</x:v>
      </x:c>
      <x:c r="F59" s="68"/>
      <x:c r="G59" s="68"/>
      <x:c r="H59" s="82"/>
      <x:c r="I59" s="68"/>
      <x:c r="J59" s="68"/>
      <x:c r="K59" s="82"/>
      <x:c r="L59" s="68"/>
      <x:c r="M59" s="68"/>
      <x:c r="N59" s="68"/>
      <x:c r="O59" s="68"/>
      <x:c r="P59" s="68"/>
      <x:c r="Q59" s="68"/>
      <x:c r="R59" s="68"/>
      <x:c r="S59" s="68"/>
      <x:c r="T59" s="82"/>
      <x:c r="U59" s="68"/>
      <x:c r="V59" s="68"/>
      <x:c r="W59" s="68"/>
      <x:c r="X59" s="82"/>
      <x:c r="Y59" s="68"/>
      <x:c r="Z59" s="68"/>
      <x:c r="AA59" s="87"/>
      <x:c r="AB59" s="68"/>
      <x:c r="AC59" s="68"/>
    </x:row>
    <x:row r="60">
      <x:c r="A60" s="72" t="str">
        <x:f>IF(OR(C60="",D60=""),"",B60&amp;"-"&amp;UPPER(C60)&amp;"-"&amp;TEXT(D60,"0000")&amp;"-"&amp;E60)</x:f>
      </x:c>
      <x:c r="B60" s="74" t="str">
        <x:v>M20</x:v>
      </x:c>
      <x:c r="C60" s="74"/>
      <x:c r="D60" s="79"/>
      <x:c r="E60" s="74" t="str">
        <x:v>V1.0</x:v>
      </x:c>
      <x:c r="F60" s="68"/>
      <x:c r="G60" s="68"/>
      <x:c r="H60" s="82"/>
      <x:c r="I60" s="68"/>
      <x:c r="J60" s="68"/>
      <x:c r="K60" s="82"/>
      <x:c r="L60" s="68"/>
      <x:c r="M60" s="68"/>
      <x:c r="N60" s="68"/>
      <x:c r="O60" s="68"/>
      <x:c r="P60" s="68"/>
      <x:c r="Q60" s="68"/>
      <x:c r="R60" s="68"/>
      <x:c r="S60" s="68"/>
      <x:c r="T60" s="82"/>
      <x:c r="U60" s="68"/>
      <x:c r="V60" s="68"/>
      <x:c r="W60" s="68"/>
      <x:c r="X60" s="82"/>
      <x:c r="Y60" s="68"/>
      <x:c r="Z60" s="68"/>
      <x:c r="AA60" s="87"/>
      <x:c r="AB60" s="68"/>
      <x:c r="AC60" s="68"/>
    </x:row>
    <x:row r="61">
      <x:c r="A61" s="72" t="str">
        <x:f>IF(OR(C61="",D61=""),"",B61&amp;"-"&amp;UPPER(C61)&amp;"-"&amp;TEXT(D61,"0000")&amp;"-"&amp;E61)</x:f>
      </x:c>
      <x:c r="B61" s="74" t="str">
        <x:v>M20</x:v>
      </x:c>
      <x:c r="C61" s="74"/>
      <x:c r="D61" s="79"/>
      <x:c r="E61" s="74" t="str">
        <x:v>V1.0</x:v>
      </x:c>
      <x:c r="F61" s="68"/>
      <x:c r="G61" s="68"/>
      <x:c r="H61" s="82"/>
      <x:c r="I61" s="68"/>
      <x:c r="J61" s="68"/>
      <x:c r="K61" s="82"/>
      <x:c r="L61" s="68"/>
      <x:c r="M61" s="68"/>
      <x:c r="N61" s="68"/>
      <x:c r="O61" s="68"/>
      <x:c r="P61" s="68"/>
      <x:c r="Q61" s="68"/>
      <x:c r="R61" s="68"/>
      <x:c r="S61" s="68"/>
      <x:c r="T61" s="82"/>
      <x:c r="U61" s="68"/>
      <x:c r="V61" s="68"/>
      <x:c r="W61" s="68"/>
      <x:c r="X61" s="82"/>
      <x:c r="Y61" s="68"/>
      <x:c r="Z61" s="68"/>
      <x:c r="AA61" s="87"/>
      <x:c r="AB61" s="68"/>
      <x:c r="AC61" s="68"/>
    </x:row>
    <x:row r="62">
      <x:c r="A62" s="72" t="str">
        <x:f>IF(OR(C62="",D62=""),"",B62&amp;"-"&amp;UPPER(C62)&amp;"-"&amp;TEXT(D62,"0000")&amp;"-"&amp;E62)</x:f>
      </x:c>
      <x:c r="B62" s="74" t="str">
        <x:v>M20</x:v>
      </x:c>
      <x:c r="C62" s="74"/>
      <x:c r="D62" s="79"/>
      <x:c r="E62" s="74" t="str">
        <x:v>V1.0</x:v>
      </x:c>
      <x:c r="F62" s="68"/>
      <x:c r="G62" s="68"/>
      <x:c r="H62" s="82"/>
      <x:c r="I62" s="68"/>
      <x:c r="J62" s="68"/>
      <x:c r="K62" s="82"/>
      <x:c r="L62" s="68"/>
      <x:c r="M62" s="68"/>
      <x:c r="N62" s="68"/>
      <x:c r="O62" s="68"/>
      <x:c r="P62" s="68"/>
      <x:c r="Q62" s="68"/>
      <x:c r="R62" s="68"/>
      <x:c r="S62" s="68"/>
      <x:c r="T62" s="82"/>
      <x:c r="U62" s="68"/>
      <x:c r="V62" s="68"/>
      <x:c r="W62" s="68"/>
      <x:c r="X62" s="82"/>
      <x:c r="Y62" s="68"/>
      <x:c r="Z62" s="68"/>
      <x:c r="AA62" s="87"/>
      <x:c r="AB62" s="68"/>
      <x:c r="AC62" s="68"/>
    </x:row>
    <x:row r="63">
      <x:c r="A63" s="72" t="str">
        <x:f>IF(OR(C63="",D63=""),"",B63&amp;"-"&amp;UPPER(C63)&amp;"-"&amp;TEXT(D63,"0000")&amp;"-"&amp;E63)</x:f>
      </x:c>
      <x:c r="B63" s="74" t="str">
        <x:v>M20</x:v>
      </x:c>
      <x:c r="C63" s="74"/>
      <x:c r="D63" s="79"/>
      <x:c r="E63" s="74" t="str">
        <x:v>V1.0</x:v>
      </x:c>
      <x:c r="F63" s="68"/>
      <x:c r="G63" s="68"/>
      <x:c r="H63" s="82"/>
      <x:c r="I63" s="68"/>
      <x:c r="J63" s="68"/>
      <x:c r="K63" s="82"/>
      <x:c r="L63" s="68"/>
      <x:c r="M63" s="68"/>
      <x:c r="N63" s="68"/>
      <x:c r="O63" s="68"/>
      <x:c r="P63" s="68"/>
      <x:c r="Q63" s="68"/>
      <x:c r="R63" s="68"/>
      <x:c r="S63" s="68"/>
      <x:c r="T63" s="82"/>
      <x:c r="U63" s="68"/>
      <x:c r="V63" s="68"/>
      <x:c r="W63" s="68"/>
      <x:c r="X63" s="82"/>
      <x:c r="Y63" s="68"/>
      <x:c r="Z63" s="68"/>
      <x:c r="AA63" s="87"/>
      <x:c r="AB63" s="68"/>
      <x:c r="AC63" s="68"/>
    </x:row>
    <x:row r="64">
      <x:c r="A64" s="72" t="str">
        <x:f>IF(OR(C64="",D64=""),"",B64&amp;"-"&amp;UPPER(C64)&amp;"-"&amp;TEXT(D64,"0000")&amp;"-"&amp;E64)</x:f>
      </x:c>
      <x:c r="B64" s="74" t="str">
        <x:v>M20</x:v>
      </x:c>
      <x:c r="C64" s="74"/>
      <x:c r="D64" s="79"/>
      <x:c r="E64" s="74" t="str">
        <x:v>V1.0</x:v>
      </x:c>
      <x:c r="F64" s="68"/>
      <x:c r="G64" s="68"/>
      <x:c r="H64" s="82"/>
      <x:c r="I64" s="68"/>
      <x:c r="J64" s="68"/>
      <x:c r="K64" s="82"/>
      <x:c r="L64" s="68"/>
      <x:c r="M64" s="68"/>
      <x:c r="N64" s="68"/>
      <x:c r="O64" s="68"/>
      <x:c r="P64" s="68"/>
      <x:c r="Q64" s="68"/>
      <x:c r="R64" s="68"/>
      <x:c r="S64" s="68"/>
      <x:c r="T64" s="82"/>
      <x:c r="U64" s="68"/>
      <x:c r="V64" s="68"/>
      <x:c r="W64" s="68"/>
      <x:c r="X64" s="82"/>
      <x:c r="Y64" s="68"/>
      <x:c r="Z64" s="68"/>
      <x:c r="AA64" s="87"/>
      <x:c r="AB64" s="68"/>
      <x:c r="AC64" s="68"/>
    </x:row>
    <x:row r="65">
      <x:c r="A65" s="72" t="str">
        <x:f>IF(OR(C65="",D65=""),"",B65&amp;"-"&amp;UPPER(C65)&amp;"-"&amp;TEXT(D65,"0000")&amp;"-"&amp;E65)</x:f>
      </x:c>
      <x:c r="B65" s="74" t="str">
        <x:v>M20</x:v>
      </x:c>
      <x:c r="C65" s="74"/>
      <x:c r="D65" s="79"/>
      <x:c r="E65" s="74" t="str">
        <x:v>V1.0</x:v>
      </x:c>
      <x:c r="F65" s="68"/>
      <x:c r="G65" s="68"/>
      <x:c r="H65" s="82"/>
      <x:c r="I65" s="68"/>
      <x:c r="J65" s="68"/>
      <x:c r="K65" s="82"/>
      <x:c r="L65" s="68"/>
      <x:c r="M65" s="68"/>
      <x:c r="N65" s="68"/>
      <x:c r="O65" s="68"/>
      <x:c r="P65" s="68"/>
      <x:c r="Q65" s="68"/>
      <x:c r="R65" s="68"/>
      <x:c r="S65" s="68"/>
      <x:c r="T65" s="82"/>
      <x:c r="U65" s="68"/>
      <x:c r="V65" s="68"/>
      <x:c r="W65" s="68"/>
      <x:c r="X65" s="82"/>
      <x:c r="Y65" s="68"/>
      <x:c r="Z65" s="68"/>
      <x:c r="AA65" s="87"/>
      <x:c r="AB65" s="68"/>
      <x:c r="AC65" s="68"/>
    </x:row>
    <x:row r="66">
      <x:c r="A66" s="72" t="str">
        <x:f>IF(OR(C66="",D66=""),"",B66&amp;"-"&amp;UPPER(C66)&amp;"-"&amp;TEXT(D66,"0000")&amp;"-"&amp;E66)</x:f>
      </x:c>
      <x:c r="B66" s="74" t="str">
        <x:v>M20</x:v>
      </x:c>
      <x:c r="C66" s="74"/>
      <x:c r="D66" s="79"/>
      <x:c r="E66" s="74" t="str">
        <x:v>V1.0</x:v>
      </x:c>
      <x:c r="F66" s="68"/>
      <x:c r="G66" s="68"/>
      <x:c r="H66" s="82"/>
      <x:c r="I66" s="68"/>
      <x:c r="J66" s="68"/>
      <x:c r="K66" s="82"/>
      <x:c r="L66" s="68"/>
      <x:c r="M66" s="68"/>
      <x:c r="N66" s="68"/>
      <x:c r="O66" s="68"/>
      <x:c r="P66" s="68"/>
      <x:c r="Q66" s="68"/>
      <x:c r="R66" s="68"/>
      <x:c r="S66" s="68"/>
      <x:c r="T66" s="82"/>
      <x:c r="U66" s="68"/>
      <x:c r="V66" s="68"/>
      <x:c r="W66" s="68"/>
      <x:c r="X66" s="82"/>
      <x:c r="Y66" s="68"/>
      <x:c r="Z66" s="68"/>
      <x:c r="AA66" s="87"/>
      <x:c r="AB66" s="68"/>
      <x:c r="AC66" s="68"/>
    </x:row>
    <x:row r="67">
      <x:c r="A67" s="72" t="str">
        <x:f>IF(OR(C67="",D67=""),"",B67&amp;"-"&amp;UPPER(C67)&amp;"-"&amp;TEXT(D67,"0000")&amp;"-"&amp;E67)</x:f>
      </x:c>
      <x:c r="B67" s="74" t="str">
        <x:v>M20</x:v>
      </x:c>
      <x:c r="C67" s="74"/>
      <x:c r="D67" s="79"/>
      <x:c r="E67" s="74" t="str">
        <x:v>V1.0</x:v>
      </x:c>
      <x:c r="F67" s="68"/>
      <x:c r="G67" s="68"/>
      <x:c r="H67" s="82"/>
      <x:c r="I67" s="68"/>
      <x:c r="J67" s="68"/>
      <x:c r="K67" s="82"/>
      <x:c r="L67" s="68"/>
      <x:c r="M67" s="68"/>
      <x:c r="N67" s="68"/>
      <x:c r="O67" s="68"/>
      <x:c r="P67" s="68"/>
      <x:c r="Q67" s="68"/>
      <x:c r="R67" s="68"/>
      <x:c r="S67" s="68"/>
      <x:c r="T67" s="82"/>
      <x:c r="U67" s="68"/>
      <x:c r="V67" s="68"/>
      <x:c r="W67" s="68"/>
      <x:c r="X67" s="82"/>
      <x:c r="Y67" s="68"/>
      <x:c r="Z67" s="68"/>
      <x:c r="AA67" s="87"/>
      <x:c r="AB67" s="68"/>
      <x:c r="AC67" s="68"/>
    </x:row>
    <x:row r="68">
      <x:c r="A68" s="72" t="str">
        <x:f>IF(OR(C68="",D68=""),"",B68&amp;"-"&amp;UPPER(C68)&amp;"-"&amp;TEXT(D68,"0000")&amp;"-"&amp;E68)</x:f>
      </x:c>
      <x:c r="B68" s="74" t="str">
        <x:v>M20</x:v>
      </x:c>
      <x:c r="C68" s="74"/>
      <x:c r="D68" s="79"/>
      <x:c r="E68" s="74" t="str">
        <x:v>V1.0</x:v>
      </x:c>
      <x:c r="F68" s="68"/>
      <x:c r="G68" s="68"/>
      <x:c r="H68" s="82"/>
      <x:c r="I68" s="68"/>
      <x:c r="J68" s="68"/>
      <x:c r="K68" s="82"/>
      <x:c r="L68" s="68"/>
      <x:c r="M68" s="68"/>
      <x:c r="N68" s="68"/>
      <x:c r="O68" s="68"/>
      <x:c r="P68" s="68"/>
      <x:c r="Q68" s="68"/>
      <x:c r="R68" s="68"/>
      <x:c r="S68" s="68"/>
      <x:c r="T68" s="82"/>
      <x:c r="U68" s="68"/>
      <x:c r="V68" s="68"/>
      <x:c r="W68" s="68"/>
      <x:c r="X68" s="82"/>
      <x:c r="Y68" s="68"/>
      <x:c r="Z68" s="68"/>
      <x:c r="AA68" s="87"/>
      <x:c r="AB68" s="68"/>
      <x:c r="AC68" s="68"/>
    </x:row>
    <x:row r="69">
      <x:c r="A69" s="72" t="str">
        <x:f>IF(OR(C69="",D69=""),"",B69&amp;"-"&amp;UPPER(C69)&amp;"-"&amp;TEXT(D69,"0000")&amp;"-"&amp;E69)</x:f>
      </x:c>
      <x:c r="B69" s="74" t="str">
        <x:v>M20</x:v>
      </x:c>
      <x:c r="C69" s="74"/>
      <x:c r="D69" s="79"/>
      <x:c r="E69" s="74" t="str">
        <x:v>V1.0</x:v>
      </x:c>
      <x:c r="F69" s="68"/>
      <x:c r="G69" s="68"/>
      <x:c r="H69" s="82"/>
      <x:c r="I69" s="68"/>
      <x:c r="J69" s="68"/>
      <x:c r="K69" s="82"/>
      <x:c r="L69" s="68"/>
      <x:c r="M69" s="68"/>
      <x:c r="N69" s="68"/>
      <x:c r="O69" s="68"/>
      <x:c r="P69" s="68"/>
      <x:c r="Q69" s="68"/>
      <x:c r="R69" s="68"/>
      <x:c r="S69" s="68"/>
      <x:c r="T69" s="82"/>
      <x:c r="U69" s="68"/>
      <x:c r="V69" s="68"/>
      <x:c r="W69" s="68"/>
      <x:c r="X69" s="82"/>
      <x:c r="Y69" s="68"/>
      <x:c r="Z69" s="68"/>
      <x:c r="AA69" s="87"/>
      <x:c r="AB69" s="68"/>
      <x:c r="AC69" s="68"/>
    </x:row>
    <x:row r="70">
      <x:c r="A70" s="72" t="str">
        <x:f>IF(OR(C70="",D70=""),"",B70&amp;"-"&amp;UPPER(C70)&amp;"-"&amp;TEXT(D70,"0000")&amp;"-"&amp;E70)</x:f>
      </x:c>
      <x:c r="B70" s="74" t="str">
        <x:v>M20</x:v>
      </x:c>
      <x:c r="C70" s="74"/>
      <x:c r="D70" s="79"/>
      <x:c r="E70" s="74" t="str">
        <x:v>V1.0</x:v>
      </x:c>
      <x:c r="F70" s="68"/>
      <x:c r="G70" s="68"/>
      <x:c r="H70" s="82"/>
      <x:c r="I70" s="68"/>
      <x:c r="J70" s="68"/>
      <x:c r="K70" s="82"/>
      <x:c r="L70" s="68"/>
      <x:c r="M70" s="68"/>
      <x:c r="N70" s="68"/>
      <x:c r="O70" s="68"/>
      <x:c r="P70" s="68"/>
      <x:c r="Q70" s="68"/>
      <x:c r="R70" s="68"/>
      <x:c r="S70" s="68"/>
      <x:c r="T70" s="82"/>
      <x:c r="U70" s="68"/>
      <x:c r="V70" s="68"/>
      <x:c r="W70" s="68"/>
      <x:c r="X70" s="82"/>
      <x:c r="Y70" s="68"/>
      <x:c r="Z70" s="68"/>
      <x:c r="AA70" s="87"/>
      <x:c r="AB70" s="68"/>
      <x:c r="AC70" s="68"/>
    </x:row>
    <x:row r="71">
      <x:c r="A71" s="72" t="str">
        <x:f>IF(OR(C71="",D71=""),"",B71&amp;"-"&amp;UPPER(C71)&amp;"-"&amp;TEXT(D71,"0000")&amp;"-"&amp;E71)</x:f>
      </x:c>
      <x:c r="B71" s="74" t="str">
        <x:v>M20</x:v>
      </x:c>
      <x:c r="C71" s="74"/>
      <x:c r="D71" s="79"/>
      <x:c r="E71" s="74" t="str">
        <x:v>V1.0</x:v>
      </x:c>
      <x:c r="F71" s="68"/>
      <x:c r="G71" s="68"/>
      <x:c r="H71" s="82"/>
      <x:c r="I71" s="68"/>
      <x:c r="J71" s="68"/>
      <x:c r="K71" s="82"/>
      <x:c r="L71" s="68"/>
      <x:c r="M71" s="68"/>
      <x:c r="N71" s="68"/>
      <x:c r="O71" s="68"/>
      <x:c r="P71" s="68"/>
      <x:c r="Q71" s="68"/>
      <x:c r="R71" s="68"/>
      <x:c r="S71" s="68"/>
      <x:c r="T71" s="82"/>
      <x:c r="U71" s="68"/>
      <x:c r="V71" s="68"/>
      <x:c r="W71" s="68"/>
      <x:c r="X71" s="82"/>
      <x:c r="Y71" s="68"/>
      <x:c r="Z71" s="68"/>
      <x:c r="AA71" s="87"/>
      <x:c r="AB71" s="68"/>
      <x:c r="AC71" s="68"/>
    </x:row>
    <x:row r="72">
      <x:c r="A72" s="72" t="str">
        <x:f>IF(OR(C72="",D72=""),"",B72&amp;"-"&amp;UPPER(C72)&amp;"-"&amp;TEXT(D72,"0000")&amp;"-"&amp;E72)</x:f>
      </x:c>
      <x:c r="B72" s="74" t="str">
        <x:v>M20</x:v>
      </x:c>
      <x:c r="C72" s="74"/>
      <x:c r="D72" s="79"/>
      <x:c r="E72" s="74" t="str">
        <x:v>V1.0</x:v>
      </x:c>
      <x:c r="F72" s="68"/>
      <x:c r="G72" s="68"/>
      <x:c r="H72" s="82"/>
      <x:c r="I72" s="68"/>
      <x:c r="J72" s="68"/>
      <x:c r="K72" s="82"/>
      <x:c r="L72" s="68"/>
      <x:c r="M72" s="68"/>
      <x:c r="N72" s="68"/>
      <x:c r="O72" s="68"/>
      <x:c r="P72" s="68"/>
      <x:c r="Q72" s="68"/>
      <x:c r="R72" s="68"/>
      <x:c r="S72" s="68"/>
      <x:c r="T72" s="82"/>
      <x:c r="U72" s="68"/>
      <x:c r="V72" s="68"/>
      <x:c r="W72" s="68"/>
      <x:c r="X72" s="82"/>
      <x:c r="Y72" s="68"/>
      <x:c r="Z72" s="68"/>
      <x:c r="AA72" s="87"/>
      <x:c r="AB72" s="68"/>
      <x:c r="AC72" s="68"/>
    </x:row>
    <x:row r="73">
      <x:c r="A73" s="72" t="str">
        <x:f>IF(OR(C73="",D73=""),"",B73&amp;"-"&amp;UPPER(C73)&amp;"-"&amp;TEXT(D73,"0000")&amp;"-"&amp;E73)</x:f>
      </x:c>
      <x:c r="B73" s="74" t="str">
        <x:v>M20</x:v>
      </x:c>
      <x:c r="C73" s="74"/>
      <x:c r="D73" s="79"/>
      <x:c r="E73" s="74" t="str">
        <x:v>V1.0</x:v>
      </x:c>
      <x:c r="F73" s="68"/>
      <x:c r="G73" s="68"/>
      <x:c r="H73" s="82"/>
      <x:c r="I73" s="68"/>
      <x:c r="J73" s="68"/>
      <x:c r="K73" s="82"/>
      <x:c r="L73" s="68"/>
      <x:c r="M73" s="68"/>
      <x:c r="N73" s="68"/>
      <x:c r="O73" s="68"/>
      <x:c r="P73" s="68"/>
      <x:c r="Q73" s="68"/>
      <x:c r="R73" s="68"/>
      <x:c r="S73" s="68"/>
      <x:c r="T73" s="82"/>
      <x:c r="U73" s="68"/>
      <x:c r="V73" s="68"/>
      <x:c r="W73" s="68"/>
      <x:c r="X73" s="82"/>
      <x:c r="Y73" s="68"/>
      <x:c r="Z73" s="68"/>
      <x:c r="AA73" s="87"/>
      <x:c r="AB73" s="68"/>
      <x:c r="AC73" s="68"/>
    </x:row>
    <x:row r="74">
      <x:c r="A74" s="72" t="str">
        <x:f>IF(OR(C74="",D74=""),"",B74&amp;"-"&amp;UPPER(C74)&amp;"-"&amp;TEXT(D74,"0000")&amp;"-"&amp;E74)</x:f>
      </x:c>
      <x:c r="B74" s="74" t="str">
        <x:v>M20</x:v>
      </x:c>
      <x:c r="C74" s="74"/>
      <x:c r="D74" s="79"/>
      <x:c r="E74" s="74" t="str">
        <x:v>V1.0</x:v>
      </x:c>
      <x:c r="F74" s="68"/>
      <x:c r="G74" s="68"/>
      <x:c r="H74" s="82"/>
      <x:c r="I74" s="68"/>
      <x:c r="J74" s="68"/>
      <x:c r="K74" s="82"/>
      <x:c r="L74" s="68"/>
      <x:c r="M74" s="68"/>
      <x:c r="N74" s="68"/>
      <x:c r="O74" s="68"/>
      <x:c r="P74" s="68"/>
      <x:c r="Q74" s="68"/>
      <x:c r="R74" s="68"/>
      <x:c r="S74" s="68"/>
      <x:c r="T74" s="82"/>
      <x:c r="U74" s="68"/>
      <x:c r="V74" s="68"/>
      <x:c r="W74" s="68"/>
      <x:c r="X74" s="82"/>
      <x:c r="Y74" s="68"/>
      <x:c r="Z74" s="68"/>
      <x:c r="AA74" s="87"/>
      <x:c r="AB74" s="68"/>
      <x:c r="AC74" s="68"/>
    </x:row>
    <x:row r="75">
      <x:c r="A75" s="72" t="str">
        <x:f>IF(OR(C75="",D75=""),"",B75&amp;"-"&amp;UPPER(C75)&amp;"-"&amp;TEXT(D75,"0000")&amp;"-"&amp;E75)</x:f>
      </x:c>
      <x:c r="B75" s="74" t="str">
        <x:v>M20</x:v>
      </x:c>
      <x:c r="C75" s="74"/>
      <x:c r="D75" s="79"/>
      <x:c r="E75" s="74" t="str">
        <x:v>V1.0</x:v>
      </x:c>
      <x:c r="F75" s="68"/>
      <x:c r="G75" s="68"/>
      <x:c r="H75" s="82"/>
      <x:c r="I75" s="68"/>
      <x:c r="J75" s="68"/>
      <x:c r="K75" s="82"/>
      <x:c r="L75" s="68"/>
      <x:c r="M75" s="68"/>
      <x:c r="N75" s="68"/>
      <x:c r="O75" s="68"/>
      <x:c r="P75" s="68"/>
      <x:c r="Q75" s="68"/>
      <x:c r="R75" s="68"/>
      <x:c r="S75" s="68"/>
      <x:c r="T75" s="82"/>
      <x:c r="U75" s="68"/>
      <x:c r="V75" s="68"/>
      <x:c r="W75" s="68"/>
      <x:c r="X75" s="82"/>
      <x:c r="Y75" s="68"/>
      <x:c r="Z75" s="68"/>
      <x:c r="AA75" s="87"/>
      <x:c r="AB75" s="68"/>
      <x:c r="AC75" s="68"/>
    </x:row>
    <x:row r="76">
      <x:c r="A76" s="72" t="str">
        <x:f>IF(OR(C76="",D76=""),"",B76&amp;"-"&amp;UPPER(C76)&amp;"-"&amp;TEXT(D76,"0000")&amp;"-"&amp;E76)</x:f>
      </x:c>
      <x:c r="B76" s="74" t="str">
        <x:v>M20</x:v>
      </x:c>
      <x:c r="C76" s="74"/>
      <x:c r="D76" s="79"/>
      <x:c r="E76" s="74" t="str">
        <x:v>V1.0</x:v>
      </x:c>
      <x:c r="F76" s="68"/>
      <x:c r="G76" s="68"/>
      <x:c r="H76" s="82"/>
      <x:c r="I76" s="68"/>
      <x:c r="J76" s="68"/>
      <x:c r="K76" s="82"/>
      <x:c r="L76" s="68"/>
      <x:c r="M76" s="68"/>
      <x:c r="N76" s="68"/>
      <x:c r="O76" s="68"/>
      <x:c r="P76" s="68"/>
      <x:c r="Q76" s="68"/>
      <x:c r="R76" s="68"/>
      <x:c r="S76" s="68"/>
      <x:c r="T76" s="82"/>
      <x:c r="U76" s="68"/>
      <x:c r="V76" s="68"/>
      <x:c r="W76" s="68"/>
      <x:c r="X76" s="82"/>
      <x:c r="Y76" s="68"/>
      <x:c r="Z76" s="68"/>
      <x:c r="AA76" s="87"/>
      <x:c r="AB76" s="68"/>
      <x:c r="AC76" s="68"/>
    </x:row>
    <x:row r="77">
      <x:c r="A77" s="72" t="str">
        <x:f>IF(OR(C77="",D77=""),"",B77&amp;"-"&amp;UPPER(C77)&amp;"-"&amp;TEXT(D77,"0000")&amp;"-"&amp;E77)</x:f>
      </x:c>
      <x:c r="B77" s="74" t="str">
        <x:v>M20</x:v>
      </x:c>
      <x:c r="C77" s="74"/>
      <x:c r="D77" s="79"/>
      <x:c r="E77" s="74" t="str">
        <x:v>V1.0</x:v>
      </x:c>
      <x:c r="F77" s="68"/>
      <x:c r="G77" s="68"/>
      <x:c r="H77" s="82"/>
      <x:c r="I77" s="68"/>
      <x:c r="J77" s="68"/>
      <x:c r="K77" s="82"/>
      <x:c r="L77" s="68"/>
      <x:c r="M77" s="68"/>
      <x:c r="N77" s="68"/>
      <x:c r="O77" s="68"/>
      <x:c r="P77" s="68"/>
      <x:c r="Q77" s="68"/>
      <x:c r="R77" s="68"/>
      <x:c r="S77" s="68"/>
      <x:c r="T77" s="82"/>
      <x:c r="U77" s="68"/>
      <x:c r="V77" s="68"/>
      <x:c r="W77" s="68"/>
      <x:c r="X77" s="82"/>
      <x:c r="Y77" s="68"/>
      <x:c r="Z77" s="68"/>
      <x:c r="AA77" s="87"/>
      <x:c r="AB77" s="68"/>
      <x:c r="AC77" s="68"/>
    </x:row>
    <x:row r="78">
      <x:c r="A78" s="72" t="str">
        <x:f>IF(OR(C78="",D78=""),"",B78&amp;"-"&amp;UPPER(C78)&amp;"-"&amp;TEXT(D78,"0000")&amp;"-"&amp;E78)</x:f>
      </x:c>
      <x:c r="B78" s="74" t="str">
        <x:v>M20</x:v>
      </x:c>
      <x:c r="C78" s="74"/>
      <x:c r="D78" s="79"/>
      <x:c r="E78" s="74" t="str">
        <x:v>V1.0</x:v>
      </x:c>
      <x:c r="F78" s="68"/>
      <x:c r="G78" s="68"/>
      <x:c r="H78" s="82"/>
      <x:c r="I78" s="68"/>
      <x:c r="J78" s="68"/>
      <x:c r="K78" s="82"/>
      <x:c r="L78" s="68"/>
      <x:c r="M78" s="68"/>
      <x:c r="N78" s="68"/>
      <x:c r="O78" s="68"/>
      <x:c r="P78" s="68"/>
      <x:c r="Q78" s="68"/>
      <x:c r="R78" s="68"/>
      <x:c r="S78" s="68"/>
      <x:c r="T78" s="82"/>
      <x:c r="U78" s="68"/>
      <x:c r="V78" s="68"/>
      <x:c r="W78" s="68"/>
      <x:c r="X78" s="82"/>
      <x:c r="Y78" s="68"/>
      <x:c r="Z78" s="68"/>
      <x:c r="AA78" s="87"/>
      <x:c r="AB78" s="68"/>
      <x:c r="AC78" s="68"/>
    </x:row>
    <x:row r="79">
      <x:c r="A79" s="72" t="str">
        <x:f>IF(OR(C79="",D79=""),"",B79&amp;"-"&amp;UPPER(C79)&amp;"-"&amp;TEXT(D79,"0000")&amp;"-"&amp;E79)</x:f>
      </x:c>
      <x:c r="B79" s="74" t="str">
        <x:v>M20</x:v>
      </x:c>
      <x:c r="C79" s="74"/>
      <x:c r="D79" s="79"/>
      <x:c r="E79" s="74" t="str">
        <x:v>V1.0</x:v>
      </x:c>
      <x:c r="F79" s="68"/>
      <x:c r="G79" s="68"/>
      <x:c r="H79" s="82"/>
      <x:c r="I79" s="68"/>
      <x:c r="J79" s="68"/>
      <x:c r="K79" s="82"/>
      <x:c r="L79" s="68"/>
      <x:c r="M79" s="68"/>
      <x:c r="N79" s="68"/>
      <x:c r="O79" s="68"/>
      <x:c r="P79" s="68"/>
      <x:c r="Q79" s="68"/>
      <x:c r="R79" s="68"/>
      <x:c r="S79" s="68"/>
      <x:c r="T79" s="82"/>
      <x:c r="U79" s="68"/>
      <x:c r="V79" s="68"/>
      <x:c r="W79" s="68"/>
      <x:c r="X79" s="82"/>
      <x:c r="Y79" s="68"/>
      <x:c r="Z79" s="68"/>
      <x:c r="AA79" s="87"/>
      <x:c r="AB79" s="68"/>
      <x:c r="AC79" s="68"/>
    </x:row>
    <x:row r="80">
      <x:c r="A80" s="72" t="str">
        <x:f>IF(OR(C80="",D80=""),"",B80&amp;"-"&amp;UPPER(C80)&amp;"-"&amp;TEXT(D80,"0000")&amp;"-"&amp;E80)</x:f>
      </x:c>
      <x:c r="B80" s="74" t="str">
        <x:v>M20</x:v>
      </x:c>
      <x:c r="C80" s="74"/>
      <x:c r="D80" s="79"/>
      <x:c r="E80" s="74" t="str">
        <x:v>V1.0</x:v>
      </x:c>
      <x:c r="F80" s="68"/>
      <x:c r="G80" s="68"/>
      <x:c r="H80" s="82"/>
      <x:c r="I80" s="68"/>
      <x:c r="J80" s="68"/>
      <x:c r="K80" s="82"/>
      <x:c r="L80" s="68"/>
      <x:c r="M80" s="68"/>
      <x:c r="N80" s="68"/>
      <x:c r="O80" s="68"/>
      <x:c r="P80" s="68"/>
      <x:c r="Q80" s="68"/>
      <x:c r="R80" s="68"/>
      <x:c r="S80" s="68"/>
      <x:c r="T80" s="82"/>
      <x:c r="U80" s="68"/>
      <x:c r="V80" s="68"/>
      <x:c r="W80" s="68"/>
      <x:c r="X80" s="82"/>
      <x:c r="Y80" s="68"/>
      <x:c r="Z80" s="68"/>
      <x:c r="AA80" s="87"/>
      <x:c r="AB80" s="68"/>
      <x:c r="AC80" s="68"/>
    </x:row>
    <x:row r="81">
      <x:c r="A81" s="72" t="str">
        <x:f>IF(OR(C81="",D81=""),"",B81&amp;"-"&amp;UPPER(C81)&amp;"-"&amp;TEXT(D81,"0000")&amp;"-"&amp;E81)</x:f>
      </x:c>
      <x:c r="B81" s="74" t="str">
        <x:v>M20</x:v>
      </x:c>
      <x:c r="C81" s="74"/>
      <x:c r="D81" s="79"/>
      <x:c r="E81" s="74" t="str">
        <x:v>V1.0</x:v>
      </x:c>
      <x:c r="F81" s="68"/>
      <x:c r="G81" s="68"/>
      <x:c r="H81" s="82"/>
      <x:c r="I81" s="68"/>
      <x:c r="J81" s="68"/>
      <x:c r="K81" s="82"/>
      <x:c r="L81" s="68"/>
      <x:c r="M81" s="68"/>
      <x:c r="N81" s="68"/>
      <x:c r="O81" s="68"/>
      <x:c r="P81" s="68"/>
      <x:c r="Q81" s="68"/>
      <x:c r="R81" s="68"/>
      <x:c r="S81" s="68"/>
      <x:c r="T81" s="82"/>
      <x:c r="U81" s="68"/>
      <x:c r="V81" s="68"/>
      <x:c r="W81" s="68"/>
      <x:c r="X81" s="82"/>
      <x:c r="Y81" s="68"/>
      <x:c r="Z81" s="68"/>
      <x:c r="AA81" s="87"/>
      <x:c r="AB81" s="68"/>
      <x:c r="AC81" s="68"/>
    </x:row>
    <x:row r="82">
      <x:c r="A82" s="72" t="str">
        <x:f>IF(OR(C82="",D82=""),"",B82&amp;"-"&amp;UPPER(C82)&amp;"-"&amp;TEXT(D82,"0000")&amp;"-"&amp;E82)</x:f>
      </x:c>
      <x:c r="B82" s="74" t="str">
        <x:v>M20</x:v>
      </x:c>
      <x:c r="C82" s="74"/>
      <x:c r="D82" s="79"/>
      <x:c r="E82" s="74" t="str">
        <x:v>V1.0</x:v>
      </x:c>
      <x:c r="F82" s="68"/>
      <x:c r="G82" s="68"/>
      <x:c r="H82" s="82"/>
      <x:c r="I82" s="68"/>
      <x:c r="J82" s="68"/>
      <x:c r="K82" s="82"/>
      <x:c r="L82" s="68"/>
      <x:c r="M82" s="68"/>
      <x:c r="N82" s="68"/>
      <x:c r="O82" s="68"/>
      <x:c r="P82" s="68"/>
      <x:c r="Q82" s="68"/>
      <x:c r="R82" s="68"/>
      <x:c r="S82" s="68"/>
      <x:c r="T82" s="82"/>
      <x:c r="U82" s="68"/>
      <x:c r="V82" s="68"/>
      <x:c r="W82" s="68"/>
      <x:c r="X82" s="82"/>
      <x:c r="Y82" s="68"/>
      <x:c r="Z82" s="68"/>
      <x:c r="AA82" s="87"/>
      <x:c r="AB82" s="68"/>
      <x:c r="AC82" s="68"/>
    </x:row>
    <x:row r="83">
      <x:c r="A83" s="72" t="str">
        <x:f>IF(OR(C83="",D83=""),"",B83&amp;"-"&amp;UPPER(C83)&amp;"-"&amp;TEXT(D83,"0000")&amp;"-"&amp;E83)</x:f>
      </x:c>
      <x:c r="B83" s="74" t="str">
        <x:v>M20</x:v>
      </x:c>
      <x:c r="C83" s="74"/>
      <x:c r="D83" s="79"/>
      <x:c r="E83" s="74" t="str">
        <x:v>V1.0</x:v>
      </x:c>
      <x:c r="F83" s="68"/>
      <x:c r="G83" s="68"/>
      <x:c r="H83" s="82"/>
      <x:c r="I83" s="68"/>
      <x:c r="J83" s="68"/>
      <x:c r="K83" s="82"/>
      <x:c r="L83" s="68"/>
      <x:c r="M83" s="68"/>
      <x:c r="N83" s="68"/>
      <x:c r="O83" s="68"/>
      <x:c r="P83" s="68"/>
      <x:c r="Q83" s="68"/>
      <x:c r="R83" s="68"/>
      <x:c r="S83" s="68"/>
      <x:c r="T83" s="82"/>
      <x:c r="U83" s="68"/>
      <x:c r="V83" s="68"/>
      <x:c r="W83" s="68"/>
      <x:c r="X83" s="82"/>
      <x:c r="Y83" s="68"/>
      <x:c r="Z83" s="68"/>
      <x:c r="AA83" s="87"/>
      <x:c r="AB83" s="68"/>
      <x:c r="AC83" s="68"/>
    </x:row>
    <x:row r="84">
      <x:c r="A84" s="72" t="str">
        <x:f>IF(OR(C84="",D84=""),"",B84&amp;"-"&amp;UPPER(C84)&amp;"-"&amp;TEXT(D84,"0000")&amp;"-"&amp;E84)</x:f>
      </x:c>
      <x:c r="B84" s="74" t="str">
        <x:v>M20</x:v>
      </x:c>
      <x:c r="C84" s="74"/>
      <x:c r="D84" s="79"/>
      <x:c r="E84" s="74" t="str">
        <x:v>V1.0</x:v>
      </x:c>
      <x:c r="F84" s="68"/>
      <x:c r="G84" s="68"/>
      <x:c r="H84" s="82"/>
      <x:c r="I84" s="68"/>
      <x:c r="J84" s="68"/>
      <x:c r="K84" s="82"/>
      <x:c r="L84" s="68"/>
      <x:c r="M84" s="68"/>
      <x:c r="N84" s="68"/>
      <x:c r="O84" s="68"/>
      <x:c r="P84" s="68"/>
      <x:c r="Q84" s="68"/>
      <x:c r="R84" s="68"/>
      <x:c r="S84" s="68"/>
      <x:c r="T84" s="82"/>
      <x:c r="U84" s="68"/>
      <x:c r="V84" s="68"/>
      <x:c r="W84" s="68"/>
      <x:c r="X84" s="82"/>
      <x:c r="Y84" s="68"/>
      <x:c r="Z84" s="68"/>
      <x:c r="AA84" s="87"/>
      <x:c r="AB84" s="68"/>
      <x:c r="AC84" s="68"/>
    </x:row>
    <x:row r="85">
      <x:c r="A85" s="72" t="str">
        <x:f>IF(OR(C85="",D85=""),"",B85&amp;"-"&amp;UPPER(C85)&amp;"-"&amp;TEXT(D85,"0000")&amp;"-"&amp;E85)</x:f>
      </x:c>
      <x:c r="B85" s="74" t="str">
        <x:v>M20</x:v>
      </x:c>
      <x:c r="C85" s="74"/>
      <x:c r="D85" s="79"/>
      <x:c r="E85" s="74" t="str">
        <x:v>V1.0</x:v>
      </x:c>
      <x:c r="F85" s="68"/>
      <x:c r="G85" s="68"/>
      <x:c r="H85" s="82"/>
      <x:c r="I85" s="68"/>
      <x:c r="J85" s="68"/>
      <x:c r="K85" s="82"/>
      <x:c r="L85" s="68"/>
      <x:c r="M85" s="68"/>
      <x:c r="N85" s="68"/>
      <x:c r="O85" s="68"/>
      <x:c r="P85" s="68"/>
      <x:c r="Q85" s="68"/>
      <x:c r="R85" s="68"/>
      <x:c r="S85" s="68"/>
      <x:c r="T85" s="82"/>
      <x:c r="U85" s="68"/>
      <x:c r="V85" s="68"/>
      <x:c r="W85" s="68"/>
      <x:c r="X85" s="82"/>
      <x:c r="Y85" s="68"/>
      <x:c r="Z85" s="68"/>
      <x:c r="AA85" s="87"/>
      <x:c r="AB85" s="68"/>
      <x:c r="AC85" s="68"/>
    </x:row>
    <x:row r="86">
      <x:c r="A86" s="72" t="str">
        <x:f>IF(OR(C86="",D86=""),"",B86&amp;"-"&amp;UPPER(C86)&amp;"-"&amp;TEXT(D86,"0000")&amp;"-"&amp;E86)</x:f>
      </x:c>
      <x:c r="B86" s="74" t="str">
        <x:v>M20</x:v>
      </x:c>
      <x:c r="C86" s="74"/>
      <x:c r="D86" s="79"/>
      <x:c r="E86" s="74" t="str">
        <x:v>V1.0</x:v>
      </x:c>
      <x:c r="F86" s="68"/>
      <x:c r="G86" s="68"/>
      <x:c r="H86" s="82"/>
      <x:c r="I86" s="68"/>
      <x:c r="J86" s="68"/>
      <x:c r="K86" s="82"/>
      <x:c r="L86" s="68"/>
      <x:c r="M86" s="68"/>
      <x:c r="N86" s="68"/>
      <x:c r="O86" s="68"/>
      <x:c r="P86" s="68"/>
      <x:c r="Q86" s="68"/>
      <x:c r="R86" s="68"/>
      <x:c r="S86" s="68"/>
      <x:c r="T86" s="82"/>
      <x:c r="U86" s="68"/>
      <x:c r="V86" s="68"/>
      <x:c r="W86" s="68"/>
      <x:c r="X86" s="82"/>
      <x:c r="Y86" s="68"/>
      <x:c r="Z86" s="68"/>
      <x:c r="AA86" s="87"/>
      <x:c r="AB86" s="68"/>
      <x:c r="AC86" s="68"/>
    </x:row>
    <x:row r="87">
      <x:c r="A87" s="72" t="str">
        <x:f>IF(OR(C87="",D87=""),"",B87&amp;"-"&amp;UPPER(C87)&amp;"-"&amp;TEXT(D87,"0000")&amp;"-"&amp;E87)</x:f>
      </x:c>
      <x:c r="B87" s="74" t="str">
        <x:v>M20</x:v>
      </x:c>
      <x:c r="C87" s="74"/>
      <x:c r="D87" s="79"/>
      <x:c r="E87" s="74" t="str">
        <x:v>V1.0</x:v>
      </x:c>
      <x:c r="F87" s="68"/>
      <x:c r="G87" s="68"/>
      <x:c r="H87" s="82"/>
      <x:c r="I87" s="68"/>
      <x:c r="J87" s="68"/>
      <x:c r="K87" s="82"/>
      <x:c r="L87" s="68"/>
      <x:c r="M87" s="68"/>
      <x:c r="N87" s="68"/>
      <x:c r="O87" s="68"/>
      <x:c r="P87" s="68"/>
      <x:c r="Q87" s="68"/>
      <x:c r="R87" s="68"/>
      <x:c r="S87" s="68"/>
      <x:c r="T87" s="82"/>
      <x:c r="U87" s="68"/>
      <x:c r="V87" s="68"/>
      <x:c r="W87" s="68"/>
      <x:c r="X87" s="82"/>
      <x:c r="Y87" s="68"/>
      <x:c r="Z87" s="68"/>
      <x:c r="AA87" s="87"/>
      <x:c r="AB87" s="68"/>
      <x:c r="AC87" s="68"/>
    </x:row>
    <x:row r="88">
      <x:c r="A88" s="72" t="str">
        <x:f>IF(OR(C88="",D88=""),"",B88&amp;"-"&amp;UPPER(C88)&amp;"-"&amp;TEXT(D88,"0000")&amp;"-"&amp;E88)</x:f>
      </x:c>
      <x:c r="B88" s="74" t="str">
        <x:v>M20</x:v>
      </x:c>
      <x:c r="C88" s="74"/>
      <x:c r="D88" s="79"/>
      <x:c r="E88" s="74" t="str">
        <x:v>V1.0</x:v>
      </x:c>
      <x:c r="F88" s="68"/>
      <x:c r="G88" s="68"/>
      <x:c r="H88" s="82"/>
      <x:c r="I88" s="68"/>
      <x:c r="J88" s="68"/>
      <x:c r="K88" s="82"/>
      <x:c r="L88" s="68"/>
      <x:c r="M88" s="68"/>
      <x:c r="N88" s="68"/>
      <x:c r="O88" s="68"/>
      <x:c r="P88" s="68"/>
      <x:c r="Q88" s="68"/>
      <x:c r="R88" s="68"/>
      <x:c r="S88" s="68"/>
      <x:c r="T88" s="82"/>
      <x:c r="U88" s="68"/>
      <x:c r="V88" s="68"/>
      <x:c r="W88" s="68"/>
      <x:c r="X88" s="82"/>
      <x:c r="Y88" s="68"/>
      <x:c r="Z88" s="68"/>
      <x:c r="AA88" s="87"/>
      <x:c r="AB88" s="68"/>
      <x:c r="AC88" s="68"/>
    </x:row>
    <x:row r="89">
      <x:c r="A89" s="72" t="str">
        <x:f>IF(OR(C89="",D89=""),"",B89&amp;"-"&amp;UPPER(C89)&amp;"-"&amp;TEXT(D89,"0000")&amp;"-"&amp;E89)</x:f>
      </x:c>
      <x:c r="B89" s="74" t="str">
        <x:v>M20</x:v>
      </x:c>
      <x:c r="C89" s="74"/>
      <x:c r="D89" s="79"/>
      <x:c r="E89" s="74" t="str">
        <x:v>V1.0</x:v>
      </x:c>
      <x:c r="F89" s="68"/>
      <x:c r="G89" s="68"/>
      <x:c r="H89" s="82"/>
      <x:c r="I89" s="68"/>
      <x:c r="J89" s="68"/>
      <x:c r="K89" s="82"/>
      <x:c r="L89" s="68"/>
      <x:c r="M89" s="68"/>
      <x:c r="N89" s="68"/>
      <x:c r="O89" s="68"/>
      <x:c r="P89" s="68"/>
      <x:c r="Q89" s="68"/>
      <x:c r="R89" s="68"/>
      <x:c r="S89" s="68"/>
      <x:c r="T89" s="82"/>
      <x:c r="U89" s="68"/>
      <x:c r="V89" s="68"/>
      <x:c r="W89" s="68"/>
      <x:c r="X89" s="82"/>
      <x:c r="Y89" s="68"/>
      <x:c r="Z89" s="68"/>
      <x:c r="AA89" s="87"/>
      <x:c r="AB89" s="68"/>
      <x:c r="AC89" s="68"/>
    </x:row>
    <x:row r="90">
      <x:c r="A90" s="72" t="str">
        <x:f>IF(OR(C90="",D90=""),"",B90&amp;"-"&amp;UPPER(C90)&amp;"-"&amp;TEXT(D90,"0000")&amp;"-"&amp;E90)</x:f>
      </x:c>
      <x:c r="B90" s="74" t="str">
        <x:v>M20</x:v>
      </x:c>
      <x:c r="C90" s="74"/>
      <x:c r="D90" s="79"/>
      <x:c r="E90" s="74" t="str">
        <x:v>V1.0</x:v>
      </x:c>
      <x:c r="F90" s="68"/>
      <x:c r="G90" s="68"/>
      <x:c r="H90" s="82"/>
      <x:c r="I90" s="68"/>
      <x:c r="J90" s="68"/>
      <x:c r="K90" s="82"/>
      <x:c r="L90" s="68"/>
      <x:c r="M90" s="68"/>
      <x:c r="N90" s="68"/>
      <x:c r="O90" s="68"/>
      <x:c r="P90" s="68"/>
      <x:c r="Q90" s="68"/>
      <x:c r="R90" s="68"/>
      <x:c r="S90" s="68"/>
      <x:c r="T90" s="82"/>
      <x:c r="U90" s="68"/>
      <x:c r="V90" s="68"/>
      <x:c r="W90" s="68"/>
      <x:c r="X90" s="82"/>
      <x:c r="Y90" s="68"/>
      <x:c r="Z90" s="68"/>
      <x:c r="AA90" s="87"/>
      <x:c r="AB90" s="68"/>
      <x:c r="AC90" s="68"/>
    </x:row>
    <x:row r="91">
      <x:c r="A91" s="72" t="str">
        <x:f>IF(OR(C91="",D91=""),"",B91&amp;"-"&amp;UPPER(C91)&amp;"-"&amp;TEXT(D91,"0000")&amp;"-"&amp;E91)</x:f>
      </x:c>
      <x:c r="B91" s="74" t="str">
        <x:v>M20</x:v>
      </x:c>
      <x:c r="C91" s="74"/>
      <x:c r="D91" s="79"/>
      <x:c r="E91" s="74" t="str">
        <x:v>V1.0</x:v>
      </x:c>
      <x:c r="F91" s="68"/>
      <x:c r="G91" s="68"/>
      <x:c r="H91" s="82"/>
      <x:c r="I91" s="68"/>
      <x:c r="J91" s="68"/>
      <x:c r="K91" s="82"/>
      <x:c r="L91" s="68"/>
      <x:c r="M91" s="68"/>
      <x:c r="N91" s="68"/>
      <x:c r="O91" s="68"/>
      <x:c r="P91" s="68"/>
      <x:c r="Q91" s="68"/>
      <x:c r="R91" s="68"/>
      <x:c r="S91" s="68"/>
      <x:c r="T91" s="82"/>
      <x:c r="U91" s="68"/>
      <x:c r="V91" s="68"/>
      <x:c r="W91" s="68"/>
      <x:c r="X91" s="82"/>
      <x:c r="Y91" s="68"/>
      <x:c r="Z91" s="68"/>
      <x:c r="AA91" s="87"/>
      <x:c r="AB91" s="68"/>
      <x:c r="AC91" s="68"/>
    </x:row>
    <x:row r="92">
      <x:c r="A92" s="72" t="str">
        <x:f>IF(OR(C92="",D92=""),"",B92&amp;"-"&amp;UPPER(C92)&amp;"-"&amp;TEXT(D92,"0000")&amp;"-"&amp;E92)</x:f>
      </x:c>
      <x:c r="B92" s="74" t="str">
        <x:v>M20</x:v>
      </x:c>
      <x:c r="C92" s="74"/>
      <x:c r="D92" s="79"/>
      <x:c r="E92" s="74" t="str">
        <x:v>V1.0</x:v>
      </x:c>
      <x:c r="F92" s="68"/>
      <x:c r="G92" s="68"/>
      <x:c r="H92" s="82"/>
      <x:c r="I92" s="68"/>
      <x:c r="J92" s="68"/>
      <x:c r="K92" s="82"/>
      <x:c r="L92" s="68"/>
      <x:c r="M92" s="68"/>
      <x:c r="N92" s="68"/>
      <x:c r="O92" s="68"/>
      <x:c r="P92" s="68"/>
      <x:c r="Q92" s="68"/>
      <x:c r="R92" s="68"/>
      <x:c r="S92" s="68"/>
      <x:c r="T92" s="82"/>
      <x:c r="U92" s="68"/>
      <x:c r="V92" s="68"/>
      <x:c r="W92" s="68"/>
      <x:c r="X92" s="82"/>
      <x:c r="Y92" s="68"/>
      <x:c r="Z92" s="68"/>
      <x:c r="AA92" s="87"/>
      <x:c r="AB92" s="68"/>
      <x:c r="AC92" s="68"/>
    </x:row>
    <x:row r="93">
      <x:c r="A93" s="72" t="str">
        <x:f>IF(OR(C93="",D93=""),"",B93&amp;"-"&amp;UPPER(C93)&amp;"-"&amp;TEXT(D93,"0000")&amp;"-"&amp;E93)</x:f>
      </x:c>
      <x:c r="B93" s="74" t="str">
        <x:v>M20</x:v>
      </x:c>
      <x:c r="C93" s="74"/>
      <x:c r="D93" s="79"/>
      <x:c r="E93" s="74" t="str">
        <x:v>V1.0</x:v>
      </x:c>
      <x:c r="F93" s="68"/>
      <x:c r="G93" s="68"/>
      <x:c r="H93" s="82"/>
      <x:c r="I93" s="68"/>
      <x:c r="J93" s="68"/>
      <x:c r="K93" s="82"/>
      <x:c r="L93" s="68"/>
      <x:c r="M93" s="68"/>
      <x:c r="N93" s="68"/>
      <x:c r="O93" s="68"/>
      <x:c r="P93" s="68"/>
      <x:c r="Q93" s="68"/>
      <x:c r="R93" s="68"/>
      <x:c r="S93" s="68"/>
      <x:c r="T93" s="82"/>
      <x:c r="U93" s="68"/>
      <x:c r="V93" s="68"/>
      <x:c r="W93" s="68"/>
      <x:c r="X93" s="82"/>
      <x:c r="Y93" s="68"/>
      <x:c r="Z93" s="68"/>
      <x:c r="AA93" s="87"/>
      <x:c r="AB93" s="68"/>
      <x:c r="AC93" s="68"/>
    </x:row>
    <x:row r="94">
      <x:c r="A94" s="72" t="str">
        <x:f>IF(OR(C94="",D94=""),"",B94&amp;"-"&amp;UPPER(C94)&amp;"-"&amp;TEXT(D94,"0000")&amp;"-"&amp;E94)</x:f>
      </x:c>
      <x:c r="B94" s="74" t="str">
        <x:v>M20</x:v>
      </x:c>
      <x:c r="C94" s="74"/>
      <x:c r="D94" s="79"/>
      <x:c r="E94" s="74" t="str">
        <x:v>V1.0</x:v>
      </x:c>
      <x:c r="F94" s="68"/>
      <x:c r="G94" s="68"/>
      <x:c r="H94" s="82"/>
      <x:c r="I94" s="68"/>
      <x:c r="J94" s="68"/>
      <x:c r="K94" s="82"/>
      <x:c r="L94" s="68"/>
      <x:c r="M94" s="68"/>
      <x:c r="N94" s="68"/>
      <x:c r="O94" s="68"/>
      <x:c r="P94" s="68"/>
      <x:c r="Q94" s="68"/>
      <x:c r="R94" s="68"/>
      <x:c r="S94" s="68"/>
      <x:c r="T94" s="82"/>
      <x:c r="U94" s="68"/>
      <x:c r="V94" s="68"/>
      <x:c r="W94" s="68"/>
      <x:c r="X94" s="82"/>
      <x:c r="Y94" s="68"/>
      <x:c r="Z94" s="68"/>
      <x:c r="AA94" s="87"/>
      <x:c r="AB94" s="68"/>
      <x:c r="AC94" s="68"/>
    </x:row>
    <x:row r="95">
      <x:c r="A95" s="72" t="str">
        <x:f>IF(OR(C95="",D95=""),"",B95&amp;"-"&amp;UPPER(C95)&amp;"-"&amp;TEXT(D95,"0000")&amp;"-"&amp;E95)</x:f>
      </x:c>
      <x:c r="B95" s="74" t="str">
        <x:v>M20</x:v>
      </x:c>
      <x:c r="C95" s="74"/>
      <x:c r="D95" s="79"/>
      <x:c r="E95" s="74" t="str">
        <x:v>V1.0</x:v>
      </x:c>
      <x:c r="F95" s="68"/>
      <x:c r="G95" s="68"/>
      <x:c r="H95" s="82"/>
      <x:c r="I95" s="68"/>
      <x:c r="J95" s="68"/>
      <x:c r="K95" s="82"/>
      <x:c r="L95" s="68"/>
      <x:c r="M95" s="68"/>
      <x:c r="N95" s="68"/>
      <x:c r="O95" s="68"/>
      <x:c r="P95" s="68"/>
      <x:c r="Q95" s="68"/>
      <x:c r="R95" s="68"/>
      <x:c r="S95" s="68"/>
      <x:c r="T95" s="82"/>
      <x:c r="U95" s="68"/>
      <x:c r="V95" s="68"/>
      <x:c r="W95" s="68"/>
      <x:c r="X95" s="82"/>
      <x:c r="Y95" s="68"/>
      <x:c r="Z95" s="68"/>
      <x:c r="AA95" s="87"/>
      <x:c r="AB95" s="68"/>
      <x:c r="AC95" s="68"/>
    </x:row>
    <x:row r="96">
      <x:c r="A96" s="72" t="str">
        <x:f>IF(OR(C96="",D96=""),"",B96&amp;"-"&amp;UPPER(C96)&amp;"-"&amp;TEXT(D96,"0000")&amp;"-"&amp;E96)</x:f>
      </x:c>
      <x:c r="B96" s="74" t="str">
        <x:v>M20</x:v>
      </x:c>
      <x:c r="C96" s="74"/>
      <x:c r="D96" s="79"/>
      <x:c r="E96" s="74" t="str">
        <x:v>V1.0</x:v>
      </x:c>
      <x:c r="F96" s="68"/>
      <x:c r="G96" s="68"/>
      <x:c r="H96" s="82"/>
      <x:c r="I96" s="68"/>
      <x:c r="J96" s="68"/>
      <x:c r="K96" s="82"/>
      <x:c r="L96" s="68"/>
      <x:c r="M96" s="68"/>
      <x:c r="N96" s="68"/>
      <x:c r="O96" s="68"/>
      <x:c r="P96" s="68"/>
      <x:c r="Q96" s="68"/>
      <x:c r="R96" s="68"/>
      <x:c r="S96" s="68"/>
      <x:c r="T96" s="82"/>
      <x:c r="U96" s="68"/>
      <x:c r="V96" s="68"/>
      <x:c r="W96" s="68"/>
      <x:c r="X96" s="82"/>
      <x:c r="Y96" s="68"/>
      <x:c r="Z96" s="68"/>
      <x:c r="AA96" s="87"/>
      <x:c r="AB96" s="68"/>
      <x:c r="AC96" s="68"/>
    </x:row>
    <x:row r="97">
      <x:c r="A97" s="72" t="str">
        <x:f>IF(OR(C97="",D97=""),"",B97&amp;"-"&amp;UPPER(C97)&amp;"-"&amp;TEXT(D97,"0000")&amp;"-"&amp;E97)</x:f>
      </x:c>
      <x:c r="B97" s="74" t="str">
        <x:v>M20</x:v>
      </x:c>
      <x:c r="C97" s="74"/>
      <x:c r="D97" s="79"/>
      <x:c r="E97" s="74" t="str">
        <x:v>V1.0</x:v>
      </x:c>
      <x:c r="F97" s="68"/>
      <x:c r="G97" s="68"/>
      <x:c r="H97" s="82"/>
      <x:c r="I97" s="68"/>
      <x:c r="J97" s="68"/>
      <x:c r="K97" s="82"/>
      <x:c r="L97" s="68"/>
      <x:c r="M97" s="68"/>
      <x:c r="N97" s="68"/>
      <x:c r="O97" s="68"/>
      <x:c r="P97" s="68"/>
      <x:c r="Q97" s="68"/>
      <x:c r="R97" s="68"/>
      <x:c r="S97" s="68"/>
      <x:c r="T97" s="82"/>
      <x:c r="U97" s="68"/>
      <x:c r="V97" s="68"/>
      <x:c r="W97" s="68"/>
      <x:c r="X97" s="82"/>
      <x:c r="Y97" s="68"/>
      <x:c r="Z97" s="68"/>
      <x:c r="AA97" s="87"/>
      <x:c r="AB97" s="68"/>
      <x:c r="AC97" s="68"/>
    </x:row>
    <x:row r="98">
      <x:c r="A98" s="72" t="str">
        <x:f>IF(OR(C98="",D98=""),"",B98&amp;"-"&amp;UPPER(C98)&amp;"-"&amp;TEXT(D98,"0000")&amp;"-"&amp;E98)</x:f>
      </x:c>
      <x:c r="B98" s="74" t="str">
        <x:v>M20</x:v>
      </x:c>
      <x:c r="C98" s="74"/>
      <x:c r="D98" s="79"/>
      <x:c r="E98" s="74" t="str">
        <x:v>V1.0</x:v>
      </x:c>
      <x:c r="F98" s="68"/>
      <x:c r="G98" s="68"/>
      <x:c r="H98" s="82"/>
      <x:c r="I98" s="68"/>
      <x:c r="J98" s="68"/>
      <x:c r="K98" s="82"/>
      <x:c r="L98" s="68"/>
      <x:c r="M98" s="68"/>
      <x:c r="N98" s="68"/>
      <x:c r="O98" s="68"/>
      <x:c r="P98" s="68"/>
      <x:c r="Q98" s="68"/>
      <x:c r="R98" s="68"/>
      <x:c r="S98" s="68"/>
      <x:c r="T98" s="82"/>
      <x:c r="U98" s="68"/>
      <x:c r="V98" s="68"/>
      <x:c r="W98" s="68"/>
      <x:c r="X98" s="82"/>
      <x:c r="Y98" s="68"/>
      <x:c r="Z98" s="68"/>
      <x:c r="AA98" s="87"/>
      <x:c r="AB98" s="68"/>
      <x:c r="AC98" s="68"/>
    </x:row>
    <x:row r="99">
      <x:c r="A99" s="72" t="str">
        <x:f>IF(OR(C99="",D99=""),"",B99&amp;"-"&amp;UPPER(C99)&amp;"-"&amp;TEXT(D99,"0000")&amp;"-"&amp;E99)</x:f>
      </x:c>
      <x:c r="B99" s="74" t="str">
        <x:v>M20</x:v>
      </x:c>
      <x:c r="C99" s="74"/>
      <x:c r="D99" s="79"/>
      <x:c r="E99" s="74" t="str">
        <x:v>V1.0</x:v>
      </x:c>
      <x:c r="F99" s="68"/>
      <x:c r="G99" s="68"/>
      <x:c r="H99" s="82"/>
      <x:c r="I99" s="68"/>
      <x:c r="J99" s="68"/>
      <x:c r="K99" s="82"/>
      <x:c r="L99" s="68"/>
      <x:c r="M99" s="68"/>
      <x:c r="N99" s="68"/>
      <x:c r="O99" s="68"/>
      <x:c r="P99" s="68"/>
      <x:c r="Q99" s="68"/>
      <x:c r="R99" s="68"/>
      <x:c r="S99" s="68"/>
      <x:c r="T99" s="82"/>
      <x:c r="U99" s="68"/>
      <x:c r="V99" s="68"/>
      <x:c r="W99" s="68"/>
      <x:c r="X99" s="82"/>
      <x:c r="Y99" s="68"/>
      <x:c r="Z99" s="68"/>
      <x:c r="AA99" s="87"/>
      <x:c r="AB99" s="68"/>
      <x:c r="AC99" s="68"/>
    </x:row>
    <x:row r="100">
      <x:c r="A100" s="72" t="str">
        <x:f>IF(OR(C100="",D100=""),"",B100&amp;"-"&amp;UPPER(C100)&amp;"-"&amp;TEXT(D100,"0000")&amp;"-"&amp;E100)</x:f>
      </x:c>
      <x:c r="B100" s="74" t="str">
        <x:v>M20</x:v>
      </x:c>
      <x:c r="C100" s="74"/>
      <x:c r="D100" s="79"/>
      <x:c r="E100" s="74" t="str">
        <x:v>V1.0</x:v>
      </x:c>
      <x:c r="F100" s="68"/>
      <x:c r="G100" s="68"/>
      <x:c r="H100" s="82"/>
      <x:c r="I100" s="68"/>
      <x:c r="J100" s="68"/>
      <x:c r="K100" s="82"/>
      <x:c r="L100" s="68"/>
      <x:c r="M100" s="68"/>
      <x:c r="N100" s="68"/>
      <x:c r="O100" s="68"/>
      <x:c r="P100" s="68"/>
      <x:c r="Q100" s="68"/>
      <x:c r="R100" s="68"/>
      <x:c r="S100" s="68"/>
      <x:c r="T100" s="82"/>
      <x:c r="U100" s="68"/>
      <x:c r="V100" s="68"/>
      <x:c r="W100" s="68"/>
      <x:c r="X100" s="82"/>
      <x:c r="Y100" s="68"/>
      <x:c r="Z100" s="68"/>
      <x:c r="AA100" s="87"/>
      <x:c r="AB100" s="68"/>
      <x:c r="AC100" s="68"/>
    </x:row>
    <x:row r="101">
      <x:c r="A101" s="72" t="str">
        <x:f>IF(OR(C101="",D101=""),"",B101&amp;"-"&amp;UPPER(C101)&amp;"-"&amp;TEXT(D101,"0000")&amp;"-"&amp;E101)</x:f>
      </x:c>
      <x:c r="B101" s="74" t="str">
        <x:v>M20</x:v>
      </x:c>
      <x:c r="C101" s="74"/>
      <x:c r="D101" s="79"/>
      <x:c r="E101" s="74" t="str">
        <x:v>V1.0</x:v>
      </x:c>
      <x:c r="F101" s="68"/>
      <x:c r="G101" s="68"/>
      <x:c r="H101" s="82"/>
      <x:c r="I101" s="68"/>
      <x:c r="J101" s="68"/>
      <x:c r="K101" s="82"/>
      <x:c r="L101" s="68"/>
      <x:c r="M101" s="68"/>
      <x:c r="N101" s="68"/>
      <x:c r="O101" s="68"/>
      <x:c r="P101" s="68"/>
      <x:c r="Q101" s="68"/>
      <x:c r="R101" s="68"/>
      <x:c r="S101" s="68"/>
      <x:c r="T101" s="82"/>
      <x:c r="U101" s="68"/>
      <x:c r="V101" s="68"/>
      <x:c r="W101" s="68"/>
      <x:c r="X101" s="82"/>
      <x:c r="Y101" s="68"/>
      <x:c r="Z101" s="68"/>
      <x:c r="AA101" s="87"/>
      <x:c r="AB101" s="68"/>
      <x:c r="AC101" s="68"/>
    </x:row>
    <x:row r="102">
      <x:c r="A102" s="72" t="str">
        <x:f>IF(OR(C102="",D102=""),"",B102&amp;"-"&amp;UPPER(C102)&amp;"-"&amp;TEXT(D102,"0000")&amp;"-"&amp;E102)</x:f>
      </x:c>
      <x:c r="B102" s="74" t="str">
        <x:v>M20</x:v>
      </x:c>
      <x:c r="C102" s="74"/>
      <x:c r="D102" s="79"/>
      <x:c r="E102" s="74" t="str">
        <x:v>V1.0</x:v>
      </x:c>
      <x:c r="F102" s="68"/>
      <x:c r="G102" s="68"/>
      <x:c r="H102" s="82"/>
      <x:c r="I102" s="68"/>
      <x:c r="J102" s="68"/>
      <x:c r="K102" s="82"/>
      <x:c r="L102" s="68"/>
      <x:c r="M102" s="68"/>
      <x:c r="N102" s="68"/>
      <x:c r="O102" s="68"/>
      <x:c r="P102" s="68"/>
      <x:c r="Q102" s="68"/>
      <x:c r="R102" s="68"/>
      <x:c r="S102" s="68"/>
      <x:c r="T102" s="82"/>
      <x:c r="U102" s="68"/>
      <x:c r="V102" s="68"/>
      <x:c r="W102" s="68"/>
      <x:c r="X102" s="82"/>
      <x:c r="Y102" s="68"/>
      <x:c r="Z102" s="68"/>
      <x:c r="AA102" s="87"/>
      <x:c r="AB102" s="68"/>
      <x:c r="AC102" s="68"/>
    </x:row>
    <x:row r="103">
      <x:c r="A103" s="72" t="str">
        <x:f>IF(OR(C103="",D103=""),"",B103&amp;"-"&amp;UPPER(C103)&amp;"-"&amp;TEXT(D103,"0000")&amp;"-"&amp;E103)</x:f>
      </x:c>
      <x:c r="B103" s="74" t="str">
        <x:v>M20</x:v>
      </x:c>
      <x:c r="C103" s="74"/>
      <x:c r="D103" s="79"/>
      <x:c r="E103" s="74" t="str">
        <x:v>V1.0</x:v>
      </x:c>
      <x:c r="F103" s="68"/>
      <x:c r="G103" s="68"/>
      <x:c r="H103" s="82"/>
      <x:c r="I103" s="68"/>
      <x:c r="J103" s="68"/>
      <x:c r="K103" s="82"/>
      <x:c r="L103" s="68"/>
      <x:c r="M103" s="68"/>
      <x:c r="N103" s="68"/>
      <x:c r="O103" s="68"/>
      <x:c r="P103" s="68"/>
      <x:c r="Q103" s="68"/>
      <x:c r="R103" s="68"/>
      <x:c r="S103" s="68"/>
      <x:c r="T103" s="82"/>
      <x:c r="U103" s="68"/>
      <x:c r="V103" s="68"/>
      <x:c r="W103" s="68"/>
      <x:c r="X103" s="82"/>
      <x:c r="Y103" s="68"/>
      <x:c r="Z103" s="68"/>
      <x:c r="AA103" s="87"/>
      <x:c r="AB103" s="68"/>
      <x:c r="AC103" s="68"/>
    </x:row>
    <x:row r="104">
      <x:c r="A104" s="72" t="str">
        <x:f>IF(OR(C104="",D104=""),"",B104&amp;"-"&amp;UPPER(C104)&amp;"-"&amp;TEXT(D104,"0000")&amp;"-"&amp;E104)</x:f>
      </x:c>
      <x:c r="B104" s="74" t="str">
        <x:v>M20</x:v>
      </x:c>
      <x:c r="C104" s="74"/>
      <x:c r="D104" s="79"/>
      <x:c r="E104" s="74" t="str">
        <x:v>V1.0</x:v>
      </x:c>
      <x:c r="F104" s="68"/>
      <x:c r="G104" s="68"/>
      <x:c r="H104" s="82"/>
      <x:c r="I104" s="68"/>
      <x:c r="J104" s="68"/>
      <x:c r="K104" s="82"/>
      <x:c r="L104" s="68"/>
      <x:c r="M104" s="68"/>
      <x:c r="N104" s="68"/>
      <x:c r="O104" s="68"/>
      <x:c r="P104" s="68"/>
      <x:c r="Q104" s="68"/>
      <x:c r="R104" s="68"/>
      <x:c r="S104" s="68"/>
      <x:c r="T104" s="82"/>
      <x:c r="U104" s="68"/>
      <x:c r="V104" s="68"/>
      <x:c r="W104" s="68"/>
      <x:c r="X104" s="82"/>
      <x:c r="Y104" s="68"/>
      <x:c r="Z104" s="68"/>
      <x:c r="AA104" s="87"/>
      <x:c r="AB104" s="68"/>
      <x:c r="AC104" s="68"/>
    </x:row>
    <x:row r="105">
      <x:c r="A105" s="72" t="str">
        <x:f>IF(OR(C105="",D105=""),"",B105&amp;"-"&amp;UPPER(C105)&amp;"-"&amp;TEXT(D105,"0000")&amp;"-"&amp;E105)</x:f>
      </x:c>
      <x:c r="B105" s="74" t="str">
        <x:v>M20</x:v>
      </x:c>
      <x:c r="C105" s="74"/>
      <x:c r="D105" s="79"/>
      <x:c r="E105" s="74" t="str">
        <x:v>V1.0</x:v>
      </x:c>
      <x:c r="F105" s="68"/>
      <x:c r="G105" s="68"/>
      <x:c r="H105" s="82"/>
      <x:c r="I105" s="68"/>
      <x:c r="J105" s="68"/>
      <x:c r="K105" s="82"/>
      <x:c r="L105" s="68"/>
      <x:c r="M105" s="68"/>
      <x:c r="N105" s="68"/>
      <x:c r="O105" s="68"/>
      <x:c r="P105" s="68"/>
      <x:c r="Q105" s="68"/>
      <x:c r="R105" s="68"/>
      <x:c r="S105" s="68"/>
      <x:c r="T105" s="82"/>
      <x:c r="U105" s="68"/>
      <x:c r="V105" s="68"/>
      <x:c r="W105" s="68"/>
      <x:c r="X105" s="82"/>
      <x:c r="Y105" s="68"/>
      <x:c r="Z105" s="68"/>
      <x:c r="AA105" s="87"/>
      <x:c r="AB105" s="68"/>
      <x:c r="AC105" s="68"/>
    </x:row>
  </x:sheetData>
  <x:mergeCells>
    <x:mergeCell ref="A1:O1"/>
    <x:mergeCell ref="A2:O2"/>
    <x:mergeCell ref="A3:O3"/>
    <x:mergeCell ref="A4:O4"/>
  </x:mergeCells>
  <x:conditionalFormatting sqref="A6:A105">
    <x:cfRule type="expression" dxfId="18" priority="1">
      <x:formula>AND(A6&lt;&gt;"",COUNTIF($A$6:$A$105,A6)&gt;1)</x:formula>
    </x:cfRule>
  </x:conditionalFormatting>
  <x:dataValidations count="7">
    <x:dataValidation type="list" sqref="E6:E105">
      <x:formula1>'99_下拉选项'!$BG$4:$BG$12</x:formula1>
    </x:dataValidation>
    <x:dataValidation type="list" sqref="H6:H105">
      <x:formula1>'99_下拉选项'!$AW$4:$AW$6</x:formula1>
    </x:dataValidation>
    <x:dataValidation type="list" sqref="K6:K105">
      <x:formula1>'99_下拉选项'!$AX$4:$AX$9</x:formula1>
    </x:dataValidation>
    <x:dataValidation type="list" sqref="T6:T105">
      <x:formula1>'99_下拉选项'!$AY$4:$AY$8</x:formula1>
    </x:dataValidation>
    <x:dataValidation type="list" sqref="X6:X105">
      <x:formula1>'99_下拉选项'!$AY$4:$AY$8</x:formula1>
    </x:dataValidation>
    <x:dataValidation type="list" sqref="E6:E130">
      <x:formula1>'99_下拉选项'!$BG$4:$BG$14</x:formula1>
    </x:dataValidation>
    <x:dataValidation type="list" sqref="E7:E105">
      <x:formula1>'99_下拉选项'!$BG$4:$BG$19</x:formula1>
    </x:dataValidation>
  </x:dataValidations>
  <x:pageMargins left="0.7" right="0.7" top="0.75" bottom="0.75" header="0.3" footer="0.3"/>
  <x:tableParts count="1">
    <x:tablePart xmlns:r="http://schemas.openxmlformats.org/officeDocument/2006/relationships" r:id="R5bae3ae26d694b04"/>
  </x:tableParts>
</x:worksheet>
</file>

<file path=xl/worksheets/sheet2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22" hidden="0" customWidth="1"/>
    <x:col min="10" max="10" width="16"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16" hidden="0" customWidth="1"/>
    <x:col min="18" max="18" width="30" hidden="0" customWidth="1"/>
    <x:col min="19" max="19" width="16" hidden="0" customWidth="1"/>
    <x:col min="20" max="20" width="16" hidden="0" customWidth="1"/>
    <x:col min="21" max="21" width="16" hidden="0" customWidth="1"/>
    <x:col min="22" max="22" width="30" hidden="0" customWidth="1"/>
    <x:col min="23" max="23" width="16" hidden="0" customWidth="1"/>
    <x:col min="24" max="24" width="13" hidden="0" customWidth="1"/>
    <x:col min="25" max="25" width="30" hidden="0" customWidth="1"/>
  </x:cols>
  <x:sheetData>
    <x:row r="1" ht="28" customHeight="1">
      <x:c r="A1" s="32" t="str">
        <x:v>M21｜流派争议、反证与版本治理</x:v>
      </x:c>
      <x:c r="B1" s="32"/>
      <x:c r="C1" s="32"/>
      <x:c r="D1" s="32"/>
      <x:c r="E1" s="32"/>
      <x:c r="F1" s="32"/>
      <x:c r="G1" s="32"/>
      <x:c r="H1" s="32"/>
      <x:c r="I1" s="32"/>
      <x:c r="J1" s="32"/>
      <x:c r="K1" s="32"/>
      <x:c r="L1" s="32"/>
      <x:c r="M1" s="32"/>
      <x:c r="N1" s="32"/>
      <x:c r="O1" s="32"/>
      <x:c r="P1" s="32"/>
      <x:c r="Q1" s="32"/>
      <x:c r="R1" s="32"/>
      <x:c r="S1" s="32"/>
      <x:c r="T1" s="32"/>
      <x:c r="U1" s="32"/>
      <x:c r="V1" s="32"/>
      <x:c r="W1" s="32"/>
      <x:c r="X1" s="32"/>
      <x:c r="Y1" s="32"/>
    </x:row>
    <x:row r="2" ht="36" customHeight="1">
      <x:c r="A2" s="39" t="str">
        <x:v>记录不同流派观点、采用理由、反向证据、影响范围与版本变更，确保争议规则不会被当作无条件共识。</x:v>
      </x:c>
      <x:c r="B2" s="39"/>
      <x:c r="C2" s="39"/>
      <x:c r="D2" s="39"/>
      <x:c r="E2" s="39"/>
      <x:c r="F2" s="39"/>
      <x:c r="G2" s="39"/>
      <x:c r="H2" s="39"/>
      <x:c r="I2" s="39"/>
      <x:c r="J2" s="39"/>
      <x:c r="K2" s="39"/>
      <x:c r="L2" s="39"/>
      <x:c r="M2" s="39"/>
      <x:c r="N2" s="39"/>
      <x:c r="O2" s="39"/>
      <x:c r="P2" s="39"/>
      <x:c r="Q2" s="39"/>
      <x:c r="R2" s="39"/>
      <x:c r="S2" s="39"/>
      <x:c r="T2" s="39"/>
      <x:c r="U2" s="39"/>
      <x:c r="V2" s="39"/>
      <x:c r="W2" s="39"/>
      <x:c r="X2" s="39"/>
      <x:c r="Y2" s="39"/>
    </x:row>
    <x:row r="3" ht="30" customHeight="1">
      <x:c r="A3" s="47" t="str">
        <x:v>前置依赖：M20及外部文献　｜　主要输出：争议裁决、版本历史与规则适用边界　｜　直接下游：所有模块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row>
    <x:row r="5" ht="38" customHeight="1">
      <x:c r="A5" s="61" t="str">
        <x:v>Change_ID</x:v>
      </x:c>
      <x:c r="B5" s="61" t="str">
        <x:v>模块代码</x:v>
      </x:c>
      <x:c r="C5" s="61" t="str">
        <x:v>子类代码</x:v>
      </x:c>
      <x:c r="D5" s="61" t="str">
        <x:v>序号</x:v>
      </x:c>
      <x:c r="E5" s="61" t="str">
        <x:v>版本号</x:v>
      </x:c>
      <x:c r="F5" s="61" t="str">
        <x:v>关联Rule_ID</x:v>
      </x:c>
      <x:c r="G5" s="61" t="str">
        <x:v>关联模块</x:v>
      </x:c>
      <x:c r="H5" s="61" t="str">
        <x:v>议题类型</x:v>
      </x:c>
      <x:c r="I5" s="61" t="str">
        <x:v>争议主题</x:v>
      </x:c>
      <x:c r="J5" s="61" t="str">
        <x:v>流派A</x:v>
      </x:c>
      <x:c r="K5" s="61" t="str">
        <x:v>观点A</x:v>
      </x:c>
      <x:c r="L5" s="61" t="str">
        <x:v>流派B</x:v>
      </x:c>
      <x:c r="M5" s="61" t="str">
        <x:v>观点B</x:v>
      </x:c>
      <x:c r="N5" s="61" t="str">
        <x:v>采用规则</x:v>
      </x:c>
      <x:c r="O5" s="61" t="str">
        <x:v>采用理由</x:v>
      </x:c>
      <x:c r="P5" s="61" t="str">
        <x:v>反对证据</x:v>
      </x:c>
      <x:c r="Q5" s="61" t="str">
        <x:v>争议级别</x:v>
      </x:c>
      <x:c r="R5" s="61" t="str">
        <x:v>影响范围</x:v>
      </x:c>
      <x:c r="S5" s="61" t="str">
        <x:v>旧版本</x:v>
      </x:c>
      <x:c r="T5" s="61" t="str">
        <x:v>新版本</x:v>
      </x:c>
      <x:c r="U5" s="61" t="str">
        <x:v>变更类型</x:v>
      </x:c>
      <x:c r="V5" s="61" t="str">
        <x:v>处理状态</x:v>
      </x:c>
      <x:c r="W5" s="61" t="str">
        <x:v>审核人</x:v>
      </x:c>
      <x:c r="X5" s="61" t="str">
        <x:v>生效日期</x:v>
      </x:c>
      <x:c r="Y5" s="61" t="str">
        <x:v>来源/备注</x:v>
      </x:c>
    </x:row>
    <x:row r="6" ht="66" customHeight="1">
      <x:c r="A6" s="76" t="str">
        <x:f>IF(OR(C6="",D6=""),"",B6&amp;"-"&amp;UPPER(C6)&amp;"-"&amp;TEXT(D6,"0000")&amp;"-"&amp;E6)</x:f>
        <x:v>M21-DEMO-9999-V0.1</x:v>
      </x:c>
      <x:c r="B6" s="76" t="str">
        <x:v>M21</x:v>
      </x:c>
      <x:c r="C6" s="76" t="str">
        <x:v>DEMO</x:v>
      </x:c>
      <x:c r="D6" s="78" t="n">
        <x:v>9999</x:v>
      </x:c>
      <x:c r="E6" s="76" t="str">
        <x:v>V0.1</x:v>
      </x:c>
      <x:c r="F6" s="76" t="str">
        <x:v>M05-DEMO-9999-V0.1</x:v>
      </x:c>
      <x:c r="G6" s="76" t="str">
        <x:v>M05/M06</x:v>
      </x:c>
      <x:c r="H6" s="76" t="str">
        <x:v>流派争议</x:v>
      </x:c>
      <x:c r="I6" s="76" t="str">
        <x:v>刑是否必然按固定比例减力</x:v>
      </x:c>
      <x:c r="J6" s="76" t="str">
        <x:v>固定减力法</x:v>
      </x:c>
      <x:c r="K6" s="76" t="str">
        <x:v>见刑即按预设比例减力</x:v>
      </x:c>
      <x:c r="L6" s="76" t="str">
        <x:v>结构效应法</x:v>
      </x:c>
      <x:c r="M6" s="76" t="str">
        <x:v>刑先识别，再按月令、强弱、透干与叠加关系判断实际效应</x:v>
      </x:c>
      <x:c r="N6" s="76" t="str">
        <x:v>采用结构效应法，不设统一固定减力比例</x:v>
      </x:c>
      <x:c r="O6" s="76" t="str">
        <x:v>可避免把关系名称直接等同于力学结果，并能解释边界案例</x:v>
      </x:c>
      <x:c r="P6" s="76" t="str">
        <x:v>后续若大量案例显示某类刑有稳定量化规律，应重新评估</x:v>
      </x:c>
      <x:c r="Q6" s="76" t="str">
        <x:v>中</x:v>
      </x:c>
      <x:c r="R6" s="76" t="str">
        <x:v>M05/M06/M08/M09</x:v>
      </x:c>
      <x:c r="S6" s="76" t="str">
        <x:v>无</x:v>
      </x:c>
      <x:c r="T6" s="76" t="str">
        <x:v>V0.1</x:v>
      </x:c>
      <x:c r="U6" s="76" t="str">
        <x:v>新增</x:v>
      </x:c>
      <x:c r="V6" s="76" t="str">
        <x:v>待验证</x:v>
      </x:c>
      <x:c r="W6" s="76" t="str"/>
      <x:c r="X6" s="86" t="n">
        <x:v>46254</x:v>
      </x:c>
      <x:c r="Y6" s="76" t="str">
        <x:v>示例争议记录，正式采用需补充文献与案例证据</x:v>
      </x:c>
    </x:row>
    <x:row r="7">
      <x:c r="A7" s="72" t="str">
        <x:f>IF(OR(C7="",D7=""),"",B7&amp;"-"&amp;UPPER(C7)&amp;"-"&amp;TEXT(D7,"0000")&amp;"-"&amp;E7)</x:f>
      </x:c>
      <x:c r="B7" s="74" t="str">
        <x:v>M21</x:v>
      </x:c>
      <x:c r="C7" s="74"/>
      <x:c r="D7" s="79"/>
      <x:c r="E7" s="74" t="str">
        <x:v>V1.0</x:v>
      </x:c>
      <x:c r="F7" s="68"/>
      <x:c r="G7" s="68"/>
      <x:c r="H7" s="82"/>
      <x:c r="I7" s="68"/>
      <x:c r="J7" s="68"/>
      <x:c r="K7" s="68"/>
      <x:c r="L7" s="68"/>
      <x:c r="M7" s="68"/>
      <x:c r="N7" s="68"/>
      <x:c r="O7" s="68"/>
      <x:c r="P7" s="90"/>
      <x:c r="Q7" s="82"/>
      <x:c r="R7" s="68"/>
      <x:c r="S7" s="68"/>
      <x:c r="T7" s="68"/>
      <x:c r="U7" s="82"/>
      <x:c r="V7" s="82"/>
      <x:c r="W7" s="68"/>
      <x:c r="X7" s="87"/>
      <x:c r="Y7" s="68"/>
    </x:row>
    <x:row r="8">
      <x:c r="A8" s="72" t="str">
        <x:f>IF(OR(C8="",D8=""),"",B8&amp;"-"&amp;UPPER(C8)&amp;"-"&amp;TEXT(D8,"0000")&amp;"-"&amp;E8)</x:f>
      </x:c>
      <x:c r="B8" s="74" t="str">
        <x:v>M21</x:v>
      </x:c>
      <x:c r="C8" s="74"/>
      <x:c r="D8" s="79"/>
      <x:c r="E8" s="74" t="str">
        <x:v>V1.0</x:v>
      </x:c>
      <x:c r="F8" s="68"/>
      <x:c r="G8" s="68"/>
      <x:c r="H8" s="82"/>
      <x:c r="I8" s="68"/>
      <x:c r="J8" s="68"/>
      <x:c r="K8" s="68"/>
      <x:c r="L8" s="68"/>
      <x:c r="M8" s="68"/>
      <x:c r="N8" s="68"/>
      <x:c r="O8" s="68"/>
      <x:c r="P8" s="90"/>
      <x:c r="Q8" s="82"/>
      <x:c r="R8" s="68"/>
      <x:c r="S8" s="68"/>
      <x:c r="T8" s="68"/>
      <x:c r="U8" s="82"/>
      <x:c r="V8" s="82"/>
      <x:c r="W8" s="68"/>
      <x:c r="X8" s="87"/>
      <x:c r="Y8" s="68"/>
    </x:row>
    <x:row r="9">
      <x:c r="A9" s="72" t="str">
        <x:f>IF(OR(C9="",D9=""),"",B9&amp;"-"&amp;UPPER(C9)&amp;"-"&amp;TEXT(D9,"0000")&amp;"-"&amp;E9)</x:f>
      </x:c>
      <x:c r="B9" s="74" t="str">
        <x:v>M21</x:v>
      </x:c>
      <x:c r="C9" s="74"/>
      <x:c r="D9" s="79"/>
      <x:c r="E9" s="74" t="str">
        <x:v>V1.0</x:v>
      </x:c>
      <x:c r="F9" s="68"/>
      <x:c r="G9" s="68"/>
      <x:c r="H9" s="82"/>
      <x:c r="I9" s="68"/>
      <x:c r="J9" s="68"/>
      <x:c r="K9" s="68"/>
      <x:c r="L9" s="68"/>
      <x:c r="M9" s="68"/>
      <x:c r="N9" s="68"/>
      <x:c r="O9" s="68"/>
      <x:c r="P9" s="90"/>
      <x:c r="Q9" s="82"/>
      <x:c r="R9" s="68"/>
      <x:c r="S9" s="68"/>
      <x:c r="T9" s="68"/>
      <x:c r="U9" s="82"/>
      <x:c r="V9" s="82"/>
      <x:c r="W9" s="68"/>
      <x:c r="X9" s="87"/>
      <x:c r="Y9" s="68"/>
    </x:row>
    <x:row r="10">
      <x:c r="A10" s="72" t="str">
        <x:f>IF(OR(C10="",D10=""),"",B10&amp;"-"&amp;UPPER(C10)&amp;"-"&amp;TEXT(D10,"0000")&amp;"-"&amp;E10)</x:f>
      </x:c>
      <x:c r="B10" s="74" t="str">
        <x:v>M21</x:v>
      </x:c>
      <x:c r="C10" s="74"/>
      <x:c r="D10" s="79"/>
      <x:c r="E10" s="74" t="str">
        <x:v>V1.0</x:v>
      </x:c>
      <x:c r="F10" s="68"/>
      <x:c r="G10" s="68"/>
      <x:c r="H10" s="82"/>
      <x:c r="I10" s="68"/>
      <x:c r="J10" s="68"/>
      <x:c r="K10" s="68"/>
      <x:c r="L10" s="68"/>
      <x:c r="M10" s="68"/>
      <x:c r="N10" s="68"/>
      <x:c r="O10" s="68"/>
      <x:c r="P10" s="90"/>
      <x:c r="Q10" s="82"/>
      <x:c r="R10" s="68"/>
      <x:c r="S10" s="68"/>
      <x:c r="T10" s="68"/>
      <x:c r="U10" s="82"/>
      <x:c r="V10" s="82"/>
      <x:c r="W10" s="68"/>
      <x:c r="X10" s="87"/>
      <x:c r="Y10" s="68"/>
    </x:row>
    <x:row r="11">
      <x:c r="A11" s="72" t="str">
        <x:f>IF(OR(C11="",D11=""),"",B11&amp;"-"&amp;UPPER(C11)&amp;"-"&amp;TEXT(D11,"0000")&amp;"-"&amp;E11)</x:f>
      </x:c>
      <x:c r="B11" s="74" t="str">
        <x:v>M21</x:v>
      </x:c>
      <x:c r="C11" s="74"/>
      <x:c r="D11" s="79"/>
      <x:c r="E11" s="74" t="str">
        <x:v>V1.0</x:v>
      </x:c>
      <x:c r="F11" s="68"/>
      <x:c r="G11" s="68"/>
      <x:c r="H11" s="82"/>
      <x:c r="I11" s="68"/>
      <x:c r="J11" s="68"/>
      <x:c r="K11" s="68"/>
      <x:c r="L11" s="68"/>
      <x:c r="M11" s="68"/>
      <x:c r="N11" s="68"/>
      <x:c r="O11" s="68"/>
      <x:c r="P11" s="90"/>
      <x:c r="Q11" s="82"/>
      <x:c r="R11" s="68"/>
      <x:c r="S11" s="68"/>
      <x:c r="T11" s="68"/>
      <x:c r="U11" s="82"/>
      <x:c r="V11" s="82"/>
      <x:c r="W11" s="68"/>
      <x:c r="X11" s="87"/>
      <x:c r="Y11" s="68"/>
    </x:row>
    <x:row r="12">
      <x:c r="A12" s="72" t="str">
        <x:f>IF(OR(C12="",D12=""),"",B12&amp;"-"&amp;UPPER(C12)&amp;"-"&amp;TEXT(D12,"0000")&amp;"-"&amp;E12)</x:f>
      </x:c>
      <x:c r="B12" s="74" t="str">
        <x:v>M21</x:v>
      </x:c>
      <x:c r="C12" s="74"/>
      <x:c r="D12" s="79"/>
      <x:c r="E12" s="74" t="str">
        <x:v>V1.0</x:v>
      </x:c>
      <x:c r="F12" s="68"/>
      <x:c r="G12" s="68"/>
      <x:c r="H12" s="82"/>
      <x:c r="I12" s="68"/>
      <x:c r="J12" s="68"/>
      <x:c r="K12" s="68"/>
      <x:c r="L12" s="68"/>
      <x:c r="M12" s="68"/>
      <x:c r="N12" s="68"/>
      <x:c r="O12" s="68"/>
      <x:c r="P12" s="90"/>
      <x:c r="Q12" s="82"/>
      <x:c r="R12" s="68"/>
      <x:c r="S12" s="68"/>
      <x:c r="T12" s="68"/>
      <x:c r="U12" s="82"/>
      <x:c r="V12" s="82"/>
      <x:c r="W12" s="68"/>
      <x:c r="X12" s="87"/>
      <x:c r="Y12" s="68"/>
    </x:row>
    <x:row r="13">
      <x:c r="A13" s="72" t="str">
        <x:f>IF(OR(C13="",D13=""),"",B13&amp;"-"&amp;UPPER(C13)&amp;"-"&amp;TEXT(D13,"0000")&amp;"-"&amp;E13)</x:f>
      </x:c>
      <x:c r="B13" s="74" t="str">
        <x:v>M21</x:v>
      </x:c>
      <x:c r="C13" s="74"/>
      <x:c r="D13" s="79"/>
      <x:c r="E13" s="74" t="str">
        <x:v>V1.0</x:v>
      </x:c>
      <x:c r="F13" s="68"/>
      <x:c r="G13" s="68"/>
      <x:c r="H13" s="82"/>
      <x:c r="I13" s="68"/>
      <x:c r="J13" s="68"/>
      <x:c r="K13" s="68"/>
      <x:c r="L13" s="68"/>
      <x:c r="M13" s="68"/>
      <x:c r="N13" s="68"/>
      <x:c r="O13" s="68"/>
      <x:c r="P13" s="90"/>
      <x:c r="Q13" s="82"/>
      <x:c r="R13" s="68"/>
      <x:c r="S13" s="68"/>
      <x:c r="T13" s="68"/>
      <x:c r="U13" s="82"/>
      <x:c r="V13" s="82"/>
      <x:c r="W13" s="68"/>
      <x:c r="X13" s="87"/>
      <x:c r="Y13" s="68"/>
    </x:row>
    <x:row r="14">
      <x:c r="A14" s="72" t="str">
        <x:f>IF(OR(C14="",D14=""),"",B14&amp;"-"&amp;UPPER(C14)&amp;"-"&amp;TEXT(D14,"0000")&amp;"-"&amp;E14)</x:f>
      </x:c>
      <x:c r="B14" s="74" t="str">
        <x:v>M21</x:v>
      </x:c>
      <x:c r="C14" s="74"/>
      <x:c r="D14" s="79"/>
      <x:c r="E14" s="74" t="str">
        <x:v>V1.0</x:v>
      </x:c>
      <x:c r="F14" s="68"/>
      <x:c r="G14" s="68"/>
      <x:c r="H14" s="82"/>
      <x:c r="I14" s="68"/>
      <x:c r="J14" s="68"/>
      <x:c r="K14" s="68"/>
      <x:c r="L14" s="68"/>
      <x:c r="M14" s="68"/>
      <x:c r="N14" s="68"/>
      <x:c r="O14" s="68"/>
      <x:c r="P14" s="90"/>
      <x:c r="Q14" s="82"/>
      <x:c r="R14" s="68"/>
      <x:c r="S14" s="68"/>
      <x:c r="T14" s="68"/>
      <x:c r="U14" s="82"/>
      <x:c r="V14" s="82"/>
      <x:c r="W14" s="68"/>
      <x:c r="X14" s="87"/>
      <x:c r="Y14" s="68"/>
    </x:row>
    <x:row r="15">
      <x:c r="A15" s="72" t="str">
        <x:f>IF(OR(C15="",D15=""),"",B15&amp;"-"&amp;UPPER(C15)&amp;"-"&amp;TEXT(D15,"0000")&amp;"-"&amp;E15)</x:f>
      </x:c>
      <x:c r="B15" s="74" t="str">
        <x:v>M21</x:v>
      </x:c>
      <x:c r="C15" s="74"/>
      <x:c r="D15" s="79"/>
      <x:c r="E15" s="74" t="str">
        <x:v>V1.0</x:v>
      </x:c>
      <x:c r="F15" s="68"/>
      <x:c r="G15" s="68"/>
      <x:c r="H15" s="82"/>
      <x:c r="I15" s="68"/>
      <x:c r="J15" s="68"/>
      <x:c r="K15" s="68"/>
      <x:c r="L15" s="68"/>
      <x:c r="M15" s="68"/>
      <x:c r="N15" s="68"/>
      <x:c r="O15" s="68"/>
      <x:c r="P15" s="90"/>
      <x:c r="Q15" s="82"/>
      <x:c r="R15" s="68"/>
      <x:c r="S15" s="68"/>
      <x:c r="T15" s="68"/>
      <x:c r="U15" s="82"/>
      <x:c r="V15" s="82"/>
      <x:c r="W15" s="68"/>
      <x:c r="X15" s="87"/>
      <x:c r="Y15" s="68"/>
    </x:row>
    <x:row r="16">
      <x:c r="A16" s="72" t="str">
        <x:f>IF(OR(C16="",D16=""),"",B16&amp;"-"&amp;UPPER(C16)&amp;"-"&amp;TEXT(D16,"0000")&amp;"-"&amp;E16)</x:f>
      </x:c>
      <x:c r="B16" s="74" t="str">
        <x:v>M21</x:v>
      </x:c>
      <x:c r="C16" s="74"/>
      <x:c r="D16" s="79"/>
      <x:c r="E16" s="74" t="str">
        <x:v>V1.0</x:v>
      </x:c>
      <x:c r="F16" s="68"/>
      <x:c r="G16" s="68"/>
      <x:c r="H16" s="82"/>
      <x:c r="I16" s="68"/>
      <x:c r="J16" s="68"/>
      <x:c r="K16" s="68"/>
      <x:c r="L16" s="68"/>
      <x:c r="M16" s="68"/>
      <x:c r="N16" s="68"/>
      <x:c r="O16" s="68"/>
      <x:c r="P16" s="90"/>
      <x:c r="Q16" s="82"/>
      <x:c r="R16" s="68"/>
      <x:c r="S16" s="68"/>
      <x:c r="T16" s="68"/>
      <x:c r="U16" s="82"/>
      <x:c r="V16" s="82"/>
      <x:c r="W16" s="68"/>
      <x:c r="X16" s="87"/>
      <x:c r="Y16" s="68"/>
    </x:row>
    <x:row r="17">
      <x:c r="A17" s="72" t="str">
        <x:f>IF(OR(C17="",D17=""),"",B17&amp;"-"&amp;UPPER(C17)&amp;"-"&amp;TEXT(D17,"0000")&amp;"-"&amp;E17)</x:f>
      </x:c>
      <x:c r="B17" s="74" t="str">
        <x:v>M21</x:v>
      </x:c>
      <x:c r="C17" s="74"/>
      <x:c r="D17" s="79"/>
      <x:c r="E17" s="74" t="str">
        <x:v>V1.0</x:v>
      </x:c>
      <x:c r="F17" s="68"/>
      <x:c r="G17" s="68"/>
      <x:c r="H17" s="82"/>
      <x:c r="I17" s="68"/>
      <x:c r="J17" s="68"/>
      <x:c r="K17" s="68"/>
      <x:c r="L17" s="68"/>
      <x:c r="M17" s="68"/>
      <x:c r="N17" s="68"/>
      <x:c r="O17" s="68"/>
      <x:c r="P17" s="90"/>
      <x:c r="Q17" s="82"/>
      <x:c r="R17" s="68"/>
      <x:c r="S17" s="68"/>
      <x:c r="T17" s="68"/>
      <x:c r="U17" s="82"/>
      <x:c r="V17" s="82"/>
      <x:c r="W17" s="68"/>
      <x:c r="X17" s="87"/>
      <x:c r="Y17" s="68"/>
    </x:row>
    <x:row r="18">
      <x:c r="A18" s="72" t="str">
        <x:f>IF(OR(C18="",D18=""),"",B18&amp;"-"&amp;UPPER(C18)&amp;"-"&amp;TEXT(D18,"0000")&amp;"-"&amp;E18)</x:f>
      </x:c>
      <x:c r="B18" s="74" t="str">
        <x:v>M21</x:v>
      </x:c>
      <x:c r="C18" s="74"/>
      <x:c r="D18" s="79"/>
      <x:c r="E18" s="74" t="str">
        <x:v>V1.0</x:v>
      </x:c>
      <x:c r="F18" s="68"/>
      <x:c r="G18" s="68"/>
      <x:c r="H18" s="82"/>
      <x:c r="I18" s="68"/>
      <x:c r="J18" s="68"/>
      <x:c r="K18" s="68"/>
      <x:c r="L18" s="68"/>
      <x:c r="M18" s="68"/>
      <x:c r="N18" s="68"/>
      <x:c r="O18" s="68"/>
      <x:c r="P18" s="90"/>
      <x:c r="Q18" s="82"/>
      <x:c r="R18" s="68"/>
      <x:c r="S18" s="68"/>
      <x:c r="T18" s="68"/>
      <x:c r="U18" s="82"/>
      <x:c r="V18" s="82"/>
      <x:c r="W18" s="68"/>
      <x:c r="X18" s="87"/>
      <x:c r="Y18" s="68"/>
    </x:row>
    <x:row r="19">
      <x:c r="A19" s="72" t="str">
        <x:f>IF(OR(C19="",D19=""),"",B19&amp;"-"&amp;UPPER(C19)&amp;"-"&amp;TEXT(D19,"0000")&amp;"-"&amp;E19)</x:f>
      </x:c>
      <x:c r="B19" s="74" t="str">
        <x:v>M21</x:v>
      </x:c>
      <x:c r="C19" s="74"/>
      <x:c r="D19" s="79"/>
      <x:c r="E19" s="74" t="str">
        <x:v>V1.0</x:v>
      </x:c>
      <x:c r="F19" s="68"/>
      <x:c r="G19" s="68"/>
      <x:c r="H19" s="82"/>
      <x:c r="I19" s="68"/>
      <x:c r="J19" s="68"/>
      <x:c r="K19" s="68"/>
      <x:c r="L19" s="68"/>
      <x:c r="M19" s="68"/>
      <x:c r="N19" s="68"/>
      <x:c r="O19" s="68"/>
      <x:c r="P19" s="90"/>
      <x:c r="Q19" s="82"/>
      <x:c r="R19" s="68"/>
      <x:c r="S19" s="68"/>
      <x:c r="T19" s="68"/>
      <x:c r="U19" s="82"/>
      <x:c r="V19" s="82"/>
      <x:c r="W19" s="68"/>
      <x:c r="X19" s="87"/>
      <x:c r="Y19" s="68"/>
    </x:row>
    <x:row r="20">
      <x:c r="A20" s="72" t="str">
        <x:f>IF(OR(C20="",D20=""),"",B20&amp;"-"&amp;UPPER(C20)&amp;"-"&amp;TEXT(D20,"0000")&amp;"-"&amp;E20)</x:f>
      </x:c>
      <x:c r="B20" s="74" t="str">
        <x:v>M21</x:v>
      </x:c>
      <x:c r="C20" s="74"/>
      <x:c r="D20" s="79"/>
      <x:c r="E20" s="74" t="str">
        <x:v>V1.0</x:v>
      </x:c>
      <x:c r="F20" s="68"/>
      <x:c r="G20" s="68"/>
      <x:c r="H20" s="82"/>
      <x:c r="I20" s="68"/>
      <x:c r="J20" s="68"/>
      <x:c r="K20" s="68"/>
      <x:c r="L20" s="68"/>
      <x:c r="M20" s="68"/>
      <x:c r="N20" s="68"/>
      <x:c r="O20" s="68"/>
      <x:c r="P20" s="90"/>
      <x:c r="Q20" s="82"/>
      <x:c r="R20" s="68"/>
      <x:c r="S20" s="68"/>
      <x:c r="T20" s="68"/>
      <x:c r="U20" s="82"/>
      <x:c r="V20" s="82"/>
      <x:c r="W20" s="68"/>
      <x:c r="X20" s="87"/>
      <x:c r="Y20" s="68"/>
    </x:row>
    <x:row r="21">
      <x:c r="A21" s="72" t="str">
        <x:f>IF(OR(C21="",D21=""),"",B21&amp;"-"&amp;UPPER(C21)&amp;"-"&amp;TEXT(D21,"0000")&amp;"-"&amp;E21)</x:f>
      </x:c>
      <x:c r="B21" s="74" t="str">
        <x:v>M21</x:v>
      </x:c>
      <x:c r="C21" s="74"/>
      <x:c r="D21" s="79"/>
      <x:c r="E21" s="74" t="str">
        <x:v>V1.0</x:v>
      </x:c>
      <x:c r="F21" s="68"/>
      <x:c r="G21" s="68"/>
      <x:c r="H21" s="82"/>
      <x:c r="I21" s="68"/>
      <x:c r="J21" s="68"/>
      <x:c r="K21" s="68"/>
      <x:c r="L21" s="68"/>
      <x:c r="M21" s="68"/>
      <x:c r="N21" s="68"/>
      <x:c r="O21" s="68"/>
      <x:c r="P21" s="90"/>
      <x:c r="Q21" s="82"/>
      <x:c r="R21" s="68"/>
      <x:c r="S21" s="68"/>
      <x:c r="T21" s="68"/>
      <x:c r="U21" s="82"/>
      <x:c r="V21" s="82"/>
      <x:c r="W21" s="68"/>
      <x:c r="X21" s="87"/>
      <x:c r="Y21" s="68"/>
    </x:row>
    <x:row r="22">
      <x:c r="A22" s="72" t="str">
        <x:f>IF(OR(C22="",D22=""),"",B22&amp;"-"&amp;UPPER(C22)&amp;"-"&amp;TEXT(D22,"0000")&amp;"-"&amp;E22)</x:f>
      </x:c>
      <x:c r="B22" s="74" t="str">
        <x:v>M21</x:v>
      </x:c>
      <x:c r="C22" s="74"/>
      <x:c r="D22" s="79"/>
      <x:c r="E22" s="74" t="str">
        <x:v>V1.0</x:v>
      </x:c>
      <x:c r="F22" s="68"/>
      <x:c r="G22" s="68"/>
      <x:c r="H22" s="82"/>
      <x:c r="I22" s="68"/>
      <x:c r="J22" s="68"/>
      <x:c r="K22" s="68"/>
      <x:c r="L22" s="68"/>
      <x:c r="M22" s="68"/>
      <x:c r="N22" s="68"/>
      <x:c r="O22" s="68"/>
      <x:c r="P22" s="90"/>
      <x:c r="Q22" s="82"/>
      <x:c r="R22" s="68"/>
      <x:c r="S22" s="68"/>
      <x:c r="T22" s="68"/>
      <x:c r="U22" s="82"/>
      <x:c r="V22" s="82"/>
      <x:c r="W22" s="68"/>
      <x:c r="X22" s="87"/>
      <x:c r="Y22" s="68"/>
    </x:row>
    <x:row r="23">
      <x:c r="A23" s="72" t="str">
        <x:f>IF(OR(C23="",D23=""),"",B23&amp;"-"&amp;UPPER(C23)&amp;"-"&amp;TEXT(D23,"0000")&amp;"-"&amp;E23)</x:f>
      </x:c>
      <x:c r="B23" s="74" t="str">
        <x:v>M21</x:v>
      </x:c>
      <x:c r="C23" s="74"/>
      <x:c r="D23" s="79"/>
      <x:c r="E23" s="74" t="str">
        <x:v>V1.0</x:v>
      </x:c>
      <x:c r="F23" s="68"/>
      <x:c r="G23" s="68"/>
      <x:c r="H23" s="82"/>
      <x:c r="I23" s="68"/>
      <x:c r="J23" s="68"/>
      <x:c r="K23" s="68"/>
      <x:c r="L23" s="68"/>
      <x:c r="M23" s="68"/>
      <x:c r="N23" s="68"/>
      <x:c r="O23" s="68"/>
      <x:c r="P23" s="90"/>
      <x:c r="Q23" s="82"/>
      <x:c r="R23" s="68"/>
      <x:c r="S23" s="68"/>
      <x:c r="T23" s="68"/>
      <x:c r="U23" s="82"/>
      <x:c r="V23" s="82"/>
      <x:c r="W23" s="68"/>
      <x:c r="X23" s="87"/>
      <x:c r="Y23" s="68"/>
    </x:row>
    <x:row r="24">
      <x:c r="A24" s="72" t="str">
        <x:f>IF(OR(C24="",D24=""),"",B24&amp;"-"&amp;UPPER(C24)&amp;"-"&amp;TEXT(D24,"0000")&amp;"-"&amp;E24)</x:f>
      </x:c>
      <x:c r="B24" s="74" t="str">
        <x:v>M21</x:v>
      </x:c>
      <x:c r="C24" s="74"/>
      <x:c r="D24" s="79"/>
      <x:c r="E24" s="74" t="str">
        <x:v>V1.0</x:v>
      </x:c>
      <x:c r="F24" s="68"/>
      <x:c r="G24" s="68"/>
      <x:c r="H24" s="82"/>
      <x:c r="I24" s="68"/>
      <x:c r="J24" s="68"/>
      <x:c r="K24" s="68"/>
      <x:c r="L24" s="68"/>
      <x:c r="M24" s="68"/>
      <x:c r="N24" s="68"/>
      <x:c r="O24" s="68"/>
      <x:c r="P24" s="90"/>
      <x:c r="Q24" s="82"/>
      <x:c r="R24" s="68"/>
      <x:c r="S24" s="68"/>
      <x:c r="T24" s="68"/>
      <x:c r="U24" s="82"/>
      <x:c r="V24" s="82"/>
      <x:c r="W24" s="68"/>
      <x:c r="X24" s="87"/>
      <x:c r="Y24" s="68"/>
    </x:row>
    <x:row r="25">
      <x:c r="A25" s="72" t="str">
        <x:f>IF(OR(C25="",D25=""),"",B25&amp;"-"&amp;UPPER(C25)&amp;"-"&amp;TEXT(D25,"0000")&amp;"-"&amp;E25)</x:f>
      </x:c>
      <x:c r="B25" s="74" t="str">
        <x:v>M21</x:v>
      </x:c>
      <x:c r="C25" s="74"/>
      <x:c r="D25" s="79"/>
      <x:c r="E25" s="74" t="str">
        <x:v>V1.0</x:v>
      </x:c>
      <x:c r="F25" s="68"/>
      <x:c r="G25" s="68"/>
      <x:c r="H25" s="82"/>
      <x:c r="I25" s="68"/>
      <x:c r="J25" s="68"/>
      <x:c r="K25" s="68"/>
      <x:c r="L25" s="68"/>
      <x:c r="M25" s="68"/>
      <x:c r="N25" s="68"/>
      <x:c r="O25" s="68"/>
      <x:c r="P25" s="90"/>
      <x:c r="Q25" s="82"/>
      <x:c r="R25" s="68"/>
      <x:c r="S25" s="68"/>
      <x:c r="T25" s="68"/>
      <x:c r="U25" s="82"/>
      <x:c r="V25" s="82"/>
      <x:c r="W25" s="68"/>
      <x:c r="X25" s="87"/>
      <x:c r="Y25" s="68"/>
    </x:row>
    <x:row r="26">
      <x:c r="A26" s="72" t="str">
        <x:f>IF(OR(C26="",D26=""),"",B26&amp;"-"&amp;UPPER(C26)&amp;"-"&amp;TEXT(D26,"0000")&amp;"-"&amp;E26)</x:f>
      </x:c>
      <x:c r="B26" s="74" t="str">
        <x:v>M21</x:v>
      </x:c>
      <x:c r="C26" s="74"/>
      <x:c r="D26" s="79"/>
      <x:c r="E26" s="74" t="str">
        <x:v>V1.0</x:v>
      </x:c>
      <x:c r="F26" s="68"/>
      <x:c r="G26" s="68"/>
      <x:c r="H26" s="82"/>
      <x:c r="I26" s="68"/>
      <x:c r="J26" s="68"/>
      <x:c r="K26" s="68"/>
      <x:c r="L26" s="68"/>
      <x:c r="M26" s="68"/>
      <x:c r="N26" s="68"/>
      <x:c r="O26" s="68"/>
      <x:c r="P26" s="90"/>
      <x:c r="Q26" s="82"/>
      <x:c r="R26" s="68"/>
      <x:c r="S26" s="68"/>
      <x:c r="T26" s="68"/>
      <x:c r="U26" s="82"/>
      <x:c r="V26" s="82"/>
      <x:c r="W26" s="68"/>
      <x:c r="X26" s="87"/>
      <x:c r="Y26" s="68"/>
    </x:row>
    <x:row r="27">
      <x:c r="A27" s="72" t="str">
        <x:f>IF(OR(C27="",D27=""),"",B27&amp;"-"&amp;UPPER(C27)&amp;"-"&amp;TEXT(D27,"0000")&amp;"-"&amp;E27)</x:f>
      </x:c>
      <x:c r="B27" s="74" t="str">
        <x:v>M21</x:v>
      </x:c>
      <x:c r="C27" s="74"/>
      <x:c r="D27" s="79"/>
      <x:c r="E27" s="74" t="str">
        <x:v>V1.0</x:v>
      </x:c>
      <x:c r="F27" s="68"/>
      <x:c r="G27" s="68"/>
      <x:c r="H27" s="82"/>
      <x:c r="I27" s="68"/>
      <x:c r="J27" s="68"/>
      <x:c r="K27" s="68"/>
      <x:c r="L27" s="68"/>
      <x:c r="M27" s="68"/>
      <x:c r="N27" s="68"/>
      <x:c r="O27" s="68"/>
      <x:c r="P27" s="90"/>
      <x:c r="Q27" s="82"/>
      <x:c r="R27" s="68"/>
      <x:c r="S27" s="68"/>
      <x:c r="T27" s="68"/>
      <x:c r="U27" s="82"/>
      <x:c r="V27" s="82"/>
      <x:c r="W27" s="68"/>
      <x:c r="X27" s="87"/>
      <x:c r="Y27" s="68"/>
    </x:row>
    <x:row r="28">
      <x:c r="A28" s="72" t="str">
        <x:f>IF(OR(C28="",D28=""),"",B28&amp;"-"&amp;UPPER(C28)&amp;"-"&amp;TEXT(D28,"0000")&amp;"-"&amp;E28)</x:f>
      </x:c>
      <x:c r="B28" s="74" t="str">
        <x:v>M21</x:v>
      </x:c>
      <x:c r="C28" s="74"/>
      <x:c r="D28" s="79"/>
      <x:c r="E28" s="74" t="str">
        <x:v>V1.0</x:v>
      </x:c>
      <x:c r="F28" s="68"/>
      <x:c r="G28" s="68"/>
      <x:c r="H28" s="82"/>
      <x:c r="I28" s="68"/>
      <x:c r="J28" s="68"/>
      <x:c r="K28" s="68"/>
      <x:c r="L28" s="68"/>
      <x:c r="M28" s="68"/>
      <x:c r="N28" s="68"/>
      <x:c r="O28" s="68"/>
      <x:c r="P28" s="90"/>
      <x:c r="Q28" s="82"/>
      <x:c r="R28" s="68"/>
      <x:c r="S28" s="68"/>
      <x:c r="T28" s="68"/>
      <x:c r="U28" s="82"/>
      <x:c r="V28" s="82"/>
      <x:c r="W28" s="68"/>
      <x:c r="X28" s="87"/>
      <x:c r="Y28" s="68"/>
    </x:row>
    <x:row r="29">
      <x:c r="A29" s="72" t="str">
        <x:f>IF(OR(C29="",D29=""),"",B29&amp;"-"&amp;UPPER(C29)&amp;"-"&amp;TEXT(D29,"0000")&amp;"-"&amp;E29)</x:f>
      </x:c>
      <x:c r="B29" s="74" t="str">
        <x:v>M21</x:v>
      </x:c>
      <x:c r="C29" s="74"/>
      <x:c r="D29" s="79"/>
      <x:c r="E29" s="74" t="str">
        <x:v>V1.0</x:v>
      </x:c>
      <x:c r="F29" s="68"/>
      <x:c r="G29" s="68"/>
      <x:c r="H29" s="82"/>
      <x:c r="I29" s="68"/>
      <x:c r="J29" s="68"/>
      <x:c r="K29" s="68"/>
      <x:c r="L29" s="68"/>
      <x:c r="M29" s="68"/>
      <x:c r="N29" s="68"/>
      <x:c r="O29" s="68"/>
      <x:c r="P29" s="90"/>
      <x:c r="Q29" s="82"/>
      <x:c r="R29" s="68"/>
      <x:c r="S29" s="68"/>
      <x:c r="T29" s="68"/>
      <x:c r="U29" s="82"/>
      <x:c r="V29" s="82"/>
      <x:c r="W29" s="68"/>
      <x:c r="X29" s="87"/>
      <x:c r="Y29" s="68"/>
    </x:row>
    <x:row r="30">
      <x:c r="A30" s="72" t="str">
        <x:f>IF(OR(C30="",D30=""),"",B30&amp;"-"&amp;UPPER(C30)&amp;"-"&amp;TEXT(D30,"0000")&amp;"-"&amp;E30)</x:f>
      </x:c>
      <x:c r="B30" s="74" t="str">
        <x:v>M21</x:v>
      </x:c>
      <x:c r="C30" s="74"/>
      <x:c r="D30" s="79"/>
      <x:c r="E30" s="74" t="str">
        <x:v>V1.0</x:v>
      </x:c>
      <x:c r="F30" s="68"/>
      <x:c r="G30" s="68"/>
      <x:c r="H30" s="82"/>
      <x:c r="I30" s="68"/>
      <x:c r="J30" s="68"/>
      <x:c r="K30" s="68"/>
      <x:c r="L30" s="68"/>
      <x:c r="M30" s="68"/>
      <x:c r="N30" s="68"/>
      <x:c r="O30" s="68"/>
      <x:c r="P30" s="90"/>
      <x:c r="Q30" s="82"/>
      <x:c r="R30" s="68"/>
      <x:c r="S30" s="68"/>
      <x:c r="T30" s="68"/>
      <x:c r="U30" s="82"/>
      <x:c r="V30" s="82"/>
      <x:c r="W30" s="68"/>
      <x:c r="X30" s="87"/>
      <x:c r="Y30" s="68"/>
    </x:row>
    <x:row r="31">
      <x:c r="A31" s="72" t="str">
        <x:f>IF(OR(C31="",D31=""),"",B31&amp;"-"&amp;UPPER(C31)&amp;"-"&amp;TEXT(D31,"0000")&amp;"-"&amp;E31)</x:f>
      </x:c>
      <x:c r="B31" s="74" t="str">
        <x:v>M21</x:v>
      </x:c>
      <x:c r="C31" s="74"/>
      <x:c r="D31" s="79"/>
      <x:c r="E31" s="74" t="str">
        <x:v>V1.0</x:v>
      </x:c>
      <x:c r="F31" s="68"/>
      <x:c r="G31" s="68"/>
      <x:c r="H31" s="82"/>
      <x:c r="I31" s="68"/>
      <x:c r="J31" s="68"/>
      <x:c r="K31" s="68"/>
      <x:c r="L31" s="68"/>
      <x:c r="M31" s="68"/>
      <x:c r="N31" s="68"/>
      <x:c r="O31" s="68"/>
      <x:c r="P31" s="90"/>
      <x:c r="Q31" s="82"/>
      <x:c r="R31" s="68"/>
      <x:c r="S31" s="68"/>
      <x:c r="T31" s="68"/>
      <x:c r="U31" s="82"/>
      <x:c r="V31" s="82"/>
      <x:c r="W31" s="68"/>
      <x:c r="X31" s="87"/>
      <x:c r="Y31" s="68"/>
    </x:row>
    <x:row r="32">
      <x:c r="A32" s="72" t="str">
        <x:f>IF(OR(C32="",D32=""),"",B32&amp;"-"&amp;UPPER(C32)&amp;"-"&amp;TEXT(D32,"0000")&amp;"-"&amp;E32)</x:f>
      </x:c>
      <x:c r="B32" s="74" t="str">
        <x:v>M21</x:v>
      </x:c>
      <x:c r="C32" s="74"/>
      <x:c r="D32" s="79"/>
      <x:c r="E32" s="74" t="str">
        <x:v>V1.0</x:v>
      </x:c>
      <x:c r="F32" s="68"/>
      <x:c r="G32" s="68"/>
      <x:c r="H32" s="82"/>
      <x:c r="I32" s="68"/>
      <x:c r="J32" s="68"/>
      <x:c r="K32" s="68"/>
      <x:c r="L32" s="68"/>
      <x:c r="M32" s="68"/>
      <x:c r="N32" s="68"/>
      <x:c r="O32" s="68"/>
      <x:c r="P32" s="90"/>
      <x:c r="Q32" s="82"/>
      <x:c r="R32" s="68"/>
      <x:c r="S32" s="68"/>
      <x:c r="T32" s="68"/>
      <x:c r="U32" s="82"/>
      <x:c r="V32" s="82"/>
      <x:c r="W32" s="68"/>
      <x:c r="X32" s="87"/>
      <x:c r="Y32" s="68"/>
    </x:row>
    <x:row r="33">
      <x:c r="A33" s="72" t="str">
        <x:f>IF(OR(C33="",D33=""),"",B33&amp;"-"&amp;UPPER(C33)&amp;"-"&amp;TEXT(D33,"0000")&amp;"-"&amp;E33)</x:f>
      </x:c>
      <x:c r="B33" s="74" t="str">
        <x:v>M21</x:v>
      </x:c>
      <x:c r="C33" s="74"/>
      <x:c r="D33" s="79"/>
      <x:c r="E33" s="74" t="str">
        <x:v>V1.0</x:v>
      </x:c>
      <x:c r="F33" s="68"/>
      <x:c r="G33" s="68"/>
      <x:c r="H33" s="82"/>
      <x:c r="I33" s="68"/>
      <x:c r="J33" s="68"/>
      <x:c r="K33" s="68"/>
      <x:c r="L33" s="68"/>
      <x:c r="M33" s="68"/>
      <x:c r="N33" s="68"/>
      <x:c r="O33" s="68"/>
      <x:c r="P33" s="90"/>
      <x:c r="Q33" s="82"/>
      <x:c r="R33" s="68"/>
      <x:c r="S33" s="68"/>
      <x:c r="T33" s="68"/>
      <x:c r="U33" s="82"/>
      <x:c r="V33" s="82"/>
      <x:c r="W33" s="68"/>
      <x:c r="X33" s="87"/>
      <x:c r="Y33" s="68"/>
    </x:row>
    <x:row r="34">
      <x:c r="A34" s="72" t="str">
        <x:f>IF(OR(C34="",D34=""),"",B34&amp;"-"&amp;UPPER(C34)&amp;"-"&amp;TEXT(D34,"0000")&amp;"-"&amp;E34)</x:f>
      </x:c>
      <x:c r="B34" s="74" t="str">
        <x:v>M21</x:v>
      </x:c>
      <x:c r="C34" s="74"/>
      <x:c r="D34" s="79"/>
      <x:c r="E34" s="74" t="str">
        <x:v>V1.0</x:v>
      </x:c>
      <x:c r="F34" s="68"/>
      <x:c r="G34" s="68"/>
      <x:c r="H34" s="82"/>
      <x:c r="I34" s="68"/>
      <x:c r="J34" s="68"/>
      <x:c r="K34" s="68"/>
      <x:c r="L34" s="68"/>
      <x:c r="M34" s="68"/>
      <x:c r="N34" s="68"/>
      <x:c r="O34" s="68"/>
      <x:c r="P34" s="90"/>
      <x:c r="Q34" s="82"/>
      <x:c r="R34" s="68"/>
      <x:c r="S34" s="68"/>
      <x:c r="T34" s="68"/>
      <x:c r="U34" s="82"/>
      <x:c r="V34" s="82"/>
      <x:c r="W34" s="68"/>
      <x:c r="X34" s="87"/>
      <x:c r="Y34" s="68"/>
    </x:row>
    <x:row r="35">
      <x:c r="A35" s="72" t="str">
        <x:f>IF(OR(C35="",D35=""),"",B35&amp;"-"&amp;UPPER(C35)&amp;"-"&amp;TEXT(D35,"0000")&amp;"-"&amp;E35)</x:f>
      </x:c>
      <x:c r="B35" s="74" t="str">
        <x:v>M21</x:v>
      </x:c>
      <x:c r="C35" s="74"/>
      <x:c r="D35" s="79"/>
      <x:c r="E35" s="74" t="str">
        <x:v>V1.0</x:v>
      </x:c>
      <x:c r="F35" s="68"/>
      <x:c r="G35" s="68"/>
      <x:c r="H35" s="82"/>
      <x:c r="I35" s="68"/>
      <x:c r="J35" s="68"/>
      <x:c r="K35" s="68"/>
      <x:c r="L35" s="68"/>
      <x:c r="M35" s="68"/>
      <x:c r="N35" s="68"/>
      <x:c r="O35" s="68"/>
      <x:c r="P35" s="90"/>
      <x:c r="Q35" s="82"/>
      <x:c r="R35" s="68"/>
      <x:c r="S35" s="68"/>
      <x:c r="T35" s="68"/>
      <x:c r="U35" s="82"/>
      <x:c r="V35" s="82"/>
      <x:c r="W35" s="68"/>
      <x:c r="X35" s="87"/>
      <x:c r="Y35" s="68"/>
    </x:row>
    <x:row r="36">
      <x:c r="A36" s="72" t="str">
        <x:f>IF(OR(C36="",D36=""),"",B36&amp;"-"&amp;UPPER(C36)&amp;"-"&amp;TEXT(D36,"0000")&amp;"-"&amp;E36)</x:f>
      </x:c>
      <x:c r="B36" s="74" t="str">
        <x:v>M21</x:v>
      </x:c>
      <x:c r="C36" s="74"/>
      <x:c r="D36" s="79"/>
      <x:c r="E36" s="74" t="str">
        <x:v>V1.0</x:v>
      </x:c>
      <x:c r="F36" s="68"/>
      <x:c r="G36" s="68"/>
      <x:c r="H36" s="82"/>
      <x:c r="I36" s="68"/>
      <x:c r="J36" s="68"/>
      <x:c r="K36" s="68"/>
      <x:c r="L36" s="68"/>
      <x:c r="M36" s="68"/>
      <x:c r="N36" s="68"/>
      <x:c r="O36" s="68"/>
      <x:c r="P36" s="90"/>
      <x:c r="Q36" s="82"/>
      <x:c r="R36" s="68"/>
      <x:c r="S36" s="68"/>
      <x:c r="T36" s="68"/>
      <x:c r="U36" s="82"/>
      <x:c r="V36" s="82"/>
      <x:c r="W36" s="68"/>
      <x:c r="X36" s="87"/>
      <x:c r="Y36" s="68"/>
    </x:row>
    <x:row r="37">
      <x:c r="A37" s="72" t="str">
        <x:f>IF(OR(C37="",D37=""),"",B37&amp;"-"&amp;UPPER(C37)&amp;"-"&amp;TEXT(D37,"0000")&amp;"-"&amp;E37)</x:f>
      </x:c>
      <x:c r="B37" s="74" t="str">
        <x:v>M21</x:v>
      </x:c>
      <x:c r="C37" s="74"/>
      <x:c r="D37" s="79"/>
      <x:c r="E37" s="74" t="str">
        <x:v>V1.0</x:v>
      </x:c>
      <x:c r="F37" s="68"/>
      <x:c r="G37" s="68"/>
      <x:c r="H37" s="82"/>
      <x:c r="I37" s="68"/>
      <x:c r="J37" s="68"/>
      <x:c r="K37" s="68"/>
      <x:c r="L37" s="68"/>
      <x:c r="M37" s="68"/>
      <x:c r="N37" s="68"/>
      <x:c r="O37" s="68"/>
      <x:c r="P37" s="90"/>
      <x:c r="Q37" s="82"/>
      <x:c r="R37" s="68"/>
      <x:c r="S37" s="68"/>
      <x:c r="T37" s="68"/>
      <x:c r="U37" s="82"/>
      <x:c r="V37" s="82"/>
      <x:c r="W37" s="68"/>
      <x:c r="X37" s="87"/>
      <x:c r="Y37" s="68"/>
    </x:row>
    <x:row r="38">
      <x:c r="A38" s="72" t="str">
        <x:f>IF(OR(C38="",D38=""),"",B38&amp;"-"&amp;UPPER(C38)&amp;"-"&amp;TEXT(D38,"0000")&amp;"-"&amp;E38)</x:f>
      </x:c>
      <x:c r="B38" s="74" t="str">
        <x:v>M21</x:v>
      </x:c>
      <x:c r="C38" s="74"/>
      <x:c r="D38" s="79"/>
      <x:c r="E38" s="74" t="str">
        <x:v>V1.0</x:v>
      </x:c>
      <x:c r="F38" s="68"/>
      <x:c r="G38" s="68"/>
      <x:c r="H38" s="82"/>
      <x:c r="I38" s="68"/>
      <x:c r="J38" s="68"/>
      <x:c r="K38" s="68"/>
      <x:c r="L38" s="68"/>
      <x:c r="M38" s="68"/>
      <x:c r="N38" s="68"/>
      <x:c r="O38" s="68"/>
      <x:c r="P38" s="90"/>
      <x:c r="Q38" s="82"/>
      <x:c r="R38" s="68"/>
      <x:c r="S38" s="68"/>
      <x:c r="T38" s="68"/>
      <x:c r="U38" s="82"/>
      <x:c r="V38" s="82"/>
      <x:c r="W38" s="68"/>
      <x:c r="X38" s="87"/>
      <x:c r="Y38" s="68"/>
    </x:row>
    <x:row r="39">
      <x:c r="A39" s="72" t="str">
        <x:f>IF(OR(C39="",D39=""),"",B39&amp;"-"&amp;UPPER(C39)&amp;"-"&amp;TEXT(D39,"0000")&amp;"-"&amp;E39)</x:f>
      </x:c>
      <x:c r="B39" s="74" t="str">
        <x:v>M21</x:v>
      </x:c>
      <x:c r="C39" s="74"/>
      <x:c r="D39" s="79"/>
      <x:c r="E39" s="74" t="str">
        <x:v>V1.0</x:v>
      </x:c>
      <x:c r="F39" s="68"/>
      <x:c r="G39" s="68"/>
      <x:c r="H39" s="82"/>
      <x:c r="I39" s="68"/>
      <x:c r="J39" s="68"/>
      <x:c r="K39" s="68"/>
      <x:c r="L39" s="68"/>
      <x:c r="M39" s="68"/>
      <x:c r="N39" s="68"/>
      <x:c r="O39" s="68"/>
      <x:c r="P39" s="90"/>
      <x:c r="Q39" s="82"/>
      <x:c r="R39" s="68"/>
      <x:c r="S39" s="68"/>
      <x:c r="T39" s="68"/>
      <x:c r="U39" s="82"/>
      <x:c r="V39" s="82"/>
      <x:c r="W39" s="68"/>
      <x:c r="X39" s="87"/>
      <x:c r="Y39" s="68"/>
    </x:row>
    <x:row r="40">
      <x:c r="A40" s="72" t="str">
        <x:f>IF(OR(C40="",D40=""),"",B40&amp;"-"&amp;UPPER(C40)&amp;"-"&amp;TEXT(D40,"0000")&amp;"-"&amp;E40)</x:f>
      </x:c>
      <x:c r="B40" s="74" t="str">
        <x:v>M21</x:v>
      </x:c>
      <x:c r="C40" s="74"/>
      <x:c r="D40" s="79"/>
      <x:c r="E40" s="74" t="str">
        <x:v>V1.0</x:v>
      </x:c>
      <x:c r="F40" s="68"/>
      <x:c r="G40" s="68"/>
      <x:c r="H40" s="82"/>
      <x:c r="I40" s="68"/>
      <x:c r="J40" s="68"/>
      <x:c r="K40" s="68"/>
      <x:c r="L40" s="68"/>
      <x:c r="M40" s="68"/>
      <x:c r="N40" s="68"/>
      <x:c r="O40" s="68"/>
      <x:c r="P40" s="90"/>
      <x:c r="Q40" s="82"/>
      <x:c r="R40" s="68"/>
      <x:c r="S40" s="68"/>
      <x:c r="T40" s="68"/>
      <x:c r="U40" s="82"/>
      <x:c r="V40" s="82"/>
      <x:c r="W40" s="68"/>
      <x:c r="X40" s="87"/>
      <x:c r="Y40" s="68"/>
    </x:row>
    <x:row r="41">
      <x:c r="A41" s="72" t="str">
        <x:f>IF(OR(C41="",D41=""),"",B41&amp;"-"&amp;UPPER(C41)&amp;"-"&amp;TEXT(D41,"0000")&amp;"-"&amp;E41)</x:f>
      </x:c>
      <x:c r="B41" s="74" t="str">
        <x:v>M21</x:v>
      </x:c>
      <x:c r="C41" s="74"/>
      <x:c r="D41" s="79"/>
      <x:c r="E41" s="74" t="str">
        <x:v>V1.0</x:v>
      </x:c>
      <x:c r="F41" s="68"/>
      <x:c r="G41" s="68"/>
      <x:c r="H41" s="82"/>
      <x:c r="I41" s="68"/>
      <x:c r="J41" s="68"/>
      <x:c r="K41" s="68"/>
      <x:c r="L41" s="68"/>
      <x:c r="M41" s="68"/>
      <x:c r="N41" s="68"/>
      <x:c r="O41" s="68"/>
      <x:c r="P41" s="90"/>
      <x:c r="Q41" s="82"/>
      <x:c r="R41" s="68"/>
      <x:c r="S41" s="68"/>
      <x:c r="T41" s="68"/>
      <x:c r="U41" s="82"/>
      <x:c r="V41" s="82"/>
      <x:c r="W41" s="68"/>
      <x:c r="X41" s="87"/>
      <x:c r="Y41" s="68"/>
    </x:row>
    <x:row r="42">
      <x:c r="A42" s="72" t="str">
        <x:f>IF(OR(C42="",D42=""),"",B42&amp;"-"&amp;UPPER(C42)&amp;"-"&amp;TEXT(D42,"0000")&amp;"-"&amp;E42)</x:f>
      </x:c>
      <x:c r="B42" s="74" t="str">
        <x:v>M21</x:v>
      </x:c>
      <x:c r="C42" s="74"/>
      <x:c r="D42" s="79"/>
      <x:c r="E42" s="74" t="str">
        <x:v>V1.0</x:v>
      </x:c>
      <x:c r="F42" s="68"/>
      <x:c r="G42" s="68"/>
      <x:c r="H42" s="82"/>
      <x:c r="I42" s="68"/>
      <x:c r="J42" s="68"/>
      <x:c r="K42" s="68"/>
      <x:c r="L42" s="68"/>
      <x:c r="M42" s="68"/>
      <x:c r="N42" s="68"/>
      <x:c r="O42" s="68"/>
      <x:c r="P42" s="90"/>
      <x:c r="Q42" s="82"/>
      <x:c r="R42" s="68"/>
      <x:c r="S42" s="68"/>
      <x:c r="T42" s="68"/>
      <x:c r="U42" s="82"/>
      <x:c r="V42" s="82"/>
      <x:c r="W42" s="68"/>
      <x:c r="X42" s="87"/>
      <x:c r="Y42" s="68"/>
    </x:row>
    <x:row r="43">
      <x:c r="A43" s="72" t="str">
        <x:f>IF(OR(C43="",D43=""),"",B43&amp;"-"&amp;UPPER(C43)&amp;"-"&amp;TEXT(D43,"0000")&amp;"-"&amp;E43)</x:f>
      </x:c>
      <x:c r="B43" s="74" t="str">
        <x:v>M21</x:v>
      </x:c>
      <x:c r="C43" s="74"/>
      <x:c r="D43" s="79"/>
      <x:c r="E43" s="74" t="str">
        <x:v>V1.0</x:v>
      </x:c>
      <x:c r="F43" s="68"/>
      <x:c r="G43" s="68"/>
      <x:c r="H43" s="82"/>
      <x:c r="I43" s="68"/>
      <x:c r="J43" s="68"/>
      <x:c r="K43" s="68"/>
      <x:c r="L43" s="68"/>
      <x:c r="M43" s="68"/>
      <x:c r="N43" s="68"/>
      <x:c r="O43" s="68"/>
      <x:c r="P43" s="90"/>
      <x:c r="Q43" s="82"/>
      <x:c r="R43" s="68"/>
      <x:c r="S43" s="68"/>
      <x:c r="T43" s="68"/>
      <x:c r="U43" s="82"/>
      <x:c r="V43" s="82"/>
      <x:c r="W43" s="68"/>
      <x:c r="X43" s="87"/>
      <x:c r="Y43" s="68"/>
    </x:row>
    <x:row r="44">
      <x:c r="A44" s="72" t="str">
        <x:f>IF(OR(C44="",D44=""),"",B44&amp;"-"&amp;UPPER(C44)&amp;"-"&amp;TEXT(D44,"0000")&amp;"-"&amp;E44)</x:f>
      </x:c>
      <x:c r="B44" s="74" t="str">
        <x:v>M21</x:v>
      </x:c>
      <x:c r="C44" s="74"/>
      <x:c r="D44" s="79"/>
      <x:c r="E44" s="74" t="str">
        <x:v>V1.0</x:v>
      </x:c>
      <x:c r="F44" s="68"/>
      <x:c r="G44" s="68"/>
      <x:c r="H44" s="82"/>
      <x:c r="I44" s="68"/>
      <x:c r="J44" s="68"/>
      <x:c r="K44" s="68"/>
      <x:c r="L44" s="68"/>
      <x:c r="M44" s="68"/>
      <x:c r="N44" s="68"/>
      <x:c r="O44" s="68"/>
      <x:c r="P44" s="90"/>
      <x:c r="Q44" s="82"/>
      <x:c r="R44" s="68"/>
      <x:c r="S44" s="68"/>
      <x:c r="T44" s="68"/>
      <x:c r="U44" s="82"/>
      <x:c r="V44" s="82"/>
      <x:c r="W44" s="68"/>
      <x:c r="X44" s="87"/>
      <x:c r="Y44" s="68"/>
    </x:row>
    <x:row r="45">
      <x:c r="A45" s="72" t="str">
        <x:f>IF(OR(C45="",D45=""),"",B45&amp;"-"&amp;UPPER(C45)&amp;"-"&amp;TEXT(D45,"0000")&amp;"-"&amp;E45)</x:f>
      </x:c>
      <x:c r="B45" s="74" t="str">
        <x:v>M21</x:v>
      </x:c>
      <x:c r="C45" s="74"/>
      <x:c r="D45" s="79"/>
      <x:c r="E45" s="74" t="str">
        <x:v>V1.0</x:v>
      </x:c>
      <x:c r="F45" s="68"/>
      <x:c r="G45" s="68"/>
      <x:c r="H45" s="82"/>
      <x:c r="I45" s="68"/>
      <x:c r="J45" s="68"/>
      <x:c r="K45" s="68"/>
      <x:c r="L45" s="68"/>
      <x:c r="M45" s="68"/>
      <x:c r="N45" s="68"/>
      <x:c r="O45" s="68"/>
      <x:c r="P45" s="90"/>
      <x:c r="Q45" s="82"/>
      <x:c r="R45" s="68"/>
      <x:c r="S45" s="68"/>
      <x:c r="T45" s="68"/>
      <x:c r="U45" s="82"/>
      <x:c r="V45" s="82"/>
      <x:c r="W45" s="68"/>
      <x:c r="X45" s="87"/>
      <x:c r="Y45" s="68"/>
    </x:row>
    <x:row r="46">
      <x:c r="A46" s="72" t="str">
        <x:f>IF(OR(C46="",D46=""),"",B46&amp;"-"&amp;UPPER(C46)&amp;"-"&amp;TEXT(D46,"0000")&amp;"-"&amp;E46)</x:f>
      </x:c>
      <x:c r="B46" s="74" t="str">
        <x:v>M21</x:v>
      </x:c>
      <x:c r="C46" s="74"/>
      <x:c r="D46" s="79"/>
      <x:c r="E46" s="74" t="str">
        <x:v>V1.0</x:v>
      </x:c>
      <x:c r="F46" s="68"/>
      <x:c r="G46" s="68"/>
      <x:c r="H46" s="82"/>
      <x:c r="I46" s="68"/>
      <x:c r="J46" s="68"/>
      <x:c r="K46" s="68"/>
      <x:c r="L46" s="68"/>
      <x:c r="M46" s="68"/>
      <x:c r="N46" s="68"/>
      <x:c r="O46" s="68"/>
      <x:c r="P46" s="90"/>
      <x:c r="Q46" s="82"/>
      <x:c r="R46" s="68"/>
      <x:c r="S46" s="68"/>
      <x:c r="T46" s="68"/>
      <x:c r="U46" s="82"/>
      <x:c r="V46" s="82"/>
      <x:c r="W46" s="68"/>
      <x:c r="X46" s="87"/>
      <x:c r="Y46" s="68"/>
    </x:row>
    <x:row r="47">
      <x:c r="A47" s="72" t="str">
        <x:f>IF(OR(C47="",D47=""),"",B47&amp;"-"&amp;UPPER(C47)&amp;"-"&amp;TEXT(D47,"0000")&amp;"-"&amp;E47)</x:f>
      </x:c>
      <x:c r="B47" s="74" t="str">
        <x:v>M21</x:v>
      </x:c>
      <x:c r="C47" s="74"/>
      <x:c r="D47" s="79"/>
      <x:c r="E47" s="74" t="str">
        <x:v>V1.0</x:v>
      </x:c>
      <x:c r="F47" s="68"/>
      <x:c r="G47" s="68"/>
      <x:c r="H47" s="82"/>
      <x:c r="I47" s="68"/>
      <x:c r="J47" s="68"/>
      <x:c r="K47" s="68"/>
      <x:c r="L47" s="68"/>
      <x:c r="M47" s="68"/>
      <x:c r="N47" s="68"/>
      <x:c r="O47" s="68"/>
      <x:c r="P47" s="90"/>
      <x:c r="Q47" s="82"/>
      <x:c r="R47" s="68"/>
      <x:c r="S47" s="68"/>
      <x:c r="T47" s="68"/>
      <x:c r="U47" s="82"/>
      <x:c r="V47" s="82"/>
      <x:c r="W47" s="68"/>
      <x:c r="X47" s="87"/>
      <x:c r="Y47" s="68"/>
    </x:row>
    <x:row r="48">
      <x:c r="A48" s="72" t="str">
        <x:f>IF(OR(C48="",D48=""),"",B48&amp;"-"&amp;UPPER(C48)&amp;"-"&amp;TEXT(D48,"0000")&amp;"-"&amp;E48)</x:f>
      </x:c>
      <x:c r="B48" s="74" t="str">
        <x:v>M21</x:v>
      </x:c>
      <x:c r="C48" s="74"/>
      <x:c r="D48" s="79"/>
      <x:c r="E48" s="74" t="str">
        <x:v>V1.0</x:v>
      </x:c>
      <x:c r="F48" s="68"/>
      <x:c r="G48" s="68"/>
      <x:c r="H48" s="82"/>
      <x:c r="I48" s="68"/>
      <x:c r="J48" s="68"/>
      <x:c r="K48" s="68"/>
      <x:c r="L48" s="68"/>
      <x:c r="M48" s="68"/>
      <x:c r="N48" s="68"/>
      <x:c r="O48" s="68"/>
      <x:c r="P48" s="90"/>
      <x:c r="Q48" s="82"/>
      <x:c r="R48" s="68"/>
      <x:c r="S48" s="68"/>
      <x:c r="T48" s="68"/>
      <x:c r="U48" s="82"/>
      <x:c r="V48" s="82"/>
      <x:c r="W48" s="68"/>
      <x:c r="X48" s="87"/>
      <x:c r="Y48" s="68"/>
    </x:row>
    <x:row r="49">
      <x:c r="A49" s="72" t="str">
        <x:f>IF(OR(C49="",D49=""),"",B49&amp;"-"&amp;UPPER(C49)&amp;"-"&amp;TEXT(D49,"0000")&amp;"-"&amp;E49)</x:f>
      </x:c>
      <x:c r="B49" s="74" t="str">
        <x:v>M21</x:v>
      </x:c>
      <x:c r="C49" s="74"/>
      <x:c r="D49" s="79"/>
      <x:c r="E49" s="74" t="str">
        <x:v>V1.0</x:v>
      </x:c>
      <x:c r="F49" s="68"/>
      <x:c r="G49" s="68"/>
      <x:c r="H49" s="82"/>
      <x:c r="I49" s="68"/>
      <x:c r="J49" s="68"/>
      <x:c r="K49" s="68"/>
      <x:c r="L49" s="68"/>
      <x:c r="M49" s="68"/>
      <x:c r="N49" s="68"/>
      <x:c r="O49" s="68"/>
      <x:c r="P49" s="90"/>
      <x:c r="Q49" s="82"/>
      <x:c r="R49" s="68"/>
      <x:c r="S49" s="68"/>
      <x:c r="T49" s="68"/>
      <x:c r="U49" s="82"/>
      <x:c r="V49" s="82"/>
      <x:c r="W49" s="68"/>
      <x:c r="X49" s="87"/>
      <x:c r="Y49" s="68"/>
    </x:row>
    <x:row r="50">
      <x:c r="A50" s="72" t="str">
        <x:f>IF(OR(C50="",D50=""),"",B50&amp;"-"&amp;UPPER(C50)&amp;"-"&amp;TEXT(D50,"0000")&amp;"-"&amp;E50)</x:f>
      </x:c>
      <x:c r="B50" s="74" t="str">
        <x:v>M21</x:v>
      </x:c>
      <x:c r="C50" s="74"/>
      <x:c r="D50" s="79"/>
      <x:c r="E50" s="74" t="str">
        <x:v>V1.0</x:v>
      </x:c>
      <x:c r="F50" s="68"/>
      <x:c r="G50" s="68"/>
      <x:c r="H50" s="82"/>
      <x:c r="I50" s="68"/>
      <x:c r="J50" s="68"/>
      <x:c r="K50" s="68"/>
      <x:c r="L50" s="68"/>
      <x:c r="M50" s="68"/>
      <x:c r="N50" s="68"/>
      <x:c r="O50" s="68"/>
      <x:c r="P50" s="90"/>
      <x:c r="Q50" s="82"/>
      <x:c r="R50" s="68"/>
      <x:c r="S50" s="68"/>
      <x:c r="T50" s="68"/>
      <x:c r="U50" s="82"/>
      <x:c r="V50" s="82"/>
      <x:c r="W50" s="68"/>
      <x:c r="X50" s="87"/>
      <x:c r="Y50" s="68"/>
    </x:row>
    <x:row r="51">
      <x:c r="A51" s="72" t="str">
        <x:f>IF(OR(C51="",D51=""),"",B51&amp;"-"&amp;UPPER(C51)&amp;"-"&amp;TEXT(D51,"0000")&amp;"-"&amp;E51)</x:f>
      </x:c>
      <x:c r="B51" s="74" t="str">
        <x:v>M21</x:v>
      </x:c>
      <x:c r="C51" s="74"/>
      <x:c r="D51" s="79"/>
      <x:c r="E51" s="74" t="str">
        <x:v>V1.0</x:v>
      </x:c>
      <x:c r="F51" s="68"/>
      <x:c r="G51" s="68"/>
      <x:c r="H51" s="82"/>
      <x:c r="I51" s="68"/>
      <x:c r="J51" s="68"/>
      <x:c r="K51" s="68"/>
      <x:c r="L51" s="68"/>
      <x:c r="M51" s="68"/>
      <x:c r="N51" s="68"/>
      <x:c r="O51" s="68"/>
      <x:c r="P51" s="90"/>
      <x:c r="Q51" s="82"/>
      <x:c r="R51" s="68"/>
      <x:c r="S51" s="68"/>
      <x:c r="T51" s="68"/>
      <x:c r="U51" s="82"/>
      <x:c r="V51" s="82"/>
      <x:c r="W51" s="68"/>
      <x:c r="X51" s="87"/>
      <x:c r="Y51" s="68"/>
    </x:row>
    <x:row r="52">
      <x:c r="A52" s="72" t="str">
        <x:f>IF(OR(C52="",D52=""),"",B52&amp;"-"&amp;UPPER(C52)&amp;"-"&amp;TEXT(D52,"0000")&amp;"-"&amp;E52)</x:f>
      </x:c>
      <x:c r="B52" s="74" t="str">
        <x:v>M21</x:v>
      </x:c>
      <x:c r="C52" s="74"/>
      <x:c r="D52" s="79"/>
      <x:c r="E52" s="74" t="str">
        <x:v>V1.0</x:v>
      </x:c>
      <x:c r="F52" s="68"/>
      <x:c r="G52" s="68"/>
      <x:c r="H52" s="82"/>
      <x:c r="I52" s="68"/>
      <x:c r="J52" s="68"/>
      <x:c r="K52" s="68"/>
      <x:c r="L52" s="68"/>
      <x:c r="M52" s="68"/>
      <x:c r="N52" s="68"/>
      <x:c r="O52" s="68"/>
      <x:c r="P52" s="90"/>
      <x:c r="Q52" s="82"/>
      <x:c r="R52" s="68"/>
      <x:c r="S52" s="68"/>
      <x:c r="T52" s="68"/>
      <x:c r="U52" s="82"/>
      <x:c r="V52" s="82"/>
      <x:c r="W52" s="68"/>
      <x:c r="X52" s="87"/>
      <x:c r="Y52" s="68"/>
    </x:row>
    <x:row r="53">
      <x:c r="A53" s="72" t="str">
        <x:f>IF(OR(C53="",D53=""),"",B53&amp;"-"&amp;UPPER(C53)&amp;"-"&amp;TEXT(D53,"0000")&amp;"-"&amp;E53)</x:f>
      </x:c>
      <x:c r="B53" s="74" t="str">
        <x:v>M21</x:v>
      </x:c>
      <x:c r="C53" s="74"/>
      <x:c r="D53" s="79"/>
      <x:c r="E53" s="74" t="str">
        <x:v>V1.0</x:v>
      </x:c>
      <x:c r="F53" s="68"/>
      <x:c r="G53" s="68"/>
      <x:c r="H53" s="82"/>
      <x:c r="I53" s="68"/>
      <x:c r="J53" s="68"/>
      <x:c r="K53" s="68"/>
      <x:c r="L53" s="68"/>
      <x:c r="M53" s="68"/>
      <x:c r="N53" s="68"/>
      <x:c r="O53" s="68"/>
      <x:c r="P53" s="90"/>
      <x:c r="Q53" s="82"/>
      <x:c r="R53" s="68"/>
      <x:c r="S53" s="68"/>
      <x:c r="T53" s="68"/>
      <x:c r="U53" s="82"/>
      <x:c r="V53" s="82"/>
      <x:c r="W53" s="68"/>
      <x:c r="X53" s="87"/>
      <x:c r="Y53" s="68"/>
    </x:row>
    <x:row r="54">
      <x:c r="A54" s="72" t="str">
        <x:f>IF(OR(C54="",D54=""),"",B54&amp;"-"&amp;UPPER(C54)&amp;"-"&amp;TEXT(D54,"0000")&amp;"-"&amp;E54)</x:f>
      </x:c>
      <x:c r="B54" s="74" t="str">
        <x:v>M21</x:v>
      </x:c>
      <x:c r="C54" s="74"/>
      <x:c r="D54" s="79"/>
      <x:c r="E54" s="74" t="str">
        <x:v>V1.0</x:v>
      </x:c>
      <x:c r="F54" s="68"/>
      <x:c r="G54" s="68"/>
      <x:c r="H54" s="82"/>
      <x:c r="I54" s="68"/>
      <x:c r="J54" s="68"/>
      <x:c r="K54" s="68"/>
      <x:c r="L54" s="68"/>
      <x:c r="M54" s="68"/>
      <x:c r="N54" s="68"/>
      <x:c r="O54" s="68"/>
      <x:c r="P54" s="90"/>
      <x:c r="Q54" s="82"/>
      <x:c r="R54" s="68"/>
      <x:c r="S54" s="68"/>
      <x:c r="T54" s="68"/>
      <x:c r="U54" s="82"/>
      <x:c r="V54" s="82"/>
      <x:c r="W54" s="68"/>
      <x:c r="X54" s="87"/>
      <x:c r="Y54" s="68"/>
    </x:row>
    <x:row r="55">
      <x:c r="A55" s="72" t="str">
        <x:f>IF(OR(C55="",D55=""),"",B55&amp;"-"&amp;UPPER(C55)&amp;"-"&amp;TEXT(D55,"0000")&amp;"-"&amp;E55)</x:f>
      </x:c>
      <x:c r="B55" s="74" t="str">
        <x:v>M21</x:v>
      </x:c>
      <x:c r="C55" s="74"/>
      <x:c r="D55" s="79"/>
      <x:c r="E55" s="74" t="str">
        <x:v>V1.0</x:v>
      </x:c>
      <x:c r="F55" s="68"/>
      <x:c r="G55" s="68"/>
      <x:c r="H55" s="82"/>
      <x:c r="I55" s="68"/>
      <x:c r="J55" s="68"/>
      <x:c r="K55" s="68"/>
      <x:c r="L55" s="68"/>
      <x:c r="M55" s="68"/>
      <x:c r="N55" s="68"/>
      <x:c r="O55" s="68"/>
      <x:c r="P55" s="90"/>
      <x:c r="Q55" s="82"/>
      <x:c r="R55" s="68"/>
      <x:c r="S55" s="68"/>
      <x:c r="T55" s="68"/>
      <x:c r="U55" s="82"/>
      <x:c r="V55" s="82"/>
      <x:c r="W55" s="68"/>
      <x:c r="X55" s="87"/>
      <x:c r="Y55" s="68"/>
    </x:row>
    <x:row r="56">
      <x:c r="A56" s="72" t="str">
        <x:f>IF(OR(C56="",D56=""),"",B56&amp;"-"&amp;UPPER(C56)&amp;"-"&amp;TEXT(D56,"0000")&amp;"-"&amp;E56)</x:f>
      </x:c>
      <x:c r="B56" s="74" t="str">
        <x:v>M21</x:v>
      </x:c>
      <x:c r="C56" s="74"/>
      <x:c r="D56" s="79"/>
      <x:c r="E56" s="74" t="str">
        <x:v>V1.0</x:v>
      </x:c>
      <x:c r="F56" s="68"/>
      <x:c r="G56" s="68"/>
      <x:c r="H56" s="82"/>
      <x:c r="I56" s="68"/>
      <x:c r="J56" s="68"/>
      <x:c r="K56" s="68"/>
      <x:c r="L56" s="68"/>
      <x:c r="M56" s="68"/>
      <x:c r="N56" s="68"/>
      <x:c r="O56" s="68"/>
      <x:c r="P56" s="90"/>
      <x:c r="Q56" s="82"/>
      <x:c r="R56" s="68"/>
      <x:c r="S56" s="68"/>
      <x:c r="T56" s="68"/>
      <x:c r="U56" s="82"/>
      <x:c r="V56" s="82"/>
      <x:c r="W56" s="68"/>
      <x:c r="X56" s="87"/>
      <x:c r="Y56" s="68"/>
    </x:row>
    <x:row r="57">
      <x:c r="A57" s="72" t="str">
        <x:f>IF(OR(C57="",D57=""),"",B57&amp;"-"&amp;UPPER(C57)&amp;"-"&amp;TEXT(D57,"0000")&amp;"-"&amp;E57)</x:f>
      </x:c>
      <x:c r="B57" s="74" t="str">
        <x:v>M21</x:v>
      </x:c>
      <x:c r="C57" s="74"/>
      <x:c r="D57" s="79"/>
      <x:c r="E57" s="74" t="str">
        <x:v>V1.0</x:v>
      </x:c>
      <x:c r="F57" s="68"/>
      <x:c r="G57" s="68"/>
      <x:c r="H57" s="82"/>
      <x:c r="I57" s="68"/>
      <x:c r="J57" s="68"/>
      <x:c r="K57" s="68"/>
      <x:c r="L57" s="68"/>
      <x:c r="M57" s="68"/>
      <x:c r="N57" s="68"/>
      <x:c r="O57" s="68"/>
      <x:c r="P57" s="90"/>
      <x:c r="Q57" s="82"/>
      <x:c r="R57" s="68"/>
      <x:c r="S57" s="68"/>
      <x:c r="T57" s="68"/>
      <x:c r="U57" s="82"/>
      <x:c r="V57" s="82"/>
      <x:c r="W57" s="68"/>
      <x:c r="X57" s="87"/>
      <x:c r="Y57" s="68"/>
    </x:row>
    <x:row r="58">
      <x:c r="A58" s="72" t="str">
        <x:f>IF(OR(C58="",D58=""),"",B58&amp;"-"&amp;UPPER(C58)&amp;"-"&amp;TEXT(D58,"0000")&amp;"-"&amp;E58)</x:f>
      </x:c>
      <x:c r="B58" s="74" t="str">
        <x:v>M21</x:v>
      </x:c>
      <x:c r="C58" s="74"/>
      <x:c r="D58" s="79"/>
      <x:c r="E58" s="74" t="str">
        <x:v>V1.0</x:v>
      </x:c>
      <x:c r="F58" s="68"/>
      <x:c r="G58" s="68"/>
      <x:c r="H58" s="82"/>
      <x:c r="I58" s="68"/>
      <x:c r="J58" s="68"/>
      <x:c r="K58" s="68"/>
      <x:c r="L58" s="68"/>
      <x:c r="M58" s="68"/>
      <x:c r="N58" s="68"/>
      <x:c r="O58" s="68"/>
      <x:c r="P58" s="90"/>
      <x:c r="Q58" s="82"/>
      <x:c r="R58" s="68"/>
      <x:c r="S58" s="68"/>
      <x:c r="T58" s="68"/>
      <x:c r="U58" s="82"/>
      <x:c r="V58" s="82"/>
      <x:c r="W58" s="68"/>
      <x:c r="X58" s="87"/>
      <x:c r="Y58" s="68"/>
    </x:row>
    <x:row r="59">
      <x:c r="A59" s="72" t="str">
        <x:f>IF(OR(C59="",D59=""),"",B59&amp;"-"&amp;UPPER(C59)&amp;"-"&amp;TEXT(D59,"0000")&amp;"-"&amp;E59)</x:f>
      </x:c>
      <x:c r="B59" s="74" t="str">
        <x:v>M21</x:v>
      </x:c>
      <x:c r="C59" s="74"/>
      <x:c r="D59" s="79"/>
      <x:c r="E59" s="74" t="str">
        <x:v>V1.0</x:v>
      </x:c>
      <x:c r="F59" s="68"/>
      <x:c r="G59" s="68"/>
      <x:c r="H59" s="82"/>
      <x:c r="I59" s="68"/>
      <x:c r="J59" s="68"/>
      <x:c r="K59" s="68"/>
      <x:c r="L59" s="68"/>
      <x:c r="M59" s="68"/>
      <x:c r="N59" s="68"/>
      <x:c r="O59" s="68"/>
      <x:c r="P59" s="90"/>
      <x:c r="Q59" s="82"/>
      <x:c r="R59" s="68"/>
      <x:c r="S59" s="68"/>
      <x:c r="T59" s="68"/>
      <x:c r="U59" s="82"/>
      <x:c r="V59" s="82"/>
      <x:c r="W59" s="68"/>
      <x:c r="X59" s="87"/>
      <x:c r="Y59" s="68"/>
    </x:row>
    <x:row r="60">
      <x:c r="A60" s="72" t="str">
        <x:f>IF(OR(C60="",D60=""),"",B60&amp;"-"&amp;UPPER(C60)&amp;"-"&amp;TEXT(D60,"0000")&amp;"-"&amp;E60)</x:f>
      </x:c>
      <x:c r="B60" s="74" t="str">
        <x:v>M21</x:v>
      </x:c>
      <x:c r="C60" s="74"/>
      <x:c r="D60" s="79"/>
      <x:c r="E60" s="74" t="str">
        <x:v>V1.0</x:v>
      </x:c>
      <x:c r="F60" s="68"/>
      <x:c r="G60" s="68"/>
      <x:c r="H60" s="82"/>
      <x:c r="I60" s="68"/>
      <x:c r="J60" s="68"/>
      <x:c r="K60" s="68"/>
      <x:c r="L60" s="68"/>
      <x:c r="M60" s="68"/>
      <x:c r="N60" s="68"/>
      <x:c r="O60" s="68"/>
      <x:c r="P60" s="90"/>
      <x:c r="Q60" s="82"/>
      <x:c r="R60" s="68"/>
      <x:c r="S60" s="68"/>
      <x:c r="T60" s="68"/>
      <x:c r="U60" s="82"/>
      <x:c r="V60" s="82"/>
      <x:c r="W60" s="68"/>
      <x:c r="X60" s="87"/>
      <x:c r="Y60" s="68"/>
    </x:row>
    <x:row r="61">
      <x:c r="A61" s="72" t="str">
        <x:f>IF(OR(C61="",D61=""),"",B61&amp;"-"&amp;UPPER(C61)&amp;"-"&amp;TEXT(D61,"0000")&amp;"-"&amp;E61)</x:f>
      </x:c>
      <x:c r="B61" s="74" t="str">
        <x:v>M21</x:v>
      </x:c>
      <x:c r="C61" s="74"/>
      <x:c r="D61" s="79"/>
      <x:c r="E61" s="74" t="str">
        <x:v>V1.0</x:v>
      </x:c>
      <x:c r="F61" s="68"/>
      <x:c r="G61" s="68"/>
      <x:c r="H61" s="82"/>
      <x:c r="I61" s="68"/>
      <x:c r="J61" s="68"/>
      <x:c r="K61" s="68"/>
      <x:c r="L61" s="68"/>
      <x:c r="M61" s="68"/>
      <x:c r="N61" s="68"/>
      <x:c r="O61" s="68"/>
      <x:c r="P61" s="90"/>
      <x:c r="Q61" s="82"/>
      <x:c r="R61" s="68"/>
      <x:c r="S61" s="68"/>
      <x:c r="T61" s="68"/>
      <x:c r="U61" s="82"/>
      <x:c r="V61" s="82"/>
      <x:c r="W61" s="68"/>
      <x:c r="X61" s="87"/>
      <x:c r="Y61" s="68"/>
    </x:row>
    <x:row r="62">
      <x:c r="A62" s="72" t="str">
        <x:f>IF(OR(C62="",D62=""),"",B62&amp;"-"&amp;UPPER(C62)&amp;"-"&amp;TEXT(D62,"0000")&amp;"-"&amp;E62)</x:f>
      </x:c>
      <x:c r="B62" s="74" t="str">
        <x:v>M21</x:v>
      </x:c>
      <x:c r="C62" s="74"/>
      <x:c r="D62" s="79"/>
      <x:c r="E62" s="74" t="str">
        <x:v>V1.0</x:v>
      </x:c>
      <x:c r="F62" s="68"/>
      <x:c r="G62" s="68"/>
      <x:c r="H62" s="82"/>
      <x:c r="I62" s="68"/>
      <x:c r="J62" s="68"/>
      <x:c r="K62" s="68"/>
      <x:c r="L62" s="68"/>
      <x:c r="M62" s="68"/>
      <x:c r="N62" s="68"/>
      <x:c r="O62" s="68"/>
      <x:c r="P62" s="90"/>
      <x:c r="Q62" s="82"/>
      <x:c r="R62" s="68"/>
      <x:c r="S62" s="68"/>
      <x:c r="T62" s="68"/>
      <x:c r="U62" s="82"/>
      <x:c r="V62" s="82"/>
      <x:c r="W62" s="68"/>
      <x:c r="X62" s="87"/>
      <x:c r="Y62" s="68"/>
    </x:row>
    <x:row r="63">
      <x:c r="A63" s="72" t="str">
        <x:f>IF(OR(C63="",D63=""),"",B63&amp;"-"&amp;UPPER(C63)&amp;"-"&amp;TEXT(D63,"0000")&amp;"-"&amp;E63)</x:f>
      </x:c>
      <x:c r="B63" s="74" t="str">
        <x:v>M21</x:v>
      </x:c>
      <x:c r="C63" s="74"/>
      <x:c r="D63" s="79"/>
      <x:c r="E63" s="74" t="str">
        <x:v>V1.0</x:v>
      </x:c>
      <x:c r="F63" s="68"/>
      <x:c r="G63" s="68"/>
      <x:c r="H63" s="82"/>
      <x:c r="I63" s="68"/>
      <x:c r="J63" s="68"/>
      <x:c r="K63" s="68"/>
      <x:c r="L63" s="68"/>
      <x:c r="M63" s="68"/>
      <x:c r="N63" s="68"/>
      <x:c r="O63" s="68"/>
      <x:c r="P63" s="90"/>
      <x:c r="Q63" s="82"/>
      <x:c r="R63" s="68"/>
      <x:c r="S63" s="68"/>
      <x:c r="T63" s="68"/>
      <x:c r="U63" s="82"/>
      <x:c r="V63" s="82"/>
      <x:c r="W63" s="68"/>
      <x:c r="X63" s="87"/>
      <x:c r="Y63" s="68"/>
    </x:row>
    <x:row r="64">
      <x:c r="A64" s="72" t="str">
        <x:f>IF(OR(C64="",D64=""),"",B64&amp;"-"&amp;UPPER(C64)&amp;"-"&amp;TEXT(D64,"0000")&amp;"-"&amp;E64)</x:f>
      </x:c>
      <x:c r="B64" s="74" t="str">
        <x:v>M21</x:v>
      </x:c>
      <x:c r="C64" s="74"/>
      <x:c r="D64" s="79"/>
      <x:c r="E64" s="74" t="str">
        <x:v>V1.0</x:v>
      </x:c>
      <x:c r="F64" s="68"/>
      <x:c r="G64" s="68"/>
      <x:c r="H64" s="82"/>
      <x:c r="I64" s="68"/>
      <x:c r="J64" s="68"/>
      <x:c r="K64" s="68"/>
      <x:c r="L64" s="68"/>
      <x:c r="M64" s="68"/>
      <x:c r="N64" s="68"/>
      <x:c r="O64" s="68"/>
      <x:c r="P64" s="90"/>
      <x:c r="Q64" s="82"/>
      <x:c r="R64" s="68"/>
      <x:c r="S64" s="68"/>
      <x:c r="T64" s="68"/>
      <x:c r="U64" s="82"/>
      <x:c r="V64" s="82"/>
      <x:c r="W64" s="68"/>
      <x:c r="X64" s="87"/>
      <x:c r="Y64" s="68"/>
    </x:row>
    <x:row r="65">
      <x:c r="A65" s="72" t="str">
        <x:f>IF(OR(C65="",D65=""),"",B65&amp;"-"&amp;UPPER(C65)&amp;"-"&amp;TEXT(D65,"0000")&amp;"-"&amp;E65)</x:f>
      </x:c>
      <x:c r="B65" s="74" t="str">
        <x:v>M21</x:v>
      </x:c>
      <x:c r="C65" s="74"/>
      <x:c r="D65" s="79"/>
      <x:c r="E65" s="74" t="str">
        <x:v>V1.0</x:v>
      </x:c>
      <x:c r="F65" s="68"/>
      <x:c r="G65" s="68"/>
      <x:c r="H65" s="82"/>
      <x:c r="I65" s="68"/>
      <x:c r="J65" s="68"/>
      <x:c r="K65" s="68"/>
      <x:c r="L65" s="68"/>
      <x:c r="M65" s="68"/>
      <x:c r="N65" s="68"/>
      <x:c r="O65" s="68"/>
      <x:c r="P65" s="90"/>
      <x:c r="Q65" s="82"/>
      <x:c r="R65" s="68"/>
      <x:c r="S65" s="68"/>
      <x:c r="T65" s="68"/>
      <x:c r="U65" s="82"/>
      <x:c r="V65" s="82"/>
      <x:c r="W65" s="68"/>
      <x:c r="X65" s="87"/>
      <x:c r="Y65" s="68"/>
    </x:row>
    <x:row r="66">
      <x:c r="A66" s="72" t="str">
        <x:f>IF(OR(C66="",D66=""),"",B66&amp;"-"&amp;UPPER(C66)&amp;"-"&amp;TEXT(D66,"0000")&amp;"-"&amp;E66)</x:f>
      </x:c>
      <x:c r="B66" s="74" t="str">
        <x:v>M21</x:v>
      </x:c>
      <x:c r="C66" s="74"/>
      <x:c r="D66" s="79"/>
      <x:c r="E66" s="74" t="str">
        <x:v>V1.0</x:v>
      </x:c>
      <x:c r="F66" s="68"/>
      <x:c r="G66" s="68"/>
      <x:c r="H66" s="82"/>
      <x:c r="I66" s="68"/>
      <x:c r="J66" s="68"/>
      <x:c r="K66" s="68"/>
      <x:c r="L66" s="68"/>
      <x:c r="M66" s="68"/>
      <x:c r="N66" s="68"/>
      <x:c r="O66" s="68"/>
      <x:c r="P66" s="90"/>
      <x:c r="Q66" s="82"/>
      <x:c r="R66" s="68"/>
      <x:c r="S66" s="68"/>
      <x:c r="T66" s="68"/>
      <x:c r="U66" s="82"/>
      <x:c r="V66" s="82"/>
      <x:c r="W66" s="68"/>
      <x:c r="X66" s="87"/>
      <x:c r="Y66" s="68"/>
    </x:row>
    <x:row r="67">
      <x:c r="A67" s="72" t="str">
        <x:f>IF(OR(C67="",D67=""),"",B67&amp;"-"&amp;UPPER(C67)&amp;"-"&amp;TEXT(D67,"0000")&amp;"-"&amp;E67)</x:f>
      </x:c>
      <x:c r="B67" s="74" t="str">
        <x:v>M21</x:v>
      </x:c>
      <x:c r="C67" s="74"/>
      <x:c r="D67" s="79"/>
      <x:c r="E67" s="74" t="str">
        <x:v>V1.0</x:v>
      </x:c>
      <x:c r="F67" s="68"/>
      <x:c r="G67" s="68"/>
      <x:c r="H67" s="82"/>
      <x:c r="I67" s="68"/>
      <x:c r="J67" s="68"/>
      <x:c r="K67" s="68"/>
      <x:c r="L67" s="68"/>
      <x:c r="M67" s="68"/>
      <x:c r="N67" s="68"/>
      <x:c r="O67" s="68"/>
      <x:c r="P67" s="90"/>
      <x:c r="Q67" s="82"/>
      <x:c r="R67" s="68"/>
      <x:c r="S67" s="68"/>
      <x:c r="T67" s="68"/>
      <x:c r="U67" s="82"/>
      <x:c r="V67" s="82"/>
      <x:c r="W67" s="68"/>
      <x:c r="X67" s="87"/>
      <x:c r="Y67" s="68"/>
    </x:row>
    <x:row r="68">
      <x:c r="A68" s="72" t="str">
        <x:f>IF(OR(C68="",D68=""),"",B68&amp;"-"&amp;UPPER(C68)&amp;"-"&amp;TEXT(D68,"0000")&amp;"-"&amp;E68)</x:f>
      </x:c>
      <x:c r="B68" s="74" t="str">
        <x:v>M21</x:v>
      </x:c>
      <x:c r="C68" s="74"/>
      <x:c r="D68" s="79"/>
      <x:c r="E68" s="74" t="str">
        <x:v>V1.0</x:v>
      </x:c>
      <x:c r="F68" s="68"/>
      <x:c r="G68" s="68"/>
      <x:c r="H68" s="82"/>
      <x:c r="I68" s="68"/>
      <x:c r="J68" s="68"/>
      <x:c r="K68" s="68"/>
      <x:c r="L68" s="68"/>
      <x:c r="M68" s="68"/>
      <x:c r="N68" s="68"/>
      <x:c r="O68" s="68"/>
      <x:c r="P68" s="90"/>
      <x:c r="Q68" s="82"/>
      <x:c r="R68" s="68"/>
      <x:c r="S68" s="68"/>
      <x:c r="T68" s="68"/>
      <x:c r="U68" s="82"/>
      <x:c r="V68" s="82"/>
      <x:c r="W68" s="68"/>
      <x:c r="X68" s="87"/>
      <x:c r="Y68" s="68"/>
    </x:row>
    <x:row r="69">
      <x:c r="A69" s="72" t="str">
        <x:f>IF(OR(C69="",D69=""),"",B69&amp;"-"&amp;UPPER(C69)&amp;"-"&amp;TEXT(D69,"0000")&amp;"-"&amp;E69)</x:f>
      </x:c>
      <x:c r="B69" s="74" t="str">
        <x:v>M21</x:v>
      </x:c>
      <x:c r="C69" s="74"/>
      <x:c r="D69" s="79"/>
      <x:c r="E69" s="74" t="str">
        <x:v>V1.0</x:v>
      </x:c>
      <x:c r="F69" s="68"/>
      <x:c r="G69" s="68"/>
      <x:c r="H69" s="82"/>
      <x:c r="I69" s="68"/>
      <x:c r="J69" s="68"/>
      <x:c r="K69" s="68"/>
      <x:c r="L69" s="68"/>
      <x:c r="M69" s="68"/>
      <x:c r="N69" s="68"/>
      <x:c r="O69" s="68"/>
      <x:c r="P69" s="90"/>
      <x:c r="Q69" s="82"/>
      <x:c r="R69" s="68"/>
      <x:c r="S69" s="68"/>
      <x:c r="T69" s="68"/>
      <x:c r="U69" s="82"/>
      <x:c r="V69" s="82"/>
      <x:c r="W69" s="68"/>
      <x:c r="X69" s="87"/>
      <x:c r="Y69" s="68"/>
    </x:row>
    <x:row r="70">
      <x:c r="A70" s="72" t="str">
        <x:f>IF(OR(C70="",D70=""),"",B70&amp;"-"&amp;UPPER(C70)&amp;"-"&amp;TEXT(D70,"0000")&amp;"-"&amp;E70)</x:f>
      </x:c>
      <x:c r="B70" s="74" t="str">
        <x:v>M21</x:v>
      </x:c>
      <x:c r="C70" s="74"/>
      <x:c r="D70" s="79"/>
      <x:c r="E70" s="74" t="str">
        <x:v>V1.0</x:v>
      </x:c>
      <x:c r="F70" s="68"/>
      <x:c r="G70" s="68"/>
      <x:c r="H70" s="82"/>
      <x:c r="I70" s="68"/>
      <x:c r="J70" s="68"/>
      <x:c r="K70" s="68"/>
      <x:c r="L70" s="68"/>
      <x:c r="M70" s="68"/>
      <x:c r="N70" s="68"/>
      <x:c r="O70" s="68"/>
      <x:c r="P70" s="90"/>
      <x:c r="Q70" s="82"/>
      <x:c r="R70" s="68"/>
      <x:c r="S70" s="68"/>
      <x:c r="T70" s="68"/>
      <x:c r="U70" s="82"/>
      <x:c r="V70" s="82"/>
      <x:c r="W70" s="68"/>
      <x:c r="X70" s="87"/>
      <x:c r="Y70" s="68"/>
    </x:row>
    <x:row r="71">
      <x:c r="A71" s="72" t="str">
        <x:f>IF(OR(C71="",D71=""),"",B71&amp;"-"&amp;UPPER(C71)&amp;"-"&amp;TEXT(D71,"0000")&amp;"-"&amp;E71)</x:f>
      </x:c>
      <x:c r="B71" s="74" t="str">
        <x:v>M21</x:v>
      </x:c>
      <x:c r="C71" s="74"/>
      <x:c r="D71" s="79"/>
      <x:c r="E71" s="74" t="str">
        <x:v>V1.0</x:v>
      </x:c>
      <x:c r="F71" s="68"/>
      <x:c r="G71" s="68"/>
      <x:c r="H71" s="82"/>
      <x:c r="I71" s="68"/>
      <x:c r="J71" s="68"/>
      <x:c r="K71" s="68"/>
      <x:c r="L71" s="68"/>
      <x:c r="M71" s="68"/>
      <x:c r="N71" s="68"/>
      <x:c r="O71" s="68"/>
      <x:c r="P71" s="90"/>
      <x:c r="Q71" s="82"/>
      <x:c r="R71" s="68"/>
      <x:c r="S71" s="68"/>
      <x:c r="T71" s="68"/>
      <x:c r="U71" s="82"/>
      <x:c r="V71" s="82"/>
      <x:c r="W71" s="68"/>
      <x:c r="X71" s="87"/>
      <x:c r="Y71" s="68"/>
    </x:row>
    <x:row r="72">
      <x:c r="A72" s="72" t="str">
        <x:f>IF(OR(C72="",D72=""),"",B72&amp;"-"&amp;UPPER(C72)&amp;"-"&amp;TEXT(D72,"0000")&amp;"-"&amp;E72)</x:f>
      </x:c>
      <x:c r="B72" s="74" t="str">
        <x:v>M21</x:v>
      </x:c>
      <x:c r="C72" s="74"/>
      <x:c r="D72" s="79"/>
      <x:c r="E72" s="74" t="str">
        <x:v>V1.0</x:v>
      </x:c>
      <x:c r="F72" s="68"/>
      <x:c r="G72" s="68"/>
      <x:c r="H72" s="82"/>
      <x:c r="I72" s="68"/>
      <x:c r="J72" s="68"/>
      <x:c r="K72" s="68"/>
      <x:c r="L72" s="68"/>
      <x:c r="M72" s="68"/>
      <x:c r="N72" s="68"/>
      <x:c r="O72" s="68"/>
      <x:c r="P72" s="90"/>
      <x:c r="Q72" s="82"/>
      <x:c r="R72" s="68"/>
      <x:c r="S72" s="68"/>
      <x:c r="T72" s="68"/>
      <x:c r="U72" s="82"/>
      <x:c r="V72" s="82"/>
      <x:c r="W72" s="68"/>
      <x:c r="X72" s="87"/>
      <x:c r="Y72" s="68"/>
    </x:row>
    <x:row r="73">
      <x:c r="A73" s="72" t="str">
        <x:f>IF(OR(C73="",D73=""),"",B73&amp;"-"&amp;UPPER(C73)&amp;"-"&amp;TEXT(D73,"0000")&amp;"-"&amp;E73)</x:f>
      </x:c>
      <x:c r="B73" s="74" t="str">
        <x:v>M21</x:v>
      </x:c>
      <x:c r="C73" s="74"/>
      <x:c r="D73" s="79"/>
      <x:c r="E73" s="74" t="str">
        <x:v>V1.0</x:v>
      </x:c>
      <x:c r="F73" s="68"/>
      <x:c r="G73" s="68"/>
      <x:c r="H73" s="82"/>
      <x:c r="I73" s="68"/>
      <x:c r="J73" s="68"/>
      <x:c r="K73" s="68"/>
      <x:c r="L73" s="68"/>
      <x:c r="M73" s="68"/>
      <x:c r="N73" s="68"/>
      <x:c r="O73" s="68"/>
      <x:c r="P73" s="90"/>
      <x:c r="Q73" s="82"/>
      <x:c r="R73" s="68"/>
      <x:c r="S73" s="68"/>
      <x:c r="T73" s="68"/>
      <x:c r="U73" s="82"/>
      <x:c r="V73" s="82"/>
      <x:c r="W73" s="68"/>
      <x:c r="X73" s="87"/>
      <x:c r="Y73" s="68"/>
    </x:row>
    <x:row r="74">
      <x:c r="A74" s="72" t="str">
        <x:f>IF(OR(C74="",D74=""),"",B74&amp;"-"&amp;UPPER(C74)&amp;"-"&amp;TEXT(D74,"0000")&amp;"-"&amp;E74)</x:f>
      </x:c>
      <x:c r="B74" s="74" t="str">
        <x:v>M21</x:v>
      </x:c>
      <x:c r="C74" s="74"/>
      <x:c r="D74" s="79"/>
      <x:c r="E74" s="74" t="str">
        <x:v>V1.0</x:v>
      </x:c>
      <x:c r="F74" s="68"/>
      <x:c r="G74" s="68"/>
      <x:c r="H74" s="82"/>
      <x:c r="I74" s="68"/>
      <x:c r="J74" s="68"/>
      <x:c r="K74" s="68"/>
      <x:c r="L74" s="68"/>
      <x:c r="M74" s="68"/>
      <x:c r="N74" s="68"/>
      <x:c r="O74" s="68"/>
      <x:c r="P74" s="90"/>
      <x:c r="Q74" s="82"/>
      <x:c r="R74" s="68"/>
      <x:c r="S74" s="68"/>
      <x:c r="T74" s="68"/>
      <x:c r="U74" s="82"/>
      <x:c r="V74" s="82"/>
      <x:c r="W74" s="68"/>
      <x:c r="X74" s="87"/>
      <x:c r="Y74" s="68"/>
    </x:row>
    <x:row r="75">
      <x:c r="A75" s="72" t="str">
        <x:f>IF(OR(C75="",D75=""),"",B75&amp;"-"&amp;UPPER(C75)&amp;"-"&amp;TEXT(D75,"0000")&amp;"-"&amp;E75)</x:f>
      </x:c>
      <x:c r="B75" s="74" t="str">
        <x:v>M21</x:v>
      </x:c>
      <x:c r="C75" s="74"/>
      <x:c r="D75" s="79"/>
      <x:c r="E75" s="74" t="str">
        <x:v>V1.0</x:v>
      </x:c>
      <x:c r="F75" s="68"/>
      <x:c r="G75" s="68"/>
      <x:c r="H75" s="82"/>
      <x:c r="I75" s="68"/>
      <x:c r="J75" s="68"/>
      <x:c r="K75" s="68"/>
      <x:c r="L75" s="68"/>
      <x:c r="M75" s="68"/>
      <x:c r="N75" s="68"/>
      <x:c r="O75" s="68"/>
      <x:c r="P75" s="90"/>
      <x:c r="Q75" s="82"/>
      <x:c r="R75" s="68"/>
      <x:c r="S75" s="68"/>
      <x:c r="T75" s="68"/>
      <x:c r="U75" s="82"/>
      <x:c r="V75" s="82"/>
      <x:c r="W75" s="68"/>
      <x:c r="X75" s="87"/>
      <x:c r="Y75" s="68"/>
    </x:row>
    <x:row r="76">
      <x:c r="A76" s="72" t="str">
        <x:f>IF(OR(C76="",D76=""),"",B76&amp;"-"&amp;UPPER(C76)&amp;"-"&amp;TEXT(D76,"0000")&amp;"-"&amp;E76)</x:f>
      </x:c>
      <x:c r="B76" s="74" t="str">
        <x:v>M21</x:v>
      </x:c>
      <x:c r="C76" s="74"/>
      <x:c r="D76" s="79"/>
      <x:c r="E76" s="74" t="str">
        <x:v>V1.0</x:v>
      </x:c>
      <x:c r="F76" s="68"/>
      <x:c r="G76" s="68"/>
      <x:c r="H76" s="82"/>
      <x:c r="I76" s="68"/>
      <x:c r="J76" s="68"/>
      <x:c r="K76" s="68"/>
      <x:c r="L76" s="68"/>
      <x:c r="M76" s="68"/>
      <x:c r="N76" s="68"/>
      <x:c r="O76" s="68"/>
      <x:c r="P76" s="90"/>
      <x:c r="Q76" s="82"/>
      <x:c r="R76" s="68"/>
      <x:c r="S76" s="68"/>
      <x:c r="T76" s="68"/>
      <x:c r="U76" s="82"/>
      <x:c r="V76" s="82"/>
      <x:c r="W76" s="68"/>
      <x:c r="X76" s="87"/>
      <x:c r="Y76" s="68"/>
    </x:row>
    <x:row r="77">
      <x:c r="A77" s="72" t="str">
        <x:f>IF(OR(C77="",D77=""),"",B77&amp;"-"&amp;UPPER(C77)&amp;"-"&amp;TEXT(D77,"0000")&amp;"-"&amp;E77)</x:f>
      </x:c>
      <x:c r="B77" s="74" t="str">
        <x:v>M21</x:v>
      </x:c>
      <x:c r="C77" s="74"/>
      <x:c r="D77" s="79"/>
      <x:c r="E77" s="74" t="str">
        <x:v>V1.0</x:v>
      </x:c>
      <x:c r="F77" s="68"/>
      <x:c r="G77" s="68"/>
      <x:c r="H77" s="82"/>
      <x:c r="I77" s="68"/>
      <x:c r="J77" s="68"/>
      <x:c r="K77" s="68"/>
      <x:c r="L77" s="68"/>
      <x:c r="M77" s="68"/>
      <x:c r="N77" s="68"/>
      <x:c r="O77" s="68"/>
      <x:c r="P77" s="90"/>
      <x:c r="Q77" s="82"/>
      <x:c r="R77" s="68"/>
      <x:c r="S77" s="68"/>
      <x:c r="T77" s="68"/>
      <x:c r="U77" s="82"/>
      <x:c r="V77" s="82"/>
      <x:c r="W77" s="68"/>
      <x:c r="X77" s="87"/>
      <x:c r="Y77" s="68"/>
    </x:row>
    <x:row r="78">
      <x:c r="A78" s="72" t="str">
        <x:f>IF(OR(C78="",D78=""),"",B78&amp;"-"&amp;UPPER(C78)&amp;"-"&amp;TEXT(D78,"0000")&amp;"-"&amp;E78)</x:f>
      </x:c>
      <x:c r="B78" s="74" t="str">
        <x:v>M21</x:v>
      </x:c>
      <x:c r="C78" s="74"/>
      <x:c r="D78" s="79"/>
      <x:c r="E78" s="74" t="str">
        <x:v>V1.0</x:v>
      </x:c>
      <x:c r="F78" s="68"/>
      <x:c r="G78" s="68"/>
      <x:c r="H78" s="82"/>
      <x:c r="I78" s="68"/>
      <x:c r="J78" s="68"/>
      <x:c r="K78" s="68"/>
      <x:c r="L78" s="68"/>
      <x:c r="M78" s="68"/>
      <x:c r="N78" s="68"/>
      <x:c r="O78" s="68"/>
      <x:c r="P78" s="90"/>
      <x:c r="Q78" s="82"/>
      <x:c r="R78" s="68"/>
      <x:c r="S78" s="68"/>
      <x:c r="T78" s="68"/>
      <x:c r="U78" s="82"/>
      <x:c r="V78" s="82"/>
      <x:c r="W78" s="68"/>
      <x:c r="X78" s="87"/>
      <x:c r="Y78" s="68"/>
    </x:row>
    <x:row r="79">
      <x:c r="A79" s="72" t="str">
        <x:f>IF(OR(C79="",D79=""),"",B79&amp;"-"&amp;UPPER(C79)&amp;"-"&amp;TEXT(D79,"0000")&amp;"-"&amp;E79)</x:f>
      </x:c>
      <x:c r="B79" s="74" t="str">
        <x:v>M21</x:v>
      </x:c>
      <x:c r="C79" s="74"/>
      <x:c r="D79" s="79"/>
      <x:c r="E79" s="74" t="str">
        <x:v>V1.0</x:v>
      </x:c>
      <x:c r="F79" s="68"/>
      <x:c r="G79" s="68"/>
      <x:c r="H79" s="82"/>
      <x:c r="I79" s="68"/>
      <x:c r="J79" s="68"/>
      <x:c r="K79" s="68"/>
      <x:c r="L79" s="68"/>
      <x:c r="M79" s="68"/>
      <x:c r="N79" s="68"/>
      <x:c r="O79" s="68"/>
      <x:c r="P79" s="90"/>
      <x:c r="Q79" s="82"/>
      <x:c r="R79" s="68"/>
      <x:c r="S79" s="68"/>
      <x:c r="T79" s="68"/>
      <x:c r="U79" s="82"/>
      <x:c r="V79" s="82"/>
      <x:c r="W79" s="68"/>
      <x:c r="X79" s="87"/>
      <x:c r="Y79" s="68"/>
    </x:row>
    <x:row r="80">
      <x:c r="A80" s="72" t="str">
        <x:f>IF(OR(C80="",D80=""),"",B80&amp;"-"&amp;UPPER(C80)&amp;"-"&amp;TEXT(D80,"0000")&amp;"-"&amp;E80)</x:f>
      </x:c>
      <x:c r="B80" s="74" t="str">
        <x:v>M21</x:v>
      </x:c>
      <x:c r="C80" s="74"/>
      <x:c r="D80" s="79"/>
      <x:c r="E80" s="74" t="str">
        <x:v>V1.0</x:v>
      </x:c>
      <x:c r="F80" s="68"/>
      <x:c r="G80" s="68"/>
      <x:c r="H80" s="82"/>
      <x:c r="I80" s="68"/>
      <x:c r="J80" s="68"/>
      <x:c r="K80" s="68"/>
      <x:c r="L80" s="68"/>
      <x:c r="M80" s="68"/>
      <x:c r="N80" s="68"/>
      <x:c r="O80" s="68"/>
      <x:c r="P80" s="90"/>
      <x:c r="Q80" s="82"/>
      <x:c r="R80" s="68"/>
      <x:c r="S80" s="68"/>
      <x:c r="T80" s="68"/>
      <x:c r="U80" s="82"/>
      <x:c r="V80" s="82"/>
      <x:c r="W80" s="68"/>
      <x:c r="X80" s="87"/>
      <x:c r="Y80" s="68"/>
    </x:row>
    <x:row r="81">
      <x:c r="A81" s="72" t="str">
        <x:f>IF(OR(C81="",D81=""),"",B81&amp;"-"&amp;UPPER(C81)&amp;"-"&amp;TEXT(D81,"0000")&amp;"-"&amp;E81)</x:f>
      </x:c>
      <x:c r="B81" s="74" t="str">
        <x:v>M21</x:v>
      </x:c>
      <x:c r="C81" s="74"/>
      <x:c r="D81" s="79"/>
      <x:c r="E81" s="74" t="str">
        <x:v>V1.0</x:v>
      </x:c>
      <x:c r="F81" s="68"/>
      <x:c r="G81" s="68"/>
      <x:c r="H81" s="82"/>
      <x:c r="I81" s="68"/>
      <x:c r="J81" s="68"/>
      <x:c r="K81" s="68"/>
      <x:c r="L81" s="68"/>
      <x:c r="M81" s="68"/>
      <x:c r="N81" s="68"/>
      <x:c r="O81" s="68"/>
      <x:c r="P81" s="90"/>
      <x:c r="Q81" s="82"/>
      <x:c r="R81" s="68"/>
      <x:c r="S81" s="68"/>
      <x:c r="T81" s="68"/>
      <x:c r="U81" s="82"/>
      <x:c r="V81" s="82"/>
      <x:c r="W81" s="68"/>
      <x:c r="X81" s="87"/>
      <x:c r="Y81" s="68"/>
    </x:row>
    <x:row r="82">
      <x:c r="A82" s="72" t="str">
        <x:f>IF(OR(C82="",D82=""),"",B82&amp;"-"&amp;UPPER(C82)&amp;"-"&amp;TEXT(D82,"0000")&amp;"-"&amp;E82)</x:f>
      </x:c>
      <x:c r="B82" s="74" t="str">
        <x:v>M21</x:v>
      </x:c>
      <x:c r="C82" s="74"/>
      <x:c r="D82" s="79"/>
      <x:c r="E82" s="74" t="str">
        <x:v>V1.0</x:v>
      </x:c>
      <x:c r="F82" s="68"/>
      <x:c r="G82" s="68"/>
      <x:c r="H82" s="82"/>
      <x:c r="I82" s="68"/>
      <x:c r="J82" s="68"/>
      <x:c r="K82" s="68"/>
      <x:c r="L82" s="68"/>
      <x:c r="M82" s="68"/>
      <x:c r="N82" s="68"/>
      <x:c r="O82" s="68"/>
      <x:c r="P82" s="90"/>
      <x:c r="Q82" s="82"/>
      <x:c r="R82" s="68"/>
      <x:c r="S82" s="68"/>
      <x:c r="T82" s="68"/>
      <x:c r="U82" s="82"/>
      <x:c r="V82" s="82"/>
      <x:c r="W82" s="68"/>
      <x:c r="X82" s="87"/>
      <x:c r="Y82" s="68"/>
    </x:row>
    <x:row r="83">
      <x:c r="A83" s="72" t="str">
        <x:f>IF(OR(C83="",D83=""),"",B83&amp;"-"&amp;UPPER(C83)&amp;"-"&amp;TEXT(D83,"0000")&amp;"-"&amp;E83)</x:f>
      </x:c>
      <x:c r="B83" s="74" t="str">
        <x:v>M21</x:v>
      </x:c>
      <x:c r="C83" s="74"/>
      <x:c r="D83" s="79"/>
      <x:c r="E83" s="74" t="str">
        <x:v>V1.0</x:v>
      </x:c>
      <x:c r="F83" s="68"/>
      <x:c r="G83" s="68"/>
      <x:c r="H83" s="82"/>
      <x:c r="I83" s="68"/>
      <x:c r="J83" s="68"/>
      <x:c r="K83" s="68"/>
      <x:c r="L83" s="68"/>
      <x:c r="M83" s="68"/>
      <x:c r="N83" s="68"/>
      <x:c r="O83" s="68"/>
      <x:c r="P83" s="90"/>
      <x:c r="Q83" s="82"/>
      <x:c r="R83" s="68"/>
      <x:c r="S83" s="68"/>
      <x:c r="T83" s="68"/>
      <x:c r="U83" s="82"/>
      <x:c r="V83" s="82"/>
      <x:c r="W83" s="68"/>
      <x:c r="X83" s="87"/>
      <x:c r="Y83" s="68"/>
    </x:row>
    <x:row r="84">
      <x:c r="A84" s="72" t="str">
        <x:f>IF(OR(C84="",D84=""),"",B84&amp;"-"&amp;UPPER(C84)&amp;"-"&amp;TEXT(D84,"0000")&amp;"-"&amp;E84)</x:f>
      </x:c>
      <x:c r="B84" s="74" t="str">
        <x:v>M21</x:v>
      </x:c>
      <x:c r="C84" s="74"/>
      <x:c r="D84" s="79"/>
      <x:c r="E84" s="74" t="str">
        <x:v>V1.0</x:v>
      </x:c>
      <x:c r="F84" s="68"/>
      <x:c r="G84" s="68"/>
      <x:c r="H84" s="82"/>
      <x:c r="I84" s="68"/>
      <x:c r="J84" s="68"/>
      <x:c r="K84" s="68"/>
      <x:c r="L84" s="68"/>
      <x:c r="M84" s="68"/>
      <x:c r="N84" s="68"/>
      <x:c r="O84" s="68"/>
      <x:c r="P84" s="90"/>
      <x:c r="Q84" s="82"/>
      <x:c r="R84" s="68"/>
      <x:c r="S84" s="68"/>
      <x:c r="T84" s="68"/>
      <x:c r="U84" s="82"/>
      <x:c r="V84" s="82"/>
      <x:c r="W84" s="68"/>
      <x:c r="X84" s="87"/>
      <x:c r="Y84" s="68"/>
    </x:row>
    <x:row r="85">
      <x:c r="A85" s="72" t="str">
        <x:f>IF(OR(C85="",D85=""),"",B85&amp;"-"&amp;UPPER(C85)&amp;"-"&amp;TEXT(D85,"0000")&amp;"-"&amp;E85)</x:f>
      </x:c>
      <x:c r="B85" s="74" t="str">
        <x:v>M21</x:v>
      </x:c>
      <x:c r="C85" s="74"/>
      <x:c r="D85" s="79"/>
      <x:c r="E85" s="74" t="str">
        <x:v>V1.0</x:v>
      </x:c>
      <x:c r="F85" s="68"/>
      <x:c r="G85" s="68"/>
      <x:c r="H85" s="82"/>
      <x:c r="I85" s="68"/>
      <x:c r="J85" s="68"/>
      <x:c r="K85" s="68"/>
      <x:c r="L85" s="68"/>
      <x:c r="M85" s="68"/>
      <x:c r="N85" s="68"/>
      <x:c r="O85" s="68"/>
      <x:c r="P85" s="90"/>
      <x:c r="Q85" s="82"/>
      <x:c r="R85" s="68"/>
      <x:c r="S85" s="68"/>
      <x:c r="T85" s="68"/>
      <x:c r="U85" s="82"/>
      <x:c r="V85" s="82"/>
      <x:c r="W85" s="68"/>
      <x:c r="X85" s="87"/>
      <x:c r="Y85" s="68"/>
    </x:row>
    <x:row r="86">
      <x:c r="A86" s="72" t="str">
        <x:f>IF(OR(C86="",D86=""),"",B86&amp;"-"&amp;UPPER(C86)&amp;"-"&amp;TEXT(D86,"0000")&amp;"-"&amp;E86)</x:f>
      </x:c>
      <x:c r="B86" s="74" t="str">
        <x:v>M21</x:v>
      </x:c>
      <x:c r="C86" s="74"/>
      <x:c r="D86" s="79"/>
      <x:c r="E86" s="74" t="str">
        <x:v>V1.0</x:v>
      </x:c>
      <x:c r="F86" s="68"/>
      <x:c r="G86" s="68"/>
      <x:c r="H86" s="82"/>
      <x:c r="I86" s="68"/>
      <x:c r="J86" s="68"/>
      <x:c r="K86" s="68"/>
      <x:c r="L86" s="68"/>
      <x:c r="M86" s="68"/>
      <x:c r="N86" s="68"/>
      <x:c r="O86" s="68"/>
      <x:c r="P86" s="90"/>
      <x:c r="Q86" s="82"/>
      <x:c r="R86" s="68"/>
      <x:c r="S86" s="68"/>
      <x:c r="T86" s="68"/>
      <x:c r="U86" s="82"/>
      <x:c r="V86" s="82"/>
      <x:c r="W86" s="68"/>
      <x:c r="X86" s="87"/>
      <x:c r="Y86" s="68"/>
    </x:row>
    <x:row r="87">
      <x:c r="A87" s="72" t="str">
        <x:f>IF(OR(C87="",D87=""),"",B87&amp;"-"&amp;UPPER(C87)&amp;"-"&amp;TEXT(D87,"0000")&amp;"-"&amp;E87)</x:f>
      </x:c>
      <x:c r="B87" s="74" t="str">
        <x:v>M21</x:v>
      </x:c>
      <x:c r="C87" s="74"/>
      <x:c r="D87" s="79"/>
      <x:c r="E87" s="74" t="str">
        <x:v>V1.0</x:v>
      </x:c>
      <x:c r="F87" s="68"/>
      <x:c r="G87" s="68"/>
      <x:c r="H87" s="82"/>
      <x:c r="I87" s="68"/>
      <x:c r="J87" s="68"/>
      <x:c r="K87" s="68"/>
      <x:c r="L87" s="68"/>
      <x:c r="M87" s="68"/>
      <x:c r="N87" s="68"/>
      <x:c r="O87" s="68"/>
      <x:c r="P87" s="90"/>
      <x:c r="Q87" s="82"/>
      <x:c r="R87" s="68"/>
      <x:c r="S87" s="68"/>
      <x:c r="T87" s="68"/>
      <x:c r="U87" s="82"/>
      <x:c r="V87" s="82"/>
      <x:c r="W87" s="68"/>
      <x:c r="X87" s="87"/>
      <x:c r="Y87" s="68"/>
    </x:row>
    <x:row r="88">
      <x:c r="A88" s="72" t="str">
        <x:f>IF(OR(C88="",D88=""),"",B88&amp;"-"&amp;UPPER(C88)&amp;"-"&amp;TEXT(D88,"0000")&amp;"-"&amp;E88)</x:f>
      </x:c>
      <x:c r="B88" s="74" t="str">
        <x:v>M21</x:v>
      </x:c>
      <x:c r="C88" s="74"/>
      <x:c r="D88" s="79"/>
      <x:c r="E88" s="74" t="str">
        <x:v>V1.0</x:v>
      </x:c>
      <x:c r="F88" s="68"/>
      <x:c r="G88" s="68"/>
      <x:c r="H88" s="82"/>
      <x:c r="I88" s="68"/>
      <x:c r="J88" s="68"/>
      <x:c r="K88" s="68"/>
      <x:c r="L88" s="68"/>
      <x:c r="M88" s="68"/>
      <x:c r="N88" s="68"/>
      <x:c r="O88" s="68"/>
      <x:c r="P88" s="90"/>
      <x:c r="Q88" s="82"/>
      <x:c r="R88" s="68"/>
      <x:c r="S88" s="68"/>
      <x:c r="T88" s="68"/>
      <x:c r="U88" s="82"/>
      <x:c r="V88" s="82"/>
      <x:c r="W88" s="68"/>
      <x:c r="X88" s="87"/>
      <x:c r="Y88" s="68"/>
    </x:row>
    <x:row r="89">
      <x:c r="A89" s="72" t="str">
        <x:f>IF(OR(C89="",D89=""),"",B89&amp;"-"&amp;UPPER(C89)&amp;"-"&amp;TEXT(D89,"0000")&amp;"-"&amp;E89)</x:f>
      </x:c>
      <x:c r="B89" s="74" t="str">
        <x:v>M21</x:v>
      </x:c>
      <x:c r="C89" s="74"/>
      <x:c r="D89" s="79"/>
      <x:c r="E89" s="74" t="str">
        <x:v>V1.0</x:v>
      </x:c>
      <x:c r="F89" s="68"/>
      <x:c r="G89" s="68"/>
      <x:c r="H89" s="82"/>
      <x:c r="I89" s="68"/>
      <x:c r="J89" s="68"/>
      <x:c r="K89" s="68"/>
      <x:c r="L89" s="68"/>
      <x:c r="M89" s="68"/>
      <x:c r="N89" s="68"/>
      <x:c r="O89" s="68"/>
      <x:c r="P89" s="90"/>
      <x:c r="Q89" s="82"/>
      <x:c r="R89" s="68"/>
      <x:c r="S89" s="68"/>
      <x:c r="T89" s="68"/>
      <x:c r="U89" s="82"/>
      <x:c r="V89" s="82"/>
      <x:c r="W89" s="68"/>
      <x:c r="X89" s="87"/>
      <x:c r="Y89" s="68"/>
    </x:row>
    <x:row r="90">
      <x:c r="A90" s="72" t="str">
        <x:f>IF(OR(C90="",D90=""),"",B90&amp;"-"&amp;UPPER(C90)&amp;"-"&amp;TEXT(D90,"0000")&amp;"-"&amp;E90)</x:f>
      </x:c>
      <x:c r="B90" s="74" t="str">
        <x:v>M21</x:v>
      </x:c>
      <x:c r="C90" s="74"/>
      <x:c r="D90" s="79"/>
      <x:c r="E90" s="74" t="str">
        <x:v>V1.0</x:v>
      </x:c>
      <x:c r="F90" s="68"/>
      <x:c r="G90" s="68"/>
      <x:c r="H90" s="82"/>
      <x:c r="I90" s="68"/>
      <x:c r="J90" s="68"/>
      <x:c r="K90" s="68"/>
      <x:c r="L90" s="68"/>
      <x:c r="M90" s="68"/>
      <x:c r="N90" s="68"/>
      <x:c r="O90" s="68"/>
      <x:c r="P90" s="90"/>
      <x:c r="Q90" s="82"/>
      <x:c r="R90" s="68"/>
      <x:c r="S90" s="68"/>
      <x:c r="T90" s="68"/>
      <x:c r="U90" s="82"/>
      <x:c r="V90" s="82"/>
      <x:c r="W90" s="68"/>
      <x:c r="X90" s="87"/>
      <x:c r="Y90" s="68"/>
    </x:row>
    <x:row r="91">
      <x:c r="A91" s="72" t="str">
        <x:f>IF(OR(C91="",D91=""),"",B91&amp;"-"&amp;UPPER(C91)&amp;"-"&amp;TEXT(D91,"0000")&amp;"-"&amp;E91)</x:f>
      </x:c>
      <x:c r="B91" s="74" t="str">
        <x:v>M21</x:v>
      </x:c>
      <x:c r="C91" s="74"/>
      <x:c r="D91" s="79"/>
      <x:c r="E91" s="74" t="str">
        <x:v>V1.0</x:v>
      </x:c>
      <x:c r="F91" s="68"/>
      <x:c r="G91" s="68"/>
      <x:c r="H91" s="82"/>
      <x:c r="I91" s="68"/>
      <x:c r="J91" s="68"/>
      <x:c r="K91" s="68"/>
      <x:c r="L91" s="68"/>
      <x:c r="M91" s="68"/>
      <x:c r="N91" s="68"/>
      <x:c r="O91" s="68"/>
      <x:c r="P91" s="90"/>
      <x:c r="Q91" s="82"/>
      <x:c r="R91" s="68"/>
      <x:c r="S91" s="68"/>
      <x:c r="T91" s="68"/>
      <x:c r="U91" s="82"/>
      <x:c r="V91" s="82"/>
      <x:c r="W91" s="68"/>
      <x:c r="X91" s="87"/>
      <x:c r="Y91" s="68"/>
    </x:row>
    <x:row r="92">
      <x:c r="A92" s="72" t="str">
        <x:f>IF(OR(C92="",D92=""),"",B92&amp;"-"&amp;UPPER(C92)&amp;"-"&amp;TEXT(D92,"0000")&amp;"-"&amp;E92)</x:f>
      </x:c>
      <x:c r="B92" s="74" t="str">
        <x:v>M21</x:v>
      </x:c>
      <x:c r="C92" s="74"/>
      <x:c r="D92" s="79"/>
      <x:c r="E92" s="74" t="str">
        <x:v>V1.0</x:v>
      </x:c>
      <x:c r="F92" s="68"/>
      <x:c r="G92" s="68"/>
      <x:c r="H92" s="82"/>
      <x:c r="I92" s="68"/>
      <x:c r="J92" s="68"/>
      <x:c r="K92" s="68"/>
      <x:c r="L92" s="68"/>
      <x:c r="M92" s="68"/>
      <x:c r="N92" s="68"/>
      <x:c r="O92" s="68"/>
      <x:c r="P92" s="90"/>
      <x:c r="Q92" s="82"/>
      <x:c r="R92" s="68"/>
      <x:c r="S92" s="68"/>
      <x:c r="T92" s="68"/>
      <x:c r="U92" s="82"/>
      <x:c r="V92" s="82"/>
      <x:c r="W92" s="68"/>
      <x:c r="X92" s="87"/>
      <x:c r="Y92" s="68"/>
    </x:row>
    <x:row r="93">
      <x:c r="A93" s="72" t="str">
        <x:f>IF(OR(C93="",D93=""),"",B93&amp;"-"&amp;UPPER(C93)&amp;"-"&amp;TEXT(D93,"0000")&amp;"-"&amp;E93)</x:f>
      </x:c>
      <x:c r="B93" s="74" t="str">
        <x:v>M21</x:v>
      </x:c>
      <x:c r="C93" s="74"/>
      <x:c r="D93" s="79"/>
      <x:c r="E93" s="74" t="str">
        <x:v>V1.0</x:v>
      </x:c>
      <x:c r="F93" s="68"/>
      <x:c r="G93" s="68"/>
      <x:c r="H93" s="82"/>
      <x:c r="I93" s="68"/>
      <x:c r="J93" s="68"/>
      <x:c r="K93" s="68"/>
      <x:c r="L93" s="68"/>
      <x:c r="M93" s="68"/>
      <x:c r="N93" s="68"/>
      <x:c r="O93" s="68"/>
      <x:c r="P93" s="90"/>
      <x:c r="Q93" s="82"/>
      <x:c r="R93" s="68"/>
      <x:c r="S93" s="68"/>
      <x:c r="T93" s="68"/>
      <x:c r="U93" s="82"/>
      <x:c r="V93" s="82"/>
      <x:c r="W93" s="68"/>
      <x:c r="X93" s="87"/>
      <x:c r="Y93" s="68"/>
    </x:row>
    <x:row r="94">
      <x:c r="A94" s="72" t="str">
        <x:f>IF(OR(C94="",D94=""),"",B94&amp;"-"&amp;UPPER(C94)&amp;"-"&amp;TEXT(D94,"0000")&amp;"-"&amp;E94)</x:f>
      </x:c>
      <x:c r="B94" s="74" t="str">
        <x:v>M21</x:v>
      </x:c>
      <x:c r="C94" s="74"/>
      <x:c r="D94" s="79"/>
      <x:c r="E94" s="74" t="str">
        <x:v>V1.0</x:v>
      </x:c>
      <x:c r="F94" s="68"/>
      <x:c r="G94" s="68"/>
      <x:c r="H94" s="82"/>
      <x:c r="I94" s="68"/>
      <x:c r="J94" s="68"/>
      <x:c r="K94" s="68"/>
      <x:c r="L94" s="68"/>
      <x:c r="M94" s="68"/>
      <x:c r="N94" s="68"/>
      <x:c r="O94" s="68"/>
      <x:c r="P94" s="90"/>
      <x:c r="Q94" s="82"/>
      <x:c r="R94" s="68"/>
      <x:c r="S94" s="68"/>
      <x:c r="T94" s="68"/>
      <x:c r="U94" s="82"/>
      <x:c r="V94" s="82"/>
      <x:c r="W94" s="68"/>
      <x:c r="X94" s="87"/>
      <x:c r="Y94" s="68"/>
    </x:row>
    <x:row r="95">
      <x:c r="A95" s="72" t="str">
        <x:f>IF(OR(C95="",D95=""),"",B95&amp;"-"&amp;UPPER(C95)&amp;"-"&amp;TEXT(D95,"0000")&amp;"-"&amp;E95)</x:f>
      </x:c>
      <x:c r="B95" s="74" t="str">
        <x:v>M21</x:v>
      </x:c>
      <x:c r="C95" s="74"/>
      <x:c r="D95" s="79"/>
      <x:c r="E95" s="74" t="str">
        <x:v>V1.0</x:v>
      </x:c>
      <x:c r="F95" s="68"/>
      <x:c r="G95" s="68"/>
      <x:c r="H95" s="82"/>
      <x:c r="I95" s="68"/>
      <x:c r="J95" s="68"/>
      <x:c r="K95" s="68"/>
      <x:c r="L95" s="68"/>
      <x:c r="M95" s="68"/>
      <x:c r="N95" s="68"/>
      <x:c r="O95" s="68"/>
      <x:c r="P95" s="90"/>
      <x:c r="Q95" s="82"/>
      <x:c r="R95" s="68"/>
      <x:c r="S95" s="68"/>
      <x:c r="T95" s="68"/>
      <x:c r="U95" s="82"/>
      <x:c r="V95" s="82"/>
      <x:c r="W95" s="68"/>
      <x:c r="X95" s="87"/>
      <x:c r="Y95" s="68"/>
    </x:row>
    <x:row r="96">
      <x:c r="A96" s="72" t="str">
        <x:f>IF(OR(C96="",D96=""),"",B96&amp;"-"&amp;UPPER(C96)&amp;"-"&amp;TEXT(D96,"0000")&amp;"-"&amp;E96)</x:f>
      </x:c>
      <x:c r="B96" s="74" t="str">
        <x:v>M21</x:v>
      </x:c>
      <x:c r="C96" s="74"/>
      <x:c r="D96" s="79"/>
      <x:c r="E96" s="74" t="str">
        <x:v>V1.0</x:v>
      </x:c>
      <x:c r="F96" s="68"/>
      <x:c r="G96" s="68"/>
      <x:c r="H96" s="82"/>
      <x:c r="I96" s="68"/>
      <x:c r="J96" s="68"/>
      <x:c r="K96" s="68"/>
      <x:c r="L96" s="68"/>
      <x:c r="M96" s="68"/>
      <x:c r="N96" s="68"/>
      <x:c r="O96" s="68"/>
      <x:c r="P96" s="90"/>
      <x:c r="Q96" s="82"/>
      <x:c r="R96" s="68"/>
      <x:c r="S96" s="68"/>
      <x:c r="T96" s="68"/>
      <x:c r="U96" s="82"/>
      <x:c r="V96" s="82"/>
      <x:c r="W96" s="68"/>
      <x:c r="X96" s="87"/>
      <x:c r="Y96" s="68"/>
    </x:row>
    <x:row r="97">
      <x:c r="A97" s="72" t="str">
        <x:f>IF(OR(C97="",D97=""),"",B97&amp;"-"&amp;UPPER(C97)&amp;"-"&amp;TEXT(D97,"0000")&amp;"-"&amp;E97)</x:f>
      </x:c>
      <x:c r="B97" s="74" t="str">
        <x:v>M21</x:v>
      </x:c>
      <x:c r="C97" s="74"/>
      <x:c r="D97" s="79"/>
      <x:c r="E97" s="74" t="str">
        <x:v>V1.0</x:v>
      </x:c>
      <x:c r="F97" s="68"/>
      <x:c r="G97" s="68"/>
      <x:c r="H97" s="82"/>
      <x:c r="I97" s="68"/>
      <x:c r="J97" s="68"/>
      <x:c r="K97" s="68"/>
      <x:c r="L97" s="68"/>
      <x:c r="M97" s="68"/>
      <x:c r="N97" s="68"/>
      <x:c r="O97" s="68"/>
      <x:c r="P97" s="90"/>
      <x:c r="Q97" s="82"/>
      <x:c r="R97" s="68"/>
      <x:c r="S97" s="68"/>
      <x:c r="T97" s="68"/>
      <x:c r="U97" s="82"/>
      <x:c r="V97" s="82"/>
      <x:c r="W97" s="68"/>
      <x:c r="X97" s="87"/>
      <x:c r="Y97" s="68"/>
    </x:row>
    <x:row r="98">
      <x:c r="A98" s="72" t="str">
        <x:f>IF(OR(C98="",D98=""),"",B98&amp;"-"&amp;UPPER(C98)&amp;"-"&amp;TEXT(D98,"0000")&amp;"-"&amp;E98)</x:f>
      </x:c>
      <x:c r="B98" s="74" t="str">
        <x:v>M21</x:v>
      </x:c>
      <x:c r="C98" s="74"/>
      <x:c r="D98" s="79"/>
      <x:c r="E98" s="74" t="str">
        <x:v>V1.0</x:v>
      </x:c>
      <x:c r="F98" s="68"/>
      <x:c r="G98" s="68"/>
      <x:c r="H98" s="82"/>
      <x:c r="I98" s="68"/>
      <x:c r="J98" s="68"/>
      <x:c r="K98" s="68"/>
      <x:c r="L98" s="68"/>
      <x:c r="M98" s="68"/>
      <x:c r="N98" s="68"/>
      <x:c r="O98" s="68"/>
      <x:c r="P98" s="90"/>
      <x:c r="Q98" s="82"/>
      <x:c r="R98" s="68"/>
      <x:c r="S98" s="68"/>
      <x:c r="T98" s="68"/>
      <x:c r="U98" s="82"/>
      <x:c r="V98" s="82"/>
      <x:c r="W98" s="68"/>
      <x:c r="X98" s="87"/>
      <x:c r="Y98" s="68"/>
    </x:row>
    <x:row r="99">
      <x:c r="A99" s="72" t="str">
        <x:f>IF(OR(C99="",D99=""),"",B99&amp;"-"&amp;UPPER(C99)&amp;"-"&amp;TEXT(D99,"0000")&amp;"-"&amp;E99)</x:f>
      </x:c>
      <x:c r="B99" s="74" t="str">
        <x:v>M21</x:v>
      </x:c>
      <x:c r="C99" s="74"/>
      <x:c r="D99" s="79"/>
      <x:c r="E99" s="74" t="str">
        <x:v>V1.0</x:v>
      </x:c>
      <x:c r="F99" s="68"/>
      <x:c r="G99" s="68"/>
      <x:c r="H99" s="82"/>
      <x:c r="I99" s="68"/>
      <x:c r="J99" s="68"/>
      <x:c r="K99" s="68"/>
      <x:c r="L99" s="68"/>
      <x:c r="M99" s="68"/>
      <x:c r="N99" s="68"/>
      <x:c r="O99" s="68"/>
      <x:c r="P99" s="90"/>
      <x:c r="Q99" s="82"/>
      <x:c r="R99" s="68"/>
      <x:c r="S99" s="68"/>
      <x:c r="T99" s="68"/>
      <x:c r="U99" s="82"/>
      <x:c r="V99" s="82"/>
      <x:c r="W99" s="68"/>
      <x:c r="X99" s="87"/>
      <x:c r="Y99" s="68"/>
    </x:row>
    <x:row r="100">
      <x:c r="A100" s="72" t="str">
        <x:f>IF(OR(C100="",D100=""),"",B100&amp;"-"&amp;UPPER(C100)&amp;"-"&amp;TEXT(D100,"0000")&amp;"-"&amp;E100)</x:f>
      </x:c>
      <x:c r="B100" s="74" t="str">
        <x:v>M21</x:v>
      </x:c>
      <x:c r="C100" s="74"/>
      <x:c r="D100" s="79"/>
      <x:c r="E100" s="74" t="str">
        <x:v>V1.0</x:v>
      </x:c>
      <x:c r="F100" s="68"/>
      <x:c r="G100" s="68"/>
      <x:c r="H100" s="82"/>
      <x:c r="I100" s="68"/>
      <x:c r="J100" s="68"/>
      <x:c r="K100" s="68"/>
      <x:c r="L100" s="68"/>
      <x:c r="M100" s="68"/>
      <x:c r="N100" s="68"/>
      <x:c r="O100" s="68"/>
      <x:c r="P100" s="90"/>
      <x:c r="Q100" s="82"/>
      <x:c r="R100" s="68"/>
      <x:c r="S100" s="68"/>
      <x:c r="T100" s="68"/>
      <x:c r="U100" s="82"/>
      <x:c r="V100" s="82"/>
      <x:c r="W100" s="68"/>
      <x:c r="X100" s="87"/>
      <x:c r="Y100" s="68"/>
    </x:row>
    <x:row r="101">
      <x:c r="A101" s="72" t="str">
        <x:f>IF(OR(C101="",D101=""),"",B101&amp;"-"&amp;UPPER(C101)&amp;"-"&amp;TEXT(D101,"0000")&amp;"-"&amp;E101)</x:f>
      </x:c>
      <x:c r="B101" s="74" t="str">
        <x:v>M21</x:v>
      </x:c>
      <x:c r="C101" s="74"/>
      <x:c r="D101" s="79"/>
      <x:c r="E101" s="74" t="str">
        <x:v>V1.0</x:v>
      </x:c>
      <x:c r="F101" s="68"/>
      <x:c r="G101" s="68"/>
      <x:c r="H101" s="82"/>
      <x:c r="I101" s="68"/>
      <x:c r="J101" s="68"/>
      <x:c r="K101" s="68"/>
      <x:c r="L101" s="68"/>
      <x:c r="M101" s="68"/>
      <x:c r="N101" s="68"/>
      <x:c r="O101" s="68"/>
      <x:c r="P101" s="90"/>
      <x:c r="Q101" s="82"/>
      <x:c r="R101" s="68"/>
      <x:c r="S101" s="68"/>
      <x:c r="T101" s="68"/>
      <x:c r="U101" s="82"/>
      <x:c r="V101" s="82"/>
      <x:c r="W101" s="68"/>
      <x:c r="X101" s="87"/>
      <x:c r="Y101" s="68"/>
    </x:row>
    <x:row r="102">
      <x:c r="A102" s="72" t="str">
        <x:f>IF(OR(C102="",D102=""),"",B102&amp;"-"&amp;UPPER(C102)&amp;"-"&amp;TEXT(D102,"0000")&amp;"-"&amp;E102)</x:f>
      </x:c>
      <x:c r="B102" s="74" t="str">
        <x:v>M21</x:v>
      </x:c>
      <x:c r="C102" s="74"/>
      <x:c r="D102" s="79"/>
      <x:c r="E102" s="74" t="str">
        <x:v>V1.0</x:v>
      </x:c>
      <x:c r="F102" s="68"/>
      <x:c r="G102" s="68"/>
      <x:c r="H102" s="82"/>
      <x:c r="I102" s="68"/>
      <x:c r="J102" s="68"/>
      <x:c r="K102" s="68"/>
      <x:c r="L102" s="68"/>
      <x:c r="M102" s="68"/>
      <x:c r="N102" s="68"/>
      <x:c r="O102" s="68"/>
      <x:c r="P102" s="90"/>
      <x:c r="Q102" s="82"/>
      <x:c r="R102" s="68"/>
      <x:c r="S102" s="68"/>
      <x:c r="T102" s="68"/>
      <x:c r="U102" s="82"/>
      <x:c r="V102" s="82"/>
      <x:c r="W102" s="68"/>
      <x:c r="X102" s="87"/>
      <x:c r="Y102" s="68"/>
    </x:row>
    <x:row r="103">
      <x:c r="A103" s="72" t="str">
        <x:f>IF(OR(C103="",D103=""),"",B103&amp;"-"&amp;UPPER(C103)&amp;"-"&amp;TEXT(D103,"0000")&amp;"-"&amp;E103)</x:f>
      </x:c>
      <x:c r="B103" s="74" t="str">
        <x:v>M21</x:v>
      </x:c>
      <x:c r="C103" s="74"/>
      <x:c r="D103" s="79"/>
      <x:c r="E103" s="74" t="str">
        <x:v>V1.0</x:v>
      </x:c>
      <x:c r="F103" s="68"/>
      <x:c r="G103" s="68"/>
      <x:c r="H103" s="82"/>
      <x:c r="I103" s="68"/>
      <x:c r="J103" s="68"/>
      <x:c r="K103" s="68"/>
      <x:c r="L103" s="68"/>
      <x:c r="M103" s="68"/>
      <x:c r="N103" s="68"/>
      <x:c r="O103" s="68"/>
      <x:c r="P103" s="90"/>
      <x:c r="Q103" s="82"/>
      <x:c r="R103" s="68"/>
      <x:c r="S103" s="68"/>
      <x:c r="T103" s="68"/>
      <x:c r="U103" s="82"/>
      <x:c r="V103" s="82"/>
      <x:c r="W103" s="68"/>
      <x:c r="X103" s="87"/>
      <x:c r="Y103" s="68"/>
    </x:row>
    <x:row r="104">
      <x:c r="A104" s="72" t="str">
        <x:f>IF(OR(C104="",D104=""),"",B104&amp;"-"&amp;UPPER(C104)&amp;"-"&amp;TEXT(D104,"0000")&amp;"-"&amp;E104)</x:f>
      </x:c>
      <x:c r="B104" s="74" t="str">
        <x:v>M21</x:v>
      </x:c>
      <x:c r="C104" s="74"/>
      <x:c r="D104" s="79"/>
      <x:c r="E104" s="74" t="str">
        <x:v>V1.0</x:v>
      </x:c>
      <x:c r="F104" s="68"/>
      <x:c r="G104" s="68"/>
      <x:c r="H104" s="82"/>
      <x:c r="I104" s="68"/>
      <x:c r="J104" s="68"/>
      <x:c r="K104" s="68"/>
      <x:c r="L104" s="68"/>
      <x:c r="M104" s="68"/>
      <x:c r="N104" s="68"/>
      <x:c r="O104" s="68"/>
      <x:c r="P104" s="90"/>
      <x:c r="Q104" s="82"/>
      <x:c r="R104" s="68"/>
      <x:c r="S104" s="68"/>
      <x:c r="T104" s="68"/>
      <x:c r="U104" s="82"/>
      <x:c r="V104" s="82"/>
      <x:c r="W104" s="68"/>
      <x:c r="X104" s="87"/>
      <x:c r="Y104" s="68"/>
    </x:row>
    <x:row r="105">
      <x:c r="A105" s="72" t="str">
        <x:f>IF(OR(C105="",D105=""),"",B105&amp;"-"&amp;UPPER(C105)&amp;"-"&amp;TEXT(D105,"0000")&amp;"-"&amp;E105)</x:f>
      </x:c>
      <x:c r="B105" s="74" t="str">
        <x:v>M21</x:v>
      </x:c>
      <x:c r="C105" s="74"/>
      <x:c r="D105" s="79"/>
      <x:c r="E105" s="74" t="str">
        <x:v>V1.0</x:v>
      </x:c>
      <x:c r="F105" s="68"/>
      <x:c r="G105" s="68"/>
      <x:c r="H105" s="82"/>
      <x:c r="I105" s="68"/>
      <x:c r="J105" s="68"/>
      <x:c r="K105" s="68"/>
      <x:c r="L105" s="68"/>
      <x:c r="M105" s="68"/>
      <x:c r="N105" s="68"/>
      <x:c r="O105" s="68"/>
      <x:c r="P105" s="90"/>
      <x:c r="Q105" s="82"/>
      <x:c r="R105" s="68"/>
      <x:c r="S105" s="68"/>
      <x:c r="T105" s="68"/>
      <x:c r="U105" s="82"/>
      <x:c r="V105" s="82"/>
      <x:c r="W105" s="68"/>
      <x:c r="X105" s="87"/>
      <x:c r="Y105" s="68"/>
    </x:row>
  </x:sheetData>
  <x:mergeCells>
    <x:mergeCell ref="A1:O1"/>
    <x:mergeCell ref="A2:O2"/>
    <x:mergeCell ref="A3:O3"/>
    <x:mergeCell ref="A4:O4"/>
  </x:mergeCells>
  <x:conditionalFormatting sqref="A6:A105">
    <x:cfRule type="expression" dxfId="19" priority="1">
      <x:formula>AND(A6&lt;&gt;"",COUNTIF($A$6:$A$105,A6)&gt;1)</x:formula>
    </x:cfRule>
  </x:conditionalFormatting>
  <x:dataValidations count="7">
    <x:dataValidation type="list" sqref="E6:E105">
      <x:formula1>'99_下拉选项'!$BG$4:$BG$12</x:formula1>
    </x:dataValidation>
    <x:dataValidation type="list" sqref="H6:H105">
      <x:formula1>'99_下拉选项'!$AZ$4:$AZ$10</x:formula1>
    </x:dataValidation>
    <x:dataValidation type="list" sqref="Q6:Q105">
      <x:formula1>'99_下拉选项'!$BA$4:$BA$7</x:formula1>
    </x:dataValidation>
    <x:dataValidation type="list" sqref="U6:U105">
      <x:formula1>'99_下拉选项'!$BB$4:$BB$10</x:formula1>
    </x:dataValidation>
    <x:dataValidation type="list" sqref="V6:V105">
      <x:formula1>'99_下拉选项'!$BC$4:$BC$9</x:formula1>
    </x:dataValidation>
    <x:dataValidation type="list" sqref="E6:E130">
      <x:formula1>'99_下拉选项'!$BG$4:$BG$14</x:formula1>
    </x:dataValidation>
    <x:dataValidation type="list" sqref="E7:E105">
      <x:formula1>'99_下拉选项'!$BG$4:$BG$19</x:formula1>
    </x:dataValidation>
  </x:dataValidations>
  <x:pageMargins left="0.7" right="0.7" top="0.75" bottom="0.75" header="0.3" footer="0.3"/>
  <x:tableParts count="1">
    <x:tablePart xmlns:r="http://schemas.openxmlformats.org/officeDocument/2006/relationships" r:id="Rccd7e0af824a4778"/>
  </x:tableParts>
</x:worksheet>
</file>

<file path=xl/worksheets/sheet2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8" hidden="0" customWidth="1"/>
    <x:col min="53" max="53" width="18" hidden="0" customWidth="1"/>
    <x:col min="54" max="54" width="18" hidden="0" customWidth="1"/>
    <x:col min="55" max="55" width="18" hidden="0" customWidth="1"/>
    <x:col min="56" max="56" width="18" hidden="0" customWidth="1"/>
    <x:col min="57" max="57" width="18" hidden="0" customWidth="1"/>
    <x:col min="58" max="58" width="18" hidden="0" customWidth="1"/>
    <x:col min="59" max="59" width="18" hidden="0" customWidth="1"/>
  </x:cols>
  <x:sheetData>
    <x:row r="1" ht="28" customHeight="1">
      <x:c r="A1" s="5" t="str">
        <x:v>系统维护｜统一下拉选项</x:v>
      </x:c>
    </x:row>
    <x:row r="2" ht="34" customHeight="1">
      <x:c r="A2" s="13" t="str">
        <x:v>本表是全工作簿的数据验证来源。修改选项时应同步更新“01_术语与编码”的定义与编码，避免只改名称不改规则含义。</x:v>
      </x:c>
    </x:row>
    <x:row r="3" ht="32" customHeight="1">
      <x:c r="A3" s="22" t="str">
        <x:v>记录类型</x:v>
      </x:c>
      <x:c r="B3" s="22" t="str">
        <x:v>对象类别</x:v>
      </x:c>
      <x:c r="C3" s="22" t="str">
        <x:v>阴阳</x:v>
      </x:c>
      <x:c r="D3" s="22" t="str">
        <x:v>五行</x:v>
      </x:c>
      <x:c r="E3" s="22" t="str">
        <x:v>藏干层级</x:v>
      </x:c>
      <x:c r="F3" s="22" t="str">
        <x:v>规则层级</x:v>
      </x:c>
      <x:c r="G3" s="22" t="str">
        <x:v>关系类型</x:v>
      </x:c>
      <x:c r="H3" s="22" t="str">
        <x:v>位置关系</x:v>
      </x:c>
      <x:c r="I3" s="22" t="str">
        <x:v>完整度</x:v>
      </x:c>
      <x:c r="J3" s="22" t="str">
        <x:v>根气类型</x:v>
      </x:c>
      <x:c r="K3" s="22" t="str">
        <x:v>根气等级</x:v>
      </x:c>
      <x:c r="L3" s="22" t="str">
        <x:v>作用类型</x:v>
      </x:c>
      <x:c r="M3" s="22" t="str">
        <x:v>作用方向</x:v>
      </x:c>
      <x:c r="N3" s="22" t="str">
        <x:v>作用等级</x:v>
      </x:c>
      <x:c r="O3" s="22" t="str">
        <x:v>优先级</x:v>
      </x:c>
      <x:c r="P3" s="22" t="str">
        <x:v>规则性质</x:v>
      </x:c>
      <x:c r="Q3" s="22" t="str">
        <x:v>置信等级</x:v>
      </x:c>
      <x:c r="R3" s="22" t="str">
        <x:v>流派标签</x:v>
      </x:c>
      <x:c r="S3" s="22" t="str">
        <x:v>规则状态</x:v>
      </x:c>
      <x:c r="T3" s="22" t="str">
        <x:v>审核状态</x:v>
      </x:c>
      <x:c r="U3" s="22" t="str">
        <x:v>旺衰等级</x:v>
      </x:c>
      <x:c r="V3" s="22" t="str">
        <x:v>成立等级</x:v>
      </x:c>
      <x:c r="W3" s="22" t="str">
        <x:v>可用性</x:v>
      </x:c>
      <x:c r="X3" s="22" t="str">
        <x:v>是否条件</x:v>
      </x:c>
      <x:c r="Y3" s="22" t="str">
        <x:v>十神</x:v>
      </x:c>
      <x:c r="Z3" s="22" t="str">
        <x:v>十神存在方式</x:v>
      </x:c>
      <x:c r="AA3" s="22" t="str">
        <x:v>十神功能状态</x:v>
      </x:c>
      <x:c r="AB3" s="22" t="str">
        <x:v>喜忌定位</x:v>
      </x:c>
      <x:c r="AC3" s="22" t="str">
        <x:v>格局类别</x:v>
      </x:c>
      <x:c r="AD3" s="22" t="str">
        <x:v>格局状态</x:v>
      </x:c>
      <x:c r="AE3" s="22" t="str">
        <x:v>清纯程度</x:v>
      </x:c>
      <x:c r="AF3" s="22" t="str">
        <x:v>破格等级</x:v>
      </x:c>
      <x:c r="AG3" s="22" t="str">
        <x:v>救应有效性</x:v>
      </x:c>
      <x:c r="AH3" s="22" t="str">
        <x:v>病类</x:v>
      </x:c>
      <x:c r="AI3" s="22" t="str">
        <x:v>严重程度</x:v>
      </x:c>
      <x:c r="AJ3" s="22" t="str">
        <x:v>药理</x:v>
      </x:c>
      <x:c r="AK3" s="22" t="str">
        <x:v>温度状态</x:v>
      </x:c>
      <x:c r="AL3" s="22" t="str">
        <x:v>湿度状态</x:v>
      </x:c>
      <x:c r="AM3" s="22" t="str">
        <x:v>评估轴</x:v>
      </x:c>
      <x:c r="AN3" s="22" t="str">
        <x:v>调候紧急度</x:v>
      </x:c>
      <x:c r="AO3" s="22" t="str">
        <x:v>流通状态</x:v>
      </x:c>
      <x:c r="AP3" s="22" t="str">
        <x:v>卡点类型</x:v>
      </x:c>
      <x:c r="AQ3" s="22" t="str">
        <x:v>组合类别</x:v>
      </x:c>
      <x:c r="AR3" s="22" t="str">
        <x:v>用神来源</x:v>
      </x:c>
      <x:c r="AS3" s="22" t="str">
        <x:v>主次优先级</x:v>
      </x:c>
      <x:c r="AT3" s="22" t="str">
        <x:v>必填性</x:v>
      </x:c>
      <x:c r="AU3" s="22" t="str">
        <x:v>输出层级</x:v>
      </x:c>
      <x:c r="AV3" s="22" t="str">
        <x:v>数据类型</x:v>
      </x:c>
      <x:c r="AW3" s="22" t="str">
        <x:v>性别</x:v>
      </x:c>
      <x:c r="AX3" s="22" t="str">
        <x:v>测试类型</x:v>
      </x:c>
      <x:c r="AY3" s="22" t="str">
        <x:v>测试结果</x:v>
      </x:c>
      <x:c r="AZ3" s="22" t="str">
        <x:v>议题类型</x:v>
      </x:c>
      <x:c r="BA3" s="22" t="str">
        <x:v>争议级别</x:v>
      </x:c>
      <x:c r="BB3" s="22" t="str">
        <x:v>变更类型</x:v>
      </x:c>
      <x:c r="BC3" s="22" t="str">
        <x:v>处理状态</x:v>
      </x:c>
      <x:c r="BD3" s="22" t="str">
        <x:v>数据来源类型</x:v>
      </x:c>
      <x:c r="BE3" s="22" t="str">
        <x:v>建设阶段</x:v>
      </x:c>
      <x:c r="BF3" s="22" t="str">
        <x:v>当前状态</x:v>
      </x:c>
      <x:c r="BG3" s="22" t="str">
        <x:v>版本号</x:v>
      </x:c>
    </x:row>
    <x:row r="4">
      <x:c r="A4" s="28" t="str">
        <x:v>正式规则</x:v>
      </x:c>
      <x:c r="B4" s="28" t="str">
        <x:v>天干</x:v>
      </x:c>
      <x:c r="C4" s="28" t="str">
        <x:v>阳</x:v>
      </x:c>
      <x:c r="D4" s="28" t="str">
        <x:v>木</x:v>
      </x:c>
      <x:c r="E4" s="28" t="str">
        <x:v>本气</x:v>
      </x:c>
      <x:c r="F4" s="28" t="str">
        <x:v>识别层</x:v>
      </x:c>
      <x:c r="G4" s="28" t="str">
        <x:v>天干五合</x:v>
      </x:c>
      <x:c r="H4" s="28" t="str">
        <x:v>同柱</x:v>
      </x:c>
      <x:c r="I4" s="28" t="str">
        <x:v>缺失</x:v>
      </x:c>
      <x:c r="J4" s="28" t="str">
        <x:v>本气根</x:v>
      </x:c>
      <x:c r="K4" s="28" t="str">
        <x:v>无根</x:v>
      </x:c>
      <x:c r="L4" s="28" t="str">
        <x:v>生</x:v>
      </x:c>
      <x:c r="M4" s="28" t="str">
        <x:v>增强</x:v>
      </x:c>
      <x:c r="N4" s="28" t="str">
        <x:v>弱</x:v>
      </x:c>
      <x:c r="O4" s="28" t="str">
        <x:v>P0_硬约束</x:v>
      </x:c>
      <x:c r="P4" s="28" t="str">
        <x:v>硬约束</x:v>
      </x:c>
      <x:c r="Q4" s="28" t="str">
        <x:v>确定</x:v>
      </x:c>
      <x:c r="R4" s="28" t="str">
        <x:v>子平格局</x:v>
      </x:c>
      <x:c r="S4" s="28" t="str">
        <x:v>草稿</x:v>
      </x:c>
      <x:c r="T4" s="28" t="str">
        <x:v>未审核</x:v>
      </x:c>
      <x:c r="U4" s="28" t="str">
        <x:v>极弱</x:v>
      </x:c>
      <x:c r="V4" s="28" t="str">
        <x:v>不成立</x:v>
      </x:c>
      <x:c r="W4" s="28" t="str">
        <x:v>有效</x:v>
      </x:c>
      <x:c r="X4" s="28" t="str">
        <x:v>是</x:v>
      </x:c>
      <x:c r="Y4" s="28" t="str">
        <x:v>比肩</x:v>
      </x:c>
      <x:c r="Z4" s="28" t="str">
        <x:v>透干</x:v>
      </x:c>
      <x:c r="AA4" s="28" t="str">
        <x:v>正常发挥</x:v>
      </x:c>
      <x:c r="AB4" s="28" t="str">
        <x:v>主用神</x:v>
      </x:c>
      <x:c r="AC4" s="28" t="str">
        <x:v>普通格局</x:v>
      </x:c>
      <x:c r="AD4" s="28" t="str">
        <x:v>不成立</x:v>
      </x:c>
      <x:c r="AE4" s="28" t="str">
        <x:v>清纯</x:v>
      </x:c>
      <x:c r="AF4" s="28" t="str">
        <x:v>无破</x:v>
      </x:c>
      <x:c r="AG4" s="28" t="str">
        <x:v>无救应</x:v>
      </x:c>
      <x:c r="AH4" s="28" t="str">
        <x:v>旺衰病</x:v>
      </x:c>
      <x:c r="AI4" s="28" t="str">
        <x:v>轻微</x:v>
      </x:c>
      <x:c r="AJ4" s="28" t="str">
        <x:v>扶</x:v>
      </x:c>
      <x:c r="AK4" s="28" t="str">
        <x:v>极寒</x:v>
      </x:c>
      <x:c r="AL4" s="28" t="str">
        <x:v>极湿</x:v>
      </x:c>
      <x:c r="AM4" s="28" t="str">
        <x:v>寒暖轴</x:v>
      </x:c>
      <x:c r="AN4" s="28" t="str">
        <x:v>低</x:v>
      </x:c>
      <x:c r="AO4" s="28" t="str">
        <x:v>通畅</x:v>
      </x:c>
      <x:c r="AP4" s="28" t="str">
        <x:v>缺桥</x:v>
      </x:c>
      <x:c r="AQ4" s="28" t="str">
        <x:v>生化型</x:v>
      </x:c>
      <x:c r="AR4" s="28" t="str">
        <x:v>扶抑用神</x:v>
      </x:c>
      <x:c r="AS4" s="28" t="str">
        <x:v>第一顺位</x:v>
      </x:c>
      <x:c r="AT4" s="28" t="str">
        <x:v>必填</x:v>
      </x:c>
      <x:c r="AU4" s="28" t="str">
        <x:v>内部推理</x:v>
      </x:c>
      <x:c r="AV4" s="28" t="str">
        <x:v>短文本</x:v>
      </x:c>
      <x:c r="AW4" s="28" t="str">
        <x:v>男</x:v>
      </x:c>
      <x:c r="AX4" s="28" t="str">
        <x:v>正例</x:v>
      </x:c>
      <x:c r="AY4" s="28" t="str">
        <x:v>未测试</x:v>
      </x:c>
      <x:c r="AZ4" s="28" t="str">
        <x:v>流派争议</x:v>
      </x:c>
      <x:c r="BA4" s="28" t="str">
        <x:v>无</x:v>
      </x:c>
      <x:c r="BB4" s="28" t="str">
        <x:v>新增</x:v>
      </x:c>
      <x:c r="BC4" s="28" t="str">
        <x:v>待讨论</x:v>
      </x:c>
      <x:c r="BD4" s="28" t="str">
        <x:v>经典原文</x:v>
      </x:c>
      <x:c r="BE4" s="28" t="str">
        <x:v>第一阶段_基础关系</x:v>
      </x:c>
      <x:c r="BF4" s="28" t="str">
        <x:v>未开始</x:v>
      </x:c>
      <x:c r="BG4" s="28" t="str">
        <x:v>V0.1</x:v>
      </x:c>
    </x:row>
    <x:row r="5">
      <x:c r="A5" s="28" t="str">
        <x:v>示例</x:v>
      </x:c>
      <x:c r="B5" s="28" t="str">
        <x:v>地支</x:v>
      </x:c>
      <x:c r="C5" s="28" t="str">
        <x:v>阴</x:v>
      </x:c>
      <x:c r="D5" s="28" t="str">
        <x:v>火</x:v>
      </x:c>
      <x:c r="E5" s="28" t="str">
        <x:v>中气</x:v>
      </x:c>
      <x:c r="F5" s="28" t="str">
        <x:v>效应层</x:v>
      </x:c>
      <x:c r="G5" s="28" t="str">
        <x:v>天干相克</x:v>
      </x:c>
      <x:c r="H5" s="28" t="str">
        <x:v>相邻</x:v>
      </x:c>
      <x:c r="I5" s="28" t="str">
        <x:v>部分</x:v>
      </x:c>
      <x:c r="J5" s="28" t="str">
        <x:v>中气根</x:v>
      </x:c>
      <x:c r="K5" s="28" t="str">
        <x:v>微根</x:v>
      </x:c>
      <x:c r="L5" s="28" t="str">
        <x:v>克</x:v>
      </x:c>
      <x:c r="M5" s="28" t="str">
        <x:v>减弱</x:v>
      </x:c>
      <x:c r="N5" s="28" t="str">
        <x:v>中</x:v>
      </x:c>
      <x:c r="O5" s="28" t="str">
        <x:v>P1_高</x:v>
      </x:c>
      <x:c r="P5" s="28" t="str">
        <x:v>软约束</x:v>
      </x:c>
      <x:c r="Q5" s="28" t="str">
        <x:v>较高</x:v>
      </x:c>
      <x:c r="R5" s="28" t="str">
        <x:v>旺衰扶抑</x:v>
      </x:c>
      <x:c r="S5" s="28" t="str">
        <x:v>待验证</x:v>
      </x:c>
      <x:c r="T5" s="28" t="str">
        <x:v>初审</x:v>
      </x:c>
      <x:c r="U5" s="28" t="str">
        <x:v>弱</x:v>
      </x:c>
      <x:c r="V5" s="28" t="str">
        <x:v>弱成立</x:v>
      </x:c>
      <x:c r="W5" s="28" t="str">
        <x:v>受限</x:v>
      </x:c>
      <x:c r="X5" s="28" t="str">
        <x:v>否</x:v>
      </x:c>
      <x:c r="Y5" s="28" t="str">
        <x:v>劫财</x:v>
      </x:c>
      <x:c r="Z5" s="28" t="str">
        <x:v>藏支本气</x:v>
      </x:c>
      <x:c r="AA5" s="28" t="str">
        <x:v>受限</x:v>
      </x:c>
      <x:c r="AB5" s="28" t="str">
        <x:v>辅助用神</x:v>
      </x:c>
      <x:c r="AC5" s="28" t="str">
        <x:v>建禄羊刃</x:v>
      </x:c>
      <x:c r="AD5" s="28" t="str">
        <x:v>候选</x:v>
      </x:c>
      <x:c r="AE5" s="28" t="str">
        <x:v>较清</x:v>
      </x:c>
      <x:c r="AF5" s="28" t="str">
        <x:v>轻微</x:v>
      </x:c>
      <x:c r="AG5" s="28" t="str">
        <x:v>弱救应</x:v>
      </x:c>
      <x:c r="AH5" s="28" t="str">
        <x:v>流通病</x:v>
      </x:c>
      <x:c r="AI5" s="28" t="str">
        <x:v>一般</x:v>
      </x:c>
      <x:c r="AJ5" s="28" t="str">
        <x:v>抑</x:v>
      </x:c>
      <x:c r="AK5" s="28" t="str">
        <x:v>偏寒</x:v>
      </x:c>
      <x:c r="AL5" s="28" t="str">
        <x:v>偏湿</x:v>
      </x:c>
      <x:c r="AM5" s="28" t="str">
        <x:v>燥湿轴</x:v>
      </x:c>
      <x:c r="AN5" s="28" t="str">
        <x:v>中</x:v>
      </x:c>
      <x:c r="AO5" s="28" t="str">
        <x:v>基本通畅</x:v>
      </x:c>
      <x:c r="AP5" s="28" t="str">
        <x:v>桥梁太弱</x:v>
      </x:c>
      <x:c r="AQ5" s="28" t="str">
        <x:v>制化型</x:v>
      </x:c>
      <x:c r="AR5" s="28" t="str">
        <x:v>格局用神</x:v>
      </x:c>
      <x:c r="AS5" s="28" t="str">
        <x:v>第二顺位</x:v>
      </x:c>
      <x:c r="AT5" s="28" t="str">
        <x:v>条件必填</x:v>
      </x:c>
      <x:c r="AU5" s="28" t="str">
        <x:v>分析师输出</x:v>
      </x:c>
      <x:c r="AV5" s="28" t="str">
        <x:v>长文本</x:v>
      </x:c>
      <x:c r="AW5" s="28" t="str">
        <x:v>女</x:v>
      </x:c>
      <x:c r="AX5" s="28" t="str">
        <x:v>反例</x:v>
      </x:c>
      <x:c r="AY5" s="28" t="str">
        <x:v>通过</x:v>
      </x:c>
      <x:c r="AZ5" s="28" t="str">
        <x:v>规则冲突</x:v>
      </x:c>
      <x:c r="BA5" s="28" t="str">
        <x:v>低</x:v>
      </x:c>
      <x:c r="BB5" s="28" t="str">
        <x:v>修订</x:v>
      </x:c>
      <x:c r="BC5" s="28" t="str">
        <x:v>待验证</x:v>
      </x:c>
      <x:c r="BD5" s="28" t="str">
        <x:v>古法注解</x:v>
      </x:c>
      <x:c r="BE5" s="28" t="str">
        <x:v>第二阶段_旺衰十神</x:v>
      </x:c>
      <x:c r="BF5" s="28" t="str">
        <x:v>框架完成</x:v>
      </x:c>
      <x:c r="BG5" s="28" t="str">
        <x:v>V0.2</x:v>
      </x:c>
    </x:row>
    <x:row r="6">
      <x:c r="A6" s="28" t="str">
        <x:v>待验证</x:v>
      </x:c>
      <x:c r="B6" s="28" t="str">
        <x:v>五行</x:v>
      </x:c>
      <x:c r="D6" s="28" t="str">
        <x:v>土</x:v>
      </x:c>
      <x:c r="E6" s="28" t="str">
        <x:v>余气</x:v>
      </x:c>
      <x:c r="F6" s="28" t="str">
        <x:v>结构层</x:v>
      </x:c>
      <x:c r="G6" s="28" t="str">
        <x:v>争合</x:v>
      </x:c>
      <x:c r="H6" s="28" t="str">
        <x:v>隔位</x:v>
      </x:c>
      <x:c r="I6" s="28" t="str">
        <x:v>完整</x:v>
      </x:c>
      <x:c r="J6" s="28" t="str">
        <x:v>余气根</x:v>
      </x:c>
      <x:c r="K6" s="28" t="str">
        <x:v>弱根</x:v>
      </x:c>
      <x:c r="L6" s="28" t="str">
        <x:v>制</x:v>
      </x:c>
      <x:c r="M6" s="28" t="str">
        <x:v>转化</x:v>
      </x:c>
      <x:c r="N6" s="28" t="str">
        <x:v>强</x:v>
      </x:c>
      <x:c r="O6" s="28" t="str">
        <x:v>P2_中</x:v>
      </x:c>
      <x:c r="P6" s="28" t="str">
        <x:v>辅助证据</x:v>
      </x:c>
      <x:c r="Q6" s="28" t="str">
        <x:v>中等</x:v>
      </x:c>
      <x:c r="R6" s="28" t="str">
        <x:v>调候</x:v>
      </x:c>
      <x:c r="S6" s="28" t="str">
        <x:v>已验证</x:v>
      </x:c>
      <x:c r="T6" s="28" t="str">
        <x:v>复审</x:v>
      </x:c>
      <x:c r="U6" s="28" t="str">
        <x:v>中和偏弱</x:v>
      </x:c>
      <x:c r="V6" s="28" t="str">
        <x:v>基本成立</x:v>
      </x:c>
      <x:c r="W6" s="28" t="str">
        <x:v>失效</x:v>
      </x:c>
      <x:c r="X6" s="28" t="str">
        <x:v>条件性</x:v>
      </x:c>
      <x:c r="Y6" s="28" t="str">
        <x:v>食神</x:v>
      </x:c>
      <x:c r="Z6" s="28" t="str">
        <x:v>藏支中气</x:v>
      </x:c>
      <x:c r="AA6" s="28" t="str">
        <x:v>转化</x:v>
      </x:c>
      <x:c r="AB6" s="28" t="str">
        <x:v>喜神</x:v>
      </x:c>
      <x:c r="AC6" s="28" t="str">
        <x:v>特殊格局</x:v>
      </x:c>
      <x:c r="AD6" s="28" t="str">
        <x:v>基本成立</x:v>
      </x:c>
      <x:c r="AE6" s="28" t="str">
        <x:v>有杂</x:v>
      </x:c>
      <x:c r="AF6" s="28" t="str">
        <x:v>一般</x:v>
      </x:c>
      <x:c r="AG6" s="28" t="str">
        <x:v>部分有效</x:v>
      </x:c>
      <x:c r="AH6" s="28" t="str">
        <x:v>制化病</x:v>
      </x:c>
      <x:c r="AI6" s="28" t="str">
        <x:v>明显</x:v>
      </x:c>
      <x:c r="AJ6" s="28" t="str">
        <x:v>泄</x:v>
      </x:c>
      <x:c r="AK6" s="28" t="str">
        <x:v>平衡</x:v>
      </x:c>
      <x:c r="AL6" s="28" t="str">
        <x:v>平衡</x:v>
      </x:c>
      <x:c r="AM6" s="28" t="str">
        <x:v>寒暖燥湿综合</x:v>
      </x:c>
      <x:c r="AN6" s="28" t="str">
        <x:v>高</x:v>
      </x:c>
      <x:c r="AO6" s="28" t="str">
        <x:v>局部阻塞</x:v>
      </x:c>
      <x:c r="AP6" s="28" t="str">
        <x:v>桥梁被克</x:v>
      </x:c>
      <x:c r="AQ6" s="28" t="str">
        <x:v>平衡承载型</x:v>
      </x:c>
      <x:c r="AR6" s="28" t="str">
        <x:v>通关用神</x:v>
      </x:c>
      <x:c r="AS6" s="28" t="str">
        <x:v>第三顺位</x:v>
      </x:c>
      <x:c r="AT6" s="28" t="str">
        <x:v>选填</x:v>
      </x:c>
      <x:c r="AU6" s="28" t="str">
        <x:v>用户输出</x:v>
      </x:c>
      <x:c r="AV6" s="28" t="str">
        <x:v>枚举</x:v>
      </x:c>
      <x:c r="AW6" s="28" t="str">
        <x:v>未知/不适用</x:v>
      </x:c>
      <x:c r="AX6" s="28" t="str">
        <x:v>边界案例</x:v>
      </x:c>
      <x:c r="AY6" s="28" t="str">
        <x:v>部分通过</x:v>
      </x:c>
      <x:c r="AZ6" s="28" t="str">
        <x:v>案例反证</x:v>
      </x:c>
      <x:c r="BA6" s="28" t="str">
        <x:v>中</x:v>
      </x:c>
      <x:c r="BB6" s="28" t="str">
        <x:v>拆分</x:v>
      </x:c>
      <x:c r="BC6" s="28" t="str">
        <x:v>已采纳</x:v>
      </x:c>
      <x:c r="BD6" s="28" t="str">
        <x:v>现代著作</x:v>
      </x:c>
      <x:c r="BE6" s="28" t="str">
        <x:v>第三阶段_流通格局</x:v>
      </x:c>
      <x:c r="BF6" s="28" t="str">
        <x:v>核心规则填充</x:v>
      </x:c>
      <x:c r="BG6" s="28" t="str">
        <x:v>V0.3</x:v>
      </x:c>
    </x:row>
    <x:row r="7">
      <x:c r="B7" s="28" t="str">
        <x:v>十神</x:v>
      </x:c>
      <x:c r="D7" s="28" t="str">
        <x:v>金</x:v>
      </x:c>
      <x:c r="E7" s="28" t="str">
        <x:v>无</x:v>
      </x:c>
      <x:c r="F7" s="28" t="str">
        <x:v>综合层</x:v>
      </x:c>
      <x:c r="G7" s="28" t="str">
        <x:v>妒合</x:v>
      </x:c>
      <x:c r="H7" s="28" t="str">
        <x:v>遥隔</x:v>
      </x:c>
      <x:c r="I7" s="28" t="str">
        <x:v>岁运补齐</x:v>
      </x:c>
      <x:c r="J7" s="28" t="str">
        <x:v>库根</x:v>
      </x:c>
      <x:c r="K7" s="28" t="str">
        <x:v>中根</x:v>
      </x:c>
      <x:c r="L7" s="28" t="str">
        <x:v>化</x:v>
      </x:c>
      <x:c r="M7" s="28" t="str">
        <x:v>冻结</x:v>
      </x:c>
      <x:c r="N7" s="28" t="str">
        <x:v>决定性</x:v>
      </x:c>
      <x:c r="O7" s="28" t="str">
        <x:v>P3_低</x:v>
      </x:c>
      <x:c r="P7" s="28" t="str">
        <x:v>否决规则</x:v>
      </x:c>
      <x:c r="Q7" s="28" t="str">
        <x:v>低</x:v>
      </x:c>
      <x:c r="R7" s="28" t="str">
        <x:v>病药</x:v>
      </x:c>
      <x:c r="S7" s="28" t="str">
        <x:v>采用</x:v>
      </x:c>
      <x:c r="T7" s="28" t="str">
        <x:v>已通过</x:v>
      </x:c>
      <x:c r="U7" s="28" t="str">
        <x:v>中和</x:v>
      </x:c>
      <x:c r="V7" s="28" t="str">
        <x:v>明显成立</x:v>
      </x:c>
      <x:c r="W7" s="28" t="str">
        <x:v>过度</x:v>
      </x:c>
      <x:c r="X7" s="28" t="str">
        <x:v>待定</x:v>
      </x:c>
      <x:c r="Y7" s="28" t="str">
        <x:v>伤官</x:v>
      </x:c>
      <x:c r="Z7" s="28" t="str">
        <x:v>藏支余气</x:v>
      </x:c>
      <x:c r="AA7" s="28" t="str">
        <x:v>失效</x:v>
      </x:c>
      <x:c r="AB7" s="28" t="str">
        <x:v>条件性喜神</x:v>
      </x:c>
      <x:c r="AC7" s="28" t="str">
        <x:v>从格</x:v>
      </x:c>
      <x:c r="AD7" s="28" t="str">
        <x:v>成立但有破</x:v>
      </x:c>
      <x:c r="AE7" s="28" t="str">
        <x:v>混杂</x:v>
      </x:c>
      <x:c r="AF7" s="28" t="str">
        <x:v>严重</x:v>
      </x:c>
      <x:c r="AG7" s="28" t="str">
        <x:v>明显有效</x:v>
      </x:c>
      <x:c r="AH7" s="28" t="str">
        <x:v>格局病</x:v>
      </x:c>
      <x:c r="AI7" s="28" t="str">
        <x:v>严重</x:v>
      </x:c>
      <x:c r="AJ7" s="28" t="str">
        <x:v>制</x:v>
      </x:c>
      <x:c r="AK7" s="28" t="str">
        <x:v>偏暖</x:v>
      </x:c>
      <x:c r="AL7" s="28" t="str">
        <x:v>偏燥</x:v>
      </x:c>
      <x:c r="AN7" s="28" t="str">
        <x:v>首要</x:v>
      </x:c>
      <x:c r="AO7" s="28" t="str">
        <x:v>明显阻断</x:v>
      </x:c>
      <x:c r="AP7" s="28" t="str">
        <x:v>桥梁被合绊</x:v>
      </x:c>
      <x:c r="AQ7" s="28" t="str">
        <x:v>冲突病态型</x:v>
      </x:c>
      <x:c r="AR7" s="28" t="str">
        <x:v>调候用神</x:v>
      </x:c>
      <x:c r="AS7" s="28" t="str">
        <x:v>条件顺位</x:v>
      </x:c>
      <x:c r="AT7" s="28" t="str">
        <x:v>内部字段</x:v>
      </x:c>
      <x:c r="AU7" s="28" t="str">
        <x:v>三层通用</x:v>
      </x:c>
      <x:c r="AV7" s="28" t="str">
        <x:v>整数</x:v>
      </x:c>
      <x:c r="AX7" s="28" t="str">
        <x:v>回归测试</x:v>
      </x:c>
      <x:c r="AY7" s="28" t="str">
        <x:v>未通过</x:v>
      </x:c>
      <x:c r="AZ7" s="28" t="str">
        <x:v>定义修订</x:v>
      </x:c>
      <x:c r="BA7" s="28" t="str">
        <x:v>高</x:v>
      </x:c>
      <x:c r="BB7" s="28" t="str">
        <x:v>合并</x:v>
      </x:c>
      <x:c r="BC7" s="28" t="str">
        <x:v>不采纳</x:v>
      </x:c>
      <x:c r="BD7" s="28" t="str">
        <x:v>实证案例</x:v>
      </x:c>
      <x:c r="BE7" s="28" t="str">
        <x:v>第四阶段_病药用神测试</x:v>
      </x:c>
      <x:c r="BF7" s="28" t="str">
        <x:v>测试中</x:v>
      </x:c>
      <x:c r="BG7" s="28" t="str">
        <x:v>V0.4</x:v>
      </x:c>
    </x:row>
    <x:row r="8">
      <x:c r="B8" s="28" t="str">
        <x:v>组合</x:v>
      </x:c>
      <x:c r="D8" s="28" t="str">
        <x:v>水</x:v>
      </x:c>
      <x:c r="G8" s="28" t="str">
        <x:v>隔合</x:v>
      </x:c>
      <x:c r="H8" s="28" t="str">
        <x:v>年月</x:v>
      </x:c>
      <x:c r="I8" s="28" t="str">
        <x:v>待定</x:v>
      </x:c>
      <x:c r="J8" s="28" t="str">
        <x:v>同类根</x:v>
      </x:c>
      <x:c r="K8" s="28" t="str">
        <x:v>强根</x:v>
      </x:c>
      <x:c r="L8" s="28" t="str">
        <x:v>泄</x:v>
      </x:c>
      <x:c r="M8" s="28" t="str">
        <x:v>激活</x:v>
      </x:c>
      <x:c r="N8" s="28" t="str">
        <x:v>待定</x:v>
      </x:c>
      <x:c r="P8" s="28" t="str">
        <x:v>例外规则</x:v>
      </x:c>
      <x:c r="Q8" s="28" t="str">
        <x:v>待验证</x:v>
      </x:c>
      <x:c r="R8" s="28" t="str">
        <x:v>盲派象法</x:v>
      </x:c>
      <x:c r="S8" s="28" t="str">
        <x:v>停用</x:v>
      </x:c>
      <x:c r="T8" s="28" t="str">
        <x:v>退回</x:v>
      </x:c>
      <x:c r="U8" s="28" t="str">
        <x:v>中和偏旺</x:v>
      </x:c>
      <x:c r="V8" s="28" t="str">
        <x:v>完整成立</x:v>
      </x:c>
      <x:c r="W8" s="28" t="str">
        <x:v>待定</x:v>
      </x:c>
      <x:c r="Y8" s="28" t="str">
        <x:v>偏财</x:v>
      </x:c>
      <x:c r="Z8" s="28" t="str">
        <x:v>多处出现</x:v>
      </x:c>
      <x:c r="AA8" s="28" t="str">
        <x:v>过度</x:v>
      </x:c>
      <x:c r="AB8" s="28" t="str">
        <x:v>中性</x:v>
      </x:c>
      <x:c r="AC8" s="28" t="str">
        <x:v>化气格</x:v>
      </x:c>
      <x:c r="AD8" s="28" t="str">
        <x:v>有破有救</x:v>
      </x:c>
      <x:c r="AE8" s="28" t="str">
        <x:v>严重混杂</x:v>
      </x:c>
      <x:c r="AF8" s="28" t="str">
        <x:v>根本破格</x:v>
      </x:c>
      <x:c r="AG8" s="28" t="str">
        <x:v>完全救应</x:v>
      </x:c>
      <x:c r="AH8" s="28" t="str">
        <x:v>调候病</x:v>
      </x:c>
      <x:c r="AI8" s="28" t="str">
        <x:v>首要矛盾</x:v>
      </x:c>
      <x:c r="AJ8" s="28" t="str">
        <x:v>化</x:v>
      </x:c>
      <x:c r="AK8" s="28" t="str">
        <x:v>极热</x:v>
      </x:c>
      <x:c r="AL8" s="28" t="str">
        <x:v>极燥</x:v>
      </x:c>
      <x:c r="AN8" s="28" t="str">
        <x:v>待定</x:v>
      </x:c>
      <x:c r="AO8" s="28" t="str">
        <x:v>无有效路径</x:v>
      </x:c>
      <x:c r="AP8" s="28" t="str">
        <x:v>源头过旺无泄</x:v>
      </x:c>
      <x:c r="AQ8" s="28" t="str">
        <x:v>其他</x:v>
      </x:c>
      <x:c r="AR8" s="28" t="str">
        <x:v>病药用神</x:v>
      </x:c>
      <x:c r="AS8" s="28" t="str">
        <x:v>不采用</x:v>
      </x:c>
      <x:c r="AV8" s="28" t="str">
        <x:v>小数</x:v>
      </x:c>
      <x:c r="AX8" s="28" t="str">
        <x:v>争议测试</x:v>
      </x:c>
      <x:c r="AY8" s="28" t="str">
        <x:v>待复核</x:v>
      </x:c>
      <x:c r="AZ8" s="28" t="str">
        <x:v>权重修订</x:v>
      </x:c>
      <x:c r="BB8" s="28" t="str">
        <x:v>停用</x:v>
      </x:c>
      <x:c r="BC8" s="28" t="str">
        <x:v>延期</x:v>
      </x:c>
      <x:c r="BD8" s="28" t="str">
        <x:v>内部归纳</x:v>
      </x:c>
      <x:c r="BF8" s="28" t="str">
        <x:v>已发布</x:v>
      </x:c>
      <x:c r="BG8" s="28" t="str">
        <x:v>V0.5</x:v>
      </x:c>
    </x:row>
    <x:row r="9">
      <x:c r="B9" s="28" t="str">
        <x:v>格局</x:v>
      </x:c>
      <x:c r="G9" s="28" t="str">
        <x:v>遥合</x:v>
      </x:c>
      <x:c r="H9" s="28" t="str">
        <x:v>月日</x:v>
      </x:c>
      <x:c r="J9" s="28" t="str">
        <x:v>无根</x:v>
      </x:c>
      <x:c r="K9" s="28" t="str">
        <x:v>多重强根</x:v>
      </x:c>
      <x:c r="L9" s="28" t="str">
        <x:v>耗</x:v>
      </x:c>
      <x:c r="M9" s="28" t="str">
        <x:v>阻断</x:v>
      </x:c>
      <x:c r="R9" s="28" t="str">
        <x:v>现代综合</x:v>
      </x:c>
      <x:c r="S9" s="28" t="str">
        <x:v>示例</x:v>
      </x:c>
      <x:c r="U9" s="28" t="str">
        <x:v>旺</x:v>
      </x:c>
      <x:c r="V9" s="28" t="str">
        <x:v>待定</x:v>
      </x:c>
      <x:c r="Y9" s="28" t="str">
        <x:v>正财</x:v>
      </x:c>
      <x:c r="Z9" s="28" t="str">
        <x:v>完全不现</x:v>
      </x:c>
      <x:c r="AA9" s="28" t="str">
        <x:v>制化平衡</x:v>
      </x:c>
      <x:c r="AB9" s="28" t="str">
        <x:v>条件性忌神</x:v>
      </x:c>
      <x:c r="AC9" s="28" t="str">
        <x:v>专旺候选</x:v>
      </x:c>
      <x:c r="AD9" s="28" t="str">
        <x:v>清纯成立</x:v>
      </x:c>
      <x:c r="AE9" s="28" t="str">
        <x:v>待定</x:v>
      </x:c>
      <x:c r="AF9" s="28" t="str">
        <x:v>待定</x:v>
      </x:c>
      <x:c r="AG9" s="28" t="str">
        <x:v>待定</x:v>
      </x:c>
      <x:c r="AH9" s="28" t="str">
        <x:v>复合病</x:v>
      </x:c>
      <x:c r="AI9" s="28" t="str">
        <x:v>待定</x:v>
      </x:c>
      <x:c r="AJ9" s="28" t="str">
        <x:v>生</x:v>
      </x:c>
      <x:c r="AK9" s="28" t="str">
        <x:v>待定</x:v>
      </x:c>
      <x:c r="AL9" s="28" t="str">
        <x:v>待定</x:v>
      </x:c>
      <x:c r="AO9" s="28" t="str">
        <x:v>待定</x:v>
      </x:c>
      <x:c r="AP9" s="28" t="str">
        <x:v>终点过弱不能承载</x:v>
      </x:c>
      <x:c r="AR9" s="28" t="str">
        <x:v>复合来源</x:v>
      </x:c>
      <x:c r="AS9" s="28" t="str">
        <x:v>待定</x:v>
      </x:c>
      <x:c r="AV9" s="28" t="str">
        <x:v>日期</x:v>
      </x:c>
      <x:c r="AX9" s="28" t="str">
        <x:v>综合案例</x:v>
      </x:c>
      <x:c r="AZ9" s="28" t="str">
        <x:v>例外补充</x:v>
      </x:c>
      <x:c r="BB9" s="28" t="str">
        <x:v>恢复</x:v>
      </x:c>
      <x:c r="BC9" s="28" t="str">
        <x:v>已生效</x:v>
      </x:c>
      <x:c r="BD9" s="28" t="str">
        <x:v>争议规则</x:v>
      </x:c>
      <x:c r="BG9" s="28" t="str">
        <x:v>V0.6</x:v>
      </x:c>
    </x:row>
    <x:row r="10">
      <x:c r="B10" s="28" t="str">
        <x:v>病药</x:v>
      </x:c>
      <x:c r="G10" s="28" t="str">
        <x:v>六合</x:v>
      </x:c>
      <x:c r="H10" s="28" t="str">
        <x:v>日时</x:v>
      </x:c>
      <x:c r="J10" s="28" t="str">
        <x:v>其他</x:v>
      </x:c>
      <x:c r="K10" s="28" t="str">
        <x:v>待定</x:v>
      </x:c>
      <x:c r="L10" s="28" t="str">
        <x:v>合绊</x:v>
      </x:c>
      <x:c r="M10" s="28" t="str">
        <x:v>不变</x:v>
      </x:c>
      <x:c r="R10" s="28" t="str">
        <x:v>跨流派共识</x:v>
      </x:c>
      <x:c r="U10" s="28" t="str">
        <x:v>极旺</x:v>
      </x:c>
      <x:c r="Y10" s="28" t="str">
        <x:v>七杀</x:v>
      </x:c>
      <x:c r="Z10" s="28" t="str">
        <x:v>待定</x:v>
      </x:c>
      <x:c r="AA10" s="28" t="str">
        <x:v>制化失衡</x:v>
      </x:c>
      <x:c r="AB10" s="28" t="str">
        <x:v>忌神</x:v>
      </x:c>
      <x:c r="AC10" s="28" t="str">
        <x:v>其他</x:v>
      </x:c>
      <x:c r="AD10" s="28" t="str">
        <x:v>特殊格局严格成立</x:v>
      </x:c>
      <x:c r="AH10" s="28" t="str">
        <x:v>待定</x:v>
      </x:c>
      <x:c r="AJ10" s="28" t="str">
        <x:v>通</x:v>
      </x:c>
      <x:c r="AP10" s="28" t="str">
        <x:v>终点过旺反制</x:v>
      </x:c>
      <x:c r="AV10" s="28" t="str">
        <x:v>布尔/条件</x:v>
      </x:c>
      <x:c r="AZ10" s="28" t="str">
        <x:v>版本变更</x:v>
      </x:c>
      <x:c r="BB10" s="28" t="str">
        <x:v>仅文字优化</x:v>
      </x:c>
      <x:c r="BD10" s="28" t="str">
        <x:v>未知</x:v>
      </x:c>
      <x:c r="BG10" t="str">
        <x:v>V0.7</x:v>
      </x:c>
    </x:row>
    <x:row r="11">
      <x:c r="B11" s="28" t="str">
        <x:v>输出字段</x:v>
      </x:c>
      <x:c r="G11" s="28" t="str">
        <x:v>三合</x:v>
      </x:c>
      <x:c r="H11" s="28" t="str">
        <x:v>年日</x:v>
      </x:c>
      <x:c r="L11" s="28" t="str">
        <x:v>合住</x:v>
      </x:c>
      <x:c r="M11" s="28" t="str">
        <x:v>条件性</x:v>
      </x:c>
      <x:c r="R11" s="28" t="str">
        <x:v>待定</x:v>
      </x:c>
      <x:c r="U11" s="28" t="str">
        <x:v>待定</x:v>
      </x:c>
      <x:c r="Y11" s="28" t="str">
        <x:v>正官</x:v>
      </x:c>
      <x:c r="AA11" s="28" t="str">
        <x:v>待定</x:v>
      </x:c>
      <x:c r="AB11" s="28" t="str">
        <x:v>仇神</x:v>
      </x:c>
      <x:c r="AD11" s="28" t="str">
        <x:v>待定</x:v>
      </x:c>
      <x:c r="AJ11" s="28" t="str">
        <x:v>润</x:v>
      </x:c>
      <x:c r="AP11" s="28" t="str">
        <x:v>两强相战</x:v>
      </x:c>
      <x:c r="AV11" s="28" t="str">
        <x:v>Rule_ID引用</x:v>
      </x:c>
      <x:c r="BG11" t="str">
        <x:v>V0.8</x:v>
      </x:c>
    </x:row>
    <x:row r="12">
      <x:c r="B12" s="28" t="str">
        <x:v>案例</x:v>
      </x:c>
      <x:c r="G12" s="28" t="str">
        <x:v>半合</x:v>
      </x:c>
      <x:c r="H12" s="28" t="str">
        <x:v>年时</x:v>
      </x:c>
      <x:c r="L12" s="28" t="str">
        <x:v>合动</x:v>
      </x:c>
      <x:c r="M12" s="28" t="str">
        <x:v>待定</x:v>
      </x:c>
      <x:c r="Y12" s="28" t="str">
        <x:v>偏印</x:v>
      </x:c>
      <x:c r="AB12" s="28" t="str">
        <x:v>待定</x:v>
      </x:c>
      <x:c r="AJ12" s="28" t="str">
        <x:v>暖</x:v>
      </x:c>
      <x:c r="AP12" s="28" t="str">
        <x:v>寒凝</x:v>
      </x:c>
      <x:c r="AV12" s="28" t="str">
        <x:v>多值标签</x:v>
      </x:c>
      <x:c r="BG12" t="str">
        <x:v>V0.9</x:v>
      </x:c>
    </x:row>
    <x:row r="13">
      <x:c r="B13" s="28" t="str">
        <x:v>版本记录</x:v>
      </x:c>
      <x:c r="G13" s="28" t="str">
        <x:v>拱合</x:v>
      </x:c>
      <x:c r="H13" s="28" t="str">
        <x:v>月时</x:v>
      </x:c>
      <x:c r="L13" s="28" t="str">
        <x:v>合化</x:v>
      </x:c>
      <x:c r="Y13" s="28" t="str">
        <x:v>正印</x:v>
      </x:c>
      <x:c r="AJ13" s="28" t="str">
        <x:v>燥湿</x:v>
      </x:c>
      <x:c r="AP13" s="28" t="str">
        <x:v>燥枯</x:v>
      </x:c>
      <x:c r="BG13" t="str">
        <x:v>V1.0</x:v>
      </x:c>
    </x:row>
    <x:row r="14">
      <x:c r="G14" s="28" t="str">
        <x:v>三会</x:v>
      </x:c>
      <x:c r="H14" s="28" t="str">
        <x:v>其他</x:v>
      </x:c>
      <x:c r="L14" s="28" t="str">
        <x:v>冲动</x:v>
      </x:c>
      <x:c r="AJ14" s="28" t="str">
        <x:v>清杂</x:v>
      </x:c>
      <x:c r="AP14" s="28" t="str">
        <x:v>链路过长</x:v>
      </x:c>
      <x:c r="BG14" t="str">
        <x:v>V1.1</x:v>
      </x:c>
    </x:row>
    <x:row r="15">
      <x:c r="G15" s="28" t="str">
        <x:v>六冲</x:v>
      </x:c>
      <x:c r="L15" s="28" t="str">
        <x:v>冲散</x:v>
      </x:c>
      <x:c r="AJ15" s="28" t="str">
        <x:v>护格</x:v>
      </x:c>
      <x:c r="AP15" s="28" t="str">
        <x:v>回流壅塞</x:v>
      </x:c>
      <x:c r="BG15" t="str">
        <x:v>V1.2</x:v>
      </x:c>
    </x:row>
    <x:row r="16">
      <x:c r="G16" s="28" t="str">
        <x:v>三刑</x:v>
      </x:c>
      <x:c r="L16" s="28" t="str">
        <x:v>冲开</x:v>
      </x:c>
      <x:c r="AJ16" s="28" t="str">
        <x:v>救应</x:v>
      </x:c>
      <x:c r="AP16" s="28" t="str">
        <x:v>其他</x:v>
      </x:c>
      <x:c r="BG16" t="str">
        <x:v>V1.3</x:v>
      </x:c>
    </x:row>
    <x:row r="17">
      <x:c r="G17" s="28" t="str">
        <x:v>自刑</x:v>
      </x:c>
      <x:c r="L17" s="28" t="str">
        <x:v>冲旺</x:v>
      </x:c>
      <x:c r="AJ17" s="28" t="str">
        <x:v>复合药理</x:v>
      </x:c>
      <x:c r="BG17" t="str">
        <x:v>V1.4</x:v>
      </x:c>
    </x:row>
    <x:row r="18">
      <x:c r="G18" s="28" t="str">
        <x:v>六害</x:v>
      </x:c>
      <x:c r="L18" s="28" t="str">
        <x:v>冲弱</x:v>
      </x:c>
      <x:c r="AJ18" s="28" t="str">
        <x:v>待定</x:v>
      </x:c>
      <x:c r="BG18" t="str">
        <x:v>V1.5</x:v>
      </x:c>
    </x:row>
    <x:row r="19">
      <x:c r="G19" s="28" t="str">
        <x:v>六破</x:v>
      </x:c>
      <x:c r="L19" s="28" t="str">
        <x:v>冲去</x:v>
      </x:c>
      <x:c r="BG19" t="str">
        <x:v>V1.6</x:v>
      </x:c>
    </x:row>
    <x:row r="20">
      <x:c r="G20" s="28" t="str">
        <x:v>其他</x:v>
      </x:c>
      <x:c r="L20" s="28" t="str">
        <x:v>刑动</x:v>
      </x:c>
    </x:row>
    <x:row r="21">
      <x:c r="L21" s="28" t="str">
        <x:v>刑伤</x:v>
      </x:c>
    </x:row>
    <x:row r="22">
      <x:c r="L22" s="28" t="str">
        <x:v>激活</x:v>
      </x:c>
    </x:row>
    <x:row r="23">
      <x:c r="L23" s="28" t="str">
        <x:v>破坏根气</x:v>
      </x:c>
    </x:row>
    <x:row r="24">
      <x:c r="L24" s="28" t="str">
        <x:v>引动藏干</x:v>
      </x:c>
    </x:row>
    <x:row r="25">
      <x:c r="L25" s="28" t="str">
        <x:v>开库</x:v>
      </x:c>
    </x:row>
    <x:row r="26">
      <x:c r="L26" s="28" t="str">
        <x:v>通关</x:v>
      </x:c>
    </x:row>
    <x:row r="27">
      <x:c r="L27" s="28" t="str">
        <x:v>阻断</x:v>
      </x:c>
    </x:row>
    <x:row r="28">
      <x:c r="L28" s="28" t="str">
        <x:v>润</x:v>
      </x:c>
    </x:row>
    <x:row r="29">
      <x:c r="L29" s="28" t="str">
        <x:v>暖</x:v>
      </x:c>
    </x:row>
    <x:row r="30">
      <x:c r="L30" s="28" t="str">
        <x:v>燥湿</x:v>
      </x:c>
    </x:row>
    <x:row r="31">
      <x:c r="L31" s="28" t="str">
        <x:v>清杂</x:v>
      </x:c>
    </x:row>
    <x:row r="32">
      <x:c r="L32" s="28" t="str">
        <x:v>护格</x:v>
      </x:c>
    </x:row>
    <x:row r="33">
      <x:c r="L33" s="28" t="str">
        <x:v>救应</x:v>
      </x:c>
    </x:row>
    <x:row r="34">
      <x:c r="L34" s="28" t="str">
        <x:v>其他</x:v>
      </x:c>
    </x:row>
  </x:sheetData>
  <x:mergeCells>
    <x:mergeCell ref="A1:BG1"/>
    <x:mergeCell ref="A2:BG2"/>
  </x:mergeCells>
  <x:pageMargins left="0.7" right="0.7" top="0.75" bottom="0.75" header="0.3" footer="0.3"/>
</x:worksheet>
</file>