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287e8827ee446f" /></Relationships>
</file>

<file path=xl/workbook.xml><?xml version="1.0" encoding="utf-8"?>
<x:workbook xmlns:x="http://schemas.openxmlformats.org/spreadsheetml/2006/main">
  <x:sheets>
    <x:sheet xmlns:r="http://schemas.openxmlformats.org/officeDocument/2006/relationships" name="00_使用说明" sheetId="1" r:id="R7b195f4c267e4538"/>
    <x:sheet xmlns:r="http://schemas.openxmlformats.org/officeDocument/2006/relationships" name="01_术语与编码" sheetId="2" r:id="Rc1ff5426a3134a5e"/>
    <x:sheet xmlns:r="http://schemas.openxmlformats.org/officeDocument/2006/relationships" name="02_干支藏干基础" sheetId="3" r:id="R58bd58abe7664a7b"/>
    <x:sheet xmlns:r="http://schemas.openxmlformats.org/officeDocument/2006/relationships" name="03_月令与根气" sheetId="4" r:id="R11892425fb204192"/>
    <x:sheet xmlns:r="http://schemas.openxmlformats.org/officeDocument/2006/relationships" name="04_天干作用识别" sheetId="5" r:id="R8295a1eb7af1490d"/>
    <x:sheet xmlns:r="http://schemas.openxmlformats.org/officeDocument/2006/relationships" name="05_地支关系识别" sheetId="6" r:id="Rda5c26ab74e5429c"/>
    <x:sheet xmlns:r="http://schemas.openxmlformats.org/officeDocument/2006/relationships" name="06_干支关系效应" sheetId="7" r:id="R52133e5aaff64a8f"/>
    <x:sheet xmlns:r="http://schemas.openxmlformats.org/officeDocument/2006/relationships" name="07_五行原始旺衰" sheetId="8" r:id="Rd6224f231e334eb0"/>
    <x:sheet xmlns:r="http://schemas.openxmlformats.org/officeDocument/2006/relationships" name="08_五行有效旺衰" sheetId="9" r:id="R19d8a9d1cb51447b"/>
    <x:sheet xmlns:r="http://schemas.openxmlformats.org/officeDocument/2006/relationships" name="09_日主旺衰" sheetId="10" r:id="R5aba6d7e8d66449c"/>
    <x:sheet xmlns:r="http://schemas.openxmlformats.org/officeDocument/2006/relationships" name="10_十神旺衰功能" sheetId="11" r:id="R8ba45925e61043fd"/>
    <x:sheet xmlns:r="http://schemas.openxmlformats.org/officeDocument/2006/relationships" name="11_十神组合成立" sheetId="12" r:id="R2d7d01f667194463"/>
    <x:sheet xmlns:r="http://schemas.openxmlformats.org/officeDocument/2006/relationships" name="12_五行流通卡点" sheetId="13" r:id="R687a088b19424bf6"/>
    <x:sheet xmlns:r="http://schemas.openxmlformats.org/officeDocument/2006/relationships" name="13_寒暖燥湿" sheetId="14" r:id="R53d1d1ba759b4959"/>
    <x:sheet xmlns:r="http://schemas.openxmlformats.org/officeDocument/2006/relationships" name="14_格局候选判断" sheetId="15" r:id="R6f52fa918e734d5b"/>
    <x:sheet xmlns:r="http://schemas.openxmlformats.org/officeDocument/2006/relationships" name="15_格局成败救应" sheetId="16" r:id="Rbfe1b4fefa844d18"/>
    <x:sheet xmlns:r="http://schemas.openxmlformats.org/officeDocument/2006/relationships" name="16_病药模型" sheetId="17" r:id="R89d72df8e3ad4764"/>
    <x:sheet xmlns:r="http://schemas.openxmlformats.org/officeDocument/2006/relationships" name="17_喜忌用神矩阵" sheetId="18" r:id="R6d8c2445b3c94fc5"/>
    <x:sheet xmlns:r="http://schemas.openxmlformats.org/officeDocument/2006/relationships" name="18_冲突裁决规则" sheetId="19" r:id="R2059e8c57a83410a"/>
    <x:sheet xmlns:r="http://schemas.openxmlformats.org/officeDocument/2006/relationships" name="19_综合输出模板" sheetId="20" r:id="R8dbfd5db15ed471b"/>
    <x:sheet xmlns:r="http://schemas.openxmlformats.org/officeDocument/2006/relationships" name="20_案例测试" sheetId="21" r:id="Rff854231f9674fca"/>
    <x:sheet xmlns:r="http://schemas.openxmlformats.org/officeDocument/2006/relationships" name="21_版本与争议规则" sheetId="22" r:id="Rc5107d5a05844296"/>
    <x:sheet xmlns:r="http://schemas.openxmlformats.org/officeDocument/2006/relationships" name="99_下拉选项" sheetId="23" r:id="Rc009d76325064aa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wrapText="1"/>
    </x:xf>
    <x:xf numFmtId="202" fontId="9" fillId="8"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cb577f18ae14a28" /><Relationship Type="http://schemas.openxmlformats.org/officeDocument/2006/relationships/theme" Target="/xl/theme/theme1.xml" Id="R5fdd85b56012484a" /><Relationship Type="http://schemas.openxmlformats.org/officeDocument/2006/relationships/sharedStrings" Target="/xl/sharedStrings.xml" Id="R0312ad2ee9c64296" /><Relationship Type="http://schemas.openxmlformats.org/officeDocument/2006/relationships/worksheet" Target="/xl/worksheets/sheet1.xml" Id="R7b195f4c267e4538" /><Relationship Type="http://schemas.openxmlformats.org/officeDocument/2006/relationships/worksheet" Target="/xl/worksheets/sheet2.xml" Id="Rc1ff5426a3134a5e" /><Relationship Type="http://schemas.openxmlformats.org/officeDocument/2006/relationships/worksheet" Target="/xl/worksheets/sheet3.xml" Id="R58bd58abe7664a7b" /><Relationship Type="http://schemas.openxmlformats.org/officeDocument/2006/relationships/worksheet" Target="/xl/worksheets/sheet4.xml" Id="R11892425fb204192" /><Relationship Type="http://schemas.openxmlformats.org/officeDocument/2006/relationships/worksheet" Target="/xl/worksheets/sheet5.xml" Id="R8295a1eb7af1490d" /><Relationship Type="http://schemas.openxmlformats.org/officeDocument/2006/relationships/worksheet" Target="/xl/worksheets/sheet6.xml" Id="Rda5c26ab74e5429c" /><Relationship Type="http://schemas.openxmlformats.org/officeDocument/2006/relationships/worksheet" Target="/xl/worksheets/sheet7.xml" Id="R52133e5aaff64a8f" /><Relationship Type="http://schemas.openxmlformats.org/officeDocument/2006/relationships/worksheet" Target="/xl/worksheets/sheet8.xml" Id="Rd6224f231e334eb0" /><Relationship Type="http://schemas.openxmlformats.org/officeDocument/2006/relationships/worksheet" Target="/xl/worksheets/sheet9.xml" Id="R19d8a9d1cb51447b" /><Relationship Type="http://schemas.openxmlformats.org/officeDocument/2006/relationships/worksheet" Target="/xl/worksheets/sheet10.xml" Id="R5aba6d7e8d66449c" /><Relationship Type="http://schemas.openxmlformats.org/officeDocument/2006/relationships/worksheet" Target="/xl/worksheets/sheet11.xml" Id="R8ba45925e61043fd" /><Relationship Type="http://schemas.openxmlformats.org/officeDocument/2006/relationships/worksheet" Target="/xl/worksheets/sheet12.xml" Id="R2d7d01f667194463" /><Relationship Type="http://schemas.openxmlformats.org/officeDocument/2006/relationships/worksheet" Target="/xl/worksheets/sheet13.xml" Id="R687a088b19424bf6" /><Relationship Type="http://schemas.openxmlformats.org/officeDocument/2006/relationships/worksheet" Target="/xl/worksheets/sheet14.xml" Id="R53d1d1ba759b4959" /><Relationship Type="http://schemas.openxmlformats.org/officeDocument/2006/relationships/worksheet" Target="/xl/worksheets/sheet15.xml" Id="R6f52fa918e734d5b" /><Relationship Type="http://schemas.openxmlformats.org/officeDocument/2006/relationships/worksheet" Target="/xl/worksheets/sheet16.xml" Id="Rbfe1b4fefa844d18" /><Relationship Type="http://schemas.openxmlformats.org/officeDocument/2006/relationships/worksheet" Target="/xl/worksheets/sheet17.xml" Id="R89d72df8e3ad4764" /><Relationship Type="http://schemas.openxmlformats.org/officeDocument/2006/relationships/worksheet" Target="/xl/worksheets/sheet18.xml" Id="R6d8c2445b3c94fc5" /><Relationship Type="http://schemas.openxmlformats.org/officeDocument/2006/relationships/worksheet" Target="/xl/worksheets/sheet19.xml" Id="R2059e8c57a83410a" /><Relationship Type="http://schemas.openxmlformats.org/officeDocument/2006/relationships/worksheet" Target="/xl/worksheets/sheet20.xml" Id="R8dbfd5db15ed471b" /><Relationship Type="http://schemas.openxmlformats.org/officeDocument/2006/relationships/worksheet" Target="/xl/worksheets/sheet21.xml" Id="Rff854231f9674fca" /><Relationship Type="http://schemas.openxmlformats.org/officeDocument/2006/relationships/worksheet" Target="/xl/worksheets/sheet22.xml" Id="Rc5107d5a05844296" /><Relationship Type="http://schemas.openxmlformats.org/officeDocument/2006/relationships/worksheet" Target="/xl/worksheets/sheet23.xml" Id="Rc009d76325064aaa"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528"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26"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16"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1551088f2a4f00" /><Relationship Type="http://schemas.openxmlformats.org/officeDocument/2006/relationships/table" Target="/xl/tables/table2.xml" Id="R4c269f581014482d" /><Relationship Type="http://schemas.openxmlformats.org/officeDocument/2006/relationships/table" Target="/xl/tables/table3.xml" Id="R3d7e748231b84ed3" /></Relationships>
</file>

<file path=xl/worksheets/_rels/sheet2.xml.rels>&#65279;<?xml version="1.0" encoding="utf-8"?><Relationships xmlns="http://schemas.openxmlformats.org/package/2006/relationships"><Relationship Type="http://schemas.openxmlformats.org/officeDocument/2006/relationships/table" Target="/xl/tables/table4.xml" Id="R6e3dbc8c1fdd43c6" /><Relationship Type="http://schemas.openxmlformats.org/officeDocument/2006/relationships/table" Target="/xl/tables/table5.xml" Id="R70c6f346e85a43f0" /><Relationship Type="http://schemas.openxmlformats.org/officeDocument/2006/relationships/table" Target="/xl/tables/table6.xml" Id="R883c42a04190441b" /><Relationship Type="http://schemas.openxmlformats.org/officeDocument/2006/relationships/table" Target="/xl/tables/table7.xml" Id="R4cc88ac9af7c4ec7" /></Relationships>
</file>

<file path=xl/worksheets/_rels/sheet3.xml.rels>&#65279;<?xml version="1.0" encoding="utf-8"?><Relationships xmlns="http://schemas.openxmlformats.org/package/2006/relationships"><Relationship Type="http://schemas.openxmlformats.org/officeDocument/2006/relationships/table" Target="/xl/tables/table8.xml" Id="Rd55bdee3a25e4980" /></Relationships>
</file>

<file path=xl/worksheets/_rels/sheet4.xml.rels>&#65279;<?xml version="1.0" encoding="utf-8"?><Relationships xmlns="http://schemas.openxmlformats.org/package/2006/relationships"><Relationship Type="http://schemas.openxmlformats.org/officeDocument/2006/relationships/table" Target="/xl/tables/table9.xml" Id="R2191a3df4b3648b6" /></Relationships>
</file>

<file path=xl/worksheets/_rels/sheet5.xml.rels>&#65279;<?xml version="1.0" encoding="utf-8"?><Relationships xmlns="http://schemas.openxmlformats.org/package/2006/relationships"><Relationship Type="http://schemas.openxmlformats.org/officeDocument/2006/relationships/table" Target="/xl/tables/table10.xml" Id="R2ef7584a7c864597" /></Relationships>
</file>

<file path=xl/worksheets/_rels/sheet6.xml.rels>&#65279;<?xml version="1.0" encoding="utf-8"?><Relationships xmlns="http://schemas.openxmlformats.org/package/2006/relationships"><Relationship Type="http://schemas.openxmlformats.org/officeDocument/2006/relationships/table" Target="/xl/tables/table11.xml" Id="Rcc30f8ec98184b79" /></Relationships>
</file>

<file path=xl/worksheets/_rels/sheet7.xml.rels>&#65279;<?xml version="1.0" encoding="utf-8"?><Relationships xmlns="http://schemas.openxmlformats.org/package/2006/relationships"><Relationship Type="http://schemas.openxmlformats.org/officeDocument/2006/relationships/table" Target="/xl/tables/table12.xml" Id="R2608cf8d27cb400f" /></Relationships>
</file>

<file path=xl/worksheets/_rels/sheet8.xml.rels>&#65279;<?xml version="1.0" encoding="utf-8"?><Relationships xmlns="http://schemas.openxmlformats.org/package/2006/relationships"><Relationship Type="http://schemas.openxmlformats.org/officeDocument/2006/relationships/table" Target="/xl/tables/table13.xml" Id="R225d1717a7544726" /></Relationships>
</file>

<file path=xl/worksheets/_rels/sheet9.xml.rels>&#65279;<?xml version="1.0" encoding="utf-8"?><Relationships xmlns="http://schemas.openxmlformats.org/package/2006/relationships"><Relationship Type="http://schemas.openxmlformats.org/officeDocument/2006/relationships/table" Target="/xl/tables/table14.xml" Id="R9f14d9a4ede64bf0" /></Relationships>
</file>

<file path=xl/worksheets/_rels/sheet10.xml.rels>&#65279;<?xml version="1.0" encoding="utf-8"?><Relationships xmlns="http://schemas.openxmlformats.org/package/2006/relationships"><Relationship Type="http://schemas.openxmlformats.org/officeDocument/2006/relationships/table" Target="/xl/tables/table15.xml" Id="R62eab907cbbb4dae" /></Relationships>
</file>

<file path=xl/worksheets/_rels/sheet11.xml.rels>&#65279;<?xml version="1.0" encoding="utf-8"?><Relationships xmlns="http://schemas.openxmlformats.org/package/2006/relationships"><Relationship Type="http://schemas.openxmlformats.org/officeDocument/2006/relationships/table" Target="/xl/tables/table16.xml" Id="R9debde5e040d49b1" /></Relationships>
</file>

<file path=xl/worksheets/_rels/sheet12.xml.rels>&#65279;<?xml version="1.0" encoding="utf-8"?><Relationships xmlns="http://schemas.openxmlformats.org/package/2006/relationships"><Relationship Type="http://schemas.openxmlformats.org/officeDocument/2006/relationships/table" Target="/xl/tables/table17.xml" Id="Rf4119b35c71f4278" /></Relationships>
</file>

<file path=xl/worksheets/_rels/sheet13.xml.rels>&#65279;<?xml version="1.0" encoding="utf-8"?><Relationships xmlns="http://schemas.openxmlformats.org/package/2006/relationships"><Relationship Type="http://schemas.openxmlformats.org/officeDocument/2006/relationships/table" Target="/xl/tables/table18.xml" Id="R727cec93ee91405e" /></Relationships>
</file>

<file path=xl/worksheets/_rels/sheet14.xml.rels>&#65279;<?xml version="1.0" encoding="utf-8"?><Relationships xmlns="http://schemas.openxmlformats.org/package/2006/relationships"><Relationship Type="http://schemas.openxmlformats.org/officeDocument/2006/relationships/table" Target="/xl/tables/table19.xml" Id="R7396b365fb0c44e4" /></Relationships>
</file>

<file path=xl/worksheets/_rels/sheet15.xml.rels>&#65279;<?xml version="1.0" encoding="utf-8"?><Relationships xmlns="http://schemas.openxmlformats.org/package/2006/relationships"><Relationship Type="http://schemas.openxmlformats.org/officeDocument/2006/relationships/table" Target="/xl/tables/table20.xml" Id="R4aa6aed7605c4cb6" /></Relationships>
</file>

<file path=xl/worksheets/_rels/sheet16.xml.rels>&#65279;<?xml version="1.0" encoding="utf-8"?><Relationships xmlns="http://schemas.openxmlformats.org/package/2006/relationships"><Relationship Type="http://schemas.openxmlformats.org/officeDocument/2006/relationships/table" Target="/xl/tables/table21.xml" Id="R768973c769e145c0" /></Relationships>
</file>

<file path=xl/worksheets/_rels/sheet17.xml.rels>&#65279;<?xml version="1.0" encoding="utf-8"?><Relationships xmlns="http://schemas.openxmlformats.org/package/2006/relationships"><Relationship Type="http://schemas.openxmlformats.org/officeDocument/2006/relationships/table" Target="/xl/tables/table22.xml" Id="R960566b6d69a485d" /></Relationships>
</file>

<file path=xl/worksheets/_rels/sheet18.xml.rels>&#65279;<?xml version="1.0" encoding="utf-8"?><Relationships xmlns="http://schemas.openxmlformats.org/package/2006/relationships"><Relationship Type="http://schemas.openxmlformats.org/officeDocument/2006/relationships/table" Target="/xl/tables/table23.xml" Id="Rcdeec939aeb64462" /></Relationships>
</file>

<file path=xl/worksheets/_rels/sheet19.xml.rels>&#65279;<?xml version="1.0" encoding="utf-8"?><Relationships xmlns="http://schemas.openxmlformats.org/package/2006/relationships"><Relationship Type="http://schemas.openxmlformats.org/officeDocument/2006/relationships/table" Target="/xl/tables/table24.xml" Id="R1a33e5bd2ddc45a1" /></Relationships>
</file>

<file path=xl/worksheets/_rels/sheet20.xml.rels>&#65279;<?xml version="1.0" encoding="utf-8"?><Relationships xmlns="http://schemas.openxmlformats.org/package/2006/relationships"><Relationship Type="http://schemas.openxmlformats.org/officeDocument/2006/relationships/table" Target="/xl/tables/table25.xml" Id="R5751b99fdeac4d6d" /></Relationships>
</file>

<file path=xl/worksheets/_rels/sheet21.xml.rels>&#65279;<?xml version="1.0" encoding="utf-8"?><Relationships xmlns="http://schemas.openxmlformats.org/package/2006/relationships"><Relationship Type="http://schemas.openxmlformats.org/officeDocument/2006/relationships/table" Target="/xl/tables/table26.xml" Id="R1c67367ba91e4fc0" /></Relationships>
</file>

<file path=xl/worksheets/_rels/sheet22.xml.rels>&#65279;<?xml version="1.0" encoding="utf-8"?><Relationships xmlns="http://schemas.openxmlformats.org/package/2006/relationships"><Relationship Type="http://schemas.openxmlformats.org/officeDocument/2006/relationships/table" Target="/xl/tables/table27.xml" Id="R27c021bf76f746e6"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1.1寒暖燥湿规则版，已完成M02—M13核心规则；M13新增70条双轴气候、调候有效性与冲突规则。下一步进入M14格局候选判断。</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v>1030</x:v>
      </x:c>
      <x:c r="F6" s="130"/>
      <x:c r="G6" s="130" t="n">
        <x:f>SUM($J$18:$J$37)</x:f>
        <x:v>1745</x:v>
      </x:c>
      <x:c r="H6" s="130"/>
      <x:c r="I6" s="138" t="n">
        <x:f>E6/G6</x:f>
        <x:v>0.5902578796561605</x:v>
      </x:c>
      <x:c r="J6" s="138"/>
      <x:c r="K6" s="130" t="n">
        <x:v>523</x:v>
      </x:c>
      <x:c r="L6" s="130"/>
      <x:c r="M6" s="144" t="str">
        <x:v>V1.1</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90</x:v>
      </x:c>
      <x:c r="L25" s="160" t="n">
        <x:f>IF(J25=0,"",K25/J25)</x:f>
        <x:v>1</x:v>
      </x:c>
      <x:c r="M25" s="112" t="str">
        <x:v>核心规则填充</x:v>
      </x:c>
      <x:c r="N25" s="112" t="str">
        <x:v>已录入90条：得令10、得地12、得势10、得生8、受制8、受泄8、受耗6、综合比较10、七级分级8、边界10。</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v>120</x:v>
      </x:c>
      <x:c r="L26" s="160" t="n">
        <x:v>1</x:v>
      </x:c>
      <x:c r="M26" s="112" t="str">
        <x:v>核心规则填充</x:v>
      </x:c>
      <x:c r="N26" s="112" t="str">
        <x:v>已录入120条：存在12、力量12、清纯8、比劫10、印星10、食伤12、财星12、官杀14、制化10、组合格局接口8、喜忌候选6、边界6。</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v>110</x:v>
      </x:c>
      <x:c r="L27" s="160" t="n">
        <x:v>1</x:v>
      </x:c>
      <x:c r="M27" s="112" t="str">
        <x:v>核心规则填充</x:v>
      </x:c>
      <x:c r="N27" s="112" t="str">
        <x:v>已录入110条：通用10、食神制杀10、杀印相生8、官印相生8、伤官配印10、食伤生财10、财官生化链8、平衡承载10、其他制化8、冲突病态18、边界10。</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v>90</x:v>
      </x:c>
      <x:c r="L28" s="160" t="n">
        <x:v>1</x:v>
      </x:c>
      <x:c r="M28" s="112" t="str">
        <x:v>核心规则填充</x:v>
      </x:c>
      <x:c r="N28" s="112" t="str">
        <x:v>已录入90条：通用10、源头8、桥梁12、终点8、典型卡点16、五行生化与通关10、十神路径10、通关副作用8、综合输出4、边界4。</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v>70</x:v>
      </x:c>
      <x:c r="L29" s="160" t="n">
        <x:v>1</x:v>
      </x:c>
      <x:c r="M29" s="112" t="str">
        <x:v>核心规则填充</x:v>
      </x:c>
      <x:c r="N29" s="112" t="str">
        <x:v>已录入70条：通用8、十二月令基准12、寒暖修正10、燥湿修正10、双轴组合8、调候元素有效性8、调候冲突8、边界6。</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f>MAX(0,COUNT('14_格局候选判断'!$D$6:$D$105)-1)</x:f>
        <x:v>0</x:v>
      </x:c>
      <x:c r="L30" s="160" t="n">
        <x:f>IF(J30=0,"",K30/J30)</x:f>
        <x:v>0</x:v>
      </x:c>
      <x:c r="M30" s="112" t="str">
        <x:v>框架完成</x:v>
      </x:c>
      <x:c r="N30" s="112" t="str">
        <x:v>目标数为初始建议，可在核心规则填充后调整。</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f>MAX(0,COUNT('15_格局成败救应'!$D$6:$D$105)-1)</x:f>
        <x:v>0</x:v>
      </x:c>
      <x:c r="L31" s="160" t="n">
        <x:f>IF(J31=0,"",K31/J31)</x:f>
        <x:v>0</x:v>
      </x:c>
      <x:c r="M31" s="112" t="str">
        <x:v>框架完成</x:v>
      </x:c>
      <x:c r="N31" s="112" t="str">
        <x:v>目标数为初始建议，可在核心规则填充后调整。</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f>MAX(0,COUNT('16_病药模型'!$D$6:$D$105)-1)</x:f>
        <x:v>0</x:v>
      </x:c>
      <x:c r="L32" s="160" t="n">
        <x:f>IF(J32=0,"",K32/J32)</x:f>
        <x:v>0</x:v>
      </x:c>
      <x:c r="M32" s="112" t="str">
        <x:v>框架完成</x:v>
      </x:c>
      <x:c r="N32" s="112" t="str">
        <x:v>目标数为初始建议，可在核心规则填充后调整。</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f>MAX(0,COUNT('17_喜忌用神矩阵'!$D$6:$D$105)-1)</x:f>
        <x:v>0</x:v>
      </x:c>
      <x:c r="L33" s="160" t="n">
        <x:f>IF(J33=0,"",K33/J33)</x:f>
        <x:v>0</x:v>
      </x:c>
      <x:c r="M33" s="112" t="str">
        <x:v>框架完成</x:v>
      </x:c>
      <x:c r="N33" s="112" t="str">
        <x:v>目标数为初始建议，可在核心规则填充后调整。</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071551088f2a4f00"/>
    <x:tablePart xmlns:r="http://schemas.openxmlformats.org/officeDocument/2006/relationships" r:id="R4c269f581014482d"/>
    <x:tablePart xmlns:r="http://schemas.openxmlformats.org/officeDocument/2006/relationships" r:id="R3d7e748231b84ed3"/>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本表统一全库的枚举术语、编码、Rule_ID结构和版本治理。V1.1新增M13八个规则子类码与版本号；任何模块新增下拉值、规则类型或状态时，必须先在此登记，再写入模块表。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row r="473">
      <x:c r="A473" t="str">
        <x:v>版本号</x:v>
      </x:c>
      <x:c r="B473" t="str">
        <x:v>VER11</x:v>
      </x:c>
      <x:c r="C473" t="str">
        <x:v>V0.7</x:v>
      </x:c>
      <x:c r="D473" t="str">
        <x:v>版本号的标准选项：V0.7。完成M09日主旺衰核心规则。</x:v>
      </x:c>
      <x:c r="E473" t="str">
        <x:v>版本号</x:v>
      </x:c>
      <x:c r="F473" t="n">
        <x:v>7</x:v>
      </x:c>
      <x:c r="G473" t="str">
        <x:v>是</x:v>
      </x:c>
      <x:c r="H473" t="str">
        <x:v>日主旺衰规则版</x:v>
      </x:c>
    </x:row>
    <x:row r="474">
      <x:c r="A474" t="str">
        <x:v>规则子类</x:v>
      </x:c>
      <x:c r="B474" t="str">
        <x:v>M09-LING</x:v>
      </x:c>
      <x:c r="C474" t="str">
        <x:v>M09｜得令证据</x:v>
      </x:c>
      <x:c r="D474" t="str">
        <x:v>M09中用于季令强弱、得令非充分条件、失令反强、四季月及月令证据去重。</x:v>
      </x:c>
      <x:c r="E474" t="str">
        <x:v>子类代码</x:v>
      </x:c>
      <x:c r="F474" t="n">
        <x:v>60</x:v>
      </x:c>
      <x:c r="G474" t="str">
        <x:v>是</x:v>
      </x:c>
      <x:c r="H474" t="str">
        <x:v>首次用于V0.7</x:v>
      </x:c>
    </x:row>
    <x:row r="475">
      <x:c r="A475" t="str">
        <x:v>规则子类</x:v>
      </x:c>
      <x:c r="B475" t="str">
        <x:v>M09-DI</x:v>
      </x:c>
      <x:c r="C475" t="str">
        <x:v>M09｜得地证据</x:v>
      </x:c>
      <x:c r="D475" t="str">
        <x:v>M09中用于本中余气根、多根、无根、受冲根、日支根及根气可调用性。</x:v>
      </x:c>
      <x:c r="E475" t="str">
        <x:v>子类代码</x:v>
      </x:c>
      <x:c r="F475" t="n">
        <x:v>61</x:v>
      </x:c>
      <x:c r="G475" t="str">
        <x:v>是</x:v>
      </x:c>
      <x:c r="H475" t="str">
        <x:v>首次用于V0.7</x:v>
      </x:c>
    </x:row>
    <x:row r="476">
      <x:c r="A476" t="str">
        <x:v>规则子类</x:v>
      </x:c>
      <x:c r="B476" t="str">
        <x:v>M09-SHI</x:v>
      </x:c>
      <x:c r="C476" t="str">
        <x:v>M09｜得势证据</x:v>
      </x:c>
      <x:c r="D476" t="str">
        <x:v>M09中用于印比集团、数量质量、干支覆盖、扶身链、双集团对比与得势边界。</x:v>
      </x:c>
      <x:c r="E476" t="str">
        <x:v>子类代码</x:v>
      </x:c>
      <x:c r="F476" t="n">
        <x:v>62</x:v>
      </x:c>
      <x:c r="G476" t="str">
        <x:v>是</x:v>
      </x:c>
      <x:c r="H476" t="str">
        <x:v>首次用于V0.7</x:v>
      </x:c>
    </x:row>
    <x:row r="477">
      <x:c r="A477" t="str">
        <x:v>规则子类</x:v>
      </x:c>
      <x:c r="B477" t="str">
        <x:v>M09-SHENG</x:v>
      </x:c>
      <x:c r="C477" t="str">
        <x:v>M09｜得生证据</x:v>
      </x:c>
      <x:c r="D477" t="str">
        <x:v>M09中用于有效印源、印受损、强印无根、多印、生源容量、链式生扶与印比协同。</x:v>
      </x:c>
      <x:c r="E477" t="str">
        <x:v>子类代码</x:v>
      </x:c>
      <x:c r="F477" t="n">
        <x:v>63</x:v>
      </x:c>
      <x:c r="G477" t="str">
        <x:v>是</x:v>
      </x:c>
      <x:c r="H477" t="str">
        <x:v>首次用于V0.7</x:v>
      </x:c>
    </x:row>
    <x:row r="478">
      <x:c r="A478" t="str">
        <x:v>规则子类</x:v>
      </x:c>
      <x:c r="B478" t="str">
        <x:v>M09-KE</x:v>
      </x:c>
      <x:c r="C478" t="str">
        <x:v>M09｜受制证据</x:v>
      </x:c>
      <x:c r="D478" t="str">
        <x:v>M09中用于官杀制身、官杀成势、制化修正、杀印流向、承载差异与容量去重。</x:v>
      </x:c>
      <x:c r="E478" t="str">
        <x:v>子类代码</x:v>
      </x:c>
      <x:c r="F478" t="n">
        <x:v>64</x:v>
      </x:c>
      <x:c r="G478" t="str">
        <x:v>是</x:v>
      </x:c>
      <x:c r="H478" t="str">
        <x:v>首次用于V0.7</x:v>
      </x:c>
    </x:row>
    <x:row r="479">
      <x:c r="A479" t="str">
        <x:v>规则子类</x:v>
      </x:c>
      <x:c r="B479" t="str">
        <x:v>M09-XIE</x:v>
      </x:c>
      <x:c r="C479" t="str">
        <x:v>M09｜受泄证据</x:v>
      </x:c>
      <x:c r="D479" t="str">
        <x:v>M09中用于食伤泄身、泄身成势、印制食伤、连续泄耗及泄克分型。</x:v>
      </x:c>
      <x:c r="E479" t="str">
        <x:v>子类代码</x:v>
      </x:c>
      <x:c r="F479" t="n">
        <x:v>65</x:v>
      </x:c>
      <x:c r="G479" t="str">
        <x:v>是</x:v>
      </x:c>
      <x:c r="H479" t="str">
        <x:v>首次用于V0.7</x:v>
      </x:c>
    </x:row>
    <x:row r="480">
      <x:c r="A480" t="str">
        <x:v>规则子类</x:v>
      </x:c>
      <x:c r="B480" t="str">
        <x:v>M09-HAO</x:v>
      </x:c>
      <x:c r="C480" t="str">
        <x:v>M09｜受耗证据</x:v>
      </x:c>
      <x:c r="D480" t="str">
        <x:v>M09中用于财星耗身、财势、财受制、强身任财、泄耗链去重及多负荷边界。</x:v>
      </x:c>
      <x:c r="E480" t="str">
        <x:v>子类代码</x:v>
      </x:c>
      <x:c r="F480" t="n">
        <x:v>66</x:v>
      </x:c>
      <x:c r="G480" t="str">
        <x:v>是</x:v>
      </x:c>
      <x:c r="H480" t="str">
        <x:v>首次用于V0.7</x:v>
      </x:c>
    </x:row>
    <x:row r="481">
      <x:c r="A481" t="str">
        <x:v>规则子类</x:v>
      </x:c>
      <x:c r="B481" t="str">
        <x:v>M09-SYN</x:v>
      </x:c>
      <x:c r="C481" t="str">
        <x:v>M09｜综合比较</x:v>
      </x:c>
      <x:c r="D481" t="str">
        <x:v>M09中用于扶身侧与负荷侧净优势、强证据优先、节点去重、双强双弱与冲突降置信。</x:v>
      </x:c>
      <x:c r="E481" t="str">
        <x:v>子类代码</x:v>
      </x:c>
      <x:c r="F481" t="n">
        <x:v>67</x:v>
      </x:c>
      <x:c r="G481" t="str">
        <x:v>是</x:v>
      </x:c>
      <x:c r="H481" t="str">
        <x:v>首次用于V0.7</x:v>
      </x:c>
    </x:row>
    <x:row r="482">
      <x:c r="A482" t="str">
        <x:v>规则子类</x:v>
      </x:c>
      <x:c r="B482" t="str">
        <x:v>M09-GRADE</x:v>
      </x:c>
      <x:c r="C482" t="str">
        <x:v>M09｜七级综合分级</x:v>
      </x:c>
      <x:c r="D482" t="str">
        <x:v>M09中用于极弱、弱、中和偏弱、中和、中和偏旺、旺、极旺及相邻等级边界。</x:v>
      </x:c>
      <x:c r="E482" t="str">
        <x:v>子类代码</x:v>
      </x:c>
      <x:c r="F482" t="n">
        <x:v>68</x:v>
      </x:c>
      <x:c r="G482" t="str">
        <x:v>是</x:v>
      </x:c>
      <x:c r="H482" t="str">
        <x:v>首次用于V0.7</x:v>
      </x:c>
    </x:row>
    <x:row r="483">
      <x:c r="A483" t="str">
        <x:v>规则子类</x:v>
      </x:c>
      <x:c r="B483" t="str">
        <x:v>M09-BOUND</x:v>
      </x:c>
      <x:c r="C483" t="str">
        <x:v>M09｜日主旺衰边界</x:v>
      </x:c>
      <x:c r="D483" t="str">
        <x:v>M09中用于非机械计分、数量边界、喜忌隔离、特殊格局接口、静动态分离与输出规范。</x:v>
      </x:c>
      <x:c r="E483" t="str">
        <x:v>子类代码</x:v>
      </x:c>
      <x:c r="F483" t="n">
        <x:v>69</x:v>
      </x:c>
      <x:c r="G483" t="str">
        <x:v>是</x:v>
      </x:c>
      <x:c r="H483" t="str">
        <x:v>首次用于V0.7</x:v>
      </x:c>
    </x:row>
    <x:row r="484">
      <x:c r="A484" t="str">
        <x:v>版本号</x:v>
      </x:c>
      <x:c r="B484" t="str">
        <x:v>VER12</x:v>
      </x:c>
      <x:c r="C484" t="str">
        <x:v>V0.8</x:v>
      </x:c>
      <x:c r="D484" t="str">
        <x:v>版本号的标准选项：V0.8。完成M10十神旺衰功能核心规则。</x:v>
      </x:c>
      <x:c r="E484" t="str">
        <x:v>版本号</x:v>
      </x:c>
      <x:c r="F484" t="n">
        <x:v>8</x:v>
      </x:c>
      <x:c r="G484" t="str">
        <x:v>是</x:v>
      </x:c>
      <x:c r="H484" t="str">
        <x:v>十神旺衰功能规则版</x:v>
      </x:c>
    </x:row>
    <x:row r="485">
      <x:c r="A485" t="str">
        <x:v>规则子类</x:v>
      </x:c>
      <x:c r="B485" t="str">
        <x:v>M10-PRES</x:v>
      </x:c>
      <x:c r="C485" t="str">
        <x:v>M10｜十神存在性</x:v>
      </x:c>
      <x:c r="D485" t="str">
        <x:v>M10中用于透干、藏支、多处出现、完全不现、正偏并见及静动态存在边界。</x:v>
      </x:c>
      <x:c r="E485" t="str">
        <x:v>子类代码</x:v>
      </x:c>
      <x:c r="F485" t="n">
        <x:v>70</x:v>
      </x:c>
      <x:c r="G485" t="str">
        <x:v>是</x:v>
      </x:c>
      <x:c r="H485" t="str">
        <x:v>首次用于V0.8</x:v>
      </x:c>
    </x:row>
    <x:row r="486">
      <x:c r="A486" t="str">
        <x:v>规则子类</x:v>
      </x:c>
      <x:c r="B486" t="str">
        <x:v>M10-POWER</x:v>
      </x:c>
      <x:c r="C486" t="str">
        <x:v>M10｜十神有效力量</x:v>
      </x:c>
      <x:c r="D486" t="str">
        <x:v>M10中用于从M08继承有效力量、多节点汇总、季令根气、生源制约及七级分级。</x:v>
      </x:c>
      <x:c r="E486" t="str">
        <x:v>子类代码</x:v>
      </x:c>
      <x:c r="F486" t="n">
        <x:v>71</x:v>
      </x:c>
      <x:c r="G486" t="str">
        <x:v>是</x:v>
      </x:c>
      <x:c r="H486" t="str">
        <x:v>首次用于V0.8</x:v>
      </x:c>
    </x:row>
    <x:row r="487">
      <x:c r="A487" t="str">
        <x:v>规则子类</x:v>
      </x:c>
      <x:c r="B487" t="str">
        <x:v>M10-PURE</x:v>
      </x:c>
      <x:c r="C487" t="str">
        <x:v>M10｜十神清纯度</x:v>
      </x:c>
      <x:c r="D487" t="str">
        <x:v>M10中用于正偏并见、主次清晰、混杂程度及清纯度与喜忌分离。</x:v>
      </x:c>
      <x:c r="E487" t="str">
        <x:v>子类代码</x:v>
      </x:c>
      <x:c r="F487" t="n">
        <x:v>72</x:v>
      </x:c>
      <x:c r="G487" t="str">
        <x:v>是</x:v>
      </x:c>
      <x:c r="H487" t="str">
        <x:v>首次用于V0.8</x:v>
      </x:c>
    </x:row>
    <x:row r="488">
      <x:c r="A488" t="str">
        <x:v>规则子类</x:v>
      </x:c>
      <x:c r="B488" t="str">
        <x:v>M10-BIJIE</x:v>
      </x:c>
      <x:c r="C488" t="str">
        <x:v>M10｜比劫功能</x:v>
      </x:c>
      <x:c r="D488" t="str">
        <x:v>M10中用于比肩劫财的扶身、抗制、制财、成势、过度和双重功能。</x:v>
      </x:c>
      <x:c r="E488" t="str">
        <x:v>子类代码</x:v>
      </x:c>
      <x:c r="F488" t="n">
        <x:v>73</x:v>
      </x:c>
      <x:c r="G488" t="str">
        <x:v>是</x:v>
      </x:c>
      <x:c r="H488" t="str">
        <x:v>首次用于V0.8</x:v>
      </x:c>
    </x:row>
    <x:row r="489">
      <x:c r="A489" t="str">
        <x:v>规则子类</x:v>
      </x:c>
      <x:c r="B489" t="str">
        <x:v>M10-YIN</x:v>
      </x:c>
      <x:c r="C489" t="str">
        <x:v>M10｜印星功能</x:v>
      </x:c>
      <x:c r="D489" t="str">
        <x:v>M10中用于印星生身、化官杀、制食伤、财制印、印比协同及印过度。</x:v>
      </x:c>
      <x:c r="E489" t="str">
        <x:v>子类代码</x:v>
      </x:c>
      <x:c r="F489" t="n">
        <x:v>74</x:v>
      </x:c>
      <x:c r="G489" t="str">
        <x:v>是</x:v>
      </x:c>
      <x:c r="H489" t="str">
        <x:v>首次用于V0.8</x:v>
      </x:c>
    </x:row>
    <x:row r="490">
      <x:c r="A490" t="str">
        <x:v>规则子类</x:v>
      </x:c>
      <x:c r="B490" t="str">
        <x:v>M10-SHISHANG</x:v>
      </x:c>
      <x:c r="C490" t="str">
        <x:v>M10｜食伤功能</x:v>
      </x:c>
      <x:c r="D490" t="str">
        <x:v>M10中用于泄身、生财、制杀、克官、泄秀、过泄及枭制食伤。</x:v>
      </x:c>
      <x:c r="E490" t="str">
        <x:v>子类代码</x:v>
      </x:c>
      <x:c r="F490" t="n">
        <x:v>75</x:v>
      </x:c>
      <x:c r="G490" t="str">
        <x:v>是</x:v>
      </x:c>
      <x:c r="H490" t="str">
        <x:v>首次用于V0.8</x:v>
      </x:c>
    </x:row>
    <x:row r="491">
      <x:c r="A491" t="str">
        <x:v>规则子类</x:v>
      </x:c>
      <x:c r="B491" t="str">
        <x:v>M10-CAI</x:v>
      </x:c>
      <x:c r="C491" t="str">
        <x:v>M10｜财星功能</x:v>
      </x:c>
      <x:c r="D491" t="str">
        <x:v>M10中用于财星耗身、生官杀、制印、受比劫制、任财与财多身弱候选。</x:v>
      </x:c>
      <x:c r="E491" t="str">
        <x:v>子类代码</x:v>
      </x:c>
      <x:c r="F491" t="n">
        <x:v>76</x:v>
      </x:c>
      <x:c r="G491" t="str">
        <x:v>是</x:v>
      </x:c>
      <x:c r="H491" t="str">
        <x:v>首次用于V0.8</x:v>
      </x:c>
    </x:row>
    <x:row r="492">
      <x:c r="A492" t="str">
        <x:v>规则子类</x:v>
      </x:c>
      <x:c r="B492" t="str">
        <x:v>M10-GUANSHA</x:v>
      </x:c>
      <x:c r="C492" t="str">
        <x:v>M10｜官杀功能</x:v>
      </x:c>
      <x:c r="D492" t="str">
        <x:v>M10中用于官杀制身、生印、制化、官杀混杂、清化及日主承载。</x:v>
      </x:c>
      <x:c r="E492" t="str">
        <x:v>子类代码</x:v>
      </x:c>
      <x:c r="F492" t="n">
        <x:v>77</x:v>
      </x:c>
      <x:c r="G492" t="str">
        <x:v>是</x:v>
      </x:c>
      <x:c r="H492" t="str">
        <x:v>首次用于V0.8</x:v>
      </x:c>
    </x:row>
    <x:row r="493">
      <x:c r="A493" t="str">
        <x:v>规则子类</x:v>
      </x:c>
      <x:c r="B493" t="str">
        <x:v>M10-BAL</x:v>
      </x:c>
      <x:c r="C493" t="str">
        <x:v>M10｜功能制化状态</x:v>
      </x:c>
      <x:c r="D493" t="str">
        <x:v>M10中用于正常、受限、转化、失效、过度、制化平衡和制化失衡。</x:v>
      </x:c>
      <x:c r="E493" t="str">
        <x:v>子类代码</x:v>
      </x:c>
      <x:c r="F493" t="n">
        <x:v>78</x:v>
      </x:c>
      <x:c r="G493" t="str">
        <x:v>是</x:v>
      </x:c>
      <x:c r="H493" t="str">
        <x:v>首次用于V0.8</x:v>
      </x:c>
    </x:row>
    <x:row r="494">
      <x:c r="A494" t="str">
        <x:v>规则子类</x:v>
      </x:c>
      <x:c r="B494" t="str">
        <x:v>M10-ROLE</x:v>
      </x:c>
      <x:c r="C494" t="str">
        <x:v>M10｜组合格局接口</x:v>
      </x:c>
      <x:c r="D494" t="str">
        <x:v>M10中用于向M11/M14生成食神制杀、伤官配印、官印、杀印、食伤生财等候选。</x:v>
      </x:c>
      <x:c r="E494" t="str">
        <x:v>子类代码</x:v>
      </x:c>
      <x:c r="F494" t="n">
        <x:v>79</x:v>
      </x:c>
      <x:c r="G494" t="str">
        <x:v>是</x:v>
      </x:c>
      <x:c r="H494" t="str">
        <x:v>首次用于V0.8</x:v>
      </x:c>
    </x:row>
    <x:row r="495">
      <x:c r="A495" t="str">
        <x:v>规则子类</x:v>
      </x:c>
      <x:c r="B495" t="str">
        <x:v>M10-XIJI</x:v>
      </x:c>
      <x:c r="C495" t="str">
        <x:v>M10｜喜忌候选</x:v>
      </x:c>
      <x:c r="D495" t="str">
        <x:v>M10中用于根据日主承载、主要矛盾、收益与副作用生成条件性喜忌候选。</x:v>
      </x:c>
      <x:c r="E495" t="str">
        <x:v>子类代码</x:v>
      </x:c>
      <x:c r="F495" t="n">
        <x:v>80</x:v>
      </x:c>
      <x:c r="G495" t="str">
        <x:v>是</x:v>
      </x:c>
      <x:c r="H495" t="str">
        <x:v>首次用于V0.8</x:v>
      </x:c>
    </x:row>
    <x:row r="496">
      <x:c r="A496" t="str">
        <x:v>规则子类</x:v>
      </x:c>
      <x:c r="B496" t="str">
        <x:v>M10-BOUND</x:v>
      </x:c>
      <x:c r="C496" t="str">
        <x:v>M10｜十神判断边界</x:v>
      </x:c>
      <x:c r="D496" t="str">
        <x:v>M10中用于旺衰吉凶分离、象义事件隔离、静动态分离、争议治理和标准输出。</x:v>
      </x:c>
      <x:c r="E496" t="str">
        <x:v>子类代码</x:v>
      </x:c>
      <x:c r="F496" t="n">
        <x:v>81</x:v>
      </x:c>
      <x:c r="G496" t="str">
        <x:v>是</x:v>
      </x:c>
      <x:c r="H496" t="str">
        <x:v>首次用于V0.8</x:v>
      </x:c>
    </x:row>
    <x:row r="497">
      <x:c r="A497" t="str">
        <x:v>版本号</x:v>
      </x:c>
      <x:c r="B497" t="str">
        <x:v>VER13</x:v>
      </x:c>
      <x:c r="C497" t="str">
        <x:v>V0.9</x:v>
      </x:c>
      <x:c r="D497" t="str">
        <x:v>版本号的标准选项：V0.9。完成M11十神组合成立核心规则。</x:v>
      </x:c>
      <x:c r="E497" t="str">
        <x:v>版本号</x:v>
      </x:c>
      <x:c r="F497" t="n">
        <x:v>9</x:v>
      </x:c>
      <x:c r="G497" t="str">
        <x:v>是</x:v>
      </x:c>
      <x:c r="H497" t="str">
        <x:v>十神组合成立规则版</x:v>
      </x:c>
    </x:row>
    <x:row r="498">
      <x:c r="A498" t="str">
        <x:v>规则子类</x:v>
      </x:c>
      <x:c r="B498" t="str">
        <x:v>M11-GEN</x:v>
      </x:c>
      <x:c r="C498" t="str">
        <x:v>M11｜组合通用判定</x:v>
      </x:c>
      <x:c r="D498" t="str">
        <x:v>M11中用于候选生成、路径必要性、力量匹配、日主承载、容量去重、破坏救应及格局分层。</x:v>
      </x:c>
      <x:c r="E498" t="str">
        <x:v>子类代码</x:v>
      </x:c>
      <x:c r="F498" t="n">
        <x:v>82</x:v>
      </x:c>
      <x:c r="G498" t="str">
        <x:v>是</x:v>
      </x:c>
      <x:c r="H498" t="str">
        <x:v>首次用于V0.9</x:v>
      </x:c>
    </x:row>
    <x:row r="499">
      <x:c r="A499" t="str">
        <x:v>规则子类</x:v>
      </x:c>
      <x:c r="B499" t="str">
        <x:v>M11-SHIZHI</x:v>
      </x:c>
      <x:c r="C499" t="str">
        <x:v>M11｜食神制杀</x:v>
      </x:c>
      <x:c r="D499" t="str">
        <x:v>M11中用于食神制杀的主体客体、制杀比例、枭夺食、财制枭、制杀太过与承载。</x:v>
      </x:c>
      <x:c r="E499" t="str">
        <x:v>子类代码</x:v>
      </x:c>
      <x:c r="F499" t="n">
        <x:v>83</x:v>
      </x:c>
      <x:c r="G499" t="str">
        <x:v>是</x:v>
      </x:c>
      <x:c r="H499" t="str">
        <x:v>首次用于V0.9</x:v>
      </x:c>
    </x:row>
    <x:row r="500">
      <x:c r="A500" t="str">
        <x:v>规则子类</x:v>
      </x:c>
      <x:c r="B500" t="str">
        <x:v>M11-SHAYIN</x:v>
      </x:c>
      <x:c r="C500" t="str">
        <x:v>M11｜杀印相生</x:v>
      </x:c>
      <x:c r="D500" t="str">
        <x:v>M11中用于七杀生印、印生身、化杀不及、财坏印及制化路线竞争。</x:v>
      </x:c>
      <x:c r="E500" t="str">
        <x:v>子类代码</x:v>
      </x:c>
      <x:c r="F500" t="n">
        <x:v>84</x:v>
      </x:c>
      <x:c r="G500" t="str">
        <x:v>是</x:v>
      </x:c>
      <x:c r="H500" t="str">
        <x:v>首次用于V0.9</x:v>
      </x:c>
    </x:row>
    <x:row r="501">
      <x:c r="A501" t="str">
        <x:v>规则子类</x:v>
      </x:c>
      <x:c r="B501" t="str">
        <x:v>M11-GUANYIN</x:v>
      </x:c>
      <x:c r="C501" t="str">
        <x:v>M11｜官印相生</x:v>
      </x:c>
      <x:c r="D501" t="str">
        <x:v>M11中用于官生印、印生身、伤官破官、财星双效与清纯增强。</x:v>
      </x:c>
      <x:c r="E501" t="str">
        <x:v>子类代码</x:v>
      </x:c>
      <x:c r="F501" t="n">
        <x:v>85</x:v>
      </x:c>
      <x:c r="G501" t="str">
        <x:v>是</x:v>
      </x:c>
      <x:c r="H501" t="str">
        <x:v>首次用于V0.9</x:v>
      </x:c>
    </x:row>
    <x:row r="502">
      <x:c r="A502" t="str">
        <x:v>规则子类</x:v>
      </x:c>
      <x:c r="B502" t="str">
        <x:v>M11-SHANGYIN</x:v>
      </x:c>
      <x:c r="C502" t="str">
        <x:v>M11｜伤官配印</x:v>
      </x:c>
      <x:c r="D502" t="str">
        <x:v>M11中用于伤官与印星力量匹配、财坏印、印制太过、日主承载及救官。</x:v>
      </x:c>
      <x:c r="E502" t="str">
        <x:v>子类代码</x:v>
      </x:c>
      <x:c r="F502" t="n">
        <x:v>86</x:v>
      </x:c>
      <x:c r="G502" t="str">
        <x:v>是</x:v>
      </x:c>
      <x:c r="H502" t="str">
        <x:v>首次用于V0.9</x:v>
      </x:c>
    </x:row>
    <x:row r="503">
      <x:c r="A503" t="str">
        <x:v>规则子类</x:v>
      </x:c>
      <x:c r="B503" t="str">
        <x:v>M11-SHENGCAI</x:v>
      </x:c>
      <x:c r="C503" t="str">
        <x:v>M11｜食伤生财</x:v>
      </x:c>
      <x:c r="D503" t="str">
        <x:v>M11中用于食神生财、伤官生财、财星承载、比劫破财、印制食伤及身强弱负荷。</x:v>
      </x:c>
      <x:c r="E503" t="str">
        <x:v>子类代码</x:v>
      </x:c>
      <x:c r="F503" t="n">
        <x:v>87</x:v>
      </x:c>
      <x:c r="G503" t="str">
        <x:v>是</x:v>
      </x:c>
      <x:c r="H503" t="str">
        <x:v>首次用于V0.9</x:v>
      </x:c>
    </x:row>
    <x:row r="504">
      <x:c r="A504" t="str">
        <x:v>规则子类</x:v>
      </x:c>
      <x:c r="B504" t="str">
        <x:v>M11-CAIGUAN</x:v>
      </x:c>
      <x:c r="C504" t="str">
        <x:v>M11｜财官生化链</x:v>
      </x:c>
      <x:c r="D504" t="str">
        <x:v>M11中用于财生官、财生杀、财官印相生、财坏印副作用及日主承载。</x:v>
      </x:c>
      <x:c r="E504" t="str">
        <x:v>子类代码</x:v>
      </x:c>
      <x:c r="F504" t="n">
        <x:v>88</x:v>
      </x:c>
      <x:c r="G504" t="str">
        <x:v>是</x:v>
      </x:c>
      <x:c r="H504" t="str">
        <x:v>首次用于V0.9</x:v>
      </x:c>
    </x:row>
    <x:row r="505">
      <x:c r="A505" t="str">
        <x:v>规则子类</x:v>
      </x:c>
      <x:c r="B505" t="str">
        <x:v>M11-BALANCE</x:v>
      </x:c>
      <x:c r="C505" t="str">
        <x:v>M11｜平衡承载组合</x:v>
      </x:c>
      <x:c r="D505" t="str">
        <x:v>M11中用于身财两停、身官两停、身杀两停、身旺任财官及身弱得印比承载。</x:v>
      </x:c>
      <x:c r="E505" t="str">
        <x:v>子类代码</x:v>
      </x:c>
      <x:c r="F505" t="n">
        <x:v>89</x:v>
      </x:c>
      <x:c r="G505" t="str">
        <x:v>是</x:v>
      </x:c>
      <x:c r="H505" t="str">
        <x:v>首次用于V0.9</x:v>
      </x:c>
    </x:row>
    <x:row r="506">
      <x:c r="A506" t="str">
        <x:v>规则子类</x:v>
      </x:c>
      <x:c r="B506" t="str">
        <x:v>M11-PATH</x:v>
      </x:c>
      <x:c r="C506" t="str">
        <x:v>M11｜其他制化路径</x:v>
      </x:c>
      <x:c r="D506" t="str">
        <x:v>M11中用于比劫制财护身、羊刃驾杀、印化官杀与食伤泄秀等结构。</x:v>
      </x:c>
      <x:c r="E506" t="str">
        <x:v>子类代码</x:v>
      </x:c>
      <x:c r="F506" t="n">
        <x:v>90</x:v>
      </x:c>
      <x:c r="G506" t="str">
        <x:v>是</x:v>
      </x:c>
      <x:c r="H506" t="str">
        <x:v>首次用于V0.9</x:v>
      </x:c>
    </x:row>
    <x:row r="507">
      <x:c r="A507" t="str">
        <x:v>规则子类</x:v>
      </x:c>
      <x:c r="B507" t="str">
        <x:v>M11-CONFLICT</x:v>
      </x:c>
      <x:c r="C507" t="str">
        <x:v>M11｜冲突病态组合</x:v>
      </x:c>
      <x:c r="D507" t="str">
        <x:v>M11中用于伤官见官、枭神夺食、比劫夺财、财坏印、官杀混杂、制杀太过、财多身弱等。</x:v>
      </x:c>
      <x:c r="E507" t="str">
        <x:v>子类代码</x:v>
      </x:c>
      <x:c r="F507" t="n">
        <x:v>91</x:v>
      </x:c>
      <x:c r="G507" t="str">
        <x:v>是</x:v>
      </x:c>
      <x:c r="H507" t="str">
        <x:v>首次用于V0.9</x:v>
      </x:c>
    </x:row>
    <x:row r="508">
      <x:c r="A508" t="str">
        <x:v>规则子类</x:v>
      </x:c>
      <x:c r="B508" t="str">
        <x:v>M11-BOUND</x:v>
      </x:c>
      <x:c r="C508" t="str">
        <x:v>M11｜组合判断边界</x:v>
      </x:c>
      <x:c r="D508" t="str">
        <x:v>M11中用于组合命名、位置、藏干、共享节点、静动态、口诀条件化、流派治理和标准输出。</x:v>
      </x:c>
      <x:c r="E508" t="str">
        <x:v>子类代码</x:v>
      </x:c>
      <x:c r="F508" t="n">
        <x:v>92</x:v>
      </x:c>
      <x:c r="G508" t="str">
        <x:v>是</x:v>
      </x:c>
      <x:c r="H508" t="str">
        <x:v>首次用于V0.9</x:v>
      </x:c>
    </x:row>
    <x:row r="509">
      <x:c r="A509" t="str">
        <x:v>版本号</x:v>
      </x:c>
      <x:c r="B509" t="str">
        <x:v>VER14</x:v>
      </x:c>
      <x:c r="C509" t="str">
        <x:v>V1.0</x:v>
      </x:c>
      <x:c r="D509" t="str">
        <x:v>版本号的标准选项：V1.0。完成M12五行流通卡点核心规则。</x:v>
      </x:c>
      <x:c r="E509" t="str">
        <x:v>版本号</x:v>
      </x:c>
      <x:c r="F509" t="n">
        <x:v>10</x:v>
      </x:c>
      <x:c r="G509" t="str">
        <x:v>是</x:v>
      </x:c>
      <x:c r="H509" t="str">
        <x:v>五行流通卡点规则版</x:v>
      </x:c>
    </x:row>
    <x:row r="510">
      <x:c r="A510" t="str">
        <x:v>规则子类</x:v>
      </x:c>
      <x:c r="B510" t="str">
        <x:v>M12-GEN</x:v>
      </x:c>
      <x:c r="C510" t="str">
        <x:v>M12｜流通通用模型</x:v>
      </x:c>
      <x:c r="D510" t="str">
        <x:v>M12中用于起点—桥梁—终点模型、有效力量、路径长度、节点容量、主路径与局部/全局流通边界。</x:v>
      </x:c>
      <x:c r="E510" t="str">
        <x:v>子类代码</x:v>
      </x:c>
      <x:c r="F510" t="n">
        <x:v>93</x:v>
      </x:c>
      <x:c r="G510" t="str">
        <x:v>是</x:v>
      </x:c>
      <x:c r="H510" t="str">
        <x:v>首次用于V1.0</x:v>
      </x:c>
    </x:row>
    <x:row r="511">
      <x:c r="A511" t="str">
        <x:v>规则子类</x:v>
      </x:c>
      <x:c r="B511" t="str">
        <x:v>M12-SOURCE</x:v>
      </x:c>
      <x:c r="C511" t="str">
        <x:v>M12｜源头状态</x:v>
      </x:c>
      <x:c r="D511" t="str">
        <x:v>M12中用于强源无泄、弱源不足、源头受克合、多源供给与入口拥堵。</x:v>
      </x:c>
      <x:c r="E511" t="str">
        <x:v>子类代码</x:v>
      </x:c>
      <x:c r="F511" t="n">
        <x:v>94</x:v>
      </x:c>
      <x:c r="G511" t="str">
        <x:v>是</x:v>
      </x:c>
      <x:c r="H511" t="str">
        <x:v>首次用于V1.0</x:v>
      </x:c>
    </x:row>
    <x:row r="512">
      <x:c r="A512" t="str">
        <x:v>规则子类</x:v>
      </x:c>
      <x:c r="B512" t="str">
        <x:v>M12-BRIDGE</x:v>
      </x:c>
      <x:c r="C512" t="str">
        <x:v>M12｜桥梁有效性</x:v>
      </x:c>
      <x:c r="D512" t="str">
        <x:v>M12中用于桥梁强弱、受克、合绊、改性、寒凝燥枯、共享容量与通关稳定性。</x:v>
      </x:c>
      <x:c r="E512" t="str">
        <x:v>子类代码</x:v>
      </x:c>
      <x:c r="F512" t="n">
        <x:v>95</x:v>
      </x:c>
      <x:c r="G512" t="str">
        <x:v>是</x:v>
      </x:c>
      <x:c r="H512" t="str">
        <x:v>首次用于V1.0</x:v>
      </x:c>
    </x:row>
    <x:row r="513">
      <x:c r="A513" t="str">
        <x:v>规则子类</x:v>
      </x:c>
      <x:c r="B513" t="str">
        <x:v>M12-END</x:v>
      </x:c>
      <x:c r="C513" t="str">
        <x:v>M12｜终点承载</x:v>
      </x:c>
      <x:c r="D513" t="str">
        <x:v>M12中用于终点过弱、过旺反制、受克、改性、多源汇聚及阶段性终点承载。</x:v>
      </x:c>
      <x:c r="E513" t="str">
        <x:v>子类代码</x:v>
      </x:c>
      <x:c r="F513" t="n">
        <x:v>96</x:v>
      </x:c>
      <x:c r="G513" t="str">
        <x:v>是</x:v>
      </x:c>
      <x:c r="H513" t="str">
        <x:v>首次用于V1.0</x:v>
      </x:c>
    </x:row>
    <x:row r="514">
      <x:c r="A514" t="str">
        <x:v>规则子类</x:v>
      </x:c>
      <x:c r="B514" t="str">
        <x:v>M12-BLOCK</x:v>
      </x:c>
      <x:c r="C514" t="str">
        <x:v>M12｜典型卡点</x:v>
      </x:c>
      <x:c r="D514" t="str">
        <x:v>M12中用于缺桥、桥弱、桥被克合、源头无泄、终点失衡、两强相战、寒凝燥枯、链长与回流壅塞。</x:v>
      </x:c>
      <x:c r="E514" t="str">
        <x:v>子类代码</x:v>
      </x:c>
      <x:c r="F514" t="n">
        <x:v>97</x:v>
      </x:c>
      <x:c r="G514" t="str">
        <x:v>是</x:v>
      </x:c>
      <x:c r="H514" t="str">
        <x:v>首次用于V1.0</x:v>
      </x:c>
    </x:row>
    <x:row r="515">
      <x:c r="A515" t="str">
        <x:v>规则子类</x:v>
      </x:c>
      <x:c r="B515" t="str">
        <x:v>M12-WUXING</x:v>
      </x:c>
      <x:c r="C515" t="str">
        <x:v>M12｜五行生化与通关</x:v>
      </x:c>
      <x:c r="D515" t="str">
        <x:v>M12中用于五组连续生化链及五组克战通关的标准路径。</x:v>
      </x:c>
      <x:c r="E515" t="str">
        <x:v>子类代码</x:v>
      </x:c>
      <x:c r="F515" t="n">
        <x:v>98</x:v>
      </x:c>
      <x:c r="G515" t="str">
        <x:v>是</x:v>
      </x:c>
      <x:c r="H515" t="str">
        <x:v>首次用于V1.0</x:v>
      </x:c>
    </x:row>
    <x:row r="516">
      <x:c r="A516" t="str">
        <x:v>规则子类</x:v>
      </x:c>
      <x:c r="B516" t="str">
        <x:v>M12-TENGOD</x:v>
      </x:c>
      <x:c r="C516" t="str">
        <x:v>M12｜十神功能路径</x:v>
      </x:c>
      <x:c r="D516" t="str">
        <x:v>M12中用于官杀印身、身食伤财、食伤财官杀、财官印等十神连续流通路径。</x:v>
      </x:c>
      <x:c r="E516" t="str">
        <x:v>子类代码</x:v>
      </x:c>
      <x:c r="F516" t="n">
        <x:v>99</x:v>
      </x:c>
      <x:c r="G516" t="str">
        <x:v>是</x:v>
      </x:c>
      <x:c r="H516" t="str">
        <x:v>首次用于V1.0</x:v>
      </x:c>
    </x:row>
    <x:row r="517">
      <x:c r="A517" t="str">
        <x:v>规则子类</x:v>
      </x:c>
      <x:c r="B517" t="str">
        <x:v>M12-TONGGUAN</x:v>
      </x:c>
      <x:c r="C517" t="str">
        <x:v>M12｜通关候选与副作用</x:v>
      </x:c>
      <x:c r="D517" t="str">
        <x:v>M12中用于通关双向条件、力量门槛、受克合、寒湿燥热及破坏组合等副作用。</x:v>
      </x:c>
      <x:c r="E517" t="str">
        <x:v>子类代码</x:v>
      </x:c>
      <x:c r="F517" t="n">
        <x:v>100</x:v>
      </x:c>
      <x:c r="G517" t="str">
        <x:v>是</x:v>
      </x:c>
      <x:c r="H517" t="str">
        <x:v>首次用于V1.0</x:v>
      </x:c>
    </x:row>
    <x:row r="518">
      <x:c r="A518" t="str">
        <x:v>规则子类</x:v>
      </x:c>
      <x:c r="B518" t="str">
        <x:v>M12-AGG</x:v>
      </x:c>
      <x:c r="C518" t="str">
        <x:v>M12｜流通综合输出</x:v>
      </x:c>
      <x:c r="D518" t="str">
        <x:v>M12中用于主路径、主卡点、反向证据、通关排序和标准输出。</x:v>
      </x:c>
      <x:c r="E518" t="str">
        <x:v>子类代码</x:v>
      </x:c>
      <x:c r="F518" t="n">
        <x:v>101</x:v>
      </x:c>
      <x:c r="G518" t="str">
        <x:v>是</x:v>
      </x:c>
      <x:c r="H518" t="str">
        <x:v>首次用于V1.0</x:v>
      </x:c>
    </x:row>
    <x:row r="519">
      <x:c r="A519" t="str">
        <x:v>规则子类</x:v>
      </x:c>
      <x:c r="B519" t="str">
        <x:v>M12-BOUND</x:v>
      </x:c>
      <x:c r="C519" t="str">
        <x:v>M12｜流通判断边界</x:v>
      </x:c>
      <x:c r="D519" t="str">
        <x:v>M12中用于禁止缺啥补啥、旺衰与流通分离、流通与喜忌分离及静动态边界。</x:v>
      </x:c>
      <x:c r="E519" t="str">
        <x:v>子类代码</x:v>
      </x:c>
      <x:c r="F519" t="n">
        <x:v>102</x:v>
      </x:c>
      <x:c r="G519" t="str">
        <x:v>是</x:v>
      </x:c>
      <x:c r="H519" t="str">
        <x:v>首次用于V1.0</x:v>
      </x:c>
    </x:row>
    <x:row r="520">
      <x:c r="A520" t="str">
        <x:v>版本号</x:v>
      </x:c>
      <x:c r="B520" t="str">
        <x:v>VER15</x:v>
      </x:c>
      <x:c r="C520" t="str">
        <x:v>V1.1</x:v>
      </x:c>
      <x:c r="D520" t="str">
        <x:v>版本号的标准选项：V1.1。完成M13寒暖燥湿核心规则。</x:v>
      </x:c>
      <x:c r="E520" t="str">
        <x:v>版本号</x:v>
      </x:c>
      <x:c r="F520" t="n">
        <x:v>11</x:v>
      </x:c>
      <x:c r="G520" t="str">
        <x:v>是</x:v>
      </x:c>
      <x:c r="H520" t="str">
        <x:v>寒暖燥湿规则版</x:v>
      </x:c>
    </x:row>
    <x:row r="521">
      <x:c r="A521" t="str">
        <x:v>规则子类</x:v>
      </x:c>
      <x:c r="B521" t="str">
        <x:v>M13-GEN</x:v>
      </x:c>
      <x:c r="C521" t="str">
        <x:v>M13｜调候通用模型</x:v>
      </x:c>
      <x:c r="D521" t="str">
        <x:v>M13中用于寒暖/燥湿双轴、月令基准、五级状态、有效力量、调候与扶抑分离及极端优先级。</x:v>
      </x:c>
      <x:c r="E521" t="str">
        <x:v>子类代码</x:v>
      </x:c>
      <x:c r="F521" t="n">
        <x:v>103</x:v>
      </x:c>
      <x:c r="G521" t="str">
        <x:v>是</x:v>
      </x:c>
      <x:c r="H521" t="str">
        <x:v>首次用于V1.1</x:v>
      </x:c>
    </x:row>
    <x:row r="522">
      <x:c r="A522" t="str">
        <x:v>规则子类</x:v>
      </x:c>
      <x:c r="B522" t="str">
        <x:v>M13-SEASON</x:v>
      </x:c>
      <x:c r="C522" t="str">
        <x:v>M13｜月令气候基准</x:v>
      </x:c>
      <x:c r="D522" t="str">
        <x:v>M13中用于十二月令的初始温度、湿度倾向及其条件化修正。</x:v>
      </x:c>
      <x:c r="E522" t="str">
        <x:v>子类代码</x:v>
      </x:c>
      <x:c r="F522" t="n">
        <x:v>104</x:v>
      </x:c>
      <x:c r="G522" t="str">
        <x:v>是</x:v>
      </x:c>
      <x:c r="H522" t="str">
        <x:v>首次用于V1.1</x:v>
      </x:c>
    </x:row>
    <x:row r="523">
      <x:c r="A523" t="str">
        <x:v>规则子类</x:v>
      </x:c>
      <x:c r="B523" t="str">
        <x:v>M13-TEMP</x:v>
      </x:c>
      <x:c r="C523" t="str">
        <x:v>M13｜寒暖修正</x:v>
      </x:c>
      <x:c r="D523" t="str">
        <x:v>M13中用于火水木土金对温度轴的有效修正、平衡与极端功能化。</x:v>
      </x:c>
      <x:c r="E523" t="str">
        <x:v>子类代码</x:v>
      </x:c>
      <x:c r="F523" t="n">
        <x:v>105</x:v>
      </x:c>
      <x:c r="G523" t="str">
        <x:v>是</x:v>
      </x:c>
      <x:c r="H523" t="str">
        <x:v>首次用于V1.1</x:v>
      </x:c>
    </x:row>
    <x:row r="524">
      <x:c r="A524" t="str">
        <x:v>规则子类</x:v>
      </x:c>
      <x:c r="B524" t="str">
        <x:v>M13-HUMID</x:v>
      </x:c>
      <x:c r="C524" t="str">
        <x:v>M13｜燥湿修正</x:v>
      </x:c>
      <x:c r="D524" t="str">
        <x:v>M13中用于水、湿土、燥土、火、木对湿度轴的修正及极端功能化。</x:v>
      </x:c>
      <x:c r="E524" t="str">
        <x:v>子类代码</x:v>
      </x:c>
      <x:c r="F524" t="n">
        <x:v>106</x:v>
      </x:c>
      <x:c r="G524" t="str">
        <x:v>是</x:v>
      </x:c>
      <x:c r="H524" t="str">
        <x:v>首次用于V1.1</x:v>
      </x:c>
    </x:row>
    <x:row r="525">
      <x:c r="A525" t="str">
        <x:v>规则子类</x:v>
      </x:c>
      <x:c r="B525" t="str">
        <x:v>M13-COMBO</x:v>
      </x:c>
      <x:c r="C525" t="str">
        <x:v>M13｜双轴组合状态</x:v>
      </x:c>
      <x:c r="D525" t="str">
        <x:v>M13中用于寒湿、寒燥、暖湿、暖燥及温度平衡下偏湿偏燥等复合状态。</x:v>
      </x:c>
      <x:c r="E525" t="str">
        <x:v>子类代码</x:v>
      </x:c>
      <x:c r="F525" t="n">
        <x:v>107</x:v>
      </x:c>
      <x:c r="G525" t="str">
        <x:v>是</x:v>
      </x:c>
      <x:c r="H525" t="str">
        <x:v>首次用于V1.1</x:v>
      </x:c>
    </x:row>
    <x:row r="526">
      <x:c r="A526" t="str">
        <x:v>规则子类</x:v>
      </x:c>
      <x:c r="B526" t="str">
        <x:v>M13-EFFECT</x:v>
      </x:c>
      <x:c r="C526" t="str">
        <x:v>M13｜调候元素有效性</x:v>
      </x:c>
      <x:c r="D526" t="str">
        <x:v>M13中用于调候五行不现、无根、有根、受克、合绊、改性、过度和作用路径。</x:v>
      </x:c>
      <x:c r="E526" t="str">
        <x:v>子类代码</x:v>
      </x:c>
      <x:c r="F526" t="n">
        <x:v>108</x:v>
      </x:c>
      <x:c r="G526" t="str">
        <x:v>是</x:v>
      </x:c>
      <x:c r="H526" t="str">
        <x:v>首次用于V1.1</x:v>
      </x:c>
    </x:row>
    <x:row r="527">
      <x:c r="A527" t="str">
        <x:v>规则子类</x:v>
      </x:c>
      <x:c r="B527" t="str">
        <x:v>M13-CONFLICT</x:v>
      </x:c>
      <x:c r="C527" t="str">
        <x:v>M13｜调候冲突与优先级</x:v>
      </x:c>
      <x:c r="D527" t="str">
        <x:v>M13中用于调候与扶抑、格局、通关的一致、冲突、特殊格局约束及根本病升级。</x:v>
      </x:c>
      <x:c r="E527" t="str">
        <x:v>子类代码</x:v>
      </x:c>
      <x:c r="F527" t="n">
        <x:v>109</x:v>
      </x:c>
      <x:c r="G527" t="str">
        <x:v>是</x:v>
      </x:c>
      <x:c r="H527" t="str">
        <x:v>首次用于V1.1</x:v>
      </x:c>
    </x:row>
    <x:row r="528">
      <x:c r="A528" t="str">
        <x:v>规则子类</x:v>
      </x:c>
      <x:c r="B528" t="str">
        <x:v>M13-BOUND</x:v>
      </x:c>
      <x:c r="C528" t="str">
        <x:v>M13｜调候判断边界</x:v>
      </x:c>
      <x:c r="D528" t="str">
        <x:v>M13中用于冬夏非自动极端、剂量边界、土性条件化、事件隔离和标准输出。</x:v>
      </x:c>
      <x:c r="E528" t="str">
        <x:v>子类代码</x:v>
      </x:c>
      <x:c r="F528" t="n">
        <x:v>110</x:v>
      </x:c>
      <x:c r="G528" t="str">
        <x:v>是</x:v>
      </x:c>
      <x:c r="H528" t="str">
        <x:v>首次用于V1.1</x:v>
      </x:c>
    </x:row>
  </x:sheetData>
  <x:mergeCells>
    <x:mergeCell ref="A1:Q1"/>
    <x:mergeCell ref="A2:Q2"/>
    <x:mergeCell ref="A3:Q3"/>
  </x:mergeCells>
  <x:pageMargins left="0.7" right="0.7" top="0.75" bottom="0.75" header="0.3" footer="0.3"/>
  <x:tableParts count="4">
    <x:tablePart xmlns:r="http://schemas.openxmlformats.org/officeDocument/2006/relationships" r:id="R6e3dbc8c1fdd43c6"/>
    <x:tablePart xmlns:r="http://schemas.openxmlformats.org/officeDocument/2006/relationships" r:id="R70c6f346e85a43f0"/>
    <x:tablePart xmlns:r="http://schemas.openxmlformats.org/officeDocument/2006/relationships" r:id="R883c42a04190441b"/>
    <x:tablePart xmlns:r="http://schemas.openxmlformats.org/officeDocument/2006/relationships" r:id="R4cc88ac9af7c4ec7"/>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4">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d55bdee3a25e4980"/>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5">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2191a3df4b3648b6"/>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2ef7584a7c864597"/>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cc30f8ec98184b79"/>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9">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 type="list" sqref="E6:E130">
      <x:formula1>'99_下拉选项'!$BG$4:$BG$14</x:formula1>
    </x:dataValidation>
    <x:dataValidation type="list" sqref="E7:E126">
      <x:formula1>'99_下拉选项'!$BG$4:$BG$14</x:formula1>
    </x:dataValidation>
  </x:dataValidations>
  <x:pageMargins left="0.7" right="0.7" top="0.75" bottom="0.75" header="0.3" footer="0.3"/>
  <x:tableParts count="1">
    <x:tablePart xmlns:r="http://schemas.openxmlformats.org/officeDocument/2006/relationships" r:id="R2608cf8d27cb400f"/>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225d1717a7544726"/>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E7:E116">
      <x:formula1>'99_下拉选项'!$BG$4:$BG$14</x:formula1>
    </x:dataValidation>
  </x:dataValidations>
  <x:pageMargins left="0.7" right="0.7" top="0.75" bottom="0.75" header="0.3" footer="0.3"/>
  <x:tableParts count="1">
    <x:tablePart xmlns:r="http://schemas.openxmlformats.org/officeDocument/2006/relationships" r:id="R9f14d9a4ede64bf0"/>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综合M03月令根气、M07原始力量与M08有效力量，按得令、得地、得势、得生、受制、受泄、受耗及双侧净优势，输出日主七级旺衰、反向证据与置信度。本版录入90条正式规则。</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填写约束：一行只写一条原子规则；只读取M03/M07/M08已经确认的有效证据，不在M09重算合冲刑害；同源节点必须去重；月令不是一票否决；旺衰与喜忌、格局严格分离。示例行序号9999，不计入正式规则。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v>M09-LING-0001-V1.0</x:v>
      </x:c>
      <x:c r="B7" s="74" t="str">
        <x:v>M09</x:v>
      </x:c>
      <x:c r="C7" s="74" t="str">
        <x:v>LING</x:v>
      </x:c>
      <x:c r="D7" s="79" t="n">
        <x:v>1</x:v>
      </x:c>
      <x:c r="E7" s="74" t="str">
        <x:v>V1.0</x:v>
      </x:c>
      <x:c r="F7" s="68" t="str">
        <x:v>得令是日主偏强的高权重证据但非充分条件</x:v>
      </x:c>
      <x:c r="G7" s="82" t="str">
        <x:v>综合层</x:v>
      </x:c>
      <x:c r="H7" s="68" t="str">
        <x:v>得令</x:v>
      </x:c>
      <x:c r="I7" s="68" t="str">
        <x:v>支持偏旺</x:v>
      </x:c>
      <x:c r="J7" s="68" t="str">
        <x:v>M03确认日主五行处于当令或获得强季令支持</x:v>
      </x:c>
      <x:c r="K7" s="68" t="str">
        <x:v>高</x:v>
      </x:c>
      <x:c r="L7" s="82" t="str">
        <x:v>强</x:v>
      </x:c>
      <x:c r="M7" s="68" t="str">
        <x:v>M03/M08完成</x:v>
      </x:c>
      <x:c r="N7" s="68" t="str">
        <x:v>季令支持已按节气与月令真实有效性确认</x:v>
      </x:c>
      <x:c r="O7" s="68" t="str">
        <x:v>同时有强根、印比成势</x:v>
      </x:c>
      <x:c r="P7" s="68" t="str">
        <x:v>无根、强官杀、强食伤或财星持续耗身</x:v>
      </x:c>
      <x:c r="Q7" s="90" t="str">
        <x:v>不得仅凭得令直接判身旺</x:v>
      </x:c>
      <x:c r="R7" s="68" t="str">
        <x:v>特殊格局转M14</x:v>
      </x:c>
      <x:c r="S7" s="68" t="str">
        <x:v>若负荷侧形成明显有效合力，得令也可能只维持中和或偏弱</x:v>
      </x:c>
      <x:c r="T7" s="82" t="str">
        <x:v>否</x:v>
      </x:c>
      <x:c r="U7" s="82" t="str">
        <x:v>中和偏旺</x:v>
      </x:c>
      <x:c r="V7" s="84" t="str">
        <x:v>得令高权重</x:v>
      </x:c>
      <x:c r="W7" s="84" t="str">
        <x:v>日主得令，属于偏强的重要证据；仍需与有效根气、印比及制泄耗合并裁定。</x:v>
      </x:c>
      <x:c r="X7" s="82" t="str">
        <x:v>较高</x:v>
      </x:c>
      <x:c r="Y7" s="82" t="str">
        <x:v>旺衰扶抑</x:v>
      </x:c>
      <x:c r="Z7" s="68" t="str">
        <x:v>月令为提纲但四柱仍有损益之权。</x:v>
      </x:c>
      <x:c r="AA7" s="68" t="str">
        <x:v>得令且多根、印比有力时，偏旺证据明显。</x:v>
      </x:c>
      <x:c r="AB7" s="90" t="str">
        <x:v>春木得令便无视重金克制而直接判旺。</x:v>
      </x:c>
      <x:c r="AC7" s="68" t="str">
        <x:v>https://zh.wikisource.org/wiki/%E6%B7%B5%E6%B5%B7%E5%AD%90%E5%B9%B3%E5%A4%A7%E5%85%A8 ; https://zh.wikisource.org/wiki/%E6%BB%B4%E5%A4%A9%E9%AB%93%E9%97%A1%E5%BE%AE</x:v>
      </x:c>
      <x:c r="AD7" s="82" t="str">
        <x:v>采用</x:v>
      </x:c>
      <x:c r="AE7" s="82" t="str">
        <x:v>初审</x:v>
      </x:c>
      <x:c r="AF7" s="87" t="n">
        <x:v>46255</x:v>
      </x:c>
    </x:row>
    <x:row r="8">
      <x:c r="A8" s="72" t="str">
        <x:f>IF(OR(C8="",D8=""),"",B8&amp;"-"&amp;UPPER(C8)&amp;"-"&amp;TEXT(D8,"0000")&amp;"-"&amp;E8)</x:f>
        <x:v>M09-LING-0002-V1.0</x:v>
      </x:c>
      <x:c r="B8" s="74" t="str">
        <x:v>M09</x:v>
      </x:c>
      <x:c r="C8" s="74" t="str">
        <x:v>LING</x:v>
      </x:c>
      <x:c r="D8" s="79" t="n">
        <x:v>2</x:v>
      </x:c>
      <x:c r="E8" s="74" t="str">
        <x:v>V1.0</x:v>
      </x:c>
      <x:c r="F8" s="68" t="str">
        <x:v>旺令比相令提供更直接的季节扶持</x:v>
      </x:c>
      <x:c r="G8" s="82" t="str">
        <x:v>综合层</x:v>
      </x:c>
      <x:c r="H8" s="68" t="str">
        <x:v>得令</x:v>
      </x:c>
      <x:c r="I8" s="68" t="str">
        <x:v>支持偏旺</x:v>
      </x:c>
      <x:c r="J8" s="68" t="str">
        <x:v>M03将日主五行判为旺令或相令</x:v>
      </x:c>
      <x:c r="K8" s="68" t="str">
        <x:v>中高</x:v>
      </x:c>
      <x:c r="L8" s="82" t="str">
        <x:v>中</x:v>
      </x:c>
      <x:c r="M8" s="68" t="str">
        <x:v>M03完成</x:v>
      </x:c>
      <x:c r="N8" s="68" t="str">
        <x:v>旺相状态已区分</x:v>
      </x:c>
      <x:c r="O8" s="68" t="str">
        <x:v>旺令并见根气</x:v>
      </x:c>
      <x:c r="P8" s="68" t="str">
        <x:v>相令但生源弱或受阻</x:v>
      </x:c>
      <x:c r="Q8" s="90" t="str">
        <x:v>不得把旺与相完全等权</x:v>
      </x:c>
      <x:c r="R8" s="68" t="str">
        <x:v>四季土月按M03细分</x:v>
      </x:c>
      <x:c r="S8" s="68" t="str">
        <x:v>相令仍可因强根与印比升级，旺令也可因强耗制下调</x:v>
      </x:c>
      <x:c r="T8" s="82" t="str">
        <x:v>否</x:v>
      </x:c>
      <x:c r="U8" s="82" t="str">
        <x:v>中和偏旺</x:v>
      </x:c>
      <x:c r="V8" s="84" t="str">
        <x:v>旺相层级</x:v>
      </x:c>
      <x:c r="W8" s="84" t="str">
        <x:v>旺令提供更直接季节优势；相令为间接支持，两者不作机械等权。</x:v>
      </x:c>
      <x:c r="X8" s="82" t="str">
        <x:v>较高</x:v>
      </x:c>
      <x:c r="Y8" s="82" t="str">
        <x:v>现代综合</x:v>
      </x:c>
      <x:c r="Z8" s="68" t="str">
        <x:v>月令权重高但不是单项充分条件；必须结合M08有效根气、印比与制泄耗，且同源季令证据去重。</x:v>
      </x:c>
      <x:c r="AA8" s="68" t="str">
        <x:v>正例：当“M03将日主五行判为旺令或相令”真实成立，且必要条件与增强条件同向时，按“旺令比相令提供更直接的季节扶持”记录对应旺衰证据。</x:v>
      </x:c>
      <x:c r="AB8" s="90" t="str">
        <x:v>反例：只有表面条件，但出现“不得把旺与相完全等权”或关键有效性未成立时，不得套用本规则。</x:v>
      </x:c>
      <x:c r="AC8" s="68" t="str">
        <x:v>https://zh.wikisource.org/wiki/%E6%B7%B5%E6%B5%B7%E5%AD%90%E5%B9%B3%E5%A4%A7%E5%85%A8 ; https://zh.wikisource.org/wiki/%E6%BB%B4%E5%A4%A9%E9%AB%93%E9%97%A1%E5%BE%AE</x:v>
      </x:c>
      <x:c r="AD8" s="82" t="str">
        <x:v>采用</x:v>
      </x:c>
      <x:c r="AE8" s="82" t="str">
        <x:v>初审</x:v>
      </x:c>
      <x:c r="AF8" s="87" t="n">
        <x:v>46255</x:v>
      </x:c>
    </x:row>
    <x:row r="9">
      <x:c r="A9" s="72" t="str">
        <x:f>IF(OR(C9="",D9=""),"",B9&amp;"-"&amp;UPPER(C9)&amp;"-"&amp;TEXT(D9,"0000")&amp;"-"&amp;E9)</x:f>
        <x:v>M09-LING-0003-V1.0</x:v>
      </x:c>
      <x:c r="B9" s="74" t="str">
        <x:v>M09</x:v>
      </x:c>
      <x:c r="C9" s="74" t="str">
        <x:v>LING</x:v>
      </x:c>
      <x:c r="D9" s="79" t="n">
        <x:v>3</x:v>
      </x:c>
      <x:c r="E9" s="74" t="str">
        <x:v>V1.0</x:v>
      </x:c>
      <x:c r="F9" s="68" t="str">
        <x:v>休囚死是季节不利证据而不是日主弱的充分条件</x:v>
      </x:c>
      <x:c r="G9" s="82" t="str">
        <x:v>综合层</x:v>
      </x:c>
      <x:c r="H9" s="68" t="str">
        <x:v>得令</x:v>
      </x:c>
      <x:c r="I9" s="68" t="str">
        <x:v>支持偏弱</x:v>
      </x:c>
      <x:c r="J9" s="68" t="str">
        <x:v>M03判日主五行为休、囚或死</x:v>
      </x:c>
      <x:c r="K9" s="68" t="str">
        <x:v>中高</x:v>
      </x:c>
      <x:c r="L9" s="82" t="str">
        <x:v>中</x:v>
      </x:c>
      <x:c r="M9" s="68" t="str">
        <x:v>M03/M08完成</x:v>
      </x:c>
      <x:c r="N9" s="68" t="str">
        <x:v>季节状态真实</x:v>
      </x:c>
      <x:c r="O9" s="68" t="str">
        <x:v>失令同时无根无援</x:v>
      </x:c>
      <x:c r="P9" s="68" t="str">
        <x:v>根深、印比成势、有效生源强</x:v>
      </x:c>
      <x:c r="Q9" s="90" t="str">
        <x:v>不得由失令直接推出弱或极弱</x:v>
      </x:c>
      <x:c r="R9" s="68" t="str">
        <x:v>特殊格局另审</x:v>
      </x:c>
      <x:c r="S9" s="68" t="str">
        <x:v>若日主虽失令但多重有效根与印比成势，可反转为中和偏旺甚至旺</x:v>
      </x:c>
      <x:c r="T9" s="82" t="str">
        <x:v>否</x:v>
      </x:c>
      <x:c r="U9" s="82" t="str">
        <x:v>中和偏弱</x:v>
      </x:c>
      <x:c r="V9" s="84" t="str">
        <x:v>失令证据</x:v>
      </x:c>
      <x:c r="W9" s="84" t="str">
        <x:v>日主失令构成偏弱证据，但是否身弱取决于有效根气、印比和制泄耗。</x:v>
      </x:c>
      <x:c r="X9" s="82" t="str">
        <x:v>较高</x:v>
      </x:c>
      <x:c r="Y9" s="82" t="str">
        <x:v>现代综合</x:v>
      </x:c>
      <x:c r="Z9" s="68" t="str">
        <x:v>月令权重高但不是单项充分条件；必须结合M08有效根气、印比与制泄耗，且同源季令证据去重。</x:v>
      </x:c>
      <x:c r="AA9" s="68" t="str">
        <x:v>正例：当“M03判日主五行为休、囚或死”真实成立，且必要条件与增强条件同向时，按“休囚死是季节不利证据而不是日主弱的充分条件”记录对应旺衰证据。</x:v>
      </x:c>
      <x:c r="AB9" s="90" t="str">
        <x:v>反例：只有表面条件，但出现“不得由失令直接推出弱或极弱”或关键有效性未成立时，不得套用本规则。</x:v>
      </x:c>
      <x:c r="AC9" s="68" t="str">
        <x:v>https://zh.wikisource.org/wiki/%E6%B7%B5%E6%B5%B7%E5%AD%90%E5%B9%B3%E5%A4%A7%E5%85%A8 ; https://zh.wikisource.org/wiki/%E6%BB%B4%E5%A4%A9%E9%AB%93%E9%97%A1%E5%BE%AE</x:v>
      </x:c>
      <x:c r="AD9" s="82" t="str">
        <x:v>采用</x:v>
      </x:c>
      <x:c r="AE9" s="82" t="str">
        <x:v>初审</x:v>
      </x:c>
      <x:c r="AF9" s="87" t="n">
        <x:v>46255</x:v>
      </x:c>
    </x:row>
    <x:row r="10">
      <x:c r="A10" s="72" t="str">
        <x:f>IF(OR(C10="",D10=""),"",B10&amp;"-"&amp;UPPER(C10)&amp;"-"&amp;TEXT(D10,"0000")&amp;"-"&amp;E10)</x:f>
        <x:v>M09-LING-0004-V1.0</x:v>
      </x:c>
      <x:c r="B10" s="74" t="str">
        <x:v>M09</x:v>
      </x:c>
      <x:c r="C10" s="74" t="str">
        <x:v>LING</x:v>
      </x:c>
      <x:c r="D10" s="79" t="n">
        <x:v>4</x:v>
      </x:c>
      <x:c r="E10" s="74" t="str">
        <x:v>V1.0</x:v>
      </x:c>
      <x:c r="F10" s="68" t="str">
        <x:v>得令但无有效根时承载能力需单独核查</x:v>
      </x:c>
      <x:c r="G10" s="82" t="str">
        <x:v>综合层</x:v>
      </x:c>
      <x:c r="H10" s="68" t="str">
        <x:v>得令</x:v>
      </x:c>
      <x:c r="I10" s="68" t="str">
        <x:v>条件性支持偏旺</x:v>
      </x:c>
      <x:c r="J10" s="68" t="str">
        <x:v>得令但M08显示无有效根或仅微根</x:v>
      </x:c>
      <x:c r="K10" s="68" t="str">
        <x:v>高</x:v>
      </x:c>
      <x:c r="L10" s="82" t="str">
        <x:v>强</x:v>
      </x:c>
      <x:c r="M10" s="68" t="str">
        <x:v>M03/M08完成</x:v>
      </x:c>
      <x:c r="N10" s="68" t="str">
        <x:v>日主确实缺少有效根</x:v>
      </x:c>
      <x:c r="O10" s="68" t="str">
        <x:v>有强印持续生身、比劫得势</x:v>
      </x:c>
      <x:c r="P10" s="68" t="str">
        <x:v>财官食伤成势且无落脚点</x:v>
      </x:c>
      <x:c r="Q10" s="90" t="str">
        <x:v>禁止固定判为旺或弱</x:v>
      </x:c>
      <x:c r="R10" s="68" t="str">
        <x:v>若日主本身在干支形成其他独立承载则重审</x:v>
      </x:c>
      <x:c r="S10" s="68" t="str">
        <x:v>无根不必然弱，但对持续承受泄耗制约不利</x:v>
      </x:c>
      <x:c r="T10" s="82" t="str">
        <x:v>否</x:v>
      </x:c>
      <x:c r="U10" s="82" t="str">
        <x:v>中和</x:v>
      </x:c>
      <x:c r="V10" s="84" t="str">
        <x:v>得令无根边界</x:v>
      </x:c>
      <x:c r="W10" s="84" t="str">
        <x:v>日主虽得令，但有效根不足；季令优势能否转化为稳定承载需与印比和负荷侧共同判断。</x:v>
      </x:c>
      <x:c r="X10" s="82" t="str">
        <x:v>较高</x:v>
      </x:c>
      <x:c r="Y10" s="82" t="str">
        <x:v>现代综合</x:v>
      </x:c>
      <x:c r="Z10" s="68" t="str">
        <x:v>解决“得令但无根”边界，不设固定等级。</x:v>
      </x:c>
      <x:c r="AA10" s="68" t="str">
        <x:v>正例：当“得令但M08显示无有效根或仅微根”真实成立，且必要条件与增强条件同向时，按“得令但无有效根时承载能力需单独核查”记录对应旺衰证据。</x:v>
      </x:c>
      <x:c r="AB10" s="90" t="str">
        <x:v>反例：只有表面条件，但出现“禁止固定判为旺或弱”或关键有效性未成立时，不得套用本规则。</x:v>
      </x:c>
      <x:c r="AC10" s="68" t="str">
        <x:v>https://zh.wikisource.org/wiki/%E6%B7%B5%E6%B5%B7%E5%AD%90%E5%B9%B3%E5%A4%A7%E5%85%A8 ; https://zh.wikisource.org/wiki/%E6%BB%B4%E5%A4%A9%E9%AB%93%E9%97%A1%E5%BE%AE</x:v>
      </x:c>
      <x:c r="AD10" s="82" t="str">
        <x:v>采用</x:v>
      </x:c>
      <x:c r="AE10" s="82" t="str">
        <x:v>初审</x:v>
      </x:c>
      <x:c r="AF10" s="87" t="n">
        <x:v>46255</x:v>
      </x:c>
    </x:row>
    <x:row r="11">
      <x:c r="A11" s="72" t="str">
        <x:f>IF(OR(C11="",D11=""),"",B11&amp;"-"&amp;UPPER(C11)&amp;"-"&amp;TEXT(D11,"0000")&amp;"-"&amp;E11)</x:f>
        <x:v>M09-LING-0005-V1.0</x:v>
      </x:c>
      <x:c r="B11" s="74" t="str">
        <x:v>M09</x:v>
      </x:c>
      <x:c r="C11" s="74" t="str">
        <x:v>LING</x:v>
      </x:c>
      <x:c r="D11" s="79" t="n">
        <x:v>5</x:v>
      </x:c>
      <x:c r="E11" s="74" t="str">
        <x:v>V1.0</x:v>
      </x:c>
      <x:c r="F11" s="68" t="str">
        <x:v>失令但根深印比成势可反转季节劣势</x:v>
      </x:c>
      <x:c r="G11" s="82" t="str">
        <x:v>综合层</x:v>
      </x:c>
      <x:c r="H11" s="68" t="str">
        <x:v>得令</x:v>
      </x:c>
      <x:c r="I11" s="68" t="str">
        <x:v>支持偏旺</x:v>
      </x:c>
      <x:c r="J11" s="68" t="str">
        <x:v>失令，同时M08显示多重有效强根且印比形成明显扶身势</x:v>
      </x:c>
      <x:c r="K11" s="68" t="str">
        <x:v>高</x:v>
      </x:c>
      <x:c r="L11" s="82" t="str">
        <x:v>强</x:v>
      </x:c>
      <x:c r="M11" s="68" t="str">
        <x:v>M08完成</x:v>
      </x:c>
      <x:c r="N11" s="68" t="str">
        <x:v>根气和印比均为有效而非名义存在</x:v>
      </x:c>
      <x:c r="O11" s="68" t="str">
        <x:v>比劫透根、印源连续</x:v>
      </x:c>
      <x:c r="P11" s="68" t="str">
        <x:v>根被实质破坏或负荷侧形成更强集团</x:v>
      </x:c>
      <x:c r="Q11" s="90" t="str">
        <x:v>不得把失令设为一票否决</x:v>
      </x:c>
      <x:c r="R11" s="68" t="str">
        <x:v>从格与专旺候选转M14</x:v>
      </x:c>
      <x:c r="S11" s="68" t="str">
        <x:v>若负荷侧明显弱于扶身侧，失令日主仍可判偏旺或旺</x:v>
      </x:c>
      <x:c r="T11" s="82" t="str">
        <x:v>否</x:v>
      </x:c>
      <x:c r="U11" s="82" t="str">
        <x:v>中和偏旺</x:v>
      </x:c>
      <x:c r="V11" s="84" t="str">
        <x:v>失令反强</x:v>
      </x:c>
      <x:c r="W11" s="84" t="str">
        <x:v>日主失令，但有效根深、印比成势，可抵消乃至反转季节劣势。</x:v>
      </x:c>
      <x:c r="X11" s="82" t="str">
        <x:v>较高</x:v>
      </x:c>
      <x:c r="Y11" s="82" t="str">
        <x:v>现代综合</x:v>
      </x:c>
      <x:c r="Z11" s="68" t="str">
        <x:v>对应经典“失时不弱”的条件化表达。</x:v>
      </x:c>
      <x:c r="AA11" s="68" t="str">
        <x:v>秋木失令但寅卯多根、甲乙透而水生有力，可不作弱论。</x:v>
      </x:c>
      <x:c r="AB11" s="90" t="str">
        <x:v>失令即固定判弱。</x:v>
      </x:c>
      <x:c r="AC11" s="68" t="str">
        <x:v>https://zh.wikisource.org/wiki/%E6%B7%B5%E6%B5%B7%E5%AD%90%E5%B9%B3%E5%A4%A7%E5%85%A8 ; https://zh.wikisource.org/wiki/%E6%BB%B4%E5%A4%A9%E9%AB%93%E9%97%A1%E5%BE%AE</x:v>
      </x:c>
      <x:c r="AD11" s="82" t="str">
        <x:v>采用</x:v>
      </x:c>
      <x:c r="AE11" s="82" t="str">
        <x:v>初审</x:v>
      </x:c>
      <x:c r="AF11" s="87" t="n">
        <x:v>46255</x:v>
      </x:c>
    </x:row>
    <x:row r="12">
      <x:c r="A12" s="72" t="str">
        <x:f>IF(OR(C12="",D12=""),"",B12&amp;"-"&amp;UPPER(C12)&amp;"-"&amp;TEXT(D12,"0000")&amp;"-"&amp;E12)</x:f>
        <x:v>M09-LING-0006-V1.0</x:v>
      </x:c>
      <x:c r="B12" s="74" t="str">
        <x:v>M09</x:v>
      </x:c>
      <x:c r="C12" s="74" t="str">
        <x:v>LING</x:v>
      </x:c>
      <x:c r="D12" s="79" t="n">
        <x:v>6</x:v>
      </x:c>
      <x:c r="E12" s="74" t="str">
        <x:v>V1.0</x:v>
      </x:c>
      <x:c r="F12" s="68" t="str">
        <x:v>月令节点兼具根气时必须去重计权</x:v>
      </x:c>
      <x:c r="G12" s="82" t="str">
        <x:v>综合层</x:v>
      </x:c>
      <x:c r="H12" s="68" t="str">
        <x:v>得令</x:v>
      </x:c>
      <x:c r="I12" s="68" t="str">
        <x:v>证据去重</x:v>
      </x:c>
      <x:c r="J12" s="68" t="str">
        <x:v>同一月支既提供季令支持又承载日主根气</x:v>
      </x:c>
      <x:c r="K12" s="68" t="str">
        <x:v>高</x:v>
      </x:c>
      <x:c r="L12" s="82" t="str">
        <x:v>中</x:v>
      </x:c>
      <x:c r="M12" s="68" t="str">
        <x:v>M03/M08完成</x:v>
      </x:c>
      <x:c r="N12" s="68" t="str">
        <x:v>确认是同一地支节点</x:v>
      </x:c>
      <x:c r="O12" s="68" t="str">
        <x:v>另有独立根、透干或生源</x:v>
      </x:c>
      <x:c r="P12" s="68"/>
      <x:c r="Q12" s="90" t="str">
        <x:v>禁止月令旺、月支根、同党三个标签重复全额累加</x:v>
      </x:c>
      <x:c r="R12" s="68" t="str">
        <x:v>可分别保留解释标签</x:v>
      </x:c>
      <x:c r="S12" s="68" t="str">
        <x:v>独立节点越多才代表新增证据容量</x:v>
      </x:c>
      <x:c r="T12" s="82" t="str">
        <x:v>是</x:v>
      </x:c>
      <x:c r="U12" s="82" t="str">
        <x:v>中和偏旺</x:v>
      </x:c>
      <x:c r="V12" s="84" t="str">
        <x:v>季令根气去重</x:v>
      </x:c>
      <x:c r="W12" s="84" t="str">
        <x:v>月令与月支根气可分别解释，但同一节点不重复按多个决定性证据累加。</x:v>
      </x:c>
      <x:c r="X12" s="82" t="str">
        <x:v>较高</x:v>
      </x:c>
      <x:c r="Y12" s="82" t="str">
        <x:v>现代综合</x:v>
      </x:c>
      <x:c r="Z12" s="68" t="str">
        <x:v>月令权重高但不是单项充分条件；必须结合M08有效根气、印比与制泄耗，且同源季令证据去重。</x:v>
      </x:c>
      <x:c r="AA12" s="68" t="str">
        <x:v>正例：当“同一月支既提供季令支持又承载日主根气”真实成立，且必要条件与增强条件同向时，按“月令节点兼具根气时必须去重计权”记录对应旺衰证据。</x:v>
      </x:c>
      <x:c r="AB12" s="90" t="str">
        <x:v>反例：只有表面条件，但出现“禁止月令旺、月支根、同党三个标签重复全额累加”或关键有效性未成立时，不得套用本规则。</x:v>
      </x:c>
      <x:c r="AC12" s="68" t="str">
        <x:v>https://zh.wikisource.org/wiki/%E6%B7%B5%E6%B5%B7%E5%AD%90%E5%B9%B3%E5%A4%A7%E5%85%A8 ; https://zh.wikisource.org/wiki/%E6%BB%B4%E5%A4%A9%E9%AB%93%E9%97%A1%E5%BE%AE</x:v>
      </x:c>
      <x:c r="AD12" s="82" t="str">
        <x:v>采用</x:v>
      </x:c>
      <x:c r="AE12" s="82" t="str">
        <x:v>初审</x:v>
      </x:c>
      <x:c r="AF12" s="87" t="n">
        <x:v>46255</x:v>
      </x:c>
    </x:row>
    <x:row r="13">
      <x:c r="A13" s="72" t="str">
        <x:f>IF(OR(C13="",D13=""),"",B13&amp;"-"&amp;UPPER(C13)&amp;"-"&amp;TEXT(D13,"0000")&amp;"-"&amp;E13)</x:f>
        <x:v>M09-LING-0007-V1.0</x:v>
      </x:c>
      <x:c r="B13" s="74" t="str">
        <x:v>M09</x:v>
      </x:c>
      <x:c r="C13" s="74" t="str">
        <x:v>LING</x:v>
      </x:c>
      <x:c r="D13" s="79" t="n">
        <x:v>7</x:v>
      </x:c>
      <x:c r="E13" s="74" t="str">
        <x:v>V1.0</x:v>
      </x:c>
      <x:c r="F13" s="68" t="str">
        <x:v>月令受合冲改性后的季令证据承接M08而非重算</x:v>
      </x:c>
      <x:c r="G13" s="82" t="str">
        <x:v>综合层</x:v>
      </x:c>
      <x:c r="H13" s="68" t="str">
        <x:v>得令</x:v>
      </x:c>
      <x:c r="I13" s="68" t="str">
        <x:v>条件性</x:v>
      </x:c>
      <x:c r="J13" s="68" t="str">
        <x:v>月支参与合化、会局或强冲且M08已给出有效性修正</x:v>
      </x:c>
      <x:c r="K13" s="68" t="str">
        <x:v>高</x:v>
      </x:c>
      <x:c r="L13" s="82" t="str">
        <x:v>中</x:v>
      </x:c>
      <x:c r="M13" s="68" t="str">
        <x:v>M06/M08完成</x:v>
      </x:c>
      <x:c r="N13" s="68" t="str">
        <x:v>M08已明确是否改性或仅受扰</x:v>
      </x:c>
      <x:c r="O13" s="68" t="str">
        <x:v>改性成立且全局气势一致</x:v>
      </x:c>
      <x:c r="P13" s="68" t="str">
        <x:v>关系仅存在但未产生实质改性</x:v>
      </x:c>
      <x:c r="Q13" s="90" t="str">
        <x:v>禁止在M09依据关系名称再次扣减或加成月令</x:v>
      </x:c>
      <x:c r="R13" s="68" t="str">
        <x:v>争议效应降低置信度</x:v>
      </x:c>
      <x:c r="S13" s="68" t="str">
        <x:v>M08若判未改性，原季令证据应保留</x:v>
      </x:c>
      <x:c r="T13" s="82" t="str">
        <x:v>是</x:v>
      </x:c>
      <x:c r="U13" s="82" t="str">
        <x:v>中和</x:v>
      </x:c>
      <x:c r="V13" s="84" t="str">
        <x:v>季令效应承接</x:v>
      </x:c>
      <x:c r="W13" s="84" t="str">
        <x:v>月令是否仍能支持日主，以M08有效性结论为准；M09不重复处理合冲。</x:v>
      </x:c>
      <x:c r="X13" s="82" t="str">
        <x:v>较高</x:v>
      </x:c>
      <x:c r="Y13" s="82" t="str">
        <x:v>现代综合</x:v>
      </x:c>
      <x:c r="Z13" s="68" t="str">
        <x:v>月令权重高但不是单项充分条件；必须结合M08有效根气、印比与制泄耗，且同源季令证据去重。</x:v>
      </x:c>
      <x:c r="AA13" s="68" t="str">
        <x:v>正例：当“月支参与合化、会局或强冲且M08已给出有效性修正”真实成立，且必要条件与增强条件同向时，按“月令受合冲改性后的季令证据承接M08而非重算”记录对应旺衰证据。</x:v>
      </x:c>
      <x:c r="AB13" s="90" t="str">
        <x:v>反例：只有表面条件，但出现“禁止在M09依据关系名称再次扣减或加成月令”或关键有效性未成立时，不得套用本规则。</x:v>
      </x:c>
      <x:c r="AC13" s="68" t="str">
        <x:v>https://zh.wikisource.org/wiki/%E6%B7%B5%E6%B5%B7%E5%AD%90%E5%B9%B3%E5%A4%A7%E5%85%A8 ; https://zh.wikisource.org/wiki/%E6%BB%B4%E5%A4%A9%E9%AB%93%E9%97%A1%E5%BE%AE</x:v>
      </x:c>
      <x:c r="AD13" s="82" t="str">
        <x:v>采用</x:v>
      </x:c>
      <x:c r="AE13" s="82" t="str">
        <x:v>初审</x:v>
      </x:c>
      <x:c r="AF13" s="87" t="n">
        <x:v>46255</x:v>
      </x:c>
    </x:row>
    <x:row r="14">
      <x:c r="A14" s="72" t="str">
        <x:f>IF(OR(C14="",D14=""),"",B14&amp;"-"&amp;UPPER(C14)&amp;"-"&amp;TEXT(D14,"0000")&amp;"-"&amp;E14)</x:f>
        <x:v>M09-LING-0008-V1.0</x:v>
      </x:c>
      <x:c r="B14" s="74" t="str">
        <x:v>M09</x:v>
      </x:c>
      <x:c r="C14" s="74" t="str">
        <x:v>LING</x:v>
      </x:c>
      <x:c r="D14" s="79" t="n">
        <x:v>8</x:v>
      </x:c>
      <x:c r="E14" s="74" t="str">
        <x:v>V1.0</x:v>
      </x:c>
      <x:c r="F14" s="68" t="str">
        <x:v>四季土月必须使用M03细分结果而非统一按土旺处理</x:v>
      </x:c>
      <x:c r="G14" s="82" t="str">
        <x:v>综合层</x:v>
      </x:c>
      <x:c r="H14" s="68" t="str">
        <x:v>得令</x:v>
      </x:c>
      <x:c r="I14" s="68" t="str">
        <x:v>条件性</x:v>
      </x:c>
      <x:c r="J14" s="68" t="str">
        <x:v>出生于辰戌丑未月</x:v>
      </x:c>
      <x:c r="K14" s="68" t="str">
        <x:v>中高</x:v>
      </x:c>
      <x:c r="L14" s="82" t="str">
        <x:v>中</x:v>
      </x:c>
      <x:c r="M14" s="68" t="str">
        <x:v>M03完成</x:v>
      </x:c>
      <x:c r="N14" s="68" t="str">
        <x:v>使用M03对本中余气与节气深浅的判定</x:v>
      </x:c>
      <x:c r="O14" s="68" t="str">
        <x:v>日主土且本气得权</x:v>
      </x:c>
      <x:c r="P14" s="68" t="str">
        <x:v>月内他气占权或土气未形成有效支持</x:v>
      </x:c>
      <x:c r="Q14" s="90" t="str">
        <x:v>禁止把四季月一律视为土日主强、非土日主弱</x:v>
      </x:c>
      <x:c r="R14" s="68" t="str">
        <x:v>流派分歧转M21</x:v>
      </x:c>
      <x:c r="S14" s="68" t="str">
        <x:v>不同节气段与藏干有效性会改变季令证据强度</x:v>
      </x:c>
      <x:c r="T14" s="82" t="str">
        <x:v>否</x:v>
      </x:c>
      <x:c r="U14" s="82" t="str">
        <x:v>中和</x:v>
      </x:c>
      <x:c r="V14" s="84" t="str">
        <x:v>四季月细分</x:v>
      </x:c>
      <x:c r="W14" s="84" t="str">
        <x:v>四季土月的季令证据按M03细分，不采用“一见辰戌丑未即土旺”的统一结论。</x:v>
      </x:c>
      <x:c r="X14" s="82" t="str">
        <x:v>中等</x:v>
      </x:c>
      <x:c r="Y14" s="82" t="str">
        <x:v>现代综合</x:v>
      </x:c>
      <x:c r="Z14" s="68" t="str">
        <x:v>四季月司令细分存在流派差异，采用条件化接口。</x:v>
      </x:c>
      <x:c r="AA14" s="68" t="str">
        <x:v>土日主生未月且土本气得权，可获得强季令支持。</x:v>
      </x:c>
      <x:c r="AB14" s="90" t="str">
        <x:v>辰月所有天干一律按土旺处理。</x:v>
      </x:c>
      <x:c r="AC14" s="68" t="str">
        <x:v>https://zh.wikisource.org/wiki/%E6%B7%B5%E6%B5%B7%E5%AD%90%E5%B9%B3%E5%A4%A7%E5%85%A8 ; https://zh.wikisource.org/wiki/%E6%BB%B4%E5%A4%A9%E9%AB%93%E9%97%A1%E5%BE%AE</x:v>
      </x:c>
      <x:c r="AD14" s="82" t="str">
        <x:v>待验证</x:v>
      </x:c>
      <x:c r="AE14" s="82" t="str">
        <x:v>初审</x:v>
      </x:c>
      <x:c r="AF14" s="87" t="n">
        <x:v>46255</x:v>
      </x:c>
    </x:row>
    <x:row r="15">
      <x:c r="A15" s="72" t="str">
        <x:f>IF(OR(C15="",D15=""),"",B15&amp;"-"&amp;UPPER(C15)&amp;"-"&amp;TEXT(D15,"0000")&amp;"-"&amp;E15)</x:f>
        <x:v>M09-LING-0009-V1.0</x:v>
      </x:c>
      <x:c r="B15" s="74" t="str">
        <x:v>M09</x:v>
      </x:c>
      <x:c r="C15" s="74" t="str">
        <x:v>LING</x:v>
      </x:c>
      <x:c r="D15" s="79" t="n">
        <x:v>9</x:v>
      </x:c>
      <x:c r="E15" s="74" t="str">
        <x:v>V1.0</x:v>
      </x:c>
      <x:c r="F15" s="68" t="str">
        <x:v>交节附近月令未核实时不得给出高置信旺衰</x:v>
      </x:c>
      <x:c r="G15" s="82" t="str">
        <x:v>综合层</x:v>
      </x:c>
      <x:c r="H15" s="68" t="str">
        <x:v>得令</x:v>
      </x:c>
      <x:c r="I15" s="68" t="str">
        <x:v>降低置信度</x:v>
      </x:c>
      <x:c r="J15" s="68" t="str">
        <x:v>出生时间接近交节且月令存在不确定</x:v>
      </x:c>
      <x:c r="K15" s="68" t="str">
        <x:v>高</x:v>
      </x:c>
      <x:c r="L15" s="82" t="str">
        <x:v>强</x:v>
      </x:c>
      <x:c r="M15" s="68" t="str">
        <x:v>M03完成</x:v>
      </x:c>
      <x:c r="N15" s="68" t="str">
        <x:v>交节时间尚未核实</x:v>
      </x:c>
      <x:c r="O15" s="68" t="str">
        <x:v>核对出生地、时区与精确交节</x:v>
      </x:c>
      <x:c r="P15" s="68"/>
      <x:c r="Q15" s="90" t="str">
        <x:v>禁止在月令不确定时输出确定旺衰</x:v>
      </x:c>
      <x:c r="R15" s="68" t="str">
        <x:v>若两个月令对日主证据方向相同，可降低影响</x:v>
      </x:c>
      <x:c r="S15" s="68" t="str">
        <x:v>相邻月令可能使旺衰方向反转</x:v>
      </x:c>
      <x:c r="T15" s="82" t="str">
        <x:v>否</x:v>
      </x:c>
      <x:c r="U15" s="82" t="str">
        <x:v>中和</x:v>
      </x:c>
      <x:c r="V15" s="84" t="str">
        <x:v>月令不确定</x:v>
      </x:c>
      <x:c r="W15" s="84" t="str">
        <x:v>出生临近交节，月令尚有不确定；日主旺衰只能给条件性候选并降低置信度。</x:v>
      </x:c>
      <x:c r="X15" s="82" t="str">
        <x:v>较高</x:v>
      </x:c>
      <x:c r="Y15" s="82" t="str">
        <x:v>现代综合</x:v>
      </x:c>
      <x:c r="Z15" s="68" t="str">
        <x:v>月令权重高但不是单项充分条件；必须结合M08有效根气、印比与制泄耗，且同源季令证据去重。</x:v>
      </x:c>
      <x:c r="AA15" s="68" t="str">
        <x:v>正例：当“出生时间接近交节且月令存在不确定”真实成立，且必要条件与增强条件同向时，按“交节附近月令未核实时不得给出高置信旺衰”记录对应旺衰证据。</x:v>
      </x:c>
      <x:c r="AB15" s="90" t="str">
        <x:v>反例：只有表面条件，但出现“禁止在月令不确定时输出确定旺衰”或关键有效性未成立时，不得套用本规则。</x:v>
      </x:c>
      <x:c r="AC15" s="68" t="str">
        <x:v>https://zh.wikisource.org/wiki/%E6%B7%B5%E6%B5%B7%E5%AD%90%E5%B9%B3%E5%A4%A7%E5%85%A8 ; https://zh.wikisource.org/wiki/%E6%BB%B4%E5%A4%A9%E9%AB%93%E9%97%A1%E5%BE%AE</x:v>
      </x:c>
      <x:c r="AD15" s="82" t="str">
        <x:v>采用</x:v>
      </x:c>
      <x:c r="AE15" s="82" t="str">
        <x:v>初审</x:v>
      </x:c>
      <x:c r="AF15" s="87" t="n">
        <x:v>46255</x:v>
      </x:c>
    </x:row>
    <x:row r="16">
      <x:c r="A16" s="72" t="str">
        <x:f>IF(OR(C16="",D16=""),"",B16&amp;"-"&amp;UPPER(C16)&amp;"-"&amp;TEXT(D16,"0000")&amp;"-"&amp;E16)</x:f>
        <x:v>M09-LING-0010-V1.0</x:v>
      </x:c>
      <x:c r="B16" s="74" t="str">
        <x:v>M09</x:v>
      </x:c>
      <x:c r="C16" s="74" t="str">
        <x:v>LING</x:v>
      </x:c>
      <x:c r="D16" s="79" t="n">
        <x:v>10</x:v>
      </x:c>
      <x:c r="E16" s="74" t="str">
        <x:v>V1.0</x:v>
      </x:c>
      <x:c r="F16" s="68" t="str">
        <x:v>季令证据必须服从全局有效力量而非覆盖其他维度</x:v>
      </x:c>
      <x:c r="G16" s="82" t="str">
        <x:v>综合层</x:v>
      </x:c>
      <x:c r="H16" s="68" t="str">
        <x:v>得令</x:v>
      </x:c>
      <x:c r="I16" s="68" t="str">
        <x:v>综合约束</x:v>
      </x:c>
      <x:c r="J16" s="68" t="str">
        <x:v>任何日主旺衰裁定</x:v>
      </x:c>
      <x:c r="K16" s="68" t="str">
        <x:v>高</x:v>
      </x:c>
      <x:c r="L16" s="82" t="str">
        <x:v>决定性</x:v>
      </x:c>
      <x:c r="M16" s="68" t="str">
        <x:v>M03/M08完成</x:v>
      </x:c>
      <x:c r="N16" s="68" t="str">
        <x:v>已取得季令、根气、印比与制泄耗证据</x:v>
      </x:c>
      <x:c r="O16" s="68" t="str">
        <x:v>多维证据同向</x:v>
      </x:c>
      <x:c r="P16" s="68" t="str">
        <x:v>多维证据显著反向</x:v>
      </x:c>
      <x:c r="Q16" s="90" t="str">
        <x:v>禁止以月令单项覆盖M08其余强证据</x:v>
      </x:c>
      <x:c r="R16" s="68" t="str">
        <x:v>特殊格局转M14</x:v>
      </x:c>
      <x:c r="S16" s="68" t="str">
        <x:v>得时不旺、失时不弱均可能成立</x:v>
      </x:c>
      <x:c r="T16" s="82" t="str">
        <x:v>否</x:v>
      </x:c>
      <x:c r="U16" s="82" t="str">
        <x:v>中和</x:v>
      </x:c>
      <x:c r="V16" s="84" t="str">
        <x:v>季令非一票否决</x:v>
      </x:c>
      <x:c r="W16" s="84" t="str">
        <x:v>月令权重高，但最终旺衰必须服从全局有效力量的合成结果。</x:v>
      </x:c>
      <x:c r="X16" s="82" t="str">
        <x:v>较高</x:v>
      </x:c>
      <x:c r="Y16" s="82" t="str">
        <x:v>旺衰扶抑</x:v>
      </x:c>
      <x:c r="Z16" s="68" t="str">
        <x:v>经典文本明确月令虽重，年日时仍有损益之权。</x:v>
      </x:c>
      <x:c r="AA16" s="68" t="str">
        <x:v>得令木遇庚辛申酉成势且无火制，仍可受压明显。</x:v>
      </x:c>
      <x:c r="AB16" s="90" t="str">
        <x:v>只看月令不看四柱其他力量。</x:v>
      </x:c>
      <x:c r="AC16" s="68" t="str">
        <x:v>https://zh.wikisource.org/wiki/%E6%B7%B5%E6%B5%B7%E5%AD%90%E5%B9%B3%E5%A4%A7%E5%85%A8 ; https://zh.wikisource.org/wiki/%E6%BB%B4%E5%A4%A9%E9%AB%93%E9%97%A1%E5%BE%AE</x:v>
      </x:c>
      <x:c r="AD16" s="82" t="str">
        <x:v>采用</x:v>
      </x:c>
      <x:c r="AE16" s="82" t="str">
        <x:v>初审</x:v>
      </x:c>
      <x:c r="AF16" s="87" t="n">
        <x:v>46255</x:v>
      </x:c>
    </x:row>
    <x:row r="17">
      <x:c r="A17" s="72" t="str">
        <x:f>IF(OR(C17="",D17=""),"",B17&amp;"-"&amp;UPPER(C17)&amp;"-"&amp;TEXT(D17,"0000")&amp;"-"&amp;E17)</x:f>
        <x:v>M09-DI-0011-V1.0</x:v>
      </x:c>
      <x:c r="B17" s="74" t="str">
        <x:v>M09</x:v>
      </x:c>
      <x:c r="C17" s="74" t="str">
        <x:v>DI</x:v>
      </x:c>
      <x:c r="D17" s="79" t="n">
        <x:v>11</x:v>
      </x:c>
      <x:c r="E17" s="74" t="str">
        <x:v>V1.0</x:v>
      </x:c>
      <x:c r="F17" s="68" t="str">
        <x:v>有效本气根是得地的强支持证据</x:v>
      </x:c>
      <x:c r="G17" s="82" t="str">
        <x:v>综合层</x:v>
      </x:c>
      <x:c r="H17" s="68" t="str">
        <x:v>得地</x:v>
      </x:c>
      <x:c r="I17" s="68" t="str">
        <x:v>支持偏旺</x:v>
      </x:c>
      <x:c r="J17" s="68" t="str">
        <x:v>M08确认日主在地支拥有有效本气根</x:v>
      </x:c>
      <x:c r="K17" s="68" t="str">
        <x:v>高</x:v>
      </x:c>
      <x:c r="L17" s="82" t="str">
        <x:v>强</x:v>
      </x:c>
      <x:c r="M17" s="68" t="str">
        <x:v>M03/M08完成</x:v>
      </x:c>
      <x:c r="N17" s="68" t="str">
        <x:v>本气根未被实质冲散或改性</x:v>
      </x:c>
      <x:c r="O17" s="68" t="str">
        <x:v>根得令、有同党、透干呼应</x:v>
      </x:c>
      <x:c r="P17" s="68" t="str">
        <x:v>根孤弱或调用受限</x:v>
      </x:c>
      <x:c r="Q17" s="90" t="str">
        <x:v>不得由一处本气根直接判旺</x:v>
      </x:c>
      <x:c r="R17" s="68" t="str">
        <x:v>从格候选另审</x:v>
      </x:c>
      <x:c r="S17" s="68" t="str">
        <x:v>若同时有强负荷侧，一处强根可能仅保证不至极弱</x:v>
      </x:c>
      <x:c r="T17" s="82" t="str">
        <x:v>否</x:v>
      </x:c>
      <x:c r="U17" s="82" t="str">
        <x:v>中和偏旺</x:v>
      </x:c>
      <x:c r="V17" s="84" t="str">
        <x:v>本气根支持</x:v>
      </x:c>
      <x:c r="W17" s="84" t="str">
        <x:v>日主有有效本气根，得地证据强；仍需比较扶身与制泄耗总势。</x:v>
      </x:c>
      <x:c r="X17" s="82" t="str">
        <x:v>较高</x:v>
      </x:c>
      <x:c r="Y17" s="82" t="str">
        <x:v>现代综合</x:v>
      </x:c>
      <x:c r="Z17" s="68" t="str">
        <x:v>得地按有效根气的层级、独立性与可调用性判断；根的存在与实际承载能力分开记录。</x:v>
      </x:c>
      <x:c r="AA17" s="68" t="str">
        <x:v>正例：当“M08确认日主在地支拥有有效本气根”真实成立，且必要条件与增强条件同向时，按“有效本气根是得地的强支持证据”记录对应旺衰证据。</x:v>
      </x:c>
      <x:c r="AB17" s="90" t="str">
        <x:v>反例：只有表面条件，但出现“不得由一处本气根直接判旺”或关键有效性未成立时，不得套用本规则。</x:v>
      </x:c>
      <x:c r="AC17" s="68" t="str">
        <x:v>https://zh.wikisource.org/wiki/%E6%B7%B5%E6%B5%B7%E5%AD%90%E5%B9%B3%E5%A4%A7%E5%85%A8 ; https://zh.wikisource.org/wiki/%E6%BB%B4%E5%A4%A9%E9%AB%93%E9%97%A1%E5%BE%AE</x:v>
      </x:c>
      <x:c r="AD17" s="82" t="str">
        <x:v>采用</x:v>
      </x:c>
      <x:c r="AE17" s="82" t="str">
        <x:v>初审</x:v>
      </x:c>
      <x:c r="AF17" s="87" t="n">
        <x:v>46255</x:v>
      </x:c>
    </x:row>
    <x:row r="18">
      <x:c r="A18" s="72" t="str">
        <x:f>IF(OR(C18="",D18=""),"",B18&amp;"-"&amp;UPPER(C18)&amp;"-"&amp;TEXT(D18,"0000")&amp;"-"&amp;E18)</x:f>
        <x:v>M09-DI-0012-V1.0</x:v>
      </x:c>
      <x:c r="B18" s="74" t="str">
        <x:v>M09</x:v>
      </x:c>
      <x:c r="C18" s="74" t="str">
        <x:v>DI</x:v>
      </x:c>
      <x:c r="D18" s="79" t="n">
        <x:v>12</x:v>
      </x:c>
      <x:c r="E18" s="74" t="str">
        <x:v>V1.0</x:v>
      </x:c>
      <x:c r="F18" s="68" t="str">
        <x:v>有效中气根提供中等级得地支持</x:v>
      </x:c>
      <x:c r="G18" s="82" t="str">
        <x:v>综合层</x:v>
      </x:c>
      <x:c r="H18" s="68" t="str">
        <x:v>得地</x:v>
      </x:c>
      <x:c r="I18" s="68" t="str">
        <x:v>支持偏旺</x:v>
      </x:c>
      <x:c r="J18" s="68" t="str">
        <x:v>M08确认日主有有效中气根</x:v>
      </x:c>
      <x:c r="K18" s="68" t="str">
        <x:v>中</x:v>
      </x:c>
      <x:c r="L18" s="82" t="str">
        <x:v>中</x:v>
      </x:c>
      <x:c r="M18" s="68" t="str">
        <x:v>M03/M08完成</x:v>
      </x:c>
      <x:c r="N18" s="68" t="str">
        <x:v>中气根真实存在且未失效</x:v>
      </x:c>
      <x:c r="O18" s="68" t="str">
        <x:v>另有同类根或印比生扶</x:v>
      </x:c>
      <x:c r="P18" s="68" t="str">
        <x:v>根支受强作用或失令孤立</x:v>
      </x:c>
      <x:c r="Q18" s="90" t="str">
        <x:v>不得把中气根等同本气强根</x:v>
      </x:c>
      <x:c r="R18" s="68" t="str">
        <x:v>特殊格局另审</x:v>
      </x:c>
      <x:c r="S18" s="68" t="str">
        <x:v>中气根通常能否定完全无根，但承载不一定充分</x:v>
      </x:c>
      <x:c r="T18" s="82" t="str">
        <x:v>否</x:v>
      </x:c>
      <x:c r="U18" s="82" t="str">
        <x:v>中和</x:v>
      </x:c>
      <x:c r="V18" s="84" t="str">
        <x:v>中气根支持</x:v>
      </x:c>
      <x:c r="W18" s="84" t="str">
        <x:v>日主有有效中气根，获得中等级得地支持。</x:v>
      </x:c>
      <x:c r="X18" s="82" t="str">
        <x:v>较高</x:v>
      </x:c>
      <x:c r="Y18" s="82" t="str">
        <x:v>现代综合</x:v>
      </x:c>
      <x:c r="Z18" s="68" t="str">
        <x:v>得地按有效根气的层级、独立性与可调用性判断；根的存在与实际承载能力分开记录。</x:v>
      </x:c>
      <x:c r="AA18" s="68" t="str">
        <x:v>正例：当“M08确认日主有有效中气根”真实成立，且必要条件与增强条件同向时，按“有效中气根提供中等级得地支持”记录对应旺衰证据。</x:v>
      </x:c>
      <x:c r="AB18" s="90" t="str">
        <x:v>反例：只有表面条件，但出现“不得把中气根等同本气强根”或关键有效性未成立时，不得套用本规则。</x:v>
      </x:c>
      <x:c r="AC18" s="68" t="str">
        <x:v>https://zh.wikisource.org/wiki/%E6%B7%B5%E6%B5%B7%E5%AD%90%E5%B9%B3%E5%A4%A7%E5%85%A8 ; https://zh.wikisource.org/wiki/%E6%BB%B4%E5%A4%A9%E9%AB%93%E9%97%A1%E5%BE%AE</x:v>
      </x:c>
      <x:c r="AD18" s="82" t="str">
        <x:v>采用</x:v>
      </x:c>
      <x:c r="AE18" s="82" t="str">
        <x:v>初审</x:v>
      </x:c>
      <x:c r="AF18" s="87" t="n">
        <x:v>46255</x:v>
      </x:c>
    </x:row>
    <x:row r="19">
      <x:c r="A19" s="72" t="str">
        <x:f>IF(OR(C19="",D19=""),"",B19&amp;"-"&amp;UPPER(C19)&amp;"-"&amp;TEXT(D19,"0000")&amp;"-"&amp;E19)</x:f>
        <x:v>M09-DI-0013-V1.0</x:v>
      </x:c>
      <x:c r="B19" s="74" t="str">
        <x:v>M09</x:v>
      </x:c>
      <x:c r="C19" s="74" t="str">
        <x:v>DI</x:v>
      </x:c>
      <x:c r="D19" s="79" t="n">
        <x:v>13</x:v>
      </x:c>
      <x:c r="E19" s="74" t="str">
        <x:v>V1.0</x:v>
      </x:c>
      <x:c r="F19" s="68" t="str">
        <x:v>有效余气根主要用于否定完全无根</x:v>
      </x:c>
      <x:c r="G19" s="82" t="str">
        <x:v>综合层</x:v>
      </x:c>
      <x:c r="H19" s="68" t="str">
        <x:v>得地</x:v>
      </x:c>
      <x:c r="I19" s="68" t="str">
        <x:v>轻度支持偏旺</x:v>
      </x:c>
      <x:c r="J19" s="68" t="str">
        <x:v>M08确认日主仅有余气根</x:v>
      </x:c>
      <x:c r="K19" s="68" t="str">
        <x:v>中低</x:v>
      </x:c>
      <x:c r="L19" s="82" t="str">
        <x:v>弱</x:v>
      </x:c>
      <x:c r="M19" s="68" t="str">
        <x:v>M03/M08完成</x:v>
      </x:c>
      <x:c r="N19" s="68" t="str">
        <x:v>余气根尚有效</x:v>
      </x:c>
      <x:c r="O19" s="68" t="str">
        <x:v>同支得令、透干或另有生扶</x:v>
      </x:c>
      <x:c r="P19" s="68" t="str">
        <x:v>余气受损、失令且孤立</x:v>
      </x:c>
      <x:c r="Q19" s="90" t="str">
        <x:v>不得凭单一余气根判身强</x:v>
      </x:c>
      <x:c r="R19" s="68" t="str">
        <x:v>从格边界需特别审查</x:v>
      </x:c>
      <x:c r="S19" s="68" t="str">
        <x:v>若其余扶身证据几乎为空，余气根未必足以阻止极弱候选</x:v>
      </x:c>
      <x:c r="T19" s="82" t="str">
        <x:v>否</x:v>
      </x:c>
      <x:c r="U19" s="82" t="str">
        <x:v>中和偏弱</x:v>
      </x:c>
      <x:c r="V19" s="84" t="str">
        <x:v>余气根边界</x:v>
      </x:c>
      <x:c r="W19" s="84" t="str">
        <x:v>日主有余气根，可否定“完全无根”；但其承载较弱，不能单独支撑身旺。</x:v>
      </x:c>
      <x:c r="X19" s="82" t="str">
        <x:v>较高</x:v>
      </x:c>
      <x:c r="Y19" s="82" t="str">
        <x:v>现代综合</x:v>
      </x:c>
      <x:c r="Z19" s="68" t="str">
        <x:v>得地按有效根气的层级、独立性与可调用性判断；根的存在与实际承载能力分开记录。</x:v>
      </x:c>
      <x:c r="AA19" s="68" t="str">
        <x:v>正例：当“M08确认日主仅有余气根”真实成立，且必要条件与增强条件同向时，按“有效余气根主要用于否定完全无根”记录对应旺衰证据。</x:v>
      </x:c>
      <x:c r="AB19" s="90" t="str">
        <x:v>反例：只有表面条件，但出现“不得凭单一余气根判身强”或关键有效性未成立时，不得套用本规则。</x:v>
      </x:c>
      <x:c r="AC19" s="68" t="str">
        <x:v>https://zh.wikisource.org/wiki/%E6%B7%B5%E6%B5%B7%E5%AD%90%E5%B9%B3%E5%A4%A7%E5%85%A8 ; https://zh.wikisource.org/wiki/%E6%BB%B4%E5%A4%A9%E9%AB%93%E9%97%A1%E5%BE%AE</x:v>
      </x:c>
      <x:c r="AD19" s="82" t="str">
        <x:v>采用</x:v>
      </x:c>
      <x:c r="AE19" s="82" t="str">
        <x:v>初审</x:v>
      </x:c>
      <x:c r="AF19" s="87" t="n">
        <x:v>46255</x:v>
      </x:c>
    </x:row>
    <x:row r="20">
      <x:c r="A20" s="72" t="str">
        <x:f>IF(OR(C20="",D20=""),"",B20&amp;"-"&amp;UPPER(C20)&amp;"-"&amp;TEXT(D20,"0000")&amp;"-"&amp;E20)</x:f>
        <x:v>M09-DI-0014-V1.0</x:v>
      </x:c>
      <x:c r="B20" s="74" t="str">
        <x:v>M09</x:v>
      </x:c>
      <x:c r="C20" s="74" t="str">
        <x:v>DI</x:v>
      </x:c>
      <x:c r="D20" s="79" t="n">
        <x:v>14</x:v>
      </x:c>
      <x:c r="E20" s="74" t="str">
        <x:v>V1.0</x:v>
      </x:c>
      <x:c r="F20" s="68" t="str">
        <x:v>多重独立有效根显著提高日主承载稳定性</x:v>
      </x:c>
      <x:c r="G20" s="82" t="str">
        <x:v>综合层</x:v>
      </x:c>
      <x:c r="H20" s="68" t="str">
        <x:v>得地</x:v>
      </x:c>
      <x:c r="I20" s="68" t="str">
        <x:v>支持偏旺</x:v>
      </x:c>
      <x:c r="J20" s="68" t="str">
        <x:v>日主在两个以上独立地支拥有有效根</x:v>
      </x:c>
      <x:c r="K20" s="68" t="str">
        <x:v>高</x:v>
      </x:c>
      <x:c r="L20" s="82" t="str">
        <x:v>强</x:v>
      </x:c>
      <x:c r="M20" s="68" t="str">
        <x:v>M08完成</x:v>
      </x:c>
      <x:c r="N20" s="68" t="str">
        <x:v>根位彼此独立且未因同一成局被重复计权</x:v>
      </x:c>
      <x:c r="O20" s="68" t="str">
        <x:v>根位分布广且至少一处强根</x:v>
      </x:c>
      <x:c r="P20" s="68" t="str">
        <x:v>多个根同时受制或共享同一有限来源</x:v>
      </x:c>
      <x:c r="Q20" s="90" t="str">
        <x:v>禁止把重复同一支或同一节点当多根</x:v>
      </x:c>
      <x:c r="R20" s="68" t="str">
        <x:v>合化成局后按M08重算</x:v>
      </x:c>
      <x:c r="S20" s="68" t="str">
        <x:v>根越独立，单一根受损越不易使日主失去承载</x:v>
      </x:c>
      <x:c r="T20" s="82" t="str">
        <x:v>否</x:v>
      </x:c>
      <x:c r="U20" s="82" t="str">
        <x:v>旺</x:v>
      </x:c>
      <x:c r="V20" s="84" t="str">
        <x:v>多根承载</x:v>
      </x:c>
      <x:c r="W20" s="84" t="str">
        <x:v>日主拥有多处独立有效根，得地稳定性高，是偏旺或旺的重要证据。</x:v>
      </x:c>
      <x:c r="X20" s="82" t="str">
        <x:v>较高</x:v>
      </x:c>
      <x:c r="Y20" s="82" t="str">
        <x:v>现代综合</x:v>
      </x:c>
      <x:c r="Z20" s="68" t="str">
        <x:v>得地按有效根气的层级、独立性与可调用性判断；根的存在与实际承载能力分开记录。</x:v>
      </x:c>
      <x:c r="AA20" s="68" t="str">
        <x:v>正例：当“日主在两个以上独立地支拥有有效根”真实成立，且必要条件与增强条件同向时，按“多重独立有效根显著提高日主承载稳定性”记录对应旺衰证据。</x:v>
      </x:c>
      <x:c r="AB20" s="90" t="str">
        <x:v>反例：只有表面条件，但出现“禁止把重复同一支或同一节点当多根”或关键有效性未成立时，不得套用本规则。</x:v>
      </x:c>
      <x:c r="AC20" s="68" t="str">
        <x:v>https://zh.wikisource.org/wiki/%E6%B7%B5%E6%B5%B7%E5%AD%90%E5%B9%B3%E5%A4%A7%E5%85%A8 ; https://zh.wikisource.org/wiki/%E6%BB%B4%E5%A4%A9%E9%AB%93%E9%97%A1%E5%BE%AE</x:v>
      </x:c>
      <x:c r="AD20" s="82" t="str">
        <x:v>采用</x:v>
      </x:c>
      <x:c r="AE20" s="82" t="str">
        <x:v>初审</x:v>
      </x:c>
      <x:c r="AF20" s="87" t="n">
        <x:v>46255</x:v>
      </x:c>
    </x:row>
    <x:row r="21">
      <x:c r="A21" s="72" t="str">
        <x:f>IF(OR(C21="",D21=""),"",B21&amp;"-"&amp;UPPER(C21)&amp;"-"&amp;TEXT(D21,"0000")&amp;"-"&amp;E21)</x:f>
        <x:v>M09-DI-0015-V1.0</x:v>
      </x:c>
      <x:c r="B21" s="74" t="str">
        <x:v>M09</x:v>
      </x:c>
      <x:c r="C21" s="74" t="str">
        <x:v>DI</x:v>
      </x:c>
      <x:c r="D21" s="79" t="n">
        <x:v>15</x:v>
      </x:c>
      <x:c r="E21" s="74" t="str">
        <x:v>V1.0</x:v>
      </x:c>
      <x:c r="F21" s="68" t="str">
        <x:v>同类根可以扶身但不与同干直接根完全等权</x:v>
      </x:c>
      <x:c r="G21" s="82" t="str">
        <x:v>综合层</x:v>
      </x:c>
      <x:c r="H21" s="68" t="str">
        <x:v>得地</x:v>
      </x:c>
      <x:c r="I21" s="68" t="str">
        <x:v>支持偏旺</x:v>
      </x:c>
      <x:c r="J21" s="68" t="str">
        <x:v>日主在地支获得同五行异阴阳的同类根</x:v>
      </x:c>
      <x:c r="K21" s="68" t="str">
        <x:v>中</x:v>
      </x:c>
      <x:c r="L21" s="82" t="str">
        <x:v>中</x:v>
      </x:c>
      <x:c r="M21" s="68" t="str">
        <x:v>M03/M08完成</x:v>
      </x:c>
      <x:c r="N21" s="68" t="str">
        <x:v>同类根真实有效</x:v>
      </x:c>
      <x:c r="O21" s="68" t="str">
        <x:v>同类根得令、同党透出</x:v>
      </x:c>
      <x:c r="P21" s="68" t="str">
        <x:v>同类根孤弱或被强制</x:v>
      </x:c>
      <x:c r="Q21" s="90" t="str">
        <x:v>禁止把同类根与日主同干本气根机械等权</x:v>
      </x:c>
      <x:c r="R21" s="68" t="str">
        <x:v>不同流派对根定义分歧转M21</x:v>
      </x:c>
      <x:c r="S21" s="68" t="str">
        <x:v>同类根仍属于五行层面的承载支持</x:v>
      </x:c>
      <x:c r="T21" s="82" t="str">
        <x:v>否</x:v>
      </x:c>
      <x:c r="U21" s="82" t="str">
        <x:v>中和偏旺</x:v>
      </x:c>
      <x:c r="V21" s="84" t="str">
        <x:v>同类根支持</x:v>
      </x:c>
      <x:c r="W21" s="84" t="str">
        <x:v>同类根可支持日主五行，但与同干直接根区分记录，不机械等权。</x:v>
      </x:c>
      <x:c r="X21" s="82" t="str">
        <x:v>中等</x:v>
      </x:c>
      <x:c r="Y21" s="82" t="str">
        <x:v>现代综合</x:v>
      </x:c>
      <x:c r="Z21" s="68" t="str">
        <x:v>兼容不同流派的通根口径。</x:v>
      </x:c>
      <x:c r="AA21" s="68" t="str">
        <x:v>正例：当“日主在地支获得同五行异阴阳的同类根”真实成立，且必要条件与增强条件同向时，按“同类根可以扶身但不与同干直接根完全等权”记录对应旺衰证据。</x:v>
      </x:c>
      <x:c r="AB21" s="90" t="str">
        <x:v>反例：只有表面条件，但出现“禁止把同类根与日主同干本气根机械等权”或关键有效性未成立时，不得套用本规则。</x:v>
      </x:c>
      <x:c r="AC21" s="68" t="str">
        <x:v>https://zh.wikisource.org/wiki/%E6%B7%B5%E6%B5%B7%E5%AD%90%E5%B9%B3%E5%A4%A7%E5%85%A8 ; https://zh.wikisource.org/wiki/%E6%BB%B4%E5%A4%A9%E9%AB%93%E9%97%A1%E5%BE%AE</x:v>
      </x:c>
      <x:c r="AD21" s="82" t="str">
        <x:v>待验证</x:v>
      </x:c>
      <x:c r="AE21" s="82" t="str">
        <x:v>初审</x:v>
      </x:c>
      <x:c r="AF21" s="87" t="n">
        <x:v>46255</x:v>
      </x:c>
    </x:row>
    <x:row r="22">
      <x:c r="A22" s="72" t="str">
        <x:f>IF(OR(C22="",D22=""),"",B22&amp;"-"&amp;UPPER(C22)&amp;"-"&amp;TEXT(D22,"0000")&amp;"-"&amp;E22)</x:f>
        <x:v>M09-DI-0016-V1.0</x:v>
      </x:c>
      <x:c r="B22" s="74" t="str">
        <x:v>M09</x:v>
      </x:c>
      <x:c r="C22" s="74" t="str">
        <x:v>DI</x:v>
      </x:c>
      <x:c r="D22" s="79" t="n">
        <x:v>16</x:v>
      </x:c>
      <x:c r="E22" s="74" t="str">
        <x:v>V1.0</x:v>
      </x:c>
      <x:c r="F22" s="68" t="str">
        <x:v>无有效根是日主偏弱的重要证据</x:v>
      </x:c>
      <x:c r="G22" s="82" t="str">
        <x:v>综合层</x:v>
      </x:c>
      <x:c r="H22" s="68" t="str">
        <x:v>得地</x:v>
      </x:c>
      <x:c r="I22" s="68" t="str">
        <x:v>支持偏弱</x:v>
      </x:c>
      <x:c r="J22" s="68" t="str">
        <x:v>M08确认日主无有效根</x:v>
      </x:c>
      <x:c r="K22" s="68" t="str">
        <x:v>高</x:v>
      </x:c>
      <x:c r="L22" s="82" t="str">
        <x:v>强</x:v>
      </x:c>
      <x:c r="M22" s="68" t="str">
        <x:v>M08完成</x:v>
      </x:c>
      <x:c r="N22" s="68" t="str">
        <x:v>不存在可调用的本中余气根</x:v>
      </x:c>
      <x:c r="O22" s="68" t="str">
        <x:v>同时失令、无强印比</x:v>
      </x:c>
      <x:c r="P22" s="68" t="str">
        <x:v>得令或强印比持续生扶</x:v>
      </x:c>
      <x:c r="Q22" s="90" t="str">
        <x:v>不得由无根单独判极弱</x:v>
      </x:c>
      <x:c r="R22" s="68" t="str">
        <x:v>从格条件另审</x:v>
      </x:c>
      <x:c r="S22" s="68" t="str">
        <x:v>天干有印比或得令可使无根日主仍保持一定力量</x:v>
      </x:c>
      <x:c r="T22" s="82" t="str">
        <x:v>否</x:v>
      </x:c>
      <x:c r="U22" s="82" t="str">
        <x:v>弱</x:v>
      </x:c>
      <x:c r="V22" s="84" t="str">
        <x:v>无根证据</x:v>
      </x:c>
      <x:c r="W22" s="84" t="str">
        <x:v>日主无有效根，得地不足，是偏弱的重要证据；但不能单独推出极弱。</x:v>
      </x:c>
      <x:c r="X22" s="82" t="str">
        <x:v>较高</x:v>
      </x:c>
      <x:c r="Y22" s="82" t="str">
        <x:v>现代综合</x:v>
      </x:c>
      <x:c r="Z22" s="68" t="str">
        <x:v>得地按有效根气的层级、独立性与可调用性判断；根的存在与实际承载能力分开记录。</x:v>
      </x:c>
      <x:c r="AA22" s="68" t="str">
        <x:v>正例：当“M08确认日主无有效根”真实成立，且必要条件与增强条件同向时，按“无有效根是日主偏弱的重要证据”记录对应旺衰证据。</x:v>
      </x:c>
      <x:c r="AB22" s="90" t="str">
        <x:v>反例：只有表面条件，但出现“不得由无根单独判极弱”或关键有效性未成立时，不得套用本规则。</x:v>
      </x:c>
      <x:c r="AC22" s="68" t="str">
        <x:v>https://zh.wikisource.org/wiki/%E6%B7%B5%E6%B5%B7%E5%AD%90%E5%B9%B3%E5%A4%A7%E5%85%A8 ; https://zh.wikisource.org/wiki/%E6%BB%B4%E5%A4%A9%E9%AB%93%E9%97%A1%E5%BE%AE</x:v>
      </x:c>
      <x:c r="AD22" s="82" t="str">
        <x:v>采用</x:v>
      </x:c>
      <x:c r="AE22" s="82" t="str">
        <x:v>初审</x:v>
      </x:c>
      <x:c r="AF22" s="87" t="n">
        <x:v>46255</x:v>
      </x:c>
    </x:row>
    <x:row r="23">
      <x:c r="A23" s="72" t="str">
        <x:f>IF(OR(C23="",D23=""),"",B23&amp;"-"&amp;UPPER(C23)&amp;"-"&amp;TEXT(D23,"0000")&amp;"-"&amp;E23)</x:f>
        <x:v>M09-DI-0017-V1.0</x:v>
      </x:c>
      <x:c r="B23" s="74" t="str">
        <x:v>M09</x:v>
      </x:c>
      <x:c r="C23" s="74" t="str">
        <x:v>DI</x:v>
      </x:c>
      <x:c r="D23" s="79" t="n">
        <x:v>17</x:v>
      </x:c>
      <x:c r="E23" s="74" t="str">
        <x:v>V1.0</x:v>
      </x:c>
      <x:c r="F23" s="68" t="str">
        <x:v>唯一有效根被实质冲散时应显著下调日主承载</x:v>
      </x:c>
      <x:c r="G23" s="82" t="str">
        <x:v>综合层</x:v>
      </x:c>
      <x:c r="H23" s="68" t="str">
        <x:v>得地</x:v>
      </x:c>
      <x:c r="I23" s="68" t="str">
        <x:v>支持偏弱</x:v>
      </x:c>
      <x:c r="J23" s="68" t="str">
        <x:v>日主仅一根且M08判该根实质冲散/失效</x:v>
      </x:c>
      <x:c r="K23" s="68" t="str">
        <x:v>高</x:v>
      </x:c>
      <x:c r="L23" s="82" t="str">
        <x:v>强</x:v>
      </x:c>
      <x:c r="M23" s="68" t="str">
        <x:v>M08完成</x:v>
      </x:c>
      <x:c r="N23" s="68" t="str">
        <x:v>确属唯一有效根</x:v>
      </x:c>
      <x:c r="O23" s="68" t="str">
        <x:v>同时失令、印比弱</x:v>
      </x:c>
      <x:c r="P23" s="68" t="str">
        <x:v>另有新根、强印或成势比劫</x:v>
      </x:c>
      <x:c r="Q23" s="90" t="str">
        <x:v>禁止把普通受冲等同根失效</x:v>
      </x:c>
      <x:c r="R23" s="68" t="str">
        <x:v>动态岁运另模块</x:v>
      </x:c>
      <x:c r="S23" s="68" t="str">
        <x:v>唯一根失效会使日主承载出现质变</x:v>
      </x:c>
      <x:c r="T23" s="82" t="str">
        <x:v>是</x:v>
      </x:c>
      <x:c r="U23" s="82" t="str">
        <x:v>弱</x:v>
      </x:c>
      <x:c r="V23" s="84" t="str">
        <x:v>唯一根失效</x:v>
      </x:c>
      <x:c r="W23" s="84" t="str">
        <x:v>日主唯一有效根已失效，得地证据显著下降；需重新评估是否进入弱或极弱候选。</x:v>
      </x:c>
      <x:c r="X23" s="82" t="str">
        <x:v>较高</x:v>
      </x:c>
      <x:c r="Y23" s="82" t="str">
        <x:v>现代综合</x:v>
      </x:c>
      <x:c r="Z23" s="68" t="str">
        <x:v>得地按有效根气的层级、独立性与可调用性判断；根的存在与实际承载能力分开记录。</x:v>
      </x:c>
      <x:c r="AA23" s="68" t="str">
        <x:v>正例：当“日主仅一根且M08判该根实质冲散/失效”真实成立，且必要条件与增强条件同向时，按“唯一有效根被实质冲散时应显著下调日主承载”记录对应旺衰证据。</x:v>
      </x:c>
      <x:c r="AB23" s="90" t="str">
        <x:v>反例：只有表面条件，但出现“禁止把普通受冲等同根失效”或关键有效性未成立时，不得套用本规则。</x:v>
      </x:c>
      <x:c r="AC23" s="68" t="str">
        <x:v>https://zh.wikisource.org/wiki/%E6%B7%B5%E6%B5%B7%E5%AD%90%E5%B9%B3%E5%A4%A7%E5%85%A8 ; https://zh.wikisource.org/wiki/%E6%BB%B4%E5%A4%A9%E9%AB%93%E9%97%A1%E5%BE%AE</x:v>
      </x:c>
      <x:c r="AD23" s="82" t="str">
        <x:v>采用</x:v>
      </x:c>
      <x:c r="AE23" s="82" t="str">
        <x:v>初审</x:v>
      </x:c>
      <x:c r="AF23" s="87" t="n">
        <x:v>46255</x:v>
      </x:c>
    </x:row>
    <x:row r="24">
      <x:c r="A24" s="72" t="str">
        <x:f>IF(OR(C24="",D24=""),"",B24&amp;"-"&amp;UPPER(C24)&amp;"-"&amp;TEXT(D24,"0000")&amp;"-"&amp;E24)</x:f>
        <x:v>M09-DI-0018-V1.0</x:v>
      </x:c>
      <x:c r="B24" s="74" t="str">
        <x:v>M09</x:v>
      </x:c>
      <x:c r="C24" s="74" t="str">
        <x:v>DI</x:v>
      </x:c>
      <x:c r="D24" s="79" t="n">
        <x:v>18</x:v>
      </x:c>
      <x:c r="E24" s="74" t="str">
        <x:v>V1.0</x:v>
      </x:c>
      <x:c r="F24" s="68" t="str">
        <x:v>强根受冲但M08判为冲动时不得下调为无根</x:v>
      </x:c>
      <x:c r="G24" s="82" t="str">
        <x:v>综合层</x:v>
      </x:c>
      <x:c r="H24" s="68" t="str">
        <x:v>得地</x:v>
      </x:c>
      <x:c r="I24" s="68" t="str">
        <x:v>保持支持</x:v>
      </x:c>
      <x:c r="J24" s="68" t="str">
        <x:v>日主强根受冲且M08结论为冲动/激活而非冲散</x:v>
      </x:c>
      <x:c r="K24" s="68" t="str">
        <x:v>高</x:v>
      </x:c>
      <x:c r="L24" s="82" t="str">
        <x:v>中</x:v>
      </x:c>
      <x:c r="M24" s="68" t="str">
        <x:v>M08完成</x:v>
      </x:c>
      <x:c r="N24" s="68" t="str">
        <x:v>M08已确认根性保留</x:v>
      </x:c>
      <x:c r="O24" s="68" t="str">
        <x:v>根得令有援</x:v>
      </x:c>
      <x:c r="P24" s="68"/>
      <x:c r="Q24" s="90" t="str">
        <x:v>禁止看到冲就拔根</x:v>
      </x:c>
      <x:c r="R24" s="68" t="str">
        <x:v>若后续动态作用另审</x:v>
      </x:c>
      <x:c r="S24" s="68" t="str">
        <x:v>根的稳定性可下降，但承载仍存在</x:v>
      </x:c>
      <x:c r="T24" s="82" t="str">
        <x:v>是</x:v>
      </x:c>
      <x:c r="U24" s="82" t="str">
        <x:v>中和偏旺</x:v>
      </x:c>
      <x:c r="V24" s="84" t="str">
        <x:v>冲根保留</x:v>
      </x:c>
      <x:c r="W24" s="84" t="str">
        <x:v>该根虽被冲动，但有效根性仍在，不按无根处理。</x:v>
      </x:c>
      <x:c r="X24" s="82" t="str">
        <x:v>较高</x:v>
      </x:c>
      <x:c r="Y24" s="82" t="str">
        <x:v>现代综合</x:v>
      </x:c>
      <x:c r="Z24" s="68" t="str">
        <x:v>得地按有效根气的层级、独立性与可调用性判断；根的存在与实际承载能力分开记录。</x:v>
      </x:c>
      <x:c r="AA24" s="68" t="str">
        <x:v>正例：当“日主强根受冲且M08结论为冲动/激活而非冲散”真实成立，且必要条件与增强条件同向时，按“强根受冲但M08判为冲动时不得下调为无根”记录对应旺衰证据。</x:v>
      </x:c>
      <x:c r="AB24" s="90" t="str">
        <x:v>反例：只有表面条件，但出现“禁止看到冲就拔根”或关键有效性未成立时，不得套用本规则。</x:v>
      </x:c>
      <x:c r="AC24" s="68" t="str">
        <x:v>https://zh.wikisource.org/wiki/%E6%B7%B5%E6%B5%B7%E5%AD%90%E5%B9%B3%E5%A4%A7%E5%85%A8 ; https://zh.wikisource.org/wiki/%E6%BB%B4%E5%A4%A9%E9%AB%93%E9%97%A1%E5%BE%AE</x:v>
      </x:c>
      <x:c r="AD24" s="82" t="str">
        <x:v>采用</x:v>
      </x:c>
      <x:c r="AE24" s="82" t="str">
        <x:v>初审</x:v>
      </x:c>
      <x:c r="AF24" s="87" t="n">
        <x:v>46255</x:v>
      </x:c>
    </x:row>
    <x:row r="25">
      <x:c r="A25" s="72" t="str">
        <x:f>IF(OR(C25="",D25=""),"",B25&amp;"-"&amp;UPPER(C25)&amp;"-"&amp;TEXT(D25,"0000")&amp;"-"&amp;E25)</x:f>
        <x:v>M09-DI-0019-V1.0</x:v>
      </x:c>
      <x:c r="B25" s="74" t="str">
        <x:v>M09</x:v>
      </x:c>
      <x:c r="C25" s="74" t="str">
        <x:v>DI</x:v>
      </x:c>
      <x:c r="D25" s="79" t="n">
        <x:v>19</x:v>
      </x:c>
      <x:c r="E25" s="74" t="str">
        <x:v>V1.0</x:v>
      </x:c>
      <x:c r="F25" s="68" t="str">
        <x:v>月支根与得令来自同一节点时不得重复全额计权</x:v>
      </x:c>
      <x:c r="G25" s="82" t="str">
        <x:v>综合层</x:v>
      </x:c>
      <x:c r="H25" s="68" t="str">
        <x:v>得地</x:v>
      </x:c>
      <x:c r="I25" s="68" t="str">
        <x:v>证据去重</x:v>
      </x:c>
      <x:c r="J25" s="68" t="str">
        <x:v>月支同时为日主季令支持与根位</x:v>
      </x:c>
      <x:c r="K25" s="68" t="str">
        <x:v>高</x:v>
      </x:c>
      <x:c r="L25" s="82" t="str">
        <x:v>中</x:v>
      </x:c>
      <x:c r="M25" s="68" t="str">
        <x:v>M03/M08完成</x:v>
      </x:c>
      <x:c r="N25" s="68" t="str">
        <x:v>同一月支节点</x:v>
      </x:c>
      <x:c r="O25" s="68" t="str">
        <x:v>另有年日时独立根</x:v>
      </x:c>
      <x:c r="P25" s="68"/>
      <x:c r="Q25" s="90" t="str">
        <x:v>禁止得令+月支本气根重复形成两份决定性证据</x:v>
      </x:c>
      <x:c r="R25" s="68" t="str">
        <x:v>可保留两种解释标签</x:v>
      </x:c>
      <x:c r="S25" s="68" t="str">
        <x:v>真正新增支持来自其他独立节点</x:v>
      </x:c>
      <x:c r="T25" s="82" t="str">
        <x:v>是</x:v>
      </x:c>
      <x:c r="U25" s="82" t="str">
        <x:v>中和偏旺</x:v>
      </x:c>
      <x:c r="V25" s="84" t="str">
        <x:v>月支去重</x:v>
      </x:c>
      <x:c r="W25" s="84" t="str">
        <x:v>月支既得令又通根时保留两类说明，但总权重需去重。</x:v>
      </x:c>
      <x:c r="X25" s="82" t="str">
        <x:v>较高</x:v>
      </x:c>
      <x:c r="Y25" s="82" t="str">
        <x:v>现代综合</x:v>
      </x:c>
      <x:c r="Z25" s="68" t="str">
        <x:v>得地按有效根气的层级、独立性与可调用性判断；根的存在与实际承载能力分开记录。</x:v>
      </x:c>
      <x:c r="AA25" s="68" t="str">
        <x:v>正例：当“月支同时为日主季令支持与根位”真实成立，且必要条件与增强条件同向时，按“月支根与得令来自同一节点时不得重复全额计权”记录对应旺衰证据。</x:v>
      </x:c>
      <x:c r="AB25" s="90" t="str">
        <x:v>反例：只有表面条件，但出现“禁止得令+月支本气根重复形成两份决定性证据”或关键有效性未成立时，不得套用本规则。</x:v>
      </x:c>
      <x:c r="AC25" s="68" t="str">
        <x:v>https://zh.wikisource.org/wiki/%E6%B7%B5%E6%B5%B7%E5%AD%90%E5%B9%B3%E5%A4%A7%E5%85%A8 ; https://zh.wikisource.org/wiki/%E6%BB%B4%E5%A4%A9%E9%AB%93%E9%97%A1%E5%BE%AE</x:v>
      </x:c>
      <x:c r="AD25" s="82" t="str">
        <x:v>采用</x:v>
      </x:c>
      <x:c r="AE25" s="82" t="str">
        <x:v>初审</x:v>
      </x:c>
      <x:c r="AF25" s="87" t="n">
        <x:v>46255</x:v>
      </x:c>
    </x:row>
    <x:row r="26">
      <x:c r="A26" s="72" t="str">
        <x:f>IF(OR(C26="",D26=""),"",B26&amp;"-"&amp;UPPER(C26)&amp;"-"&amp;TEXT(D26,"0000")&amp;"-"&amp;E26)</x:f>
        <x:v>M09-DI-0020-V1.0</x:v>
      </x:c>
      <x:c r="B26" s="74" t="str">
        <x:v>M09</x:v>
      </x:c>
      <x:c r="C26" s="74" t="str">
        <x:v>DI</x:v>
      </x:c>
      <x:c r="D26" s="79" t="n">
        <x:v>20</x:v>
      </x:c>
      <x:c r="E26" s="74" t="str">
        <x:v>V1.0</x:v>
      </x:c>
      <x:c r="F26" s="68" t="str">
        <x:v>日支根属于直接承载节点但不设置固定倍权</x:v>
      </x:c>
      <x:c r="G26" s="82" t="str">
        <x:v>综合层</x:v>
      </x:c>
      <x:c r="H26" s="68" t="str">
        <x:v>得地</x:v>
      </x:c>
      <x:c r="I26" s="68" t="str">
        <x:v>支持偏旺</x:v>
      </x:c>
      <x:c r="J26" s="68" t="str">
        <x:v>日支藏有日主有效根</x:v>
      </x:c>
      <x:c r="K26" s="68" t="str">
        <x:v>中高</x:v>
      </x:c>
      <x:c r="L26" s="82" t="str">
        <x:v>中</x:v>
      </x:c>
      <x:c r="M26" s="68" t="str">
        <x:v>M08完成</x:v>
      </x:c>
      <x:c r="N26" s="68" t="str">
        <x:v>根性有效</x:v>
      </x:c>
      <x:c r="O26" s="68" t="str">
        <x:v>坐下本气根且得令有援</x:v>
      </x:c>
      <x:c r="P26" s="68" t="str">
        <x:v>日支根受合绊、改性或强制</x:v>
      </x:c>
      <x:c r="Q26" s="90" t="str">
        <x:v>禁止把坐根设为固定倍数</x:v>
      </x:c>
      <x:c r="R26" s="68" t="str">
        <x:v>位置权重流派差异转M21</x:v>
      </x:c>
      <x:c r="S26" s="68" t="str">
        <x:v>坐下根常具有直接性，但强弱仍由根级和全局决定</x:v>
      </x:c>
      <x:c r="T26" s="82" t="str">
        <x:v>否</x:v>
      </x:c>
      <x:c r="U26" s="82" t="str">
        <x:v>中和偏旺</x:v>
      </x:c>
      <x:c r="V26" s="84" t="str">
        <x:v>日支根直接性</x:v>
      </x:c>
      <x:c r="W26" s="84" t="str">
        <x:v>日支有效根可视为较直接的承载证据，但不使用固定倍权。</x:v>
      </x:c>
      <x:c r="X26" s="82" t="str">
        <x:v>中等</x:v>
      </x:c>
      <x:c r="Y26" s="82" t="str">
        <x:v>现代综合</x:v>
      </x:c>
      <x:c r="Z26" s="68" t="str">
        <x:v>位置权重属于模型化处理，需通过案例回归验证。</x:v>
      </x:c>
      <x:c r="AA26" s="68" t="str">
        <x:v>正例：当“日支藏有日主有效根”真实成立，且必要条件与增强条件同向时，按“日支根属于直接承载节点但不设置固定倍权”记录对应旺衰证据。</x:v>
      </x:c>
      <x:c r="AB26" s="90" t="str">
        <x:v>反例：只有表面条件，但出现“禁止把坐根设为固定倍数”或关键有效性未成立时，不得套用本规则。</x:v>
      </x:c>
      <x:c r="AC26" s="68" t="str">
        <x:v>https://zh.wikisource.org/wiki/%E6%B7%B5%E6%B5%B7%E5%AD%90%E5%B9%B3%E5%A4%A7%E5%85%A8 ; https://zh.wikisource.org/wiki/%E6%BB%B4%E5%A4%A9%E9%AB%93%E9%97%A1%E5%BE%AE</x:v>
      </x:c>
      <x:c r="AD26" s="82" t="str">
        <x:v>待验证</x:v>
      </x:c>
      <x:c r="AE26" s="82" t="str">
        <x:v>初审</x:v>
      </x:c>
      <x:c r="AF26" s="87" t="n">
        <x:v>46255</x:v>
      </x:c>
    </x:row>
    <x:row r="27">
      <x:c r="A27" s="72" t="str">
        <x:f>IF(OR(C27="",D27=""),"",B27&amp;"-"&amp;UPPER(C27)&amp;"-"&amp;TEXT(D27,"0000")&amp;"-"&amp;E27)</x:f>
        <x:v>M09-DI-0021-V1.0</x:v>
      </x:c>
      <x:c r="B27" s="74" t="str">
        <x:v>M09</x:v>
      </x:c>
      <x:c r="C27" s="74" t="str">
        <x:v>DI</x:v>
      </x:c>
      <x:c r="D27" s="79" t="n">
        <x:v>21</x:v>
      </x:c>
      <x:c r="E27" s="74" t="str">
        <x:v>V1.0</x:v>
      </x:c>
      <x:c r="F27" s="68" t="str">
        <x:v>多根受损只修正对应节点不连坐删除其他根</x:v>
      </x:c>
      <x:c r="G27" s="82" t="str">
        <x:v>综合层</x:v>
      </x:c>
      <x:c r="H27" s="68" t="str">
        <x:v>得地</x:v>
      </x:c>
      <x:c r="I27" s="68" t="str">
        <x:v>局部减弱</x:v>
      </x:c>
      <x:c r="J27" s="68" t="str">
        <x:v>日主有多重根，其中部分根被M08判受损</x:v>
      </x:c>
      <x:c r="K27" s="68" t="str">
        <x:v>中高</x:v>
      </x:c>
      <x:c r="L27" s="82" t="str">
        <x:v>中</x:v>
      </x:c>
      <x:c r="M27" s="68" t="str">
        <x:v>M08完成</x:v>
      </x:c>
      <x:c r="N27" s="68" t="str">
        <x:v>根位独立</x:v>
      </x:c>
      <x:c r="O27" s="68" t="str">
        <x:v>未受损根仍得令有援</x:v>
      </x:c>
      <x:c r="P27" s="68" t="str">
        <x:v>多个根共享同一支或同时被改性</x:v>
      </x:c>
      <x:c r="Q27" s="90" t="str">
        <x:v>禁止一个根受损即把全部得地判零</x:v>
      </x:c>
      <x:c r="R27" s="68" t="str">
        <x:v>合局改性按M08处理</x:v>
      </x:c>
      <x:c r="S27" s="68" t="str">
        <x:v>剩余独立根越强，日主仍可保持中和以上</x:v>
      </x:c>
      <x:c r="T27" s="82" t="str">
        <x:v>是</x:v>
      </x:c>
      <x:c r="U27" s="82" t="str">
        <x:v>中和</x:v>
      </x:c>
      <x:c r="V27" s="84" t="str">
        <x:v>根位局部修正</x:v>
      </x:c>
      <x:c r="W27" s="84" t="str">
        <x:v>部分根气受损只影响对应节点；其余独立有效根继续保留。</x:v>
      </x:c>
      <x:c r="X27" s="82" t="str">
        <x:v>较高</x:v>
      </x:c>
      <x:c r="Y27" s="82" t="str">
        <x:v>现代综合</x:v>
      </x:c>
      <x:c r="Z27" s="68" t="str">
        <x:v>得地按有效根气的层级、独立性与可调用性判断；根的存在与实际承载能力分开记录。</x:v>
      </x:c>
      <x:c r="AA27" s="68" t="str">
        <x:v>正例：当“日主有多重根，其中部分根被M08判受损”真实成立，且必要条件与增强条件同向时，按“多根受损只修正对应节点不连坐删除其他根”记录对应旺衰证据。</x:v>
      </x:c>
      <x:c r="AB27" s="90" t="str">
        <x:v>反例：只有表面条件，但出现“禁止一个根受损即把全部得地判零”或关键有效性未成立时，不得套用本规则。</x:v>
      </x:c>
      <x:c r="AC27" s="68" t="str">
        <x:v>https://zh.wikisource.org/wiki/%E6%B7%B5%E6%B5%B7%E5%AD%90%E5%B9%B3%E5%A4%A7%E5%85%A8 ; https://zh.wikisource.org/wiki/%E6%BB%B4%E5%A4%A9%E9%AB%93%E9%97%A1%E5%BE%AE</x:v>
      </x:c>
      <x:c r="AD27" s="82" t="str">
        <x:v>采用</x:v>
      </x:c>
      <x:c r="AE27" s="82" t="str">
        <x:v>初审</x:v>
      </x:c>
      <x:c r="AF27" s="87" t="n">
        <x:v>46255</x:v>
      </x:c>
    </x:row>
    <x:row r="28">
      <x:c r="A28" s="72" t="str">
        <x:f>IF(OR(C28="",D28=""),"",B28&amp;"-"&amp;UPPER(C28)&amp;"-"&amp;TEXT(D28,"0000")&amp;"-"&amp;E28)</x:f>
        <x:v>M09-DI-0022-V1.0</x:v>
      </x:c>
      <x:c r="B28" s="74" t="str">
        <x:v>M09</x:v>
      </x:c>
      <x:c r="C28" s="74" t="str">
        <x:v>DI</x:v>
      </x:c>
      <x:c r="D28" s="79" t="n">
        <x:v>22</x:v>
      </x:c>
      <x:c r="E28" s="74" t="str">
        <x:v>V1.0</x:v>
      </x:c>
      <x:c r="F28" s="68" t="str">
        <x:v>根气存在与根气可调用必须分别记录</x:v>
      </x:c>
      <x:c r="G28" s="82" t="str">
        <x:v>综合层</x:v>
      </x:c>
      <x:c r="H28" s="68" t="str">
        <x:v>得地</x:v>
      </x:c>
      <x:c r="I28" s="68" t="str">
        <x:v>条件性</x:v>
      </x:c>
      <x:c r="J28" s="68" t="str">
        <x:v>M03有根但M08判合绊、寒凝或其他调用受限</x:v>
      </x:c>
      <x:c r="K28" s="68" t="str">
        <x:v>中高</x:v>
      </x:c>
      <x:c r="L28" s="82" t="str">
        <x:v>中</x:v>
      </x:c>
      <x:c r="M28" s="68" t="str">
        <x:v>M08完成</x:v>
      </x:c>
      <x:c r="N28" s="68" t="str">
        <x:v>原根存在且有效性受限</x:v>
      </x:c>
      <x:c r="O28" s="68" t="str">
        <x:v>有透达通道或救应</x:v>
      </x:c>
      <x:c r="P28" s="68" t="str">
        <x:v>长期冻结、实质改性或被制</x:v>
      </x:c>
      <x:c r="Q28" s="90" t="str">
        <x:v>禁止把“有根”直接等同“根力完整”</x:v>
      </x:c>
      <x:c r="R28" s="68" t="str">
        <x:v>不同作用类型按M08输出</x:v>
      </x:c>
      <x:c r="S28" s="68" t="str">
        <x:v>受限根可以防止极弱但未必足以支撑偏旺</x:v>
      </x:c>
      <x:c r="T28" s="82" t="str">
        <x:v>否</x:v>
      </x:c>
      <x:c r="U28" s="82" t="str">
        <x:v>中和</x:v>
      </x:c>
      <x:c r="V28" s="84" t="str">
        <x:v>根气可调用性</x:v>
      </x:c>
      <x:c r="W28" s="84" t="str">
        <x:v>日主虽有根，但根气调用受限；得地证据按有效等级而非存在性计入。</x:v>
      </x:c>
      <x:c r="X28" s="82" t="str">
        <x:v>较高</x:v>
      </x:c>
      <x:c r="Y28" s="82" t="str">
        <x:v>现代综合</x:v>
      </x:c>
      <x:c r="Z28" s="68" t="str">
        <x:v>得地按有效根气的层级、独立性与可调用性判断；根的存在与实际承载能力分开记录。</x:v>
      </x:c>
      <x:c r="AA28" s="68" t="str">
        <x:v>正例：当“M03有根但M08判合绊、寒凝或其他调用受限”真实成立，且必要条件与增强条件同向时，按“根气存在与根气可调用必须分别记录”记录对应旺衰证据。</x:v>
      </x:c>
      <x:c r="AB28" s="90" t="str">
        <x:v>反例：只有表面条件，但出现“禁止把“有根”直接等同“根力完整””或关键有效性未成立时，不得套用本规则。</x:v>
      </x:c>
      <x:c r="AC28" s="68" t="str">
        <x:v>https://zh.wikisource.org/wiki/%E6%B7%B5%E6%B5%B7%E5%AD%90%E5%B9%B3%E5%A4%A7%E5%85%A8 ; https://zh.wikisource.org/wiki/%E6%BB%B4%E5%A4%A9%E9%AB%93%E9%97%A1%E5%BE%AE</x:v>
      </x:c>
      <x:c r="AD28" s="82" t="str">
        <x:v>采用</x:v>
      </x:c>
      <x:c r="AE28" s="82" t="str">
        <x:v>初审</x:v>
      </x:c>
      <x:c r="AF28" s="87" t="n">
        <x:v>46255</x:v>
      </x:c>
    </x:row>
    <x:row r="29">
      <x:c r="A29" s="72" t="str">
        <x:f>IF(OR(C29="",D29=""),"",B29&amp;"-"&amp;UPPER(C29)&amp;"-"&amp;TEXT(D29,"0000")&amp;"-"&amp;E29)</x:f>
        <x:v>M09-SHI-0023-V1.0</x:v>
      </x:c>
      <x:c r="B29" s="74" t="str">
        <x:v>M09</x:v>
      </x:c>
      <x:c r="C29" s="74" t="str">
        <x:v>SHI</x:v>
      </x:c>
      <x:c r="D29" s="79" t="n">
        <x:v>23</x:v>
      </x:c>
      <x:c r="E29" s="74" t="str">
        <x:v>V1.0</x:v>
      </x:c>
      <x:c r="F29" s="68" t="str">
        <x:v>得势以有效印比形成扶身集团为核心</x:v>
      </x:c>
      <x:c r="G29" s="82" t="str">
        <x:v>综合层</x:v>
      </x:c>
      <x:c r="H29" s="68" t="str">
        <x:v>得势</x:v>
      </x:c>
      <x:c r="I29" s="68" t="str">
        <x:v>支持偏旺</x:v>
      </x:c>
      <x:c r="J29" s="68" t="str">
        <x:v>M08显示比劫与印星对应五行在多个独立节点形成同向扶身</x:v>
      </x:c>
      <x:c r="K29" s="68" t="str">
        <x:v>高</x:v>
      </x:c>
      <x:c r="L29" s="82" t="str">
        <x:v>强</x:v>
      </x:c>
      <x:c r="M29" s="68" t="str">
        <x:v>M08完成</x:v>
      </x:c>
      <x:c r="N29" s="68" t="str">
        <x:v>扶身节点真实有效且方向一致</x:v>
      </x:c>
      <x:c r="O29" s="68" t="str">
        <x:v>比劫透根、印源连续、地支有承载</x:v>
      </x:c>
      <x:c r="P29" s="68" t="str">
        <x:v>扶身五行虽多但弱、被合制或无根</x:v>
      </x:c>
      <x:c r="Q29" s="90" t="str">
        <x:v>禁止用“印比数量多”直接替代得势</x:v>
      </x:c>
      <x:c r="R29" s="68" t="str">
        <x:v>从旺专旺转M14</x:v>
      </x:c>
      <x:c r="S29" s="68" t="str">
        <x:v>若负荷侧更强，印比成群也未必足以定旺</x:v>
      </x:c>
      <x:c r="T29" s="82" t="str">
        <x:v>否</x:v>
      </x:c>
      <x:c r="U29" s="82" t="str">
        <x:v>旺</x:v>
      </x:c>
      <x:c r="V29" s="84" t="str">
        <x:v>扶身成势</x:v>
      </x:c>
      <x:c r="W29" s="84" t="str">
        <x:v>有效印比在多个节点形成扶身集团，可判为得势的重要证据。</x:v>
      </x:c>
      <x:c r="X29" s="82" t="str">
        <x:v>较高</x:v>
      </x:c>
      <x:c r="Y29" s="82" t="str">
        <x:v>现代综合</x:v>
      </x:c>
      <x:c r="Z29" s="68" t="str">
        <x:v>得势强调全局扶身集团的有效方向与稳定性，数量需经过根气、透达、作用通路和证据容量修正。</x:v>
      </x:c>
      <x:c r="AA29" s="68" t="str">
        <x:v>正例：当“M08显示比劫与印星对应五行在多个独立节点形成同向扶身”真实成立，且必要条件与增强条件同向时，按“得势以有效印比形成扶身集团为核心”记录对应旺衰证据。</x:v>
      </x:c>
      <x:c r="AB29" s="90" t="str">
        <x:v>反例：只有表面条件，但出现“禁止用“印比数量多”直接替代得势”或关键有效性未成立时，不得套用本规则。</x:v>
      </x:c>
      <x:c r="AC29" s="68" t="str">
        <x:v>https://zh.wikisource.org/wiki/%E6%B7%B5%E6%B5%B7%E5%AD%90%E5%B9%B3%E5%A4%A7%E5%85%A8 ; https://zh.wikisource.org/wiki/%E6%BB%B4%E5%A4%A9%E9%AB%93%E9%97%A1%E5%BE%AE</x:v>
      </x:c>
      <x:c r="AD29" s="82" t="str">
        <x:v>采用</x:v>
      </x:c>
      <x:c r="AE29" s="82" t="str">
        <x:v>初审</x:v>
      </x:c>
      <x:c r="AF29" s="87" t="n">
        <x:v>46255</x:v>
      </x:c>
    </x:row>
    <x:row r="30">
      <x:c r="A30" s="72" t="str">
        <x:f>IF(OR(C30="",D30=""),"",B30&amp;"-"&amp;UPPER(C30)&amp;"-"&amp;TEXT(D30,"0000")&amp;"-"&amp;E30)</x:f>
        <x:v>M09-SHI-0024-V1.0</x:v>
      </x:c>
      <x:c r="B30" s="74" t="str">
        <x:v>M09</x:v>
      </x:c>
      <x:c r="C30" s="74" t="str">
        <x:v>SHI</x:v>
      </x:c>
      <x:c r="D30" s="79" t="n">
        <x:v>24</x:v>
      </x:c>
      <x:c r="E30" s="74" t="str">
        <x:v>V1.0</x:v>
      </x:c>
      <x:c r="F30" s="68" t="str">
        <x:v>比劫有效成群比孤立浮干更能构成得势</x:v>
      </x:c>
      <x:c r="G30" s="82" t="str">
        <x:v>综合层</x:v>
      </x:c>
      <x:c r="H30" s="68" t="str">
        <x:v>得势</x:v>
      </x:c>
      <x:c r="I30" s="68" t="str">
        <x:v>支持偏旺</x:v>
      </x:c>
      <x:c r="J30" s="68" t="str">
        <x:v>多个比劫有效且至少部分通根</x:v>
      </x:c>
      <x:c r="K30" s="68" t="str">
        <x:v>高</x:v>
      </x:c>
      <x:c r="L30" s="82" t="str">
        <x:v>强</x:v>
      </x:c>
      <x:c r="M30" s="68" t="str">
        <x:v>M08完成</x:v>
      </x:c>
      <x:c r="N30" s="68" t="str">
        <x:v>比劫均可调用</x:v>
      </x:c>
      <x:c r="O30" s="68" t="str">
        <x:v>得令、多根、支干呼应</x:v>
      </x:c>
      <x:c r="P30" s="68" t="str">
        <x:v>比劫多数浮弱、无根或受制</x:v>
      </x:c>
      <x:c r="Q30" s="90" t="str">
        <x:v>不得按比劫个数机械计分</x:v>
      </x:c>
      <x:c r="R30" s="68" t="str">
        <x:v>比劫作用于财等功能转M10/M11</x:v>
      </x:c>
      <x:c r="S30" s="68" t="str">
        <x:v>有效比劫集团可直接提高日主同类力量</x:v>
      </x:c>
      <x:c r="T30" s="82" t="str">
        <x:v>否</x:v>
      </x:c>
      <x:c r="U30" s="82" t="str">
        <x:v>旺</x:v>
      </x:c>
      <x:c r="V30" s="84" t="str">
        <x:v>比劫得势</x:v>
      </x:c>
      <x:c r="W30" s="84" t="str">
        <x:v>比劫有效成群且有根，构成日主得势的强证据。</x:v>
      </x:c>
      <x:c r="X30" s="82" t="str">
        <x:v>较高</x:v>
      </x:c>
      <x:c r="Y30" s="82" t="str">
        <x:v>现代综合</x:v>
      </x:c>
      <x:c r="Z30" s="68" t="str">
        <x:v>得势强调全局扶身集团的有效方向与稳定性，数量需经过根气、透达、作用通路和证据容量修正。</x:v>
      </x:c>
      <x:c r="AA30" s="68" t="str">
        <x:v>正例：当“多个比劫有效且至少部分通根”真实成立，且必要条件与增强条件同向时，按“比劫有效成群比孤立浮干更能构成得势”记录对应旺衰证据。</x:v>
      </x:c>
      <x:c r="AB30" s="90" t="str">
        <x:v>反例：只有表面条件，但出现“不得按比劫个数机械计分”或关键有效性未成立时，不得套用本规则。</x:v>
      </x:c>
      <x:c r="AC30" s="68" t="str">
        <x:v>https://zh.wikisource.org/wiki/%E6%B7%B5%E6%B5%B7%E5%AD%90%E5%B9%B3%E5%A4%A7%E5%85%A8 ; https://zh.wikisource.org/wiki/%E6%BB%B4%E5%A4%A9%E9%AB%93%E9%97%A1%E5%BE%AE</x:v>
      </x:c>
      <x:c r="AD30" s="82" t="str">
        <x:v>采用</x:v>
      </x:c>
      <x:c r="AE30" s="82" t="str">
        <x:v>初审</x:v>
      </x:c>
      <x:c r="AF30" s="87" t="n">
        <x:v>46255</x:v>
      </x:c>
    </x:row>
    <x:row r="31">
      <x:c r="A31" s="72" t="str">
        <x:f>IF(OR(C31="",D31=""),"",B31&amp;"-"&amp;UPPER(C31)&amp;"-"&amp;TEXT(D31,"0000")&amp;"-"&amp;E31)</x:f>
        <x:v>M09-SHI-0025-V1.0</x:v>
      </x:c>
      <x:c r="B31" s="74" t="str">
        <x:v>M09</x:v>
      </x:c>
      <x:c r="C31" s="74" t="str">
        <x:v>SHI</x:v>
      </x:c>
      <x:c r="D31" s="79" t="n">
        <x:v>25</x:v>
      </x:c>
      <x:c r="E31" s="74" t="str">
        <x:v>V1.0</x:v>
      </x:c>
      <x:c r="F31" s="68" t="str">
        <x:v>印星成势属于得生与得势的共享证据需去重</x:v>
      </x:c>
      <x:c r="G31" s="82" t="str">
        <x:v>综合层</x:v>
      </x:c>
      <x:c r="H31" s="68" t="str">
        <x:v>得势</x:v>
      </x:c>
      <x:c r="I31" s="68" t="str">
        <x:v>证据去重</x:v>
      </x:c>
      <x:c r="J31" s="68" t="str">
        <x:v>多个有效印星既作为生源又构成扶身集团</x:v>
      </x:c>
      <x:c r="K31" s="68" t="str">
        <x:v>高</x:v>
      </x:c>
      <x:c r="L31" s="82" t="str">
        <x:v>中</x:v>
      </x:c>
      <x:c r="M31" s="68" t="str">
        <x:v>M08完成</x:v>
      </x:c>
      <x:c r="N31" s="68" t="str">
        <x:v>印星确实形成同向扶身</x:v>
      </x:c>
      <x:c r="O31" s="68" t="str">
        <x:v>另有独立比劫或根位</x:v>
      </x:c>
      <x:c r="P31" s="68" t="str">
        <x:v>印被财破、合绊或生身通路阻断</x:v>
      </x:c>
      <x:c r="Q31" s="90" t="str">
        <x:v>禁止同一批印星同时在得生和得势中重复全额累加</x:v>
      </x:c>
      <x:c r="R31" s="68" t="str">
        <x:v>可分别保留解释标签</x:v>
      </x:c>
      <x:c r="S31" s="68" t="str">
        <x:v>新增独立节点才增加证据容量</x:v>
      </x:c>
      <x:c r="T31" s="82" t="str">
        <x:v>是</x:v>
      </x:c>
      <x:c r="U31" s="82" t="str">
        <x:v>中和偏旺</x:v>
      </x:c>
      <x:c r="V31" s="84" t="str">
        <x:v>印势去重</x:v>
      </x:c>
      <x:c r="W31" s="84" t="str">
        <x:v>印星成势可同时解释为得生与得势，但同源证据必须去重。</x:v>
      </x:c>
      <x:c r="X31" s="82" t="str">
        <x:v>较高</x:v>
      </x:c>
      <x:c r="Y31" s="82" t="str">
        <x:v>现代综合</x:v>
      </x:c>
      <x:c r="Z31" s="68" t="str">
        <x:v>得势强调全局扶身集团的有效方向与稳定性，数量需经过根气、透达、作用通路和证据容量修正。</x:v>
      </x:c>
      <x:c r="AA31" s="68" t="str">
        <x:v>正例：当“多个有效印星既作为生源又构成扶身集团”真实成立，且必要条件与增强条件同向时，按“印星成势属于得生与得势的共享证据需去重”记录对应旺衰证据。</x:v>
      </x:c>
      <x:c r="AB31" s="90" t="str">
        <x:v>反例：只有表面条件，但出现“禁止同一批印星同时在得生和得势中重复全额累加”或关键有效性未成立时，不得套用本规则。</x:v>
      </x:c>
      <x:c r="AC31" s="68" t="str">
        <x:v>https://zh.wikisource.org/wiki/%E6%B7%B5%E6%B5%B7%E5%AD%90%E5%B9%B3%E5%A4%A7%E5%85%A8 ; https://zh.wikisource.org/wiki/%E6%BB%B4%E5%A4%A9%E9%AB%93%E9%97%A1%E5%BE%AE</x:v>
      </x:c>
      <x:c r="AD31" s="82" t="str">
        <x:v>采用</x:v>
      </x:c>
      <x:c r="AE31" s="82" t="str">
        <x:v>初审</x:v>
      </x:c>
      <x:c r="AF31" s="87" t="n">
        <x:v>46255</x:v>
      </x:c>
    </x:row>
    <x:row r="32">
      <x:c r="A32" s="72" t="str">
        <x:f>IF(OR(C32="",D32=""),"",B32&amp;"-"&amp;UPPER(C32)&amp;"-"&amp;TEXT(D32,"0000")&amp;"-"&amp;E32)</x:f>
        <x:v>M09-SHI-0026-V1.0</x:v>
      </x:c>
      <x:c r="B32" s="74" t="str">
        <x:v>M09</x:v>
      </x:c>
      <x:c r="C32" s="74" t="str">
        <x:v>SHI</x:v>
      </x:c>
      <x:c r="D32" s="79" t="n">
        <x:v>26</x:v>
      </x:c>
      <x:c r="E32" s="74" t="str">
        <x:v>V1.0</x:v>
      </x:c>
      <x:c r="F32" s="68" t="str">
        <x:v>数量优势必须经过质量筛选后才能形成势</x:v>
      </x:c>
      <x:c r="G32" s="82" t="str">
        <x:v>综合层</x:v>
      </x:c>
      <x:c r="H32" s="68" t="str">
        <x:v>得势</x:v>
      </x:c>
      <x:c r="I32" s="68" t="str">
        <x:v>条件性支持偏旺</x:v>
      </x:c>
      <x:c r="J32" s="68" t="str">
        <x:v>同类或印星数量较多</x:v>
      </x:c>
      <x:c r="K32" s="68" t="str">
        <x:v>中</x:v>
      </x:c>
      <x:c r="L32" s="82" t="str">
        <x:v>中</x:v>
      </x:c>
      <x:c r="M32" s="68" t="str">
        <x:v>M08完成</x:v>
      </x:c>
      <x:c r="N32" s="68" t="str">
        <x:v>多数节点具有有效力量</x:v>
      </x:c>
      <x:c r="O32" s="68" t="str">
        <x:v>得令、通根、透达</x:v>
      </x:c>
      <x:c r="P32" s="68" t="str">
        <x:v>多数节点微弱、受制或共享同一来源</x:v>
      </x:c>
      <x:c r="Q32" s="90" t="str">
        <x:v>禁止数量多数直接判得势</x:v>
      </x:c>
      <x:c r="R32" s="68" t="str">
        <x:v>特殊格局另审</x:v>
      </x:c>
      <x:c r="S32" s="68" t="str">
        <x:v>三个弱浮干可能不如一处强根加有力印源</x:v>
      </x:c>
      <x:c r="T32" s="82" t="str">
        <x:v>否</x:v>
      </x:c>
      <x:c r="U32" s="82" t="str">
        <x:v>中和偏旺</x:v>
      </x:c>
      <x:c r="V32" s="84" t="str">
        <x:v>数量质量分离</x:v>
      </x:c>
      <x:c r="W32" s="84" t="str">
        <x:v>扶身元素数量多只是候选；只有有效力量和方向一致时才构成得势。</x:v>
      </x:c>
      <x:c r="X32" s="82" t="str">
        <x:v>较高</x:v>
      </x:c>
      <x:c r="Y32" s="82" t="str">
        <x:v>现代综合</x:v>
      </x:c>
      <x:c r="Z32" s="68" t="str">
        <x:v>得势强调全局扶身集团的有效方向与稳定性，数量需经过根气、透达、作用通路和证据容量修正。</x:v>
      </x:c>
      <x:c r="AA32" s="68" t="str">
        <x:v>正例：当“同类或印星数量较多”真实成立，且必要条件与增强条件同向时，按“数量优势必须经过质量筛选后才能形成势”记录对应旺衰证据。</x:v>
      </x:c>
      <x:c r="AB32" s="90" t="str">
        <x:v>反例：只有表面条件，但出现“禁止数量多数直接判得势”或关键有效性未成立时，不得套用本规则。</x:v>
      </x:c>
      <x:c r="AC32" s="68" t="str">
        <x:v>https://zh.wikisource.org/wiki/%E6%B7%B5%E6%B5%B7%E5%AD%90%E5%B9%B3%E5%A4%A7%E5%85%A8 ; https://zh.wikisource.org/wiki/%E6%BB%B4%E5%A4%A9%E9%AB%93%E9%97%A1%E5%BE%AE</x:v>
      </x:c>
      <x:c r="AD32" s="82" t="str">
        <x:v>采用</x:v>
      </x:c>
      <x:c r="AE32" s="82" t="str">
        <x:v>初审</x:v>
      </x:c>
      <x:c r="AF32" s="87" t="n">
        <x:v>46255</x:v>
      </x:c>
    </x:row>
    <x:row r="33">
      <x:c r="A33" s="72" t="str">
        <x:f>IF(OR(C33="",D33=""),"",B33&amp;"-"&amp;UPPER(C33)&amp;"-"&amp;TEXT(D33,"0000")&amp;"-"&amp;E33)</x:f>
        <x:v>M09-SHI-0027-V1.0</x:v>
      </x:c>
      <x:c r="B33" s="74" t="str">
        <x:v>M09</x:v>
      </x:c>
      <x:c r="C33" s="74" t="str">
        <x:v>SHI</x:v>
      </x:c>
      <x:c r="D33" s="79" t="n">
        <x:v>27</x:v>
      </x:c>
      <x:c r="E33" s="74" t="str">
        <x:v>V1.0</x:v>
      </x:c>
      <x:c r="F33" s="68" t="str">
        <x:v>扶身节点覆盖天干地支通常比单层聚集更稳定</x:v>
      </x:c>
      <x:c r="G33" s="82" t="str">
        <x:v>综合层</x:v>
      </x:c>
      <x:c r="H33" s="68" t="str">
        <x:v>得势</x:v>
      </x:c>
      <x:c r="I33" s="68" t="str">
        <x:v>支持偏旺</x:v>
      </x:c>
      <x:c r="J33" s="68" t="str">
        <x:v>有效印比同时分布于天干与地支</x:v>
      </x:c>
      <x:c r="K33" s="68" t="str">
        <x:v>中高</x:v>
      </x:c>
      <x:c r="L33" s="82" t="str">
        <x:v>中</x:v>
      </x:c>
      <x:c r="M33" s="68" t="str">
        <x:v>M08完成</x:v>
      </x:c>
      <x:c r="N33" s="68" t="str">
        <x:v>干支均有可调用节点</x:v>
      </x:c>
      <x:c r="O33" s="68" t="str">
        <x:v>根透相应、位置连续</x:v>
      </x:c>
      <x:c r="P33" s="68" t="str">
        <x:v>一层被合化或另一层全浮弱</x:v>
      </x:c>
      <x:c r="Q33" s="90" t="str">
        <x:v>禁止设定固定位置倍数</x:v>
      </x:c>
      <x:c r="R33" s="68" t="str">
        <x:v>位置权重需案例验证</x:v>
      </x:c>
      <x:c r="S33" s="68" t="str">
        <x:v>干支呼应有助于提高支持稳定性</x:v>
      </x:c>
      <x:c r="T33" s="82" t="str">
        <x:v>否</x:v>
      </x:c>
      <x:c r="U33" s="82" t="str">
        <x:v>中和偏旺</x:v>
      </x:c>
      <x:c r="V33" s="84" t="str">
        <x:v>干支扶身覆盖</x:v>
      </x:c>
      <x:c r="W33" s="84" t="str">
        <x:v>扶身力量同时落在干支，通常比单层孤立聚集更稳定。</x:v>
      </x:c>
      <x:c r="X33" s="82" t="str">
        <x:v>中等</x:v>
      </x:c>
      <x:c r="Y33" s="82" t="str">
        <x:v>现代综合</x:v>
      </x:c>
      <x:c r="Z33" s="68" t="str">
        <x:v>作为稳定性证据而非固定加分项。</x:v>
      </x:c>
      <x:c r="AA33" s="68" t="str">
        <x:v>正例：当“有效印比同时分布于天干与地支”真实成立，且必要条件与增强条件同向时，按“扶身节点覆盖天干地支通常比单层聚集更稳定”记录对应旺衰证据。</x:v>
      </x:c>
      <x:c r="AB33" s="90" t="str">
        <x:v>反例：只有表面条件，但出现“禁止设定固定位置倍数”或关键有效性未成立时，不得套用本规则。</x:v>
      </x:c>
      <x:c r="AC33" s="68" t="str">
        <x:v>https://zh.wikisource.org/wiki/%E6%B7%B5%E6%B5%B7%E5%AD%90%E5%B9%B3%E5%A4%A7%E5%85%A8 ; https://zh.wikisource.org/wiki/%E6%BB%B4%E5%A4%A9%E9%AB%93%E9%97%A1%E5%BE%AE</x:v>
      </x:c>
      <x:c r="AD33" s="82" t="str">
        <x:v>待验证</x:v>
      </x:c>
      <x:c r="AE33" s="82" t="str">
        <x:v>初审</x:v>
      </x:c>
      <x:c r="AF33" s="87" t="n">
        <x:v>46255</x:v>
      </x:c>
    </x:row>
    <x:row r="34">
      <x:c r="A34" s="72" t="str">
        <x:f>IF(OR(C34="",D34=""),"",B34&amp;"-"&amp;UPPER(C34)&amp;"-"&amp;TEXT(D34,"0000")&amp;"-"&amp;E34)</x:f>
        <x:v>M09-SHI-0028-V1.0</x:v>
      </x:c>
      <x:c r="B34" s="74" t="str">
        <x:v>M09</x:v>
      </x:c>
      <x:c r="C34" s="74" t="str">
        <x:v>SHI</x:v>
      </x:c>
      <x:c r="D34" s="79" t="n">
        <x:v>28</x:v>
      </x:c>
      <x:c r="E34" s="74" t="str">
        <x:v>V1.0</x:v>
      </x:c>
      <x:c r="F34" s="68" t="str">
        <x:v>扶身集团内部生扶链通畅可提高得势有效性</x:v>
      </x:c>
      <x:c r="G34" s="82" t="str">
        <x:v>综合层</x:v>
      </x:c>
      <x:c r="H34" s="68" t="str">
        <x:v>得势</x:v>
      </x:c>
      <x:c r="I34" s="68" t="str">
        <x:v>支持偏旺</x:v>
      </x:c>
      <x:c r="J34" s="68" t="str">
        <x:v>印→日主/比劫的生扶路径在M08中有效</x:v>
      </x:c>
      <x:c r="K34" s="68" t="str">
        <x:v>中高</x:v>
      </x:c>
      <x:c r="L34" s="82" t="str">
        <x:v>中</x:v>
      </x:c>
      <x:c r="M34" s="68" t="str">
        <x:v>M08完成</x:v>
      </x:c>
      <x:c r="N34" s="68" t="str">
        <x:v>生扶链连续且中间节点可用</x:v>
      </x:c>
      <x:c r="O34" s="68" t="str">
        <x:v>印根强、日主有根承载</x:v>
      </x:c>
      <x:c r="P34" s="68" t="str">
        <x:v>链条过长、桥弱或受阻</x:v>
      </x:c>
      <x:c r="Q34" s="90" t="str">
        <x:v>禁止跨越缺失五行直接相生</x:v>
      </x:c>
      <x:c r="R34" s="68" t="str">
        <x:v>复杂流通转M12</x:v>
      </x:c>
      <x:c r="S34" s="68" t="str">
        <x:v>路径通畅使扶身集团更能转化为日主可用力量</x:v>
      </x:c>
      <x:c r="T34" s="82" t="str">
        <x:v>否</x:v>
      </x:c>
      <x:c r="U34" s="82" t="str">
        <x:v>中和偏旺</x:v>
      </x:c>
      <x:c r="V34" s="84" t="str">
        <x:v>扶身链有效</x:v>
      </x:c>
      <x:c r="W34" s="84" t="str">
        <x:v>扶身集团内部生扶通畅，得势证据上调。</x:v>
      </x:c>
      <x:c r="X34" s="82" t="str">
        <x:v>较高</x:v>
      </x:c>
      <x:c r="Y34" s="82" t="str">
        <x:v>现代综合</x:v>
      </x:c>
      <x:c r="Z34" s="68" t="str">
        <x:v>得势强调全局扶身集团的有效方向与稳定性，数量需经过根气、透达、作用通路和证据容量修正。</x:v>
      </x:c>
      <x:c r="AA34" s="68" t="str">
        <x:v>正例：当“印→日主/比劫的生扶路径在M08中有效”真实成立，且必要条件与增强条件同向时，按“扶身集团内部生扶链通畅可提高得势有效性”记录对应旺衰证据。</x:v>
      </x:c>
      <x:c r="AB34" s="90" t="str">
        <x:v>反例：只有表面条件，但出现“禁止跨越缺失五行直接相生”或关键有效性未成立时，不得套用本规则。</x:v>
      </x:c>
      <x:c r="AC34" s="68" t="str">
        <x:v>https://zh.wikisource.org/wiki/%E6%B7%B5%E6%B5%B7%E5%AD%90%E5%B9%B3%E5%A4%A7%E5%85%A8 ; https://zh.wikisource.org/wiki/%E6%BB%B4%E5%A4%A9%E9%AB%93%E9%97%A1%E5%BE%AE</x:v>
      </x:c>
      <x:c r="AD34" s="82" t="str">
        <x:v>采用</x:v>
      </x:c>
      <x:c r="AE34" s="82" t="str">
        <x:v>初审</x:v>
      </x:c>
      <x:c r="AF34" s="87" t="n">
        <x:v>46255</x:v>
      </x:c>
    </x:row>
    <x:row r="35">
      <x:c r="A35" s="72" t="str">
        <x:f>IF(OR(C35="",D35=""),"",B35&amp;"-"&amp;UPPER(C35)&amp;"-"&amp;TEXT(D35,"0000")&amp;"-"&amp;E35)</x:f>
        <x:v>M09-SHI-0029-V1.0</x:v>
      </x:c>
      <x:c r="B35" s="74" t="str">
        <x:v>M09</x:v>
      </x:c>
      <x:c r="C35" s="74" t="str">
        <x:v>SHI</x:v>
      </x:c>
      <x:c r="D35" s="79" t="n">
        <x:v>29</x:v>
      </x:c>
      <x:c r="E35" s="74" t="str">
        <x:v>V1.0</x:v>
      </x:c>
      <x:c r="F35" s="68" t="str">
        <x:v>扶身集团被强力分割时得势等级下调</x:v>
      </x:c>
      <x:c r="G35" s="82" t="str">
        <x:v>综合层</x:v>
      </x:c>
      <x:c r="H35" s="68" t="str">
        <x:v>得势</x:v>
      </x:c>
      <x:c r="I35" s="68" t="str">
        <x:v>支持偏弱</x:v>
      </x:c>
      <x:c r="J35" s="68" t="str">
        <x:v>印比虽多但被M08判大面积合绊、冲散、隔断或改性</x:v>
      </x:c>
      <x:c r="K35" s="68" t="str">
        <x:v>高</x:v>
      </x:c>
      <x:c r="L35" s="82" t="str">
        <x:v>强</x:v>
      </x:c>
      <x:c r="M35" s="68" t="str">
        <x:v>M08完成</x:v>
      </x:c>
      <x:c r="N35" s="68" t="str">
        <x:v>实际调用受限</x:v>
      </x:c>
      <x:c r="O35" s="68" t="str">
        <x:v>仍有独立强根与未受损扶身节点</x:v>
      </x:c>
      <x:c r="P35" s="68" t="str">
        <x:v>关系仅存在而效应轻微</x:v>
      </x:c>
      <x:c r="Q35" s="90" t="str">
        <x:v>禁止只看原始数量不看有效性</x:v>
      </x:c>
      <x:c r="R35" s="68" t="str">
        <x:v>M08争议效应降低置信度</x:v>
      </x:c>
      <x:c r="S35" s="68" t="str">
        <x:v>剩余有效节点越少，得势越难成立</x:v>
      </x:c>
      <x:c r="T35" s="82" t="str">
        <x:v>否</x:v>
      </x:c>
      <x:c r="U35" s="82" t="str">
        <x:v>中和</x:v>
      </x:c>
      <x:c r="V35" s="84" t="str">
        <x:v>得势受阻</x:v>
      </x:c>
      <x:c r="W35" s="84" t="str">
        <x:v>原局印比虽多，但有效扶身被分割或冻结，得势证据需下调。</x:v>
      </x:c>
      <x:c r="X35" s="82" t="str">
        <x:v>较高</x:v>
      </x:c>
      <x:c r="Y35" s="82" t="str">
        <x:v>现代综合</x:v>
      </x:c>
      <x:c r="Z35" s="68" t="str">
        <x:v>得势强调全局扶身集团的有效方向与稳定性，数量需经过根气、透达、作用通路和证据容量修正。</x:v>
      </x:c>
      <x:c r="AA35" s="68" t="str">
        <x:v>正例：当“印比虽多但被M08判大面积合绊、冲散、隔断或改性”真实成立，且必要条件与增强条件同向时，按“扶身集团被强力分割时得势等级下调”记录对应旺衰证据。</x:v>
      </x:c>
      <x:c r="AB35" s="90" t="str">
        <x:v>反例：只有表面条件，但出现“禁止只看原始数量不看有效性”或关键有效性未成立时，不得套用本规则。</x:v>
      </x:c>
      <x:c r="AC35" s="68" t="str">
        <x:v>https://zh.wikisource.org/wiki/%E6%B7%B5%E6%B5%B7%E5%AD%90%E5%B9%B3%E5%A4%A7%E5%85%A8 ; https://zh.wikisource.org/wiki/%E6%BB%B4%E5%A4%A9%E9%AB%93%E9%97%A1%E5%BE%AE</x:v>
      </x:c>
      <x:c r="AD35" s="82" t="str">
        <x:v>采用</x:v>
      </x:c>
      <x:c r="AE35" s="82" t="str">
        <x:v>初审</x:v>
      </x:c>
      <x:c r="AF35" s="87" t="n">
        <x:v>46255</x:v>
      </x:c>
    </x:row>
    <x:row r="36">
      <x:c r="A36" s="72" t="str">
        <x:f>IF(OR(C36="",D36=""),"",B36&amp;"-"&amp;UPPER(C36)&amp;"-"&amp;TEXT(D36,"0000")&amp;"-"&amp;E36)</x:f>
        <x:v>M09-SHI-0030-V1.0</x:v>
      </x:c>
      <x:c r="B36" s="74" t="str">
        <x:v>M09</x:v>
      </x:c>
      <x:c r="C36" s="74" t="str">
        <x:v>SHI</x:v>
      </x:c>
      <x:c r="D36" s="79" t="n">
        <x:v>30</x:v>
      </x:c>
      <x:c r="E36" s="74" t="str">
        <x:v>V1.0</x:v>
      </x:c>
      <x:c r="F36" s="68" t="str">
        <x:v>负荷侧形成更强集团可压过日主已有得势</x:v>
      </x:c>
      <x:c r="G36" s="82" t="str">
        <x:v>综合层</x:v>
      </x:c>
      <x:c r="H36" s="68" t="str">
        <x:v>得势</x:v>
      </x:c>
      <x:c r="I36" s="68" t="str">
        <x:v>支持偏弱</x:v>
      </x:c>
      <x:c r="J36" s="68" t="str">
        <x:v>日主有印比势，但官杀/食伤/财一侧形成更强有效合力</x:v>
      </x:c>
      <x:c r="K36" s="68" t="str">
        <x:v>高</x:v>
      </x:c>
      <x:c r="L36" s="82" t="str">
        <x:v>强</x:v>
      </x:c>
      <x:c r="M36" s="68" t="str">
        <x:v>M08完成</x:v>
      </x:c>
      <x:c r="N36" s="68" t="str">
        <x:v>比较的是有效力量而非数量</x:v>
      </x:c>
      <x:c r="O36" s="68" t="str">
        <x:v>扶身侧有强根与持续生源</x:v>
      </x:c>
      <x:c r="P36" s="68" t="str">
        <x:v>负荷侧被制化或无法作用日主</x:v>
      </x:c>
      <x:c r="Q36" s="90" t="str">
        <x:v>禁止看到印比成势便排除偏弱</x:v>
      </x:c>
      <x:c r="R36" s="68" t="str">
        <x:v>特殊格局转M14</x:v>
      </x:c>
      <x:c r="S36" s="68" t="str">
        <x:v>两侧都强时可能落在中和或向更强一侧偏移</x:v>
      </x:c>
      <x:c r="T36" s="82" t="str">
        <x:v>否</x:v>
      </x:c>
      <x:c r="U36" s="82" t="str">
        <x:v>中和</x:v>
      </x:c>
      <x:c r="V36" s="84" t="str">
        <x:v>双集团对比</x:v>
      </x:c>
      <x:c r="W36" s="84" t="str">
        <x:v>日主虽得势，但若制泄耗集团更强，旺衰仍可能回落至中和或偏弱。</x:v>
      </x:c>
      <x:c r="X36" s="82" t="str">
        <x:v>较高</x:v>
      </x:c>
      <x:c r="Y36" s="82" t="str">
        <x:v>现代综合</x:v>
      </x:c>
      <x:c r="Z36" s="68" t="str">
        <x:v>得势强调全局扶身集团的有效方向与稳定性，数量需经过根气、透达、作用通路和证据容量修正。</x:v>
      </x:c>
      <x:c r="AA36" s="68" t="str">
        <x:v>正例：当“日主有印比势，但官杀/食伤/财一侧形成更强有效合力”真实成立，且必要条件与增强条件同向时，按“负荷侧形成更强集团可压过日主已有得势”记录对应旺衰证据。</x:v>
      </x:c>
      <x:c r="AB36" s="90" t="str">
        <x:v>反例：只有表面条件，但出现“禁止看到印比成势便排除偏弱”或关键有效性未成立时，不得套用本规则。</x:v>
      </x:c>
      <x:c r="AC36" s="68" t="str">
        <x:v>https://zh.wikisource.org/wiki/%E6%B7%B5%E6%B5%B7%E5%AD%90%E5%B9%B3%E5%A4%A7%E5%85%A8 ; https://zh.wikisource.org/wiki/%E6%BB%B4%E5%A4%A9%E9%AB%93%E9%97%A1%E5%BE%AE</x:v>
      </x:c>
      <x:c r="AD36" s="82" t="str">
        <x:v>采用</x:v>
      </x:c>
      <x:c r="AE36" s="82" t="str">
        <x:v>初审</x:v>
      </x:c>
      <x:c r="AF36" s="87" t="n">
        <x:v>46255</x:v>
      </x:c>
    </x:row>
    <x:row r="37">
      <x:c r="A37" s="72" t="str">
        <x:f>IF(OR(C37="",D37=""),"",B37&amp;"-"&amp;UPPER(C37)&amp;"-"&amp;TEXT(D37,"0000")&amp;"-"&amp;E37)</x:f>
        <x:v>M09-SHI-0031-V1.0</x:v>
      </x:c>
      <x:c r="B37" s="74" t="str">
        <x:v>M09</x:v>
      </x:c>
      <x:c r="C37" s="74" t="str">
        <x:v>SHI</x:v>
      </x:c>
      <x:c r="D37" s="79" t="n">
        <x:v>31</x:v>
      </x:c>
      <x:c r="E37" s="74" t="str">
        <x:v>V1.0</x:v>
      </x:c>
      <x:c r="F37" s="68" t="str">
        <x:v>单一极强扶身节点可抵消多个弱反向节点</x:v>
      </x:c>
      <x:c r="G37" s="82" t="str">
        <x:v>综合层</x:v>
      </x:c>
      <x:c r="H37" s="68" t="str">
        <x:v>得势</x:v>
      </x:c>
      <x:c r="I37" s="68" t="str">
        <x:v>支持偏旺</x:v>
      </x:c>
      <x:c r="J37" s="68" t="str">
        <x:v>存在一个决定性有效根/印源，而反向节点多数微弱</x:v>
      </x:c>
      <x:c r="K37" s="68" t="str">
        <x:v>中高</x:v>
      </x:c>
      <x:c r="L37" s="82" t="str">
        <x:v>中</x:v>
      </x:c>
      <x:c r="M37" s="68" t="str">
        <x:v>M08完成</x:v>
      </x:c>
      <x:c r="N37" s="68" t="str">
        <x:v>强节点确有决定性承载</x:v>
      </x:c>
      <x:c r="O37" s="68" t="str">
        <x:v>另有同向支持</x:v>
      </x:c>
      <x:c r="P37" s="68" t="str">
        <x:v>反向节点中存在强势集团</x:v>
      </x:c>
      <x:c r="Q37" s="90" t="str">
        <x:v>禁止以节点数量多数决定胜负</x:v>
      </x:c>
      <x:c r="R37" s="68" t="str">
        <x:v>极端案例降低置信度</x:v>
      </x:c>
      <x:c r="S37" s="68" t="str">
        <x:v>证据质量高于简单计数</x:v>
      </x:c>
      <x:c r="T37" s="82" t="str">
        <x:v>否</x:v>
      </x:c>
      <x:c r="U37" s="82" t="str">
        <x:v>中和偏旺</x:v>
      </x:c>
      <x:c r="V37" s="84" t="str">
        <x:v>强证据优先</x:v>
      </x:c>
      <x:c r="W37" s="84" t="str">
        <x:v>一个决定性扶身节点可强于多个微弱反向节点，旺衰比较以有效质量为先。</x:v>
      </x:c>
      <x:c r="X37" s="82" t="str">
        <x:v>较高</x:v>
      </x:c>
      <x:c r="Y37" s="82" t="str">
        <x:v>现代综合</x:v>
      </x:c>
      <x:c r="Z37" s="68" t="str">
        <x:v>得势强调全局扶身集团的有效方向与稳定性，数量需经过根气、透达、作用通路和证据容量修正。</x:v>
      </x:c>
      <x:c r="AA37" s="68" t="str">
        <x:v>正例：当“存在一个决定性有效根/印源，而反向节点多数微弱”真实成立，且必要条件与增强条件同向时，按“单一极强扶身节点可抵消多个弱反向节点”记录对应旺衰证据。</x:v>
      </x:c>
      <x:c r="AB37" s="90" t="str">
        <x:v>反例：只有表面条件，但出现“禁止以节点数量多数决定胜负”或关键有效性未成立时，不得套用本规则。</x:v>
      </x:c>
      <x:c r="AC37" s="68" t="str">
        <x:v>https://zh.wikisource.org/wiki/%E6%B7%B5%E6%B5%B7%E5%AD%90%E5%B9%B3%E5%A4%A7%E5%85%A8 ; https://zh.wikisource.org/wiki/%E6%BB%B4%E5%A4%A9%E9%AB%93%E9%97%A1%E5%BE%AE</x:v>
      </x:c>
      <x:c r="AD37" s="82" t="str">
        <x:v>采用</x:v>
      </x:c>
      <x:c r="AE37" s="82" t="str">
        <x:v>初审</x:v>
      </x:c>
      <x:c r="AF37" s="87" t="n">
        <x:v>46255</x:v>
      </x:c>
    </x:row>
    <x:row r="38">
      <x:c r="A38" s="72" t="str">
        <x:f>IF(OR(C38="",D38=""),"",B38&amp;"-"&amp;UPPER(C38)&amp;"-"&amp;TEXT(D38,"0000")&amp;"-"&amp;E38)</x:f>
        <x:v>M09-SHI-0032-V1.0</x:v>
      </x:c>
      <x:c r="B38" s="74" t="str">
        <x:v>M09</x:v>
      </x:c>
      <x:c r="C38" s="74" t="str">
        <x:v>SHI</x:v>
      </x:c>
      <x:c r="D38" s="79" t="n">
        <x:v>32</x:v>
      </x:c>
      <x:c r="E38" s="74" t="str">
        <x:v>V1.0</x:v>
      </x:c>
      <x:c r="F38" s="68" t="str">
        <x:v>得势是全局方向概念而非单一十神数量标签</x:v>
      </x:c>
      <x:c r="G38" s="82" t="str">
        <x:v>综合层</x:v>
      </x:c>
      <x:c r="H38" s="68" t="str">
        <x:v>得势</x:v>
      </x:c>
      <x:c r="I38" s="68" t="str">
        <x:v>边界</x:v>
      </x:c>
      <x:c r="J38" s="68" t="str">
        <x:v>任何得势判断</x:v>
      </x:c>
      <x:c r="K38" s="68" t="str">
        <x:v>高</x:v>
      </x:c>
      <x:c r="L38" s="82" t="str">
        <x:v>决定性</x:v>
      </x:c>
      <x:c r="M38" s="68" t="str">
        <x:v>M08完成</x:v>
      </x:c>
      <x:c r="N38" s="68" t="str">
        <x:v>至少比较根、印、比与负荷侧</x:v>
      </x:c>
      <x:c r="O38" s="68" t="str">
        <x:v>多维扶身证据同向</x:v>
      </x:c>
      <x:c r="P38" s="68" t="str">
        <x:v>仅某一类十神数量多</x:v>
      </x:c>
      <x:c r="Q38" s="90" t="str">
        <x:v>禁止把“印多”或“比劫多”直接等同得势</x:v>
      </x:c>
      <x:c r="R38" s="68" t="str">
        <x:v>十神功能转M10</x:v>
      </x:c>
      <x:c r="S38" s="68" t="str">
        <x:v>得势应体现全局力量向日主集中</x:v>
      </x:c>
      <x:c r="T38" s="82" t="str">
        <x:v>否</x:v>
      </x:c>
      <x:c r="U38" s="82" t="str">
        <x:v>中和</x:v>
      </x:c>
      <x:c r="V38" s="84" t="str">
        <x:v>得势定义</x:v>
      </x:c>
      <x:c r="W38" s="84" t="str">
        <x:v>得势只在全局有效力量明显向日主集中时成立，不以单一十神数量代替。</x:v>
      </x:c>
      <x:c r="X38" s="82" t="str">
        <x:v>较高</x:v>
      </x:c>
      <x:c r="Y38" s="82" t="str">
        <x:v>现代综合</x:v>
      </x:c>
      <x:c r="Z38" s="68" t="str">
        <x:v>得势强调全局扶身集团的有效方向与稳定性，数量需经过根气、透达、作用通路和证据容量修正。</x:v>
      </x:c>
      <x:c r="AA38" s="68" t="str">
        <x:v>正例：当“任何得势判断”真实成立，且必要条件与增强条件同向时，按“得势是全局方向概念而非单一十神数量标签”记录对应旺衰证据。</x:v>
      </x:c>
      <x:c r="AB38" s="90" t="str">
        <x:v>反例：只有表面条件，但出现“禁止把“印多”或“比劫多”直接等同得势”或关键有效性未成立时，不得套用本规则。</x:v>
      </x:c>
      <x:c r="AC38" s="68" t="str">
        <x:v>https://zh.wikisource.org/wiki/%E6%B7%B5%E6%B5%B7%E5%AD%90%E5%B9%B3%E5%A4%A7%E5%85%A8 ; https://zh.wikisource.org/wiki/%E6%BB%B4%E5%A4%A9%E9%AB%93%E9%97%A1%E5%BE%AE</x:v>
      </x:c>
      <x:c r="AD38" s="82" t="str">
        <x:v>采用</x:v>
      </x:c>
      <x:c r="AE38" s="82" t="str">
        <x:v>初审</x:v>
      </x:c>
      <x:c r="AF38" s="87" t="n">
        <x:v>46255</x:v>
      </x:c>
    </x:row>
    <x:row r="39">
      <x:c r="A39" s="72" t="str">
        <x:f>IF(OR(C39="",D39=""),"",B39&amp;"-"&amp;UPPER(C39)&amp;"-"&amp;TEXT(D39,"0000")&amp;"-"&amp;E39)</x:f>
        <x:v>M09-SHENG-0033-V1.0</x:v>
      </x:c>
      <x:c r="B39" s="74" t="str">
        <x:v>M09</x:v>
      </x:c>
      <x:c r="C39" s="74" t="str">
        <x:v>SHENG</x:v>
      </x:c>
      <x:c r="D39" s="79" t="n">
        <x:v>33</x:v>
      </x:c>
      <x:c r="E39" s="74" t="str">
        <x:v>V1.0</x:v>
      </x:c>
      <x:c r="F39" s="68" t="str">
        <x:v>有效印星是日主得生的直接证据</x:v>
      </x:c>
      <x:c r="G39" s="82" t="str">
        <x:v>综合层</x:v>
      </x:c>
      <x:c r="H39" s="68" t="str">
        <x:v>得生</x:v>
      </x:c>
      <x:c r="I39" s="68" t="str">
        <x:v>支持偏旺</x:v>
      </x:c>
      <x:c r="J39" s="68" t="str">
        <x:v>M08确认生日主的五行具有有效力量并有作用通路</x:v>
      </x:c>
      <x:c r="K39" s="68" t="str">
        <x:v>高</x:v>
      </x:c>
      <x:c r="L39" s="82" t="str">
        <x:v>强</x:v>
      </x:c>
      <x:c r="M39" s="68" t="str">
        <x:v>M08完成</x:v>
      </x:c>
      <x:c r="N39" s="68" t="str">
        <x:v>生源自身有力且可到达日主</x:v>
      </x:c>
      <x:c r="O39" s="68" t="str">
        <x:v>生源得令、有根、透达</x:v>
      </x:c>
      <x:c r="P39" s="68" t="str">
        <x:v>生源无根、被制、被合绊或通路阻断</x:v>
      </x:c>
      <x:c r="Q39" s="90" t="str">
        <x:v>禁止印星一出现就按强生扶</x:v>
      </x:c>
      <x:c r="R39" s="68" t="str">
        <x:v>十神清纯度转M10</x:v>
      </x:c>
      <x:c r="S39" s="68" t="str">
        <x:v>有效印越强，日主获得的持续补给越明显</x:v>
      </x:c>
      <x:c r="T39" s="82" t="str">
        <x:v>否</x:v>
      </x:c>
      <x:c r="U39" s="82" t="str">
        <x:v>中和偏旺</x:v>
      </x:c>
      <x:c r="V39" s="84" t="str">
        <x:v>有效得生</x:v>
      </x:c>
      <x:c r="W39" s="84" t="str">
        <x:v>日主获得有效印星生扶，是偏强的重要证据。</x:v>
      </x:c>
      <x:c r="X39" s="82" t="str">
        <x:v>较高</x:v>
      </x:c>
      <x:c r="Y39" s="82" t="str">
        <x:v>现代综合</x:v>
      </x:c>
      <x:c r="Z39" s="68" t="str">
        <x:v>得生只计算能够实际到达日主的有效生源；生源自身力量、通路和承载上限共同限制支持强度。</x:v>
      </x:c>
      <x:c r="AA39" s="68" t="str">
        <x:v>正例：当“M08确认生日主的五行具有有效力量并有作用通路”真实成立，且必要条件与增强条件同向时，按“有效印星是日主得生的直接证据”记录对应旺衰证据。</x:v>
      </x:c>
      <x:c r="AB39" s="90" t="str">
        <x:v>反例：只有表面条件，但出现“禁止印星一出现就按强生扶”或关键有效性未成立时，不得套用本规则。</x:v>
      </x:c>
      <x:c r="AC39" s="68" t="str">
        <x:v>https://zh.wikisource.org/wiki/%E6%B7%B5%E6%B5%B7%E5%AD%90%E5%B9%B3%E5%A4%A7%E5%85%A8 ; https://zh.wikisource.org/wiki/%E6%BB%B4%E5%A4%A9%E9%AB%93%E9%97%A1%E5%BE%AE</x:v>
      </x:c>
      <x:c r="AD39" s="82" t="str">
        <x:v>采用</x:v>
      </x:c>
      <x:c r="AE39" s="82" t="str">
        <x:v>初审</x:v>
      </x:c>
      <x:c r="AF39" s="87" t="n">
        <x:v>46255</x:v>
      </x:c>
    </x:row>
    <x:row r="40">
      <x:c r="A40" s="72" t="str">
        <x:f>IF(OR(C40="",D40=""),"",B40&amp;"-"&amp;UPPER(C40)&amp;"-"&amp;TEXT(D40,"0000")&amp;"-"&amp;E40)</x:f>
        <x:v>M09-SHENG-0034-V1.0</x:v>
      </x:c>
      <x:c r="B40" s="74" t="str">
        <x:v>M09</x:v>
      </x:c>
      <x:c r="C40" s="74" t="str">
        <x:v>SHENG</x:v>
      </x:c>
      <x:c r="D40" s="79" t="n">
        <x:v>34</x:v>
      </x:c>
      <x:c r="E40" s="74" t="str">
        <x:v>V1.0</x:v>
      </x:c>
      <x:c r="F40" s="68" t="str">
        <x:v>印星旺但被财破或合绊时得生按有效性下调</x:v>
      </x:c>
      <x:c r="G40" s="82" t="str">
        <x:v>综合层</x:v>
      </x:c>
      <x:c r="H40" s="68" t="str">
        <x:v>得生</x:v>
      </x:c>
      <x:c r="I40" s="68" t="str">
        <x:v>支持偏弱</x:v>
      </x:c>
      <x:c r="J40" s="68" t="str">
        <x:v>原始印旺但M08显示其被强财克制、合绊或改性</x:v>
      </x:c>
      <x:c r="K40" s="68" t="str">
        <x:v>高</x:v>
      </x:c>
      <x:c r="L40" s="82" t="str">
        <x:v>强</x:v>
      </x:c>
      <x:c r="M40" s="68" t="str">
        <x:v>M08完成</x:v>
      </x:c>
      <x:c r="N40" s="68" t="str">
        <x:v>破坏效应已成立</x:v>
      </x:c>
      <x:c r="O40" s="68" t="str">
        <x:v>另有独立印源或救应</x:v>
      </x:c>
      <x:c r="P40" s="68" t="str">
        <x:v>关系仅存在未形成实质效应</x:v>
      </x:c>
      <x:c r="Q40" s="90" t="str">
        <x:v>禁止按原始印量满额计入</x:v>
      </x:c>
      <x:c r="R40" s="68" t="str">
        <x:v>制化组合转M11</x:v>
      </x:c>
      <x:c r="S40" s="68" t="str">
        <x:v>名义印旺不等于日主实际得生强</x:v>
      </x:c>
      <x:c r="T40" s="82" t="str">
        <x:v>否</x:v>
      </x:c>
      <x:c r="U40" s="82" t="str">
        <x:v>中和</x:v>
      </x:c>
      <x:c r="V40" s="84" t="str">
        <x:v>印源受损</x:v>
      </x:c>
      <x:c r="W40" s="84" t="str">
        <x:v>印星虽旺，但其生身通路受损；得生证据按M08有效水平计入。</x:v>
      </x:c>
      <x:c r="X40" s="82" t="str">
        <x:v>较高</x:v>
      </x:c>
      <x:c r="Y40" s="82" t="str">
        <x:v>现代综合</x:v>
      </x:c>
      <x:c r="Z40" s="68" t="str">
        <x:v>得生只计算能够实际到达日主的有效生源；生源自身力量、通路和承载上限共同限制支持强度。</x:v>
      </x:c>
      <x:c r="AA40" s="68" t="str">
        <x:v>正例：当“原始印旺但M08显示其被强财克制、合绊或改性”真实成立，且必要条件与增强条件同向时，按“印星旺但被财破或合绊时得生按有效性下调”记录对应旺衰证据。</x:v>
      </x:c>
      <x:c r="AB40" s="90" t="str">
        <x:v>反例：只有表面条件，但出现“禁止按原始印量满额计入”或关键有效性未成立时，不得套用本规则。</x:v>
      </x:c>
      <x:c r="AC40" s="68" t="str">
        <x:v>https://zh.wikisource.org/wiki/%E6%B7%B5%E6%B5%B7%E5%AD%90%E5%B9%B3%E5%A4%A7%E5%85%A8 ; https://zh.wikisource.org/wiki/%E6%BB%B4%E5%A4%A9%E9%AB%93%E9%97%A1%E5%BE%AE</x:v>
      </x:c>
      <x:c r="AD40" s="82" t="str">
        <x:v>采用</x:v>
      </x:c>
      <x:c r="AE40" s="82" t="str">
        <x:v>初审</x:v>
      </x:c>
      <x:c r="AF40" s="87" t="n">
        <x:v>46255</x:v>
      </x:c>
    </x:row>
    <x:row r="41">
      <x:c r="A41" s="72" t="str">
        <x:f>IF(OR(C41="",D41=""),"",B41&amp;"-"&amp;UPPER(C41)&amp;"-"&amp;TEXT(D41,"0000")&amp;"-"&amp;E41)</x:f>
        <x:v>M09-SHENG-0035-V1.0</x:v>
      </x:c>
      <x:c r="B41" s="74" t="str">
        <x:v>M09</x:v>
      </x:c>
      <x:c r="C41" s="74" t="str">
        <x:v>SHENG</x:v>
      </x:c>
      <x:c r="D41" s="79" t="n">
        <x:v>35</x:v>
      </x:c>
      <x:c r="E41" s="74" t="str">
        <x:v>V1.0</x:v>
      </x:c>
      <x:c r="F41" s="68" t="str">
        <x:v>无根日主即使得强印也需检查承载落点</x:v>
      </x:c>
      <x:c r="G41" s="82" t="str">
        <x:v>综合层</x:v>
      </x:c>
      <x:c r="H41" s="68" t="str">
        <x:v>得生</x:v>
      </x:c>
      <x:c r="I41" s="68" t="str">
        <x:v>条件性支持偏旺</x:v>
      </x:c>
      <x:c r="J41" s="68" t="str">
        <x:v>日主无有效根但有强印生身</x:v>
      </x:c>
      <x:c r="K41" s="68" t="str">
        <x:v>高</x:v>
      </x:c>
      <x:c r="L41" s="82" t="str">
        <x:v>中</x:v>
      </x:c>
      <x:c r="M41" s="68" t="str">
        <x:v>M08/M09得地证据已取得</x:v>
      </x:c>
      <x:c r="N41" s="68" t="str">
        <x:v>印源有效且日主至少有天干承载</x:v>
      </x:c>
      <x:c r="O41" s="68" t="str">
        <x:v>另有比劫或后续根气</x:v>
      </x:c>
      <x:c r="P41" s="68" t="str">
        <x:v>强泄耗制持续作用且无任何落脚点</x:v>
      </x:c>
      <x:c r="Q41" s="90" t="str">
        <x:v>禁止强印直接等同身旺</x:v>
      </x:c>
      <x:c r="R41" s="68" t="str">
        <x:v>从格候选另审</x:v>
      </x:c>
      <x:c r="S41" s="68" t="str">
        <x:v>强印可显著抬高日主，但无根会降低持续承载稳定性</x:v>
      </x:c>
      <x:c r="T41" s="82" t="str">
        <x:v>否</x:v>
      </x:c>
      <x:c r="U41" s="82" t="str">
        <x:v>中和</x:v>
      </x:c>
      <x:c r="V41" s="84" t="str">
        <x:v>强印无根边界</x:v>
      </x:c>
      <x:c r="W41" s="84" t="str">
        <x:v>日主无根但得强印，可获得明显生扶；是否偏旺仍取决于承载与负荷侧。</x:v>
      </x:c>
      <x:c r="X41" s="82" t="str">
        <x:v>较高</x:v>
      </x:c>
      <x:c r="Y41" s="82" t="str">
        <x:v>现代综合</x:v>
      </x:c>
      <x:c r="Z41" s="68" t="str">
        <x:v>得生只计算能够实际到达日主的有效生源；生源自身力量、通路和承载上限共同限制支持强度。</x:v>
      </x:c>
      <x:c r="AA41" s="68" t="str">
        <x:v>正例：当“日主无有效根但有强印生身”真实成立，且必要条件与增强条件同向时，按“无根日主即使得强印也需检查承载落点”记录对应旺衰证据。</x:v>
      </x:c>
      <x:c r="AB41" s="90" t="str">
        <x:v>反例：只有表面条件，但出现“禁止强印直接等同身旺”或关键有效性未成立时，不得套用本规则。</x:v>
      </x:c>
      <x:c r="AC41" s="68" t="str">
        <x:v>https://zh.wikisource.org/wiki/%E6%B7%B5%E6%B5%B7%E5%AD%90%E5%B9%B3%E5%A4%A7%E5%85%A8 ; https://zh.wikisource.org/wiki/%E6%BB%B4%E5%A4%A9%E9%AB%93%E9%97%A1%E5%BE%AE</x:v>
      </x:c>
      <x:c r="AD41" s="82" t="str">
        <x:v>采用</x:v>
      </x:c>
      <x:c r="AE41" s="82" t="str">
        <x:v>初审</x:v>
      </x:c>
      <x:c r="AF41" s="87" t="n">
        <x:v>46255</x:v>
      </x:c>
    </x:row>
    <x:row r="42">
      <x:c r="A42" s="72" t="str">
        <x:f>IF(OR(C42="",D42=""),"",B42&amp;"-"&amp;UPPER(C42)&amp;"-"&amp;TEXT(D42,"0000")&amp;"-"&amp;E42)</x:f>
        <x:v>M09-SHENG-0036-V1.0</x:v>
      </x:c>
      <x:c r="B42" s="74" t="str">
        <x:v>M09</x:v>
      </x:c>
      <x:c r="C42" s="74" t="str">
        <x:v>SHENG</x:v>
      </x:c>
      <x:c r="D42" s="79" t="n">
        <x:v>36</x:v>
      </x:c>
      <x:c r="E42" s="74" t="str">
        <x:v>V1.0</x:v>
      </x:c>
      <x:c r="F42" s="68" t="str">
        <x:v>多重独立印源可提高得生稳定性但边际递减</x:v>
      </x:c>
      <x:c r="G42" s="82" t="str">
        <x:v>综合层</x:v>
      </x:c>
      <x:c r="H42" s="68" t="str">
        <x:v>得生</x:v>
      </x:c>
      <x:c r="I42" s="68" t="str">
        <x:v>支持偏旺</x:v>
      </x:c>
      <x:c r="J42" s="68" t="str">
        <x:v>存在两个以上独立有效印源</x:v>
      </x:c>
      <x:c r="K42" s="68" t="str">
        <x:v>中高</x:v>
      </x:c>
      <x:c r="L42" s="82" t="str">
        <x:v>中</x:v>
      </x:c>
      <x:c r="M42" s="68" t="str">
        <x:v>M08完成</x:v>
      </x:c>
      <x:c r="N42" s="68" t="str">
        <x:v>印源彼此独立</x:v>
      </x:c>
      <x:c r="O42" s="68" t="str">
        <x:v>印源有根且生扶链短</x:v>
      </x:c>
      <x:c r="P42" s="68" t="str">
        <x:v>多个印源共享同一根或共同受制</x:v>
      </x:c>
      <x:c r="Q42" s="90" t="str">
        <x:v>禁止按印星数量线性叠加</x:v>
      </x:c>
      <x:c r="R42" s="68" t="str">
        <x:v>印过旺功能问题转M10/M11</x:v>
      </x:c>
      <x:c r="S42" s="68" t="str">
        <x:v>第二、第三印源主要增加稳定性而非无限增力</x:v>
      </x:c>
      <x:c r="T42" s="82" t="str">
        <x:v>否</x:v>
      </x:c>
      <x:c r="U42" s="82" t="str">
        <x:v>旺</x:v>
      </x:c>
      <x:c r="V42" s="84" t="str">
        <x:v>多印得生</x:v>
      </x:c>
      <x:c r="W42" s="84" t="str">
        <x:v>多重独立有效印源提高日主得生稳定性，但不线性累加。</x:v>
      </x:c>
      <x:c r="X42" s="82" t="str">
        <x:v>较高</x:v>
      </x:c>
      <x:c r="Y42" s="82" t="str">
        <x:v>现代综合</x:v>
      </x:c>
      <x:c r="Z42" s="68" t="str">
        <x:v>得生只计算能够实际到达日主的有效生源；生源自身力量、通路和承载上限共同限制支持强度。</x:v>
      </x:c>
      <x:c r="AA42" s="68" t="str">
        <x:v>正例：当“存在两个以上独立有效印源”真实成立，且必要条件与增强条件同向时，按“多重独立印源可提高得生稳定性但边际递减”记录对应旺衰证据。</x:v>
      </x:c>
      <x:c r="AB42" s="90" t="str">
        <x:v>反例：只有表面条件，但出现“禁止按印星数量线性叠加”或关键有效性未成立时，不得套用本规则。</x:v>
      </x:c>
      <x:c r="AC42" s="68" t="str">
        <x:v>https://zh.wikisource.org/wiki/%E6%B7%B5%E6%B5%B7%E5%AD%90%E5%B9%B3%E5%A4%A7%E5%85%A8 ; https://zh.wikisource.org/wiki/%E6%BB%B4%E5%A4%A9%E9%AB%93%E9%97%A1%E5%BE%AE</x:v>
      </x:c>
      <x:c r="AD42" s="82" t="str">
        <x:v>采用</x:v>
      </x:c>
      <x:c r="AE42" s="82" t="str">
        <x:v>初审</x:v>
      </x:c>
      <x:c r="AF42" s="87" t="n">
        <x:v>46255</x:v>
      </x:c>
    </x:row>
    <x:row r="43">
      <x:c r="A43" s="72" t="str">
        <x:f>IF(OR(C43="",D43=""),"",B43&amp;"-"&amp;UPPER(C43)&amp;"-"&amp;TEXT(D43,"0000")&amp;"-"&amp;E43)</x:f>
        <x:v>M09-SHENG-0037-V1.0</x:v>
      </x:c>
      <x:c r="B43" s="74" t="str">
        <x:v>M09</x:v>
      </x:c>
      <x:c r="C43" s="74" t="str">
        <x:v>SHENG</x:v>
      </x:c>
      <x:c r="D43" s="79" t="n">
        <x:v>37</x:v>
      </x:c>
      <x:c r="E43" s="74" t="str">
        <x:v>V1.0</x:v>
      </x:c>
      <x:c r="F43" s="68" t="str">
        <x:v>生源力量上限限制日主得生等级</x:v>
      </x:c>
      <x:c r="G43" s="82" t="str">
        <x:v>综合层</x:v>
      </x:c>
      <x:c r="H43" s="68" t="str">
        <x:v>得生</x:v>
      </x:c>
      <x:c r="I43" s="68" t="str">
        <x:v>边界</x:v>
      </x:c>
      <x:c r="J43" s="68" t="str">
        <x:v>日主存在生源</x:v>
      </x:c>
      <x:c r="K43" s="68" t="str">
        <x:v>中高</x:v>
      </x:c>
      <x:c r="L43" s="82" t="str">
        <x:v>中</x:v>
      </x:c>
      <x:c r="M43" s="68" t="str">
        <x:v>M08完成</x:v>
      </x:c>
      <x:c r="N43" s="68" t="str">
        <x:v>生源自身有效旺衰已知</x:v>
      </x:c>
      <x:c r="O43" s="68" t="str">
        <x:v>生源强且通根</x:v>
      </x:c>
      <x:c r="P43" s="68" t="str">
        <x:v>生源极弱或无根</x:v>
      </x:c>
      <x:c r="Q43" s="90" t="str">
        <x:v>禁止弱生源提供超过自身能力的强扶持</x:v>
      </x:c>
      <x:c r="R43" s="68" t="str">
        <x:v>多个独立生源可合并</x:v>
      </x:c>
      <x:c r="S43" s="68" t="str">
        <x:v>生源弱时即使位置相邻也只能形成低等级支持</x:v>
      </x:c>
      <x:c r="T43" s="82" t="str">
        <x:v>是</x:v>
      </x:c>
      <x:c r="U43" s="82" t="str">
        <x:v>中和</x:v>
      </x:c>
      <x:c r="V43" s="84" t="str">
        <x:v>生源容量</x:v>
      </x:c>
      <x:c r="W43" s="84" t="str">
        <x:v>日主得生强度不能高于生源自身可提供的有效能力。</x:v>
      </x:c>
      <x:c r="X43" s="82" t="str">
        <x:v>较高</x:v>
      </x:c>
      <x:c r="Y43" s="82" t="str">
        <x:v>现代综合</x:v>
      </x:c>
      <x:c r="Z43" s="68" t="str">
        <x:v>得生只计算能够实际到达日主的有效生源；生源自身力量、通路和承载上限共同限制支持强度。</x:v>
      </x:c>
      <x:c r="AA43" s="68" t="str">
        <x:v>正例：当“日主存在生源”真实成立，且必要条件与增强条件同向时，按“生源力量上限限制日主得生等级”记录对应旺衰证据。</x:v>
      </x:c>
      <x:c r="AB43" s="90" t="str">
        <x:v>反例：只有表面条件，但出现“禁止弱生源提供超过自身能力的强扶持”或关键有效性未成立时，不得套用本规则。</x:v>
      </x:c>
      <x:c r="AC43" s="68" t="str">
        <x:v>https://zh.wikisource.org/wiki/%E6%B7%B5%E6%B5%B7%E5%AD%90%E5%B9%B3%E5%A4%A7%E5%85%A8 ; https://zh.wikisource.org/wiki/%E6%BB%B4%E5%A4%A9%E9%AB%93%E9%97%A1%E5%BE%AE</x:v>
      </x:c>
      <x:c r="AD43" s="82" t="str">
        <x:v>采用</x:v>
      </x:c>
      <x:c r="AE43" s="82" t="str">
        <x:v>初审</x:v>
      </x:c>
      <x:c r="AF43" s="87" t="n">
        <x:v>46255</x:v>
      </x:c>
    </x:row>
    <x:row r="44">
      <x:c r="A44" s="72" t="str">
        <x:f>IF(OR(C44="",D44=""),"",B44&amp;"-"&amp;UPPER(C44)&amp;"-"&amp;TEXT(D44,"0000")&amp;"-"&amp;E44)</x:f>
        <x:v>M09-SHENG-0038-V1.0</x:v>
      </x:c>
      <x:c r="B44" s="74" t="str">
        <x:v>M09</x:v>
      </x:c>
      <x:c r="C44" s="74" t="str">
        <x:v>SHENG</x:v>
      </x:c>
      <x:c r="D44" s="79" t="n">
        <x:v>38</x:v>
      </x:c>
      <x:c r="E44" s="74" t="str">
        <x:v>V1.0</x:v>
      </x:c>
      <x:c r="F44" s="68" t="str">
        <x:v>长生扶链的末端支持应低于直接生扶</x:v>
      </x:c>
      <x:c r="G44" s="82" t="str">
        <x:v>综合层</x:v>
      </x:c>
      <x:c r="H44" s="68" t="str">
        <x:v>得生</x:v>
      </x:c>
      <x:c r="I44" s="68" t="str">
        <x:v>支持偏旺</x:v>
      </x:c>
      <x:c r="J44" s="68" t="str">
        <x:v>生扶需经过两段以上五行链条到达日主</x:v>
      </x:c>
      <x:c r="K44" s="68" t="str">
        <x:v>中</x:v>
      </x:c>
      <x:c r="L44" s="82" t="str">
        <x:v>中</x:v>
      </x:c>
      <x:c r="M44" s="68" t="str">
        <x:v>M08完成</x:v>
      </x:c>
      <x:c r="N44" s="68" t="str">
        <x:v>中间桥梁均有效</x:v>
      </x:c>
      <x:c r="O44" s="68" t="str">
        <x:v>链条短、桥强、连续</x:v>
      </x:c>
      <x:c r="P44" s="68" t="str">
        <x:v>桥弱、缺桥、被克或过度分流</x:v>
      </x:c>
      <x:c r="Q44" s="90" t="str">
        <x:v>禁止跨级或等量传递</x:v>
      </x:c>
      <x:c r="R44" s="68" t="str">
        <x:v>完整流通转M12</x:v>
      </x:c>
      <x:c r="S44" s="68" t="str">
        <x:v>链越长末端支持通常越衰减</x:v>
      </x:c>
      <x:c r="T44" s="82" t="str">
        <x:v>否</x:v>
      </x:c>
      <x:c r="U44" s="82" t="str">
        <x:v>中和偏旺</x:v>
      </x:c>
      <x:c r="V44" s="84" t="str">
        <x:v>链式得生</x:v>
      </x:c>
      <x:c r="W44" s="84" t="str">
        <x:v>日主通过连续生扶链获益，但末端支持低于同等条件下的直接生扶。</x:v>
      </x:c>
      <x:c r="X44" s="82" t="str">
        <x:v>中等</x:v>
      </x:c>
      <x:c r="Y44" s="82" t="str">
        <x:v>现代综合</x:v>
      </x:c>
      <x:c r="Z44" s="68" t="str">
        <x:v>为M12流通路径保留接口。</x:v>
      </x:c>
      <x:c r="AA44" s="68" t="str">
        <x:v>正例：当“生扶需经过两段以上五行链条到达日主”真实成立，且必要条件与增强条件同向时，按“长生扶链的末端支持应低于直接生扶”记录对应旺衰证据。</x:v>
      </x:c>
      <x:c r="AB44" s="90" t="str">
        <x:v>反例：只有表面条件，但出现“禁止跨级或等量传递”或关键有效性未成立时，不得套用本规则。</x:v>
      </x:c>
      <x:c r="AC44" s="68" t="str">
        <x:v>https://zh.wikisource.org/wiki/%E6%B7%B5%E6%B5%B7%E5%AD%90%E5%B9%B3%E5%A4%A7%E5%85%A8 ; https://zh.wikisource.org/wiki/%E6%BB%B4%E5%A4%A9%E9%AB%93%E9%97%A1%E5%BE%AE</x:v>
      </x:c>
      <x:c r="AD44" s="82" t="str">
        <x:v>采用</x:v>
      </x:c>
      <x:c r="AE44" s="82" t="str">
        <x:v>初审</x:v>
      </x:c>
      <x:c r="AF44" s="87" t="n">
        <x:v>46255</x:v>
      </x:c>
    </x:row>
    <x:row r="45">
      <x:c r="A45" s="72" t="str">
        <x:f>IF(OR(C45="",D45=""),"",B45&amp;"-"&amp;UPPER(C45)&amp;"-"&amp;TEXT(D45,"0000")&amp;"-"&amp;E45)</x:f>
        <x:v>M09-SHENG-0039-V1.0</x:v>
      </x:c>
      <x:c r="B45" s="74" t="str">
        <x:v>M09</x:v>
      </x:c>
      <x:c r="C45" s="74" t="str">
        <x:v>SHENG</x:v>
      </x:c>
      <x:c r="D45" s="79" t="n">
        <x:v>39</x:v>
      </x:c>
      <x:c r="E45" s="74" t="str">
        <x:v>V1.0</x:v>
      </x:c>
      <x:c r="F45" s="68" t="str">
        <x:v>印比同向时得生与得势可互相增强但同源去重</x:v>
      </x:c>
      <x:c r="G45" s="82" t="str">
        <x:v>综合层</x:v>
      </x:c>
      <x:c r="H45" s="68" t="str">
        <x:v>得生</x:v>
      </x:c>
      <x:c r="I45" s="68" t="str">
        <x:v>支持偏旺</x:v>
      </x:c>
      <x:c r="J45" s="68" t="str">
        <x:v>有效印生身且比劫同时提供承载</x:v>
      </x:c>
      <x:c r="K45" s="68" t="str">
        <x:v>高</x:v>
      </x:c>
      <x:c r="L45" s="82" t="str">
        <x:v>强</x:v>
      </x:c>
      <x:c r="M45" s="68" t="str">
        <x:v>M08完成</x:v>
      </x:c>
      <x:c r="N45" s="68" t="str">
        <x:v>印与比劫为独立节点</x:v>
      </x:c>
      <x:c r="O45" s="68" t="str">
        <x:v>根深、透干呼应</x:v>
      </x:c>
      <x:c r="P45" s="68" t="str">
        <x:v>印比均来自同一有限节点</x:v>
      </x:c>
      <x:c r="Q45" s="90" t="str">
        <x:v>禁止同一节点同时在得生、得势重复满额</x:v>
      </x:c>
      <x:c r="R45" s="68"/>
      <x:c r="S45" s="68" t="str">
        <x:v>印提供补给、比劫提供同类承载，组合后稳定性提高</x:v>
      </x:c>
      <x:c r="T45" s="82" t="str">
        <x:v>否</x:v>
      </x:c>
      <x:c r="U45" s="82" t="str">
        <x:v>旺</x:v>
      </x:c>
      <x:c r="V45" s="84" t="str">
        <x:v>印比协同</x:v>
      </x:c>
      <x:c r="W45" s="84" t="str">
        <x:v>印与比劫均有效且来源独立时，日主扶身结构更稳定。</x:v>
      </x:c>
      <x:c r="X45" s="82" t="str">
        <x:v>较高</x:v>
      </x:c>
      <x:c r="Y45" s="82" t="str">
        <x:v>现代综合</x:v>
      </x:c>
      <x:c r="Z45" s="68" t="str">
        <x:v>得生只计算能够实际到达日主的有效生源；生源自身力量、通路和承载上限共同限制支持强度。</x:v>
      </x:c>
      <x:c r="AA45" s="68" t="str">
        <x:v>正例：当“有效印生身且比劫同时提供承载”真实成立，且必要条件与增强条件同向时，按“印比同向时得生与得势可互相增强但同源去重”记录对应旺衰证据。</x:v>
      </x:c>
      <x:c r="AB45" s="90" t="str">
        <x:v>反例：只有表面条件，但出现“禁止同一节点同时在得生、得势重复满额”或关键有效性未成立时，不得套用本规则。</x:v>
      </x:c>
      <x:c r="AC45" s="68" t="str">
        <x:v>https://zh.wikisource.org/wiki/%E6%B7%B5%E6%B5%B7%E5%AD%90%E5%B9%B3%E5%A4%A7%E5%85%A8 ; https://zh.wikisource.org/wiki/%E6%BB%B4%E5%A4%A9%E9%AB%93%E9%97%A1%E5%BE%AE</x:v>
      </x:c>
      <x:c r="AD45" s="82" t="str">
        <x:v>采用</x:v>
      </x:c>
      <x:c r="AE45" s="82" t="str">
        <x:v>初审</x:v>
      </x:c>
      <x:c r="AF45" s="87" t="n">
        <x:v>46255</x:v>
      </x:c>
    </x:row>
    <x:row r="46">
      <x:c r="A46" s="72" t="str">
        <x:f>IF(OR(C46="",D46=""),"",B46&amp;"-"&amp;UPPER(C46)&amp;"-"&amp;TEXT(D46,"0000")&amp;"-"&amp;E46)</x:f>
        <x:v>M09-SHENG-0040-V1.0</x:v>
      </x:c>
      <x:c r="B46" s="74" t="str">
        <x:v>M09</x:v>
      </x:c>
      <x:c r="C46" s="74" t="str">
        <x:v>SHENG</x:v>
      </x:c>
      <x:c r="D46" s="79" t="n">
        <x:v>40</x:v>
      </x:c>
      <x:c r="E46" s="74" t="str">
        <x:v>V1.0</x:v>
      </x:c>
      <x:c r="F46" s="68" t="str">
        <x:v>印多不自动等于身旺</x:v>
      </x:c>
      <x:c r="G46" s="82" t="str">
        <x:v>综合层</x:v>
      </x:c>
      <x:c r="H46" s="68" t="str">
        <x:v>得生</x:v>
      </x:c>
      <x:c r="I46" s="68" t="str">
        <x:v>边界</x:v>
      </x:c>
      <x:c r="J46" s="68" t="str">
        <x:v>原局印星数量或五行力量很高</x:v>
      </x:c>
      <x:c r="K46" s="68" t="str">
        <x:v>高</x:v>
      </x:c>
      <x:c r="L46" s="82" t="str">
        <x:v>决定性</x:v>
      </x:c>
      <x:c r="M46" s="68" t="str">
        <x:v>M08完成</x:v>
      </x:c>
      <x:c r="N46" s="68" t="str">
        <x:v>同时检查日主根气与印的实际通路</x:v>
      </x:c>
      <x:c r="O46" s="68" t="str">
        <x:v>日主有根且印可持续生身</x:v>
      </x:c>
      <x:c r="P46" s="68" t="str">
        <x:v>印被制、被冻结、无通路或日主承载极弱</x:v>
      </x:c>
      <x:c r="Q46" s="90" t="str">
        <x:v>禁止“印多=身旺”</x:v>
      </x:c>
      <x:c r="R46" s="68" t="str">
        <x:v>印多造成其他功能问题转M10/M11</x:v>
      </x:c>
      <x:c r="S46" s="68" t="str">
        <x:v>印旺只是支持侧证据，最终仍需与负荷侧比较</x:v>
      </x:c>
      <x:c r="T46" s="82" t="str">
        <x:v>否</x:v>
      </x:c>
      <x:c r="U46" s="82" t="str">
        <x:v>中和</x:v>
      </x:c>
      <x:c r="V46" s="84" t="str">
        <x:v>印多非旺充分条件</x:v>
      </x:c>
      <x:c r="W46" s="84" t="str">
        <x:v>印星多或旺不等于日主必旺；应以有效生身和日主承载为准。</x:v>
      </x:c>
      <x:c r="X46" s="82" t="str">
        <x:v>较高</x:v>
      </x:c>
      <x:c r="Y46" s="82" t="str">
        <x:v>现代综合</x:v>
      </x:c>
      <x:c r="Z46" s="68" t="str">
        <x:v>得生只计算能够实际到达日主的有效生源；生源自身力量、通路和承载上限共同限制支持强度。</x:v>
      </x:c>
      <x:c r="AA46" s="68" t="str">
        <x:v>正例：当“原局印星数量或五行力量很高”真实成立，且必要条件与增强条件同向时，按“印多不自动等于身旺”记录对应旺衰证据。</x:v>
      </x:c>
      <x:c r="AB46" s="90" t="str">
        <x:v>反例：只有表面条件，但出现“禁止“印多=身旺””或关键有效性未成立时，不得套用本规则。</x:v>
      </x:c>
      <x:c r="AC46" s="68" t="str">
        <x:v>https://zh.wikisource.org/wiki/%E6%B7%B5%E6%B5%B7%E5%AD%90%E5%B9%B3%E5%A4%A7%E5%85%A8 ; https://zh.wikisource.org/wiki/%E6%BB%B4%E5%A4%A9%E9%AB%93%E9%97%A1%E5%BE%AE</x:v>
      </x:c>
      <x:c r="AD46" s="82" t="str">
        <x:v>采用</x:v>
      </x:c>
      <x:c r="AE46" s="82" t="str">
        <x:v>初审</x:v>
      </x:c>
      <x:c r="AF46" s="87" t="n">
        <x:v>46255</x:v>
      </x:c>
    </x:row>
    <x:row r="47">
      <x:c r="A47" s="72" t="str">
        <x:f>IF(OR(C47="",D47=""),"",B47&amp;"-"&amp;UPPER(C47)&amp;"-"&amp;TEXT(D47,"0000")&amp;"-"&amp;E47)</x:f>
        <x:v>M09-KE-0041-V1.0</x:v>
      </x:c>
      <x:c r="B47" s="74" t="str">
        <x:v>M09</x:v>
      </x:c>
      <x:c r="C47" s="74" t="str">
        <x:v>KE</x:v>
      </x:c>
      <x:c r="D47" s="79" t="n">
        <x:v>41</x:v>
      </x:c>
      <x:c r="E47" s="74" t="str">
        <x:v>V1.0</x:v>
      </x:c>
      <x:c r="F47" s="68" t="str">
        <x:v>有效官杀直接制身构成强偏弱证据</x:v>
      </x:c>
      <x:c r="G47" s="82" t="str">
        <x:v>综合层</x:v>
      </x:c>
      <x:c r="H47" s="68" t="str">
        <x:v>受制</x:v>
      </x:c>
      <x:c r="I47" s="68" t="str">
        <x:v>支持偏弱</x:v>
      </x:c>
      <x:c r="J47" s="68" t="str">
        <x:v>M08确认克日主五行有效且有直接作用通路</x:v>
      </x:c>
      <x:c r="K47" s="68" t="str">
        <x:v>高</x:v>
      </x:c>
      <x:c r="L47" s="82" t="str">
        <x:v>强</x:v>
      </x:c>
      <x:c r="M47" s="68" t="str">
        <x:v>M08完成</x:v>
      </x:c>
      <x:c r="N47" s="68" t="str">
        <x:v>官杀对应五行真实有力</x:v>
      </x:c>
      <x:c r="O47" s="68" t="str">
        <x:v>官杀得令、通根、透达且贴近日主作用链</x:v>
      </x:c>
      <x:c r="P47" s="68" t="str">
        <x:v>官杀弱、被制、被合或被化泄</x:v>
      </x:c>
      <x:c r="Q47" s="90" t="str">
        <x:v>禁止官杀出现即判强制身</x:v>
      </x:c>
      <x:c r="R47" s="68" t="str">
        <x:v>杀印相生等组合转M11</x:v>
      </x:c>
      <x:c r="S47" s="68" t="str">
        <x:v>官杀越强且日主根弱，制身压力越显著</x:v>
      </x:c>
      <x:c r="T47" s="82" t="str">
        <x:v>否</x:v>
      </x:c>
      <x:c r="U47" s="82" t="str">
        <x:v>弱</x:v>
      </x:c>
      <x:c r="V47" s="84" t="str">
        <x:v>官杀制身</x:v>
      </x:c>
      <x:c r="W47" s="84" t="str">
        <x:v>日主受到有效官杀直接制约，是偏弱的重要证据。</x:v>
      </x:c>
      <x:c r="X47" s="82" t="str">
        <x:v>较高</x:v>
      </x:c>
      <x:c r="Y47" s="82" t="str">
        <x:v>现代综合</x:v>
      </x:c>
      <x:c r="Z47" s="68" t="str">
        <x:v>受制按官杀对应五行的有效力量、直接作用通路与制化后的剩余压力判断，不按官杀数量机械计权。</x:v>
      </x:c>
      <x:c r="AA47" s="68" t="str">
        <x:v>正例：当“M08确认克日主五行有效且有直接作用通路”真实成立，且必要条件与增强条件同向时，按“有效官杀直接制身构成强偏弱证据”记录对应旺衰证据。</x:v>
      </x:c>
      <x:c r="AB47" s="90" t="str">
        <x:v>反例：只有表面条件，但出现“禁止官杀出现即判强制身”或关键有效性未成立时，不得套用本规则。</x:v>
      </x:c>
      <x:c r="AC47" s="68" t="str">
        <x:v>https://zh.wikisource.org/wiki/%E6%B7%B5%E6%B5%B7%E5%AD%90%E5%B9%B3%E5%A4%A7%E5%85%A8 ; https://zh.wikisource.org/wiki/%E6%BB%B4%E5%A4%A9%E9%AB%93%E9%97%A1%E5%BE%AE</x:v>
      </x:c>
      <x:c r="AD47" s="82" t="str">
        <x:v>采用</x:v>
      </x:c>
      <x:c r="AE47" s="82" t="str">
        <x:v>初审</x:v>
      </x:c>
      <x:c r="AF47" s="87" t="n">
        <x:v>46255</x:v>
      </x:c>
    </x:row>
    <x:row r="48">
      <x:c r="A48" s="72" t="str">
        <x:f>IF(OR(C48="",D48=""),"",B48&amp;"-"&amp;UPPER(C48)&amp;"-"&amp;TEXT(D48,"0000")&amp;"-"&amp;E48)</x:f>
        <x:v>M09-KE-0042-V1.0</x:v>
      </x:c>
      <x:c r="B48" s="74" t="str">
        <x:v>M09</x:v>
      </x:c>
      <x:c r="C48" s="74" t="str">
        <x:v>KE</x:v>
      </x:c>
      <x:c r="D48" s="79" t="n">
        <x:v>42</x:v>
      </x:c>
      <x:c r="E48" s="74" t="str">
        <x:v>V1.0</x:v>
      </x:c>
      <x:c r="F48" s="68" t="str">
        <x:v>官杀数量多但大多无根无气时不形成强制身</x:v>
      </x:c>
      <x:c r="G48" s="82" t="str">
        <x:v>综合层</x:v>
      </x:c>
      <x:c r="H48" s="68" t="str">
        <x:v>受制</x:v>
      </x:c>
      <x:c r="I48" s="68" t="str">
        <x:v>条件性支持偏弱</x:v>
      </x:c>
      <x:c r="J48" s="68" t="str">
        <x:v>官杀数量多但M08判有效力量低</x:v>
      </x:c>
      <x:c r="K48" s="68" t="str">
        <x:v>中</x:v>
      </x:c>
      <x:c r="L48" s="82" t="str">
        <x:v>中</x:v>
      </x:c>
      <x:c r="M48" s="68" t="str">
        <x:v>M08完成</x:v>
      </x:c>
      <x:c r="N48" s="68" t="str">
        <x:v>多数官杀为弱节点</x:v>
      </x:c>
      <x:c r="O48" s="68"/>
      <x:c r="P48" s="68" t="str">
        <x:v>官杀得令成势或另有强根</x:v>
      </x:c>
      <x:c r="Q48" s="90" t="str">
        <x:v>禁止按官杀个数机械判身弱</x:v>
      </x:c>
      <x:c r="R48" s="68" t="str">
        <x:v>十神混杂转M10</x:v>
      </x:c>
      <x:c r="S48" s="68" t="str">
        <x:v>弱官杀数量多未必等于强压力</x:v>
      </x:c>
      <x:c r="T48" s="82" t="str">
        <x:v>否</x:v>
      </x:c>
      <x:c r="U48" s="82" t="str">
        <x:v>中和</x:v>
      </x:c>
      <x:c r="V48" s="84" t="str">
        <x:v>官杀质量优先</x:v>
      </x:c>
      <x:c r="W48" s="84" t="str">
        <x:v>官杀数量多但有效力量弱，制身证据按实际质量计入，不按数量定弱。</x:v>
      </x:c>
      <x:c r="X48" s="82" t="str">
        <x:v>较高</x:v>
      </x:c>
      <x:c r="Y48" s="82" t="str">
        <x:v>现代综合</x:v>
      </x:c>
      <x:c r="Z48" s="68" t="str">
        <x:v>受制按官杀对应五行的有效力量、直接作用通路与制化后的剩余压力判断，不按官杀数量机械计权。</x:v>
      </x:c>
      <x:c r="AA48" s="68" t="str">
        <x:v>正例：当“官杀数量多但M08判有效力量低”真实成立，且必要条件与增强条件同向时，按“官杀数量多但大多无根无气时不形成强制身”记录对应旺衰证据。</x:v>
      </x:c>
      <x:c r="AB48" s="90" t="str">
        <x:v>反例：只有表面条件，但出现“禁止按官杀个数机械判身弱”或关键有效性未成立时，不得套用本规则。</x:v>
      </x:c>
      <x:c r="AC48" s="68" t="str">
        <x:v>https://zh.wikisource.org/wiki/%E6%B7%B5%E6%B5%B7%E5%AD%90%E5%B9%B3%E5%A4%A7%E5%85%A8 ; https://zh.wikisource.org/wiki/%E6%BB%B4%E5%A4%A9%E9%AB%93%E9%97%A1%E5%BE%AE</x:v>
      </x:c>
      <x:c r="AD48" s="82" t="str">
        <x:v>采用</x:v>
      </x:c>
      <x:c r="AE48" s="82" t="str">
        <x:v>初审</x:v>
      </x:c>
      <x:c r="AF48" s="87" t="n">
        <x:v>46255</x:v>
      </x:c>
    </x:row>
    <x:row r="49">
      <x:c r="A49" s="72" t="str">
        <x:f>IF(OR(C49="",D49=""),"",B49&amp;"-"&amp;UPPER(C49)&amp;"-"&amp;TEXT(D49,"0000")&amp;"-"&amp;E49)</x:f>
        <x:v>M09-KE-0043-V1.0</x:v>
      </x:c>
      <x:c r="B49" s="74" t="str">
        <x:v>M09</x:v>
      </x:c>
      <x:c r="C49" s="74" t="str">
        <x:v>KE</x:v>
      </x:c>
      <x:c r="D49" s="79" t="n">
        <x:v>43</x:v>
      </x:c>
      <x:c r="E49" s="74" t="str">
        <x:v>V1.0</x:v>
      </x:c>
      <x:c r="F49" s="68" t="str">
        <x:v>官杀得令通根成势时可形成决定性制身压力</x:v>
      </x:c>
      <x:c r="G49" s="82" t="str">
        <x:v>综合层</x:v>
      </x:c>
      <x:c r="H49" s="68" t="str">
        <x:v>受制</x:v>
      </x:c>
      <x:c r="I49" s="68" t="str">
        <x:v>支持偏弱</x:v>
      </x:c>
      <x:c r="J49" s="68" t="str">
        <x:v>官杀五行得令、多根并透达，M08判旺或极旺</x:v>
      </x:c>
      <x:c r="K49" s="68" t="str">
        <x:v>高</x:v>
      </x:c>
      <x:c r="L49" s="82" t="str">
        <x:v>决定性</x:v>
      </x:c>
      <x:c r="M49" s="68" t="str">
        <x:v>M08完成</x:v>
      </x:c>
      <x:c r="N49" s="68" t="str">
        <x:v>官杀可直接作用日主</x:v>
      </x:c>
      <x:c r="O49" s="68" t="str">
        <x:v>日主失令无根、印比弱</x:v>
      </x:c>
      <x:c r="P49" s="68" t="str">
        <x:v>官杀被有效制化或日主亦强根成势</x:v>
      </x:c>
      <x:c r="Q49" s="90" t="str">
        <x:v>不得在制化已成立时重复满额计压</x:v>
      </x:c>
      <x:c r="R49" s="68" t="str">
        <x:v>特殊格局转M14</x:v>
      </x:c>
      <x:c r="S49" s="68" t="str">
        <x:v>日主若同时强旺，结果可能回到中和偏弱而非极弱</x:v>
      </x:c>
      <x:c r="T49" s="82" t="str">
        <x:v>否</x:v>
      </x:c>
      <x:c r="U49" s="82" t="str">
        <x:v>弱</x:v>
      </x:c>
      <x:c r="V49" s="84" t="str">
        <x:v>官杀成势</x:v>
      </x:c>
      <x:c r="W49" s="84" t="str">
        <x:v>官杀有效成势并直接制身时，是日主偏弱或弱的强证据。</x:v>
      </x:c>
      <x:c r="X49" s="82" t="str">
        <x:v>较高</x:v>
      </x:c>
      <x:c r="Y49" s="82" t="str">
        <x:v>现代综合</x:v>
      </x:c>
      <x:c r="Z49" s="68" t="str">
        <x:v>受制按官杀对应五行的有效力量、直接作用通路与制化后的剩余压力判断，不按官杀数量机械计权。</x:v>
      </x:c>
      <x:c r="AA49" s="68" t="str">
        <x:v>正例：当“官杀五行得令、多根并透达，M08判旺或极旺”真实成立，且必要条件与增强条件同向时，按“官杀得令通根成势时可形成决定性制身压力”记录对应旺衰证据。</x:v>
      </x:c>
      <x:c r="AB49" s="90" t="str">
        <x:v>反例：只有表面条件，但出现“不得在制化已成立时重复满额计压”或关键有效性未成立时，不得套用本规则。</x:v>
      </x:c>
      <x:c r="AC49" s="68" t="str">
        <x:v>https://zh.wikisource.org/wiki/%E6%B7%B5%E6%B5%B7%E5%AD%90%E5%B9%B3%E5%A4%A7%E5%85%A8 ; https://zh.wikisource.org/wiki/%E6%BB%B4%E5%A4%A9%E9%AB%93%E9%97%A1%E5%BE%AE</x:v>
      </x:c>
      <x:c r="AD49" s="82" t="str">
        <x:v>采用</x:v>
      </x:c>
      <x:c r="AE49" s="82" t="str">
        <x:v>初审</x:v>
      </x:c>
      <x:c r="AF49" s="87" t="n">
        <x:v>46255</x:v>
      </x:c>
    </x:row>
    <x:row r="50">
      <x:c r="A50" s="72" t="str">
        <x:f>IF(OR(C50="",D50=""),"",B50&amp;"-"&amp;UPPER(C50)&amp;"-"&amp;TEXT(D50,"0000")&amp;"-"&amp;E50)</x:f>
        <x:v>M09-KE-0044-V1.0</x:v>
      </x:c>
      <x:c r="B50" s="74" t="str">
        <x:v>M09</x:v>
      </x:c>
      <x:c r="C50" s="74" t="str">
        <x:v>KE</x:v>
      </x:c>
      <x:c r="D50" s="79" t="n">
        <x:v>44</x:v>
      </x:c>
      <x:c r="E50" s="74" t="str">
        <x:v>V1.0</x:v>
      </x:c>
      <x:c r="F50" s="68" t="str">
        <x:v>官杀被食伤制或被合住时按剩余有效压力计入</x:v>
      </x:c>
      <x:c r="G50" s="82" t="str">
        <x:v>综合层</x:v>
      </x:c>
      <x:c r="H50" s="68" t="str">
        <x:v>受制</x:v>
      </x:c>
      <x:c r="I50" s="68" t="str">
        <x:v>减弱偏弱证据</x:v>
      </x:c>
      <x:c r="J50" s="68" t="str">
        <x:v>M08/M06已确认官杀受到实质制约或冻结</x:v>
      </x:c>
      <x:c r="K50" s="68" t="str">
        <x:v>高</x:v>
      </x:c>
      <x:c r="L50" s="82" t="str">
        <x:v>强</x:v>
      </x:c>
      <x:c r="M50" s="68" t="str">
        <x:v>M08完成</x:v>
      </x:c>
      <x:c r="N50" s="68" t="str">
        <x:v>制约效果真实成立</x:v>
      </x:c>
      <x:c r="O50" s="68" t="str">
        <x:v>制约者强且通路直接</x:v>
      </x:c>
      <x:c r="P50" s="68" t="str">
        <x:v>制约者弱或另被破坏</x:v>
      </x:c>
      <x:c r="Q50" s="90" t="str">
        <x:v>禁止同时把官杀原始旺度与受制后旺度重复计入</x:v>
      </x:c>
      <x:c r="R50" s="68" t="str">
        <x:v>食神制杀成立与否转M11</x:v>
      </x:c>
      <x:c r="S50" s="68" t="str">
        <x:v>受制越有效，日主实际压力越低</x:v>
      </x:c>
      <x:c r="T50" s="82" t="str">
        <x:v>是</x:v>
      </x:c>
      <x:c r="U50" s="82" t="str">
        <x:v>中和</x:v>
      </x:c>
      <x:c r="V50" s="84" t="str">
        <x:v>官杀压力修正</x:v>
      </x:c>
      <x:c r="W50" s="84" t="str">
        <x:v>官杀已被有效制约，日主只承受其剩余压力，不按原始旺度满额计入。</x:v>
      </x:c>
      <x:c r="X50" s="82" t="str">
        <x:v>较高</x:v>
      </x:c>
      <x:c r="Y50" s="82" t="str">
        <x:v>现代综合</x:v>
      </x:c>
      <x:c r="Z50" s="68" t="str">
        <x:v>受制按官杀对应五行的有效力量、直接作用通路与制化后的剩余压力判断，不按官杀数量机械计权。</x:v>
      </x:c>
      <x:c r="AA50" s="68" t="str">
        <x:v>正例：当“M08/M06已确认官杀受到实质制约或冻结”真实成立，且必要条件与增强条件同向时，按“官杀被食伤制或被合住时按剩余有效压力计入”记录对应旺衰证据。</x:v>
      </x:c>
      <x:c r="AB50" s="90" t="str">
        <x:v>反例：只有表面条件，但出现“禁止同时把官杀原始旺度与受制后旺度重复计入”或关键有效性未成立时，不得套用本规则。</x:v>
      </x:c>
      <x:c r="AC50" s="68" t="str">
        <x:v>https://zh.wikisource.org/wiki/%E6%B7%B5%E6%B5%B7%E5%AD%90%E5%B9%B3%E5%A4%A7%E5%85%A8 ; https://zh.wikisource.org/wiki/%E6%BB%B4%E5%A4%A9%E9%AB%93%E9%97%A1%E5%BE%AE</x:v>
      </x:c>
      <x:c r="AD50" s="82" t="str">
        <x:v>采用</x:v>
      </x:c>
      <x:c r="AE50" s="82" t="str">
        <x:v>初审</x:v>
      </x:c>
      <x:c r="AF50" s="87" t="n">
        <x:v>46255</x:v>
      </x:c>
    </x:row>
    <x:row r="51">
      <x:c r="A51" s="72" t="str">
        <x:f>IF(OR(C51="",D51=""),"",B51&amp;"-"&amp;UPPER(C51)&amp;"-"&amp;TEXT(D51,"0000")&amp;"-"&amp;E51)</x:f>
        <x:v>M09-KE-0045-V1.0</x:v>
      </x:c>
      <x:c r="B51" s="74" t="str">
        <x:v>M09</x:v>
      </x:c>
      <x:c r="C51" s="74" t="str">
        <x:v>KE</x:v>
      </x:c>
      <x:c r="D51" s="79" t="n">
        <x:v>45</x:v>
      </x:c>
      <x:c r="E51" s="74" t="str">
        <x:v>V1.0</x:v>
      </x:c>
      <x:c r="F51" s="68" t="str">
        <x:v>官杀生印再生日主时制身与得生需按流向拆分</x:v>
      </x:c>
      <x:c r="G51" s="82" t="str">
        <x:v>综合层</x:v>
      </x:c>
      <x:c r="H51" s="68" t="str">
        <x:v>受制</x:v>
      </x:c>
      <x:c r="I51" s="68" t="str">
        <x:v>条件性</x:v>
      </x:c>
      <x:c r="J51" s="68" t="str">
        <x:v>官杀→印→日主的生化路径在M08中有效</x:v>
      </x:c>
      <x:c r="K51" s="68" t="str">
        <x:v>高</x:v>
      </x:c>
      <x:c r="L51" s="82" t="str">
        <x:v>中</x:v>
      </x:c>
      <x:c r="M51" s="68" t="str">
        <x:v>M08完成</x:v>
      </x:c>
      <x:c r="N51" s="68" t="str">
        <x:v>印星有力且能承接官杀之气</x:v>
      </x:c>
      <x:c r="O51" s="68" t="str">
        <x:v>官杀、印、日主三段连续</x:v>
      </x:c>
      <x:c r="P51" s="68" t="str">
        <x:v>印弱、被财破或路径中断</x:v>
      </x:c>
      <x:c r="Q51" s="90" t="str">
        <x:v>禁止官杀既全额制身又全额生印重复计权</x:v>
      </x:c>
      <x:c r="R51" s="68" t="str">
        <x:v>杀印相生组合转M11</x:v>
      </x:c>
      <x:c r="S51" s="68" t="str">
        <x:v>有效转化越强，直接制身压力越低、得生支持越高</x:v>
      </x:c>
      <x:c r="T51" s="82" t="str">
        <x:v>否</x:v>
      </x:c>
      <x:c r="U51" s="82" t="str">
        <x:v>中和</x:v>
      </x:c>
      <x:c r="V51" s="84" t="str">
        <x:v>官印流向拆分</x:v>
      </x:c>
      <x:c r="W51" s="84" t="str">
        <x:v>官杀之气若有效转入印再生身，应降低直接制身权重，并另计得生。</x:v>
      </x:c>
      <x:c r="X51" s="82" t="str">
        <x:v>较高</x:v>
      </x:c>
      <x:c r="Y51" s="82" t="str">
        <x:v>现代综合</x:v>
      </x:c>
      <x:c r="Z51" s="68" t="str">
        <x:v>受制按官杀对应五行的有效力量、直接作用通路与制化后的剩余压力判断，不按官杀数量机械计权。</x:v>
      </x:c>
      <x:c r="AA51" s="68" t="str">
        <x:v>正例：当“官杀→印→日主的生化路径在M08中有效”真实成立，且必要条件与增强条件同向时，按“官杀生印再生日主时制身与得生需按流向拆分”记录对应旺衰证据。</x:v>
      </x:c>
      <x:c r="AB51" s="90" t="str">
        <x:v>反例：只有表面条件，但出现“禁止官杀既全额制身又全额生印重复计权”或关键有效性未成立时，不得套用本规则。</x:v>
      </x:c>
      <x:c r="AC51" s="68" t="str">
        <x:v>https://zh.wikisource.org/wiki/%E6%B7%B5%E6%B5%B7%E5%AD%90%E5%B9%B3%E5%A4%A7%E5%85%A8 ; https://zh.wikisource.org/wiki/%E6%BB%B4%E5%A4%A9%E9%AB%93%E9%97%A1%E5%BE%AE</x:v>
      </x:c>
      <x:c r="AD51" s="82" t="str">
        <x:v>采用</x:v>
      </x:c>
      <x:c r="AE51" s="82" t="str">
        <x:v>初审</x:v>
      </x:c>
      <x:c r="AF51" s="87" t="n">
        <x:v>46255</x:v>
      </x:c>
    </x:row>
    <x:row r="52">
      <x:c r="A52" s="72" t="str">
        <x:f>IF(OR(C52="",D52=""),"",B52&amp;"-"&amp;UPPER(C52)&amp;"-"&amp;TEXT(D52,"0000")&amp;"-"&amp;E52)</x:f>
        <x:v>M09-KE-0046-V1.0</x:v>
      </x:c>
      <x:c r="B52" s="74" t="str">
        <x:v>M09</x:v>
      </x:c>
      <x:c r="C52" s="74" t="str">
        <x:v>KE</x:v>
      </x:c>
      <x:c r="D52" s="79" t="n">
        <x:v>46</x:v>
      </x:c>
      <x:c r="E52" s="74" t="str">
        <x:v>V1.0</x:v>
      </x:c>
      <x:c r="F52" s="68" t="str">
        <x:v>日主根弱时同等官杀压力的伤害更显著</x:v>
      </x:c>
      <x:c r="G52" s="82" t="str">
        <x:v>综合层</x:v>
      </x:c>
      <x:c r="H52" s="68" t="str">
        <x:v>受制</x:v>
      </x:c>
      <x:c r="I52" s="68" t="str">
        <x:v>支持偏弱</x:v>
      </x:c>
      <x:c r="J52" s="68" t="str">
        <x:v>官杀有效且日主有效根少或弱</x:v>
      </x:c>
      <x:c r="K52" s="68" t="str">
        <x:v>高</x:v>
      </x:c>
      <x:c r="L52" s="82" t="str">
        <x:v>强</x:v>
      </x:c>
      <x:c r="M52" s="68" t="str">
        <x:v>M08完成</x:v>
      </x:c>
      <x:c r="N52" s="68" t="str">
        <x:v>日主承载不足</x:v>
      </x:c>
      <x:c r="O52" s="68" t="str">
        <x:v>同时失令、无印比</x:v>
      </x:c>
      <x:c r="P52" s="68" t="str">
        <x:v>日主多根或印比强</x:v>
      </x:c>
      <x:c r="Q52" s="90" t="str">
        <x:v>禁止用固定百分比量化伤害</x:v>
      </x:c>
      <x:c r="R52" s="68"/>
      <x:c r="S52" s="68" t="str">
        <x:v>承载越弱，相同制身压力越容易推动等级下调</x:v>
      </x:c>
      <x:c r="T52" s="82" t="str">
        <x:v>否</x:v>
      </x:c>
      <x:c r="U52" s="82" t="str">
        <x:v>弱</x:v>
      </x:c>
      <x:c r="V52" s="84" t="str">
        <x:v>弱根受制</x:v>
      </x:c>
      <x:c r="W52" s="84" t="str">
        <x:v>日主承载偏弱时，同等官杀压力更容易形成身弱结论。</x:v>
      </x:c>
      <x:c r="X52" s="82" t="str">
        <x:v>较高</x:v>
      </x:c>
      <x:c r="Y52" s="82" t="str">
        <x:v>现代综合</x:v>
      </x:c>
      <x:c r="Z52" s="68" t="str">
        <x:v>受制按官杀对应五行的有效力量、直接作用通路与制化后的剩余压力判断，不按官杀数量机械计权。</x:v>
      </x:c>
      <x:c r="AA52" s="68" t="str">
        <x:v>正例：当“官杀有效且日主有效根少或弱”真实成立，且必要条件与增强条件同向时，按“日主根弱时同等官杀压力的伤害更显著”记录对应旺衰证据。</x:v>
      </x:c>
      <x:c r="AB52" s="90" t="str">
        <x:v>反例：只有表面条件，但出现“禁止用固定百分比量化伤害”或关键有效性未成立时，不得套用本规则。</x:v>
      </x:c>
      <x:c r="AC52" s="68" t="str">
        <x:v>https://zh.wikisource.org/wiki/%E6%B7%B5%E6%B5%B7%E5%AD%90%E5%B9%B3%E5%A4%A7%E5%85%A8 ; https://zh.wikisource.org/wiki/%E6%BB%B4%E5%A4%A9%E9%AB%93%E9%97%A1%E5%BE%AE</x:v>
      </x:c>
      <x:c r="AD52" s="82" t="str">
        <x:v>采用</x:v>
      </x:c>
      <x:c r="AE52" s="82" t="str">
        <x:v>初审</x:v>
      </x:c>
      <x:c r="AF52" s="87" t="n">
        <x:v>46255</x:v>
      </x:c>
    </x:row>
    <x:row r="53">
      <x:c r="A53" s="72" t="str">
        <x:f>IF(OR(C53="",D53=""),"",B53&amp;"-"&amp;UPPER(C53)&amp;"-"&amp;TEXT(D53,"0000")&amp;"-"&amp;E53)</x:f>
        <x:v>M09-KE-0047-V1.0</x:v>
      </x:c>
      <x:c r="B53" s="74" t="str">
        <x:v>M09</x:v>
      </x:c>
      <x:c r="C53" s="74" t="str">
        <x:v>KE</x:v>
      </x:c>
      <x:c r="D53" s="79" t="n">
        <x:v>47</x:v>
      </x:c>
      <x:c r="E53" s="74" t="str">
        <x:v>V1.0</x:v>
      </x:c>
      <x:c r="F53" s="68" t="str">
        <x:v>日主强根得势时可承受一定官杀而不必判弱</x:v>
      </x:c>
      <x:c r="G53" s="82" t="str">
        <x:v>综合层</x:v>
      </x:c>
      <x:c r="H53" s="68" t="str">
        <x:v>受制</x:v>
      </x:c>
      <x:c r="I53" s="68" t="str">
        <x:v>中和约束</x:v>
      </x:c>
      <x:c r="J53" s="68" t="str">
        <x:v>日主多根得势，同时存在中等官杀压力</x:v>
      </x:c>
      <x:c r="K53" s="68" t="str">
        <x:v>高</x:v>
      </x:c>
      <x:c r="L53" s="82" t="str">
        <x:v>中</x:v>
      </x:c>
      <x:c r="M53" s="68" t="str">
        <x:v>M08完成</x:v>
      </x:c>
      <x:c r="N53" s="68" t="str">
        <x:v>扶身侧有明显承载</x:v>
      </x:c>
      <x:c r="O53" s="68" t="str">
        <x:v>印比持续有效</x:v>
      </x:c>
      <x:c r="P53" s="68" t="str">
        <x:v>官杀极旺成势或根气被破坏</x:v>
      </x:c>
      <x:c r="Q53" s="90" t="str">
        <x:v>禁止“见官杀=身弱”</x:v>
      </x:c>
      <x:c r="R53" s="68" t="str">
        <x:v>格局功能转M14/M15</x:v>
      </x:c>
      <x:c r="S53" s="68" t="str">
        <x:v>强日主受适度官杀可能仍在中和偏旺或中和</x:v>
      </x:c>
      <x:c r="T53" s="82" t="str">
        <x:v>否</x:v>
      </x:c>
      <x:c r="U53" s="82" t="str">
        <x:v>中和</x:v>
      </x:c>
      <x:c r="V53" s="84" t="str">
        <x:v>强身承压</x:v>
      </x:c>
      <x:c r="W53" s="84" t="str">
        <x:v>日主根深得势时可承受一定官杀，不能因存在官杀就直接判弱。</x:v>
      </x:c>
      <x:c r="X53" s="82" t="str">
        <x:v>较高</x:v>
      </x:c>
      <x:c r="Y53" s="82" t="str">
        <x:v>现代综合</x:v>
      </x:c>
      <x:c r="Z53" s="68" t="str">
        <x:v>受制按官杀对应五行的有效力量、直接作用通路与制化后的剩余压力判断，不按官杀数量机械计权。</x:v>
      </x:c>
      <x:c r="AA53" s="68" t="str">
        <x:v>正例：当“日主多根得势，同时存在中等官杀压力”真实成立，且必要条件与增强条件同向时，按“日主强根得势时可承受一定官杀而不必判弱”记录对应旺衰证据。</x:v>
      </x:c>
      <x:c r="AB53" s="90" t="str">
        <x:v>反例：只有表面条件，但出现“禁止“见官杀=身弱””或关键有效性未成立时，不得套用本规则。</x:v>
      </x:c>
      <x:c r="AC53" s="68" t="str">
        <x:v>https://zh.wikisource.org/wiki/%E6%B7%B5%E6%B5%B7%E5%AD%90%E5%B9%B3%E5%A4%A7%E5%85%A8 ; https://zh.wikisource.org/wiki/%E6%BB%B4%E5%A4%A9%E9%AB%93%E9%97%A1%E5%BE%AE</x:v>
      </x:c>
      <x:c r="AD53" s="82" t="str">
        <x:v>采用</x:v>
      </x:c>
      <x:c r="AE53" s="82" t="str">
        <x:v>初审</x:v>
      </x:c>
      <x:c r="AF53" s="87" t="n">
        <x:v>46255</x:v>
      </x:c>
    </x:row>
    <x:row r="54">
      <x:c r="A54" s="72" t="str">
        <x:f>IF(OR(C54="",D54=""),"",B54&amp;"-"&amp;UPPER(C54)&amp;"-"&amp;TEXT(D54,"0000")&amp;"-"&amp;E54)</x:f>
        <x:v>M09-KE-0048-V1.0</x:v>
      </x:c>
      <x:c r="B54" s="74" t="str">
        <x:v>M09</x:v>
      </x:c>
      <x:c r="C54" s="74" t="str">
        <x:v>KE</x:v>
      </x:c>
      <x:c r="D54" s="79" t="n">
        <x:v>48</x:v>
      </x:c>
      <x:c r="E54" s="74" t="str">
        <x:v>V1.0</x:v>
      </x:c>
      <x:c r="F54" s="68" t="str">
        <x:v>多个官杀压力共享同一来源时按容量去重</x:v>
      </x:c>
      <x:c r="G54" s="82" t="str">
        <x:v>综合层</x:v>
      </x:c>
      <x:c r="H54" s="68" t="str">
        <x:v>受制</x:v>
      </x:c>
      <x:c r="I54" s="68" t="str">
        <x:v>证据去重</x:v>
      </x:c>
      <x:c r="J54" s="68" t="str">
        <x:v>多个官杀节点主要依赖同一根或同一生源</x:v>
      </x:c>
      <x:c r="K54" s="68" t="str">
        <x:v>中高</x:v>
      </x:c>
      <x:c r="L54" s="82" t="str">
        <x:v>中</x:v>
      </x:c>
      <x:c r="M54" s="68" t="str">
        <x:v>M08完成</x:v>
      </x:c>
      <x:c r="N54" s="68" t="str">
        <x:v>来源依赖关系已识别</x:v>
      </x:c>
      <x:c r="O54" s="68" t="str">
        <x:v>另有独立官杀根源</x:v>
      </x:c>
      <x:c r="P54" s="68"/>
      <x:c r="Q54" s="90" t="str">
        <x:v>禁止同一有限来源被多个官杀节点重复全额调用</x:v>
      </x:c>
      <x:c r="R54" s="68" t="str">
        <x:v>成局改性按M08</x:v>
      </x:c>
      <x:c r="S54" s="68" t="str">
        <x:v>独立来源才代表新增压力容量</x:v>
      </x:c>
      <x:c r="T54" s="82" t="str">
        <x:v>是</x:v>
      </x:c>
      <x:c r="U54" s="82" t="str">
        <x:v>中和偏弱</x:v>
      </x:c>
      <x:c r="V54" s="84" t="str">
        <x:v>官杀容量去重</x:v>
      </x:c>
      <x:c r="W54" s="84" t="str">
        <x:v>官杀多处出现但共享同一有限来源时，制身压力需去重计入。</x:v>
      </x:c>
      <x:c r="X54" s="82" t="str">
        <x:v>较高</x:v>
      </x:c>
      <x:c r="Y54" s="82" t="str">
        <x:v>现代综合</x:v>
      </x:c>
      <x:c r="Z54" s="68" t="str">
        <x:v>受制按官杀对应五行的有效力量、直接作用通路与制化后的剩余压力判断，不按官杀数量机械计权。</x:v>
      </x:c>
      <x:c r="AA54" s="68" t="str">
        <x:v>正例：当“多个官杀节点主要依赖同一根或同一生源”真实成立，且必要条件与增强条件同向时，按“多个官杀压力共享同一来源时按容量去重”记录对应旺衰证据。</x:v>
      </x:c>
      <x:c r="AB54" s="90" t="str">
        <x:v>反例：只有表面条件，但出现“禁止同一有限来源被多个官杀节点重复全额调用”或关键有效性未成立时，不得套用本规则。</x:v>
      </x:c>
      <x:c r="AC54" s="68" t="str">
        <x:v>https://zh.wikisource.org/wiki/%E6%B7%B5%E6%B5%B7%E5%AD%90%E5%B9%B3%E5%A4%A7%E5%85%A8 ; https://zh.wikisource.org/wiki/%E6%BB%B4%E5%A4%A9%E9%AB%93%E9%97%A1%E5%BE%AE</x:v>
      </x:c>
      <x:c r="AD54" s="82" t="str">
        <x:v>采用</x:v>
      </x:c>
      <x:c r="AE54" s="82" t="str">
        <x:v>初审</x:v>
      </x:c>
      <x:c r="AF54" s="87" t="n">
        <x:v>46255</x:v>
      </x:c>
    </x:row>
    <x:row r="55">
      <x:c r="A55" s="72" t="str">
        <x:f>IF(OR(C55="",D55=""),"",B55&amp;"-"&amp;UPPER(C55)&amp;"-"&amp;TEXT(D55,"0000")&amp;"-"&amp;E55)</x:f>
        <x:v>M09-XIE-0049-V1.0</x:v>
      </x:c>
      <x:c r="B55" s="74" t="str">
        <x:v>M09</x:v>
      </x:c>
      <x:c r="C55" s="74" t="str">
        <x:v>XIE</x:v>
      </x:c>
      <x:c r="D55" s="79" t="n">
        <x:v>49</x:v>
      </x:c>
      <x:c r="E55" s="74" t="str">
        <x:v>V1.0</x:v>
      </x:c>
      <x:c r="F55" s="68" t="str">
        <x:v>有效食伤泄身构成日主偏弱证据</x:v>
      </x:c>
      <x:c r="G55" s="82" t="str">
        <x:v>综合层</x:v>
      </x:c>
      <x:c r="H55" s="68" t="str">
        <x:v>受泄</x:v>
      </x:c>
      <x:c r="I55" s="68" t="str">
        <x:v>支持偏弱</x:v>
      </x:c>
      <x:c r="J55" s="68" t="str">
        <x:v>M08确认日主所生五行有效且有泄出通路</x:v>
      </x:c>
      <x:c r="K55" s="68" t="str">
        <x:v>高</x:v>
      </x:c>
      <x:c r="L55" s="82" t="str">
        <x:v>强</x:v>
      </x:c>
      <x:c r="M55" s="68" t="str">
        <x:v>M08完成</x:v>
      </x:c>
      <x:c r="N55" s="68" t="str">
        <x:v>食伤对应五行真实有力</x:v>
      </x:c>
      <x:c r="O55" s="68" t="str">
        <x:v>食伤得令、通根、透达</x:v>
      </x:c>
      <x:c r="P55" s="68" t="str">
        <x:v>食伤被印制、合绊或无根</x:v>
      </x:c>
      <x:c r="Q55" s="90" t="str">
        <x:v>禁止食伤出现即判泄身强</x:v>
      </x:c>
      <x:c r="R55" s="68" t="str">
        <x:v>食伤功能转M10</x:v>
      </x:c>
      <x:c r="S55" s="68" t="str">
        <x:v>日主根越弱、食伤越旺，泄身影响越大</x:v>
      </x:c>
      <x:c r="T55" s="82" t="str">
        <x:v>否</x:v>
      </x:c>
      <x:c r="U55" s="82" t="str">
        <x:v>中和偏弱</x:v>
      </x:c>
      <x:c r="V55" s="84" t="str">
        <x:v>食伤泄身</x:v>
      </x:c>
      <x:c r="W55" s="84" t="str">
        <x:v>日主有有效食伤泄出，是偏弱证据；强度取决于食伤有效力量与日主承载。</x:v>
      </x:c>
      <x:c r="X55" s="82" t="str">
        <x:v>较高</x:v>
      </x:c>
      <x:c r="Y55" s="82" t="str">
        <x:v>现代综合</x:v>
      </x:c>
      <x:c r="Z55" s="68" t="str">
        <x:v>受泄按食伤有效力量与日主承载比较；泄身与克身机制不同，连续泄耗链还需服从源头容量。</x:v>
      </x:c>
      <x:c r="AA55" s="68" t="str">
        <x:v>正例：当“M08确认日主所生五行有效且有泄出通路”真实成立，且必要条件与增强条件同向时，按“有效食伤泄身构成日主偏弱证据”记录对应旺衰证据。</x:v>
      </x:c>
      <x:c r="AB55" s="90" t="str">
        <x:v>反例：只有表面条件，但出现“禁止食伤出现即判泄身强”或关键有效性未成立时，不得套用本规则。</x:v>
      </x:c>
      <x:c r="AC55" s="68" t="str">
        <x:v>https://zh.wikisource.org/wiki/%E6%B7%B5%E6%B5%B7%E5%AD%90%E5%B9%B3%E5%A4%A7%E5%85%A8 ; https://zh.wikisource.org/wiki/%E6%BB%B4%E5%A4%A9%E9%AB%93%E9%97%A1%E5%BE%AE</x:v>
      </x:c>
      <x:c r="AD55" s="82" t="str">
        <x:v>采用</x:v>
      </x:c>
      <x:c r="AE55" s="82" t="str">
        <x:v>初审</x:v>
      </x:c>
      <x:c r="AF55" s="87" t="n">
        <x:v>46255</x:v>
      </x:c>
    </x:row>
    <x:row r="56">
      <x:c r="A56" s="72" t="str">
        <x:f>IF(OR(C56="",D56=""),"",B56&amp;"-"&amp;UPPER(C56)&amp;"-"&amp;TEXT(D56,"0000")&amp;"-"&amp;E56)</x:f>
        <x:v>M09-XIE-0050-V1.0</x:v>
      </x:c>
      <x:c r="B56" s="74" t="str">
        <x:v>M09</x:v>
      </x:c>
      <x:c r="C56" s="74" t="str">
        <x:v>XIE</x:v>
      </x:c>
      <x:c r="D56" s="79" t="n">
        <x:v>50</x:v>
      </x:c>
      <x:c r="E56" s="74" t="str">
        <x:v>V1.0</x:v>
      </x:c>
      <x:c r="F56" s="68" t="str">
        <x:v>食伤数量多但有效性低时不得按强泄处理</x:v>
      </x:c>
      <x:c r="G56" s="82" t="str">
        <x:v>综合层</x:v>
      </x:c>
      <x:c r="H56" s="68" t="str">
        <x:v>受泄</x:v>
      </x:c>
      <x:c r="I56" s="68" t="str">
        <x:v>条件性支持偏弱</x:v>
      </x:c>
      <x:c r="J56" s="68" t="str">
        <x:v>食伤多现但M08判弱或失效</x:v>
      </x:c>
      <x:c r="K56" s="68" t="str">
        <x:v>中</x:v>
      </x:c>
      <x:c r="L56" s="82" t="str">
        <x:v>中</x:v>
      </x:c>
      <x:c r="M56" s="68" t="str">
        <x:v>M08完成</x:v>
      </x:c>
      <x:c r="N56" s="68" t="str">
        <x:v>多数食伤节点弱</x:v>
      </x:c>
      <x:c r="O56" s="68"/>
      <x:c r="P56" s="68" t="str">
        <x:v>食伤得令成势</x:v>
      </x:c>
      <x:c r="Q56" s="90" t="str">
        <x:v>禁止按数量机械判身弱</x:v>
      </x:c>
      <x:c r="R56" s="68" t="str">
        <x:v>十神混杂另审</x:v>
      </x:c>
      <x:c r="S56" s="68" t="str">
        <x:v>弱食伤可形成表达通路但未必造成明显泄身</x:v>
      </x:c>
      <x:c r="T56" s="82" t="str">
        <x:v>否</x:v>
      </x:c>
      <x:c r="U56" s="82" t="str">
        <x:v>中和</x:v>
      </x:c>
      <x:c r="V56" s="84" t="str">
        <x:v>食伤质量优先</x:v>
      </x:c>
      <x:c r="W56" s="84" t="str">
        <x:v>食伤数量多但有效力量低，泄身证据应按实际质量而非数量计入。</x:v>
      </x:c>
      <x:c r="X56" s="82" t="str">
        <x:v>较高</x:v>
      </x:c>
      <x:c r="Y56" s="82" t="str">
        <x:v>现代综合</x:v>
      </x:c>
      <x:c r="Z56" s="68" t="str">
        <x:v>受泄按食伤有效力量与日主承载比较；泄身与克身机制不同，连续泄耗链还需服从源头容量。</x:v>
      </x:c>
      <x:c r="AA56" s="68" t="str">
        <x:v>正例：当“食伤多现但M08判弱或失效”真实成立，且必要条件与增强条件同向时，按“食伤数量多但有效性低时不得按强泄处理”记录对应旺衰证据。</x:v>
      </x:c>
      <x:c r="AB56" s="90" t="str">
        <x:v>反例：只有表面条件，但出现“禁止按数量机械判身弱”或关键有效性未成立时，不得套用本规则。</x:v>
      </x:c>
      <x:c r="AC56" s="68" t="str">
        <x:v>https://zh.wikisource.org/wiki/%E6%B7%B5%E6%B5%B7%E5%AD%90%E5%B9%B3%E5%A4%A7%E5%85%A8 ; https://zh.wikisource.org/wiki/%E6%BB%B4%E5%A4%A9%E9%AB%93%E9%97%A1%E5%BE%AE</x:v>
      </x:c>
      <x:c r="AD56" s="82" t="str">
        <x:v>采用</x:v>
      </x:c>
      <x:c r="AE56" s="82" t="str">
        <x:v>初审</x:v>
      </x:c>
      <x:c r="AF56" s="87" t="n">
        <x:v>46255</x:v>
      </x:c>
    </x:row>
    <x:row r="57">
      <x:c r="A57" s="72" t="str">
        <x:f>IF(OR(C57="",D57=""),"",B57&amp;"-"&amp;UPPER(C57)&amp;"-"&amp;TEXT(D57,"0000")&amp;"-"&amp;E57)</x:f>
        <x:v>M09-XIE-0051-V1.0</x:v>
      </x:c>
      <x:c r="B57" s="74" t="str">
        <x:v>M09</x:v>
      </x:c>
      <x:c r="C57" s="74" t="str">
        <x:v>XIE</x:v>
      </x:c>
      <x:c r="D57" s="79" t="n">
        <x:v>51</x:v>
      </x:c>
      <x:c r="E57" s="74" t="str">
        <x:v>V1.0</x:v>
      </x:c>
      <x:c r="F57" s="68" t="str">
        <x:v>强根日主可承受中等泄身而保持中和以上</x:v>
      </x:c>
      <x:c r="G57" s="82" t="str">
        <x:v>综合层</x:v>
      </x:c>
      <x:c r="H57" s="68" t="str">
        <x:v>受泄</x:v>
      </x:c>
      <x:c r="I57" s="68" t="str">
        <x:v>中和约束</x:v>
      </x:c>
      <x:c r="J57" s="68" t="str">
        <x:v>日主多根得势，食伤为中等有效</x:v>
      </x:c>
      <x:c r="K57" s="68" t="str">
        <x:v>中高</x:v>
      </x:c>
      <x:c r="L57" s="82" t="str">
        <x:v>中</x:v>
      </x:c>
      <x:c r="M57" s="68" t="str">
        <x:v>M08完成</x:v>
      </x:c>
      <x:c r="N57" s="68" t="str">
        <x:v>日主承载强</x:v>
      </x:c>
      <x:c r="O57" s="68" t="str">
        <x:v>同时有印比补给</x:v>
      </x:c>
      <x:c r="P57" s="68" t="str">
        <x:v>食伤极旺且财再承接</x:v>
      </x:c>
      <x:c r="Q57" s="90" t="str">
        <x:v>禁止“食伤旺=日主弱”</x:v>
      </x:c>
      <x:c r="R57" s="68" t="str">
        <x:v>格局泄秀转M11/M14</x:v>
      </x:c>
      <x:c r="S57" s="68" t="str">
        <x:v>适度泄身可能只降低过旺程度</x:v>
      </x:c>
      <x:c r="T57" s="82" t="str">
        <x:v>否</x:v>
      </x:c>
      <x:c r="U57" s="82" t="str">
        <x:v>中和偏旺</x:v>
      </x:c>
      <x:c r="V57" s="84" t="str">
        <x:v>强身可泄</x:v>
      </x:c>
      <x:c r="W57" s="84" t="str">
        <x:v>日主根深得势时，中等食伤泄出未必使其转弱，可能仅由旺降至偏旺或中和。</x:v>
      </x:c>
      <x:c r="X57" s="82" t="str">
        <x:v>较高</x:v>
      </x:c>
      <x:c r="Y57" s="82" t="str">
        <x:v>现代综合</x:v>
      </x:c>
      <x:c r="Z57" s="68" t="str">
        <x:v>受泄按食伤有效力量与日主承载比较；泄身与克身机制不同，连续泄耗链还需服从源头容量。</x:v>
      </x:c>
      <x:c r="AA57" s="68" t="str">
        <x:v>正例：当“日主多根得势，食伤为中等有效”真实成立，且必要条件与增强条件同向时，按“强根日主可承受中等泄身而保持中和以上”记录对应旺衰证据。</x:v>
      </x:c>
      <x:c r="AB57" s="90" t="str">
        <x:v>反例：只有表面条件，但出现“禁止“食伤旺=日主弱””或关键有效性未成立时，不得套用本规则。</x:v>
      </x:c>
      <x:c r="AC57" s="68" t="str">
        <x:v>https://zh.wikisource.org/wiki/%E6%B7%B5%E6%B5%B7%E5%AD%90%E5%B9%B3%E5%A4%A7%E5%85%A8 ; https://zh.wikisource.org/wiki/%E6%BB%B4%E5%A4%A9%E9%AB%93%E9%97%A1%E5%BE%AE</x:v>
      </x:c>
      <x:c r="AD57" s="82" t="str">
        <x:v>采用</x:v>
      </x:c>
      <x:c r="AE57" s="82" t="str">
        <x:v>初审</x:v>
      </x:c>
      <x:c r="AF57" s="87" t="n">
        <x:v>46255</x:v>
      </x:c>
    </x:row>
    <x:row r="58">
      <x:c r="A58" s="72" t="str">
        <x:f>IF(OR(C58="",D58=""),"",B58&amp;"-"&amp;UPPER(C58)&amp;"-"&amp;TEXT(D58,"0000")&amp;"-"&amp;E58)</x:f>
        <x:v>M09-XIE-0052-V1.0</x:v>
      </x:c>
      <x:c r="B58" s="74" t="str">
        <x:v>M09</x:v>
      </x:c>
      <x:c r="C58" s="74" t="str">
        <x:v>XIE</x:v>
      </x:c>
      <x:c r="D58" s="79" t="n">
        <x:v>52</x:v>
      </x:c>
      <x:c r="E58" s="74" t="str">
        <x:v>V1.0</x:v>
      </x:c>
      <x:c r="F58" s="68" t="str">
        <x:v>食伤成势且日主根弱时可形成决定性泄身</x:v>
      </x:c>
      <x:c r="G58" s="82" t="str">
        <x:v>综合层</x:v>
      </x:c>
      <x:c r="H58" s="68" t="str">
        <x:v>受泄</x:v>
      </x:c>
      <x:c r="I58" s="68" t="str">
        <x:v>支持偏弱</x:v>
      </x:c>
      <x:c r="J58" s="68" t="str">
        <x:v>食伤五行旺/极旺且日主根气弱</x:v>
      </x:c>
      <x:c r="K58" s="68" t="str">
        <x:v>高</x:v>
      </x:c>
      <x:c r="L58" s="82" t="str">
        <x:v>决定性</x:v>
      </x:c>
      <x:c r="M58" s="68" t="str">
        <x:v>M08完成</x:v>
      </x:c>
      <x:c r="N58" s="68" t="str">
        <x:v>泄出通路连续</x:v>
      </x:c>
      <x:c r="O58" s="68" t="str">
        <x:v>食伤得令多根、财星承接</x:v>
      </x:c>
      <x:c r="P58" s="68" t="str">
        <x:v>食伤被强印制或合化转性</x:v>
      </x:c>
      <x:c r="Q58" s="90" t="str">
        <x:v>不得忽略印星对食伤的有效制约</x:v>
      </x:c>
      <x:c r="R58" s="68" t="str">
        <x:v>从儿候选转M14</x:v>
      </x:c>
      <x:c r="S58" s="68" t="str">
        <x:v>极端单向泄出可能触发特殊格局候选</x:v>
      </x:c>
      <x:c r="T58" s="82" t="str">
        <x:v>否</x:v>
      </x:c>
      <x:c r="U58" s="82" t="str">
        <x:v>弱</x:v>
      </x:c>
      <x:c r="V58" s="84" t="str">
        <x:v>食伤成势</x:v>
      </x:c>
      <x:c r="W58" s="84" t="str">
        <x:v>食伤有效成势而日主承载弱时，泄身压力可成为主导。</x:v>
      </x:c>
      <x:c r="X58" s="82" t="str">
        <x:v>较高</x:v>
      </x:c>
      <x:c r="Y58" s="82" t="str">
        <x:v>现代综合</x:v>
      </x:c>
      <x:c r="Z58" s="68" t="str">
        <x:v>受泄按食伤有效力量与日主承载比较；泄身与克身机制不同，连续泄耗链还需服从源头容量。</x:v>
      </x:c>
      <x:c r="AA58" s="68" t="str">
        <x:v>正例：当“食伤五行旺/极旺且日主根气弱”真实成立，且必要条件与增强条件同向时，按“食伤成势且日主根弱时可形成决定性泄身”记录对应旺衰证据。</x:v>
      </x:c>
      <x:c r="AB58" s="90" t="str">
        <x:v>反例：只有表面条件，但出现“不得忽略印星对食伤的有效制约”或关键有效性未成立时，不得套用本规则。</x:v>
      </x:c>
      <x:c r="AC58" s="68" t="str">
        <x:v>https://zh.wikisource.org/wiki/%E6%B7%B5%E6%B5%B7%E5%AD%90%E5%B9%B3%E5%A4%A7%E5%85%A8 ; https://zh.wikisource.org/wiki/%E6%BB%B4%E5%A4%A9%E9%AB%93%E9%97%A1%E5%BE%AE</x:v>
      </x:c>
      <x:c r="AD58" s="82" t="str">
        <x:v>采用</x:v>
      </x:c>
      <x:c r="AE58" s="82" t="str">
        <x:v>初审</x:v>
      </x:c>
      <x:c r="AF58" s="87" t="n">
        <x:v>46255</x:v>
      </x:c>
    </x:row>
    <x:row r="59">
      <x:c r="A59" s="72" t="str">
        <x:f>IF(OR(C59="",D59=""),"",B59&amp;"-"&amp;UPPER(C59)&amp;"-"&amp;TEXT(D59,"0000")&amp;"-"&amp;E59)</x:f>
        <x:v>M09-XIE-0053-V1.0</x:v>
      </x:c>
      <x:c r="B59" s="74" t="str">
        <x:v>M09</x:v>
      </x:c>
      <x:c r="C59" s="74" t="str">
        <x:v>XIE</x:v>
      </x:c>
      <x:c r="D59" s="79" t="n">
        <x:v>53</x:v>
      </x:c>
      <x:c r="E59" s="74" t="str">
        <x:v>V1.0</x:v>
      </x:c>
      <x:c r="F59" s="68" t="str">
        <x:v>食伤被强印制约时按剩余泄力计入</x:v>
      </x:c>
      <x:c r="G59" s="82" t="str">
        <x:v>综合层</x:v>
      </x:c>
      <x:c r="H59" s="68" t="str">
        <x:v>受泄</x:v>
      </x:c>
      <x:c r="I59" s="68" t="str">
        <x:v>减弱偏弱证据</x:v>
      </x:c>
      <x:c r="J59" s="68" t="str">
        <x:v>M08确认食伤被有效印星克制或冻结</x:v>
      </x:c>
      <x:c r="K59" s="68" t="str">
        <x:v>高</x:v>
      </x:c>
      <x:c r="L59" s="82" t="str">
        <x:v>强</x:v>
      </x:c>
      <x:c r="M59" s="68" t="str">
        <x:v>M08完成</x:v>
      </x:c>
      <x:c r="N59" s="68" t="str">
        <x:v>印制真实有效</x:v>
      </x:c>
      <x:c r="O59" s="68" t="str">
        <x:v>印得令有根</x:v>
      </x:c>
      <x:c r="P59" s="68" t="str">
        <x:v>印弱、被财破或制约不及</x:v>
      </x:c>
      <x:c r="Q59" s="90" t="str">
        <x:v>禁止同时按食伤原旺度和受制后旺度双计</x:v>
      </x:c>
      <x:c r="R59" s="68" t="str">
        <x:v>枭夺食等功能转M10/M11</x:v>
      </x:c>
      <x:c r="S59" s="68" t="str">
        <x:v>食伤剩余力量越低，泄身证据越弱</x:v>
      </x:c>
      <x:c r="T59" s="82" t="str">
        <x:v>是</x:v>
      </x:c>
      <x:c r="U59" s="82" t="str">
        <x:v>中和</x:v>
      </x:c>
      <x:c r="V59" s="84" t="str">
        <x:v>食伤泄力修正</x:v>
      </x:c>
      <x:c r="W59" s="84" t="str">
        <x:v>食伤已受有效制约，日主只按其剩余泄力承受影响。</x:v>
      </x:c>
      <x:c r="X59" s="82" t="str">
        <x:v>较高</x:v>
      </x:c>
      <x:c r="Y59" s="82" t="str">
        <x:v>现代综合</x:v>
      </x:c>
      <x:c r="Z59" s="68" t="str">
        <x:v>受泄按食伤有效力量与日主承载比较；泄身与克身机制不同，连续泄耗链还需服从源头容量。</x:v>
      </x:c>
      <x:c r="AA59" s="68" t="str">
        <x:v>正例：当“M08确认食伤被有效印星克制或冻结”真实成立，且必要条件与增强条件同向时，按“食伤被强印制约时按剩余泄力计入”记录对应旺衰证据。</x:v>
      </x:c>
      <x:c r="AB59" s="90" t="str">
        <x:v>反例：只有表面条件，但出现“禁止同时按食伤原旺度和受制后旺度双计”或关键有效性未成立时，不得套用本规则。</x:v>
      </x:c>
      <x:c r="AC59" s="68" t="str">
        <x:v>https://zh.wikisource.org/wiki/%E6%B7%B5%E6%B5%B7%E5%AD%90%E5%B9%B3%E5%A4%A7%E5%85%A8 ; https://zh.wikisource.org/wiki/%E6%BB%B4%E5%A4%A9%E9%AB%93%E9%97%A1%E5%BE%AE</x:v>
      </x:c>
      <x:c r="AD59" s="82" t="str">
        <x:v>采用</x:v>
      </x:c>
      <x:c r="AE59" s="82" t="str">
        <x:v>初审</x:v>
      </x:c>
      <x:c r="AF59" s="87" t="n">
        <x:v>46255</x:v>
      </x:c>
    </x:row>
    <x:row r="60">
      <x:c r="A60" s="72" t="str">
        <x:f>IF(OR(C60="",D60=""),"",B60&amp;"-"&amp;UPPER(C60)&amp;"-"&amp;TEXT(D60,"0000")&amp;"-"&amp;E60)</x:f>
        <x:v>M09-XIE-0054-V1.0</x:v>
      </x:c>
      <x:c r="B60" s="74" t="str">
        <x:v>M09</x:v>
      </x:c>
      <x:c r="C60" s="74" t="str">
        <x:v>XIE</x:v>
      </x:c>
      <x:c r="D60" s="79" t="n">
        <x:v>54</x:v>
      </x:c>
      <x:c r="E60" s="74" t="str">
        <x:v>V1.0</x:v>
      </x:c>
      <x:c r="F60" s="68" t="str">
        <x:v>食伤继续生财形成连续外泄时总耗泄需看链路有效性</x:v>
      </x:c>
      <x:c r="G60" s="82" t="str">
        <x:v>综合层</x:v>
      </x:c>
      <x:c r="H60" s="68" t="str">
        <x:v>受泄</x:v>
      </x:c>
      <x:c r="I60" s="68" t="str">
        <x:v>支持偏弱</x:v>
      </x:c>
      <x:c r="J60" s="68" t="str">
        <x:v>日主→食伤→财的连续路径在M08中有效</x:v>
      </x:c>
      <x:c r="K60" s="68" t="str">
        <x:v>中高</x:v>
      </x:c>
      <x:c r="L60" s="82" t="str">
        <x:v>强</x:v>
      </x:c>
      <x:c r="M60" s="68" t="str">
        <x:v>M08完成</x:v>
      </x:c>
      <x:c r="N60" s="68" t="str">
        <x:v>食伤与财均能承接</x:v>
      </x:c>
      <x:c r="O60" s="68" t="str">
        <x:v>链条短且财有根</x:v>
      </x:c>
      <x:c r="P60" s="68" t="str">
        <x:v>财弱、桥断或食伤被制</x:v>
      </x:c>
      <x:c r="Q60" s="90" t="str">
        <x:v>禁止把泄与耗简单相加为固定分数</x:v>
      </x:c>
      <x:c r="R60" s="68" t="str">
        <x:v>完整流通转M12</x:v>
      </x:c>
      <x:c r="S60" s="68" t="str">
        <x:v>连续外泄比单一食伤泄身更容易降低日主有效承载</x:v>
      </x:c>
      <x:c r="T60" s="82" t="str">
        <x:v>否</x:v>
      </x:c>
      <x:c r="U60" s="82" t="str">
        <x:v>弱</x:v>
      </x:c>
      <x:c r="V60" s="84" t="str">
        <x:v>连续泄耗</x:v>
      </x:c>
      <x:c r="W60" s="84" t="str">
        <x:v>食伤生财路径有效时，日主力量可持续向外传递；需同时考虑泄与耗的连续性。</x:v>
      </x:c>
      <x:c r="X60" s="82" t="str">
        <x:v>较高</x:v>
      </x:c>
      <x:c r="Y60" s="82" t="str">
        <x:v>现代综合</x:v>
      </x:c>
      <x:c r="Z60" s="68" t="str">
        <x:v>受泄按食伤有效力量与日主承载比较；泄身与克身机制不同，连续泄耗链还需服从源头容量。</x:v>
      </x:c>
      <x:c r="AA60" s="68" t="str">
        <x:v>正例：当“日主→食伤→财的连续路径在M08中有效”真实成立，且必要条件与增强条件同向时，按“食伤继续生财形成连续外泄时总耗泄需看链路有效性”记录对应旺衰证据。</x:v>
      </x:c>
      <x:c r="AB60" s="90" t="str">
        <x:v>反例：只有表面条件，但出现“禁止把泄与耗简单相加为固定分数”或关键有效性未成立时，不得套用本规则。</x:v>
      </x:c>
      <x:c r="AC60" s="68" t="str">
        <x:v>https://zh.wikisource.org/wiki/%E6%B7%B5%E6%B5%B7%E5%AD%90%E5%B9%B3%E5%A4%A7%E5%85%A8 ; https://zh.wikisource.org/wiki/%E6%BB%B4%E5%A4%A9%E9%AB%93%E9%97%A1%E5%BE%AE</x:v>
      </x:c>
      <x:c r="AD60" s="82" t="str">
        <x:v>采用</x:v>
      </x:c>
      <x:c r="AE60" s="82" t="str">
        <x:v>初审</x:v>
      </x:c>
      <x:c r="AF60" s="87" t="n">
        <x:v>46255</x:v>
      </x:c>
    </x:row>
    <x:row r="61">
      <x:c r="A61" s="72" t="str">
        <x:f>IF(OR(C61="",D61=""),"",B61&amp;"-"&amp;UPPER(C61)&amp;"-"&amp;TEXT(D61,"0000")&amp;"-"&amp;E61)</x:f>
        <x:v>M09-XIE-0055-V1.0</x:v>
      </x:c>
      <x:c r="B61" s="74" t="str">
        <x:v>M09</x:v>
      </x:c>
      <x:c r="C61" s="74" t="str">
        <x:v>XIE</x:v>
      </x:c>
      <x:c r="D61" s="79" t="n">
        <x:v>55</x:v>
      </x:c>
      <x:c r="E61" s="74" t="str">
        <x:v>V1.0</x:v>
      </x:c>
      <x:c r="F61" s="68" t="str">
        <x:v>泄身与克身性质不同但均属于负荷侧</x:v>
      </x:c>
      <x:c r="G61" s="82" t="str">
        <x:v>综合层</x:v>
      </x:c>
      <x:c r="H61" s="68" t="str">
        <x:v>受泄</x:v>
      </x:c>
      <x:c r="I61" s="68" t="str">
        <x:v>边界</x:v>
      </x:c>
      <x:c r="J61" s="68" t="str">
        <x:v>综合旺衰比较</x:v>
      </x:c>
      <x:c r="K61" s="68" t="str">
        <x:v>中</x:v>
      </x:c>
      <x:c r="L61" s="82" t="str">
        <x:v>中</x:v>
      </x:c>
      <x:c r="M61" s="68" t="str">
        <x:v>M08完成</x:v>
      </x:c>
      <x:c r="N61" s="68" t="str">
        <x:v>食伤与官杀已分别评估</x:v>
      </x:c>
      <x:c r="O61" s="68"/>
      <x:c r="P61" s="68"/>
      <x:c r="Q61" s="90" t="str">
        <x:v>禁止把泄与克完全等同或重复计算</x:v>
      </x:c>
      <x:c r="R61" s="68"/>
      <x:c r="S61" s="68" t="str">
        <x:v>泄偏向输出消耗，克偏向外部制约，二者作用机制不同</x:v>
      </x:c>
      <x:c r="T61" s="82" t="str">
        <x:v>是</x:v>
      </x:c>
      <x:c r="U61" s="82" t="str">
        <x:v>中和</x:v>
      </x:c>
      <x:c r="V61" s="84" t="str">
        <x:v>泄克分型</x:v>
      </x:c>
      <x:c r="W61" s="84" t="str">
        <x:v>受泄与受制均会降低日主相对力量，但机制不同，必须分项记录后再综合。</x:v>
      </x:c>
      <x:c r="X61" s="82" t="str">
        <x:v>较高</x:v>
      </x:c>
      <x:c r="Y61" s="82" t="str">
        <x:v>现代综合</x:v>
      </x:c>
      <x:c r="Z61" s="68" t="str">
        <x:v>受泄按食伤有效力量与日主承载比较；泄身与克身机制不同，连续泄耗链还需服从源头容量。</x:v>
      </x:c>
      <x:c r="AA61" s="68" t="str">
        <x:v>正例：当“综合旺衰比较”真实成立，且必要条件与增强条件同向时，按“泄身与克身性质不同但均属于负荷侧”记录对应旺衰证据。</x:v>
      </x:c>
      <x:c r="AB61" s="90" t="str">
        <x:v>反例：只有表面条件，但出现“禁止把泄与克完全等同或重复计算”或关键有效性未成立时，不得套用本规则。</x:v>
      </x:c>
      <x:c r="AC61" s="68" t="str">
        <x:v>https://zh.wikisource.org/wiki/%E6%B7%B5%E6%B5%B7%E5%AD%90%E5%B9%B3%E5%A4%A7%E5%85%A8 ; https://zh.wikisource.org/wiki/%E6%BB%B4%E5%A4%A9%E9%AB%93%E9%97%A1%E5%BE%AE</x:v>
      </x:c>
      <x:c r="AD61" s="82" t="str">
        <x:v>采用</x:v>
      </x:c>
      <x:c r="AE61" s="82" t="str">
        <x:v>初审</x:v>
      </x:c>
      <x:c r="AF61" s="87" t="n">
        <x:v>46255</x:v>
      </x:c>
    </x:row>
    <x:row r="62">
      <x:c r="A62" s="72" t="str">
        <x:f>IF(OR(C62="",D62=""),"",B62&amp;"-"&amp;UPPER(C62)&amp;"-"&amp;TEXT(D62,"0000")&amp;"-"&amp;E62)</x:f>
        <x:v>M09-XIE-0056-V1.0</x:v>
      </x:c>
      <x:c r="B62" s="74" t="str">
        <x:v>M09</x:v>
      </x:c>
      <x:c r="C62" s="74" t="str">
        <x:v>XIE</x:v>
      </x:c>
      <x:c r="D62" s="79" t="n">
        <x:v>56</x:v>
      </x:c>
      <x:c r="E62" s="74" t="str">
        <x:v>V1.0</x:v>
      </x:c>
      <x:c r="F62" s="68" t="str">
        <x:v>食伤过弱或通路不畅时只记录名义泄出</x:v>
      </x:c>
      <x:c r="G62" s="82" t="str">
        <x:v>综合层</x:v>
      </x:c>
      <x:c r="H62" s="68" t="str">
        <x:v>受泄</x:v>
      </x:c>
      <x:c r="I62" s="68" t="str">
        <x:v>中和约束</x:v>
      </x:c>
      <x:c r="J62" s="68" t="str">
        <x:v>食伤存在但无根、被阻或无法透达</x:v>
      </x:c>
      <x:c r="K62" s="68" t="str">
        <x:v>中</x:v>
      </x:c>
      <x:c r="L62" s="82" t="str">
        <x:v>弱</x:v>
      </x:c>
      <x:c r="M62" s="68" t="str">
        <x:v>M08完成</x:v>
      </x:c>
      <x:c r="N62" s="68" t="str">
        <x:v>有效性低</x:v>
      </x:c>
      <x:c r="O62" s="68"/>
      <x:c r="P62" s="68" t="str">
        <x:v>岁运引动另审</x:v>
      </x:c>
      <x:c r="Q62" s="90" t="str">
        <x:v>禁止把藏而不动的弱食伤视为强泄</x:v>
      </x:c>
      <x:c r="R62" s="68" t="str">
        <x:v>动态转D0</x:v>
      </x:c>
      <x:c r="S62" s="68" t="str">
        <x:v>名义存在不代表持续消耗</x:v>
      </x:c>
      <x:c r="T62" s="82" t="str">
        <x:v>是</x:v>
      </x:c>
      <x:c r="U62" s="82" t="str">
        <x:v>中和</x:v>
      </x:c>
      <x:c r="V62" s="84" t="str">
        <x:v>名义泄出</x:v>
      </x:c>
      <x:c r="W62" s="84" t="str">
        <x:v>食伤虽存在但有效性低，只构成轻度泄身证据，不足以主导日主旺衰。</x:v>
      </x:c>
      <x:c r="X62" s="82" t="str">
        <x:v>较高</x:v>
      </x:c>
      <x:c r="Y62" s="82" t="str">
        <x:v>现代综合</x:v>
      </x:c>
      <x:c r="Z62" s="68" t="str">
        <x:v>受泄按食伤有效力量与日主承载比较；泄身与克身机制不同，连续泄耗链还需服从源头容量。</x:v>
      </x:c>
      <x:c r="AA62" s="68" t="str">
        <x:v>正例：当“食伤存在但无根、被阻或无法透达”真实成立，且必要条件与增强条件同向时，按“食伤过弱或通路不畅时只记录名义泄出”记录对应旺衰证据。</x:v>
      </x:c>
      <x:c r="AB62" s="90" t="str">
        <x:v>反例：只有表面条件，但出现“禁止把藏而不动的弱食伤视为强泄”或关键有效性未成立时，不得套用本规则。</x:v>
      </x:c>
      <x:c r="AC62" s="68" t="str">
        <x:v>https://zh.wikisource.org/wiki/%E6%B7%B5%E6%B5%B7%E5%AD%90%E5%B9%B3%E5%A4%A7%E5%85%A8 ; https://zh.wikisource.org/wiki/%E6%BB%B4%E5%A4%A9%E9%AB%93%E9%97%A1%E5%BE%AE</x:v>
      </x:c>
      <x:c r="AD62" s="82" t="str">
        <x:v>采用</x:v>
      </x:c>
      <x:c r="AE62" s="82" t="str">
        <x:v>初审</x:v>
      </x:c>
      <x:c r="AF62" s="87" t="n">
        <x:v>46255</x:v>
      </x:c>
    </x:row>
    <x:row r="63">
      <x:c r="A63" s="72" t="str">
        <x:f>IF(OR(C63="",D63=""),"",B63&amp;"-"&amp;UPPER(C63)&amp;"-"&amp;TEXT(D63,"0000")&amp;"-"&amp;E63)</x:f>
        <x:v>M09-HAO-0057-V1.0</x:v>
      </x:c>
      <x:c r="B63" s="74" t="str">
        <x:v>M09</x:v>
      </x:c>
      <x:c r="C63" s="74" t="str">
        <x:v>HAO</x:v>
      </x:c>
      <x:c r="D63" s="79" t="n">
        <x:v>57</x:v>
      </x:c>
      <x:c r="E63" s="74" t="str">
        <x:v>V1.0</x:v>
      </x:c>
      <x:c r="F63" s="68" t="str">
        <x:v>有效财星构成日主主动耗力证据</x:v>
      </x:c>
      <x:c r="G63" s="82" t="str">
        <x:v>综合层</x:v>
      </x:c>
      <x:c r="H63" s="68" t="str">
        <x:v>受耗</x:v>
      </x:c>
      <x:c r="I63" s="68" t="str">
        <x:v>支持偏弱</x:v>
      </x:c>
      <x:c r="J63" s="68" t="str">
        <x:v>M08确认日主所克五行有效且能形成持续承载对象</x:v>
      </x:c>
      <x:c r="K63" s="68" t="str">
        <x:v>中高</x:v>
      </x:c>
      <x:c r="L63" s="82" t="str">
        <x:v>中</x:v>
      </x:c>
      <x:c r="M63" s="68" t="str">
        <x:v>M08完成</x:v>
      </x:c>
      <x:c r="N63" s="68" t="str">
        <x:v>财星有效</x:v>
      </x:c>
      <x:c r="O63" s="68" t="str">
        <x:v>财得令成势且日主主动克制通路明确</x:v>
      </x:c>
      <x:c r="P63" s="68" t="str">
        <x:v>财弱、被比劫制或被合化</x:v>
      </x:c>
      <x:c r="Q63" s="90" t="str">
        <x:v>禁止财星一出现就按强耗身</x:v>
      </x:c>
      <x:c r="R63" s="68" t="str">
        <x:v>财星功能转M10</x:v>
      </x:c>
      <x:c r="S63" s="68" t="str">
        <x:v>财越旺而日主越弱，耗身压力越明显</x:v>
      </x:c>
      <x:c r="T63" s="82" t="str">
        <x:v>否</x:v>
      </x:c>
      <x:c r="U63" s="82" t="str">
        <x:v>中和偏弱</x:v>
      </x:c>
      <x:c r="V63" s="84" t="str">
        <x:v>财星耗身</x:v>
      </x:c>
      <x:c r="W63" s="84" t="str">
        <x:v>有效财星会占用日主克制与承载能力，是偏弱证据之一。</x:v>
      </x:c>
      <x:c r="X63" s="82" t="str">
        <x:v>较高</x:v>
      </x:c>
      <x:c r="Y63" s="82" t="str">
        <x:v>现代综合</x:v>
      </x:c>
      <x:c r="Z63" s="68" t="str">
        <x:v>受耗按财星有效力量及日主主动克制的持续负荷判断；财星存在、财旺与实际耗身必须分开。</x:v>
      </x:c>
      <x:c r="AA63" s="68" t="str">
        <x:v>正例：当“M08确认日主所克五行有效且能形成持续承载对象”真实成立，且必要条件与增强条件同向时，按“有效财星构成日主主动耗力证据”记录对应旺衰证据。</x:v>
      </x:c>
      <x:c r="AB63" s="90" t="str">
        <x:v>反例：只有表面条件，但出现“禁止财星一出现就按强耗身”或关键有效性未成立时，不得套用本规则。</x:v>
      </x:c>
      <x:c r="AC63" s="68" t="str">
        <x:v>https://zh.wikisource.org/wiki/%E6%B7%B5%E6%B5%B7%E5%AD%90%E5%B9%B3%E5%A4%A7%E5%85%A8 ; https://zh.wikisource.org/wiki/%E6%BB%B4%E5%A4%A9%E9%AB%93%E9%97%A1%E5%BE%AE</x:v>
      </x:c>
      <x:c r="AD63" s="82" t="str">
        <x:v>采用</x:v>
      </x:c>
      <x:c r="AE63" s="82" t="str">
        <x:v>初审</x:v>
      </x:c>
      <x:c r="AF63" s="87" t="n">
        <x:v>46255</x:v>
      </x:c>
    </x:row>
    <x:row r="64">
      <x:c r="A64" s="72" t="str">
        <x:f>IF(OR(C64="",D64=""),"",B64&amp;"-"&amp;UPPER(C64)&amp;"-"&amp;TEXT(D64,"0000")&amp;"-"&amp;E64)</x:f>
        <x:v>M09-HAO-0058-V1.0</x:v>
      </x:c>
      <x:c r="B64" s="74" t="str">
        <x:v>M09</x:v>
      </x:c>
      <x:c r="C64" s="74" t="str">
        <x:v>HAO</x:v>
      </x:c>
      <x:c r="D64" s="79" t="n">
        <x:v>58</x:v>
      </x:c>
      <x:c r="E64" s="74" t="str">
        <x:v>V1.0</x:v>
      </x:c>
      <x:c r="F64" s="68" t="str">
        <x:v>财星成势而日主根弱时耗身影响显著</x:v>
      </x:c>
      <x:c r="G64" s="82" t="str">
        <x:v>综合层</x:v>
      </x:c>
      <x:c r="H64" s="68" t="str">
        <x:v>受耗</x:v>
      </x:c>
      <x:c r="I64" s="68" t="str">
        <x:v>支持偏弱</x:v>
      </x:c>
      <x:c r="J64" s="68" t="str">
        <x:v>财星旺/极旺且日主有效根弱</x:v>
      </x:c>
      <x:c r="K64" s="68" t="str">
        <x:v>高</x:v>
      </x:c>
      <x:c r="L64" s="82" t="str">
        <x:v>强</x:v>
      </x:c>
      <x:c r="M64" s="68" t="str">
        <x:v>M08完成</x:v>
      </x:c>
      <x:c r="N64" s="68" t="str">
        <x:v>财星可被日主作用且未受强比劫分担</x:v>
      </x:c>
      <x:c r="O64" s="68" t="str">
        <x:v>同时食伤生财</x:v>
      </x:c>
      <x:c r="P64" s="68" t="str">
        <x:v>财受制或日主有强印比</x:v>
      </x:c>
      <x:c r="Q64" s="90" t="str">
        <x:v>禁止直接从财旺推出富贵或喜忌</x:v>
      </x:c>
      <x:c r="R64" s="68" t="str">
        <x:v>从财候选转M14</x:v>
      </x:c>
      <x:c r="S64" s="68" t="str">
        <x:v>极端财势可能使日主进入弱/极弱候选</x:v>
      </x:c>
      <x:c r="T64" s="82" t="str">
        <x:v>否</x:v>
      </x:c>
      <x:c r="U64" s="82" t="str">
        <x:v>弱</x:v>
      </x:c>
      <x:c r="V64" s="84" t="str">
        <x:v>财旺耗身</x:v>
      </x:c>
      <x:c r="W64" s="84" t="str">
        <x:v>财星有效成势而日主承载弱时，耗身可成为重要负荷。</x:v>
      </x:c>
      <x:c r="X64" s="82" t="str">
        <x:v>较高</x:v>
      </x:c>
      <x:c r="Y64" s="82" t="str">
        <x:v>现代综合</x:v>
      </x:c>
      <x:c r="Z64" s="68" t="str">
        <x:v>受耗按财星有效力量及日主主动克制的持续负荷判断；财星存在、财旺与实际耗身必须分开。</x:v>
      </x:c>
      <x:c r="AA64" s="68" t="str">
        <x:v>正例：当“财星旺/极旺且日主有效根弱”真实成立，且必要条件与增强条件同向时，按“财星成势而日主根弱时耗身影响显著”记录对应旺衰证据。</x:v>
      </x:c>
      <x:c r="AB64" s="90" t="str">
        <x:v>反例：只有表面条件，但出现“禁止直接从财旺推出富贵或喜忌”或关键有效性未成立时，不得套用本规则。</x:v>
      </x:c>
      <x:c r="AC64" s="68" t="str">
        <x:v>https://zh.wikisource.org/wiki/%E6%B7%B5%E6%B5%B7%E5%AD%90%E5%B9%B3%E5%A4%A7%E5%85%A8 ; https://zh.wikisource.org/wiki/%E6%BB%B4%E5%A4%A9%E9%AB%93%E9%97%A1%E5%BE%AE</x:v>
      </x:c>
      <x:c r="AD64" s="82" t="str">
        <x:v>采用</x:v>
      </x:c>
      <x:c r="AE64" s="82" t="str">
        <x:v>初审</x:v>
      </x:c>
      <x:c r="AF64" s="87" t="n">
        <x:v>46255</x:v>
      </x:c>
    </x:row>
    <x:row r="65">
      <x:c r="A65" s="72" t="str">
        <x:f>IF(OR(C65="",D65=""),"",B65&amp;"-"&amp;UPPER(C65)&amp;"-"&amp;TEXT(D65,"0000")&amp;"-"&amp;E65)</x:f>
        <x:v>M09-HAO-0059-V1.0</x:v>
      </x:c>
      <x:c r="B65" s="74" t="str">
        <x:v>M09</x:v>
      </x:c>
      <x:c r="C65" s="74" t="str">
        <x:v>HAO</x:v>
      </x:c>
      <x:c r="D65" s="79" t="n">
        <x:v>59</x:v>
      </x:c>
      <x:c r="E65" s="74" t="str">
        <x:v>V1.0</x:v>
      </x:c>
      <x:c r="F65" s="68" t="str">
        <x:v>财星弱或受比劫制约时耗身证据下调</x:v>
      </x:c>
      <x:c r="G65" s="82" t="str">
        <x:v>综合层</x:v>
      </x:c>
      <x:c r="H65" s="68" t="str">
        <x:v>受耗</x:v>
      </x:c>
      <x:c r="I65" s="68" t="str">
        <x:v>减弱偏弱证据</x:v>
      </x:c>
      <x:c r="J65" s="68" t="str">
        <x:v>财星原有但M08判弱、受制或失效</x:v>
      </x:c>
      <x:c r="K65" s="68" t="str">
        <x:v>中高</x:v>
      </x:c>
      <x:c r="L65" s="82" t="str">
        <x:v>中</x:v>
      </x:c>
      <x:c r="M65" s="68" t="str">
        <x:v>M08完成</x:v>
      </x:c>
      <x:c r="N65" s="68" t="str">
        <x:v>财有效性已修正</x:v>
      </x:c>
      <x:c r="O65" s="68"/>
      <x:c r="P65" s="68" t="str">
        <x:v>财另有独立强根</x:v>
      </x:c>
      <x:c r="Q65" s="90" t="str">
        <x:v>禁止仍按原始财量满额耗身</x:v>
      </x:c>
      <x:c r="R65" s="68" t="str">
        <x:v>十神关系转M10/M11</x:v>
      </x:c>
      <x:c r="S65" s="68" t="str">
        <x:v>剩余财力越低，日主耗力越少</x:v>
      </x:c>
      <x:c r="T65" s="82" t="str">
        <x:v>是</x:v>
      </x:c>
      <x:c r="U65" s="82" t="str">
        <x:v>中和</x:v>
      </x:c>
      <x:c r="V65" s="84" t="str">
        <x:v>财耗修正</x:v>
      </x:c>
      <x:c r="W65" s="84" t="str">
        <x:v>财星实际有效性低，日主耗身压力相应下调。</x:v>
      </x:c>
      <x:c r="X65" s="82" t="str">
        <x:v>较高</x:v>
      </x:c>
      <x:c r="Y65" s="82" t="str">
        <x:v>现代综合</x:v>
      </x:c>
      <x:c r="Z65" s="68" t="str">
        <x:v>受耗按财星有效力量及日主主动克制的持续负荷判断；财星存在、财旺与实际耗身必须分开。</x:v>
      </x:c>
      <x:c r="AA65" s="68" t="str">
        <x:v>正例：当“财星原有但M08判弱、受制或失效”真实成立，且必要条件与增强条件同向时，按“财星弱或受比劫制约时耗身证据下调”记录对应旺衰证据。</x:v>
      </x:c>
      <x:c r="AB65" s="90" t="str">
        <x:v>反例：只有表面条件，但出现“禁止仍按原始财量满额耗身”或关键有效性未成立时，不得套用本规则。</x:v>
      </x:c>
      <x:c r="AC65" s="68" t="str">
        <x:v>https://zh.wikisource.org/wiki/%E6%B7%B5%E6%B5%B7%E5%AD%90%E5%B9%B3%E5%A4%A7%E5%85%A8 ; https://zh.wikisource.org/wiki/%E6%BB%B4%E5%A4%A9%E9%AB%93%E9%97%A1%E5%BE%AE</x:v>
      </x:c>
      <x:c r="AD65" s="82" t="str">
        <x:v>采用</x:v>
      </x:c>
      <x:c r="AE65" s="82" t="str">
        <x:v>初审</x:v>
      </x:c>
      <x:c r="AF65" s="87" t="n">
        <x:v>46255</x:v>
      </x:c>
    </x:row>
    <x:row r="66">
      <x:c r="A66" s="72" t="str">
        <x:f>IF(OR(C66="",D66=""),"",B66&amp;"-"&amp;UPPER(C66)&amp;"-"&amp;TEXT(D66,"0000")&amp;"-"&amp;E66)</x:f>
        <x:v>M09-HAO-0060-V1.0</x:v>
      </x:c>
      <x:c r="B66" s="74" t="str">
        <x:v>M09</x:v>
      </x:c>
      <x:c r="C66" s="74" t="str">
        <x:v>HAO</x:v>
      </x:c>
      <x:c r="D66" s="79" t="n">
        <x:v>60</x:v>
      </x:c>
      <x:c r="E66" s="74" t="str">
        <x:v>V1.0</x:v>
      </x:c>
      <x:c r="F66" s="68" t="str">
        <x:v>强旺日主可任一定财而不必转弱</x:v>
      </x:c>
      <x:c r="G66" s="82" t="str">
        <x:v>综合层</x:v>
      </x:c>
      <x:c r="H66" s="68" t="str">
        <x:v>受耗</x:v>
      </x:c>
      <x:c r="I66" s="68" t="str">
        <x:v>中和约束</x:v>
      </x:c>
      <x:c r="J66" s="68" t="str">
        <x:v>日主多根得势，财为中等有效</x:v>
      </x:c>
      <x:c r="K66" s="68" t="str">
        <x:v>中高</x:v>
      </x:c>
      <x:c r="L66" s="82" t="str">
        <x:v>中</x:v>
      </x:c>
      <x:c r="M66" s="68" t="str">
        <x:v>M08完成</x:v>
      </x:c>
      <x:c r="N66" s="68" t="str">
        <x:v>扶身侧明显</x:v>
      </x:c>
      <x:c r="O66" s="68" t="str">
        <x:v>印比有续航</x:v>
      </x:c>
      <x:c r="P66" s="68" t="str">
        <x:v>财极旺且食伤持续生财</x:v>
      </x:c>
      <x:c r="Q66" s="90" t="str">
        <x:v>禁止“财多=身弱”的单句判断</x:v>
      </x:c>
      <x:c r="R66" s="68" t="str">
        <x:v>身财两停等组合转M11</x:v>
      </x:c>
      <x:c r="S66" s="68" t="str">
        <x:v>日主强时财耗可能只降低过旺程度</x:v>
      </x:c>
      <x:c r="T66" s="82" t="str">
        <x:v>否</x:v>
      </x:c>
      <x:c r="U66" s="82" t="str">
        <x:v>中和偏旺</x:v>
      </x:c>
      <x:c r="V66" s="84" t="str">
        <x:v>强身任财</x:v>
      </x:c>
      <x:c r="W66" s="84" t="str">
        <x:v>日主根深得势时可承受一定财星耗力，不因有财就直接判弱。</x:v>
      </x:c>
      <x:c r="X66" s="82" t="str">
        <x:v>较高</x:v>
      </x:c>
      <x:c r="Y66" s="82" t="str">
        <x:v>现代综合</x:v>
      </x:c>
      <x:c r="Z66" s="68" t="str">
        <x:v>受耗按财星有效力量及日主主动克制的持续负荷判断；财星存在、财旺与实际耗身必须分开。</x:v>
      </x:c>
      <x:c r="AA66" s="68" t="str">
        <x:v>正例：当“日主多根得势，财为中等有效”真实成立，且必要条件与增强条件同向时，按“强旺日主可任一定财而不必转弱”记录对应旺衰证据。</x:v>
      </x:c>
      <x:c r="AB66" s="90" t="str">
        <x:v>反例：只有表面条件，但出现“禁止“财多=身弱”的单句判断”或关键有效性未成立时，不得套用本规则。</x:v>
      </x:c>
      <x:c r="AC66" s="68" t="str">
        <x:v>https://zh.wikisource.org/wiki/%E6%B7%B5%E6%B5%B7%E5%AD%90%E5%B9%B3%E5%A4%A7%E5%85%A8 ; https://zh.wikisource.org/wiki/%E6%BB%B4%E5%A4%A9%E9%AB%93%E9%97%A1%E5%BE%AE</x:v>
      </x:c>
      <x:c r="AD66" s="82" t="str">
        <x:v>采用</x:v>
      </x:c>
      <x:c r="AE66" s="82" t="str">
        <x:v>初审</x:v>
      </x:c>
      <x:c r="AF66" s="87" t="n">
        <x:v>46255</x:v>
      </x:c>
    </x:row>
    <x:row r="67">
      <x:c r="A67" s="72" t="str">
        <x:f>IF(OR(C67="",D67=""),"",B67&amp;"-"&amp;UPPER(C67)&amp;"-"&amp;TEXT(D67,"0000")&amp;"-"&amp;E67)</x:f>
        <x:v>M09-HAO-0061-V1.0</x:v>
      </x:c>
      <x:c r="B67" s="74" t="str">
        <x:v>M09</x:v>
      </x:c>
      <x:c r="C67" s="74" t="str">
        <x:v>HAO</x:v>
      </x:c>
      <x:c r="D67" s="79" t="n">
        <x:v>61</x:v>
      </x:c>
      <x:c r="E67" s="74" t="str">
        <x:v>V1.0</x:v>
      </x:c>
      <x:c r="F67" s="68" t="str">
        <x:v>财耗与食伤生财共享同一外泄链时需去重</x:v>
      </x:c>
      <x:c r="G67" s="82" t="str">
        <x:v>综合层</x:v>
      </x:c>
      <x:c r="H67" s="68" t="str">
        <x:v>受耗</x:v>
      </x:c>
      <x:c r="I67" s="68" t="str">
        <x:v>证据去重</x:v>
      </x:c>
      <x:c r="J67" s="68" t="str">
        <x:v>同一食伤→财链同时被记录为泄身和耗身</x:v>
      </x:c>
      <x:c r="K67" s="68" t="str">
        <x:v>高</x:v>
      </x:c>
      <x:c r="L67" s="82" t="str">
        <x:v>中</x:v>
      </x:c>
      <x:c r="M67" s="68" t="str">
        <x:v>M08完成</x:v>
      </x:c>
      <x:c r="N67" s="68" t="str">
        <x:v>属于同一连续路径</x:v>
      </x:c>
      <x:c r="O67" s="68" t="str">
        <x:v>另有独立财源或独立食伤</x:v>
      </x:c>
      <x:c r="P67" s="68"/>
      <x:c r="Q67" s="90" t="str">
        <x:v>禁止把同一股力量按泄与耗重复全额累加</x:v>
      </x:c>
      <x:c r="R67" s="68" t="str">
        <x:v>M12可进一步描述链路</x:v>
      </x:c>
      <x:c r="S67" s="68" t="str">
        <x:v>连续链可加重外泄，但总容量受源头限制</x:v>
      </x:c>
      <x:c r="T67" s="82" t="str">
        <x:v>是</x:v>
      </x:c>
      <x:c r="U67" s="82" t="str">
        <x:v>中和偏弱</x:v>
      </x:c>
      <x:c r="V67" s="84" t="str">
        <x:v>泄耗链去重</x:v>
      </x:c>
      <x:c r="W67" s="84" t="str">
        <x:v>同一食伤生财链可说明连续外泄，但泄与耗不得脱离源头容量重复满额计权。</x:v>
      </x:c>
      <x:c r="X67" s="82" t="str">
        <x:v>较高</x:v>
      </x:c>
      <x:c r="Y67" s="82" t="str">
        <x:v>现代综合</x:v>
      </x:c>
      <x:c r="Z67" s="68" t="str">
        <x:v>受耗按财星有效力量及日主主动克制的持续负荷判断；财星存在、财旺与实际耗身必须分开。</x:v>
      </x:c>
      <x:c r="AA67" s="68" t="str">
        <x:v>正例：当“同一食伤→财链同时被记录为泄身和耗身”真实成立，且必要条件与增强条件同向时，按“财耗与食伤生财共享同一外泄链时需去重”记录对应旺衰证据。</x:v>
      </x:c>
      <x:c r="AB67" s="90" t="str">
        <x:v>反例：只有表面条件，但出现“禁止把同一股力量按泄与耗重复全额累加”或关键有效性未成立时，不得套用本规则。</x:v>
      </x:c>
      <x:c r="AC67" s="68" t="str">
        <x:v>https://zh.wikisource.org/wiki/%E6%B7%B5%E6%B5%B7%E5%AD%90%E5%B9%B3%E5%A4%A7%E5%85%A8 ; https://zh.wikisource.org/wiki/%E6%BB%B4%E5%A4%A9%E9%AB%93%E9%97%A1%E5%BE%AE</x:v>
      </x:c>
      <x:c r="AD67" s="82" t="str">
        <x:v>采用</x:v>
      </x:c>
      <x:c r="AE67" s="82" t="str">
        <x:v>初审</x:v>
      </x:c>
      <x:c r="AF67" s="87" t="n">
        <x:v>46255</x:v>
      </x:c>
    </x:row>
    <x:row r="68">
      <x:c r="A68" s="72" t="str">
        <x:f>IF(OR(C68="",D68=""),"",B68&amp;"-"&amp;UPPER(C68)&amp;"-"&amp;TEXT(D68,"0000")&amp;"-"&amp;E68)</x:f>
        <x:v>M09-HAO-0062-V1.0</x:v>
      </x:c>
      <x:c r="B68" s="74" t="str">
        <x:v>M09</x:v>
      </x:c>
      <x:c r="C68" s="74" t="str">
        <x:v>HAO</x:v>
      </x:c>
      <x:c r="D68" s="79" t="n">
        <x:v>62</x:v>
      </x:c>
      <x:c r="E68" s="74" t="str">
        <x:v>V1.0</x:v>
      </x:c>
      <x:c r="F68" s="68" t="str">
        <x:v>财官食伤多不等于日主必弱</x:v>
      </x:c>
      <x:c r="G68" s="82" t="str">
        <x:v>综合层</x:v>
      </x:c>
      <x:c r="H68" s="68" t="str">
        <x:v>受耗</x:v>
      </x:c>
      <x:c r="I68" s="68" t="str">
        <x:v>边界</x:v>
      </x:c>
      <x:c r="J68" s="68" t="str">
        <x:v>财、官杀、食伤类别或数量较多</x:v>
      </x:c>
      <x:c r="K68" s="68" t="str">
        <x:v>高</x:v>
      </x:c>
      <x:c r="L68" s="82" t="str">
        <x:v>决定性</x:v>
      </x:c>
      <x:c r="M68" s="68" t="str">
        <x:v>M08完成</x:v>
      </x:c>
      <x:c r="N68" s="68" t="str">
        <x:v>分别评估三类有效力量与通路</x:v>
      </x:c>
      <x:c r="O68" s="68" t="str">
        <x:v>三类都强且日主承载弱</x:v>
      </x:c>
      <x:c r="P68" s="68" t="str">
        <x:v>多而弱、被制化或互相转流</x:v>
      </x:c>
      <x:c r="Q68" s="90" t="str">
        <x:v>禁止按十神类别数量直接判弱</x:v>
      </x:c>
      <x:c r="R68" s="68" t="str">
        <x:v>格局与组合转M10-M15</x:v>
      </x:c>
      <x:c r="S68" s="68" t="str">
        <x:v>只有实际制泄耗合力超过扶身侧时才形成身弱</x:v>
      </x:c>
      <x:c r="T68" s="82" t="str">
        <x:v>否</x:v>
      </x:c>
      <x:c r="U68" s="82" t="str">
        <x:v>中和</x:v>
      </x:c>
      <x:c r="V68" s="84" t="str">
        <x:v>多负荷非弱充分条件</x:v>
      </x:c>
      <x:c r="W68" s="84" t="str">
        <x:v>财官食伤多只是负荷候选；是否身弱取决于它们的有效力量、通路与日主承载。</x:v>
      </x:c>
      <x:c r="X68" s="82" t="str">
        <x:v>较高</x:v>
      </x:c>
      <x:c r="Y68" s="82" t="str">
        <x:v>现代综合</x:v>
      </x:c>
      <x:c r="Z68" s="68" t="str">
        <x:v>受耗按财星有效力量及日主主动克制的持续负荷判断；财星存在、财旺与实际耗身必须分开。</x:v>
      </x:c>
      <x:c r="AA68" s="68" t="str">
        <x:v>正例：当“财、官杀、食伤类别或数量较多”真实成立，且必要条件与增强条件同向时，按“财官食伤多不等于日主必弱”记录对应旺衰证据。</x:v>
      </x:c>
      <x:c r="AB68" s="90" t="str">
        <x:v>反例：只有表面条件，但出现“禁止按十神类别数量直接判弱”或关键有效性未成立时，不得套用本规则。</x:v>
      </x:c>
      <x:c r="AC68" s="68" t="str">
        <x:v>https://zh.wikisource.org/wiki/%E6%B7%B5%E6%B5%B7%E5%AD%90%E5%B9%B3%E5%A4%A7%E5%85%A8 ; https://zh.wikisource.org/wiki/%E6%BB%B4%E5%A4%A9%E9%AB%93%E9%97%A1%E5%BE%AE</x:v>
      </x:c>
      <x:c r="AD68" s="82" t="str">
        <x:v>采用</x:v>
      </x:c>
      <x:c r="AE68" s="82" t="str">
        <x:v>初审</x:v>
      </x:c>
      <x:c r="AF68" s="87" t="n">
        <x:v>46255</x:v>
      </x:c>
    </x:row>
    <x:row r="69">
      <x:c r="A69" s="72" t="str">
        <x:f>IF(OR(C69="",D69=""),"",B69&amp;"-"&amp;UPPER(C69)&amp;"-"&amp;TEXT(D69,"0000")&amp;"-"&amp;E69)</x:f>
        <x:v>M09-SYN-0063-V1.0</x:v>
      </x:c>
      <x:c r="B69" s="74" t="str">
        <x:v>M09</x:v>
      </x:c>
      <x:c r="C69" s="74" t="str">
        <x:v>SYN</x:v>
      </x:c>
      <x:c r="D69" s="79" t="n">
        <x:v>63</x:v>
      </x:c>
      <x:c r="E69" s="74" t="str">
        <x:v>V1.0</x:v>
      </x:c>
      <x:c r="F69" s="68" t="str">
        <x:v>日主旺衰先分扶身侧与负荷侧再比较净优势</x:v>
      </x:c>
      <x:c r="G69" s="82" t="str">
        <x:v>综合层</x:v>
      </x:c>
      <x:c r="H69" s="68" t="str">
        <x:v>综合比较</x:v>
      </x:c>
      <x:c r="I69" s="68" t="str">
        <x:v>双向</x:v>
      </x:c>
      <x:c r="J69" s="68" t="str">
        <x:v>扶身侧包括有效根、比劫、印；负荷侧包括有效官杀、食伤、财</x:v>
      </x:c>
      <x:c r="K69" s="68" t="str">
        <x:v>高</x:v>
      </x:c>
      <x:c r="L69" s="82" t="str">
        <x:v>决定性</x:v>
      </x:c>
      <x:c r="M69" s="68" t="str">
        <x:v>M03/M08完成</x:v>
      </x:c>
      <x:c r="N69" s="68" t="str">
        <x:v>各分项均已按有效性修正</x:v>
      </x:c>
      <x:c r="O69" s="68" t="str">
        <x:v>一侧多维强证据同向</x:v>
      </x:c>
      <x:c r="P69" s="68" t="str">
        <x:v>双方证据高度冲突</x:v>
      </x:c>
      <x:c r="Q69" s="90" t="str">
        <x:v>禁止使用原始数量代替有效净优势</x:v>
      </x:c>
      <x:c r="R69" s="68" t="str">
        <x:v>特殊格局转M14</x:v>
      </x:c>
      <x:c r="S69" s="68" t="str">
        <x:v>净优势小则落在中和附近，净优势大才进入旺/弱</x:v>
      </x:c>
      <x:c r="T69" s="82" t="str">
        <x:v>否</x:v>
      </x:c>
      <x:c r="U69" s="82" t="str">
        <x:v>中和</x:v>
      </x:c>
      <x:c r="V69" s="84" t="str">
        <x:v>双侧净优势</x:v>
      </x:c>
      <x:c r="W69" s="84" t="str">
        <x:v>日主旺衰以扶身侧与制泄耗侧的有效净优势裁定，而非按元素数量投票。</x:v>
      </x:c>
      <x:c r="X69" s="82" t="str">
        <x:v>较高</x:v>
      </x:c>
      <x:c r="Y69" s="82" t="str">
        <x:v>现代综合</x:v>
      </x:c>
      <x:c r="Z69" s="68" t="str">
        <x:v>综合裁定比较扶身侧与负荷侧的有效净优势，采用强证据优先、同源去重、反证保留和冲突降置信。</x:v>
      </x:c>
      <x:c r="AA69" s="68" t="str">
        <x:v>正例：当“扶身侧包括有效根、比劫、印；负荷侧包括有效官杀、食伤、财”真实成立，且必要条件与增强条件同向时，按“日主旺衰先分扶身侧与负荷侧再比较净优势”记录对应旺衰证据。</x:v>
      </x:c>
      <x:c r="AB69" s="90" t="str">
        <x:v>反例：只有表面条件，但出现“禁止使用原始数量代替有效净优势”或关键有效性未成立时，不得套用本规则。</x:v>
      </x:c>
      <x:c r="AC69" s="68" t="str">
        <x:v>https://zh.wikisource.org/wiki/%E6%B7%B5%E6%B5%B7%E5%AD%90%E5%B9%B3%E5%A4%A7%E5%85%A8 ; https://zh.wikisource.org/wiki/%E6%BB%B4%E5%A4%A9%E9%AB%93%E9%97%A1%E5%BE%AE</x:v>
      </x:c>
      <x:c r="AD69" s="82" t="str">
        <x:v>采用</x:v>
      </x:c>
      <x:c r="AE69" s="82" t="str">
        <x:v>初审</x:v>
      </x:c>
      <x:c r="AF69" s="87" t="n">
        <x:v>46255</x:v>
      </x:c>
    </x:row>
    <x:row r="70">
      <x:c r="A70" s="72" t="str">
        <x:f>IF(OR(C70="",D70=""),"",B70&amp;"-"&amp;UPPER(C70)&amp;"-"&amp;TEXT(D70,"0000")&amp;"-"&amp;E70)</x:f>
        <x:v>M09-SYN-0064-V1.0</x:v>
      </x:c>
      <x:c r="B70" s="74" t="str">
        <x:v>M09</x:v>
      </x:c>
      <x:c r="C70" s="74" t="str">
        <x:v>SYN</x:v>
      </x:c>
      <x:c r="D70" s="79" t="n">
        <x:v>64</x:v>
      </x:c>
      <x:c r="E70" s="74" t="str">
        <x:v>V1.0</x:v>
      </x:c>
      <x:c r="F70" s="68" t="str">
        <x:v>扶身侧必须包含日主自身承载而不只统计印比</x:v>
      </x:c>
      <x:c r="G70" s="82" t="str">
        <x:v>综合层</x:v>
      </x:c>
      <x:c r="H70" s="68" t="str">
        <x:v>综合比较</x:v>
      </x:c>
      <x:c r="I70" s="68" t="str">
        <x:v>支持偏旺</x:v>
      </x:c>
      <x:c r="J70" s="68" t="str">
        <x:v>评估日主扶身侧</x:v>
      </x:c>
      <x:c r="K70" s="68" t="str">
        <x:v>高</x:v>
      </x:c>
      <x:c r="L70" s="82" t="str">
        <x:v>强</x:v>
      </x:c>
      <x:c r="M70" s="68" t="str">
        <x:v>M08完成</x:v>
      </x:c>
      <x:c r="N70" s="68" t="str">
        <x:v>至少纳入有效根气</x:v>
      </x:c>
      <x:c r="O70" s="68" t="str">
        <x:v>多根且印比有效</x:v>
      </x:c>
      <x:c r="P70" s="68" t="str">
        <x:v>日主无根而印比浮弱</x:v>
      </x:c>
      <x:c r="Q70" s="90" t="str">
        <x:v>禁止只把印比数量当日主力量</x:v>
      </x:c>
      <x:c r="R70" s="68"/>
      <x:c r="S70" s="68" t="str">
        <x:v>根气决定扶持能否落地与持续</x:v>
      </x:c>
      <x:c r="T70" s="82" t="str">
        <x:v>是</x:v>
      </x:c>
      <x:c r="U70" s="82" t="str">
        <x:v>中和偏旺</x:v>
      </x:c>
      <x:c r="V70" s="84" t="str">
        <x:v>承载纳入扶身</x:v>
      </x:c>
      <x:c r="W70" s="84" t="str">
        <x:v>扶身侧必须同时考虑日主有效根气与印比支持，不能只看外部帮扶。</x:v>
      </x:c>
      <x:c r="X70" s="82" t="str">
        <x:v>较高</x:v>
      </x:c>
      <x:c r="Y70" s="82" t="str">
        <x:v>现代综合</x:v>
      </x:c>
      <x:c r="Z70" s="68" t="str">
        <x:v>综合裁定比较扶身侧与负荷侧的有效净优势，采用强证据优先、同源去重、反证保留和冲突降置信。</x:v>
      </x:c>
      <x:c r="AA70" s="68" t="str">
        <x:v>正例：当“评估日主扶身侧”真实成立，且必要条件与增强条件同向时，按“扶身侧必须包含日主自身承载而不只统计印比”记录对应旺衰证据。</x:v>
      </x:c>
      <x:c r="AB70" s="90" t="str">
        <x:v>反例：只有表面条件，但出现“禁止只把印比数量当日主力量”或关键有效性未成立时，不得套用本规则。</x:v>
      </x:c>
      <x:c r="AC70" s="68" t="str">
        <x:v>https://zh.wikisource.org/wiki/%E6%B7%B5%E6%B5%B7%E5%AD%90%E5%B9%B3%E5%A4%A7%E5%85%A8 ; https://zh.wikisource.org/wiki/%E6%BB%B4%E5%A4%A9%E9%AB%93%E9%97%A1%E5%BE%AE</x:v>
      </x:c>
      <x:c r="AD70" s="82" t="str">
        <x:v>采用</x:v>
      </x:c>
      <x:c r="AE70" s="82" t="str">
        <x:v>初审</x:v>
      </x:c>
      <x:c r="AF70" s="87" t="n">
        <x:v>46255</x:v>
      </x:c>
    </x:row>
    <x:row r="71">
      <x:c r="A71" s="72" t="str">
        <x:f>IF(OR(C71="",D71=""),"",B71&amp;"-"&amp;UPPER(C71)&amp;"-"&amp;TEXT(D71,"0000")&amp;"-"&amp;E71)</x:f>
        <x:v>M09-SYN-0065-V1.0</x:v>
      </x:c>
      <x:c r="B71" s="74" t="str">
        <x:v>M09</x:v>
      </x:c>
      <x:c r="C71" s="74" t="str">
        <x:v>SYN</x:v>
      </x:c>
      <x:c r="D71" s="79" t="n">
        <x:v>65</x:v>
      </x:c>
      <x:c r="E71" s="74" t="str">
        <x:v>V1.0</x:v>
      </x:c>
      <x:c r="F71" s="68" t="str">
        <x:v>负荷侧三类力量必须按实际通路分别计算后再合并</x:v>
      </x:c>
      <x:c r="G71" s="82" t="str">
        <x:v>综合层</x:v>
      </x:c>
      <x:c r="H71" s="68" t="str">
        <x:v>综合比较</x:v>
      </x:c>
      <x:c r="I71" s="68" t="str">
        <x:v>支持偏弱</x:v>
      </x:c>
      <x:c r="J71" s="68" t="str">
        <x:v>官杀、食伤、财同时出现</x:v>
      </x:c>
      <x:c r="K71" s="68" t="str">
        <x:v>高</x:v>
      </x:c>
      <x:c r="L71" s="82" t="str">
        <x:v>强</x:v>
      </x:c>
      <x:c r="M71" s="68" t="str">
        <x:v>M08完成</x:v>
      </x:c>
      <x:c r="N71" s="68" t="str">
        <x:v>三类均已有有效性结论</x:v>
      </x:c>
      <x:c r="O71" s="68" t="str">
        <x:v>多条独立通路同时成立</x:v>
      </x:c>
      <x:c r="P71" s="68" t="str">
        <x:v>多类力量共享同一来源或互相制化</x:v>
      </x:c>
      <x:c r="Q71" s="90" t="str">
        <x:v>禁止简单相加固定分值</x:v>
      </x:c>
      <x:c r="R71" s="68" t="str">
        <x:v>组合制化转M11</x:v>
      </x:c>
      <x:c r="S71" s="68" t="str">
        <x:v>独立且有效的压力通路越多，偏弱证据越稳</x:v>
      </x:c>
      <x:c r="T71" s="82" t="str">
        <x:v>否</x:v>
      </x:c>
      <x:c r="U71" s="82" t="str">
        <x:v>中和偏弱</x:v>
      </x:c>
      <x:c r="V71" s="84" t="str">
        <x:v>多负荷合并</x:v>
      </x:c>
      <x:c r="W71" s="84" t="str">
        <x:v>受制、受泄、受耗应先分项判断，再按独立有效通路合并。</x:v>
      </x:c>
      <x:c r="X71" s="82" t="str">
        <x:v>较高</x:v>
      </x:c>
      <x:c r="Y71" s="82" t="str">
        <x:v>现代综合</x:v>
      </x:c>
      <x:c r="Z71" s="68" t="str">
        <x:v>综合裁定比较扶身侧与负荷侧的有效净优势，采用强证据优先、同源去重、反证保留和冲突降置信。</x:v>
      </x:c>
      <x:c r="AA71" s="68" t="str">
        <x:v>正例：当“官杀、食伤、财同时出现”真实成立，且必要条件与增强条件同向时，按“负荷侧三类力量必须按实际通路分别计算后再合并”记录对应旺衰证据。</x:v>
      </x:c>
      <x:c r="AB71" s="90" t="str">
        <x:v>反例：只有表面条件，但出现“禁止简单相加固定分值”或关键有效性未成立时，不得套用本规则。</x:v>
      </x:c>
      <x:c r="AC71" s="68" t="str">
        <x:v>https://zh.wikisource.org/wiki/%E6%B7%B5%E6%B5%B7%E5%AD%90%E5%B9%B3%E5%A4%A7%E5%85%A8 ; https://zh.wikisource.org/wiki/%E6%BB%B4%E5%A4%A9%E9%AB%93%E9%97%A1%E5%BE%AE</x:v>
      </x:c>
      <x:c r="AD71" s="82" t="str">
        <x:v>采用</x:v>
      </x:c>
      <x:c r="AE71" s="82" t="str">
        <x:v>初审</x:v>
      </x:c>
      <x:c r="AF71" s="87" t="n">
        <x:v>46255</x:v>
      </x:c>
    </x:row>
    <x:row r="72">
      <x:c r="A72" s="72" t="str">
        <x:f>IF(OR(C72="",D72=""),"",B72&amp;"-"&amp;UPPER(C72)&amp;"-"&amp;TEXT(D72,"0000")&amp;"-"&amp;E72)</x:f>
        <x:v>M09-SYN-0066-V1.0</x:v>
      </x:c>
      <x:c r="B72" s="74" t="str">
        <x:v>M09</x:v>
      </x:c>
      <x:c r="C72" s="74" t="str">
        <x:v>SYN</x:v>
      </x:c>
      <x:c r="D72" s="79" t="n">
        <x:v>66</x:v>
      </x:c>
      <x:c r="E72" s="74" t="str">
        <x:v>V1.0</x:v>
      </x:c>
      <x:c r="F72" s="68" t="str">
        <x:v>一个决定性强证据可压过多个微弱证据</x:v>
      </x:c>
      <x:c r="G72" s="82" t="str">
        <x:v>综合层</x:v>
      </x:c>
      <x:c r="H72" s="68" t="str">
        <x:v>综合比较</x:v>
      </x:c>
      <x:c r="I72" s="68" t="str">
        <x:v>证据质量优先</x:v>
      </x:c>
      <x:c r="J72" s="68" t="str">
        <x:v>一侧有决定性强证据，另一侧仅多个弱证据</x:v>
      </x:c>
      <x:c r="K72" s="68" t="str">
        <x:v>高</x:v>
      </x:c>
      <x:c r="L72" s="82" t="str">
        <x:v>强</x:v>
      </x:c>
      <x:c r="M72" s="68" t="str">
        <x:v>M08完成</x:v>
      </x:c>
      <x:c r="N72" s="68" t="str">
        <x:v>强证据来源独立且真实</x:v>
      </x:c>
      <x:c r="O72" s="68" t="str">
        <x:v>强证据另有同向支持</x:v>
      </x:c>
      <x:c r="P72" s="68" t="str">
        <x:v>对侧存在未识别的强根或强势</x:v>
      </x:c>
      <x:c r="Q72" s="90" t="str">
        <x:v>禁止按证据条数多数裁决</x:v>
      </x:c>
      <x:c r="R72" s="68" t="str">
        <x:v>极端边界降低置信度</x:v>
      </x:c>
      <x:c r="S72" s="68" t="str">
        <x:v>力量质量优先于证据数量</x:v>
      </x:c>
      <x:c r="T72" s="82" t="str">
        <x:v>否</x:v>
      </x:c>
      <x:c r="U72" s="82" t="str">
        <x:v>中和</x:v>
      </x:c>
      <x:c r="V72" s="84" t="str">
        <x:v>强证据优先</x:v>
      </x:c>
      <x:c r="W72" s="84" t="str">
        <x:v>旺衰裁定以有效强度优先；一个决定性证据可高于多个微弱证据。</x:v>
      </x:c>
      <x:c r="X72" s="82" t="str">
        <x:v>较高</x:v>
      </x:c>
      <x:c r="Y72" s="82" t="str">
        <x:v>现代综合</x:v>
      </x:c>
      <x:c r="Z72" s="68" t="str">
        <x:v>综合裁定比较扶身侧与负荷侧的有效净优势，采用强证据优先、同源去重、反证保留和冲突降置信。</x:v>
      </x:c>
      <x:c r="AA72" s="68" t="str">
        <x:v>正例：当“一侧有决定性强证据，另一侧仅多个弱证据”真实成立，且必要条件与增强条件同向时，按“一个决定性强证据可压过多个微弱证据”记录对应旺衰证据。</x:v>
      </x:c>
      <x:c r="AB72" s="90" t="str">
        <x:v>反例：只有表面条件，但出现“禁止按证据条数多数裁决”或关键有效性未成立时，不得套用本规则。</x:v>
      </x:c>
      <x:c r="AC72" s="68" t="str">
        <x:v>https://zh.wikisource.org/wiki/%E6%B7%B5%E6%B5%B7%E5%AD%90%E5%B9%B3%E5%A4%A7%E5%85%A8 ; https://zh.wikisource.org/wiki/%E6%BB%B4%E5%A4%A9%E9%AB%93%E9%97%A1%E5%BE%AE</x:v>
      </x:c>
      <x:c r="AD72" s="82" t="str">
        <x:v>采用</x:v>
      </x:c>
      <x:c r="AE72" s="82" t="str">
        <x:v>初审</x:v>
      </x:c>
      <x:c r="AF72" s="87" t="n">
        <x:v>46255</x:v>
      </x:c>
    </x:row>
    <x:row r="73">
      <x:c r="A73" s="72" t="str">
        <x:f>IF(OR(C73="",D73=""),"",B73&amp;"-"&amp;UPPER(C73)&amp;"-"&amp;TEXT(D73,"0000")&amp;"-"&amp;E73)</x:f>
        <x:v>M09-SYN-0067-V1.0</x:v>
      </x:c>
      <x:c r="B73" s="74" t="str">
        <x:v>M09</x:v>
      </x:c>
      <x:c r="C73" s="74" t="str">
        <x:v>SYN</x:v>
      </x:c>
      <x:c r="D73" s="79" t="n">
        <x:v>67</x:v>
      </x:c>
      <x:c r="E73" s="74" t="str">
        <x:v>V1.0</x:v>
      </x:c>
      <x:c r="F73" s="68" t="str">
        <x:v>同一干支节点跨维度出现时必须做证据容量去重</x:v>
      </x:c>
      <x:c r="G73" s="82" t="str">
        <x:v>综合层</x:v>
      </x:c>
      <x:c r="H73" s="68" t="str">
        <x:v>综合比较</x:v>
      </x:c>
      <x:c r="I73" s="68" t="str">
        <x:v>证据去重</x:v>
      </x:c>
      <x:c r="J73" s="68" t="str">
        <x:v>同一节点同时被记为得令、得地、得势或得生来源</x:v>
      </x:c>
      <x:c r="K73" s="68" t="str">
        <x:v>高</x:v>
      </x:c>
      <x:c r="L73" s="82" t="str">
        <x:v>决定性</x:v>
      </x:c>
      <x:c r="M73" s="68" t="str">
        <x:v>M03/M08完成</x:v>
      </x:c>
      <x:c r="N73" s="68" t="str">
        <x:v>确认事实来源相同</x:v>
      </x:c>
      <x:c r="O73" s="68" t="str">
        <x:v>另有独立节点</x:v>
      </x:c>
      <x:c r="P73" s="68"/>
      <x:c r="Q73" s="90" t="str">
        <x:v>禁止同一节点跨字段重复全额计权</x:v>
      </x:c>
      <x:c r="R73" s="68" t="str">
        <x:v>保留多标签用于解释</x:v>
      </x:c>
      <x:c r="S73" s="68" t="str">
        <x:v>去重后仍可保留其多重功能说明</x:v>
      </x:c>
      <x:c r="T73" s="82" t="str">
        <x:v>是</x:v>
      </x:c>
      <x:c r="U73" s="82" t="str">
        <x:v>中和</x:v>
      </x:c>
      <x:c r="V73" s="84" t="str">
        <x:v>跨维去重</x:v>
      </x:c>
      <x:c r="W73" s="84" t="str">
        <x:v>同一干支节点可有多重意义，但其力量容量不得在多个维度中重复全额使用。</x:v>
      </x:c>
      <x:c r="X73" s="82" t="str">
        <x:v>较高</x:v>
      </x:c>
      <x:c r="Y73" s="82" t="str">
        <x:v>现代综合</x:v>
      </x:c>
      <x:c r="Z73" s="68" t="str">
        <x:v>综合裁定比较扶身侧与负荷侧的有效净优势，采用强证据优先、同源去重、反证保留和冲突降置信。</x:v>
      </x:c>
      <x:c r="AA73" s="68" t="str">
        <x:v>正例：当“同一节点同时被记为得令、得地、得势或得生来源”真实成立，且必要条件与增强条件同向时，按“同一干支节点跨维度出现时必须做证据容量去重”记录对应旺衰证据。</x:v>
      </x:c>
      <x:c r="AB73" s="90" t="str">
        <x:v>反例：只有表面条件，但出现“禁止同一节点跨字段重复全额计权”或关键有效性未成立时，不得套用本规则。</x:v>
      </x:c>
      <x:c r="AC73" s="68" t="str">
        <x:v>https://zh.wikisource.org/wiki/%E6%B7%B5%E6%B5%B7%E5%AD%90%E5%B9%B3%E5%A4%A7%E5%85%A8 ; https://zh.wikisource.org/wiki/%E6%BB%B4%E5%A4%A9%E9%AB%93%E9%97%A1%E5%BE%AE</x:v>
      </x:c>
      <x:c r="AD73" s="82" t="str">
        <x:v>采用</x:v>
      </x:c>
      <x:c r="AE73" s="82" t="str">
        <x:v>初审</x:v>
      </x:c>
      <x:c r="AF73" s="87" t="n">
        <x:v>46255</x:v>
      </x:c>
    </x:row>
    <x:row r="74">
      <x:c r="A74" s="72" t="str">
        <x:f>IF(OR(C74="",D74=""),"",B74&amp;"-"&amp;UPPER(C74)&amp;"-"&amp;TEXT(D74,"0000")&amp;"-"&amp;E74)</x:f>
        <x:v>M09-SYN-0068-V1.0</x:v>
      </x:c>
      <x:c r="B74" s="74" t="str">
        <x:v>M09</x:v>
      </x:c>
      <x:c r="C74" s="74" t="str">
        <x:v>SYN</x:v>
      </x:c>
      <x:c r="D74" s="79" t="n">
        <x:v>68</x:v>
      </x:c>
      <x:c r="E74" s="74" t="str">
        <x:v>V1.0</x:v>
      </x:c>
      <x:c r="F74" s="68" t="str">
        <x:v>两侧都强且差距不大时优先落在中和区而非同时判旺弱</x:v>
      </x:c>
      <x:c r="G74" s="82" t="str">
        <x:v>综合层</x:v>
      </x:c>
      <x:c r="H74" s="68" t="str">
        <x:v>综合比较</x:v>
      </x:c>
      <x:c r="I74" s="68" t="str">
        <x:v>中和</x:v>
      </x:c>
      <x:c r="J74" s="68" t="str">
        <x:v>扶身侧和负荷侧均有多项强证据且净差较小</x:v>
      </x:c>
      <x:c r="K74" s="68" t="str">
        <x:v>高</x:v>
      </x:c>
      <x:c r="L74" s="82" t="str">
        <x:v>强</x:v>
      </x:c>
      <x:c r="M74" s="68" t="str">
        <x:v>M08完成</x:v>
      </x:c>
      <x:c r="N74" s="68" t="str">
        <x:v>两侧强度接近</x:v>
      </x:c>
      <x:c r="O74" s="68" t="str">
        <x:v>各自有独立根源</x:v>
      </x:c>
      <x:c r="P74" s="68" t="str">
        <x:v>一侧出现决定性新增证据</x:v>
      </x:c>
      <x:c r="Q74" s="90" t="str">
        <x:v>禁止同时输出“身旺又身弱”</x:v>
      </x:c>
      <x:c r="R74" s="68" t="str">
        <x:v>可输出中和偏向</x:v>
      </x:c>
      <x:c r="S74" s="68" t="str">
        <x:v>强强对峙首先说明力量大而相对平衡</x:v>
      </x:c>
      <x:c r="T74" s="82" t="str">
        <x:v>否</x:v>
      </x:c>
      <x:c r="U74" s="82" t="str">
        <x:v>中和</x:v>
      </x:c>
      <x:c r="V74" s="84" t="str">
        <x:v>强强平衡</x:v>
      </x:c>
      <x:c r="W74" s="84" t="str">
        <x:v>扶身与负荷两侧都强且净差不大时，日主更接近中和或中和偏向。</x:v>
      </x:c>
      <x:c r="X74" s="82" t="str">
        <x:v>较高</x:v>
      </x:c>
      <x:c r="Y74" s="82" t="str">
        <x:v>现代综合</x:v>
      </x:c>
      <x:c r="Z74" s="68" t="str">
        <x:v>综合裁定比较扶身侧与负荷侧的有效净优势，采用强证据优先、同源去重、反证保留和冲突降置信。</x:v>
      </x:c>
      <x:c r="AA74" s="68" t="str">
        <x:v>正例：当“扶身侧和负荷侧均有多项强证据且净差较小”真实成立，且必要条件与增强条件同向时，按“两侧都强且差距不大时优先落在中和区而非同时判旺弱”记录对应旺衰证据。</x:v>
      </x:c>
      <x:c r="AB74" s="90" t="str">
        <x:v>反例：只有表面条件，但出现“禁止同时输出“身旺又身弱””或关键有效性未成立时，不得套用本规则。</x:v>
      </x:c>
      <x:c r="AC74" s="68" t="str">
        <x:v>https://zh.wikisource.org/wiki/%E6%B7%B5%E6%B5%B7%E5%AD%90%E5%B9%B3%E5%A4%A7%E5%85%A8 ; https://zh.wikisource.org/wiki/%E6%BB%B4%E5%A4%A9%E9%AB%93%E9%97%A1%E5%BE%AE</x:v>
      </x:c>
      <x:c r="AD74" s="82" t="str">
        <x:v>采用</x:v>
      </x:c>
      <x:c r="AE74" s="82" t="str">
        <x:v>初审</x:v>
      </x:c>
      <x:c r="AF74" s="87" t="n">
        <x:v>46255</x:v>
      </x:c>
    </x:row>
    <x:row r="75">
      <x:c r="A75" s="72" t="str">
        <x:f>IF(OR(C75="",D75=""),"",B75&amp;"-"&amp;UPPER(C75)&amp;"-"&amp;TEXT(D75,"0000")&amp;"-"&amp;E75)</x:f>
        <x:v>M09-SYN-0069-V1.0</x:v>
      </x:c>
      <x:c r="B75" s="74" t="str">
        <x:v>M09</x:v>
      </x:c>
      <x:c r="C75" s="74" t="str">
        <x:v>SYN</x:v>
      </x:c>
      <x:c r="D75" s="79" t="n">
        <x:v>69</x:v>
      </x:c>
      <x:c r="E75" s="74" t="str">
        <x:v>V1.0</x:v>
      </x:c>
      <x:c r="F75" s="68" t="str">
        <x:v>两侧都弱时仍按相对净差裁定而不是自动中和</x:v>
      </x:c>
      <x:c r="G75" s="82" t="str">
        <x:v>综合层</x:v>
      </x:c>
      <x:c r="H75" s="68" t="str">
        <x:v>综合比较</x:v>
      </x:c>
      <x:c r="I75" s="68" t="str">
        <x:v>双向</x:v>
      </x:c>
      <x:c r="J75" s="68" t="str">
        <x:v>扶身侧与负荷侧都缺乏强证据</x:v>
      </x:c>
      <x:c r="K75" s="68" t="str">
        <x:v>中</x:v>
      </x:c>
      <x:c r="L75" s="82" t="str">
        <x:v>中</x:v>
      </x:c>
      <x:c r="M75" s="68" t="str">
        <x:v>M08完成</x:v>
      </x:c>
      <x:c r="N75" s="68" t="str">
        <x:v>各侧均为弱证据</x:v>
      </x:c>
      <x:c r="O75" s="68" t="str">
        <x:v>一侧仍有明确轻微优势</x:v>
      </x:c>
      <x:c r="P75" s="68"/>
      <x:c r="Q75" s="90" t="str">
        <x:v>禁止“双方都弱=中和”</x:v>
      </x:c>
      <x:c r="R75" s="68" t="str">
        <x:v>极弱特殊格局另审</x:v>
      </x:c>
      <x:c r="S75" s="68" t="str">
        <x:v>整体能量低仍可能偏弱或偏旺</x:v>
      </x:c>
      <x:c r="T75" s="82" t="str">
        <x:v>否</x:v>
      </x:c>
      <x:c r="U75" s="82" t="str">
        <x:v>中和</x:v>
      </x:c>
      <x:c r="V75" s="84" t="str">
        <x:v>弱弱比较</x:v>
      </x:c>
      <x:c r="W75" s="84" t="str">
        <x:v>两侧都弱时仍比较相对优势；中和要求净差小，而非双方绝对力量都低。</x:v>
      </x:c>
      <x:c r="X75" s="82" t="str">
        <x:v>较高</x:v>
      </x:c>
      <x:c r="Y75" s="82" t="str">
        <x:v>现代综合</x:v>
      </x:c>
      <x:c r="Z75" s="68" t="str">
        <x:v>综合裁定比较扶身侧与负荷侧的有效净优势，采用强证据优先、同源去重、反证保留和冲突降置信。</x:v>
      </x:c>
      <x:c r="AA75" s="68" t="str">
        <x:v>正例：当“扶身侧与负荷侧都缺乏强证据”真实成立，且必要条件与增强条件同向时，按“两侧都弱时仍按相对净差裁定而不是自动中和”记录对应旺衰证据。</x:v>
      </x:c>
      <x:c r="AB75" s="90" t="str">
        <x:v>反例：只有表面条件，但出现“禁止“双方都弱=中和””或关键有效性未成立时，不得套用本规则。</x:v>
      </x:c>
      <x:c r="AC75" s="68" t="str">
        <x:v>https://zh.wikisource.org/wiki/%E6%B7%B5%E6%B5%B7%E5%AD%90%E5%B9%B3%E5%A4%A7%E5%85%A8 ; https://zh.wikisource.org/wiki/%E6%BB%B4%E5%A4%A9%E9%AB%93%E9%97%A1%E5%BE%AE</x:v>
      </x:c>
      <x:c r="AD75" s="82" t="str">
        <x:v>采用</x:v>
      </x:c>
      <x:c r="AE75" s="82" t="str">
        <x:v>初审</x:v>
      </x:c>
      <x:c r="AF75" s="87" t="n">
        <x:v>46255</x:v>
      </x:c>
    </x:row>
    <x:row r="76">
      <x:c r="A76" s="72" t="str">
        <x:f>IF(OR(C76="",D76=""),"",B76&amp;"-"&amp;UPPER(C76)&amp;"-"&amp;TEXT(D76,"0000")&amp;"-"&amp;E76)</x:f>
        <x:v>M09-SYN-0070-V1.0</x:v>
      </x:c>
      <x:c r="B76" s="74" t="str">
        <x:v>M09</x:v>
      </x:c>
      <x:c r="C76" s="74" t="str">
        <x:v>SYN</x:v>
      </x:c>
      <x:c r="D76" s="79" t="n">
        <x:v>70</x:v>
      </x:c>
      <x:c r="E76" s="74" t="str">
        <x:v>V1.0</x:v>
      </x:c>
      <x:c r="F76" s="68" t="str">
        <x:v>M08五行旺衰必须转换为相对日主角色后才能进入M09</x:v>
      </x:c>
      <x:c r="G76" s="82" t="str">
        <x:v>综合层</x:v>
      </x:c>
      <x:c r="H76" s="68" t="str">
        <x:v>综合比较</x:v>
      </x:c>
      <x:c r="I76" s="68" t="str">
        <x:v>边界</x:v>
      </x:c>
      <x:c r="J76" s="68" t="str">
        <x:v>读取木火土金水有效旺衰</x:v>
      </x:c>
      <x:c r="K76" s="68" t="str">
        <x:v>高</x:v>
      </x:c>
      <x:c r="L76" s="82" t="str">
        <x:v>决定性</x:v>
      </x:c>
      <x:c r="M76" s="68" t="str">
        <x:v>M08完成</x:v>
      </x:c>
      <x:c r="N76" s="68" t="str">
        <x:v>每个五行已映射为日主的比劫、印、食伤、财、官杀角色</x:v>
      </x:c>
      <x:c r="O76" s="68"/>
      <x:c r="P76" s="68"/>
      <x:c r="Q76" s="90" t="str">
        <x:v>禁止把某五行旺直接等同日主旺或弱</x:v>
      </x:c>
      <x:c r="R76" s="68" t="str">
        <x:v>十神细分转M10</x:v>
      </x:c>
      <x:c r="S76" s="68" t="str">
        <x:v>同一旺五行对不同日主可分别是扶身或负荷</x:v>
      </x:c>
      <x:c r="T76" s="82" t="str">
        <x:v>是</x:v>
      </x:c>
      <x:c r="U76" s="82" t="str">
        <x:v>中和</x:v>
      </x:c>
      <x:c r="V76" s="84" t="str">
        <x:v>五行角色转换</x:v>
      </x:c>
      <x:c r="W76" s="84" t="str">
        <x:v>M08的五行有效旺衰需先按日主映射为扶身或负荷角色，才能参与M09裁定。</x:v>
      </x:c>
      <x:c r="X76" s="82" t="str">
        <x:v>较高</x:v>
      </x:c>
      <x:c r="Y76" s="82" t="str">
        <x:v>现代综合</x:v>
      </x:c>
      <x:c r="Z76" s="68" t="str">
        <x:v>综合裁定比较扶身侧与负荷侧的有效净优势，采用强证据优先、同源去重、反证保留和冲突降置信。</x:v>
      </x:c>
      <x:c r="AA76" s="68" t="str">
        <x:v>正例：当“读取木火土金水有效旺衰”真实成立，且必要条件与增强条件同向时，按“M08五行旺衰必须转换为相对日主角色后才能进入M09”记录对应旺衰证据。</x:v>
      </x:c>
      <x:c r="AB76" s="90" t="str">
        <x:v>反例：只有表面条件，但出现“禁止把某五行旺直接等同日主旺或弱”或关键有效性未成立时，不得套用本规则。</x:v>
      </x:c>
      <x:c r="AC76" s="68" t="str">
        <x:v>https://zh.wikisource.org/wiki/%E6%B7%B5%E6%B5%B7%E5%AD%90%E5%B9%B3%E5%A4%A7%E5%85%A8 ; https://zh.wikisource.org/wiki/%E6%BB%B4%E5%A4%A9%E9%AB%93%E9%97%A1%E5%BE%AE</x:v>
      </x:c>
      <x:c r="AD76" s="82" t="str">
        <x:v>采用</x:v>
      </x:c>
      <x:c r="AE76" s="82" t="str">
        <x:v>初审</x:v>
      </x:c>
      <x:c r="AF76" s="87" t="n">
        <x:v>46255</x:v>
      </x:c>
    </x:row>
    <x:row r="77">
      <x:c r="A77" s="72" t="str">
        <x:f>IF(OR(C77="",D77=""),"",B77&amp;"-"&amp;UPPER(C77)&amp;"-"&amp;TEXT(D77,"0000")&amp;"-"&amp;E77)</x:f>
        <x:v>M09-SYN-0071-V1.0</x:v>
      </x:c>
      <x:c r="B77" s="74" t="str">
        <x:v>M09</x:v>
      </x:c>
      <x:c r="C77" s="74" t="str">
        <x:v>SYN</x:v>
      </x:c>
      <x:c r="D77" s="79" t="n">
        <x:v>71</x:v>
      </x:c>
      <x:c r="E77" s="74" t="str">
        <x:v>V1.0</x:v>
      </x:c>
      <x:c r="F77" s="68" t="str">
        <x:v>反向证据必须与主结论同时保存</x:v>
      </x:c>
      <x:c r="G77" s="82" t="str">
        <x:v>综合层</x:v>
      </x:c>
      <x:c r="H77" s="68" t="str">
        <x:v>综合比较</x:v>
      </x:c>
      <x:c r="I77" s="68" t="str">
        <x:v>治理</x:v>
      </x:c>
      <x:c r="J77" s="68" t="str">
        <x:v>形成任何七级旺衰结论</x:v>
      </x:c>
      <x:c r="K77" s="68" t="str">
        <x:v>高</x:v>
      </x:c>
      <x:c r="L77" s="82" t="str">
        <x:v>决定性</x:v>
      </x:c>
      <x:c r="M77" s="68" t="str">
        <x:v>M03/M08完成</x:v>
      </x:c>
      <x:c r="N77" s="68" t="str">
        <x:v>至少记录一条最强反向证据或明确无强反证</x:v>
      </x:c>
      <x:c r="O77" s="68" t="str">
        <x:v>主证据一致</x:v>
      </x:c>
      <x:c r="P77" s="68" t="str">
        <x:v>反证与主证据同强且未解决</x:v>
      </x:c>
      <x:c r="Q77" s="90" t="str">
        <x:v>禁止只列支持主结论的证据</x:v>
      </x:c>
      <x:c r="R77" s="68" t="str">
        <x:v>确无反证可注明</x:v>
      </x:c>
      <x:c r="S77" s="68" t="str">
        <x:v>反证越强，置信度越低或结论向中和收缩</x:v>
      </x:c>
      <x:c r="T77" s="82" t="str">
        <x:v>是</x:v>
      </x:c>
      <x:c r="U77" s="82" t="str">
        <x:v>中和</x:v>
      </x:c>
      <x:c r="V77" s="84" t="str">
        <x:v>反证保留</x:v>
      </x:c>
      <x:c r="W77" s="84" t="str">
        <x:v>日主旺衰结论必须同时列出最强支持证据与最强反向证据。</x:v>
      </x:c>
      <x:c r="X77" s="82" t="str">
        <x:v>较高</x:v>
      </x:c>
      <x:c r="Y77" s="82" t="str">
        <x:v>现代综合</x:v>
      </x:c>
      <x:c r="Z77" s="68" t="str">
        <x:v>综合裁定比较扶身侧与负荷侧的有效净优势，采用强证据优先、同源去重、反证保留和冲突降置信。</x:v>
      </x:c>
      <x:c r="AA77" s="68" t="str">
        <x:v>正例：当“形成任何七级旺衰结论”真实成立，且必要条件与增强条件同向时，按“反向证据必须与主结论同时保存”记录对应旺衰证据。</x:v>
      </x:c>
      <x:c r="AB77" s="90" t="str">
        <x:v>反例：只有表面条件，但出现“禁止只列支持主结论的证据”或关键有效性未成立时，不得套用本规则。</x:v>
      </x:c>
      <x:c r="AC77" s="68" t="str">
        <x:v>https://zh.wikisource.org/wiki/%E6%B7%B5%E6%B5%B7%E5%AD%90%E5%B9%B3%E5%A4%A7%E5%85%A8 ; https://zh.wikisource.org/wiki/%E6%BB%B4%E5%A4%A9%E9%AB%93%E9%97%A1%E5%BE%AE</x:v>
      </x:c>
      <x:c r="AD77" s="82" t="str">
        <x:v>采用</x:v>
      </x:c>
      <x:c r="AE77" s="82" t="str">
        <x:v>初审</x:v>
      </x:c>
      <x:c r="AF77" s="87" t="n">
        <x:v>46255</x:v>
      </x:c>
    </x:row>
    <x:row r="78">
      <x:c r="A78" s="72" t="str">
        <x:f>IF(OR(C78="",D78=""),"",B78&amp;"-"&amp;UPPER(C78)&amp;"-"&amp;TEXT(D78,"0000")&amp;"-"&amp;E78)</x:f>
        <x:v>M09-SYN-0072-V1.0</x:v>
      </x:c>
      <x:c r="B78" s="74" t="str">
        <x:v>M09</x:v>
      </x:c>
      <x:c r="C78" s="74" t="str">
        <x:v>SYN</x:v>
      </x:c>
      <x:c r="D78" s="79" t="n">
        <x:v>72</x:v>
      </x:c>
      <x:c r="E78" s="74" t="str">
        <x:v>V1.0</x:v>
      </x:c>
      <x:c r="F78" s="68" t="str">
        <x:v>证据冲突未被M08解决时先降低置信度而非强行定级</x:v>
      </x:c>
      <x:c r="G78" s="82" t="str">
        <x:v>综合层</x:v>
      </x:c>
      <x:c r="H78" s="68" t="str">
        <x:v>综合比较</x:v>
      </x:c>
      <x:c r="I78" s="68" t="str">
        <x:v>降低置信度</x:v>
      </x:c>
      <x:c r="J78" s="68" t="str">
        <x:v>关键根气、合化或作用效应仍存在争议</x:v>
      </x:c>
      <x:c r="K78" s="68" t="str">
        <x:v>高</x:v>
      </x:c>
      <x:c r="L78" s="82" t="str">
        <x:v>强</x:v>
      </x:c>
      <x:c r="M78" s="68" t="str">
        <x:v>M08/M21信息可用</x:v>
      </x:c>
      <x:c r="N78" s="68" t="str">
        <x:v>争议足以影响旺衰方向</x:v>
      </x:c>
      <x:c r="O78" s="68" t="str">
        <x:v>多数非争议证据同向</x:v>
      </x:c>
      <x:c r="P78" s="68" t="str">
        <x:v>争议对最终等级无实质影响</x:v>
      </x:c>
      <x:c r="Q78" s="90" t="str">
        <x:v>禁止以低置信争议规则压过多项稳定证据</x:v>
      </x:c>
      <x:c r="R78" s="68" t="str">
        <x:v>可给相邻双候选</x:v>
      </x:c>
      <x:c r="S78" s="68" t="str">
        <x:v>不确定性本身必须进入结果</x:v>
      </x:c>
      <x:c r="T78" s="82" t="str">
        <x:v>否</x:v>
      </x:c>
      <x:c r="U78" s="82" t="str">
        <x:v>中和</x:v>
      </x:c>
      <x:c r="V78" s="84" t="str">
        <x:v>冲突降置信</x:v>
      </x:c>
      <x:c r="W78" s="84" t="str">
        <x:v>关键证据存在未决争议时，输出相邻旺衰候选并降低置信度，不强行定级。</x:v>
      </x:c>
      <x:c r="X78" s="82" t="str">
        <x:v>较高</x:v>
      </x:c>
      <x:c r="Y78" s="82" t="str">
        <x:v>现代综合</x:v>
      </x:c>
      <x:c r="Z78" s="68" t="str">
        <x:v>综合裁定比较扶身侧与负荷侧的有效净优势，采用强证据优先、同源去重、反证保留和冲突降置信。</x:v>
      </x:c>
      <x:c r="AA78" s="68" t="str">
        <x:v>正例：当“关键根气、合化或作用效应仍存在争议”真实成立，且必要条件与增强条件同向时，按“证据冲突未被M08解决时先降低置信度而非强行定级”记录对应旺衰证据。</x:v>
      </x:c>
      <x:c r="AB78" s="90" t="str">
        <x:v>反例：只有表面条件，但出现“禁止以低置信争议规则压过多项稳定证据”或关键有效性未成立时，不得套用本规则。</x:v>
      </x:c>
      <x:c r="AC78" s="68" t="str">
        <x:v>https://zh.wikisource.org/wiki/%E6%B7%B5%E6%B5%B7%E5%AD%90%E5%B9%B3%E5%A4%A7%E5%85%A8 ; https://zh.wikisource.org/wiki/%E6%BB%B4%E5%A4%A9%E9%AB%93%E9%97%A1%E5%BE%AE</x:v>
      </x:c>
      <x:c r="AD78" s="82" t="str">
        <x:v>采用</x:v>
      </x:c>
      <x:c r="AE78" s="82" t="str">
        <x:v>初审</x:v>
      </x:c>
      <x:c r="AF78" s="87" t="n">
        <x:v>46255</x:v>
      </x:c>
    </x:row>
    <x:row r="79">
      <x:c r="A79" s="72" t="str">
        <x:f>IF(OR(C79="",D79=""),"",B79&amp;"-"&amp;UPPER(C79)&amp;"-"&amp;TEXT(D79,"0000")&amp;"-"&amp;E79)</x:f>
        <x:v>M09-GRADE-0073-V1.0</x:v>
      </x:c>
      <x:c r="B79" s="74" t="str">
        <x:v>M09</x:v>
      </x:c>
      <x:c r="C79" s="74" t="str">
        <x:v>GRADE</x:v>
      </x:c>
      <x:c r="D79" s="79" t="n">
        <x:v>73</x:v>
      </x:c>
      <x:c r="E79" s="74" t="str">
        <x:v>V1.0</x:v>
      </x:c>
      <x:c r="F79" s="68" t="str">
        <x:v>极弱要求扶身侧近乎失效且负荷侧形成单向主导</x:v>
      </x:c>
      <x:c r="G79" s="82" t="str">
        <x:v>综合层</x:v>
      </x:c>
      <x:c r="H79" s="68" t="str">
        <x:v>综合分级</x:v>
      </x:c>
      <x:c r="I79" s="68" t="str">
        <x:v>支持极弱</x:v>
      </x:c>
      <x:c r="J79" s="68" t="str">
        <x:v>失令/无有效根/印比弱，同时制泄耗至少一类强势且无强反证</x:v>
      </x:c>
      <x:c r="K79" s="68" t="str">
        <x:v>高</x:v>
      </x:c>
      <x:c r="L79" s="82" t="str">
        <x:v>决定性</x:v>
      </x:c>
      <x:c r="M79" s="68" t="str">
        <x:v>M03/M08完成</x:v>
      </x:c>
      <x:c r="N79" s="68" t="str">
        <x:v>扶身侧缺乏可持续承载</x:v>
      </x:c>
      <x:c r="O79" s="68" t="str">
        <x:v>多类负荷同向或一类决定性成势</x:v>
      </x:c>
      <x:c r="P79" s="68" t="str">
        <x:v>仍有强根、强印或有效比劫集团</x:v>
      </x:c>
      <x:c r="Q79" s="90" t="str">
        <x:v>禁止单凭无根或失令判极弱</x:v>
      </x:c>
      <x:c r="R79" s="68" t="str">
        <x:v>是否从格转M14</x:v>
      </x:c>
      <x:c r="S79" s="68" t="str">
        <x:v>有一处强扶身反证时通常应回到弱或中和偏弱</x:v>
      </x:c>
      <x:c r="T79" s="82" t="str">
        <x:v>是</x:v>
      </x:c>
      <x:c r="U79" s="82" t="str">
        <x:v>极弱</x:v>
      </x:c>
      <x:c r="V79" s="84" t="str">
        <x:v>七级极弱</x:v>
      </x:c>
      <x:c r="W79" s="84" t="str">
        <x:v>扶身侧近乎失效、负荷侧单向主导且无强反证，可判日主极弱；从格另审。</x:v>
      </x:c>
      <x:c r="X79" s="82" t="str">
        <x:v>较高</x:v>
      </x:c>
      <x:c r="Y79" s="82" t="str">
        <x:v>现代综合</x:v>
      </x:c>
      <x:c r="Z79" s="68" t="str">
        <x:v>七级分级依据双侧净优势和是否存在决定性证据；中和区看轻度偏向，极端等级要求多维同向且缺少强反证。</x:v>
      </x:c>
      <x:c r="AA79" s="68" t="str">
        <x:v>正例：当“失令/无有效根/印比弱，同时制泄耗至少一类强势且无强反证”真实成立，且必要条件与增强条件同向时，按“极弱要求扶身侧近乎失效且负荷侧形成单向主导”记录对应旺衰证据。</x:v>
      </x:c>
      <x:c r="AB79" s="90" t="str">
        <x:v>反例：只有表面条件，但出现“禁止单凭无根或失令判极弱”或关键有效性未成立时，不得套用本规则。</x:v>
      </x:c>
      <x:c r="AC79" s="68" t="str">
        <x:v>https://zh.wikisource.org/wiki/%E6%B7%B5%E6%B5%B7%E5%AD%90%E5%B9%B3%E5%A4%A7%E5%85%A8 ; https://zh.wikisource.org/wiki/%E6%BB%B4%E5%A4%A9%E9%AB%93%E9%97%A1%E5%BE%AE</x:v>
      </x:c>
      <x:c r="AD79" s="82" t="str">
        <x:v>采用</x:v>
      </x:c>
      <x:c r="AE79" s="82" t="str">
        <x:v>初审</x:v>
      </x:c>
      <x:c r="AF79" s="87" t="n">
        <x:v>46255</x:v>
      </x:c>
    </x:row>
    <x:row r="80">
      <x:c r="A80" s="72" t="str">
        <x:f>IF(OR(C80="",D80=""),"",B80&amp;"-"&amp;UPPER(C80)&amp;"-"&amp;TEXT(D80,"0000")&amp;"-"&amp;E80)</x:f>
        <x:v>M09-GRADE-0074-V1.0</x:v>
      </x:c>
      <x:c r="B80" s="74" t="str">
        <x:v>M09</x:v>
      </x:c>
      <x:c r="C80" s="74" t="str">
        <x:v>GRADE</x:v>
      </x:c>
      <x:c r="D80" s="79" t="n">
        <x:v>74</x:v>
      </x:c>
      <x:c r="E80" s="74" t="str">
        <x:v>V1.0</x:v>
      </x:c>
      <x:c r="F80" s="68" t="str">
        <x:v>弱表示负荷侧明显占优但日主仍有一定承载</x:v>
      </x:c>
      <x:c r="G80" s="82" t="str">
        <x:v>综合层</x:v>
      </x:c>
      <x:c r="H80" s="68" t="str">
        <x:v>综合分级</x:v>
      </x:c>
      <x:c r="I80" s="68" t="str">
        <x:v>支持偏弱</x:v>
      </x:c>
      <x:c r="J80" s="68" t="str">
        <x:v>负荷侧明显强于扶身侧，且日主仍有有效根/印比之一</x:v>
      </x:c>
      <x:c r="K80" s="68" t="str">
        <x:v>高</x:v>
      </x:c>
      <x:c r="L80" s="82" t="str">
        <x:v>强</x:v>
      </x:c>
      <x:c r="M80" s="68" t="str">
        <x:v>M03/M08完成</x:v>
      </x:c>
      <x:c r="N80" s="68" t="str">
        <x:v>净差明显向负荷侧</x:v>
      </x:c>
      <x:c r="O80" s="68" t="str">
        <x:v>失令、根弱、制泄耗连续</x:v>
      </x:c>
      <x:c r="P80" s="68" t="str">
        <x:v>扶身侧出现强根或强印比集团</x:v>
      </x:c>
      <x:c r="Q80" s="90" t="str">
        <x:v>禁止有承载即自动判中和</x:v>
      </x:c>
      <x:c r="R80" s="68"/>
      <x:c r="S80" s="68" t="str">
        <x:v>弱区别于极弱的关键是仍保留一定有效扶持</x:v>
      </x:c>
      <x:c r="T80" s="82" t="str">
        <x:v>是</x:v>
      </x:c>
      <x:c r="U80" s="82" t="str">
        <x:v>弱</x:v>
      </x:c>
      <x:c r="V80" s="84" t="str">
        <x:v>七级弱</x:v>
      </x:c>
      <x:c r="W80" s="84" t="str">
        <x:v>制泄耗明显占优，但日主仍保留一定有效承载，判为弱。</x:v>
      </x:c>
      <x:c r="X80" s="82" t="str">
        <x:v>较高</x:v>
      </x:c>
      <x:c r="Y80" s="82" t="str">
        <x:v>现代综合</x:v>
      </x:c>
      <x:c r="Z80" s="68" t="str">
        <x:v>七级分级依据双侧净优势和是否存在决定性证据；中和区看轻度偏向，极端等级要求多维同向且缺少强反证。</x:v>
      </x:c>
      <x:c r="AA80" s="68" t="str">
        <x:v>正例：当“负荷侧明显强于扶身侧，且日主仍有有效根/印比之一”真实成立，且必要条件与增强条件同向时，按“弱表示负荷侧明显占优但日主仍有一定承载”记录对应旺衰证据。</x:v>
      </x:c>
      <x:c r="AB80" s="90" t="str">
        <x:v>反例：只有表面条件，但出现“禁止有承载即自动判中和”或关键有效性未成立时，不得套用本规则。</x:v>
      </x:c>
      <x:c r="AC80" s="68" t="str">
        <x:v>https://zh.wikisource.org/wiki/%E6%B7%B5%E6%B5%B7%E5%AD%90%E5%B9%B3%E5%A4%A7%E5%85%A8 ; https://zh.wikisource.org/wiki/%E6%BB%B4%E5%A4%A9%E9%AB%93%E9%97%A1%E5%BE%AE</x:v>
      </x:c>
      <x:c r="AD80" s="82" t="str">
        <x:v>采用</x:v>
      </x:c>
      <x:c r="AE80" s="82" t="str">
        <x:v>初审</x:v>
      </x:c>
      <x:c r="AF80" s="87" t="n">
        <x:v>46255</x:v>
      </x:c>
    </x:row>
    <x:row r="81">
      <x:c r="A81" s="72" t="str">
        <x:f>IF(OR(C81="",D81=""),"",B81&amp;"-"&amp;UPPER(C81)&amp;"-"&amp;TEXT(D81,"0000")&amp;"-"&amp;E81)</x:f>
        <x:v>M09-GRADE-0075-V1.0</x:v>
      </x:c>
      <x:c r="B81" s="74" t="str">
        <x:v>M09</x:v>
      </x:c>
      <x:c r="C81" s="74" t="str">
        <x:v>GRADE</x:v>
      </x:c>
      <x:c r="D81" s="79" t="n">
        <x:v>75</x:v>
      </x:c>
      <x:c r="E81" s="74" t="str">
        <x:v>V1.0</x:v>
      </x:c>
      <x:c r="F81" s="68" t="str">
        <x:v>中和偏弱表示负荷侧轻度占优且无决定性差距</x:v>
      </x:c>
      <x:c r="G81" s="82" t="str">
        <x:v>综合层</x:v>
      </x:c>
      <x:c r="H81" s="68" t="str">
        <x:v>综合分级</x:v>
      </x:c>
      <x:c r="I81" s="68" t="str">
        <x:v>轻度支持偏弱</x:v>
      </x:c>
      <x:c r="J81" s="68" t="str">
        <x:v>负荷侧略强于扶身侧，但两边都有有效证据</x:v>
      </x:c>
      <x:c r="K81" s="68" t="str">
        <x:v>高</x:v>
      </x:c>
      <x:c r="L81" s="82" t="str">
        <x:v>中</x:v>
      </x:c>
      <x:c r="M81" s="68" t="str">
        <x:v>M03/M08完成</x:v>
      </x:c>
      <x:c r="N81" s="68" t="str">
        <x:v>净优势存在但不大</x:v>
      </x:c>
      <x:c r="O81" s="68" t="str">
        <x:v>失令或单项强负荷</x:v>
      </x:c>
      <x:c r="P81" s="68" t="str">
        <x:v>扶身侧多根或强印比</x:v>
      </x:c>
      <x:c r="Q81" s="90" t="str">
        <x:v>禁止因一项失令直接降为弱</x:v>
      </x:c>
      <x:c r="R81" s="68"/>
      <x:c r="S81" s="68" t="str">
        <x:v>若去掉一项中等证据即可回到中和，通常属于偏弱而非弱</x:v>
      </x:c>
      <x:c r="T81" s="82" t="str">
        <x:v>是</x:v>
      </x:c>
      <x:c r="U81" s="82" t="str">
        <x:v>中和偏弱</x:v>
      </x:c>
      <x:c r="V81" s="84" t="str">
        <x:v>七级中和偏弱</x:v>
      </x:c>
      <x:c r="W81" s="84" t="str">
        <x:v>日主扶身与负荷总体接近，但负荷侧略占优势，判中和偏弱。</x:v>
      </x:c>
      <x:c r="X81" s="82" t="str">
        <x:v>较高</x:v>
      </x:c>
      <x:c r="Y81" s="82" t="str">
        <x:v>现代综合</x:v>
      </x:c>
      <x:c r="Z81" s="68" t="str">
        <x:v>七级分级依据双侧净优势和是否存在决定性证据；中和区看轻度偏向，极端等级要求多维同向且缺少强反证。</x:v>
      </x:c>
      <x:c r="AA81" s="68" t="str">
        <x:v>正例：当“负荷侧略强于扶身侧，但两边都有有效证据”真实成立，且必要条件与增强条件同向时，按“中和偏弱表示负荷侧轻度占优且无决定性差距”记录对应旺衰证据。</x:v>
      </x:c>
      <x:c r="AB81" s="90" t="str">
        <x:v>反例：只有表面条件，但出现“禁止因一项失令直接降为弱”或关键有效性未成立时，不得套用本规则。</x:v>
      </x:c>
      <x:c r="AC81" s="68" t="str">
        <x:v>https://zh.wikisource.org/wiki/%E6%B7%B5%E6%B5%B7%E5%AD%90%E5%B9%B3%E5%A4%A7%E5%85%A8 ; https://zh.wikisource.org/wiki/%E6%BB%B4%E5%A4%A9%E9%AB%93%E9%97%A1%E5%BE%AE</x:v>
      </x:c>
      <x:c r="AD81" s="82" t="str">
        <x:v>采用</x:v>
      </x:c>
      <x:c r="AE81" s="82" t="str">
        <x:v>初审</x:v>
      </x:c>
      <x:c r="AF81" s="87" t="n">
        <x:v>46255</x:v>
      </x:c>
    </x:row>
    <x:row r="82">
      <x:c r="A82" s="72" t="str">
        <x:f>IF(OR(C82="",D82=""),"",B82&amp;"-"&amp;UPPER(C82)&amp;"-"&amp;TEXT(D82,"0000")&amp;"-"&amp;E82)</x:f>
        <x:v>M09-GRADE-0076-V1.0</x:v>
      </x:c>
      <x:c r="B82" s="74" t="str">
        <x:v>M09</x:v>
      </x:c>
      <x:c r="C82" s="74" t="str">
        <x:v>GRADE</x:v>
      </x:c>
      <x:c r="D82" s="79" t="n">
        <x:v>76</x:v>
      </x:c>
      <x:c r="E82" s="74" t="str">
        <x:v>V1.0</x:v>
      </x:c>
      <x:c r="F82" s="68" t="str">
        <x:v>中和要求两侧有效力量大体相抵且无一方形成主导</x:v>
      </x:c>
      <x:c r="G82" s="82" t="str">
        <x:v>综合层</x:v>
      </x:c>
      <x:c r="H82" s="68" t="str">
        <x:v>综合分级</x:v>
      </x:c>
      <x:c r="I82" s="68" t="str">
        <x:v>中和</x:v>
      </x:c>
      <x:c r="J82" s="68" t="str">
        <x:v>扶身侧与负荷侧净差小，且均不存在未被抵消的决定性优势</x:v>
      </x:c>
      <x:c r="K82" s="68" t="str">
        <x:v>高</x:v>
      </x:c>
      <x:c r="L82" s="82" t="str">
        <x:v>强</x:v>
      </x:c>
      <x:c r="M82" s="68" t="str">
        <x:v>M03/M08完成</x:v>
      </x:c>
      <x:c r="N82" s="68" t="str">
        <x:v>两侧证据可比较</x:v>
      </x:c>
      <x:c r="O82" s="68" t="str">
        <x:v>多维证据相互制衡</x:v>
      </x:c>
      <x:c r="P82" s="68" t="str">
        <x:v>一侧出现决定性成势</x:v>
      </x:c>
      <x:c r="Q82" s="90" t="str">
        <x:v>禁止把中和理解为五行数量相等</x:v>
      </x:c>
      <x:c r="R82" s="68"/>
      <x:c r="S82" s="68" t="str">
        <x:v>中和是相对平衡，不要求绝对均等</x:v>
      </x:c>
      <x:c r="T82" s="82" t="str">
        <x:v>是</x:v>
      </x:c>
      <x:c r="U82" s="82" t="str">
        <x:v>中和</x:v>
      </x:c>
      <x:c r="V82" s="84" t="str">
        <x:v>七级中和</x:v>
      </x:c>
      <x:c r="W82" s="84" t="str">
        <x:v>扶身与制泄耗两侧有效力量大体相抵、无明显主导，判为中和。</x:v>
      </x:c>
      <x:c r="X82" s="82" t="str">
        <x:v>较高</x:v>
      </x:c>
      <x:c r="Y82" s="82" t="str">
        <x:v>现代综合</x:v>
      </x:c>
      <x:c r="Z82" s="68" t="str">
        <x:v>七级分级依据双侧净优势和是否存在决定性证据；中和区看轻度偏向，极端等级要求多维同向且缺少强反证。</x:v>
      </x:c>
      <x:c r="AA82" s="68" t="str">
        <x:v>正例：当“扶身侧与负荷侧净差小，且均不存在未被抵消的决定性优势”真实成立，且必要条件与增强条件同向时，按“中和要求两侧有效力量大体相抵且无一方形成主导”记录对应旺衰证据。</x:v>
      </x:c>
      <x:c r="AB82" s="90" t="str">
        <x:v>反例：只有表面条件，但出现“禁止把中和理解为五行数量相等”或关键有效性未成立时，不得套用本规则。</x:v>
      </x:c>
      <x:c r="AC82" s="68" t="str">
        <x:v>https://zh.wikisource.org/wiki/%E6%B7%B5%E6%B5%B7%E5%AD%90%E5%B9%B3%E5%A4%A7%E5%85%A8 ; https://zh.wikisource.org/wiki/%E6%BB%B4%E5%A4%A9%E9%AB%93%E9%97%A1%E5%BE%AE</x:v>
      </x:c>
      <x:c r="AD82" s="82" t="str">
        <x:v>采用</x:v>
      </x:c>
      <x:c r="AE82" s="82" t="str">
        <x:v>初审</x:v>
      </x:c>
      <x:c r="AF82" s="87" t="n">
        <x:v>46255</x:v>
      </x:c>
    </x:row>
    <x:row r="83">
      <x:c r="A83" s="72" t="str">
        <x:f>IF(OR(C83="",D83=""),"",B83&amp;"-"&amp;UPPER(C83)&amp;"-"&amp;TEXT(D83,"0000")&amp;"-"&amp;E83)</x:f>
        <x:v>M09-GRADE-0077-V1.0</x:v>
      </x:c>
      <x:c r="B83" s="74" t="str">
        <x:v>M09</x:v>
      </x:c>
      <x:c r="C83" s="74" t="str">
        <x:v>GRADE</x:v>
      </x:c>
      <x:c r="D83" s="79" t="n">
        <x:v>77</x:v>
      </x:c>
      <x:c r="E83" s="74" t="str">
        <x:v>V1.0</x:v>
      </x:c>
      <x:c r="F83" s="68" t="str">
        <x:v>中和偏旺表示扶身侧轻度占优且无决定性差距</x:v>
      </x:c>
      <x:c r="G83" s="82" t="str">
        <x:v>综合层</x:v>
      </x:c>
      <x:c r="H83" s="68" t="str">
        <x:v>综合分级</x:v>
      </x:c>
      <x:c r="I83" s="68" t="str">
        <x:v>轻度支持偏旺</x:v>
      </x:c>
      <x:c r="J83" s="68" t="str">
        <x:v>扶身侧略强于负荷侧，但两边都有有效证据</x:v>
      </x:c>
      <x:c r="K83" s="68" t="str">
        <x:v>高</x:v>
      </x:c>
      <x:c r="L83" s="82" t="str">
        <x:v>中</x:v>
      </x:c>
      <x:c r="M83" s="68" t="str">
        <x:v>M03/M08完成</x:v>
      </x:c>
      <x:c r="N83" s="68" t="str">
        <x:v>净优势存在但不大</x:v>
      </x:c>
      <x:c r="O83" s="68" t="str">
        <x:v>得令、多根或印比有效</x:v>
      </x:c>
      <x:c r="P83" s="68" t="str">
        <x:v>官杀食伤财一侧出现强集团</x:v>
      </x:c>
      <x:c r="Q83" s="90" t="str">
        <x:v>禁止得令即直接判偏旺</x:v>
      </x:c>
      <x:c r="R83" s="68"/>
      <x:c r="S83" s="68" t="str">
        <x:v>若去掉一项中等扶身证据即可回到中和，通常属于偏旺而非旺</x:v>
      </x:c>
      <x:c r="T83" s="82" t="str">
        <x:v>是</x:v>
      </x:c>
      <x:c r="U83" s="82" t="str">
        <x:v>中和偏旺</x:v>
      </x:c>
      <x:c r="V83" s="84" t="str">
        <x:v>七级中和偏旺</x:v>
      </x:c>
      <x:c r="W83" s="84" t="str">
        <x:v>日主扶身与负荷总体接近，但扶身侧略占优势，判中和偏旺。</x:v>
      </x:c>
      <x:c r="X83" s="82" t="str">
        <x:v>较高</x:v>
      </x:c>
      <x:c r="Y83" s="82" t="str">
        <x:v>现代综合</x:v>
      </x:c>
      <x:c r="Z83" s="68" t="str">
        <x:v>七级分级依据双侧净优势和是否存在决定性证据；中和区看轻度偏向，极端等级要求多维同向且缺少强反证。</x:v>
      </x:c>
      <x:c r="AA83" s="68" t="str">
        <x:v>正例：当“扶身侧略强于负荷侧，但两边都有有效证据”真实成立，且必要条件与增强条件同向时，按“中和偏旺表示扶身侧轻度占优且无决定性差距”记录对应旺衰证据。</x:v>
      </x:c>
      <x:c r="AB83" s="90" t="str">
        <x:v>反例：只有表面条件，但出现“禁止得令即直接判偏旺”或关键有效性未成立时，不得套用本规则。</x:v>
      </x:c>
      <x:c r="AC83" s="68" t="str">
        <x:v>https://zh.wikisource.org/wiki/%E6%B7%B5%E6%B5%B7%E5%AD%90%E5%B9%B3%E5%A4%A7%E5%85%A8 ; https://zh.wikisource.org/wiki/%E6%BB%B4%E5%A4%A9%E9%AB%93%E9%97%A1%E5%BE%AE</x:v>
      </x:c>
      <x:c r="AD83" s="82" t="str">
        <x:v>采用</x:v>
      </x:c>
      <x:c r="AE83" s="82" t="str">
        <x:v>初审</x:v>
      </x:c>
      <x:c r="AF83" s="87" t="n">
        <x:v>46255</x:v>
      </x:c>
    </x:row>
    <x:row r="84">
      <x:c r="A84" s="72" t="str">
        <x:f>IF(OR(C84="",D84=""),"",B84&amp;"-"&amp;UPPER(C84)&amp;"-"&amp;TEXT(D84,"0000")&amp;"-"&amp;E84)</x:f>
        <x:v>M09-GRADE-0078-V1.0</x:v>
      </x:c>
      <x:c r="B84" s="74" t="str">
        <x:v>M09</x:v>
      </x:c>
      <x:c r="C84" s="74" t="str">
        <x:v>GRADE</x:v>
      </x:c>
      <x:c r="D84" s="79" t="n">
        <x:v>78</x:v>
      </x:c>
      <x:c r="E84" s="74" t="str">
        <x:v>V1.0</x:v>
      </x:c>
      <x:c r="F84" s="68" t="str">
        <x:v>旺要求扶身侧明显占优且日主具有稳定承载</x:v>
      </x:c>
      <x:c r="G84" s="82" t="str">
        <x:v>综合层</x:v>
      </x:c>
      <x:c r="H84" s="68" t="str">
        <x:v>综合分级</x:v>
      </x:c>
      <x:c r="I84" s="68" t="str">
        <x:v>支持偏旺</x:v>
      </x:c>
      <x:c r="J84" s="68" t="str">
        <x:v>有效根、印比与季令等多项扶身证据明显强于负荷侧</x:v>
      </x:c>
      <x:c r="K84" s="68" t="str">
        <x:v>高</x:v>
      </x:c>
      <x:c r="L84" s="82" t="str">
        <x:v>强</x:v>
      </x:c>
      <x:c r="M84" s="68" t="str">
        <x:v>M03/M08完成</x:v>
      </x:c>
      <x:c r="N84" s="68" t="str">
        <x:v>至少有稳定根气或等价承载</x:v>
      </x:c>
      <x:c r="O84" s="68" t="str">
        <x:v>得令、多根、印比成势</x:v>
      </x:c>
      <x:c r="P84" s="68" t="str">
        <x:v>负荷侧出现决定性强压</x:v>
      </x:c>
      <x:c r="Q84" s="90" t="str">
        <x:v>禁止一项强证据单独判旺</x:v>
      </x:c>
      <x:c r="R84" s="68" t="str">
        <x:v>特殊格局转M14</x:v>
      </x:c>
      <x:c r="S84" s="68" t="str">
        <x:v>旺区别于极旺在于仍存在有意义的负荷或制衡</x:v>
      </x:c>
      <x:c r="T84" s="82" t="str">
        <x:v>是</x:v>
      </x:c>
      <x:c r="U84" s="82" t="str">
        <x:v>旺</x:v>
      </x:c>
      <x:c r="V84" s="84" t="str">
        <x:v>七级旺</x:v>
      </x:c>
      <x:c r="W84" s="84" t="str">
        <x:v>扶身侧明显占优且承载稳定，判日主旺。</x:v>
      </x:c>
      <x:c r="X84" s="82" t="str">
        <x:v>较高</x:v>
      </x:c>
      <x:c r="Y84" s="82" t="str">
        <x:v>现代综合</x:v>
      </x:c>
      <x:c r="Z84" s="68" t="str">
        <x:v>七级分级依据双侧净优势和是否存在决定性证据；中和区看轻度偏向，极端等级要求多维同向且缺少强反证。</x:v>
      </x:c>
      <x:c r="AA84" s="68" t="str">
        <x:v>正例：当“有效根、印比与季令等多项扶身证据明显强于负荷侧”真实成立，且必要条件与增强条件同向时，按“旺要求扶身侧明显占优且日主具有稳定承载”记录对应旺衰证据。</x:v>
      </x:c>
      <x:c r="AB84" s="90" t="str">
        <x:v>反例：只有表面条件，但出现“禁止一项强证据单独判旺”或关键有效性未成立时，不得套用本规则。</x:v>
      </x:c>
      <x:c r="AC84" s="68" t="str">
        <x:v>https://zh.wikisource.org/wiki/%E6%B7%B5%E6%B5%B7%E5%AD%90%E5%B9%B3%E5%A4%A7%E5%85%A8 ; https://zh.wikisource.org/wiki/%E6%BB%B4%E5%A4%A9%E9%AB%93%E9%97%A1%E5%BE%AE</x:v>
      </x:c>
      <x:c r="AD84" s="82" t="str">
        <x:v>采用</x:v>
      </x:c>
      <x:c r="AE84" s="82" t="str">
        <x:v>初审</x:v>
      </x:c>
      <x:c r="AF84" s="87" t="n">
        <x:v>46255</x:v>
      </x:c>
    </x:row>
    <x:row r="85">
      <x:c r="A85" s="72" t="str">
        <x:f>IF(OR(C85="",D85=""),"",B85&amp;"-"&amp;UPPER(C85)&amp;"-"&amp;TEXT(D85,"0000")&amp;"-"&amp;E85)</x:f>
        <x:v>M09-GRADE-0079-V1.0</x:v>
      </x:c>
      <x:c r="B85" s="74" t="str">
        <x:v>M09</x:v>
      </x:c>
      <x:c r="C85" s="74" t="str">
        <x:v>GRADE</x:v>
      </x:c>
      <x:c r="D85" s="79" t="n">
        <x:v>79</x:v>
      </x:c>
      <x:c r="E85" s="74" t="str">
        <x:v>V1.0</x:v>
      </x:c>
      <x:c r="F85" s="68" t="str">
        <x:v>极旺要求扶身侧高度集中且负荷侧缺乏有效制衡</x:v>
      </x:c>
      <x:c r="G85" s="82" t="str">
        <x:v>综合层</x:v>
      </x:c>
      <x:c r="H85" s="68" t="str">
        <x:v>综合分级</x:v>
      </x:c>
      <x:c r="I85" s="68" t="str">
        <x:v>支持极旺</x:v>
      </x:c>
      <x:c r="J85" s="68" t="str">
        <x:v>得令或强季令、多重强根、印比成势且制泄耗普遍弱或失效</x:v>
      </x:c>
      <x:c r="K85" s="68" t="str">
        <x:v>高</x:v>
      </x:c>
      <x:c r="L85" s="82" t="str">
        <x:v>决定性</x:v>
      </x:c>
      <x:c r="M85" s="68" t="str">
        <x:v>M03/M08完成</x:v>
      </x:c>
      <x:c r="N85" s="68" t="str">
        <x:v>多维扶身强证据同向</x:v>
      </x:c>
      <x:c r="O85" s="68" t="str">
        <x:v>全局气势高度集中于日主一侧</x:v>
      </x:c>
      <x:c r="P85" s="68" t="str">
        <x:v>存在强官杀/食伤/财有效制衡</x:v>
      </x:c>
      <x:c r="Q85" s="90" t="str">
        <x:v>禁止仅因印比多判极旺</x:v>
      </x:c>
      <x:c r="R85" s="68" t="str">
        <x:v>专旺从旺候选转M14</x:v>
      </x:c>
      <x:c r="S85" s="68" t="str">
        <x:v>出现一项强制衡时通常回落至旺</x:v>
      </x:c>
      <x:c r="T85" s="82" t="str">
        <x:v>是</x:v>
      </x:c>
      <x:c r="U85" s="82" t="str">
        <x:v>极旺</x:v>
      </x:c>
      <x:c r="V85" s="84" t="str">
        <x:v>七级极旺</x:v>
      </x:c>
      <x:c r="W85" s="84" t="str">
        <x:v>扶身侧高度集中、负荷侧缺乏有效制衡，可判日主极旺；特殊格局另审。</x:v>
      </x:c>
      <x:c r="X85" s="82" t="str">
        <x:v>较高</x:v>
      </x:c>
      <x:c r="Y85" s="82" t="str">
        <x:v>现代综合</x:v>
      </x:c>
      <x:c r="Z85" s="68" t="str">
        <x:v>七级分级依据双侧净优势和是否存在决定性证据；中和区看轻度偏向，极端等级要求多维同向且缺少强反证。</x:v>
      </x:c>
      <x:c r="AA85" s="68" t="str">
        <x:v>正例：当“得令或强季令、多重强根、印比成势且制泄耗普遍弱或失效”真实成立，且必要条件与增强条件同向时，按“极旺要求扶身侧高度集中且负荷侧缺乏有效制衡”记录对应旺衰证据。</x:v>
      </x:c>
      <x:c r="AB85" s="90" t="str">
        <x:v>反例：只有表面条件，但出现“禁止仅因印比多判极旺”或关键有效性未成立时，不得套用本规则。</x:v>
      </x:c>
      <x:c r="AC85" s="68" t="str">
        <x:v>https://zh.wikisource.org/wiki/%E6%B7%B5%E6%B5%B7%E5%AD%90%E5%B9%B3%E5%A4%A7%E5%85%A8 ; https://zh.wikisource.org/wiki/%E6%BB%B4%E5%A4%A9%E9%AB%93%E9%97%A1%E5%BE%AE</x:v>
      </x:c>
      <x:c r="AD85" s="82" t="str">
        <x:v>采用</x:v>
      </x:c>
      <x:c r="AE85" s="82" t="str">
        <x:v>初审</x:v>
      </x:c>
      <x:c r="AF85" s="87" t="n">
        <x:v>46255</x:v>
      </x:c>
    </x:row>
    <x:row r="86">
      <x:c r="A86" s="72" t="str">
        <x:f>IF(OR(C86="",D86=""),"",B86&amp;"-"&amp;UPPER(C86)&amp;"-"&amp;TEXT(D86,"0000")&amp;"-"&amp;E86)</x:f>
        <x:v>M09-GRADE-0080-V1.0</x:v>
      </x:c>
      <x:c r="B86" s="74" t="str">
        <x:v>M09</x:v>
      </x:c>
      <x:c r="C86" s="74" t="str">
        <x:v>GRADE</x:v>
      </x:c>
      <x:c r="D86" s="79" t="n">
        <x:v>80</x:v>
      </x:c>
      <x:c r="E86" s="74" t="str">
        <x:v>V1.0</x:v>
      </x:c>
      <x:c r="F86" s="68" t="str">
        <x:v>相邻等级边界应优先给主级加次级候选而非跨两级跳判</x:v>
      </x:c>
      <x:c r="G86" s="82" t="str">
        <x:v>综合层</x:v>
      </x:c>
      <x:c r="H86" s="68" t="str">
        <x:v>综合分级</x:v>
      </x:c>
      <x:c r="I86" s="68" t="str">
        <x:v>治理</x:v>
      </x:c>
      <x:c r="J86" s="68" t="str">
        <x:v>关键证据只产生轻微净差或存在中等反证</x:v>
      </x:c>
      <x:c r="K86" s="68" t="str">
        <x:v>中高</x:v>
      </x:c>
      <x:c r="L86" s="82" t="str">
        <x:v>中</x:v>
      </x:c>
      <x:c r="M86" s="68" t="str">
        <x:v>M03/M08完成</x:v>
      </x:c>
      <x:c r="N86" s="68" t="str">
        <x:v>主级与相邻级均有合理证据</x:v>
      </x:c>
      <x:c r="O86" s="68" t="str">
        <x:v>后续案例验证支持</x:v>
      </x:c>
      <x:c r="P86" s="68" t="str">
        <x:v>出现决定性新增证据</x:v>
      </x:c>
      <x:c r="Q86" s="90" t="str">
        <x:v>禁止无充分理由从中和直接跳至极旺/极弱</x:v>
      </x:c>
      <x:c r="R86" s="68" t="str">
        <x:v>可给“中和偏弱（接近弱）”等内部标签</x:v>
      </x:c>
      <x:c r="S86" s="68" t="str">
        <x:v>边界输出有助于后续M20回归</x:v>
      </x:c>
      <x:c r="T86" s="82" t="str">
        <x:v>是</x:v>
      </x:c>
      <x:c r="U86" s="82" t="str">
        <x:v>中和</x:v>
      </x:c>
      <x:c r="V86" s="84" t="str">
        <x:v>等级边界</x:v>
      </x:c>
      <x:c r="W86" s="84" t="str">
        <x:v>证据处于边界时优先保留相邻候选，并说明偏向与反证，不做无依据的大幅跳级。</x:v>
      </x:c>
      <x:c r="X86" s="82" t="str">
        <x:v>较高</x:v>
      </x:c>
      <x:c r="Y86" s="82" t="str">
        <x:v>现代综合</x:v>
      </x:c>
      <x:c r="Z86" s="68" t="str">
        <x:v>七级分级依据双侧净优势和是否存在决定性证据；中和区看轻度偏向，极端等级要求多维同向且缺少强反证。</x:v>
      </x:c>
      <x:c r="AA86" s="68" t="str">
        <x:v>正例：当“关键证据只产生轻微净差或存在中等反证”真实成立，且必要条件与增强条件同向时，按“相邻等级边界应优先给主级加次级候选而非跨两级跳判”记录对应旺衰证据。</x:v>
      </x:c>
      <x:c r="AB86" s="90" t="str">
        <x:v>反例：只有表面条件，但出现“禁止无充分理由从中和直接跳至极旺/极弱”或关键有效性未成立时，不得套用本规则。</x:v>
      </x:c>
      <x:c r="AC86" s="68" t="str">
        <x:v>https://zh.wikisource.org/wiki/%E6%B7%B5%E6%B5%B7%E5%AD%90%E5%B9%B3%E5%A4%A7%E5%85%A8 ; https://zh.wikisource.org/wiki/%E6%BB%B4%E5%A4%A9%E9%AB%93%E9%97%A1%E5%BE%AE</x:v>
      </x:c>
      <x:c r="AD86" s="82" t="str">
        <x:v>采用</x:v>
      </x:c>
      <x:c r="AE86" s="82" t="str">
        <x:v>初审</x:v>
      </x:c>
      <x:c r="AF86" s="87" t="n">
        <x:v>46255</x:v>
      </x:c>
    </x:row>
    <x:row r="87">
      <x:c r="A87" s="72" t="str">
        <x:f>IF(OR(C87="",D87=""),"",B87&amp;"-"&amp;UPPER(C87)&amp;"-"&amp;TEXT(D87,"0000")&amp;"-"&amp;E87)</x:f>
        <x:v>M09-BOUND-0081-V1.0</x:v>
      </x:c>
      <x:c r="B87" s="74" t="str">
        <x:v>M09</x:v>
      </x:c>
      <x:c r="C87" s="74" t="str">
        <x:v>BOUND</x:v>
      </x:c>
      <x:c r="D87" s="79" t="n">
        <x:v>81</x:v>
      </x:c>
      <x:c r="E87" s="74" t="str">
        <x:v>V1.0</x:v>
      </x:c>
      <x:c r="F87" s="68" t="str">
        <x:v>M09禁止固定分值总和代替旺衰裁定</x:v>
      </x:c>
      <x:c r="G87" s="82" t="str">
        <x:v>综合层</x:v>
      </x:c>
      <x:c r="H87" s="68" t="str">
        <x:v>判断边界</x:v>
      </x:c>
      <x:c r="I87" s="68" t="str">
        <x:v>治理</x:v>
      </x:c>
      <x:c r="J87" s="68" t="str">
        <x:v>任何日主旺衰综合</x:v>
      </x:c>
      <x:c r="K87" s="68" t="str">
        <x:v>高</x:v>
      </x:c>
      <x:c r="L87" s="82" t="str">
        <x:v>决定性</x:v>
      </x:c>
      <x:c r="M87" s="68" t="str">
        <x:v>M03/M08完成</x:v>
      </x:c>
      <x:c r="N87" s="68" t="str">
        <x:v>证据采用等级与方向而非机械总分</x:v>
      </x:c>
      <x:c r="O87" s="68" t="str">
        <x:v>可用内部参考权重辅助排序</x:v>
      </x:c>
      <x:c r="P87" s="68"/>
      <x:c r="Q87" s="90" t="str">
        <x:v>禁止用固定百分比或简单加减分输出最终等级</x:v>
      </x:c>
      <x:c r="R87" s="68" t="str">
        <x:v>可在M20测试中保存辅助评分但不得覆盖规则结论</x:v>
      </x:c>
      <x:c r="S87" s="68" t="str">
        <x:v>相同分数可能由完全不同的结构产生</x:v>
      </x:c>
      <x:c r="T87" s="82" t="str">
        <x:v>是</x:v>
      </x:c>
      <x:c r="U87" s="82" t="str">
        <x:v>中和</x:v>
      </x:c>
      <x:c r="V87" s="84" t="str">
        <x:v>非机械计分</x:v>
      </x:c>
      <x:c r="W87" s="84" t="str">
        <x:v>参考权重只帮助组织证据，最终七级旺衰必须由结构与有效力量裁定。</x:v>
      </x:c>
      <x:c r="X87" s="82" t="str">
        <x:v>较高</x:v>
      </x:c>
      <x:c r="Y87" s="82" t="str">
        <x:v>现代综合</x:v>
      </x:c>
      <x:c r="Z87" s="68" t="str">
        <x:v>该规则属于M09治理边界，用于防止机械计分、数量投票、越级定喜忌/格局及静动态混用。</x:v>
      </x:c>
      <x:c r="AA87" s="68" t="str">
        <x:v>正例：当“任何日主旺衰综合”真实成立，且必要条件与增强条件同向时，按“M09禁止固定分值总和代替旺衰裁定”记录对应旺衰证据。</x:v>
      </x:c>
      <x:c r="AB87" s="90" t="str">
        <x:v>反例：只有表面条件，但出现“禁止用固定百分比或简单加减分输出最终等级”或关键有效性未成立时，不得套用本规则。</x:v>
      </x:c>
      <x:c r="AC87" s="68" t="str">
        <x:v>https://zh.wikisource.org/wiki/%E6%B7%B5%E6%B5%B7%E5%AD%90%E5%B9%B3%E5%A4%A7%E5%85%A8 ; https://zh.wikisource.org/wiki/%E6%BB%B4%E5%A4%A9%E9%AB%93%E9%97%A1%E5%BE%AE</x:v>
      </x:c>
      <x:c r="AD87" s="82" t="str">
        <x:v>采用</x:v>
      </x:c>
      <x:c r="AE87" s="82" t="str">
        <x:v>初审</x:v>
      </x:c>
      <x:c r="AF87" s="87" t="n">
        <x:v>46255</x:v>
      </x:c>
    </x:row>
    <x:row r="88">
      <x:c r="A88" s="72" t="str">
        <x:f>IF(OR(C88="",D88=""),"",B88&amp;"-"&amp;UPPER(C88)&amp;"-"&amp;TEXT(D88,"0000")&amp;"-"&amp;E88)</x:f>
        <x:v>M09-BOUND-0082-V1.0</x:v>
      </x:c>
      <x:c r="B88" s="74" t="str">
        <x:v>M09</x:v>
      </x:c>
      <x:c r="C88" s="74" t="str">
        <x:v>BOUND</x:v>
      </x:c>
      <x:c r="D88" s="79" t="n">
        <x:v>82</x:v>
      </x:c>
      <x:c r="E88" s="74" t="str">
        <x:v>V1.0</x:v>
      </x:c>
      <x:c r="F88" s="68" t="str">
        <x:v>M09禁止按五行或十神数量投票决定身强身弱</x:v>
      </x:c>
      <x:c r="G88" s="82" t="str">
        <x:v>综合层</x:v>
      </x:c>
      <x:c r="H88" s="68" t="str">
        <x:v>判断边界</x:v>
      </x:c>
      <x:c r="I88" s="68" t="str">
        <x:v>治理</x:v>
      </x:c>
      <x:c r="J88" s="68" t="str">
        <x:v>任何日主旺衰综合</x:v>
      </x:c>
      <x:c r="K88" s="68" t="str">
        <x:v>高</x:v>
      </x:c>
      <x:c r="L88" s="82" t="str">
        <x:v>决定性</x:v>
      </x:c>
      <x:c r="M88" s="68" t="str">
        <x:v>M08完成</x:v>
      </x:c>
      <x:c r="N88" s="68" t="str">
        <x:v>所有节点先看有效质量</x:v>
      </x:c>
      <x:c r="O88" s="68"/>
      <x:c r="P88" s="68"/>
      <x:c r="Q88" s="90" t="str">
        <x:v>禁止“印比多所以旺”“财官食伤多所以弱”</x:v>
      </x:c>
      <x:c r="R88" s="68" t="str">
        <x:v>数量可作低层提示</x:v>
      </x:c>
      <x:c r="S88" s="68" t="str">
        <x:v>数量必须经过得令、根气、透达和作用通路修正</x:v>
      </x:c>
      <x:c r="T88" s="82" t="str">
        <x:v>是</x:v>
      </x:c>
      <x:c r="U88" s="82" t="str">
        <x:v>中和</x:v>
      </x:c>
      <x:c r="V88" s="84" t="str">
        <x:v>数量非结论</x:v>
      </x:c>
      <x:c r="W88" s="84" t="str">
        <x:v>五行与十神数量只能作为候选证据，不能直接决定日主旺衰。</x:v>
      </x:c>
      <x:c r="X88" s="82" t="str">
        <x:v>较高</x:v>
      </x:c>
      <x:c r="Y88" s="82" t="str">
        <x:v>现代综合</x:v>
      </x:c>
      <x:c r="Z88" s="68" t="str">
        <x:v>该规则属于M09治理边界，用于防止机械计分、数量投票、越级定喜忌/格局及静动态混用。</x:v>
      </x:c>
      <x:c r="AA88" s="68" t="str">
        <x:v>正例：当“任何日主旺衰综合”真实成立，且必要条件与增强条件同向时，按“M09禁止按五行或十神数量投票决定身强身弱”记录对应旺衰证据。</x:v>
      </x:c>
      <x:c r="AB88" s="90" t="str">
        <x:v>反例：只有表面条件，但出现“禁止“印比多所以旺”“财官食伤多所以弱””或关键有效性未成立时，不得套用本规则。</x:v>
      </x:c>
      <x:c r="AC88" s="68" t="str">
        <x:v>https://zh.wikisource.org/wiki/%E6%B7%B5%E6%B5%B7%E5%AD%90%E5%B9%B3%E5%A4%A7%E5%85%A8 ; https://zh.wikisource.org/wiki/%E6%BB%B4%E5%A4%A9%E9%AB%93%E9%97%A1%E5%BE%AE</x:v>
      </x:c>
      <x:c r="AD88" s="82" t="str">
        <x:v>采用</x:v>
      </x:c>
      <x:c r="AE88" s="82" t="str">
        <x:v>初审</x:v>
      </x:c>
      <x:c r="AF88" s="87" t="n">
        <x:v>46255</x:v>
      </x:c>
    </x:row>
    <x:row r="89">
      <x:c r="A89" s="72" t="str">
        <x:f>IF(OR(C89="",D89=""),"",B89&amp;"-"&amp;UPPER(C89)&amp;"-"&amp;TEXT(D89,"0000")&amp;"-"&amp;E89)</x:f>
        <x:v>M09-BOUND-0083-V1.0</x:v>
      </x:c>
      <x:c r="B89" s="74" t="str">
        <x:v>M09</x:v>
      </x:c>
      <x:c r="C89" s="74" t="str">
        <x:v>BOUND</x:v>
      </x:c>
      <x:c r="D89" s="79" t="n">
        <x:v>83</x:v>
      </x:c>
      <x:c r="E89" s="74" t="str">
        <x:v>V1.0</x:v>
      </x:c>
      <x:c r="F89" s="68" t="str">
        <x:v>日主旺衰与喜忌用神严格分离</x:v>
      </x:c>
      <x:c r="G89" s="82" t="str">
        <x:v>综合层</x:v>
      </x:c>
      <x:c r="H89" s="68" t="str">
        <x:v>判断边界</x:v>
      </x:c>
      <x:c r="I89" s="68" t="str">
        <x:v>禁止越级</x:v>
      </x:c>
      <x:c r="J89" s="68" t="str">
        <x:v>已得到七级旺衰</x:v>
      </x:c>
      <x:c r="K89" s="68" t="str">
        <x:v>高</x:v>
      </x:c>
      <x:c r="L89" s="82" t="str">
        <x:v>决定性</x:v>
      </x:c>
      <x:c r="M89" s="68" t="str">
        <x:v>M09完成</x:v>
      </x:c>
      <x:c r="N89" s="68" t="str">
        <x:v>只输出力量事实</x:v>
      </x:c>
      <x:c r="O89" s="68"/>
      <x:c r="P89" s="68"/>
      <x:c r="Q89" s="90" t="str">
        <x:v>禁止身旺直接等于忌印比、身弱直接等于喜印比</x:v>
      </x:c>
      <x:c r="R89" s="68" t="str">
        <x:v>喜忌转M16/M17/M18</x:v>
      </x:c>
      <x:c r="S89" s="68" t="str">
        <x:v>格局、调候、病药可能改变最终用神</x:v>
      </x:c>
      <x:c r="T89" s="82" t="str">
        <x:v>是</x:v>
      </x:c>
      <x:c r="U89" s="82" t="str">
        <x:v>中和</x:v>
      </x:c>
      <x:c r="V89" s="84" t="str">
        <x:v>旺衰喜忌分离</x:v>
      </x:c>
      <x:c r="W89" s="84" t="str">
        <x:v>M09只判断日主力量，不直接确定喜神、忌神或用神。</x:v>
      </x:c>
      <x:c r="X89" s="82" t="str">
        <x:v>较高</x:v>
      </x:c>
      <x:c r="Y89" s="82" t="str">
        <x:v>现代综合</x:v>
      </x:c>
      <x:c r="Z89" s="68" t="str">
        <x:v>该规则属于M09治理边界，用于防止机械计分、数量投票、越级定喜忌/格局及静动态混用。</x:v>
      </x:c>
      <x:c r="AA89" s="68" t="str">
        <x:v>正例：当“已得到七级旺衰”真实成立，且必要条件与增强条件同向时，按“日主旺衰与喜忌用神严格分离”记录对应旺衰证据。</x:v>
      </x:c>
      <x:c r="AB89" s="90" t="str">
        <x:v>反例：只有表面条件，但出现“禁止身旺直接等于忌印比、身弱直接等于喜印比”或关键有效性未成立时，不得套用本规则。</x:v>
      </x:c>
      <x:c r="AC89" s="68" t="str">
        <x:v>https://zh.wikisource.org/wiki/%E6%B7%B5%E6%B5%B7%E5%AD%90%E5%B9%B3%E5%A4%A7%E5%85%A8 ; https://zh.wikisource.org/wiki/%E6%BB%B4%E5%A4%A9%E9%AB%93%E9%97%A1%E5%BE%AE</x:v>
      </x:c>
      <x:c r="AD89" s="82" t="str">
        <x:v>采用</x:v>
      </x:c>
      <x:c r="AE89" s="82" t="str">
        <x:v>初审</x:v>
      </x:c>
      <x:c r="AF89" s="87" t="n">
        <x:v>46255</x:v>
      </x:c>
    </x:row>
    <x:row r="90">
      <x:c r="A90" s="72" t="str">
        <x:f>IF(OR(C90="",D90=""),"",B90&amp;"-"&amp;UPPER(C90)&amp;"-"&amp;TEXT(D90,"0000")&amp;"-"&amp;E90)</x:f>
        <x:v>M09-BOUND-0084-V1.0</x:v>
      </x:c>
      <x:c r="B90" s="74" t="str">
        <x:v>M09</x:v>
      </x:c>
      <x:c r="C90" s="74" t="str">
        <x:v>BOUND</x:v>
      </x:c>
      <x:c r="D90" s="79" t="n">
        <x:v>84</x:v>
      </x:c>
      <x:c r="E90" s="74" t="str">
        <x:v>V1.0</x:v>
      </x:c>
      <x:c r="F90" s="68" t="str">
        <x:v>极旺极弱只生成特殊格局候选不在M09确认从格</x:v>
      </x:c>
      <x:c r="G90" s="82" t="str">
        <x:v>综合层</x:v>
      </x:c>
      <x:c r="H90" s="68" t="str">
        <x:v>判断边界</x:v>
      </x:c>
      <x:c r="I90" s="68" t="str">
        <x:v>转审</x:v>
      </x:c>
      <x:c r="J90" s="68" t="str">
        <x:v>日主被判极旺或极弱</x:v>
      </x:c>
      <x:c r="K90" s="68" t="str">
        <x:v>高</x:v>
      </x:c>
      <x:c r="L90" s="82" t="str">
        <x:v>决定性</x:v>
      </x:c>
      <x:c r="M90" s="68" t="str">
        <x:v>M09完成</x:v>
      </x:c>
      <x:c r="N90" s="68" t="str">
        <x:v>达到极端等级</x:v>
      </x:c>
      <x:c r="O90" s="68" t="str">
        <x:v>气势高度单向</x:v>
      </x:c>
      <x:c r="P90" s="68" t="str">
        <x:v>存在强反证</x:v>
      </x:c>
      <x:c r="Q90" s="90" t="str">
        <x:v>禁止在M09直接宣布从旺、从弱、从财、从杀等格局成立</x:v>
      </x:c>
      <x:c r="R90" s="68" t="str">
        <x:v>M14按严格条件淘汰</x:v>
      </x:c>
      <x:c r="S90" s="68" t="str">
        <x:v>常规格旺衰极端与特殊格局成立是两个结论</x:v>
      </x:c>
      <x:c r="T90" s="82" t="str">
        <x:v>是</x:v>
      </x:c>
      <x:c r="U90" s="82" t="str">
        <x:v>极弱</x:v>
      </x:c>
      <x:c r="V90" s="84" t="str">
        <x:v>特殊格局接口</x:v>
      </x:c>
      <x:c r="W90" s="84" t="str">
        <x:v>日主极旺/极弱仅触发特殊格局候选，是否从格或专旺转M14严格判断。</x:v>
      </x:c>
      <x:c r="X90" s="82" t="str">
        <x:v>较高</x:v>
      </x:c>
      <x:c r="Y90" s="82" t="str">
        <x:v>现代综合</x:v>
      </x:c>
      <x:c r="Z90" s="68" t="str">
        <x:v>该规则属于M09治理边界，用于防止机械计分、数量投票、越级定喜忌/格局及静动态混用。</x:v>
      </x:c>
      <x:c r="AA90" s="68" t="str">
        <x:v>正例：当“日主被判极旺或极弱”真实成立，且必要条件与增强条件同向时，按“极旺极弱只生成特殊格局候选不在M09确认从格”记录对应旺衰证据。</x:v>
      </x:c>
      <x:c r="AB90" s="90" t="str">
        <x:v>反例：只有表面条件，但出现“禁止在M09直接宣布从旺、从弱、从财、从杀等格局成立”或关键有效性未成立时，不得套用本规则。</x:v>
      </x:c>
      <x:c r="AC90" s="68" t="str">
        <x:v>https://zh.wikisource.org/wiki/%E6%B7%B5%E6%B5%B7%E5%AD%90%E5%B9%B3%E5%A4%A7%E5%85%A8 ; https://zh.wikisource.org/wiki/%E6%BB%B4%E5%A4%A9%E9%AB%93%E9%97%A1%E5%BE%AE</x:v>
      </x:c>
      <x:c r="AD90" s="82" t="str">
        <x:v>采用</x:v>
      </x:c>
      <x:c r="AE90" s="82" t="str">
        <x:v>初审</x:v>
      </x:c>
      <x:c r="AF90" s="87" t="n">
        <x:v>46255</x:v>
      </x:c>
    </x:row>
    <x:row r="91">
      <x:c r="A91" s="72" t="str">
        <x:f>IF(OR(C91="",D91=""),"",B91&amp;"-"&amp;UPPER(C91)&amp;"-"&amp;TEXT(D91,"0000")&amp;"-"&amp;E91)</x:f>
        <x:v>M09-BOUND-0085-V1.0</x:v>
      </x:c>
      <x:c r="B91" s="74" t="str">
        <x:v>M09</x:v>
      </x:c>
      <x:c r="C91" s="74" t="str">
        <x:v>BOUND</x:v>
      </x:c>
      <x:c r="D91" s="79" t="n">
        <x:v>85</x:v>
      </x:c>
      <x:c r="E91" s="74" t="str">
        <x:v>V1.0</x:v>
      </x:c>
      <x:c r="F91" s="68" t="str">
        <x:v>寒暖燥湿只通过M08有效性影响M09不直接定身强弱</x:v>
      </x:c>
      <x:c r="G91" s="82" t="str">
        <x:v>综合层</x:v>
      </x:c>
      <x:c r="H91" s="68" t="str">
        <x:v>判断边界</x:v>
      </x:c>
      <x:c r="I91" s="68" t="str">
        <x:v>接口</x:v>
      </x:c>
      <x:c r="J91" s="68" t="str">
        <x:v>原局存在明显寒凝、燥烈、湿滞等气候问题</x:v>
      </x:c>
      <x:c r="K91" s="68" t="str">
        <x:v>中高</x:v>
      </x:c>
      <x:c r="L91" s="82" t="str">
        <x:v>中</x:v>
      </x:c>
      <x:c r="M91" s="68" t="str">
        <x:v>M08/M13接口</x:v>
      </x:c>
      <x:c r="N91" s="68" t="str">
        <x:v>M08已体现其对根源透达的实际影响</x:v>
      </x:c>
      <x:c r="O91" s="68" t="str">
        <x:v>气候问题确实削弱某扶身节点</x:v>
      </x:c>
      <x:c r="P91" s="68" t="str">
        <x:v>仅为调候需要但不改变有效力量</x:v>
      </x:c>
      <x:c r="Q91" s="90" t="str">
        <x:v>禁止“寒=身弱”“燥=身旺”等直接映射</x:v>
      </x:c>
      <x:c r="R91" s="68" t="str">
        <x:v>调候主问题转M13</x:v>
      </x:c>
      <x:c r="S91" s="68" t="str">
        <x:v>气候与旺衰相关但不是同一维度</x:v>
      </x:c>
      <x:c r="T91" s="82" t="str">
        <x:v>是</x:v>
      </x:c>
      <x:c r="U91" s="82" t="str">
        <x:v>中和</x:v>
      </x:c>
      <x:c r="V91" s="84" t="str">
        <x:v>调候旺衰分离</x:v>
      </x:c>
      <x:c r="W91" s="84" t="str">
        <x:v>寒暖燥湿只有在已影响五行有效力量时才进入M09；调候需求另由M13判断。</x:v>
      </x:c>
      <x:c r="X91" s="82" t="str">
        <x:v>较高</x:v>
      </x:c>
      <x:c r="Y91" s="82" t="str">
        <x:v>现代综合</x:v>
      </x:c>
      <x:c r="Z91" s="68" t="str">
        <x:v>该规则属于M09治理边界，用于防止机械计分、数量投票、越级定喜忌/格局及静动态混用。</x:v>
      </x:c>
      <x:c r="AA91" s="68" t="str">
        <x:v>正例：当“原局存在明显寒凝、燥烈、湿滞等气候问题”真实成立，且必要条件与增强条件同向时，按“寒暖燥湿只通过M08有效性影响M09不直接定身强弱”记录对应旺衰证据。</x:v>
      </x:c>
      <x:c r="AB91" s="90" t="str">
        <x:v>反例：只有表面条件，但出现“禁止“寒=身弱”“燥=身旺”等直接映射”或关键有效性未成立时，不得套用本规则。</x:v>
      </x:c>
      <x:c r="AC91" s="68" t="str">
        <x:v>https://zh.wikisource.org/wiki/%E6%B7%B5%E6%B5%B7%E5%AD%90%E5%B9%B3%E5%A4%A7%E5%85%A8 ; https://zh.wikisource.org/wiki/%E6%BB%B4%E5%A4%A9%E9%AB%93%E9%97%A1%E5%BE%AE</x:v>
      </x:c>
      <x:c r="AD91" s="82" t="str">
        <x:v>采用</x:v>
      </x:c>
      <x:c r="AE91" s="82" t="str">
        <x:v>初审</x:v>
      </x:c>
      <x:c r="AF91" s="87" t="n">
        <x:v>46255</x:v>
      </x:c>
    </x:row>
    <x:row r="92">
      <x:c r="A92" s="72" t="str">
        <x:f>IF(OR(C92="",D92=""),"",B92&amp;"-"&amp;UPPER(C92)&amp;"-"&amp;TEXT(D92,"0000")&amp;"-"&amp;E92)</x:f>
        <x:v>M09-BOUND-0086-V1.0</x:v>
      </x:c>
      <x:c r="B92" s="74" t="str">
        <x:v>M09</x:v>
      </x:c>
      <x:c r="C92" s="74" t="str">
        <x:v>BOUND</x:v>
      </x:c>
      <x:c r="D92" s="79" t="n">
        <x:v>86</x:v>
      </x:c>
      <x:c r="E92" s="74" t="str">
        <x:v>V1.0</x:v>
      </x:c>
      <x:c r="F92" s="68" t="str">
        <x:v>原局静态旺衰不得混入大运流年动态增减</x:v>
      </x:c>
      <x:c r="G92" s="82" t="str">
        <x:v>综合层</x:v>
      </x:c>
      <x:c r="H92" s="68" t="str">
        <x:v>判断边界</x:v>
      </x:c>
      <x:c r="I92" s="68" t="str">
        <x:v>治理</x:v>
      </x:c>
      <x:c r="J92" s="68" t="str">
        <x:v>M09原局分析</x:v>
      </x:c>
      <x:c r="K92" s="68" t="str">
        <x:v>高</x:v>
      </x:c>
      <x:c r="L92" s="82" t="str">
        <x:v>决定性</x:v>
      </x:c>
      <x:c r="M92" s="68" t="str">
        <x:v>原局四柱已确定</x:v>
      </x:c>
      <x:c r="N92" s="68" t="str">
        <x:v>只读取原局M03/M08结果</x:v>
      </x:c>
      <x:c r="O92" s="68"/>
      <x:c r="P92" s="68"/>
      <x:c r="Q92" s="90" t="str">
        <x:v>禁止用未来大运流年反推原局身强身弱</x:v>
      </x:c>
      <x:c r="R92" s="68" t="str">
        <x:v>动态作用转D0岁运引擎</x:v>
      </x:c>
      <x:c r="S92" s="68" t="str">
        <x:v>原局等级可在岁运被临时改变但不重写出生结构</x:v>
      </x:c>
      <x:c r="T92" s="82" t="str">
        <x:v>是</x:v>
      </x:c>
      <x:c r="U92" s="82" t="str">
        <x:v>中和</x:v>
      </x:c>
      <x:c r="V92" s="84" t="str">
        <x:v>静动态分离</x:v>
      </x:c>
      <x:c r="W92" s="84" t="str">
        <x:v>M09输出原局静态日主旺衰，不混入大运流年力量。</x:v>
      </x:c>
      <x:c r="X92" s="82" t="str">
        <x:v>较高</x:v>
      </x:c>
      <x:c r="Y92" s="82" t="str">
        <x:v>现代综合</x:v>
      </x:c>
      <x:c r="Z92" s="68" t="str">
        <x:v>该规则属于M09治理边界，用于防止机械计分、数量投票、越级定喜忌/格局及静动态混用。</x:v>
      </x:c>
      <x:c r="AA92" s="68" t="str">
        <x:v>正例：当“M09原局分析”真实成立，且必要条件与增强条件同向时，按“原局静态旺衰不得混入大运流年动态增减”记录对应旺衰证据。</x:v>
      </x:c>
      <x:c r="AB92" s="90" t="str">
        <x:v>反例：只有表面条件，但出现“禁止用未来大运流年反推原局身强身弱”或关键有效性未成立时，不得套用本规则。</x:v>
      </x:c>
      <x:c r="AC92" s="68" t="str">
        <x:v>https://zh.wikisource.org/wiki/%E6%B7%B5%E6%B5%B7%E5%AD%90%E5%B9%B3%E5%A4%A7%E5%85%A8 ; https://zh.wikisource.org/wiki/%E6%BB%B4%E5%A4%A9%E9%AB%93%E9%97%A1%E5%BE%AE</x:v>
      </x:c>
      <x:c r="AD92" s="82" t="str">
        <x:v>采用</x:v>
      </x:c>
      <x:c r="AE92" s="82" t="str">
        <x:v>初审</x:v>
      </x:c>
      <x:c r="AF92" s="87" t="n">
        <x:v>46255</x:v>
      </x:c>
    </x:row>
    <x:row r="93">
      <x:c r="A93" s="72" t="str">
        <x:f>IF(OR(C93="",D93=""),"",B93&amp;"-"&amp;UPPER(C93)&amp;"-"&amp;TEXT(D93,"0000")&amp;"-"&amp;E93)</x:f>
        <x:v>M09-BOUND-0087-V1.0</x:v>
      </x:c>
      <x:c r="B93" s="74" t="str">
        <x:v>M09</x:v>
      </x:c>
      <x:c r="C93" s="74" t="str">
        <x:v>BOUND</x:v>
      </x:c>
      <x:c r="D93" s="79" t="n">
        <x:v>87</x:v>
      </x:c>
      <x:c r="E93" s="74" t="str">
        <x:v>V1.0</x:v>
      </x:c>
      <x:c r="F93" s="68" t="str">
        <x:v>性别不参与原局日主旺衰计算</x:v>
      </x:c>
      <x:c r="G93" s="82" t="str">
        <x:v>综合层</x:v>
      </x:c>
      <x:c r="H93" s="68" t="str">
        <x:v>判断边界</x:v>
      </x:c>
      <x:c r="I93" s="68" t="str">
        <x:v>治理</x:v>
      </x:c>
      <x:c r="J93" s="68" t="str">
        <x:v>任何日主旺衰综合</x:v>
      </x:c>
      <x:c r="K93" s="68" t="str">
        <x:v>高</x:v>
      </x:c>
      <x:c r="L93" s="82" t="str">
        <x:v>决定性</x:v>
      </x:c>
      <x:c r="M93" s="68" t="str">
        <x:v>原局四柱已确定</x:v>
      </x:c>
      <x:c r="N93" s="68"/>
      <x:c r="O93" s="68"/>
      <x:c r="P93" s="68"/>
      <x:c r="Q93" s="90" t="str">
        <x:v>禁止因男命女命改变同一八字的旺衰等级</x:v>
      </x:c>
      <x:c r="R93" s="68" t="str">
        <x:v>性别只在特定上层解释模型使用</x:v>
      </x:c>
      <x:c r="S93" s="68" t="str">
        <x:v>相同四柱在M09应得到相同旺衰结论</x:v>
      </x:c>
      <x:c r="T93" s="82" t="str">
        <x:v>是</x:v>
      </x:c>
      <x:c r="U93" s="82" t="str">
        <x:v>中和</x:v>
      </x:c>
      <x:c r="V93" s="84" t="str">
        <x:v>性别无关旺衰</x:v>
      </x:c>
      <x:c r="W93" s="84" t="str">
        <x:v>日主旺衰是原局结构判断，性别不改变同一四柱的力量结论。</x:v>
      </x:c>
      <x:c r="X93" s="82" t="str">
        <x:v>较高</x:v>
      </x:c>
      <x:c r="Y93" s="82" t="str">
        <x:v>现代综合</x:v>
      </x:c>
      <x:c r="Z93" s="68" t="str">
        <x:v>该规则属于M09治理边界，用于防止机械计分、数量投票、越级定喜忌/格局及静动态混用。</x:v>
      </x:c>
      <x:c r="AA93" s="68" t="str">
        <x:v>正例：当“任何日主旺衰综合”真实成立，且必要条件与增强条件同向时，按“性别不参与原局日主旺衰计算”记录对应旺衰证据。</x:v>
      </x:c>
      <x:c r="AB93" s="90" t="str">
        <x:v>反例：只有表面条件，但出现“禁止因男命女命改变同一八字的旺衰等级”或关键有效性未成立时，不得套用本规则。</x:v>
      </x:c>
      <x:c r="AC93" s="68" t="str">
        <x:v>https://zh.wikisource.org/wiki/%E6%B7%B5%E6%B5%B7%E5%AD%90%E5%B9%B3%E5%A4%A7%E5%85%A8 ; https://zh.wikisource.org/wiki/%E6%BB%B4%E5%A4%A9%E9%AB%93%E9%97%A1%E5%BE%AE</x:v>
      </x:c>
      <x:c r="AD93" s="82" t="str">
        <x:v>采用</x:v>
      </x:c>
      <x:c r="AE93" s="82" t="str">
        <x:v>初审</x:v>
      </x:c>
      <x:c r="AF93" s="87" t="n">
        <x:v>46255</x:v>
      </x:c>
    </x:row>
    <x:row r="94">
      <x:c r="A94" s="72" t="str">
        <x:f>IF(OR(C94="",D94=""),"",B94&amp;"-"&amp;UPPER(C94)&amp;"-"&amp;TEXT(D94,"0000")&amp;"-"&amp;E94)</x:f>
        <x:v>M09-BOUND-0088-V1.0</x:v>
      </x:c>
      <x:c r="B94" s="74" t="str">
        <x:v>M09</x:v>
      </x:c>
      <x:c r="C94" s="74" t="str">
        <x:v>BOUND</x:v>
      </x:c>
      <x:c r="D94" s="79" t="n">
        <x:v>88</x:v>
      </x:c>
      <x:c r="E94" s="74" t="str">
        <x:v>V1.0</x:v>
      </x:c>
      <x:c r="F94" s="68" t="str">
        <x:v>十神功能成败不在M09提前裁定</x:v>
      </x:c>
      <x:c r="G94" s="82" t="str">
        <x:v>综合层</x:v>
      </x:c>
      <x:c r="H94" s="68" t="str">
        <x:v>判断边界</x:v>
      </x:c>
      <x:c r="I94" s="68" t="str">
        <x:v>禁止越级</x:v>
      </x:c>
      <x:c r="J94" s="68" t="str">
        <x:v>发现食神制杀、杀印相生、伤官配印等候选</x:v>
      </x:c>
      <x:c r="K94" s="68" t="str">
        <x:v>高</x:v>
      </x:c>
      <x:c r="L94" s="82" t="str">
        <x:v>决定性</x:v>
      </x:c>
      <x:c r="M94" s="68" t="str">
        <x:v>M09完成</x:v>
      </x:c>
      <x:c r="N94" s="68" t="str">
        <x:v>M09仅把对应五行作用作为制泄耗或生扶证据</x:v>
      </x:c>
      <x:c r="O94" s="68"/>
      <x:c r="P94" s="68"/>
      <x:c r="Q94" s="90" t="str">
        <x:v>禁止从日主旺衰层直接宣布十神组合成立</x:v>
      </x:c>
      <x:c r="R94" s="68" t="str">
        <x:v>组合转M10/M11</x:v>
      </x:c>
      <x:c r="S94" s="68" t="str">
        <x:v>相同力量可形成不同十神功能结构</x:v>
      </x:c>
      <x:c r="T94" s="82" t="str">
        <x:v>是</x:v>
      </x:c>
      <x:c r="U94" s="82" t="str">
        <x:v>中和</x:v>
      </x:c>
      <x:c r="V94" s="84" t="str">
        <x:v>十神功能接口</x:v>
      </x:c>
      <x:c r="W94" s="84" t="str">
        <x:v>M09只记录相关力量对日主的影响；十神功能、清纯度与组合成立转M10/M11。</x:v>
      </x:c>
      <x:c r="X94" s="82" t="str">
        <x:v>较高</x:v>
      </x:c>
      <x:c r="Y94" s="82" t="str">
        <x:v>现代综合</x:v>
      </x:c>
      <x:c r="Z94" s="68" t="str">
        <x:v>该规则属于M09治理边界，用于防止机械计分、数量投票、越级定喜忌/格局及静动态混用。</x:v>
      </x:c>
      <x:c r="AA94" s="68" t="str">
        <x:v>正例：当“发现食神制杀、杀印相生、伤官配印等候选”真实成立，且必要条件与增强条件同向时，按“十神功能成败不在M09提前裁定”记录对应旺衰证据。</x:v>
      </x:c>
      <x:c r="AB94" s="90" t="str">
        <x:v>反例：只有表面条件，但出现“禁止从日主旺衰层直接宣布十神组合成立”或关键有效性未成立时，不得套用本规则。</x:v>
      </x:c>
      <x:c r="AC94" s="68" t="str">
        <x:v>https://zh.wikisource.org/wiki/%E6%B7%B5%E6%B5%B7%E5%AD%90%E5%B9%B3%E5%A4%A7%E5%85%A8 ; https://zh.wikisource.org/wiki/%E6%BB%B4%E5%A4%A9%E9%AB%93%E9%97%A1%E5%BE%AE</x:v>
      </x:c>
      <x:c r="AD94" s="82" t="str">
        <x:v>采用</x:v>
      </x:c>
      <x:c r="AE94" s="82" t="str">
        <x:v>初审</x:v>
      </x:c>
      <x:c r="AF94" s="87" t="n">
        <x:v>46255</x:v>
      </x:c>
    </x:row>
    <x:row r="95">
      <x:c r="A95" s="72" t="str">
        <x:f>IF(OR(C95="",D95=""),"",B95&amp;"-"&amp;UPPER(C95)&amp;"-"&amp;TEXT(D95,"0000")&amp;"-"&amp;E95)</x:f>
        <x:v>M09-BOUND-0089-V1.0</x:v>
      </x:c>
      <x:c r="B95" s="74" t="str">
        <x:v>M09</x:v>
      </x:c>
      <x:c r="C95" s="74" t="str">
        <x:v>BOUND</x:v>
      </x:c>
      <x:c r="D95" s="79" t="n">
        <x:v>89</x:v>
      </x:c>
      <x:c r="E95" s="74" t="str">
        <x:v>V1.0</x:v>
      </x:c>
      <x:c r="F95" s="68" t="str">
        <x:v>最终旺衰输出必须包含正证、反证、关键转折和置信度</x:v>
      </x:c>
      <x:c r="G95" s="82" t="str">
        <x:v>综合层</x:v>
      </x:c>
      <x:c r="H95" s="68" t="str">
        <x:v>判断边界</x:v>
      </x:c>
      <x:c r="I95" s="68" t="str">
        <x:v>治理</x:v>
      </x:c>
      <x:c r="J95" s="68" t="str">
        <x:v>形成最终日主旺衰</x:v>
      </x:c>
      <x:c r="K95" s="68" t="str">
        <x:v>高</x:v>
      </x:c>
      <x:c r="L95" s="82" t="str">
        <x:v>决定性</x:v>
      </x:c>
      <x:c r="M95" s="68" t="str">
        <x:v>M09完成</x:v>
      </x:c>
      <x:c r="N95" s="68" t="str">
        <x:v>至少列主支持证据、主反向证据与边界说明</x:v>
      </x:c>
      <x:c r="O95" s="68" t="str">
        <x:v>证据高度一致可给较高置信</x:v>
      </x:c>
      <x:c r="P95" s="68" t="str">
        <x:v>关键效应待验证或月令不确定</x:v>
      </x:c>
      <x:c r="Q95" s="90" t="str">
        <x:v>禁止只给“身旺/身弱”标签</x:v>
      </x:c>
      <x:c r="R95" s="68"/>
      <x:c r="S95" s="68" t="str">
        <x:v>可追溯输出便于M20复盘</x:v>
      </x:c>
      <x:c r="T95" s="82" t="str">
        <x:v>是</x:v>
      </x:c>
      <x:c r="U95" s="82" t="str">
        <x:v>中和</x:v>
      </x:c>
      <x:c r="V95" s="84" t="str">
        <x:v>旺衰输出规范</x:v>
      </x:c>
      <x:c r="W95" s="84" t="str">
        <x:v>最终输出须包含：旺衰等级、得令/得地/得势/得生、主要制泄耗、最强反证、关键转折与置信度。</x:v>
      </x:c>
      <x:c r="X95" s="82" t="str">
        <x:v>较高</x:v>
      </x:c>
      <x:c r="Y95" s="82" t="str">
        <x:v>现代综合</x:v>
      </x:c>
      <x:c r="Z95" s="68" t="str">
        <x:v>该规则属于M09治理边界，用于防止机械计分、数量投票、越级定喜忌/格局及静动态混用。</x:v>
      </x:c>
      <x:c r="AA95" s="68" t="str">
        <x:v>正例：当“形成最终日主旺衰”真实成立，且必要条件与增强条件同向时，按“最终旺衰输出必须包含正证、反证、关键转折和置信度”记录对应旺衰证据。</x:v>
      </x:c>
      <x:c r="AB95" s="90" t="str">
        <x:v>反例：只有表面条件，但出现“禁止只给“身旺/身弱”标签”或关键有效性未成立时，不得套用本规则。</x:v>
      </x:c>
      <x:c r="AC95" s="68" t="str">
        <x:v>https://zh.wikisource.org/wiki/%E6%B7%B5%E6%B5%B7%E5%AD%90%E5%B9%B3%E5%A4%A7%E5%85%A8 ; https://zh.wikisource.org/wiki/%E6%BB%B4%E5%A4%A9%E9%AB%93%E9%97%A1%E5%BE%AE</x:v>
      </x:c>
      <x:c r="AD95" s="82" t="str">
        <x:v>采用</x:v>
      </x:c>
      <x:c r="AE95" s="82" t="str">
        <x:v>初审</x:v>
      </x:c>
      <x:c r="AF95" s="87" t="n">
        <x:v>46255</x:v>
      </x:c>
    </x:row>
    <x:row r="96">
      <x:c r="A96" s="72" t="str">
        <x:f>IF(OR(C96="",D96=""),"",B96&amp;"-"&amp;UPPER(C96)&amp;"-"&amp;TEXT(D96,"0000")&amp;"-"&amp;E96)</x:f>
        <x:v>M09-BOUND-0090-V1.0</x:v>
      </x:c>
      <x:c r="B96" s="74" t="str">
        <x:v>M09</x:v>
      </x:c>
      <x:c r="C96" s="74" t="str">
        <x:v>BOUND</x:v>
      </x:c>
      <x:c r="D96" s="79" t="n">
        <x:v>90</x:v>
      </x:c>
      <x:c r="E96" s="74" t="str">
        <x:v>V1.0</x:v>
      </x:c>
      <x:c r="F96" s="68" t="str">
        <x:v>中和偏旺与中和偏弱必须由轻度净优势而非主观感觉区分</x:v>
      </x:c>
      <x:c r="G96" s="82" t="str">
        <x:v>综合层</x:v>
      </x:c>
      <x:c r="H96" s="68" t="str">
        <x:v>判断边界</x:v>
      </x:c>
      <x:c r="I96" s="68" t="str">
        <x:v>治理</x:v>
      </x:c>
      <x:c r="J96" s="68" t="str">
        <x:v>旺衰位于中和附近</x:v>
      </x:c>
      <x:c r="K96" s="68" t="str">
        <x:v>高</x:v>
      </x:c>
      <x:c r="L96" s="82" t="str">
        <x:v>强</x:v>
      </x:c>
      <x:c r="M96" s="68" t="str">
        <x:v>M03/M08完成</x:v>
      </x:c>
      <x:c r="N96" s="68" t="str">
        <x:v>两侧均有有效证据且差距较小</x:v>
      </x:c>
      <x:c r="O96" s="68" t="str">
        <x:v>一侧存在可明确指出的轻度净优势</x:v>
      </x:c>
      <x:c r="P96" s="68" t="str">
        <x:v>两侧完全对等或差异来自待验证规则</x:v>
      </x:c>
      <x:c r="Q96" s="90" t="str">
        <x:v>禁止在无净优势证据时随意选偏旺或偏弱</x:v>
      </x:c>
      <x:c r="R96" s="68" t="str">
        <x:v>无法裁定时输出中和并降低置信度</x:v>
      </x:c>
      <x:c r="S96" s="68" t="str">
        <x:v>偏向必须能回溯到一至两条关键有效证据</x:v>
      </x:c>
      <x:c r="T96" s="82" t="str">
        <x:v>是</x:v>
      </x:c>
      <x:c r="U96" s="82" t="str">
        <x:v>中和</x:v>
      </x:c>
      <x:c r="V96" s="84" t="str">
        <x:v>中和偏向分界</x:v>
      </x:c>
      <x:c r="W96" s="84" t="str">
        <x:v>中和偏旺/偏弱必须指出造成轻度净优势的具体证据；无法指出时不得强行偏向。</x:v>
      </x:c>
      <x:c r="X96" s="82" t="str">
        <x:v>较高</x:v>
      </x:c>
      <x:c r="Y96" s="82" t="str">
        <x:v>现代综合</x:v>
      </x:c>
      <x:c r="Z96" s="68" t="str">
        <x:v>该规则属于M09治理边界，用于防止机械计分、数量投票、越级定喜忌/格局及静动态混用。</x:v>
      </x:c>
      <x:c r="AA96" s="68" t="str">
        <x:v>正例：当“旺衰位于中和附近”真实成立，且必要条件与增强条件同向时，按“中和偏旺与中和偏弱必须由轻度净优势而非主观感觉区分”记录对应旺衰证据。</x:v>
      </x:c>
      <x:c r="AB96" s="90" t="str">
        <x:v>反例：只有表面条件，但出现“禁止在无净优势证据时随意选偏旺或偏弱”或关键有效性未成立时，不得套用本规则。</x:v>
      </x:c>
      <x:c r="AC96" s="68" t="str">
        <x:v>https://zh.wikisource.org/wiki/%E6%B7%B5%E6%B5%B7%E5%AD%90%E5%B9%B3%E5%A4%A7%E5%85%A8 ; https://zh.wikisource.org/wiki/%E6%BB%B4%E5%A4%A9%E9%AB%93%E9%97%A1%E5%BE%AE</x:v>
      </x:c>
      <x:c r="AD96" s="82" t="str">
        <x:v>采用</x:v>
      </x:c>
      <x:c r="AE96" s="82" t="str">
        <x:v>初审</x:v>
      </x:c>
      <x:c r="AF96" s="87" t="n">
        <x:v>46255</x:v>
      </x:c>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62eab907cbbb4dae"/>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v>M10-PRES-0001-V1.0</x:v>
      </x:c>
      <x:c r="B7" s="74" t="str">
        <x:v>M10</x:v>
      </x:c>
      <x:c r="C7" s="74" t="str">
        <x:v>PRES</x:v>
      </x:c>
      <x:c r="D7" s="215" t="n">
        <x:v>1</x:v>
      </x:c>
      <x:c r="E7" s="74" t="str">
        <x:v>V1.0</x:v>
      </x:c>
      <x:c r="F7" s="68" t="str">
        <x:v>十神透干属于明确显性存在</x:v>
      </x:c>
      <x:c r="G7" s="82" t="str">
        <x:v>结构层</x:v>
      </x:c>
      <x:c r="H7" s="82" t="str">
        <x:v>比肩</x:v>
      </x:c>
      <x:c r="I7" s="82" t="str">
        <x:v>透干</x:v>
      </x:c>
      <x:c r="J7" s="82" t="str">
        <x:v>待定</x:v>
      </x:c>
      <x:c r="K7" s="82" t="str">
        <x:v>待定</x:v>
      </x:c>
      <x:c r="L7" s="82" t="str">
        <x:v>待定</x:v>
      </x:c>
      <x:c r="M7" s="68" t="str">
        <x:v>按M08核查</x:v>
      </x:c>
      <x:c r="N7" s="68" t="str">
        <x:v>按M06/M08核查</x:v>
      </x:c>
      <x:c r="O7" s="82" t="str">
        <x:v>待定</x:v>
      </x:c>
      <x:c r="P7" s="68" t="str">
        <x:v>转M11/M14判断</x:v>
      </x:c>
      <x:c r="Q7" s="68" t="str">
        <x:v>存在层面明确，但实际帮身或分力取决于有效旺衰</x:v>
      </x:c>
      <x:c r="R7" s="82" t="str">
        <x:v>待定</x:v>
      </x:c>
      <x:c r="S7" s="68" t="str">
        <x:v>目标十神出现在四柱天干</x:v>
      </x:c>
      <x:c r="T7" s="68" t="str">
        <x:v>M02十神映射、M08五行有效旺衰、M09日主旺衰已完成</x:v>
      </x:c>
      <x:c r="U7" s="68" t="str">
        <x:v>先依据日主阴阳生克正确映射该天干十神</x:v>
      </x:c>
      <x:c r="V7" s="68" t="str">
        <x:v>得令、有根、透干、同党或生源形成独立有效证据</x:v>
      </x:c>
      <x:c r="W7" s="68" t="str">
        <x:v>失令、无根、被合绊、被制、改性或作用路径受阻</x:v>
      </x:c>
      <x:c r="X7" s="90" t="str">
        <x:v>不得以十神名称、数量或单一旺弱证据直接完成定性</x:v>
      </x:c>
      <x:c r="Y7" s="68" t="str">
        <x:v>特殊格局、从化候选及明确组合转M11/M14另审</x:v>
      </x:c>
      <x:c r="Z7" s="68" t="str">
        <x:v>不得由透干直接推出十神旺、清纯、有用或为喜忌</x:v>
      </x:c>
      <x:c r="AA7" s="84" t="str">
        <x:v>十神显性存在</x:v>
      </x:c>
      <x:c r="AB7" s="84" t="str">
        <x:v>十神透干属于明确显性存在：当“目标十神出现在四柱天干”成立时，按本规则记录十神的有效功能；同时保留制化、承载和反向证据。</x:v>
      </x:c>
      <x:c r="AC7" s="82" t="str">
        <x:v>较高</x:v>
      </x:c>
      <x:c r="AD7" s="82" t="str">
        <x:v>现代综合</x:v>
      </x:c>
      <x:c r="AE7" s="68" t="str">
        <x:v>十神必须分开判断存在性、力量、清纯度、功能性与喜忌性；M10只形成结构层结论和候选，不越级替代M11—M18。</x:v>
      </x:c>
      <x:c r="AF7" s="68" t="str">
        <x:v>相关条件真实成立，且增强条件有效时，可按“十神透干属于明确显性存在”记录对应功能。</x:v>
      </x:c>
      <x:c r="AG7" s="90" t="str">
        <x:v>仅见表面十神名称或数量，但“不得以十神名称、数量或单一旺弱证据直接完成定性”所述限制存在时，不得套用本规则。</x:v>
      </x:c>
      <x:c r="AH7" s="68" t="str">
        <x:v>https://zh.wikisource.org/wiki/%E6%B8%8A%E6%B5%B7%E5%AD%90%E5%B9%B3%E5%A4%A7%E5%85%A8 ; https://zh.wikisource.org/wiki/%E6%BB%B4%E5%A4%A9%E9%AB%93%E9%97%A1%E5%BE%AE</x:v>
      </x:c>
      <x:c r="AI7" s="82" t="str">
        <x:v>采用</x:v>
      </x:c>
      <x:c r="AJ7" s="82" t="str">
        <x:v>初审</x:v>
      </x:c>
      <x:c r="AK7" s="87" t="n">
        <x:v>46255</x:v>
      </x:c>
    </x:row>
    <x:row r="8">
      <x:c r="A8" s="72" t="str">
        <x:f>IF(OR(C8="",D8=""),"",B8&amp;"-"&amp;UPPER(C8)&amp;"-"&amp;TEXT(D8,"0000")&amp;"-"&amp;E8)</x:f>
        <x:v>M10-PRES-0002-V1.0</x:v>
      </x:c>
      <x:c r="B8" s="74" t="str">
        <x:v>M10</x:v>
      </x:c>
      <x:c r="C8" s="74" t="str">
        <x:v>PRES</x:v>
      </x:c>
      <x:c r="D8" s="215" t="n">
        <x:v>2</x:v>
      </x:c>
      <x:c r="E8" s="74" t="str">
        <x:v>V1.0</x:v>
      </x:c>
      <x:c r="F8" s="68" t="str">
        <x:v>藏于地支本气属于稳定的隐性存在</x:v>
      </x:c>
      <x:c r="G8" s="82" t="str">
        <x:v>结构层</x:v>
      </x:c>
      <x:c r="H8" s="82" t="str">
        <x:v>劫财</x:v>
      </x:c>
      <x:c r="I8" s="82" t="str">
        <x:v>藏支本气</x:v>
      </x:c>
      <x:c r="J8" s="82" t="str">
        <x:v>待定</x:v>
      </x:c>
      <x:c r="K8" s="82" t="str">
        <x:v>待定</x:v>
      </x:c>
      <x:c r="L8" s="82" t="str">
        <x:v>待定</x:v>
      </x:c>
      <x:c r="M8" s="68" t="str">
        <x:v>按M08核查</x:v>
      </x:c>
      <x:c r="N8" s="68" t="str">
        <x:v>按M06/M08核查</x:v>
      </x:c>
      <x:c r="O8" s="82" t="str">
        <x:v>待定</x:v>
      </x:c>
      <x:c r="P8" s="68" t="str">
        <x:v>转M11/M14判断</x:v>
      </x:c>
      <x:c r="Q8" s="68" t="str">
        <x:v>需结合M09日主承载判断</x:v>
      </x:c>
      <x:c r="R8" s="82" t="str">
        <x:v>待定</x:v>
      </x:c>
      <x:c r="S8" s="68" t="str">
        <x:v>目标十神对应天干藏于某地支本气</x:v>
      </x:c>
      <x:c r="T8" s="68" t="str">
        <x:v>M02十神映射、M08五行有效旺衰、M09日主旺衰已完成</x:v>
      </x:c>
      <x:c r="U8" s="68" t="str">
        <x:v>相关十神已由M02正确映射，并以M08有效力量为准</x:v>
      </x:c>
      <x:c r="V8" s="68" t="str">
        <x:v>得令、有根、透干、同党或生源形成独立有效证据</x:v>
      </x:c>
      <x:c r="W8" s="68" t="str">
        <x:v>失令、无根、被合绊、被制、改性或作用路径受阻</x:v>
      </x:c>
      <x:c r="X8" s="90" t="str">
        <x:v>不得以十神名称、数量或单一旺弱证据直接完成定性</x:v>
      </x:c>
      <x:c r="Y8" s="68" t="str">
        <x:v>特殊格局、从化候选及明确组合转M11/M14另审</x:v>
      </x:c>
      <x:c r="Z8" s="68" t="str">
        <x:v>不得由本气藏支直接推出已经透达或一定发挥强功能</x:v>
      </x:c>
      <x:c r="AA8" s="84" t="str">
        <x:v>十神本气藏支</x:v>
      </x:c>
      <x:c r="AB8" s="84" t="str">
        <x:v>藏于地支本气属于稳定的隐性存在：当“目标十神对应天干藏于某地支本气”成立时，按本规则记录十神的有效功能；同时保留制化、承载和反向证据。</x:v>
      </x:c>
      <x:c r="AC8" s="82" t="str">
        <x:v>较高</x:v>
      </x:c>
      <x:c r="AD8" s="82" t="str">
        <x:v>现代综合</x:v>
      </x:c>
      <x:c r="AE8" s="68" t="str">
        <x:v>十神必须分开判断存在性、力量、清纯度、功能性与喜忌性；M10只形成结构层结论和候选，不越级替代M11—M18。</x:v>
      </x:c>
      <x:c r="AF8" s="68" t="str">
        <x:v>相关条件真实成立，且增强条件有效时，可按“藏于地支本气属于稳定的隐性存在”记录对应功能。</x:v>
      </x:c>
      <x:c r="AG8" s="90" t="str">
        <x:v>仅见表面十神名称或数量，但“不得以十神名称、数量或单一旺弱证据直接完成定性”所述限制存在时，不得套用本规则。</x:v>
      </x:c>
      <x:c r="AH8" s="68" t="str">
        <x:v>https://zh.wikisource.org/wiki/%E6%B8%8A%E6%B5%B7%E5%AD%90%E5%B9%B3%E5%A4%A7%E5%85%A8 ; https://zh.wikisource.org/wiki/%E6%BB%B4%E5%A4%A9%E9%AB%93%E9%97%A1%E5%BE%AE</x:v>
      </x:c>
      <x:c r="AI8" s="82" t="str">
        <x:v>采用</x:v>
      </x:c>
      <x:c r="AJ8" s="82" t="str">
        <x:v>初审</x:v>
      </x:c>
      <x:c r="AK8" s="87" t="n">
        <x:v>46255</x:v>
      </x:c>
    </x:row>
    <x:row r="9">
      <x:c r="A9" s="72" t="str">
        <x:f>IF(OR(C9="",D9=""),"",B9&amp;"-"&amp;UPPER(C9)&amp;"-"&amp;TEXT(D9,"0000")&amp;"-"&amp;E9)</x:f>
        <x:v>M10-PRES-0003-V1.0</x:v>
      </x:c>
      <x:c r="B9" s="74" t="str">
        <x:v>M10</x:v>
      </x:c>
      <x:c r="C9" s="74" t="str">
        <x:v>PRES</x:v>
      </x:c>
      <x:c r="D9" s="215" t="n">
        <x:v>3</x:v>
      </x:c>
      <x:c r="E9" s="74" t="str">
        <x:v>V1.0</x:v>
      </x:c>
      <x:c r="F9" s="68" t="str">
        <x:v>藏于地支中气属于中层隐性存在</x:v>
      </x:c>
      <x:c r="G9" s="82" t="str">
        <x:v>结构层</x:v>
      </x:c>
      <x:c r="H9" s="82" t="str">
        <x:v>食神</x:v>
      </x:c>
      <x:c r="I9" s="82" t="str">
        <x:v>藏支中气</x:v>
      </x:c>
      <x:c r="J9" s="82" t="str">
        <x:v>待定</x:v>
      </x:c>
      <x:c r="K9" s="82" t="str">
        <x:v>待定</x:v>
      </x:c>
      <x:c r="L9" s="82" t="str">
        <x:v>待定</x:v>
      </x:c>
      <x:c r="M9" s="68" t="str">
        <x:v>按M08核查</x:v>
      </x:c>
      <x:c r="N9" s="68" t="str">
        <x:v>按M06/M08核查</x:v>
      </x:c>
      <x:c r="O9" s="82" t="str">
        <x:v>待定</x:v>
      </x:c>
      <x:c r="P9" s="68" t="str">
        <x:v>转M11/M14判断</x:v>
      </x:c>
      <x:c r="Q9" s="68" t="str">
        <x:v>需结合M09日主承载判断</x:v>
      </x:c>
      <x:c r="R9" s="82" t="str">
        <x:v>待定</x:v>
      </x:c>
      <x:c r="S9" s="68" t="str">
        <x:v>目标十神对应天干藏于某地支中气</x:v>
      </x:c>
      <x:c r="T9" s="68" t="str">
        <x:v>M02十神映射、M08五行有效旺衰、M09日主旺衰已完成</x:v>
      </x:c>
      <x:c r="U9" s="68" t="str">
        <x:v>相关十神已由M02正确映射，并以M08有效力量为准</x:v>
      </x:c>
      <x:c r="V9" s="68" t="str">
        <x:v>得令、有根、透干、同党或生源形成独立有效证据</x:v>
      </x:c>
      <x:c r="W9" s="68" t="str">
        <x:v>失令、无根、被合绊、被制、改性或作用路径受阻</x:v>
      </x:c>
      <x:c r="X9" s="90" t="str">
        <x:v>不得以十神名称、数量或单一旺弱证据直接完成定性</x:v>
      </x:c>
      <x:c r="Y9" s="68" t="str">
        <x:v>特殊格局、从化候选及明确组合转M11/M14另审</x:v>
      </x:c>
      <x:c r="Z9" s="68" t="str">
        <x:v>不得把中气藏干与本气、透干等权</x:v>
      </x:c>
      <x:c r="AA9" s="84" t="str">
        <x:v>十神中气藏支</x:v>
      </x:c>
      <x:c r="AB9" s="84" t="str">
        <x:v>藏于地支中气属于中层隐性存在：当“目标十神对应天干藏于某地支中气”成立时，按本规则记录十神的有效功能；同时保留制化、承载和反向证据。</x:v>
      </x:c>
      <x:c r="AC9" s="82" t="str">
        <x:v>较高</x:v>
      </x:c>
      <x:c r="AD9" s="82" t="str">
        <x:v>现代综合</x:v>
      </x:c>
      <x:c r="AE9" s="68" t="str">
        <x:v>十神必须分开判断存在性、力量、清纯度、功能性与喜忌性；M10只形成结构层结论和候选，不越级替代M11—M18。</x:v>
      </x:c>
      <x:c r="AF9" s="68" t="str">
        <x:v>相关条件真实成立，且增强条件有效时，可按“藏于地支中气属于中层隐性存在”记录对应功能。</x:v>
      </x:c>
      <x:c r="AG9" s="90" t="str">
        <x:v>仅见表面十神名称或数量，但“不得以十神名称、数量或单一旺弱证据直接完成定性”所述限制存在时，不得套用本规则。</x:v>
      </x:c>
      <x:c r="AH9" s="68" t="str">
        <x:v>https://zh.wikisource.org/wiki/%E6%B8%8A%E6%B5%B7%E5%AD%90%E5%B9%B3%E5%A4%A7%E5%85%A8 ; https://zh.wikisource.org/wiki/%E6%BB%B4%E5%A4%A9%E9%AB%93%E9%97%A1%E5%BE%AE</x:v>
      </x:c>
      <x:c r="AI9" s="82" t="str">
        <x:v>采用</x:v>
      </x:c>
      <x:c r="AJ9" s="82" t="str">
        <x:v>初审</x:v>
      </x:c>
      <x:c r="AK9" s="87" t="n">
        <x:v>46255</x:v>
      </x:c>
    </x:row>
    <x:row r="10">
      <x:c r="A10" s="72" t="str">
        <x:f>IF(OR(C10="",D10=""),"",B10&amp;"-"&amp;UPPER(C10)&amp;"-"&amp;TEXT(D10,"0000")&amp;"-"&amp;E10)</x:f>
        <x:v>M10-PRES-0004-V1.0</x:v>
      </x:c>
      <x:c r="B10" s="74" t="str">
        <x:v>M10</x:v>
      </x:c>
      <x:c r="C10" s="74" t="str">
        <x:v>PRES</x:v>
      </x:c>
      <x:c r="D10" s="215" t="n">
        <x:v>4</x:v>
      </x:c>
      <x:c r="E10" s="74" t="str">
        <x:v>V1.0</x:v>
      </x:c>
      <x:c r="F10" s="68" t="str">
        <x:v>藏于地支余气属于弱层隐性存在</x:v>
      </x:c>
      <x:c r="G10" s="82" t="str">
        <x:v>结构层</x:v>
      </x:c>
      <x:c r="H10" s="82" t="str">
        <x:v>伤官</x:v>
      </x:c>
      <x:c r="I10" s="82" t="str">
        <x:v>藏支余气</x:v>
      </x:c>
      <x:c r="J10" s="82" t="str">
        <x:v>待定</x:v>
      </x:c>
      <x:c r="K10" s="82" t="str">
        <x:v>待定</x:v>
      </x:c>
      <x:c r="L10" s="82" t="str">
        <x:v>待定</x:v>
      </x:c>
      <x:c r="M10" s="68" t="str">
        <x:v>按M08核查</x:v>
      </x:c>
      <x:c r="N10" s="68" t="str">
        <x:v>按M06/M08核查</x:v>
      </x:c>
      <x:c r="O10" s="82" t="str">
        <x:v>待定</x:v>
      </x:c>
      <x:c r="P10" s="68" t="str">
        <x:v>转M11/M14判断</x:v>
      </x:c>
      <x:c r="Q10" s="68" t="str">
        <x:v>需结合M09日主承载判断</x:v>
      </x:c>
      <x:c r="R10" s="82" t="str">
        <x:v>待定</x:v>
      </x:c>
      <x:c r="S10" s="68" t="str">
        <x:v>目标十神对应天干藏于某地支余气</x:v>
      </x:c>
      <x:c r="T10" s="68" t="str">
        <x:v>M02十神映射、M08五行有效旺衰、M09日主旺衰已完成</x:v>
      </x:c>
      <x:c r="U10" s="68" t="str">
        <x:v>相关十神已由M02正确映射，并以M08有效力量为准</x:v>
      </x:c>
      <x:c r="V10" s="68" t="str">
        <x:v>得令、有根、透干、同党或生源形成独立有效证据</x:v>
      </x:c>
      <x:c r="W10" s="68" t="str">
        <x:v>失令、无根、被合绊、被制、改性或作用路径受阻</x:v>
      </x:c>
      <x:c r="X10" s="90" t="str">
        <x:v>不得以十神名称、数量或单一旺弱证据直接完成定性</x:v>
      </x:c>
      <x:c r="Y10" s="68" t="str">
        <x:v>特殊格局、从化候选及明确组合转M11/M14另审</x:v>
      </x:c>
      <x:c r="Z10" s="68" t="str">
        <x:v>不得把余气存在直接写成该十神旺或主导</x:v>
      </x:c>
      <x:c r="AA10" s="84" t="str">
        <x:v>十神余气藏支</x:v>
      </x:c>
      <x:c r="AB10" s="84" t="str">
        <x:v>藏于地支余气属于弱层隐性存在：当“目标十神对应天干藏于某地支余气”成立时，按本规则记录十神的有效功能；同时保留制化、承载和反向证据。</x:v>
      </x:c>
      <x:c r="AC10" s="82" t="str">
        <x:v>较高</x:v>
      </x:c>
      <x:c r="AD10" s="82" t="str">
        <x:v>现代综合</x:v>
      </x:c>
      <x:c r="AE10" s="68" t="str">
        <x:v>十神必须分开判断存在性、力量、清纯度、功能性与喜忌性；M10只形成结构层结论和候选，不越级替代M11—M18。</x:v>
      </x:c>
      <x:c r="AF10" s="68" t="str">
        <x:v>相关条件真实成立，且增强条件有效时，可按“藏于地支余气属于弱层隐性存在”记录对应功能。</x:v>
      </x:c>
      <x:c r="AG10" s="90" t="str">
        <x:v>仅见表面十神名称或数量，但“不得以十神名称、数量或单一旺弱证据直接完成定性”所述限制存在时，不得套用本规则。</x:v>
      </x:c>
      <x:c r="AH10" s="68" t="str">
        <x:v>https://zh.wikisource.org/wiki/%E6%B8%8A%E6%B5%B7%E5%AD%90%E5%B9%B3%E5%A4%A7%E5%85%A8 ; https://zh.wikisource.org/wiki/%E6%BB%B4%E5%A4%A9%E9%AB%93%E9%97%A1%E5%BE%AE</x:v>
      </x:c>
      <x:c r="AI10" s="82" t="str">
        <x:v>采用</x:v>
      </x:c>
      <x:c r="AJ10" s="82" t="str">
        <x:v>初审</x:v>
      </x:c>
      <x:c r="AK10" s="87" t="n">
        <x:v>46255</x:v>
      </x:c>
    </x:row>
    <x:row r="11">
      <x:c r="A11" s="72" t="str">
        <x:f>IF(OR(C11="",D11=""),"",B11&amp;"-"&amp;UPPER(C11)&amp;"-"&amp;TEXT(D11,"0000")&amp;"-"&amp;E11)</x:f>
        <x:v>M10-PRES-0005-V1.0</x:v>
      </x:c>
      <x:c r="B11" s="74" t="str">
        <x:v>M10</x:v>
      </x:c>
      <x:c r="C11" s="74" t="str">
        <x:v>PRES</x:v>
      </x:c>
      <x:c r="D11" s="215" t="n">
        <x:v>5</x:v>
      </x:c>
      <x:c r="E11" s="74" t="str">
        <x:v>V1.0</x:v>
      </x:c>
      <x:c r="F11" s="68" t="str">
        <x:v>同一十神多处出现只证明节点增多</x:v>
      </x:c>
      <x:c r="G11" s="82" t="str">
        <x:v>结构层</x:v>
      </x:c>
      <x:c r="H11" s="82" t="str">
        <x:v>偏财</x:v>
      </x:c>
      <x:c r="I11" s="82" t="str">
        <x:v>多处出现</x:v>
      </x:c>
      <x:c r="J11" s="82" t="str">
        <x:v>待定</x:v>
      </x:c>
      <x:c r="K11" s="82" t="str">
        <x:v>待定</x:v>
      </x:c>
      <x:c r="L11" s="82" t="str">
        <x:v>待定</x:v>
      </x:c>
      <x:c r="M11" s="68" t="str">
        <x:v>按M08核查</x:v>
      </x:c>
      <x:c r="N11" s="68" t="str">
        <x:v>按M06/M08核查</x:v>
      </x:c>
      <x:c r="O11" s="82" t="str">
        <x:v>待定</x:v>
      </x:c>
      <x:c r="P11" s="68" t="str">
        <x:v>转M11/M14判断</x:v>
      </x:c>
      <x:c r="Q11" s="68" t="str">
        <x:v>需结合M09日主承载判断</x:v>
      </x:c>
      <x:c r="R11" s="82" t="str">
        <x:v>待定</x:v>
      </x:c>
      <x:c r="S11" s="68" t="str">
        <x:v>同一十神在两个及以上独立干支节点出现</x:v>
      </x:c>
      <x:c r="T11" s="68" t="str">
        <x:v>M02十神映射、M08五行有效旺衰、M09日主旺衰已完成</x:v>
      </x:c>
      <x:c r="U11" s="68" t="str">
        <x:v>相关十神已由M02正确映射，并以M08有效力量为准</x:v>
      </x:c>
      <x:c r="V11" s="68" t="str">
        <x:v>得令、有根、透干、同党或生源形成独立有效证据</x:v>
      </x:c>
      <x:c r="W11" s="68" t="str">
        <x:v>失令、无根、被合绊、被制、改性或作用路径受阻</x:v>
      </x:c>
      <x:c r="X11" s="90" t="str">
        <x:v>不得以十神名称、数量或单一旺弱证据直接完成定性</x:v>
      </x:c>
      <x:c r="Y11" s="68" t="str">
        <x:v>特殊格局、从化候选及明确组合转M11/M14另审</x:v>
      </x:c>
      <x:c r="Z11" s="68" t="str">
        <x:v>不得按出现次数线性累加十神力量或直接判成势</x:v>
      </x:c>
      <x:c r="AA11" s="84" t="str">
        <x:v>十神多节点存在</x:v>
      </x:c>
      <x:c r="AB11" s="84" t="str">
        <x:v>同一十神多处出现只证明节点增多：当“同一十神在两个及以上独立干支节点出现”成立时，按本规则记录十神的有效功能；同时保留制化、承载和反向证据。</x:v>
      </x:c>
      <x:c r="AC11" s="82" t="str">
        <x:v>较高</x:v>
      </x:c>
      <x:c r="AD11" s="82" t="str">
        <x:v>现代综合</x:v>
      </x:c>
      <x:c r="AE11" s="68" t="str">
        <x:v>十神必须分开判断存在性、力量、清纯度、功能性与喜忌性；M10只形成结构层结论和候选，不越级替代M11—M18。</x:v>
      </x:c>
      <x:c r="AF11" s="68" t="str">
        <x:v>相关条件真实成立，且增强条件有效时，可按“同一十神多处出现只证明节点增多”记录对应功能。</x:v>
      </x:c>
      <x:c r="AG11" s="90" t="str">
        <x:v>仅见表面十神名称或数量，但“不得以十神名称、数量或单一旺弱证据直接完成定性”所述限制存在时，不得套用本规则。</x:v>
      </x:c>
      <x:c r="AH11" s="68" t="str">
        <x:v>https://zh.wikisource.org/wiki/%E6%B8%8A%E6%B5%B7%E5%AD%90%E5%B9%B3%E5%A4%A7%E5%85%A8 ; https://zh.wikisource.org/wiki/%E6%BB%B4%E5%A4%A9%E9%AB%93%E9%97%A1%E5%BE%AE</x:v>
      </x:c>
      <x:c r="AI11" s="82" t="str">
        <x:v>采用</x:v>
      </x:c>
      <x:c r="AJ11" s="82" t="str">
        <x:v>初审</x:v>
      </x:c>
      <x:c r="AK11" s="87" t="n">
        <x:v>46255</x:v>
      </x:c>
    </x:row>
    <x:row r="12">
      <x:c r="A12" s="72" t="str">
        <x:f>IF(OR(C12="",D12=""),"",B12&amp;"-"&amp;UPPER(C12)&amp;"-"&amp;TEXT(D12,"0000")&amp;"-"&amp;E12)</x:f>
        <x:v>M10-PRES-0006-V1.0</x:v>
      </x:c>
      <x:c r="B12" s="74" t="str">
        <x:v>M10</x:v>
      </x:c>
      <x:c r="C12" s="74" t="str">
        <x:v>PRES</x:v>
      </x:c>
      <x:c r="D12" s="215" t="n">
        <x:v>6</x:v>
      </x:c>
      <x:c r="E12" s="74" t="str">
        <x:v>V1.0</x:v>
      </x:c>
      <x:c r="F12" s="68" t="str">
        <x:v>十神完全不现仅表示原局无直接节点</x:v>
      </x:c>
      <x:c r="G12" s="82" t="str">
        <x:v>结构层</x:v>
      </x:c>
      <x:c r="H12" s="82" t="str">
        <x:v>正财</x:v>
      </x:c>
      <x:c r="I12" s="82" t="str">
        <x:v>完全不现</x:v>
      </x:c>
      <x:c r="J12" s="82" t="str">
        <x:v>极弱</x:v>
      </x:c>
      <x:c r="K12" s="82" t="str">
        <x:v>极弱</x:v>
      </x:c>
      <x:c r="L12" s="82" t="str">
        <x:v>待定</x:v>
      </x:c>
      <x:c r="M12" s="68" t="str">
        <x:v>按M08核查</x:v>
      </x:c>
      <x:c r="N12" s="68" t="str">
        <x:v>按M06/M08核查</x:v>
      </x:c>
      <x:c r="O12" s="82" t="str">
        <x:v>待定</x:v>
      </x:c>
      <x:c r="P12" s="68" t="str">
        <x:v>转M11/M14判断</x:v>
      </x:c>
      <x:c r="Q12" s="68" t="str">
        <x:v>需结合M09日主承载判断</x:v>
      </x:c>
      <x:c r="R12" s="82" t="str">
        <x:v>待定</x:v>
      </x:c>
      <x:c r="S12" s="68" t="str">
        <x:v>四柱明干与藏干均未出现目标十神</x:v>
      </x:c>
      <x:c r="T12" s="68" t="str">
        <x:v>M02十神映射、M08五行有效旺衰、M09日主旺衰已完成</x:v>
      </x:c>
      <x:c r="U12" s="68" t="str">
        <x:v>相关十神已由M02正确映射，并以M08有效力量为准</x:v>
      </x:c>
      <x:c r="V12" s="68" t="str">
        <x:v>得令、有根、透干、同党或生源形成独立有效证据</x:v>
      </x:c>
      <x:c r="W12" s="68" t="str">
        <x:v>失令、无根、被合绊、被制、改性或作用路径受阻</x:v>
      </x:c>
      <x:c r="X12" s="90" t="str">
        <x:v>不得以十神名称、数量或单一旺弱证据直接完成定性</x:v>
      </x:c>
      <x:c r="Y12" s="68" t="str">
        <x:v>特殊格局、从化候选及明确组合转M11/M14另审</x:v>
      </x:c>
      <x:c r="Z12" s="68" t="str">
        <x:v>不得由原局不现直接推出人生领域缺失、没有某类亲属或具体事件不会发生</x:v>
      </x:c>
      <x:c r="AA12" s="84" t="str">
        <x:v>十神原局不现</x:v>
      </x:c>
      <x:c r="AB12" s="84" t="str">
        <x:v>十神完全不现仅表示原局无直接节点：当“四柱明干与藏干均未出现目标十神”成立时，按本规则记录十神的有效功能；同时保留制化、承载和反向证据。</x:v>
      </x:c>
      <x:c r="AC12" s="82" t="str">
        <x:v>较高</x:v>
      </x:c>
      <x:c r="AD12" s="82" t="str">
        <x:v>现代综合</x:v>
      </x:c>
      <x:c r="AE12" s="68" t="str">
        <x:v>十神必须分开判断存在性、力量、清纯度、功能性与喜忌性；M10只形成结构层结论和候选，不越级替代M11—M18。</x:v>
      </x:c>
      <x:c r="AF12" s="68" t="str">
        <x:v>相关条件真实成立，且增强条件有效时，可按“十神完全不现仅表示原局无直接节点”记录对应功能。</x:v>
      </x:c>
      <x:c r="AG12" s="90" t="str">
        <x:v>仅见表面十神名称或数量，但“不得以十神名称、数量或单一旺弱证据直接完成定性”所述限制存在时，不得套用本规则。</x:v>
      </x:c>
      <x:c r="AH12" s="68" t="str">
        <x:v>https://zh.wikisource.org/wiki/%E6%B8%8A%E6%B5%B7%E5%AD%90%E5%B9%B3%E5%A4%A7%E5%85%A8 ; https://zh.wikisource.org/wiki/%E6%BB%B4%E5%A4%A9%E9%AB%93%E9%97%A1%E5%BE%AE</x:v>
      </x:c>
      <x:c r="AI12" s="82" t="str">
        <x:v>采用</x:v>
      </x:c>
      <x:c r="AJ12" s="82" t="str">
        <x:v>初审</x:v>
      </x:c>
      <x:c r="AK12" s="87" t="n">
        <x:v>46255</x:v>
      </x:c>
    </x:row>
    <x:row r="13">
      <x:c r="A13" s="72" t="str">
        <x:f>IF(OR(C13="",D13=""),"",B13&amp;"-"&amp;UPPER(C13)&amp;"-"&amp;TEXT(D13,"0000")&amp;"-"&amp;E13)</x:f>
        <x:v>M10-PRES-0007-V1.0</x:v>
      </x:c>
      <x:c r="B13" s="74" t="str">
        <x:v>M10</x:v>
      </x:c>
      <x:c r="C13" s="74" t="str">
        <x:v>PRES</x:v>
      </x:c>
      <x:c r="D13" s="215" t="n">
        <x:v>7</x:v>
      </x:c>
      <x:c r="E13" s="74" t="str">
        <x:v>V1.0</x:v>
      </x:c>
      <x:c r="F13" s="68" t="str">
        <x:v>透干且通根应同时记录存在方式与承载</x:v>
      </x:c>
      <x:c r="G13" s="82" t="str">
        <x:v>结构层</x:v>
      </x:c>
      <x:c r="H13" s="82" t="str">
        <x:v>七杀</x:v>
      </x:c>
      <x:c r="I13" s="82" t="str">
        <x:v>透干</x:v>
      </x:c>
      <x:c r="J13" s="82" t="str">
        <x:v>待定</x:v>
      </x:c>
      <x:c r="K13" s="82" t="str">
        <x:v>待定</x:v>
      </x:c>
      <x:c r="L13" s="82" t="str">
        <x:v>待定</x:v>
      </x:c>
      <x:c r="M13" s="68" t="str">
        <x:v>按M08核查</x:v>
      </x:c>
      <x:c r="N13" s="68" t="str">
        <x:v>按M06/M08核查</x:v>
      </x:c>
      <x:c r="O13" s="82" t="str">
        <x:v>待定</x:v>
      </x:c>
      <x:c r="P13" s="68" t="str">
        <x:v>转M11/M14判断</x:v>
      </x:c>
      <x:c r="Q13" s="68" t="str">
        <x:v>七杀制身路径更容易形成，但仍须审制化与日主承载</x:v>
      </x:c>
      <x:c r="R13" s="82" t="str">
        <x:v>待定</x:v>
      </x:c>
      <x:c r="S13" s="68" t="str">
        <x:v>七杀透干并在地支有有效同类根</x:v>
      </x:c>
      <x:c r="T13" s="68" t="str">
        <x:v>M02十神映射、M08五行有效旺衰、M09日主旺衰已完成</x:v>
      </x:c>
      <x:c r="U13" s="68" t="str">
        <x:v>相关十神已由M02正确映射，并以M08有效力量为准</x:v>
      </x:c>
      <x:c r="V13" s="68" t="str">
        <x:v>得令、有根、透干、同党或生源形成独立有效证据</x:v>
      </x:c>
      <x:c r="W13" s="68" t="str">
        <x:v>失令、无根、被合绊、被制、改性或作用路径受阻</x:v>
      </x:c>
      <x:c r="X13" s="90" t="str">
        <x:v>不得以十神名称、数量或单一旺弱证据直接完成定性</x:v>
      </x:c>
      <x:c r="Y13" s="68" t="str">
        <x:v>特殊格局、从化候选及明确组合转M11/M14另审</x:v>
      </x:c>
      <x:c r="Z13" s="68" t="str">
        <x:v>不得直接推出吉凶、具体事件、亲属结果或最终喜忌</x:v>
      </x:c>
      <x:c r="AA13" s="84" t="str">
        <x:v>十神透根相应</x:v>
      </x:c>
      <x:c r="AB13" s="84" t="str">
        <x:v>透干且通根应同时记录存在方式与承载：当“七杀透干并在地支有有效同类根”成立时，按本规则记录十神的有效功能；同时保留制化、承载和反向证据。</x:v>
      </x:c>
      <x:c r="AC13" s="82" t="str">
        <x:v>较高</x:v>
      </x:c>
      <x:c r="AD13" s="82" t="str">
        <x:v>现代综合</x:v>
      </x:c>
      <x:c r="AE13" s="68" t="str">
        <x:v>十神必须分开判断存在性、力量、清纯度、功能性与喜忌性；M10只形成结构层结论和候选，不越级替代M11—M18。</x:v>
      </x:c>
      <x:c r="AF13" s="68" t="str">
        <x:v>相关条件真实成立，且增强条件有效时，可按“透干且通根应同时记录存在方式与承载”记录对应功能。</x:v>
      </x:c>
      <x:c r="AG13" s="90" t="str">
        <x:v>仅见表面十神名称或数量，但“不得以十神名称、数量或单一旺弱证据直接完成定性”所述限制存在时，不得套用本规则。</x:v>
      </x:c>
      <x:c r="AH13" s="68" t="str">
        <x:v>https://zh.wikisource.org/wiki/%E6%B8%8A%E6%B5%B7%E5%AD%90%E5%B9%B3%E5%A4%A7%E5%85%A8 ; https://zh.wikisource.org/wiki/%E6%BB%B4%E5%A4%A9%E9%AB%93%E9%97%A1%E5%BE%AE</x:v>
      </x:c>
      <x:c r="AI13" s="82" t="str">
        <x:v>采用</x:v>
      </x:c>
      <x:c r="AJ13" s="82" t="str">
        <x:v>初审</x:v>
      </x:c>
      <x:c r="AK13" s="87" t="n">
        <x:v>46255</x:v>
      </x:c>
    </x:row>
    <x:row r="14">
      <x:c r="A14" s="72" t="str">
        <x:f>IF(OR(C14="",D14=""),"",B14&amp;"-"&amp;UPPER(C14)&amp;"-"&amp;TEXT(D14,"0000")&amp;"-"&amp;E14)</x:f>
        <x:v>M10-PRES-0008-V1.0</x:v>
      </x:c>
      <x:c r="B14" s="74" t="str">
        <x:v>M10</x:v>
      </x:c>
      <x:c r="C14" s="74" t="str">
        <x:v>PRES</x:v>
      </x:c>
      <x:c r="D14" s="215" t="n">
        <x:v>8</x:v>
      </x:c>
      <x:c r="E14" s="74" t="str">
        <x:v>V1.0</x:v>
      </x:c>
      <x:c r="F14" s="68" t="str">
        <x:v>藏而不透不等于十神不存在</x:v>
      </x:c>
      <x:c r="G14" s="82" t="str">
        <x:v>结构层</x:v>
      </x:c>
      <x:c r="H14" s="82" t="str">
        <x:v>正官</x:v>
      </x:c>
      <x:c r="I14" s="82" t="str">
        <x:v>藏支本气</x:v>
      </x:c>
      <x:c r="J14" s="82" t="str">
        <x:v>待定</x:v>
      </x:c>
      <x:c r="K14" s="82" t="str">
        <x:v>待定</x:v>
      </x:c>
      <x:c r="L14" s="82" t="str">
        <x:v>待定</x:v>
      </x:c>
      <x:c r="M14" s="68" t="str">
        <x:v>按M08核查</x:v>
      </x:c>
      <x:c r="N14" s="68" t="str">
        <x:v>按M06/M08核查</x:v>
      </x:c>
      <x:c r="O14" s="82" t="str">
        <x:v>待定</x:v>
      </x:c>
      <x:c r="P14" s="68" t="str">
        <x:v>转M11/M14判断</x:v>
      </x:c>
      <x:c r="Q14" s="68" t="str">
        <x:v>原局存在官星基础，但显性作用和组合接口较弱</x:v>
      </x:c>
      <x:c r="R14" s="82" t="str">
        <x:v>待定</x:v>
      </x:c>
      <x:c r="S14" s="68" t="str">
        <x:v>正官只见于地支藏干而天干不透</x:v>
      </x:c>
      <x:c r="T14" s="68" t="str">
        <x:v>M02十神映射、M08五行有效旺衰、M09日主旺衰已完成</x:v>
      </x:c>
      <x:c r="U14" s="68" t="str">
        <x:v>相关十神已由M02正确映射，并以M08有效力量为准</x:v>
      </x:c>
      <x:c r="V14" s="68" t="str">
        <x:v>得令、有根、透干、同党或生源形成独立有效证据</x:v>
      </x:c>
      <x:c r="W14" s="68" t="str">
        <x:v>失令、无根、被合绊、被制、改性或作用路径受阻</x:v>
      </x:c>
      <x:c r="X14" s="90" t="str">
        <x:v>不得以十神名称、数量或单一旺弱证据直接完成定性</x:v>
      </x:c>
      <x:c r="Y14" s="68" t="str">
        <x:v>特殊格局、从化候选及明确组合转M11/M14另审</x:v>
      </x:c>
      <x:c r="Z14" s="68" t="str">
        <x:v>不得直接推出吉凶、具体事件、亲属结果或最终喜忌</x:v>
      </x:c>
      <x:c r="AA14" s="84" t="str">
        <x:v>十神藏而不透</x:v>
      </x:c>
      <x:c r="AB14" s="84" t="str">
        <x:v>藏而不透不等于十神不存在：当“正官只见于地支藏干而天干不透”成立时，按本规则记录十神的有效功能；同时保留制化、承载和反向证据。</x:v>
      </x:c>
      <x:c r="AC14" s="82" t="str">
        <x:v>较高</x:v>
      </x:c>
      <x:c r="AD14" s="82" t="str">
        <x:v>现代综合</x:v>
      </x:c>
      <x:c r="AE14" s="68" t="str">
        <x:v>十神必须分开判断存在性、力量、清纯度、功能性与喜忌性；M10只形成结构层结论和候选，不越级替代M11—M18。</x:v>
      </x:c>
      <x:c r="AF14" s="68" t="str">
        <x:v>相关条件真实成立，且增强条件有效时，可按“藏而不透不等于十神不存在”记录对应功能。</x:v>
      </x:c>
      <x:c r="AG14" s="90" t="str">
        <x:v>仅见表面十神名称或数量，但“不得以十神名称、数量或单一旺弱证据直接完成定性”所述限制存在时，不得套用本规则。</x:v>
      </x:c>
      <x:c r="AH14" s="68" t="str">
        <x:v>https://zh.wikisource.org/wiki/%E6%B8%8A%E6%B5%B7%E5%AD%90%E5%B9%B3%E5%A4%A7%E5%85%A8 ; https://zh.wikisource.org/wiki/%E6%BB%B4%E5%A4%A9%E9%AB%93%E9%97%A1%E5%BE%AE</x:v>
      </x:c>
      <x:c r="AI14" s="82" t="str">
        <x:v>采用</x:v>
      </x:c>
      <x:c r="AJ14" s="82" t="str">
        <x:v>初审</x:v>
      </x:c>
      <x:c r="AK14" s="87" t="n">
        <x:v>46255</x:v>
      </x:c>
    </x:row>
    <x:row r="15">
      <x:c r="A15" s="72" t="str">
        <x:f>IF(OR(C15="",D15=""),"",B15&amp;"-"&amp;UPPER(C15)&amp;"-"&amp;TEXT(D15,"0000")&amp;"-"&amp;E15)</x:f>
        <x:v>M10-PRES-0009-V1.0</x:v>
      </x:c>
      <x:c r="B15" s="74" t="str">
        <x:v>M10</x:v>
      </x:c>
      <x:c r="C15" s="74" t="str">
        <x:v>PRES</x:v>
      </x:c>
      <x:c r="D15" s="215" t="n">
        <x:v>9</x:v>
      </x:c>
      <x:c r="E15" s="74" t="str">
        <x:v>V1.0</x:v>
      </x:c>
      <x:c r="F15" s="68" t="str">
        <x:v>同一地支含多个藏干时各十神分别识别</x:v>
      </x:c>
      <x:c r="G15" s="82" t="str">
        <x:v>结构层</x:v>
      </x:c>
      <x:c r="H15" s="82" t="str">
        <x:v>偏印</x:v>
      </x:c>
      <x:c r="I15" s="82" t="str">
        <x:v>藏支中气</x:v>
      </x:c>
      <x:c r="J15" s="82" t="str">
        <x:v>待定</x:v>
      </x:c>
      <x:c r="K15" s="82" t="str">
        <x:v>待定</x:v>
      </x:c>
      <x:c r="L15" s="82" t="str">
        <x:v>待定</x:v>
      </x:c>
      <x:c r="M15" s="68" t="str">
        <x:v>按M08核查</x:v>
      </x:c>
      <x:c r="N15" s="68" t="str">
        <x:v>按M06/M08核查</x:v>
      </x:c>
      <x:c r="O15" s="82" t="str">
        <x:v>待定</x:v>
      </x:c>
      <x:c r="P15" s="68" t="str">
        <x:v>转M11/M14判断</x:v>
      </x:c>
      <x:c r="Q15" s="68" t="str">
        <x:v>需结合M09日主承载判断</x:v>
      </x:c>
      <x:c r="R15" s="82" t="str">
        <x:v>待定</x:v>
      </x:c>
      <x:c r="S15" s="68" t="str">
        <x:v>一个地支藏干映射出两个或三个不同十神</x:v>
      </x:c>
      <x:c r="T15" s="68" t="str">
        <x:v>M02十神映射、M08五行有效旺衰、M09日主旺衰已完成</x:v>
      </x:c>
      <x:c r="U15" s="68" t="str">
        <x:v>相关十神已由M02正确映射，并以M08有效力量为准</x:v>
      </x:c>
      <x:c r="V15" s="68" t="str">
        <x:v>得令、有根、透干、同党或生源形成独立有效证据</x:v>
      </x:c>
      <x:c r="W15" s="68" t="str">
        <x:v>失令、无根、被合绊、被制、改性或作用路径受阻</x:v>
      </x:c>
      <x:c r="X15" s="90" t="str">
        <x:v>不得以十神名称、数量或单一旺弱证据直接完成定性</x:v>
      </x:c>
      <x:c r="Y15" s="68" t="str">
        <x:v>特殊格局、从化候选及明确组合转M11/M14另审</x:v>
      </x:c>
      <x:c r="Z15" s="68" t="str">
        <x:v>不得把整支只按本气十神代表而删除中余气十神</x:v>
      </x:c>
      <x:c r="AA15" s="84" t="str">
        <x:v>藏干十神分项识别</x:v>
      </x:c>
      <x:c r="AB15" s="84" t="str">
        <x:v>同一地支含多个藏干时各十神分别识别：当“一个地支藏干映射出两个或三个不同十神”成立时，按本规则记录十神的有效功能；同时保留制化、承载和反向证据。</x:v>
      </x:c>
      <x:c r="AC15" s="82" t="str">
        <x:v>较高</x:v>
      </x:c>
      <x:c r="AD15" s="82" t="str">
        <x:v>现代综合</x:v>
      </x:c>
      <x:c r="AE15" s="68" t="str">
        <x:v>十神必须分开判断存在性、力量、清纯度、功能性与喜忌性；M10只形成结构层结论和候选，不越级替代M11—M18。</x:v>
      </x:c>
      <x:c r="AF15" s="68" t="str">
        <x:v>相关条件真实成立，且增强条件有效时，可按“同一地支含多个藏干时各十神分别识别”记录对应功能。</x:v>
      </x:c>
      <x:c r="AG15" s="90" t="str">
        <x:v>仅见表面十神名称或数量，但“不得以十神名称、数量或单一旺弱证据直接完成定性”所述限制存在时，不得套用本规则。</x:v>
      </x:c>
      <x:c r="AH15" s="68" t="str">
        <x:v>https://zh.wikisource.org/wiki/%E6%B8%8A%E6%B5%B7%E5%AD%90%E5%B9%B3%E5%A4%A7%E5%85%A8 ; https://zh.wikisource.org/wiki/%E6%BB%B4%E5%A4%A9%E9%AB%93%E9%97%A1%E5%BE%AE</x:v>
      </x:c>
      <x:c r="AI15" s="82" t="str">
        <x:v>采用</x:v>
      </x:c>
      <x:c r="AJ15" s="82" t="str">
        <x:v>初审</x:v>
      </x:c>
      <x:c r="AK15" s="87" t="n">
        <x:v>46255</x:v>
      </x:c>
    </x:row>
    <x:row r="16">
      <x:c r="A16" s="72" t="str">
        <x:f>IF(OR(C16="",D16=""),"",B16&amp;"-"&amp;UPPER(C16)&amp;"-"&amp;TEXT(D16,"0000")&amp;"-"&amp;E16)</x:f>
        <x:v>M10-PRES-0010-V1.0</x:v>
      </x:c>
      <x:c r="B16" s="74" t="str">
        <x:v>M10</x:v>
      </x:c>
      <x:c r="C16" s="74" t="str">
        <x:v>PRES</x:v>
      </x:c>
      <x:c r="D16" s="215" t="n">
        <x:v>10</x:v>
      </x:c>
      <x:c r="E16" s="74" t="str">
        <x:v>V1.0</x:v>
      </x:c>
      <x:c r="F16" s="68" t="str">
        <x:v>正偏同类十神并见先生成混杂候选</x:v>
      </x:c>
      <x:c r="G16" s="82" t="str">
        <x:v>结构层</x:v>
      </x:c>
      <x:c r="H16" s="82" t="str">
        <x:v>正印</x:v>
      </x:c>
      <x:c r="I16" s="82" t="str">
        <x:v>多处出现</x:v>
      </x:c>
      <x:c r="J16" s="82" t="str">
        <x:v>待定</x:v>
      </x:c>
      <x:c r="K16" s="82" t="str">
        <x:v>待定</x:v>
      </x:c>
      <x:c r="L16" s="82" t="str">
        <x:v>有杂</x:v>
      </x:c>
      <x:c r="M16" s="68" t="str">
        <x:v>按M08核查</x:v>
      </x:c>
      <x:c r="N16" s="68" t="str">
        <x:v>按M06/M08核查</x:v>
      </x:c>
      <x:c r="O16" s="82" t="str">
        <x:v>待定</x:v>
      </x:c>
      <x:c r="P16" s="68" t="str">
        <x:v>转M11/M14判断</x:v>
      </x:c>
      <x:c r="Q16" s="68" t="str">
        <x:v>需结合M09日主承载判断</x:v>
      </x:c>
      <x:c r="R16" s="82" t="str">
        <x:v>待定</x:v>
      </x:c>
      <x:c r="S16" s="68" t="str">
        <x:v>同一功能群的正、偏十神同时有效存在</x:v>
      </x:c>
      <x:c r="T16" s="68" t="str">
        <x:v>M02十神映射、M08五行有效旺衰、M09日主旺衰已完成</x:v>
      </x:c>
      <x:c r="U16" s="68" t="str">
        <x:v>相关十神已由M02正确映射，并以M08有效力量为准</x:v>
      </x:c>
      <x:c r="V16" s="68" t="str">
        <x:v>得令、有根、透干、同党或生源形成独立有效证据</x:v>
      </x:c>
      <x:c r="W16" s="68" t="str">
        <x:v>失令、无根、被合绊、被制、改性或作用路径受阻</x:v>
      </x:c>
      <x:c r="X16" s="90" t="str">
        <x:v>不得以十神名称、数量或单一旺弱证据直接完成定性</x:v>
      </x:c>
      <x:c r="Y16" s="68" t="str">
        <x:v>特殊格局、从化候选及明确组合转M11/M14另审</x:v>
      </x:c>
      <x:c r="Z16" s="68" t="str">
        <x:v>不得仅因正偏并见直接判严重混杂或凶</x:v>
      </x:c>
      <x:c r="AA16" s="84" t="str">
        <x:v>正偏并见候选</x:v>
      </x:c>
      <x:c r="AB16" s="84" t="str">
        <x:v>正偏同类十神并见先生成混杂候选：当“同一功能群的正、偏十神同时有效存在”成立时，按本规则记录十神的有效功能；同时保留制化、承载和反向证据。</x:v>
      </x:c>
      <x:c r="AC16" s="82" t="str">
        <x:v>较高</x:v>
      </x:c>
      <x:c r="AD16" s="82" t="str">
        <x:v>现代综合</x:v>
      </x:c>
      <x:c r="AE16" s="68" t="str">
        <x:v>十神必须分开判断存在性、力量、清纯度、功能性与喜忌性；M10只形成结构层结论和候选，不越级替代M11—M18。</x:v>
      </x:c>
      <x:c r="AF16" s="68" t="str">
        <x:v>相关条件真实成立，且增强条件有效时，可按“正偏同类十神并见先生成混杂候选”记录对应功能。</x:v>
      </x:c>
      <x:c r="AG16" s="90" t="str">
        <x:v>仅见表面十神名称或数量，但“不得以十神名称、数量或单一旺弱证据直接完成定性”所述限制存在时，不得套用本规则。</x:v>
      </x:c>
      <x:c r="AH16" s="68" t="str">
        <x:v>https://zh.wikisource.org/wiki/%E6%B8%8A%E6%B5%B7%E5%AD%90%E5%B9%B3%E5%A4%A7%E5%85%A8 ; https://zh.wikisource.org/wiki/%E6%BB%B4%E5%A4%A9%E9%AB%93%E9%97%A1%E5%BE%AE</x:v>
      </x:c>
      <x:c r="AI16" s="82" t="str">
        <x:v>采用</x:v>
      </x:c>
      <x:c r="AJ16" s="82" t="str">
        <x:v>初审</x:v>
      </x:c>
      <x:c r="AK16" s="87" t="n">
        <x:v>46255</x:v>
      </x:c>
    </x:row>
    <x:row r="17">
      <x:c r="A17" s="72" t="str">
        <x:f>IF(OR(C17="",D17=""),"",B17&amp;"-"&amp;UPPER(C17)&amp;"-"&amp;TEXT(D17,"0000")&amp;"-"&amp;E17)</x:f>
        <x:v>M10-PRES-0011-V1.0</x:v>
      </x:c>
      <x:c r="B17" s="74" t="str">
        <x:v>M10</x:v>
      </x:c>
      <x:c r="C17" s="74" t="str">
        <x:v>PRES</x:v>
      </x:c>
      <x:c r="D17" s="215" t="n">
        <x:v>11</x:v>
      </x:c>
      <x:c r="E17" s="74" t="str">
        <x:v>V1.0</x:v>
      </x:c>
      <x:c r="F17" s="68" t="str">
        <x:v>十神存在必须以日主为参照映射</x:v>
      </x:c>
      <x:c r="G17" s="82" t="str">
        <x:v>结构层</x:v>
      </x:c>
      <x:c r="H17" s="82" t="str">
        <x:v>食神</x:v>
      </x:c>
      <x:c r="I17" s="82" t="str">
        <x:v>待定</x:v>
      </x:c>
      <x:c r="J17" s="82" t="str">
        <x:v>待定</x:v>
      </x:c>
      <x:c r="K17" s="82" t="str">
        <x:v>待定</x:v>
      </x:c>
      <x:c r="L17" s="82" t="str">
        <x:v>待定</x:v>
      </x:c>
      <x:c r="M17" s="68" t="str">
        <x:v>按M08核查</x:v>
      </x:c>
      <x:c r="N17" s="68" t="str">
        <x:v>按M06/M08核查</x:v>
      </x:c>
      <x:c r="O17" s="82" t="str">
        <x:v>待定</x:v>
      </x:c>
      <x:c r="P17" s="68" t="str">
        <x:v>转M11/M14判断</x:v>
      </x:c>
      <x:c r="Q17" s="68" t="str">
        <x:v>需结合M09日主承载判断</x:v>
      </x:c>
      <x:c r="R17" s="82" t="str">
        <x:v>待定</x:v>
      </x:c>
      <x:c r="S17" s="68" t="str">
        <x:v>识别食神、伤官等十神时必须先确定日主天干及阴阳</x:v>
      </x:c>
      <x:c r="T17" s="68" t="str">
        <x:v>M02十神映射、M08五行有效旺衰、M09日主旺衰已完成</x:v>
      </x:c>
      <x:c r="U17" s="68" t="str">
        <x:v>日主天干准确、阴阳生克映射无误</x:v>
      </x:c>
      <x:c r="V17" s="68" t="str">
        <x:v>得令、有根、透干、同党或生源形成独立有效证据</x:v>
      </x:c>
      <x:c r="W17" s="68" t="str">
        <x:v>失令、无根、被合绊、被制、改性或作用路径受阻</x:v>
      </x:c>
      <x:c r="X17" s="90" t="str">
        <x:v>不得以十神名称、数量或单一旺弱证据直接完成定性</x:v>
      </x:c>
      <x:c r="Y17" s="68" t="str">
        <x:v>特殊格局、从化候选及明确组合转M11/M14另审</x:v>
      </x:c>
      <x:c r="Z17" s="68" t="str">
        <x:v>不得给某个固定天干脱离日主贴永久十神标签</x:v>
      </x:c>
      <x:c r="AA17" s="84" t="str">
        <x:v>十神相对映射</x:v>
      </x:c>
      <x:c r="AB17" s="84" t="str">
        <x:v>十神存在必须以日主为参照映射：当“识别食神、伤官等十神时必须先确定日主天干及阴阳”成立时，按本规则记录十神的有效功能；同时保留制化、承载和反向证据。</x:v>
      </x:c>
      <x:c r="AC17" s="82" t="str">
        <x:v>较高</x:v>
      </x:c>
      <x:c r="AD17" s="82" t="str">
        <x:v>现代综合</x:v>
      </x:c>
      <x:c r="AE17" s="68" t="str">
        <x:v>十神必须分开判断存在性、力量、清纯度、功能性与喜忌性；M10只形成结构层结论和候选，不越级替代M11—M18。</x:v>
      </x:c>
      <x:c r="AF17" s="68" t="str">
        <x:v>相关条件真实成立，且增强条件有效时，可按“十神存在必须以日主为参照映射”记录对应功能。</x:v>
      </x:c>
      <x:c r="AG17" s="90" t="str">
        <x:v>仅见表面十神名称或数量，但“不得以十神名称、数量或单一旺弱证据直接完成定性”所述限制存在时，不得套用本规则。</x:v>
      </x:c>
      <x:c r="AH17" s="68" t="str">
        <x:v>https://zh.wikisource.org/wiki/%E6%B8%8A%E6%B5%B7%E5%AD%90%E5%B9%B3%E5%A4%A7%E5%85%A8 ; https://zh.wikisource.org/wiki/%E6%BB%B4%E5%A4%A9%E9%AB%93%E9%97%A1%E5%BE%AE</x:v>
      </x:c>
      <x:c r="AI17" s="82" t="str">
        <x:v>采用</x:v>
      </x:c>
      <x:c r="AJ17" s="82" t="str">
        <x:v>初审</x:v>
      </x:c>
      <x:c r="AK17" s="87" t="n">
        <x:v>46255</x:v>
      </x:c>
    </x:row>
    <x:row r="18">
      <x:c r="A18" s="72" t="str">
        <x:f>IF(OR(C18="",D18=""),"",B18&amp;"-"&amp;UPPER(C18)&amp;"-"&amp;TEXT(D18,"0000")&amp;"-"&amp;E18)</x:f>
        <x:v>M10-PRES-0012-V1.0</x:v>
      </x:c>
      <x:c r="B18" s="74" t="str">
        <x:v>M10</x:v>
      </x:c>
      <x:c r="C18" s="74" t="str">
        <x:v>PRES</x:v>
      </x:c>
      <x:c r="D18" s="215" t="n">
        <x:v>12</x:v>
      </x:c>
      <x:c r="E18" s="74" t="str">
        <x:v>V1.0</x:v>
      </x:c>
      <x:c r="F18" s="68" t="str">
        <x:v>静态原局存在与岁运引动必须分开</x:v>
      </x:c>
      <x:c r="G18" s="82" t="str">
        <x:v>结构层</x:v>
      </x:c>
      <x:c r="H18" s="82" t="str">
        <x:v>正官</x:v>
      </x:c>
      <x:c r="I18" s="82" t="str">
        <x:v>待定</x:v>
      </x:c>
      <x:c r="J18" s="82" t="str">
        <x:v>待定</x:v>
      </x:c>
      <x:c r="K18" s="82" t="str">
        <x:v>待定</x:v>
      </x:c>
      <x:c r="L18" s="82" t="str">
        <x:v>待定</x:v>
      </x:c>
      <x:c r="M18" s="68" t="str">
        <x:v>按M08核查</x:v>
      </x:c>
      <x:c r="N18" s="68" t="str">
        <x:v>按M06/M08核查</x:v>
      </x:c>
      <x:c r="O18" s="82" t="str">
        <x:v>待定</x:v>
      </x:c>
      <x:c r="P18" s="68" t="str">
        <x:v>转M11/M14判断</x:v>
      </x:c>
      <x:c r="Q18" s="68" t="str">
        <x:v>需结合M09日主承载判断</x:v>
      </x:c>
      <x:c r="R18" s="82" t="str">
        <x:v>待定</x:v>
      </x:c>
      <x:c r="S18" s="68" t="str">
        <x:v>M10只处理原局十神存在，不使用未来岁运补入作为原局存在证据</x:v>
      </x:c>
      <x:c r="T18" s="68" t="str">
        <x:v>M02十神映射、M08五行有效旺衰、M09日主旺衰已完成</x:v>
      </x:c>
      <x:c r="U18" s="68" t="str">
        <x:v>相关十神已由M02正确映射，并以M08有效力量为准</x:v>
      </x:c>
      <x:c r="V18" s="68" t="str">
        <x:v>得令、有根、透干、同党或生源形成独立有效证据</x:v>
      </x:c>
      <x:c r="W18" s="68" t="str">
        <x:v>失令、无根、被合绊、被制、改性或作用路径受阻</x:v>
      </x:c>
      <x:c r="X18" s="90" t="str">
        <x:v>不得以十神名称、数量或单一旺弱证据直接完成定性</x:v>
      </x:c>
      <x:c r="Y18" s="68" t="str">
        <x:v>岁运作用转专门的大运流年引擎</x:v>
      </x:c>
      <x:c r="Z18" s="68" t="str">
        <x:v>不得把未来可能出现的十神提前计入原局静态力量</x:v>
      </x:c>
      <x:c r="AA18" s="84" t="str">
        <x:v>静动态存在分离</x:v>
      </x:c>
      <x:c r="AB18" s="84" t="str">
        <x:v>静态原局存在与岁运引动必须分开：当“M10只处理原局十神存在，不使用未来岁运补入作为原局存在证据”成立时，按本规则记录十神的有效功能；同时保留制化、承载和反向证据。</x:v>
      </x:c>
      <x:c r="AC18" s="82" t="str">
        <x:v>较高</x:v>
      </x:c>
      <x:c r="AD18" s="82" t="str">
        <x:v>现代综合</x:v>
      </x:c>
      <x:c r="AE18" s="68" t="str">
        <x:v>十神必须分开判断存在性、力量、清纯度、功能性与喜忌性；M10只形成结构层结论和候选，不越级替代M11—M18。</x:v>
      </x:c>
      <x:c r="AF18" s="68" t="str">
        <x:v>相关条件真实成立，且增强条件有效时，可按“静态原局存在与岁运引动必须分开”记录对应功能。</x:v>
      </x:c>
      <x:c r="AG18" s="90" t="str">
        <x:v>仅见表面十神名称或数量，但“不得以十神名称、数量或单一旺弱证据直接完成定性”所述限制存在时，不得套用本规则。</x:v>
      </x:c>
      <x:c r="AH18" s="68" t="str">
        <x:v>https://zh.wikisource.org/wiki/%E6%B8%8A%E6%B5%B7%E5%AD%90%E5%B9%B3%E5%A4%A7%E5%85%A8 ; https://zh.wikisource.org/wiki/%E6%BB%B4%E5%A4%A9%E9%AB%93%E9%97%A1%E5%BE%AE</x:v>
      </x:c>
      <x:c r="AI18" s="82" t="str">
        <x:v>采用</x:v>
      </x:c>
      <x:c r="AJ18" s="82" t="str">
        <x:v>初审</x:v>
      </x:c>
      <x:c r="AK18" s="87" t="n">
        <x:v>46255</x:v>
      </x:c>
    </x:row>
    <x:row r="19">
      <x:c r="A19" s="72" t="str">
        <x:f>IF(OR(C19="",D19=""),"",B19&amp;"-"&amp;UPPER(C19)&amp;"-"&amp;TEXT(D19,"0000")&amp;"-"&amp;E19)</x:f>
        <x:v>M10-POWER-0013-V1.0</x:v>
      </x:c>
      <x:c r="B19" s="74" t="str">
        <x:v>M10</x:v>
      </x:c>
      <x:c r="C19" s="74" t="str">
        <x:v>POWER</x:v>
      </x:c>
      <x:c r="D19" s="215" t="n">
        <x:v>13</x:v>
      </x:c>
      <x:c r="E19" s="74" t="str">
        <x:v>V1.0</x:v>
      </x:c>
      <x:c r="F19" s="68" t="str">
        <x:v>十神有效力量继承对应五行的M08结果</x:v>
      </x:c>
      <x:c r="G19" s="82" t="str">
        <x:v>结构层</x:v>
      </x:c>
      <x:c r="H19" s="82" t="str">
        <x:v>比肩</x:v>
      </x:c>
      <x:c r="I19" s="82" t="str">
        <x:v>待定</x:v>
      </x:c>
      <x:c r="J19" s="82" t="str">
        <x:v>待定</x:v>
      </x:c>
      <x:c r="K19" s="82" t="str">
        <x:v>待定</x:v>
      </x:c>
      <x:c r="L19" s="82" t="str">
        <x:v>待定</x:v>
      </x:c>
      <x:c r="M19" s="68" t="str">
        <x:v>按M08核查</x:v>
      </x:c>
      <x:c r="N19" s="68" t="str">
        <x:v>按M06/M08核查</x:v>
      </x:c>
      <x:c r="O19" s="82" t="str">
        <x:v>待定</x:v>
      </x:c>
      <x:c r="P19" s="68" t="str">
        <x:v>转M11/M14判断</x:v>
      </x:c>
      <x:c r="Q19" s="68" t="str">
        <x:v>需结合M09日主承载判断</x:v>
      </x:c>
      <x:c r="R19" s="82" t="str">
        <x:v>待定</x:v>
      </x:c>
      <x:c r="S19" s="68" t="str">
        <x:v>目标十神已映射到具体干支节点，并有M08有效旺衰结果</x:v>
      </x:c>
      <x:c r="T19" s="68" t="str">
        <x:v>M02十神映射、M08五行有效旺衰、M09日主旺衰已完成</x:v>
      </x:c>
      <x:c r="U19" s="68" t="str">
        <x:v>必须按具体节点读取M08，而非只看五行总量</x:v>
      </x:c>
      <x:c r="V19" s="68" t="str">
        <x:v>得令、有根、透干、同党或生源形成独立有效证据</x:v>
      </x:c>
      <x:c r="W19" s="68" t="str">
        <x:v>失令、无根、被合绊、被制、改性或作用路径受阻</x:v>
      </x:c>
      <x:c r="X19" s="90" t="str">
        <x:v>不得以十神名称、数量或单一旺弱证据直接完成定性</x:v>
      </x:c>
      <x:c r="Y19" s="68" t="str">
        <x:v>特殊格局、从化候选及明确组合转M11/M14另审</x:v>
      </x:c>
      <x:c r="Z19" s="68" t="str">
        <x:v>不得直接推出吉凶、具体事件、亲属结果或最终喜忌</x:v>
      </x:c>
      <x:c r="AA19" s="84" t="str">
        <x:v>十神力量继承</x:v>
      </x:c>
      <x:c r="AB19" s="84" t="str">
        <x:v>十神有效力量继承对应五行的M08结果：当“目标十神已映射到具体干支节点，并有M08有效旺衰结果”成立时，按本规则记录十神的有效功能；同时保留制化、承载和反向证据。</x:v>
      </x:c>
      <x:c r="AC19" s="82" t="str">
        <x:v>较高</x:v>
      </x:c>
      <x:c r="AD19" s="82" t="str">
        <x:v>现代综合</x:v>
      </x:c>
      <x:c r="AE19" s="68" t="str">
        <x:v>十神必须分开判断存在性、力量、清纯度、功能性与喜忌性；M10只形成结构层结论和候选，不越级替代M11—M18。</x:v>
      </x:c>
      <x:c r="AF19" s="68" t="str">
        <x:v>相关条件真实成立，且增强条件有效时，可按“十神有效力量继承对应五行的M08结果”记录对应功能。</x:v>
      </x:c>
      <x:c r="AG19" s="90" t="str">
        <x:v>仅见表面十神名称或数量，但“不得以十神名称、数量或单一旺弱证据直接完成定性”所述限制存在时，不得套用本规则。</x:v>
      </x:c>
      <x:c r="AH19" s="68" t="str">
        <x:v>https://zh.wikisource.org/wiki/%E6%B8%8A%E6%B5%B7%E5%AD%90%E5%B9%B3%E5%A4%A7%E5%85%A8 ; https://zh.wikisource.org/wiki/%E6%BB%B4%E5%A4%A9%E9%AB%93%E9%97%A1%E5%BE%AE</x:v>
      </x:c>
      <x:c r="AI19" s="82" t="str">
        <x:v>采用</x:v>
      </x:c>
      <x:c r="AJ19" s="82" t="str">
        <x:v>初审</x:v>
      </x:c>
      <x:c r="AK19" s="87" t="n">
        <x:v>46255</x:v>
      </x:c>
    </x:row>
    <x:row r="20">
      <x:c r="A20" s="72" t="str">
        <x:f>IF(OR(C20="",D20=""),"",B20&amp;"-"&amp;UPPER(C20)&amp;"-"&amp;TEXT(D20,"0000")&amp;"-"&amp;E20)</x:f>
        <x:v>M10-POWER-0014-V1.0</x:v>
      </x:c>
      <x:c r="B20" s="74" t="str">
        <x:v>M10</x:v>
      </x:c>
      <x:c r="C20" s="74" t="str">
        <x:v>POWER</x:v>
      </x:c>
      <x:c r="D20" s="215" t="n">
        <x:v>14</x:v>
      </x:c>
      <x:c r="E20" s="74" t="str">
        <x:v>V1.0</x:v>
      </x:c>
      <x:c r="F20" s="68" t="str">
        <x:v>十神原始力量与有效力量必须分开</x:v>
      </x:c>
      <x:c r="G20" s="82" t="str">
        <x:v>结构层</x:v>
      </x:c>
      <x:c r="H20" s="82" t="str">
        <x:v>劫财</x:v>
      </x:c>
      <x:c r="I20" s="82" t="str">
        <x:v>待定</x:v>
      </x:c>
      <x:c r="J20" s="82" t="str">
        <x:v>旺</x:v>
      </x:c>
      <x:c r="K20" s="82" t="str">
        <x:v>待定</x:v>
      </x:c>
      <x:c r="L20" s="82" t="str">
        <x:v>待定</x:v>
      </x:c>
      <x:c r="M20" s="68" t="str">
        <x:v>按M08核查</x:v>
      </x:c>
      <x:c r="N20" s="68" t="str">
        <x:v>按M06/M08核查</x:v>
      </x:c>
      <x:c r="O20" s="82" t="str">
        <x:v>待定</x:v>
      </x:c>
      <x:c r="P20" s="68" t="str">
        <x:v>转M11/M14判断</x:v>
      </x:c>
      <x:c r="Q20" s="68" t="str">
        <x:v>需结合M09日主承载判断</x:v>
      </x:c>
      <x:c r="R20" s="82" t="str">
        <x:v>待定</x:v>
      </x:c>
      <x:c r="S20" s="68" t="str">
        <x:v>十神节点在M07原始有力，但经M06/M08受到合冲制化修正</x:v>
      </x:c>
      <x:c r="T20" s="68" t="str">
        <x:v>M02十神映射、M08五行有效旺衰、M09日主旺衰已完成</x:v>
      </x:c>
      <x:c r="U20" s="68" t="str">
        <x:v>相关十神已由M02正确映射，并以M08有效力量为准</x:v>
      </x:c>
      <x:c r="V20" s="68" t="str">
        <x:v>得令、有根、透干、同党或生源形成独立有效证据</x:v>
      </x:c>
      <x:c r="W20" s="68" t="str">
        <x:v>失令、无根、被合绊、被制、改性或作用路径受阻</x:v>
      </x:c>
      <x:c r="X20" s="90" t="str">
        <x:v>不得以十神名称、数量或单一旺弱证据直接完成定性</x:v>
      </x:c>
      <x:c r="Y20" s="68" t="str">
        <x:v>特殊格局、从化候选及明确组合转M11/M14另审</x:v>
      </x:c>
      <x:c r="Z20" s="68" t="str">
        <x:v>不得用原始旺衰替代有效旺衰</x:v>
      </x:c>
      <x:c r="AA20" s="84" t="str">
        <x:v>十神原效分离</x:v>
      </x:c>
      <x:c r="AB20" s="84" t="str">
        <x:v>十神原始力量与有效力量必须分开：当“十神节点在M07原始有力，但经M06/M08受到合冲制化修正”成立时，按本规则记录十神的有效功能；同时保留制化、承载和反向证据。</x:v>
      </x:c>
      <x:c r="AC20" s="82" t="str">
        <x:v>较高</x:v>
      </x:c>
      <x:c r="AD20" s="82" t="str">
        <x:v>现代综合</x:v>
      </x:c>
      <x:c r="AE20" s="68" t="str">
        <x:v>十神必须分开判断存在性、力量、清纯度、功能性与喜忌性；M10只形成结构层结论和候选，不越级替代M11—M18。</x:v>
      </x:c>
      <x:c r="AF20" s="68" t="str">
        <x:v>相关条件真实成立，且增强条件有效时，可按“十神原始力量与有效力量必须分开”记录对应功能。</x:v>
      </x:c>
      <x:c r="AG20" s="90" t="str">
        <x:v>仅见表面十神名称或数量，但“不得以十神名称、数量或单一旺弱证据直接完成定性”所述限制存在时，不得套用本规则。</x:v>
      </x:c>
      <x:c r="AH20" s="68" t="str">
        <x:v>https://zh.wikisource.org/wiki/%E6%B8%8A%E6%B5%B7%E5%AD%90%E5%B9%B3%E5%A4%A7%E5%85%A8 ; https://zh.wikisource.org/wiki/%E6%BB%B4%E5%A4%A9%E9%AB%93%E9%97%A1%E5%BE%AE</x:v>
      </x:c>
      <x:c r="AI20" s="82" t="str">
        <x:v>采用</x:v>
      </x:c>
      <x:c r="AJ20" s="82" t="str">
        <x:v>初审</x:v>
      </x:c>
      <x:c r="AK20" s="87" t="n">
        <x:v>46255</x:v>
      </x:c>
    </x:row>
    <x:row r="21">
      <x:c r="A21" s="72" t="str">
        <x:f>IF(OR(C21="",D21=""),"",B21&amp;"-"&amp;UPPER(C21)&amp;"-"&amp;TEXT(D21,"0000")&amp;"-"&amp;E21)</x:f>
        <x:v>M10-POWER-0015-V1.0</x:v>
      </x:c>
      <x:c r="B21" s="74" t="str">
        <x:v>M10</x:v>
      </x:c>
      <x:c r="C21" s="74" t="str">
        <x:v>POWER</x:v>
      </x:c>
      <x:c r="D21" s="215" t="n">
        <x:v>15</x:v>
      </x:c>
      <x:c r="E21" s="74" t="str">
        <x:v>V1.0</x:v>
      </x:c>
      <x:c r="F21" s="68" t="str">
        <x:v>多节点十神力量采用独立节点汇总而非次数计分</x:v>
      </x:c>
      <x:c r="G21" s="82" t="str">
        <x:v>结构层</x:v>
      </x:c>
      <x:c r="H21" s="82" t="str">
        <x:v>食神</x:v>
      </x:c>
      <x:c r="I21" s="82" t="str">
        <x:v>多处出现</x:v>
      </x:c>
      <x:c r="J21" s="82" t="str">
        <x:v>待定</x:v>
      </x:c>
      <x:c r="K21" s="82" t="str">
        <x:v>待定</x:v>
      </x:c>
      <x:c r="L21" s="82" t="str">
        <x:v>待定</x:v>
      </x:c>
      <x:c r="M21" s="68" t="str">
        <x:v>按M08核查</x:v>
      </x:c>
      <x:c r="N21" s="68" t="str">
        <x:v>按M06/M08核查</x:v>
      </x:c>
      <x:c r="O21" s="82" t="str">
        <x:v>待定</x:v>
      </x:c>
      <x:c r="P21" s="68" t="str">
        <x:v>转M11/M14判断</x:v>
      </x:c>
      <x:c r="Q21" s="68" t="str">
        <x:v>需结合M09日主承载判断</x:v>
      </x:c>
      <x:c r="R21" s="82" t="str">
        <x:v>待定</x:v>
      </x:c>
      <x:c r="S21" s="68" t="str">
        <x:v>同一十神在多个独立节点出现</x:v>
      </x:c>
      <x:c r="T21" s="68" t="str">
        <x:v>M02十神映射、M08五行有效旺衰、M09日主旺衰已完成</x:v>
      </x:c>
      <x:c r="U21" s="68" t="str">
        <x:v>相关十神已由M02正确映射，并以M08有效力量为准</x:v>
      </x:c>
      <x:c r="V21" s="68" t="str">
        <x:v>得令、有根、透干、同党或生源形成独立有效证据</x:v>
      </x:c>
      <x:c r="W21" s="68" t="str">
        <x:v>失令、无根、被合绊、被制、改性或作用路径受阻</x:v>
      </x:c>
      <x:c r="X21" s="90" t="str">
        <x:v>不得以十神名称、数量或单一旺弱证据直接完成定性</x:v>
      </x:c>
      <x:c r="Y21" s="68" t="str">
        <x:v>特殊格局、从化候选及明确组合转M11/M14另审</x:v>
      </x:c>
      <x:c r="Z21" s="68" t="str">
        <x:v>不得以出现三个就必然旺、出现一个就必然弱</x:v>
      </x:c>
      <x:c r="AA21" s="84" t="str">
        <x:v>十神多节点汇总</x:v>
      </x:c>
      <x:c r="AB21" s="84" t="str">
        <x:v>多节点十神力量采用独立节点汇总而非次数计分：当“同一十神在多个独立节点出现”成立时，按本规则记录十神的有效功能；同时保留制化、承载和反向证据。</x:v>
      </x:c>
      <x:c r="AC21" s="82" t="str">
        <x:v>较高</x:v>
      </x:c>
      <x:c r="AD21" s="82" t="str">
        <x:v>现代综合</x:v>
      </x:c>
      <x:c r="AE21" s="68" t="str">
        <x:v>十神必须分开判断存在性、力量、清纯度、功能性与喜忌性；M10只形成结构层结论和候选，不越级替代M11—M18。</x:v>
      </x:c>
      <x:c r="AF21" s="68" t="str">
        <x:v>相关条件真实成立，且增强条件有效时，可按“多节点十神力量采用独立节点汇总而非次数计分”记录对应功能。</x:v>
      </x:c>
      <x:c r="AG21" s="90" t="str">
        <x:v>仅见表面十神名称或数量，但“不得以十神名称、数量或单一旺弱证据直接完成定性”所述限制存在时，不得套用本规则。</x:v>
      </x:c>
      <x:c r="AH21" s="68" t="str">
        <x:v>https://zh.wikisource.org/wiki/%E6%B8%8A%E6%B5%B7%E5%AD%90%E5%B9%B3%E5%A4%A7%E5%85%A8 ; https://zh.wikisource.org/wiki/%E6%BB%B4%E5%A4%A9%E9%AB%93%E9%97%A1%E5%BE%AE</x:v>
      </x:c>
      <x:c r="AI21" s="82" t="str">
        <x:v>采用</x:v>
      </x:c>
      <x:c r="AJ21" s="82" t="str">
        <x:v>初审</x:v>
      </x:c>
      <x:c r="AK21" s="87" t="n">
        <x:v>46255</x:v>
      </x:c>
    </x:row>
    <x:row r="22">
      <x:c r="A22" s="72" t="str">
        <x:f>IF(OR(C22="",D22=""),"",B22&amp;"-"&amp;UPPER(C22)&amp;"-"&amp;TEXT(D22,"0000")&amp;"-"&amp;E22)</x:f>
        <x:v>M10-POWER-0016-V1.0</x:v>
      </x:c>
      <x:c r="B22" s="74" t="str">
        <x:v>M10</x:v>
      </x:c>
      <x:c r="C22" s="74" t="str">
        <x:v>POWER</x:v>
      </x:c>
      <x:c r="D22" s="215" t="n">
        <x:v>16</x:v>
      </x:c>
      <x:c r="E22" s="74" t="str">
        <x:v>V1.0</x:v>
      </x:c>
      <x:c r="F22" s="68" t="str">
        <x:v>得令提高十神力量但不是旺的充分条件</x:v>
      </x:c>
      <x:c r="G22" s="82" t="str">
        <x:v>结构层</x:v>
      </x:c>
      <x:c r="H22" s="82" t="str">
        <x:v>伤官</x:v>
      </x:c>
      <x:c r="I22" s="82" t="str">
        <x:v>待定</x:v>
      </x:c>
      <x:c r="J22" s="82" t="str">
        <x:v>待定</x:v>
      </x:c>
      <x:c r="K22" s="82" t="str">
        <x:v>中和偏旺</x:v>
      </x:c>
      <x:c r="L22" s="82" t="str">
        <x:v>待定</x:v>
      </x:c>
      <x:c r="M22" s="68" t="str">
        <x:v>按M08核查</x:v>
      </x:c>
      <x:c r="N22" s="68" t="str">
        <x:v>按M06/M08核查</x:v>
      </x:c>
      <x:c r="O22" s="82" t="str">
        <x:v>待定</x:v>
      </x:c>
      <x:c r="P22" s="68" t="str">
        <x:v>转M11/M14判断</x:v>
      </x:c>
      <x:c r="Q22" s="68" t="str">
        <x:v>需结合M09日主承载判断</x:v>
      </x:c>
      <x:c r="R22" s="82" t="str">
        <x:v>待定</x:v>
      </x:c>
      <x:c r="S22" s="68" t="str">
        <x:v>目标十神对应五行获得强季令支持</x:v>
      </x:c>
      <x:c r="T22" s="68" t="str">
        <x:v>M02十神映射、M08五行有效旺衰、M09日主旺衰已完成</x:v>
      </x:c>
      <x:c r="U22" s="68" t="str">
        <x:v>相关十神已由M02正确映射，并以M08有效力量为准</x:v>
      </x:c>
      <x:c r="V22" s="68" t="str">
        <x:v>得令、有根、透干、同党或生源形成独立有效证据</x:v>
      </x:c>
      <x:c r="W22" s="68" t="str">
        <x:v>失令、无根、被合绊、被制、改性或作用路径受阻</x:v>
      </x:c>
      <x:c r="X22" s="90" t="str">
        <x:v>不得以十神名称、数量或单一旺弱证据直接完成定性</x:v>
      </x:c>
      <x:c r="Y22" s="68" t="str">
        <x:v>特殊格局、从化候选及明确组合转M11/M14另审</x:v>
      </x:c>
      <x:c r="Z22" s="68" t="str">
        <x:v>不得由得令单项直接判十神旺</x:v>
      </x:c>
      <x:c r="AA22" s="84" t="str">
        <x:v>十神季令支持</x:v>
      </x:c>
      <x:c r="AB22" s="84" t="str">
        <x:v>得令提高十神力量但不是旺的充分条件：当“目标十神对应五行获得强季令支持”成立时，按本规则记录十神的有效功能；同时保留制化、承载和反向证据。</x:v>
      </x:c>
      <x:c r="AC22" s="82" t="str">
        <x:v>较高</x:v>
      </x:c>
      <x:c r="AD22" s="82" t="str">
        <x:v>现代综合</x:v>
      </x:c>
      <x:c r="AE22" s="68" t="str">
        <x:v>十神必须分开判断存在性、力量、清纯度、功能性与喜忌性；M10只形成结构层结论和候选，不越级替代M11—M18。</x:v>
      </x:c>
      <x:c r="AF22" s="68" t="str">
        <x:v>相关条件真实成立，且增强条件有效时，可按“得令提高十神力量但不是旺的充分条件”记录对应功能。</x:v>
      </x:c>
      <x:c r="AG22" s="90" t="str">
        <x:v>仅见表面十神名称或数量，但“不得以十神名称、数量或单一旺弱证据直接完成定性”所述限制存在时，不得套用本规则。</x:v>
      </x:c>
      <x:c r="AH22" s="68" t="str">
        <x:v>https://zh.wikisource.org/wiki/%E6%B8%8A%E6%B5%B7%E5%AD%90%E5%B9%B3%E5%A4%A7%E5%85%A8 ; https://zh.wikisource.org/wiki/%E6%BB%B4%E5%A4%A9%E9%AB%93%E9%97%A1%E5%BE%AE</x:v>
      </x:c>
      <x:c r="AI22" s="82" t="str">
        <x:v>采用</x:v>
      </x:c>
      <x:c r="AJ22" s="82" t="str">
        <x:v>初审</x:v>
      </x:c>
      <x:c r="AK22" s="87" t="n">
        <x:v>46255</x:v>
      </x:c>
    </x:row>
    <x:row r="23">
      <x:c r="A23" s="72" t="str">
        <x:f>IF(OR(C23="",D23=""),"",B23&amp;"-"&amp;UPPER(C23)&amp;"-"&amp;TEXT(D23,"0000")&amp;"-"&amp;E23)</x:f>
        <x:v>M10-POWER-0017-V1.0</x:v>
      </x:c>
      <x:c r="B23" s="74" t="str">
        <x:v>M10</x:v>
      </x:c>
      <x:c r="C23" s="74" t="str">
        <x:v>POWER</x:v>
      </x:c>
      <x:c r="D23" s="215" t="n">
        <x:v>17</x:v>
      </x:c>
      <x:c r="E23" s="74" t="str">
        <x:v>V1.0</x:v>
      </x:c>
      <x:c r="F23" s="68" t="str">
        <x:v>有效根气增强十神持续作用能力</x:v>
      </x:c>
      <x:c r="G23" s="82" t="str">
        <x:v>结构层</x:v>
      </x:c>
      <x:c r="H23" s="82" t="str">
        <x:v>偏财</x:v>
      </x:c>
      <x:c r="I23" s="82" t="str">
        <x:v>待定</x:v>
      </x:c>
      <x:c r="J23" s="82" t="str">
        <x:v>待定</x:v>
      </x:c>
      <x:c r="K23" s="82" t="str">
        <x:v>中和偏旺</x:v>
      </x:c>
      <x:c r="L23" s="82" t="str">
        <x:v>待定</x:v>
      </x:c>
      <x:c r="M23" s="68" t="str">
        <x:v>按M08核查</x:v>
      </x:c>
      <x:c r="N23" s="68" t="str">
        <x:v>按M06/M08核查</x:v>
      </x:c>
      <x:c r="O23" s="82" t="str">
        <x:v>待定</x:v>
      </x:c>
      <x:c r="P23" s="68" t="str">
        <x:v>转M11/M14判断</x:v>
      </x:c>
      <x:c r="Q23" s="68" t="str">
        <x:v>需结合M09日主承载判断</x:v>
      </x:c>
      <x:c r="R23" s="82" t="str">
        <x:v>待定</x:v>
      </x:c>
      <x:c r="S23" s="68" t="str">
        <x:v>财星透干或藏支且存在可调用的有效根</x:v>
      </x:c>
      <x:c r="T23" s="68" t="str">
        <x:v>M02十神映射、M08五行有效旺衰、M09日主旺衰已完成</x:v>
      </x:c>
      <x:c r="U23" s="68" t="str">
        <x:v>相关十神已由M02正确映射，并以M08有效力量为准</x:v>
      </x:c>
      <x:c r="V23" s="68" t="str">
        <x:v>得令、有根、透干、同党或生源形成独立有效证据</x:v>
      </x:c>
      <x:c r="W23" s="68" t="str">
        <x:v>失令、无根、被合绊、被制、改性或作用路径受阻</x:v>
      </x:c>
      <x:c r="X23" s="90" t="str">
        <x:v>不得以十神名称、数量或单一旺弱证据直接完成定性</x:v>
      </x:c>
      <x:c r="Y23" s="68" t="str">
        <x:v>特殊格局、从化候选及明确组合转M11/M14另审</x:v>
      </x:c>
      <x:c r="Z23" s="68" t="str">
        <x:v>不得直接推出吉凶、具体事件、亲属结果或最终喜忌</x:v>
      </x:c>
      <x:c r="AA23" s="84" t="str">
        <x:v>十神根气支持</x:v>
      </x:c>
      <x:c r="AB23" s="84" t="str">
        <x:v>有效根气增强十神持续作用能力：当“财星透干或藏支且存在可调用的有效根”成立时，按本规则记录十神的有效功能；同时保留制化、承载和反向证据。</x:v>
      </x:c>
      <x:c r="AC23" s="82" t="str">
        <x:v>较高</x:v>
      </x:c>
      <x:c r="AD23" s="82" t="str">
        <x:v>现代综合</x:v>
      </x:c>
      <x:c r="AE23" s="68" t="str">
        <x:v>十神必须分开判断存在性、力量、清纯度、功能性与喜忌性；M10只形成结构层结论和候选，不越级替代M11—M18。</x:v>
      </x:c>
      <x:c r="AF23" s="68" t="str">
        <x:v>相关条件真实成立，且增强条件有效时，可按“有效根气增强十神持续作用能力”记录对应功能。</x:v>
      </x:c>
      <x:c r="AG23" s="90" t="str">
        <x:v>仅见表面十神名称或数量，但“不得以十神名称、数量或单一旺弱证据直接完成定性”所述限制存在时，不得套用本规则。</x:v>
      </x:c>
      <x:c r="AH23" s="68" t="str">
        <x:v>https://zh.wikisource.org/wiki/%E6%B8%8A%E6%B5%B7%E5%AD%90%E5%B9%B3%E5%A4%A7%E5%85%A8 ; https://zh.wikisource.org/wiki/%E6%BB%B4%E5%A4%A9%E9%AB%93%E9%97%A1%E5%BE%AE</x:v>
      </x:c>
      <x:c r="AI23" s="82" t="str">
        <x:v>采用</x:v>
      </x:c>
      <x:c r="AJ23" s="82" t="str">
        <x:v>初审</x:v>
      </x:c>
      <x:c r="AK23" s="87" t="n">
        <x:v>46255</x:v>
      </x:c>
    </x:row>
    <x:row r="24">
      <x:c r="A24" s="72" t="str">
        <x:f>IF(OR(C24="",D24=""),"",B24&amp;"-"&amp;UPPER(C24)&amp;"-"&amp;TEXT(D24,"0000")&amp;"-"&amp;E24)</x:f>
        <x:v>M10-POWER-0018-V1.0</x:v>
      </x:c>
      <x:c r="B24" s="74" t="str">
        <x:v>M10</x:v>
      </x:c>
      <x:c r="C24" s="74" t="str">
        <x:v>POWER</x:v>
      </x:c>
      <x:c r="D24" s="215" t="n">
        <x:v>18</x:v>
      </x:c>
      <x:c r="E24" s="74" t="str">
        <x:v>V1.0</x:v>
      </x:c>
      <x:c r="F24" s="68" t="str">
        <x:v>无根透干属于显而承载不足的候选</x:v>
      </x:c>
      <x:c r="G24" s="82" t="str">
        <x:v>结构层</x:v>
      </x:c>
      <x:c r="H24" s="82" t="str">
        <x:v>正财</x:v>
      </x:c>
      <x:c r="I24" s="82" t="str">
        <x:v>透干</x:v>
      </x:c>
      <x:c r="J24" s="82" t="str">
        <x:v>待定</x:v>
      </x:c>
      <x:c r="K24" s="82" t="str">
        <x:v>中和偏弱</x:v>
      </x:c>
      <x:c r="L24" s="82" t="str">
        <x:v>待定</x:v>
      </x:c>
      <x:c r="M24" s="68" t="str">
        <x:v>按M08核查</x:v>
      </x:c>
      <x:c r="N24" s="68" t="str">
        <x:v>按M06/M08核查</x:v>
      </x:c>
      <x:c r="O24" s="82" t="str">
        <x:v>待定</x:v>
      </x:c>
      <x:c r="P24" s="68" t="str">
        <x:v>转M11/M14判断</x:v>
      </x:c>
      <x:c r="Q24" s="68" t="str">
        <x:v>需结合M09日主承载判断</x:v>
      </x:c>
      <x:c r="R24" s="82" t="str">
        <x:v>待定</x:v>
      </x:c>
      <x:c r="S24" s="68" t="str">
        <x:v>财星透干但M08确认无有效根、无强生源</x:v>
      </x:c>
      <x:c r="T24" s="68" t="str">
        <x:v>M02十神映射、M08五行有效旺衰、M09日主旺衰已完成</x:v>
      </x:c>
      <x:c r="U24" s="68" t="str">
        <x:v>相关十神已由M02正确映射，并以M08有效力量为准</x:v>
      </x:c>
      <x:c r="V24" s="68" t="str">
        <x:v>得令、有根、透干、同党或生源形成独立有效证据</x:v>
      </x:c>
      <x:c r="W24" s="68" t="str">
        <x:v>失令、无根、被合绊、被制、改性或作用路径受阻</x:v>
      </x:c>
      <x:c r="X24" s="90" t="str">
        <x:v>不得以十神名称、数量或单一旺弱证据直接完成定性</x:v>
      </x:c>
      <x:c r="Y24" s="68" t="str">
        <x:v>特殊格局、从化候选及明确组合转M11/M14另审</x:v>
      </x:c>
      <x:c r="Z24" s="68" t="str">
        <x:v>不得把透干等同有力</x:v>
      </x:c>
      <x:c r="AA24" s="84" t="str">
        <x:v>十神浮显</x:v>
      </x:c>
      <x:c r="AB24" s="84" t="str">
        <x:v>无根透干属于显而承载不足的候选：当“财星透干但M08确认无有效根、无强生源”成立时，按本规则记录十神的有效功能；同时保留制化、承载和反向证据。</x:v>
      </x:c>
      <x:c r="AC24" s="82" t="str">
        <x:v>较高</x:v>
      </x:c>
      <x:c r="AD24" s="82" t="str">
        <x:v>现代综合</x:v>
      </x:c>
      <x:c r="AE24" s="68" t="str">
        <x:v>十神必须分开判断存在性、力量、清纯度、功能性与喜忌性；M10只形成结构层结论和候选，不越级替代M11—M18。</x:v>
      </x:c>
      <x:c r="AF24" s="68" t="str">
        <x:v>相关条件真实成立，且增强条件有效时，可按“无根透干属于显而承载不足的候选”记录对应功能。</x:v>
      </x:c>
      <x:c r="AG24" s="90" t="str">
        <x:v>仅见表面十神名称或数量，但“不得以十神名称、数量或单一旺弱证据直接完成定性”所述限制存在时，不得套用本规则。</x:v>
      </x:c>
      <x:c r="AH24" s="68" t="str">
        <x:v>https://zh.wikisource.org/wiki/%E6%B8%8A%E6%B5%B7%E5%AD%90%E5%B9%B3%E5%A4%A7%E5%85%A8 ; https://zh.wikisource.org/wiki/%E6%BB%B4%E5%A4%A9%E9%AB%93%E9%97%A1%E5%BE%AE</x:v>
      </x:c>
      <x:c r="AI24" s="82" t="str">
        <x:v>采用</x:v>
      </x:c>
      <x:c r="AJ24" s="82" t="str">
        <x:v>初审</x:v>
      </x:c>
      <x:c r="AK24" s="87" t="n">
        <x:v>46255</x:v>
      </x:c>
    </x:row>
    <x:row r="25">
      <x:c r="A25" s="72" t="str">
        <x:f>IF(OR(C25="",D25=""),"",B25&amp;"-"&amp;UPPER(C25)&amp;"-"&amp;TEXT(D25,"0000")&amp;"-"&amp;E25)</x:f>
        <x:v>M10-POWER-0019-V1.0</x:v>
      </x:c>
      <x:c r="B25" s="74" t="str">
        <x:v>M10</x:v>
      </x:c>
      <x:c r="C25" s="74" t="str">
        <x:v>POWER</x:v>
      </x:c>
      <x:c r="D25" s="215" t="n">
        <x:v>19</x:v>
      </x:c>
      <x:c r="E25" s="74" t="str">
        <x:v>V1.0</x:v>
      </x:c>
      <x:c r="F25" s="68" t="str">
        <x:v>生源有力可增强官杀实际压力</x:v>
      </x:c>
      <x:c r="G25" s="82" t="str">
        <x:v>结构层</x:v>
      </x:c>
      <x:c r="H25" s="82" t="str">
        <x:v>七杀</x:v>
      </x:c>
      <x:c r="I25" s="82" t="str">
        <x:v>待定</x:v>
      </x:c>
      <x:c r="J25" s="82" t="str">
        <x:v>待定</x:v>
      </x:c>
      <x:c r="K25" s="82" t="str">
        <x:v>中和偏旺</x:v>
      </x:c>
      <x:c r="L25" s="82" t="str">
        <x:v>待定</x:v>
      </x:c>
      <x:c r="M25" s="68" t="str">
        <x:v>财星提供有效生源</x:v>
      </x:c>
      <x:c r="N25" s="68" t="str">
        <x:v>按M06/M08核查</x:v>
      </x:c>
      <x:c r="O25" s="82" t="str">
        <x:v>待定</x:v>
      </x:c>
      <x:c r="P25" s="68" t="str">
        <x:v>转M11/M14判断</x:v>
      </x:c>
      <x:c r="Q25" s="68" t="str">
        <x:v>需结合M09日主承载判断</x:v>
      </x:c>
      <x:c r="R25" s="82" t="str">
        <x:v>待定</x:v>
      </x:c>
      <x:c r="S25" s="68" t="str">
        <x:v>财星有效生官杀，且生扶通路未被阻断</x:v>
      </x:c>
      <x:c r="T25" s="68" t="str">
        <x:v>M02十神映射、M08五行有效旺衰、M09日主旺衰已完成</x:v>
      </x:c>
      <x:c r="U25" s="68" t="str">
        <x:v>相关十神已由M02正确映射，并以M08有效力量为准</x:v>
      </x:c>
      <x:c r="V25" s="68" t="str">
        <x:v>得令、有根、透干、同党或生源形成独立有效证据</x:v>
      </x:c>
      <x:c r="W25" s="68" t="str">
        <x:v>失令、无根、被合绊、被制、改性或作用路径受阻</x:v>
      </x:c>
      <x:c r="X25" s="90" t="str">
        <x:v>不得以十神名称、数量或单一旺弱证据直接完成定性</x:v>
      </x:c>
      <x:c r="Y25" s="68" t="str">
        <x:v>特殊格局、从化候选及明确组合转M11/M14另审</x:v>
      </x:c>
      <x:c r="Z25" s="68" t="str">
        <x:v>不得直接推出吉凶、具体事件、亲属结果或最终喜忌</x:v>
      </x:c>
      <x:c r="AA25" s="84" t="str">
        <x:v>官杀受生增强</x:v>
      </x:c>
      <x:c r="AB25" s="84" t="str">
        <x:v>生源有力可增强官杀实际压力：当“财星有效生官杀，且生扶通路未被阻断”成立时，按本规则记录十神的有效功能；同时保留制化、承载和反向证据。</x:v>
      </x:c>
      <x:c r="AC25" s="82" t="str">
        <x:v>较高</x:v>
      </x:c>
      <x:c r="AD25" s="82" t="str">
        <x:v>现代综合</x:v>
      </x:c>
      <x:c r="AE25" s="68" t="str">
        <x:v>十神必须分开判断存在性、力量、清纯度、功能性与喜忌性；M10只形成结构层结论和候选，不越级替代M11—M18。</x:v>
      </x:c>
      <x:c r="AF25" s="68" t="str">
        <x:v>相关条件真实成立，且增强条件有效时，可按“生源有力可增强官杀实际压力”记录对应功能。</x:v>
      </x:c>
      <x:c r="AG25" s="90" t="str">
        <x:v>仅见表面十神名称或数量，但“不得以十神名称、数量或单一旺弱证据直接完成定性”所述限制存在时，不得套用本规则。</x:v>
      </x:c>
      <x:c r="AH25" s="68" t="str">
        <x:v>https://zh.wikisource.org/wiki/%E6%B8%8A%E6%B5%B7%E5%AD%90%E5%B9%B3%E5%A4%A7%E5%85%A8 ; https://zh.wikisource.org/wiki/%E6%BB%B4%E5%A4%A9%E9%AB%93%E9%97%A1%E5%BE%AE</x:v>
      </x:c>
      <x:c r="AI25" s="82" t="str">
        <x:v>采用</x:v>
      </x:c>
      <x:c r="AJ25" s="82" t="str">
        <x:v>初审</x:v>
      </x:c>
      <x:c r="AK25" s="87" t="n">
        <x:v>46255</x:v>
      </x:c>
    </x:row>
    <x:row r="26">
      <x:c r="A26" s="72" t="str">
        <x:f>IF(OR(C26="",D26=""),"",B26&amp;"-"&amp;UPPER(C26)&amp;"-"&amp;TEXT(D26,"0000")&amp;"-"&amp;E26)</x:f>
        <x:v>M10-POWER-0020-V1.0</x:v>
      </x:c>
      <x:c r="B26" s="74" t="str">
        <x:v>M10</x:v>
      </x:c>
      <x:c r="C26" s="74" t="str">
        <x:v>POWER</x:v>
      </x:c>
      <x:c r="D26" s="215" t="n">
        <x:v>20</x:v>
      </x:c>
      <x:c r="E26" s="74" t="str">
        <x:v>V1.0</x:v>
      </x:c>
      <x:c r="F26" s="68" t="str">
        <x:v>十神受制时须按实际克制效应下调</x:v>
      </x:c>
      <x:c r="G26" s="82" t="str">
        <x:v>结构层</x:v>
      </x:c>
      <x:c r="H26" s="82" t="str">
        <x:v>正官</x:v>
      </x:c>
      <x:c r="I26" s="82" t="str">
        <x:v>待定</x:v>
      </x:c>
      <x:c r="J26" s="82" t="str">
        <x:v>待定</x:v>
      </x:c>
      <x:c r="K26" s="82" t="str">
        <x:v>中和偏弱</x:v>
      </x:c>
      <x:c r="L26" s="82" t="str">
        <x:v>待定</x:v>
      </x:c>
      <x:c r="M26" s="68" t="str">
        <x:v>按M08核查</x:v>
      </x:c>
      <x:c r="N26" s="68" t="str">
        <x:v>受伤官或合冲实际制约</x:v>
      </x:c>
      <x:c r="O26" s="82" t="str">
        <x:v>受限</x:v>
      </x:c>
      <x:c r="P26" s="68" t="str">
        <x:v>转M11/M14判断</x:v>
      </x:c>
      <x:c r="Q26" s="68" t="str">
        <x:v>需结合M09日主承载判断</x:v>
      </x:c>
      <x:c r="R26" s="82" t="str">
        <x:v>待定</x:v>
      </x:c>
      <x:c r="S26" s="68" t="str">
        <x:v>正官遭有效伤官克制、合绊或改性，M06/M08确认作用成立</x:v>
      </x:c>
      <x:c r="T26" s="68" t="str">
        <x:v>M02十神映射、M08五行有效旺衰、M09日主旺衰已完成</x:v>
      </x:c>
      <x:c r="U26" s="68" t="str">
        <x:v>相关十神已由M02正确映射，并以M08有效力量为准</x:v>
      </x:c>
      <x:c r="V26" s="68" t="str">
        <x:v>得令、有根、透干、同党或生源形成独立有效证据</x:v>
      </x:c>
      <x:c r="W26" s="68" t="str">
        <x:v>失令、无根、被合绊、被制、改性或作用路径受阻</x:v>
      </x:c>
      <x:c r="X26" s="90" t="str">
        <x:v>不得以十神名称、数量或单一旺弱证据直接完成定性</x:v>
      </x:c>
      <x:c r="Y26" s="68" t="str">
        <x:v>特殊格局、从化候选及明确组合转M11/M14另审</x:v>
      </x:c>
      <x:c r="Z26" s="68" t="str">
        <x:v>不得直接推出吉凶、具体事件、亲属结果或最终喜忌</x:v>
      </x:c>
      <x:c r="AA26" s="84" t="str">
        <x:v>十神受制修正</x:v>
      </x:c>
      <x:c r="AB26" s="84" t="str">
        <x:v>十神受制时须按实际克制效应下调：当“正官遭有效伤官克制、合绊或改性，M06/M08确认作用成立”成立时，按本规则记录十神的有效功能；同时保留制化、承载和反向证据。</x:v>
      </x:c>
      <x:c r="AC26" s="82" t="str">
        <x:v>较高</x:v>
      </x:c>
      <x:c r="AD26" s="82" t="str">
        <x:v>现代综合</x:v>
      </x:c>
      <x:c r="AE26" s="68" t="str">
        <x:v>十神必须分开判断存在性、力量、清纯度、功能性与喜忌性；M10只形成结构层结论和候选，不越级替代M11—M18。</x:v>
      </x:c>
      <x:c r="AF26" s="68" t="str">
        <x:v>相关条件真实成立，且增强条件有效时，可按“十神受制时须按实际克制效应下调”记录对应功能。</x:v>
      </x:c>
      <x:c r="AG26" s="90" t="str">
        <x:v>仅见表面十神名称或数量，但“不得以十神名称、数量或单一旺弱证据直接完成定性”所述限制存在时，不得套用本规则。</x:v>
      </x:c>
      <x:c r="AH26" s="68" t="str">
        <x:v>https://zh.wikisource.org/wiki/%E6%B8%8A%E6%B5%B7%E5%AD%90%E5%B9%B3%E5%A4%A7%E5%85%A8 ; https://zh.wikisource.org/wiki/%E6%BB%B4%E5%A4%A9%E9%AB%93%E9%97%A1%E5%BE%AE</x:v>
      </x:c>
      <x:c r="AI26" s="82" t="str">
        <x:v>采用</x:v>
      </x:c>
      <x:c r="AJ26" s="82" t="str">
        <x:v>初审</x:v>
      </x:c>
      <x:c r="AK26" s="87" t="n">
        <x:v>46255</x:v>
      </x:c>
    </x:row>
    <x:row r="27">
      <x:c r="A27" s="72" t="str">
        <x:f>IF(OR(C27="",D27=""),"",B27&amp;"-"&amp;UPPER(C27)&amp;"-"&amp;TEXT(D27,"0000")&amp;"-"&amp;E27)</x:f>
        <x:v>M10-POWER-0021-V1.0</x:v>
      </x:c>
      <x:c r="B27" s="74" t="str">
        <x:v>M10</x:v>
      </x:c>
      <x:c r="C27" s="74" t="str">
        <x:v>POWER</x:v>
      </x:c>
      <x:c r="D27" s="215" t="n">
        <x:v>21</x:v>
      </x:c>
      <x:c r="E27" s="74" t="str">
        <x:v>V1.0</x:v>
      </x:c>
      <x:c r="F27" s="68" t="str">
        <x:v>被合化改性的节点不再按原十神全额调用</x:v>
      </x:c>
      <x:c r="G27" s="82" t="str">
        <x:v>结构层</x:v>
      </x:c>
      <x:c r="H27" s="82" t="str">
        <x:v>偏印</x:v>
      </x:c>
      <x:c r="I27" s="82" t="str">
        <x:v>待定</x:v>
      </x:c>
      <x:c r="J27" s="82" t="str">
        <x:v>待定</x:v>
      </x:c>
      <x:c r="K27" s="82" t="str">
        <x:v>待定</x:v>
      </x:c>
      <x:c r="L27" s="82" t="str">
        <x:v>待定</x:v>
      </x:c>
      <x:c r="M27" s="68" t="str">
        <x:v>按M08核查</x:v>
      </x:c>
      <x:c r="N27" s="68" t="str">
        <x:v>按M06/M08核查</x:v>
      </x:c>
      <x:c r="O27" s="82" t="str">
        <x:v>转化</x:v>
      </x:c>
      <x:c r="P27" s="68" t="str">
        <x:v>转M11/M14判断</x:v>
      </x:c>
      <x:c r="Q27" s="68" t="str">
        <x:v>需结合M09日主承载判断</x:v>
      </x:c>
      <x:c r="R27" s="82" t="str">
        <x:v>待定</x:v>
      </x:c>
      <x:c r="S27" s="68" t="str">
        <x:v>原偏印节点经M06确认发生实质五行改性</x:v>
      </x:c>
      <x:c r="T27" s="68" t="str">
        <x:v>M02十神映射、M08五行有效旺衰、M09日主旺衰已完成</x:v>
      </x:c>
      <x:c r="U27" s="68" t="str">
        <x:v>相关十神已由M02正确映射，并以M08有效力量为准</x:v>
      </x:c>
      <x:c r="V27" s="68" t="str">
        <x:v>得令、有根、透干、同党或生源形成独立有效证据</x:v>
      </x:c>
      <x:c r="W27" s="68" t="str">
        <x:v>失令、无根、被合绊、被制、改性或作用路径受阻</x:v>
      </x:c>
      <x:c r="X27" s="90" t="str">
        <x:v>不得以十神名称、数量或单一旺弱证据直接完成定性</x:v>
      </x:c>
      <x:c r="Y27" s="68" t="str">
        <x:v>特殊格局、从化候选及明确组合转M11/M14另审</x:v>
      </x:c>
      <x:c r="Z27" s="68" t="str">
        <x:v>不得在改性后同时把原十神与化神重复全额计力</x:v>
      </x:c>
      <x:c r="AA27" s="84" t="str">
        <x:v>十神改性重算</x:v>
      </x:c>
      <x:c r="AB27" s="84" t="str">
        <x:v>被合化改性的节点不再按原十神全额调用：当“原偏印节点经M06确认发生实质五行改性”成立时，按本规则记录十神的有效功能；同时保留制化、承载和反向证据。</x:v>
      </x:c>
      <x:c r="AC27" s="82" t="str">
        <x:v>较高</x:v>
      </x:c>
      <x:c r="AD27" s="82" t="str">
        <x:v>现代综合</x:v>
      </x:c>
      <x:c r="AE27" s="68" t="str">
        <x:v>十神必须分开判断存在性、力量、清纯度、功能性与喜忌性；M10只形成结构层结论和候选，不越级替代M11—M18。</x:v>
      </x:c>
      <x:c r="AF27" s="68" t="str">
        <x:v>相关条件真实成立，且增强条件有效时，可按“被合化改性的节点不再按原十神全额调用”记录对应功能。</x:v>
      </x:c>
      <x:c r="AG27" s="90" t="str">
        <x:v>仅见表面十神名称或数量，但“不得以十神名称、数量或单一旺弱证据直接完成定性”所述限制存在时，不得套用本规则。</x:v>
      </x:c>
      <x:c r="AH27" s="68" t="str">
        <x:v>https://zh.wikisource.org/wiki/%E6%B8%8A%E6%B5%B7%E5%AD%90%E5%B9%B3%E5%A4%A7%E5%85%A8 ; https://zh.wikisource.org/wiki/%E6%BB%B4%E5%A4%A9%E9%AB%93%E9%97%A1%E5%BE%AE</x:v>
      </x:c>
      <x:c r="AI27" s="82" t="str">
        <x:v>采用</x:v>
      </x:c>
      <x:c r="AJ27" s="82" t="str">
        <x:v>初审</x:v>
      </x:c>
      <x:c r="AK27" s="87" t="n">
        <x:v>46255</x:v>
      </x:c>
    </x:row>
    <x:row r="28">
      <x:c r="A28" s="72" t="str">
        <x:f>IF(OR(C28="",D28=""),"",B28&amp;"-"&amp;UPPER(C28)&amp;"-"&amp;TEXT(D28,"0000")&amp;"-"&amp;E28)</x:f>
        <x:v>M10-POWER-0022-V1.0</x:v>
      </x:c>
      <x:c r="B28" s="74" t="str">
        <x:v>M10</x:v>
      </x:c>
      <x:c r="C28" s="74" t="str">
        <x:v>POWER</x:v>
      </x:c>
      <x:c r="D28" s="215" t="n">
        <x:v>22</x:v>
      </x:c>
      <x:c r="E28" s="74" t="str">
        <x:v>V1.0</x:v>
      </x:c>
      <x:c r="F28" s="68" t="str">
        <x:v>同源季令根气透干证据必须去重</x:v>
      </x:c>
      <x:c r="G28" s="82" t="str">
        <x:v>结构层</x:v>
      </x:c>
      <x:c r="H28" s="82" t="str">
        <x:v>正印</x:v>
      </x:c>
      <x:c r="I28" s="82" t="str">
        <x:v>待定</x:v>
      </x:c>
      <x:c r="J28" s="82" t="str">
        <x:v>待定</x:v>
      </x:c>
      <x:c r="K28" s="82" t="str">
        <x:v>待定</x:v>
      </x:c>
      <x:c r="L28" s="82" t="str">
        <x:v>待定</x:v>
      </x:c>
      <x:c r="M28" s="68" t="str">
        <x:v>按M08核查</x:v>
      </x:c>
      <x:c r="N28" s="68" t="str">
        <x:v>按M06/M08核查</x:v>
      </x:c>
      <x:c r="O28" s="82" t="str">
        <x:v>待定</x:v>
      </x:c>
      <x:c r="P28" s="68" t="str">
        <x:v>转M11/M14判断</x:v>
      </x:c>
      <x:c r="Q28" s="68" t="str">
        <x:v>需结合M09日主承载判断</x:v>
      </x:c>
      <x:c r="R28" s="82" t="str">
        <x:v>待定</x:v>
      </x:c>
      <x:c r="S28" s="68" t="str">
        <x:v>同一干支节点同时提供得令、通根、透出等多个标签</x:v>
      </x:c>
      <x:c r="T28" s="68" t="str">
        <x:v>M02十神映射、M08五行有效旺衰、M09日主旺衰已完成</x:v>
      </x:c>
      <x:c r="U28" s="68" t="str">
        <x:v>相关十神已由M02正确映射，并以M08有效力量为准</x:v>
      </x:c>
      <x:c r="V28" s="68" t="str">
        <x:v>得令、有根、透干、同党或生源形成独立有效证据</x:v>
      </x:c>
      <x:c r="W28" s="68" t="str">
        <x:v>失令、无根、被合绊、被制、改性或作用路径受阻</x:v>
      </x:c>
      <x:c r="X28" s="90" t="str">
        <x:v>不得以十神名称、数量或单一旺弱证据直接完成定性</x:v>
      </x:c>
      <x:c r="Y28" s="68" t="str">
        <x:v>特殊格局、从化候选及明确组合转M11/M14另审</x:v>
      </x:c>
      <x:c r="Z28" s="68" t="str">
        <x:v>不得把同一节点的多个标签重复按决定性权重累加</x:v>
      </x:c>
      <x:c r="AA28" s="84" t="str">
        <x:v>十神证据去重</x:v>
      </x:c>
      <x:c r="AB28" s="84" t="str">
        <x:v>同源季令根气透干证据必须去重：当“同一干支节点同时提供得令、通根、透出等多个标签”成立时，按本规则记录十神的有效功能；同时保留制化、承载和反向证据。</x:v>
      </x:c>
      <x:c r="AC28" s="82" t="str">
        <x:v>较高</x:v>
      </x:c>
      <x:c r="AD28" s="82" t="str">
        <x:v>现代综合</x:v>
      </x:c>
      <x:c r="AE28" s="68" t="str">
        <x:v>十神必须分开判断存在性、力量、清纯度、功能性与喜忌性；M10只形成结构层结论和候选，不越级替代M11—M18。</x:v>
      </x:c>
      <x:c r="AF28" s="68" t="str">
        <x:v>相关条件真实成立，且增强条件有效时，可按“同源季令根气透干证据必须去重”记录对应功能。</x:v>
      </x:c>
      <x:c r="AG28" s="90" t="str">
        <x:v>仅见表面十神名称或数量，但“不得以十神名称、数量或单一旺弱证据直接完成定性”所述限制存在时，不得套用本规则。</x:v>
      </x:c>
      <x:c r="AH28" s="68" t="str">
        <x:v>https://zh.wikisource.org/wiki/%E6%B8%8A%E6%B5%B7%E5%AD%90%E5%B9%B3%E5%A4%A7%E5%85%A8 ; https://zh.wikisource.org/wiki/%E6%BB%B4%E5%A4%A9%E9%AB%93%E9%97%A1%E5%BE%AE</x:v>
      </x:c>
      <x:c r="AI28" s="82" t="str">
        <x:v>采用</x:v>
      </x:c>
      <x:c r="AJ28" s="82" t="str">
        <x:v>初审</x:v>
      </x:c>
      <x:c r="AK28" s="87" t="n">
        <x:v>46255</x:v>
      </x:c>
    </x:row>
    <x:row r="29">
      <x:c r="A29" s="72" t="str">
        <x:f>IF(OR(C29="",D29=""),"",B29&amp;"-"&amp;UPPER(C29)&amp;"-"&amp;TEXT(D29,"0000")&amp;"-"&amp;E29)</x:f>
        <x:v>M10-POWER-0023-V1.0</x:v>
      </x:c>
      <x:c r="B29" s="74" t="str">
        <x:v>M10</x:v>
      </x:c>
      <x:c r="C29" s="74" t="str">
        <x:v>POWER</x:v>
      </x:c>
      <x:c r="D29" s="215" t="n">
        <x:v>23</x:v>
      </x:c>
      <x:c r="E29" s="74" t="str">
        <x:v>V1.0</x:v>
      </x:c>
      <x:c r="F29" s="68" t="str">
        <x:v>藏支弱十神不等于零力量</x:v>
      </x:c>
      <x:c r="G29" s="82" t="str">
        <x:v>结构层</x:v>
      </x:c>
      <x:c r="H29" s="82" t="str">
        <x:v>食神</x:v>
      </x:c>
      <x:c r="I29" s="82" t="str">
        <x:v>藏支余气</x:v>
      </x:c>
      <x:c r="J29" s="82" t="str">
        <x:v>待定</x:v>
      </x:c>
      <x:c r="K29" s="82" t="str">
        <x:v>弱</x:v>
      </x:c>
      <x:c r="L29" s="82" t="str">
        <x:v>待定</x:v>
      </x:c>
      <x:c r="M29" s="68" t="str">
        <x:v>按M08核查</x:v>
      </x:c>
      <x:c r="N29" s="68" t="str">
        <x:v>按M06/M08核查</x:v>
      </x:c>
      <x:c r="O29" s="82" t="str">
        <x:v>待定</x:v>
      </x:c>
      <x:c r="P29" s="68" t="str">
        <x:v>转M11/M14判断</x:v>
      </x:c>
      <x:c r="Q29" s="68" t="str">
        <x:v>需结合M09日主承载判断</x:v>
      </x:c>
      <x:c r="R29" s="82" t="str">
        <x:v>待定</x:v>
      </x:c>
      <x:c r="S29" s="68" t="str">
        <x:v>食神仅藏中余气但其根位未被实质破坏</x:v>
      </x:c>
      <x:c r="T29" s="68" t="str">
        <x:v>M02十神映射、M08五行有效旺衰、M09日主旺衰已完成</x:v>
      </x:c>
      <x:c r="U29" s="68" t="str">
        <x:v>相关十神已由M02正确映射，并以M08有效力量为准</x:v>
      </x:c>
      <x:c r="V29" s="68" t="str">
        <x:v>得令、有根、透干、同党或生源形成独立有效证据</x:v>
      </x:c>
      <x:c r="W29" s="68" t="str">
        <x:v>失令、无根、被合绊、被制、改性或作用路径受阻</x:v>
      </x:c>
      <x:c r="X29" s="90" t="str">
        <x:v>不得以十神名称、数量或单一旺弱证据直接完成定性</x:v>
      </x:c>
      <x:c r="Y29" s="68" t="str">
        <x:v>特殊格局、从化候选及明确组合转M11/M14另审</x:v>
      </x:c>
      <x:c r="Z29" s="68" t="str">
        <x:v>不得因不透干将该十神直接删除</x:v>
      </x:c>
      <x:c r="AA29" s="84" t="str">
        <x:v>隐性弱十神保留</x:v>
      </x:c>
      <x:c r="AB29" s="84" t="str">
        <x:v>藏支弱十神不等于零力量：当“食神仅藏中余气但其根位未被实质破坏”成立时，按本规则记录十神的有效功能；同时保留制化、承载和反向证据。</x:v>
      </x:c>
      <x:c r="AC29" s="82" t="str">
        <x:v>较高</x:v>
      </x:c>
      <x:c r="AD29" s="82" t="str">
        <x:v>现代综合</x:v>
      </x:c>
      <x:c r="AE29" s="68" t="str">
        <x:v>十神必须分开判断存在性、力量、清纯度、功能性与喜忌性；M10只形成结构层结论和候选，不越级替代M11—M18。</x:v>
      </x:c>
      <x:c r="AF29" s="68" t="str">
        <x:v>相关条件真实成立，且增强条件有效时，可按“藏支弱十神不等于零力量”记录对应功能。</x:v>
      </x:c>
      <x:c r="AG29" s="90" t="str">
        <x:v>仅见表面十神名称或数量，但“不得以十神名称、数量或单一旺弱证据直接完成定性”所述限制存在时，不得套用本规则。</x:v>
      </x:c>
      <x:c r="AH29" s="68" t="str">
        <x:v>https://zh.wikisource.org/wiki/%E6%B8%8A%E6%B5%B7%E5%AD%90%E5%B9%B3%E5%A4%A7%E5%85%A8 ; https://zh.wikisource.org/wiki/%E6%BB%B4%E5%A4%A9%E9%AB%93%E9%97%A1%E5%BE%AE</x:v>
      </x:c>
      <x:c r="AI29" s="82" t="str">
        <x:v>采用</x:v>
      </x:c>
      <x:c r="AJ29" s="82" t="str">
        <x:v>初审</x:v>
      </x:c>
      <x:c r="AK29" s="87" t="n">
        <x:v>46255</x:v>
      </x:c>
    </x:row>
    <x:row r="30">
      <x:c r="A30" s="72" t="str">
        <x:f>IF(OR(C30="",D30=""),"",B30&amp;"-"&amp;UPPER(C30)&amp;"-"&amp;TEXT(D30,"0000")&amp;"-"&amp;E30)</x:f>
        <x:v>M10-POWER-0024-V1.0</x:v>
      </x:c>
      <x:c r="B30" s="74" t="str">
        <x:v>M10</x:v>
      </x:c>
      <x:c r="C30" s="74" t="str">
        <x:v>POWER</x:v>
      </x:c>
      <x:c r="D30" s="215" t="n">
        <x:v>24</x:v>
      </x:c>
      <x:c r="E30" s="74" t="str">
        <x:v>V1.0</x:v>
      </x:c>
      <x:c r="F30" s="68" t="str">
        <x:v>十神旺衰统一采用七级有效等级</x:v>
      </x:c>
      <x:c r="G30" s="82" t="str">
        <x:v>结构层</x:v>
      </x:c>
      <x:c r="H30" s="82" t="str">
        <x:v>七杀</x:v>
      </x:c>
      <x:c r="I30" s="82" t="str">
        <x:v>待定</x:v>
      </x:c>
      <x:c r="J30" s="82" t="str">
        <x:v>待定</x:v>
      </x:c>
      <x:c r="K30" s="82" t="str">
        <x:v>待定</x:v>
      </x:c>
      <x:c r="L30" s="82" t="str">
        <x:v>待定</x:v>
      </x:c>
      <x:c r="M30" s="68" t="str">
        <x:v>按M08核查</x:v>
      </x:c>
      <x:c r="N30" s="68" t="str">
        <x:v>按M06/M08核查</x:v>
      </x:c>
      <x:c r="O30" s="82" t="str">
        <x:v>待定</x:v>
      </x:c>
      <x:c r="P30" s="68" t="str">
        <x:v>转M11/M14判断</x:v>
      </x:c>
      <x:c r="Q30" s="68" t="str">
        <x:v>需结合M09日主承载判断</x:v>
      </x:c>
      <x:c r="R30" s="82" t="str">
        <x:v>待定</x:v>
      </x:c>
      <x:c r="S30" s="68" t="str">
        <x:v>综合M08节点力量后需输出极弱至极旺七级之一</x:v>
      </x:c>
      <x:c r="T30" s="68" t="str">
        <x:v>M02十神映射、M08五行有效旺衰、M09日主旺衰已完成</x:v>
      </x:c>
      <x:c r="U30" s="68" t="str">
        <x:v>相关十神已由M02正确映射，并以M08有效力量为准</x:v>
      </x:c>
      <x:c r="V30" s="68" t="str">
        <x:v>得令、有根、透干、同党或生源形成独立有效证据</x:v>
      </x:c>
      <x:c r="W30" s="68" t="str">
        <x:v>失令、无根、被合绊、被制、改性或作用路径受阻</x:v>
      </x:c>
      <x:c r="X30" s="90" t="str">
        <x:v>不得以十神名称、数量或单一旺弱证据直接完成定性</x:v>
      </x:c>
      <x:c r="Y30" s="68" t="str">
        <x:v>特殊格局、从化候选及明确组合转M11/M14另审</x:v>
      </x:c>
      <x:c r="Z30" s="68" t="str">
        <x:v>不得直接推出吉凶、具体事件、亲属结果或最终喜忌</x:v>
      </x:c>
      <x:c r="AA30" s="84" t="str">
        <x:v>十神七级分级</x:v>
      </x:c>
      <x:c r="AB30" s="84" t="str">
        <x:v>十神有效旺衰须按极弱、弱、中和偏弱、中和、中和偏旺、旺、极旺输出，并附主要正反证据。</x:v>
      </x:c>
      <x:c r="AC30" s="82" t="str">
        <x:v>较高</x:v>
      </x:c>
      <x:c r="AD30" s="82" t="str">
        <x:v>现代综合</x:v>
      </x:c>
      <x:c r="AE30" s="68" t="str">
        <x:v>十神必须分开判断存在性、力量、清纯度、功能性与喜忌性；M10只形成结构层结论和候选，不越级替代M11—M18。</x:v>
      </x:c>
      <x:c r="AF30" s="68" t="str">
        <x:v>相关条件真实成立，且增强条件有效时，可按“十神旺衰统一采用七级有效等级”记录对应功能。</x:v>
      </x:c>
      <x:c r="AG30" s="90" t="str">
        <x:v>仅见表面十神名称或数量，但“不得以十神名称、数量或单一旺弱证据直接完成定性”所述限制存在时，不得套用本规则。</x:v>
      </x:c>
      <x:c r="AH30" s="68" t="str">
        <x:v>https://zh.wikisource.org/wiki/%E6%B8%8A%E6%B5%B7%E5%AD%90%E5%B9%B3%E5%A4%A7%E5%85%A8 ; https://zh.wikisource.org/wiki/%E6%BB%B4%E5%A4%A9%E9%AB%93%E9%97%A1%E5%BE%AE</x:v>
      </x:c>
      <x:c r="AI30" s="82" t="str">
        <x:v>采用</x:v>
      </x:c>
      <x:c r="AJ30" s="82" t="str">
        <x:v>初审</x:v>
      </x:c>
      <x:c r="AK30" s="87" t="n">
        <x:v>46255</x:v>
      </x:c>
    </x:row>
    <x:row r="31">
      <x:c r="A31" s="72" t="str">
        <x:f>IF(OR(C31="",D31=""),"",B31&amp;"-"&amp;UPPER(C31)&amp;"-"&amp;TEXT(D31,"0000")&amp;"-"&amp;E31)</x:f>
        <x:v>M10-PURE-0025-V1.0</x:v>
      </x:c>
      <x:c r="B31" s="74" t="str">
        <x:v>M10</x:v>
      </x:c>
      <x:c r="C31" s="74" t="str">
        <x:v>PURE</x:v>
      </x:c>
      <x:c r="D31" s="215" t="n">
        <x:v>25</x:v>
      </x:c>
      <x:c r="E31" s="74" t="str">
        <x:v>V1.0</x:v>
      </x:c>
      <x:c r="F31" s="68" t="str">
        <x:v>同一功能群仅一类十神有效主导时可判较清</x:v>
      </x:c>
      <x:c r="G31" s="82" t="str">
        <x:v>结构层</x:v>
      </x:c>
      <x:c r="H31" s="82" t="str">
        <x:v>正官</x:v>
      </x:c>
      <x:c r="I31" s="82" t="str">
        <x:v>待定</x:v>
      </x:c>
      <x:c r="J31" s="82" t="str">
        <x:v>待定</x:v>
      </x:c>
      <x:c r="K31" s="82" t="str">
        <x:v>待定</x:v>
      </x:c>
      <x:c r="L31" s="82" t="str">
        <x:v>较清</x:v>
      </x:c>
      <x:c r="M31" s="68" t="str">
        <x:v>按M08核查</x:v>
      </x:c>
      <x:c r="N31" s="68" t="str">
        <x:v>按M06/M08核查</x:v>
      </x:c>
      <x:c r="O31" s="82" t="str">
        <x:v>待定</x:v>
      </x:c>
      <x:c r="P31" s="68" t="str">
        <x:v>转M11/M14判断</x:v>
      </x:c>
      <x:c r="Q31" s="68" t="str">
        <x:v>需结合M09日主承载判断</x:v>
      </x:c>
      <x:c r="R31" s="82" t="str">
        <x:v>待定</x:v>
      </x:c>
      <x:c r="S31" s="68" t="str">
        <x:v>官杀功能群中正官明显有效，七杀不现或极弱</x:v>
      </x:c>
      <x:c r="T31" s="68" t="str">
        <x:v>M02十神映射、M08五行有效旺衰、M09日主旺衰已完成</x:v>
      </x:c>
      <x:c r="U31" s="68" t="str">
        <x:v>相关十神已由M02正确映射，并以M08有效力量为准</x:v>
      </x:c>
      <x:c r="V31" s="68" t="str">
        <x:v>得令、有根、透干、同党或生源形成独立有效证据</x:v>
      </x:c>
      <x:c r="W31" s="68" t="str">
        <x:v>失令、无根、被合绊、被制、改性或作用路径受阻</x:v>
      </x:c>
      <x:c r="X31" s="90" t="str">
        <x:v>不得以十神名称、数量或单一旺弱证据直接完成定性</x:v>
      </x:c>
      <x:c r="Y31" s="68" t="str">
        <x:v>特殊格局、从化候选及明确组合转M11/M14另审</x:v>
      </x:c>
      <x:c r="Z31" s="68" t="str">
        <x:v>不得由较清直接推出正官为喜或格局成立</x:v>
      </x:c>
      <x:c r="AA31" s="84" t="str">
        <x:v>官杀较清</x:v>
      </x:c>
      <x:c r="AB31" s="84" t="str">
        <x:v>同一功能群仅一类十神有效主导时可判较清：当“官杀功能群中正官明显有效，七杀不现或极弱”成立时，按本规则记录十神的有效功能；同时保留制化、承载和反向证据。</x:v>
      </x:c>
      <x:c r="AC31" s="82" t="str">
        <x:v>较高</x:v>
      </x:c>
      <x:c r="AD31" s="82" t="str">
        <x:v>现代综合</x:v>
      </x:c>
      <x:c r="AE31" s="68" t="str">
        <x:v>十神必须分开判断存在性、力量、清纯度、功能性与喜忌性；M10只形成结构层结论和候选，不越级替代M11—M18。</x:v>
      </x:c>
      <x:c r="AF31" s="68" t="str">
        <x:v>相关条件真实成立，且增强条件有效时，可按“同一功能群仅一类十神有效主导时可判较清”记录对应功能。</x:v>
      </x:c>
      <x:c r="AG31" s="90" t="str">
        <x:v>仅见表面十神名称或数量，但“不得以十神名称、数量或单一旺弱证据直接完成定性”所述限制存在时，不得套用本规则。</x:v>
      </x:c>
      <x:c r="AH31" s="68" t="str">
        <x:v>https://zh.wikisource.org/wiki/%E6%B8%8A%E6%B5%B7%E5%AD%90%E5%B9%B3%E5%A4%A7%E5%85%A8 ; https://zh.wikisource.org/wiki/%E6%BB%B4%E5%A4%A9%E9%AB%93%E9%97%A1%E5%BE%AE</x:v>
      </x:c>
      <x:c r="AI31" s="82" t="str">
        <x:v>采用</x:v>
      </x:c>
      <x:c r="AJ31" s="82" t="str">
        <x:v>初审</x:v>
      </x:c>
      <x:c r="AK31" s="87" t="n">
        <x:v>46255</x:v>
      </x:c>
    </x:row>
    <x:row r="32">
      <x:c r="A32" s="72" t="str">
        <x:f>IF(OR(C32="",D32=""),"",B32&amp;"-"&amp;UPPER(C32)&amp;"-"&amp;TEXT(D32,"0000")&amp;"-"&amp;E32)</x:f>
        <x:v>M10-PURE-0026-V1.0</x:v>
      </x:c>
      <x:c r="B32" s="74" t="str">
        <x:v>M10</x:v>
      </x:c>
      <x:c r="C32" s="74" t="str">
        <x:v>PURE</x:v>
      </x:c>
      <x:c r="D32" s="215" t="n">
        <x:v>26</x:v>
      </x:c>
      <x:c r="E32" s="74" t="str">
        <x:v>V1.0</x:v>
      </x:c>
      <x:c r="F32" s="68" t="str">
        <x:v>七杀主导而正官无效时不按官杀混杂处理</x:v>
      </x:c>
      <x:c r="G32" s="82" t="str">
        <x:v>结构层</x:v>
      </x:c>
      <x:c r="H32" s="82" t="str">
        <x:v>七杀</x:v>
      </x:c>
      <x:c r="I32" s="82" t="str">
        <x:v>待定</x:v>
      </x:c>
      <x:c r="J32" s="82" t="str">
        <x:v>待定</x:v>
      </x:c>
      <x:c r="K32" s="82" t="str">
        <x:v>待定</x:v>
      </x:c>
      <x:c r="L32" s="82" t="str">
        <x:v>较清</x:v>
      </x:c>
      <x:c r="M32" s="68" t="str">
        <x:v>按M08核查</x:v>
      </x:c>
      <x:c r="N32" s="68" t="str">
        <x:v>按M06/M08核查</x:v>
      </x:c>
      <x:c r="O32" s="82" t="str">
        <x:v>待定</x:v>
      </x:c>
      <x:c r="P32" s="68" t="str">
        <x:v>转M11/M14判断</x:v>
      </x:c>
      <x:c r="Q32" s="68" t="str">
        <x:v>需结合M09日主承载判断</x:v>
      </x:c>
      <x:c r="R32" s="82" t="str">
        <x:v>待定</x:v>
      </x:c>
      <x:c r="S32" s="68" t="str">
        <x:v>七杀有效主导，正官不现或仅有失效弱节点</x:v>
      </x:c>
      <x:c r="T32" s="68" t="str">
        <x:v>M02十神映射、M08五行有效旺衰、M09日主旺衰已完成</x:v>
      </x:c>
      <x:c r="U32" s="68" t="str">
        <x:v>相关十神已由M02正确映射，并以M08有效力量为准</x:v>
      </x:c>
      <x:c r="V32" s="68" t="str">
        <x:v>得令、有根、透干、同党或生源形成独立有效证据</x:v>
      </x:c>
      <x:c r="W32" s="68" t="str">
        <x:v>失令、无根、被合绊、被制、改性或作用路径受阻</x:v>
      </x:c>
      <x:c r="X32" s="90" t="str">
        <x:v>不得以十神名称、数量或单一旺弱证据直接完成定性</x:v>
      </x:c>
      <x:c r="Y32" s="68" t="str">
        <x:v>特殊格局、从化候选及明确组合转M11/M14另审</x:v>
      </x:c>
      <x:c r="Z32" s="68" t="str">
        <x:v>不得直接推出吉凶、具体事件、亲属结果或最终喜忌</x:v>
      </x:c>
      <x:c r="AA32" s="84" t="str">
        <x:v>七杀较清</x:v>
      </x:c>
      <x:c r="AB32" s="84" t="str">
        <x:v>七杀主导而正官无效时不按官杀混杂处理：当“七杀有效主导，正官不现或仅有失效弱节点”成立时，按本规则记录十神的有效功能；同时保留制化、承载和反向证据。</x:v>
      </x:c>
      <x:c r="AC32" s="82" t="str">
        <x:v>较高</x:v>
      </x:c>
      <x:c r="AD32" s="82" t="str">
        <x:v>现代综合</x:v>
      </x:c>
      <x:c r="AE32" s="68" t="str">
        <x:v>十神必须分开判断存在性、力量、清纯度、功能性与喜忌性；M10只形成结构层结论和候选，不越级替代M11—M18。</x:v>
      </x:c>
      <x:c r="AF32" s="68" t="str">
        <x:v>相关条件真实成立，且增强条件有效时，可按“七杀主导而正官无效时不按官杀混杂处理”记录对应功能。</x:v>
      </x:c>
      <x:c r="AG32" s="90" t="str">
        <x:v>仅见表面十神名称或数量，但“不得以十神名称、数量或单一旺弱证据直接完成定性”所述限制存在时，不得套用本规则。</x:v>
      </x:c>
      <x:c r="AH32" s="68" t="str">
        <x:v>https://zh.wikisource.org/wiki/%E6%B8%8A%E6%B5%B7%E5%AD%90%E5%B9%B3%E5%A4%A7%E5%85%A8 ; https://zh.wikisource.org/wiki/%E6%BB%B4%E5%A4%A9%E9%AB%93%E9%97%A1%E5%BE%AE</x:v>
      </x:c>
      <x:c r="AI32" s="82" t="str">
        <x:v>采用</x:v>
      </x:c>
      <x:c r="AJ32" s="82" t="str">
        <x:v>初审</x:v>
      </x:c>
      <x:c r="AK32" s="87" t="n">
        <x:v>46255</x:v>
      </x:c>
    </x:row>
    <x:row r="33">
      <x:c r="A33" s="72" t="str">
        <x:f>IF(OR(C33="",D33=""),"",B33&amp;"-"&amp;UPPER(C33)&amp;"-"&amp;TEXT(D33,"0000")&amp;"-"&amp;E33)</x:f>
        <x:v>M10-PURE-0027-V1.0</x:v>
      </x:c>
      <x:c r="B33" s="74" t="str">
        <x:v>M10</x:v>
      </x:c>
      <x:c r="C33" s="74" t="str">
        <x:v>PURE</x:v>
      </x:c>
      <x:c r="D33" s="215" t="n">
        <x:v>27</x:v>
      </x:c>
      <x:c r="E33" s="74" t="str">
        <x:v>V1.0</x:v>
      </x:c>
      <x:c r="F33" s="68" t="str">
        <x:v>食伤正偏并见先判有杂而非自动混杂</x:v>
      </x:c>
      <x:c r="G33" s="82" t="str">
        <x:v>结构层</x:v>
      </x:c>
      <x:c r="H33" s="82" t="str">
        <x:v>食神</x:v>
      </x:c>
      <x:c r="I33" s="82" t="str">
        <x:v>待定</x:v>
      </x:c>
      <x:c r="J33" s="82" t="str">
        <x:v>待定</x:v>
      </x:c>
      <x:c r="K33" s="82" t="str">
        <x:v>待定</x:v>
      </x:c>
      <x:c r="L33" s="82" t="str">
        <x:v>有杂</x:v>
      </x:c>
      <x:c r="M33" s="68" t="str">
        <x:v>按M08核查</x:v>
      </x:c>
      <x:c r="N33" s="68" t="str">
        <x:v>按M06/M08核查</x:v>
      </x:c>
      <x:c r="O33" s="82" t="str">
        <x:v>待定</x:v>
      </x:c>
      <x:c r="P33" s="68" t="str">
        <x:v>转M11/M14判断</x:v>
      </x:c>
      <x:c r="Q33" s="68" t="str">
        <x:v>需结合M09日主承载判断</x:v>
      </x:c>
      <x:c r="R33" s="82" t="str">
        <x:v>待定</x:v>
      </x:c>
      <x:c r="S33" s="68" t="str">
        <x:v>食神与伤官均存在，但一方明显主导、另一方弱</x:v>
      </x:c>
      <x:c r="T33" s="68" t="str">
        <x:v>M02十神映射、M08五行有效旺衰、M09日主旺衰已完成</x:v>
      </x:c>
      <x:c r="U33" s="68" t="str">
        <x:v>相关十神已由M02正确映射，并以M08有效力量为准</x:v>
      </x:c>
      <x:c r="V33" s="68" t="str">
        <x:v>得令、有根、透干、同党或生源形成独立有效证据</x:v>
      </x:c>
      <x:c r="W33" s="68" t="str">
        <x:v>失令、无根、被合绊、被制、改性或作用路径受阻</x:v>
      </x:c>
      <x:c r="X33" s="90" t="str">
        <x:v>不得以十神名称、数量或单一旺弱证据直接完成定性</x:v>
      </x:c>
      <x:c r="Y33" s="68" t="str">
        <x:v>特殊格局、从化候选及明确组合转M11/M14另审</x:v>
      </x:c>
      <x:c r="Z33" s="68" t="str">
        <x:v>不得直接推出吉凶、具体事件、亲属结果或最终喜忌</x:v>
      </x:c>
      <x:c r="AA33" s="84" t="str">
        <x:v>食伤有杂</x:v>
      </x:c>
      <x:c r="AB33" s="84" t="str">
        <x:v>食伤正偏并见先判有杂而非自动混杂：当“食神与伤官均存在，但一方明显主导、另一方弱”成立时，按本规则记录十神的有效功能；同时保留制化、承载和反向证据。</x:v>
      </x:c>
      <x:c r="AC33" s="82" t="str">
        <x:v>较高</x:v>
      </x:c>
      <x:c r="AD33" s="82" t="str">
        <x:v>现代综合</x:v>
      </x:c>
      <x:c r="AE33" s="68" t="str">
        <x:v>十神必须分开判断存在性、力量、清纯度、功能性与喜忌性；M10只形成结构层结论和候选，不越级替代M11—M18。</x:v>
      </x:c>
      <x:c r="AF33" s="68" t="str">
        <x:v>相关条件真实成立，且增强条件有效时，可按“食伤正偏并见先判有杂而非自动混杂”记录对应功能。</x:v>
      </x:c>
      <x:c r="AG33" s="90" t="str">
        <x:v>仅见表面十神名称或数量，但“不得以十神名称、数量或单一旺弱证据直接完成定性”所述限制存在时，不得套用本规则。</x:v>
      </x:c>
      <x:c r="AH33" s="68" t="str">
        <x:v>https://zh.wikisource.org/wiki/%E6%B8%8A%E6%B5%B7%E5%AD%90%E5%B9%B3%E5%A4%A7%E5%85%A8 ; https://zh.wikisource.org/wiki/%E6%BB%B4%E5%A4%A9%E9%AB%93%E9%97%A1%E5%BE%AE</x:v>
      </x:c>
      <x:c r="AI33" s="82" t="str">
        <x:v>采用</x:v>
      </x:c>
      <x:c r="AJ33" s="82" t="str">
        <x:v>初审</x:v>
      </x:c>
      <x:c r="AK33" s="87" t="n">
        <x:v>46255</x:v>
      </x:c>
    </x:row>
    <x:row r="34">
      <x:c r="A34" s="72" t="str">
        <x:f>IF(OR(C34="",D34=""),"",B34&amp;"-"&amp;UPPER(C34)&amp;"-"&amp;TEXT(D34,"0000")&amp;"-"&amp;E34)</x:f>
        <x:v>M10-PURE-0028-V1.0</x:v>
      </x:c>
      <x:c r="B34" s="74" t="str">
        <x:v>M10</x:v>
      </x:c>
      <x:c r="C34" s="74" t="str">
        <x:v>PURE</x:v>
      </x:c>
      <x:c r="D34" s="215" t="n">
        <x:v>28</x:v>
      </x:c>
      <x:c r="E34" s="74" t="str">
        <x:v>V1.0</x:v>
      </x:c>
      <x:c r="F34" s="68" t="str">
        <x:v>食伤两类均旺且透达时混杂程度上升</x:v>
      </x:c>
      <x:c r="G34" s="82" t="str">
        <x:v>结构层</x:v>
      </x:c>
      <x:c r="H34" s="82" t="str">
        <x:v>伤官</x:v>
      </x:c>
      <x:c r="I34" s="82" t="str">
        <x:v>待定</x:v>
      </x:c>
      <x:c r="J34" s="82" t="str">
        <x:v>待定</x:v>
      </x:c>
      <x:c r="K34" s="82" t="str">
        <x:v>待定</x:v>
      </x:c>
      <x:c r="L34" s="82" t="str">
        <x:v>混杂</x:v>
      </x:c>
      <x:c r="M34" s="68" t="str">
        <x:v>按M08核查</x:v>
      </x:c>
      <x:c r="N34" s="68" t="str">
        <x:v>按M06/M08核查</x:v>
      </x:c>
      <x:c r="O34" s="82" t="str">
        <x:v>待定</x:v>
      </x:c>
      <x:c r="P34" s="68" t="str">
        <x:v>转M11/M14判断</x:v>
      </x:c>
      <x:c r="Q34" s="68" t="str">
        <x:v>需结合M09日主承载判断</x:v>
      </x:c>
      <x:c r="R34" s="82" t="str">
        <x:v>待定</x:v>
      </x:c>
      <x:c r="S34" s="68" t="str">
        <x:v>食神与伤官同时有效且均达到中和偏旺以上</x:v>
      </x:c>
      <x:c r="T34" s="68" t="str">
        <x:v>M02十神映射、M08五行有效旺衰、M09日主旺衰已完成</x:v>
      </x:c>
      <x:c r="U34" s="68" t="str">
        <x:v>相关十神已由M02正确映射，并以M08有效力量为准</x:v>
      </x:c>
      <x:c r="V34" s="68" t="str">
        <x:v>得令、有根、透干、同党或生源形成独立有效证据</x:v>
      </x:c>
      <x:c r="W34" s="68" t="str">
        <x:v>失令、无根、被合绊、被制、改性或作用路径受阻</x:v>
      </x:c>
      <x:c r="X34" s="90" t="str">
        <x:v>不得以十神名称、数量或单一旺弱证据直接完成定性</x:v>
      </x:c>
      <x:c r="Y34" s="68" t="str">
        <x:v>特殊格局、从化候选及明确组合转M11/M14另审</x:v>
      </x:c>
      <x:c r="Z34" s="68" t="str">
        <x:v>不得直接推出吉凶、具体事件、亲属结果或最终喜忌</x:v>
      </x:c>
      <x:c r="AA34" s="84" t="str">
        <x:v>食伤混杂候选</x:v>
      </x:c>
      <x:c r="AB34" s="84" t="str">
        <x:v>食伤两类均旺且透达时混杂程度上升：当“食神与伤官同时有效且均达到中和偏旺以上”成立时，按本规则记录十神的有效功能；同时保留制化、承载和反向证据。</x:v>
      </x:c>
      <x:c r="AC34" s="82" t="str">
        <x:v>较高</x:v>
      </x:c>
      <x:c r="AD34" s="82" t="str">
        <x:v>现代综合</x:v>
      </x:c>
      <x:c r="AE34" s="68" t="str">
        <x:v>十神必须分开判断存在性、力量、清纯度、功能性与喜忌性；M10只形成结构层结论和候选，不越级替代M11—M18。</x:v>
      </x:c>
      <x:c r="AF34" s="68" t="str">
        <x:v>相关条件真实成立，且增强条件有效时，可按“食伤两类均旺且透达时混杂程度上升”记录对应功能。</x:v>
      </x:c>
      <x:c r="AG34" s="90" t="str">
        <x:v>仅见表面十神名称或数量，但“不得以十神名称、数量或单一旺弱证据直接完成定性”所述限制存在时，不得套用本规则。</x:v>
      </x:c>
      <x:c r="AH34" s="68" t="str">
        <x:v>https://zh.wikisource.org/wiki/%E6%B8%8A%E6%B5%B7%E5%AD%90%E5%B9%B3%E5%A4%A7%E5%85%A8 ; https://zh.wikisource.org/wiki/%E6%BB%B4%E5%A4%A9%E9%AB%93%E9%97%A1%E5%BE%AE</x:v>
      </x:c>
      <x:c r="AI34" s="82" t="str">
        <x:v>采用</x:v>
      </x:c>
      <x:c r="AJ34" s="82" t="str">
        <x:v>初审</x:v>
      </x:c>
      <x:c r="AK34" s="87" t="n">
        <x:v>46255</x:v>
      </x:c>
    </x:row>
    <x:row r="35">
      <x:c r="A35" s="72" t="str">
        <x:f>IF(OR(C35="",D35=""),"",B35&amp;"-"&amp;UPPER(C35)&amp;"-"&amp;TEXT(D35,"0000")&amp;"-"&amp;E35)</x:f>
        <x:v>M10-PURE-0029-V1.0</x:v>
      </x:c>
      <x:c r="B35" s="74" t="str">
        <x:v>M10</x:v>
      </x:c>
      <x:c r="C35" s="74" t="str">
        <x:v>PURE</x:v>
      </x:c>
      <x:c r="D35" s="215" t="n">
        <x:v>29</x:v>
      </x:c>
      <x:c r="E35" s="74" t="str">
        <x:v>V1.0</x:v>
      </x:c>
      <x:c r="F35" s="68" t="str">
        <x:v>印枭并见但偏印失效时可降低混杂等级</x:v>
      </x:c>
      <x:c r="G35" s="82" t="str">
        <x:v>结构层</x:v>
      </x:c>
      <x:c r="H35" s="82" t="str">
        <x:v>正印</x:v>
      </x:c>
      <x:c r="I35" s="82" t="str">
        <x:v>待定</x:v>
      </x:c>
      <x:c r="J35" s="82" t="str">
        <x:v>待定</x:v>
      </x:c>
      <x:c r="K35" s="82" t="str">
        <x:v>待定</x:v>
      </x:c>
      <x:c r="L35" s="82" t="str">
        <x:v>较清</x:v>
      </x:c>
      <x:c r="M35" s="68" t="str">
        <x:v>按M08核查</x:v>
      </x:c>
      <x:c r="N35" s="68" t="str">
        <x:v>按M06/M08核查</x:v>
      </x:c>
      <x:c r="O35" s="82" t="str">
        <x:v>待定</x:v>
      </x:c>
      <x:c r="P35" s="68" t="str">
        <x:v>转M11/M14判断</x:v>
      </x:c>
      <x:c r="Q35" s="68" t="str">
        <x:v>需结合M09日主承载判断</x:v>
      </x:c>
      <x:c r="R35" s="82" t="str">
        <x:v>待定</x:v>
      </x:c>
      <x:c r="S35" s="68" t="str">
        <x:v>正印有效而偏印仅名义存在、被制或改性</x:v>
      </x:c>
      <x:c r="T35" s="68" t="str">
        <x:v>M02十神映射、M08五行有效旺衰、M09日主旺衰已完成</x:v>
      </x:c>
      <x:c r="U35" s="68" t="str">
        <x:v>相关十神已由M02正确映射，并以M08有效力量为准</x:v>
      </x:c>
      <x:c r="V35" s="68" t="str">
        <x:v>得令、有根、透干、同党或生源形成独立有效证据</x:v>
      </x:c>
      <x:c r="W35" s="68" t="str">
        <x:v>失令、无根、被合绊、被制、改性或作用路径受阻</x:v>
      </x:c>
      <x:c r="X35" s="90" t="str">
        <x:v>不得以十神名称、数量或单一旺弱证据直接完成定性</x:v>
      </x:c>
      <x:c r="Y35" s="68" t="str">
        <x:v>特殊格局、从化候选及明确组合转M11/M14另审</x:v>
      </x:c>
      <x:c r="Z35" s="68" t="str">
        <x:v>不得直接推出吉凶、具体事件、亲属结果或最终喜忌</x:v>
      </x:c>
      <x:c r="AA35" s="84" t="str">
        <x:v>印枭主次清晰</x:v>
      </x:c>
      <x:c r="AB35" s="84" t="str">
        <x:v>印枭并见但偏印失效时可降低混杂等级：当“正印有效而偏印仅名义存在、被制或改性”成立时，按本规则记录十神的有效功能；同时保留制化、承载和反向证据。</x:v>
      </x:c>
      <x:c r="AC35" s="82" t="str">
        <x:v>较高</x:v>
      </x:c>
      <x:c r="AD35" s="82" t="str">
        <x:v>现代综合</x:v>
      </x:c>
      <x:c r="AE35" s="68" t="str">
        <x:v>十神必须分开判断存在性、力量、清纯度、功能性与喜忌性；M10只形成结构层结论和候选，不越级替代M11—M18。</x:v>
      </x:c>
      <x:c r="AF35" s="68" t="str">
        <x:v>相关条件真实成立，且增强条件有效时，可按“印枭并见但偏印失效时可降低混杂等级”记录对应功能。</x:v>
      </x:c>
      <x:c r="AG35" s="90" t="str">
        <x:v>仅见表面十神名称或数量，但“不得以十神名称、数量或单一旺弱证据直接完成定性”所述限制存在时，不得套用本规则。</x:v>
      </x:c>
      <x:c r="AH35" s="68" t="str">
        <x:v>https://zh.wikisource.org/wiki/%E6%B8%8A%E6%B5%B7%E5%AD%90%E5%B9%B3%E5%A4%A7%E5%85%A8 ; https://zh.wikisource.org/wiki/%E6%BB%B4%E5%A4%A9%E9%AB%93%E9%97%A1%E5%BE%AE</x:v>
      </x:c>
      <x:c r="AI35" s="82" t="str">
        <x:v>采用</x:v>
      </x:c>
      <x:c r="AJ35" s="82" t="str">
        <x:v>初审</x:v>
      </x:c>
      <x:c r="AK35" s="87" t="n">
        <x:v>46255</x:v>
      </x:c>
    </x:row>
    <x:row r="36">
      <x:c r="A36" s="72" t="str">
        <x:f>IF(OR(C36="",D36=""),"",B36&amp;"-"&amp;UPPER(C36)&amp;"-"&amp;TEXT(D36,"0000")&amp;"-"&amp;E36)</x:f>
        <x:v>M10-PURE-0030-V1.0</x:v>
      </x:c>
      <x:c r="B36" s="74" t="str">
        <x:v>M10</x:v>
      </x:c>
      <x:c r="C36" s="74" t="str">
        <x:v>PURE</x:v>
      </x:c>
      <x:c r="D36" s="215" t="n">
        <x:v>30</x:v>
      </x:c>
      <x:c r="E36" s="74" t="str">
        <x:v>V1.0</x:v>
      </x:c>
      <x:c r="F36" s="68" t="str">
        <x:v>正偏财并见不等于财星失效</x:v>
      </x:c>
      <x:c r="G36" s="82" t="str">
        <x:v>结构层</x:v>
      </x:c>
      <x:c r="H36" s="82" t="str">
        <x:v>偏财</x:v>
      </x:c>
      <x:c r="I36" s="82" t="str">
        <x:v>待定</x:v>
      </x:c>
      <x:c r="J36" s="82" t="str">
        <x:v>待定</x:v>
      </x:c>
      <x:c r="K36" s="82" t="str">
        <x:v>待定</x:v>
      </x:c>
      <x:c r="L36" s="82" t="str">
        <x:v>有杂</x:v>
      </x:c>
      <x:c r="M36" s="68" t="str">
        <x:v>按M08核查</x:v>
      </x:c>
      <x:c r="N36" s="68" t="str">
        <x:v>按M06/M08核查</x:v>
      </x:c>
      <x:c r="O36" s="82" t="str">
        <x:v>正常发挥</x:v>
      </x:c>
      <x:c r="P36" s="68" t="str">
        <x:v>转M11/M14判断</x:v>
      </x:c>
      <x:c r="Q36" s="68" t="str">
        <x:v>需结合M09日主承载判断</x:v>
      </x:c>
      <x:c r="R36" s="82" t="str">
        <x:v>待定</x:v>
      </x:c>
      <x:c r="S36" s="68" t="str">
        <x:v>正财偏财同时有效存在</x:v>
      </x:c>
      <x:c r="T36" s="68" t="str">
        <x:v>M02十神映射、M08五行有效旺衰、M09日主旺衰已完成</x:v>
      </x:c>
      <x:c r="U36" s="68" t="str">
        <x:v>相关十神已由M02正确映射，并以M08有效力量为准</x:v>
      </x:c>
      <x:c r="V36" s="68" t="str">
        <x:v>得令、有根、透干、同党或生源形成独立有效证据</x:v>
      </x:c>
      <x:c r="W36" s="68" t="str">
        <x:v>失令、无根、被合绊、被制、改性或作用路径受阻</x:v>
      </x:c>
      <x:c r="X36" s="90" t="str">
        <x:v>不得以十神名称、数量或单一旺弱证据直接完成定性</x:v>
      </x:c>
      <x:c r="Y36" s="68" t="str">
        <x:v>特殊格局、从化候选及明确组合转M11/M14另审</x:v>
      </x:c>
      <x:c r="Z36" s="68" t="str">
        <x:v>不得由正偏财并见直接推出破格、婚恋或财富事件</x:v>
      </x:c>
      <x:c r="AA36" s="84" t="str">
        <x:v>财星正偏并见</x:v>
      </x:c>
      <x:c r="AB36" s="84" t="str">
        <x:v>正偏财并见不等于财星失效：当“正财偏财同时有效存在”成立时，按本规则记录十神的有效功能；同时保留制化、承载和反向证据。</x:v>
      </x:c>
      <x:c r="AC36" s="82" t="str">
        <x:v>较高</x:v>
      </x:c>
      <x:c r="AD36" s="82" t="str">
        <x:v>现代综合</x:v>
      </x:c>
      <x:c r="AE36" s="68" t="str">
        <x:v>十神必须分开判断存在性、力量、清纯度、功能性与喜忌性；M10只形成结构层结论和候选，不越级替代M11—M18。</x:v>
      </x:c>
      <x:c r="AF36" s="68" t="str">
        <x:v>相关条件真实成立，且增强条件有效时，可按“正偏财并见不等于财星失效”记录对应功能。</x:v>
      </x:c>
      <x:c r="AG36" s="90" t="str">
        <x:v>仅见表面十神名称或数量，但“不得以十神名称、数量或单一旺弱证据直接完成定性”所述限制存在时，不得套用本规则。</x:v>
      </x:c>
      <x:c r="AH36" s="68" t="str">
        <x:v>https://zh.wikisource.org/wiki/%E6%B8%8A%E6%B5%B7%E5%AD%90%E5%B9%B3%E5%A4%A7%E5%85%A8 ; https://zh.wikisource.org/wiki/%E6%BB%B4%E5%A4%A9%E9%AB%93%E9%97%A1%E5%BE%AE</x:v>
      </x:c>
      <x:c r="AI36" s="82" t="str">
        <x:v>采用</x:v>
      </x:c>
      <x:c r="AJ36" s="82" t="str">
        <x:v>初审</x:v>
      </x:c>
      <x:c r="AK36" s="87" t="n">
        <x:v>46255</x:v>
      </x:c>
    </x:row>
    <x:row r="37">
      <x:c r="A37" s="72" t="str">
        <x:f>IF(OR(C37="",D37=""),"",B37&amp;"-"&amp;UPPER(C37)&amp;"-"&amp;TEXT(D37,"0000")&amp;"-"&amp;E37)</x:f>
        <x:v>M10-PURE-0031-V1.0</x:v>
      </x:c>
      <x:c r="B37" s="74" t="str">
        <x:v>M10</x:v>
      </x:c>
      <x:c r="C37" s="74" t="str">
        <x:v>PURE</x:v>
      </x:c>
      <x:c r="D37" s="215" t="n">
        <x:v>31</x:v>
      </x:c>
      <x:c r="E37" s="74" t="str">
        <x:v>V1.0</x:v>
      </x:c>
      <x:c r="F37" s="68" t="str">
        <x:v>同一十神多处出现属于数量问题而非清纯问题</x:v>
      </x:c>
      <x:c r="G37" s="82" t="str">
        <x:v>结构层</x:v>
      </x:c>
      <x:c r="H37" s="82" t="str">
        <x:v>比肩</x:v>
      </x:c>
      <x:c r="I37" s="82" t="str">
        <x:v>多处出现</x:v>
      </x:c>
      <x:c r="J37" s="82" t="str">
        <x:v>待定</x:v>
      </x:c>
      <x:c r="K37" s="82" t="str">
        <x:v>待定</x:v>
      </x:c>
      <x:c r="L37" s="82" t="str">
        <x:v>清纯</x:v>
      </x:c>
      <x:c r="M37" s="68" t="str">
        <x:v>按M08核查</x:v>
      </x:c>
      <x:c r="N37" s="68" t="str">
        <x:v>按M06/M08核查</x:v>
      </x:c>
      <x:c r="O37" s="82" t="str">
        <x:v>待定</x:v>
      </x:c>
      <x:c r="P37" s="68" t="str">
        <x:v>转M11/M14判断</x:v>
      </x:c>
      <x:c r="Q37" s="68" t="str">
        <x:v>需结合M09日主承载判断</x:v>
      </x:c>
      <x:c r="R37" s="82" t="str">
        <x:v>待定</x:v>
      </x:c>
      <x:c r="S37" s="68" t="str">
        <x:v>比肩在多个节点重复出现，但未混入劫财</x:v>
      </x:c>
      <x:c r="T37" s="68" t="str">
        <x:v>M02十神映射、M08五行有效旺衰、M09日主旺衰已完成</x:v>
      </x:c>
      <x:c r="U37" s="68" t="str">
        <x:v>相关十神已由M02正确映射，并以M08有效力量为准</x:v>
      </x:c>
      <x:c r="V37" s="68" t="str">
        <x:v>得令、有根、透干、同党或生源形成独立有效证据</x:v>
      </x:c>
      <x:c r="W37" s="68" t="str">
        <x:v>失令、无根、被合绊、被制、改性或作用路径受阻</x:v>
      </x:c>
      <x:c r="X37" s="90" t="str">
        <x:v>不得以十神名称、数量或单一旺弱证据直接完成定性</x:v>
      </x:c>
      <x:c r="Y37" s="68" t="str">
        <x:v>特殊格局、从化候选及明确组合转M11/M14另审</x:v>
      </x:c>
      <x:c r="Z37" s="68" t="str">
        <x:v>不得直接推出吉凶、具体事件、亲属结果或最终喜忌</x:v>
      </x:c>
      <x:c r="AA37" s="84" t="str">
        <x:v>同类重复非混杂</x:v>
      </x:c>
      <x:c r="AB37" s="84" t="str">
        <x:v>同一十神多处出现属于数量问题而非清纯问题：当“比肩在多个节点重复出现，但未混入劫财”成立时，按本规则记录十神的有效功能；同时保留制化、承载和反向证据。</x:v>
      </x:c>
      <x:c r="AC37" s="82" t="str">
        <x:v>较高</x:v>
      </x:c>
      <x:c r="AD37" s="82" t="str">
        <x:v>现代综合</x:v>
      </x:c>
      <x:c r="AE37" s="68" t="str">
        <x:v>十神必须分开判断存在性、力量、清纯度、功能性与喜忌性；M10只形成结构层结论和候选，不越级替代M11—M18。</x:v>
      </x:c>
      <x:c r="AF37" s="68" t="str">
        <x:v>相关条件真实成立，且增强条件有效时，可按“同一十神多处出现属于数量问题而非清纯问题”记录对应功能。</x:v>
      </x:c>
      <x:c r="AG37" s="90" t="str">
        <x:v>仅见表面十神名称或数量，但“不得以十神名称、数量或单一旺弱证据直接完成定性”所述限制存在时，不得套用本规则。</x:v>
      </x:c>
      <x:c r="AH37" s="68" t="str">
        <x:v>https://zh.wikisource.org/wiki/%E6%B8%8A%E6%B5%B7%E5%AD%90%E5%B9%B3%E5%A4%A7%E5%85%A8 ; https://zh.wikisource.org/wiki/%E6%BB%B4%E5%A4%A9%E9%AB%93%E9%97%A1%E5%BE%AE</x:v>
      </x:c>
      <x:c r="AI37" s="82" t="str">
        <x:v>采用</x:v>
      </x:c>
      <x:c r="AJ37" s="82" t="str">
        <x:v>初审</x:v>
      </x:c>
      <x:c r="AK37" s="87" t="n">
        <x:v>46255</x:v>
      </x:c>
    </x:row>
    <x:row r="38">
      <x:c r="A38" s="72" t="str">
        <x:f>IF(OR(C38="",D38=""),"",B38&amp;"-"&amp;UPPER(C38)&amp;"-"&amp;TEXT(D38,"0000")&amp;"-"&amp;E38)</x:f>
        <x:v>M10-PURE-0032-V1.0</x:v>
      </x:c>
      <x:c r="B38" s="74" t="str">
        <x:v>M10</x:v>
      </x:c>
      <x:c r="C38" s="74" t="str">
        <x:v>PURE</x:v>
      </x:c>
      <x:c r="D38" s="215" t="n">
        <x:v>32</x:v>
      </x:c>
      <x:c r="E38" s="74" t="str">
        <x:v>V1.0</x:v>
      </x:c>
      <x:c r="F38" s="68" t="str">
        <x:v>清纯度与喜忌价值必须分开</x:v>
      </x:c>
      <x:c r="G38" s="82" t="str">
        <x:v>结构层</x:v>
      </x:c>
      <x:c r="H38" s="82" t="str">
        <x:v>正印</x:v>
      </x:c>
      <x:c r="I38" s="82" t="str">
        <x:v>待定</x:v>
      </x:c>
      <x:c r="J38" s="82" t="str">
        <x:v>待定</x:v>
      </x:c>
      <x:c r="K38" s="82" t="str">
        <x:v>待定</x:v>
      </x:c>
      <x:c r="L38" s="82" t="str">
        <x:v>待定</x:v>
      </x:c>
      <x:c r="M38" s="68" t="str">
        <x:v>按M08核查</x:v>
      </x:c>
      <x:c r="N38" s="68" t="str">
        <x:v>按M06/M08核查</x:v>
      </x:c>
      <x:c r="O38" s="82" t="str">
        <x:v>待定</x:v>
      </x:c>
      <x:c r="P38" s="68" t="str">
        <x:v>转M11/M14判断</x:v>
      </x:c>
      <x:c r="Q38" s="68" t="str">
        <x:v>需结合M09日主承载判断</x:v>
      </x:c>
      <x:c r="R38" s="82" t="str">
        <x:v>待定</x:v>
      </x:c>
      <x:c r="S38" s="68" t="str">
        <x:v>十神清纯度已完成判断</x:v>
      </x:c>
      <x:c r="T38" s="68" t="str">
        <x:v>M02十神映射、M08五行有效旺衰、M09日主旺衰已完成</x:v>
      </x:c>
      <x:c r="U38" s="68" t="str">
        <x:v>相关十神已由M02正确映射，并以M08有效力量为准</x:v>
      </x:c>
      <x:c r="V38" s="68" t="str">
        <x:v>得令、有根、透干、同党或生源形成独立有效证据</x:v>
      </x:c>
      <x:c r="W38" s="68" t="str">
        <x:v>失令、无根、被合绊、被制、改性或作用路径受阻</x:v>
      </x:c>
      <x:c r="X38" s="90" t="str">
        <x:v>不得以十神名称、数量或单一旺弱证据直接完成定性</x:v>
      </x:c>
      <x:c r="Y38" s="68" t="str">
        <x:v>特殊格局、从化候选及明确组合转M11/M14另审</x:v>
      </x:c>
      <x:c r="Z38" s="68" t="str">
        <x:v>不得由清纯直接判喜，也不得由混杂直接判忌</x:v>
      </x:c>
      <x:c r="AA38" s="84" t="str">
        <x:v>清纯喜忌分离</x:v>
      </x:c>
      <x:c r="AB38" s="84" t="str">
        <x:v>清纯度与喜忌价值必须分开：当“十神清纯度已完成判断”成立时，按本规则记录十神的有效功能；同时保留制化、承载和反向证据。</x:v>
      </x:c>
      <x:c r="AC38" s="82" t="str">
        <x:v>较高</x:v>
      </x:c>
      <x:c r="AD38" s="82" t="str">
        <x:v>现代综合</x:v>
      </x:c>
      <x:c r="AE38" s="68" t="str">
        <x:v>十神必须分开判断存在性、力量、清纯度、功能性与喜忌性；M10只形成结构层结论和候选，不越级替代M11—M18。</x:v>
      </x:c>
      <x:c r="AF38" s="68" t="str">
        <x:v>相关条件真实成立，且增强条件有效时，可按“清纯度与喜忌价值必须分开”记录对应功能。</x:v>
      </x:c>
      <x:c r="AG38" s="90" t="str">
        <x:v>仅见表面十神名称或数量，但“不得以十神名称、数量或单一旺弱证据直接完成定性”所述限制存在时，不得套用本规则。</x:v>
      </x:c>
      <x:c r="AH38" s="68" t="str">
        <x:v>https://zh.wikisource.org/wiki/%E6%B8%8A%E6%B5%B7%E5%AD%90%E5%B9%B3%E5%A4%A7%E5%85%A8 ; https://zh.wikisource.org/wiki/%E6%BB%B4%E5%A4%A9%E9%AB%93%E9%97%A1%E5%BE%AE</x:v>
      </x:c>
      <x:c r="AI38" s="82" t="str">
        <x:v>采用</x:v>
      </x:c>
      <x:c r="AJ38" s="82" t="str">
        <x:v>初审</x:v>
      </x:c>
      <x:c r="AK38" s="87" t="n">
        <x:v>46255</x:v>
      </x:c>
    </x:row>
    <x:row r="39">
      <x:c r="A39" s="72" t="str">
        <x:f>IF(OR(C39="",D39=""),"",B39&amp;"-"&amp;UPPER(C39)&amp;"-"&amp;TEXT(D39,"0000")&amp;"-"&amp;E39)</x:f>
        <x:v>M10-BIJIE-0033-V1.0</x:v>
      </x:c>
      <x:c r="B39" s="74" t="str">
        <x:v>M10</x:v>
      </x:c>
      <x:c r="C39" s="74" t="str">
        <x:v>BIJIE</x:v>
      </x:c>
      <x:c r="D39" s="215" t="n">
        <x:v>33</x:v>
      </x:c>
      <x:c r="E39" s="74" t="str">
        <x:v>V1.0</x:v>
      </x:c>
      <x:c r="F39" s="68" t="str">
        <x:v>比肩有效时首先提供同类扶身</x:v>
      </x:c>
      <x:c r="G39" s="82" t="str">
        <x:v>结构层</x:v>
      </x:c>
      <x:c r="H39" s="82" t="str">
        <x:v>比肩</x:v>
      </x:c>
      <x:c r="I39" s="82" t="str">
        <x:v>待定</x:v>
      </x:c>
      <x:c r="J39" s="82" t="str">
        <x:v>待定</x:v>
      </x:c>
      <x:c r="K39" s="82" t="str">
        <x:v>待定</x:v>
      </x:c>
      <x:c r="L39" s="82" t="str">
        <x:v>待定</x:v>
      </x:c>
      <x:c r="M39" s="68" t="str">
        <x:v>按M08核查</x:v>
      </x:c>
      <x:c r="N39" s="68" t="str">
        <x:v>按M06/M08核查</x:v>
      </x:c>
      <x:c r="O39" s="82" t="str">
        <x:v>正常发挥</x:v>
      </x:c>
      <x:c r="P39" s="68" t="str">
        <x:v>转M11/M14判断</x:v>
      </x:c>
      <x:c r="Q39" s="68" t="str">
        <x:v>直接增强日主同类承载与抗制泄耗能力</x:v>
      </x:c>
      <x:c r="R39" s="82" t="str">
        <x:v>待定</x:v>
      </x:c>
      <x:c r="S39" s="68" t="str">
        <x:v>比肩有效存在且未被实质制化</x:v>
      </x:c>
      <x:c r="T39" s="68" t="str">
        <x:v>M02十神映射、M08五行有效旺衰、M09日主旺衰已完成</x:v>
      </x:c>
      <x:c r="U39" s="68" t="str">
        <x:v>相关十神已由M02正确映射，并以M08有效力量为准</x:v>
      </x:c>
      <x:c r="V39" s="68" t="str">
        <x:v>得令、有根、透干、同党或生源形成独立有效证据</x:v>
      </x:c>
      <x:c r="W39" s="68" t="str">
        <x:v>失令、无根、被合绊、被制、改性或作用路径受阻</x:v>
      </x:c>
      <x:c r="X39" s="90" t="str">
        <x:v>不得以十神名称、数量或单一旺弱证据直接完成定性</x:v>
      </x:c>
      <x:c r="Y39" s="68" t="str">
        <x:v>特殊格局、从化候选及明确组合转M11/M14另审</x:v>
      </x:c>
      <x:c r="Z39" s="68" t="str">
        <x:v>不得直接推出吉凶、具体事件、亲属结果或最终喜忌</x:v>
      </x:c>
      <x:c r="AA39" s="84" t="str">
        <x:v>比肩扶身</x:v>
      </x:c>
      <x:c r="AB39" s="84" t="str">
        <x:v>比肩有效时首先提供同类扶身：当“比肩有效存在且未被实质制化”成立时，按本规则记录十神的有效功能；同时保留制化、承载和反向证据。</x:v>
      </x:c>
      <x:c r="AC39" s="82" t="str">
        <x:v>较高</x:v>
      </x:c>
      <x:c r="AD39" s="82" t="str">
        <x:v>现代综合</x:v>
      </x:c>
      <x:c r="AE39" s="68" t="str">
        <x:v>十神必须分开判断存在性、力量、清纯度、功能性与喜忌性；M10只形成结构层结论和候选，不越级替代M11—M18。</x:v>
      </x:c>
      <x:c r="AF39" s="68" t="str">
        <x:v>相关条件真实成立，且增强条件有效时，可按“比肩有效时首先提供同类扶身”记录对应功能。</x:v>
      </x:c>
      <x:c r="AG39" s="90" t="str">
        <x:v>仅见表面十神名称或数量，但“不得以十神名称、数量或单一旺弱证据直接完成定性”所述限制存在时，不得套用本规则。</x:v>
      </x:c>
      <x:c r="AH39" s="68" t="str">
        <x:v>https://zh.wikisource.org/wiki/%E6%B8%8A%E6%B5%B7%E5%AD%90%E5%B9%B3%E5%A4%A7%E5%85%A8 ; https://zh.wikisource.org/wiki/%E6%BB%B4%E5%A4%A9%E9%AB%93%E9%97%A1%E5%BE%AE</x:v>
      </x:c>
      <x:c r="AI39" s="82" t="str">
        <x:v>采用</x:v>
      </x:c>
      <x:c r="AJ39" s="82" t="str">
        <x:v>初审</x:v>
      </x:c>
      <x:c r="AK39" s="87" t="n">
        <x:v>46255</x:v>
      </x:c>
    </x:row>
    <x:row r="40">
      <x:c r="A40" s="72" t="str">
        <x:f>IF(OR(C40="",D40=""),"",B40&amp;"-"&amp;UPPER(C40)&amp;"-"&amp;TEXT(D40,"0000")&amp;"-"&amp;E40)</x:f>
        <x:v>M10-BIJIE-0034-V1.0</x:v>
      </x:c>
      <x:c r="B40" s="74" t="str">
        <x:v>M10</x:v>
      </x:c>
      <x:c r="C40" s="74" t="str">
        <x:v>BIJIE</x:v>
      </x:c>
      <x:c r="D40" s="215" t="n">
        <x:v>34</x:v>
      </x:c>
      <x:c r="E40" s="74" t="str">
        <x:v>V1.0</x:v>
      </x:c>
      <x:c r="F40" s="68" t="str">
        <x:v>劫财有效时同时具有扶身与分财双重功能</x:v>
      </x:c>
      <x:c r="G40" s="82" t="str">
        <x:v>结构层</x:v>
      </x:c>
      <x:c r="H40" s="82" t="str">
        <x:v>劫财</x:v>
      </x:c>
      <x:c r="I40" s="82" t="str">
        <x:v>待定</x:v>
      </x:c>
      <x:c r="J40" s="82" t="str">
        <x:v>待定</x:v>
      </x:c>
      <x:c r="K40" s="82" t="str">
        <x:v>待定</x:v>
      </x:c>
      <x:c r="L40" s="82" t="str">
        <x:v>待定</x:v>
      </x:c>
      <x:c r="M40" s="68" t="str">
        <x:v>按M08核查</x:v>
      </x:c>
      <x:c r="N40" s="68" t="str">
        <x:v>按M06/M08核查</x:v>
      </x:c>
      <x:c r="O40" s="82" t="str">
        <x:v>正常发挥</x:v>
      </x:c>
      <x:c r="P40" s="68" t="str">
        <x:v>转M11/M14判断</x:v>
      </x:c>
      <x:c r="Q40" s="68" t="str">
        <x:v>一方面扶身，另一方面参与对财星的竞争与制约</x:v>
      </x:c>
      <x:c r="R40" s="82" t="str">
        <x:v>待定</x:v>
      </x:c>
      <x:c r="S40" s="68" t="str">
        <x:v>劫财有效且财星也存在</x:v>
      </x:c>
      <x:c r="T40" s="68" t="str">
        <x:v>M02十神映射、M08五行有效旺衰、M09日主旺衰已完成</x:v>
      </x:c>
      <x:c r="U40" s="68" t="str">
        <x:v>相关十神已由M02正确映射，并以M08有效力量为准</x:v>
      </x:c>
      <x:c r="V40" s="68" t="str">
        <x:v>得令、有根、透干、同党或生源形成独立有效证据</x:v>
      </x:c>
      <x:c r="W40" s="68" t="str">
        <x:v>失令、无根、被合绊、被制、改性或作用路径受阻</x:v>
      </x:c>
      <x:c r="X40" s="90" t="str">
        <x:v>不得以十神名称、数量或单一旺弱证据直接完成定性</x:v>
      </x:c>
      <x:c r="Y40" s="68" t="str">
        <x:v>特殊格局、从化候选及明确组合转M11/M14另审</x:v>
      </x:c>
      <x:c r="Z40" s="68" t="str">
        <x:v>不得直接推出吉凶、具体事件、亲属结果或最终喜忌</x:v>
      </x:c>
      <x:c r="AA40" s="84" t="str">
        <x:v>劫财双重功能</x:v>
      </x:c>
      <x:c r="AB40" s="84" t="str">
        <x:v>劫财有效时同时具有扶身与分财双重功能：当“劫财有效且财星也存在”成立时，按本规则记录十神的有效功能；同时保留制化、承载和反向证据。</x:v>
      </x:c>
      <x:c r="AC40" s="82" t="str">
        <x:v>较高</x:v>
      </x:c>
      <x:c r="AD40" s="82" t="str">
        <x:v>现代综合</x:v>
      </x:c>
      <x:c r="AE40" s="68" t="str">
        <x:v>十神必须分开判断存在性、力量、清纯度、功能性与喜忌性；M10只形成结构层结论和候选，不越级替代M11—M18。</x:v>
      </x:c>
      <x:c r="AF40" s="68" t="str">
        <x:v>相关条件真实成立，且增强条件有效时，可按“劫财有效时同时具有扶身与分财双重功能”记录对应功能。</x:v>
      </x:c>
      <x:c r="AG40" s="90" t="str">
        <x:v>仅见表面十神名称或数量，但“不得以十神名称、数量或单一旺弱证据直接完成定性”所述限制存在时，不得套用本规则。</x:v>
      </x:c>
      <x:c r="AH40" s="68" t="str">
        <x:v>https://zh.wikisource.org/wiki/%E6%B8%8A%E6%B5%B7%E5%AD%90%E5%B9%B3%E5%A4%A7%E5%85%A8 ; https://zh.wikisource.org/wiki/%E6%BB%B4%E5%A4%A9%E9%AB%93%E9%97%A1%E5%BE%AE</x:v>
      </x:c>
      <x:c r="AI40" s="82" t="str">
        <x:v>采用</x:v>
      </x:c>
      <x:c r="AJ40" s="82" t="str">
        <x:v>初审</x:v>
      </x:c>
      <x:c r="AK40" s="87" t="n">
        <x:v>46255</x:v>
      </x:c>
    </x:row>
    <x:row r="41">
      <x:c r="A41" s="72" t="str">
        <x:f>IF(OR(C41="",D41=""),"",B41&amp;"-"&amp;UPPER(C41)&amp;"-"&amp;TEXT(D41,"0000")&amp;"-"&amp;E41)</x:f>
        <x:v>M10-BIJIE-0035-V1.0</x:v>
      </x:c>
      <x:c r="B41" s="74" t="str">
        <x:v>M10</x:v>
      </x:c>
      <x:c r="C41" s="74" t="str">
        <x:v>BIJIE</x:v>
      </x:c>
      <x:c r="D41" s="215" t="n">
        <x:v>35</x:v>
      </x:c>
      <x:c r="E41" s="74" t="str">
        <x:v>V1.0</x:v>
      </x:c>
      <x:c r="F41" s="68" t="str">
        <x:v>身弱时有效比肩通常属于有利候选</x:v>
      </x:c>
      <x:c r="G41" s="82" t="str">
        <x:v>结构层</x:v>
      </x:c>
      <x:c r="H41" s="82" t="str">
        <x:v>比肩</x:v>
      </x:c>
      <x:c r="I41" s="82" t="str">
        <x:v>待定</x:v>
      </x:c>
      <x:c r="J41" s="82" t="str">
        <x:v>待定</x:v>
      </x:c>
      <x:c r="K41" s="82" t="str">
        <x:v>待定</x:v>
      </x:c>
      <x:c r="L41" s="82" t="str">
        <x:v>待定</x:v>
      </x:c>
      <x:c r="M41" s="68" t="str">
        <x:v>按M08核查</x:v>
      </x:c>
      <x:c r="N41" s="68" t="str">
        <x:v>按M06/M08核查</x:v>
      </x:c>
      <x:c r="O41" s="82" t="str">
        <x:v>正常发挥</x:v>
      </x:c>
      <x:c r="P41" s="68" t="str">
        <x:v>转M11/M14判断</x:v>
      </x:c>
      <x:c r="Q41" s="68" t="str">
        <x:v>补充承载、分担官杀与财食负荷</x:v>
      </x:c>
      <x:c r="R41" s="82" t="str">
        <x:v>条件性喜神</x:v>
      </x:c>
      <x:c r="S41" s="68" t="str">
        <x:v>M09日主弱或中和偏弱，且比肩有效</x:v>
      </x:c>
      <x:c r="T41" s="68" t="str">
        <x:v>M02十神映射、M08五行有效旺衰、M09日主旺衰已完成</x:v>
      </x:c>
      <x:c r="U41" s="68" t="str">
        <x:v>相关十神已由M02正确映射，并以M08有效力量为准</x:v>
      </x:c>
      <x:c r="V41" s="68" t="str">
        <x:v>得令、有根、透干、同党或生源形成独立有效证据</x:v>
      </x:c>
      <x:c r="W41" s="68" t="str">
        <x:v>失令、无根、被合绊、被制、改性或作用路径受阻</x:v>
      </x:c>
      <x:c r="X41" s="90" t="str">
        <x:v>不得以十神名称、数量或单一旺弱证据直接完成定性</x:v>
      </x:c>
      <x:c r="Y41" s="68" t="str">
        <x:v>特殊格局、从化候选及明确组合转M11/M14另审</x:v>
      </x:c>
      <x:c r="Z41" s="68" t="str">
        <x:v>不得直接推出吉凶、具体事件、亲属结果或最终喜忌</x:v>
      </x:c>
      <x:c r="AA41" s="84" t="str">
        <x:v>身弱比肩候选</x:v>
      </x:c>
      <x:c r="AB41" s="84" t="str">
        <x:v>身弱时有效比肩通常属于有利候选：当“M09日主弱或中和偏弱，且比肩有效”成立时，按本规则记录十神的有效功能；同时保留制化、承载和反向证据。</x:v>
      </x:c>
      <x:c r="AC41" s="82" t="str">
        <x:v>较高</x:v>
      </x:c>
      <x:c r="AD41" s="82" t="str">
        <x:v>现代综合</x:v>
      </x:c>
      <x:c r="AE41" s="68" t="str">
        <x:v>十神必须分开判断存在性、力量、清纯度、功能性与喜忌性；M10只形成结构层结论和候选，不越级替代M11—M18。</x:v>
      </x:c>
      <x:c r="AF41" s="68" t="str">
        <x:v>相关条件真实成立，且增强条件有效时，可按“身弱时有效比肩通常属于有利候选”记录对应功能。</x:v>
      </x:c>
      <x:c r="AG41" s="90" t="str">
        <x:v>仅见表面十神名称或数量，但“不得以十神名称、数量或单一旺弱证据直接完成定性”所述限制存在时，不得套用本规则。</x:v>
      </x:c>
      <x:c r="AH41" s="68" t="str">
        <x:v>https://zh.wikisource.org/wiki/%E6%B8%8A%E6%B5%B7%E5%AD%90%E5%B9%B3%E5%A4%A7%E5%85%A8 ; https://zh.wikisource.org/wiki/%E6%BB%B4%E5%A4%A9%E9%AB%93%E9%97%A1%E5%BE%AE</x:v>
      </x:c>
      <x:c r="AI41" s="82" t="str">
        <x:v>采用</x:v>
      </x:c>
      <x:c r="AJ41" s="82" t="str">
        <x:v>初审</x:v>
      </x:c>
      <x:c r="AK41" s="87" t="n">
        <x:v>46255</x:v>
      </x:c>
    </x:row>
    <x:row r="42">
      <x:c r="A42" s="72" t="str">
        <x:f>IF(OR(C42="",D42=""),"",B42&amp;"-"&amp;UPPER(C42)&amp;"-"&amp;TEXT(D42,"0000")&amp;"-"&amp;E42)</x:f>
        <x:v>M10-BIJIE-0036-V1.0</x:v>
      </x:c>
      <x:c r="B42" s="74" t="str">
        <x:v>M10</x:v>
      </x:c>
      <x:c r="C42" s="74" t="str">
        <x:v>BIJIE</x:v>
      </x:c>
      <x:c r="D42" s="215" t="n">
        <x:v>36</x:v>
      </x:c>
      <x:c r="E42" s="74" t="str">
        <x:v>V1.0</x:v>
      </x:c>
      <x:c r="F42" s="68" t="str">
        <x:v>身旺时劫财继续增强可能成为负荷候选</x:v>
      </x:c>
      <x:c r="G42" s="82" t="str">
        <x:v>结构层</x:v>
      </x:c>
      <x:c r="H42" s="82" t="str">
        <x:v>劫财</x:v>
      </x:c>
      <x:c r="I42" s="82" t="str">
        <x:v>待定</x:v>
      </x:c>
      <x:c r="J42" s="82" t="str">
        <x:v>待定</x:v>
      </x:c>
      <x:c r="K42" s="82" t="str">
        <x:v>待定</x:v>
      </x:c>
      <x:c r="L42" s="82" t="str">
        <x:v>待定</x:v>
      </x:c>
      <x:c r="M42" s="68" t="str">
        <x:v>按M08核查</x:v>
      </x:c>
      <x:c r="N42" s="68" t="str">
        <x:v>按M06/M08核查</x:v>
      </x:c>
      <x:c r="O42" s="82" t="str">
        <x:v>过度</x:v>
      </x:c>
      <x:c r="P42" s="68" t="str">
        <x:v>转M11/M14判断</x:v>
      </x:c>
      <x:c r="Q42" s="68" t="str">
        <x:v>进一步加强身势并可能制财</x:v>
      </x:c>
      <x:c r="R42" s="82" t="str">
        <x:v>条件性忌神</x:v>
      </x:c>
      <x:c r="S42" s="68" t="str">
        <x:v>M09日主旺或极旺，劫财又有力</x:v>
      </x:c>
      <x:c r="T42" s="68" t="str">
        <x:v>M02十神映射、M08五行有效旺衰、M09日主旺衰已完成</x:v>
      </x:c>
      <x:c r="U42" s="68" t="str">
        <x:v>相关十神已由M02正确映射，并以M08有效力量为准</x:v>
      </x:c>
      <x:c r="V42" s="68" t="str">
        <x:v>得令、有根、透干、同党或生源形成独立有效证据</x:v>
      </x:c>
      <x:c r="W42" s="68" t="str">
        <x:v>失令、无根、被合绊、被制、改性或作用路径受阻</x:v>
      </x:c>
      <x:c r="X42" s="90" t="str">
        <x:v>不得以十神名称、数量或单一旺弱证据直接完成定性</x:v>
      </x:c>
      <x:c r="Y42" s="68" t="str">
        <x:v>特殊格局、从化候选及明确组合转M11/M14另审</x:v>
      </x:c>
      <x:c r="Z42" s="68" t="str">
        <x:v>不得直接推出吉凶、具体事件、亲属结果或最终喜忌</x:v>
      </x:c>
      <x:c r="AA42" s="84" t="str">
        <x:v>身旺劫财过度</x:v>
      </x:c>
      <x:c r="AB42" s="84" t="str">
        <x:v>身旺时劫财继续增强可能成为负荷候选：当“M09日主旺或极旺，劫财又有力”成立时，按本规则记录十神的有效功能；同时保留制化、承载和反向证据。</x:v>
      </x:c>
      <x:c r="AC42" s="82" t="str">
        <x:v>较高</x:v>
      </x:c>
      <x:c r="AD42" s="82" t="str">
        <x:v>现代综合</x:v>
      </x:c>
      <x:c r="AE42" s="68" t="str">
        <x:v>十神必须分开判断存在性、力量、清纯度、功能性与喜忌性；M10只形成结构层结论和候选，不越级替代M11—M18。</x:v>
      </x:c>
      <x:c r="AF42" s="68" t="str">
        <x:v>相关条件真实成立，且增强条件有效时，可按“身旺时劫财继续增强可能成为负荷候选”记录对应功能。</x:v>
      </x:c>
      <x:c r="AG42" s="90" t="str">
        <x:v>仅见表面十神名称或数量，但“不得以十神名称、数量或单一旺弱证据直接完成定性”所述限制存在时，不得套用本规则。</x:v>
      </x:c>
      <x:c r="AH42" s="68" t="str">
        <x:v>https://zh.wikisource.org/wiki/%E6%B8%8A%E6%B5%B7%E5%AD%90%E5%B9%B3%E5%A4%A7%E5%85%A8 ; https://zh.wikisource.org/wiki/%E6%BB%B4%E5%A4%A9%E9%AB%93%E9%97%A1%E5%BE%AE</x:v>
      </x:c>
      <x:c r="AI42" s="82" t="str">
        <x:v>采用</x:v>
      </x:c>
      <x:c r="AJ42" s="82" t="str">
        <x:v>初审</x:v>
      </x:c>
      <x:c r="AK42" s="87" t="n">
        <x:v>46255</x:v>
      </x:c>
    </x:row>
    <x:row r="43">
      <x:c r="A43" s="72" t="str">
        <x:f>IF(OR(C43="",D43=""),"",B43&amp;"-"&amp;UPPER(C43)&amp;"-"&amp;TEXT(D43,"0000")&amp;"-"&amp;E43)</x:f>
        <x:v>M10-BIJIE-0037-V1.0</x:v>
      </x:c>
      <x:c r="B43" s="74" t="str">
        <x:v>M10</x:v>
      </x:c>
      <x:c r="C43" s="74" t="str">
        <x:v>BIJIE</x:v>
      </x:c>
      <x:c r="D43" s="215" t="n">
        <x:v>37</x:v>
      </x:c>
      <x:c r="E43" s="74" t="str">
        <x:v>V1.0</x:v>
      </x:c>
      <x:c r="F43" s="68" t="str">
        <x:v>比肩可帮助承受有效官杀制身</x:v>
      </x:c>
      <x:c r="G43" s="82" t="str">
        <x:v>结构层</x:v>
      </x:c>
      <x:c r="H43" s="82" t="str">
        <x:v>比肩</x:v>
      </x:c>
      <x:c r="I43" s="82" t="str">
        <x:v>待定</x:v>
      </x:c>
      <x:c r="J43" s="82" t="str">
        <x:v>待定</x:v>
      </x:c>
      <x:c r="K43" s="82" t="str">
        <x:v>待定</x:v>
      </x:c>
      <x:c r="L43" s="82" t="str">
        <x:v>待定</x:v>
      </x:c>
      <x:c r="M43" s="68" t="str">
        <x:v>按M08核查</x:v>
      </x:c>
      <x:c r="N43" s="68" t="str">
        <x:v>按M06/M08核查</x:v>
      </x:c>
      <x:c r="O43" s="82" t="str">
        <x:v>待定</x:v>
      </x:c>
      <x:c r="P43" s="68" t="str">
        <x:v>转M11/M14判断</x:v>
      </x:c>
      <x:c r="Q43" s="68" t="str">
        <x:v>增强日主抗制能力，但不等于已经化解官杀</x:v>
      </x:c>
      <x:c r="R43" s="82" t="str">
        <x:v>待定</x:v>
      </x:c>
      <x:c r="S43" s="68" t="str">
        <x:v>日主承载不足且官杀有力，比肩自身有效</x:v>
      </x:c>
      <x:c r="T43" s="68" t="str">
        <x:v>M02十神映射、M08五行有效旺衰、M09日主旺衰已完成</x:v>
      </x:c>
      <x:c r="U43" s="68" t="str">
        <x:v>相关十神已由M02正确映射，并以M08有效力量为准</x:v>
      </x:c>
      <x:c r="V43" s="68" t="str">
        <x:v>得令、有根、透干、同党或生源形成独立有效证据</x:v>
      </x:c>
      <x:c r="W43" s="68" t="str">
        <x:v>失令、无根、被合绊、被制、改性或作用路径受阻</x:v>
      </x:c>
      <x:c r="X43" s="90" t="str">
        <x:v>不得以十神名称、数量或单一旺弱证据直接完成定性</x:v>
      </x:c>
      <x:c r="Y43" s="68" t="str">
        <x:v>特殊格局、从化候选及明确组合转M11/M14另审</x:v>
      </x:c>
      <x:c r="Z43" s="68" t="str">
        <x:v>不得直接推出吉凶、具体事件、亲属结果或最终喜忌</x:v>
      </x:c>
      <x:c r="AA43" s="84" t="str">
        <x:v>比肩抗杀</x:v>
      </x:c>
      <x:c r="AB43" s="84" t="str">
        <x:v>比肩可帮助承受有效官杀制身：当“日主承载不足且官杀有力，比肩自身有效”成立时，按本规则记录十神的有效功能；同时保留制化、承载和反向证据。</x:v>
      </x:c>
      <x:c r="AC43" s="82" t="str">
        <x:v>较高</x:v>
      </x:c>
      <x:c r="AD43" s="82" t="str">
        <x:v>现代综合</x:v>
      </x:c>
      <x:c r="AE43" s="68" t="str">
        <x:v>十神必须分开判断存在性、力量、清纯度、功能性与喜忌性；M10只形成结构层结论和候选，不越级替代M11—M18。</x:v>
      </x:c>
      <x:c r="AF43" s="68" t="str">
        <x:v>相关条件真实成立，且增强条件有效时，可按“比肩可帮助承受有效官杀制身”记录对应功能。</x:v>
      </x:c>
      <x:c r="AG43" s="90" t="str">
        <x:v>仅见表面十神名称或数量，但“不得以十神名称、数量或单一旺弱证据直接完成定性”所述限制存在时，不得套用本规则。</x:v>
      </x:c>
      <x:c r="AH43" s="68" t="str">
        <x:v>https://zh.wikisource.org/wiki/%E6%B8%8A%E6%B5%B7%E5%AD%90%E5%B9%B3%E5%A4%A7%E5%85%A8 ; https://zh.wikisource.org/wiki/%E6%BB%B4%E5%A4%A9%E9%AB%93%E9%97%A1%E5%BE%AE</x:v>
      </x:c>
      <x:c r="AI43" s="82" t="str">
        <x:v>采用</x:v>
      </x:c>
      <x:c r="AJ43" s="82" t="str">
        <x:v>初审</x:v>
      </x:c>
      <x:c r="AK43" s="87" t="n">
        <x:v>46255</x:v>
      </x:c>
    </x:row>
    <x:row r="44">
      <x:c r="A44" s="72" t="str">
        <x:f>IF(OR(C44="",D44=""),"",B44&amp;"-"&amp;UPPER(C44)&amp;"-"&amp;TEXT(D44,"0000")&amp;"-"&amp;E44)</x:f>
        <x:v>M10-BIJIE-0038-V1.0</x:v>
      </x:c>
      <x:c r="B44" s="74" t="str">
        <x:v>M10</x:v>
      </x:c>
      <x:c r="C44" s="74" t="str">
        <x:v>BIJIE</x:v>
      </x:c>
      <x:c r="D44" s="215" t="n">
        <x:v>38</x:v>
      </x:c>
      <x:c r="E44" s="74" t="str">
        <x:v>V1.0</x:v>
      </x:c>
      <x:c r="F44" s="68" t="str">
        <x:v>劫财制财必须以双方有效力量匹配为条件</x:v>
      </x:c>
      <x:c r="G44" s="82" t="str">
        <x:v>结构层</x:v>
      </x:c>
      <x:c r="H44" s="82" t="str">
        <x:v>劫财</x:v>
      </x:c>
      <x:c r="I44" s="82" t="str">
        <x:v>待定</x:v>
      </x:c>
      <x:c r="J44" s="82" t="str">
        <x:v>待定</x:v>
      </x:c>
      <x:c r="K44" s="82" t="str">
        <x:v>待定</x:v>
      </x:c>
      <x:c r="L44" s="82" t="str">
        <x:v>待定</x:v>
      </x:c>
      <x:c r="M44" s="68" t="str">
        <x:v>按M08核查</x:v>
      </x:c>
      <x:c r="N44" s="68" t="str">
        <x:v>与财星形成克制</x:v>
      </x:c>
      <x:c r="O44" s="82" t="str">
        <x:v>待定</x:v>
      </x:c>
      <x:c r="P44" s="68" t="str">
        <x:v>可成为比劫制财类局部结构，转M11</x:v>
      </x:c>
      <x:c r="Q44" s="68" t="str">
        <x:v>需结合M09日主承载判断</x:v>
      </x:c>
      <x:c r="R44" s="82" t="str">
        <x:v>待定</x:v>
      </x:c>
      <x:c r="S44" s="68" t="str">
        <x:v>劫财与财星直接形成有效克制关系</x:v>
      </x:c>
      <x:c r="T44" s="68" t="str">
        <x:v>M02十神映射、M08五行有效旺衰、M09日主旺衰已完成</x:v>
      </x:c>
      <x:c r="U44" s="68" t="str">
        <x:v>相关十神已由M02正确映射，并以M08有效力量为准</x:v>
      </x:c>
      <x:c r="V44" s="68" t="str">
        <x:v>得令、有根、透干、同党或生源形成独立有效证据</x:v>
      </x:c>
      <x:c r="W44" s="68" t="str">
        <x:v>失令、无根、被合绊、被制、改性或作用路径受阻</x:v>
      </x:c>
      <x:c r="X44" s="90" t="str">
        <x:v>不得以十神名称、数量或单一旺弱证据直接完成定性</x:v>
      </x:c>
      <x:c r="Y44" s="68" t="str">
        <x:v>特殊格局、从化候选及明确组合转M11/M14另审</x:v>
      </x:c>
      <x:c r="Z44" s="68" t="str">
        <x:v>不得直接推出吉凶、具体事件、亲属结果或最终喜忌</x:v>
      </x:c>
      <x:c r="AA44" s="84" t="str">
        <x:v>劫财制财候选</x:v>
      </x:c>
      <x:c r="AB44" s="84" t="str">
        <x:v>劫财制财必须以双方有效力量匹配为条件：当“劫财与财星直接形成有效克制关系”成立时，按本规则记录十神的有效功能；同时保留制化、承载和反向证据。</x:v>
      </x:c>
      <x:c r="AC44" s="82" t="str">
        <x:v>较高</x:v>
      </x:c>
      <x:c r="AD44" s="82" t="str">
        <x:v>现代综合</x:v>
      </x:c>
      <x:c r="AE44" s="68" t="str">
        <x:v>十神必须分开判断存在性、力量、清纯度、功能性与喜忌性；M10只形成结构层结论和候选，不越级替代M11—M18。</x:v>
      </x:c>
      <x:c r="AF44" s="68" t="str">
        <x:v>相关条件真实成立，且增强条件有效时，可按“劫财制财必须以双方有效力量匹配为条件”记录对应功能。</x:v>
      </x:c>
      <x:c r="AG44" s="90" t="str">
        <x:v>仅见表面十神名称或数量，但“不得以十神名称、数量或单一旺弱证据直接完成定性”所述限制存在时，不得套用本规则。</x:v>
      </x:c>
      <x:c r="AH44" s="68" t="str">
        <x:v>https://zh.wikisource.org/wiki/%E6%B8%8A%E6%B5%B7%E5%AD%90%E5%B9%B3%E5%A4%A7%E5%85%A8 ; https://zh.wikisource.org/wiki/%E6%BB%B4%E5%A4%A9%E9%AB%93%E9%97%A1%E5%BE%AE</x:v>
      </x:c>
      <x:c r="AI44" s="82" t="str">
        <x:v>采用</x:v>
      </x:c>
      <x:c r="AJ44" s="82" t="str">
        <x:v>初审</x:v>
      </x:c>
      <x:c r="AK44" s="87" t="n">
        <x:v>46255</x:v>
      </x:c>
    </x:row>
    <x:row r="45">
      <x:c r="A45" s="72" t="str">
        <x:f>IF(OR(C45="",D45=""),"",B45&amp;"-"&amp;UPPER(C45)&amp;"-"&amp;TEXT(D45,"0000")&amp;"-"&amp;E45)</x:f>
        <x:v>M10-BIJIE-0039-V1.0</x:v>
      </x:c>
      <x:c r="B45" s="74" t="str">
        <x:v>M10</x:v>
      </x:c>
      <x:c r="C45" s="74" t="str">
        <x:v>BIJIE</x:v>
      </x:c>
      <x:c r="D45" s="215" t="n">
        <x:v>39</x:v>
      </x:c>
      <x:c r="E45" s="74" t="str">
        <x:v>V1.0</x:v>
      </x:c>
      <x:c r="F45" s="68" t="str">
        <x:v>比肩被官杀强制时扶身功能会受限</x:v>
      </x:c>
      <x:c r="G45" s="82" t="str">
        <x:v>结构层</x:v>
      </x:c>
      <x:c r="H45" s="82" t="str">
        <x:v>比肩</x:v>
      </x:c>
      <x:c r="I45" s="82" t="str">
        <x:v>待定</x:v>
      </x:c>
      <x:c r="J45" s="82" t="str">
        <x:v>待定</x:v>
      </x:c>
      <x:c r="K45" s="82" t="str">
        <x:v>待定</x:v>
      </x:c>
      <x:c r="L45" s="82" t="str">
        <x:v>待定</x:v>
      </x:c>
      <x:c r="M45" s="68" t="str">
        <x:v>按M08核查</x:v>
      </x:c>
      <x:c r="N45" s="68" t="str">
        <x:v>受官杀有效克制</x:v>
      </x:c>
      <x:c r="O45" s="82" t="str">
        <x:v>受限</x:v>
      </x:c>
      <x:c r="P45" s="68" t="str">
        <x:v>转M11/M14判断</x:v>
      </x:c>
      <x:c r="Q45" s="68" t="str">
        <x:v>可调用扶身能力下降</x:v>
      </x:c>
      <x:c r="R45" s="82" t="str">
        <x:v>待定</x:v>
      </x:c>
      <x:c r="S45" s="68" t="str">
        <x:v>比肩虽存在，但官杀对其形成实质强制</x:v>
      </x:c>
      <x:c r="T45" s="68" t="str">
        <x:v>M02十神映射、M08五行有效旺衰、M09日主旺衰已完成</x:v>
      </x:c>
      <x:c r="U45" s="68" t="str">
        <x:v>相关十神已由M02正确映射，并以M08有效力量为准</x:v>
      </x:c>
      <x:c r="V45" s="68" t="str">
        <x:v>得令、有根、透干、同党或生源形成独立有效证据</x:v>
      </x:c>
      <x:c r="W45" s="68" t="str">
        <x:v>失令、无根、被合绊、被制、改性或作用路径受阻</x:v>
      </x:c>
      <x:c r="X45" s="90" t="str">
        <x:v>不得以十神名称、数量或单一旺弱证据直接完成定性</x:v>
      </x:c>
      <x:c r="Y45" s="68" t="str">
        <x:v>特殊格局、从化候选及明确组合转M11/M14另审</x:v>
      </x:c>
      <x:c r="Z45" s="68" t="str">
        <x:v>不得直接推出吉凶、具体事件、亲属结果或最终喜忌</x:v>
      </x:c>
      <x:c r="AA45" s="84" t="str">
        <x:v>比肩功能受限</x:v>
      </x:c>
      <x:c r="AB45" s="84" t="str">
        <x:v>比肩被官杀强制时扶身功能会受限：当“比肩虽存在，但官杀对其形成实质强制”成立时，按本规则记录十神的有效功能；同时保留制化、承载和反向证据。</x:v>
      </x:c>
      <x:c r="AC45" s="82" t="str">
        <x:v>较高</x:v>
      </x:c>
      <x:c r="AD45" s="82" t="str">
        <x:v>现代综合</x:v>
      </x:c>
      <x:c r="AE45" s="68" t="str">
        <x:v>十神必须分开判断存在性、力量、清纯度、功能性与喜忌性；M10只形成结构层结论和候选，不越级替代M11—M18。</x:v>
      </x:c>
      <x:c r="AF45" s="68" t="str">
        <x:v>相关条件真实成立，且增强条件有效时，可按“比肩被官杀强制时扶身功能会受限”记录对应功能。</x:v>
      </x:c>
      <x:c r="AG45" s="90" t="str">
        <x:v>仅见表面十神名称或数量，但“不得以十神名称、数量或单一旺弱证据直接完成定性”所述限制存在时，不得套用本规则。</x:v>
      </x:c>
      <x:c r="AH45" s="68" t="str">
        <x:v>https://zh.wikisource.org/wiki/%E6%B8%8A%E6%B5%B7%E5%AD%90%E5%B9%B3%E5%A4%A7%E5%85%A8 ; https://zh.wikisource.org/wiki/%E6%BB%B4%E5%A4%A9%E9%AB%93%E9%97%A1%E5%BE%AE</x:v>
      </x:c>
      <x:c r="AI45" s="82" t="str">
        <x:v>采用</x:v>
      </x:c>
      <x:c r="AJ45" s="82" t="str">
        <x:v>初审</x:v>
      </x:c>
      <x:c r="AK45" s="87" t="n">
        <x:v>46255</x:v>
      </x:c>
    </x:row>
    <x:row r="46">
      <x:c r="A46" s="72" t="str">
        <x:f>IF(OR(C46="",D46=""),"",B46&amp;"-"&amp;UPPER(C46)&amp;"-"&amp;TEXT(D46,"0000")&amp;"-"&amp;E46)</x:f>
        <x:v>M10-BIJIE-0040-V1.0</x:v>
      </x:c>
      <x:c r="B46" s="74" t="str">
        <x:v>M10</x:v>
      </x:c>
      <x:c r="C46" s="74" t="str">
        <x:v>BIJIE</x:v>
      </x:c>
      <x:c r="D46" s="215" t="n">
        <x:v>40</x:v>
      </x:c>
      <x:c r="E46" s="74" t="str">
        <x:v>V1.0</x:v>
      </x:c>
      <x:c r="F46" s="68" t="str">
        <x:v>比劫集团成势时应作为整体扶身集团评估</x:v>
      </x:c>
      <x:c r="G46" s="82" t="str">
        <x:v>结构层</x:v>
      </x:c>
      <x:c r="H46" s="82" t="str">
        <x:v>劫财</x:v>
      </x:c>
      <x:c r="I46" s="82" t="str">
        <x:v>多处出现</x:v>
      </x:c>
      <x:c r="J46" s="82" t="str">
        <x:v>待定</x:v>
      </x:c>
      <x:c r="K46" s="82" t="str">
        <x:v>旺</x:v>
      </x:c>
      <x:c r="L46" s="82" t="str">
        <x:v>待定</x:v>
      </x:c>
      <x:c r="M46" s="68" t="str">
        <x:v>按M08核查</x:v>
      </x:c>
      <x:c r="N46" s="68" t="str">
        <x:v>按M06/M08核查</x:v>
      </x:c>
      <x:c r="O46" s="82" t="str">
        <x:v>正常发挥</x:v>
      </x:c>
      <x:c r="P46" s="68" t="str">
        <x:v>转M11/M14判断</x:v>
      </x:c>
      <x:c r="Q46" s="68" t="str">
        <x:v>显著提高扶身侧净优势</x:v>
      </x:c>
      <x:c r="R46" s="82" t="str">
        <x:v>待定</x:v>
      </x:c>
      <x:c r="S46" s="68" t="str">
        <x:v>比肩劫财多节点有效并形成同类集团</x:v>
      </x:c>
      <x:c r="T46" s="68" t="str">
        <x:v>M02十神映射、M08五行有效旺衰、M09日主旺衰已完成</x:v>
      </x:c>
      <x:c r="U46" s="68" t="str">
        <x:v>相关十神已由M02正确映射，并以M08有效力量为准</x:v>
      </x:c>
      <x:c r="V46" s="68" t="str">
        <x:v>得令、有根、透干、同党或生源形成独立有效证据</x:v>
      </x:c>
      <x:c r="W46" s="68" t="str">
        <x:v>失令、无根、被合绊、被制、改性或作用路径受阻</x:v>
      </x:c>
      <x:c r="X46" s="90" t="str">
        <x:v>不得以十神名称、数量或单一旺弱证据直接完成定性</x:v>
      </x:c>
      <x:c r="Y46" s="68" t="str">
        <x:v>特殊格局、从化候选及明确组合转M11/M14另审</x:v>
      </x:c>
      <x:c r="Z46" s="68" t="str">
        <x:v>不得直接推出吉凶、具体事件、亲属结果或最终喜忌</x:v>
      </x:c>
      <x:c r="AA46" s="84" t="str">
        <x:v>比劫集团成势</x:v>
      </x:c>
      <x:c r="AB46" s="84" t="str">
        <x:v>比劫集团成势时应作为整体扶身集团评估：当“比肩劫财多节点有效并形成同类集团”成立时，按本规则记录十神的有效功能；同时保留制化、承载和反向证据。</x:v>
      </x:c>
      <x:c r="AC46" s="82" t="str">
        <x:v>较高</x:v>
      </x:c>
      <x:c r="AD46" s="82" t="str">
        <x:v>现代综合</x:v>
      </x:c>
      <x:c r="AE46" s="68" t="str">
        <x:v>十神必须分开判断存在性、力量、清纯度、功能性与喜忌性；M10只形成结构层结论和候选，不越级替代M11—M18。</x:v>
      </x:c>
      <x:c r="AF46" s="68" t="str">
        <x:v>相关条件真实成立，且增强条件有效时，可按“比劫集团成势时应作为整体扶身集团评估”记录对应功能。</x:v>
      </x:c>
      <x:c r="AG46" s="90" t="str">
        <x:v>仅见表面十神名称或数量，但“不得以十神名称、数量或单一旺弱证据直接完成定性”所述限制存在时，不得套用本规则。</x:v>
      </x:c>
      <x:c r="AH46" s="68" t="str">
        <x:v>https://zh.wikisource.org/wiki/%E6%B8%8A%E6%B5%B7%E5%AD%90%E5%B9%B3%E5%A4%A7%E5%85%A8 ; https://zh.wikisource.org/wiki/%E6%BB%B4%E5%A4%A9%E9%AB%93%E9%97%A1%E5%BE%AE</x:v>
      </x:c>
      <x:c r="AI46" s="82" t="str">
        <x:v>采用</x:v>
      </x:c>
      <x:c r="AJ46" s="82" t="str">
        <x:v>初审</x:v>
      </x:c>
      <x:c r="AK46" s="87" t="n">
        <x:v>46255</x:v>
      </x:c>
    </x:row>
    <x:row r="47">
      <x:c r="A47" s="72" t="str">
        <x:f>IF(OR(C47="",D47=""),"",B47&amp;"-"&amp;UPPER(C47)&amp;"-"&amp;TEXT(D47,"0000")&amp;"-"&amp;E47)</x:f>
        <x:v>M10-BIJIE-0041-V1.0</x:v>
      </x:c>
      <x:c r="B47" s="74" t="str">
        <x:v>M10</x:v>
      </x:c>
      <x:c r="C47" s="74" t="str">
        <x:v>BIJIE</x:v>
      </x:c>
      <x:c r="D47" s="215" t="n">
        <x:v>41</x:v>
      </x:c>
      <x:c r="E47" s="74" t="str">
        <x:v>V1.0</x:v>
      </x:c>
      <x:c r="F47" s="68" t="str">
        <x:v>比劫过旺可阻塞日主向食伤财星的输出</x:v>
      </x:c>
      <x:c r="G47" s="82" t="str">
        <x:v>结构层</x:v>
      </x:c>
      <x:c r="H47" s="82" t="str">
        <x:v>比肩</x:v>
      </x:c>
      <x:c r="I47" s="82" t="str">
        <x:v>待定</x:v>
      </x:c>
      <x:c r="J47" s="82" t="str">
        <x:v>待定</x:v>
      </x:c>
      <x:c r="K47" s="82" t="str">
        <x:v>待定</x:v>
      </x:c>
      <x:c r="L47" s="82" t="str">
        <x:v>待定</x:v>
      </x:c>
      <x:c r="M47" s="68" t="str">
        <x:v>按M08核查</x:v>
      </x:c>
      <x:c r="N47" s="68" t="str">
        <x:v>按M06/M08核查</x:v>
      </x:c>
      <x:c r="O47" s="82" t="str">
        <x:v>过度</x:v>
      </x:c>
      <x:c r="P47" s="68" t="str">
        <x:v>转M11/M14判断</x:v>
      </x:c>
      <x:c r="Q47" s="68" t="str">
        <x:v>同类聚集但输出不足，可能形成壅塞</x:v>
      </x:c>
      <x:c r="R47" s="82" t="str">
        <x:v>条件性忌神</x:v>
      </x:c>
      <x:c r="S47" s="68" t="str">
        <x:v>比劫明显过旺，而食伤财星通道偏弱</x:v>
      </x:c>
      <x:c r="T47" s="68" t="str">
        <x:v>M02十神映射、M08五行有效旺衰、M09日主旺衰已完成</x:v>
      </x:c>
      <x:c r="U47" s="68" t="str">
        <x:v>相关十神已由M02正确映射，并以M08有效力量为准</x:v>
      </x:c>
      <x:c r="V47" s="68" t="str">
        <x:v>得令、有根、透干、同党或生源形成独立有效证据</x:v>
      </x:c>
      <x:c r="W47" s="68" t="str">
        <x:v>失令、无根、被合绊、被制、改性或作用路径受阻</x:v>
      </x:c>
      <x:c r="X47" s="90" t="str">
        <x:v>不得以十神名称、数量或单一旺弱证据直接完成定性</x:v>
      </x:c>
      <x:c r="Y47" s="68" t="str">
        <x:v>特殊格局、从化候选及明确组合转M11/M14另审</x:v>
      </x:c>
      <x:c r="Z47" s="68" t="str">
        <x:v>不得直接推出吉凶、具体事件、亲属结果或最终喜忌</x:v>
      </x:c>
      <x:c r="AA47" s="84" t="str">
        <x:v>比劫壅塞候选</x:v>
      </x:c>
      <x:c r="AB47" s="84" t="str">
        <x:v>比劫过旺可阻塞日主向食伤财星的输出：当“比劫明显过旺，而食伤财星通道偏弱”成立时，按本规则记录十神的有效功能；同时保留制化、承载和反向证据。</x:v>
      </x:c>
      <x:c r="AC47" s="82" t="str">
        <x:v>较高</x:v>
      </x:c>
      <x:c r="AD47" s="82" t="str">
        <x:v>现代综合</x:v>
      </x:c>
      <x:c r="AE47" s="68" t="str">
        <x:v>十神必须分开判断存在性、力量、清纯度、功能性与喜忌性；M10只形成结构层结论和候选，不越级替代M11—M18。</x:v>
      </x:c>
      <x:c r="AF47" s="68" t="str">
        <x:v>相关条件真实成立，且增强条件有效时，可按“比劫过旺可阻塞日主向食伤财星的输出”记录对应功能。</x:v>
      </x:c>
      <x:c r="AG47" s="90" t="str">
        <x:v>仅见表面十神名称或数量，但“不得以十神名称、数量或单一旺弱证据直接完成定性”所述限制存在时，不得套用本规则。</x:v>
      </x:c>
      <x:c r="AH47" s="68" t="str">
        <x:v>https://zh.wikisource.org/wiki/%E6%B8%8A%E6%B5%B7%E5%AD%90%E5%B9%B3%E5%A4%A7%E5%85%A8 ; https://zh.wikisource.org/wiki/%E6%BB%B4%E5%A4%A9%E9%AB%93%E9%97%A1%E5%BE%AE</x:v>
      </x:c>
      <x:c r="AI47" s="82" t="str">
        <x:v>采用</x:v>
      </x:c>
      <x:c r="AJ47" s="82" t="str">
        <x:v>初审</x:v>
      </x:c>
      <x:c r="AK47" s="87" t="n">
        <x:v>46255</x:v>
      </x:c>
    </x:row>
    <x:row r="48">
      <x:c r="A48" s="72" t="str">
        <x:f>IF(OR(C48="",D48=""),"",B48&amp;"-"&amp;UPPER(C48)&amp;"-"&amp;TEXT(D48,"0000")&amp;"-"&amp;E48)</x:f>
        <x:v>M10-BIJIE-0042-V1.0</x:v>
      </x:c>
      <x:c r="B48" s="74" t="str">
        <x:v>M10</x:v>
      </x:c>
      <x:c r="C48" s="74" t="str">
        <x:v>BIJIE</x:v>
      </x:c>
      <x:c r="D48" s="215" t="n">
        <x:v>42</x:v>
      </x:c>
      <x:c r="E48" s="74" t="str">
        <x:v>V1.0</x:v>
      </x:c>
      <x:c r="F48" s="68" t="str">
        <x:v>劫财喜忌不能脱离财星和日主状态</x:v>
      </x:c>
      <x:c r="G48" s="82" t="str">
        <x:v>结构层</x:v>
      </x:c>
      <x:c r="H48" s="82" t="str">
        <x:v>劫财</x:v>
      </x:c>
      <x:c r="I48" s="82" t="str">
        <x:v>待定</x:v>
      </x:c>
      <x:c r="J48" s="82" t="str">
        <x:v>待定</x:v>
      </x:c>
      <x:c r="K48" s="82" t="str">
        <x:v>待定</x:v>
      </x:c>
      <x:c r="L48" s="82" t="str">
        <x:v>待定</x:v>
      </x:c>
      <x:c r="M48" s="68" t="str">
        <x:v>按M08核查</x:v>
      </x:c>
      <x:c r="N48" s="68" t="str">
        <x:v>按M06/M08核查</x:v>
      </x:c>
      <x:c r="O48" s="82" t="str">
        <x:v>待定</x:v>
      </x:c>
      <x:c r="P48" s="68" t="str">
        <x:v>转M11/M14判断</x:v>
      </x:c>
      <x:c r="Q48" s="68" t="str">
        <x:v>需结合M09日主承载判断</x:v>
      </x:c>
      <x:c r="R48" s="82" t="str">
        <x:v>待定</x:v>
      </x:c>
      <x:c r="S48" s="68" t="str">
        <x:v>判断劫财价值时必须同时读取M09日主旺衰与财星有效力量</x:v>
      </x:c>
      <x:c r="T48" s="68" t="str">
        <x:v>M02十神映射、M08五行有效旺衰、M09日主旺衰已完成</x:v>
      </x:c>
      <x:c r="U48" s="68" t="str">
        <x:v>相关十神已由M02正确映射，并以M08有效力量为准</x:v>
      </x:c>
      <x:c r="V48" s="68" t="str">
        <x:v>得令、有根、透干、同党或生源形成独立有效证据</x:v>
      </x:c>
      <x:c r="W48" s="68" t="str">
        <x:v>失令、无根、被合绊、被制、改性或作用路径受阻</x:v>
      </x:c>
      <x:c r="X48" s="90" t="str">
        <x:v>不得以十神名称、数量或单一旺弱证据直接完成定性</x:v>
      </x:c>
      <x:c r="Y48" s="68" t="str">
        <x:v>特殊格局、从化候选及明确组合转M11/M14另审</x:v>
      </x:c>
      <x:c r="Z48" s="68" t="str">
        <x:v>不得用“劫财”名称直接解释为夺财、破财或人际竞争事件</x:v>
      </x:c>
      <x:c r="AA48" s="84" t="str">
        <x:v>劫财喜忌联判</x:v>
      </x:c>
      <x:c r="AB48" s="84" t="str">
        <x:v>劫财喜忌不能脱离财星和日主状态：当“判断劫财价值时必须同时读取M09日主旺衰与财星有效力量”成立时，按本规则记录十神的有效功能；同时保留制化、承载和反向证据。</x:v>
      </x:c>
      <x:c r="AC48" s="82" t="str">
        <x:v>较高</x:v>
      </x:c>
      <x:c r="AD48" s="82" t="str">
        <x:v>现代综合</x:v>
      </x:c>
      <x:c r="AE48" s="68" t="str">
        <x:v>十神必须分开判断存在性、力量、清纯度、功能性与喜忌性；M10只形成结构层结论和候选，不越级替代M11—M18。</x:v>
      </x:c>
      <x:c r="AF48" s="68" t="str">
        <x:v>相关条件真实成立，且增强条件有效时，可按“劫财喜忌不能脱离财星和日主状态”记录对应功能。</x:v>
      </x:c>
      <x:c r="AG48" s="90" t="str">
        <x:v>仅见表面十神名称或数量，但“不得以十神名称、数量或单一旺弱证据直接完成定性”所述限制存在时，不得套用本规则。</x:v>
      </x:c>
      <x:c r="AH48" s="68" t="str">
        <x:v>https://zh.wikisource.org/wiki/%E6%B8%8A%E6%B5%B7%E5%AD%90%E5%B9%B3%E5%A4%A7%E5%85%A8 ; https://zh.wikisource.org/wiki/%E6%BB%B4%E5%A4%A9%E9%AB%93%E9%97%A1%E5%BE%AE</x:v>
      </x:c>
      <x:c r="AI48" s="82" t="str">
        <x:v>采用</x:v>
      </x:c>
      <x:c r="AJ48" s="82" t="str">
        <x:v>初审</x:v>
      </x:c>
      <x:c r="AK48" s="87" t="n">
        <x:v>46255</x:v>
      </x:c>
    </x:row>
    <x:row r="49">
      <x:c r="A49" s="72" t="str">
        <x:f>IF(OR(C49="",D49=""),"",B49&amp;"-"&amp;UPPER(C49)&amp;"-"&amp;TEXT(D49,"0000")&amp;"-"&amp;E49)</x:f>
        <x:v>M10-YIN-0043-V1.0</x:v>
      </x:c>
      <x:c r="B49" s="74" t="str">
        <x:v>M10</x:v>
      </x:c>
      <x:c r="C49" s="74" t="str">
        <x:v>YIN</x:v>
      </x:c>
      <x:c r="D49" s="215" t="n">
        <x:v>43</x:v>
      </x:c>
      <x:c r="E49" s="74" t="str">
        <x:v>V1.0</x:v>
      </x:c>
      <x:c r="F49" s="68" t="str">
        <x:v>有效正印首先提供生身功能</x:v>
      </x:c>
      <x:c r="G49" s="82" t="str">
        <x:v>结构层</x:v>
      </x:c>
      <x:c r="H49" s="82" t="str">
        <x:v>正印</x:v>
      </x:c>
      <x:c r="I49" s="82" t="str">
        <x:v>待定</x:v>
      </x:c>
      <x:c r="J49" s="82" t="str">
        <x:v>待定</x:v>
      </x:c>
      <x:c r="K49" s="82" t="str">
        <x:v>待定</x:v>
      </x:c>
      <x:c r="L49" s="82" t="str">
        <x:v>待定</x:v>
      </x:c>
      <x:c r="M49" s="68" t="str">
        <x:v>按M08核查</x:v>
      </x:c>
      <x:c r="N49" s="68" t="str">
        <x:v>按M06/M08核查</x:v>
      </x:c>
      <x:c r="O49" s="82" t="str">
        <x:v>正常发挥</x:v>
      </x:c>
      <x:c r="P49" s="68" t="str">
        <x:v>转M11/M14判断</x:v>
      </x:c>
      <x:c r="Q49" s="68" t="str">
        <x:v>向日主提供生源和承载</x:v>
      </x:c>
      <x:c r="R49" s="82" t="str">
        <x:v>待定</x:v>
      </x:c>
      <x:c r="S49" s="68" t="str">
        <x:v>正印有效存在且生身路径未被阻断</x:v>
      </x:c>
      <x:c r="T49" s="68" t="str">
        <x:v>M02十神映射、M08五行有效旺衰、M09日主旺衰已完成</x:v>
      </x:c>
      <x:c r="U49" s="68" t="str">
        <x:v>相关十神已由M02正确映射，并以M08有效力量为准</x:v>
      </x:c>
      <x:c r="V49" s="68" t="str">
        <x:v>得令、有根、透干、同党或生源形成独立有效证据</x:v>
      </x:c>
      <x:c r="W49" s="68" t="str">
        <x:v>失令、无根、被合绊、被制、改性或作用路径受阻</x:v>
      </x:c>
      <x:c r="X49" s="90" t="str">
        <x:v>不得以十神名称、数量或单一旺弱证据直接完成定性</x:v>
      </x:c>
      <x:c r="Y49" s="68" t="str">
        <x:v>特殊格局、从化候选及明确组合转M11/M14另审</x:v>
      </x:c>
      <x:c r="Z49" s="68" t="str">
        <x:v>不得直接推出吉凶、具体事件、亲属结果或最终喜忌</x:v>
      </x:c>
      <x:c r="AA49" s="84" t="str">
        <x:v>正印生身</x:v>
      </x:c>
      <x:c r="AB49" s="84" t="str">
        <x:v>有效正印首先提供生身功能：当“正印有效存在且生身路径未被阻断”成立时，按本规则记录十神的有效功能；同时保留制化、承载和反向证据。</x:v>
      </x:c>
      <x:c r="AC49" s="82" t="str">
        <x:v>较高</x:v>
      </x:c>
      <x:c r="AD49" s="82" t="str">
        <x:v>现代综合</x:v>
      </x:c>
      <x:c r="AE49" s="68" t="str">
        <x:v>十神必须分开判断存在性、力量、清纯度、功能性与喜忌性；M10只形成结构层结论和候选，不越级替代M11—M18。</x:v>
      </x:c>
      <x:c r="AF49" s="68" t="str">
        <x:v>相关条件真实成立，且增强条件有效时，可按“有效正印首先提供生身功能”记录对应功能。</x:v>
      </x:c>
      <x:c r="AG49" s="90" t="str">
        <x:v>仅见表面十神名称或数量，但“不得以十神名称、数量或单一旺弱证据直接完成定性”所述限制存在时，不得套用本规则。</x:v>
      </x:c>
      <x:c r="AH49" s="68" t="str">
        <x:v>https://zh.wikisource.org/wiki/%E6%B8%8A%E6%B5%B7%E5%AD%90%E5%B9%B3%E5%A4%A7%E5%85%A8 ; https://zh.wikisource.org/wiki/%E6%BB%B4%E5%A4%A9%E9%AB%93%E9%97%A1%E5%BE%AE</x:v>
      </x:c>
      <x:c r="AI49" s="82" t="str">
        <x:v>采用</x:v>
      </x:c>
      <x:c r="AJ49" s="82" t="str">
        <x:v>初审</x:v>
      </x:c>
      <x:c r="AK49" s="87" t="n">
        <x:v>46255</x:v>
      </x:c>
    </x:row>
    <x:row r="50">
      <x:c r="A50" s="72" t="str">
        <x:f>IF(OR(C50="",D50=""),"",B50&amp;"-"&amp;UPPER(C50)&amp;"-"&amp;TEXT(D50,"0000")&amp;"-"&amp;E50)</x:f>
        <x:v>M10-YIN-0044-V1.0</x:v>
      </x:c>
      <x:c r="B50" s="74" t="str">
        <x:v>M10</x:v>
      </x:c>
      <x:c r="C50" s="74" t="str">
        <x:v>YIN</x:v>
      </x:c>
      <x:c r="D50" s="215" t="n">
        <x:v>44</x:v>
      </x:c>
      <x:c r="E50" s="74" t="str">
        <x:v>V1.0</x:v>
      </x:c>
      <x:c r="F50" s="68" t="str">
        <x:v>有效偏印同样可生身但需另审制食功能</x:v>
      </x:c>
      <x:c r="G50" s="82" t="str">
        <x:v>结构层</x:v>
      </x:c>
      <x:c r="H50" s="82" t="str">
        <x:v>偏印</x:v>
      </x:c>
      <x:c r="I50" s="82" t="str">
        <x:v>待定</x:v>
      </x:c>
      <x:c r="J50" s="82" t="str">
        <x:v>待定</x:v>
      </x:c>
      <x:c r="K50" s="82" t="str">
        <x:v>待定</x:v>
      </x:c>
      <x:c r="L50" s="82" t="str">
        <x:v>待定</x:v>
      </x:c>
      <x:c r="M50" s="68" t="str">
        <x:v>按M08核查</x:v>
      </x:c>
      <x:c r="N50" s="68" t="str">
        <x:v>按M06/M08核查</x:v>
      </x:c>
      <x:c r="O50" s="82" t="str">
        <x:v>正常发挥</x:v>
      </x:c>
      <x:c r="P50" s="68" t="str">
        <x:v>转M11/M14判断</x:v>
      </x:c>
      <x:c r="Q50" s="68" t="str">
        <x:v>可生身，同时可能对食神形成克制</x:v>
      </x:c>
      <x:c r="R50" s="82" t="str">
        <x:v>待定</x:v>
      </x:c>
      <x:c r="S50" s="68" t="str">
        <x:v>偏印有效存在</x:v>
      </x:c>
      <x:c r="T50" s="68" t="str">
        <x:v>M02十神映射、M08五行有效旺衰、M09日主旺衰已完成</x:v>
      </x:c>
      <x:c r="U50" s="68" t="str">
        <x:v>相关十神已由M02正确映射，并以M08有效力量为准</x:v>
      </x:c>
      <x:c r="V50" s="68" t="str">
        <x:v>得令、有根、透干、同党或生源形成独立有效证据</x:v>
      </x:c>
      <x:c r="W50" s="68" t="str">
        <x:v>失令、无根、被合绊、被制、改性或作用路径受阻</x:v>
      </x:c>
      <x:c r="X50" s="90" t="str">
        <x:v>不得以十神名称、数量或单一旺弱证据直接完成定性</x:v>
      </x:c>
      <x:c r="Y50" s="68" t="str">
        <x:v>特殊格局、从化候选及明确组合转M11/M14另审</x:v>
      </x:c>
      <x:c r="Z50" s="68" t="str">
        <x:v>不得直接推出吉凶、具体事件、亲属结果或最终喜忌</x:v>
      </x:c>
      <x:c r="AA50" s="84" t="str">
        <x:v>偏印双向功能</x:v>
      </x:c>
      <x:c r="AB50" s="84" t="str">
        <x:v>有效偏印同样可生身但需另审制食功能：当“偏印有效存在”成立时，按本规则记录十神的有效功能；同时保留制化、承载和反向证据。</x:v>
      </x:c>
      <x:c r="AC50" s="82" t="str">
        <x:v>较高</x:v>
      </x:c>
      <x:c r="AD50" s="82" t="str">
        <x:v>现代综合</x:v>
      </x:c>
      <x:c r="AE50" s="68" t="str">
        <x:v>十神必须分开判断存在性、力量、清纯度、功能性与喜忌性；M10只形成结构层结论和候选，不越级替代M11—M18。</x:v>
      </x:c>
      <x:c r="AF50" s="68" t="str">
        <x:v>相关条件真实成立，且增强条件有效时，可按“有效偏印同样可生身但需另审制食功能”记录对应功能。</x:v>
      </x:c>
      <x:c r="AG50" s="90" t="str">
        <x:v>仅见表面十神名称或数量，但“不得以十神名称、数量或单一旺弱证据直接完成定性”所述限制存在时，不得套用本规则。</x:v>
      </x:c>
      <x:c r="AH50" s="68" t="str">
        <x:v>https://zh.wikisource.org/wiki/%E6%B8%8A%E6%B5%B7%E5%AD%90%E5%B9%B3%E5%A4%A7%E5%85%A8 ; https://zh.wikisource.org/wiki/%E6%BB%B4%E5%A4%A9%E9%AB%93%E9%97%A1%E5%BE%AE</x:v>
      </x:c>
      <x:c r="AI50" s="82" t="str">
        <x:v>采用</x:v>
      </x:c>
      <x:c r="AJ50" s="82" t="str">
        <x:v>初审</x:v>
      </x:c>
      <x:c r="AK50" s="87" t="n">
        <x:v>46255</x:v>
      </x:c>
    </x:row>
    <x:row r="51">
      <x:c r="A51" s="72" t="str">
        <x:f>IF(OR(C51="",D51=""),"",B51&amp;"-"&amp;UPPER(C51)&amp;"-"&amp;TEXT(D51,"0000")&amp;"-"&amp;E51)</x:f>
        <x:v>M10-YIN-0045-V1.0</x:v>
      </x:c>
      <x:c r="B51" s="74" t="str">
        <x:v>M10</x:v>
      </x:c>
      <x:c r="C51" s="74" t="str">
        <x:v>YIN</x:v>
      </x:c>
      <x:c r="D51" s="215" t="n">
        <x:v>45</x:v>
      </x:c>
      <x:c r="E51" s="74" t="str">
        <x:v>V1.0</x:v>
      </x:c>
      <x:c r="F51" s="68" t="str">
        <x:v>身弱时印星有力通常形成生身有利候选</x:v>
      </x:c>
      <x:c r="G51" s="82" t="str">
        <x:v>结构层</x:v>
      </x:c>
      <x:c r="H51" s="82" t="str">
        <x:v>正印</x:v>
      </x:c>
      <x:c r="I51" s="82" t="str">
        <x:v>待定</x:v>
      </x:c>
      <x:c r="J51" s="82" t="str">
        <x:v>待定</x:v>
      </x:c>
      <x:c r="K51" s="82" t="str">
        <x:v>待定</x:v>
      </x:c>
      <x:c r="L51" s="82" t="str">
        <x:v>待定</x:v>
      </x:c>
      <x:c r="M51" s="68" t="str">
        <x:v>按M08核查</x:v>
      </x:c>
      <x:c r="N51" s="68" t="str">
        <x:v>按M06/M08核查</x:v>
      </x:c>
      <x:c r="O51" s="82" t="str">
        <x:v>待定</x:v>
      </x:c>
      <x:c r="P51" s="68" t="str">
        <x:v>转M11/M14判断</x:v>
      </x:c>
      <x:c r="Q51" s="68" t="str">
        <x:v>补充生源、缓解泄耗和官杀压力</x:v>
      </x:c>
      <x:c r="R51" s="82" t="str">
        <x:v>条件性喜神</x:v>
      </x:c>
      <x:c r="S51" s="68" t="str">
        <x:v>M09日主弱或中和偏弱且正印有效</x:v>
      </x:c>
      <x:c r="T51" s="68" t="str">
        <x:v>M02十神映射、M08五行有效旺衰、M09日主旺衰已完成</x:v>
      </x:c>
      <x:c r="U51" s="68" t="str">
        <x:v>相关十神已由M02正确映射，并以M08有效力量为准</x:v>
      </x:c>
      <x:c r="V51" s="68" t="str">
        <x:v>得令、有根、透干、同党或生源形成独立有效证据</x:v>
      </x:c>
      <x:c r="W51" s="68" t="str">
        <x:v>失令、无根、被合绊、被制、改性或作用路径受阻</x:v>
      </x:c>
      <x:c r="X51" s="90" t="str">
        <x:v>不得以十神名称、数量或单一旺弱证据直接完成定性</x:v>
      </x:c>
      <x:c r="Y51" s="68" t="str">
        <x:v>特殊格局、从化候选及明确组合转M11/M14另审</x:v>
      </x:c>
      <x:c r="Z51" s="68" t="str">
        <x:v>不得直接推出吉凶、具体事件、亲属结果或最终喜忌</x:v>
      </x:c>
      <x:c r="AA51" s="84" t="str">
        <x:v>身弱正印候选</x:v>
      </x:c>
      <x:c r="AB51" s="84" t="str">
        <x:v>身弱时印星有力通常形成生身有利候选：当“M09日主弱或中和偏弱且正印有效”成立时，按本规则记录十神的有效功能；同时保留制化、承载和反向证据。</x:v>
      </x:c>
      <x:c r="AC51" s="82" t="str">
        <x:v>较高</x:v>
      </x:c>
      <x:c r="AD51" s="82" t="str">
        <x:v>现代综合</x:v>
      </x:c>
      <x:c r="AE51" s="68" t="str">
        <x:v>十神必须分开判断存在性、力量、清纯度、功能性与喜忌性；M10只形成结构层结论和候选，不越级替代M11—M18。</x:v>
      </x:c>
      <x:c r="AF51" s="68" t="str">
        <x:v>相关条件真实成立，且增强条件有效时，可按“身弱时印星有力通常形成生身有利候选”记录对应功能。</x:v>
      </x:c>
      <x:c r="AG51" s="90" t="str">
        <x:v>仅见表面十神名称或数量，但“不得以十神名称、数量或单一旺弱证据直接完成定性”所述限制存在时，不得套用本规则。</x:v>
      </x:c>
      <x:c r="AH51" s="68" t="str">
        <x:v>https://zh.wikisource.org/wiki/%E6%B8%8A%E6%B5%B7%E5%AD%90%E5%B9%B3%E5%A4%A7%E5%85%A8 ; https://zh.wikisource.org/wiki/%E6%BB%B4%E5%A4%A9%E9%AB%93%E9%97%A1%E5%BE%AE</x:v>
      </x:c>
      <x:c r="AI51" s="82" t="str">
        <x:v>采用</x:v>
      </x:c>
      <x:c r="AJ51" s="82" t="str">
        <x:v>初审</x:v>
      </x:c>
      <x:c r="AK51" s="87" t="n">
        <x:v>46255</x:v>
      </x:c>
    </x:row>
    <x:row r="52">
      <x:c r="A52" s="72" t="str">
        <x:f>IF(OR(C52="",D52=""),"",B52&amp;"-"&amp;UPPER(C52)&amp;"-"&amp;TEXT(D52,"0000")&amp;"-"&amp;E52)</x:f>
        <x:v>M10-YIN-0046-V1.0</x:v>
      </x:c>
      <x:c r="B52" s="74" t="str">
        <x:v>M10</x:v>
      </x:c>
      <x:c r="C52" s="74" t="str">
        <x:v>YIN</x:v>
      </x:c>
      <x:c r="D52" s="215" t="n">
        <x:v>46</x:v>
      </x:c>
      <x:c r="E52" s="74" t="str">
        <x:v>V1.0</x:v>
      </x:c>
      <x:c r="F52" s="68" t="str">
        <x:v>偏印制食只有克制路径真实成立才记录</x:v>
      </x:c>
      <x:c r="G52" s="82" t="str">
        <x:v>结构层</x:v>
      </x:c>
      <x:c r="H52" s="82" t="str">
        <x:v>偏印</x:v>
      </x:c>
      <x:c r="I52" s="82" t="str">
        <x:v>待定</x:v>
      </x:c>
      <x:c r="J52" s="82" t="str">
        <x:v>待定</x:v>
      </x:c>
      <x:c r="K52" s="82" t="str">
        <x:v>待定</x:v>
      </x:c>
      <x:c r="L52" s="82" t="str">
        <x:v>待定</x:v>
      </x:c>
      <x:c r="M52" s="68" t="str">
        <x:v>按M08核查</x:v>
      </x:c>
      <x:c r="N52" s="68" t="str">
        <x:v>对食神形成有效制约</x:v>
      </x:c>
      <x:c r="O52" s="82" t="str">
        <x:v>正常发挥</x:v>
      </x:c>
      <x:c r="P52" s="68" t="str">
        <x:v>枭神夺食候选转M11判断</x:v>
      </x:c>
      <x:c r="Q52" s="68" t="str">
        <x:v>需结合M09日主承载判断</x:v>
      </x:c>
      <x:c r="R52" s="82" t="str">
        <x:v>待定</x:v>
      </x:c>
      <x:c r="S52" s="68" t="str">
        <x:v>偏印与食神形成有效克制，且偏印力量足以作用</x:v>
      </x:c>
      <x:c r="T52" s="68" t="str">
        <x:v>M02十神映射、M08五行有效旺衰、M09日主旺衰已完成</x:v>
      </x:c>
      <x:c r="U52" s="68" t="str">
        <x:v>相关十神已由M02正确映射，并以M08有效力量为准</x:v>
      </x:c>
      <x:c r="V52" s="68" t="str">
        <x:v>得令、有根、透干、同党或生源形成独立有效证据</x:v>
      </x:c>
      <x:c r="W52" s="68" t="str">
        <x:v>失令、无根、被合绊、被制、改性或作用路径受阻</x:v>
      </x:c>
      <x:c r="X52" s="90" t="str">
        <x:v>不得以十神名称、数量或单一旺弱证据直接完成定性</x:v>
      </x:c>
      <x:c r="Y52" s="68" t="str">
        <x:v>特殊格局、从化候选及明确组合转M11/M14另审</x:v>
      </x:c>
      <x:c r="Z52" s="68" t="str">
        <x:v>不得直接推出吉凶、具体事件、亲属结果或最终喜忌</x:v>
      </x:c>
      <x:c r="AA52" s="84" t="str">
        <x:v>偏印制食候选</x:v>
      </x:c>
      <x:c r="AB52" s="84" t="str">
        <x:v>偏印制食只有克制路径真实成立才记录：当“偏印与食神形成有效克制，且偏印力量足以作用”成立时，按本规则记录十神的有效功能；同时保留制化、承载和反向证据。</x:v>
      </x:c>
      <x:c r="AC52" s="82" t="str">
        <x:v>较高</x:v>
      </x:c>
      <x:c r="AD52" s="82" t="str">
        <x:v>现代综合</x:v>
      </x:c>
      <x:c r="AE52" s="68" t="str">
        <x:v>十神必须分开判断存在性、力量、清纯度、功能性与喜忌性；M10只形成结构层结论和候选，不越级替代M11—M18。</x:v>
      </x:c>
      <x:c r="AF52" s="68" t="str">
        <x:v>相关条件真实成立，且增强条件有效时，可按“偏印制食只有克制路径真实成立才记录”记录对应功能。</x:v>
      </x:c>
      <x:c r="AG52" s="90" t="str">
        <x:v>仅见表面十神名称或数量，但“不得以十神名称、数量或单一旺弱证据直接完成定性”所述限制存在时，不得套用本规则。</x:v>
      </x:c>
      <x:c r="AH52" s="68" t="str">
        <x:v>https://zh.wikisource.org/wiki/%E6%B8%8A%E6%B5%B7%E5%AD%90%E5%B9%B3%E5%A4%A7%E5%85%A8 ; https://zh.wikisource.org/wiki/%E6%BB%B4%E5%A4%A9%E9%AB%93%E9%97%A1%E5%BE%AE</x:v>
      </x:c>
      <x:c r="AI52" s="82" t="str">
        <x:v>采用</x:v>
      </x:c>
      <x:c r="AJ52" s="82" t="str">
        <x:v>初审</x:v>
      </x:c>
      <x:c r="AK52" s="87" t="n">
        <x:v>46255</x:v>
      </x:c>
    </x:row>
    <x:row r="53">
      <x:c r="A53" s="72" t="str">
        <x:f>IF(OR(C53="",D53=""),"",B53&amp;"-"&amp;UPPER(C53)&amp;"-"&amp;TEXT(D53,"0000")&amp;"-"&amp;E53)</x:f>
        <x:v>M10-YIN-0047-V1.0</x:v>
      </x:c>
      <x:c r="B53" s="74" t="str">
        <x:v>M10</x:v>
      </x:c>
      <x:c r="C53" s="74" t="str">
        <x:v>YIN</x:v>
      </x:c>
      <x:c r="D53" s="215" t="n">
        <x:v>47</x:v>
      </x:c>
      <x:c r="E53" s="74" t="str">
        <x:v>V1.0</x:v>
      </x:c>
      <x:c r="F53" s="68" t="str">
        <x:v>印星可承接官杀形成化杀生身路径</x:v>
      </x:c>
      <x:c r="G53" s="82" t="str">
        <x:v>结构层</x:v>
      </x:c>
      <x:c r="H53" s="82" t="str">
        <x:v>正印</x:v>
      </x:c>
      <x:c r="I53" s="82" t="str">
        <x:v>待定</x:v>
      </x:c>
      <x:c r="J53" s="82" t="str">
        <x:v>待定</x:v>
      </x:c>
      <x:c r="K53" s="82" t="str">
        <x:v>待定</x:v>
      </x:c>
      <x:c r="L53" s="82" t="str">
        <x:v>待定</x:v>
      </x:c>
      <x:c r="M53" s="68" t="str">
        <x:v>官杀为印星生源</x:v>
      </x:c>
      <x:c r="N53" s="68" t="str">
        <x:v>按M06/M08核查</x:v>
      </x:c>
      <x:c r="O53" s="82" t="str">
        <x:v>正常发挥</x:v>
      </x:c>
      <x:c r="P53" s="68" t="str">
        <x:v>官印相生或杀印相生候选转M11</x:v>
      </x:c>
      <x:c r="Q53" s="68" t="str">
        <x:v>需结合M09日主承载判断</x:v>
      </x:c>
      <x:c r="R53" s="82" t="str">
        <x:v>待定</x:v>
      </x:c>
      <x:c r="S53" s="68" t="str">
        <x:v>官杀生印、印再生日主的链路连续有效</x:v>
      </x:c>
      <x:c r="T53" s="68" t="str">
        <x:v>M02十神映射、M08五行有效旺衰、M09日主旺衰已完成</x:v>
      </x:c>
      <x:c r="U53" s="68" t="str">
        <x:v>相关十神已由M02正确映射，并以M08有效力量为准</x:v>
      </x:c>
      <x:c r="V53" s="68" t="str">
        <x:v>得令、有根、透干、同党或生源形成独立有效证据</x:v>
      </x:c>
      <x:c r="W53" s="68" t="str">
        <x:v>失令、无根、被合绊、被制、改性或作用路径受阻</x:v>
      </x:c>
      <x:c r="X53" s="90" t="str">
        <x:v>不得以十神名称、数量或单一旺弱证据直接完成定性</x:v>
      </x:c>
      <x:c r="Y53" s="68" t="str">
        <x:v>特殊格局、从化候选及明确组合转M11/M14另审</x:v>
      </x:c>
      <x:c r="Z53" s="68" t="str">
        <x:v>不得直接推出吉凶、具体事件、亲属结果或最终喜忌</x:v>
      </x:c>
      <x:c r="AA53" s="84" t="str">
        <x:v>印化官杀接口</x:v>
      </x:c>
      <x:c r="AB53" s="84" t="str">
        <x:v>印星可承接官杀形成化杀生身路径：当“官杀生印、印再生日主的链路连续有效”成立时，按本规则记录十神的有效功能；同时保留制化、承载和反向证据。</x:v>
      </x:c>
      <x:c r="AC53" s="82" t="str">
        <x:v>较高</x:v>
      </x:c>
      <x:c r="AD53" s="82" t="str">
        <x:v>现代综合</x:v>
      </x:c>
      <x:c r="AE53" s="68" t="str">
        <x:v>十神必须分开判断存在性、力量、清纯度、功能性与喜忌性；M10只形成结构层结论和候选，不越级替代M11—M18。</x:v>
      </x:c>
      <x:c r="AF53" s="68" t="str">
        <x:v>相关条件真实成立，且增强条件有效时，可按“印星可承接官杀形成化杀生身路径”记录对应功能。</x:v>
      </x:c>
      <x:c r="AG53" s="90" t="str">
        <x:v>仅见表面十神名称或数量，但“不得以十神名称、数量或单一旺弱证据直接完成定性”所述限制存在时，不得套用本规则。</x:v>
      </x:c>
      <x:c r="AH53" s="68" t="str">
        <x:v>https://zh.wikisource.org/wiki/%E6%B8%8A%E6%B5%B7%E5%AD%90%E5%B9%B3%E5%A4%A7%E5%85%A8 ; https://zh.wikisource.org/wiki/%E6%BB%B4%E5%A4%A9%E9%AB%93%E9%97%A1%E5%BE%AE</x:v>
      </x:c>
      <x:c r="AI53" s="82" t="str">
        <x:v>采用</x:v>
      </x:c>
      <x:c r="AJ53" s="82" t="str">
        <x:v>初审</x:v>
      </x:c>
      <x:c r="AK53" s="87" t="n">
        <x:v>46255</x:v>
      </x:c>
    </x:row>
    <x:row r="54">
      <x:c r="A54" s="72" t="str">
        <x:f>IF(OR(C54="",D54=""),"",B54&amp;"-"&amp;UPPER(C54)&amp;"-"&amp;TEXT(D54,"0000")&amp;"-"&amp;E54)</x:f>
        <x:v>M10-YIN-0048-V1.0</x:v>
      </x:c>
      <x:c r="B54" s="74" t="str">
        <x:v>M10</x:v>
      </x:c>
      <x:c r="C54" s="74" t="str">
        <x:v>YIN</x:v>
      </x:c>
      <x:c r="D54" s="215" t="n">
        <x:v>48</x:v>
      </x:c>
      <x:c r="E54" s="74" t="str">
        <x:v>V1.0</x:v>
      </x:c>
      <x:c r="F54" s="68" t="str">
        <x:v>印星受财星强制时生身功能下降</x:v>
      </x:c>
      <x:c r="G54" s="82" t="str">
        <x:v>结构层</x:v>
      </x:c>
      <x:c r="H54" s="82" t="str">
        <x:v>偏印</x:v>
      </x:c>
      <x:c r="I54" s="82" t="str">
        <x:v>待定</x:v>
      </x:c>
      <x:c r="J54" s="82" t="str">
        <x:v>待定</x:v>
      </x:c>
      <x:c r="K54" s="82" t="str">
        <x:v>待定</x:v>
      </x:c>
      <x:c r="L54" s="82" t="str">
        <x:v>待定</x:v>
      </x:c>
      <x:c r="M54" s="68" t="str">
        <x:v>按M08核查</x:v>
      </x:c>
      <x:c r="N54" s="68" t="str">
        <x:v>受财星有效克制</x:v>
      </x:c>
      <x:c r="O54" s="82" t="str">
        <x:v>受限</x:v>
      </x:c>
      <x:c r="P54" s="68" t="str">
        <x:v>转M11/M14判断</x:v>
      </x:c>
      <x:c r="Q54" s="68" t="str">
        <x:v>生身和承接官杀能力下降</x:v>
      </x:c>
      <x:c r="R54" s="82" t="str">
        <x:v>待定</x:v>
      </x:c>
      <x:c r="S54" s="68" t="str">
        <x:v>财星对印星形成实质有效克制</x:v>
      </x:c>
      <x:c r="T54" s="68" t="str">
        <x:v>M02十神映射、M08五行有效旺衰、M09日主旺衰已完成</x:v>
      </x:c>
      <x:c r="U54" s="68" t="str">
        <x:v>相关十神已由M02正确映射，并以M08有效力量为准</x:v>
      </x:c>
      <x:c r="V54" s="68" t="str">
        <x:v>得令、有根、透干、同党或生源形成独立有效证据</x:v>
      </x:c>
      <x:c r="W54" s="68" t="str">
        <x:v>失令、无根、被合绊、被制、改性或作用路径受阻</x:v>
      </x:c>
      <x:c r="X54" s="90" t="str">
        <x:v>不得以十神名称、数量或单一旺弱证据直接完成定性</x:v>
      </x:c>
      <x:c r="Y54" s="68" t="str">
        <x:v>特殊格局、从化候选及明确组合转M11/M14另审</x:v>
      </x:c>
      <x:c r="Z54" s="68" t="str">
        <x:v>不得直接推出吉凶、具体事件、亲属结果或最终喜忌</x:v>
      </x:c>
      <x:c r="AA54" s="84" t="str">
        <x:v>财制印功能受限</x:v>
      </x:c>
      <x:c r="AB54" s="84" t="str">
        <x:v>印星受财星强制时生身功能下降：当“财星对印星形成实质有效克制”成立时，按本规则记录十神的有效功能；同时保留制化、承载和反向证据。</x:v>
      </x:c>
      <x:c r="AC54" s="82" t="str">
        <x:v>较高</x:v>
      </x:c>
      <x:c r="AD54" s="82" t="str">
        <x:v>现代综合</x:v>
      </x:c>
      <x:c r="AE54" s="68" t="str">
        <x:v>十神必须分开判断存在性、力量、清纯度、功能性与喜忌性；M10只形成结构层结论和候选，不越级替代M11—M18。</x:v>
      </x:c>
      <x:c r="AF54" s="68" t="str">
        <x:v>相关条件真实成立，且增强条件有效时，可按“印星受财星强制时生身功能下降”记录对应功能。</x:v>
      </x:c>
      <x:c r="AG54" s="90" t="str">
        <x:v>仅见表面十神名称或数量，但“不得以十神名称、数量或单一旺弱证据直接完成定性”所述限制存在时，不得套用本规则。</x:v>
      </x:c>
      <x:c r="AH54" s="68" t="str">
        <x:v>https://zh.wikisource.org/wiki/%E6%B8%8A%E6%B5%B7%E5%AD%90%E5%B9%B3%E5%A4%A7%E5%85%A8 ; https://zh.wikisource.org/wiki/%E6%BB%B4%E5%A4%A9%E9%AB%93%E9%97%A1%E5%BE%AE</x:v>
      </x:c>
      <x:c r="AI54" s="82" t="str">
        <x:v>采用</x:v>
      </x:c>
      <x:c r="AJ54" s="82" t="str">
        <x:v>初审</x:v>
      </x:c>
      <x:c r="AK54" s="87" t="n">
        <x:v>46255</x:v>
      </x:c>
    </x:row>
    <x:row r="55">
      <x:c r="A55" s="72" t="str">
        <x:f>IF(OR(C55="",D55=""),"",B55&amp;"-"&amp;UPPER(C55)&amp;"-"&amp;TEXT(D55,"0000")&amp;"-"&amp;E55)</x:f>
        <x:v>M10-YIN-0049-V1.0</x:v>
      </x:c>
      <x:c r="B55" s="74" t="str">
        <x:v>M10</x:v>
      </x:c>
      <x:c r="C55" s="74" t="str">
        <x:v>YIN</x:v>
      </x:c>
      <x:c r="D55" s="215" t="n">
        <x:v>49</x:v>
      </x:c>
      <x:c r="E55" s="74" t="str">
        <x:v>V1.0</x:v>
      </x:c>
      <x:c r="F55" s="68" t="str">
        <x:v>印多但无根无源不等于印星旺</x:v>
      </x:c>
      <x:c r="G55" s="82" t="str">
        <x:v>结构层</x:v>
      </x:c>
      <x:c r="H55" s="82" t="str">
        <x:v>正印</x:v>
      </x:c>
      <x:c r="I55" s="82" t="str">
        <x:v>多处出现</x:v>
      </x:c>
      <x:c r="J55" s="82" t="str">
        <x:v>待定</x:v>
      </x:c>
      <x:c r="K55" s="82" t="str">
        <x:v>中和偏弱</x:v>
      </x:c>
      <x:c r="L55" s="82" t="str">
        <x:v>待定</x:v>
      </x:c>
      <x:c r="M55" s="68" t="str">
        <x:v>按M08核查</x:v>
      </x:c>
      <x:c r="N55" s="68" t="str">
        <x:v>按M06/M08核查</x:v>
      </x:c>
      <x:c r="O55" s="82" t="str">
        <x:v>待定</x:v>
      </x:c>
      <x:c r="P55" s="68" t="str">
        <x:v>转M11/M14判断</x:v>
      </x:c>
      <x:c r="Q55" s="68" t="str">
        <x:v>需结合M09日主承载判断</x:v>
      </x:c>
      <x:c r="R55" s="82" t="str">
        <x:v>待定</x:v>
      </x:c>
      <x:c r="S55" s="68" t="str">
        <x:v>正印多处出现但主要为浮干或弱藏、缺乏有效根源</x:v>
      </x:c>
      <x:c r="T55" s="68" t="str">
        <x:v>M02十神映射、M08五行有效旺衰、M09日主旺衰已完成</x:v>
      </x:c>
      <x:c r="U55" s="68" t="str">
        <x:v>相关十神已由M02正确映射，并以M08有效力量为准</x:v>
      </x:c>
      <x:c r="V55" s="68" t="str">
        <x:v>得令、有根、透干、同党或生源形成独立有效证据</x:v>
      </x:c>
      <x:c r="W55" s="68" t="str">
        <x:v>失令、无根、被合绊、被制、改性或作用路径受阻</x:v>
      </x:c>
      <x:c r="X55" s="90" t="str">
        <x:v>不得以十神名称、数量或单一旺弱证据直接完成定性</x:v>
      </x:c>
      <x:c r="Y55" s="68" t="str">
        <x:v>特殊格局、从化候选及明确组合转M11/M14另审</x:v>
      </x:c>
      <x:c r="Z55" s="68" t="str">
        <x:v>不得用印星数量直接推出身旺</x:v>
      </x:c>
      <x:c r="AA55" s="84" t="str">
        <x:v>印多不等于旺</x:v>
      </x:c>
      <x:c r="AB55" s="84" t="str">
        <x:v>印多但无根无源不等于印星旺：当“正印多处出现但主要为浮干或弱藏、缺乏有效根源”成立时，按本规则记录十神的有效功能；同时保留制化、承载和反向证据。</x:v>
      </x:c>
      <x:c r="AC55" s="82" t="str">
        <x:v>较高</x:v>
      </x:c>
      <x:c r="AD55" s="82" t="str">
        <x:v>现代综合</x:v>
      </x:c>
      <x:c r="AE55" s="68" t="str">
        <x:v>十神必须分开判断存在性、力量、清纯度、功能性与喜忌性；M10只形成结构层结论和候选，不越级替代M11—M18。</x:v>
      </x:c>
      <x:c r="AF55" s="68" t="str">
        <x:v>相关条件真实成立，且增强条件有效时，可按“印多但无根无源不等于印星旺”记录对应功能。</x:v>
      </x:c>
      <x:c r="AG55" s="90" t="str">
        <x:v>仅见表面十神名称或数量，但“不得以十神名称、数量或单一旺弱证据直接完成定性”所述限制存在时，不得套用本规则。</x:v>
      </x:c>
      <x:c r="AH55" s="68" t="str">
        <x:v>https://zh.wikisource.org/wiki/%E6%B8%8A%E6%B5%B7%E5%AD%90%E5%B9%B3%E5%A4%A7%E5%85%A8 ; https://zh.wikisource.org/wiki/%E6%BB%B4%E5%A4%A9%E9%AB%93%E9%97%A1%E5%BE%AE</x:v>
      </x:c>
      <x:c r="AI55" s="82" t="str">
        <x:v>采用</x:v>
      </x:c>
      <x:c r="AJ55" s="82" t="str">
        <x:v>初审</x:v>
      </x:c>
      <x:c r="AK55" s="87" t="n">
        <x:v>46255</x:v>
      </x:c>
    </x:row>
    <x:row r="56">
      <x:c r="A56" s="72" t="str">
        <x:f>IF(OR(C56="",D56=""),"",B56&amp;"-"&amp;UPPER(C56)&amp;"-"&amp;TEXT(D56,"0000")&amp;"-"&amp;E56)</x:f>
        <x:v>M10-YIN-0050-V1.0</x:v>
      </x:c>
      <x:c r="B56" s="74" t="str">
        <x:v>M10</x:v>
      </x:c>
      <x:c r="C56" s="74" t="str">
        <x:v>YIN</x:v>
      </x:c>
      <x:c r="D56" s="215" t="n">
        <x:v>50</x:v>
      </x:c>
      <x:c r="E56" s="74" t="str">
        <x:v>V1.0</x:v>
      </x:c>
      <x:c r="F56" s="68" t="str">
        <x:v>印星过旺可能压制食伤并造成输出不足</x:v>
      </x:c>
      <x:c r="G56" s="82" t="str">
        <x:v>结构层</x:v>
      </x:c>
      <x:c r="H56" s="82" t="str">
        <x:v>偏印</x:v>
      </x:c>
      <x:c r="I56" s="82" t="str">
        <x:v>待定</x:v>
      </x:c>
      <x:c r="J56" s="82" t="str">
        <x:v>待定</x:v>
      </x:c>
      <x:c r="K56" s="82" t="str">
        <x:v>待定</x:v>
      </x:c>
      <x:c r="L56" s="82" t="str">
        <x:v>待定</x:v>
      </x:c>
      <x:c r="M56" s="68" t="str">
        <x:v>按M08核查</x:v>
      </x:c>
      <x:c r="N56" s="68" t="str">
        <x:v>按M06/M08核查</x:v>
      </x:c>
      <x:c r="O56" s="82" t="str">
        <x:v>过度</x:v>
      </x:c>
      <x:c r="P56" s="68" t="str">
        <x:v>转M11/M14判断</x:v>
      </x:c>
      <x:c r="Q56" s="68" t="str">
        <x:v>生身过度并压制输出通道</x:v>
      </x:c>
      <x:c r="R56" s="82" t="str">
        <x:v>条件性忌神</x:v>
      </x:c>
      <x:c r="S56" s="68" t="str">
        <x:v>偏印旺或极旺，食伤偏弱且受其实际克制</x:v>
      </x:c>
      <x:c r="T56" s="68" t="str">
        <x:v>M02十神映射、M08五行有效旺衰、M09日主旺衰已完成</x:v>
      </x:c>
      <x:c r="U56" s="68" t="str">
        <x:v>相关十神已由M02正确映射，并以M08有效力量为准</x:v>
      </x:c>
      <x:c r="V56" s="68" t="str">
        <x:v>得令、有根、透干、同党或生源形成独立有效证据</x:v>
      </x:c>
      <x:c r="W56" s="68" t="str">
        <x:v>失令、无根、被合绊、被制、改性或作用路径受阻</x:v>
      </x:c>
      <x:c r="X56" s="90" t="str">
        <x:v>不得以十神名称、数量或单一旺弱证据直接完成定性</x:v>
      </x:c>
      <x:c r="Y56" s="68" t="str">
        <x:v>特殊格局、从化候选及明确组合转M11/M14另审</x:v>
      </x:c>
      <x:c r="Z56" s="68" t="str">
        <x:v>不得直接推出吉凶、具体事件、亲属结果或最终喜忌</x:v>
      </x:c>
      <x:c r="AA56" s="84" t="str">
        <x:v>印旺制食过度</x:v>
      </x:c>
      <x:c r="AB56" s="84" t="str">
        <x:v>印星过旺可能压制食伤并造成输出不足：当“偏印旺或极旺，食伤偏弱且受其实际克制”成立时，按本规则记录十神的有效功能；同时保留制化、承载和反向证据。</x:v>
      </x:c>
      <x:c r="AC56" s="82" t="str">
        <x:v>较高</x:v>
      </x:c>
      <x:c r="AD56" s="82" t="str">
        <x:v>现代综合</x:v>
      </x:c>
      <x:c r="AE56" s="68" t="str">
        <x:v>十神必须分开判断存在性、力量、清纯度、功能性与喜忌性；M10只形成结构层结论和候选，不越级替代M11—M18。</x:v>
      </x:c>
      <x:c r="AF56" s="68" t="str">
        <x:v>相关条件真实成立，且增强条件有效时，可按“印星过旺可能压制食伤并造成输出不足”记录对应功能。</x:v>
      </x:c>
      <x:c r="AG56" s="90" t="str">
        <x:v>仅见表面十神名称或数量，但“不得以十神名称、数量或单一旺弱证据直接完成定性”所述限制存在时，不得套用本规则。</x:v>
      </x:c>
      <x:c r="AH56" s="68" t="str">
        <x:v>https://zh.wikisource.org/wiki/%E6%B8%8A%E6%B5%B7%E5%AD%90%E5%B9%B3%E5%A4%A7%E5%85%A8 ; https://zh.wikisource.org/wiki/%E6%BB%B4%E5%A4%A9%E9%AB%93%E9%97%A1%E5%BE%AE</x:v>
      </x:c>
      <x:c r="AI56" s="82" t="str">
        <x:v>采用</x:v>
      </x:c>
      <x:c r="AJ56" s="82" t="str">
        <x:v>初审</x:v>
      </x:c>
      <x:c r="AK56" s="87" t="n">
        <x:v>46255</x:v>
      </x:c>
    </x:row>
    <x:row r="57">
      <x:c r="A57" s="72" t="str">
        <x:f>IF(OR(C57="",D57=""),"",B57&amp;"-"&amp;UPPER(C57)&amp;"-"&amp;TEXT(D57,"0000")&amp;"-"&amp;E57)</x:f>
        <x:v>M10-YIN-0051-V1.0</x:v>
      </x:c>
      <x:c r="B57" s="74" t="str">
        <x:v>M10</x:v>
      </x:c>
      <x:c r="C57" s="74" t="str">
        <x:v>YIN</x:v>
      </x:c>
      <x:c r="D57" s="215" t="n">
        <x:v>51</x:v>
      </x:c>
      <x:c r="E57" s="74" t="str">
        <x:v>V1.0</x:v>
      </x:c>
      <x:c r="F57" s="68" t="str">
        <x:v>印星与比劫连续生扶时扶身效果增强</x:v>
      </x:c>
      <x:c r="G57" s="82" t="str">
        <x:v>结构层</x:v>
      </x:c>
      <x:c r="H57" s="82" t="str">
        <x:v>正印</x:v>
      </x:c>
      <x:c r="I57" s="82" t="str">
        <x:v>待定</x:v>
      </x:c>
      <x:c r="J57" s="82" t="str">
        <x:v>待定</x:v>
      </x:c>
      <x:c r="K57" s="82" t="str">
        <x:v>待定</x:v>
      </x:c>
      <x:c r="L57" s="82" t="str">
        <x:v>待定</x:v>
      </x:c>
      <x:c r="M57" s="68" t="str">
        <x:v>印比连续扶身</x:v>
      </x:c>
      <x:c r="N57" s="68" t="str">
        <x:v>按M06/M08核查</x:v>
      </x:c>
      <x:c r="O57" s="82" t="str">
        <x:v>待定</x:v>
      </x:c>
      <x:c r="P57" s="68" t="str">
        <x:v>转M11/M14判断</x:v>
      </x:c>
      <x:c r="Q57" s="68" t="str">
        <x:v>提高扶身侧净优势</x:v>
      </x:c>
      <x:c r="R57" s="82" t="str">
        <x:v>待定</x:v>
      </x:c>
      <x:c r="S57" s="68" t="str">
        <x:v>有效印星生日主且比劫继续提供同类承载</x:v>
      </x:c>
      <x:c r="T57" s="68" t="str">
        <x:v>M02十神映射、M08五行有效旺衰、M09日主旺衰已完成</x:v>
      </x:c>
      <x:c r="U57" s="68" t="str">
        <x:v>相关十神已由M02正确映射，并以M08有效力量为准</x:v>
      </x:c>
      <x:c r="V57" s="68" t="str">
        <x:v>得令、有根、透干、同党或生源形成独立有效证据</x:v>
      </x:c>
      <x:c r="W57" s="68" t="str">
        <x:v>失令、无根、被合绊、被制、改性或作用路径受阻</x:v>
      </x:c>
      <x:c r="X57" s="90" t="str">
        <x:v>不得以十神名称、数量或单一旺弱证据直接完成定性</x:v>
      </x:c>
      <x:c r="Y57" s="68" t="str">
        <x:v>特殊格局、从化候选及明确组合转M11/M14另审</x:v>
      </x:c>
      <x:c r="Z57" s="68" t="str">
        <x:v>不得直接推出吉凶、具体事件、亲属结果或最终喜忌</x:v>
      </x:c>
      <x:c r="AA57" s="84" t="str">
        <x:v>印比协同扶身</x:v>
      </x:c>
      <x:c r="AB57" s="84" t="str">
        <x:v>印星与比劫连续生扶时扶身效果增强：当“有效印星生日主且比劫继续提供同类承载”成立时，按本规则记录十神的有效功能；同时保留制化、承载和反向证据。</x:v>
      </x:c>
      <x:c r="AC57" s="82" t="str">
        <x:v>较高</x:v>
      </x:c>
      <x:c r="AD57" s="82" t="str">
        <x:v>现代综合</x:v>
      </x:c>
      <x:c r="AE57" s="68" t="str">
        <x:v>十神必须分开判断存在性、力量、清纯度、功能性与喜忌性；M10只形成结构层结论和候选，不越级替代M11—M18。</x:v>
      </x:c>
      <x:c r="AF57" s="68" t="str">
        <x:v>相关条件真实成立，且增强条件有效时，可按“印星与比劫连续生扶时扶身效果增强”记录对应功能。</x:v>
      </x:c>
      <x:c r="AG57" s="90" t="str">
        <x:v>仅见表面十神名称或数量，但“不得以十神名称、数量或单一旺弱证据直接完成定性”所述限制存在时，不得套用本规则。</x:v>
      </x:c>
      <x:c r="AH57" s="68" t="str">
        <x:v>https://zh.wikisource.org/wiki/%E6%B8%8A%E6%B5%B7%E5%AD%90%E5%B9%B3%E5%A4%A7%E5%85%A8 ; https://zh.wikisource.org/wiki/%E6%BB%B4%E5%A4%A9%E9%AB%93%E9%97%A1%E5%BE%AE</x:v>
      </x:c>
      <x:c r="AI57" s="82" t="str">
        <x:v>采用</x:v>
      </x:c>
      <x:c r="AJ57" s="82" t="str">
        <x:v>初审</x:v>
      </x:c>
      <x:c r="AK57" s="87" t="n">
        <x:v>46255</x:v>
      </x:c>
    </x:row>
    <x:row r="58">
      <x:c r="A58" s="72" t="str">
        <x:f>IF(OR(C58="",D58=""),"",B58&amp;"-"&amp;UPPER(C58)&amp;"-"&amp;TEXT(D58,"0000")&amp;"-"&amp;E58)</x:f>
        <x:v>M10-YIN-0052-V1.0</x:v>
      </x:c>
      <x:c r="B58" s="74" t="str">
        <x:v>M10</x:v>
      </x:c>
      <x:c r="C58" s="74" t="str">
        <x:v>YIN</x:v>
      </x:c>
      <x:c r="D58" s="215" t="n">
        <x:v>52</x:v>
      </x:c>
      <x:c r="E58" s="74" t="str">
        <x:v>V1.0</x:v>
      </x:c>
      <x:c r="F58" s="68" t="str">
        <x:v>偏印是否为忌须同时判断食神价值与日主需要</x:v>
      </x:c>
      <x:c r="G58" s="82" t="str">
        <x:v>结构层</x:v>
      </x:c>
      <x:c r="H58" s="82" t="str">
        <x:v>偏印</x:v>
      </x:c>
      <x:c r="I58" s="82" t="str">
        <x:v>待定</x:v>
      </x:c>
      <x:c r="J58" s="82" t="str">
        <x:v>待定</x:v>
      </x:c>
      <x:c r="K58" s="82" t="str">
        <x:v>待定</x:v>
      </x:c>
      <x:c r="L58" s="82" t="str">
        <x:v>待定</x:v>
      </x:c>
      <x:c r="M58" s="68" t="str">
        <x:v>按M08核查</x:v>
      </x:c>
      <x:c r="N58" s="68" t="str">
        <x:v>按M06/M08核查</x:v>
      </x:c>
      <x:c r="O58" s="82" t="str">
        <x:v>待定</x:v>
      </x:c>
      <x:c r="P58" s="68" t="str">
        <x:v>转M11/M14判断</x:v>
      </x:c>
      <x:c r="Q58" s="68" t="str">
        <x:v>需结合M09日主承载判断</x:v>
      </x:c>
      <x:c r="R58" s="82" t="str">
        <x:v>待定</x:v>
      </x:c>
      <x:c r="S58" s="68" t="str">
        <x:v>偏印与食神同现，需要判断日主是否需要印、食神是否承担关键功能</x:v>
      </x:c>
      <x:c r="T58" s="68" t="str">
        <x:v>M02十神映射、M08五行有效旺衰、M09日主旺衰已完成</x:v>
      </x:c>
      <x:c r="U58" s="68" t="str">
        <x:v>相关十神已由M02正确映射，并以M08有效力量为准</x:v>
      </x:c>
      <x:c r="V58" s="68" t="str">
        <x:v>得令、有根、透干、同党或生源形成独立有效证据</x:v>
      </x:c>
      <x:c r="W58" s="68" t="str">
        <x:v>失令、无根、被合绊、被制、改性或作用路径受阻</x:v>
      </x:c>
      <x:c r="X58" s="90" t="str">
        <x:v>不得以十神名称、数量或单一旺弱证据直接完成定性</x:v>
      </x:c>
      <x:c r="Y58" s="68" t="str">
        <x:v>特殊格局、从化候选及明确组合转M11/M14另审</x:v>
      </x:c>
      <x:c r="Z58" s="68" t="str">
        <x:v>不得见偏印就直接定枭神夺食或凶</x:v>
      </x:c>
      <x:c r="AA58" s="84" t="str">
        <x:v>偏印价值条件化</x:v>
      </x:c>
      <x:c r="AB58" s="84" t="str">
        <x:v>偏印是否为忌须同时判断食神价值与日主需要：当“偏印与食神同现，需要判断日主是否需要印、食神是否承担关键功能”成立时，按本规则记录十神的有效功能；同时保留制化、承载和反向证据。</x:v>
      </x:c>
      <x:c r="AC58" s="82" t="str">
        <x:v>较高</x:v>
      </x:c>
      <x:c r="AD58" s="82" t="str">
        <x:v>现代综合</x:v>
      </x:c>
      <x:c r="AE58" s="68" t="str">
        <x:v>十神必须分开判断存在性、力量、清纯度、功能性与喜忌性；M10只形成结构层结论和候选，不越级替代M11—M18。</x:v>
      </x:c>
      <x:c r="AF58" s="68" t="str">
        <x:v>相关条件真实成立，且增强条件有效时，可按“偏印是否为忌须同时判断食神价值与日主需要”记录对应功能。</x:v>
      </x:c>
      <x:c r="AG58" s="90" t="str">
        <x:v>仅见表面十神名称或数量，但“不得以十神名称、数量或单一旺弱证据直接完成定性”所述限制存在时，不得套用本规则。</x:v>
      </x:c>
      <x:c r="AH58" s="68" t="str">
        <x:v>https://zh.wikisource.org/wiki/%E6%B8%8A%E6%B5%B7%E5%AD%90%E5%B9%B3%E5%A4%A7%E5%85%A8 ; https://zh.wikisource.org/wiki/%E6%BB%B4%E5%A4%A9%E9%AB%93%E9%97%A1%E5%BE%AE</x:v>
      </x:c>
      <x:c r="AI58" s="82" t="str">
        <x:v>采用</x:v>
      </x:c>
      <x:c r="AJ58" s="82" t="str">
        <x:v>初审</x:v>
      </x:c>
      <x:c r="AK58" s="87" t="n">
        <x:v>46255</x:v>
      </x:c>
    </x:row>
    <x:row r="59">
      <x:c r="A59" s="72" t="str">
        <x:f>IF(OR(C59="",D59=""),"",B59&amp;"-"&amp;UPPER(C59)&amp;"-"&amp;TEXT(D59,"0000")&amp;"-"&amp;E59)</x:f>
        <x:v>M10-SHISHANG-0053-V1.0</x:v>
      </x:c>
      <x:c r="B59" s="74" t="str">
        <x:v>M10</x:v>
      </x:c>
      <x:c r="C59" s="74" t="str">
        <x:v>SHISHANG</x:v>
      </x:c>
      <x:c r="D59" s="215" t="n">
        <x:v>53</x:v>
      </x:c>
      <x:c r="E59" s="74" t="str">
        <x:v>V1.0</x:v>
      </x:c>
      <x:c r="F59" s="68" t="str">
        <x:v>有效食神首先承担泄身输出功能</x:v>
      </x:c>
      <x:c r="G59" s="82" t="str">
        <x:v>结构层</x:v>
      </x:c>
      <x:c r="H59" s="82" t="str">
        <x:v>食神</x:v>
      </x:c>
      <x:c r="I59" s="82" t="str">
        <x:v>待定</x:v>
      </x:c>
      <x:c r="J59" s="82" t="str">
        <x:v>待定</x:v>
      </x:c>
      <x:c r="K59" s="82" t="str">
        <x:v>待定</x:v>
      </x:c>
      <x:c r="L59" s="82" t="str">
        <x:v>待定</x:v>
      </x:c>
      <x:c r="M59" s="68" t="str">
        <x:v>按M08核查</x:v>
      </x:c>
      <x:c r="N59" s="68" t="str">
        <x:v>按M06/M08核查</x:v>
      </x:c>
      <x:c r="O59" s="82" t="str">
        <x:v>正常发挥</x:v>
      </x:c>
      <x:c r="P59" s="68" t="str">
        <x:v>转M11/M14判断</x:v>
      </x:c>
      <x:c r="Q59" s="68" t="str">
        <x:v>泄日主之气并形成输出通道</x:v>
      </x:c>
      <x:c r="R59" s="82" t="str">
        <x:v>待定</x:v>
      </x:c>
      <x:c r="S59" s="68" t="str">
        <x:v>食神有效存在且日主有力量可泄</x:v>
      </x:c>
      <x:c r="T59" s="68" t="str">
        <x:v>M02十神映射、M08五行有效旺衰、M09日主旺衰已完成</x:v>
      </x:c>
      <x:c r="U59" s="68" t="str">
        <x:v>相关十神已由M02正确映射，并以M08有效力量为准</x:v>
      </x:c>
      <x:c r="V59" s="68" t="str">
        <x:v>得令、有根、透干、同党或生源形成独立有效证据</x:v>
      </x:c>
      <x:c r="W59" s="68" t="str">
        <x:v>失令、无根、被合绊、被制、改性或作用路径受阻</x:v>
      </x:c>
      <x:c r="X59" s="90" t="str">
        <x:v>不得以十神名称、数量或单一旺弱证据直接完成定性</x:v>
      </x:c>
      <x:c r="Y59" s="68" t="str">
        <x:v>特殊格局、从化候选及明确组合转M11/M14另审</x:v>
      </x:c>
      <x:c r="Z59" s="68" t="str">
        <x:v>不得直接推出吉凶、具体事件、亲属结果或最终喜忌</x:v>
      </x:c>
      <x:c r="AA59" s="84" t="str">
        <x:v>食神泄身</x:v>
      </x:c>
      <x:c r="AB59" s="84" t="str">
        <x:v>有效食神首先承担泄身输出功能：当“食神有效存在且日主有力量可泄”成立时，按本规则记录十神的有效功能；同时保留制化、承载和反向证据。</x:v>
      </x:c>
      <x:c r="AC59" s="82" t="str">
        <x:v>较高</x:v>
      </x:c>
      <x:c r="AD59" s="82" t="str">
        <x:v>现代综合</x:v>
      </x:c>
      <x:c r="AE59" s="68" t="str">
        <x:v>十神必须分开判断存在性、力量、清纯度、功能性与喜忌性；M10只形成结构层结论和候选，不越级替代M11—M18。</x:v>
      </x:c>
      <x:c r="AF59" s="68" t="str">
        <x:v>相关条件真实成立，且增强条件有效时，可按“有效食神首先承担泄身输出功能”记录对应功能。</x:v>
      </x:c>
      <x:c r="AG59" s="90" t="str">
        <x:v>仅见表面十神名称或数量，但“不得以十神名称、数量或单一旺弱证据直接完成定性”所述限制存在时，不得套用本规则。</x:v>
      </x:c>
      <x:c r="AH59" s="68" t="str">
        <x:v>https://zh.wikisource.org/wiki/%E6%B8%8A%E6%B5%B7%E5%AD%90%E5%B9%B3%E5%A4%A7%E5%85%A8 ; https://zh.wikisource.org/wiki/%E6%BB%B4%E5%A4%A9%E9%AB%93%E9%97%A1%E5%BE%AE</x:v>
      </x:c>
      <x:c r="AI59" s="82" t="str">
        <x:v>采用</x:v>
      </x:c>
      <x:c r="AJ59" s="82" t="str">
        <x:v>初审</x:v>
      </x:c>
      <x:c r="AK59" s="87" t="n">
        <x:v>46255</x:v>
      </x:c>
    </x:row>
    <x:row r="60">
      <x:c r="A60" s="72" t="str">
        <x:f>IF(OR(C60="",D60=""),"",B60&amp;"-"&amp;UPPER(C60)&amp;"-"&amp;TEXT(D60,"0000")&amp;"-"&amp;E60)</x:f>
        <x:v>M10-SHISHANG-0054-V1.0</x:v>
      </x:c>
      <x:c r="B60" s="74" t="str">
        <x:v>M10</x:v>
      </x:c>
      <x:c r="C60" s="74" t="str">
        <x:v>SHISHANG</x:v>
      </x:c>
      <x:c r="D60" s="215" t="n">
        <x:v>54</x:v>
      </x:c>
      <x:c r="E60" s="74" t="str">
        <x:v>V1.0</x:v>
      </x:c>
      <x:c r="F60" s="68" t="str">
        <x:v>有效伤官同样承担泄身且具有克官接口</x:v>
      </x:c>
      <x:c r="G60" s="82" t="str">
        <x:v>结构层</x:v>
      </x:c>
      <x:c r="H60" s="82" t="str">
        <x:v>伤官</x:v>
      </x:c>
      <x:c r="I60" s="82" t="str">
        <x:v>待定</x:v>
      </x:c>
      <x:c r="J60" s="82" t="str">
        <x:v>待定</x:v>
      </x:c>
      <x:c r="K60" s="82" t="str">
        <x:v>待定</x:v>
      </x:c>
      <x:c r="L60" s="82" t="str">
        <x:v>待定</x:v>
      </x:c>
      <x:c r="M60" s="68" t="str">
        <x:v>按M08核查</x:v>
      </x:c>
      <x:c r="N60" s="68" t="str">
        <x:v>按M06/M08核查</x:v>
      </x:c>
      <x:c r="O60" s="82" t="str">
        <x:v>正常发挥</x:v>
      </x:c>
      <x:c r="P60" s="68" t="str">
        <x:v>转M11/M14判断</x:v>
      </x:c>
      <x:c r="Q60" s="68" t="str">
        <x:v>泄身，并可能对正官形成克制</x:v>
      </x:c>
      <x:c r="R60" s="82" t="str">
        <x:v>待定</x:v>
      </x:c>
      <x:c r="S60" s="68" t="str">
        <x:v>伤官有效存在</x:v>
      </x:c>
      <x:c r="T60" s="68" t="str">
        <x:v>M02十神映射、M08五行有效旺衰、M09日主旺衰已完成</x:v>
      </x:c>
      <x:c r="U60" s="68" t="str">
        <x:v>相关十神已由M02正确映射，并以M08有效力量为准</x:v>
      </x:c>
      <x:c r="V60" s="68" t="str">
        <x:v>得令、有根、透干、同党或生源形成独立有效证据</x:v>
      </x:c>
      <x:c r="W60" s="68" t="str">
        <x:v>失令、无根、被合绊、被制、改性或作用路径受阻</x:v>
      </x:c>
      <x:c r="X60" s="90" t="str">
        <x:v>不得以十神名称、数量或单一旺弱证据直接完成定性</x:v>
      </x:c>
      <x:c r="Y60" s="68" t="str">
        <x:v>特殊格局、从化候选及明确组合转M11/M14另审</x:v>
      </x:c>
      <x:c r="Z60" s="68" t="str">
        <x:v>不得直接推出吉凶、具体事件、亲属结果或最终喜忌</x:v>
      </x:c>
      <x:c r="AA60" s="84" t="str">
        <x:v>伤官双向功能</x:v>
      </x:c>
      <x:c r="AB60" s="84" t="str">
        <x:v>有效伤官同样承担泄身且具有克官接口：当“伤官有效存在”成立时，按本规则记录十神的有效功能；同时保留制化、承载和反向证据。</x:v>
      </x:c>
      <x:c r="AC60" s="82" t="str">
        <x:v>较高</x:v>
      </x:c>
      <x:c r="AD60" s="82" t="str">
        <x:v>现代综合</x:v>
      </x:c>
      <x:c r="AE60" s="68" t="str">
        <x:v>十神必须分开判断存在性、力量、清纯度、功能性与喜忌性；M10只形成结构层结论和候选，不越级替代M11—M18。</x:v>
      </x:c>
      <x:c r="AF60" s="68" t="str">
        <x:v>相关条件真实成立，且增强条件有效时，可按“有效伤官同样承担泄身且具有克官接口”记录对应功能。</x:v>
      </x:c>
      <x:c r="AG60" s="90" t="str">
        <x:v>仅见表面十神名称或数量，但“不得以十神名称、数量或单一旺弱证据直接完成定性”所述限制存在时，不得套用本规则。</x:v>
      </x:c>
      <x:c r="AH60" s="68" t="str">
        <x:v>https://zh.wikisource.org/wiki/%E6%B8%8A%E6%B5%B7%E5%AD%90%E5%B9%B3%E5%A4%A7%E5%85%A8 ; https://zh.wikisource.org/wiki/%E6%BB%B4%E5%A4%A9%E9%AB%93%E9%97%A1%E5%BE%AE</x:v>
      </x:c>
      <x:c r="AI60" s="82" t="str">
        <x:v>采用</x:v>
      </x:c>
      <x:c r="AJ60" s="82" t="str">
        <x:v>初审</x:v>
      </x:c>
      <x:c r="AK60" s="87" t="n">
        <x:v>46255</x:v>
      </x:c>
    </x:row>
    <x:row r="61">
      <x:c r="A61" s="72" t="str">
        <x:f>IF(OR(C61="",D61=""),"",B61&amp;"-"&amp;UPPER(C61)&amp;"-"&amp;TEXT(D61,"0000")&amp;"-"&amp;E61)</x:f>
        <x:v>M10-SHISHANG-0055-V1.0</x:v>
      </x:c>
      <x:c r="B61" s="74" t="str">
        <x:v>M10</x:v>
      </x:c>
      <x:c r="C61" s="74" t="str">
        <x:v>SHISHANG</x:v>
      </x:c>
      <x:c r="D61" s="215" t="n">
        <x:v>55</x:v>
      </x:c>
      <x:c r="E61" s="74" t="str">
        <x:v>V1.0</x:v>
      </x:c>
      <x:c r="F61" s="68" t="str">
        <x:v>食神可生财形成连续输出链</x:v>
      </x:c>
      <x:c r="G61" s="82" t="str">
        <x:v>结构层</x:v>
      </x:c>
      <x:c r="H61" s="82" t="str">
        <x:v>食神</x:v>
      </x:c>
      <x:c r="I61" s="82" t="str">
        <x:v>待定</x:v>
      </x:c>
      <x:c r="J61" s="82" t="str">
        <x:v>待定</x:v>
      </x:c>
      <x:c r="K61" s="82" t="str">
        <x:v>待定</x:v>
      </x:c>
      <x:c r="L61" s="82" t="str">
        <x:v>待定</x:v>
      </x:c>
      <x:c r="M61" s="68" t="str">
        <x:v>日主为食神源头，财星为其输出终点</x:v>
      </x:c>
      <x:c r="N61" s="68" t="str">
        <x:v>按M06/M08核查</x:v>
      </x:c>
      <x:c r="O61" s="82" t="str">
        <x:v>待定</x:v>
      </x:c>
      <x:c r="P61" s="68" t="str">
        <x:v>食神生财候选转M11</x:v>
      </x:c>
      <x:c r="Q61" s="68" t="str">
        <x:v>需结合M09日主承载判断</x:v>
      </x:c>
      <x:c r="R61" s="82" t="str">
        <x:v>待定</x:v>
      </x:c>
      <x:c r="S61" s="68" t="str">
        <x:v>食神有效且财星能够承接其生扶</x:v>
      </x:c>
      <x:c r="T61" s="68" t="str">
        <x:v>M02十神映射、M08五行有效旺衰、M09日主旺衰已完成</x:v>
      </x:c>
      <x:c r="U61" s="68" t="str">
        <x:v>相关十神已由M02正确映射，并以M08有效力量为准</x:v>
      </x:c>
      <x:c r="V61" s="68" t="str">
        <x:v>得令、有根、透干、同党或生源形成独立有效证据</x:v>
      </x:c>
      <x:c r="W61" s="68" t="str">
        <x:v>失令、无根、被合绊、被制、改性或作用路径受阻</x:v>
      </x:c>
      <x:c r="X61" s="90" t="str">
        <x:v>不得以十神名称、数量或单一旺弱证据直接完成定性</x:v>
      </x:c>
      <x:c r="Y61" s="68" t="str">
        <x:v>特殊格局、从化候选及明确组合转M11/M14另审</x:v>
      </x:c>
      <x:c r="Z61" s="68" t="str">
        <x:v>不得直接推出吉凶、具体事件、亲属结果或最终喜忌</x:v>
      </x:c>
      <x:c r="AA61" s="84" t="str">
        <x:v>食神生财接口</x:v>
      </x:c>
      <x:c r="AB61" s="84" t="str">
        <x:v>食神可生财形成连续输出链：当“食神有效且财星能够承接其生扶”成立时，按本规则记录十神的有效功能；同时保留制化、承载和反向证据。</x:v>
      </x:c>
      <x:c r="AC61" s="82" t="str">
        <x:v>较高</x:v>
      </x:c>
      <x:c r="AD61" s="82" t="str">
        <x:v>现代综合</x:v>
      </x:c>
      <x:c r="AE61" s="68" t="str">
        <x:v>十神必须分开判断存在性、力量、清纯度、功能性与喜忌性；M10只形成结构层结论和候选，不越级替代M11—M18。</x:v>
      </x:c>
      <x:c r="AF61" s="68" t="str">
        <x:v>相关条件真实成立，且增强条件有效时，可按“食神可生财形成连续输出链”记录对应功能。</x:v>
      </x:c>
      <x:c r="AG61" s="90" t="str">
        <x:v>仅见表面十神名称或数量，但“不得以十神名称、数量或单一旺弱证据直接完成定性”所述限制存在时，不得套用本规则。</x:v>
      </x:c>
      <x:c r="AH61" s="68" t="str">
        <x:v>https://zh.wikisource.org/wiki/%E6%B8%8A%E6%B5%B7%E5%AD%90%E5%B9%B3%E5%A4%A7%E5%85%A8 ; https://zh.wikisource.org/wiki/%E6%BB%B4%E5%A4%A9%E9%AB%93%E9%97%A1%E5%BE%AE</x:v>
      </x:c>
      <x:c r="AI61" s="82" t="str">
        <x:v>采用</x:v>
      </x:c>
      <x:c r="AJ61" s="82" t="str">
        <x:v>初审</x:v>
      </x:c>
      <x:c r="AK61" s="87" t="n">
        <x:v>46255</x:v>
      </x:c>
    </x:row>
    <x:row r="62">
      <x:c r="A62" s="72" t="str">
        <x:f>IF(OR(C62="",D62=""),"",B62&amp;"-"&amp;UPPER(C62)&amp;"-"&amp;TEXT(D62,"0000")&amp;"-"&amp;E62)</x:f>
        <x:v>M10-SHISHANG-0056-V1.0</x:v>
      </x:c>
      <x:c r="B62" s="74" t="str">
        <x:v>M10</x:v>
      </x:c>
      <x:c r="C62" s="74" t="str">
        <x:v>SHISHANG</x:v>
      </x:c>
      <x:c r="D62" s="215" t="n">
        <x:v>56</x:v>
      </x:c>
      <x:c r="E62" s="74" t="str">
        <x:v>V1.0</x:v>
      </x:c>
      <x:c r="F62" s="68" t="str">
        <x:v>伤官生财须财星有效承接才成立</x:v>
      </x:c>
      <x:c r="G62" s="82" t="str">
        <x:v>结构层</x:v>
      </x:c>
      <x:c r="H62" s="82" t="str">
        <x:v>伤官</x:v>
      </x:c>
      <x:c r="I62" s="82" t="str">
        <x:v>待定</x:v>
      </x:c>
      <x:c r="J62" s="82" t="str">
        <x:v>待定</x:v>
      </x:c>
      <x:c r="K62" s="82" t="str">
        <x:v>待定</x:v>
      </x:c>
      <x:c r="L62" s="82" t="str">
        <x:v>待定</x:v>
      </x:c>
      <x:c r="M62" s="68" t="str">
        <x:v>按M08核查</x:v>
      </x:c>
      <x:c r="N62" s="68" t="str">
        <x:v>按M06/M08核查</x:v>
      </x:c>
      <x:c r="O62" s="82" t="str">
        <x:v>待定</x:v>
      </x:c>
      <x:c r="P62" s="68" t="str">
        <x:v>伤官生财候选转M11</x:v>
      </x:c>
      <x:c r="Q62" s="68" t="str">
        <x:v>需结合M09日主承载判断</x:v>
      </x:c>
      <x:c r="R62" s="82" t="str">
        <x:v>待定</x:v>
      </x:c>
      <x:c r="S62" s="68" t="str">
        <x:v>伤官有效，财星存在且生扶通路连续</x:v>
      </x:c>
      <x:c r="T62" s="68" t="str">
        <x:v>M02十神映射、M08五行有效旺衰、M09日主旺衰已完成</x:v>
      </x:c>
      <x:c r="U62" s="68" t="str">
        <x:v>相关十神已由M02正确映射，并以M08有效力量为准</x:v>
      </x:c>
      <x:c r="V62" s="68" t="str">
        <x:v>得令、有根、透干、同党或生源形成独立有效证据</x:v>
      </x:c>
      <x:c r="W62" s="68" t="str">
        <x:v>失令、无根、被合绊、被制、改性或作用路径受阻</x:v>
      </x:c>
      <x:c r="X62" s="90" t="str">
        <x:v>不得以十神名称、数量或单一旺弱证据直接完成定性</x:v>
      </x:c>
      <x:c r="Y62" s="68" t="str">
        <x:v>特殊格局、从化候选及明确组合转M11/M14另审</x:v>
      </x:c>
      <x:c r="Z62" s="68" t="str">
        <x:v>不得直接推出吉凶、具体事件、亲属结果或最终喜忌</x:v>
      </x:c>
      <x:c r="AA62" s="84" t="str">
        <x:v>伤官生财接口</x:v>
      </x:c>
      <x:c r="AB62" s="84" t="str">
        <x:v>伤官生财须财星有效承接才成立：当“伤官有效，财星存在且生扶通路连续”成立时，按本规则记录十神的有效功能；同时保留制化、承载和反向证据。</x:v>
      </x:c>
      <x:c r="AC62" s="82" t="str">
        <x:v>较高</x:v>
      </x:c>
      <x:c r="AD62" s="82" t="str">
        <x:v>现代综合</x:v>
      </x:c>
      <x:c r="AE62" s="68" t="str">
        <x:v>十神必须分开判断存在性、力量、清纯度、功能性与喜忌性；M10只形成结构层结论和候选，不越级替代M11—M18。</x:v>
      </x:c>
      <x:c r="AF62" s="68" t="str">
        <x:v>相关条件真实成立，且增强条件有效时，可按“伤官生财须财星有效承接才成立”记录对应功能。</x:v>
      </x:c>
      <x:c r="AG62" s="90" t="str">
        <x:v>仅见表面十神名称或数量，但“不得以十神名称、数量或单一旺弱证据直接完成定性”所述限制存在时，不得套用本规则。</x:v>
      </x:c>
      <x:c r="AH62" s="68" t="str">
        <x:v>https://zh.wikisource.org/wiki/%E6%B8%8A%E6%B5%B7%E5%AD%90%E5%B9%B3%E5%A4%A7%E5%85%A8 ; https://zh.wikisource.org/wiki/%E6%BB%B4%E5%A4%A9%E9%AB%93%E9%97%A1%E5%BE%AE</x:v>
      </x:c>
      <x:c r="AI62" s="82" t="str">
        <x:v>采用</x:v>
      </x:c>
      <x:c r="AJ62" s="82" t="str">
        <x:v>初审</x:v>
      </x:c>
      <x:c r="AK62" s="87" t="n">
        <x:v>46255</x:v>
      </x:c>
    </x:row>
    <x:row r="63">
      <x:c r="A63" s="72" t="str">
        <x:f>IF(OR(C63="",D63=""),"",B63&amp;"-"&amp;UPPER(C63)&amp;"-"&amp;TEXT(D63,"0000")&amp;"-"&amp;E63)</x:f>
        <x:v>M10-SHISHANG-0057-V1.0</x:v>
      </x:c>
      <x:c r="B63" s="74" t="str">
        <x:v>M10</x:v>
      </x:c>
      <x:c r="C63" s="74" t="str">
        <x:v>SHISHANG</x:v>
      </x:c>
      <x:c r="D63" s="215" t="n">
        <x:v>57</x:v>
      </x:c>
      <x:c r="E63" s="74" t="str">
        <x:v>V1.0</x:v>
      </x:c>
      <x:c r="F63" s="68" t="str">
        <x:v>食神制杀须双方均有效且形成直接制约</x:v>
      </x:c>
      <x:c r="G63" s="82" t="str">
        <x:v>结构层</x:v>
      </x:c>
      <x:c r="H63" s="82" t="str">
        <x:v>食神</x:v>
      </x:c>
      <x:c r="I63" s="82" t="str">
        <x:v>待定</x:v>
      </x:c>
      <x:c r="J63" s="82" t="str">
        <x:v>待定</x:v>
      </x:c>
      <x:c r="K63" s="82" t="str">
        <x:v>待定</x:v>
      </x:c>
      <x:c r="L63" s="82" t="str">
        <x:v>待定</x:v>
      </x:c>
      <x:c r="M63" s="68" t="str">
        <x:v>按M08核查</x:v>
      </x:c>
      <x:c r="N63" s="68" t="str">
        <x:v>对七杀形成有效克制</x:v>
      </x:c>
      <x:c r="O63" s="82" t="str">
        <x:v>待定</x:v>
      </x:c>
      <x:c r="P63" s="68" t="str">
        <x:v>食神制杀候选转M11</x:v>
      </x:c>
      <x:c r="Q63" s="68" t="str">
        <x:v>需结合M09日主承载判断</x:v>
      </x:c>
      <x:c r="R63" s="82" t="str">
        <x:v>待定</x:v>
      </x:c>
      <x:c r="S63" s="68" t="str">
        <x:v>食神与七杀均有效，克制路径真实成立</x:v>
      </x:c>
      <x:c r="T63" s="68" t="str">
        <x:v>M02十神映射、M08五行有效旺衰、M09日主旺衰已完成</x:v>
      </x:c>
      <x:c r="U63" s="68" t="str">
        <x:v>相关十神已由M02正确映射，并以M08有效力量为准</x:v>
      </x:c>
      <x:c r="V63" s="68" t="str">
        <x:v>得令、有根、透干、同党或生源形成独立有效证据</x:v>
      </x:c>
      <x:c r="W63" s="68" t="str">
        <x:v>失令、无根、被合绊、被制、改性或作用路径受阻</x:v>
      </x:c>
      <x:c r="X63" s="90" t="str">
        <x:v>不得以十神名称、数量或单一旺弱证据直接完成定性</x:v>
      </x:c>
      <x:c r="Y63" s="68" t="str">
        <x:v>特殊格局、从化候选及明确组合转M11/M14另审</x:v>
      </x:c>
      <x:c r="Z63" s="68" t="str">
        <x:v>不得直接推出吉凶、具体事件、亲属结果或最终喜忌</x:v>
      </x:c>
      <x:c r="AA63" s="84" t="str">
        <x:v>食神制杀接口</x:v>
      </x:c>
      <x:c r="AB63" s="84" t="str">
        <x:v>食神制杀须双方均有效且形成直接制约：当“食神与七杀均有效，克制路径真实成立”成立时，按本规则记录十神的有效功能；同时保留制化、承载和反向证据。</x:v>
      </x:c>
      <x:c r="AC63" s="82" t="str">
        <x:v>较高</x:v>
      </x:c>
      <x:c r="AD63" s="82" t="str">
        <x:v>现代综合</x:v>
      </x:c>
      <x:c r="AE63" s="68" t="str">
        <x:v>十神必须分开判断存在性、力量、清纯度、功能性与喜忌性；M10只形成结构层结论和候选，不越级替代M11—M18。</x:v>
      </x:c>
      <x:c r="AF63" s="68" t="str">
        <x:v>相关条件真实成立，且增强条件有效时，可按“食神制杀须双方均有效且形成直接制约”记录对应功能。</x:v>
      </x:c>
      <x:c r="AG63" s="90" t="str">
        <x:v>仅见表面十神名称或数量，但“不得以十神名称、数量或单一旺弱证据直接完成定性”所述限制存在时，不得套用本规则。</x:v>
      </x:c>
      <x:c r="AH63" s="68" t="str">
        <x:v>https://zh.wikisource.org/wiki/%E6%B8%8A%E6%B5%B7%E5%AD%90%E5%B9%B3%E5%A4%A7%E5%85%A8 ; https://zh.wikisource.org/wiki/%E6%BB%B4%E5%A4%A9%E9%AB%93%E9%97%A1%E5%BE%AE</x:v>
      </x:c>
      <x:c r="AI63" s="82" t="str">
        <x:v>采用</x:v>
      </x:c>
      <x:c r="AJ63" s="82" t="str">
        <x:v>初审</x:v>
      </x:c>
      <x:c r="AK63" s="87" t="n">
        <x:v>46255</x:v>
      </x:c>
    </x:row>
    <x:row r="64">
      <x:c r="A64" s="72" t="str">
        <x:f>IF(OR(C64="",D64=""),"",B64&amp;"-"&amp;UPPER(C64)&amp;"-"&amp;TEXT(D64,"0000")&amp;"-"&amp;E64)</x:f>
        <x:v>M10-SHISHANG-0058-V1.0</x:v>
      </x:c>
      <x:c r="B64" s="74" t="str">
        <x:v>M10</x:v>
      </x:c>
      <x:c r="C64" s="74" t="str">
        <x:v>SHISHANG</x:v>
      </x:c>
      <x:c r="D64" s="215" t="n">
        <x:v>58</x:v>
      </x:c>
      <x:c r="E64" s="74" t="str">
        <x:v>V1.0</x:v>
      </x:c>
      <x:c r="F64" s="68" t="str">
        <x:v>伤官见官只是冲突候选不是自动凶论</x:v>
      </x:c>
      <x:c r="G64" s="82" t="str">
        <x:v>结构层</x:v>
      </x:c>
      <x:c r="H64" s="82" t="str">
        <x:v>伤官</x:v>
      </x:c>
      <x:c r="I64" s="82" t="str">
        <x:v>待定</x:v>
      </x:c>
      <x:c r="J64" s="82" t="str">
        <x:v>待定</x:v>
      </x:c>
      <x:c r="K64" s="82" t="str">
        <x:v>待定</x:v>
      </x:c>
      <x:c r="L64" s="82" t="str">
        <x:v>待定</x:v>
      </x:c>
      <x:c r="M64" s="68" t="str">
        <x:v>按M08核查</x:v>
      </x:c>
      <x:c r="N64" s="68" t="str">
        <x:v>对正官形成有效克制</x:v>
      </x:c>
      <x:c r="O64" s="82" t="str">
        <x:v>待定</x:v>
      </x:c>
      <x:c r="P64" s="68" t="str">
        <x:v>伤官见官候选转M11</x:v>
      </x:c>
      <x:c r="Q64" s="68" t="str">
        <x:v>需结合M09日主承载判断</x:v>
      </x:c>
      <x:c r="R64" s="82" t="str">
        <x:v>待定</x:v>
      </x:c>
      <x:c r="S64" s="68" t="str">
        <x:v>伤官与正官均有效且形成实质克制</x:v>
      </x:c>
      <x:c r="T64" s="68" t="str">
        <x:v>M02十神映射、M08五行有效旺衰、M09日主旺衰已完成</x:v>
      </x:c>
      <x:c r="U64" s="68" t="str">
        <x:v>相关十神已由M02正确映射，并以M08有效力量为准</x:v>
      </x:c>
      <x:c r="V64" s="68" t="str">
        <x:v>得令、有根、透干、同党或生源形成独立有效证据</x:v>
      </x:c>
      <x:c r="W64" s="68" t="str">
        <x:v>失令、无根、被合绊、被制、改性或作用路径受阻</x:v>
      </x:c>
      <x:c r="X64" s="90" t="str">
        <x:v>不得以十神名称、数量或单一旺弱证据直接完成定性</x:v>
      </x:c>
      <x:c r="Y64" s="68" t="str">
        <x:v>特殊格局、从化候选及明确组合转M11/M14另审</x:v>
      </x:c>
      <x:c r="Z64" s="68" t="str">
        <x:v>不得由伤官见官四字直接推出灾祸、婚姻或职业事件</x:v>
      </x:c>
      <x:c r="AA64" s="84" t="str">
        <x:v>伤官克官接口</x:v>
      </x:c>
      <x:c r="AB64" s="84" t="str">
        <x:v>伤官见官只是冲突候选不是自动凶论：当“伤官与正官均有效且形成实质克制”成立时，按本规则记录十神的有效功能；同时保留制化、承载和反向证据。</x:v>
      </x:c>
      <x:c r="AC64" s="82" t="str">
        <x:v>较高</x:v>
      </x:c>
      <x:c r="AD64" s="82" t="str">
        <x:v>现代综合</x:v>
      </x:c>
      <x:c r="AE64" s="68" t="str">
        <x:v>十神必须分开判断存在性、力量、清纯度、功能性与喜忌性；M10只形成结构层结论和候选，不越级替代M11—M18。</x:v>
      </x:c>
      <x:c r="AF64" s="68" t="str">
        <x:v>相关条件真实成立，且增强条件有效时，可按“伤官见官只是冲突候选不是自动凶论”记录对应功能。</x:v>
      </x:c>
      <x:c r="AG64" s="90" t="str">
        <x:v>仅见表面十神名称或数量，但“不得以十神名称、数量或单一旺弱证据直接完成定性”所述限制存在时，不得套用本规则。</x:v>
      </x:c>
      <x:c r="AH64" s="68" t="str">
        <x:v>https://zh.wikisource.org/wiki/%E6%B8%8A%E6%B5%B7%E5%AD%90%E5%B9%B3%E5%A4%A7%E5%85%A8 ; https://zh.wikisource.org/wiki/%E6%BB%B4%E5%A4%A9%E9%AB%93%E9%97%A1%E5%BE%AE</x:v>
      </x:c>
      <x:c r="AI64" s="82" t="str">
        <x:v>采用</x:v>
      </x:c>
      <x:c r="AJ64" s="82" t="str">
        <x:v>初审</x:v>
      </x:c>
      <x:c r="AK64" s="87" t="n">
        <x:v>46255</x:v>
      </x:c>
    </x:row>
    <x:row r="65">
      <x:c r="A65" s="72" t="str">
        <x:f>IF(OR(C65="",D65=""),"",B65&amp;"-"&amp;UPPER(C65)&amp;"-"&amp;TEXT(D65,"0000")&amp;"-"&amp;E65)</x:f>
        <x:v>M10-SHISHANG-0059-V1.0</x:v>
      </x:c>
      <x:c r="B65" s="74" t="str">
        <x:v>M10</x:v>
      </x:c>
      <x:c r="C65" s="74" t="str">
        <x:v>SHISHANG</x:v>
      </x:c>
      <x:c r="D65" s="215" t="n">
        <x:v>59</x:v>
      </x:c>
      <x:c r="E65" s="74" t="str">
        <x:v>V1.0</x:v>
      </x:c>
      <x:c r="F65" s="68" t="str">
        <x:v>身旺有食伤泄出可形成泄秀候选</x:v>
      </x:c>
      <x:c r="G65" s="82" t="str">
        <x:v>结构层</x:v>
      </x:c>
      <x:c r="H65" s="82" t="str">
        <x:v>食神</x:v>
      </x:c>
      <x:c r="I65" s="82" t="str">
        <x:v>待定</x:v>
      </x:c>
      <x:c r="J65" s="82" t="str">
        <x:v>待定</x:v>
      </x:c>
      <x:c r="K65" s="82" t="str">
        <x:v>待定</x:v>
      </x:c>
      <x:c r="L65" s="82" t="str">
        <x:v>待定</x:v>
      </x:c>
      <x:c r="M65" s="68" t="str">
        <x:v>按M08核查</x:v>
      </x:c>
      <x:c r="N65" s="68" t="str">
        <x:v>按M06/M08核查</x:v>
      </x:c>
      <x:c r="O65" s="82" t="str">
        <x:v>待定</x:v>
      </x:c>
      <x:c r="P65" s="68" t="str">
        <x:v>转M11/M14判断</x:v>
      </x:c>
      <x:c r="Q65" s="68" t="str">
        <x:v>帮助释放过强身势</x:v>
      </x:c>
      <x:c r="R65" s="82" t="str">
        <x:v>条件性喜神</x:v>
      </x:c>
      <x:c r="S65" s="68" t="str">
        <x:v>M09日主旺或中和偏旺，食神有效且输出顺畅</x:v>
      </x:c>
      <x:c r="T65" s="68" t="str">
        <x:v>M02十神映射、M08五行有效旺衰、M09日主旺衰已完成</x:v>
      </x:c>
      <x:c r="U65" s="68" t="str">
        <x:v>相关十神已由M02正确映射，并以M08有效力量为准</x:v>
      </x:c>
      <x:c r="V65" s="68" t="str">
        <x:v>得令、有根、透干、同党或生源形成独立有效证据</x:v>
      </x:c>
      <x:c r="W65" s="68" t="str">
        <x:v>失令、无根、被合绊、被制、改性或作用路径受阻</x:v>
      </x:c>
      <x:c r="X65" s="90" t="str">
        <x:v>不得以十神名称、数量或单一旺弱证据直接完成定性</x:v>
      </x:c>
      <x:c r="Y65" s="68" t="str">
        <x:v>特殊格局、从化候选及明确组合转M11/M14另审</x:v>
      </x:c>
      <x:c r="Z65" s="68" t="str">
        <x:v>不得直接推出吉凶、具体事件、亲属结果或最终喜忌</x:v>
      </x:c>
      <x:c r="AA65" s="84" t="str">
        <x:v>身旺食神泄秀</x:v>
      </x:c>
      <x:c r="AB65" s="84" t="str">
        <x:v>身旺有食伤泄出可形成泄秀候选：当“M09日主旺或中和偏旺，食神有效且输出顺畅”成立时，按本规则记录十神的有效功能；同时保留制化、承载和反向证据。</x:v>
      </x:c>
      <x:c r="AC65" s="82" t="str">
        <x:v>较高</x:v>
      </x:c>
      <x:c r="AD65" s="82" t="str">
        <x:v>现代综合</x:v>
      </x:c>
      <x:c r="AE65" s="68" t="str">
        <x:v>十神必须分开判断存在性、力量、清纯度、功能性与喜忌性；M10只形成结构层结论和候选，不越级替代M11—M18。</x:v>
      </x:c>
      <x:c r="AF65" s="68" t="str">
        <x:v>相关条件真实成立，且增强条件有效时，可按“身旺有食伤泄出可形成泄秀候选”记录对应功能。</x:v>
      </x:c>
      <x:c r="AG65" s="90" t="str">
        <x:v>仅见表面十神名称或数量，但“不得以十神名称、数量或单一旺弱证据直接完成定性”所述限制存在时，不得套用本规则。</x:v>
      </x:c>
      <x:c r="AH65" s="68" t="str">
        <x:v>https://zh.wikisource.org/wiki/%E6%B8%8A%E6%B5%B7%E5%AD%90%E5%B9%B3%E5%A4%A7%E5%85%A8 ; https://zh.wikisource.org/wiki/%E6%BB%B4%E5%A4%A9%E9%AB%93%E9%97%A1%E5%BE%AE</x:v>
      </x:c>
      <x:c r="AI65" s="82" t="str">
        <x:v>采用</x:v>
      </x:c>
      <x:c r="AJ65" s="82" t="str">
        <x:v>初审</x:v>
      </x:c>
      <x:c r="AK65" s="87" t="n">
        <x:v>46255</x:v>
      </x:c>
    </x:row>
    <x:row r="66">
      <x:c r="A66" s="72" t="str">
        <x:f>IF(OR(C66="",D66=""),"",B66&amp;"-"&amp;UPPER(C66)&amp;"-"&amp;TEXT(D66,"0000")&amp;"-"&amp;E66)</x:f>
        <x:v>M10-SHISHANG-0060-V1.0</x:v>
      </x:c>
      <x:c r="B66" s="74" t="str">
        <x:v>M10</x:v>
      </x:c>
      <x:c r="C66" s="74" t="str">
        <x:v>SHISHANG</x:v>
      </x:c>
      <x:c r="D66" s="215" t="n">
        <x:v>60</x:v>
      </x:c>
      <x:c r="E66" s="74" t="str">
        <x:v>V1.0</x:v>
      </x:c>
      <x:c r="F66" s="68" t="str">
        <x:v>身弱食伤过旺会扩大泄身负荷</x:v>
      </x:c>
      <x:c r="G66" s="82" t="str">
        <x:v>结构层</x:v>
      </x:c>
      <x:c r="H66" s="82" t="str">
        <x:v>伤官</x:v>
      </x:c>
      <x:c r="I66" s="82" t="str">
        <x:v>待定</x:v>
      </x:c>
      <x:c r="J66" s="82" t="str">
        <x:v>待定</x:v>
      </x:c>
      <x:c r="K66" s="82" t="str">
        <x:v>待定</x:v>
      </x:c>
      <x:c r="L66" s="82" t="str">
        <x:v>待定</x:v>
      </x:c>
      <x:c r="M66" s="68" t="str">
        <x:v>按M08核查</x:v>
      </x:c>
      <x:c r="N66" s="68" t="str">
        <x:v>按M06/M08核查</x:v>
      </x:c>
      <x:c r="O66" s="82" t="str">
        <x:v>过度</x:v>
      </x:c>
      <x:c r="P66" s="68" t="str">
        <x:v>转M11/M14判断</x:v>
      </x:c>
      <x:c r="Q66" s="68" t="str">
        <x:v>持续泄身导致承载下降</x:v>
      </x:c>
      <x:c r="R66" s="82" t="str">
        <x:v>条件性忌神</x:v>
      </x:c>
      <x:c r="S66" s="68" t="str">
        <x:v>M09日主弱或中和偏弱，伤官旺且印比不足</x:v>
      </x:c>
      <x:c r="T66" s="68" t="str">
        <x:v>M02十神映射、M08五行有效旺衰、M09日主旺衰已完成</x:v>
      </x:c>
      <x:c r="U66" s="68" t="str">
        <x:v>相关十神已由M02正确映射，并以M08有效力量为准</x:v>
      </x:c>
      <x:c r="V66" s="68" t="str">
        <x:v>得令、有根、透干、同党或生源形成独立有效证据</x:v>
      </x:c>
      <x:c r="W66" s="68" t="str">
        <x:v>失令、无根、被合绊、被制、改性或作用路径受阻</x:v>
      </x:c>
      <x:c r="X66" s="90" t="str">
        <x:v>不得以十神名称、数量或单一旺弱证据直接完成定性</x:v>
      </x:c>
      <x:c r="Y66" s="68" t="str">
        <x:v>特殊格局、从化候选及明确组合转M11/M14另审</x:v>
      </x:c>
      <x:c r="Z66" s="68" t="str">
        <x:v>不得直接推出吉凶、具体事件、亲属结果或最终喜忌</x:v>
      </x:c>
      <x:c r="AA66" s="84" t="str">
        <x:v>身弱伤官过泄</x:v>
      </x:c>
      <x:c r="AB66" s="84" t="str">
        <x:v>身弱食伤过旺会扩大泄身负荷：当“M09日主弱或中和偏弱，伤官旺且印比不足”成立时，按本规则记录十神的有效功能；同时保留制化、承载和反向证据。</x:v>
      </x:c>
      <x:c r="AC66" s="82" t="str">
        <x:v>较高</x:v>
      </x:c>
      <x:c r="AD66" s="82" t="str">
        <x:v>现代综合</x:v>
      </x:c>
      <x:c r="AE66" s="68" t="str">
        <x:v>十神必须分开判断存在性、力量、清纯度、功能性与喜忌性；M10只形成结构层结论和候选，不越级替代M11—M18。</x:v>
      </x:c>
      <x:c r="AF66" s="68" t="str">
        <x:v>相关条件真实成立，且增强条件有效时，可按“身弱食伤过旺会扩大泄身负荷”记录对应功能。</x:v>
      </x:c>
      <x:c r="AG66" s="90" t="str">
        <x:v>仅见表面十神名称或数量，但“不得以十神名称、数量或单一旺弱证据直接完成定性”所述限制存在时，不得套用本规则。</x:v>
      </x:c>
      <x:c r="AH66" s="68" t="str">
        <x:v>https://zh.wikisource.org/wiki/%E6%B8%8A%E6%B5%B7%E5%AD%90%E5%B9%B3%E5%A4%A7%E5%85%A8 ; https://zh.wikisource.org/wiki/%E6%BB%B4%E5%A4%A9%E9%AB%93%E9%97%A1%E5%BE%AE</x:v>
      </x:c>
      <x:c r="AI66" s="82" t="str">
        <x:v>采用</x:v>
      </x:c>
      <x:c r="AJ66" s="82" t="str">
        <x:v>初审</x:v>
      </x:c>
      <x:c r="AK66" s="87" t="n">
        <x:v>46255</x:v>
      </x:c>
    </x:row>
    <x:row r="67">
      <x:c r="A67" s="72" t="str">
        <x:f>IF(OR(C67="",D67=""),"",B67&amp;"-"&amp;UPPER(C67)&amp;"-"&amp;TEXT(D67,"0000")&amp;"-"&amp;E67)</x:f>
        <x:v>M10-SHISHANG-0061-V1.0</x:v>
      </x:c>
      <x:c r="B67" s="74" t="str">
        <x:v>M10</x:v>
      </x:c>
      <x:c r="C67" s="74" t="str">
        <x:v>SHISHANG</x:v>
      </x:c>
      <x:c r="D67" s="215" t="n">
        <x:v>61</x:v>
      </x:c>
      <x:c r="E67" s="74" t="str">
        <x:v>V1.0</x:v>
      </x:c>
      <x:c r="F67" s="68" t="str">
        <x:v>食神被偏印强制时输出和制杀功能均受限</x:v>
      </x:c>
      <x:c r="G67" s="82" t="str">
        <x:v>结构层</x:v>
      </x:c>
      <x:c r="H67" s="82" t="str">
        <x:v>食神</x:v>
      </x:c>
      <x:c r="I67" s="82" t="str">
        <x:v>待定</x:v>
      </x:c>
      <x:c r="J67" s="82" t="str">
        <x:v>待定</x:v>
      </x:c>
      <x:c r="K67" s="82" t="str">
        <x:v>待定</x:v>
      </x:c>
      <x:c r="L67" s="82" t="str">
        <x:v>待定</x:v>
      </x:c>
      <x:c r="M67" s="68" t="str">
        <x:v>按M08核查</x:v>
      </x:c>
      <x:c r="N67" s="68" t="str">
        <x:v>受偏印有效克制</x:v>
      </x:c>
      <x:c r="O67" s="82" t="str">
        <x:v>受限</x:v>
      </x:c>
      <x:c r="P67" s="68" t="str">
        <x:v>转M11/M14判断</x:v>
      </x:c>
      <x:c r="Q67" s="68" t="str">
        <x:v>需结合M09日主承载判断</x:v>
      </x:c>
      <x:c r="R67" s="82" t="str">
        <x:v>待定</x:v>
      </x:c>
      <x:c r="S67" s="68" t="str">
        <x:v>偏印对食神形成实质有效克制</x:v>
      </x:c>
      <x:c r="T67" s="68" t="str">
        <x:v>M02十神映射、M08五行有效旺衰、M09日主旺衰已完成</x:v>
      </x:c>
      <x:c r="U67" s="68" t="str">
        <x:v>相关十神已由M02正确映射，并以M08有效力量为准</x:v>
      </x:c>
      <x:c r="V67" s="68" t="str">
        <x:v>得令、有根、透干、同党或生源形成独立有效证据</x:v>
      </x:c>
      <x:c r="W67" s="68" t="str">
        <x:v>失令、无根、被合绊、被制、改性或作用路径受阻</x:v>
      </x:c>
      <x:c r="X67" s="90" t="str">
        <x:v>不得以十神名称、数量或单一旺弱证据直接完成定性</x:v>
      </x:c>
      <x:c r="Y67" s="68" t="str">
        <x:v>特殊格局、从化候选及明确组合转M11/M14另审</x:v>
      </x:c>
      <x:c r="Z67" s="68" t="str">
        <x:v>不得直接推出吉凶、具体事件、亲属结果或最终喜忌</x:v>
      </x:c>
      <x:c r="AA67" s="84" t="str">
        <x:v>食神受枭制</x:v>
      </x:c>
      <x:c r="AB67" s="84" t="str">
        <x:v>食神被偏印强制时输出和制杀功能均受限：当“偏印对食神形成实质有效克制”成立时，按本规则记录十神的有效功能；同时保留制化、承载和反向证据。</x:v>
      </x:c>
      <x:c r="AC67" s="82" t="str">
        <x:v>较高</x:v>
      </x:c>
      <x:c r="AD67" s="82" t="str">
        <x:v>现代综合</x:v>
      </x:c>
      <x:c r="AE67" s="68" t="str">
        <x:v>十神必须分开判断存在性、力量、清纯度、功能性与喜忌性；M10只形成结构层结论和候选，不越级替代M11—M18。</x:v>
      </x:c>
      <x:c r="AF67" s="68" t="str">
        <x:v>相关条件真实成立，且增强条件有效时，可按“食神被偏印强制时输出和制杀功能均受限”记录对应功能。</x:v>
      </x:c>
      <x:c r="AG67" s="90" t="str">
        <x:v>仅见表面十神名称或数量，但“不得以十神名称、数量或单一旺弱证据直接完成定性”所述限制存在时，不得套用本规则。</x:v>
      </x:c>
      <x:c r="AH67" s="68" t="str">
        <x:v>https://zh.wikisource.org/wiki/%E6%B8%8A%E6%B5%B7%E5%AD%90%E5%B9%B3%E5%A4%A7%E5%85%A8 ; https://zh.wikisource.org/wiki/%E6%BB%B4%E5%A4%A9%E9%AB%93%E9%97%A1%E5%BE%AE</x:v>
      </x:c>
      <x:c r="AI67" s="82" t="str">
        <x:v>采用</x:v>
      </x:c>
      <x:c r="AJ67" s="82" t="str">
        <x:v>初审</x:v>
      </x:c>
      <x:c r="AK67" s="87" t="n">
        <x:v>46255</x:v>
      </x:c>
    </x:row>
    <x:row r="68">
      <x:c r="A68" s="72" t="str">
        <x:f>IF(OR(C68="",D68=""),"",B68&amp;"-"&amp;UPPER(C68)&amp;"-"&amp;TEXT(D68,"0000")&amp;"-"&amp;E68)</x:f>
        <x:v>M10-SHISHANG-0062-V1.0</x:v>
      </x:c>
      <x:c r="B68" s="74" t="str">
        <x:v>M10</x:v>
      </x:c>
      <x:c r="C68" s="74" t="str">
        <x:v>SHISHANG</x:v>
      </x:c>
      <x:c r="D68" s="215" t="n">
        <x:v>62</x:v>
      </x:c>
      <x:c r="E68" s="74" t="str">
        <x:v>V1.0</x:v>
      </x:c>
      <x:c r="F68" s="68" t="str">
        <x:v>伤官被印星有效制约时可形成制化候选</x:v>
      </x:c>
      <x:c r="G68" s="82" t="str">
        <x:v>结构层</x:v>
      </x:c>
      <x:c r="H68" s="82" t="str">
        <x:v>伤官</x:v>
      </x:c>
      <x:c r="I68" s="82" t="str">
        <x:v>待定</x:v>
      </x:c>
      <x:c r="J68" s="82" t="str">
        <x:v>待定</x:v>
      </x:c>
      <x:c r="K68" s="82" t="str">
        <x:v>待定</x:v>
      </x:c>
      <x:c r="L68" s="82" t="str">
        <x:v>待定</x:v>
      </x:c>
      <x:c r="M68" s="68" t="str">
        <x:v>按M08核查</x:v>
      </x:c>
      <x:c r="N68" s="68" t="str">
        <x:v>按M06/M08核查</x:v>
      </x:c>
      <x:c r="O68" s="82" t="str">
        <x:v>受限</x:v>
      </x:c>
      <x:c r="P68" s="68" t="str">
        <x:v>伤官配印候选转M11</x:v>
      </x:c>
      <x:c r="Q68" s="68" t="str">
        <x:v>需结合M09日主承载判断</x:v>
      </x:c>
      <x:c r="R68" s="82" t="str">
        <x:v>待定</x:v>
      </x:c>
      <x:c r="S68" s="68" t="str">
        <x:v>印星有力并能直接制伤官</x:v>
      </x:c>
      <x:c r="T68" s="68" t="str">
        <x:v>M02十神映射、M08五行有效旺衰、M09日主旺衰已完成</x:v>
      </x:c>
      <x:c r="U68" s="68" t="str">
        <x:v>相关十神已由M02正确映射，并以M08有效力量为准</x:v>
      </x:c>
      <x:c r="V68" s="68" t="str">
        <x:v>得令、有根、透干、同党或生源形成独立有效证据</x:v>
      </x:c>
      <x:c r="W68" s="68" t="str">
        <x:v>失令、无根、被合绊、被制、改性或作用路径受阻</x:v>
      </x:c>
      <x:c r="X68" s="90" t="str">
        <x:v>不得以十神名称、数量或单一旺弱证据直接完成定性</x:v>
      </x:c>
      <x:c r="Y68" s="68" t="str">
        <x:v>特殊格局、从化候选及明确组合转M11/M14另审</x:v>
      </x:c>
      <x:c r="Z68" s="68" t="str">
        <x:v>不得直接推出吉凶、具体事件、亲属结果或最终喜忌</x:v>
      </x:c>
      <x:c r="AA68" s="84" t="str">
        <x:v>伤官受印制</x:v>
      </x:c>
      <x:c r="AB68" s="84" t="str">
        <x:v>伤官被印星有效制约时可形成制化候选：当“印星有力并能直接制伤官”成立时，按本规则记录十神的有效功能；同时保留制化、承载和反向证据。</x:v>
      </x:c>
      <x:c r="AC68" s="82" t="str">
        <x:v>较高</x:v>
      </x:c>
      <x:c r="AD68" s="82" t="str">
        <x:v>现代综合</x:v>
      </x:c>
      <x:c r="AE68" s="68" t="str">
        <x:v>十神必须分开判断存在性、力量、清纯度、功能性与喜忌性；M10只形成结构层结论和候选，不越级替代M11—M18。</x:v>
      </x:c>
      <x:c r="AF68" s="68" t="str">
        <x:v>相关条件真实成立，且增强条件有效时，可按“伤官被印星有效制约时可形成制化候选”记录对应功能。</x:v>
      </x:c>
      <x:c r="AG68" s="90" t="str">
        <x:v>仅见表面十神名称或数量，但“不得以十神名称、数量或单一旺弱证据直接完成定性”所述限制存在时，不得套用本规则。</x:v>
      </x:c>
      <x:c r="AH68" s="68" t="str">
        <x:v>https://zh.wikisource.org/wiki/%E6%B8%8A%E6%B5%B7%E5%AD%90%E5%B9%B3%E5%A4%A7%E5%85%A8 ; https://zh.wikisource.org/wiki/%E6%BB%B4%E5%A4%A9%E9%AB%93%E9%97%A1%E5%BE%AE</x:v>
      </x:c>
      <x:c r="AI68" s="82" t="str">
        <x:v>采用</x:v>
      </x:c>
      <x:c r="AJ68" s="82" t="str">
        <x:v>初审</x:v>
      </x:c>
      <x:c r="AK68" s="87" t="n">
        <x:v>46255</x:v>
      </x:c>
    </x:row>
    <x:row r="69">
      <x:c r="A69" s="72" t="str">
        <x:f>IF(OR(C69="",D69=""),"",B69&amp;"-"&amp;UPPER(C69)&amp;"-"&amp;TEXT(D69,"0000")&amp;"-"&amp;E69)</x:f>
        <x:v>M10-SHISHANG-0063-V1.0</x:v>
      </x:c>
      <x:c r="B69" s="74" t="str">
        <x:v>M10</x:v>
      </x:c>
      <x:c r="C69" s="74" t="str">
        <x:v>SHISHANG</x:v>
      </x:c>
      <x:c r="D69" s="215" t="n">
        <x:v>63</x:v>
      </x:c>
      <x:c r="E69" s="74" t="str">
        <x:v>V1.0</x:v>
      </x:c>
      <x:c r="F69" s="68" t="str">
        <x:v>食伤集团成势时必须检查日主是否有足够源头</x:v>
      </x:c>
      <x:c r="G69" s="82" t="str">
        <x:v>结构层</x:v>
      </x:c>
      <x:c r="H69" s="82" t="str">
        <x:v>食神</x:v>
      </x:c>
      <x:c r="I69" s="82" t="str">
        <x:v>多处出现</x:v>
      </x:c>
      <x:c r="J69" s="82" t="str">
        <x:v>待定</x:v>
      </x:c>
      <x:c r="K69" s="82" t="str">
        <x:v>旺</x:v>
      </x:c>
      <x:c r="L69" s="82" t="str">
        <x:v>待定</x:v>
      </x:c>
      <x:c r="M69" s="68" t="str">
        <x:v>按M08核查</x:v>
      </x:c>
      <x:c r="N69" s="68" t="str">
        <x:v>按M06/M08核查</x:v>
      </x:c>
      <x:c r="O69" s="82" t="str">
        <x:v>待定</x:v>
      </x:c>
      <x:c r="P69" s="68" t="str">
        <x:v>转M11/M14判断</x:v>
      </x:c>
      <x:c r="Q69" s="68" t="str">
        <x:v>形成强泄身路径</x:v>
      </x:c>
      <x:c r="R69" s="82" t="str">
        <x:v>待定</x:v>
      </x:c>
      <x:c r="S69" s="68" t="str">
        <x:v>食神伤官多节点旺强并形成输出集团</x:v>
      </x:c>
      <x:c r="T69" s="68" t="str">
        <x:v>M02十神映射、M08五行有效旺衰、M09日主旺衰已完成</x:v>
      </x:c>
      <x:c r="U69" s="68" t="str">
        <x:v>除食伤自身有力外，还必须判断日主能否持续供给</x:v>
      </x:c>
      <x:c r="V69" s="68" t="str">
        <x:v>得令、有根、透干、同党或生源形成独立有效证据</x:v>
      </x:c>
      <x:c r="W69" s="68" t="str">
        <x:v>失令、无根、被合绊、被制、改性或作用路径受阻</x:v>
      </x:c>
      <x:c r="X69" s="90" t="str">
        <x:v>不得以十神名称、数量或单一旺弱证据直接完成定性</x:v>
      </x:c>
      <x:c r="Y69" s="68" t="str">
        <x:v>特殊格局、从化候选及明确组合转M11/M14另审</x:v>
      </x:c>
      <x:c r="Z69" s="68" t="str">
        <x:v>不得直接推出吉凶、具体事件、亲属结果或最终喜忌</x:v>
      </x:c>
      <x:c r="AA69" s="84" t="str">
        <x:v>食伤集团成势</x:v>
      </x:c>
      <x:c r="AB69" s="84" t="str">
        <x:v>食伤集团成势时必须检查日主是否有足够源头：当“食神伤官多节点旺强并形成输出集团”成立时，按本规则记录十神的有效功能；同时保留制化、承载和反向证据。</x:v>
      </x:c>
      <x:c r="AC69" s="82" t="str">
        <x:v>较高</x:v>
      </x:c>
      <x:c r="AD69" s="82" t="str">
        <x:v>现代综合</x:v>
      </x:c>
      <x:c r="AE69" s="68" t="str">
        <x:v>十神必须分开判断存在性、力量、清纯度、功能性与喜忌性；M10只形成结构层结论和候选，不越级替代M11—M18。</x:v>
      </x:c>
      <x:c r="AF69" s="68" t="str">
        <x:v>相关条件真实成立，且增强条件有效时，可按“食伤集团成势时必须检查日主是否有足够源头”记录对应功能。</x:v>
      </x:c>
      <x:c r="AG69" s="90" t="str">
        <x:v>仅见表面十神名称或数量，但“不得以十神名称、数量或单一旺弱证据直接完成定性”所述限制存在时，不得套用本规则。</x:v>
      </x:c>
      <x:c r="AH69" s="68" t="str">
        <x:v>https://zh.wikisource.org/wiki/%E6%B8%8A%E6%B5%B7%E5%AD%90%E5%B9%B3%E5%A4%A7%E5%85%A8 ; https://zh.wikisource.org/wiki/%E6%BB%B4%E5%A4%A9%E9%AB%93%E9%97%A1%E5%BE%AE</x:v>
      </x:c>
      <x:c r="AI69" s="82" t="str">
        <x:v>采用</x:v>
      </x:c>
      <x:c r="AJ69" s="82" t="str">
        <x:v>初审</x:v>
      </x:c>
      <x:c r="AK69" s="87" t="n">
        <x:v>46255</x:v>
      </x:c>
    </x:row>
    <x:row r="70">
      <x:c r="A70" s="72" t="str">
        <x:f>IF(OR(C70="",D70=""),"",B70&amp;"-"&amp;UPPER(C70)&amp;"-"&amp;TEXT(D70,"0000")&amp;"-"&amp;E70)</x:f>
        <x:v>M10-SHISHANG-0064-V1.0</x:v>
      </x:c>
      <x:c r="B70" s="74" t="str">
        <x:v>M10</x:v>
      </x:c>
      <x:c r="C70" s="74" t="str">
        <x:v>SHISHANG</x:v>
      </x:c>
      <x:c r="D70" s="215" t="n">
        <x:v>64</x:v>
      </x:c>
      <x:c r="E70" s="74" t="str">
        <x:v>V1.0</x:v>
      </x:c>
      <x:c r="F70" s="68" t="str">
        <x:v>食伤旺不等于食伤为喜</x:v>
      </x:c>
      <x:c r="G70" s="82" t="str">
        <x:v>结构层</x:v>
      </x:c>
      <x:c r="H70" s="82" t="str">
        <x:v>伤官</x:v>
      </x:c>
      <x:c r="I70" s="82" t="str">
        <x:v>待定</x:v>
      </x:c>
      <x:c r="J70" s="82" t="str">
        <x:v>待定</x:v>
      </x:c>
      <x:c r="K70" s="82" t="str">
        <x:v>待定</x:v>
      </x:c>
      <x:c r="L70" s="82" t="str">
        <x:v>待定</x:v>
      </x:c>
      <x:c r="M70" s="68" t="str">
        <x:v>按M08核查</x:v>
      </x:c>
      <x:c r="N70" s="68" t="str">
        <x:v>按M06/M08核查</x:v>
      </x:c>
      <x:c r="O70" s="82" t="str">
        <x:v>待定</x:v>
      </x:c>
      <x:c r="P70" s="68" t="str">
        <x:v>转M11/M14判断</x:v>
      </x:c>
      <x:c r="Q70" s="68" t="str">
        <x:v>需结合M09日主承载判断</x:v>
      </x:c>
      <x:c r="R70" s="82" t="str">
        <x:v>待定</x:v>
      </x:c>
      <x:c r="S70" s="68" t="str">
        <x:v>食伤有效旺衰已经确定</x:v>
      </x:c>
      <x:c r="T70" s="68" t="str">
        <x:v>M02十神映射、M08五行有效旺衰、M09日主旺衰已完成</x:v>
      </x:c>
      <x:c r="U70" s="68" t="str">
        <x:v>相关十神已由M02正确映射，并以M08有效力量为准</x:v>
      </x:c>
      <x:c r="V70" s="68" t="str">
        <x:v>得令、有根、透干、同党或生源形成独立有效证据</x:v>
      </x:c>
      <x:c r="W70" s="68" t="str">
        <x:v>失令、无根、被合绊、被制、改性或作用路径受阻</x:v>
      </x:c>
      <x:c r="X70" s="90" t="str">
        <x:v>不得以十神名称、数量或单一旺弱证据直接完成定性</x:v>
      </x:c>
      <x:c r="Y70" s="68" t="str">
        <x:v>特殊格局、从化候选及明确组合转M11/M14另审</x:v>
      </x:c>
      <x:c r="Z70" s="68" t="str">
        <x:v>不得由食伤旺直接判喜，也不得由食伤弱直接判无用</x:v>
      </x:c>
      <x:c r="AA70" s="84" t="str">
        <x:v>食伤旺弱喜忌分离</x:v>
      </x:c>
      <x:c r="AB70" s="84" t="str">
        <x:v>食伤旺不等于食伤为喜：当“食伤有效旺衰已经确定”成立时，按本规则记录十神的有效功能；同时保留制化、承载和反向证据。</x:v>
      </x:c>
      <x:c r="AC70" s="82" t="str">
        <x:v>较高</x:v>
      </x:c>
      <x:c r="AD70" s="82" t="str">
        <x:v>现代综合</x:v>
      </x:c>
      <x:c r="AE70" s="68" t="str">
        <x:v>十神必须分开判断存在性、力量、清纯度、功能性与喜忌性；M10只形成结构层结论和候选，不越级替代M11—M18。</x:v>
      </x:c>
      <x:c r="AF70" s="68" t="str">
        <x:v>相关条件真实成立，且增强条件有效时，可按“食伤旺不等于食伤为喜”记录对应功能。</x:v>
      </x:c>
      <x:c r="AG70" s="90" t="str">
        <x:v>仅见表面十神名称或数量，但“不得以十神名称、数量或单一旺弱证据直接完成定性”所述限制存在时，不得套用本规则。</x:v>
      </x:c>
      <x:c r="AH70" s="68" t="str">
        <x:v>https://zh.wikisource.org/wiki/%E6%B8%8A%E6%B5%B7%E5%AD%90%E5%B9%B3%E5%A4%A7%E5%85%A8 ; https://zh.wikisource.org/wiki/%E6%BB%B4%E5%A4%A9%E9%AB%93%E9%97%A1%E5%BE%AE</x:v>
      </x:c>
      <x:c r="AI70" s="82" t="str">
        <x:v>采用</x:v>
      </x:c>
      <x:c r="AJ70" s="82" t="str">
        <x:v>初审</x:v>
      </x:c>
      <x:c r="AK70" s="87" t="n">
        <x:v>46255</x:v>
      </x:c>
    </x:row>
    <x:row r="71">
      <x:c r="A71" s="72" t="str">
        <x:f>IF(OR(C71="",D71=""),"",B71&amp;"-"&amp;UPPER(C71)&amp;"-"&amp;TEXT(D71,"0000")&amp;"-"&amp;E71)</x:f>
        <x:v>M10-CAI-0065-V1.0</x:v>
      </x:c>
      <x:c r="B71" s="74" t="str">
        <x:v>M10</x:v>
      </x:c>
      <x:c r="C71" s="74" t="str">
        <x:v>CAI</x:v>
      </x:c>
      <x:c r="D71" s="215" t="n">
        <x:v>65</x:v>
      </x:c>
      <x:c r="E71" s="74" t="str">
        <x:v>V1.0</x:v>
      </x:c>
      <x:c r="F71" s="68" t="str">
        <x:v>有效财星首先承担耗身和承接食伤功能</x:v>
      </x:c>
      <x:c r="G71" s="82" t="str">
        <x:v>结构层</x:v>
      </x:c>
      <x:c r="H71" s="82" t="str">
        <x:v>正财</x:v>
      </x:c>
      <x:c r="I71" s="82" t="str">
        <x:v>待定</x:v>
      </x:c>
      <x:c r="J71" s="82" t="str">
        <x:v>待定</x:v>
      </x:c>
      <x:c r="K71" s="82" t="str">
        <x:v>待定</x:v>
      </x:c>
      <x:c r="L71" s="82" t="str">
        <x:v>待定</x:v>
      </x:c>
      <x:c r="M71" s="68" t="str">
        <x:v>按M08核查</x:v>
      </x:c>
      <x:c r="N71" s="68" t="str">
        <x:v>按M06/M08核查</x:v>
      </x:c>
      <x:c r="O71" s="82" t="str">
        <x:v>正常发挥</x:v>
      </x:c>
      <x:c r="P71" s="68" t="str">
        <x:v>转M11/M14判断</x:v>
      </x:c>
      <x:c r="Q71" s="68" t="str">
        <x:v>日主克财形成耗力，同时财可承接食伤输出</x:v>
      </x:c>
      <x:c r="R71" s="82" t="str">
        <x:v>待定</x:v>
      </x:c>
      <x:c r="S71" s="68" t="str">
        <x:v>正财有效存在</x:v>
      </x:c>
      <x:c r="T71" s="68" t="str">
        <x:v>M02十神映射、M08五行有效旺衰、M09日主旺衰已完成</x:v>
      </x:c>
      <x:c r="U71" s="68" t="str">
        <x:v>相关十神已由M02正确映射，并以M08有效力量为准</x:v>
      </x:c>
      <x:c r="V71" s="68" t="str">
        <x:v>得令、有根、透干、同党或生源形成独立有效证据</x:v>
      </x:c>
      <x:c r="W71" s="68" t="str">
        <x:v>失令、无根、被合绊、被制、改性或作用路径受阻</x:v>
      </x:c>
      <x:c r="X71" s="90" t="str">
        <x:v>不得以十神名称、数量或单一旺弱证据直接完成定性</x:v>
      </x:c>
      <x:c r="Y71" s="68" t="str">
        <x:v>特殊格局、从化候选及明确组合转M11/M14另审</x:v>
      </x:c>
      <x:c r="Z71" s="68" t="str">
        <x:v>不得直接推出吉凶、具体事件、亲属结果或最终喜忌</x:v>
      </x:c>
      <x:c r="AA71" s="84" t="str">
        <x:v>正财基本功能</x:v>
      </x:c>
      <x:c r="AB71" s="84" t="str">
        <x:v>有效财星首先承担耗身和承接食伤功能：当“正财有效存在”成立时，按本规则记录十神的有效功能；同时保留制化、承载和反向证据。</x:v>
      </x:c>
      <x:c r="AC71" s="82" t="str">
        <x:v>较高</x:v>
      </x:c>
      <x:c r="AD71" s="82" t="str">
        <x:v>现代综合</x:v>
      </x:c>
      <x:c r="AE71" s="68" t="str">
        <x:v>十神必须分开判断存在性、力量、清纯度、功能性与喜忌性；M10只形成结构层结论和候选，不越级替代M11—M18。</x:v>
      </x:c>
      <x:c r="AF71" s="68" t="str">
        <x:v>相关条件真实成立，且增强条件有效时，可按“有效财星首先承担耗身和承接食伤功能”记录对应功能。</x:v>
      </x:c>
      <x:c r="AG71" s="90" t="str">
        <x:v>仅见表面十神名称或数量，但“不得以十神名称、数量或单一旺弱证据直接完成定性”所述限制存在时，不得套用本规则。</x:v>
      </x:c>
      <x:c r="AH71" s="68" t="str">
        <x:v>https://zh.wikisource.org/wiki/%E6%B8%8A%E6%B5%B7%E5%AD%90%E5%B9%B3%E5%A4%A7%E5%85%A8 ; https://zh.wikisource.org/wiki/%E6%BB%B4%E5%A4%A9%E9%AB%93%E9%97%A1%E5%BE%AE</x:v>
      </x:c>
      <x:c r="AI71" s="82" t="str">
        <x:v>采用</x:v>
      </x:c>
      <x:c r="AJ71" s="82" t="str">
        <x:v>初审</x:v>
      </x:c>
      <x:c r="AK71" s="87" t="n">
        <x:v>46255</x:v>
      </x:c>
    </x:row>
    <x:row r="72">
      <x:c r="A72" s="72" t="str">
        <x:f>IF(OR(C72="",D72=""),"",B72&amp;"-"&amp;UPPER(C72)&amp;"-"&amp;TEXT(D72,"0000")&amp;"-"&amp;E72)</x:f>
        <x:v>M10-CAI-0066-V1.0</x:v>
      </x:c>
      <x:c r="B72" s="74" t="str">
        <x:v>M10</x:v>
      </x:c>
      <x:c r="C72" s="74" t="str">
        <x:v>CAI</x:v>
      </x:c>
      <x:c r="D72" s="215" t="n">
        <x:v>66</x:v>
      </x:c>
      <x:c r="E72" s="74" t="str">
        <x:v>V1.0</x:v>
      </x:c>
      <x:c r="F72" s="68" t="str">
        <x:v>偏财同样耗身并具有生官杀接口</x:v>
      </x:c>
      <x:c r="G72" s="82" t="str">
        <x:v>结构层</x:v>
      </x:c>
      <x:c r="H72" s="82" t="str">
        <x:v>偏财</x:v>
      </x:c>
      <x:c r="I72" s="82" t="str">
        <x:v>待定</x:v>
      </x:c>
      <x:c r="J72" s="82" t="str">
        <x:v>待定</x:v>
      </x:c>
      <x:c r="K72" s="82" t="str">
        <x:v>待定</x:v>
      </x:c>
      <x:c r="L72" s="82" t="str">
        <x:v>待定</x:v>
      </x:c>
      <x:c r="M72" s="68" t="str">
        <x:v>按M08核查</x:v>
      </x:c>
      <x:c r="N72" s="68" t="str">
        <x:v>按M06/M08核查</x:v>
      </x:c>
      <x:c r="O72" s="82" t="str">
        <x:v>正常发挥</x:v>
      </x:c>
      <x:c r="P72" s="68" t="str">
        <x:v>转M11/M14判断</x:v>
      </x:c>
      <x:c r="Q72" s="68" t="str">
        <x:v>耗身，同时可向官杀提供生源</x:v>
      </x:c>
      <x:c r="R72" s="82" t="str">
        <x:v>待定</x:v>
      </x:c>
      <x:c r="S72" s="68" t="str">
        <x:v>偏财有效存在</x:v>
      </x:c>
      <x:c r="T72" s="68" t="str">
        <x:v>M02十神映射、M08五行有效旺衰、M09日主旺衰已完成</x:v>
      </x:c>
      <x:c r="U72" s="68" t="str">
        <x:v>相关十神已由M02正确映射，并以M08有效力量为准</x:v>
      </x:c>
      <x:c r="V72" s="68" t="str">
        <x:v>得令、有根、透干、同党或生源形成独立有效证据</x:v>
      </x:c>
      <x:c r="W72" s="68" t="str">
        <x:v>失令、无根、被合绊、被制、改性或作用路径受阻</x:v>
      </x:c>
      <x:c r="X72" s="90" t="str">
        <x:v>不得以十神名称、数量或单一旺弱证据直接完成定性</x:v>
      </x:c>
      <x:c r="Y72" s="68" t="str">
        <x:v>特殊格局、从化候选及明确组合转M11/M14另审</x:v>
      </x:c>
      <x:c r="Z72" s="68" t="str">
        <x:v>不得直接推出吉凶、具体事件、亲属结果或最终喜忌</x:v>
      </x:c>
      <x:c r="AA72" s="84" t="str">
        <x:v>偏财基本功能</x:v>
      </x:c>
      <x:c r="AB72" s="84" t="str">
        <x:v>偏财同样耗身并具有生官杀接口：当“偏财有效存在”成立时，按本规则记录十神的有效功能；同时保留制化、承载和反向证据。</x:v>
      </x:c>
      <x:c r="AC72" s="82" t="str">
        <x:v>较高</x:v>
      </x:c>
      <x:c r="AD72" s="82" t="str">
        <x:v>现代综合</x:v>
      </x:c>
      <x:c r="AE72" s="68" t="str">
        <x:v>十神必须分开判断存在性、力量、清纯度、功能性与喜忌性；M10只形成结构层结论和候选，不越级替代M11—M18。</x:v>
      </x:c>
      <x:c r="AF72" s="68" t="str">
        <x:v>相关条件真实成立，且增强条件有效时，可按“偏财同样耗身并具有生官杀接口”记录对应功能。</x:v>
      </x:c>
      <x:c r="AG72" s="90" t="str">
        <x:v>仅见表面十神名称或数量，但“不得以十神名称、数量或单一旺弱证据直接完成定性”所述限制存在时，不得套用本规则。</x:v>
      </x:c>
      <x:c r="AH72" s="68" t="str">
        <x:v>https://zh.wikisource.org/wiki/%E6%B8%8A%E6%B5%B7%E5%AD%90%E5%B9%B3%E5%A4%A7%E5%85%A8 ; https://zh.wikisource.org/wiki/%E6%BB%B4%E5%A4%A9%E9%AB%93%E9%97%A1%E5%BE%AE</x:v>
      </x:c>
      <x:c r="AI72" s="82" t="str">
        <x:v>采用</x:v>
      </x:c>
      <x:c r="AJ72" s="82" t="str">
        <x:v>初审</x:v>
      </x:c>
      <x:c r="AK72" s="87" t="n">
        <x:v>46255</x:v>
      </x:c>
    </x:row>
    <x:row r="73">
      <x:c r="A73" s="72" t="str">
        <x:f>IF(OR(C73="",D73=""),"",B73&amp;"-"&amp;UPPER(C73)&amp;"-"&amp;TEXT(D73,"0000")&amp;"-"&amp;E73)</x:f>
        <x:v>M10-CAI-0067-V1.0</x:v>
      </x:c>
      <x:c r="B73" s="74" t="str">
        <x:v>M10</x:v>
      </x:c>
      <x:c r="C73" s="74" t="str">
        <x:v>CAI</x:v>
      </x:c>
      <x:c r="D73" s="215" t="n">
        <x:v>67</x:v>
      </x:c>
      <x:c r="E73" s="74" t="str">
        <x:v>V1.0</x:v>
      </x:c>
      <x:c r="F73" s="68" t="str">
        <x:v>身旺且财星有效时可形成任财候选</x:v>
      </x:c>
      <x:c r="G73" s="82" t="str">
        <x:v>结构层</x:v>
      </x:c>
      <x:c r="H73" s="82" t="str">
        <x:v>正财</x:v>
      </x:c>
      <x:c r="I73" s="82" t="str">
        <x:v>待定</x:v>
      </x:c>
      <x:c r="J73" s="82" t="str">
        <x:v>待定</x:v>
      </x:c>
      <x:c r="K73" s="82" t="str">
        <x:v>待定</x:v>
      </x:c>
      <x:c r="L73" s="82" t="str">
        <x:v>待定</x:v>
      </x:c>
      <x:c r="M73" s="68" t="str">
        <x:v>按M08核查</x:v>
      </x:c>
      <x:c r="N73" s="68" t="str">
        <x:v>按M06/M08核查</x:v>
      </x:c>
      <x:c r="O73" s="82" t="str">
        <x:v>待定</x:v>
      </x:c>
      <x:c r="P73" s="68" t="str">
        <x:v>转M11/M14判断</x:v>
      </x:c>
      <x:c r="Q73" s="68" t="str">
        <x:v>为强身提供合理耗用出口</x:v>
      </x:c>
      <x:c r="R73" s="82" t="str">
        <x:v>条件性喜神</x:v>
      </x:c>
      <x:c r="S73" s="68" t="str">
        <x:v>M09日主旺或中和偏旺，正财有效且不过度</x:v>
      </x:c>
      <x:c r="T73" s="68" t="str">
        <x:v>M02十神映射、M08五行有效旺衰、M09日主旺衰已完成</x:v>
      </x:c>
      <x:c r="U73" s="68" t="str">
        <x:v>相关十神已由M02正确映射，并以M08有效力量为准</x:v>
      </x:c>
      <x:c r="V73" s="68" t="str">
        <x:v>得令、有根、透干、同党或生源形成独立有效证据</x:v>
      </x:c>
      <x:c r="W73" s="68" t="str">
        <x:v>失令、无根、被合绊、被制、改性或作用路径受阻</x:v>
      </x:c>
      <x:c r="X73" s="90" t="str">
        <x:v>不得以十神名称、数量或单一旺弱证据直接完成定性</x:v>
      </x:c>
      <x:c r="Y73" s="68" t="str">
        <x:v>特殊格局、从化候选及明确组合转M11/M14另审</x:v>
      </x:c>
      <x:c r="Z73" s="68" t="str">
        <x:v>不得直接推出吉凶、具体事件、亲属结果或最终喜忌</x:v>
      </x:c>
      <x:c r="AA73" s="84" t="str">
        <x:v>身旺任财候选</x:v>
      </x:c>
      <x:c r="AB73" s="84" t="str">
        <x:v>身旺且财星有效时可形成任财候选：当“M09日主旺或中和偏旺，正财有效且不过度”成立时，按本规则记录十神的有效功能；同时保留制化、承载和反向证据。</x:v>
      </x:c>
      <x:c r="AC73" s="82" t="str">
        <x:v>较高</x:v>
      </x:c>
      <x:c r="AD73" s="82" t="str">
        <x:v>现代综合</x:v>
      </x:c>
      <x:c r="AE73" s="68" t="str">
        <x:v>十神必须分开判断存在性、力量、清纯度、功能性与喜忌性；M10只形成结构层结论和候选，不越级替代M11—M18。</x:v>
      </x:c>
      <x:c r="AF73" s="68" t="str">
        <x:v>相关条件真实成立，且增强条件有效时，可按“身旺且财星有效时可形成任财候选”记录对应功能。</x:v>
      </x:c>
      <x:c r="AG73" s="90" t="str">
        <x:v>仅见表面十神名称或数量，但“不得以十神名称、数量或单一旺弱证据直接完成定性”所述限制存在时，不得套用本规则。</x:v>
      </x:c>
      <x:c r="AH73" s="68" t="str">
        <x:v>https://zh.wikisource.org/wiki/%E6%B8%8A%E6%B5%B7%E5%AD%90%E5%B9%B3%E5%A4%A7%E5%85%A8 ; https://zh.wikisource.org/wiki/%E6%BB%B4%E5%A4%A9%E9%AB%93%E9%97%A1%E5%BE%AE</x:v>
      </x:c>
      <x:c r="AI73" s="82" t="str">
        <x:v>采用</x:v>
      </x:c>
      <x:c r="AJ73" s="82" t="str">
        <x:v>初审</x:v>
      </x:c>
      <x:c r="AK73" s="87" t="n">
        <x:v>46255</x:v>
      </x:c>
    </x:row>
    <x:row r="74">
      <x:c r="A74" s="72" t="str">
        <x:f>IF(OR(C74="",D74=""),"",B74&amp;"-"&amp;UPPER(C74)&amp;"-"&amp;TEXT(D74,"0000")&amp;"-"&amp;E74)</x:f>
        <x:v>M10-CAI-0068-V1.0</x:v>
      </x:c>
      <x:c r="B74" s="74" t="str">
        <x:v>M10</x:v>
      </x:c>
      <x:c r="C74" s="74" t="str">
        <x:v>CAI</x:v>
      </x:c>
      <x:c r="D74" s="215" t="n">
        <x:v>68</x:v>
      </x:c>
      <x:c r="E74" s="74" t="str">
        <x:v>V1.0</x:v>
      </x:c>
      <x:c r="F74" s="68" t="str">
        <x:v>身弱财旺时财星可能成为主要耗身负荷</x:v>
      </x:c>
      <x:c r="G74" s="82" t="str">
        <x:v>结构层</x:v>
      </x:c>
      <x:c r="H74" s="82" t="str">
        <x:v>偏财</x:v>
      </x:c>
      <x:c r="I74" s="82" t="str">
        <x:v>待定</x:v>
      </x:c>
      <x:c r="J74" s="82" t="str">
        <x:v>待定</x:v>
      </x:c>
      <x:c r="K74" s="82" t="str">
        <x:v>待定</x:v>
      </x:c>
      <x:c r="L74" s="82" t="str">
        <x:v>待定</x:v>
      </x:c>
      <x:c r="M74" s="68" t="str">
        <x:v>按M08核查</x:v>
      </x:c>
      <x:c r="N74" s="68" t="str">
        <x:v>按M06/M08核查</x:v>
      </x:c>
      <x:c r="O74" s="82" t="str">
        <x:v>过度</x:v>
      </x:c>
      <x:c r="P74" s="68" t="str">
        <x:v>转M11/M14判断</x:v>
      </x:c>
      <x:c r="Q74" s="68" t="str">
        <x:v>持续耗身并可能生官杀加压</x:v>
      </x:c>
      <x:c r="R74" s="82" t="str">
        <x:v>条件性忌神</x:v>
      </x:c>
      <x:c r="S74" s="68" t="str">
        <x:v>M09日主弱或中和偏弱，偏财旺且印比不足</x:v>
      </x:c>
      <x:c r="T74" s="68" t="str">
        <x:v>M02十神映射、M08五行有效旺衰、M09日主旺衰已完成</x:v>
      </x:c>
      <x:c r="U74" s="68" t="str">
        <x:v>相关十神已由M02正确映射，并以M08有效力量为准</x:v>
      </x:c>
      <x:c r="V74" s="68" t="str">
        <x:v>得令、有根、透干、同党或生源形成独立有效证据</x:v>
      </x:c>
      <x:c r="W74" s="68" t="str">
        <x:v>失令、无根、被合绊、被制、改性或作用路径受阻</x:v>
      </x:c>
      <x:c r="X74" s="90" t="str">
        <x:v>不得以十神名称、数量或单一旺弱证据直接完成定性</x:v>
      </x:c>
      <x:c r="Y74" s="68" t="str">
        <x:v>特殊格局、从化候选及明确组合转M11/M14另审</x:v>
      </x:c>
      <x:c r="Z74" s="68" t="str">
        <x:v>不得直接推出吉凶、具体事件、亲属结果或最终喜忌</x:v>
      </x:c>
      <x:c r="AA74" s="84" t="str">
        <x:v>财多身弱候选</x:v>
      </x:c>
      <x:c r="AB74" s="84" t="str">
        <x:v>身弱财旺时财星可能成为主要耗身负荷：当“M09日主弱或中和偏弱，偏财旺且印比不足”成立时，按本规则记录十神的有效功能；同时保留制化、承载和反向证据。</x:v>
      </x:c>
      <x:c r="AC74" s="82" t="str">
        <x:v>较高</x:v>
      </x:c>
      <x:c r="AD74" s="82" t="str">
        <x:v>现代综合</x:v>
      </x:c>
      <x:c r="AE74" s="68" t="str">
        <x:v>十神必须分开判断存在性、力量、清纯度、功能性与喜忌性；M10只形成结构层结论和候选，不越级替代M11—M18。</x:v>
      </x:c>
      <x:c r="AF74" s="68" t="str">
        <x:v>相关条件真实成立，且增强条件有效时，可按“身弱财旺时财星可能成为主要耗身负荷”记录对应功能。</x:v>
      </x:c>
      <x:c r="AG74" s="90" t="str">
        <x:v>仅见表面十神名称或数量，但“不得以十神名称、数量或单一旺弱证据直接完成定性”所述限制存在时，不得套用本规则。</x:v>
      </x:c>
      <x:c r="AH74" s="68" t="str">
        <x:v>https://zh.wikisource.org/wiki/%E6%B8%8A%E6%B5%B7%E5%AD%90%E5%B9%B3%E5%A4%A7%E5%85%A8 ; https://zh.wikisource.org/wiki/%E6%BB%B4%E5%A4%A9%E9%AB%93%E9%97%A1%E5%BE%AE</x:v>
      </x:c>
      <x:c r="AI74" s="82" t="str">
        <x:v>采用</x:v>
      </x:c>
      <x:c r="AJ74" s="82" t="str">
        <x:v>初审</x:v>
      </x:c>
      <x:c r="AK74" s="87" t="n">
        <x:v>46255</x:v>
      </x:c>
    </x:row>
    <x:row r="75">
      <x:c r="A75" s="72" t="str">
        <x:f>IF(OR(C75="",D75=""),"",B75&amp;"-"&amp;UPPER(C75)&amp;"-"&amp;TEXT(D75,"0000")&amp;"-"&amp;E75)</x:f>
        <x:v>M10-CAI-0069-V1.0</x:v>
      </x:c>
      <x:c r="B75" s="74" t="str">
        <x:v>M10</x:v>
      </x:c>
      <x:c r="C75" s="74" t="str">
        <x:v>CAI</x:v>
      </x:c>
      <x:c r="D75" s="215" t="n">
        <x:v>69</x:v>
      </x:c>
      <x:c r="E75" s="74" t="str">
        <x:v>V1.0</x:v>
      </x:c>
      <x:c r="F75" s="68" t="str">
        <x:v>财星受比劫强制时有效性下降</x:v>
      </x:c>
      <x:c r="G75" s="82" t="str">
        <x:v>结构层</x:v>
      </x:c>
      <x:c r="H75" s="82" t="str">
        <x:v>正财</x:v>
      </x:c>
      <x:c r="I75" s="82" t="str">
        <x:v>待定</x:v>
      </x:c>
      <x:c r="J75" s="82" t="str">
        <x:v>待定</x:v>
      </x:c>
      <x:c r="K75" s="82" t="str">
        <x:v>待定</x:v>
      </x:c>
      <x:c r="L75" s="82" t="str">
        <x:v>待定</x:v>
      </x:c>
      <x:c r="M75" s="68" t="str">
        <x:v>按M08核查</x:v>
      </x:c>
      <x:c r="N75" s="68" t="str">
        <x:v>受比劫有效克制</x:v>
      </x:c>
      <x:c r="O75" s="82" t="str">
        <x:v>受限</x:v>
      </x:c>
      <x:c r="P75" s="68" t="str">
        <x:v>转M11/M14判断</x:v>
      </x:c>
      <x:c r="Q75" s="68" t="str">
        <x:v>需结合M09日主承载判断</x:v>
      </x:c>
      <x:c r="R75" s="82" t="str">
        <x:v>待定</x:v>
      </x:c>
      <x:c r="S75" s="68" t="str">
        <x:v>比劫对正财形成实质有效克制</x:v>
      </x:c>
      <x:c r="T75" s="68" t="str">
        <x:v>M02十神映射、M08五行有效旺衰、M09日主旺衰已完成</x:v>
      </x:c>
      <x:c r="U75" s="68" t="str">
        <x:v>相关十神已由M02正确映射，并以M08有效力量为准</x:v>
      </x:c>
      <x:c r="V75" s="68" t="str">
        <x:v>得令、有根、透干、同党或生源形成独立有效证据</x:v>
      </x:c>
      <x:c r="W75" s="68" t="str">
        <x:v>失令、无根、被合绊、被制、改性或作用路径受阻</x:v>
      </x:c>
      <x:c r="X75" s="90" t="str">
        <x:v>不得以十神名称、数量或单一旺弱证据直接完成定性</x:v>
      </x:c>
      <x:c r="Y75" s="68" t="str">
        <x:v>特殊格局、从化候选及明确组合转M11/M14另审</x:v>
      </x:c>
      <x:c r="Z75" s="68" t="str">
        <x:v>不得直接推出吉凶、具体事件、亲属结果或最终喜忌</x:v>
      </x:c>
      <x:c r="AA75" s="84" t="str">
        <x:v>财受比劫制</x:v>
      </x:c>
      <x:c r="AB75" s="84" t="str">
        <x:v>财星受比劫强制时有效性下降：当“比劫对正财形成实质有效克制”成立时，按本规则记录十神的有效功能；同时保留制化、承载和反向证据。</x:v>
      </x:c>
      <x:c r="AC75" s="82" t="str">
        <x:v>较高</x:v>
      </x:c>
      <x:c r="AD75" s="82" t="str">
        <x:v>现代综合</x:v>
      </x:c>
      <x:c r="AE75" s="68" t="str">
        <x:v>十神必须分开判断存在性、力量、清纯度、功能性与喜忌性；M10只形成结构层结论和候选，不越级替代M11—M18。</x:v>
      </x:c>
      <x:c r="AF75" s="68" t="str">
        <x:v>相关条件真实成立，且增强条件有效时，可按“财星受比劫强制时有效性下降”记录对应功能。</x:v>
      </x:c>
      <x:c r="AG75" s="90" t="str">
        <x:v>仅见表面十神名称或数量，但“不得以十神名称、数量或单一旺弱证据直接完成定性”所述限制存在时，不得套用本规则。</x:v>
      </x:c>
      <x:c r="AH75" s="68" t="str">
        <x:v>https://zh.wikisource.org/wiki/%E6%B8%8A%E6%B5%B7%E5%AD%90%E5%B9%B3%E5%A4%A7%E5%85%A8 ; https://zh.wikisource.org/wiki/%E6%BB%B4%E5%A4%A9%E9%AB%93%E9%97%A1%E5%BE%AE</x:v>
      </x:c>
      <x:c r="AI75" s="82" t="str">
        <x:v>采用</x:v>
      </x:c>
      <x:c r="AJ75" s="82" t="str">
        <x:v>初审</x:v>
      </x:c>
      <x:c r="AK75" s="87" t="n">
        <x:v>46255</x:v>
      </x:c>
    </x:row>
    <x:row r="76">
      <x:c r="A76" s="72" t="str">
        <x:f>IF(OR(C76="",D76=""),"",B76&amp;"-"&amp;UPPER(C76)&amp;"-"&amp;TEXT(D76,"0000")&amp;"-"&amp;E76)</x:f>
        <x:v>M10-CAI-0070-V1.0</x:v>
      </x:c>
      <x:c r="B76" s="74" t="str">
        <x:v>M10</x:v>
      </x:c>
      <x:c r="C76" s="74" t="str">
        <x:v>CAI</x:v>
      </x:c>
      <x:c r="D76" s="215" t="n">
        <x:v>70</x:v>
      </x:c>
      <x:c r="E76" s="74" t="str">
        <x:v>V1.0</x:v>
      </x:c>
      <x:c r="F76" s="68" t="str">
        <x:v>财星制印须财印力量和路径均成立</x:v>
      </x:c>
      <x:c r="G76" s="82" t="str">
        <x:v>结构层</x:v>
      </x:c>
      <x:c r="H76" s="82" t="str">
        <x:v>偏财</x:v>
      </x:c>
      <x:c r="I76" s="82" t="str">
        <x:v>待定</x:v>
      </x:c>
      <x:c r="J76" s="82" t="str">
        <x:v>待定</x:v>
      </x:c>
      <x:c r="K76" s="82" t="str">
        <x:v>待定</x:v>
      </x:c>
      <x:c r="L76" s="82" t="str">
        <x:v>待定</x:v>
      </x:c>
      <x:c r="M76" s="68" t="str">
        <x:v>按M08核查</x:v>
      </x:c>
      <x:c r="N76" s="68" t="str">
        <x:v>对印星形成有效克制</x:v>
      </x:c>
      <x:c r="O76" s="82" t="str">
        <x:v>待定</x:v>
      </x:c>
      <x:c r="P76" s="68" t="str">
        <x:v>财坏印候选转M11</x:v>
      </x:c>
      <x:c r="Q76" s="68" t="str">
        <x:v>需结合M09日主承载判断</x:v>
      </x:c>
      <x:c r="R76" s="82" t="str">
        <x:v>待定</x:v>
      </x:c>
      <x:c r="S76" s="68" t="str">
        <x:v>偏财与印星形成有效克制</x:v>
      </x:c>
      <x:c r="T76" s="68" t="str">
        <x:v>M02十神映射、M08五行有效旺衰、M09日主旺衰已完成</x:v>
      </x:c>
      <x:c r="U76" s="68" t="str">
        <x:v>相关十神已由M02正确映射，并以M08有效力量为准</x:v>
      </x:c>
      <x:c r="V76" s="68" t="str">
        <x:v>得令、有根、透干、同党或生源形成独立有效证据</x:v>
      </x:c>
      <x:c r="W76" s="68" t="str">
        <x:v>失令、无根、被合绊、被制、改性或作用路径受阻</x:v>
      </x:c>
      <x:c r="X76" s="90" t="str">
        <x:v>不得以十神名称、数量或单一旺弱证据直接完成定性</x:v>
      </x:c>
      <x:c r="Y76" s="68" t="str">
        <x:v>特殊格局、从化候选及明确组合转M11/M14另审</x:v>
      </x:c>
      <x:c r="Z76" s="68" t="str">
        <x:v>不得直接推出吉凶、具体事件、亲属结果或最终喜忌</x:v>
      </x:c>
      <x:c r="AA76" s="84" t="str">
        <x:v>财制印接口</x:v>
      </x:c>
      <x:c r="AB76" s="84" t="str">
        <x:v>财星制印须财印力量和路径均成立：当“偏财与印星形成有效克制”成立时，按本规则记录十神的有效功能；同时保留制化、承载和反向证据。</x:v>
      </x:c>
      <x:c r="AC76" s="82" t="str">
        <x:v>较高</x:v>
      </x:c>
      <x:c r="AD76" s="82" t="str">
        <x:v>现代综合</x:v>
      </x:c>
      <x:c r="AE76" s="68" t="str">
        <x:v>十神必须分开判断存在性、力量、清纯度、功能性与喜忌性；M10只形成结构层结论和候选，不越级替代M11—M18。</x:v>
      </x:c>
      <x:c r="AF76" s="68" t="str">
        <x:v>相关条件真实成立，且增强条件有效时，可按“财星制印须财印力量和路径均成立”记录对应功能。</x:v>
      </x:c>
      <x:c r="AG76" s="90" t="str">
        <x:v>仅见表面十神名称或数量，但“不得以十神名称、数量或单一旺弱证据直接完成定性”所述限制存在时，不得套用本规则。</x:v>
      </x:c>
      <x:c r="AH76" s="68" t="str">
        <x:v>https://zh.wikisource.org/wiki/%E6%B8%8A%E6%B5%B7%E5%AD%90%E5%B9%B3%E5%A4%A7%E5%85%A8 ; https://zh.wikisource.org/wiki/%E6%BB%B4%E5%A4%A9%E9%AB%93%E9%97%A1%E5%BE%AE</x:v>
      </x:c>
      <x:c r="AI76" s="82" t="str">
        <x:v>采用</x:v>
      </x:c>
      <x:c r="AJ76" s="82" t="str">
        <x:v>初审</x:v>
      </x:c>
      <x:c r="AK76" s="87" t="n">
        <x:v>46255</x:v>
      </x:c>
    </x:row>
    <x:row r="77">
      <x:c r="A77" s="72" t="str">
        <x:f>IF(OR(C77="",D77=""),"",B77&amp;"-"&amp;UPPER(C77)&amp;"-"&amp;TEXT(D77,"0000")&amp;"-"&amp;E77)</x:f>
        <x:v>M10-CAI-0071-V1.0</x:v>
      </x:c>
      <x:c r="B77" s="74" t="str">
        <x:v>M10</x:v>
      </x:c>
      <x:c r="C77" s="74" t="str">
        <x:v>CAI</x:v>
      </x:c>
      <x:c r="D77" s="215" t="n">
        <x:v>71</x:v>
      </x:c>
      <x:c r="E77" s="74" t="str">
        <x:v>V1.0</x:v>
      </x:c>
      <x:c r="F77" s="68" t="str">
        <x:v>财生官必须官星能够承接</x:v>
      </x:c>
      <x:c r="G77" s="82" t="str">
        <x:v>结构层</x:v>
      </x:c>
      <x:c r="H77" s="82" t="str">
        <x:v>正财</x:v>
      </x:c>
      <x:c r="I77" s="82" t="str">
        <x:v>待定</x:v>
      </x:c>
      <x:c r="J77" s="82" t="str">
        <x:v>待定</x:v>
      </x:c>
      <x:c r="K77" s="82" t="str">
        <x:v>待定</x:v>
      </x:c>
      <x:c r="L77" s="82" t="str">
        <x:v>待定</x:v>
      </x:c>
      <x:c r="M77" s="68" t="str">
        <x:v>财为官星生源</x:v>
      </x:c>
      <x:c r="N77" s="68" t="str">
        <x:v>按M06/M08核查</x:v>
      </x:c>
      <x:c r="O77" s="82" t="str">
        <x:v>待定</x:v>
      </x:c>
      <x:c r="P77" s="68" t="str">
        <x:v>财官相生候选转M11</x:v>
      </x:c>
      <x:c r="Q77" s="68" t="str">
        <x:v>需结合M09日主承载判断</x:v>
      </x:c>
      <x:c r="R77" s="82" t="str">
        <x:v>待定</x:v>
      </x:c>
      <x:c r="S77" s="68" t="str">
        <x:v>正财有效且正官存在，生扶路径连续</x:v>
      </x:c>
      <x:c r="T77" s="68" t="str">
        <x:v>M02十神映射、M08五行有效旺衰、M09日主旺衰已完成</x:v>
      </x:c>
      <x:c r="U77" s="68" t="str">
        <x:v>相关十神已由M02正确映射，并以M08有效力量为准</x:v>
      </x:c>
      <x:c r="V77" s="68" t="str">
        <x:v>得令、有根、透干、同党或生源形成独立有效证据</x:v>
      </x:c>
      <x:c r="W77" s="68" t="str">
        <x:v>失令、无根、被合绊、被制、改性或作用路径受阻</x:v>
      </x:c>
      <x:c r="X77" s="90" t="str">
        <x:v>不得以十神名称、数量或单一旺弱证据直接完成定性</x:v>
      </x:c>
      <x:c r="Y77" s="68" t="str">
        <x:v>特殊格局、从化候选及明确组合转M11/M14另审</x:v>
      </x:c>
      <x:c r="Z77" s="68" t="str">
        <x:v>不得直接推出吉凶、具体事件、亲属结果或最终喜忌</x:v>
      </x:c>
      <x:c r="AA77" s="84" t="str">
        <x:v>财生官接口</x:v>
      </x:c>
      <x:c r="AB77" s="84" t="str">
        <x:v>财生官必须官星能够承接：当“正财有效且正官存在，生扶路径连续”成立时，按本规则记录十神的有效功能；同时保留制化、承载和反向证据。</x:v>
      </x:c>
      <x:c r="AC77" s="82" t="str">
        <x:v>较高</x:v>
      </x:c>
      <x:c r="AD77" s="82" t="str">
        <x:v>现代综合</x:v>
      </x:c>
      <x:c r="AE77" s="68" t="str">
        <x:v>十神必须分开判断存在性、力量、清纯度、功能性与喜忌性；M10只形成结构层结论和候选，不越级替代M11—M18。</x:v>
      </x:c>
      <x:c r="AF77" s="68" t="str">
        <x:v>相关条件真实成立，且增强条件有效时，可按“财生官必须官星能够承接”记录对应功能。</x:v>
      </x:c>
      <x:c r="AG77" s="90" t="str">
        <x:v>仅见表面十神名称或数量，但“不得以十神名称、数量或单一旺弱证据直接完成定性”所述限制存在时，不得套用本规则。</x:v>
      </x:c>
      <x:c r="AH77" s="68" t="str">
        <x:v>https://zh.wikisource.org/wiki/%E6%B8%8A%E6%B5%B7%E5%AD%90%E5%B9%B3%E5%A4%A7%E5%85%A8 ; https://zh.wikisource.org/wiki/%E6%BB%B4%E5%A4%A9%E9%AB%93%E9%97%A1%E5%BE%AE</x:v>
      </x:c>
      <x:c r="AI77" s="82" t="str">
        <x:v>采用</x:v>
      </x:c>
      <x:c r="AJ77" s="82" t="str">
        <x:v>初审</x:v>
      </x:c>
      <x:c r="AK77" s="87" t="n">
        <x:v>46255</x:v>
      </x:c>
    </x:row>
    <x:row r="78">
      <x:c r="A78" s="72" t="str">
        <x:f>IF(OR(C78="",D78=""),"",B78&amp;"-"&amp;UPPER(C78)&amp;"-"&amp;TEXT(D78,"0000")&amp;"-"&amp;E78)</x:f>
        <x:v>M10-CAI-0072-V1.0</x:v>
      </x:c>
      <x:c r="B78" s="74" t="str">
        <x:v>M10</x:v>
      </x:c>
      <x:c r="C78" s="74" t="str">
        <x:v>CAI</x:v>
      </x:c>
      <x:c r="D78" s="215" t="n">
        <x:v>72</x:v>
      </x:c>
      <x:c r="E78" s="74" t="str">
        <x:v>V1.0</x:v>
      </x:c>
      <x:c r="F78" s="68" t="str">
        <x:v>财生杀会同时增加日主官杀负荷</x:v>
      </x:c>
      <x:c r="G78" s="82" t="str">
        <x:v>结构层</x:v>
      </x:c>
      <x:c r="H78" s="82" t="str">
        <x:v>偏财</x:v>
      </x:c>
      <x:c r="I78" s="82" t="str">
        <x:v>待定</x:v>
      </x:c>
      <x:c r="J78" s="82" t="str">
        <x:v>待定</x:v>
      </x:c>
      <x:c r="K78" s="82" t="str">
        <x:v>待定</x:v>
      </x:c>
      <x:c r="L78" s="82" t="str">
        <x:v>待定</x:v>
      </x:c>
      <x:c r="M78" s="68" t="str">
        <x:v>偏财生杀</x:v>
      </x:c>
      <x:c r="N78" s="68" t="str">
        <x:v>按M06/M08核查</x:v>
      </x:c>
      <x:c r="O78" s="82" t="str">
        <x:v>待定</x:v>
      </x:c>
      <x:c r="P78" s="68" t="str">
        <x:v>转M11/M14判断</x:v>
      </x:c>
      <x:c r="Q78" s="68" t="str">
        <x:v>间接提高七杀制身压力</x:v>
      </x:c>
      <x:c r="R78" s="82" t="str">
        <x:v>待定</x:v>
      </x:c>
      <x:c r="S78" s="68" t="str">
        <x:v>偏财有效生七杀，且七杀能够承接</x:v>
      </x:c>
      <x:c r="T78" s="68" t="str">
        <x:v>M02十神映射、M08五行有效旺衰、M09日主旺衰已完成</x:v>
      </x:c>
      <x:c r="U78" s="68" t="str">
        <x:v>相关十神已由M02正确映射，并以M08有效力量为准</x:v>
      </x:c>
      <x:c r="V78" s="68" t="str">
        <x:v>得令、有根、透干、同党或生源形成独立有效证据</x:v>
      </x:c>
      <x:c r="W78" s="68" t="str">
        <x:v>失令、无根、被合绊、被制、改性或作用路径受阻</x:v>
      </x:c>
      <x:c r="X78" s="90" t="str">
        <x:v>不得以十神名称、数量或单一旺弱证据直接完成定性</x:v>
      </x:c>
      <x:c r="Y78" s="68" t="str">
        <x:v>特殊格局、从化候选及明确组合转M11/M14另审</x:v>
      </x:c>
      <x:c r="Z78" s="68" t="str">
        <x:v>不得直接推出吉凶、具体事件、亲属结果或最终喜忌</x:v>
      </x:c>
      <x:c r="AA78" s="84" t="str">
        <x:v>财生杀加压</x:v>
      </x:c>
      <x:c r="AB78" s="84" t="str">
        <x:v>财生杀会同时增加日主官杀负荷：当“偏财有效生七杀，且七杀能够承接”成立时，按本规则记录十神的有效功能；同时保留制化、承载和反向证据。</x:v>
      </x:c>
      <x:c r="AC78" s="82" t="str">
        <x:v>较高</x:v>
      </x:c>
      <x:c r="AD78" s="82" t="str">
        <x:v>现代综合</x:v>
      </x:c>
      <x:c r="AE78" s="68" t="str">
        <x:v>十神必须分开判断存在性、力量、清纯度、功能性与喜忌性；M10只形成结构层结论和候选，不越级替代M11—M18。</x:v>
      </x:c>
      <x:c r="AF78" s="68" t="str">
        <x:v>相关条件真实成立，且增强条件有效时，可按“财生杀会同时增加日主官杀负荷”记录对应功能。</x:v>
      </x:c>
      <x:c r="AG78" s="90" t="str">
        <x:v>仅见表面十神名称或数量，但“不得以十神名称、数量或单一旺弱证据直接完成定性”所述限制存在时，不得套用本规则。</x:v>
      </x:c>
      <x:c r="AH78" s="68" t="str">
        <x:v>https://zh.wikisource.org/wiki/%E6%B8%8A%E6%B5%B7%E5%AD%90%E5%B9%B3%E5%A4%A7%E5%85%A8 ; https://zh.wikisource.org/wiki/%E6%BB%B4%E5%A4%A9%E9%AB%93%E9%97%A1%E5%BE%AE</x:v>
      </x:c>
      <x:c r="AI78" s="82" t="str">
        <x:v>采用</x:v>
      </x:c>
      <x:c r="AJ78" s="82" t="str">
        <x:v>初审</x:v>
      </x:c>
      <x:c r="AK78" s="87" t="n">
        <x:v>46255</x:v>
      </x:c>
    </x:row>
    <x:row r="79">
      <x:c r="A79" s="72" t="str">
        <x:f>IF(OR(C79="",D79=""),"",B79&amp;"-"&amp;UPPER(C79)&amp;"-"&amp;TEXT(D79,"0000")&amp;"-"&amp;E79)</x:f>
        <x:v>M10-CAI-0073-V1.0</x:v>
      </x:c>
      <x:c r="B79" s="74" t="str">
        <x:v>M10</x:v>
      </x:c>
      <x:c r="C79" s="74" t="str">
        <x:v>CAI</x:v>
      </x:c>
      <x:c r="D79" s="215" t="n">
        <x:v>73</x:v>
      </x:c>
      <x:c r="E79" s="74" t="str">
        <x:v>V1.0</x:v>
      </x:c>
      <x:c r="F79" s="68" t="str">
        <x:v>食伤生财链成立时财星来源更稳定</x:v>
      </x:c>
      <x:c r="G79" s="82" t="str">
        <x:v>结构层</x:v>
      </x:c>
      <x:c r="H79" s="82" t="str">
        <x:v>正财</x:v>
      </x:c>
      <x:c r="I79" s="82" t="str">
        <x:v>待定</x:v>
      </x:c>
      <x:c r="J79" s="82" t="str">
        <x:v>待定</x:v>
      </x:c>
      <x:c r="K79" s="82" t="str">
        <x:v>待定</x:v>
      </x:c>
      <x:c r="L79" s="82" t="str">
        <x:v>待定</x:v>
      </x:c>
      <x:c r="M79" s="68" t="str">
        <x:v>食伤为财星有效生源</x:v>
      </x:c>
      <x:c r="N79" s="68" t="str">
        <x:v>按M06/M08核查</x:v>
      </x:c>
      <x:c r="O79" s="82" t="str">
        <x:v>待定</x:v>
      </x:c>
      <x:c r="P79" s="68" t="str">
        <x:v>转M11/M14判断</x:v>
      </x:c>
      <x:c r="Q79" s="68" t="str">
        <x:v>需结合M09日主承载判断</x:v>
      </x:c>
      <x:c r="R79" s="82" t="str">
        <x:v>待定</x:v>
      </x:c>
      <x:c r="S79" s="68" t="str">
        <x:v>食伤有效生正财且中间无阻断</x:v>
      </x:c>
      <x:c r="T79" s="68" t="str">
        <x:v>M02十神映射、M08五行有效旺衰、M09日主旺衰已完成</x:v>
      </x:c>
      <x:c r="U79" s="68" t="str">
        <x:v>相关十神已由M02正确映射，并以M08有效力量为准</x:v>
      </x:c>
      <x:c r="V79" s="68" t="str">
        <x:v>得令、有根、透干、同党或生源形成独立有效证据</x:v>
      </x:c>
      <x:c r="W79" s="68" t="str">
        <x:v>失令、无根、被合绊、被制、改性或作用路径受阻</x:v>
      </x:c>
      <x:c r="X79" s="90" t="str">
        <x:v>不得以十神名称、数量或单一旺弱证据直接完成定性</x:v>
      </x:c>
      <x:c r="Y79" s="68" t="str">
        <x:v>特殊格局、从化候选及明确组合转M11/M14另审</x:v>
      </x:c>
      <x:c r="Z79" s="68" t="str">
        <x:v>不得直接推出吉凶、具体事件、亲属结果或最终喜忌</x:v>
      </x:c>
      <x:c r="AA79" s="84" t="str">
        <x:v>食伤生财来源</x:v>
      </x:c>
      <x:c r="AB79" s="84" t="str">
        <x:v>食伤生财链成立时财星来源更稳定：当“食伤有效生正财且中间无阻断”成立时，按本规则记录十神的有效功能；同时保留制化、承载和反向证据。</x:v>
      </x:c>
      <x:c r="AC79" s="82" t="str">
        <x:v>较高</x:v>
      </x:c>
      <x:c r="AD79" s="82" t="str">
        <x:v>现代综合</x:v>
      </x:c>
      <x:c r="AE79" s="68" t="str">
        <x:v>十神必须分开判断存在性、力量、清纯度、功能性与喜忌性；M10只形成结构层结论和候选，不越级替代M11—M18。</x:v>
      </x:c>
      <x:c r="AF79" s="68" t="str">
        <x:v>相关条件真实成立，且增强条件有效时，可按“食伤生财链成立时财星来源更稳定”记录对应功能。</x:v>
      </x:c>
      <x:c r="AG79" s="90" t="str">
        <x:v>仅见表面十神名称或数量，但“不得以十神名称、数量或单一旺弱证据直接完成定性”所述限制存在时，不得套用本规则。</x:v>
      </x:c>
      <x:c r="AH79" s="68" t="str">
        <x:v>https://zh.wikisource.org/wiki/%E6%B8%8A%E6%B5%B7%E5%AD%90%E5%B9%B3%E5%A4%A7%E5%85%A8 ; https://zh.wikisource.org/wiki/%E6%BB%B4%E5%A4%A9%E9%AB%93%E9%97%A1%E5%BE%AE</x:v>
      </x:c>
      <x:c r="AI79" s="82" t="str">
        <x:v>采用</x:v>
      </x:c>
      <x:c r="AJ79" s="82" t="str">
        <x:v>初审</x:v>
      </x:c>
      <x:c r="AK79" s="87" t="n">
        <x:v>46255</x:v>
      </x:c>
    </x:row>
    <x:row r="80">
      <x:c r="A80" s="72" t="str">
        <x:f>IF(OR(C80="",D80=""),"",B80&amp;"-"&amp;UPPER(C80)&amp;"-"&amp;TEXT(D80,"0000")&amp;"-"&amp;E80)</x:f>
        <x:v>M10-CAI-0074-V1.0</x:v>
      </x:c>
      <x:c r="B80" s="74" t="str">
        <x:v>M10</x:v>
      </x:c>
      <x:c r="C80" s="74" t="str">
        <x:v>CAI</x:v>
      </x:c>
      <x:c r="D80" s="215" t="n">
        <x:v>74</x:v>
      </x:c>
      <x:c r="E80" s="74" t="str">
        <x:v>V1.0</x:v>
      </x:c>
      <x:c r="F80" s="68" t="str">
        <x:v>财星多现但受制严重时不按财旺处理</x:v>
      </x:c>
      <x:c r="G80" s="82" t="str">
        <x:v>结构层</x:v>
      </x:c>
      <x:c r="H80" s="82" t="str">
        <x:v>偏财</x:v>
      </x:c>
      <x:c r="I80" s="82" t="str">
        <x:v>多处出现</x:v>
      </x:c>
      <x:c r="J80" s="82" t="str">
        <x:v>待定</x:v>
      </x:c>
      <x:c r="K80" s="82" t="str">
        <x:v>中和偏弱</x:v>
      </x:c>
      <x:c r="L80" s="82" t="str">
        <x:v>待定</x:v>
      </x:c>
      <x:c r="M80" s="68" t="str">
        <x:v>按M08核查</x:v>
      </x:c>
      <x:c r="N80" s="68" t="str">
        <x:v>按M06/M08核查</x:v>
      </x:c>
      <x:c r="O80" s="82" t="str">
        <x:v>受限</x:v>
      </x:c>
      <x:c r="P80" s="68" t="str">
        <x:v>转M11/M14判断</x:v>
      </x:c>
      <x:c r="Q80" s="68" t="str">
        <x:v>需结合M09日主承载判断</x:v>
      </x:c>
      <x:c r="R80" s="82" t="str">
        <x:v>待定</x:v>
      </x:c>
      <x:c r="S80" s="68" t="str">
        <x:v>偏财多处出现，但主要节点被比劫制、合绊或改性</x:v>
      </x:c>
      <x:c r="T80" s="68" t="str">
        <x:v>M02十神映射、M08五行有效旺衰、M09日主旺衰已完成</x:v>
      </x:c>
      <x:c r="U80" s="68" t="str">
        <x:v>相关十神已由M02正确映射，并以M08有效力量为准</x:v>
      </x:c>
      <x:c r="V80" s="68" t="str">
        <x:v>得令、有根、透干、同党或生源形成独立有效证据</x:v>
      </x:c>
      <x:c r="W80" s="68" t="str">
        <x:v>失令、无根、被合绊、被制、改性或作用路径受阻</x:v>
      </x:c>
      <x:c r="X80" s="90" t="str">
        <x:v>不得以十神名称、数量或单一旺弱证据直接完成定性</x:v>
      </x:c>
      <x:c r="Y80" s="68" t="str">
        <x:v>特殊格局、从化候选及明确组合转M11/M14另审</x:v>
      </x:c>
      <x:c r="Z80" s="68" t="str">
        <x:v>不得直接推出吉凶、具体事件、亲属结果或最终喜忌</x:v>
      </x:c>
      <x:c r="AA80" s="84" t="str">
        <x:v>财多而效弱</x:v>
      </x:c>
      <x:c r="AB80" s="84" t="str">
        <x:v>财星多现但受制严重时不按财旺处理：当“偏财多处出现，但主要节点被比劫制、合绊或改性”成立时，按本规则记录十神的有效功能；同时保留制化、承载和反向证据。</x:v>
      </x:c>
      <x:c r="AC80" s="82" t="str">
        <x:v>较高</x:v>
      </x:c>
      <x:c r="AD80" s="82" t="str">
        <x:v>现代综合</x:v>
      </x:c>
      <x:c r="AE80" s="68" t="str">
        <x:v>十神必须分开判断存在性、力量、清纯度、功能性与喜忌性；M10只形成结构层结论和候选，不越级替代M11—M18。</x:v>
      </x:c>
      <x:c r="AF80" s="68" t="str">
        <x:v>相关条件真实成立，且增强条件有效时，可按“财星多现但受制严重时不按财旺处理”记录对应功能。</x:v>
      </x:c>
      <x:c r="AG80" s="90" t="str">
        <x:v>仅见表面十神名称或数量，但“不得以十神名称、数量或单一旺弱证据直接完成定性”所述限制存在时，不得套用本规则。</x:v>
      </x:c>
      <x:c r="AH80" s="68" t="str">
        <x:v>https://zh.wikisource.org/wiki/%E6%B8%8A%E6%B5%B7%E5%AD%90%E5%B9%B3%E5%A4%A7%E5%85%A8 ; https://zh.wikisource.org/wiki/%E6%BB%B4%E5%A4%A9%E9%AB%93%E9%97%A1%E5%BE%AE</x:v>
      </x:c>
      <x:c r="AI80" s="82" t="str">
        <x:v>采用</x:v>
      </x:c>
      <x:c r="AJ80" s="82" t="str">
        <x:v>初审</x:v>
      </x:c>
      <x:c r="AK80" s="87" t="n">
        <x:v>46255</x:v>
      </x:c>
    </x:row>
    <x:row r="81">
      <x:c r="A81" s="72" t="str">
        <x:f>IF(OR(C81="",D81=""),"",B81&amp;"-"&amp;UPPER(C81)&amp;"-"&amp;TEXT(D81,"0000")&amp;"-"&amp;E81)</x:f>
        <x:v>M10-CAI-0075-V1.0</x:v>
      </x:c>
      <x:c r="B81" s="74" t="str">
        <x:v>M10</x:v>
      </x:c>
      <x:c r="C81" s="74" t="str">
        <x:v>CAI</x:v>
      </x:c>
      <x:c r="D81" s="215" t="n">
        <x:v>75</x:v>
      </x:c>
      <x:c r="E81" s="74" t="str">
        <x:v>V1.0</x:v>
      </x:c>
      <x:c r="F81" s="68" t="str">
        <x:v>财星旺弱与财富结果必须分离</x:v>
      </x:c>
      <x:c r="G81" s="82" t="str">
        <x:v>结构层</x:v>
      </x:c>
      <x:c r="H81" s="82" t="str">
        <x:v>正财</x:v>
      </x:c>
      <x:c r="I81" s="82" t="str">
        <x:v>待定</x:v>
      </x:c>
      <x:c r="J81" s="82" t="str">
        <x:v>待定</x:v>
      </x:c>
      <x:c r="K81" s="82" t="str">
        <x:v>待定</x:v>
      </x:c>
      <x:c r="L81" s="82" t="str">
        <x:v>待定</x:v>
      </x:c>
      <x:c r="M81" s="68" t="str">
        <x:v>按M08核查</x:v>
      </x:c>
      <x:c r="N81" s="68" t="str">
        <x:v>按M06/M08核查</x:v>
      </x:c>
      <x:c r="O81" s="82" t="str">
        <x:v>待定</x:v>
      </x:c>
      <x:c r="P81" s="68" t="str">
        <x:v>转M11/M14判断</x:v>
      </x:c>
      <x:c r="Q81" s="68" t="str">
        <x:v>需结合M09日主承载判断</x:v>
      </x:c>
      <x:c r="R81" s="82" t="str">
        <x:v>待定</x:v>
      </x:c>
      <x:c r="S81" s="68" t="str">
        <x:v>财星有效旺衰已经确定</x:v>
      </x:c>
      <x:c r="T81" s="68" t="str">
        <x:v>M02十神映射、M08五行有效旺衰、M09日主旺衰已完成</x:v>
      </x:c>
      <x:c r="U81" s="68" t="str">
        <x:v>相关十神已由M02正确映射，并以M08有效力量为准</x:v>
      </x:c>
      <x:c r="V81" s="68" t="str">
        <x:v>得令、有根、透干、同党或生源形成独立有效证据</x:v>
      </x:c>
      <x:c r="W81" s="68" t="str">
        <x:v>失令、无根、被合绊、被制、改性或作用路径受阻</x:v>
      </x:c>
      <x:c r="X81" s="90" t="str">
        <x:v>不得以十神名称、数量或单一旺弱证据直接完成定性</x:v>
      </x:c>
      <x:c r="Y81" s="68" t="str">
        <x:v>特殊格局、从化候选及明确组合转M11/M14另审</x:v>
      </x:c>
      <x:c r="Z81" s="68" t="str">
        <x:v>不得由财旺直接推出富、财弱直接推出贫或具体收入水平</x:v>
      </x:c>
      <x:c r="AA81" s="84" t="str">
        <x:v>财星力量价值分离</x:v>
      </x:c>
      <x:c r="AB81" s="84" t="str">
        <x:v>财星旺弱与财富结果必须分离：当“财星有效旺衰已经确定”成立时，按本规则记录十神的有效功能；同时保留制化、承载和反向证据。</x:v>
      </x:c>
      <x:c r="AC81" s="82" t="str">
        <x:v>较高</x:v>
      </x:c>
      <x:c r="AD81" s="82" t="str">
        <x:v>现代综合</x:v>
      </x:c>
      <x:c r="AE81" s="68" t="str">
        <x:v>十神必须分开判断存在性、力量、清纯度、功能性与喜忌性；M10只形成结构层结论和候选，不越级替代M11—M18。</x:v>
      </x:c>
      <x:c r="AF81" s="68" t="str">
        <x:v>相关条件真实成立，且增强条件有效时，可按“财星旺弱与财富结果必须分离”记录对应功能。</x:v>
      </x:c>
      <x:c r="AG81" s="90" t="str">
        <x:v>仅见表面十神名称或数量，但“不得以十神名称、数量或单一旺弱证据直接完成定性”所述限制存在时，不得套用本规则。</x:v>
      </x:c>
      <x:c r="AH81" s="68" t="str">
        <x:v>https://zh.wikisource.org/wiki/%E6%B8%8A%E6%B5%B7%E5%AD%90%E5%B9%B3%E5%A4%A7%E5%85%A8 ; https://zh.wikisource.org/wiki/%E6%BB%B4%E5%A4%A9%E9%AB%93%E9%97%A1%E5%BE%AE</x:v>
      </x:c>
      <x:c r="AI81" s="82" t="str">
        <x:v>采用</x:v>
      </x:c>
      <x:c r="AJ81" s="82" t="str">
        <x:v>初审</x:v>
      </x:c>
      <x:c r="AK81" s="87" t="n">
        <x:v>46255</x:v>
      </x:c>
    </x:row>
    <x:row r="82">
      <x:c r="A82" s="72" t="str">
        <x:f>IF(OR(C82="",D82=""),"",B82&amp;"-"&amp;UPPER(C82)&amp;"-"&amp;TEXT(D82,"0000")&amp;"-"&amp;E82)</x:f>
        <x:v>M10-CAI-0076-V1.0</x:v>
      </x:c>
      <x:c r="B82" s="74" t="str">
        <x:v>M10</x:v>
      </x:c>
      <x:c r="C82" s="74" t="str">
        <x:v>CAI</x:v>
      </x:c>
      <x:c r="D82" s="215" t="n">
        <x:v>76</x:v>
      </x:c>
      <x:c r="E82" s="74" t="str">
        <x:v>V1.0</x:v>
      </x:c>
      <x:c r="F82" s="68" t="str">
        <x:v>财星喜忌须同时读取日主承载与格局功能</x:v>
      </x:c>
      <x:c r="G82" s="82" t="str">
        <x:v>结构层</x:v>
      </x:c>
      <x:c r="H82" s="82" t="str">
        <x:v>偏财</x:v>
      </x:c>
      <x:c r="I82" s="82" t="str">
        <x:v>待定</x:v>
      </x:c>
      <x:c r="J82" s="82" t="str">
        <x:v>待定</x:v>
      </x:c>
      <x:c r="K82" s="82" t="str">
        <x:v>待定</x:v>
      </x:c>
      <x:c r="L82" s="82" t="str">
        <x:v>待定</x:v>
      </x:c>
      <x:c r="M82" s="68" t="str">
        <x:v>按M08核查</x:v>
      </x:c>
      <x:c r="N82" s="68" t="str">
        <x:v>按M06/M08核查</x:v>
      </x:c>
      <x:c r="O82" s="82" t="str">
        <x:v>待定</x:v>
      </x:c>
      <x:c r="P82" s="68" t="str">
        <x:v>转M11/M14判断</x:v>
      </x:c>
      <x:c r="Q82" s="68" t="str">
        <x:v>需结合M09日主承载判断</x:v>
      </x:c>
      <x:c r="R82" s="82" t="str">
        <x:v>待定</x:v>
      </x:c>
      <x:c r="S82" s="68" t="str">
        <x:v>判断偏财价值时，同时核查M09承载和M11/M14结构角色</x:v>
      </x:c>
      <x:c r="T82" s="68" t="str">
        <x:v>M02十神映射、M08五行有效旺衰、M09日主旺衰已完成</x:v>
      </x:c>
      <x:c r="U82" s="68" t="str">
        <x:v>相关十神已由M02正确映射，并以M08有效力量为准</x:v>
      </x:c>
      <x:c r="V82" s="68" t="str">
        <x:v>得令、有根、透干、同党或生源形成独立有效证据</x:v>
      </x:c>
      <x:c r="W82" s="68" t="str">
        <x:v>失令、无根、被合绊、被制、改性或作用路径受阻</x:v>
      </x:c>
      <x:c r="X82" s="90" t="str">
        <x:v>不得以十神名称、数量或单一旺弱证据直接完成定性</x:v>
      </x:c>
      <x:c r="Y82" s="68" t="str">
        <x:v>特殊格局、从化候选及明确组合转M11/M14另审</x:v>
      </x:c>
      <x:c r="Z82" s="68" t="str">
        <x:v>不得直接推出吉凶、具体事件、亲属结果或最终喜忌</x:v>
      </x:c>
      <x:c r="AA82" s="84" t="str">
        <x:v>财星喜忌联判</x:v>
      </x:c>
      <x:c r="AB82" s="84" t="str">
        <x:v>财星喜忌须同时读取日主承载与格局功能：当“判断偏财价值时，同时核查M09承载和M11/M14结构角色”成立时，按本规则记录十神的有效功能；同时保留制化、承载和反向证据。</x:v>
      </x:c>
      <x:c r="AC82" s="82" t="str">
        <x:v>较高</x:v>
      </x:c>
      <x:c r="AD82" s="82" t="str">
        <x:v>现代综合</x:v>
      </x:c>
      <x:c r="AE82" s="68" t="str">
        <x:v>十神必须分开判断存在性、力量、清纯度、功能性与喜忌性；M10只形成结构层结论和候选，不越级替代M11—M18。</x:v>
      </x:c>
      <x:c r="AF82" s="68" t="str">
        <x:v>相关条件真实成立，且增强条件有效时，可按“财星喜忌须同时读取日主承载与格局功能”记录对应功能。</x:v>
      </x:c>
      <x:c r="AG82" s="90" t="str">
        <x:v>仅见表面十神名称或数量，但“不得以十神名称、数量或单一旺弱证据直接完成定性”所述限制存在时，不得套用本规则。</x:v>
      </x:c>
      <x:c r="AH82" s="68" t="str">
        <x:v>https://zh.wikisource.org/wiki/%E6%B8%8A%E6%B5%B7%E5%AD%90%E5%B9%B3%E5%A4%A7%E5%85%A8 ; https://zh.wikisource.org/wiki/%E6%BB%B4%E5%A4%A9%E9%AB%93%E9%97%A1%E5%BE%AE</x:v>
      </x:c>
      <x:c r="AI82" s="82" t="str">
        <x:v>采用</x:v>
      </x:c>
      <x:c r="AJ82" s="82" t="str">
        <x:v>初审</x:v>
      </x:c>
      <x:c r="AK82" s="87" t="n">
        <x:v>46255</x:v>
      </x:c>
    </x:row>
    <x:row r="83">
      <x:c r="A83" s="72" t="str">
        <x:f>IF(OR(C83="",D83=""),"",B83&amp;"-"&amp;UPPER(C83)&amp;"-"&amp;TEXT(D83,"0000")&amp;"-"&amp;E83)</x:f>
        <x:v>M10-GUANSHA-0077-V1.0</x:v>
      </x:c>
      <x:c r="B83" s="74" t="str">
        <x:v>M10</x:v>
      </x:c>
      <x:c r="C83" s="74" t="str">
        <x:v>GUANSHA</x:v>
      </x:c>
      <x:c r="D83" s="215" t="n">
        <x:v>77</x:v>
      </x:c>
      <x:c r="E83" s="74" t="str">
        <x:v>V1.0</x:v>
      </x:c>
      <x:c r="F83" s="68" t="str">
        <x:v>有效正官首先承担制身和生印接口</x:v>
      </x:c>
      <x:c r="G83" s="82" t="str">
        <x:v>结构层</x:v>
      </x:c>
      <x:c r="H83" s="82" t="str">
        <x:v>正官</x:v>
      </x:c>
      <x:c r="I83" s="82" t="str">
        <x:v>待定</x:v>
      </x:c>
      <x:c r="J83" s="82" t="str">
        <x:v>待定</x:v>
      </x:c>
      <x:c r="K83" s="82" t="str">
        <x:v>待定</x:v>
      </x:c>
      <x:c r="L83" s="82" t="str">
        <x:v>待定</x:v>
      </x:c>
      <x:c r="M83" s="68" t="str">
        <x:v>按M08核查</x:v>
      </x:c>
      <x:c r="N83" s="68" t="str">
        <x:v>按M06/M08核查</x:v>
      </x:c>
      <x:c r="O83" s="82" t="str">
        <x:v>正常发挥</x:v>
      </x:c>
      <x:c r="P83" s="68" t="str">
        <x:v>转M11/M14判断</x:v>
      </x:c>
      <x:c r="Q83" s="68" t="str">
        <x:v>对日主形成规范性克制，并可生印</x:v>
      </x:c>
      <x:c r="R83" s="82" t="str">
        <x:v>待定</x:v>
      </x:c>
      <x:c r="S83" s="68" t="str">
        <x:v>正官有效存在</x:v>
      </x:c>
      <x:c r="T83" s="68" t="str">
        <x:v>M02十神映射、M08五行有效旺衰、M09日主旺衰已完成</x:v>
      </x:c>
      <x:c r="U83" s="68" t="str">
        <x:v>相关十神已由M02正确映射，并以M08有效力量为准</x:v>
      </x:c>
      <x:c r="V83" s="68" t="str">
        <x:v>得令、有根、透干、同党或生源形成独立有效证据</x:v>
      </x:c>
      <x:c r="W83" s="68" t="str">
        <x:v>失令、无根、被合绊、被制、改性或作用路径受阻</x:v>
      </x:c>
      <x:c r="X83" s="90" t="str">
        <x:v>不得以十神名称、数量或单一旺弱证据直接完成定性</x:v>
      </x:c>
      <x:c r="Y83" s="68" t="str">
        <x:v>特殊格局、从化候选及明确组合转M11/M14另审</x:v>
      </x:c>
      <x:c r="Z83" s="68" t="str">
        <x:v>不得直接推出吉凶、具体事件、亲属结果或最终喜忌</x:v>
      </x:c>
      <x:c r="AA83" s="84" t="str">
        <x:v>正官基本功能</x:v>
      </x:c>
      <x:c r="AB83" s="84" t="str">
        <x:v>有效正官首先承担制身和生印接口：当“正官有效存在”成立时，按本规则记录十神的有效功能；同时保留制化、承载和反向证据。</x:v>
      </x:c>
      <x:c r="AC83" s="82" t="str">
        <x:v>较高</x:v>
      </x:c>
      <x:c r="AD83" s="82" t="str">
        <x:v>现代综合</x:v>
      </x:c>
      <x:c r="AE83" s="68" t="str">
        <x:v>十神必须分开判断存在性、力量、清纯度、功能性与喜忌性；M10只形成结构层结论和候选，不越级替代M11—M18。</x:v>
      </x:c>
      <x:c r="AF83" s="68" t="str">
        <x:v>相关条件真实成立，且增强条件有效时，可按“有效正官首先承担制身和生印接口”记录对应功能。</x:v>
      </x:c>
      <x:c r="AG83" s="90" t="str">
        <x:v>仅见表面十神名称或数量，但“不得以十神名称、数量或单一旺弱证据直接完成定性”所述限制存在时，不得套用本规则。</x:v>
      </x:c>
      <x:c r="AH83" s="68" t="str">
        <x:v>https://zh.wikisource.org/wiki/%E6%B8%8A%E6%B5%B7%E5%AD%90%E5%B9%B3%E5%A4%A7%E5%85%A8 ; https://zh.wikisource.org/wiki/%E6%BB%B4%E5%A4%A9%E9%AB%93%E9%97%A1%E5%BE%AE</x:v>
      </x:c>
      <x:c r="AI83" s="82" t="str">
        <x:v>采用</x:v>
      </x:c>
      <x:c r="AJ83" s="82" t="str">
        <x:v>初审</x:v>
      </x:c>
      <x:c r="AK83" s="87" t="n">
        <x:v>46255</x:v>
      </x:c>
    </x:row>
    <x:row r="84">
      <x:c r="A84" s="72" t="str">
        <x:f>IF(OR(C84="",D84=""),"",B84&amp;"-"&amp;UPPER(C84)&amp;"-"&amp;TEXT(D84,"0000")&amp;"-"&amp;E84)</x:f>
        <x:v>M10-GUANSHA-0078-V1.0</x:v>
      </x:c>
      <x:c r="B84" s="74" t="str">
        <x:v>M10</x:v>
      </x:c>
      <x:c r="C84" s="74" t="str">
        <x:v>GUANSHA</x:v>
      </x:c>
      <x:c r="D84" s="215" t="n">
        <x:v>78</x:v>
      </x:c>
      <x:c r="E84" s="74" t="str">
        <x:v>V1.0</x:v>
      </x:c>
      <x:c r="F84" s="68" t="str">
        <x:v>有效七杀形成更直接的制身压力候选</x:v>
      </x:c>
      <x:c r="G84" s="82" t="str">
        <x:v>结构层</x:v>
      </x:c>
      <x:c r="H84" s="82" t="str">
        <x:v>七杀</x:v>
      </x:c>
      <x:c r="I84" s="82" t="str">
        <x:v>待定</x:v>
      </x:c>
      <x:c r="J84" s="82" t="str">
        <x:v>待定</x:v>
      </x:c>
      <x:c r="K84" s="82" t="str">
        <x:v>待定</x:v>
      </x:c>
      <x:c r="L84" s="82" t="str">
        <x:v>待定</x:v>
      </x:c>
      <x:c r="M84" s="68" t="str">
        <x:v>按M08核查</x:v>
      </x:c>
      <x:c r="N84" s="68" t="str">
        <x:v>按M06/M08核查</x:v>
      </x:c>
      <x:c r="O84" s="82" t="str">
        <x:v>正常发挥</x:v>
      </x:c>
      <x:c r="P84" s="68" t="str">
        <x:v>转M11/M14判断</x:v>
      </x:c>
      <x:c r="Q84" s="68" t="str">
        <x:v>对日主形成制身压力，强弱取决于七杀有效力和日主承载</x:v>
      </x:c>
      <x:c r="R84" s="82" t="str">
        <x:v>待定</x:v>
      </x:c>
      <x:c r="S84" s="68" t="str">
        <x:v>七杀有效存在</x:v>
      </x:c>
      <x:c r="T84" s="68" t="str">
        <x:v>M02十神映射、M08五行有效旺衰、M09日主旺衰已完成</x:v>
      </x:c>
      <x:c r="U84" s="68" t="str">
        <x:v>相关十神已由M02正确映射，并以M08有效力量为准</x:v>
      </x:c>
      <x:c r="V84" s="68" t="str">
        <x:v>得令、有根、透干、同党或生源形成独立有效证据</x:v>
      </x:c>
      <x:c r="W84" s="68" t="str">
        <x:v>失令、无根、被合绊、被制、改性或作用路径受阻</x:v>
      </x:c>
      <x:c r="X84" s="90" t="str">
        <x:v>不得以十神名称、数量或单一旺弱证据直接完成定性</x:v>
      </x:c>
      <x:c r="Y84" s="68" t="str">
        <x:v>特殊格局、从化候选及明确组合转M11/M14另审</x:v>
      </x:c>
      <x:c r="Z84" s="68" t="str">
        <x:v>不得直接推出吉凶、具体事件、亲属结果或最终喜忌</x:v>
      </x:c>
      <x:c r="AA84" s="84" t="str">
        <x:v>七杀制身</x:v>
      </x:c>
      <x:c r="AB84" s="84" t="str">
        <x:v>有效七杀形成更直接的制身压力候选：当“七杀有效存在”成立时，按本规则记录十神的有效功能；同时保留制化、承载和反向证据。</x:v>
      </x:c>
      <x:c r="AC84" s="82" t="str">
        <x:v>较高</x:v>
      </x:c>
      <x:c r="AD84" s="82" t="str">
        <x:v>现代综合</x:v>
      </x:c>
      <x:c r="AE84" s="68" t="str">
        <x:v>十神必须分开判断存在性、力量、清纯度、功能性与喜忌性；M10只形成结构层结论和候选，不越级替代M11—M18。</x:v>
      </x:c>
      <x:c r="AF84" s="68" t="str">
        <x:v>相关条件真实成立，且增强条件有效时，可按“有效七杀形成更直接的制身压力候选”记录对应功能。</x:v>
      </x:c>
      <x:c r="AG84" s="90" t="str">
        <x:v>仅见表面十神名称或数量，但“不得以十神名称、数量或单一旺弱证据直接完成定性”所述限制存在时，不得套用本规则。</x:v>
      </x:c>
      <x:c r="AH84" s="68" t="str">
        <x:v>https://zh.wikisource.org/wiki/%E6%B8%8A%E6%B5%B7%E5%AD%90%E5%B9%B3%E5%A4%A7%E5%85%A8 ; https://zh.wikisource.org/wiki/%E6%BB%B4%E5%A4%A9%E9%AB%93%E9%97%A1%E5%BE%AE</x:v>
      </x:c>
      <x:c r="AI84" s="82" t="str">
        <x:v>采用</x:v>
      </x:c>
      <x:c r="AJ84" s="82" t="str">
        <x:v>初审</x:v>
      </x:c>
      <x:c r="AK84" s="87" t="n">
        <x:v>46255</x:v>
      </x:c>
    </x:row>
    <x:row r="85">
      <x:c r="A85" s="72" t="str">
        <x:f>IF(OR(C85="",D85=""),"",B85&amp;"-"&amp;UPPER(C85)&amp;"-"&amp;TEXT(D85,"0000")&amp;"-"&amp;E85)</x:f>
        <x:v>M10-GUANSHA-0079-V1.0</x:v>
      </x:c>
      <x:c r="B85" s="74" t="str">
        <x:v>M10</x:v>
      </x:c>
      <x:c r="C85" s="74" t="str">
        <x:v>GUANSHA</x:v>
      </x:c>
      <x:c r="D85" s="215" t="n">
        <x:v>79</x:v>
      </x:c>
      <x:c r="E85" s="74" t="str">
        <x:v>V1.0</x:v>
      </x:c>
      <x:c r="F85" s="68" t="str">
        <x:v>身旺官星适度可形成制衡候选</x:v>
      </x:c>
      <x:c r="G85" s="82" t="str">
        <x:v>结构层</x:v>
      </x:c>
      <x:c r="H85" s="82" t="str">
        <x:v>正官</x:v>
      </x:c>
      <x:c r="I85" s="82" t="str">
        <x:v>待定</x:v>
      </x:c>
      <x:c r="J85" s="82" t="str">
        <x:v>待定</x:v>
      </x:c>
      <x:c r="K85" s="82" t="str">
        <x:v>待定</x:v>
      </x:c>
      <x:c r="L85" s="82" t="str">
        <x:v>待定</x:v>
      </x:c>
      <x:c r="M85" s="68" t="str">
        <x:v>按M08核查</x:v>
      </x:c>
      <x:c r="N85" s="68" t="str">
        <x:v>按M06/M08核查</x:v>
      </x:c>
      <x:c r="O85" s="82" t="str">
        <x:v>待定</x:v>
      </x:c>
      <x:c r="P85" s="68" t="str">
        <x:v>转M11/M14判断</x:v>
      </x:c>
      <x:c r="Q85" s="68" t="str">
        <x:v>对过强日主形成约束</x:v>
      </x:c>
      <x:c r="R85" s="82" t="str">
        <x:v>条件性喜神</x:v>
      </x:c>
      <x:c r="S85" s="68" t="str">
        <x:v>M09日主旺或中和偏旺，正官有效且不过度</x:v>
      </x:c>
      <x:c r="T85" s="68" t="str">
        <x:v>M02十神映射、M08五行有效旺衰、M09日主旺衰已完成</x:v>
      </x:c>
      <x:c r="U85" s="68" t="str">
        <x:v>相关十神已由M02正确映射，并以M08有效力量为准</x:v>
      </x:c>
      <x:c r="V85" s="68" t="str">
        <x:v>得令、有根、透干、同党或生源形成独立有效证据</x:v>
      </x:c>
      <x:c r="W85" s="68" t="str">
        <x:v>失令、无根、被合绊、被制、改性或作用路径受阻</x:v>
      </x:c>
      <x:c r="X85" s="90" t="str">
        <x:v>不得以十神名称、数量或单一旺弱证据直接完成定性</x:v>
      </x:c>
      <x:c r="Y85" s="68" t="str">
        <x:v>特殊格局、从化候选及明确组合转M11/M14另审</x:v>
      </x:c>
      <x:c r="Z85" s="68" t="str">
        <x:v>不得直接推出吉凶、具体事件、亲属结果或最终喜忌</x:v>
      </x:c>
      <x:c r="AA85" s="84" t="str">
        <x:v>身旺官星制衡</x:v>
      </x:c>
      <x:c r="AB85" s="84" t="str">
        <x:v>身旺官星适度可形成制衡候选：当“M09日主旺或中和偏旺，正官有效且不过度”成立时，按本规则记录十神的有效功能；同时保留制化、承载和反向证据。</x:v>
      </x:c>
      <x:c r="AC85" s="82" t="str">
        <x:v>较高</x:v>
      </x:c>
      <x:c r="AD85" s="82" t="str">
        <x:v>现代综合</x:v>
      </x:c>
      <x:c r="AE85" s="68" t="str">
        <x:v>十神必须分开判断存在性、力量、清纯度、功能性与喜忌性；M10只形成结构层结论和候选，不越级替代M11—M18。</x:v>
      </x:c>
      <x:c r="AF85" s="68" t="str">
        <x:v>相关条件真实成立，且增强条件有效时，可按“身旺官星适度可形成制衡候选”记录对应功能。</x:v>
      </x:c>
      <x:c r="AG85" s="90" t="str">
        <x:v>仅见表面十神名称或数量，但“不得以十神名称、数量或单一旺弱证据直接完成定性”所述限制存在时，不得套用本规则。</x:v>
      </x:c>
      <x:c r="AH85" s="68" t="str">
        <x:v>https://zh.wikisource.org/wiki/%E6%B8%8A%E6%B5%B7%E5%AD%90%E5%B9%B3%E5%A4%A7%E5%85%A8 ; https://zh.wikisource.org/wiki/%E6%BB%B4%E5%A4%A9%E9%AB%93%E9%97%A1%E5%BE%AE</x:v>
      </x:c>
      <x:c r="AI85" s="82" t="str">
        <x:v>采用</x:v>
      </x:c>
      <x:c r="AJ85" s="82" t="str">
        <x:v>初审</x:v>
      </x:c>
      <x:c r="AK85" s="87" t="n">
        <x:v>46255</x:v>
      </x:c>
    </x:row>
    <x:row r="86">
      <x:c r="A86" s="72" t="str">
        <x:f>IF(OR(C86="",D86=""),"",B86&amp;"-"&amp;UPPER(C86)&amp;"-"&amp;TEXT(D86,"0000")&amp;"-"&amp;E86)</x:f>
        <x:v>M10-GUANSHA-0080-V1.0</x:v>
      </x:c>
      <x:c r="B86" s="74" t="str">
        <x:v>M10</x:v>
      </x:c>
      <x:c r="C86" s="74" t="str">
        <x:v>GUANSHA</x:v>
      </x:c>
      <x:c r="D86" s="215" t="n">
        <x:v>80</x:v>
      </x:c>
      <x:c r="E86" s="74" t="str">
        <x:v>V1.0</x:v>
      </x:c>
      <x:c r="F86" s="68" t="str">
        <x:v>身弱杀旺无制化时属于高压力候选</x:v>
      </x:c>
      <x:c r="G86" s="82" t="str">
        <x:v>结构层</x:v>
      </x:c>
      <x:c r="H86" s="82" t="str">
        <x:v>七杀</x:v>
      </x:c>
      <x:c r="I86" s="82" t="str">
        <x:v>待定</x:v>
      </x:c>
      <x:c r="J86" s="82" t="str">
        <x:v>待定</x:v>
      </x:c>
      <x:c r="K86" s="82" t="str">
        <x:v>待定</x:v>
      </x:c>
      <x:c r="L86" s="82" t="str">
        <x:v>待定</x:v>
      </x:c>
      <x:c r="M86" s="68" t="str">
        <x:v>按M08核查</x:v>
      </x:c>
      <x:c r="N86" s="68" t="str">
        <x:v>按M06/M08核查</x:v>
      </x:c>
      <x:c r="O86" s="82" t="str">
        <x:v>过度</x:v>
      </x:c>
      <x:c r="P86" s="68" t="str">
        <x:v>转M11/M14判断</x:v>
      </x:c>
      <x:c r="Q86" s="68" t="str">
        <x:v>制身压力超过承载</x:v>
      </x:c>
      <x:c r="R86" s="82" t="str">
        <x:v>条件性忌神</x:v>
      </x:c>
      <x:c r="S86" s="68" t="str">
        <x:v>M09日主弱或中和偏弱，七杀旺且缺少印化食制</x:v>
      </x:c>
      <x:c r="T86" s="68" t="str">
        <x:v>M02十神映射、M08五行有效旺衰、M09日主旺衰已完成</x:v>
      </x:c>
      <x:c r="U86" s="68" t="str">
        <x:v>相关十神已由M02正确映射，并以M08有效力量为准</x:v>
      </x:c>
      <x:c r="V86" s="68" t="str">
        <x:v>得令、有根、透干、同党或生源形成独立有效证据</x:v>
      </x:c>
      <x:c r="W86" s="68" t="str">
        <x:v>失令、无根、被合绊、被制、改性或作用路径受阻</x:v>
      </x:c>
      <x:c r="X86" s="90" t="str">
        <x:v>不得以十神名称、数量或单一旺弱证据直接完成定性</x:v>
      </x:c>
      <x:c r="Y86" s="68" t="str">
        <x:v>特殊格局、从化候选及明确组合转M11/M14另审</x:v>
      </x:c>
      <x:c r="Z86" s="68" t="str">
        <x:v>不得直接推出吉凶、具体事件、亲属结果或最终喜忌</x:v>
      </x:c>
      <x:c r="AA86" s="84" t="str">
        <x:v>杀旺攻身候选</x:v>
      </x:c>
      <x:c r="AB86" s="84" t="str">
        <x:v>身弱杀旺无制化时属于高压力候选：当“M09日主弱或中和偏弱，七杀旺且缺少印化食制”成立时，按本规则记录十神的有效功能；同时保留制化、承载和反向证据。</x:v>
      </x:c>
      <x:c r="AC86" s="82" t="str">
        <x:v>较高</x:v>
      </x:c>
      <x:c r="AD86" s="82" t="str">
        <x:v>现代综合</x:v>
      </x:c>
      <x:c r="AE86" s="68" t="str">
        <x:v>十神必须分开判断存在性、力量、清纯度、功能性与喜忌性；M10只形成结构层结论和候选，不越级替代M11—M18。</x:v>
      </x:c>
      <x:c r="AF86" s="68" t="str">
        <x:v>相关条件真实成立，且增强条件有效时，可按“身弱杀旺无制化时属于高压力候选”记录对应功能。</x:v>
      </x:c>
      <x:c r="AG86" s="90" t="str">
        <x:v>仅见表面十神名称或数量，但“不得以十神名称、数量或单一旺弱证据直接完成定性”所述限制存在时，不得套用本规则。</x:v>
      </x:c>
      <x:c r="AH86" s="68" t="str">
        <x:v>https://zh.wikisource.org/wiki/%E6%B8%8A%E6%B5%B7%E5%AD%90%E5%B9%B3%E5%A4%A7%E5%85%A8 ; https://zh.wikisource.org/wiki/%E6%BB%B4%E5%A4%A9%E9%AB%93%E9%97%A1%E5%BE%AE</x:v>
      </x:c>
      <x:c r="AI86" s="82" t="str">
        <x:v>采用</x:v>
      </x:c>
      <x:c r="AJ86" s="82" t="str">
        <x:v>初审</x:v>
      </x:c>
      <x:c r="AK86" s="87" t="n">
        <x:v>46255</x:v>
      </x:c>
    </x:row>
    <x:row r="87">
      <x:c r="A87" s="72" t="str">
        <x:f>IF(OR(C87="",D87=""),"",B87&amp;"-"&amp;UPPER(C87)&amp;"-"&amp;TEXT(D87,"0000")&amp;"-"&amp;E87)</x:f>
        <x:v>M10-GUANSHA-0081-V1.0</x:v>
      </x:c>
      <x:c r="B87" s="74" t="str">
        <x:v>M10</x:v>
      </x:c>
      <x:c r="C87" s="74" t="str">
        <x:v>GUANSHA</x:v>
      </x:c>
      <x:c r="D87" s="215" t="n">
        <x:v>81</x:v>
      </x:c>
      <x:c r="E87" s="74" t="str">
        <x:v>V1.0</x:v>
      </x:c>
      <x:c r="F87" s="68" t="str">
        <x:v>正官受伤官有效克制时功能受限</x:v>
      </x:c>
      <x:c r="G87" s="82" t="str">
        <x:v>结构层</x:v>
      </x:c>
      <x:c r="H87" s="82" t="str">
        <x:v>正官</x:v>
      </x:c>
      <x:c r="I87" s="82" t="str">
        <x:v>待定</x:v>
      </x:c>
      <x:c r="J87" s="82" t="str">
        <x:v>待定</x:v>
      </x:c>
      <x:c r="K87" s="82" t="str">
        <x:v>待定</x:v>
      </x:c>
      <x:c r="L87" s="82" t="str">
        <x:v>待定</x:v>
      </x:c>
      <x:c r="M87" s="68" t="str">
        <x:v>按M08核查</x:v>
      </x:c>
      <x:c r="N87" s="68" t="str">
        <x:v>受伤官有效克制</x:v>
      </x:c>
      <x:c r="O87" s="82" t="str">
        <x:v>受限</x:v>
      </x:c>
      <x:c r="P87" s="68" t="str">
        <x:v>转M11/M14判断</x:v>
      </x:c>
      <x:c r="Q87" s="68" t="str">
        <x:v>需结合M09日主承载判断</x:v>
      </x:c>
      <x:c r="R87" s="82" t="str">
        <x:v>待定</x:v>
      </x:c>
      <x:c r="S87" s="68" t="str">
        <x:v>伤官对正官形成实质克制</x:v>
      </x:c>
      <x:c r="T87" s="68" t="str">
        <x:v>M02十神映射、M08五行有效旺衰、M09日主旺衰已完成</x:v>
      </x:c>
      <x:c r="U87" s="68" t="str">
        <x:v>相关十神已由M02正确映射，并以M08有效力量为准</x:v>
      </x:c>
      <x:c r="V87" s="68" t="str">
        <x:v>得令、有根、透干、同党或生源形成独立有效证据</x:v>
      </x:c>
      <x:c r="W87" s="68" t="str">
        <x:v>失令、无根、被合绊、被制、改性或作用路径受阻</x:v>
      </x:c>
      <x:c r="X87" s="90" t="str">
        <x:v>不得以十神名称、数量或单一旺弱证据直接完成定性</x:v>
      </x:c>
      <x:c r="Y87" s="68" t="str">
        <x:v>特殊格局、从化候选及明确组合转M11/M14另审</x:v>
      </x:c>
      <x:c r="Z87" s="68" t="str">
        <x:v>不得直接推出吉凶、具体事件、亲属结果或最终喜忌</x:v>
      </x:c>
      <x:c r="AA87" s="84" t="str">
        <x:v>官受伤官制</x:v>
      </x:c>
      <x:c r="AB87" s="84" t="str">
        <x:v>正官受伤官有效克制时功能受限：当“伤官对正官形成实质克制”成立时，按本规则记录十神的有效功能；同时保留制化、承载和反向证据。</x:v>
      </x:c>
      <x:c r="AC87" s="82" t="str">
        <x:v>较高</x:v>
      </x:c>
      <x:c r="AD87" s="82" t="str">
        <x:v>现代综合</x:v>
      </x:c>
      <x:c r="AE87" s="68" t="str">
        <x:v>十神必须分开判断存在性、力量、清纯度、功能性与喜忌性；M10只形成结构层结论和候选，不越级替代M11—M18。</x:v>
      </x:c>
      <x:c r="AF87" s="68" t="str">
        <x:v>相关条件真实成立，且增强条件有效时，可按“正官受伤官有效克制时功能受限”记录对应功能。</x:v>
      </x:c>
      <x:c r="AG87" s="90" t="str">
        <x:v>仅见表面十神名称或数量，但“不得以十神名称、数量或单一旺弱证据直接完成定性”所述限制存在时，不得套用本规则。</x:v>
      </x:c>
      <x:c r="AH87" s="68" t="str">
        <x:v>https://zh.wikisource.org/wiki/%E6%B8%8A%E6%B5%B7%E5%AD%90%E5%B9%B3%E5%A4%A7%E5%85%A8 ; https://zh.wikisource.org/wiki/%E6%BB%B4%E5%A4%A9%E9%AB%93%E9%97%A1%E5%BE%AE</x:v>
      </x:c>
      <x:c r="AI87" s="82" t="str">
        <x:v>采用</x:v>
      </x:c>
      <x:c r="AJ87" s="82" t="str">
        <x:v>初审</x:v>
      </x:c>
      <x:c r="AK87" s="87" t="n">
        <x:v>46255</x:v>
      </x:c>
    </x:row>
    <x:row r="88">
      <x:c r="A88" s="72" t="str">
        <x:f>IF(OR(C88="",D88=""),"",B88&amp;"-"&amp;UPPER(C88)&amp;"-"&amp;TEXT(D88,"0000")&amp;"-"&amp;E88)</x:f>
        <x:v>M10-GUANSHA-0082-V1.0</x:v>
      </x:c>
      <x:c r="B88" s="74" t="str">
        <x:v>M10</x:v>
      </x:c>
      <x:c r="C88" s="74" t="str">
        <x:v>GUANSHA</x:v>
      </x:c>
      <x:c r="D88" s="215" t="n">
        <x:v>82</x:v>
      </x:c>
      <x:c r="E88" s="74" t="str">
        <x:v>V1.0</x:v>
      </x:c>
      <x:c r="F88" s="68" t="str">
        <x:v>七杀受食神有效制约时制身压力下降</x:v>
      </x:c>
      <x:c r="G88" s="82" t="str">
        <x:v>结构层</x:v>
      </x:c>
      <x:c r="H88" s="82" t="str">
        <x:v>七杀</x:v>
      </x:c>
      <x:c r="I88" s="82" t="str">
        <x:v>待定</x:v>
      </x:c>
      <x:c r="J88" s="82" t="str">
        <x:v>待定</x:v>
      </x:c>
      <x:c r="K88" s="82" t="str">
        <x:v>待定</x:v>
      </x:c>
      <x:c r="L88" s="82" t="str">
        <x:v>待定</x:v>
      </x:c>
      <x:c r="M88" s="68" t="str">
        <x:v>按M08核查</x:v>
      </x:c>
      <x:c r="N88" s="68" t="str">
        <x:v>受食神有效制约</x:v>
      </x:c>
      <x:c r="O88" s="82" t="str">
        <x:v>受限</x:v>
      </x:c>
      <x:c r="P88" s="68" t="str">
        <x:v>食神制杀候选转M11</x:v>
      </x:c>
      <x:c r="Q88" s="68" t="str">
        <x:v>需结合M09日主承载判断</x:v>
      </x:c>
      <x:c r="R88" s="82" t="str">
        <x:v>待定</x:v>
      </x:c>
      <x:c r="S88" s="68" t="str">
        <x:v>食神对七杀形成有效克制且力量匹配</x:v>
      </x:c>
      <x:c r="T88" s="68" t="str">
        <x:v>M02十神映射、M08五行有效旺衰、M09日主旺衰已完成</x:v>
      </x:c>
      <x:c r="U88" s="68" t="str">
        <x:v>相关十神已由M02正确映射，并以M08有效力量为准</x:v>
      </x:c>
      <x:c r="V88" s="68" t="str">
        <x:v>得令、有根、透干、同党或生源形成独立有效证据</x:v>
      </x:c>
      <x:c r="W88" s="68" t="str">
        <x:v>失令、无根、被合绊、被制、改性或作用路径受阻</x:v>
      </x:c>
      <x:c r="X88" s="90" t="str">
        <x:v>不得以十神名称、数量或单一旺弱证据直接完成定性</x:v>
      </x:c>
      <x:c r="Y88" s="68" t="str">
        <x:v>特殊格局、从化候选及明确组合转M11/M14另审</x:v>
      </x:c>
      <x:c r="Z88" s="68" t="str">
        <x:v>不得直接推出吉凶、具体事件、亲属结果或最终喜忌</x:v>
      </x:c>
      <x:c r="AA88" s="84" t="str">
        <x:v>杀受食制</x:v>
      </x:c>
      <x:c r="AB88" s="84" t="str">
        <x:v>七杀受食神有效制约时制身压力下降：当“食神对七杀形成有效克制且力量匹配”成立时，按本规则记录十神的有效功能；同时保留制化、承载和反向证据。</x:v>
      </x:c>
      <x:c r="AC88" s="82" t="str">
        <x:v>较高</x:v>
      </x:c>
      <x:c r="AD88" s="82" t="str">
        <x:v>现代综合</x:v>
      </x:c>
      <x:c r="AE88" s="68" t="str">
        <x:v>十神必须分开判断存在性、力量、清纯度、功能性与喜忌性；M10只形成结构层结论和候选，不越级替代M11—M18。</x:v>
      </x:c>
      <x:c r="AF88" s="68" t="str">
        <x:v>相关条件真实成立，且增强条件有效时，可按“七杀受食神有效制约时制身压力下降”记录对应功能。</x:v>
      </x:c>
      <x:c r="AG88" s="90" t="str">
        <x:v>仅见表面十神名称或数量，但“不得以十神名称、数量或单一旺弱证据直接完成定性”所述限制存在时，不得套用本规则。</x:v>
      </x:c>
      <x:c r="AH88" s="68" t="str">
        <x:v>https://zh.wikisource.org/wiki/%E6%B8%8A%E6%B5%B7%E5%AD%90%E5%B9%B3%E5%A4%A7%E5%85%A8 ; https://zh.wikisource.org/wiki/%E6%BB%B4%E5%A4%A9%E9%AB%93%E9%97%A1%E5%BE%AE</x:v>
      </x:c>
      <x:c r="AI88" s="82" t="str">
        <x:v>采用</x:v>
      </x:c>
      <x:c r="AJ88" s="82" t="str">
        <x:v>初审</x:v>
      </x:c>
      <x:c r="AK88" s="87" t="n">
        <x:v>46255</x:v>
      </x:c>
    </x:row>
    <x:row r="89">
      <x:c r="A89" s="72" t="str">
        <x:f>IF(OR(C89="",D89=""),"",B89&amp;"-"&amp;UPPER(C89)&amp;"-"&amp;TEXT(D89,"0000")&amp;"-"&amp;E89)</x:f>
        <x:v>M10-GUANSHA-0083-V1.0</x:v>
      </x:c>
      <x:c r="B89" s="74" t="str">
        <x:v>M10</x:v>
      </x:c>
      <x:c r="C89" s="74" t="str">
        <x:v>GUANSHA</x:v>
      </x:c>
      <x:c r="D89" s="215" t="n">
        <x:v>83</x:v>
      </x:c>
      <x:c r="E89" s="74" t="str">
        <x:v>V1.0</x:v>
      </x:c>
      <x:c r="F89" s="68" t="str">
        <x:v>七杀生印且印再生身时可由直接压力转为生扶链</x:v>
      </x:c>
      <x:c r="G89" s="82" t="str">
        <x:v>结构层</x:v>
      </x:c>
      <x:c r="H89" s="82" t="str">
        <x:v>七杀</x:v>
      </x:c>
      <x:c r="I89" s="82" t="str">
        <x:v>待定</x:v>
      </x:c>
      <x:c r="J89" s="82" t="str">
        <x:v>待定</x:v>
      </x:c>
      <x:c r="K89" s="82" t="str">
        <x:v>待定</x:v>
      </x:c>
      <x:c r="L89" s="82" t="str">
        <x:v>待定</x:v>
      </x:c>
      <x:c r="M89" s="68" t="str">
        <x:v>按M08核查</x:v>
      </x:c>
      <x:c r="N89" s="68" t="str">
        <x:v>按M06/M08核查</x:v>
      </x:c>
      <x:c r="O89" s="82" t="str">
        <x:v>转化</x:v>
      </x:c>
      <x:c r="P89" s="68" t="str">
        <x:v>杀印相生候选转M11</x:v>
      </x:c>
      <x:c r="Q89" s="68" t="str">
        <x:v>部分制身压力转化为印星生身资源</x:v>
      </x:c>
      <x:c r="R89" s="82" t="str">
        <x:v>待定</x:v>
      </x:c>
      <x:c r="S89" s="68" t="str">
        <x:v>七杀→印→日主链路连续有效</x:v>
      </x:c>
      <x:c r="T89" s="68" t="str">
        <x:v>M02十神映射、M08五行有效旺衰、M09日主旺衰已完成</x:v>
      </x:c>
      <x:c r="U89" s="68" t="str">
        <x:v>相关十神已由M02正确映射，并以M08有效力量为准</x:v>
      </x:c>
      <x:c r="V89" s="68" t="str">
        <x:v>得令、有根、透干、同党或生源形成独立有效证据</x:v>
      </x:c>
      <x:c r="W89" s="68" t="str">
        <x:v>失令、无根、被合绊、被制、改性或作用路径受阻</x:v>
      </x:c>
      <x:c r="X89" s="90" t="str">
        <x:v>不得以十神名称、数量或单一旺弱证据直接完成定性</x:v>
      </x:c>
      <x:c r="Y89" s="68" t="str">
        <x:v>特殊格局、从化候选及明确组合转M11/M14另审</x:v>
      </x:c>
      <x:c r="Z89" s="68" t="str">
        <x:v>不得直接推出吉凶、具体事件、亲属结果或最终喜忌</x:v>
      </x:c>
      <x:c r="AA89" s="84" t="str">
        <x:v>杀印转化</x:v>
      </x:c>
      <x:c r="AB89" s="84" t="str">
        <x:v>七杀生印且印再生身时可由直接压力转为生扶链：当“七杀→印→日主链路连续有效”成立时，按本规则记录十神的有效功能；同时保留制化、承载和反向证据。</x:v>
      </x:c>
      <x:c r="AC89" s="82" t="str">
        <x:v>较高</x:v>
      </x:c>
      <x:c r="AD89" s="82" t="str">
        <x:v>现代综合</x:v>
      </x:c>
      <x:c r="AE89" s="68" t="str">
        <x:v>十神必须分开判断存在性、力量、清纯度、功能性与喜忌性；M10只形成结构层结论和候选，不越级替代M11—M18。</x:v>
      </x:c>
      <x:c r="AF89" s="68" t="str">
        <x:v>相关条件真实成立，且增强条件有效时，可按“七杀生印且印再生身时可由直接压力转为生扶链”记录对应功能。</x:v>
      </x:c>
      <x:c r="AG89" s="90" t="str">
        <x:v>仅见表面十神名称或数量，但“不得以十神名称、数量或单一旺弱证据直接完成定性”所述限制存在时，不得套用本规则。</x:v>
      </x:c>
      <x:c r="AH89" s="68" t="str">
        <x:v>https://zh.wikisource.org/wiki/%E6%B8%8A%E6%B5%B7%E5%AD%90%E5%B9%B3%E5%A4%A7%E5%85%A8 ; https://zh.wikisource.org/wiki/%E6%BB%B4%E5%A4%A9%E9%AB%93%E9%97%A1%E5%BE%AE</x:v>
      </x:c>
      <x:c r="AI89" s="82" t="str">
        <x:v>采用</x:v>
      </x:c>
      <x:c r="AJ89" s="82" t="str">
        <x:v>初审</x:v>
      </x:c>
      <x:c r="AK89" s="87" t="n">
        <x:v>46255</x:v>
      </x:c>
    </x:row>
    <x:row r="90">
      <x:c r="A90" s="72" t="str">
        <x:f>IF(OR(C90="",D90=""),"",B90&amp;"-"&amp;UPPER(C90)&amp;"-"&amp;TEXT(D90,"0000")&amp;"-"&amp;E90)</x:f>
        <x:v>M10-GUANSHA-0084-V1.0</x:v>
      </x:c>
      <x:c r="B90" s="74" t="str">
        <x:v>M10</x:v>
      </x:c>
      <x:c r="C90" s="74" t="str">
        <x:v>GUANSHA</x:v>
      </x:c>
      <x:c r="D90" s="215" t="n">
        <x:v>84</x:v>
      </x:c>
      <x:c r="E90" s="74" t="str">
        <x:v>V1.0</x:v>
      </x:c>
      <x:c r="F90" s="68" t="str">
        <x:v>正官生印形成官印连续链候选</x:v>
      </x:c>
      <x:c r="G90" s="82" t="str">
        <x:v>结构层</x:v>
      </x:c>
      <x:c r="H90" s="82" t="str">
        <x:v>正官</x:v>
      </x:c>
      <x:c r="I90" s="82" t="str">
        <x:v>待定</x:v>
      </x:c>
      <x:c r="J90" s="82" t="str">
        <x:v>待定</x:v>
      </x:c>
      <x:c r="K90" s="82" t="str">
        <x:v>待定</x:v>
      </x:c>
      <x:c r="L90" s="82" t="str">
        <x:v>待定</x:v>
      </x:c>
      <x:c r="M90" s="68" t="str">
        <x:v>按M08核查</x:v>
      </x:c>
      <x:c r="N90" s="68" t="str">
        <x:v>按M06/M08核查</x:v>
      </x:c>
      <x:c r="O90" s="82" t="str">
        <x:v>待定</x:v>
      </x:c>
      <x:c r="P90" s="68" t="str">
        <x:v>官印相生候选转M11</x:v>
      </x:c>
      <x:c r="Q90" s="68" t="str">
        <x:v>需结合M09日主承载判断</x:v>
      </x:c>
      <x:c r="R90" s="82" t="str">
        <x:v>待定</x:v>
      </x:c>
      <x:c r="S90" s="68" t="str">
        <x:v>正官→印→日主链路连续有效</x:v>
      </x:c>
      <x:c r="T90" s="68" t="str">
        <x:v>M02十神映射、M08五行有效旺衰、M09日主旺衰已完成</x:v>
      </x:c>
      <x:c r="U90" s="68" t="str">
        <x:v>相关十神已由M02正确映射，并以M08有效力量为准</x:v>
      </x:c>
      <x:c r="V90" s="68" t="str">
        <x:v>得令、有根、透干、同党或生源形成独立有效证据</x:v>
      </x:c>
      <x:c r="W90" s="68" t="str">
        <x:v>失令、无根、被合绊、被制、改性或作用路径受阻</x:v>
      </x:c>
      <x:c r="X90" s="90" t="str">
        <x:v>不得以十神名称、数量或单一旺弱证据直接完成定性</x:v>
      </x:c>
      <x:c r="Y90" s="68" t="str">
        <x:v>特殊格局、从化候选及明确组合转M11/M14另审</x:v>
      </x:c>
      <x:c r="Z90" s="68" t="str">
        <x:v>不得直接推出吉凶、具体事件、亲属结果或最终喜忌</x:v>
      </x:c>
      <x:c r="AA90" s="84" t="str">
        <x:v>官印相生接口</x:v>
      </x:c>
      <x:c r="AB90" s="84" t="str">
        <x:v>正官生印形成官印连续链候选：当“正官→印→日主链路连续有效”成立时，按本规则记录十神的有效功能；同时保留制化、承载和反向证据。</x:v>
      </x:c>
      <x:c r="AC90" s="82" t="str">
        <x:v>较高</x:v>
      </x:c>
      <x:c r="AD90" s="82" t="str">
        <x:v>现代综合</x:v>
      </x:c>
      <x:c r="AE90" s="68" t="str">
        <x:v>十神必须分开判断存在性、力量、清纯度、功能性与喜忌性；M10只形成结构层结论和候选，不越级替代M11—M18。</x:v>
      </x:c>
      <x:c r="AF90" s="68" t="str">
        <x:v>相关条件真实成立，且增强条件有效时，可按“正官生印形成官印连续链候选”记录对应功能。</x:v>
      </x:c>
      <x:c r="AG90" s="90" t="str">
        <x:v>仅见表面十神名称或数量，但“不得以十神名称、数量或单一旺弱证据直接完成定性”所述限制存在时，不得套用本规则。</x:v>
      </x:c>
      <x:c r="AH90" s="68" t="str">
        <x:v>https://zh.wikisource.org/wiki/%E6%B8%8A%E6%B5%B7%E5%AD%90%E5%B9%B3%E5%A4%A7%E5%85%A8 ; https://zh.wikisource.org/wiki/%E6%BB%B4%E5%A4%A9%E9%AB%93%E9%97%A1%E5%BE%AE</x:v>
      </x:c>
      <x:c r="AI90" s="82" t="str">
        <x:v>采用</x:v>
      </x:c>
      <x:c r="AJ90" s="82" t="str">
        <x:v>初审</x:v>
      </x:c>
      <x:c r="AK90" s="87" t="n">
        <x:v>46255</x:v>
      </x:c>
    </x:row>
    <x:row r="91">
      <x:c r="A91" s="72" t="str">
        <x:f>IF(OR(C91="",D91=""),"",B91&amp;"-"&amp;UPPER(C91)&amp;"-"&amp;TEXT(D91,"0000")&amp;"-"&amp;E91)</x:f>
        <x:v>M10-GUANSHA-0085-V1.0</x:v>
      </x:c>
      <x:c r="B91" s="74" t="str">
        <x:v>M10</x:v>
      </x:c>
      <x:c r="C91" s="74" t="str">
        <x:v>GUANSHA</x:v>
      </x:c>
      <x:c r="D91" s="215" t="n">
        <x:v>85</x:v>
      </x:c>
      <x:c r="E91" s="74" t="str">
        <x:v>V1.0</x:v>
      </x:c>
      <x:c r="F91" s="68" t="str">
        <x:v>财星强生七杀会提高杀的有效压力</x:v>
      </x:c>
      <x:c r="G91" s="82" t="str">
        <x:v>结构层</x:v>
      </x:c>
      <x:c r="H91" s="82" t="str">
        <x:v>七杀</x:v>
      </x:c>
      <x:c r="I91" s="82" t="str">
        <x:v>待定</x:v>
      </x:c>
      <x:c r="J91" s="82" t="str">
        <x:v>待定</x:v>
      </x:c>
      <x:c r="K91" s="82" t="str">
        <x:v>中和偏旺</x:v>
      </x:c>
      <x:c r="L91" s="82" t="str">
        <x:v>待定</x:v>
      </x:c>
      <x:c r="M91" s="68" t="str">
        <x:v>财星生杀</x:v>
      </x:c>
      <x:c r="N91" s="68" t="str">
        <x:v>按M06/M08核查</x:v>
      </x:c>
      <x:c r="O91" s="82" t="str">
        <x:v>待定</x:v>
      </x:c>
      <x:c r="P91" s="68" t="str">
        <x:v>转M11/M14判断</x:v>
      </x:c>
      <x:c r="Q91" s="68" t="str">
        <x:v>需结合M09日主承载判断</x:v>
      </x:c>
      <x:c r="R91" s="82" t="str">
        <x:v>待定</x:v>
      </x:c>
      <x:c r="S91" s="68" t="str">
        <x:v>财星有效生七杀且无通关截断</x:v>
      </x:c>
      <x:c r="T91" s="68" t="str">
        <x:v>M02十神映射、M08五行有效旺衰、M09日主旺衰已完成</x:v>
      </x:c>
      <x:c r="U91" s="68" t="str">
        <x:v>相关十神已由M02正确映射，并以M08有效力量为准</x:v>
      </x:c>
      <x:c r="V91" s="68" t="str">
        <x:v>得令、有根、透干、同党或生源形成独立有效证据</x:v>
      </x:c>
      <x:c r="W91" s="68" t="str">
        <x:v>失令、无根、被合绊、被制、改性或作用路径受阻</x:v>
      </x:c>
      <x:c r="X91" s="90" t="str">
        <x:v>不得以十神名称、数量或单一旺弱证据直接完成定性</x:v>
      </x:c>
      <x:c r="Y91" s="68" t="str">
        <x:v>特殊格局、从化候选及明确组合转M11/M14另审</x:v>
      </x:c>
      <x:c r="Z91" s="68" t="str">
        <x:v>不得直接推出吉凶、具体事件、亲属结果或最终喜忌</x:v>
      </x:c>
      <x:c r="AA91" s="84" t="str">
        <x:v>财生杀增强</x:v>
      </x:c>
      <x:c r="AB91" s="84" t="str">
        <x:v>财星强生七杀会提高杀的有效压力：当“财星有效生七杀且无通关截断”成立时，按本规则记录十神的有效功能；同时保留制化、承载和反向证据。</x:v>
      </x:c>
      <x:c r="AC91" s="82" t="str">
        <x:v>较高</x:v>
      </x:c>
      <x:c r="AD91" s="82" t="str">
        <x:v>现代综合</x:v>
      </x:c>
      <x:c r="AE91" s="68" t="str">
        <x:v>十神必须分开判断存在性、力量、清纯度、功能性与喜忌性；M10只形成结构层结论和候选，不越级替代M11—M18。</x:v>
      </x:c>
      <x:c r="AF91" s="68" t="str">
        <x:v>相关条件真实成立，且增强条件有效时，可按“财星强生七杀会提高杀的有效压力”记录对应功能。</x:v>
      </x:c>
      <x:c r="AG91" s="90" t="str">
        <x:v>仅见表面十神名称或数量，但“不得以十神名称、数量或单一旺弱证据直接完成定性”所述限制存在时，不得套用本规则。</x:v>
      </x:c>
      <x:c r="AH91" s="68" t="str">
        <x:v>https://zh.wikisource.org/wiki/%E6%B8%8A%E6%B5%B7%E5%AD%90%E5%B9%B3%E5%A4%A7%E5%85%A8 ; https://zh.wikisource.org/wiki/%E6%BB%B4%E5%A4%A9%E9%AB%93%E9%97%A1%E5%BE%AE</x:v>
      </x:c>
      <x:c r="AI91" s="82" t="str">
        <x:v>采用</x:v>
      </x:c>
      <x:c r="AJ91" s="82" t="str">
        <x:v>初审</x:v>
      </x:c>
      <x:c r="AK91" s="87" t="n">
        <x:v>46255</x:v>
      </x:c>
    </x:row>
    <x:row r="92">
      <x:c r="A92" s="72" t="str">
        <x:f>IF(OR(C92="",D92=""),"",B92&amp;"-"&amp;UPPER(C92)&amp;"-"&amp;TEXT(D92,"0000")&amp;"-"&amp;E92)</x:f>
        <x:v>M10-GUANSHA-0086-V1.0</x:v>
      </x:c>
      <x:c r="B92" s="74" t="str">
        <x:v>M10</x:v>
      </x:c>
      <x:c r="C92" s="74" t="str">
        <x:v>GUANSHA</x:v>
      </x:c>
      <x:c r="D92" s="215" t="n">
        <x:v>86</x:v>
      </x:c>
      <x:c r="E92" s="74" t="str">
        <x:v>V1.0</x:v>
      </x:c>
      <x:c r="F92" s="68" t="str">
        <x:v>官杀并见先判混杂程度而非直接定凶</x:v>
      </x:c>
      <x:c r="G92" s="82" t="str">
        <x:v>结构层</x:v>
      </x:c>
      <x:c r="H92" s="82" t="str">
        <x:v>正官</x:v>
      </x:c>
      <x:c r="I92" s="82" t="str">
        <x:v>待定</x:v>
      </x:c>
      <x:c r="J92" s="82" t="str">
        <x:v>待定</x:v>
      </x:c>
      <x:c r="K92" s="82" t="str">
        <x:v>待定</x:v>
      </x:c>
      <x:c r="L92" s="82" t="str">
        <x:v>有杂</x:v>
      </x:c>
      <x:c r="M92" s="68" t="str">
        <x:v>按M08核查</x:v>
      </x:c>
      <x:c r="N92" s="68" t="str">
        <x:v>按M06/M08核查</x:v>
      </x:c>
      <x:c r="O92" s="82" t="str">
        <x:v>待定</x:v>
      </x:c>
      <x:c r="P92" s="68" t="str">
        <x:v>转M11/M14判断</x:v>
      </x:c>
      <x:c r="Q92" s="68" t="str">
        <x:v>需结合M09日主承载判断</x:v>
      </x:c>
      <x:c r="R92" s="82" t="str">
        <x:v>待定</x:v>
      </x:c>
      <x:c r="S92" s="68" t="str">
        <x:v>正官七杀同时有效存在</x:v>
      </x:c>
      <x:c r="T92" s="68" t="str">
        <x:v>M02十神映射、M08五行有效旺衰、M09日主旺衰已完成</x:v>
      </x:c>
      <x:c r="U92" s="68" t="str">
        <x:v>相关十神已由M02正确映射，并以M08有效力量为准</x:v>
      </x:c>
      <x:c r="V92" s="68" t="str">
        <x:v>得令、有根、透干、同党或生源形成独立有效证据</x:v>
      </x:c>
      <x:c r="W92" s="68" t="str">
        <x:v>失令、无根、被合绊、被制、改性或作用路径受阻</x:v>
      </x:c>
      <x:c r="X92" s="90" t="str">
        <x:v>不得以十神名称、数量或单一旺弱证据直接完成定性</x:v>
      </x:c>
      <x:c r="Y92" s="68" t="str">
        <x:v>特殊格局、从化候选及明确组合转M11/M14另审</x:v>
      </x:c>
      <x:c r="Z92" s="68" t="str">
        <x:v>不得由官杀并见直接推出婚姻、事业或灾祸结论</x:v>
      </x:c>
      <x:c r="AA92" s="84" t="str">
        <x:v>官杀混杂候选</x:v>
      </x:c>
      <x:c r="AB92" s="84" t="str">
        <x:v>官杀并见先判混杂程度而非直接定凶：当“正官七杀同时有效存在”成立时，按本规则记录十神的有效功能；同时保留制化、承载和反向证据。</x:v>
      </x:c>
      <x:c r="AC92" s="82" t="str">
        <x:v>较高</x:v>
      </x:c>
      <x:c r="AD92" s="82" t="str">
        <x:v>现代综合</x:v>
      </x:c>
      <x:c r="AE92" s="68" t="str">
        <x:v>十神必须分开判断存在性、力量、清纯度、功能性与喜忌性；M10只形成结构层结论和候选，不越级替代M11—M18。</x:v>
      </x:c>
      <x:c r="AF92" s="68" t="str">
        <x:v>相关条件真实成立，且增强条件有效时，可按“官杀并见先判混杂程度而非直接定凶”记录对应功能。</x:v>
      </x:c>
      <x:c r="AG92" s="90" t="str">
        <x:v>仅见表面十神名称或数量，但“不得以十神名称、数量或单一旺弱证据直接完成定性”所述限制存在时，不得套用本规则。</x:v>
      </x:c>
      <x:c r="AH92" s="68" t="str">
        <x:v>https://zh.wikisource.org/wiki/%E6%B8%8A%E6%B5%B7%E5%AD%90%E5%B9%B3%E5%A4%A7%E5%85%A8 ; https://zh.wikisource.org/wiki/%E6%BB%B4%E5%A4%A9%E9%AB%93%E9%97%A1%E5%BE%AE</x:v>
      </x:c>
      <x:c r="AI92" s="82" t="str">
        <x:v>采用</x:v>
      </x:c>
      <x:c r="AJ92" s="82" t="str">
        <x:v>初审</x:v>
      </x:c>
      <x:c r="AK92" s="87" t="n">
        <x:v>46255</x:v>
      </x:c>
    </x:row>
    <x:row r="93">
      <x:c r="A93" s="72" t="str">
        <x:f>IF(OR(C93="",D93=""),"",B93&amp;"-"&amp;UPPER(C93)&amp;"-"&amp;TEXT(D93,"0000")&amp;"-"&amp;E93)</x:f>
        <x:v>M10-GUANSHA-0087-V1.0</x:v>
      </x:c>
      <x:c r="B93" s="74" t="str">
        <x:v>M10</x:v>
      </x:c>
      <x:c r="C93" s="74" t="str">
        <x:v>GUANSHA</x:v>
      </x:c>
      <x:c r="D93" s="215" t="n">
        <x:v>87</x:v>
      </x:c>
      <x:c r="E93" s="74" t="str">
        <x:v>V1.0</x:v>
      </x:c>
      <x:c r="F93" s="68" t="str">
        <x:v>官杀均旺且均直接制身时混杂与压力同步上升</x:v>
      </x:c>
      <x:c r="G93" s="82" t="str">
        <x:v>结构层</x:v>
      </x:c>
      <x:c r="H93" s="82" t="str">
        <x:v>七杀</x:v>
      </x:c>
      <x:c r="I93" s="82" t="str">
        <x:v>待定</x:v>
      </x:c>
      <x:c r="J93" s="82" t="str">
        <x:v>待定</x:v>
      </x:c>
      <x:c r="K93" s="82" t="str">
        <x:v>待定</x:v>
      </x:c>
      <x:c r="L93" s="82" t="str">
        <x:v>混杂</x:v>
      </x:c>
      <x:c r="M93" s="68" t="str">
        <x:v>按M08核查</x:v>
      </x:c>
      <x:c r="N93" s="68" t="str">
        <x:v>按M06/M08核查</x:v>
      </x:c>
      <x:c r="O93" s="82" t="str">
        <x:v>制化失衡</x:v>
      </x:c>
      <x:c r="P93" s="68" t="str">
        <x:v>转M11/M14判断</x:v>
      </x:c>
      <x:c r="Q93" s="68" t="str">
        <x:v>形成多路制身压力</x:v>
      </x:c>
      <x:c r="R93" s="82" t="str">
        <x:v>待定</x:v>
      </x:c>
      <x:c r="S93" s="68" t="str">
        <x:v>正官七杀均达到中和偏旺以上且制身路径均有效</x:v>
      </x:c>
      <x:c r="T93" s="68" t="str">
        <x:v>M02十神映射、M08五行有效旺衰、M09日主旺衰已完成</x:v>
      </x:c>
      <x:c r="U93" s="68" t="str">
        <x:v>相关十神已由M02正确映射，并以M08有效力量为准</x:v>
      </x:c>
      <x:c r="V93" s="68" t="str">
        <x:v>得令、有根、透干、同党或生源形成独立有效证据</x:v>
      </x:c>
      <x:c r="W93" s="68" t="str">
        <x:v>失令、无根、被合绊、被制、改性或作用路径受阻</x:v>
      </x:c>
      <x:c r="X93" s="90" t="str">
        <x:v>不得以十神名称、数量或单一旺弱证据直接完成定性</x:v>
      </x:c>
      <x:c r="Y93" s="68" t="str">
        <x:v>特殊格局、从化候选及明确组合转M11/M14另审</x:v>
      </x:c>
      <x:c r="Z93" s="68" t="str">
        <x:v>不得直接推出吉凶、具体事件、亲属结果或最终喜忌</x:v>
      </x:c>
      <x:c r="AA93" s="84" t="str">
        <x:v>官杀双强</x:v>
      </x:c>
      <x:c r="AB93" s="84" t="str">
        <x:v>官杀均旺且均直接制身时混杂与压力同步上升：当“正官七杀均达到中和偏旺以上且制身路径均有效”成立时，按本规则记录十神的有效功能；同时保留制化、承载和反向证据。</x:v>
      </x:c>
      <x:c r="AC93" s="82" t="str">
        <x:v>较高</x:v>
      </x:c>
      <x:c r="AD93" s="82" t="str">
        <x:v>现代综合</x:v>
      </x:c>
      <x:c r="AE93" s="68" t="str">
        <x:v>十神必须分开判断存在性、力量、清纯度、功能性与喜忌性；M10只形成结构层结论和候选，不越级替代M11—M18。</x:v>
      </x:c>
      <x:c r="AF93" s="68" t="str">
        <x:v>相关条件真实成立，且增强条件有效时，可按“官杀均旺且均直接制身时混杂与压力同步上升”记录对应功能。</x:v>
      </x:c>
      <x:c r="AG93" s="90" t="str">
        <x:v>仅见表面十神名称或数量，但“不得以十神名称、数量或单一旺弱证据直接完成定性”所述限制存在时，不得套用本规则。</x:v>
      </x:c>
      <x:c r="AH93" s="68" t="str">
        <x:v>https://zh.wikisource.org/wiki/%E6%B8%8A%E6%B5%B7%E5%AD%90%E5%B9%B3%E5%A4%A7%E5%85%A8 ; https://zh.wikisource.org/wiki/%E6%BB%B4%E5%A4%A9%E9%AB%93%E9%97%A1%E5%BE%AE</x:v>
      </x:c>
      <x:c r="AI93" s="82" t="str">
        <x:v>采用</x:v>
      </x:c>
      <x:c r="AJ93" s="82" t="str">
        <x:v>初审</x:v>
      </x:c>
      <x:c r="AK93" s="87" t="n">
        <x:v>46255</x:v>
      </x:c>
    </x:row>
    <x:row r="94">
      <x:c r="A94" s="72" t="str">
        <x:f>IF(OR(C94="",D94=""),"",B94&amp;"-"&amp;UPPER(C94)&amp;"-"&amp;TEXT(D94,"0000")&amp;"-"&amp;E94)</x:f>
        <x:v>M10-GUANSHA-0088-V1.0</x:v>
      </x:c>
      <x:c r="B94" s="74" t="str">
        <x:v>M10</x:v>
      </x:c>
      <x:c r="C94" s="74" t="str">
        <x:v>GUANSHA</x:v>
      </x:c>
      <x:c r="D94" s="215" t="n">
        <x:v>88</x:v>
      </x:c>
      <x:c r="E94" s="74" t="str">
        <x:v>V1.0</x:v>
      </x:c>
      <x:c r="F94" s="68" t="str">
        <x:v>官杀一方被合制失效时可形成清化候选</x:v>
      </x:c>
      <x:c r="G94" s="82" t="str">
        <x:v>结构层</x:v>
      </x:c>
      <x:c r="H94" s="82" t="str">
        <x:v>正官</x:v>
      </x:c>
      <x:c r="I94" s="82" t="str">
        <x:v>待定</x:v>
      </x:c>
      <x:c r="J94" s="82" t="str">
        <x:v>待定</x:v>
      </x:c>
      <x:c r="K94" s="82" t="str">
        <x:v>待定</x:v>
      </x:c>
      <x:c r="L94" s="82" t="str">
        <x:v>较清</x:v>
      </x:c>
      <x:c r="M94" s="68" t="str">
        <x:v>按M08核查</x:v>
      </x:c>
      <x:c r="N94" s="68" t="str">
        <x:v>按M06/M08核查</x:v>
      </x:c>
      <x:c r="O94" s="82" t="str">
        <x:v>制化平衡</x:v>
      </x:c>
      <x:c r="P94" s="68" t="str">
        <x:v>转M11/M14判断</x:v>
      </x:c>
      <x:c r="Q94" s="68" t="str">
        <x:v>需结合M09日主承载判断</x:v>
      </x:c>
      <x:c r="R94" s="82" t="str">
        <x:v>待定</x:v>
      </x:c>
      <x:c r="S94" s="68" t="str">
        <x:v>官杀并见，但其中一方被有效合住、制去或改性而功能显著下降</x:v>
      </x:c>
      <x:c r="T94" s="68" t="str">
        <x:v>M02十神映射、M08五行有效旺衰、M09日主旺衰已完成</x:v>
      </x:c>
      <x:c r="U94" s="68" t="str">
        <x:v>相关十神已由M02正确映射，并以M08有效力量为准</x:v>
      </x:c>
      <x:c r="V94" s="68" t="str">
        <x:v>得令、有根、透干、同党或生源形成独立有效证据</x:v>
      </x:c>
      <x:c r="W94" s="68" t="str">
        <x:v>失令、无根、被合绊、被制、改性或作用路径受阻</x:v>
      </x:c>
      <x:c r="X94" s="90" t="str">
        <x:v>不得以十神名称、数量或单一旺弱证据直接完成定性</x:v>
      </x:c>
      <x:c r="Y94" s="68" t="str">
        <x:v>特殊格局、从化候选及明确组合转M11/M14另审</x:v>
      </x:c>
      <x:c r="Z94" s="68" t="str">
        <x:v>不得直接推出吉凶、具体事件、亲属结果或最终喜忌</x:v>
      </x:c>
      <x:c r="AA94" s="84" t="str">
        <x:v>官杀清化候选</x:v>
      </x:c>
      <x:c r="AB94" s="84" t="str">
        <x:v>官杀一方被合制失效时可形成清化候选：当“官杀并见，但其中一方被有效合住、制去或改性而功能显著下降”成立时，按本规则记录十神的有效功能；同时保留制化、承载和反向证据。</x:v>
      </x:c>
      <x:c r="AC94" s="82" t="str">
        <x:v>较高</x:v>
      </x:c>
      <x:c r="AD94" s="82" t="str">
        <x:v>现代综合</x:v>
      </x:c>
      <x:c r="AE94" s="68" t="str">
        <x:v>十神必须分开判断存在性、力量、清纯度、功能性与喜忌性；M10只形成结构层结论和候选，不越级替代M11—M18。</x:v>
      </x:c>
      <x:c r="AF94" s="68" t="str">
        <x:v>相关条件真实成立，且增强条件有效时，可按“官杀一方被合制失效时可形成清化候选”记录对应功能。</x:v>
      </x:c>
      <x:c r="AG94" s="90" t="str">
        <x:v>仅见表面十神名称或数量，但“不得以十神名称、数量或单一旺弱证据直接完成定性”所述限制存在时，不得套用本规则。</x:v>
      </x:c>
      <x:c r="AH94" s="68" t="str">
        <x:v>https://zh.wikisource.org/wiki/%E6%B8%8A%E6%B5%B7%E5%AD%90%E5%B9%B3%E5%A4%A7%E5%85%A8 ; https://zh.wikisource.org/wiki/%E6%BB%B4%E5%A4%A9%E9%AB%93%E9%97%A1%E5%BE%AE</x:v>
      </x:c>
      <x:c r="AI94" s="82" t="str">
        <x:v>采用</x:v>
      </x:c>
      <x:c r="AJ94" s="82" t="str">
        <x:v>初审</x:v>
      </x:c>
      <x:c r="AK94" s="87" t="n">
        <x:v>46255</x:v>
      </x:c>
    </x:row>
    <x:row r="95">
      <x:c r="A95" s="72" t="str">
        <x:f>IF(OR(C95="",D95=""),"",B95&amp;"-"&amp;UPPER(C95)&amp;"-"&amp;TEXT(D95,"0000")&amp;"-"&amp;E95)</x:f>
        <x:v>M10-GUANSHA-0089-V1.0</x:v>
      </x:c>
      <x:c r="B95" s="74" t="str">
        <x:v>M10</x:v>
      </x:c>
      <x:c r="C95" s="74" t="str">
        <x:v>GUANSHA</x:v>
      </x:c>
      <x:c r="D95" s="215" t="n">
        <x:v>89</x:v>
      </x:c>
      <x:c r="E95" s="74" t="str">
        <x:v>V1.0</x:v>
      </x:c>
      <x:c r="F95" s="68" t="str">
        <x:v>官杀虽旺但有强制化不应直接按为害处理</x:v>
      </x:c>
      <x:c r="G95" s="82" t="str">
        <x:v>结构层</x:v>
      </x:c>
      <x:c r="H95" s="82" t="str">
        <x:v>七杀</x:v>
      </x:c>
      <x:c r="I95" s="82" t="str">
        <x:v>待定</x:v>
      </x:c>
      <x:c r="J95" s="82" t="str">
        <x:v>待定</x:v>
      </x:c>
      <x:c r="K95" s="82" t="str">
        <x:v>旺</x:v>
      </x:c>
      <x:c r="L95" s="82" t="str">
        <x:v>待定</x:v>
      </x:c>
      <x:c r="M95" s="68" t="str">
        <x:v>按M08核查</x:v>
      </x:c>
      <x:c r="N95" s="68" t="str">
        <x:v>按M06/M08核查</x:v>
      </x:c>
      <x:c r="O95" s="82" t="str">
        <x:v>制化平衡</x:v>
      </x:c>
      <x:c r="P95" s="68" t="str">
        <x:v>转M11/M14判断</x:v>
      </x:c>
      <x:c r="Q95" s="68" t="str">
        <x:v>需结合M09日主承载判断</x:v>
      </x:c>
      <x:c r="R95" s="82" t="str">
        <x:v>待定</x:v>
      </x:c>
      <x:c r="S95" s="68" t="str">
        <x:v>七杀旺，但食神制杀或印化杀功能稳定有效</x:v>
      </x:c>
      <x:c r="T95" s="68" t="str">
        <x:v>M02十神映射、M08五行有效旺衰、M09日主旺衰已完成</x:v>
      </x:c>
      <x:c r="U95" s="68" t="str">
        <x:v>相关十神已由M02正确映射，并以M08有效力量为准</x:v>
      </x:c>
      <x:c r="V95" s="68" t="str">
        <x:v>得令、有根、透干、同党或生源形成独立有效证据</x:v>
      </x:c>
      <x:c r="W95" s="68" t="str">
        <x:v>失令、无根、被合绊、被制、改性或作用路径受阻</x:v>
      </x:c>
      <x:c r="X95" s="90" t="str">
        <x:v>不得以十神名称、数量或单一旺弱证据直接完成定性</x:v>
      </x:c>
      <x:c r="Y95" s="68" t="str">
        <x:v>特殊格局、从化候选及明确组合转M11/M14另审</x:v>
      </x:c>
      <x:c r="Z95" s="68" t="str">
        <x:v>不得仅凭七杀旺直接定为忌神或为害</x:v>
      </x:c>
      <x:c r="AA95" s="84" t="str">
        <x:v>杀旺有制化</x:v>
      </x:c>
      <x:c r="AB95" s="84" t="str">
        <x:v>官杀虽旺但有强制化不应直接按为害处理：当“七杀旺，但食神制杀或印化杀功能稳定有效”成立时，按本规则记录十神的有效功能；同时保留制化、承载和反向证据。</x:v>
      </x:c>
      <x:c r="AC95" s="82" t="str">
        <x:v>较高</x:v>
      </x:c>
      <x:c r="AD95" s="82" t="str">
        <x:v>现代综合</x:v>
      </x:c>
      <x:c r="AE95" s="68" t="str">
        <x:v>十神必须分开判断存在性、力量、清纯度、功能性与喜忌性；M10只形成结构层结论和候选，不越级替代M11—M18。</x:v>
      </x:c>
      <x:c r="AF95" s="68" t="str">
        <x:v>相关条件真实成立，且增强条件有效时，可按“官杀虽旺但有强制化不应直接按为害处理”记录对应功能。</x:v>
      </x:c>
      <x:c r="AG95" s="90" t="str">
        <x:v>仅见表面十神名称或数量，但“不得以十神名称、数量或单一旺弱证据直接完成定性”所述限制存在时，不得套用本规则。</x:v>
      </x:c>
      <x:c r="AH95" s="68" t="str">
        <x:v>https://zh.wikisource.org/wiki/%E6%B8%8A%E6%B5%B7%E5%AD%90%E5%B9%B3%E5%A4%A7%E5%85%A8 ; https://zh.wikisource.org/wiki/%E6%BB%B4%E5%A4%A9%E9%AB%93%E9%97%A1%E5%BE%AE</x:v>
      </x:c>
      <x:c r="AI95" s="82" t="str">
        <x:v>采用</x:v>
      </x:c>
      <x:c r="AJ95" s="82" t="str">
        <x:v>初审</x:v>
      </x:c>
      <x:c r="AK95" s="87" t="n">
        <x:v>46255</x:v>
      </x:c>
    </x:row>
    <x:row r="96">
      <x:c r="A96" s="72" t="str">
        <x:f>IF(OR(C96="",D96=""),"",B96&amp;"-"&amp;UPPER(C96)&amp;"-"&amp;TEXT(D96,"0000")&amp;"-"&amp;E96)</x:f>
        <x:v>M10-GUANSHA-0090-V1.0</x:v>
      </x:c>
      <x:c r="B96" s="74" t="str">
        <x:v>M10</x:v>
      </x:c>
      <x:c r="C96" s="74" t="str">
        <x:v>GUANSHA</x:v>
      </x:c>
      <x:c r="D96" s="215" t="n">
        <x:v>90</x:v>
      </x:c>
      <x:c r="E96" s="74" t="str">
        <x:v>V1.0</x:v>
      </x:c>
      <x:c r="F96" s="68" t="str">
        <x:v>官杀旺弱与职位权力事件必须分离</x:v>
      </x:c>
      <x:c r="G96" s="82" t="str">
        <x:v>结构层</x:v>
      </x:c>
      <x:c r="H96" s="82" t="str">
        <x:v>正官</x:v>
      </x:c>
      <x:c r="I96" s="82" t="str">
        <x:v>待定</x:v>
      </x:c>
      <x:c r="J96" s="82" t="str">
        <x:v>待定</x:v>
      </x:c>
      <x:c r="K96" s="82" t="str">
        <x:v>待定</x:v>
      </x:c>
      <x:c r="L96" s="82" t="str">
        <x:v>待定</x:v>
      </x:c>
      <x:c r="M96" s="68" t="str">
        <x:v>按M08核查</x:v>
      </x:c>
      <x:c r="N96" s="68" t="str">
        <x:v>按M06/M08核查</x:v>
      </x:c>
      <x:c r="O96" s="82" t="str">
        <x:v>待定</x:v>
      </x:c>
      <x:c r="P96" s="68" t="str">
        <x:v>转M11/M14判断</x:v>
      </x:c>
      <x:c r="Q96" s="68" t="str">
        <x:v>需结合M09日主承载判断</x:v>
      </x:c>
      <x:c r="R96" s="82" t="str">
        <x:v>待定</x:v>
      </x:c>
      <x:c r="S96" s="68" t="str">
        <x:v>官杀有效旺衰已经确定</x:v>
      </x:c>
      <x:c r="T96" s="68" t="str">
        <x:v>M02十神映射、M08五行有效旺衰、M09日主旺衰已完成</x:v>
      </x:c>
      <x:c r="U96" s="68" t="str">
        <x:v>相关十神已由M02正确映射，并以M08有效力量为准</x:v>
      </x:c>
      <x:c r="V96" s="68" t="str">
        <x:v>得令、有根、透干、同党或生源形成独立有效证据</x:v>
      </x:c>
      <x:c r="W96" s="68" t="str">
        <x:v>失令、无根、被合绊、被制、改性或作用路径受阻</x:v>
      </x:c>
      <x:c r="X96" s="90" t="str">
        <x:v>不得以十神名称、数量或单一旺弱证据直接完成定性</x:v>
      </x:c>
      <x:c r="Y96" s="68" t="str">
        <x:v>特殊格局、从化候选及明确组合转M11/M14另审</x:v>
      </x:c>
      <x:c r="Z96" s="68" t="str">
        <x:v>不得由官旺直接推出升职、杀旺直接推出灾害或司法事件</x:v>
      </x:c>
      <x:c r="AA96" s="84" t="str">
        <x:v>官杀力量事件分离</x:v>
      </x:c>
      <x:c r="AB96" s="84" t="str">
        <x:v>官杀旺弱与职位权力事件必须分离：当“官杀有效旺衰已经确定”成立时，按本规则记录十神的有效功能；同时保留制化、承载和反向证据。</x:v>
      </x:c>
      <x:c r="AC96" s="82" t="str">
        <x:v>较高</x:v>
      </x:c>
      <x:c r="AD96" s="82" t="str">
        <x:v>现代综合</x:v>
      </x:c>
      <x:c r="AE96" s="68" t="str">
        <x:v>十神必须分开判断存在性、力量、清纯度、功能性与喜忌性；M10只形成结构层结论和候选，不越级替代M11—M18。</x:v>
      </x:c>
      <x:c r="AF96" s="68" t="str">
        <x:v>相关条件真实成立，且增强条件有效时，可按“官杀旺弱与职位权力事件必须分离”记录对应功能。</x:v>
      </x:c>
      <x:c r="AG96" s="90" t="str">
        <x:v>仅见表面十神名称或数量，但“不得以十神名称、数量或单一旺弱证据直接完成定性”所述限制存在时，不得套用本规则。</x:v>
      </x:c>
      <x:c r="AH96" s="68" t="str">
        <x:v>https://zh.wikisource.org/wiki/%E6%B8%8A%E6%B5%B7%E5%AD%90%E5%B9%B3%E5%A4%A7%E5%85%A8 ; https://zh.wikisource.org/wiki/%E6%BB%B4%E5%A4%A9%E9%AB%93%E9%97%A1%E5%BE%AE</x:v>
      </x:c>
      <x:c r="AI96" s="82" t="str">
        <x:v>采用</x:v>
      </x:c>
      <x:c r="AJ96" s="82" t="str">
        <x:v>初审</x:v>
      </x:c>
      <x:c r="AK96" s="87" t="n">
        <x:v>46255</x:v>
      </x:c>
    </x:row>
    <x:row r="97">
      <x:c r="A97" s="72" t="str">
        <x:f>IF(OR(C97="",D97=""),"",B97&amp;"-"&amp;UPPER(C97)&amp;"-"&amp;TEXT(D97,"0000")&amp;"-"&amp;E97)</x:f>
        <x:v>M10-BAL-0091-V1.0</x:v>
      </x:c>
      <x:c r="B97" s="74" t="str">
        <x:v>M10</x:v>
      </x:c>
      <x:c r="C97" s="74" t="str">
        <x:v>BAL</x:v>
      </x:c>
      <x:c r="D97" s="215" t="n">
        <x:v>91</x:v>
      </x:c>
      <x:c r="E97" s="74" t="str">
        <x:v>V1.0</x:v>
      </x:c>
      <x:c r="F97" s="68" t="str">
        <x:v>十神功能正常需自身有效且作用对象可承接</x:v>
      </x:c>
      <x:c r="G97" s="82" t="str">
        <x:v>结构层</x:v>
      </x:c>
      <x:c r="H97" s="82" t="str">
        <x:v>七杀</x:v>
      </x:c>
      <x:c r="I97" s="82" t="str">
        <x:v>待定</x:v>
      </x:c>
      <x:c r="J97" s="82" t="str">
        <x:v>待定</x:v>
      </x:c>
      <x:c r="K97" s="82" t="str">
        <x:v>待定</x:v>
      </x:c>
      <x:c r="L97" s="82" t="str">
        <x:v>待定</x:v>
      </x:c>
      <x:c r="M97" s="68" t="str">
        <x:v>按M08核查</x:v>
      </x:c>
      <x:c r="N97" s="68" t="str">
        <x:v>按M06/M08核查</x:v>
      </x:c>
      <x:c r="O97" s="82" t="str">
        <x:v>正常发挥</x:v>
      </x:c>
      <x:c r="P97" s="68" t="str">
        <x:v>转M11/M14判断</x:v>
      </x:c>
      <x:c r="Q97" s="68" t="str">
        <x:v>需结合M09日主承载判断</x:v>
      </x:c>
      <x:c r="R97" s="82" t="str">
        <x:v>待定</x:v>
      </x:c>
      <x:c r="S97" s="68" t="str">
        <x:v>七杀有力，同时日主或印食等对象真实存在并能形成作用路径</x:v>
      </x:c>
      <x:c r="T97" s="68" t="str">
        <x:v>M02十神映射、M08五行有效旺衰、M09日主旺衰已完成</x:v>
      </x:c>
      <x:c r="U97" s="68" t="str">
        <x:v>相关十神已由M02正确映射，并以M08有效力量为准</x:v>
      </x:c>
      <x:c r="V97" s="68" t="str">
        <x:v>得令、有根、透干、同党或生源形成独立有效证据</x:v>
      </x:c>
      <x:c r="W97" s="68" t="str">
        <x:v>失令、无根、被合绊、被制、改性或作用路径受阻</x:v>
      </x:c>
      <x:c r="X97" s="90" t="str">
        <x:v>不得以十神名称、数量或单一旺弱证据直接完成定性</x:v>
      </x:c>
      <x:c r="Y97" s="68" t="str">
        <x:v>特殊格局、从化候选及明确组合转M11/M14另审</x:v>
      </x:c>
      <x:c r="Z97" s="68" t="str">
        <x:v>不得直接推出吉凶、具体事件、亲属结果或最终喜忌</x:v>
      </x:c>
      <x:c r="AA97" s="84" t="str">
        <x:v>功能成立基础</x:v>
      </x:c>
      <x:c r="AB97" s="84" t="str">
        <x:v>十神功能正常需自身有效且作用对象可承接：当“七杀有力，同时日主或印食等对象真实存在并能形成作用路径”成立时，按本规则记录十神的有效功能；同时保留制化、承载和反向证据。</x:v>
      </x:c>
      <x:c r="AC97" s="82" t="str">
        <x:v>较高</x:v>
      </x:c>
      <x:c r="AD97" s="82" t="str">
        <x:v>现代综合</x:v>
      </x:c>
      <x:c r="AE97" s="68" t="str">
        <x:v>十神必须分开判断存在性、力量、清纯度、功能性与喜忌性；M10只形成结构层结论和候选，不越级替代M11—M18。</x:v>
      </x:c>
      <x:c r="AF97" s="68" t="str">
        <x:v>相关条件真实成立，且增强条件有效时，可按“十神功能正常需自身有效且作用对象可承接”记录对应功能。</x:v>
      </x:c>
      <x:c r="AG97" s="90" t="str">
        <x:v>仅见表面十神名称或数量，但“不得以十神名称、数量或单一旺弱证据直接完成定性”所述限制存在时，不得套用本规则。</x:v>
      </x:c>
      <x:c r="AH97" s="68" t="str">
        <x:v>https://zh.wikisource.org/wiki/%E6%B8%8A%E6%B5%B7%E5%AD%90%E5%B9%B3%E5%A4%A7%E5%85%A8 ; https://zh.wikisource.org/wiki/%E6%BB%B4%E5%A4%A9%E9%AB%93%E9%97%A1%E5%BE%AE</x:v>
      </x:c>
      <x:c r="AI97" s="82" t="str">
        <x:v>采用</x:v>
      </x:c>
      <x:c r="AJ97" s="82" t="str">
        <x:v>初审</x:v>
      </x:c>
      <x:c r="AK97" s="87" t="n">
        <x:v>46255</x:v>
      </x:c>
    </x:row>
    <x:row r="98">
      <x:c r="A98" s="72" t="str">
        <x:f>IF(OR(C98="",D98=""),"",B98&amp;"-"&amp;UPPER(C98)&amp;"-"&amp;TEXT(D98,"0000")&amp;"-"&amp;E98)</x:f>
        <x:v>M10-BAL-0092-V1.0</x:v>
      </x:c>
      <x:c r="B98" s="74" t="str">
        <x:v>M10</x:v>
      </x:c>
      <x:c r="C98" s="74" t="str">
        <x:v>BAL</x:v>
      </x:c>
      <x:c r="D98" s="215" t="n">
        <x:v>92</x:v>
      </x:c>
      <x:c r="E98" s="74" t="str">
        <x:v>V1.0</x:v>
      </x:c>
      <x:c r="F98" s="68" t="str">
        <x:v>受制不等于完全失效，应按制约程度分级</x:v>
      </x:c>
      <x:c r="G98" s="82" t="str">
        <x:v>结构层</x:v>
      </x:c>
      <x:c r="H98" s="82" t="str">
        <x:v>食神</x:v>
      </x:c>
      <x:c r="I98" s="82" t="str">
        <x:v>待定</x:v>
      </x:c>
      <x:c r="J98" s="82" t="str">
        <x:v>待定</x:v>
      </x:c>
      <x:c r="K98" s="82" t="str">
        <x:v>待定</x:v>
      </x:c>
      <x:c r="L98" s="82" t="str">
        <x:v>待定</x:v>
      </x:c>
      <x:c r="M98" s="68" t="str">
        <x:v>按M08核查</x:v>
      </x:c>
      <x:c r="N98" s="68" t="str">
        <x:v>按M06/M08核查</x:v>
      </x:c>
      <x:c r="O98" s="82" t="str">
        <x:v>受限</x:v>
      </x:c>
      <x:c r="P98" s="68" t="str">
        <x:v>转M11/M14判断</x:v>
      </x:c>
      <x:c r="Q98" s="68" t="str">
        <x:v>需结合M09日主承载判断</x:v>
      </x:c>
      <x:c r="R98" s="82" t="str">
        <x:v>待定</x:v>
      </x:c>
      <x:c r="S98" s="68" t="str">
        <x:v>食神受到偏印或合绊制约，但仍保有根源和其他有效节点</x:v>
      </x:c>
      <x:c r="T98" s="68" t="str">
        <x:v>M02十神映射、M08五行有效旺衰、M09日主旺衰已完成</x:v>
      </x:c>
      <x:c r="U98" s="68" t="str">
        <x:v>相关十神已由M02正确映射，并以M08有效力量为准</x:v>
      </x:c>
      <x:c r="V98" s="68" t="str">
        <x:v>得令、有根、透干、同党或生源形成独立有效证据</x:v>
      </x:c>
      <x:c r="W98" s="68" t="str">
        <x:v>失令、无根、被合绊、被制、改性或作用路径受阻</x:v>
      </x:c>
      <x:c r="X98" s="90" t="str">
        <x:v>不得以十神名称、数量或单一旺弱证据直接完成定性</x:v>
      </x:c>
      <x:c r="Y98" s="68" t="str">
        <x:v>特殊格局、从化候选及明确组合转M11/M14另审</x:v>
      </x:c>
      <x:c r="Z98" s="68" t="str">
        <x:v>不得直接推出吉凶、具体事件、亲属结果或最终喜忌</x:v>
      </x:c>
      <x:c r="AA98" s="84" t="str">
        <x:v>功能受限分级</x:v>
      </x:c>
      <x:c r="AB98" s="84" t="str">
        <x:v>受制不等于完全失效，应按制约程度分级：当“食神受到偏印或合绊制约，但仍保有根源和其他有效节点”成立时，按本规则记录十神的有效功能；同时保留制化、承载和反向证据。</x:v>
      </x:c>
      <x:c r="AC98" s="82" t="str">
        <x:v>较高</x:v>
      </x:c>
      <x:c r="AD98" s="82" t="str">
        <x:v>现代综合</x:v>
      </x:c>
      <x:c r="AE98" s="68" t="str">
        <x:v>十神必须分开判断存在性、力量、清纯度、功能性与喜忌性；M10只形成结构层结论和候选，不越级替代M11—M18。</x:v>
      </x:c>
      <x:c r="AF98" s="68" t="str">
        <x:v>相关条件真实成立，且增强条件有效时，可按“受制不等于完全失效，应按制约程度分级”记录对应功能。</x:v>
      </x:c>
      <x:c r="AG98" s="90" t="str">
        <x:v>仅见表面十神名称或数量，但“不得以十神名称、数量或单一旺弱证据直接完成定性”所述限制存在时，不得套用本规则。</x:v>
      </x:c>
      <x:c r="AH98" s="68" t="str">
        <x:v>https://zh.wikisource.org/wiki/%E6%B8%8A%E6%B5%B7%E5%AD%90%E5%B9%B3%E5%A4%A7%E5%85%A8 ; https://zh.wikisource.org/wiki/%E6%BB%B4%E5%A4%A9%E9%AB%93%E9%97%A1%E5%BE%AE</x:v>
      </x:c>
      <x:c r="AI98" s="82" t="str">
        <x:v>采用</x:v>
      </x:c>
      <x:c r="AJ98" s="82" t="str">
        <x:v>初审</x:v>
      </x:c>
      <x:c r="AK98" s="87" t="n">
        <x:v>46255</x:v>
      </x:c>
    </x:row>
    <x:row r="99">
      <x:c r="A99" s="72" t="str">
        <x:f>IF(OR(C99="",D99=""),"",B99&amp;"-"&amp;UPPER(C99)&amp;"-"&amp;TEXT(D99,"0000")&amp;"-"&amp;E99)</x:f>
        <x:v>M10-BAL-0093-V1.0</x:v>
      </x:c>
      <x:c r="B99" s="74" t="str">
        <x:v>M10</x:v>
      </x:c>
      <x:c r="C99" s="74" t="str">
        <x:v>BAL</x:v>
      </x:c>
      <x:c r="D99" s="215" t="n">
        <x:v>93</x:v>
      </x:c>
      <x:c r="E99" s="74" t="str">
        <x:v>V1.0</x:v>
      </x:c>
      <x:c r="F99" s="68" t="str">
        <x:v>实质改性后原十神功能应标记转化</x:v>
      </x:c>
      <x:c r="G99" s="82" t="str">
        <x:v>结构层</x:v>
      </x:c>
      <x:c r="H99" s="82" t="str">
        <x:v>正官</x:v>
      </x:c>
      <x:c r="I99" s="82" t="str">
        <x:v>待定</x:v>
      </x:c>
      <x:c r="J99" s="82" t="str">
        <x:v>待定</x:v>
      </x:c>
      <x:c r="K99" s="82" t="str">
        <x:v>待定</x:v>
      </x:c>
      <x:c r="L99" s="82" t="str">
        <x:v>待定</x:v>
      </x:c>
      <x:c r="M99" s="68" t="str">
        <x:v>按M08核查</x:v>
      </x:c>
      <x:c r="N99" s="68" t="str">
        <x:v>按M06/M08核查</x:v>
      </x:c>
      <x:c r="O99" s="82" t="str">
        <x:v>转化</x:v>
      </x:c>
      <x:c r="P99" s="68" t="str">
        <x:v>转M11/M14判断</x:v>
      </x:c>
      <x:c r="Q99" s="68" t="str">
        <x:v>需结合M09日主承载判断</x:v>
      </x:c>
      <x:c r="R99" s="82" t="str">
        <x:v>待定</x:v>
      </x:c>
      <x:c r="S99" s="68" t="str">
        <x:v>正官节点经合化等确认五行性质改变</x:v>
      </x:c>
      <x:c r="T99" s="68" t="str">
        <x:v>M02十神映射、M08五行有效旺衰、M09日主旺衰已完成</x:v>
      </x:c>
      <x:c r="U99" s="68" t="str">
        <x:v>相关十神已由M02正确映射，并以M08有效力量为准</x:v>
      </x:c>
      <x:c r="V99" s="68" t="str">
        <x:v>得令、有根、透干、同党或生源形成独立有效证据</x:v>
      </x:c>
      <x:c r="W99" s="68" t="str">
        <x:v>失令、无根、被合绊、被制、改性或作用路径受阻</x:v>
      </x:c>
      <x:c r="X99" s="90" t="str">
        <x:v>不得以十神名称、数量或单一旺弱证据直接完成定性</x:v>
      </x:c>
      <x:c r="Y99" s="68" t="str">
        <x:v>特殊格局、从化候选及明确组合转M11/M14另审</x:v>
      </x:c>
      <x:c r="Z99" s="68" t="str">
        <x:v>不得直接推出吉凶、具体事件、亲属结果或最终喜忌</x:v>
      </x:c>
      <x:c r="AA99" s="84" t="str">
        <x:v>十神功能转化</x:v>
      </x:c>
      <x:c r="AB99" s="84" t="str">
        <x:v>实质改性后原十神功能应标记转化：当“正官节点经合化等确认五行性质改变”成立时，按本规则记录十神的有效功能；同时保留制化、承载和反向证据。</x:v>
      </x:c>
      <x:c r="AC99" s="82" t="str">
        <x:v>较高</x:v>
      </x:c>
      <x:c r="AD99" s="82" t="str">
        <x:v>现代综合</x:v>
      </x:c>
      <x:c r="AE99" s="68" t="str">
        <x:v>十神必须分开判断存在性、力量、清纯度、功能性与喜忌性；M10只形成结构层结论和候选，不越级替代M11—M18。</x:v>
      </x:c>
      <x:c r="AF99" s="68" t="str">
        <x:v>相关条件真实成立，且增强条件有效时，可按“实质改性后原十神功能应标记转化”记录对应功能。</x:v>
      </x:c>
      <x:c r="AG99" s="90" t="str">
        <x:v>仅见表面十神名称或数量，但“不得以十神名称、数量或单一旺弱证据直接完成定性”所述限制存在时，不得套用本规则。</x:v>
      </x:c>
      <x:c r="AH99" s="68" t="str">
        <x:v>https://zh.wikisource.org/wiki/%E6%B8%8A%E6%B5%B7%E5%AD%90%E5%B9%B3%E5%A4%A7%E5%85%A8 ; https://zh.wikisource.org/wiki/%E6%BB%B4%E5%A4%A9%E9%AB%93%E9%97%A1%E5%BE%AE</x:v>
      </x:c>
      <x:c r="AI99" s="82" t="str">
        <x:v>采用</x:v>
      </x:c>
      <x:c r="AJ99" s="82" t="str">
        <x:v>初审</x:v>
      </x:c>
      <x:c r="AK99" s="87" t="n">
        <x:v>46255</x:v>
      </x:c>
    </x:row>
    <x:row r="100">
      <x:c r="A100" s="72" t="str">
        <x:f>IF(OR(C100="",D100=""),"",B100&amp;"-"&amp;UPPER(C100)&amp;"-"&amp;TEXT(D100,"0000")&amp;"-"&amp;E100)</x:f>
        <x:v>M10-BAL-0094-V1.0</x:v>
      </x:c>
      <x:c r="B100" s="74" t="str">
        <x:v>M10</x:v>
      </x:c>
      <x:c r="C100" s="74" t="str">
        <x:v>BAL</x:v>
      </x:c>
      <x:c r="D100" s="215" t="n">
        <x:v>94</x:v>
      </x:c>
      <x:c r="E100" s="74" t="str">
        <x:v>V1.0</x:v>
      </x:c>
      <x:c r="F100" s="68" t="str">
        <x:v>所有有效节点均失去作用路径时才判失效</x:v>
      </x:c>
      <x:c r="G100" s="82" t="str">
        <x:v>结构层</x:v>
      </x:c>
      <x:c r="H100" s="82" t="str">
        <x:v>正财</x:v>
      </x:c>
      <x:c r="I100" s="82" t="str">
        <x:v>待定</x:v>
      </x:c>
      <x:c r="J100" s="82" t="str">
        <x:v>待定</x:v>
      </x:c>
      <x:c r="K100" s="82" t="str">
        <x:v>待定</x:v>
      </x:c>
      <x:c r="L100" s="82" t="str">
        <x:v>待定</x:v>
      </x:c>
      <x:c r="M100" s="68" t="str">
        <x:v>按M08核查</x:v>
      </x:c>
      <x:c r="N100" s="68" t="str">
        <x:v>按M06/M08核查</x:v>
      </x:c>
      <x:c r="O100" s="82" t="str">
        <x:v>失效</x:v>
      </x:c>
      <x:c r="P100" s="68" t="str">
        <x:v>转M11/M14判断</x:v>
      </x:c>
      <x:c r="Q100" s="68" t="str">
        <x:v>需结合M09日主承载判断</x:v>
      </x:c>
      <x:c r="R100" s="82" t="str">
        <x:v>待定</x:v>
      </x:c>
      <x:c r="S100" s="68" t="str">
        <x:v>正财名义存在，但全部节点被制、改性或无法透达</x:v>
      </x:c>
      <x:c r="T100" s="68" t="str">
        <x:v>M02十神映射、M08五行有效旺衰、M09日主旺衰已完成</x:v>
      </x:c>
      <x:c r="U100" s="68" t="str">
        <x:v>相关十神已由M02正确映射，并以M08有效力量为准</x:v>
      </x:c>
      <x:c r="V100" s="68" t="str">
        <x:v>得令、有根、透干、同党或生源形成独立有效证据</x:v>
      </x:c>
      <x:c r="W100" s="68" t="str">
        <x:v>失令、无根、被合绊、被制、改性或作用路径受阻</x:v>
      </x:c>
      <x:c r="X100" s="90" t="str">
        <x:v>不得以十神名称、数量或单一旺弱证据直接完成定性</x:v>
      </x:c>
      <x:c r="Y100" s="68" t="str">
        <x:v>特殊格局、从化候选及明确组合转M11/M14另审</x:v>
      </x:c>
      <x:c r="Z100" s="68" t="str">
        <x:v>不得直接推出吉凶、具体事件、亲属结果或最终喜忌</x:v>
      </x:c>
      <x:c r="AA100" s="84" t="str">
        <x:v>十神功能失效</x:v>
      </x:c>
      <x:c r="AB100" s="84" t="str">
        <x:v>所有有效节点均失去作用路径时才判失效：当“正财名义存在，但全部节点被制、改性或无法透达”成立时，按本规则记录十神的有效功能；同时保留制化、承载和反向证据。</x:v>
      </x:c>
      <x:c r="AC100" s="82" t="str">
        <x:v>较高</x:v>
      </x:c>
      <x:c r="AD100" s="82" t="str">
        <x:v>现代综合</x:v>
      </x:c>
      <x:c r="AE100" s="68" t="str">
        <x:v>十神必须分开判断存在性、力量、清纯度、功能性与喜忌性；M10只形成结构层结论和候选，不越级替代M11—M18。</x:v>
      </x:c>
      <x:c r="AF100" s="68" t="str">
        <x:v>相关条件真实成立，且增强条件有效时，可按“所有有效节点均失去作用路径时才判失效”记录对应功能。</x:v>
      </x:c>
      <x:c r="AG100" s="90" t="str">
        <x:v>仅见表面十神名称或数量，但“不得以十神名称、数量或单一旺弱证据直接完成定性”所述限制存在时，不得套用本规则。</x:v>
      </x:c>
      <x:c r="AH100" s="68" t="str">
        <x:v>https://zh.wikisource.org/wiki/%E6%B8%8A%E6%B5%B7%E5%AD%90%E5%B9%B3%E5%A4%A7%E5%85%A8 ; https://zh.wikisource.org/wiki/%E6%BB%B4%E5%A4%A9%E9%AB%93%E9%97%A1%E5%BE%AE</x:v>
      </x:c>
      <x:c r="AI100" s="82" t="str">
        <x:v>采用</x:v>
      </x:c>
      <x:c r="AJ100" s="82" t="str">
        <x:v>初审</x:v>
      </x:c>
      <x:c r="AK100" s="87" t="n">
        <x:v>46255</x:v>
      </x:c>
    </x:row>
    <x:row r="101">
      <x:c r="A101" s="72" t="str">
        <x:f>IF(OR(C101="",D101=""),"",B101&amp;"-"&amp;UPPER(C101)&amp;"-"&amp;TEXT(D101,"0000")&amp;"-"&amp;E101)</x:f>
        <x:v>M10-BAL-0095-V1.0</x:v>
      </x:c>
      <x:c r="B101" s="74" t="str">
        <x:v>M10</x:v>
      </x:c>
      <x:c r="C101" s="74" t="str">
        <x:v>BAL</x:v>
      </x:c>
      <x:c r="D101" s="215" t="n">
        <x:v>95</x:v>
      </x:c>
      <x:c r="E101" s="74" t="str">
        <x:v>V1.0</x:v>
      </x:c>
      <x:c r="F101" s="68" t="str">
        <x:v>十神作用超过全局承载并制造新阻塞时可判过度</x:v>
      </x:c>
      <x:c r="G101" s="82" t="str">
        <x:v>结构层</x:v>
      </x:c>
      <x:c r="H101" s="82" t="str">
        <x:v>偏印</x:v>
      </x:c>
      <x:c r="I101" s="82" t="str">
        <x:v>待定</x:v>
      </x:c>
      <x:c r="J101" s="82" t="str">
        <x:v>待定</x:v>
      </x:c>
      <x:c r="K101" s="82" t="str">
        <x:v>待定</x:v>
      </x:c>
      <x:c r="L101" s="82" t="str">
        <x:v>待定</x:v>
      </x:c>
      <x:c r="M101" s="68" t="str">
        <x:v>按M08核查</x:v>
      </x:c>
      <x:c r="N101" s="68" t="str">
        <x:v>按M06/M08核查</x:v>
      </x:c>
      <x:c r="O101" s="82" t="str">
        <x:v>过度</x:v>
      </x:c>
      <x:c r="P101" s="68" t="str">
        <x:v>转M11/M14判断</x:v>
      </x:c>
      <x:c r="Q101" s="68" t="str">
        <x:v>需结合M09日主承载判断</x:v>
      </x:c>
      <x:c r="R101" s="82" t="str">
        <x:v>待定</x:v>
      </x:c>
      <x:c r="S101" s="68" t="str">
        <x:v>偏印极旺且持续压制食伤、加重身势或阻断流通</x:v>
      </x:c>
      <x:c r="T101" s="68" t="str">
        <x:v>M02十神映射、M08五行有效旺衰、M09日主旺衰已完成</x:v>
      </x:c>
      <x:c r="U101" s="68" t="str">
        <x:v>相关十神已由M02正确映射，并以M08有效力量为准</x:v>
      </x:c>
      <x:c r="V101" s="68" t="str">
        <x:v>得令、有根、透干、同党或生源形成独立有效证据</x:v>
      </x:c>
      <x:c r="W101" s="68" t="str">
        <x:v>失令、无根、被合绊、被制、改性或作用路径受阻</x:v>
      </x:c>
      <x:c r="X101" s="90" t="str">
        <x:v>不得以十神名称、数量或单一旺弱证据直接完成定性</x:v>
      </x:c>
      <x:c r="Y101" s="68" t="str">
        <x:v>特殊格局、从化候选及明确组合转M11/M14另审</x:v>
      </x:c>
      <x:c r="Z101" s="68" t="str">
        <x:v>不得直接推出吉凶、具体事件、亲属结果或最终喜忌</x:v>
      </x:c>
      <x:c r="AA101" s="84" t="str">
        <x:v>十神功能过度</x:v>
      </x:c>
      <x:c r="AB101" s="84" t="str">
        <x:v>十神作用超过全局承载并制造新阻塞时可判过度：当“偏印极旺且持续压制食伤、加重身势或阻断流通”成立时，按本规则记录十神的有效功能；同时保留制化、承载和反向证据。</x:v>
      </x:c>
      <x:c r="AC101" s="82" t="str">
        <x:v>较高</x:v>
      </x:c>
      <x:c r="AD101" s="82" t="str">
        <x:v>现代综合</x:v>
      </x:c>
      <x:c r="AE101" s="68" t="str">
        <x:v>十神必须分开判断存在性、力量、清纯度、功能性与喜忌性；M10只形成结构层结论和候选，不越级替代M11—M18。</x:v>
      </x:c>
      <x:c r="AF101" s="68" t="str">
        <x:v>相关条件真实成立，且增强条件有效时，可按“十神作用超过全局承载并制造新阻塞时可判过度”记录对应功能。</x:v>
      </x:c>
      <x:c r="AG101" s="90" t="str">
        <x:v>仅见表面十神名称或数量，但“不得以十神名称、数量或单一旺弱证据直接完成定性”所述限制存在时，不得套用本规则。</x:v>
      </x:c>
      <x:c r="AH101" s="68" t="str">
        <x:v>https://zh.wikisource.org/wiki/%E6%B8%8A%E6%B5%B7%E5%AD%90%E5%B9%B3%E5%A4%A7%E5%85%A8 ; https://zh.wikisource.org/wiki/%E6%BB%B4%E5%A4%A9%E9%AB%93%E9%97%A1%E5%BE%AE</x:v>
      </x:c>
      <x:c r="AI101" s="82" t="str">
        <x:v>采用</x:v>
      </x:c>
      <x:c r="AJ101" s="82" t="str">
        <x:v>初审</x:v>
      </x:c>
      <x:c r="AK101" s="87" t="n">
        <x:v>46255</x:v>
      </x:c>
    </x:row>
    <x:row r="102">
      <x:c r="A102" s="72" t="str">
        <x:f>IF(OR(C102="",D102=""),"",B102&amp;"-"&amp;UPPER(C102)&amp;"-"&amp;TEXT(D102,"0000")&amp;"-"&amp;E102)</x:f>
        <x:v>M10-BAL-0096-V1.0</x:v>
      </x:c>
      <x:c r="B102" s="74" t="str">
        <x:v>M10</x:v>
      </x:c>
      <x:c r="C102" s="74" t="str">
        <x:v>BAL</x:v>
      </x:c>
      <x:c r="D102" s="215" t="n">
        <x:v>96</x:v>
      </x:c>
      <x:c r="E102" s="74" t="str">
        <x:v>V1.0</x:v>
      </x:c>
      <x:c r="F102" s="68" t="str">
        <x:v>制杀双方力量匹配且无关键破坏时标记制化平衡</x:v>
      </x:c>
      <x:c r="G102" s="82" t="str">
        <x:v>结构层</x:v>
      </x:c>
      <x:c r="H102" s="82" t="str">
        <x:v>食神</x:v>
      </x:c>
      <x:c r="I102" s="82" t="str">
        <x:v>待定</x:v>
      </x:c>
      <x:c r="J102" s="82" t="str">
        <x:v>待定</x:v>
      </x:c>
      <x:c r="K102" s="82" t="str">
        <x:v>待定</x:v>
      </x:c>
      <x:c r="L102" s="82" t="str">
        <x:v>待定</x:v>
      </x:c>
      <x:c r="M102" s="68" t="str">
        <x:v>按M08核查</x:v>
      </x:c>
      <x:c r="N102" s="68" t="str">
        <x:v>按M06/M08核查</x:v>
      </x:c>
      <x:c r="O102" s="82" t="str">
        <x:v>制化平衡</x:v>
      </x:c>
      <x:c r="P102" s="68" t="str">
        <x:v>食神制杀候选转M11</x:v>
      </x:c>
      <x:c r="Q102" s="68" t="str">
        <x:v>需结合M09日主承载判断</x:v>
      </x:c>
      <x:c r="R102" s="82" t="str">
        <x:v>待定</x:v>
      </x:c>
      <x:c r="S102" s="68" t="str">
        <x:v>食神与七杀有效力量匹配，制约路径稳定</x:v>
      </x:c>
      <x:c r="T102" s="68" t="str">
        <x:v>M02十神映射、M08五行有效旺衰、M09日主旺衰已完成</x:v>
      </x:c>
      <x:c r="U102" s="68" t="str">
        <x:v>相关十神已由M02正确映射，并以M08有效力量为准</x:v>
      </x:c>
      <x:c r="V102" s="68" t="str">
        <x:v>得令、有根、透干、同党或生源形成独立有效证据</x:v>
      </x:c>
      <x:c r="W102" s="68" t="str">
        <x:v>失令、无根、被合绊、被制、改性或作用路径受阻</x:v>
      </x:c>
      <x:c r="X102" s="90" t="str">
        <x:v>不得以十神名称、数量或单一旺弱证据直接完成定性</x:v>
      </x:c>
      <x:c r="Y102" s="68" t="str">
        <x:v>特殊格局、从化候选及明确组合转M11/M14另审</x:v>
      </x:c>
      <x:c r="Z102" s="68" t="str">
        <x:v>不得直接推出吉凶、具体事件、亲属结果或最终喜忌</x:v>
      </x:c>
      <x:c r="AA102" s="84" t="str">
        <x:v>制化平衡候选</x:v>
      </x:c>
      <x:c r="AB102" s="84" t="str">
        <x:v>制杀双方力量匹配且无关键破坏时标记制化平衡：当“食神与七杀有效力量匹配，制约路径稳定”成立时，按本规则记录十神的有效功能；同时保留制化、承载和反向证据。</x:v>
      </x:c>
      <x:c r="AC102" s="82" t="str">
        <x:v>较高</x:v>
      </x:c>
      <x:c r="AD102" s="82" t="str">
        <x:v>现代综合</x:v>
      </x:c>
      <x:c r="AE102" s="68" t="str">
        <x:v>十神必须分开判断存在性、力量、清纯度、功能性与喜忌性；M10只形成结构层结论和候选，不越级替代M11—M18。</x:v>
      </x:c>
      <x:c r="AF102" s="68" t="str">
        <x:v>相关条件真实成立，且增强条件有效时，可按“制杀双方力量匹配且无关键破坏时标记制化平衡”记录对应功能。</x:v>
      </x:c>
      <x:c r="AG102" s="90" t="str">
        <x:v>仅见表面十神名称或数量，但“不得以十神名称、数量或单一旺弱证据直接完成定性”所述限制存在时，不得套用本规则。</x:v>
      </x:c>
      <x:c r="AH102" s="68" t="str">
        <x:v>https://zh.wikisource.org/wiki/%E6%B8%8A%E6%B5%B7%E5%AD%90%E5%B9%B3%E5%A4%A7%E5%85%A8 ; https://zh.wikisource.org/wiki/%E6%BB%B4%E5%A4%A9%E9%AB%93%E9%97%A1%E5%BE%AE</x:v>
      </x:c>
      <x:c r="AI102" s="82" t="str">
        <x:v>采用</x:v>
      </x:c>
      <x:c r="AJ102" s="82" t="str">
        <x:v>初审</x:v>
      </x:c>
      <x:c r="AK102" s="87" t="n">
        <x:v>46255</x:v>
      </x:c>
    </x:row>
    <x:row r="103">
      <x:c r="A103" s="72" t="str">
        <x:f>IF(OR(C103="",D103=""),"",B103&amp;"-"&amp;UPPER(C103)&amp;"-"&amp;TEXT(D103,"0000")&amp;"-"&amp;E103)</x:f>
        <x:v>M10-BAL-0097-V1.0</x:v>
      </x:c>
      <x:c r="B103" s="74" t="str">
        <x:v>M10</x:v>
      </x:c>
      <x:c r="C103" s="74" t="str">
        <x:v>BAL</x:v>
      </x:c>
      <x:c r="D103" s="215" t="n">
        <x:v>97</x:v>
      </x:c>
      <x:c r="E103" s="74" t="str">
        <x:v>V1.0</x:v>
      </x:c>
      <x:c r="F103" s="68" t="str">
        <x:v>制化两端同时过强并彼此破坏时标记制化失衡</x:v>
      </x:c>
      <x:c r="G103" s="82" t="str">
        <x:v>结构层</x:v>
      </x:c>
      <x:c r="H103" s="82" t="str">
        <x:v>伤官</x:v>
      </x:c>
      <x:c r="I103" s="82" t="str">
        <x:v>待定</x:v>
      </x:c>
      <x:c r="J103" s="82" t="str">
        <x:v>待定</x:v>
      </x:c>
      <x:c r="K103" s="82" t="str">
        <x:v>待定</x:v>
      </x:c>
      <x:c r="L103" s="82" t="str">
        <x:v>待定</x:v>
      </x:c>
      <x:c r="M103" s="68" t="str">
        <x:v>按M08核查</x:v>
      </x:c>
      <x:c r="N103" s="68" t="str">
        <x:v>按M06/M08核查</x:v>
      </x:c>
      <x:c r="O103" s="82" t="str">
        <x:v>制化失衡</x:v>
      </x:c>
      <x:c r="P103" s="68" t="str">
        <x:v>转M11/M14判断</x:v>
      </x:c>
      <x:c r="Q103" s="68" t="str">
        <x:v>需结合M09日主承载判断</x:v>
      </x:c>
      <x:c r="R103" s="82" t="str">
        <x:v>待定</x:v>
      </x:c>
      <x:c r="S103" s="68" t="str">
        <x:v>伤官、印或官星形成多方强力冲突且无稳定主导</x:v>
      </x:c>
      <x:c r="T103" s="68" t="str">
        <x:v>M02十神映射、M08五行有效旺衰、M09日主旺衰已完成</x:v>
      </x:c>
      <x:c r="U103" s="68" t="str">
        <x:v>相关十神已由M02正确映射，并以M08有效力量为准</x:v>
      </x:c>
      <x:c r="V103" s="68" t="str">
        <x:v>得令、有根、透干、同党或生源形成独立有效证据</x:v>
      </x:c>
      <x:c r="W103" s="68" t="str">
        <x:v>失令、无根、被合绊、被制、改性或作用路径受阻</x:v>
      </x:c>
      <x:c r="X103" s="90" t="str">
        <x:v>不得以十神名称、数量或单一旺弱证据直接完成定性</x:v>
      </x:c>
      <x:c r="Y103" s="68" t="str">
        <x:v>特殊格局、从化候选及明确组合转M11/M14另审</x:v>
      </x:c>
      <x:c r="Z103" s="68" t="str">
        <x:v>不得直接推出吉凶、具体事件、亲属结果或最终喜忌</x:v>
      </x:c>
      <x:c r="AA103" s="84" t="str">
        <x:v>制化失衡候选</x:v>
      </x:c>
      <x:c r="AB103" s="84" t="str">
        <x:v>制化两端同时过强并彼此破坏时标记制化失衡：当“伤官、印或官星形成多方强力冲突且无稳定主导”成立时，按本规则记录十神的有效功能；同时保留制化、承载和反向证据。</x:v>
      </x:c>
      <x:c r="AC103" s="82" t="str">
        <x:v>较高</x:v>
      </x:c>
      <x:c r="AD103" s="82" t="str">
        <x:v>现代综合</x:v>
      </x:c>
      <x:c r="AE103" s="68" t="str">
        <x:v>十神必须分开判断存在性、力量、清纯度、功能性与喜忌性；M10只形成结构层结论和候选，不越级替代M11—M18。</x:v>
      </x:c>
      <x:c r="AF103" s="68" t="str">
        <x:v>相关条件真实成立，且增强条件有效时，可按“制化两端同时过强并彼此破坏时标记制化失衡”记录对应功能。</x:v>
      </x:c>
      <x:c r="AG103" s="90" t="str">
        <x:v>仅见表面十神名称或数量，但“不得以十神名称、数量或单一旺弱证据直接完成定性”所述限制存在时，不得套用本规则。</x:v>
      </x:c>
      <x:c r="AH103" s="68" t="str">
        <x:v>https://zh.wikisource.org/wiki/%E6%B8%8A%E6%B5%B7%E5%AD%90%E5%B9%B3%E5%A4%A7%E5%85%A8 ; https://zh.wikisource.org/wiki/%E6%BB%B4%E5%A4%A9%E9%AB%93%E9%97%A1%E5%BE%AE</x:v>
      </x:c>
      <x:c r="AI103" s="82" t="str">
        <x:v>采用</x:v>
      </x:c>
      <x:c r="AJ103" s="82" t="str">
        <x:v>初审</x:v>
      </x:c>
      <x:c r="AK103" s="87" t="n">
        <x:v>46255</x:v>
      </x:c>
    </x:row>
    <x:row r="104">
      <x:c r="A104" s="72" t="str">
        <x:f>IF(OR(C104="",D104=""),"",B104&amp;"-"&amp;UPPER(C104)&amp;"-"&amp;TEXT(D104,"0000")&amp;"-"&amp;E104)</x:f>
        <x:v>M10-BAL-0098-V1.0</x:v>
      </x:c>
      <x:c r="B104" s="74" t="str">
        <x:v>M10</x:v>
      </x:c>
      <x:c r="C104" s="74" t="str">
        <x:v>BAL</x:v>
      </x:c>
      <x:c r="D104" s="215" t="n">
        <x:v>98</x:v>
      </x:c>
      <x:c r="E104" s="74" t="str">
        <x:v>V1.0</x:v>
      </x:c>
      <x:c r="F104" s="68" t="str">
        <x:v>同一十神可同时承担多个功能但不得重复计力</x:v>
      </x:c>
      <x:c r="G104" s="82" t="str">
        <x:v>结构层</x:v>
      </x:c>
      <x:c r="H104" s="82" t="str">
        <x:v>正印</x:v>
      </x:c>
      <x:c r="I104" s="82" t="str">
        <x:v>待定</x:v>
      </x:c>
      <x:c r="J104" s="82" t="str">
        <x:v>待定</x:v>
      </x:c>
      <x:c r="K104" s="82" t="str">
        <x:v>待定</x:v>
      </x:c>
      <x:c r="L104" s="82" t="str">
        <x:v>待定</x:v>
      </x:c>
      <x:c r="M104" s="68" t="str">
        <x:v>按M08核查</x:v>
      </x:c>
      <x:c r="N104" s="68" t="str">
        <x:v>按M06/M08核查</x:v>
      </x:c>
      <x:c r="O104" s="82" t="str">
        <x:v>正常发挥</x:v>
      </x:c>
      <x:c r="P104" s="68" t="str">
        <x:v>转M11/M14判断</x:v>
      </x:c>
      <x:c r="Q104" s="68" t="str">
        <x:v>需结合M09日主承载判断</x:v>
      </x:c>
      <x:c r="R104" s="82" t="str">
        <x:v>待定</x:v>
      </x:c>
      <x:c r="S104" s="68" t="str">
        <x:v>正印同时生身、承接官星并制食伤</x:v>
      </x:c>
      <x:c r="T104" s="68" t="str">
        <x:v>M02十神映射、M08五行有效旺衰、M09日主旺衰已完成</x:v>
      </x:c>
      <x:c r="U104" s="68" t="str">
        <x:v>相关十神已由M02正确映射，并以M08有效力量为准</x:v>
      </x:c>
      <x:c r="V104" s="68" t="str">
        <x:v>得令、有根、透干、同党或生源形成独立有效证据</x:v>
      </x:c>
      <x:c r="W104" s="68" t="str">
        <x:v>失令、无根、被合绊、被制、改性或作用路径受阻</x:v>
      </x:c>
      <x:c r="X104" s="90" t="str">
        <x:v>不得以十神名称、数量或单一旺弱证据直接完成定性</x:v>
      </x:c>
      <x:c r="Y104" s="68" t="str">
        <x:v>特殊格局、从化候选及明确组合转M11/M14另审</x:v>
      </x:c>
      <x:c r="Z104" s="68" t="str">
        <x:v>不得因承担三个功能就把同一印星力量重复计算三次</x:v>
      </x:c>
      <x:c r="AA104" s="84" t="str">
        <x:v>一神多职不重复计力</x:v>
      </x:c>
      <x:c r="AB104" s="84" t="str">
        <x:v>同一十神可同时承担多个功能但不得重复计力：当“正印同时生身、承接官星并制食伤”成立时，按本规则记录十神的有效功能；同时保留制化、承载和反向证据。</x:v>
      </x:c>
      <x:c r="AC104" s="82" t="str">
        <x:v>较高</x:v>
      </x:c>
      <x:c r="AD104" s="82" t="str">
        <x:v>现代综合</x:v>
      </x:c>
      <x:c r="AE104" s="68" t="str">
        <x:v>十神必须分开判断存在性、力量、清纯度、功能性与喜忌性；M10只形成结构层结论和候选，不越级替代M11—M18。</x:v>
      </x:c>
      <x:c r="AF104" s="68" t="str">
        <x:v>相关条件真实成立，且增强条件有效时，可按“同一十神可同时承担多个功能但不得重复计力”记录对应功能。</x:v>
      </x:c>
      <x:c r="AG104" s="90" t="str">
        <x:v>仅见表面十神名称或数量，但“不得以十神名称、数量或单一旺弱证据直接完成定性”所述限制存在时，不得套用本规则。</x:v>
      </x:c>
      <x:c r="AH104" s="68" t="str">
        <x:v>https://zh.wikisource.org/wiki/%E6%B8%8A%E6%B5%B7%E5%AD%90%E5%B9%B3%E5%A4%A7%E5%85%A8 ; https://zh.wikisource.org/wiki/%E6%BB%B4%E5%A4%A9%E9%AB%93%E9%97%A1%E5%BE%AE</x:v>
      </x:c>
      <x:c r="AI104" s="82" t="str">
        <x:v>采用</x:v>
      </x:c>
      <x:c r="AJ104" s="82" t="str">
        <x:v>初审</x:v>
      </x:c>
      <x:c r="AK104" s="87" t="n">
        <x:v>46255</x:v>
      </x:c>
    </x:row>
    <x:row r="105">
      <x:c r="A105" s="72" t="str">
        <x:f>IF(OR(C105="",D105=""),"",B105&amp;"-"&amp;UPPER(C105)&amp;"-"&amp;TEXT(D105,"0000")&amp;"-"&amp;E105)</x:f>
        <x:v>M10-BAL-0099-V1.0</x:v>
      </x:c>
      <x:c r="B105" s="74" t="str">
        <x:v>M10</x:v>
      </x:c>
      <x:c r="C105" s="74" t="str">
        <x:v>BAL</x:v>
      </x:c>
      <x:c r="D105" s="215" t="n">
        <x:v>99</x:v>
      </x:c>
      <x:c r="E105" s="74" t="str">
        <x:v>V1.0</x:v>
      </x:c>
      <x:c r="F105" s="68" t="str">
        <x:v>功能价值取决于是否解决主要矛盾</x:v>
      </x:c>
      <x:c r="G105" s="82" t="str">
        <x:v>结构层</x:v>
      </x:c>
      <x:c r="H105" s="82" t="str">
        <x:v>劫财</x:v>
      </x:c>
      <x:c r="I105" s="82" t="str">
        <x:v>待定</x:v>
      </x:c>
      <x:c r="J105" s="82" t="str">
        <x:v>待定</x:v>
      </x:c>
      <x:c r="K105" s="82" t="str">
        <x:v>待定</x:v>
      </x:c>
      <x:c r="L105" s="82" t="str">
        <x:v>待定</x:v>
      </x:c>
      <x:c r="M105" s="68" t="str">
        <x:v>按M08核查</x:v>
      </x:c>
      <x:c r="N105" s="68" t="str">
        <x:v>按M06/M08核查</x:v>
      </x:c>
      <x:c r="O105" s="82" t="str">
        <x:v>待定</x:v>
      </x:c>
      <x:c r="P105" s="68" t="str">
        <x:v>转M11/M14判断</x:v>
      </x:c>
      <x:c r="Q105" s="68" t="str">
        <x:v>需结合M09日主承载判断</x:v>
      </x:c>
      <x:c r="R105" s="82" t="str">
        <x:v>待定</x:v>
      </x:c>
      <x:c r="S105" s="68" t="str">
        <x:v>劫财既能扶身又可能制财，须判断当前原局主要矛盾</x:v>
      </x:c>
      <x:c r="T105" s="68" t="str">
        <x:v>M02十神映射、M08五行有效旺衰、M09日主旺衰已完成</x:v>
      </x:c>
      <x:c r="U105" s="68" t="str">
        <x:v>相关十神已由M02正确映射，并以M08有效力量为准</x:v>
      </x:c>
      <x:c r="V105" s="68" t="str">
        <x:v>得令、有根、透干、同党或生源形成独立有效证据</x:v>
      </x:c>
      <x:c r="W105" s="68" t="str">
        <x:v>失令、无根、被合绊、被制、改性或作用路径受阻</x:v>
      </x:c>
      <x:c r="X105" s="90" t="str">
        <x:v>不得以十神名称、数量或单一旺弱证据直接完成定性</x:v>
      </x:c>
      <x:c r="Y105" s="68" t="str">
        <x:v>特殊格局、从化候选及明确组合转M11/M14另审</x:v>
      </x:c>
      <x:c r="Z105" s="68" t="str">
        <x:v>不得直接推出吉凶、具体事件、亲属结果或最终喜忌</x:v>
      </x:c>
      <x:c r="AA105" s="84" t="str">
        <x:v>功能目标导向</x:v>
      </x:c>
      <x:c r="AB105" s="84" t="str">
        <x:v>功能价值取决于是否解决主要矛盾：当“劫财既能扶身又可能制财，须判断当前原局主要矛盾”成立时，按本规则记录十神的有效功能；同时保留制化、承载和反向证据。</x:v>
      </x:c>
      <x:c r="AC105" s="82" t="str">
        <x:v>较高</x:v>
      </x:c>
      <x:c r="AD105" s="82" t="str">
        <x:v>现代综合</x:v>
      </x:c>
      <x:c r="AE105" s="68" t="str">
        <x:v>十神必须分开判断存在性、力量、清纯度、功能性与喜忌性；M10只形成结构层结论和候选，不越级替代M11—M18。</x:v>
      </x:c>
      <x:c r="AF105" s="68" t="str">
        <x:v>相关条件真实成立，且增强条件有效时，可按“功能价值取决于是否解决主要矛盾”记录对应功能。</x:v>
      </x:c>
      <x:c r="AG105" s="90" t="str">
        <x:v>仅见表面十神名称或数量，但“不得以十神名称、数量或单一旺弱证据直接完成定性”所述限制存在时，不得套用本规则。</x:v>
      </x:c>
      <x:c r="AH105" s="68" t="str">
        <x:v>https://zh.wikisource.org/wiki/%E6%B8%8A%E6%B5%B7%E5%AD%90%E5%B9%B3%E5%A4%A7%E5%85%A8 ; https://zh.wikisource.org/wiki/%E6%BB%B4%E5%A4%A9%E9%AB%93%E9%97%A1%E5%BE%AE</x:v>
      </x:c>
      <x:c r="AI105" s="82" t="str">
        <x:v>采用</x:v>
      </x:c>
      <x:c r="AJ105" s="82" t="str">
        <x:v>初审</x:v>
      </x:c>
      <x:c r="AK105" s="87" t="n">
        <x:v>46255</x:v>
      </x:c>
    </x:row>
    <x:row r="106">
      <x:c r="A106" s="214" t="str">
        <x:f>IF(OR(C106="",D106=""),"",B106&amp;"-"&amp;UPPER(C106)&amp;"-"&amp;TEXT(D106,"0000")&amp;"-"&amp;E106)</x:f>
        <x:v>M10-BAL-0100-V1.0</x:v>
      </x:c>
      <x:c r="B106" s="214" t="str">
        <x:v>M10</x:v>
      </x:c>
      <x:c r="C106" s="214" t="str">
        <x:v>BAL</x:v>
      </x:c>
      <x:c r="D106" s="216" t="n">
        <x:v>100</x:v>
      </x:c>
      <x:c r="E106" s="214" t="str">
        <x:v>V1.0</x:v>
      </x:c>
      <x:c r="F106" s="214" t="str">
        <x:v>功能副作用必须与主要收益同时记录</x:v>
      </x:c>
      <x:c r="G106" s="214" t="str">
        <x:v>结构层</x:v>
      </x:c>
      <x:c r="H106" s="214" t="str">
        <x:v>偏财</x:v>
      </x:c>
      <x:c r="I106" s="214" t="str">
        <x:v>待定</x:v>
      </x:c>
      <x:c r="J106" s="214" t="str">
        <x:v>待定</x:v>
      </x:c>
      <x:c r="K106" s="214" t="str">
        <x:v>待定</x:v>
      </x:c>
      <x:c r="L106" s="214" t="str">
        <x:v>待定</x:v>
      </x:c>
      <x:c r="M106" s="214" t="str">
        <x:v>按M08核查</x:v>
      </x:c>
      <x:c r="N106" s="214" t="str">
        <x:v>按M06/M08核查</x:v>
      </x:c>
      <x:c r="O106" s="214" t="str">
        <x:v>待定</x:v>
      </x:c>
      <x:c r="P106" s="214" t="str">
        <x:v>转M11/M14判断</x:v>
      </x:c>
      <x:c r="Q106" s="214" t="str">
        <x:v>需结合M09日主承载判断</x:v>
      </x:c>
      <x:c r="R106" s="214" t="str">
        <x:v>待定</x:v>
      </x:c>
      <x:c r="S106" s="214" t="str">
        <x:v>偏财能耗身或生官杀，但同时可能制印</x:v>
      </x:c>
      <x:c r="T106" s="214" t="str">
        <x:v>M02十神映射、M08五行有效旺衰、M09日主旺衰已完成</x:v>
      </x:c>
      <x:c r="U106" s="214" t="str">
        <x:v>相关十神已由M02正确映射，并以M08有效力量为准</x:v>
      </x:c>
      <x:c r="V106" s="214" t="str">
        <x:v>得令、有根、透干、同党或生源形成独立有效证据</x:v>
      </x:c>
      <x:c r="W106" s="214" t="str">
        <x:v>失令、无根、被合绊、被制、改性或作用路径受阻</x:v>
      </x:c>
      <x:c r="X106" s="214" t="str">
        <x:v>不得以十神名称、数量或单一旺弱证据直接完成定性</x:v>
      </x:c>
      <x:c r="Y106" s="214" t="str">
        <x:v>特殊格局、从化候选及明确组合转M11/M14另审</x:v>
      </x:c>
      <x:c r="Z106" s="214" t="str">
        <x:v>不得直接推出吉凶、具体事件、亲属结果或最终喜忌</x:v>
      </x:c>
      <x:c r="AA106" s="214" t="str">
        <x:v>功能收益副作用并列</x:v>
      </x:c>
      <x:c r="AB106" s="214" t="str">
        <x:v>十神功能评价应同时记录主要收益、次级作用和副作用，留给M16—M18统一裁决。</x:v>
      </x:c>
      <x:c r="AC106" s="214" t="str">
        <x:v>较高</x:v>
      </x:c>
      <x:c r="AD106" s="214" t="str">
        <x:v>现代综合</x:v>
      </x:c>
      <x:c r="AE106" s="214" t="str">
        <x:v>十神必须分开判断存在性、力量、清纯度、功能性与喜忌性；M10只形成结构层结论和候选，不越级替代M11—M18。</x:v>
      </x:c>
      <x:c r="AF106" s="214" t="str">
        <x:v>相关条件真实成立，且增强条件有效时，可按“功能副作用必须与主要收益同时记录”记录对应功能。</x:v>
      </x:c>
      <x:c r="AG106" s="214" t="str">
        <x:v>仅见表面十神名称或数量，但“不得以十神名称、数量或单一旺弱证据直接完成定性”所述限制存在时，不得套用本规则。</x:v>
      </x:c>
      <x:c r="AH106" s="214" t="str">
        <x:v>https://zh.wikisource.org/wiki/%E6%B8%8A%E6%B5%B7%E5%AD%90%E5%B9%B3%E5%A4%A7%E5%85%A8 ; https://zh.wikisource.org/wiki/%E6%BB%B4%E5%A4%A9%E9%AB%93%E9%97%A1%E5%BE%AE</x:v>
      </x:c>
      <x:c r="AI106" s="214" t="str">
        <x:v>采用</x:v>
      </x:c>
      <x:c r="AJ106" s="214" t="str">
        <x:v>初审</x:v>
      </x:c>
      <x:c r="AK106" s="217" t="n">
        <x:v>46255</x:v>
      </x:c>
    </x:row>
    <x:row r="107">
      <x:c r="A107" s="214" t="str">
        <x:f>IF(OR(C107="",D107=""),"",B107&amp;"-"&amp;UPPER(C107)&amp;"-"&amp;TEXT(D107,"0000")&amp;"-"&amp;E107)</x:f>
        <x:v>M10-ROLE-0101-V1.0</x:v>
      </x:c>
      <x:c r="B107" s="214" t="str">
        <x:v>M10</x:v>
      </x:c>
      <x:c r="C107" s="214" t="str">
        <x:v>ROLE</x:v>
      </x:c>
      <x:c r="D107" s="216" t="n">
        <x:v>101</x:v>
      </x:c>
      <x:c r="E107" s="214" t="str">
        <x:v>V1.0</x:v>
      </x:c>
      <x:c r="F107" s="214" t="str">
        <x:v>十神有力只能生成组合候选不能直接成立格局</x:v>
      </x:c>
      <x:c r="G107" s="214" t="str">
        <x:v>结构层</x:v>
      </x:c>
      <x:c r="H107" s="214" t="str">
        <x:v>食神</x:v>
      </x:c>
      <x:c r="I107" s="214" t="str">
        <x:v>待定</x:v>
      </x:c>
      <x:c r="J107" s="214" t="str">
        <x:v>待定</x:v>
      </x:c>
      <x:c r="K107" s="214" t="str">
        <x:v>待定</x:v>
      </x:c>
      <x:c r="L107" s="214" t="str">
        <x:v>待定</x:v>
      </x:c>
      <x:c r="M107" s="214" t="str">
        <x:v>按M08核查</x:v>
      </x:c>
      <x:c r="N107" s="214" t="str">
        <x:v>按M06/M08核查</x:v>
      </x:c>
      <x:c r="O107" s="214" t="str">
        <x:v>待定</x:v>
      </x:c>
      <x:c r="P107" s="214" t="str">
        <x:v>生成食神制杀或食神生财候选，转M11</x:v>
      </x:c>
      <x:c r="Q107" s="214" t="str">
        <x:v>需结合M09日主承载判断</x:v>
      </x:c>
      <x:c r="R107" s="214" t="str">
        <x:v>待定</x:v>
      </x:c>
      <x:c r="S107" s="214" t="str">
        <x:v>食神有效且七杀或财星等对象存在</x:v>
      </x:c>
      <x:c r="T107" s="214" t="str">
        <x:v>M02十神映射、M08五行有效旺衰、M09日主旺衰已完成</x:v>
      </x:c>
      <x:c r="U107" s="214" t="str">
        <x:v>相关十神已由M02正确映射，并以M08有效力量为准</x:v>
      </x:c>
      <x:c r="V107" s="214" t="str">
        <x:v>得令、有根、透干、同党或生源形成独立有效证据</x:v>
      </x:c>
      <x:c r="W107" s="214" t="str">
        <x:v>失令、无根、被合绊、被制、改性或作用路径受阻</x:v>
      </x:c>
      <x:c r="X107" s="214" t="str">
        <x:v>不得以十神名称、数量或单一旺弱证据直接完成定性</x:v>
      </x:c>
      <x:c r="Y107" s="214" t="str">
        <x:v>特殊格局、从化候选及明确组合转M11/M14另审</x:v>
      </x:c>
      <x:c r="Z107" s="214" t="str">
        <x:v>不得由食神有力直接宣布食神制杀、食神格或格局成立</x:v>
      </x:c>
      <x:c r="AA107" s="214" t="str">
        <x:v>组合候选接口</x:v>
      </x:c>
      <x:c r="AB107" s="214" t="str">
        <x:v>十神有力只能生成组合候选不能直接成立格局：当“食神有效且七杀或财星等对象存在”成立时，按本规则记录十神的有效功能；同时保留制化、承载和反向证据。</x:v>
      </x:c>
      <x:c r="AC107" s="214" t="str">
        <x:v>较高</x:v>
      </x:c>
      <x:c r="AD107" s="214" t="str">
        <x:v>现代综合</x:v>
      </x:c>
      <x:c r="AE107" s="214" t="str">
        <x:v>十神必须分开判断存在性、力量、清纯度、功能性与喜忌性；M10只形成结构层结论和候选，不越级替代M11—M18。</x:v>
      </x:c>
      <x:c r="AF107" s="214" t="str">
        <x:v>相关条件真实成立，且增强条件有效时，可按“十神有力只能生成组合候选不能直接成立格局”记录对应功能。</x:v>
      </x:c>
      <x:c r="AG107" s="214" t="str">
        <x:v>仅见表面十神名称或数量，但“不得以十神名称、数量或单一旺弱证据直接完成定性”所述限制存在时，不得套用本规则。</x:v>
      </x:c>
      <x:c r="AH107" s="214" t="str">
        <x:v>https://zh.wikisource.org/wiki/%E6%B8%8A%E6%B5%B7%E5%AD%90%E5%B9%B3%E5%A4%A7%E5%85%A8 ; https://zh.wikisource.org/wiki/%E6%BB%B4%E5%A4%A9%E9%AB%93%E9%97%A1%E5%BE%AE</x:v>
      </x:c>
      <x:c r="AI107" s="214" t="str">
        <x:v>采用</x:v>
      </x:c>
      <x:c r="AJ107" s="214" t="str">
        <x:v>初审</x:v>
      </x:c>
      <x:c r="AK107" s="217" t="n">
        <x:v>46255</x:v>
      </x:c>
    </x:row>
    <x:row r="108">
      <x:c r="A108" s="214" t="str">
        <x:f>IF(OR(C108="",D108=""),"",B108&amp;"-"&amp;UPPER(C108)&amp;"-"&amp;TEXT(D108,"0000")&amp;"-"&amp;E108)</x:f>
        <x:v>M10-ROLE-0102-V1.0</x:v>
      </x:c>
      <x:c r="B108" s="214" t="str">
        <x:v>M10</x:v>
      </x:c>
      <x:c r="C108" s="214" t="str">
        <x:v>ROLE</x:v>
      </x:c>
      <x:c r="D108" s="216" t="n">
        <x:v>102</x:v>
      </x:c>
      <x:c r="E108" s="214" t="str">
        <x:v>V1.0</x:v>
      </x:c>
      <x:c r="F108" s="214" t="str">
        <x:v>伤官有力且印星存在时只生成伤官配印候选</x:v>
      </x:c>
      <x:c r="G108" s="214" t="str">
        <x:v>结构层</x:v>
      </x:c>
      <x:c r="H108" s="214" t="str">
        <x:v>伤官</x:v>
      </x:c>
      <x:c r="I108" s="214" t="str">
        <x:v>待定</x:v>
      </x:c>
      <x:c r="J108" s="214" t="str">
        <x:v>待定</x:v>
      </x:c>
      <x:c r="K108" s="214" t="str">
        <x:v>待定</x:v>
      </x:c>
      <x:c r="L108" s="214" t="str">
        <x:v>待定</x:v>
      </x:c>
      <x:c r="M108" s="214" t="str">
        <x:v>按M08核查</x:v>
      </x:c>
      <x:c r="N108" s="214" t="str">
        <x:v>按M06/M08核查</x:v>
      </x:c>
      <x:c r="O108" s="214" t="str">
        <x:v>待定</x:v>
      </x:c>
      <x:c r="P108" s="214" t="str">
        <x:v>伤官配印候选转M11</x:v>
      </x:c>
      <x:c r="Q108" s="214" t="str">
        <x:v>需结合M09日主承载判断</x:v>
      </x:c>
      <x:c r="R108" s="214" t="str">
        <x:v>待定</x:v>
      </x:c>
      <x:c r="S108" s="214" t="str">
        <x:v>伤官与印星均有效存在</x:v>
      </x:c>
      <x:c r="T108" s="214" t="str">
        <x:v>M02十神映射、M08五行有效旺衰、M09日主旺衰已完成</x:v>
      </x:c>
      <x:c r="U108" s="214" t="str">
        <x:v>相关十神已由M02正确映射，并以M08有效力量为准</x:v>
      </x:c>
      <x:c r="V108" s="214" t="str">
        <x:v>得令、有根、透干、同党或生源形成独立有效证据</x:v>
      </x:c>
      <x:c r="W108" s="214" t="str">
        <x:v>失令、无根、被合绊、被制、改性或作用路径受阻</x:v>
      </x:c>
      <x:c r="X108" s="214" t="str">
        <x:v>不得以十神名称、数量或单一旺弱证据直接完成定性</x:v>
      </x:c>
      <x:c r="Y108" s="214" t="str">
        <x:v>特殊格局、从化候选及明确组合转M11/M14另审</x:v>
      </x:c>
      <x:c r="Z108" s="214" t="str">
        <x:v>不得直接推出吉凶、具体事件、亲属结果或最终喜忌</x:v>
      </x:c>
      <x:c r="AA108" s="214" t="str">
        <x:v>伤官配印接口</x:v>
      </x:c>
      <x:c r="AB108" s="214" t="str">
        <x:v>伤官有力且印星存在时只生成伤官配印候选：当“伤官与印星均有效存在”成立时，按本规则记录十神的有效功能；同时保留制化、承载和反向证据。</x:v>
      </x:c>
      <x:c r="AC108" s="214" t="str">
        <x:v>较高</x:v>
      </x:c>
      <x:c r="AD108" s="214" t="str">
        <x:v>现代综合</x:v>
      </x:c>
      <x:c r="AE108" s="214" t="str">
        <x:v>十神必须分开判断存在性、力量、清纯度、功能性与喜忌性；M10只形成结构层结论和候选，不越级替代M11—M18。</x:v>
      </x:c>
      <x:c r="AF108" s="214" t="str">
        <x:v>相关条件真实成立，且增强条件有效时，可按“伤官有力且印星存在时只生成伤官配印候选”记录对应功能。</x:v>
      </x:c>
      <x:c r="AG108" s="214" t="str">
        <x:v>仅见表面十神名称或数量，但“不得以十神名称、数量或单一旺弱证据直接完成定性”所述限制存在时，不得套用本规则。</x:v>
      </x:c>
      <x:c r="AH108" s="214" t="str">
        <x:v>https://zh.wikisource.org/wiki/%E6%B8%8A%E6%B5%B7%E5%AD%90%E5%B9%B3%E5%A4%A7%E5%85%A8 ; https://zh.wikisource.org/wiki/%E6%BB%B4%E5%A4%A9%E9%AB%93%E9%97%A1%E5%BE%AE</x:v>
      </x:c>
      <x:c r="AI108" s="214" t="str">
        <x:v>采用</x:v>
      </x:c>
      <x:c r="AJ108" s="214" t="str">
        <x:v>初审</x:v>
      </x:c>
      <x:c r="AK108" s="217" t="n">
        <x:v>46255</x:v>
      </x:c>
    </x:row>
    <x:row r="109">
      <x:c r="A109" s="214" t="str">
        <x:f>IF(OR(C109="",D109=""),"",B109&amp;"-"&amp;UPPER(C109)&amp;"-"&amp;TEXT(D109,"0000")&amp;"-"&amp;E109)</x:f>
        <x:v>M10-ROLE-0103-V1.0</x:v>
      </x:c>
      <x:c r="B109" s="214" t="str">
        <x:v>M10</x:v>
      </x:c>
      <x:c r="C109" s="214" t="str">
        <x:v>ROLE</x:v>
      </x:c>
      <x:c r="D109" s="216" t="n">
        <x:v>103</x:v>
      </x:c>
      <x:c r="E109" s="214" t="str">
        <x:v>V1.0</x:v>
      </x:c>
      <x:c r="F109" s="214" t="str">
        <x:v>官印均有效时只生成官印相生候选</x:v>
      </x:c>
      <x:c r="G109" s="214" t="str">
        <x:v>结构层</x:v>
      </x:c>
      <x:c r="H109" s="214" t="str">
        <x:v>正官</x:v>
      </x:c>
      <x:c r="I109" s="214" t="str">
        <x:v>待定</x:v>
      </x:c>
      <x:c r="J109" s="214" t="str">
        <x:v>待定</x:v>
      </x:c>
      <x:c r="K109" s="214" t="str">
        <x:v>待定</x:v>
      </x:c>
      <x:c r="L109" s="214" t="str">
        <x:v>待定</x:v>
      </x:c>
      <x:c r="M109" s="214" t="str">
        <x:v>按M08核查</x:v>
      </x:c>
      <x:c r="N109" s="214" t="str">
        <x:v>按M06/M08核查</x:v>
      </x:c>
      <x:c r="O109" s="214" t="str">
        <x:v>待定</x:v>
      </x:c>
      <x:c r="P109" s="214" t="str">
        <x:v>官印相生候选转M11</x:v>
      </x:c>
      <x:c r="Q109" s="214" t="str">
        <x:v>需结合M09日主承载判断</x:v>
      </x:c>
      <x:c r="R109" s="214" t="str">
        <x:v>待定</x:v>
      </x:c>
      <x:c r="S109" s="214" t="str">
        <x:v>正官与印星有效且生化路径可能连续</x:v>
      </x:c>
      <x:c r="T109" s="214" t="str">
        <x:v>M02十神映射、M08五行有效旺衰、M09日主旺衰已完成</x:v>
      </x:c>
      <x:c r="U109" s="214" t="str">
        <x:v>相关十神已由M02正确映射，并以M08有效力量为准</x:v>
      </x:c>
      <x:c r="V109" s="214" t="str">
        <x:v>得令、有根、透干、同党或生源形成独立有效证据</x:v>
      </x:c>
      <x:c r="W109" s="214" t="str">
        <x:v>失令、无根、被合绊、被制、改性或作用路径受阻</x:v>
      </x:c>
      <x:c r="X109" s="214" t="str">
        <x:v>不得以十神名称、数量或单一旺弱证据直接完成定性</x:v>
      </x:c>
      <x:c r="Y109" s="214" t="str">
        <x:v>特殊格局、从化候选及明确组合转M11/M14另审</x:v>
      </x:c>
      <x:c r="Z109" s="214" t="str">
        <x:v>不得直接推出吉凶、具体事件、亲属结果或最终喜忌</x:v>
      </x:c>
      <x:c r="AA109" s="214" t="str">
        <x:v>官印组合接口</x:v>
      </x:c>
      <x:c r="AB109" s="214" t="str">
        <x:v>官印均有效时只生成官印相生候选：当“正官与印星有效且生化路径可能连续”成立时，按本规则记录十神的有效功能；同时保留制化、承载和反向证据。</x:v>
      </x:c>
      <x:c r="AC109" s="214" t="str">
        <x:v>较高</x:v>
      </x:c>
      <x:c r="AD109" s="214" t="str">
        <x:v>现代综合</x:v>
      </x:c>
      <x:c r="AE109" s="214" t="str">
        <x:v>十神必须分开判断存在性、力量、清纯度、功能性与喜忌性；M10只形成结构层结论和候选，不越级替代M11—M18。</x:v>
      </x:c>
      <x:c r="AF109" s="214" t="str">
        <x:v>相关条件真实成立，且增强条件有效时，可按“官印均有效时只生成官印相生候选”记录对应功能。</x:v>
      </x:c>
      <x:c r="AG109" s="214" t="str">
        <x:v>仅见表面十神名称或数量，但“不得以十神名称、数量或单一旺弱证据直接完成定性”所述限制存在时，不得套用本规则。</x:v>
      </x:c>
      <x:c r="AH109" s="214" t="str">
        <x:v>https://zh.wikisource.org/wiki/%E6%B8%8A%E6%B5%B7%E5%AD%90%E5%B9%B3%E5%A4%A7%E5%85%A8 ; https://zh.wikisource.org/wiki/%E6%BB%B4%E5%A4%A9%E9%AB%93%E9%97%A1%E5%BE%AE</x:v>
      </x:c>
      <x:c r="AI109" s="214" t="str">
        <x:v>采用</x:v>
      </x:c>
      <x:c r="AJ109" s="214" t="str">
        <x:v>初审</x:v>
      </x:c>
      <x:c r="AK109" s="217" t="n">
        <x:v>46255</x:v>
      </x:c>
    </x:row>
    <x:row r="110">
      <x:c r="A110" s="214" t="str">
        <x:f>IF(OR(C110="",D110=""),"",B110&amp;"-"&amp;UPPER(C110)&amp;"-"&amp;TEXT(D110,"0000")&amp;"-"&amp;E110)</x:f>
        <x:v>M10-ROLE-0104-V1.0</x:v>
      </x:c>
      <x:c r="B110" s="214" t="str">
        <x:v>M10</x:v>
      </x:c>
      <x:c r="C110" s="214" t="str">
        <x:v>ROLE</x:v>
      </x:c>
      <x:c r="D110" s="216" t="n">
        <x:v>104</x:v>
      </x:c>
      <x:c r="E110" s="214" t="str">
        <x:v>V1.0</x:v>
      </x:c>
      <x:c r="F110" s="214" t="str">
        <x:v>杀印均有效时只生成杀印相生候选</x:v>
      </x:c>
      <x:c r="G110" s="214" t="str">
        <x:v>结构层</x:v>
      </x:c>
      <x:c r="H110" s="214" t="str">
        <x:v>七杀</x:v>
      </x:c>
      <x:c r="I110" s="214" t="str">
        <x:v>待定</x:v>
      </x:c>
      <x:c r="J110" s="214" t="str">
        <x:v>待定</x:v>
      </x:c>
      <x:c r="K110" s="214" t="str">
        <x:v>待定</x:v>
      </x:c>
      <x:c r="L110" s="214" t="str">
        <x:v>待定</x:v>
      </x:c>
      <x:c r="M110" s="214" t="str">
        <x:v>按M08核查</x:v>
      </x:c>
      <x:c r="N110" s="214" t="str">
        <x:v>按M06/M08核查</x:v>
      </x:c>
      <x:c r="O110" s="214" t="str">
        <x:v>待定</x:v>
      </x:c>
      <x:c r="P110" s="214" t="str">
        <x:v>杀印相生候选转M11</x:v>
      </x:c>
      <x:c r="Q110" s="214" t="str">
        <x:v>需结合M09日主承载判断</x:v>
      </x:c>
      <x:c r="R110" s="214" t="str">
        <x:v>待定</x:v>
      </x:c>
      <x:c r="S110" s="214" t="str">
        <x:v>七杀与印星有效且七杀可生印</x:v>
      </x:c>
      <x:c r="T110" s="214" t="str">
        <x:v>M02十神映射、M08五行有效旺衰、M09日主旺衰已完成</x:v>
      </x:c>
      <x:c r="U110" s="214" t="str">
        <x:v>相关十神已由M02正确映射，并以M08有效力量为准</x:v>
      </x:c>
      <x:c r="V110" s="214" t="str">
        <x:v>得令、有根、透干、同党或生源形成独立有效证据</x:v>
      </x:c>
      <x:c r="W110" s="214" t="str">
        <x:v>失令、无根、被合绊、被制、改性或作用路径受阻</x:v>
      </x:c>
      <x:c r="X110" s="214" t="str">
        <x:v>不得以十神名称、数量或单一旺弱证据直接完成定性</x:v>
      </x:c>
      <x:c r="Y110" s="214" t="str">
        <x:v>特殊格局、从化候选及明确组合转M11/M14另审</x:v>
      </x:c>
      <x:c r="Z110" s="214" t="str">
        <x:v>不得直接推出吉凶、具体事件、亲属结果或最终喜忌</x:v>
      </x:c>
      <x:c r="AA110" s="214" t="str">
        <x:v>杀印组合接口</x:v>
      </x:c>
      <x:c r="AB110" s="214" t="str">
        <x:v>杀印均有效时只生成杀印相生候选：当“七杀与印星有效且七杀可生印”成立时，按本规则记录十神的有效功能；同时保留制化、承载和反向证据。</x:v>
      </x:c>
      <x:c r="AC110" s="214" t="str">
        <x:v>较高</x:v>
      </x:c>
      <x:c r="AD110" s="214" t="str">
        <x:v>现代综合</x:v>
      </x:c>
      <x:c r="AE110" s="214" t="str">
        <x:v>十神必须分开判断存在性、力量、清纯度、功能性与喜忌性；M10只形成结构层结论和候选，不越级替代M11—M18。</x:v>
      </x:c>
      <x:c r="AF110" s="214" t="str">
        <x:v>相关条件真实成立，且增强条件有效时，可按“杀印均有效时只生成杀印相生候选”记录对应功能。</x:v>
      </x:c>
      <x:c r="AG110" s="214" t="str">
        <x:v>仅见表面十神名称或数量，但“不得以十神名称、数量或单一旺弱证据直接完成定性”所述限制存在时，不得套用本规则。</x:v>
      </x:c>
      <x:c r="AH110" s="214" t="str">
        <x:v>https://zh.wikisource.org/wiki/%E6%B8%8A%E6%B5%B7%E5%AD%90%E5%B9%B3%E5%A4%A7%E5%85%A8 ; https://zh.wikisource.org/wiki/%E6%BB%B4%E5%A4%A9%E9%AB%93%E9%97%A1%E5%BE%AE</x:v>
      </x:c>
      <x:c r="AI110" s="214" t="str">
        <x:v>采用</x:v>
      </x:c>
      <x:c r="AJ110" s="214" t="str">
        <x:v>初审</x:v>
      </x:c>
      <x:c r="AK110" s="217" t="n">
        <x:v>46255</x:v>
      </x:c>
    </x:row>
    <x:row r="111">
      <x:c r="A111" s="214" t="str">
        <x:f>IF(OR(C111="",D111=""),"",B111&amp;"-"&amp;UPPER(C111)&amp;"-"&amp;TEXT(D111,"0000")&amp;"-"&amp;E111)</x:f>
        <x:v>M10-ROLE-0105-V1.0</x:v>
      </x:c>
      <x:c r="B111" s="214" t="str">
        <x:v>M10</x:v>
      </x:c>
      <x:c r="C111" s="214" t="str">
        <x:v>ROLE</x:v>
      </x:c>
      <x:c r="D111" s="216" t="n">
        <x:v>105</x:v>
      </x:c>
      <x:c r="E111" s="214" t="str">
        <x:v>V1.0</x:v>
      </x:c>
      <x:c r="F111" s="214" t="str">
        <x:v>食伤与财均有效时只生成食伤生财候选</x:v>
      </x:c>
      <x:c r="G111" s="214" t="str">
        <x:v>结构层</x:v>
      </x:c>
      <x:c r="H111" s="214" t="str">
        <x:v>正财</x:v>
      </x:c>
      <x:c r="I111" s="214" t="str">
        <x:v>待定</x:v>
      </x:c>
      <x:c r="J111" s="214" t="str">
        <x:v>待定</x:v>
      </x:c>
      <x:c r="K111" s="214" t="str">
        <x:v>待定</x:v>
      </x:c>
      <x:c r="L111" s="214" t="str">
        <x:v>待定</x:v>
      </x:c>
      <x:c r="M111" s="214" t="str">
        <x:v>按M08核查</x:v>
      </x:c>
      <x:c r="N111" s="214" t="str">
        <x:v>按M06/M08核查</x:v>
      </x:c>
      <x:c r="O111" s="214" t="str">
        <x:v>待定</x:v>
      </x:c>
      <x:c r="P111" s="214" t="str">
        <x:v>食伤生财候选转M11</x:v>
      </x:c>
      <x:c r="Q111" s="214" t="str">
        <x:v>需结合M09日主承载判断</x:v>
      </x:c>
      <x:c r="R111" s="214" t="str">
        <x:v>待定</x:v>
      </x:c>
      <x:c r="S111" s="214" t="str">
        <x:v>食伤与财星有连续生扶路径</x:v>
      </x:c>
      <x:c r="T111" s="214" t="str">
        <x:v>M02十神映射、M08五行有效旺衰、M09日主旺衰已完成</x:v>
      </x:c>
      <x:c r="U111" s="214" t="str">
        <x:v>相关十神已由M02正确映射，并以M08有效力量为准</x:v>
      </x:c>
      <x:c r="V111" s="214" t="str">
        <x:v>得令、有根、透干、同党或生源形成独立有效证据</x:v>
      </x:c>
      <x:c r="W111" s="214" t="str">
        <x:v>失令、无根、被合绊、被制、改性或作用路径受阻</x:v>
      </x:c>
      <x:c r="X111" s="214" t="str">
        <x:v>不得以十神名称、数量或单一旺弱证据直接完成定性</x:v>
      </x:c>
      <x:c r="Y111" s="214" t="str">
        <x:v>特殊格局、从化候选及明确组合转M11/M14另审</x:v>
      </x:c>
      <x:c r="Z111" s="214" t="str">
        <x:v>不得直接推出吉凶、具体事件、亲属结果或最终喜忌</x:v>
      </x:c>
      <x:c r="AA111" s="214" t="str">
        <x:v>财星组合接口</x:v>
      </x:c>
      <x:c r="AB111" s="214" t="str">
        <x:v>食伤与财均有效时只生成食伤生财候选：当“食伤与财星有连续生扶路径”成立时，按本规则记录十神的有效功能；同时保留制化、承载和反向证据。</x:v>
      </x:c>
      <x:c r="AC111" s="214" t="str">
        <x:v>较高</x:v>
      </x:c>
      <x:c r="AD111" s="214" t="str">
        <x:v>现代综合</x:v>
      </x:c>
      <x:c r="AE111" s="214" t="str">
        <x:v>十神必须分开判断存在性、力量、清纯度、功能性与喜忌性；M10只形成结构层结论和候选，不越级替代M11—M18。</x:v>
      </x:c>
      <x:c r="AF111" s="214" t="str">
        <x:v>相关条件真实成立，且增强条件有效时，可按“食伤与财均有效时只生成食伤生财候选”记录对应功能。</x:v>
      </x:c>
      <x:c r="AG111" s="214" t="str">
        <x:v>仅见表面十神名称或数量，但“不得以十神名称、数量或单一旺弱证据直接完成定性”所述限制存在时，不得套用本规则。</x:v>
      </x:c>
      <x:c r="AH111" s="214" t="str">
        <x:v>https://zh.wikisource.org/wiki/%E6%B8%8A%E6%B5%B7%E5%AD%90%E5%B9%B3%E5%A4%A7%E5%85%A8 ; https://zh.wikisource.org/wiki/%E6%BB%B4%E5%A4%A9%E9%AB%93%E9%97%A1%E5%BE%AE</x:v>
      </x:c>
      <x:c r="AI111" s="214" t="str">
        <x:v>采用</x:v>
      </x:c>
      <x:c r="AJ111" s="214" t="str">
        <x:v>初审</x:v>
      </x:c>
      <x:c r="AK111" s="217" t="n">
        <x:v>46255</x:v>
      </x:c>
    </x:row>
    <x:row r="112">
      <x:c r="A112" s="214" t="str">
        <x:f>IF(OR(C112="",D112=""),"",B112&amp;"-"&amp;UPPER(C112)&amp;"-"&amp;TEXT(D112,"0000")&amp;"-"&amp;E112)</x:f>
        <x:v>M10-ROLE-0106-V1.0</x:v>
      </x:c>
      <x:c r="B112" s="214" t="str">
        <x:v>M10</x:v>
      </x:c>
      <x:c r="C112" s="214" t="str">
        <x:v>ROLE</x:v>
      </x:c>
      <x:c r="D112" s="216" t="n">
        <x:v>106</x:v>
      </x:c>
      <x:c r="E112" s="214" t="str">
        <x:v>V1.0</x:v>
      </x:c>
      <x:c r="F112" s="214" t="str">
        <x:v>比劫与财星形成克制时只生成比劫制财类候选</x:v>
      </x:c>
      <x:c r="G112" s="214" t="str">
        <x:v>结构层</x:v>
      </x:c>
      <x:c r="H112" s="214" t="str">
        <x:v>劫财</x:v>
      </x:c>
      <x:c r="I112" s="214" t="str">
        <x:v>待定</x:v>
      </x:c>
      <x:c r="J112" s="214" t="str">
        <x:v>待定</x:v>
      </x:c>
      <x:c r="K112" s="214" t="str">
        <x:v>待定</x:v>
      </x:c>
      <x:c r="L112" s="214" t="str">
        <x:v>待定</x:v>
      </x:c>
      <x:c r="M112" s="214" t="str">
        <x:v>按M08核查</x:v>
      </x:c>
      <x:c r="N112" s="214" t="str">
        <x:v>按M06/M08核查</x:v>
      </x:c>
      <x:c r="O112" s="214" t="str">
        <x:v>待定</x:v>
      </x:c>
      <x:c r="P112" s="214" t="str">
        <x:v>比劫制财候选转M11</x:v>
      </x:c>
      <x:c r="Q112" s="214" t="str">
        <x:v>需结合M09日主承载判断</x:v>
      </x:c>
      <x:c r="R112" s="214" t="str">
        <x:v>待定</x:v>
      </x:c>
      <x:c r="S112" s="214" t="str">
        <x:v>比劫与财星均有效且克制路径成立</x:v>
      </x:c>
      <x:c r="T112" s="214" t="str">
        <x:v>M02十神映射、M08五行有效旺衰、M09日主旺衰已完成</x:v>
      </x:c>
      <x:c r="U112" s="214" t="str">
        <x:v>相关十神已由M02正确映射，并以M08有效力量为准</x:v>
      </x:c>
      <x:c r="V112" s="214" t="str">
        <x:v>得令、有根、透干、同党或生源形成独立有效证据</x:v>
      </x:c>
      <x:c r="W112" s="214" t="str">
        <x:v>失令、无根、被合绊、被制、改性或作用路径受阻</x:v>
      </x:c>
      <x:c r="X112" s="214" t="str">
        <x:v>不得以十神名称、数量或单一旺弱证据直接完成定性</x:v>
      </x:c>
      <x:c r="Y112" s="214" t="str">
        <x:v>特殊格局、从化候选及明确组合转M11/M14另审</x:v>
      </x:c>
      <x:c r="Z112" s="214" t="str">
        <x:v>不得直接推出吉凶、具体事件、亲属结果或最终喜忌</x:v>
      </x:c>
      <x:c r="AA112" s="214" t="str">
        <x:v>比劫组合接口</x:v>
      </x:c>
      <x:c r="AB112" s="214" t="str">
        <x:v>比劫与财星形成克制时只生成比劫制财类候选：当“比劫与财星均有效且克制路径成立”成立时，按本规则记录十神的有效功能；同时保留制化、承载和反向证据。</x:v>
      </x:c>
      <x:c r="AC112" s="214" t="str">
        <x:v>较高</x:v>
      </x:c>
      <x:c r="AD112" s="214" t="str">
        <x:v>现代综合</x:v>
      </x:c>
      <x:c r="AE112" s="214" t="str">
        <x:v>十神必须分开判断存在性、力量、清纯度、功能性与喜忌性；M10只形成结构层结论和候选，不越级替代M11—M18。</x:v>
      </x:c>
      <x:c r="AF112" s="214" t="str">
        <x:v>相关条件真实成立，且增强条件有效时，可按“比劫与财星形成克制时只生成比劫制财类候选”记录对应功能。</x:v>
      </x:c>
      <x:c r="AG112" s="214" t="str">
        <x:v>仅见表面十神名称或数量，但“不得以十神名称、数量或单一旺弱证据直接完成定性”所述限制存在时，不得套用本规则。</x:v>
      </x:c>
      <x:c r="AH112" s="214" t="str">
        <x:v>https://zh.wikisource.org/wiki/%E6%B8%8A%E6%B5%B7%E5%AD%90%E5%B9%B3%E5%A4%A7%E5%85%A8 ; https://zh.wikisource.org/wiki/%E6%BB%B4%E5%A4%A9%E9%AB%93%E9%97%A1%E5%BE%AE</x:v>
      </x:c>
      <x:c r="AI112" s="214" t="str">
        <x:v>采用</x:v>
      </x:c>
      <x:c r="AJ112" s="214" t="str">
        <x:v>初审</x:v>
      </x:c>
      <x:c r="AK112" s="217" t="n">
        <x:v>46255</x:v>
      </x:c>
    </x:row>
    <x:row r="113">
      <x:c r="A113" s="214" t="str">
        <x:f>IF(OR(C113="",D113=""),"",B113&amp;"-"&amp;UPPER(C113)&amp;"-"&amp;TEXT(D113,"0000")&amp;"-"&amp;E113)</x:f>
        <x:v>M10-ROLE-0107-V1.0</x:v>
      </x:c>
      <x:c r="B113" s="214" t="str">
        <x:v>M10</x:v>
      </x:c>
      <x:c r="C113" s="214" t="str">
        <x:v>ROLE</x:v>
      </x:c>
      <x:c r="D113" s="216" t="n">
        <x:v>107</x:v>
      </x:c>
      <x:c r="E113" s="214" t="str">
        <x:v>V1.0</x:v>
      </x:c>
      <x:c r="F113" s="214" t="str">
        <x:v>格局功能必须服从M14月令与格神条件</x:v>
      </x:c>
      <x:c r="G113" s="214" t="str">
        <x:v>结构层</x:v>
      </x:c>
      <x:c r="H113" s="214" t="str">
        <x:v>正印</x:v>
      </x:c>
      <x:c r="I113" s="214" t="str">
        <x:v>待定</x:v>
      </x:c>
      <x:c r="J113" s="214" t="str">
        <x:v>待定</x:v>
      </x:c>
      <x:c r="K113" s="214" t="str">
        <x:v>待定</x:v>
      </x:c>
      <x:c r="L113" s="214" t="str">
        <x:v>待定</x:v>
      </x:c>
      <x:c r="M113" s="214" t="str">
        <x:v>按M08核查</x:v>
      </x:c>
      <x:c r="N113" s="214" t="str">
        <x:v>按M06/M08核查</x:v>
      </x:c>
      <x:c r="O113" s="214" t="str">
        <x:v>待定</x:v>
      </x:c>
      <x:c r="P113" s="214" t="str">
        <x:v>仅记录格局功能候选，转M14</x:v>
      </x:c>
      <x:c r="Q113" s="214" t="str">
        <x:v>需结合M09日主承载判断</x:v>
      </x:c>
      <x:c r="R113" s="214" t="str">
        <x:v>待定</x:v>
      </x:c>
      <x:c r="S113" s="214" t="str">
        <x:v>十神在M10功能有效，但是否成为格神尚未核验</x:v>
      </x:c>
      <x:c r="T113" s="214" t="str">
        <x:v>M02十神映射、M08五行有效旺衰、M09日主旺衰已完成</x:v>
      </x:c>
      <x:c r="U113" s="214" t="str">
        <x:v>相关十神已由M02正确映射，并以M08有效力量为准</x:v>
      </x:c>
      <x:c r="V113" s="214" t="str">
        <x:v>得令、有根、透干、同党或生源形成独立有效证据</x:v>
      </x:c>
      <x:c r="W113" s="214" t="str">
        <x:v>失令、无根、被合绊、被制、改性或作用路径受阻</x:v>
      </x:c>
      <x:c r="X113" s="214" t="str">
        <x:v>不得以十神名称、数量或单一旺弱证据直接完成定性</x:v>
      </x:c>
      <x:c r="Y113" s="214" t="str">
        <x:v>特殊格局、从化候选及明确组合转M11/M14另审</x:v>
      </x:c>
      <x:c r="Z113" s="214" t="str">
        <x:v>不得直接推出吉凶、具体事件、亲属结果或最终喜忌</x:v>
      </x:c>
      <x:c r="AA113" s="214" t="str">
        <x:v>格局角色候选</x:v>
      </x:c>
      <x:c r="AB113" s="214" t="str">
        <x:v>格局功能必须服从M14月令与格神条件：当“十神在M10功能有效，但是否成为格神尚未核验”成立时，按本规则记录十神的有效功能；同时保留制化、承载和反向证据。</x:v>
      </x:c>
      <x:c r="AC113" s="214" t="str">
        <x:v>较高</x:v>
      </x:c>
      <x:c r="AD113" s="214" t="str">
        <x:v>现代综合</x:v>
      </x:c>
      <x:c r="AE113" s="214" t="str">
        <x:v>十神必须分开判断存在性、力量、清纯度、功能性与喜忌性；M10只形成结构层结论和候选，不越级替代M11—M18。</x:v>
      </x:c>
      <x:c r="AF113" s="214" t="str">
        <x:v>相关条件真实成立，且增强条件有效时，可按“格局功能必须服从M14月令与格神条件”记录对应功能。</x:v>
      </x:c>
      <x:c r="AG113" s="214" t="str">
        <x:v>仅见表面十神名称或数量，但“不得以十神名称、数量或单一旺弱证据直接完成定性”所述限制存在时，不得套用本规则。</x:v>
      </x:c>
      <x:c r="AH113" s="214" t="str">
        <x:v>https://zh.wikisource.org/wiki/%E6%B8%8A%E6%B5%B7%E5%AD%90%E5%B9%B3%E5%A4%A7%E5%85%A8 ; https://zh.wikisource.org/wiki/%E6%BB%B4%E5%A4%A9%E9%AB%93%E9%97%A1%E5%BE%AE</x:v>
      </x:c>
      <x:c r="AI113" s="214" t="str">
        <x:v>采用</x:v>
      </x:c>
      <x:c r="AJ113" s="214" t="str">
        <x:v>初审</x:v>
      </x:c>
      <x:c r="AK113" s="217" t="n">
        <x:v>46255</x:v>
      </x:c>
    </x:row>
    <x:row r="114">
      <x:c r="A114" s="214" t="str">
        <x:f>IF(OR(C114="",D114=""),"",B114&amp;"-"&amp;UPPER(C114)&amp;"-"&amp;TEXT(D114,"0000")&amp;"-"&amp;E114)</x:f>
        <x:v>M10-ROLE-0108-V1.0</x:v>
      </x:c>
      <x:c r="B114" s="214" t="str">
        <x:v>M10</x:v>
      </x:c>
      <x:c r="C114" s="214" t="str">
        <x:v>ROLE</x:v>
      </x:c>
      <x:c r="D114" s="216" t="n">
        <x:v>108</x:v>
      </x:c>
      <x:c r="E114" s="214" t="str">
        <x:v>V1.0</x:v>
      </x:c>
      <x:c r="F114" s="214" t="str">
        <x:v>十神组合成立与格局成立必须分层</x:v>
      </x:c>
      <x:c r="G114" s="214" t="str">
        <x:v>结构层</x:v>
      </x:c>
      <x:c r="H114" s="214" t="str">
        <x:v>七杀</x:v>
      </x:c>
      <x:c r="I114" s="214" t="str">
        <x:v>待定</x:v>
      </x:c>
      <x:c r="J114" s="214" t="str">
        <x:v>待定</x:v>
      </x:c>
      <x:c r="K114" s="214" t="str">
        <x:v>待定</x:v>
      </x:c>
      <x:c r="L114" s="214" t="str">
        <x:v>待定</x:v>
      </x:c>
      <x:c r="M114" s="214" t="str">
        <x:v>按M08核查</x:v>
      </x:c>
      <x:c r="N114" s="214" t="str">
        <x:v>按M06/M08核查</x:v>
      </x:c>
      <x:c r="O114" s="214" t="str">
        <x:v>待定</x:v>
      </x:c>
      <x:c r="P114" s="214" t="str">
        <x:v>组合成立后仍需M14/M15判断是否上升为格局及是否破格</x:v>
      </x:c>
      <x:c r="Q114" s="214" t="str">
        <x:v>需结合M09日主承载判断</x:v>
      </x:c>
      <x:c r="R114" s="214" t="str">
        <x:v>待定</x:v>
      </x:c>
      <x:c r="S114" s="214" t="str">
        <x:v>M11可能确认某局部组合成立</x:v>
      </x:c>
      <x:c r="T114" s="214" t="str">
        <x:v>M02十神映射、M08五行有效旺衰、M09日主旺衰已完成</x:v>
      </x:c>
      <x:c r="U114" s="214" t="str">
        <x:v>相关十神已由M02正确映射，并以M08有效力量为准</x:v>
      </x:c>
      <x:c r="V114" s="214" t="str">
        <x:v>得令、有根、透干、同党或生源形成独立有效证据</x:v>
      </x:c>
      <x:c r="W114" s="214" t="str">
        <x:v>失令、无根、被合绊、被制、改性或作用路径受阻</x:v>
      </x:c>
      <x:c r="X114" s="214" t="str">
        <x:v>不得以十神名称、数量或单一旺弱证据直接完成定性</x:v>
      </x:c>
      <x:c r="Y114" s="214" t="str">
        <x:v>特殊格局、从化候选及明确组合转M11/M14另审</x:v>
      </x:c>
      <x:c r="Z114" s="214" t="str">
        <x:v>不得直接推出吉凶、具体事件、亲属结果或最终喜忌</x:v>
      </x:c>
      <x:c r="AA114" s="214" t="str">
        <x:v>组合格局分离</x:v>
      </x:c>
      <x:c r="AB114" s="214" t="str">
        <x:v>十神组合成立与格局成立必须分层：当“M11可能确认某局部组合成立”成立时，按本规则记录十神的有效功能；同时保留制化、承载和反向证据。</x:v>
      </x:c>
      <x:c r="AC114" s="214" t="str">
        <x:v>较高</x:v>
      </x:c>
      <x:c r="AD114" s="214" t="str">
        <x:v>现代综合</x:v>
      </x:c>
      <x:c r="AE114" s="214" t="str">
        <x:v>十神必须分开判断存在性、力量、清纯度、功能性与喜忌性；M10只形成结构层结论和候选，不越级替代M11—M18。</x:v>
      </x:c>
      <x:c r="AF114" s="214" t="str">
        <x:v>相关条件真实成立，且增强条件有效时，可按“十神组合成立与格局成立必须分层”记录对应功能。</x:v>
      </x:c>
      <x:c r="AG114" s="214" t="str">
        <x:v>仅见表面十神名称或数量，但“不得以十神名称、数量或单一旺弱证据直接完成定性”所述限制存在时，不得套用本规则。</x:v>
      </x:c>
      <x:c r="AH114" s="214" t="str">
        <x:v>https://zh.wikisource.org/wiki/%E6%B8%8A%E6%B5%B7%E5%AD%90%E5%B9%B3%E5%A4%A7%E5%85%A8 ; https://zh.wikisource.org/wiki/%E6%BB%B4%E5%A4%A9%E9%AB%93%E9%97%A1%E5%BE%AE</x:v>
      </x:c>
      <x:c r="AI114" s="214" t="str">
        <x:v>采用</x:v>
      </x:c>
      <x:c r="AJ114" s="214" t="str">
        <x:v>初审</x:v>
      </x:c>
      <x:c r="AK114" s="217" t="n">
        <x:v>46255</x:v>
      </x:c>
    </x:row>
    <x:row r="115">
      <x:c r="A115" s="214" t="str">
        <x:f>IF(OR(C115="",D115=""),"",B115&amp;"-"&amp;UPPER(C115)&amp;"-"&amp;TEXT(D115,"0000")&amp;"-"&amp;E115)</x:f>
        <x:v>M10-XIJI-0109-V1.0</x:v>
      </x:c>
      <x:c r="B115" s="214" t="str">
        <x:v>M10</x:v>
      </x:c>
      <x:c r="C115" s="214" t="str">
        <x:v>XIJI</x:v>
      </x:c>
      <x:c r="D115" s="216" t="n">
        <x:v>109</x:v>
      </x:c>
      <x:c r="E115" s="214" t="str">
        <x:v>V1.0</x:v>
      </x:c>
      <x:c r="F115" s="214" t="str">
        <x:v>十神补足日主核心承载缺口时可列条件性喜神</x:v>
      </x:c>
      <x:c r="G115" s="214" t="str">
        <x:v>结构层</x:v>
      </x:c>
      <x:c r="H115" s="214" t="str">
        <x:v>比肩</x:v>
      </x:c>
      <x:c r="I115" s="214" t="str">
        <x:v>待定</x:v>
      </x:c>
      <x:c r="J115" s="214" t="str">
        <x:v>待定</x:v>
      </x:c>
      <x:c r="K115" s="214" t="str">
        <x:v>待定</x:v>
      </x:c>
      <x:c r="L115" s="214" t="str">
        <x:v>待定</x:v>
      </x:c>
      <x:c r="M115" s="214" t="str">
        <x:v>按M08核查</x:v>
      </x:c>
      <x:c r="N115" s="214" t="str">
        <x:v>按M06/M08核查</x:v>
      </x:c>
      <x:c r="O115" s="214" t="str">
        <x:v>待定</x:v>
      </x:c>
      <x:c r="P115" s="214" t="str">
        <x:v>转M11/M14判断</x:v>
      </x:c>
      <x:c r="Q115" s="214" t="str">
        <x:v>需结合M09日主承载判断</x:v>
      </x:c>
      <x:c r="R115" s="214" t="str">
        <x:v>条件性喜神</x:v>
      </x:c>
      <x:c r="S115" s="214" t="str">
        <x:v>M09偏弱，且比肩确能解决承载不足、无重大副作用</x:v>
      </x:c>
      <x:c r="T115" s="214" t="str">
        <x:v>M02十神映射、M08五行有效旺衰、M09日主旺衰已完成</x:v>
      </x:c>
      <x:c r="U115" s="214" t="str">
        <x:v>相关十神已由M02正确映射，并以M08有效力量为准</x:v>
      </x:c>
      <x:c r="V115" s="214" t="str">
        <x:v>得令、有根、透干、同党或生源形成独立有效证据</x:v>
      </x:c>
      <x:c r="W115" s="214" t="str">
        <x:v>失令、无根、被合绊、被制、改性或作用路径受阻</x:v>
      </x:c>
      <x:c r="X115" s="214" t="str">
        <x:v>不得以十神名称、数量或单一旺弱证据直接完成定性</x:v>
      </x:c>
      <x:c r="Y115" s="214" t="str">
        <x:v>特殊格局、从化候选及明确组合转M11/M14另审</x:v>
      </x:c>
      <x:c r="Z115" s="214" t="str">
        <x:v>不得直接推出吉凶、具体事件、亲属结果或最终喜忌</x:v>
      </x:c>
      <x:c r="AA115" s="214" t="str">
        <x:v>补身喜神候选</x:v>
      </x:c>
      <x:c r="AB115" s="214" t="str">
        <x:v>十神补足日主核心承载缺口时可列条件性喜神：当“M09偏弱，且比肩确能解决承载不足、无重大副作用”成立时，按本规则记录十神的有效功能；同时保留制化、承载和反向证据。</x:v>
      </x:c>
      <x:c r="AC115" s="214" t="str">
        <x:v>较高</x:v>
      </x:c>
      <x:c r="AD115" s="214" t="str">
        <x:v>现代综合</x:v>
      </x:c>
      <x:c r="AE115" s="214" t="str">
        <x:v>十神必须分开判断存在性、力量、清纯度、功能性与喜忌性；M10只形成结构层结论和候选，不越级替代M11—M18。</x:v>
      </x:c>
      <x:c r="AF115" s="214" t="str">
        <x:v>相关条件真实成立，且增强条件有效时，可按“十神补足日主核心承载缺口时可列条件性喜神”记录对应功能。</x:v>
      </x:c>
      <x:c r="AG115" s="214" t="str">
        <x:v>仅见表面十神名称或数量，但“不得以十神名称、数量或单一旺弱证据直接完成定性”所述限制存在时，不得套用本规则。</x:v>
      </x:c>
      <x:c r="AH115" s="214" t="str">
        <x:v>https://zh.wikisource.org/wiki/%E6%B8%8A%E6%B5%B7%E5%AD%90%E5%B9%B3%E5%A4%A7%E5%85%A8 ; https://zh.wikisource.org/wiki/%E6%BB%B4%E5%A4%A9%E9%AB%93%E9%97%A1%E5%BE%AE</x:v>
      </x:c>
      <x:c r="AI115" s="214" t="str">
        <x:v>采用</x:v>
      </x:c>
      <x:c r="AJ115" s="214" t="str">
        <x:v>初审</x:v>
      </x:c>
      <x:c r="AK115" s="217" t="n">
        <x:v>46255</x:v>
      </x:c>
    </x:row>
    <x:row r="116">
      <x:c r="A116" s="214" t="str">
        <x:f>IF(OR(C116="",D116=""),"",B116&amp;"-"&amp;UPPER(C116)&amp;"-"&amp;TEXT(D116,"0000")&amp;"-"&amp;E116)</x:f>
        <x:v>M10-XIJI-0110-V1.0</x:v>
      </x:c>
      <x:c r="B116" s="214" t="str">
        <x:v>M10</x:v>
      </x:c>
      <x:c r="C116" s="214" t="str">
        <x:v>XIJI</x:v>
      </x:c>
      <x:c r="D116" s="216" t="n">
        <x:v>110</x:v>
      </x:c>
      <x:c r="E116" s="214" t="str">
        <x:v>V1.0</x:v>
      </x:c>
      <x:c r="F116" s="214" t="str">
        <x:v>十神能泄过强日主且不破坏关键结构时可列条件性喜神</x:v>
      </x:c>
      <x:c r="G116" s="214" t="str">
        <x:v>结构层</x:v>
      </x:c>
      <x:c r="H116" s="214" t="str">
        <x:v>食神</x:v>
      </x:c>
      <x:c r="I116" s="214" t="str">
        <x:v>待定</x:v>
      </x:c>
      <x:c r="J116" s="214" t="str">
        <x:v>待定</x:v>
      </x:c>
      <x:c r="K116" s="214" t="str">
        <x:v>待定</x:v>
      </x:c>
      <x:c r="L116" s="214" t="str">
        <x:v>待定</x:v>
      </x:c>
      <x:c r="M116" s="214" t="str">
        <x:v>按M08核查</x:v>
      </x:c>
      <x:c r="N116" s="214" t="str">
        <x:v>按M06/M08核查</x:v>
      </x:c>
      <x:c r="O116" s="214" t="str">
        <x:v>待定</x:v>
      </x:c>
      <x:c r="P116" s="214" t="str">
        <x:v>转M11/M14判断</x:v>
      </x:c>
      <x:c r="Q116" s="214" t="str">
        <x:v>需结合M09日主承载判断</x:v>
      </x:c>
      <x:c r="R116" s="214" t="str">
        <x:v>条件性喜神</x:v>
      </x:c>
      <x:c r="S116" s="214" t="str">
        <x:v>M09偏旺或旺，食神泄身有效且不损害主要格局</x:v>
      </x:c>
      <x:c r="T116" s="214" t="str">
        <x:v>M02十神映射、M08五行有效旺衰、M09日主旺衰已完成</x:v>
      </x:c>
      <x:c r="U116" s="214" t="str">
        <x:v>相关十神已由M02正确映射，并以M08有效力量为准</x:v>
      </x:c>
      <x:c r="V116" s="214" t="str">
        <x:v>得令、有根、透干、同党或生源形成独立有效证据</x:v>
      </x:c>
      <x:c r="W116" s="214" t="str">
        <x:v>失令、无根、被合绊、被制、改性或作用路径受阻</x:v>
      </x:c>
      <x:c r="X116" s="214" t="str">
        <x:v>不得以十神名称、数量或单一旺弱证据直接完成定性</x:v>
      </x:c>
      <x:c r="Y116" s="214" t="str">
        <x:v>特殊格局、从化候选及明确组合转M11/M14另审</x:v>
      </x:c>
      <x:c r="Z116" s="214" t="str">
        <x:v>不得直接推出吉凶、具体事件、亲属结果或最终喜忌</x:v>
      </x:c>
      <x:c r="AA116" s="214" t="str">
        <x:v>泄身喜神候选</x:v>
      </x:c>
      <x:c r="AB116" s="214" t="str">
        <x:v>十神能泄过强日主且不破坏关键结构时可列条件性喜神：当“M09偏旺或旺，食神泄身有效且不损害主要格局”成立时，按本规则记录十神的有效功能；同时保留制化、承载和反向证据。</x:v>
      </x:c>
      <x:c r="AC116" s="214" t="str">
        <x:v>较高</x:v>
      </x:c>
      <x:c r="AD116" s="214" t="str">
        <x:v>现代综合</x:v>
      </x:c>
      <x:c r="AE116" s="214" t="str">
        <x:v>十神必须分开判断存在性、力量、清纯度、功能性与喜忌性；M10只形成结构层结论和候选，不越级替代M11—M18。</x:v>
      </x:c>
      <x:c r="AF116" s="214" t="str">
        <x:v>相关条件真实成立，且增强条件有效时，可按“十神能泄过强日主且不破坏关键结构时可列条件性喜神”记录对应功能。</x:v>
      </x:c>
      <x:c r="AG116" s="214" t="str">
        <x:v>仅见表面十神名称或数量，但“不得以十神名称、数量或单一旺弱证据直接完成定性”所述限制存在时，不得套用本规则。</x:v>
      </x:c>
      <x:c r="AH116" s="214" t="str">
        <x:v>https://zh.wikisource.org/wiki/%E6%B8%8A%E6%B5%B7%E5%AD%90%E5%B9%B3%E5%A4%A7%E5%85%A8 ; https://zh.wikisource.org/wiki/%E6%BB%B4%E5%A4%A9%E9%AB%93%E9%97%A1%E5%BE%AE</x:v>
      </x:c>
      <x:c r="AI116" s="214" t="str">
        <x:v>采用</x:v>
      </x:c>
      <x:c r="AJ116" s="214" t="str">
        <x:v>初审</x:v>
      </x:c>
      <x:c r="AK116" s="217" t="n">
        <x:v>46255</x:v>
      </x:c>
    </x:row>
    <x:row r="117">
      <x:c r="A117" s="214" t="str">
        <x:f>IF(OR(C117="",D117=""),"",B117&amp;"-"&amp;UPPER(C117)&amp;"-"&amp;TEXT(D117,"0000")&amp;"-"&amp;E117)</x:f>
        <x:v>M10-XIJI-0111-V1.0</x:v>
      </x:c>
      <x:c r="B117" s="214" t="str">
        <x:v>M10</x:v>
      </x:c>
      <x:c r="C117" s="214" t="str">
        <x:v>XIJI</x:v>
      </x:c>
      <x:c r="D117" s="216" t="n">
        <x:v>111</x:v>
      </x:c>
      <x:c r="E117" s="214" t="str">
        <x:v>V1.0</x:v>
      </x:c>
      <x:c r="F117" s="214" t="str">
        <x:v>官杀超出日主承载且无制化时可列条件性忌神</x:v>
      </x:c>
      <x:c r="G117" s="214" t="str">
        <x:v>结构层</x:v>
      </x:c>
      <x:c r="H117" s="214" t="str">
        <x:v>七杀</x:v>
      </x:c>
      <x:c r="I117" s="214" t="str">
        <x:v>待定</x:v>
      </x:c>
      <x:c r="J117" s="214" t="str">
        <x:v>待定</x:v>
      </x:c>
      <x:c r="K117" s="214" t="str">
        <x:v>待定</x:v>
      </x:c>
      <x:c r="L117" s="214" t="str">
        <x:v>待定</x:v>
      </x:c>
      <x:c r="M117" s="214" t="str">
        <x:v>按M08核查</x:v>
      </x:c>
      <x:c r="N117" s="214" t="str">
        <x:v>按M06/M08核查</x:v>
      </x:c>
      <x:c r="O117" s="214" t="str">
        <x:v>待定</x:v>
      </x:c>
      <x:c r="P117" s="214" t="str">
        <x:v>转M11/M14判断</x:v>
      </x:c>
      <x:c r="Q117" s="214" t="str">
        <x:v>需结合M09日主承载判断</x:v>
      </x:c>
      <x:c r="R117" s="214" t="str">
        <x:v>条件性忌神</x:v>
      </x:c>
      <x:c r="S117" s="214" t="str">
        <x:v>官杀有效过强，日主承载不足且无稳定制化</x:v>
      </x:c>
      <x:c r="T117" s="214" t="str">
        <x:v>M02十神映射、M08五行有效旺衰、M09日主旺衰已完成</x:v>
      </x:c>
      <x:c r="U117" s="214" t="str">
        <x:v>相关十神已由M02正确映射，并以M08有效力量为准</x:v>
      </x:c>
      <x:c r="V117" s="214" t="str">
        <x:v>得令、有根、透干、同党或生源形成独立有效证据</x:v>
      </x:c>
      <x:c r="W117" s="214" t="str">
        <x:v>失令、无根、被合绊、被制、改性或作用路径受阻</x:v>
      </x:c>
      <x:c r="X117" s="214" t="str">
        <x:v>不得以十神名称、数量或单一旺弱证据直接完成定性</x:v>
      </x:c>
      <x:c r="Y117" s="214" t="str">
        <x:v>特殊格局、从化候选及明确组合转M11/M14另审</x:v>
      </x:c>
      <x:c r="Z117" s="214" t="str">
        <x:v>不得直接推出吉凶、具体事件、亲属结果或最终喜忌</x:v>
      </x:c>
      <x:c r="AA117" s="214" t="str">
        <x:v>官杀忌神候选</x:v>
      </x:c>
      <x:c r="AB117" s="214" t="str">
        <x:v>官杀超出日主承载且无制化时可列条件性忌神：当“官杀有效过强，日主承载不足且无稳定制化”成立时，按本规则记录十神的有效功能；同时保留制化、承载和反向证据。</x:v>
      </x:c>
      <x:c r="AC117" s="214" t="str">
        <x:v>较高</x:v>
      </x:c>
      <x:c r="AD117" s="214" t="str">
        <x:v>现代综合</x:v>
      </x:c>
      <x:c r="AE117" s="214" t="str">
        <x:v>十神必须分开判断存在性、力量、清纯度、功能性与喜忌性；M10只形成结构层结论和候选，不越级替代M11—M18。</x:v>
      </x:c>
      <x:c r="AF117" s="214" t="str">
        <x:v>相关条件真实成立，且增强条件有效时，可按“官杀超出日主承载且无制化时可列条件性忌神”记录对应功能。</x:v>
      </x:c>
      <x:c r="AG117" s="214" t="str">
        <x:v>仅见表面十神名称或数量，但“不得以十神名称、数量或单一旺弱证据直接完成定性”所述限制存在时，不得套用本规则。</x:v>
      </x:c>
      <x:c r="AH117" s="214" t="str">
        <x:v>https://zh.wikisource.org/wiki/%E6%B8%8A%E6%B5%B7%E5%AD%90%E5%B9%B3%E5%A4%A7%E5%85%A8 ; https://zh.wikisource.org/wiki/%E6%BB%B4%E5%A4%A9%E9%AB%93%E9%97%A1%E5%BE%AE</x:v>
      </x:c>
      <x:c r="AI117" s="214" t="str">
        <x:v>采用</x:v>
      </x:c>
      <x:c r="AJ117" s="214" t="str">
        <x:v>初审</x:v>
      </x:c>
      <x:c r="AK117" s="217" t="n">
        <x:v>46255</x:v>
      </x:c>
    </x:row>
    <x:row r="118">
      <x:c r="A118" s="214" t="str">
        <x:f>IF(OR(C118="",D118=""),"",B118&amp;"-"&amp;UPPER(C118)&amp;"-"&amp;TEXT(D118,"0000")&amp;"-"&amp;E118)</x:f>
        <x:v>M10-XIJI-0112-V1.0</x:v>
      </x:c>
      <x:c r="B118" s="214" t="str">
        <x:v>M10</x:v>
      </x:c>
      <x:c r="C118" s="214" t="str">
        <x:v>XIJI</x:v>
      </x:c>
      <x:c r="D118" s="216" t="n">
        <x:v>112</x:v>
      </x:c>
      <x:c r="E118" s="214" t="str">
        <x:v>V1.0</x:v>
      </x:c>
      <x:c r="F118" s="214" t="str">
        <x:v>印星加重身势并破坏关键食伤功能时可列条件性忌神</x:v>
      </x:c>
      <x:c r="G118" s="214" t="str">
        <x:v>结构层</x:v>
      </x:c>
      <x:c r="H118" s="214" t="str">
        <x:v>偏印</x:v>
      </x:c>
      <x:c r="I118" s="214" t="str">
        <x:v>待定</x:v>
      </x:c>
      <x:c r="J118" s="214" t="str">
        <x:v>待定</x:v>
      </x:c>
      <x:c r="K118" s="214" t="str">
        <x:v>待定</x:v>
      </x:c>
      <x:c r="L118" s="214" t="str">
        <x:v>待定</x:v>
      </x:c>
      <x:c r="M118" s="214" t="str">
        <x:v>按M08核查</x:v>
      </x:c>
      <x:c r="N118" s="214" t="str">
        <x:v>按M06/M08核查</x:v>
      </x:c>
      <x:c r="O118" s="214" t="str">
        <x:v>待定</x:v>
      </x:c>
      <x:c r="P118" s="214" t="str">
        <x:v>转M11/M14判断</x:v>
      </x:c>
      <x:c r="Q118" s="214" t="str">
        <x:v>需结合M09日主承载判断</x:v>
      </x:c>
      <x:c r="R118" s="214" t="str">
        <x:v>条件性忌神</x:v>
      </x:c>
      <x:c r="S118" s="214" t="str">
        <x:v>日主已旺，偏印又强且实质制约关键食伤</x:v>
      </x:c>
      <x:c r="T118" s="214" t="str">
        <x:v>M02十神映射、M08五行有效旺衰、M09日主旺衰已完成</x:v>
      </x:c>
      <x:c r="U118" s="214" t="str">
        <x:v>相关十神已由M02正确映射，并以M08有效力量为准</x:v>
      </x:c>
      <x:c r="V118" s="214" t="str">
        <x:v>得令、有根、透干、同党或生源形成独立有效证据</x:v>
      </x:c>
      <x:c r="W118" s="214" t="str">
        <x:v>失令、无根、被合绊、被制、改性或作用路径受阻</x:v>
      </x:c>
      <x:c r="X118" s="214" t="str">
        <x:v>不得以十神名称、数量或单一旺弱证据直接完成定性</x:v>
      </x:c>
      <x:c r="Y118" s="214" t="str">
        <x:v>特殊格局、从化候选及明确组合转M11/M14另审</x:v>
      </x:c>
      <x:c r="Z118" s="214" t="str">
        <x:v>不得直接推出吉凶、具体事件、亲属结果或最终喜忌</x:v>
      </x:c>
      <x:c r="AA118" s="214" t="str">
        <x:v>印星忌神候选</x:v>
      </x:c>
      <x:c r="AB118" s="214" t="str">
        <x:v>印星加重身势并破坏关键食伤功能时可列条件性忌神：当“日主已旺，偏印又强且实质制约关键食伤”成立时，按本规则记录十神的有效功能；同时保留制化、承载和反向证据。</x:v>
      </x:c>
      <x:c r="AC118" s="214" t="str">
        <x:v>较高</x:v>
      </x:c>
      <x:c r="AD118" s="214" t="str">
        <x:v>现代综合</x:v>
      </x:c>
      <x:c r="AE118" s="214" t="str">
        <x:v>十神必须分开判断存在性、力量、清纯度、功能性与喜忌性；M10只形成结构层结论和候选，不越级替代M11—M18。</x:v>
      </x:c>
      <x:c r="AF118" s="214" t="str">
        <x:v>相关条件真实成立，且增强条件有效时，可按“印星加重身势并破坏关键食伤功能时可列条件性忌神”记录对应功能。</x:v>
      </x:c>
      <x:c r="AG118" s="214" t="str">
        <x:v>仅见表面十神名称或数量，但“不得以十神名称、数量或单一旺弱证据直接完成定性”所述限制存在时，不得套用本规则。</x:v>
      </x:c>
      <x:c r="AH118" s="214" t="str">
        <x:v>https://zh.wikisource.org/wiki/%E6%B8%8A%E6%B5%B7%E5%AD%90%E5%B9%B3%E5%A4%A7%E5%85%A8 ; https://zh.wikisource.org/wiki/%E6%BB%B4%E5%A4%A9%E9%AB%93%E9%97%A1%E5%BE%AE</x:v>
      </x:c>
      <x:c r="AI118" s="214" t="str">
        <x:v>采用</x:v>
      </x:c>
      <x:c r="AJ118" s="214" t="str">
        <x:v>初审</x:v>
      </x:c>
      <x:c r="AK118" s="217" t="n">
        <x:v>46255</x:v>
      </x:c>
    </x:row>
    <x:row r="119">
      <x:c r="A119" s="214" t="str">
        <x:f>IF(OR(C119="",D119=""),"",B119&amp;"-"&amp;UPPER(C119)&amp;"-"&amp;TEXT(D119,"0000")&amp;"-"&amp;E119)</x:f>
        <x:v>M10-XIJI-0113-V1.0</x:v>
      </x:c>
      <x:c r="B119" s="214" t="str">
        <x:v>M10</x:v>
      </x:c>
      <x:c r="C119" s="214" t="str">
        <x:v>XIJI</x:v>
      </x:c>
      <x:c r="D119" s="216" t="n">
        <x:v>113</x:v>
      </x:c>
      <x:c r="E119" s="214" t="str">
        <x:v>V1.0</x:v>
      </x:c>
      <x:c r="F119" s="214" t="str">
        <x:v>十神既有收益又有明显结构副作用时保持待定</x:v>
      </x:c>
      <x:c r="G119" s="214" t="str">
        <x:v>结构层</x:v>
      </x:c>
      <x:c r="H119" s="214" t="str">
        <x:v>正财</x:v>
      </x:c>
      <x:c r="I119" s="214" t="str">
        <x:v>待定</x:v>
      </x:c>
      <x:c r="J119" s="214" t="str">
        <x:v>待定</x:v>
      </x:c>
      <x:c r="K119" s="214" t="str">
        <x:v>待定</x:v>
      </x:c>
      <x:c r="L119" s="214" t="str">
        <x:v>待定</x:v>
      </x:c>
      <x:c r="M119" s="214" t="str">
        <x:v>按M08核查</x:v>
      </x:c>
      <x:c r="N119" s="214" t="str">
        <x:v>按M06/M08核查</x:v>
      </x:c>
      <x:c r="O119" s="214" t="str">
        <x:v>待定</x:v>
      </x:c>
      <x:c r="P119" s="214" t="str">
        <x:v>转M11/M14判断</x:v>
      </x:c>
      <x:c r="Q119" s="214" t="str">
        <x:v>需结合M09日主承载判断</x:v>
      </x:c>
      <x:c r="R119" s="214" t="str">
        <x:v>待定</x:v>
      </x:c>
      <x:c r="S119" s="214" t="str">
        <x:v>财星既可耗旺身，又会强生忌官或破关键印</x:v>
      </x:c>
      <x:c r="T119" s="214" t="str">
        <x:v>M02十神映射、M08五行有效旺衰、M09日主旺衰已完成</x:v>
      </x:c>
      <x:c r="U119" s="214" t="str">
        <x:v>相关十神已由M02正确映射，并以M08有效力量为准</x:v>
      </x:c>
      <x:c r="V119" s="214" t="str">
        <x:v>得令、有根、透干、同党或生源形成独立有效证据</x:v>
      </x:c>
      <x:c r="W119" s="214" t="str">
        <x:v>失令、无根、被合绊、被制、改性或作用路径受阻</x:v>
      </x:c>
      <x:c r="X119" s="214" t="str">
        <x:v>不得以十神名称、数量或单一旺弱证据直接完成定性</x:v>
      </x:c>
      <x:c r="Y119" s="214" t="str">
        <x:v>特殊格局、从化候选及明确组合转M11/M14另审</x:v>
      </x:c>
      <x:c r="Z119" s="214" t="str">
        <x:v>不得直接推出吉凶、具体事件、亲属结果或最终喜忌</x:v>
      </x:c>
      <x:c r="AA119" s="214" t="str">
        <x:v>喜忌冲突待裁决</x:v>
      </x:c>
      <x:c r="AB119" s="214" t="str">
        <x:v>十神既有收益又有明显结构副作用时保持待定：当“财星既可耗旺身，又会强生忌官或破关键印”成立时，按本规则记录十神的有效功能；同时保留制化、承载和反向证据。</x:v>
      </x:c>
      <x:c r="AC119" s="214" t="str">
        <x:v>较高</x:v>
      </x:c>
      <x:c r="AD119" s="214" t="str">
        <x:v>现代综合</x:v>
      </x:c>
      <x:c r="AE119" s="214" t="str">
        <x:v>十神必须分开判断存在性、力量、清纯度、功能性与喜忌性；M10只形成结构层结论和候选，不越级替代M11—M18。</x:v>
      </x:c>
      <x:c r="AF119" s="214" t="str">
        <x:v>相关条件真实成立，且增强条件有效时，可按“十神既有收益又有明显结构副作用时保持待定”记录对应功能。</x:v>
      </x:c>
      <x:c r="AG119" s="214" t="str">
        <x:v>仅见表面十神名称或数量，但“不得以十神名称、数量或单一旺弱证据直接完成定性”所述限制存在时，不得套用本规则。</x:v>
      </x:c>
      <x:c r="AH119" s="214" t="str">
        <x:v>https://zh.wikisource.org/wiki/%E6%B8%8A%E6%B5%B7%E5%AD%90%E5%B9%B3%E5%A4%A7%E5%85%A8 ; https://zh.wikisource.org/wiki/%E6%BB%B4%E5%A4%A9%E9%AB%93%E9%97%A1%E5%BE%AE</x:v>
      </x:c>
      <x:c r="AI119" s="214" t="str">
        <x:v>采用</x:v>
      </x:c>
      <x:c r="AJ119" s="214" t="str">
        <x:v>初审</x:v>
      </x:c>
      <x:c r="AK119" s="217" t="n">
        <x:v>46255</x:v>
      </x:c>
    </x:row>
    <x:row r="120">
      <x:c r="A120" s="214" t="str">
        <x:f>IF(OR(C120="",D120=""),"",B120&amp;"-"&amp;UPPER(C120)&amp;"-"&amp;TEXT(D120,"0000")&amp;"-"&amp;E120)</x:f>
        <x:v>M10-XIJI-0114-V1.0</x:v>
      </x:c>
      <x:c r="B120" s="214" t="str">
        <x:v>M10</x:v>
      </x:c>
      <x:c r="C120" s="214" t="str">
        <x:v>XIJI</x:v>
      </x:c>
      <x:c r="D120" s="216" t="n">
        <x:v>114</x:v>
      </x:c>
      <x:c r="E120" s="214" t="str">
        <x:v>V1.0</x:v>
      </x:c>
      <x:c r="F120" s="214" t="str">
        <x:v>M10喜忌字段只允许候选不得输出主用神终局</x:v>
      </x:c>
      <x:c r="G120" s="214" t="str">
        <x:v>结构层</x:v>
      </x:c>
      <x:c r="H120" s="214" t="str">
        <x:v>正官</x:v>
      </x:c>
      <x:c r="I120" s="214" t="str">
        <x:v>待定</x:v>
      </x:c>
      <x:c r="J120" s="214" t="str">
        <x:v>待定</x:v>
      </x:c>
      <x:c r="K120" s="214" t="str">
        <x:v>待定</x:v>
      </x:c>
      <x:c r="L120" s="214" t="str">
        <x:v>待定</x:v>
      </x:c>
      <x:c r="M120" s="214" t="str">
        <x:v>按M08核查</x:v>
      </x:c>
      <x:c r="N120" s="214" t="str">
        <x:v>按M06/M08核查</x:v>
      </x:c>
      <x:c r="O120" s="214" t="str">
        <x:v>待定</x:v>
      </x:c>
      <x:c r="P120" s="214" t="str">
        <x:v>转M11/M14判断</x:v>
      </x:c>
      <x:c r="Q120" s="214" t="str">
        <x:v>需结合M09日主承载判断</x:v>
      </x:c>
      <x:c r="R120" s="214" t="str">
        <x:v>待定</x:v>
      </x:c>
      <x:c r="S120" s="214" t="str">
        <x:v>十神功能和局部价值已判断</x:v>
      </x:c>
      <x:c r="T120" s="214" t="str">
        <x:v>M02十神映射、M08五行有效旺衰、M09日主旺衰已完成</x:v>
      </x:c>
      <x:c r="U120" s="214" t="str">
        <x:v>相关十神已由M02正确映射，并以M08有效力量为准</x:v>
      </x:c>
      <x:c r="V120" s="214" t="str">
        <x:v>得令、有根、透干、同党或生源形成独立有效证据</x:v>
      </x:c>
      <x:c r="W120" s="214" t="str">
        <x:v>失令、无根、被合绊、被制、改性或作用路径受阻</x:v>
      </x:c>
      <x:c r="X120" s="214" t="str">
        <x:v>不得以十神名称、数量或单一旺弱证据直接完成定性</x:v>
      </x:c>
      <x:c r="Y120" s="214" t="str">
        <x:v>特殊格局、从化候选及明确组合转M11/M14另审</x:v>
      </x:c>
      <x:c r="Z120" s="214" t="str">
        <x:v>不得在M10直接确定主用神、辅助用神、仇神或最终喜忌排序</x:v>
      </x:c>
      <x:c r="AA120" s="214" t="str">
        <x:v>喜忌候选边界</x:v>
      </x:c>
      <x:c r="AB120" s="214" t="str">
        <x:v>M10喜忌字段只允许候选不得输出主用神终局：当“十神功能和局部价值已判断”成立时，按本规则记录十神的有效功能；同时保留制化、承载和反向证据。</x:v>
      </x:c>
      <x:c r="AC120" s="214" t="str">
        <x:v>较高</x:v>
      </x:c>
      <x:c r="AD120" s="214" t="str">
        <x:v>现代综合</x:v>
      </x:c>
      <x:c r="AE120" s="214" t="str">
        <x:v>十神必须分开判断存在性、力量、清纯度、功能性与喜忌性；M10只形成结构层结论和候选，不越级替代M11—M18。</x:v>
      </x:c>
      <x:c r="AF120" s="214" t="str">
        <x:v>相关条件真实成立，且增强条件有效时，可按“M10喜忌字段只允许候选不得输出主用神终局”记录对应功能。</x:v>
      </x:c>
      <x:c r="AG120" s="214" t="str">
        <x:v>仅见表面十神名称或数量，但“不得以十神名称、数量或单一旺弱证据直接完成定性”所述限制存在时，不得套用本规则。</x:v>
      </x:c>
      <x:c r="AH120" s="214" t="str">
        <x:v>https://zh.wikisource.org/wiki/%E6%B8%8A%E6%B5%B7%E5%AD%90%E5%B9%B3%E5%A4%A7%E5%85%A8 ; https://zh.wikisource.org/wiki/%E6%BB%B4%E5%A4%A9%E9%AB%93%E9%97%A1%E5%BE%AE</x:v>
      </x:c>
      <x:c r="AI120" s="214" t="str">
        <x:v>采用</x:v>
      </x:c>
      <x:c r="AJ120" s="214" t="str">
        <x:v>初审</x:v>
      </x:c>
      <x:c r="AK120" s="217" t="n">
        <x:v>46255</x:v>
      </x:c>
    </x:row>
    <x:row r="121">
      <x:c r="A121" s="214" t="str">
        <x:f>IF(OR(C121="",D121=""),"",B121&amp;"-"&amp;UPPER(C121)&amp;"-"&amp;TEXT(D121,"0000")&amp;"-"&amp;E121)</x:f>
        <x:v>M10-BOUND-0115-V1.0</x:v>
      </x:c>
      <x:c r="B121" s="214" t="str">
        <x:v>M10</x:v>
      </x:c>
      <x:c r="C121" s="214" t="str">
        <x:v>BOUND</x:v>
      </x:c>
      <x:c r="D121" s="216" t="n">
        <x:v>115</x:v>
      </x:c>
      <x:c r="E121" s="214" t="str">
        <x:v>V1.0</x:v>
      </x:c>
      <x:c r="F121" s="214" t="str">
        <x:v>十神名称不得直接等同现实人物或事件</x:v>
      </x:c>
      <x:c r="G121" s="214" t="str">
        <x:v>结构层</x:v>
      </x:c>
      <x:c r="H121" s="214" t="str">
        <x:v>正财</x:v>
      </x:c>
      <x:c r="I121" s="214" t="str">
        <x:v>待定</x:v>
      </x:c>
      <x:c r="J121" s="214" t="str">
        <x:v>待定</x:v>
      </x:c>
      <x:c r="K121" s="214" t="str">
        <x:v>待定</x:v>
      </x:c>
      <x:c r="L121" s="214" t="str">
        <x:v>待定</x:v>
      </x:c>
      <x:c r="M121" s="214" t="str">
        <x:v>按M08核查</x:v>
      </x:c>
      <x:c r="N121" s="214" t="str">
        <x:v>按M06/M08核查</x:v>
      </x:c>
      <x:c r="O121" s="214" t="str">
        <x:v>待定</x:v>
      </x:c>
      <x:c r="P121" s="214" t="str">
        <x:v>转M11/M14判断</x:v>
      </x:c>
      <x:c r="Q121" s="214" t="str">
        <x:v>需结合M09日主承载判断</x:v>
      </x:c>
      <x:c r="R121" s="214" t="str">
        <x:v>待定</x:v>
      </x:c>
      <x:c r="S121" s="214" t="str">
        <x:v>任何十神完成存在与功能判断后</x:v>
      </x:c>
      <x:c r="T121" s="214" t="str">
        <x:v>M02十神映射、M08五行有效旺衰、M09日主旺衰已完成</x:v>
      </x:c>
      <x:c r="U121" s="214" t="str">
        <x:v>相关十神已由M02正确映射，并以M08有效力量为准</x:v>
      </x:c>
      <x:c r="V121" s="214" t="str">
        <x:v>得令、有根、透干、同党或生源形成独立有效证据</x:v>
      </x:c>
      <x:c r="W121" s="214" t="str">
        <x:v>失令、无根、被合绊、被制、改性或作用路径受阻</x:v>
      </x:c>
      <x:c r="X121" s="214" t="str">
        <x:v>不得以十神名称、数量或单一旺弱证据直接完成定性</x:v>
      </x:c>
      <x:c r="Y121" s="214" t="str">
        <x:v>特殊格局、从化候选及明确组合转M11/M14另审</x:v>
      </x:c>
      <x:c r="Z121" s="214" t="str">
        <x:v>不得把正财直接等同妻子、正官直接等同丈夫、印直接等同母亲并据此断具体事件</x:v>
      </x:c>
      <x:c r="AA121" s="214" t="str">
        <x:v>十神象义边界</x:v>
      </x:c>
      <x:c r="AB121" s="214" t="str">
        <x:v>十神名称不得直接等同现实人物或事件：当“任何十神完成存在与功能判断后”成立时，按本规则记录十神的有效功能；同时保留制化、承载和反向证据。</x:v>
      </x:c>
      <x:c r="AC121" s="214" t="str">
        <x:v>较高</x:v>
      </x:c>
      <x:c r="AD121" s="214" t="str">
        <x:v>现代综合</x:v>
      </x:c>
      <x:c r="AE121" s="214" t="str">
        <x:v>十神必须分开判断存在性、力量、清纯度、功能性与喜忌性；M10只形成结构层结论和候选，不越级替代M11—M18。</x:v>
      </x:c>
      <x:c r="AF121" s="214" t="str">
        <x:v>相关条件真实成立，且增强条件有效时，可按“十神名称不得直接等同现实人物或事件”记录对应功能。</x:v>
      </x:c>
      <x:c r="AG121" s="214" t="str">
        <x:v>仅见表面十神名称或数量，但“不得以十神名称、数量或单一旺弱证据直接完成定性”所述限制存在时，不得套用本规则。</x:v>
      </x:c>
      <x:c r="AH121" s="214" t="str">
        <x:v>https://zh.wikisource.org/wiki/%E6%B8%8A%E6%B5%B7%E5%AD%90%E5%B9%B3%E5%A4%A7%E5%85%A8 ; https://zh.wikisource.org/wiki/%E6%BB%B4%E5%A4%A9%E9%AB%93%E9%97%A1%E5%BE%AE</x:v>
      </x:c>
      <x:c r="AI121" s="214" t="str">
        <x:v>采用</x:v>
      </x:c>
      <x:c r="AJ121" s="214" t="str">
        <x:v>初审</x:v>
      </x:c>
      <x:c r="AK121" s="217" t="n">
        <x:v>46255</x:v>
      </x:c>
    </x:row>
    <x:row r="122">
      <x:c r="A122" s="214" t="str">
        <x:f>IF(OR(C122="",D122=""),"",B122&amp;"-"&amp;UPPER(C122)&amp;"-"&amp;TEXT(D122,"0000")&amp;"-"&amp;E122)</x:f>
        <x:v>M10-BOUND-0116-V1.0</x:v>
      </x:c>
      <x:c r="B122" s="214" t="str">
        <x:v>M10</x:v>
      </x:c>
      <x:c r="C122" s="214" t="str">
        <x:v>BOUND</x:v>
      </x:c>
      <x:c r="D122" s="216" t="n">
        <x:v>116</x:v>
      </x:c>
      <x:c r="E122" s="214" t="str">
        <x:v>V1.0</x:v>
      </x:c>
      <x:c r="F122" s="214" t="str">
        <x:v>十神旺弱不得直接等同吉凶</x:v>
      </x:c>
      <x:c r="G122" s="214" t="str">
        <x:v>结构层</x:v>
      </x:c>
      <x:c r="H122" s="214" t="str">
        <x:v>七杀</x:v>
      </x:c>
      <x:c r="I122" s="214" t="str">
        <x:v>待定</x:v>
      </x:c>
      <x:c r="J122" s="214" t="str">
        <x:v>待定</x:v>
      </x:c>
      <x:c r="K122" s="214" t="str">
        <x:v>待定</x:v>
      </x:c>
      <x:c r="L122" s="214" t="str">
        <x:v>待定</x:v>
      </x:c>
      <x:c r="M122" s="214" t="str">
        <x:v>按M08核查</x:v>
      </x:c>
      <x:c r="N122" s="214" t="str">
        <x:v>按M06/M08核查</x:v>
      </x:c>
      <x:c r="O122" s="214" t="str">
        <x:v>待定</x:v>
      </x:c>
      <x:c r="P122" s="214" t="str">
        <x:v>转M11/M14判断</x:v>
      </x:c>
      <x:c r="Q122" s="214" t="str">
        <x:v>需结合M09日主承载判断</x:v>
      </x:c>
      <x:c r="R122" s="214" t="str">
        <x:v>待定</x:v>
      </x:c>
      <x:c r="S122" s="214" t="str">
        <x:v>任何十神有效旺衰已经确定</x:v>
      </x:c>
      <x:c r="T122" s="214" t="str">
        <x:v>M02十神映射、M08五行有效旺衰、M09日主旺衰已完成</x:v>
      </x:c>
      <x:c r="U122" s="214" t="str">
        <x:v>相关十神已由M02正确映射，并以M08有效力量为准</x:v>
      </x:c>
      <x:c r="V122" s="214" t="str">
        <x:v>得令、有根、透干、同党或生源形成独立有效证据</x:v>
      </x:c>
      <x:c r="W122" s="214" t="str">
        <x:v>失令、无根、被合绊、被制、改性或作用路径受阻</x:v>
      </x:c>
      <x:c r="X122" s="214" t="str">
        <x:v>不得以十神名称、数量或单一旺弱证据直接完成定性</x:v>
      </x:c>
      <x:c r="Y122" s="214" t="str">
        <x:v>特殊格局、从化候选及明确组合转M11/M14另审</x:v>
      </x:c>
      <x:c r="Z122" s="214" t="str">
        <x:v>不得以旺为凶或以弱为吉；喜忌取决于全局需要、制化和承载</x:v>
      </x:c>
      <x:c r="AA122" s="214" t="str">
        <x:v>十神旺衰吉凶分离</x:v>
      </x:c>
      <x:c r="AB122" s="214" t="str">
        <x:v>十神旺弱不得直接等同吉凶：当“任何十神有效旺衰已经确定”成立时，按本规则记录十神的有效功能；同时保留制化、承载和反向证据。</x:v>
      </x:c>
      <x:c r="AC122" s="214" t="str">
        <x:v>较高</x:v>
      </x:c>
      <x:c r="AD122" s="214" t="str">
        <x:v>现代综合</x:v>
      </x:c>
      <x:c r="AE122" s="214" t="str">
        <x:v>十神必须分开判断存在性、力量、清纯度、功能性与喜忌性；M10只形成结构层结论和候选，不越级替代M11—M18。</x:v>
      </x:c>
      <x:c r="AF122" s="214" t="str">
        <x:v>相关条件真实成立，且增强条件有效时，可按“十神旺弱不得直接等同吉凶”记录对应功能。</x:v>
      </x:c>
      <x:c r="AG122" s="214" t="str">
        <x:v>仅见表面十神名称或数量，但“不得以十神名称、数量或单一旺弱证据直接完成定性”所述限制存在时，不得套用本规则。</x:v>
      </x:c>
      <x:c r="AH122" s="214" t="str">
        <x:v>https://zh.wikisource.org/wiki/%E6%B8%8A%E6%B5%B7%E5%AD%90%E5%B9%B3%E5%A4%A7%E5%85%A8 ; https://zh.wikisource.org/wiki/%E6%BB%B4%E5%A4%A9%E9%AB%93%E9%97%A1%E5%BE%AE</x:v>
      </x:c>
      <x:c r="AI122" s="214" t="str">
        <x:v>采用</x:v>
      </x:c>
      <x:c r="AJ122" s="214" t="str">
        <x:v>初审</x:v>
      </x:c>
      <x:c r="AK122" s="217" t="n">
        <x:v>46255</x:v>
      </x:c>
    </x:row>
    <x:row r="123">
      <x:c r="A123" s="214" t="str">
        <x:f>IF(OR(C123="",D123=""),"",B123&amp;"-"&amp;UPPER(C123)&amp;"-"&amp;TEXT(D123,"0000")&amp;"-"&amp;E123)</x:f>
        <x:v>M10-BOUND-0117-V1.0</x:v>
      </x:c>
      <x:c r="B123" s="214" t="str">
        <x:v>M10</x:v>
      </x:c>
      <x:c r="C123" s="214" t="str">
        <x:v>BOUND</x:v>
      </x:c>
      <x:c r="D123" s="216" t="n">
        <x:v>117</x:v>
      </x:c>
      <x:c r="E123" s="214" t="str">
        <x:v>V1.0</x:v>
      </x:c>
      <x:c r="F123" s="214" t="str">
        <x:v>单一十神不得越级推出性格定论</x:v>
      </x:c>
      <x:c r="G123" s="214" t="str">
        <x:v>结构层</x:v>
      </x:c>
      <x:c r="H123" s="214" t="str">
        <x:v>伤官</x:v>
      </x:c>
      <x:c r="I123" s="214" t="str">
        <x:v>待定</x:v>
      </x:c>
      <x:c r="J123" s="214" t="str">
        <x:v>待定</x:v>
      </x:c>
      <x:c r="K123" s="214" t="str">
        <x:v>待定</x:v>
      </x:c>
      <x:c r="L123" s="214" t="str">
        <x:v>待定</x:v>
      </x:c>
      <x:c r="M123" s="214" t="str">
        <x:v>按M08核查</x:v>
      </x:c>
      <x:c r="N123" s="214" t="str">
        <x:v>按M06/M08核查</x:v>
      </x:c>
      <x:c r="O123" s="214" t="str">
        <x:v>待定</x:v>
      </x:c>
      <x:c r="P123" s="214" t="str">
        <x:v>转M11/M14判断</x:v>
      </x:c>
      <x:c r="Q123" s="214" t="str">
        <x:v>需结合M09日主承载判断</x:v>
      </x:c>
      <x:c r="R123" s="214" t="str">
        <x:v>待定</x:v>
      </x:c>
      <x:c r="S123" s="214" t="str">
        <x:v>伤官等十神有效存在</x:v>
      </x:c>
      <x:c r="T123" s="214" t="str">
        <x:v>M02十神映射、M08五行有效旺衰、M09日主旺衰已完成</x:v>
      </x:c>
      <x:c r="U123" s="214" t="str">
        <x:v>相关十神已由M02正确映射，并以M08有效力量为准</x:v>
      </x:c>
      <x:c r="V123" s="214" t="str">
        <x:v>得令、有根、透干、同党或生源形成独立有效证据</x:v>
      </x:c>
      <x:c r="W123" s="214" t="str">
        <x:v>失令、无根、被合绊、被制、改性或作用路径受阻</x:v>
      </x:c>
      <x:c r="X123" s="214" t="str">
        <x:v>不得以十神名称、数量或单一旺弱证据直接完成定性</x:v>
      </x:c>
      <x:c r="Y123" s="214" t="str">
        <x:v>特殊格局、从化候选及明确组合转M11/M14另审</x:v>
      </x:c>
      <x:c r="Z123" s="214" t="str">
        <x:v>不得仅凭一个十神就固定描述人格、职业或关系模式</x:v>
      </x:c>
      <x:c r="AA123" s="214" t="str">
        <x:v>十神性格边界</x:v>
      </x:c>
      <x:c r="AB123" s="214" t="str">
        <x:v>单一十神不得越级推出性格定论：当“伤官等十神有效存在”成立时，按本规则记录十神的有效功能；同时保留制化、承载和反向证据。</x:v>
      </x:c>
      <x:c r="AC123" s="214" t="str">
        <x:v>较高</x:v>
      </x:c>
      <x:c r="AD123" s="214" t="str">
        <x:v>现代综合</x:v>
      </x:c>
      <x:c r="AE123" s="214" t="str">
        <x:v>十神必须分开判断存在性、力量、清纯度、功能性与喜忌性；M10只形成结构层结论和候选，不越级替代M11—M18。</x:v>
      </x:c>
      <x:c r="AF123" s="214" t="str">
        <x:v>相关条件真实成立，且增强条件有效时，可按“单一十神不得越级推出性格定论”记录对应功能。</x:v>
      </x:c>
      <x:c r="AG123" s="214" t="str">
        <x:v>仅见表面十神名称或数量，但“不得以十神名称、数量或单一旺弱证据直接完成定性”所述限制存在时，不得套用本规则。</x:v>
      </x:c>
      <x:c r="AH123" s="214" t="str">
        <x:v>https://zh.wikisource.org/wiki/%E6%B8%8A%E6%B5%B7%E5%AD%90%E5%B9%B3%E5%A4%A7%E5%85%A8 ; https://zh.wikisource.org/wiki/%E6%BB%B4%E5%A4%A9%E9%AB%93%E9%97%A1%E5%BE%AE</x:v>
      </x:c>
      <x:c r="AI123" s="214" t="str">
        <x:v>采用</x:v>
      </x:c>
      <x:c r="AJ123" s="214" t="str">
        <x:v>初审</x:v>
      </x:c>
      <x:c r="AK123" s="217" t="n">
        <x:v>46255</x:v>
      </x:c>
    </x:row>
    <x:row r="124">
      <x:c r="A124" s="214" t="str">
        <x:f>IF(OR(C124="",D124=""),"",B124&amp;"-"&amp;UPPER(C124)&amp;"-"&amp;TEXT(D124,"0000")&amp;"-"&amp;E124)</x:f>
        <x:v>M10-BOUND-0118-V1.0</x:v>
      </x:c>
      <x:c r="B124" s="214" t="str">
        <x:v>M10</x:v>
      </x:c>
      <x:c r="C124" s="214" t="str">
        <x:v>BOUND</x:v>
      </x:c>
      <x:c r="D124" s="216" t="n">
        <x:v>118</x:v>
      </x:c>
      <x:c r="E124" s="214" t="str">
        <x:v>V1.0</x:v>
      </x:c>
      <x:c r="F124" s="214" t="str">
        <x:v>原局静态十神不得越级替代岁运判断</x:v>
      </x:c>
      <x:c r="G124" s="214" t="str">
        <x:v>结构层</x:v>
      </x:c>
      <x:c r="H124" s="214" t="str">
        <x:v>正印</x:v>
      </x:c>
      <x:c r="I124" s="214" t="str">
        <x:v>待定</x:v>
      </x:c>
      <x:c r="J124" s="214" t="str">
        <x:v>待定</x:v>
      </x:c>
      <x:c r="K124" s="214" t="str">
        <x:v>待定</x:v>
      </x:c>
      <x:c r="L124" s="214" t="str">
        <x:v>待定</x:v>
      </x:c>
      <x:c r="M124" s="214" t="str">
        <x:v>按M08核查</x:v>
      </x:c>
      <x:c r="N124" s="214" t="str">
        <x:v>按M06/M08核查</x:v>
      </x:c>
      <x:c r="O124" s="214" t="str">
        <x:v>待定</x:v>
      </x:c>
      <x:c r="P124" s="214" t="str">
        <x:v>转M11/M14判断</x:v>
      </x:c>
      <x:c r="Q124" s="214" t="str">
        <x:v>需结合M09日主承载判断</x:v>
      </x:c>
      <x:c r="R124" s="214" t="str">
        <x:v>待定</x:v>
      </x:c>
      <x:c r="S124" s="214" t="str">
        <x:v>M10完成原局十神结构</x:v>
      </x:c>
      <x:c r="T124" s="214" t="str">
        <x:v>M02十神映射、M08五行有效旺衰、M09日主旺衰已完成</x:v>
      </x:c>
      <x:c r="U124" s="214" t="str">
        <x:v>相关十神已由M02正确映射，并以M08有效力量为准</x:v>
      </x:c>
      <x:c r="V124" s="214" t="str">
        <x:v>得令、有根、透干、同党或生源形成独立有效证据</x:v>
      </x:c>
      <x:c r="W124" s="214" t="str">
        <x:v>失令、无根、被合绊、被制、改性或作用路径受阻</x:v>
      </x:c>
      <x:c r="X124" s="214" t="str">
        <x:v>不得以十神名称、数量或单一旺弱证据直接完成定性</x:v>
      </x:c>
      <x:c r="Y124" s="214" t="str">
        <x:v>特殊格局、从化候选及明确组合转M11/M14另审</x:v>
      </x:c>
      <x:c r="Z124" s="214" t="str">
        <x:v>不得在M10直接给出某年某月事件或把岁运补入原局</x:v>
      </x:c>
      <x:c r="AA124" s="214" t="str">
        <x:v>十神静动态分离</x:v>
      </x:c>
      <x:c r="AB124" s="214" t="str">
        <x:v>原局静态十神不得越级替代岁运判断：当“M10完成原局十神结构”成立时，按本规则记录十神的有效功能；同时保留制化、承载和反向证据。</x:v>
      </x:c>
      <x:c r="AC124" s="214" t="str">
        <x:v>较高</x:v>
      </x:c>
      <x:c r="AD124" s="214" t="str">
        <x:v>现代综合</x:v>
      </x:c>
      <x:c r="AE124" s="214" t="str">
        <x:v>十神必须分开判断存在性、力量、清纯度、功能性与喜忌性；M10只形成结构层结论和候选，不越级替代M11—M18。</x:v>
      </x:c>
      <x:c r="AF124" s="214" t="str">
        <x:v>相关条件真实成立，且增强条件有效时，可按“原局静态十神不得越级替代岁运判断”记录对应功能。</x:v>
      </x:c>
      <x:c r="AG124" s="214" t="str">
        <x:v>仅见表面十神名称或数量，但“不得以十神名称、数量或单一旺弱证据直接完成定性”所述限制存在时，不得套用本规则。</x:v>
      </x:c>
      <x:c r="AH124" s="214" t="str">
        <x:v>https://zh.wikisource.org/wiki/%E6%B8%8A%E6%B5%B7%E5%AD%90%E5%B9%B3%E5%A4%A7%E5%85%A8 ; https://zh.wikisource.org/wiki/%E6%BB%B4%E5%A4%A9%E9%AB%93%E9%97%A1%E5%BE%AE</x:v>
      </x:c>
      <x:c r="AI124" s="214" t="str">
        <x:v>采用</x:v>
      </x:c>
      <x:c r="AJ124" s="214" t="str">
        <x:v>初审</x:v>
      </x:c>
      <x:c r="AK124" s="217" t="n">
        <x:v>46255</x:v>
      </x:c>
    </x:row>
    <x:row r="125">
      <x:c r="A125" s="214" t="str">
        <x:f>IF(OR(C125="",D125=""),"",B125&amp;"-"&amp;UPPER(C125)&amp;"-"&amp;TEXT(D125,"0000")&amp;"-"&amp;E125)</x:f>
        <x:v>M10-BOUND-0119-V1.0</x:v>
      </x:c>
      <x:c r="B125" s="214" t="str">
        <x:v>M10</x:v>
      </x:c>
      <x:c r="C125" s="214" t="str">
        <x:v>BOUND</x:v>
      </x:c>
      <x:c r="D125" s="216" t="n">
        <x:v>119</x:v>
      </x:c>
      <x:c r="E125" s="214" t="str">
        <x:v>V1.0</x:v>
      </x:c>
      <x:c r="F125" s="214" t="str">
        <x:v>不同流派对十神象义扩展应进入M21治理</x:v>
      </x:c>
      <x:c r="G125" s="214" t="str">
        <x:v>结构层</x:v>
      </x:c>
      <x:c r="H125" s="214" t="str">
        <x:v>偏财</x:v>
      </x:c>
      <x:c r="I125" s="214" t="str">
        <x:v>待定</x:v>
      </x:c>
      <x:c r="J125" s="214" t="str">
        <x:v>待定</x:v>
      </x:c>
      <x:c r="K125" s="214" t="str">
        <x:v>待定</x:v>
      </x:c>
      <x:c r="L125" s="214" t="str">
        <x:v>待定</x:v>
      </x:c>
      <x:c r="M125" s="214" t="str">
        <x:v>按M08核查</x:v>
      </x:c>
      <x:c r="N125" s="214" t="str">
        <x:v>按M06/M08核查</x:v>
      </x:c>
      <x:c r="O125" s="214" t="str">
        <x:v>待定</x:v>
      </x:c>
      <x:c r="P125" s="214" t="str">
        <x:v>转M11/M14判断</x:v>
      </x:c>
      <x:c r="Q125" s="214" t="str">
        <x:v>需结合M09日主承载判断</x:v>
      </x:c>
      <x:c r="R125" s="214" t="str">
        <x:v>待定</x:v>
      </x:c>
      <x:c r="S125" s="214" t="str">
        <x:v>某条十神象义或权重存在明显流派差异</x:v>
      </x:c>
      <x:c r="T125" s="214" t="str">
        <x:v>M02十神映射、M08五行有效旺衰、M09日主旺衰已完成</x:v>
      </x:c>
      <x:c r="U125" s="214" t="str">
        <x:v>相关十神已由M02正确映射，并以M08有效力量为准</x:v>
      </x:c>
      <x:c r="V125" s="214" t="str">
        <x:v>得令、有根、透干、同党或生源形成独立有效证据</x:v>
      </x:c>
      <x:c r="W125" s="214" t="str">
        <x:v>失令、无根、被合绊、被制、改性或作用路径受阻</x:v>
      </x:c>
      <x:c r="X125" s="214" t="str">
        <x:v>不得以十神名称、数量或单一旺弱证据直接完成定性</x:v>
      </x:c>
      <x:c r="Y125" s="214" t="str">
        <x:v>将争议观点、采用理由和反证登记M21后再决定是否采用</x:v>
      </x:c>
      <x:c r="Z125" s="214" t="str">
        <x:v>不得直接推出吉凶、具体事件、亲属结果或最终喜忌</x:v>
      </x:c>
      <x:c r="AA125" s="214" t="str">
        <x:v>十神争议治理</x:v>
      </x:c>
      <x:c r="AB125" s="214" t="str">
        <x:v>不同流派对十神象义扩展应进入M21治理：当“某条十神象义或权重存在明显流派差异”成立时，按本规则记录十神的有效功能；同时保留制化、承载和反向证据。</x:v>
      </x:c>
      <x:c r="AC125" s="214" t="str">
        <x:v>中等</x:v>
      </x:c>
      <x:c r="AD125" s="214" t="str">
        <x:v>现代综合</x:v>
      </x:c>
      <x:c r="AE125" s="214" t="str">
        <x:v>十神必须分开判断存在性、力量、清纯度、功能性与喜忌性；M10只形成结构层结论和候选，不越级替代M11—M18。</x:v>
      </x:c>
      <x:c r="AF125" s="214" t="str">
        <x:v>相关条件真实成立，且增强条件有效时，可按“不同流派对十神象义扩展应进入M21治理”记录对应功能。</x:v>
      </x:c>
      <x:c r="AG125" s="214" t="str">
        <x:v>仅见表面十神名称或数量，但“不得以十神名称、数量或单一旺弱证据直接完成定性”所述限制存在时，不得套用本规则。</x:v>
      </x:c>
      <x:c r="AH125" s="214" t="str">
        <x:v>https://zh.wikisource.org/wiki/%E6%B8%8A%E6%B5%B7%E5%AD%90%E5%B9%B3%E5%A4%A7%E5%85%A8 ; https://zh.wikisource.org/wiki/%E6%BB%B4%E5%A4%A9%E9%AB%93%E9%97%A1%E5%BE%AE</x:v>
      </x:c>
      <x:c r="AI125" s="214" t="str">
        <x:v>待验证</x:v>
      </x:c>
      <x:c r="AJ125" s="214" t="str">
        <x:v>初审</x:v>
      </x:c>
      <x:c r="AK125" s="217" t="n">
        <x:v>46255</x:v>
      </x:c>
    </x:row>
    <x:row r="126">
      <x:c r="A126" s="214" t="str">
        <x:f>IF(OR(C126="",D126=""),"",B126&amp;"-"&amp;UPPER(C126)&amp;"-"&amp;TEXT(D126,"0000")&amp;"-"&amp;E126)</x:f>
        <x:v>M10-BOUND-0120-V1.0</x:v>
      </x:c>
      <x:c r="B126" s="214" t="str">
        <x:v>M10</x:v>
      </x:c>
      <x:c r="C126" s="214" t="str">
        <x:v>BOUND</x:v>
      </x:c>
      <x:c r="D126" s="216" t="n">
        <x:v>120</x:v>
      </x:c>
      <x:c r="E126" s="214" t="str">
        <x:v>V1.0</x:v>
      </x:c>
      <x:c r="F126" s="214" t="str">
        <x:v>M10最终输出必须保留正反证据与置信度</x:v>
      </x:c>
      <x:c r="G126" s="214" t="str">
        <x:v>结构层</x:v>
      </x:c>
      <x:c r="H126" s="214" t="str">
        <x:v>正官</x:v>
      </x:c>
      <x:c r="I126" s="214" t="str">
        <x:v>待定</x:v>
      </x:c>
      <x:c r="J126" s="214" t="str">
        <x:v>待定</x:v>
      </x:c>
      <x:c r="K126" s="214" t="str">
        <x:v>待定</x:v>
      </x:c>
      <x:c r="L126" s="214" t="str">
        <x:v>待定</x:v>
      </x:c>
      <x:c r="M126" s="214" t="str">
        <x:v>按M08核查</x:v>
      </x:c>
      <x:c r="N126" s="214" t="str">
        <x:v>按M06/M08核查</x:v>
      </x:c>
      <x:c r="O126" s="214" t="str">
        <x:v>待定</x:v>
      </x:c>
      <x:c r="P126" s="214" t="str">
        <x:v>转M11/M14判断</x:v>
      </x:c>
      <x:c r="Q126" s="214" t="str">
        <x:v>需结合M09日主承载判断</x:v>
      </x:c>
      <x:c r="R126" s="214" t="str">
        <x:v>待定</x:v>
      </x:c>
      <x:c r="S126" s="214" t="str">
        <x:v>十神存在、力量、清纯度和功能均已评估</x:v>
      </x:c>
      <x:c r="T126" s="214" t="str">
        <x:v>M02十神映射、M08五行有效旺衰、M09日主旺衰已完成</x:v>
      </x:c>
      <x:c r="U126" s="214" t="str">
        <x:v>相关十神已由M02正确映射，并以M08有效力量为准</x:v>
      </x:c>
      <x:c r="V126" s="214" t="str">
        <x:v>得令、有根、透干、同党或生源形成独立有效证据</x:v>
      </x:c>
      <x:c r="W126" s="214" t="str">
        <x:v>失令、无根、被合绊、被制、改性或作用路径受阻</x:v>
      </x:c>
      <x:c r="X126" s="214" t="str">
        <x:v>不得以十神名称、数量或单一旺弱证据直接完成定性</x:v>
      </x:c>
      <x:c r="Y126" s="214" t="str">
        <x:v>特殊格局、从化候选及明确组合转M11/M14另审</x:v>
      </x:c>
      <x:c r="Z126" s="214" t="str">
        <x:v>不得只写“官旺、财弱、印多”等无证据链结论</x:v>
      </x:c>
      <x:c r="AA126" s="214" t="str">
        <x:v>十神标准输出</x:v>
      </x:c>
      <x:c r="AB126" s="214" t="str">
        <x:v>每个十神至少输出：存在方式、有效旺衰、清纯度、主要生源、主要制约、功能状态、对日主作用、组合/格局接口、喜忌候选、反向证据与置信度。</x:v>
      </x:c>
      <x:c r="AC126" s="214" t="str">
        <x:v>较高</x:v>
      </x:c>
      <x:c r="AD126" s="214" t="str">
        <x:v>现代综合</x:v>
      </x:c>
      <x:c r="AE126" s="214" t="str">
        <x:v>十神必须分开判断存在性、力量、清纯度、功能性与喜忌性；M10只形成结构层结论和候选，不越级替代M11—M18。</x:v>
      </x:c>
      <x:c r="AF126" s="214" t="str">
        <x:v>相关条件真实成立，且增强条件有效时，可按“M10最终输出必须保留正反证据与置信度”记录对应功能。</x:v>
      </x:c>
      <x:c r="AG126" s="214" t="str">
        <x:v>仅见表面十神名称或数量，但“不得以十神名称、数量或单一旺弱证据直接完成定性”所述限制存在时，不得套用本规则。</x:v>
      </x:c>
      <x:c r="AH126" s="214" t="str">
        <x:v>https://zh.wikisource.org/wiki/%E6%B8%8A%E6%B5%B7%E5%AD%90%E5%B9%B3%E5%A4%A7%E5%85%A8 ; https://zh.wikisource.org/wiki/%E6%BB%B4%E5%A4%A9%E9%AB%93%E9%97%A1%E5%BE%AE</x:v>
      </x:c>
      <x:c r="AI126" s="214" t="str">
        <x:v>采用</x:v>
      </x:c>
      <x:c r="AJ126" s="214" t="str">
        <x:v>初审</x:v>
      </x:c>
      <x:c r="AK126" s="217" t="n">
        <x:v>46255</x:v>
      </x:c>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27">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G7:G126">
      <x:formula1>'99_下拉选项'!$F$4:$F$7</x:formula1>
    </x:dataValidation>
    <x:dataValidation type="list" sqref="H7:H126">
      <x:formula1>'99_下拉选项'!$Y$4:$Y$13</x:formula1>
    </x:dataValidation>
    <x:dataValidation type="list" sqref="I7:I126">
      <x:formula1>'99_下拉选项'!$Z$4:$Z$10</x:formula1>
    </x:dataValidation>
    <x:dataValidation type="list" sqref="J7:J126">
      <x:formula1>'99_下拉选项'!$U$4:$U$11</x:formula1>
    </x:dataValidation>
    <x:dataValidation type="list" sqref="K7:K126">
      <x:formula1>'99_下拉选项'!$U$4:$U$11</x:formula1>
    </x:dataValidation>
    <x:dataValidation type="list" sqref="L7:L126">
      <x:formula1>'99_下拉选项'!$AE$4:$AE$9</x:formula1>
    </x:dataValidation>
    <x:dataValidation type="list" sqref="O7:O126">
      <x:formula1>'99_下拉选项'!$AA$4:$AA$11</x:formula1>
    </x:dataValidation>
    <x:dataValidation type="list" sqref="R7:R126">
      <x:formula1>'99_下拉选项'!$AB$4:$AB$12</x:formula1>
    </x:dataValidation>
    <x:dataValidation type="list" sqref="AC7:AC126">
      <x:formula1>'99_下拉选项'!$Q$4:$Q$8</x:formula1>
    </x:dataValidation>
    <x:dataValidation type="list" sqref="AD7:AD126">
      <x:formula1>'99_下拉选项'!$R$4:$R$11</x:formula1>
    </x:dataValidation>
    <x:dataValidation type="list" sqref="AI7:AI126">
      <x:formula1>'99_下拉选项'!$S$4:$S$9</x:formula1>
    </x:dataValidation>
    <x:dataValidation type="list" sqref="AJ7:AJ126">
      <x:formula1>'99_下拉选项'!$T$4:$T$8</x:formula1>
    </x:dataValidation>
    <x:dataValidation type="list" sqref="E7:E126">
      <x:formula1>'99_下拉选项'!$BG$4:$BG$14</x:formula1>
    </x:dataValidation>
  </x:dataValidations>
  <x:pageMargins left="0.7" right="0.7" top="0.75" bottom="0.75" header="0.3" footer="0.3"/>
  <x:tableParts count="1">
    <x:tablePart xmlns:r="http://schemas.openxmlformats.org/officeDocument/2006/relationships" r:id="R9debde5e040d49b1"/>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v>M11-GEN-0001-V1.0</x:v>
      </x:c>
      <x:c r="B7" s="74" t="str">
        <x:v>M11</x:v>
      </x:c>
      <x:c r="C7" s="74" t="str">
        <x:v>GEN</x:v>
      </x:c>
      <x:c r="D7" s="215" t="n">
        <x:v>1</x:v>
      </x:c>
      <x:c r="E7" s="74" t="str">
        <x:v>V1.0</x:v>
      </x:c>
      <x:c r="F7" s="68" t="str">
        <x:v>组合必须先满足十神真实有效</x:v>
      </x:c>
      <x:c r="G7" s="82" t="str">
        <x:v>结构层</x:v>
      </x:c>
      <x:c r="H7" s="82" t="str">
        <x:v>其他</x:v>
      </x:c>
      <x:c r="I7" s="68" t="str">
        <x:v>十神组合通用判定</x:v>
      </x:c>
      <x:c r="J7" s="68" t="str">
        <x:v>多个相关十神</x:v>
      </x:c>
      <x:c r="K7" s="68" t="str">
        <x:v>M10已确认各核心十神不是名义存在而是具备有效功能</x:v>
      </x:c>
      <x:c r="L7" s="68" t="str">
        <x:v>所有参与十神的有效力量和功能状态可被调用</x:v>
      </x:c>
      <x:c r="M7" s="68" t="str">
        <x:v>直接或可达的生克制化路径成立</x:v>
      </x:c>
      <x:c r="N7" s="68" t="str">
        <x:v>相关十神均以M10有效力量为准，且不存在决定性失衡</x:v>
      </x:c>
      <x:c r="O7" s="68" t="str">
        <x:v>结合M09日主承载判断</x:v>
      </x:c>
      <x:c r="P7" s="68" t="str">
        <x:v>核心十神真实有效</x:v>
      </x:c>
      <x:c r="Q7" s="68" t="str">
        <x:v>相关十神有根、有源、透达、清纯且关键通路稳定</x:v>
      </x:c>
      <x:c r="R7" s="90" t="str">
        <x:v>关键十神被合绊、被制、改性、失效或力量严重失衡</x:v>
      </x:c>
      <x:c r="S7" s="68" t="str">
        <x:v>存在第三十神恢复通路、清除破坏或重新形成平衡</x:v>
      </x:c>
      <x:c r="T7" s="90" t="str">
        <x:v>任一核心十神失效，或不存在真实作用路径</x:v>
      </x:c>
      <x:c r="U7" s="68" t="str">
        <x:v>特殊格局、从化或月令格局另转M14/M15复审</x:v>
      </x:c>
      <x:c r="V7" s="84" t="str">
        <x:v>弱成立</x:v>
      </x:c>
      <x:c r="W7" s="84" t="str">
        <x:v>形成局部生化、制化或承载结构</x:v>
      </x:c>
      <x:c r="X7" s="82" t="str">
        <x:v>否</x:v>
      </x:c>
      <x:c r="Y7" s="68" t="str">
        <x:v>待M14生成具体候选</x:v>
      </x:c>
      <x:c r="Z7" s="84" t="str">
        <x:v>组合成立前置</x:v>
      </x:c>
      <x:c r="AA7" s="84" t="str">
        <x:v>十神组合通用判定：当主体、客体、路径与力量匹配满足最低标准时，判“弱成立”；是否上升为格局转M14/M15。</x:v>
      </x:c>
      <x:c r="AB7" s="82" t="str">
        <x:v>较高</x:v>
      </x:c>
      <x:c r="AC7" s="82" t="str">
        <x:v>现代综合</x:v>
      </x:c>
      <x:c r="AD7" s="68" t="str">
        <x:v>十神同时出现不等于组合成立。M11须同时验证核心十神有效性、作用路径、力量匹配、日主承载、破坏因素与救应；组合成立也不等于格局成立。</x:v>
      </x:c>
      <x:c r="AE7" s="68" t="str">
        <x:v>M10已确认各核心十神不是名义存在而是具备有效功能；所有参与十神的有效力量和功能状态可被调用；作用路径稳定且无关键破坏，可按“十神组合通用判定”记录。</x:v>
      </x:c>
      <x:c r="AF7" s="90" t="str">
        <x:v>仅因“多个相关十神”同时出现，但核心十神无力、无作用路径或被关键因素破坏，不能判“十神组合通用判定”成立。</x:v>
      </x:c>
      <x:c r="AG7" s="68" t="str">
        <x:v>https://zh.wikisource.org/zh-hans/%E6%B7%B5%E6%B5%B7%E5%AD%90%E5%B9%B3 ; https://zh.wikisource.org/wiki/%E6%BB%B4%E5%A4%A9%E9%AB%93%E9%97%A1%E5%BE%AE</x:v>
      </x:c>
      <x:c r="AH7" s="82" t="str">
        <x:v>采用</x:v>
      </x:c>
      <x:c r="AI7" s="82" t="str">
        <x:v>初审</x:v>
      </x:c>
      <x:c r="AJ7" s="87" t="n">
        <x:v>46255</x:v>
      </x:c>
    </x:row>
    <x:row r="8">
      <x:c r="A8" s="72" t="str">
        <x:f>IF(OR(C8="",D8=""),"",B8&amp;"-"&amp;UPPER(C8)&amp;"-"&amp;TEXT(D8,"0000")&amp;"-"&amp;E8)</x:f>
        <x:v>M11-GEN-0002-V1.0</x:v>
      </x:c>
      <x:c r="B8" s="74" t="str">
        <x:v>M11</x:v>
      </x:c>
      <x:c r="C8" s="74" t="str">
        <x:v>GEN</x:v>
      </x:c>
      <x:c r="D8" s="215" t="n">
        <x:v>2</x:v>
      </x:c>
      <x:c r="E8" s="74" t="str">
        <x:v>V1.0</x:v>
      </x:c>
      <x:c r="F8" s="68" t="str">
        <x:v>同时出现只生成组合候选</x:v>
      </x:c>
      <x:c r="G8" s="82" t="str">
        <x:v>结构层</x:v>
      </x:c>
      <x:c r="H8" s="82" t="str">
        <x:v>其他</x:v>
      </x:c>
      <x:c r="I8" s="68" t="str">
        <x:v>十神组合通用判定</x:v>
      </x:c>
      <x:c r="J8" s="68" t="str">
        <x:v>多个相关十神</x:v>
      </x:c>
      <x:c r="K8" s="68" t="str">
        <x:v>两个或多个相关十神在原局同时出现</x:v>
      </x:c>
      <x:c r="L8" s="68" t="str">
        <x:v>尚未验证生克制化路径与力量比例</x:v>
      </x:c>
      <x:c r="M8" s="68" t="str">
        <x:v>直接或可达的生克制化路径成立</x:v>
      </x:c>
      <x:c r="N8" s="68" t="str">
        <x:v>相关十神均以M10有效力量为准，且不存在决定性失衡</x:v>
      </x:c>
      <x:c r="O8" s="68" t="str">
        <x:v>结合M09日主承载判断</x:v>
      </x:c>
      <x:c r="P8" s="68" t="str">
        <x:v>只满足存在条件时仅列候选</x:v>
      </x:c>
      <x:c r="Q8" s="68" t="str">
        <x:v>相关十神有根、有源、透达、清纯且关键通路稳定</x:v>
      </x:c>
      <x:c r="R8" s="90" t="str">
        <x:v>关键十神被合绊、被制、改性、失效或力量严重失衡</x:v>
      </x:c>
      <x:c r="S8" s="68" t="str">
        <x:v>存在第三十神恢复通路、清除破坏或重新形成平衡</x:v>
      </x:c>
      <x:c r="T8" s="90" t="str">
        <x:v>任一核心十神失效，或不存在真实作用路径</x:v>
      </x:c>
      <x:c r="U8" s="68" t="str">
        <x:v>特殊格局、从化或月令格局另转M14/M15复审</x:v>
      </x:c>
      <x:c r="V8" s="84" t="str">
        <x:v>待定</x:v>
      </x:c>
      <x:c r="W8" s="84" t="str">
        <x:v>生成候选，不确认组合成立</x:v>
      </x:c>
      <x:c r="X8" s="82" t="str">
        <x:v>否</x:v>
      </x:c>
      <x:c r="Y8" s="68" t="str">
        <x:v>无</x:v>
      </x:c>
      <x:c r="Z8" s="84" t="str">
        <x:v>同现不等于成立</x:v>
      </x:c>
      <x:c r="AA8" s="84" t="str">
        <x:v>十神组合通用判定：当主体、客体、路径与力量匹配满足最低标准时，判“待定”；是否上升为格局转M14/M15。</x:v>
      </x:c>
      <x:c r="AB8" s="82" t="str">
        <x:v>较高</x:v>
      </x:c>
      <x:c r="AC8" s="82" t="str">
        <x:v>现代综合</x:v>
      </x:c>
      <x:c r="AD8" s="68" t="str">
        <x:v>十神同时出现不等于组合成立。M11须同时验证核心十神有效性、作用路径、力量匹配、日主承载、破坏因素与救应；组合成立也不等于格局成立。</x:v>
      </x:c>
      <x:c r="AE8" s="68" t="str">
        <x:v>两个或多个相关十神在原局同时出现；尚未验证生克制化路径与力量比例；作用路径稳定且无关键破坏，可按“十神组合通用判定”记录。</x:v>
      </x:c>
      <x:c r="AF8" s="90" t="str">
        <x:v>仅因“多个相关十神”同时出现，但核心十神无力、无作用路径或被关键因素破坏，不能判“十神组合通用判定”成立。</x:v>
      </x:c>
      <x:c r="AG8" s="68" t="str">
        <x:v>https://zh.wikisource.org/zh-hans/%E6%B7%B5%E6%B5%B7%E5%AD%90%E5%B9%B3 ; https://zh.wikisource.org/wiki/%E6%BB%B4%E5%A4%A9%E9%AB%93%E9%97%A1%E5%BE%AE</x:v>
      </x:c>
      <x:c r="AH8" s="82" t="str">
        <x:v>采用</x:v>
      </x:c>
      <x:c r="AI8" s="82" t="str">
        <x:v>初审</x:v>
      </x:c>
      <x:c r="AJ8" s="87" t="n">
        <x:v>46255</x:v>
      </x:c>
    </x:row>
    <x:row r="9">
      <x:c r="A9" s="72" t="str">
        <x:f>IF(OR(C9="",D9=""),"",B9&amp;"-"&amp;UPPER(C9)&amp;"-"&amp;TEXT(D9,"0000")&amp;"-"&amp;E9)</x:f>
        <x:v>M11-GEN-0003-V1.0</x:v>
      </x:c>
      <x:c r="B9" s="74" t="str">
        <x:v>M11</x:v>
      </x:c>
      <x:c r="C9" s="74" t="str">
        <x:v>GEN</x:v>
      </x:c>
      <x:c r="D9" s="215" t="n">
        <x:v>3</x:v>
      </x:c>
      <x:c r="E9" s="74" t="str">
        <x:v>V1.0</x:v>
      </x:c>
      <x:c r="F9" s="68" t="str">
        <x:v>作用路径是组合成立的必要条件</x:v>
      </x:c>
      <x:c r="G9" s="82" t="str">
        <x:v>结构层</x:v>
      </x:c>
      <x:c r="H9" s="82" t="str">
        <x:v>其他</x:v>
      </x:c>
      <x:c r="I9" s="68" t="str">
        <x:v>十神组合通用判定</x:v>
      </x:c>
      <x:c r="J9" s="68" t="str">
        <x:v>多个相关十神</x:v>
      </x:c>
      <x:c r="K9" s="68" t="str">
        <x:v>核心十神均有效</x:v>
      </x:c>
      <x:c r="L9" s="68" t="str">
        <x:v>两者之间存在直接或经一层桥梁可达的真实生克制化路径</x:v>
      </x:c>
      <x:c r="M9" s="68" t="str">
        <x:v>直接或可达的生克制化路径成立</x:v>
      </x:c>
      <x:c r="N9" s="68" t="str">
        <x:v>相关十神均以M10有效力量为准，且不存在决定性失衡</x:v>
      </x:c>
      <x:c r="O9" s="68" t="str">
        <x:v>结合M09日主承载判断</x:v>
      </x:c>
      <x:c r="P9" s="68" t="str">
        <x:v>核心十神有效＋作用路径成立</x:v>
      </x:c>
      <x:c r="Q9" s="68" t="str">
        <x:v>相关十神有根、有源、透达、清纯且关键通路稳定</x:v>
      </x:c>
      <x:c r="R9" s="90" t="str">
        <x:v>关键十神被合绊、被制、改性、失效或力量严重失衡</x:v>
      </x:c>
      <x:c r="S9" s="68" t="str">
        <x:v>存在第三十神恢复通路、清除破坏或重新形成平衡</x:v>
      </x:c>
      <x:c r="T9" s="90" t="str">
        <x:v>任一核心十神失效，或不存在真实作用路径</x:v>
      </x:c>
      <x:c r="U9" s="68" t="str">
        <x:v>特殊格局、从化或月令格局另转M14/M15复审</x:v>
      </x:c>
      <x:c r="V9" s="84" t="str">
        <x:v>基本成立</x:v>
      </x:c>
      <x:c r="W9" s="84" t="str">
        <x:v>形成局部生化、制化或承载结构</x:v>
      </x:c>
      <x:c r="X9" s="82" t="str">
        <x:v>否</x:v>
      </x:c>
      <x:c r="Y9" s="68" t="str">
        <x:v>对应格局候选转M14</x:v>
      </x:c>
      <x:c r="Z9" s="84" t="str">
        <x:v>组合路径必要性</x:v>
      </x:c>
      <x:c r="AA9" s="84" t="str">
        <x:v>十神组合通用判定：当主体、客体、路径与力量匹配满足最低标准时，判“基本成立”；是否上升为格局转M14/M15。</x:v>
      </x:c>
      <x:c r="AB9" s="82" t="str">
        <x:v>较高</x:v>
      </x:c>
      <x:c r="AC9" s="82" t="str">
        <x:v>现代综合</x:v>
      </x:c>
      <x:c r="AD9" s="68" t="str">
        <x:v>十神同时出现不等于组合成立。M11须同时验证核心十神有效性、作用路径、力量匹配、日主承载、破坏因素与救应；组合成立也不等于格局成立。</x:v>
      </x:c>
      <x:c r="AE9" s="68" t="str">
        <x:v>核心十神均有效；两者之间存在直接或经一层桥梁可达的真实生克制化路径；作用路径稳定且无关键破坏，可按“十神组合通用判定”记录。</x:v>
      </x:c>
      <x:c r="AF9" s="90" t="str">
        <x:v>仅因“多个相关十神”同时出现，但核心十神无力、无作用路径或被关键因素破坏，不能判“十神组合通用判定”成立。</x:v>
      </x:c>
      <x:c r="AG9" s="68" t="str">
        <x:v>https://zh.wikisource.org/zh-hans/%E6%B7%B5%E6%B5%B7%E5%AD%90%E5%B9%B3 ; https://zh.wikisource.org/wiki/%E6%BB%B4%E5%A4%A9%E9%AB%93%E9%97%A1%E5%BE%AE</x:v>
      </x:c>
      <x:c r="AH9" s="82" t="str">
        <x:v>采用</x:v>
      </x:c>
      <x:c r="AI9" s="82" t="str">
        <x:v>初审</x:v>
      </x:c>
      <x:c r="AJ9" s="87" t="n">
        <x:v>46255</x:v>
      </x:c>
    </x:row>
    <x:row r="10">
      <x:c r="A10" s="72" t="str">
        <x:f>IF(OR(C10="",D10=""),"",B10&amp;"-"&amp;UPPER(C10)&amp;"-"&amp;TEXT(D10,"0000")&amp;"-"&amp;E10)</x:f>
        <x:v>M11-GEN-0004-V1.0</x:v>
      </x:c>
      <x:c r="B10" s="74" t="str">
        <x:v>M11</x:v>
      </x:c>
      <x:c r="C10" s="74" t="str">
        <x:v>GEN</x:v>
      </x:c>
      <x:c r="D10" s="215" t="n">
        <x:v>4</x:v>
      </x:c>
      <x:c r="E10" s="74" t="str">
        <x:v>V1.0</x:v>
      </x:c>
      <x:c r="F10" s="68" t="str">
        <x:v>力量严重失衡时组合降级</x:v>
      </x:c>
      <x:c r="G10" s="82" t="str">
        <x:v>结构层</x:v>
      </x:c>
      <x:c r="H10" s="82" t="str">
        <x:v>其他</x:v>
      </x:c>
      <x:c r="I10" s="68" t="str">
        <x:v>十神组合通用判定</x:v>
      </x:c>
      <x:c r="J10" s="68" t="str">
        <x:v>多个相关十神</x:v>
      </x:c>
      <x:c r="K10" s="68" t="str">
        <x:v>主体明显强于客体或客体明显强于主体</x:v>
      </x:c>
      <x:c r="L10" s="68" t="str">
        <x:v>一方不足以承担预期生、制、化功能</x:v>
      </x:c>
      <x:c r="M10" s="68" t="str">
        <x:v>直接或可达的生克制化路径成立</x:v>
      </x:c>
      <x:c r="N10" s="68" t="str">
        <x:v>双方有效力量存在明显失衡</x:v>
      </x:c>
      <x:c r="O10" s="68" t="str">
        <x:v>结合M09日主承载判断</x:v>
      </x:c>
      <x:c r="P10" s="68" t="str">
        <x:v>仅可记录局部作用</x:v>
      </x:c>
      <x:c r="Q10" s="68" t="str">
        <x:v>相关十神有根、有源、透达、清纯且关键通路稳定</x:v>
      </x:c>
      <x:c r="R10" s="90" t="str">
        <x:v>关键十神被合绊、被制、改性、失效或力量严重失衡</x:v>
      </x:c>
      <x:c r="S10" s="68" t="str">
        <x:v>存在第三十神恢复通路、清除破坏或重新形成平衡</x:v>
      </x:c>
      <x:c r="T10" s="90" t="str">
        <x:v>任一核心十神失效，或不存在真实作用路径</x:v>
      </x:c>
      <x:c r="U10" s="68" t="str">
        <x:v>特殊格局、从化或月令格局另转M14/M15复审</x:v>
      </x:c>
      <x:c r="V10" s="84" t="str">
        <x:v>弱成立</x:v>
      </x:c>
      <x:c r="W10" s="84" t="str">
        <x:v>形成局部生化、制化或承载结构</x:v>
      </x:c>
      <x:c r="X10" s="82" t="str">
        <x:v>否</x:v>
      </x:c>
      <x:c r="Y10" s="68" t="str">
        <x:v>对应格局候选转M14</x:v>
      </x:c>
      <x:c r="Z10" s="84" t="str">
        <x:v>组合力量失衡</x:v>
      </x:c>
      <x:c r="AA10" s="84" t="str">
        <x:v>十神组合通用判定：当主体、客体、路径与力量匹配满足最低标准时，判“弱成立”；是否上升为格局转M14/M15。</x:v>
      </x:c>
      <x:c r="AB10" s="82" t="str">
        <x:v>较高</x:v>
      </x:c>
      <x:c r="AC10" s="82" t="str">
        <x:v>现代综合</x:v>
      </x:c>
      <x:c r="AD10" s="68" t="str">
        <x:v>十神同时出现不等于组合成立。M11须同时验证核心十神有效性、作用路径、力量匹配、日主承载、破坏因素与救应；组合成立也不等于格局成立。</x:v>
      </x:c>
      <x:c r="AE10" s="68" t="str">
        <x:v>主体明显强于客体或客体明显强于主体；一方不足以承担预期生、制、化功能；作用路径稳定且无关键破坏，可按“十神组合通用判定”记录。</x:v>
      </x:c>
      <x:c r="AF10" s="90" t="str">
        <x:v>仅因“多个相关十神”同时出现，但核心十神无力、无作用路径或被关键因素破坏，不能判“十神组合通用判定”成立。</x:v>
      </x:c>
      <x:c r="AG10" s="68" t="str">
        <x:v>https://zh.wikisource.org/zh-hans/%E6%B7%B5%E6%B5%B7%E5%AD%90%E5%B9%B3 ; https://zh.wikisource.org/wiki/%E6%BB%B4%E5%A4%A9%E9%AB%93%E9%97%A1%E5%BE%AE</x:v>
      </x:c>
      <x:c r="AH10" s="82" t="str">
        <x:v>采用</x:v>
      </x:c>
      <x:c r="AI10" s="82" t="str">
        <x:v>初审</x:v>
      </x:c>
      <x:c r="AJ10" s="87" t="n">
        <x:v>46255</x:v>
      </x:c>
    </x:row>
    <x:row r="11">
      <x:c r="A11" s="72" t="str">
        <x:f>IF(OR(C11="",D11=""),"",B11&amp;"-"&amp;UPPER(C11)&amp;"-"&amp;TEXT(D11,"0000")&amp;"-"&amp;E11)</x:f>
        <x:v>M11-GEN-0005-V1.0</x:v>
      </x:c>
      <x:c r="B11" s="74" t="str">
        <x:v>M11</x:v>
      </x:c>
      <x:c r="C11" s="74" t="str">
        <x:v>GEN</x:v>
      </x:c>
      <x:c r="D11" s="215" t="n">
        <x:v>5</x:v>
      </x:c>
      <x:c r="E11" s="74" t="str">
        <x:v>V1.0</x:v>
      </x:c>
      <x:c r="F11" s="68" t="str">
        <x:v>组合必须检查日主承载</x:v>
      </x:c>
      <x:c r="G11" s="82" t="str">
        <x:v>结构层</x:v>
      </x:c>
      <x:c r="H11" s="82" t="str">
        <x:v>其他</x:v>
      </x:c>
      <x:c r="I11" s="68" t="str">
        <x:v>十神组合通用判定</x:v>
      </x:c>
      <x:c r="J11" s="68" t="str">
        <x:v>多个相关十神</x:v>
      </x:c>
      <x:c r="K11" s="68" t="str">
        <x:v>组合本身路径成立</x:v>
      </x:c>
      <x:c r="L11" s="68" t="str">
        <x:v>组合的泄、耗、制、生最终会反馈日主</x:v>
      </x:c>
      <x:c r="M11" s="68" t="str">
        <x:v>直接或可达的生克制化路径成立</x:v>
      </x:c>
      <x:c r="N11" s="68" t="str">
        <x:v>相关十神均以M10有效力量为准，且不存在决定性失衡</x:v>
      </x:c>
      <x:c r="O11" s="68" t="str">
        <x:v>若日主无法承载组合运行成本，组合功能需降级</x:v>
      </x:c>
      <x:c r="P11" s="68" t="str">
        <x:v>主体、客体、作用路径与力量匹配均达到最低要求</x:v>
      </x:c>
      <x:c r="Q11" s="68" t="str">
        <x:v>相关十神有根、有源、透达、清纯且关键通路稳定</x:v>
      </x:c>
      <x:c r="R11" s="90" t="str">
        <x:v>关键十神被合绊、被制、改性、失效或力量严重失衡</x:v>
      </x:c>
      <x:c r="S11" s="68" t="str">
        <x:v>存在第三十神恢复通路、清除破坏或重新形成平衡</x:v>
      </x:c>
      <x:c r="T11" s="90" t="str">
        <x:v>任一核心十神失效，或不存在真实作用路径</x:v>
      </x:c>
      <x:c r="U11" s="68" t="str">
        <x:v>特殊格局、从化或月令格局另转M14/M15复审</x:v>
      </x:c>
      <x:c r="V11" s="84" t="str">
        <x:v>基本成立</x:v>
      </x:c>
      <x:c r="W11" s="84" t="str">
        <x:v>形成局部生化、制化或承载结构</x:v>
      </x:c>
      <x:c r="X11" s="82" t="str">
        <x:v>否</x:v>
      </x:c>
      <x:c r="Y11" s="68" t="str">
        <x:v>对应格局候选转M14</x:v>
      </x:c>
      <x:c r="Z11" s="84" t="str">
        <x:v>组合承载约束</x:v>
      </x:c>
      <x:c r="AA11" s="84" t="str">
        <x:v>十神组合通用判定：当主体、客体、路径与力量匹配满足最低标准时，判“基本成立”；是否上升为格局转M14/M15。</x:v>
      </x:c>
      <x:c r="AB11" s="82" t="str">
        <x:v>较高</x:v>
      </x:c>
      <x:c r="AC11" s="82" t="str">
        <x:v>现代综合</x:v>
      </x:c>
      <x:c r="AD11" s="68" t="str">
        <x:v>十神同时出现不等于组合成立。M11须同时验证核心十神有效性、作用路径、力量匹配、日主承载、破坏因素与救应；组合成立也不等于格局成立。</x:v>
      </x:c>
      <x:c r="AE11" s="68" t="str">
        <x:v>组合本身路径成立；组合的泄、耗、制、生最终会反馈日主；作用路径稳定且无关键破坏，可按“十神组合通用判定”记录。</x:v>
      </x:c>
      <x:c r="AF11" s="90" t="str">
        <x:v>仅因“多个相关十神”同时出现，但核心十神无力、无作用路径或被关键因素破坏，不能判“十神组合通用判定”成立。</x:v>
      </x:c>
      <x:c r="AG11" s="68" t="str">
        <x:v>https://zh.wikisource.org/zh-hans/%E6%B7%B5%E6%B5%B7%E5%AD%90%E5%B9%B3 ; https://zh.wikisource.org/wiki/%E6%BB%B4%E5%A4%A9%E9%AB%93%E9%97%A1%E5%BE%AE</x:v>
      </x:c>
      <x:c r="AH11" s="82" t="str">
        <x:v>采用</x:v>
      </x:c>
      <x:c r="AI11" s="82" t="str">
        <x:v>初审</x:v>
      </x:c>
      <x:c r="AJ11" s="87" t="n">
        <x:v>46255</x:v>
      </x:c>
    </x:row>
    <x:row r="12">
      <x:c r="A12" s="72" t="str">
        <x:f>IF(OR(C12="",D12=""),"",B12&amp;"-"&amp;UPPER(C12)&amp;"-"&amp;TEXT(D12,"0000")&amp;"-"&amp;E12)</x:f>
        <x:v>M11-GEN-0006-V1.0</x:v>
      </x:c>
      <x:c r="B12" s="74" t="str">
        <x:v>M11</x:v>
      </x:c>
      <x:c r="C12" s="74" t="str">
        <x:v>GEN</x:v>
      </x:c>
      <x:c r="D12" s="215" t="n">
        <x:v>6</x:v>
      </x:c>
      <x:c r="E12" s="74" t="str">
        <x:v>V1.0</x:v>
      </x:c>
      <x:c r="F12" s="68" t="str">
        <x:v>一神多职不得重复全额调用</x:v>
      </x:c>
      <x:c r="G12" s="82" t="str">
        <x:v>结构层</x:v>
      </x:c>
      <x:c r="H12" s="82" t="str">
        <x:v>其他</x:v>
      </x:c>
      <x:c r="I12" s="68" t="str">
        <x:v>十神组合通用判定</x:v>
      </x:c>
      <x:c r="J12" s="68" t="str">
        <x:v>多个相关十神</x:v>
      </x:c>
      <x:c r="K12" s="68" t="str">
        <x:v>同一十神节点同时参与两个以上组合</x:v>
      </x:c>
      <x:c r="L12" s="68" t="str">
        <x:v>其有效力量存在容量上限</x:v>
      </x:c>
      <x:c r="M12" s="68" t="str">
        <x:v>直接或可达的生克制化路径成立</x:v>
      </x:c>
      <x:c r="N12" s="68" t="str">
        <x:v>相关十神均以M10有效力量为准，且不存在决定性失衡</x:v>
      </x:c>
      <x:c r="O12" s="68" t="str">
        <x:v>结合M09日主承载判断</x:v>
      </x:c>
      <x:c r="P12" s="68" t="str">
        <x:v>各组合共享同一节点时必须做容量分配</x:v>
      </x:c>
      <x:c r="Q12" s="68" t="str">
        <x:v>相关十神有根、有源、透达、清纯且关键通路稳定</x:v>
      </x:c>
      <x:c r="R12" s="90" t="str">
        <x:v>关键十神被合绊、被制、改性、失效或力量严重失衡</x:v>
      </x:c>
      <x:c r="S12" s="68" t="str">
        <x:v>存在第三十神恢复通路、清除破坏或重新形成平衡</x:v>
      </x:c>
      <x:c r="T12" s="90" t="str">
        <x:v>任一核心十神失效，或不存在真实作用路径</x:v>
      </x:c>
      <x:c r="U12" s="68" t="str">
        <x:v>特殊格局、从化或月令格局另转M14/M15复审</x:v>
      </x:c>
      <x:c r="V12" s="84" t="str">
        <x:v>待定</x:v>
      </x:c>
      <x:c r="W12" s="84" t="str">
        <x:v>防止同一力量在多组合中重复计量</x:v>
      </x:c>
      <x:c r="X12" s="82" t="str">
        <x:v>否</x:v>
      </x:c>
      <x:c r="Y12" s="68" t="str">
        <x:v>对应格局候选转M14</x:v>
      </x:c>
      <x:c r="Z12" s="84" t="str">
        <x:v>组合容量去重</x:v>
      </x:c>
      <x:c r="AA12" s="84" t="str">
        <x:v>十神组合通用判定：当主体、客体、路径与力量匹配满足最低标准时，判“待定”；是否上升为格局转M14/M15。</x:v>
      </x:c>
      <x:c r="AB12" s="82" t="str">
        <x:v>较高</x:v>
      </x:c>
      <x:c r="AC12" s="82" t="str">
        <x:v>现代综合</x:v>
      </x:c>
      <x:c r="AD12" s="68" t="str">
        <x:v>十神同时出现不等于组合成立。M11须同时验证核心十神有效性、作用路径、力量匹配、日主承载、破坏因素与救应；组合成立也不等于格局成立。</x:v>
      </x:c>
      <x:c r="AE12" s="68" t="str">
        <x:v>同一十神节点同时参与两个以上组合；其有效力量存在容量上限；作用路径稳定且无关键破坏，可按“十神组合通用判定”记录。</x:v>
      </x:c>
      <x:c r="AF12" s="90" t="str">
        <x:v>仅因“多个相关十神”同时出现，但核心十神无力、无作用路径或被关键因素破坏，不能判“十神组合通用判定”成立。</x:v>
      </x:c>
      <x:c r="AG12" s="68" t="str">
        <x:v>https://zh.wikisource.org/zh-hans/%E6%B7%B5%E6%B5%B7%E5%AD%90%E5%B9%B3 ; https://zh.wikisource.org/wiki/%E6%BB%B4%E5%A4%A9%E9%AB%93%E9%97%A1%E5%BE%AE</x:v>
      </x:c>
      <x:c r="AH12" s="82" t="str">
        <x:v>采用</x:v>
      </x:c>
      <x:c r="AI12" s="82" t="str">
        <x:v>初审</x:v>
      </x:c>
      <x:c r="AJ12" s="87" t="n">
        <x:v>46255</x:v>
      </x:c>
    </x:row>
    <x:row r="13">
      <x:c r="A13" s="72" t="str">
        <x:f>IF(OR(C13="",D13=""),"",B13&amp;"-"&amp;UPPER(C13)&amp;"-"&amp;TEXT(D13,"0000")&amp;"-"&amp;E13)</x:f>
        <x:v>M11-GEN-0007-V1.0</x:v>
      </x:c>
      <x:c r="B13" s="74" t="str">
        <x:v>M11</x:v>
      </x:c>
      <x:c r="C13" s="74" t="str">
        <x:v>GEN</x:v>
      </x:c>
      <x:c r="D13" s="215" t="n">
        <x:v>7</x:v>
      </x:c>
      <x:c r="E13" s="74" t="str">
        <x:v>V1.0</x:v>
      </x:c>
      <x:c r="F13" s="68" t="str">
        <x:v>强破坏因素可否决表面组合</x:v>
      </x:c>
      <x:c r="G13" s="82" t="str">
        <x:v>结构层</x:v>
      </x:c>
      <x:c r="H13" s="82" t="str">
        <x:v>其他</x:v>
      </x:c>
      <x:c r="I13" s="68" t="str">
        <x:v>十神组合通用判定</x:v>
      </x:c>
      <x:c r="J13" s="68" t="str">
        <x:v>多个相关十神</x:v>
      </x:c>
      <x:c r="K13" s="68" t="str">
        <x:v>组合表面条件齐全</x:v>
      </x:c>
      <x:c r="L13" s="68" t="str">
        <x:v>关键主体或客体被M06/M08确认合化、合住、强制或失效</x:v>
      </x:c>
      <x:c r="M13" s="68" t="str">
        <x:v>直接或可达的生克制化路径成立</x:v>
      </x:c>
      <x:c r="N13" s="68" t="str">
        <x:v>相关十神均以M10有效力量为准，且不存在决定性失衡</x:v>
      </x:c>
      <x:c r="O13" s="68" t="str">
        <x:v>结合M09日主承载判断</x:v>
      </x:c>
      <x:c r="P13" s="68" t="str">
        <x:v>主体、客体、作用路径与力量匹配均达到最低要求</x:v>
      </x:c>
      <x:c r="Q13" s="68" t="str">
        <x:v>相关十神有根、有源、透达、清纯且关键通路稳定</x:v>
      </x:c>
      <x:c r="R13" s="90" t="str">
        <x:v>关键十神被合绊、被制、改性、失效或力量严重失衡</x:v>
      </x:c>
      <x:c r="S13" s="68" t="str">
        <x:v>存在第三十神恢复通路、清除破坏或重新形成平衡</x:v>
      </x:c>
      <x:c r="T13" s="90" t="str">
        <x:v>关键核心十神失效或作用路径被完全切断</x:v>
      </x:c>
      <x:c r="U13" s="68" t="str">
        <x:v>特殊格局、从化或月令格局另转M14/M15复审</x:v>
      </x:c>
      <x:c r="V13" s="84" t="str">
        <x:v>不成立</x:v>
      </x:c>
      <x:c r="W13" s="84" t="str">
        <x:v>否决组合成立</x:v>
      </x:c>
      <x:c r="X13" s="82" t="str">
        <x:v>否</x:v>
      </x:c>
      <x:c r="Y13" s="68" t="str">
        <x:v>对应格局候选转M14</x:v>
      </x:c>
      <x:c r="Z13" s="84" t="str">
        <x:v>组合破坏否决</x:v>
      </x:c>
      <x:c r="AA13" s="84" t="str">
        <x:v>十神组合通用判定：当主体、客体、路径与力量匹配满足最低标准时，判“不成立”；是否上升为格局转M14/M15。</x:v>
      </x:c>
      <x:c r="AB13" s="82" t="str">
        <x:v>较高</x:v>
      </x:c>
      <x:c r="AC13" s="82" t="str">
        <x:v>现代综合</x:v>
      </x:c>
      <x:c r="AD13" s="68" t="str">
        <x:v>十神同时出现不等于组合成立。M11须同时验证核心十神有效性、作用路径、力量匹配、日主承载、破坏因素与救应；组合成立也不等于格局成立。</x:v>
      </x:c>
      <x:c r="AE13" s="68" t="str">
        <x:v>组合表面条件齐全；关键主体或客体被M06/M08确认合化、合住、强制或失效；作用路径稳定且无关键破坏，可按“十神组合通用判定”记录。</x:v>
      </x:c>
      <x:c r="AF13" s="90" t="str">
        <x:v>仅因“多个相关十神”同时出现，但核心十神无力、无作用路径或被关键因素破坏，不能判“十神组合通用判定”成立。</x:v>
      </x:c>
      <x:c r="AG13" s="68" t="str">
        <x:v>https://zh.wikisource.org/zh-hans/%E6%B7%B5%E6%B5%B7%E5%AD%90%E5%B9%B3 ; https://zh.wikisource.org/wiki/%E6%BB%B4%E5%A4%A9%E9%AB%93%E9%97%A1%E5%BE%AE</x:v>
      </x:c>
      <x:c r="AH13" s="82" t="str">
        <x:v>采用</x:v>
      </x:c>
      <x:c r="AI13" s="82" t="str">
        <x:v>初审</x:v>
      </x:c>
      <x:c r="AJ13" s="87" t="n">
        <x:v>46255</x:v>
      </x:c>
    </x:row>
    <x:row r="14">
      <x:c r="A14" s="72" t="str">
        <x:f>IF(OR(C14="",D14=""),"",B14&amp;"-"&amp;UPPER(C14)&amp;"-"&amp;TEXT(D14,"0000")&amp;"-"&amp;E14)</x:f>
        <x:v>M11-GEN-0008-V1.0</x:v>
      </x:c>
      <x:c r="B14" s="74" t="str">
        <x:v>M11</x:v>
      </x:c>
      <x:c r="C14" s="74" t="str">
        <x:v>GEN</x:v>
      </x:c>
      <x:c r="D14" s="215" t="n">
        <x:v>8</x:v>
      </x:c>
      <x:c r="E14" s="74" t="str">
        <x:v>V1.0</x:v>
      </x:c>
      <x:c r="F14" s="68" t="str">
        <x:v>救应只在恢复关键功能后有效</x:v>
      </x:c>
      <x:c r="G14" s="82" t="str">
        <x:v>结构层</x:v>
      </x:c>
      <x:c r="H14" s="82" t="str">
        <x:v>其他</x:v>
      </x:c>
      <x:c r="I14" s="68" t="str">
        <x:v>十神组合通用判定</x:v>
      </x:c>
      <x:c r="J14" s="68" t="str">
        <x:v>多个相关十神</x:v>
      </x:c>
      <x:c r="K14" s="68" t="str">
        <x:v>组合原有关键环节受损</x:v>
      </x:c>
      <x:c r="L14" s="68" t="str">
        <x:v>第三十神能够真实制去破坏、恢复主体或重建通路</x:v>
      </x:c>
      <x:c r="M14" s="68" t="str">
        <x:v>直接或可达的生克制化路径成立</x:v>
      </x:c>
      <x:c r="N14" s="68" t="str">
        <x:v>相关十神均以M10有效力量为准，且不存在决定性失衡</x:v>
      </x:c>
      <x:c r="O14" s="68" t="str">
        <x:v>结合M09日主承载判断</x:v>
      </x:c>
      <x:c r="P14" s="68" t="str">
        <x:v>主体、客体、作用路径与力量匹配均达到最低要求</x:v>
      </x:c>
      <x:c r="Q14" s="68" t="str">
        <x:v>相关十神有根、有源、透达、清纯且关键通路稳定</x:v>
      </x:c>
      <x:c r="R14" s="90" t="str">
        <x:v>关键十神被合绊、被制、改性、失效或力量严重失衡</x:v>
      </x:c>
      <x:c r="S14" s="68" t="str">
        <x:v>救应必须自身有效且作用对象准确</x:v>
      </x:c>
      <x:c r="T14" s="90" t="str">
        <x:v>任一核心十神失效，或不存在真实作用路径</x:v>
      </x:c>
      <x:c r="U14" s="68" t="str">
        <x:v>特殊格局、从化或月令格局另转M14/M15复审</x:v>
      </x:c>
      <x:c r="V14" s="84" t="str">
        <x:v>基本成立</x:v>
      </x:c>
      <x:c r="W14" s="84" t="str">
        <x:v>形成局部生化、制化或承载结构</x:v>
      </x:c>
      <x:c r="X14" s="82" t="str">
        <x:v>条件性</x:v>
      </x:c>
      <x:c r="Y14" s="68" t="str">
        <x:v>对应格局候选转M14</x:v>
      </x:c>
      <x:c r="Z14" s="84" t="str">
        <x:v>组合救应有效性</x:v>
      </x:c>
      <x:c r="AA14" s="84" t="str">
        <x:v>十神组合通用判定：当主体、客体、路径与力量匹配满足最低标准时，判“基本成立”；是否上升为格局转M14/M15。</x:v>
      </x:c>
      <x:c r="AB14" s="82" t="str">
        <x:v>较高</x:v>
      </x:c>
      <x:c r="AC14" s="82" t="str">
        <x:v>现代综合</x:v>
      </x:c>
      <x:c r="AD14" s="68" t="str">
        <x:v>十神同时出现不等于组合成立。M11须同时验证核心十神有效性、作用路径、力量匹配、日主承载、破坏因素与救应；组合成立也不等于格局成立。</x:v>
      </x:c>
      <x:c r="AE14" s="68" t="str">
        <x:v>组合原有关键环节受损；第三十神能够真实制去破坏、恢复主体或重建通路；作用路径稳定且无关键破坏，可按“十神组合通用判定”记录。</x:v>
      </x:c>
      <x:c r="AF14" s="90" t="str">
        <x:v>仅因“多个相关十神”同时出现，但核心十神无力、无作用路径或被关键因素破坏，不能判“十神组合通用判定”成立。</x:v>
      </x:c>
      <x:c r="AG14" s="68" t="str">
        <x:v>https://zh.wikisource.org/zh-hans/%E6%B7%B5%E6%B5%B7%E5%AD%90%E5%B9%B3 ; https://zh.wikisource.org/wiki/%E6%BB%B4%E5%A4%A9%E9%AB%93%E9%97%A1%E5%BE%AE</x:v>
      </x:c>
      <x:c r="AH14" s="82" t="str">
        <x:v>采用</x:v>
      </x:c>
      <x:c r="AI14" s="82" t="str">
        <x:v>初审</x:v>
      </x:c>
      <x:c r="AJ14" s="87" t="n">
        <x:v>46255</x:v>
      </x:c>
    </x:row>
    <x:row r="15">
      <x:c r="A15" s="72" t="str">
        <x:f>IF(OR(C15="",D15=""),"",B15&amp;"-"&amp;UPPER(C15)&amp;"-"&amp;TEXT(D15,"0000")&amp;"-"&amp;E15)</x:f>
        <x:v>M11-GEN-0009-V1.0</x:v>
      </x:c>
      <x:c r="B15" s="74" t="str">
        <x:v>M11</x:v>
      </x:c>
      <x:c r="C15" s="74" t="str">
        <x:v>GEN</x:v>
      </x:c>
      <x:c r="D15" s="215" t="n">
        <x:v>9</x:v>
      </x:c>
      <x:c r="E15" s="74" t="str">
        <x:v>V1.0</x:v>
      </x:c>
      <x:c r="F15" s="68" t="str">
        <x:v>组合成立与格局成立必须分层</x:v>
      </x:c>
      <x:c r="G15" s="82" t="str">
        <x:v>结构层</x:v>
      </x:c>
      <x:c r="H15" s="82" t="str">
        <x:v>其他</x:v>
      </x:c>
      <x:c r="I15" s="68" t="str">
        <x:v>十神组合通用判定</x:v>
      </x:c>
      <x:c r="J15" s="68" t="str">
        <x:v>多个相关十神</x:v>
      </x:c>
      <x:c r="K15" s="68" t="str">
        <x:v>M11已确认局部组合成立</x:v>
      </x:c>
      <x:c r="L15" s="68" t="str">
        <x:v>尚未验证月令、格神、全局主导性和破格救应</x:v>
      </x:c>
      <x:c r="M15" s="68" t="str">
        <x:v>直接或可达的生克制化路径成立</x:v>
      </x:c>
      <x:c r="N15" s="68" t="str">
        <x:v>相关十神均以M10有效力量为准，且不存在决定性失衡</x:v>
      </x:c>
      <x:c r="O15" s="68" t="str">
        <x:v>结合M09日主承载判断</x:v>
      </x:c>
      <x:c r="P15" s="68" t="str">
        <x:v>M11只输出组合成立等级</x:v>
      </x:c>
      <x:c r="Q15" s="68" t="str">
        <x:v>相关十神有根、有源、透达、清纯且关键通路稳定</x:v>
      </x:c>
      <x:c r="R15" s="90" t="str">
        <x:v>关键十神被合绊、被制、改性、失效或力量严重失衡</x:v>
      </x:c>
      <x:c r="S15" s="68" t="str">
        <x:v>存在第三十神恢复通路、清除破坏或重新形成平衡</x:v>
      </x:c>
      <x:c r="T15" s="90" t="str">
        <x:v>任一核心十神失效，或不存在真实作用路径</x:v>
      </x:c>
      <x:c r="U15" s="68" t="str">
        <x:v>特殊格局、从化或月令格局另转M14/M15复审</x:v>
      </x:c>
      <x:c r="V15" s="84" t="str">
        <x:v>明显成立</x:v>
      </x:c>
      <x:c r="W15" s="84" t="str">
        <x:v>提供M14候选，不直接定格</x:v>
      </x:c>
      <x:c r="X15" s="82" t="str">
        <x:v>条件性</x:v>
      </x:c>
      <x:c r="Y15" s="68" t="str">
        <x:v>对应格局候选转M14</x:v>
      </x:c>
      <x:c r="Z15" s="84" t="str">
        <x:v>组合格局分离</x:v>
      </x:c>
      <x:c r="AA15" s="84" t="str">
        <x:v>十神组合通用判定：当主体、客体、路径与力量匹配满足最低标准时，判“明显成立”；是否上升为格局转M14/M15。</x:v>
      </x:c>
      <x:c r="AB15" s="82" t="str">
        <x:v>较高</x:v>
      </x:c>
      <x:c r="AC15" s="82" t="str">
        <x:v>现代综合</x:v>
      </x:c>
      <x:c r="AD15" s="68" t="str">
        <x:v>十神同时出现不等于组合成立。M11须同时验证核心十神有效性、作用路径、力量匹配、日主承载、破坏因素与救应；组合成立也不等于格局成立。</x:v>
      </x:c>
      <x:c r="AE15" s="68" t="str">
        <x:v>M11已确认局部组合成立；尚未验证月令、格神、全局主导性和破格救应；作用路径稳定且无关键破坏，可按“十神组合通用判定”记录。</x:v>
      </x:c>
      <x:c r="AF15" s="90" t="str">
        <x:v>仅因“多个相关十神”同时出现，但核心十神无力、无作用路径或被关键因素破坏，不能判“十神组合通用判定”成立。</x:v>
      </x:c>
      <x:c r="AG15" s="68" t="str">
        <x:v>https://zh.wikisource.org/zh-hans/%E6%B7%B5%E6%B5%B7%E5%AD%90%E5%B9%B3 ; https://zh.wikisource.org/wiki/%E6%BB%B4%E5%A4%A9%E9%AB%93%E9%97%A1%E5%BE%AE</x:v>
      </x:c>
      <x:c r="AH15" s="82" t="str">
        <x:v>采用</x:v>
      </x:c>
      <x:c r="AI15" s="82" t="str">
        <x:v>初审</x:v>
      </x:c>
      <x:c r="AJ15" s="87" t="n">
        <x:v>46255</x:v>
      </x:c>
    </x:row>
    <x:row r="16">
      <x:c r="A16" s="72" t="str">
        <x:f>IF(OR(C16="",D16=""),"",B16&amp;"-"&amp;UPPER(C16)&amp;"-"&amp;TEXT(D16,"0000")&amp;"-"&amp;E16)</x:f>
        <x:v>M11-GEN-0010-V1.0</x:v>
      </x:c>
      <x:c r="B16" s="74" t="str">
        <x:v>M11</x:v>
      </x:c>
      <x:c r="C16" s="74" t="str">
        <x:v>GEN</x:v>
      </x:c>
      <x:c r="D16" s="215" t="n">
        <x:v>10</x:v>
      </x:c>
      <x:c r="E16" s="74" t="str">
        <x:v>V1.0</x:v>
      </x:c>
      <x:c r="F16" s="68" t="str">
        <x:v>组合输出必须同时保留破坏与反证</x:v>
      </x:c>
      <x:c r="G16" s="82" t="str">
        <x:v>结构层</x:v>
      </x:c>
      <x:c r="H16" s="82" t="str">
        <x:v>其他</x:v>
      </x:c>
      <x:c r="I16" s="68" t="str">
        <x:v>十神组合通用判定</x:v>
      </x:c>
      <x:c r="J16" s="68" t="str">
        <x:v>多个相关十神</x:v>
      </x:c>
      <x:c r="K16" s="68" t="str">
        <x:v>任一组合被判为弱成立以上</x:v>
      </x:c>
      <x:c r="L16" s="68" t="str">
        <x:v>必须记录主要成立证据、破坏因素和救应因素</x:v>
      </x:c>
      <x:c r="M16" s="68" t="str">
        <x:v>直接或可达的生克制化路径成立</x:v>
      </x:c>
      <x:c r="N16" s="68" t="str">
        <x:v>相关十神均以M10有效力量为准，且不存在决定性失衡</x:v>
      </x:c>
      <x:c r="O16" s="68" t="str">
        <x:v>结合M09日主承载判断</x:v>
      </x:c>
      <x:c r="P16" s="68" t="str">
        <x:v>成立证据与反证均有记录</x:v>
      </x:c>
      <x:c r="Q16" s="68" t="str">
        <x:v>相关十神有根、有源、透达、清纯且关键通路稳定</x:v>
      </x:c>
      <x:c r="R16" s="90" t="str">
        <x:v>关键十神被合绊、被制、改性、失效或力量严重失衡</x:v>
      </x:c>
      <x:c r="S16" s="68" t="str">
        <x:v>存在第三十神恢复通路、清除破坏或重新形成平衡</x:v>
      </x:c>
      <x:c r="T16" s="90" t="str">
        <x:v>任一核心十神失效，或不存在真实作用路径</x:v>
      </x:c>
      <x:c r="U16" s="68" t="str">
        <x:v>特殊格局、从化或月令格局另转M14/M15复审</x:v>
      </x:c>
      <x:c r="V16" s="84" t="str">
        <x:v>待定</x:v>
      </x:c>
      <x:c r="W16" s="84" t="str">
        <x:v>形成可追溯组合结论</x:v>
      </x:c>
      <x:c r="X16" s="82" t="str">
        <x:v>待定</x:v>
      </x:c>
      <x:c r="Y16" s="68" t="str">
        <x:v>对应格局候选转M14</x:v>
      </x:c>
      <x:c r="Z16" s="84" t="str">
        <x:v>组合标准输出</x:v>
      </x:c>
      <x:c r="AA16" s="84" t="str">
        <x:v>每个组合至少输出：核心十神、主体/客体、路径、力量匹配、日主承载、破坏、救应、成立等级、实际功能、是否具备格局候选资格。</x:v>
      </x:c>
      <x:c r="AB16" s="82" t="str">
        <x:v>较高</x:v>
      </x:c>
      <x:c r="AC16" s="82" t="str">
        <x:v>现代综合</x:v>
      </x:c>
      <x:c r="AD16" s="68" t="str">
        <x:v>十神同时出现不等于组合成立。M11须同时验证核心十神有效性、作用路径、力量匹配、日主承载、破坏因素与救应；组合成立也不等于格局成立。</x:v>
      </x:c>
      <x:c r="AE16" s="68" t="str">
        <x:v>任一组合被判为弱成立以上；必须记录主要成立证据、破坏因素和救应因素；作用路径稳定且无关键破坏，可按“十神组合通用判定”记录。</x:v>
      </x:c>
      <x:c r="AF16" s="90" t="str">
        <x:v>仅因“多个相关十神”同时出现，但核心十神无力、无作用路径或被关键因素破坏，不能判“十神组合通用判定”成立。</x:v>
      </x:c>
      <x:c r="AG16" s="68" t="str">
        <x:v>https://zh.wikisource.org/zh-hans/%E6%B7%B5%E6%B5%B7%E5%AD%90%E5%B9%B3 ; https://zh.wikisource.org/wiki/%E6%BB%B4%E5%A4%A9%E9%AB%93%E9%97%A1%E5%BE%AE</x:v>
      </x:c>
      <x:c r="AH16" s="82" t="str">
        <x:v>采用</x:v>
      </x:c>
      <x:c r="AI16" s="82" t="str">
        <x:v>初审</x:v>
      </x:c>
      <x:c r="AJ16" s="87" t="n">
        <x:v>46255</x:v>
      </x:c>
    </x:row>
    <x:row r="17">
      <x:c r="A17" s="72" t="str">
        <x:f>IF(OR(C17="",D17=""),"",B17&amp;"-"&amp;UPPER(C17)&amp;"-"&amp;TEXT(D17,"0000")&amp;"-"&amp;E17)</x:f>
        <x:v>M11-SHIZHI-0011-V1.0</x:v>
      </x:c>
      <x:c r="B17" s="74" t="str">
        <x:v>M11</x:v>
      </x:c>
      <x:c r="C17" s="74" t="str">
        <x:v>SHIZHI</x:v>
      </x:c>
      <x:c r="D17" s="215" t="n">
        <x:v>11</x:v>
      </x:c>
      <x:c r="E17" s="74" t="str">
        <x:v>V1.0</x:v>
      </x:c>
      <x:c r="F17" s="68" t="str">
        <x:v>七杀必须真实有力并对日主形成压力</x:v>
      </x:c>
      <x:c r="G17" s="82" t="str">
        <x:v>结构层</x:v>
      </x:c>
      <x:c r="H17" s="82" t="str">
        <x:v>制化型</x:v>
      </x:c>
      <x:c r="I17" s="68" t="str">
        <x:v>食神制杀</x:v>
      </x:c>
      <x:c r="J17" s="68" t="str">
        <x:v>食神、七杀</x:v>
      </x:c>
      <x:c r="K17" s="68" t="str">
        <x:v>七杀有效力量达到中和偏旺以上，或虽不旺但形成直接制身压力</x:v>
      </x:c>
      <x:c r="L17" s="68" t="str">
        <x:v>食神有效且具有克制七杀的能力</x:v>
      </x:c>
      <x:c r="M17" s="68" t="str">
        <x:v>食神与七杀之间存在直接可达的克制路径</x:v>
      </x:c>
      <x:c r="N17" s="68" t="str">
        <x:v>相关十神均以M10有效力量为准，且不存在决定性失衡</x:v>
      </x:c>
      <x:c r="O17" s="68" t="str">
        <x:v>日主至少能承受食神泄身，且有必要制杀</x:v>
      </x:c>
      <x:c r="P17" s="68" t="str">
        <x:v>杀有力、食有力、食能制杀、无强枭夺食</x:v>
      </x:c>
      <x:c r="Q17" s="68" t="str">
        <x:v>相关十神有根、有源、透达、清纯且关键通路稳定</x:v>
      </x:c>
      <x:c r="R17" s="90" t="str">
        <x:v>关键十神被合绊、被制、改性、失效或力量严重失衡</x:v>
      </x:c>
      <x:c r="S17" s="68" t="str">
        <x:v>存在第三十神恢复通路、清除破坏或重新形成平衡</x:v>
      </x:c>
      <x:c r="T17" s="90" t="str">
        <x:v>任一核心十神失效，或不存在真实作用路径</x:v>
      </x:c>
      <x:c r="U17" s="68" t="str">
        <x:v>特殊格局、从化或月令格局另转M14/M15复审</x:v>
      </x:c>
      <x:c r="V17" s="84" t="str">
        <x:v>基本成立</x:v>
      </x:c>
      <x:c r="W17" s="84" t="str">
        <x:v>降低七杀制身压力</x:v>
      </x:c>
      <x:c r="X17" s="82" t="str">
        <x:v>条件性</x:v>
      </x:c>
      <x:c r="Y17" s="68" t="str">
        <x:v>食神制杀格候选</x:v>
      </x:c>
      <x:c r="Z17" s="84" t="str">
        <x:v>食神制杀_成立条件</x:v>
      </x:c>
      <x:c r="AA17" s="84" t="str">
        <x:v>食神制杀：当主体、客体、路径与力量匹配满足最低标准时，判“基本成立”；是否上升为格局转M14/M15。</x:v>
      </x:c>
      <x:c r="AB17" s="82" t="str">
        <x:v>较高</x:v>
      </x:c>
      <x:c r="AC17" s="82" t="str">
        <x:v>现代综合</x:v>
      </x:c>
      <x:c r="AD17" s="68" t="str">
        <x:v>十神同时出现不等于组合成立。M11须同时验证核心十神有效性、作用路径、力量匹配、日主承载、破坏因素与救应；组合成立也不等于格局成立。</x:v>
      </x:c>
      <x:c r="AE17" s="68" t="str">
        <x:v>七杀有效力量达到中和偏旺以上，或虽不旺但形成直接制身压力；食神有效且具有克制七杀的能力；作用路径稳定且无关键破坏，可按“食神制杀”记录。</x:v>
      </x:c>
      <x:c r="AF17" s="90" t="str">
        <x:v>仅因“食神、七杀”同时出现，但核心十神无力、无作用路径或被关键因素破坏，不能判“食神制杀”成立。</x:v>
      </x:c>
      <x:c r="AG17" s="68" t="str">
        <x:v>https://zh.wikisource.org/zh-hans/%E6%B7%B5%E6%B5%B7%E5%AD%90%E5%B9%B3 ; https://zh.wikisource.org/wiki/%E6%BB%B4%E5%A4%A9%E9%AB%93%E9%97%A1%E5%BE%AE</x:v>
      </x:c>
      <x:c r="AH17" s="82" t="str">
        <x:v>采用</x:v>
      </x:c>
      <x:c r="AI17" s="82" t="str">
        <x:v>初审</x:v>
      </x:c>
      <x:c r="AJ17" s="87" t="n">
        <x:v>46255</x:v>
      </x:c>
    </x:row>
    <x:row r="18">
      <x:c r="A18" s="72" t="str">
        <x:f>IF(OR(C18="",D18=""),"",B18&amp;"-"&amp;UPPER(C18)&amp;"-"&amp;TEXT(D18,"0000")&amp;"-"&amp;E18)</x:f>
        <x:v>M11-SHIZHI-0012-V1.0</x:v>
      </x:c>
      <x:c r="B18" s="74" t="str">
        <x:v>M11</x:v>
      </x:c>
      <x:c r="C18" s="74" t="str">
        <x:v>SHIZHI</x:v>
      </x:c>
      <x:c r="D18" s="215" t="n">
        <x:v>12</x:v>
      </x:c>
      <x:c r="E18" s="74" t="str">
        <x:v>V1.0</x:v>
      </x:c>
      <x:c r="F18" s="68" t="str">
        <x:v>食神自身必须有根有源或稳定有效</x:v>
      </x:c>
      <x:c r="G18" s="82" t="str">
        <x:v>结构层</x:v>
      </x:c>
      <x:c r="H18" s="82" t="str">
        <x:v>制化型</x:v>
      </x:c>
      <x:c r="I18" s="68" t="str">
        <x:v>食神制杀</x:v>
      </x:c>
      <x:c r="J18" s="68" t="str">
        <x:v>食神、七杀</x:v>
      </x:c>
      <x:c r="K18" s="68" t="str">
        <x:v>食神不只是浮干或微弱藏气</x:v>
      </x:c>
      <x:c r="L18" s="68" t="str">
        <x:v>七杀存在真实压力</x:v>
      </x:c>
      <x:c r="M18" s="68" t="str">
        <x:v>直接或可达的生克制化路径成立</x:v>
      </x:c>
      <x:c r="N18" s="68" t="str">
        <x:v>食神至少达到可稳定执行制杀的有效等级</x:v>
      </x:c>
      <x:c r="O18" s="68" t="str">
        <x:v>结合M09日主承载判断</x:v>
      </x:c>
      <x:c r="P18" s="68" t="str">
        <x:v>主体、客体、作用路径与力量匹配均达到最低要求</x:v>
      </x:c>
      <x:c r="Q18" s="68" t="str">
        <x:v>相关十神有根、有源、透达、清纯且关键通路稳定</x:v>
      </x:c>
      <x:c r="R18" s="90" t="str">
        <x:v>关键十神被合绊、被制、改性、失效或力量严重失衡</x:v>
      </x:c>
      <x:c r="S18" s="68" t="str">
        <x:v>存在第三十神恢复通路、清除破坏或重新形成平衡</x:v>
      </x:c>
      <x:c r="T18" s="90" t="str">
        <x:v>任一核心十神失效，或不存在真实作用路径</x:v>
      </x:c>
      <x:c r="U18" s="68" t="str">
        <x:v>特殊格局、从化或月令格局另转M14/M15复审</x:v>
      </x:c>
      <x:c r="V18" s="84" t="str">
        <x:v>基本成立</x:v>
      </x:c>
      <x:c r="W18" s="84" t="str">
        <x:v>形成局部生化、制化或承载结构</x:v>
      </x:c>
      <x:c r="X18" s="82" t="str">
        <x:v>条件性</x:v>
      </x:c>
      <x:c r="Y18" s="68" t="str">
        <x:v>对应格局候选转M14</x:v>
      </x:c>
      <x:c r="Z18" s="84" t="str">
        <x:v>食神制杀_食神有效性</x:v>
      </x:c>
      <x:c r="AA18" s="84" t="str">
        <x:v>食神制杀：当主体、客体、路径与力量匹配满足最低标准时，判“基本成立”；是否上升为格局转M14/M15。</x:v>
      </x:c>
      <x:c r="AB18" s="82" t="str">
        <x:v>较高</x:v>
      </x:c>
      <x:c r="AC18" s="82" t="str">
        <x:v>现代综合</x:v>
      </x:c>
      <x:c r="AD18" s="68" t="str">
        <x:v>十神同时出现不等于组合成立。M11须同时验证核心十神有效性、作用路径、力量匹配、日主承载、破坏因素与救应；组合成立也不等于格局成立。</x:v>
      </x:c>
      <x:c r="AE18" s="68" t="str">
        <x:v>食神不只是浮干或微弱藏气；七杀存在真实压力；作用路径稳定且无关键破坏，可按“食神制杀”记录。</x:v>
      </x:c>
      <x:c r="AF18" s="90" t="str">
        <x:v>仅因“食神、七杀”同时出现，但核心十神无力、无作用路径或被关键因素破坏，不能判“食神制杀”成立。</x:v>
      </x:c>
      <x:c r="AG18" s="68" t="str">
        <x:v>https://zh.wikisource.org/zh-hans/%E6%B7%B5%E6%B5%B7%E5%AD%90%E5%B9%B3 ; https://zh.wikisource.org/wiki/%E6%BB%B4%E5%A4%A9%E9%AB%93%E9%97%A1%E5%BE%AE</x:v>
      </x:c>
      <x:c r="AH18" s="82" t="str">
        <x:v>采用</x:v>
      </x:c>
      <x:c r="AI18" s="82" t="str">
        <x:v>初审</x:v>
      </x:c>
      <x:c r="AJ18" s="87" t="n">
        <x:v>46255</x:v>
      </x:c>
    </x:row>
    <x:row r="19">
      <x:c r="A19" s="72" t="str">
        <x:f>IF(OR(C19="",D19=""),"",B19&amp;"-"&amp;UPPER(C19)&amp;"-"&amp;TEXT(D19,"0000")&amp;"-"&amp;E19)</x:f>
        <x:v>M11-SHIZHI-0013-V1.0</x:v>
      </x:c>
      <x:c r="B19" s="74" t="str">
        <x:v>M11</x:v>
      </x:c>
      <x:c r="C19" s="74" t="str">
        <x:v>SHIZHI</x:v>
      </x:c>
      <x:c r="D19" s="215" t="n">
        <x:v>13</x:v>
      </x:c>
      <x:c r="E19" s="74" t="str">
        <x:v>V1.0</x:v>
      </x:c>
      <x:c r="F19" s="68" t="str">
        <x:v>七杀太弱无须制时组合降级</x:v>
      </x:c>
      <x:c r="G19" s="82" t="str">
        <x:v>结构层</x:v>
      </x:c>
      <x:c r="H19" s="82" t="str">
        <x:v>制化型</x:v>
      </x:c>
      <x:c r="I19" s="68" t="str">
        <x:v>食神制杀</x:v>
      </x:c>
      <x:c r="J19" s="68" t="str">
        <x:v>食神、七杀</x:v>
      </x:c>
      <x:c r="K19" s="68" t="str">
        <x:v>七杀极弱或已失效</x:v>
      </x:c>
      <x:c r="L19" s="68" t="str">
        <x:v>食神虽有力但缺少真实制杀对象</x:v>
      </x:c>
      <x:c r="M19" s="68" t="str">
        <x:v>直接或可达的生克制化路径成立</x:v>
      </x:c>
      <x:c r="N19" s="68" t="str">
        <x:v>相关十神均以M10有效力量为准，且不存在决定性失衡</x:v>
      </x:c>
      <x:c r="O19" s="68" t="str">
        <x:v>结合M09日主承载判断</x:v>
      </x:c>
      <x:c r="P19" s="68" t="str">
        <x:v>只可记录食神存在，不构成必要制杀</x:v>
      </x:c>
      <x:c r="Q19" s="68" t="str">
        <x:v>相关十神有根、有源、透达、清纯且关键通路稳定</x:v>
      </x:c>
      <x:c r="R19" s="90" t="str">
        <x:v>关键十神被合绊、被制、改性、失效或力量严重失衡</x:v>
      </x:c>
      <x:c r="S19" s="68" t="str">
        <x:v>存在第三十神恢复通路、清除破坏或重新形成平衡</x:v>
      </x:c>
      <x:c r="T19" s="90" t="str">
        <x:v>任一核心十神失效，或不存在真实作用路径</x:v>
      </x:c>
      <x:c r="U19" s="68" t="str">
        <x:v>特殊格局、从化或月令格局另转M14/M15复审</x:v>
      </x:c>
      <x:c r="V19" s="84" t="str">
        <x:v>不成立</x:v>
      </x:c>
      <x:c r="W19" s="84" t="str">
        <x:v>无制杀必要</x:v>
      </x:c>
      <x:c r="X19" s="82" t="str">
        <x:v>否</x:v>
      </x:c>
      <x:c r="Y19" s="68" t="str">
        <x:v>无</x:v>
      </x:c>
      <x:c r="Z19" s="84" t="str">
        <x:v>食神制杀_杀弱否决</x:v>
      </x:c>
      <x:c r="AA19" s="84" t="str">
        <x:v>食神制杀：当主体、客体、路径与力量匹配满足最低标准时，判“不成立”；是否上升为格局转M14/M15。</x:v>
      </x:c>
      <x:c r="AB19" s="82" t="str">
        <x:v>较高</x:v>
      </x:c>
      <x:c r="AC19" s="82" t="str">
        <x:v>现代综合</x:v>
      </x:c>
      <x:c r="AD19" s="68" t="str">
        <x:v>十神同时出现不等于组合成立。M11须同时验证核心十神有效性、作用路径、力量匹配、日主承载、破坏因素与救应；组合成立也不等于格局成立。</x:v>
      </x:c>
      <x:c r="AE19" s="68" t="str">
        <x:v>七杀极弱或已失效；食神虽有力但缺少真实制杀对象；作用路径稳定且无关键破坏，可按“食神制杀”记录。</x:v>
      </x:c>
      <x:c r="AF19" s="90" t="str">
        <x:v>仅因“食神、七杀”同时出现，但核心十神无力、无作用路径或被关键因素破坏，不能判“食神制杀”成立。</x:v>
      </x:c>
      <x:c r="AG19" s="68" t="str">
        <x:v>https://zh.wikisource.org/zh-hans/%E6%B7%B5%E6%B5%B7%E5%AD%90%E5%B9%B3 ; https://zh.wikisource.org/wiki/%E6%BB%B4%E5%A4%A9%E9%AB%93%E9%97%A1%E5%BE%AE</x:v>
      </x:c>
      <x:c r="AH19" s="82" t="str">
        <x:v>采用</x:v>
      </x:c>
      <x:c r="AI19" s="82" t="str">
        <x:v>初审</x:v>
      </x:c>
      <x:c r="AJ19" s="87" t="n">
        <x:v>46255</x:v>
      </x:c>
    </x:row>
    <x:row r="20">
      <x:c r="A20" s="72" t="str">
        <x:f>IF(OR(C20="",D20=""),"",B20&amp;"-"&amp;UPPER(C20)&amp;"-"&amp;TEXT(D20,"0000")&amp;"-"&amp;E20)</x:f>
        <x:v>M11-SHIZHI-0014-V1.0</x:v>
      </x:c>
      <x:c r="B20" s="74" t="str">
        <x:v>M11</x:v>
      </x:c>
      <x:c r="C20" s="74" t="str">
        <x:v>SHIZHI</x:v>
      </x:c>
      <x:c r="D20" s="215" t="n">
        <x:v>14</x:v>
      </x:c>
      <x:c r="E20" s="74" t="str">
        <x:v>V1.0</x:v>
      </x:c>
      <x:c r="F20" s="68" t="str">
        <x:v>食神太弱不能有效制杀</x:v>
      </x:c>
      <x:c r="G20" s="82" t="str">
        <x:v>结构层</x:v>
      </x:c>
      <x:c r="H20" s="82" t="str">
        <x:v>制化型</x:v>
      </x:c>
      <x:c r="I20" s="68" t="str">
        <x:v>食神制杀</x:v>
      </x:c>
      <x:c r="J20" s="68" t="str">
        <x:v>食神、七杀</x:v>
      </x:c>
      <x:c r="K20" s="68" t="str">
        <x:v>七杀旺而食神仅弱或中和偏弱</x:v>
      </x:c>
      <x:c r="L20" s="68" t="str">
        <x:v>食神克制容量不足</x:v>
      </x:c>
      <x:c r="M20" s="68" t="str">
        <x:v>直接或可达的生克制化路径成立</x:v>
      </x:c>
      <x:c r="N20" s="68" t="str">
        <x:v>杀明显强于食</x:v>
      </x:c>
      <x:c r="O20" s="68" t="str">
        <x:v>结合M09日主承载判断</x:v>
      </x:c>
      <x:c r="P20" s="68" t="str">
        <x:v>主体、客体、作用路径与力量匹配均达到最低要求</x:v>
      </x:c>
      <x:c r="Q20" s="68" t="str">
        <x:v>相关十神有根、有源、透达、清纯且关键通路稳定</x:v>
      </x:c>
      <x:c r="R20" s="90" t="str">
        <x:v>关键十神被合绊、被制、改性、失效或力量严重失衡</x:v>
      </x:c>
      <x:c r="S20" s="68" t="str">
        <x:v>存在第三十神恢复通路、清除破坏或重新形成平衡</x:v>
      </x:c>
      <x:c r="T20" s="90" t="str">
        <x:v>任一核心十神失效，或不存在真实作用路径</x:v>
      </x:c>
      <x:c r="U20" s="68" t="str">
        <x:v>特殊格局、从化或月令格局另转M14/M15复审</x:v>
      </x:c>
      <x:c r="V20" s="84" t="str">
        <x:v>弱成立</x:v>
      </x:c>
      <x:c r="W20" s="84" t="str">
        <x:v>制杀不足</x:v>
      </x:c>
      <x:c r="X20" s="82" t="str">
        <x:v>否</x:v>
      </x:c>
      <x:c r="Y20" s="68" t="str">
        <x:v>对应格局候选转M14</x:v>
      </x:c>
      <x:c r="Z20" s="84" t="str">
        <x:v>食神制杀_食弱</x:v>
      </x:c>
      <x:c r="AA20" s="84" t="str">
        <x:v>食神制杀：当主体、客体、路径与力量匹配满足最低标准时，判“弱成立”；是否上升为格局转M14/M15。</x:v>
      </x:c>
      <x:c r="AB20" s="82" t="str">
        <x:v>较高</x:v>
      </x:c>
      <x:c r="AC20" s="82" t="str">
        <x:v>现代综合</x:v>
      </x:c>
      <x:c r="AD20" s="68" t="str">
        <x:v>十神同时出现不等于组合成立。M11须同时验证核心十神有效性、作用路径、力量匹配、日主承载、破坏因素与救应；组合成立也不等于格局成立。</x:v>
      </x:c>
      <x:c r="AE20" s="68" t="str">
        <x:v>七杀旺而食神仅弱或中和偏弱；食神克制容量不足；作用路径稳定且无关键破坏，可按“食神制杀”记录。</x:v>
      </x:c>
      <x:c r="AF20" s="90" t="str">
        <x:v>仅因“食神、七杀”同时出现，但核心十神无力、无作用路径或被关键因素破坏，不能判“食神制杀”成立。</x:v>
      </x:c>
      <x:c r="AG20" s="68" t="str">
        <x:v>https://zh.wikisource.org/zh-hans/%E6%B7%B5%E6%B5%B7%E5%AD%90%E5%B9%B3 ; https://zh.wikisource.org/wiki/%E6%BB%B4%E5%A4%A9%E9%AB%93%E9%97%A1%E5%BE%AE</x:v>
      </x:c>
      <x:c r="AH20" s="82" t="str">
        <x:v>采用</x:v>
      </x:c>
      <x:c r="AI20" s="82" t="str">
        <x:v>初审</x:v>
      </x:c>
      <x:c r="AJ20" s="87" t="n">
        <x:v>46255</x:v>
      </x:c>
    </x:row>
    <x:row r="21">
      <x:c r="A21" s="72" t="str">
        <x:f>IF(OR(C21="",D21=""),"",B21&amp;"-"&amp;UPPER(C21)&amp;"-"&amp;TEXT(D21,"0000")&amp;"-"&amp;E21)</x:f>
        <x:v>M11-SHIZHI-0015-V1.0</x:v>
      </x:c>
      <x:c r="B21" s="74" t="str">
        <x:v>M11</x:v>
      </x:c>
      <x:c r="C21" s="74" t="str">
        <x:v>SHIZHI</x:v>
      </x:c>
      <x:c r="D21" s="215" t="n">
        <x:v>15</x:v>
      </x:c>
      <x:c r="E21" s="74" t="str">
        <x:v>V1.0</x:v>
      </x:c>
      <x:c r="F21" s="68" t="str">
        <x:v>制杀太过时由平衡转为失衡</x:v>
      </x:c>
      <x:c r="G21" s="82" t="str">
        <x:v>结构层</x:v>
      </x:c>
      <x:c r="H21" s="82" t="str">
        <x:v>制化型</x:v>
      </x:c>
      <x:c r="I21" s="68" t="str">
        <x:v>食神制杀</x:v>
      </x:c>
      <x:c r="J21" s="68" t="str">
        <x:v>食神、七杀</x:v>
      </x:c>
      <x:c r="K21" s="68" t="str">
        <x:v>食神食伤集团过旺，七杀被制至失效或残弱</x:v>
      </x:c>
      <x:c r="L21" s="68" t="str">
        <x:v>杀已不足以承担制衡功能</x:v>
      </x:c>
      <x:c r="M21" s="68" t="str">
        <x:v>直接或可达的生克制化路径成立</x:v>
      </x:c>
      <x:c r="N21" s="68" t="str">
        <x:v>食明显强于杀</x:v>
      </x:c>
      <x:c r="O21" s="68" t="str">
        <x:v>结合M09日主承载判断</x:v>
      </x:c>
      <x:c r="P21" s="68" t="str">
        <x:v>主体、客体、作用路径与力量匹配均达到最低要求</x:v>
      </x:c>
      <x:c r="Q21" s="68" t="str">
        <x:v>相关十神有根、有源、透达、清纯且关键通路稳定</x:v>
      </x:c>
      <x:c r="R21" s="90" t="str">
        <x:v>关键十神被合绊、被制、改性、失效或力量严重失衡</x:v>
      </x:c>
      <x:c r="S21" s="68" t="str">
        <x:v>存在第三十神恢复通路、清除破坏或重新形成平衡</x:v>
      </x:c>
      <x:c r="T21" s="90" t="str">
        <x:v>任一核心十神失效，或不存在真实作用路径</x:v>
      </x:c>
      <x:c r="U21" s="68" t="str">
        <x:v>特殊格局、从化或月令格局另转M14/M15复审</x:v>
      </x:c>
      <x:c r="V21" s="84" t="str">
        <x:v>弱成立</x:v>
      </x:c>
      <x:c r="W21" s="84" t="str">
        <x:v>制杀过度，原制化结构失衡</x:v>
      </x:c>
      <x:c r="X21" s="82" t="str">
        <x:v>否</x:v>
      </x:c>
      <x:c r="Y21" s="68" t="str">
        <x:v>对应格局候选转M14</x:v>
      </x:c>
      <x:c r="Z21" s="84" t="str">
        <x:v>食神制杀_制杀太过</x:v>
      </x:c>
      <x:c r="AA21" s="84" t="str">
        <x:v>食神制杀：当主体、客体、路径与力量匹配满足最低标准时，判“弱成立”；是否上升为格局转M14/M15。</x:v>
      </x:c>
      <x:c r="AB21" s="82" t="str">
        <x:v>较高</x:v>
      </x:c>
      <x:c r="AC21" s="82" t="str">
        <x:v>现代综合</x:v>
      </x:c>
      <x:c r="AD21" s="68" t="str">
        <x:v>十神同时出现不等于组合成立。M11须同时验证核心十神有效性、作用路径、力量匹配、日主承载、破坏因素与救应；组合成立也不等于格局成立。</x:v>
      </x:c>
      <x:c r="AE21" s="68" t="str">
        <x:v>食神食伤集团过旺，七杀被制至失效或残弱；杀已不足以承担制衡功能；作用路径稳定且无关键破坏，可按“食神制杀”记录。</x:v>
      </x:c>
      <x:c r="AF21" s="90" t="str">
        <x:v>仅因“食神、七杀”同时出现，但核心十神无力、无作用路径或被关键因素破坏，不能判“食神制杀”成立。</x:v>
      </x:c>
      <x:c r="AG21" s="68" t="str">
        <x:v>https://zh.wikisource.org/zh-hans/%E6%B7%B5%E6%B5%B7%E5%AD%90%E5%B9%B3 ; https://zh.wikisource.org/wiki/%E6%BB%B4%E5%A4%A9%E9%AB%93%E9%97%A1%E5%BE%AE</x:v>
      </x:c>
      <x:c r="AH21" s="82" t="str">
        <x:v>采用</x:v>
      </x:c>
      <x:c r="AI21" s="82" t="str">
        <x:v>初审</x:v>
      </x:c>
      <x:c r="AJ21" s="87" t="n">
        <x:v>46255</x:v>
      </x:c>
    </x:row>
    <x:row r="22">
      <x:c r="A22" s="72" t="str">
        <x:f>IF(OR(C22="",D22=""),"",B22&amp;"-"&amp;UPPER(C22)&amp;"-"&amp;TEXT(D22,"0000")&amp;"-"&amp;E22)</x:f>
        <x:v>M11-SHIZHI-0016-V1.0</x:v>
      </x:c>
      <x:c r="B22" s="74" t="str">
        <x:v>M11</x:v>
      </x:c>
      <x:c r="C22" s="74" t="str">
        <x:v>SHIZHI</x:v>
      </x:c>
      <x:c r="D22" s="215" t="n">
        <x:v>16</x:v>
      </x:c>
      <x:c r="E22" s="74" t="str">
        <x:v>V1.0</x:v>
      </x:c>
      <x:c r="F22" s="68" t="str">
        <x:v>强枭夺食可破坏食神制杀</x:v>
      </x:c>
      <x:c r="G22" s="82" t="str">
        <x:v>结构层</x:v>
      </x:c>
      <x:c r="H22" s="82" t="str">
        <x:v>制化型</x:v>
      </x:c>
      <x:c r="I22" s="68" t="str">
        <x:v>食神制杀</x:v>
      </x:c>
      <x:c r="J22" s="68" t="str">
        <x:v>食神、七杀、偏印</x:v>
      </x:c>
      <x:c r="K22" s="68" t="str">
        <x:v>偏印有效且直接强制食神</x:v>
      </x:c>
      <x:c r="L22" s="68" t="str">
        <x:v>食神制杀功能因此显著下降</x:v>
      </x:c>
      <x:c r="M22" s="68" t="str">
        <x:v>直接或可达的生克制化路径成立</x:v>
      </x:c>
      <x:c r="N22" s="68" t="str">
        <x:v>相关十神均以M10有效力量为准，且不存在决定性失衡</x:v>
      </x:c>
      <x:c r="O22" s="68" t="str">
        <x:v>结合M09日主承载判断</x:v>
      </x:c>
      <x:c r="P22" s="68" t="str">
        <x:v>主体、客体、作用路径与力量匹配均达到最低要求</x:v>
      </x:c>
      <x:c r="Q22" s="68" t="str">
        <x:v>相关十神有根、有源、透达、清纯且关键通路稳定</x:v>
      </x:c>
      <x:c r="R22" s="90" t="str">
        <x:v>偏印强夺食并使食神受限或失效</x:v>
      </x:c>
      <x:c r="S22" s="68" t="str">
        <x:v>存在第三十神恢复通路、清除破坏或重新形成平衡</x:v>
      </x:c>
      <x:c r="T22" s="90" t="str">
        <x:v>任一核心十神失效，或不存在真实作用路径</x:v>
      </x:c>
      <x:c r="U22" s="68" t="str">
        <x:v>特殊格局、从化或月令格局另转M14/M15复审</x:v>
      </x:c>
      <x:c r="V22" s="84" t="str">
        <x:v>不成立</x:v>
      </x:c>
      <x:c r="W22" s="84" t="str">
        <x:v>食神制杀被破</x:v>
      </x:c>
      <x:c r="X22" s="82" t="str">
        <x:v>否</x:v>
      </x:c>
      <x:c r="Y22" s="68" t="str">
        <x:v>对应格局候选转M14</x:v>
      </x:c>
      <x:c r="Z22" s="84" t="str">
        <x:v>食神制杀_枭夺食破坏</x:v>
      </x:c>
      <x:c r="AA22" s="84" t="str">
        <x:v>食神制杀：当主体、客体、路径与力量匹配满足最低标准时，判“不成立”；是否上升为格局转M14/M15。</x:v>
      </x:c>
      <x:c r="AB22" s="82" t="str">
        <x:v>较高</x:v>
      </x:c>
      <x:c r="AC22" s="82" t="str">
        <x:v>现代综合</x:v>
      </x:c>
      <x:c r="AD22" s="68" t="str">
        <x:v>十神同时出现不等于组合成立。M11须同时验证核心十神有效性、作用路径、力量匹配、日主承载、破坏因素与救应；组合成立也不等于格局成立。</x:v>
      </x:c>
      <x:c r="AE22" s="68" t="str">
        <x:v>偏印有效且直接强制食神；食神制杀功能因此显著下降；作用路径稳定且无关键破坏，可按“食神制杀”记录。</x:v>
      </x:c>
      <x:c r="AF22" s="90" t="str">
        <x:v>仅因“食神、七杀、偏印”同时出现，但核心十神无力、无作用路径或被关键因素破坏，不能判“食神制杀”成立。</x:v>
      </x:c>
      <x:c r="AG22" s="68" t="str">
        <x:v>https://zh.wikisource.org/zh-hans/%E6%B7%B5%E6%B5%B7%E5%AD%90%E5%B9%B3 ; https://zh.wikisource.org/wiki/%E6%BB%B4%E5%A4%A9%E9%AB%93%E9%97%A1%E5%BE%AE</x:v>
      </x:c>
      <x:c r="AH22" s="82" t="str">
        <x:v>采用</x:v>
      </x:c>
      <x:c r="AI22" s="82" t="str">
        <x:v>初审</x:v>
      </x:c>
      <x:c r="AJ22" s="87" t="n">
        <x:v>46255</x:v>
      </x:c>
    </x:row>
    <x:row r="23">
      <x:c r="A23" s="72" t="str">
        <x:f>IF(OR(C23="",D23=""),"",B23&amp;"-"&amp;UPPER(C23)&amp;"-"&amp;TEXT(D23,"0000")&amp;"-"&amp;E23)</x:f>
        <x:v>M11-SHIZHI-0017-V1.0</x:v>
      </x:c>
      <x:c r="B23" s="74" t="str">
        <x:v>M11</x:v>
      </x:c>
      <x:c r="C23" s="74" t="str">
        <x:v>SHIZHI</x:v>
      </x:c>
      <x:c r="D23" s="215" t="n">
        <x:v>17</x:v>
      </x:c>
      <x:c r="E23" s="74" t="str">
        <x:v>V1.0</x:v>
      </x:c>
      <x:c r="F23" s="68" t="str">
        <x:v>财星制枭可成为救应</x:v>
      </x:c>
      <x:c r="G23" s="82" t="str">
        <x:v>结构层</x:v>
      </x:c>
      <x:c r="H23" s="82" t="str">
        <x:v>制化型</x:v>
      </x:c>
      <x:c r="I23" s="68" t="str">
        <x:v>食神制杀</x:v>
      </x:c>
      <x:c r="J23" s="68" t="str">
        <x:v>食神、七杀、财星</x:v>
      </x:c>
      <x:c r="K23" s="68" t="str">
        <x:v>偏印破坏食神制杀</x:v>
      </x:c>
      <x:c r="L23" s="68" t="str">
        <x:v>财星有力且能够有效制偏印，恢复食神功能</x:v>
      </x:c>
      <x:c r="M23" s="68" t="str">
        <x:v>直接或可达的生克制化路径成立</x:v>
      </x:c>
      <x:c r="N23" s="68" t="str">
        <x:v>相关十神均以M10有效力量为准，且不存在决定性失衡</x:v>
      </x:c>
      <x:c r="O23" s="68" t="str">
        <x:v>结合M09日主承载判断</x:v>
      </x:c>
      <x:c r="P23" s="68" t="str">
        <x:v>主体、客体、作用路径与力量匹配均达到最低要求</x:v>
      </x:c>
      <x:c r="Q23" s="68" t="str">
        <x:v>相关十神有根、有源、透达、清纯且关键通路稳定</x:v>
      </x:c>
      <x:c r="R23" s="90" t="str">
        <x:v>关键十神被合绊、被制、改性、失效或力量严重失衡</x:v>
      </x:c>
      <x:c r="S23" s="68" t="str">
        <x:v>财星制枭成功且不过度生杀</x:v>
      </x:c>
      <x:c r="T23" s="90" t="str">
        <x:v>任一核心十神失效，或不存在真实作用路径</x:v>
      </x:c>
      <x:c r="U23" s="68" t="str">
        <x:v>特殊格局、从化或月令格局另转M14/M15复审</x:v>
      </x:c>
      <x:c r="V23" s="84" t="str">
        <x:v>基本成立</x:v>
      </x:c>
      <x:c r="W23" s="84" t="str">
        <x:v>形成局部生化、制化或承载结构</x:v>
      </x:c>
      <x:c r="X23" s="82" t="str">
        <x:v>条件性</x:v>
      </x:c>
      <x:c r="Y23" s="68" t="str">
        <x:v>对应格局候选转M14</x:v>
      </x:c>
      <x:c r="Z23" s="84" t="str">
        <x:v>食神制杀_财制枭救应</x:v>
      </x:c>
      <x:c r="AA23" s="84" t="str">
        <x:v>食神制杀：当主体、客体、路径与力量匹配满足最低标准时，判“基本成立”；是否上升为格局转M14/M15。</x:v>
      </x:c>
      <x:c r="AB23" s="82" t="str">
        <x:v>较高</x:v>
      </x:c>
      <x:c r="AC23" s="82" t="str">
        <x:v>现代综合</x:v>
      </x:c>
      <x:c r="AD23" s="68" t="str">
        <x:v>十神同时出现不等于组合成立。M11须同时验证核心十神有效性、作用路径、力量匹配、日主承载、破坏因素与救应；组合成立也不等于格局成立。</x:v>
      </x:c>
      <x:c r="AE23" s="68" t="str">
        <x:v>偏印破坏食神制杀；财星有力且能够有效制偏印，恢复食神功能；作用路径稳定且无关键破坏，可按“食神制杀”记录。</x:v>
      </x:c>
      <x:c r="AF23" s="90" t="str">
        <x:v>仅因“食神、七杀、财星”同时出现，但核心十神无力、无作用路径或被关键因素破坏，不能判“食神制杀”成立。</x:v>
      </x:c>
      <x:c r="AG23" s="68" t="str">
        <x:v>https://zh.wikisource.org/zh-hans/%E6%B7%B5%E6%B5%B7%E5%AD%90%E5%B9%B3 ; https://zh.wikisource.org/wiki/%E6%BB%B4%E5%A4%A9%E9%AB%93%E9%97%A1%E5%BE%AE</x:v>
      </x:c>
      <x:c r="AH23" s="82" t="str">
        <x:v>采用</x:v>
      </x:c>
      <x:c r="AI23" s="82" t="str">
        <x:v>初审</x:v>
      </x:c>
      <x:c r="AJ23" s="87" t="n">
        <x:v>46255</x:v>
      </x:c>
    </x:row>
    <x:row r="24">
      <x:c r="A24" s="72" t="str">
        <x:f>IF(OR(C24="",D24=""),"",B24&amp;"-"&amp;UPPER(C24)&amp;"-"&amp;TEXT(D24,"0000")&amp;"-"&amp;E24)</x:f>
        <x:v>M11-SHIZHI-0018-V1.0</x:v>
      </x:c>
      <x:c r="B24" s="74" t="str">
        <x:v>M11</x:v>
      </x:c>
      <x:c r="C24" s="74" t="str">
        <x:v>SHIZHI</x:v>
      </x:c>
      <x:c r="D24" s="215" t="n">
        <x:v>18</x:v>
      </x:c>
      <x:c r="E24" s="74" t="str">
        <x:v>V1.0</x:v>
      </x:c>
      <x:c r="F24" s="68" t="str">
        <x:v>财星过强生杀可能抵消制杀</x:v>
      </x:c>
      <x:c r="G24" s="82" t="str">
        <x:v>结构层</x:v>
      </x:c>
      <x:c r="H24" s="82" t="str">
        <x:v>制化型</x:v>
      </x:c>
      <x:c r="I24" s="68" t="str">
        <x:v>食神制杀</x:v>
      </x:c>
      <x:c r="J24" s="68" t="str">
        <x:v>食神、七杀、财星</x:v>
      </x:c>
      <x:c r="K24" s="68" t="str">
        <x:v>财星有力并持续生七杀</x:v>
      </x:c>
      <x:c r="L24" s="68" t="str">
        <x:v>食神同时制杀</x:v>
      </x:c>
      <x:c r="M24" s="68" t="str">
        <x:v>直接或可达的生克制化路径成立</x:v>
      </x:c>
      <x:c r="N24" s="68" t="str">
        <x:v>相关十神均以M10有效力量为准，且不存在决定性失衡</x:v>
      </x:c>
      <x:c r="O24" s="68" t="str">
        <x:v>结合M09日主承载判断</x:v>
      </x:c>
      <x:c r="P24" s="68" t="str">
        <x:v>主体、客体、作用路径与力量匹配均达到最低要求</x:v>
      </x:c>
      <x:c r="Q24" s="68" t="str">
        <x:v>相关十神有根、有源、透达、清纯且关键通路稳定</x:v>
      </x:c>
      <x:c r="R24" s="90" t="str">
        <x:v>财生杀强度明显高于食神制杀效率</x:v>
      </x:c>
      <x:c r="S24" s="68" t="str">
        <x:v>存在第三十神恢复通路、清除破坏或重新形成平衡</x:v>
      </x:c>
      <x:c r="T24" s="90" t="str">
        <x:v>任一核心十神失效，或不存在真实作用路径</x:v>
      </x:c>
      <x:c r="U24" s="68" t="str">
        <x:v>特殊格局、从化或月令格局另转M14/M15复审</x:v>
      </x:c>
      <x:c r="V24" s="84" t="str">
        <x:v>弱成立</x:v>
      </x:c>
      <x:c r="W24" s="84" t="str">
        <x:v>制杀与生杀并行，净效应不足</x:v>
      </x:c>
      <x:c r="X24" s="82" t="str">
        <x:v>条件性</x:v>
      </x:c>
      <x:c r="Y24" s="68" t="str">
        <x:v>对应格局候选转M14</x:v>
      </x:c>
      <x:c r="Z24" s="84" t="str">
        <x:v>食神制杀_财生杀干扰</x:v>
      </x:c>
      <x:c r="AA24" s="84" t="str">
        <x:v>食神制杀：当主体、客体、路径与力量匹配满足最低标准时，判“弱成立”；是否上升为格局转M14/M15。</x:v>
      </x:c>
      <x:c r="AB24" s="82" t="str">
        <x:v>较高</x:v>
      </x:c>
      <x:c r="AC24" s="82" t="str">
        <x:v>现代综合</x:v>
      </x:c>
      <x:c r="AD24" s="68" t="str">
        <x:v>十神同时出现不等于组合成立。M11须同时验证核心十神有效性、作用路径、力量匹配、日主承载、破坏因素与救应；组合成立也不等于格局成立。</x:v>
      </x:c>
      <x:c r="AE24" s="68" t="str">
        <x:v>财星有力并持续生七杀；食神同时制杀；作用路径稳定且无关键破坏，可按“食神制杀”记录。</x:v>
      </x:c>
      <x:c r="AF24" s="90" t="str">
        <x:v>仅因“食神、七杀、财星”同时出现，但核心十神无力、无作用路径或被关键因素破坏，不能判“食神制杀”成立。</x:v>
      </x:c>
      <x:c r="AG24" s="68" t="str">
        <x:v>https://zh.wikisource.org/zh-hans/%E6%B7%B5%E6%B5%B7%E5%AD%90%E5%B9%B3 ; https://zh.wikisource.org/wiki/%E6%BB%B4%E5%A4%A9%E9%AB%93%E9%97%A1%E5%BE%AE</x:v>
      </x:c>
      <x:c r="AH24" s="82" t="str">
        <x:v>采用</x:v>
      </x:c>
      <x:c r="AI24" s="82" t="str">
        <x:v>初审</x:v>
      </x:c>
      <x:c r="AJ24" s="87" t="n">
        <x:v>46255</x:v>
      </x:c>
    </x:row>
    <x:row r="25">
      <x:c r="A25" s="72" t="str">
        <x:f>IF(OR(C25="",D25=""),"",B25&amp;"-"&amp;UPPER(C25)&amp;"-"&amp;TEXT(D25,"0000")&amp;"-"&amp;E25)</x:f>
        <x:v>M11-SHIZHI-0019-V1.0</x:v>
      </x:c>
      <x:c r="B25" s="74" t="str">
        <x:v>M11</x:v>
      </x:c>
      <x:c r="C25" s="74" t="str">
        <x:v>SHIZHI</x:v>
      </x:c>
      <x:c r="D25" s="215" t="n">
        <x:v>19</x:v>
      </x:c>
      <x:c r="E25" s="74" t="str">
        <x:v>V1.0</x:v>
      </x:c>
      <x:c r="F25" s="68" t="str">
        <x:v>日主过弱时食神制杀需防再泄身</x:v>
      </x:c>
      <x:c r="G25" s="82" t="str">
        <x:v>结构层</x:v>
      </x:c>
      <x:c r="H25" s="82" t="str">
        <x:v>制化型</x:v>
      </x:c>
      <x:c r="I25" s="68" t="str">
        <x:v>食神制杀</x:v>
      </x:c>
      <x:c r="J25" s="68" t="str">
        <x:v>食神、七杀</x:v>
      </x:c>
      <x:c r="K25" s="68" t="str">
        <x:v>日主弱或极弱</x:v>
      </x:c>
      <x:c r="L25" s="68" t="str">
        <x:v>食神虽能制杀但同时明显泄身</x:v>
      </x:c>
      <x:c r="M25" s="68" t="str">
        <x:v>直接或可达的生克制化路径成立</x:v>
      </x:c>
      <x:c r="N25" s="68" t="str">
        <x:v>相关十神均以M10有效力量为准，且不存在决定性失衡</x:v>
      </x:c>
      <x:c r="O25" s="68" t="str">
        <x:v>若日主无印比承载，食神制杀的收益可能被泄身成本抵消</x:v>
      </x:c>
      <x:c r="P25" s="68" t="str">
        <x:v>主体、客体、作用路径与力量匹配均达到最低要求</x:v>
      </x:c>
      <x:c r="Q25" s="68" t="str">
        <x:v>相关十神有根、有源、透达、清纯且关键通路稳定</x:v>
      </x:c>
      <x:c r="R25" s="90" t="str">
        <x:v>关键十神被合绊、被制、改性、失效或力量严重失衡</x:v>
      </x:c>
      <x:c r="S25" s="68" t="str">
        <x:v>存在第三十神恢复通路、清除破坏或重新形成平衡</x:v>
      </x:c>
      <x:c r="T25" s="90" t="str">
        <x:v>任一核心十神失效，或不存在真实作用路径</x:v>
      </x:c>
      <x:c r="U25" s="68" t="str">
        <x:v>特殊格局、从化或月令格局另转M14/M15复审</x:v>
      </x:c>
      <x:c r="V25" s="84" t="str">
        <x:v>弱成立</x:v>
      </x:c>
      <x:c r="W25" s="84" t="str">
        <x:v>形成局部生化、制化或承载结构</x:v>
      </x:c>
      <x:c r="X25" s="82" t="str">
        <x:v>否</x:v>
      </x:c>
      <x:c r="Y25" s="68" t="str">
        <x:v>对应格局候选转M14</x:v>
      </x:c>
      <x:c r="Z25" s="84" t="str">
        <x:v>食神制杀_日主承载</x:v>
      </x:c>
      <x:c r="AA25" s="84" t="str">
        <x:v>食神制杀：当主体、客体、路径与力量匹配满足最低标准时，判“弱成立”；是否上升为格局转M14/M15。</x:v>
      </x:c>
      <x:c r="AB25" s="82" t="str">
        <x:v>较高</x:v>
      </x:c>
      <x:c r="AC25" s="82" t="str">
        <x:v>现代综合</x:v>
      </x:c>
      <x:c r="AD25" s="68" t="str">
        <x:v>十神同时出现不等于组合成立。M11须同时验证核心十神有效性、作用路径、力量匹配、日主承载、破坏因素与救应；组合成立也不等于格局成立。</x:v>
      </x:c>
      <x:c r="AE25" s="68" t="str">
        <x:v>日主弱或极弱；食神虽能制杀但同时明显泄身；作用路径稳定且无关键破坏，可按“食神制杀”记录。</x:v>
      </x:c>
      <x:c r="AF25" s="90" t="str">
        <x:v>仅因“食神、七杀”同时出现，但核心十神无力、无作用路径或被关键因素破坏，不能判“食神制杀”成立。</x:v>
      </x:c>
      <x:c r="AG25" s="68" t="str">
        <x:v>https://zh.wikisource.org/zh-hans/%E6%B7%B5%E6%B5%B7%E5%AD%90%E5%B9%B3 ; https://zh.wikisource.org/wiki/%E6%BB%B4%E5%A4%A9%E9%AB%93%E9%97%A1%E5%BE%AE</x:v>
      </x:c>
      <x:c r="AH25" s="82" t="str">
        <x:v>采用</x:v>
      </x:c>
      <x:c r="AI25" s="82" t="str">
        <x:v>初审</x:v>
      </x:c>
      <x:c r="AJ25" s="87" t="n">
        <x:v>46255</x:v>
      </x:c>
    </x:row>
    <x:row r="26">
      <x:c r="A26" s="72" t="str">
        <x:f>IF(OR(C26="",D26=""),"",B26&amp;"-"&amp;UPPER(C26)&amp;"-"&amp;TEXT(D26,"0000")&amp;"-"&amp;E26)</x:f>
        <x:v>M11-SHIZHI-0020-V1.0</x:v>
      </x:c>
      <x:c r="B26" s="74" t="str">
        <x:v>M11</x:v>
      </x:c>
      <x:c r="C26" s="74" t="str">
        <x:v>SHIZHI</x:v>
      </x:c>
      <x:c r="D26" s="215" t="n">
        <x:v>20</x:v>
      </x:c>
      <x:c r="E26" s="74" t="str">
        <x:v>V1.0</x:v>
      </x:c>
      <x:c r="F26" s="68" t="str">
        <x:v>力量匹配且路径清晰时可判明显成立</x:v>
      </x:c>
      <x:c r="G26" s="82" t="str">
        <x:v>结构层</x:v>
      </x:c>
      <x:c r="H26" s="82" t="str">
        <x:v>制化型</x:v>
      </x:c>
      <x:c r="I26" s="68" t="str">
        <x:v>食神制杀</x:v>
      </x:c>
      <x:c r="J26" s="68" t="str">
        <x:v>食神、七杀</x:v>
      </x:c>
      <x:c r="K26" s="68" t="str">
        <x:v>七杀有权，食神有力且未受关键破坏</x:v>
      </x:c>
      <x:c r="L26" s="68" t="str">
        <x:v>制杀路径直接、持续、无争夺</x:v>
      </x:c>
      <x:c r="M26" s="68" t="str">
        <x:v>直接或可达的生克制化路径成立</x:v>
      </x:c>
      <x:c r="N26" s="68" t="str">
        <x:v>食杀力量匹配，既非制杀不足也非制杀太过</x:v>
      </x:c>
      <x:c r="O26" s="68" t="str">
        <x:v>结合M09日主承载判断</x:v>
      </x:c>
      <x:c r="P26" s="68" t="str">
        <x:v>主体客体路径比例与承载均良好</x:v>
      </x:c>
      <x:c r="Q26" s="68" t="str">
        <x:v>相关十神有根、有源、透达、清纯且关键通路稳定</x:v>
      </x:c>
      <x:c r="R26" s="90" t="str">
        <x:v>关键十神被合绊、被制、改性、失效或力量严重失衡</x:v>
      </x:c>
      <x:c r="S26" s="68" t="str">
        <x:v>存在第三十神恢复通路、清除破坏或重新形成平衡</x:v>
      </x:c>
      <x:c r="T26" s="90" t="str">
        <x:v>任一核心十神失效，或不存在真实作用路径</x:v>
      </x:c>
      <x:c r="U26" s="68" t="str">
        <x:v>特殊格局、从化或月令格局另转M14/M15复审</x:v>
      </x:c>
      <x:c r="V26" s="84" t="str">
        <x:v>明显成立</x:v>
      </x:c>
      <x:c r="W26" s="84" t="str">
        <x:v>形成稳定制杀结构</x:v>
      </x:c>
      <x:c r="X26" s="82" t="str">
        <x:v>条件性</x:v>
      </x:c>
      <x:c r="Y26" s="68" t="str">
        <x:v>对应格局候选转M14</x:v>
      </x:c>
      <x:c r="Z26" s="84" t="str">
        <x:v>食神制杀_明显成立</x:v>
      </x:c>
      <x:c r="AA26" s="84" t="str">
        <x:v>食神制杀：当主体、客体、路径与力量匹配满足最低标准时，判“明显成立”；是否上升为格局转M14/M15。</x:v>
      </x:c>
      <x:c r="AB26" s="82" t="str">
        <x:v>较高</x:v>
      </x:c>
      <x:c r="AC26" s="82" t="str">
        <x:v>现代综合</x:v>
      </x:c>
      <x:c r="AD26" s="68" t="str">
        <x:v>十神同时出现不等于组合成立。M11须同时验证核心十神有效性、作用路径、力量匹配、日主承载、破坏因素与救应；组合成立也不等于格局成立。</x:v>
      </x:c>
      <x:c r="AE26" s="68" t="str">
        <x:v>七杀有权，食神有力且未受关键破坏；制杀路径直接、持续、无争夺；作用路径稳定且无关键破坏，可按“食神制杀”记录。</x:v>
      </x:c>
      <x:c r="AF26" s="90" t="str">
        <x:v>仅因“食神、七杀”同时出现，但核心十神无力、无作用路径或被关键因素破坏，不能判“食神制杀”成立。</x:v>
      </x:c>
      <x:c r="AG26" s="68" t="str">
        <x:v>https://zh.wikisource.org/zh-hans/%E6%B7%B5%E6%B5%B7%E5%AD%90%E5%B9%B3 ; https://zh.wikisource.org/wiki/%E6%BB%B4%E5%A4%A9%E9%AB%93%E9%97%A1%E5%BE%AE</x:v>
      </x:c>
      <x:c r="AH26" s="82" t="str">
        <x:v>采用</x:v>
      </x:c>
      <x:c r="AI26" s="82" t="str">
        <x:v>初审</x:v>
      </x:c>
      <x:c r="AJ26" s="87" t="n">
        <x:v>46255</x:v>
      </x:c>
    </x:row>
    <x:row r="27">
      <x:c r="A27" s="72" t="str">
        <x:f>IF(OR(C27="",D27=""),"",B27&amp;"-"&amp;UPPER(C27)&amp;"-"&amp;TEXT(D27,"0000")&amp;"-"&amp;E27)</x:f>
        <x:v>M11-SHAYIN-0021-V1.0</x:v>
      </x:c>
      <x:c r="B27" s="74" t="str">
        <x:v>M11</x:v>
      </x:c>
      <x:c r="C27" s="74" t="str">
        <x:v>SHAYIN</x:v>
      </x:c>
      <x:c r="D27" s="215" t="n">
        <x:v>21</x:v>
      </x:c>
      <x:c r="E27" s="74" t="str">
        <x:v>V1.0</x:v>
      </x:c>
      <x:c r="F27" s="68" t="str">
        <x:v>七杀必须能够生印而非只直接攻身</x:v>
      </x:c>
      <x:c r="G27" s="82" t="str">
        <x:v>结构层</x:v>
      </x:c>
      <x:c r="H27" s="82" t="str">
        <x:v>生化型</x:v>
      </x:c>
      <x:c r="I27" s="68" t="str">
        <x:v>杀印相生</x:v>
      </x:c>
      <x:c r="J27" s="68" t="str">
        <x:v>七杀、印星</x:v>
      </x:c>
      <x:c r="K27" s="68" t="str">
        <x:v>七杀有效且存在向印星的生扶路径</x:v>
      </x:c>
      <x:c r="L27" s="68" t="str">
        <x:v>印星有效并能承接七杀之气</x:v>
      </x:c>
      <x:c r="M27" s="68" t="str">
        <x:v>七杀→印星路径连续</x:v>
      </x:c>
      <x:c r="N27" s="68" t="str">
        <x:v>相关十神均以M10有效力量为准，且不存在决定性失衡</x:v>
      </x:c>
      <x:c r="O27" s="68" t="str">
        <x:v>结合M09日主承载判断</x:v>
      </x:c>
      <x:c r="P27" s="68" t="str">
        <x:v>主体、客体、作用路径与力量匹配均达到最低要求</x:v>
      </x:c>
      <x:c r="Q27" s="68" t="str">
        <x:v>相关十神有根、有源、透达、清纯且关键通路稳定</x:v>
      </x:c>
      <x:c r="R27" s="90" t="str">
        <x:v>关键十神被合绊、被制、改性、失效或力量严重失衡</x:v>
      </x:c>
      <x:c r="S27" s="68" t="str">
        <x:v>存在第三十神恢复通路、清除破坏或重新形成平衡</x:v>
      </x:c>
      <x:c r="T27" s="90" t="str">
        <x:v>任一核心十神失效，或不存在真实作用路径</x:v>
      </x:c>
      <x:c r="U27" s="68" t="str">
        <x:v>特殊格局、从化或月令格局另转M14/M15复审</x:v>
      </x:c>
      <x:c r="V27" s="84" t="str">
        <x:v>基本成立</x:v>
      </x:c>
      <x:c r="W27" s="84" t="str">
        <x:v>将杀气导入印星</x:v>
      </x:c>
      <x:c r="X27" s="82" t="str">
        <x:v>条件性</x:v>
      </x:c>
      <x:c r="Y27" s="68" t="str">
        <x:v>杀印相生格候选</x:v>
      </x:c>
      <x:c r="Z27" s="84" t="str">
        <x:v>杀印相生_成立条件</x:v>
      </x:c>
      <x:c r="AA27" s="84" t="str">
        <x:v>杀印相生：当主体、客体、路径与力量匹配满足最低标准时，判“基本成立”；是否上升为格局转M14/M15。</x:v>
      </x:c>
      <x:c r="AB27" s="82" t="str">
        <x:v>较高</x:v>
      </x:c>
      <x:c r="AC27" s="82" t="str">
        <x:v>现代综合</x:v>
      </x:c>
      <x:c r="AD27" s="68" t="str">
        <x:v>十神同时出现不等于组合成立。M11须同时验证核心十神有效性、作用路径、力量匹配、日主承载、破坏因素与救应；组合成立也不等于格局成立。</x:v>
      </x:c>
      <x:c r="AE27" s="68" t="str">
        <x:v>七杀有效且存在向印星的生扶路径；印星有效并能承接七杀之气；作用路径稳定且无关键破坏，可按“杀印相生”记录。</x:v>
      </x:c>
      <x:c r="AF27" s="90" t="str">
        <x:v>仅因“七杀、印星”同时出现，但核心十神无力、无作用路径或被关键因素破坏，不能判“杀印相生”成立。</x:v>
      </x:c>
      <x:c r="AG27" s="68" t="str">
        <x:v>https://zh.wikisource.org/zh-hans/%E6%B7%B5%E6%B5%B7%E5%AD%90%E5%B9%B3 ; https://zh.wikisource.org/wiki/%E6%BB%B4%E5%A4%A9%E9%AB%93%E9%97%A1%E5%BE%AE</x:v>
      </x:c>
      <x:c r="AH27" s="82" t="str">
        <x:v>采用</x:v>
      </x:c>
      <x:c r="AI27" s="82" t="str">
        <x:v>初审</x:v>
      </x:c>
      <x:c r="AJ27" s="87" t="n">
        <x:v>46255</x:v>
      </x:c>
    </x:row>
    <x:row r="28">
      <x:c r="A28" s="72" t="str">
        <x:f>IF(OR(C28="",D28=""),"",B28&amp;"-"&amp;UPPER(C28)&amp;"-"&amp;TEXT(D28,"0000")&amp;"-"&amp;E28)</x:f>
        <x:v>M11-SHAYIN-0022-V1.0</x:v>
      </x:c>
      <x:c r="B28" s="74" t="str">
        <x:v>M11</x:v>
      </x:c>
      <x:c r="C28" s="74" t="str">
        <x:v>SHAYIN</x:v>
      </x:c>
      <x:c r="D28" s="215" t="n">
        <x:v>22</x:v>
      </x:c>
      <x:c r="E28" s="74" t="str">
        <x:v>V1.0</x:v>
      </x:c>
      <x:c r="F28" s="68" t="str">
        <x:v>印星必须能够继续生日主</x:v>
      </x:c>
      <x:c r="G28" s="82" t="str">
        <x:v>结构层</x:v>
      </x:c>
      <x:c r="H28" s="82" t="str">
        <x:v>生化型</x:v>
      </x:c>
      <x:c r="I28" s="68" t="str">
        <x:v>杀印相生</x:v>
      </x:c>
      <x:c r="J28" s="68" t="str">
        <x:v>七杀、印星、日主</x:v>
      </x:c>
      <x:c r="K28" s="68" t="str">
        <x:v>印星承接七杀后仍有能力生日主</x:v>
      </x:c>
      <x:c r="L28" s="68" t="str">
        <x:v>日主能够接受印星生扶</x:v>
      </x:c>
      <x:c r="M28" s="68" t="str">
        <x:v>七杀→印→日主链路完整</x:v>
      </x:c>
      <x:c r="N28" s="68" t="str">
        <x:v>相关十神均以M10有效力量为准，且不存在决定性失衡</x:v>
      </x:c>
      <x:c r="O28" s="68" t="str">
        <x:v>结合M09日主承载判断</x:v>
      </x:c>
      <x:c r="P28" s="68" t="str">
        <x:v>杀生印、印生身两段均有效</x:v>
      </x:c>
      <x:c r="Q28" s="68" t="str">
        <x:v>相关十神有根、有源、透达、清纯且关键通路稳定</x:v>
      </x:c>
      <x:c r="R28" s="90" t="str">
        <x:v>关键十神被合绊、被制、改性、失效或力量严重失衡</x:v>
      </x:c>
      <x:c r="S28" s="68" t="str">
        <x:v>存在第三十神恢复通路、清除破坏或重新形成平衡</x:v>
      </x:c>
      <x:c r="T28" s="90" t="str">
        <x:v>任一核心十神失效，或不存在真实作用路径</x:v>
      </x:c>
      <x:c r="U28" s="68" t="str">
        <x:v>特殊格局、从化或月令格局另转M14/M15复审</x:v>
      </x:c>
      <x:c r="V28" s="84" t="str">
        <x:v>基本成立</x:v>
      </x:c>
      <x:c r="W28" s="84" t="str">
        <x:v>形成局部生化、制化或承载结构</x:v>
      </x:c>
      <x:c r="X28" s="82" t="str">
        <x:v>条件性</x:v>
      </x:c>
      <x:c r="Y28" s="68" t="str">
        <x:v>对应格局候选转M14</x:v>
      </x:c>
      <x:c r="Z28" s="84" t="str">
        <x:v>杀印相生_完整链</x:v>
      </x:c>
      <x:c r="AA28" s="84" t="str">
        <x:v>杀印相生：当主体、客体、路径与力量匹配满足最低标准时，判“基本成立”；是否上升为格局转M14/M15。</x:v>
      </x:c>
      <x:c r="AB28" s="82" t="str">
        <x:v>较高</x:v>
      </x:c>
      <x:c r="AC28" s="82" t="str">
        <x:v>现代综合</x:v>
      </x:c>
      <x:c r="AD28" s="68" t="str">
        <x:v>十神同时出现不等于组合成立。M11须同时验证核心十神有效性、作用路径、力量匹配、日主承载、破坏因素与救应；组合成立也不等于格局成立。</x:v>
      </x:c>
      <x:c r="AE28" s="68" t="str">
        <x:v>印星承接七杀后仍有能力生日主；日主能够接受印星生扶；作用路径稳定且无关键破坏，可按“杀印相生”记录。</x:v>
      </x:c>
      <x:c r="AF28" s="90" t="str">
        <x:v>仅因“七杀、印星、日主”同时出现，但核心十神无力、无作用路径或被关键因素破坏，不能判“杀印相生”成立。</x:v>
      </x:c>
      <x:c r="AG28" s="68" t="str">
        <x:v>https://zh.wikisource.org/zh-hans/%E6%B7%B5%E6%B5%B7%E5%AD%90%E5%B9%B3 ; https://zh.wikisource.org/wiki/%E6%BB%B4%E5%A4%A9%E9%AB%93%E9%97%A1%E5%BE%AE</x:v>
      </x:c>
      <x:c r="AH28" s="82" t="str">
        <x:v>采用</x:v>
      </x:c>
      <x:c r="AI28" s="82" t="str">
        <x:v>初审</x:v>
      </x:c>
      <x:c r="AJ28" s="87" t="n">
        <x:v>46255</x:v>
      </x:c>
    </x:row>
    <x:row r="29">
      <x:c r="A29" s="72" t="str">
        <x:f>IF(OR(C29="",D29=""),"",B29&amp;"-"&amp;UPPER(C29)&amp;"-"&amp;TEXT(D29,"0000")&amp;"-"&amp;E29)</x:f>
        <x:v>M11-SHAYIN-0023-V1.0</x:v>
      </x:c>
      <x:c r="B29" s="74" t="str">
        <x:v>M11</x:v>
      </x:c>
      <x:c r="C29" s="74" t="str">
        <x:v>SHAYIN</x:v>
      </x:c>
      <x:c r="D29" s="215" t="n">
        <x:v>23</x:v>
      </x:c>
      <x:c r="E29" s="74" t="str">
        <x:v>V1.0</x:v>
      </x:c>
      <x:c r="F29" s="68" t="str">
        <x:v>印弱不能有效化杀时组合降级</x:v>
      </x:c>
      <x:c r="G29" s="82" t="str">
        <x:v>结构层</x:v>
      </x:c>
      <x:c r="H29" s="82" t="str">
        <x:v>生化型</x:v>
      </x:c>
      <x:c r="I29" s="68" t="str">
        <x:v>杀印相生</x:v>
      </x:c>
      <x:c r="J29" s="68" t="str">
        <x:v>七杀、印星</x:v>
      </x:c>
      <x:c r="K29" s="68" t="str">
        <x:v>七杀旺而印星弱、无根或受制</x:v>
      </x:c>
      <x:c r="L29" s="68" t="str">
        <x:v>印不足以承接杀气</x:v>
      </x:c>
      <x:c r="M29" s="68" t="str">
        <x:v>直接或可达的生克制化路径成立</x:v>
      </x:c>
      <x:c r="N29" s="68" t="str">
        <x:v>杀明显强于印</x:v>
      </x:c>
      <x:c r="O29" s="68" t="str">
        <x:v>结合M09日主承载判断</x:v>
      </x:c>
      <x:c r="P29" s="68" t="str">
        <x:v>主体、客体、作用路径与力量匹配均达到最低要求</x:v>
      </x:c>
      <x:c r="Q29" s="68" t="str">
        <x:v>相关十神有根、有源、透达、清纯且关键通路稳定</x:v>
      </x:c>
      <x:c r="R29" s="90" t="str">
        <x:v>关键十神被合绊、被制、改性、失效或力量严重失衡</x:v>
      </x:c>
      <x:c r="S29" s="68" t="str">
        <x:v>存在第三十神恢复通路、清除破坏或重新形成平衡</x:v>
      </x:c>
      <x:c r="T29" s="90" t="str">
        <x:v>任一核心十神失效，或不存在真实作用路径</x:v>
      </x:c>
      <x:c r="U29" s="68" t="str">
        <x:v>特殊格局、从化或月令格局另转M14/M15复审</x:v>
      </x:c>
      <x:c r="V29" s="84" t="str">
        <x:v>弱成立</x:v>
      </x:c>
      <x:c r="W29" s="84" t="str">
        <x:v>化杀不及</x:v>
      </x:c>
      <x:c r="X29" s="82" t="str">
        <x:v>否</x:v>
      </x:c>
      <x:c r="Y29" s="68" t="str">
        <x:v>对应格局候选转M14</x:v>
      </x:c>
      <x:c r="Z29" s="84" t="str">
        <x:v>杀印相生_印弱</x:v>
      </x:c>
      <x:c r="AA29" s="84" t="str">
        <x:v>杀印相生：当主体、客体、路径与力量匹配满足最低标准时，判“弱成立”；是否上升为格局转M14/M15。</x:v>
      </x:c>
      <x:c r="AB29" s="82" t="str">
        <x:v>较高</x:v>
      </x:c>
      <x:c r="AC29" s="82" t="str">
        <x:v>现代综合</x:v>
      </x:c>
      <x:c r="AD29" s="68" t="str">
        <x:v>十神同时出现不等于组合成立。M11须同时验证核心十神有效性、作用路径、力量匹配、日主承载、破坏因素与救应；组合成立也不等于格局成立。</x:v>
      </x:c>
      <x:c r="AE29" s="68" t="str">
        <x:v>七杀旺而印星弱、无根或受制；印不足以承接杀气；作用路径稳定且无关键破坏，可按“杀印相生”记录。</x:v>
      </x:c>
      <x:c r="AF29" s="90" t="str">
        <x:v>仅因“七杀、印星”同时出现，但核心十神无力、无作用路径或被关键因素破坏，不能判“杀印相生”成立。</x:v>
      </x:c>
      <x:c r="AG29" s="68" t="str">
        <x:v>https://zh.wikisource.org/zh-hans/%E6%B7%B5%E6%B5%B7%E5%AD%90%E5%B9%B3 ; https://zh.wikisource.org/wiki/%E6%BB%B4%E5%A4%A9%E9%AB%93%E9%97%A1%E5%BE%AE</x:v>
      </x:c>
      <x:c r="AH29" s="82" t="str">
        <x:v>采用</x:v>
      </x:c>
      <x:c r="AI29" s="82" t="str">
        <x:v>初审</x:v>
      </x:c>
      <x:c r="AJ29" s="87" t="n">
        <x:v>46255</x:v>
      </x:c>
    </x:row>
    <x:row r="30">
      <x:c r="A30" s="72" t="str">
        <x:f>IF(OR(C30="",D30=""),"",B30&amp;"-"&amp;UPPER(C30)&amp;"-"&amp;TEXT(D30,"0000")&amp;"-"&amp;E30)</x:f>
        <x:v>M11-SHAYIN-0024-V1.0</x:v>
      </x:c>
      <x:c r="B30" s="74" t="str">
        <x:v>M11</x:v>
      </x:c>
      <x:c r="C30" s="74" t="str">
        <x:v>SHAYIN</x:v>
      </x:c>
      <x:c r="D30" s="215" t="n">
        <x:v>24</x:v>
      </x:c>
      <x:c r="E30" s="74" t="str">
        <x:v>V1.0</x:v>
      </x:c>
      <x:c r="F30" s="68" t="str">
        <x:v>杀弱印旺时不以化杀为主要功能</x:v>
      </x:c>
      <x:c r="G30" s="82" t="str">
        <x:v>结构层</x:v>
      </x:c>
      <x:c r="H30" s="82" t="str">
        <x:v>生化型</x:v>
      </x:c>
      <x:c r="I30" s="68" t="str">
        <x:v>杀印相生</x:v>
      </x:c>
      <x:c r="J30" s="68" t="str">
        <x:v>七杀、印星</x:v>
      </x:c>
      <x:c r="K30" s="68" t="str">
        <x:v>七杀极弱或已被其他力量制住</x:v>
      </x:c>
      <x:c r="L30" s="68" t="str">
        <x:v>印星旺</x:v>
      </x:c>
      <x:c r="M30" s="68" t="str">
        <x:v>直接或可达的生克制化路径成立</x:v>
      </x:c>
      <x:c r="N30" s="68" t="str">
        <x:v>相关十神均以M10有效力量为准，且不存在决定性失衡</x:v>
      </x:c>
      <x:c r="O30" s="68" t="str">
        <x:v>结合M09日主承载判断</x:v>
      </x:c>
      <x:c r="P30" s="68" t="str">
        <x:v>缺少需要化解的有效杀气</x:v>
      </x:c>
      <x:c r="Q30" s="68" t="str">
        <x:v>相关十神有根、有源、透达、清纯且关键通路稳定</x:v>
      </x:c>
      <x:c r="R30" s="90" t="str">
        <x:v>关键十神被合绊、被制、改性、失效或力量严重失衡</x:v>
      </x:c>
      <x:c r="S30" s="68" t="str">
        <x:v>存在第三十神恢复通路、清除破坏或重新形成平衡</x:v>
      </x:c>
      <x:c r="T30" s="90" t="str">
        <x:v>任一核心十神失效，或不存在真实作用路径</x:v>
      </x:c>
      <x:c r="U30" s="68" t="str">
        <x:v>特殊格局、从化或月令格局另转M14/M15复审</x:v>
      </x:c>
      <x:c r="V30" s="84" t="str">
        <x:v>弱成立</x:v>
      </x:c>
      <x:c r="W30" s="84" t="str">
        <x:v>以印生身为主，杀印相生不主导</x:v>
      </x:c>
      <x:c r="X30" s="82" t="str">
        <x:v>否</x:v>
      </x:c>
      <x:c r="Y30" s="68" t="str">
        <x:v>对应格局候选转M14</x:v>
      </x:c>
      <x:c r="Z30" s="84" t="str">
        <x:v>杀印相生_杀弱</x:v>
      </x:c>
      <x:c r="AA30" s="84" t="str">
        <x:v>杀印相生：当主体、客体、路径与力量匹配满足最低标准时，判“弱成立”；是否上升为格局转M14/M15。</x:v>
      </x:c>
      <x:c r="AB30" s="82" t="str">
        <x:v>较高</x:v>
      </x:c>
      <x:c r="AC30" s="82" t="str">
        <x:v>现代综合</x:v>
      </x:c>
      <x:c r="AD30" s="68" t="str">
        <x:v>十神同时出现不等于组合成立。M11须同时验证核心十神有效性、作用路径、力量匹配、日主承载、破坏因素与救应；组合成立也不等于格局成立。</x:v>
      </x:c>
      <x:c r="AE30" s="68" t="str">
        <x:v>七杀极弱或已被其他力量制住；印星旺；作用路径稳定且无关键破坏，可按“杀印相生”记录。</x:v>
      </x:c>
      <x:c r="AF30" s="90" t="str">
        <x:v>仅因“七杀、印星”同时出现，但核心十神无力、无作用路径或被关键因素破坏，不能判“杀印相生”成立。</x:v>
      </x:c>
      <x:c r="AG30" s="68" t="str">
        <x:v>https://zh.wikisource.org/zh-hans/%E6%B7%B5%E6%B5%B7%E5%AD%90%E5%B9%B3 ; https://zh.wikisource.org/wiki/%E6%BB%B4%E5%A4%A9%E9%AB%93%E9%97%A1%E5%BE%AE</x:v>
      </x:c>
      <x:c r="AH30" s="82" t="str">
        <x:v>采用</x:v>
      </x:c>
      <x:c r="AI30" s="82" t="str">
        <x:v>初审</x:v>
      </x:c>
      <x:c r="AJ30" s="87" t="n">
        <x:v>46255</x:v>
      </x:c>
    </x:row>
    <x:row r="31">
      <x:c r="A31" s="72" t="str">
        <x:f>IF(OR(C31="",D31=""),"",B31&amp;"-"&amp;UPPER(C31)&amp;"-"&amp;TEXT(D31,"0000")&amp;"-"&amp;E31)</x:f>
        <x:v>M11-SHAYIN-0025-V1.0</x:v>
      </x:c>
      <x:c r="B31" s="74" t="str">
        <x:v>M11</x:v>
      </x:c>
      <x:c r="C31" s="74" t="str">
        <x:v>SHAYIN</x:v>
      </x:c>
      <x:c r="D31" s="215" t="n">
        <x:v>25</x:v>
      </x:c>
      <x:c r="E31" s="74" t="str">
        <x:v>V1.0</x:v>
      </x:c>
      <x:c r="F31" s="68" t="str">
        <x:v>财坏印会切断杀印相生链</x:v>
      </x:c>
      <x:c r="G31" s="82" t="str">
        <x:v>结构层</x:v>
      </x:c>
      <x:c r="H31" s="82" t="str">
        <x:v>生化型</x:v>
      </x:c>
      <x:c r="I31" s="68" t="str">
        <x:v>杀印相生</x:v>
      </x:c>
      <x:c r="J31" s="68" t="str">
        <x:v>七杀、印星、财星</x:v>
      </x:c>
      <x:c r="K31" s="68" t="str">
        <x:v>财星对印星形成实质强制</x:v>
      </x:c>
      <x:c r="L31" s="68" t="str">
        <x:v>印星承接和生身功能下降</x:v>
      </x:c>
      <x:c r="M31" s="68" t="str">
        <x:v>直接或可达的生克制化路径成立</x:v>
      </x:c>
      <x:c r="N31" s="68" t="str">
        <x:v>相关十神均以M10有效力量为准，且不存在决定性失衡</x:v>
      </x:c>
      <x:c r="O31" s="68" t="str">
        <x:v>结合M09日主承载判断</x:v>
      </x:c>
      <x:c r="P31" s="68" t="str">
        <x:v>主体、客体、作用路径与力量匹配均达到最低要求</x:v>
      </x:c>
      <x:c r="Q31" s="68" t="str">
        <x:v>相关十神有根、有源、透达、清纯且关键通路稳定</x:v>
      </x:c>
      <x:c r="R31" s="90" t="str">
        <x:v>关键印星受财克至受限或失效</x:v>
      </x:c>
      <x:c r="S31" s="68" t="str">
        <x:v>存在第三十神恢复通路、清除破坏或重新形成平衡</x:v>
      </x:c>
      <x:c r="T31" s="90" t="str">
        <x:v>任一核心十神失效，或不存在真实作用路径</x:v>
      </x:c>
      <x:c r="U31" s="68" t="str">
        <x:v>特殊格局、从化或月令格局另转M14/M15复审</x:v>
      </x:c>
      <x:c r="V31" s="84" t="str">
        <x:v>不成立</x:v>
      </x:c>
      <x:c r="W31" s="84" t="str">
        <x:v>形成局部生化、制化或承载结构</x:v>
      </x:c>
      <x:c r="X31" s="82" t="str">
        <x:v>否</x:v>
      </x:c>
      <x:c r="Y31" s="68" t="str">
        <x:v>对应格局候选转M14</x:v>
      </x:c>
      <x:c r="Z31" s="84" t="str">
        <x:v>杀印相生_财坏印</x:v>
      </x:c>
      <x:c r="AA31" s="84" t="str">
        <x:v>杀印相生：当主体、客体、路径与力量匹配满足最低标准时，判“不成立”；是否上升为格局转M14/M15。</x:v>
      </x:c>
      <x:c r="AB31" s="82" t="str">
        <x:v>较高</x:v>
      </x:c>
      <x:c r="AC31" s="82" t="str">
        <x:v>现代综合</x:v>
      </x:c>
      <x:c r="AD31" s="68" t="str">
        <x:v>十神同时出现不等于组合成立。M11须同时验证核心十神有效性、作用路径、力量匹配、日主承载、破坏因素与救应；组合成立也不等于格局成立。</x:v>
      </x:c>
      <x:c r="AE31" s="68" t="str">
        <x:v>财星对印星形成实质强制；印星承接和生身功能下降；作用路径稳定且无关键破坏，可按“杀印相生”记录。</x:v>
      </x:c>
      <x:c r="AF31" s="90" t="str">
        <x:v>仅因“七杀、印星、财星”同时出现，但核心十神无力、无作用路径或被关键因素破坏，不能判“杀印相生”成立。</x:v>
      </x:c>
      <x:c r="AG31" s="68" t="str">
        <x:v>https://zh.wikisource.org/zh-hans/%E6%B7%B5%E6%B5%B7%E5%AD%90%E5%B9%B3 ; https://zh.wikisource.org/wiki/%E6%BB%B4%E5%A4%A9%E9%AB%93%E9%97%A1%E5%BE%AE</x:v>
      </x:c>
      <x:c r="AH31" s="82" t="str">
        <x:v>采用</x:v>
      </x:c>
      <x:c r="AI31" s="82" t="str">
        <x:v>初审</x:v>
      </x:c>
      <x:c r="AJ31" s="87" t="n">
        <x:v>46255</x:v>
      </x:c>
    </x:row>
    <x:row r="32">
      <x:c r="A32" s="72" t="str">
        <x:f>IF(OR(C32="",D32=""),"",B32&amp;"-"&amp;UPPER(C32)&amp;"-"&amp;TEXT(D32,"0000")&amp;"-"&amp;E32)</x:f>
        <x:v>M11-SHAYIN-0026-V1.0</x:v>
      </x:c>
      <x:c r="B32" s="74" t="str">
        <x:v>M11</x:v>
      </x:c>
      <x:c r="C32" s="74" t="str">
        <x:v>SHAYIN</x:v>
      </x:c>
      <x:c r="D32" s="215" t="n">
        <x:v>26</x:v>
      </x:c>
      <x:c r="E32" s="74" t="str">
        <x:v>V1.0</x:v>
      </x:c>
      <x:c r="F32" s="68" t="str">
        <x:v>比劫可增强印生身后的承载</x:v>
      </x:c>
      <x:c r="G32" s="82" t="str">
        <x:v>结构层</x:v>
      </x:c>
      <x:c r="H32" s="82" t="str">
        <x:v>生化型</x:v>
      </x:c>
      <x:c r="I32" s="68" t="str">
        <x:v>杀印相生</x:v>
      </x:c>
      <x:c r="J32" s="68" t="str">
        <x:v>七杀、印星、比劫</x:v>
      </x:c>
      <x:c r="K32" s="68" t="str">
        <x:v>杀印链成立</x:v>
      </x:c>
      <x:c r="L32" s="68" t="str">
        <x:v>比劫提供额外同类承载</x:v>
      </x:c>
      <x:c r="M32" s="68" t="str">
        <x:v>直接或可达的生克制化路径成立</x:v>
      </x:c>
      <x:c r="N32" s="68" t="str">
        <x:v>相关十神均以M10有效力量为准，且不存在决定性失衡</x:v>
      </x:c>
      <x:c r="O32" s="68" t="str">
        <x:v>结合M09日主承载判断</x:v>
      </x:c>
      <x:c r="P32" s="68" t="str">
        <x:v>主体、客体、作用路径与力量匹配均达到最低要求</x:v>
      </x:c>
      <x:c r="Q32" s="68" t="str">
        <x:v>印比连续扶身且不破坏其他关键结构</x:v>
      </x:c>
      <x:c r="R32" s="90" t="str">
        <x:v>关键十神被合绊、被制、改性、失效或力量严重失衡</x:v>
      </x:c>
      <x:c r="S32" s="68" t="str">
        <x:v>存在第三十神恢复通路、清除破坏或重新形成平衡</x:v>
      </x:c>
      <x:c r="T32" s="90" t="str">
        <x:v>任一核心十神失效，或不存在真实作用路径</x:v>
      </x:c>
      <x:c r="U32" s="68" t="str">
        <x:v>特殊格局、从化或月令格局另转M14/M15复审</x:v>
      </x:c>
      <x:c r="V32" s="84" t="str">
        <x:v>明显成立</x:v>
      </x:c>
      <x:c r="W32" s="84" t="str">
        <x:v>形成局部生化、制化或承载结构</x:v>
      </x:c>
      <x:c r="X32" s="82" t="str">
        <x:v>条件性</x:v>
      </x:c>
      <x:c r="Y32" s="68" t="str">
        <x:v>对应格局候选转M14</x:v>
      </x:c>
      <x:c r="Z32" s="84" t="str">
        <x:v>杀印相生_印比增强</x:v>
      </x:c>
      <x:c r="AA32" s="84" t="str">
        <x:v>杀印相生：当主体、客体、路径与力量匹配满足最低标准时，判“明显成立”；是否上升为格局转M14/M15。</x:v>
      </x:c>
      <x:c r="AB32" s="82" t="str">
        <x:v>较高</x:v>
      </x:c>
      <x:c r="AC32" s="82" t="str">
        <x:v>现代综合</x:v>
      </x:c>
      <x:c r="AD32" s="68" t="str">
        <x:v>十神同时出现不等于组合成立。M11须同时验证核心十神有效性、作用路径、力量匹配、日主承载、破坏因素与救应；组合成立也不等于格局成立。</x:v>
      </x:c>
      <x:c r="AE32" s="68" t="str">
        <x:v>杀印链成立；比劫提供额外同类承载；作用路径稳定且无关键破坏，可按“杀印相生”记录。</x:v>
      </x:c>
      <x:c r="AF32" s="90" t="str">
        <x:v>仅因“七杀、印星、比劫”同时出现，但核心十神无力、无作用路径或被关键因素破坏，不能判“杀印相生”成立。</x:v>
      </x:c>
      <x:c r="AG32" s="68" t="str">
        <x:v>https://zh.wikisource.org/zh-hans/%E6%B7%B5%E6%B5%B7%E5%AD%90%E5%B9%B3 ; https://zh.wikisource.org/wiki/%E6%BB%B4%E5%A4%A9%E9%AB%93%E9%97%A1%E5%BE%AE</x:v>
      </x:c>
      <x:c r="AH32" s="82" t="str">
        <x:v>采用</x:v>
      </x:c>
      <x:c r="AI32" s="82" t="str">
        <x:v>初审</x:v>
      </x:c>
      <x:c r="AJ32" s="87" t="n">
        <x:v>46255</x:v>
      </x:c>
    </x:row>
    <x:row r="33">
      <x:c r="A33" s="72" t="str">
        <x:f>IF(OR(C33="",D33=""),"",B33&amp;"-"&amp;UPPER(C33)&amp;"-"&amp;TEXT(D33,"0000")&amp;"-"&amp;E33)</x:f>
        <x:v>M11-SHAYIN-0027-V1.0</x:v>
      </x:c>
      <x:c r="B33" s="74" t="str">
        <x:v>M11</x:v>
      </x:c>
      <x:c r="C33" s="74" t="str">
        <x:v>SHAYIN</x:v>
      </x:c>
      <x:c r="D33" s="215" t="n">
        <x:v>27</x:v>
      </x:c>
      <x:c r="E33" s="74" t="str">
        <x:v>V1.0</x:v>
      </x:c>
      <x:c r="F33" s="68" t="str">
        <x:v>食神强制杀会与印化杀形成路线竞争</x:v>
      </x:c>
      <x:c r="G33" s="82" t="str">
        <x:v>结构层</x:v>
      </x:c>
      <x:c r="H33" s="82" t="str">
        <x:v>生化型</x:v>
      </x:c>
      <x:c r="I33" s="68" t="str">
        <x:v>杀印相生</x:v>
      </x:c>
      <x:c r="J33" s="68" t="str">
        <x:v>七杀、印星、食神</x:v>
      </x:c>
      <x:c r="K33" s="68" t="str">
        <x:v>食神制杀与印化杀同时存在</x:v>
      </x:c>
      <x:c r="L33" s="68" t="str">
        <x:v>七杀力量被两条路径共同调用</x:v>
      </x:c>
      <x:c r="M33" s="68" t="str">
        <x:v>直接或可达的生克制化路径成立</x:v>
      </x:c>
      <x:c r="N33" s="68" t="str">
        <x:v>相关十神均以M10有效力量为准，且不存在决定性失衡</x:v>
      </x:c>
      <x:c r="O33" s="68" t="str">
        <x:v>结合M09日主承载判断</x:v>
      </x:c>
      <x:c r="P33" s="68" t="str">
        <x:v>主体、客体、作用路径与力量匹配均达到最低要求</x:v>
      </x:c>
      <x:c r="Q33" s="68" t="str">
        <x:v>相关十神有根、有源、透达、清纯且关键通路稳定</x:v>
      </x:c>
      <x:c r="R33" s="90" t="str">
        <x:v>制杀与化杀争夺同一杀气，导致任一路径容量不足</x:v>
      </x:c>
      <x:c r="S33" s="68" t="str">
        <x:v>存在第三十神恢复通路、清除破坏或重新形成平衡</x:v>
      </x:c>
      <x:c r="T33" s="90" t="str">
        <x:v>任一核心十神失效，或不存在真实作用路径</x:v>
      </x:c>
      <x:c r="U33" s="68" t="str">
        <x:v>特殊格局、从化或月令格局另转M14/M15复审</x:v>
      </x:c>
      <x:c r="V33" s="84" t="str">
        <x:v>基本成立</x:v>
      </x:c>
      <x:c r="W33" s="84" t="str">
        <x:v>形成局部生化、制化或承载结构</x:v>
      </x:c>
      <x:c r="X33" s="82" t="str">
        <x:v>条件性</x:v>
      </x:c>
      <x:c r="Y33" s="68" t="str">
        <x:v>对应格局候选转M14</x:v>
      </x:c>
      <x:c r="Z33" s="84" t="str">
        <x:v>杀印相生_制化并见</x:v>
      </x:c>
      <x:c r="AA33" s="84" t="str">
        <x:v>杀印相生：当主体、客体、路径与力量匹配满足最低标准时，判“基本成立”；是否上升为格局转M14/M15。</x:v>
      </x:c>
      <x:c r="AB33" s="82" t="str">
        <x:v>较高</x:v>
      </x:c>
      <x:c r="AC33" s="82" t="str">
        <x:v>现代综合</x:v>
      </x:c>
      <x:c r="AD33" s="68" t="str">
        <x:v>十神同时出现不等于组合成立。M11须同时验证核心十神有效性、作用路径、力量匹配、日主承载、破坏因素与救应；组合成立也不等于格局成立。</x:v>
      </x:c>
      <x:c r="AE33" s="68" t="str">
        <x:v>食神制杀与印化杀同时存在；七杀力量被两条路径共同调用；作用路径稳定且无关键破坏，可按“杀印相生”记录。</x:v>
      </x:c>
      <x:c r="AF33" s="90" t="str">
        <x:v>仅因“七杀、印星、食神”同时出现，但核心十神无力、无作用路径或被关键因素破坏，不能判“杀印相生”成立。</x:v>
      </x:c>
      <x:c r="AG33" s="68" t="str">
        <x:v>https://zh.wikisource.org/zh-hans/%E6%B7%B5%E6%B5%B7%E5%AD%90%E5%B9%B3 ; https://zh.wikisource.org/wiki/%E6%BB%B4%E5%A4%A9%E9%AB%93%E9%97%A1%E5%BE%AE</x:v>
      </x:c>
      <x:c r="AH33" s="82" t="str">
        <x:v>采用</x:v>
      </x:c>
      <x:c r="AI33" s="82" t="str">
        <x:v>初审</x:v>
      </x:c>
      <x:c r="AJ33" s="87" t="n">
        <x:v>46255</x:v>
      </x:c>
    </x:row>
    <x:row r="34">
      <x:c r="A34" s="72" t="str">
        <x:f>IF(OR(C34="",D34=""),"",B34&amp;"-"&amp;UPPER(C34)&amp;"-"&amp;TEXT(D34,"0000")&amp;"-"&amp;E34)</x:f>
        <x:v>M11-SHAYIN-0028-V1.0</x:v>
      </x:c>
      <x:c r="B34" s="74" t="str">
        <x:v>M11</x:v>
      </x:c>
      <x:c r="C34" s="74" t="str">
        <x:v>SHAYIN</x:v>
      </x:c>
      <x:c r="D34" s="215" t="n">
        <x:v>28</x:v>
      </x:c>
      <x:c r="E34" s="74" t="str">
        <x:v>V1.0</x:v>
      </x:c>
      <x:c r="F34" s="68" t="str">
        <x:v>杀印链连续且比例协调可判明显成立</x:v>
      </x:c>
      <x:c r="G34" s="82" t="str">
        <x:v>结构层</x:v>
      </x:c>
      <x:c r="H34" s="82" t="str">
        <x:v>生化型</x:v>
      </x:c>
      <x:c r="I34" s="68" t="str">
        <x:v>杀印相生</x:v>
      </x:c>
      <x:c r="J34" s="68" t="str">
        <x:v>七杀、印星</x:v>
      </x:c>
      <x:c r="K34" s="68" t="str">
        <x:v>七杀有力、印星有力、印可生身</x:v>
      </x:c>
      <x:c r="L34" s="68" t="str">
        <x:v>无财破印、无关键合化阻断</x:v>
      </x:c>
      <x:c r="M34" s="68" t="str">
        <x:v>直接或可达的生克制化路径成立</x:v>
      </x:c>
      <x:c r="N34" s="68" t="str">
        <x:v>杀印力量匹配且日主能承载</x:v>
      </x:c>
      <x:c r="O34" s="68" t="str">
        <x:v>结合M09日主承载判断</x:v>
      </x:c>
      <x:c r="P34" s="68" t="str">
        <x:v>主体、客体、作用路径与力量匹配均达到最低要求</x:v>
      </x:c>
      <x:c r="Q34" s="68" t="str">
        <x:v>相关十神有根、有源、透达、清纯且关键通路稳定</x:v>
      </x:c>
      <x:c r="R34" s="90" t="str">
        <x:v>关键十神被合绊、被制、改性、失效或力量严重失衡</x:v>
      </x:c>
      <x:c r="S34" s="68" t="str">
        <x:v>存在第三十神恢复通路、清除破坏或重新形成平衡</x:v>
      </x:c>
      <x:c r="T34" s="90" t="str">
        <x:v>任一核心十神失效，或不存在真实作用路径</x:v>
      </x:c>
      <x:c r="U34" s="68" t="str">
        <x:v>特殊格局、从化或月令格局另转M14/M15复审</x:v>
      </x:c>
      <x:c r="V34" s="84" t="str">
        <x:v>明显成立</x:v>
      </x:c>
      <x:c r="W34" s="84" t="str">
        <x:v>形成局部生化、制化或承载结构</x:v>
      </x:c>
      <x:c r="X34" s="82" t="str">
        <x:v>条件性</x:v>
      </x:c>
      <x:c r="Y34" s="68" t="str">
        <x:v>对应格局候选转M14</x:v>
      </x:c>
      <x:c r="Z34" s="84" t="str">
        <x:v>杀印相生_明显成立</x:v>
      </x:c>
      <x:c r="AA34" s="84" t="str">
        <x:v>杀印相生：当主体、客体、路径与力量匹配满足最低标准时，判“明显成立”；是否上升为格局转M14/M15。</x:v>
      </x:c>
      <x:c r="AB34" s="82" t="str">
        <x:v>较高</x:v>
      </x:c>
      <x:c r="AC34" s="82" t="str">
        <x:v>现代综合</x:v>
      </x:c>
      <x:c r="AD34" s="68" t="str">
        <x:v>十神同时出现不等于组合成立。M11须同时验证核心十神有效性、作用路径、力量匹配、日主承载、破坏因素与救应；组合成立也不等于格局成立。</x:v>
      </x:c>
      <x:c r="AE34" s="68" t="str">
        <x:v>七杀有力、印星有力、印可生身；无财破印、无关键合化阻断；作用路径稳定且无关键破坏，可按“杀印相生”记录。</x:v>
      </x:c>
      <x:c r="AF34" s="90" t="str">
        <x:v>仅因“七杀、印星”同时出现，但核心十神无力、无作用路径或被关键因素破坏，不能判“杀印相生”成立。</x:v>
      </x:c>
      <x:c r="AG34" s="68" t="str">
        <x:v>https://zh.wikisource.org/zh-hans/%E6%B7%B5%E6%B5%B7%E5%AD%90%E5%B9%B3 ; https://zh.wikisource.org/wiki/%E6%BB%B4%E5%A4%A9%E9%AB%93%E9%97%A1%E5%BE%AE</x:v>
      </x:c>
      <x:c r="AH34" s="82" t="str">
        <x:v>采用</x:v>
      </x:c>
      <x:c r="AI34" s="82" t="str">
        <x:v>初审</x:v>
      </x:c>
      <x:c r="AJ34" s="87" t="n">
        <x:v>46255</x:v>
      </x:c>
    </x:row>
    <x:row r="35">
      <x:c r="A35" s="72" t="str">
        <x:f>IF(OR(C35="",D35=""),"",B35&amp;"-"&amp;UPPER(C35)&amp;"-"&amp;TEXT(D35,"0000")&amp;"-"&amp;E35)</x:f>
        <x:v>M11-GUANYIN-0029-V1.0</x:v>
      </x:c>
      <x:c r="B35" s="74" t="str">
        <x:v>M11</x:v>
      </x:c>
      <x:c r="C35" s="74" t="str">
        <x:v>GUANYIN</x:v>
      </x:c>
      <x:c r="D35" s="215" t="n">
        <x:v>29</x:v>
      </x:c>
      <x:c r="E35" s="74" t="str">
        <x:v>V1.0</x:v>
      </x:c>
      <x:c r="F35" s="68" t="str">
        <x:v>正官应真实有效并能够生印</x:v>
      </x:c>
      <x:c r="G35" s="82" t="str">
        <x:v>结构层</x:v>
      </x:c>
      <x:c r="H35" s="82" t="str">
        <x:v>生化型</x:v>
      </x:c>
      <x:c r="I35" s="68" t="str">
        <x:v>官印相生</x:v>
      </x:c>
      <x:c r="J35" s="68" t="str">
        <x:v>正官、印星</x:v>
      </x:c>
      <x:c r="K35" s="68" t="str">
        <x:v>正官有效且生印路径存在</x:v>
      </x:c>
      <x:c r="L35" s="68" t="str">
        <x:v>印星有效并可承接官气</x:v>
      </x:c>
      <x:c r="M35" s="68" t="str">
        <x:v>正官→印星链路连续</x:v>
      </x:c>
      <x:c r="N35" s="68" t="str">
        <x:v>相关十神均以M10有效力量为准，且不存在决定性失衡</x:v>
      </x:c>
      <x:c r="O35" s="68" t="str">
        <x:v>结合M09日主承载判断</x:v>
      </x:c>
      <x:c r="P35" s="68" t="str">
        <x:v>主体、客体、作用路径与力量匹配均达到最低要求</x:v>
      </x:c>
      <x:c r="Q35" s="68" t="str">
        <x:v>相关十神有根、有源、透达、清纯且关键通路稳定</x:v>
      </x:c>
      <x:c r="R35" s="90" t="str">
        <x:v>关键十神被合绊、被制、改性、失效或力量严重失衡</x:v>
      </x:c>
      <x:c r="S35" s="68" t="str">
        <x:v>存在第三十神恢复通路、清除破坏或重新形成平衡</x:v>
      </x:c>
      <x:c r="T35" s="90" t="str">
        <x:v>任一核心十神失效，或不存在真实作用路径</x:v>
      </x:c>
      <x:c r="U35" s="68" t="str">
        <x:v>特殊格局、从化或月令格局另转M14/M15复审</x:v>
      </x:c>
      <x:c r="V35" s="84" t="str">
        <x:v>基本成立</x:v>
      </x:c>
      <x:c r="W35" s="84" t="str">
        <x:v>官气转为印星资源</x:v>
      </x:c>
      <x:c r="X35" s="82" t="str">
        <x:v>条件性</x:v>
      </x:c>
      <x:c r="Y35" s="68" t="str">
        <x:v>官印相生格候选</x:v>
      </x:c>
      <x:c r="Z35" s="84" t="str">
        <x:v>官印相生_成立条件</x:v>
      </x:c>
      <x:c r="AA35" s="84" t="str">
        <x:v>官印相生：当主体、客体、路径与力量匹配满足最低标准时，判“基本成立”；是否上升为格局转M14/M15。</x:v>
      </x:c>
      <x:c r="AB35" s="82" t="str">
        <x:v>较高</x:v>
      </x:c>
      <x:c r="AC35" s="82" t="str">
        <x:v>现代综合</x:v>
      </x:c>
      <x:c r="AD35" s="68" t="str">
        <x:v>十神同时出现不等于组合成立。M11须同时验证核心十神有效性、作用路径、力量匹配、日主承载、破坏因素与救应；组合成立也不等于格局成立。</x:v>
      </x:c>
      <x:c r="AE35" s="68" t="str">
        <x:v>正官有效且生印路径存在；印星有效并可承接官气；作用路径稳定且无关键破坏，可按“官印相生”记录。</x:v>
      </x:c>
      <x:c r="AF35" s="90" t="str">
        <x:v>仅因“正官、印星”同时出现，但核心十神无力、无作用路径或被关键因素破坏，不能判“官印相生”成立。</x:v>
      </x:c>
      <x:c r="AG35" s="68" t="str">
        <x:v>https://zh.wikisource.org/zh-hans/%E6%B7%B5%E6%B5%B7%E5%AD%90%E5%B9%B3 ; https://zh.wikisource.org/wiki/%E6%BB%B4%E5%A4%A9%E9%AB%93%E9%97%A1%E5%BE%AE</x:v>
      </x:c>
      <x:c r="AH35" s="82" t="str">
        <x:v>采用</x:v>
      </x:c>
      <x:c r="AI35" s="82" t="str">
        <x:v>初审</x:v>
      </x:c>
      <x:c r="AJ35" s="87" t="n">
        <x:v>46255</x:v>
      </x:c>
    </x:row>
    <x:row r="36">
      <x:c r="A36" s="72" t="str">
        <x:f>IF(OR(C36="",D36=""),"",B36&amp;"-"&amp;UPPER(C36)&amp;"-"&amp;TEXT(D36,"0000")&amp;"-"&amp;E36)</x:f>
        <x:v>M11-GUANYIN-0030-V1.0</x:v>
      </x:c>
      <x:c r="B36" s="74" t="str">
        <x:v>M11</x:v>
      </x:c>
      <x:c r="C36" s="74" t="str">
        <x:v>GUANYIN</x:v>
      </x:c>
      <x:c r="D36" s="215" t="n">
        <x:v>30</x:v>
      </x:c>
      <x:c r="E36" s="74" t="str">
        <x:v>V1.0</x:v>
      </x:c>
      <x:c r="F36" s="68" t="str">
        <x:v>印星必须继续生日主形成完整链</x:v>
      </x:c>
      <x:c r="G36" s="82" t="str">
        <x:v>结构层</x:v>
      </x:c>
      <x:c r="H36" s="82" t="str">
        <x:v>生化型</x:v>
      </x:c>
      <x:c r="I36" s="68" t="str">
        <x:v>官印相生</x:v>
      </x:c>
      <x:c r="J36" s="68" t="str">
        <x:v>正官、印星、日主</x:v>
      </x:c>
      <x:c r="K36" s="68" t="str">
        <x:v>印星有力</x:v>
      </x:c>
      <x:c r="L36" s="68" t="str">
        <x:v>日主可承接印星生扶</x:v>
      </x:c>
      <x:c r="M36" s="68" t="str">
        <x:v>官→印→身连续</x:v>
      </x:c>
      <x:c r="N36" s="68" t="str">
        <x:v>相关十神均以M10有效力量为准，且不存在决定性失衡</x:v>
      </x:c>
      <x:c r="O36" s="68" t="str">
        <x:v>结合M09日主承载判断</x:v>
      </x:c>
      <x:c r="P36" s="68" t="str">
        <x:v>官生印、印生身均有效</x:v>
      </x:c>
      <x:c r="Q36" s="68" t="str">
        <x:v>相关十神有根、有源、透达、清纯且关键通路稳定</x:v>
      </x:c>
      <x:c r="R36" s="90" t="str">
        <x:v>关键十神被合绊、被制、改性、失效或力量严重失衡</x:v>
      </x:c>
      <x:c r="S36" s="68" t="str">
        <x:v>存在第三十神恢复通路、清除破坏或重新形成平衡</x:v>
      </x:c>
      <x:c r="T36" s="90" t="str">
        <x:v>任一核心十神失效，或不存在真实作用路径</x:v>
      </x:c>
      <x:c r="U36" s="68" t="str">
        <x:v>特殊格局、从化或月令格局另转M14/M15复审</x:v>
      </x:c>
      <x:c r="V36" s="84" t="str">
        <x:v>基本成立</x:v>
      </x:c>
      <x:c r="W36" s="84" t="str">
        <x:v>形成局部生化、制化或承载结构</x:v>
      </x:c>
      <x:c r="X36" s="82" t="str">
        <x:v>条件性</x:v>
      </x:c>
      <x:c r="Y36" s="68" t="str">
        <x:v>对应格局候选转M14</x:v>
      </x:c>
      <x:c r="Z36" s="84" t="str">
        <x:v>官印相生_完整链</x:v>
      </x:c>
      <x:c r="AA36" s="84" t="str">
        <x:v>官印相生：当主体、客体、路径与力量匹配满足最低标准时，判“基本成立”；是否上升为格局转M14/M15。</x:v>
      </x:c>
      <x:c r="AB36" s="82" t="str">
        <x:v>较高</x:v>
      </x:c>
      <x:c r="AC36" s="82" t="str">
        <x:v>现代综合</x:v>
      </x:c>
      <x:c r="AD36" s="68" t="str">
        <x:v>十神同时出现不等于组合成立。M11须同时验证核心十神有效性、作用路径、力量匹配、日主承载、破坏因素与救应；组合成立也不等于格局成立。</x:v>
      </x:c>
      <x:c r="AE36" s="68" t="str">
        <x:v>印星有力；日主可承接印星生扶；作用路径稳定且无关键破坏，可按“官印相生”记录。</x:v>
      </x:c>
      <x:c r="AF36" s="90" t="str">
        <x:v>仅因“正官、印星、日主”同时出现，但核心十神无力、无作用路径或被关键因素破坏，不能判“官印相生”成立。</x:v>
      </x:c>
      <x:c r="AG36" s="68" t="str">
        <x:v>https://zh.wikisource.org/zh-hans/%E6%B7%B5%E6%B5%B7%E5%AD%90%E5%B9%B3 ; https://zh.wikisource.org/wiki/%E6%BB%B4%E5%A4%A9%E9%AB%93%E9%97%A1%E5%BE%AE</x:v>
      </x:c>
      <x:c r="AH36" s="82" t="str">
        <x:v>采用</x:v>
      </x:c>
      <x:c r="AI36" s="82" t="str">
        <x:v>初审</x:v>
      </x:c>
      <x:c r="AJ36" s="87" t="n">
        <x:v>46255</x:v>
      </x:c>
    </x:row>
    <x:row r="37">
      <x:c r="A37" s="72" t="str">
        <x:f>IF(OR(C37="",D37=""),"",B37&amp;"-"&amp;UPPER(C37)&amp;"-"&amp;TEXT(D37,"0000")&amp;"-"&amp;E37)</x:f>
        <x:v>M11-GUANYIN-0031-V1.0</x:v>
      </x:c>
      <x:c r="B37" s="74" t="str">
        <x:v>M11</x:v>
      </x:c>
      <x:c r="C37" s="74" t="str">
        <x:v>GUANYIN</x:v>
      </x:c>
      <x:c r="D37" s="215" t="n">
        <x:v>31</x:v>
      </x:c>
      <x:c r="E37" s="74" t="str">
        <x:v>V1.0</x:v>
      </x:c>
      <x:c r="F37" s="68" t="str">
        <x:v>官弱无根时相生功能有限</x:v>
      </x:c>
      <x:c r="G37" s="82" t="str">
        <x:v>结构层</x:v>
      </x:c>
      <x:c r="H37" s="82" t="str">
        <x:v>生化型</x:v>
      </x:c>
      <x:c r="I37" s="68" t="str">
        <x:v>官印相生</x:v>
      </x:c>
      <x:c r="J37" s="68" t="str">
        <x:v>正官、印星</x:v>
      </x:c>
      <x:c r="K37" s="68" t="str">
        <x:v>正官仅名义存在或极弱</x:v>
      </x:c>
      <x:c r="L37" s="68" t="str">
        <x:v>印星虽有力但缺乏有效官源</x:v>
      </x:c>
      <x:c r="M37" s="68" t="str">
        <x:v>直接或可达的生克制化路径成立</x:v>
      </x:c>
      <x:c r="N37" s="68" t="str">
        <x:v>相关十神均以M10有效力量为准，且不存在决定性失衡</x:v>
      </x:c>
      <x:c r="O37" s="68" t="str">
        <x:v>结合M09日主承载判断</x:v>
      </x:c>
      <x:c r="P37" s="68" t="str">
        <x:v>主体、客体、作用路径与力量匹配均达到最低要求</x:v>
      </x:c>
      <x:c r="Q37" s="68" t="str">
        <x:v>相关十神有根、有源、透达、清纯且关键通路稳定</x:v>
      </x:c>
      <x:c r="R37" s="90" t="str">
        <x:v>关键十神被合绊、被制、改性、失效或力量严重失衡</x:v>
      </x:c>
      <x:c r="S37" s="68" t="str">
        <x:v>存在第三十神恢复通路、清除破坏或重新形成平衡</x:v>
      </x:c>
      <x:c r="T37" s="90" t="str">
        <x:v>任一核心十神失效，或不存在真实作用路径</x:v>
      </x:c>
      <x:c r="U37" s="68" t="str">
        <x:v>特殊格局、从化或月令格局另转M14/M15复审</x:v>
      </x:c>
      <x:c r="V37" s="84" t="str">
        <x:v>弱成立</x:v>
      </x:c>
      <x:c r="W37" s="84" t="str">
        <x:v>以印生身为主，官印链弱</x:v>
      </x:c>
      <x:c r="X37" s="82" t="str">
        <x:v>否</x:v>
      </x:c>
      <x:c r="Y37" s="68" t="str">
        <x:v>对应格局候选转M14</x:v>
      </x:c>
      <x:c r="Z37" s="84" t="str">
        <x:v>官印相生_官弱</x:v>
      </x:c>
      <x:c r="AA37" s="84" t="str">
        <x:v>官印相生：当主体、客体、路径与力量匹配满足最低标准时，判“弱成立”；是否上升为格局转M14/M15。</x:v>
      </x:c>
      <x:c r="AB37" s="82" t="str">
        <x:v>较高</x:v>
      </x:c>
      <x:c r="AC37" s="82" t="str">
        <x:v>现代综合</x:v>
      </x:c>
      <x:c r="AD37" s="68" t="str">
        <x:v>十神同时出现不等于组合成立。M11须同时验证核心十神有效性、作用路径、力量匹配、日主承载、破坏因素与救应；组合成立也不等于格局成立。</x:v>
      </x:c>
      <x:c r="AE37" s="68" t="str">
        <x:v>正官仅名义存在或极弱；印星虽有力但缺乏有效官源；作用路径稳定且无关键破坏，可按“官印相生”记录。</x:v>
      </x:c>
      <x:c r="AF37" s="90" t="str">
        <x:v>仅因“正官、印星”同时出现，但核心十神无力、无作用路径或被关键因素破坏，不能判“官印相生”成立。</x:v>
      </x:c>
      <x:c r="AG37" s="68" t="str">
        <x:v>https://zh.wikisource.org/zh-hans/%E6%B7%B5%E6%B5%B7%E5%AD%90%E5%B9%B3 ; https://zh.wikisource.org/wiki/%E6%BB%B4%E5%A4%A9%E9%AB%93%E9%97%A1%E5%BE%AE</x:v>
      </x:c>
      <x:c r="AH37" s="82" t="str">
        <x:v>采用</x:v>
      </x:c>
      <x:c r="AI37" s="82" t="str">
        <x:v>初审</x:v>
      </x:c>
      <x:c r="AJ37" s="87" t="n">
        <x:v>46255</x:v>
      </x:c>
    </x:row>
    <x:row r="38">
      <x:c r="A38" s="72" t="str">
        <x:f>IF(OR(C38="",D38=""),"",B38&amp;"-"&amp;UPPER(C38)&amp;"-"&amp;TEXT(D38,"0000")&amp;"-"&amp;E38)</x:f>
        <x:v>M11-GUANYIN-0032-V1.0</x:v>
      </x:c>
      <x:c r="B38" s="74" t="str">
        <x:v>M11</x:v>
      </x:c>
      <x:c r="C38" s="74" t="str">
        <x:v>GUANYIN</x:v>
      </x:c>
      <x:c r="D38" s="215" t="n">
        <x:v>32</x:v>
      </x:c>
      <x:c r="E38" s="74" t="str">
        <x:v>V1.0</x:v>
      </x:c>
      <x:c r="F38" s="68" t="str">
        <x:v>印弱受损时官印链中断</x:v>
      </x:c>
      <x:c r="G38" s="82" t="str">
        <x:v>结构层</x:v>
      </x:c>
      <x:c r="H38" s="82" t="str">
        <x:v>生化型</x:v>
      </x:c>
      <x:c r="I38" s="68" t="str">
        <x:v>官印相生</x:v>
      </x:c>
      <x:c r="J38" s="68" t="str">
        <x:v>正官、印星</x:v>
      </x:c>
      <x:c r="K38" s="68" t="str">
        <x:v>正官有力</x:v>
      </x:c>
      <x:c r="L38" s="68" t="str">
        <x:v>印星弱、被财制或改性</x:v>
      </x:c>
      <x:c r="M38" s="68" t="str">
        <x:v>直接或可达的生克制化路径成立</x:v>
      </x:c>
      <x:c r="N38" s="68" t="str">
        <x:v>相关十神均以M10有效力量为准，且不存在决定性失衡</x:v>
      </x:c>
      <x:c r="O38" s="68" t="str">
        <x:v>结合M09日主承载判断</x:v>
      </x:c>
      <x:c r="P38" s="68" t="str">
        <x:v>主体、客体、作用路径与力量匹配均达到最低要求</x:v>
      </x:c>
      <x:c r="Q38" s="68" t="str">
        <x:v>相关十神有根、有源、透达、清纯且关键通路稳定</x:v>
      </x:c>
      <x:c r="R38" s="90" t="str">
        <x:v>印星无法承接官气或无法继续生身</x:v>
      </x:c>
      <x:c r="S38" s="68" t="str">
        <x:v>存在第三十神恢复通路、清除破坏或重新形成平衡</x:v>
      </x:c>
      <x:c r="T38" s="90" t="str">
        <x:v>任一核心十神失效，或不存在真实作用路径</x:v>
      </x:c>
      <x:c r="U38" s="68" t="str">
        <x:v>特殊格局、从化或月令格局另转M14/M15复审</x:v>
      </x:c>
      <x:c r="V38" s="84" t="str">
        <x:v>不成立</x:v>
      </x:c>
      <x:c r="W38" s="84" t="str">
        <x:v>形成局部生化、制化或承载结构</x:v>
      </x:c>
      <x:c r="X38" s="82" t="str">
        <x:v>否</x:v>
      </x:c>
      <x:c r="Y38" s="68" t="str">
        <x:v>对应格局候选转M14</x:v>
      </x:c>
      <x:c r="Z38" s="84" t="str">
        <x:v>官印相生_印弱</x:v>
      </x:c>
      <x:c r="AA38" s="84" t="str">
        <x:v>官印相生：当主体、客体、路径与力量匹配满足最低标准时，判“不成立”；是否上升为格局转M14/M15。</x:v>
      </x:c>
      <x:c r="AB38" s="82" t="str">
        <x:v>较高</x:v>
      </x:c>
      <x:c r="AC38" s="82" t="str">
        <x:v>现代综合</x:v>
      </x:c>
      <x:c r="AD38" s="68" t="str">
        <x:v>十神同时出现不等于组合成立。M11须同时验证核心十神有效性、作用路径、力量匹配、日主承载、破坏因素与救应；组合成立也不等于格局成立。</x:v>
      </x:c>
      <x:c r="AE38" s="68" t="str">
        <x:v>正官有力；印星弱、被财制或改性；作用路径稳定且无关键破坏，可按“官印相生”记录。</x:v>
      </x:c>
      <x:c r="AF38" s="90" t="str">
        <x:v>仅因“正官、印星”同时出现，但核心十神无力、无作用路径或被关键因素破坏，不能判“官印相生”成立。</x:v>
      </x:c>
      <x:c r="AG38" s="68" t="str">
        <x:v>https://zh.wikisource.org/zh-hans/%E6%B7%B5%E6%B5%B7%E5%AD%90%E5%B9%B3 ; https://zh.wikisource.org/wiki/%E6%BB%B4%E5%A4%A9%E9%AB%93%E9%97%A1%E5%BE%AE</x:v>
      </x:c>
      <x:c r="AH38" s="82" t="str">
        <x:v>采用</x:v>
      </x:c>
      <x:c r="AI38" s="82" t="str">
        <x:v>初审</x:v>
      </x:c>
      <x:c r="AJ38" s="87" t="n">
        <x:v>46255</x:v>
      </x:c>
    </x:row>
    <x:row r="39">
      <x:c r="A39" s="72" t="str">
        <x:f>IF(OR(C39="",D39=""),"",B39&amp;"-"&amp;UPPER(C39)&amp;"-"&amp;TEXT(D39,"0000")&amp;"-"&amp;E39)</x:f>
        <x:v>M11-GUANYIN-0033-V1.0</x:v>
      </x:c>
      <x:c r="B39" s="74" t="str">
        <x:v>M11</x:v>
      </x:c>
      <x:c r="C39" s="74" t="str">
        <x:v>GUANYIN</x:v>
      </x:c>
      <x:c r="D39" s="215" t="n">
        <x:v>33</x:v>
      </x:c>
      <x:c r="E39" s="74" t="str">
        <x:v>V1.0</x:v>
      </x:c>
      <x:c r="F39" s="68" t="str">
        <x:v>伤官克官会破坏官印源头</x:v>
      </x:c>
      <x:c r="G39" s="82" t="str">
        <x:v>结构层</x:v>
      </x:c>
      <x:c r="H39" s="82" t="str">
        <x:v>生化型</x:v>
      </x:c>
      <x:c r="I39" s="68" t="str">
        <x:v>官印相生</x:v>
      </x:c>
      <x:c r="J39" s="68" t="str">
        <x:v>正官、印星、伤官</x:v>
      </x:c>
      <x:c r="K39" s="68" t="str">
        <x:v>伤官有效强制正官</x:v>
      </x:c>
      <x:c r="L39" s="68" t="str">
        <x:v>正官功能显著受限</x:v>
      </x:c>
      <x:c r="M39" s="68" t="str">
        <x:v>直接或可达的生克制化路径成立</x:v>
      </x:c>
      <x:c r="N39" s="68" t="str">
        <x:v>相关十神均以M10有效力量为准，且不存在决定性失衡</x:v>
      </x:c>
      <x:c r="O39" s="68" t="str">
        <x:v>结合M09日主承载判断</x:v>
      </x:c>
      <x:c r="P39" s="68" t="str">
        <x:v>主体、客体、作用路径与力量匹配均达到最低要求</x:v>
      </x:c>
      <x:c r="Q39" s="68" t="str">
        <x:v>相关十神有根、有源、透达、清纯且关键通路稳定</x:v>
      </x:c>
      <x:c r="R39" s="90" t="str">
        <x:v>官星被伤官制至无法稳定生印</x:v>
      </x:c>
      <x:c r="S39" s="68" t="str">
        <x:v>存在第三十神恢复通路、清除破坏或重新形成平衡</x:v>
      </x:c>
      <x:c r="T39" s="90" t="str">
        <x:v>任一核心十神失效，或不存在真实作用路径</x:v>
      </x:c>
      <x:c r="U39" s="68" t="str">
        <x:v>特殊格局、从化或月令格局另转M14/M15复审</x:v>
      </x:c>
      <x:c r="V39" s="84" t="str">
        <x:v>不成立</x:v>
      </x:c>
      <x:c r="W39" s="84" t="str">
        <x:v>形成局部生化、制化或承载结构</x:v>
      </x:c>
      <x:c r="X39" s="82" t="str">
        <x:v>否</x:v>
      </x:c>
      <x:c r="Y39" s="68" t="str">
        <x:v>对应格局候选转M14</x:v>
      </x:c>
      <x:c r="Z39" s="84" t="str">
        <x:v>官印相生_伤官破官</x:v>
      </x:c>
      <x:c r="AA39" s="84" t="str">
        <x:v>官印相生：当主体、客体、路径与力量匹配满足最低标准时，判“不成立”；是否上升为格局转M14/M15。</x:v>
      </x:c>
      <x:c r="AB39" s="82" t="str">
        <x:v>较高</x:v>
      </x:c>
      <x:c r="AC39" s="82" t="str">
        <x:v>现代综合</x:v>
      </x:c>
      <x:c r="AD39" s="68" t="str">
        <x:v>十神同时出现不等于组合成立。M11须同时验证核心十神有效性、作用路径、力量匹配、日主承载、破坏因素与救应；组合成立也不等于格局成立。</x:v>
      </x:c>
      <x:c r="AE39" s="68" t="str">
        <x:v>伤官有效强制正官；正官功能显著受限；作用路径稳定且无关键破坏，可按“官印相生”记录。</x:v>
      </x:c>
      <x:c r="AF39" s="90" t="str">
        <x:v>仅因“正官、印星、伤官”同时出现，但核心十神无力、无作用路径或被关键因素破坏，不能判“官印相生”成立。</x:v>
      </x:c>
      <x:c r="AG39" s="68" t="str">
        <x:v>https://zh.wikisource.org/zh-hans/%E6%B7%B5%E6%B5%B7%E5%AD%90%E5%B9%B3 ; https://zh.wikisource.org/wiki/%E6%BB%B4%E5%A4%A9%E9%AB%93%E9%97%A1%E5%BE%AE</x:v>
      </x:c>
      <x:c r="AH39" s="82" t="str">
        <x:v>采用</x:v>
      </x:c>
      <x:c r="AI39" s="82" t="str">
        <x:v>初审</x:v>
      </x:c>
      <x:c r="AJ39" s="87" t="n">
        <x:v>46255</x:v>
      </x:c>
    </x:row>
    <x:row r="40">
      <x:c r="A40" s="72" t="str">
        <x:f>IF(OR(C40="",D40=""),"",B40&amp;"-"&amp;UPPER(C40)&amp;"-"&amp;TEXT(D40,"0000")&amp;"-"&amp;E40)</x:f>
        <x:v>M11-GUANYIN-0034-V1.0</x:v>
      </x:c>
      <x:c r="B40" s="74" t="str">
        <x:v>M11</x:v>
      </x:c>
      <x:c r="C40" s="74" t="str">
        <x:v>GUANYIN</x:v>
      </x:c>
      <x:c r="D40" s="215" t="n">
        <x:v>34</x:v>
      </x:c>
      <x:c r="E40" s="74" t="str">
        <x:v>V1.0</x:v>
      </x:c>
      <x:c r="F40" s="68" t="str">
        <x:v>财星既可生官又可能破印需比较净效应</x:v>
      </x:c>
      <x:c r="G40" s="82" t="str">
        <x:v>结构层</x:v>
      </x:c>
      <x:c r="H40" s="82" t="str">
        <x:v>生化型</x:v>
      </x:c>
      <x:c r="I40" s="68" t="str">
        <x:v>官印相生</x:v>
      </x:c>
      <x:c r="J40" s="68" t="str">
        <x:v>正官、印星、财星</x:v>
      </x:c>
      <x:c r="K40" s="68" t="str">
        <x:v>财星同时与官、印发生作用</x:v>
      </x:c>
      <x:c r="L40" s="68" t="str">
        <x:v>一面生官，一面克印</x:v>
      </x:c>
      <x:c r="M40" s="68" t="str">
        <x:v>直接或可达的生克制化路径成立</x:v>
      </x:c>
      <x:c r="N40" s="68" t="str">
        <x:v>比较财生官收益与财坏印副作用</x:v>
      </x:c>
      <x:c r="O40" s="68" t="str">
        <x:v>结合M09日主承载判断</x:v>
      </x:c>
      <x:c r="P40" s="68" t="str">
        <x:v>主体、客体、作用路径与力量匹配均达到最低要求</x:v>
      </x:c>
      <x:c r="Q40" s="68" t="str">
        <x:v>相关十神有根、有源、透达、清纯且关键通路稳定</x:v>
      </x:c>
      <x:c r="R40" s="90" t="str">
        <x:v>关键十神被合绊、被制、改性、失效或力量严重失衡</x:v>
      </x:c>
      <x:c r="S40" s="68" t="str">
        <x:v>存在第三十神恢复通路、清除破坏或重新形成平衡</x:v>
      </x:c>
      <x:c r="T40" s="90" t="str">
        <x:v>任一核心十神失效，或不存在真实作用路径</x:v>
      </x:c>
      <x:c r="U40" s="68" t="str">
        <x:v>特殊格局、从化或月令格局另转M14/M15复审</x:v>
      </x:c>
      <x:c r="V40" s="84" t="str">
        <x:v>基本成立</x:v>
      </x:c>
      <x:c r="W40" s="84" t="str">
        <x:v>形成局部生化、制化或承载结构</x:v>
      </x:c>
      <x:c r="X40" s="82" t="str">
        <x:v>条件性</x:v>
      </x:c>
      <x:c r="Y40" s="68" t="str">
        <x:v>对应格局候选转M14</x:v>
      </x:c>
      <x:c r="Z40" s="84" t="str">
        <x:v>官印相生_财星双效</x:v>
      </x:c>
      <x:c r="AA40" s="84" t="str">
        <x:v>官印相生：当主体、客体、路径与力量匹配满足最低标准时，判“基本成立”；是否上升为格局转M14/M15。</x:v>
      </x:c>
      <x:c r="AB40" s="82" t="str">
        <x:v>较高</x:v>
      </x:c>
      <x:c r="AC40" s="82" t="str">
        <x:v>现代综合</x:v>
      </x:c>
      <x:c r="AD40" s="68" t="str">
        <x:v>十神同时出现不等于组合成立。M11须同时验证核心十神有效性、作用路径、力量匹配、日主承载、破坏因素与救应；组合成立也不等于格局成立。</x:v>
      </x:c>
      <x:c r="AE40" s="68" t="str">
        <x:v>财星同时与官、印发生作用；一面生官，一面克印；作用路径稳定且无关键破坏，可按“官印相生”记录。</x:v>
      </x:c>
      <x:c r="AF40" s="90" t="str">
        <x:v>仅因“正官、印星、财星”同时出现，但核心十神无力、无作用路径或被关键因素破坏，不能判“官印相生”成立。</x:v>
      </x:c>
      <x:c r="AG40" s="68" t="str">
        <x:v>https://zh.wikisource.org/zh-hans/%E6%B7%B5%E6%B5%B7%E5%AD%90%E5%B9%B3 ; https://zh.wikisource.org/wiki/%E6%BB%B4%E5%A4%A9%E9%AB%93%E9%97%A1%E5%BE%AE</x:v>
      </x:c>
      <x:c r="AH40" s="82" t="str">
        <x:v>采用</x:v>
      </x:c>
      <x:c r="AI40" s="82" t="str">
        <x:v>初审</x:v>
      </x:c>
      <x:c r="AJ40" s="87" t="n">
        <x:v>46255</x:v>
      </x:c>
    </x:row>
    <x:row r="41">
      <x:c r="A41" s="72" t="str">
        <x:f>IF(OR(C41="",D41=""),"",B41&amp;"-"&amp;UPPER(C41)&amp;"-"&amp;TEXT(D41,"0000")&amp;"-"&amp;E41)</x:f>
        <x:v>M11-GUANYIN-0035-V1.0</x:v>
      </x:c>
      <x:c r="B41" s="74" t="str">
        <x:v>M11</x:v>
      </x:c>
      <x:c r="C41" s="74" t="str">
        <x:v>GUANYIN</x:v>
      </x:c>
      <x:c r="D41" s="215" t="n">
        <x:v>35</x:v>
      </x:c>
      <x:c r="E41" s="74" t="str">
        <x:v>V1.0</x:v>
      </x:c>
      <x:c r="F41" s="68" t="str">
        <x:v>官印清纯且链路稳定时组合增强</x:v>
      </x:c>
      <x:c r="G41" s="82" t="str">
        <x:v>结构层</x:v>
      </x:c>
      <x:c r="H41" s="82" t="str">
        <x:v>生化型</x:v>
      </x:c>
      <x:c r="I41" s="68" t="str">
        <x:v>官印相生</x:v>
      </x:c>
      <x:c r="J41" s="68" t="str">
        <x:v>正官、印星</x:v>
      </x:c>
      <x:c r="K41" s="68" t="str">
        <x:v>正官较清、印星较清且均有效</x:v>
      </x:c>
      <x:c r="L41" s="68" t="str">
        <x:v>官印无强伤官、财破或合化</x:v>
      </x:c>
      <x:c r="M41" s="68" t="str">
        <x:v>直接或可达的生克制化路径成立</x:v>
      </x:c>
      <x:c r="N41" s="68" t="str">
        <x:v>相关十神均以M10有效力量为准，且不存在决定性失衡</x:v>
      </x:c>
      <x:c r="O41" s="68" t="str">
        <x:v>结合M09日主承载判断</x:v>
      </x:c>
      <x:c r="P41" s="68" t="str">
        <x:v>主体、客体、作用路径与力量匹配均达到最低要求</x:v>
      </x:c>
      <x:c r="Q41" s="68" t="str">
        <x:v>相关十神有根、有源、透达、清纯且关键通路稳定</x:v>
      </x:c>
      <x:c r="R41" s="90" t="str">
        <x:v>关键十神被合绊、被制、改性、失效或力量严重失衡</x:v>
      </x:c>
      <x:c r="S41" s="68" t="str">
        <x:v>存在第三十神恢复通路、清除破坏或重新形成平衡</x:v>
      </x:c>
      <x:c r="T41" s="90" t="str">
        <x:v>任一核心十神失效，或不存在真实作用路径</x:v>
      </x:c>
      <x:c r="U41" s="68" t="str">
        <x:v>特殊格局、从化或月令格局另转M14/M15复审</x:v>
      </x:c>
      <x:c r="V41" s="84" t="str">
        <x:v>明显成立</x:v>
      </x:c>
      <x:c r="W41" s="84" t="str">
        <x:v>形成局部生化、制化或承载结构</x:v>
      </x:c>
      <x:c r="X41" s="82" t="str">
        <x:v>条件性</x:v>
      </x:c>
      <x:c r="Y41" s="68" t="str">
        <x:v>对应格局候选转M14</x:v>
      </x:c>
      <x:c r="Z41" s="84" t="str">
        <x:v>官印相生_清纯增强</x:v>
      </x:c>
      <x:c r="AA41" s="84" t="str">
        <x:v>官印相生：当主体、客体、路径与力量匹配满足最低标准时，判“明显成立”；是否上升为格局转M14/M15。</x:v>
      </x:c>
      <x:c r="AB41" s="82" t="str">
        <x:v>较高</x:v>
      </x:c>
      <x:c r="AC41" s="82" t="str">
        <x:v>现代综合</x:v>
      </x:c>
      <x:c r="AD41" s="68" t="str">
        <x:v>十神同时出现不等于组合成立。M11须同时验证核心十神有效性、作用路径、力量匹配、日主承载、破坏因素与救应；组合成立也不等于格局成立。</x:v>
      </x:c>
      <x:c r="AE41" s="68" t="str">
        <x:v>正官较清、印星较清且均有效；官印无强伤官、财破或合化；作用路径稳定且无关键破坏，可按“官印相生”记录。</x:v>
      </x:c>
      <x:c r="AF41" s="90" t="str">
        <x:v>仅因“正官、印星”同时出现，但核心十神无力、无作用路径或被关键因素破坏，不能判“官印相生”成立。</x:v>
      </x:c>
      <x:c r="AG41" s="68" t="str">
        <x:v>https://zh.wikisource.org/zh-hans/%E6%B7%B5%E6%B5%B7%E5%AD%90%E5%B9%B3 ; https://zh.wikisource.org/wiki/%E6%BB%B4%E5%A4%A9%E9%AB%93%E9%97%A1%E5%BE%AE</x:v>
      </x:c>
      <x:c r="AH41" s="82" t="str">
        <x:v>采用</x:v>
      </x:c>
      <x:c r="AI41" s="82" t="str">
        <x:v>初审</x:v>
      </x:c>
      <x:c r="AJ41" s="87" t="n">
        <x:v>46255</x:v>
      </x:c>
    </x:row>
    <x:row r="42">
      <x:c r="A42" s="72" t="str">
        <x:f>IF(OR(C42="",D42=""),"",B42&amp;"-"&amp;UPPER(C42)&amp;"-"&amp;TEXT(D42,"0000")&amp;"-"&amp;E42)</x:f>
        <x:v>M11-GUANYIN-0036-V1.0</x:v>
      </x:c>
      <x:c r="B42" s="74" t="str">
        <x:v>M11</x:v>
      </x:c>
      <x:c r="C42" s="74" t="str">
        <x:v>GUANYIN</x:v>
      </x:c>
      <x:c r="D42" s="215" t="n">
        <x:v>36</x:v>
      </x:c>
      <x:c r="E42" s="74" t="str">
        <x:v>V1.0</x:v>
      </x:c>
      <x:c r="F42" s="68" t="str">
        <x:v>官印相生不等于正官格成立</x:v>
      </x:c>
      <x:c r="G42" s="82" t="str">
        <x:v>结构层</x:v>
      </x:c>
      <x:c r="H42" s="82" t="str">
        <x:v>生化型</x:v>
      </x:c>
      <x:c r="I42" s="68" t="str">
        <x:v>官印相生</x:v>
      </x:c>
      <x:c r="J42" s="68" t="str">
        <x:v>正官、印星</x:v>
      </x:c>
      <x:c r="K42" s="68" t="str">
        <x:v>局部官印链已经成立</x:v>
      </x:c>
      <x:c r="L42" s="68" t="str">
        <x:v>月令与格局主导性尚未核查</x:v>
      </x:c>
      <x:c r="M42" s="68" t="str">
        <x:v>直接或可达的生克制化路径成立</x:v>
      </x:c>
      <x:c r="N42" s="68" t="str">
        <x:v>相关十神均以M10有效力量为准，且不存在决定性失衡</x:v>
      </x:c>
      <x:c r="O42" s="68" t="str">
        <x:v>结合M09日主承载判断</x:v>
      </x:c>
      <x:c r="P42" s="68" t="str">
        <x:v>主体、客体、作用路径与力量匹配均达到最低要求</x:v>
      </x:c>
      <x:c r="Q42" s="68" t="str">
        <x:v>相关十神有根、有源、透达、清纯且关键通路稳定</x:v>
      </x:c>
      <x:c r="R42" s="90" t="str">
        <x:v>关键十神被合绊、被制、改性、失效或力量严重失衡</x:v>
      </x:c>
      <x:c r="S42" s="68" t="str">
        <x:v>存在第三十神恢复通路、清除破坏或重新形成平衡</x:v>
      </x:c>
      <x:c r="T42" s="90" t="str">
        <x:v>任一核心十神失效，或不存在真实作用路径</x:v>
      </x:c>
      <x:c r="U42" s="68" t="str">
        <x:v>特殊格局、从化或月令格局另转M14/M15复审</x:v>
      </x:c>
      <x:c r="V42" s="84" t="str">
        <x:v>明显成立</x:v>
      </x:c>
      <x:c r="W42" s="84" t="str">
        <x:v>提供官印结构候选</x:v>
      </x:c>
      <x:c r="X42" s="82" t="str">
        <x:v>条件性</x:v>
      </x:c>
      <x:c r="Y42" s="68" t="str">
        <x:v>正官格/印格候选转M14</x:v>
      </x:c>
      <x:c r="Z42" s="84" t="str">
        <x:v>官印相生_格局边界</x:v>
      </x:c>
      <x:c r="AA42" s="84" t="str">
        <x:v>官印相生：当主体、客体、路径与力量匹配满足最低标准时，判“明显成立”；是否上升为格局转M14/M15。</x:v>
      </x:c>
      <x:c r="AB42" s="82" t="str">
        <x:v>较高</x:v>
      </x:c>
      <x:c r="AC42" s="82" t="str">
        <x:v>现代综合</x:v>
      </x:c>
      <x:c r="AD42" s="68" t="str">
        <x:v>十神同时出现不等于组合成立。M11须同时验证核心十神有效性、作用路径、力量匹配、日主承载、破坏因素与救应；组合成立也不等于格局成立。</x:v>
      </x:c>
      <x:c r="AE42" s="68" t="str">
        <x:v>局部官印链已经成立；月令与格局主导性尚未核查；作用路径稳定且无关键破坏，可按“官印相生”记录。</x:v>
      </x:c>
      <x:c r="AF42" s="90" t="str">
        <x:v>仅因“正官、印星”同时出现，但核心十神无力、无作用路径或被关键因素破坏，不能判“官印相生”成立。</x:v>
      </x:c>
      <x:c r="AG42" s="68" t="str">
        <x:v>https://zh.wikisource.org/zh-hans/%E6%B7%B5%E6%B5%B7%E5%AD%90%E5%B9%B3 ; https://zh.wikisource.org/wiki/%E6%BB%B4%E5%A4%A9%E9%AB%93%E9%97%A1%E5%BE%AE</x:v>
      </x:c>
      <x:c r="AH42" s="82" t="str">
        <x:v>采用</x:v>
      </x:c>
      <x:c r="AI42" s="82" t="str">
        <x:v>初审</x:v>
      </x:c>
      <x:c r="AJ42" s="87" t="n">
        <x:v>46255</x:v>
      </x:c>
    </x:row>
    <x:row r="43">
      <x:c r="A43" s="72" t="str">
        <x:f>IF(OR(C43="",D43=""),"",B43&amp;"-"&amp;UPPER(C43)&amp;"-"&amp;TEXT(D43,"0000")&amp;"-"&amp;E43)</x:f>
        <x:v>M11-SHANGYIN-0037-V1.0</x:v>
      </x:c>
      <x:c r="B43" s="74" t="str">
        <x:v>M11</x:v>
      </x:c>
      <x:c r="C43" s="74" t="str">
        <x:v>SHANGYIN</x:v>
      </x:c>
      <x:c r="D43" s="215" t="n">
        <x:v>37</x:v>
      </x:c>
      <x:c r="E43" s="74" t="str">
        <x:v>V1.0</x:v>
      </x:c>
      <x:c r="F43" s="68" t="str">
        <x:v>伤官必须真实有力且存在需要制化的输出</x:v>
      </x:c>
      <x:c r="G43" s="82" t="str">
        <x:v>结构层</x:v>
      </x:c>
      <x:c r="H43" s="82" t="str">
        <x:v>制化型</x:v>
      </x:c>
      <x:c r="I43" s="68" t="str">
        <x:v>伤官配印</x:v>
      </x:c>
      <x:c r="J43" s="68" t="str">
        <x:v>伤官、印星</x:v>
      </x:c>
      <x:c r="K43" s="68" t="str">
        <x:v>伤官有效并达到中和偏旺以上或形成明显泄身/克官作用</x:v>
      </x:c>
      <x:c r="L43" s="68" t="str">
        <x:v>印星有效且可克制伤官</x:v>
      </x:c>
      <x:c r="M43" s="68" t="str">
        <x:v>印星对伤官存在直接可达制约路径</x:v>
      </x:c>
      <x:c r="N43" s="68" t="str">
        <x:v>相关十神均以M10有效力量为准，且不存在决定性失衡</x:v>
      </x:c>
      <x:c r="O43" s="68" t="str">
        <x:v>日主不能因印星过度生身而进一步失衡</x:v>
      </x:c>
      <x:c r="P43" s="68" t="str">
        <x:v>主体、客体、作用路径与力量匹配均达到最低要求</x:v>
      </x:c>
      <x:c r="Q43" s="68" t="str">
        <x:v>相关十神有根、有源、透达、清纯且关键通路稳定</x:v>
      </x:c>
      <x:c r="R43" s="90" t="str">
        <x:v>关键十神被合绊、被制、改性、失效或力量严重失衡</x:v>
      </x:c>
      <x:c r="S43" s="68" t="str">
        <x:v>存在第三十神恢复通路、清除破坏或重新形成平衡</x:v>
      </x:c>
      <x:c r="T43" s="90" t="str">
        <x:v>任一核心十神失效，或不存在真实作用路径</x:v>
      </x:c>
      <x:c r="U43" s="68" t="str">
        <x:v>特殊格局、从化或月令格局另转M14/M15复审</x:v>
      </x:c>
      <x:c r="V43" s="84" t="str">
        <x:v>基本成立</x:v>
      </x:c>
      <x:c r="W43" s="84" t="str">
        <x:v>约束伤官、稳定输出</x:v>
      </x:c>
      <x:c r="X43" s="82" t="str">
        <x:v>条件性</x:v>
      </x:c>
      <x:c r="Y43" s="68" t="str">
        <x:v>伤官配印格候选</x:v>
      </x:c>
      <x:c r="Z43" s="84" t="str">
        <x:v>伤官配印_成立条件</x:v>
      </x:c>
      <x:c r="AA43" s="84" t="str">
        <x:v>伤官配印：当主体、客体、路径与力量匹配满足最低标准时，判“基本成立”；是否上升为格局转M14/M15。</x:v>
      </x:c>
      <x:c r="AB43" s="82" t="str">
        <x:v>较高</x:v>
      </x:c>
      <x:c r="AC43" s="82" t="str">
        <x:v>现代综合</x:v>
      </x:c>
      <x:c r="AD43" s="68" t="str">
        <x:v>十神同时出现不等于组合成立。M11须同时验证核心十神有效性、作用路径、力量匹配、日主承载、破坏因素与救应；组合成立也不等于格局成立。</x:v>
      </x:c>
      <x:c r="AE43" s="68" t="str">
        <x:v>伤官有效并达到中和偏旺以上或形成明显泄身/克官作用；印星有效且可克制伤官；作用路径稳定且无关键破坏，可按“伤官配印”记录。</x:v>
      </x:c>
      <x:c r="AF43" s="90" t="str">
        <x:v>仅因“伤官、印星”同时出现，但核心十神无力、无作用路径或被关键因素破坏，不能判“伤官配印”成立。</x:v>
      </x:c>
      <x:c r="AG43" s="68" t="str">
        <x:v>https://zh.wikisource.org/zh-hans/%E6%B7%B5%E6%B5%B7%E5%AD%90%E5%B9%B3 ; https://zh.wikisource.org/wiki/%E6%BB%B4%E5%A4%A9%E9%AB%93%E9%97%A1%E5%BE%AE</x:v>
      </x:c>
      <x:c r="AH43" s="82" t="str">
        <x:v>采用</x:v>
      </x:c>
      <x:c r="AI43" s="82" t="str">
        <x:v>初审</x:v>
      </x:c>
      <x:c r="AJ43" s="87" t="n">
        <x:v>46255</x:v>
      </x:c>
    </x:row>
    <x:row r="44">
      <x:c r="A44" s="72" t="str">
        <x:f>IF(OR(C44="",D44=""),"",B44&amp;"-"&amp;UPPER(C44)&amp;"-"&amp;TEXT(D44,"0000")&amp;"-"&amp;E44)</x:f>
        <x:v>M11-SHANGYIN-0038-V1.0</x:v>
      </x:c>
      <x:c r="B44" s="74" t="str">
        <x:v>M11</x:v>
      </x:c>
      <x:c r="C44" s="74" t="str">
        <x:v>SHANGYIN</x:v>
      </x:c>
      <x:c r="D44" s="215" t="n">
        <x:v>38</x:v>
      </x:c>
      <x:c r="E44" s="74" t="str">
        <x:v>V1.0</x:v>
      </x:c>
      <x:c r="F44" s="68" t="str">
        <x:v>印星必须有足够力量制约伤官</x:v>
      </x:c>
      <x:c r="G44" s="82" t="str">
        <x:v>结构层</x:v>
      </x:c>
      <x:c r="H44" s="82" t="str">
        <x:v>制化型</x:v>
      </x:c>
      <x:c r="I44" s="68" t="str">
        <x:v>伤官配印</x:v>
      </x:c>
      <x:c r="J44" s="68" t="str">
        <x:v>伤官、印星</x:v>
      </x:c>
      <x:c r="K44" s="68" t="str">
        <x:v>伤官有力</x:v>
      </x:c>
      <x:c r="L44" s="68" t="str">
        <x:v>印星至少达到可稳定制伤的有效水平</x:v>
      </x:c>
      <x:c r="M44" s="68" t="str">
        <x:v>直接或可达的生克制化路径成立</x:v>
      </x:c>
      <x:c r="N44" s="68" t="str">
        <x:v>印伤力量不可严重失衡</x:v>
      </x:c>
      <x:c r="O44" s="68" t="str">
        <x:v>结合M09日主承载判断</x:v>
      </x:c>
      <x:c r="P44" s="68" t="str">
        <x:v>主体、客体、作用路径与力量匹配均达到最低要求</x:v>
      </x:c>
      <x:c r="Q44" s="68" t="str">
        <x:v>相关十神有根、有源、透达、清纯且关键通路稳定</x:v>
      </x:c>
      <x:c r="R44" s="90" t="str">
        <x:v>关键十神被合绊、被制、改性、失效或力量严重失衡</x:v>
      </x:c>
      <x:c r="S44" s="68" t="str">
        <x:v>存在第三十神恢复通路、清除破坏或重新形成平衡</x:v>
      </x:c>
      <x:c r="T44" s="90" t="str">
        <x:v>任一核心十神失效，或不存在真实作用路径</x:v>
      </x:c>
      <x:c r="U44" s="68" t="str">
        <x:v>特殊格局、从化或月令格局另转M14/M15复审</x:v>
      </x:c>
      <x:c r="V44" s="84" t="str">
        <x:v>基本成立</x:v>
      </x:c>
      <x:c r="W44" s="84" t="str">
        <x:v>形成局部生化、制化或承载结构</x:v>
      </x:c>
      <x:c r="X44" s="82" t="str">
        <x:v>条件性</x:v>
      </x:c>
      <x:c r="Y44" s="68" t="str">
        <x:v>对应格局候选转M14</x:v>
      </x:c>
      <x:c r="Z44" s="84" t="str">
        <x:v>伤官配印_印有力</x:v>
      </x:c>
      <x:c r="AA44" s="84" t="str">
        <x:v>伤官配印：当主体、客体、路径与力量匹配满足最低标准时，判“基本成立”；是否上升为格局转M14/M15。</x:v>
      </x:c>
      <x:c r="AB44" s="82" t="str">
        <x:v>较高</x:v>
      </x:c>
      <x:c r="AC44" s="82" t="str">
        <x:v>现代综合</x:v>
      </x:c>
      <x:c r="AD44" s="68" t="str">
        <x:v>十神同时出现不等于组合成立。M11须同时验证核心十神有效性、作用路径、力量匹配、日主承载、破坏因素与救应；组合成立也不等于格局成立。</x:v>
      </x:c>
      <x:c r="AE44" s="68" t="str">
        <x:v>伤官有力；印星至少达到可稳定制伤的有效水平；作用路径稳定且无关键破坏，可按“伤官配印”记录。</x:v>
      </x:c>
      <x:c r="AF44" s="90" t="str">
        <x:v>仅因“伤官、印星”同时出现，但核心十神无力、无作用路径或被关键因素破坏，不能判“伤官配印”成立。</x:v>
      </x:c>
      <x:c r="AG44" s="68" t="str">
        <x:v>https://zh.wikisource.org/zh-hans/%E6%B7%B5%E6%B5%B7%E5%AD%90%E5%B9%B3 ; https://zh.wikisource.org/wiki/%E6%BB%B4%E5%A4%A9%E9%AB%93%E9%97%A1%E5%BE%AE</x:v>
      </x:c>
      <x:c r="AH44" s="82" t="str">
        <x:v>采用</x:v>
      </x:c>
      <x:c r="AI44" s="82" t="str">
        <x:v>初审</x:v>
      </x:c>
      <x:c r="AJ44" s="87" t="n">
        <x:v>46255</x:v>
      </x:c>
    </x:row>
    <x:row r="45">
      <x:c r="A45" s="72" t="str">
        <x:f>IF(OR(C45="",D45=""),"",B45&amp;"-"&amp;UPPER(C45)&amp;"-"&amp;TEXT(D45,"0000")&amp;"-"&amp;E45)</x:f>
        <x:v>M11-SHANGYIN-0039-V1.0</x:v>
      </x:c>
      <x:c r="B45" s="74" t="str">
        <x:v>M11</x:v>
      </x:c>
      <x:c r="C45" s="74" t="str">
        <x:v>SHANGYIN</x:v>
      </x:c>
      <x:c r="D45" s="215" t="n">
        <x:v>39</x:v>
      </x:c>
      <x:c r="E45" s="74" t="str">
        <x:v>V1.0</x:v>
      </x:c>
      <x:c r="F45" s="68" t="str">
        <x:v>伤官太弱无须配印时组合降级</x:v>
      </x:c>
      <x:c r="G45" s="82" t="str">
        <x:v>结构层</x:v>
      </x:c>
      <x:c r="H45" s="82" t="str">
        <x:v>制化型</x:v>
      </x:c>
      <x:c r="I45" s="68" t="str">
        <x:v>伤官配印</x:v>
      </x:c>
      <x:c r="J45" s="68" t="str">
        <x:v>伤官、印星</x:v>
      </x:c>
      <x:c r="K45" s="68" t="str">
        <x:v>伤官极弱、受限或已失效</x:v>
      </x:c>
      <x:c r="L45" s="68" t="str">
        <x:v>印星虽有力</x:v>
      </x:c>
      <x:c r="M45" s="68" t="str">
        <x:v>直接或可达的生克制化路径成立</x:v>
      </x:c>
      <x:c r="N45" s="68" t="str">
        <x:v>相关十神均以M10有效力量为准，且不存在决定性失衡</x:v>
      </x:c>
      <x:c r="O45" s="68" t="str">
        <x:v>结合M09日主承载判断</x:v>
      </x:c>
      <x:c r="P45" s="68" t="str">
        <x:v>不存在明显需要制化的伤官功能</x:v>
      </x:c>
      <x:c r="Q45" s="68" t="str">
        <x:v>相关十神有根、有源、透达、清纯且关键通路稳定</x:v>
      </x:c>
      <x:c r="R45" s="90" t="str">
        <x:v>关键十神被合绊、被制、改性、失效或力量严重失衡</x:v>
      </x:c>
      <x:c r="S45" s="68" t="str">
        <x:v>存在第三十神恢复通路、清除破坏或重新形成平衡</x:v>
      </x:c>
      <x:c r="T45" s="90" t="str">
        <x:v>任一核心十神失效，或不存在真实作用路径</x:v>
      </x:c>
      <x:c r="U45" s="68" t="str">
        <x:v>特殊格局、从化或月令格局另转M14/M15复审</x:v>
      </x:c>
      <x:c r="V45" s="84" t="str">
        <x:v>不成立</x:v>
      </x:c>
      <x:c r="W45" s="84" t="str">
        <x:v>印星主要生身而非配伤</x:v>
      </x:c>
      <x:c r="X45" s="82" t="str">
        <x:v>否</x:v>
      </x:c>
      <x:c r="Y45" s="68" t="str">
        <x:v>对应格局候选转M14</x:v>
      </x:c>
      <x:c r="Z45" s="84" t="str">
        <x:v>伤官配印_伤弱</x:v>
      </x:c>
      <x:c r="AA45" s="84" t="str">
        <x:v>伤官配印：当主体、客体、路径与力量匹配满足最低标准时，判“不成立”；是否上升为格局转M14/M15。</x:v>
      </x:c>
      <x:c r="AB45" s="82" t="str">
        <x:v>较高</x:v>
      </x:c>
      <x:c r="AC45" s="82" t="str">
        <x:v>现代综合</x:v>
      </x:c>
      <x:c r="AD45" s="68" t="str">
        <x:v>十神同时出现不等于组合成立。M11须同时验证核心十神有效性、作用路径、力量匹配、日主承载、破坏因素与救应；组合成立也不等于格局成立。</x:v>
      </x:c>
      <x:c r="AE45" s="68" t="str">
        <x:v>伤官极弱、受限或已失效；印星虽有力；作用路径稳定且无关键破坏，可按“伤官配印”记录。</x:v>
      </x:c>
      <x:c r="AF45" s="90" t="str">
        <x:v>仅因“伤官、印星”同时出现，但核心十神无力、无作用路径或被关键因素破坏，不能判“伤官配印”成立。</x:v>
      </x:c>
      <x:c r="AG45" s="68" t="str">
        <x:v>https://zh.wikisource.org/zh-hans/%E6%B7%B5%E6%B5%B7%E5%AD%90%E5%B9%B3 ; https://zh.wikisource.org/wiki/%E6%BB%B4%E5%A4%A9%E9%AB%93%E9%97%A1%E5%BE%AE</x:v>
      </x:c>
      <x:c r="AH45" s="82" t="str">
        <x:v>采用</x:v>
      </x:c>
      <x:c r="AI45" s="82" t="str">
        <x:v>初审</x:v>
      </x:c>
      <x:c r="AJ45" s="87" t="n">
        <x:v>46255</x:v>
      </x:c>
    </x:row>
    <x:row r="46">
      <x:c r="A46" s="72" t="str">
        <x:f>IF(OR(C46="",D46=""),"",B46&amp;"-"&amp;UPPER(C46)&amp;"-"&amp;TEXT(D46,"0000")&amp;"-"&amp;E46)</x:f>
        <x:v>M11-SHANGYIN-0040-V1.0</x:v>
      </x:c>
      <x:c r="B46" s="74" t="str">
        <x:v>M11</x:v>
      </x:c>
      <x:c r="C46" s="74" t="str">
        <x:v>SHANGYIN</x:v>
      </x:c>
      <x:c r="D46" s="215" t="n">
        <x:v>40</x:v>
      </x:c>
      <x:c r="E46" s="74" t="str">
        <x:v>V1.0</x:v>
      </x:c>
      <x:c r="F46" s="68" t="str">
        <x:v>印过强将伤官完全压制时属于制化过度</x:v>
      </x:c>
      <x:c r="G46" s="82" t="str">
        <x:v>结构层</x:v>
      </x:c>
      <x:c r="H46" s="82" t="str">
        <x:v>制化型</x:v>
      </x:c>
      <x:c r="I46" s="68" t="str">
        <x:v>伤官配印</x:v>
      </x:c>
      <x:c r="J46" s="68" t="str">
        <x:v>伤官、印星</x:v>
      </x:c>
      <x:c r="K46" s="68" t="str">
        <x:v>印星旺或极旺</x:v>
      </x:c>
      <x:c r="L46" s="68" t="str">
        <x:v>伤官被制至失效</x:v>
      </x:c>
      <x:c r="M46" s="68" t="str">
        <x:v>直接或可达的生克制化路径成立</x:v>
      </x:c>
      <x:c r="N46" s="68" t="str">
        <x:v>印明显强于伤</x:v>
      </x:c>
      <x:c r="O46" s="68" t="str">
        <x:v>结合M09日主承载判断</x:v>
      </x:c>
      <x:c r="P46" s="68" t="str">
        <x:v>主体、客体、作用路径与力量匹配均达到最低要求</x:v>
      </x:c>
      <x:c r="Q46" s="68" t="str">
        <x:v>相关十神有根、有源、透达、清纯且关键通路稳定</x:v>
      </x:c>
      <x:c r="R46" s="90" t="str">
        <x:v>关键十神被合绊、被制、改性、失效或力量严重失衡</x:v>
      </x:c>
      <x:c r="S46" s="68" t="str">
        <x:v>存在第三十神恢复通路、清除破坏或重新形成平衡</x:v>
      </x:c>
      <x:c r="T46" s="90" t="str">
        <x:v>任一核心十神失效，或不存在真实作用路径</x:v>
      </x:c>
      <x:c r="U46" s="68" t="str">
        <x:v>特殊格局、从化或月令格局另转M14/M15复审</x:v>
      </x:c>
      <x:c r="V46" s="84" t="str">
        <x:v>弱成立</x:v>
      </x:c>
      <x:c r="W46" s="84" t="str">
        <x:v>伤官功能被过度压制</x:v>
      </x:c>
      <x:c r="X46" s="82" t="str">
        <x:v>否</x:v>
      </x:c>
      <x:c r="Y46" s="68" t="str">
        <x:v>对应格局候选转M14</x:v>
      </x:c>
      <x:c r="Z46" s="84" t="str">
        <x:v>伤官配印_印制太过</x:v>
      </x:c>
      <x:c r="AA46" s="84" t="str">
        <x:v>伤官配印：当主体、客体、路径与力量匹配满足最低标准时，判“弱成立”；是否上升为格局转M14/M15。</x:v>
      </x:c>
      <x:c r="AB46" s="82" t="str">
        <x:v>较高</x:v>
      </x:c>
      <x:c r="AC46" s="82" t="str">
        <x:v>现代综合</x:v>
      </x:c>
      <x:c r="AD46" s="68" t="str">
        <x:v>十神同时出现不等于组合成立。M11须同时验证核心十神有效性、作用路径、力量匹配、日主承载、破坏因素与救应；组合成立也不等于格局成立。</x:v>
      </x:c>
      <x:c r="AE46" s="68" t="str">
        <x:v>印星旺或极旺；伤官被制至失效；作用路径稳定且无关键破坏，可按“伤官配印”记录。</x:v>
      </x:c>
      <x:c r="AF46" s="90" t="str">
        <x:v>仅因“伤官、印星”同时出现，但核心十神无力、无作用路径或被关键因素破坏，不能判“伤官配印”成立。</x:v>
      </x:c>
      <x:c r="AG46" s="68" t="str">
        <x:v>https://zh.wikisource.org/zh-hans/%E6%B7%B5%E6%B5%B7%E5%AD%90%E5%B9%B3 ; https://zh.wikisource.org/wiki/%E6%BB%B4%E5%A4%A9%E9%AB%93%E9%97%A1%E5%BE%AE</x:v>
      </x:c>
      <x:c r="AH46" s="82" t="str">
        <x:v>采用</x:v>
      </x:c>
      <x:c r="AI46" s="82" t="str">
        <x:v>初审</x:v>
      </x:c>
      <x:c r="AJ46" s="87" t="n">
        <x:v>46255</x:v>
      </x:c>
    </x:row>
    <x:row r="47">
      <x:c r="A47" s="72" t="str">
        <x:f>IF(OR(C47="",D47=""),"",B47&amp;"-"&amp;UPPER(C47)&amp;"-"&amp;TEXT(D47,"0000")&amp;"-"&amp;E47)</x:f>
        <x:v>M11-SHANGYIN-0041-V1.0</x:v>
      </x:c>
      <x:c r="B47" s="74" t="str">
        <x:v>M11</x:v>
      </x:c>
      <x:c r="C47" s="74" t="str">
        <x:v>SHANGYIN</x:v>
      </x:c>
      <x:c r="D47" s="215" t="n">
        <x:v>41</x:v>
      </x:c>
      <x:c r="E47" s="74" t="str">
        <x:v>V1.0</x:v>
      </x:c>
      <x:c r="F47" s="68" t="str">
        <x:v>财星强制印会破坏配印</x:v>
      </x:c>
      <x:c r="G47" s="82" t="str">
        <x:v>结构层</x:v>
      </x:c>
      <x:c r="H47" s="82" t="str">
        <x:v>制化型</x:v>
      </x:c>
      <x:c r="I47" s="68" t="str">
        <x:v>伤官配印</x:v>
      </x:c>
      <x:c r="J47" s="68" t="str">
        <x:v>伤官、印星、财星</x:v>
      </x:c>
      <x:c r="K47" s="68" t="str">
        <x:v>财星有效且直接克制关键印星</x:v>
      </x:c>
      <x:c r="L47" s="68" t="str">
        <x:v>印星制伤能力下降</x:v>
      </x:c>
      <x:c r="M47" s="68" t="str">
        <x:v>直接或可达的生克制化路径成立</x:v>
      </x:c>
      <x:c r="N47" s="68" t="str">
        <x:v>相关十神均以M10有效力量为准，且不存在决定性失衡</x:v>
      </x:c>
      <x:c r="O47" s="68" t="str">
        <x:v>结合M09日主承载判断</x:v>
      </x:c>
      <x:c r="P47" s="68" t="str">
        <x:v>主体、客体、作用路径与力量匹配均达到最低要求</x:v>
      </x:c>
      <x:c r="Q47" s="68" t="str">
        <x:v>相关十神有根、有源、透达、清纯且关键通路稳定</x:v>
      </x:c>
      <x:c r="R47" s="90" t="str">
        <x:v>财破关键印星</x:v>
      </x:c>
      <x:c r="S47" s="68" t="str">
        <x:v>存在第三十神恢复通路、清除破坏或重新形成平衡</x:v>
      </x:c>
      <x:c r="T47" s="90" t="str">
        <x:v>任一核心十神失效，或不存在真实作用路径</x:v>
      </x:c>
      <x:c r="U47" s="68" t="str">
        <x:v>特殊格局、从化或月令格局另转M14/M15复审</x:v>
      </x:c>
      <x:c r="V47" s="84" t="str">
        <x:v>不成立</x:v>
      </x:c>
      <x:c r="W47" s="84" t="str">
        <x:v>形成局部生化、制化或承载结构</x:v>
      </x:c>
      <x:c r="X47" s="82" t="str">
        <x:v>否</x:v>
      </x:c>
      <x:c r="Y47" s="68" t="str">
        <x:v>对应格局候选转M14</x:v>
      </x:c>
      <x:c r="Z47" s="84" t="str">
        <x:v>伤官配印_财坏印</x:v>
      </x:c>
      <x:c r="AA47" s="84" t="str">
        <x:v>伤官配印：当主体、客体、路径与力量匹配满足最低标准时，判“不成立”；是否上升为格局转M14/M15。</x:v>
      </x:c>
      <x:c r="AB47" s="82" t="str">
        <x:v>较高</x:v>
      </x:c>
      <x:c r="AC47" s="82" t="str">
        <x:v>现代综合</x:v>
      </x:c>
      <x:c r="AD47" s="68" t="str">
        <x:v>十神同时出现不等于组合成立。M11须同时验证核心十神有效性、作用路径、力量匹配、日主承载、破坏因素与救应；组合成立也不等于格局成立。</x:v>
      </x:c>
      <x:c r="AE47" s="68" t="str">
        <x:v>财星有效且直接克制关键印星；印星制伤能力下降；作用路径稳定且无关键破坏，可按“伤官配印”记录。</x:v>
      </x:c>
      <x:c r="AF47" s="90" t="str">
        <x:v>仅因“伤官、印星、财星”同时出现，但核心十神无力、无作用路径或被关键因素破坏，不能判“伤官配印”成立。</x:v>
      </x:c>
      <x:c r="AG47" s="68" t="str">
        <x:v>https://zh.wikisource.org/zh-hans/%E6%B7%B5%E6%B5%B7%E5%AD%90%E5%B9%B3 ; https://zh.wikisource.org/wiki/%E6%BB%B4%E5%A4%A9%E9%AB%93%E9%97%A1%E5%BE%AE</x:v>
      </x:c>
      <x:c r="AH47" s="82" t="str">
        <x:v>采用</x:v>
      </x:c>
      <x:c r="AI47" s="82" t="str">
        <x:v>初审</x:v>
      </x:c>
      <x:c r="AJ47" s="87" t="n">
        <x:v>46255</x:v>
      </x:c>
    </x:row>
    <x:row r="48">
      <x:c r="A48" s="72" t="str">
        <x:f>IF(OR(C48="",D48=""),"",B48&amp;"-"&amp;UPPER(C48)&amp;"-"&amp;TEXT(D48,"0000")&amp;"-"&amp;E48)</x:f>
        <x:v>M11-SHANGYIN-0042-V1.0</x:v>
      </x:c>
      <x:c r="B48" s="74" t="str">
        <x:v>M11</x:v>
      </x:c>
      <x:c r="C48" s="74" t="str">
        <x:v>SHANGYIN</x:v>
      </x:c>
      <x:c r="D48" s="215" t="n">
        <x:v>42</x:v>
      </x:c>
      <x:c r="E48" s="74" t="str">
        <x:v>V1.0</x:v>
      </x:c>
      <x:c r="F48" s="68" t="str">
        <x:v>伤官已强克官时配印可作为救应</x:v>
      </x:c>
      <x:c r="G48" s="82" t="str">
        <x:v>结构层</x:v>
      </x:c>
      <x:c r="H48" s="82" t="str">
        <x:v>制化型</x:v>
      </x:c>
      <x:c r="I48" s="68" t="str">
        <x:v>伤官配印</x:v>
      </x:c>
      <x:c r="J48" s="68" t="str">
        <x:v>伤官、印星、正官</x:v>
      </x:c>
      <x:c r="K48" s="68" t="str">
        <x:v>伤官克官冲突已经成立</x:v>
      </x:c>
      <x:c r="L48" s="68" t="str">
        <x:v>印星有力并能制伤、同时不被财破</x:v>
      </x:c>
      <x:c r="M48" s="68" t="str">
        <x:v>直接或可达的生克制化路径成立</x:v>
      </x:c>
      <x:c r="N48" s="68" t="str">
        <x:v>相关十神均以M10有效力量为准，且不存在决定性失衡</x:v>
      </x:c>
      <x:c r="O48" s="68" t="str">
        <x:v>结合M09日主承载判断</x:v>
      </x:c>
      <x:c r="P48" s="68" t="str">
        <x:v>主体、客体、作用路径与力量匹配均达到最低要求</x:v>
      </x:c>
      <x:c r="Q48" s="68" t="str">
        <x:v>相关十神有根、有源、透达、清纯且关键通路稳定</x:v>
      </x:c>
      <x:c r="R48" s="90" t="str">
        <x:v>关键十神被合绊、被制、改性、失效或力量严重失衡</x:v>
      </x:c>
      <x:c r="S48" s="68" t="str">
        <x:v>印制伤恢复官星功能或降低冲突</x:v>
      </x:c>
      <x:c r="T48" s="90" t="str">
        <x:v>任一核心十神失效，或不存在真实作用路径</x:v>
      </x:c>
      <x:c r="U48" s="68" t="str">
        <x:v>特殊格局、从化或月令格局另转M14/M15复审</x:v>
      </x:c>
      <x:c r="V48" s="84" t="str">
        <x:v>基本成立</x:v>
      </x:c>
      <x:c r="W48" s="84" t="str">
        <x:v>形成局部生化、制化或承载结构</x:v>
      </x:c>
      <x:c r="X48" s="82" t="str">
        <x:v>条件性</x:v>
      </x:c>
      <x:c r="Y48" s="68" t="str">
        <x:v>对应格局候选转M14</x:v>
      </x:c>
      <x:c r="Z48" s="84" t="str">
        <x:v>伤官配印_救官</x:v>
      </x:c>
      <x:c r="AA48" s="84" t="str">
        <x:v>伤官配印：当主体、客体、路径与力量匹配满足最低标准时，判“基本成立”；是否上升为格局转M14/M15。</x:v>
      </x:c>
      <x:c r="AB48" s="82" t="str">
        <x:v>较高</x:v>
      </x:c>
      <x:c r="AC48" s="82" t="str">
        <x:v>现代综合</x:v>
      </x:c>
      <x:c r="AD48" s="68" t="str">
        <x:v>十神同时出现不等于组合成立。M11须同时验证核心十神有效性、作用路径、力量匹配、日主承载、破坏因素与救应；组合成立也不等于格局成立。</x:v>
      </x:c>
      <x:c r="AE48" s="68" t="str">
        <x:v>伤官克官冲突已经成立；印星有力并能制伤、同时不被财破；作用路径稳定且无关键破坏，可按“伤官配印”记录。</x:v>
      </x:c>
      <x:c r="AF48" s="90" t="str">
        <x:v>仅因“伤官、印星、正官”同时出现，但核心十神无力、无作用路径或被关键因素破坏，不能判“伤官配印”成立。</x:v>
      </x:c>
      <x:c r="AG48" s="68" t="str">
        <x:v>https://zh.wikisource.org/zh-hans/%E6%B7%B5%E6%B5%B7%E5%AD%90%E5%B9%B3 ; https://zh.wikisource.org/wiki/%E6%BB%B4%E5%A4%A9%E9%AB%93%E9%97%A1%E5%BE%AE</x:v>
      </x:c>
      <x:c r="AH48" s="82" t="str">
        <x:v>采用</x:v>
      </x:c>
      <x:c r="AI48" s="82" t="str">
        <x:v>初审</x:v>
      </x:c>
      <x:c r="AJ48" s="87" t="n">
        <x:v>46255</x:v>
      </x:c>
    </x:row>
    <x:row r="49">
      <x:c r="A49" s="72" t="str">
        <x:f>IF(OR(C49="",D49=""),"",B49&amp;"-"&amp;UPPER(C49)&amp;"-"&amp;TEXT(D49,"0000")&amp;"-"&amp;E49)</x:f>
        <x:v>M11-SHANGYIN-0043-V1.0</x:v>
      </x:c>
      <x:c r="B49" s="74" t="str">
        <x:v>M11</x:v>
      </x:c>
      <x:c r="C49" s="74" t="str">
        <x:v>SHANGYIN</x:v>
      </x:c>
      <x:c r="D49" s="215" t="n">
        <x:v>43</x:v>
      </x:c>
      <x:c r="E49" s="74" t="str">
        <x:v>V1.0</x:v>
      </x:c>
      <x:c r="F49" s="68" t="str">
        <x:v>身弱时印星兼具生身与制伤双重收益</x:v>
      </x:c>
      <x:c r="G49" s="82" t="str">
        <x:v>结构层</x:v>
      </x:c>
      <x:c r="H49" s="82" t="str">
        <x:v>制化型</x:v>
      </x:c>
      <x:c r="I49" s="68" t="str">
        <x:v>伤官配印</x:v>
      </x:c>
      <x:c r="J49" s="68" t="str">
        <x:v>伤官、印星</x:v>
      </x:c>
      <x:c r="K49" s="68" t="str">
        <x:v>M09日主弱或中和偏弱</x:v>
      </x:c>
      <x:c r="L49" s="68" t="str">
        <x:v>伤官有力且印星有效</x:v>
      </x:c>
      <x:c r="M49" s="68" t="str">
        <x:v>直接或可达的生克制化路径成立</x:v>
      </x:c>
      <x:c r="N49" s="68" t="str">
        <x:v>相关十神均以M10有效力量为准，且不存在决定性失衡</x:v>
      </x:c>
      <x:c r="O49" s="68" t="str">
        <x:v>印既补身又制过泄，通常提高组合有效性</x:v>
      </x:c>
      <x:c r="P49" s="68" t="str">
        <x:v>主体、客体、作用路径与力量匹配均达到最低要求</x:v>
      </x:c>
      <x:c r="Q49" s="68" t="str">
        <x:v>印星有根有源且不被财破</x:v>
      </x:c>
      <x:c r="R49" s="90" t="str">
        <x:v>关键十神被合绊、被制、改性、失效或力量严重失衡</x:v>
      </x:c>
      <x:c r="S49" s="68" t="str">
        <x:v>存在第三十神恢复通路、清除破坏或重新形成平衡</x:v>
      </x:c>
      <x:c r="T49" s="90" t="str">
        <x:v>任一核心十神失效，或不存在真实作用路径</x:v>
      </x:c>
      <x:c r="U49" s="68" t="str">
        <x:v>特殊格局、从化或月令格局另转M14/M15复审</x:v>
      </x:c>
      <x:c r="V49" s="84" t="str">
        <x:v>明显成立</x:v>
      </x:c>
      <x:c r="W49" s="84" t="str">
        <x:v>形成局部生化、制化或承载结构</x:v>
      </x:c>
      <x:c r="X49" s="82" t="str">
        <x:v>条件性</x:v>
      </x:c>
      <x:c r="Y49" s="68" t="str">
        <x:v>对应格局候选转M14</x:v>
      </x:c>
      <x:c r="Z49" s="84" t="str">
        <x:v>伤官配印_身弱增强</x:v>
      </x:c>
      <x:c r="AA49" s="84" t="str">
        <x:v>伤官配印：当主体、客体、路径与力量匹配满足最低标准时，判“明显成立”；是否上升为格局转M14/M15。</x:v>
      </x:c>
      <x:c r="AB49" s="82" t="str">
        <x:v>较高</x:v>
      </x:c>
      <x:c r="AC49" s="82" t="str">
        <x:v>现代综合</x:v>
      </x:c>
      <x:c r="AD49" s="68" t="str">
        <x:v>十神同时出现不等于组合成立。M11须同时验证核心十神有效性、作用路径、力量匹配、日主承载、破坏因素与救应；组合成立也不等于格局成立。</x:v>
      </x:c>
      <x:c r="AE49" s="68" t="str">
        <x:v>M09日主弱或中和偏弱；伤官有力且印星有效；作用路径稳定且无关键破坏，可按“伤官配印”记录。</x:v>
      </x:c>
      <x:c r="AF49" s="90" t="str">
        <x:v>仅因“伤官、印星”同时出现，但核心十神无力、无作用路径或被关键因素破坏，不能判“伤官配印”成立。</x:v>
      </x:c>
      <x:c r="AG49" s="68" t="str">
        <x:v>https://zh.wikisource.org/zh-hans/%E6%B7%B5%E6%B5%B7%E5%AD%90%E5%B9%B3 ; https://zh.wikisource.org/wiki/%E6%BB%B4%E5%A4%A9%E9%AB%93%E9%97%A1%E5%BE%AE</x:v>
      </x:c>
      <x:c r="AH49" s="82" t="str">
        <x:v>采用</x:v>
      </x:c>
      <x:c r="AI49" s="82" t="str">
        <x:v>初审</x:v>
      </x:c>
      <x:c r="AJ49" s="87" t="n">
        <x:v>46255</x:v>
      </x:c>
    </x:row>
    <x:row r="50">
      <x:c r="A50" s="72" t="str">
        <x:f>IF(OR(C50="",D50=""),"",B50&amp;"-"&amp;UPPER(C50)&amp;"-"&amp;TEXT(D50,"0000")&amp;"-"&amp;E50)</x:f>
        <x:v>M11-SHANGYIN-0044-V1.0</x:v>
      </x:c>
      <x:c r="B50" s="74" t="str">
        <x:v>M11</x:v>
      </x:c>
      <x:c r="C50" s="74" t="str">
        <x:v>SHANGYIN</x:v>
      </x:c>
      <x:c r="D50" s="215" t="n">
        <x:v>44</x:v>
      </x:c>
      <x:c r="E50" s="74" t="str">
        <x:v>V1.0</x:v>
      </x:c>
      <x:c r="F50" s="68" t="str">
        <x:v>身旺印旺再配印可能加重身势</x:v>
      </x:c>
      <x:c r="G50" s="82" t="str">
        <x:v>结构层</x:v>
      </x:c>
      <x:c r="H50" s="82" t="str">
        <x:v>制化型</x:v>
      </x:c>
      <x:c r="I50" s="68" t="str">
        <x:v>伤官配印</x:v>
      </x:c>
      <x:c r="J50" s="68" t="str">
        <x:v>伤官、印星</x:v>
      </x:c>
      <x:c r="K50" s="68" t="str">
        <x:v>日主旺或极旺且印星本已强</x:v>
      </x:c>
      <x:c r="L50" s="68" t="str">
        <x:v>伤官虽然存在，但印的生身副作用明显</x:v>
      </x:c>
      <x:c r="M50" s="68" t="str">
        <x:v>直接或可达的生克制化路径成立</x:v>
      </x:c>
      <x:c r="N50" s="68" t="str">
        <x:v>相关十神均以M10有效力量为准，且不存在决定性失衡</x:v>
      </x:c>
      <x:c r="O50" s="68" t="str">
        <x:v>若制伤收益小于印增身副作用，组合价值下降</x:v>
      </x:c>
      <x:c r="P50" s="68" t="str">
        <x:v>主体、客体、作用路径与力量匹配均达到最低要求</x:v>
      </x:c>
      <x:c r="Q50" s="68" t="str">
        <x:v>相关十神有根、有源、透达、清纯且关键通路稳定</x:v>
      </x:c>
      <x:c r="R50" s="90" t="str">
        <x:v>关键十神被合绊、被制、改性、失效或力量严重失衡</x:v>
      </x:c>
      <x:c r="S50" s="68" t="str">
        <x:v>存在第三十神恢复通路、清除破坏或重新形成平衡</x:v>
      </x:c>
      <x:c r="T50" s="90" t="str">
        <x:v>任一核心十神失效，或不存在真实作用路径</x:v>
      </x:c>
      <x:c r="U50" s="68" t="str">
        <x:v>特殊格局、从化或月令格局另转M14/M15复审</x:v>
      </x:c>
      <x:c r="V50" s="84" t="str">
        <x:v>弱成立</x:v>
      </x:c>
      <x:c r="W50" s="84" t="str">
        <x:v>形成局部生化、制化或承载结构</x:v>
      </x:c>
      <x:c r="X50" s="82" t="str">
        <x:v>否</x:v>
      </x:c>
      <x:c r="Y50" s="68" t="str">
        <x:v>对应格局候选转M14</x:v>
      </x:c>
      <x:c r="Z50" s="84" t="str">
        <x:v>伤官配印_身旺副作用</x:v>
      </x:c>
      <x:c r="AA50" s="84" t="str">
        <x:v>伤官配印：当主体、客体、路径与力量匹配满足最低标准时，判“弱成立”；是否上升为格局转M14/M15。</x:v>
      </x:c>
      <x:c r="AB50" s="82" t="str">
        <x:v>较高</x:v>
      </x:c>
      <x:c r="AC50" s="82" t="str">
        <x:v>现代综合</x:v>
      </x:c>
      <x:c r="AD50" s="68" t="str">
        <x:v>十神同时出现不等于组合成立。M11须同时验证核心十神有效性、作用路径、力量匹配、日主承载、破坏因素与救应；组合成立也不等于格局成立。</x:v>
      </x:c>
      <x:c r="AE50" s="68" t="str">
        <x:v>日主旺或极旺且印星本已强；伤官虽然存在，但印的生身副作用明显；作用路径稳定且无关键破坏，可按“伤官配印”记录。</x:v>
      </x:c>
      <x:c r="AF50" s="90" t="str">
        <x:v>仅因“伤官、印星”同时出现，但核心十神无力、无作用路径或被关键因素破坏，不能判“伤官配印”成立。</x:v>
      </x:c>
      <x:c r="AG50" s="68" t="str">
        <x:v>https://zh.wikisource.org/zh-hans/%E6%B7%B5%E6%B5%B7%E5%AD%90%E5%B9%B3 ; https://zh.wikisource.org/wiki/%E6%BB%B4%E5%A4%A9%E9%AB%93%E9%97%A1%E5%BE%AE</x:v>
      </x:c>
      <x:c r="AH50" s="82" t="str">
        <x:v>采用</x:v>
      </x:c>
      <x:c r="AI50" s="82" t="str">
        <x:v>初审</x:v>
      </x:c>
      <x:c r="AJ50" s="87" t="n">
        <x:v>46255</x:v>
      </x:c>
    </x:row>
    <x:row r="51">
      <x:c r="A51" s="72" t="str">
        <x:f>IF(OR(C51="",D51=""),"",B51&amp;"-"&amp;UPPER(C51)&amp;"-"&amp;TEXT(D51,"0000")&amp;"-"&amp;E51)</x:f>
        <x:v>M11-SHANGYIN-0045-V1.0</x:v>
      </x:c>
      <x:c r="B51" s="74" t="str">
        <x:v>M11</x:v>
      </x:c>
      <x:c r="C51" s="74" t="str">
        <x:v>SHANGYIN</x:v>
      </x:c>
      <x:c r="D51" s="215" t="n">
        <x:v>45</x:v>
      </x:c>
      <x:c r="E51" s="74" t="str">
        <x:v>V1.0</x:v>
      </x:c>
      <x:c r="F51" s="68" t="str">
        <x:v>伤印力量协调且无财破印可判明显成立</x:v>
      </x:c>
      <x:c r="G51" s="82" t="str">
        <x:v>结构层</x:v>
      </x:c>
      <x:c r="H51" s="82" t="str">
        <x:v>制化型</x:v>
      </x:c>
      <x:c r="I51" s="68" t="str">
        <x:v>伤官配印</x:v>
      </x:c>
      <x:c r="J51" s="68" t="str">
        <x:v>伤官、印星</x:v>
      </x:c>
      <x:c r="K51" s="68" t="str">
        <x:v>伤官有力、印星有力</x:v>
      </x:c>
      <x:c r="L51" s="68" t="str">
        <x:v>印能制伤但不至伤官完全失效</x:v>
      </x:c>
      <x:c r="M51" s="68" t="str">
        <x:v>直接或可达的生克制化路径成立</x:v>
      </x:c>
      <x:c r="N51" s="68" t="str">
        <x:v>伤印制化适中</x:v>
      </x:c>
      <x:c r="O51" s="68" t="str">
        <x:v>结合M09日主承载判断</x:v>
      </x:c>
      <x:c r="P51" s="68" t="str">
        <x:v>主体、客体、作用路径与力量匹配均达到最低要求</x:v>
      </x:c>
      <x:c r="Q51" s="68" t="str">
        <x:v>相关十神有根、有源、透达、清纯且关键通路稳定</x:v>
      </x:c>
      <x:c r="R51" s="90" t="str">
        <x:v>关键十神被合绊、被制、改性、失效或力量严重失衡</x:v>
      </x:c>
      <x:c r="S51" s="68" t="str">
        <x:v>存在第三十神恢复通路、清除破坏或重新形成平衡</x:v>
      </x:c>
      <x:c r="T51" s="90" t="str">
        <x:v>任一核心十神失效，或不存在真实作用路径</x:v>
      </x:c>
      <x:c r="U51" s="68" t="str">
        <x:v>特殊格局、从化或月令格局另转M14/M15复审</x:v>
      </x:c>
      <x:c r="V51" s="84" t="str">
        <x:v>明显成立</x:v>
      </x:c>
      <x:c r="W51" s="84" t="str">
        <x:v>形成局部生化、制化或承载结构</x:v>
      </x:c>
      <x:c r="X51" s="82" t="str">
        <x:v>条件性</x:v>
      </x:c>
      <x:c r="Y51" s="68" t="str">
        <x:v>对应格局候选转M14</x:v>
      </x:c>
      <x:c r="Z51" s="84" t="str">
        <x:v>伤官配印_明显成立</x:v>
      </x:c>
      <x:c r="AA51" s="84" t="str">
        <x:v>伤官配印：当主体、客体、路径与力量匹配满足最低标准时，判“明显成立”；是否上升为格局转M14/M15。</x:v>
      </x:c>
      <x:c r="AB51" s="82" t="str">
        <x:v>较高</x:v>
      </x:c>
      <x:c r="AC51" s="82" t="str">
        <x:v>现代综合</x:v>
      </x:c>
      <x:c r="AD51" s="68" t="str">
        <x:v>十神同时出现不等于组合成立。M11须同时验证核心十神有效性、作用路径、力量匹配、日主承载、破坏因素与救应；组合成立也不等于格局成立。</x:v>
      </x:c>
      <x:c r="AE51" s="68" t="str">
        <x:v>伤官有力、印星有力；印能制伤但不至伤官完全失效；作用路径稳定且无关键破坏，可按“伤官配印”记录。</x:v>
      </x:c>
      <x:c r="AF51" s="90" t="str">
        <x:v>仅因“伤官、印星”同时出现，但核心十神无力、无作用路径或被关键因素破坏，不能判“伤官配印”成立。</x:v>
      </x:c>
      <x:c r="AG51" s="68" t="str">
        <x:v>https://zh.wikisource.org/zh-hans/%E6%B7%B5%E6%B5%B7%E5%AD%90%E5%B9%B3 ; https://zh.wikisource.org/wiki/%E6%BB%B4%E5%A4%A9%E9%AB%93%E9%97%A1%E5%BE%AE</x:v>
      </x:c>
      <x:c r="AH51" s="82" t="str">
        <x:v>采用</x:v>
      </x:c>
      <x:c r="AI51" s="82" t="str">
        <x:v>初审</x:v>
      </x:c>
      <x:c r="AJ51" s="87" t="n">
        <x:v>46255</x:v>
      </x:c>
    </x:row>
    <x:row r="52">
      <x:c r="A52" s="72" t="str">
        <x:f>IF(OR(C52="",D52=""),"",B52&amp;"-"&amp;UPPER(C52)&amp;"-"&amp;TEXT(D52,"0000")&amp;"-"&amp;E52)</x:f>
        <x:v>M11-SHANGYIN-0046-V1.0</x:v>
      </x:c>
      <x:c r="B52" s="74" t="str">
        <x:v>M11</x:v>
      </x:c>
      <x:c r="C52" s="74" t="str">
        <x:v>SHANGYIN</x:v>
      </x:c>
      <x:c r="D52" s="215" t="n">
        <x:v>46</x:v>
      </x:c>
      <x:c r="E52" s="74" t="str">
        <x:v>V1.0</x:v>
      </x:c>
      <x:c r="F52" s="68" t="str">
        <x:v>伤官配印与枭神夺食必须区分对象</x:v>
      </x:c>
      <x:c r="G52" s="82" t="str">
        <x:v>结构层</x:v>
      </x:c>
      <x:c r="H52" s="82" t="str">
        <x:v>制化型</x:v>
      </x:c>
      <x:c r="I52" s="68" t="str">
        <x:v>伤官配印</x:v>
      </x:c>
      <x:c r="J52" s="68" t="str">
        <x:v>伤官、印星</x:v>
      </x:c>
      <x:c r="K52" s="68" t="str">
        <x:v>印星同时可能制伤官或食神</x:v>
      </x:c>
      <x:c r="L52" s="68" t="str">
        <x:v>须识别印制的具体食伤类型及该食伤承担的功能</x:v>
      </x:c>
      <x:c r="M52" s="68" t="str">
        <x:v>直接或可达的生克制化路径成立</x:v>
      </x:c>
      <x:c r="N52" s="68" t="str">
        <x:v>相关十神均以M10有效力量为准，且不存在决定性失衡</x:v>
      </x:c>
      <x:c r="O52" s="68" t="str">
        <x:v>结合M09日主承载判断</x:v>
      </x:c>
      <x:c r="P52" s="68" t="str">
        <x:v>明确作用对象后再命名组合</x:v>
      </x:c>
      <x:c r="Q52" s="68" t="str">
        <x:v>相关十神有根、有源、透达、清纯且关键通路稳定</x:v>
      </x:c>
      <x:c r="R52" s="90" t="str">
        <x:v>关键十神被合绊、被制、改性、失效或力量严重失衡</x:v>
      </x:c>
      <x:c r="S52" s="68" t="str">
        <x:v>存在第三十神恢复通路、清除破坏或重新形成平衡</x:v>
      </x:c>
      <x:c r="T52" s="90" t="str">
        <x:v>任一核心十神失效，或不存在真实作用路径</x:v>
      </x:c>
      <x:c r="U52" s="68" t="str">
        <x:v>特殊格局、从化或月令格局另转M14/M15复审</x:v>
      </x:c>
      <x:c r="V52" s="84" t="str">
        <x:v>待定</x:v>
      </x:c>
      <x:c r="W52" s="84" t="str">
        <x:v>防止将印制食伤统一命名</x:v>
      </x:c>
      <x:c r="X52" s="82" t="str">
        <x:v>否</x:v>
      </x:c>
      <x:c r="Y52" s="68" t="str">
        <x:v>对应格局候选转M14</x:v>
      </x:c>
      <x:c r="Z52" s="84" t="str">
        <x:v>伤官配印_对象边界</x:v>
      </x:c>
      <x:c r="AA52" s="84" t="str">
        <x:v>伤官配印：当主体、客体、路径与力量匹配满足最低标准时，判“待定”；是否上升为格局转M14/M15。</x:v>
      </x:c>
      <x:c r="AB52" s="82" t="str">
        <x:v>较高</x:v>
      </x:c>
      <x:c r="AC52" s="82" t="str">
        <x:v>现代综合</x:v>
      </x:c>
      <x:c r="AD52" s="68" t="str">
        <x:v>十神同时出现不等于组合成立。M11须同时验证核心十神有效性、作用路径、力量匹配、日主承载、破坏因素与救应；组合成立也不等于格局成立。</x:v>
      </x:c>
      <x:c r="AE52" s="68" t="str">
        <x:v>印星同时可能制伤官或食神；须识别印制的具体食伤类型及该食伤承担的功能；作用路径稳定且无关键破坏，可按“伤官配印”记录。</x:v>
      </x:c>
      <x:c r="AF52" s="90" t="str">
        <x:v>仅因“伤官、印星”同时出现，但核心十神无力、无作用路径或被关键因素破坏，不能判“伤官配印”成立。</x:v>
      </x:c>
      <x:c r="AG52" s="68" t="str">
        <x:v>https://zh.wikisource.org/zh-hans/%E6%B7%B5%E6%B5%B7%E5%AD%90%E5%B9%B3 ; https://zh.wikisource.org/wiki/%E6%BB%B4%E5%A4%A9%E9%AB%93%E9%97%A1%E5%BE%AE</x:v>
      </x:c>
      <x:c r="AH52" s="82" t="str">
        <x:v>采用</x:v>
      </x:c>
      <x:c r="AI52" s="82" t="str">
        <x:v>初审</x:v>
      </x:c>
      <x:c r="AJ52" s="87" t="n">
        <x:v>46255</x:v>
      </x:c>
    </x:row>
    <x:row r="53">
      <x:c r="A53" s="72" t="str">
        <x:f>IF(OR(C53="",D53=""),"",B53&amp;"-"&amp;UPPER(C53)&amp;"-"&amp;TEXT(D53,"0000")&amp;"-"&amp;E53)</x:f>
        <x:v>M11-SHENGCAI-0047-V1.0</x:v>
      </x:c>
      <x:c r="B53" s="74" t="str">
        <x:v>M11</x:v>
      </x:c>
      <x:c r="C53" s="74" t="str">
        <x:v>SHENGCAI</x:v>
      </x:c>
      <x:c r="D53" s="215" t="n">
        <x:v>47</x:v>
      </x:c>
      <x:c r="E53" s="74" t="str">
        <x:v>V1.0</x:v>
      </x:c>
      <x:c r="F53" s="68" t="str">
        <x:v>食神必须有效且能够向财星输送</x:v>
      </x:c>
      <x:c r="G53" s="82" t="str">
        <x:v>结构层</x:v>
      </x:c>
      <x:c r="H53" s="82" t="str">
        <x:v>生化型</x:v>
      </x:c>
      <x:c r="I53" s="68" t="str">
        <x:v>食神生财</x:v>
      </x:c>
      <x:c r="J53" s="68" t="str">
        <x:v>食神、财星</x:v>
      </x:c>
      <x:c r="K53" s="68" t="str">
        <x:v>食神有效</x:v>
      </x:c>
      <x:c r="L53" s="68" t="str">
        <x:v>财星有效且能承接食神生扶</x:v>
      </x:c>
      <x:c r="M53" s="68" t="str">
        <x:v>食神→财星路径连续</x:v>
      </x:c>
      <x:c r="N53" s="68" t="str">
        <x:v>相关十神均以M10有效力量为准，且不存在决定性失衡</x:v>
      </x:c>
      <x:c r="O53" s="68" t="str">
        <x:v>结合M09日主承载判断</x:v>
      </x:c>
      <x:c r="P53" s="68" t="str">
        <x:v>主体、客体、作用路径与力量匹配均达到最低要求</x:v>
      </x:c>
      <x:c r="Q53" s="68" t="str">
        <x:v>相关十神有根、有源、透达、清纯且关键通路稳定</x:v>
      </x:c>
      <x:c r="R53" s="90" t="str">
        <x:v>关键十神被合绊、被制、改性、失效或力量严重失衡</x:v>
      </x:c>
      <x:c r="S53" s="68" t="str">
        <x:v>存在第三十神恢复通路、清除破坏或重新形成平衡</x:v>
      </x:c>
      <x:c r="T53" s="90" t="str">
        <x:v>任一核心十神失效，或不存在真实作用路径</x:v>
      </x:c>
      <x:c r="U53" s="68" t="str">
        <x:v>特殊格局、从化或月令格局另转M14/M15复审</x:v>
      </x:c>
      <x:c r="V53" s="84" t="str">
        <x:v>基本成立</x:v>
      </x:c>
      <x:c r="W53" s="84" t="str">
        <x:v>泄身并转化为财星</x:v>
      </x:c>
      <x:c r="X53" s="82" t="str">
        <x:v>条件性</x:v>
      </x:c>
      <x:c r="Y53" s="68" t="str">
        <x:v>食神生财格候选</x:v>
      </x:c>
      <x:c r="Z53" s="84" t="str">
        <x:v>食神生财_成立条件</x:v>
      </x:c>
      <x:c r="AA53" s="84" t="str">
        <x:v>食神生财：当主体、客体、路径与力量匹配满足最低标准时，判“基本成立”；是否上升为格局转M14/M15。</x:v>
      </x:c>
      <x:c r="AB53" s="82" t="str">
        <x:v>较高</x:v>
      </x:c>
      <x:c r="AC53" s="82" t="str">
        <x:v>现代综合</x:v>
      </x:c>
      <x:c r="AD53" s="68" t="str">
        <x:v>十神同时出现不等于组合成立。M11须同时验证核心十神有效性、作用路径、力量匹配、日主承载、破坏因素与救应；组合成立也不等于格局成立。</x:v>
      </x:c>
      <x:c r="AE53" s="68" t="str">
        <x:v>食神有效；财星有效且能承接食神生扶；作用路径稳定且无关键破坏，可按“食神生财”记录。</x:v>
      </x:c>
      <x:c r="AF53" s="90" t="str">
        <x:v>仅因“食神、财星”同时出现，但核心十神无力、无作用路径或被关键因素破坏，不能判“食神生财”成立。</x:v>
      </x:c>
      <x:c r="AG53" s="68" t="str">
        <x:v>https://zh.wikisource.org/zh-hans/%E6%B7%B5%E6%B5%B7%E5%AD%90%E5%B9%B3 ; https://zh.wikisource.org/wiki/%E6%BB%B4%E5%A4%A9%E9%AB%93%E9%97%A1%E5%BE%AE</x:v>
      </x:c>
      <x:c r="AH53" s="82" t="str">
        <x:v>采用</x:v>
      </x:c>
      <x:c r="AI53" s="82" t="str">
        <x:v>初审</x:v>
      </x:c>
      <x:c r="AJ53" s="87" t="n">
        <x:v>46255</x:v>
      </x:c>
    </x:row>
    <x:row r="54">
      <x:c r="A54" s="72" t="str">
        <x:f>IF(OR(C54="",D54=""),"",B54&amp;"-"&amp;UPPER(C54)&amp;"-"&amp;TEXT(D54,"0000")&amp;"-"&amp;E54)</x:f>
        <x:v>M11-SHENGCAI-0048-V1.0</x:v>
      </x:c>
      <x:c r="B54" s="74" t="str">
        <x:v>M11</x:v>
      </x:c>
      <x:c r="C54" s="74" t="str">
        <x:v>SHENGCAI</x:v>
      </x:c>
      <x:c r="D54" s="215" t="n">
        <x:v>48</x:v>
      </x:c>
      <x:c r="E54" s="74" t="str">
        <x:v>V1.0</x:v>
      </x:c>
      <x:c r="F54" s="68" t="str">
        <x:v>伤官必须有效且财星能够承接</x:v>
      </x:c>
      <x:c r="G54" s="82" t="str">
        <x:v>结构层</x:v>
      </x:c>
      <x:c r="H54" s="82" t="str">
        <x:v>生化型</x:v>
      </x:c>
      <x:c r="I54" s="68" t="str">
        <x:v>伤官生财</x:v>
      </x:c>
      <x:c r="J54" s="68" t="str">
        <x:v>伤官、财星</x:v>
      </x:c>
      <x:c r="K54" s="68" t="str">
        <x:v>伤官有效</x:v>
      </x:c>
      <x:c r="L54" s="68" t="str">
        <x:v>财星有效</x:v>
      </x:c>
      <x:c r="M54" s="68" t="str">
        <x:v>伤官→财星路径连续</x:v>
      </x:c>
      <x:c r="N54" s="68" t="str">
        <x:v>相关十神均以M10有效力量为准，且不存在决定性失衡</x:v>
      </x:c>
      <x:c r="O54" s="68" t="str">
        <x:v>结合M09日主承载判断</x:v>
      </x:c>
      <x:c r="P54" s="68" t="str">
        <x:v>主体、客体、作用路径与力量匹配均达到最低要求</x:v>
      </x:c>
      <x:c r="Q54" s="68" t="str">
        <x:v>相关十神有根、有源、透达、清纯且关键通路稳定</x:v>
      </x:c>
      <x:c r="R54" s="90" t="str">
        <x:v>关键十神被合绊、被制、改性、失效或力量严重失衡</x:v>
      </x:c>
      <x:c r="S54" s="68" t="str">
        <x:v>存在第三十神恢复通路、清除破坏或重新形成平衡</x:v>
      </x:c>
      <x:c r="T54" s="90" t="str">
        <x:v>任一核心十神失效，或不存在真实作用路径</x:v>
      </x:c>
      <x:c r="U54" s="68" t="str">
        <x:v>特殊格局、从化或月令格局另转M14/M15复审</x:v>
      </x:c>
      <x:c r="V54" s="84" t="str">
        <x:v>基本成立</x:v>
      </x:c>
      <x:c r="W54" s="84" t="str">
        <x:v>泄身并生财</x:v>
      </x:c>
      <x:c r="X54" s="82" t="str">
        <x:v>条件性</x:v>
      </x:c>
      <x:c r="Y54" s="68" t="str">
        <x:v>伤官生财格候选</x:v>
      </x:c>
      <x:c r="Z54" s="84" t="str">
        <x:v>伤官生财_成立条件</x:v>
      </x:c>
      <x:c r="AA54" s="84" t="str">
        <x:v>伤官生财：当主体、客体、路径与力量匹配满足最低标准时，判“基本成立”；是否上升为格局转M14/M15。</x:v>
      </x:c>
      <x:c r="AB54" s="82" t="str">
        <x:v>较高</x:v>
      </x:c>
      <x:c r="AC54" s="82" t="str">
        <x:v>现代综合</x:v>
      </x:c>
      <x:c r="AD54" s="68" t="str">
        <x:v>十神同时出现不等于组合成立。M11须同时验证核心十神有效性、作用路径、力量匹配、日主承载、破坏因素与救应；组合成立也不等于格局成立。</x:v>
      </x:c>
      <x:c r="AE54" s="68" t="str">
        <x:v>伤官有效；财星有效；作用路径稳定且无关键破坏，可按“伤官生财”记录。</x:v>
      </x:c>
      <x:c r="AF54" s="90" t="str">
        <x:v>仅因“伤官、财星”同时出现，但核心十神无力、无作用路径或被关键因素破坏，不能判“伤官生财”成立。</x:v>
      </x:c>
      <x:c r="AG54" s="68" t="str">
        <x:v>https://zh.wikisource.org/zh-hans/%E6%B7%B5%E6%B5%B7%E5%AD%90%E5%B9%B3 ; https://zh.wikisource.org/wiki/%E6%BB%B4%E5%A4%A9%E9%AB%93%E9%97%A1%E5%BE%AE</x:v>
      </x:c>
      <x:c r="AH54" s="82" t="str">
        <x:v>采用</x:v>
      </x:c>
      <x:c r="AI54" s="82" t="str">
        <x:v>初审</x:v>
      </x:c>
      <x:c r="AJ54" s="87" t="n">
        <x:v>46255</x:v>
      </x:c>
    </x:row>
    <x:row r="55">
      <x:c r="A55" s="72" t="str">
        <x:f>IF(OR(C55="",D55=""),"",B55&amp;"-"&amp;UPPER(C55)&amp;"-"&amp;TEXT(D55,"0000")&amp;"-"&amp;E55)</x:f>
        <x:v>M11-SHENGCAI-0049-V1.0</x:v>
      </x:c>
      <x:c r="B55" s="74" t="str">
        <x:v>M11</x:v>
      </x:c>
      <x:c r="C55" s="74" t="str">
        <x:v>SHENGCAI</x:v>
      </x:c>
      <x:c r="D55" s="215" t="n">
        <x:v>49</x:v>
      </x:c>
      <x:c r="E55" s="74" t="str">
        <x:v>V1.0</x:v>
      </x:c>
      <x:c r="F55" s="68" t="str">
        <x:v>财星过弱不能充分承接食伤输出</x:v>
      </x:c>
      <x:c r="G55" s="82" t="str">
        <x:v>结构层</x:v>
      </x:c>
      <x:c r="H55" s="82" t="str">
        <x:v>生化型</x:v>
      </x:c>
      <x:c r="I55" s="68" t="str">
        <x:v>食伤生财</x:v>
      </x:c>
      <x:c r="J55" s="68" t="str">
        <x:v>食伤、财星</x:v>
      </x:c>
      <x:c r="K55" s="68" t="str">
        <x:v>食伤旺</x:v>
      </x:c>
      <x:c r="L55" s="68" t="str">
        <x:v>财星弱、无根或受比劫强制</x:v>
      </x:c>
      <x:c r="M55" s="68" t="str">
        <x:v>直接或可达的生克制化路径成立</x:v>
      </x:c>
      <x:c r="N55" s="68" t="str">
        <x:v>相关十神均以M10有效力量为准，且不存在决定性失衡</x:v>
      </x:c>
      <x:c r="O55" s="68" t="str">
        <x:v>结合M09日主承载判断</x:v>
      </x:c>
      <x:c r="P55" s="68" t="str">
        <x:v>主体、客体、作用路径与力量匹配均达到最低要求</x:v>
      </x:c>
      <x:c r="Q55" s="68" t="str">
        <x:v>相关十神有根、有源、透达、清纯且关键通路稳定</x:v>
      </x:c>
      <x:c r="R55" s="90" t="str">
        <x:v>关键十神被合绊、被制、改性、失效或力量严重失衡</x:v>
      </x:c>
      <x:c r="S55" s="68" t="str">
        <x:v>存在第三十神恢复通路、清除破坏或重新形成平衡</x:v>
      </x:c>
      <x:c r="T55" s="90" t="str">
        <x:v>任一核心十神失效，或不存在真实作用路径</x:v>
      </x:c>
      <x:c r="U55" s="68" t="str">
        <x:v>特殊格局、从化或月令格局另转M14/M15复审</x:v>
      </x:c>
      <x:c r="V55" s="84" t="str">
        <x:v>弱成立</x:v>
      </x:c>
      <x:c r="W55" s="84" t="str">
        <x:v>输出有源但终点承载不足</x:v>
      </x:c>
      <x:c r="X55" s="82" t="str">
        <x:v>否</x:v>
      </x:c>
      <x:c r="Y55" s="68" t="str">
        <x:v>对应格局候选转M14</x:v>
      </x:c>
      <x:c r="Z55" s="84" t="str">
        <x:v>食伤生财_财弱</x:v>
      </x:c>
      <x:c r="AA55" s="84" t="str">
        <x:v>食伤生财：当主体、客体、路径与力量匹配满足最低标准时，判“弱成立”；是否上升为格局转M14/M15。</x:v>
      </x:c>
      <x:c r="AB55" s="82" t="str">
        <x:v>较高</x:v>
      </x:c>
      <x:c r="AC55" s="82" t="str">
        <x:v>现代综合</x:v>
      </x:c>
      <x:c r="AD55" s="68" t="str">
        <x:v>十神同时出现不等于组合成立。M11须同时验证核心十神有效性、作用路径、力量匹配、日主承载、破坏因素与救应；组合成立也不等于格局成立。</x:v>
      </x:c>
      <x:c r="AE55" s="68" t="str">
        <x:v>食伤旺；财星弱、无根或受比劫强制；作用路径稳定且无关键破坏，可按“食伤生财”记录。</x:v>
      </x:c>
      <x:c r="AF55" s="90" t="str">
        <x:v>仅因“食伤、财星”同时出现，但核心十神无力、无作用路径或被关键因素破坏，不能判“食伤生财”成立。</x:v>
      </x:c>
      <x:c r="AG55" s="68" t="str">
        <x:v>https://zh.wikisource.org/zh-hans/%E6%B7%B5%E6%B5%B7%E5%AD%90%E5%B9%B3 ; https://zh.wikisource.org/wiki/%E6%BB%B4%E5%A4%A9%E9%AB%93%E9%97%A1%E5%BE%AE</x:v>
      </x:c>
      <x:c r="AH55" s="82" t="str">
        <x:v>采用</x:v>
      </x:c>
      <x:c r="AI55" s="82" t="str">
        <x:v>初审</x:v>
      </x:c>
      <x:c r="AJ55" s="87" t="n">
        <x:v>46255</x:v>
      </x:c>
    </x:row>
    <x:row r="56">
      <x:c r="A56" s="72" t="str">
        <x:f>IF(OR(C56="",D56=""),"",B56&amp;"-"&amp;UPPER(C56)&amp;"-"&amp;TEXT(D56,"0000")&amp;"-"&amp;E56)</x:f>
        <x:v>M11-SHENGCAI-0050-V1.0</x:v>
      </x:c>
      <x:c r="B56" s="74" t="str">
        <x:v>M11</x:v>
      </x:c>
      <x:c r="C56" s="74" t="str">
        <x:v>SHENGCAI</x:v>
      </x:c>
      <x:c r="D56" s="215" t="n">
        <x:v>50</x:v>
      </x:c>
      <x:c r="E56" s="74" t="str">
        <x:v>V1.0</x:v>
      </x:c>
      <x:c r="F56" s="68" t="str">
        <x:v>食伤过弱时财星缺少稳定生源</x:v>
      </x:c>
      <x:c r="G56" s="82" t="str">
        <x:v>结构层</x:v>
      </x:c>
      <x:c r="H56" s="82" t="str">
        <x:v>生化型</x:v>
      </x:c>
      <x:c r="I56" s="68" t="str">
        <x:v>食伤生财</x:v>
      </x:c>
      <x:c r="J56" s="68" t="str">
        <x:v>食伤、财星</x:v>
      </x:c>
      <x:c r="K56" s="68" t="str">
        <x:v>食伤弱或受印星强制</x:v>
      </x:c>
      <x:c r="L56" s="68" t="str">
        <x:v>财星虽存在但生源不足</x:v>
      </x:c>
      <x:c r="M56" s="68" t="str">
        <x:v>直接或可达的生克制化路径成立</x:v>
      </x:c>
      <x:c r="N56" s="68" t="str">
        <x:v>相关十神均以M10有效力量为准，且不存在决定性失衡</x:v>
      </x:c>
      <x:c r="O56" s="68" t="str">
        <x:v>结合M09日主承载判断</x:v>
      </x:c>
      <x:c r="P56" s="68" t="str">
        <x:v>主体、客体、作用路径与力量匹配均达到最低要求</x:v>
      </x:c>
      <x:c r="Q56" s="68" t="str">
        <x:v>相关十神有根、有源、透达、清纯且关键通路稳定</x:v>
      </x:c>
      <x:c r="R56" s="90" t="str">
        <x:v>关键十神被合绊、被制、改性、失效或力量严重失衡</x:v>
      </x:c>
      <x:c r="S56" s="68" t="str">
        <x:v>存在第三十神恢复通路、清除破坏或重新形成平衡</x:v>
      </x:c>
      <x:c r="T56" s="90" t="str">
        <x:v>任一核心十神失效，或不存在真实作用路径</x:v>
      </x:c>
      <x:c r="U56" s="68" t="str">
        <x:v>特殊格局、从化或月令格局另转M14/M15复审</x:v>
      </x:c>
      <x:c r="V56" s="84" t="str">
        <x:v>弱成立</x:v>
      </x:c>
      <x:c r="W56" s="84" t="str">
        <x:v>形成局部生化、制化或承载结构</x:v>
      </x:c>
      <x:c r="X56" s="82" t="str">
        <x:v>否</x:v>
      </x:c>
      <x:c r="Y56" s="68" t="str">
        <x:v>对应格局候选转M14</x:v>
      </x:c>
      <x:c r="Z56" s="84" t="str">
        <x:v>食伤生财_食伤弱</x:v>
      </x:c>
      <x:c r="AA56" s="84" t="str">
        <x:v>食伤生财：当主体、客体、路径与力量匹配满足最低标准时，判“弱成立”；是否上升为格局转M14/M15。</x:v>
      </x:c>
      <x:c r="AB56" s="82" t="str">
        <x:v>较高</x:v>
      </x:c>
      <x:c r="AC56" s="82" t="str">
        <x:v>现代综合</x:v>
      </x:c>
      <x:c r="AD56" s="68" t="str">
        <x:v>十神同时出现不等于组合成立。M11须同时验证核心十神有效性、作用路径、力量匹配、日主承载、破坏因素与救应；组合成立也不等于格局成立。</x:v>
      </x:c>
      <x:c r="AE56" s="68" t="str">
        <x:v>食伤弱或受印星强制；财星虽存在但生源不足；作用路径稳定且无关键破坏，可按“食伤生财”记录。</x:v>
      </x:c>
      <x:c r="AF56" s="90" t="str">
        <x:v>仅因“食伤、财星”同时出现，但核心十神无力、无作用路径或被关键因素破坏，不能判“食伤生财”成立。</x:v>
      </x:c>
      <x:c r="AG56" s="68" t="str">
        <x:v>https://zh.wikisource.org/zh-hans/%E6%B7%B5%E6%B5%B7%E5%AD%90%E5%B9%B3 ; https://zh.wikisource.org/wiki/%E6%BB%B4%E5%A4%A9%E9%AB%93%E9%97%A1%E5%BE%AE</x:v>
      </x:c>
      <x:c r="AH56" s="82" t="str">
        <x:v>采用</x:v>
      </x:c>
      <x:c r="AI56" s="82" t="str">
        <x:v>初审</x:v>
      </x:c>
      <x:c r="AJ56" s="87" t="n">
        <x:v>46255</x:v>
      </x:c>
    </x:row>
    <x:row r="57">
      <x:c r="A57" s="72" t="str">
        <x:f>IF(OR(C57="",D57=""),"",B57&amp;"-"&amp;UPPER(C57)&amp;"-"&amp;TEXT(D57,"0000")&amp;"-"&amp;E57)</x:f>
        <x:v>M11-SHENGCAI-0051-V1.0</x:v>
      </x:c>
      <x:c r="B57" s="74" t="str">
        <x:v>M11</x:v>
      </x:c>
      <x:c r="C57" s="74" t="str">
        <x:v>SHENGCAI</x:v>
      </x:c>
      <x:c r="D57" s="215" t="n">
        <x:v>51</x:v>
      </x:c>
      <x:c r="E57" s="74" t="str">
        <x:v>V1.0</x:v>
      </x:c>
      <x:c r="F57" s="68" t="str">
        <x:v>比劫强制财会破坏生财终点</x:v>
      </x:c>
      <x:c r="G57" s="82" t="str">
        <x:v>结构层</x:v>
      </x:c>
      <x:c r="H57" s="82" t="str">
        <x:v>生化型</x:v>
      </x:c>
      <x:c r="I57" s="68" t="str">
        <x:v>食伤生财</x:v>
      </x:c>
      <x:c r="J57" s="68" t="str">
        <x:v>食伤、财星、比劫</x:v>
      </x:c>
      <x:c r="K57" s="68" t="str">
        <x:v>食伤生财路径成立</x:v>
      </x:c>
      <x:c r="L57" s="68" t="str">
        <x:v>比劫对财星形成实质强制</x:v>
      </x:c>
      <x:c r="M57" s="68" t="str">
        <x:v>直接或可达的生克制化路径成立</x:v>
      </x:c>
      <x:c r="N57" s="68" t="str">
        <x:v>相关十神均以M10有效力量为准，且不存在决定性失衡</x:v>
      </x:c>
      <x:c r="O57" s="68" t="str">
        <x:v>结合M09日主承载判断</x:v>
      </x:c>
      <x:c r="P57" s="68" t="str">
        <x:v>主体、客体、作用路径与力量匹配均达到最低要求</x:v>
      </x:c>
      <x:c r="Q57" s="68" t="str">
        <x:v>相关十神有根、有源、透达、清纯且关键通路稳定</x:v>
      </x:c>
      <x:c r="R57" s="90" t="str">
        <x:v>财星被比劫制至受限或失效</x:v>
      </x:c>
      <x:c r="S57" s="68" t="str">
        <x:v>存在第三十神恢复通路、清除破坏或重新形成平衡</x:v>
      </x:c>
      <x:c r="T57" s="90" t="str">
        <x:v>任一核心十神失效，或不存在真实作用路径</x:v>
      </x:c>
      <x:c r="U57" s="68" t="str">
        <x:v>特殊格局、从化或月令格局另转M14/M15复审</x:v>
      </x:c>
      <x:c r="V57" s="84" t="str">
        <x:v>弱成立</x:v>
      </x:c>
      <x:c r="W57" s="84" t="str">
        <x:v>形成局部生化、制化或承载结构</x:v>
      </x:c>
      <x:c r="X57" s="82" t="str">
        <x:v>否</x:v>
      </x:c>
      <x:c r="Y57" s="68" t="str">
        <x:v>对应格局候选转M14</x:v>
      </x:c>
      <x:c r="Z57" s="84" t="str">
        <x:v>食伤生财_比劫破财</x:v>
      </x:c>
      <x:c r="AA57" s="84" t="str">
        <x:v>食伤生财：当主体、客体、路径与力量匹配满足最低标准时，判“弱成立”；是否上升为格局转M14/M15。</x:v>
      </x:c>
      <x:c r="AB57" s="82" t="str">
        <x:v>较高</x:v>
      </x:c>
      <x:c r="AC57" s="82" t="str">
        <x:v>现代综合</x:v>
      </x:c>
      <x:c r="AD57" s="68" t="str">
        <x:v>十神同时出现不等于组合成立。M11须同时验证核心十神有效性、作用路径、力量匹配、日主承载、破坏因素与救应；组合成立也不等于格局成立。</x:v>
      </x:c>
      <x:c r="AE57" s="68" t="str">
        <x:v>食伤生财路径成立；比劫对财星形成实质强制；作用路径稳定且无关键破坏，可按“食伤生财”记录。</x:v>
      </x:c>
      <x:c r="AF57" s="90" t="str">
        <x:v>仅因“食伤、财星、比劫”同时出现，但核心十神无力、无作用路径或被关键因素破坏，不能判“食伤生财”成立。</x:v>
      </x:c>
      <x:c r="AG57" s="68" t="str">
        <x:v>https://zh.wikisource.org/zh-hans/%E6%B7%B5%E6%B5%B7%E5%AD%90%E5%B9%B3 ; https://zh.wikisource.org/wiki/%E6%BB%B4%E5%A4%A9%E9%AB%93%E9%97%A1%E5%BE%AE</x:v>
      </x:c>
      <x:c r="AH57" s="82" t="str">
        <x:v>采用</x:v>
      </x:c>
      <x:c r="AI57" s="82" t="str">
        <x:v>初审</x:v>
      </x:c>
      <x:c r="AJ57" s="87" t="n">
        <x:v>46255</x:v>
      </x:c>
    </x:row>
    <x:row r="58">
      <x:c r="A58" s="72" t="str">
        <x:f>IF(OR(C58="",D58=""),"",B58&amp;"-"&amp;UPPER(C58)&amp;"-"&amp;TEXT(D58,"0000")&amp;"-"&amp;E58)</x:f>
        <x:v>M11-SHENGCAI-0052-V1.0</x:v>
      </x:c>
      <x:c r="B58" s="74" t="str">
        <x:v>M11</x:v>
      </x:c>
      <x:c r="C58" s="74" t="str">
        <x:v>SHENGCAI</x:v>
      </x:c>
      <x:c r="D58" s="215" t="n">
        <x:v>52</x:v>
      </x:c>
      <x:c r="E58" s="74" t="str">
        <x:v>V1.0</x:v>
      </x:c>
      <x:c r="F58" s="68" t="str">
        <x:v>印星强制食伤会切断生财源头</x:v>
      </x:c>
      <x:c r="G58" s="82" t="str">
        <x:v>结构层</x:v>
      </x:c>
      <x:c r="H58" s="82" t="str">
        <x:v>生化型</x:v>
      </x:c>
      <x:c r="I58" s="68" t="str">
        <x:v>食伤生财</x:v>
      </x:c>
      <x:c r="J58" s="68" t="str">
        <x:v>食伤、财星、印星</x:v>
      </x:c>
      <x:c r="K58" s="68" t="str">
        <x:v>印星强制关键食伤</x:v>
      </x:c>
      <x:c r="L58" s="68" t="str">
        <x:v>食伤生财能力下降</x:v>
      </x:c>
      <x:c r="M58" s="68" t="str">
        <x:v>直接或可达的生克制化路径成立</x:v>
      </x:c>
      <x:c r="N58" s="68" t="str">
        <x:v>相关十神均以M10有效力量为准，且不存在决定性失衡</x:v>
      </x:c>
      <x:c r="O58" s="68" t="str">
        <x:v>结合M09日主承载判断</x:v>
      </x:c>
      <x:c r="P58" s="68" t="str">
        <x:v>主体、客体、作用路径与力量匹配均达到最低要求</x:v>
      </x:c>
      <x:c r="Q58" s="68" t="str">
        <x:v>相关十神有根、有源、透达、清纯且关键通路稳定</x:v>
      </x:c>
      <x:c r="R58" s="90" t="str">
        <x:v>食伤被印制至失效</x:v>
      </x:c>
      <x:c r="S58" s="68" t="str">
        <x:v>存在第三十神恢复通路、清除破坏或重新形成平衡</x:v>
      </x:c>
      <x:c r="T58" s="90" t="str">
        <x:v>任一核心十神失效，或不存在真实作用路径</x:v>
      </x:c>
      <x:c r="U58" s="68" t="str">
        <x:v>特殊格局、从化或月令格局另转M14/M15复审</x:v>
      </x:c>
      <x:c r="V58" s="84" t="str">
        <x:v>不成立</x:v>
      </x:c>
      <x:c r="W58" s="84" t="str">
        <x:v>形成局部生化、制化或承载结构</x:v>
      </x:c>
      <x:c r="X58" s="82" t="str">
        <x:v>否</x:v>
      </x:c>
      <x:c r="Y58" s="68" t="str">
        <x:v>对应格局候选转M14</x:v>
      </x:c>
      <x:c r="Z58" s="84" t="str">
        <x:v>食伤生财_印制食伤</x:v>
      </x:c>
      <x:c r="AA58" s="84" t="str">
        <x:v>食伤生财：当主体、客体、路径与力量匹配满足最低标准时，判“不成立”；是否上升为格局转M14/M15。</x:v>
      </x:c>
      <x:c r="AB58" s="82" t="str">
        <x:v>较高</x:v>
      </x:c>
      <x:c r="AC58" s="82" t="str">
        <x:v>现代综合</x:v>
      </x:c>
      <x:c r="AD58" s="68" t="str">
        <x:v>十神同时出现不等于组合成立。M11须同时验证核心十神有效性、作用路径、力量匹配、日主承载、破坏因素与救应；组合成立也不等于格局成立。</x:v>
      </x:c>
      <x:c r="AE58" s="68" t="str">
        <x:v>印星强制关键食伤；食伤生财能力下降；作用路径稳定且无关键破坏，可按“食伤生财”记录。</x:v>
      </x:c>
      <x:c r="AF58" s="90" t="str">
        <x:v>仅因“食伤、财星、印星”同时出现，但核心十神无力、无作用路径或被关键因素破坏，不能判“食伤生财”成立。</x:v>
      </x:c>
      <x:c r="AG58" s="68" t="str">
        <x:v>https://zh.wikisource.org/zh-hans/%E6%B7%B5%E6%B5%B7%E5%AD%90%E5%B9%B3 ; https://zh.wikisource.org/wiki/%E6%BB%B4%E5%A4%A9%E9%AB%93%E9%97%A1%E5%BE%AE</x:v>
      </x:c>
      <x:c r="AH58" s="82" t="str">
        <x:v>采用</x:v>
      </x:c>
      <x:c r="AI58" s="82" t="str">
        <x:v>初审</x:v>
      </x:c>
      <x:c r="AJ58" s="87" t="n">
        <x:v>46255</x:v>
      </x:c>
    </x:row>
    <x:row r="59">
      <x:c r="A59" s="72" t="str">
        <x:f>IF(OR(C59="",D59=""),"",B59&amp;"-"&amp;UPPER(C59)&amp;"-"&amp;TEXT(D59,"0000")&amp;"-"&amp;E59)</x:f>
        <x:v>M11-SHENGCAI-0053-V1.0</x:v>
      </x:c>
      <x:c r="B59" s="74" t="str">
        <x:v>M11</x:v>
      </x:c>
      <x:c r="C59" s="74" t="str">
        <x:v>SHENGCAI</x:v>
      </x:c>
      <x:c r="D59" s="215" t="n">
        <x:v>53</x:v>
      </x:c>
      <x:c r="E59" s="74" t="str">
        <x:v>V1.0</x:v>
      </x:c>
      <x:c r="F59" s="68" t="str">
        <x:v>身弱时连续泄耗可能超过日主承载</x:v>
      </x:c>
      <x:c r="G59" s="82" t="str">
        <x:v>结构层</x:v>
      </x:c>
      <x:c r="H59" s="82" t="str">
        <x:v>生化型</x:v>
      </x:c>
      <x:c r="I59" s="68" t="str">
        <x:v>食伤生财</x:v>
      </x:c>
      <x:c r="J59" s="68" t="str">
        <x:v>食伤、财星</x:v>
      </x:c>
      <x:c r="K59" s="68" t="str">
        <x:v>日主弱或极弱</x:v>
      </x:c>
      <x:c r="L59" s="68" t="str">
        <x:v>食伤生财形成“泄身→生财”连续负荷</x:v>
      </x:c>
      <x:c r="M59" s="68" t="str">
        <x:v>直接或可达的生克制化路径成立</x:v>
      </x:c>
      <x:c r="N59" s="68" t="str">
        <x:v>相关十神均以M10有效力量为准，且不存在决定性失衡</x:v>
      </x:c>
      <x:c r="O59" s="68" t="str">
        <x:v>若无印比承载，组合虽成立但可能成为负担</x:v>
      </x:c>
      <x:c r="P59" s="68" t="str">
        <x:v>主体、客体、作用路径与力量匹配均达到最低要求</x:v>
      </x:c>
      <x:c r="Q59" s="68" t="str">
        <x:v>相关十神有根、有源、透达、清纯且关键通路稳定</x:v>
      </x:c>
      <x:c r="R59" s="90" t="str">
        <x:v>关键十神被合绊、被制、改性、失效或力量严重失衡</x:v>
      </x:c>
      <x:c r="S59" s="68" t="str">
        <x:v>存在第三十神恢复通路、清除破坏或重新形成平衡</x:v>
      </x:c>
      <x:c r="T59" s="90" t="str">
        <x:v>任一核心十神失效，或不存在真实作用路径</x:v>
      </x:c>
      <x:c r="U59" s="68" t="str">
        <x:v>特殊格局、从化或月令格局另转M14/M15复审</x:v>
      </x:c>
      <x:c r="V59" s="84" t="str">
        <x:v>基本成立</x:v>
      </x:c>
      <x:c r="W59" s="84" t="str">
        <x:v>形成局部生化、制化或承载结构</x:v>
      </x:c>
      <x:c r="X59" s="82" t="str">
        <x:v>条件性</x:v>
      </x:c>
      <x:c r="Y59" s="68" t="str">
        <x:v>对应格局候选转M14</x:v>
      </x:c>
      <x:c r="Z59" s="84" t="str">
        <x:v>食伤生财_身弱负荷</x:v>
      </x:c>
      <x:c r="AA59" s="84" t="str">
        <x:v>食伤生财：当主体、客体、路径与力量匹配满足最低标准时，判“基本成立”；是否上升为格局转M14/M15。</x:v>
      </x:c>
      <x:c r="AB59" s="82" t="str">
        <x:v>较高</x:v>
      </x:c>
      <x:c r="AC59" s="82" t="str">
        <x:v>现代综合</x:v>
      </x:c>
      <x:c r="AD59" s="68" t="str">
        <x:v>十神同时出现不等于组合成立。M11须同时验证核心十神有效性、作用路径、力量匹配、日主承载、破坏因素与救应；组合成立也不等于格局成立。</x:v>
      </x:c>
      <x:c r="AE59" s="68" t="str">
        <x:v>日主弱或极弱；食伤生财形成“泄身→生财”连续负荷；作用路径稳定且无关键破坏，可按“食伤生财”记录。</x:v>
      </x:c>
      <x:c r="AF59" s="90" t="str">
        <x:v>仅因“食伤、财星”同时出现，但核心十神无力、无作用路径或被关键因素破坏，不能判“食伤生财”成立。</x:v>
      </x:c>
      <x:c r="AG59" s="68" t="str">
        <x:v>https://zh.wikisource.org/zh-hans/%E6%B7%B5%E6%B5%B7%E5%AD%90%E5%B9%B3 ; https://zh.wikisource.org/wiki/%E6%BB%B4%E5%A4%A9%E9%AB%93%E9%97%A1%E5%BE%AE</x:v>
      </x:c>
      <x:c r="AH59" s="82" t="str">
        <x:v>采用</x:v>
      </x:c>
      <x:c r="AI59" s="82" t="str">
        <x:v>初审</x:v>
      </x:c>
      <x:c r="AJ59" s="87" t="n">
        <x:v>46255</x:v>
      </x:c>
    </x:row>
    <x:row r="60">
      <x:c r="A60" s="72" t="str">
        <x:f>IF(OR(C60="",D60=""),"",B60&amp;"-"&amp;UPPER(C60)&amp;"-"&amp;TEXT(D60,"0000")&amp;"-"&amp;E60)</x:f>
        <x:v>M11-SHENGCAI-0054-V1.0</x:v>
      </x:c>
      <x:c r="B60" s="74" t="str">
        <x:v>M11</x:v>
      </x:c>
      <x:c r="C60" s="74" t="str">
        <x:v>SHENGCAI</x:v>
      </x:c>
      <x:c r="D60" s="215" t="n">
        <x:v>54</x:v>
      </x:c>
      <x:c r="E60" s="74" t="str">
        <x:v>V1.0</x:v>
      </x:c>
      <x:c r="F60" s="68" t="str">
        <x:v>身旺有食伤生财时通道通常更可持续</x:v>
      </x:c>
      <x:c r="G60" s="82" t="str">
        <x:v>结构层</x:v>
      </x:c>
      <x:c r="H60" s="82" t="str">
        <x:v>生化型</x:v>
      </x:c>
      <x:c r="I60" s="68" t="str">
        <x:v>食伤生财</x:v>
      </x:c>
      <x:c r="J60" s="68" t="str">
        <x:v>食伤、财星</x:v>
      </x:c>
      <x:c r="K60" s="68" t="str">
        <x:v>日主旺或中和偏旺</x:v>
      </x:c>
      <x:c r="L60" s="68" t="str">
        <x:v>食伤与财星均有效</x:v>
      </x:c>
      <x:c r="M60" s="68" t="str">
        <x:v>直接或可达的生克制化路径成立</x:v>
      </x:c>
      <x:c r="N60" s="68" t="str">
        <x:v>相关十神均以M10有效力量为准，且不存在决定性失衡</x:v>
      </x:c>
      <x:c r="O60" s="68" t="str">
        <x:v>日主有足够源头供给食伤并承受财耗</x:v>
      </x:c>
      <x:c r="P60" s="68" t="str">
        <x:v>主体、客体、作用路径与力量匹配均达到最低要求</x:v>
      </x:c>
      <x:c r="Q60" s="68" t="str">
        <x:v>食伤财链清晰且无印比破坏</x:v>
      </x:c>
      <x:c r="R60" s="90" t="str">
        <x:v>关键十神被合绊、被制、改性、失效或力量严重失衡</x:v>
      </x:c>
      <x:c r="S60" s="68" t="str">
        <x:v>存在第三十神恢复通路、清除破坏或重新形成平衡</x:v>
      </x:c>
      <x:c r="T60" s="90" t="str">
        <x:v>任一核心十神失效，或不存在真实作用路径</x:v>
      </x:c>
      <x:c r="U60" s="68" t="str">
        <x:v>特殊格局、从化或月令格局另转M14/M15复审</x:v>
      </x:c>
      <x:c r="V60" s="84" t="str">
        <x:v>明显成立</x:v>
      </x:c>
      <x:c r="W60" s="84" t="str">
        <x:v>形成局部生化、制化或承载结构</x:v>
      </x:c>
      <x:c r="X60" s="82" t="str">
        <x:v>条件性</x:v>
      </x:c>
      <x:c r="Y60" s="68" t="str">
        <x:v>对应格局候选转M14</x:v>
      </x:c>
      <x:c r="Z60" s="84" t="str">
        <x:v>食伤生财_身旺增强</x:v>
      </x:c>
      <x:c r="AA60" s="84" t="str">
        <x:v>食伤生财：当主体、客体、路径与力量匹配满足最低标准时，判“明显成立”；是否上升为格局转M14/M15。</x:v>
      </x:c>
      <x:c r="AB60" s="82" t="str">
        <x:v>较高</x:v>
      </x:c>
      <x:c r="AC60" s="82" t="str">
        <x:v>现代综合</x:v>
      </x:c>
      <x:c r="AD60" s="68" t="str">
        <x:v>十神同时出现不等于组合成立。M11须同时验证核心十神有效性、作用路径、力量匹配、日主承载、破坏因素与救应；组合成立也不等于格局成立。</x:v>
      </x:c>
      <x:c r="AE60" s="68" t="str">
        <x:v>日主旺或中和偏旺；食伤与财星均有效；作用路径稳定且无关键破坏，可按“食伤生财”记录。</x:v>
      </x:c>
      <x:c r="AF60" s="90" t="str">
        <x:v>仅因“食伤、财星”同时出现，但核心十神无力、无作用路径或被关键因素破坏，不能判“食伤生财”成立。</x:v>
      </x:c>
      <x:c r="AG60" s="68" t="str">
        <x:v>https://zh.wikisource.org/zh-hans/%E6%B7%B5%E6%B5%B7%E5%AD%90%E5%B9%B3 ; https://zh.wikisource.org/wiki/%E6%BB%B4%E5%A4%A9%E9%AB%93%E9%97%A1%E5%BE%AE</x:v>
      </x:c>
      <x:c r="AH60" s="82" t="str">
        <x:v>采用</x:v>
      </x:c>
      <x:c r="AI60" s="82" t="str">
        <x:v>初审</x:v>
      </x:c>
      <x:c r="AJ60" s="87" t="n">
        <x:v>46255</x:v>
      </x:c>
    </x:row>
    <x:row r="61">
      <x:c r="A61" s="72" t="str">
        <x:f>IF(OR(C61="",D61=""),"",B61&amp;"-"&amp;UPPER(C61)&amp;"-"&amp;TEXT(D61,"0000")&amp;"-"&amp;E61)</x:f>
        <x:v>M11-SHENGCAI-0055-V1.0</x:v>
      </x:c>
      <x:c r="B61" s="74" t="str">
        <x:v>M11</x:v>
      </x:c>
      <x:c r="C61" s="74" t="str">
        <x:v>SHENGCAI</x:v>
      </x:c>
      <x:c r="D61" s="215" t="n">
        <x:v>55</x:v>
      </x:c>
      <x:c r="E61" s="74" t="str">
        <x:v>V1.0</x:v>
      </x:c>
      <x:c r="F61" s="68" t="str">
        <x:v>食伤混杂时先判断主导输出者</x:v>
      </x:c>
      <x:c r="G61" s="82" t="str">
        <x:v>结构层</x:v>
      </x:c>
      <x:c r="H61" s="82" t="str">
        <x:v>生化型</x:v>
      </x:c>
      <x:c r="I61" s="68" t="str">
        <x:v>食伤生财</x:v>
      </x:c>
      <x:c r="J61" s="68" t="str">
        <x:v>食神、伤官、财星</x:v>
      </x:c>
      <x:c r="K61" s="68" t="str">
        <x:v>食神伤官均有效并生财</x:v>
      </x:c>
      <x:c r="L61" s="68" t="str">
        <x:v>财星能够承接</x:v>
      </x:c>
      <x:c r="M61" s="68" t="str">
        <x:v>直接或可达的生克制化路径成立</x:v>
      </x:c>
      <x:c r="N61" s="68" t="str">
        <x:v>需判断食神、伤官主次，避免重复计算同一财源</x:v>
      </x:c>
      <x:c r="O61" s="68" t="str">
        <x:v>结合M09日主承载判断</x:v>
      </x:c>
      <x:c r="P61" s="68" t="str">
        <x:v>主体、客体、作用路径与力量匹配均达到最低要求</x:v>
      </x:c>
      <x:c r="Q61" s="68" t="str">
        <x:v>相关十神有根、有源、透达、清纯且关键通路稳定</x:v>
      </x:c>
      <x:c r="R61" s="90" t="str">
        <x:v>关键十神被合绊、被制、改性、失效或力量严重失衡</x:v>
      </x:c>
      <x:c r="S61" s="68" t="str">
        <x:v>存在第三十神恢复通路、清除破坏或重新形成平衡</x:v>
      </x:c>
      <x:c r="T61" s="90" t="str">
        <x:v>任一核心十神失效，或不存在真实作用路径</x:v>
      </x:c>
      <x:c r="U61" s="68" t="str">
        <x:v>特殊格局、从化或月令格局另转M14/M15复审</x:v>
      </x:c>
      <x:c r="V61" s="84" t="str">
        <x:v>基本成立</x:v>
      </x:c>
      <x:c r="W61" s="84" t="str">
        <x:v>形成局部生化、制化或承载结构</x:v>
      </x:c>
      <x:c r="X61" s="82" t="str">
        <x:v>条件性</x:v>
      </x:c>
      <x:c r="Y61" s="68" t="str">
        <x:v>对应格局候选转M14</x:v>
      </x:c>
      <x:c r="Z61" s="84" t="str">
        <x:v>食伤生财_食伤混杂</x:v>
      </x:c>
      <x:c r="AA61" s="84" t="str">
        <x:v>食伤生财：当主体、客体、路径与力量匹配满足最低标准时，判“基本成立”；是否上升为格局转M14/M15。</x:v>
      </x:c>
      <x:c r="AB61" s="82" t="str">
        <x:v>较高</x:v>
      </x:c>
      <x:c r="AC61" s="82" t="str">
        <x:v>现代综合</x:v>
      </x:c>
      <x:c r="AD61" s="68" t="str">
        <x:v>十神同时出现不等于组合成立。M11须同时验证核心十神有效性、作用路径、力量匹配、日主承载、破坏因素与救应；组合成立也不等于格局成立。</x:v>
      </x:c>
      <x:c r="AE61" s="68" t="str">
        <x:v>食神伤官均有效并生财；财星能够承接；作用路径稳定且无关键破坏，可按“食伤生财”记录。</x:v>
      </x:c>
      <x:c r="AF61" s="90" t="str">
        <x:v>仅因“食神、伤官、财星”同时出现，但核心十神无力、无作用路径或被关键因素破坏，不能判“食伤生财”成立。</x:v>
      </x:c>
      <x:c r="AG61" s="68" t="str">
        <x:v>https://zh.wikisource.org/zh-hans/%E6%B7%B5%E6%B5%B7%E5%AD%90%E5%B9%B3 ; https://zh.wikisource.org/wiki/%E6%BB%B4%E5%A4%A9%E9%AB%93%E9%97%A1%E5%BE%AE</x:v>
      </x:c>
      <x:c r="AH61" s="82" t="str">
        <x:v>采用</x:v>
      </x:c>
      <x:c r="AI61" s="82" t="str">
        <x:v>初审</x:v>
      </x:c>
      <x:c r="AJ61" s="87" t="n">
        <x:v>46255</x:v>
      </x:c>
    </x:row>
    <x:row r="62">
      <x:c r="A62" s="72" t="str">
        <x:f>IF(OR(C62="",D62=""),"",B62&amp;"-"&amp;UPPER(C62)&amp;"-"&amp;TEXT(D62,"0000")&amp;"-"&amp;E62)</x:f>
        <x:v>M11-SHENGCAI-0056-V1.0</x:v>
      </x:c>
      <x:c r="B62" s="74" t="str">
        <x:v>M11</x:v>
      </x:c>
      <x:c r="C62" s="74" t="str">
        <x:v>SHENGCAI</x:v>
      </x:c>
      <x:c r="D62" s="215" t="n">
        <x:v>56</x:v>
      </x:c>
      <x:c r="E62" s="74" t="str">
        <x:v>V1.0</x:v>
      </x:c>
      <x:c r="F62" s="68" t="str">
        <x:v>链路稳定且供给承载匹配时可明显成立</x:v>
      </x:c>
      <x:c r="G62" s="82" t="str">
        <x:v>结构层</x:v>
      </x:c>
      <x:c r="H62" s="82" t="str">
        <x:v>生化型</x:v>
      </x:c>
      <x:c r="I62" s="68" t="str">
        <x:v>食伤生财</x:v>
      </x:c>
      <x:c r="J62" s="68" t="str">
        <x:v>食伤、财星</x:v>
      </x:c>
      <x:c r="K62" s="68" t="str">
        <x:v>食伤有力、财星有力</x:v>
      </x:c>
      <x:c r="L62" s="68" t="str">
        <x:v>源头、通路、终点三者连续</x:v>
      </x:c>
      <x:c r="M62" s="68" t="str">
        <x:v>直接或可达的生克制化路径成立</x:v>
      </x:c>
      <x:c r="N62" s="68" t="str">
        <x:v>日主供给、食伤输出、财星承载相匹配</x:v>
      </x:c>
      <x:c r="O62" s="68" t="str">
        <x:v>结合M09日主承载判断</x:v>
      </x:c>
      <x:c r="P62" s="68" t="str">
        <x:v>主体、客体、作用路径与力量匹配均达到最低要求</x:v>
      </x:c>
      <x:c r="Q62" s="68" t="str">
        <x:v>相关十神有根、有源、透达、清纯且关键通路稳定</x:v>
      </x:c>
      <x:c r="R62" s="90" t="str">
        <x:v>关键十神被合绊、被制、改性、失效或力量严重失衡</x:v>
      </x:c>
      <x:c r="S62" s="68" t="str">
        <x:v>存在第三十神恢复通路、清除破坏或重新形成平衡</x:v>
      </x:c>
      <x:c r="T62" s="90" t="str">
        <x:v>任一核心十神失效，或不存在真实作用路径</x:v>
      </x:c>
      <x:c r="U62" s="68" t="str">
        <x:v>特殊格局、从化或月令格局另转M14/M15复审</x:v>
      </x:c>
      <x:c r="V62" s="84" t="str">
        <x:v>明显成立</x:v>
      </x:c>
      <x:c r="W62" s="84" t="str">
        <x:v>形成局部生化、制化或承载结构</x:v>
      </x:c>
      <x:c r="X62" s="82" t="str">
        <x:v>条件性</x:v>
      </x:c>
      <x:c r="Y62" s="68" t="str">
        <x:v>对应格局候选转M14</x:v>
      </x:c>
      <x:c r="Z62" s="84" t="str">
        <x:v>食伤生财_明显成立</x:v>
      </x:c>
      <x:c r="AA62" s="84" t="str">
        <x:v>食伤生财：当主体、客体、路径与力量匹配满足最低标准时，判“明显成立”；是否上升为格局转M14/M15。</x:v>
      </x:c>
      <x:c r="AB62" s="82" t="str">
        <x:v>较高</x:v>
      </x:c>
      <x:c r="AC62" s="82" t="str">
        <x:v>现代综合</x:v>
      </x:c>
      <x:c r="AD62" s="68" t="str">
        <x:v>十神同时出现不等于组合成立。M11须同时验证核心十神有效性、作用路径、力量匹配、日主承载、破坏因素与救应；组合成立也不等于格局成立。</x:v>
      </x:c>
      <x:c r="AE62" s="68" t="str">
        <x:v>食伤有力、财星有力；源头、通路、终点三者连续；作用路径稳定且无关键破坏，可按“食伤生财”记录。</x:v>
      </x:c>
      <x:c r="AF62" s="90" t="str">
        <x:v>仅因“食伤、财星”同时出现，但核心十神无力、无作用路径或被关键因素破坏，不能判“食伤生财”成立。</x:v>
      </x:c>
      <x:c r="AG62" s="68" t="str">
        <x:v>https://zh.wikisource.org/zh-hans/%E6%B7%B5%E6%B5%B7%E5%AD%90%E5%B9%B3 ; https://zh.wikisource.org/wiki/%E6%BB%B4%E5%A4%A9%E9%AB%93%E9%97%A1%E5%BE%AE</x:v>
      </x:c>
      <x:c r="AH62" s="82" t="str">
        <x:v>采用</x:v>
      </x:c>
      <x:c r="AI62" s="82" t="str">
        <x:v>初审</x:v>
      </x:c>
      <x:c r="AJ62" s="87" t="n">
        <x:v>46255</x:v>
      </x:c>
    </x:row>
    <x:row r="63">
      <x:c r="A63" s="72" t="str">
        <x:f>IF(OR(C63="",D63=""),"",B63&amp;"-"&amp;UPPER(C63)&amp;"-"&amp;TEXT(D63,"0000")&amp;"-"&amp;E63)</x:f>
        <x:v>M11-CAIGUAN-0057-V1.0</x:v>
      </x:c>
      <x:c r="B63" s="74" t="str">
        <x:v>M11</x:v>
      </x:c>
      <x:c r="C63" s="74" t="str">
        <x:v>CAIGUAN</x:v>
      </x:c>
      <x:c r="D63" s="215" t="n">
        <x:v>57</x:v>
      </x:c>
      <x:c r="E63" s="74" t="str">
        <x:v>V1.0</x:v>
      </x:c>
      <x:c r="F63" s="68" t="str">
        <x:v>财星必须有效且能生正官</x:v>
      </x:c>
      <x:c r="G63" s="82" t="str">
        <x:v>结构层</x:v>
      </x:c>
      <x:c r="H63" s="82" t="str">
        <x:v>生化型</x:v>
      </x:c>
      <x:c r="I63" s="68" t="str">
        <x:v>财生官</x:v>
      </x:c>
      <x:c r="J63" s="68" t="str">
        <x:v>财星、正官</x:v>
      </x:c>
      <x:c r="K63" s="68" t="str">
        <x:v>财星有效</x:v>
      </x:c>
      <x:c r="L63" s="68" t="str">
        <x:v>正官有效并能承接财生</x:v>
      </x:c>
      <x:c r="M63" s="68" t="str">
        <x:v>财→官路径连续</x:v>
      </x:c>
      <x:c r="N63" s="68" t="str">
        <x:v>相关十神均以M10有效力量为准，且不存在决定性失衡</x:v>
      </x:c>
      <x:c r="O63" s="68" t="str">
        <x:v>结合M09日主承载判断</x:v>
      </x:c>
      <x:c r="P63" s="68" t="str">
        <x:v>主体、客体、作用路径与力量匹配均达到最低要求</x:v>
      </x:c>
      <x:c r="Q63" s="68" t="str">
        <x:v>相关十神有根、有源、透达、清纯且关键通路稳定</x:v>
      </x:c>
      <x:c r="R63" s="90" t="str">
        <x:v>关键十神被合绊、被制、改性、失效或力量严重失衡</x:v>
      </x:c>
      <x:c r="S63" s="68" t="str">
        <x:v>存在第三十神恢复通路、清除破坏或重新形成平衡</x:v>
      </x:c>
      <x:c r="T63" s="90" t="str">
        <x:v>任一核心十神失效，或不存在真实作用路径</x:v>
      </x:c>
      <x:c r="U63" s="68" t="str">
        <x:v>特殊格局、从化或月令格局另转M14/M15复审</x:v>
      </x:c>
      <x:c r="V63" s="84" t="str">
        <x:v>基本成立</x:v>
      </x:c>
      <x:c r="W63" s="84" t="str">
        <x:v>增强正官力量</x:v>
      </x:c>
      <x:c r="X63" s="82" t="str">
        <x:v>条件性</x:v>
      </x:c>
      <x:c r="Y63" s="68" t="str">
        <x:v>财官相生候选</x:v>
      </x:c>
      <x:c r="Z63" s="84" t="str">
        <x:v>财生官_成立条件</x:v>
      </x:c>
      <x:c r="AA63" s="84" t="str">
        <x:v>财生官：当主体、客体、路径与力量匹配满足最低标准时，判“基本成立”；是否上升为格局转M14/M15。</x:v>
      </x:c>
      <x:c r="AB63" s="82" t="str">
        <x:v>较高</x:v>
      </x:c>
      <x:c r="AC63" s="82" t="str">
        <x:v>现代综合</x:v>
      </x:c>
      <x:c r="AD63" s="68" t="str">
        <x:v>十神同时出现不等于组合成立。M11须同时验证核心十神有效性、作用路径、力量匹配、日主承载、破坏因素与救应；组合成立也不等于格局成立。</x:v>
      </x:c>
      <x:c r="AE63" s="68" t="str">
        <x:v>财星有效；正官有效并能承接财生；作用路径稳定且无关键破坏，可按“财生官”记录。</x:v>
      </x:c>
      <x:c r="AF63" s="90" t="str">
        <x:v>仅因“财星、正官”同时出现，但核心十神无力、无作用路径或被关键因素破坏，不能判“财生官”成立。</x:v>
      </x:c>
      <x:c r="AG63" s="68" t="str">
        <x:v>https://zh.wikisource.org/zh-hans/%E6%B7%B5%E6%B5%B7%E5%AD%90%E5%B9%B3 ; https://zh.wikisource.org/wiki/%E6%BB%B4%E5%A4%A9%E9%AB%93%E9%97%A1%E5%BE%AE</x:v>
      </x:c>
      <x:c r="AH63" s="82" t="str">
        <x:v>采用</x:v>
      </x:c>
      <x:c r="AI63" s="82" t="str">
        <x:v>初审</x:v>
      </x:c>
      <x:c r="AJ63" s="87" t="n">
        <x:v>46255</x:v>
      </x:c>
    </x:row>
    <x:row r="64">
      <x:c r="A64" s="72" t="str">
        <x:f>IF(OR(C64="",D64=""),"",B64&amp;"-"&amp;UPPER(C64)&amp;"-"&amp;TEXT(D64,"0000")&amp;"-"&amp;E64)</x:f>
        <x:v>M11-CAIGUAN-0058-V1.0</x:v>
      </x:c>
      <x:c r="B64" s="74" t="str">
        <x:v>M11</x:v>
      </x:c>
      <x:c r="C64" s="74" t="str">
        <x:v>CAIGUAN</x:v>
      </x:c>
      <x:c r="D64" s="215" t="n">
        <x:v>58</x:v>
      </x:c>
      <x:c r="E64" s="74" t="str">
        <x:v>V1.0</x:v>
      </x:c>
      <x:c r="F64" s="68" t="str">
        <x:v>财星有效生七杀时形成生杀链</x:v>
      </x:c>
      <x:c r="G64" s="82" t="str">
        <x:v>结构层</x:v>
      </x:c>
      <x:c r="H64" s="82" t="str">
        <x:v>生化型</x:v>
      </x:c>
      <x:c r="I64" s="68" t="str">
        <x:v>财生杀</x:v>
      </x:c>
      <x:c r="J64" s="68" t="str">
        <x:v>财星、七杀</x:v>
      </x:c>
      <x:c r="K64" s="68" t="str">
        <x:v>财星有效</x:v>
      </x:c>
      <x:c r="L64" s="68" t="str">
        <x:v>七杀有效</x:v>
      </x:c>
      <x:c r="M64" s="68" t="str">
        <x:v>财→杀路径连续</x:v>
      </x:c>
      <x:c r="N64" s="68" t="str">
        <x:v>相关十神均以M10有效力量为准，且不存在决定性失衡</x:v>
      </x:c>
      <x:c r="O64" s="68" t="str">
        <x:v>结合M09日主承载判断</x:v>
      </x:c>
      <x:c r="P64" s="68" t="str">
        <x:v>主体、客体、作用路径与力量匹配均达到最低要求</x:v>
      </x:c>
      <x:c r="Q64" s="68" t="str">
        <x:v>相关十神有根、有源、透达、清纯且关键通路稳定</x:v>
      </x:c>
      <x:c r="R64" s="90" t="str">
        <x:v>关键十神被合绊、被制、改性、失效或力量严重失衡</x:v>
      </x:c>
      <x:c r="S64" s="68" t="str">
        <x:v>存在第三十神恢复通路、清除破坏或重新形成平衡</x:v>
      </x:c>
      <x:c r="T64" s="90" t="str">
        <x:v>任一核心十神失效，或不存在真实作用路径</x:v>
      </x:c>
      <x:c r="U64" s="68" t="str">
        <x:v>特殊格局、从化或月令格局另转M14/M15复审</x:v>
      </x:c>
      <x:c r="V64" s="84" t="str">
        <x:v>基本成立</x:v>
      </x:c>
      <x:c r="W64" s="84" t="str">
        <x:v>增强七杀压力或权力结构</x:v>
      </x:c>
      <x:c r="X64" s="82" t="str">
        <x:v>条件性</x:v>
      </x:c>
      <x:c r="Y64" s="68" t="str">
        <x:v>财滋杀候选</x:v>
      </x:c>
      <x:c r="Z64" s="84" t="str">
        <x:v>财生杀_成立条件</x:v>
      </x:c>
      <x:c r="AA64" s="84" t="str">
        <x:v>财生杀：当主体、客体、路径与力量匹配满足最低标准时，判“基本成立”；是否上升为格局转M14/M15。</x:v>
      </x:c>
      <x:c r="AB64" s="82" t="str">
        <x:v>较高</x:v>
      </x:c>
      <x:c r="AC64" s="82" t="str">
        <x:v>现代综合</x:v>
      </x:c>
      <x:c r="AD64" s="68" t="str">
        <x:v>十神同时出现不等于组合成立。M11须同时验证核心十神有效性、作用路径、力量匹配、日主承载、破坏因素与救应；组合成立也不等于格局成立。</x:v>
      </x:c>
      <x:c r="AE64" s="68" t="str">
        <x:v>财星有效；七杀有效；作用路径稳定且无关键破坏，可按“财生杀”记录。</x:v>
      </x:c>
      <x:c r="AF64" s="90" t="str">
        <x:v>仅因“财星、七杀”同时出现，但核心十神无力、无作用路径或被关键因素破坏，不能判“财生杀”成立。</x:v>
      </x:c>
      <x:c r="AG64" s="68" t="str">
        <x:v>https://zh.wikisource.org/zh-hans/%E6%B7%B5%E6%B5%B7%E5%AD%90%E5%B9%B3 ; https://zh.wikisource.org/wiki/%E6%BB%B4%E5%A4%A9%E9%AB%93%E9%97%A1%E5%BE%AE</x:v>
      </x:c>
      <x:c r="AH64" s="82" t="str">
        <x:v>采用</x:v>
      </x:c>
      <x:c r="AI64" s="82" t="str">
        <x:v>初审</x:v>
      </x:c>
      <x:c r="AJ64" s="87" t="n">
        <x:v>46255</x:v>
      </x:c>
    </x:row>
    <x:row r="65">
      <x:c r="A65" s="72" t="str">
        <x:f>IF(OR(C65="",D65=""),"",B65&amp;"-"&amp;UPPER(C65)&amp;"-"&amp;TEXT(D65,"0000")&amp;"-"&amp;E65)</x:f>
        <x:v>M11-CAIGUAN-0059-V1.0</x:v>
      </x:c>
      <x:c r="B65" s="74" t="str">
        <x:v>M11</x:v>
      </x:c>
      <x:c r="C65" s="74" t="str">
        <x:v>CAIGUAN</x:v>
      </x:c>
      <x:c r="D65" s="215" t="n">
        <x:v>59</x:v>
      </x:c>
      <x:c r="E65" s="74" t="str">
        <x:v>V1.0</x:v>
      </x:c>
      <x:c r="F65" s="68" t="str">
        <x:v>财官印连续链必须三段有效</x:v>
      </x:c>
      <x:c r="G65" s="82" t="str">
        <x:v>结构层</x:v>
      </x:c>
      <x:c r="H65" s="82" t="str">
        <x:v>生化型</x:v>
      </x:c>
      <x:c r="I65" s="68" t="str">
        <x:v>财官印相生</x:v>
      </x:c>
      <x:c r="J65" s="68" t="str">
        <x:v>财星、官星、印星</x:v>
      </x:c>
      <x:c r="K65" s="68" t="str">
        <x:v>财生官有效</x:v>
      </x:c>
      <x:c r="L65" s="68" t="str">
        <x:v>官生印、印生身也有效</x:v>
      </x:c>
      <x:c r="M65" s="68" t="str">
        <x:v>财→官→印→身连续</x:v>
      </x:c>
      <x:c r="N65" s="68" t="str">
        <x:v>相关十神均以M10有效力量为准，且不存在决定性失衡</x:v>
      </x:c>
      <x:c r="O65" s="68" t="str">
        <x:v>结合M09日主承载判断</x:v>
      </x:c>
      <x:c r="P65" s="68" t="str">
        <x:v>财、官、印三者有效且链路不被切断</x:v>
      </x:c>
      <x:c r="Q65" s="68" t="str">
        <x:v>相关十神有根、有源、透达、清纯且关键通路稳定</x:v>
      </x:c>
      <x:c r="R65" s="90" t="str">
        <x:v>关键十神被合绊、被制、改性、失效或力量严重失衡</x:v>
      </x:c>
      <x:c r="S65" s="68" t="str">
        <x:v>存在第三十神恢复通路、清除破坏或重新形成平衡</x:v>
      </x:c>
      <x:c r="T65" s="90" t="str">
        <x:v>任一核心十神失效，或不存在真实作用路径</x:v>
      </x:c>
      <x:c r="U65" s="68" t="str">
        <x:v>特殊格局、从化或月令格局另转M14/M15复审</x:v>
      </x:c>
      <x:c r="V65" s="84" t="str">
        <x:v>明显成立</x:v>
      </x:c>
      <x:c r="W65" s="84" t="str">
        <x:v>形成连续生化链</x:v>
      </x:c>
      <x:c r="X65" s="82" t="str">
        <x:v>条件性</x:v>
      </x:c>
      <x:c r="Y65" s="68" t="str">
        <x:v>财官印相生候选</x:v>
      </x:c>
      <x:c r="Z65" s="84" t="str">
        <x:v>财官印相生_成立条件</x:v>
      </x:c>
      <x:c r="AA65" s="84" t="str">
        <x:v>财官印相生：当主体、客体、路径与力量匹配满足最低标准时，判“明显成立”；是否上升为格局转M14/M15。</x:v>
      </x:c>
      <x:c r="AB65" s="82" t="str">
        <x:v>较高</x:v>
      </x:c>
      <x:c r="AC65" s="82" t="str">
        <x:v>现代综合</x:v>
      </x:c>
      <x:c r="AD65" s="68" t="str">
        <x:v>十神同时出现不等于组合成立。M11须同时验证核心十神有效性、作用路径、力量匹配、日主承载、破坏因素与救应；组合成立也不等于格局成立。</x:v>
      </x:c>
      <x:c r="AE65" s="68" t="str">
        <x:v>财生官有效；官生印、印生身也有效；作用路径稳定且无关键破坏，可按“财官印相生”记录。</x:v>
      </x:c>
      <x:c r="AF65" s="90" t="str">
        <x:v>仅因“财星、官星、印星”同时出现，但核心十神无力、无作用路径或被关键因素破坏，不能判“财官印相生”成立。</x:v>
      </x:c>
      <x:c r="AG65" s="68" t="str">
        <x:v>https://zh.wikisource.org/zh-hans/%E6%B7%B5%E6%B5%B7%E5%AD%90%E5%B9%B3 ; https://zh.wikisource.org/wiki/%E6%BB%B4%E5%A4%A9%E9%AB%93%E9%97%A1%E5%BE%AE</x:v>
      </x:c>
      <x:c r="AH65" s="82" t="str">
        <x:v>采用</x:v>
      </x:c>
      <x:c r="AI65" s="82" t="str">
        <x:v>初审</x:v>
      </x:c>
      <x:c r="AJ65" s="87" t="n">
        <x:v>46255</x:v>
      </x:c>
    </x:row>
    <x:row r="66">
      <x:c r="A66" s="72" t="str">
        <x:f>IF(OR(C66="",D66=""),"",B66&amp;"-"&amp;UPPER(C66)&amp;"-"&amp;TEXT(D66,"0000")&amp;"-"&amp;E66)</x:f>
        <x:v>M11-CAIGUAN-0060-V1.0</x:v>
      </x:c>
      <x:c r="B66" s="74" t="str">
        <x:v>M11</x:v>
      </x:c>
      <x:c r="C66" s="74" t="str">
        <x:v>CAIGUAN</x:v>
      </x:c>
      <x:c r="D66" s="215" t="n">
        <x:v>60</x:v>
      </x:c>
      <x:c r="E66" s="74" t="str">
        <x:v>V1.0</x:v>
      </x:c>
      <x:c r="F66" s="68" t="str">
        <x:v>官弱无根时财生官效果有限</x:v>
      </x:c>
      <x:c r="G66" s="82" t="str">
        <x:v>结构层</x:v>
      </x:c>
      <x:c r="H66" s="82" t="str">
        <x:v>生化型</x:v>
      </x:c>
      <x:c r="I66" s="68" t="str">
        <x:v>财官相生</x:v>
      </x:c>
      <x:c r="J66" s="68" t="str">
        <x:v>财星、正官</x:v>
      </x:c>
      <x:c r="K66" s="68" t="str">
        <x:v>财星旺</x:v>
      </x:c>
      <x:c r="L66" s="68" t="str">
        <x:v>正官弱、无根或被伤官制</x:v>
      </x:c>
      <x:c r="M66" s="68" t="str">
        <x:v>直接或可达的生克制化路径成立</x:v>
      </x:c>
      <x:c r="N66" s="68" t="str">
        <x:v>相关十神均以M10有效力量为准，且不存在决定性失衡</x:v>
      </x:c>
      <x:c r="O66" s="68" t="str">
        <x:v>结合M09日主承载判断</x:v>
      </x:c>
      <x:c r="P66" s="68" t="str">
        <x:v>主体、客体、作用路径与力量匹配均达到最低要求</x:v>
      </x:c>
      <x:c r="Q66" s="68" t="str">
        <x:v>相关十神有根、有源、透达、清纯且关键通路稳定</x:v>
      </x:c>
      <x:c r="R66" s="90" t="str">
        <x:v>关键十神被合绊、被制、改性、失效或力量严重失衡</x:v>
      </x:c>
      <x:c r="S66" s="68" t="str">
        <x:v>存在第三十神恢复通路、清除破坏或重新形成平衡</x:v>
      </x:c>
      <x:c r="T66" s="90" t="str">
        <x:v>任一核心十神失效，或不存在真实作用路径</x:v>
      </x:c>
      <x:c r="U66" s="68" t="str">
        <x:v>特殊格局、从化或月令格局另转M14/M15复审</x:v>
      </x:c>
      <x:c r="V66" s="84" t="str">
        <x:v>弱成立</x:v>
      </x:c>
      <x:c r="W66" s="84" t="str">
        <x:v>形成局部生化、制化或承载结构</x:v>
      </x:c>
      <x:c r="X66" s="82" t="str">
        <x:v>否</x:v>
      </x:c>
      <x:c r="Y66" s="68" t="str">
        <x:v>对应格局候选转M14</x:v>
      </x:c>
      <x:c r="Z66" s="84" t="str">
        <x:v>财官相生_官弱</x:v>
      </x:c>
      <x:c r="AA66" s="84" t="str">
        <x:v>财官相生：当主体、客体、路径与力量匹配满足最低标准时，判“弱成立”；是否上升为格局转M14/M15。</x:v>
      </x:c>
      <x:c r="AB66" s="82" t="str">
        <x:v>较高</x:v>
      </x:c>
      <x:c r="AC66" s="82" t="str">
        <x:v>现代综合</x:v>
      </x:c>
      <x:c r="AD66" s="68" t="str">
        <x:v>十神同时出现不等于组合成立。M11须同时验证核心十神有效性、作用路径、力量匹配、日主承载、破坏因素与救应；组合成立也不等于格局成立。</x:v>
      </x:c>
      <x:c r="AE66" s="68" t="str">
        <x:v>财星旺；正官弱、无根或被伤官制；作用路径稳定且无关键破坏，可按“财官相生”记录。</x:v>
      </x:c>
      <x:c r="AF66" s="90" t="str">
        <x:v>仅因“财星、正官”同时出现，但核心十神无力、无作用路径或被关键因素破坏，不能判“财官相生”成立。</x:v>
      </x:c>
      <x:c r="AG66" s="68" t="str">
        <x:v>https://zh.wikisource.org/zh-hans/%E6%B7%B5%E6%B5%B7%E5%AD%90%E5%B9%B3 ; https://zh.wikisource.org/wiki/%E6%BB%B4%E5%A4%A9%E9%AB%93%E9%97%A1%E5%BE%AE</x:v>
      </x:c>
      <x:c r="AH66" s="82" t="str">
        <x:v>采用</x:v>
      </x:c>
      <x:c r="AI66" s="82" t="str">
        <x:v>初审</x:v>
      </x:c>
      <x:c r="AJ66" s="87" t="n">
        <x:v>46255</x:v>
      </x:c>
    </x:row>
    <x:row r="67">
      <x:c r="A67" s="72" t="str">
        <x:f>IF(OR(C67="",D67=""),"",B67&amp;"-"&amp;UPPER(C67)&amp;"-"&amp;TEXT(D67,"0000")&amp;"-"&amp;E67)</x:f>
        <x:v>M11-CAIGUAN-0061-V1.0</x:v>
      </x:c>
      <x:c r="B67" s="74" t="str">
        <x:v>M11</x:v>
      </x:c>
      <x:c r="C67" s="74" t="str">
        <x:v>CAIGUAN</x:v>
      </x:c>
      <x:c r="D67" s="215" t="n">
        <x:v>61</x:v>
      </x:c>
      <x:c r="E67" s="74" t="str">
        <x:v>V1.0</x:v>
      </x:c>
      <x:c r="F67" s="68" t="str">
        <x:v>身弱时财生杀可能加重双重负荷</x:v>
      </x:c>
      <x:c r="G67" s="82" t="str">
        <x:v>结构层</x:v>
      </x:c>
      <x:c r="H67" s="82" t="str">
        <x:v>生化型</x:v>
      </x:c>
      <x:c r="I67" s="68" t="str">
        <x:v>财生杀</x:v>
      </x:c>
      <x:c r="J67" s="68" t="str">
        <x:v>财星、七杀</x:v>
      </x:c>
      <x:c r="K67" s="68" t="str">
        <x:v>日主弱或偏弱</x:v>
      </x:c>
      <x:c r="L67" s="68" t="str">
        <x:v>财既耗身又生七杀制身</x:v>
      </x:c>
      <x:c r="M67" s="68" t="str">
        <x:v>直接或可达的生克制化路径成立</x:v>
      </x:c>
      <x:c r="N67" s="68" t="str">
        <x:v>相关十神均以M10有效力量为准，且不存在决定性失衡</x:v>
      </x:c>
      <x:c r="O67" s="68" t="str">
        <x:v>若无印比救应，组合虽成立但对日主压力显著</x:v>
      </x:c>
      <x:c r="P67" s="68" t="str">
        <x:v>主体、客体、作用路径与力量匹配均达到最低要求</x:v>
      </x:c>
      <x:c r="Q67" s="68" t="str">
        <x:v>相关十神有根、有源、透达、清纯且关键通路稳定</x:v>
      </x:c>
      <x:c r="R67" s="90" t="str">
        <x:v>关键十神被合绊、被制、改性、失效或力量严重失衡</x:v>
      </x:c>
      <x:c r="S67" s="68" t="str">
        <x:v>存在第三十神恢复通路、清除破坏或重新形成平衡</x:v>
      </x:c>
      <x:c r="T67" s="90" t="str">
        <x:v>任一核心十神失效，或不存在真实作用路径</x:v>
      </x:c>
      <x:c r="U67" s="68" t="str">
        <x:v>特殊格局、从化或月令格局另转M14/M15复审</x:v>
      </x:c>
      <x:c r="V67" s="84" t="str">
        <x:v>基本成立</x:v>
      </x:c>
      <x:c r="W67" s="84" t="str">
        <x:v>耗身并增杀</x:v>
      </x:c>
      <x:c r="X67" s="82" t="str">
        <x:v>条件性</x:v>
      </x:c>
      <x:c r="Y67" s="68" t="str">
        <x:v>对应格局候选转M14</x:v>
      </x:c>
      <x:c r="Z67" s="84" t="str">
        <x:v>财生杀_身弱压力</x:v>
      </x:c>
      <x:c r="AA67" s="84" t="str">
        <x:v>财生杀：当主体、客体、路径与力量匹配满足最低标准时，判“基本成立”；是否上升为格局转M14/M15。</x:v>
      </x:c>
      <x:c r="AB67" s="82" t="str">
        <x:v>较高</x:v>
      </x:c>
      <x:c r="AC67" s="82" t="str">
        <x:v>现代综合</x:v>
      </x:c>
      <x:c r="AD67" s="68" t="str">
        <x:v>十神同时出现不等于组合成立。M11须同时验证核心十神有效性、作用路径、力量匹配、日主承载、破坏因素与救应；组合成立也不等于格局成立。</x:v>
      </x:c>
      <x:c r="AE67" s="68" t="str">
        <x:v>日主弱或偏弱；财既耗身又生七杀制身；作用路径稳定且无关键破坏，可按“财生杀”记录。</x:v>
      </x:c>
      <x:c r="AF67" s="90" t="str">
        <x:v>仅因“财星、七杀”同时出现，但核心十神无力、无作用路径或被关键因素破坏，不能判“财生杀”成立。</x:v>
      </x:c>
      <x:c r="AG67" s="68" t="str">
        <x:v>https://zh.wikisource.org/zh-hans/%E6%B7%B5%E6%B5%B7%E5%AD%90%E5%B9%B3 ; https://zh.wikisource.org/wiki/%E6%BB%B4%E5%A4%A9%E9%AB%93%E9%97%A1%E5%BE%AE</x:v>
      </x:c>
      <x:c r="AH67" s="82" t="str">
        <x:v>采用</x:v>
      </x:c>
      <x:c r="AI67" s="82" t="str">
        <x:v>初审</x:v>
      </x:c>
      <x:c r="AJ67" s="87" t="n">
        <x:v>46255</x:v>
      </x:c>
    </x:row>
    <x:row r="68">
      <x:c r="A68" s="72" t="str">
        <x:f>IF(OR(C68="",D68=""),"",B68&amp;"-"&amp;UPPER(C68)&amp;"-"&amp;TEXT(D68,"0000")&amp;"-"&amp;E68)</x:f>
        <x:v>M11-CAIGUAN-0062-V1.0</x:v>
      </x:c>
      <x:c r="B68" s="74" t="str">
        <x:v>M11</x:v>
      </x:c>
      <x:c r="C68" s="74" t="str">
        <x:v>CAIGUAN</x:v>
      </x:c>
      <x:c r="D68" s="215" t="n">
        <x:v>62</x:v>
      </x:c>
      <x:c r="E68" s="74" t="str">
        <x:v>V1.0</x:v>
      </x:c>
      <x:c r="F68" s="68" t="str">
        <x:v>财旺破印会破坏财官印连续链</x:v>
      </x:c>
      <x:c r="G68" s="82" t="str">
        <x:v>结构层</x:v>
      </x:c>
      <x:c r="H68" s="82" t="str">
        <x:v>生化型</x:v>
      </x:c>
      <x:c r="I68" s="68" t="str">
        <x:v>财官印相生</x:v>
      </x:c>
      <x:c r="J68" s="68" t="str">
        <x:v>财星、官星、印星</x:v>
      </x:c>
      <x:c r="K68" s="68" t="str">
        <x:v>财星既生官又直接强制印星</x:v>
      </x:c>
      <x:c r="L68" s="68" t="str">
        <x:v>印星成为链路薄弱点</x:v>
      </x:c>
      <x:c r="M68" s="68" t="str">
        <x:v>直接或可达的生克制化路径成立</x:v>
      </x:c>
      <x:c r="N68" s="68" t="str">
        <x:v>相关十神均以M10有效力量为准，且不存在决定性失衡</x:v>
      </x:c>
      <x:c r="O68" s="68" t="str">
        <x:v>结合M09日主承载判断</x:v>
      </x:c>
      <x:c r="P68" s="68" t="str">
        <x:v>主体、客体、作用路径与力量匹配均达到最低要求</x:v>
      </x:c>
      <x:c r="Q68" s="68" t="str">
        <x:v>相关十神有根、有源、透达、清纯且关键通路稳定</x:v>
      </x:c>
      <x:c r="R68" s="90" t="str">
        <x:v>财坏印效应大于官生印补充</x:v>
      </x:c>
      <x:c r="S68" s="68" t="str">
        <x:v>存在第三十神恢复通路、清除破坏或重新形成平衡</x:v>
      </x:c>
      <x:c r="T68" s="90" t="str">
        <x:v>任一核心十神失效，或不存在真实作用路径</x:v>
      </x:c>
      <x:c r="U68" s="68" t="str">
        <x:v>特殊格局、从化或月令格局另转M14/M15复审</x:v>
      </x:c>
      <x:c r="V68" s="84" t="str">
        <x:v>弱成立</x:v>
      </x:c>
      <x:c r="W68" s="84" t="str">
        <x:v>形成局部生化、制化或承载结构</x:v>
      </x:c>
      <x:c r="X68" s="82" t="str">
        <x:v>条件性</x:v>
      </x:c>
      <x:c r="Y68" s="68" t="str">
        <x:v>对应格局候选转M14</x:v>
      </x:c>
      <x:c r="Z68" s="84" t="str">
        <x:v>财官印_财破印</x:v>
      </x:c>
      <x:c r="AA68" s="84" t="str">
        <x:v>财官印相生：当主体、客体、路径与力量匹配满足最低标准时，判“弱成立”；是否上升为格局转M14/M15。</x:v>
      </x:c>
      <x:c r="AB68" s="82" t="str">
        <x:v>较高</x:v>
      </x:c>
      <x:c r="AC68" s="82" t="str">
        <x:v>现代综合</x:v>
      </x:c>
      <x:c r="AD68" s="68" t="str">
        <x:v>十神同时出现不等于组合成立。M11须同时验证核心十神有效性、作用路径、力量匹配、日主承载、破坏因素与救应；组合成立也不等于格局成立。</x:v>
      </x:c>
      <x:c r="AE68" s="68" t="str">
        <x:v>财星既生官又直接强制印星；印星成为链路薄弱点；作用路径稳定且无关键破坏，可按“财官印相生”记录。</x:v>
      </x:c>
      <x:c r="AF68" s="90" t="str">
        <x:v>仅因“财星、官星、印星”同时出现，但核心十神无力、无作用路径或被关键因素破坏，不能判“财官印相生”成立。</x:v>
      </x:c>
      <x:c r="AG68" s="68" t="str">
        <x:v>https://zh.wikisource.org/zh-hans/%E6%B7%B5%E6%B5%B7%E5%AD%90%E5%B9%B3 ; https://zh.wikisource.org/wiki/%E6%BB%B4%E5%A4%A9%E9%AB%93%E9%97%A1%E5%BE%AE</x:v>
      </x:c>
      <x:c r="AH68" s="82" t="str">
        <x:v>采用</x:v>
      </x:c>
      <x:c r="AI68" s="82" t="str">
        <x:v>初审</x:v>
      </x:c>
      <x:c r="AJ68" s="87" t="n">
        <x:v>46255</x:v>
      </x:c>
    </x:row>
    <x:row r="69">
      <x:c r="A69" s="72" t="str">
        <x:f>IF(OR(C69="",D69=""),"",B69&amp;"-"&amp;UPPER(C69)&amp;"-"&amp;TEXT(D69,"0000")&amp;"-"&amp;E69)</x:f>
        <x:v>M11-CAIGUAN-0063-V1.0</x:v>
      </x:c>
      <x:c r="B69" s="74" t="str">
        <x:v>M11</x:v>
      </x:c>
      <x:c r="C69" s="74" t="str">
        <x:v>CAIGUAN</x:v>
      </x:c>
      <x:c r="D69" s="215" t="n">
        <x:v>63</x:v>
      </x:c>
      <x:c r="E69" s="74" t="str">
        <x:v>V1.0</x:v>
      </x:c>
      <x:c r="F69" s="68" t="str">
        <x:v>身旺任财官时组合承载增强</x:v>
      </x:c>
      <x:c r="G69" s="82" t="str">
        <x:v>结构层</x:v>
      </x:c>
      <x:c r="H69" s="82" t="str">
        <x:v>生化型</x:v>
      </x:c>
      <x:c r="I69" s="68" t="str">
        <x:v>财官相生</x:v>
      </x:c>
      <x:c r="J69" s="68" t="str">
        <x:v>财星、正官</x:v>
      </x:c>
      <x:c r="K69" s="68" t="str">
        <x:v>日主旺或中和偏旺</x:v>
      </x:c>
      <x:c r="L69" s="68" t="str">
        <x:v>财官均有效且不过度</x:v>
      </x:c>
      <x:c r="M69" s="68" t="str">
        <x:v>直接或可达的生克制化路径成立</x:v>
      </x:c>
      <x:c r="N69" s="68" t="str">
        <x:v>相关十神均以M10有效力量为准，且不存在决定性失衡</x:v>
      </x:c>
      <x:c r="O69" s="68" t="str">
        <x:v>日主有能力承受财耗和官制</x:v>
      </x:c>
      <x:c r="P69" s="68" t="str">
        <x:v>主体、客体、作用路径与力量匹配均达到最低要求</x:v>
      </x:c>
      <x:c r="Q69" s="68" t="str">
        <x:v>相关十神有根、有源、透达、清纯且关键通路稳定</x:v>
      </x:c>
      <x:c r="R69" s="90" t="str">
        <x:v>关键十神被合绊、被制、改性、失效或力量严重失衡</x:v>
      </x:c>
      <x:c r="S69" s="68" t="str">
        <x:v>存在第三十神恢复通路、清除破坏或重新形成平衡</x:v>
      </x:c>
      <x:c r="T69" s="90" t="str">
        <x:v>任一核心十神失效，或不存在真实作用路径</x:v>
      </x:c>
      <x:c r="U69" s="68" t="str">
        <x:v>特殊格局、从化或月令格局另转M14/M15复审</x:v>
      </x:c>
      <x:c r="V69" s="84" t="str">
        <x:v>明显成立</x:v>
      </x:c>
      <x:c r="W69" s="84" t="str">
        <x:v>形成局部生化、制化或承载结构</x:v>
      </x:c>
      <x:c r="X69" s="82" t="str">
        <x:v>条件性</x:v>
      </x:c>
      <x:c r="Y69" s="68" t="str">
        <x:v>对应格局候选转M14</x:v>
      </x:c>
      <x:c r="Z69" s="84" t="str">
        <x:v>财官相生_身旺承载</x:v>
      </x:c>
      <x:c r="AA69" s="84" t="str">
        <x:v>财官相生：当主体、客体、路径与力量匹配满足最低标准时，判“明显成立”；是否上升为格局转M14/M15。</x:v>
      </x:c>
      <x:c r="AB69" s="82" t="str">
        <x:v>较高</x:v>
      </x:c>
      <x:c r="AC69" s="82" t="str">
        <x:v>现代综合</x:v>
      </x:c>
      <x:c r="AD69" s="68" t="str">
        <x:v>十神同时出现不等于组合成立。M11须同时验证核心十神有效性、作用路径、力量匹配、日主承载、破坏因素与救应；组合成立也不等于格局成立。</x:v>
      </x:c>
      <x:c r="AE69" s="68" t="str">
        <x:v>日主旺或中和偏旺；财官均有效且不过度；作用路径稳定且无关键破坏，可按“财官相生”记录。</x:v>
      </x:c>
      <x:c r="AF69" s="90" t="str">
        <x:v>仅因“财星、正官”同时出现，但核心十神无力、无作用路径或被关键因素破坏，不能判“财官相生”成立。</x:v>
      </x:c>
      <x:c r="AG69" s="68" t="str">
        <x:v>https://zh.wikisource.org/zh-hans/%E6%B7%B5%E6%B5%B7%E5%AD%90%E5%B9%B3 ; https://zh.wikisource.org/wiki/%E6%BB%B4%E5%A4%A9%E9%AB%93%E9%97%A1%E5%BE%AE</x:v>
      </x:c>
      <x:c r="AH69" s="82" t="str">
        <x:v>采用</x:v>
      </x:c>
      <x:c r="AI69" s="82" t="str">
        <x:v>初审</x:v>
      </x:c>
      <x:c r="AJ69" s="87" t="n">
        <x:v>46255</x:v>
      </x:c>
    </x:row>
    <x:row r="70">
      <x:c r="A70" s="72" t="str">
        <x:f>IF(OR(C70="",D70=""),"",B70&amp;"-"&amp;UPPER(C70)&amp;"-"&amp;TEXT(D70,"0000")&amp;"-"&amp;E70)</x:f>
        <x:v>M11-CAIGUAN-0064-V1.0</x:v>
      </x:c>
      <x:c r="B70" s="74" t="str">
        <x:v>M11</x:v>
      </x:c>
      <x:c r="C70" s="74" t="str">
        <x:v>CAIGUAN</x:v>
      </x:c>
      <x:c r="D70" s="215" t="n">
        <x:v>64</x:v>
      </x:c>
      <x:c r="E70" s="74" t="str">
        <x:v>V1.0</x:v>
      </x:c>
      <x:c r="F70" s="68" t="str">
        <x:v>财官相生只是组合，不直接等同富贵</x:v>
      </x:c>
      <x:c r="G70" s="82" t="str">
        <x:v>结构层</x:v>
      </x:c>
      <x:c r="H70" s="82" t="str">
        <x:v>生化型</x:v>
      </x:c>
      <x:c r="I70" s="68" t="str">
        <x:v>财官相生</x:v>
      </x:c>
      <x:c r="J70" s="68" t="str">
        <x:v>财星、官星</x:v>
      </x:c>
      <x:c r="K70" s="68" t="str">
        <x:v>财官链已经成立</x:v>
      </x:c>
      <x:c r="L70" s="68" t="str">
        <x:v>格局清纯、月令、日主承载及用神尚未综合裁决</x:v>
      </x:c>
      <x:c r="M70" s="68" t="str">
        <x:v>直接或可达的生克制化路径成立</x:v>
      </x:c>
      <x:c r="N70" s="68" t="str">
        <x:v>相关十神均以M10有效力量为准，且不存在决定性失衡</x:v>
      </x:c>
      <x:c r="O70" s="68" t="str">
        <x:v>结合M09日主承载判断</x:v>
      </x:c>
      <x:c r="P70" s="68" t="str">
        <x:v>主体、客体、作用路径与力量匹配均达到最低要求</x:v>
      </x:c>
      <x:c r="Q70" s="68" t="str">
        <x:v>相关十神有根、有源、透达、清纯且关键通路稳定</x:v>
      </x:c>
      <x:c r="R70" s="90" t="str">
        <x:v>关键十神被合绊、被制、改性、失效或力量严重失衡</x:v>
      </x:c>
      <x:c r="S70" s="68" t="str">
        <x:v>存在第三十神恢复通路、清除破坏或重新形成平衡</x:v>
      </x:c>
      <x:c r="T70" s="90" t="str">
        <x:v>任一核心十神失效，或不存在真实作用路径</x:v>
      </x:c>
      <x:c r="U70" s="68" t="str">
        <x:v>特殊格局、从化或月令格局另转M14/M15复审</x:v>
      </x:c>
      <x:c r="V70" s="84" t="str">
        <x:v>基本成立</x:v>
      </x:c>
      <x:c r="W70" s="84" t="str">
        <x:v>形成结构资源，不直接推出现实成就</x:v>
      </x:c>
      <x:c r="X70" s="82" t="str">
        <x:v>条件性</x:v>
      </x:c>
      <x:c r="Y70" s="68" t="str">
        <x:v>财格/官格候选转M14</x:v>
      </x:c>
      <x:c r="Z70" s="84" t="str">
        <x:v>财官相生_价值边界</x:v>
      </x:c>
      <x:c r="AA70" s="84" t="str">
        <x:v>财官相生：当主体、客体、路径与力量匹配满足最低标准时，判“基本成立”；是否上升为格局转M14/M15。</x:v>
      </x:c>
      <x:c r="AB70" s="82" t="str">
        <x:v>较高</x:v>
      </x:c>
      <x:c r="AC70" s="82" t="str">
        <x:v>现代综合</x:v>
      </x:c>
      <x:c r="AD70" s="68" t="str">
        <x:v>十神同时出现不等于组合成立。M11须同时验证核心十神有效性、作用路径、力量匹配、日主承载、破坏因素与救应；组合成立也不等于格局成立。</x:v>
      </x:c>
      <x:c r="AE70" s="68" t="str">
        <x:v>财官链已经成立；格局清纯、月令、日主承载及用神尚未综合裁决；作用路径稳定且无关键破坏，可按“财官相生”记录。</x:v>
      </x:c>
      <x:c r="AF70" s="90" t="str">
        <x:v>仅因“财星、官星”同时出现，但核心十神无力、无作用路径或被关键因素破坏，不能判“财官相生”成立。</x:v>
      </x:c>
      <x:c r="AG70" s="68" t="str">
        <x:v>https://zh.wikisource.org/zh-hans/%E6%B7%B5%E6%B5%B7%E5%AD%90%E5%B9%B3 ; https://zh.wikisource.org/wiki/%E6%BB%B4%E5%A4%A9%E9%AB%93%E9%97%A1%E5%BE%AE</x:v>
      </x:c>
      <x:c r="AH70" s="82" t="str">
        <x:v>采用</x:v>
      </x:c>
      <x:c r="AI70" s="82" t="str">
        <x:v>初审</x:v>
      </x:c>
      <x:c r="AJ70" s="87" t="n">
        <x:v>46255</x:v>
      </x:c>
    </x:row>
    <x:row r="71">
      <x:c r="A71" s="72" t="str">
        <x:f>IF(OR(C71="",D71=""),"",B71&amp;"-"&amp;UPPER(C71)&amp;"-"&amp;TEXT(D71,"0000")&amp;"-"&amp;E71)</x:f>
        <x:v>M11-BALANCE-0065-V1.0</x:v>
      </x:c>
      <x:c r="B71" s="74" t="str">
        <x:v>M11</x:v>
      </x:c>
      <x:c r="C71" s="74" t="str">
        <x:v>BALANCE</x:v>
      </x:c>
      <x:c r="D71" s="215" t="n">
        <x:v>65</x:v>
      </x:c>
      <x:c r="E71" s="74" t="str">
        <x:v>V1.0</x:v>
      </x:c>
      <x:c r="F71" s="68" t="str">
        <x:v>日主与财星有效力量大体匹配</x:v>
      </x:c>
      <x:c r="G71" s="82" t="str">
        <x:v>结构层</x:v>
      </x:c>
      <x:c r="H71" s="82" t="str">
        <x:v>平衡承载型</x:v>
      </x:c>
      <x:c r="I71" s="68" t="str">
        <x:v>身财两停</x:v>
      </x:c>
      <x:c r="J71" s="68" t="str">
        <x:v>日主、财星</x:v>
      </x:c>
      <x:c r="K71" s="68" t="str">
        <x:v>M09日主达到中和至旺，并具稳定承载</x:v>
      </x:c>
      <x:c r="L71" s="68" t="str">
        <x:v>财星有效且不过强不过弱</x:v>
      </x:c>
      <x:c r="M71" s="68" t="str">
        <x:v>直接或可达的生克制化路径成立</x:v>
      </x:c>
      <x:c r="N71" s="68" t="str">
        <x:v>身与财不存在决定性失衡</x:v>
      </x:c>
      <x:c r="O71" s="68" t="str">
        <x:v>结合M09日主承载判断</x:v>
      </x:c>
      <x:c r="P71" s="68" t="str">
        <x:v>日主能任财、财也足以形成有效耗用</x:v>
      </x:c>
      <x:c r="Q71" s="68" t="str">
        <x:v>相关十神有根、有源、透达、清纯且关键通路稳定</x:v>
      </x:c>
      <x:c r="R71" s="90" t="str">
        <x:v>关键十神被合绊、被制、改性、失效或力量严重失衡</x:v>
      </x:c>
      <x:c r="S71" s="68" t="str">
        <x:v>存在第三十神恢复通路、清除破坏或重新形成平衡</x:v>
      </x:c>
      <x:c r="T71" s="90" t="str">
        <x:v>任一核心十神失效，或不存在真实作用路径</x:v>
      </x:c>
      <x:c r="U71" s="68" t="str">
        <x:v>特殊格局、从化或月令格局另转M14/M15复审</x:v>
      </x:c>
      <x:c r="V71" s="84" t="str">
        <x:v>基本成立</x:v>
      </x:c>
      <x:c r="W71" s="84" t="str">
        <x:v>身能任财且财有可用空间</x:v>
      </x:c>
      <x:c r="X71" s="82" t="str">
        <x:v>条件性</x:v>
      </x:c>
      <x:c r="Y71" s="68" t="str">
        <x:v>身财两停候选</x:v>
      </x:c>
      <x:c r="Z71" s="84" t="str">
        <x:v>身财两停_成立条件</x:v>
      </x:c>
      <x:c r="AA71" s="84" t="str">
        <x:v>身财两停：当主体、客体、路径与力量匹配满足最低标准时，判“基本成立”；是否上升为格局转M14/M15。</x:v>
      </x:c>
      <x:c r="AB71" s="82" t="str">
        <x:v>较高</x:v>
      </x:c>
      <x:c r="AC71" s="82" t="str">
        <x:v>现代综合</x:v>
      </x:c>
      <x:c r="AD71" s="68" t="str">
        <x:v>十神同时出现不等于组合成立。M11须同时验证核心十神有效性、作用路径、力量匹配、日主承载、破坏因素与救应；组合成立也不等于格局成立。</x:v>
      </x:c>
      <x:c r="AE71" s="68" t="str">
        <x:v>M09日主达到中和至旺，并具稳定承载；财星有效且不过强不过弱；作用路径稳定且无关键破坏，可按“身财两停”记录。</x:v>
      </x:c>
      <x:c r="AF71" s="90" t="str">
        <x:v>仅因“日主、财星”同时出现，但核心十神无力、无作用路径或被关键因素破坏，不能判“身财两停”成立。</x:v>
      </x:c>
      <x:c r="AG71" s="68" t="str">
        <x:v>https://zh.wikisource.org/zh-hans/%E6%B7%B5%E6%B5%B7%E5%AD%90%E5%B9%B3 ; https://zh.wikisource.org/wiki/%E6%BB%B4%E5%A4%A9%E9%AB%93%E9%97%A1%E5%BE%AE</x:v>
      </x:c>
      <x:c r="AH71" s="82" t="str">
        <x:v>采用</x:v>
      </x:c>
      <x:c r="AI71" s="82" t="str">
        <x:v>初审</x:v>
      </x:c>
      <x:c r="AJ71" s="87" t="n">
        <x:v>46255</x:v>
      </x:c>
    </x:row>
    <x:row r="72">
      <x:c r="A72" s="72" t="str">
        <x:f>IF(OR(C72="",D72=""),"",B72&amp;"-"&amp;UPPER(C72)&amp;"-"&amp;TEXT(D72,"0000")&amp;"-"&amp;E72)</x:f>
        <x:v>M11-BALANCE-0066-V1.0</x:v>
      </x:c>
      <x:c r="B72" s="74" t="str">
        <x:v>M11</x:v>
      </x:c>
      <x:c r="C72" s="74" t="str">
        <x:v>BALANCE</x:v>
      </x:c>
      <x:c r="D72" s="215" t="n">
        <x:v>66</x:v>
      </x:c>
      <x:c r="E72" s="74" t="str">
        <x:v>V1.0</x:v>
      </x:c>
      <x:c r="F72" s="68" t="str">
        <x:v>日主与正官制衡匹配</x:v>
      </x:c>
      <x:c r="G72" s="82" t="str">
        <x:v>结构层</x:v>
      </x:c>
      <x:c r="H72" s="82" t="str">
        <x:v>平衡承载型</x:v>
      </x:c>
      <x:c r="I72" s="68" t="str">
        <x:v>身官两停</x:v>
      </x:c>
      <x:c r="J72" s="68" t="str">
        <x:v>日主、正官</x:v>
      </x:c>
      <x:c r="K72" s="68" t="str">
        <x:v>日主有足够承载</x:v>
      </x:c>
      <x:c r="L72" s="68" t="str">
        <x:v>正官有力但不过度</x:v>
      </x:c>
      <x:c r="M72" s="68" t="str">
        <x:v>直接或可达的生克制化路径成立</x:v>
      </x:c>
      <x:c r="N72" s="68" t="str">
        <x:v>官制身与身承官大体平衡</x:v>
      </x:c>
      <x:c r="O72" s="68" t="str">
        <x:v>结合M09日主承载判断</x:v>
      </x:c>
      <x:c r="P72" s="68" t="str">
        <x:v>主体、客体、作用路径与力量匹配均达到最低要求</x:v>
      </x:c>
      <x:c r="Q72" s="68" t="str">
        <x:v>相关十神有根、有源、透达、清纯且关键通路稳定</x:v>
      </x:c>
      <x:c r="R72" s="90" t="str">
        <x:v>关键十神被合绊、被制、改性、失效或力量严重失衡</x:v>
      </x:c>
      <x:c r="S72" s="68" t="str">
        <x:v>存在第三十神恢复通路、清除破坏或重新形成平衡</x:v>
      </x:c>
      <x:c r="T72" s="90" t="str">
        <x:v>任一核心十神失效，或不存在真实作用路径</x:v>
      </x:c>
      <x:c r="U72" s="68" t="str">
        <x:v>特殊格局、从化或月令格局另转M14/M15复审</x:v>
      </x:c>
      <x:c r="V72" s="84" t="str">
        <x:v>基本成立</x:v>
      </x:c>
      <x:c r="W72" s="84" t="str">
        <x:v>形成稳定约束与承载</x:v>
      </x:c>
      <x:c r="X72" s="82" t="str">
        <x:v>条件性</x:v>
      </x:c>
      <x:c r="Y72" s="68" t="str">
        <x:v>身官两停候选</x:v>
      </x:c>
      <x:c r="Z72" s="84" t="str">
        <x:v>身官两停_成立条件</x:v>
      </x:c>
      <x:c r="AA72" s="84" t="str">
        <x:v>身官两停：当主体、客体、路径与力量匹配满足最低标准时，判“基本成立”；是否上升为格局转M14/M15。</x:v>
      </x:c>
      <x:c r="AB72" s="82" t="str">
        <x:v>较高</x:v>
      </x:c>
      <x:c r="AC72" s="82" t="str">
        <x:v>现代综合</x:v>
      </x:c>
      <x:c r="AD72" s="68" t="str">
        <x:v>十神同时出现不等于组合成立。M11须同时验证核心十神有效性、作用路径、力量匹配、日主承载、破坏因素与救应；组合成立也不等于格局成立。</x:v>
      </x:c>
      <x:c r="AE72" s="68" t="str">
        <x:v>日主有足够承载；正官有力但不过度；作用路径稳定且无关键破坏，可按“身官两停”记录。</x:v>
      </x:c>
      <x:c r="AF72" s="90" t="str">
        <x:v>仅因“日主、正官”同时出现，但核心十神无力、无作用路径或被关键因素破坏，不能判“身官两停”成立。</x:v>
      </x:c>
      <x:c r="AG72" s="68" t="str">
        <x:v>https://zh.wikisource.org/zh-hans/%E6%B7%B5%E6%B5%B7%E5%AD%90%E5%B9%B3 ; https://zh.wikisource.org/wiki/%E6%BB%B4%E5%A4%A9%E9%AB%93%E9%97%A1%E5%BE%AE</x:v>
      </x:c>
      <x:c r="AH72" s="82" t="str">
        <x:v>采用</x:v>
      </x:c>
      <x:c r="AI72" s="82" t="str">
        <x:v>初审</x:v>
      </x:c>
      <x:c r="AJ72" s="87" t="n">
        <x:v>46255</x:v>
      </x:c>
    </x:row>
    <x:row r="73">
      <x:c r="A73" s="72" t="str">
        <x:f>IF(OR(C73="",D73=""),"",B73&amp;"-"&amp;UPPER(C73)&amp;"-"&amp;TEXT(D73,"0000")&amp;"-"&amp;E73)</x:f>
        <x:v>M11-BALANCE-0067-V1.0</x:v>
      </x:c>
      <x:c r="B73" s="74" t="str">
        <x:v>M11</x:v>
      </x:c>
      <x:c r="C73" s="74" t="str">
        <x:v>BALANCE</x:v>
      </x:c>
      <x:c r="D73" s="215" t="n">
        <x:v>67</x:v>
      </x:c>
      <x:c r="E73" s="74" t="str">
        <x:v>V1.0</x:v>
      </x:c>
      <x:c r="F73" s="68" t="str">
        <x:v>日主与七杀压力匹配</x:v>
      </x:c>
      <x:c r="G73" s="82" t="str">
        <x:v>结构层</x:v>
      </x:c>
      <x:c r="H73" s="82" t="str">
        <x:v>平衡承载型</x:v>
      </x:c>
      <x:c r="I73" s="68" t="str">
        <x:v>身杀两停</x:v>
      </x:c>
      <x:c r="J73" s="68" t="str">
        <x:v>日主、七杀</x:v>
      </x:c>
      <x:c r="K73" s="68" t="str">
        <x:v>日主有根有势可承杀</x:v>
      </x:c>
      <x:c r="L73" s="68" t="str">
        <x:v>七杀有力但未超过承载</x:v>
      </x:c>
      <x:c r="M73" s="68" t="str">
        <x:v>直接或可达的生克制化路径成立</x:v>
      </x:c>
      <x:c r="N73" s="68" t="str">
        <x:v>身杀两方均有权且不过度</x:v>
      </x:c>
      <x:c r="O73" s="68" t="str">
        <x:v>结合M09日主承载判断</x:v>
      </x:c>
      <x:c r="P73" s="68" t="str">
        <x:v>主体、客体、作用路径与力量匹配均达到最低要求</x:v>
      </x:c>
      <x:c r="Q73" s="68" t="str">
        <x:v>相关十神有根、有源、透达、清纯且关键通路稳定</x:v>
      </x:c>
      <x:c r="R73" s="90" t="str">
        <x:v>关键十神被合绊、被制、改性、失效或力量严重失衡</x:v>
      </x:c>
      <x:c r="S73" s="68" t="str">
        <x:v>存在第三十神恢复通路、清除破坏或重新形成平衡</x:v>
      </x:c>
      <x:c r="T73" s="90" t="str">
        <x:v>任一核心十神失效，或不存在真实作用路径</x:v>
      </x:c>
      <x:c r="U73" s="68" t="str">
        <x:v>特殊格局、从化或月令格局另转M14/M15复审</x:v>
      </x:c>
      <x:c r="V73" s="84" t="str">
        <x:v>基本成立</x:v>
      </x:c>
      <x:c r="W73" s="84" t="str">
        <x:v>杀有制衡功能而非单向攻身</x:v>
      </x:c>
      <x:c r="X73" s="82" t="str">
        <x:v>条件性</x:v>
      </x:c>
      <x:c r="Y73" s="68" t="str">
        <x:v>身杀两停候选</x:v>
      </x:c>
      <x:c r="Z73" s="84" t="str">
        <x:v>身杀两停_成立条件</x:v>
      </x:c>
      <x:c r="AA73" s="84" t="str">
        <x:v>身杀两停：当主体、客体、路径与力量匹配满足最低标准时，判“基本成立”；是否上升为格局转M14/M15。</x:v>
      </x:c>
      <x:c r="AB73" s="82" t="str">
        <x:v>较高</x:v>
      </x:c>
      <x:c r="AC73" s="82" t="str">
        <x:v>现代综合</x:v>
      </x:c>
      <x:c r="AD73" s="68" t="str">
        <x:v>十神同时出现不等于组合成立。M11须同时验证核心十神有效性、作用路径、力量匹配、日主承载、破坏因素与救应；组合成立也不等于格局成立。</x:v>
      </x:c>
      <x:c r="AE73" s="68" t="str">
        <x:v>日主有根有势可承杀；七杀有力但未超过承载；作用路径稳定且无关键破坏，可按“身杀两停”记录。</x:v>
      </x:c>
      <x:c r="AF73" s="90" t="str">
        <x:v>仅因“日主、七杀”同时出现，但核心十神无力、无作用路径或被关键因素破坏，不能判“身杀两停”成立。</x:v>
      </x:c>
      <x:c r="AG73" s="68" t="str">
        <x:v>https://zh.wikisource.org/zh-hans/%E6%B7%B5%E6%B5%B7%E5%AD%90%E5%B9%B3 ; https://zh.wikisource.org/wiki/%E6%BB%B4%E5%A4%A9%E9%AB%93%E9%97%A1%E5%BE%AE</x:v>
      </x:c>
      <x:c r="AH73" s="82" t="str">
        <x:v>采用</x:v>
      </x:c>
      <x:c r="AI73" s="82" t="str">
        <x:v>初审</x:v>
      </x:c>
      <x:c r="AJ73" s="87" t="n">
        <x:v>46255</x:v>
      </x:c>
    </x:row>
    <x:row r="74">
      <x:c r="A74" s="72" t="str">
        <x:f>IF(OR(C74="",D74=""),"",B74&amp;"-"&amp;UPPER(C74)&amp;"-"&amp;TEXT(D74,"0000")&amp;"-"&amp;E74)</x:f>
        <x:v>M11-BALANCE-0068-V1.0</x:v>
      </x:c>
      <x:c r="B74" s="74" t="str">
        <x:v>M11</x:v>
      </x:c>
      <x:c r="C74" s="74" t="str">
        <x:v>BALANCE</x:v>
      </x:c>
      <x:c r="D74" s="215" t="n">
        <x:v>68</x:v>
      </x:c>
      <x:c r="E74" s="74" t="str">
        <x:v>V1.0</x:v>
      </x:c>
      <x:c r="F74" s="68" t="str">
        <x:v>身旺是任财条件而非任财结论</x:v>
      </x:c>
      <x:c r="G74" s="82" t="str">
        <x:v>结构层</x:v>
      </x:c>
      <x:c r="H74" s="82" t="str">
        <x:v>平衡承载型</x:v>
      </x:c>
      <x:c r="I74" s="68" t="str">
        <x:v>身旺任财</x:v>
      </x:c>
      <x:c r="J74" s="68" t="str">
        <x:v>日主、财星</x:v>
      </x:c>
      <x:c r="K74" s="68" t="str">
        <x:v>日主旺或中和偏旺</x:v>
      </x:c>
      <x:c r="L74" s="68" t="str">
        <x:v>财星有效且有实际耗身路径</x:v>
      </x:c>
      <x:c r="M74" s="68" t="str">
        <x:v>直接或可达的生克制化路径成立</x:v>
      </x:c>
      <x:c r="N74" s="68" t="str">
        <x:v>相关十神均以M10有效力量为准，且不存在决定性失衡</x:v>
      </x:c>
      <x:c r="O74" s="68" t="str">
        <x:v>结合M09日主承载判断</x:v>
      </x:c>
      <x:c r="P74" s="68" t="str">
        <x:v>财星非极弱、非被比劫完全制去</x:v>
      </x:c>
      <x:c r="Q74" s="68" t="str">
        <x:v>相关十神有根、有源、透达、清纯且关键通路稳定</x:v>
      </x:c>
      <x:c r="R74" s="90" t="str">
        <x:v>关键十神被合绊、被制、改性、失效或力量严重失衡</x:v>
      </x:c>
      <x:c r="S74" s="68" t="str">
        <x:v>存在第三十神恢复通路、清除破坏或重新形成平衡</x:v>
      </x:c>
      <x:c r="T74" s="90" t="str">
        <x:v>任一核心十神失效，或不存在真实作用路径</x:v>
      </x:c>
      <x:c r="U74" s="68" t="str">
        <x:v>特殊格局、从化或月令格局另转M14/M15复审</x:v>
      </x:c>
      <x:c r="V74" s="84" t="str">
        <x:v>基本成立</x:v>
      </x:c>
      <x:c r="W74" s="84" t="str">
        <x:v>强身可承担财耗</x:v>
      </x:c>
      <x:c r="X74" s="82" t="str">
        <x:v>条件性</x:v>
      </x:c>
      <x:c r="Y74" s="68" t="str">
        <x:v>对应格局候选转M14</x:v>
      </x:c>
      <x:c r="Z74" s="84" t="str">
        <x:v>身旺任财_成立</x:v>
      </x:c>
      <x:c r="AA74" s="84" t="str">
        <x:v>身旺任财：当主体、客体、路径与力量匹配满足最低标准时，判“基本成立”；是否上升为格局转M14/M15。</x:v>
      </x:c>
      <x:c r="AB74" s="82" t="str">
        <x:v>较高</x:v>
      </x:c>
      <x:c r="AC74" s="82" t="str">
        <x:v>现代综合</x:v>
      </x:c>
      <x:c r="AD74" s="68" t="str">
        <x:v>十神同时出现不等于组合成立。M11须同时验证核心十神有效性、作用路径、力量匹配、日主承载、破坏因素与救应；组合成立也不等于格局成立。</x:v>
      </x:c>
      <x:c r="AE74" s="68" t="str">
        <x:v>日主旺或中和偏旺；财星有效且有实际耗身路径；作用路径稳定且无关键破坏，可按“身旺任财”记录。</x:v>
      </x:c>
      <x:c r="AF74" s="90" t="str">
        <x:v>仅因“日主、财星”同时出现，但核心十神无力、无作用路径或被关键因素破坏，不能判“身旺任财”成立。</x:v>
      </x:c>
      <x:c r="AG74" s="68" t="str">
        <x:v>https://zh.wikisource.org/zh-hans/%E6%B7%B5%E6%B5%B7%E5%AD%90%E5%B9%B3 ; https://zh.wikisource.org/wiki/%E6%BB%B4%E5%A4%A9%E9%AB%93%E9%97%A1%E5%BE%AE</x:v>
      </x:c>
      <x:c r="AH74" s="82" t="str">
        <x:v>采用</x:v>
      </x:c>
      <x:c r="AI74" s="82" t="str">
        <x:v>初审</x:v>
      </x:c>
      <x:c r="AJ74" s="87" t="n">
        <x:v>46255</x:v>
      </x:c>
    </x:row>
    <x:row r="75">
      <x:c r="A75" s="72" t="str">
        <x:f>IF(OR(C75="",D75=""),"",B75&amp;"-"&amp;UPPER(C75)&amp;"-"&amp;TEXT(D75,"0000")&amp;"-"&amp;E75)</x:f>
        <x:v>M11-BALANCE-0069-V1.0</x:v>
      </x:c>
      <x:c r="B75" s="74" t="str">
        <x:v>M11</x:v>
      </x:c>
      <x:c r="C75" s="74" t="str">
        <x:v>BALANCE</x:v>
      </x:c>
      <x:c r="D75" s="215" t="n">
        <x:v>69</x:v>
      </x:c>
      <x:c r="E75" s="74" t="str">
        <x:v>V1.0</x:v>
      </x:c>
      <x:c r="F75" s="68" t="str">
        <x:v>身旺可提高承官杀能力</x:v>
      </x:c>
      <x:c r="G75" s="82" t="str">
        <x:v>结构层</x:v>
      </x:c>
      <x:c r="H75" s="82" t="str">
        <x:v>平衡承载型</x:v>
      </x:c>
      <x:c r="I75" s="68" t="str">
        <x:v>身旺任官杀</x:v>
      </x:c>
      <x:c r="J75" s="68" t="str">
        <x:v>日主、官杀</x:v>
      </x:c>
      <x:c r="K75" s="68" t="str">
        <x:v>日主旺</x:v>
      </x:c>
      <x:c r="L75" s="68" t="str">
        <x:v>官杀有效且制身不过度</x:v>
      </x:c>
      <x:c r="M75" s="68" t="str">
        <x:v>直接或可达的生克制化路径成立</x:v>
      </x:c>
      <x:c r="N75" s="68" t="str">
        <x:v>相关十神均以M10有效力量为准，且不存在决定性失衡</x:v>
      </x:c>
      <x:c r="O75" s="68" t="str">
        <x:v>结合M09日主承载判断</x:v>
      </x:c>
      <x:c r="P75" s="68" t="str">
        <x:v>身旺与官杀压力大体匹配</x:v>
      </x:c>
      <x:c r="Q75" s="68" t="str">
        <x:v>相关十神有根、有源、透达、清纯且关键通路稳定</x:v>
      </x:c>
      <x:c r="R75" s="90" t="str">
        <x:v>关键十神被合绊、被制、改性、失效或力量严重失衡</x:v>
      </x:c>
      <x:c r="S75" s="68" t="str">
        <x:v>存在第三十神恢复通路、清除破坏或重新形成平衡</x:v>
      </x:c>
      <x:c r="T75" s="90" t="str">
        <x:v>任一核心十神失效，或不存在真实作用路径</x:v>
      </x:c>
      <x:c r="U75" s="68" t="str">
        <x:v>特殊格局、从化或月令格局另转M14/M15复审</x:v>
      </x:c>
      <x:c r="V75" s="84" t="str">
        <x:v>基本成立</x:v>
      </x:c>
      <x:c r="W75" s="84" t="str">
        <x:v>官杀可成为制衡力量</x:v>
      </x:c>
      <x:c r="X75" s="82" t="str">
        <x:v>条件性</x:v>
      </x:c>
      <x:c r="Y75" s="68" t="str">
        <x:v>对应格局候选转M14</x:v>
      </x:c>
      <x:c r="Z75" s="84" t="str">
        <x:v>身旺任官杀_成立</x:v>
      </x:c>
      <x:c r="AA75" s="84" t="str">
        <x:v>身旺任官杀：当主体、客体、路径与力量匹配满足最低标准时，判“基本成立”；是否上升为格局转M14/M15。</x:v>
      </x:c>
      <x:c r="AB75" s="82" t="str">
        <x:v>较高</x:v>
      </x:c>
      <x:c r="AC75" s="82" t="str">
        <x:v>现代综合</x:v>
      </x:c>
      <x:c r="AD75" s="68" t="str">
        <x:v>十神同时出现不等于组合成立。M11须同时验证核心十神有效性、作用路径、力量匹配、日主承载、破坏因素与救应；组合成立也不等于格局成立。</x:v>
      </x:c>
      <x:c r="AE75" s="68" t="str">
        <x:v>日主旺；官杀有效且制身不过度；作用路径稳定且无关键破坏，可按“身旺任官杀”记录。</x:v>
      </x:c>
      <x:c r="AF75" s="90" t="str">
        <x:v>仅因“日主、官杀”同时出现，但核心十神无力、无作用路径或被关键因素破坏，不能判“身旺任官杀”成立。</x:v>
      </x:c>
      <x:c r="AG75" s="68" t="str">
        <x:v>https://zh.wikisource.org/zh-hans/%E6%B7%B5%E6%B5%B7%E5%AD%90%E5%B9%B3 ; https://zh.wikisource.org/wiki/%E6%BB%B4%E5%A4%A9%E9%AB%93%E9%97%A1%E5%BE%AE</x:v>
      </x:c>
      <x:c r="AH75" s="82" t="str">
        <x:v>采用</x:v>
      </x:c>
      <x:c r="AI75" s="82" t="str">
        <x:v>初审</x:v>
      </x:c>
      <x:c r="AJ75" s="87" t="n">
        <x:v>46255</x:v>
      </x:c>
    </x:row>
    <x:row r="76">
      <x:c r="A76" s="72" t="str">
        <x:f>IF(OR(C76="",D76=""),"",B76&amp;"-"&amp;UPPER(C76)&amp;"-"&amp;TEXT(D76,"0000")&amp;"-"&amp;E76)</x:f>
        <x:v>M11-BALANCE-0070-V1.0</x:v>
      </x:c>
      <x:c r="B76" s="74" t="str">
        <x:v>M11</x:v>
      </x:c>
      <x:c r="C76" s="74" t="str">
        <x:v>BALANCE</x:v>
      </x:c>
      <x:c r="D76" s="215" t="n">
        <x:v>70</x:v>
      </x:c>
      <x:c r="E76" s="74" t="str">
        <x:v>V1.0</x:v>
      </x:c>
      <x:c r="F76" s="68" t="str">
        <x:v>身弱需印比真实有效才能改善承载</x:v>
      </x:c>
      <x:c r="G76" s="82" t="str">
        <x:v>结构层</x:v>
      </x:c>
      <x:c r="H76" s="82" t="str">
        <x:v>平衡承载型</x:v>
      </x:c>
      <x:c r="I76" s="68" t="str">
        <x:v>身弱得印比承载</x:v>
      </x:c>
      <x:c r="J76" s="68" t="str">
        <x:v>日主、印比</x:v>
      </x:c>
      <x:c r="K76" s="68" t="str">
        <x:v>日主弱或偏弱</x:v>
      </x:c>
      <x:c r="L76" s="68" t="str">
        <x:v>印比有效且能够生扶/帮助日主</x:v>
      </x:c>
      <x:c r="M76" s="68" t="str">
        <x:v>直接或可达的生克制化路径成立</x:v>
      </x:c>
      <x:c r="N76" s="68" t="str">
        <x:v>相关十神均以M10有效力量为准，且不存在决定性失衡</x:v>
      </x:c>
      <x:c r="O76" s="68" t="str">
        <x:v>结合M09日主承载判断</x:v>
      </x:c>
      <x:c r="P76" s="68" t="str">
        <x:v>扶身力量真实进入日主</x:v>
      </x:c>
      <x:c r="Q76" s="68" t="str">
        <x:v>相关十神有根、有源、透达、清纯且关键通路稳定</x:v>
      </x:c>
      <x:c r="R76" s="90" t="str">
        <x:v>关键十神被合绊、被制、改性、失效或力量严重失衡</x:v>
      </x:c>
      <x:c r="S76" s="68" t="str">
        <x:v>存在第三十神恢复通路、清除破坏或重新形成平衡</x:v>
      </x:c>
      <x:c r="T76" s="90" t="str">
        <x:v>任一核心十神失效，或不存在真实作用路径</x:v>
      </x:c>
      <x:c r="U76" s="68" t="str">
        <x:v>特殊格局、从化或月令格局另转M14/M15复审</x:v>
      </x:c>
      <x:c r="V76" s="84" t="str">
        <x:v>基本成立</x:v>
      </x:c>
      <x:c r="W76" s="84" t="str">
        <x:v>恢复日主对财官食伤的承载</x:v>
      </x:c>
      <x:c r="X76" s="82" t="str">
        <x:v>条件性</x:v>
      </x:c>
      <x:c r="Y76" s="68" t="str">
        <x:v>对应格局候选转M14</x:v>
      </x:c>
      <x:c r="Z76" s="84" t="str">
        <x:v>身弱印比承载</x:v>
      </x:c>
      <x:c r="AA76" s="84" t="str">
        <x:v>身弱得印比承载：当主体、客体、路径与力量匹配满足最低标准时，判“基本成立”；是否上升为格局转M14/M15。</x:v>
      </x:c>
      <x:c r="AB76" s="82" t="str">
        <x:v>较高</x:v>
      </x:c>
      <x:c r="AC76" s="82" t="str">
        <x:v>现代综合</x:v>
      </x:c>
      <x:c r="AD76" s="68" t="str">
        <x:v>十神同时出现不等于组合成立。M11须同时验证核心十神有效性、作用路径、力量匹配、日主承载、破坏因素与救应；组合成立也不等于格局成立。</x:v>
      </x:c>
      <x:c r="AE76" s="68" t="str">
        <x:v>日主弱或偏弱；印比有效且能够生扶/帮助日主；作用路径稳定且无关键破坏，可按“身弱得印比承载”记录。</x:v>
      </x:c>
      <x:c r="AF76" s="90" t="str">
        <x:v>仅因“日主、印比”同时出现，但核心十神无力、无作用路径或被关键因素破坏，不能判“身弱得印比承载”成立。</x:v>
      </x:c>
      <x:c r="AG76" s="68" t="str">
        <x:v>https://zh.wikisource.org/zh-hans/%E6%B7%B5%E6%B5%B7%E5%AD%90%E5%B9%B3 ; https://zh.wikisource.org/wiki/%E6%BB%B4%E5%A4%A9%E9%AB%93%E9%97%A1%E5%BE%AE</x:v>
      </x:c>
      <x:c r="AH76" s="82" t="str">
        <x:v>采用</x:v>
      </x:c>
      <x:c r="AI76" s="82" t="str">
        <x:v>初审</x:v>
      </x:c>
      <x:c r="AJ76" s="87" t="n">
        <x:v>46255</x:v>
      </x:c>
    </x:row>
    <x:row r="77">
      <x:c r="A77" s="72" t="str">
        <x:f>IF(OR(C77="",D77=""),"",B77&amp;"-"&amp;UPPER(C77)&amp;"-"&amp;TEXT(D77,"0000")&amp;"-"&amp;E77)</x:f>
        <x:v>M11-BALANCE-0071-V1.0</x:v>
      </x:c>
      <x:c r="B77" s="74" t="str">
        <x:v>M11</x:v>
      </x:c>
      <x:c r="C77" s="74" t="str">
        <x:v>BALANCE</x:v>
      </x:c>
      <x:c r="D77" s="215" t="n">
        <x:v>71</x:v>
      </x:c>
      <x:c r="E77" s="74" t="str">
        <x:v>V1.0</x:v>
      </x:c>
      <x:c r="F77" s="68" t="str">
        <x:v>财过旺会破坏身财两停</x:v>
      </x:c>
      <x:c r="G77" s="82" t="str">
        <x:v>结构层</x:v>
      </x:c>
      <x:c r="H77" s="82" t="str">
        <x:v>平衡承载型</x:v>
      </x:c>
      <x:c r="I77" s="68" t="str">
        <x:v>身财两停</x:v>
      </x:c>
      <x:c r="J77" s="68" t="str">
        <x:v>日主、财星</x:v>
      </x:c>
      <x:c r="K77" s="68" t="str">
        <x:v>日主承载一般</x:v>
      </x:c>
      <x:c r="L77" s="68" t="str">
        <x:v>财星旺或极旺</x:v>
      </x:c>
      <x:c r="M77" s="68" t="str">
        <x:v>直接或可达的生克制化路径成立</x:v>
      </x:c>
      <x:c r="N77" s="68" t="str">
        <x:v>财明显强于身</x:v>
      </x:c>
      <x:c r="O77" s="68" t="str">
        <x:v>结合M09日主承载判断</x:v>
      </x:c>
      <x:c r="P77" s="68" t="str">
        <x:v>主体、客体、作用路径与力量匹配均达到最低要求</x:v>
      </x:c>
      <x:c r="Q77" s="68" t="str">
        <x:v>相关十神有根、有源、透达、清纯且关键通路稳定</x:v>
      </x:c>
      <x:c r="R77" s="90" t="str">
        <x:v>关键十神被合绊、被制、改性、失效或力量严重失衡</x:v>
      </x:c>
      <x:c r="S77" s="68" t="str">
        <x:v>存在第三十神恢复通路、清除破坏或重新形成平衡</x:v>
      </x:c>
      <x:c r="T77" s="90" t="str">
        <x:v>任一核心十神失效，或不存在真实作用路径</x:v>
      </x:c>
      <x:c r="U77" s="68" t="str">
        <x:v>特殊格局、从化或月令格局另转M14/M15复审</x:v>
      </x:c>
      <x:c r="V77" s="84" t="str">
        <x:v>不成立</x:v>
      </x:c>
      <x:c r="W77" s="84" t="str">
        <x:v>转为财多身弱候选</x:v>
      </x:c>
      <x:c r="X77" s="82" t="str">
        <x:v>否</x:v>
      </x:c>
      <x:c r="Y77" s="68" t="str">
        <x:v>无</x:v>
      </x:c>
      <x:c r="Z77" s="84" t="str">
        <x:v>身财两停_财过旺否决</x:v>
      </x:c>
      <x:c r="AA77" s="84" t="str">
        <x:v>身财两停：当主体、客体、路径与力量匹配满足最低标准时，判“不成立”；是否上升为格局转M14/M15。</x:v>
      </x:c>
      <x:c r="AB77" s="82" t="str">
        <x:v>较高</x:v>
      </x:c>
      <x:c r="AC77" s="82" t="str">
        <x:v>现代综合</x:v>
      </x:c>
      <x:c r="AD77" s="68" t="str">
        <x:v>十神同时出现不等于组合成立。M11须同时验证核心十神有效性、作用路径、力量匹配、日主承载、破坏因素与救应；组合成立也不等于格局成立。</x:v>
      </x:c>
      <x:c r="AE77" s="68" t="str">
        <x:v>日主承载一般；财星旺或极旺；作用路径稳定且无关键破坏，可按“身财两停”记录。</x:v>
      </x:c>
      <x:c r="AF77" s="90" t="str">
        <x:v>仅因“日主、财星”同时出现，但核心十神无力、无作用路径或被关键因素破坏，不能判“身财两停”成立。</x:v>
      </x:c>
      <x:c r="AG77" s="68" t="str">
        <x:v>https://zh.wikisource.org/zh-hans/%E6%B7%B5%E6%B5%B7%E5%AD%90%E5%B9%B3 ; https://zh.wikisource.org/wiki/%E6%BB%B4%E5%A4%A9%E9%AB%93%E9%97%A1%E5%BE%AE</x:v>
      </x:c>
      <x:c r="AH77" s="82" t="str">
        <x:v>采用</x:v>
      </x:c>
      <x:c r="AI77" s="82" t="str">
        <x:v>初审</x:v>
      </x:c>
      <x:c r="AJ77" s="87" t="n">
        <x:v>46255</x:v>
      </x:c>
    </x:row>
    <x:row r="78">
      <x:c r="A78" s="72" t="str">
        <x:f>IF(OR(C78="",D78=""),"",B78&amp;"-"&amp;UPPER(C78)&amp;"-"&amp;TEXT(D78,"0000")&amp;"-"&amp;E78)</x:f>
        <x:v>M11-BALANCE-0072-V1.0</x:v>
      </x:c>
      <x:c r="B78" s="74" t="str">
        <x:v>M11</x:v>
      </x:c>
      <x:c r="C78" s="74" t="str">
        <x:v>BALANCE</x:v>
      </x:c>
      <x:c r="D78" s="215" t="n">
        <x:v>72</x:v>
      </x:c>
      <x:c r="E78" s="74" t="str">
        <x:v>V1.0</x:v>
      </x:c>
      <x:c r="F78" s="68" t="str">
        <x:v>官过旺且无印比救应时两停不成立</x:v>
      </x:c>
      <x:c r="G78" s="82" t="str">
        <x:v>结构层</x:v>
      </x:c>
      <x:c r="H78" s="82" t="str">
        <x:v>平衡承载型</x:v>
      </x:c>
      <x:c r="I78" s="68" t="str">
        <x:v>身官两停</x:v>
      </x:c>
      <x:c r="J78" s="68" t="str">
        <x:v>日主、正官</x:v>
      </x:c>
      <x:c r="K78" s="68" t="str">
        <x:v>日主偏弱</x:v>
      </x:c>
      <x:c r="L78" s="68" t="str">
        <x:v>正官旺并持续制身</x:v>
      </x:c>
      <x:c r="M78" s="68" t="str">
        <x:v>直接或可达的生克制化路径成立</x:v>
      </x:c>
      <x:c r="N78" s="68" t="str">
        <x:v>官明显强于身</x:v>
      </x:c>
      <x:c r="O78" s="68" t="str">
        <x:v>结合M09日主承载判断</x:v>
      </x:c>
      <x:c r="P78" s="68" t="str">
        <x:v>主体、客体、作用路径与力量匹配均达到最低要求</x:v>
      </x:c>
      <x:c r="Q78" s="68" t="str">
        <x:v>相关十神有根、有源、透达、清纯且关键通路稳定</x:v>
      </x:c>
      <x:c r="R78" s="90" t="str">
        <x:v>关键十神被合绊、被制、改性、失效或力量严重失衡</x:v>
      </x:c>
      <x:c r="S78" s="68" t="str">
        <x:v>存在第三十神恢复通路、清除破坏或重新形成平衡</x:v>
      </x:c>
      <x:c r="T78" s="90" t="str">
        <x:v>任一核心十神失效，或不存在真实作用路径</x:v>
      </x:c>
      <x:c r="U78" s="68" t="str">
        <x:v>特殊格局、从化或月令格局另转M14/M15复审</x:v>
      </x:c>
      <x:c r="V78" s="84" t="str">
        <x:v>不成立</x:v>
      </x:c>
      <x:c r="W78" s="84" t="str">
        <x:v>形成局部生化、制化或承载结构</x:v>
      </x:c>
      <x:c r="X78" s="82" t="str">
        <x:v>否</x:v>
      </x:c>
      <x:c r="Y78" s="68" t="str">
        <x:v>对应格局候选转M14</x:v>
      </x:c>
      <x:c r="Z78" s="84" t="str">
        <x:v>身官两停_官过旺否决</x:v>
      </x:c>
      <x:c r="AA78" s="84" t="str">
        <x:v>身官两停：当主体、客体、路径与力量匹配满足最低标准时，判“不成立”；是否上升为格局转M14/M15。</x:v>
      </x:c>
      <x:c r="AB78" s="82" t="str">
        <x:v>较高</x:v>
      </x:c>
      <x:c r="AC78" s="82" t="str">
        <x:v>现代综合</x:v>
      </x:c>
      <x:c r="AD78" s="68" t="str">
        <x:v>十神同时出现不等于组合成立。M11须同时验证核心十神有效性、作用路径、力量匹配、日主承载、破坏因素与救应；组合成立也不等于格局成立。</x:v>
      </x:c>
      <x:c r="AE78" s="68" t="str">
        <x:v>日主偏弱；正官旺并持续制身；作用路径稳定且无关键破坏，可按“身官两停”记录。</x:v>
      </x:c>
      <x:c r="AF78" s="90" t="str">
        <x:v>仅因“日主、正官”同时出现，但核心十神无力、无作用路径或被关键因素破坏，不能判“身官两停”成立。</x:v>
      </x:c>
      <x:c r="AG78" s="68" t="str">
        <x:v>https://zh.wikisource.org/zh-hans/%E6%B7%B5%E6%B5%B7%E5%AD%90%E5%B9%B3 ; https://zh.wikisource.org/wiki/%E6%BB%B4%E5%A4%A9%E9%AB%93%E9%97%A1%E5%BE%AE</x:v>
      </x:c>
      <x:c r="AH78" s="82" t="str">
        <x:v>采用</x:v>
      </x:c>
      <x:c r="AI78" s="82" t="str">
        <x:v>初审</x:v>
      </x:c>
      <x:c r="AJ78" s="87" t="n">
        <x:v>46255</x:v>
      </x:c>
    </x:row>
    <x:row r="79">
      <x:c r="A79" s="72" t="str">
        <x:f>IF(OR(C79="",D79=""),"",B79&amp;"-"&amp;UPPER(C79)&amp;"-"&amp;TEXT(D79,"0000")&amp;"-"&amp;E79)</x:f>
        <x:v>M11-BALANCE-0073-V1.0</x:v>
      </x:c>
      <x:c r="B79" s="74" t="str">
        <x:v>M11</x:v>
      </x:c>
      <x:c r="C79" s="74" t="str">
        <x:v>BALANCE</x:v>
      </x:c>
      <x:c r="D79" s="215" t="n">
        <x:v>73</x:v>
      </x:c>
      <x:c r="E79" s="74" t="str">
        <x:v>V1.0</x:v>
      </x:c>
      <x:c r="F79" s="68" t="str">
        <x:v>杀过旺无制化时两停不成立</x:v>
      </x:c>
      <x:c r="G79" s="82" t="str">
        <x:v>结构层</x:v>
      </x:c>
      <x:c r="H79" s="82" t="str">
        <x:v>平衡承载型</x:v>
      </x:c>
      <x:c r="I79" s="68" t="str">
        <x:v>身杀两停</x:v>
      </x:c>
      <x:c r="J79" s="68" t="str">
        <x:v>日主、七杀</x:v>
      </x:c>
      <x:c r="K79" s="68" t="str">
        <x:v>日主承载不足</x:v>
      </x:c>
      <x:c r="L79" s="68" t="str">
        <x:v>七杀旺且无食制印化</x:v>
      </x:c>
      <x:c r="M79" s="68" t="str">
        <x:v>直接或可达的生克制化路径成立</x:v>
      </x:c>
      <x:c r="N79" s="68" t="str">
        <x:v>相关十神均以M10有效力量为准，且不存在决定性失衡</x:v>
      </x:c>
      <x:c r="O79" s="68" t="str">
        <x:v>结合M09日主承载判断</x:v>
      </x:c>
      <x:c r="P79" s="68" t="str">
        <x:v>主体、客体、作用路径与力量匹配均达到最低要求</x:v>
      </x:c>
      <x:c r="Q79" s="68" t="str">
        <x:v>相关十神有根、有源、透达、清纯且关键通路稳定</x:v>
      </x:c>
      <x:c r="R79" s="90" t="str">
        <x:v>关键十神被合绊、被制、改性、失效或力量严重失衡</x:v>
      </x:c>
      <x:c r="S79" s="68" t="str">
        <x:v>存在第三十神恢复通路、清除破坏或重新形成平衡</x:v>
      </x:c>
      <x:c r="T79" s="90" t="str">
        <x:v>任一核心十神失效，或不存在真实作用路径</x:v>
      </x:c>
      <x:c r="U79" s="68" t="str">
        <x:v>特殊格局、从化或月令格局另转M14/M15复审</x:v>
      </x:c>
      <x:c r="V79" s="84" t="str">
        <x:v>不成立</x:v>
      </x:c>
      <x:c r="W79" s="84" t="str">
        <x:v>转杀旺攻身候选</x:v>
      </x:c>
      <x:c r="X79" s="82" t="str">
        <x:v>否</x:v>
      </x:c>
      <x:c r="Y79" s="68" t="str">
        <x:v>对应格局候选转M14</x:v>
      </x:c>
      <x:c r="Z79" s="84" t="str">
        <x:v>身杀两停_杀过旺否决</x:v>
      </x:c>
      <x:c r="AA79" s="84" t="str">
        <x:v>身杀两停：当主体、客体、路径与力量匹配满足最低标准时，判“不成立”；是否上升为格局转M14/M15。</x:v>
      </x:c>
      <x:c r="AB79" s="82" t="str">
        <x:v>较高</x:v>
      </x:c>
      <x:c r="AC79" s="82" t="str">
        <x:v>现代综合</x:v>
      </x:c>
      <x:c r="AD79" s="68" t="str">
        <x:v>十神同时出现不等于组合成立。M11须同时验证核心十神有效性、作用路径、力量匹配、日主承载、破坏因素与救应；组合成立也不等于格局成立。</x:v>
      </x:c>
      <x:c r="AE79" s="68" t="str">
        <x:v>日主承载不足；七杀旺且无食制印化；作用路径稳定且无关键破坏，可按“身杀两停”记录。</x:v>
      </x:c>
      <x:c r="AF79" s="90" t="str">
        <x:v>仅因“日主、七杀”同时出现，但核心十神无力、无作用路径或被关键因素破坏，不能判“身杀两停”成立。</x:v>
      </x:c>
      <x:c r="AG79" s="68" t="str">
        <x:v>https://zh.wikisource.org/zh-hans/%E6%B7%B5%E6%B5%B7%E5%AD%90%E5%B9%B3 ; https://zh.wikisource.org/wiki/%E6%BB%B4%E5%A4%A9%E9%AB%93%E9%97%A1%E5%BE%AE</x:v>
      </x:c>
      <x:c r="AH79" s="82" t="str">
        <x:v>采用</x:v>
      </x:c>
      <x:c r="AI79" s="82" t="str">
        <x:v>初审</x:v>
      </x:c>
      <x:c r="AJ79" s="87" t="n">
        <x:v>46255</x:v>
      </x:c>
    </x:row>
    <x:row r="80">
      <x:c r="A80" s="72" t="str">
        <x:f>IF(OR(C80="",D80=""),"",B80&amp;"-"&amp;UPPER(C80)&amp;"-"&amp;TEXT(D80,"0000")&amp;"-"&amp;E80)</x:f>
        <x:v>M11-BALANCE-0074-V1.0</x:v>
      </x:c>
      <x:c r="B80" s="74" t="str">
        <x:v>M11</x:v>
      </x:c>
      <x:c r="C80" s="74" t="str">
        <x:v>BALANCE</x:v>
      </x:c>
      <x:c r="D80" s="215" t="n">
        <x:v>74</x:v>
      </x:c>
      <x:c r="E80" s="74" t="str">
        <x:v>V1.0</x:v>
      </x:c>
      <x:c r="F80" s="68" t="str">
        <x:v>两停必须基于有效力量而非数量对半</x:v>
      </x:c>
      <x:c r="G80" s="82" t="str">
        <x:v>结构层</x:v>
      </x:c>
      <x:c r="H80" s="82" t="str">
        <x:v>平衡承载型</x:v>
      </x:c>
      <x:c r="I80" s="68" t="str">
        <x:v>平衡承载通用</x:v>
      </x:c>
      <x:c r="J80" s="68" t="str">
        <x:v>日主、财官食伤印比</x:v>
      </x:c>
      <x:c r="K80" s="68" t="str">
        <x:v>判断任何“身×两停”或“任×”结构</x:v>
      </x:c>
      <x:c r="L80" s="68" t="str">
        <x:v>所有力量以M08/M09/M10有效状态为准</x:v>
      </x:c>
      <x:c r="M80" s="68" t="str">
        <x:v>直接或可达的生克制化路径成立</x:v>
      </x:c>
      <x:c r="N80" s="68" t="str">
        <x:v>相关十神均以M10有效力量为准，且不存在决定性失衡</x:v>
      </x:c>
      <x:c r="O80" s="68" t="str">
        <x:v>结合M09日主承载判断</x:v>
      </x:c>
      <x:c r="P80" s="68" t="str">
        <x:v>比较的是承载和功能，不是字数或五行个数</x:v>
      </x:c>
      <x:c r="Q80" s="68" t="str">
        <x:v>相关十神有根、有源、透达、清纯且关键通路稳定</x:v>
      </x:c>
      <x:c r="R80" s="90" t="str">
        <x:v>关键十神被合绊、被制、改性、失效或力量严重失衡</x:v>
      </x:c>
      <x:c r="S80" s="68" t="str">
        <x:v>存在第三十神恢复通路、清除破坏或重新形成平衡</x:v>
      </x:c>
      <x:c r="T80" s="90" t="str">
        <x:v>任一核心十神失效，或不存在真实作用路径</x:v>
      </x:c>
      <x:c r="U80" s="68" t="str">
        <x:v>特殊格局、从化或月令格局另转M14/M15复审</x:v>
      </x:c>
      <x:c r="V80" s="84" t="str">
        <x:v>待定</x:v>
      </x:c>
      <x:c r="W80" s="84" t="str">
        <x:v>统一平衡判定口径</x:v>
      </x:c>
      <x:c r="X80" s="82" t="str">
        <x:v>否</x:v>
      </x:c>
      <x:c r="Y80" s="68" t="str">
        <x:v>对应格局候选转M14</x:v>
      </x:c>
      <x:c r="Z80" s="84" t="str">
        <x:v>平衡承载_非数量模型</x:v>
      </x:c>
      <x:c r="AA80" s="84" t="str">
        <x:v>平衡承载通用：当主体、客体、路径与力量匹配满足最低标准时，判“待定”；是否上升为格局转M14/M15。</x:v>
      </x:c>
      <x:c r="AB80" s="82" t="str">
        <x:v>较高</x:v>
      </x:c>
      <x:c r="AC80" s="82" t="str">
        <x:v>现代综合</x:v>
      </x:c>
      <x:c r="AD80" s="68" t="str">
        <x:v>十神同时出现不等于组合成立。M11须同时验证核心十神有效性、作用路径、力量匹配、日主承载、破坏因素与救应；组合成立也不等于格局成立。</x:v>
      </x:c>
      <x:c r="AE80" s="68" t="str">
        <x:v>判断任何“身×两停”或“任×”结构；所有力量以M08/M09/M10有效状态为准；作用路径稳定且无关键破坏，可按“平衡承载通用”记录。</x:v>
      </x:c>
      <x:c r="AF80" s="90" t="str">
        <x:v>仅因“日主、财官食伤印比”同时出现，但核心十神无力、无作用路径或被关键因素破坏，不能判“平衡承载通用”成立。</x:v>
      </x:c>
      <x:c r="AG80" s="68" t="str">
        <x:v>https://zh.wikisource.org/zh-hans/%E6%B7%B5%E6%B5%B7%E5%AD%90%E5%B9%B3 ; https://zh.wikisource.org/wiki/%E6%BB%B4%E5%A4%A9%E9%AB%93%E9%97%A1%E5%BE%AE</x:v>
      </x:c>
      <x:c r="AH80" s="82" t="str">
        <x:v>采用</x:v>
      </x:c>
      <x:c r="AI80" s="82" t="str">
        <x:v>初审</x:v>
      </x:c>
      <x:c r="AJ80" s="87" t="n">
        <x:v>46255</x:v>
      </x:c>
    </x:row>
    <x:row r="81">
      <x:c r="A81" s="72" t="str">
        <x:f>IF(OR(C81="",D81=""),"",B81&amp;"-"&amp;UPPER(C81)&amp;"-"&amp;TEXT(D81,"0000")&amp;"-"&amp;E81)</x:f>
        <x:v>M11-PATH-0075-V1.0</x:v>
      </x:c>
      <x:c r="B81" s="74" t="str">
        <x:v>M11</x:v>
      </x:c>
      <x:c r="C81" s="74" t="str">
        <x:v>PATH</x:v>
      </x:c>
      <x:c r="D81" s="215" t="n">
        <x:v>75</x:v>
      </x:c>
      <x:c r="E81" s="74" t="str">
        <x:v>V1.0</x:v>
      </x:c>
      <x:c r="F81" s="68" t="str">
        <x:v>身弱财旺时比劫可通过制财减轻耗身</x:v>
      </x:c>
      <x:c r="G81" s="82" t="str">
        <x:v>结构层</x:v>
      </x:c>
      <x:c r="H81" s="82" t="str">
        <x:v>制化型</x:v>
      </x:c>
      <x:c r="I81" s="68" t="str">
        <x:v>比劫制财护身</x:v>
      </x:c>
      <x:c r="J81" s="68" t="str">
        <x:v>比劫、财星</x:v>
      </x:c>
      <x:c r="K81" s="68" t="str">
        <x:v>日主弱、财星形成明显耗身</x:v>
      </x:c>
      <x:c r="L81" s="68" t="str">
        <x:v>比劫有效且能够克制财星</x:v>
      </x:c>
      <x:c r="M81" s="68" t="str">
        <x:v>直接或可达的生克制化路径成立</x:v>
      </x:c>
      <x:c r="N81" s="68" t="str">
        <x:v>相关十神均以M10有效力量为准，且不存在决定性失衡</x:v>
      </x:c>
      <x:c r="O81" s="68" t="str">
        <x:v>结合M09日主承载判断</x:v>
      </x:c>
      <x:c r="P81" s="68" t="str">
        <x:v>比劫扶身与制财两个作用均真实成立</x:v>
      </x:c>
      <x:c r="Q81" s="68" t="str">
        <x:v>相关十神有根、有源、透达、清纯且关键通路稳定</x:v>
      </x:c>
      <x:c r="R81" s="90" t="str">
        <x:v>关键十神被合绊、被制、改性、失效或力量严重失衡</x:v>
      </x:c>
      <x:c r="S81" s="68" t="str">
        <x:v>存在第三十神恢复通路、清除破坏或重新形成平衡</x:v>
      </x:c>
      <x:c r="T81" s="90" t="str">
        <x:v>任一核心十神失效，或不存在真实作用路径</x:v>
      </x:c>
      <x:c r="U81" s="68" t="str">
        <x:v>特殊格局、从化或月令格局另转M14/M15复审</x:v>
      </x:c>
      <x:c r="V81" s="84" t="str">
        <x:v>基本成立</x:v>
      </x:c>
      <x:c r="W81" s="84" t="str">
        <x:v>扶身并降低财耗</x:v>
      </x:c>
      <x:c r="X81" s="82" t="str">
        <x:v>条件性</x:v>
      </x:c>
      <x:c r="Y81" s="68" t="str">
        <x:v>比劫制财护身候选</x:v>
      </x:c>
      <x:c r="Z81" s="84" t="str">
        <x:v>比劫制财护身_成立条件</x:v>
      </x:c>
      <x:c r="AA81" s="84" t="str">
        <x:v>比劫制财护身：当主体、客体、路径与力量匹配满足最低标准时，判“基本成立”；是否上升为格局转M14/M15。</x:v>
      </x:c>
      <x:c r="AB81" s="82" t="str">
        <x:v>较高</x:v>
      </x:c>
      <x:c r="AC81" s="82" t="str">
        <x:v>现代综合</x:v>
      </x:c>
      <x:c r="AD81" s="68" t="str">
        <x:v>十神同时出现不等于组合成立。M11须同时验证核心十神有效性、作用路径、力量匹配、日主承载、破坏因素与救应；组合成立也不等于格局成立。</x:v>
      </x:c>
      <x:c r="AE81" s="68" t="str">
        <x:v>日主弱、财星形成明显耗身；比劫有效且能够克制财星；作用路径稳定且无关键破坏，可按“比劫制财护身”记录。</x:v>
      </x:c>
      <x:c r="AF81" s="90" t="str">
        <x:v>仅因“比劫、财星”同时出现，但核心十神无力、无作用路径或被关键因素破坏，不能判“比劫制财护身”成立。</x:v>
      </x:c>
      <x:c r="AG81" s="68" t="str">
        <x:v>https://zh.wikisource.org/zh-hans/%E6%B7%B5%E6%B5%B7%E5%AD%90%E5%B9%B3 ; https://zh.wikisource.org/wiki/%E6%BB%B4%E5%A4%A9%E9%AB%93%E9%97%A1%E5%BE%AE</x:v>
      </x:c>
      <x:c r="AH81" s="82" t="str">
        <x:v>采用</x:v>
      </x:c>
      <x:c r="AI81" s="82" t="str">
        <x:v>初审</x:v>
      </x:c>
      <x:c r="AJ81" s="87" t="n">
        <x:v>46255</x:v>
      </x:c>
    </x:row>
    <x:row r="82">
      <x:c r="A82" s="72" t="str">
        <x:f>IF(OR(C82="",D82=""),"",B82&amp;"-"&amp;UPPER(C82)&amp;"-"&amp;TEXT(D82,"0000")&amp;"-"&amp;E82)</x:f>
        <x:v>M11-PATH-0076-V1.0</x:v>
      </x:c>
      <x:c r="B82" s="74" t="str">
        <x:v>M11</x:v>
      </x:c>
      <x:c r="C82" s="74" t="str">
        <x:v>PATH</x:v>
      </x:c>
      <x:c r="D82" s="215" t="n">
        <x:v>76</x:v>
      </x:c>
      <x:c r="E82" s="74" t="str">
        <x:v>V1.0</x:v>
      </x:c>
      <x:c r="F82" s="68" t="str">
        <x:v>比劫过强会由护身转为夺财过度</x:v>
      </x:c>
      <x:c r="G82" s="82" t="str">
        <x:v>结构层</x:v>
      </x:c>
      <x:c r="H82" s="82" t="str">
        <x:v>制化型</x:v>
      </x:c>
      <x:c r="I82" s="68" t="str">
        <x:v>比劫制财护身</x:v>
      </x:c>
      <x:c r="J82" s="68" t="str">
        <x:v>比劫、财星</x:v>
      </x:c>
      <x:c r="K82" s="68" t="str">
        <x:v>比劫旺或极旺</x:v>
      </x:c>
      <x:c r="L82" s="68" t="str">
        <x:v>财星被制至失效</x:v>
      </x:c>
      <x:c r="M82" s="68" t="str">
        <x:v>直接或可达的生克制化路径成立</x:v>
      </x:c>
      <x:c r="N82" s="68" t="str">
        <x:v>比劫明显强于财</x:v>
      </x:c>
      <x:c r="O82" s="68" t="str">
        <x:v>结合M09日主承载判断</x:v>
      </x:c>
      <x:c r="P82" s="68" t="str">
        <x:v>主体、客体、作用路径与力量匹配均达到最低要求</x:v>
      </x:c>
      <x:c r="Q82" s="68" t="str">
        <x:v>相关十神有根、有源、透达、清纯且关键通路稳定</x:v>
      </x:c>
      <x:c r="R82" s="90" t="str">
        <x:v>关键十神被合绊、被制、改性、失效或力量严重失衡</x:v>
      </x:c>
      <x:c r="S82" s="68" t="str">
        <x:v>存在第三十神恢复通路、清除破坏或重新形成平衡</x:v>
      </x:c>
      <x:c r="T82" s="90" t="str">
        <x:v>任一核心十神失效，或不存在真实作用路径</x:v>
      </x:c>
      <x:c r="U82" s="68" t="str">
        <x:v>特殊格局、从化或月令格局另转M14/M15复审</x:v>
      </x:c>
      <x:c r="V82" s="84" t="str">
        <x:v>弱成立</x:v>
      </x:c>
      <x:c r="W82" s="84" t="str">
        <x:v>制财过度</x:v>
      </x:c>
      <x:c r="X82" s="82" t="str">
        <x:v>否</x:v>
      </x:c>
      <x:c r="Y82" s="68" t="str">
        <x:v>对应格局候选转M14</x:v>
      </x:c>
      <x:c r="Z82" s="84" t="str">
        <x:v>比劫制财_过度</x:v>
      </x:c>
      <x:c r="AA82" s="84" t="str">
        <x:v>比劫制财护身：当主体、客体、路径与力量匹配满足最低标准时，判“弱成立”；是否上升为格局转M14/M15。</x:v>
      </x:c>
      <x:c r="AB82" s="82" t="str">
        <x:v>较高</x:v>
      </x:c>
      <x:c r="AC82" s="82" t="str">
        <x:v>现代综合</x:v>
      </x:c>
      <x:c r="AD82" s="68" t="str">
        <x:v>十神同时出现不等于组合成立。M11须同时验证核心十神有效性、作用路径、力量匹配、日主承载、破坏因素与救应；组合成立也不等于格局成立。</x:v>
      </x:c>
      <x:c r="AE82" s="68" t="str">
        <x:v>比劫旺或极旺；财星被制至失效；作用路径稳定且无关键破坏，可按“比劫制财护身”记录。</x:v>
      </x:c>
      <x:c r="AF82" s="90" t="str">
        <x:v>仅因“比劫、财星”同时出现，但核心十神无力、无作用路径或被关键因素破坏，不能判“比劫制财护身”成立。</x:v>
      </x:c>
      <x:c r="AG82" s="68" t="str">
        <x:v>https://zh.wikisource.org/zh-hans/%E6%B7%B5%E6%B5%B7%E5%AD%90%E5%B9%B3 ; https://zh.wikisource.org/wiki/%E6%BB%B4%E5%A4%A9%E9%AB%93%E9%97%A1%E5%BE%AE</x:v>
      </x:c>
      <x:c r="AH82" s="82" t="str">
        <x:v>采用</x:v>
      </x:c>
      <x:c r="AI82" s="82" t="str">
        <x:v>初审</x:v>
      </x:c>
      <x:c r="AJ82" s="87" t="n">
        <x:v>46255</x:v>
      </x:c>
    </x:row>
    <x:row r="83">
      <x:c r="A83" s="72" t="str">
        <x:f>IF(OR(C83="",D83=""),"",B83&amp;"-"&amp;UPPER(C83)&amp;"-"&amp;TEXT(D83,"0000")&amp;"-"&amp;E83)</x:f>
        <x:v>M11-PATH-0077-V1.0</x:v>
      </x:c>
      <x:c r="B83" s="74" t="str">
        <x:v>M11</x:v>
      </x:c>
      <x:c r="C83" s="74" t="str">
        <x:v>PATH</x:v>
      </x:c>
      <x:c r="D83" s="215" t="n">
        <x:v>77</x:v>
      </x:c>
      <x:c r="E83" s="74" t="str">
        <x:v>V1.0</x:v>
      </x:c>
      <x:c r="F83" s="68" t="str">
        <x:v>强比劫或羊刃类承载需有七杀制衡</x:v>
      </x:c>
      <x:c r="G83" s="82" t="str">
        <x:v>结构层</x:v>
      </x:c>
      <x:c r="H83" s="82" t="str">
        <x:v>制化型</x:v>
      </x:c>
      <x:c r="I83" s="68" t="str">
        <x:v>羊刃驾杀</x:v>
      </x:c>
      <x:c r="J83" s="68" t="str">
        <x:v>比劫、七杀</x:v>
      </x:c>
      <x:c r="K83" s="68" t="str">
        <x:v>日主及比劫极强形成强身势</x:v>
      </x:c>
      <x:c r="L83" s="68" t="str">
        <x:v>七杀有效且可制约强身集团</x:v>
      </x:c>
      <x:c r="M83" s="68" t="str">
        <x:v>直接或可达的生克制化路径成立</x:v>
      </x:c>
      <x:c r="N83" s="68" t="str">
        <x:v>相关十神均以M10有效力量为准，且不存在决定性失衡</x:v>
      </x:c>
      <x:c r="O83" s="68" t="str">
        <x:v>结合M09日主承载判断</x:v>
      </x:c>
      <x:c r="P83" s="68" t="str">
        <x:v>身强、杀有权、制衡不过度</x:v>
      </x:c>
      <x:c r="Q83" s="68" t="str">
        <x:v>相关十神有根、有源、透达、清纯且关键通路稳定</x:v>
      </x:c>
      <x:c r="R83" s="90" t="str">
        <x:v>关键十神被合绊、被制、改性、失效或力量严重失衡</x:v>
      </x:c>
      <x:c r="S83" s="68" t="str">
        <x:v>存在第三十神恢复通路、清除破坏或重新形成平衡</x:v>
      </x:c>
      <x:c r="T83" s="90" t="str">
        <x:v>任一核心十神失效，或不存在真实作用路径</x:v>
      </x:c>
      <x:c r="U83" s="68" t="str">
        <x:v>特殊格局、从化或月令格局另转M14/M15复审</x:v>
      </x:c>
      <x:c r="V83" s="84" t="str">
        <x:v>基本成立</x:v>
      </x:c>
      <x:c r="W83" s="84" t="str">
        <x:v>以杀制强身</x:v>
      </x:c>
      <x:c r="X83" s="82" t="str">
        <x:v>条件性</x:v>
      </x:c>
      <x:c r="Y83" s="68" t="str">
        <x:v>羊刃驾杀候选</x:v>
      </x:c>
      <x:c r="Z83" s="84" t="str">
        <x:v>羊刃驾杀_成立条件</x:v>
      </x:c>
      <x:c r="AA83" s="84" t="str">
        <x:v>羊刃驾杀：当主体、客体、路径与力量匹配满足最低标准时，判“基本成立”；是否上升为格局转M14/M15。</x:v>
      </x:c>
      <x:c r="AB83" s="82" t="str">
        <x:v>较高</x:v>
      </x:c>
      <x:c r="AC83" s="82" t="str">
        <x:v>现代综合</x:v>
      </x:c>
      <x:c r="AD83" s="68" t="str">
        <x:v>十神同时出现不等于组合成立。M11须同时验证核心十神有效性、作用路径、力量匹配、日主承载、破坏因素与救应；组合成立也不等于格局成立。</x:v>
      </x:c>
      <x:c r="AE83" s="68" t="str">
        <x:v>日主及比劫极强形成强身势；七杀有效且可制约强身集团；作用路径稳定且无关键破坏，可按“羊刃驾杀”记录。</x:v>
      </x:c>
      <x:c r="AF83" s="90" t="str">
        <x:v>仅因“比劫、七杀”同时出现，但核心十神无力、无作用路径或被关键因素破坏，不能判“羊刃驾杀”成立。</x:v>
      </x:c>
      <x:c r="AG83" s="68" t="str">
        <x:v>https://zh.wikisource.org/zh-hans/%E6%B7%B5%E6%B5%B7%E5%AD%90%E5%B9%B3 ; https://zh.wikisource.org/wiki/%E6%BB%B4%E5%A4%A9%E9%AB%93%E9%97%A1%E5%BE%AE</x:v>
      </x:c>
      <x:c r="AH83" s="82" t="str">
        <x:v>采用</x:v>
      </x:c>
      <x:c r="AI83" s="82" t="str">
        <x:v>初审</x:v>
      </x:c>
      <x:c r="AJ83" s="87" t="n">
        <x:v>46255</x:v>
      </x:c>
    </x:row>
    <x:row r="84">
      <x:c r="A84" s="72" t="str">
        <x:f>IF(OR(C84="",D84=""),"",B84&amp;"-"&amp;UPPER(C84)&amp;"-"&amp;TEXT(D84,"0000")&amp;"-"&amp;E84)</x:f>
        <x:v>M11-PATH-0078-V1.0</x:v>
      </x:c>
      <x:c r="B84" s="74" t="str">
        <x:v>M11</x:v>
      </x:c>
      <x:c r="C84" s="74" t="str">
        <x:v>PATH</x:v>
      </x:c>
      <x:c r="D84" s="215" t="n">
        <x:v>78</x:v>
      </x:c>
      <x:c r="E84" s="74" t="str">
        <x:v>V1.0</x:v>
      </x:c>
      <x:c r="F84" s="68" t="str">
        <x:v>杀弱无根不足以驾强刃</x:v>
      </x:c>
      <x:c r="G84" s="82" t="str">
        <x:v>结构层</x:v>
      </x:c>
      <x:c r="H84" s="82" t="str">
        <x:v>制化型</x:v>
      </x:c>
      <x:c r="I84" s="68" t="str">
        <x:v>羊刃驾杀</x:v>
      </x:c>
      <x:c r="J84" s="68" t="str">
        <x:v>比劫、七杀</x:v>
      </x:c>
      <x:c r="K84" s="68" t="str">
        <x:v>强身比劫成势</x:v>
      </x:c>
      <x:c r="L84" s="68" t="str">
        <x:v>七杀弱或失效</x:v>
      </x:c>
      <x:c r="M84" s="68" t="str">
        <x:v>直接或可达的生克制化路径成立</x:v>
      </x:c>
      <x:c r="N84" s="68" t="str">
        <x:v>相关十神均以M10有效力量为准，且不存在决定性失衡</x:v>
      </x:c>
      <x:c r="O84" s="68" t="str">
        <x:v>结合M09日主承载判断</x:v>
      </x:c>
      <x:c r="P84" s="68" t="str">
        <x:v>主体、客体、作用路径与力量匹配均达到最低要求</x:v>
      </x:c>
      <x:c r="Q84" s="68" t="str">
        <x:v>相关十神有根、有源、透达、清纯且关键通路稳定</x:v>
      </x:c>
      <x:c r="R84" s="90" t="str">
        <x:v>关键十神被合绊、被制、改性、失效或力量严重失衡</x:v>
      </x:c>
      <x:c r="S84" s="68" t="str">
        <x:v>存在第三十神恢复通路、清除破坏或重新形成平衡</x:v>
      </x:c>
      <x:c r="T84" s="90" t="str">
        <x:v>任一核心十神失效，或不存在真实作用路径</x:v>
      </x:c>
      <x:c r="U84" s="68" t="str">
        <x:v>特殊格局、从化或月令格局另转M14/M15复审</x:v>
      </x:c>
      <x:c r="V84" s="84" t="str">
        <x:v>不成立</x:v>
      </x:c>
      <x:c r="W84" s="84" t="str">
        <x:v>杀不足以制强身</x:v>
      </x:c>
      <x:c r="X84" s="82" t="str">
        <x:v>否</x:v>
      </x:c>
      <x:c r="Y84" s="68" t="str">
        <x:v>对应格局候选转M14</x:v>
      </x:c>
      <x:c r="Z84" s="84" t="str">
        <x:v>羊刃驾杀_杀弱</x:v>
      </x:c>
      <x:c r="AA84" s="84" t="str">
        <x:v>羊刃驾杀：当主体、客体、路径与力量匹配满足最低标准时，判“不成立”；是否上升为格局转M14/M15。</x:v>
      </x:c>
      <x:c r="AB84" s="82" t="str">
        <x:v>较高</x:v>
      </x:c>
      <x:c r="AC84" s="82" t="str">
        <x:v>现代综合</x:v>
      </x:c>
      <x:c r="AD84" s="68" t="str">
        <x:v>十神同时出现不等于组合成立。M11须同时验证核心十神有效性、作用路径、力量匹配、日主承载、破坏因素与救应；组合成立也不等于格局成立。</x:v>
      </x:c>
      <x:c r="AE84" s="68" t="str">
        <x:v>强身比劫成势；七杀弱或失效；作用路径稳定且无关键破坏，可按“羊刃驾杀”记录。</x:v>
      </x:c>
      <x:c r="AF84" s="90" t="str">
        <x:v>仅因“比劫、七杀”同时出现，但核心十神无力、无作用路径或被关键因素破坏，不能判“羊刃驾杀”成立。</x:v>
      </x:c>
      <x:c r="AG84" s="68" t="str">
        <x:v>https://zh.wikisource.org/zh-hans/%E6%B7%B5%E6%B5%B7%E5%AD%90%E5%B9%B3 ; https://zh.wikisource.org/wiki/%E6%BB%B4%E5%A4%A9%E9%AB%93%E9%97%A1%E5%BE%AE</x:v>
      </x:c>
      <x:c r="AH84" s="82" t="str">
        <x:v>采用</x:v>
      </x:c>
      <x:c r="AI84" s="82" t="str">
        <x:v>初审</x:v>
      </x:c>
      <x:c r="AJ84" s="87" t="n">
        <x:v>46255</x:v>
      </x:c>
    </x:row>
    <x:row r="85">
      <x:c r="A85" s="72" t="str">
        <x:f>IF(OR(C85="",D85=""),"",B85&amp;"-"&amp;UPPER(C85)&amp;"-"&amp;TEXT(D85,"0000")&amp;"-"&amp;E85)</x:f>
        <x:v>M11-PATH-0079-V1.0</x:v>
      </x:c>
      <x:c r="B85" s="74" t="str">
        <x:v>M11</x:v>
      </x:c>
      <x:c r="C85" s="74" t="str">
        <x:v>PATH</x:v>
      </x:c>
      <x:c r="D85" s="215" t="n">
        <x:v>79</x:v>
      </x:c>
      <x:c r="E85" s="74" t="str">
        <x:v>V1.0</x:v>
      </x:c>
      <x:c r="F85" s="68" t="str">
        <x:v>印星承接官杀可形成通关化压力</x:v>
      </x:c>
      <x:c r="G85" s="82" t="str">
        <x:v>结构层</x:v>
      </x:c>
      <x:c r="H85" s="82" t="str">
        <x:v>制化型</x:v>
      </x:c>
      <x:c r="I85" s="68" t="str">
        <x:v>印化官杀</x:v>
      </x:c>
      <x:c r="J85" s="68" t="str">
        <x:v>印星、官杀</x:v>
      </x:c>
      <x:c r="K85" s="68" t="str">
        <x:v>官杀有效</x:v>
      </x:c>
      <x:c r="L85" s="68" t="str">
        <x:v>印星有效并能承接官杀、继续生身</x:v>
      </x:c>
      <x:c r="M85" s="68" t="str">
        <x:v>直接或可达的生克制化路径成立</x:v>
      </x:c>
      <x:c r="N85" s="68" t="str">
        <x:v>相关十神均以M10有效力量为准，且不存在决定性失衡</x:v>
      </x:c>
      <x:c r="O85" s="68" t="str">
        <x:v>结合M09日主承载判断</x:v>
      </x:c>
      <x:c r="P85" s="68" t="str">
        <x:v>官杀→印→身链路成立</x:v>
      </x:c>
      <x:c r="Q85" s="68" t="str">
        <x:v>相关十神有根、有源、透达、清纯且关键通路稳定</x:v>
      </x:c>
      <x:c r="R85" s="90" t="str">
        <x:v>关键十神被合绊、被制、改性、失效或力量严重失衡</x:v>
      </x:c>
      <x:c r="S85" s="68" t="str">
        <x:v>存在第三十神恢复通路、清除破坏或重新形成平衡</x:v>
      </x:c>
      <x:c r="T85" s="90" t="str">
        <x:v>任一核心十神失效，或不存在真实作用路径</x:v>
      </x:c>
      <x:c r="U85" s="68" t="str">
        <x:v>特殊格局、从化或月令格局另转M14/M15复审</x:v>
      </x:c>
      <x:c r="V85" s="84" t="str">
        <x:v>基本成立</x:v>
      </x:c>
      <x:c r="W85" s="84" t="str">
        <x:v>化解官杀直接制身</x:v>
      </x:c>
      <x:c r="X85" s="82" t="str">
        <x:v>条件性</x:v>
      </x:c>
      <x:c r="Y85" s="68" t="str">
        <x:v>官印/杀印候选</x:v>
      </x:c>
      <x:c r="Z85" s="84" t="str">
        <x:v>印化官杀_成立条件</x:v>
      </x:c>
      <x:c r="AA85" s="84" t="str">
        <x:v>印化官杀：当主体、客体、路径与力量匹配满足最低标准时，判“基本成立”；是否上升为格局转M14/M15。</x:v>
      </x:c>
      <x:c r="AB85" s="82" t="str">
        <x:v>较高</x:v>
      </x:c>
      <x:c r="AC85" s="82" t="str">
        <x:v>现代综合</x:v>
      </x:c>
      <x:c r="AD85" s="68" t="str">
        <x:v>十神同时出现不等于组合成立。M11须同时验证核心十神有效性、作用路径、力量匹配、日主承载、破坏因素与救应；组合成立也不等于格局成立。</x:v>
      </x:c>
      <x:c r="AE85" s="68" t="str">
        <x:v>官杀有效；印星有效并能承接官杀、继续生身；作用路径稳定且无关键破坏，可按“印化官杀”记录。</x:v>
      </x:c>
      <x:c r="AF85" s="90" t="str">
        <x:v>仅因“印星、官杀”同时出现，但核心十神无力、无作用路径或被关键因素破坏，不能判“印化官杀”成立。</x:v>
      </x:c>
      <x:c r="AG85" s="68" t="str">
        <x:v>https://zh.wikisource.org/zh-hans/%E6%B7%B5%E6%B5%B7%E5%AD%90%E5%B9%B3 ; https://zh.wikisource.org/wiki/%E6%BB%B4%E5%A4%A9%E9%AB%93%E9%97%A1%E5%BE%AE</x:v>
      </x:c>
      <x:c r="AH85" s="82" t="str">
        <x:v>采用</x:v>
      </x:c>
      <x:c r="AI85" s="82" t="str">
        <x:v>初审</x:v>
      </x:c>
      <x:c r="AJ85" s="87" t="n">
        <x:v>46255</x:v>
      </x:c>
    </x:row>
    <x:row r="86">
      <x:c r="A86" s="72" t="str">
        <x:f>IF(OR(C86="",D86=""),"",B86&amp;"-"&amp;UPPER(C86)&amp;"-"&amp;TEXT(D86,"0000")&amp;"-"&amp;E86)</x:f>
        <x:v>M11-PATH-0080-V1.0</x:v>
      </x:c>
      <x:c r="B86" s="74" t="str">
        <x:v>M11</x:v>
      </x:c>
      <x:c r="C86" s="74" t="str">
        <x:v>PATH</x:v>
      </x:c>
      <x:c r="D86" s="215" t="n">
        <x:v>80</x:v>
      </x:c>
      <x:c r="E86" s="74" t="str">
        <x:v>V1.0</x:v>
      </x:c>
      <x:c r="F86" s="68" t="str">
        <x:v>财坏印会破坏化官杀</x:v>
      </x:c>
      <x:c r="G86" s="82" t="str">
        <x:v>结构层</x:v>
      </x:c>
      <x:c r="H86" s="82" t="str">
        <x:v>制化型</x:v>
      </x:c>
      <x:c r="I86" s="68" t="str">
        <x:v>印化官杀</x:v>
      </x:c>
      <x:c r="J86" s="68" t="str">
        <x:v>印星、官杀</x:v>
      </x:c>
      <x:c r="K86" s="68" t="str">
        <x:v>印为唯一关键通关</x:v>
      </x:c>
      <x:c r="L86" s="68" t="str">
        <x:v>财星有效制印</x:v>
      </x:c>
      <x:c r="M86" s="68" t="str">
        <x:v>直接或可达的生克制化路径成立</x:v>
      </x:c>
      <x:c r="N86" s="68" t="str">
        <x:v>相关十神均以M10有效力量为准，且不存在决定性失衡</x:v>
      </x:c>
      <x:c r="O86" s="68" t="str">
        <x:v>结合M09日主承载判断</x:v>
      </x:c>
      <x:c r="P86" s="68" t="str">
        <x:v>主体、客体、作用路径与力量匹配均达到最低要求</x:v>
      </x:c>
      <x:c r="Q86" s="68" t="str">
        <x:v>相关十神有根、有源、透达、清纯且关键通路稳定</x:v>
      </x:c>
      <x:c r="R86" s="90" t="str">
        <x:v>印星被财制至无法承接官杀</x:v>
      </x:c>
      <x:c r="S86" s="68" t="str">
        <x:v>存在第三十神恢复通路、清除破坏或重新形成平衡</x:v>
      </x:c>
      <x:c r="T86" s="90" t="str">
        <x:v>任一核心十神失效，或不存在真实作用路径</x:v>
      </x:c>
      <x:c r="U86" s="68" t="str">
        <x:v>特殊格局、从化或月令格局另转M14/M15复审</x:v>
      </x:c>
      <x:c r="V86" s="84" t="str">
        <x:v>不成立</x:v>
      </x:c>
      <x:c r="W86" s="84" t="str">
        <x:v>形成局部生化、制化或承载结构</x:v>
      </x:c>
      <x:c r="X86" s="82" t="str">
        <x:v>否</x:v>
      </x:c>
      <x:c r="Y86" s="68" t="str">
        <x:v>对应格局候选转M14</x:v>
      </x:c>
      <x:c r="Z86" s="84" t="str">
        <x:v>印化官杀_财破</x:v>
      </x:c>
      <x:c r="AA86" s="84" t="str">
        <x:v>印化官杀：当主体、客体、路径与力量匹配满足最低标准时，判“不成立”；是否上升为格局转M14/M15。</x:v>
      </x:c>
      <x:c r="AB86" s="82" t="str">
        <x:v>较高</x:v>
      </x:c>
      <x:c r="AC86" s="82" t="str">
        <x:v>现代综合</x:v>
      </x:c>
      <x:c r="AD86" s="68" t="str">
        <x:v>十神同时出现不等于组合成立。M11须同时验证核心十神有效性、作用路径、力量匹配、日主承载、破坏因素与救应；组合成立也不等于格局成立。</x:v>
      </x:c>
      <x:c r="AE86" s="68" t="str">
        <x:v>印为唯一关键通关；财星有效制印；作用路径稳定且无关键破坏，可按“印化官杀”记录。</x:v>
      </x:c>
      <x:c r="AF86" s="90" t="str">
        <x:v>仅因“印星、官杀”同时出现，但核心十神无力、无作用路径或被关键因素破坏，不能判“印化官杀”成立。</x:v>
      </x:c>
      <x:c r="AG86" s="68" t="str">
        <x:v>https://zh.wikisource.org/zh-hans/%E6%B7%B5%E6%B5%B7%E5%AD%90%E5%B9%B3 ; https://zh.wikisource.org/wiki/%E6%BB%B4%E5%A4%A9%E9%AB%93%E9%97%A1%E5%BE%AE</x:v>
      </x:c>
      <x:c r="AH86" s="82" t="str">
        <x:v>采用</x:v>
      </x:c>
      <x:c r="AI86" s="82" t="str">
        <x:v>初审</x:v>
      </x:c>
      <x:c r="AJ86" s="87" t="n">
        <x:v>46255</x:v>
      </x:c>
    </x:row>
    <x:row r="87">
      <x:c r="A87" s="72" t="str">
        <x:f>IF(OR(C87="",D87=""),"",B87&amp;"-"&amp;UPPER(C87)&amp;"-"&amp;TEXT(D87,"0000")&amp;"-"&amp;E87)</x:f>
        <x:v>M11-PATH-0081-V1.0</x:v>
      </x:c>
      <x:c r="B87" s="74" t="str">
        <x:v>M11</x:v>
      </x:c>
      <x:c r="C87" s="74" t="str">
        <x:v>PATH</x:v>
      </x:c>
      <x:c r="D87" s="215" t="n">
        <x:v>81</x:v>
      </x:c>
      <x:c r="E87" s="74" t="str">
        <x:v>V1.0</x:v>
      </x:c>
      <x:c r="F87" s="68" t="str">
        <x:v>身旺食伤有效且输出顺畅时可形成泄秀</x:v>
      </x:c>
      <x:c r="G87" s="82" t="str">
        <x:v>结构层</x:v>
      </x:c>
      <x:c r="H87" s="82" t="str">
        <x:v>制化型</x:v>
      </x:c>
      <x:c r="I87" s="68" t="str">
        <x:v>食伤泄秀</x:v>
      </x:c>
      <x:c r="J87" s="68" t="str">
        <x:v>日主、食伤</x:v>
      </x:c>
      <x:c r="K87" s="68" t="str">
        <x:v>日主旺或极旺</x:v>
      </x:c>
      <x:c r="L87" s="68" t="str">
        <x:v>食伤有力且不被印星强制</x:v>
      </x:c>
      <x:c r="M87" s="68" t="str">
        <x:v>直接或可达的生克制化路径成立</x:v>
      </x:c>
      <x:c r="N87" s="68" t="str">
        <x:v>相关十神均以M10有效力量为准，且不存在决定性失衡</x:v>
      </x:c>
      <x:c r="O87" s="68" t="str">
        <x:v>结合M09日主承载判断</x:v>
      </x:c>
      <x:c r="P87" s="68" t="str">
        <x:v>有足够身源可泄、食伤能形成稳定输出</x:v>
      </x:c>
      <x:c r="Q87" s="68" t="str">
        <x:v>相关十神有根、有源、透达、清纯且关键通路稳定</x:v>
      </x:c>
      <x:c r="R87" s="90" t="str">
        <x:v>关键十神被合绊、被制、改性、失效或力量严重失衡</x:v>
      </x:c>
      <x:c r="S87" s="68" t="str">
        <x:v>存在第三十神恢复通路、清除破坏或重新形成平衡</x:v>
      </x:c>
      <x:c r="T87" s="90" t="str">
        <x:v>任一核心十神失效，或不存在真实作用路径</x:v>
      </x:c>
      <x:c r="U87" s="68" t="str">
        <x:v>特殊格局、从化或月令格局另转M14/M15复审</x:v>
      </x:c>
      <x:c r="V87" s="84" t="str">
        <x:v>基本成立</x:v>
      </x:c>
      <x:c r="W87" s="84" t="str">
        <x:v>泄旺身并导向财星或外部输出</x:v>
      </x:c>
      <x:c r="X87" s="82" t="str">
        <x:v>条件性</x:v>
      </x:c>
      <x:c r="Y87" s="68" t="str">
        <x:v>食伤泄秀候选</x:v>
      </x:c>
      <x:c r="Z87" s="84" t="str">
        <x:v>食伤泄秀_成立条件</x:v>
      </x:c>
      <x:c r="AA87" s="84" t="str">
        <x:v>食伤泄秀：当主体、客体、路径与力量匹配满足最低标准时，判“基本成立”；是否上升为格局转M14/M15。</x:v>
      </x:c>
      <x:c r="AB87" s="82" t="str">
        <x:v>较高</x:v>
      </x:c>
      <x:c r="AC87" s="82" t="str">
        <x:v>现代综合</x:v>
      </x:c>
      <x:c r="AD87" s="68" t="str">
        <x:v>十神同时出现不等于组合成立。M11须同时验证核心十神有效性、作用路径、力量匹配、日主承载、破坏因素与救应；组合成立也不等于格局成立。</x:v>
      </x:c>
      <x:c r="AE87" s="68" t="str">
        <x:v>日主旺或极旺；食伤有力且不被印星强制；作用路径稳定且无关键破坏，可按“食伤泄秀”记录。</x:v>
      </x:c>
      <x:c r="AF87" s="90" t="str">
        <x:v>仅因“日主、食伤”同时出现，但核心十神无力、无作用路径或被关键因素破坏，不能判“食伤泄秀”成立。</x:v>
      </x:c>
      <x:c r="AG87" s="68" t="str">
        <x:v>https://zh.wikisource.org/zh-hans/%E6%B7%B5%E6%B5%B7%E5%AD%90%E5%B9%B3 ; https://zh.wikisource.org/wiki/%E6%BB%B4%E5%A4%A9%E9%AB%93%E9%97%A1%E5%BE%AE</x:v>
      </x:c>
      <x:c r="AH87" s="82" t="str">
        <x:v>采用</x:v>
      </x:c>
      <x:c r="AI87" s="82" t="str">
        <x:v>初审</x:v>
      </x:c>
      <x:c r="AJ87" s="87" t="n">
        <x:v>46255</x:v>
      </x:c>
    </x:row>
    <x:row r="88">
      <x:c r="A88" s="72" t="str">
        <x:f>IF(OR(C88="",D88=""),"",B88&amp;"-"&amp;UPPER(C88)&amp;"-"&amp;TEXT(D88,"0000")&amp;"-"&amp;E88)</x:f>
        <x:v>M11-PATH-0082-V1.0</x:v>
      </x:c>
      <x:c r="B88" s="74" t="str">
        <x:v>M11</x:v>
      </x:c>
      <x:c r="C88" s="74" t="str">
        <x:v>PATH</x:v>
      </x:c>
      <x:c r="D88" s="215" t="n">
        <x:v>82</x:v>
      </x:c>
      <x:c r="E88" s="74" t="str">
        <x:v>V1.0</x:v>
      </x:c>
      <x:c r="F88" s="68" t="str">
        <x:v>身弱不具备稳定泄秀条件</x:v>
      </x:c>
      <x:c r="G88" s="82" t="str">
        <x:v>结构层</x:v>
      </x:c>
      <x:c r="H88" s="82" t="str">
        <x:v>制化型</x:v>
      </x:c>
      <x:c r="I88" s="68" t="str">
        <x:v>食伤泄秀</x:v>
      </x:c>
      <x:c r="J88" s="68" t="str">
        <x:v>日主、食伤</x:v>
      </x:c>
      <x:c r="K88" s="68" t="str">
        <x:v>日主弱或极弱</x:v>
      </x:c>
      <x:c r="L88" s="68" t="str">
        <x:v>食伤又旺</x:v>
      </x:c>
      <x:c r="M88" s="68" t="str">
        <x:v>直接或可达的生克制化路径成立</x:v>
      </x:c>
      <x:c r="N88" s="68" t="str">
        <x:v>相关十神均以M10有效力量为准，且不存在决定性失衡</x:v>
      </x:c>
      <x:c r="O88" s="68" t="str">
        <x:v>泄身会进一步削弱承载</x:v>
      </x:c>
      <x:c r="P88" s="68" t="str">
        <x:v>主体、客体、作用路径与力量匹配均达到最低要求</x:v>
      </x:c>
      <x:c r="Q88" s="68" t="str">
        <x:v>相关十神有根、有源、透达、清纯且关键通路稳定</x:v>
      </x:c>
      <x:c r="R88" s="90" t="str">
        <x:v>关键十神被合绊、被制、改性、失效或力量严重失衡</x:v>
      </x:c>
      <x:c r="S88" s="68" t="str">
        <x:v>存在第三十神恢复通路、清除破坏或重新形成平衡</x:v>
      </x:c>
      <x:c r="T88" s="90" t="str">
        <x:v>任一核心十神失效，或不存在真实作用路径</x:v>
      </x:c>
      <x:c r="U88" s="68" t="str">
        <x:v>特殊格局、从化或月令格局另转M14/M15复审</x:v>
      </x:c>
      <x:c r="V88" s="84" t="str">
        <x:v>不成立</x:v>
      </x:c>
      <x:c r="W88" s="84" t="str">
        <x:v>转为食伤过泄候选</x:v>
      </x:c>
      <x:c r="X88" s="82" t="str">
        <x:v>否</x:v>
      </x:c>
      <x:c r="Y88" s="68" t="str">
        <x:v>对应格局候选转M14</x:v>
      </x:c>
      <x:c r="Z88" s="84" t="str">
        <x:v>食伤泄秀_身弱否决</x:v>
      </x:c>
      <x:c r="AA88" s="84" t="str">
        <x:v>食伤泄秀：当主体、客体、路径与力量匹配满足最低标准时，判“不成立”；是否上升为格局转M14/M15。</x:v>
      </x:c>
      <x:c r="AB88" s="82" t="str">
        <x:v>较高</x:v>
      </x:c>
      <x:c r="AC88" s="82" t="str">
        <x:v>现代综合</x:v>
      </x:c>
      <x:c r="AD88" s="68" t="str">
        <x:v>十神同时出现不等于组合成立。M11须同时验证核心十神有效性、作用路径、力量匹配、日主承载、破坏因素与救应；组合成立也不等于格局成立。</x:v>
      </x:c>
      <x:c r="AE88" s="68" t="str">
        <x:v>日主弱或极弱；食伤又旺；作用路径稳定且无关键破坏，可按“食伤泄秀”记录。</x:v>
      </x:c>
      <x:c r="AF88" s="90" t="str">
        <x:v>仅因“日主、食伤”同时出现，但核心十神无力、无作用路径或被关键因素破坏，不能判“食伤泄秀”成立。</x:v>
      </x:c>
      <x:c r="AG88" s="68" t="str">
        <x:v>https://zh.wikisource.org/zh-hans/%E6%B7%B5%E6%B5%B7%E5%AD%90%E5%B9%B3 ; https://zh.wikisource.org/wiki/%E6%BB%B4%E5%A4%A9%E9%AB%93%E9%97%A1%E5%BE%AE</x:v>
      </x:c>
      <x:c r="AH88" s="82" t="str">
        <x:v>采用</x:v>
      </x:c>
      <x:c r="AI88" s="82" t="str">
        <x:v>初审</x:v>
      </x:c>
      <x:c r="AJ88" s="87" t="n">
        <x:v>46255</x:v>
      </x:c>
    </x:row>
    <x:row r="89">
      <x:c r="A89" s="72" t="str">
        <x:f>IF(OR(C89="",D89=""),"",B89&amp;"-"&amp;UPPER(C89)&amp;"-"&amp;TEXT(D89,"0000")&amp;"-"&amp;E89)</x:f>
        <x:v>M11-CONFLICT-0083-V1.0</x:v>
      </x:c>
      <x:c r="B89" s="74" t="str">
        <x:v>M11</x:v>
      </x:c>
      <x:c r="C89" s="74" t="str">
        <x:v>CONFLICT</x:v>
      </x:c>
      <x:c r="D89" s="215" t="n">
        <x:v>83</x:v>
      </x:c>
      <x:c r="E89" s="74" t="str">
        <x:v>V1.0</x:v>
      </x:c>
      <x:c r="F89" s="68" t="str">
        <x:v>伤官与正官均有效且形成直接克制才构成冲突</x:v>
      </x:c>
      <x:c r="G89" s="82" t="str">
        <x:v>结构层</x:v>
      </x:c>
      <x:c r="H89" s="82" t="str">
        <x:v>冲突病态型</x:v>
      </x:c>
      <x:c r="I89" s="68" t="str">
        <x:v>伤官见官</x:v>
      </x:c>
      <x:c r="J89" s="68" t="str">
        <x:v>伤官、正官</x:v>
      </x:c>
      <x:c r="K89" s="68" t="str">
        <x:v>伤官有效</x:v>
      </x:c>
      <x:c r="L89" s="68" t="str">
        <x:v>正官有效</x:v>
      </x:c>
      <x:c r="M89" s="68" t="str">
        <x:v>伤官可直接克官</x:v>
      </x:c>
      <x:c r="N89" s="68" t="str">
        <x:v>相关十神均以M10有效力量为准，且不存在决定性失衡</x:v>
      </x:c>
      <x:c r="O89" s="68" t="str">
        <x:v>结合M09日主承载判断</x:v>
      </x:c>
      <x:c r="P89" s="68" t="str">
        <x:v>伤官、正官、克制路径三者同时成立</x:v>
      </x:c>
      <x:c r="Q89" s="68" t="str">
        <x:v>相关十神有根、有源、透达、清纯且关键通路稳定</x:v>
      </x:c>
      <x:c r="R89" s="90" t="str">
        <x:v>关键十神被合绊、被制、改性、失效或力量严重失衡</x:v>
      </x:c>
      <x:c r="S89" s="68" t="str">
        <x:v>存在第三十神恢复通路、清除破坏或重新形成平衡</x:v>
      </x:c>
      <x:c r="T89" s="90" t="str">
        <x:v>任一核心十神失效，或不存在真实作用路径</x:v>
      </x:c>
      <x:c r="U89" s="68" t="str">
        <x:v>特殊格局、从化或月令格局另转M14/M15复审</x:v>
      </x:c>
      <x:c r="V89" s="84" t="str">
        <x:v>基本成立</x:v>
      </x:c>
      <x:c r="W89" s="84" t="str">
        <x:v>官星功能受损或冲突</x:v>
      </x:c>
      <x:c r="X89" s="82" t="str">
        <x:v>条件性</x:v>
      </x:c>
      <x:c r="Y89" s="68" t="str">
        <x:v>冲突结构转M16</x:v>
      </x:c>
      <x:c r="Z89" s="84" t="str">
        <x:v>伤官见官_成立条件</x:v>
      </x:c>
      <x:c r="AA89" s="84" t="str">
        <x:v>伤官见官：当主体、客体、路径与力量匹配满足最低标准时，判“基本成立”；是否上升为格局转M14/M15。</x:v>
      </x:c>
      <x:c r="AB89" s="82" t="str">
        <x:v>较高</x:v>
      </x:c>
      <x:c r="AC89" s="82" t="str">
        <x:v>现代综合</x:v>
      </x:c>
      <x:c r="AD89" s="68" t="str">
        <x:v>十神同时出现不等于组合成立。M11须同时验证核心十神有效性、作用路径、力量匹配、日主承载、破坏因素与救应；组合成立也不等于格局成立。</x:v>
      </x:c>
      <x:c r="AE89" s="68" t="str">
        <x:v>伤官有效；正官有效；作用路径稳定且无关键破坏，可按“伤官见官”记录。</x:v>
      </x:c>
      <x:c r="AF89" s="90" t="str">
        <x:v>仅因“伤官、正官”同时出现，但核心十神无力、无作用路径或被关键因素破坏，不能判“伤官见官”成立。</x:v>
      </x:c>
      <x:c r="AG89" s="68" t="str">
        <x:v>https://zh.wikisource.org/zh-hans/%E6%B7%B5%E6%B5%B7%E5%AD%90%E5%B9%B3 ; https://zh.wikisource.org/wiki/%E6%BB%B4%E5%A4%A9%E9%AB%93%E9%97%A1%E5%BE%AE</x:v>
      </x:c>
      <x:c r="AH89" s="82" t="str">
        <x:v>采用</x:v>
      </x:c>
      <x:c r="AI89" s="82" t="str">
        <x:v>初审</x:v>
      </x:c>
      <x:c r="AJ89" s="87" t="n">
        <x:v>46255</x:v>
      </x:c>
    </x:row>
    <x:row r="90">
      <x:c r="A90" s="72" t="str">
        <x:f>IF(OR(C90="",D90=""),"",B90&amp;"-"&amp;UPPER(C90)&amp;"-"&amp;TEXT(D90,"0000")&amp;"-"&amp;E90)</x:f>
        <x:v>M11-CONFLICT-0084-V1.0</x:v>
      </x:c>
      <x:c r="B90" s="74" t="str">
        <x:v>M11</x:v>
      </x:c>
      <x:c r="C90" s="74" t="str">
        <x:v>CONFLICT</x:v>
      </x:c>
      <x:c r="D90" s="215" t="n">
        <x:v>84</x:v>
      </x:c>
      <x:c r="E90" s="74" t="str">
        <x:v>V1.0</x:v>
      </x:c>
      <x:c r="F90" s="68" t="str">
        <x:v>印制伤官可降低伤官见官冲突</x:v>
      </x:c>
      <x:c r="G90" s="82" t="str">
        <x:v>结构层</x:v>
      </x:c>
      <x:c r="H90" s="82" t="str">
        <x:v>冲突病态型</x:v>
      </x:c>
      <x:c r="I90" s="68" t="str">
        <x:v>伤官见官</x:v>
      </x:c>
      <x:c r="J90" s="68" t="str">
        <x:v>伤官、正官、印星</x:v>
      </x:c>
      <x:c r="K90" s="68" t="str">
        <x:v>伤官克官已成立</x:v>
      </x:c>
      <x:c r="L90" s="68" t="str">
        <x:v>印星有效制伤</x:v>
      </x:c>
      <x:c r="M90" s="68" t="str">
        <x:v>直接或可达的生克制化路径成立</x:v>
      </x:c>
      <x:c r="N90" s="68" t="str">
        <x:v>相关十神均以M10有效力量为准，且不存在决定性失衡</x:v>
      </x:c>
      <x:c r="O90" s="68" t="str">
        <x:v>结合M09日主承载判断</x:v>
      </x:c>
      <x:c r="P90" s="68" t="str">
        <x:v>主体、客体、作用路径与力量匹配均达到最低要求</x:v>
      </x:c>
      <x:c r="Q90" s="68" t="str">
        <x:v>相关十神有根、有源、透达、清纯且关键通路稳定</x:v>
      </x:c>
      <x:c r="R90" s="90" t="str">
        <x:v>关键十神被合绊、被制、改性、失效或力量严重失衡</x:v>
      </x:c>
      <x:c r="S90" s="68" t="str">
        <x:v>印星制伤后官星功能恢复</x:v>
      </x:c>
      <x:c r="T90" s="90" t="str">
        <x:v>任一核心十神失效，或不存在真实作用路径</x:v>
      </x:c>
      <x:c r="U90" s="68" t="str">
        <x:v>特殊格局、从化或月令格局另转M14/M15复审</x:v>
      </x:c>
      <x:c r="V90" s="84" t="str">
        <x:v>弱成立</x:v>
      </x:c>
      <x:c r="W90" s="84" t="str">
        <x:v>冲突被部分化解</x:v>
      </x:c>
      <x:c r="X90" s="82" t="str">
        <x:v>条件性</x:v>
      </x:c>
      <x:c r="Y90" s="68" t="str">
        <x:v>对应格局候选转M14</x:v>
      </x:c>
      <x:c r="Z90" s="84" t="str">
        <x:v>伤官见官_印救</x:v>
      </x:c>
      <x:c r="AA90" s="84" t="str">
        <x:v>伤官见官：当主体、客体、路径与力量匹配满足最低标准时，判“弱成立”；是否上升为格局转M14/M15。</x:v>
      </x:c>
      <x:c r="AB90" s="82" t="str">
        <x:v>较高</x:v>
      </x:c>
      <x:c r="AC90" s="82" t="str">
        <x:v>现代综合</x:v>
      </x:c>
      <x:c r="AD90" s="68" t="str">
        <x:v>十神同时出现不等于组合成立。M11须同时验证核心十神有效性、作用路径、力量匹配、日主承载、破坏因素与救应；组合成立也不等于格局成立。</x:v>
      </x:c>
      <x:c r="AE90" s="68" t="str">
        <x:v>伤官克官已成立；印星有效制伤；作用路径稳定且无关键破坏，可按“伤官见官”记录。</x:v>
      </x:c>
      <x:c r="AF90" s="90" t="str">
        <x:v>仅因“伤官、正官、印星”同时出现，但核心十神无力、无作用路径或被关键因素破坏，不能判“伤官见官”成立。</x:v>
      </x:c>
      <x:c r="AG90" s="68" t="str">
        <x:v>https://zh.wikisource.org/zh-hans/%E6%B7%B5%E6%B5%B7%E5%AD%90%E5%B9%B3 ; https://zh.wikisource.org/wiki/%E6%BB%B4%E5%A4%A9%E9%AB%93%E9%97%A1%E5%BE%AE</x:v>
      </x:c>
      <x:c r="AH90" s="82" t="str">
        <x:v>采用</x:v>
      </x:c>
      <x:c r="AI90" s="82" t="str">
        <x:v>初审</x:v>
      </x:c>
      <x:c r="AJ90" s="87" t="n">
        <x:v>46255</x:v>
      </x:c>
    </x:row>
    <x:row r="91">
      <x:c r="A91" s="72" t="str">
        <x:f>IF(OR(C91="",D91=""),"",B91&amp;"-"&amp;UPPER(C91)&amp;"-"&amp;TEXT(D91,"0000")&amp;"-"&amp;E91)</x:f>
        <x:v>M11-CONFLICT-0085-V1.0</x:v>
      </x:c>
      <x:c r="B91" s="74" t="str">
        <x:v>M11</x:v>
      </x:c>
      <x:c r="C91" s="74" t="str">
        <x:v>CONFLICT</x:v>
      </x:c>
      <x:c r="D91" s="215" t="n">
        <x:v>85</x:v>
      </x:c>
      <x:c r="E91" s="74" t="str">
        <x:v>V1.0</x:v>
      </x:c>
      <x:c r="F91" s="68" t="str">
        <x:v>财通伤官生官路径可改变直接冲突</x:v>
      </x:c>
      <x:c r="G91" s="82" t="str">
        <x:v>结构层</x:v>
      </x:c>
      <x:c r="H91" s="82" t="str">
        <x:v>冲突病态型</x:v>
      </x:c>
      <x:c r="I91" s="68" t="str">
        <x:v>伤官见官</x:v>
      </x:c>
      <x:c r="J91" s="68" t="str">
        <x:v>伤官、正官、财星</x:v>
      </x:c>
      <x:c r="K91" s="68" t="str">
        <x:v>伤官可生财</x:v>
      </x:c>
      <x:c r="L91" s="68" t="str">
        <x:v>财星再生官且链路有效</x:v>
      </x:c>
      <x:c r="M91" s="68" t="str">
        <x:v>直接或可达的生克制化路径成立</x:v>
      </x:c>
      <x:c r="N91" s="68" t="str">
        <x:v>相关十神均以M10有效力量为准，且不存在决定性失衡</x:v>
      </x:c>
      <x:c r="O91" s="68" t="str">
        <x:v>结合M09日主承载判断</x:v>
      </x:c>
      <x:c r="P91" s="68" t="str">
        <x:v>主体、客体、作用路径与力量匹配均达到最低要求</x:v>
      </x:c>
      <x:c r="Q91" s="68" t="str">
        <x:v>相关十神有根、有源、透达、清纯且关键通路稳定</x:v>
      </x:c>
      <x:c r="R91" s="90" t="str">
        <x:v>关键十神被合绊、被制、改性、失效或力量严重失衡</x:v>
      </x:c>
      <x:c r="S91" s="68" t="str">
        <x:v>伤→财→官形成通关，直接克官强度下降</x:v>
      </x:c>
      <x:c r="T91" s="90" t="str">
        <x:v>任一核心十神失效，或不存在真实作用路径</x:v>
      </x:c>
      <x:c r="U91" s="68" t="str">
        <x:v>特殊格局、从化或月令格局另转M14/M15复审</x:v>
      </x:c>
      <x:c r="V91" s="84" t="str">
        <x:v>弱成立</x:v>
      </x:c>
      <x:c r="W91" s="84" t="str">
        <x:v>冲突转化为生化链</x:v>
      </x:c>
      <x:c r="X91" s="82" t="str">
        <x:v>条件性</x:v>
      </x:c>
      <x:c r="Y91" s="68" t="str">
        <x:v>对应格局候选转M14</x:v>
      </x:c>
      <x:c r="Z91" s="84" t="str">
        <x:v>伤官见官_财通关</x:v>
      </x:c>
      <x:c r="AA91" s="84" t="str">
        <x:v>伤官见官：当主体、客体、路径与力量匹配满足最低标准时，判“弱成立”；是否上升为格局转M14/M15。</x:v>
      </x:c>
      <x:c r="AB91" s="82" t="str">
        <x:v>较高</x:v>
      </x:c>
      <x:c r="AC91" s="82" t="str">
        <x:v>现代综合</x:v>
      </x:c>
      <x:c r="AD91" s="68" t="str">
        <x:v>十神同时出现不等于组合成立。M11须同时验证核心十神有效性、作用路径、力量匹配、日主承载、破坏因素与救应；组合成立也不等于格局成立。</x:v>
      </x:c>
      <x:c r="AE91" s="68" t="str">
        <x:v>伤官可生财；财星再生官且链路有效；作用路径稳定且无关键破坏，可按“伤官见官”记录。</x:v>
      </x:c>
      <x:c r="AF91" s="90" t="str">
        <x:v>仅因“伤官、正官、财星”同时出现，但核心十神无力、无作用路径或被关键因素破坏，不能判“伤官见官”成立。</x:v>
      </x:c>
      <x:c r="AG91" s="68" t="str">
        <x:v>https://zh.wikisource.org/zh-hans/%E6%B7%B5%E6%B5%B7%E5%AD%90%E5%B9%B3 ; https://zh.wikisource.org/wiki/%E6%BB%B4%E5%A4%A9%E9%AB%93%E9%97%A1%E5%BE%AE</x:v>
      </x:c>
      <x:c r="AH91" s="82" t="str">
        <x:v>采用</x:v>
      </x:c>
      <x:c r="AI91" s="82" t="str">
        <x:v>初审</x:v>
      </x:c>
      <x:c r="AJ91" s="87" t="n">
        <x:v>46255</x:v>
      </x:c>
    </x:row>
    <x:row r="92">
      <x:c r="A92" s="72" t="str">
        <x:f>IF(OR(C92="",D92=""),"",B92&amp;"-"&amp;UPPER(C92)&amp;"-"&amp;TEXT(D92,"0000")&amp;"-"&amp;E92)</x:f>
        <x:v>M11-CONFLICT-0086-V1.0</x:v>
      </x:c>
      <x:c r="B92" s="74" t="str">
        <x:v>M11</x:v>
      </x:c>
      <x:c r="C92" s="74" t="str">
        <x:v>CONFLICT</x:v>
      </x:c>
      <x:c r="D92" s="215" t="n">
        <x:v>86</x:v>
      </x:c>
      <x:c r="E92" s="74" t="str">
        <x:v>V1.0</x:v>
      </x:c>
      <x:c r="F92" s="68" t="str">
        <x:v>偏印必须真实克制关键食神才成立</x:v>
      </x:c>
      <x:c r="G92" s="82" t="str">
        <x:v>结构层</x:v>
      </x:c>
      <x:c r="H92" s="82" t="str">
        <x:v>冲突病态型</x:v>
      </x:c>
      <x:c r="I92" s="68" t="str">
        <x:v>枭神夺食</x:v>
      </x:c>
      <x:c r="J92" s="68" t="str">
        <x:v>偏印、食神</x:v>
      </x:c>
      <x:c r="K92" s="68" t="str">
        <x:v>偏印有效</x:v>
      </x:c>
      <x:c r="L92" s="68" t="str">
        <x:v>食神有效且承担关键输出或制杀功能</x:v>
      </x:c>
      <x:c r="M92" s="68" t="str">
        <x:v>偏印可直接克食神</x:v>
      </x:c>
      <x:c r="N92" s="68" t="str">
        <x:v>相关十神均以M10有效力量为准，且不存在决定性失衡</x:v>
      </x:c>
      <x:c r="O92" s="68" t="str">
        <x:v>结合M09日主承载判断</x:v>
      </x:c>
      <x:c r="P92" s="68" t="str">
        <x:v>枭有力、食有力、克制路径成立</x:v>
      </x:c>
      <x:c r="Q92" s="68" t="str">
        <x:v>相关十神有根、有源、透达、清纯且关键通路稳定</x:v>
      </x:c>
      <x:c r="R92" s="90" t="str">
        <x:v>关键十神被合绊、被制、改性、失效或力量严重失衡</x:v>
      </x:c>
      <x:c r="S92" s="68" t="str">
        <x:v>存在第三十神恢复通路、清除破坏或重新形成平衡</x:v>
      </x:c>
      <x:c r="T92" s="90" t="str">
        <x:v>任一核心十神失效，或不存在真实作用路径</x:v>
      </x:c>
      <x:c r="U92" s="68" t="str">
        <x:v>特殊格局、从化或月令格局另转M14/M15复审</x:v>
      </x:c>
      <x:c r="V92" s="84" t="str">
        <x:v>基本成立</x:v>
      </x:c>
      <x:c r="W92" s="84" t="str">
        <x:v>食神功能受损</x:v>
      </x:c>
      <x:c r="X92" s="82" t="str">
        <x:v>条件性</x:v>
      </x:c>
      <x:c r="Y92" s="68" t="str">
        <x:v>冲突结构转M16</x:v>
      </x:c>
      <x:c r="Z92" s="84" t="str">
        <x:v>枭神夺食_成立条件</x:v>
      </x:c>
      <x:c r="AA92" s="84" t="str">
        <x:v>枭神夺食：当主体、客体、路径与力量匹配满足最低标准时，判“基本成立”；是否上升为格局转M14/M15。</x:v>
      </x:c>
      <x:c r="AB92" s="82" t="str">
        <x:v>较高</x:v>
      </x:c>
      <x:c r="AC92" s="82" t="str">
        <x:v>现代综合</x:v>
      </x:c>
      <x:c r="AD92" s="68" t="str">
        <x:v>十神同时出现不等于组合成立。M11须同时验证核心十神有效性、作用路径、力量匹配、日主承载、破坏因素与救应；组合成立也不等于格局成立。</x:v>
      </x:c>
      <x:c r="AE92" s="68" t="str">
        <x:v>偏印有效；食神有效且承担关键输出或制杀功能；作用路径稳定且无关键破坏，可按“枭神夺食”记录。</x:v>
      </x:c>
      <x:c r="AF92" s="90" t="str">
        <x:v>仅因“偏印、食神”同时出现，但核心十神无力、无作用路径或被关键因素破坏，不能判“枭神夺食”成立。</x:v>
      </x:c>
      <x:c r="AG92" s="68" t="str">
        <x:v>https://zh.wikisource.org/zh-hans/%E6%B7%B5%E6%B5%B7%E5%AD%90%E5%B9%B3 ; https://zh.wikisource.org/wiki/%E6%BB%B4%E5%A4%A9%E9%AB%93%E9%97%A1%E5%BE%AE</x:v>
      </x:c>
      <x:c r="AH92" s="82" t="str">
        <x:v>采用</x:v>
      </x:c>
      <x:c r="AI92" s="82" t="str">
        <x:v>初审</x:v>
      </x:c>
      <x:c r="AJ92" s="87" t="n">
        <x:v>46255</x:v>
      </x:c>
    </x:row>
    <x:row r="93">
      <x:c r="A93" s="72" t="str">
        <x:f>IF(OR(C93="",D93=""),"",B93&amp;"-"&amp;UPPER(C93)&amp;"-"&amp;TEXT(D93,"0000")&amp;"-"&amp;E93)</x:f>
        <x:v>M11-CONFLICT-0087-V1.0</x:v>
      </x:c>
      <x:c r="B93" s="74" t="str">
        <x:v>M11</x:v>
      </x:c>
      <x:c r="C93" s="74" t="str">
        <x:v>CONFLICT</x:v>
      </x:c>
      <x:c r="D93" s="215" t="n">
        <x:v>87</x:v>
      </x:c>
      <x:c r="E93" s="74" t="str">
        <x:v>V1.0</x:v>
      </x:c>
      <x:c r="F93" s="68" t="str">
        <x:v>财制枭可救食</x:v>
      </x:c>
      <x:c r="G93" s="82" t="str">
        <x:v>结构层</x:v>
      </x:c>
      <x:c r="H93" s="82" t="str">
        <x:v>冲突病态型</x:v>
      </x:c>
      <x:c r="I93" s="68" t="str">
        <x:v>枭神夺食</x:v>
      </x:c>
      <x:c r="J93" s="68" t="str">
        <x:v>偏印、食神、财星</x:v>
      </x:c>
      <x:c r="K93" s="68" t="str">
        <x:v>偏印正在制食神</x:v>
      </x:c>
      <x:c r="L93" s="68" t="str">
        <x:v>财星有效制偏印</x:v>
      </x:c>
      <x:c r="M93" s="68" t="str">
        <x:v>直接或可达的生克制化路径成立</x:v>
      </x:c>
      <x:c r="N93" s="68" t="str">
        <x:v>相关十神均以M10有效力量为准，且不存在决定性失衡</x:v>
      </x:c>
      <x:c r="O93" s="68" t="str">
        <x:v>结合M09日主承载判断</x:v>
      </x:c>
      <x:c r="P93" s="68" t="str">
        <x:v>主体、客体、作用路径与力量匹配均达到最低要求</x:v>
      </x:c>
      <x:c r="Q93" s="68" t="str">
        <x:v>相关十神有根、有源、透达、清纯且关键通路稳定</x:v>
      </x:c>
      <x:c r="R93" s="90" t="str">
        <x:v>关键十神被合绊、被制、改性、失效或力量严重失衡</x:v>
      </x:c>
      <x:c r="S93" s="68" t="str">
        <x:v>财制枭并恢复食神功能</x:v>
      </x:c>
      <x:c r="T93" s="90" t="str">
        <x:v>任一核心十神失效，或不存在真实作用路径</x:v>
      </x:c>
      <x:c r="U93" s="68" t="str">
        <x:v>特殊格局、从化或月令格局另转M14/M15复审</x:v>
      </x:c>
      <x:c r="V93" s="84" t="str">
        <x:v>弱成立</x:v>
      </x:c>
      <x:c r="W93" s="84" t="str">
        <x:v>枭夺食被救</x:v>
      </x:c>
      <x:c r="X93" s="82" t="str">
        <x:v>条件性</x:v>
      </x:c>
      <x:c r="Y93" s="68" t="str">
        <x:v>对应格局候选转M14</x:v>
      </x:c>
      <x:c r="Z93" s="84" t="str">
        <x:v>枭神夺食_财救</x:v>
      </x:c>
      <x:c r="AA93" s="84" t="str">
        <x:v>枭神夺食：当主体、客体、路径与力量匹配满足最低标准时，判“弱成立”；是否上升为格局转M14/M15。</x:v>
      </x:c>
      <x:c r="AB93" s="82" t="str">
        <x:v>较高</x:v>
      </x:c>
      <x:c r="AC93" s="82" t="str">
        <x:v>现代综合</x:v>
      </x:c>
      <x:c r="AD93" s="68" t="str">
        <x:v>十神同时出现不等于组合成立。M11须同时验证核心十神有效性、作用路径、力量匹配、日主承载、破坏因素与救应；组合成立也不等于格局成立。</x:v>
      </x:c>
      <x:c r="AE93" s="68" t="str">
        <x:v>偏印正在制食神；财星有效制偏印；作用路径稳定且无关键破坏，可按“枭神夺食”记录。</x:v>
      </x:c>
      <x:c r="AF93" s="90" t="str">
        <x:v>仅因“偏印、食神、财星”同时出现，但核心十神无力、无作用路径或被关键因素破坏，不能判“枭神夺食”成立。</x:v>
      </x:c>
      <x:c r="AG93" s="68" t="str">
        <x:v>https://zh.wikisource.org/zh-hans/%E6%B7%B5%E6%B5%B7%E5%AD%90%E5%B9%B3 ; https://zh.wikisource.org/wiki/%E6%BB%B4%E5%A4%A9%E9%AB%93%E9%97%A1%E5%BE%AE</x:v>
      </x:c>
      <x:c r="AH93" s="82" t="str">
        <x:v>采用</x:v>
      </x:c>
      <x:c r="AI93" s="82" t="str">
        <x:v>初审</x:v>
      </x:c>
      <x:c r="AJ93" s="87" t="n">
        <x:v>46255</x:v>
      </x:c>
    </x:row>
    <x:row r="94">
      <x:c r="A94" s="72" t="str">
        <x:f>IF(OR(C94="",D94=""),"",B94&amp;"-"&amp;UPPER(C94)&amp;"-"&amp;TEXT(D94,"0000")&amp;"-"&amp;E94)</x:f>
        <x:v>M11-CONFLICT-0088-V1.0</x:v>
      </x:c>
      <x:c r="B94" s="74" t="str">
        <x:v>M11</x:v>
      </x:c>
      <x:c r="C94" s="74" t="str">
        <x:v>CONFLICT</x:v>
      </x:c>
      <x:c r="D94" s="215" t="n">
        <x:v>88</x:v>
      </x:c>
      <x:c r="E94" s="74" t="str">
        <x:v>V1.0</x:v>
      </x:c>
      <x:c r="F94" s="68" t="str">
        <x:v>比劫对财星形成实质强制才构成夺财结构</x:v>
      </x:c>
      <x:c r="G94" s="82" t="str">
        <x:v>结构层</x:v>
      </x:c>
      <x:c r="H94" s="82" t="str">
        <x:v>冲突病态型</x:v>
      </x:c>
      <x:c r="I94" s="68" t="str">
        <x:v>比劫夺财</x:v>
      </x:c>
      <x:c r="J94" s="68" t="str">
        <x:v>比劫、财星</x:v>
      </x:c>
      <x:c r="K94" s="68" t="str">
        <x:v>比劫有效且有克财能力</x:v>
      </x:c>
      <x:c r="L94" s="68" t="str">
        <x:v>财星有效并被比劫直接制约</x:v>
      </x:c>
      <x:c r="M94" s="68" t="str">
        <x:v>直接或可达的生克制化路径成立</x:v>
      </x:c>
      <x:c r="N94" s="68" t="str">
        <x:v>相关十神均以M10有效力量为准，且不存在决定性失衡</x:v>
      </x:c>
      <x:c r="O94" s="68" t="str">
        <x:v>结合M09日主承载判断</x:v>
      </x:c>
      <x:c r="P94" s="68" t="str">
        <x:v>比劫与财均有效、克制路径成立</x:v>
      </x:c>
      <x:c r="Q94" s="68" t="str">
        <x:v>相关十神有根、有源、透达、清纯且关键通路稳定</x:v>
      </x:c>
      <x:c r="R94" s="90" t="str">
        <x:v>关键十神被合绊、被制、改性、失效或力量严重失衡</x:v>
      </x:c>
      <x:c r="S94" s="68" t="str">
        <x:v>存在第三十神恢复通路、清除破坏或重新形成平衡</x:v>
      </x:c>
      <x:c r="T94" s="90" t="str">
        <x:v>任一核心十神失效，或不存在真实作用路径</x:v>
      </x:c>
      <x:c r="U94" s="68" t="str">
        <x:v>特殊格局、从化或月令格局另转M14/M15复审</x:v>
      </x:c>
      <x:c r="V94" s="84" t="str">
        <x:v>基本成立</x:v>
      </x:c>
      <x:c r="W94" s="84" t="str">
        <x:v>财星功能受损</x:v>
      </x:c>
      <x:c r="X94" s="82" t="str">
        <x:v>条件性</x:v>
      </x:c>
      <x:c r="Y94" s="68" t="str">
        <x:v>冲突结构转M16</x:v>
      </x:c>
      <x:c r="Z94" s="84" t="str">
        <x:v>比劫夺财_成立条件</x:v>
      </x:c>
      <x:c r="AA94" s="84" t="str">
        <x:v>比劫夺财：当主体、客体、路径与力量匹配满足最低标准时，判“基本成立”；是否上升为格局转M14/M15。</x:v>
      </x:c>
      <x:c r="AB94" s="82" t="str">
        <x:v>较高</x:v>
      </x:c>
      <x:c r="AC94" s="82" t="str">
        <x:v>现代综合</x:v>
      </x:c>
      <x:c r="AD94" s="68" t="str">
        <x:v>十神同时出现不等于组合成立。M11须同时验证核心十神有效性、作用路径、力量匹配、日主承载、破坏因素与救应；组合成立也不等于格局成立。</x:v>
      </x:c>
      <x:c r="AE94" s="68" t="str">
        <x:v>比劫有效且有克财能力；财星有效并被比劫直接制约；作用路径稳定且无关键破坏，可按“比劫夺财”记录。</x:v>
      </x:c>
      <x:c r="AF94" s="90" t="str">
        <x:v>仅因“比劫、财星”同时出现，但核心十神无力、无作用路径或被关键因素破坏，不能判“比劫夺财”成立。</x:v>
      </x:c>
      <x:c r="AG94" s="68" t="str">
        <x:v>https://zh.wikisource.org/zh-hans/%E6%B7%B5%E6%B5%B7%E5%AD%90%E5%B9%B3 ; https://zh.wikisource.org/wiki/%E6%BB%B4%E5%A4%A9%E9%AB%93%E9%97%A1%E5%BE%AE</x:v>
      </x:c>
      <x:c r="AH94" s="82" t="str">
        <x:v>采用</x:v>
      </x:c>
      <x:c r="AI94" s="82" t="str">
        <x:v>初审</x:v>
      </x:c>
      <x:c r="AJ94" s="87" t="n">
        <x:v>46255</x:v>
      </x:c>
    </x:row>
    <x:row r="95">
      <x:c r="A95" s="72" t="str">
        <x:f>IF(OR(C95="",D95=""),"",B95&amp;"-"&amp;UPPER(C95)&amp;"-"&amp;TEXT(D95,"0000")&amp;"-"&amp;E95)</x:f>
        <x:v>M11-CONFLICT-0089-V1.0</x:v>
      </x:c>
      <x:c r="B95" s="74" t="str">
        <x:v>M11</x:v>
      </x:c>
      <x:c r="C95" s="74" t="str">
        <x:v>CONFLICT</x:v>
      </x:c>
      <x:c r="D95" s="215" t="n">
        <x:v>89</x:v>
      </x:c>
      <x:c r="E95" s="74" t="str">
        <x:v>V1.0</x:v>
      </x:c>
      <x:c r="F95" s="68" t="str">
        <x:v>财星强制关键印星才构成财坏印</x:v>
      </x:c>
      <x:c r="G95" s="82" t="str">
        <x:v>结构层</x:v>
      </x:c>
      <x:c r="H95" s="82" t="str">
        <x:v>冲突病态型</x:v>
      </x:c>
      <x:c r="I95" s="68" t="str">
        <x:v>财坏印</x:v>
      </x:c>
      <x:c r="J95" s="68" t="str">
        <x:v>财星、印星</x:v>
      </x:c>
      <x:c r="K95" s="68" t="str">
        <x:v>财星有效</x:v>
      </x:c>
      <x:c r="L95" s="68" t="str">
        <x:v>印星有效且承担生身、化杀或配印关键功能</x:v>
      </x:c>
      <x:c r="M95" s="68" t="str">
        <x:v>直接或可达的生克制化路径成立</x:v>
      </x:c>
      <x:c r="N95" s="68" t="str">
        <x:v>相关十神均以M10有效力量为准，且不存在决定性失衡</x:v>
      </x:c>
      <x:c r="O95" s="68" t="str">
        <x:v>结合M09日主承载判断</x:v>
      </x:c>
      <x:c r="P95" s="68" t="str">
        <x:v>财克印路径成立且印功能明显下降</x:v>
      </x:c>
      <x:c r="Q95" s="68" t="str">
        <x:v>相关十神有根、有源、透达、清纯且关键通路稳定</x:v>
      </x:c>
      <x:c r="R95" s="90" t="str">
        <x:v>关键十神被合绊、被制、改性、失效或力量严重失衡</x:v>
      </x:c>
      <x:c r="S95" s="68" t="str">
        <x:v>存在第三十神恢复通路、清除破坏或重新形成平衡</x:v>
      </x:c>
      <x:c r="T95" s="90" t="str">
        <x:v>任一核心十神失效，或不存在真实作用路径</x:v>
      </x:c>
      <x:c r="U95" s="68" t="str">
        <x:v>特殊格局、从化或月令格局另转M14/M15复审</x:v>
      </x:c>
      <x:c r="V95" s="84" t="str">
        <x:v>基本成立</x:v>
      </x:c>
      <x:c r="W95" s="84" t="str">
        <x:v>关键印星功能受损</x:v>
      </x:c>
      <x:c r="X95" s="82" t="str">
        <x:v>条件性</x:v>
      </x:c>
      <x:c r="Y95" s="68" t="str">
        <x:v>冲突结构转M16</x:v>
      </x:c>
      <x:c r="Z95" s="84" t="str">
        <x:v>财坏印_成立条件</x:v>
      </x:c>
      <x:c r="AA95" s="84" t="str">
        <x:v>财坏印：当主体、客体、路径与力量匹配满足最低标准时，判“基本成立”；是否上升为格局转M14/M15。</x:v>
      </x:c>
      <x:c r="AB95" s="82" t="str">
        <x:v>较高</x:v>
      </x:c>
      <x:c r="AC95" s="82" t="str">
        <x:v>现代综合</x:v>
      </x:c>
      <x:c r="AD95" s="68" t="str">
        <x:v>十神同时出现不等于组合成立。M11须同时验证核心十神有效性、作用路径、力量匹配、日主承载、破坏因素与救应；组合成立也不等于格局成立。</x:v>
      </x:c>
      <x:c r="AE95" s="68" t="str">
        <x:v>财星有效；印星有效且承担生身、化杀或配印关键功能；作用路径稳定且无关键破坏，可按“财坏印”记录。</x:v>
      </x:c>
      <x:c r="AF95" s="90" t="str">
        <x:v>仅因“财星、印星”同时出现，但核心十神无力、无作用路径或被关键因素破坏，不能判“财坏印”成立。</x:v>
      </x:c>
      <x:c r="AG95" s="68" t="str">
        <x:v>https://zh.wikisource.org/zh-hans/%E6%B7%B5%E6%B5%B7%E5%AD%90%E5%B9%B3 ; https://zh.wikisource.org/wiki/%E6%BB%B4%E5%A4%A9%E9%AB%93%E9%97%A1%E5%BE%AE</x:v>
      </x:c>
      <x:c r="AH95" s="82" t="str">
        <x:v>采用</x:v>
      </x:c>
      <x:c r="AI95" s="82" t="str">
        <x:v>初审</x:v>
      </x:c>
      <x:c r="AJ95" s="87" t="n">
        <x:v>46255</x:v>
      </x:c>
    </x:row>
    <x:row r="96">
      <x:c r="A96" s="72" t="str">
        <x:f>IF(OR(C96="",D96=""),"",B96&amp;"-"&amp;UPPER(C96)&amp;"-"&amp;TEXT(D96,"0000")&amp;"-"&amp;E96)</x:f>
        <x:v>M11-CONFLICT-0090-V1.0</x:v>
      </x:c>
      <x:c r="B96" s="74" t="str">
        <x:v>M11</x:v>
      </x:c>
      <x:c r="C96" s="74" t="str">
        <x:v>CONFLICT</x:v>
      </x:c>
      <x:c r="D96" s="215" t="n">
        <x:v>90</x:v>
      </x:c>
      <x:c r="E96" s="74" t="str">
        <x:v>V1.0</x:v>
      </x:c>
      <x:c r="F96" s="68" t="str">
        <x:v>官杀同时有效且主从不清才判混杂</x:v>
      </x:c>
      <x:c r="G96" s="82" t="str">
        <x:v>结构层</x:v>
      </x:c>
      <x:c r="H96" s="82" t="str">
        <x:v>冲突病态型</x:v>
      </x:c>
      <x:c r="I96" s="68" t="str">
        <x:v>官杀混杂</x:v>
      </x:c>
      <x:c r="J96" s="68" t="str">
        <x:v>正官、七杀</x:v>
      </x:c>
      <x:c r="K96" s="68" t="str">
        <x:v>正官有效</x:v>
      </x:c>
      <x:c r="L96" s="68" t="str">
        <x:v>七杀有效</x:v>
      </x:c>
      <x:c r="M96" s="68" t="str">
        <x:v>直接或可达的生克制化路径成立</x:v>
      </x:c>
      <x:c r="N96" s="68" t="str">
        <x:v>官杀均有根有力且不存在明显主从</x:v>
      </x:c>
      <x:c r="O96" s="68" t="str">
        <x:v>结合M09日主承载判断</x:v>
      </x:c>
      <x:c r="P96" s="68" t="str">
        <x:v>官杀双有效、双参与制身且主从不明</x:v>
      </x:c>
      <x:c r="Q96" s="68" t="str">
        <x:v>相关十神有根、有源、透达、清纯且关键通路稳定</x:v>
      </x:c>
      <x:c r="R96" s="90" t="str">
        <x:v>关键十神被合绊、被制、改性、失效或力量严重失衡</x:v>
      </x:c>
      <x:c r="S96" s="68" t="str">
        <x:v>存在第三十神恢复通路、清除破坏或重新形成平衡</x:v>
      </x:c>
      <x:c r="T96" s="90" t="str">
        <x:v>任一核心十神失效，或不存在真实作用路径</x:v>
      </x:c>
      <x:c r="U96" s="68" t="str">
        <x:v>特殊格局、从化或月令格局另转M14/M15复审</x:v>
      </x:c>
      <x:c r="V96" s="84" t="str">
        <x:v>基本成立</x:v>
      </x:c>
      <x:c r="W96" s="84" t="str">
        <x:v>制身路径复杂、清纯度下降</x:v>
      </x:c>
      <x:c r="X96" s="82" t="str">
        <x:v>条件性</x:v>
      </x:c>
      <x:c r="Y96" s="68" t="str">
        <x:v>官杀混杂候选</x:v>
      </x:c>
      <x:c r="Z96" s="84" t="str">
        <x:v>官杀混杂_成立条件</x:v>
      </x:c>
      <x:c r="AA96" s="84" t="str">
        <x:v>官杀混杂：当主体、客体、路径与力量匹配满足最低标准时，判“基本成立”；是否上升为格局转M14/M15。</x:v>
      </x:c>
      <x:c r="AB96" s="82" t="str">
        <x:v>较高</x:v>
      </x:c>
      <x:c r="AC96" s="82" t="str">
        <x:v>现代综合</x:v>
      </x:c>
      <x:c r="AD96" s="68" t="str">
        <x:v>十神同时出现不等于组合成立。M11须同时验证核心十神有效性、作用路径、力量匹配、日主承载、破坏因素与救应；组合成立也不等于格局成立。</x:v>
      </x:c>
      <x:c r="AE96" s="68" t="str">
        <x:v>正官有效；七杀有效；作用路径稳定且无关键破坏，可按“官杀混杂”记录。</x:v>
      </x:c>
      <x:c r="AF96" s="90" t="str">
        <x:v>仅因“正官、七杀”同时出现，但核心十神无力、无作用路径或被关键因素破坏，不能判“官杀混杂”成立。</x:v>
      </x:c>
      <x:c r="AG96" s="68" t="str">
        <x:v>https://zh.wikisource.org/zh-hans/%E6%B7%B5%E6%B5%B7%E5%AD%90%E5%B9%B3 ; https://zh.wikisource.org/wiki/%E6%BB%B4%E5%A4%A9%E9%AB%93%E9%97%A1%E5%BE%AE</x:v>
      </x:c>
      <x:c r="AH96" s="82" t="str">
        <x:v>采用</x:v>
      </x:c>
      <x:c r="AI96" s="82" t="str">
        <x:v>初审</x:v>
      </x:c>
      <x:c r="AJ96" s="87" t="n">
        <x:v>46255</x:v>
      </x:c>
    </x:row>
    <x:row r="97">
      <x:c r="A97" s="72" t="str">
        <x:f>IF(OR(C97="",D97=""),"",B97&amp;"-"&amp;UPPER(C97)&amp;"-"&amp;TEXT(D97,"0000")&amp;"-"&amp;E97)</x:f>
        <x:v>M11-CONFLICT-0091-V1.0</x:v>
      </x:c>
      <x:c r="B97" s="74" t="str">
        <x:v>M11</x:v>
      </x:c>
      <x:c r="C97" s="74" t="str">
        <x:v>CONFLICT</x:v>
      </x:c>
      <x:c r="D97" s="215" t="n">
        <x:v>91</x:v>
      </x:c>
      <x:c r="E97" s="74" t="str">
        <x:v>V1.0</x:v>
      </x:c>
      <x:c r="F97" s="68" t="str">
        <x:v>一方弱而从强方时可不按严重混杂</x:v>
      </x:c>
      <x:c r="G97" s="82" t="str">
        <x:v>结构层</x:v>
      </x:c>
      <x:c r="H97" s="82" t="str">
        <x:v>冲突病态型</x:v>
      </x:c>
      <x:c r="I97" s="68" t="str">
        <x:v>官杀混杂</x:v>
      </x:c>
      <x:c r="J97" s="68" t="str">
        <x:v>正官、七杀</x:v>
      </x:c>
      <x:c r="K97" s="68" t="str">
        <x:v>官杀并见</x:v>
      </x:c>
      <x:c r="L97" s="68" t="str">
        <x:v>其中一方明显弱、无根或失效</x:v>
      </x:c>
      <x:c r="M97" s="68" t="str">
        <x:v>直接或可达的生克制化路径成立</x:v>
      </x:c>
      <x:c r="N97" s="68" t="str">
        <x:v>主从关系清晰</x:v>
      </x:c>
      <x:c r="O97" s="68" t="str">
        <x:v>结合M09日主承载判断</x:v>
      </x:c>
      <x:c r="P97" s="68" t="str">
        <x:v>主体、客体、作用路径与力量匹配均达到最低要求</x:v>
      </x:c>
      <x:c r="Q97" s="68" t="str">
        <x:v>相关十神有根、有源、透达、清纯且关键通路稳定</x:v>
      </x:c>
      <x:c r="R97" s="90" t="str">
        <x:v>关键十神被合绊、被制、改性、失效或力量严重失衡</x:v>
      </x:c>
      <x:c r="S97" s="68" t="str">
        <x:v>存在第三十神恢复通路、清除破坏或重新形成平衡</x:v>
      </x:c>
      <x:c r="T97" s="90" t="str">
        <x:v>任一核心十神失效，或不存在真实作用路径</x:v>
      </x:c>
      <x:c r="U97" s="68" t="str">
        <x:v>特殊格局、从化或月令格局另转M14/M15复审</x:v>
      </x:c>
      <x:c r="V97" s="84" t="str">
        <x:v>弱成立</x:v>
      </x:c>
      <x:c r="W97" s="84" t="str">
        <x:v>保留有杂但降低混杂等级</x:v>
      </x:c>
      <x:c r="X97" s="82" t="str">
        <x:v>否</x:v>
      </x:c>
      <x:c r="Y97" s="68" t="str">
        <x:v>对应格局候选转M14</x:v>
      </x:c>
      <x:c r="Z97" s="84" t="str">
        <x:v>官杀混杂_主从清晰</x:v>
      </x:c>
      <x:c r="AA97" s="84" t="str">
        <x:v>官杀混杂：当主体、客体、路径与力量匹配满足最低标准时，判“弱成立”；是否上升为格局转M14/M15。</x:v>
      </x:c>
      <x:c r="AB97" s="82" t="str">
        <x:v>较高</x:v>
      </x:c>
      <x:c r="AC97" s="82" t="str">
        <x:v>现代综合</x:v>
      </x:c>
      <x:c r="AD97" s="68" t="str">
        <x:v>十神同时出现不等于组合成立。M11须同时验证核心十神有效性、作用路径、力量匹配、日主承载、破坏因素与救应；组合成立也不等于格局成立。</x:v>
      </x:c>
      <x:c r="AE97" s="68" t="str">
        <x:v>官杀并见；其中一方明显弱、无根或失效；作用路径稳定且无关键破坏，可按“官杀混杂”记录。</x:v>
      </x:c>
      <x:c r="AF97" s="90" t="str">
        <x:v>仅因“正官、七杀”同时出现，但核心十神无力、无作用路径或被关键因素破坏，不能判“官杀混杂”成立。</x:v>
      </x:c>
      <x:c r="AG97" s="68" t="str">
        <x:v>https://zh.wikisource.org/zh-hans/%E6%B7%B5%E6%B5%B7%E5%AD%90%E5%B9%B3 ; https://zh.wikisource.org/wiki/%E6%BB%B4%E5%A4%A9%E9%AB%93%E9%97%A1%E5%BE%AE</x:v>
      </x:c>
      <x:c r="AH97" s="82" t="str">
        <x:v>采用</x:v>
      </x:c>
      <x:c r="AI97" s="82" t="str">
        <x:v>初审</x:v>
      </x:c>
      <x:c r="AJ97" s="87" t="n">
        <x:v>46255</x:v>
      </x:c>
    </x:row>
    <x:row r="98">
      <x:c r="A98" s="72" t="str">
        <x:f>IF(OR(C98="",D98=""),"",B98&amp;"-"&amp;UPPER(C98)&amp;"-"&amp;TEXT(D98,"0000")&amp;"-"&amp;E98)</x:f>
        <x:v>M11-CONFLICT-0092-V1.0</x:v>
      </x:c>
      <x:c r="B98" s="74" t="str">
        <x:v>M11</x:v>
      </x:c>
      <x:c r="C98" s="74" t="str">
        <x:v>CONFLICT</x:v>
      </x:c>
      <x:c r="D98" s="215" t="n">
        <x:v>92</x:v>
      </x:c>
      <x:c r="E98" s="74" t="str">
        <x:v>V1.0</x:v>
      </x:c>
      <x:c r="F98" s="68" t="str">
        <x:v>合去或制去一方可形成清化</x:v>
      </x:c>
      <x:c r="G98" s="82" t="str">
        <x:v>结构层</x:v>
      </x:c>
      <x:c r="H98" s="82" t="str">
        <x:v>冲突病态型</x:v>
      </x:c>
      <x:c r="I98" s="68" t="str">
        <x:v>官杀混杂</x:v>
      </x:c>
      <x:c r="J98" s="68" t="str">
        <x:v>正官、七杀、合制因素</x:v>
      </x:c>
      <x:c r="K98" s="68" t="str">
        <x:v>官杀并见</x:v>
      </x:c>
      <x:c r="L98" s="68" t="str">
        <x:v>其中一方被有效合住、制去或改性</x:v>
      </x:c>
      <x:c r="M98" s="68" t="str">
        <x:v>直接或可达的生克制化路径成立</x:v>
      </x:c>
      <x:c r="N98" s="68" t="str">
        <x:v>相关十神均以M10有效力量为准，且不存在决定性失衡</x:v>
      </x:c>
      <x:c r="O98" s="68" t="str">
        <x:v>结合M09日主承载判断</x:v>
      </x:c>
      <x:c r="P98" s="68" t="str">
        <x:v>主体、客体、作用路径与力量匹配均达到最低要求</x:v>
      </x:c>
      <x:c r="Q98" s="68" t="str">
        <x:v>相关十神有根、有源、透达、清纯且关键通路稳定</x:v>
      </x:c>
      <x:c r="R98" s="90" t="str">
        <x:v>关键十神被合绊、被制、改性、失效或力量严重失衡</x:v>
      </x:c>
      <x:c r="S98" s="68" t="str">
        <x:v>去官留杀或去杀留官后主导性清晰</x:v>
      </x:c>
      <x:c r="T98" s="90" t="str">
        <x:v>任一核心十神失效，或不存在真实作用路径</x:v>
      </x:c>
      <x:c r="U98" s="68" t="str">
        <x:v>特殊格局、从化或月令格局另转M14/M15复审</x:v>
      </x:c>
      <x:c r="V98" s="84" t="str">
        <x:v>弱成立</x:v>
      </x:c>
      <x:c r="W98" s="84" t="str">
        <x:v>官杀混杂被清化</x:v>
      </x:c>
      <x:c r="X98" s="82" t="str">
        <x:v>条件性</x:v>
      </x:c>
      <x:c r="Y98" s="68" t="str">
        <x:v>对应格局候选转M14</x:v>
      </x:c>
      <x:c r="Z98" s="84" t="str">
        <x:v>官杀混杂_清化</x:v>
      </x:c>
      <x:c r="AA98" s="84" t="str">
        <x:v>官杀混杂：当主体、客体、路径与力量匹配满足最低标准时，判“弱成立”；是否上升为格局转M14/M15。</x:v>
      </x:c>
      <x:c r="AB98" s="82" t="str">
        <x:v>较高</x:v>
      </x:c>
      <x:c r="AC98" s="82" t="str">
        <x:v>现代综合</x:v>
      </x:c>
      <x:c r="AD98" s="68" t="str">
        <x:v>十神同时出现不等于组合成立。M11须同时验证核心十神有效性、作用路径、力量匹配、日主承载、破坏因素与救应；组合成立也不等于格局成立。</x:v>
      </x:c>
      <x:c r="AE98" s="68" t="str">
        <x:v>官杀并见；其中一方被有效合住、制去或改性；作用路径稳定且无关键破坏，可按“官杀混杂”记录。</x:v>
      </x:c>
      <x:c r="AF98" s="90" t="str">
        <x:v>仅因“正官、七杀、合制因素”同时出现，但核心十神无力、无作用路径或被关键因素破坏，不能判“官杀混杂”成立。</x:v>
      </x:c>
      <x:c r="AG98" s="68" t="str">
        <x:v>https://zh.wikisource.org/zh-hans/%E6%B7%B5%E6%B5%B7%E5%AD%90%E5%B9%B3 ; https://zh.wikisource.org/wiki/%E6%BB%B4%E5%A4%A9%E9%AB%93%E9%97%A1%E5%BE%AE</x:v>
      </x:c>
      <x:c r="AH98" s="82" t="str">
        <x:v>采用</x:v>
      </x:c>
      <x:c r="AI98" s="82" t="str">
        <x:v>初审</x:v>
      </x:c>
      <x:c r="AJ98" s="87" t="n">
        <x:v>46255</x:v>
      </x:c>
    </x:row>
    <x:row r="99">
      <x:c r="A99" s="72" t="str">
        <x:f>IF(OR(C99="",D99=""),"",B99&amp;"-"&amp;UPPER(C99)&amp;"-"&amp;TEXT(D99,"0000")&amp;"-"&amp;E99)</x:f>
        <x:v>M11-CONFLICT-0093-V1.0</x:v>
      </x:c>
      <x:c r="B99" s="74" t="str">
        <x:v>M11</x:v>
      </x:c>
      <x:c r="C99" s="74" t="str">
        <x:v>CONFLICT</x:v>
      </x:c>
      <x:c r="D99" s="215" t="n">
        <x:v>93</x:v>
      </x:c>
      <x:c r="E99" s="74" t="str">
        <x:v>V1.0</x:v>
      </x:c>
      <x:c r="F99" s="68" t="str">
        <x:v>食伤均有效且主从不清才判明显混杂</x:v>
      </x:c>
      <x:c r="G99" s="82" t="str">
        <x:v>结构层</x:v>
      </x:c>
      <x:c r="H99" s="82" t="str">
        <x:v>冲突病态型</x:v>
      </x:c>
      <x:c r="I99" s="68" t="str">
        <x:v>食伤混杂</x:v>
      </x:c>
      <x:c r="J99" s="68" t="str">
        <x:v>食神、伤官</x:v>
      </x:c>
      <x:c r="K99" s="68" t="str">
        <x:v>食神有效</x:v>
      </x:c>
      <x:c r="L99" s="68" t="str">
        <x:v>伤官有效</x:v>
      </x:c>
      <x:c r="M99" s="68" t="str">
        <x:v>直接或可达的生克制化路径成立</x:v>
      </x:c>
      <x:c r="N99" s="68" t="str">
        <x:v>两者均达到可主导输出的水平</x:v>
      </x:c>
      <x:c r="O99" s="68" t="str">
        <x:v>结合M09日主承载判断</x:v>
      </x:c>
      <x:c r="P99" s="68" t="str">
        <x:v>主体、客体、作用路径与力量匹配均达到最低要求</x:v>
      </x:c>
      <x:c r="Q99" s="68" t="str">
        <x:v>相关十神有根、有源、透达、清纯且关键通路稳定</x:v>
      </x:c>
      <x:c r="R99" s="90" t="str">
        <x:v>关键十神被合绊、被制、改性、失效或力量严重失衡</x:v>
      </x:c>
      <x:c r="S99" s="68" t="str">
        <x:v>存在第三十神恢复通路、清除破坏或重新形成平衡</x:v>
      </x:c>
      <x:c r="T99" s="90" t="str">
        <x:v>任一核心十神失效，或不存在真实作用路径</x:v>
      </x:c>
      <x:c r="U99" s="68" t="str">
        <x:v>特殊格局、从化或月令格局另转M14/M15复审</x:v>
      </x:c>
      <x:c r="V99" s="84" t="str">
        <x:v>基本成立</x:v>
      </x:c>
      <x:c r="W99" s="84" t="str">
        <x:v>输出模式混杂、功能方向不一</x:v>
      </x:c>
      <x:c r="X99" s="82" t="str">
        <x:v>条件性</x:v>
      </x:c>
      <x:c r="Y99" s="68" t="str">
        <x:v>对应格局候选转M14</x:v>
      </x:c>
      <x:c r="Z99" s="84" t="str">
        <x:v>食伤混杂_成立</x:v>
      </x:c>
      <x:c r="AA99" s="84" t="str">
        <x:v>食伤混杂：当主体、客体、路径与力量匹配满足最低标准时，判“基本成立”；是否上升为格局转M14/M15。</x:v>
      </x:c>
      <x:c r="AB99" s="82" t="str">
        <x:v>较高</x:v>
      </x:c>
      <x:c r="AC99" s="82" t="str">
        <x:v>现代综合</x:v>
      </x:c>
      <x:c r="AD99" s="68" t="str">
        <x:v>十神同时出现不等于组合成立。M11须同时验证核心十神有效性、作用路径、力量匹配、日主承载、破坏因素与救应；组合成立也不等于格局成立。</x:v>
      </x:c>
      <x:c r="AE99" s="68" t="str">
        <x:v>食神有效；伤官有效；作用路径稳定且无关键破坏，可按“食伤混杂”记录。</x:v>
      </x:c>
      <x:c r="AF99" s="90" t="str">
        <x:v>仅因“食神、伤官”同时出现，但核心十神无力、无作用路径或被关键因素破坏，不能判“食伤混杂”成立。</x:v>
      </x:c>
      <x:c r="AG99" s="68" t="str">
        <x:v>https://zh.wikisource.org/zh-hans/%E6%B7%B5%E6%B5%B7%E5%AD%90%E5%B9%B3 ; https://zh.wikisource.org/wiki/%E6%BB%B4%E5%A4%A9%E9%AB%93%E9%97%A1%E5%BE%AE</x:v>
      </x:c>
      <x:c r="AH99" s="82" t="str">
        <x:v>采用</x:v>
      </x:c>
      <x:c r="AI99" s="82" t="str">
        <x:v>初审</x:v>
      </x:c>
      <x:c r="AJ99" s="87" t="n">
        <x:v>46255</x:v>
      </x:c>
    </x:row>
    <x:row r="100">
      <x:c r="A100" s="72" t="str">
        <x:f>IF(OR(C100="",D100=""),"",B100&amp;"-"&amp;UPPER(C100)&amp;"-"&amp;TEXT(D100,"0000")&amp;"-"&amp;E100)</x:f>
        <x:v>M11-CONFLICT-0094-V1.0</x:v>
      </x:c>
      <x:c r="B100" s="74" t="str">
        <x:v>M11</x:v>
      </x:c>
      <x:c r="C100" s="74" t="str">
        <x:v>CONFLICT</x:v>
      </x:c>
      <x:c r="D100" s="215" t="n">
        <x:v>94</x:v>
      </x:c>
      <x:c r="E100" s="74" t="str">
        <x:v>V1.0</x:v>
      </x:c>
      <x:c r="F100" s="68" t="str">
        <x:v>正偏印均有效且功能主从不清时形成混杂</x:v>
      </x:c>
      <x:c r="G100" s="82" t="str">
        <x:v>结构层</x:v>
      </x:c>
      <x:c r="H100" s="82" t="str">
        <x:v>冲突病态型</x:v>
      </x:c>
      <x:c r="I100" s="68" t="str">
        <x:v>印枭混杂</x:v>
      </x:c>
      <x:c r="J100" s="68" t="str">
        <x:v>正印、偏印</x:v>
      </x:c>
      <x:c r="K100" s="68" t="str">
        <x:v>正印有效</x:v>
      </x:c>
      <x:c r="L100" s="68" t="str">
        <x:v>偏印有效</x:v>
      </x:c>
      <x:c r="M100" s="68" t="str">
        <x:v>直接或可达的生克制化路径成立</x:v>
      </x:c>
      <x:c r="N100" s="68" t="str">
        <x:v>两者均有力且共同参与生身/制食伤</x:v>
      </x:c>
      <x:c r="O100" s="68" t="str">
        <x:v>结合M09日主承载判断</x:v>
      </x:c>
      <x:c r="P100" s="68" t="str">
        <x:v>主体、客体、作用路径与力量匹配均达到最低要求</x:v>
      </x:c>
      <x:c r="Q100" s="68" t="str">
        <x:v>相关十神有根、有源、透达、清纯且关键通路稳定</x:v>
      </x:c>
      <x:c r="R100" s="90" t="str">
        <x:v>关键十神被合绊、被制、改性、失效或力量严重失衡</x:v>
      </x:c>
      <x:c r="S100" s="68" t="str">
        <x:v>存在第三十神恢复通路、清除破坏或重新形成平衡</x:v>
      </x:c>
      <x:c r="T100" s="90" t="str">
        <x:v>任一核心十神失效，或不存在真实作用路径</x:v>
      </x:c>
      <x:c r="U100" s="68" t="str">
        <x:v>特殊格局、从化或月令格局另转M14/M15复审</x:v>
      </x:c>
      <x:c r="V100" s="84" t="str">
        <x:v>基本成立</x:v>
      </x:c>
      <x:c r="W100" s="84" t="str">
        <x:v>印星功能主次混杂</x:v>
      </x:c>
      <x:c r="X100" s="82" t="str">
        <x:v>条件性</x:v>
      </x:c>
      <x:c r="Y100" s="68" t="str">
        <x:v>对应格局候选转M14</x:v>
      </x:c>
      <x:c r="Z100" s="84" t="str">
        <x:v>印枭混杂_成立</x:v>
      </x:c>
      <x:c r="AA100" s="84" t="str">
        <x:v>印枭混杂：当主体、客体、路径与力量匹配满足最低标准时，判“基本成立”；是否上升为格局转M14/M15。</x:v>
      </x:c>
      <x:c r="AB100" s="82" t="str">
        <x:v>较高</x:v>
      </x:c>
      <x:c r="AC100" s="82" t="str">
        <x:v>现代综合</x:v>
      </x:c>
      <x:c r="AD100" s="68" t="str">
        <x:v>十神同时出现不等于组合成立。M11须同时验证核心十神有效性、作用路径、力量匹配、日主承载、破坏因素与救应；组合成立也不等于格局成立。</x:v>
      </x:c>
      <x:c r="AE100" s="68" t="str">
        <x:v>正印有效；偏印有效；作用路径稳定且无关键破坏，可按“印枭混杂”记录。</x:v>
      </x:c>
      <x:c r="AF100" s="90" t="str">
        <x:v>仅因“正印、偏印”同时出现，但核心十神无力、无作用路径或被关键因素破坏，不能判“印枭混杂”成立。</x:v>
      </x:c>
      <x:c r="AG100" s="68" t="str">
        <x:v>https://zh.wikisource.org/zh-hans/%E6%B7%B5%E6%B5%B7%E5%AD%90%E5%B9%B3 ; https://zh.wikisource.org/wiki/%E6%BB%B4%E5%A4%A9%E9%AB%93%E9%97%A1%E5%BE%AE</x:v>
      </x:c>
      <x:c r="AH100" s="82" t="str">
        <x:v>采用</x:v>
      </x:c>
      <x:c r="AI100" s="82" t="str">
        <x:v>初审</x:v>
      </x:c>
      <x:c r="AJ100" s="87" t="n">
        <x:v>46255</x:v>
      </x:c>
    </x:row>
    <x:row r="101">
      <x:c r="A101" s="72" t="str">
        <x:f>IF(OR(C101="",D101=""),"",B101&amp;"-"&amp;UPPER(C101)&amp;"-"&amp;TEXT(D101,"0000")&amp;"-"&amp;E101)</x:f>
        <x:v>M11-CONFLICT-0095-V1.0</x:v>
      </x:c>
      <x:c r="B101" s="74" t="str">
        <x:v>M11</x:v>
      </x:c>
      <x:c r="C101" s="74" t="str">
        <x:v>CONFLICT</x:v>
      </x:c>
      <x:c r="D101" s="215" t="n">
        <x:v>95</x:v>
      </x:c>
      <x:c r="E101" s="74" t="str">
        <x:v>V1.0</x:v>
      </x:c>
      <x:c r="F101" s="68" t="str">
        <x:v>食伤将七杀制至明显失去平衡功能时成立</x:v>
      </x:c>
      <x:c r="G101" s="82" t="str">
        <x:v>结构层</x:v>
      </x:c>
      <x:c r="H101" s="82" t="str">
        <x:v>冲突病态型</x:v>
      </x:c>
      <x:c r="I101" s="68" t="str">
        <x:v>制杀太过</x:v>
      </x:c>
      <x:c r="J101" s="68" t="str">
        <x:v>食伤、七杀</x:v>
      </x:c>
      <x:c r="K101" s="68" t="str">
        <x:v>食伤旺强并持续制杀</x:v>
      </x:c>
      <x:c r="L101" s="68" t="str">
        <x:v>七杀由有用压力降至残弱或失效</x:v>
      </x:c>
      <x:c r="M101" s="68" t="str">
        <x:v>直接或可达的生克制化路径成立</x:v>
      </x:c>
      <x:c r="N101" s="68" t="str">
        <x:v>食伤明显强于七杀</x:v>
      </x:c>
      <x:c r="O101" s="68" t="str">
        <x:v>结合M09日主承载判断</x:v>
      </x:c>
      <x:c r="P101" s="68" t="str">
        <x:v>主体、客体、作用路径与力量匹配均达到最低要求</x:v>
      </x:c>
      <x:c r="Q101" s="68" t="str">
        <x:v>相关十神有根、有源、透达、清纯且关键通路稳定</x:v>
      </x:c>
      <x:c r="R101" s="90" t="str">
        <x:v>关键十神被合绊、被制、改性、失效或力量严重失衡</x:v>
      </x:c>
      <x:c r="S101" s="68" t="str">
        <x:v>存在第三十神恢复通路、清除破坏或重新形成平衡</x:v>
      </x:c>
      <x:c r="T101" s="90" t="str">
        <x:v>任一核心十神失效，或不存在真实作用路径</x:v>
      </x:c>
      <x:c r="U101" s="68" t="str">
        <x:v>特殊格局、从化或月令格局另转M14/M15复审</x:v>
      </x:c>
      <x:c r="V101" s="84" t="str">
        <x:v>基本成立</x:v>
      </x:c>
      <x:c r="W101" s="84" t="str">
        <x:v>制化过度，杀失去制衡功能</x:v>
      </x:c>
      <x:c r="X101" s="82" t="str">
        <x:v>条件性</x:v>
      </x:c>
      <x:c r="Y101" s="68" t="str">
        <x:v>对应格局候选转M14</x:v>
      </x:c>
      <x:c r="Z101" s="84" t="str">
        <x:v>制杀太过_成立</x:v>
      </x:c>
      <x:c r="AA101" s="84" t="str">
        <x:v>制杀太过：当主体、客体、路径与力量匹配满足最低标准时，判“基本成立”；是否上升为格局转M14/M15。</x:v>
      </x:c>
      <x:c r="AB101" s="82" t="str">
        <x:v>较高</x:v>
      </x:c>
      <x:c r="AC101" s="82" t="str">
        <x:v>现代综合</x:v>
      </x:c>
      <x:c r="AD101" s="68" t="str">
        <x:v>十神同时出现不等于组合成立。M11须同时验证核心十神有效性、作用路径、力量匹配、日主承载、破坏因素与救应；组合成立也不等于格局成立。</x:v>
      </x:c>
      <x:c r="AE101" s="68" t="str">
        <x:v>食伤旺强并持续制杀；七杀由有用压力降至残弱或失效；作用路径稳定且无关键破坏，可按“制杀太过”记录。</x:v>
      </x:c>
      <x:c r="AF101" s="90" t="str">
        <x:v>仅因“食伤、七杀”同时出现，但核心十神无力、无作用路径或被关键因素破坏，不能判“制杀太过”成立。</x:v>
      </x:c>
      <x:c r="AG101" s="68" t="str">
        <x:v>https://zh.wikisource.org/zh-hans/%E6%B7%B5%E6%B5%B7%E5%AD%90%E5%B9%B3 ; https://zh.wikisource.org/wiki/%E6%BB%B4%E5%A4%A9%E9%AB%93%E9%97%A1%E5%BE%AE</x:v>
      </x:c>
      <x:c r="AH101" s="82" t="str">
        <x:v>采用</x:v>
      </x:c>
      <x:c r="AI101" s="82" t="str">
        <x:v>初审</x:v>
      </x:c>
      <x:c r="AJ101" s="87" t="n">
        <x:v>46255</x:v>
      </x:c>
    </x:row>
    <x:row r="102">
      <x:c r="A102" s="72" t="str">
        <x:f>IF(OR(C102="",D102=""),"",B102&amp;"-"&amp;UPPER(C102)&amp;"-"&amp;TEXT(D102,"0000")&amp;"-"&amp;E102)</x:f>
        <x:v>M11-CONFLICT-0096-V1.0</x:v>
      </x:c>
      <x:c r="B102" s="74" t="str">
        <x:v>M11</x:v>
      </x:c>
      <x:c r="C102" s="74" t="str">
        <x:v>CONFLICT</x:v>
      </x:c>
      <x:c r="D102" s="215" t="n">
        <x:v>96</x:v>
      </x:c>
      <x:c r="E102" s="74" t="str">
        <x:v>V1.0</x:v>
      </x:c>
      <x:c r="F102" s="68" t="str">
        <x:v>杀旺而印弱无法承接时成立</x:v>
      </x:c>
      <x:c r="G102" s="82" t="str">
        <x:v>结构层</x:v>
      </x:c>
      <x:c r="H102" s="82" t="str">
        <x:v>冲突病态型</x:v>
      </x:c>
      <x:c r="I102" s="68" t="str">
        <x:v>化杀不及</x:v>
      </x:c>
      <x:c r="J102" s="68" t="str">
        <x:v>七杀、印星</x:v>
      </x:c>
      <x:c r="K102" s="68" t="str">
        <x:v>七杀旺强</x:v>
      </x:c>
      <x:c r="L102" s="68" t="str">
        <x:v>印星虽存在但力量不足或受制</x:v>
      </x:c>
      <x:c r="M102" s="68" t="str">
        <x:v>直接或可达的生克制化路径成立</x:v>
      </x:c>
      <x:c r="N102" s="68" t="str">
        <x:v>杀明显强于印</x:v>
      </x:c>
      <x:c r="O102" s="68" t="str">
        <x:v>结合M09日主承载判断</x:v>
      </x:c>
      <x:c r="P102" s="68" t="str">
        <x:v>主体、客体、作用路径与力量匹配均达到最低要求</x:v>
      </x:c>
      <x:c r="Q102" s="68" t="str">
        <x:v>相关十神有根、有源、透达、清纯且关键通路稳定</x:v>
      </x:c>
      <x:c r="R102" s="90" t="str">
        <x:v>关键十神被合绊、被制、改性、失效或力量严重失衡</x:v>
      </x:c>
      <x:c r="S102" s="68" t="str">
        <x:v>存在第三十神恢复通路、清除破坏或重新形成平衡</x:v>
      </x:c>
      <x:c r="T102" s="90" t="str">
        <x:v>任一核心十神失效，或不存在真实作用路径</x:v>
      </x:c>
      <x:c r="U102" s="68" t="str">
        <x:v>特殊格局、从化或月令格局另转M14/M15复审</x:v>
      </x:c>
      <x:c r="V102" s="84" t="str">
        <x:v>基本成立</x:v>
      </x:c>
      <x:c r="W102" s="84" t="str">
        <x:v>杀压仍直接落在日主</x:v>
      </x:c>
      <x:c r="X102" s="82" t="str">
        <x:v>条件性</x:v>
      </x:c>
      <x:c r="Y102" s="68" t="str">
        <x:v>对应格局候选转M14</x:v>
      </x:c>
      <x:c r="Z102" s="84" t="str">
        <x:v>化杀不及_成立</x:v>
      </x:c>
      <x:c r="AA102" s="84" t="str">
        <x:v>化杀不及：当主体、客体、路径与力量匹配满足最低标准时，判“基本成立”；是否上升为格局转M14/M15。</x:v>
      </x:c>
      <x:c r="AB102" s="82" t="str">
        <x:v>较高</x:v>
      </x:c>
      <x:c r="AC102" s="82" t="str">
        <x:v>现代综合</x:v>
      </x:c>
      <x:c r="AD102" s="68" t="str">
        <x:v>十神同时出现不等于组合成立。M11须同时验证核心十神有效性、作用路径、力量匹配、日主承载、破坏因素与救应；组合成立也不等于格局成立。</x:v>
      </x:c>
      <x:c r="AE102" s="68" t="str">
        <x:v>七杀旺强；印星虽存在但力量不足或受制；作用路径稳定且无关键破坏，可按“化杀不及”记录。</x:v>
      </x:c>
      <x:c r="AF102" s="90" t="str">
        <x:v>仅因“七杀、印星”同时出现，但核心十神无力、无作用路径或被关键因素破坏，不能判“化杀不及”成立。</x:v>
      </x:c>
      <x:c r="AG102" s="68" t="str">
        <x:v>https://zh.wikisource.org/zh-hans/%E6%B7%B5%E6%B5%B7%E5%AD%90%E5%B9%B3 ; https://zh.wikisource.org/wiki/%E6%BB%B4%E5%A4%A9%E9%AB%93%E9%97%A1%E5%BE%AE</x:v>
      </x:c>
      <x:c r="AH102" s="82" t="str">
        <x:v>采用</x:v>
      </x:c>
      <x:c r="AI102" s="82" t="str">
        <x:v>初审</x:v>
      </x:c>
      <x:c r="AJ102" s="87" t="n">
        <x:v>46255</x:v>
      </x:c>
    </x:row>
    <x:row r="103">
      <x:c r="A103" s="72" t="str">
        <x:f>IF(OR(C103="",D103=""),"",B103&amp;"-"&amp;UPPER(C103)&amp;"-"&amp;TEXT(D103,"0000")&amp;"-"&amp;E103)</x:f>
        <x:v>M11-CONFLICT-0097-V1.0</x:v>
      </x:c>
      <x:c r="B103" s="74" t="str">
        <x:v>M11</x:v>
      </x:c>
      <x:c r="C103" s="74" t="str">
        <x:v>CONFLICT</x:v>
      </x:c>
      <x:c r="D103" s="215" t="n">
        <x:v>97</x:v>
      </x:c>
      <x:c r="E103" s="74" t="str">
        <x:v>V1.0</x:v>
      </x:c>
      <x:c r="F103" s="68" t="str">
        <x:v>财旺且日主承载明显不足时成立</x:v>
      </x:c>
      <x:c r="G103" s="82" t="str">
        <x:v>结构层</x:v>
      </x:c>
      <x:c r="H103" s="82" t="str">
        <x:v>冲突病态型</x:v>
      </x:c>
      <x:c r="I103" s="68" t="str">
        <x:v>财多身弱</x:v>
      </x:c>
      <x:c r="J103" s="68" t="str">
        <x:v>财星、日主</x:v>
      </x:c>
      <x:c r="K103" s="68" t="str">
        <x:v>财星旺或极旺</x:v>
      </x:c>
      <x:c r="L103" s="68" t="str">
        <x:v>M09日主弱或极弱</x:v>
      </x:c>
      <x:c r="M103" s="68" t="str">
        <x:v>直接或可达的生克制化路径成立</x:v>
      </x:c>
      <x:c r="N103" s="68" t="str">
        <x:v>相关十神均以M10有效力量为准，且不存在决定性失衡</x:v>
      </x:c>
      <x:c r="O103" s="68" t="str">
        <x:v>结合M09日主承载判断</x:v>
      </x:c>
      <x:c r="P103" s="68" t="str">
        <x:v>财耗真实存在且印比不足以承载</x:v>
      </x:c>
      <x:c r="Q103" s="68" t="str">
        <x:v>相关十神有根、有源、透达、清纯且关键通路稳定</x:v>
      </x:c>
      <x:c r="R103" s="90" t="str">
        <x:v>关键十神被合绊、被制、改性、失效或力量严重失衡</x:v>
      </x:c>
      <x:c r="S103" s="68" t="str">
        <x:v>存在第三十神恢复通路、清除破坏或重新形成平衡</x:v>
      </x:c>
      <x:c r="T103" s="90" t="str">
        <x:v>任一核心十神失效，或不存在真实作用路径</x:v>
      </x:c>
      <x:c r="U103" s="68" t="str">
        <x:v>特殊格局、从化或月令格局另转M14/M15复审</x:v>
      </x:c>
      <x:c r="V103" s="84" t="str">
        <x:v>明显成立</x:v>
      </x:c>
      <x:c r="W103" s="84" t="str">
        <x:v>财耗超过日主承载</x:v>
      </x:c>
      <x:c r="X103" s="82" t="str">
        <x:v>条件性</x:v>
      </x:c>
      <x:c r="Y103" s="68" t="str">
        <x:v>对应格局候选转M14</x:v>
      </x:c>
      <x:c r="Z103" s="84" t="str">
        <x:v>财多身弱_成立</x:v>
      </x:c>
      <x:c r="AA103" s="84" t="str">
        <x:v>财多身弱：当主体、客体、路径与力量匹配满足最低标准时，判“明显成立”；是否上升为格局转M14/M15。</x:v>
      </x:c>
      <x:c r="AB103" s="82" t="str">
        <x:v>较高</x:v>
      </x:c>
      <x:c r="AC103" s="82" t="str">
        <x:v>现代综合</x:v>
      </x:c>
      <x:c r="AD103" s="68" t="str">
        <x:v>十神同时出现不等于组合成立。M11须同时验证核心十神有效性、作用路径、力量匹配、日主承载、破坏因素与救应；组合成立也不等于格局成立。</x:v>
      </x:c>
      <x:c r="AE103" s="68" t="str">
        <x:v>财星旺或极旺；M09日主弱或极弱；作用路径稳定且无关键破坏，可按“财多身弱”记录。</x:v>
      </x:c>
      <x:c r="AF103" s="90" t="str">
        <x:v>仅因“财星、日主”同时出现，但核心十神无力、无作用路径或被关键因素破坏，不能判“财多身弱”成立。</x:v>
      </x:c>
      <x:c r="AG103" s="68" t="str">
        <x:v>https://zh.wikisource.org/zh-hans/%E6%B7%B5%E6%B5%B7%E5%AD%90%E5%B9%B3 ; https://zh.wikisource.org/wiki/%E6%BB%B4%E5%A4%A9%E9%AB%93%E9%97%A1%E5%BE%AE</x:v>
      </x:c>
      <x:c r="AH103" s="82" t="str">
        <x:v>采用</x:v>
      </x:c>
      <x:c r="AI103" s="82" t="str">
        <x:v>初审</x:v>
      </x:c>
      <x:c r="AJ103" s="87" t="n">
        <x:v>46255</x:v>
      </x:c>
    </x:row>
    <x:row r="104">
      <x:c r="A104" s="72" t="str">
        <x:f>IF(OR(C104="",D104=""),"",B104&amp;"-"&amp;UPPER(C104)&amp;"-"&amp;TEXT(D104,"0000")&amp;"-"&amp;E104)</x:f>
        <x:v>M11-CONFLICT-0098-V1.0</x:v>
      </x:c>
      <x:c r="B104" s="74" t="str">
        <x:v>M11</x:v>
      </x:c>
      <x:c r="C104" s="74" t="str">
        <x:v>CONFLICT</x:v>
      </x:c>
      <x:c r="D104" s="215" t="n">
        <x:v>98</x:v>
      </x:c>
      <x:c r="E104" s="74" t="str">
        <x:v>V1.0</x:v>
      </x:c>
      <x:c r="F104" s="68" t="str">
        <x:v>印过旺并阻碍必要输出时才形成身滞候选</x:v>
      </x:c>
      <x:c r="G104" s="82" t="str">
        <x:v>结构层</x:v>
      </x:c>
      <x:c r="H104" s="82" t="str">
        <x:v>冲突病态型</x:v>
      </x:c>
      <x:c r="I104" s="68" t="str">
        <x:v>印多身滞</x:v>
      </x:c>
      <x:c r="J104" s="68" t="str">
        <x:v>印星、日主、食伤</x:v>
      </x:c>
      <x:c r="K104" s="68" t="str">
        <x:v>印星旺或极旺且持续生身</x:v>
      </x:c>
      <x:c r="L104" s="68" t="str">
        <x:v>日主已旺，食伤又被印制或输出不足</x:v>
      </x:c>
      <x:c r="M104" s="68" t="str">
        <x:v>直接或可达的生克制化路径成立</x:v>
      </x:c>
      <x:c r="N104" s="68" t="str">
        <x:v>相关十神均以M10有效力量为准，且不存在决定性失衡</x:v>
      </x:c>
      <x:c r="O104" s="68" t="str">
        <x:v>结合M09日主承载判断</x:v>
      </x:c>
      <x:c r="P104" s="68" t="str">
        <x:v>身势过强且流通受阻</x:v>
      </x:c>
      <x:c r="Q104" s="68" t="str">
        <x:v>相关十神有根、有源、透达、清纯且关键通路稳定</x:v>
      </x:c>
      <x:c r="R104" s="90" t="str">
        <x:v>关键十神被合绊、被制、改性、失效或力量严重失衡</x:v>
      </x:c>
      <x:c r="S104" s="68" t="str">
        <x:v>存在第三十神恢复通路、清除破坏或重新形成平衡</x:v>
      </x:c>
      <x:c r="T104" s="90" t="str">
        <x:v>任一核心十神失效，或不存在真实作用路径</x:v>
      </x:c>
      <x:c r="U104" s="68" t="str">
        <x:v>特殊格局、从化或月令格局另转M14/M15复审</x:v>
      </x:c>
      <x:c r="V104" s="84" t="str">
        <x:v>基本成立</x:v>
      </x:c>
      <x:c r="W104" s="84" t="str">
        <x:v>生扶过度、输出受阻</x:v>
      </x:c>
      <x:c r="X104" s="82" t="str">
        <x:v>条件性</x:v>
      </x:c>
      <x:c r="Y104" s="68" t="str">
        <x:v>对应格局候选转M14</x:v>
      </x:c>
      <x:c r="Z104" s="84" t="str">
        <x:v>印多身滞_成立</x:v>
      </x:c>
      <x:c r="AA104" s="84" t="str">
        <x:v>印多身滞：当主体、客体、路径与力量匹配满足最低标准时，判“基本成立”；是否上升为格局转M14/M15。</x:v>
      </x:c>
      <x:c r="AB104" s="82" t="str">
        <x:v>较高</x:v>
      </x:c>
      <x:c r="AC104" s="82" t="str">
        <x:v>现代综合</x:v>
      </x:c>
      <x:c r="AD104" s="68" t="str">
        <x:v>十神同时出现不等于组合成立。M11须同时验证核心十神有效性、作用路径、力量匹配、日主承载、破坏因素与救应；组合成立也不等于格局成立。</x:v>
      </x:c>
      <x:c r="AE104" s="68" t="str">
        <x:v>印星旺或极旺且持续生身；日主已旺，食伤又被印制或输出不足；作用路径稳定且无关键破坏，可按“印多身滞”记录。</x:v>
      </x:c>
      <x:c r="AF104" s="90" t="str">
        <x:v>仅因“印星、日主、食伤”同时出现，但核心十神无力、无作用路径或被关键因素破坏，不能判“印多身滞”成立。</x:v>
      </x:c>
      <x:c r="AG104" s="68" t="str">
        <x:v>https://zh.wikisource.org/zh-hans/%E6%B7%B5%E6%B5%B7%E5%AD%90%E5%B9%B3 ; https://zh.wikisource.org/wiki/%E6%BB%B4%E5%A4%A9%E9%AB%93%E9%97%A1%E5%BE%AE</x:v>
      </x:c>
      <x:c r="AH104" s="82" t="str">
        <x:v>采用</x:v>
      </x:c>
      <x:c r="AI104" s="82" t="str">
        <x:v>初审</x:v>
      </x:c>
      <x:c r="AJ104" s="87" t="n">
        <x:v>46255</x:v>
      </x:c>
    </x:row>
    <x:row r="105">
      <x:c r="A105" s="72" t="str">
        <x:f>IF(OR(C105="",D105=""),"",B105&amp;"-"&amp;UPPER(C105)&amp;"-"&amp;TEXT(D105,"0000")&amp;"-"&amp;E105)</x:f>
        <x:v>M11-CONFLICT-0099-V1.0</x:v>
      </x:c>
      <x:c r="B105" s="74" t="str">
        <x:v>M11</x:v>
      </x:c>
      <x:c r="C105" s="74" t="str">
        <x:v>CONFLICT</x:v>
      </x:c>
      <x:c r="D105" s="215" t="n">
        <x:v>99</x:v>
      </x:c>
      <x:c r="E105" s="74" t="str">
        <x:v>V1.0</x:v>
      </x:c>
      <x:c r="F105" s="68" t="str">
        <x:v>两条制化路线争夺同一核心节点时需做容量裁决</x:v>
      </x:c>
      <x:c r="G105" s="82" t="str">
        <x:v>结构层</x:v>
      </x:c>
      <x:c r="H105" s="82" t="str">
        <x:v>冲突病态型</x:v>
      </x:c>
      <x:c r="I105" s="68" t="str">
        <x:v>制化两立</x:v>
      </x:c>
      <x:c r="J105" s="68" t="str">
        <x:v>食伤、印星、官杀</x:v>
      </x:c>
      <x:c r="K105" s="68" t="str">
        <x:v>食制杀与印化杀等路线同时成立候选</x:v>
      </x:c>
      <x:c r="L105" s="68" t="str">
        <x:v>同一官杀力量被多路调用</x:v>
      </x:c>
      <x:c r="M105" s="68" t="str">
        <x:v>直接或可达的生克制化路径成立</x:v>
      </x:c>
      <x:c r="N105" s="68" t="str">
        <x:v>相关十神均以M10有效力量为准，且不存在决定性失衡</x:v>
      </x:c>
      <x:c r="O105" s="68" t="str">
        <x:v>结合M09日主承载判断</x:v>
      </x:c>
      <x:c r="P105" s="68" t="str">
        <x:v>至少两条路线真实存在</x:v>
      </x:c>
      <x:c r="Q105" s="68" t="str">
        <x:v>相关十神有根、有源、透达、清纯且关键通路稳定</x:v>
      </x:c>
      <x:c r="R105" s="90" t="str">
        <x:v>关键十神被合绊、被制、改性、失效或力量严重失衡</x:v>
      </x:c>
      <x:c r="S105" s="68" t="str">
        <x:v>存在第三十神恢复通路、清除破坏或重新形成平衡</x:v>
      </x:c>
      <x:c r="T105" s="90" t="str">
        <x:v>任一核心十神失效，或不存在真实作用路径</x:v>
      </x:c>
      <x:c r="U105" s="68" t="str">
        <x:v>特殊格局、从化或月令格局另转M14/M15复审</x:v>
      </x:c>
      <x:c r="V105" s="84" t="str">
        <x:v>基本成立</x:v>
      </x:c>
      <x:c r="W105" s="84" t="str">
        <x:v>形成制化竞争，需M18裁决</x:v>
      </x:c>
      <x:c r="X105" s="82" t="str">
        <x:v>条件性</x:v>
      </x:c>
      <x:c r="Y105" s="68" t="str">
        <x:v>对应格局候选转M14</x:v>
      </x:c>
      <x:c r="Z105" s="84" t="str">
        <x:v>制化两立_成立</x:v>
      </x:c>
      <x:c r="AA105" s="84" t="str">
        <x:v>制化两立：当主体、客体、路径与力量匹配满足最低标准时，判“基本成立”；是否上升为格局转M14/M15。</x:v>
      </x:c>
      <x:c r="AB105" s="82" t="str">
        <x:v>较高</x:v>
      </x:c>
      <x:c r="AC105" s="82" t="str">
        <x:v>现代综合</x:v>
      </x:c>
      <x:c r="AD105" s="68" t="str">
        <x:v>十神同时出现不等于组合成立。M11须同时验证核心十神有效性、作用路径、力量匹配、日主承载、破坏因素与救应；组合成立也不等于格局成立。</x:v>
      </x:c>
      <x:c r="AE105" s="68" t="str">
        <x:v>食制杀与印化杀等路线同时成立候选；同一官杀力量被多路调用；作用路径稳定且无关键破坏，可按“制化两立”记录。</x:v>
      </x:c>
      <x:c r="AF105" s="90" t="str">
        <x:v>仅因“食伤、印星、官杀”同时出现，但核心十神无力、无作用路径或被关键因素破坏，不能判“制化两立”成立。</x:v>
      </x:c>
      <x:c r="AG105" s="68" t="str">
        <x:v>https://zh.wikisource.org/zh-hans/%E6%B7%B5%E6%B5%B7%E5%AD%90%E5%B9%B3 ; https://zh.wikisource.org/wiki/%E6%BB%B4%E5%A4%A9%E9%AB%93%E9%97%A1%E5%BE%AE</x:v>
      </x:c>
      <x:c r="AH105" s="82" t="str">
        <x:v>采用</x:v>
      </x:c>
      <x:c r="AI105" s="82" t="str">
        <x:v>初审</x:v>
      </x:c>
      <x:c r="AJ105" s="87" t="n">
        <x:v>46255</x:v>
      </x:c>
    </x:row>
    <x:row r="106">
      <x:c r="A106" s="214" t="str">
        <x:f>IF(OR(C106="",D106=""),"",B106&amp;"-"&amp;UPPER(C106)&amp;"-"&amp;TEXT(D106,"0000")&amp;"-"&amp;E106)</x:f>
        <x:v>M11-CONFLICT-0100-V1.0</x:v>
      </x:c>
      <x:c r="B106" s="214" t="str">
        <x:v>M11</x:v>
      </x:c>
      <x:c r="C106" s="214" t="str">
        <x:v>CONFLICT</x:v>
      </x:c>
      <x:c r="D106" s="216" t="n">
        <x:v>100</x:v>
      </x:c>
      <x:c r="E106" s="214" t="str">
        <x:v>V1.0</x:v>
      </x:c>
      <x:c r="F106" s="214" t="str">
        <x:v>多个病态组合同时成立时不得简单叠加吉凶</x:v>
      </x:c>
      <x:c r="G106" s="214" t="str">
        <x:v>结构层</x:v>
      </x:c>
      <x:c r="H106" s="214" t="str">
        <x:v>冲突病态型</x:v>
      </x:c>
      <x:c r="I106" s="214" t="str">
        <x:v>复合冲突</x:v>
      </x:c>
      <x:c r="J106" s="214" t="str">
        <x:v>多个十神</x:v>
      </x:c>
      <x:c r="K106" s="214" t="str">
        <x:v>两个以上冲突组合均达到基本成立</x:v>
      </x:c>
      <x:c r="L106" s="214" t="str">
        <x:v>共享节点或相互救应关系复杂</x:v>
      </x:c>
      <x:c r="M106" s="214" t="str">
        <x:v>直接或可达的生克制化路径成立</x:v>
      </x:c>
      <x:c r="N106" s="214" t="str">
        <x:v>相关十神均以M10有效力量为准，且不存在决定性失衡</x:v>
      </x:c>
      <x:c r="O106" s="214" t="str">
        <x:v>结合M09日主承载判断</x:v>
      </x:c>
      <x:c r="P106" s="214" t="str">
        <x:v>逐组合保留后进入M16/M18综合</x:v>
      </x:c>
      <x:c r="Q106" s="214" t="str">
        <x:v>相关十神有根、有源、透达、清纯且关键通路稳定</x:v>
      </x:c>
      <x:c r="R106" s="214" t="str">
        <x:v>关键十神被合绊、被制、改性、失效或力量严重失衡</x:v>
      </x:c>
      <x:c r="S106" s="214" t="str">
        <x:v>存在第三十神恢复通路、清除破坏或重新形成平衡</x:v>
      </x:c>
      <x:c r="T106" s="214" t="str">
        <x:v>任一核心十神失效，或不存在真实作用路径</x:v>
      </x:c>
      <x:c r="U106" s="214" t="str">
        <x:v>特殊格局、从化或月令格局另转M14/M15复审</x:v>
      </x:c>
      <x:c r="V106" s="214" t="str">
        <x:v>基本成立</x:v>
      </x:c>
      <x:c r="W106" s="214" t="str">
        <x:v>标记复合病态结构</x:v>
      </x:c>
      <x:c r="X106" s="214" t="str">
        <x:v>否</x:v>
      </x:c>
      <x:c r="Y106" s="214" t="str">
        <x:v>无</x:v>
      </x:c>
      <x:c r="Z106" s="214" t="str">
        <x:v>复合冲突_转综合</x:v>
      </x:c>
      <x:c r="AA106" s="214" t="str">
        <x:v>复合冲突：当主体、客体、路径与力量匹配满足最低标准时，判“基本成立”；是否上升为格局转M14/M15。</x:v>
      </x:c>
      <x:c r="AB106" s="214" t="str">
        <x:v>较高</x:v>
      </x:c>
      <x:c r="AC106" s="214" t="str">
        <x:v>现代综合</x:v>
      </x:c>
      <x:c r="AD106" s="214" t="str">
        <x:v>十神同时出现不等于组合成立。M11须同时验证核心十神有效性、作用路径、力量匹配、日主承载、破坏因素与救应；组合成立也不等于格局成立。</x:v>
      </x:c>
      <x:c r="AE106" s="214" t="str">
        <x:v>两个以上冲突组合均达到基本成立；共享节点或相互救应关系复杂；作用路径稳定且无关键破坏，可按“复合冲突”记录。</x:v>
      </x:c>
      <x:c r="AF106" s="214" t="str">
        <x:v>仅因“多个十神”同时出现，但核心十神无力、无作用路径或被关键因素破坏，不能判“复合冲突”成立。</x:v>
      </x:c>
      <x:c r="AG106" s="214" t="str">
        <x:v>https://zh.wikisource.org/zh-hans/%E6%B7%B5%E6%B5%B7%E5%AD%90%E5%B9%B3 ; https://zh.wikisource.org/wiki/%E6%BB%B4%E5%A4%A9%E9%AB%93%E9%97%A1%E5%BE%AE</x:v>
      </x:c>
      <x:c r="AH106" s="214" t="str">
        <x:v>采用</x:v>
      </x:c>
      <x:c r="AI106" s="214" t="str">
        <x:v>初审</x:v>
      </x:c>
      <x:c r="AJ106" s="217" t="n">
        <x:v>46255</x:v>
      </x:c>
    </x:row>
    <x:row r="107">
      <x:c r="A107" s="214" t="str">
        <x:f>IF(OR(C107="",D107=""),"",B107&amp;"-"&amp;UPPER(C107)&amp;"-"&amp;TEXT(D107,"0000")&amp;"-"&amp;E107)</x:f>
        <x:v>M11-BOUND-0101-V1.0</x:v>
      </x:c>
      <x:c r="B107" s="214" t="str">
        <x:v>M11</x:v>
      </x:c>
      <x:c r="C107" s="214" t="str">
        <x:v>BOUND</x:v>
      </x:c>
      <x:c r="D107" s="216" t="n">
        <x:v>101</x:v>
      </x:c>
      <x:c r="E107" s="214" t="str">
        <x:v>V1.0</x:v>
      </x:c>
      <x:c r="F107" s="214" t="str">
        <x:v>组合名称不得替代实际功能判断</x:v>
      </x:c>
      <x:c r="G107" s="214" t="str">
        <x:v>结构层</x:v>
      </x:c>
      <x:c r="H107" s="214" t="str">
        <x:v>其他</x:v>
      </x:c>
      <x:c r="I107" s="214" t="str">
        <x:v>十神组合边界</x:v>
      </x:c>
      <x:c r="J107" s="214" t="str">
        <x:v>多个十神</x:v>
      </x:c>
      <x:c r="K107" s="214" t="str">
        <x:v>某传统组合名称被识别</x:v>
      </x:c>
      <x:c r="L107" s="214" t="str">
        <x:v>仍需检查其真实生、制、化、泄、护或通关功能</x:v>
      </x:c>
      <x:c r="M107" s="214" t="str">
        <x:v>直接或可达的生克制化路径成立</x:v>
      </x:c>
      <x:c r="N107" s="214" t="str">
        <x:v>相关十神均以M10有效力量为准，且不存在决定性失衡</x:v>
      </x:c>
      <x:c r="O107" s="214" t="str">
        <x:v>结合M09日主承载判断</x:v>
      </x:c>
      <x:c r="P107" s="214" t="str">
        <x:v>主体、客体、作用路径与力量匹配均达到最低要求</x:v>
      </x:c>
      <x:c r="Q107" s="214" t="str">
        <x:v>相关十神有根、有源、透达、清纯且关键通路稳定</x:v>
      </x:c>
      <x:c r="R107" s="214" t="str">
        <x:v>关键十神被合绊、被制、改性、失效或力量严重失衡</x:v>
      </x:c>
      <x:c r="S107" s="214" t="str">
        <x:v>存在第三十神恢复通路、清除破坏或重新形成平衡</x:v>
      </x:c>
      <x:c r="T107" s="214" t="str">
        <x:v>任一核心十神失效，或不存在真实作用路径</x:v>
      </x:c>
      <x:c r="U107" s="214" t="str">
        <x:v>特殊格局、从化或月令格局另转M14/M15复审</x:v>
      </x:c>
      <x:c r="V107" s="214" t="str">
        <x:v>待定</x:v>
      </x:c>
      <x:c r="W107" s="214" t="str">
        <x:v>治理命名与功能分离</x:v>
      </x:c>
      <x:c r="X107" s="214" t="str">
        <x:v>否</x:v>
      </x:c>
      <x:c r="Y107" s="214" t="str">
        <x:v>无</x:v>
      </x:c>
      <x:c r="Z107" s="214" t="str">
        <x:v>组合命名边界</x:v>
      </x:c>
      <x:c r="AA107" s="214" t="str">
        <x:v>十神组合边界：当主体、客体、路径与力量匹配满足最低标准时，判“待定”；是否上升为格局转M14/M15。</x:v>
      </x:c>
      <x:c r="AB107" s="214" t="str">
        <x:v>较高</x:v>
      </x:c>
      <x:c r="AC107" s="214" t="str">
        <x:v>现代综合</x:v>
      </x:c>
      <x:c r="AD107" s="214" t="str">
        <x:v>十神同时出现不等于组合成立。M11须同时验证核心十神有效性、作用路径、力量匹配、日主承载、破坏因素与救应；组合成立也不等于格局成立。</x:v>
      </x:c>
      <x:c r="AE107" s="214" t="str">
        <x:v>某传统组合名称被识别；仍需检查其真实生、制、化、泄、护或通关功能；作用路径稳定且无关键破坏，可按“十神组合边界”记录。</x:v>
      </x:c>
      <x:c r="AF107" s="214" t="str">
        <x:v>仅因“多个十神”同时出现，但核心十神无力、无作用路径或被关键因素破坏，不能判“十神组合边界”成立。</x:v>
      </x:c>
      <x:c r="AG107" s="214" t="str">
        <x:v>https://zh.wikisource.org/zh-hans/%E6%B7%B5%E6%B5%B7%E5%AD%90%E5%B9%B3 ; https://zh.wikisource.org/wiki/%E6%BB%B4%E5%A4%A9%E9%AB%93%E9%97%A1%E5%BE%AE</x:v>
      </x:c>
      <x:c r="AH107" s="214" t="str">
        <x:v>采用</x:v>
      </x:c>
      <x:c r="AI107" s="214" t="str">
        <x:v>初审</x:v>
      </x:c>
      <x:c r="AJ107" s="217" t="n">
        <x:v>46255</x:v>
      </x:c>
    </x:row>
    <x:row r="108">
      <x:c r="A108" s="214" t="str">
        <x:f>IF(OR(C108="",D108=""),"",B108&amp;"-"&amp;UPPER(C108)&amp;"-"&amp;TEXT(D108,"0000")&amp;"-"&amp;E108)</x:f>
        <x:v>M11-BOUND-0102-V1.0</x:v>
      </x:c>
      <x:c r="B108" s="214" t="str">
        <x:v>M11</x:v>
      </x:c>
      <x:c r="C108" s="214" t="str">
        <x:v>BOUND</x:v>
      </x:c>
      <x:c r="D108" s="216" t="n">
        <x:v>102</x:v>
      </x:c>
      <x:c r="E108" s="214" t="str">
        <x:v>V1.0</x:v>
      </x:c>
      <x:c r="F108" s="214" t="str">
        <x:v>位置远近只影响路径强弱不作绝对否决</x:v>
      </x:c>
      <x:c r="G108" s="214" t="str">
        <x:v>结构层</x:v>
      </x:c>
      <x:c r="H108" s="214" t="str">
        <x:v>其他</x:v>
      </x:c>
      <x:c r="I108" s="214" t="str">
        <x:v>十神组合边界</x:v>
      </x:c>
      <x:c r="J108" s="214" t="str">
        <x:v>多个十神</x:v>
      </x:c>
      <x:c r="K108" s="214" t="str">
        <x:v>核心十神隔位或遥隔</x:v>
      </x:c>
      <x:c r="L108" s="214" t="str">
        <x:v>仍存在透干、地支通路或中介连接</x:v>
      </x:c>
      <x:c r="M108" s="214" t="str">
        <x:v>远距降低直接性，但不自动否决</x:v>
      </x:c>
      <x:c r="N108" s="214" t="str">
        <x:v>相关十神均以M10有效力量为准，且不存在决定性失衡</x:v>
      </x:c>
      <x:c r="O108" s="214" t="str">
        <x:v>结合M09日主承载判断</x:v>
      </x:c>
      <x:c r="P108" s="214" t="str">
        <x:v>主体、客体、作用路径与力量匹配均达到最低要求</x:v>
      </x:c>
      <x:c r="Q108" s="214" t="str">
        <x:v>相关十神有根、有源、透达、清纯且关键通路稳定</x:v>
      </x:c>
      <x:c r="R108" s="214" t="str">
        <x:v>关键十神被合绊、被制、改性、失效或力量严重失衡</x:v>
      </x:c>
      <x:c r="S108" s="214" t="str">
        <x:v>存在第三十神恢复通路、清除破坏或重新形成平衡</x:v>
      </x:c>
      <x:c r="T108" s="214" t="str">
        <x:v>任一核心十神失效，或不存在真实作用路径</x:v>
      </x:c>
      <x:c r="U108" s="214" t="str">
        <x:v>特殊格局、从化或月令格局另转M14/M15复审</x:v>
      </x:c>
      <x:c r="V108" s="214" t="str">
        <x:v>待定</x:v>
      </x:c>
      <x:c r="W108" s="214" t="str">
        <x:v>形成局部生化、制化或承载结构</x:v>
      </x:c>
      <x:c r="X108" s="214" t="str">
        <x:v>否</x:v>
      </x:c>
      <x:c r="Y108" s="214" t="str">
        <x:v>对应格局候选转M14</x:v>
      </x:c>
      <x:c r="Z108" s="214" t="str">
        <x:v>组合位置边界</x:v>
      </x:c>
      <x:c r="AA108" s="214" t="str">
        <x:v>十神组合边界：当主体、客体、路径与力量匹配满足最低标准时，判“待定”；是否上升为格局转M14/M15。</x:v>
      </x:c>
      <x:c r="AB108" s="214" t="str">
        <x:v>较高</x:v>
      </x:c>
      <x:c r="AC108" s="214" t="str">
        <x:v>现代综合</x:v>
      </x:c>
      <x:c r="AD108" s="214" t="str">
        <x:v>十神同时出现不等于组合成立。M11须同时验证核心十神有效性、作用路径、力量匹配、日主承载、破坏因素与救应；组合成立也不等于格局成立。</x:v>
      </x:c>
      <x:c r="AE108" s="214" t="str">
        <x:v>核心十神隔位或遥隔；仍存在透干、地支通路或中介连接；作用路径稳定且无关键破坏，可按“十神组合边界”记录。</x:v>
      </x:c>
      <x:c r="AF108" s="214" t="str">
        <x:v>仅因“多个十神”同时出现，但核心十神无力、无作用路径或被关键因素破坏，不能判“十神组合边界”成立。</x:v>
      </x:c>
      <x:c r="AG108" s="214" t="str">
        <x:v>https://zh.wikisource.org/zh-hans/%E6%B7%B5%E6%B5%B7%E5%AD%90%E5%B9%B3 ; https://zh.wikisource.org/wiki/%E6%BB%B4%E5%A4%A9%E9%AB%93%E9%97%A1%E5%BE%AE</x:v>
      </x:c>
      <x:c r="AH108" s="214" t="str">
        <x:v>采用</x:v>
      </x:c>
      <x:c r="AI108" s="214" t="str">
        <x:v>初审</x:v>
      </x:c>
      <x:c r="AJ108" s="217" t="n">
        <x:v>46255</x:v>
      </x:c>
    </x:row>
    <x:row r="109">
      <x:c r="A109" s="214" t="str">
        <x:f>IF(OR(C109="",D109=""),"",B109&amp;"-"&amp;UPPER(C109)&amp;"-"&amp;TEXT(D109,"0000")&amp;"-"&amp;E109)</x:f>
        <x:v>M11-BOUND-0103-V1.0</x:v>
      </x:c>
      <x:c r="B109" s="214" t="str">
        <x:v>M11</x:v>
      </x:c>
      <x:c r="C109" s="214" t="str">
        <x:v>BOUND</x:v>
      </x:c>
      <x:c r="D109" s="216" t="n">
        <x:v>103</x:v>
      </x:c>
      <x:c r="E109" s="214" t="str">
        <x:v>V1.0</x:v>
      </x:c>
      <x:c r="F109" s="214" t="str">
        <x:v>藏干组合需要更严格验证透达和可调用性</x:v>
      </x:c>
      <x:c r="G109" s="214" t="str">
        <x:v>结构层</x:v>
      </x:c>
      <x:c r="H109" s="214" t="str">
        <x:v>其他</x:v>
      </x:c>
      <x:c r="I109" s="214" t="str">
        <x:v>十神组合边界</x:v>
      </x:c>
      <x:c r="J109" s="214" t="str">
        <x:v>多个十神</x:v>
      </x:c>
      <x:c r="K109" s="214" t="str">
        <x:v>核心十神主要藏支不透</x:v>
      </x:c>
      <x:c r="L109" s="214" t="str">
        <x:v>M08/M10显示其仍有效</x:v>
      </x:c>
      <x:c r="M109" s="214" t="str">
        <x:v>直接或可达的生克制化路径成立</x:v>
      </x:c>
      <x:c r="N109" s="214" t="str">
        <x:v>相关十神均以M10有效力量为准，且不存在决定性失衡</x:v>
      </x:c>
      <x:c r="O109" s="214" t="str">
        <x:v>结合M09日主承载判断</x:v>
      </x:c>
      <x:c r="P109" s="214" t="str">
        <x:v>隐性十神必须有足够有效性和作用通路</x:v>
      </x:c>
      <x:c r="Q109" s="214" t="str">
        <x:v>相关十神有根、有源、透达、清纯且关键通路稳定</x:v>
      </x:c>
      <x:c r="R109" s="214" t="str">
        <x:v>关键十神被合绊、被制、改性、失效或力量严重失衡</x:v>
      </x:c>
      <x:c r="S109" s="214" t="str">
        <x:v>存在第三十神恢复通路、清除破坏或重新形成平衡</x:v>
      </x:c>
      <x:c r="T109" s="214" t="str">
        <x:v>任一核心十神失效，或不存在真实作用路径</x:v>
      </x:c>
      <x:c r="U109" s="214" t="str">
        <x:v>特殊格局、从化或月令格局另转M14/M15复审</x:v>
      </x:c>
      <x:c r="V109" s="214" t="str">
        <x:v>弱成立</x:v>
      </x:c>
      <x:c r="W109" s="214" t="str">
        <x:v>形成局部生化、制化或承载结构</x:v>
      </x:c>
      <x:c r="X109" s="214" t="str">
        <x:v>条件性</x:v>
      </x:c>
      <x:c r="Y109" s="214" t="str">
        <x:v>对应格局候选转M14</x:v>
      </x:c>
      <x:c r="Z109" s="214" t="str">
        <x:v>藏干组合边界</x:v>
      </x:c>
      <x:c r="AA109" s="214" t="str">
        <x:v>十神组合边界：当主体、客体、路径与力量匹配满足最低标准时，判“弱成立”；是否上升为格局转M14/M15。</x:v>
      </x:c>
      <x:c r="AB109" s="214" t="str">
        <x:v>较高</x:v>
      </x:c>
      <x:c r="AC109" s="214" t="str">
        <x:v>现代综合</x:v>
      </x:c>
      <x:c r="AD109" s="214" t="str">
        <x:v>十神同时出现不等于组合成立。M11须同时验证核心十神有效性、作用路径、力量匹配、日主承载、破坏因素与救应；组合成立也不等于格局成立。</x:v>
      </x:c>
      <x:c r="AE109" s="214" t="str">
        <x:v>核心十神主要藏支不透；M08/M10显示其仍有效；作用路径稳定且无关键破坏，可按“十神组合边界”记录。</x:v>
      </x:c>
      <x:c r="AF109" s="214" t="str">
        <x:v>仅因“多个十神”同时出现，但核心十神无力、无作用路径或被关键因素破坏，不能判“十神组合边界”成立。</x:v>
      </x:c>
      <x:c r="AG109" s="214" t="str">
        <x:v>https://zh.wikisource.org/zh-hans/%E6%B7%B5%E6%B5%B7%E5%AD%90%E5%B9%B3 ; https://zh.wikisource.org/wiki/%E6%BB%B4%E5%A4%A9%E9%AB%93%E9%97%A1%E5%BE%AE</x:v>
      </x:c>
      <x:c r="AH109" s="214" t="str">
        <x:v>采用</x:v>
      </x:c>
      <x:c r="AI109" s="214" t="str">
        <x:v>初审</x:v>
      </x:c>
      <x:c r="AJ109" s="217" t="n">
        <x:v>46255</x:v>
      </x:c>
    </x:row>
    <x:row r="110">
      <x:c r="A110" s="214" t="str">
        <x:f>IF(OR(C110="",D110=""),"",B110&amp;"-"&amp;UPPER(C110)&amp;"-"&amp;TEXT(D110,"0000")&amp;"-"&amp;E110)</x:f>
        <x:v>M11-BOUND-0104-V1.0</x:v>
      </x:c>
      <x:c r="B110" s="214" t="str">
        <x:v>M11</x:v>
      </x:c>
      <x:c r="C110" s="214" t="str">
        <x:v>BOUND</x:v>
      </x:c>
      <x:c r="D110" s="216" t="n">
        <x:v>104</x:v>
      </x:c>
      <x:c r="E110" s="214" t="str">
        <x:v>V1.0</x:v>
      </x:c>
      <x:c r="F110" s="214" t="str">
        <x:v>同一十神可参加多个组合但不得重复全额计力</x:v>
      </x:c>
      <x:c r="G110" s="214" t="str">
        <x:v>结构层</x:v>
      </x:c>
      <x:c r="H110" s="214" t="str">
        <x:v>其他</x:v>
      </x:c>
      <x:c r="I110" s="214" t="str">
        <x:v>十神组合边界</x:v>
      </x:c>
      <x:c r="J110" s="214" t="str">
        <x:v>多个十神</x:v>
      </x:c>
      <x:c r="K110" s="214" t="str">
        <x:v>一个核心十神节点连接多个组合</x:v>
      </x:c>
      <x:c r="L110" s="214" t="str">
        <x:v>需分配其有效力量容量</x:v>
      </x:c>
      <x:c r="M110" s="214" t="str">
        <x:v>直接或可达的生克制化路径成立</x:v>
      </x:c>
      <x:c r="N110" s="214" t="str">
        <x:v>相关十神均以M10有效力量为准，且不存在决定性失衡</x:v>
      </x:c>
      <x:c r="O110" s="214" t="str">
        <x:v>结合M09日主承载判断</x:v>
      </x:c>
      <x:c r="P110" s="214" t="str">
        <x:v>各组合共享节点时记录容量竞争</x:v>
      </x:c>
      <x:c r="Q110" s="214" t="str">
        <x:v>相关十神有根、有源、透达、清纯且关键通路稳定</x:v>
      </x:c>
      <x:c r="R110" s="214" t="str">
        <x:v>关键十神被合绊、被制、改性、失效或力量严重失衡</x:v>
      </x:c>
      <x:c r="S110" s="214" t="str">
        <x:v>存在第三十神恢复通路、清除破坏或重新形成平衡</x:v>
      </x:c>
      <x:c r="T110" s="214" t="str">
        <x:v>任一核心十神失效，或不存在真实作用路径</x:v>
      </x:c>
      <x:c r="U110" s="214" t="str">
        <x:v>特殊格局、从化或月令格局另转M14/M15复审</x:v>
      </x:c>
      <x:c r="V110" s="214" t="str">
        <x:v>待定</x:v>
      </x:c>
      <x:c r="W110" s="214" t="str">
        <x:v>形成局部生化、制化或承载结构</x:v>
      </x:c>
      <x:c r="X110" s="214" t="str">
        <x:v>否</x:v>
      </x:c>
      <x:c r="Y110" s="214" t="str">
        <x:v>对应格局候选转M14</x:v>
      </x:c>
      <x:c r="Z110" s="214" t="str">
        <x:v>组合共享节点边界</x:v>
      </x:c>
      <x:c r="AA110" s="214" t="str">
        <x:v>十神组合边界：当主体、客体、路径与力量匹配满足最低标准时，判“待定”；是否上升为格局转M14/M15。</x:v>
      </x:c>
      <x:c r="AB110" s="214" t="str">
        <x:v>较高</x:v>
      </x:c>
      <x:c r="AC110" s="214" t="str">
        <x:v>现代综合</x:v>
      </x:c>
      <x:c r="AD110" s="214" t="str">
        <x:v>十神同时出现不等于组合成立。M11须同时验证核心十神有效性、作用路径、力量匹配、日主承载、破坏因素与救应；组合成立也不等于格局成立。</x:v>
      </x:c>
      <x:c r="AE110" s="214" t="str">
        <x:v>一个核心十神节点连接多个组合；需分配其有效力量容量；作用路径稳定且无关键破坏，可按“十神组合边界”记录。</x:v>
      </x:c>
      <x:c r="AF110" s="214" t="str">
        <x:v>仅因“多个十神”同时出现，但核心十神无力、无作用路径或被关键因素破坏，不能判“十神组合边界”成立。</x:v>
      </x:c>
      <x:c r="AG110" s="214" t="str">
        <x:v>https://zh.wikisource.org/zh-hans/%E6%B7%B5%E6%B5%B7%E5%AD%90%E5%B9%B3 ; https://zh.wikisource.org/wiki/%E6%BB%B4%E5%A4%A9%E9%AB%93%E9%97%A1%E5%BE%AE</x:v>
      </x:c>
      <x:c r="AH110" s="214" t="str">
        <x:v>采用</x:v>
      </x:c>
      <x:c r="AI110" s="214" t="str">
        <x:v>初审</x:v>
      </x:c>
      <x:c r="AJ110" s="217" t="n">
        <x:v>46255</x:v>
      </x:c>
    </x:row>
    <x:row r="111">
      <x:c r="A111" s="214" t="str">
        <x:f>IF(OR(C111="",D111=""),"",B111&amp;"-"&amp;UPPER(C111)&amp;"-"&amp;TEXT(D111,"0000")&amp;"-"&amp;E111)</x:f>
        <x:v>M11-BOUND-0105-V1.0</x:v>
      </x:c>
      <x:c r="B111" s="214" t="str">
        <x:v>M11</x:v>
      </x:c>
      <x:c r="C111" s="214" t="str">
        <x:v>BOUND</x:v>
      </x:c>
      <x:c r="D111" s="216" t="n">
        <x:v>105</x:v>
      </x:c>
      <x:c r="E111" s="214" t="str">
        <x:v>V1.0</x:v>
      </x:c>
      <x:c r="F111" s="214" t="str">
        <x:v>原局组合与岁运补成组合必须分开</x:v>
      </x:c>
      <x:c r="G111" s="214" t="str">
        <x:v>结构层</x:v>
      </x:c>
      <x:c r="H111" s="214" t="str">
        <x:v>其他</x:v>
      </x:c>
      <x:c r="I111" s="214" t="str">
        <x:v>十神组合边界</x:v>
      </x:c>
      <x:c r="J111" s="214" t="str">
        <x:v>多个十神</x:v>
      </x:c>
      <x:c r="K111" s="214" t="str">
        <x:v>原局尚缺某组合核心十神或关键路径</x:v>
      </x:c>
      <x:c r="L111" s="214" t="str">
        <x:v>未来岁运可能补足</x:v>
      </x:c>
      <x:c r="M111" s="214" t="str">
        <x:v>直接或可达的生克制化路径成立</x:v>
      </x:c>
      <x:c r="N111" s="214" t="str">
        <x:v>相关十神均以M10有效力量为准，且不存在决定性失衡</x:v>
      </x:c>
      <x:c r="O111" s="214" t="str">
        <x:v>结合M09日主承载判断</x:v>
      </x:c>
      <x:c r="P111" s="214" t="str">
        <x:v>主体、客体、作用路径与力量匹配均达到最低要求</x:v>
      </x:c>
      <x:c r="Q111" s="214" t="str">
        <x:v>相关十神有根、有源、透达、清纯且关键通路稳定</x:v>
      </x:c>
      <x:c r="R111" s="214" t="str">
        <x:v>关键十神被合绊、被制、改性、失效或力量严重失衡</x:v>
      </x:c>
      <x:c r="S111" s="214" t="str">
        <x:v>存在第三十神恢复通路、清除破坏或重新形成平衡</x:v>
      </x:c>
      <x:c r="T111" s="214" t="str">
        <x:v>任一核心十神失效，或不存在真实作用路径</x:v>
      </x:c>
      <x:c r="U111" s="214" t="str">
        <x:v>岁运补成转动态作用引擎</x:v>
      </x:c>
      <x:c r="V111" s="214" t="str">
        <x:v>不成立</x:v>
      </x:c>
      <x:c r="W111" s="214" t="str">
        <x:v>原局不提前认定</x:v>
      </x:c>
      <x:c r="X111" s="214" t="str">
        <x:v>否</x:v>
      </x:c>
      <x:c r="Y111" s="214" t="str">
        <x:v>对应格局候选转M14</x:v>
      </x:c>
      <x:c r="Z111" s="214" t="str">
        <x:v>组合静动态边界</x:v>
      </x:c>
      <x:c r="AA111" s="214" t="str">
        <x:v>十神组合边界：当主体、客体、路径与力量匹配满足最低标准时，判“不成立”；是否上升为格局转M14/M15。</x:v>
      </x:c>
      <x:c r="AB111" s="214" t="str">
        <x:v>较高</x:v>
      </x:c>
      <x:c r="AC111" s="214" t="str">
        <x:v>现代综合</x:v>
      </x:c>
      <x:c r="AD111" s="214" t="str">
        <x:v>十神同时出现不等于组合成立。M11须同时验证核心十神有效性、作用路径、力量匹配、日主承载、破坏因素与救应；组合成立也不等于格局成立。</x:v>
      </x:c>
      <x:c r="AE111" s="214" t="str">
        <x:v>原局尚缺某组合核心十神或关键路径；未来岁运可能补足；作用路径稳定且无关键破坏，可按“十神组合边界”记录。</x:v>
      </x:c>
      <x:c r="AF111" s="214" t="str">
        <x:v>仅因“多个十神”同时出现，但核心十神无力、无作用路径或被关键因素破坏，不能判“十神组合边界”成立。</x:v>
      </x:c>
      <x:c r="AG111" s="214" t="str">
        <x:v>https://zh.wikisource.org/zh-hans/%E6%B7%B5%E6%B5%B7%E5%AD%90%E5%B9%B3 ; https://zh.wikisource.org/wiki/%E6%BB%B4%E5%A4%A9%E9%AB%93%E9%97%A1%E5%BE%AE</x:v>
      </x:c>
      <x:c r="AH111" s="214" t="str">
        <x:v>采用</x:v>
      </x:c>
      <x:c r="AI111" s="214" t="str">
        <x:v>初审</x:v>
      </x:c>
      <x:c r="AJ111" s="217" t="n">
        <x:v>46255</x:v>
      </x:c>
    </x:row>
    <x:row r="112">
      <x:c r="A112" s="214" t="str">
        <x:f>IF(OR(C112="",D112=""),"",B112&amp;"-"&amp;UPPER(C112)&amp;"-"&amp;TEXT(D112,"0000")&amp;"-"&amp;E112)</x:f>
        <x:v>M11-BOUND-0106-V1.0</x:v>
      </x:c>
      <x:c r="B112" s="214" t="str">
        <x:v>M11</x:v>
      </x:c>
      <x:c r="C112" s="214" t="str">
        <x:v>BOUND</x:v>
      </x:c>
      <x:c r="D112" s="216" t="n">
        <x:v>106</x:v>
      </x:c>
      <x:c r="E112" s="214" t="str">
        <x:v>V1.0</x:v>
      </x:c>
      <x:c r="F112" s="214" t="str">
        <x:v>组合成立不得直接推出吉凶与具体事件</x:v>
      </x:c>
      <x:c r="G112" s="214" t="str">
        <x:v>结构层</x:v>
      </x:c>
      <x:c r="H112" s="214" t="str">
        <x:v>其他</x:v>
      </x:c>
      <x:c r="I112" s="214" t="str">
        <x:v>十神组合边界</x:v>
      </x:c>
      <x:c r="J112" s="214" t="str">
        <x:v>多个十神</x:v>
      </x:c>
      <x:c r="K112" s="214" t="str">
        <x:v>任一组合达到基本成立以上</x:v>
      </x:c>
      <x:c r="L112" s="214" t="str">
        <x:v>现实价值仍需M14—M18及上层模型判断</x:v>
      </x:c>
      <x:c r="M112" s="214" t="str">
        <x:v>直接或可达的生克制化路径成立</x:v>
      </x:c>
      <x:c r="N112" s="214" t="str">
        <x:v>相关十神均以M10有效力量为准，且不存在决定性失衡</x:v>
      </x:c>
      <x:c r="O112" s="214" t="str">
        <x:v>结合M09日主承载判断</x:v>
      </x:c>
      <x:c r="P112" s="214" t="str">
        <x:v>主体、客体、作用路径与力量匹配均达到最低要求</x:v>
      </x:c>
      <x:c r="Q112" s="214" t="str">
        <x:v>相关十神有根、有源、透达、清纯且关键通路稳定</x:v>
      </x:c>
      <x:c r="R112" s="214" t="str">
        <x:v>关键十神被合绊、被制、改性、失效或力量严重失衡</x:v>
      </x:c>
      <x:c r="S112" s="214" t="str">
        <x:v>存在第三十神恢复通路、清除破坏或重新形成平衡</x:v>
      </x:c>
      <x:c r="T112" s="214" t="str">
        <x:v>任一核心十神失效，或不存在真实作用路径</x:v>
      </x:c>
      <x:c r="U112" s="214" t="str">
        <x:v>特殊格局、从化或月令格局另转M14/M15复审</x:v>
      </x:c>
      <x:c r="V112" s="214" t="str">
        <x:v>待定</x:v>
      </x:c>
      <x:c r="W112" s="214" t="str">
        <x:v>保持结构层边界</x:v>
      </x:c>
      <x:c r="X112" s="214" t="str">
        <x:v>待定</x:v>
      </x:c>
      <x:c r="Y112" s="214" t="str">
        <x:v>对应格局候选转M14</x:v>
      </x:c>
      <x:c r="Z112" s="214" t="str">
        <x:v>组合事件边界</x:v>
      </x:c>
      <x:c r="AA112" s="214" t="str">
        <x:v>十神组合边界：当主体、客体、路径与力量匹配满足最低标准时，判“待定”；是否上升为格局转M14/M15。</x:v>
      </x:c>
      <x:c r="AB112" s="214" t="str">
        <x:v>较高</x:v>
      </x:c>
      <x:c r="AC112" s="214" t="str">
        <x:v>现代综合</x:v>
      </x:c>
      <x:c r="AD112" s="214" t="str">
        <x:v>十神同时出现不等于组合成立。M11须同时验证核心十神有效性、作用路径、力量匹配、日主承载、破坏因素与救应；组合成立也不等于格局成立。</x:v>
      </x:c>
      <x:c r="AE112" s="214" t="str">
        <x:v>任一组合达到基本成立以上；现实价值仍需M14—M18及上层模型判断；作用路径稳定且无关键破坏，可按“十神组合边界”记录。</x:v>
      </x:c>
      <x:c r="AF112" s="214" t="str">
        <x:v>仅因“多个十神”同时出现，但核心十神无力、无作用路径或被关键因素破坏，不能判“十神组合边界”成立。</x:v>
      </x:c>
      <x:c r="AG112" s="214" t="str">
        <x:v>https://zh.wikisource.org/zh-hans/%E6%B7%B5%E6%B5%B7%E5%AD%90%E5%B9%B3 ; https://zh.wikisource.org/wiki/%E6%BB%B4%E5%A4%A9%E9%AB%93%E9%97%A1%E5%BE%AE</x:v>
      </x:c>
      <x:c r="AH112" s="214" t="str">
        <x:v>采用</x:v>
      </x:c>
      <x:c r="AI112" s="214" t="str">
        <x:v>初审</x:v>
      </x:c>
      <x:c r="AJ112" s="217" t="n">
        <x:v>46255</x:v>
      </x:c>
    </x:row>
    <x:row r="113">
      <x:c r="A113" s="214" t="str">
        <x:f>IF(OR(C113="",D113=""),"",B113&amp;"-"&amp;UPPER(C113)&amp;"-"&amp;TEXT(D113,"0000")&amp;"-"&amp;E113)</x:f>
        <x:v>M11-BOUND-0107-V1.0</x:v>
      </x:c>
      <x:c r="B113" s="214" t="str">
        <x:v>M11</x:v>
      </x:c>
      <x:c r="C113" s="214" t="str">
        <x:v>BOUND</x:v>
      </x:c>
      <x:c r="D113" s="216" t="n">
        <x:v>107</x:v>
      </x:c>
      <x:c r="E113" s="214" t="str">
        <x:v>V1.0</x:v>
      </x:c>
      <x:c r="F113" s="214" t="str">
        <x:v>病态组合也可能有救应不能只看名称</x:v>
      </x:c>
      <x:c r="G113" s="214" t="str">
        <x:v>结构层</x:v>
      </x:c>
      <x:c r="H113" s="214" t="str">
        <x:v>其他</x:v>
      </x:c>
      <x:c r="I113" s="214" t="str">
        <x:v>十神组合边界</x:v>
      </x:c>
      <x:c r="J113" s="214" t="str">
        <x:v>多个十神</x:v>
      </x:c>
      <x:c r="K113" s="214" t="str">
        <x:v>伤官见官、枭夺食、官杀混杂等被识别</x:v>
      </x:c>
      <x:c r="L113" s="214" t="str">
        <x:v>存在印、财、合制或主从清化等救应</x:v>
      </x:c>
      <x:c r="M113" s="214" t="str">
        <x:v>直接或可达的生克制化路径成立</x:v>
      </x:c>
      <x:c r="N113" s="214" t="str">
        <x:v>相关十神均以M10有效力量为准，且不存在决定性失衡</x:v>
      </x:c>
      <x:c r="O113" s="214" t="str">
        <x:v>结合M09日主承载判断</x:v>
      </x:c>
      <x:c r="P113" s="214" t="str">
        <x:v>同时输出病态强度与救应有效性</x:v>
      </x:c>
      <x:c r="Q113" s="214" t="str">
        <x:v>相关十神有根、有源、透达、清纯且关键通路稳定</x:v>
      </x:c>
      <x:c r="R113" s="214" t="str">
        <x:v>关键十神被合绊、被制、改性、失效或力量严重失衡</x:v>
      </x:c>
      <x:c r="S113" s="214" t="str">
        <x:v>存在第三十神恢复通路、清除破坏或重新形成平衡</x:v>
      </x:c>
      <x:c r="T113" s="214" t="str">
        <x:v>任一核心十神失效，或不存在真实作用路径</x:v>
      </x:c>
      <x:c r="U113" s="214" t="str">
        <x:v>特殊格局、从化或月令格局另转M14/M15复审</x:v>
      </x:c>
      <x:c r="V113" s="214" t="str">
        <x:v>待定</x:v>
      </x:c>
      <x:c r="W113" s="214" t="str">
        <x:v>形成局部生化、制化或承载结构</x:v>
      </x:c>
      <x:c r="X113" s="214" t="str">
        <x:v>条件性</x:v>
      </x:c>
      <x:c r="Y113" s="214" t="str">
        <x:v>对应格局候选转M14</x:v>
      </x:c>
      <x:c r="Z113" s="214" t="str">
        <x:v>病态组合救应边界</x:v>
      </x:c>
      <x:c r="AA113" s="214" t="str">
        <x:v>十神组合边界：当主体、客体、路径与力量匹配满足最低标准时，判“待定”；是否上升为格局转M14/M15。</x:v>
      </x:c>
      <x:c r="AB113" s="214" t="str">
        <x:v>较高</x:v>
      </x:c>
      <x:c r="AC113" s="214" t="str">
        <x:v>现代综合</x:v>
      </x:c>
      <x:c r="AD113" s="214" t="str">
        <x:v>十神同时出现不等于组合成立。M11须同时验证核心十神有效性、作用路径、力量匹配、日主承载、破坏因素与救应；组合成立也不等于格局成立。</x:v>
      </x:c>
      <x:c r="AE113" s="214" t="str">
        <x:v>伤官见官、枭夺食、官杀混杂等被识别；存在印、财、合制或主从清化等救应；作用路径稳定且无关键破坏，可按“十神组合边界”记录。</x:v>
      </x:c>
      <x:c r="AF113" s="214" t="str">
        <x:v>仅因“多个十神”同时出现，但核心十神无力、无作用路径或被关键因素破坏，不能判“十神组合边界”成立。</x:v>
      </x:c>
      <x:c r="AG113" s="214" t="str">
        <x:v>https://zh.wikisource.org/zh-hans/%E6%B7%B5%E6%B5%B7%E5%AD%90%E5%B9%B3 ; https://zh.wikisource.org/wiki/%E6%BB%B4%E5%A4%A9%E9%AB%93%E9%97%A1%E5%BE%AE</x:v>
      </x:c>
      <x:c r="AH113" s="214" t="str">
        <x:v>采用</x:v>
      </x:c>
      <x:c r="AI113" s="214" t="str">
        <x:v>初审</x:v>
      </x:c>
      <x:c r="AJ113" s="217" t="n">
        <x:v>46255</x:v>
      </x:c>
    </x:row>
    <x:row r="114">
      <x:c r="A114" s="214" t="str">
        <x:f>IF(OR(C114="",D114=""),"",B114&amp;"-"&amp;UPPER(C114)&amp;"-"&amp;TEXT(D114,"0000")&amp;"-"&amp;E114)</x:f>
        <x:v>M11-BOUND-0108-V1.0</x:v>
      </x:c>
      <x:c r="B114" s="214" t="str">
        <x:v>M11</x:v>
      </x:c>
      <x:c r="C114" s="214" t="str">
        <x:v>BOUND</x:v>
      </x:c>
      <x:c r="D114" s="216" t="n">
        <x:v>108</x:v>
      </x:c>
      <x:c r="E114" s="214" t="str">
        <x:v>V1.0</x:v>
      </x:c>
      <x:c r="F114" s="214" t="str">
        <x:v>传统口诀必须条件化落地</x:v>
      </x:c>
      <x:c r="G114" s="214" t="str">
        <x:v>结构层</x:v>
      </x:c>
      <x:c r="H114" s="214" t="str">
        <x:v>其他</x:v>
      </x:c>
      <x:c r="I114" s="214" t="str">
        <x:v>十神组合边界</x:v>
      </x:c>
      <x:c r="J114" s="214" t="str">
        <x:v>多个十神</x:v>
      </x:c>
      <x:c r="K114" s="214" t="str">
        <x:v>古籍存在“见某即某”式口诀</x:v>
      </x:c>
      <x:c r="L114" s="214" t="str">
        <x:v>现代规则库需还原其适用前提、强弱与例外</x:v>
      </x:c>
      <x:c r="M114" s="214" t="str">
        <x:v>直接或可达的生克制化路径成立</x:v>
      </x:c>
      <x:c r="N114" s="214" t="str">
        <x:v>相关十神均以M10有效力量为准，且不存在决定性失衡</x:v>
      </x:c>
      <x:c r="O114" s="214" t="str">
        <x:v>结合M09日主承载判断</x:v>
      </x:c>
      <x:c r="P114" s="214" t="str">
        <x:v>主体、客体、作用路径与力量匹配均达到最低要求</x:v>
      </x:c>
      <x:c r="Q114" s="214" t="str">
        <x:v>相关十神有根、有源、透达、清纯且关键通路稳定</x:v>
      </x:c>
      <x:c r="R114" s="214" t="str">
        <x:v>关键十神被合绊、被制、改性、失效或力量严重失衡</x:v>
      </x:c>
      <x:c r="S114" s="214" t="str">
        <x:v>存在第三十神恢复通路、清除破坏或重新形成平衡</x:v>
      </x:c>
      <x:c r="T114" s="214" t="str">
        <x:v>任一核心十神失效，或不存在真实作用路径</x:v>
      </x:c>
      <x:c r="U114" s="214" t="str">
        <x:v>特殊格局、从化或月令格局另转M14/M15复审</x:v>
      </x:c>
      <x:c r="V114" s="214" t="str">
        <x:v>基本成立</x:v>
      </x:c>
      <x:c r="W114" s="214" t="str">
        <x:v>将口诀转成条件规则</x:v>
      </x:c>
      <x:c r="X114" s="214" t="str">
        <x:v>条件性</x:v>
      </x:c>
      <x:c r="Y114" s="214" t="str">
        <x:v>对应格局候选转M14</x:v>
      </x:c>
      <x:c r="Z114" s="214" t="str">
        <x:v>口诀条件化治理</x:v>
      </x:c>
      <x:c r="AA114" s="214" t="str">
        <x:v>十神组合边界：当主体、客体、路径与力量匹配满足最低标准时，判“基本成立”；是否上升为格局转M14/M15。</x:v>
      </x:c>
      <x:c r="AB114" s="214" t="str">
        <x:v>中等</x:v>
      </x:c>
      <x:c r="AC114" s="214" t="str">
        <x:v>现代综合</x:v>
      </x:c>
      <x:c r="AD114" s="214" t="str">
        <x:v>十神同时出现不等于组合成立。M11须同时验证核心十神有效性、作用路径、力量匹配、日主承载、破坏因素与救应；组合成立也不等于格局成立。</x:v>
      </x:c>
      <x:c r="AE114" s="214" t="str">
        <x:v>古籍存在“见某即某”式口诀；现代规则库需还原其适用前提、强弱与例外；作用路径稳定且无关键破坏，可按“十神组合边界”记录。</x:v>
      </x:c>
      <x:c r="AF114" s="214" t="str">
        <x:v>仅因“多个十神”同时出现，但核心十神无力、无作用路径或被关键因素破坏，不能判“十神组合边界”成立。</x:v>
      </x:c>
      <x:c r="AG114" s="214" t="str">
        <x:v>https://zh.wikisource.org/zh-hans/%E6%B7%B5%E6%B5%B7%E5%AD%90%E5%B9%B3 ; https://zh.wikisource.org/wiki/%E6%BB%B4%E5%A4%A9%E9%AB%93%E9%97%A1%E5%BE%AE</x:v>
      </x:c>
      <x:c r="AH114" s="214" t="str">
        <x:v>待验证</x:v>
      </x:c>
      <x:c r="AI114" s="214" t="str">
        <x:v>初审</x:v>
      </x:c>
      <x:c r="AJ114" s="217" t="n">
        <x:v>46255</x:v>
      </x:c>
    </x:row>
    <x:row r="115">
      <x:c r="A115" s="214" t="str">
        <x:f>IF(OR(C115="",D115=""),"",B115&amp;"-"&amp;UPPER(C115)&amp;"-"&amp;TEXT(D115,"0000")&amp;"-"&amp;E115)</x:f>
        <x:v>M11-BOUND-0109-V1.0</x:v>
      </x:c>
      <x:c r="B115" s="214" t="str">
        <x:v>M11</x:v>
      </x:c>
      <x:c r="C115" s="214" t="str">
        <x:v>BOUND</x:v>
      </x:c>
      <x:c r="D115" s="216" t="n">
        <x:v>109</x:v>
      </x:c>
      <x:c r="E115" s="214" t="str">
        <x:v>V1.0</x:v>
      </x:c>
      <x:c r="F115" s="214" t="str">
        <x:v>流派分歧组合进入M21治理</x:v>
      </x:c>
      <x:c r="G115" s="214" t="str">
        <x:v>结构层</x:v>
      </x:c>
      <x:c r="H115" s="214" t="str">
        <x:v>其他</x:v>
      </x:c>
      <x:c r="I115" s="214" t="str">
        <x:v>十神组合边界</x:v>
      </x:c>
      <x:c r="J115" s="214" t="str">
        <x:v>多个十神</x:v>
      </x:c>
      <x:c r="K115" s="214" t="str">
        <x:v>某组合的成立门槛、位置权重或吉凶解释存在显著流派差异</x:v>
      </x:c>
      <x:c r="L115" s="214" t="str">
        <x:v>不能形成稳定跨流派共识</x:v>
      </x:c>
      <x:c r="M115" s="214" t="str">
        <x:v>直接或可达的生克制化路径成立</x:v>
      </x:c>
      <x:c r="N115" s="214" t="str">
        <x:v>相关十神均以M10有效力量为准，且不存在决定性失衡</x:v>
      </x:c>
      <x:c r="O115" s="214" t="str">
        <x:v>结合M09日主承载判断</x:v>
      </x:c>
      <x:c r="P115" s="214" t="str">
        <x:v>主体、客体、作用路径与力量匹配均达到最低要求</x:v>
      </x:c>
      <x:c r="Q115" s="214" t="str">
        <x:v>相关十神有根、有源、透达、清纯且关键通路稳定</x:v>
      </x:c>
      <x:c r="R115" s="214" t="str">
        <x:v>关键十神被合绊、被制、改性、失效或力量严重失衡</x:v>
      </x:c>
      <x:c r="S115" s="214" t="str">
        <x:v>存在第三十神恢复通路、清除破坏或重新形成平衡</x:v>
      </x:c>
      <x:c r="T115" s="214" t="str">
        <x:v>任一核心十神失效，或不存在真实作用路径</x:v>
      </x:c>
      <x:c r="U115" s="214" t="str">
        <x:v>在M21登记争议、采用口径和反证</x:v>
      </x:c>
      <x:c r="V115" s="214" t="str">
        <x:v>待定</x:v>
      </x:c>
      <x:c r="W115" s="214" t="str">
        <x:v>形成局部生化、制化或承载结构</x:v>
      </x:c>
      <x:c r="X115" s="214" t="str">
        <x:v>条件性</x:v>
      </x:c>
      <x:c r="Y115" s="214" t="str">
        <x:v>对应格局候选转M14</x:v>
      </x:c>
      <x:c r="Z115" s="214" t="str">
        <x:v>组合流派治理</x:v>
      </x:c>
      <x:c r="AA115" s="214" t="str">
        <x:v>十神组合边界：当主体、客体、路径与力量匹配满足最低标准时，判“待定”；是否上升为格局转M14/M15。</x:v>
      </x:c>
      <x:c r="AB115" s="214" t="str">
        <x:v>中等</x:v>
      </x:c>
      <x:c r="AC115" s="214" t="str">
        <x:v>现代综合</x:v>
      </x:c>
      <x:c r="AD115" s="214" t="str">
        <x:v>十神同时出现不等于组合成立。M11须同时验证核心十神有效性、作用路径、力量匹配、日主承载、破坏因素与救应；组合成立也不等于格局成立。</x:v>
      </x:c>
      <x:c r="AE115" s="214" t="str">
        <x:v>某组合的成立门槛、位置权重或吉凶解释存在显著流派差异；不能形成稳定跨流派共识；作用路径稳定且无关键破坏，可按“十神组合边界”记录。</x:v>
      </x:c>
      <x:c r="AF115" s="214" t="str">
        <x:v>仅因“多个十神”同时出现，但核心十神无力、无作用路径或被关键因素破坏，不能判“十神组合边界”成立。</x:v>
      </x:c>
      <x:c r="AG115" s="214" t="str">
        <x:v>https://zh.wikisource.org/zh-hans/%E6%B7%B5%E6%B5%B7%E5%AD%90%E5%B9%B3 ; https://zh.wikisource.org/wiki/%E6%BB%B4%E5%A4%A9%E9%AB%93%E9%97%A1%E5%BE%AE</x:v>
      </x:c>
      <x:c r="AH115" s="214" t="str">
        <x:v>待验证</x:v>
      </x:c>
      <x:c r="AI115" s="214" t="str">
        <x:v>初审</x:v>
      </x:c>
      <x:c r="AJ115" s="217" t="n">
        <x:v>46255</x:v>
      </x:c>
    </x:row>
    <x:row r="116">
      <x:c r="A116" s="214" t="str">
        <x:f>IF(OR(C116="",D116=""),"",B116&amp;"-"&amp;UPPER(C116)&amp;"-"&amp;TEXT(D116,"0000")&amp;"-"&amp;E116)</x:f>
        <x:v>M11-BOUND-0110-V1.0</x:v>
      </x:c>
      <x:c r="B116" s="214" t="str">
        <x:v>M11</x:v>
      </x:c>
      <x:c r="C116" s="214" t="str">
        <x:v>BOUND</x:v>
      </x:c>
      <x:c r="D116" s="216" t="n">
        <x:v>110</x:v>
      </x:c>
      <x:c r="E116" s="214" t="str">
        <x:v>V1.0</x:v>
      </x:c>
      <x:c r="F116" s="214" t="str">
        <x:v>M11标准输出必须给出成立等级与否决理由</x:v>
      </x:c>
      <x:c r="G116" s="214" t="str">
        <x:v>结构层</x:v>
      </x:c>
      <x:c r="H116" s="214" t="str">
        <x:v>其他</x:v>
      </x:c>
      <x:c r="I116" s="214" t="str">
        <x:v>十神组合边界</x:v>
      </x:c>
      <x:c r="J116" s="214" t="str">
        <x:v>多个十神</x:v>
      </x:c>
      <x:c r="K116" s="214" t="str">
        <x:v>M11完成所有候选组合评估</x:v>
      </x:c>
      <x:c r="L116" s="214" t="str">
        <x:v>每个候选均需要明确为何成立、为何降级或为何不成立</x:v>
      </x:c>
      <x:c r="M116" s="214" t="str">
        <x:v>直接或可达的生克制化路径成立</x:v>
      </x:c>
      <x:c r="N116" s="214" t="str">
        <x:v>相关十神均以M10有效力量为准，且不存在决定性失衡</x:v>
      </x:c>
      <x:c r="O116" s="214" t="str">
        <x:v>结合M09日主承载判断</x:v>
      </x:c>
      <x:c r="P116" s="214" t="str">
        <x:v>成立条件、破坏、救应、否决和日主承载均有记录</x:v>
      </x:c>
      <x:c r="Q116" s="214" t="str">
        <x:v>相关十神有根、有源、透达、清纯且关键通路稳定</x:v>
      </x:c>
      <x:c r="R116" s="214" t="str">
        <x:v>关键十神被合绊、被制、改性、失效或力量严重失衡</x:v>
      </x:c>
      <x:c r="S116" s="214" t="str">
        <x:v>存在第三十神恢复通路、清除破坏或重新形成平衡</x:v>
      </x:c>
      <x:c r="T116" s="214" t="str">
        <x:v>任一核心十神失效，或不存在真实作用路径</x:v>
      </x:c>
      <x:c r="U116" s="214" t="str">
        <x:v>特殊格局、从化或月令格局另转M14/M15复审</x:v>
      </x:c>
      <x:c r="V116" s="214" t="str">
        <x:v>待定</x:v>
      </x:c>
      <x:c r="W116" s="214" t="str">
        <x:v>形成可审计组合输出</x:v>
      </x:c>
      <x:c r="X116" s="214" t="str">
        <x:v>待定</x:v>
      </x:c>
      <x:c r="Y116" s="214" t="str">
        <x:v>对应格局候选转M14</x:v>
      </x:c>
      <x:c r="Z116" s="214" t="str">
        <x:v>组合标准输出</x:v>
      </x:c>
      <x:c r="AA116" s="214" t="str">
        <x:v>M11最终输出：组合名称、核心十神、作用路径、力量匹配、日主承载、成立等级、实际功能、主要破坏、救应、否决理由、格局候选资格和置信度。</x:v>
      </x:c>
      <x:c r="AB116" s="214" t="str">
        <x:v>较高</x:v>
      </x:c>
      <x:c r="AC116" s="214" t="str">
        <x:v>现代综合</x:v>
      </x:c>
      <x:c r="AD116" s="214" t="str">
        <x:v>十神同时出现不等于组合成立。M11须同时验证核心十神有效性、作用路径、力量匹配、日主承载、破坏因素与救应；组合成立也不等于格局成立。</x:v>
      </x:c>
      <x:c r="AE116" s="214" t="str">
        <x:v>M11完成所有候选组合评估；每个候选均需要明确为何成立、为何降级或为何不成立；作用路径稳定且无关键破坏，可按“十神组合边界”记录。</x:v>
      </x:c>
      <x:c r="AF116" s="214" t="str">
        <x:v>仅因“多个十神”同时出现，但核心十神无力、无作用路径或被关键因素破坏，不能判“十神组合边界”成立。</x:v>
      </x:c>
      <x:c r="AG116" s="214" t="str">
        <x:v>https://zh.wikisource.org/zh-hans/%E6%B7%B5%E6%B5%B7%E5%AD%90%E5%B9%B3 ; https://zh.wikisource.org/wiki/%E6%BB%B4%E5%A4%A9%E9%AB%93%E9%97%A1%E5%BE%AE</x:v>
      </x:c>
      <x:c r="AH116" s="214" t="str">
        <x:v>采用</x:v>
      </x:c>
      <x:c r="AI116" s="214" t="str">
        <x:v>初审</x:v>
      </x:c>
      <x:c r="AJ116" s="217" t="n">
        <x:v>46255</x:v>
      </x:c>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 type="list" sqref="E7:E116">
      <x:formula1>'99_下拉选项'!$BG$4:$BG$14</x:formula1>
    </x:dataValidation>
    <x:dataValidation type="list" sqref="G7:G116">
      <x:formula1>'99_下拉选项'!$F$4:$F$7</x:formula1>
    </x:dataValidation>
    <x:dataValidation type="list" sqref="H7:H116">
      <x:formula1>'99_下拉选项'!$AQ$4:$AQ$8</x:formula1>
    </x:dataValidation>
    <x:dataValidation type="list" sqref="V7:V116">
      <x:formula1>'99_下拉选项'!$V$4:$V$9</x:formula1>
    </x:dataValidation>
    <x:dataValidation type="list" sqref="X7:X116">
      <x:formula1>'99_下拉选项'!$X$4:$X$7</x:formula1>
    </x:dataValidation>
    <x:dataValidation type="list" sqref="AB7:AB116">
      <x:formula1>'99_下拉选项'!$Q$4:$Q$8</x:formula1>
    </x:dataValidation>
    <x:dataValidation type="list" sqref="AC7:AC116">
      <x:formula1>'99_下拉选项'!$R$4:$R$11</x:formula1>
    </x:dataValidation>
    <x:dataValidation type="list" sqref="AH7:AH116">
      <x:formula1>'99_下拉选项'!$S$4:$S$9</x:formula1>
    </x:dataValidation>
    <x:dataValidation type="list" sqref="AI7:AI116">
      <x:formula1>'99_下拉选项'!$T$4:$T$8</x:formula1>
    </x:dataValidation>
  </x:dataValidations>
  <x:pageMargins left="0.7" right="0.7" top="0.75" bottom="0.75" header="0.3" footer="0.3"/>
  <x:tableParts count="1">
    <x:tablePart xmlns:r="http://schemas.openxmlformats.org/officeDocument/2006/relationships" r:id="Rf4119b35c71f4278"/>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v>M12-GEN-0001-V1.0</x:v>
      </x:c>
      <x:c r="B7" s="74" t="str">
        <x:v>M12</x:v>
      </x:c>
      <x:c r="C7" s="74" t="str">
        <x:v>GEN</x:v>
      </x:c>
      <x:c r="D7" s="215" t="n">
        <x:v>1</x:v>
      </x:c>
      <x:c r="E7" s="74" t="str">
        <x:v>V1.0</x:v>
      </x:c>
      <x:c r="F7" s="68" t="str">
        <x:v>所有流通判断统一使用起点—桥梁—终点模型</x:v>
      </x:c>
      <x:c r="G7" s="82" t="str">
        <x:v>结构层</x:v>
      </x:c>
      <x:c r="H7" s="68" t="str">
        <x:v>五行生化路径</x:v>
      </x:c>
      <x:c r="I7" s="68" t="str">
        <x:v>待定</x:v>
      </x:c>
      <x:c r="J7" s="68" t="str">
        <x:v>待定</x:v>
      </x:c>
      <x:c r="K7" s="68" t="str">
        <x:v>待定</x:v>
      </x:c>
      <x:c r="L7" s="82" t="str">
        <x:v>待定</x:v>
      </x:c>
      <x:c r="M7" s="82" t="str">
        <x:v>待定</x:v>
      </x:c>
      <x:c r="N7" s="68" t="str">
        <x:v>待定</x:v>
      </x:c>
      <x:c r="O7" s="68" t="str">
        <x:v>待定</x:v>
      </x:c>
      <x:c r="P7" s="68" t="str">
        <x:v>待定</x:v>
      </x:c>
      <x:c r="Q7" s="82" t="str">
        <x:v>待定</x:v>
      </x:c>
      <x:c r="R7" s="82" t="str">
        <x:v>其他</x:v>
      </x:c>
      <x:c r="S7" s="68" t="str">
        <x:v>待定</x:v>
      </x:c>
      <x:c r="T7" s="68" t="str">
        <x:v>流通结论需要至少明确力量从何处出发、经过什么节点、最终由谁承接</x:v>
      </x:c>
      <x:c r="U7" s="68" t="str">
        <x:v>待定</x:v>
      </x:c>
      <x:c r="V7" s="68" t="str">
        <x:v>待定</x:v>
      </x:c>
      <x:c r="W7" s="90" t="str">
        <x:v>需检查对调候、格局、日主承载及其他通路的副作用</x:v>
      </x:c>
      <x:c r="X7" s="68" t="str">
        <x:v>M06关系效应、M08五行有效旺衰、M10十神功能与M11组合判断已完成</x:v>
      </x:c>
      <x:c r="Y7" s="68" t="str">
        <x:v>起点、桥梁、终点均按有效力量与实际作用路径判断</x:v>
      </x:c>
      <x:c r="Z7" s="68" t="str">
        <x:v>桥梁有根有源、透达、位置可达且不存在关键制约</x:v>
      </x:c>
      <x:c r="AA7" s="68" t="str">
        <x:v>桥梁失令、无根、受克、合绊、改性或同时被多路调用</x:v>
      </x:c>
      <x:c r="AB7" s="90" t="str">
        <x:v>不得仅因五行缺失、数量少或关系名称直接认定卡点或通关用神</x:v>
      </x:c>
      <x:c r="AC7" s="68" t="str">
        <x:v>若存在更短、更强或副作用更小的替代路径，应并列比较后再裁定</x:v>
      </x:c>
      <x:c r="AD7" s="84" t="str">
        <x:v>流通三节点模型</x:v>
      </x:c>
      <x:c r="AE7" s="84" t="str">
        <x:v>所有流通判断统一使用起点—桥梁—终点模型：按起点—桥梁—终点检查有效力量、连续性与承载；卡点为“其他”时，仅生成通关候选，不直接定用神。</x:v>
      </x:c>
      <x:c r="AF7" s="82" t="str">
        <x:v>较高</x:v>
      </x:c>
      <x:c r="AG7" s="82" t="str">
        <x:v>现代综合</x:v>
      </x:c>
      <x:c r="AH7" s="68" t="str">
        <x:v>流通判断以五行有效力量、生克顺序与十神功能为核心；古典依据可参照《滴天髓》《渊海子平》。 https://zh.wikisource.org/wiki/%E6%BB%B4%E5%A4%A9%E9%AB%93%E9%97%A1%E5%BE%AE https://zh.wikisource.org/zh-hans/%E6%B7%B5%E6%B5%B7%E5%AD%90%E5%B9%B3</x:v>
      </x:c>
      <x:c r="AI7" s="68" t="str">
        <x:v>当“流通结论需要至少明确力量从何处出发、经过什么节点、最终由谁承接”真实成立，且桥梁具备有效力量和连续作用条件时，可按“所有流通判断统一使用起点—桥梁—终点模型”记录。</x:v>
      </x:c>
      <x:c r="AJ7" s="90" t="str">
        <x:v>仅见表面缺失或五行相克，但未证明“流通结论需要至少明确力量从何处出发、经过什么节点、最终由谁承接”形成实际阻断时，不得套用“所有流通判断统一使用起点—桥梁—终点模型”。</x:v>
      </x:c>
      <x:c r="AK7" s="82" t="str">
        <x:v>采用</x:v>
      </x:c>
      <x:c r="AL7" s="82" t="str">
        <x:v>初审</x:v>
      </x:c>
      <x:c r="AM7" s="87" t="n">
        <x:v>46255</x:v>
      </x:c>
    </x:row>
    <x:row r="8">
      <x:c r="A8" s="72" t="str">
        <x:f>IF(OR(C8="",D8=""),"",B8&amp;"-"&amp;UPPER(C8)&amp;"-"&amp;TEXT(D8,"0000")&amp;"-"&amp;E8)</x:f>
        <x:v>M12-GEN-0002-V1.0</x:v>
      </x:c>
      <x:c r="B8" s="74" t="str">
        <x:v>M12</x:v>
      </x:c>
      <x:c r="C8" s="74" t="str">
        <x:v>GEN</x:v>
      </x:c>
      <x:c r="D8" s="215" t="n">
        <x:v>2</x:v>
      </x:c>
      <x:c r="E8" s="74" t="str">
        <x:v>V1.0</x:v>
      </x:c>
      <x:c r="F8" s="68" t="str">
        <x:v>五行齐全不等于流通通畅</x:v>
      </x:c>
      <x:c r="G8" s="82" t="str">
        <x:v>结构层</x:v>
      </x:c>
      <x:c r="H8" s="68" t="str">
        <x:v>五行生化路径</x:v>
      </x:c>
      <x:c r="I8" s="68" t="str">
        <x:v>待定</x:v>
      </x:c>
      <x:c r="J8" s="68" t="str">
        <x:v>待定</x:v>
      </x:c>
      <x:c r="K8" s="68" t="str">
        <x:v>待定</x:v>
      </x:c>
      <x:c r="L8" s="82" t="str">
        <x:v>待定</x:v>
      </x:c>
      <x:c r="M8" s="82" t="str">
        <x:v>待定</x:v>
      </x:c>
      <x:c r="N8" s="68" t="str">
        <x:v>待定</x:v>
      </x:c>
      <x:c r="O8" s="68" t="str">
        <x:v>待定</x:v>
      </x:c>
      <x:c r="P8" s="68" t="str">
        <x:v>待定</x:v>
      </x:c>
      <x:c r="Q8" s="82" t="str">
        <x:v>待定</x:v>
      </x:c>
      <x:c r="R8" s="82" t="str">
        <x:v>其他</x:v>
      </x:c>
      <x:c r="S8" s="68" t="str">
        <x:v>待定</x:v>
      </x:c>
      <x:c r="T8" s="68" t="str">
        <x:v>五行虽齐，但桥梁可能失效、路径被克或终点无法承载</x:v>
      </x:c>
      <x:c r="U8" s="68" t="str">
        <x:v>待定</x:v>
      </x:c>
      <x:c r="V8" s="68" t="str">
        <x:v>待定</x:v>
      </x:c>
      <x:c r="W8" s="90" t="str">
        <x:v>需检查对调候、格局、日主承载及其他通路的副作用</x:v>
      </x:c>
      <x:c r="X8" s="68" t="str">
        <x:v>M06关系效应、M08五行有效旺衰、M10十神功能与M11组合判断已完成</x:v>
      </x:c>
      <x:c r="Y8" s="68" t="str">
        <x:v>起点、桥梁、终点均按有效力量与实际作用路径判断</x:v>
      </x:c>
      <x:c r="Z8" s="68" t="str">
        <x:v>桥梁有根有源、透达、位置可达且不存在关键制约</x:v>
      </x:c>
      <x:c r="AA8" s="68" t="str">
        <x:v>桥梁失令、无根、受克、合绊、改性或同时被多路调用</x:v>
      </x:c>
      <x:c r="AB8" s="90" t="str">
        <x:v>不得仅因五行缺失、数量少或关系名称直接认定卡点或通关用神</x:v>
      </x:c>
      <x:c r="AC8" s="68" t="str">
        <x:v>若存在更短、更强或副作用更小的替代路径，应并列比较后再裁定</x:v>
      </x:c>
      <x:c r="AD8" s="84" t="str">
        <x:v>五行齐全非充分条件</x:v>
      </x:c>
      <x:c r="AE8" s="84" t="str">
        <x:v>五行齐全不等于流通通畅：按起点—桥梁—终点检查有效力量、连续性与承载；卡点为“其他”时，仅生成通关候选，不直接定用神。</x:v>
      </x:c>
      <x:c r="AF8" s="82" t="str">
        <x:v>较高</x:v>
      </x:c>
      <x:c r="AG8" s="82" t="str">
        <x:v>现代综合</x:v>
      </x:c>
      <x:c r="AH8" s="68" t="str">
        <x:v>流通判断以五行有效力量、生克顺序与十神功能为核心；古典依据可参照《滴天髓》《渊海子平》。 https://zh.wikisource.org/wiki/%E6%BB%B4%E5%A4%A9%E9%AB%93%E9%97%A1%E5%BE%AE https://zh.wikisource.org/zh-hans/%E6%B7%B5%E6%B5%B7%E5%AD%90%E5%B9%B3</x:v>
      </x:c>
      <x:c r="AI8" s="68" t="str">
        <x:v>当“五行虽齐，但桥梁可能失效、路径被克或终点无法承载”真实成立，且桥梁具备有效力量和连续作用条件时，可按“五行齐全不等于流通通畅”记录。</x:v>
      </x:c>
      <x:c r="AJ8" s="90" t="str">
        <x:v>仅见表面缺失或五行相克，但未证明“五行虽齐，但桥梁可能失效、路径被克或终点无法承载”形成实际阻断时，不得套用“五行齐全不等于流通通畅”。</x:v>
      </x:c>
      <x:c r="AK8" s="82" t="str">
        <x:v>采用</x:v>
      </x:c>
      <x:c r="AL8" s="82" t="str">
        <x:v>初审</x:v>
      </x:c>
      <x:c r="AM8" s="87" t="n">
        <x:v>46255</x:v>
      </x:c>
    </x:row>
    <x:row r="9">
      <x:c r="A9" s="72" t="str">
        <x:f>IF(OR(C9="",D9=""),"",B9&amp;"-"&amp;UPPER(C9)&amp;"-"&amp;TEXT(D9,"0000")&amp;"-"&amp;E9)</x:f>
        <x:v>M12-GEN-0003-V1.0</x:v>
      </x:c>
      <x:c r="B9" s="74" t="str">
        <x:v>M12</x:v>
      </x:c>
      <x:c r="C9" s="74" t="str">
        <x:v>GEN</x:v>
      </x:c>
      <x:c r="D9" s="215" t="n">
        <x:v>3</x:v>
      </x:c>
      <x:c r="E9" s="74" t="str">
        <x:v>V1.0</x:v>
      </x:c>
      <x:c r="F9" s="68" t="str">
        <x:v>五行缺失不等于必然形成卡点</x:v>
      </x:c>
      <x:c r="G9" s="82" t="str">
        <x:v>结构层</x:v>
      </x:c>
      <x:c r="H9" s="68" t="str">
        <x:v>五行生化路径</x:v>
      </x:c>
      <x:c r="I9" s="68" t="str">
        <x:v>待定</x:v>
      </x:c>
      <x:c r="J9" s="68" t="str">
        <x:v>待定</x:v>
      </x:c>
      <x:c r="K9" s="68" t="str">
        <x:v>待定</x:v>
      </x:c>
      <x:c r="L9" s="82" t="str">
        <x:v>待定</x:v>
      </x:c>
      <x:c r="M9" s="82" t="str">
        <x:v>待定</x:v>
      </x:c>
      <x:c r="N9" s="68" t="str">
        <x:v>待定</x:v>
      </x:c>
      <x:c r="O9" s="68" t="str">
        <x:v>待定</x:v>
      </x:c>
      <x:c r="P9" s="68" t="str">
        <x:v>待定</x:v>
      </x:c>
      <x:c r="Q9" s="82" t="str">
        <x:v>待定</x:v>
      </x:c>
      <x:c r="R9" s="82" t="str">
        <x:v>缺桥</x:v>
      </x:c>
      <x:c r="S9" s="68" t="str">
        <x:v>待定</x:v>
      </x:c>
      <x:c r="T9" s="68" t="str">
        <x:v>缺失五行并非当前主路径必要桥梁，或存在其他有效路径</x:v>
      </x:c>
      <x:c r="U9" s="68" t="str">
        <x:v>待定</x:v>
      </x:c>
      <x:c r="V9" s="68" t="str">
        <x:v>待定</x:v>
      </x:c>
      <x:c r="W9" s="90" t="str">
        <x:v>需检查对调候、格局、日主承载及其他通路的副作用</x:v>
      </x:c>
      <x:c r="X9" s="68" t="str">
        <x:v>M06关系效应、M08五行有效旺衰、M10十神功能与M11组合判断已完成</x:v>
      </x:c>
      <x:c r="Y9" s="68" t="str">
        <x:v>起点、桥梁、终点均按有效力量与实际作用路径判断</x:v>
      </x:c>
      <x:c r="Z9" s="68" t="str">
        <x:v>桥梁有根有源、透达、位置可达且不存在关键制约</x:v>
      </x:c>
      <x:c r="AA9" s="68" t="str">
        <x:v>桥梁失令、无根、受克、合绊、改性或同时被多路调用</x:v>
      </x:c>
      <x:c r="AB9" s="90" t="str">
        <x:v>不得仅因五行缺失、数量少或关系名称直接认定卡点或通关用神</x:v>
      </x:c>
      <x:c r="AC9" s="68" t="str">
        <x:v>若存在更短、更强或副作用更小的替代路径，应并列比较后再裁定</x:v>
      </x:c>
      <x:c r="AD9" s="84" t="str">
        <x:v>五行缺失非卡点充分条件</x:v>
      </x:c>
      <x:c r="AE9" s="84" t="str">
        <x:v>五行缺失不等于必然形成卡点：按起点—桥梁—终点检查有效力量、连续性与承载；卡点为“缺桥”时，仅生成通关候选，不直接定用神。</x:v>
      </x:c>
      <x:c r="AF9" s="82" t="str">
        <x:v>较高</x:v>
      </x:c>
      <x:c r="AG9" s="82" t="str">
        <x:v>现代综合</x:v>
      </x:c>
      <x:c r="AH9" s="68" t="str">
        <x:v>流通判断以五行有效力量、生克顺序与十神功能为核心；古典依据可参照《滴天髓》《渊海子平》。 https://zh.wikisource.org/wiki/%E6%BB%B4%E5%A4%A9%E9%AB%93%E9%97%A1%E5%BE%AE https://zh.wikisource.org/zh-hans/%E6%B7%B5%E6%B5%B7%E5%AD%90%E5%B9%B3</x:v>
      </x:c>
      <x:c r="AI9" s="68" t="str">
        <x:v>当“缺失五行并非当前主路径必要桥梁，或存在其他有效路径”真实成立，且桥梁具备有效力量和连续作用条件时，可按“五行缺失不等于必然形成卡点”记录。</x:v>
      </x:c>
      <x:c r="AJ9" s="90" t="str">
        <x:v>仅见表面缺失或五行相克，但未证明“缺失五行并非当前主路径必要桥梁，或存在其他有效路径”形成实际阻断时，不得套用“五行缺失不等于必然形成卡点”。</x:v>
      </x:c>
      <x:c r="AK9" s="82" t="str">
        <x:v>采用</x:v>
      </x:c>
      <x:c r="AL9" s="82" t="str">
        <x:v>初审</x:v>
      </x:c>
      <x:c r="AM9" s="87" t="n">
        <x:v>46255</x:v>
      </x:c>
    </x:row>
    <x:row r="10">
      <x:c r="A10" s="72" t="str">
        <x:f>IF(OR(C10="",D10=""),"",B10&amp;"-"&amp;UPPER(C10)&amp;"-"&amp;TEXT(D10,"0000")&amp;"-"&amp;E10)</x:f>
        <x:v>M12-GEN-0004-V1.0</x:v>
      </x:c>
      <x:c r="B10" s="74" t="str">
        <x:v>M12</x:v>
      </x:c>
      <x:c r="C10" s="74" t="str">
        <x:v>GEN</x:v>
      </x:c>
      <x:c r="D10" s="215" t="n">
        <x:v>4</x:v>
      </x:c>
      <x:c r="E10" s="74" t="str">
        <x:v>V1.0</x:v>
      </x:c>
      <x:c r="F10" s="68" t="str">
        <x:v>流通只读取有效力量而不读取名义存在</x:v>
      </x:c>
      <x:c r="G10" s="82" t="str">
        <x:v>结构层</x:v>
      </x:c>
      <x:c r="H10" s="68" t="str">
        <x:v>五行生化路径</x:v>
      </x:c>
      <x:c r="I10" s="68" t="str">
        <x:v>待定</x:v>
      </x:c>
      <x:c r="J10" s="68" t="str">
        <x:v>待定</x:v>
      </x:c>
      <x:c r="K10" s="68" t="str">
        <x:v>待定</x:v>
      </x:c>
      <x:c r="L10" s="82" t="str">
        <x:v>待定</x:v>
      </x:c>
      <x:c r="M10" s="82" t="str">
        <x:v>待定</x:v>
      </x:c>
      <x:c r="N10" s="68" t="str">
        <x:v>待定</x:v>
      </x:c>
      <x:c r="O10" s="68" t="str">
        <x:v>待定</x:v>
      </x:c>
      <x:c r="P10" s="68" t="str">
        <x:v>待定</x:v>
      </x:c>
      <x:c r="Q10" s="82" t="str">
        <x:v>局部阻塞</x:v>
      </x:c>
      <x:c r="R10" s="82" t="str">
        <x:v>桥梁太弱</x:v>
      </x:c>
      <x:c r="S10" s="68" t="str">
        <x:v>待定</x:v>
      </x:c>
      <x:c r="T10" s="68" t="str">
        <x:v>某五行虽有字但M08已判失效、受限或改性</x:v>
      </x:c>
      <x:c r="U10" s="68" t="str">
        <x:v>待定</x:v>
      </x:c>
      <x:c r="V10" s="68" t="str">
        <x:v>待定</x:v>
      </x:c>
      <x:c r="W10" s="90" t="str">
        <x:v>需检查对调候、格局、日主承载及其他通路的副作用</x:v>
      </x:c>
      <x:c r="X10" s="68" t="str">
        <x:v>M06关系效应、M08五行有效旺衰、M10十神功能与M11组合判断已完成</x:v>
      </x:c>
      <x:c r="Y10" s="68" t="str">
        <x:v>起点、桥梁、终点均按有效力量与实际作用路径判断</x:v>
      </x:c>
      <x:c r="Z10" s="68" t="str">
        <x:v>桥梁有根有源、透达、位置可达且不存在关键制约</x:v>
      </x:c>
      <x:c r="AA10" s="68" t="str">
        <x:v>桥梁失令、无根、受克、合绊、改性或同时被多路调用</x:v>
      </x:c>
      <x:c r="AB10" s="90" t="str">
        <x:v>不得仅因五行缺失、数量少或关系名称直接认定卡点或通关用神</x:v>
      </x:c>
      <x:c r="AC10" s="68" t="str">
        <x:v>若存在更短、更强或副作用更小的替代路径，应并列比较后再裁定</x:v>
      </x:c>
      <x:c r="AD10" s="84" t="str">
        <x:v>有效力量优先</x:v>
      </x:c>
      <x:c r="AE10" s="84" t="str">
        <x:v>流通只读取有效力量而不读取名义存在：按起点—桥梁—终点检查有效力量、连续性与承载；卡点为“桥梁太弱”时，仅生成通关候选，不直接定用神。</x:v>
      </x:c>
      <x:c r="AF10" s="82" t="str">
        <x:v>较高</x:v>
      </x:c>
      <x:c r="AG10" s="82" t="str">
        <x:v>现代综合</x:v>
      </x:c>
      <x:c r="AH10" s="68" t="str">
        <x:v>流通判断以五行有效力量、生克顺序与十神功能为核心；古典依据可参照《滴天髓》《渊海子平》。 https://zh.wikisource.org/wiki/%E6%BB%B4%E5%A4%A9%E9%AB%93%E9%97%A1%E5%BE%AE https://zh.wikisource.org/zh-hans/%E6%B7%B5%E6%B5%B7%E5%AD%90%E5%B9%B3</x:v>
      </x:c>
      <x:c r="AI10" s="68" t="str">
        <x:v>当“某五行虽有字但M08已判失效、受限或改性”真实成立，且桥梁具备有效力量和连续作用条件时，可按“流通只读取有效力量而不读取名义存在”记录。</x:v>
      </x:c>
      <x:c r="AJ10" s="90" t="str">
        <x:v>仅见表面缺失或五行相克，但未证明“某五行虽有字但M08已判失效、受限或改性”形成实际阻断时，不得套用“流通只读取有效力量而不读取名义存在”。</x:v>
      </x:c>
      <x:c r="AK10" s="82" t="str">
        <x:v>采用</x:v>
      </x:c>
      <x:c r="AL10" s="82" t="str">
        <x:v>初审</x:v>
      </x:c>
      <x:c r="AM10" s="87" t="n">
        <x:v>46255</x:v>
      </x:c>
    </x:row>
    <x:row r="11">
      <x:c r="A11" s="72" t="str">
        <x:f>IF(OR(C11="",D11=""),"",B11&amp;"-"&amp;UPPER(C11)&amp;"-"&amp;TEXT(D11,"0000")&amp;"-"&amp;E11)</x:f>
        <x:v>M12-GEN-0005-V1.0</x:v>
      </x:c>
      <x:c r="B11" s="74" t="str">
        <x:v>M12</x:v>
      </x:c>
      <x:c r="C11" s="74" t="str">
        <x:v>GEN</x:v>
      </x:c>
      <x:c r="D11" s="215" t="n">
        <x:v>5</x:v>
      </x:c>
      <x:c r="E11" s="74" t="str">
        <x:v>V1.0</x:v>
      </x:c>
      <x:c r="F11" s="68" t="str">
        <x:v>路径长度增加会降低末端有效传递</x:v>
      </x:c>
      <x:c r="G11" s="82" t="str">
        <x:v>结构层</x:v>
      </x:c>
      <x:c r="H11" s="68" t="str">
        <x:v>五行生化路径</x:v>
      </x:c>
      <x:c r="I11" s="68" t="str">
        <x:v>待定</x:v>
      </x:c>
      <x:c r="J11" s="68" t="str">
        <x:v>待定</x:v>
      </x:c>
      <x:c r="K11" s="68" t="str">
        <x:v>待定</x:v>
      </x:c>
      <x:c r="L11" s="82" t="str">
        <x:v>待定</x:v>
      </x:c>
      <x:c r="M11" s="82" t="str">
        <x:v>待定</x:v>
      </x:c>
      <x:c r="N11" s="68" t="str">
        <x:v>待定</x:v>
      </x:c>
      <x:c r="O11" s="68" t="str">
        <x:v>待定</x:v>
      </x:c>
      <x:c r="P11" s="68" t="str">
        <x:v>待定</x:v>
      </x:c>
      <x:c r="Q11" s="82" t="str">
        <x:v>局部阻塞</x:v>
      </x:c>
      <x:c r="R11" s="82" t="str">
        <x:v>链路过长</x:v>
      </x:c>
      <x:c r="S11" s="68" t="str">
        <x:v>待定</x:v>
      </x:c>
      <x:c r="T11" s="68" t="str">
        <x:v>力量需要跨越多个连续生化节点，且每层存在耗散与容量限制</x:v>
      </x:c>
      <x:c r="U11" s="68" t="str">
        <x:v>待定</x:v>
      </x:c>
      <x:c r="V11" s="68" t="str">
        <x:v>待定</x:v>
      </x:c>
      <x:c r="W11" s="90" t="str">
        <x:v>需检查对调候、格局、日主承载及其他通路的副作用</x:v>
      </x:c>
      <x:c r="X11" s="68" t="str">
        <x:v>M06关系效应、M08五行有效旺衰、M10十神功能与M11组合判断已完成</x:v>
      </x:c>
      <x:c r="Y11" s="68" t="str">
        <x:v>起点、桥梁、终点均按有效力量与实际作用路径判断</x:v>
      </x:c>
      <x:c r="Z11" s="68" t="str">
        <x:v>桥梁有根有源、透达、位置可达且不存在关键制约</x:v>
      </x:c>
      <x:c r="AA11" s="68" t="str">
        <x:v>桥梁失令、无根、受克、合绊、改性或同时被多路调用</x:v>
      </x:c>
      <x:c r="AB11" s="90" t="str">
        <x:v>不得仅因五行缺失、数量少或关系名称直接认定卡点或通关用神</x:v>
      </x:c>
      <x:c r="AC11" s="68" t="str">
        <x:v>若存在更短、更强或副作用更小的替代路径，应并列比较后再裁定</x:v>
      </x:c>
      <x:c r="AD11" s="84" t="str">
        <x:v>链路长度衰减</x:v>
      </x:c>
      <x:c r="AE11" s="84" t="str">
        <x:v>路径长度增加会降低末端有效传递：按起点—桥梁—终点检查有效力量、连续性与承载；卡点为“链路过长”时，仅生成通关候选，不直接定用神。</x:v>
      </x:c>
      <x:c r="AF11" s="82" t="str">
        <x:v>较高</x:v>
      </x:c>
      <x:c r="AG11" s="82" t="str">
        <x:v>现代综合</x:v>
      </x:c>
      <x:c r="AH11" s="68" t="str">
        <x:v>流通判断以五行有效力量、生克顺序与十神功能为核心；古典依据可参照《滴天髓》《渊海子平》。 https://zh.wikisource.org/wiki/%E6%BB%B4%E5%A4%A9%E9%AB%93%E9%97%A1%E5%BE%AE https://zh.wikisource.org/zh-hans/%E6%B7%B5%E6%B5%B7%E5%AD%90%E5%B9%B3</x:v>
      </x:c>
      <x:c r="AI11" s="68" t="str">
        <x:v>当“力量需要跨越多个连续生化节点，且每层存在耗散与容量限制”真实成立，且桥梁具备有效力量和连续作用条件时，可按“路径长度增加会降低末端有效传递”记录。</x:v>
      </x:c>
      <x:c r="AJ11" s="90" t="str">
        <x:v>仅见表面缺失或五行相克，但未证明“力量需要跨越多个连续生化节点，且每层存在耗散与容量限制”形成实际阻断时，不得套用“路径长度增加会降低末端有效传递”。</x:v>
      </x:c>
      <x:c r="AK11" s="82" t="str">
        <x:v>采用</x:v>
      </x:c>
      <x:c r="AL11" s="82" t="str">
        <x:v>初审</x:v>
      </x:c>
      <x:c r="AM11" s="87" t="n">
        <x:v>46255</x:v>
      </x:c>
    </x:row>
    <x:row r="12">
      <x:c r="A12" s="72" t="str">
        <x:f>IF(OR(C12="",D12=""),"",B12&amp;"-"&amp;UPPER(C12)&amp;"-"&amp;TEXT(D12,"0000")&amp;"-"&amp;E12)</x:f>
        <x:v>M12-GEN-0006-V1.0</x:v>
      </x:c>
      <x:c r="B12" s="74" t="str">
        <x:v>M12</x:v>
      </x:c>
      <x:c r="C12" s="74" t="str">
        <x:v>GEN</x:v>
      </x:c>
      <x:c r="D12" s="215" t="n">
        <x:v>6</x:v>
      </x:c>
      <x:c r="E12" s="74" t="str">
        <x:v>V1.0</x:v>
      </x:c>
      <x:c r="F12" s="68" t="str">
        <x:v>同一节点参与多条路径必须进行容量去重</x:v>
      </x:c>
      <x:c r="G12" s="82" t="str">
        <x:v>结构层</x:v>
      </x:c>
      <x:c r="H12" s="68" t="str">
        <x:v>五行生化路径</x:v>
      </x:c>
      <x:c r="I12" s="68" t="str">
        <x:v>待定</x:v>
      </x:c>
      <x:c r="J12" s="68" t="str">
        <x:v>待定</x:v>
      </x:c>
      <x:c r="K12" s="68" t="str">
        <x:v>待定</x:v>
      </x:c>
      <x:c r="L12" s="82" t="str">
        <x:v>待定</x:v>
      </x:c>
      <x:c r="M12" s="82" t="str">
        <x:v>待定</x:v>
      </x:c>
      <x:c r="N12" s="68" t="str">
        <x:v>待定</x:v>
      </x:c>
      <x:c r="O12" s="68" t="str">
        <x:v>待定</x:v>
      </x:c>
      <x:c r="P12" s="68" t="str">
        <x:v>待定</x:v>
      </x:c>
      <x:c r="Q12" s="82" t="str">
        <x:v>待定</x:v>
      </x:c>
      <x:c r="R12" s="82" t="str">
        <x:v>其他</x:v>
      </x:c>
      <x:c r="S12" s="68" t="str">
        <x:v>待定</x:v>
      </x:c>
      <x:c r="T12" s="68" t="str">
        <x:v>同一五行或十神被多个起点、终点或组合同时调用</x:v>
      </x:c>
      <x:c r="U12" s="68" t="str">
        <x:v>待定</x:v>
      </x:c>
      <x:c r="V12" s="68" t="str">
        <x:v>待定</x:v>
      </x:c>
      <x:c r="W12" s="90" t="str">
        <x:v>需检查对调候、格局、日主承载及其他通路的副作用</x:v>
      </x:c>
      <x:c r="X12" s="68" t="str">
        <x:v>M06关系效应、M08五行有效旺衰、M10十神功能与M11组合判断已完成</x:v>
      </x:c>
      <x:c r="Y12" s="68" t="str">
        <x:v>起点、桥梁、终点均按有效力量与实际作用路径判断</x:v>
      </x:c>
      <x:c r="Z12" s="68" t="str">
        <x:v>桥梁有根有源、透达、位置可达且不存在关键制约</x:v>
      </x:c>
      <x:c r="AA12" s="68" t="str">
        <x:v>桥梁失令、无根、受克、合绊、改性或同时被多路调用</x:v>
      </x:c>
      <x:c r="AB12" s="90" t="str">
        <x:v>不得仅因五行缺失、数量少或关系名称直接认定卡点或通关用神</x:v>
      </x:c>
      <x:c r="AC12" s="68" t="str">
        <x:v>若存在更短、更强或副作用更小的替代路径，应并列比较后再裁定</x:v>
      </x:c>
      <x:c r="AD12" s="84" t="str">
        <x:v>路径容量去重</x:v>
      </x:c>
      <x:c r="AE12" s="84" t="str">
        <x:v>同一节点参与多条路径必须进行容量去重：按起点—桥梁—终点检查有效力量、连续性与承载；卡点为“其他”时，仅生成通关候选，不直接定用神。</x:v>
      </x:c>
      <x:c r="AF12" s="82" t="str">
        <x:v>较高</x:v>
      </x:c>
      <x:c r="AG12" s="82" t="str">
        <x:v>现代综合</x:v>
      </x:c>
      <x:c r="AH12" s="68" t="str">
        <x:v>流通判断以五行有效力量、生克顺序与十神功能为核心；古典依据可参照《滴天髓》《渊海子平》。 https://zh.wikisource.org/wiki/%E6%BB%B4%E5%A4%A9%E9%AB%93%E9%97%A1%E5%BE%AE https://zh.wikisource.org/zh-hans/%E6%B7%B5%E6%B5%B7%E5%AD%90%E5%B9%B3</x:v>
      </x:c>
      <x:c r="AI12" s="68" t="str">
        <x:v>当“同一五行或十神被多个起点、终点或组合同时调用”真实成立，且桥梁具备有效力量和连续作用条件时，可按“同一节点参与多条路径必须进行容量去重”记录。</x:v>
      </x:c>
      <x:c r="AJ12" s="90" t="str">
        <x:v>仅见表面缺失或五行相克，但未证明“同一五行或十神被多个起点、终点或组合同时调用”形成实际阻断时，不得套用“同一节点参与多条路径必须进行容量去重”。</x:v>
      </x:c>
      <x:c r="AK12" s="82" t="str">
        <x:v>采用</x:v>
      </x:c>
      <x:c r="AL12" s="82" t="str">
        <x:v>初审</x:v>
      </x:c>
      <x:c r="AM12" s="87" t="n">
        <x:v>46255</x:v>
      </x:c>
    </x:row>
    <x:row r="13">
      <x:c r="A13" s="72" t="str">
        <x:f>IF(OR(C13="",D13=""),"",B13&amp;"-"&amp;UPPER(C13)&amp;"-"&amp;TEXT(D13,"0000")&amp;"-"&amp;E13)</x:f>
        <x:v>M12-GEN-0007-V1.0</x:v>
      </x:c>
      <x:c r="B13" s="74" t="str">
        <x:v>M12</x:v>
      </x:c>
      <x:c r="C13" s="74" t="str">
        <x:v>GEN</x:v>
      </x:c>
      <x:c r="D13" s="215" t="n">
        <x:v>7</x:v>
      </x:c>
      <x:c r="E13" s="74" t="str">
        <x:v>V1.0</x:v>
      </x:c>
      <x:c r="F13" s="68" t="str">
        <x:v>流通路径应优先保留更短更稳定的主路径</x:v>
      </x:c>
      <x:c r="G13" s="82" t="str">
        <x:v>结构层</x:v>
      </x:c>
      <x:c r="H13" s="68" t="str">
        <x:v>五行生化路径</x:v>
      </x:c>
      <x:c r="I13" s="68" t="str">
        <x:v>待定</x:v>
      </x:c>
      <x:c r="J13" s="68" t="str">
        <x:v>待定</x:v>
      </x:c>
      <x:c r="K13" s="68" t="str">
        <x:v>待定</x:v>
      </x:c>
      <x:c r="L13" s="82" t="str">
        <x:v>待定</x:v>
      </x:c>
      <x:c r="M13" s="82" t="str">
        <x:v>待定</x:v>
      </x:c>
      <x:c r="N13" s="68" t="str">
        <x:v>待定</x:v>
      </x:c>
      <x:c r="O13" s="68" t="str">
        <x:v>待定</x:v>
      </x:c>
      <x:c r="P13" s="68" t="str">
        <x:v>待定</x:v>
      </x:c>
      <x:c r="Q13" s="82" t="str">
        <x:v>基本通畅</x:v>
      </x:c>
      <x:c r="R13" s="82" t="str">
        <x:v>其他</x:v>
      </x:c>
      <x:c r="S13" s="68" t="str">
        <x:v>待定</x:v>
      </x:c>
      <x:c r="T13" s="68" t="str">
        <x:v>存在两条以上可达路径，但长度、桥梁强度和副作用差异明显</x:v>
      </x:c>
      <x:c r="U13" s="68" t="str">
        <x:v>待定</x:v>
      </x:c>
      <x:c r="V13" s="68" t="str">
        <x:v>待定</x:v>
      </x:c>
      <x:c r="W13" s="90" t="str">
        <x:v>需检查对调候、格局、日主承载及其他通路的副作用</x:v>
      </x:c>
      <x:c r="X13" s="68" t="str">
        <x:v>M06关系效应、M08五行有效旺衰、M10十神功能与M11组合判断已完成</x:v>
      </x:c>
      <x:c r="Y13" s="68" t="str">
        <x:v>起点、桥梁、终点均按有效力量与实际作用路径判断</x:v>
      </x:c>
      <x:c r="Z13" s="68" t="str">
        <x:v>桥梁有根有源、透达、位置可达且不存在关键制约</x:v>
      </x:c>
      <x:c r="AA13" s="68" t="str">
        <x:v>桥梁失令、无根、受克、合绊、改性或同时被多路调用</x:v>
      </x:c>
      <x:c r="AB13" s="90" t="str">
        <x:v>不得仅因五行缺失、数量少或关系名称直接认定卡点或通关用神</x:v>
      </x:c>
      <x:c r="AC13" s="68" t="str">
        <x:v>若存在更短、更强或副作用更小的替代路径，应并列比较后再裁定</x:v>
      </x:c>
      <x:c r="AD13" s="84" t="str">
        <x:v>主路径优选</x:v>
      </x:c>
      <x:c r="AE13" s="84" t="str">
        <x:v>流通路径应优先保留更短更稳定的主路径：按起点—桥梁—终点检查有效力量、连续性与承载；卡点为“其他”时，仅生成通关候选，不直接定用神。</x:v>
      </x:c>
      <x:c r="AF13" s="82" t="str">
        <x:v>较高</x:v>
      </x:c>
      <x:c r="AG13" s="82" t="str">
        <x:v>现代综合</x:v>
      </x:c>
      <x:c r="AH13" s="68" t="str">
        <x:v>流通判断以五行有效力量、生克顺序与十神功能为核心；古典依据可参照《滴天髓》《渊海子平》。 https://zh.wikisource.org/wiki/%E6%BB%B4%E5%A4%A9%E9%AB%93%E9%97%A1%E5%BE%AE https://zh.wikisource.org/zh-hans/%E6%B7%B5%E6%B5%B7%E5%AD%90%E5%B9%B3</x:v>
      </x:c>
      <x:c r="AI13" s="68" t="str">
        <x:v>当“存在两条以上可达路径，但长度、桥梁强度和副作用差异明显”真实成立，且桥梁具备有效力量和连续作用条件时，可按“流通路径应优先保留更短更稳定的主路径”记录。</x:v>
      </x:c>
      <x:c r="AJ13" s="90" t="str">
        <x:v>仅见表面缺失或五行相克，但未证明“存在两条以上可达路径，但长度、桥梁强度和副作用差异明显”形成实际阻断时，不得套用“流通路径应优先保留更短更稳定的主路径”。</x:v>
      </x:c>
      <x:c r="AK13" s="82" t="str">
        <x:v>采用</x:v>
      </x:c>
      <x:c r="AL13" s="82" t="str">
        <x:v>初审</x:v>
      </x:c>
      <x:c r="AM13" s="87" t="n">
        <x:v>46255</x:v>
      </x:c>
    </x:row>
    <x:row r="14">
      <x:c r="A14" s="72" t="str">
        <x:f>IF(OR(C14="",D14=""),"",B14&amp;"-"&amp;UPPER(C14)&amp;"-"&amp;TEXT(D14,"0000")&amp;"-"&amp;E14)</x:f>
        <x:v>M12-GEN-0008-V1.0</x:v>
      </x:c>
      <x:c r="B14" s="74" t="str">
        <x:v>M12</x:v>
      </x:c>
      <x:c r="C14" s="74" t="str">
        <x:v>GEN</x:v>
      </x:c>
      <x:c r="D14" s="215" t="n">
        <x:v>8</x:v>
      </x:c>
      <x:c r="E14" s="74" t="str">
        <x:v>V1.0</x:v>
      </x:c>
      <x:c r="F14" s="68" t="str">
        <x:v>局部通畅不等于全局通畅</x:v>
      </x:c>
      <x:c r="G14" s="82" t="str">
        <x:v>结构层</x:v>
      </x:c>
      <x:c r="H14" s="68" t="str">
        <x:v>五行生化路径</x:v>
      </x:c>
      <x:c r="I14" s="68" t="str">
        <x:v>待定</x:v>
      </x:c>
      <x:c r="J14" s="68" t="str">
        <x:v>待定</x:v>
      </x:c>
      <x:c r="K14" s="68" t="str">
        <x:v>待定</x:v>
      </x:c>
      <x:c r="L14" s="82" t="str">
        <x:v>待定</x:v>
      </x:c>
      <x:c r="M14" s="82" t="str">
        <x:v>待定</x:v>
      </x:c>
      <x:c r="N14" s="68" t="str">
        <x:v>待定</x:v>
      </x:c>
      <x:c r="O14" s="68" t="str">
        <x:v>待定</x:v>
      </x:c>
      <x:c r="P14" s="68" t="str">
        <x:v>待定</x:v>
      </x:c>
      <x:c r="Q14" s="82" t="str">
        <x:v>局部阻塞</x:v>
      </x:c>
      <x:c r="R14" s="82" t="str">
        <x:v>其他</x:v>
      </x:c>
      <x:c r="S14" s="68" t="str">
        <x:v>待定</x:v>
      </x:c>
      <x:c r="T14" s="68" t="str">
        <x:v>一条生化链顺畅但另一处仍存在两强相战、壅塞或终点失衡</x:v>
      </x:c>
      <x:c r="U14" s="68" t="str">
        <x:v>待定</x:v>
      </x:c>
      <x:c r="V14" s="68" t="str">
        <x:v>待定</x:v>
      </x:c>
      <x:c r="W14" s="90" t="str">
        <x:v>需检查对调候、格局、日主承载及其他通路的副作用</x:v>
      </x:c>
      <x:c r="X14" s="68" t="str">
        <x:v>M06关系效应、M08五行有效旺衰、M10十神功能与M11组合判断已完成</x:v>
      </x:c>
      <x:c r="Y14" s="68" t="str">
        <x:v>起点、桥梁、终点均按有效力量与实际作用路径判断</x:v>
      </x:c>
      <x:c r="Z14" s="68" t="str">
        <x:v>桥梁有根有源、透达、位置可达且不存在关键制约</x:v>
      </x:c>
      <x:c r="AA14" s="68" t="str">
        <x:v>桥梁失令、无根、受克、合绊、改性或同时被多路调用</x:v>
      </x:c>
      <x:c r="AB14" s="90" t="str">
        <x:v>不得仅因五行缺失、数量少或关系名称直接认定卡点或通关用神</x:v>
      </x:c>
      <x:c r="AC14" s="68" t="str">
        <x:v>若存在更短、更强或副作用更小的替代路径，应并列比较后再裁定</x:v>
      </x:c>
      <x:c r="AD14" s="84" t="str">
        <x:v>局部全局分离</x:v>
      </x:c>
      <x:c r="AE14" s="84" t="str">
        <x:v>局部通畅不等于全局通畅：按起点—桥梁—终点检查有效力量、连续性与承载；卡点为“其他”时，仅生成通关候选，不直接定用神。</x:v>
      </x:c>
      <x:c r="AF14" s="82" t="str">
        <x:v>较高</x:v>
      </x:c>
      <x:c r="AG14" s="82" t="str">
        <x:v>现代综合</x:v>
      </x:c>
      <x:c r="AH14" s="68" t="str">
        <x:v>流通判断以五行有效力量、生克顺序与十神功能为核心；古典依据可参照《滴天髓》《渊海子平》。 https://zh.wikisource.org/wiki/%E6%BB%B4%E5%A4%A9%E9%AB%93%E9%97%A1%E5%BE%AE https://zh.wikisource.org/zh-hans/%E6%B7%B5%E6%B5%B7%E5%AD%90%E5%B9%B3</x:v>
      </x:c>
      <x:c r="AI14" s="68" t="str">
        <x:v>当“一条生化链顺畅但另一处仍存在两强相战、壅塞或终点失衡”真实成立，且桥梁具备有效力量和连续作用条件时，可按“局部通畅不等于全局通畅”记录。</x:v>
      </x:c>
      <x:c r="AJ14" s="90" t="str">
        <x:v>仅见表面缺失或五行相克，但未证明“一条生化链顺畅但另一处仍存在两强相战、壅塞或终点失衡”形成实际阻断时，不得套用“局部通畅不等于全局通畅”。</x:v>
      </x:c>
      <x:c r="AK14" s="82" t="str">
        <x:v>采用</x:v>
      </x:c>
      <x:c r="AL14" s="82" t="str">
        <x:v>初审</x:v>
      </x:c>
      <x:c r="AM14" s="87" t="n">
        <x:v>46255</x:v>
      </x:c>
    </x:row>
    <x:row r="15">
      <x:c r="A15" s="72" t="str">
        <x:f>IF(OR(C15="",D15=""),"",B15&amp;"-"&amp;UPPER(C15)&amp;"-"&amp;TEXT(D15,"0000")&amp;"-"&amp;E15)</x:f>
        <x:v>M12-GEN-0009-V1.0</x:v>
      </x:c>
      <x:c r="B15" s="74" t="str">
        <x:v>M12</x:v>
      </x:c>
      <x:c r="C15" s="74" t="str">
        <x:v>GEN</x:v>
      </x:c>
      <x:c r="D15" s="215" t="n">
        <x:v>9</x:v>
      </x:c>
      <x:c r="E15" s="74" t="str">
        <x:v>V1.0</x:v>
      </x:c>
      <x:c r="F15" s="68" t="str">
        <x:v>流通状态必须区分通畅、基本通畅、局部阻塞、明显阻断和无有效路径</x:v>
      </x:c>
      <x:c r="G15" s="82" t="str">
        <x:v>结构层</x:v>
      </x:c>
      <x:c r="H15" s="68" t="str">
        <x:v>五行生化路径</x:v>
      </x:c>
      <x:c r="I15" s="68" t="str">
        <x:v>待定</x:v>
      </x:c>
      <x:c r="J15" s="68" t="str">
        <x:v>待定</x:v>
      </x:c>
      <x:c r="K15" s="68" t="str">
        <x:v>待定</x:v>
      </x:c>
      <x:c r="L15" s="82" t="str">
        <x:v>待定</x:v>
      </x:c>
      <x:c r="M15" s="82" t="str">
        <x:v>待定</x:v>
      </x:c>
      <x:c r="N15" s="68" t="str">
        <x:v>待定</x:v>
      </x:c>
      <x:c r="O15" s="68" t="str">
        <x:v>待定</x:v>
      </x:c>
      <x:c r="P15" s="68" t="str">
        <x:v>待定</x:v>
      </x:c>
      <x:c r="Q15" s="82" t="str">
        <x:v>待定</x:v>
      </x:c>
      <x:c r="R15" s="82" t="str">
        <x:v>其他</x:v>
      </x:c>
      <x:c r="S15" s="68" t="str">
        <x:v>待定</x:v>
      </x:c>
      <x:c r="T15" s="68" t="str">
        <x:v>路径有效程度存在层级差异，不能只用通或不通二分</x:v>
      </x:c>
      <x:c r="U15" s="68" t="str">
        <x:v>待定</x:v>
      </x:c>
      <x:c r="V15" s="68" t="str">
        <x:v>待定</x:v>
      </x:c>
      <x:c r="W15" s="90" t="str">
        <x:v>需检查对调候、格局、日主承载及其他通路的副作用</x:v>
      </x:c>
      <x:c r="X15" s="68" t="str">
        <x:v>M06关系效应、M08五行有效旺衰、M10十神功能与M11组合判断已完成</x:v>
      </x:c>
      <x:c r="Y15" s="68" t="str">
        <x:v>起点、桥梁、终点均按有效力量与实际作用路径判断</x:v>
      </x:c>
      <x:c r="Z15" s="68" t="str">
        <x:v>桥梁有根有源、透达、位置可达且不存在关键制约</x:v>
      </x:c>
      <x:c r="AA15" s="68" t="str">
        <x:v>桥梁失令、无根、受克、合绊、改性或同时被多路调用</x:v>
      </x:c>
      <x:c r="AB15" s="90" t="str">
        <x:v>不得仅因五行缺失、数量少或关系名称直接认定卡点或通关用神</x:v>
      </x:c>
      <x:c r="AC15" s="68" t="str">
        <x:v>若存在更短、更强或副作用更小的替代路径，应并列比较后再裁定</x:v>
      </x:c>
      <x:c r="AD15" s="84" t="str">
        <x:v>流通五级状态</x:v>
      </x:c>
      <x:c r="AE15" s="84" t="str">
        <x:v>流通状态必须区分通畅、基本通畅、局部阻塞、明显阻断和无有效路径：按起点—桥梁—终点检查有效力量、连续性与承载；卡点为“其他”时，仅生成通关候选，不直接定用神。</x:v>
      </x:c>
      <x:c r="AF15" s="82" t="str">
        <x:v>较高</x:v>
      </x:c>
      <x:c r="AG15" s="82" t="str">
        <x:v>现代综合</x:v>
      </x:c>
      <x:c r="AH15" s="68" t="str">
        <x:v>流通判断以五行有效力量、生克顺序与十神功能为核心；古典依据可参照《滴天髓》《渊海子平》。 https://zh.wikisource.org/wiki/%E6%BB%B4%E5%A4%A9%E9%AB%93%E9%97%A1%E5%BE%AE https://zh.wikisource.org/zh-hans/%E6%B7%B5%E6%B5%B7%E5%AD%90%E5%B9%B3</x:v>
      </x:c>
      <x:c r="AI15" s="68" t="str">
        <x:v>当“路径有效程度存在层级差异，不能只用通或不通二分”真实成立，且桥梁具备有效力量和连续作用条件时，可按“流通状态必须区分通畅、基本通畅、局部阻塞、明显阻断和无有效路径”记录。</x:v>
      </x:c>
      <x:c r="AJ15" s="90" t="str">
        <x:v>仅见表面缺失或五行相克，但未证明“路径有效程度存在层级差异，不能只用通或不通二分”形成实际阻断时，不得套用“流通状态必须区分通畅、基本通畅、局部阻塞、明显阻断和无有效路径”。</x:v>
      </x:c>
      <x:c r="AK15" s="82" t="str">
        <x:v>采用</x:v>
      </x:c>
      <x:c r="AL15" s="82" t="str">
        <x:v>初审</x:v>
      </x:c>
      <x:c r="AM15" s="87" t="n">
        <x:v>46255</x:v>
      </x:c>
    </x:row>
    <x:row r="16">
      <x:c r="A16" s="72" t="str">
        <x:f>IF(OR(C16="",D16=""),"",B16&amp;"-"&amp;UPPER(C16)&amp;"-"&amp;TEXT(D16,"0000")&amp;"-"&amp;E16)</x:f>
        <x:v>M12-GEN-0010-V1.0</x:v>
      </x:c>
      <x:c r="B16" s="74" t="str">
        <x:v>M12</x:v>
      </x:c>
      <x:c r="C16" s="74" t="str">
        <x:v>GEN</x:v>
      </x:c>
      <x:c r="D16" s="215" t="n">
        <x:v>10</x:v>
      </x:c>
      <x:c r="E16" s="74" t="str">
        <x:v>V1.0</x:v>
      </x:c>
      <x:c r="F16" s="68" t="str">
        <x:v>通关候选不等于喜神或用神</x:v>
      </x:c>
      <x:c r="G16" s="82" t="str">
        <x:v>结构层</x:v>
      </x:c>
      <x:c r="H16" s="68" t="str">
        <x:v>五行生化路径</x:v>
      </x:c>
      <x:c r="I16" s="68" t="str">
        <x:v>待定</x:v>
      </x:c>
      <x:c r="J16" s="68" t="str">
        <x:v>待定</x:v>
      </x:c>
      <x:c r="K16" s="68" t="str">
        <x:v>待定</x:v>
      </x:c>
      <x:c r="L16" s="82" t="str">
        <x:v>待定</x:v>
      </x:c>
      <x:c r="M16" s="82" t="str">
        <x:v>待定</x:v>
      </x:c>
      <x:c r="N16" s="68" t="str">
        <x:v>待定</x:v>
      </x:c>
      <x:c r="O16" s="68" t="str">
        <x:v>待定</x:v>
      </x:c>
      <x:c r="P16" s="68" t="str">
        <x:v>待定</x:v>
      </x:c>
      <x:c r="Q16" s="82" t="str">
        <x:v>待定</x:v>
      </x:c>
      <x:c r="R16" s="82" t="str">
        <x:v>其他</x:v>
      </x:c>
      <x:c r="S16" s="68" t="str">
        <x:v>待定</x:v>
      </x:c>
      <x:c r="T16" s="68" t="str">
        <x:v>某五行能够连接两端，但可能带来寒湿、燥烈、破格或日主承载副作用</x:v>
      </x:c>
      <x:c r="U16" s="68" t="str">
        <x:v>待定</x:v>
      </x:c>
      <x:c r="V16" s="68" t="str">
        <x:v>待定</x:v>
      </x:c>
      <x:c r="W16" s="90" t="str">
        <x:v>必须转M13/M16/M17检查调候、病药、格局和扶抑副作用</x:v>
      </x:c>
      <x:c r="X16" s="68" t="str">
        <x:v>M06关系效应、M08五行有效旺衰、M10十神功能与M11组合判断已完成</x:v>
      </x:c>
      <x:c r="Y16" s="68" t="str">
        <x:v>起点、桥梁、终点均按有效力量与实际作用路径判断</x:v>
      </x:c>
      <x:c r="Z16" s="68" t="str">
        <x:v>桥梁有根有源、透达、位置可达且不存在关键制约</x:v>
      </x:c>
      <x:c r="AA16" s="68" t="str">
        <x:v>桥梁失令、无根、受克、合绊、改性或同时被多路调用</x:v>
      </x:c>
      <x:c r="AB16" s="90" t="str">
        <x:v>不得仅因五行缺失、数量少或关系名称直接认定卡点或通关用神</x:v>
      </x:c>
      <x:c r="AC16" s="68" t="str">
        <x:v>若存在更短、更强或副作用更小的替代路径，应并列比较后再裁定</x:v>
      </x:c>
      <x:c r="AD16" s="84" t="str">
        <x:v>通关与喜忌分离</x:v>
      </x:c>
      <x:c r="AE16" s="84" t="str">
        <x:v>通关候选不等于喜神或用神：按起点—桥梁—终点检查有效力量、连续性与承载；卡点为“其他”时，仅生成通关候选，不直接定用神。</x:v>
      </x:c>
      <x:c r="AF16" s="82" t="str">
        <x:v>较高</x:v>
      </x:c>
      <x:c r="AG16" s="82" t="str">
        <x:v>现代综合</x:v>
      </x:c>
      <x:c r="AH16" s="68" t="str">
        <x:v>流通判断以五行有效力量、生克顺序与十神功能为核心；古典依据可参照《滴天髓》《渊海子平》。 https://zh.wikisource.org/wiki/%E6%BB%B4%E5%A4%A9%E9%AB%93%E9%97%A1%E5%BE%AE https://zh.wikisource.org/zh-hans/%E6%B7%B5%E6%B5%B7%E5%AD%90%E5%B9%B3</x:v>
      </x:c>
      <x:c r="AI16" s="68" t="str">
        <x:v>当“某五行能够连接两端，但可能带来寒湿、燥烈、破格或日主承载副作用”真实成立，且桥梁具备有效力量和连续作用条件时，可按“通关候选不等于喜神或用神”记录。</x:v>
      </x:c>
      <x:c r="AJ16" s="90" t="str">
        <x:v>仅见表面缺失或五行相克，但未证明“某五行能够连接两端，但可能带来寒湿、燥烈、破格或日主承载副作用”形成实际阻断时，不得套用“通关候选不等于喜神或用神”。</x:v>
      </x:c>
      <x:c r="AK16" s="82" t="str">
        <x:v>采用</x:v>
      </x:c>
      <x:c r="AL16" s="82" t="str">
        <x:v>初审</x:v>
      </x:c>
      <x:c r="AM16" s="87" t="n">
        <x:v>46255</x:v>
      </x:c>
    </x:row>
    <x:row r="17">
      <x:c r="A17" s="72" t="str">
        <x:f>IF(OR(C17="",D17=""),"",B17&amp;"-"&amp;UPPER(C17)&amp;"-"&amp;TEXT(D17,"0000")&amp;"-"&amp;E17)</x:f>
        <x:v>M12-SOURCE-0011-V1.0</x:v>
      </x:c>
      <x:c r="B17" s="74" t="str">
        <x:v>M12</x:v>
      </x:c>
      <x:c r="C17" s="74" t="str">
        <x:v>SOURCE</x:v>
      </x:c>
      <x:c r="D17" s="215" t="n">
        <x:v>11</x:v>
      </x:c>
      <x:c r="E17" s="74" t="str">
        <x:v>V1.0</x:v>
      </x:c>
      <x:c r="F17" s="68" t="str">
        <x:v>强源头必须有可持续输出路径</x:v>
      </x:c>
      <x:c r="G17" s="82" t="str">
        <x:v>结构层</x:v>
      </x:c>
      <x:c r="H17" s="68" t="str">
        <x:v>五行生化路径</x:v>
      </x:c>
      <x:c r="I17" s="68" t="str">
        <x:v>任一旺强五行</x:v>
      </x:c>
      <x:c r="J17" s="68" t="str">
        <x:v>其所生五行</x:v>
      </x:c>
      <x:c r="K17" s="68" t="str">
        <x:v>下游五行</x:v>
      </x:c>
      <x:c r="L17" s="82" t="str">
        <x:v>旺</x:v>
      </x:c>
      <x:c r="M17" s="82" t="str">
        <x:v>待定</x:v>
      </x:c>
      <x:c r="N17" s="68" t="str">
        <x:v>待定</x:v>
      </x:c>
      <x:c r="O17" s="68" t="str">
        <x:v>待定</x:v>
      </x:c>
      <x:c r="P17" s="68" t="str">
        <x:v>待定</x:v>
      </x:c>
      <x:c r="Q17" s="82" t="str">
        <x:v>局部阻塞</x:v>
      </x:c>
      <x:c r="R17" s="82" t="str">
        <x:v>源头过旺无泄</x:v>
      </x:c>
      <x:c r="S17" s="68" t="str">
        <x:v>起点</x:v>
      </x:c>
      <x:c r="T17" s="68" t="str">
        <x:v>源头旺强但没有有效泄出或转化通道</x:v>
      </x:c>
      <x:c r="U17" s="68" t="str">
        <x:v>源头所生五行</x:v>
      </x:c>
      <x:c r="V17" s="68" t="str">
        <x:v>桥梁必须真实有效且终点能够承接</x:v>
      </x:c>
      <x:c r="W17" s="90" t="str">
        <x:v>需检查对调候、格局、日主承载及其他通路的副作用</x:v>
      </x:c>
      <x:c r="X17" s="68" t="str">
        <x:v>M06关系效应、M08五行有效旺衰、M10十神功能与M11组合判断已完成</x:v>
      </x:c>
      <x:c r="Y17" s="68" t="str">
        <x:v>起点、桥梁、终点均按有效力量与实际作用路径判断</x:v>
      </x:c>
      <x:c r="Z17" s="68" t="str">
        <x:v>桥梁有根有源、透达、位置可达且不存在关键制约</x:v>
      </x:c>
      <x:c r="AA17" s="68" t="str">
        <x:v>桥梁失令、无根、受克、合绊、改性或同时被多路调用</x:v>
      </x:c>
      <x:c r="AB17" s="90" t="str">
        <x:v>不得仅因五行缺失、数量少或关系名称直接认定卡点或通关用神</x:v>
      </x:c>
      <x:c r="AC17" s="68" t="str">
        <x:v>若存在更短、更强或副作用更小的替代路径，应并列比较后再裁定</x:v>
      </x:c>
      <x:c r="AD17" s="84" t="str">
        <x:v>M12_SOURCE_流通判定</x:v>
      </x:c>
      <x:c r="AE17" s="84" t="str">
        <x:v>强源头必须有可持续输出路径：按起点—桥梁—终点检查有效力量、连续性与承载；卡点为“源头过旺无泄”时，仅生成通关候选，不直接定用神。</x:v>
      </x:c>
      <x:c r="AF17" s="82" t="str">
        <x:v>较高</x:v>
      </x:c>
      <x:c r="AG17" s="82" t="str">
        <x:v>现代综合</x:v>
      </x:c>
      <x:c r="AH17" s="68" t="str">
        <x:v>流通判断以五行有效力量、生克顺序与十神功能为核心；古典依据可参照《滴天髓》《渊海子平》。 https://zh.wikisource.org/wiki/%E6%BB%B4%E5%A4%A9%E9%AB%93%E9%97%A1%E5%BE%AE https://zh.wikisource.org/zh-hans/%E6%B7%B5%E6%B5%B7%E5%AD%90%E5%B9%B3</x:v>
      </x:c>
      <x:c r="AI17" s="68" t="str">
        <x:v>当“源头旺强但没有有效泄出或转化通道”真实成立，且桥梁具备有效力量和连续作用条件时，可按“强源头必须有可持续输出路径”记录。</x:v>
      </x:c>
      <x:c r="AJ17" s="90" t="str">
        <x:v>仅见表面缺失或五行相克，但未证明“源头旺强但没有有效泄出或转化通道”形成实际阻断时，不得套用“强源头必须有可持续输出路径”。</x:v>
      </x:c>
      <x:c r="AK17" s="82" t="str">
        <x:v>采用</x:v>
      </x:c>
      <x:c r="AL17" s="82" t="str">
        <x:v>初审</x:v>
      </x:c>
      <x:c r="AM17" s="87" t="n">
        <x:v>46255</x:v>
      </x:c>
    </x:row>
    <x:row r="18">
      <x:c r="A18" s="72" t="str">
        <x:f>IF(OR(C18="",D18=""),"",B18&amp;"-"&amp;UPPER(C18)&amp;"-"&amp;TEXT(D18,"0000")&amp;"-"&amp;E18)</x:f>
        <x:v>M12-SOURCE-0012-V1.0</x:v>
      </x:c>
      <x:c r="B18" s="74" t="str">
        <x:v>M12</x:v>
      </x:c>
      <x:c r="C18" s="74" t="str">
        <x:v>SOURCE</x:v>
      </x:c>
      <x:c r="D18" s="215" t="n">
        <x:v>12</x:v>
      </x:c>
      <x:c r="E18" s="74" t="str">
        <x:v>V1.0</x:v>
      </x:c>
      <x:c r="F18" s="68" t="str">
        <x:v>极旺源头无泄时优先标记壅塞风险</x:v>
      </x:c>
      <x:c r="G18" s="82" t="str">
        <x:v>结构层</x:v>
      </x:c>
      <x:c r="H18" s="68" t="str">
        <x:v>五行生化路径</x:v>
      </x:c>
      <x:c r="I18" s="68" t="str">
        <x:v>任一极旺五行</x:v>
      </x:c>
      <x:c r="J18" s="68" t="str">
        <x:v>其所生五行</x:v>
      </x:c>
      <x:c r="K18" s="68" t="str">
        <x:v>下游五行</x:v>
      </x:c>
      <x:c r="L18" s="82" t="str">
        <x:v>极旺</x:v>
      </x:c>
      <x:c r="M18" s="82" t="str">
        <x:v>待定</x:v>
      </x:c>
      <x:c r="N18" s="68" t="str">
        <x:v>待定</x:v>
      </x:c>
      <x:c r="O18" s="68" t="str">
        <x:v>待定</x:v>
      </x:c>
      <x:c r="P18" s="68" t="str">
        <x:v>待定</x:v>
      </x:c>
      <x:c r="Q18" s="82" t="str">
        <x:v>明显阻断</x:v>
      </x:c>
      <x:c r="R18" s="82" t="str">
        <x:v>源头过旺无泄</x:v>
      </x:c>
      <x:c r="S18" s="68" t="str">
        <x:v>起点</x:v>
      </x:c>
      <x:c r="T18" s="68" t="str">
        <x:v>源头极旺且下游桥梁弱、失效或完全缺失</x:v>
      </x:c>
      <x:c r="U18" s="68" t="str">
        <x:v>待定</x:v>
      </x:c>
      <x:c r="V18" s="68" t="str">
        <x:v>待定</x:v>
      </x:c>
      <x:c r="W18" s="90" t="str">
        <x:v>需检查对调候、格局、日主承载及其他通路的副作用</x:v>
      </x:c>
      <x:c r="X18" s="68" t="str">
        <x:v>M06关系效应、M08五行有效旺衰、M10十神功能与M11组合判断已完成</x:v>
      </x:c>
      <x:c r="Y18" s="68" t="str">
        <x:v>起点、桥梁、终点均按有效力量与实际作用路径判断</x:v>
      </x:c>
      <x:c r="Z18" s="68" t="str">
        <x:v>桥梁有根有源、透达、位置可达且不存在关键制约</x:v>
      </x:c>
      <x:c r="AA18" s="68" t="str">
        <x:v>桥梁失令、无根、受克、合绊、改性或同时被多路调用</x:v>
      </x:c>
      <x:c r="AB18" s="90" t="str">
        <x:v>不得仅因五行缺失、数量少或关系名称直接认定卡点或通关用神</x:v>
      </x:c>
      <x:c r="AC18" s="68" t="str">
        <x:v>若存在更短、更强或副作用更小的替代路径，应并列比较后再裁定</x:v>
      </x:c>
      <x:c r="AD18" s="84" t="str">
        <x:v>M12_SOURCE_流通判定</x:v>
      </x:c>
      <x:c r="AE18" s="84" t="str">
        <x:v>极旺源头无泄时优先标记壅塞风险：按起点—桥梁—终点检查有效力量、连续性与承载；卡点为“源头过旺无泄”时，仅生成通关候选，不直接定用神。</x:v>
      </x:c>
      <x:c r="AF18" s="82" t="str">
        <x:v>较高</x:v>
      </x:c>
      <x:c r="AG18" s="82" t="str">
        <x:v>现代综合</x:v>
      </x:c>
      <x:c r="AH18" s="68" t="str">
        <x:v>流通判断以五行有效力量、生克顺序与十神功能为核心；古典依据可参照《滴天髓》《渊海子平》。 https://zh.wikisource.org/wiki/%E6%BB%B4%E5%A4%A9%E9%AB%93%E9%97%A1%E5%BE%AE https://zh.wikisource.org/zh-hans/%E6%B7%B5%E6%B5%B7%E5%AD%90%E5%B9%B3</x:v>
      </x:c>
      <x:c r="AI18" s="68" t="str">
        <x:v>当“源头极旺且下游桥梁弱、失效或完全缺失”真实成立，且桥梁具备有效力量和连续作用条件时，可按“极旺源头无泄时优先标记壅塞风险”记录。</x:v>
      </x:c>
      <x:c r="AJ18" s="90" t="str">
        <x:v>仅见表面缺失或五行相克，但未证明“源头极旺且下游桥梁弱、失效或完全缺失”形成实际阻断时，不得套用“极旺源头无泄时优先标记壅塞风险”。</x:v>
      </x:c>
      <x:c r="AK18" s="82" t="str">
        <x:v>采用</x:v>
      </x:c>
      <x:c r="AL18" s="82" t="str">
        <x:v>初审</x:v>
      </x:c>
      <x:c r="AM18" s="87" t="n">
        <x:v>46255</x:v>
      </x:c>
    </x:row>
    <x:row r="19">
      <x:c r="A19" s="72" t="str">
        <x:f>IF(OR(C19="",D19=""),"",B19&amp;"-"&amp;UPPER(C19)&amp;"-"&amp;TEXT(D19,"0000")&amp;"-"&amp;E19)</x:f>
        <x:v>M12-SOURCE-0013-V1.0</x:v>
      </x:c>
      <x:c r="B19" s="74" t="str">
        <x:v>M12</x:v>
      </x:c>
      <x:c r="C19" s="74" t="str">
        <x:v>SOURCE</x:v>
      </x:c>
      <x:c r="D19" s="215" t="n">
        <x:v>13</x:v>
      </x:c>
      <x:c r="E19" s="74" t="str">
        <x:v>V1.0</x:v>
      </x:c>
      <x:c r="F19" s="68" t="str">
        <x:v>弱源头不足以支撑长链流通</x:v>
      </x:c>
      <x:c r="G19" s="82" t="str">
        <x:v>结构层</x:v>
      </x:c>
      <x:c r="H19" s="68" t="str">
        <x:v>五行生化路径</x:v>
      </x:c>
      <x:c r="I19" s="68" t="str">
        <x:v>任一弱五行</x:v>
      </x:c>
      <x:c r="J19" s="68" t="str">
        <x:v>第一桥梁</x:v>
      </x:c>
      <x:c r="K19" s="68" t="str">
        <x:v>两层以上终点</x:v>
      </x:c>
      <x:c r="L19" s="82" t="str">
        <x:v>弱</x:v>
      </x:c>
      <x:c r="M19" s="82" t="str">
        <x:v>待定</x:v>
      </x:c>
      <x:c r="N19" s="68" t="str">
        <x:v>待定</x:v>
      </x:c>
      <x:c r="O19" s="68" t="str">
        <x:v>待定</x:v>
      </x:c>
      <x:c r="P19" s="68" t="str">
        <x:v>待定</x:v>
      </x:c>
      <x:c r="Q19" s="82" t="str">
        <x:v>局部阻塞</x:v>
      </x:c>
      <x:c r="R19" s="82" t="str">
        <x:v>链路过长</x:v>
      </x:c>
      <x:c r="S19" s="68" t="str">
        <x:v>起点</x:v>
      </x:c>
      <x:c r="T19" s="68" t="str">
        <x:v>源头自身有效力量不足，无法持续供应后续多层生化</x:v>
      </x:c>
      <x:c r="U19" s="68" t="str">
        <x:v>待定</x:v>
      </x:c>
      <x:c r="V19" s="68" t="str">
        <x:v>待定</x:v>
      </x:c>
      <x:c r="W19" s="90" t="str">
        <x:v>需检查对调候、格局、日主承载及其他通路的副作用</x:v>
      </x:c>
      <x:c r="X19" s="68" t="str">
        <x:v>M06关系效应、M08五行有效旺衰、M10十神功能与M11组合判断已完成</x:v>
      </x:c>
      <x:c r="Y19" s="68" t="str">
        <x:v>起点、桥梁、终点均按有效力量与实际作用路径判断</x:v>
      </x:c>
      <x:c r="Z19" s="68" t="str">
        <x:v>桥梁有根有源、透达、位置可达且不存在关键制约</x:v>
      </x:c>
      <x:c r="AA19" s="68" t="str">
        <x:v>桥梁失令、无根、受克、合绊、改性或同时被多路调用</x:v>
      </x:c>
      <x:c r="AB19" s="90" t="str">
        <x:v>不得仅因五行缺失、数量少或关系名称直接认定卡点或通关用神</x:v>
      </x:c>
      <x:c r="AC19" s="68" t="str">
        <x:v>若存在更短、更强或副作用更小的替代路径，应并列比较后再裁定</x:v>
      </x:c>
      <x:c r="AD19" s="84" t="str">
        <x:v>M12_SOURCE_流通判定</x:v>
      </x:c>
      <x:c r="AE19" s="84" t="str">
        <x:v>弱源头不足以支撑长链流通：按起点—桥梁—终点检查有效力量、连续性与承载；卡点为“链路过长”时，仅生成通关候选，不直接定用神。</x:v>
      </x:c>
      <x:c r="AF19" s="82" t="str">
        <x:v>较高</x:v>
      </x:c>
      <x:c r="AG19" s="82" t="str">
        <x:v>现代综合</x:v>
      </x:c>
      <x:c r="AH19" s="68" t="str">
        <x:v>流通判断以五行有效力量、生克顺序与十神功能为核心；古典依据可参照《滴天髓》《渊海子平》。 https://zh.wikisource.org/wiki/%E6%BB%B4%E5%A4%A9%E9%AB%93%E9%97%A1%E5%BE%AE https://zh.wikisource.org/zh-hans/%E6%B7%B5%E6%B5%B7%E5%AD%90%E5%B9%B3</x:v>
      </x:c>
      <x:c r="AI19" s="68" t="str">
        <x:v>当“源头自身有效力量不足，无法持续供应后续多层生化”真实成立，且桥梁具备有效力量和连续作用条件时，可按“弱源头不足以支撑长链流通”记录。</x:v>
      </x:c>
      <x:c r="AJ19" s="90" t="str">
        <x:v>仅见表面缺失或五行相克，但未证明“源头自身有效力量不足，无法持续供应后续多层生化”形成实际阻断时，不得套用“弱源头不足以支撑长链流通”。</x:v>
      </x:c>
      <x:c r="AK19" s="82" t="str">
        <x:v>采用</x:v>
      </x:c>
      <x:c r="AL19" s="82" t="str">
        <x:v>初审</x:v>
      </x:c>
      <x:c r="AM19" s="87" t="n">
        <x:v>46255</x:v>
      </x:c>
    </x:row>
    <x:row r="20">
      <x:c r="A20" s="72" t="str">
        <x:f>IF(OR(C20="",D20=""),"",B20&amp;"-"&amp;UPPER(C20)&amp;"-"&amp;TEXT(D20,"0000")&amp;"-"&amp;E20)</x:f>
        <x:v>M12-SOURCE-0014-V1.0</x:v>
      </x:c>
      <x:c r="B20" s="74" t="str">
        <x:v>M12</x:v>
      </x:c>
      <x:c r="C20" s="74" t="str">
        <x:v>SOURCE</x:v>
      </x:c>
      <x:c r="D20" s="215" t="n">
        <x:v>14</x:v>
      </x:c>
      <x:c r="E20" s="74" t="str">
        <x:v>V1.0</x:v>
      </x:c>
      <x:c r="F20" s="68" t="str">
        <x:v>名义源头失效时不得建立流通链</x:v>
      </x:c>
      <x:c r="G20" s="82" t="str">
        <x:v>结构层</x:v>
      </x:c>
      <x:c r="H20" s="68" t="str">
        <x:v>五行生化路径</x:v>
      </x:c>
      <x:c r="I20" s="68" t="str">
        <x:v>名义存在但失效的五行</x:v>
      </x:c>
      <x:c r="J20" s="68" t="str">
        <x:v>下一五行</x:v>
      </x:c>
      <x:c r="K20" s="68" t="str">
        <x:v>终点</x:v>
      </x:c>
      <x:c r="L20" s="82" t="str">
        <x:v>极弱</x:v>
      </x:c>
      <x:c r="M20" s="82" t="str">
        <x:v>待定</x:v>
      </x:c>
      <x:c r="N20" s="68" t="str">
        <x:v>待定</x:v>
      </x:c>
      <x:c r="O20" s="68" t="str">
        <x:v>待定</x:v>
      </x:c>
      <x:c r="P20" s="68" t="str">
        <x:v>待定</x:v>
      </x:c>
      <x:c r="Q20" s="82" t="str">
        <x:v>无有效路径</x:v>
      </x:c>
      <x:c r="R20" s="82" t="str">
        <x:v>其他</x:v>
      </x:c>
      <x:c r="S20" s="68" t="str">
        <x:v>起点</x:v>
      </x:c>
      <x:c r="T20" s="68" t="str">
        <x:v>起点已被合化、强制或M08判为无实际可调用力量</x:v>
      </x:c>
      <x:c r="U20" s="68" t="str">
        <x:v>待定</x:v>
      </x:c>
      <x:c r="V20" s="68" t="str">
        <x:v>待定</x:v>
      </x:c>
      <x:c r="W20" s="90" t="str">
        <x:v>需检查对调候、格局、日主承载及其他通路的副作用</x:v>
      </x:c>
      <x:c r="X20" s="68" t="str">
        <x:v>M06关系效应、M08五行有效旺衰、M10十神功能与M11组合判断已完成</x:v>
      </x:c>
      <x:c r="Y20" s="68" t="str">
        <x:v>起点、桥梁、终点均按有效力量与实际作用路径判断</x:v>
      </x:c>
      <x:c r="Z20" s="68" t="str">
        <x:v>桥梁有根有源、透达、位置可达且不存在关键制约</x:v>
      </x:c>
      <x:c r="AA20" s="68" t="str">
        <x:v>桥梁失令、无根、受克、合绊、改性或同时被多路调用</x:v>
      </x:c>
      <x:c r="AB20" s="90" t="str">
        <x:v>不得仅因五行缺失、数量少或关系名称直接认定卡点或通关用神</x:v>
      </x:c>
      <x:c r="AC20" s="68" t="str">
        <x:v>若存在更短、更强或副作用更小的替代路径，应并列比较后再裁定</x:v>
      </x:c>
      <x:c r="AD20" s="84" t="str">
        <x:v>M12_SOURCE_流通判定</x:v>
      </x:c>
      <x:c r="AE20" s="84" t="str">
        <x:v>名义源头失效时不得建立流通链：按起点—桥梁—终点检查有效力量、连续性与承载；卡点为“其他”时，仅生成通关候选，不直接定用神。</x:v>
      </x:c>
      <x:c r="AF20" s="82" t="str">
        <x:v>较高</x:v>
      </x:c>
      <x:c r="AG20" s="82" t="str">
        <x:v>现代综合</x:v>
      </x:c>
      <x:c r="AH20" s="68" t="str">
        <x:v>流通判断以五行有效力量、生克顺序与十神功能为核心；古典依据可参照《滴天髓》《渊海子平》。 https://zh.wikisource.org/wiki/%E6%BB%B4%E5%A4%A9%E9%AB%93%E9%97%A1%E5%BE%AE https://zh.wikisource.org/zh-hans/%E6%B7%B5%E6%B5%B7%E5%AD%90%E5%B9%B3</x:v>
      </x:c>
      <x:c r="AI20" s="68" t="str">
        <x:v>当“起点已被合化、强制或M08判为无实际可调用力量”真实成立，且桥梁具备有效力量和连续作用条件时，可按“名义源头失效时不得建立流通链”记录。</x:v>
      </x:c>
      <x:c r="AJ20" s="90" t="str">
        <x:v>仅见表面缺失或五行相克，但未证明“起点已被合化、强制或M08判为无实际可调用力量”形成实际阻断时，不得套用“名义源头失效时不得建立流通链”。</x:v>
      </x:c>
      <x:c r="AK20" s="82" t="str">
        <x:v>采用</x:v>
      </x:c>
      <x:c r="AL20" s="82" t="str">
        <x:v>初审</x:v>
      </x:c>
      <x:c r="AM20" s="87" t="n">
        <x:v>46255</x:v>
      </x:c>
    </x:row>
    <x:row r="21">
      <x:c r="A21" s="72" t="str">
        <x:f>IF(OR(C21="",D21=""),"",B21&amp;"-"&amp;UPPER(C21)&amp;"-"&amp;TEXT(D21,"0000")&amp;"-"&amp;E21)</x:f>
        <x:v>M12-SOURCE-0015-V1.0</x:v>
      </x:c>
      <x:c r="B21" s="74" t="str">
        <x:v>M12</x:v>
      </x:c>
      <x:c r="C21" s="74" t="str">
        <x:v>SOURCE</x:v>
      </x:c>
      <x:c r="D21" s="215" t="n">
        <x:v>15</x:v>
      </x:c>
      <x:c r="E21" s="74" t="str">
        <x:v>V1.0</x:v>
      </x:c>
      <x:c r="F21" s="68" t="str">
        <x:v>源头被合绊会降低向下游输出效率</x:v>
      </x:c>
      <x:c r="G21" s="82" t="str">
        <x:v>结构层</x:v>
      </x:c>
      <x:c r="H21" s="68" t="str">
        <x:v>五行生化路径</x:v>
      </x:c>
      <x:c r="I21" s="68" t="str">
        <x:v>受合绊五行</x:v>
      </x:c>
      <x:c r="J21" s="68" t="str">
        <x:v>其所生五行</x:v>
      </x:c>
      <x:c r="K21" s="68" t="str">
        <x:v>终点</x:v>
      </x:c>
      <x:c r="L21" s="82" t="str">
        <x:v>中和</x:v>
      </x:c>
      <x:c r="M21" s="82" t="str">
        <x:v>待定</x:v>
      </x:c>
      <x:c r="N21" s="68" t="str">
        <x:v>桥梁有效</x:v>
      </x:c>
      <x:c r="O21" s="68" t="str">
        <x:v>待定</x:v>
      </x:c>
      <x:c r="P21" s="68" t="str">
        <x:v>待定</x:v>
      </x:c>
      <x:c r="Q21" s="82" t="str">
        <x:v>局部阻塞</x:v>
      </x:c>
      <x:c r="R21" s="82" t="str">
        <x:v>其他</x:v>
      </x:c>
      <x:c r="S21" s="68" t="str">
        <x:v>起点</x:v>
      </x:c>
      <x:c r="T21" s="68" t="str">
        <x:v>起点自身功能受合绊，无法按原始力量全额输出</x:v>
      </x:c>
      <x:c r="U21" s="68" t="str">
        <x:v>待定</x:v>
      </x:c>
      <x:c r="V21" s="68" t="str">
        <x:v>待定</x:v>
      </x:c>
      <x:c r="W21" s="90" t="str">
        <x:v>需检查对调候、格局、日主承载及其他通路的副作用</x:v>
      </x:c>
      <x:c r="X21" s="68" t="str">
        <x:v>M06关系效应、M08五行有效旺衰、M10十神功能与M11组合判断已完成</x:v>
      </x:c>
      <x:c r="Y21" s="68" t="str">
        <x:v>起点、桥梁、终点均按有效力量与实际作用路径判断</x:v>
      </x:c>
      <x:c r="Z21" s="68" t="str">
        <x:v>桥梁有根有源、透达、位置可达且不存在关键制约</x:v>
      </x:c>
      <x:c r="AA21" s="68" t="str">
        <x:v>桥梁失令、无根、受克、合绊、改性或同时被多路调用</x:v>
      </x:c>
      <x:c r="AB21" s="90" t="str">
        <x:v>不得仅因五行缺失、数量少或关系名称直接认定卡点或通关用神</x:v>
      </x:c>
      <x:c r="AC21" s="68" t="str">
        <x:v>若存在更短、更强或副作用更小的替代路径，应并列比较后再裁定</x:v>
      </x:c>
      <x:c r="AD21" s="84" t="str">
        <x:v>M12_SOURCE_流通判定</x:v>
      </x:c>
      <x:c r="AE21" s="84" t="str">
        <x:v>源头被合绊会降低向下游输出效率：按起点—桥梁—终点检查有效力量、连续性与承载；卡点为“其他”时，仅生成通关候选，不直接定用神。</x:v>
      </x:c>
      <x:c r="AF21" s="82" t="str">
        <x:v>较高</x:v>
      </x:c>
      <x:c r="AG21" s="82" t="str">
        <x:v>现代综合</x:v>
      </x:c>
      <x:c r="AH21" s="68" t="str">
        <x:v>流通判断以五行有效力量、生克顺序与十神功能为核心；古典依据可参照《滴天髓》《渊海子平》。 https://zh.wikisource.org/wiki/%E6%BB%B4%E5%A4%A9%E9%AB%93%E9%97%A1%E5%BE%AE https://zh.wikisource.org/zh-hans/%E6%B7%B5%E6%B5%B7%E5%AD%90%E5%B9%B3</x:v>
      </x:c>
      <x:c r="AI21" s="68" t="str">
        <x:v>当“起点自身功能受合绊，无法按原始力量全额输出”真实成立，且桥梁具备有效力量和连续作用条件时，可按“源头被合绊会降低向下游输出效率”记录。</x:v>
      </x:c>
      <x:c r="AJ21" s="90" t="str">
        <x:v>仅见表面缺失或五行相克，但未证明“起点自身功能受合绊，无法按原始力量全额输出”形成实际阻断时，不得套用“源头被合绊会降低向下游输出效率”。</x:v>
      </x:c>
      <x:c r="AK21" s="82" t="str">
        <x:v>采用</x:v>
      </x:c>
      <x:c r="AL21" s="82" t="str">
        <x:v>初审</x:v>
      </x:c>
      <x:c r="AM21" s="87" t="n">
        <x:v>46255</x:v>
      </x:c>
    </x:row>
    <x:row r="22">
      <x:c r="A22" s="72" t="str">
        <x:f>IF(OR(C22="",D22=""),"",B22&amp;"-"&amp;UPPER(C22)&amp;"-"&amp;TEXT(D22,"0000")&amp;"-"&amp;E22)</x:f>
        <x:v>M12-SOURCE-0016-V1.0</x:v>
      </x:c>
      <x:c r="B22" s="74" t="str">
        <x:v>M12</x:v>
      </x:c>
      <x:c r="C22" s="74" t="str">
        <x:v>SOURCE</x:v>
      </x:c>
      <x:c r="D22" s="215" t="n">
        <x:v>16</x:v>
      </x:c>
      <x:c r="E22" s="74" t="str">
        <x:v>V1.0</x:v>
      </x:c>
      <x:c r="F22" s="68" t="str">
        <x:v>源头被强克时需先判断是否仍有余力输出</x:v>
      </x:c>
      <x:c r="G22" s="82" t="str">
        <x:v>结构层</x:v>
      </x:c>
      <x:c r="H22" s="68" t="str">
        <x:v>五行生化路径</x:v>
      </x:c>
      <x:c r="I22" s="68" t="str">
        <x:v>受强克五行</x:v>
      </x:c>
      <x:c r="J22" s="68" t="str">
        <x:v>其所生五行</x:v>
      </x:c>
      <x:c r="K22" s="68" t="str">
        <x:v>终点</x:v>
      </x:c>
      <x:c r="L22" s="82" t="str">
        <x:v>待定</x:v>
      </x:c>
      <x:c r="M22" s="82" t="str">
        <x:v>待定</x:v>
      </x:c>
      <x:c r="N22" s="68" t="str">
        <x:v>待定</x:v>
      </x:c>
      <x:c r="O22" s="68" t="str">
        <x:v>待定</x:v>
      </x:c>
      <x:c r="P22" s="68" t="str">
        <x:v>待定</x:v>
      </x:c>
      <x:c r="Q22" s="82" t="str">
        <x:v>局部阻塞</x:v>
      </x:c>
      <x:c r="R22" s="82" t="str">
        <x:v>其他</x:v>
      </x:c>
      <x:c r="S22" s="68" t="str">
        <x:v>起点</x:v>
      </x:c>
      <x:c r="T22" s="68" t="str">
        <x:v>起点有效力量被显著制约，生扶下游能力下降</x:v>
      </x:c>
      <x:c r="U22" s="68" t="str">
        <x:v>待定</x:v>
      </x:c>
      <x:c r="V22" s="68" t="str">
        <x:v>待定</x:v>
      </x:c>
      <x:c r="W22" s="90" t="str">
        <x:v>需检查对调候、格局、日主承载及其他通路的副作用</x:v>
      </x:c>
      <x:c r="X22" s="68" t="str">
        <x:v>M06关系效应、M08五行有效旺衰、M10十神功能与M11组合判断已完成</x:v>
      </x:c>
      <x:c r="Y22" s="68" t="str">
        <x:v>起点、桥梁、终点均按有效力量与实际作用路径判断</x:v>
      </x:c>
      <x:c r="Z22" s="68" t="str">
        <x:v>桥梁有根有源、透达、位置可达且不存在关键制约</x:v>
      </x:c>
      <x:c r="AA22" s="68" t="str">
        <x:v>桥梁失令、无根、受克、合绊、改性或同时被多路调用</x:v>
      </x:c>
      <x:c r="AB22" s="90" t="str">
        <x:v>不得仅因五行缺失、数量少或关系名称直接认定卡点或通关用神</x:v>
      </x:c>
      <x:c r="AC22" s="68" t="str">
        <x:v>若存在更短、更强或副作用更小的替代路径，应并列比较后再裁定</x:v>
      </x:c>
      <x:c r="AD22" s="84" t="str">
        <x:v>M12_SOURCE_流通判定</x:v>
      </x:c>
      <x:c r="AE22" s="84" t="str">
        <x:v>源头被强克时需先判断是否仍有余力输出：按起点—桥梁—终点检查有效力量、连续性与承载；卡点为“其他”时，仅生成通关候选，不直接定用神。</x:v>
      </x:c>
      <x:c r="AF22" s="82" t="str">
        <x:v>较高</x:v>
      </x:c>
      <x:c r="AG22" s="82" t="str">
        <x:v>现代综合</x:v>
      </x:c>
      <x:c r="AH22" s="68" t="str">
        <x:v>流通判断以五行有效力量、生克顺序与十神功能为核心；古典依据可参照《滴天髓》《渊海子平》。 https://zh.wikisource.org/wiki/%E6%BB%B4%E5%A4%A9%E9%AB%93%E9%97%A1%E5%BE%AE https://zh.wikisource.org/zh-hans/%E6%B7%B5%E6%B5%B7%E5%AD%90%E5%B9%B3</x:v>
      </x:c>
      <x:c r="AI22" s="68" t="str">
        <x:v>当“起点有效力量被显著制约，生扶下游能力下降”真实成立，且桥梁具备有效力量和连续作用条件时，可按“源头被强克时需先判断是否仍有余力输出”记录。</x:v>
      </x:c>
      <x:c r="AJ22" s="90" t="str">
        <x:v>仅见表面缺失或五行相克，但未证明“起点有效力量被显著制约，生扶下游能力下降”形成实际阻断时，不得套用“源头被强克时需先判断是否仍有余力输出”。</x:v>
      </x:c>
      <x:c r="AK22" s="82" t="str">
        <x:v>采用</x:v>
      </x:c>
      <x:c r="AL22" s="82" t="str">
        <x:v>初审</x:v>
      </x:c>
      <x:c r="AM22" s="87" t="n">
        <x:v>46255</x:v>
      </x:c>
    </x:row>
    <x:row r="23">
      <x:c r="A23" s="72" t="str">
        <x:f>IF(OR(C23="",D23=""),"",B23&amp;"-"&amp;UPPER(C23)&amp;"-"&amp;TEXT(D23,"0000")&amp;"-"&amp;E23)</x:f>
        <x:v>M12-SOURCE-0017-V1.0</x:v>
      </x:c>
      <x:c r="B23" s="74" t="str">
        <x:v>M12</x:v>
      </x:c>
      <x:c r="C23" s="74" t="str">
        <x:v>SOURCE</x:v>
      </x:c>
      <x:c r="D23" s="215" t="n">
        <x:v>17</x:v>
      </x:c>
      <x:c r="E23" s="74" t="str">
        <x:v>V1.0</x:v>
      </x:c>
      <x:c r="F23" s="68" t="str">
        <x:v>多个独立源头可提高同一桥梁的供给稳定性</x:v>
      </x:c>
      <x:c r="G23" s="82" t="str">
        <x:v>结构层</x:v>
      </x:c>
      <x:c r="H23" s="68" t="str">
        <x:v>五行生化路径</x:v>
      </x:c>
      <x:c r="I23" s="68" t="str">
        <x:v>多个同类或相生源头</x:v>
      </x:c>
      <x:c r="J23" s="68" t="str">
        <x:v>共同桥梁</x:v>
      </x:c>
      <x:c r="K23" s="68" t="str">
        <x:v>终点</x:v>
      </x:c>
      <x:c r="L23" s="82" t="str">
        <x:v>中和偏旺</x:v>
      </x:c>
      <x:c r="M23" s="82" t="str">
        <x:v>中和</x:v>
      </x:c>
      <x:c r="N23" s="68" t="str">
        <x:v>受多源支持</x:v>
      </x:c>
      <x:c r="O23" s="68" t="str">
        <x:v>待定</x:v>
      </x:c>
      <x:c r="P23" s="68" t="str">
        <x:v>待定</x:v>
      </x:c>
      <x:c r="Q23" s="82" t="str">
        <x:v>基本通畅</x:v>
      </x:c>
      <x:c r="R23" s="82" t="str">
        <x:v>其他</x:v>
      </x:c>
      <x:c r="S23" s="68" t="str">
        <x:v>待定</x:v>
      </x:c>
      <x:c r="T23" s="68" t="str">
        <x:v>桥梁同时获得多个独立有效源头供给</x:v>
      </x:c>
      <x:c r="U23" s="68" t="str">
        <x:v>待定</x:v>
      </x:c>
      <x:c r="V23" s="68" t="str">
        <x:v>待定</x:v>
      </x:c>
      <x:c r="W23" s="90" t="str">
        <x:v>需检查对调候、格局、日主承载及其他通路的副作用</x:v>
      </x:c>
      <x:c r="X23" s="68" t="str">
        <x:v>M06关系效应、M08五行有效旺衰、M10十神功能与M11组合判断已完成</x:v>
      </x:c>
      <x:c r="Y23" s="68" t="str">
        <x:v>起点、桥梁、终点均按有效力量与实际作用路径判断</x:v>
      </x:c>
      <x:c r="Z23" s="68" t="str">
        <x:v>桥梁有根有源、透达、位置可达且不存在关键制约</x:v>
      </x:c>
      <x:c r="AA23" s="68" t="str">
        <x:v>桥梁失令、无根、受克、合绊、改性或同时被多路调用</x:v>
      </x:c>
      <x:c r="AB23" s="90" t="str">
        <x:v>不得仅因五行缺失、数量少或关系名称直接认定卡点或通关用神</x:v>
      </x:c>
      <x:c r="AC23" s="68" t="str">
        <x:v>若存在更短、更强或副作用更小的替代路径，应并列比较后再裁定</x:v>
      </x:c>
      <x:c r="AD23" s="84" t="str">
        <x:v>多源供给增强</x:v>
      </x:c>
      <x:c r="AE23" s="84" t="str">
        <x:v>多个独立源头可提高同一桥梁的供给稳定性：按起点—桥梁—终点检查有效力量、连续性与承载；卡点为“其他”时，仅生成通关候选，不直接定用神。</x:v>
      </x:c>
      <x:c r="AF23" s="82" t="str">
        <x:v>较高</x:v>
      </x:c>
      <x:c r="AG23" s="82" t="str">
        <x:v>现代综合</x:v>
      </x:c>
      <x:c r="AH23" s="68" t="str">
        <x:v>流通判断以五行有效力量、生克顺序与十神功能为核心；古典依据可参照《滴天髓》《渊海子平》。 https://zh.wikisource.org/wiki/%E6%BB%B4%E5%A4%A9%E9%AB%93%E9%97%A1%E5%BE%AE https://zh.wikisource.org/zh-hans/%E6%B7%B5%E6%B5%B7%E5%AD%90%E5%B9%B3</x:v>
      </x:c>
      <x:c r="AI23" s="68" t="str">
        <x:v>当“桥梁同时获得多个独立有效源头供给”真实成立，且桥梁具备有效力量和连续作用条件时，可按“多个独立源头可提高同一桥梁的供给稳定性”记录。</x:v>
      </x:c>
      <x:c r="AJ23" s="90" t="str">
        <x:v>仅见表面缺失或五行相克，但未证明“桥梁同时获得多个独立有效源头供给”形成实际阻断时，不得套用“多个独立源头可提高同一桥梁的供给稳定性”。</x:v>
      </x:c>
      <x:c r="AK23" s="82" t="str">
        <x:v>采用</x:v>
      </x:c>
      <x:c r="AL23" s="82" t="str">
        <x:v>初审</x:v>
      </x:c>
      <x:c r="AM23" s="87" t="n">
        <x:v>46255</x:v>
      </x:c>
    </x:row>
    <x:row r="24">
      <x:c r="A24" s="72" t="str">
        <x:f>IF(OR(C24="",D24=""),"",B24&amp;"-"&amp;UPPER(C24)&amp;"-"&amp;TEXT(D24,"0000")&amp;"-"&amp;E24)</x:f>
        <x:v>M12-SOURCE-0018-V1.0</x:v>
      </x:c>
      <x:c r="B24" s="74" t="str">
        <x:v>M12</x:v>
      </x:c>
      <x:c r="C24" s="74" t="str">
        <x:v>SOURCE</x:v>
      </x:c>
      <x:c r="D24" s="215" t="n">
        <x:v>18</x:v>
      </x:c>
      <x:c r="E24" s="74" t="str">
        <x:v>V1.0</x:v>
      </x:c>
      <x:c r="F24" s="68" t="str">
        <x:v>源头过多但集中向单一弱桥梁时会形成入口拥堵</x:v>
      </x:c>
      <x:c r="G24" s="82" t="str">
        <x:v>结构层</x:v>
      </x:c>
      <x:c r="H24" s="68" t="str">
        <x:v>五行生化路径</x:v>
      </x:c>
      <x:c r="I24" s="68" t="str">
        <x:v>多个旺强源头</x:v>
      </x:c>
      <x:c r="J24" s="68" t="str">
        <x:v>单一弱桥梁</x:v>
      </x:c>
      <x:c r="K24" s="68" t="str">
        <x:v>终点</x:v>
      </x:c>
      <x:c r="L24" s="82" t="str">
        <x:v>旺</x:v>
      </x:c>
      <x:c r="M24" s="82" t="str">
        <x:v>弱</x:v>
      </x:c>
      <x:c r="N24" s="68" t="str">
        <x:v>供给超载</x:v>
      </x:c>
      <x:c r="O24" s="68" t="str">
        <x:v>待定</x:v>
      </x:c>
      <x:c r="P24" s="68" t="str">
        <x:v>待定</x:v>
      </x:c>
      <x:c r="Q24" s="82" t="str">
        <x:v>明显阻断</x:v>
      </x:c>
      <x:c r="R24" s="82" t="str">
        <x:v>桥梁太弱</x:v>
      </x:c>
      <x:c r="S24" s="68" t="str">
        <x:v>桥梁</x:v>
      </x:c>
      <x:c r="T24" s="68" t="str">
        <x:v>上游输入能力显著高于桥梁传递能力</x:v>
      </x:c>
      <x:c r="U24" s="68" t="str">
        <x:v>待定</x:v>
      </x:c>
      <x:c r="V24" s="68" t="str">
        <x:v>待定</x:v>
      </x:c>
      <x:c r="W24" s="90" t="str">
        <x:v>需检查对调候、格局、日主承载及其他通路的副作用</x:v>
      </x:c>
      <x:c r="X24" s="68" t="str">
        <x:v>M06关系效应、M08五行有效旺衰、M10十神功能与M11组合判断已完成</x:v>
      </x:c>
      <x:c r="Y24" s="68" t="str">
        <x:v>起点、桥梁、终点均按有效力量与实际作用路径判断</x:v>
      </x:c>
      <x:c r="Z24" s="68" t="str">
        <x:v>桥梁有根有源、透达、位置可达且不存在关键制约</x:v>
      </x:c>
      <x:c r="AA24" s="68" t="str">
        <x:v>桥梁失令、无根、受克、合绊、改性或同时被多路调用</x:v>
      </x:c>
      <x:c r="AB24" s="90" t="str">
        <x:v>不得仅因五行缺失、数量少或关系名称直接认定卡点或通关用神</x:v>
      </x:c>
      <x:c r="AC24" s="68" t="str">
        <x:v>若存在更短、更强或副作用更小的替代路径，应并列比较后再裁定</x:v>
      </x:c>
      <x:c r="AD24" s="84" t="str">
        <x:v>M12_SOURCE_流通判定</x:v>
      </x:c>
      <x:c r="AE24" s="84" t="str">
        <x:v>源头过多但集中向单一弱桥梁时会形成入口拥堵：按起点—桥梁—终点检查有效力量、连续性与承载；卡点为“桥梁太弱”时，仅生成通关候选，不直接定用神。</x:v>
      </x:c>
      <x:c r="AF24" s="82" t="str">
        <x:v>较高</x:v>
      </x:c>
      <x:c r="AG24" s="82" t="str">
        <x:v>现代综合</x:v>
      </x:c>
      <x:c r="AH24" s="68" t="str">
        <x:v>流通判断以五行有效力量、生克顺序与十神功能为核心；古典依据可参照《滴天髓》《渊海子平》。 https://zh.wikisource.org/wiki/%E6%BB%B4%E5%A4%A9%E9%AB%93%E9%97%A1%E5%BE%AE https://zh.wikisource.org/zh-hans/%E6%B7%B5%E6%B5%B7%E5%AD%90%E5%B9%B3</x:v>
      </x:c>
      <x:c r="AI24" s="68" t="str">
        <x:v>当“上游输入能力显著高于桥梁传递能力”真实成立，且桥梁具备有效力量和连续作用条件时，可按“源头过多但集中向单一弱桥梁时会形成入口拥堵”记录。</x:v>
      </x:c>
      <x:c r="AJ24" s="90" t="str">
        <x:v>仅见表面缺失或五行相克，但未证明“上游输入能力显著高于桥梁传递能力”形成实际阻断时，不得套用“源头过多但集中向单一弱桥梁时会形成入口拥堵”。</x:v>
      </x:c>
      <x:c r="AK24" s="82" t="str">
        <x:v>采用</x:v>
      </x:c>
      <x:c r="AL24" s="82" t="str">
        <x:v>初审</x:v>
      </x:c>
      <x:c r="AM24" s="87" t="n">
        <x:v>46255</x:v>
      </x:c>
    </x:row>
    <x:row r="25">
      <x:c r="A25" s="72" t="str">
        <x:f>IF(OR(C25="",D25=""),"",B25&amp;"-"&amp;UPPER(C25)&amp;"-"&amp;TEXT(D25,"0000")&amp;"-"&amp;E25)</x:f>
        <x:v>M12-BRIDGE-0019-V1.0</x:v>
      </x:c>
      <x:c r="B25" s="74" t="str">
        <x:v>M12</x:v>
      </x:c>
      <x:c r="C25" s="74" t="str">
        <x:v>BRIDGE</x:v>
      </x:c>
      <x:c r="D25" s="215" t="n">
        <x:v>19</x:v>
      </x:c>
      <x:c r="E25" s="74" t="str">
        <x:v>V1.0</x:v>
      </x:c>
      <x:c r="F25" s="68" t="str">
        <x:v>桥梁必须自身有效才能承担通关</x:v>
      </x:c>
      <x:c r="G25" s="82" t="str">
        <x:v>结构层</x:v>
      </x:c>
      <x:c r="H25" s="68" t="str">
        <x:v>五行生化路径</x:v>
      </x:c>
      <x:c r="I25" s="68" t="str">
        <x:v>上游五行</x:v>
      </x:c>
      <x:c r="J25" s="68" t="str">
        <x:v>候选桥梁</x:v>
      </x:c>
      <x:c r="K25" s="68" t="str">
        <x:v>下游五行</x:v>
      </x:c>
      <x:c r="L25" s="82" t="str">
        <x:v>待定</x:v>
      </x:c>
      <x:c r="M25" s="82" t="str">
        <x:v>中和</x:v>
      </x:c>
      <x:c r="N25" s="68" t="str">
        <x:v>有效可调用</x:v>
      </x:c>
      <x:c r="O25" s="68" t="str">
        <x:v>待定</x:v>
      </x:c>
      <x:c r="P25" s="68" t="str">
        <x:v>待定</x:v>
      </x:c>
      <x:c r="Q25" s="82" t="str">
        <x:v>局部阻塞</x:v>
      </x:c>
      <x:c r="R25" s="82" t="str">
        <x:v>桥梁太弱</x:v>
      </x:c>
      <x:c r="S25" s="68" t="str">
        <x:v>桥梁</x:v>
      </x:c>
      <x:c r="T25" s="68" t="str">
        <x:v>桥梁只有名义存在但无根无源或已失效</x:v>
      </x:c>
      <x:c r="U25" s="68" t="str">
        <x:v>待定</x:v>
      </x:c>
      <x:c r="V25" s="68" t="str">
        <x:v>待定</x:v>
      </x:c>
      <x:c r="W25" s="90" t="str">
        <x:v>需检查对调候、格局、日主承载及其他通路的副作用</x:v>
      </x:c>
      <x:c r="X25" s="68" t="str">
        <x:v>M06关系效应、M08五行有效旺衰、M10十神功能与M11组合判断已完成</x:v>
      </x:c>
      <x:c r="Y25" s="68" t="str">
        <x:v>起点、桥梁、终点均按有效力量与实际作用路径判断</x:v>
      </x:c>
      <x:c r="Z25" s="68" t="str">
        <x:v>桥梁有根有源、透达、位置可达且不存在关键制约</x:v>
      </x:c>
      <x:c r="AA25" s="68" t="str">
        <x:v>桥梁失令、无根、受克、合绊、改性或同时被多路调用</x:v>
      </x:c>
      <x:c r="AB25" s="90" t="str">
        <x:v>不得仅因五行缺失、数量少或关系名称直接认定卡点或通关用神</x:v>
      </x:c>
      <x:c r="AC25" s="68" t="str">
        <x:v>若存在更短、更强或副作用更小的替代路径，应并列比较后再裁定</x:v>
      </x:c>
      <x:c r="AD25" s="84" t="str">
        <x:v>M12_BRIDGE_流通判定</x:v>
      </x:c>
      <x:c r="AE25" s="84" t="str">
        <x:v>桥梁必须自身有效才能承担通关：按起点—桥梁—终点检查有效力量、连续性与承载；卡点为“桥梁太弱”时，仅生成通关候选，不直接定用神。</x:v>
      </x:c>
      <x:c r="AF25" s="82" t="str">
        <x:v>较高</x:v>
      </x:c>
      <x:c r="AG25" s="82" t="str">
        <x:v>现代综合</x:v>
      </x:c>
      <x:c r="AH25" s="68" t="str">
        <x:v>流通判断以五行有效力量、生克顺序与十神功能为核心；古典依据可参照《滴天髓》《渊海子平》。 https://zh.wikisource.org/wiki/%E6%BB%B4%E5%A4%A9%E9%AB%93%E9%97%A1%E5%BE%AE https://zh.wikisource.org/zh-hans/%E6%B7%B5%E6%B5%B7%E5%AD%90%E5%B9%B3</x:v>
      </x:c>
      <x:c r="AI25" s="68" t="str">
        <x:v>当“桥梁只有名义存在但无根无源或已失效”真实成立，且桥梁具备有效力量和连续作用条件时，可按“桥梁必须自身有效才能承担通关”记录。</x:v>
      </x:c>
      <x:c r="AJ25" s="90" t="str">
        <x:v>仅见表面缺失或五行相克，但未证明“桥梁只有名义存在但无根无源或已失效”形成实际阻断时，不得套用“桥梁必须自身有效才能承担通关”。</x:v>
      </x:c>
      <x:c r="AK25" s="82" t="str">
        <x:v>采用</x:v>
      </x:c>
      <x:c r="AL25" s="82" t="str">
        <x:v>初审</x:v>
      </x:c>
      <x:c r="AM25" s="87" t="n">
        <x:v>46255</x:v>
      </x:c>
    </x:row>
    <x:row r="26">
      <x:c r="A26" s="72" t="str">
        <x:f>IF(OR(C26="",D26=""),"",B26&amp;"-"&amp;UPPER(C26)&amp;"-"&amp;TEXT(D26,"0000")&amp;"-"&amp;E26)</x:f>
        <x:v>M12-BRIDGE-0020-V1.0</x:v>
      </x:c>
      <x:c r="B26" s="74" t="str">
        <x:v>M12</x:v>
      </x:c>
      <x:c r="C26" s="74" t="str">
        <x:v>BRIDGE</x:v>
      </x:c>
      <x:c r="D26" s="215" t="n">
        <x:v>20</x:v>
      </x:c>
      <x:c r="E26" s="74" t="str">
        <x:v>V1.0</x:v>
      </x:c>
      <x:c r="F26" s="68" t="str">
        <x:v>桥梁达到中和以上通常具备稳定传递能力</x:v>
      </x:c>
      <x:c r="G26" s="82" t="str">
        <x:v>结构层</x:v>
      </x:c>
      <x:c r="H26" s="68" t="str">
        <x:v>五行生化路径</x:v>
      </x:c>
      <x:c r="I26" s="68" t="str">
        <x:v>上游五行</x:v>
      </x:c>
      <x:c r="J26" s="68" t="str">
        <x:v>候选桥梁</x:v>
      </x:c>
      <x:c r="K26" s="68" t="str">
        <x:v>下游五行</x:v>
      </x:c>
      <x:c r="L26" s="82" t="str">
        <x:v>待定</x:v>
      </x:c>
      <x:c r="M26" s="82" t="str">
        <x:v>中和偏旺</x:v>
      </x:c>
      <x:c r="N26" s="68" t="str">
        <x:v>稳定有效</x:v>
      </x:c>
      <x:c r="O26" s="68" t="str">
        <x:v>待定</x:v>
      </x:c>
      <x:c r="P26" s="68" t="str">
        <x:v>待定</x:v>
      </x:c>
      <x:c r="Q26" s="82" t="str">
        <x:v>通畅</x:v>
      </x:c>
      <x:c r="R26" s="82" t="str">
        <x:v>其他</x:v>
      </x:c>
      <x:c r="S26" s="68" t="str">
        <x:v>待定</x:v>
      </x:c>
      <x:c r="T26" s="68" t="str">
        <x:v>桥梁有效力量足以承接上游并继续作用下游</x:v>
      </x:c>
      <x:c r="U26" s="68" t="str">
        <x:v>待定</x:v>
      </x:c>
      <x:c r="V26" s="68" t="str">
        <x:v>待定</x:v>
      </x:c>
      <x:c r="W26" s="90" t="str">
        <x:v>需检查对调候、格局、日主承载及其他通路的副作用</x:v>
      </x:c>
      <x:c r="X26" s="68" t="str">
        <x:v>M06关系效应、M08五行有效旺衰、M10十神功能与M11组合判断已完成</x:v>
      </x:c>
      <x:c r="Y26" s="68" t="str">
        <x:v>起点、桥梁、终点均按有效力量与实际作用路径判断</x:v>
      </x:c>
      <x:c r="Z26" s="68" t="str">
        <x:v>桥梁有根有源、透达、位置可达且不存在关键制约</x:v>
      </x:c>
      <x:c r="AA26" s="68" t="str">
        <x:v>桥梁失令、无根、受克、合绊、改性或同时被多路调用</x:v>
      </x:c>
      <x:c r="AB26" s="90" t="str">
        <x:v>不得仅因五行缺失、数量少或关系名称直接认定卡点或通关用神</x:v>
      </x:c>
      <x:c r="AC26" s="68" t="str">
        <x:v>若存在更短、更强或副作用更小的替代路径，应并列比较后再裁定</x:v>
      </x:c>
      <x:c r="AD26" s="84" t="str">
        <x:v>桥梁稳定</x:v>
      </x:c>
      <x:c r="AE26" s="84" t="str">
        <x:v>桥梁达到中和以上通常具备稳定传递能力：按起点—桥梁—终点检查有效力量、连续性与承载；卡点为“其他”时，仅生成通关候选，不直接定用神。</x:v>
      </x:c>
      <x:c r="AF26" s="82" t="str">
        <x:v>较高</x:v>
      </x:c>
      <x:c r="AG26" s="82" t="str">
        <x:v>现代综合</x:v>
      </x:c>
      <x:c r="AH26" s="68" t="str">
        <x:v>流通判断以五行有效力量、生克顺序与十神功能为核心；古典依据可参照《滴天髓》《渊海子平》。 https://zh.wikisource.org/wiki/%E6%BB%B4%E5%A4%A9%E9%AB%93%E9%97%A1%E5%BE%AE https://zh.wikisource.org/zh-hans/%E6%B7%B5%E6%B5%B7%E5%AD%90%E5%B9%B3</x:v>
      </x:c>
      <x:c r="AI26" s="68" t="str">
        <x:v>当“桥梁有效力量足以承接上游并继续作用下游”真实成立，且桥梁具备有效力量和连续作用条件时，可按“桥梁达到中和以上通常具备稳定传递能力”记录。</x:v>
      </x:c>
      <x:c r="AJ26" s="90" t="str">
        <x:v>仅见表面缺失或五行相克，但未证明“桥梁有效力量足以承接上游并继续作用下游”形成实际阻断时，不得套用“桥梁达到中和以上通常具备稳定传递能力”。</x:v>
      </x:c>
      <x:c r="AK26" s="82" t="str">
        <x:v>采用</x:v>
      </x:c>
      <x:c r="AL26" s="82" t="str">
        <x:v>初审</x:v>
      </x:c>
      <x:c r="AM26" s="87" t="n">
        <x:v>46255</x:v>
      </x:c>
    </x:row>
    <x:row r="27">
      <x:c r="A27" s="72" t="str">
        <x:f>IF(OR(C27="",D27=""),"",B27&amp;"-"&amp;UPPER(C27)&amp;"-"&amp;TEXT(D27,"0000")&amp;"-"&amp;E27)</x:f>
        <x:v>M12-BRIDGE-0021-V1.0</x:v>
      </x:c>
      <x:c r="B27" s="74" t="str">
        <x:v>M12</x:v>
      </x:c>
      <x:c r="C27" s="74" t="str">
        <x:v>BRIDGE</x:v>
      </x:c>
      <x:c r="D27" s="215" t="n">
        <x:v>21</x:v>
      </x:c>
      <x:c r="E27" s="74" t="str">
        <x:v>V1.0</x:v>
      </x:c>
      <x:c r="F27" s="68" t="str">
        <x:v>桥梁仅微弱存在时只能形成弱通路</x:v>
      </x:c>
      <x:c r="G27" s="82" t="str">
        <x:v>结构层</x:v>
      </x:c>
      <x:c r="H27" s="68" t="str">
        <x:v>五行生化路径</x:v>
      </x:c>
      <x:c r="I27" s="68" t="str">
        <x:v>上游五行</x:v>
      </x:c>
      <x:c r="J27" s="68" t="str">
        <x:v>弱桥梁</x:v>
      </x:c>
      <x:c r="K27" s="68" t="str">
        <x:v>下游五行</x:v>
      </x:c>
      <x:c r="L27" s="82" t="str">
        <x:v>待定</x:v>
      </x:c>
      <x:c r="M27" s="82" t="str">
        <x:v>弱</x:v>
      </x:c>
      <x:c r="N27" s="68" t="str">
        <x:v>有但承载有限</x:v>
      </x:c>
      <x:c r="O27" s="68" t="str">
        <x:v>待定</x:v>
      </x:c>
      <x:c r="P27" s="68" t="str">
        <x:v>待定</x:v>
      </x:c>
      <x:c r="Q27" s="82" t="str">
        <x:v>局部阻塞</x:v>
      </x:c>
      <x:c r="R27" s="82" t="str">
        <x:v>桥梁太弱</x:v>
      </x:c>
      <x:c r="S27" s="68" t="str">
        <x:v>桥梁</x:v>
      </x:c>
      <x:c r="T27" s="68" t="str">
        <x:v>桥梁存在但有效力量不足以持续传递</x:v>
      </x:c>
      <x:c r="U27" s="68" t="str">
        <x:v>待定</x:v>
      </x:c>
      <x:c r="V27" s="68" t="str">
        <x:v>待定</x:v>
      </x:c>
      <x:c r="W27" s="90" t="str">
        <x:v>需检查对调候、格局、日主承载及其他通路的副作用</x:v>
      </x:c>
      <x:c r="X27" s="68" t="str">
        <x:v>M06关系效应、M08五行有效旺衰、M10十神功能与M11组合判断已完成</x:v>
      </x:c>
      <x:c r="Y27" s="68" t="str">
        <x:v>起点、桥梁、终点均按有效力量与实际作用路径判断</x:v>
      </x:c>
      <x:c r="Z27" s="68" t="str">
        <x:v>桥梁有根有源、透达、位置可达且不存在关键制约</x:v>
      </x:c>
      <x:c r="AA27" s="68" t="str">
        <x:v>桥梁失令、无根、受克、合绊、改性或同时被多路调用</x:v>
      </x:c>
      <x:c r="AB27" s="90" t="str">
        <x:v>不得仅因五行缺失、数量少或关系名称直接认定卡点或通关用神</x:v>
      </x:c>
      <x:c r="AC27" s="68" t="str">
        <x:v>若存在更短、更强或副作用更小的替代路径，应并列比较后再裁定</x:v>
      </x:c>
      <x:c r="AD27" s="84" t="str">
        <x:v>M12_BRIDGE_流通判定</x:v>
      </x:c>
      <x:c r="AE27" s="84" t="str">
        <x:v>桥梁仅微弱存在时只能形成弱通路：按起点—桥梁—终点检查有效力量、连续性与承载；卡点为“桥梁太弱”时，仅生成通关候选，不直接定用神。</x:v>
      </x:c>
      <x:c r="AF27" s="82" t="str">
        <x:v>较高</x:v>
      </x:c>
      <x:c r="AG27" s="82" t="str">
        <x:v>现代综合</x:v>
      </x:c>
      <x:c r="AH27" s="68" t="str">
        <x:v>流通判断以五行有效力量、生克顺序与十神功能为核心；古典依据可参照《滴天髓》《渊海子平》。 https://zh.wikisource.org/wiki/%E6%BB%B4%E5%A4%A9%E9%AB%93%E9%97%A1%E5%BE%AE https://zh.wikisource.org/zh-hans/%E6%B7%B5%E6%B5%B7%E5%AD%90%E5%B9%B3</x:v>
      </x:c>
      <x:c r="AI27" s="68" t="str">
        <x:v>当“桥梁存在但有效力量不足以持续传递”真实成立，且桥梁具备有效力量和连续作用条件时，可按“桥梁仅微弱存在时只能形成弱通路”记录。</x:v>
      </x:c>
      <x:c r="AJ27" s="90" t="str">
        <x:v>仅见表面缺失或五行相克，但未证明“桥梁存在但有效力量不足以持续传递”形成实际阻断时，不得套用“桥梁仅微弱存在时只能形成弱通路”。</x:v>
      </x:c>
      <x:c r="AK27" s="82" t="str">
        <x:v>采用</x:v>
      </x:c>
      <x:c r="AL27" s="82" t="str">
        <x:v>初审</x:v>
      </x:c>
      <x:c r="AM27" s="87" t="n">
        <x:v>46255</x:v>
      </x:c>
    </x:row>
    <x:row r="28">
      <x:c r="A28" s="72" t="str">
        <x:f>IF(OR(C28="",D28=""),"",B28&amp;"-"&amp;UPPER(C28)&amp;"-"&amp;TEXT(D28,"0000")&amp;"-"&amp;E28)</x:f>
        <x:v>M12-BRIDGE-0022-V1.0</x:v>
      </x:c>
      <x:c r="B28" s="74" t="str">
        <x:v>M12</x:v>
      </x:c>
      <x:c r="C28" s="74" t="str">
        <x:v>BRIDGE</x:v>
      </x:c>
      <x:c r="D28" s="215" t="n">
        <x:v>22</x:v>
      </x:c>
      <x:c r="E28" s="74" t="str">
        <x:v>V1.0</x:v>
      </x:c>
      <x:c r="F28" s="68" t="str">
        <x:v>桥梁被直接强克时流通效率下降</x:v>
      </x:c>
      <x:c r="G28" s="82" t="str">
        <x:v>结构层</x:v>
      </x:c>
      <x:c r="H28" s="68" t="str">
        <x:v>五行生化路径</x:v>
      </x:c>
      <x:c r="I28" s="68" t="str">
        <x:v>上游五行</x:v>
      </x:c>
      <x:c r="J28" s="68" t="str">
        <x:v>被克桥梁</x:v>
      </x:c>
      <x:c r="K28" s="68" t="str">
        <x:v>下游五行</x:v>
      </x:c>
      <x:c r="L28" s="82" t="str">
        <x:v>待定</x:v>
      </x:c>
      <x:c r="M28" s="82" t="str">
        <x:v>中和</x:v>
      </x:c>
      <x:c r="N28" s="68" t="str">
        <x:v>受强克</x:v>
      </x:c>
      <x:c r="O28" s="68" t="str">
        <x:v>待定</x:v>
      </x:c>
      <x:c r="P28" s="68" t="str">
        <x:v>待定</x:v>
      </x:c>
      <x:c r="Q28" s="82" t="str">
        <x:v>明显阻断</x:v>
      </x:c>
      <x:c r="R28" s="82" t="str">
        <x:v>桥梁被克</x:v>
      </x:c>
      <x:c r="S28" s="68" t="str">
        <x:v>桥梁</x:v>
      </x:c>
      <x:c r="T28" s="68" t="str">
        <x:v>桥梁承担传递时同时受到强制，实际可调用力量不足</x:v>
      </x:c>
      <x:c r="U28" s="68" t="str">
        <x:v>待定</x:v>
      </x:c>
      <x:c r="V28" s="68" t="str">
        <x:v>待定</x:v>
      </x:c>
      <x:c r="W28" s="90" t="str">
        <x:v>需检查对调候、格局、日主承载及其他通路的副作用</x:v>
      </x:c>
      <x:c r="X28" s="68" t="str">
        <x:v>M06关系效应、M08五行有效旺衰、M10十神功能与M11组合判断已完成</x:v>
      </x:c>
      <x:c r="Y28" s="68" t="str">
        <x:v>起点、桥梁、终点均按有效力量与实际作用路径判断</x:v>
      </x:c>
      <x:c r="Z28" s="68" t="str">
        <x:v>桥梁有根有源、透达、位置可达且不存在关键制约</x:v>
      </x:c>
      <x:c r="AA28" s="68" t="str">
        <x:v>桥梁失令、无根、受克、合绊、改性或同时被多路调用</x:v>
      </x:c>
      <x:c r="AB28" s="90" t="str">
        <x:v>不得仅因五行缺失、数量少或关系名称直接认定卡点或通关用神</x:v>
      </x:c>
      <x:c r="AC28" s="68" t="str">
        <x:v>若存在更短、更强或副作用更小的替代路径，应并列比较后再裁定</x:v>
      </x:c>
      <x:c r="AD28" s="84" t="str">
        <x:v>M12_BRIDGE_流通判定</x:v>
      </x:c>
      <x:c r="AE28" s="84" t="str">
        <x:v>桥梁被直接强克时流通效率下降：按起点—桥梁—终点检查有效力量、连续性与承载；卡点为“桥梁被克”时，仅生成通关候选，不直接定用神。</x:v>
      </x:c>
      <x:c r="AF28" s="82" t="str">
        <x:v>较高</x:v>
      </x:c>
      <x:c r="AG28" s="82" t="str">
        <x:v>现代综合</x:v>
      </x:c>
      <x:c r="AH28" s="68" t="str">
        <x:v>流通判断以五行有效力量、生克顺序与十神功能为核心；古典依据可参照《滴天髓》《渊海子平》。 https://zh.wikisource.org/wiki/%E6%BB%B4%E5%A4%A9%E9%AB%93%E9%97%A1%E5%BE%AE https://zh.wikisource.org/zh-hans/%E6%B7%B5%E6%B5%B7%E5%AD%90%E5%B9%B3</x:v>
      </x:c>
      <x:c r="AI28" s="68" t="str">
        <x:v>当“桥梁承担传递时同时受到强制，实际可调用力量不足”真实成立，且桥梁具备有效力量和连续作用条件时，可按“桥梁被直接强克时流通效率下降”记录。</x:v>
      </x:c>
      <x:c r="AJ28" s="90" t="str">
        <x:v>仅见表面缺失或五行相克，但未证明“桥梁承担传递时同时受到强制，实际可调用力量不足”形成实际阻断时，不得套用“桥梁被直接强克时流通效率下降”。</x:v>
      </x:c>
      <x:c r="AK28" s="82" t="str">
        <x:v>采用</x:v>
      </x:c>
      <x:c r="AL28" s="82" t="str">
        <x:v>初审</x:v>
      </x:c>
      <x:c r="AM28" s="87" t="n">
        <x:v>46255</x:v>
      </x:c>
    </x:row>
    <x:row r="29">
      <x:c r="A29" s="72" t="str">
        <x:f>IF(OR(C29="",D29=""),"",B29&amp;"-"&amp;UPPER(C29)&amp;"-"&amp;TEXT(D29,"0000")&amp;"-"&amp;E29)</x:f>
        <x:v>M12-BRIDGE-0023-V1.0</x:v>
      </x:c>
      <x:c r="B29" s="74" t="str">
        <x:v>M12</x:v>
      </x:c>
      <x:c r="C29" s="74" t="str">
        <x:v>BRIDGE</x:v>
      </x:c>
      <x:c r="D29" s="215" t="n">
        <x:v>23</x:v>
      </x:c>
      <x:c r="E29" s="74" t="str">
        <x:v>V1.0</x:v>
      </x:c>
      <x:c r="F29" s="68" t="str">
        <x:v>桥梁被合绊但未失效时属于受限通路</x:v>
      </x:c>
      <x:c r="G29" s="82" t="str">
        <x:v>结构层</x:v>
      </x:c>
      <x:c r="H29" s="68" t="str">
        <x:v>五行生化路径</x:v>
      </x:c>
      <x:c r="I29" s="68" t="str">
        <x:v>上游五行</x:v>
      </x:c>
      <x:c r="J29" s="68" t="str">
        <x:v>被合绊桥梁</x:v>
      </x:c>
      <x:c r="K29" s="68" t="str">
        <x:v>下游五行</x:v>
      </x:c>
      <x:c r="L29" s="82" t="str">
        <x:v>待定</x:v>
      </x:c>
      <x:c r="M29" s="82" t="str">
        <x:v>中和</x:v>
      </x:c>
      <x:c r="N29" s="68" t="str">
        <x:v>合绊受限</x:v>
      </x:c>
      <x:c r="O29" s="68" t="str">
        <x:v>待定</x:v>
      </x:c>
      <x:c r="P29" s="68" t="str">
        <x:v>待定</x:v>
      </x:c>
      <x:c r="Q29" s="82" t="str">
        <x:v>局部阻塞</x:v>
      </x:c>
      <x:c r="R29" s="82" t="str">
        <x:v>桥梁被合绊</x:v>
      </x:c>
      <x:c r="S29" s="68" t="str">
        <x:v>桥梁</x:v>
      </x:c>
      <x:c r="T29" s="68" t="str">
        <x:v>桥梁被牵制，仍存在但不能全额承担传递</x:v>
      </x:c>
      <x:c r="U29" s="68" t="str">
        <x:v>待定</x:v>
      </x:c>
      <x:c r="V29" s="68" t="str">
        <x:v>待定</x:v>
      </x:c>
      <x:c r="W29" s="90" t="str">
        <x:v>需检查对调候、格局、日主承载及其他通路的副作用</x:v>
      </x:c>
      <x:c r="X29" s="68" t="str">
        <x:v>M06关系效应、M08五行有效旺衰、M10十神功能与M11组合判断已完成</x:v>
      </x:c>
      <x:c r="Y29" s="68" t="str">
        <x:v>起点、桥梁、终点均按有效力量与实际作用路径判断</x:v>
      </x:c>
      <x:c r="Z29" s="68" t="str">
        <x:v>桥梁有根有源、透达、位置可达且不存在关键制约</x:v>
      </x:c>
      <x:c r="AA29" s="68" t="str">
        <x:v>桥梁失令、无根、受克、合绊、改性或同时被多路调用</x:v>
      </x:c>
      <x:c r="AB29" s="90" t="str">
        <x:v>不得仅因五行缺失、数量少或关系名称直接认定卡点或通关用神</x:v>
      </x:c>
      <x:c r="AC29" s="68" t="str">
        <x:v>若存在更短、更强或副作用更小的替代路径，应并列比较后再裁定</x:v>
      </x:c>
      <x:c r="AD29" s="84" t="str">
        <x:v>M12_BRIDGE_流通判定</x:v>
      </x:c>
      <x:c r="AE29" s="84" t="str">
        <x:v>桥梁被合绊但未失效时属于受限通路：按起点—桥梁—终点检查有效力量、连续性与承载；卡点为“桥梁被合绊”时，仅生成通关候选，不直接定用神。</x:v>
      </x:c>
      <x:c r="AF29" s="82" t="str">
        <x:v>较高</x:v>
      </x:c>
      <x:c r="AG29" s="82" t="str">
        <x:v>现代综合</x:v>
      </x:c>
      <x:c r="AH29" s="68" t="str">
        <x:v>流通判断以五行有效力量、生克顺序与十神功能为核心；古典依据可参照《滴天髓》《渊海子平》。 https://zh.wikisource.org/wiki/%E6%BB%B4%E5%A4%A9%E9%AB%93%E9%97%A1%E5%BE%AE https://zh.wikisource.org/zh-hans/%E6%B7%B5%E6%B5%B7%E5%AD%90%E5%B9%B3</x:v>
      </x:c>
      <x:c r="AI29" s="68" t="str">
        <x:v>当“桥梁被牵制，仍存在但不能全额承担传递”真实成立，且桥梁具备有效力量和连续作用条件时，可按“桥梁被合绊但未失效时属于受限通路”记录。</x:v>
      </x:c>
      <x:c r="AJ29" s="90" t="str">
        <x:v>仅见表面缺失或五行相克，但未证明“桥梁被牵制，仍存在但不能全额承担传递”形成实际阻断时，不得套用“桥梁被合绊但未失效时属于受限通路”。</x:v>
      </x:c>
      <x:c r="AK29" s="82" t="str">
        <x:v>采用</x:v>
      </x:c>
      <x:c r="AL29" s="82" t="str">
        <x:v>初审</x:v>
      </x:c>
      <x:c r="AM29" s="87" t="n">
        <x:v>46255</x:v>
      </x:c>
    </x:row>
    <x:row r="30">
      <x:c r="A30" s="72" t="str">
        <x:f>IF(OR(C30="",D30=""),"",B30&amp;"-"&amp;UPPER(C30)&amp;"-"&amp;TEXT(D30,"0000")&amp;"-"&amp;E30)</x:f>
        <x:v>M12-BRIDGE-0024-V1.0</x:v>
      </x:c>
      <x:c r="B30" s="74" t="str">
        <x:v>M12</x:v>
      </x:c>
      <x:c r="C30" s="74" t="str">
        <x:v>BRIDGE</x:v>
      </x:c>
      <x:c r="D30" s="215" t="n">
        <x:v>24</x:v>
      </x:c>
      <x:c r="E30" s="74" t="str">
        <x:v>V1.0</x:v>
      </x:c>
      <x:c r="F30" s="68" t="str">
        <x:v>桥梁实质合化后必须按新五行重建路径</x:v>
      </x:c>
      <x:c r="G30" s="82" t="str">
        <x:v>结构层</x:v>
      </x:c>
      <x:c r="H30" s="68" t="str">
        <x:v>五行生化路径</x:v>
      </x:c>
      <x:c r="I30" s="68" t="str">
        <x:v>原上游</x:v>
      </x:c>
      <x:c r="J30" s="68" t="str">
        <x:v>发生合化的桥梁</x:v>
      </x:c>
      <x:c r="K30" s="68" t="str">
        <x:v>原终点</x:v>
      </x:c>
      <x:c r="L30" s="82" t="str">
        <x:v>待定</x:v>
      </x:c>
      <x:c r="M30" s="82" t="str">
        <x:v>待定</x:v>
      </x:c>
      <x:c r="N30" s="68" t="str">
        <x:v>五行性质已改性</x:v>
      </x:c>
      <x:c r="O30" s="68" t="str">
        <x:v>待定</x:v>
      </x:c>
      <x:c r="P30" s="68" t="str">
        <x:v>待定</x:v>
      </x:c>
      <x:c r="Q30" s="82" t="str">
        <x:v>无有效路径</x:v>
      </x:c>
      <x:c r="R30" s="82" t="str">
        <x:v>其他</x:v>
      </x:c>
      <x:c r="S30" s="68" t="str">
        <x:v>桥梁</x:v>
      </x:c>
      <x:c r="T30" s="68" t="str">
        <x:v>桥梁原五行功能已发生实质改变，旧路径不再成立</x:v>
      </x:c>
      <x:c r="U30" s="68" t="str">
        <x:v>按合化后五行重算</x:v>
      </x:c>
      <x:c r="V30" s="68" t="str">
        <x:v>M06已确认实质合化</x:v>
      </x:c>
      <x:c r="W30" s="90" t="str">
        <x:v>需检查对调候、格局、日主承载及其他通路的副作用</x:v>
      </x:c>
      <x:c r="X30" s="68" t="str">
        <x:v>M06关系效应、M08五行有效旺衰、M10十神功能与M11组合判断已完成</x:v>
      </x:c>
      <x:c r="Y30" s="68" t="str">
        <x:v>起点、桥梁、终点均按有效力量与实际作用路径判断</x:v>
      </x:c>
      <x:c r="Z30" s="68" t="str">
        <x:v>桥梁有根有源、透达、位置可达且不存在关键制约</x:v>
      </x:c>
      <x:c r="AA30" s="68" t="str">
        <x:v>桥梁失令、无根、受克、合绊、改性或同时被多路调用</x:v>
      </x:c>
      <x:c r="AB30" s="90" t="str">
        <x:v>不得仅因五行缺失、数量少或关系名称直接认定卡点或通关用神</x:v>
      </x:c>
      <x:c r="AC30" s="68" t="str">
        <x:v>若存在更短、更强或副作用更小的替代路径，应并列比较后再裁定</x:v>
      </x:c>
      <x:c r="AD30" s="84" t="str">
        <x:v>M12_BRIDGE_流通判定</x:v>
      </x:c>
      <x:c r="AE30" s="84" t="str">
        <x:v>桥梁实质合化后必须按新五行重建路径：按起点—桥梁—终点检查有效力量、连续性与承载；卡点为“其他”时，仅生成通关候选，不直接定用神。</x:v>
      </x:c>
      <x:c r="AF30" s="82" t="str">
        <x:v>较高</x:v>
      </x:c>
      <x:c r="AG30" s="82" t="str">
        <x:v>现代综合</x:v>
      </x:c>
      <x:c r="AH30" s="68" t="str">
        <x:v>流通判断以五行有效力量、生克顺序与十神功能为核心；古典依据可参照《滴天髓》《渊海子平》。 https://zh.wikisource.org/wiki/%E6%BB%B4%E5%A4%A9%E9%AB%93%E9%97%A1%E5%BE%AE https://zh.wikisource.org/zh-hans/%E6%B7%B5%E6%B5%B7%E5%AD%90%E5%B9%B3</x:v>
      </x:c>
      <x:c r="AI30" s="68" t="str">
        <x:v>当“桥梁原五行功能已发生实质改变，旧路径不再成立”真实成立，且桥梁具备有效力量和连续作用条件时，可按“桥梁实质合化后必须按新五行重建路径”记录。</x:v>
      </x:c>
      <x:c r="AJ30" s="90" t="str">
        <x:v>仅见表面缺失或五行相克，但未证明“桥梁原五行功能已发生实质改变，旧路径不再成立”形成实际阻断时，不得套用“桥梁实质合化后必须按新五行重建路径”。</x:v>
      </x:c>
      <x:c r="AK30" s="82" t="str">
        <x:v>采用</x:v>
      </x:c>
      <x:c r="AL30" s="82" t="str">
        <x:v>初审</x:v>
      </x:c>
      <x:c r="AM30" s="87" t="n">
        <x:v>46255</x:v>
      </x:c>
    </x:row>
    <x:row r="31">
      <x:c r="A31" s="72" t="str">
        <x:f>IF(OR(C31="",D31=""),"",B31&amp;"-"&amp;UPPER(C31)&amp;"-"&amp;TEXT(D31,"0000")&amp;"-"&amp;E31)</x:f>
        <x:v>M12-BRIDGE-0025-V1.0</x:v>
      </x:c>
      <x:c r="B31" s="74" t="str">
        <x:v>M12</x:v>
      </x:c>
      <x:c r="C31" s="74" t="str">
        <x:v>BRIDGE</x:v>
      </x:c>
      <x:c r="D31" s="215" t="n">
        <x:v>25</x:v>
      </x:c>
      <x:c r="E31" s="74" t="str">
        <x:v>V1.0</x:v>
      </x:c>
      <x:c r="F31" s="68" t="str">
        <x:v>桥梁同时被多个路径调用时需降低单路容量</x:v>
      </x:c>
      <x:c r="G31" s="82" t="str">
        <x:v>结构层</x:v>
      </x:c>
      <x:c r="H31" s="68" t="str">
        <x:v>五行生化路径</x:v>
      </x:c>
      <x:c r="I31" s="68" t="str">
        <x:v>多个上游</x:v>
      </x:c>
      <x:c r="J31" s="68" t="str">
        <x:v>共享桥梁</x:v>
      </x:c>
      <x:c r="K31" s="68" t="str">
        <x:v>多个下游</x:v>
      </x:c>
      <x:c r="L31" s="82" t="str">
        <x:v>待定</x:v>
      </x:c>
      <x:c r="M31" s="82" t="str">
        <x:v>中和偏旺</x:v>
      </x:c>
      <x:c r="N31" s="68" t="str">
        <x:v>多路共享</x:v>
      </x:c>
      <x:c r="O31" s="68" t="str">
        <x:v>待定</x:v>
      </x:c>
      <x:c r="P31" s="68" t="str">
        <x:v>待定</x:v>
      </x:c>
      <x:c r="Q31" s="82" t="str">
        <x:v>基本通畅</x:v>
      </x:c>
      <x:c r="R31" s="82" t="str">
        <x:v>其他</x:v>
      </x:c>
      <x:c r="S31" s="68" t="str">
        <x:v>桥梁</x:v>
      </x:c>
      <x:c r="T31" s="68" t="str">
        <x:v>同一桥梁的有效力量需要在多个路径间分配</x:v>
      </x:c>
      <x:c r="U31" s="68" t="str">
        <x:v>待定</x:v>
      </x:c>
      <x:c r="V31" s="68" t="str">
        <x:v>待定</x:v>
      </x:c>
      <x:c r="W31" s="90" t="str">
        <x:v>需检查对调候、格局、日主承载及其他通路的副作用</x:v>
      </x:c>
      <x:c r="X31" s="68" t="str">
        <x:v>M06关系效应、M08五行有效旺衰、M10十神功能与M11组合判断已完成</x:v>
      </x:c>
      <x:c r="Y31" s="68" t="str">
        <x:v>起点、桥梁、终点均按有效力量与实际作用路径判断</x:v>
      </x:c>
      <x:c r="Z31" s="68" t="str">
        <x:v>桥梁有根有源、透达、位置可达且不存在关键制约</x:v>
      </x:c>
      <x:c r="AA31" s="68" t="str">
        <x:v>桥梁失令、无根、受克、合绊、改性或同时被多路调用</x:v>
      </x:c>
      <x:c r="AB31" s="90" t="str">
        <x:v>不得仅因五行缺失、数量少或关系名称直接认定卡点或通关用神</x:v>
      </x:c>
      <x:c r="AC31" s="68" t="str">
        <x:v>若存在更短、更强或副作用更小的替代路径，应并列比较后再裁定</x:v>
      </x:c>
      <x:c r="AD31" s="84" t="str">
        <x:v>M12_BRIDGE_流通判定</x:v>
      </x:c>
      <x:c r="AE31" s="84" t="str">
        <x:v>桥梁同时被多个路径调用时需降低单路容量：按起点—桥梁—终点检查有效力量、连续性与承载；卡点为“其他”时，仅生成通关候选，不直接定用神。</x:v>
      </x:c>
      <x:c r="AF31" s="82" t="str">
        <x:v>较高</x:v>
      </x:c>
      <x:c r="AG31" s="82" t="str">
        <x:v>现代综合</x:v>
      </x:c>
      <x:c r="AH31" s="68" t="str">
        <x:v>流通判断以五行有效力量、生克顺序与十神功能为核心；古典依据可参照《滴天髓》《渊海子平》。 https://zh.wikisource.org/wiki/%E6%BB%B4%E5%A4%A9%E9%AB%93%E9%97%A1%E5%BE%AE https://zh.wikisource.org/zh-hans/%E6%B7%B5%E6%B5%B7%E5%AD%90%E5%B9%B3</x:v>
      </x:c>
      <x:c r="AI31" s="68" t="str">
        <x:v>当“同一桥梁的有效力量需要在多个路径间分配”真实成立，且桥梁具备有效力量和连续作用条件时，可按“桥梁同时被多个路径调用时需降低单路容量”记录。</x:v>
      </x:c>
      <x:c r="AJ31" s="90" t="str">
        <x:v>仅见表面缺失或五行相克，但未证明“同一桥梁的有效力量需要在多个路径间分配”形成实际阻断时，不得套用“桥梁同时被多个路径调用时需降低单路容量”。</x:v>
      </x:c>
      <x:c r="AK31" s="82" t="str">
        <x:v>采用</x:v>
      </x:c>
      <x:c r="AL31" s="82" t="str">
        <x:v>初审</x:v>
      </x:c>
      <x:c r="AM31" s="87" t="n">
        <x:v>46255</x:v>
      </x:c>
    </x:row>
    <x:row r="32">
      <x:c r="A32" s="72" t="str">
        <x:f>IF(OR(C32="",D32=""),"",B32&amp;"-"&amp;UPPER(C32)&amp;"-"&amp;TEXT(D32,"0000")&amp;"-"&amp;E32)</x:f>
        <x:v>M12-BRIDGE-0026-V1.0</x:v>
      </x:c>
      <x:c r="B32" s="74" t="str">
        <x:v>M12</x:v>
      </x:c>
      <x:c r="C32" s="74" t="str">
        <x:v>BRIDGE</x:v>
      </x:c>
      <x:c r="D32" s="215" t="n">
        <x:v>26</x:v>
      </x:c>
      <x:c r="E32" s="74" t="str">
        <x:v>V1.0</x:v>
      </x:c>
      <x:c r="F32" s="68" t="str">
        <x:v>桥梁得令有根有源可显著提高通关稳定性</x:v>
      </x:c>
      <x:c r="G32" s="82" t="str">
        <x:v>结构层</x:v>
      </x:c>
      <x:c r="H32" s="68" t="str">
        <x:v>五行生化路径</x:v>
      </x:c>
      <x:c r="I32" s="68" t="str">
        <x:v>上游五行</x:v>
      </x:c>
      <x:c r="J32" s="68" t="str">
        <x:v>候选桥梁</x:v>
      </x:c>
      <x:c r="K32" s="68" t="str">
        <x:v>下游五行</x:v>
      </x:c>
      <x:c r="L32" s="82" t="str">
        <x:v>待定</x:v>
      </x:c>
      <x:c r="M32" s="82" t="str">
        <x:v>旺</x:v>
      </x:c>
      <x:c r="N32" s="68" t="str">
        <x:v>得令有根有源</x:v>
      </x:c>
      <x:c r="O32" s="68" t="str">
        <x:v>待定</x:v>
      </x:c>
      <x:c r="P32" s="68" t="str">
        <x:v>待定</x:v>
      </x:c>
      <x:c r="Q32" s="82" t="str">
        <x:v>通畅</x:v>
      </x:c>
      <x:c r="R32" s="82" t="str">
        <x:v>其他</x:v>
      </x:c>
      <x:c r="S32" s="68" t="str">
        <x:v>待定</x:v>
      </x:c>
      <x:c r="T32" s="68" t="str">
        <x:v>桥梁同时具备季令、根气和生源等独立有效支持</x:v>
      </x:c>
      <x:c r="U32" s="68" t="str">
        <x:v>待定</x:v>
      </x:c>
      <x:c r="V32" s="68" t="str">
        <x:v>待定</x:v>
      </x:c>
      <x:c r="W32" s="90" t="str">
        <x:v>需检查对调候、格局、日主承载及其他通路的副作用</x:v>
      </x:c>
      <x:c r="X32" s="68" t="str">
        <x:v>M06关系效应、M08五行有效旺衰、M10十神功能与M11组合判断已完成</x:v>
      </x:c>
      <x:c r="Y32" s="68" t="str">
        <x:v>起点、桥梁、终点均按有效力量与实际作用路径判断</x:v>
      </x:c>
      <x:c r="Z32" s="68" t="str">
        <x:v>桥梁有根有源、透达、位置可达且不存在关键制约</x:v>
      </x:c>
      <x:c r="AA32" s="68" t="str">
        <x:v>桥梁失令、无根、受克、合绊、改性或同时被多路调用</x:v>
      </x:c>
      <x:c r="AB32" s="90" t="str">
        <x:v>不得仅因五行缺失、数量少或关系名称直接认定卡点或通关用神</x:v>
      </x:c>
      <x:c r="AC32" s="68" t="str">
        <x:v>若存在更短、更强或副作用更小的替代路径，应并列比较后再裁定</x:v>
      </x:c>
      <x:c r="AD32" s="84" t="str">
        <x:v>强桥梁通关</x:v>
      </x:c>
      <x:c r="AE32" s="84" t="str">
        <x:v>桥梁得令有根有源可显著提高通关稳定性：按起点—桥梁—终点检查有效力量、连续性与承载；卡点为“其他”时，仅生成通关候选，不直接定用神。</x:v>
      </x:c>
      <x:c r="AF32" s="82" t="str">
        <x:v>较高</x:v>
      </x:c>
      <x:c r="AG32" s="82" t="str">
        <x:v>现代综合</x:v>
      </x:c>
      <x:c r="AH32" s="68" t="str">
        <x:v>流通判断以五行有效力量、生克顺序与十神功能为核心；古典依据可参照《滴天髓》《渊海子平》。 https://zh.wikisource.org/wiki/%E6%BB%B4%E5%A4%A9%E9%AB%93%E9%97%A1%E5%BE%AE https://zh.wikisource.org/zh-hans/%E6%B7%B5%E6%B5%B7%E5%AD%90%E5%B9%B3</x:v>
      </x:c>
      <x:c r="AI32" s="68" t="str">
        <x:v>当“桥梁同时具备季令、根气和生源等独立有效支持”真实成立，且桥梁具备有效力量和连续作用条件时，可按“桥梁得令有根有源可显著提高通关稳定性”记录。</x:v>
      </x:c>
      <x:c r="AJ32" s="90" t="str">
        <x:v>仅见表面缺失或五行相克，但未证明“桥梁同时具备季令、根气和生源等独立有效支持”形成实际阻断时，不得套用“桥梁得令有根有源可显著提高通关稳定性”。</x:v>
      </x:c>
      <x:c r="AK32" s="82" t="str">
        <x:v>采用</x:v>
      </x:c>
      <x:c r="AL32" s="82" t="str">
        <x:v>初审</x:v>
      </x:c>
      <x:c r="AM32" s="87" t="n">
        <x:v>46255</x:v>
      </x:c>
    </x:row>
    <x:row r="33">
      <x:c r="A33" s="72" t="str">
        <x:f>IF(OR(C33="",D33=""),"",B33&amp;"-"&amp;UPPER(C33)&amp;"-"&amp;TEXT(D33,"0000")&amp;"-"&amp;E33)</x:f>
        <x:v>M12-BRIDGE-0027-V1.0</x:v>
      </x:c>
      <x:c r="B33" s="74" t="str">
        <x:v>M12</x:v>
      </x:c>
      <x:c r="C33" s="74" t="str">
        <x:v>BRIDGE</x:v>
      </x:c>
      <x:c r="D33" s="215" t="n">
        <x:v>27</x:v>
      </x:c>
      <x:c r="E33" s="74" t="str">
        <x:v>V1.0</x:v>
      </x:c>
      <x:c r="F33" s="68" t="str">
        <x:v>桥梁受寒凝时存在但流动性下降</x:v>
      </x:c>
      <x:c r="G33" s="82" t="str">
        <x:v>结构层</x:v>
      </x:c>
      <x:c r="H33" s="68" t="str">
        <x:v>五行生化路径</x:v>
      </x:c>
      <x:c r="I33" s="68" t="str">
        <x:v>上游五行</x:v>
      </x:c>
      <x:c r="J33" s="68" t="str">
        <x:v>受寒凝桥梁</x:v>
      </x:c>
      <x:c r="K33" s="68" t="str">
        <x:v>下游五行</x:v>
      </x:c>
      <x:c r="L33" s="82" t="str">
        <x:v>待定</x:v>
      </x:c>
      <x:c r="M33" s="82" t="str">
        <x:v>中和</x:v>
      </x:c>
      <x:c r="N33" s="68" t="str">
        <x:v>寒凝难行</x:v>
      </x:c>
      <x:c r="O33" s="68" t="str">
        <x:v>待定</x:v>
      </x:c>
      <x:c r="P33" s="68" t="str">
        <x:v>待定</x:v>
      </x:c>
      <x:c r="Q33" s="82" t="str">
        <x:v>局部阻塞</x:v>
      </x:c>
      <x:c r="R33" s="82" t="str">
        <x:v>寒凝</x:v>
      </x:c>
      <x:c r="S33" s="68" t="str">
        <x:v>桥梁</x:v>
      </x:c>
      <x:c r="T33" s="68" t="str">
        <x:v>桥梁物理象义上的生发、蒸腾或化泄效率受低温状态压制</x:v>
      </x:c>
      <x:c r="U33" s="68" t="str">
        <x:v>调候火或相应暖化条件</x:v>
      </x:c>
      <x:c r="V33" s="68" t="str">
        <x:v>M13确认寒凝属于真实主要矛盾</x:v>
      </x:c>
      <x:c r="W33" s="90" t="str">
        <x:v>需检查对调候、格局、日主承载及其他通路的副作用</x:v>
      </x:c>
      <x:c r="X33" s="68" t="str">
        <x:v>M06关系效应、M08五行有效旺衰、M10十神功能与M11组合判断已完成</x:v>
      </x:c>
      <x:c r="Y33" s="68" t="str">
        <x:v>起点、桥梁、终点均按有效力量与实际作用路径判断</x:v>
      </x:c>
      <x:c r="Z33" s="68" t="str">
        <x:v>桥梁有根有源、透达、位置可达且不存在关键制约</x:v>
      </x:c>
      <x:c r="AA33" s="68" t="str">
        <x:v>桥梁失令、无根、受克、合绊、改性或同时被多路调用</x:v>
      </x:c>
      <x:c r="AB33" s="90" t="str">
        <x:v>不得仅因五行缺失、数量少或关系名称直接认定卡点或通关用神</x:v>
      </x:c>
      <x:c r="AC33" s="68" t="str">
        <x:v>若存在更短、更强或副作用更小的替代路径，应并列比较后再裁定</x:v>
      </x:c>
      <x:c r="AD33" s="84" t="str">
        <x:v>M12_BRIDGE_流通判定</x:v>
      </x:c>
      <x:c r="AE33" s="84" t="str">
        <x:v>桥梁受寒凝时存在但流动性下降：按起点—桥梁—终点检查有效力量、连续性与承载；卡点为“寒凝”时，仅生成通关候选，不直接定用神。</x:v>
      </x:c>
      <x:c r="AF33" s="82" t="str">
        <x:v>较高</x:v>
      </x:c>
      <x:c r="AG33" s="82" t="str">
        <x:v>现代综合</x:v>
      </x:c>
      <x:c r="AH33" s="68" t="str">
        <x:v>流通判断以五行有效力量、生克顺序与十神功能为核心；古典依据可参照《滴天髓》《渊海子平》。 https://zh.wikisource.org/wiki/%E6%BB%B4%E5%A4%A9%E9%AB%93%E9%97%A1%E5%BE%AE https://zh.wikisource.org/zh-hans/%E6%B7%B5%E6%B5%B7%E5%AD%90%E5%B9%B3</x:v>
      </x:c>
      <x:c r="AI33" s="68" t="str">
        <x:v>当“桥梁物理象义上的生发、蒸腾或化泄效率受低温状态压制”真实成立，且桥梁具备有效力量和连续作用条件时，可按“桥梁受寒凝时存在但流动性下降”记录。</x:v>
      </x:c>
      <x:c r="AJ33" s="90" t="str">
        <x:v>仅见表面缺失或五行相克，但未证明“桥梁物理象义上的生发、蒸腾或化泄效率受低温状态压制”形成实际阻断时，不得套用“桥梁受寒凝时存在但流动性下降”。</x:v>
      </x:c>
      <x:c r="AK33" s="82" t="str">
        <x:v>采用</x:v>
      </x:c>
      <x:c r="AL33" s="82" t="str">
        <x:v>初审</x:v>
      </x:c>
      <x:c r="AM33" s="87" t="n">
        <x:v>46255</x:v>
      </x:c>
    </x:row>
    <x:row r="34">
      <x:c r="A34" s="72" t="str">
        <x:f>IF(OR(C34="",D34=""),"",B34&amp;"-"&amp;UPPER(C34)&amp;"-"&amp;TEXT(D34,"0000")&amp;"-"&amp;E34)</x:f>
        <x:v>M12-BRIDGE-0028-V1.0</x:v>
      </x:c>
      <x:c r="B34" s="74" t="str">
        <x:v>M12</x:v>
      </x:c>
      <x:c r="C34" s="74" t="str">
        <x:v>BRIDGE</x:v>
      </x:c>
      <x:c r="D34" s="215" t="n">
        <x:v>28</x:v>
      </x:c>
      <x:c r="E34" s="74" t="str">
        <x:v>V1.0</x:v>
      </x:c>
      <x:c r="F34" s="68" t="str">
        <x:v>桥梁受燥枯时连续生化能力下降</x:v>
      </x:c>
      <x:c r="G34" s="82" t="str">
        <x:v>结构层</x:v>
      </x:c>
      <x:c r="H34" s="68" t="str">
        <x:v>五行生化路径</x:v>
      </x:c>
      <x:c r="I34" s="68" t="str">
        <x:v>上游五行</x:v>
      </x:c>
      <x:c r="J34" s="68" t="str">
        <x:v>受燥枯桥梁</x:v>
      </x:c>
      <x:c r="K34" s="68" t="str">
        <x:v>下游五行</x:v>
      </x:c>
      <x:c r="L34" s="82" t="str">
        <x:v>待定</x:v>
      </x:c>
      <x:c r="M34" s="82" t="str">
        <x:v>中和</x:v>
      </x:c>
      <x:c r="N34" s="68" t="str">
        <x:v>燥枯失润</x:v>
      </x:c>
      <x:c r="O34" s="68" t="str">
        <x:v>待定</x:v>
      </x:c>
      <x:c r="P34" s="68" t="str">
        <x:v>待定</x:v>
      </x:c>
      <x:c r="Q34" s="82" t="str">
        <x:v>局部阻塞</x:v>
      </x:c>
      <x:c r="R34" s="82" t="str">
        <x:v>燥枯</x:v>
      </x:c>
      <x:c r="S34" s="68" t="str">
        <x:v>桥梁</x:v>
      </x:c>
      <x:c r="T34" s="68" t="str">
        <x:v>桥梁虽有力量但缺乏持续生发、润泽或承接条件</x:v>
      </x:c>
      <x:c r="U34" s="68" t="str">
        <x:v>调候水或相应润燥条件</x:v>
      </x:c>
      <x:c r="V34" s="68" t="str">
        <x:v>M13确认燥枯为主要矛盾</x:v>
      </x:c>
      <x:c r="W34" s="90" t="str">
        <x:v>需检查对调候、格局、日主承载及其他通路的副作用</x:v>
      </x:c>
      <x:c r="X34" s="68" t="str">
        <x:v>M06关系效应、M08五行有效旺衰、M10十神功能与M11组合判断已完成</x:v>
      </x:c>
      <x:c r="Y34" s="68" t="str">
        <x:v>起点、桥梁、终点均按有效力量与实际作用路径判断</x:v>
      </x:c>
      <x:c r="Z34" s="68" t="str">
        <x:v>桥梁有根有源、透达、位置可达且不存在关键制约</x:v>
      </x:c>
      <x:c r="AA34" s="68" t="str">
        <x:v>桥梁失令、无根、受克、合绊、改性或同时被多路调用</x:v>
      </x:c>
      <x:c r="AB34" s="90" t="str">
        <x:v>不得仅因五行缺失、数量少或关系名称直接认定卡点或通关用神</x:v>
      </x:c>
      <x:c r="AC34" s="68" t="str">
        <x:v>若存在更短、更强或副作用更小的替代路径，应并列比较后再裁定</x:v>
      </x:c>
      <x:c r="AD34" s="84" t="str">
        <x:v>M12_BRIDGE_流通判定</x:v>
      </x:c>
      <x:c r="AE34" s="84" t="str">
        <x:v>桥梁受燥枯时连续生化能力下降：按起点—桥梁—终点检查有效力量、连续性与承载；卡点为“燥枯”时，仅生成通关候选，不直接定用神。</x:v>
      </x:c>
      <x:c r="AF34" s="82" t="str">
        <x:v>较高</x:v>
      </x:c>
      <x:c r="AG34" s="82" t="str">
        <x:v>现代综合</x:v>
      </x:c>
      <x:c r="AH34" s="68" t="str">
        <x:v>流通判断以五行有效力量、生克顺序与十神功能为核心；古典依据可参照《滴天髓》《渊海子平》。 https://zh.wikisource.org/wiki/%E6%BB%B4%E5%A4%A9%E9%AB%93%E9%97%A1%E5%BE%AE https://zh.wikisource.org/zh-hans/%E6%B7%B5%E6%B5%B7%E5%AD%90%E5%B9%B3</x:v>
      </x:c>
      <x:c r="AI34" s="68" t="str">
        <x:v>当“桥梁虽有力量但缺乏持续生发、润泽或承接条件”真实成立，且桥梁具备有效力量和连续作用条件时，可按“桥梁受燥枯时连续生化能力下降”记录。</x:v>
      </x:c>
      <x:c r="AJ34" s="90" t="str">
        <x:v>仅见表面缺失或五行相克，但未证明“桥梁虽有力量但缺乏持续生发、润泽或承接条件”形成实际阻断时，不得套用“桥梁受燥枯时连续生化能力下降”。</x:v>
      </x:c>
      <x:c r="AK34" s="82" t="str">
        <x:v>采用</x:v>
      </x:c>
      <x:c r="AL34" s="82" t="str">
        <x:v>初审</x:v>
      </x:c>
      <x:c r="AM34" s="87" t="n">
        <x:v>46255</x:v>
      </x:c>
    </x:row>
    <x:row r="35">
      <x:c r="A35" s="72" t="str">
        <x:f>IF(OR(C35="",D35=""),"",B35&amp;"-"&amp;UPPER(C35)&amp;"-"&amp;TEXT(D35,"0000")&amp;"-"&amp;E35)</x:f>
        <x:v>M12-BRIDGE-0029-V1.0</x:v>
      </x:c>
      <x:c r="B35" s="74" t="str">
        <x:v>M12</x:v>
      </x:c>
      <x:c r="C35" s="74" t="str">
        <x:v>BRIDGE</x:v>
      </x:c>
      <x:c r="D35" s="215" t="n">
        <x:v>29</x:v>
      </x:c>
      <x:c r="E35" s="74" t="str">
        <x:v>V1.0</x:v>
      </x:c>
      <x:c r="F35" s="68" t="str">
        <x:v>桥梁过旺也可能截留上游力量形成壅塞</x:v>
      </x:c>
      <x:c r="G35" s="82" t="str">
        <x:v>结构层</x:v>
      </x:c>
      <x:c r="H35" s="68" t="str">
        <x:v>五行生化路径</x:v>
      </x:c>
      <x:c r="I35" s="68" t="str">
        <x:v>上游五行</x:v>
      </x:c>
      <x:c r="J35" s="68" t="str">
        <x:v>过旺桥梁</x:v>
      </x:c>
      <x:c r="K35" s="68" t="str">
        <x:v>偏弱终点</x:v>
      </x:c>
      <x:c r="L35" s="82" t="str">
        <x:v>待定</x:v>
      </x:c>
      <x:c r="M35" s="82" t="str">
        <x:v>极旺</x:v>
      </x:c>
      <x:c r="N35" s="68" t="str">
        <x:v>桥梁自身聚集过强</x:v>
      </x:c>
      <x:c r="O35" s="68" t="str">
        <x:v>待定</x:v>
      </x:c>
      <x:c r="P35" s="68" t="str">
        <x:v>待定</x:v>
      </x:c>
      <x:c r="Q35" s="82" t="str">
        <x:v>局部阻塞</x:v>
      </x:c>
      <x:c r="R35" s="82" t="str">
        <x:v>回流壅塞</x:v>
      </x:c>
      <x:c r="S35" s="68" t="str">
        <x:v>桥梁</x:v>
      </x:c>
      <x:c r="T35" s="68" t="str">
        <x:v>中间节点过度成势，力量停留在桥梁而未有效送达终点</x:v>
      </x:c>
      <x:c r="U35" s="68" t="str">
        <x:v>待定</x:v>
      </x:c>
      <x:c r="V35" s="68" t="str">
        <x:v>待定</x:v>
      </x:c>
      <x:c r="W35" s="90" t="str">
        <x:v>需检查对调候、格局、日主承载及其他通路的副作用</x:v>
      </x:c>
      <x:c r="X35" s="68" t="str">
        <x:v>M06关系效应、M08五行有效旺衰、M10十神功能与M11组合判断已完成</x:v>
      </x:c>
      <x:c r="Y35" s="68" t="str">
        <x:v>起点、桥梁、终点均按有效力量与实际作用路径判断</x:v>
      </x:c>
      <x:c r="Z35" s="68" t="str">
        <x:v>桥梁有根有源、透达、位置可达且不存在关键制约</x:v>
      </x:c>
      <x:c r="AA35" s="68" t="str">
        <x:v>桥梁失令、无根、受克、合绊、改性或同时被多路调用</x:v>
      </x:c>
      <x:c r="AB35" s="90" t="str">
        <x:v>不得仅因五行缺失、数量少或关系名称直接认定卡点或通关用神</x:v>
      </x:c>
      <x:c r="AC35" s="68" t="str">
        <x:v>若存在更短、更强或副作用更小的替代路径，应并列比较后再裁定</x:v>
      </x:c>
      <x:c r="AD35" s="84" t="str">
        <x:v>M12_BRIDGE_流通判定</x:v>
      </x:c>
      <x:c r="AE35" s="84" t="str">
        <x:v>桥梁过旺也可能截留上游力量形成壅塞：按起点—桥梁—终点检查有效力量、连续性与承载；卡点为“回流壅塞”时，仅生成通关候选，不直接定用神。</x:v>
      </x:c>
      <x:c r="AF35" s="82" t="str">
        <x:v>较高</x:v>
      </x:c>
      <x:c r="AG35" s="82" t="str">
        <x:v>现代综合</x:v>
      </x:c>
      <x:c r="AH35" s="68" t="str">
        <x:v>流通判断以五行有效力量、生克顺序与十神功能为核心；古典依据可参照《滴天髓》《渊海子平》。 https://zh.wikisource.org/wiki/%E6%BB%B4%E5%A4%A9%E9%AB%93%E9%97%A1%E5%BE%AE https://zh.wikisource.org/zh-hans/%E6%B7%B5%E6%B5%B7%E5%AD%90%E5%B9%B3</x:v>
      </x:c>
      <x:c r="AI35" s="68" t="str">
        <x:v>当“中间节点过度成势，力量停留在桥梁而未有效送达终点”真实成立，且桥梁具备有效力量和连续作用条件时，可按“桥梁过旺也可能截留上游力量形成壅塞”记录。</x:v>
      </x:c>
      <x:c r="AJ35" s="90" t="str">
        <x:v>仅见表面缺失或五行相克，但未证明“中间节点过度成势，力量停留在桥梁而未有效送达终点”形成实际阻断时，不得套用“桥梁过旺也可能截留上游力量形成壅塞”。</x:v>
      </x:c>
      <x:c r="AK35" s="82" t="str">
        <x:v>采用</x:v>
      </x:c>
      <x:c r="AL35" s="82" t="str">
        <x:v>初审</x:v>
      </x:c>
      <x:c r="AM35" s="87" t="n">
        <x:v>46255</x:v>
      </x:c>
    </x:row>
    <x:row r="36">
      <x:c r="A36" s="72" t="str">
        <x:f>IF(OR(C36="",D36=""),"",B36&amp;"-"&amp;UPPER(C36)&amp;"-"&amp;TEXT(D36,"0000")&amp;"-"&amp;E36)</x:f>
        <x:v>M12-BRIDGE-0030-V1.0</x:v>
      </x:c>
      <x:c r="B36" s="74" t="str">
        <x:v>M12</x:v>
      </x:c>
      <x:c r="C36" s="74" t="str">
        <x:v>BRIDGE</x:v>
      </x:c>
      <x:c r="D36" s="215" t="n">
        <x:v>30</x:v>
      </x:c>
      <x:c r="E36" s="74" t="str">
        <x:v>V1.0</x:v>
      </x:c>
      <x:c r="F36" s="68" t="str">
        <x:v>桥梁被冲动不等于流通必然中断</x:v>
      </x:c>
      <x:c r="G36" s="82" t="str">
        <x:v>结构层</x:v>
      </x:c>
      <x:c r="H36" s="68" t="str">
        <x:v>五行生化路径</x:v>
      </x:c>
      <x:c r="I36" s="68" t="str">
        <x:v>上游五行</x:v>
      </x:c>
      <x:c r="J36" s="68" t="str">
        <x:v>受冲桥梁</x:v>
      </x:c>
      <x:c r="K36" s="68" t="str">
        <x:v>下游五行</x:v>
      </x:c>
      <x:c r="L36" s="82" t="str">
        <x:v>待定</x:v>
      </x:c>
      <x:c r="M36" s="82" t="str">
        <x:v>中和</x:v>
      </x:c>
      <x:c r="N36" s="68" t="str">
        <x:v>被冲动</x:v>
      </x:c>
      <x:c r="O36" s="68" t="str">
        <x:v>待定</x:v>
      </x:c>
      <x:c r="P36" s="68" t="str">
        <x:v>待定</x:v>
      </x:c>
      <x:c r="Q36" s="82" t="str">
        <x:v>基本通畅</x:v>
      </x:c>
      <x:c r="R36" s="82" t="str">
        <x:v>其他</x:v>
      </x:c>
      <x:c r="S36" s="68" t="str">
        <x:v>待定</x:v>
      </x:c>
      <x:c r="T36" s="68" t="str">
        <x:v>M06仅判冲动或激活，并未判冲散、失根或功能失效</x:v>
      </x:c>
      <x:c r="U36" s="68" t="str">
        <x:v>待定</x:v>
      </x:c>
      <x:c r="V36" s="68" t="str">
        <x:v>待定</x:v>
      </x:c>
      <x:c r="W36" s="90" t="str">
        <x:v>需检查对调候、格局、日主承载及其他通路的副作用</x:v>
      </x:c>
      <x:c r="X36" s="68" t="str">
        <x:v>M06关系效应、M08五行有效旺衰、M10十神功能与M11组合判断已完成</x:v>
      </x:c>
      <x:c r="Y36" s="68" t="str">
        <x:v>起点、桥梁、终点均按有效力量与实际作用路径判断</x:v>
      </x:c>
      <x:c r="Z36" s="68" t="str">
        <x:v>桥梁有根有源、透达、位置可达且不存在关键制约</x:v>
      </x:c>
      <x:c r="AA36" s="68" t="str">
        <x:v>桥梁失令、无根、受克、合绊、改性或同时被多路调用</x:v>
      </x:c>
      <x:c r="AB36" s="90" t="str">
        <x:v>不得仅因五行缺失、数量少或关系名称直接认定卡点或通关用神</x:v>
      </x:c>
      <x:c r="AC36" s="68" t="str">
        <x:v>若存在更短、更强或副作用更小的替代路径，应并列比较后再裁定</x:v>
      </x:c>
      <x:c r="AD36" s="84" t="str">
        <x:v>冲动桥梁非自动失效</x:v>
      </x:c>
      <x:c r="AE36" s="84" t="str">
        <x:v>桥梁被冲动不等于流通必然中断：按起点—桥梁—终点检查有效力量、连续性与承载；卡点为“其他”时，仅生成通关候选，不直接定用神。</x:v>
      </x:c>
      <x:c r="AF36" s="82" t="str">
        <x:v>较高</x:v>
      </x:c>
      <x:c r="AG36" s="82" t="str">
        <x:v>现代综合</x:v>
      </x:c>
      <x:c r="AH36" s="68" t="str">
        <x:v>流通判断以五行有效力量、生克顺序与十神功能为核心；古典依据可参照《滴天髓》《渊海子平》。 https://zh.wikisource.org/wiki/%E6%BB%B4%E5%A4%A9%E9%AB%93%E9%97%A1%E5%BE%AE https://zh.wikisource.org/zh-hans/%E6%B7%B5%E6%B5%B7%E5%AD%90%E5%B9%B3</x:v>
      </x:c>
      <x:c r="AI36" s="68" t="str">
        <x:v>当“M06仅判冲动或激活，并未判冲散、失根或功能失效”真实成立，且桥梁具备有效力量和连续作用条件时，可按“桥梁被冲动不等于流通必然中断”记录。</x:v>
      </x:c>
      <x:c r="AJ36" s="90" t="str">
        <x:v>仅见表面缺失或五行相克，但未证明“M06仅判冲动或激活，并未判冲散、失根或功能失效”形成实际阻断时，不得套用“桥梁被冲动不等于流通必然中断”。</x:v>
      </x:c>
      <x:c r="AK36" s="82" t="str">
        <x:v>采用</x:v>
      </x:c>
      <x:c r="AL36" s="82" t="str">
        <x:v>初审</x:v>
      </x:c>
      <x:c r="AM36" s="87" t="n">
        <x:v>46255</x:v>
      </x:c>
    </x:row>
    <x:row r="37">
      <x:c r="A37" s="72" t="str">
        <x:f>IF(OR(C37="",D37=""),"",B37&amp;"-"&amp;UPPER(C37)&amp;"-"&amp;TEXT(D37,"0000")&amp;"-"&amp;E37)</x:f>
        <x:v>M12-END-0031-V1.0</x:v>
      </x:c>
      <x:c r="B37" s="74" t="str">
        <x:v>M12</x:v>
      </x:c>
      <x:c r="C37" s="74" t="str">
        <x:v>END</x:v>
      </x:c>
      <x:c r="D37" s="215" t="n">
        <x:v>31</x:v>
      </x:c>
      <x:c r="E37" s="74" t="str">
        <x:v>V1.0</x:v>
      </x:c>
      <x:c r="F37" s="68" t="str">
        <x:v>终点必须具备最低承载能力</x:v>
      </x:c>
      <x:c r="G37" s="82" t="str">
        <x:v>结构层</x:v>
      </x:c>
      <x:c r="H37" s="68" t="str">
        <x:v>五行生化路径</x:v>
      </x:c>
      <x:c r="I37" s="68" t="str">
        <x:v>上游五行</x:v>
      </x:c>
      <x:c r="J37" s="68" t="str">
        <x:v>有效桥梁</x:v>
      </x:c>
      <x:c r="K37" s="68" t="str">
        <x:v>弱终点</x:v>
      </x:c>
      <x:c r="L37" s="82" t="str">
        <x:v>待定</x:v>
      </x:c>
      <x:c r="M37" s="82" t="str">
        <x:v>待定</x:v>
      </x:c>
      <x:c r="N37" s="68" t="str">
        <x:v>待定</x:v>
      </x:c>
      <x:c r="O37" s="68" t="str">
        <x:v>终点偏弱但仍有根或有效节点</x:v>
      </x:c>
      <x:c r="P37" s="68" t="str">
        <x:v>待定</x:v>
      </x:c>
      <x:c r="Q37" s="82" t="str">
        <x:v>局部阻塞</x:v>
      </x:c>
      <x:c r="R37" s="82" t="str">
        <x:v>终点过弱不能承载</x:v>
      </x:c>
      <x:c r="S37" s="68" t="str">
        <x:v>终点</x:v>
      </x:c>
      <x:c r="T37" s="68" t="str">
        <x:v>终点有效力量不足，无法完整承接上游持续输送</x:v>
      </x:c>
      <x:c r="U37" s="68" t="str">
        <x:v>待定</x:v>
      </x:c>
      <x:c r="V37" s="68" t="str">
        <x:v>待定</x:v>
      </x:c>
      <x:c r="W37" s="90" t="str">
        <x:v>需检查对调候、格局、日主承载及其他通路的副作用</x:v>
      </x:c>
      <x:c r="X37" s="68" t="str">
        <x:v>M06关系效应、M08五行有效旺衰、M10十神功能与M11组合判断已完成</x:v>
      </x:c>
      <x:c r="Y37" s="68" t="str">
        <x:v>起点、桥梁、终点均按有效力量与实际作用路径判断</x:v>
      </x:c>
      <x:c r="Z37" s="68" t="str">
        <x:v>桥梁有根有源、透达、位置可达且不存在关键制约</x:v>
      </x:c>
      <x:c r="AA37" s="68" t="str">
        <x:v>桥梁失令、无根、受克、合绊、改性或同时被多路调用</x:v>
      </x:c>
      <x:c r="AB37" s="90" t="str">
        <x:v>不得仅因五行缺失、数量少或关系名称直接认定卡点或通关用神</x:v>
      </x:c>
      <x:c r="AC37" s="68" t="str">
        <x:v>若存在更短、更强或副作用更小的替代路径，应并列比较后再裁定</x:v>
      </x:c>
      <x:c r="AD37" s="84" t="str">
        <x:v>M12_END_流通判定</x:v>
      </x:c>
      <x:c r="AE37" s="84" t="str">
        <x:v>终点必须具备最低承载能力：按起点—桥梁—终点检查有效力量、连续性与承载；卡点为“终点过弱不能承载”时，仅生成通关候选，不直接定用神。</x:v>
      </x:c>
      <x:c r="AF37" s="82" t="str">
        <x:v>较高</x:v>
      </x:c>
      <x:c r="AG37" s="82" t="str">
        <x:v>现代综合</x:v>
      </x:c>
      <x:c r="AH37" s="68" t="str">
        <x:v>流通判断以五行有效力量、生克顺序与十神功能为核心；古典依据可参照《滴天髓》《渊海子平》。 https://zh.wikisource.org/wiki/%E6%BB%B4%E5%A4%A9%E9%AB%93%E9%97%A1%E5%BE%AE https://zh.wikisource.org/zh-hans/%E6%B7%B5%E6%B5%B7%E5%AD%90%E5%B9%B3</x:v>
      </x:c>
      <x:c r="AI37" s="68" t="str">
        <x:v>当“终点有效力量不足，无法完整承接上游持续输送”真实成立，且桥梁具备有效力量和连续作用条件时，可按“终点必须具备最低承载能力”记录。</x:v>
      </x:c>
      <x:c r="AJ37" s="90" t="str">
        <x:v>仅见表面缺失或五行相克，但未证明“终点有效力量不足，无法完整承接上游持续输送”形成实际阻断时，不得套用“终点必须具备最低承载能力”。</x:v>
      </x:c>
      <x:c r="AK37" s="82" t="str">
        <x:v>采用</x:v>
      </x:c>
      <x:c r="AL37" s="82" t="str">
        <x:v>初审</x:v>
      </x:c>
      <x:c r="AM37" s="87" t="n">
        <x:v>46255</x:v>
      </x:c>
    </x:row>
    <x:row r="38">
      <x:c r="A38" s="72" t="str">
        <x:f>IF(OR(C38="",D38=""),"",B38&amp;"-"&amp;UPPER(C38)&amp;"-"&amp;TEXT(D38,"0000")&amp;"-"&amp;E38)</x:f>
        <x:v>M12-END-0032-V1.0</x:v>
      </x:c>
      <x:c r="B38" s="74" t="str">
        <x:v>M12</x:v>
      </x:c>
      <x:c r="C38" s="74" t="str">
        <x:v>END</x:v>
      </x:c>
      <x:c r="D38" s="215" t="n">
        <x:v>32</x:v>
      </x:c>
      <x:c r="E38" s="74" t="str">
        <x:v>V1.0</x:v>
      </x:c>
      <x:c r="F38" s="68" t="str">
        <x:v>终点极弱或失效时路径可判无有效落点</x:v>
      </x:c>
      <x:c r="G38" s="82" t="str">
        <x:v>结构层</x:v>
      </x:c>
      <x:c r="H38" s="68" t="str">
        <x:v>五行生化路径</x:v>
      </x:c>
      <x:c r="I38" s="68" t="str">
        <x:v>上游五行</x:v>
      </x:c>
      <x:c r="J38" s="68" t="str">
        <x:v>有效桥梁</x:v>
      </x:c>
      <x:c r="K38" s="68" t="str">
        <x:v>极弱终点</x:v>
      </x:c>
      <x:c r="L38" s="82" t="str">
        <x:v>待定</x:v>
      </x:c>
      <x:c r="M38" s="82" t="str">
        <x:v>待定</x:v>
      </x:c>
      <x:c r="N38" s="68" t="str">
        <x:v>待定</x:v>
      </x:c>
      <x:c r="O38" s="68" t="str">
        <x:v>终点无根无源或已失效</x:v>
      </x:c>
      <x:c r="P38" s="68" t="str">
        <x:v>待定</x:v>
      </x:c>
      <x:c r="Q38" s="82" t="str">
        <x:v>无有效路径</x:v>
      </x:c>
      <x:c r="R38" s="82" t="str">
        <x:v>终点过弱不能承载</x:v>
      </x:c>
      <x:c r="S38" s="68" t="str">
        <x:v>终点</x:v>
      </x:c>
      <x:c r="T38" s="68" t="str">
        <x:v>终点无法接受或转化传来的力量</x:v>
      </x:c>
      <x:c r="U38" s="68" t="str">
        <x:v>待定</x:v>
      </x:c>
      <x:c r="V38" s="68" t="str">
        <x:v>待定</x:v>
      </x:c>
      <x:c r="W38" s="90" t="str">
        <x:v>需检查对调候、格局、日主承载及其他通路的副作用</x:v>
      </x:c>
      <x:c r="X38" s="68" t="str">
        <x:v>M06关系效应、M08五行有效旺衰、M10十神功能与M11组合判断已完成</x:v>
      </x:c>
      <x:c r="Y38" s="68" t="str">
        <x:v>起点、桥梁、终点均按有效力量与实际作用路径判断</x:v>
      </x:c>
      <x:c r="Z38" s="68" t="str">
        <x:v>桥梁有根有源、透达、位置可达且不存在关键制约</x:v>
      </x:c>
      <x:c r="AA38" s="68" t="str">
        <x:v>桥梁失令、无根、受克、合绊、改性或同时被多路调用</x:v>
      </x:c>
      <x:c r="AB38" s="90" t="str">
        <x:v>不得仅因五行缺失、数量少或关系名称直接认定卡点或通关用神</x:v>
      </x:c>
      <x:c r="AC38" s="68" t="str">
        <x:v>若存在更短、更强或副作用更小的替代路径，应并列比较后再裁定</x:v>
      </x:c>
      <x:c r="AD38" s="84" t="str">
        <x:v>M12_END_流通判定</x:v>
      </x:c>
      <x:c r="AE38" s="84" t="str">
        <x:v>终点极弱或失效时路径可判无有效落点：按起点—桥梁—终点检查有效力量、连续性与承载；卡点为“终点过弱不能承载”时，仅生成通关候选，不直接定用神。</x:v>
      </x:c>
      <x:c r="AF38" s="82" t="str">
        <x:v>较高</x:v>
      </x:c>
      <x:c r="AG38" s="82" t="str">
        <x:v>现代综合</x:v>
      </x:c>
      <x:c r="AH38" s="68" t="str">
        <x:v>流通判断以五行有效力量、生克顺序与十神功能为核心；古典依据可参照《滴天髓》《渊海子平》。 https://zh.wikisource.org/wiki/%E6%BB%B4%E5%A4%A9%E9%AB%93%E9%97%A1%E5%BE%AE https://zh.wikisource.org/zh-hans/%E6%B7%B5%E6%B5%B7%E5%AD%90%E5%B9%B3</x:v>
      </x:c>
      <x:c r="AI38" s="68" t="str">
        <x:v>当“终点无法接受或转化传来的力量”真实成立，且桥梁具备有效力量和连续作用条件时，可按“终点极弱或失效时路径可判无有效落点”记录。</x:v>
      </x:c>
      <x:c r="AJ38" s="90" t="str">
        <x:v>仅见表面缺失或五行相克，但未证明“终点无法接受或转化传来的力量”形成实际阻断时，不得套用“终点极弱或失效时路径可判无有效落点”。</x:v>
      </x:c>
      <x:c r="AK38" s="82" t="str">
        <x:v>采用</x:v>
      </x:c>
      <x:c r="AL38" s="82" t="str">
        <x:v>初审</x:v>
      </x:c>
      <x:c r="AM38" s="87" t="n">
        <x:v>46255</x:v>
      </x:c>
    </x:row>
    <x:row r="39">
      <x:c r="A39" s="72" t="str">
        <x:f>IF(OR(C39="",D39=""),"",B39&amp;"-"&amp;UPPER(C39)&amp;"-"&amp;TEXT(D39,"0000")&amp;"-"&amp;E39)</x:f>
        <x:v>M12-END-0033-V1.0</x:v>
      </x:c>
      <x:c r="B39" s="74" t="str">
        <x:v>M12</x:v>
      </x:c>
      <x:c r="C39" s="74" t="str">
        <x:v>END</x:v>
      </x:c>
      <x:c r="D39" s="215" t="n">
        <x:v>33</x:v>
      </x:c>
      <x:c r="E39" s="74" t="str">
        <x:v>V1.0</x:v>
      </x:c>
      <x:c r="F39" s="68" t="str">
        <x:v>终点中和以上通常可形成稳定落点</x:v>
      </x:c>
      <x:c r="G39" s="82" t="str">
        <x:v>结构层</x:v>
      </x:c>
      <x:c r="H39" s="68" t="str">
        <x:v>五行生化路径</x:v>
      </x:c>
      <x:c r="I39" s="68" t="str">
        <x:v>上游五行</x:v>
      </x:c>
      <x:c r="J39" s="68" t="str">
        <x:v>有效桥梁</x:v>
      </x:c>
      <x:c r="K39" s="68" t="str">
        <x:v>有效终点</x:v>
      </x:c>
      <x:c r="L39" s="82" t="str">
        <x:v>待定</x:v>
      </x:c>
      <x:c r="M39" s="82" t="str">
        <x:v>待定</x:v>
      </x:c>
      <x:c r="N39" s="68" t="str">
        <x:v>待定</x:v>
      </x:c>
      <x:c r="O39" s="68" t="str">
        <x:v>终点中和或中和偏旺</x:v>
      </x:c>
      <x:c r="P39" s="68" t="str">
        <x:v>待定</x:v>
      </x:c>
      <x:c r="Q39" s="82" t="str">
        <x:v>通畅</x:v>
      </x:c>
      <x:c r="R39" s="82" t="str">
        <x:v>其他</x:v>
      </x:c>
      <x:c r="S39" s="68" t="str">
        <x:v>待定</x:v>
      </x:c>
      <x:c r="T39" s="68" t="str">
        <x:v>终点有足够有效力量承接上游</x:v>
      </x:c>
      <x:c r="U39" s="68" t="str">
        <x:v>待定</x:v>
      </x:c>
      <x:c r="V39" s="68" t="str">
        <x:v>待定</x:v>
      </x:c>
      <x:c r="W39" s="90" t="str">
        <x:v>需检查对调候、格局、日主承载及其他通路的副作用</x:v>
      </x:c>
      <x:c r="X39" s="68" t="str">
        <x:v>M06关系效应、M08五行有效旺衰、M10十神功能与M11组合判断已完成</x:v>
      </x:c>
      <x:c r="Y39" s="68" t="str">
        <x:v>起点、桥梁、终点均按有效力量与实际作用路径判断</x:v>
      </x:c>
      <x:c r="Z39" s="68" t="str">
        <x:v>桥梁有根有源、透达、位置可达且不存在关键制约</x:v>
      </x:c>
      <x:c r="AA39" s="68" t="str">
        <x:v>桥梁失令、无根、受克、合绊、改性或同时被多路调用</x:v>
      </x:c>
      <x:c r="AB39" s="90" t="str">
        <x:v>不得仅因五行缺失、数量少或关系名称直接认定卡点或通关用神</x:v>
      </x:c>
      <x:c r="AC39" s="68" t="str">
        <x:v>若存在更短、更强或副作用更小的替代路径，应并列比较后再裁定</x:v>
      </x:c>
      <x:c r="AD39" s="84" t="str">
        <x:v>终点稳定承载</x:v>
      </x:c>
      <x:c r="AE39" s="84" t="str">
        <x:v>终点中和以上通常可形成稳定落点：按起点—桥梁—终点检查有效力量、连续性与承载；卡点为“其他”时，仅生成通关候选，不直接定用神。</x:v>
      </x:c>
      <x:c r="AF39" s="82" t="str">
        <x:v>较高</x:v>
      </x:c>
      <x:c r="AG39" s="82" t="str">
        <x:v>现代综合</x:v>
      </x:c>
      <x:c r="AH39" s="68" t="str">
        <x:v>流通判断以五行有效力量、生克顺序与十神功能为核心；古典依据可参照《滴天髓》《渊海子平》。 https://zh.wikisource.org/wiki/%E6%BB%B4%E5%A4%A9%E9%AB%93%E9%97%A1%E5%BE%AE https://zh.wikisource.org/zh-hans/%E6%B7%B5%E6%B5%B7%E5%AD%90%E5%B9%B3</x:v>
      </x:c>
      <x:c r="AI39" s="68" t="str">
        <x:v>当“终点有足够有效力量承接上游”真实成立，且桥梁具备有效力量和连续作用条件时，可按“终点中和以上通常可形成稳定落点”记录。</x:v>
      </x:c>
      <x:c r="AJ39" s="90" t="str">
        <x:v>仅见表面缺失或五行相克，但未证明“终点有足够有效力量承接上游”形成实际阻断时，不得套用“终点中和以上通常可形成稳定落点”。</x:v>
      </x:c>
      <x:c r="AK39" s="82" t="str">
        <x:v>采用</x:v>
      </x:c>
      <x:c r="AL39" s="82" t="str">
        <x:v>初审</x:v>
      </x:c>
      <x:c r="AM39" s="87" t="n">
        <x:v>46255</x:v>
      </x:c>
    </x:row>
    <x:row r="40">
      <x:c r="A40" s="72" t="str">
        <x:f>IF(OR(C40="",D40=""),"",B40&amp;"-"&amp;UPPER(C40)&amp;"-"&amp;TEXT(D40,"0000")&amp;"-"&amp;E40)</x:f>
        <x:v>M12-END-0034-V1.0</x:v>
      </x:c>
      <x:c r="B40" s="74" t="str">
        <x:v>M12</x:v>
      </x:c>
      <x:c r="C40" s="74" t="str">
        <x:v>END</x:v>
      </x:c>
      <x:c r="D40" s="215" t="n">
        <x:v>34</x:v>
      </x:c>
      <x:c r="E40" s="74" t="str">
        <x:v>V1.0</x:v>
      </x:c>
      <x:c r="F40" s="68" t="str">
        <x:v>终点过旺可能反向压制上游或桥梁</x:v>
      </x:c>
      <x:c r="G40" s="82" t="str">
        <x:v>结构层</x:v>
      </x:c>
      <x:c r="H40" s="68" t="str">
        <x:v>五行生化路径</x:v>
      </x:c>
      <x:c r="I40" s="68" t="str">
        <x:v>上游五行</x:v>
      </x:c>
      <x:c r="J40" s="68" t="str">
        <x:v>桥梁</x:v>
      </x:c>
      <x:c r="K40" s="68" t="str">
        <x:v>极旺终点</x:v>
      </x:c>
      <x:c r="L40" s="82" t="str">
        <x:v>待定</x:v>
      </x:c>
      <x:c r="M40" s="82" t="str">
        <x:v>待定</x:v>
      </x:c>
      <x:c r="N40" s="68" t="str">
        <x:v>待定</x:v>
      </x:c>
      <x:c r="O40" s="68" t="str">
        <x:v>终点过旺并产生反制</x:v>
      </x:c>
      <x:c r="P40" s="68" t="str">
        <x:v>待定</x:v>
      </x:c>
      <x:c r="Q40" s="82" t="str">
        <x:v>局部阻塞</x:v>
      </x:c>
      <x:c r="R40" s="82" t="str">
        <x:v>终点过旺反制</x:v>
      </x:c>
      <x:c r="S40" s="68" t="str">
        <x:v>终点</x:v>
      </x:c>
      <x:c r="T40" s="68" t="str">
        <x:v>终点集团过强，形成反向克制、争夺或截流</x:v>
      </x:c>
      <x:c r="U40" s="68" t="str">
        <x:v>待定</x:v>
      </x:c>
      <x:c r="V40" s="68" t="str">
        <x:v>待定</x:v>
      </x:c>
      <x:c r="W40" s="90" t="str">
        <x:v>需检查对调候、格局、日主承载及其他通路的副作用</x:v>
      </x:c>
      <x:c r="X40" s="68" t="str">
        <x:v>M06关系效应、M08五行有效旺衰、M10十神功能与M11组合判断已完成</x:v>
      </x:c>
      <x:c r="Y40" s="68" t="str">
        <x:v>起点、桥梁、终点均按有效力量与实际作用路径判断</x:v>
      </x:c>
      <x:c r="Z40" s="68" t="str">
        <x:v>桥梁有根有源、透达、位置可达且不存在关键制约</x:v>
      </x:c>
      <x:c r="AA40" s="68" t="str">
        <x:v>桥梁失令、无根、受克、合绊、改性或同时被多路调用</x:v>
      </x:c>
      <x:c r="AB40" s="90" t="str">
        <x:v>不得仅因五行缺失、数量少或关系名称直接认定卡点或通关用神</x:v>
      </x:c>
      <x:c r="AC40" s="68" t="str">
        <x:v>若存在更短、更强或副作用更小的替代路径，应并列比较后再裁定</x:v>
      </x:c>
      <x:c r="AD40" s="84" t="str">
        <x:v>M12_END_流通判定</x:v>
      </x:c>
      <x:c r="AE40" s="84" t="str">
        <x:v>终点过旺可能反向压制上游或桥梁：按起点—桥梁—终点检查有效力量、连续性与承载；卡点为“终点过旺反制”时，仅生成通关候选，不直接定用神。</x:v>
      </x:c>
      <x:c r="AF40" s="82" t="str">
        <x:v>较高</x:v>
      </x:c>
      <x:c r="AG40" s="82" t="str">
        <x:v>现代综合</x:v>
      </x:c>
      <x:c r="AH40" s="68" t="str">
        <x:v>流通判断以五行有效力量、生克顺序与十神功能为核心；古典依据可参照《滴天髓》《渊海子平》。 https://zh.wikisource.org/wiki/%E6%BB%B4%E5%A4%A9%E9%AB%93%E9%97%A1%E5%BE%AE https://zh.wikisource.org/zh-hans/%E6%B7%B5%E6%B5%B7%E5%AD%90%E5%B9%B3</x:v>
      </x:c>
      <x:c r="AI40" s="68" t="str">
        <x:v>当“终点集团过强，形成反向克制、争夺或截流”真实成立，且桥梁具备有效力量和连续作用条件时，可按“终点过旺可能反向压制上游或桥梁”记录。</x:v>
      </x:c>
      <x:c r="AJ40" s="90" t="str">
        <x:v>仅见表面缺失或五行相克，但未证明“终点集团过强，形成反向克制、争夺或截流”形成实际阻断时，不得套用“终点过旺可能反向压制上游或桥梁”。</x:v>
      </x:c>
      <x:c r="AK40" s="82" t="str">
        <x:v>采用</x:v>
      </x:c>
      <x:c r="AL40" s="82" t="str">
        <x:v>初审</x:v>
      </x:c>
      <x:c r="AM40" s="87" t="n">
        <x:v>46255</x:v>
      </x:c>
    </x:row>
    <x:row r="41">
      <x:c r="A41" s="72" t="str">
        <x:f>IF(OR(C41="",D41=""),"",B41&amp;"-"&amp;UPPER(C41)&amp;"-"&amp;TEXT(D41,"0000")&amp;"-"&amp;E41)</x:f>
        <x:v>M12-END-0035-V1.0</x:v>
      </x:c>
      <x:c r="B41" s="74" t="str">
        <x:v>M12</x:v>
      </x:c>
      <x:c r="C41" s="74" t="str">
        <x:v>END</x:v>
      </x:c>
      <x:c r="D41" s="215" t="n">
        <x:v>35</x:v>
      </x:c>
      <x:c r="E41" s="74" t="str">
        <x:v>V1.0</x:v>
      </x:c>
      <x:c r="F41" s="68" t="str">
        <x:v>终点被强克时承载能力需下调</x:v>
      </x:c>
      <x:c r="G41" s="82" t="str">
        <x:v>结构层</x:v>
      </x:c>
      <x:c r="H41" s="68" t="str">
        <x:v>五行生化路径</x:v>
      </x:c>
      <x:c r="I41" s="68" t="str">
        <x:v>上游五行</x:v>
      </x:c>
      <x:c r="J41" s="68" t="str">
        <x:v>桥梁</x:v>
      </x:c>
      <x:c r="K41" s="68" t="str">
        <x:v>受克终点</x:v>
      </x:c>
      <x:c r="L41" s="82" t="str">
        <x:v>待定</x:v>
      </x:c>
      <x:c r="M41" s="82" t="str">
        <x:v>待定</x:v>
      </x:c>
      <x:c r="N41" s="68" t="str">
        <x:v>待定</x:v>
      </x:c>
      <x:c r="O41" s="68" t="str">
        <x:v>终点本有力量但受强制</x:v>
      </x:c>
      <x:c r="P41" s="68" t="str">
        <x:v>待定</x:v>
      </x:c>
      <x:c r="Q41" s="82" t="str">
        <x:v>局部阻塞</x:v>
      </x:c>
      <x:c r="R41" s="82" t="str">
        <x:v>终点过弱不能承载</x:v>
      </x:c>
      <x:c r="S41" s="68" t="str">
        <x:v>终点</x:v>
      </x:c>
      <x:c r="T41" s="68" t="str">
        <x:v>终点在承接上游时同时遭受更强克制</x:v>
      </x:c>
      <x:c r="U41" s="68" t="str">
        <x:v>待定</x:v>
      </x:c>
      <x:c r="V41" s="68" t="str">
        <x:v>待定</x:v>
      </x:c>
      <x:c r="W41" s="90" t="str">
        <x:v>需检查对调候、格局、日主承载及其他通路的副作用</x:v>
      </x:c>
      <x:c r="X41" s="68" t="str">
        <x:v>M06关系效应、M08五行有效旺衰、M10十神功能与M11组合判断已完成</x:v>
      </x:c>
      <x:c r="Y41" s="68" t="str">
        <x:v>起点、桥梁、终点均按有效力量与实际作用路径判断</x:v>
      </x:c>
      <x:c r="Z41" s="68" t="str">
        <x:v>桥梁有根有源、透达、位置可达且不存在关键制约</x:v>
      </x:c>
      <x:c r="AA41" s="68" t="str">
        <x:v>桥梁失令、无根、受克、合绊、改性或同时被多路调用</x:v>
      </x:c>
      <x:c r="AB41" s="90" t="str">
        <x:v>不得仅因五行缺失、数量少或关系名称直接认定卡点或通关用神</x:v>
      </x:c>
      <x:c r="AC41" s="68" t="str">
        <x:v>若存在更短、更强或副作用更小的替代路径，应并列比较后再裁定</x:v>
      </x:c>
      <x:c r="AD41" s="84" t="str">
        <x:v>M12_END_流通判定</x:v>
      </x:c>
      <x:c r="AE41" s="84" t="str">
        <x:v>终点被强克时承载能力需下调：按起点—桥梁—终点检查有效力量、连续性与承载；卡点为“终点过弱不能承载”时，仅生成通关候选，不直接定用神。</x:v>
      </x:c>
      <x:c r="AF41" s="82" t="str">
        <x:v>较高</x:v>
      </x:c>
      <x:c r="AG41" s="82" t="str">
        <x:v>现代综合</x:v>
      </x:c>
      <x:c r="AH41" s="68" t="str">
        <x:v>流通判断以五行有效力量、生克顺序与十神功能为核心；古典依据可参照《滴天髓》《渊海子平》。 https://zh.wikisource.org/wiki/%E6%BB%B4%E5%A4%A9%E9%AB%93%E9%97%A1%E5%BE%AE https://zh.wikisource.org/zh-hans/%E6%B7%B5%E6%B5%B7%E5%AD%90%E5%B9%B3</x:v>
      </x:c>
      <x:c r="AI41" s="68" t="str">
        <x:v>当“终点在承接上游时同时遭受更强克制”真实成立，且桥梁具备有效力量和连续作用条件时，可按“终点被强克时承载能力需下调”记录。</x:v>
      </x:c>
      <x:c r="AJ41" s="90" t="str">
        <x:v>仅见表面缺失或五行相克，但未证明“终点在承接上游时同时遭受更强克制”形成实际阻断时，不得套用“终点被强克时承载能力需下调”。</x:v>
      </x:c>
      <x:c r="AK41" s="82" t="str">
        <x:v>采用</x:v>
      </x:c>
      <x:c r="AL41" s="82" t="str">
        <x:v>初审</x:v>
      </x:c>
      <x:c r="AM41" s="87" t="n">
        <x:v>46255</x:v>
      </x:c>
    </x:row>
    <x:row r="42">
      <x:c r="A42" s="72" t="str">
        <x:f>IF(OR(C42="",D42=""),"",B42&amp;"-"&amp;UPPER(C42)&amp;"-"&amp;TEXT(D42,"0000")&amp;"-"&amp;E42)</x:f>
        <x:v>M12-END-0036-V1.0</x:v>
      </x:c>
      <x:c r="B42" s="74" t="str">
        <x:v>M12</x:v>
      </x:c>
      <x:c r="C42" s="74" t="str">
        <x:v>END</x:v>
      </x:c>
      <x:c r="D42" s="215" t="n">
        <x:v>36</x:v>
      </x:c>
      <x:c r="E42" s="74" t="str">
        <x:v>V1.0</x:v>
      </x:c>
      <x:c r="F42" s="68" t="str">
        <x:v>终点被合化后必须按新功能重判承载</x:v>
      </x:c>
      <x:c r="G42" s="82" t="str">
        <x:v>结构层</x:v>
      </x:c>
      <x:c r="H42" s="68" t="str">
        <x:v>五行生化路径</x:v>
      </x:c>
      <x:c r="I42" s="68" t="str">
        <x:v>上游五行</x:v>
      </x:c>
      <x:c r="J42" s="68" t="str">
        <x:v>桥梁</x:v>
      </x:c>
      <x:c r="K42" s="68" t="str">
        <x:v>发生实质合化的终点</x:v>
      </x:c>
      <x:c r="L42" s="82" t="str">
        <x:v>待定</x:v>
      </x:c>
      <x:c r="M42" s="82" t="str">
        <x:v>待定</x:v>
      </x:c>
      <x:c r="N42" s="68" t="str">
        <x:v>待定</x:v>
      </x:c>
      <x:c r="O42" s="68" t="str">
        <x:v>原终点功能已转化</x:v>
      </x:c>
      <x:c r="P42" s="68" t="str">
        <x:v>待定</x:v>
      </x:c>
      <x:c r="Q42" s="82" t="str">
        <x:v>无有效路径</x:v>
      </x:c>
      <x:c r="R42" s="82" t="str">
        <x:v>其他</x:v>
      </x:c>
      <x:c r="S42" s="68" t="str">
        <x:v>终点</x:v>
      </x:c>
      <x:c r="T42" s="68" t="str">
        <x:v>终点原五行性质改变，原路径不再以原终点收束</x:v>
      </x:c>
      <x:c r="U42" s="68" t="str">
        <x:v>待定</x:v>
      </x:c>
      <x:c r="V42" s="68" t="str">
        <x:v>待定</x:v>
      </x:c>
      <x:c r="W42" s="90" t="str">
        <x:v>需检查对调候、格局、日主承载及其他通路的副作用</x:v>
      </x:c>
      <x:c r="X42" s="68" t="str">
        <x:v>M06关系效应、M08五行有效旺衰、M10十神功能与M11组合判断已完成</x:v>
      </x:c>
      <x:c r="Y42" s="68" t="str">
        <x:v>起点、桥梁、终点均按有效力量与实际作用路径判断</x:v>
      </x:c>
      <x:c r="Z42" s="68" t="str">
        <x:v>桥梁有根有源、透达、位置可达且不存在关键制约</x:v>
      </x:c>
      <x:c r="AA42" s="68" t="str">
        <x:v>桥梁失令、无根、受克、合绊、改性或同时被多路调用</x:v>
      </x:c>
      <x:c r="AB42" s="90" t="str">
        <x:v>不得仅因五行缺失、数量少或关系名称直接认定卡点或通关用神</x:v>
      </x:c>
      <x:c r="AC42" s="68" t="str">
        <x:v>若存在更短、更强或副作用更小的替代路径，应并列比较后再裁定</x:v>
      </x:c>
      <x:c r="AD42" s="84" t="str">
        <x:v>M12_END_流通判定</x:v>
      </x:c>
      <x:c r="AE42" s="84" t="str">
        <x:v>终点被合化后必须按新功能重判承载：按起点—桥梁—终点检查有效力量、连续性与承载；卡点为“其他”时，仅生成通关候选，不直接定用神。</x:v>
      </x:c>
      <x:c r="AF42" s="82" t="str">
        <x:v>较高</x:v>
      </x:c>
      <x:c r="AG42" s="82" t="str">
        <x:v>现代综合</x:v>
      </x:c>
      <x:c r="AH42" s="68" t="str">
        <x:v>流通判断以五行有效力量、生克顺序与十神功能为核心；古典依据可参照《滴天髓》《渊海子平》。 https://zh.wikisource.org/wiki/%E6%BB%B4%E5%A4%A9%E9%AB%93%E9%97%A1%E5%BE%AE https://zh.wikisource.org/zh-hans/%E6%B7%B5%E6%B5%B7%E5%AD%90%E5%B9%B3</x:v>
      </x:c>
      <x:c r="AI42" s="68" t="str">
        <x:v>当“终点原五行性质改变，原路径不再以原终点收束”真实成立，且桥梁具备有效力量和连续作用条件时，可按“终点被合化后必须按新功能重判承载”记录。</x:v>
      </x:c>
      <x:c r="AJ42" s="90" t="str">
        <x:v>仅见表面缺失或五行相克，但未证明“终点原五行性质改变，原路径不再以原终点收束”形成实际阻断时，不得套用“终点被合化后必须按新功能重判承载”。</x:v>
      </x:c>
      <x:c r="AK42" s="82" t="str">
        <x:v>采用</x:v>
      </x:c>
      <x:c r="AL42" s="82" t="str">
        <x:v>初审</x:v>
      </x:c>
      <x:c r="AM42" s="87" t="n">
        <x:v>46255</x:v>
      </x:c>
    </x:row>
    <x:row r="43">
      <x:c r="A43" s="72" t="str">
        <x:f>IF(OR(C43="",D43=""),"",B43&amp;"-"&amp;UPPER(C43)&amp;"-"&amp;TEXT(D43,"0000")&amp;"-"&amp;E43)</x:f>
        <x:v>M12-END-0037-V1.0</x:v>
      </x:c>
      <x:c r="B43" s="74" t="str">
        <x:v>M12</x:v>
      </x:c>
      <x:c r="C43" s="74" t="str">
        <x:v>END</x:v>
      </x:c>
      <x:c r="D43" s="215" t="n">
        <x:v>37</x:v>
      </x:c>
      <x:c r="E43" s="74" t="str">
        <x:v>V1.0</x:v>
      </x:c>
      <x:c r="F43" s="68" t="str">
        <x:v>一个终点接收多个强源时可能超载</x:v>
      </x:c>
      <x:c r="G43" s="82" t="str">
        <x:v>结构层</x:v>
      </x:c>
      <x:c r="H43" s="68" t="str">
        <x:v>五行生化路径</x:v>
      </x:c>
      <x:c r="I43" s="68" t="str">
        <x:v>多个旺强源头</x:v>
      </x:c>
      <x:c r="J43" s="68" t="str">
        <x:v>多个桥梁或同一桥梁</x:v>
      </x:c>
      <x:c r="K43" s="68" t="str">
        <x:v>单一终点</x:v>
      </x:c>
      <x:c r="L43" s="82" t="str">
        <x:v>待定</x:v>
      </x:c>
      <x:c r="M43" s="82" t="str">
        <x:v>待定</x:v>
      </x:c>
      <x:c r="N43" s="68" t="str">
        <x:v>待定</x:v>
      </x:c>
      <x:c r="O43" s="68" t="str">
        <x:v>终点承载有限</x:v>
      </x:c>
      <x:c r="P43" s="68" t="str">
        <x:v>待定</x:v>
      </x:c>
      <x:c r="Q43" s="82" t="str">
        <x:v>局部阻塞</x:v>
      </x:c>
      <x:c r="R43" s="82" t="str">
        <x:v>终点过旺反制</x:v>
      </x:c>
      <x:c r="S43" s="68" t="str">
        <x:v>终点</x:v>
      </x:c>
      <x:c r="T43" s="68" t="str">
        <x:v>多个通路同时向同一终点汇聚，输入高于终点消化能力</x:v>
      </x:c>
      <x:c r="U43" s="68" t="str">
        <x:v>待定</x:v>
      </x:c>
      <x:c r="V43" s="68" t="str">
        <x:v>待定</x:v>
      </x:c>
      <x:c r="W43" s="90" t="str">
        <x:v>需检查对调候、格局、日主承载及其他通路的副作用</x:v>
      </x:c>
      <x:c r="X43" s="68" t="str">
        <x:v>M06关系效应、M08五行有效旺衰、M10十神功能与M11组合判断已完成</x:v>
      </x:c>
      <x:c r="Y43" s="68" t="str">
        <x:v>起点、桥梁、终点均按有效力量与实际作用路径判断</x:v>
      </x:c>
      <x:c r="Z43" s="68" t="str">
        <x:v>桥梁有根有源、透达、位置可达且不存在关键制约</x:v>
      </x:c>
      <x:c r="AA43" s="68" t="str">
        <x:v>桥梁失令、无根、受克、合绊、改性或同时被多路调用</x:v>
      </x:c>
      <x:c r="AB43" s="90" t="str">
        <x:v>不得仅因五行缺失、数量少或关系名称直接认定卡点或通关用神</x:v>
      </x:c>
      <x:c r="AC43" s="68" t="str">
        <x:v>若存在更短、更强或副作用更小的替代路径，应并列比较后再裁定</x:v>
      </x:c>
      <x:c r="AD43" s="84" t="str">
        <x:v>M12_END_流通判定</x:v>
      </x:c>
      <x:c r="AE43" s="84" t="str">
        <x:v>一个终点接收多个强源时可能超载：按起点—桥梁—终点检查有效力量、连续性与承载；卡点为“终点过旺反制”时，仅生成通关候选，不直接定用神。</x:v>
      </x:c>
      <x:c r="AF43" s="82" t="str">
        <x:v>较高</x:v>
      </x:c>
      <x:c r="AG43" s="82" t="str">
        <x:v>现代综合</x:v>
      </x:c>
      <x:c r="AH43" s="68" t="str">
        <x:v>流通判断以五行有效力量、生克顺序与十神功能为核心；古典依据可参照《滴天髓》《渊海子平》。 https://zh.wikisource.org/wiki/%E6%BB%B4%E5%A4%A9%E9%AB%93%E9%97%A1%E5%BE%AE https://zh.wikisource.org/zh-hans/%E6%B7%B5%E6%B5%B7%E5%AD%90%E5%B9%B3</x:v>
      </x:c>
      <x:c r="AI43" s="68" t="str">
        <x:v>当“多个通路同时向同一终点汇聚，输入高于终点消化能力”真实成立，且桥梁具备有效力量和连续作用条件时，可按“一个终点接收多个强源时可能超载”记录。</x:v>
      </x:c>
      <x:c r="AJ43" s="90" t="str">
        <x:v>仅见表面缺失或五行相克，但未证明“多个通路同时向同一终点汇聚，输入高于终点消化能力”形成实际阻断时，不得套用“一个终点接收多个强源时可能超载”。</x:v>
      </x:c>
      <x:c r="AK43" s="82" t="str">
        <x:v>采用</x:v>
      </x:c>
      <x:c r="AL43" s="82" t="str">
        <x:v>初审</x:v>
      </x:c>
      <x:c r="AM43" s="87" t="n">
        <x:v>46255</x:v>
      </x:c>
    </x:row>
    <x:row r="44">
      <x:c r="A44" s="72" t="str">
        <x:f>IF(OR(C44="",D44=""),"",B44&amp;"-"&amp;UPPER(C44)&amp;"-"&amp;TEXT(D44,"0000")&amp;"-"&amp;E44)</x:f>
        <x:v>M12-END-0038-V1.0</x:v>
      </x:c>
      <x:c r="B44" s="74" t="str">
        <x:v>M12</x:v>
      </x:c>
      <x:c r="C44" s="74" t="str">
        <x:v>END</x:v>
      </x:c>
      <x:c r="D44" s="215" t="n">
        <x:v>38</x:v>
      </x:c>
      <x:c r="E44" s="74" t="str">
        <x:v>V1.0</x:v>
      </x:c>
      <x:c r="F44" s="68" t="str">
        <x:v>终点承载评价必须结合其后续是否仍需继续输出</x:v>
      </x:c>
      <x:c r="G44" s="82" t="str">
        <x:v>结构层</x:v>
      </x:c>
      <x:c r="H44" s="68" t="str">
        <x:v>五行生化路径</x:v>
      </x:c>
      <x:c r="I44" s="68" t="str">
        <x:v>上游</x:v>
      </x:c>
      <x:c r="J44" s="68" t="str">
        <x:v>中间五行</x:v>
      </x:c>
      <x:c r="K44" s="68" t="str">
        <x:v>阶段性终点</x:v>
      </x:c>
      <x:c r="L44" s="82" t="str">
        <x:v>待定</x:v>
      </x:c>
      <x:c r="M44" s="82" t="str">
        <x:v>待定</x:v>
      </x:c>
      <x:c r="N44" s="68" t="str">
        <x:v>待定</x:v>
      </x:c>
      <x:c r="O44" s="68" t="str">
        <x:v>终点既承接又可能成为下一段起点</x:v>
      </x:c>
      <x:c r="P44" s="68" t="str">
        <x:v>待定</x:v>
      </x:c>
      <x:c r="Q44" s="82" t="str">
        <x:v>待定</x:v>
      </x:c>
      <x:c r="R44" s="82" t="str">
        <x:v>链路过长</x:v>
      </x:c>
      <x:c r="S44" s="68" t="str">
        <x:v>终点</x:v>
      </x:c>
      <x:c r="T44" s="68" t="str">
        <x:v>阶段性终点如果还需继续输出，则其承载和泄出能力须同时评估</x:v>
      </x:c>
      <x:c r="U44" s="68" t="str">
        <x:v>待定</x:v>
      </x:c>
      <x:c r="V44" s="68" t="str">
        <x:v>待定</x:v>
      </x:c>
      <x:c r="W44" s="90" t="str">
        <x:v>需检查对调候、格局、日主承载及其他通路的副作用</x:v>
      </x:c>
      <x:c r="X44" s="68" t="str">
        <x:v>M06关系效应、M08五行有效旺衰、M10十神功能与M11组合判断已完成</x:v>
      </x:c>
      <x:c r="Y44" s="68" t="str">
        <x:v>起点、桥梁、终点均按有效力量与实际作用路径判断</x:v>
      </x:c>
      <x:c r="Z44" s="68" t="str">
        <x:v>桥梁有根有源、透达、位置可达且不存在关键制约</x:v>
      </x:c>
      <x:c r="AA44" s="68" t="str">
        <x:v>桥梁失令、无根、受克、合绊、改性或同时被多路调用</x:v>
      </x:c>
      <x:c r="AB44" s="90" t="str">
        <x:v>不得仅因五行缺失、数量少或关系名称直接认定卡点或通关用神</x:v>
      </x:c>
      <x:c r="AC44" s="68" t="str">
        <x:v>若存在更短、更强或副作用更小的替代路径，应并列比较后再裁定</x:v>
      </x:c>
      <x:c r="AD44" s="84" t="str">
        <x:v>M12_END_流通判定</x:v>
      </x:c>
      <x:c r="AE44" s="84" t="str">
        <x:v>终点承载评价必须结合其后续是否仍需继续输出：按起点—桥梁—终点检查有效力量、连续性与承载；卡点为“链路过长”时，仅生成通关候选，不直接定用神。</x:v>
      </x:c>
      <x:c r="AF44" s="82" t="str">
        <x:v>较高</x:v>
      </x:c>
      <x:c r="AG44" s="82" t="str">
        <x:v>现代综合</x:v>
      </x:c>
      <x:c r="AH44" s="68" t="str">
        <x:v>流通判断以五行有效力量、生克顺序与十神功能为核心；古典依据可参照《滴天髓》《渊海子平》。 https://zh.wikisource.org/wiki/%E6%BB%B4%E5%A4%A9%E9%AB%93%E9%97%A1%E5%BE%AE https://zh.wikisource.org/zh-hans/%E6%B7%B5%E6%B5%B7%E5%AD%90%E5%B9%B3</x:v>
      </x:c>
      <x:c r="AI44" s="68" t="str">
        <x:v>当“阶段性终点如果还需继续输出，则其承载和泄出能力须同时评估”真实成立，且桥梁具备有效力量和连续作用条件时，可按“终点承载评价必须结合其后续是否仍需继续输出”记录。</x:v>
      </x:c>
      <x:c r="AJ44" s="90" t="str">
        <x:v>仅见表面缺失或五行相克，但未证明“阶段性终点如果还需继续输出，则其承载和泄出能力须同时评估”形成实际阻断时，不得套用“终点承载评价必须结合其后续是否仍需继续输出”。</x:v>
      </x:c>
      <x:c r="AK44" s="82" t="str">
        <x:v>采用</x:v>
      </x:c>
      <x:c r="AL44" s="82" t="str">
        <x:v>初审</x:v>
      </x:c>
      <x:c r="AM44" s="87" t="n">
        <x:v>46255</x:v>
      </x:c>
    </x:row>
    <x:row r="45">
      <x:c r="A45" s="72" t="str">
        <x:f>IF(OR(C45="",D45=""),"",B45&amp;"-"&amp;UPPER(C45)&amp;"-"&amp;TEXT(D45,"0000")&amp;"-"&amp;E45)</x:f>
        <x:v>M12-BLOCK-0039-V1.0</x:v>
      </x:c>
      <x:c r="B45" s="74" t="str">
        <x:v>M12</x:v>
      </x:c>
      <x:c r="C45" s="74" t="str">
        <x:v>BLOCK</x:v>
      </x:c>
      <x:c r="D45" s="215" t="n">
        <x:v>39</x:v>
      </x:c>
      <x:c r="E45" s="74" t="str">
        <x:v>V1.0</x:v>
      </x:c>
      <x:c r="F45" s="68" t="str">
        <x:v>缺少必要桥梁形成真正缺桥</x:v>
      </x:c>
      <x:c r="G45" s="82" t="str">
        <x:v>结构层</x:v>
      </x:c>
      <x:c r="H45" s="68" t="str">
        <x:v>五行生化路径</x:v>
      </x:c>
      <x:c r="I45" s="68" t="str">
        <x:v>相邻但不能直接完成目标流向的上游</x:v>
      </x:c>
      <x:c r="J45" s="68" t="str">
        <x:v>缺失五行</x:v>
      </x:c>
      <x:c r="K45" s="68" t="str">
        <x:v>下游</x:v>
      </x:c>
      <x:c r="L45" s="82" t="str">
        <x:v>待定</x:v>
      </x:c>
      <x:c r="M45" s="82" t="str">
        <x:v>待定</x:v>
      </x:c>
      <x:c r="N45" s="68" t="str">
        <x:v>待定</x:v>
      </x:c>
      <x:c r="O45" s="68" t="str">
        <x:v>待定</x:v>
      </x:c>
      <x:c r="P45" s="68" t="str">
        <x:v>待定</x:v>
      </x:c>
      <x:c r="Q45" s="82" t="str">
        <x:v>明显阻断</x:v>
      </x:c>
      <x:c r="R45" s="82" t="str">
        <x:v>缺桥</x:v>
      </x:c>
      <x:c r="S45" s="68" t="str">
        <x:v>桥梁</x:v>
      </x:c>
      <x:c r="T45" s="68" t="str">
        <x:v>目标生化或通关路径必须经过该五行，而原局该五行完全不现或全部失效</x:v>
      </x:c>
      <x:c r="U45" s="68" t="str">
        <x:v>待定</x:v>
      </x:c>
      <x:c r="V45" s="68" t="str">
        <x:v>待定</x:v>
      </x:c>
      <x:c r="W45" s="90" t="str">
        <x:v>需检查对调候、格局、日主承载及其他通路的副作用</x:v>
      </x:c>
      <x:c r="X45" s="68" t="str">
        <x:v>M06关系效应、M08五行有效旺衰、M10十神功能与M11组合判断已完成</x:v>
      </x:c>
      <x:c r="Y45" s="68" t="str">
        <x:v>起点、桥梁、终点均按有效力量与实际作用路径判断</x:v>
      </x:c>
      <x:c r="Z45" s="68" t="str">
        <x:v>桥梁有根有源、透达、位置可达且不存在关键制约</x:v>
      </x:c>
      <x:c r="AA45" s="68" t="str">
        <x:v>桥梁失令、无根、受克、合绊、改性或同时被多路调用</x:v>
      </x:c>
      <x:c r="AB45" s="90" t="str">
        <x:v>不得仅因五行缺失、数量少或关系名称直接认定卡点或通关用神</x:v>
      </x:c>
      <x:c r="AC45" s="68" t="str">
        <x:v>若存在更短、更强或副作用更小的替代路径，应并列比较后再裁定</x:v>
      </x:c>
      <x:c r="AD45" s="84" t="str">
        <x:v>M12_BLOCK_流通判定</x:v>
      </x:c>
      <x:c r="AE45" s="84" t="str">
        <x:v>缺少必要桥梁形成真正缺桥：按起点—桥梁—终点检查有效力量、连续性与承载；卡点为“缺桥”时，仅生成通关候选，不直接定用神。</x:v>
      </x:c>
      <x:c r="AF45" s="82" t="str">
        <x:v>较高</x:v>
      </x:c>
      <x:c r="AG45" s="82" t="str">
        <x:v>现代综合</x:v>
      </x:c>
      <x:c r="AH45" s="68" t="str">
        <x:v>流通判断以五行有效力量、生克顺序与十神功能为核心；古典依据可参照《滴天髓》《渊海子平》。 https://zh.wikisource.org/wiki/%E6%BB%B4%E5%A4%A9%E9%AB%93%E9%97%A1%E5%BE%AE https://zh.wikisource.org/zh-hans/%E6%B7%B5%E6%B5%B7%E5%AD%90%E5%B9%B3</x:v>
      </x:c>
      <x:c r="AI45" s="68" t="str">
        <x:v>当“目标生化或通关路径必须经过该五行，而原局该五行完全不现或全部失效”真实成立，且桥梁具备有效力量和连续作用条件时，可按“缺少必要桥梁形成真正缺桥”记录。</x:v>
      </x:c>
      <x:c r="AJ45" s="90" t="str">
        <x:v>仅见表面缺失或五行相克，但未证明“目标生化或通关路径必须经过该五行，而原局该五行完全不现或全部失效”形成实际阻断时，不得套用“缺少必要桥梁形成真正缺桥”。</x:v>
      </x:c>
      <x:c r="AK45" s="82" t="str">
        <x:v>采用</x:v>
      </x:c>
      <x:c r="AL45" s="82" t="str">
        <x:v>初审</x:v>
      </x:c>
      <x:c r="AM45" s="87" t="n">
        <x:v>46255</x:v>
      </x:c>
    </x:row>
    <x:row r="46">
      <x:c r="A46" s="72" t="str">
        <x:f>IF(OR(C46="",D46=""),"",B46&amp;"-"&amp;UPPER(C46)&amp;"-"&amp;TEXT(D46,"0000")&amp;"-"&amp;E46)</x:f>
        <x:v>M12-BLOCK-0040-V1.0</x:v>
      </x:c>
      <x:c r="B46" s="74" t="str">
        <x:v>M12</x:v>
      </x:c>
      <x:c r="C46" s="74" t="str">
        <x:v>BLOCK</x:v>
      </x:c>
      <x:c r="D46" s="215" t="n">
        <x:v>40</x:v>
      </x:c>
      <x:c r="E46" s="74" t="str">
        <x:v>V1.0</x:v>
      </x:c>
      <x:c r="F46" s="68" t="str">
        <x:v>桥梁太弱是最常见的局部阻塞</x:v>
      </x:c>
      <x:c r="G46" s="82" t="str">
        <x:v>结构层</x:v>
      </x:c>
      <x:c r="H46" s="68" t="str">
        <x:v>五行生化路径</x:v>
      </x:c>
      <x:c r="I46" s="68" t="str">
        <x:v>有力上游</x:v>
      </x:c>
      <x:c r="J46" s="68" t="str">
        <x:v>弱桥梁</x:v>
      </x:c>
      <x:c r="K46" s="68" t="str">
        <x:v>有承载终点</x:v>
      </x:c>
      <x:c r="L46" s="82" t="str">
        <x:v>旺</x:v>
      </x:c>
      <x:c r="M46" s="82" t="str">
        <x:v>弱</x:v>
      </x:c>
      <x:c r="N46" s="68" t="str">
        <x:v>待定</x:v>
      </x:c>
      <x:c r="O46" s="68" t="str">
        <x:v>待定</x:v>
      </x:c>
      <x:c r="P46" s="68" t="str">
        <x:v>待定</x:v>
      </x:c>
      <x:c r="Q46" s="82" t="str">
        <x:v>局部阻塞</x:v>
      </x:c>
      <x:c r="R46" s="82" t="str">
        <x:v>桥梁太弱</x:v>
      </x:c>
      <x:c r="S46" s="68" t="str">
        <x:v>桥梁</x:v>
      </x:c>
      <x:c r="T46" s="68" t="str">
        <x:v>桥梁有名义节点但有效力量不足以传递上游</x:v>
      </x:c>
      <x:c r="U46" s="68" t="str">
        <x:v>待定</x:v>
      </x:c>
      <x:c r="V46" s="68" t="str">
        <x:v>待定</x:v>
      </x:c>
      <x:c r="W46" s="90" t="str">
        <x:v>需检查对调候、格局、日主承载及其他通路的副作用</x:v>
      </x:c>
      <x:c r="X46" s="68" t="str">
        <x:v>M06关系效应、M08五行有效旺衰、M10十神功能与M11组合判断已完成</x:v>
      </x:c>
      <x:c r="Y46" s="68" t="str">
        <x:v>起点、桥梁、终点均按有效力量与实际作用路径判断</x:v>
      </x:c>
      <x:c r="Z46" s="68" t="str">
        <x:v>桥梁有根有源、透达、位置可达且不存在关键制约</x:v>
      </x:c>
      <x:c r="AA46" s="68" t="str">
        <x:v>桥梁失令、无根、受克、合绊、改性或同时被多路调用</x:v>
      </x:c>
      <x:c r="AB46" s="90" t="str">
        <x:v>不得仅因五行缺失、数量少或关系名称直接认定卡点或通关用神</x:v>
      </x:c>
      <x:c r="AC46" s="68" t="str">
        <x:v>若存在更短、更强或副作用更小的替代路径，应并列比较后再裁定</x:v>
      </x:c>
      <x:c r="AD46" s="84" t="str">
        <x:v>M12_BLOCK_流通判定</x:v>
      </x:c>
      <x:c r="AE46" s="84" t="str">
        <x:v>桥梁太弱是最常见的局部阻塞：按起点—桥梁—终点检查有效力量、连续性与承载；卡点为“桥梁太弱”时，仅生成通关候选，不直接定用神。</x:v>
      </x:c>
      <x:c r="AF46" s="82" t="str">
        <x:v>较高</x:v>
      </x:c>
      <x:c r="AG46" s="82" t="str">
        <x:v>现代综合</x:v>
      </x:c>
      <x:c r="AH46" s="68" t="str">
        <x:v>流通判断以五行有效力量、生克顺序与十神功能为核心；古典依据可参照《滴天髓》《渊海子平》。 https://zh.wikisource.org/wiki/%E6%BB%B4%E5%A4%A9%E9%AB%93%E9%97%A1%E5%BE%AE https://zh.wikisource.org/zh-hans/%E6%B7%B5%E6%B5%B7%E5%AD%90%E5%B9%B3</x:v>
      </x:c>
      <x:c r="AI46" s="68" t="str">
        <x:v>当“桥梁有名义节点但有效力量不足以传递上游”真实成立，且桥梁具备有效力量和连续作用条件时，可按“桥梁太弱是最常见的局部阻塞”记录。</x:v>
      </x:c>
      <x:c r="AJ46" s="90" t="str">
        <x:v>仅见表面缺失或五行相克，但未证明“桥梁有名义节点但有效力量不足以传递上游”形成实际阻断时，不得套用“桥梁太弱是最常见的局部阻塞”。</x:v>
      </x:c>
      <x:c r="AK46" s="82" t="str">
        <x:v>采用</x:v>
      </x:c>
      <x:c r="AL46" s="82" t="str">
        <x:v>初审</x:v>
      </x:c>
      <x:c r="AM46" s="87" t="n">
        <x:v>46255</x:v>
      </x:c>
    </x:row>
    <x:row r="47">
      <x:c r="A47" s="72" t="str">
        <x:f>IF(OR(C47="",D47=""),"",B47&amp;"-"&amp;UPPER(C47)&amp;"-"&amp;TEXT(D47,"0000")&amp;"-"&amp;E47)</x:f>
        <x:v>M12-BLOCK-0041-V1.0</x:v>
      </x:c>
      <x:c r="B47" s="74" t="str">
        <x:v>M12</x:v>
      </x:c>
      <x:c r="C47" s="74" t="str">
        <x:v>BLOCK</x:v>
      </x:c>
      <x:c r="D47" s="215" t="n">
        <x:v>41</x:v>
      </x:c>
      <x:c r="E47" s="74" t="str">
        <x:v>V1.0</x:v>
      </x:c>
      <x:c r="F47" s="68" t="str">
        <x:v>桥梁被克形成外部截断</x:v>
      </x:c>
      <x:c r="G47" s="82" t="str">
        <x:v>结构层</x:v>
      </x:c>
      <x:c r="H47" s="68" t="str">
        <x:v>五行生化路径</x:v>
      </x:c>
      <x:c r="I47" s="68" t="str">
        <x:v>上游</x:v>
      </x:c>
      <x:c r="J47" s="68" t="str">
        <x:v>受克桥梁</x:v>
      </x:c>
      <x:c r="K47" s="68" t="str">
        <x:v>下游</x:v>
      </x:c>
      <x:c r="L47" s="82" t="str">
        <x:v>待定</x:v>
      </x:c>
      <x:c r="M47" s="82" t="str">
        <x:v>待定</x:v>
      </x:c>
      <x:c r="N47" s="68" t="str">
        <x:v>待定</x:v>
      </x:c>
      <x:c r="O47" s="68" t="str">
        <x:v>待定</x:v>
      </x:c>
      <x:c r="P47" s="68" t="str">
        <x:v>待定</x:v>
      </x:c>
      <x:c r="Q47" s="82" t="str">
        <x:v>明显阻断</x:v>
      </x:c>
      <x:c r="R47" s="82" t="str">
        <x:v>桥梁被克</x:v>
      </x:c>
      <x:c r="S47" s="68" t="str">
        <x:v>桥梁</x:v>
      </x:c>
      <x:c r="T47" s="68" t="str">
        <x:v>桥梁有效力量被第三方强克制，无法稳定完成传递</x:v>
      </x:c>
      <x:c r="U47" s="68" t="str">
        <x:v>待定</x:v>
      </x:c>
      <x:c r="V47" s="68" t="str">
        <x:v>待定</x:v>
      </x:c>
      <x:c r="W47" s="90" t="str">
        <x:v>需检查对调候、格局、日主承载及其他通路的副作用</x:v>
      </x:c>
      <x:c r="X47" s="68" t="str">
        <x:v>M06关系效应、M08五行有效旺衰、M10十神功能与M11组合判断已完成</x:v>
      </x:c>
      <x:c r="Y47" s="68" t="str">
        <x:v>起点、桥梁、终点均按有效力量与实际作用路径判断</x:v>
      </x:c>
      <x:c r="Z47" s="68" t="str">
        <x:v>桥梁有根有源、透达、位置可达且不存在关键制约</x:v>
      </x:c>
      <x:c r="AA47" s="68" t="str">
        <x:v>桥梁失令、无根、受克、合绊、改性或同时被多路调用</x:v>
      </x:c>
      <x:c r="AB47" s="90" t="str">
        <x:v>不得仅因五行缺失、数量少或关系名称直接认定卡点或通关用神</x:v>
      </x:c>
      <x:c r="AC47" s="68" t="str">
        <x:v>若存在更短、更强或副作用更小的替代路径，应并列比较后再裁定</x:v>
      </x:c>
      <x:c r="AD47" s="84" t="str">
        <x:v>M12_BLOCK_流通判定</x:v>
      </x:c>
      <x:c r="AE47" s="84" t="str">
        <x:v>桥梁被克形成外部截断：按起点—桥梁—终点检查有效力量、连续性与承载；卡点为“桥梁被克”时，仅生成通关候选，不直接定用神。</x:v>
      </x:c>
      <x:c r="AF47" s="82" t="str">
        <x:v>较高</x:v>
      </x:c>
      <x:c r="AG47" s="82" t="str">
        <x:v>现代综合</x:v>
      </x:c>
      <x:c r="AH47" s="68" t="str">
        <x:v>流通判断以五行有效力量、生克顺序与十神功能为核心；古典依据可参照《滴天髓》《渊海子平》。 https://zh.wikisource.org/wiki/%E6%BB%B4%E5%A4%A9%E9%AB%93%E9%97%A1%E5%BE%AE https://zh.wikisource.org/zh-hans/%E6%B7%B5%E6%B5%B7%E5%AD%90%E5%B9%B3</x:v>
      </x:c>
      <x:c r="AI47" s="68" t="str">
        <x:v>当“桥梁有效力量被第三方强克制，无法稳定完成传递”真实成立，且桥梁具备有效力量和连续作用条件时，可按“桥梁被克形成外部截断”记录。</x:v>
      </x:c>
      <x:c r="AJ47" s="90" t="str">
        <x:v>仅见表面缺失或五行相克，但未证明“桥梁有效力量被第三方强克制，无法稳定完成传递”形成实际阻断时，不得套用“桥梁被克形成外部截断”。</x:v>
      </x:c>
      <x:c r="AK47" s="82" t="str">
        <x:v>采用</x:v>
      </x:c>
      <x:c r="AL47" s="82" t="str">
        <x:v>初审</x:v>
      </x:c>
      <x:c r="AM47" s="87" t="n">
        <x:v>46255</x:v>
      </x:c>
    </x:row>
    <x:row r="48">
      <x:c r="A48" s="72" t="str">
        <x:f>IF(OR(C48="",D48=""),"",B48&amp;"-"&amp;UPPER(C48)&amp;"-"&amp;TEXT(D48,"0000")&amp;"-"&amp;E48)</x:f>
        <x:v>M12-BLOCK-0042-V1.0</x:v>
      </x:c>
      <x:c r="B48" s="74" t="str">
        <x:v>M12</x:v>
      </x:c>
      <x:c r="C48" s="74" t="str">
        <x:v>BLOCK</x:v>
      </x:c>
      <x:c r="D48" s="215" t="n">
        <x:v>42</x:v>
      </x:c>
      <x:c r="E48" s="74" t="str">
        <x:v>V1.0</x:v>
      </x:c>
      <x:c r="F48" s="68" t="str">
        <x:v>桥梁被合绊形成牵制型阻塞</x:v>
      </x:c>
      <x:c r="G48" s="82" t="str">
        <x:v>结构层</x:v>
      </x:c>
      <x:c r="H48" s="68" t="str">
        <x:v>五行生化路径</x:v>
      </x:c>
      <x:c r="I48" s="68" t="str">
        <x:v>上游</x:v>
      </x:c>
      <x:c r="J48" s="68" t="str">
        <x:v>被合绊桥梁</x:v>
      </x:c>
      <x:c r="K48" s="68" t="str">
        <x:v>下游</x:v>
      </x:c>
      <x:c r="L48" s="82" t="str">
        <x:v>待定</x:v>
      </x:c>
      <x:c r="M48" s="82" t="str">
        <x:v>待定</x:v>
      </x:c>
      <x:c r="N48" s="68" t="str">
        <x:v>待定</x:v>
      </x:c>
      <x:c r="O48" s="68" t="str">
        <x:v>待定</x:v>
      </x:c>
      <x:c r="P48" s="68" t="str">
        <x:v>待定</x:v>
      </x:c>
      <x:c r="Q48" s="82" t="str">
        <x:v>局部阻塞</x:v>
      </x:c>
      <x:c r="R48" s="82" t="str">
        <x:v>桥梁被合绊</x:v>
      </x:c>
      <x:c r="S48" s="68" t="str">
        <x:v>桥梁</x:v>
      </x:c>
      <x:c r="T48" s="68" t="str">
        <x:v>桥梁仍存在但被其他关系占用或牵制</x:v>
      </x:c>
      <x:c r="U48" s="68" t="str">
        <x:v>待定</x:v>
      </x:c>
      <x:c r="V48" s="68" t="str">
        <x:v>待定</x:v>
      </x:c>
      <x:c r="W48" s="90" t="str">
        <x:v>需检查对调候、格局、日主承载及其他通路的副作用</x:v>
      </x:c>
      <x:c r="X48" s="68" t="str">
        <x:v>M06关系效应、M08五行有效旺衰、M10十神功能与M11组合判断已完成</x:v>
      </x:c>
      <x:c r="Y48" s="68" t="str">
        <x:v>起点、桥梁、终点均按有效力量与实际作用路径判断</x:v>
      </x:c>
      <x:c r="Z48" s="68" t="str">
        <x:v>桥梁有根有源、透达、位置可达且不存在关键制约</x:v>
      </x:c>
      <x:c r="AA48" s="68" t="str">
        <x:v>桥梁失令、无根、受克、合绊、改性或同时被多路调用</x:v>
      </x:c>
      <x:c r="AB48" s="90" t="str">
        <x:v>不得仅因五行缺失、数量少或关系名称直接认定卡点或通关用神</x:v>
      </x:c>
      <x:c r="AC48" s="68" t="str">
        <x:v>若存在更短、更强或副作用更小的替代路径，应并列比较后再裁定</x:v>
      </x:c>
      <x:c r="AD48" s="84" t="str">
        <x:v>M12_BLOCK_流通判定</x:v>
      </x:c>
      <x:c r="AE48" s="84" t="str">
        <x:v>桥梁被合绊形成牵制型阻塞：按起点—桥梁—终点检查有效力量、连续性与承载；卡点为“桥梁被合绊”时，仅生成通关候选，不直接定用神。</x:v>
      </x:c>
      <x:c r="AF48" s="82" t="str">
        <x:v>较高</x:v>
      </x:c>
      <x:c r="AG48" s="82" t="str">
        <x:v>现代综合</x:v>
      </x:c>
      <x:c r="AH48" s="68" t="str">
        <x:v>流通判断以五行有效力量、生克顺序与十神功能为核心；古典依据可参照《滴天髓》《渊海子平》。 https://zh.wikisource.org/wiki/%E6%BB%B4%E5%A4%A9%E9%AB%93%E9%97%A1%E5%BE%AE https://zh.wikisource.org/zh-hans/%E6%B7%B5%E6%B5%B7%E5%AD%90%E5%B9%B3</x:v>
      </x:c>
      <x:c r="AI48" s="68" t="str">
        <x:v>当“桥梁仍存在但被其他关系占用或牵制”真实成立，且桥梁具备有效力量和连续作用条件时，可按“桥梁被合绊形成牵制型阻塞”记录。</x:v>
      </x:c>
      <x:c r="AJ48" s="90" t="str">
        <x:v>仅见表面缺失或五行相克，但未证明“桥梁仍存在但被其他关系占用或牵制”形成实际阻断时，不得套用“桥梁被合绊形成牵制型阻塞”。</x:v>
      </x:c>
      <x:c r="AK48" s="82" t="str">
        <x:v>采用</x:v>
      </x:c>
      <x:c r="AL48" s="82" t="str">
        <x:v>初审</x:v>
      </x:c>
      <x:c r="AM48" s="87" t="n">
        <x:v>46255</x:v>
      </x:c>
    </x:row>
    <x:row r="49">
      <x:c r="A49" s="72" t="str">
        <x:f>IF(OR(C49="",D49=""),"",B49&amp;"-"&amp;UPPER(C49)&amp;"-"&amp;TEXT(D49,"0000")&amp;"-"&amp;E49)</x:f>
        <x:v>M12-BLOCK-0043-V1.0</x:v>
      </x:c>
      <x:c r="B49" s="74" t="str">
        <x:v>M12</x:v>
      </x:c>
      <x:c r="C49" s="74" t="str">
        <x:v>BLOCK</x:v>
      </x:c>
      <x:c r="D49" s="215" t="n">
        <x:v>43</x:v>
      </x:c>
      <x:c r="E49" s="74" t="str">
        <x:v>V1.0</x:v>
      </x:c>
      <x:c r="F49" s="68" t="str">
        <x:v>源头过旺无泄形成上游壅塞</x:v>
      </x:c>
      <x:c r="G49" s="82" t="str">
        <x:v>结构层</x:v>
      </x:c>
      <x:c r="H49" s="68" t="str">
        <x:v>五行生化路径</x:v>
      </x:c>
      <x:c r="I49" s="68" t="str">
        <x:v>极旺源头</x:v>
      </x:c>
      <x:c r="J49" s="68" t="str">
        <x:v>缺失或弱泄神</x:v>
      </x:c>
      <x:c r="K49" s="68" t="str">
        <x:v>下游</x:v>
      </x:c>
      <x:c r="L49" s="82" t="str">
        <x:v>极旺</x:v>
      </x:c>
      <x:c r="M49" s="82" t="str">
        <x:v>极弱</x:v>
      </x:c>
      <x:c r="N49" s="68" t="str">
        <x:v>待定</x:v>
      </x:c>
      <x:c r="O49" s="68" t="str">
        <x:v>待定</x:v>
      </x:c>
      <x:c r="P49" s="68" t="str">
        <x:v>待定</x:v>
      </x:c>
      <x:c r="Q49" s="82" t="str">
        <x:v>明显阻断</x:v>
      </x:c>
      <x:c r="R49" s="82" t="str">
        <x:v>源头过旺无泄</x:v>
      </x:c>
      <x:c r="S49" s="68" t="str">
        <x:v>起点</x:v>
      </x:c>
      <x:c r="T49" s="68" t="str">
        <x:v>源头强势聚集而无有效泄化通路</x:v>
      </x:c>
      <x:c r="U49" s="68" t="str">
        <x:v>待定</x:v>
      </x:c>
      <x:c r="V49" s="68" t="str">
        <x:v>待定</x:v>
      </x:c>
      <x:c r="W49" s="90" t="str">
        <x:v>需检查对调候、格局、日主承载及其他通路的副作用</x:v>
      </x:c>
      <x:c r="X49" s="68" t="str">
        <x:v>M06关系效应、M08五行有效旺衰、M10十神功能与M11组合判断已完成</x:v>
      </x:c>
      <x:c r="Y49" s="68" t="str">
        <x:v>起点、桥梁、终点均按有效力量与实际作用路径判断</x:v>
      </x:c>
      <x:c r="Z49" s="68" t="str">
        <x:v>桥梁有根有源、透达、位置可达且不存在关键制约</x:v>
      </x:c>
      <x:c r="AA49" s="68" t="str">
        <x:v>桥梁失令、无根、受克、合绊、改性或同时被多路调用</x:v>
      </x:c>
      <x:c r="AB49" s="90" t="str">
        <x:v>不得仅因五行缺失、数量少或关系名称直接认定卡点或通关用神</x:v>
      </x:c>
      <x:c r="AC49" s="68" t="str">
        <x:v>若存在更短、更强或副作用更小的替代路径，应并列比较后再裁定</x:v>
      </x:c>
      <x:c r="AD49" s="84" t="str">
        <x:v>M12_BLOCK_流通判定</x:v>
      </x:c>
      <x:c r="AE49" s="84" t="str">
        <x:v>源头过旺无泄形成上游壅塞：按起点—桥梁—终点检查有效力量、连续性与承载；卡点为“源头过旺无泄”时，仅生成通关候选，不直接定用神。</x:v>
      </x:c>
      <x:c r="AF49" s="82" t="str">
        <x:v>较高</x:v>
      </x:c>
      <x:c r="AG49" s="82" t="str">
        <x:v>现代综合</x:v>
      </x:c>
      <x:c r="AH49" s="68" t="str">
        <x:v>流通判断以五行有效力量、生克顺序与十神功能为核心；古典依据可参照《滴天髓》《渊海子平》。 https://zh.wikisource.org/wiki/%E6%BB%B4%E5%A4%A9%E9%AB%93%E9%97%A1%E5%BE%AE https://zh.wikisource.org/zh-hans/%E6%B7%B5%E6%B5%B7%E5%AD%90%E5%B9%B3</x:v>
      </x:c>
      <x:c r="AI49" s="68" t="str">
        <x:v>当“源头强势聚集而无有效泄化通路”真实成立，且桥梁具备有效力量和连续作用条件时，可按“源头过旺无泄形成上游壅塞”记录。</x:v>
      </x:c>
      <x:c r="AJ49" s="90" t="str">
        <x:v>仅见表面缺失或五行相克，但未证明“源头强势聚集而无有效泄化通路”形成实际阻断时，不得套用“源头过旺无泄形成上游壅塞”。</x:v>
      </x:c>
      <x:c r="AK49" s="82" t="str">
        <x:v>采用</x:v>
      </x:c>
      <x:c r="AL49" s="82" t="str">
        <x:v>初审</x:v>
      </x:c>
      <x:c r="AM49" s="87" t="n">
        <x:v>46255</x:v>
      </x:c>
    </x:row>
    <x:row r="50">
      <x:c r="A50" s="72" t="str">
        <x:f>IF(OR(C50="",D50=""),"",B50&amp;"-"&amp;UPPER(C50)&amp;"-"&amp;TEXT(D50,"0000")&amp;"-"&amp;E50)</x:f>
        <x:v>M12-BLOCK-0044-V1.0</x:v>
      </x:c>
      <x:c r="B50" s="74" t="str">
        <x:v>M12</x:v>
      </x:c>
      <x:c r="C50" s="74" t="str">
        <x:v>BLOCK</x:v>
      </x:c>
      <x:c r="D50" s="215" t="n">
        <x:v>44</x:v>
      </x:c>
      <x:c r="E50" s="74" t="str">
        <x:v>V1.0</x:v>
      </x:c>
      <x:c r="F50" s="68" t="str">
        <x:v>终点过弱导致力量无处落脚</x:v>
      </x:c>
      <x:c r="G50" s="82" t="str">
        <x:v>结构层</x:v>
      </x:c>
      <x:c r="H50" s="68" t="str">
        <x:v>五行生化路径</x:v>
      </x:c>
      <x:c r="I50" s="68" t="str">
        <x:v>强上游</x:v>
      </x:c>
      <x:c r="J50" s="68" t="str">
        <x:v>有效桥梁</x:v>
      </x:c>
      <x:c r="K50" s="68" t="str">
        <x:v>极弱终点</x:v>
      </x:c>
      <x:c r="L50" s="82" t="str">
        <x:v>待定</x:v>
      </x:c>
      <x:c r="M50" s="82" t="str">
        <x:v>待定</x:v>
      </x:c>
      <x:c r="N50" s="68" t="str">
        <x:v>待定</x:v>
      </x:c>
      <x:c r="O50" s="68" t="str">
        <x:v>待定</x:v>
      </x:c>
      <x:c r="P50" s="68" t="str">
        <x:v>待定</x:v>
      </x:c>
      <x:c r="Q50" s="82" t="str">
        <x:v>明显阻断</x:v>
      </x:c>
      <x:c r="R50" s="82" t="str">
        <x:v>终点过弱不能承载</x:v>
      </x:c>
      <x:c r="S50" s="68" t="str">
        <x:v>终点</x:v>
      </x:c>
      <x:c r="T50" s="68" t="str">
        <x:v>终点没有足够根气、透达或功能承接传入力量</x:v>
      </x:c>
      <x:c r="U50" s="68" t="str">
        <x:v>待定</x:v>
      </x:c>
      <x:c r="V50" s="68" t="str">
        <x:v>待定</x:v>
      </x:c>
      <x:c r="W50" s="90" t="str">
        <x:v>需检查对调候、格局、日主承载及其他通路的副作用</x:v>
      </x:c>
      <x:c r="X50" s="68" t="str">
        <x:v>M06关系效应、M08五行有效旺衰、M10十神功能与M11组合判断已完成</x:v>
      </x:c>
      <x:c r="Y50" s="68" t="str">
        <x:v>起点、桥梁、终点均按有效力量与实际作用路径判断</x:v>
      </x:c>
      <x:c r="Z50" s="68" t="str">
        <x:v>桥梁有根有源、透达、位置可达且不存在关键制约</x:v>
      </x:c>
      <x:c r="AA50" s="68" t="str">
        <x:v>桥梁失令、无根、受克、合绊、改性或同时被多路调用</x:v>
      </x:c>
      <x:c r="AB50" s="90" t="str">
        <x:v>不得仅因五行缺失、数量少或关系名称直接认定卡点或通关用神</x:v>
      </x:c>
      <x:c r="AC50" s="68" t="str">
        <x:v>若存在更短、更强或副作用更小的替代路径，应并列比较后再裁定</x:v>
      </x:c>
      <x:c r="AD50" s="84" t="str">
        <x:v>M12_BLOCK_流通判定</x:v>
      </x:c>
      <x:c r="AE50" s="84" t="str">
        <x:v>终点过弱导致力量无处落脚：按起点—桥梁—终点检查有效力量、连续性与承载；卡点为“终点过弱不能承载”时，仅生成通关候选，不直接定用神。</x:v>
      </x:c>
      <x:c r="AF50" s="82" t="str">
        <x:v>较高</x:v>
      </x:c>
      <x:c r="AG50" s="82" t="str">
        <x:v>现代综合</x:v>
      </x:c>
      <x:c r="AH50" s="68" t="str">
        <x:v>流通判断以五行有效力量、生克顺序与十神功能为核心；古典依据可参照《滴天髓》《渊海子平》。 https://zh.wikisource.org/wiki/%E6%BB%B4%E5%A4%A9%E9%AB%93%E9%97%A1%E5%BE%AE https://zh.wikisource.org/zh-hans/%E6%B7%B5%E6%B5%B7%E5%AD%90%E5%B9%B3</x:v>
      </x:c>
      <x:c r="AI50" s="68" t="str">
        <x:v>当“终点没有足够根气、透达或功能承接传入力量”真实成立，且桥梁具备有效力量和连续作用条件时，可按“终点过弱导致力量无处落脚”记录。</x:v>
      </x:c>
      <x:c r="AJ50" s="90" t="str">
        <x:v>仅见表面缺失或五行相克，但未证明“终点没有足够根气、透达或功能承接传入力量”形成实际阻断时，不得套用“终点过弱导致力量无处落脚”。</x:v>
      </x:c>
      <x:c r="AK50" s="82" t="str">
        <x:v>采用</x:v>
      </x:c>
      <x:c r="AL50" s="82" t="str">
        <x:v>初审</x:v>
      </x:c>
      <x:c r="AM50" s="87" t="n">
        <x:v>46255</x:v>
      </x:c>
    </x:row>
    <x:row r="51">
      <x:c r="A51" s="72" t="str">
        <x:f>IF(OR(C51="",D51=""),"",B51&amp;"-"&amp;UPPER(C51)&amp;"-"&amp;TEXT(D51,"0000")&amp;"-"&amp;E51)</x:f>
        <x:v>M12-BLOCK-0045-V1.0</x:v>
      </x:c>
      <x:c r="B51" s="74" t="str">
        <x:v>M12</x:v>
      </x:c>
      <x:c r="C51" s="74" t="str">
        <x:v>BLOCK</x:v>
      </x:c>
      <x:c r="D51" s="215" t="n">
        <x:v>45</x:v>
      </x:c>
      <x:c r="E51" s="74" t="str">
        <x:v>V1.0</x:v>
      </x:c>
      <x:c r="F51" s="68" t="str">
        <x:v>终点过旺反制形成逆向阻塞</x:v>
      </x:c>
      <x:c r="G51" s="82" t="str">
        <x:v>结构层</x:v>
      </x:c>
      <x:c r="H51" s="68" t="str">
        <x:v>五行生化路径</x:v>
      </x:c>
      <x:c r="I51" s="68" t="str">
        <x:v>上游</x:v>
      </x:c>
      <x:c r="J51" s="68" t="str">
        <x:v>桥梁</x:v>
      </x:c>
      <x:c r="K51" s="68" t="str">
        <x:v>极旺终点</x:v>
      </x:c>
      <x:c r="L51" s="82" t="str">
        <x:v>待定</x:v>
      </x:c>
      <x:c r="M51" s="82" t="str">
        <x:v>待定</x:v>
      </x:c>
      <x:c r="N51" s="68" t="str">
        <x:v>待定</x:v>
      </x:c>
      <x:c r="O51" s="68" t="str">
        <x:v>待定</x:v>
      </x:c>
      <x:c r="P51" s="68" t="str">
        <x:v>待定</x:v>
      </x:c>
      <x:c r="Q51" s="82" t="str">
        <x:v>局部阻塞</x:v>
      </x:c>
      <x:c r="R51" s="82" t="str">
        <x:v>终点过旺反制</x:v>
      </x:c>
      <x:c r="S51" s="68" t="str">
        <x:v>终点</x:v>
      </x:c>
      <x:c r="T51" s="68" t="str">
        <x:v>终点强势形成反克、争夺或回流，使传递不能按预期完成</x:v>
      </x:c>
      <x:c r="U51" s="68" t="str">
        <x:v>待定</x:v>
      </x:c>
      <x:c r="V51" s="68" t="str">
        <x:v>待定</x:v>
      </x:c>
      <x:c r="W51" s="90" t="str">
        <x:v>需检查对调候、格局、日主承载及其他通路的副作用</x:v>
      </x:c>
      <x:c r="X51" s="68" t="str">
        <x:v>M06关系效应、M08五行有效旺衰、M10十神功能与M11组合判断已完成</x:v>
      </x:c>
      <x:c r="Y51" s="68" t="str">
        <x:v>起点、桥梁、终点均按有效力量与实际作用路径判断</x:v>
      </x:c>
      <x:c r="Z51" s="68" t="str">
        <x:v>桥梁有根有源、透达、位置可达且不存在关键制约</x:v>
      </x:c>
      <x:c r="AA51" s="68" t="str">
        <x:v>桥梁失令、无根、受克、合绊、改性或同时被多路调用</x:v>
      </x:c>
      <x:c r="AB51" s="90" t="str">
        <x:v>不得仅因五行缺失、数量少或关系名称直接认定卡点或通关用神</x:v>
      </x:c>
      <x:c r="AC51" s="68" t="str">
        <x:v>若存在更短、更强或副作用更小的替代路径，应并列比较后再裁定</x:v>
      </x:c>
      <x:c r="AD51" s="84" t="str">
        <x:v>M12_BLOCK_流通判定</x:v>
      </x:c>
      <x:c r="AE51" s="84" t="str">
        <x:v>终点过旺反制形成逆向阻塞：按起点—桥梁—终点检查有效力量、连续性与承载；卡点为“终点过旺反制”时，仅生成通关候选，不直接定用神。</x:v>
      </x:c>
      <x:c r="AF51" s="82" t="str">
        <x:v>较高</x:v>
      </x:c>
      <x:c r="AG51" s="82" t="str">
        <x:v>现代综合</x:v>
      </x:c>
      <x:c r="AH51" s="68" t="str">
        <x:v>流通判断以五行有效力量、生克顺序与十神功能为核心；古典依据可参照《滴天髓》《渊海子平》。 https://zh.wikisource.org/wiki/%E6%BB%B4%E5%A4%A9%E9%AB%93%E9%97%A1%E5%BE%AE https://zh.wikisource.org/zh-hans/%E6%B7%B5%E6%B5%B7%E5%AD%90%E5%B9%B3</x:v>
      </x:c>
      <x:c r="AI51" s="68" t="str">
        <x:v>当“终点强势形成反克、争夺或回流，使传递不能按预期完成”真实成立，且桥梁具备有效力量和连续作用条件时，可按“终点过旺反制形成逆向阻塞”记录。</x:v>
      </x:c>
      <x:c r="AJ51" s="90" t="str">
        <x:v>仅见表面缺失或五行相克，但未证明“终点强势形成反克、争夺或回流，使传递不能按预期完成”形成实际阻断时，不得套用“终点过旺反制形成逆向阻塞”。</x:v>
      </x:c>
      <x:c r="AK51" s="82" t="str">
        <x:v>采用</x:v>
      </x:c>
      <x:c r="AL51" s="82" t="str">
        <x:v>初审</x:v>
      </x:c>
      <x:c r="AM51" s="87" t="n">
        <x:v>46255</x:v>
      </x:c>
    </x:row>
    <x:row r="52">
      <x:c r="A52" s="72" t="str">
        <x:f>IF(OR(C52="",D52=""),"",B52&amp;"-"&amp;UPPER(C52)&amp;"-"&amp;TEXT(D52,"0000")&amp;"-"&amp;E52)</x:f>
        <x:v>M12-BLOCK-0046-V1.0</x:v>
      </x:c>
      <x:c r="B52" s="74" t="str">
        <x:v>M12</x:v>
      </x:c>
      <x:c r="C52" s="74" t="str">
        <x:v>BLOCK</x:v>
      </x:c>
      <x:c r="D52" s="215" t="n">
        <x:v>46</x:v>
      </x:c>
      <x:c r="E52" s="74" t="str">
        <x:v>V1.0</x:v>
      </x:c>
      <x:c r="F52" s="68" t="str">
        <x:v>两强相战且无桥梁时形成直接冲突</x:v>
      </x:c>
      <x:c r="G52" s="82" t="str">
        <x:v>结构层</x:v>
      </x:c>
      <x:c r="H52" s="68" t="str">
        <x:v>五行克战通关</x:v>
      </x:c>
      <x:c r="I52" s="68" t="str">
        <x:v>强克方</x:v>
      </x:c>
      <x:c r="J52" s="68" t="str">
        <x:v>缺失或无效通关五行</x:v>
      </x:c>
      <x:c r="K52" s="68" t="str">
        <x:v>被克强方</x:v>
      </x:c>
      <x:c r="L52" s="82" t="str">
        <x:v>旺</x:v>
      </x:c>
      <x:c r="M52" s="82" t="str">
        <x:v>极弱</x:v>
      </x:c>
      <x:c r="N52" s="68" t="str">
        <x:v>待定</x:v>
      </x:c>
      <x:c r="O52" s="68" t="str">
        <x:v>待定</x:v>
      </x:c>
      <x:c r="P52" s="68" t="str">
        <x:v>待定</x:v>
      </x:c>
      <x:c r="Q52" s="82" t="str">
        <x:v>明显阻断</x:v>
      </x:c>
      <x:c r="R52" s="82" t="str">
        <x:v>两强相战</x:v>
      </x:c>
      <x:c r="S52" s="68" t="str">
        <x:v>双方之间</x:v>
      </x:c>
      <x:c r="T52" s="68" t="str">
        <x:v>克与被克双方均有力，且中间不存在有效泄化桥梁</x:v>
      </x:c>
      <x:c r="U52" s="68" t="str">
        <x:v>待定</x:v>
      </x:c>
      <x:c r="V52" s="68" t="str">
        <x:v>待定</x:v>
      </x:c>
      <x:c r="W52" s="90" t="str">
        <x:v>需检查对调候、格局、日主承载及其他通路的副作用</x:v>
      </x:c>
      <x:c r="X52" s="68" t="str">
        <x:v>M06关系效应、M08五行有效旺衰、M10十神功能与M11组合判断已完成</x:v>
      </x:c>
      <x:c r="Y52" s="68" t="str">
        <x:v>起点、桥梁、终点均按有效力量与实际作用路径判断</x:v>
      </x:c>
      <x:c r="Z52" s="68" t="str">
        <x:v>桥梁有根有源、透达、位置可达且不存在关键制约</x:v>
      </x:c>
      <x:c r="AA52" s="68" t="str">
        <x:v>桥梁失令、无根、受克、合绊、改性或同时被多路调用</x:v>
      </x:c>
      <x:c r="AB52" s="90" t="str">
        <x:v>不得仅因五行缺失、数量少或关系名称直接认定卡点或通关用神</x:v>
      </x:c>
      <x:c r="AC52" s="68" t="str">
        <x:v>若存在更短、更强或副作用更小的替代路径，应并列比较后再裁定</x:v>
      </x:c>
      <x:c r="AD52" s="84" t="str">
        <x:v>M12_BLOCK_流通判定</x:v>
      </x:c>
      <x:c r="AE52" s="84" t="str">
        <x:v>两强相战且无桥梁时形成直接冲突：按起点—桥梁—终点检查有效力量、连续性与承载；卡点为“两强相战”时，仅生成通关候选，不直接定用神。</x:v>
      </x:c>
      <x:c r="AF52" s="82" t="str">
        <x:v>较高</x:v>
      </x:c>
      <x:c r="AG52" s="82" t="str">
        <x:v>现代综合</x:v>
      </x:c>
      <x:c r="AH52" s="68" t="str">
        <x:v>流通判断以五行有效力量、生克顺序与十神功能为核心；古典依据可参照《滴天髓》《渊海子平》。 https://zh.wikisource.org/wiki/%E6%BB%B4%E5%A4%A9%E9%AB%93%E9%97%A1%E5%BE%AE https://zh.wikisource.org/zh-hans/%E6%B7%B5%E6%B5%B7%E5%AD%90%E5%B9%B3</x:v>
      </x:c>
      <x:c r="AI52" s="68" t="str">
        <x:v>当“克与被克双方均有力，且中间不存在有效泄化桥梁”真实成立，且桥梁具备有效力量和连续作用条件时，可按“两强相战且无桥梁时形成直接冲突”记录。</x:v>
      </x:c>
      <x:c r="AJ52" s="90" t="str">
        <x:v>仅见表面缺失或五行相克，但未证明“克与被克双方均有力，且中间不存在有效泄化桥梁”形成实际阻断时，不得套用“两强相战且无桥梁时形成直接冲突”。</x:v>
      </x:c>
      <x:c r="AK52" s="82" t="str">
        <x:v>采用</x:v>
      </x:c>
      <x:c r="AL52" s="82" t="str">
        <x:v>初审</x:v>
      </x:c>
      <x:c r="AM52" s="87" t="n">
        <x:v>46255</x:v>
      </x:c>
    </x:row>
    <x:row r="53">
      <x:c r="A53" s="72" t="str">
        <x:f>IF(OR(C53="",D53=""),"",B53&amp;"-"&amp;UPPER(C53)&amp;"-"&amp;TEXT(D53,"0000")&amp;"-"&amp;E53)</x:f>
        <x:v>M12-BLOCK-0047-V1.0</x:v>
      </x:c>
      <x:c r="B53" s="74" t="str">
        <x:v>M12</x:v>
      </x:c>
      <x:c r="C53" s="74" t="str">
        <x:v>BLOCK</x:v>
      </x:c>
      <x:c r="D53" s="215" t="n">
        <x:v>47</x:v>
      </x:c>
      <x:c r="E53" s="74" t="str">
        <x:v>V1.0</x:v>
      </x:c>
      <x:c r="F53" s="68" t="str">
        <x:v>寒凝会使原本存在的生化链效率下降</x:v>
      </x:c>
      <x:c r="G53" s="82" t="str">
        <x:v>结构层</x:v>
      </x:c>
      <x:c r="H53" s="68" t="str">
        <x:v>五行生化路径</x:v>
      </x:c>
      <x:c r="I53" s="68" t="str">
        <x:v>寒局源头</x:v>
      </x:c>
      <x:c r="J53" s="68" t="str">
        <x:v>受寒凝关键五行</x:v>
      </x:c>
      <x:c r="K53" s="68" t="str">
        <x:v>下游</x:v>
      </x:c>
      <x:c r="L53" s="82" t="str">
        <x:v>待定</x:v>
      </x:c>
      <x:c r="M53" s="82" t="str">
        <x:v>待定</x:v>
      </x:c>
      <x:c r="N53" s="68" t="str">
        <x:v>待定</x:v>
      </x:c>
      <x:c r="O53" s="68" t="str">
        <x:v>待定</x:v>
      </x:c>
      <x:c r="P53" s="68" t="str">
        <x:v>待定</x:v>
      </x:c>
      <x:c r="Q53" s="82" t="str">
        <x:v>局部阻塞</x:v>
      </x:c>
      <x:c r="R53" s="82" t="str">
        <x:v>寒凝</x:v>
      </x:c>
      <x:c r="S53" s="68" t="str">
        <x:v>关键节点</x:v>
      </x:c>
      <x:c r="T53" s="68" t="str">
        <x:v>低温状态使关键五行难以生发、蒸腾、化泄或流动</x:v>
      </x:c>
      <x:c r="U53" s="68" t="str">
        <x:v>火</x:v>
      </x:c>
      <x:c r="V53" s="68" t="str">
        <x:v>M13确认火能暖局且不破坏更高优先级结构</x:v>
      </x:c>
      <x:c r="W53" s="90" t="str">
        <x:v>需检查对调候、格局、日主承载及其他通路的副作用</x:v>
      </x:c>
      <x:c r="X53" s="68" t="str">
        <x:v>M06关系效应、M08五行有效旺衰、M10十神功能与M11组合判断已完成</x:v>
      </x:c>
      <x:c r="Y53" s="68" t="str">
        <x:v>起点、桥梁、终点均按有效力量与实际作用路径判断</x:v>
      </x:c>
      <x:c r="Z53" s="68" t="str">
        <x:v>桥梁有根有源、透达、位置可达且不存在关键制约</x:v>
      </x:c>
      <x:c r="AA53" s="68" t="str">
        <x:v>桥梁失令、无根、受克、合绊、改性或同时被多路调用</x:v>
      </x:c>
      <x:c r="AB53" s="90" t="str">
        <x:v>不得仅因五行缺失、数量少或关系名称直接认定卡点或通关用神</x:v>
      </x:c>
      <x:c r="AC53" s="68" t="str">
        <x:v>若存在更短、更强或副作用更小的替代路径，应并列比较后再裁定</x:v>
      </x:c>
      <x:c r="AD53" s="84" t="str">
        <x:v>M12_BLOCK_流通判定</x:v>
      </x:c>
      <x:c r="AE53" s="84" t="str">
        <x:v>寒凝会使原本存在的生化链效率下降：按起点—桥梁—终点检查有效力量、连续性与承载；卡点为“寒凝”时，仅生成通关候选，不直接定用神。</x:v>
      </x:c>
      <x:c r="AF53" s="82" t="str">
        <x:v>较高</x:v>
      </x:c>
      <x:c r="AG53" s="82" t="str">
        <x:v>现代综合</x:v>
      </x:c>
      <x:c r="AH53" s="68" t="str">
        <x:v>流通判断以五行有效力量、生克顺序与十神功能为核心；古典依据可参照《滴天髓》《渊海子平》。 https://zh.wikisource.org/wiki/%E6%BB%B4%E5%A4%A9%E9%AB%93%E9%97%A1%E5%BE%AE https://zh.wikisource.org/zh-hans/%E6%B7%B5%E6%B5%B7%E5%AD%90%E5%B9%B3</x:v>
      </x:c>
      <x:c r="AI53" s="68" t="str">
        <x:v>当“低温状态使关键五行难以生发、蒸腾、化泄或流动”真实成立，且桥梁具备有效力量和连续作用条件时，可按“寒凝会使原本存在的生化链效率下降”记录。</x:v>
      </x:c>
      <x:c r="AJ53" s="90" t="str">
        <x:v>仅见表面缺失或五行相克，但未证明“低温状态使关键五行难以生发、蒸腾、化泄或流动”形成实际阻断时，不得套用“寒凝会使原本存在的生化链效率下降”。</x:v>
      </x:c>
      <x:c r="AK53" s="82" t="str">
        <x:v>采用</x:v>
      </x:c>
      <x:c r="AL53" s="82" t="str">
        <x:v>初审</x:v>
      </x:c>
      <x:c r="AM53" s="87" t="n">
        <x:v>46255</x:v>
      </x:c>
    </x:row>
    <x:row r="54">
      <x:c r="A54" s="72" t="str">
        <x:f>IF(OR(C54="",D54=""),"",B54&amp;"-"&amp;UPPER(C54)&amp;"-"&amp;TEXT(D54,"0000")&amp;"-"&amp;E54)</x:f>
        <x:v>M12-BLOCK-0048-V1.0</x:v>
      </x:c>
      <x:c r="B54" s="74" t="str">
        <x:v>M12</x:v>
      </x:c>
      <x:c r="C54" s="74" t="str">
        <x:v>BLOCK</x:v>
      </x:c>
      <x:c r="D54" s="215" t="n">
        <x:v>48</x:v>
      </x:c>
      <x:c r="E54" s="74" t="str">
        <x:v>V1.0</x:v>
      </x:c>
      <x:c r="F54" s="68" t="str">
        <x:v>燥枯会使原本存在的生化链失去润泽</x:v>
      </x:c>
      <x:c r="G54" s="82" t="str">
        <x:v>结构层</x:v>
      </x:c>
      <x:c r="H54" s="68" t="str">
        <x:v>五行生化路径</x:v>
      </x:c>
      <x:c r="I54" s="68" t="str">
        <x:v>燥局源头</x:v>
      </x:c>
      <x:c r="J54" s="68" t="str">
        <x:v>受燥枯关键五行</x:v>
      </x:c>
      <x:c r="K54" s="68" t="str">
        <x:v>下游</x:v>
      </x:c>
      <x:c r="L54" s="82" t="str">
        <x:v>待定</x:v>
      </x:c>
      <x:c r="M54" s="82" t="str">
        <x:v>待定</x:v>
      </x:c>
      <x:c r="N54" s="68" t="str">
        <x:v>待定</x:v>
      </x:c>
      <x:c r="O54" s="68" t="str">
        <x:v>待定</x:v>
      </x:c>
      <x:c r="P54" s="68" t="str">
        <x:v>待定</x:v>
      </x:c>
      <x:c r="Q54" s="82" t="str">
        <x:v>局部阻塞</x:v>
      </x:c>
      <x:c r="R54" s="82" t="str">
        <x:v>燥枯</x:v>
      </x:c>
      <x:c r="S54" s="68" t="str">
        <x:v>关键节点</x:v>
      </x:c>
      <x:c r="T54" s="68" t="str">
        <x:v>高燥状态使关键五行失去持续生发、润泽或承接能力</x:v>
      </x:c>
      <x:c r="U54" s="68" t="str">
        <x:v>水</x:v>
      </x:c>
      <x:c r="V54" s="68" t="str">
        <x:v>M13确认水可润燥且无寒湿过度副作用</x:v>
      </x:c>
      <x:c r="W54" s="90" t="str">
        <x:v>需检查对调候、格局、日主承载及其他通路的副作用</x:v>
      </x:c>
      <x:c r="X54" s="68" t="str">
        <x:v>M06关系效应、M08五行有效旺衰、M10十神功能与M11组合判断已完成</x:v>
      </x:c>
      <x:c r="Y54" s="68" t="str">
        <x:v>起点、桥梁、终点均按有效力量与实际作用路径判断</x:v>
      </x:c>
      <x:c r="Z54" s="68" t="str">
        <x:v>桥梁有根有源、透达、位置可达且不存在关键制约</x:v>
      </x:c>
      <x:c r="AA54" s="68" t="str">
        <x:v>桥梁失令、无根、受克、合绊、改性或同时被多路调用</x:v>
      </x:c>
      <x:c r="AB54" s="90" t="str">
        <x:v>不得仅因五行缺失、数量少或关系名称直接认定卡点或通关用神</x:v>
      </x:c>
      <x:c r="AC54" s="68" t="str">
        <x:v>若存在更短、更强或副作用更小的替代路径，应并列比较后再裁定</x:v>
      </x:c>
      <x:c r="AD54" s="84" t="str">
        <x:v>M12_BLOCK_流通判定</x:v>
      </x:c>
      <x:c r="AE54" s="84" t="str">
        <x:v>燥枯会使原本存在的生化链失去润泽：按起点—桥梁—终点检查有效力量、连续性与承载；卡点为“燥枯”时，仅生成通关候选，不直接定用神。</x:v>
      </x:c>
      <x:c r="AF54" s="82" t="str">
        <x:v>较高</x:v>
      </x:c>
      <x:c r="AG54" s="82" t="str">
        <x:v>现代综合</x:v>
      </x:c>
      <x:c r="AH54" s="68" t="str">
        <x:v>流通判断以五行有效力量、生克顺序与十神功能为核心；古典依据可参照《滴天髓》《渊海子平》。 https://zh.wikisource.org/wiki/%E6%BB%B4%E5%A4%A9%E9%AB%93%E9%97%A1%E5%BE%AE https://zh.wikisource.org/zh-hans/%E6%B7%B5%E6%B5%B7%E5%AD%90%E5%B9%B3</x:v>
      </x:c>
      <x:c r="AI54" s="68" t="str">
        <x:v>当“高燥状态使关键五行失去持续生发、润泽或承接能力”真实成立，且桥梁具备有效力量和连续作用条件时，可按“燥枯会使原本存在的生化链失去润泽”记录。</x:v>
      </x:c>
      <x:c r="AJ54" s="90" t="str">
        <x:v>仅见表面缺失或五行相克，但未证明“高燥状态使关键五行失去持续生发、润泽或承接能力”形成实际阻断时，不得套用“燥枯会使原本存在的生化链失去润泽”。</x:v>
      </x:c>
      <x:c r="AK54" s="82" t="str">
        <x:v>采用</x:v>
      </x:c>
      <x:c r="AL54" s="82" t="str">
        <x:v>初审</x:v>
      </x:c>
      <x:c r="AM54" s="87" t="n">
        <x:v>46255</x:v>
      </x:c>
    </x:row>
    <x:row r="55">
      <x:c r="A55" s="72" t="str">
        <x:f>IF(OR(C55="",D55=""),"",B55&amp;"-"&amp;UPPER(C55)&amp;"-"&amp;TEXT(D55,"0000")&amp;"-"&amp;E55)</x:f>
        <x:v>M12-BLOCK-0049-V1.0</x:v>
      </x:c>
      <x:c r="B55" s="74" t="str">
        <x:v>M12</x:v>
      </x:c>
      <x:c r="C55" s="74" t="str">
        <x:v>BLOCK</x:v>
      </x:c>
      <x:c r="D55" s="215" t="n">
        <x:v>49</x:v>
      </x:c>
      <x:c r="E55" s="74" t="str">
        <x:v>V1.0</x:v>
      </x:c>
      <x:c r="F55" s="68" t="str">
        <x:v>链路过长会导致末端获得的有效力量递减</x:v>
      </x:c>
      <x:c r="G55" s="82" t="str">
        <x:v>结构层</x:v>
      </x:c>
      <x:c r="H55" s="68" t="str">
        <x:v>五行生化路径</x:v>
      </x:c>
      <x:c r="I55" s="68" t="str">
        <x:v>远端源头</x:v>
      </x:c>
      <x:c r="J55" s="68" t="str">
        <x:v>两层以上中间节点</x:v>
      </x:c>
      <x:c r="K55" s="68" t="str">
        <x:v>末端</x:v>
      </x:c>
      <x:c r="L55" s="82" t="str">
        <x:v>待定</x:v>
      </x:c>
      <x:c r="M55" s="82" t="str">
        <x:v>待定</x:v>
      </x:c>
      <x:c r="N55" s="68" t="str">
        <x:v>待定</x:v>
      </x:c>
      <x:c r="O55" s="68" t="str">
        <x:v>待定</x:v>
      </x:c>
      <x:c r="P55" s="68" t="str">
        <x:v>待定</x:v>
      </x:c>
      <x:c r="Q55" s="82" t="str">
        <x:v>局部阻塞</x:v>
      </x:c>
      <x:c r="R55" s="82" t="str">
        <x:v>链路过长</x:v>
      </x:c>
      <x:c r="S55" s="68" t="str">
        <x:v>整条路径</x:v>
      </x:c>
      <x:c r="T55" s="68" t="str">
        <x:v>每经过一层都需要中间节点自身有效并承担传递成本</x:v>
      </x:c>
      <x:c r="U55" s="68" t="str">
        <x:v>待定</x:v>
      </x:c>
      <x:c r="V55" s="68" t="str">
        <x:v>待定</x:v>
      </x:c>
      <x:c r="W55" s="90" t="str">
        <x:v>需检查对调候、格局、日主承载及其他通路的副作用</x:v>
      </x:c>
      <x:c r="X55" s="68" t="str">
        <x:v>M06关系效应、M08五行有效旺衰、M10十神功能与M11组合判断已完成</x:v>
      </x:c>
      <x:c r="Y55" s="68" t="str">
        <x:v>起点、桥梁、终点均按有效力量与实际作用路径判断</x:v>
      </x:c>
      <x:c r="Z55" s="68" t="str">
        <x:v>桥梁有根有源、透达、位置可达且不存在关键制约</x:v>
      </x:c>
      <x:c r="AA55" s="68" t="str">
        <x:v>桥梁失令、无根、受克、合绊、改性或同时被多路调用</x:v>
      </x:c>
      <x:c r="AB55" s="90" t="str">
        <x:v>不得仅因五行缺失、数量少或关系名称直接认定卡点或通关用神</x:v>
      </x:c>
      <x:c r="AC55" s="68" t="str">
        <x:v>若存在更短、更强或副作用更小的替代路径，应并列比较后再裁定</x:v>
      </x:c>
      <x:c r="AD55" s="84" t="str">
        <x:v>M12_BLOCK_流通判定</x:v>
      </x:c>
      <x:c r="AE55" s="84" t="str">
        <x:v>链路过长会导致末端获得的有效力量递减：按起点—桥梁—终点检查有效力量、连续性与承载；卡点为“链路过长”时，仅生成通关候选，不直接定用神。</x:v>
      </x:c>
      <x:c r="AF55" s="82" t="str">
        <x:v>较高</x:v>
      </x:c>
      <x:c r="AG55" s="82" t="str">
        <x:v>现代综合</x:v>
      </x:c>
      <x:c r="AH55" s="68" t="str">
        <x:v>流通判断以五行有效力量、生克顺序与十神功能为核心；古典依据可参照《滴天髓》《渊海子平》。 https://zh.wikisource.org/wiki/%E6%BB%B4%E5%A4%A9%E9%AB%93%E9%97%A1%E5%BE%AE https://zh.wikisource.org/zh-hans/%E6%B7%B5%E6%B5%B7%E5%AD%90%E5%B9%B3</x:v>
      </x:c>
      <x:c r="AI55" s="68" t="str">
        <x:v>当“每经过一层都需要中间节点自身有效并承担传递成本”真实成立，且桥梁具备有效力量和连续作用条件时，可按“链路过长会导致末端获得的有效力量递减”记录。</x:v>
      </x:c>
      <x:c r="AJ55" s="90" t="str">
        <x:v>仅见表面缺失或五行相克，但未证明“每经过一层都需要中间节点自身有效并承担传递成本”形成实际阻断时，不得套用“链路过长会导致末端获得的有效力量递减”。</x:v>
      </x:c>
      <x:c r="AK55" s="82" t="str">
        <x:v>采用</x:v>
      </x:c>
      <x:c r="AL55" s="82" t="str">
        <x:v>初审</x:v>
      </x:c>
      <x:c r="AM55" s="87" t="n">
        <x:v>46255</x:v>
      </x:c>
    </x:row>
    <x:row r="56">
      <x:c r="A56" s="72" t="str">
        <x:f>IF(OR(C56="",D56=""),"",B56&amp;"-"&amp;UPPER(C56)&amp;"-"&amp;TEXT(D56,"0000")&amp;"-"&amp;E56)</x:f>
        <x:v>M12-BLOCK-0050-V1.0</x:v>
      </x:c>
      <x:c r="B56" s="74" t="str">
        <x:v>M12</x:v>
      </x:c>
      <x:c r="C56" s="74" t="str">
        <x:v>BLOCK</x:v>
      </x:c>
      <x:c r="D56" s="215" t="n">
        <x:v>50</x:v>
      </x:c>
      <x:c r="E56" s="74" t="str">
        <x:v>V1.0</x:v>
      </x:c>
      <x:c r="F56" s="68" t="str">
        <x:v>回流壅塞表现为力量在局部反复循环而不能外泄</x:v>
      </x:c>
      <x:c r="G56" s="82" t="str">
        <x:v>结构层</x:v>
      </x:c>
      <x:c r="H56" s="68" t="str">
        <x:v>五行生化路径</x:v>
      </x:c>
      <x:c r="I56" s="68" t="str">
        <x:v>强源头</x:v>
      </x:c>
      <x:c r="J56" s="68" t="str">
        <x:v>强中间节点</x:v>
      </x:c>
      <x:c r="K56" s="68" t="str">
        <x:v>又返回原集团的节点</x:v>
      </x:c>
      <x:c r="L56" s="82" t="str">
        <x:v>待定</x:v>
      </x:c>
      <x:c r="M56" s="82" t="str">
        <x:v>待定</x:v>
      </x:c>
      <x:c r="N56" s="68" t="str">
        <x:v>待定</x:v>
      </x:c>
      <x:c r="O56" s="68" t="str">
        <x:v>待定</x:v>
      </x:c>
      <x:c r="P56" s="68" t="str">
        <x:v>待定</x:v>
      </x:c>
      <x:c r="Q56" s="82" t="str">
        <x:v>局部阻塞</x:v>
      </x:c>
      <x:c r="R56" s="82" t="str">
        <x:v>回流壅塞</x:v>
      </x:c>
      <x:c r="S56" s="68" t="str">
        <x:v>循环节点</x:v>
      </x:c>
      <x:c r="T56" s="68" t="str">
        <x:v>生化关系形成内部循环，缺乏有效外泄终点</x:v>
      </x:c>
      <x:c r="U56" s="68" t="str">
        <x:v>待定</x:v>
      </x:c>
      <x:c r="V56" s="68" t="str">
        <x:v>待定</x:v>
      </x:c>
      <x:c r="W56" s="90" t="str">
        <x:v>需检查对调候、格局、日主承载及其他通路的副作用</x:v>
      </x:c>
      <x:c r="X56" s="68" t="str">
        <x:v>M06关系效应、M08五行有效旺衰、M10十神功能与M11组合判断已完成</x:v>
      </x:c>
      <x:c r="Y56" s="68" t="str">
        <x:v>起点、桥梁、终点均按有效力量与实际作用路径判断</x:v>
      </x:c>
      <x:c r="Z56" s="68" t="str">
        <x:v>桥梁有根有源、透达、位置可达且不存在关键制约</x:v>
      </x:c>
      <x:c r="AA56" s="68" t="str">
        <x:v>桥梁失令、无根、受克、合绊、改性或同时被多路调用</x:v>
      </x:c>
      <x:c r="AB56" s="90" t="str">
        <x:v>不得仅因五行缺失、数量少或关系名称直接认定卡点或通关用神</x:v>
      </x:c>
      <x:c r="AC56" s="68" t="str">
        <x:v>若存在更短、更强或副作用更小的替代路径，应并列比较后再裁定</x:v>
      </x:c>
      <x:c r="AD56" s="84" t="str">
        <x:v>M12_BLOCK_流通判定</x:v>
      </x:c>
      <x:c r="AE56" s="84" t="str">
        <x:v>回流壅塞表现为力量在局部反复循环而不能外泄：按起点—桥梁—终点检查有效力量、连续性与承载；卡点为“回流壅塞”时，仅生成通关候选，不直接定用神。</x:v>
      </x:c>
      <x:c r="AF56" s="82" t="str">
        <x:v>较高</x:v>
      </x:c>
      <x:c r="AG56" s="82" t="str">
        <x:v>现代综合</x:v>
      </x:c>
      <x:c r="AH56" s="68" t="str">
        <x:v>流通判断以五行有效力量、生克顺序与十神功能为核心；古典依据可参照《滴天髓》《渊海子平》。 https://zh.wikisource.org/wiki/%E6%BB%B4%E5%A4%A9%E9%AB%93%E9%97%A1%E5%BE%AE https://zh.wikisource.org/zh-hans/%E6%B7%B5%E6%B5%B7%E5%AD%90%E5%B9%B3</x:v>
      </x:c>
      <x:c r="AI56" s="68" t="str">
        <x:v>当“生化关系形成内部循环，缺乏有效外泄终点”真实成立，且桥梁具备有效力量和连续作用条件时，可按“回流壅塞表现为力量在局部反复循环而不能外泄”记录。</x:v>
      </x:c>
      <x:c r="AJ56" s="90" t="str">
        <x:v>仅见表面缺失或五行相克，但未证明“生化关系形成内部循环，缺乏有效外泄终点”形成实际阻断时，不得套用“回流壅塞表现为力量在局部反复循环而不能外泄”。</x:v>
      </x:c>
      <x:c r="AK56" s="82" t="str">
        <x:v>采用</x:v>
      </x:c>
      <x:c r="AL56" s="82" t="str">
        <x:v>初审</x:v>
      </x:c>
      <x:c r="AM56" s="87" t="n">
        <x:v>46255</x:v>
      </x:c>
    </x:row>
    <x:row r="57">
      <x:c r="A57" s="72" t="str">
        <x:f>IF(OR(C57="",D57=""),"",B57&amp;"-"&amp;UPPER(C57)&amp;"-"&amp;TEXT(D57,"0000")&amp;"-"&amp;E57)</x:f>
        <x:v>M12-BLOCK-0051-V1.0</x:v>
      </x:c>
      <x:c r="B57" s="74" t="str">
        <x:v>M12</x:v>
      </x:c>
      <x:c r="C57" s="74" t="str">
        <x:v>BLOCK</x:v>
      </x:c>
      <x:c r="D57" s="215" t="n">
        <x:v>51</x:v>
      </x:c>
      <x:c r="E57" s="74" t="str">
        <x:v>V1.0</x:v>
      </x:c>
      <x:c r="F57" s="68" t="str">
        <x:v>桥梁被改性会造成路径方向突变</x:v>
      </x:c>
      <x:c r="G57" s="82" t="str">
        <x:v>结构层</x:v>
      </x:c>
      <x:c r="H57" s="68" t="str">
        <x:v>五行生化路径</x:v>
      </x:c>
      <x:c r="I57" s="68" t="str">
        <x:v>原上游</x:v>
      </x:c>
      <x:c r="J57" s="68" t="str">
        <x:v>合化或会局改性的桥梁</x:v>
      </x:c>
      <x:c r="K57" s="68" t="str">
        <x:v>原下游</x:v>
      </x:c>
      <x:c r="L57" s="82" t="str">
        <x:v>待定</x:v>
      </x:c>
      <x:c r="M57" s="82" t="str">
        <x:v>待定</x:v>
      </x:c>
      <x:c r="N57" s="68" t="str">
        <x:v>待定</x:v>
      </x:c>
      <x:c r="O57" s="68" t="str">
        <x:v>待定</x:v>
      </x:c>
      <x:c r="P57" s="68" t="str">
        <x:v>待定</x:v>
      </x:c>
      <x:c r="Q57" s="82" t="str">
        <x:v>无有效路径</x:v>
      </x:c>
      <x:c r="R57" s="82" t="str">
        <x:v>其他</x:v>
      </x:c>
      <x:c r="S57" s="68" t="str">
        <x:v>桥梁</x:v>
      </x:c>
      <x:c r="T57" s="68" t="str">
        <x:v>桥梁五行属性改变，原来生克关系被替换</x:v>
      </x:c>
      <x:c r="U57" s="68" t="str">
        <x:v>待定</x:v>
      </x:c>
      <x:c r="V57" s="68" t="str">
        <x:v>待定</x:v>
      </x:c>
      <x:c r="W57" s="90" t="str">
        <x:v>需检查对调候、格局、日主承载及其他通路的副作用</x:v>
      </x:c>
      <x:c r="X57" s="68" t="str">
        <x:v>M06关系效应、M08五行有效旺衰、M10十神功能与M11组合判断已完成</x:v>
      </x:c>
      <x:c r="Y57" s="68" t="str">
        <x:v>起点、桥梁、终点均按有效力量与实际作用路径判断</x:v>
      </x:c>
      <x:c r="Z57" s="68" t="str">
        <x:v>桥梁有根有源、透达、位置可达且不存在关键制约</x:v>
      </x:c>
      <x:c r="AA57" s="68" t="str">
        <x:v>桥梁失令、无根、受克、合绊、改性或同时被多路调用</x:v>
      </x:c>
      <x:c r="AB57" s="90" t="str">
        <x:v>不得仅因五行缺失、数量少或关系名称直接认定卡点或通关用神</x:v>
      </x:c>
      <x:c r="AC57" s="68" t="str">
        <x:v>若存在更短、更强或副作用更小的替代路径，应并列比较后再裁定</x:v>
      </x:c>
      <x:c r="AD57" s="84" t="str">
        <x:v>M12_BLOCK_流通判定</x:v>
      </x:c>
      <x:c r="AE57" s="84" t="str">
        <x:v>桥梁被改性会造成路径方向突变：按起点—桥梁—终点检查有效力量、连续性与承载；卡点为“其他”时，仅生成通关候选，不直接定用神。</x:v>
      </x:c>
      <x:c r="AF57" s="82" t="str">
        <x:v>较高</x:v>
      </x:c>
      <x:c r="AG57" s="82" t="str">
        <x:v>现代综合</x:v>
      </x:c>
      <x:c r="AH57" s="68" t="str">
        <x:v>流通判断以五行有效力量、生克顺序与十神功能为核心；古典依据可参照《滴天髓》《渊海子平》。 https://zh.wikisource.org/wiki/%E6%BB%B4%E5%A4%A9%E9%AB%93%E9%97%A1%E5%BE%AE https://zh.wikisource.org/zh-hans/%E6%B7%B5%E6%B5%B7%E5%AD%90%E5%B9%B3</x:v>
      </x:c>
      <x:c r="AI57" s="68" t="str">
        <x:v>当“桥梁五行属性改变，原来生克关系被替换”真实成立，且桥梁具备有效力量和连续作用条件时，可按“桥梁被改性会造成路径方向突变”记录。</x:v>
      </x:c>
      <x:c r="AJ57" s="90" t="str">
        <x:v>仅见表面缺失或五行相克，但未证明“桥梁五行属性改变，原来生克关系被替换”形成实际阻断时，不得套用“桥梁被改性会造成路径方向突变”。</x:v>
      </x:c>
      <x:c r="AK57" s="82" t="str">
        <x:v>采用</x:v>
      </x:c>
      <x:c r="AL57" s="82" t="str">
        <x:v>初审</x:v>
      </x:c>
      <x:c r="AM57" s="87" t="n">
        <x:v>46255</x:v>
      </x:c>
    </x:row>
    <x:row r="58">
      <x:c r="A58" s="72" t="str">
        <x:f>IF(OR(C58="",D58=""),"",B58&amp;"-"&amp;UPPER(C58)&amp;"-"&amp;TEXT(D58,"0000")&amp;"-"&amp;E58)</x:f>
        <x:v>M12-BLOCK-0052-V1.0</x:v>
      </x:c>
      <x:c r="B58" s="74" t="str">
        <x:v>M12</x:v>
      </x:c>
      <x:c r="C58" s="74" t="str">
        <x:v>BLOCK</x:v>
      </x:c>
      <x:c r="D58" s="215" t="n">
        <x:v>52</x:v>
      </x:c>
      <x:c r="E58" s="74" t="str">
        <x:v>V1.0</x:v>
      </x:c>
      <x:c r="F58" s="68" t="str">
        <x:v>共享桥梁过载会形成路径竞争</x:v>
      </x:c>
      <x:c r="G58" s="82" t="str">
        <x:v>结构层</x:v>
      </x:c>
      <x:c r="H58" s="68" t="str">
        <x:v>五行生化路径</x:v>
      </x:c>
      <x:c r="I58" s="68" t="str">
        <x:v>两个以上上游</x:v>
      </x:c>
      <x:c r="J58" s="68" t="str">
        <x:v>同一中等桥梁</x:v>
      </x:c>
      <x:c r="K58" s="68" t="str">
        <x:v>不同终点</x:v>
      </x:c>
      <x:c r="L58" s="82" t="str">
        <x:v>待定</x:v>
      </x:c>
      <x:c r="M58" s="82" t="str">
        <x:v>待定</x:v>
      </x:c>
      <x:c r="N58" s="68" t="str">
        <x:v>待定</x:v>
      </x:c>
      <x:c r="O58" s="68" t="str">
        <x:v>待定</x:v>
      </x:c>
      <x:c r="P58" s="68" t="str">
        <x:v>待定</x:v>
      </x:c>
      <x:c r="Q58" s="82" t="str">
        <x:v>局部阻塞</x:v>
      </x:c>
      <x:c r="R58" s="82" t="str">
        <x:v>桥梁太弱</x:v>
      </x:c>
      <x:c r="S58" s="68" t="str">
        <x:v>桥梁</x:v>
      </x:c>
      <x:c r="T58" s="68" t="str">
        <x:v>桥梁有效力量不足以同时服务多条高强度路径</x:v>
      </x:c>
      <x:c r="U58" s="68" t="str">
        <x:v>待定</x:v>
      </x:c>
      <x:c r="V58" s="68" t="str">
        <x:v>待定</x:v>
      </x:c>
      <x:c r="W58" s="90" t="str">
        <x:v>需检查对调候、格局、日主承载及其他通路的副作用</x:v>
      </x:c>
      <x:c r="X58" s="68" t="str">
        <x:v>M06关系效应、M08五行有效旺衰、M10十神功能与M11组合判断已完成</x:v>
      </x:c>
      <x:c r="Y58" s="68" t="str">
        <x:v>起点、桥梁、终点均按有效力量与实际作用路径判断</x:v>
      </x:c>
      <x:c r="Z58" s="68" t="str">
        <x:v>桥梁有根有源、透达、位置可达且不存在关键制约</x:v>
      </x:c>
      <x:c r="AA58" s="68" t="str">
        <x:v>桥梁失令、无根、受克、合绊、改性或同时被多路调用</x:v>
      </x:c>
      <x:c r="AB58" s="90" t="str">
        <x:v>不得仅因五行缺失、数量少或关系名称直接认定卡点或通关用神</x:v>
      </x:c>
      <x:c r="AC58" s="68" t="str">
        <x:v>若存在更短、更强或副作用更小的替代路径，应并列比较后再裁定</x:v>
      </x:c>
      <x:c r="AD58" s="84" t="str">
        <x:v>M12_BLOCK_流通判定</x:v>
      </x:c>
      <x:c r="AE58" s="84" t="str">
        <x:v>共享桥梁过载会形成路径竞争：按起点—桥梁—终点检查有效力量、连续性与承载；卡点为“桥梁太弱”时，仅生成通关候选，不直接定用神。</x:v>
      </x:c>
      <x:c r="AF58" s="82" t="str">
        <x:v>较高</x:v>
      </x:c>
      <x:c r="AG58" s="82" t="str">
        <x:v>现代综合</x:v>
      </x:c>
      <x:c r="AH58" s="68" t="str">
        <x:v>流通判断以五行有效力量、生克顺序与十神功能为核心；古典依据可参照《滴天髓》《渊海子平》。 https://zh.wikisource.org/wiki/%E6%BB%B4%E5%A4%A9%E9%AB%93%E9%97%A1%E5%BE%AE https://zh.wikisource.org/zh-hans/%E6%B7%B5%E6%B5%B7%E5%AD%90%E5%B9%B3</x:v>
      </x:c>
      <x:c r="AI58" s="68" t="str">
        <x:v>当“桥梁有效力量不足以同时服务多条高强度路径”真实成立，且桥梁具备有效力量和连续作用条件时，可按“共享桥梁过载会形成路径竞争”记录。</x:v>
      </x:c>
      <x:c r="AJ58" s="90" t="str">
        <x:v>仅见表面缺失或五行相克，但未证明“桥梁有效力量不足以同时服务多条高强度路径”形成实际阻断时，不得套用“共享桥梁过载会形成路径竞争”。</x:v>
      </x:c>
      <x:c r="AK58" s="82" t="str">
        <x:v>采用</x:v>
      </x:c>
      <x:c r="AL58" s="82" t="str">
        <x:v>初审</x:v>
      </x:c>
      <x:c r="AM58" s="87" t="n">
        <x:v>46255</x:v>
      </x:c>
    </x:row>
    <x:row r="59">
      <x:c r="A59" s="72" t="str">
        <x:f>IF(OR(C59="",D59=""),"",B59&amp;"-"&amp;UPPER(C59)&amp;"-"&amp;TEXT(D59,"0000")&amp;"-"&amp;E59)</x:f>
        <x:v>M12-BLOCK-0053-V1.0</x:v>
      </x:c>
      <x:c r="B59" s="74" t="str">
        <x:v>M12</x:v>
      </x:c>
      <x:c r="C59" s="74" t="str">
        <x:v>BLOCK</x:v>
      </x:c>
      <x:c r="D59" s="215" t="n">
        <x:v>53</x:v>
      </x:c>
      <x:c r="E59" s="74" t="str">
        <x:v>V1.0</x:v>
      </x:c>
      <x:c r="F59" s="68" t="str">
        <x:v>一处卡点被修复后可能暴露下一处次级卡点</x:v>
      </x:c>
      <x:c r="G59" s="82" t="str">
        <x:v>结构层</x:v>
      </x:c>
      <x:c r="H59" s="68" t="str">
        <x:v>五行生化路径</x:v>
      </x:c>
      <x:c r="I59" s="68" t="str">
        <x:v>修复后的源头</x:v>
      </x:c>
      <x:c r="J59" s="68" t="str">
        <x:v>已恢复桥梁</x:v>
      </x:c>
      <x:c r="K59" s="68" t="str">
        <x:v>下一弱节点</x:v>
      </x:c>
      <x:c r="L59" s="82" t="str">
        <x:v>待定</x:v>
      </x:c>
      <x:c r="M59" s="82" t="str">
        <x:v>待定</x:v>
      </x:c>
      <x:c r="N59" s="68" t="str">
        <x:v>待定</x:v>
      </x:c>
      <x:c r="O59" s="68" t="str">
        <x:v>待定</x:v>
      </x:c>
      <x:c r="P59" s="68" t="str">
        <x:v>待定</x:v>
      </x:c>
      <x:c r="Q59" s="82" t="str">
        <x:v>基本通畅</x:v>
      </x:c>
      <x:c r="R59" s="82" t="str">
        <x:v>其他</x:v>
      </x:c>
      <x:c r="S59" s="68" t="str">
        <x:v>下游次级节点</x:v>
      </x:c>
      <x:c r="T59" s="68" t="str">
        <x:v>原第一卡点消失后，力量继续向下游传递并暴露新的承载不足</x:v>
      </x:c>
      <x:c r="U59" s="68" t="str">
        <x:v>待定</x:v>
      </x:c>
      <x:c r="V59" s="68" t="str">
        <x:v>待定</x:v>
      </x:c>
      <x:c r="W59" s="90" t="str">
        <x:v>需检查对调候、格局、日主承载及其他通路的副作用</x:v>
      </x:c>
      <x:c r="X59" s="68" t="str">
        <x:v>M06关系效应、M08五行有效旺衰、M10十神功能与M11组合判断已完成</x:v>
      </x:c>
      <x:c r="Y59" s="68" t="str">
        <x:v>起点、桥梁、终点均按有效力量与实际作用路径判断</x:v>
      </x:c>
      <x:c r="Z59" s="68" t="str">
        <x:v>桥梁有根有源、透达、位置可达且不存在关键制约</x:v>
      </x:c>
      <x:c r="AA59" s="68" t="str">
        <x:v>桥梁失令、无根、受克、合绊、改性或同时被多路调用</x:v>
      </x:c>
      <x:c r="AB59" s="90" t="str">
        <x:v>不得仅因五行缺失、数量少或关系名称直接认定卡点或通关用神</x:v>
      </x:c>
      <x:c r="AC59" s="68" t="str">
        <x:v>若存在更短、更强或副作用更小的替代路径，应并列比较后再裁定</x:v>
      </x:c>
      <x:c r="AD59" s="84" t="str">
        <x:v>卡点递进</x:v>
      </x:c>
      <x:c r="AE59" s="84" t="str">
        <x:v>一处卡点被修复后可能暴露下一处次级卡点：按起点—桥梁—终点检查有效力量、连续性与承载；卡点为“其他”时，仅生成通关候选，不直接定用神。</x:v>
      </x:c>
      <x:c r="AF59" s="82" t="str">
        <x:v>较高</x:v>
      </x:c>
      <x:c r="AG59" s="82" t="str">
        <x:v>现代综合</x:v>
      </x:c>
      <x:c r="AH59" s="68" t="str">
        <x:v>流通判断以五行有效力量、生克顺序与十神功能为核心；古典依据可参照《滴天髓》《渊海子平》。 https://zh.wikisource.org/wiki/%E6%BB%B4%E5%A4%A9%E9%AB%93%E9%97%A1%E5%BE%AE https://zh.wikisource.org/zh-hans/%E6%B7%B5%E6%B5%B7%E5%AD%90%E5%B9%B3</x:v>
      </x:c>
      <x:c r="AI59" s="68" t="str">
        <x:v>当“原第一卡点消失后，力量继续向下游传递并暴露新的承载不足”真实成立，且桥梁具备有效力量和连续作用条件时，可按“一处卡点被修复后可能暴露下一处次级卡点”记录。</x:v>
      </x:c>
      <x:c r="AJ59" s="90" t="str">
        <x:v>仅见表面缺失或五行相克，但未证明“原第一卡点消失后，力量继续向下游传递并暴露新的承载不足”形成实际阻断时，不得套用“一处卡点被修复后可能暴露下一处次级卡点”。</x:v>
      </x:c>
      <x:c r="AK59" s="82" t="str">
        <x:v>采用</x:v>
      </x:c>
      <x:c r="AL59" s="82" t="str">
        <x:v>初审</x:v>
      </x:c>
      <x:c r="AM59" s="87" t="n">
        <x:v>46255</x:v>
      </x:c>
    </x:row>
    <x:row r="60">
      <x:c r="A60" s="72" t="str">
        <x:f>IF(OR(C60="",D60=""),"",B60&amp;"-"&amp;UPPER(C60)&amp;"-"&amp;TEXT(D60,"0000")&amp;"-"&amp;E60)</x:f>
        <x:v>M12-BLOCK-0054-V1.0</x:v>
      </x:c>
      <x:c r="B60" s="74" t="str">
        <x:v>M12</x:v>
      </x:c>
      <x:c r="C60" s="74" t="str">
        <x:v>BLOCK</x:v>
      </x:c>
      <x:c r="D60" s="215" t="n">
        <x:v>54</x:v>
      </x:c>
      <x:c r="E60" s="74" t="str">
        <x:v>V1.0</x:v>
      </x:c>
      <x:c r="F60" s="68" t="str">
        <x:v>同一原局可同时存在多个卡点但需排序主次</x:v>
      </x:c>
      <x:c r="G60" s="82" t="str">
        <x:v>结构层</x:v>
      </x:c>
      <x:c r="H60" s="68" t="str">
        <x:v>五行生化路径</x:v>
      </x:c>
      <x:c r="I60" s="68" t="str">
        <x:v>多个源头</x:v>
      </x:c>
      <x:c r="J60" s="68" t="str">
        <x:v>多个桥梁</x:v>
      </x:c>
      <x:c r="K60" s="68" t="str">
        <x:v>多个终点</x:v>
      </x:c>
      <x:c r="L60" s="82" t="str">
        <x:v>待定</x:v>
      </x:c>
      <x:c r="M60" s="82" t="str">
        <x:v>待定</x:v>
      </x:c>
      <x:c r="N60" s="68" t="str">
        <x:v>待定</x:v>
      </x:c>
      <x:c r="O60" s="68" t="str">
        <x:v>待定</x:v>
      </x:c>
      <x:c r="P60" s="68" t="str">
        <x:v>待定</x:v>
      </x:c>
      <x:c r="Q60" s="82" t="str">
        <x:v>局部阻塞</x:v>
      </x:c>
      <x:c r="R60" s="82" t="str">
        <x:v>其他</x:v>
      </x:c>
      <x:c r="S60" s="68" t="str">
        <x:v>多处</x:v>
      </x:c>
      <x:c r="T60" s="68" t="str">
        <x:v>多条关键路径分别存在阻断，严重度和影响范围不同</x:v>
      </x:c>
      <x:c r="U60" s="68" t="str">
        <x:v>待定</x:v>
      </x:c>
      <x:c r="V60" s="68" t="str">
        <x:v>待定</x:v>
      </x:c>
      <x:c r="W60" s="90" t="str">
        <x:v>需检查对调候、格局、日主承载及其他通路的副作用</x:v>
      </x:c>
      <x:c r="X60" s="68" t="str">
        <x:v>M06关系效应、M08五行有效旺衰、M10十神功能与M11组合判断已完成</x:v>
      </x:c>
      <x:c r="Y60" s="68" t="str">
        <x:v>起点、桥梁、终点均按有效力量与实际作用路径判断</x:v>
      </x:c>
      <x:c r="Z60" s="68" t="str">
        <x:v>桥梁有根有源、透达、位置可达且不存在关键制约</x:v>
      </x:c>
      <x:c r="AA60" s="68" t="str">
        <x:v>桥梁失令、无根、受克、合绊、改性或同时被多路调用</x:v>
      </x:c>
      <x:c r="AB60" s="90" t="str">
        <x:v>不得仅因五行缺失、数量少或关系名称直接认定卡点或通关用神</x:v>
      </x:c>
      <x:c r="AC60" s="68" t="str">
        <x:v>若存在更短、更强或副作用更小的替代路径，应并列比较后再裁定</x:v>
      </x:c>
      <x:c r="AD60" s="84" t="str">
        <x:v>多卡点排序</x:v>
      </x:c>
      <x:c r="AE60" s="84" t="str">
        <x:v>存在多个卡点时，应按影响范围、阻断强度、是否涉及主导组合及可修复性排序为主卡点、次卡点，不做简单数量相加。</x:v>
      </x:c>
      <x:c r="AF60" s="82" t="str">
        <x:v>较高</x:v>
      </x:c>
      <x:c r="AG60" s="82" t="str">
        <x:v>现代综合</x:v>
      </x:c>
      <x:c r="AH60" s="68" t="str">
        <x:v>流通判断以五行有效力量、生克顺序与十神功能为核心；古典依据可参照《滴天髓》《渊海子平》。 https://zh.wikisource.org/wiki/%E6%BB%B4%E5%A4%A9%E9%AB%93%E9%97%A1%E5%BE%AE https://zh.wikisource.org/zh-hans/%E6%B7%B5%E6%B5%B7%E5%AD%90%E5%B9%B3</x:v>
      </x:c>
      <x:c r="AI60" s="68" t="str">
        <x:v>当“多条关键路径分别存在阻断，严重度和影响范围不同”真实成立，且桥梁具备有效力量和连续作用条件时，可按“同一原局可同时存在多个卡点但需排序主次”记录。</x:v>
      </x:c>
      <x:c r="AJ60" s="90" t="str">
        <x:v>仅见表面缺失或五行相克，但未证明“多条关键路径分别存在阻断，严重度和影响范围不同”形成实际阻断时，不得套用“同一原局可同时存在多个卡点但需排序主次”。</x:v>
      </x:c>
      <x:c r="AK60" s="82" t="str">
        <x:v>采用</x:v>
      </x:c>
      <x:c r="AL60" s="82" t="str">
        <x:v>初审</x:v>
      </x:c>
      <x:c r="AM60" s="87" t="n">
        <x:v>46255</x:v>
      </x:c>
    </x:row>
    <x:row r="61">
      <x:c r="A61" s="72" t="str">
        <x:f>IF(OR(C61="",D61=""),"",B61&amp;"-"&amp;UPPER(C61)&amp;"-"&amp;TEXT(D61,"0000")&amp;"-"&amp;E61)</x:f>
        <x:v>M12-WUXING-0055-V1.0</x:v>
      </x:c>
      <x:c r="B61" s="74" t="str">
        <x:v>M12</x:v>
      </x:c>
      <x:c r="C61" s="74" t="str">
        <x:v>WUXING</x:v>
      </x:c>
      <x:c r="D61" s="215" t="n">
        <x:v>55</x:v>
      </x:c>
      <x:c r="E61" s="74" t="str">
        <x:v>V1.0</x:v>
      </x:c>
      <x:c r="F61" s="68" t="str">
        <x:v>金水木连续生化</x:v>
      </x:c>
      <x:c r="G61" s="82" t="str">
        <x:v>结构层</x:v>
      </x:c>
      <x:c r="H61" s="68" t="str">
        <x:v>五行生化路径</x:v>
      </x:c>
      <x:c r="I61" s="68" t="str">
        <x:v>金</x:v>
      </x:c>
      <x:c r="J61" s="68" t="str">
        <x:v>水</x:v>
      </x:c>
      <x:c r="K61" s="68" t="str">
        <x:v>木</x:v>
      </x:c>
      <x:c r="L61" s="82" t="str">
        <x:v>待定</x:v>
      </x:c>
      <x:c r="M61" s="82" t="str">
        <x:v>待定</x:v>
      </x:c>
      <x:c r="N61" s="68" t="str">
        <x:v>待定</x:v>
      </x:c>
      <x:c r="O61" s="68" t="str">
        <x:v>待定</x:v>
      </x:c>
      <x:c r="P61" s="68" t="str">
        <x:v>待定</x:v>
      </x:c>
      <x:c r="Q61" s="82" t="str">
        <x:v>通畅</x:v>
      </x:c>
      <x:c r="R61" s="82" t="str">
        <x:v>其他</x:v>
      </x:c>
      <x:c r="S61" s="68" t="str">
        <x:v>待定</x:v>
      </x:c>
      <x:c r="T61" s="68" t="str">
        <x:v>金能生水，且水能够继续生木</x:v>
      </x:c>
      <x:c r="U61" s="68" t="str">
        <x:v>水</x:v>
      </x:c>
      <x:c r="V61" s="68" t="str">
        <x:v>水必须自身有效且不被关键克合阻断</x:v>
      </x:c>
      <x:c r="W61" s="90" t="str">
        <x:v>需检查对调候、格局、日主承载及其他通路的副作用</x:v>
      </x:c>
      <x:c r="X61" s="68" t="str">
        <x:v>M06关系效应、M08五行有效旺衰、M10十神功能与M11组合判断已完成</x:v>
      </x:c>
      <x:c r="Y61" s="68" t="str">
        <x:v>起点、桥梁、终点均按有效力量与实际作用路径判断</x:v>
      </x:c>
      <x:c r="Z61" s="68" t="str">
        <x:v>桥梁有根有源、透达、位置可达且不存在关键制约</x:v>
      </x:c>
      <x:c r="AA61" s="68" t="str">
        <x:v>桥梁失令、无根、受克、合绊、改性或同时被多路调用</x:v>
      </x:c>
      <x:c r="AB61" s="90" t="str">
        <x:v>不得仅因五行缺失、数量少或关系名称直接认定卡点或通关用神</x:v>
      </x:c>
      <x:c r="AC61" s="68" t="str">
        <x:v>若存在更短、更强或副作用更小的替代路径，应并列比较后再裁定</x:v>
      </x:c>
      <x:c r="AD61" s="84" t="str">
        <x:v>金水木_生化链</x:v>
      </x:c>
      <x:c r="AE61" s="84" t="str">
        <x:v>金水木连续生化：按起点—桥梁—终点检查有效力量、连续性与承载；卡点为“其他”时，仅生成通关候选，不直接定用神。</x:v>
      </x:c>
      <x:c r="AF61" s="82" t="str">
        <x:v>较高</x:v>
      </x:c>
      <x:c r="AG61" s="82" t="str">
        <x:v>现代综合</x:v>
      </x:c>
      <x:c r="AH61" s="68" t="str">
        <x:v>流通判断以五行有效力量、生克顺序与十神功能为核心；古典依据可参照《滴天髓》《渊海子平》。 https://zh.wikisource.org/wiki/%E6%BB%B4%E5%A4%A9%E9%AB%93%E9%97%A1%E5%BE%AE https://zh.wikisource.org/zh-hans/%E6%B7%B5%E6%B5%B7%E5%AD%90%E5%B9%B3</x:v>
      </x:c>
      <x:c r="AI61" s="68" t="str">
        <x:v>当“金能生水，且水能够继续生木”真实成立，且桥梁具备有效力量和连续作用条件时，可按“金水木连续生化”记录。</x:v>
      </x:c>
      <x:c r="AJ61" s="90" t="str">
        <x:v>仅见表面缺失或五行相克，但未证明“金能生水，且水能够继续生木”形成实际阻断时，不得套用“金水木连续生化”。</x:v>
      </x:c>
      <x:c r="AK61" s="82" t="str">
        <x:v>采用</x:v>
      </x:c>
      <x:c r="AL61" s="82" t="str">
        <x:v>初审</x:v>
      </x:c>
      <x:c r="AM61" s="87" t="n">
        <x:v>46255</x:v>
      </x:c>
    </x:row>
    <x:row r="62">
      <x:c r="A62" s="72" t="str">
        <x:f>IF(OR(C62="",D62=""),"",B62&amp;"-"&amp;UPPER(C62)&amp;"-"&amp;TEXT(D62,"0000")&amp;"-"&amp;E62)</x:f>
        <x:v>M12-WUXING-0056-V1.0</x:v>
      </x:c>
      <x:c r="B62" s="74" t="str">
        <x:v>M12</x:v>
      </x:c>
      <x:c r="C62" s="74" t="str">
        <x:v>WUXING</x:v>
      </x:c>
      <x:c r="D62" s="215" t="n">
        <x:v>56</x:v>
      </x:c>
      <x:c r="E62" s="74" t="str">
        <x:v>V1.0</x:v>
      </x:c>
      <x:c r="F62" s="68" t="str">
        <x:v>水木火连续生化</x:v>
      </x:c>
      <x:c r="G62" s="82" t="str">
        <x:v>结构层</x:v>
      </x:c>
      <x:c r="H62" s="68" t="str">
        <x:v>五行生化路径</x:v>
      </x:c>
      <x:c r="I62" s="68" t="str">
        <x:v>水</x:v>
      </x:c>
      <x:c r="J62" s="68" t="str">
        <x:v>木</x:v>
      </x:c>
      <x:c r="K62" s="68" t="str">
        <x:v>火</x:v>
      </x:c>
      <x:c r="L62" s="82" t="str">
        <x:v>待定</x:v>
      </x:c>
      <x:c r="M62" s="82" t="str">
        <x:v>待定</x:v>
      </x:c>
      <x:c r="N62" s="68" t="str">
        <x:v>待定</x:v>
      </x:c>
      <x:c r="O62" s="68" t="str">
        <x:v>待定</x:v>
      </x:c>
      <x:c r="P62" s="68" t="str">
        <x:v>待定</x:v>
      </x:c>
      <x:c r="Q62" s="82" t="str">
        <x:v>通畅</x:v>
      </x:c>
      <x:c r="R62" s="82" t="str">
        <x:v>其他</x:v>
      </x:c>
      <x:c r="S62" s="68" t="str">
        <x:v>待定</x:v>
      </x:c>
      <x:c r="T62" s="68" t="str">
        <x:v>水能生木，且木能够继续生火</x:v>
      </x:c>
      <x:c r="U62" s="68" t="str">
        <x:v>木</x:v>
      </x:c>
      <x:c r="V62" s="68" t="str">
        <x:v>木必须自身有效且不被关键克合阻断</x:v>
      </x:c>
      <x:c r="W62" s="90" t="str">
        <x:v>需检查对调候、格局、日主承载及其他通路的副作用</x:v>
      </x:c>
      <x:c r="X62" s="68" t="str">
        <x:v>M06关系效应、M08五行有效旺衰、M10十神功能与M11组合判断已完成</x:v>
      </x:c>
      <x:c r="Y62" s="68" t="str">
        <x:v>起点、桥梁、终点均按有效力量与实际作用路径判断</x:v>
      </x:c>
      <x:c r="Z62" s="68" t="str">
        <x:v>桥梁有根有源、透达、位置可达且不存在关键制约</x:v>
      </x:c>
      <x:c r="AA62" s="68" t="str">
        <x:v>桥梁失令、无根、受克、合绊、改性或同时被多路调用</x:v>
      </x:c>
      <x:c r="AB62" s="90" t="str">
        <x:v>不得仅因五行缺失、数量少或关系名称直接认定卡点或通关用神</x:v>
      </x:c>
      <x:c r="AC62" s="68" t="str">
        <x:v>若存在更短、更强或副作用更小的替代路径，应并列比较后再裁定</x:v>
      </x:c>
      <x:c r="AD62" s="84" t="str">
        <x:v>水木火_生化链</x:v>
      </x:c>
      <x:c r="AE62" s="84" t="str">
        <x:v>水木火连续生化：按起点—桥梁—终点检查有效力量、连续性与承载；卡点为“其他”时，仅生成通关候选，不直接定用神。</x:v>
      </x:c>
      <x:c r="AF62" s="82" t="str">
        <x:v>较高</x:v>
      </x:c>
      <x:c r="AG62" s="82" t="str">
        <x:v>现代综合</x:v>
      </x:c>
      <x:c r="AH62" s="68" t="str">
        <x:v>流通判断以五行有效力量、生克顺序与十神功能为核心；古典依据可参照《滴天髓》《渊海子平》。 https://zh.wikisource.org/wiki/%E6%BB%B4%E5%A4%A9%E9%AB%93%E9%97%A1%E5%BE%AE https://zh.wikisource.org/zh-hans/%E6%B7%B5%E6%B5%B7%E5%AD%90%E5%B9%B3</x:v>
      </x:c>
      <x:c r="AI62" s="68" t="str">
        <x:v>当“水能生木，且木能够继续生火”真实成立，且桥梁具备有效力量和连续作用条件时，可按“水木火连续生化”记录。</x:v>
      </x:c>
      <x:c r="AJ62" s="90" t="str">
        <x:v>仅见表面缺失或五行相克，但未证明“水能生木，且木能够继续生火”形成实际阻断时，不得套用“水木火连续生化”。</x:v>
      </x:c>
      <x:c r="AK62" s="82" t="str">
        <x:v>采用</x:v>
      </x:c>
      <x:c r="AL62" s="82" t="str">
        <x:v>初审</x:v>
      </x:c>
      <x:c r="AM62" s="87" t="n">
        <x:v>46255</x:v>
      </x:c>
    </x:row>
    <x:row r="63">
      <x:c r="A63" s="72" t="str">
        <x:f>IF(OR(C63="",D63=""),"",B63&amp;"-"&amp;UPPER(C63)&amp;"-"&amp;TEXT(D63,"0000")&amp;"-"&amp;E63)</x:f>
        <x:v>M12-WUXING-0057-V1.0</x:v>
      </x:c>
      <x:c r="B63" s="74" t="str">
        <x:v>M12</x:v>
      </x:c>
      <x:c r="C63" s="74" t="str">
        <x:v>WUXING</x:v>
      </x:c>
      <x:c r="D63" s="215" t="n">
        <x:v>57</x:v>
      </x:c>
      <x:c r="E63" s="74" t="str">
        <x:v>V1.0</x:v>
      </x:c>
      <x:c r="F63" s="68" t="str">
        <x:v>木火土连续生化</x:v>
      </x:c>
      <x:c r="G63" s="82" t="str">
        <x:v>结构层</x:v>
      </x:c>
      <x:c r="H63" s="68" t="str">
        <x:v>五行生化路径</x:v>
      </x:c>
      <x:c r="I63" s="68" t="str">
        <x:v>木</x:v>
      </x:c>
      <x:c r="J63" s="68" t="str">
        <x:v>火</x:v>
      </x:c>
      <x:c r="K63" s="68" t="str">
        <x:v>土</x:v>
      </x:c>
      <x:c r="L63" s="82" t="str">
        <x:v>待定</x:v>
      </x:c>
      <x:c r="M63" s="82" t="str">
        <x:v>待定</x:v>
      </x:c>
      <x:c r="N63" s="68" t="str">
        <x:v>待定</x:v>
      </x:c>
      <x:c r="O63" s="68" t="str">
        <x:v>待定</x:v>
      </x:c>
      <x:c r="P63" s="68" t="str">
        <x:v>待定</x:v>
      </x:c>
      <x:c r="Q63" s="82" t="str">
        <x:v>通畅</x:v>
      </x:c>
      <x:c r="R63" s="82" t="str">
        <x:v>其他</x:v>
      </x:c>
      <x:c r="S63" s="68" t="str">
        <x:v>待定</x:v>
      </x:c>
      <x:c r="T63" s="68" t="str">
        <x:v>木能生火，且火能够继续生土</x:v>
      </x:c>
      <x:c r="U63" s="68" t="str">
        <x:v>火</x:v>
      </x:c>
      <x:c r="V63" s="68" t="str">
        <x:v>火必须自身有效且不被关键克合阻断</x:v>
      </x:c>
      <x:c r="W63" s="90" t="str">
        <x:v>需检查对调候、格局、日主承载及其他通路的副作用</x:v>
      </x:c>
      <x:c r="X63" s="68" t="str">
        <x:v>M06关系效应、M08五行有效旺衰、M10十神功能与M11组合判断已完成</x:v>
      </x:c>
      <x:c r="Y63" s="68" t="str">
        <x:v>起点、桥梁、终点均按有效力量与实际作用路径判断</x:v>
      </x:c>
      <x:c r="Z63" s="68" t="str">
        <x:v>桥梁有根有源、透达、位置可达且不存在关键制约</x:v>
      </x:c>
      <x:c r="AA63" s="68" t="str">
        <x:v>桥梁失令、无根、受克、合绊、改性或同时被多路调用</x:v>
      </x:c>
      <x:c r="AB63" s="90" t="str">
        <x:v>不得仅因五行缺失、数量少或关系名称直接认定卡点或通关用神</x:v>
      </x:c>
      <x:c r="AC63" s="68" t="str">
        <x:v>若存在更短、更强或副作用更小的替代路径，应并列比较后再裁定</x:v>
      </x:c>
      <x:c r="AD63" s="84" t="str">
        <x:v>木火土_生化链</x:v>
      </x:c>
      <x:c r="AE63" s="84" t="str">
        <x:v>木火土连续生化：按起点—桥梁—终点检查有效力量、连续性与承载；卡点为“其他”时，仅生成通关候选，不直接定用神。</x:v>
      </x:c>
      <x:c r="AF63" s="82" t="str">
        <x:v>较高</x:v>
      </x:c>
      <x:c r="AG63" s="82" t="str">
        <x:v>现代综合</x:v>
      </x:c>
      <x:c r="AH63" s="68" t="str">
        <x:v>流通判断以五行有效力量、生克顺序与十神功能为核心；古典依据可参照《滴天髓》《渊海子平》。 https://zh.wikisource.org/wiki/%E6%BB%B4%E5%A4%A9%E9%AB%93%E9%97%A1%E5%BE%AE https://zh.wikisource.org/zh-hans/%E6%B7%B5%E6%B5%B7%E5%AD%90%E5%B9%B3</x:v>
      </x:c>
      <x:c r="AI63" s="68" t="str">
        <x:v>当“木能生火，且火能够继续生土”真实成立，且桥梁具备有效力量和连续作用条件时，可按“木火土连续生化”记录。</x:v>
      </x:c>
      <x:c r="AJ63" s="90" t="str">
        <x:v>仅见表面缺失或五行相克，但未证明“木能生火，且火能够继续生土”形成实际阻断时，不得套用“木火土连续生化”。</x:v>
      </x:c>
      <x:c r="AK63" s="82" t="str">
        <x:v>采用</x:v>
      </x:c>
      <x:c r="AL63" s="82" t="str">
        <x:v>初审</x:v>
      </x:c>
      <x:c r="AM63" s="87" t="n">
        <x:v>46255</x:v>
      </x:c>
    </x:row>
    <x:row r="64">
      <x:c r="A64" s="72" t="str">
        <x:f>IF(OR(C64="",D64=""),"",B64&amp;"-"&amp;UPPER(C64)&amp;"-"&amp;TEXT(D64,"0000")&amp;"-"&amp;E64)</x:f>
        <x:v>M12-WUXING-0058-V1.0</x:v>
      </x:c>
      <x:c r="B64" s="74" t="str">
        <x:v>M12</x:v>
      </x:c>
      <x:c r="C64" s="74" t="str">
        <x:v>WUXING</x:v>
      </x:c>
      <x:c r="D64" s="215" t="n">
        <x:v>58</x:v>
      </x:c>
      <x:c r="E64" s="74" t="str">
        <x:v>V1.0</x:v>
      </x:c>
      <x:c r="F64" s="68" t="str">
        <x:v>火土金连续生化</x:v>
      </x:c>
      <x:c r="G64" s="82" t="str">
        <x:v>结构层</x:v>
      </x:c>
      <x:c r="H64" s="68" t="str">
        <x:v>五行生化路径</x:v>
      </x:c>
      <x:c r="I64" s="68" t="str">
        <x:v>火</x:v>
      </x:c>
      <x:c r="J64" s="68" t="str">
        <x:v>土</x:v>
      </x:c>
      <x:c r="K64" s="68" t="str">
        <x:v>金</x:v>
      </x:c>
      <x:c r="L64" s="82" t="str">
        <x:v>待定</x:v>
      </x:c>
      <x:c r="M64" s="82" t="str">
        <x:v>待定</x:v>
      </x:c>
      <x:c r="N64" s="68" t="str">
        <x:v>待定</x:v>
      </x:c>
      <x:c r="O64" s="68" t="str">
        <x:v>待定</x:v>
      </x:c>
      <x:c r="P64" s="68" t="str">
        <x:v>待定</x:v>
      </x:c>
      <x:c r="Q64" s="82" t="str">
        <x:v>通畅</x:v>
      </x:c>
      <x:c r="R64" s="82" t="str">
        <x:v>其他</x:v>
      </x:c>
      <x:c r="S64" s="68" t="str">
        <x:v>待定</x:v>
      </x:c>
      <x:c r="T64" s="68" t="str">
        <x:v>火能生土，且土能够继续生金</x:v>
      </x:c>
      <x:c r="U64" s="68" t="str">
        <x:v>土</x:v>
      </x:c>
      <x:c r="V64" s="68" t="str">
        <x:v>土必须自身有效且不被关键克合阻断</x:v>
      </x:c>
      <x:c r="W64" s="90" t="str">
        <x:v>需检查对调候、格局、日主承载及其他通路的副作用</x:v>
      </x:c>
      <x:c r="X64" s="68" t="str">
        <x:v>M06关系效应、M08五行有效旺衰、M10十神功能与M11组合判断已完成</x:v>
      </x:c>
      <x:c r="Y64" s="68" t="str">
        <x:v>起点、桥梁、终点均按有效力量与实际作用路径判断</x:v>
      </x:c>
      <x:c r="Z64" s="68" t="str">
        <x:v>桥梁有根有源、透达、位置可达且不存在关键制约</x:v>
      </x:c>
      <x:c r="AA64" s="68" t="str">
        <x:v>桥梁失令、无根、受克、合绊、改性或同时被多路调用</x:v>
      </x:c>
      <x:c r="AB64" s="90" t="str">
        <x:v>不得仅因五行缺失、数量少或关系名称直接认定卡点或通关用神</x:v>
      </x:c>
      <x:c r="AC64" s="68" t="str">
        <x:v>若存在更短、更强或副作用更小的替代路径，应并列比较后再裁定</x:v>
      </x:c>
      <x:c r="AD64" s="84" t="str">
        <x:v>火土金_生化链</x:v>
      </x:c>
      <x:c r="AE64" s="84" t="str">
        <x:v>火土金连续生化：按起点—桥梁—终点检查有效力量、连续性与承载；卡点为“其他”时，仅生成通关候选，不直接定用神。</x:v>
      </x:c>
      <x:c r="AF64" s="82" t="str">
        <x:v>较高</x:v>
      </x:c>
      <x:c r="AG64" s="82" t="str">
        <x:v>现代综合</x:v>
      </x:c>
      <x:c r="AH64" s="68" t="str">
        <x:v>流通判断以五行有效力量、生克顺序与十神功能为核心；古典依据可参照《滴天髓》《渊海子平》。 https://zh.wikisource.org/wiki/%E6%BB%B4%E5%A4%A9%E9%AB%93%E9%97%A1%E5%BE%AE https://zh.wikisource.org/zh-hans/%E6%B7%B5%E6%B5%B7%E5%AD%90%E5%B9%B3</x:v>
      </x:c>
      <x:c r="AI64" s="68" t="str">
        <x:v>当“火能生土，且土能够继续生金”真实成立，且桥梁具备有效力量和连续作用条件时，可按“火土金连续生化”记录。</x:v>
      </x:c>
      <x:c r="AJ64" s="90" t="str">
        <x:v>仅见表面缺失或五行相克，但未证明“火能生土，且土能够继续生金”形成实际阻断时，不得套用“火土金连续生化”。</x:v>
      </x:c>
      <x:c r="AK64" s="82" t="str">
        <x:v>采用</x:v>
      </x:c>
      <x:c r="AL64" s="82" t="str">
        <x:v>初审</x:v>
      </x:c>
      <x:c r="AM64" s="87" t="n">
        <x:v>46255</x:v>
      </x:c>
    </x:row>
    <x:row r="65">
      <x:c r="A65" s="72" t="str">
        <x:f>IF(OR(C65="",D65=""),"",B65&amp;"-"&amp;UPPER(C65)&amp;"-"&amp;TEXT(D65,"0000")&amp;"-"&amp;E65)</x:f>
        <x:v>M12-WUXING-0059-V1.0</x:v>
      </x:c>
      <x:c r="B65" s="74" t="str">
        <x:v>M12</x:v>
      </x:c>
      <x:c r="C65" s="74" t="str">
        <x:v>WUXING</x:v>
      </x:c>
      <x:c r="D65" s="215" t="n">
        <x:v>59</x:v>
      </x:c>
      <x:c r="E65" s="74" t="str">
        <x:v>V1.0</x:v>
      </x:c>
      <x:c r="F65" s="68" t="str">
        <x:v>土金水连续生化</x:v>
      </x:c>
      <x:c r="G65" s="82" t="str">
        <x:v>结构层</x:v>
      </x:c>
      <x:c r="H65" s="68" t="str">
        <x:v>五行生化路径</x:v>
      </x:c>
      <x:c r="I65" s="68" t="str">
        <x:v>土</x:v>
      </x:c>
      <x:c r="J65" s="68" t="str">
        <x:v>金</x:v>
      </x:c>
      <x:c r="K65" s="68" t="str">
        <x:v>水</x:v>
      </x:c>
      <x:c r="L65" s="82" t="str">
        <x:v>待定</x:v>
      </x:c>
      <x:c r="M65" s="82" t="str">
        <x:v>待定</x:v>
      </x:c>
      <x:c r="N65" s="68" t="str">
        <x:v>待定</x:v>
      </x:c>
      <x:c r="O65" s="68" t="str">
        <x:v>待定</x:v>
      </x:c>
      <x:c r="P65" s="68" t="str">
        <x:v>待定</x:v>
      </x:c>
      <x:c r="Q65" s="82" t="str">
        <x:v>通畅</x:v>
      </x:c>
      <x:c r="R65" s="82" t="str">
        <x:v>其他</x:v>
      </x:c>
      <x:c r="S65" s="68" t="str">
        <x:v>待定</x:v>
      </x:c>
      <x:c r="T65" s="68" t="str">
        <x:v>土能生金，且金能够继续生水</x:v>
      </x:c>
      <x:c r="U65" s="68" t="str">
        <x:v>金</x:v>
      </x:c>
      <x:c r="V65" s="68" t="str">
        <x:v>金必须自身有效且不被关键克合阻断</x:v>
      </x:c>
      <x:c r="W65" s="90" t="str">
        <x:v>需检查对调候、格局、日主承载及其他通路的副作用</x:v>
      </x:c>
      <x:c r="X65" s="68" t="str">
        <x:v>M06关系效应、M08五行有效旺衰、M10十神功能与M11组合判断已完成</x:v>
      </x:c>
      <x:c r="Y65" s="68" t="str">
        <x:v>起点、桥梁、终点均按有效力量与实际作用路径判断</x:v>
      </x:c>
      <x:c r="Z65" s="68" t="str">
        <x:v>桥梁有根有源、透达、位置可达且不存在关键制约</x:v>
      </x:c>
      <x:c r="AA65" s="68" t="str">
        <x:v>桥梁失令、无根、受克、合绊、改性或同时被多路调用</x:v>
      </x:c>
      <x:c r="AB65" s="90" t="str">
        <x:v>不得仅因五行缺失、数量少或关系名称直接认定卡点或通关用神</x:v>
      </x:c>
      <x:c r="AC65" s="68" t="str">
        <x:v>若存在更短、更强或副作用更小的替代路径，应并列比较后再裁定</x:v>
      </x:c>
      <x:c r="AD65" s="84" t="str">
        <x:v>土金水_生化链</x:v>
      </x:c>
      <x:c r="AE65" s="84" t="str">
        <x:v>土金水连续生化：按起点—桥梁—终点检查有效力量、连续性与承载；卡点为“其他”时，仅生成通关候选，不直接定用神。</x:v>
      </x:c>
      <x:c r="AF65" s="82" t="str">
        <x:v>较高</x:v>
      </x:c>
      <x:c r="AG65" s="82" t="str">
        <x:v>现代综合</x:v>
      </x:c>
      <x:c r="AH65" s="68" t="str">
        <x:v>流通判断以五行有效力量、生克顺序与十神功能为核心；古典依据可参照《滴天髓》《渊海子平》。 https://zh.wikisource.org/wiki/%E6%BB%B4%E5%A4%A9%E9%AB%93%E9%97%A1%E5%BE%AE https://zh.wikisource.org/zh-hans/%E6%B7%B5%E6%B5%B7%E5%AD%90%E5%B9%B3</x:v>
      </x:c>
      <x:c r="AI65" s="68" t="str">
        <x:v>当“土能生金，且金能够继续生水”真实成立，且桥梁具备有效力量和连续作用条件时，可按“土金水连续生化”记录。</x:v>
      </x:c>
      <x:c r="AJ65" s="90" t="str">
        <x:v>仅见表面缺失或五行相克，但未证明“土能生金，且金能够继续生水”形成实际阻断时，不得套用“土金水连续生化”。</x:v>
      </x:c>
      <x:c r="AK65" s="82" t="str">
        <x:v>采用</x:v>
      </x:c>
      <x:c r="AL65" s="82" t="str">
        <x:v>初审</x:v>
      </x:c>
      <x:c r="AM65" s="87" t="n">
        <x:v>46255</x:v>
      </x:c>
    </x:row>
    <x:row r="66">
      <x:c r="A66" s="72" t="str">
        <x:f>IF(OR(C66="",D66=""),"",B66&amp;"-"&amp;UPPER(C66)&amp;"-"&amp;TEXT(D66,"0000")&amp;"-"&amp;E66)</x:f>
        <x:v>M12-WUXING-0060-V1.0</x:v>
      </x:c>
      <x:c r="B66" s="74" t="str">
        <x:v>M12</x:v>
      </x:c>
      <x:c r="C66" s="74" t="str">
        <x:v>WUXING</x:v>
      </x:c>
      <x:c r="D66" s="215" t="n">
        <x:v>60</x:v>
      </x:c>
      <x:c r="E66" s="74" t="str">
        <x:v>V1.0</x:v>
      </x:c>
      <x:c r="F66" s="68" t="str">
        <x:v>金木相战以水通关</x:v>
      </x:c>
      <x:c r="G66" s="82" t="str">
        <x:v>结构层</x:v>
      </x:c>
      <x:c r="H66" s="68" t="str">
        <x:v>五行克战通关</x:v>
      </x:c>
      <x:c r="I66" s="68" t="str">
        <x:v>金</x:v>
      </x:c>
      <x:c r="J66" s="68" t="str">
        <x:v>水</x:v>
      </x:c>
      <x:c r="K66" s="68" t="str">
        <x:v>木</x:v>
      </x:c>
      <x:c r="L66" s="82" t="str">
        <x:v>旺</x:v>
      </x:c>
      <x:c r="M66" s="82" t="str">
        <x:v>中和</x:v>
      </x:c>
      <x:c r="N66" s="68" t="str">
        <x:v>待定</x:v>
      </x:c>
      <x:c r="O66" s="68" t="str">
        <x:v>木有根有力可承接</x:v>
      </x:c>
      <x:c r="P66" s="68" t="str">
        <x:v>待定</x:v>
      </x:c>
      <x:c r="Q66" s="82" t="str">
        <x:v>基本通畅</x:v>
      </x:c>
      <x:c r="R66" s="82" t="str">
        <x:v>两强相战</x:v>
      </x:c>
      <x:c r="S66" s="68" t="str">
        <x:v>金—木之间</x:v>
      </x:c>
      <x:c r="T66" s="68" t="str">
        <x:v>金与木形成真实两强相战，水既能泄金又能生木</x:v>
      </x:c>
      <x:c r="U66" s="68" t="str">
        <x:v>水</x:v>
      </x:c>
      <x:c r="V66" s="68" t="str">
        <x:v>水需有根有源且不被强制；同时必须确认金木确为主矛盾</x:v>
      </x:c>
      <x:c r="W66" s="90" t="str">
        <x:v>水过强可能改变全局寒暖燥湿、日主旺衰或其他格局结构，需M13/M16/M17复审</x:v>
      </x:c>
      <x:c r="X66" s="68" t="str">
        <x:v>M06关系效应、M08五行有效旺衰、M10十神功能与M11组合判断已完成</x:v>
      </x:c>
      <x:c r="Y66" s="68" t="str">
        <x:v>起点、桥梁、终点均按有效力量与实际作用路径判断</x:v>
      </x:c>
      <x:c r="Z66" s="68" t="str">
        <x:v>桥梁有根有源、透达、位置可达且不存在关键制约</x:v>
      </x:c>
      <x:c r="AA66" s="68" t="str">
        <x:v>桥梁失令、无根、受克、合绊、改性或同时被多路调用</x:v>
      </x:c>
      <x:c r="AB66" s="90" t="str">
        <x:v>不得仅因五行缺失、数量少或关系名称直接认定卡点或通关用神</x:v>
      </x:c>
      <x:c r="AC66" s="68" t="str">
        <x:v>若存在更短、更强或副作用更小的替代路径，应并列比较后再裁定</x:v>
      </x:c>
      <x:c r="AD66" s="84" t="str">
        <x:v>金克木_水通关</x:v>
      </x:c>
      <x:c r="AE66" s="84" t="str">
        <x:v>金木相战以水通关：按起点—桥梁—终点检查有效力量、连续性与承载；卡点为“两强相战”时，仅生成通关候选，不直接定用神。</x:v>
      </x:c>
      <x:c r="AF66" s="82" t="str">
        <x:v>较高</x:v>
      </x:c>
      <x:c r="AG66" s="82" t="str">
        <x:v>现代综合</x:v>
      </x:c>
      <x:c r="AH66" s="68" t="str">
        <x:v>流通判断以五行有效力量、生克顺序与十神功能为核心；古典依据可参照《滴天髓》《渊海子平》。 https://zh.wikisource.org/wiki/%E6%BB%B4%E5%A4%A9%E9%AB%93%E9%97%A1%E5%BE%AE https://zh.wikisource.org/zh-hans/%E6%B7%B5%E6%B5%B7%E5%AD%90%E5%B9%B3</x:v>
      </x:c>
      <x:c r="AI66" s="68" t="str">
        <x:v>当“金与木形成真实两强相战，水既能泄金又能生木”真实成立，且桥梁具备有效力量和连续作用条件时，可按“金木相战以水通关”记录。</x:v>
      </x:c>
      <x:c r="AJ66" s="90" t="str">
        <x:v>仅见表面缺失或五行相克，但未证明“金与木形成真实两强相战，水既能泄金又能生木”形成实际阻断时，不得套用“金木相战以水通关”。</x:v>
      </x:c>
      <x:c r="AK66" s="82" t="str">
        <x:v>采用</x:v>
      </x:c>
      <x:c r="AL66" s="82" t="str">
        <x:v>初审</x:v>
      </x:c>
      <x:c r="AM66" s="87" t="n">
        <x:v>46255</x:v>
      </x:c>
    </x:row>
    <x:row r="67">
      <x:c r="A67" s="72" t="str">
        <x:f>IF(OR(C67="",D67=""),"",B67&amp;"-"&amp;UPPER(C67)&amp;"-"&amp;TEXT(D67,"0000")&amp;"-"&amp;E67)</x:f>
        <x:v>M12-WUXING-0061-V1.0</x:v>
      </x:c>
      <x:c r="B67" s="74" t="str">
        <x:v>M12</x:v>
      </x:c>
      <x:c r="C67" s="74" t="str">
        <x:v>WUXING</x:v>
      </x:c>
      <x:c r="D67" s="215" t="n">
        <x:v>61</x:v>
      </x:c>
      <x:c r="E67" s="74" t="str">
        <x:v>V1.0</x:v>
      </x:c>
      <x:c r="F67" s="68" t="str">
        <x:v>木土相战以火通关</x:v>
      </x:c>
      <x:c r="G67" s="82" t="str">
        <x:v>结构层</x:v>
      </x:c>
      <x:c r="H67" s="68" t="str">
        <x:v>五行克战通关</x:v>
      </x:c>
      <x:c r="I67" s="68" t="str">
        <x:v>木</x:v>
      </x:c>
      <x:c r="J67" s="68" t="str">
        <x:v>火</x:v>
      </x:c>
      <x:c r="K67" s="68" t="str">
        <x:v>土</x:v>
      </x:c>
      <x:c r="L67" s="82" t="str">
        <x:v>旺</x:v>
      </x:c>
      <x:c r="M67" s="82" t="str">
        <x:v>中和</x:v>
      </x:c>
      <x:c r="N67" s="68" t="str">
        <x:v>待定</x:v>
      </x:c>
      <x:c r="O67" s="68" t="str">
        <x:v>土有根有力可承接</x:v>
      </x:c>
      <x:c r="P67" s="68" t="str">
        <x:v>待定</x:v>
      </x:c>
      <x:c r="Q67" s="82" t="str">
        <x:v>基本通畅</x:v>
      </x:c>
      <x:c r="R67" s="82" t="str">
        <x:v>两强相战</x:v>
      </x:c>
      <x:c r="S67" s="68" t="str">
        <x:v>木—土之间</x:v>
      </x:c>
      <x:c r="T67" s="68" t="str">
        <x:v>木与土形成真实两强相战，火既能泄木又能生土</x:v>
      </x:c>
      <x:c r="U67" s="68" t="str">
        <x:v>火</x:v>
      </x:c>
      <x:c r="V67" s="68" t="str">
        <x:v>火需有根有源且不被强制；同时必须确认木土确为主矛盾</x:v>
      </x:c>
      <x:c r="W67" s="90" t="str">
        <x:v>火过强可能改变全局寒暖燥湿、日主旺衰或其他格局结构，需M13/M16/M17复审</x:v>
      </x:c>
      <x:c r="X67" s="68" t="str">
        <x:v>M06关系效应、M08五行有效旺衰、M10十神功能与M11组合判断已完成</x:v>
      </x:c>
      <x:c r="Y67" s="68" t="str">
        <x:v>起点、桥梁、终点均按有效力量与实际作用路径判断</x:v>
      </x:c>
      <x:c r="Z67" s="68" t="str">
        <x:v>桥梁有根有源、透达、位置可达且不存在关键制约</x:v>
      </x:c>
      <x:c r="AA67" s="68" t="str">
        <x:v>桥梁失令、无根、受克、合绊、改性或同时被多路调用</x:v>
      </x:c>
      <x:c r="AB67" s="90" t="str">
        <x:v>不得仅因五行缺失、数量少或关系名称直接认定卡点或通关用神</x:v>
      </x:c>
      <x:c r="AC67" s="68" t="str">
        <x:v>若存在更短、更强或副作用更小的替代路径，应并列比较后再裁定</x:v>
      </x:c>
      <x:c r="AD67" s="84" t="str">
        <x:v>木克土_火通关</x:v>
      </x:c>
      <x:c r="AE67" s="84" t="str">
        <x:v>木土相战以火通关：按起点—桥梁—终点检查有效力量、连续性与承载；卡点为“两强相战”时，仅生成通关候选，不直接定用神。</x:v>
      </x:c>
      <x:c r="AF67" s="82" t="str">
        <x:v>较高</x:v>
      </x:c>
      <x:c r="AG67" s="82" t="str">
        <x:v>现代综合</x:v>
      </x:c>
      <x:c r="AH67" s="68" t="str">
        <x:v>流通判断以五行有效力量、生克顺序与十神功能为核心；古典依据可参照《滴天髓》《渊海子平》。 https://zh.wikisource.org/wiki/%E6%BB%B4%E5%A4%A9%E9%AB%93%E9%97%A1%E5%BE%AE https://zh.wikisource.org/zh-hans/%E6%B7%B5%E6%B5%B7%E5%AD%90%E5%B9%B3</x:v>
      </x:c>
      <x:c r="AI67" s="68" t="str">
        <x:v>当“木与土形成真实两强相战，火既能泄木又能生土”真实成立，且桥梁具备有效力量和连续作用条件时，可按“木土相战以火通关”记录。</x:v>
      </x:c>
      <x:c r="AJ67" s="90" t="str">
        <x:v>仅见表面缺失或五行相克，但未证明“木与土形成真实两强相战，火既能泄木又能生土”形成实际阻断时，不得套用“木土相战以火通关”。</x:v>
      </x:c>
      <x:c r="AK67" s="82" t="str">
        <x:v>采用</x:v>
      </x:c>
      <x:c r="AL67" s="82" t="str">
        <x:v>初审</x:v>
      </x:c>
      <x:c r="AM67" s="87" t="n">
        <x:v>46255</x:v>
      </x:c>
    </x:row>
    <x:row r="68">
      <x:c r="A68" s="72" t="str">
        <x:f>IF(OR(C68="",D68=""),"",B68&amp;"-"&amp;UPPER(C68)&amp;"-"&amp;TEXT(D68,"0000")&amp;"-"&amp;E68)</x:f>
        <x:v>M12-WUXING-0062-V1.0</x:v>
      </x:c>
      <x:c r="B68" s="74" t="str">
        <x:v>M12</x:v>
      </x:c>
      <x:c r="C68" s="74" t="str">
        <x:v>WUXING</x:v>
      </x:c>
      <x:c r="D68" s="215" t="n">
        <x:v>62</x:v>
      </x:c>
      <x:c r="E68" s="74" t="str">
        <x:v>V1.0</x:v>
      </x:c>
      <x:c r="F68" s="68" t="str">
        <x:v>土水相战以金通关</x:v>
      </x:c>
      <x:c r="G68" s="82" t="str">
        <x:v>结构层</x:v>
      </x:c>
      <x:c r="H68" s="68" t="str">
        <x:v>五行克战通关</x:v>
      </x:c>
      <x:c r="I68" s="68" t="str">
        <x:v>土</x:v>
      </x:c>
      <x:c r="J68" s="68" t="str">
        <x:v>金</x:v>
      </x:c>
      <x:c r="K68" s="68" t="str">
        <x:v>水</x:v>
      </x:c>
      <x:c r="L68" s="82" t="str">
        <x:v>旺</x:v>
      </x:c>
      <x:c r="M68" s="82" t="str">
        <x:v>中和</x:v>
      </x:c>
      <x:c r="N68" s="68" t="str">
        <x:v>待定</x:v>
      </x:c>
      <x:c r="O68" s="68" t="str">
        <x:v>水有根有力可承接</x:v>
      </x:c>
      <x:c r="P68" s="68" t="str">
        <x:v>待定</x:v>
      </x:c>
      <x:c r="Q68" s="82" t="str">
        <x:v>基本通畅</x:v>
      </x:c>
      <x:c r="R68" s="82" t="str">
        <x:v>两强相战</x:v>
      </x:c>
      <x:c r="S68" s="68" t="str">
        <x:v>土—水之间</x:v>
      </x:c>
      <x:c r="T68" s="68" t="str">
        <x:v>土与水形成真实两强相战，金既能泄土又能生水</x:v>
      </x:c>
      <x:c r="U68" s="68" t="str">
        <x:v>金</x:v>
      </x:c>
      <x:c r="V68" s="68" t="str">
        <x:v>金需有根有源且不被强制；同时必须确认土水确为主矛盾</x:v>
      </x:c>
      <x:c r="W68" s="90" t="str">
        <x:v>金过强可能改变全局寒暖燥湿、日主旺衰或其他格局结构，需M13/M16/M17复审</x:v>
      </x:c>
      <x:c r="X68" s="68" t="str">
        <x:v>M06关系效应、M08五行有效旺衰、M10十神功能与M11组合判断已完成</x:v>
      </x:c>
      <x:c r="Y68" s="68" t="str">
        <x:v>起点、桥梁、终点均按有效力量与实际作用路径判断</x:v>
      </x:c>
      <x:c r="Z68" s="68" t="str">
        <x:v>桥梁有根有源、透达、位置可达且不存在关键制约</x:v>
      </x:c>
      <x:c r="AA68" s="68" t="str">
        <x:v>桥梁失令、无根、受克、合绊、改性或同时被多路调用</x:v>
      </x:c>
      <x:c r="AB68" s="90" t="str">
        <x:v>不得仅因五行缺失、数量少或关系名称直接认定卡点或通关用神</x:v>
      </x:c>
      <x:c r="AC68" s="68" t="str">
        <x:v>若存在更短、更强或副作用更小的替代路径，应并列比较后再裁定</x:v>
      </x:c>
      <x:c r="AD68" s="84" t="str">
        <x:v>土克水_金通关</x:v>
      </x:c>
      <x:c r="AE68" s="84" t="str">
        <x:v>土水相战以金通关：按起点—桥梁—终点检查有效力量、连续性与承载；卡点为“两强相战”时，仅生成通关候选，不直接定用神。</x:v>
      </x:c>
      <x:c r="AF68" s="82" t="str">
        <x:v>较高</x:v>
      </x:c>
      <x:c r="AG68" s="82" t="str">
        <x:v>现代综合</x:v>
      </x:c>
      <x:c r="AH68" s="68" t="str">
        <x:v>流通判断以五行有效力量、生克顺序与十神功能为核心；古典依据可参照《滴天髓》《渊海子平》。 https://zh.wikisource.org/wiki/%E6%BB%B4%E5%A4%A9%E9%AB%93%E9%97%A1%E5%BE%AE https://zh.wikisource.org/zh-hans/%E6%B7%B5%E6%B5%B7%E5%AD%90%E5%B9%B3</x:v>
      </x:c>
      <x:c r="AI68" s="68" t="str">
        <x:v>当“土与水形成真实两强相战，金既能泄土又能生水”真实成立，且桥梁具备有效力量和连续作用条件时，可按“土水相战以金通关”记录。</x:v>
      </x:c>
      <x:c r="AJ68" s="90" t="str">
        <x:v>仅见表面缺失或五行相克，但未证明“土与水形成真实两强相战，金既能泄土又能生水”形成实际阻断时，不得套用“土水相战以金通关”。</x:v>
      </x:c>
      <x:c r="AK68" s="82" t="str">
        <x:v>采用</x:v>
      </x:c>
      <x:c r="AL68" s="82" t="str">
        <x:v>初审</x:v>
      </x:c>
      <x:c r="AM68" s="87" t="n">
        <x:v>46255</x:v>
      </x:c>
    </x:row>
    <x:row r="69">
      <x:c r="A69" s="72" t="str">
        <x:f>IF(OR(C69="",D69=""),"",B69&amp;"-"&amp;UPPER(C69)&amp;"-"&amp;TEXT(D69,"0000")&amp;"-"&amp;E69)</x:f>
        <x:v>M12-WUXING-0063-V1.0</x:v>
      </x:c>
      <x:c r="B69" s="74" t="str">
        <x:v>M12</x:v>
      </x:c>
      <x:c r="C69" s="74" t="str">
        <x:v>WUXING</x:v>
      </x:c>
      <x:c r="D69" s="215" t="n">
        <x:v>63</x:v>
      </x:c>
      <x:c r="E69" s="74" t="str">
        <x:v>V1.0</x:v>
      </x:c>
      <x:c r="F69" s="68" t="str">
        <x:v>水火相战以木通关</x:v>
      </x:c>
      <x:c r="G69" s="82" t="str">
        <x:v>结构层</x:v>
      </x:c>
      <x:c r="H69" s="68" t="str">
        <x:v>五行克战通关</x:v>
      </x:c>
      <x:c r="I69" s="68" t="str">
        <x:v>水</x:v>
      </x:c>
      <x:c r="J69" s="68" t="str">
        <x:v>木</x:v>
      </x:c>
      <x:c r="K69" s="68" t="str">
        <x:v>火</x:v>
      </x:c>
      <x:c r="L69" s="82" t="str">
        <x:v>旺</x:v>
      </x:c>
      <x:c r="M69" s="82" t="str">
        <x:v>中和</x:v>
      </x:c>
      <x:c r="N69" s="68" t="str">
        <x:v>待定</x:v>
      </x:c>
      <x:c r="O69" s="68" t="str">
        <x:v>火有根有力可承接</x:v>
      </x:c>
      <x:c r="P69" s="68" t="str">
        <x:v>待定</x:v>
      </x:c>
      <x:c r="Q69" s="82" t="str">
        <x:v>基本通畅</x:v>
      </x:c>
      <x:c r="R69" s="82" t="str">
        <x:v>两强相战</x:v>
      </x:c>
      <x:c r="S69" s="68" t="str">
        <x:v>水—火之间</x:v>
      </x:c>
      <x:c r="T69" s="68" t="str">
        <x:v>水与火形成真实两强相战，木既能泄水又能生火</x:v>
      </x:c>
      <x:c r="U69" s="68" t="str">
        <x:v>木</x:v>
      </x:c>
      <x:c r="V69" s="68" t="str">
        <x:v>木需有根有源且不被强制；同时必须确认水火确为主矛盾</x:v>
      </x:c>
      <x:c r="W69" s="90" t="str">
        <x:v>木过强可能改变全局寒暖燥湿、日主旺衰或其他格局结构，需M13/M16/M17复审</x:v>
      </x:c>
      <x:c r="X69" s="68" t="str">
        <x:v>M06关系效应、M08五行有效旺衰、M10十神功能与M11组合判断已完成</x:v>
      </x:c>
      <x:c r="Y69" s="68" t="str">
        <x:v>起点、桥梁、终点均按有效力量与实际作用路径判断</x:v>
      </x:c>
      <x:c r="Z69" s="68" t="str">
        <x:v>桥梁有根有源、透达、位置可达且不存在关键制约</x:v>
      </x:c>
      <x:c r="AA69" s="68" t="str">
        <x:v>桥梁失令、无根、受克、合绊、改性或同时被多路调用</x:v>
      </x:c>
      <x:c r="AB69" s="90" t="str">
        <x:v>不得仅因五行缺失、数量少或关系名称直接认定卡点或通关用神</x:v>
      </x:c>
      <x:c r="AC69" s="68" t="str">
        <x:v>若存在更短、更强或副作用更小的替代路径，应并列比较后再裁定</x:v>
      </x:c>
      <x:c r="AD69" s="84" t="str">
        <x:v>水克火_木通关</x:v>
      </x:c>
      <x:c r="AE69" s="84" t="str">
        <x:v>水火相战以木通关：按起点—桥梁—终点检查有效力量、连续性与承载；卡点为“两强相战”时，仅生成通关候选，不直接定用神。</x:v>
      </x:c>
      <x:c r="AF69" s="82" t="str">
        <x:v>较高</x:v>
      </x:c>
      <x:c r="AG69" s="82" t="str">
        <x:v>现代综合</x:v>
      </x:c>
      <x:c r="AH69" s="68" t="str">
        <x:v>流通判断以五行有效力量、生克顺序与十神功能为核心；古典依据可参照《滴天髓》《渊海子平》。 https://zh.wikisource.org/wiki/%E6%BB%B4%E5%A4%A9%E9%AB%93%E9%97%A1%E5%BE%AE https://zh.wikisource.org/zh-hans/%E6%B7%B5%E6%B5%B7%E5%AD%90%E5%B9%B3</x:v>
      </x:c>
      <x:c r="AI69" s="68" t="str">
        <x:v>当“水与火形成真实两强相战，木既能泄水又能生火”真实成立，且桥梁具备有效力量和连续作用条件时，可按“水火相战以木通关”记录。</x:v>
      </x:c>
      <x:c r="AJ69" s="90" t="str">
        <x:v>仅见表面缺失或五行相克，但未证明“水与火形成真实两强相战，木既能泄水又能生火”形成实际阻断时，不得套用“水火相战以木通关”。</x:v>
      </x:c>
      <x:c r="AK69" s="82" t="str">
        <x:v>采用</x:v>
      </x:c>
      <x:c r="AL69" s="82" t="str">
        <x:v>初审</x:v>
      </x:c>
      <x:c r="AM69" s="87" t="n">
        <x:v>46255</x:v>
      </x:c>
    </x:row>
    <x:row r="70">
      <x:c r="A70" s="72" t="str">
        <x:f>IF(OR(C70="",D70=""),"",B70&amp;"-"&amp;UPPER(C70)&amp;"-"&amp;TEXT(D70,"0000")&amp;"-"&amp;E70)</x:f>
        <x:v>M12-WUXING-0064-V1.0</x:v>
      </x:c>
      <x:c r="B70" s="74" t="str">
        <x:v>M12</x:v>
      </x:c>
      <x:c r="C70" s="74" t="str">
        <x:v>WUXING</x:v>
      </x:c>
      <x:c r="D70" s="215" t="n">
        <x:v>64</x:v>
      </x:c>
      <x:c r="E70" s="74" t="str">
        <x:v>V1.0</x:v>
      </x:c>
      <x:c r="F70" s="68" t="str">
        <x:v>火金相战以土通关</x:v>
      </x:c>
      <x:c r="G70" s="82" t="str">
        <x:v>结构层</x:v>
      </x:c>
      <x:c r="H70" s="68" t="str">
        <x:v>五行克战通关</x:v>
      </x:c>
      <x:c r="I70" s="68" t="str">
        <x:v>火</x:v>
      </x:c>
      <x:c r="J70" s="68" t="str">
        <x:v>土</x:v>
      </x:c>
      <x:c r="K70" s="68" t="str">
        <x:v>金</x:v>
      </x:c>
      <x:c r="L70" s="82" t="str">
        <x:v>旺</x:v>
      </x:c>
      <x:c r="M70" s="82" t="str">
        <x:v>中和</x:v>
      </x:c>
      <x:c r="N70" s="68" t="str">
        <x:v>待定</x:v>
      </x:c>
      <x:c r="O70" s="68" t="str">
        <x:v>金有根有力可承接</x:v>
      </x:c>
      <x:c r="P70" s="68" t="str">
        <x:v>待定</x:v>
      </x:c>
      <x:c r="Q70" s="82" t="str">
        <x:v>基本通畅</x:v>
      </x:c>
      <x:c r="R70" s="82" t="str">
        <x:v>两强相战</x:v>
      </x:c>
      <x:c r="S70" s="68" t="str">
        <x:v>火—金之间</x:v>
      </x:c>
      <x:c r="T70" s="68" t="str">
        <x:v>火与金形成真实两强相战，土既能泄火又能生金</x:v>
      </x:c>
      <x:c r="U70" s="68" t="str">
        <x:v>土</x:v>
      </x:c>
      <x:c r="V70" s="68" t="str">
        <x:v>土需有根有源且不被强制；同时必须确认火金确为主矛盾</x:v>
      </x:c>
      <x:c r="W70" s="90" t="str">
        <x:v>土过强可能改变全局寒暖燥湿、日主旺衰或其他格局结构，需M13/M16/M17复审</x:v>
      </x:c>
      <x:c r="X70" s="68" t="str">
        <x:v>M06关系效应、M08五行有效旺衰、M10十神功能与M11组合判断已完成</x:v>
      </x:c>
      <x:c r="Y70" s="68" t="str">
        <x:v>起点、桥梁、终点均按有效力量与实际作用路径判断</x:v>
      </x:c>
      <x:c r="Z70" s="68" t="str">
        <x:v>桥梁有根有源、透达、位置可达且不存在关键制约</x:v>
      </x:c>
      <x:c r="AA70" s="68" t="str">
        <x:v>桥梁失令、无根、受克、合绊、改性或同时被多路调用</x:v>
      </x:c>
      <x:c r="AB70" s="90" t="str">
        <x:v>不得仅因五行缺失、数量少或关系名称直接认定卡点或通关用神</x:v>
      </x:c>
      <x:c r="AC70" s="68" t="str">
        <x:v>若存在更短、更强或副作用更小的替代路径，应并列比较后再裁定</x:v>
      </x:c>
      <x:c r="AD70" s="84" t="str">
        <x:v>火克金_土通关</x:v>
      </x:c>
      <x:c r="AE70" s="84" t="str">
        <x:v>火金相战以土通关：按起点—桥梁—终点检查有效力量、连续性与承载；卡点为“两强相战”时，仅生成通关候选，不直接定用神。</x:v>
      </x:c>
      <x:c r="AF70" s="82" t="str">
        <x:v>较高</x:v>
      </x:c>
      <x:c r="AG70" s="82" t="str">
        <x:v>现代综合</x:v>
      </x:c>
      <x:c r="AH70" s="68" t="str">
        <x:v>流通判断以五行有效力量、生克顺序与十神功能为核心；古典依据可参照《滴天髓》《渊海子平》。 https://zh.wikisource.org/wiki/%E6%BB%B4%E5%A4%A9%E9%AB%93%E9%97%A1%E5%BE%AE https://zh.wikisource.org/zh-hans/%E6%B7%B5%E6%B5%B7%E5%AD%90%E5%B9%B3</x:v>
      </x:c>
      <x:c r="AI70" s="68" t="str">
        <x:v>当“火与金形成真实两强相战，土既能泄火又能生金”真实成立，且桥梁具备有效力量和连续作用条件时，可按“火金相战以土通关”记录。</x:v>
      </x:c>
      <x:c r="AJ70" s="90" t="str">
        <x:v>仅见表面缺失或五行相克，但未证明“火与金形成真实两强相战，土既能泄火又能生金”形成实际阻断时，不得套用“火金相战以土通关”。</x:v>
      </x:c>
      <x:c r="AK70" s="82" t="str">
        <x:v>采用</x:v>
      </x:c>
      <x:c r="AL70" s="82" t="str">
        <x:v>初审</x:v>
      </x:c>
      <x:c r="AM70" s="87" t="n">
        <x:v>46255</x:v>
      </x:c>
    </x:row>
    <x:row r="71">
      <x:c r="A71" s="72" t="str">
        <x:f>IF(OR(C71="",D71=""),"",B71&amp;"-"&amp;UPPER(C71)&amp;"-"&amp;TEXT(D71,"0000")&amp;"-"&amp;E71)</x:f>
        <x:v>M12-TENGOD-0065-V1.0</x:v>
      </x:c>
      <x:c r="B71" s="74" t="str">
        <x:v>M12</x:v>
      </x:c>
      <x:c r="C71" s="74" t="str">
        <x:v>TENGOD</x:v>
      </x:c>
      <x:c r="D71" s="215" t="n">
        <x:v>65</x:v>
      </x:c>
      <x:c r="E71" s="74" t="str">
        <x:v>V1.0</x:v>
      </x:c>
      <x:c r="F71" s="68" t="str">
        <x:v>官杀→印→身</x:v>
      </x:c>
      <x:c r="G71" s="82" t="str">
        <x:v>结构层</x:v>
      </x:c>
      <x:c r="H71" s="68" t="str">
        <x:v>十神功能路径</x:v>
      </x:c>
      <x:c r="I71" s="68" t="str">
        <x:v>官杀</x:v>
      </x:c>
      <x:c r="J71" s="68" t="str">
        <x:v>印星</x:v>
      </x:c>
      <x:c r="K71" s="68" t="str">
        <x:v>日主</x:v>
      </x:c>
      <x:c r="L71" s="82" t="str">
        <x:v>待定</x:v>
      </x:c>
      <x:c r="M71" s="82" t="str">
        <x:v>待定</x:v>
      </x:c>
      <x:c r="N71" s="68" t="str">
        <x:v>待定</x:v>
      </x:c>
      <x:c r="O71" s="68" t="str">
        <x:v>待定</x:v>
      </x:c>
      <x:c r="P71" s="68" t="str">
        <x:v>待定</x:v>
      </x:c>
      <x:c r="Q71" s="82" t="str">
        <x:v>基本通畅</x:v>
      </x:c>
      <x:c r="R71" s="82" t="str">
        <x:v>其他</x:v>
      </x:c>
      <x:c r="S71" s="68" t="str">
        <x:v>待定</x:v>
      </x:c>
      <x:c r="T71" s="68" t="str">
        <x:v>官杀压力经印星承接并转为生身</x:v>
      </x:c>
      <x:c r="U71" s="68" t="str">
        <x:v>印星</x:v>
      </x:c>
      <x:c r="V71" s="68" t="str">
        <x:v>M10确认相关十神功能有效，M11未出现决定性破坏</x:v>
      </x:c>
      <x:c r="W71" s="90" t="str">
        <x:v>需检查对调候、格局、日主承载及其他通路的副作用</x:v>
      </x:c>
      <x:c r="X71" s="68" t="str">
        <x:v>M06关系效应、M08五行有效旺衰、M10十神功能与M11组合判断已完成</x:v>
      </x:c>
      <x:c r="Y71" s="68" t="str">
        <x:v>起点、桥梁、终点均按有效力量与实际作用路径判断</x:v>
      </x:c>
      <x:c r="Z71" s="68" t="str">
        <x:v>桥梁有根有源、透达、位置可达且不存在关键制约</x:v>
      </x:c>
      <x:c r="AA71" s="68" t="str">
        <x:v>桥梁失令、无根、受克、合绊、改性或同时被多路调用</x:v>
      </x:c>
      <x:c r="AB71" s="90" t="str">
        <x:v>不得仅因五行缺失、数量少或关系名称直接认定卡点或通关用神</x:v>
      </x:c>
      <x:c r="AC71" s="68" t="str">
        <x:v>若存在更短、更强或副作用更小的替代路径，应并列比较后再裁定</x:v>
      </x:c>
      <x:c r="AD71" s="84" t="str">
        <x:v>官杀_印_身</x:v>
      </x:c>
      <x:c r="AE71" s="84" t="str">
        <x:v>官杀→印→身：按起点—桥梁—终点检查有效力量、连续性与承载；卡点为“其他”时，仅生成通关候选，不直接定用神。</x:v>
      </x:c>
      <x:c r="AF71" s="82" t="str">
        <x:v>较高</x:v>
      </x:c>
      <x:c r="AG71" s="82" t="str">
        <x:v>现代综合</x:v>
      </x:c>
      <x:c r="AH71" s="68" t="str">
        <x:v>流通判断以五行有效力量、生克顺序与十神功能为核心；古典依据可参照《滴天髓》《渊海子平》。 https://zh.wikisource.org/wiki/%E6%BB%B4%E5%A4%A9%E9%AB%93%E9%97%A1%E5%BE%AE https://zh.wikisource.org/zh-hans/%E6%B7%B5%E6%B5%B7%E5%AD%90%E5%B9%B3</x:v>
      </x:c>
      <x:c r="AI71" s="68" t="str">
        <x:v>当“官杀压力经印星承接并转为生身”真实成立，且桥梁具备有效力量和连续作用条件时，可按“官杀→印→身”记录。</x:v>
      </x:c>
      <x:c r="AJ71" s="90" t="str">
        <x:v>仅见表面缺失或五行相克，但未证明“官杀压力经印星承接并转为生身”形成实际阻断时，不得套用“官杀→印→身”。</x:v>
      </x:c>
      <x:c r="AK71" s="82" t="str">
        <x:v>采用</x:v>
      </x:c>
      <x:c r="AL71" s="82" t="str">
        <x:v>初审</x:v>
      </x:c>
      <x:c r="AM71" s="87" t="n">
        <x:v>46255</x:v>
      </x:c>
    </x:row>
    <x:row r="72">
      <x:c r="A72" s="72" t="str">
        <x:f>IF(OR(C72="",D72=""),"",B72&amp;"-"&amp;UPPER(C72)&amp;"-"&amp;TEXT(D72,"0000")&amp;"-"&amp;E72)</x:f>
        <x:v>M12-TENGOD-0066-V1.0</x:v>
      </x:c>
      <x:c r="B72" s="74" t="str">
        <x:v>M12</x:v>
      </x:c>
      <x:c r="C72" s="74" t="str">
        <x:v>TENGOD</x:v>
      </x:c>
      <x:c r="D72" s="215" t="n">
        <x:v>66</x:v>
      </x:c>
      <x:c r="E72" s="74" t="str">
        <x:v>V1.0</x:v>
      </x:c>
      <x:c r="F72" s="68" t="str">
        <x:v>身→食伤→财</x:v>
      </x:c>
      <x:c r="G72" s="82" t="str">
        <x:v>结构层</x:v>
      </x:c>
      <x:c r="H72" s="68" t="str">
        <x:v>十神功能路径</x:v>
      </x:c>
      <x:c r="I72" s="68" t="str">
        <x:v>日主</x:v>
      </x:c>
      <x:c r="J72" s="68" t="str">
        <x:v>食伤</x:v>
      </x:c>
      <x:c r="K72" s="68" t="str">
        <x:v>财星</x:v>
      </x:c>
      <x:c r="L72" s="82" t="str">
        <x:v>待定</x:v>
      </x:c>
      <x:c r="M72" s="82" t="str">
        <x:v>待定</x:v>
      </x:c>
      <x:c r="N72" s="68" t="str">
        <x:v>待定</x:v>
      </x:c>
      <x:c r="O72" s="68" t="str">
        <x:v>待定</x:v>
      </x:c>
      <x:c r="P72" s="68" t="str">
        <x:v>待定</x:v>
      </x:c>
      <x:c r="Q72" s="82" t="str">
        <x:v>基本通畅</x:v>
      </x:c>
      <x:c r="R72" s="82" t="str">
        <x:v>其他</x:v>
      </x:c>
      <x:c r="S72" s="68" t="str">
        <x:v>待定</x:v>
      </x:c>
      <x:c r="T72" s="68" t="str">
        <x:v>日主之气经食伤输出并由财星承接</x:v>
      </x:c>
      <x:c r="U72" s="68" t="str">
        <x:v>食伤</x:v>
      </x:c>
      <x:c r="V72" s="68" t="str">
        <x:v>M10确认相关十神功能有效，M11未出现决定性破坏</x:v>
      </x:c>
      <x:c r="W72" s="90" t="str">
        <x:v>需检查对调候、格局、日主承载及其他通路的副作用</x:v>
      </x:c>
      <x:c r="X72" s="68" t="str">
        <x:v>M06关系效应、M08五行有效旺衰、M10十神功能与M11组合判断已完成</x:v>
      </x:c>
      <x:c r="Y72" s="68" t="str">
        <x:v>起点、桥梁、终点均按有效力量与实际作用路径判断</x:v>
      </x:c>
      <x:c r="Z72" s="68" t="str">
        <x:v>桥梁有根有源、透达、位置可达且不存在关键制约</x:v>
      </x:c>
      <x:c r="AA72" s="68" t="str">
        <x:v>桥梁失令、无根、受克、合绊、改性或同时被多路调用</x:v>
      </x:c>
      <x:c r="AB72" s="90" t="str">
        <x:v>不得仅因五行缺失、数量少或关系名称直接认定卡点或通关用神</x:v>
      </x:c>
      <x:c r="AC72" s="68" t="str">
        <x:v>若存在更短、更强或副作用更小的替代路径，应并列比较后再裁定</x:v>
      </x:c>
      <x:c r="AD72" s="84" t="str">
        <x:v>身_食伤_财</x:v>
      </x:c>
      <x:c r="AE72" s="84" t="str">
        <x:v>身→食伤→财：按起点—桥梁—终点检查有效力量、连续性与承载；卡点为“其他”时，仅生成通关候选，不直接定用神。</x:v>
      </x:c>
      <x:c r="AF72" s="82" t="str">
        <x:v>较高</x:v>
      </x:c>
      <x:c r="AG72" s="82" t="str">
        <x:v>现代综合</x:v>
      </x:c>
      <x:c r="AH72" s="68" t="str">
        <x:v>流通判断以五行有效力量、生克顺序与十神功能为核心；古典依据可参照《滴天髓》《渊海子平》。 https://zh.wikisource.org/wiki/%E6%BB%B4%E5%A4%A9%E9%AB%93%E9%97%A1%E5%BE%AE https://zh.wikisource.org/zh-hans/%E6%B7%B5%E6%B5%B7%E5%AD%90%E5%B9%B3</x:v>
      </x:c>
      <x:c r="AI72" s="68" t="str">
        <x:v>当“日主之气经食伤输出并由财星承接”真实成立，且桥梁具备有效力量和连续作用条件时，可按“身→食伤→财”记录。</x:v>
      </x:c>
      <x:c r="AJ72" s="90" t="str">
        <x:v>仅见表面缺失或五行相克，但未证明“日主之气经食伤输出并由财星承接”形成实际阻断时，不得套用“身→食伤→财”。</x:v>
      </x:c>
      <x:c r="AK72" s="82" t="str">
        <x:v>采用</x:v>
      </x:c>
      <x:c r="AL72" s="82" t="str">
        <x:v>初审</x:v>
      </x:c>
      <x:c r="AM72" s="87" t="n">
        <x:v>46255</x:v>
      </x:c>
    </x:row>
    <x:row r="73">
      <x:c r="A73" s="72" t="str">
        <x:f>IF(OR(C73="",D73=""),"",B73&amp;"-"&amp;UPPER(C73)&amp;"-"&amp;TEXT(D73,"0000")&amp;"-"&amp;E73)</x:f>
        <x:v>M12-TENGOD-0067-V1.0</x:v>
      </x:c>
      <x:c r="B73" s="74" t="str">
        <x:v>M12</x:v>
      </x:c>
      <x:c r="C73" s="74" t="str">
        <x:v>TENGOD</x:v>
      </x:c>
      <x:c r="D73" s="215" t="n">
        <x:v>67</x:v>
      </x:c>
      <x:c r="E73" s="74" t="str">
        <x:v>V1.0</x:v>
      </x:c>
      <x:c r="F73" s="68" t="str">
        <x:v>食伤→财→官杀</x:v>
      </x:c>
      <x:c r="G73" s="82" t="str">
        <x:v>结构层</x:v>
      </x:c>
      <x:c r="H73" s="68" t="str">
        <x:v>十神功能路径</x:v>
      </x:c>
      <x:c r="I73" s="68" t="str">
        <x:v>食伤</x:v>
      </x:c>
      <x:c r="J73" s="68" t="str">
        <x:v>财星</x:v>
      </x:c>
      <x:c r="K73" s="68" t="str">
        <x:v>官杀</x:v>
      </x:c>
      <x:c r="L73" s="82" t="str">
        <x:v>待定</x:v>
      </x:c>
      <x:c r="M73" s="82" t="str">
        <x:v>待定</x:v>
      </x:c>
      <x:c r="N73" s="68" t="str">
        <x:v>待定</x:v>
      </x:c>
      <x:c r="O73" s="68" t="str">
        <x:v>待定</x:v>
      </x:c>
      <x:c r="P73" s="68" t="str">
        <x:v>待定</x:v>
      </x:c>
      <x:c r="Q73" s="82" t="str">
        <x:v>基本通畅</x:v>
      </x:c>
      <x:c r="R73" s="82" t="str">
        <x:v>其他</x:v>
      </x:c>
      <x:c r="S73" s="68" t="str">
        <x:v>待定</x:v>
      </x:c>
      <x:c r="T73" s="68" t="str">
        <x:v>食伤生财，财再生官杀</x:v>
      </x:c>
      <x:c r="U73" s="68" t="str">
        <x:v>财星</x:v>
      </x:c>
      <x:c r="V73" s="68" t="str">
        <x:v>M10确认相关十神功能有效，M11未出现决定性破坏</x:v>
      </x:c>
      <x:c r="W73" s="90" t="str">
        <x:v>需检查对调候、格局、日主承载及其他通路的副作用</x:v>
      </x:c>
      <x:c r="X73" s="68" t="str">
        <x:v>M06关系效应、M08五行有效旺衰、M10十神功能与M11组合判断已完成</x:v>
      </x:c>
      <x:c r="Y73" s="68" t="str">
        <x:v>起点、桥梁、终点均按有效力量与实际作用路径判断</x:v>
      </x:c>
      <x:c r="Z73" s="68" t="str">
        <x:v>桥梁有根有源、透达、位置可达且不存在关键制约</x:v>
      </x:c>
      <x:c r="AA73" s="68" t="str">
        <x:v>桥梁失令、无根、受克、合绊、改性或同时被多路调用</x:v>
      </x:c>
      <x:c r="AB73" s="90" t="str">
        <x:v>不得仅因五行缺失、数量少或关系名称直接认定卡点或通关用神</x:v>
      </x:c>
      <x:c r="AC73" s="68" t="str">
        <x:v>若存在更短、更强或副作用更小的替代路径，应并列比较后再裁定</x:v>
      </x:c>
      <x:c r="AD73" s="84" t="str">
        <x:v>食伤_财_官杀</x:v>
      </x:c>
      <x:c r="AE73" s="84" t="str">
        <x:v>食伤→财→官杀：按起点—桥梁—终点检查有效力量、连续性与承载；卡点为“其他”时，仅生成通关候选，不直接定用神。</x:v>
      </x:c>
      <x:c r="AF73" s="82" t="str">
        <x:v>较高</x:v>
      </x:c>
      <x:c r="AG73" s="82" t="str">
        <x:v>现代综合</x:v>
      </x:c>
      <x:c r="AH73" s="68" t="str">
        <x:v>流通判断以五行有效力量、生克顺序与十神功能为核心；古典依据可参照《滴天髓》《渊海子平》。 https://zh.wikisource.org/wiki/%E6%BB%B4%E5%A4%A9%E9%AB%93%E9%97%A1%E5%BE%AE https://zh.wikisource.org/zh-hans/%E6%B7%B5%E6%B5%B7%E5%AD%90%E5%B9%B3</x:v>
      </x:c>
      <x:c r="AI73" s="68" t="str">
        <x:v>当“食伤生财，财再生官杀”真实成立，且桥梁具备有效力量和连续作用条件时，可按“食伤→财→官杀”记录。</x:v>
      </x:c>
      <x:c r="AJ73" s="90" t="str">
        <x:v>仅见表面缺失或五行相克，但未证明“食伤生财，财再生官杀”形成实际阻断时，不得套用“食伤→财→官杀”。</x:v>
      </x:c>
      <x:c r="AK73" s="82" t="str">
        <x:v>采用</x:v>
      </x:c>
      <x:c r="AL73" s="82" t="str">
        <x:v>初审</x:v>
      </x:c>
      <x:c r="AM73" s="87" t="n">
        <x:v>46255</x:v>
      </x:c>
    </x:row>
    <x:row r="74">
      <x:c r="A74" s="72" t="str">
        <x:f>IF(OR(C74="",D74=""),"",B74&amp;"-"&amp;UPPER(C74)&amp;"-"&amp;TEXT(D74,"0000")&amp;"-"&amp;E74)</x:f>
        <x:v>M12-TENGOD-0068-V1.0</x:v>
      </x:c>
      <x:c r="B74" s="74" t="str">
        <x:v>M12</x:v>
      </x:c>
      <x:c r="C74" s="74" t="str">
        <x:v>TENGOD</x:v>
      </x:c>
      <x:c r="D74" s="215" t="n">
        <x:v>68</x:v>
      </x:c>
      <x:c r="E74" s="74" t="str">
        <x:v>V1.0</x:v>
      </x:c>
      <x:c r="F74" s="68" t="str">
        <x:v>财→官杀→印</x:v>
      </x:c>
      <x:c r="G74" s="82" t="str">
        <x:v>结构层</x:v>
      </x:c>
      <x:c r="H74" s="68" t="str">
        <x:v>十神功能路径</x:v>
      </x:c>
      <x:c r="I74" s="68" t="str">
        <x:v>财星</x:v>
      </x:c>
      <x:c r="J74" s="68" t="str">
        <x:v>官杀</x:v>
      </x:c>
      <x:c r="K74" s="68" t="str">
        <x:v>印星</x:v>
      </x:c>
      <x:c r="L74" s="82" t="str">
        <x:v>待定</x:v>
      </x:c>
      <x:c r="M74" s="82" t="str">
        <x:v>待定</x:v>
      </x:c>
      <x:c r="N74" s="68" t="str">
        <x:v>待定</x:v>
      </x:c>
      <x:c r="O74" s="68" t="str">
        <x:v>待定</x:v>
      </x:c>
      <x:c r="P74" s="68" t="str">
        <x:v>待定</x:v>
      </x:c>
      <x:c r="Q74" s="82" t="str">
        <x:v>基本通畅</x:v>
      </x:c>
      <x:c r="R74" s="82" t="str">
        <x:v>其他</x:v>
      </x:c>
      <x:c r="S74" s="68" t="str">
        <x:v>待定</x:v>
      </x:c>
      <x:c r="T74" s="68" t="str">
        <x:v>财生官杀，官杀继续生印</x:v>
      </x:c>
      <x:c r="U74" s="68" t="str">
        <x:v>官杀</x:v>
      </x:c>
      <x:c r="V74" s="68" t="str">
        <x:v>M10确认相关十神功能有效，M11未出现决定性破坏</x:v>
      </x:c>
      <x:c r="W74" s="90" t="str">
        <x:v>需检查对调候、格局、日主承载及其他通路的副作用</x:v>
      </x:c>
      <x:c r="X74" s="68" t="str">
        <x:v>M06关系效应、M08五行有效旺衰、M10十神功能与M11组合判断已完成</x:v>
      </x:c>
      <x:c r="Y74" s="68" t="str">
        <x:v>起点、桥梁、终点均按有效力量与实际作用路径判断</x:v>
      </x:c>
      <x:c r="Z74" s="68" t="str">
        <x:v>桥梁有根有源、透达、位置可达且不存在关键制约</x:v>
      </x:c>
      <x:c r="AA74" s="68" t="str">
        <x:v>桥梁失令、无根、受克、合绊、改性或同时被多路调用</x:v>
      </x:c>
      <x:c r="AB74" s="90" t="str">
        <x:v>不得仅因五行缺失、数量少或关系名称直接认定卡点或通关用神</x:v>
      </x:c>
      <x:c r="AC74" s="68" t="str">
        <x:v>若存在更短、更强或副作用更小的替代路径，应并列比较后再裁定</x:v>
      </x:c>
      <x:c r="AD74" s="84" t="str">
        <x:v>财_官杀_印</x:v>
      </x:c>
      <x:c r="AE74" s="84" t="str">
        <x:v>财→官杀→印：按起点—桥梁—终点检查有效力量、连续性与承载；卡点为“其他”时，仅生成通关候选，不直接定用神。</x:v>
      </x:c>
      <x:c r="AF74" s="82" t="str">
        <x:v>较高</x:v>
      </x:c>
      <x:c r="AG74" s="82" t="str">
        <x:v>现代综合</x:v>
      </x:c>
      <x:c r="AH74" s="68" t="str">
        <x:v>流通判断以五行有效力量、生克顺序与十神功能为核心；古典依据可参照《滴天髓》《渊海子平》。 https://zh.wikisource.org/wiki/%E6%BB%B4%E5%A4%A9%E9%AB%93%E9%97%A1%E5%BE%AE https://zh.wikisource.org/zh-hans/%E6%B7%B5%E6%B5%B7%E5%AD%90%E5%B9%B3</x:v>
      </x:c>
      <x:c r="AI74" s="68" t="str">
        <x:v>当“财生官杀，官杀继续生印”真实成立，且桥梁具备有效力量和连续作用条件时，可按“财→官杀→印”记录。</x:v>
      </x:c>
      <x:c r="AJ74" s="90" t="str">
        <x:v>仅见表面缺失或五行相克，但未证明“财生官杀，官杀继续生印”形成实际阻断时，不得套用“财→官杀→印”。</x:v>
      </x:c>
      <x:c r="AK74" s="82" t="str">
        <x:v>采用</x:v>
      </x:c>
      <x:c r="AL74" s="82" t="str">
        <x:v>初审</x:v>
      </x:c>
      <x:c r="AM74" s="87" t="n">
        <x:v>46255</x:v>
      </x:c>
    </x:row>
    <x:row r="75">
      <x:c r="A75" s="72" t="str">
        <x:f>IF(OR(C75="",D75=""),"",B75&amp;"-"&amp;UPPER(C75)&amp;"-"&amp;TEXT(D75,"0000")&amp;"-"&amp;E75)</x:f>
        <x:v>M12-TENGOD-0069-V1.0</x:v>
      </x:c>
      <x:c r="B75" s="74" t="str">
        <x:v>M12</x:v>
      </x:c>
      <x:c r="C75" s="74" t="str">
        <x:v>TENGOD</x:v>
      </x:c>
      <x:c r="D75" s="215" t="n">
        <x:v>69</x:v>
      </x:c>
      <x:c r="E75" s="74" t="str">
        <x:v>V1.0</x:v>
      </x:c>
      <x:c r="F75" s="68" t="str">
        <x:v>印→身→食伤</x:v>
      </x:c>
      <x:c r="G75" s="82" t="str">
        <x:v>结构层</x:v>
      </x:c>
      <x:c r="H75" s="68" t="str">
        <x:v>十神功能路径</x:v>
      </x:c>
      <x:c r="I75" s="68" t="str">
        <x:v>印星</x:v>
      </x:c>
      <x:c r="J75" s="68" t="str">
        <x:v>日主</x:v>
      </x:c>
      <x:c r="K75" s="68" t="str">
        <x:v>食伤</x:v>
      </x:c>
      <x:c r="L75" s="82" t="str">
        <x:v>待定</x:v>
      </x:c>
      <x:c r="M75" s="82" t="str">
        <x:v>待定</x:v>
      </x:c>
      <x:c r="N75" s="68" t="str">
        <x:v>待定</x:v>
      </x:c>
      <x:c r="O75" s="68" t="str">
        <x:v>待定</x:v>
      </x:c>
      <x:c r="P75" s="68" t="str">
        <x:v>待定</x:v>
      </x:c>
      <x:c r="Q75" s="82" t="str">
        <x:v>基本通畅</x:v>
      </x:c>
      <x:c r="R75" s="82" t="str">
        <x:v>其他</x:v>
      </x:c>
      <x:c r="S75" s="68" t="str">
        <x:v>待定</x:v>
      </x:c>
      <x:c r="T75" s="68" t="str">
        <x:v>印生身后由日主向食伤输出</x:v>
      </x:c>
      <x:c r="U75" s="68" t="str">
        <x:v>日主</x:v>
      </x:c>
      <x:c r="V75" s="68" t="str">
        <x:v>M10确认相关十神功能有效，M11未出现决定性破坏</x:v>
      </x:c>
      <x:c r="W75" s="90" t="str">
        <x:v>需检查对调候、格局、日主承载及其他通路的副作用</x:v>
      </x:c>
      <x:c r="X75" s="68" t="str">
        <x:v>M06关系效应、M08五行有效旺衰、M10十神功能与M11组合判断已完成</x:v>
      </x:c>
      <x:c r="Y75" s="68" t="str">
        <x:v>起点、桥梁、终点均按有效力量与实际作用路径判断</x:v>
      </x:c>
      <x:c r="Z75" s="68" t="str">
        <x:v>桥梁有根有源、透达、位置可达且不存在关键制约</x:v>
      </x:c>
      <x:c r="AA75" s="68" t="str">
        <x:v>桥梁失令、无根、受克、合绊、改性或同时被多路调用</x:v>
      </x:c>
      <x:c r="AB75" s="90" t="str">
        <x:v>不得仅因五行缺失、数量少或关系名称直接认定卡点或通关用神</x:v>
      </x:c>
      <x:c r="AC75" s="68" t="str">
        <x:v>若存在更短、更强或副作用更小的替代路径，应并列比较后再裁定</x:v>
      </x:c>
      <x:c r="AD75" s="84" t="str">
        <x:v>印_身_食伤</x:v>
      </x:c>
      <x:c r="AE75" s="84" t="str">
        <x:v>印→身→食伤：按起点—桥梁—终点检查有效力量、连续性与承载；卡点为“其他”时，仅生成通关候选，不直接定用神。</x:v>
      </x:c>
      <x:c r="AF75" s="82" t="str">
        <x:v>较高</x:v>
      </x:c>
      <x:c r="AG75" s="82" t="str">
        <x:v>现代综合</x:v>
      </x:c>
      <x:c r="AH75" s="68" t="str">
        <x:v>流通判断以五行有效力量、生克顺序与十神功能为核心；古典依据可参照《滴天髓》《渊海子平》。 https://zh.wikisource.org/wiki/%E6%BB%B4%E5%A4%A9%E9%AB%93%E9%97%A1%E5%BE%AE https://zh.wikisource.org/zh-hans/%E6%B7%B5%E6%B5%B7%E5%AD%90%E5%B9%B3</x:v>
      </x:c>
      <x:c r="AI75" s="68" t="str">
        <x:v>当“印生身后由日主向食伤输出”真实成立，且桥梁具备有效力量和连续作用条件时，可按“印→身→食伤”记录。</x:v>
      </x:c>
      <x:c r="AJ75" s="90" t="str">
        <x:v>仅见表面缺失或五行相克，但未证明“印生身后由日主向食伤输出”形成实际阻断时，不得套用“印→身→食伤”。</x:v>
      </x:c>
      <x:c r="AK75" s="82" t="str">
        <x:v>采用</x:v>
      </x:c>
      <x:c r="AL75" s="82" t="str">
        <x:v>初审</x:v>
      </x:c>
      <x:c r="AM75" s="87" t="n">
        <x:v>46255</x:v>
      </x:c>
    </x:row>
    <x:row r="76">
      <x:c r="A76" s="72" t="str">
        <x:f>IF(OR(C76="",D76=""),"",B76&amp;"-"&amp;UPPER(C76)&amp;"-"&amp;TEXT(D76,"0000")&amp;"-"&amp;E76)</x:f>
        <x:v>M12-TENGOD-0070-V1.0</x:v>
      </x:c>
      <x:c r="B76" s="74" t="str">
        <x:v>M12</x:v>
      </x:c>
      <x:c r="C76" s="74" t="str">
        <x:v>TENGOD</x:v>
      </x:c>
      <x:c r="D76" s="215" t="n">
        <x:v>70</x:v>
      </x:c>
      <x:c r="E76" s="74" t="str">
        <x:v>V1.0</x:v>
      </x:c>
      <x:c r="F76" s="68" t="str">
        <x:v>比劫→食伤→财</x:v>
      </x:c>
      <x:c r="G76" s="82" t="str">
        <x:v>结构层</x:v>
      </x:c>
      <x:c r="H76" s="68" t="str">
        <x:v>十神功能路径</x:v>
      </x:c>
      <x:c r="I76" s="68" t="str">
        <x:v>比劫</x:v>
      </x:c>
      <x:c r="J76" s="68" t="str">
        <x:v>食伤</x:v>
      </x:c>
      <x:c r="K76" s="68" t="str">
        <x:v>财星</x:v>
      </x:c>
      <x:c r="L76" s="82" t="str">
        <x:v>待定</x:v>
      </x:c>
      <x:c r="M76" s="82" t="str">
        <x:v>待定</x:v>
      </x:c>
      <x:c r="N76" s="68" t="str">
        <x:v>待定</x:v>
      </x:c>
      <x:c r="O76" s="68" t="str">
        <x:v>待定</x:v>
      </x:c>
      <x:c r="P76" s="68" t="str">
        <x:v>待定</x:v>
      </x:c>
      <x:c r="Q76" s="82" t="str">
        <x:v>基本通畅</x:v>
      </x:c>
      <x:c r="R76" s="82" t="str">
        <x:v>其他</x:v>
      </x:c>
      <x:c r="S76" s="68" t="str">
        <x:v>待定</x:v>
      </x:c>
      <x:c r="T76" s="68" t="str">
        <x:v>同类集团通过食伤向财星释放</x:v>
      </x:c>
      <x:c r="U76" s="68" t="str">
        <x:v>食伤</x:v>
      </x:c>
      <x:c r="V76" s="68" t="str">
        <x:v>M10确认相关十神功能有效，M11未出现决定性破坏</x:v>
      </x:c>
      <x:c r="W76" s="90" t="str">
        <x:v>需检查对调候、格局、日主承载及其他通路的副作用</x:v>
      </x:c>
      <x:c r="X76" s="68" t="str">
        <x:v>M06关系效应、M08五行有效旺衰、M10十神功能与M11组合判断已完成</x:v>
      </x:c>
      <x:c r="Y76" s="68" t="str">
        <x:v>起点、桥梁、终点均按有效力量与实际作用路径判断</x:v>
      </x:c>
      <x:c r="Z76" s="68" t="str">
        <x:v>桥梁有根有源、透达、位置可达且不存在关键制约</x:v>
      </x:c>
      <x:c r="AA76" s="68" t="str">
        <x:v>桥梁失令、无根、受克、合绊、改性或同时被多路调用</x:v>
      </x:c>
      <x:c r="AB76" s="90" t="str">
        <x:v>不得仅因五行缺失、数量少或关系名称直接认定卡点或通关用神</x:v>
      </x:c>
      <x:c r="AC76" s="68" t="str">
        <x:v>若存在更短、更强或副作用更小的替代路径，应并列比较后再裁定</x:v>
      </x:c>
      <x:c r="AD76" s="84" t="str">
        <x:v>比劫_食伤_财</x:v>
      </x:c>
      <x:c r="AE76" s="84" t="str">
        <x:v>比劫→食伤→财：按起点—桥梁—终点检查有效力量、连续性与承载；卡点为“其他”时，仅生成通关候选，不直接定用神。</x:v>
      </x:c>
      <x:c r="AF76" s="82" t="str">
        <x:v>较高</x:v>
      </x:c>
      <x:c r="AG76" s="82" t="str">
        <x:v>现代综合</x:v>
      </x:c>
      <x:c r="AH76" s="68" t="str">
        <x:v>流通判断以五行有效力量、生克顺序与十神功能为核心；古典依据可参照《滴天髓》《渊海子平》。 https://zh.wikisource.org/wiki/%E6%BB%B4%E5%A4%A9%E9%AB%93%E9%97%A1%E5%BE%AE https://zh.wikisource.org/zh-hans/%E6%B7%B5%E6%B5%B7%E5%AD%90%E5%B9%B3</x:v>
      </x:c>
      <x:c r="AI76" s="68" t="str">
        <x:v>当“同类集团通过食伤向财星释放”真实成立，且桥梁具备有效力量和连续作用条件时，可按“比劫→食伤→财”记录。</x:v>
      </x:c>
      <x:c r="AJ76" s="90" t="str">
        <x:v>仅见表面缺失或五行相克，但未证明“同类集团通过食伤向财星释放”形成实际阻断时，不得套用“比劫→食伤→财”。</x:v>
      </x:c>
      <x:c r="AK76" s="82" t="str">
        <x:v>采用</x:v>
      </x:c>
      <x:c r="AL76" s="82" t="str">
        <x:v>初审</x:v>
      </x:c>
      <x:c r="AM76" s="87" t="n">
        <x:v>46255</x:v>
      </x:c>
    </x:row>
    <x:row r="77">
      <x:c r="A77" s="72" t="str">
        <x:f>IF(OR(C77="",D77=""),"",B77&amp;"-"&amp;UPPER(C77)&amp;"-"&amp;TEXT(D77,"0000")&amp;"-"&amp;E77)</x:f>
        <x:v>M12-TENGOD-0071-V1.0</x:v>
      </x:c>
      <x:c r="B77" s="74" t="str">
        <x:v>M12</x:v>
      </x:c>
      <x:c r="C77" s="74" t="str">
        <x:v>TENGOD</x:v>
      </x:c>
      <x:c r="D77" s="215" t="n">
        <x:v>71</x:v>
      </x:c>
      <x:c r="E77" s="74" t="str">
        <x:v>V1.0</x:v>
      </x:c>
      <x:c r="F77" s="68" t="str">
        <x:v>杀→印→比劫</x:v>
      </x:c>
      <x:c r="G77" s="82" t="str">
        <x:v>结构层</x:v>
      </x:c>
      <x:c r="H77" s="68" t="str">
        <x:v>十神功能路径</x:v>
      </x:c>
      <x:c r="I77" s="68" t="str">
        <x:v>七杀</x:v>
      </x:c>
      <x:c r="J77" s="68" t="str">
        <x:v>印星</x:v>
      </x:c>
      <x:c r="K77" s="68" t="str">
        <x:v>比劫</x:v>
      </x:c>
      <x:c r="L77" s="82" t="str">
        <x:v>待定</x:v>
      </x:c>
      <x:c r="M77" s="82" t="str">
        <x:v>待定</x:v>
      </x:c>
      <x:c r="N77" s="68" t="str">
        <x:v>待定</x:v>
      </x:c>
      <x:c r="O77" s="68" t="str">
        <x:v>待定</x:v>
      </x:c>
      <x:c r="P77" s="68" t="str">
        <x:v>待定</x:v>
      </x:c>
      <x:c r="Q77" s="82" t="str">
        <x:v>基本通畅</x:v>
      </x:c>
      <x:c r="R77" s="82" t="str">
        <x:v>其他</x:v>
      </x:c>
      <x:c r="S77" s="68" t="str">
        <x:v>待定</x:v>
      </x:c>
      <x:c r="T77" s="68" t="str">
        <x:v>杀气先入印，再增强日主同党承载</x:v>
      </x:c>
      <x:c r="U77" s="68" t="str">
        <x:v>印星</x:v>
      </x:c>
      <x:c r="V77" s="68" t="str">
        <x:v>M10确认相关十神功能有效，M11未出现决定性破坏</x:v>
      </x:c>
      <x:c r="W77" s="90" t="str">
        <x:v>需检查对调候、格局、日主承载及其他通路的副作用</x:v>
      </x:c>
      <x:c r="X77" s="68" t="str">
        <x:v>M06关系效应、M08五行有效旺衰、M10十神功能与M11组合判断已完成</x:v>
      </x:c>
      <x:c r="Y77" s="68" t="str">
        <x:v>起点、桥梁、终点均按有效力量与实际作用路径判断</x:v>
      </x:c>
      <x:c r="Z77" s="68" t="str">
        <x:v>桥梁有根有源、透达、位置可达且不存在关键制约</x:v>
      </x:c>
      <x:c r="AA77" s="68" t="str">
        <x:v>桥梁失令、无根、受克、合绊、改性或同时被多路调用</x:v>
      </x:c>
      <x:c r="AB77" s="90" t="str">
        <x:v>不得仅因五行缺失、数量少或关系名称直接认定卡点或通关用神</x:v>
      </x:c>
      <x:c r="AC77" s="68" t="str">
        <x:v>若存在更短、更强或副作用更小的替代路径，应并列比较后再裁定</x:v>
      </x:c>
      <x:c r="AD77" s="84" t="str">
        <x:v>杀_印_比劫</x:v>
      </x:c>
      <x:c r="AE77" s="84" t="str">
        <x:v>杀→印→比劫：按起点—桥梁—终点检查有效力量、连续性与承载；卡点为“其他”时，仅生成通关候选，不直接定用神。</x:v>
      </x:c>
      <x:c r="AF77" s="82" t="str">
        <x:v>较高</x:v>
      </x:c>
      <x:c r="AG77" s="82" t="str">
        <x:v>现代综合</x:v>
      </x:c>
      <x:c r="AH77" s="68" t="str">
        <x:v>流通判断以五行有效力量、生克顺序与十神功能为核心；古典依据可参照《滴天髓》《渊海子平》。 https://zh.wikisource.org/wiki/%E6%BB%B4%E5%A4%A9%E9%AB%93%E9%97%A1%E5%BE%AE https://zh.wikisource.org/zh-hans/%E6%B7%B5%E6%B5%B7%E5%AD%90%E5%B9%B3</x:v>
      </x:c>
      <x:c r="AI77" s="68" t="str">
        <x:v>当“杀气先入印，再增强日主同党承载”真实成立，且桥梁具备有效力量和连续作用条件时，可按“杀→印→比劫”记录。</x:v>
      </x:c>
      <x:c r="AJ77" s="90" t="str">
        <x:v>仅见表面缺失或五行相克，但未证明“杀气先入印，再增强日主同党承载”形成实际阻断时，不得套用“杀→印→比劫”。</x:v>
      </x:c>
      <x:c r="AK77" s="82" t="str">
        <x:v>采用</x:v>
      </x:c>
      <x:c r="AL77" s="82" t="str">
        <x:v>初审</x:v>
      </x:c>
      <x:c r="AM77" s="87" t="n">
        <x:v>46255</x:v>
      </x:c>
    </x:row>
    <x:row r="78">
      <x:c r="A78" s="72" t="str">
        <x:f>IF(OR(C78="",D78=""),"",B78&amp;"-"&amp;UPPER(C78)&amp;"-"&amp;TEXT(D78,"0000")&amp;"-"&amp;E78)</x:f>
        <x:v>M12-TENGOD-0072-V1.0</x:v>
      </x:c>
      <x:c r="B78" s="74" t="str">
        <x:v>M12</x:v>
      </x:c>
      <x:c r="C78" s="74" t="str">
        <x:v>TENGOD</x:v>
      </x:c>
      <x:c r="D78" s="215" t="n">
        <x:v>72</x:v>
      </x:c>
      <x:c r="E78" s="74" t="str">
        <x:v>V1.0</x:v>
      </x:c>
      <x:c r="F78" s="68" t="str">
        <x:v>食神→财→官</x:v>
      </x:c>
      <x:c r="G78" s="82" t="str">
        <x:v>结构层</x:v>
      </x:c>
      <x:c r="H78" s="68" t="str">
        <x:v>十神功能路径</x:v>
      </x:c>
      <x:c r="I78" s="68" t="str">
        <x:v>食神</x:v>
      </x:c>
      <x:c r="J78" s="68" t="str">
        <x:v>财星</x:v>
      </x:c>
      <x:c r="K78" s="68" t="str">
        <x:v>正官</x:v>
      </x:c>
      <x:c r="L78" s="82" t="str">
        <x:v>待定</x:v>
      </x:c>
      <x:c r="M78" s="82" t="str">
        <x:v>待定</x:v>
      </x:c>
      <x:c r="N78" s="68" t="str">
        <x:v>待定</x:v>
      </x:c>
      <x:c r="O78" s="68" t="str">
        <x:v>待定</x:v>
      </x:c>
      <x:c r="P78" s="68" t="str">
        <x:v>待定</x:v>
      </x:c>
      <x:c r="Q78" s="82" t="str">
        <x:v>基本通畅</x:v>
      </x:c>
      <x:c r="R78" s="82" t="str">
        <x:v>其他</x:v>
      </x:c>
      <x:c r="S78" s="68" t="str">
        <x:v>待定</x:v>
      </x:c>
      <x:c r="T78" s="68" t="str">
        <x:v>食神输出经财转为官星资源</x:v>
      </x:c>
      <x:c r="U78" s="68" t="str">
        <x:v>财星</x:v>
      </x:c>
      <x:c r="V78" s="68" t="str">
        <x:v>M10确认相关十神功能有效，M11未出现决定性破坏</x:v>
      </x:c>
      <x:c r="W78" s="90" t="str">
        <x:v>需检查对调候、格局、日主承载及其他通路的副作用</x:v>
      </x:c>
      <x:c r="X78" s="68" t="str">
        <x:v>M06关系效应、M08五行有效旺衰、M10十神功能与M11组合判断已完成</x:v>
      </x:c>
      <x:c r="Y78" s="68" t="str">
        <x:v>起点、桥梁、终点均按有效力量与实际作用路径判断</x:v>
      </x:c>
      <x:c r="Z78" s="68" t="str">
        <x:v>桥梁有根有源、透达、位置可达且不存在关键制约</x:v>
      </x:c>
      <x:c r="AA78" s="68" t="str">
        <x:v>桥梁失令、无根、受克、合绊、改性或同时被多路调用</x:v>
      </x:c>
      <x:c r="AB78" s="90" t="str">
        <x:v>不得仅因五行缺失、数量少或关系名称直接认定卡点或通关用神</x:v>
      </x:c>
      <x:c r="AC78" s="68" t="str">
        <x:v>若存在更短、更强或副作用更小的替代路径，应并列比较后再裁定</x:v>
      </x:c>
      <x:c r="AD78" s="84" t="str">
        <x:v>食神_财_官</x:v>
      </x:c>
      <x:c r="AE78" s="84" t="str">
        <x:v>食神→财→官：按起点—桥梁—终点检查有效力量、连续性与承载；卡点为“其他”时，仅生成通关候选，不直接定用神。</x:v>
      </x:c>
      <x:c r="AF78" s="82" t="str">
        <x:v>较高</x:v>
      </x:c>
      <x:c r="AG78" s="82" t="str">
        <x:v>现代综合</x:v>
      </x:c>
      <x:c r="AH78" s="68" t="str">
        <x:v>流通判断以五行有效力量、生克顺序与十神功能为核心；古典依据可参照《滴天髓》《渊海子平》。 https://zh.wikisource.org/wiki/%E6%BB%B4%E5%A4%A9%E9%AB%93%E9%97%A1%E5%BE%AE https://zh.wikisource.org/zh-hans/%E6%B7%B5%E6%B5%B7%E5%AD%90%E5%B9%B3</x:v>
      </x:c>
      <x:c r="AI78" s="68" t="str">
        <x:v>当“食神输出经财转为官星资源”真实成立，且桥梁具备有效力量和连续作用条件时，可按“食神→财→官”记录。</x:v>
      </x:c>
      <x:c r="AJ78" s="90" t="str">
        <x:v>仅见表面缺失或五行相克，但未证明“食神输出经财转为官星资源”形成实际阻断时，不得套用“食神→财→官”。</x:v>
      </x:c>
      <x:c r="AK78" s="82" t="str">
        <x:v>采用</x:v>
      </x:c>
      <x:c r="AL78" s="82" t="str">
        <x:v>初审</x:v>
      </x:c>
      <x:c r="AM78" s="87" t="n">
        <x:v>46255</x:v>
      </x:c>
    </x:row>
    <x:row r="79">
      <x:c r="A79" s="72" t="str">
        <x:f>IF(OR(C79="",D79=""),"",B79&amp;"-"&amp;UPPER(C79)&amp;"-"&amp;TEXT(D79,"0000")&amp;"-"&amp;E79)</x:f>
        <x:v>M12-TENGOD-0073-V1.0</x:v>
      </x:c>
      <x:c r="B79" s="74" t="str">
        <x:v>M12</x:v>
      </x:c>
      <x:c r="C79" s="74" t="str">
        <x:v>TENGOD</x:v>
      </x:c>
      <x:c r="D79" s="215" t="n">
        <x:v>73</x:v>
      </x:c>
      <x:c r="E79" s="74" t="str">
        <x:v>V1.0</x:v>
      </x:c>
      <x:c r="F79" s="68" t="str">
        <x:v>伤官→财→官</x:v>
      </x:c>
      <x:c r="G79" s="82" t="str">
        <x:v>结构层</x:v>
      </x:c>
      <x:c r="H79" s="68" t="str">
        <x:v>十神功能路径</x:v>
      </x:c>
      <x:c r="I79" s="68" t="str">
        <x:v>伤官</x:v>
      </x:c>
      <x:c r="J79" s="68" t="str">
        <x:v>财星</x:v>
      </x:c>
      <x:c r="K79" s="68" t="str">
        <x:v>正官</x:v>
      </x:c>
      <x:c r="L79" s="82" t="str">
        <x:v>待定</x:v>
      </x:c>
      <x:c r="M79" s="82" t="str">
        <x:v>待定</x:v>
      </x:c>
      <x:c r="N79" s="68" t="str">
        <x:v>待定</x:v>
      </x:c>
      <x:c r="O79" s="68" t="str">
        <x:v>待定</x:v>
      </x:c>
      <x:c r="P79" s="68" t="str">
        <x:v>待定</x:v>
      </x:c>
      <x:c r="Q79" s="82" t="str">
        <x:v>基本通畅</x:v>
      </x:c>
      <x:c r="R79" s="82" t="str">
        <x:v>其他</x:v>
      </x:c>
      <x:c r="S79" s="68" t="str">
        <x:v>待定</x:v>
      </x:c>
      <x:c r="T79" s="68" t="str">
        <x:v>以财作中介降低伤官直接克官冲突</x:v>
      </x:c>
      <x:c r="U79" s="68" t="str">
        <x:v>财星</x:v>
      </x:c>
      <x:c r="V79" s="68" t="str">
        <x:v>M10确认相关十神功能有效，M11未出现决定性破坏</x:v>
      </x:c>
      <x:c r="W79" s="90" t="str">
        <x:v>需检查对调候、格局、日主承载及其他通路的副作用</x:v>
      </x:c>
      <x:c r="X79" s="68" t="str">
        <x:v>M06关系效应、M08五行有效旺衰、M10十神功能与M11组合判断已完成</x:v>
      </x:c>
      <x:c r="Y79" s="68" t="str">
        <x:v>起点、桥梁、终点均按有效力量与实际作用路径判断</x:v>
      </x:c>
      <x:c r="Z79" s="68" t="str">
        <x:v>桥梁有根有源、透达、位置可达且不存在关键制约</x:v>
      </x:c>
      <x:c r="AA79" s="68" t="str">
        <x:v>桥梁失令、无根、受克、合绊、改性或同时被多路调用</x:v>
      </x:c>
      <x:c r="AB79" s="90" t="str">
        <x:v>不得仅因五行缺失、数量少或关系名称直接认定卡点或通关用神</x:v>
      </x:c>
      <x:c r="AC79" s="68" t="str">
        <x:v>若存在更短、更强或副作用更小的替代路径，应并列比较后再裁定</x:v>
      </x:c>
      <x:c r="AD79" s="84" t="str">
        <x:v>伤官_财_官</x:v>
      </x:c>
      <x:c r="AE79" s="84" t="str">
        <x:v>伤官→财→官：按起点—桥梁—终点检查有效力量、连续性与承载；卡点为“其他”时，仅生成通关候选，不直接定用神。</x:v>
      </x:c>
      <x:c r="AF79" s="82" t="str">
        <x:v>较高</x:v>
      </x:c>
      <x:c r="AG79" s="82" t="str">
        <x:v>现代综合</x:v>
      </x:c>
      <x:c r="AH79" s="68" t="str">
        <x:v>流通判断以五行有效力量、生克顺序与十神功能为核心；古典依据可参照《滴天髓》《渊海子平》。 https://zh.wikisource.org/wiki/%E6%BB%B4%E5%A4%A9%E9%AB%93%E9%97%A1%E5%BE%AE https://zh.wikisource.org/zh-hans/%E6%B7%B5%E6%B5%B7%E5%AD%90%E5%B9%B3</x:v>
      </x:c>
      <x:c r="AI79" s="68" t="str">
        <x:v>当“以财作中介降低伤官直接克官冲突”真实成立，且桥梁具备有效力量和连续作用条件时，可按“伤官→财→官”记录。</x:v>
      </x:c>
      <x:c r="AJ79" s="90" t="str">
        <x:v>仅见表面缺失或五行相克，但未证明“以财作中介降低伤官直接克官冲突”形成实际阻断时，不得套用“伤官→财→官”。</x:v>
      </x:c>
      <x:c r="AK79" s="82" t="str">
        <x:v>采用</x:v>
      </x:c>
      <x:c r="AL79" s="82" t="str">
        <x:v>初审</x:v>
      </x:c>
      <x:c r="AM79" s="87" t="n">
        <x:v>46255</x:v>
      </x:c>
    </x:row>
    <x:row r="80">
      <x:c r="A80" s="72" t="str">
        <x:f>IF(OR(C80="",D80=""),"",B80&amp;"-"&amp;UPPER(C80)&amp;"-"&amp;TEXT(D80,"0000")&amp;"-"&amp;E80)</x:f>
        <x:v>M12-TENGOD-0074-V1.0</x:v>
      </x:c>
      <x:c r="B80" s="74" t="str">
        <x:v>M12</x:v>
      </x:c>
      <x:c r="C80" s="74" t="str">
        <x:v>TENGOD</x:v>
      </x:c>
      <x:c r="D80" s="215" t="n">
        <x:v>74</x:v>
      </x:c>
      <x:c r="E80" s="74" t="str">
        <x:v>V1.0</x:v>
      </x:c>
      <x:c r="F80" s="68" t="str">
        <x:v>官杀→印→身→食伤</x:v>
      </x:c>
      <x:c r="G80" s="82" t="str">
        <x:v>结构层</x:v>
      </x:c>
      <x:c r="H80" s="68" t="str">
        <x:v>十神功能路径</x:v>
      </x:c>
      <x:c r="I80" s="68" t="str">
        <x:v>官杀</x:v>
      </x:c>
      <x:c r="J80" s="68" t="str">
        <x:v>印星</x:v>
      </x:c>
      <x:c r="K80" s="68" t="str">
        <x:v>食伤</x:v>
      </x:c>
      <x:c r="L80" s="82" t="str">
        <x:v>待定</x:v>
      </x:c>
      <x:c r="M80" s="82" t="str">
        <x:v>待定</x:v>
      </x:c>
      <x:c r="N80" s="68" t="str">
        <x:v>待定</x:v>
      </x:c>
      <x:c r="O80" s="68" t="str">
        <x:v>待定</x:v>
      </x:c>
      <x:c r="P80" s="68" t="str">
        <x:v>待定</x:v>
      </x:c>
      <x:c r="Q80" s="82" t="str">
        <x:v>基本通畅</x:v>
      </x:c>
      <x:c r="R80" s="82" t="str">
        <x:v>其他</x:v>
      </x:c>
      <x:c r="S80" s="68" t="str">
        <x:v>待定</x:v>
      </x:c>
      <x:c r="T80" s="68" t="str">
        <x:v>官杀经印身转化后再由食伤泄出</x:v>
      </x:c>
      <x:c r="U80" s="68" t="str">
        <x:v>印星</x:v>
      </x:c>
      <x:c r="V80" s="68" t="str">
        <x:v>M10确认相关十神功能有效，M11未出现决定性破坏</x:v>
      </x:c>
      <x:c r="W80" s="90" t="str">
        <x:v>需检查对调候、格局、日主承载及其他通路的副作用</x:v>
      </x:c>
      <x:c r="X80" s="68" t="str">
        <x:v>M06关系效应、M08五行有效旺衰、M10十神功能与M11组合判断已完成</x:v>
      </x:c>
      <x:c r="Y80" s="68" t="str">
        <x:v>起点、桥梁、终点均按有效力量与实际作用路径判断</x:v>
      </x:c>
      <x:c r="Z80" s="68" t="str">
        <x:v>桥梁有根有源、透达、位置可达且不存在关键制约</x:v>
      </x:c>
      <x:c r="AA80" s="68" t="str">
        <x:v>桥梁失令、无根、受克、合绊、改性或同时被多路调用</x:v>
      </x:c>
      <x:c r="AB80" s="90" t="str">
        <x:v>不得仅因五行缺失、数量少或关系名称直接认定卡点或通关用神</x:v>
      </x:c>
      <x:c r="AC80" s="68" t="str">
        <x:v>若存在更短、更强或副作用更小的替代路径，应并列比较后再裁定</x:v>
      </x:c>
      <x:c r="AD80" s="84" t="str">
        <x:v>官杀_印_身_食伤</x:v>
      </x:c>
      <x:c r="AE80" s="84" t="str">
        <x:v>官杀→印→身→食伤：按起点—桥梁—终点检查有效力量、连续性与承载；卡点为“其他”时，仅生成通关候选，不直接定用神。</x:v>
      </x:c>
      <x:c r="AF80" s="82" t="str">
        <x:v>较高</x:v>
      </x:c>
      <x:c r="AG80" s="82" t="str">
        <x:v>现代综合</x:v>
      </x:c>
      <x:c r="AH80" s="68" t="str">
        <x:v>流通判断以五行有效力量、生克顺序与十神功能为核心；古典依据可参照《滴天髓》《渊海子平》。 https://zh.wikisource.org/wiki/%E6%BB%B4%E5%A4%A9%E9%AB%93%E9%97%A1%E5%BE%AE https://zh.wikisource.org/zh-hans/%E6%B7%B5%E6%B5%B7%E5%AD%90%E5%B9%B3</x:v>
      </x:c>
      <x:c r="AI80" s="68" t="str">
        <x:v>当“官杀经印身转化后再由食伤泄出”真实成立，且桥梁具备有效力量和连续作用条件时，可按“官杀→印→身→食伤”记录。</x:v>
      </x:c>
      <x:c r="AJ80" s="90" t="str">
        <x:v>仅见表面缺失或五行相克，但未证明“官杀经印身转化后再由食伤泄出”形成实际阻断时，不得套用“官杀→印→身→食伤”。</x:v>
      </x:c>
      <x:c r="AK80" s="82" t="str">
        <x:v>采用</x:v>
      </x:c>
      <x:c r="AL80" s="82" t="str">
        <x:v>初审</x:v>
      </x:c>
      <x:c r="AM80" s="87" t="n">
        <x:v>46255</x:v>
      </x:c>
    </x:row>
    <x:row r="81">
      <x:c r="A81" s="72" t="str">
        <x:f>IF(OR(C81="",D81=""),"",B81&amp;"-"&amp;UPPER(C81)&amp;"-"&amp;TEXT(D81,"0000")&amp;"-"&amp;E81)</x:f>
        <x:v>M12-TONGGUAN-0075-V1.0</x:v>
      </x:c>
      <x:c r="B81" s="74" t="str">
        <x:v>M12</x:v>
      </x:c>
      <x:c r="C81" s="74" t="str">
        <x:v>TONGGUAN</x:v>
      </x:c>
      <x:c r="D81" s="215" t="n">
        <x:v>75</x:v>
      </x:c>
      <x:c r="E81" s="74" t="str">
        <x:v>V1.0</x:v>
      </x:c>
      <x:c r="F81" s="68" t="str">
        <x:v>通关五行必须同时具备泄上游与生下游双重能力</x:v>
      </x:c>
      <x:c r="G81" s="82" t="str">
        <x:v>结构层</x:v>
      </x:c>
      <x:c r="H81" s="68" t="str">
        <x:v>五行克战通关</x:v>
      </x:c>
      <x:c r="I81" s="68" t="str">
        <x:v>克方</x:v>
      </x:c>
      <x:c r="J81" s="68" t="str">
        <x:v>通关候选五行</x:v>
      </x:c>
      <x:c r="K81" s="68" t="str">
        <x:v>被克方</x:v>
      </x:c>
      <x:c r="L81" s="82" t="str">
        <x:v>待定</x:v>
      </x:c>
      <x:c r="M81" s="82" t="str">
        <x:v>待定</x:v>
      </x:c>
      <x:c r="N81" s="68" t="str">
        <x:v>待定</x:v>
      </x:c>
      <x:c r="O81" s="68" t="str">
        <x:v>待定</x:v>
      </x:c>
      <x:c r="P81" s="68" t="str">
        <x:v>待定</x:v>
      </x:c>
      <x:c r="Q81" s="82" t="str">
        <x:v>待定</x:v>
      </x:c>
      <x:c r="R81" s="82" t="str">
        <x:v>两强相战</x:v>
      </x:c>
      <x:c r="S81" s="68" t="str">
        <x:v>待定</x:v>
      </x:c>
      <x:c r="T81" s="68" t="str">
        <x:v>候选五行仅能单向帮助一方，不能同时完成泄与生</x:v>
      </x:c>
      <x:c r="U81" s="68" t="str">
        <x:v>满足泄上游且生下游者</x:v>
      </x:c>
      <x:c r="V81" s="68" t="str">
        <x:v>双向功能均真实有效</x:v>
      </x:c>
      <x:c r="W81" s="90" t="str">
        <x:v>需检查对调候、格局、日主承载及其他通路的副作用</x:v>
      </x:c>
      <x:c r="X81" s="68" t="str">
        <x:v>M06关系效应、M08五行有效旺衰、M10十神功能与M11组合判断已完成</x:v>
      </x:c>
      <x:c r="Y81" s="68" t="str">
        <x:v>起点、桥梁、终点均按有效力量与实际作用路径判断</x:v>
      </x:c>
      <x:c r="Z81" s="68" t="str">
        <x:v>桥梁有根有源、透达、位置可达且不存在关键制约</x:v>
      </x:c>
      <x:c r="AA81" s="68" t="str">
        <x:v>桥梁失令、无根、受克、合绊、改性或同时被多路调用</x:v>
      </x:c>
      <x:c r="AB81" s="90" t="str">
        <x:v>不得仅因五行缺失、数量少或关系名称直接认定卡点或通关用神</x:v>
      </x:c>
      <x:c r="AC81" s="68" t="str">
        <x:v>若存在更短、更强或副作用更小的替代路径，应并列比较后再裁定</x:v>
      </x:c>
      <x:c r="AD81" s="84" t="str">
        <x:v>通关双向条件</x:v>
      </x:c>
      <x:c r="AE81" s="84" t="str">
        <x:v>通关五行必须同时具备泄上游与生下游双重能力：按起点—桥梁—终点检查有效力量、连续性与承载；卡点为“两强相战”时，仅生成通关候选，不直接定用神。</x:v>
      </x:c>
      <x:c r="AF81" s="82" t="str">
        <x:v>较高</x:v>
      </x:c>
      <x:c r="AG81" s="82" t="str">
        <x:v>现代综合</x:v>
      </x:c>
      <x:c r="AH81" s="68" t="str">
        <x:v>流通判断以五行有效力量、生克顺序与十神功能为核心；古典依据可参照《滴天髓》《渊海子平》。 https://zh.wikisource.org/wiki/%E6%BB%B4%E5%A4%A9%E9%AB%93%E9%97%A1%E5%BE%AE https://zh.wikisource.org/zh-hans/%E6%B7%B5%E6%B5%B7%E5%AD%90%E5%B9%B3</x:v>
      </x:c>
      <x:c r="AI81" s="68" t="str">
        <x:v>当“候选五行仅能单向帮助一方，不能同时完成泄与生”真实成立，且桥梁具备有效力量和连续作用条件时，可按“通关五行必须同时具备泄上游与生下游双重能力”记录。</x:v>
      </x:c>
      <x:c r="AJ81" s="90" t="str">
        <x:v>仅见表面缺失或五行相克，但未证明“候选五行仅能单向帮助一方，不能同时完成泄与生”形成实际阻断时，不得套用“通关五行必须同时具备泄上游与生下游双重能力”。</x:v>
      </x:c>
      <x:c r="AK81" s="82" t="str">
        <x:v>采用</x:v>
      </x:c>
      <x:c r="AL81" s="82" t="str">
        <x:v>初审</x:v>
      </x:c>
      <x:c r="AM81" s="87" t="n">
        <x:v>46255</x:v>
      </x:c>
    </x:row>
    <x:row r="82">
      <x:c r="A82" s="72" t="str">
        <x:f>IF(OR(C82="",D82=""),"",B82&amp;"-"&amp;UPPER(C82)&amp;"-"&amp;TEXT(D82,"0000")&amp;"-"&amp;E82)</x:f>
        <x:v>M12-TONGGUAN-0076-V1.0</x:v>
      </x:c>
      <x:c r="B82" s="74" t="str">
        <x:v>M12</x:v>
      </x:c>
      <x:c r="C82" s="74" t="str">
        <x:v>TONGGUAN</x:v>
      </x:c>
      <x:c r="D82" s="215" t="n">
        <x:v>76</x:v>
      </x:c>
      <x:c r="E82" s="74" t="str">
        <x:v>V1.0</x:v>
      </x:c>
      <x:c r="F82" s="68" t="str">
        <x:v>通关五行无根无源时不能承担主通关</x:v>
      </x:c>
      <x:c r="G82" s="82" t="str">
        <x:v>结构层</x:v>
      </x:c>
      <x:c r="H82" s="68" t="str">
        <x:v>五行克战通关</x:v>
      </x:c>
      <x:c r="I82" s="68" t="str">
        <x:v>两强之一</x:v>
      </x:c>
      <x:c r="J82" s="68" t="str">
        <x:v>无根通关五行</x:v>
      </x:c>
      <x:c r="K82" s="68" t="str">
        <x:v>另一强方</x:v>
      </x:c>
      <x:c r="L82" s="82" t="str">
        <x:v>待定</x:v>
      </x:c>
      <x:c r="M82" s="82" t="str">
        <x:v>弱</x:v>
      </x:c>
      <x:c r="N82" s="68" t="str">
        <x:v>待定</x:v>
      </x:c>
      <x:c r="O82" s="68" t="str">
        <x:v>待定</x:v>
      </x:c>
      <x:c r="P82" s="68" t="str">
        <x:v>待定</x:v>
      </x:c>
      <x:c r="Q82" s="82" t="str">
        <x:v>局部阻塞</x:v>
      </x:c>
      <x:c r="R82" s="82" t="str">
        <x:v>桥梁太弱</x:v>
      </x:c>
      <x:c r="S82" s="68" t="str">
        <x:v>待定</x:v>
      </x:c>
      <x:c r="T82" s="68" t="str">
        <x:v>候选通关五行名义存在但有效力量不足</x:v>
      </x:c>
      <x:c r="U82" s="68" t="str">
        <x:v>待定</x:v>
      </x:c>
      <x:c r="V82" s="68" t="str">
        <x:v>待定</x:v>
      </x:c>
      <x:c r="W82" s="90" t="str">
        <x:v>需检查对调候、格局、日主承载及其他通路的副作用</x:v>
      </x:c>
      <x:c r="X82" s="68" t="str">
        <x:v>M06关系效应、M08五行有效旺衰、M10十神功能与M11组合判断已完成</x:v>
      </x:c>
      <x:c r="Y82" s="68" t="str">
        <x:v>起点、桥梁、终点均按有效力量与实际作用路径判断</x:v>
      </x:c>
      <x:c r="Z82" s="68" t="str">
        <x:v>桥梁有根有源、透达、位置可达且不存在关键制约</x:v>
      </x:c>
      <x:c r="AA82" s="68" t="str">
        <x:v>桥梁失令、无根、受克、合绊、改性或同时被多路调用</x:v>
      </x:c>
      <x:c r="AB82" s="90" t="str">
        <x:v>不得仅因五行缺失、数量少或关系名称直接认定卡点或通关用神</x:v>
      </x:c>
      <x:c r="AC82" s="68" t="str">
        <x:v>若存在更短、更强或副作用更小的替代路径，应并列比较后再裁定</x:v>
      </x:c>
      <x:c r="AD82" s="84" t="str">
        <x:v>通关力量门槛</x:v>
      </x:c>
      <x:c r="AE82" s="84" t="str">
        <x:v>通关五行无根无源时不能承担主通关：按起点—桥梁—终点检查有效力量、连续性与承载；卡点为“桥梁太弱”时，仅生成通关候选，不直接定用神。</x:v>
      </x:c>
      <x:c r="AF82" s="82" t="str">
        <x:v>较高</x:v>
      </x:c>
      <x:c r="AG82" s="82" t="str">
        <x:v>现代综合</x:v>
      </x:c>
      <x:c r="AH82" s="68" t="str">
        <x:v>流通判断以五行有效力量、生克顺序与十神功能为核心；古典依据可参照《滴天髓》《渊海子平》。 https://zh.wikisource.org/wiki/%E6%BB%B4%E5%A4%A9%E9%AB%93%E9%97%A1%E5%BE%AE https://zh.wikisource.org/zh-hans/%E6%B7%B5%E6%B5%B7%E5%AD%90%E5%B9%B3</x:v>
      </x:c>
      <x:c r="AI82" s="68" t="str">
        <x:v>当“候选通关五行名义存在但有效力量不足”真实成立，且桥梁具备有效力量和连续作用条件时，可按“通关五行无根无源时不能承担主通关”记录。</x:v>
      </x:c>
      <x:c r="AJ82" s="90" t="str">
        <x:v>仅见表面缺失或五行相克，但未证明“候选通关五行名义存在但有效力量不足”形成实际阻断时，不得套用“通关五行无根无源时不能承担主通关”。</x:v>
      </x:c>
      <x:c r="AK82" s="82" t="str">
        <x:v>采用</x:v>
      </x:c>
      <x:c r="AL82" s="82" t="str">
        <x:v>初审</x:v>
      </x:c>
      <x:c r="AM82" s="87" t="n">
        <x:v>46255</x:v>
      </x:c>
    </x:row>
    <x:row r="83">
      <x:c r="A83" s="72" t="str">
        <x:f>IF(OR(C83="",D83=""),"",B83&amp;"-"&amp;UPPER(C83)&amp;"-"&amp;TEXT(D83,"0000")&amp;"-"&amp;E83)</x:f>
        <x:v>M12-TONGGUAN-0077-V1.0</x:v>
      </x:c>
      <x:c r="B83" s="74" t="str">
        <x:v>M12</x:v>
      </x:c>
      <x:c r="C83" s="74" t="str">
        <x:v>TONGGUAN</x:v>
      </x:c>
      <x:c r="D83" s="215" t="n">
        <x:v>77</x:v>
      </x:c>
      <x:c r="E83" s="74" t="str">
        <x:v>V1.0</x:v>
      </x:c>
      <x:c r="F83" s="68" t="str">
        <x:v>通关五行被强克时不得视为稳定桥梁</x:v>
      </x:c>
      <x:c r="G83" s="82" t="str">
        <x:v>结构层</x:v>
      </x:c>
      <x:c r="H83" s="68" t="str">
        <x:v>五行克战通关</x:v>
      </x:c>
      <x:c r="I83" s="68" t="str">
        <x:v>上游</x:v>
      </x:c>
      <x:c r="J83" s="68" t="str">
        <x:v>受强克通关五行</x:v>
      </x:c>
      <x:c r="K83" s="68" t="str">
        <x:v>下游</x:v>
      </x:c>
      <x:c r="L83" s="82" t="str">
        <x:v>待定</x:v>
      </x:c>
      <x:c r="M83" s="82" t="str">
        <x:v>待定</x:v>
      </x:c>
      <x:c r="N83" s="68" t="str">
        <x:v>待定</x:v>
      </x:c>
      <x:c r="O83" s="68" t="str">
        <x:v>待定</x:v>
      </x:c>
      <x:c r="P83" s="68" t="str">
        <x:v>待定</x:v>
      </x:c>
      <x:c r="Q83" s="82" t="str">
        <x:v>明显阻断</x:v>
      </x:c>
      <x:c r="R83" s="82" t="str">
        <x:v>桥梁被克</x:v>
      </x:c>
      <x:c r="S83" s="68" t="str">
        <x:v>待定</x:v>
      </x:c>
      <x:c r="T83" s="68" t="str">
        <x:v>通关节点本身遭第三方强制，难以持续泄化</x:v>
      </x:c>
      <x:c r="U83" s="68" t="str">
        <x:v>待定</x:v>
      </x:c>
      <x:c r="V83" s="68" t="str">
        <x:v>待定</x:v>
      </x:c>
      <x:c r="W83" s="90" t="str">
        <x:v>需检查对调候、格局、日主承载及其他通路的副作用</x:v>
      </x:c>
      <x:c r="X83" s="68" t="str">
        <x:v>M06关系效应、M08五行有效旺衰、M10十神功能与M11组合判断已完成</x:v>
      </x:c>
      <x:c r="Y83" s="68" t="str">
        <x:v>起点、桥梁、终点均按有效力量与实际作用路径判断</x:v>
      </x:c>
      <x:c r="Z83" s="68" t="str">
        <x:v>桥梁有根有源、透达、位置可达且不存在关键制约</x:v>
      </x:c>
      <x:c r="AA83" s="68" t="str">
        <x:v>桥梁失令、无根、受克、合绊、改性或同时被多路调用</x:v>
      </x:c>
      <x:c r="AB83" s="90" t="str">
        <x:v>不得仅因五行缺失、数量少或关系名称直接认定卡点或通关用神</x:v>
      </x:c>
      <x:c r="AC83" s="68" t="str">
        <x:v>若存在更短、更强或副作用更小的替代路径，应并列比较后再裁定</x:v>
      </x:c>
      <x:c r="AD83" s="84" t="str">
        <x:v>通关被克</x:v>
      </x:c>
      <x:c r="AE83" s="84" t="str">
        <x:v>通关五行被强克时不得视为稳定桥梁：按起点—桥梁—终点检查有效力量、连续性与承载；卡点为“桥梁被克”时，仅生成通关候选，不直接定用神。</x:v>
      </x:c>
      <x:c r="AF83" s="82" t="str">
        <x:v>较高</x:v>
      </x:c>
      <x:c r="AG83" s="82" t="str">
        <x:v>现代综合</x:v>
      </x:c>
      <x:c r="AH83" s="68" t="str">
        <x:v>流通判断以五行有效力量、生克顺序与十神功能为核心；古典依据可参照《滴天髓》《渊海子平》。 https://zh.wikisource.org/wiki/%E6%BB%B4%E5%A4%A9%E9%AB%93%E9%97%A1%E5%BE%AE https://zh.wikisource.org/zh-hans/%E6%B7%B5%E6%B5%B7%E5%AD%90%E5%B9%B3</x:v>
      </x:c>
      <x:c r="AI83" s="68" t="str">
        <x:v>当“通关节点本身遭第三方强制，难以持续泄化”真实成立，且桥梁具备有效力量和连续作用条件时，可按“通关五行被强克时不得视为稳定桥梁”记录。</x:v>
      </x:c>
      <x:c r="AJ83" s="90" t="str">
        <x:v>仅见表面缺失或五行相克，但未证明“通关节点本身遭第三方强制，难以持续泄化”形成实际阻断时，不得套用“通关五行被强克时不得视为稳定桥梁”。</x:v>
      </x:c>
      <x:c r="AK83" s="82" t="str">
        <x:v>采用</x:v>
      </x:c>
      <x:c r="AL83" s="82" t="str">
        <x:v>初审</x:v>
      </x:c>
      <x:c r="AM83" s="87" t="n">
        <x:v>46255</x:v>
      </x:c>
    </x:row>
    <x:row r="84">
      <x:c r="A84" s="72" t="str">
        <x:f>IF(OR(C84="",D84=""),"",B84&amp;"-"&amp;UPPER(C84)&amp;"-"&amp;TEXT(D84,"0000")&amp;"-"&amp;E84)</x:f>
        <x:v>M12-TONGGUAN-0078-V1.0</x:v>
      </x:c>
      <x:c r="B84" s="74" t="str">
        <x:v>M12</x:v>
      </x:c>
      <x:c r="C84" s="74" t="str">
        <x:v>TONGGUAN</x:v>
      </x:c>
      <x:c r="D84" s="215" t="n">
        <x:v>78</x:v>
      </x:c>
      <x:c r="E84" s="74" t="str">
        <x:v>V1.0</x:v>
      </x:c>
      <x:c r="F84" s="68" t="str">
        <x:v>通关五行被合绊时需下调通关等级</x:v>
      </x:c>
      <x:c r="G84" s="82" t="str">
        <x:v>结构层</x:v>
      </x:c>
      <x:c r="H84" s="68" t="str">
        <x:v>五行克战通关</x:v>
      </x:c>
      <x:c r="I84" s="68" t="str">
        <x:v>上游</x:v>
      </x:c>
      <x:c r="J84" s="68" t="str">
        <x:v>被合绊通关五行</x:v>
      </x:c>
      <x:c r="K84" s="68" t="str">
        <x:v>下游</x:v>
      </x:c>
      <x:c r="L84" s="82" t="str">
        <x:v>待定</x:v>
      </x:c>
      <x:c r="M84" s="82" t="str">
        <x:v>待定</x:v>
      </x:c>
      <x:c r="N84" s="68" t="str">
        <x:v>待定</x:v>
      </x:c>
      <x:c r="O84" s="68" t="str">
        <x:v>待定</x:v>
      </x:c>
      <x:c r="P84" s="68" t="str">
        <x:v>待定</x:v>
      </x:c>
      <x:c r="Q84" s="82" t="str">
        <x:v>局部阻塞</x:v>
      </x:c>
      <x:c r="R84" s="82" t="str">
        <x:v>桥梁被合绊</x:v>
      </x:c>
      <x:c r="S84" s="68" t="str">
        <x:v>待定</x:v>
      </x:c>
      <x:c r="T84" s="68" t="str">
        <x:v>通关节点被其他关系占用，无法全额执行桥梁功能</x:v>
      </x:c>
      <x:c r="U84" s="68" t="str">
        <x:v>待定</x:v>
      </x:c>
      <x:c r="V84" s="68" t="str">
        <x:v>待定</x:v>
      </x:c>
      <x:c r="W84" s="90" t="str">
        <x:v>需检查对调候、格局、日主承载及其他通路的副作用</x:v>
      </x:c>
      <x:c r="X84" s="68" t="str">
        <x:v>M06关系效应、M08五行有效旺衰、M10十神功能与M11组合判断已完成</x:v>
      </x:c>
      <x:c r="Y84" s="68" t="str">
        <x:v>起点、桥梁、终点均按有效力量与实际作用路径判断</x:v>
      </x:c>
      <x:c r="Z84" s="68" t="str">
        <x:v>桥梁有根有源、透达、位置可达且不存在关键制约</x:v>
      </x:c>
      <x:c r="AA84" s="68" t="str">
        <x:v>桥梁失令、无根、受克、合绊、改性或同时被多路调用</x:v>
      </x:c>
      <x:c r="AB84" s="90" t="str">
        <x:v>不得仅因五行缺失、数量少或关系名称直接认定卡点或通关用神</x:v>
      </x:c>
      <x:c r="AC84" s="68" t="str">
        <x:v>若存在更短、更强或副作用更小的替代路径，应并列比较后再裁定</x:v>
      </x:c>
      <x:c r="AD84" s="84" t="str">
        <x:v>通关合绊</x:v>
      </x:c>
      <x:c r="AE84" s="84" t="str">
        <x:v>通关五行被合绊时需下调通关等级：按起点—桥梁—终点检查有效力量、连续性与承载；卡点为“桥梁被合绊”时，仅生成通关候选，不直接定用神。</x:v>
      </x:c>
      <x:c r="AF84" s="82" t="str">
        <x:v>较高</x:v>
      </x:c>
      <x:c r="AG84" s="82" t="str">
        <x:v>现代综合</x:v>
      </x:c>
      <x:c r="AH84" s="68" t="str">
        <x:v>流通判断以五行有效力量、生克顺序与十神功能为核心；古典依据可参照《滴天髓》《渊海子平》。 https://zh.wikisource.org/wiki/%E6%BB%B4%E5%A4%A9%E9%AB%93%E9%97%A1%E5%BE%AE https://zh.wikisource.org/zh-hans/%E6%B7%B5%E6%B5%B7%E5%AD%90%E5%B9%B3</x:v>
      </x:c>
      <x:c r="AI84" s="68" t="str">
        <x:v>当“通关节点被其他关系占用，无法全额执行桥梁功能”真实成立，且桥梁具备有效力量和连续作用条件时，可按“通关五行被合绊时需下调通关等级”记录。</x:v>
      </x:c>
      <x:c r="AJ84" s="90" t="str">
        <x:v>仅见表面缺失或五行相克，但未证明“通关节点被其他关系占用，无法全额执行桥梁功能”形成实际阻断时，不得套用“通关五行被合绊时需下调通关等级”。</x:v>
      </x:c>
      <x:c r="AK84" s="82" t="str">
        <x:v>采用</x:v>
      </x:c>
      <x:c r="AL84" s="82" t="str">
        <x:v>初审</x:v>
      </x:c>
      <x:c r="AM84" s="87" t="n">
        <x:v>46255</x:v>
      </x:c>
    </x:row>
    <x:row r="85">
      <x:c r="A85" s="72" t="str">
        <x:f>IF(OR(C85="",D85=""),"",B85&amp;"-"&amp;UPPER(C85)&amp;"-"&amp;TEXT(D85,"0000")&amp;"-"&amp;E85)</x:f>
        <x:v>M12-TONGGUAN-0079-V1.0</x:v>
      </x:c>
      <x:c r="B85" s="74" t="str">
        <x:v>M12</x:v>
      </x:c>
      <x:c r="C85" s="74" t="str">
        <x:v>TONGGUAN</x:v>
      </x:c>
      <x:c r="D85" s="215" t="n">
        <x:v>79</x:v>
      </x:c>
      <x:c r="E85" s="74" t="str">
        <x:v>V1.0</x:v>
      </x:c>
      <x:c r="F85" s="68" t="str">
        <x:v>通关虽然有效但加重寒湿时只能列条件性候选</x:v>
      </x:c>
      <x:c r="G85" s="82" t="str">
        <x:v>结构层</x:v>
      </x:c>
      <x:c r="H85" s="68" t="str">
        <x:v>五行克战通关</x:v>
      </x:c>
      <x:c r="I85" s="68" t="str">
        <x:v>对战两端</x:v>
      </x:c>
      <x:c r="J85" s="68" t="str">
        <x:v>水或湿性通关五行</x:v>
      </x:c>
      <x:c r="K85" s="68" t="str">
        <x:v>目标端</x:v>
      </x:c>
      <x:c r="L85" s="82" t="str">
        <x:v>待定</x:v>
      </x:c>
      <x:c r="M85" s="82" t="str">
        <x:v>待定</x:v>
      </x:c>
      <x:c r="N85" s="68" t="str">
        <x:v>待定</x:v>
      </x:c>
      <x:c r="O85" s="68" t="str">
        <x:v>待定</x:v>
      </x:c>
      <x:c r="P85" s="68" t="str">
        <x:v>待定</x:v>
      </x:c>
      <x:c r="Q85" s="82" t="str">
        <x:v>基本通畅</x:v>
      </x:c>
      <x:c r="R85" s="82" t="str">
        <x:v>其他</x:v>
      </x:c>
      <x:c r="S85" s="68" t="str">
        <x:v>待定</x:v>
      </x:c>
      <x:c r="T85" s="68" t="str">
        <x:v>通关能解决克战，但可能使原局寒湿问题升级</x:v>
      </x:c>
      <x:c r="U85" s="68" t="str">
        <x:v>待定</x:v>
      </x:c>
      <x:c r="V85" s="68" t="str">
        <x:v>待定</x:v>
      </x:c>
      <x:c r="W85" s="90" t="str">
        <x:v>若M13判原局已经偏寒或极寒、偏湿或极湿，则水性通关可能制造更高优先级调候问题</x:v>
      </x:c>
      <x:c r="X85" s="68" t="str">
        <x:v>M06关系效应、M08五行有效旺衰、M10十神功能与M11组合判断已完成</x:v>
      </x:c>
      <x:c r="Y85" s="68" t="str">
        <x:v>起点、桥梁、终点均按有效力量与实际作用路径判断</x:v>
      </x:c>
      <x:c r="Z85" s="68" t="str">
        <x:v>桥梁有根有源、透达、位置可达且不存在关键制约</x:v>
      </x:c>
      <x:c r="AA85" s="68" t="str">
        <x:v>桥梁失令、无根、受克、合绊、改性或同时被多路调用</x:v>
      </x:c>
      <x:c r="AB85" s="90" t="str">
        <x:v>不得仅因五行缺失、数量少或关系名称直接认定卡点或通关用神</x:v>
      </x:c>
      <x:c r="AC85" s="68" t="str">
        <x:v>若存在更短、更强或副作用更小的替代路径，应并列比较后再裁定</x:v>
      </x:c>
      <x:c r="AD85" s="84" t="str">
        <x:v>通关寒湿副作用</x:v>
      </x:c>
      <x:c r="AE85" s="84" t="str">
        <x:v>通关虽然有效但加重寒湿时只能列条件性候选：按起点—桥梁—终点检查有效力量、连续性与承载；卡点为“其他”时，仅生成通关候选，不直接定用神。</x:v>
      </x:c>
      <x:c r="AF85" s="82" t="str">
        <x:v>较高</x:v>
      </x:c>
      <x:c r="AG85" s="82" t="str">
        <x:v>现代综合</x:v>
      </x:c>
      <x:c r="AH85" s="68" t="str">
        <x:v>流通判断以五行有效力量、生克顺序与十神功能为核心；古典依据可参照《滴天髓》《渊海子平》。 https://zh.wikisource.org/wiki/%E6%BB%B4%E5%A4%A9%E9%AB%93%E9%97%A1%E5%BE%AE https://zh.wikisource.org/zh-hans/%E6%B7%B5%E6%B5%B7%E5%AD%90%E5%B9%B3</x:v>
      </x:c>
      <x:c r="AI85" s="68" t="str">
        <x:v>当“通关能解决克战，但可能使原局寒湿问题升级”真实成立，且桥梁具备有效力量和连续作用条件时，可按“通关虽然有效但加重寒湿时只能列条件性候选”记录。</x:v>
      </x:c>
      <x:c r="AJ85" s="90" t="str">
        <x:v>仅见表面缺失或五行相克，但未证明“通关能解决克战，但可能使原局寒湿问题升级”形成实际阻断时，不得套用“通关虽然有效但加重寒湿时只能列条件性候选”。</x:v>
      </x:c>
      <x:c r="AK85" s="82" t="str">
        <x:v>采用</x:v>
      </x:c>
      <x:c r="AL85" s="82" t="str">
        <x:v>初审</x:v>
      </x:c>
      <x:c r="AM85" s="87" t="n">
        <x:v>46255</x:v>
      </x:c>
    </x:row>
    <x:row r="86">
      <x:c r="A86" s="72" t="str">
        <x:f>IF(OR(C86="",D86=""),"",B86&amp;"-"&amp;UPPER(C86)&amp;"-"&amp;TEXT(D86,"0000")&amp;"-"&amp;E86)</x:f>
        <x:v>M12-TONGGUAN-0080-V1.0</x:v>
      </x:c>
      <x:c r="B86" s="74" t="str">
        <x:v>M12</x:v>
      </x:c>
      <x:c r="C86" s="74" t="str">
        <x:v>TONGGUAN</x:v>
      </x:c>
      <x:c r="D86" s="215" t="n">
        <x:v>80</x:v>
      </x:c>
      <x:c r="E86" s="74" t="str">
        <x:v>V1.0</x:v>
      </x:c>
      <x:c r="F86" s="68" t="str">
        <x:v>通关虽然有效但加重燥热时只能列条件性候选</x:v>
      </x:c>
      <x:c r="G86" s="82" t="str">
        <x:v>结构层</x:v>
      </x:c>
      <x:c r="H86" s="68" t="str">
        <x:v>五行克战通关</x:v>
      </x:c>
      <x:c r="I86" s="68" t="str">
        <x:v>对战两端</x:v>
      </x:c>
      <x:c r="J86" s="68" t="str">
        <x:v>火或燥性通关五行</x:v>
      </x:c>
      <x:c r="K86" s="68" t="str">
        <x:v>目标端</x:v>
      </x:c>
      <x:c r="L86" s="82" t="str">
        <x:v>待定</x:v>
      </x:c>
      <x:c r="M86" s="82" t="str">
        <x:v>待定</x:v>
      </x:c>
      <x:c r="N86" s="68" t="str">
        <x:v>待定</x:v>
      </x:c>
      <x:c r="O86" s="68" t="str">
        <x:v>待定</x:v>
      </x:c>
      <x:c r="P86" s="68" t="str">
        <x:v>待定</x:v>
      </x:c>
      <x:c r="Q86" s="82" t="str">
        <x:v>基本通畅</x:v>
      </x:c>
      <x:c r="R86" s="82" t="str">
        <x:v>其他</x:v>
      </x:c>
      <x:c r="S86" s="68" t="str">
        <x:v>待定</x:v>
      </x:c>
      <x:c r="T86" s="68" t="str">
        <x:v>通关能解决克战，但可能使原局燥热问题升级</x:v>
      </x:c>
      <x:c r="U86" s="68" t="str">
        <x:v>待定</x:v>
      </x:c>
      <x:c r="V86" s="68" t="str">
        <x:v>待定</x:v>
      </x:c>
      <x:c r="W86" s="90" t="str">
        <x:v>若M13判原局已经偏暖/极热或偏燥/极燥，则火性通关可能制造更高优先级调候问题</x:v>
      </x:c>
      <x:c r="X86" s="68" t="str">
        <x:v>M06关系效应、M08五行有效旺衰、M10十神功能与M11组合判断已完成</x:v>
      </x:c>
      <x:c r="Y86" s="68" t="str">
        <x:v>起点、桥梁、终点均按有效力量与实际作用路径判断</x:v>
      </x:c>
      <x:c r="Z86" s="68" t="str">
        <x:v>桥梁有根有源、透达、位置可达且不存在关键制约</x:v>
      </x:c>
      <x:c r="AA86" s="68" t="str">
        <x:v>桥梁失令、无根、受克、合绊、改性或同时被多路调用</x:v>
      </x:c>
      <x:c r="AB86" s="90" t="str">
        <x:v>不得仅因五行缺失、数量少或关系名称直接认定卡点或通关用神</x:v>
      </x:c>
      <x:c r="AC86" s="68" t="str">
        <x:v>若存在更短、更强或副作用更小的替代路径，应并列比较后再裁定</x:v>
      </x:c>
      <x:c r="AD86" s="84" t="str">
        <x:v>通关燥热副作用</x:v>
      </x:c>
      <x:c r="AE86" s="84" t="str">
        <x:v>通关虽然有效但加重燥热时只能列条件性候选：按起点—桥梁—终点检查有效力量、连续性与承载；卡点为“其他”时，仅生成通关候选，不直接定用神。</x:v>
      </x:c>
      <x:c r="AF86" s="82" t="str">
        <x:v>较高</x:v>
      </x:c>
      <x:c r="AG86" s="82" t="str">
        <x:v>现代综合</x:v>
      </x:c>
      <x:c r="AH86" s="68" t="str">
        <x:v>流通判断以五行有效力量、生克顺序与十神功能为核心；古典依据可参照《滴天髓》《渊海子平》。 https://zh.wikisource.org/wiki/%E6%BB%B4%E5%A4%A9%E9%AB%93%E9%97%A1%E5%BE%AE https://zh.wikisource.org/zh-hans/%E6%B7%B5%E6%B5%B7%E5%AD%90%E5%B9%B3</x:v>
      </x:c>
      <x:c r="AI86" s="68" t="str">
        <x:v>当“通关能解决克战，但可能使原局燥热问题升级”真实成立，且桥梁具备有效力量和连续作用条件时，可按“通关虽然有效但加重燥热时只能列条件性候选”记录。</x:v>
      </x:c>
      <x:c r="AJ86" s="90" t="str">
        <x:v>仅见表面缺失或五行相克，但未证明“通关能解决克战，但可能使原局燥热问题升级”形成实际阻断时，不得套用“通关虽然有效但加重燥热时只能列条件性候选”。</x:v>
      </x:c>
      <x:c r="AK86" s="82" t="str">
        <x:v>采用</x:v>
      </x:c>
      <x:c r="AL86" s="82" t="str">
        <x:v>初审</x:v>
      </x:c>
      <x:c r="AM86" s="87" t="n">
        <x:v>46255</x:v>
      </x:c>
    </x:row>
    <x:row r="87">
      <x:c r="A87" s="72" t="str">
        <x:f>IF(OR(C87="",D87=""),"",B87&amp;"-"&amp;UPPER(C87)&amp;"-"&amp;TEXT(D87,"0000")&amp;"-"&amp;E87)</x:f>
        <x:v>M12-TONGGUAN-0081-V1.0</x:v>
      </x:c>
      <x:c r="B87" s="74" t="str">
        <x:v>M12</x:v>
      </x:c>
      <x:c r="C87" s="74" t="str">
        <x:v>TONGGUAN</x:v>
      </x:c>
      <x:c r="D87" s="215" t="n">
        <x:v>81</x:v>
      </x:c>
      <x:c r="E87" s="74" t="str">
        <x:v>V1.0</x:v>
      </x:c>
      <x:c r="F87" s="68" t="str">
        <x:v>通关五行若破坏已成立核心组合需降低优先级</x:v>
      </x:c>
      <x:c r="G87" s="82" t="str">
        <x:v>结构层</x:v>
      </x:c>
      <x:c r="H87" s="68" t="str">
        <x:v>复合路径</x:v>
      </x:c>
      <x:c r="I87" s="68" t="str">
        <x:v>原局主矛盾</x:v>
      </x:c>
      <x:c r="J87" s="68" t="str">
        <x:v>通关候选五行</x:v>
      </x:c>
      <x:c r="K87" s="68" t="str">
        <x:v>被调节对象</x:v>
      </x:c>
      <x:c r="L87" s="82" t="str">
        <x:v>待定</x:v>
      </x:c>
      <x:c r="M87" s="82" t="str">
        <x:v>待定</x:v>
      </x:c>
      <x:c r="N87" s="68" t="str">
        <x:v>待定</x:v>
      </x:c>
      <x:c r="O87" s="68" t="str">
        <x:v>待定</x:v>
      </x:c>
      <x:c r="P87" s="68" t="str">
        <x:v>待定</x:v>
      </x:c>
      <x:c r="Q87" s="82" t="str">
        <x:v>基本通畅</x:v>
      </x:c>
      <x:c r="R87" s="82" t="str">
        <x:v>其他</x:v>
      </x:c>
      <x:c r="S87" s="68" t="str">
        <x:v>待定</x:v>
      </x:c>
      <x:c r="T87" s="68" t="str">
        <x:v>通关五行同时强制格神、关键印食或破坏M11已成立的主组合</x:v>
      </x:c>
      <x:c r="U87" s="68" t="str">
        <x:v>待定</x:v>
      </x:c>
      <x:c r="V87" s="68" t="str">
        <x:v>待定</x:v>
      </x:c>
      <x:c r="W87" s="90" t="str">
        <x:v>解决流通但破坏核心组合时，不得在M12直接推荐为主用，转M17/M18裁决</x:v>
      </x:c>
      <x:c r="X87" s="68" t="str">
        <x:v>M06关系效应、M08五行有效旺衰、M10十神功能与M11组合判断已完成</x:v>
      </x:c>
      <x:c r="Y87" s="68" t="str">
        <x:v>起点、桥梁、终点均按有效力量与实际作用路径判断</x:v>
      </x:c>
      <x:c r="Z87" s="68" t="str">
        <x:v>桥梁有根有源、透达、位置可达且不存在关键制约</x:v>
      </x:c>
      <x:c r="AA87" s="68" t="str">
        <x:v>桥梁失令、无根、受克、合绊、改性或同时被多路调用</x:v>
      </x:c>
      <x:c r="AB87" s="90" t="str">
        <x:v>不得仅因五行缺失、数量少或关系名称直接认定卡点或通关用神</x:v>
      </x:c>
      <x:c r="AC87" s="68" t="str">
        <x:v>若存在更短、更强或副作用更小的替代路径，应并列比较后再裁定</x:v>
      </x:c>
      <x:c r="AD87" s="84" t="str">
        <x:v>通关破结构副作用</x:v>
      </x:c>
      <x:c r="AE87" s="84" t="str">
        <x:v>通关五行若破坏已成立核心组合需降低优先级：按起点—桥梁—终点检查有效力量、连续性与承载；卡点为“其他”时，仅生成通关候选，不直接定用神。</x:v>
      </x:c>
      <x:c r="AF87" s="82" t="str">
        <x:v>较高</x:v>
      </x:c>
      <x:c r="AG87" s="82" t="str">
        <x:v>现代综合</x:v>
      </x:c>
      <x:c r="AH87" s="68" t="str">
        <x:v>流通判断以五行有效力量、生克顺序与十神功能为核心；古典依据可参照《滴天髓》《渊海子平》。 https://zh.wikisource.org/wiki/%E6%BB%B4%E5%A4%A9%E9%AB%93%E9%97%A1%E5%BE%AE https://zh.wikisource.org/zh-hans/%E6%B7%B5%E6%B5%B7%E5%AD%90%E5%B9%B3</x:v>
      </x:c>
      <x:c r="AI87" s="68" t="str">
        <x:v>当“通关五行同时强制格神、关键印食或破坏M11已成立的主组合”真实成立，且桥梁具备有效力量和连续作用条件时，可按“通关五行若破坏已成立核心组合需降低优先级”记录。</x:v>
      </x:c>
      <x:c r="AJ87" s="90" t="str">
        <x:v>仅见表面缺失或五行相克，但未证明“通关五行同时强制格神、关键印食或破坏M11已成立的主组合”形成实际阻断时，不得套用“通关五行若破坏已成立核心组合需降低优先级”。</x:v>
      </x:c>
      <x:c r="AK87" s="82" t="str">
        <x:v>采用</x:v>
      </x:c>
      <x:c r="AL87" s="82" t="str">
        <x:v>初审</x:v>
      </x:c>
      <x:c r="AM87" s="87" t="n">
        <x:v>46255</x:v>
      </x:c>
    </x:row>
    <x:row r="88">
      <x:c r="A88" s="72" t="str">
        <x:f>IF(OR(C88="",D88=""),"",B88&amp;"-"&amp;UPPER(C88)&amp;"-"&amp;TEXT(D88,"0000")&amp;"-"&amp;E88)</x:f>
        <x:v>M12-TONGGUAN-0082-V1.0</x:v>
      </x:c>
      <x:c r="B88" s="74" t="str">
        <x:v>M12</x:v>
      </x:c>
      <x:c r="C88" s="74" t="str">
        <x:v>TONGGUAN</x:v>
      </x:c>
      <x:c r="D88" s="215" t="n">
        <x:v>82</x:v>
      </x:c>
      <x:c r="E88" s="74" t="str">
        <x:v>V1.0</x:v>
      </x:c>
      <x:c r="F88" s="68" t="str">
        <x:v>多个通关候选并存时优先副作用更小者</x:v>
      </x:c>
      <x:c r="G88" s="82" t="str">
        <x:v>结构层</x:v>
      </x:c>
      <x:c r="H88" s="68" t="str">
        <x:v>复合路径</x:v>
      </x:c>
      <x:c r="I88" s="68" t="str">
        <x:v>主矛盾起点</x:v>
      </x:c>
      <x:c r="J88" s="68" t="str">
        <x:v>多个通关候选</x:v>
      </x:c>
      <x:c r="K88" s="68" t="str">
        <x:v>主矛盾终点</x:v>
      </x:c>
      <x:c r="L88" s="82" t="str">
        <x:v>待定</x:v>
      </x:c>
      <x:c r="M88" s="82" t="str">
        <x:v>待定</x:v>
      </x:c>
      <x:c r="N88" s="68" t="str">
        <x:v>待定</x:v>
      </x:c>
      <x:c r="O88" s="68" t="str">
        <x:v>待定</x:v>
      </x:c>
      <x:c r="P88" s="68" t="str">
        <x:v>待定</x:v>
      </x:c>
      <x:c r="Q88" s="82" t="str">
        <x:v>待定</x:v>
      </x:c>
      <x:c r="R88" s="82" t="str">
        <x:v>其他</x:v>
      </x:c>
      <x:c r="S88" s="68" t="str">
        <x:v>待定</x:v>
      </x:c>
      <x:c r="T88" s="68" t="str">
        <x:v>存在两种以上可解决同一卡点的路径</x:v>
      </x:c>
      <x:c r="U88" s="68" t="str">
        <x:v>候选A/B并列</x:v>
      </x:c>
      <x:c r="V88" s="68" t="str">
        <x:v>比较通路强度、所需条件、调候、格局和承载副作用</x:v>
      </x:c>
      <x:c r="W88" s="90" t="str">
        <x:v>需检查对调候、格局、日主承载及其他通路的副作用</x:v>
      </x:c>
      <x:c r="X88" s="68" t="str">
        <x:v>M06关系效应、M08五行有效旺衰、M10十神功能与M11组合判断已完成</x:v>
      </x:c>
      <x:c r="Y88" s="68" t="str">
        <x:v>起点、桥梁、终点均按有效力量与实际作用路径判断</x:v>
      </x:c>
      <x:c r="Z88" s="68" t="str">
        <x:v>桥梁有根有源、透达、位置可达且不存在关键制约</x:v>
      </x:c>
      <x:c r="AA88" s="68" t="str">
        <x:v>桥梁失令、无根、受克、合绊、改性或同时被多路调用</x:v>
      </x:c>
      <x:c r="AB88" s="90" t="str">
        <x:v>不得仅因五行缺失、数量少或关系名称直接认定卡点或通关用神</x:v>
      </x:c>
      <x:c r="AC88" s="68" t="str">
        <x:v>若存在更短、更强或副作用更小的替代路径，应并列比较后再裁定</x:v>
      </x:c>
      <x:c r="AD88" s="84" t="str">
        <x:v>通关候选排序</x:v>
      </x:c>
      <x:c r="AE88" s="84" t="str">
        <x:v>多个通关候选并存时，M12仅排序“通路效率＋副作用”；最终主次由M17/M18裁决。</x:v>
      </x:c>
      <x:c r="AF88" s="82" t="str">
        <x:v>较高</x:v>
      </x:c>
      <x:c r="AG88" s="82" t="str">
        <x:v>现代综合</x:v>
      </x:c>
      <x:c r="AH88" s="68" t="str">
        <x:v>流通判断以五行有效力量、生克顺序与十神功能为核心；古典依据可参照《滴天髓》《渊海子平》。 https://zh.wikisource.org/wiki/%E6%BB%B4%E5%A4%A9%E9%AB%93%E9%97%A1%E5%BE%AE https://zh.wikisource.org/zh-hans/%E6%B7%B5%E6%B5%B7%E5%AD%90%E5%B9%B3</x:v>
      </x:c>
      <x:c r="AI88" s="68" t="str">
        <x:v>当“存在两种以上可解决同一卡点的路径”真实成立，且桥梁具备有效力量和连续作用条件时，可按“多个通关候选并存时优先副作用更小者”记录。</x:v>
      </x:c>
      <x:c r="AJ88" s="90" t="str">
        <x:v>仅见表面缺失或五行相克，但未证明“存在两种以上可解决同一卡点的路径”形成实际阻断时，不得套用“多个通关候选并存时优先副作用更小者”。</x:v>
      </x:c>
      <x:c r="AK88" s="82" t="str">
        <x:v>采用</x:v>
      </x:c>
      <x:c r="AL88" s="82" t="str">
        <x:v>初审</x:v>
      </x:c>
      <x:c r="AM88" s="87" t="n">
        <x:v>46255</x:v>
      </x:c>
    </x:row>
    <x:row r="89">
      <x:c r="A89" s="72" t="str">
        <x:f>IF(OR(C89="",D89=""),"",B89&amp;"-"&amp;UPPER(C89)&amp;"-"&amp;TEXT(D89,"0000")&amp;"-"&amp;E89)</x:f>
        <x:v>M12-AGG-0083-V1.0</x:v>
      </x:c>
      <x:c r="B89" s="74" t="str">
        <x:v>M12</x:v>
      </x:c>
      <x:c r="C89" s="74" t="str">
        <x:v>AGG</x:v>
      </x:c>
      <x:c r="D89" s="215" t="n">
        <x:v>83</x:v>
      </x:c>
      <x:c r="E89" s="74" t="str">
        <x:v>V1.0</x:v>
      </x:c>
      <x:c r="F89" s="68" t="str">
        <x:v>主流通路径按覆盖范围和稳定性排序</x:v>
      </x:c>
      <x:c r="G89" s="82" t="str">
        <x:v>结构层</x:v>
      </x:c>
      <x:c r="H89" s="68" t="str">
        <x:v>综合路径</x:v>
      </x:c>
      <x:c r="I89" s="68" t="str">
        <x:v>多个起点</x:v>
      </x:c>
      <x:c r="J89" s="68" t="str">
        <x:v>多个桥梁</x:v>
      </x:c>
      <x:c r="K89" s="68" t="str">
        <x:v>多个终点</x:v>
      </x:c>
      <x:c r="L89" s="82" t="str">
        <x:v>待定</x:v>
      </x:c>
      <x:c r="M89" s="82" t="str">
        <x:v>待定</x:v>
      </x:c>
      <x:c r="N89" s="68" t="str">
        <x:v>待定</x:v>
      </x:c>
      <x:c r="O89" s="68" t="str">
        <x:v>待定</x:v>
      </x:c>
      <x:c r="P89" s="68" t="str">
        <x:v>待定</x:v>
      </x:c>
      <x:c r="Q89" s="82" t="str">
        <x:v>待定</x:v>
      </x:c>
      <x:c r="R89" s="82" t="str">
        <x:v>其他</x:v>
      </x:c>
      <x:c r="S89" s="68" t="str">
        <x:v>待定</x:v>
      </x:c>
      <x:c r="T89" s="68" t="str">
        <x:v>原局存在多条有效生化链，但作用范围和稳定性不同</x:v>
      </x:c>
      <x:c r="U89" s="68" t="str">
        <x:v>待定</x:v>
      </x:c>
      <x:c r="V89" s="68" t="str">
        <x:v>待定</x:v>
      </x:c>
      <x:c r="W89" s="90" t="str">
        <x:v>需检查对调候、格局、日主承载及其他通路的副作用</x:v>
      </x:c>
      <x:c r="X89" s="68" t="str">
        <x:v>M06关系效应、M08五行有效旺衰、M10十神功能与M11组合判断已完成</x:v>
      </x:c>
      <x:c r="Y89" s="68" t="str">
        <x:v>起点、桥梁、终点均按有效力量与实际作用路径判断</x:v>
      </x:c>
      <x:c r="Z89" s="68" t="str">
        <x:v>桥梁有根有源、透达、位置可达且不存在关键制约</x:v>
      </x:c>
      <x:c r="AA89" s="68" t="str">
        <x:v>桥梁失令、无根、受克、合绊、改性或同时被多路调用</x:v>
      </x:c>
      <x:c r="AB89" s="90" t="str">
        <x:v>不得仅因五行缺失、数量少或关系名称直接认定卡点或通关用神</x:v>
      </x:c>
      <x:c r="AC89" s="68" t="str">
        <x:v>若存在更短、更强或副作用更小的替代路径，应并列比较后再裁定</x:v>
      </x:c>
      <x:c r="AD89" s="84" t="str">
        <x:v>主流通路径排序</x:v>
      </x:c>
      <x:c r="AE89" s="84" t="str">
        <x:v>优先输出覆盖核心五行/十神最多、桥梁最稳定、路径更短且副作用较小的1—3条主流通路径。</x:v>
      </x:c>
      <x:c r="AF89" s="82" t="str">
        <x:v>较高</x:v>
      </x:c>
      <x:c r="AG89" s="82" t="str">
        <x:v>现代综合</x:v>
      </x:c>
      <x:c r="AH89" s="68" t="str">
        <x:v>流通判断以五行有效力量、生克顺序与十神功能为核心；古典依据可参照《滴天髓》《渊海子平》。 https://zh.wikisource.org/wiki/%E6%BB%B4%E5%A4%A9%E9%AB%93%E9%97%A1%E5%BE%AE https://zh.wikisource.org/zh-hans/%E6%B7%B5%E6%B5%B7%E5%AD%90%E5%B9%B3</x:v>
      </x:c>
      <x:c r="AI89" s="68" t="str">
        <x:v>当“原局存在多条有效生化链，但作用范围和稳定性不同”真实成立，且桥梁具备有效力量和连续作用条件时，可按“主流通路径按覆盖范围和稳定性排序”记录。</x:v>
      </x:c>
      <x:c r="AJ89" s="90" t="str">
        <x:v>仅见表面缺失或五行相克，但未证明“原局存在多条有效生化链，但作用范围和稳定性不同”形成实际阻断时，不得套用“主流通路径按覆盖范围和稳定性排序”。</x:v>
      </x:c>
      <x:c r="AK89" s="82" t="str">
        <x:v>采用</x:v>
      </x:c>
      <x:c r="AL89" s="82" t="str">
        <x:v>初审</x:v>
      </x:c>
      <x:c r="AM89" s="87" t="n">
        <x:v>46255</x:v>
      </x:c>
    </x:row>
    <x:row r="90">
      <x:c r="A90" s="72" t="str">
        <x:f>IF(OR(C90="",D90=""),"",B90&amp;"-"&amp;UPPER(C90)&amp;"-"&amp;TEXT(D90,"0000")&amp;"-"&amp;E90)</x:f>
        <x:v>M12-AGG-0084-V1.0</x:v>
      </x:c>
      <x:c r="B90" s="74" t="str">
        <x:v>M12</x:v>
      </x:c>
      <x:c r="C90" s="74" t="str">
        <x:v>AGG</x:v>
      </x:c>
      <x:c r="D90" s="215" t="n">
        <x:v>84</x:v>
      </x:c>
      <x:c r="E90" s="74" t="str">
        <x:v>V1.0</x:v>
      </x:c>
      <x:c r="F90" s="68" t="str">
        <x:v>主卡点按阻断强度和影响范围排序</x:v>
      </x:c>
      <x:c r="G90" s="82" t="str">
        <x:v>结构层</x:v>
      </x:c>
      <x:c r="H90" s="68" t="str">
        <x:v>综合路径</x:v>
      </x:c>
      <x:c r="I90" s="68" t="str">
        <x:v>多路径</x:v>
      </x:c>
      <x:c r="J90" s="68" t="str">
        <x:v>多卡点</x:v>
      </x:c>
      <x:c r="K90" s="68" t="str">
        <x:v>多终点</x:v>
      </x:c>
      <x:c r="L90" s="82" t="str">
        <x:v>待定</x:v>
      </x:c>
      <x:c r="M90" s="82" t="str">
        <x:v>待定</x:v>
      </x:c>
      <x:c r="N90" s="68" t="str">
        <x:v>待定</x:v>
      </x:c>
      <x:c r="O90" s="68" t="str">
        <x:v>待定</x:v>
      </x:c>
      <x:c r="P90" s="68" t="str">
        <x:v>待定</x:v>
      </x:c>
      <x:c r="Q90" s="82" t="str">
        <x:v>局部阻塞</x:v>
      </x:c>
      <x:c r="R90" s="82" t="str">
        <x:v>其他</x:v>
      </x:c>
      <x:c r="S90" s="68" t="str">
        <x:v>待定</x:v>
      </x:c>
      <x:c r="T90" s="68" t="str">
        <x:v>多个卡点对全局影响程度不同</x:v>
      </x:c>
      <x:c r="U90" s="68" t="str">
        <x:v>待定</x:v>
      </x:c>
      <x:c r="V90" s="68" t="str">
        <x:v>待定</x:v>
      </x:c>
      <x:c r="W90" s="90" t="str">
        <x:v>需检查对调候、格局、日主承载及其他通路的副作用</x:v>
      </x:c>
      <x:c r="X90" s="68" t="str">
        <x:v>M06关系效应、M08五行有效旺衰、M10十神功能与M11组合判断已完成</x:v>
      </x:c>
      <x:c r="Y90" s="68" t="str">
        <x:v>起点、桥梁、终点均按有效力量与实际作用路径判断</x:v>
      </x:c>
      <x:c r="Z90" s="68" t="str">
        <x:v>桥梁有根有源、透达、位置可达且不存在关键制约</x:v>
      </x:c>
      <x:c r="AA90" s="68" t="str">
        <x:v>桥梁失令、无根、受克、合绊、改性或同时被多路调用</x:v>
      </x:c>
      <x:c r="AB90" s="90" t="str">
        <x:v>不得仅因五行缺失、数量少或关系名称直接认定卡点或通关用神</x:v>
      </x:c>
      <x:c r="AC90" s="68" t="str">
        <x:v>若存在更短、更强或副作用更小的替代路径，应并列比较后再裁定</x:v>
      </x:c>
      <x:c r="AD90" s="84" t="str">
        <x:v>主卡点排序</x:v>
      </x:c>
      <x:c r="AE90" s="84" t="str">
        <x:v>卡点排序至少考虑：是否切断主路径、涉及核心组合、阻断强度、可替代性和后续副作用。</x:v>
      </x:c>
      <x:c r="AF90" s="82" t="str">
        <x:v>较高</x:v>
      </x:c>
      <x:c r="AG90" s="82" t="str">
        <x:v>现代综合</x:v>
      </x:c>
      <x:c r="AH90" s="68" t="str">
        <x:v>流通判断以五行有效力量、生克顺序与十神功能为核心；古典依据可参照《滴天髓》《渊海子平》。 https://zh.wikisource.org/wiki/%E6%BB%B4%E5%A4%A9%E9%AB%93%E9%97%A1%E5%BE%AE https://zh.wikisource.org/zh-hans/%E6%B7%B5%E6%B5%B7%E5%AD%90%E5%B9%B3</x:v>
      </x:c>
      <x:c r="AI90" s="68" t="str">
        <x:v>当“多个卡点对全局影响程度不同”真实成立，且桥梁具备有效力量和连续作用条件时，可按“主卡点按阻断强度和影响范围排序”记录。</x:v>
      </x:c>
      <x:c r="AJ90" s="90" t="str">
        <x:v>仅见表面缺失或五行相克，但未证明“多个卡点对全局影响程度不同”形成实际阻断时，不得套用“主卡点按阻断强度和影响范围排序”。</x:v>
      </x:c>
      <x:c r="AK90" s="82" t="str">
        <x:v>采用</x:v>
      </x:c>
      <x:c r="AL90" s="82" t="str">
        <x:v>初审</x:v>
      </x:c>
      <x:c r="AM90" s="87" t="n">
        <x:v>46255</x:v>
      </x:c>
    </x:row>
    <x:row r="91">
      <x:c r="A91" s="72" t="str">
        <x:f>IF(OR(C91="",D91=""),"",B91&amp;"-"&amp;UPPER(C91)&amp;"-"&amp;TEXT(D91,"0000")&amp;"-"&amp;E91)</x:f>
        <x:v>M12-AGG-0085-V1.0</x:v>
      </x:c>
      <x:c r="B91" s="74" t="str">
        <x:v>M12</x:v>
      </x:c>
      <x:c r="C91" s="74" t="str">
        <x:v>AGG</x:v>
      </x:c>
      <x:c r="D91" s="215" t="n">
        <x:v>85</x:v>
      </x:c>
      <x:c r="E91" s="74" t="str">
        <x:v>V1.0</x:v>
      </x:c>
      <x:c r="F91" s="68" t="str">
        <x:v>流通结论必须保留反向证据</x:v>
      </x:c>
      <x:c r="G91" s="82" t="str">
        <x:v>结构层</x:v>
      </x:c>
      <x:c r="H91" s="68" t="str">
        <x:v>综合路径</x:v>
      </x:c>
      <x:c r="I91" s="68" t="str">
        <x:v>主路径</x:v>
      </x:c>
      <x:c r="J91" s="68" t="str">
        <x:v>关键桥梁</x:v>
      </x:c>
      <x:c r="K91" s="68" t="str">
        <x:v>终点</x:v>
      </x:c>
      <x:c r="L91" s="82" t="str">
        <x:v>待定</x:v>
      </x:c>
      <x:c r="M91" s="82" t="str">
        <x:v>待定</x:v>
      </x:c>
      <x:c r="N91" s="68" t="str">
        <x:v>待定</x:v>
      </x:c>
      <x:c r="O91" s="68" t="str">
        <x:v>待定</x:v>
      </x:c>
      <x:c r="P91" s="68" t="str">
        <x:v>待定</x:v>
      </x:c>
      <x:c r="Q91" s="82" t="str">
        <x:v>待定</x:v>
      </x:c>
      <x:c r="R91" s="82" t="str">
        <x:v>其他</x:v>
      </x:c>
      <x:c r="S91" s="68" t="str">
        <x:v>待定</x:v>
      </x:c>
      <x:c r="T91" s="68" t="str">
        <x:v>主结论存在支持与反对证据并存</x:v>
      </x:c>
      <x:c r="U91" s="68" t="str">
        <x:v>待定</x:v>
      </x:c>
      <x:c r="V91" s="68" t="str">
        <x:v>待定</x:v>
      </x:c>
      <x:c r="W91" s="90" t="str">
        <x:v>需检查对调候、格局、日主承载及其他通路的副作用</x:v>
      </x:c>
      <x:c r="X91" s="68" t="str">
        <x:v>M06关系效应、M08五行有效旺衰、M10十神功能与M11组合判断已完成</x:v>
      </x:c>
      <x:c r="Y91" s="68" t="str">
        <x:v>起点、桥梁、终点均按有效力量与实际作用路径判断</x:v>
      </x:c>
      <x:c r="Z91" s="68" t="str">
        <x:v>桥梁有根有源、透达、位置可达且不存在关键制约</x:v>
      </x:c>
      <x:c r="AA91" s="68" t="str">
        <x:v>桥梁失令、无根、受克、合绊、改性或同时被多路调用</x:v>
      </x:c>
      <x:c r="AB91" s="90" t="str">
        <x:v>不得仅因五行缺失、数量少或关系名称直接认定卡点或通关用神</x:v>
      </x:c>
      <x:c r="AC91" s="68" t="str">
        <x:v>若存在更短、更强或副作用更小的替代路径，应并列比较后再裁定</x:v>
      </x:c>
      <x:c r="AD91" s="84" t="str">
        <x:v>流通反证输出</x:v>
      </x:c>
      <x:c r="AE91" s="84" t="str">
        <x:v>每个主路径/卡点同时记录支持证据、反向证据、替代路径与置信度；争议大时降低置信度。</x:v>
      </x:c>
      <x:c r="AF91" s="82" t="str">
        <x:v>较高</x:v>
      </x:c>
      <x:c r="AG91" s="82" t="str">
        <x:v>现代综合</x:v>
      </x:c>
      <x:c r="AH91" s="68" t="str">
        <x:v>流通判断以五行有效力量、生克顺序与十神功能为核心；古典依据可参照《滴天髓》《渊海子平》。 https://zh.wikisource.org/wiki/%E6%BB%B4%E5%A4%A9%E9%AB%93%E9%97%A1%E5%BE%AE https://zh.wikisource.org/zh-hans/%E6%B7%B5%E6%B5%B7%E5%AD%90%E5%B9%B3</x:v>
      </x:c>
      <x:c r="AI91" s="68" t="str">
        <x:v>当“主结论存在支持与反对证据并存”真实成立，且桥梁具备有效力量和连续作用条件时，可按“流通结论必须保留反向证据”记录。</x:v>
      </x:c>
      <x:c r="AJ91" s="90" t="str">
        <x:v>仅见表面缺失或五行相克，但未证明“主结论存在支持与反对证据并存”形成实际阻断时，不得套用“流通结论必须保留反向证据”。</x:v>
      </x:c>
      <x:c r="AK91" s="82" t="str">
        <x:v>采用</x:v>
      </x:c>
      <x:c r="AL91" s="82" t="str">
        <x:v>初审</x:v>
      </x:c>
      <x:c r="AM91" s="87" t="n">
        <x:v>46255</x:v>
      </x:c>
    </x:row>
    <x:row r="92">
      <x:c r="A92" s="72" t="str">
        <x:f>IF(OR(C92="",D92=""),"",B92&amp;"-"&amp;UPPER(C92)&amp;"-"&amp;TEXT(D92,"0000")&amp;"-"&amp;E92)</x:f>
        <x:v>M12-AGG-0086-V1.0</x:v>
      </x:c>
      <x:c r="B92" s="74" t="str">
        <x:v>M12</x:v>
      </x:c>
      <x:c r="C92" s="74" t="str">
        <x:v>AGG</x:v>
      </x:c>
      <x:c r="D92" s="215" t="n">
        <x:v>86</x:v>
      </x:c>
      <x:c r="E92" s="74" t="str">
        <x:v>V1.0</x:v>
      </x:c>
      <x:c r="F92" s="68" t="str">
        <x:v>M12最终输出统一包含路径、卡点、通关和副作用</x:v>
      </x:c>
      <x:c r="G92" s="82" t="str">
        <x:v>结构层</x:v>
      </x:c>
      <x:c r="H92" s="68" t="str">
        <x:v>综合路径</x:v>
      </x:c>
      <x:c r="I92" s="68" t="str">
        <x:v>主起点</x:v>
      </x:c>
      <x:c r="J92" s="68" t="str">
        <x:v>主桥梁</x:v>
      </x:c>
      <x:c r="K92" s="68" t="str">
        <x:v>主终点</x:v>
      </x:c>
      <x:c r="L92" s="82" t="str">
        <x:v>待定</x:v>
      </x:c>
      <x:c r="M92" s="82" t="str">
        <x:v>待定</x:v>
      </x:c>
      <x:c r="N92" s="68" t="str">
        <x:v>待定</x:v>
      </x:c>
      <x:c r="O92" s="68" t="str">
        <x:v>待定</x:v>
      </x:c>
      <x:c r="P92" s="68" t="str">
        <x:v>待定</x:v>
      </x:c>
      <x:c r="Q92" s="82" t="str">
        <x:v>待定</x:v>
      </x:c>
      <x:c r="R92" s="82" t="str">
        <x:v>其他</x:v>
      </x:c>
      <x:c r="S92" s="68" t="str">
        <x:v>待定</x:v>
      </x:c>
      <x:c r="T92" s="68" t="str">
        <x:v>M12完成全局流通扫描</x:v>
      </x:c>
      <x:c r="U92" s="68" t="str">
        <x:v>待定</x:v>
      </x:c>
      <x:c r="V92" s="68" t="str">
        <x:v>待定</x:v>
      </x:c>
      <x:c r="W92" s="90" t="str">
        <x:v>需检查对调候、格局、日主承载及其他通路的副作用</x:v>
      </x:c>
      <x:c r="X92" s="68" t="str">
        <x:v>M06关系效应、M08五行有效旺衰、M10十神功能与M11组合判断已完成</x:v>
      </x:c>
      <x:c r="Y92" s="68" t="str">
        <x:v>起点、桥梁、终点均按有效力量与实际作用路径判断</x:v>
      </x:c>
      <x:c r="Z92" s="68" t="str">
        <x:v>桥梁有根有源、透达、位置可达且不存在关键制约</x:v>
      </x:c>
      <x:c r="AA92" s="68" t="str">
        <x:v>桥梁失令、无根、受克、合绊、改性或同时被多路调用</x:v>
      </x:c>
      <x:c r="AB92" s="90" t="str">
        <x:v>不得仅因五行缺失、数量少或关系名称直接认定卡点或通关用神</x:v>
      </x:c>
      <x:c r="AC92" s="68" t="str">
        <x:v>若存在更短、更强或副作用更小的替代路径，应并列比较后再裁定</x:v>
      </x:c>
      <x:c r="AD92" s="84" t="str">
        <x:v>M12标准输出</x:v>
      </x:c>
      <x:c r="AE92" s="84" t="str">
        <x:v>M12最终至少输出：主流通路径、起点强度、关键桥梁及状态、终点承载、流通状态、主卡点、卡点原因、通关候选、成立条件、副作用、替代路径与置信度。</x:v>
      </x:c>
      <x:c r="AF92" s="82" t="str">
        <x:v>较高</x:v>
      </x:c>
      <x:c r="AG92" s="82" t="str">
        <x:v>现代综合</x:v>
      </x:c>
      <x:c r="AH92" s="68" t="str">
        <x:v>流通判断以五行有效力量、生克顺序与十神功能为核心；古典依据可参照《滴天髓》《渊海子平》。 https://zh.wikisource.org/wiki/%E6%BB%B4%E5%A4%A9%E9%AB%93%E9%97%A1%E5%BE%AE https://zh.wikisource.org/zh-hans/%E6%B7%B5%E6%B5%B7%E5%AD%90%E5%B9%B3</x:v>
      </x:c>
      <x:c r="AI92" s="68" t="str">
        <x:v>当“M12完成全局流通扫描”真实成立，且桥梁具备有效力量和连续作用条件时，可按“M12最终输出统一包含路径、卡点、通关和副作用”记录。</x:v>
      </x:c>
      <x:c r="AJ92" s="90" t="str">
        <x:v>仅见表面缺失或五行相克，但未证明“M12完成全局流通扫描”形成实际阻断时，不得套用“M12最终输出统一包含路径、卡点、通关和副作用”。</x:v>
      </x:c>
      <x:c r="AK92" s="82" t="str">
        <x:v>采用</x:v>
      </x:c>
      <x:c r="AL92" s="82" t="str">
        <x:v>初审</x:v>
      </x:c>
      <x:c r="AM92" s="87" t="n">
        <x:v>46255</x:v>
      </x:c>
    </x:row>
    <x:row r="93">
      <x:c r="A93" s="72" t="str">
        <x:f>IF(OR(C93="",D93=""),"",B93&amp;"-"&amp;UPPER(C93)&amp;"-"&amp;TEXT(D93,"0000")&amp;"-"&amp;E93)</x:f>
        <x:v>M12-BOUND-0087-V1.0</x:v>
      </x:c>
      <x:c r="B93" s="74" t="str">
        <x:v>M12</x:v>
      </x:c>
      <x:c r="C93" s="74" t="str">
        <x:v>BOUND</x:v>
      </x:c>
      <x:c r="D93" s="215" t="n">
        <x:v>87</x:v>
      </x:c>
      <x:c r="E93" s="74" t="str">
        <x:v>V1.0</x:v>
      </x:c>
      <x:c r="F93" s="68" t="str">
        <x:v>缺什么补什么不属于M12规则</x:v>
      </x:c>
      <x:c r="G93" s="82" t="str">
        <x:v>结构层</x:v>
      </x:c>
      <x:c r="H93" s="68" t="str">
        <x:v>五行生化路径</x:v>
      </x:c>
      <x:c r="I93" s="68" t="str">
        <x:v>待定</x:v>
      </x:c>
      <x:c r="J93" s="68" t="str">
        <x:v>待定</x:v>
      </x:c>
      <x:c r="K93" s="68" t="str">
        <x:v>待定</x:v>
      </x:c>
      <x:c r="L93" s="82" t="str">
        <x:v>待定</x:v>
      </x:c>
      <x:c r="M93" s="82" t="str">
        <x:v>待定</x:v>
      </x:c>
      <x:c r="N93" s="68" t="str">
        <x:v>待定</x:v>
      </x:c>
      <x:c r="O93" s="68" t="str">
        <x:v>待定</x:v>
      </x:c>
      <x:c r="P93" s="68" t="str">
        <x:v>待定</x:v>
      </x:c>
      <x:c r="Q93" s="82" t="str">
        <x:v>待定</x:v>
      </x:c>
      <x:c r="R93" s="82" t="str">
        <x:v>缺桥</x:v>
      </x:c>
      <x:c r="S93" s="68" t="str">
        <x:v>待定</x:v>
      </x:c>
      <x:c r="T93" s="68" t="str">
        <x:v>仅因某五行在八字中缺失就直接判断需要补入</x:v>
      </x:c>
      <x:c r="U93" s="68" t="str">
        <x:v>待定</x:v>
      </x:c>
      <x:c r="V93" s="68" t="str">
        <x:v>待定</x:v>
      </x:c>
      <x:c r="W93" s="90" t="str">
        <x:v>需检查对调候、格局、日主承载及其他通路的副作用</x:v>
      </x:c>
      <x:c r="X93" s="68" t="str">
        <x:v>M06关系效应、M08五行有效旺衰、M10十神功能与M11组合判断已完成</x:v>
      </x:c>
      <x:c r="Y93" s="68" t="str">
        <x:v>起点、桥梁、终点均按有效力量与实际作用路径判断</x:v>
      </x:c>
      <x:c r="Z93" s="68" t="str">
        <x:v>桥梁有根有源、透达、位置可达且不存在关键制约</x:v>
      </x:c>
      <x:c r="AA93" s="68" t="str">
        <x:v>桥梁失令、无根、受克、合绊、改性或同时被多路调用</x:v>
      </x:c>
      <x:c r="AB93" s="90" t="str">
        <x:v>只有当该缺失五行确为关键路径不可替代桥梁，并且补入副作用可接受时，才能列为通关候选</x:v>
      </x:c>
      <x:c r="AC93" s="68" t="str">
        <x:v>若存在更短、更强或副作用更小的替代路径，应并列比较后再裁定</x:v>
      </x:c>
      <x:c r="AD93" s="84" t="str">
        <x:v>禁止缺啥补啥</x:v>
      </x:c>
      <x:c r="AE93" s="84" t="str">
        <x:v>缺什么补什么不属于M12规则：按起点—桥梁—终点检查有效力量、连续性与承载；卡点为“缺桥”时，仅生成通关候选，不直接定用神。</x:v>
      </x:c>
      <x:c r="AF93" s="82" t="str">
        <x:v>较高</x:v>
      </x:c>
      <x:c r="AG93" s="82" t="str">
        <x:v>现代综合</x:v>
      </x:c>
      <x:c r="AH93" s="68" t="str">
        <x:v>流通判断以五行有效力量、生克顺序与十神功能为核心；古典依据可参照《滴天髓》《渊海子平》。 https://zh.wikisource.org/wiki/%E6%BB%B4%E5%A4%A9%E9%AB%93%E9%97%A1%E5%BE%AE https://zh.wikisource.org/zh-hans/%E6%B7%B5%E6%B5%B7%E5%AD%90%E5%B9%B3</x:v>
      </x:c>
      <x:c r="AI93" s="68" t="str">
        <x:v>当“仅因某五行在八字中缺失就直接判断需要补入”真实成立，且桥梁具备有效力量和连续作用条件时，可按“缺什么补什么不属于M12规则”记录。</x:v>
      </x:c>
      <x:c r="AJ93" s="90" t="str">
        <x:v>仅见表面缺失或五行相克，但未证明“仅因某五行在八字中缺失就直接判断需要补入”形成实际阻断时，不得套用“缺什么补什么不属于M12规则”。</x:v>
      </x:c>
      <x:c r="AK93" s="82" t="str">
        <x:v>采用</x:v>
      </x:c>
      <x:c r="AL93" s="82" t="str">
        <x:v>初审</x:v>
      </x:c>
      <x:c r="AM93" s="87" t="n">
        <x:v>46255</x:v>
      </x:c>
    </x:row>
    <x:row r="94">
      <x:c r="A94" s="72" t="str">
        <x:f>IF(OR(C94="",D94=""),"",B94&amp;"-"&amp;UPPER(C94)&amp;"-"&amp;TEXT(D94,"0000")&amp;"-"&amp;E94)</x:f>
        <x:v>M12-BOUND-0088-V1.0</x:v>
      </x:c>
      <x:c r="B94" s="74" t="str">
        <x:v>M12</x:v>
      </x:c>
      <x:c r="C94" s="74" t="str">
        <x:v>BOUND</x:v>
      </x:c>
      <x:c r="D94" s="215" t="n">
        <x:v>88</x:v>
      </x:c>
      <x:c r="E94" s="74" t="str">
        <x:v>V1.0</x:v>
      </x:c>
      <x:c r="F94" s="68" t="str">
        <x:v>旺而不流通与力量弱必须区分</x:v>
      </x:c>
      <x:c r="G94" s="82" t="str">
        <x:v>结构层</x:v>
      </x:c>
      <x:c r="H94" s="68" t="str">
        <x:v>五行生化路径</x:v>
      </x:c>
      <x:c r="I94" s="68" t="str">
        <x:v>旺强五行</x:v>
      </x:c>
      <x:c r="J94" s="68" t="str">
        <x:v>失效下游</x:v>
      </x:c>
      <x:c r="K94" s="68" t="str">
        <x:v>终点</x:v>
      </x:c>
      <x:c r="L94" s="82" t="str">
        <x:v>旺</x:v>
      </x:c>
      <x:c r="M94" s="82" t="str">
        <x:v>待定</x:v>
      </x:c>
      <x:c r="N94" s="68" t="str">
        <x:v>待定</x:v>
      </x:c>
      <x:c r="O94" s="68" t="str">
        <x:v>待定</x:v>
      </x:c>
      <x:c r="P94" s="68" t="str">
        <x:v>待定</x:v>
      </x:c>
      <x:c r="Q94" s="82" t="str">
        <x:v>局部阻塞</x:v>
      </x:c>
      <x:c r="R94" s="82" t="str">
        <x:v>源头过旺无泄</x:v>
      </x:c>
      <x:c r="S94" s="68" t="str">
        <x:v>待定</x:v>
      </x:c>
      <x:c r="T94" s="68" t="str">
        <x:v>起点本身很强，但缺少有效输出路径</x:v>
      </x:c>
      <x:c r="U94" s="68" t="str">
        <x:v>待定</x:v>
      </x:c>
      <x:c r="V94" s="68" t="str">
        <x:v>待定</x:v>
      </x:c>
      <x:c r="W94" s="90" t="str">
        <x:v>需检查对调候、格局、日主承载及其他通路的副作用</x:v>
      </x:c>
      <x:c r="X94" s="68" t="str">
        <x:v>M06关系效应、M08五行有效旺衰、M10十神功能与M11组合判断已完成</x:v>
      </x:c>
      <x:c r="Y94" s="68" t="str">
        <x:v>起点、桥梁、终点均按有效力量与实际作用路径判断</x:v>
      </x:c>
      <x:c r="Z94" s="68" t="str">
        <x:v>桥梁有根有源、透达、位置可达且不存在关键制约</x:v>
      </x:c>
      <x:c r="AA94" s="68" t="str">
        <x:v>桥梁失令、无根、受克、合绊、改性或同时被多路调用</x:v>
      </x:c>
      <x:c r="AB94" s="90" t="str">
        <x:v>不得仅因五行缺失、数量少或关系名称直接认定卡点或通关用神</x:v>
      </x:c>
      <x:c r="AC94" s="68" t="str">
        <x:v>若存在更短、更强或副作用更小的替代路径，应并列比较后再裁定</x:v>
      </x:c>
      <x:c r="AD94" s="84" t="str">
        <x:v>力量与流通分离</x:v>
      </x:c>
      <x:c r="AE94" s="84" t="str">
        <x:v>旺而不流通仍判该五行旺；流通问题记录为功能壅塞，不得因此把五行旺衰下调为弱。</x:v>
      </x:c>
      <x:c r="AF94" s="82" t="str">
        <x:v>较高</x:v>
      </x:c>
      <x:c r="AG94" s="82" t="str">
        <x:v>现代综合</x:v>
      </x:c>
      <x:c r="AH94" s="68" t="str">
        <x:v>流通判断以五行有效力量、生克顺序与十神功能为核心；古典依据可参照《滴天髓》《渊海子平》。 https://zh.wikisource.org/wiki/%E6%BB%B4%E5%A4%A9%E9%AB%93%E9%97%A1%E5%BE%AE https://zh.wikisource.org/zh-hans/%E6%B7%B5%E6%B5%B7%E5%AD%90%E5%B9%B3</x:v>
      </x:c>
      <x:c r="AI94" s="68" t="str">
        <x:v>当“起点本身很强，但缺少有效输出路径”真实成立，且桥梁具备有效力量和连续作用条件时，可按“旺而不流通与力量弱必须区分”记录。</x:v>
      </x:c>
      <x:c r="AJ94" s="90" t="str">
        <x:v>仅见表面缺失或五行相克，但未证明“起点本身很强，但缺少有效输出路径”形成实际阻断时，不得套用“旺而不流通与力量弱必须区分”。</x:v>
      </x:c>
      <x:c r="AK94" s="82" t="str">
        <x:v>采用</x:v>
      </x:c>
      <x:c r="AL94" s="82" t="str">
        <x:v>初审</x:v>
      </x:c>
      <x:c r="AM94" s="87" t="n">
        <x:v>46255</x:v>
      </x:c>
    </x:row>
    <x:row r="95">
      <x:c r="A95" s="72" t="str">
        <x:f>IF(OR(C95="",D95=""),"",B95&amp;"-"&amp;UPPER(C95)&amp;"-"&amp;TEXT(D95,"0000")&amp;"-"&amp;E95)</x:f>
        <x:v>M12-BOUND-0089-V1.0</x:v>
      </x:c>
      <x:c r="B95" s="74" t="str">
        <x:v>M12</x:v>
      </x:c>
      <x:c r="C95" s="74" t="str">
        <x:v>BOUND</x:v>
      </x:c>
      <x:c r="D95" s="215" t="n">
        <x:v>89</x:v>
      </x:c>
      <x:c r="E95" s="74" t="str">
        <x:v>V1.0</x:v>
      </x:c>
      <x:c r="F95" s="68" t="str">
        <x:v>流通通畅不等于该路径一定为喜</x:v>
      </x:c>
      <x:c r="G95" s="82" t="str">
        <x:v>结构层</x:v>
      </x:c>
      <x:c r="H95" s="68" t="str">
        <x:v>五行生化路径</x:v>
      </x:c>
      <x:c r="I95" s="68" t="str">
        <x:v>待定</x:v>
      </x:c>
      <x:c r="J95" s="68" t="str">
        <x:v>待定</x:v>
      </x:c>
      <x:c r="K95" s="68" t="str">
        <x:v>待定</x:v>
      </x:c>
      <x:c r="L95" s="82" t="str">
        <x:v>待定</x:v>
      </x:c>
      <x:c r="M95" s="82" t="str">
        <x:v>待定</x:v>
      </x:c>
      <x:c r="N95" s="68" t="str">
        <x:v>待定</x:v>
      </x:c>
      <x:c r="O95" s="68" t="str">
        <x:v>待定</x:v>
      </x:c>
      <x:c r="P95" s="68" t="str">
        <x:v>待定</x:v>
      </x:c>
      <x:c r="Q95" s="82" t="str">
        <x:v>通畅</x:v>
      </x:c>
      <x:c r="R95" s="82" t="str">
        <x:v>其他</x:v>
      </x:c>
      <x:c r="S95" s="68" t="str">
        <x:v>待定</x:v>
      </x:c>
      <x:c r="T95" s="68" t="str">
        <x:v>某条生化链连续有效，但最终可能增强忌神、破坏格局或加重调候问题</x:v>
      </x:c>
      <x:c r="U95" s="68" t="str">
        <x:v>待定</x:v>
      </x:c>
      <x:c r="V95" s="68" t="str">
        <x:v>待定</x:v>
      </x:c>
      <x:c r="W95" s="90" t="str">
        <x:v>通畅只描述能量传递效率，价值判断转M16/M17/M18</x:v>
      </x:c>
      <x:c r="X95" s="68" t="str">
        <x:v>M06关系效应、M08五行有效旺衰、M10十神功能与M11组合判断已完成</x:v>
      </x:c>
      <x:c r="Y95" s="68" t="str">
        <x:v>起点、桥梁、终点均按有效力量与实际作用路径判断</x:v>
      </x:c>
      <x:c r="Z95" s="68" t="str">
        <x:v>桥梁有根有源、透达、位置可达且不存在关键制约</x:v>
      </x:c>
      <x:c r="AA95" s="68" t="str">
        <x:v>桥梁失令、无根、受克、合绊、改性或同时被多路调用</x:v>
      </x:c>
      <x:c r="AB95" s="90" t="str">
        <x:v>不得仅因五行缺失、数量少或关系名称直接认定卡点或通关用神</x:v>
      </x:c>
      <x:c r="AC95" s="68" t="str">
        <x:v>若存在更短、更强或副作用更小的替代路径，应并列比较后再裁定</x:v>
      </x:c>
      <x:c r="AD95" s="84" t="str">
        <x:v>流通与喜忌分离</x:v>
      </x:c>
      <x:c r="AE95" s="84" t="str">
        <x:v>流通通畅不等于该路径一定为喜：按起点—桥梁—终点检查有效力量、连续性与承载；卡点为“其他”时，仅生成通关候选，不直接定用神。</x:v>
      </x:c>
      <x:c r="AF95" s="82" t="str">
        <x:v>较高</x:v>
      </x:c>
      <x:c r="AG95" s="82" t="str">
        <x:v>现代综合</x:v>
      </x:c>
      <x:c r="AH95" s="68" t="str">
        <x:v>流通判断以五行有效力量、生克顺序与十神功能为核心；古典依据可参照《滴天髓》《渊海子平》。 https://zh.wikisource.org/wiki/%E6%BB%B4%E5%A4%A9%E9%AB%93%E9%97%A1%E5%BE%AE https://zh.wikisource.org/zh-hans/%E6%B7%B5%E6%B5%B7%E5%AD%90%E5%B9%B3</x:v>
      </x:c>
      <x:c r="AI95" s="68" t="str">
        <x:v>当“某条生化链连续有效，但最终可能增强忌神、破坏格局或加重调候问题”真实成立，且桥梁具备有效力量和连续作用条件时，可按“流通通畅不等于该路径一定为喜”记录。</x:v>
      </x:c>
      <x:c r="AJ95" s="90" t="str">
        <x:v>仅见表面缺失或五行相克，但未证明“某条生化链连续有效，但最终可能增强忌神、破坏格局或加重调候问题”形成实际阻断时，不得套用“流通通畅不等于该路径一定为喜”。</x:v>
      </x:c>
      <x:c r="AK95" s="82" t="str">
        <x:v>采用</x:v>
      </x:c>
      <x:c r="AL95" s="82" t="str">
        <x:v>初审</x:v>
      </x:c>
      <x:c r="AM95" s="87" t="n">
        <x:v>46255</x:v>
      </x:c>
    </x:row>
    <x:row r="96">
      <x:c r="A96" s="72" t="str">
        <x:f>IF(OR(C96="",D96=""),"",B96&amp;"-"&amp;UPPER(C96)&amp;"-"&amp;TEXT(D96,"0000")&amp;"-"&amp;E96)</x:f>
        <x:v>M12-BOUND-0090-V1.0</x:v>
      </x:c>
      <x:c r="B96" s="74" t="str">
        <x:v>M12</x:v>
      </x:c>
      <x:c r="C96" s="74" t="str">
        <x:v>BOUND</x:v>
      </x:c>
      <x:c r="D96" s="215" t="n">
        <x:v>90</x:v>
      </x:c>
      <x:c r="E96" s="74" t="str">
        <x:v>V1.0</x:v>
      </x:c>
      <x:c r="F96" s="68" t="str">
        <x:v>M12不直接输出具体事件或岁运时间</x:v>
      </x:c>
      <x:c r="G96" s="82" t="str">
        <x:v>结构层</x:v>
      </x:c>
      <x:c r="H96" s="68" t="str">
        <x:v>五行生化路径</x:v>
      </x:c>
      <x:c r="I96" s="68" t="str">
        <x:v>待定</x:v>
      </x:c>
      <x:c r="J96" s="68" t="str">
        <x:v>待定</x:v>
      </x:c>
      <x:c r="K96" s="68" t="str">
        <x:v>待定</x:v>
      </x:c>
      <x:c r="L96" s="82" t="str">
        <x:v>待定</x:v>
      </x:c>
      <x:c r="M96" s="82" t="str">
        <x:v>待定</x:v>
      </x:c>
      <x:c r="N96" s="68" t="str">
        <x:v>待定</x:v>
      </x:c>
      <x:c r="O96" s="68" t="str">
        <x:v>待定</x:v>
      </x:c>
      <x:c r="P96" s="68" t="str">
        <x:v>待定</x:v>
      </x:c>
      <x:c r="Q96" s="82" t="str">
        <x:v>待定</x:v>
      </x:c>
      <x:c r="R96" s="82" t="str">
        <x:v>其他</x:v>
      </x:c>
      <x:c r="S96" s="68" t="str">
        <x:v>待定</x:v>
      </x:c>
      <x:c r="T96" s="68" t="str">
        <x:v>流通和卡点属于原局静态结构</x:v>
      </x:c>
      <x:c r="U96" s="68" t="str">
        <x:v>待定</x:v>
      </x:c>
      <x:c r="V96" s="68" t="str">
        <x:v>待定</x:v>
      </x:c>
      <x:c r="W96" s="90" t="str">
        <x:v>需检查对调候、格局、日主承载及其他通路的副作用</x:v>
      </x:c>
      <x:c r="X96" s="68" t="str">
        <x:v>M06关系效应、M08五行有效旺衰、M10十神功能与M11组合判断已完成</x:v>
      </x:c>
      <x:c r="Y96" s="68" t="str">
        <x:v>起点、桥梁、终点均按有效力量与实际作用路径判断</x:v>
      </x:c>
      <x:c r="Z96" s="68" t="str">
        <x:v>桥梁有根有源、透达、位置可达且不存在关键制约</x:v>
      </x:c>
      <x:c r="AA96" s="68" t="str">
        <x:v>桥梁失令、无根、受克、合绊、改性或同时被多路调用</x:v>
      </x:c>
      <x:c r="AB96" s="90" t="str">
        <x:v>不得仅因五行缺失、数量少或关系名称直接认定卡点或通关用神</x:v>
      </x:c>
      <x:c r="AC96" s="68" t="str">
        <x:v>岁运如何补桥、冲开或加重卡点由后续动态作用引擎判断</x:v>
      </x:c>
      <x:c r="AD96" s="84" t="str">
        <x:v>流通静动态边界</x:v>
      </x:c>
      <x:c r="AE96" s="84" t="str">
        <x:v>M12只输出原局路径与卡点，不直接断某年某事。</x:v>
      </x:c>
      <x:c r="AF96" s="82" t="str">
        <x:v>较高</x:v>
      </x:c>
      <x:c r="AG96" s="82" t="str">
        <x:v>现代综合</x:v>
      </x:c>
      <x:c r="AH96" s="68" t="str">
        <x:v>流通判断以五行有效力量、生克顺序与十神功能为核心；古典依据可参照《滴天髓》《渊海子平》。 https://zh.wikisource.org/wiki/%E6%BB%B4%E5%A4%A9%E9%AB%93%E9%97%A1%E5%BE%AE https://zh.wikisource.org/zh-hans/%E6%B7%B5%E6%B5%B7%E5%AD%90%E5%B9%B3</x:v>
      </x:c>
      <x:c r="AI96" s="68" t="str">
        <x:v>当“流通和卡点属于原局静态结构”真实成立，且桥梁具备有效力量和连续作用条件时，可按“M12不直接输出具体事件或岁运时间”记录。</x:v>
      </x:c>
      <x:c r="AJ96" s="90" t="str">
        <x:v>仅见表面缺失或五行相克，但未证明“流通和卡点属于原局静态结构”形成实际阻断时，不得套用“M12不直接输出具体事件或岁运时间”。</x:v>
      </x:c>
      <x:c r="AK96" s="82" t="str">
        <x:v>采用</x:v>
      </x:c>
      <x:c r="AL96" s="82" t="str">
        <x:v>初审</x:v>
      </x:c>
      <x:c r="AM96" s="87" t="n">
        <x:v>46255</x:v>
      </x:c>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'99_下拉选项'!$BG$4:$BG$14</x:formula1>
    </x:dataValidation>
    <x:dataValidation type="list" sqref="E7:E96">
      <x:formula1>'99_下拉选项'!$BG$4:$BG$14</x:formula1>
    </x:dataValidation>
    <x:dataValidation type="list" sqref="G7:G96">
      <x:formula1>'99_下拉选项'!$F$4:$F$7</x:formula1>
    </x:dataValidation>
    <x:dataValidation type="list" sqref="L7:L96">
      <x:formula1>'99_下拉选项'!$U$4:$U$11</x:formula1>
    </x:dataValidation>
    <x:dataValidation type="list" sqref="M7:M96">
      <x:formula1>'99_下拉选项'!$U$4:$U$11</x:formula1>
    </x:dataValidation>
    <x:dataValidation type="list" sqref="Q7:Q96">
      <x:formula1>'99_下拉选项'!$AO$4:$AO$9</x:formula1>
    </x:dataValidation>
    <x:dataValidation type="list" sqref="R7:R96">
      <x:formula1>'99_下拉选项'!$AP$4:$AP$16</x:formula1>
    </x:dataValidation>
    <x:dataValidation type="list" sqref="AF7:AF96">
      <x:formula1>'99_下拉选项'!$Q$4:$Q$8</x:formula1>
    </x:dataValidation>
    <x:dataValidation type="list" sqref="AG7:AG96">
      <x:formula1>'99_下拉选项'!$R$4:$R$11</x:formula1>
    </x:dataValidation>
    <x:dataValidation type="list" sqref="AK7:AK96">
      <x:formula1>'99_下拉选项'!$S$4:$S$9</x:formula1>
    </x:dataValidation>
    <x:dataValidation type="list" sqref="AL7:AL96">
      <x:formula1>'99_下拉选项'!$T$4:$T$8</x:formula1>
    </x:dataValidation>
  </x:dataValidations>
  <x:pageMargins left="0.7" right="0.7" top="0.75" bottom="0.75" header="0.3" footer="0.3"/>
  <x:tableParts count="1">
    <x:tablePart xmlns:r="http://schemas.openxmlformats.org/officeDocument/2006/relationships" r:id="R727cec93ee91405e"/>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v>M13-GEN-0001-V1.0</x:v>
      </x:c>
      <x:c r="B7" s="74" t="str">
        <x:v>M13</x:v>
      </x:c>
      <x:c r="C7" s="74" t="str">
        <x:v>GEN</x:v>
      </x:c>
      <x:c r="D7" s="215" t="n">
        <x:v>1</x:v>
      </x:c>
      <x:c r="E7" s="74" t="str">
        <x:v>V1.0</x:v>
      </x:c>
      <x:c r="F7" s="68" t="str">
        <x:v>寒暖与燥湿必须分成两个独立坐标</x:v>
      </x:c>
      <x:c r="G7" s="82" t="str">
        <x:v>结构层</x:v>
      </x:c>
      <x:c r="H7" s="82" t="str">
        <x:v>寒暖燥湿综合</x:v>
      </x:c>
      <x:c r="I7" s="68" t="str">
        <x:v>通用</x:v>
      </x:c>
      <x:c r="J7" s="68" t="str">
        <x:v>同一原局可能同时出现寒燥、暖湿等交叉状态</x:v>
      </x:c>
      <x:c r="K7" s="68" t="str">
        <x:v>待定</x:v>
      </x:c>
      <x:c r="L7" s="68" t="str">
        <x:v>待定</x:v>
      </x:c>
      <x:c r="M7" s="82" t="str">
        <x:v>待定</x:v>
      </x:c>
      <x:c r="N7" s="82" t="str">
        <x:v>待定</x:v>
      </x:c>
      <x:c r="O7" s="68" t="str">
        <x:v>禁止把温度和湿度合并成单一冷热标签</x:v>
      </x:c>
      <x:c r="P7" s="68" t="str">
        <x:v>待定</x:v>
      </x:c>
      <x:c r="Q7" s="68" t="str">
        <x:v>双轴分别定级</x:v>
      </x:c>
      <x:c r="R7" s="82" t="str">
        <x:v>待定</x:v>
      </x:c>
      <x:c r="S7" s="82" t="str">
        <x:v>待定</x:v>
      </x:c>
      <x:c r="T7" s="82" t="str">
        <x:v>待定</x:v>
      </x:c>
      <x:c r="U7" s="82" t="str">
        <x:v>待定</x:v>
      </x:c>
      <x:c r="V7" s="82" t="str">
        <x:v>待定</x:v>
      </x:c>
      <x:c r="W7" s="68" t="str">
        <x:v>M02基础映射、M08五行有效旺衰、M12流通卡点已完成</x:v>
      </x:c>
      <x:c r="X7" s="68" t="str">
        <x:v>月令基准与全局有效五行均已核查</x:v>
      </x:c>
      <x:c r="Y7" s="68" t="str">
        <x:v>相关调候五行有根有源、透达且能真实改善关键气候问题</x:v>
      </x:c>
      <x:c r="Z7" s="68" t="str">
        <x:v>调候五行无根、受强制、被合绊、改性或加入后产生新的寒热燥湿问题</x:v>
      </x:c>
      <x:c r="AA7" s="90" t="str">
        <x:v>不得只凭出生月份或某一五行数量直接下最终调候结论</x:v>
      </x:c>
      <x:c r="AB7" s="68" t="str">
        <x:v>特殊格局、核心格局用神或更高优先级病药约束转M16—M18裁决</x:v>
      </x:c>
      <x:c r="AC7" s="84" t="str">
        <x:v>调候双轴模型</x:v>
      </x:c>
      <x:c r="AD7" s="84" t="str">
        <x:v>寒暖与燥湿必须分成两个独立坐标：温度轴判“待定”，湿度轴判“待定”；调候候选为“待定”，是否成为最终用神仍转M16—M18。</x:v>
      </x:c>
      <x:c r="AE7" s="82" t="str">
        <x:v>较高</x:v>
      </x:c>
      <x:c r="AF7" s="82" t="str">
        <x:v>调候</x:v>
      </x:c>
      <x:c r="AG7" s="68" t="str">
        <x:v>调候以月令气候为起点，但必须结合M08五行有效力量与M12流通状态修正；寒暖与燥湿分轴判断，调候候选不自动等于全局主用神。</x:v>
      </x:c>
      <x:c r="AH7" s="68" t="str">
        <x:v>当“同一原局可能同时出现寒燥、暖湿等交叉状态”真实成立，且调候机制能改善主要气候问题时，可按“寒暖与燥湿必须分成两个独立坐标”记录。</x:v>
      </x:c>
      <x:c r="AI7" s="90" t="str">
        <x:v>仅见月份或表面五行标签，但未满足“同一原局可能同时出现寒燥、暖湿等交叉状态”及必要修正条件时，不得套用“寒暖与燥湿必须分成两个独立坐标”。</x:v>
      </x:c>
      <x:c r="AJ7" s="82" t="str">
        <x:v>采用</x:v>
      </x:c>
      <x:c r="AK7" s="82" t="str">
        <x:v>初审</x:v>
      </x:c>
      <x:c r="AL7" s="87" t="n">
        <x:v>46255</x:v>
      </x:c>
    </x:row>
    <x:row r="8">
      <x:c r="A8" s="72" t="str">
        <x:f>IF(OR(C8="",D8=""),"",B8&amp;"-"&amp;UPPER(C8)&amp;"-"&amp;TEXT(D8,"0000")&amp;"-"&amp;E8)</x:f>
        <x:v>M13-GEN-0002-V1.0</x:v>
      </x:c>
      <x:c r="B8" s="74" t="str">
        <x:v>M13</x:v>
      </x:c>
      <x:c r="C8" s="74" t="str">
        <x:v>GEN</x:v>
      </x:c>
      <x:c r="D8" s="215" t="n">
        <x:v>2</x:v>
      </x:c>
      <x:c r="E8" s="74" t="str">
        <x:v>V1.0</x:v>
      </x:c>
      <x:c r="F8" s="68" t="str">
        <x:v>月令只提供气候基准而非最终结论</x:v>
      </x:c>
      <x:c r="G8" s="82" t="str">
        <x:v>结构层</x:v>
      </x:c>
      <x:c r="H8" s="82" t="str">
        <x:v>寒暖燥湿综合</x:v>
      </x:c>
      <x:c r="I8" s="68" t="str">
        <x:v>通用</x:v>
      </x:c>
      <x:c r="J8" s="68" t="str">
        <x:v>月令季节倾向与全局有效火水土势可能一致或相反</x:v>
      </x:c>
      <x:c r="K8" s="68" t="str">
        <x:v>待定</x:v>
      </x:c>
      <x:c r="L8" s="68" t="str">
        <x:v>待定</x:v>
      </x:c>
      <x:c r="M8" s="82" t="str">
        <x:v>待定</x:v>
      </x:c>
      <x:c r="N8" s="82" t="str">
        <x:v>待定</x:v>
      </x:c>
      <x:c r="O8" s="68" t="str">
        <x:v>季节基准需要全局修正</x:v>
      </x:c>
      <x:c r="P8" s="68" t="str">
        <x:v>待定</x:v>
      </x:c>
      <x:c r="Q8" s="68" t="str">
        <x:v>以月令起点再叠加有效五行修正</x:v>
      </x:c>
      <x:c r="R8" s="82" t="str">
        <x:v>待定</x:v>
      </x:c>
      <x:c r="S8" s="82" t="str">
        <x:v>待定</x:v>
      </x:c>
      <x:c r="T8" s="82" t="str">
        <x:v>待定</x:v>
      </x:c>
      <x:c r="U8" s="82" t="str">
        <x:v>待定</x:v>
      </x:c>
      <x:c r="V8" s="82" t="str">
        <x:v>待定</x:v>
      </x:c>
      <x:c r="W8" s="68" t="str">
        <x:v>M02基础映射、M08五行有效旺衰、M12流通卡点已完成</x:v>
      </x:c>
      <x:c r="X8" s="68" t="str">
        <x:v>月令基准与全局有效五行均已核查</x:v>
      </x:c>
      <x:c r="Y8" s="68" t="str">
        <x:v>相关调候五行有根有源、透达且能真实改善关键气候问题</x:v>
      </x:c>
      <x:c r="Z8" s="68" t="str">
        <x:v>调候五行无根、受强制、被合绊、改性或加入后产生新的寒热燥湿问题</x:v>
      </x:c>
      <x:c r="AA8" s="90" t="str">
        <x:v>不得只凭出生月份或某一五行数量直接下最终调候结论</x:v>
      </x:c>
      <x:c r="AB8" s="68" t="str">
        <x:v>特殊格局、核心格局用神或更高优先级病药约束转M16—M18裁决</x:v>
      </x:c>
      <x:c r="AC8" s="84" t="str">
        <x:v>月令气候基准</x:v>
      </x:c>
      <x:c r="AD8" s="84" t="str">
        <x:v>月令只提供气候基准而非最终结论：温度轴判“待定”，湿度轴判“待定”；调候候选为“待定”，是否成为最终用神仍转M16—M18。</x:v>
      </x:c>
      <x:c r="AE8" s="82" t="str">
        <x:v>较高</x:v>
      </x:c>
      <x:c r="AF8" s="82" t="str">
        <x:v>调候</x:v>
      </x:c>
      <x:c r="AG8" s="68" t="str">
        <x:v>调候以月令气候为起点，但必须结合M08五行有效力量与M12流通状态修正；寒暖与燥湿分轴判断，调候候选不自动等于全局主用神。</x:v>
      </x:c>
      <x:c r="AH8" s="68" t="str">
        <x:v>当“月令季节倾向与全局有效火水土势可能一致或相反”真实成立，且调候机制能改善主要气候问题时，可按“月令只提供气候基准而非最终结论”记录。</x:v>
      </x:c>
      <x:c r="AI8" s="90" t="str">
        <x:v>仅见月份或表面五行标签，但未满足“月令季节倾向与全局有效火水土势可能一致或相反”及必要修正条件时，不得套用“月令只提供气候基准而非最终结论”。</x:v>
      </x:c>
      <x:c r="AJ8" s="82" t="str">
        <x:v>采用</x:v>
      </x:c>
      <x:c r="AK8" s="82" t="str">
        <x:v>初审</x:v>
      </x:c>
      <x:c r="AL8" s="87" t="n">
        <x:v>46255</x:v>
      </x:c>
    </x:row>
    <x:row r="9">
      <x:c r="A9" s="72" t="str">
        <x:f>IF(OR(C9="",D9=""),"",B9&amp;"-"&amp;UPPER(C9)&amp;"-"&amp;TEXT(D9,"0000")&amp;"-"&amp;E9)</x:f>
        <x:v>M13-GEN-0003-V1.0</x:v>
      </x:c>
      <x:c r="B9" s="74" t="str">
        <x:v>M13</x:v>
      </x:c>
      <x:c r="C9" s="74" t="str">
        <x:v>GEN</x:v>
      </x:c>
      <x:c r="D9" s="215" t="n">
        <x:v>3</x:v>
      </x:c>
      <x:c r="E9" s="74" t="str">
        <x:v>V1.0</x:v>
      </x:c>
      <x:c r="F9" s="68" t="str">
        <x:v>寒暖采用极寒至极热五级制</x:v>
      </x:c>
      <x:c r="G9" s="82" t="str">
        <x:v>结构层</x:v>
      </x:c>
      <x:c r="H9" s="82" t="str">
        <x:v>寒暖轴</x:v>
      </x:c>
      <x:c r="I9" s="68" t="str">
        <x:v>通用</x:v>
      </x:c>
      <x:c r="J9" s="68" t="str">
        <x:v>完成月令与全局火水修正</x:v>
      </x:c>
      <x:c r="K9" s="68" t="str">
        <x:v>待定</x:v>
      </x:c>
      <x:c r="L9" s="68" t="str">
        <x:v>待定</x:v>
      </x:c>
      <x:c r="M9" s="82" t="str">
        <x:v>待定</x:v>
      </x:c>
      <x:c r="N9" s="82" t="str">
        <x:v>待定</x:v>
      </x:c>
      <x:c r="O9" s="68" t="str">
        <x:v>温度状态需要标准化</x:v>
      </x:c>
      <x:c r="P9" s="68" t="str">
        <x:v>待定</x:v>
      </x:c>
      <x:c r="Q9" s="68" t="str">
        <x:v>输出极寒/偏寒/平衡/偏暖/极热</x:v>
      </x:c>
      <x:c r="R9" s="82" t="str">
        <x:v>待定</x:v>
      </x:c>
      <x:c r="S9" s="82" t="str">
        <x:v>待定</x:v>
      </x:c>
      <x:c r="T9" s="82" t="str">
        <x:v>待定</x:v>
      </x:c>
      <x:c r="U9" s="82" t="str">
        <x:v>待定</x:v>
      </x:c>
      <x:c r="V9" s="82" t="str">
        <x:v>待定</x:v>
      </x:c>
      <x:c r="W9" s="68" t="str">
        <x:v>M02基础映射、M08五行有效旺衰、M12流通卡点已完成</x:v>
      </x:c>
      <x:c r="X9" s="68" t="str">
        <x:v>月令基准与全局有效五行均已核查</x:v>
      </x:c>
      <x:c r="Y9" s="68" t="str">
        <x:v>相关调候五行有根有源、透达且能真实改善关键气候问题</x:v>
      </x:c>
      <x:c r="Z9" s="68" t="str">
        <x:v>调候五行无根、受强制、被合绊、改性或加入后产生新的寒热燥湿问题</x:v>
      </x:c>
      <x:c r="AA9" s="90" t="str">
        <x:v>不得只凭出生月份或某一五行数量直接下最终调候结论</x:v>
      </x:c>
      <x:c r="AB9" s="68" t="str">
        <x:v>特殊格局、核心格局用神或更高优先级病药约束转M16—M18裁决</x:v>
      </x:c>
      <x:c r="AC9" s="84" t="str">
        <x:v>温度五级制</x:v>
      </x:c>
      <x:c r="AD9" s="84" t="str">
        <x:v>寒暖采用极寒至极热五级制：温度轴判“待定”，湿度轴判“待定”；调候候选为“待定”，是否成为最终用神仍转M16—M18。</x:v>
      </x:c>
      <x:c r="AE9" s="82" t="str">
        <x:v>较高</x:v>
      </x:c>
      <x:c r="AF9" s="82" t="str">
        <x:v>调候</x:v>
      </x:c>
      <x:c r="AG9" s="68" t="str">
        <x:v>调候以月令气候为起点，但必须结合M08五行有效力量与M12流通状态修正；寒暖与燥湿分轴判断，调候候选不自动等于全局主用神。</x:v>
      </x:c>
      <x:c r="AH9" s="68" t="str">
        <x:v>当“完成月令与全局火水修正”真实成立，且调候机制能改善主要气候问题时，可按“寒暖采用极寒至极热五级制”记录。</x:v>
      </x:c>
      <x:c r="AI9" s="90" t="str">
        <x:v>仅见月份或表面五行标签，但未满足“完成月令与全局火水修正”及必要修正条件时，不得套用“寒暖采用极寒至极热五级制”。</x:v>
      </x:c>
      <x:c r="AJ9" s="82" t="str">
        <x:v>采用</x:v>
      </x:c>
      <x:c r="AK9" s="82" t="str">
        <x:v>初审</x:v>
      </x:c>
      <x:c r="AL9" s="87" t="n">
        <x:v>46255</x:v>
      </x:c>
    </x:row>
    <x:row r="10">
      <x:c r="A10" s="72" t="str">
        <x:f>IF(OR(C10="",D10=""),"",B10&amp;"-"&amp;UPPER(C10)&amp;"-"&amp;TEXT(D10,"0000")&amp;"-"&amp;E10)</x:f>
        <x:v>M13-GEN-0004-V1.0</x:v>
      </x:c>
      <x:c r="B10" s="74" t="str">
        <x:v>M13</x:v>
      </x:c>
      <x:c r="C10" s="74" t="str">
        <x:v>GEN</x:v>
      </x:c>
      <x:c r="D10" s="215" t="n">
        <x:v>4</x:v>
      </x:c>
      <x:c r="E10" s="74" t="str">
        <x:v>V1.0</x:v>
      </x:c>
      <x:c r="F10" s="68" t="str">
        <x:v>燥湿采用极湿至极燥五级制</x:v>
      </x:c>
      <x:c r="G10" s="82" t="str">
        <x:v>结构层</x:v>
      </x:c>
      <x:c r="H10" s="82" t="str">
        <x:v>燥湿轴</x:v>
      </x:c>
      <x:c r="I10" s="68" t="str">
        <x:v>通用</x:v>
      </x:c>
      <x:c r="J10" s="68" t="str">
        <x:v>完成月令、土性、水势与火势修正</x:v>
      </x:c>
      <x:c r="K10" s="68" t="str">
        <x:v>待定</x:v>
      </x:c>
      <x:c r="L10" s="68" t="str">
        <x:v>待定</x:v>
      </x:c>
      <x:c r="M10" s="82" t="str">
        <x:v>待定</x:v>
      </x:c>
      <x:c r="N10" s="82" t="str">
        <x:v>待定</x:v>
      </x:c>
      <x:c r="O10" s="68" t="str">
        <x:v>湿度状态需要标准化</x:v>
      </x:c>
      <x:c r="P10" s="68" t="str">
        <x:v>待定</x:v>
      </x:c>
      <x:c r="Q10" s="68" t="str">
        <x:v>输出极湿/偏湿/平衡/偏燥/极燥</x:v>
      </x:c>
      <x:c r="R10" s="82" t="str">
        <x:v>待定</x:v>
      </x:c>
      <x:c r="S10" s="82" t="str">
        <x:v>待定</x:v>
      </x:c>
      <x:c r="T10" s="82" t="str">
        <x:v>待定</x:v>
      </x:c>
      <x:c r="U10" s="82" t="str">
        <x:v>待定</x:v>
      </x:c>
      <x:c r="V10" s="82" t="str">
        <x:v>待定</x:v>
      </x:c>
      <x:c r="W10" s="68" t="str">
        <x:v>M02基础映射、M08五行有效旺衰、M12流通卡点已完成</x:v>
      </x:c>
      <x:c r="X10" s="68" t="str">
        <x:v>月令基准与全局有效五行均已核查</x:v>
      </x:c>
      <x:c r="Y10" s="68" t="str">
        <x:v>相关调候五行有根有源、透达且能真实改善关键气候问题</x:v>
      </x:c>
      <x:c r="Z10" s="68" t="str">
        <x:v>调候五行无根、受强制、被合绊、改性或加入后产生新的寒热燥湿问题</x:v>
      </x:c>
      <x:c r="AA10" s="90" t="str">
        <x:v>不得只凭出生月份或某一五行数量直接下最终调候结论</x:v>
      </x:c>
      <x:c r="AB10" s="68" t="str">
        <x:v>特殊格局、核心格局用神或更高优先级病药约束转M16—M18裁决</x:v>
      </x:c>
      <x:c r="AC10" s="84" t="str">
        <x:v>湿度五级制</x:v>
      </x:c>
      <x:c r="AD10" s="84" t="str">
        <x:v>燥湿采用极湿至极燥五级制：温度轴判“待定”，湿度轴判“待定”；调候候选为“待定”，是否成为最终用神仍转M16—M18。</x:v>
      </x:c>
      <x:c r="AE10" s="82" t="str">
        <x:v>较高</x:v>
      </x:c>
      <x:c r="AF10" s="82" t="str">
        <x:v>调候</x:v>
      </x:c>
      <x:c r="AG10" s="68" t="str">
        <x:v>调候以月令气候为起点，但必须结合M08五行有效力量与M12流通状态修正；寒暖与燥湿分轴判断，调候候选不自动等于全局主用神。</x:v>
      </x:c>
      <x:c r="AH10" s="68" t="str">
        <x:v>当“完成月令、土性、水势与火势修正”真实成立，且调候机制能改善主要气候问题时，可按“燥湿采用极湿至极燥五级制”记录。</x:v>
      </x:c>
      <x:c r="AI10" s="90" t="str">
        <x:v>仅见月份或表面五行标签，但未满足“完成月令、土性、水势与火势修正”及必要修正条件时，不得套用“燥湿采用极湿至极燥五级制”。</x:v>
      </x:c>
      <x:c r="AJ10" s="82" t="str">
        <x:v>采用</x:v>
      </x:c>
      <x:c r="AK10" s="82" t="str">
        <x:v>初审</x:v>
      </x:c>
      <x:c r="AL10" s="87" t="n">
        <x:v>46255</x:v>
      </x:c>
    </x:row>
    <x:row r="11">
      <x:c r="A11" s="72" t="str">
        <x:f>IF(OR(C11="",D11=""),"",B11&amp;"-"&amp;UPPER(C11)&amp;"-"&amp;TEXT(D11,"0000")&amp;"-"&amp;E11)</x:f>
        <x:v>M13-GEN-0005-V1.0</x:v>
      </x:c>
      <x:c r="B11" s="74" t="str">
        <x:v>M13</x:v>
      </x:c>
      <x:c r="C11" s="74" t="str">
        <x:v>GEN</x:v>
      </x:c>
      <x:c r="D11" s="215" t="n">
        <x:v>5</x:v>
      </x:c>
      <x:c r="E11" s="74" t="str">
        <x:v>V1.0</x:v>
      </x:c>
      <x:c r="F11" s="68" t="str">
        <x:v>调候判断只读取有效五行而非名义存在</x:v>
      </x:c>
      <x:c r="G11" s="82" t="str">
        <x:v>结构层</x:v>
      </x:c>
      <x:c r="H11" s="82" t="str">
        <x:v>寒暖燥湿综合</x:v>
      </x:c>
      <x:c r="I11" s="68" t="str">
        <x:v>通用</x:v>
      </x:c>
      <x:c r="J11" s="68" t="str">
        <x:v>某火、水或土虽在原局出现但M08已判受限、失效或改性</x:v>
      </x:c>
      <x:c r="K11" s="68" t="str">
        <x:v>待定</x:v>
      </x:c>
      <x:c r="L11" s="68" t="str">
        <x:v>待定</x:v>
      </x:c>
      <x:c r="M11" s="82" t="str">
        <x:v>待定</x:v>
      </x:c>
      <x:c r="N11" s="82" t="str">
        <x:v>待定</x:v>
      </x:c>
      <x:c r="O11" s="68" t="str">
        <x:v>名义调候元素不能承担真实调候</x:v>
      </x:c>
      <x:c r="P11" s="68" t="str">
        <x:v>待定</x:v>
      </x:c>
      <x:c r="Q11" s="68" t="str">
        <x:v>按M08有效性重新评价</x:v>
      </x:c>
      <x:c r="R11" s="82" t="str">
        <x:v>待定</x:v>
      </x:c>
      <x:c r="S11" s="82" t="str">
        <x:v>待定</x:v>
      </x:c>
      <x:c r="T11" s="82" t="str">
        <x:v>待定</x:v>
      </x:c>
      <x:c r="U11" s="82" t="str">
        <x:v>待定</x:v>
      </x:c>
      <x:c r="V11" s="82" t="str">
        <x:v>待定</x:v>
      </x:c>
      <x:c r="W11" s="68" t="str">
        <x:v>M02基础映射、M08五行有效旺衰、M12流通卡点已完成</x:v>
      </x:c>
      <x:c r="X11" s="68" t="str">
        <x:v>月令基准与全局有效五行均已核查</x:v>
      </x:c>
      <x:c r="Y11" s="68" t="str">
        <x:v>相关调候五行有根有源、透达且能真实改善关键气候问题</x:v>
      </x:c>
      <x:c r="Z11" s="68" t="str">
        <x:v>调候五行无根、受强制、被合绊、改性或加入后产生新的寒热燥湿问题</x:v>
      </x:c>
      <x:c r="AA11" s="90" t="str">
        <x:v>不得只凭出生月份或某一五行数量直接下最终调候结论</x:v>
      </x:c>
      <x:c r="AB11" s="68" t="str">
        <x:v>特殊格局、核心格局用神或更高优先级病药约束转M16—M18裁决</x:v>
      </x:c>
      <x:c r="AC11" s="84" t="str">
        <x:v>调候有效力量优先</x:v>
      </x:c>
      <x:c r="AD11" s="84" t="str">
        <x:v>调候判断只读取有效五行而非名义存在：温度轴判“待定”，湿度轴判“待定”；调候候选为“待定”，是否成为最终用神仍转M16—M18。</x:v>
      </x:c>
      <x:c r="AE11" s="82" t="str">
        <x:v>较高</x:v>
      </x:c>
      <x:c r="AF11" s="82" t="str">
        <x:v>调候</x:v>
      </x:c>
      <x:c r="AG11" s="68" t="str">
        <x:v>调候以月令气候为起点，但必须结合M08五行有效力量与M12流通状态修正；寒暖与燥湿分轴判断，调候候选不自动等于全局主用神。</x:v>
      </x:c>
      <x:c r="AH11" s="68" t="str">
        <x:v>当“某火、水或土虽在原局出现但M08已判受限、失效或改性”真实成立，且调候机制能改善主要气候问题时，可按“调候判断只读取有效五行而非名义存在”记录。</x:v>
      </x:c>
      <x:c r="AI11" s="90" t="str">
        <x:v>仅见月份或表面五行标签，但未满足“某火、水或土虽在原局出现但M08已判受限、失效或改性”及必要修正条件时，不得套用“调候判断只读取有效五行而非名义存在”。</x:v>
      </x:c>
      <x:c r="AJ11" s="82" t="str">
        <x:v>采用</x:v>
      </x:c>
      <x:c r="AK11" s="82" t="str">
        <x:v>初审</x:v>
      </x:c>
      <x:c r="AL11" s="87" t="n">
        <x:v>46255</x:v>
      </x:c>
    </x:row>
    <x:row r="12">
      <x:c r="A12" s="72" t="str">
        <x:f>IF(OR(C12="",D12=""),"",B12&amp;"-"&amp;UPPER(C12)&amp;"-"&amp;TEXT(D12,"0000")&amp;"-"&amp;E12)</x:f>
        <x:v>M13-GEN-0006-V1.0</x:v>
      </x:c>
      <x:c r="B12" s="74" t="str">
        <x:v>M13</x:v>
      </x:c>
      <x:c r="C12" s="74" t="str">
        <x:v>GEN</x:v>
      </x:c>
      <x:c r="D12" s="215" t="n">
        <x:v>6</x:v>
      </x:c>
      <x:c r="E12" s="74" t="str">
        <x:v>V1.0</x:v>
      </x:c>
      <x:c r="F12" s="68" t="str">
        <x:v>气候平衡不等于五行力量平衡</x:v>
      </x:c>
      <x:c r="G12" s="82" t="str">
        <x:v>结构层</x:v>
      </x:c>
      <x:c r="H12" s="82" t="str">
        <x:v>寒暖燥湿综合</x:v>
      </x:c>
      <x:c r="I12" s="68" t="str">
        <x:v>通用</x:v>
      </x:c>
      <x:c r="J12" s="68" t="str">
        <x:v>寒暖燥湿适中，但日主或某五行仍明显偏旺偏弱</x:v>
      </x:c>
      <x:c r="K12" s="68" t="str">
        <x:v>待定</x:v>
      </x:c>
      <x:c r="L12" s="68" t="str">
        <x:v>待定</x:v>
      </x:c>
      <x:c r="M12" s="82" t="str">
        <x:v>平衡</x:v>
      </x:c>
      <x:c r="N12" s="82" t="str">
        <x:v>平衡</x:v>
      </x:c>
      <x:c r="O12" s="68" t="str">
        <x:v>调候与扶抑属于不同问题</x:v>
      </x:c>
      <x:c r="P12" s="68" t="str">
        <x:v>待定</x:v>
      </x:c>
      <x:c r="Q12" s="68" t="str">
        <x:v>调候不介入非气候性旺衰问题</x:v>
      </x:c>
      <x:c r="R12" s="82" t="str">
        <x:v>待定</x:v>
      </x:c>
      <x:c r="S12" s="82" t="str">
        <x:v>待定</x:v>
      </x:c>
      <x:c r="T12" s="82" t="str">
        <x:v>待定</x:v>
      </x:c>
      <x:c r="U12" s="82" t="str">
        <x:v>待定</x:v>
      </x:c>
      <x:c r="V12" s="82" t="str">
        <x:v>待定</x:v>
      </x:c>
      <x:c r="W12" s="68" t="str">
        <x:v>M02基础映射、M08五行有效旺衰、M12流通卡点已完成</x:v>
      </x:c>
      <x:c r="X12" s="68" t="str">
        <x:v>月令基准与全局有效五行均已核查</x:v>
      </x:c>
      <x:c r="Y12" s="68" t="str">
        <x:v>相关调候五行有根有源、透达且能真实改善关键气候问题</x:v>
      </x:c>
      <x:c r="Z12" s="68" t="str">
        <x:v>调候五行无根、受强制、被合绊、改性或加入后产生新的寒热燥湿问题</x:v>
      </x:c>
      <x:c r="AA12" s="90" t="str">
        <x:v>不得只凭出生月份或某一五行数量直接下最终调候结论</x:v>
      </x:c>
      <x:c r="AB12" s="68" t="str">
        <x:v>特殊格局、核心格局用神或更高优先级病药约束转M16—M18裁决</x:v>
      </x:c>
      <x:c r="AC12" s="84" t="str">
        <x:v>调候扶抑分离</x:v>
      </x:c>
      <x:c r="AD12" s="84" t="str">
        <x:v>气候平衡不等于五行力量平衡：温度轴判“平衡”，湿度轴判“平衡”；调候候选为“待定”，是否成为最终用神仍转M16—M18。</x:v>
      </x:c>
      <x:c r="AE12" s="82" t="str">
        <x:v>较高</x:v>
      </x:c>
      <x:c r="AF12" s="82" t="str">
        <x:v>调候</x:v>
      </x:c>
      <x:c r="AG12" s="68" t="str">
        <x:v>调候以月令气候为起点，但必须结合M08五行有效力量与M12流通状态修正；寒暖与燥湿分轴判断，调候候选不自动等于全局主用神。</x:v>
      </x:c>
      <x:c r="AH12" s="68" t="str">
        <x:v>当“寒暖燥湿适中，但日主或某五行仍明显偏旺偏弱”真实成立，且调候机制能改善主要气候问题时，可按“气候平衡不等于五行力量平衡”记录。</x:v>
      </x:c>
      <x:c r="AI12" s="90" t="str">
        <x:v>仅见月份或表面五行标签，但未满足“寒暖燥湿适中，但日主或某五行仍明显偏旺偏弱”及必要修正条件时，不得套用“气候平衡不等于五行力量平衡”。</x:v>
      </x:c>
      <x:c r="AJ12" s="82" t="str">
        <x:v>采用</x:v>
      </x:c>
      <x:c r="AK12" s="82" t="str">
        <x:v>初审</x:v>
      </x:c>
      <x:c r="AL12" s="87" t="n">
        <x:v>46255</x:v>
      </x:c>
    </x:row>
    <x:row r="13">
      <x:c r="A13" s="72" t="str">
        <x:f>IF(OR(C13="",D13=""),"",B13&amp;"-"&amp;UPPER(C13)&amp;"-"&amp;TEXT(D13,"0000")&amp;"-"&amp;E13)</x:f>
        <x:v>M13-GEN-0007-V1.0</x:v>
      </x:c>
      <x:c r="B13" s="74" t="str">
        <x:v>M13</x:v>
      </x:c>
      <x:c r="C13" s="74" t="str">
        <x:v>GEN</x:v>
      </x:c>
      <x:c r="D13" s="215" t="n">
        <x:v>7</x:v>
      </x:c>
      <x:c r="E13" s="74" t="str">
        <x:v>V1.0</x:v>
      </x:c>
      <x:c r="F13" s="68" t="str">
        <x:v>调候候选不等于主用神</x:v>
      </x:c>
      <x:c r="G13" s="82" t="str">
        <x:v>结构层</x:v>
      </x:c>
      <x:c r="H13" s="82" t="str">
        <x:v>寒暖燥湿综合</x:v>
      </x:c>
      <x:c r="I13" s="68" t="str">
        <x:v>通用</x:v>
      </x:c>
      <x:c r="J13" s="68" t="str">
        <x:v>某五行能改善寒暖燥湿，但可能破坏格局、加重日主失衡或制造新病</x:v>
      </x:c>
      <x:c r="K13" s="68" t="str">
        <x:v>待定</x:v>
      </x:c>
      <x:c r="L13" s="68" t="str">
        <x:v>待定</x:v>
      </x:c>
      <x:c r="M13" s="82" t="str">
        <x:v>待定</x:v>
      </x:c>
      <x:c r="N13" s="82" t="str">
        <x:v>待定</x:v>
      </x:c>
      <x:c r="O13" s="68" t="str">
        <x:v>调候收益与结构副作用并存</x:v>
      </x:c>
      <x:c r="P13" s="68" t="str">
        <x:v>待定</x:v>
      </x:c>
      <x:c r="Q13" s="68" t="str">
        <x:v>生成调候候选并转M17/M18</x:v>
      </x:c>
      <x:c r="R13" s="82" t="str">
        <x:v>待定</x:v>
      </x:c>
      <x:c r="S13" s="82" t="str">
        <x:v>待定</x:v>
      </x:c>
      <x:c r="T13" s="82" t="str">
        <x:v>待定</x:v>
      </x:c>
      <x:c r="U13" s="82" t="str">
        <x:v>待定</x:v>
      </x:c>
      <x:c r="V13" s="82" t="str">
        <x:v>待定</x:v>
      </x:c>
      <x:c r="W13" s="68" t="str">
        <x:v>M02基础映射、M08五行有效旺衰、M12流通卡点已完成</x:v>
      </x:c>
      <x:c r="X13" s="68" t="str">
        <x:v>月令基准与全局有效五行均已核查</x:v>
      </x:c>
      <x:c r="Y13" s="68" t="str">
        <x:v>相关调候五行有根有源、透达且能真实改善关键气候问题</x:v>
      </x:c>
      <x:c r="Z13" s="68" t="str">
        <x:v>调候五行无根、受强制、被合绊、改性或加入后产生新的寒热燥湿问题</x:v>
      </x:c>
      <x:c r="AA13" s="90" t="str">
        <x:v>不得只凭出生月份或某一五行数量直接下最终调候结论</x:v>
      </x:c>
      <x:c r="AB13" s="68" t="str">
        <x:v>特殊格局、核心格局用神或更高优先级病药约束转M16—M18裁决</x:v>
      </x:c>
      <x:c r="AC13" s="84" t="str">
        <x:v>调候候选与用神分离</x:v>
      </x:c>
      <x:c r="AD13" s="84" t="str">
        <x:v>调候候选不等于主用神：温度轴判“待定”，湿度轴判“待定”；调候候选为“待定”，是否成为最终用神仍转M16—M18。</x:v>
      </x:c>
      <x:c r="AE13" s="82" t="str">
        <x:v>较高</x:v>
      </x:c>
      <x:c r="AF13" s="82" t="str">
        <x:v>调候</x:v>
      </x:c>
      <x:c r="AG13" s="68" t="str">
        <x:v>调候以月令气候为起点，但必须结合M08五行有效力量与M12流通状态修正；寒暖与燥湿分轴判断，调候候选不自动等于全局主用神。</x:v>
      </x:c>
      <x:c r="AH13" s="68" t="str">
        <x:v>当“某五行能改善寒暖燥湿，但可能破坏格局、加重日主失衡或制造新病”真实成立，且调候机制能改善主要气候问题时，可按“调候候选不等于主用神”记录。</x:v>
      </x:c>
      <x:c r="AI13" s="90" t="str">
        <x:v>仅见月份或表面五行标签，但未满足“某五行能改善寒暖燥湿，但可能破坏格局、加重日主失衡或制造新病”及必要修正条件时，不得套用“调候候选不等于主用神”。</x:v>
      </x:c>
      <x:c r="AJ13" s="82" t="str">
        <x:v>采用</x:v>
      </x:c>
      <x:c r="AK13" s="82" t="str">
        <x:v>初审</x:v>
      </x:c>
      <x:c r="AL13" s="87" t="n">
        <x:v>46255</x:v>
      </x:c>
    </x:row>
    <x:row r="14">
      <x:c r="A14" s="72" t="str">
        <x:f>IF(OR(C14="",D14=""),"",B14&amp;"-"&amp;UPPER(C14)&amp;"-"&amp;TEXT(D14,"0000")&amp;"-"&amp;E14)</x:f>
        <x:v>M13-GEN-0008-V1.0</x:v>
      </x:c>
      <x:c r="B14" s="74" t="str">
        <x:v>M13</x:v>
      </x:c>
      <x:c r="C14" s="74" t="str">
        <x:v>GEN</x:v>
      </x:c>
      <x:c r="D14" s="215" t="n">
        <x:v>8</x:v>
      </x:c>
      <x:c r="E14" s="74" t="str">
        <x:v>V1.0</x:v>
      </x:c>
      <x:c r="F14" s="68" t="str">
        <x:v>极端气候达到功能阻断时调候优先级上升</x:v>
      </x:c>
      <x:c r="G14" s="82" t="str">
        <x:v>结构层</x:v>
      </x:c>
      <x:c r="H14" s="82" t="str">
        <x:v>寒暖燥湿综合</x:v>
      </x:c>
      <x:c r="I14" s="68" t="str">
        <x:v>通用</x:v>
      </x:c>
      <x:c r="J14" s="68" t="str">
        <x:v>极寒、极热、极湿或极燥已明显导致M12主路径寒凝、燥枯或失去生化</x:v>
      </x:c>
      <x:c r="K14" s="68" t="str">
        <x:v>待定</x:v>
      </x:c>
      <x:c r="L14" s="68" t="str">
        <x:v>待定</x:v>
      </x:c>
      <x:c r="M14" s="82" t="str">
        <x:v>待定</x:v>
      </x:c>
      <x:c r="N14" s="82" t="str">
        <x:v>待定</x:v>
      </x:c>
      <x:c r="O14" s="68" t="str">
        <x:v>气候问题成为全局功能瓶颈</x:v>
      </x:c>
      <x:c r="P14" s="68" t="str">
        <x:v>待定</x:v>
      </x:c>
      <x:c r="Q14" s="68" t="str">
        <x:v>优先恢复基本生化条件</x:v>
      </x:c>
      <x:c r="R14" s="82" t="str">
        <x:v>待定</x:v>
      </x:c>
      <x:c r="S14" s="82" t="str">
        <x:v>待定</x:v>
      </x:c>
      <x:c r="T14" s="82" t="str">
        <x:v>首要</x:v>
      </x:c>
      <x:c r="U14" s="82" t="str">
        <x:v>待定</x:v>
      </x:c>
      <x:c r="V14" s="82" t="str">
        <x:v>待定</x:v>
      </x:c>
      <x:c r="W14" s="68" t="str">
        <x:v>M02基础映射、M08五行有效旺衰、M12流通卡点已完成</x:v>
      </x:c>
      <x:c r="X14" s="68" t="str">
        <x:v>月令基准与全局有效五行均已核查</x:v>
      </x:c>
      <x:c r="Y14" s="68" t="str">
        <x:v>相关调候五行有根有源、透达且能真实改善关键气候问题</x:v>
      </x:c>
      <x:c r="Z14" s="68" t="str">
        <x:v>调候五行无根、受强制、被合绊、改性或加入后产生新的寒热燥湿问题</x:v>
      </x:c>
      <x:c r="AA14" s="90" t="str">
        <x:v>不得只凭出生月份或某一五行数量直接下最终调候结论</x:v>
      </x:c>
      <x:c r="AB14" s="68" t="str">
        <x:v>特殊格局、核心格局用神或更高优先级病药约束转M16—M18裁决</x:v>
      </x:c>
      <x:c r="AC14" s="84" t="str">
        <x:v>极端调候优先级</x:v>
      </x:c>
      <x:c r="AD14" s="84" t="str">
        <x:v>极端气候达到功能阻断时调候优先级上升：温度轴判“待定”，湿度轴判“待定”；调候候选为“待定”，是否成为最终用神仍转M16—M18。</x:v>
      </x:c>
      <x:c r="AE14" s="82" t="str">
        <x:v>较高</x:v>
      </x:c>
      <x:c r="AF14" s="82" t="str">
        <x:v>调候</x:v>
      </x:c>
      <x:c r="AG14" s="68" t="str">
        <x:v>调候以月令气候为起点，但必须结合M08五行有效力量与M12流通状态修正；寒暖与燥湿分轴判断，调候候选不自动等于全局主用神。</x:v>
      </x:c>
      <x:c r="AH14" s="68" t="str">
        <x:v>当“极寒、极热、极湿或极燥已明显导致M12主路径寒凝、燥枯或失去生化”真实成立，且调候机制能改善主要气候问题时，可按“极端气候达到功能阻断时调候优先级上升”记录。</x:v>
      </x:c>
      <x:c r="AI14" s="90" t="str">
        <x:v>仅见月份或表面五行标签，但未满足“极寒、极热、极湿或极燥已明显导致M12主路径寒凝、燥枯或失去生化”及必要修正条件时，不得套用“极端气候达到功能阻断时调候优先级上升”。</x:v>
      </x:c>
      <x:c r="AJ14" s="82" t="str">
        <x:v>采用</x:v>
      </x:c>
      <x:c r="AK14" s="82" t="str">
        <x:v>初审</x:v>
      </x:c>
      <x:c r="AL14" s="87" t="n">
        <x:v>46255</x:v>
      </x:c>
    </x:row>
    <x:row r="15">
      <x:c r="A15" s="72" t="str">
        <x:f>IF(OR(C15="",D15=""),"",B15&amp;"-"&amp;UPPER(C15)&amp;"-"&amp;TEXT(D15,"0000")&amp;"-"&amp;E15)</x:f>
        <x:v>M13-SEASON-0009-V1.0</x:v>
      </x:c>
      <x:c r="B15" s="74" t="str">
        <x:v>M13</x:v>
      </x:c>
      <x:c r="C15" s="74" t="str">
        <x:v>SEASON</x:v>
      </x:c>
      <x:c r="D15" s="215" t="n">
        <x:v>9</x:v>
      </x:c>
      <x:c r="E15" s="74" t="str">
        <x:v>V1.0</x:v>
      </x:c>
      <x:c r="F15" s="68" t="str">
        <x:v>寅月气候基准</x:v>
      </x:c>
      <x:c r="G15" s="82" t="str">
        <x:v>结构层</x:v>
      </x:c>
      <x:c r="H15" s="82" t="str">
        <x:v>寒暖燥湿综合</x:v>
      </x:c>
      <x:c r="I15" s="68" t="str">
        <x:v>寅月</x:v>
      </x:c>
      <x:c r="J15" s="68" t="str">
        <x:v>初春木旺，寒气未尽</x:v>
      </x:c>
      <x:c r="K15" s="68" t="str">
        <x:v>月令基准</x:v>
      </x:c>
      <x:c r="L15" s="68" t="str">
        <x:v>月令基准</x:v>
      </x:c>
      <x:c r="M15" s="82" t="str">
        <x:v>偏暖</x:v>
      </x:c>
      <x:c r="N15" s="82" t="str">
        <x:v>平衡</x:v>
      </x:c>
      <x:c r="O15" s="68" t="str">
        <x:v>木气初升但余寒仍可能存在</x:v>
      </x:c>
      <x:c r="P15" s="68" t="str">
        <x:v>火</x:v>
      </x:c>
      <x:c r="Q15" s="68" t="str">
        <x:v>暖木助生发</x:v>
      </x:c>
      <x:c r="R15" s="82" t="str">
        <x:v>条件性</x:v>
      </x:c>
      <x:c r="S15" s="82" t="str">
        <x:v>待定</x:v>
      </x:c>
      <x:c r="T15" s="82" t="str">
        <x:v>待定</x:v>
      </x:c>
      <x:c r="U15" s="82" t="str">
        <x:v>待定</x:v>
      </x:c>
      <x:c r="V15" s="82" t="str">
        <x:v>待定</x:v>
      </x:c>
      <x:c r="W15" s="68" t="str">
        <x:v>M02基础映射、M08五行有效旺衰、M12流通卡点已完成</x:v>
      </x:c>
      <x:c r="X15" s="68" t="str">
        <x:v>月令基准与全局有效五行均已核查</x:v>
      </x:c>
      <x:c r="Y15" s="68" t="str">
        <x:v>相关调候五行有根有源、透达且能真实改善关键气候问题</x:v>
      </x:c>
      <x:c r="Z15" s="68" t="str">
        <x:v>调候五行无根、受强制、被合绊、改性或加入后产生新的寒热燥湿问题</x:v>
      </x:c>
      <x:c r="AA15" s="90" t="str">
        <x:v>月令仅提供初始倾向，必须结合全局火水燥湿土与合化成势修正</x:v>
      </x:c>
      <x:c r="AB15" s="68" t="str">
        <x:v>特殊格局、核心格局用神或更高优先级病药约束转M16—M18裁决</x:v>
      </x:c>
      <x:c r="AC15" s="84" t="str">
        <x:v>寅月_气候基准</x:v>
      </x:c>
      <x:c r="AD15" s="84" t="str">
        <x:v>寅月气候基准：温度轴判“偏暖”，湿度轴判“平衡”；调候候选为“火”，是否成为最终用神仍转M16—M18。</x:v>
      </x:c>
      <x:c r="AE15" s="82" t="str">
        <x:v>中等</x:v>
      </x:c>
      <x:c r="AF15" s="82" t="str">
        <x:v>调候</x:v>
      </x:c>
      <x:c r="AG15" s="68" t="str">
        <x:v>调候以月令气候为起点，但必须结合M08五行有效力量与M12流通状态修正；寒暖与燥湿分轴判断，调候候选不自动等于全局主用神。</x:v>
      </x:c>
      <x:c r="AH15" s="68" t="str">
        <x:v>当“初春木旺，寒气未尽”真实成立，且调候机制能改善主要气候问题时，可按“寅月气候基准”记录。</x:v>
      </x:c>
      <x:c r="AI15" s="90" t="str">
        <x:v>仅见月份或表面五行标签，但未满足“初春木旺，寒气未尽”及必要修正条件时，不得套用“寅月气候基准”。</x:v>
      </x:c>
      <x:c r="AJ15" s="82" t="str">
        <x:v>采用</x:v>
      </x:c>
      <x:c r="AK15" s="82" t="str">
        <x:v>初审</x:v>
      </x:c>
      <x:c r="AL15" s="87" t="n">
        <x:v>46255</x:v>
      </x:c>
    </x:row>
    <x:row r="16">
      <x:c r="A16" s="72" t="str">
        <x:f>IF(OR(C16="",D16=""),"",B16&amp;"-"&amp;UPPER(C16)&amp;"-"&amp;TEXT(D16,"0000")&amp;"-"&amp;E16)</x:f>
        <x:v>M13-SEASON-0010-V1.0</x:v>
      </x:c>
      <x:c r="B16" s="74" t="str">
        <x:v>M13</x:v>
      </x:c>
      <x:c r="C16" s="74" t="str">
        <x:v>SEASON</x:v>
      </x:c>
      <x:c r="D16" s="215" t="n">
        <x:v>10</x:v>
      </x:c>
      <x:c r="E16" s="74" t="str">
        <x:v>V1.0</x:v>
      </x:c>
      <x:c r="F16" s="68" t="str">
        <x:v>卯月气候基准</x:v>
      </x:c>
      <x:c r="G16" s="82" t="str">
        <x:v>结构层</x:v>
      </x:c>
      <x:c r="H16" s="82" t="str">
        <x:v>寒暖燥湿综合</x:v>
      </x:c>
      <x:c r="I16" s="68" t="str">
        <x:v>卯月</x:v>
      </x:c>
      <x:c r="J16" s="68" t="str">
        <x:v>仲春木旺，气温上升</x:v>
      </x:c>
      <x:c r="K16" s="68" t="str">
        <x:v>月令基准</x:v>
      </x:c>
      <x:c r="L16" s="68" t="str">
        <x:v>月令基准</x:v>
      </x:c>
      <x:c r="M16" s="82" t="str">
        <x:v>偏暖</x:v>
      </x:c>
      <x:c r="N16" s="82" t="str">
        <x:v>平衡</x:v>
      </x:c>
      <x:c r="O16" s="68" t="str">
        <x:v>木旺生发，通常不以寒为主</x:v>
      </x:c>
      <x:c r="P16" s="68" t="str">
        <x:v>待定</x:v>
      </x:c>
      <x:c r="Q16" s="68" t="str">
        <x:v>视全局修正</x:v>
      </x:c>
      <x:c r="R16" s="82" t="str">
        <x:v>条件性</x:v>
      </x:c>
      <x:c r="S16" s="82" t="str">
        <x:v>待定</x:v>
      </x:c>
      <x:c r="T16" s="82" t="str">
        <x:v>待定</x:v>
      </x:c>
      <x:c r="U16" s="82" t="str">
        <x:v>待定</x:v>
      </x:c>
      <x:c r="V16" s="82" t="str">
        <x:v>待定</x:v>
      </x:c>
      <x:c r="W16" s="68" t="str">
        <x:v>M02基础映射、M08五行有效旺衰、M12流通卡点已完成</x:v>
      </x:c>
      <x:c r="X16" s="68" t="str">
        <x:v>月令基准与全局有效五行均已核查</x:v>
      </x:c>
      <x:c r="Y16" s="68" t="str">
        <x:v>相关调候五行有根有源、透达且能真实改善关键气候问题</x:v>
      </x:c>
      <x:c r="Z16" s="68" t="str">
        <x:v>调候五行无根、受强制、被合绊、改性或加入后产生新的寒热燥湿问题</x:v>
      </x:c>
      <x:c r="AA16" s="90" t="str">
        <x:v>月令仅提供初始倾向，必须结合全局火水燥湿土与合化成势修正</x:v>
      </x:c>
      <x:c r="AB16" s="68" t="str">
        <x:v>特殊格局、核心格局用神或更高优先级病药约束转M16—M18裁决</x:v>
      </x:c>
      <x:c r="AC16" s="84" t="str">
        <x:v>卯月_气候基准</x:v>
      </x:c>
      <x:c r="AD16" s="84" t="str">
        <x:v>卯月气候基准：温度轴判“偏暖”，湿度轴判“平衡”；调候候选为“待定”，是否成为最终用神仍转M16—M18。</x:v>
      </x:c>
      <x:c r="AE16" s="82" t="str">
        <x:v>中等</x:v>
      </x:c>
      <x:c r="AF16" s="82" t="str">
        <x:v>调候</x:v>
      </x:c>
      <x:c r="AG16" s="68" t="str">
        <x:v>调候以月令气候为起点，但必须结合M08五行有效力量与M12流通状态修正；寒暖与燥湿分轴判断，调候候选不自动等于全局主用神。</x:v>
      </x:c>
      <x:c r="AH16" s="68" t="str">
        <x:v>当“仲春木旺，气温上升”真实成立，且调候机制能改善主要气候问题时，可按“卯月气候基准”记录。</x:v>
      </x:c>
      <x:c r="AI16" s="90" t="str">
        <x:v>仅见月份或表面五行标签，但未满足“仲春木旺，气温上升”及必要修正条件时，不得套用“卯月气候基准”。</x:v>
      </x:c>
      <x:c r="AJ16" s="82" t="str">
        <x:v>采用</x:v>
      </x:c>
      <x:c r="AK16" s="82" t="str">
        <x:v>初审</x:v>
      </x:c>
      <x:c r="AL16" s="87" t="n">
        <x:v>46255</x:v>
      </x:c>
    </x:row>
    <x:row r="17">
      <x:c r="A17" s="72" t="str">
        <x:f>IF(OR(C17="",D17=""),"",B17&amp;"-"&amp;UPPER(C17)&amp;"-"&amp;TEXT(D17,"0000")&amp;"-"&amp;E17)</x:f>
        <x:v>M13-SEASON-0011-V1.0</x:v>
      </x:c>
      <x:c r="B17" s="74" t="str">
        <x:v>M13</x:v>
      </x:c>
      <x:c r="C17" s="74" t="str">
        <x:v>SEASON</x:v>
      </x:c>
      <x:c r="D17" s="215" t="n">
        <x:v>11</x:v>
      </x:c>
      <x:c r="E17" s="74" t="str">
        <x:v>V1.0</x:v>
      </x:c>
      <x:c r="F17" s="68" t="str">
        <x:v>辰月气候基准</x:v>
      </x:c>
      <x:c r="G17" s="82" t="str">
        <x:v>结构层</x:v>
      </x:c>
      <x:c r="H17" s="82" t="str">
        <x:v>寒暖燥湿综合</x:v>
      </x:c>
      <x:c r="I17" s="68" t="str">
        <x:v>辰月</x:v>
      </x:c>
      <x:c r="J17" s="68" t="str">
        <x:v>季春湿土当令</x:v>
      </x:c>
      <x:c r="K17" s="68" t="str">
        <x:v>月令基准</x:v>
      </x:c>
      <x:c r="L17" s="68" t="str">
        <x:v>月令基准</x:v>
      </x:c>
      <x:c r="M17" s="82" t="str">
        <x:v>偏暖</x:v>
      </x:c>
      <x:c r="N17" s="82" t="str">
        <x:v>偏湿</x:v>
      </x:c>
      <x:c r="O17" s="68" t="str">
        <x:v>湿土与春水余气可能使湿度升高</x:v>
      </x:c>
      <x:c r="P17" s="68" t="str">
        <x:v>火/木</x:v>
      </x:c>
      <x:c r="Q17" s="68" t="str">
        <x:v>暖土疏湿并维持生发</x:v>
      </x:c>
      <x:c r="R17" s="82" t="str">
        <x:v>条件性</x:v>
      </x:c>
      <x:c r="S17" s="82" t="str">
        <x:v>待定</x:v>
      </x:c>
      <x:c r="T17" s="82" t="str">
        <x:v>待定</x:v>
      </x:c>
      <x:c r="U17" s="82" t="str">
        <x:v>待定</x:v>
      </x:c>
      <x:c r="V17" s="82" t="str">
        <x:v>待定</x:v>
      </x:c>
      <x:c r="W17" s="68" t="str">
        <x:v>M02基础映射、M08五行有效旺衰、M12流通卡点已完成</x:v>
      </x:c>
      <x:c r="X17" s="68" t="str">
        <x:v>月令基准与全局有效五行均已核查</x:v>
      </x:c>
      <x:c r="Y17" s="68" t="str">
        <x:v>相关调候五行有根有源、透达且能真实改善关键气候问题</x:v>
      </x:c>
      <x:c r="Z17" s="68" t="str">
        <x:v>调候五行无根、受强制、被合绊、改性或加入后产生新的寒热燥湿问题</x:v>
      </x:c>
      <x:c r="AA17" s="90" t="str">
        <x:v>月令仅提供初始倾向，必须结合全局火水燥湿土与合化成势修正</x:v>
      </x:c>
      <x:c r="AB17" s="68" t="str">
        <x:v>特殊格局、核心格局用神或更高优先级病药约束转M16—M18裁决</x:v>
      </x:c>
      <x:c r="AC17" s="84" t="str">
        <x:v>辰月_气候基准</x:v>
      </x:c>
      <x:c r="AD17" s="84" t="str">
        <x:v>辰月气候基准：温度轴判“偏暖”，湿度轴判“偏湿”；调候候选为“火/木”，是否成为最终用神仍转M16—M18。</x:v>
      </x:c>
      <x:c r="AE17" s="82" t="str">
        <x:v>中等</x:v>
      </x:c>
      <x:c r="AF17" s="82" t="str">
        <x:v>调候</x:v>
      </x:c>
      <x:c r="AG17" s="68" t="str">
        <x:v>调候以月令气候为起点，但必须结合M08五行有效力量与M12流通状态修正；寒暖与燥湿分轴判断，调候候选不自动等于全局主用神。</x:v>
      </x:c>
      <x:c r="AH17" s="68" t="str">
        <x:v>当“季春湿土当令”真实成立，且调候机制能改善主要气候问题时，可按“辰月气候基准”记录。</x:v>
      </x:c>
      <x:c r="AI17" s="90" t="str">
        <x:v>仅见月份或表面五行标签，但未满足“季春湿土当令”及必要修正条件时，不得套用“辰月气候基准”。</x:v>
      </x:c>
      <x:c r="AJ17" s="82" t="str">
        <x:v>采用</x:v>
      </x:c>
      <x:c r="AK17" s="82" t="str">
        <x:v>初审</x:v>
      </x:c>
      <x:c r="AL17" s="87" t="n">
        <x:v>46255</x:v>
      </x:c>
    </x:row>
    <x:row r="18">
      <x:c r="A18" s="72" t="str">
        <x:f>IF(OR(C18="",D18=""),"",B18&amp;"-"&amp;UPPER(C18)&amp;"-"&amp;TEXT(D18,"0000")&amp;"-"&amp;E18)</x:f>
        <x:v>M13-SEASON-0012-V1.0</x:v>
      </x:c>
      <x:c r="B18" s="74" t="str">
        <x:v>M13</x:v>
      </x:c>
      <x:c r="C18" s="74" t="str">
        <x:v>SEASON</x:v>
      </x:c>
      <x:c r="D18" s="215" t="n">
        <x:v>12</x:v>
      </x:c>
      <x:c r="E18" s="74" t="str">
        <x:v>V1.0</x:v>
      </x:c>
      <x:c r="F18" s="68" t="str">
        <x:v>巳月气候基准</x:v>
      </x:c>
      <x:c r="G18" s="82" t="str">
        <x:v>结构层</x:v>
      </x:c>
      <x:c r="H18" s="82" t="str">
        <x:v>寒暖燥湿综合</x:v>
      </x:c>
      <x:c r="I18" s="68" t="str">
        <x:v>巳月</x:v>
      </x:c>
      <x:c r="J18" s="68" t="str">
        <x:v>初夏火旺</x:v>
      </x:c>
      <x:c r="K18" s="68" t="str">
        <x:v>月令基准</x:v>
      </x:c>
      <x:c r="L18" s="68" t="str">
        <x:v>月令基准</x:v>
      </x:c>
      <x:c r="M18" s="82" t="str">
        <x:v>偏暖</x:v>
      </x:c>
      <x:c r="N18" s="82" t="str">
        <x:v>偏燥</x:v>
      </x:c>
      <x:c r="O18" s="68" t="str">
        <x:v>火升温并逐渐增燥</x:v>
      </x:c>
      <x:c r="P18" s="68" t="str">
        <x:v>水</x:v>
      </x:c>
      <x:c r="Q18" s="68" t="str">
        <x:v>润燥降温</x:v>
      </x:c>
      <x:c r="R18" s="82" t="str">
        <x:v>条件性</x:v>
      </x:c>
      <x:c r="S18" s="82" t="str">
        <x:v>待定</x:v>
      </x:c>
      <x:c r="T18" s="82" t="str">
        <x:v>待定</x:v>
      </x:c>
      <x:c r="U18" s="82" t="str">
        <x:v>待定</x:v>
      </x:c>
      <x:c r="V18" s="82" t="str">
        <x:v>待定</x:v>
      </x:c>
      <x:c r="W18" s="68" t="str">
        <x:v>M02基础映射、M08五行有效旺衰、M12流通卡点已完成</x:v>
      </x:c>
      <x:c r="X18" s="68" t="str">
        <x:v>月令基准与全局有效五行均已核查</x:v>
      </x:c>
      <x:c r="Y18" s="68" t="str">
        <x:v>相关调候五行有根有源、透达且能真实改善关键气候问题</x:v>
      </x:c>
      <x:c r="Z18" s="68" t="str">
        <x:v>调候五行无根、受强制、被合绊、改性或加入后产生新的寒热燥湿问题</x:v>
      </x:c>
      <x:c r="AA18" s="90" t="str">
        <x:v>月令仅提供初始倾向，必须结合全局火水燥湿土与合化成势修正</x:v>
      </x:c>
      <x:c r="AB18" s="68" t="str">
        <x:v>特殊格局、核心格局用神或更高优先级病药约束转M16—M18裁决</x:v>
      </x:c>
      <x:c r="AC18" s="84" t="str">
        <x:v>巳月_气候基准</x:v>
      </x:c>
      <x:c r="AD18" s="84" t="str">
        <x:v>巳月气候基准：温度轴判“偏暖”，湿度轴判“偏燥”；调候候选为“水”，是否成为最终用神仍转M16—M18。</x:v>
      </x:c>
      <x:c r="AE18" s="82" t="str">
        <x:v>中等</x:v>
      </x:c>
      <x:c r="AF18" s="82" t="str">
        <x:v>调候</x:v>
      </x:c>
      <x:c r="AG18" s="68" t="str">
        <x:v>调候以月令气候为起点，但必须结合M08五行有效力量与M12流通状态修正；寒暖与燥湿分轴判断，调候候选不自动等于全局主用神。</x:v>
      </x:c>
      <x:c r="AH18" s="68" t="str">
        <x:v>当“初夏火旺”真实成立，且调候机制能改善主要气候问题时，可按“巳月气候基准”记录。</x:v>
      </x:c>
      <x:c r="AI18" s="90" t="str">
        <x:v>仅见月份或表面五行标签，但未满足“初夏火旺”及必要修正条件时，不得套用“巳月气候基准”。</x:v>
      </x:c>
      <x:c r="AJ18" s="82" t="str">
        <x:v>采用</x:v>
      </x:c>
      <x:c r="AK18" s="82" t="str">
        <x:v>初审</x:v>
      </x:c>
      <x:c r="AL18" s="87" t="n">
        <x:v>46255</x:v>
      </x:c>
    </x:row>
    <x:row r="19">
      <x:c r="A19" s="72" t="str">
        <x:f>IF(OR(C19="",D19=""),"",B19&amp;"-"&amp;UPPER(C19)&amp;"-"&amp;TEXT(D19,"0000")&amp;"-"&amp;E19)</x:f>
        <x:v>M13-SEASON-0013-V1.0</x:v>
      </x:c>
      <x:c r="B19" s="74" t="str">
        <x:v>M13</x:v>
      </x:c>
      <x:c r="C19" s="74" t="str">
        <x:v>SEASON</x:v>
      </x:c>
      <x:c r="D19" s="215" t="n">
        <x:v>13</x:v>
      </x:c>
      <x:c r="E19" s="74" t="str">
        <x:v>V1.0</x:v>
      </x:c>
      <x:c r="F19" s="68" t="str">
        <x:v>午月气候基准</x:v>
      </x:c>
      <x:c r="G19" s="82" t="str">
        <x:v>结构层</x:v>
      </x:c>
      <x:c r="H19" s="82" t="str">
        <x:v>寒暖燥湿综合</x:v>
      </x:c>
      <x:c r="I19" s="68" t="str">
        <x:v>午月</x:v>
      </x:c>
      <x:c r="J19" s="68" t="str">
        <x:v>盛夏火极旺</x:v>
      </x:c>
      <x:c r="K19" s="68" t="str">
        <x:v>月令基准</x:v>
      </x:c>
      <x:c r="L19" s="68" t="str">
        <x:v>月令基准</x:v>
      </x:c>
      <x:c r="M19" s="82" t="str">
        <x:v>极热</x:v>
      </x:c>
      <x:c r="N19" s="82" t="str">
        <x:v>偏燥</x:v>
      </x:c>
      <x:c r="O19" s="68" t="str">
        <x:v>火势最强，易热燥</x:v>
      </x:c>
      <x:c r="P19" s="68" t="str">
        <x:v>水</x:v>
      </x:c>
      <x:c r="Q19" s="68" t="str">
        <x:v>降温润燥</x:v>
      </x:c>
      <x:c r="R19" s="82" t="str">
        <x:v>条件性</x:v>
      </x:c>
      <x:c r="S19" s="82" t="str">
        <x:v>待定</x:v>
      </x:c>
      <x:c r="T19" s="82" t="str">
        <x:v>待定</x:v>
      </x:c>
      <x:c r="U19" s="82" t="str">
        <x:v>待定</x:v>
      </x:c>
      <x:c r="V19" s="82" t="str">
        <x:v>待定</x:v>
      </x:c>
      <x:c r="W19" s="68" t="str">
        <x:v>M02基础映射、M08五行有效旺衰、M12流通卡点已完成</x:v>
      </x:c>
      <x:c r="X19" s="68" t="str">
        <x:v>月令基准与全局有效五行均已核查</x:v>
      </x:c>
      <x:c r="Y19" s="68" t="str">
        <x:v>相关调候五行有根有源、透达且能真实改善关键气候问题</x:v>
      </x:c>
      <x:c r="Z19" s="68" t="str">
        <x:v>调候五行无根、受强制、被合绊、改性或加入后产生新的寒热燥湿问题</x:v>
      </x:c>
      <x:c r="AA19" s="90" t="str">
        <x:v>月令仅提供初始倾向，必须结合全局火水燥湿土与合化成势修正</x:v>
      </x:c>
      <x:c r="AB19" s="68" t="str">
        <x:v>特殊格局、核心格局用神或更高优先级病药约束转M16—M18裁决</x:v>
      </x:c>
      <x:c r="AC19" s="84" t="str">
        <x:v>午月_气候基准</x:v>
      </x:c>
      <x:c r="AD19" s="84" t="str">
        <x:v>午月气候基准：温度轴判“极热”，湿度轴判“偏燥”；调候候选为“水”，是否成为最终用神仍转M16—M18。</x:v>
      </x:c>
      <x:c r="AE19" s="82" t="str">
        <x:v>中等</x:v>
      </x:c>
      <x:c r="AF19" s="82" t="str">
        <x:v>调候</x:v>
      </x:c>
      <x:c r="AG19" s="68" t="str">
        <x:v>调候以月令气候为起点，但必须结合M08五行有效力量与M12流通状态修正；寒暖与燥湿分轴判断，调候候选不自动等于全局主用神。</x:v>
      </x:c>
      <x:c r="AH19" s="68" t="str">
        <x:v>当“盛夏火极旺”真实成立，且调候机制能改善主要气候问题时，可按“午月气候基准”记录。</x:v>
      </x:c>
      <x:c r="AI19" s="90" t="str">
        <x:v>仅见月份或表面五行标签，但未满足“盛夏火极旺”及必要修正条件时，不得套用“午月气候基准”。</x:v>
      </x:c>
      <x:c r="AJ19" s="82" t="str">
        <x:v>采用</x:v>
      </x:c>
      <x:c r="AK19" s="82" t="str">
        <x:v>初审</x:v>
      </x:c>
      <x:c r="AL19" s="87" t="n">
        <x:v>46255</x:v>
      </x:c>
    </x:row>
    <x:row r="20">
      <x:c r="A20" s="72" t="str">
        <x:f>IF(OR(C20="",D20=""),"",B20&amp;"-"&amp;UPPER(C20)&amp;"-"&amp;TEXT(D20,"0000")&amp;"-"&amp;E20)</x:f>
        <x:v>M13-SEASON-0014-V1.0</x:v>
      </x:c>
      <x:c r="B20" s="74" t="str">
        <x:v>M13</x:v>
      </x:c>
      <x:c r="C20" s="74" t="str">
        <x:v>SEASON</x:v>
      </x:c>
      <x:c r="D20" s="215" t="n">
        <x:v>14</x:v>
      </x:c>
      <x:c r="E20" s="74" t="str">
        <x:v>V1.0</x:v>
      </x:c>
      <x:c r="F20" s="68" t="str">
        <x:v>未月气候基准</x:v>
      </x:c>
      <x:c r="G20" s="82" t="str">
        <x:v>结构层</x:v>
      </x:c>
      <x:c r="H20" s="82" t="str">
        <x:v>寒暖燥湿综合</x:v>
      </x:c>
      <x:c r="I20" s="68" t="str">
        <x:v>未月</x:v>
      </x:c>
      <x:c r="J20" s="68" t="str">
        <x:v>季夏燥土偏重</x:v>
      </x:c>
      <x:c r="K20" s="68" t="str">
        <x:v>月令基准</x:v>
      </x:c>
      <x:c r="L20" s="68" t="str">
        <x:v>月令基准</x:v>
      </x:c>
      <x:c r="M20" s="82" t="str">
        <x:v>偏暖</x:v>
      </x:c>
      <x:c r="N20" s="82" t="str">
        <x:v>偏燥</x:v>
      </x:c>
      <x:c r="O20" s="68" t="str">
        <x:v>余火与燥土并见时燥性突出</x:v>
      </x:c>
      <x:c r="P20" s="68" t="str">
        <x:v>水</x:v>
      </x:c>
      <x:c r="Q20" s="68" t="str">
        <x:v>润燥制热</x:v>
      </x:c>
      <x:c r="R20" s="82" t="str">
        <x:v>条件性</x:v>
      </x:c>
      <x:c r="S20" s="82" t="str">
        <x:v>待定</x:v>
      </x:c>
      <x:c r="T20" s="82" t="str">
        <x:v>待定</x:v>
      </x:c>
      <x:c r="U20" s="82" t="str">
        <x:v>待定</x:v>
      </x:c>
      <x:c r="V20" s="82" t="str">
        <x:v>待定</x:v>
      </x:c>
      <x:c r="W20" s="68" t="str">
        <x:v>M02基础映射、M08五行有效旺衰、M12流通卡点已完成</x:v>
      </x:c>
      <x:c r="X20" s="68" t="str">
        <x:v>月令基准与全局有效五行均已核查</x:v>
      </x:c>
      <x:c r="Y20" s="68" t="str">
        <x:v>相关调候五行有根有源、透达且能真实改善关键气候问题</x:v>
      </x:c>
      <x:c r="Z20" s="68" t="str">
        <x:v>调候五行无根、受强制、被合绊、改性或加入后产生新的寒热燥湿问题</x:v>
      </x:c>
      <x:c r="AA20" s="90" t="str">
        <x:v>月令仅提供初始倾向，必须结合全局火水燥湿土与合化成势修正</x:v>
      </x:c>
      <x:c r="AB20" s="68" t="str">
        <x:v>特殊格局、核心格局用神或更高优先级病药约束转M16—M18裁决</x:v>
      </x:c>
      <x:c r="AC20" s="84" t="str">
        <x:v>未月_气候基准</x:v>
      </x:c>
      <x:c r="AD20" s="84" t="str">
        <x:v>未月气候基准：温度轴判“偏暖”，湿度轴判“偏燥”；调候候选为“水”，是否成为最终用神仍转M16—M18。</x:v>
      </x:c>
      <x:c r="AE20" s="82" t="str">
        <x:v>中等</x:v>
      </x:c>
      <x:c r="AF20" s="82" t="str">
        <x:v>调候</x:v>
      </x:c>
      <x:c r="AG20" s="68" t="str">
        <x:v>调候以月令气候为起点，但必须结合M08五行有效力量与M12流通状态修正；寒暖与燥湿分轴判断，调候候选不自动等于全局主用神。</x:v>
      </x:c>
      <x:c r="AH20" s="68" t="str">
        <x:v>当“季夏燥土偏重”真实成立，且调候机制能改善主要气候问题时，可按“未月气候基准”记录。</x:v>
      </x:c>
      <x:c r="AI20" s="90" t="str">
        <x:v>仅见月份或表面五行标签，但未满足“季夏燥土偏重”及必要修正条件时，不得套用“未月气候基准”。</x:v>
      </x:c>
      <x:c r="AJ20" s="82" t="str">
        <x:v>采用</x:v>
      </x:c>
      <x:c r="AK20" s="82" t="str">
        <x:v>初审</x:v>
      </x:c>
      <x:c r="AL20" s="87" t="n">
        <x:v>46255</x:v>
      </x:c>
    </x:row>
    <x:row r="21">
      <x:c r="A21" s="72" t="str">
        <x:f>IF(OR(C21="",D21=""),"",B21&amp;"-"&amp;UPPER(C21)&amp;"-"&amp;TEXT(D21,"0000")&amp;"-"&amp;E21)</x:f>
        <x:v>M13-SEASON-0015-V1.0</x:v>
      </x:c>
      <x:c r="B21" s="74" t="str">
        <x:v>M13</x:v>
      </x:c>
      <x:c r="C21" s="74" t="str">
        <x:v>SEASON</x:v>
      </x:c>
      <x:c r="D21" s="215" t="n">
        <x:v>15</x:v>
      </x:c>
      <x:c r="E21" s="74" t="str">
        <x:v>V1.0</x:v>
      </x:c>
      <x:c r="F21" s="68" t="str">
        <x:v>申月气候基准</x:v>
      </x:c>
      <x:c r="G21" s="82" t="str">
        <x:v>结构层</x:v>
      </x:c>
      <x:c r="H21" s="82" t="str">
        <x:v>寒暖燥湿综合</x:v>
      </x:c>
      <x:c r="I21" s="68" t="str">
        <x:v>申月</x:v>
      </x:c>
      <x:c r="J21" s="68" t="str">
        <x:v>初秋金旺，暑气渐退</x:v>
      </x:c>
      <x:c r="K21" s="68" t="str">
        <x:v>月令基准</x:v>
      </x:c>
      <x:c r="L21" s="68" t="str">
        <x:v>月令基准</x:v>
      </x:c>
      <x:c r="M21" s="82" t="str">
        <x:v>平衡</x:v>
      </x:c>
      <x:c r="N21" s="82" t="str">
        <x:v>偏燥</x:v>
      </x:c>
      <x:c r="O21" s="68" t="str">
        <x:v>金旺而秋燥渐显</x:v>
      </x:c>
      <x:c r="P21" s="68" t="str">
        <x:v>水</x:v>
      </x:c>
      <x:c r="Q21" s="68" t="str">
        <x:v>润金润燥</x:v>
      </x:c>
      <x:c r="R21" s="82" t="str">
        <x:v>条件性</x:v>
      </x:c>
      <x:c r="S21" s="82" t="str">
        <x:v>待定</x:v>
      </x:c>
      <x:c r="T21" s="82" t="str">
        <x:v>待定</x:v>
      </x:c>
      <x:c r="U21" s="82" t="str">
        <x:v>待定</x:v>
      </x:c>
      <x:c r="V21" s="82" t="str">
        <x:v>待定</x:v>
      </x:c>
      <x:c r="W21" s="68" t="str">
        <x:v>M02基础映射、M08五行有效旺衰、M12流通卡点已完成</x:v>
      </x:c>
      <x:c r="X21" s="68" t="str">
        <x:v>月令基准与全局有效五行均已核查</x:v>
      </x:c>
      <x:c r="Y21" s="68" t="str">
        <x:v>相关调候五行有根有源、透达且能真实改善关键气候问题</x:v>
      </x:c>
      <x:c r="Z21" s="68" t="str">
        <x:v>调候五行无根、受强制、被合绊、改性或加入后产生新的寒热燥湿问题</x:v>
      </x:c>
      <x:c r="AA21" s="90" t="str">
        <x:v>月令仅提供初始倾向，必须结合全局火水燥湿土与合化成势修正</x:v>
      </x:c>
      <x:c r="AB21" s="68" t="str">
        <x:v>特殊格局、核心格局用神或更高优先级病药约束转M16—M18裁决</x:v>
      </x:c>
      <x:c r="AC21" s="84" t="str">
        <x:v>申月_气候基准</x:v>
      </x:c>
      <x:c r="AD21" s="84" t="str">
        <x:v>申月气候基准：温度轴判“平衡”，湿度轴判“偏燥”；调候候选为“水”，是否成为最终用神仍转M16—M18。</x:v>
      </x:c>
      <x:c r="AE21" s="82" t="str">
        <x:v>中等</x:v>
      </x:c>
      <x:c r="AF21" s="82" t="str">
        <x:v>调候</x:v>
      </x:c>
      <x:c r="AG21" s="68" t="str">
        <x:v>调候以月令气候为起点，但必须结合M08五行有效力量与M12流通状态修正；寒暖与燥湿分轴判断，调候候选不自动等于全局主用神。</x:v>
      </x:c>
      <x:c r="AH21" s="68" t="str">
        <x:v>当“初秋金旺，暑气渐退”真实成立，且调候机制能改善主要气候问题时，可按“申月气候基准”记录。</x:v>
      </x:c>
      <x:c r="AI21" s="90" t="str">
        <x:v>仅见月份或表面五行标签，但未满足“初秋金旺，暑气渐退”及必要修正条件时，不得套用“申月气候基准”。</x:v>
      </x:c>
      <x:c r="AJ21" s="82" t="str">
        <x:v>采用</x:v>
      </x:c>
      <x:c r="AK21" s="82" t="str">
        <x:v>初审</x:v>
      </x:c>
      <x:c r="AL21" s="87" t="n">
        <x:v>46255</x:v>
      </x:c>
    </x:row>
    <x:row r="22">
      <x:c r="A22" s="72" t="str">
        <x:f>IF(OR(C22="",D22=""),"",B22&amp;"-"&amp;UPPER(C22)&amp;"-"&amp;TEXT(D22,"0000")&amp;"-"&amp;E22)</x:f>
        <x:v>M13-SEASON-0016-V1.0</x:v>
      </x:c>
      <x:c r="B22" s="74" t="str">
        <x:v>M13</x:v>
      </x:c>
      <x:c r="C22" s="74" t="str">
        <x:v>SEASON</x:v>
      </x:c>
      <x:c r="D22" s="215" t="n">
        <x:v>16</x:v>
      </x:c>
      <x:c r="E22" s="74" t="str">
        <x:v>V1.0</x:v>
      </x:c>
      <x:c r="F22" s="68" t="str">
        <x:v>酉月气候基准</x:v>
      </x:c>
      <x:c r="G22" s="82" t="str">
        <x:v>结构层</x:v>
      </x:c>
      <x:c r="H22" s="82" t="str">
        <x:v>寒暖燥湿综合</x:v>
      </x:c>
      <x:c r="I22" s="68" t="str">
        <x:v>酉月</x:v>
      </x:c>
      <x:c r="J22" s="68" t="str">
        <x:v>仲秋金旺，燥气明显</x:v>
      </x:c>
      <x:c r="K22" s="68" t="str">
        <x:v>月令基准</x:v>
      </x:c>
      <x:c r="L22" s="68" t="str">
        <x:v>月令基准</x:v>
      </x:c>
      <x:c r="M22" s="82" t="str">
        <x:v>偏寒</x:v>
      </x:c>
      <x:c r="N22" s="82" t="str">
        <x:v>偏燥</x:v>
      </x:c>
      <x:c r="O22" s="68" t="str">
        <x:v>秋凉与燥金并见</x:v>
      </x:c>
      <x:c r="P22" s="68" t="str">
        <x:v>水/火</x:v>
      </x:c>
      <x:c r="Q22" s="68" t="str">
        <x:v>润燥同时防寒过度</x:v>
      </x:c>
      <x:c r="R22" s="82" t="str">
        <x:v>条件性</x:v>
      </x:c>
      <x:c r="S22" s="82" t="str">
        <x:v>待定</x:v>
      </x:c>
      <x:c r="T22" s="82" t="str">
        <x:v>待定</x:v>
      </x:c>
      <x:c r="U22" s="82" t="str">
        <x:v>待定</x:v>
      </x:c>
      <x:c r="V22" s="82" t="str">
        <x:v>待定</x:v>
      </x:c>
      <x:c r="W22" s="68" t="str">
        <x:v>M02基础映射、M08五行有效旺衰、M12流通卡点已完成</x:v>
      </x:c>
      <x:c r="X22" s="68" t="str">
        <x:v>月令基准与全局有效五行均已核查</x:v>
      </x:c>
      <x:c r="Y22" s="68" t="str">
        <x:v>相关调候五行有根有源、透达且能真实改善关键气候问题</x:v>
      </x:c>
      <x:c r="Z22" s="68" t="str">
        <x:v>调候五行无根、受强制、被合绊、改性或加入后产生新的寒热燥湿问题</x:v>
      </x:c>
      <x:c r="AA22" s="90" t="str">
        <x:v>月令仅提供初始倾向，必须结合全局火水燥湿土与合化成势修正</x:v>
      </x:c>
      <x:c r="AB22" s="68" t="str">
        <x:v>特殊格局、核心格局用神或更高优先级病药约束转M16—M18裁决</x:v>
      </x:c>
      <x:c r="AC22" s="84" t="str">
        <x:v>酉月_气候基准</x:v>
      </x:c>
      <x:c r="AD22" s="84" t="str">
        <x:v>酉月气候基准：温度轴判“偏寒”，湿度轴判“偏燥”；调候候选为“水/火”，是否成为最终用神仍转M16—M18。</x:v>
      </x:c>
      <x:c r="AE22" s="82" t="str">
        <x:v>中等</x:v>
      </x:c>
      <x:c r="AF22" s="82" t="str">
        <x:v>调候</x:v>
      </x:c>
      <x:c r="AG22" s="68" t="str">
        <x:v>调候以月令气候为起点，但必须结合M08五行有效力量与M12流通状态修正；寒暖与燥湿分轴判断，调候候选不自动等于全局主用神。</x:v>
      </x:c>
      <x:c r="AH22" s="68" t="str">
        <x:v>当“仲秋金旺，燥气明显”真实成立，且调候机制能改善主要气候问题时，可按“酉月气候基准”记录。</x:v>
      </x:c>
      <x:c r="AI22" s="90" t="str">
        <x:v>仅见月份或表面五行标签，但未满足“仲秋金旺，燥气明显”及必要修正条件时，不得套用“酉月气候基准”。</x:v>
      </x:c>
      <x:c r="AJ22" s="82" t="str">
        <x:v>采用</x:v>
      </x:c>
      <x:c r="AK22" s="82" t="str">
        <x:v>初审</x:v>
      </x:c>
      <x:c r="AL22" s="87" t="n">
        <x:v>46255</x:v>
      </x:c>
    </x:row>
    <x:row r="23">
      <x:c r="A23" s="72" t="str">
        <x:f>IF(OR(C23="",D23=""),"",B23&amp;"-"&amp;UPPER(C23)&amp;"-"&amp;TEXT(D23,"0000")&amp;"-"&amp;E23)</x:f>
        <x:v>M13-SEASON-0017-V1.0</x:v>
      </x:c>
      <x:c r="B23" s="74" t="str">
        <x:v>M13</x:v>
      </x:c>
      <x:c r="C23" s="74" t="str">
        <x:v>SEASON</x:v>
      </x:c>
      <x:c r="D23" s="215" t="n">
        <x:v>17</x:v>
      </x:c>
      <x:c r="E23" s="74" t="str">
        <x:v>V1.0</x:v>
      </x:c>
      <x:c r="F23" s="68" t="str">
        <x:v>戌月气候基准</x:v>
      </x:c>
      <x:c r="G23" s="82" t="str">
        <x:v>结构层</x:v>
      </x:c>
      <x:c r="H23" s="82" t="str">
        <x:v>寒暖燥湿综合</x:v>
      </x:c>
      <x:c r="I23" s="68" t="str">
        <x:v>戌月</x:v>
      </x:c>
      <x:c r="J23" s="68" t="str">
        <x:v>季秋燥土当令</x:v>
      </x:c>
      <x:c r="K23" s="68" t="str">
        <x:v>月令基准</x:v>
      </x:c>
      <x:c r="L23" s="68" t="str">
        <x:v>月令基准</x:v>
      </x:c>
      <x:c r="M23" s="82" t="str">
        <x:v>偏寒</x:v>
      </x:c>
      <x:c r="N23" s="82" t="str">
        <x:v>偏燥</x:v>
      </x:c>
      <x:c r="O23" s="68" t="str">
        <x:v>燥土与秋凉并重</x:v>
      </x:c>
      <x:c r="P23" s="68" t="str">
        <x:v>水/火</x:v>
      </x:c>
      <x:c r="Q23" s="68" t="str">
        <x:v>润燥并视寒暖取火</x:v>
      </x:c>
      <x:c r="R23" s="82" t="str">
        <x:v>条件性</x:v>
      </x:c>
      <x:c r="S23" s="82" t="str">
        <x:v>待定</x:v>
      </x:c>
      <x:c r="T23" s="82" t="str">
        <x:v>待定</x:v>
      </x:c>
      <x:c r="U23" s="82" t="str">
        <x:v>待定</x:v>
      </x:c>
      <x:c r="V23" s="82" t="str">
        <x:v>待定</x:v>
      </x:c>
      <x:c r="W23" s="68" t="str">
        <x:v>M02基础映射、M08五行有效旺衰、M12流通卡点已完成</x:v>
      </x:c>
      <x:c r="X23" s="68" t="str">
        <x:v>月令基准与全局有效五行均已核查</x:v>
      </x:c>
      <x:c r="Y23" s="68" t="str">
        <x:v>相关调候五行有根有源、透达且能真实改善关键气候问题</x:v>
      </x:c>
      <x:c r="Z23" s="68" t="str">
        <x:v>调候五行无根、受强制、被合绊、改性或加入后产生新的寒热燥湿问题</x:v>
      </x:c>
      <x:c r="AA23" s="90" t="str">
        <x:v>月令仅提供初始倾向，必须结合全局火水燥湿土与合化成势修正</x:v>
      </x:c>
      <x:c r="AB23" s="68" t="str">
        <x:v>特殊格局、核心格局用神或更高优先级病药约束转M16—M18裁决</x:v>
      </x:c>
      <x:c r="AC23" s="84" t="str">
        <x:v>戌月_气候基准</x:v>
      </x:c>
      <x:c r="AD23" s="84" t="str">
        <x:v>戌月气候基准：温度轴判“偏寒”，湿度轴判“偏燥”；调候候选为“水/火”，是否成为最终用神仍转M16—M18。</x:v>
      </x:c>
      <x:c r="AE23" s="82" t="str">
        <x:v>中等</x:v>
      </x:c>
      <x:c r="AF23" s="82" t="str">
        <x:v>调候</x:v>
      </x:c>
      <x:c r="AG23" s="68" t="str">
        <x:v>调候以月令气候为起点，但必须结合M08五行有效力量与M12流通状态修正；寒暖与燥湿分轴判断，调候候选不自动等于全局主用神。</x:v>
      </x:c>
      <x:c r="AH23" s="68" t="str">
        <x:v>当“季秋燥土当令”真实成立，且调候机制能改善主要气候问题时，可按“戌月气候基准”记录。</x:v>
      </x:c>
      <x:c r="AI23" s="90" t="str">
        <x:v>仅见月份或表面五行标签，但未满足“季秋燥土当令”及必要修正条件时，不得套用“戌月气候基准”。</x:v>
      </x:c>
      <x:c r="AJ23" s="82" t="str">
        <x:v>采用</x:v>
      </x:c>
      <x:c r="AK23" s="82" t="str">
        <x:v>初审</x:v>
      </x:c>
      <x:c r="AL23" s="87" t="n">
        <x:v>46255</x:v>
      </x:c>
    </x:row>
    <x:row r="24">
      <x:c r="A24" s="72" t="str">
        <x:f>IF(OR(C24="",D24=""),"",B24&amp;"-"&amp;UPPER(C24)&amp;"-"&amp;TEXT(D24,"0000")&amp;"-"&amp;E24)</x:f>
        <x:v>M13-SEASON-0018-V1.0</x:v>
      </x:c>
      <x:c r="B24" s="74" t="str">
        <x:v>M13</x:v>
      </x:c>
      <x:c r="C24" s="74" t="str">
        <x:v>SEASON</x:v>
      </x:c>
      <x:c r="D24" s="215" t="n">
        <x:v>18</x:v>
      </x:c>
      <x:c r="E24" s="74" t="str">
        <x:v>V1.0</x:v>
      </x:c>
      <x:c r="F24" s="68" t="str">
        <x:v>亥月气候基准</x:v>
      </x:c>
      <x:c r="G24" s="82" t="str">
        <x:v>结构层</x:v>
      </x:c>
      <x:c r="H24" s="82" t="str">
        <x:v>寒暖燥湿综合</x:v>
      </x:c>
      <x:c r="I24" s="68" t="str">
        <x:v>亥月</x:v>
      </x:c>
      <x:c r="J24" s="68" t="str">
        <x:v>初冬水旺</x:v>
      </x:c>
      <x:c r="K24" s="68" t="str">
        <x:v>月令基准</x:v>
      </x:c>
      <x:c r="L24" s="68" t="str">
        <x:v>月令基准</x:v>
      </x:c>
      <x:c r="M24" s="82" t="str">
        <x:v>偏寒</x:v>
      </x:c>
      <x:c r="N24" s="82" t="str">
        <x:v>偏湿</x:v>
      </x:c>
      <x:c r="O24" s="68" t="str">
        <x:v>水气增强，寒湿倾向上升</x:v>
      </x:c>
      <x:c r="P24" s="68" t="str">
        <x:v>火</x:v>
      </x:c>
      <x:c r="Q24" s="68" t="str">
        <x:v>暖局化寒湿</x:v>
      </x:c>
      <x:c r="R24" s="82" t="str">
        <x:v>条件性</x:v>
      </x:c>
      <x:c r="S24" s="82" t="str">
        <x:v>待定</x:v>
      </x:c>
      <x:c r="T24" s="82" t="str">
        <x:v>待定</x:v>
      </x:c>
      <x:c r="U24" s="82" t="str">
        <x:v>待定</x:v>
      </x:c>
      <x:c r="V24" s="82" t="str">
        <x:v>待定</x:v>
      </x:c>
      <x:c r="W24" s="68" t="str">
        <x:v>M02基础映射、M08五行有效旺衰、M12流通卡点已完成</x:v>
      </x:c>
      <x:c r="X24" s="68" t="str">
        <x:v>月令基准与全局有效五行均已核查</x:v>
      </x:c>
      <x:c r="Y24" s="68" t="str">
        <x:v>相关调候五行有根有源、透达且能真实改善关键气候问题</x:v>
      </x:c>
      <x:c r="Z24" s="68" t="str">
        <x:v>调候五行无根、受强制、被合绊、改性或加入后产生新的寒热燥湿问题</x:v>
      </x:c>
      <x:c r="AA24" s="90" t="str">
        <x:v>月令仅提供初始倾向，必须结合全局火水燥湿土与合化成势修正</x:v>
      </x:c>
      <x:c r="AB24" s="68" t="str">
        <x:v>特殊格局、核心格局用神或更高优先级病药约束转M16—M18裁决</x:v>
      </x:c>
      <x:c r="AC24" s="84" t="str">
        <x:v>亥月_气候基准</x:v>
      </x:c>
      <x:c r="AD24" s="84" t="str">
        <x:v>亥月气候基准：温度轴判“偏寒”，湿度轴判“偏湿”；调候候选为“火”，是否成为最终用神仍转M16—M18。</x:v>
      </x:c>
      <x:c r="AE24" s="82" t="str">
        <x:v>中等</x:v>
      </x:c>
      <x:c r="AF24" s="82" t="str">
        <x:v>调候</x:v>
      </x:c>
      <x:c r="AG24" s="68" t="str">
        <x:v>调候以月令气候为起点，但必须结合M08五行有效力量与M12流通状态修正；寒暖与燥湿分轴判断，调候候选不自动等于全局主用神。</x:v>
      </x:c>
      <x:c r="AH24" s="68" t="str">
        <x:v>当“初冬水旺”真实成立，且调候机制能改善主要气候问题时，可按“亥月气候基准”记录。</x:v>
      </x:c>
      <x:c r="AI24" s="90" t="str">
        <x:v>仅见月份或表面五行标签，但未满足“初冬水旺”及必要修正条件时，不得套用“亥月气候基准”。</x:v>
      </x:c>
      <x:c r="AJ24" s="82" t="str">
        <x:v>采用</x:v>
      </x:c>
      <x:c r="AK24" s="82" t="str">
        <x:v>初审</x:v>
      </x:c>
      <x:c r="AL24" s="87" t="n">
        <x:v>46255</x:v>
      </x:c>
    </x:row>
    <x:row r="25">
      <x:c r="A25" s="72" t="str">
        <x:f>IF(OR(C25="",D25=""),"",B25&amp;"-"&amp;UPPER(C25)&amp;"-"&amp;TEXT(D25,"0000")&amp;"-"&amp;E25)</x:f>
        <x:v>M13-SEASON-0019-V1.0</x:v>
      </x:c>
      <x:c r="B25" s="74" t="str">
        <x:v>M13</x:v>
      </x:c>
      <x:c r="C25" s="74" t="str">
        <x:v>SEASON</x:v>
      </x:c>
      <x:c r="D25" s="215" t="n">
        <x:v>19</x:v>
      </x:c>
      <x:c r="E25" s="74" t="str">
        <x:v>V1.0</x:v>
      </x:c>
      <x:c r="F25" s="68" t="str">
        <x:v>子月气候基准</x:v>
      </x:c>
      <x:c r="G25" s="82" t="str">
        <x:v>结构层</x:v>
      </x:c>
      <x:c r="H25" s="82" t="str">
        <x:v>寒暖燥湿综合</x:v>
      </x:c>
      <x:c r="I25" s="68" t="str">
        <x:v>子月</x:v>
      </x:c>
      <x:c r="J25" s="68" t="str">
        <x:v>仲冬水旺至极</x:v>
      </x:c>
      <x:c r="K25" s="68" t="str">
        <x:v>月令基准</x:v>
      </x:c>
      <x:c r="L25" s="68" t="str">
        <x:v>月令基准</x:v>
      </x:c>
      <x:c r="M25" s="82" t="str">
        <x:v>极寒</x:v>
      </x:c>
      <x:c r="N25" s="82" t="str">
        <x:v>偏湿</x:v>
      </x:c>
      <x:c r="O25" s="68" t="str">
        <x:v>寒水最盛，若无火调候易寒凝</x:v>
      </x:c>
      <x:c r="P25" s="68" t="str">
        <x:v>火</x:v>
      </x:c>
      <x:c r="Q25" s="68" t="str">
        <x:v>暖局并恢复生化</x:v>
      </x:c>
      <x:c r="R25" s="82" t="str">
        <x:v>条件性</x:v>
      </x:c>
      <x:c r="S25" s="82" t="str">
        <x:v>待定</x:v>
      </x:c>
      <x:c r="T25" s="82" t="str">
        <x:v>待定</x:v>
      </x:c>
      <x:c r="U25" s="82" t="str">
        <x:v>待定</x:v>
      </x:c>
      <x:c r="V25" s="82" t="str">
        <x:v>待定</x:v>
      </x:c>
      <x:c r="W25" s="68" t="str">
        <x:v>M02基础映射、M08五行有效旺衰、M12流通卡点已完成</x:v>
      </x:c>
      <x:c r="X25" s="68" t="str">
        <x:v>月令基准与全局有效五行均已核查</x:v>
      </x:c>
      <x:c r="Y25" s="68" t="str">
        <x:v>相关调候五行有根有源、透达且能真实改善关键气候问题</x:v>
      </x:c>
      <x:c r="Z25" s="68" t="str">
        <x:v>调候五行无根、受强制、被合绊、改性或加入后产生新的寒热燥湿问题</x:v>
      </x:c>
      <x:c r="AA25" s="90" t="str">
        <x:v>月令仅提供初始倾向，必须结合全局火水燥湿土与合化成势修正</x:v>
      </x:c>
      <x:c r="AB25" s="68" t="str">
        <x:v>特殊格局、核心格局用神或更高优先级病药约束转M16—M18裁决</x:v>
      </x:c>
      <x:c r="AC25" s="84" t="str">
        <x:v>子月_气候基准</x:v>
      </x:c>
      <x:c r="AD25" s="84" t="str">
        <x:v>子月气候基准：温度轴判“极寒”，湿度轴判“偏湿”；调候候选为“火”，是否成为最终用神仍转M16—M18。</x:v>
      </x:c>
      <x:c r="AE25" s="82" t="str">
        <x:v>中等</x:v>
      </x:c>
      <x:c r="AF25" s="82" t="str">
        <x:v>调候</x:v>
      </x:c>
      <x:c r="AG25" s="68" t="str">
        <x:v>调候以月令气候为起点，但必须结合M08五行有效力量与M12流通状态修正；寒暖与燥湿分轴判断，调候候选不自动等于全局主用神。</x:v>
      </x:c>
      <x:c r="AH25" s="68" t="str">
        <x:v>当“仲冬水旺至极”真实成立，且调候机制能改善主要气候问题时，可按“子月气候基准”记录。</x:v>
      </x:c>
      <x:c r="AI25" s="90" t="str">
        <x:v>仅见月份或表面五行标签，但未满足“仲冬水旺至极”及必要修正条件时，不得套用“子月气候基准”。</x:v>
      </x:c>
      <x:c r="AJ25" s="82" t="str">
        <x:v>采用</x:v>
      </x:c>
      <x:c r="AK25" s="82" t="str">
        <x:v>初审</x:v>
      </x:c>
      <x:c r="AL25" s="87" t="n">
        <x:v>46255</x:v>
      </x:c>
    </x:row>
    <x:row r="26">
      <x:c r="A26" s="72" t="str">
        <x:f>IF(OR(C26="",D26=""),"",B26&amp;"-"&amp;UPPER(C26)&amp;"-"&amp;TEXT(D26,"0000")&amp;"-"&amp;E26)</x:f>
        <x:v>M13-SEASON-0020-V1.0</x:v>
      </x:c>
      <x:c r="B26" s="74" t="str">
        <x:v>M13</x:v>
      </x:c>
      <x:c r="C26" s="74" t="str">
        <x:v>SEASON</x:v>
      </x:c>
      <x:c r="D26" s="215" t="n">
        <x:v>20</x:v>
      </x:c>
      <x:c r="E26" s="74" t="str">
        <x:v>V1.0</x:v>
      </x:c>
      <x:c r="F26" s="68" t="str">
        <x:v>丑月气候基准</x:v>
      </x:c>
      <x:c r="G26" s="82" t="str">
        <x:v>结构层</x:v>
      </x:c>
      <x:c r="H26" s="82" t="str">
        <x:v>寒暖燥湿综合</x:v>
      </x:c>
      <x:c r="I26" s="68" t="str">
        <x:v>丑月</x:v>
      </x:c>
      <x:c r="J26" s="68" t="str">
        <x:v>季冬湿土寒湿</x:v>
      </x:c>
      <x:c r="K26" s="68" t="str">
        <x:v>月令基准</x:v>
      </x:c>
      <x:c r="L26" s="68" t="str">
        <x:v>月令基准</x:v>
      </x:c>
      <x:c r="M26" s="82" t="str">
        <x:v>极寒</x:v>
      </x:c>
      <x:c r="N26" s="82" t="str">
        <x:v>偏湿</x:v>
      </x:c>
      <x:c r="O26" s="68" t="str">
        <x:v>寒土湿水并见时寒湿显著</x:v>
      </x:c>
      <x:c r="P26" s="68" t="str">
        <x:v>火</x:v>
      </x:c>
      <x:c r="Q26" s="68" t="str">
        <x:v>暖土化湿</x:v>
      </x:c>
      <x:c r="R26" s="82" t="str">
        <x:v>条件性</x:v>
      </x:c>
      <x:c r="S26" s="82" t="str">
        <x:v>待定</x:v>
      </x:c>
      <x:c r="T26" s="82" t="str">
        <x:v>待定</x:v>
      </x:c>
      <x:c r="U26" s="82" t="str">
        <x:v>待定</x:v>
      </x:c>
      <x:c r="V26" s="82" t="str">
        <x:v>待定</x:v>
      </x:c>
      <x:c r="W26" s="68" t="str">
        <x:v>M02基础映射、M08五行有效旺衰、M12流通卡点已完成</x:v>
      </x:c>
      <x:c r="X26" s="68" t="str">
        <x:v>月令基准与全局有效五行均已核查</x:v>
      </x:c>
      <x:c r="Y26" s="68" t="str">
        <x:v>相关调候五行有根有源、透达且能真实改善关键气候问题</x:v>
      </x:c>
      <x:c r="Z26" s="68" t="str">
        <x:v>调候五行无根、受强制、被合绊、改性或加入后产生新的寒热燥湿问题</x:v>
      </x:c>
      <x:c r="AA26" s="90" t="str">
        <x:v>月令仅提供初始倾向，必须结合全局火水燥湿土与合化成势修正</x:v>
      </x:c>
      <x:c r="AB26" s="68" t="str">
        <x:v>特殊格局、核心格局用神或更高优先级病药约束转M16—M18裁决</x:v>
      </x:c>
      <x:c r="AC26" s="84" t="str">
        <x:v>丑月_气候基准</x:v>
      </x:c>
      <x:c r="AD26" s="84" t="str">
        <x:v>丑月气候基准：温度轴判“极寒”，湿度轴判“偏湿”；调候候选为“火”，是否成为最终用神仍转M16—M18。</x:v>
      </x:c>
      <x:c r="AE26" s="82" t="str">
        <x:v>中等</x:v>
      </x:c>
      <x:c r="AF26" s="82" t="str">
        <x:v>调候</x:v>
      </x:c>
      <x:c r="AG26" s="68" t="str">
        <x:v>调候以月令气候为起点，但必须结合M08五行有效力量与M12流通状态修正；寒暖与燥湿分轴判断，调候候选不自动等于全局主用神。</x:v>
      </x:c>
      <x:c r="AH26" s="68" t="str">
        <x:v>当“季冬湿土寒湿”真实成立，且调候机制能改善主要气候问题时，可按“丑月气候基准”记录。</x:v>
      </x:c>
      <x:c r="AI26" s="90" t="str">
        <x:v>仅见月份或表面五行标签，但未满足“季冬湿土寒湿”及必要修正条件时，不得套用“丑月气候基准”。</x:v>
      </x:c>
      <x:c r="AJ26" s="82" t="str">
        <x:v>采用</x:v>
      </x:c>
      <x:c r="AK26" s="82" t="str">
        <x:v>初审</x:v>
      </x:c>
      <x:c r="AL26" s="87" t="n">
        <x:v>46255</x:v>
      </x:c>
    </x:row>
    <x:row r="27">
      <x:c r="A27" s="72" t="str">
        <x:f>IF(OR(C27="",D27=""),"",B27&amp;"-"&amp;UPPER(C27)&amp;"-"&amp;TEXT(D27,"0000")&amp;"-"&amp;E27)</x:f>
        <x:v>M13-TEMP-0021-V1.0</x:v>
      </x:c>
      <x:c r="B27" s="74" t="str">
        <x:v>M13</x:v>
      </x:c>
      <x:c r="C27" s="74" t="str">
        <x:v>TEMP</x:v>
      </x:c>
      <x:c r="D27" s="215" t="n">
        <x:v>21</x:v>
      </x:c>
      <x:c r="E27" s="74" t="str">
        <x:v>V1.0</x:v>
      </x:c>
      <x:c r="F27" s="68" t="str">
        <x:v>强火成势可将偏寒局向平衡或偏暖修正</x:v>
      </x:c>
      <x:c r="G27" s="82" t="str">
        <x:v>结构层</x:v>
      </x:c>
      <x:c r="H27" s="82" t="str">
        <x:v>寒暖轴</x:v>
      </x:c>
      <x:c r="I27" s="68" t="str">
        <x:v>通用</x:v>
      </x:c>
      <x:c r="J27" s="68" t="str">
        <x:v>原局火达到旺或极旺且真实透达</x:v>
      </x:c>
      <x:c r="K27" s="68" t="str">
        <x:v>明显升温</x:v>
      </x:c>
      <x:c r="L27" s="68" t="str">
        <x:v>视土水关系另判</x:v>
      </x:c>
      <x:c r="M27" s="82" t="str">
        <x:v>待定</x:v>
      </x:c>
      <x:c r="N27" s="82" t="str">
        <x:v>待定</x:v>
      </x:c>
      <x:c r="O27" s="68" t="str">
        <x:v>寒气被强火缓解</x:v>
      </x:c>
      <x:c r="P27" s="68" t="str">
        <x:v>火</x:v>
      </x:c>
      <x:c r="Q27" s="68" t="str">
        <x:v>直接暖局</x:v>
      </x:c>
      <x:c r="R27" s="82" t="str">
        <x:v>是</x:v>
      </x:c>
      <x:c r="S27" s="82" t="str">
        <x:v>有效</x:v>
      </x:c>
      <x:c r="T27" s="82" t="str">
        <x:v>待定</x:v>
      </x:c>
      <x:c r="U27" s="82" t="str">
        <x:v>待定</x:v>
      </x:c>
      <x:c r="V27" s="82" t="str">
        <x:v>待定</x:v>
      </x:c>
      <x:c r="W27" s="68" t="str">
        <x:v>M02基础映射、M08五行有效旺衰、M12流通卡点已完成</x:v>
      </x:c>
      <x:c r="X27" s="68" t="str">
        <x:v>月令基准与全局有效五行均已核查</x:v>
      </x:c>
      <x:c r="Y27" s="68" t="str">
        <x:v>相关调候五行有根有源、透达且能真实改善关键气候问题</x:v>
      </x:c>
      <x:c r="Z27" s="68" t="str">
        <x:v>调候五行无根、受强制、被合绊、改性或加入后产生新的寒热燥湿问题</x:v>
      </x:c>
      <x:c r="AA27" s="90" t="str">
        <x:v>不得只凭出生月份或某一五行数量直接下最终调候结论</x:v>
      </x:c>
      <x:c r="AB27" s="68" t="str">
        <x:v>特殊格局、核心格局用神或更高优先级病药约束转M16—M18裁决</x:v>
      </x:c>
      <x:c r="AC27" s="84" t="str">
        <x:v>强火升温修正</x:v>
      </x:c>
      <x:c r="AD27" s="84" t="str">
        <x:v>强火成势可将偏寒局向平衡或偏暖修正：温度轴判“待定”，湿度轴判“待定”；调候候选为“火”，是否成为最终用神仍转M16—M18。</x:v>
      </x:c>
      <x:c r="AE27" s="82" t="str">
        <x:v>较高</x:v>
      </x:c>
      <x:c r="AF27" s="82" t="str">
        <x:v>调候</x:v>
      </x:c>
      <x:c r="AG27" s="68" t="str">
        <x:v>调候以月令气候为起点，但必须结合M08五行有效力量与M12流通状态修正；寒暖与燥湿分轴判断，调候候选不自动等于全局主用神。</x:v>
      </x:c>
      <x:c r="AH27" s="68" t="str">
        <x:v>当“原局火达到旺或极旺且真实透达”真实成立，且调候机制能改善主要气候问题时，可按“强火成势可将偏寒局向平衡或偏暖修正”记录。</x:v>
      </x:c>
      <x:c r="AI27" s="90" t="str">
        <x:v>仅见月份或表面五行标签，但未满足“原局火达到旺或极旺且真实透达”及必要修正条件时，不得套用“强火成势可将偏寒局向平衡或偏暖修正”。</x:v>
      </x:c>
      <x:c r="AJ27" s="82" t="str">
        <x:v>采用</x:v>
      </x:c>
      <x:c r="AK27" s="82" t="str">
        <x:v>初审</x:v>
      </x:c>
      <x:c r="AL27" s="87" t="n">
        <x:v>46255</x:v>
      </x:c>
    </x:row>
    <x:row r="28">
      <x:c r="A28" s="72" t="str">
        <x:f>IF(OR(C28="",D28=""),"",B28&amp;"-"&amp;UPPER(C28)&amp;"-"&amp;TEXT(D28,"0000")&amp;"-"&amp;E28)</x:f>
        <x:v>M13-TEMP-0022-V1.0</x:v>
      </x:c>
      <x:c r="B28" s="74" t="str">
        <x:v>M13</x:v>
      </x:c>
      <x:c r="C28" s="74" t="str">
        <x:v>TEMP</x:v>
      </x:c>
      <x:c r="D28" s="215" t="n">
        <x:v>22</x:v>
      </x:c>
      <x:c r="E28" s="74" t="str">
        <x:v>V1.0</x:v>
      </x:c>
      <x:c r="F28" s="68" t="str">
        <x:v>弱火无根不足以改变极寒基准</x:v>
      </x:c>
      <x:c r="G28" s="82" t="str">
        <x:v>结构层</x:v>
      </x:c>
      <x:c r="H28" s="82" t="str">
        <x:v>寒暖轴</x:v>
      </x:c>
      <x:c r="I28" s="68" t="str">
        <x:v>通用</x:v>
      </x:c>
      <x:c r="J28" s="68" t="str">
        <x:v>冬月极寒基准下仅见无根弱火或火被强水压制</x:v>
      </x:c>
      <x:c r="K28" s="68" t="str">
        <x:v>升温有限</x:v>
      </x:c>
      <x:c r="L28" s="68" t="str">
        <x:v>待定</x:v>
      </x:c>
      <x:c r="M28" s="82" t="str">
        <x:v>极寒</x:v>
      </x:c>
      <x:c r="N28" s="82" t="str">
        <x:v>待定</x:v>
      </x:c>
      <x:c r="O28" s="68" t="str">
        <x:v>名义有火但不足以暖局</x:v>
      </x:c>
      <x:c r="P28" s="68" t="str">
        <x:v>火</x:v>
      </x:c>
      <x:c r="Q28" s="68" t="str">
        <x:v>需强化有效火而非只看火字</x:v>
      </x:c>
      <x:c r="R28" s="82" t="str">
        <x:v>是</x:v>
      </x:c>
      <x:c r="S28" s="82" t="str">
        <x:v>受限</x:v>
      </x:c>
      <x:c r="T28" s="82" t="str">
        <x:v>高</x:v>
      </x:c>
      <x:c r="U28" s="82" t="str">
        <x:v>待定</x:v>
      </x:c>
      <x:c r="V28" s="82" t="str">
        <x:v>待定</x:v>
      </x:c>
      <x:c r="W28" s="68" t="str">
        <x:v>M02基础映射、M08五行有效旺衰、M12流通卡点已完成</x:v>
      </x:c>
      <x:c r="X28" s="68" t="str">
        <x:v>月令基准与全局有效五行均已核查</x:v>
      </x:c>
      <x:c r="Y28" s="68" t="str">
        <x:v>相关调候五行有根有源、透达且能真实改善关键气候问题</x:v>
      </x:c>
      <x:c r="Z28" s="68" t="str">
        <x:v>调候五行无根、受强制、被合绊、改性或加入后产生新的寒热燥湿问题</x:v>
      </x:c>
      <x:c r="AA28" s="90" t="str">
        <x:v>不得只凭出生月份或某一五行数量直接下最终调候结论</x:v>
      </x:c>
      <x:c r="AB28" s="68" t="str">
        <x:v>特殊格局、核心格局用神或更高优先级病药约束转M16—M18裁决</x:v>
      </x:c>
      <x:c r="AC28" s="84" t="str">
        <x:v>弱火不足暖局</x:v>
      </x:c>
      <x:c r="AD28" s="84" t="str">
        <x:v>弱火无根不足以改变极寒基准：温度轴判“极寒”，湿度轴判“待定”；调候候选为“火”，是否成为最终用神仍转M16—M18。</x:v>
      </x:c>
      <x:c r="AE28" s="82" t="str">
        <x:v>较高</x:v>
      </x:c>
      <x:c r="AF28" s="82" t="str">
        <x:v>调候</x:v>
      </x:c>
      <x:c r="AG28" s="68" t="str">
        <x:v>调候以月令气候为起点，但必须结合M08五行有效力量与M12流通状态修正；寒暖与燥湿分轴判断，调候候选不自动等于全局主用神。</x:v>
      </x:c>
      <x:c r="AH28" s="68" t="str">
        <x:v>当“冬月极寒基准下仅见无根弱火或火被强水压制”真实成立，且调候机制能改善主要气候问题时，可按“弱火无根不足以改变极寒基准”记录。</x:v>
      </x:c>
      <x:c r="AI28" s="90" t="str">
        <x:v>仅见月份或表面五行标签，但未满足“冬月极寒基准下仅见无根弱火或火被强水压制”及必要修正条件时，不得套用“弱火无根不足以改变极寒基准”。</x:v>
      </x:c>
      <x:c r="AJ28" s="82" t="str">
        <x:v>采用</x:v>
      </x:c>
      <x:c r="AK28" s="82" t="str">
        <x:v>初审</x:v>
      </x:c>
      <x:c r="AL28" s="87" t="n">
        <x:v>46255</x:v>
      </x:c>
    </x:row>
    <x:row r="29">
      <x:c r="A29" s="72" t="str">
        <x:f>IF(OR(C29="",D29=""),"",B29&amp;"-"&amp;UPPER(C29)&amp;"-"&amp;TEXT(D29,"0000")&amp;"-"&amp;E29)</x:f>
        <x:v>M13-TEMP-0023-V1.0</x:v>
      </x:c>
      <x:c r="B29" s="74" t="str">
        <x:v>M13</x:v>
      </x:c>
      <x:c r="C29" s="74" t="str">
        <x:v>TEMP</x:v>
      </x:c>
      <x:c r="D29" s="215" t="n">
        <x:v>23</x:v>
      </x:c>
      <x:c r="E29" s="74" t="str">
        <x:v>V1.0</x:v>
      </x:c>
      <x:c r="F29" s="68" t="str">
        <x:v>强水成势可将偏暖局向平衡或偏寒修正</x:v>
      </x:c>
      <x:c r="G29" s="82" t="str">
        <x:v>结构层</x:v>
      </x:c>
      <x:c r="H29" s="82" t="str">
        <x:v>寒暖轴</x:v>
      </x:c>
      <x:c r="I29" s="68" t="str">
        <x:v>通用</x:v>
      </x:c>
      <x:c r="J29" s="68" t="str">
        <x:v>水旺极旺且有根有源、未被燥土火势压制</x:v>
      </x:c>
      <x:c r="K29" s="68" t="str">
        <x:v>明显降温</x:v>
      </x:c>
      <x:c r="L29" s="68" t="str">
        <x:v>待定</x:v>
      </x:c>
      <x:c r="M29" s="82" t="str">
        <x:v>待定</x:v>
      </x:c>
      <x:c r="N29" s="82" t="str">
        <x:v>待定</x:v>
      </x:c>
      <x:c r="O29" s="68" t="str">
        <x:v>水势降低全局温度</x:v>
      </x:c>
      <x:c r="P29" s="68" t="str">
        <x:v>待定</x:v>
      </x:c>
      <x:c r="Q29" s="68" t="str">
        <x:v>按需要控制降温幅度</x:v>
      </x:c>
      <x:c r="R29" s="82" t="str">
        <x:v>待定</x:v>
      </x:c>
      <x:c r="S29" s="82" t="str">
        <x:v>待定</x:v>
      </x:c>
      <x:c r="T29" s="82" t="str">
        <x:v>待定</x:v>
      </x:c>
      <x:c r="U29" s="82" t="str">
        <x:v>待定</x:v>
      </x:c>
      <x:c r="V29" s="82" t="str">
        <x:v>待定</x:v>
      </x:c>
      <x:c r="W29" s="68" t="str">
        <x:v>M02基础映射、M08五行有效旺衰、M12流通卡点已完成</x:v>
      </x:c>
      <x:c r="X29" s="68" t="str">
        <x:v>月令基准与全局有效五行均已核查</x:v>
      </x:c>
      <x:c r="Y29" s="68" t="str">
        <x:v>相关调候五行有根有源、透达且能真实改善关键气候问题</x:v>
      </x:c>
      <x:c r="Z29" s="68" t="str">
        <x:v>调候五行无根、受强制、被合绊、改性或加入后产生新的寒热燥湿问题</x:v>
      </x:c>
      <x:c r="AA29" s="90" t="str">
        <x:v>不得只凭出生月份或某一五行数量直接下最终调候结论</x:v>
      </x:c>
      <x:c r="AB29" s="68" t="str">
        <x:v>特殊格局、核心格局用神或更高优先级病药约束转M16—M18裁决</x:v>
      </x:c>
      <x:c r="AC29" s="84" t="str">
        <x:v>强水降温修正</x:v>
      </x:c>
      <x:c r="AD29" s="84" t="str">
        <x:v>强水成势可将偏暖局向平衡或偏寒修正：温度轴判“待定”，湿度轴判“待定”；调候候选为“待定”，是否成为最终用神仍转M16—M18。</x:v>
      </x:c>
      <x:c r="AE29" s="82" t="str">
        <x:v>较高</x:v>
      </x:c>
      <x:c r="AF29" s="82" t="str">
        <x:v>调候</x:v>
      </x:c>
      <x:c r="AG29" s="68" t="str">
        <x:v>调候以月令气候为起点，但必须结合M08五行有效力量与M12流通状态修正；寒暖与燥湿分轴判断，调候候选不自动等于全局主用神。</x:v>
      </x:c>
      <x:c r="AH29" s="68" t="str">
        <x:v>当“水旺极旺且有根有源、未被燥土火势压制”真实成立，且调候机制能改善主要气候问题时，可按“强水成势可将偏暖局向平衡或偏寒修正”记录。</x:v>
      </x:c>
      <x:c r="AI29" s="90" t="str">
        <x:v>仅见月份或表面五行标签，但未满足“水旺极旺且有根有源、未被燥土火势压制”及必要修正条件时，不得套用“强水成势可将偏暖局向平衡或偏寒修正”。</x:v>
      </x:c>
      <x:c r="AJ29" s="82" t="str">
        <x:v>采用</x:v>
      </x:c>
      <x:c r="AK29" s="82" t="str">
        <x:v>初审</x:v>
      </x:c>
      <x:c r="AL29" s="87" t="n">
        <x:v>46255</x:v>
      </x:c>
    </x:row>
    <x:row r="30">
      <x:c r="A30" s="72" t="str">
        <x:f>IF(OR(C30="",D30=""),"",B30&amp;"-"&amp;UPPER(C30)&amp;"-"&amp;TEXT(D30,"0000")&amp;"-"&amp;E30)</x:f>
        <x:v>M13-TEMP-0024-V1.0</x:v>
      </x:c>
      <x:c r="B30" s="74" t="str">
        <x:v>M13</x:v>
      </x:c>
      <x:c r="C30" s="74" t="str">
        <x:v>TEMP</x:v>
      </x:c>
      <x:c r="D30" s="215" t="n">
        <x:v>24</x:v>
      </x:c>
      <x:c r="E30" s="74" t="str">
        <x:v>V1.0</x:v>
      </x:c>
      <x:c r="F30" s="68" t="str">
        <x:v>夏局弱水无根不足以解除极热</x:v>
      </x:c>
      <x:c r="G30" s="82" t="str">
        <x:v>结构层</x:v>
      </x:c>
      <x:c r="H30" s="82" t="str">
        <x:v>寒暖轴</x:v>
      </x:c>
      <x:c r="I30" s="68" t="str">
        <x:v>通用</x:v>
      </x:c>
      <x:c r="J30" s="68" t="str">
        <x:v>午未等热局中水仅微弱存在且被火土制耗</x:v>
      </x:c>
      <x:c r="K30" s="68" t="str">
        <x:v>降温有限</x:v>
      </x:c>
      <x:c r="L30" s="68" t="str">
        <x:v>待定</x:v>
      </x:c>
      <x:c r="M30" s="82" t="str">
        <x:v>极热</x:v>
      </x:c>
      <x:c r="N30" s="82" t="str">
        <x:v>待定</x:v>
      </x:c>
      <x:c r="O30" s="68" t="str">
        <x:v>名义水难以实际降温</x:v>
      </x:c>
      <x:c r="P30" s="68" t="str">
        <x:v>水</x:v>
      </x:c>
      <x:c r="Q30" s="68" t="str">
        <x:v>需要有效水源</x:v>
      </x:c>
      <x:c r="R30" s="82" t="str">
        <x:v>是</x:v>
      </x:c>
      <x:c r="S30" s="82" t="str">
        <x:v>受限</x:v>
      </x:c>
      <x:c r="T30" s="82" t="str">
        <x:v>高</x:v>
      </x:c>
      <x:c r="U30" s="82" t="str">
        <x:v>待定</x:v>
      </x:c>
      <x:c r="V30" s="82" t="str">
        <x:v>待定</x:v>
      </x:c>
      <x:c r="W30" s="68" t="str">
        <x:v>M02基础映射、M08五行有效旺衰、M12流通卡点已完成</x:v>
      </x:c>
      <x:c r="X30" s="68" t="str">
        <x:v>月令基准与全局有效五行均已核查</x:v>
      </x:c>
      <x:c r="Y30" s="68" t="str">
        <x:v>相关调候五行有根有源、透达且能真实改善关键气候问题</x:v>
      </x:c>
      <x:c r="Z30" s="68" t="str">
        <x:v>调候五行无根、受强制、被合绊、改性或加入后产生新的寒热燥湿问题</x:v>
      </x:c>
      <x:c r="AA30" s="90" t="str">
        <x:v>不得只凭出生月份或某一五行数量直接下最终调候结论</x:v>
      </x:c>
      <x:c r="AB30" s="68" t="str">
        <x:v>特殊格局、核心格局用神或更高优先级病药约束转M16—M18裁决</x:v>
      </x:c>
      <x:c r="AC30" s="84" t="str">
        <x:v>弱水不足制热</x:v>
      </x:c>
      <x:c r="AD30" s="84" t="str">
        <x:v>夏局弱水无根不足以解除极热：温度轴判“极热”，湿度轴判“待定”；调候候选为“水”，是否成为最终用神仍转M16—M18。</x:v>
      </x:c>
      <x:c r="AE30" s="82" t="str">
        <x:v>较高</x:v>
      </x:c>
      <x:c r="AF30" s="82" t="str">
        <x:v>调候</x:v>
      </x:c>
      <x:c r="AG30" s="68" t="str">
        <x:v>调候以月令气候为起点，但必须结合M08五行有效力量与M12流通状态修正；寒暖与燥湿分轴判断，调候候选不自动等于全局主用神。</x:v>
      </x:c>
      <x:c r="AH30" s="68" t="str">
        <x:v>当“午未等热局中水仅微弱存在且被火土制耗”真实成立，且调候机制能改善主要气候问题时，可按“夏局弱水无根不足以解除极热”记录。</x:v>
      </x:c>
      <x:c r="AI30" s="90" t="str">
        <x:v>仅见月份或表面五行标签，但未满足“午未等热局中水仅微弱存在且被火土制耗”及必要修正条件时，不得套用“夏局弱水无根不足以解除极热”。</x:v>
      </x:c>
      <x:c r="AJ30" s="82" t="str">
        <x:v>采用</x:v>
      </x:c>
      <x:c r="AK30" s="82" t="str">
        <x:v>初审</x:v>
      </x:c>
      <x:c r="AL30" s="87" t="n">
        <x:v>46255</x:v>
      </x:c>
    </x:row>
    <x:row r="31">
      <x:c r="A31" s="72" t="str">
        <x:f>IF(OR(C31="",D31=""),"",B31&amp;"-"&amp;UPPER(C31)&amp;"-"&amp;TEXT(D31,"0000")&amp;"-"&amp;E31)</x:f>
        <x:v>M13-TEMP-0025-V1.0</x:v>
      </x:c>
      <x:c r="B31" s="74" t="str">
        <x:v>M13</x:v>
      </x:c>
      <x:c r="C31" s="74" t="str">
        <x:v>TEMP</x:v>
      </x:c>
      <x:c r="D31" s="215" t="n">
        <x:v>25</x:v>
      </x:c>
      <x:c r="E31" s="74" t="str">
        <x:v>V1.0</x:v>
      </x:c>
      <x:c r="F31" s="68" t="str">
        <x:v>木旺可通过生火间接提高温度</x:v>
      </x:c>
      <x:c r="G31" s="82" t="str">
        <x:v>结构层</x:v>
      </x:c>
      <x:c r="H31" s="82" t="str">
        <x:v>寒暖轴</x:v>
      </x:c>
      <x:c r="I31" s="68" t="str">
        <x:v>通用</x:v>
      </x:c>
      <x:c r="J31" s="68" t="str">
        <x:v>木有力且火有根可承接木生火</x:v>
      </x:c>
      <x:c r="K31" s="68" t="str">
        <x:v>间接升温</x:v>
      </x:c>
      <x:c r="L31" s="68" t="str">
        <x:v>待定</x:v>
      </x:c>
      <x:c r="M31" s="82" t="str">
        <x:v>待定</x:v>
      </x:c>
      <x:c r="N31" s="82" t="str">
        <x:v>待定</x:v>
      </x:c>
      <x:c r="O31" s="68" t="str">
        <x:v>木为火源，可能强化暖势</x:v>
      </x:c>
      <x:c r="P31" s="68" t="str">
        <x:v>待定</x:v>
      </x:c>
      <x:c r="Q31" s="68" t="str">
        <x:v>通过木→火链修正温度</x:v>
      </x:c>
      <x:c r="R31" s="82" t="str">
        <x:v>待定</x:v>
      </x:c>
      <x:c r="S31" s="82" t="str">
        <x:v>待定</x:v>
      </x:c>
      <x:c r="T31" s="82" t="str">
        <x:v>待定</x:v>
      </x:c>
      <x:c r="U31" s="82" t="str">
        <x:v>待定</x:v>
      </x:c>
      <x:c r="V31" s="82" t="str">
        <x:v>待定</x:v>
      </x:c>
      <x:c r="W31" s="68" t="str">
        <x:v>M02基础映射、M08五行有效旺衰、M12流通卡点已完成</x:v>
      </x:c>
      <x:c r="X31" s="68" t="str">
        <x:v>月令基准与全局有效五行均已核查</x:v>
      </x:c>
      <x:c r="Y31" s="68" t="str">
        <x:v>相关调候五行有根有源、透达且能真实改善关键气候问题</x:v>
      </x:c>
      <x:c r="Z31" s="68" t="str">
        <x:v>调候五行无根、受强制、被合绊、改性或加入后产生新的寒热燥湿问题</x:v>
      </x:c>
      <x:c r="AA31" s="90" t="str">
        <x:v>不得只凭出生月份或某一五行数量直接下最终调候结论</x:v>
      </x:c>
      <x:c r="AB31" s="68" t="str">
        <x:v>特殊格局、核心格局用神或更高优先级病药约束转M16—M18裁决</x:v>
      </x:c>
      <x:c r="AC31" s="84" t="str">
        <x:v>木生火升温</x:v>
      </x:c>
      <x:c r="AD31" s="84" t="str">
        <x:v>木旺可通过生火间接提高温度：温度轴判“待定”，湿度轴判“待定”；调候候选为“待定”，是否成为最终用神仍转M16—M18。</x:v>
      </x:c>
      <x:c r="AE31" s="82" t="str">
        <x:v>较高</x:v>
      </x:c>
      <x:c r="AF31" s="82" t="str">
        <x:v>调候</x:v>
      </x:c>
      <x:c r="AG31" s="68" t="str">
        <x:v>调候以月令气候为起点，但必须结合M08五行有效力量与M12流通状态修正；寒暖与燥湿分轴判断，调候候选不自动等于全局主用神。</x:v>
      </x:c>
      <x:c r="AH31" s="68" t="str">
        <x:v>当“木有力且火有根可承接木生火”真实成立，且调候机制能改善主要气候问题时，可按“木旺可通过生火间接提高温度”记录。</x:v>
      </x:c>
      <x:c r="AI31" s="90" t="str">
        <x:v>仅见月份或表面五行标签，但未满足“木有力且火有根可承接木生火”及必要修正条件时，不得套用“木旺可通过生火间接提高温度”。</x:v>
      </x:c>
      <x:c r="AJ31" s="82" t="str">
        <x:v>采用</x:v>
      </x:c>
      <x:c r="AK31" s="82" t="str">
        <x:v>初审</x:v>
      </x:c>
      <x:c r="AL31" s="87" t="n">
        <x:v>46255</x:v>
      </x:c>
    </x:row>
    <x:row r="32">
      <x:c r="A32" s="72" t="str">
        <x:f>IF(OR(C32="",D32=""),"",B32&amp;"-"&amp;UPPER(C32)&amp;"-"&amp;TEXT(D32,"0000")&amp;"-"&amp;E32)</x:f>
        <x:v>M13-TEMP-0026-V1.0</x:v>
      </x:c>
      <x:c r="B32" s="74" t="str">
        <x:v>M13</x:v>
      </x:c>
      <x:c r="C32" s="74" t="str">
        <x:v>TEMP</x:v>
      </x:c>
      <x:c r="D32" s="215" t="n">
        <x:v>26</x:v>
      </x:c>
      <x:c r="E32" s="74" t="str">
        <x:v>V1.0</x:v>
      </x:c>
      <x:c r="F32" s="68" t="str">
        <x:v>湿土重可晦火并降低实际暖局效率</x:v>
      </x:c>
      <x:c r="G32" s="82" t="str">
        <x:v>结构层</x:v>
      </x:c>
      <x:c r="H32" s="82" t="str">
        <x:v>寒暖轴</x:v>
      </x:c>
      <x:c r="I32" s="68" t="str">
        <x:v>通用</x:v>
      </x:c>
      <x:c r="J32" s="68" t="str">
        <x:v>辰丑湿土成势且火弱或火被湿土晦</x:v>
      </x:c>
      <x:c r="K32" s="68" t="str">
        <x:v>降温或暖效受限</x:v>
      </x:c>
      <x:c r="L32" s="68" t="str">
        <x:v>增湿</x:v>
      </x:c>
      <x:c r="M32" s="82" t="str">
        <x:v>待定</x:v>
      </x:c>
      <x:c r="N32" s="82" t="str">
        <x:v>偏湿</x:v>
      </x:c>
      <x:c r="O32" s="68" t="str">
        <x:v>湿土使火力难以透达</x:v>
      </x:c>
      <x:c r="P32" s="68" t="str">
        <x:v>火/木</x:v>
      </x:c>
      <x:c r="Q32" s="68" t="str">
        <x:v>暖土、疏土并恢复火势</x:v>
      </x:c>
      <x:c r="R32" s="82" t="str">
        <x:v>待定</x:v>
      </x:c>
      <x:c r="S32" s="82" t="str">
        <x:v>待定</x:v>
      </x:c>
      <x:c r="T32" s="82" t="str">
        <x:v>待定</x:v>
      </x:c>
      <x:c r="U32" s="82" t="str">
        <x:v>待定</x:v>
      </x:c>
      <x:c r="V32" s="82" t="str">
        <x:v>待定</x:v>
      </x:c>
      <x:c r="W32" s="68" t="str">
        <x:v>M02基础映射、M08五行有效旺衰、M12流通卡点已完成</x:v>
      </x:c>
      <x:c r="X32" s="68" t="str">
        <x:v>月令基准与全局有效五行均已核查</x:v>
      </x:c>
      <x:c r="Y32" s="68" t="str">
        <x:v>相关调候五行有根有源、透达且能真实改善关键气候问题</x:v>
      </x:c>
      <x:c r="Z32" s="68" t="str">
        <x:v>调候五行无根、受强制、被合绊、改性或加入后产生新的寒热燥湿问题</x:v>
      </x:c>
      <x:c r="AA32" s="90" t="str">
        <x:v>不得只凭出生月份或某一五行数量直接下最终调候结论</x:v>
      </x:c>
      <x:c r="AB32" s="68" t="str">
        <x:v>特殊格局、核心格局用神或更高优先级病药约束转M16—M18裁决</x:v>
      </x:c>
      <x:c r="AC32" s="84" t="str">
        <x:v>湿土晦火</x:v>
      </x:c>
      <x:c r="AD32" s="84" t="str">
        <x:v>湿土重可晦火并降低实际暖局效率：温度轴判“待定”，湿度轴判“偏湿”；调候候选为“火/木”，是否成为最终用神仍转M16—M18。</x:v>
      </x:c>
      <x:c r="AE32" s="82" t="str">
        <x:v>较高</x:v>
      </x:c>
      <x:c r="AF32" s="82" t="str">
        <x:v>调候</x:v>
      </x:c>
      <x:c r="AG32" s="68" t="str">
        <x:v>调候以月令气候为起点，但必须结合M08五行有效力量与M12流通状态修正；寒暖与燥湿分轴判断，调候候选不自动等于全局主用神。</x:v>
      </x:c>
      <x:c r="AH32" s="68" t="str">
        <x:v>当“辰丑湿土成势且火弱或火被湿土晦”真实成立，且调候机制能改善主要气候问题时，可按“湿土重可晦火并降低实际暖局效率”记录。</x:v>
      </x:c>
      <x:c r="AI32" s="90" t="str">
        <x:v>仅见月份或表面五行标签，但未满足“辰丑湿土成势且火弱或火被湿土晦”及必要修正条件时，不得套用“湿土重可晦火并降低实际暖局效率”。</x:v>
      </x:c>
      <x:c r="AJ32" s="82" t="str">
        <x:v>采用</x:v>
      </x:c>
      <x:c r="AK32" s="82" t="str">
        <x:v>初审</x:v>
      </x:c>
      <x:c r="AL32" s="87" t="n">
        <x:v>46255</x:v>
      </x:c>
    </x:row>
    <x:row r="33">
      <x:c r="A33" s="72" t="str">
        <x:f>IF(OR(C33="",D33=""),"",B33&amp;"-"&amp;UPPER(C33)&amp;"-"&amp;TEXT(D33,"0000")&amp;"-"&amp;E33)</x:f>
        <x:v>M13-TEMP-0027-V1.0</x:v>
      </x:c>
      <x:c r="B33" s="74" t="str">
        <x:v>M13</x:v>
      </x:c>
      <x:c r="C33" s="74" t="str">
        <x:v>TEMP</x:v>
      </x:c>
      <x:c r="D33" s="215" t="n">
        <x:v>27</x:v>
      </x:c>
      <x:c r="E33" s="74" t="str">
        <x:v>V1.0</x:v>
      </x:c>
      <x:c r="F33" s="68" t="str">
        <x:v>燥土与强火并见会放大热势</x:v>
      </x:c>
      <x:c r="G33" s="82" t="str">
        <x:v>结构层</x:v>
      </x:c>
      <x:c r="H33" s="82" t="str">
        <x:v>寒暖轴</x:v>
      </x:c>
      <x:c r="I33" s="68" t="str">
        <x:v>通用</x:v>
      </x:c>
      <x:c r="J33" s="68" t="str">
        <x:v>未戌燥土有力且火旺</x:v>
      </x:c>
      <x:c r="K33" s="68" t="str">
        <x:v>明显升温</x:v>
      </x:c>
      <x:c r="L33" s="68" t="str">
        <x:v>增燥</x:v>
      </x:c>
      <x:c r="M33" s="82" t="str">
        <x:v>极热</x:v>
      </x:c>
      <x:c r="N33" s="82" t="str">
        <x:v>偏燥</x:v>
      </x:c>
      <x:c r="O33" s="68" t="str">
        <x:v>热燥相互强化</x:v>
      </x:c>
      <x:c r="P33" s="68" t="str">
        <x:v>水</x:v>
      </x:c>
      <x:c r="Q33" s="68" t="str">
        <x:v>降温润燥</x:v>
      </x:c>
      <x:c r="R33" s="82" t="str">
        <x:v>待定</x:v>
      </x:c>
      <x:c r="S33" s="82" t="str">
        <x:v>待定</x:v>
      </x:c>
      <x:c r="T33" s="82" t="str">
        <x:v>高</x:v>
      </x:c>
      <x:c r="U33" s="82" t="str">
        <x:v>待定</x:v>
      </x:c>
      <x:c r="V33" s="82" t="str">
        <x:v>待定</x:v>
      </x:c>
      <x:c r="W33" s="68" t="str">
        <x:v>M02基础映射、M08五行有效旺衰、M12流通卡点已完成</x:v>
      </x:c>
      <x:c r="X33" s="68" t="str">
        <x:v>月令基准与全局有效五行均已核查</x:v>
      </x:c>
      <x:c r="Y33" s="68" t="str">
        <x:v>相关调候五行有根有源、透达且能真实改善关键气候问题</x:v>
      </x:c>
      <x:c r="Z33" s="68" t="str">
        <x:v>调候五行无根、受强制、被合绊、改性或加入后产生新的寒热燥湿问题</x:v>
      </x:c>
      <x:c r="AA33" s="90" t="str">
        <x:v>不得只凭出生月份或某一五行数量直接下最终调候结论</x:v>
      </x:c>
      <x:c r="AB33" s="68" t="str">
        <x:v>特殊格局、核心格局用神或更高优先级病药约束转M16—M18裁决</x:v>
      </x:c>
      <x:c r="AC33" s="84" t="str">
        <x:v>火燥土增热</x:v>
      </x:c>
      <x:c r="AD33" s="84" t="str">
        <x:v>燥土与强火并见会放大热势：温度轴判“极热”，湿度轴判“偏燥”；调候候选为“水”，是否成为最终用神仍转M16—M18。</x:v>
      </x:c>
      <x:c r="AE33" s="82" t="str">
        <x:v>较高</x:v>
      </x:c>
      <x:c r="AF33" s="82" t="str">
        <x:v>调候</x:v>
      </x:c>
      <x:c r="AG33" s="68" t="str">
        <x:v>调候以月令气候为起点，但必须结合M08五行有效力量与M12流通状态修正；寒暖与燥湿分轴判断，调候候选不自动等于全局主用神。</x:v>
      </x:c>
      <x:c r="AH33" s="68" t="str">
        <x:v>当“未戌燥土有力且火旺”真实成立，且调候机制能改善主要气候问题时，可按“燥土与强火并见会放大热势”记录。</x:v>
      </x:c>
      <x:c r="AI33" s="90" t="str">
        <x:v>仅见月份或表面五行标签，但未满足“未戌燥土有力且火旺”及必要修正条件时，不得套用“燥土与强火并见会放大热势”。</x:v>
      </x:c>
      <x:c r="AJ33" s="82" t="str">
        <x:v>采用</x:v>
      </x:c>
      <x:c r="AK33" s="82" t="str">
        <x:v>初审</x:v>
      </x:c>
      <x:c r="AL33" s="87" t="n">
        <x:v>46255</x:v>
      </x:c>
    </x:row>
    <x:row r="34">
      <x:c r="A34" s="72" t="str">
        <x:f>IF(OR(C34="",D34=""),"",B34&amp;"-"&amp;UPPER(C34)&amp;"-"&amp;TEXT(D34,"0000")&amp;"-"&amp;E34)</x:f>
        <x:v>M13-TEMP-0028-V1.0</x:v>
      </x:c>
      <x:c r="B34" s="74" t="str">
        <x:v>M13</x:v>
      </x:c>
      <x:c r="C34" s="74" t="str">
        <x:v>TEMP</x:v>
      </x:c>
      <x:c r="D34" s="215" t="n">
        <x:v>28</x:v>
      </x:c>
      <x:c r="E34" s="74" t="str">
        <x:v>V1.0</x:v>
      </x:c>
      <x:c r="F34" s="68" t="str">
        <x:v>金旺本身不直接等同寒但秋令可增强凉性</x:v>
      </x:c>
      <x:c r="G34" s="82" t="str">
        <x:v>结构层</x:v>
      </x:c>
      <x:c r="H34" s="82" t="str">
        <x:v>寒暖轴</x:v>
      </x:c>
      <x:c r="I34" s="68" t="str">
        <x:v>通用</x:v>
      </x:c>
      <x:c r="J34" s="68" t="str">
        <x:v>申酉金旺，且全局火弱、水势又偏强</x:v>
      </x:c>
      <x:c r="K34" s="68" t="str">
        <x:v>偏向降温</x:v>
      </x:c>
      <x:c r="L34" s="68" t="str">
        <x:v>待定</x:v>
      </x:c>
      <x:c r="M34" s="82" t="str">
        <x:v>偏寒</x:v>
      </x:c>
      <x:c r="N34" s="82" t="str">
        <x:v>待定</x:v>
      </x:c>
      <x:c r="O34" s="68" t="str">
        <x:v>秋凉在水强火弱时更明显</x:v>
      </x:c>
      <x:c r="P34" s="68" t="str">
        <x:v>火</x:v>
      </x:c>
      <x:c r="Q34" s="68" t="str">
        <x:v>适度暖局</x:v>
      </x:c>
      <x:c r="R34" s="82" t="str">
        <x:v>待定</x:v>
      </x:c>
      <x:c r="S34" s="82" t="str">
        <x:v>待定</x:v>
      </x:c>
      <x:c r="T34" s="82" t="str">
        <x:v>待定</x:v>
      </x:c>
      <x:c r="U34" s="82" t="str">
        <x:v>待定</x:v>
      </x:c>
      <x:c r="V34" s="82" t="str">
        <x:v>待定</x:v>
      </x:c>
      <x:c r="W34" s="68" t="str">
        <x:v>M02基础映射、M08五行有效旺衰、M12流通卡点已完成</x:v>
      </x:c>
      <x:c r="X34" s="68" t="str">
        <x:v>月令基准与全局有效五行均已核查</x:v>
      </x:c>
      <x:c r="Y34" s="68" t="str">
        <x:v>相关调候五行有根有源、透达且能真实改善关键气候问题</x:v>
      </x:c>
      <x:c r="Z34" s="68" t="str">
        <x:v>调候五行无根、受强制、被合绊、改性或加入后产生新的寒热燥湿问题</x:v>
      </x:c>
      <x:c r="AA34" s="90" t="str">
        <x:v>不得只凭出生月份或某一五行数量直接下最终调候结论</x:v>
      </x:c>
      <x:c r="AB34" s="68" t="str">
        <x:v>特殊格局、核心格局用神或更高优先级病药约束转M16—M18裁决</x:v>
      </x:c>
      <x:c r="AC34" s="84" t="str">
        <x:v>秋金凉性条件化</x:v>
      </x:c>
      <x:c r="AD34" s="84" t="str">
        <x:v>金旺本身不直接等同寒但秋令可增强凉性：温度轴判“偏寒”，湿度轴判“待定”；调候候选为“火”，是否成为最终用神仍转M16—M18。</x:v>
      </x:c>
      <x:c r="AE34" s="82" t="str">
        <x:v>较高</x:v>
      </x:c>
      <x:c r="AF34" s="82" t="str">
        <x:v>调候</x:v>
      </x:c>
      <x:c r="AG34" s="68" t="str">
        <x:v>调候以月令气候为起点，但必须结合M08五行有效力量与M12流通状态修正；寒暖与燥湿分轴判断，调候候选不自动等于全局主用神。</x:v>
      </x:c>
      <x:c r="AH34" s="68" t="str">
        <x:v>当“申酉金旺，且全局火弱、水势又偏强”真实成立，且调候机制能改善主要气候问题时，可按“金旺本身不直接等同寒但秋令可增强凉性”记录。</x:v>
      </x:c>
      <x:c r="AI34" s="90" t="str">
        <x:v>仅见月份或表面五行标签，但未满足“申酉金旺，且全局火弱、水势又偏强”及必要修正条件时，不得套用“金旺本身不直接等同寒但秋令可增强凉性”。</x:v>
      </x:c>
      <x:c r="AJ34" s="82" t="str">
        <x:v>采用</x:v>
      </x:c>
      <x:c r="AK34" s="82" t="str">
        <x:v>初审</x:v>
      </x:c>
      <x:c r="AL34" s="87" t="n">
        <x:v>46255</x:v>
      </x:c>
    </x:row>
    <x:row r="35">
      <x:c r="A35" s="72" t="str">
        <x:f>IF(OR(C35="",D35=""),"",B35&amp;"-"&amp;UPPER(C35)&amp;"-"&amp;TEXT(D35,"0000")&amp;"-"&amp;E35)</x:f>
        <x:v>M13-TEMP-0029-V1.0</x:v>
      </x:c>
      <x:c r="B35" s="74" t="str">
        <x:v>M13</x:v>
      </x:c>
      <x:c r="C35" s="74" t="str">
        <x:v>TEMP</x:v>
      </x:c>
      <x:c r="D35" s="215" t="n">
        <x:v>29</x:v>
      </x:c>
      <x:c r="E35" s="74" t="str">
        <x:v>V1.0</x:v>
      </x:c>
      <x:c r="F35" s="68" t="str">
        <x:v>寒暖平衡必须同时排除极端火水集团</x:v>
      </x:c>
      <x:c r="G35" s="82" t="str">
        <x:v>结构层</x:v>
      </x:c>
      <x:c r="H35" s="82" t="str">
        <x:v>寒暖轴</x:v>
      </x:c>
      <x:c r="I35" s="68" t="str">
        <x:v>通用</x:v>
      </x:c>
      <x:c r="J35" s="68" t="str">
        <x:v>月令基准经火水修正后无一方形成决定性热寒优势</x:v>
      </x:c>
      <x:c r="K35" s="68" t="str">
        <x:v>相互抵消</x:v>
      </x:c>
      <x:c r="L35" s="68" t="str">
        <x:v>待定</x:v>
      </x:c>
      <x:c r="M35" s="82" t="str">
        <x:v>平衡</x:v>
      </x:c>
      <x:c r="N35" s="82" t="str">
        <x:v>待定</x:v>
      </x:c>
      <x:c r="O35" s="68" t="str">
        <x:v>无明显温度病</x:v>
      </x:c>
      <x:c r="P35" s="68" t="str">
        <x:v>待定</x:v>
      </x:c>
      <x:c r="Q35" s="68" t="str">
        <x:v>通常不需以调温为首要</x:v>
      </x:c>
      <x:c r="R35" s="82" t="str">
        <x:v>待定</x:v>
      </x:c>
      <x:c r="S35" s="82" t="str">
        <x:v>待定</x:v>
      </x:c>
      <x:c r="T35" s="82" t="str">
        <x:v>低</x:v>
      </x:c>
      <x:c r="U35" s="82" t="str">
        <x:v>待定</x:v>
      </x:c>
      <x:c r="V35" s="82" t="str">
        <x:v>待定</x:v>
      </x:c>
      <x:c r="W35" s="68" t="str">
        <x:v>M02基础映射、M08五行有效旺衰、M12流通卡点已完成</x:v>
      </x:c>
      <x:c r="X35" s="68" t="str">
        <x:v>月令基准与全局有效五行均已核查</x:v>
      </x:c>
      <x:c r="Y35" s="68" t="str">
        <x:v>相关调候五行有根有源、透达且能真实改善关键气候问题</x:v>
      </x:c>
      <x:c r="Z35" s="68" t="str">
        <x:v>调候五行无根、受强制、被合绊、改性或加入后产生新的寒热燥湿问题</x:v>
      </x:c>
      <x:c r="AA35" s="90" t="str">
        <x:v>不得只凭出生月份或某一五行数量直接下最终调候结论</x:v>
      </x:c>
      <x:c r="AB35" s="68" t="str">
        <x:v>特殊格局、核心格局用神或更高优先级病药约束转M16—M18裁决</x:v>
      </x:c>
      <x:c r="AC35" s="84" t="str">
        <x:v>寒暖平衡</x:v>
      </x:c>
      <x:c r="AD35" s="84" t="str">
        <x:v>寒暖平衡必须同时排除极端火水集团：温度轴判“平衡”，湿度轴判“待定”；调候候选为“待定”，是否成为最终用神仍转M16—M18。</x:v>
      </x:c>
      <x:c r="AE35" s="82" t="str">
        <x:v>较高</x:v>
      </x:c>
      <x:c r="AF35" s="82" t="str">
        <x:v>调候</x:v>
      </x:c>
      <x:c r="AG35" s="68" t="str">
        <x:v>调候以月令气候为起点，但必须结合M08五行有效力量与M12流通状态修正；寒暖与燥湿分轴判断，调候候选不自动等于全局主用神。</x:v>
      </x:c>
      <x:c r="AH35" s="68" t="str">
        <x:v>当“月令基准经火水修正后无一方形成决定性热寒优势”真实成立，且调候机制能改善主要气候问题时，可按“寒暖平衡必须同时排除极端火水集团”记录。</x:v>
      </x:c>
      <x:c r="AI35" s="90" t="str">
        <x:v>仅见月份或表面五行标签，但未满足“月令基准经火水修正后无一方形成决定性热寒优势”及必要修正条件时，不得套用“寒暖平衡必须同时排除极端火水集团”。</x:v>
      </x:c>
      <x:c r="AJ35" s="82" t="str">
        <x:v>采用</x:v>
      </x:c>
      <x:c r="AK35" s="82" t="str">
        <x:v>初审</x:v>
      </x:c>
      <x:c r="AL35" s="87" t="n">
        <x:v>46255</x:v>
      </x:c>
    </x:row>
    <x:row r="36">
      <x:c r="A36" s="72" t="str">
        <x:f>IF(OR(C36="",D36=""),"",B36&amp;"-"&amp;UPPER(C36)&amp;"-"&amp;TEXT(D36,"0000")&amp;"-"&amp;E36)</x:f>
        <x:v>M13-TEMP-0030-V1.0</x:v>
      </x:c>
      <x:c r="B36" s="74" t="str">
        <x:v>M13</x:v>
      </x:c>
      <x:c r="C36" s="74" t="str">
        <x:v>TEMP</x:v>
      </x:c>
      <x:c r="D36" s="215" t="n">
        <x:v>30</x:v>
      </x:c>
      <x:c r="E36" s="74" t="str">
        <x:v>V1.0</x:v>
      </x:c>
      <x:c r="F36" s="68" t="str">
        <x:v>温度极端只有影响功能时才升格为首要病</x:v>
      </x:c>
      <x:c r="G36" s="82" t="str">
        <x:v>结构层</x:v>
      </x:c>
      <x:c r="H36" s="82" t="str">
        <x:v>寒暖轴</x:v>
      </x:c>
      <x:c r="I36" s="68" t="str">
        <x:v>通用</x:v>
      </x:c>
      <x:c r="J36" s="68" t="str">
        <x:v>极寒或极热同时造成M12主路径寒凝、燥枯、火熄或水涸等功能问题</x:v>
      </x:c>
      <x:c r="K36" s="68" t="str">
        <x:v>待定</x:v>
      </x:c>
      <x:c r="L36" s="68" t="str">
        <x:v>待定</x:v>
      </x:c>
      <x:c r="M36" s="82" t="str">
        <x:v>待定</x:v>
      </x:c>
      <x:c r="N36" s="82" t="str">
        <x:v>待定</x:v>
      </x:c>
      <x:c r="O36" s="68" t="str">
        <x:v>温度极端已阻断生化</x:v>
      </x:c>
      <x:c r="P36" s="68" t="str">
        <x:v>火/水</x:v>
      </x:c>
      <x:c r="Q36" s="68" t="str">
        <x:v>恢复基本温度条件</x:v>
      </x:c>
      <x:c r="R36" s="82" t="str">
        <x:v>待定</x:v>
      </x:c>
      <x:c r="S36" s="82" t="str">
        <x:v>待定</x:v>
      </x:c>
      <x:c r="T36" s="82" t="str">
        <x:v>首要</x:v>
      </x:c>
      <x:c r="U36" s="82" t="str">
        <x:v>待定</x:v>
      </x:c>
      <x:c r="V36" s="82" t="str">
        <x:v>待定</x:v>
      </x:c>
      <x:c r="W36" s="68" t="str">
        <x:v>M02基础映射、M08五行有效旺衰、M12流通卡点已完成</x:v>
      </x:c>
      <x:c r="X36" s="68" t="str">
        <x:v>月令基准与全局有效五行均已核查</x:v>
      </x:c>
      <x:c r="Y36" s="68" t="str">
        <x:v>相关调候五行有根有源、透达且能真实改善关键气候问题</x:v>
      </x:c>
      <x:c r="Z36" s="68" t="str">
        <x:v>调候五行无根、受强制、被合绊、改性或加入后产生新的寒热燥湿问题</x:v>
      </x:c>
      <x:c r="AA36" s="90" t="str">
        <x:v>不得只凭出生月份或某一五行数量直接下最终调候结论</x:v>
      </x:c>
      <x:c r="AB36" s="68" t="str">
        <x:v>特殊格局、核心格局用神或更高优先级病药约束转M16—M18裁决</x:v>
      </x:c>
      <x:c r="AC36" s="84" t="str">
        <x:v>温度极端功能化</x:v>
      </x:c>
      <x:c r="AD36" s="84" t="str">
        <x:v>温度极端只有影响功能时才升格为首要病：温度轴判“待定”，湿度轴判“待定”；调候候选为“火/水”，是否成为最终用神仍转M16—M18。</x:v>
      </x:c>
      <x:c r="AE36" s="82" t="str">
        <x:v>较高</x:v>
      </x:c>
      <x:c r="AF36" s="82" t="str">
        <x:v>调候</x:v>
      </x:c>
      <x:c r="AG36" s="68" t="str">
        <x:v>调候以月令气候为起点，但必须结合M08五行有效力量与M12流通状态修正；寒暖与燥湿分轴判断，调候候选不自动等于全局主用神。</x:v>
      </x:c>
      <x:c r="AH36" s="68" t="str">
        <x:v>当“极寒或极热同时造成M12主路径寒凝、燥枯、火熄或水涸等功能问题”真实成立，且调候机制能改善主要气候问题时，可按“温度极端只有影响功能时才升格为首要病”记录。</x:v>
      </x:c>
      <x:c r="AI36" s="90" t="str">
        <x:v>仅见月份或表面五行标签，但未满足“极寒或极热同时造成M12主路径寒凝、燥枯、火熄或水涸等功能问题”及必要修正条件时，不得套用“温度极端只有影响功能时才升格为首要病”。</x:v>
      </x:c>
      <x:c r="AJ36" s="82" t="str">
        <x:v>采用</x:v>
      </x:c>
      <x:c r="AK36" s="82" t="str">
        <x:v>初审</x:v>
      </x:c>
      <x:c r="AL36" s="87" t="n">
        <x:v>46255</x:v>
      </x:c>
    </x:row>
    <x:row r="37">
      <x:c r="A37" s="72" t="str">
        <x:f>IF(OR(C37="",D37=""),"",B37&amp;"-"&amp;UPPER(C37)&amp;"-"&amp;TEXT(D37,"0000")&amp;"-"&amp;E37)</x:f>
        <x:v>M13-HUMID-0031-V1.0</x:v>
      </x:c>
      <x:c r="B37" s="74" t="str">
        <x:v>M13</x:v>
      </x:c>
      <x:c r="C37" s="74" t="str">
        <x:v>HUMID</x:v>
      </x:c>
      <x:c r="D37" s="215" t="n">
        <x:v>31</x:v>
      </x:c>
      <x:c r="E37" s="74" t="str">
        <x:v>V1.0</x:v>
      </x:c>
      <x:c r="F37" s="68" t="str">
        <x:v>强水与湿土同势会显著提高湿度</x:v>
      </x:c>
      <x:c r="G37" s="82" t="str">
        <x:v>结构层</x:v>
      </x:c>
      <x:c r="H37" s="82" t="str">
        <x:v>燥湿轴</x:v>
      </x:c>
      <x:c r="I37" s="68" t="str">
        <x:v>通用</x:v>
      </x:c>
      <x:c r="J37" s="68" t="str">
        <x:v>水旺且辰丑湿土有力，或湿土重复成势</x:v>
      </x:c>
      <x:c r="K37" s="68" t="str">
        <x:v>待定</x:v>
      </x:c>
      <x:c r="L37" s="68" t="str">
        <x:v>明显增湿</x:v>
      </x:c>
      <x:c r="M37" s="82" t="str">
        <x:v>待定</x:v>
      </x:c>
      <x:c r="N37" s="82" t="str">
        <x:v>极湿</x:v>
      </x:c>
      <x:c r="O37" s="68" t="str">
        <x:v>水湿壅滞、火木生化受阻</x:v>
      </x:c>
      <x:c r="P37" s="68" t="str">
        <x:v>火/木</x:v>
      </x:c>
      <x:c r="Q37" s="68" t="str">
        <x:v>暖湿、疏土、推动生化</x:v>
      </x:c>
      <x:c r="R37" s="82" t="str">
        <x:v>待定</x:v>
      </x:c>
      <x:c r="S37" s="82" t="str">
        <x:v>待定</x:v>
      </x:c>
      <x:c r="T37" s="82" t="str">
        <x:v>高</x:v>
      </x:c>
      <x:c r="U37" s="82" t="str">
        <x:v>待定</x:v>
      </x:c>
      <x:c r="V37" s="82" t="str">
        <x:v>待定</x:v>
      </x:c>
      <x:c r="W37" s="68" t="str">
        <x:v>M02基础映射、M08五行有效旺衰、M12流通卡点已完成</x:v>
      </x:c>
      <x:c r="X37" s="68" t="str">
        <x:v>月令基准与全局有效五行均已核查</x:v>
      </x:c>
      <x:c r="Y37" s="68" t="str">
        <x:v>相关调候五行有根有源、透达且能真实改善关键气候问题</x:v>
      </x:c>
      <x:c r="Z37" s="68" t="str">
        <x:v>调候五行无根、受强制、被合绊、改性或加入后产生新的寒热燥湿问题</x:v>
      </x:c>
      <x:c r="AA37" s="90" t="str">
        <x:v>不得只凭出生月份或某一五行数量直接下最终调候结论</x:v>
      </x:c>
      <x:c r="AB37" s="68" t="str">
        <x:v>特殊格局、核心格局用神或更高优先级病药约束转M16—M18裁决</x:v>
      </x:c>
      <x:c r="AC37" s="84" t="str">
        <x:v>水湿同势</x:v>
      </x:c>
      <x:c r="AD37" s="84" t="str">
        <x:v>强水与湿土同势会显著提高湿度：温度轴判“待定”，湿度轴判“极湿”；调候候选为“火/木”，是否成为最终用神仍转M16—M18。</x:v>
      </x:c>
      <x:c r="AE37" s="82" t="str">
        <x:v>较高</x:v>
      </x:c>
      <x:c r="AF37" s="82" t="str">
        <x:v>调候</x:v>
      </x:c>
      <x:c r="AG37" s="68" t="str">
        <x:v>调候以月令气候为起点，但必须结合M08五行有效力量与M12流通状态修正；寒暖与燥湿分轴判断，调候候选不自动等于全局主用神。</x:v>
      </x:c>
      <x:c r="AH37" s="68" t="str">
        <x:v>当“水旺且辰丑湿土有力，或湿土重复成势”真实成立，且调候机制能改善主要气候问题时，可按“强水与湿土同势会显著提高湿度”记录。</x:v>
      </x:c>
      <x:c r="AI37" s="90" t="str">
        <x:v>仅见月份或表面五行标签，但未满足“水旺且辰丑湿土有力，或湿土重复成势”及必要修正条件时，不得套用“强水与湿土同势会显著提高湿度”。</x:v>
      </x:c>
      <x:c r="AJ37" s="82" t="str">
        <x:v>采用</x:v>
      </x:c>
      <x:c r="AK37" s="82" t="str">
        <x:v>初审</x:v>
      </x:c>
      <x:c r="AL37" s="87" t="n">
        <x:v>46255</x:v>
      </x:c>
    </x:row>
    <x:row r="38">
      <x:c r="A38" s="72" t="str">
        <x:f>IF(OR(C38="",D38=""),"",B38&amp;"-"&amp;UPPER(C38)&amp;"-"&amp;TEXT(D38,"0000")&amp;"-"&amp;E38)</x:f>
        <x:v>M13-HUMID-0032-V1.0</x:v>
      </x:c>
      <x:c r="B38" s="74" t="str">
        <x:v>M13</x:v>
      </x:c>
      <x:c r="C38" s="74" t="str">
        <x:v>HUMID</x:v>
      </x:c>
      <x:c r="D38" s="215" t="n">
        <x:v>32</x:v>
      </x:c>
      <x:c r="E38" s="74" t="str">
        <x:v>V1.0</x:v>
      </x:c>
      <x:c r="F38" s="68" t="str">
        <x:v>水旺但土不湿未必达到极湿</x:v>
      </x:c>
      <x:c r="G38" s="82" t="str">
        <x:v>结构层</x:v>
      </x:c>
      <x:c r="H38" s="82" t="str">
        <x:v>燥湿轴</x:v>
      </x:c>
      <x:c r="I38" s="68" t="str">
        <x:v>通用</x:v>
      </x:c>
      <x:c r="J38" s="68" t="str">
        <x:v>水旺但湿土不足，且火木仍能有效流通</x:v>
      </x:c>
      <x:c r="K38" s="68" t="str">
        <x:v>待定</x:v>
      </x:c>
      <x:c r="L38" s="68" t="str">
        <x:v>增湿有限</x:v>
      </x:c>
      <x:c r="M38" s="82" t="str">
        <x:v>待定</x:v>
      </x:c>
      <x:c r="N38" s="82" t="str">
        <x:v>偏湿</x:v>
      </x:c>
      <x:c r="O38" s="68" t="str">
        <x:v>湿度增加但未形成壅滞</x:v>
      </x:c>
      <x:c r="P38" s="68" t="str">
        <x:v>待定</x:v>
      </x:c>
      <x:c r="Q38" s="68" t="str">
        <x:v>视流通是否受阻决定</x:v>
      </x:c>
      <x:c r="R38" s="82" t="str">
        <x:v>待定</x:v>
      </x:c>
      <x:c r="S38" s="82" t="str">
        <x:v>待定</x:v>
      </x:c>
      <x:c r="T38" s="82" t="str">
        <x:v>中</x:v>
      </x:c>
      <x:c r="U38" s="82" t="str">
        <x:v>待定</x:v>
      </x:c>
      <x:c r="V38" s="82" t="str">
        <x:v>待定</x:v>
      </x:c>
      <x:c r="W38" s="68" t="str">
        <x:v>M02基础映射、M08五行有效旺衰、M12流通卡点已完成</x:v>
      </x:c>
      <x:c r="X38" s="68" t="str">
        <x:v>月令基准与全局有效五行均已核查</x:v>
      </x:c>
      <x:c r="Y38" s="68" t="str">
        <x:v>相关调候五行有根有源、透达且能真实改善关键气候问题</x:v>
      </x:c>
      <x:c r="Z38" s="68" t="str">
        <x:v>调候五行无根、受强制、被合绊、改性或加入后产生新的寒热燥湿问题</x:v>
      </x:c>
      <x:c r="AA38" s="90" t="str">
        <x:v>不得只凭出生月份或某一五行数量直接下最终调候结论</x:v>
      </x:c>
      <x:c r="AB38" s="68" t="str">
        <x:v>特殊格局、核心格局用神或更高优先级病药约束转M16—M18裁决</x:v>
      </x:c>
      <x:c r="AC38" s="84" t="str">
        <x:v>水旺非极湿</x:v>
      </x:c>
      <x:c r="AD38" s="84" t="str">
        <x:v>水旺但土不湿未必达到极湿：温度轴判“待定”，湿度轴判“偏湿”；调候候选为“待定”，是否成为最终用神仍转M16—M18。</x:v>
      </x:c>
      <x:c r="AE38" s="82" t="str">
        <x:v>较高</x:v>
      </x:c>
      <x:c r="AF38" s="82" t="str">
        <x:v>调候</x:v>
      </x:c>
      <x:c r="AG38" s="68" t="str">
        <x:v>调候以月令气候为起点，但必须结合M08五行有效力量与M12流通状态修正；寒暖与燥湿分轴判断，调候候选不自动等于全局主用神。</x:v>
      </x:c>
      <x:c r="AH38" s="68" t="str">
        <x:v>当“水旺但湿土不足，且火木仍能有效流通”真实成立，且调候机制能改善主要气候问题时，可按“水旺但土不湿未必达到极湿”记录。</x:v>
      </x:c>
      <x:c r="AI38" s="90" t="str">
        <x:v>仅见月份或表面五行标签，但未满足“水旺但湿土不足，且火木仍能有效流通”及必要修正条件时，不得套用“水旺但土不湿未必达到极湿”。</x:v>
      </x:c>
      <x:c r="AJ38" s="82" t="str">
        <x:v>采用</x:v>
      </x:c>
      <x:c r="AK38" s="82" t="str">
        <x:v>初审</x:v>
      </x:c>
      <x:c r="AL38" s="87" t="n">
        <x:v>46255</x:v>
      </x:c>
    </x:row>
    <x:row r="39">
      <x:c r="A39" s="72" t="str">
        <x:f>IF(OR(C39="",D39=""),"",B39&amp;"-"&amp;UPPER(C39)&amp;"-"&amp;TEXT(D39,"0000")&amp;"-"&amp;E39)</x:f>
        <x:v>M13-HUMID-0033-V1.0</x:v>
      </x:c>
      <x:c r="B39" s="74" t="str">
        <x:v>M13</x:v>
      </x:c>
      <x:c r="C39" s="74" t="str">
        <x:v>HUMID</x:v>
      </x:c>
      <x:c r="D39" s="215" t="n">
        <x:v>33</x:v>
      </x:c>
      <x:c r="E39" s="74" t="str">
        <x:v>V1.0</x:v>
      </x:c>
      <x:c r="F39" s="68" t="str">
        <x:v>辰丑湿土成势属于增湿的重要证据</x:v>
      </x:c>
      <x:c r="G39" s="82" t="str">
        <x:v>结构层</x:v>
      </x:c>
      <x:c r="H39" s="82" t="str">
        <x:v>燥湿轴</x:v>
      </x:c>
      <x:c r="I39" s="68" t="str">
        <x:v>通用</x:v>
      </x:c>
      <x:c r="J39" s="68" t="str">
        <x:v>辰丑多现且有效，未被强火燥化</x:v>
      </x:c>
      <x:c r="K39" s="68" t="str">
        <x:v>待定</x:v>
      </x:c>
      <x:c r="L39" s="68" t="str">
        <x:v>明显增湿</x:v>
      </x:c>
      <x:c r="M39" s="82" t="str">
        <x:v>待定</x:v>
      </x:c>
      <x:c r="N39" s="82" t="str">
        <x:v>偏湿</x:v>
      </x:c>
      <x:c r="O39" s="68" t="str">
        <x:v>湿土储湿、滞气</x:v>
      </x:c>
      <x:c r="P39" s="68" t="str">
        <x:v>火/木</x:v>
      </x:c>
      <x:c r="Q39" s="68" t="str">
        <x:v>暖土疏湿</x:v>
      </x:c>
      <x:c r="R39" s="82" t="str">
        <x:v>待定</x:v>
      </x:c>
      <x:c r="S39" s="82" t="str">
        <x:v>待定</x:v>
      </x:c>
      <x:c r="T39" s="82" t="str">
        <x:v>待定</x:v>
      </x:c>
      <x:c r="U39" s="82" t="str">
        <x:v>待定</x:v>
      </x:c>
      <x:c r="V39" s="82" t="str">
        <x:v>待定</x:v>
      </x:c>
      <x:c r="W39" s="68" t="str">
        <x:v>M02基础映射、M08五行有效旺衰、M12流通卡点已完成</x:v>
      </x:c>
      <x:c r="X39" s="68" t="str">
        <x:v>月令基准与全局有效五行均已核查</x:v>
      </x:c>
      <x:c r="Y39" s="68" t="str">
        <x:v>相关调候五行有根有源、透达且能真实改善关键气候问题</x:v>
      </x:c>
      <x:c r="Z39" s="68" t="str">
        <x:v>调候五行无根、受强制、被合绊、改性或加入后产生新的寒热燥湿问题</x:v>
      </x:c>
      <x:c r="AA39" s="90" t="str">
        <x:v>不得只凭出生月份或某一五行数量直接下最终调候结论</x:v>
      </x:c>
      <x:c r="AB39" s="68" t="str">
        <x:v>特殊格局、核心格局用神或更高优先级病药约束转M16—M18裁决</x:v>
      </x:c>
      <x:c r="AC39" s="84" t="str">
        <x:v>辰丑湿土</x:v>
      </x:c>
      <x:c r="AD39" s="84" t="str">
        <x:v>辰丑湿土成势属于增湿的重要证据：温度轴判“待定”，湿度轴判“偏湿”；调候候选为“火/木”，是否成为最终用神仍转M16—M18。</x:v>
      </x:c>
      <x:c r="AE39" s="82" t="str">
        <x:v>较高</x:v>
      </x:c>
      <x:c r="AF39" s="82" t="str">
        <x:v>调候</x:v>
      </x:c>
      <x:c r="AG39" s="68" t="str">
        <x:v>调候以月令气候为起点，但必须结合M08五行有效力量与M12流通状态修正；寒暖与燥湿分轴判断，调候候选不自动等于全局主用神。</x:v>
      </x:c>
      <x:c r="AH39" s="68" t="str">
        <x:v>当“辰丑多现且有效，未被强火燥化”真实成立，且调候机制能改善主要气候问题时，可按“辰丑湿土成势属于增湿的重要证据”记录。</x:v>
      </x:c>
      <x:c r="AI39" s="90" t="str">
        <x:v>仅见月份或表面五行标签，但未满足“辰丑多现且有效，未被强火燥化”及必要修正条件时，不得套用“辰丑湿土成势属于增湿的重要证据”。</x:v>
      </x:c>
      <x:c r="AJ39" s="82" t="str">
        <x:v>采用</x:v>
      </x:c>
      <x:c r="AK39" s="82" t="str">
        <x:v>初审</x:v>
      </x:c>
      <x:c r="AL39" s="87" t="n">
        <x:v>46255</x:v>
      </x:c>
    </x:row>
    <x:row r="40">
      <x:c r="A40" s="72" t="str">
        <x:f>IF(OR(C40="",D40=""),"",B40&amp;"-"&amp;UPPER(C40)&amp;"-"&amp;TEXT(D40,"0000")&amp;"-"&amp;E40)</x:f>
        <x:v>M13-HUMID-0034-V1.0</x:v>
      </x:c>
      <x:c r="B40" s="74" t="str">
        <x:v>M13</x:v>
      </x:c>
      <x:c r="C40" s="74" t="str">
        <x:v>HUMID</x:v>
      </x:c>
      <x:c r="D40" s="215" t="n">
        <x:v>34</x:v>
      </x:c>
      <x:c r="E40" s="74" t="str">
        <x:v>V1.0</x:v>
      </x:c>
      <x:c r="F40" s="68" t="str">
        <x:v>未戌燥土成势属于增燥的重要证据</x:v>
      </x:c>
      <x:c r="G40" s="82" t="str">
        <x:v>结构层</x:v>
      </x:c>
      <x:c r="H40" s="82" t="str">
        <x:v>燥湿轴</x:v>
      </x:c>
      <x:c r="I40" s="68" t="str">
        <x:v>通用</x:v>
      </x:c>
      <x:c r="J40" s="68" t="str">
        <x:v>未戌多现且有效，水弱</x:v>
      </x:c>
      <x:c r="K40" s="68" t="str">
        <x:v>待定</x:v>
      </x:c>
      <x:c r="L40" s="68" t="str">
        <x:v>明显增燥</x:v>
      </x:c>
      <x:c r="M40" s="82" t="str">
        <x:v>待定</x:v>
      </x:c>
      <x:c r="N40" s="82" t="str">
        <x:v>偏燥</x:v>
      </x:c>
      <x:c r="O40" s="68" t="str">
        <x:v>土燥失润</x:v>
      </x:c>
      <x:c r="P40" s="68" t="str">
        <x:v>水</x:v>
      </x:c>
      <x:c r="Q40" s="68" t="str">
        <x:v>润燥</x:v>
      </x:c>
      <x:c r="R40" s="82" t="str">
        <x:v>待定</x:v>
      </x:c>
      <x:c r="S40" s="82" t="str">
        <x:v>待定</x:v>
      </x:c>
      <x:c r="T40" s="82" t="str">
        <x:v>待定</x:v>
      </x:c>
      <x:c r="U40" s="82" t="str">
        <x:v>待定</x:v>
      </x:c>
      <x:c r="V40" s="82" t="str">
        <x:v>待定</x:v>
      </x:c>
      <x:c r="W40" s="68" t="str">
        <x:v>M02基础映射、M08五行有效旺衰、M12流通卡点已完成</x:v>
      </x:c>
      <x:c r="X40" s="68" t="str">
        <x:v>月令基准与全局有效五行均已核查</x:v>
      </x:c>
      <x:c r="Y40" s="68" t="str">
        <x:v>相关调候五行有根有源、透达且能真实改善关键气候问题</x:v>
      </x:c>
      <x:c r="Z40" s="68" t="str">
        <x:v>调候五行无根、受强制、被合绊、改性或加入后产生新的寒热燥湿问题</x:v>
      </x:c>
      <x:c r="AA40" s="90" t="str">
        <x:v>不得只凭出生月份或某一五行数量直接下最终调候结论</x:v>
      </x:c>
      <x:c r="AB40" s="68" t="str">
        <x:v>特殊格局、核心格局用神或更高优先级病药约束转M16—M18裁决</x:v>
      </x:c>
      <x:c r="AC40" s="84" t="str">
        <x:v>未戌燥土</x:v>
      </x:c>
      <x:c r="AD40" s="84" t="str">
        <x:v>未戌燥土成势属于增燥的重要证据：温度轴判“待定”，湿度轴判“偏燥”；调候候选为“水”，是否成为最终用神仍转M16—M18。</x:v>
      </x:c>
      <x:c r="AE40" s="82" t="str">
        <x:v>较高</x:v>
      </x:c>
      <x:c r="AF40" s="82" t="str">
        <x:v>调候</x:v>
      </x:c>
      <x:c r="AG40" s="68" t="str">
        <x:v>调候以月令气候为起点，但必须结合M08五行有效力量与M12流通状态修正；寒暖与燥湿分轴判断，调候候选不自动等于全局主用神。</x:v>
      </x:c>
      <x:c r="AH40" s="68" t="str">
        <x:v>当“未戌多现且有效，水弱”真实成立，且调候机制能改善主要气候问题时，可按“未戌燥土成势属于增燥的重要证据”记录。</x:v>
      </x:c>
      <x:c r="AI40" s="90" t="str">
        <x:v>仅见月份或表面五行标签，但未满足“未戌多现且有效，水弱”及必要修正条件时，不得套用“未戌燥土成势属于增燥的重要证据”。</x:v>
      </x:c>
      <x:c r="AJ40" s="82" t="str">
        <x:v>采用</x:v>
      </x:c>
      <x:c r="AK40" s="82" t="str">
        <x:v>初审</x:v>
      </x:c>
      <x:c r="AL40" s="87" t="n">
        <x:v>46255</x:v>
      </x:c>
    </x:row>
    <x:row r="41">
      <x:c r="A41" s="72" t="str">
        <x:f>IF(OR(C41="",D41=""),"",B41&amp;"-"&amp;UPPER(C41)&amp;"-"&amp;TEXT(D41,"0000")&amp;"-"&amp;E41)</x:f>
        <x:v>M13-HUMID-0035-V1.0</x:v>
      </x:c>
      <x:c r="B41" s="74" t="str">
        <x:v>M13</x:v>
      </x:c>
      <x:c r="C41" s="74" t="str">
        <x:v>HUMID</x:v>
      </x:c>
      <x:c r="D41" s="215" t="n">
        <x:v>35</x:v>
      </x:c>
      <x:c r="E41" s="74" t="str">
        <x:v>V1.0</x:v>
      </x:c>
      <x:c r="F41" s="68" t="str">
        <x:v>强火会蒸耗水分并提高燥度</x:v>
      </x:c>
      <x:c r="G41" s="82" t="str">
        <x:v>结构层</x:v>
      </x:c>
      <x:c r="H41" s="82" t="str">
        <x:v>燥湿轴</x:v>
      </x:c>
      <x:c r="I41" s="68" t="str">
        <x:v>通用</x:v>
      </x:c>
      <x:c r="J41" s="68" t="str">
        <x:v>火旺极旺且水弱、湿土少</x:v>
      </x:c>
      <x:c r="K41" s="68" t="str">
        <x:v>待定</x:v>
      </x:c>
      <x:c r="L41" s="68" t="str">
        <x:v>明显增燥</x:v>
      </x:c>
      <x:c r="M41" s="82" t="str">
        <x:v>待定</x:v>
      </x:c>
      <x:c r="N41" s="82" t="str">
        <x:v>偏燥</x:v>
      </x:c>
      <x:c r="O41" s="68" t="str">
        <x:v>火旺耗津，生化偏枯</x:v>
      </x:c>
      <x:c r="P41" s="68" t="str">
        <x:v>水</x:v>
      </x:c>
      <x:c r="Q41" s="68" t="str">
        <x:v>润燥制火</x:v>
      </x:c>
      <x:c r="R41" s="82" t="str">
        <x:v>待定</x:v>
      </x:c>
      <x:c r="S41" s="82" t="str">
        <x:v>待定</x:v>
      </x:c>
      <x:c r="T41" s="82" t="str">
        <x:v>待定</x:v>
      </x:c>
      <x:c r="U41" s="82" t="str">
        <x:v>待定</x:v>
      </x:c>
      <x:c r="V41" s="82" t="str">
        <x:v>待定</x:v>
      </x:c>
      <x:c r="W41" s="68" t="str">
        <x:v>M02基础映射、M08五行有效旺衰、M12流通卡点已完成</x:v>
      </x:c>
      <x:c r="X41" s="68" t="str">
        <x:v>月令基准与全局有效五行均已核查</x:v>
      </x:c>
      <x:c r="Y41" s="68" t="str">
        <x:v>相关调候五行有根有源、透达且能真实改善关键气候问题</x:v>
      </x:c>
      <x:c r="Z41" s="68" t="str">
        <x:v>调候五行无根、受强制、被合绊、改性或加入后产生新的寒热燥湿问题</x:v>
      </x:c>
      <x:c r="AA41" s="90" t="str">
        <x:v>不得只凭出生月份或某一五行数量直接下最终调候结论</x:v>
      </x:c>
      <x:c r="AB41" s="68" t="str">
        <x:v>特殊格局、核心格局用神或更高优先级病药约束转M16—M18裁决</x:v>
      </x:c>
      <x:c r="AC41" s="84" t="str">
        <x:v>强火增燥</x:v>
      </x:c>
      <x:c r="AD41" s="84" t="str">
        <x:v>强火会蒸耗水分并提高燥度：温度轴判“待定”，湿度轴判“偏燥”；调候候选为“水”，是否成为最终用神仍转M16—M18。</x:v>
      </x:c>
      <x:c r="AE41" s="82" t="str">
        <x:v>较高</x:v>
      </x:c>
      <x:c r="AF41" s="82" t="str">
        <x:v>调候</x:v>
      </x:c>
      <x:c r="AG41" s="68" t="str">
        <x:v>调候以月令气候为起点，但必须结合M08五行有效力量与M12流通状态修正；寒暖与燥湿分轴判断，调候候选不自动等于全局主用神。</x:v>
      </x:c>
      <x:c r="AH41" s="68" t="str">
        <x:v>当“火旺极旺且水弱、湿土少”真实成立，且调候机制能改善主要气候问题时，可按“强火会蒸耗水分并提高燥度”记录。</x:v>
      </x:c>
      <x:c r="AI41" s="90" t="str">
        <x:v>仅见月份或表面五行标签，但未满足“火旺极旺且水弱、湿土少”及必要修正条件时，不得套用“强火会蒸耗水分并提高燥度”。</x:v>
      </x:c>
      <x:c r="AJ41" s="82" t="str">
        <x:v>采用</x:v>
      </x:c>
      <x:c r="AK41" s="82" t="str">
        <x:v>初审</x:v>
      </x:c>
      <x:c r="AL41" s="87" t="n">
        <x:v>46255</x:v>
      </x:c>
    </x:row>
    <x:row r="42">
      <x:c r="A42" s="72" t="str">
        <x:f>IF(OR(C42="",D42=""),"",B42&amp;"-"&amp;UPPER(C42)&amp;"-"&amp;TEXT(D42,"0000")&amp;"-"&amp;E42)</x:f>
        <x:v>M13-HUMID-0036-V1.0</x:v>
      </x:c>
      <x:c r="B42" s="74" t="str">
        <x:v>M13</x:v>
      </x:c>
      <x:c r="C42" s="74" t="str">
        <x:v>HUMID</x:v>
      </x:c>
      <x:c r="D42" s="215" t="n">
        <x:v>36</x:v>
      </x:c>
      <x:c r="E42" s="74" t="str">
        <x:v>V1.0</x:v>
      </x:c>
      <x:c r="F42" s="68" t="str">
        <x:v>有效水可缓解燥局但过量会转为湿病</x:v>
      </x:c>
      <x:c r="G42" s="82" t="str">
        <x:v>结构层</x:v>
      </x:c>
      <x:c r="H42" s="82" t="str">
        <x:v>燥湿轴</x:v>
      </x:c>
      <x:c r="I42" s="68" t="str">
        <x:v>通用</x:v>
      </x:c>
      <x:c r="J42" s="68" t="str">
        <x:v>原局偏燥，水能真实进入关键节点</x:v>
      </x:c>
      <x:c r="K42" s="68" t="str">
        <x:v>待定</x:v>
      </x:c>
      <x:c r="L42" s="68" t="str">
        <x:v>向平衡修正</x:v>
      </x:c>
      <x:c r="M42" s="82" t="str">
        <x:v>待定</x:v>
      </x:c>
      <x:c r="N42" s="82" t="str">
        <x:v>平衡</x:v>
      </x:c>
      <x:c r="O42" s="68" t="str">
        <x:v>润燥有效但需控制水量</x:v>
      </x:c>
      <x:c r="P42" s="68" t="str">
        <x:v>水</x:v>
      </x:c>
      <x:c r="Q42" s="68" t="str">
        <x:v>润燥</x:v>
      </x:c>
      <x:c r="R42" s="82" t="str">
        <x:v>条件性</x:v>
      </x:c>
      <x:c r="S42" s="82" t="str">
        <x:v>有效</x:v>
      </x:c>
      <x:c r="T42" s="82" t="str">
        <x:v>待定</x:v>
      </x:c>
      <x:c r="U42" s="82" t="str">
        <x:v>待定</x:v>
      </x:c>
      <x:c r="V42" s="82" t="str">
        <x:v>待定</x:v>
      </x:c>
      <x:c r="W42" s="68" t="str">
        <x:v>M02基础映射、M08五行有效旺衰、M12流通卡点已完成</x:v>
      </x:c>
      <x:c r="X42" s="68" t="str">
        <x:v>月令基准与全局有效五行均已核查</x:v>
      </x:c>
      <x:c r="Y42" s="68" t="str">
        <x:v>相关调候五行有根有源、透达且能真实改善关键气候问题</x:v>
      </x:c>
      <x:c r="Z42" s="68" t="str">
        <x:v>调候五行无根、受强制、被合绊、改性或加入后产生新的寒热燥湿问题</x:v>
      </x:c>
      <x:c r="AA42" s="90" t="str">
        <x:v>不得只凭出生月份或某一五行数量直接下最终调候结论</x:v>
      </x:c>
      <x:c r="AB42" s="68" t="str">
        <x:v>特殊格局、核心格局用神或更高优先级病药约束转M16—M18裁决</x:v>
      </x:c>
      <x:c r="AC42" s="84" t="str">
        <x:v>水润燥适量</x:v>
      </x:c>
      <x:c r="AD42" s="84" t="str">
        <x:v>有效水可缓解燥局但过量会转为湿病：温度轴判“待定”，湿度轴判“平衡”；调候候选为“水”，是否成为最终用神仍转M16—M18。</x:v>
      </x:c>
      <x:c r="AE42" s="82" t="str">
        <x:v>较高</x:v>
      </x:c>
      <x:c r="AF42" s="82" t="str">
        <x:v>调候</x:v>
      </x:c>
      <x:c r="AG42" s="68" t="str">
        <x:v>调候以月令气候为起点，但必须结合M08五行有效力量与M12流通状态修正；寒暖与燥湿分轴判断，调候候选不自动等于全局主用神。</x:v>
      </x:c>
      <x:c r="AH42" s="68" t="str">
        <x:v>当“原局偏燥，水能真实进入关键节点”真实成立，且调候机制能改善主要气候问题时，可按“有效水可缓解燥局但过量会转为湿病”记录。</x:v>
      </x:c>
      <x:c r="AI42" s="90" t="str">
        <x:v>仅见月份或表面五行标签，但未满足“原局偏燥，水能真实进入关键节点”及必要修正条件时，不得套用“有效水可缓解燥局但过量会转为湿病”。</x:v>
      </x:c>
      <x:c r="AJ42" s="82" t="str">
        <x:v>采用</x:v>
      </x:c>
      <x:c r="AK42" s="82" t="str">
        <x:v>初审</x:v>
      </x:c>
      <x:c r="AL42" s="87" t="n">
        <x:v>46255</x:v>
      </x:c>
    </x:row>
    <x:row r="43">
      <x:c r="A43" s="72" t="str">
        <x:f>IF(OR(C43="",D43=""),"",B43&amp;"-"&amp;UPPER(C43)&amp;"-"&amp;TEXT(D43,"0000")&amp;"-"&amp;E43)</x:f>
        <x:v>M13-HUMID-0037-V1.0</x:v>
      </x:c>
      <x:c r="B43" s="74" t="str">
        <x:v>M13</x:v>
      </x:c>
      <x:c r="C43" s="74" t="str">
        <x:v>HUMID</x:v>
      </x:c>
      <x:c r="D43" s="215" t="n">
        <x:v>37</x:v>
      </x:c>
      <x:c r="E43" s="74" t="str">
        <x:v>V1.0</x:v>
      </x:c>
      <x:c r="F43" s="68" t="str">
        <x:v>有效火可化湿但过量会由湿转燥</x:v>
      </x:c>
      <x:c r="G43" s="82" t="str">
        <x:v>结构层</x:v>
      </x:c>
      <x:c r="H43" s="82" t="str">
        <x:v>燥湿轴</x:v>
      </x:c>
      <x:c r="I43" s="68" t="str">
        <x:v>通用</x:v>
      </x:c>
      <x:c r="J43" s="68" t="str">
        <x:v>原局偏湿，火有根有源并能暖土化湿</x:v>
      </x:c>
      <x:c r="K43" s="68" t="str">
        <x:v>待定</x:v>
      </x:c>
      <x:c r="L43" s="68" t="str">
        <x:v>向平衡修正</x:v>
      </x:c>
      <x:c r="M43" s="82" t="str">
        <x:v>待定</x:v>
      </x:c>
      <x:c r="N43" s="82" t="str">
        <x:v>平衡</x:v>
      </x:c>
      <x:c r="O43" s="68" t="str">
        <x:v>化湿有效但需防过燥</x:v>
      </x:c>
      <x:c r="P43" s="68" t="str">
        <x:v>火</x:v>
      </x:c>
      <x:c r="Q43" s="68" t="str">
        <x:v>暖燥化湿</x:v>
      </x:c>
      <x:c r="R43" s="82" t="str">
        <x:v>条件性</x:v>
      </x:c>
      <x:c r="S43" s="82" t="str">
        <x:v>有效</x:v>
      </x:c>
      <x:c r="T43" s="82" t="str">
        <x:v>待定</x:v>
      </x:c>
      <x:c r="U43" s="82" t="str">
        <x:v>待定</x:v>
      </x:c>
      <x:c r="V43" s="82" t="str">
        <x:v>待定</x:v>
      </x:c>
      <x:c r="W43" s="68" t="str">
        <x:v>M02基础映射、M08五行有效旺衰、M12流通卡点已完成</x:v>
      </x:c>
      <x:c r="X43" s="68" t="str">
        <x:v>月令基准与全局有效五行均已核查</x:v>
      </x:c>
      <x:c r="Y43" s="68" t="str">
        <x:v>相关调候五行有根有源、透达且能真实改善关键气候问题</x:v>
      </x:c>
      <x:c r="Z43" s="68" t="str">
        <x:v>调候五行无根、受强制、被合绊、改性或加入后产生新的寒热燥湿问题</x:v>
      </x:c>
      <x:c r="AA43" s="90" t="str">
        <x:v>不得只凭出生月份或某一五行数量直接下最终调候结论</x:v>
      </x:c>
      <x:c r="AB43" s="68" t="str">
        <x:v>特殊格局、核心格局用神或更高优先级病药约束转M16—M18裁决</x:v>
      </x:c>
      <x:c r="AC43" s="84" t="str">
        <x:v>火化湿适量</x:v>
      </x:c>
      <x:c r="AD43" s="84" t="str">
        <x:v>有效火可化湿但过量会由湿转燥：温度轴判“待定”，湿度轴判“平衡”；调候候选为“火”，是否成为最终用神仍转M16—M18。</x:v>
      </x:c>
      <x:c r="AE43" s="82" t="str">
        <x:v>较高</x:v>
      </x:c>
      <x:c r="AF43" s="82" t="str">
        <x:v>调候</x:v>
      </x:c>
      <x:c r="AG43" s="68" t="str">
        <x:v>调候以月令气候为起点，但必须结合M08五行有效力量与M12流通状态修正；寒暖与燥湿分轴判断，调候候选不自动等于全局主用神。</x:v>
      </x:c>
      <x:c r="AH43" s="68" t="str">
        <x:v>当“原局偏湿，火有根有源并能暖土化湿”真实成立，且调候机制能改善主要气候问题时，可按“有效火可化湿但过量会由湿转燥”记录。</x:v>
      </x:c>
      <x:c r="AI43" s="90" t="str">
        <x:v>仅见月份或表面五行标签，但未满足“原局偏湿，火有根有源并能暖土化湿”及必要修正条件时，不得套用“有效火可化湿但过量会由湿转燥”。</x:v>
      </x:c>
      <x:c r="AJ43" s="82" t="str">
        <x:v>采用</x:v>
      </x:c>
      <x:c r="AK43" s="82" t="str">
        <x:v>初审</x:v>
      </x:c>
      <x:c r="AL43" s="87" t="n">
        <x:v>46255</x:v>
      </x:c>
    </x:row>
    <x:row r="44">
      <x:c r="A44" s="72" t="str">
        <x:f>IF(OR(C44="",D44=""),"",B44&amp;"-"&amp;UPPER(C44)&amp;"-"&amp;TEXT(D44,"0000")&amp;"-"&amp;E44)</x:f>
        <x:v>M13-HUMID-0038-V1.0</x:v>
      </x:c>
      <x:c r="B44" s="74" t="str">
        <x:v>M13</x:v>
      </x:c>
      <x:c r="C44" s="74" t="str">
        <x:v>HUMID</x:v>
      </x:c>
      <x:c r="D44" s="215" t="n">
        <x:v>38</x:v>
      </x:c>
      <x:c r="E44" s="74" t="str">
        <x:v>V1.0</x:v>
      </x:c>
      <x:c r="F44" s="68" t="str">
        <x:v>木可疏湿土但必须自身有生发条件</x:v>
      </x:c>
      <x:c r="G44" s="82" t="str">
        <x:v>结构层</x:v>
      </x:c>
      <x:c r="H44" s="82" t="str">
        <x:v>燥湿轴</x:v>
      </x:c>
      <x:c r="I44" s="68" t="str">
        <x:v>通用</x:v>
      </x:c>
      <x:c r="J44" s="68" t="str">
        <x:v>湿土壅滞，木有效且未被金强制或寒凝</x:v>
      </x:c>
      <x:c r="K44" s="68" t="str">
        <x:v>待定</x:v>
      </x:c>
      <x:c r="L44" s="68" t="str">
        <x:v>降低湿滞</x:v>
      </x:c>
      <x:c r="M44" s="82" t="str">
        <x:v>待定</x:v>
      </x:c>
      <x:c r="N44" s="82" t="str">
        <x:v>待定</x:v>
      </x:c>
      <x:c r="O44" s="68" t="str">
        <x:v>土湿壅滞可由木疏泄</x:v>
      </x:c>
      <x:c r="P44" s="68" t="str">
        <x:v>木</x:v>
      </x:c>
      <x:c r="Q44" s="68" t="str">
        <x:v>疏土导湿</x:v>
      </x:c>
      <x:c r="R44" s="82" t="str">
        <x:v>条件性</x:v>
      </x:c>
      <x:c r="S44" s="82" t="str">
        <x:v>有效</x:v>
      </x:c>
      <x:c r="T44" s="82" t="str">
        <x:v>待定</x:v>
      </x:c>
      <x:c r="U44" s="82" t="str">
        <x:v>待定</x:v>
      </x:c>
      <x:c r="V44" s="82" t="str">
        <x:v>待定</x:v>
      </x:c>
      <x:c r="W44" s="68" t="str">
        <x:v>M02基础映射、M08五行有效旺衰、M12流通卡点已完成</x:v>
      </x:c>
      <x:c r="X44" s="68" t="str">
        <x:v>月令基准与全局有效五行均已核查</x:v>
      </x:c>
      <x:c r="Y44" s="68" t="str">
        <x:v>相关调候五行有根有源、透达且能真实改善关键气候问题</x:v>
      </x:c>
      <x:c r="Z44" s="68" t="str">
        <x:v>调候五行无根、受强制、被合绊、改性或加入后产生新的寒热燥湿问题</x:v>
      </x:c>
      <x:c r="AA44" s="90" t="str">
        <x:v>不得只凭出生月份或某一五行数量直接下最终调候结论</x:v>
      </x:c>
      <x:c r="AB44" s="68" t="str">
        <x:v>特殊格局、核心格局用神或更高优先级病药约束转M16—M18裁决</x:v>
      </x:c>
      <x:c r="AC44" s="84" t="str">
        <x:v>木疏湿土</x:v>
      </x:c>
      <x:c r="AD44" s="84" t="str">
        <x:v>木可疏湿土但必须自身有生发条件：温度轴判“待定”，湿度轴判“待定”；调候候选为“木”，是否成为最终用神仍转M16—M18。</x:v>
      </x:c>
      <x:c r="AE44" s="82" t="str">
        <x:v>较高</x:v>
      </x:c>
      <x:c r="AF44" s="82" t="str">
        <x:v>调候</x:v>
      </x:c>
      <x:c r="AG44" s="68" t="str">
        <x:v>调候以月令气候为起点，但必须结合M08五行有效力量与M12流通状态修正；寒暖与燥湿分轴判断，调候候选不自动等于全局主用神。</x:v>
      </x:c>
      <x:c r="AH44" s="68" t="str">
        <x:v>当“湿土壅滞，木有效且未被金强制或寒凝”真实成立，且调候机制能改善主要气候问题时，可按“木可疏湿土但必须自身有生发条件”记录。</x:v>
      </x:c>
      <x:c r="AI44" s="90" t="str">
        <x:v>仅见月份或表面五行标签，但未满足“湿土壅滞，木有效且未被金强制或寒凝”及必要修正条件时，不得套用“木可疏湿土但必须自身有生发条件”。</x:v>
      </x:c>
      <x:c r="AJ44" s="82" t="str">
        <x:v>采用</x:v>
      </x:c>
      <x:c r="AK44" s="82" t="str">
        <x:v>初审</x:v>
      </x:c>
      <x:c r="AL44" s="87" t="n">
        <x:v>46255</x:v>
      </x:c>
    </x:row>
    <x:row r="45">
      <x:c r="A45" s="72" t="str">
        <x:f>IF(OR(C45="",D45=""),"",B45&amp;"-"&amp;UPPER(C45)&amp;"-"&amp;TEXT(D45,"0000")&amp;"-"&amp;E45)</x:f>
        <x:v>M13-HUMID-0039-V1.0</x:v>
      </x:c>
      <x:c r="B45" s="74" t="str">
        <x:v>M13</x:v>
      </x:c>
      <x:c r="C45" s="74" t="str">
        <x:v>HUMID</x:v>
      </x:c>
      <x:c r="D45" s="215" t="n">
        <x:v>39</x:v>
      </x:c>
      <x:c r="E45" s="74" t="str">
        <x:v>V1.0</x:v>
      </x:c>
      <x:c r="F45" s="68" t="str">
        <x:v>燥湿平衡必须排除局部湿库或燥土集团</x:v>
      </x:c>
      <x:c r="G45" s="82" t="str">
        <x:v>结构层</x:v>
      </x:c>
      <x:c r="H45" s="82" t="str">
        <x:v>燥湿轴</x:v>
      </x:c>
      <x:c r="I45" s="68" t="str">
        <x:v>通用</x:v>
      </x:c>
      <x:c r="J45" s="68" t="str">
        <x:v>全局水火土性相对协调，未出现湿土或燥土成势阻断</x:v>
      </x:c>
      <x:c r="K45" s="68" t="str">
        <x:v>待定</x:v>
      </x:c>
      <x:c r="L45" s="68" t="str">
        <x:v>待定</x:v>
      </x:c>
      <x:c r="M45" s="82" t="str">
        <x:v>待定</x:v>
      </x:c>
      <x:c r="N45" s="82" t="str">
        <x:v>平衡</x:v>
      </x:c>
      <x:c r="O45" s="68" t="str">
        <x:v>无明显湿度病</x:v>
      </x:c>
      <x:c r="P45" s="68" t="str">
        <x:v>待定</x:v>
      </x:c>
      <x:c r="Q45" s="68" t="str">
        <x:v>通常不需以润燥化湿为首要</x:v>
      </x:c>
      <x:c r="R45" s="82" t="str">
        <x:v>待定</x:v>
      </x:c>
      <x:c r="S45" s="82" t="str">
        <x:v>待定</x:v>
      </x:c>
      <x:c r="T45" s="82" t="str">
        <x:v>低</x:v>
      </x:c>
      <x:c r="U45" s="82" t="str">
        <x:v>待定</x:v>
      </x:c>
      <x:c r="V45" s="82" t="str">
        <x:v>待定</x:v>
      </x:c>
      <x:c r="W45" s="68" t="str">
        <x:v>M02基础映射、M08五行有效旺衰、M12流通卡点已完成</x:v>
      </x:c>
      <x:c r="X45" s="68" t="str">
        <x:v>月令基准与全局有效五行均已核查</x:v>
      </x:c>
      <x:c r="Y45" s="68" t="str">
        <x:v>相关调候五行有根有源、透达且能真实改善关键气候问题</x:v>
      </x:c>
      <x:c r="Z45" s="68" t="str">
        <x:v>调候五行无根、受强制、被合绊、改性或加入后产生新的寒热燥湿问题</x:v>
      </x:c>
      <x:c r="AA45" s="90" t="str">
        <x:v>不得只凭出生月份或某一五行数量直接下最终调候结论</x:v>
      </x:c>
      <x:c r="AB45" s="68" t="str">
        <x:v>特殊格局、核心格局用神或更高优先级病药约束转M16—M18裁决</x:v>
      </x:c>
      <x:c r="AC45" s="84" t="str">
        <x:v>燥湿平衡</x:v>
      </x:c>
      <x:c r="AD45" s="84" t="str">
        <x:v>燥湿平衡必须排除局部湿库或燥土集团：温度轴判“待定”，湿度轴判“平衡”；调候候选为“待定”，是否成为最终用神仍转M16—M18。</x:v>
      </x:c>
      <x:c r="AE45" s="82" t="str">
        <x:v>较高</x:v>
      </x:c>
      <x:c r="AF45" s="82" t="str">
        <x:v>调候</x:v>
      </x:c>
      <x:c r="AG45" s="68" t="str">
        <x:v>调候以月令气候为起点，但必须结合M08五行有效力量与M12流通状态修正；寒暖与燥湿分轴判断，调候候选不自动等于全局主用神。</x:v>
      </x:c>
      <x:c r="AH45" s="68" t="str">
        <x:v>当“全局水火土性相对协调，未出现湿土或燥土成势阻断”真实成立，且调候机制能改善主要气候问题时，可按“燥湿平衡必须排除局部湿库或燥土集团”记录。</x:v>
      </x:c>
      <x:c r="AI45" s="90" t="str">
        <x:v>仅见月份或表面五行标签，但未满足“全局水火土性相对协调，未出现湿土或燥土成势阻断”及必要修正条件时，不得套用“燥湿平衡必须排除局部湿库或燥土集团”。</x:v>
      </x:c>
      <x:c r="AJ45" s="82" t="str">
        <x:v>采用</x:v>
      </x:c>
      <x:c r="AK45" s="82" t="str">
        <x:v>初审</x:v>
      </x:c>
      <x:c r="AL45" s="87" t="n">
        <x:v>46255</x:v>
      </x:c>
    </x:row>
    <x:row r="46">
      <x:c r="A46" s="72" t="str">
        <x:f>IF(OR(C46="",D46=""),"",B46&amp;"-"&amp;UPPER(C46)&amp;"-"&amp;TEXT(D46,"0000")&amp;"-"&amp;E46)</x:f>
        <x:v>M13-HUMID-0040-V1.0</x:v>
      </x:c>
      <x:c r="B46" s="74" t="str">
        <x:v>M13</x:v>
      </x:c>
      <x:c r="C46" s="74" t="str">
        <x:v>HUMID</x:v>
      </x:c>
      <x:c r="D46" s="215" t="n">
        <x:v>40</x:v>
      </x:c>
      <x:c r="E46" s="74" t="str">
        <x:v>V1.0</x:v>
      </x:c>
      <x:c r="F46" s="68" t="str">
        <x:v>极湿极燥只有影响流通时才提高紧急度</x:v>
      </x:c>
      <x:c r="G46" s="82" t="str">
        <x:v>结构层</x:v>
      </x:c>
      <x:c r="H46" s="82" t="str">
        <x:v>燥湿轴</x:v>
      </x:c>
      <x:c r="I46" s="68" t="str">
        <x:v>通用</x:v>
      </x:c>
      <x:c r="J46" s="68" t="str">
        <x:v>极湿或极燥造成M12寒凝、燥枯、桥梁失效或终点不能承载</x:v>
      </x:c>
      <x:c r="K46" s="68" t="str">
        <x:v>待定</x:v>
      </x:c>
      <x:c r="L46" s="68" t="str">
        <x:v>待定</x:v>
      </x:c>
      <x:c r="M46" s="82" t="str">
        <x:v>待定</x:v>
      </x:c>
      <x:c r="N46" s="82" t="str">
        <x:v>待定</x:v>
      </x:c>
      <x:c r="O46" s="68" t="str">
        <x:v>湿度极端已转化为功能障碍</x:v>
      </x:c>
      <x:c r="P46" s="68" t="str">
        <x:v>火/水/木</x:v>
      </x:c>
      <x:c r="Q46" s="68" t="str">
        <x:v>针对性暖湿、润燥或疏湿</x:v>
      </x:c>
      <x:c r="R46" s="82" t="str">
        <x:v>待定</x:v>
      </x:c>
      <x:c r="S46" s="82" t="str">
        <x:v>待定</x:v>
      </x:c>
      <x:c r="T46" s="82" t="str">
        <x:v>首要</x:v>
      </x:c>
      <x:c r="U46" s="82" t="str">
        <x:v>待定</x:v>
      </x:c>
      <x:c r="V46" s="82" t="str">
        <x:v>待定</x:v>
      </x:c>
      <x:c r="W46" s="68" t="str">
        <x:v>M02基础映射、M08五行有效旺衰、M12流通卡点已完成</x:v>
      </x:c>
      <x:c r="X46" s="68" t="str">
        <x:v>月令基准与全局有效五行均已核查</x:v>
      </x:c>
      <x:c r="Y46" s="68" t="str">
        <x:v>相关调候五行有根有源、透达且能真实改善关键气候问题</x:v>
      </x:c>
      <x:c r="Z46" s="68" t="str">
        <x:v>调候五行无根、受强制、被合绊、改性或加入后产生新的寒热燥湿问题</x:v>
      </x:c>
      <x:c r="AA46" s="90" t="str">
        <x:v>不得只凭出生月份或某一五行数量直接下最终调候结论</x:v>
      </x:c>
      <x:c r="AB46" s="68" t="str">
        <x:v>特殊格局、核心格局用神或更高优先级病药约束转M16—M18裁决</x:v>
      </x:c>
      <x:c r="AC46" s="84" t="str">
        <x:v>湿度极端功能化</x:v>
      </x:c>
      <x:c r="AD46" s="84" t="str">
        <x:v>极湿极燥只有影响流通时才提高紧急度：温度轴判“待定”，湿度轴判“待定”；调候候选为“火/水/木”，是否成为最终用神仍转M16—M18。</x:v>
      </x:c>
      <x:c r="AE46" s="82" t="str">
        <x:v>较高</x:v>
      </x:c>
      <x:c r="AF46" s="82" t="str">
        <x:v>调候</x:v>
      </x:c>
      <x:c r="AG46" s="68" t="str">
        <x:v>调候以月令气候为起点，但必须结合M08五行有效力量与M12流通状态修正；寒暖与燥湿分轴判断，调候候选不自动等于全局主用神。</x:v>
      </x:c>
      <x:c r="AH46" s="68" t="str">
        <x:v>当“极湿或极燥造成M12寒凝、燥枯、桥梁失效或终点不能承载”真实成立，且调候机制能改善主要气候问题时，可按“极湿极燥只有影响流通时才提高紧急度”记录。</x:v>
      </x:c>
      <x:c r="AI46" s="90" t="str">
        <x:v>仅见月份或表面五行标签，但未满足“极湿或极燥造成M12寒凝、燥枯、桥梁失效或终点不能承载”及必要修正条件时，不得套用“极湿极燥只有影响流通时才提高紧急度”。</x:v>
      </x:c>
      <x:c r="AJ46" s="82" t="str">
        <x:v>采用</x:v>
      </x:c>
      <x:c r="AK46" s="82" t="str">
        <x:v>初审</x:v>
      </x:c>
      <x:c r="AL46" s="87" t="n">
        <x:v>46255</x:v>
      </x:c>
    </x:row>
    <x:row r="47">
      <x:c r="A47" s="72" t="str">
        <x:f>IF(OR(C47="",D47=""),"",B47&amp;"-"&amp;UPPER(C47)&amp;"-"&amp;TEXT(D47,"0000")&amp;"-"&amp;E47)</x:f>
        <x:v>M13-COMBO-0041-V1.0</x:v>
      </x:c>
      <x:c r="B47" s="74" t="str">
        <x:v>M13</x:v>
      </x:c>
      <x:c r="C47" s="74" t="str">
        <x:v>COMBO</x:v>
      </x:c>
      <x:c r="D47" s="215" t="n">
        <x:v>41</x:v>
      </x:c>
      <x:c r="E47" s="74" t="str">
        <x:v>V1.0</x:v>
      </x:c>
      <x:c r="F47" s="68" t="str">
        <x:v>寒湿状态识别</x:v>
      </x:c>
      <x:c r="G47" s="82" t="str">
        <x:v>结构层</x:v>
      </x:c>
      <x:c r="H47" s="82" t="str">
        <x:v>寒暖燥湿综合</x:v>
      </x:c>
      <x:c r="I47" s="68" t="str">
        <x:v>通用</x:v>
      </x:c>
      <x:c r="J47" s="68" t="str">
        <x:v>温度轴=偏寒且湿度轴=偏湿</x:v>
      </x:c>
      <x:c r="K47" s="68" t="str">
        <x:v>待定</x:v>
      </x:c>
      <x:c r="L47" s="68" t="str">
        <x:v>待定</x:v>
      </x:c>
      <x:c r="M47" s="82" t="str">
        <x:v>偏寒</x:v>
      </x:c>
      <x:c r="N47" s="82" t="str">
        <x:v>偏湿</x:v>
      </x:c>
      <x:c r="O47" s="68" t="str">
        <x:v>寒与湿同时形成主矛盾</x:v>
      </x:c>
      <x:c r="P47" s="68" t="str">
        <x:v>火/木</x:v>
      </x:c>
      <x:c r="Q47" s="68" t="str">
        <x:v>以火暖局化湿，木辅助疏湿生火</x:v>
      </x:c>
      <x:c r="R47" s="82" t="str">
        <x:v>待定</x:v>
      </x:c>
      <x:c r="S47" s="82" t="str">
        <x:v>待定</x:v>
      </x:c>
      <x:c r="T47" s="82" t="str">
        <x:v>中</x:v>
      </x:c>
      <x:c r="U47" s="82" t="str">
        <x:v>待定</x:v>
      </x:c>
      <x:c r="V47" s="82" t="str">
        <x:v>待定</x:v>
      </x:c>
      <x:c r="W47" s="68" t="str">
        <x:v>M02基础映射、M08五行有效旺衰、M12流通卡点已完成</x:v>
      </x:c>
      <x:c r="X47" s="68" t="str">
        <x:v>月令基准与全局有效五行均已核查</x:v>
      </x:c>
      <x:c r="Y47" s="68" t="str">
        <x:v>相关调候五行有根有源、透达且能真实改善关键气候问题</x:v>
      </x:c>
      <x:c r="Z47" s="68" t="str">
        <x:v>调候五行无根、受强制、被合绊、改性或加入后产生新的寒热燥湿问题</x:v>
      </x:c>
      <x:c r="AA47" s="90" t="str">
        <x:v>不得只凭出生月份或某一五行数量直接下最终调候结论</x:v>
      </x:c>
      <x:c r="AB47" s="68" t="str">
        <x:v>特殊格局、核心格局用神或更高优先级病药约束转M16—M18裁决</x:v>
      </x:c>
      <x:c r="AC47" s="84" t="str">
        <x:v>寒湿_双轴状态</x:v>
      </x:c>
      <x:c r="AD47" s="84" t="str">
        <x:v>寒湿状态识别：温度轴判“偏寒”，湿度轴判“偏湿”；调候候选为“火/木”，是否成为最终用神仍转M16—M18。</x:v>
      </x:c>
      <x:c r="AE47" s="82" t="str">
        <x:v>较高</x:v>
      </x:c>
      <x:c r="AF47" s="82" t="str">
        <x:v>调候</x:v>
      </x:c>
      <x:c r="AG47" s="68" t="str">
        <x:v>调候以月令气候为起点，但必须结合M08五行有效力量与M12流通状态修正；寒暖与燥湿分轴判断，调候候选不自动等于全局主用神。</x:v>
      </x:c>
      <x:c r="AH47" s="68" t="str">
        <x:v>当“温度轴=偏寒且湿度轴=偏湿”真实成立，且调候机制能改善主要气候问题时，可按“寒湿状态识别”记录。</x:v>
      </x:c>
      <x:c r="AI47" s="90" t="str">
        <x:v>仅见月份或表面五行标签，但未满足“温度轴=偏寒且湿度轴=偏湿”及必要修正条件时，不得套用“寒湿状态识别”。</x:v>
      </x:c>
      <x:c r="AJ47" s="82" t="str">
        <x:v>采用</x:v>
      </x:c>
      <x:c r="AK47" s="82" t="str">
        <x:v>初审</x:v>
      </x:c>
      <x:c r="AL47" s="87" t="n">
        <x:v>46255</x:v>
      </x:c>
    </x:row>
    <x:row r="48">
      <x:c r="A48" s="72" t="str">
        <x:f>IF(OR(C48="",D48=""),"",B48&amp;"-"&amp;UPPER(C48)&amp;"-"&amp;TEXT(D48,"0000")&amp;"-"&amp;E48)</x:f>
        <x:v>M13-COMBO-0042-V1.0</x:v>
      </x:c>
      <x:c r="B48" s="74" t="str">
        <x:v>M13</x:v>
      </x:c>
      <x:c r="C48" s="74" t="str">
        <x:v>COMBO</x:v>
      </x:c>
      <x:c r="D48" s="215" t="n">
        <x:v>42</x:v>
      </x:c>
      <x:c r="E48" s="74" t="str">
        <x:v>V1.0</x:v>
      </x:c>
      <x:c r="F48" s="68" t="str">
        <x:v>寒燥状态识别</x:v>
      </x:c>
      <x:c r="G48" s="82" t="str">
        <x:v>结构层</x:v>
      </x:c>
      <x:c r="H48" s="82" t="str">
        <x:v>寒暖燥湿综合</x:v>
      </x:c>
      <x:c r="I48" s="68" t="str">
        <x:v>通用</x:v>
      </x:c>
      <x:c r="J48" s="68" t="str">
        <x:v>温度轴=偏寒且湿度轴=偏燥</x:v>
      </x:c>
      <x:c r="K48" s="68" t="str">
        <x:v>待定</x:v>
      </x:c>
      <x:c r="L48" s="68" t="str">
        <x:v>待定</x:v>
      </x:c>
      <x:c r="M48" s="82" t="str">
        <x:v>偏寒</x:v>
      </x:c>
      <x:c r="N48" s="82" t="str">
        <x:v>偏燥</x:v>
      </x:c>
      <x:c r="O48" s="68" t="str">
        <x:v>温度低但水分不足、燥性明显</x:v>
      </x:c>
      <x:c r="P48" s="68" t="str">
        <x:v>火/水</x:v>
      </x:c>
      <x:c r="Q48" s="68" t="str">
        <x:v>暖而兼润，避免单纯加火更燥</x:v>
      </x:c>
      <x:c r="R48" s="82" t="str">
        <x:v>待定</x:v>
      </x:c>
      <x:c r="S48" s="82" t="str">
        <x:v>待定</x:v>
      </x:c>
      <x:c r="T48" s="82" t="str">
        <x:v>中</x:v>
      </x:c>
      <x:c r="U48" s="82" t="str">
        <x:v>待定</x:v>
      </x:c>
      <x:c r="V48" s="82" t="str">
        <x:v>待定</x:v>
      </x:c>
      <x:c r="W48" s="68" t="str">
        <x:v>M02基础映射、M08五行有效旺衰、M12流通卡点已完成</x:v>
      </x:c>
      <x:c r="X48" s="68" t="str">
        <x:v>月令基准与全局有效五行均已核查</x:v>
      </x:c>
      <x:c r="Y48" s="68" t="str">
        <x:v>相关调候五行有根有源、透达且能真实改善关键气候问题</x:v>
      </x:c>
      <x:c r="Z48" s="68" t="str">
        <x:v>调候五行无根、受强制、被合绊、改性或加入后产生新的寒热燥湿问题</x:v>
      </x:c>
      <x:c r="AA48" s="90" t="str">
        <x:v>不得只凭出生月份或某一五行数量直接下最终调候结论</x:v>
      </x:c>
      <x:c r="AB48" s="68" t="str">
        <x:v>特殊格局、核心格局用神或更高优先级病药约束转M16—M18裁决</x:v>
      </x:c>
      <x:c r="AC48" s="84" t="str">
        <x:v>寒燥_双轴状态</x:v>
      </x:c>
      <x:c r="AD48" s="84" t="str">
        <x:v>寒燥状态识别：温度轴判“偏寒”，湿度轴判“偏燥”；调候候选为“火/水”，是否成为最终用神仍转M16—M18。</x:v>
      </x:c>
      <x:c r="AE48" s="82" t="str">
        <x:v>较高</x:v>
      </x:c>
      <x:c r="AF48" s="82" t="str">
        <x:v>调候</x:v>
      </x:c>
      <x:c r="AG48" s="68" t="str">
        <x:v>调候以月令气候为起点，但必须结合M08五行有效力量与M12流通状态修正；寒暖与燥湿分轴判断，调候候选不自动等于全局主用神。</x:v>
      </x:c>
      <x:c r="AH48" s="68" t="str">
        <x:v>当“温度轴=偏寒且湿度轴=偏燥”真实成立，且调候机制能改善主要气候问题时，可按“寒燥状态识别”记录。</x:v>
      </x:c>
      <x:c r="AI48" s="90" t="str">
        <x:v>仅见月份或表面五行标签，但未满足“温度轴=偏寒且湿度轴=偏燥”及必要修正条件时，不得套用“寒燥状态识别”。</x:v>
      </x:c>
      <x:c r="AJ48" s="82" t="str">
        <x:v>采用</x:v>
      </x:c>
      <x:c r="AK48" s="82" t="str">
        <x:v>初审</x:v>
      </x:c>
      <x:c r="AL48" s="87" t="n">
        <x:v>46255</x:v>
      </x:c>
    </x:row>
    <x:row r="49">
      <x:c r="A49" s="72" t="str">
        <x:f>IF(OR(C49="",D49=""),"",B49&amp;"-"&amp;UPPER(C49)&amp;"-"&amp;TEXT(D49,"0000")&amp;"-"&amp;E49)</x:f>
        <x:v>M13-COMBO-0043-V1.0</x:v>
      </x:c>
      <x:c r="B49" s="74" t="str">
        <x:v>M13</x:v>
      </x:c>
      <x:c r="C49" s="74" t="str">
        <x:v>COMBO</x:v>
      </x:c>
      <x:c r="D49" s="215" t="n">
        <x:v>43</x:v>
      </x:c>
      <x:c r="E49" s="74" t="str">
        <x:v>V1.0</x:v>
      </x:c>
      <x:c r="F49" s="68" t="str">
        <x:v>暖湿状态识别</x:v>
      </x:c>
      <x:c r="G49" s="82" t="str">
        <x:v>结构层</x:v>
      </x:c>
      <x:c r="H49" s="82" t="str">
        <x:v>寒暖燥湿综合</x:v>
      </x:c>
      <x:c r="I49" s="68" t="str">
        <x:v>通用</x:v>
      </x:c>
      <x:c r="J49" s="68" t="str">
        <x:v>温度轴=偏暖且湿度轴=偏湿</x:v>
      </x:c>
      <x:c r="K49" s="68" t="str">
        <x:v>待定</x:v>
      </x:c>
      <x:c r="L49" s="68" t="str">
        <x:v>待定</x:v>
      </x:c>
      <x:c r="M49" s="82" t="str">
        <x:v>偏暖</x:v>
      </x:c>
      <x:c r="N49" s="82" t="str">
        <x:v>偏湿</x:v>
      </x:c>
      <x:c r="O49" s="68" t="str">
        <x:v>温度偏高但湿气壅滞</x:v>
      </x:c>
      <x:c r="P49" s="68" t="str">
        <x:v>木/土性调节/适度火</x:v>
      </x:c>
      <x:c r="Q49" s="68" t="str">
        <x:v>疏湿优先，火须防进一步升温</x:v>
      </x:c>
      <x:c r="R49" s="82" t="str">
        <x:v>待定</x:v>
      </x:c>
      <x:c r="S49" s="82" t="str">
        <x:v>待定</x:v>
      </x:c>
      <x:c r="T49" s="82" t="str">
        <x:v>中</x:v>
      </x:c>
      <x:c r="U49" s="82" t="str">
        <x:v>待定</x:v>
      </x:c>
      <x:c r="V49" s="82" t="str">
        <x:v>待定</x:v>
      </x:c>
      <x:c r="W49" s="68" t="str">
        <x:v>M02基础映射、M08五行有效旺衰、M12流通卡点已完成</x:v>
      </x:c>
      <x:c r="X49" s="68" t="str">
        <x:v>月令基准与全局有效五行均已核查</x:v>
      </x:c>
      <x:c r="Y49" s="68" t="str">
        <x:v>相关调候五行有根有源、透达且能真实改善关键气候问题</x:v>
      </x:c>
      <x:c r="Z49" s="68" t="str">
        <x:v>调候五行无根、受强制、被合绊、改性或加入后产生新的寒热燥湿问题</x:v>
      </x:c>
      <x:c r="AA49" s="90" t="str">
        <x:v>不得只凭出生月份或某一五行数量直接下最终调候结论</x:v>
      </x:c>
      <x:c r="AB49" s="68" t="str">
        <x:v>特殊格局、核心格局用神或更高优先级病药约束转M16—M18裁决</x:v>
      </x:c>
      <x:c r="AC49" s="84" t="str">
        <x:v>暖湿_双轴状态</x:v>
      </x:c>
      <x:c r="AD49" s="84" t="str">
        <x:v>暖湿状态识别：温度轴判“偏暖”，湿度轴判“偏湿”；调候候选为“木/土性调节/适度火”，是否成为最终用神仍转M16—M18。</x:v>
      </x:c>
      <x:c r="AE49" s="82" t="str">
        <x:v>较高</x:v>
      </x:c>
      <x:c r="AF49" s="82" t="str">
        <x:v>调候</x:v>
      </x:c>
      <x:c r="AG49" s="68" t="str">
        <x:v>调候以月令气候为起点，但必须结合M08五行有效力量与M12流通状态修正；寒暖与燥湿分轴判断，调候候选不自动等于全局主用神。</x:v>
      </x:c>
      <x:c r="AH49" s="68" t="str">
        <x:v>当“温度轴=偏暖且湿度轴=偏湿”真实成立，且调候机制能改善主要气候问题时，可按“暖湿状态识别”记录。</x:v>
      </x:c>
      <x:c r="AI49" s="90" t="str">
        <x:v>仅见月份或表面五行标签，但未满足“温度轴=偏暖且湿度轴=偏湿”及必要修正条件时，不得套用“暖湿状态识别”。</x:v>
      </x:c>
      <x:c r="AJ49" s="82" t="str">
        <x:v>采用</x:v>
      </x:c>
      <x:c r="AK49" s="82" t="str">
        <x:v>初审</x:v>
      </x:c>
      <x:c r="AL49" s="87" t="n">
        <x:v>46255</x:v>
      </x:c>
    </x:row>
    <x:row r="50">
      <x:c r="A50" s="72" t="str">
        <x:f>IF(OR(C50="",D50=""),"",B50&amp;"-"&amp;UPPER(C50)&amp;"-"&amp;TEXT(D50,"0000")&amp;"-"&amp;E50)</x:f>
        <x:v>M13-COMBO-0044-V1.0</x:v>
      </x:c>
      <x:c r="B50" s="74" t="str">
        <x:v>M13</x:v>
      </x:c>
      <x:c r="C50" s="74" t="str">
        <x:v>COMBO</x:v>
      </x:c>
      <x:c r="D50" s="215" t="n">
        <x:v>44</x:v>
      </x:c>
      <x:c r="E50" s="74" t="str">
        <x:v>V1.0</x:v>
      </x:c>
      <x:c r="F50" s="68" t="str">
        <x:v>暖燥状态识别</x:v>
      </x:c>
      <x:c r="G50" s="82" t="str">
        <x:v>结构层</x:v>
      </x:c>
      <x:c r="H50" s="82" t="str">
        <x:v>寒暖燥湿综合</x:v>
      </x:c>
      <x:c r="I50" s="68" t="str">
        <x:v>通用</x:v>
      </x:c>
      <x:c r="J50" s="68" t="str">
        <x:v>温度轴=偏暖且湿度轴=偏燥</x:v>
      </x:c>
      <x:c r="K50" s="68" t="str">
        <x:v>待定</x:v>
      </x:c>
      <x:c r="L50" s="68" t="str">
        <x:v>待定</x:v>
      </x:c>
      <x:c r="M50" s="82" t="str">
        <x:v>偏暖</x:v>
      </x:c>
      <x:c r="N50" s="82" t="str">
        <x:v>偏燥</x:v>
      </x:c>
      <x:c r="O50" s="68" t="str">
        <x:v>热与燥叠加</x:v>
      </x:c>
      <x:c r="P50" s="68" t="str">
        <x:v>水</x:v>
      </x:c>
      <x:c r="Q50" s="68" t="str">
        <x:v>降温润燥</x:v>
      </x:c>
      <x:c r="R50" s="82" t="str">
        <x:v>待定</x:v>
      </x:c>
      <x:c r="S50" s="82" t="str">
        <x:v>待定</x:v>
      </x:c>
      <x:c r="T50" s="82" t="str">
        <x:v>中</x:v>
      </x:c>
      <x:c r="U50" s="82" t="str">
        <x:v>待定</x:v>
      </x:c>
      <x:c r="V50" s="82" t="str">
        <x:v>待定</x:v>
      </x:c>
      <x:c r="W50" s="68" t="str">
        <x:v>M02基础映射、M08五行有效旺衰、M12流通卡点已完成</x:v>
      </x:c>
      <x:c r="X50" s="68" t="str">
        <x:v>月令基准与全局有效五行均已核查</x:v>
      </x:c>
      <x:c r="Y50" s="68" t="str">
        <x:v>相关调候五行有根有源、透达且能真实改善关键气候问题</x:v>
      </x:c>
      <x:c r="Z50" s="68" t="str">
        <x:v>调候五行无根、受强制、被合绊、改性或加入后产生新的寒热燥湿问题</x:v>
      </x:c>
      <x:c r="AA50" s="90" t="str">
        <x:v>不得只凭出生月份或某一五行数量直接下最终调候结论</x:v>
      </x:c>
      <x:c r="AB50" s="68" t="str">
        <x:v>特殊格局、核心格局用神或更高优先级病药约束转M16—M18裁决</x:v>
      </x:c>
      <x:c r="AC50" s="84" t="str">
        <x:v>暖燥_双轴状态</x:v>
      </x:c>
      <x:c r="AD50" s="84" t="str">
        <x:v>暖燥状态识别：温度轴判“偏暖”，湿度轴判“偏燥”；调候候选为“水”，是否成为最终用神仍转M16—M18。</x:v>
      </x:c>
      <x:c r="AE50" s="82" t="str">
        <x:v>较高</x:v>
      </x:c>
      <x:c r="AF50" s="82" t="str">
        <x:v>调候</x:v>
      </x:c>
      <x:c r="AG50" s="68" t="str">
        <x:v>调候以月令气候为起点，但必须结合M08五行有效力量与M12流通状态修正；寒暖与燥湿分轴判断，调候候选不自动等于全局主用神。</x:v>
      </x:c>
      <x:c r="AH50" s="68" t="str">
        <x:v>当“温度轴=偏暖且湿度轴=偏燥”真实成立，且调候机制能改善主要气候问题时，可按“暖燥状态识别”记录。</x:v>
      </x:c>
      <x:c r="AI50" s="90" t="str">
        <x:v>仅见月份或表面五行标签，但未满足“温度轴=偏暖且湿度轴=偏燥”及必要修正条件时，不得套用“暖燥状态识别”。</x:v>
      </x:c>
      <x:c r="AJ50" s="82" t="str">
        <x:v>采用</x:v>
      </x:c>
      <x:c r="AK50" s="82" t="str">
        <x:v>初审</x:v>
      </x:c>
      <x:c r="AL50" s="87" t="n">
        <x:v>46255</x:v>
      </x:c>
    </x:row>
    <x:row r="51">
      <x:c r="A51" s="72" t="str">
        <x:f>IF(OR(C51="",D51=""),"",B51&amp;"-"&amp;UPPER(C51)&amp;"-"&amp;TEXT(D51,"0000")&amp;"-"&amp;E51)</x:f>
        <x:v>M13-COMBO-0045-V1.0</x:v>
      </x:c>
      <x:c r="B51" s="74" t="str">
        <x:v>M13</x:v>
      </x:c>
      <x:c r="C51" s="74" t="str">
        <x:v>COMBO</x:v>
      </x:c>
      <x:c r="D51" s="215" t="n">
        <x:v>45</x:v>
      </x:c>
      <x:c r="E51" s="74" t="str">
        <x:v>V1.0</x:v>
      </x:c>
      <x:c r="F51" s="68" t="str">
        <x:v>极寒湿状态识别</x:v>
      </x:c>
      <x:c r="G51" s="82" t="str">
        <x:v>结构层</x:v>
      </x:c>
      <x:c r="H51" s="82" t="str">
        <x:v>寒暖燥湿综合</x:v>
      </x:c>
      <x:c r="I51" s="68" t="str">
        <x:v>通用</x:v>
      </x:c>
      <x:c r="J51" s="68" t="str">
        <x:v>温度轴=极寒且湿度轴=极湿</x:v>
      </x:c>
      <x:c r="K51" s="68" t="str">
        <x:v>待定</x:v>
      </x:c>
      <x:c r="L51" s="68" t="str">
        <x:v>待定</x:v>
      </x:c>
      <x:c r="M51" s="82" t="str">
        <x:v>极寒</x:v>
      </x:c>
      <x:c r="N51" s="82" t="str">
        <x:v>极湿</x:v>
      </x:c>
      <x:c r="O51" s="68" t="str">
        <x:v>寒湿已明显阻断木火和整体生化</x:v>
      </x:c>
      <x:c r="P51" s="68" t="str">
        <x:v>火</x:v>
      </x:c>
      <x:c r="Q51" s="68" t="str">
        <x:v>优先暖局，必要时木辅助引火疏湿</x:v>
      </x:c>
      <x:c r="R51" s="82" t="str">
        <x:v>待定</x:v>
      </x:c>
      <x:c r="S51" s="82" t="str">
        <x:v>待定</x:v>
      </x:c>
      <x:c r="T51" s="82" t="str">
        <x:v>高</x:v>
      </x:c>
      <x:c r="U51" s="82" t="str">
        <x:v>待定</x:v>
      </x:c>
      <x:c r="V51" s="82" t="str">
        <x:v>待定</x:v>
      </x:c>
      <x:c r="W51" s="68" t="str">
        <x:v>M02基础映射、M08五行有效旺衰、M12流通卡点已完成</x:v>
      </x:c>
      <x:c r="X51" s="68" t="str">
        <x:v>月令基准与全局有效五行均已核查</x:v>
      </x:c>
      <x:c r="Y51" s="68" t="str">
        <x:v>相关调候五行有根有源、透达且能真实改善关键气候问题</x:v>
      </x:c>
      <x:c r="Z51" s="68" t="str">
        <x:v>调候五行无根、受强制、被合绊、改性或加入后产生新的寒热燥湿问题</x:v>
      </x:c>
      <x:c r="AA51" s="90" t="str">
        <x:v>不得只凭出生月份或某一五行数量直接下最终调候结论</x:v>
      </x:c>
      <x:c r="AB51" s="68" t="str">
        <x:v>特殊格局、核心格局用神或更高优先级病药约束转M16—M18裁决</x:v>
      </x:c>
      <x:c r="AC51" s="84" t="str">
        <x:v>极寒湿_双轴状态</x:v>
      </x:c>
      <x:c r="AD51" s="84" t="str">
        <x:v>极寒湿状态识别：温度轴判“极寒”，湿度轴判“极湿”；调候候选为“火”，是否成为最终用神仍转M16—M18。</x:v>
      </x:c>
      <x:c r="AE51" s="82" t="str">
        <x:v>较高</x:v>
      </x:c>
      <x:c r="AF51" s="82" t="str">
        <x:v>调候</x:v>
      </x:c>
      <x:c r="AG51" s="68" t="str">
        <x:v>调候以月令气候为起点，但必须结合M08五行有效力量与M12流通状态修正；寒暖与燥湿分轴判断，调候候选不自动等于全局主用神。</x:v>
      </x:c>
      <x:c r="AH51" s="68" t="str">
        <x:v>当“温度轴=极寒且湿度轴=极湿”真实成立，且调候机制能改善主要气候问题时，可按“极寒湿状态识别”记录。</x:v>
      </x:c>
      <x:c r="AI51" s="90" t="str">
        <x:v>仅见月份或表面五行标签，但未满足“温度轴=极寒且湿度轴=极湿”及必要修正条件时，不得套用“极寒湿状态识别”。</x:v>
      </x:c>
      <x:c r="AJ51" s="82" t="str">
        <x:v>采用</x:v>
      </x:c>
      <x:c r="AK51" s="82" t="str">
        <x:v>初审</x:v>
      </x:c>
      <x:c r="AL51" s="87" t="n">
        <x:v>46255</x:v>
      </x:c>
    </x:row>
    <x:row r="52">
      <x:c r="A52" s="72" t="str">
        <x:f>IF(OR(C52="",D52=""),"",B52&amp;"-"&amp;UPPER(C52)&amp;"-"&amp;TEXT(D52,"0000")&amp;"-"&amp;E52)</x:f>
        <x:v>M13-COMBO-0046-V1.0</x:v>
      </x:c>
      <x:c r="B52" s="74" t="str">
        <x:v>M13</x:v>
      </x:c>
      <x:c r="C52" s="74" t="str">
        <x:v>COMBO</x:v>
      </x:c>
      <x:c r="D52" s="215" t="n">
        <x:v>46</x:v>
      </x:c>
      <x:c r="E52" s="74" t="str">
        <x:v>V1.0</x:v>
      </x:c>
      <x:c r="F52" s="68" t="str">
        <x:v>极热燥状态识别</x:v>
      </x:c>
      <x:c r="G52" s="82" t="str">
        <x:v>结构层</x:v>
      </x:c>
      <x:c r="H52" s="82" t="str">
        <x:v>寒暖燥湿综合</x:v>
      </x:c>
      <x:c r="I52" s="68" t="str">
        <x:v>通用</x:v>
      </x:c>
      <x:c r="J52" s="68" t="str">
        <x:v>温度轴=极热且湿度轴=极燥</x:v>
      </x:c>
      <x:c r="K52" s="68" t="str">
        <x:v>待定</x:v>
      </x:c>
      <x:c r="L52" s="68" t="str">
        <x:v>待定</x:v>
      </x:c>
      <x:c r="M52" s="82" t="str">
        <x:v>极热</x:v>
      </x:c>
      <x:c r="N52" s="82" t="str">
        <x:v>极燥</x:v>
      </x:c>
      <x:c r="O52" s="68" t="str">
        <x:v>热燥已造成水木失养与生化枯竭</x:v>
      </x:c>
      <x:c r="P52" s="68" t="str">
        <x:v>水</x:v>
      </x:c>
      <x:c r="Q52" s="68" t="str">
        <x:v>优先降温润燥</x:v>
      </x:c>
      <x:c r="R52" s="82" t="str">
        <x:v>待定</x:v>
      </x:c>
      <x:c r="S52" s="82" t="str">
        <x:v>待定</x:v>
      </x:c>
      <x:c r="T52" s="82" t="str">
        <x:v>高</x:v>
      </x:c>
      <x:c r="U52" s="82" t="str">
        <x:v>待定</x:v>
      </x:c>
      <x:c r="V52" s="82" t="str">
        <x:v>待定</x:v>
      </x:c>
      <x:c r="W52" s="68" t="str">
        <x:v>M02基础映射、M08五行有效旺衰、M12流通卡点已完成</x:v>
      </x:c>
      <x:c r="X52" s="68" t="str">
        <x:v>月令基准与全局有效五行均已核查</x:v>
      </x:c>
      <x:c r="Y52" s="68" t="str">
        <x:v>相关调候五行有根有源、透达且能真实改善关键气候问题</x:v>
      </x:c>
      <x:c r="Z52" s="68" t="str">
        <x:v>调候五行无根、受强制、被合绊、改性或加入后产生新的寒热燥湿问题</x:v>
      </x:c>
      <x:c r="AA52" s="90" t="str">
        <x:v>不得只凭出生月份或某一五行数量直接下最终调候结论</x:v>
      </x:c>
      <x:c r="AB52" s="68" t="str">
        <x:v>特殊格局、核心格局用神或更高优先级病药约束转M16—M18裁决</x:v>
      </x:c>
      <x:c r="AC52" s="84" t="str">
        <x:v>极热燥_双轴状态</x:v>
      </x:c>
      <x:c r="AD52" s="84" t="str">
        <x:v>极热燥状态识别：温度轴判“极热”，湿度轴判“极燥”；调候候选为“水”，是否成为最终用神仍转M16—M18。</x:v>
      </x:c>
      <x:c r="AE52" s="82" t="str">
        <x:v>较高</x:v>
      </x:c>
      <x:c r="AF52" s="82" t="str">
        <x:v>调候</x:v>
      </x:c>
      <x:c r="AG52" s="68" t="str">
        <x:v>调候以月令气候为起点，但必须结合M08五行有效力量与M12流通状态修正；寒暖与燥湿分轴判断，调候候选不自动等于全局主用神。</x:v>
      </x:c>
      <x:c r="AH52" s="68" t="str">
        <x:v>当“温度轴=极热且湿度轴=极燥”真实成立，且调候机制能改善主要气候问题时，可按“极热燥状态识别”记录。</x:v>
      </x:c>
      <x:c r="AI52" s="90" t="str">
        <x:v>仅见月份或表面五行标签，但未满足“温度轴=极热且湿度轴=极燥”及必要修正条件时，不得套用“极热燥状态识别”。</x:v>
      </x:c>
      <x:c r="AJ52" s="82" t="str">
        <x:v>采用</x:v>
      </x:c>
      <x:c r="AK52" s="82" t="str">
        <x:v>初审</x:v>
      </x:c>
      <x:c r="AL52" s="87" t="n">
        <x:v>46255</x:v>
      </x:c>
    </x:row>
    <x:row r="53">
      <x:c r="A53" s="72" t="str">
        <x:f>IF(OR(C53="",D53=""),"",B53&amp;"-"&amp;UPPER(C53)&amp;"-"&amp;TEXT(D53,"0000")&amp;"-"&amp;E53)</x:f>
        <x:v>M13-COMBO-0047-V1.0</x:v>
      </x:c>
      <x:c r="B53" s="74" t="str">
        <x:v>M13</x:v>
      </x:c>
      <x:c r="C53" s="74" t="str">
        <x:v>COMBO</x:v>
      </x:c>
      <x:c r="D53" s="215" t="n">
        <x:v>47</x:v>
      </x:c>
      <x:c r="E53" s="74" t="str">
        <x:v>V1.0</x:v>
      </x:c>
      <x:c r="F53" s="68" t="str">
        <x:v>寒暖平衡偏湿状态识别</x:v>
      </x:c>
      <x:c r="G53" s="82" t="str">
        <x:v>结构层</x:v>
      </x:c>
      <x:c r="H53" s="82" t="str">
        <x:v>寒暖燥湿综合</x:v>
      </x:c>
      <x:c r="I53" s="68" t="str">
        <x:v>通用</x:v>
      </x:c>
      <x:c r="J53" s="68" t="str">
        <x:v>温度轴=平衡且湿度轴=偏湿</x:v>
      </x:c>
      <x:c r="K53" s="68" t="str">
        <x:v>待定</x:v>
      </x:c>
      <x:c r="L53" s="68" t="str">
        <x:v>待定</x:v>
      </x:c>
      <x:c r="M53" s="82" t="str">
        <x:v>平衡</x:v>
      </x:c>
      <x:c r="N53" s="82" t="str">
        <x:v>偏湿</x:v>
      </x:c>
      <x:c r="O53" s="68" t="str">
        <x:v>温度适中但湿度问题独立存在</x:v>
      </x:c>
      <x:c r="P53" s="68" t="str">
        <x:v>木/火</x:v>
      </x:c>
      <x:c r="Q53" s="68" t="str">
        <x:v>针对湿度而非继续调温</x:v>
      </x:c>
      <x:c r="R53" s="82" t="str">
        <x:v>待定</x:v>
      </x:c>
      <x:c r="S53" s="82" t="str">
        <x:v>待定</x:v>
      </x:c>
      <x:c r="T53" s="82" t="str">
        <x:v>中</x:v>
      </x:c>
      <x:c r="U53" s="82" t="str">
        <x:v>待定</x:v>
      </x:c>
      <x:c r="V53" s="82" t="str">
        <x:v>待定</x:v>
      </x:c>
      <x:c r="W53" s="68" t="str">
        <x:v>M02基础映射、M08五行有效旺衰、M12流通卡点已完成</x:v>
      </x:c>
      <x:c r="X53" s="68" t="str">
        <x:v>月令基准与全局有效五行均已核查</x:v>
      </x:c>
      <x:c r="Y53" s="68" t="str">
        <x:v>相关调候五行有根有源、透达且能真实改善关键气候问题</x:v>
      </x:c>
      <x:c r="Z53" s="68" t="str">
        <x:v>调候五行无根、受强制、被合绊、改性或加入后产生新的寒热燥湿问题</x:v>
      </x:c>
      <x:c r="AA53" s="90" t="str">
        <x:v>不得只凭出生月份或某一五行数量直接下最终调候结论</x:v>
      </x:c>
      <x:c r="AB53" s="68" t="str">
        <x:v>特殊格局、核心格局用神或更高优先级病药约束转M16—M18裁决</x:v>
      </x:c>
      <x:c r="AC53" s="84" t="str">
        <x:v>寒暖平衡偏湿_双轴状态</x:v>
      </x:c>
      <x:c r="AD53" s="84" t="str">
        <x:v>寒暖平衡偏湿状态识别：温度轴判“平衡”，湿度轴判“偏湿”；调候候选为“木/火”，是否成为最终用神仍转M16—M18。</x:v>
      </x:c>
      <x:c r="AE53" s="82" t="str">
        <x:v>较高</x:v>
      </x:c>
      <x:c r="AF53" s="82" t="str">
        <x:v>调候</x:v>
      </x:c>
      <x:c r="AG53" s="68" t="str">
        <x:v>调候以月令气候为起点，但必须结合M08五行有效力量与M12流通状态修正；寒暖与燥湿分轴判断，调候候选不自动等于全局主用神。</x:v>
      </x:c>
      <x:c r="AH53" s="68" t="str">
        <x:v>当“温度轴=平衡且湿度轴=偏湿”真实成立，且调候机制能改善主要气候问题时，可按“寒暖平衡偏湿状态识别”记录。</x:v>
      </x:c>
      <x:c r="AI53" s="90" t="str">
        <x:v>仅见月份或表面五行标签，但未满足“温度轴=平衡且湿度轴=偏湿”及必要修正条件时，不得套用“寒暖平衡偏湿状态识别”。</x:v>
      </x:c>
      <x:c r="AJ53" s="82" t="str">
        <x:v>采用</x:v>
      </x:c>
      <x:c r="AK53" s="82" t="str">
        <x:v>初审</x:v>
      </x:c>
      <x:c r="AL53" s="87" t="n">
        <x:v>46255</x:v>
      </x:c>
    </x:row>
    <x:row r="54">
      <x:c r="A54" s="72" t="str">
        <x:f>IF(OR(C54="",D54=""),"",B54&amp;"-"&amp;UPPER(C54)&amp;"-"&amp;TEXT(D54,"0000")&amp;"-"&amp;E54)</x:f>
        <x:v>M13-COMBO-0048-V1.0</x:v>
      </x:c>
      <x:c r="B54" s="74" t="str">
        <x:v>M13</x:v>
      </x:c>
      <x:c r="C54" s="74" t="str">
        <x:v>COMBO</x:v>
      </x:c>
      <x:c r="D54" s="215" t="n">
        <x:v>48</x:v>
      </x:c>
      <x:c r="E54" s="74" t="str">
        <x:v>V1.0</x:v>
      </x:c>
      <x:c r="F54" s="68" t="str">
        <x:v>寒暖平衡偏燥状态识别</x:v>
      </x:c>
      <x:c r="G54" s="82" t="str">
        <x:v>结构层</x:v>
      </x:c>
      <x:c r="H54" s="82" t="str">
        <x:v>寒暖燥湿综合</x:v>
      </x:c>
      <x:c r="I54" s="68" t="str">
        <x:v>通用</x:v>
      </x:c>
      <x:c r="J54" s="68" t="str">
        <x:v>温度轴=平衡且湿度轴=偏燥</x:v>
      </x:c>
      <x:c r="K54" s="68" t="str">
        <x:v>待定</x:v>
      </x:c>
      <x:c r="L54" s="68" t="str">
        <x:v>待定</x:v>
      </x:c>
      <x:c r="M54" s="82" t="str">
        <x:v>平衡</x:v>
      </x:c>
      <x:c r="N54" s="82" t="str">
        <x:v>偏燥</x:v>
      </x:c>
      <x:c r="O54" s="68" t="str">
        <x:v>温度适中但燥性独立存在</x:v>
      </x:c>
      <x:c r="P54" s="68" t="str">
        <x:v>水</x:v>
      </x:c>
      <x:c r="Q54" s="68" t="str">
        <x:v>只解决润燥，不额外改变温度过多</x:v>
      </x:c>
      <x:c r="R54" s="82" t="str">
        <x:v>待定</x:v>
      </x:c>
      <x:c r="S54" s="82" t="str">
        <x:v>待定</x:v>
      </x:c>
      <x:c r="T54" s="82" t="str">
        <x:v>中</x:v>
      </x:c>
      <x:c r="U54" s="82" t="str">
        <x:v>待定</x:v>
      </x:c>
      <x:c r="V54" s="82" t="str">
        <x:v>待定</x:v>
      </x:c>
      <x:c r="W54" s="68" t="str">
        <x:v>M02基础映射、M08五行有效旺衰、M12流通卡点已完成</x:v>
      </x:c>
      <x:c r="X54" s="68" t="str">
        <x:v>月令基准与全局有效五行均已核查</x:v>
      </x:c>
      <x:c r="Y54" s="68" t="str">
        <x:v>相关调候五行有根有源、透达且能真实改善关键气候问题</x:v>
      </x:c>
      <x:c r="Z54" s="68" t="str">
        <x:v>调候五行无根、受强制、被合绊、改性或加入后产生新的寒热燥湿问题</x:v>
      </x:c>
      <x:c r="AA54" s="90" t="str">
        <x:v>不得只凭出生月份或某一五行数量直接下最终调候结论</x:v>
      </x:c>
      <x:c r="AB54" s="68" t="str">
        <x:v>特殊格局、核心格局用神或更高优先级病药约束转M16—M18裁决</x:v>
      </x:c>
      <x:c r="AC54" s="84" t="str">
        <x:v>寒暖平衡偏燥_双轴状态</x:v>
      </x:c>
      <x:c r="AD54" s="84" t="str">
        <x:v>寒暖平衡偏燥状态识别：温度轴判“平衡”，湿度轴判“偏燥”；调候候选为“水”，是否成为最终用神仍转M16—M18。</x:v>
      </x:c>
      <x:c r="AE54" s="82" t="str">
        <x:v>较高</x:v>
      </x:c>
      <x:c r="AF54" s="82" t="str">
        <x:v>调候</x:v>
      </x:c>
      <x:c r="AG54" s="68" t="str">
        <x:v>调候以月令气候为起点，但必须结合M08五行有效力量与M12流通状态修正；寒暖与燥湿分轴判断，调候候选不自动等于全局主用神。</x:v>
      </x:c>
      <x:c r="AH54" s="68" t="str">
        <x:v>当“温度轴=平衡且湿度轴=偏燥”真实成立，且调候机制能改善主要气候问题时，可按“寒暖平衡偏燥状态识别”记录。</x:v>
      </x:c>
      <x:c r="AI54" s="90" t="str">
        <x:v>仅见月份或表面五行标签，但未满足“温度轴=平衡且湿度轴=偏燥”及必要修正条件时，不得套用“寒暖平衡偏燥状态识别”。</x:v>
      </x:c>
      <x:c r="AJ54" s="82" t="str">
        <x:v>采用</x:v>
      </x:c>
      <x:c r="AK54" s="82" t="str">
        <x:v>初审</x:v>
      </x:c>
      <x:c r="AL54" s="87" t="n">
        <x:v>46255</x:v>
      </x:c>
    </x:row>
    <x:row r="55">
      <x:c r="A55" s="72" t="str">
        <x:f>IF(OR(C55="",D55=""),"",B55&amp;"-"&amp;UPPER(C55)&amp;"-"&amp;TEXT(D55,"0000")&amp;"-"&amp;E55)</x:f>
        <x:v>M13-EFFECT-0049-V1.0</x:v>
      </x:c>
      <x:c r="B55" s="74" t="str">
        <x:v>M13</x:v>
      </x:c>
      <x:c r="C55" s="74" t="str">
        <x:v>EFFECT</x:v>
      </x:c>
      <x:c r="D55" s="215" t="n">
        <x:v>49</x:v>
      </x:c>
      <x:c r="E55" s="74" t="str">
        <x:v>V1.0</x:v>
      </x:c>
      <x:c r="F55" s="68" t="str">
        <x:v>调候五行完全不现只表示原局无现成调候资源</x:v>
      </x:c>
      <x:c r="G55" s="82" t="str">
        <x:v>结构层</x:v>
      </x:c>
      <x:c r="H55" s="82" t="str">
        <x:v>寒暖燥湿综合</x:v>
      </x:c>
      <x:c r="I55" s="68" t="str">
        <x:v>通用</x:v>
      </x:c>
      <x:c r="J55" s="68" t="str">
        <x:v>主要气候问题已成立，但候选调候五行四柱明藏均不现</x:v>
      </x:c>
      <x:c r="K55" s="68" t="str">
        <x:v>待定</x:v>
      </x:c>
      <x:c r="L55" s="68" t="str">
        <x:v>待定</x:v>
      </x:c>
      <x:c r="M55" s="82" t="str">
        <x:v>待定</x:v>
      </x:c>
      <x:c r="N55" s="82" t="str">
        <x:v>待定</x:v>
      </x:c>
      <x:c r="O55" s="68" t="str">
        <x:v>调候资源缺失</x:v>
      </x:c>
      <x:c r="P55" s="68" t="str">
        <x:v>对应调候五行</x:v>
      </x:c>
      <x:c r="Q55" s="68" t="str">
        <x:v>记录缺失而非直接判喜神</x:v>
      </x:c>
      <x:c r="R55" s="82" t="str">
        <x:v>否</x:v>
      </x:c>
      <x:c r="S55" s="82" t="str">
        <x:v>失效</x:v>
      </x:c>
      <x:c r="T55" s="82" t="str">
        <x:v>待定</x:v>
      </x:c>
      <x:c r="U55" s="82" t="str">
        <x:v>待定</x:v>
      </x:c>
      <x:c r="V55" s="82" t="str">
        <x:v>待定</x:v>
      </x:c>
      <x:c r="W55" s="68" t="str">
        <x:v>M02基础映射、M08五行有效旺衰、M12流通卡点已完成</x:v>
      </x:c>
      <x:c r="X55" s="68" t="str">
        <x:v>月令基准与全局有效五行均已核查</x:v>
      </x:c>
      <x:c r="Y55" s="68" t="str">
        <x:v>相关调候五行有根有源、透达且能真实改善关键气候问题</x:v>
      </x:c>
      <x:c r="Z55" s="68" t="str">
        <x:v>调候五行无根、受强制、被合绊、改性或加入后产生新的寒热燥湿问题</x:v>
      </x:c>
      <x:c r="AA55" s="90" t="str">
        <x:v>不得只凭出生月份或某一五行数量直接下最终调候结论</x:v>
      </x:c>
      <x:c r="AB55" s="68" t="str">
        <x:v>特殊格局、核心格局用神或更高优先级病药约束转M16—M18裁决</x:v>
      </x:c>
      <x:c r="AC55" s="84" t="str">
        <x:v>调候五行不现</x:v>
      </x:c>
      <x:c r="AD55" s="84" t="str">
        <x:v>调候五行完全不现只表示原局无现成调候资源：温度轴判“待定”，湿度轴判“待定”；调候候选为“对应调候五行”，是否成为最终用神仍转M16—M18。</x:v>
      </x:c>
      <x:c r="AE55" s="82" t="str">
        <x:v>较高</x:v>
      </x:c>
      <x:c r="AF55" s="82" t="str">
        <x:v>调候</x:v>
      </x:c>
      <x:c r="AG55" s="68" t="str">
        <x:v>调候以月令气候为起点，但必须结合M08五行有效力量与M12流通状态修正；寒暖与燥湿分轴判断，调候候选不自动等于全局主用神。</x:v>
      </x:c>
      <x:c r="AH55" s="68" t="str">
        <x:v>当“主要气候问题已成立，但候选调候五行四柱明藏均不现”真实成立，且调候机制能改善主要气候问题时，可按“调候五行完全不现只表示原局无现成调候资源”记录。</x:v>
      </x:c>
      <x:c r="AI55" s="90" t="str">
        <x:v>仅见月份或表面五行标签，但未满足“主要气候问题已成立，但候选调候五行四柱明藏均不现”及必要修正条件时，不得套用“调候五行完全不现只表示原局无现成调候资源”。</x:v>
      </x:c>
      <x:c r="AJ55" s="82" t="str">
        <x:v>采用</x:v>
      </x:c>
      <x:c r="AK55" s="82" t="str">
        <x:v>初审</x:v>
      </x:c>
      <x:c r="AL55" s="87" t="n">
        <x:v>46255</x:v>
      </x:c>
    </x:row>
    <x:row r="56">
      <x:c r="A56" s="72" t="str">
        <x:f>IF(OR(C56="",D56=""),"",B56&amp;"-"&amp;UPPER(C56)&amp;"-"&amp;TEXT(D56,"0000")&amp;"-"&amp;E56)</x:f>
        <x:v>M13-EFFECT-0050-V1.0</x:v>
      </x:c>
      <x:c r="B56" s="74" t="str">
        <x:v>M13</x:v>
      </x:c>
      <x:c r="C56" s="74" t="str">
        <x:v>EFFECT</x:v>
      </x:c>
      <x:c r="D56" s="215" t="n">
        <x:v>50</x:v>
      </x:c>
      <x:c r="E56" s="74" t="str">
        <x:v>V1.0</x:v>
      </x:c>
      <x:c r="F56" s="68" t="str">
        <x:v>调候五行存在但无根时有效性偏低</x:v>
      </x:c>
      <x:c r="G56" s="82" t="str">
        <x:v>结构层</x:v>
      </x:c>
      <x:c r="H56" s="82" t="str">
        <x:v>寒暖燥湿综合</x:v>
      </x:c>
      <x:c r="I56" s="68" t="str">
        <x:v>通用</x:v>
      </x:c>
      <x:c r="J56" s="68" t="str">
        <x:v>候选调候五行透干或藏支，但M08判无根无源</x:v>
      </x:c>
      <x:c r="K56" s="68" t="str">
        <x:v>待定</x:v>
      </x:c>
      <x:c r="L56" s="68" t="str">
        <x:v>待定</x:v>
      </x:c>
      <x:c r="M56" s="82" t="str">
        <x:v>待定</x:v>
      </x:c>
      <x:c r="N56" s="82" t="str">
        <x:v>待定</x:v>
      </x:c>
      <x:c r="O56" s="68" t="str">
        <x:v>有名义调候资源但持续性不足</x:v>
      </x:c>
      <x:c r="P56" s="68" t="str">
        <x:v>对应调候五行</x:v>
      </x:c>
      <x:c r="Q56" s="68" t="str">
        <x:v>调候能力有限</x:v>
      </x:c>
      <x:c r="R56" s="82" t="str">
        <x:v>是</x:v>
      </x:c>
      <x:c r="S56" s="82" t="str">
        <x:v>受限</x:v>
      </x:c>
      <x:c r="T56" s="82" t="str">
        <x:v>待定</x:v>
      </x:c>
      <x:c r="U56" s="82" t="str">
        <x:v>待定</x:v>
      </x:c>
      <x:c r="V56" s="82" t="str">
        <x:v>待定</x:v>
      </x:c>
      <x:c r="W56" s="68" t="str">
        <x:v>M02基础映射、M08五行有效旺衰、M12流通卡点已完成</x:v>
      </x:c>
      <x:c r="X56" s="68" t="str">
        <x:v>月令基准与全局有效五行均已核查</x:v>
      </x:c>
      <x:c r="Y56" s="68" t="str">
        <x:v>相关调候五行有根有源、透达且能真实改善关键气候问题</x:v>
      </x:c>
      <x:c r="Z56" s="68" t="str">
        <x:v>调候五行无根、受强制、被合绊、改性或加入后产生新的寒热燥湿问题</x:v>
      </x:c>
      <x:c r="AA56" s="90" t="str">
        <x:v>不得只凭出生月份或某一五行数量直接下最终调候结论</x:v>
      </x:c>
      <x:c r="AB56" s="68" t="str">
        <x:v>特殊格局、核心格局用神或更高优先级病药约束转M16—M18裁决</x:v>
      </x:c>
      <x:c r="AC56" s="84" t="str">
        <x:v>调候五行无根</x:v>
      </x:c>
      <x:c r="AD56" s="84" t="str">
        <x:v>调候五行存在但无根时有效性偏低：温度轴判“待定”，湿度轴判“待定”；调候候选为“对应调候五行”，是否成为最终用神仍转M16—M18。</x:v>
      </x:c>
      <x:c r="AE56" s="82" t="str">
        <x:v>较高</x:v>
      </x:c>
      <x:c r="AF56" s="82" t="str">
        <x:v>调候</x:v>
      </x:c>
      <x:c r="AG56" s="68" t="str">
        <x:v>调候以月令气候为起点，但必须结合M08五行有效力量与M12流通状态修正；寒暖与燥湿分轴判断，调候候选不自动等于全局主用神。</x:v>
      </x:c>
      <x:c r="AH56" s="68" t="str">
        <x:v>当“候选调候五行透干或藏支，但M08判无根无源”真实成立，且调候机制能改善主要气候问题时，可按“调候五行存在但无根时有效性偏低”记录。</x:v>
      </x:c>
      <x:c r="AI56" s="90" t="str">
        <x:v>仅见月份或表面五行标签，但未满足“候选调候五行透干或藏支，但M08判无根无源”及必要修正条件时，不得套用“调候五行存在但无根时有效性偏低”。</x:v>
      </x:c>
      <x:c r="AJ56" s="82" t="str">
        <x:v>采用</x:v>
      </x:c>
      <x:c r="AK56" s="82" t="str">
        <x:v>初审</x:v>
      </x:c>
      <x:c r="AL56" s="87" t="n">
        <x:v>46255</x:v>
      </x:c>
    </x:row>
    <x:row r="57">
      <x:c r="A57" s="72" t="str">
        <x:f>IF(OR(C57="",D57=""),"",B57&amp;"-"&amp;UPPER(C57)&amp;"-"&amp;TEXT(D57,"0000")&amp;"-"&amp;E57)</x:f>
        <x:v>M13-EFFECT-0051-V1.0</x:v>
      </x:c>
      <x:c r="B57" s="74" t="str">
        <x:v>M13</x:v>
      </x:c>
      <x:c r="C57" s="74" t="str">
        <x:v>EFFECT</x:v>
      </x:c>
      <x:c r="D57" s="215" t="n">
        <x:v>51</x:v>
      </x:c>
      <x:c r="E57" s="74" t="str">
        <x:v>V1.0</x:v>
      </x:c>
      <x:c r="F57" s="68" t="str">
        <x:v>调候五行有根有源且透达时有效性高</x:v>
      </x:c>
      <x:c r="G57" s="82" t="str">
        <x:v>结构层</x:v>
      </x:c>
      <x:c r="H57" s="82" t="str">
        <x:v>寒暖燥湿综合</x:v>
      </x:c>
      <x:c r="I57" s="68" t="str">
        <x:v>通用</x:v>
      </x:c>
      <x:c r="J57" s="68" t="str">
        <x:v>候选调候五行有有效根、生源并能作用关键气候节点</x:v>
      </x:c>
      <x:c r="K57" s="68" t="str">
        <x:v>待定</x:v>
      </x:c>
      <x:c r="L57" s="68" t="str">
        <x:v>待定</x:v>
      </x:c>
      <x:c r="M57" s="82" t="str">
        <x:v>待定</x:v>
      </x:c>
      <x:c r="N57" s="82" t="str">
        <x:v>待定</x:v>
      </x:c>
      <x:c r="O57" s="68" t="str">
        <x:v>调候资源可稳定发挥</x:v>
      </x:c>
      <x:c r="P57" s="68" t="str">
        <x:v>对应调候五行</x:v>
      </x:c>
      <x:c r="Q57" s="68" t="str">
        <x:v>直接改善气候失衡</x:v>
      </x:c>
      <x:c r="R57" s="82" t="str">
        <x:v>是</x:v>
      </x:c>
      <x:c r="S57" s="82" t="str">
        <x:v>有效</x:v>
      </x:c>
      <x:c r="T57" s="82" t="str">
        <x:v>待定</x:v>
      </x:c>
      <x:c r="U57" s="82" t="str">
        <x:v>待定</x:v>
      </x:c>
      <x:c r="V57" s="82" t="str">
        <x:v>待定</x:v>
      </x:c>
      <x:c r="W57" s="68" t="str">
        <x:v>M02基础映射、M08五行有效旺衰、M12流通卡点已完成</x:v>
      </x:c>
      <x:c r="X57" s="68" t="str">
        <x:v>月令基准与全局有效五行均已核查</x:v>
      </x:c>
      <x:c r="Y57" s="68" t="str">
        <x:v>相关调候五行有根有源、透达且能真实改善关键气候问题</x:v>
      </x:c>
      <x:c r="Z57" s="68" t="str">
        <x:v>调候五行无根、受强制、被合绊、改性或加入后产生新的寒热燥湿问题</x:v>
      </x:c>
      <x:c r="AA57" s="90" t="str">
        <x:v>不得只凭出生月份或某一五行数量直接下最终调候结论</x:v>
      </x:c>
      <x:c r="AB57" s="68" t="str">
        <x:v>特殊格局、核心格局用神或更高优先级病药约束转M16—M18裁决</x:v>
      </x:c>
      <x:c r="AC57" s="84" t="str">
        <x:v>调候五行有效</x:v>
      </x:c>
      <x:c r="AD57" s="84" t="str">
        <x:v>调候五行有根有源且透达时有效性高：温度轴判“待定”，湿度轴判“待定”；调候候选为“对应调候五行”，是否成为最终用神仍转M16—M18。</x:v>
      </x:c>
      <x:c r="AE57" s="82" t="str">
        <x:v>较高</x:v>
      </x:c>
      <x:c r="AF57" s="82" t="str">
        <x:v>调候</x:v>
      </x:c>
      <x:c r="AG57" s="68" t="str">
        <x:v>调候以月令气候为起点，但必须结合M08五行有效力量与M12流通状态修正；寒暖与燥湿分轴判断，调候候选不自动等于全局主用神。</x:v>
      </x:c>
      <x:c r="AH57" s="68" t="str">
        <x:v>当“候选调候五行有有效根、生源并能作用关键气候节点”真实成立，且调候机制能改善主要气候问题时，可按“调候五行有根有源且透达时有效性高”记录。</x:v>
      </x:c>
      <x:c r="AI57" s="90" t="str">
        <x:v>仅见月份或表面五行标签，但未满足“候选调候五行有有效根、生源并能作用关键气候节点”及必要修正条件时，不得套用“调候五行有根有源且透达时有效性高”。</x:v>
      </x:c>
      <x:c r="AJ57" s="82" t="str">
        <x:v>采用</x:v>
      </x:c>
      <x:c r="AK57" s="82" t="str">
        <x:v>初审</x:v>
      </x:c>
      <x:c r="AL57" s="87" t="n">
        <x:v>46255</x:v>
      </x:c>
    </x:row>
    <x:row r="58">
      <x:c r="A58" s="72" t="str">
        <x:f>IF(OR(C58="",D58=""),"",B58&amp;"-"&amp;UPPER(C58)&amp;"-"&amp;TEXT(D58,"0000")&amp;"-"&amp;E58)</x:f>
        <x:v>M13-EFFECT-0052-V1.0</x:v>
      </x:c>
      <x:c r="B58" s="74" t="str">
        <x:v>M13</x:v>
      </x:c>
      <x:c r="C58" s="74" t="str">
        <x:v>EFFECT</x:v>
      </x:c>
      <x:c r="D58" s="215" t="n">
        <x:v>52</x:v>
      </x:c>
      <x:c r="E58" s="74" t="str">
        <x:v>V1.0</x:v>
      </x:c>
      <x:c r="F58" s="68" t="str">
        <x:v>调候五行被强克时需降低有效性</x:v>
      </x:c>
      <x:c r="G58" s="82" t="str">
        <x:v>结构层</x:v>
      </x:c>
      <x:c r="H58" s="82" t="str">
        <x:v>寒暖燥湿综合</x:v>
      </x:c>
      <x:c r="I58" s="68" t="str">
        <x:v>通用</x:v>
      </x:c>
      <x:c r="J58" s="68" t="str">
        <x:v>候选调候五行虽存在，但受到更强五行直接有效克制</x:v>
      </x:c>
      <x:c r="K58" s="68" t="str">
        <x:v>待定</x:v>
      </x:c>
      <x:c r="L58" s="68" t="str">
        <x:v>待定</x:v>
      </x:c>
      <x:c r="M58" s="82" t="str">
        <x:v>待定</x:v>
      </x:c>
      <x:c r="N58" s="82" t="str">
        <x:v>待定</x:v>
      </x:c>
      <x:c r="O58" s="68" t="str">
        <x:v>调候功能被压制</x:v>
      </x:c>
      <x:c r="P58" s="68" t="str">
        <x:v>对应调候五行</x:v>
      </x:c>
      <x:c r="Q58" s="68" t="str">
        <x:v>需先解除强制或增强根源</x:v>
      </x:c>
      <x:c r="R58" s="82" t="str">
        <x:v>是</x:v>
      </x:c>
      <x:c r="S58" s="82" t="str">
        <x:v>受限</x:v>
      </x:c>
      <x:c r="T58" s="82" t="str">
        <x:v>待定</x:v>
      </x:c>
      <x:c r="U58" s="82" t="str">
        <x:v>待定</x:v>
      </x:c>
      <x:c r="V58" s="82" t="str">
        <x:v>待定</x:v>
      </x:c>
      <x:c r="W58" s="68" t="str">
        <x:v>M02基础映射、M08五行有效旺衰、M12流通卡点已完成</x:v>
      </x:c>
      <x:c r="X58" s="68" t="str">
        <x:v>月令基准与全局有效五行均已核查</x:v>
      </x:c>
      <x:c r="Y58" s="68" t="str">
        <x:v>相关调候五行有根有源、透达且能真实改善关键气候问题</x:v>
      </x:c>
      <x:c r="Z58" s="68" t="str">
        <x:v>调候五行无根、受强制、被合绊、改性或加入后产生新的寒热燥湿问题</x:v>
      </x:c>
      <x:c r="AA58" s="90" t="str">
        <x:v>不得只凭出生月份或某一五行数量直接下最终调候结论</x:v>
      </x:c>
      <x:c r="AB58" s="68" t="str">
        <x:v>特殊格局、核心格局用神或更高优先级病药约束转M16—M18裁决</x:v>
      </x:c>
      <x:c r="AC58" s="84" t="str">
        <x:v>调候五行受克</x:v>
      </x:c>
      <x:c r="AD58" s="84" t="str">
        <x:v>调候五行被强克时需降低有效性：温度轴判“待定”，湿度轴判“待定”；调候候选为“对应调候五行”，是否成为最终用神仍转M16—M18。</x:v>
      </x:c>
      <x:c r="AE58" s="82" t="str">
        <x:v>较高</x:v>
      </x:c>
      <x:c r="AF58" s="82" t="str">
        <x:v>调候</x:v>
      </x:c>
      <x:c r="AG58" s="68" t="str">
        <x:v>调候以月令气候为起点，但必须结合M08五行有效力量与M12流通状态修正；寒暖与燥湿分轴判断，调候候选不自动等于全局主用神。</x:v>
      </x:c>
      <x:c r="AH58" s="68" t="str">
        <x:v>当“候选调候五行虽存在，但受到更强五行直接有效克制”真实成立，且调候机制能改善主要气候问题时，可按“调候五行被强克时需降低有效性”记录。</x:v>
      </x:c>
      <x:c r="AI58" s="90" t="str">
        <x:v>仅见月份或表面五行标签，但未满足“候选调候五行虽存在，但受到更强五行直接有效克制”及必要修正条件时，不得套用“调候五行被强克时需降低有效性”。</x:v>
      </x:c>
      <x:c r="AJ58" s="82" t="str">
        <x:v>采用</x:v>
      </x:c>
      <x:c r="AK58" s="82" t="str">
        <x:v>初审</x:v>
      </x:c>
      <x:c r="AL58" s="87" t="n">
        <x:v>46255</x:v>
      </x:c>
    </x:row>
    <x:row r="59">
      <x:c r="A59" s="72" t="str">
        <x:f>IF(OR(C59="",D59=""),"",B59&amp;"-"&amp;UPPER(C59)&amp;"-"&amp;TEXT(D59,"0000")&amp;"-"&amp;E59)</x:f>
        <x:v>M13-EFFECT-0053-V1.0</x:v>
      </x:c>
      <x:c r="B59" s="74" t="str">
        <x:v>M13</x:v>
      </x:c>
      <x:c r="C59" s="74" t="str">
        <x:v>EFFECT</x:v>
      </x:c>
      <x:c r="D59" s="215" t="n">
        <x:v>53</x:v>
      </x:c>
      <x:c r="E59" s="74" t="str">
        <x:v>V1.0</x:v>
      </x:c>
      <x:c r="F59" s="68" t="str">
        <x:v>调候五行被合绊时功能受限但不等于消失</x:v>
      </x:c>
      <x:c r="G59" s="82" t="str">
        <x:v>结构层</x:v>
      </x:c>
      <x:c r="H59" s="82" t="str">
        <x:v>寒暖燥湿综合</x:v>
      </x:c>
      <x:c r="I59" s="68" t="str">
        <x:v>通用</x:v>
      </x:c>
      <x:c r="J59" s="68" t="str">
        <x:v>候选调候五行被合绊，M06未判实质合化消失</x:v>
      </x:c>
      <x:c r="K59" s="68" t="str">
        <x:v>待定</x:v>
      </x:c>
      <x:c r="L59" s="68" t="str">
        <x:v>待定</x:v>
      </x:c>
      <x:c r="M59" s="82" t="str">
        <x:v>待定</x:v>
      </x:c>
      <x:c r="N59" s="82" t="str">
        <x:v>待定</x:v>
      </x:c>
      <x:c r="O59" s="68" t="str">
        <x:v>调候资源被牵制</x:v>
      </x:c>
      <x:c r="P59" s="68" t="str">
        <x:v>对应调候五行</x:v>
      </x:c>
      <x:c r="Q59" s="68" t="str">
        <x:v>仍可有限调候</x:v>
      </x:c>
      <x:c r="R59" s="82" t="str">
        <x:v>是</x:v>
      </x:c>
      <x:c r="S59" s="82" t="str">
        <x:v>受限</x:v>
      </x:c>
      <x:c r="T59" s="82" t="str">
        <x:v>待定</x:v>
      </x:c>
      <x:c r="U59" s="82" t="str">
        <x:v>待定</x:v>
      </x:c>
      <x:c r="V59" s="82" t="str">
        <x:v>待定</x:v>
      </x:c>
      <x:c r="W59" s="68" t="str">
        <x:v>M02基础映射、M08五行有效旺衰、M12流通卡点已完成</x:v>
      </x:c>
      <x:c r="X59" s="68" t="str">
        <x:v>月令基准与全局有效五行均已核查</x:v>
      </x:c>
      <x:c r="Y59" s="68" t="str">
        <x:v>相关调候五行有根有源、透达且能真实改善关键气候问题</x:v>
      </x:c>
      <x:c r="Z59" s="68" t="str">
        <x:v>调候五行无根、受强制、被合绊、改性或加入后产生新的寒热燥湿问题</x:v>
      </x:c>
      <x:c r="AA59" s="90" t="str">
        <x:v>不得只凭出生月份或某一五行数量直接下最终调候结论</x:v>
      </x:c>
      <x:c r="AB59" s="68" t="str">
        <x:v>特殊格局、核心格局用神或更高优先级病药约束转M16—M18裁决</x:v>
      </x:c>
      <x:c r="AC59" s="84" t="str">
        <x:v>调候五行合绊</x:v>
      </x:c>
      <x:c r="AD59" s="84" t="str">
        <x:v>调候五行被合绊时功能受限但不等于消失：温度轴判“待定”，湿度轴判“待定”；调候候选为“对应调候五行”，是否成为最终用神仍转M16—M18。</x:v>
      </x:c>
      <x:c r="AE59" s="82" t="str">
        <x:v>较高</x:v>
      </x:c>
      <x:c r="AF59" s="82" t="str">
        <x:v>调候</x:v>
      </x:c>
      <x:c r="AG59" s="68" t="str">
        <x:v>调候以月令气候为起点，但必须结合M08五行有效力量与M12流通状态修正；寒暖与燥湿分轴判断，调候候选不自动等于全局主用神。</x:v>
      </x:c>
      <x:c r="AH59" s="68" t="str">
        <x:v>当“候选调候五行被合绊，M06未判实质合化消失”真实成立，且调候机制能改善主要气候问题时，可按“调候五行被合绊时功能受限但不等于消失”记录。</x:v>
      </x:c>
      <x:c r="AI59" s="90" t="str">
        <x:v>仅见月份或表面五行标签，但未满足“候选调候五行被合绊，M06未判实质合化消失”及必要修正条件时，不得套用“调候五行被合绊时功能受限但不等于消失”。</x:v>
      </x:c>
      <x:c r="AJ59" s="82" t="str">
        <x:v>采用</x:v>
      </x:c>
      <x:c r="AK59" s="82" t="str">
        <x:v>初审</x:v>
      </x:c>
      <x:c r="AL59" s="87" t="n">
        <x:v>46255</x:v>
      </x:c>
    </x:row>
    <x:row r="60">
      <x:c r="A60" s="72" t="str">
        <x:f>IF(OR(C60="",D60=""),"",B60&amp;"-"&amp;UPPER(C60)&amp;"-"&amp;TEXT(D60,"0000")&amp;"-"&amp;E60)</x:f>
        <x:v>M13-EFFECT-0054-V1.0</x:v>
      </x:c>
      <x:c r="B60" s="74" t="str">
        <x:v>M13</x:v>
      </x:c>
      <x:c r="C60" s="74" t="str">
        <x:v>EFFECT</x:v>
      </x:c>
      <x:c r="D60" s="215" t="n">
        <x:v>54</x:v>
      </x:c>
      <x:c r="E60" s="74" t="str">
        <x:v>V1.0</x:v>
      </x:c>
      <x:c r="F60" s="68" t="str">
        <x:v>调候五行实质合化后必须按新五行重判</x:v>
      </x:c>
      <x:c r="G60" s="82" t="str">
        <x:v>结构层</x:v>
      </x:c>
      <x:c r="H60" s="82" t="str">
        <x:v>寒暖燥湿综合</x:v>
      </x:c>
      <x:c r="I60" s="68" t="str">
        <x:v>通用</x:v>
      </x:c>
      <x:c r="J60" s="68" t="str">
        <x:v>候选调候五行经M06确认实质合化或会局改性</x:v>
      </x:c>
      <x:c r="K60" s="68" t="str">
        <x:v>待定</x:v>
      </x:c>
      <x:c r="L60" s="68" t="str">
        <x:v>待定</x:v>
      </x:c>
      <x:c r="M60" s="82" t="str">
        <x:v>待定</x:v>
      </x:c>
      <x:c r="N60" s="82" t="str">
        <x:v>待定</x:v>
      </x:c>
      <x:c r="O60" s="68" t="str">
        <x:v>原调候属性发生变化</x:v>
      </x:c>
      <x:c r="P60" s="68" t="str">
        <x:v>按化神重算</x:v>
      </x:c>
      <x:c r="Q60" s="68" t="str">
        <x:v>重建寒暖燥湿修正</x:v>
      </x:c>
      <x:c r="R60" s="82" t="str">
        <x:v>条件性</x:v>
      </x:c>
      <x:c r="S60" s="82" t="str">
        <x:v>待定</x:v>
      </x:c>
      <x:c r="T60" s="82" t="str">
        <x:v>待定</x:v>
      </x:c>
      <x:c r="U60" s="82" t="str">
        <x:v>待定</x:v>
      </x:c>
      <x:c r="V60" s="82" t="str">
        <x:v>待定</x:v>
      </x:c>
      <x:c r="W60" s="68" t="str">
        <x:v>M02基础映射、M08五行有效旺衰、M12流通卡点已完成</x:v>
      </x:c>
      <x:c r="X60" s="68" t="str">
        <x:v>月令基准与全局有效五行均已核查</x:v>
      </x:c>
      <x:c r="Y60" s="68" t="str">
        <x:v>相关调候五行有根有源、透达且能真实改善关键气候问题</x:v>
      </x:c>
      <x:c r="Z60" s="68" t="str">
        <x:v>调候五行无根、受强制、被合绊、改性或加入后产生新的寒热燥湿问题</x:v>
      </x:c>
      <x:c r="AA60" s="90" t="str">
        <x:v>不得只凭出生月份或某一五行数量直接下最终调候结论</x:v>
      </x:c>
      <x:c r="AB60" s="68" t="str">
        <x:v>特殊格局、核心格局用神或更高优先级病药约束转M16—M18裁决</x:v>
      </x:c>
      <x:c r="AC60" s="84" t="str">
        <x:v>调候五行改性</x:v>
      </x:c>
      <x:c r="AD60" s="84" t="str">
        <x:v>调候五行实质合化后必须按新五行重判：温度轴判“待定”，湿度轴判“待定”；调候候选为“按化神重算”，是否成为最终用神仍转M16—M18。</x:v>
      </x:c>
      <x:c r="AE60" s="82" t="str">
        <x:v>较高</x:v>
      </x:c>
      <x:c r="AF60" s="82" t="str">
        <x:v>调候</x:v>
      </x:c>
      <x:c r="AG60" s="68" t="str">
        <x:v>调候以月令气候为起点，但必须结合M08五行有效力量与M12流通状态修正；寒暖与燥湿分轴判断，调候候选不自动等于全局主用神。</x:v>
      </x:c>
      <x:c r="AH60" s="68" t="str">
        <x:v>当“候选调候五行经M06确认实质合化或会局改性”真实成立，且调候机制能改善主要气候问题时，可按“调候五行实质合化后必须按新五行重判”记录。</x:v>
      </x:c>
      <x:c r="AI60" s="90" t="str">
        <x:v>仅见月份或表面五行标签，但未满足“候选调候五行经M06确认实质合化或会局改性”及必要修正条件时，不得套用“调候五行实质合化后必须按新五行重判”。</x:v>
      </x:c>
      <x:c r="AJ60" s="82" t="str">
        <x:v>采用</x:v>
      </x:c>
      <x:c r="AK60" s="82" t="str">
        <x:v>初审</x:v>
      </x:c>
      <x:c r="AL60" s="87" t="n">
        <x:v>46255</x:v>
      </x:c>
    </x:row>
    <x:row r="61">
      <x:c r="A61" s="72" t="str">
        <x:f>IF(OR(C61="",D61=""),"",B61&amp;"-"&amp;UPPER(C61)&amp;"-"&amp;TEXT(D61,"0000")&amp;"-"&amp;E61)</x:f>
        <x:v>M13-EFFECT-0055-V1.0</x:v>
      </x:c>
      <x:c r="B61" s="74" t="str">
        <x:v>M13</x:v>
      </x:c>
      <x:c r="C61" s="74" t="str">
        <x:v>EFFECT</x:v>
      </x:c>
      <x:c r="D61" s="215" t="n">
        <x:v>55</x:v>
      </x:c>
      <x:c r="E61" s="74" t="str">
        <x:v>V1.0</x:v>
      </x:c>
      <x:c r="F61" s="68" t="str">
        <x:v>调候五行过强可制造反向气候新病</x:v>
      </x:c>
      <x:c r="G61" s="82" t="str">
        <x:v>结构层</x:v>
      </x:c>
      <x:c r="H61" s="82" t="str">
        <x:v>寒暖燥湿综合</x:v>
      </x:c>
      <x:c r="I61" s="68" t="str">
        <x:v>通用</x:v>
      </x:c>
      <x:c r="J61" s="68" t="str">
        <x:v>候选调候五行加入后达到旺极旺并使原问题跨越平衡点</x:v>
      </x:c>
      <x:c r="K61" s="68" t="str">
        <x:v>待定</x:v>
      </x:c>
      <x:c r="L61" s="68" t="str">
        <x:v>待定</x:v>
      </x:c>
      <x:c r="M61" s="82" t="str">
        <x:v>待定</x:v>
      </x:c>
      <x:c r="N61" s="82" t="str">
        <x:v>待定</x:v>
      </x:c>
      <x:c r="O61" s="68" t="str">
        <x:v>药过量转成新寒热燥湿病</x:v>
      </x:c>
      <x:c r="P61" s="68" t="str">
        <x:v>原调候五行</x:v>
      </x:c>
      <x:c r="Q61" s="68" t="str">
        <x:v>降低使用优先级或改为条件性</x:v>
      </x:c>
      <x:c r="R61" s="82" t="str">
        <x:v>是</x:v>
      </x:c>
      <x:c r="S61" s="82" t="str">
        <x:v>过度</x:v>
      </x:c>
      <x:c r="T61" s="82" t="str">
        <x:v>待定</x:v>
      </x:c>
      <x:c r="U61" s="82" t="str">
        <x:v>待定</x:v>
      </x:c>
      <x:c r="V61" s="82" t="str">
        <x:v>待定</x:v>
      </x:c>
      <x:c r="W61" s="68" t="str">
        <x:v>M02基础映射、M08五行有效旺衰、M12流通卡点已完成</x:v>
      </x:c>
      <x:c r="X61" s="68" t="str">
        <x:v>月令基准与全局有效五行均已核查</x:v>
      </x:c>
      <x:c r="Y61" s="68" t="str">
        <x:v>相关调候五行有根有源、透达且能真实改善关键气候问题</x:v>
      </x:c>
      <x:c r="Z61" s="68" t="str">
        <x:v>调候五行无根、受强制、被合绊、改性或加入后产生新的寒热燥湿问题</x:v>
      </x:c>
      <x:c r="AA61" s="90" t="str">
        <x:v>不得只凭出生月份或某一五行数量直接下最终调候结论</x:v>
      </x:c>
      <x:c r="AB61" s="68" t="str">
        <x:v>特殊格局、核心格局用神或更高优先级病药约束转M16—M18裁决</x:v>
      </x:c>
      <x:c r="AC61" s="84" t="str">
        <x:v>调候过度</x:v>
      </x:c>
      <x:c r="AD61" s="84" t="str">
        <x:v>调候五行过强可制造反向气候新病：温度轴判“待定”，湿度轴判“待定”；调候候选为“原调候五行”，是否成为最终用神仍转M16—M18。</x:v>
      </x:c>
      <x:c r="AE61" s="82" t="str">
        <x:v>较高</x:v>
      </x:c>
      <x:c r="AF61" s="82" t="str">
        <x:v>调候</x:v>
      </x:c>
      <x:c r="AG61" s="68" t="str">
        <x:v>调候以月令气候为起点，但必须结合M08五行有效力量与M12流通状态修正；寒暖与燥湿分轴判断，调候候选不自动等于全局主用神。</x:v>
      </x:c>
      <x:c r="AH61" s="68" t="str">
        <x:v>当“候选调候五行加入后达到旺极旺并使原问题跨越平衡点”真实成立，且调候机制能改善主要气候问题时，可按“调候五行过强可制造反向气候新病”记录。</x:v>
      </x:c>
      <x:c r="AI61" s="90" t="str">
        <x:v>仅见月份或表面五行标签，但未满足“候选调候五行加入后达到旺极旺并使原问题跨越平衡点”及必要修正条件时，不得套用“调候五行过强可制造反向气候新病”。</x:v>
      </x:c>
      <x:c r="AJ61" s="82" t="str">
        <x:v>采用</x:v>
      </x:c>
      <x:c r="AK61" s="82" t="str">
        <x:v>初审</x:v>
      </x:c>
      <x:c r="AL61" s="87" t="n">
        <x:v>46255</x:v>
      </x:c>
    </x:row>
    <x:row r="62">
      <x:c r="A62" s="72" t="str">
        <x:f>IF(OR(C62="",D62=""),"",B62&amp;"-"&amp;UPPER(C62)&amp;"-"&amp;TEXT(D62,"0000")&amp;"-"&amp;E62)</x:f>
        <x:v>M13-EFFECT-0056-V1.0</x:v>
      </x:c>
      <x:c r="B62" s="74" t="str">
        <x:v>M13</x:v>
      </x:c>
      <x:c r="C62" s="74" t="str">
        <x:v>EFFECT</x:v>
      </x:c>
      <x:c r="D62" s="215" t="n">
        <x:v>56</x:v>
      </x:c>
      <x:c r="E62" s="74" t="str">
        <x:v>V1.0</x:v>
      </x:c>
      <x:c r="F62" s="68" t="str">
        <x:v>调候元素必须作用于关键卡点才算功能有效</x:v>
      </x:c>
      <x:c r="G62" s="82" t="str">
        <x:v>结构层</x:v>
      </x:c>
      <x:c r="H62" s="82" t="str">
        <x:v>寒暖燥湿综合</x:v>
      </x:c>
      <x:c r="I62" s="68" t="str">
        <x:v>通用</x:v>
      </x:c>
      <x:c r="J62" s="68" t="str">
        <x:v>候选五行虽能理论上暖、润、燥湿，但无法进入M12主卡点或主要生化路径</x:v>
      </x:c>
      <x:c r="K62" s="68" t="str">
        <x:v>待定</x:v>
      </x:c>
      <x:c r="L62" s="68" t="str">
        <x:v>待定</x:v>
      </x:c>
      <x:c r="M62" s="82" t="str">
        <x:v>待定</x:v>
      </x:c>
      <x:c r="N62" s="82" t="str">
        <x:v>待定</x:v>
      </x:c>
      <x:c r="O62" s="68" t="str">
        <x:v>理论调候与实际路径脱节</x:v>
      </x:c>
      <x:c r="P62" s="68" t="str">
        <x:v>候选五行</x:v>
      </x:c>
      <x:c r="Q62" s="68" t="str">
        <x:v>不能有效触达病位</x:v>
      </x:c>
      <x:c r="R62" s="82" t="str">
        <x:v>是</x:v>
      </x:c>
      <x:c r="S62" s="82" t="str">
        <x:v>受限</x:v>
      </x:c>
      <x:c r="T62" s="82" t="str">
        <x:v>待定</x:v>
      </x:c>
      <x:c r="U62" s="82" t="str">
        <x:v>待定</x:v>
      </x:c>
      <x:c r="V62" s="82" t="str">
        <x:v>待定</x:v>
      </x:c>
      <x:c r="W62" s="68" t="str">
        <x:v>M02基础映射、M08五行有效旺衰、M12流通卡点已完成</x:v>
      </x:c>
      <x:c r="X62" s="68" t="str">
        <x:v>月令基准与全局有效五行均已核查</x:v>
      </x:c>
      <x:c r="Y62" s="68" t="str">
        <x:v>相关调候五行有根有源、透达且能真实改善关键气候问题</x:v>
      </x:c>
      <x:c r="Z62" s="68" t="str">
        <x:v>调候五行无根、受强制、被合绊、改性或加入后产生新的寒热燥湿问题</x:v>
      </x:c>
      <x:c r="AA62" s="90" t="str">
        <x:v>不得只凭出生月份或某一五行数量直接下最终调候结论</x:v>
      </x:c>
      <x:c r="AB62" s="68" t="str">
        <x:v>特殊格局、核心格局用神或更高优先级病药约束转M16—M18裁决</x:v>
      </x:c>
      <x:c r="AC62" s="84" t="str">
        <x:v>调候作用路径要求</x:v>
      </x:c>
      <x:c r="AD62" s="84" t="str">
        <x:v>调候元素必须作用于关键卡点才算功能有效：温度轴判“待定”，湿度轴判“待定”；调候候选为“候选五行”，是否成为最终用神仍转M16—M18。</x:v>
      </x:c>
      <x:c r="AE62" s="82" t="str">
        <x:v>较高</x:v>
      </x:c>
      <x:c r="AF62" s="82" t="str">
        <x:v>调候</x:v>
      </x:c>
      <x:c r="AG62" s="68" t="str">
        <x:v>调候以月令气候为起点，但必须结合M08五行有效力量与M12流通状态修正；寒暖与燥湿分轴判断，调候候选不自动等于全局主用神。</x:v>
      </x:c>
      <x:c r="AH62" s="68" t="str">
        <x:v>当“候选五行虽能理论上暖、润、燥湿，但无法进入M12主卡点或主要生化路径”真实成立，且调候机制能改善主要气候问题时，可按“调候元素必须作用于关键卡点才算功能有效”记录。</x:v>
      </x:c>
      <x:c r="AI62" s="90" t="str">
        <x:v>仅见月份或表面五行标签，但未满足“候选五行虽能理论上暖、润、燥湿，但无法进入M12主卡点或主要生化路径”及必要修正条件时，不得套用“调候元素必须作用于关键卡点才算功能有效”。</x:v>
      </x:c>
      <x:c r="AJ62" s="82" t="str">
        <x:v>采用</x:v>
      </x:c>
      <x:c r="AK62" s="82" t="str">
        <x:v>初审</x:v>
      </x:c>
      <x:c r="AL62" s="87" t="n">
        <x:v>46255</x:v>
      </x:c>
    </x:row>
    <x:row r="63">
      <x:c r="A63" s="72" t="str">
        <x:f>IF(OR(C63="",D63=""),"",B63&amp;"-"&amp;UPPER(C63)&amp;"-"&amp;TEXT(D63,"0000")&amp;"-"&amp;E63)</x:f>
        <x:v>M13-CONFLICT-0057-V1.0</x:v>
      </x:c>
      <x:c r="B63" s="74" t="str">
        <x:v>M13</x:v>
      </x:c>
      <x:c r="C63" s="74" t="str">
        <x:v>CONFLICT</x:v>
      </x:c>
      <x:c r="D63" s="215" t="n">
        <x:v>57</x:v>
      </x:c>
      <x:c r="E63" s="74" t="str">
        <x:v>V1.0</x:v>
      </x:c>
      <x:c r="F63" s="68" t="str">
        <x:v>调候候选与扶抑方向一致时优先级提高</x:v>
      </x:c>
      <x:c r="G63" s="82" t="str">
        <x:v>结构层</x:v>
      </x:c>
      <x:c r="H63" s="82" t="str">
        <x:v>寒暖燥湿综合</x:v>
      </x:c>
      <x:c r="I63" s="68" t="str">
        <x:v>通用</x:v>
      </x:c>
      <x:c r="J63" s="68" t="str">
        <x:v>同一五行既能改善寒暖燥湿，又能改善M09日主或全局旺衰失衡</x:v>
      </x:c>
      <x:c r="K63" s="68" t="str">
        <x:v>待定</x:v>
      </x:c>
      <x:c r="L63" s="68" t="str">
        <x:v>待定</x:v>
      </x:c>
      <x:c r="M63" s="82" t="str">
        <x:v>待定</x:v>
      </x:c>
      <x:c r="N63" s="82" t="str">
        <x:v>待定</x:v>
      </x:c>
      <x:c r="O63" s="68" t="str">
        <x:v>两种需求同向</x:v>
      </x:c>
      <x:c r="P63" s="68" t="str">
        <x:v>同一五行</x:v>
      </x:c>
      <x:c r="Q63" s="68" t="str">
        <x:v>一药多效</x:v>
      </x:c>
      <x:c r="R63" s="82" t="str">
        <x:v>待定</x:v>
      </x:c>
      <x:c r="S63" s="82" t="str">
        <x:v>待定</x:v>
      </x:c>
      <x:c r="T63" s="82" t="str">
        <x:v>高</x:v>
      </x:c>
      <x:c r="U63" s="82" t="str">
        <x:v>否</x:v>
      </x:c>
      <x:c r="V63" s="82" t="str">
        <x:v>待定</x:v>
      </x:c>
      <x:c r="W63" s="68" t="str">
        <x:v>M02基础映射、M08五行有效旺衰、M12流通卡点已完成</x:v>
      </x:c>
      <x:c r="X63" s="68" t="str">
        <x:v>月令基准与全局有效五行均已核查</x:v>
      </x:c>
      <x:c r="Y63" s="68" t="str">
        <x:v>相关调候五行有根有源、透达且能真实改善关键气候问题</x:v>
      </x:c>
      <x:c r="Z63" s="68" t="str">
        <x:v>调候五行无根、受强制、被合绊、改性或加入后产生新的寒热燥湿问题</x:v>
      </x:c>
      <x:c r="AA63" s="90" t="str">
        <x:v>不得只凭出生月份或某一五行数量直接下最终调候结论</x:v>
      </x:c>
      <x:c r="AB63" s="68" t="str">
        <x:v>特殊格局、核心格局用神或更高优先级病药约束转M16—M18裁决</x:v>
      </x:c>
      <x:c r="AC63" s="84" t="str">
        <x:v>调候扶抑一致</x:v>
      </x:c>
      <x:c r="AD63" s="84" t="str">
        <x:v>调候候选与扶抑方向一致时优先级提高：温度轴判“待定”，湿度轴判“待定”；调候候选为“同一五行”，是否成为最终用神仍转M16—M18。</x:v>
      </x:c>
      <x:c r="AE63" s="82" t="str">
        <x:v>较高</x:v>
      </x:c>
      <x:c r="AF63" s="82" t="str">
        <x:v>调候</x:v>
      </x:c>
      <x:c r="AG63" s="68" t="str">
        <x:v>调候以月令气候为起点，但必须结合M08五行有效力量与M12流通状态修正；寒暖与燥湿分轴判断，调候候选不自动等于全局主用神。</x:v>
      </x:c>
      <x:c r="AH63" s="68" t="str">
        <x:v>当“同一五行既能改善寒暖燥湿，又能改善M09日主或全局旺衰失衡”真实成立，且调候机制能改善主要气候问题时，可按“调候候选与扶抑方向一致时优先级提高”记录。</x:v>
      </x:c>
      <x:c r="AI63" s="90" t="str">
        <x:v>仅见月份或表面五行标签，但未满足“同一五行既能改善寒暖燥湿，又能改善M09日主或全局旺衰失衡”及必要修正条件时，不得套用“调候候选与扶抑方向一致时优先级提高”。</x:v>
      </x:c>
      <x:c r="AJ63" s="82" t="str">
        <x:v>采用</x:v>
      </x:c>
      <x:c r="AK63" s="82" t="str">
        <x:v>初审</x:v>
      </x:c>
      <x:c r="AL63" s="87" t="n">
        <x:v>46255</x:v>
      </x:c>
    </x:row>
    <x:row r="64">
      <x:c r="A64" s="72" t="str">
        <x:f>IF(OR(C64="",D64=""),"",B64&amp;"-"&amp;UPPER(C64)&amp;"-"&amp;TEXT(D64,"0000")&amp;"-"&amp;E64)</x:f>
        <x:v>M13-CONFLICT-0058-V1.0</x:v>
      </x:c>
      <x:c r="B64" s="74" t="str">
        <x:v>M13</x:v>
      </x:c>
      <x:c r="C64" s="74" t="str">
        <x:v>CONFLICT</x:v>
      </x:c>
      <x:c r="D64" s="215" t="n">
        <x:v>58</x:v>
      </x:c>
      <x:c r="E64" s="74" t="str">
        <x:v>V1.0</x:v>
      </x:c>
      <x:c r="F64" s="68" t="str">
        <x:v>调候候选与扶抑方向冲突时必须条件化</x:v>
      </x:c>
      <x:c r="G64" s="82" t="str">
        <x:v>结构层</x:v>
      </x:c>
      <x:c r="H64" s="82" t="str">
        <x:v>寒暖燥湿综合</x:v>
      </x:c>
      <x:c r="I64" s="68" t="str">
        <x:v>通用</x:v>
      </x:c>
      <x:c r="J64" s="68" t="str">
        <x:v>调候需要某五行，但该五行会明显加重日主或全局旺衰失衡</x:v>
      </x:c>
      <x:c r="K64" s="68" t="str">
        <x:v>待定</x:v>
      </x:c>
      <x:c r="L64" s="68" t="str">
        <x:v>待定</x:v>
      </x:c>
      <x:c r="M64" s="82" t="str">
        <x:v>待定</x:v>
      </x:c>
      <x:c r="N64" s="82" t="str">
        <x:v>待定</x:v>
      </x:c>
      <x:c r="O64" s="68" t="str">
        <x:v>调候收益与扶抑副作用冲突</x:v>
      </x:c>
      <x:c r="P64" s="68" t="str">
        <x:v>调候五行</x:v>
      </x:c>
      <x:c r="Q64" s="68" t="str">
        <x:v>限量或寻找替代调候路径</x:v>
      </x:c>
      <x:c r="R64" s="82" t="str">
        <x:v>待定</x:v>
      </x:c>
      <x:c r="S64" s="82" t="str">
        <x:v>待定</x:v>
      </x:c>
      <x:c r="T64" s="82" t="str">
        <x:v>待定</x:v>
      </x:c>
      <x:c r="U64" s="82" t="str">
        <x:v>是</x:v>
      </x:c>
      <x:c r="V64" s="82" t="str">
        <x:v>待定</x:v>
      </x:c>
      <x:c r="W64" s="68" t="str">
        <x:v>M02基础映射、M08五行有效旺衰、M12流通卡点已完成</x:v>
      </x:c>
      <x:c r="X64" s="68" t="str">
        <x:v>月令基准与全局有效五行均已核查</x:v>
      </x:c>
      <x:c r="Y64" s="68" t="str">
        <x:v>相关调候五行有根有源、透达且能真实改善关键气候问题</x:v>
      </x:c>
      <x:c r="Z64" s="68" t="str">
        <x:v>调候五行无根、受强制、被合绊、改性或加入后产生新的寒热燥湿问题</x:v>
      </x:c>
      <x:c r="AA64" s="90" t="str">
        <x:v>不得只凭出生月份或某一五行数量直接下最终调候结论</x:v>
      </x:c>
      <x:c r="AB64" s="68" t="str">
        <x:v>特殊格局、核心格局用神或更高优先级病药约束转M16—M18裁决</x:v>
      </x:c>
      <x:c r="AC64" s="84" t="str">
        <x:v>调候扶抑冲突</x:v>
      </x:c>
      <x:c r="AD64" s="84" t="str">
        <x:v>调候候选与扶抑方向冲突时必须条件化：温度轴判“待定”，湿度轴判“待定”；调候候选为“调候五行”，是否成为最终用神仍转M16—M18。</x:v>
      </x:c>
      <x:c r="AE64" s="82" t="str">
        <x:v>较高</x:v>
      </x:c>
      <x:c r="AF64" s="82" t="str">
        <x:v>调候</x:v>
      </x:c>
      <x:c r="AG64" s="68" t="str">
        <x:v>调候以月令气候为起点，但必须结合M08五行有效力量与M12流通状态修正；寒暖与燥湿分轴判断，调候候选不自动等于全局主用神。</x:v>
      </x:c>
      <x:c r="AH64" s="68" t="str">
        <x:v>当“调候需要某五行，但该五行会明显加重日主或全局旺衰失衡”真实成立，且调候机制能改善主要气候问题时，可按“调候候选与扶抑方向冲突时必须条件化”记录。</x:v>
      </x:c>
      <x:c r="AI64" s="90" t="str">
        <x:v>仅见月份或表面五行标签，但未满足“调候需要某五行，但该五行会明显加重日主或全局旺衰失衡”及必要修正条件时，不得套用“调候候选与扶抑方向冲突时必须条件化”。</x:v>
      </x:c>
      <x:c r="AJ64" s="82" t="str">
        <x:v>采用</x:v>
      </x:c>
      <x:c r="AK64" s="82" t="str">
        <x:v>初审</x:v>
      </x:c>
      <x:c r="AL64" s="87" t="n">
        <x:v>46255</x:v>
      </x:c>
    </x:row>
    <x:row r="65">
      <x:c r="A65" s="72" t="str">
        <x:f>IF(OR(C65="",D65=""),"",B65&amp;"-"&amp;UPPER(C65)&amp;"-"&amp;TEXT(D65,"0000")&amp;"-"&amp;E65)</x:f>
        <x:v>M13-CONFLICT-0059-V1.0</x:v>
      </x:c>
      <x:c r="B65" s="74" t="str">
        <x:v>M13</x:v>
      </x:c>
      <x:c r="C65" s="74" t="str">
        <x:v>CONFLICT</x:v>
      </x:c>
      <x:c r="D65" s="215" t="n">
        <x:v>59</x:v>
      </x:c>
      <x:c r="E65" s="74" t="str">
        <x:v>V1.0</x:v>
      </x:c>
      <x:c r="F65" s="68" t="str">
        <x:v>调候候选维护格局时可提高优先级</x:v>
      </x:c>
      <x:c r="G65" s="82" t="str">
        <x:v>结构层</x:v>
      </x:c>
      <x:c r="H65" s="82" t="str">
        <x:v>寒暖燥湿综合</x:v>
      </x:c>
      <x:c r="I65" s="68" t="str">
        <x:v>通用</x:v>
      </x:c>
      <x:c r="J65" s="68" t="str">
        <x:v>调候五行同时属于M14/M15格局所需或能保护核心格神</x:v>
      </x:c>
      <x:c r="K65" s="68" t="str">
        <x:v>待定</x:v>
      </x:c>
      <x:c r="L65" s="68" t="str">
        <x:v>待定</x:v>
      </x:c>
      <x:c r="M65" s="82" t="str">
        <x:v>待定</x:v>
      </x:c>
      <x:c r="N65" s="82" t="str">
        <x:v>待定</x:v>
      </x:c>
      <x:c r="O65" s="68" t="str">
        <x:v>调候与格局方向一致</x:v>
      </x:c>
      <x:c r="P65" s="68" t="str">
        <x:v>调候五行</x:v>
      </x:c>
      <x:c r="Q65" s="68" t="str">
        <x:v>兼顾气候与护格</x:v>
      </x:c>
      <x:c r="R65" s="82" t="str">
        <x:v>待定</x:v>
      </x:c>
      <x:c r="S65" s="82" t="str">
        <x:v>待定</x:v>
      </x:c>
      <x:c r="T65" s="82" t="str">
        <x:v>高</x:v>
      </x:c>
      <x:c r="U65" s="82" t="str">
        <x:v>待定</x:v>
      </x:c>
      <x:c r="V65" s="82" t="str">
        <x:v>否</x:v>
      </x:c>
      <x:c r="W65" s="68" t="str">
        <x:v>M02基础映射、M08五行有效旺衰、M12流通卡点已完成</x:v>
      </x:c>
      <x:c r="X65" s="68" t="str">
        <x:v>月令基准与全局有效五行均已核查</x:v>
      </x:c>
      <x:c r="Y65" s="68" t="str">
        <x:v>相关调候五行有根有源、透达且能真实改善关键气候问题</x:v>
      </x:c>
      <x:c r="Z65" s="68" t="str">
        <x:v>调候五行无根、受强制、被合绊、改性或加入后产生新的寒热燥湿问题</x:v>
      </x:c>
      <x:c r="AA65" s="90" t="str">
        <x:v>不得只凭出生月份或某一五行数量直接下最终调候结论</x:v>
      </x:c>
      <x:c r="AB65" s="68" t="str">
        <x:v>特殊格局、核心格局用神或更高优先级病药约束转M16—M18裁决</x:v>
      </x:c>
      <x:c r="AC65" s="84" t="str">
        <x:v>调候格局一致</x:v>
      </x:c>
      <x:c r="AD65" s="84" t="str">
        <x:v>调候候选维护格局时可提高优先级：温度轴判“待定”，湿度轴判“待定”；调候候选为“调候五行”，是否成为最终用神仍转M16—M18。</x:v>
      </x:c>
      <x:c r="AE65" s="82" t="str">
        <x:v>较高</x:v>
      </x:c>
      <x:c r="AF65" s="82" t="str">
        <x:v>调候</x:v>
      </x:c>
      <x:c r="AG65" s="68" t="str">
        <x:v>调候以月令气候为起点，但必须结合M08五行有效力量与M12流通状态修正；寒暖与燥湿分轴判断，调候候选不自动等于全局主用神。</x:v>
      </x:c>
      <x:c r="AH65" s="68" t="str">
        <x:v>当“调候五行同时属于M14/M15格局所需或能保护核心格神”真实成立，且调候机制能改善主要气候问题时，可按“调候候选维护格局时可提高优先级”记录。</x:v>
      </x:c>
      <x:c r="AI65" s="90" t="str">
        <x:v>仅见月份或表面五行标签，但未满足“调候五行同时属于M14/M15格局所需或能保护核心格神”及必要修正条件时，不得套用“调候候选维护格局时可提高优先级”。</x:v>
      </x:c>
      <x:c r="AJ65" s="82" t="str">
        <x:v>采用</x:v>
      </x:c>
      <x:c r="AK65" s="82" t="str">
        <x:v>初审</x:v>
      </x:c>
      <x:c r="AL65" s="87" t="n">
        <x:v>46255</x:v>
      </x:c>
    </x:row>
    <x:row r="66">
      <x:c r="A66" s="72" t="str">
        <x:f>IF(OR(C66="",D66=""),"",B66&amp;"-"&amp;UPPER(C66)&amp;"-"&amp;TEXT(D66,"0000")&amp;"-"&amp;E66)</x:f>
        <x:v>M13-CONFLICT-0060-V1.0</x:v>
      </x:c>
      <x:c r="B66" s="74" t="str">
        <x:v>M13</x:v>
      </x:c>
      <x:c r="C66" s="74" t="str">
        <x:v>CONFLICT</x:v>
      </x:c>
      <x:c r="D66" s="215" t="n">
        <x:v>60</x:v>
      </x:c>
      <x:c r="E66" s="74" t="str">
        <x:v>V1.0</x:v>
      </x:c>
      <x:c r="F66" s="68" t="str">
        <x:v>调候候选破坏核心格局时不得直接作为主用</x:v>
      </x:c>
      <x:c r="G66" s="82" t="str">
        <x:v>结构层</x:v>
      </x:c>
      <x:c r="H66" s="82" t="str">
        <x:v>寒暖燥湿综合</x:v>
      </x:c>
      <x:c r="I66" s="68" t="str">
        <x:v>通用</x:v>
      </x:c>
      <x:c r="J66" s="68" t="str">
        <x:v>调候五行虽能改善气候，但会强克、合去或泄损核心格神</x:v>
      </x:c>
      <x:c r="K66" s="68" t="str">
        <x:v>待定</x:v>
      </x:c>
      <x:c r="L66" s="68" t="str">
        <x:v>待定</x:v>
      </x:c>
      <x:c r="M66" s="82" t="str">
        <x:v>待定</x:v>
      </x:c>
      <x:c r="N66" s="82" t="str">
        <x:v>待定</x:v>
      </x:c>
      <x:c r="O66" s="68" t="str">
        <x:v>调候与格局冲突</x:v>
      </x:c>
      <x:c r="P66" s="68" t="str">
        <x:v>调候五行</x:v>
      </x:c>
      <x:c r="Q66" s="68" t="str">
        <x:v>降级为条件性或寻找替代方案</x:v>
      </x:c>
      <x:c r="R66" s="82" t="str">
        <x:v>待定</x:v>
      </x:c>
      <x:c r="S66" s="82" t="str">
        <x:v>待定</x:v>
      </x:c>
      <x:c r="T66" s="82" t="str">
        <x:v>待定</x:v>
      </x:c>
      <x:c r="U66" s="82" t="str">
        <x:v>待定</x:v>
      </x:c>
      <x:c r="V66" s="82" t="str">
        <x:v>是</x:v>
      </x:c>
      <x:c r="W66" s="68" t="str">
        <x:v>M02基础映射、M08五行有效旺衰、M12流通卡点已完成</x:v>
      </x:c>
      <x:c r="X66" s="68" t="str">
        <x:v>月令基准与全局有效五行均已核查</x:v>
      </x:c>
      <x:c r="Y66" s="68" t="str">
        <x:v>相关调候五行有根有源、透达且能真实改善关键气候问题</x:v>
      </x:c>
      <x:c r="Z66" s="68" t="str">
        <x:v>调候五行无根、受强制、被合绊、改性或加入后产生新的寒热燥湿问题</x:v>
      </x:c>
      <x:c r="AA66" s="90" t="str">
        <x:v>不得只凭出生月份或某一五行数量直接下最终调候结论</x:v>
      </x:c>
      <x:c r="AB66" s="68" t="str">
        <x:v>特殊格局、核心格局用神或更高优先级病药约束转M16—M18裁决</x:v>
      </x:c>
      <x:c r="AC66" s="84" t="str">
        <x:v>调候破格冲突</x:v>
      </x:c>
      <x:c r="AD66" s="84" t="str">
        <x:v>调候候选破坏核心格局时不得直接作为主用：温度轴判“待定”，湿度轴判“待定”；调候候选为“调候五行”，是否成为最终用神仍转M16—M18。</x:v>
      </x:c>
      <x:c r="AE66" s="82" t="str">
        <x:v>较高</x:v>
      </x:c>
      <x:c r="AF66" s="82" t="str">
        <x:v>调候</x:v>
      </x:c>
      <x:c r="AG66" s="68" t="str">
        <x:v>调候以月令气候为起点，但必须结合M08五行有效力量与M12流通状态修正；寒暖与燥湿分轴判断，调候候选不自动等于全局主用神。</x:v>
      </x:c>
      <x:c r="AH66" s="68" t="str">
        <x:v>当“调候五行虽能改善气候，但会强克、合去或泄损核心格神”真实成立，且调候机制能改善主要气候问题时，可按“调候候选破坏核心格局时不得直接作为主用”记录。</x:v>
      </x:c>
      <x:c r="AI66" s="90" t="str">
        <x:v>仅见月份或表面五行标签，但未满足“调候五行虽能改善气候，但会强克、合去或泄损核心格神”及必要修正条件时，不得套用“调候候选破坏核心格局时不得直接作为主用”。</x:v>
      </x:c>
      <x:c r="AJ66" s="82" t="str">
        <x:v>采用</x:v>
      </x:c>
      <x:c r="AK66" s="82" t="str">
        <x:v>初审</x:v>
      </x:c>
      <x:c r="AL66" s="87" t="n">
        <x:v>46255</x:v>
      </x:c>
    </x:row>
    <x:row r="67">
      <x:c r="A67" s="72" t="str">
        <x:f>IF(OR(C67="",D67=""),"",B67&amp;"-"&amp;UPPER(C67)&amp;"-"&amp;TEXT(D67,"0000")&amp;"-"&amp;E67)</x:f>
        <x:v>M13-CONFLICT-0061-V1.0</x:v>
      </x:c>
      <x:c r="B67" s="74" t="str">
        <x:v>M13</x:v>
      </x:c>
      <x:c r="C67" s="74" t="str">
        <x:v>CONFLICT</x:v>
      </x:c>
      <x:c r="D67" s="215" t="n">
        <x:v>61</x:v>
      </x:c>
      <x:c r="E67" s="74" t="str">
        <x:v>V1.0</x:v>
      </x:c>
      <x:c r="F67" s="68" t="str">
        <x:v>特殊格局严格成立时调候接受格局硬约束</x:v>
      </x:c>
      <x:c r="G67" s="82" t="str">
        <x:v>结构层</x:v>
      </x:c>
      <x:c r="H67" s="82" t="str">
        <x:v>寒暖燥湿综合</x:v>
      </x:c>
      <x:c r="I67" s="68" t="str">
        <x:v>通用</x:v>
      </x:c>
      <x:c r="J67" s="68" t="str">
        <x:v>M14/M15后续确认从格、化气等特殊格局严格成立</x:v>
      </x:c>
      <x:c r="K67" s="68" t="str">
        <x:v>待定</x:v>
      </x:c>
      <x:c r="L67" s="68" t="str">
        <x:v>待定</x:v>
      </x:c>
      <x:c r="M67" s="82" t="str">
        <x:v>待定</x:v>
      </x:c>
      <x:c r="N67" s="82" t="str">
        <x:v>待定</x:v>
      </x:c>
      <x:c r="O67" s="68" t="str">
        <x:v>普通调候可能破坏特殊格局气势</x:v>
      </x:c>
      <x:c r="P67" s="68" t="str">
        <x:v>待定</x:v>
      </x:c>
      <x:c r="Q67" s="68" t="str">
        <x:v>以不破特殊格局为前提</x:v>
      </x:c>
      <x:c r="R67" s="82" t="str">
        <x:v>待定</x:v>
      </x:c>
      <x:c r="S67" s="82" t="str">
        <x:v>待定</x:v>
      </x:c>
      <x:c r="T67" s="82" t="str">
        <x:v>待定</x:v>
      </x:c>
      <x:c r="U67" s="82" t="str">
        <x:v>待定</x:v>
      </x:c>
      <x:c r="V67" s="82" t="str">
        <x:v>是</x:v>
      </x:c>
      <x:c r="W67" s="68" t="str">
        <x:v>M02基础映射、M08五行有效旺衰、M12流通卡点已完成</x:v>
      </x:c>
      <x:c r="X67" s="68" t="str">
        <x:v>月令基准与全局有效五行均已核查</x:v>
      </x:c>
      <x:c r="Y67" s="68" t="str">
        <x:v>相关调候五行有根有源、透达且能真实改善关键气候问题</x:v>
      </x:c>
      <x:c r="Z67" s="68" t="str">
        <x:v>调候五行无根、受强制、被合绊、改性或加入后产生新的寒热燥湿问题</x:v>
      </x:c>
      <x:c r="AA67" s="90" t="str">
        <x:v>不得只凭出生月份或某一五行数量直接下最终调候结论</x:v>
      </x:c>
      <x:c r="AB67" s="68" t="str">
        <x:v>特殊格局、核心格局用神或更高优先级病药约束转M16—M18裁决</x:v>
      </x:c>
      <x:c r="AC67" s="84" t="str">
        <x:v>特殊格局调候约束</x:v>
      </x:c>
      <x:c r="AD67" s="84" t="str">
        <x:v>特殊格局严格成立时调候接受格局硬约束：温度轴判“待定”，湿度轴判“待定”；调候候选为“待定”，是否成为最终用神仍转M16—M18。</x:v>
      </x:c>
      <x:c r="AE67" s="82" t="str">
        <x:v>较高</x:v>
      </x:c>
      <x:c r="AF67" s="82" t="str">
        <x:v>调候</x:v>
      </x:c>
      <x:c r="AG67" s="68" t="str">
        <x:v>调候以月令气候为起点，但必须结合M08五行有效力量与M12流通状态修正；寒暖与燥湿分轴判断，调候候选不自动等于全局主用神。</x:v>
      </x:c>
      <x:c r="AH67" s="68" t="str">
        <x:v>当“M14/M15后续确认从格、化气等特殊格局严格成立”真实成立，且调候机制能改善主要气候问题时，可按“特殊格局严格成立时调候接受格局硬约束”记录。</x:v>
      </x:c>
      <x:c r="AI67" s="90" t="str">
        <x:v>仅见月份或表面五行标签，但未满足“M14/M15后续确认从格、化气等特殊格局严格成立”及必要修正条件时，不得套用“特殊格局严格成立时调候接受格局硬约束”。</x:v>
      </x:c>
      <x:c r="AJ67" s="82" t="str">
        <x:v>采用</x:v>
      </x:c>
      <x:c r="AK67" s="82" t="str">
        <x:v>初审</x:v>
      </x:c>
      <x:c r="AL67" s="87" t="n">
        <x:v>46255</x:v>
      </x:c>
    </x:row>
    <x:row r="68">
      <x:c r="A68" s="72" t="str">
        <x:f>IF(OR(C68="",D68=""),"",B68&amp;"-"&amp;UPPER(C68)&amp;"-"&amp;TEXT(D68,"0000")&amp;"-"&amp;E68)</x:f>
        <x:v>M13-CONFLICT-0062-V1.0</x:v>
      </x:c>
      <x:c r="B68" s="74" t="str">
        <x:v>M13</x:v>
      </x:c>
      <x:c r="C68" s="74" t="str">
        <x:v>CONFLICT</x:v>
      </x:c>
      <x:c r="D68" s="215" t="n">
        <x:v>62</x:v>
      </x:c>
      <x:c r="E68" s="74" t="str">
        <x:v>V1.0</x:v>
      </x:c>
      <x:c r="F68" s="68" t="str">
        <x:v>通关与调候同一五行时形成高价值复合候选</x:v>
      </x:c>
      <x:c r="G68" s="82" t="str">
        <x:v>结构层</x:v>
      </x:c>
      <x:c r="H68" s="82" t="str">
        <x:v>寒暖燥湿综合</x:v>
      </x:c>
      <x:c r="I68" s="68" t="str">
        <x:v>通用</x:v>
      </x:c>
      <x:c r="J68" s="68" t="str">
        <x:v>M12通关候选与M13调候候选五行一致，且无重大格局副作用</x:v>
      </x:c>
      <x:c r="K68" s="68" t="str">
        <x:v>待定</x:v>
      </x:c>
      <x:c r="L68" s="68" t="str">
        <x:v>待定</x:v>
      </x:c>
      <x:c r="M68" s="82" t="str">
        <x:v>待定</x:v>
      </x:c>
      <x:c r="N68" s="82" t="str">
        <x:v>待定</x:v>
      </x:c>
      <x:c r="O68" s="68" t="str">
        <x:v>同时解决流通和气候问题</x:v>
      </x:c>
      <x:c r="P68" s="68" t="str">
        <x:v>同一五行</x:v>
      </x:c>
      <x:c r="Q68" s="68" t="str">
        <x:v>通关＋调候复合</x:v>
      </x:c>
      <x:c r="R68" s="82" t="str">
        <x:v>待定</x:v>
      </x:c>
      <x:c r="S68" s="82" t="str">
        <x:v>待定</x:v>
      </x:c>
      <x:c r="T68" s="82" t="str">
        <x:v>高</x:v>
      </x:c>
      <x:c r="U68" s="82" t="str">
        <x:v>否</x:v>
      </x:c>
      <x:c r="V68" s="82" t="str">
        <x:v>否</x:v>
      </x:c>
      <x:c r="W68" s="68" t="str">
        <x:v>M02基础映射、M08五行有效旺衰、M12流通卡点已完成</x:v>
      </x:c>
      <x:c r="X68" s="68" t="str">
        <x:v>月令基准与全局有效五行均已核查</x:v>
      </x:c>
      <x:c r="Y68" s="68" t="str">
        <x:v>相关调候五行有根有源、透达且能真实改善关键气候问题</x:v>
      </x:c>
      <x:c r="Z68" s="68" t="str">
        <x:v>调候五行无根、受强制、被合绊、改性或加入后产生新的寒热燥湿问题</x:v>
      </x:c>
      <x:c r="AA68" s="90" t="str">
        <x:v>不得只凭出生月份或某一五行数量直接下最终调候结论</x:v>
      </x:c>
      <x:c r="AB68" s="68" t="str">
        <x:v>特殊格局、核心格局用神或更高优先级病药约束转M16—M18裁决</x:v>
      </x:c>
      <x:c r="AC68" s="84" t="str">
        <x:v>通关调候一致</x:v>
      </x:c>
      <x:c r="AD68" s="84" t="str">
        <x:v>通关与调候同一五行时形成高价值复合候选：温度轴判“待定”，湿度轴判“待定”；调候候选为“同一五行”，是否成为最终用神仍转M16—M18。</x:v>
      </x:c>
      <x:c r="AE68" s="82" t="str">
        <x:v>较高</x:v>
      </x:c>
      <x:c r="AF68" s="82" t="str">
        <x:v>调候</x:v>
      </x:c>
      <x:c r="AG68" s="68" t="str">
        <x:v>调候以月令气候为起点，但必须结合M08五行有效力量与M12流通状态修正；寒暖与燥湿分轴判断，调候候选不自动等于全局主用神。</x:v>
      </x:c>
      <x:c r="AH68" s="68" t="str">
        <x:v>当“M12通关候选与M13调候候选五行一致，且无重大格局副作用”真实成立，且调候机制能改善主要气候问题时，可按“通关与调候同一五行时形成高价值复合候选”记录。</x:v>
      </x:c>
      <x:c r="AI68" s="90" t="str">
        <x:v>仅见月份或表面五行标签，但未满足“M12通关候选与M13调候候选五行一致，且无重大格局副作用”及必要修正条件时，不得套用“通关与调候同一五行时形成高价值复合候选”。</x:v>
      </x:c>
      <x:c r="AJ68" s="82" t="str">
        <x:v>采用</x:v>
      </x:c>
      <x:c r="AK68" s="82" t="str">
        <x:v>初审</x:v>
      </x:c>
      <x:c r="AL68" s="87" t="n">
        <x:v>46255</x:v>
      </x:c>
    </x:row>
    <x:row r="69">
      <x:c r="A69" s="72" t="str">
        <x:f>IF(OR(C69="",D69=""),"",B69&amp;"-"&amp;UPPER(C69)&amp;"-"&amp;TEXT(D69,"0000")&amp;"-"&amp;E69)</x:f>
        <x:v>M13-CONFLICT-0063-V1.0</x:v>
      </x:c>
      <x:c r="B69" s="74" t="str">
        <x:v>M13</x:v>
      </x:c>
      <x:c r="C69" s="74" t="str">
        <x:v>CONFLICT</x:v>
      </x:c>
      <x:c r="D69" s="215" t="n">
        <x:v>63</x:v>
      </x:c>
      <x:c r="E69" s="74" t="str">
        <x:v>V1.0</x:v>
      </x:c>
      <x:c r="F69" s="68" t="str">
        <x:v>通关有效但会恶化气候时必须降级</x:v>
      </x:c>
      <x:c r="G69" s="82" t="str">
        <x:v>结构层</x:v>
      </x:c>
      <x:c r="H69" s="82" t="str">
        <x:v>寒暖燥湿综合</x:v>
      </x:c>
      <x:c r="I69" s="68" t="str">
        <x:v>通用</x:v>
      </x:c>
      <x:c r="J69" s="68" t="str">
        <x:v>M12通关候选能解决两强相战，但会把原局推向极寒湿或极热燥</x:v>
      </x:c>
      <x:c r="K69" s="68" t="str">
        <x:v>待定</x:v>
      </x:c>
      <x:c r="L69" s="68" t="str">
        <x:v>待定</x:v>
      </x:c>
      <x:c r="M69" s="82" t="str">
        <x:v>待定</x:v>
      </x:c>
      <x:c r="N69" s="82" t="str">
        <x:v>待定</x:v>
      </x:c>
      <x:c r="O69" s="68" t="str">
        <x:v>流通收益与气候副作用冲突</x:v>
      </x:c>
      <x:c r="P69" s="68" t="str">
        <x:v>通关五行</x:v>
      </x:c>
      <x:c r="Q69" s="68" t="str">
        <x:v>降低优先级或寻找替代桥梁</x:v>
      </x:c>
      <x:c r="R69" s="82" t="str">
        <x:v>待定</x:v>
      </x:c>
      <x:c r="S69" s="82" t="str">
        <x:v>待定</x:v>
      </x:c>
      <x:c r="T69" s="82" t="str">
        <x:v>待定</x:v>
      </x:c>
      <x:c r="U69" s="82" t="str">
        <x:v>待定</x:v>
      </x:c>
      <x:c r="V69" s="82" t="str">
        <x:v>条件性</x:v>
      </x:c>
      <x:c r="W69" s="68" t="str">
        <x:v>M02基础映射、M08五行有效旺衰、M12流通卡点已完成</x:v>
      </x:c>
      <x:c r="X69" s="68" t="str">
        <x:v>月令基准与全局有效五行均已核查</x:v>
      </x:c>
      <x:c r="Y69" s="68" t="str">
        <x:v>相关调候五行有根有源、透达且能真实改善关键气候问题</x:v>
      </x:c>
      <x:c r="Z69" s="68" t="str">
        <x:v>调候五行无根、受强制、被合绊、改性或加入后产生新的寒热燥湿问题</x:v>
      </x:c>
      <x:c r="AA69" s="90" t="str">
        <x:v>不得只凭出生月份或某一五行数量直接下最终调候结论</x:v>
      </x:c>
      <x:c r="AB69" s="68" t="str">
        <x:v>特殊格局、核心格局用神或更高优先级病药约束转M16—M18裁决</x:v>
      </x:c>
      <x:c r="AC69" s="84" t="str">
        <x:v>通关调候冲突</x:v>
      </x:c>
      <x:c r="AD69" s="84" t="str">
        <x:v>通关有效但会恶化气候时必须降级：温度轴判“待定”，湿度轴判“待定”；调候候选为“通关五行”，是否成为最终用神仍转M16—M18。</x:v>
      </x:c>
      <x:c r="AE69" s="82" t="str">
        <x:v>较高</x:v>
      </x:c>
      <x:c r="AF69" s="82" t="str">
        <x:v>调候</x:v>
      </x:c>
      <x:c r="AG69" s="68" t="str">
        <x:v>调候以月令气候为起点，但必须结合M08五行有效力量与M12流通状态修正；寒暖与燥湿分轴判断，调候候选不自动等于全局主用神。</x:v>
      </x:c>
      <x:c r="AH69" s="68" t="str">
        <x:v>当“M12通关候选能解决两强相战，但会把原局推向极寒湿或极热燥”真实成立，且调候机制能改善主要气候问题时，可按“通关有效但会恶化气候时必须降级”记录。</x:v>
      </x:c>
      <x:c r="AI69" s="90" t="str">
        <x:v>仅见月份或表面五行标签，但未满足“M12通关候选能解决两强相战，但会把原局推向极寒湿或极热燥”及必要修正条件时，不得套用“通关有效但会恶化气候时必须降级”。</x:v>
      </x:c>
      <x:c r="AJ69" s="82" t="str">
        <x:v>采用</x:v>
      </x:c>
      <x:c r="AK69" s="82" t="str">
        <x:v>初审</x:v>
      </x:c>
      <x:c r="AL69" s="87" t="n">
        <x:v>46255</x:v>
      </x:c>
    </x:row>
    <x:row r="70">
      <x:c r="A70" s="72" t="str">
        <x:f>IF(OR(C70="",D70=""),"",B70&amp;"-"&amp;UPPER(C70)&amp;"-"&amp;TEXT(D70,"0000")&amp;"-"&amp;E70)</x:f>
        <x:v>M13-CONFLICT-0064-V1.0</x:v>
      </x:c>
      <x:c r="B70" s="74" t="str">
        <x:v>M13</x:v>
      </x:c>
      <x:c r="C70" s="74" t="str">
        <x:v>CONFLICT</x:v>
      </x:c>
      <x:c r="D70" s="215" t="n">
        <x:v>64</x:v>
      </x:c>
      <x:c r="E70" s="74" t="str">
        <x:v>V1.0</x:v>
      </x:c>
      <x:c r="F70" s="68" t="str">
        <x:v>调候优先级只在气候成为根本病时上升到首要</x:v>
      </x:c>
      <x:c r="G70" s="82" t="str">
        <x:v>结构层</x:v>
      </x:c>
      <x:c r="H70" s="82" t="str">
        <x:v>寒暖燥湿综合</x:v>
      </x:c>
      <x:c r="I70" s="68" t="str">
        <x:v>通用</x:v>
      </x:c>
      <x:c r="J70" s="68" t="str">
        <x:v>气候失衡是M12多个卡点和M08功能受限的共同根因</x:v>
      </x:c>
      <x:c r="K70" s="68" t="str">
        <x:v>待定</x:v>
      </x:c>
      <x:c r="L70" s="68" t="str">
        <x:v>待定</x:v>
      </x:c>
      <x:c r="M70" s="82" t="str">
        <x:v>待定</x:v>
      </x:c>
      <x:c r="N70" s="82" t="str">
        <x:v>待定</x:v>
      </x:c>
      <x:c r="O70" s="68" t="str">
        <x:v>寒暖燥湿成为根本病而非表层现象</x:v>
      </x:c>
      <x:c r="P70" s="68" t="str">
        <x:v>对应调候五行</x:v>
      </x:c>
      <x:c r="Q70" s="68" t="str">
        <x:v>先恢复基础生化环境</x:v>
      </x:c>
      <x:c r="R70" s="82" t="str">
        <x:v>待定</x:v>
      </x:c>
      <x:c r="S70" s="82" t="str">
        <x:v>待定</x:v>
      </x:c>
      <x:c r="T70" s="82" t="str">
        <x:v>首要</x:v>
      </x:c>
      <x:c r="U70" s="82" t="str">
        <x:v>待定</x:v>
      </x:c>
      <x:c r="V70" s="82" t="str">
        <x:v>待定</x:v>
      </x:c>
      <x:c r="W70" s="68" t="str">
        <x:v>M02基础映射、M08五行有效旺衰、M12流通卡点已完成</x:v>
      </x:c>
      <x:c r="X70" s="68" t="str">
        <x:v>月令基准与全局有效五行均已核查</x:v>
      </x:c>
      <x:c r="Y70" s="68" t="str">
        <x:v>相关调候五行有根有源、透达且能真实改善关键气候问题</x:v>
      </x:c>
      <x:c r="Z70" s="68" t="str">
        <x:v>调候五行无根、受强制、被合绊、改性或加入后产生新的寒热燥湿问题</x:v>
      </x:c>
      <x:c r="AA70" s="90" t="str">
        <x:v>不得只凭出生月份或某一五行数量直接下最终调候结论</x:v>
      </x:c>
      <x:c r="AB70" s="68" t="str">
        <x:v>特殊格局、核心格局用神或更高优先级病药约束转M16—M18裁决</x:v>
      </x:c>
      <x:c r="AC70" s="84" t="str">
        <x:v>调候根本病升级</x:v>
      </x:c>
      <x:c r="AD70" s="84" t="str">
        <x:v>调候优先级只在气候成为根本病时上升到首要：温度轴判“待定”，湿度轴判“待定”；调候候选为“对应调候五行”，是否成为最终用神仍转M16—M18。</x:v>
      </x:c>
      <x:c r="AE70" s="82" t="str">
        <x:v>较高</x:v>
      </x:c>
      <x:c r="AF70" s="82" t="str">
        <x:v>调候</x:v>
      </x:c>
      <x:c r="AG70" s="68" t="str">
        <x:v>调候以月令气候为起点，但必须结合M08五行有效力量与M12流通状态修正；寒暖与燥湿分轴判断，调候候选不自动等于全局主用神。</x:v>
      </x:c>
      <x:c r="AH70" s="68" t="str">
        <x:v>当“气候失衡是M12多个卡点和M08功能受限的共同根因”真实成立，且调候机制能改善主要气候问题时，可按“调候优先级只在气候成为根本病时上升到首要”记录。</x:v>
      </x:c>
      <x:c r="AI70" s="90" t="str">
        <x:v>仅见月份或表面五行标签，但未满足“气候失衡是M12多个卡点和M08功能受限的共同根因”及必要修正条件时，不得套用“调候优先级只在气候成为根本病时上升到首要”。</x:v>
      </x:c>
      <x:c r="AJ70" s="82" t="str">
        <x:v>采用</x:v>
      </x:c>
      <x:c r="AK70" s="82" t="str">
        <x:v>初审</x:v>
      </x:c>
      <x:c r="AL70" s="87" t="n">
        <x:v>46255</x:v>
      </x:c>
    </x:row>
    <x:row r="71">
      <x:c r="A71" s="72" t="str">
        <x:f>IF(OR(C71="",D71=""),"",B71&amp;"-"&amp;UPPER(C71)&amp;"-"&amp;TEXT(D71,"0000")&amp;"-"&amp;E71)</x:f>
        <x:v>M13-BOUND-0065-V1.0</x:v>
      </x:c>
      <x:c r="B71" s="74" t="str">
        <x:v>M13</x:v>
      </x:c>
      <x:c r="C71" s="74" t="str">
        <x:v>BOUND</x:v>
      </x:c>
      <x:c r="D71" s="215" t="n">
        <x:v>65</x:v>
      </x:c>
      <x:c r="E71" s="74" t="str">
        <x:v>V1.0</x:v>
      </x:c>
      <x:c r="F71" s="68" t="str">
        <x:v>冬月不自动判极寒</x:v>
      </x:c>
      <x:c r="G71" s="82" t="str">
        <x:v>结构层</x:v>
      </x:c>
      <x:c r="H71" s="82" t="str">
        <x:v>寒暖燥湿综合</x:v>
      </x:c>
      <x:c r="I71" s="68" t="str">
        <x:v>通用</x:v>
      </x:c>
      <x:c r="J71" s="68" t="str">
        <x:v>冬月出生但火土有效、火有根有源且全局水势不强</x:v>
      </x:c>
      <x:c r="K71" s="68" t="str">
        <x:v>待定</x:v>
      </x:c>
      <x:c r="L71" s="68" t="str">
        <x:v>待定</x:v>
      </x:c>
      <x:c r="M71" s="82" t="str">
        <x:v>待定</x:v>
      </x:c>
      <x:c r="N71" s="82" t="str">
        <x:v>待定</x:v>
      </x:c>
      <x:c r="O71" s="68" t="str">
        <x:v>月份与全局可能相互抵消</x:v>
      </x:c>
      <x:c r="P71" s="68" t="str">
        <x:v>待定</x:v>
      </x:c>
      <x:c r="Q71" s="68" t="str">
        <x:v>需按全局修正</x:v>
      </x:c>
      <x:c r="R71" s="82" t="str">
        <x:v>待定</x:v>
      </x:c>
      <x:c r="S71" s="82" t="str">
        <x:v>待定</x:v>
      </x:c>
      <x:c r="T71" s="82" t="str">
        <x:v>待定</x:v>
      </x:c>
      <x:c r="U71" s="82" t="str">
        <x:v>待定</x:v>
      </x:c>
      <x:c r="V71" s="82" t="str">
        <x:v>待定</x:v>
      </x:c>
      <x:c r="W71" s="68" t="str">
        <x:v>M02基础映射、M08五行有效旺衰、M12流通卡点已完成</x:v>
      </x:c>
      <x:c r="X71" s="68" t="str">
        <x:v>月令基准与全局有效五行均已核查</x:v>
      </x:c>
      <x:c r="Y71" s="68" t="str">
        <x:v>相关调候五行有根有源、透达且能真实改善关键气候问题</x:v>
      </x:c>
      <x:c r="Z71" s="68" t="str">
        <x:v>调候五行无根、受强制、被合绊、改性或加入后产生新的寒热燥湿问题</x:v>
      </x:c>
      <x:c r="AA71" s="90" t="str">
        <x:v>不得只因亥子丑月出生直接判极寒</x:v>
      </x:c>
      <x:c r="AB71" s="68" t="str">
        <x:v>特殊格局、核心格局用神或更高优先级病药约束转M16—M18裁决</x:v>
      </x:c>
      <x:c r="AC71" s="84" t="str">
        <x:v>冬月非自动极寒</x:v>
      </x:c>
      <x:c r="AD71" s="84" t="str">
        <x:v>冬月不自动判极寒：温度轴判“待定”，湿度轴判“待定”；调候候选为“待定”，是否成为最终用神仍转M16—M18。</x:v>
      </x:c>
      <x:c r="AE71" s="82" t="str">
        <x:v>较高</x:v>
      </x:c>
      <x:c r="AF71" s="82" t="str">
        <x:v>调候</x:v>
      </x:c>
      <x:c r="AG71" s="68" t="str">
        <x:v>调候以月令气候为起点，但必须结合M08五行有效力量与M12流通状态修正；寒暖与燥湿分轴判断，调候候选不自动等于全局主用神。</x:v>
      </x:c>
      <x:c r="AH71" s="68" t="str">
        <x:v>当“冬月出生但火土有效、火有根有源且全局水势不强”真实成立，且调候机制能改善主要气候问题时，可按“冬月不自动判极寒”记录。</x:v>
      </x:c>
      <x:c r="AI71" s="90" t="str">
        <x:v>仅见月份或表面五行标签，但未满足“冬月出生但火土有效、火有根有源且全局水势不强”及必要修正条件时，不得套用“冬月不自动判极寒”。</x:v>
      </x:c>
      <x:c r="AJ71" s="82" t="str">
        <x:v>采用</x:v>
      </x:c>
      <x:c r="AK71" s="82" t="str">
        <x:v>初审</x:v>
      </x:c>
      <x:c r="AL71" s="87" t="n">
        <x:v>46255</x:v>
      </x:c>
    </x:row>
    <x:row r="72">
      <x:c r="A72" s="72" t="str">
        <x:f>IF(OR(C72="",D72=""),"",B72&amp;"-"&amp;UPPER(C72)&amp;"-"&amp;TEXT(D72,"0000")&amp;"-"&amp;E72)</x:f>
        <x:v>M13-BOUND-0066-V1.0</x:v>
      </x:c>
      <x:c r="B72" s="74" t="str">
        <x:v>M13</x:v>
      </x:c>
      <x:c r="C72" s="74" t="str">
        <x:v>BOUND</x:v>
      </x:c>
      <x:c r="D72" s="215" t="n">
        <x:v>66</x:v>
      </x:c>
      <x:c r="E72" s="74" t="str">
        <x:v>V1.0</x:v>
      </x:c>
      <x:c r="F72" s="68" t="str">
        <x:v>夏月不自动判极热</x:v>
      </x:c>
      <x:c r="G72" s="82" t="str">
        <x:v>结构层</x:v>
      </x:c>
      <x:c r="H72" s="82" t="str">
        <x:v>寒暖燥湿综合</x:v>
      </x:c>
      <x:c r="I72" s="68" t="str">
        <x:v>通用</x:v>
      </x:c>
      <x:c r="J72" s="68" t="str">
        <x:v>夏月出生但水旺有根、火受制且湿土能调节</x:v>
      </x:c>
      <x:c r="K72" s="68" t="str">
        <x:v>待定</x:v>
      </x:c>
      <x:c r="L72" s="68" t="str">
        <x:v>待定</x:v>
      </x:c>
      <x:c r="M72" s="82" t="str">
        <x:v>待定</x:v>
      </x:c>
      <x:c r="N72" s="82" t="str">
        <x:v>待定</x:v>
      </x:c>
      <x:c r="O72" s="68" t="str">
        <x:v>月份热势可能被全局水势修正</x:v>
      </x:c>
      <x:c r="P72" s="68" t="str">
        <x:v>待定</x:v>
      </x:c>
      <x:c r="Q72" s="68" t="str">
        <x:v>需按全局修正</x:v>
      </x:c>
      <x:c r="R72" s="82" t="str">
        <x:v>待定</x:v>
      </x:c>
      <x:c r="S72" s="82" t="str">
        <x:v>待定</x:v>
      </x:c>
      <x:c r="T72" s="82" t="str">
        <x:v>待定</x:v>
      </x:c>
      <x:c r="U72" s="82" t="str">
        <x:v>待定</x:v>
      </x:c>
      <x:c r="V72" s="82" t="str">
        <x:v>待定</x:v>
      </x:c>
      <x:c r="W72" s="68" t="str">
        <x:v>M02基础映射、M08五行有效旺衰、M12流通卡点已完成</x:v>
      </x:c>
      <x:c r="X72" s="68" t="str">
        <x:v>月令基准与全局有效五行均已核查</x:v>
      </x:c>
      <x:c r="Y72" s="68" t="str">
        <x:v>相关调候五行有根有源、透达且能真实改善关键气候问题</x:v>
      </x:c>
      <x:c r="Z72" s="68" t="str">
        <x:v>调候五行无根、受强制、被合绊、改性或加入后产生新的寒热燥湿问题</x:v>
      </x:c>
      <x:c r="AA72" s="90" t="str">
        <x:v>不得只因巳午未月出生直接判极热</x:v>
      </x:c>
      <x:c r="AB72" s="68" t="str">
        <x:v>特殊格局、核心格局用神或更高优先级病药约束转M16—M18裁决</x:v>
      </x:c>
      <x:c r="AC72" s="84" t="str">
        <x:v>夏月非自动极热</x:v>
      </x:c>
      <x:c r="AD72" s="84" t="str">
        <x:v>夏月不自动判极热：温度轴判“待定”，湿度轴判“待定”；调候候选为“待定”，是否成为最终用神仍转M16—M18。</x:v>
      </x:c>
      <x:c r="AE72" s="82" t="str">
        <x:v>较高</x:v>
      </x:c>
      <x:c r="AF72" s="82" t="str">
        <x:v>调候</x:v>
      </x:c>
      <x:c r="AG72" s="68" t="str">
        <x:v>调候以月令气候为起点，但必须结合M08五行有效力量与M12流通状态修正；寒暖与燥湿分轴判断，调候候选不自动等于全局主用神。</x:v>
      </x:c>
      <x:c r="AH72" s="68" t="str">
        <x:v>当“夏月出生但水旺有根、火受制且湿土能调节”真实成立，且调候机制能改善主要气候问题时，可按“夏月不自动判极热”记录。</x:v>
      </x:c>
      <x:c r="AI72" s="90" t="str">
        <x:v>仅见月份或表面五行标签，但未满足“夏月出生但水旺有根、火受制且湿土能调节”及必要修正条件时，不得套用“夏月不自动判极热”。</x:v>
      </x:c>
      <x:c r="AJ72" s="82" t="str">
        <x:v>采用</x:v>
      </x:c>
      <x:c r="AK72" s="82" t="str">
        <x:v>初审</x:v>
      </x:c>
      <x:c r="AL72" s="87" t="n">
        <x:v>46255</x:v>
      </x:c>
    </x:row>
    <x:row r="73">
      <x:c r="A73" s="72" t="str">
        <x:f>IF(OR(C73="",D73=""),"",B73&amp;"-"&amp;UPPER(C73)&amp;"-"&amp;TEXT(D73,"0000")&amp;"-"&amp;E73)</x:f>
        <x:v>M13-BOUND-0067-V1.0</x:v>
      </x:c>
      <x:c r="B73" s="74" t="str">
        <x:v>M13</x:v>
      </x:c>
      <x:c r="C73" s="74" t="str">
        <x:v>BOUND</x:v>
      </x:c>
      <x:c r="D73" s="215" t="n">
        <x:v>67</x:v>
      </x:c>
      <x:c r="E73" s="74" t="str">
        <x:v>V1.0</x:v>
      </x:c>
      <x:c r="F73" s="68" t="str">
        <x:v>调候需要某五行不等于越多越好</x:v>
      </x:c>
      <x:c r="G73" s="82" t="str">
        <x:v>结构层</x:v>
      </x:c>
      <x:c r="H73" s="82" t="str">
        <x:v>寒暖燥湿综合</x:v>
      </x:c>
      <x:c r="I73" s="68" t="str">
        <x:v>通用</x:v>
      </x:c>
      <x:c r="J73" s="68" t="str">
        <x:v>候选调候五行已能把气候推近平衡</x:v>
      </x:c>
      <x:c r="K73" s="68" t="str">
        <x:v>待定</x:v>
      </x:c>
      <x:c r="L73" s="68" t="str">
        <x:v>待定</x:v>
      </x:c>
      <x:c r="M73" s="82" t="str">
        <x:v>待定</x:v>
      </x:c>
      <x:c r="N73" s="82" t="str">
        <x:v>待定</x:v>
      </x:c>
      <x:c r="O73" s="68" t="str">
        <x:v>继续增强会越过平衡并制造反向病</x:v>
      </x:c>
      <x:c r="P73" s="68" t="str">
        <x:v>调候五行</x:v>
      </x:c>
      <x:c r="Q73" s="68" t="str">
        <x:v>控制强度</x:v>
      </x:c>
      <x:c r="R73" s="82" t="str">
        <x:v>待定</x:v>
      </x:c>
      <x:c r="S73" s="82" t="str">
        <x:v>过度</x:v>
      </x:c>
      <x:c r="T73" s="82" t="str">
        <x:v>待定</x:v>
      </x:c>
      <x:c r="U73" s="82" t="str">
        <x:v>待定</x:v>
      </x:c>
      <x:c r="V73" s="82" t="str">
        <x:v>待定</x:v>
      </x:c>
      <x:c r="W73" s="68" t="str">
        <x:v>M02基础映射、M08五行有效旺衰、M12流通卡点已完成</x:v>
      </x:c>
      <x:c r="X73" s="68" t="str">
        <x:v>月令基准与全局有效五行均已核查</x:v>
      </x:c>
      <x:c r="Y73" s="68" t="str">
        <x:v>相关调候五行有根有源、透达且能真实改善关键气候问题</x:v>
      </x:c>
      <x:c r="Z73" s="68" t="str">
        <x:v>调候五行无根、受强制、被合绊、改性或加入后产生新的寒热燥湿问题</x:v>
      </x:c>
      <x:c r="AA73" s="90" t="str">
        <x:v>不得只凭出生月份或某一五行数量直接下最终调候结论</x:v>
      </x:c>
      <x:c r="AB73" s="68" t="str">
        <x:v>特殊格局、核心格局用神或更高优先级病药约束转M16—M18裁决</x:v>
      </x:c>
      <x:c r="AC73" s="84" t="str">
        <x:v>调候剂量边界</x:v>
      </x:c>
      <x:c r="AD73" s="84" t="str">
        <x:v>调候需要某五行不等于越多越好：温度轴判“待定”，湿度轴判“待定”；调候候选为“调候五行”，是否成为最终用神仍转M16—M18。</x:v>
      </x:c>
      <x:c r="AE73" s="82" t="str">
        <x:v>较高</x:v>
      </x:c>
      <x:c r="AF73" s="82" t="str">
        <x:v>调候</x:v>
      </x:c>
      <x:c r="AG73" s="68" t="str">
        <x:v>调候以月令气候为起点，但必须结合M08五行有效力量与M12流通状态修正；寒暖与燥湿分轴判断，调候候选不自动等于全局主用神。</x:v>
      </x:c>
      <x:c r="AH73" s="68" t="str">
        <x:v>当“候选调候五行已能把气候推近平衡”真实成立，且调候机制能改善主要气候问题时，可按“调候需要某五行不等于越多越好”记录。</x:v>
      </x:c>
      <x:c r="AI73" s="90" t="str">
        <x:v>仅见月份或表面五行标签，但未满足“候选调候五行已能把气候推近平衡”及必要修正条件时，不得套用“调候需要某五行不等于越多越好”。</x:v>
      </x:c>
      <x:c r="AJ73" s="82" t="str">
        <x:v>采用</x:v>
      </x:c>
      <x:c r="AK73" s="82" t="str">
        <x:v>初审</x:v>
      </x:c>
      <x:c r="AL73" s="87" t="n">
        <x:v>46255</x:v>
      </x:c>
    </x:row>
    <x:row r="74">
      <x:c r="A74" s="72" t="str">
        <x:f>IF(OR(C74="",D74=""),"",B74&amp;"-"&amp;UPPER(C74)&amp;"-"&amp;TEXT(D74,"0000")&amp;"-"&amp;E74)</x:f>
        <x:v>M13-BOUND-0068-V1.0</x:v>
      </x:c>
      <x:c r="B74" s="74" t="str">
        <x:v>M13</x:v>
      </x:c>
      <x:c r="C74" s="74" t="str">
        <x:v>BOUND</x:v>
      </x:c>
      <x:c r="D74" s="215" t="n">
        <x:v>68</x:v>
      </x:c>
      <x:c r="E74" s="74" t="str">
        <x:v>V1.0</x:v>
      </x:c>
      <x:c r="F74" s="68" t="str">
        <x:v>湿土与燥土标签不得脱离全局使用</x:v>
      </x:c>
      <x:c r="G74" s="82" t="str">
        <x:v>结构层</x:v>
      </x:c>
      <x:c r="H74" s="82" t="str">
        <x:v>寒暖燥湿综合</x:v>
      </x:c>
      <x:c r="I74" s="68" t="str">
        <x:v>通用</x:v>
      </x:c>
      <x:c r="J74" s="68" t="str">
        <x:v>辰丑或未戌出现，但受到强火、水、合化或季令明显修正</x:v>
      </x:c>
      <x:c r="K74" s="68" t="str">
        <x:v>待定</x:v>
      </x:c>
      <x:c r="L74" s="68" t="str">
        <x:v>待定</x:v>
      </x:c>
      <x:c r="M74" s="82" t="str">
        <x:v>待定</x:v>
      </x:c>
      <x:c r="N74" s="82" t="str">
        <x:v>待定</x:v>
      </x:c>
      <x:c r="O74" s="68" t="str">
        <x:v>土性标签会被全局条件改变</x:v>
      </x:c>
      <x:c r="P74" s="68" t="str">
        <x:v>待定</x:v>
      </x:c>
      <x:c r="Q74" s="68" t="str">
        <x:v>按有效状态修正</x:v>
      </x:c>
      <x:c r="R74" s="82" t="str">
        <x:v>待定</x:v>
      </x:c>
      <x:c r="S74" s="82" t="str">
        <x:v>待定</x:v>
      </x:c>
      <x:c r="T74" s="82" t="str">
        <x:v>待定</x:v>
      </x:c>
      <x:c r="U74" s="82" t="str">
        <x:v>待定</x:v>
      </x:c>
      <x:c r="V74" s="82" t="str">
        <x:v>待定</x:v>
      </x:c>
      <x:c r="W74" s="68" t="str">
        <x:v>M02基础映射、M08五行有效旺衰、M12流通卡点已完成</x:v>
      </x:c>
      <x:c r="X74" s="68" t="str">
        <x:v>月令基准与全局有效五行均已核查</x:v>
      </x:c>
      <x:c r="Y74" s="68" t="str">
        <x:v>相关调候五行有根有源、透达且能真实改善关键气候问题</x:v>
      </x:c>
      <x:c r="Z74" s="68" t="str">
        <x:v>调候五行无根、受强制、被合绊、改性或加入后产生新的寒热燥湿问题</x:v>
      </x:c>
      <x:c r="AA74" s="90" t="str">
        <x:v>不得只凭出生月份或某一五行数量直接下最终调候结论</x:v>
      </x:c>
      <x:c r="AB74" s="68" t="str">
        <x:v>特殊格局、核心格局用神或更高优先级病药约束转M16—M18裁决</x:v>
      </x:c>
      <x:c r="AC74" s="84" t="str">
        <x:v>土性条件化</x:v>
      </x:c>
      <x:c r="AD74" s="84" t="str">
        <x:v>湿土与燥土标签不得脱离全局使用：温度轴判“待定”，湿度轴判“待定”；调候候选为“待定”，是否成为最终用神仍转M16—M18。</x:v>
      </x:c>
      <x:c r="AE74" s="82" t="str">
        <x:v>中等</x:v>
      </x:c>
      <x:c r="AF74" s="82" t="str">
        <x:v>调候</x:v>
      </x:c>
      <x:c r="AG74" s="68" t="str">
        <x:v>调候以月令气候为起点，但必须结合M08五行有效力量与M12流通状态修正；寒暖与燥湿分轴判断，调候候选不自动等于全局主用神。</x:v>
      </x:c>
      <x:c r="AH74" s="68" t="str">
        <x:v>当“辰丑或未戌出现，但受到强火、水、合化或季令明显修正”真实成立，且调候机制能改善主要气候问题时，可按“湿土与燥土标签不得脱离全局使用”记录。</x:v>
      </x:c>
      <x:c r="AI74" s="90" t="str">
        <x:v>仅见月份或表面五行标签，但未满足“辰丑或未戌出现，但受到强火、水、合化或季令明显修正”及必要修正条件时，不得套用“湿土与燥土标签不得脱离全局使用”。</x:v>
      </x:c>
      <x:c r="AJ74" s="82" t="str">
        <x:v>采用</x:v>
      </x:c>
      <x:c r="AK74" s="82" t="str">
        <x:v>初审</x:v>
      </x:c>
      <x:c r="AL74" s="87" t="n">
        <x:v>46255</x:v>
      </x:c>
    </x:row>
    <x:row r="75">
      <x:c r="A75" s="72" t="str">
        <x:f>IF(OR(C75="",D75=""),"",B75&amp;"-"&amp;UPPER(C75)&amp;"-"&amp;TEXT(D75,"0000")&amp;"-"&amp;E75)</x:f>
        <x:v>M13-BOUND-0069-V1.0</x:v>
      </x:c>
      <x:c r="B75" s="74" t="str">
        <x:v>M13</x:v>
      </x:c>
      <x:c r="C75" s="74" t="str">
        <x:v>BOUND</x:v>
      </x:c>
      <x:c r="D75" s="215" t="n">
        <x:v>69</x:v>
      </x:c>
      <x:c r="E75" s="74" t="str">
        <x:v>V1.0</x:v>
      </x:c>
      <x:c r="F75" s="68" t="str">
        <x:v>寒暖燥湿不能直接推出身体疾病或现实事件</x:v>
      </x:c>
      <x:c r="G75" s="82" t="str">
        <x:v>结构层</x:v>
      </x:c>
      <x:c r="H75" s="82" t="str">
        <x:v>寒暖燥湿综合</x:v>
      </x:c>
      <x:c r="I75" s="68" t="str">
        <x:v>通用</x:v>
      </x:c>
      <x:c r="J75" s="68" t="str">
        <x:v>M13完成气候判断</x:v>
      </x:c>
      <x:c r="K75" s="68" t="str">
        <x:v>待定</x:v>
      </x:c>
      <x:c r="L75" s="68" t="str">
        <x:v>待定</x:v>
      </x:c>
      <x:c r="M75" s="82" t="str">
        <x:v>待定</x:v>
      </x:c>
      <x:c r="N75" s="82" t="str">
        <x:v>待定</x:v>
      </x:c>
      <x:c r="O75" s="68" t="str">
        <x:v>调候结论仅为命局结构状态</x:v>
      </x:c>
      <x:c r="P75" s="68" t="str">
        <x:v>待定</x:v>
      </x:c>
      <x:c r="Q75" s="68" t="str">
        <x:v>上层应用另行解释</x:v>
      </x:c>
      <x:c r="R75" s="82" t="str">
        <x:v>待定</x:v>
      </x:c>
      <x:c r="S75" s="82" t="str">
        <x:v>待定</x:v>
      </x:c>
      <x:c r="T75" s="82" t="str">
        <x:v>待定</x:v>
      </x:c>
      <x:c r="U75" s="82" t="str">
        <x:v>待定</x:v>
      </x:c>
      <x:c r="V75" s="82" t="str">
        <x:v>待定</x:v>
      </x:c>
      <x:c r="W75" s="68" t="str">
        <x:v>M02基础映射、M08五行有效旺衰、M12流通卡点已完成</x:v>
      </x:c>
      <x:c r="X75" s="68" t="str">
        <x:v>月令基准与全局有效五行均已核查</x:v>
      </x:c>
      <x:c r="Y75" s="68" t="str">
        <x:v>相关调候五行有根有源、透达且能真实改善关键气候问题</x:v>
      </x:c>
      <x:c r="Z75" s="68" t="str">
        <x:v>调候五行无根、受强制、被合绊、改性或加入后产生新的寒热燥湿问题</x:v>
      </x:c>
      <x:c r="AA75" s="90" t="str">
        <x:v>不得只凭出生月份或某一五行数量直接下最终调候结论</x:v>
      </x:c>
      <x:c r="AB75" s="68" t="str">
        <x:v>特殊格局、核心格局用神或更高优先级病药约束转M16—M18裁决</x:v>
      </x:c>
      <x:c r="AC75" s="84" t="str">
        <x:v>调候事件边界</x:v>
      </x:c>
      <x:c r="AD75" s="84" t="str">
        <x:v>M13只输出结构性寒暖燥湿与调候需求，不直接断疾病、婚恋、财富或具体事件。</x:v>
      </x:c>
      <x:c r="AE75" s="82" t="str">
        <x:v>较高</x:v>
      </x:c>
      <x:c r="AF75" s="82" t="str">
        <x:v>调候</x:v>
      </x:c>
      <x:c r="AG75" s="68" t="str">
        <x:v>调候以月令气候为起点，但必须结合M08五行有效力量与M12流通状态修正；寒暖与燥湿分轴判断，调候候选不自动等于全局主用神。</x:v>
      </x:c>
      <x:c r="AH75" s="68" t="str">
        <x:v>当“M13完成气候判断”真实成立，且调候机制能改善主要气候问题时，可按“寒暖燥湿不能直接推出身体疾病或现实事件”记录。</x:v>
      </x:c>
      <x:c r="AI75" s="90" t="str">
        <x:v>仅见月份或表面五行标签，但未满足“M13完成气候判断”及必要修正条件时，不得套用“寒暖燥湿不能直接推出身体疾病或现实事件”。</x:v>
      </x:c>
      <x:c r="AJ75" s="82" t="str">
        <x:v>采用</x:v>
      </x:c>
      <x:c r="AK75" s="82" t="str">
        <x:v>初审</x:v>
      </x:c>
      <x:c r="AL75" s="87" t="n">
        <x:v>46255</x:v>
      </x:c>
    </x:row>
    <x:row r="76">
      <x:c r="A76" s="72" t="str">
        <x:f>IF(OR(C76="",D76=""),"",B76&amp;"-"&amp;UPPER(C76)&amp;"-"&amp;TEXT(D76,"0000")&amp;"-"&amp;E76)</x:f>
        <x:v>M13-BOUND-0070-V1.0</x:v>
      </x:c>
      <x:c r="B76" s="74" t="str">
        <x:v>M13</x:v>
      </x:c>
      <x:c r="C76" s="74" t="str">
        <x:v>BOUND</x:v>
      </x:c>
      <x:c r="D76" s="215" t="n">
        <x:v>70</x:v>
      </x:c>
      <x:c r="E76" s="74" t="str">
        <x:v>V1.0</x:v>
      </x:c>
      <x:c r="F76" s="68" t="str">
        <x:v>M13标准输出必须同时给出双轴、候选及冲突</x:v>
      </x:c>
      <x:c r="G76" s="82" t="str">
        <x:v>结构层</x:v>
      </x:c>
      <x:c r="H76" s="82" t="str">
        <x:v>寒暖燥湿综合</x:v>
      </x:c>
      <x:c r="I76" s="68" t="str">
        <x:v>通用</x:v>
      </x:c>
      <x:c r="J76" s="68" t="str">
        <x:v>完成所有寒暖燥湿规则评估</x:v>
      </x:c>
      <x:c r="K76" s="68" t="str">
        <x:v>待定</x:v>
      </x:c>
      <x:c r="L76" s="68" t="str">
        <x:v>待定</x:v>
      </x:c>
      <x:c r="M76" s="82" t="str">
        <x:v>待定</x:v>
      </x:c>
      <x:c r="N76" s="82" t="str">
        <x:v>待定</x:v>
      </x:c>
      <x:c r="O76" s="68" t="str">
        <x:v>需要可审计的调候结论</x:v>
      </x:c>
      <x:c r="P76" s="68" t="str">
        <x:v>待定</x:v>
      </x:c>
      <x:c r="Q76" s="68" t="str">
        <x:v>统一结构化输出</x:v>
      </x:c>
      <x:c r="R76" s="82" t="str">
        <x:v>待定</x:v>
      </x:c>
      <x:c r="S76" s="82" t="str">
        <x:v>待定</x:v>
      </x:c>
      <x:c r="T76" s="82" t="str">
        <x:v>待定</x:v>
      </x:c>
      <x:c r="U76" s="82" t="str">
        <x:v>待定</x:v>
      </x:c>
      <x:c r="V76" s="82" t="str">
        <x:v>待定</x:v>
      </x:c>
      <x:c r="W76" s="68" t="str">
        <x:v>M02基础映射、M08五行有效旺衰、M12流通卡点已完成</x:v>
      </x:c>
      <x:c r="X76" s="68" t="str">
        <x:v>月令基准与全局有效五行均已核查</x:v>
      </x:c>
      <x:c r="Y76" s="68" t="str">
        <x:v>相关调候五行有根有源、透达且能真实改善关键气候问题</x:v>
      </x:c>
      <x:c r="Z76" s="68" t="str">
        <x:v>调候五行无根、受强制、被合绊、改性或加入后产生新的寒热燥湿问题</x:v>
      </x:c>
      <x:c r="AA76" s="90" t="str">
        <x:v>不得只凭出生月份或某一五行数量直接下最终调候结论</x:v>
      </x:c>
      <x:c r="AB76" s="68" t="str">
        <x:v>特殊格局、核心格局用神或更高优先级病药约束转M16—M18裁决</x:v>
      </x:c>
      <x:c r="AC76" s="84" t="str">
        <x:v>M13标准输出</x:v>
      </x:c>
      <x:c r="AD76" s="84" t="str">
        <x:v>M13最终输出：温度状态、湿度状态、主要气候问题、调候候选五行、存在性、有效性、调候机制、紧急度、与扶抑冲突、与格局冲突、反向证据与置信度。</x:v>
      </x:c>
      <x:c r="AE76" s="82" t="str">
        <x:v>较高</x:v>
      </x:c>
      <x:c r="AF76" s="82" t="str">
        <x:v>调候</x:v>
      </x:c>
      <x:c r="AG76" s="68" t="str">
        <x:v>调候以月令气候为起点，但必须结合M08五行有效力量与M12流通状态修正；寒暖与燥湿分轴判断，调候候选不自动等于全局主用神。</x:v>
      </x:c>
      <x:c r="AH76" s="68" t="str">
        <x:v>当“完成所有寒暖燥湿规则评估”真实成立，且调候机制能改善主要气候问题时，可按“M13标准输出必须同时给出双轴、候选及冲突”记录。</x:v>
      </x:c>
      <x:c r="AI76" s="90" t="str">
        <x:v>仅见月份或表面五行标签，但未满足“完成所有寒暖燥湿规则评估”及必要修正条件时，不得套用“M13标准输出必须同时给出双轴、候选及冲突”。</x:v>
      </x:c>
      <x:c r="AJ76" s="82" t="str">
        <x:v>采用</x:v>
      </x:c>
      <x:c r="AK76" s="82" t="str">
        <x:v>初审</x:v>
      </x:c>
      <x:c r="AL76" s="87" t="n">
        <x:v>46255</x:v>
      </x:c>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30">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 type="list" sqref="E6:E130">
      <x:formula1>'99_下拉选项'!$BG$4:$BG$14</x:formula1>
    </x:dataValidation>
    <x:dataValidation type="list" sqref="E7:E105">
      <x:formula1>'99_下拉选项'!$BG$4:$BG$14</x:formula1>
    </x:dataValidation>
    <x:dataValidation type="list" sqref="E7:E76">
      <x:formula1>'99_下拉选项'!$BG$4:$BG$14</x:formula1>
    </x:dataValidation>
    <x:dataValidation type="list" sqref="G7:G76">
      <x:formula1>'99_下拉选项'!$F$4:$F$7</x:formula1>
    </x:dataValidation>
    <x:dataValidation type="list" sqref="H7:H76">
      <x:formula1>'99_下拉选项'!$AM$4:$AM$6</x:formula1>
    </x:dataValidation>
    <x:dataValidation type="list" sqref="M7:M76">
      <x:formula1>'99_下拉选项'!$AK$4:$AK$9</x:formula1>
    </x:dataValidation>
    <x:dataValidation type="list" sqref="N7:N76">
      <x:formula1>'99_下拉选项'!$AL$4:$AL$9</x:formula1>
    </x:dataValidation>
    <x:dataValidation type="list" sqref="R7:R76">
      <x:formula1>'99_下拉选项'!$X$4:$X$7</x:formula1>
    </x:dataValidation>
    <x:dataValidation type="list" sqref="S7:S76">
      <x:formula1>'99_下拉选项'!$W$4:$W$8</x:formula1>
    </x:dataValidation>
    <x:dataValidation type="list" sqref="T7:T76">
      <x:formula1>'99_下拉选项'!$AN$4:$AN$8</x:formula1>
    </x:dataValidation>
    <x:dataValidation type="list" sqref="U7:U76">
      <x:formula1>'99_下拉选项'!$X$4:$X$7</x:formula1>
    </x:dataValidation>
    <x:dataValidation type="list" sqref="V7:V76">
      <x:formula1>'99_下拉选项'!$X$4:$X$7</x:formula1>
    </x:dataValidation>
    <x:dataValidation type="list" sqref="AE7:AE76">
      <x:formula1>'99_下拉选项'!$Q$4:$Q$8</x:formula1>
    </x:dataValidation>
    <x:dataValidation type="list" sqref="AF7:AF76">
      <x:formula1>'99_下拉选项'!$R$4:$R$11</x:formula1>
    </x:dataValidation>
    <x:dataValidation type="list" sqref="AJ7:AJ76">
      <x:formula1>'99_下拉选项'!$S$4:$S$9</x:formula1>
    </x:dataValidation>
    <x:dataValidation type="list" sqref="AK7:AK76">
      <x:formula1>'99_下拉选项'!$T$4:$T$8</x:formula1>
    </x:dataValidation>
  </x:dataValidations>
  <x:pageMargins left="0.7" right="0.7" top="0.75" bottom="0.75" header="0.3" footer="0.3"/>
  <x:tableParts count="1">
    <x:tablePart xmlns:r="http://schemas.openxmlformats.org/officeDocument/2006/relationships" r:id="R7396b365fb0c44e4"/>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c>
      <x:c r="B7" s="74" t="str">
        <x:v>M14</x:v>
      </x:c>
      <x:c r="C7" s="74"/>
      <x:c r="D7" s="79"/>
      <x:c r="E7" s="74" t="str">
        <x:v>V1.0</x:v>
      </x:c>
      <x:c r="F7" s="68"/>
      <x:c r="G7" s="82"/>
      <x:c r="H7" s="82"/>
      <x:c r="I7" s="68"/>
      <x:c r="J7" s="68"/>
      <x:c r="K7" s="68"/>
      <x:c r="L7" s="82"/>
      <x:c r="M7" s="68"/>
      <x:c r="N7" s="68"/>
      <x:c r="O7" s="68"/>
      <x:c r="P7" s="68"/>
      <x:c r="Q7" s="68"/>
      <x:c r="R7" s="68"/>
      <x:c r="S7" s="68"/>
      <x:c r="T7" s="90"/>
      <x:c r="U7" s="68"/>
      <x:c r="V7" s="82"/>
      <x:c r="W7" s="68"/>
      <x:c r="X7" s="84"/>
      <x:c r="Y7" s="84"/>
      <x:c r="Z7" s="82"/>
      <x:c r="AA7" s="82"/>
      <x:c r="AB7" s="68"/>
      <x:c r="AC7" s="68"/>
      <x:c r="AD7" s="90"/>
      <x:c r="AE7" s="68"/>
      <x:c r="AF7" s="82"/>
      <x:c r="AG7" s="82"/>
      <x:c r="AH7" s="87"/>
    </x:row>
    <x:row r="8">
      <x:c r="A8" s="72" t="str">
        <x:f>IF(OR(C8="",D8=""),"",B8&amp;"-"&amp;UPPER(C8)&amp;"-"&amp;TEXT(D8,"0000")&amp;"-"&amp;E8)</x:f>
      </x:c>
      <x:c r="B8" s="74" t="str">
        <x:v>M14</x:v>
      </x:c>
      <x:c r="C8" s="74"/>
      <x:c r="D8" s="79"/>
      <x:c r="E8" s="74" t="str">
        <x:v>V1.0</x:v>
      </x:c>
      <x:c r="F8" s="68"/>
      <x:c r="G8" s="82"/>
      <x:c r="H8" s="82"/>
      <x:c r="I8" s="68"/>
      <x:c r="J8" s="68"/>
      <x:c r="K8" s="68"/>
      <x:c r="L8" s="82"/>
      <x:c r="M8" s="68"/>
      <x:c r="N8" s="68"/>
      <x:c r="O8" s="68"/>
      <x:c r="P8" s="68"/>
      <x:c r="Q8" s="68"/>
      <x:c r="R8" s="68"/>
      <x:c r="S8" s="68"/>
      <x:c r="T8" s="90"/>
      <x:c r="U8" s="68"/>
      <x:c r="V8" s="82"/>
      <x:c r="W8" s="68"/>
      <x:c r="X8" s="84"/>
      <x:c r="Y8" s="84"/>
      <x:c r="Z8" s="82"/>
      <x:c r="AA8" s="82"/>
      <x:c r="AB8" s="68"/>
      <x:c r="AC8" s="68"/>
      <x:c r="AD8" s="90"/>
      <x:c r="AE8" s="68"/>
      <x:c r="AF8" s="82"/>
      <x:c r="AG8" s="82"/>
      <x:c r="AH8" s="87"/>
    </x:row>
    <x:row r="9">
      <x:c r="A9" s="72" t="str">
        <x:f>IF(OR(C9="",D9=""),"",B9&amp;"-"&amp;UPPER(C9)&amp;"-"&amp;TEXT(D9,"0000")&amp;"-"&amp;E9)</x:f>
      </x:c>
      <x:c r="B9" s="74" t="str">
        <x:v>M14</x:v>
      </x:c>
      <x:c r="C9" s="74"/>
      <x:c r="D9" s="79"/>
      <x:c r="E9" s="74" t="str">
        <x:v>V1.0</x:v>
      </x:c>
      <x:c r="F9" s="68"/>
      <x:c r="G9" s="82"/>
      <x:c r="H9" s="82"/>
      <x:c r="I9" s="68"/>
      <x:c r="J9" s="68"/>
      <x:c r="K9" s="68"/>
      <x:c r="L9" s="82"/>
      <x:c r="M9" s="68"/>
      <x:c r="N9" s="68"/>
      <x:c r="O9" s="68"/>
      <x:c r="P9" s="68"/>
      <x:c r="Q9" s="68"/>
      <x:c r="R9" s="68"/>
      <x:c r="S9" s="68"/>
      <x:c r="T9" s="90"/>
      <x:c r="U9" s="68"/>
      <x:c r="V9" s="82"/>
      <x:c r="W9" s="68"/>
      <x:c r="X9" s="84"/>
      <x:c r="Y9" s="84"/>
      <x:c r="Z9" s="82"/>
      <x:c r="AA9" s="82"/>
      <x:c r="AB9" s="68"/>
      <x:c r="AC9" s="68"/>
      <x:c r="AD9" s="90"/>
      <x:c r="AE9" s="68"/>
      <x:c r="AF9" s="82"/>
      <x:c r="AG9" s="82"/>
      <x:c r="AH9" s="87"/>
    </x:row>
    <x:row r="10">
      <x:c r="A10" s="72" t="str">
        <x:f>IF(OR(C10="",D10=""),"",B10&amp;"-"&amp;UPPER(C10)&amp;"-"&amp;TEXT(D10,"0000")&amp;"-"&amp;E10)</x:f>
      </x:c>
      <x:c r="B10" s="74" t="str">
        <x:v>M14</x:v>
      </x:c>
      <x:c r="C10" s="74"/>
      <x:c r="D10" s="79"/>
      <x:c r="E10" s="74" t="str">
        <x:v>V1.0</x:v>
      </x:c>
      <x:c r="F10" s="68"/>
      <x:c r="G10" s="82"/>
      <x:c r="H10" s="82"/>
      <x:c r="I10" s="68"/>
      <x:c r="J10" s="68"/>
      <x:c r="K10" s="68"/>
      <x:c r="L10" s="82"/>
      <x:c r="M10" s="68"/>
      <x:c r="N10" s="68"/>
      <x:c r="O10" s="68"/>
      <x:c r="P10" s="68"/>
      <x:c r="Q10" s="68"/>
      <x:c r="R10" s="68"/>
      <x:c r="S10" s="68"/>
      <x:c r="T10" s="90"/>
      <x:c r="U10" s="68"/>
      <x:c r="V10" s="82"/>
      <x:c r="W10" s="68"/>
      <x:c r="X10" s="84"/>
      <x:c r="Y10" s="84"/>
      <x:c r="Z10" s="82"/>
      <x:c r="AA10" s="82"/>
      <x:c r="AB10" s="68"/>
      <x:c r="AC10" s="68"/>
      <x:c r="AD10" s="90"/>
      <x:c r="AE10" s="68"/>
      <x:c r="AF10" s="82"/>
      <x:c r="AG10" s="82"/>
      <x:c r="AH10" s="87"/>
    </x:row>
    <x:row r="11">
      <x:c r="A11" s="72" t="str">
        <x:f>IF(OR(C11="",D11=""),"",B11&amp;"-"&amp;UPPER(C11)&amp;"-"&amp;TEXT(D11,"0000")&amp;"-"&amp;E11)</x:f>
      </x:c>
      <x:c r="B11" s="74" t="str">
        <x:v>M14</x:v>
      </x:c>
      <x:c r="C11" s="74"/>
      <x:c r="D11" s="79"/>
      <x:c r="E11" s="74" t="str">
        <x:v>V1.0</x:v>
      </x:c>
      <x:c r="F11" s="68"/>
      <x:c r="G11" s="82"/>
      <x:c r="H11" s="82"/>
      <x:c r="I11" s="68"/>
      <x:c r="J11" s="68"/>
      <x:c r="K11" s="68"/>
      <x:c r="L11" s="82"/>
      <x:c r="M11" s="68"/>
      <x:c r="N11" s="68"/>
      <x:c r="O11" s="68"/>
      <x:c r="P11" s="68"/>
      <x:c r="Q11" s="68"/>
      <x:c r="R11" s="68"/>
      <x:c r="S11" s="68"/>
      <x:c r="T11" s="90"/>
      <x:c r="U11" s="68"/>
      <x:c r="V11" s="82"/>
      <x:c r="W11" s="68"/>
      <x:c r="X11" s="84"/>
      <x:c r="Y11" s="84"/>
      <x:c r="Z11" s="82"/>
      <x:c r="AA11" s="82"/>
      <x:c r="AB11" s="68"/>
      <x:c r="AC11" s="68"/>
      <x:c r="AD11" s="90"/>
      <x:c r="AE11" s="68"/>
      <x:c r="AF11" s="82"/>
      <x:c r="AG11" s="82"/>
      <x:c r="AH11" s="87"/>
    </x:row>
    <x:row r="12">
      <x:c r="A12" s="72" t="str">
        <x:f>IF(OR(C12="",D12=""),"",B12&amp;"-"&amp;UPPER(C12)&amp;"-"&amp;TEXT(D12,"0000")&amp;"-"&amp;E12)</x:f>
      </x:c>
      <x:c r="B12" s="74" t="str">
        <x:v>M14</x:v>
      </x:c>
      <x:c r="C12" s="74"/>
      <x:c r="D12" s="79"/>
      <x:c r="E12" s="74" t="str">
        <x:v>V1.0</x:v>
      </x:c>
      <x:c r="F12" s="68"/>
      <x:c r="G12" s="82"/>
      <x:c r="H12" s="82"/>
      <x:c r="I12" s="68"/>
      <x:c r="J12" s="68"/>
      <x:c r="K12" s="68"/>
      <x:c r="L12" s="82"/>
      <x:c r="M12" s="68"/>
      <x:c r="N12" s="68"/>
      <x:c r="O12" s="68"/>
      <x:c r="P12" s="68"/>
      <x:c r="Q12" s="68"/>
      <x:c r="R12" s="68"/>
      <x:c r="S12" s="68"/>
      <x:c r="T12" s="90"/>
      <x:c r="U12" s="68"/>
      <x:c r="V12" s="82"/>
      <x:c r="W12" s="68"/>
      <x:c r="X12" s="84"/>
      <x:c r="Y12" s="84"/>
      <x:c r="Z12" s="82"/>
      <x:c r="AA12" s="82"/>
      <x:c r="AB12" s="68"/>
      <x:c r="AC12" s="68"/>
      <x:c r="AD12" s="90"/>
      <x:c r="AE12" s="68"/>
      <x:c r="AF12" s="82"/>
      <x:c r="AG12" s="82"/>
      <x:c r="AH12" s="87"/>
    </x:row>
    <x:row r="13">
      <x:c r="A13" s="72" t="str">
        <x:f>IF(OR(C13="",D13=""),"",B13&amp;"-"&amp;UPPER(C13)&amp;"-"&amp;TEXT(D13,"0000")&amp;"-"&amp;E13)</x:f>
      </x:c>
      <x:c r="B13" s="74" t="str">
        <x:v>M14</x:v>
      </x:c>
      <x:c r="C13" s="74"/>
      <x:c r="D13" s="79"/>
      <x:c r="E13" s="74" t="str">
        <x:v>V1.0</x:v>
      </x:c>
      <x:c r="F13" s="68"/>
      <x:c r="G13" s="82"/>
      <x:c r="H13" s="82"/>
      <x:c r="I13" s="68"/>
      <x:c r="J13" s="68"/>
      <x:c r="K13" s="68"/>
      <x:c r="L13" s="82"/>
      <x:c r="M13" s="68"/>
      <x:c r="N13" s="68"/>
      <x:c r="O13" s="68"/>
      <x:c r="P13" s="68"/>
      <x:c r="Q13" s="68"/>
      <x:c r="R13" s="68"/>
      <x:c r="S13" s="68"/>
      <x:c r="T13" s="90"/>
      <x:c r="U13" s="68"/>
      <x:c r="V13" s="82"/>
      <x:c r="W13" s="68"/>
      <x:c r="X13" s="84"/>
      <x:c r="Y13" s="84"/>
      <x:c r="Z13" s="82"/>
      <x:c r="AA13" s="82"/>
      <x:c r="AB13" s="68"/>
      <x:c r="AC13" s="68"/>
      <x:c r="AD13" s="90"/>
      <x:c r="AE13" s="68"/>
      <x:c r="AF13" s="82"/>
      <x:c r="AG13" s="82"/>
      <x:c r="AH13" s="87"/>
    </x:row>
    <x:row r="14">
      <x:c r="A14" s="72" t="str">
        <x:f>IF(OR(C14="",D14=""),"",B14&amp;"-"&amp;UPPER(C14)&amp;"-"&amp;TEXT(D14,"0000")&amp;"-"&amp;E14)</x:f>
      </x:c>
      <x:c r="B14" s="74" t="str">
        <x:v>M14</x:v>
      </x:c>
      <x:c r="C14" s="74"/>
      <x:c r="D14" s="79"/>
      <x:c r="E14" s="74" t="str">
        <x:v>V1.0</x:v>
      </x:c>
      <x:c r="F14" s="68"/>
      <x:c r="G14" s="82"/>
      <x:c r="H14" s="82"/>
      <x:c r="I14" s="68"/>
      <x:c r="J14" s="68"/>
      <x:c r="K14" s="68"/>
      <x:c r="L14" s="82"/>
      <x:c r="M14" s="68"/>
      <x:c r="N14" s="68"/>
      <x:c r="O14" s="68"/>
      <x:c r="P14" s="68"/>
      <x:c r="Q14" s="68"/>
      <x:c r="R14" s="68"/>
      <x:c r="S14" s="68"/>
      <x:c r="T14" s="90"/>
      <x:c r="U14" s="68"/>
      <x:c r="V14" s="82"/>
      <x:c r="W14" s="68"/>
      <x:c r="X14" s="84"/>
      <x:c r="Y14" s="84"/>
      <x:c r="Z14" s="82"/>
      <x:c r="AA14" s="82"/>
      <x:c r="AB14" s="68"/>
      <x:c r="AC14" s="68"/>
      <x:c r="AD14" s="90"/>
      <x:c r="AE14" s="68"/>
      <x:c r="AF14" s="82"/>
      <x:c r="AG14" s="82"/>
      <x:c r="AH14" s="87"/>
    </x:row>
    <x:row r="15">
      <x:c r="A15" s="72" t="str">
        <x:f>IF(OR(C15="",D15=""),"",B15&amp;"-"&amp;UPPER(C15)&amp;"-"&amp;TEXT(D15,"0000")&amp;"-"&amp;E15)</x:f>
      </x:c>
      <x:c r="B15" s="74" t="str">
        <x:v>M14</x:v>
      </x:c>
      <x:c r="C15" s="74"/>
      <x:c r="D15" s="79"/>
      <x:c r="E15" s="74" t="str">
        <x:v>V1.0</x:v>
      </x:c>
      <x:c r="F15" s="68"/>
      <x:c r="G15" s="82"/>
      <x:c r="H15" s="82"/>
      <x:c r="I15" s="68"/>
      <x:c r="J15" s="68"/>
      <x:c r="K15" s="68"/>
      <x:c r="L15" s="82"/>
      <x:c r="M15" s="68"/>
      <x:c r="N15" s="68"/>
      <x:c r="O15" s="68"/>
      <x:c r="P15" s="68"/>
      <x:c r="Q15" s="68"/>
      <x:c r="R15" s="68"/>
      <x:c r="S15" s="68"/>
      <x:c r="T15" s="90"/>
      <x:c r="U15" s="68"/>
      <x:c r="V15" s="82"/>
      <x:c r="W15" s="68"/>
      <x:c r="X15" s="84"/>
      <x:c r="Y15" s="84"/>
      <x:c r="Z15" s="82"/>
      <x:c r="AA15" s="82"/>
      <x:c r="AB15" s="68"/>
      <x:c r="AC15" s="68"/>
      <x:c r="AD15" s="90"/>
      <x:c r="AE15" s="68"/>
      <x:c r="AF15" s="82"/>
      <x:c r="AG15" s="82"/>
      <x:c r="AH15" s="87"/>
    </x:row>
    <x:row r="16">
      <x:c r="A16" s="72" t="str">
        <x:f>IF(OR(C16="",D16=""),"",B16&amp;"-"&amp;UPPER(C16)&amp;"-"&amp;TEXT(D16,"0000")&amp;"-"&amp;E16)</x:f>
      </x:c>
      <x:c r="B16" s="74" t="str">
        <x:v>M14</x:v>
      </x:c>
      <x:c r="C16" s="74"/>
      <x:c r="D16" s="79"/>
      <x:c r="E16" s="74" t="str">
        <x:v>V1.0</x:v>
      </x:c>
      <x:c r="F16" s="68"/>
      <x:c r="G16" s="82"/>
      <x:c r="H16" s="82"/>
      <x:c r="I16" s="68"/>
      <x:c r="J16" s="68"/>
      <x:c r="K16" s="68"/>
      <x:c r="L16" s="82"/>
      <x:c r="M16" s="68"/>
      <x:c r="N16" s="68"/>
      <x:c r="O16" s="68"/>
      <x:c r="P16" s="68"/>
      <x:c r="Q16" s="68"/>
      <x:c r="R16" s="68"/>
      <x:c r="S16" s="68"/>
      <x:c r="T16" s="90"/>
      <x:c r="U16" s="68"/>
      <x:c r="V16" s="82"/>
      <x:c r="W16" s="68"/>
      <x:c r="X16" s="84"/>
      <x:c r="Y16" s="84"/>
      <x:c r="Z16" s="82"/>
      <x:c r="AA16" s="82"/>
      <x:c r="AB16" s="68"/>
      <x:c r="AC16" s="68"/>
      <x:c r="AD16" s="90"/>
      <x:c r="AE16" s="68"/>
      <x:c r="AF16" s="82"/>
      <x:c r="AG16" s="82"/>
      <x:c r="AH16" s="87"/>
    </x:row>
    <x:row r="17">
      <x:c r="A17" s="72" t="str">
        <x:f>IF(OR(C17="",D17=""),"",B17&amp;"-"&amp;UPPER(C17)&amp;"-"&amp;TEXT(D17,"0000")&amp;"-"&amp;E17)</x:f>
      </x:c>
      <x:c r="B17" s="74" t="str">
        <x:v>M14</x:v>
      </x:c>
      <x:c r="C17" s="74"/>
      <x:c r="D17" s="79"/>
      <x:c r="E17" s="74" t="str">
        <x:v>V1.0</x:v>
      </x:c>
      <x:c r="F17" s="68"/>
      <x:c r="G17" s="82"/>
      <x:c r="H17" s="82"/>
      <x:c r="I17" s="68"/>
      <x:c r="J17" s="68"/>
      <x:c r="K17" s="68"/>
      <x:c r="L17" s="82"/>
      <x:c r="M17" s="68"/>
      <x:c r="N17" s="68"/>
      <x:c r="O17" s="68"/>
      <x:c r="P17" s="68"/>
      <x:c r="Q17" s="68"/>
      <x:c r="R17" s="68"/>
      <x:c r="S17" s="68"/>
      <x:c r="T17" s="90"/>
      <x:c r="U17" s="68"/>
      <x:c r="V17" s="82"/>
      <x:c r="W17" s="68"/>
      <x:c r="X17" s="84"/>
      <x:c r="Y17" s="84"/>
      <x:c r="Z17" s="82"/>
      <x:c r="AA17" s="82"/>
      <x:c r="AB17" s="68"/>
      <x:c r="AC17" s="68"/>
      <x:c r="AD17" s="90"/>
      <x:c r="AE17" s="68"/>
      <x:c r="AF17" s="82"/>
      <x:c r="AG17" s="82"/>
      <x:c r="AH17" s="87"/>
    </x:row>
    <x:row r="18">
      <x:c r="A18" s="72" t="str">
        <x:f>IF(OR(C18="",D18=""),"",B18&amp;"-"&amp;UPPER(C18)&amp;"-"&amp;TEXT(D18,"0000")&amp;"-"&amp;E18)</x:f>
      </x:c>
      <x:c r="B18" s="74" t="str">
        <x:v>M14</x:v>
      </x:c>
      <x:c r="C18" s="74"/>
      <x:c r="D18" s="79"/>
      <x:c r="E18" s="74" t="str">
        <x:v>V1.0</x:v>
      </x:c>
      <x:c r="F18" s="68"/>
      <x:c r="G18" s="82"/>
      <x:c r="H18" s="82"/>
      <x:c r="I18" s="68"/>
      <x:c r="J18" s="68"/>
      <x:c r="K18" s="68"/>
      <x:c r="L18" s="82"/>
      <x:c r="M18" s="68"/>
      <x:c r="N18" s="68"/>
      <x:c r="O18" s="68"/>
      <x:c r="P18" s="68"/>
      <x:c r="Q18" s="68"/>
      <x:c r="R18" s="68"/>
      <x:c r="S18" s="68"/>
      <x:c r="T18" s="90"/>
      <x:c r="U18" s="68"/>
      <x:c r="V18" s="82"/>
      <x:c r="W18" s="68"/>
      <x:c r="X18" s="84"/>
      <x:c r="Y18" s="84"/>
      <x:c r="Z18" s="82"/>
      <x:c r="AA18" s="82"/>
      <x:c r="AB18" s="68"/>
      <x:c r="AC18" s="68"/>
      <x:c r="AD18" s="90"/>
      <x:c r="AE18" s="68"/>
      <x:c r="AF18" s="82"/>
      <x:c r="AG18" s="82"/>
      <x:c r="AH18" s="87"/>
    </x:row>
    <x:row r="19">
      <x:c r="A19" s="72" t="str">
        <x:f>IF(OR(C19="",D19=""),"",B19&amp;"-"&amp;UPPER(C19)&amp;"-"&amp;TEXT(D19,"0000")&amp;"-"&amp;E19)</x:f>
      </x:c>
      <x:c r="B19" s="74" t="str">
        <x:v>M14</x:v>
      </x:c>
      <x:c r="C19" s="74"/>
      <x:c r="D19" s="79"/>
      <x:c r="E19" s="74" t="str">
        <x:v>V1.0</x:v>
      </x:c>
      <x:c r="F19" s="68"/>
      <x:c r="G19" s="82"/>
      <x:c r="H19" s="82"/>
      <x:c r="I19" s="68"/>
      <x:c r="J19" s="68"/>
      <x:c r="K19" s="68"/>
      <x:c r="L19" s="82"/>
      <x:c r="M19" s="68"/>
      <x:c r="N19" s="68"/>
      <x:c r="O19" s="68"/>
      <x:c r="P19" s="68"/>
      <x:c r="Q19" s="68"/>
      <x:c r="R19" s="68"/>
      <x:c r="S19" s="68"/>
      <x:c r="T19" s="90"/>
      <x:c r="U19" s="68"/>
      <x:c r="V19" s="82"/>
      <x:c r="W19" s="68"/>
      <x:c r="X19" s="84"/>
      <x:c r="Y19" s="84"/>
      <x:c r="Z19" s="82"/>
      <x:c r="AA19" s="82"/>
      <x:c r="AB19" s="68"/>
      <x:c r="AC19" s="68"/>
      <x:c r="AD19" s="90"/>
      <x:c r="AE19" s="68"/>
      <x:c r="AF19" s="82"/>
      <x:c r="AG19" s="82"/>
      <x:c r="AH19" s="87"/>
    </x:row>
    <x:row r="20">
      <x:c r="A20" s="72" t="str">
        <x:f>IF(OR(C20="",D20=""),"",B20&amp;"-"&amp;UPPER(C20)&amp;"-"&amp;TEXT(D20,"0000")&amp;"-"&amp;E20)</x:f>
      </x:c>
      <x:c r="B20" s="74" t="str">
        <x:v>M14</x:v>
      </x:c>
      <x:c r="C20" s="74"/>
      <x:c r="D20" s="79"/>
      <x:c r="E20" s="74" t="str">
        <x:v>V1.0</x:v>
      </x:c>
      <x:c r="F20" s="68"/>
      <x:c r="G20" s="82"/>
      <x:c r="H20" s="82"/>
      <x:c r="I20" s="68"/>
      <x:c r="J20" s="68"/>
      <x:c r="K20" s="68"/>
      <x:c r="L20" s="82"/>
      <x:c r="M20" s="68"/>
      <x:c r="N20" s="68"/>
      <x:c r="O20" s="68"/>
      <x:c r="P20" s="68"/>
      <x:c r="Q20" s="68"/>
      <x:c r="R20" s="68"/>
      <x:c r="S20" s="68"/>
      <x:c r="T20" s="90"/>
      <x:c r="U20" s="68"/>
      <x:c r="V20" s="82"/>
      <x:c r="W20" s="68"/>
      <x:c r="X20" s="84"/>
      <x:c r="Y20" s="84"/>
      <x:c r="Z20" s="82"/>
      <x:c r="AA20" s="82"/>
      <x:c r="AB20" s="68"/>
      <x:c r="AC20" s="68"/>
      <x:c r="AD20" s="90"/>
      <x:c r="AE20" s="68"/>
      <x:c r="AF20" s="82"/>
      <x:c r="AG20" s="82"/>
      <x:c r="AH20" s="87"/>
    </x:row>
    <x:row r="21">
      <x:c r="A21" s="72" t="str">
        <x:f>IF(OR(C21="",D21=""),"",B21&amp;"-"&amp;UPPER(C21)&amp;"-"&amp;TEXT(D21,"0000")&amp;"-"&amp;E21)</x:f>
      </x:c>
      <x:c r="B21" s="74" t="str">
        <x:v>M14</x:v>
      </x:c>
      <x:c r="C21" s="74"/>
      <x:c r="D21" s="79"/>
      <x:c r="E21" s="74" t="str">
        <x:v>V1.0</x:v>
      </x:c>
      <x:c r="F21" s="68"/>
      <x:c r="G21" s="82"/>
      <x:c r="H21" s="82"/>
      <x:c r="I21" s="68"/>
      <x:c r="J21" s="68"/>
      <x:c r="K21" s="68"/>
      <x:c r="L21" s="82"/>
      <x:c r="M21" s="68"/>
      <x:c r="N21" s="68"/>
      <x:c r="O21" s="68"/>
      <x:c r="P21" s="68"/>
      <x:c r="Q21" s="68"/>
      <x:c r="R21" s="68"/>
      <x:c r="S21" s="68"/>
      <x:c r="T21" s="90"/>
      <x:c r="U21" s="68"/>
      <x:c r="V21" s="82"/>
      <x:c r="W21" s="68"/>
      <x:c r="X21" s="84"/>
      <x:c r="Y21" s="84"/>
      <x:c r="Z21" s="82"/>
      <x:c r="AA21" s="82"/>
      <x:c r="AB21" s="68"/>
      <x:c r="AC21" s="68"/>
      <x:c r="AD21" s="90"/>
      <x:c r="AE21" s="68"/>
      <x:c r="AF21" s="82"/>
      <x:c r="AG21" s="82"/>
      <x:c r="AH21" s="87"/>
    </x:row>
    <x:row r="22">
      <x:c r="A22" s="72" t="str">
        <x:f>IF(OR(C22="",D22=""),"",B22&amp;"-"&amp;UPPER(C22)&amp;"-"&amp;TEXT(D22,"0000")&amp;"-"&amp;E22)</x:f>
      </x:c>
      <x:c r="B22" s="74" t="str">
        <x:v>M14</x:v>
      </x:c>
      <x:c r="C22" s="74"/>
      <x:c r="D22" s="79"/>
      <x:c r="E22" s="74" t="str">
        <x:v>V1.0</x:v>
      </x:c>
      <x:c r="F22" s="68"/>
      <x:c r="G22" s="82"/>
      <x:c r="H22" s="82"/>
      <x:c r="I22" s="68"/>
      <x:c r="J22" s="68"/>
      <x:c r="K22" s="68"/>
      <x:c r="L22" s="82"/>
      <x:c r="M22" s="68"/>
      <x:c r="N22" s="68"/>
      <x:c r="O22" s="68"/>
      <x:c r="P22" s="68"/>
      <x:c r="Q22" s="68"/>
      <x:c r="R22" s="68"/>
      <x:c r="S22" s="68"/>
      <x:c r="T22" s="90"/>
      <x:c r="U22" s="68"/>
      <x:c r="V22" s="82"/>
      <x:c r="W22" s="68"/>
      <x:c r="X22" s="84"/>
      <x:c r="Y22" s="84"/>
      <x:c r="Z22" s="82"/>
      <x:c r="AA22" s="82"/>
      <x:c r="AB22" s="68"/>
      <x:c r="AC22" s="68"/>
      <x:c r="AD22" s="90"/>
      <x:c r="AE22" s="68"/>
      <x:c r="AF22" s="82"/>
      <x:c r="AG22" s="82"/>
      <x:c r="AH22" s="87"/>
    </x:row>
    <x:row r="23">
      <x:c r="A23" s="72" t="str">
        <x:f>IF(OR(C23="",D23=""),"",B23&amp;"-"&amp;UPPER(C23)&amp;"-"&amp;TEXT(D23,"0000")&amp;"-"&amp;E23)</x:f>
      </x:c>
      <x:c r="B23" s="74" t="str">
        <x:v>M14</x:v>
      </x:c>
      <x:c r="C23" s="74"/>
      <x:c r="D23" s="79"/>
      <x:c r="E23" s="74" t="str">
        <x:v>V1.0</x:v>
      </x:c>
      <x:c r="F23" s="68"/>
      <x:c r="G23" s="82"/>
      <x:c r="H23" s="82"/>
      <x:c r="I23" s="68"/>
      <x:c r="J23" s="68"/>
      <x:c r="K23" s="68"/>
      <x:c r="L23" s="82"/>
      <x:c r="M23" s="68"/>
      <x:c r="N23" s="68"/>
      <x:c r="O23" s="68"/>
      <x:c r="P23" s="68"/>
      <x:c r="Q23" s="68"/>
      <x:c r="R23" s="68"/>
      <x:c r="S23" s="68"/>
      <x:c r="T23" s="90"/>
      <x:c r="U23" s="68"/>
      <x:c r="V23" s="82"/>
      <x:c r="W23" s="68"/>
      <x:c r="X23" s="84"/>
      <x:c r="Y23" s="84"/>
      <x:c r="Z23" s="82"/>
      <x:c r="AA23" s="82"/>
      <x:c r="AB23" s="68"/>
      <x:c r="AC23" s="68"/>
      <x:c r="AD23" s="90"/>
      <x:c r="AE23" s="68"/>
      <x:c r="AF23" s="82"/>
      <x:c r="AG23" s="82"/>
      <x:c r="AH23" s="87"/>
    </x:row>
    <x:row r="24">
      <x:c r="A24" s="72" t="str">
        <x:f>IF(OR(C24="",D24=""),"",B24&amp;"-"&amp;UPPER(C24)&amp;"-"&amp;TEXT(D24,"0000")&amp;"-"&amp;E24)</x:f>
      </x:c>
      <x:c r="B24" s="74" t="str">
        <x:v>M14</x:v>
      </x:c>
      <x:c r="C24" s="74"/>
      <x:c r="D24" s="79"/>
      <x:c r="E24" s="74" t="str">
        <x:v>V1.0</x:v>
      </x:c>
      <x:c r="F24" s="68"/>
      <x:c r="G24" s="82"/>
      <x:c r="H24" s="82"/>
      <x:c r="I24" s="68"/>
      <x:c r="J24" s="68"/>
      <x:c r="K24" s="68"/>
      <x:c r="L24" s="82"/>
      <x:c r="M24" s="68"/>
      <x:c r="N24" s="68"/>
      <x:c r="O24" s="68"/>
      <x:c r="P24" s="68"/>
      <x:c r="Q24" s="68"/>
      <x:c r="R24" s="68"/>
      <x:c r="S24" s="68"/>
      <x:c r="T24" s="90"/>
      <x:c r="U24" s="68"/>
      <x:c r="V24" s="82"/>
      <x:c r="W24" s="68"/>
      <x:c r="X24" s="84"/>
      <x:c r="Y24" s="84"/>
      <x:c r="Z24" s="82"/>
      <x:c r="AA24" s="82"/>
      <x:c r="AB24" s="68"/>
      <x:c r="AC24" s="68"/>
      <x:c r="AD24" s="90"/>
      <x:c r="AE24" s="68"/>
      <x:c r="AF24" s="82"/>
      <x:c r="AG24" s="82"/>
      <x:c r="AH24" s="87"/>
    </x:row>
    <x:row r="25">
      <x:c r="A25" s="72" t="str">
        <x:f>IF(OR(C25="",D25=""),"",B25&amp;"-"&amp;UPPER(C25)&amp;"-"&amp;TEXT(D25,"0000")&amp;"-"&amp;E25)</x:f>
      </x:c>
      <x:c r="B25" s="74" t="str">
        <x:v>M14</x:v>
      </x:c>
      <x:c r="C25" s="74"/>
      <x:c r="D25" s="79"/>
      <x:c r="E25" s="74" t="str">
        <x:v>V1.0</x:v>
      </x:c>
      <x:c r="F25" s="68"/>
      <x:c r="G25" s="82"/>
      <x:c r="H25" s="82"/>
      <x:c r="I25" s="68"/>
      <x:c r="J25" s="68"/>
      <x:c r="K25" s="68"/>
      <x:c r="L25" s="82"/>
      <x:c r="M25" s="68"/>
      <x:c r="N25" s="68"/>
      <x:c r="O25" s="68"/>
      <x:c r="P25" s="68"/>
      <x:c r="Q25" s="68"/>
      <x:c r="R25" s="68"/>
      <x:c r="S25" s="68"/>
      <x:c r="T25" s="90"/>
      <x:c r="U25" s="68"/>
      <x:c r="V25" s="82"/>
      <x:c r="W25" s="68"/>
      <x:c r="X25" s="84"/>
      <x:c r="Y25" s="84"/>
      <x:c r="Z25" s="82"/>
      <x:c r="AA25" s="82"/>
      <x:c r="AB25" s="68"/>
      <x:c r="AC25" s="68"/>
      <x:c r="AD25" s="90"/>
      <x:c r="AE25" s="68"/>
      <x:c r="AF25" s="82"/>
      <x:c r="AG25" s="82"/>
      <x:c r="AH25" s="87"/>
    </x:row>
    <x:row r="26">
      <x:c r="A26" s="72" t="str">
        <x:f>IF(OR(C26="",D26=""),"",B26&amp;"-"&amp;UPPER(C26)&amp;"-"&amp;TEXT(D26,"0000")&amp;"-"&amp;E26)</x:f>
      </x:c>
      <x:c r="B26" s="74" t="str">
        <x:v>M14</x:v>
      </x:c>
      <x:c r="C26" s="74"/>
      <x:c r="D26" s="79"/>
      <x:c r="E26" s="74" t="str">
        <x:v>V1.0</x:v>
      </x:c>
      <x:c r="F26" s="68"/>
      <x:c r="G26" s="82"/>
      <x:c r="H26" s="82"/>
      <x:c r="I26" s="68"/>
      <x:c r="J26" s="68"/>
      <x:c r="K26" s="68"/>
      <x:c r="L26" s="82"/>
      <x:c r="M26" s="68"/>
      <x:c r="N26" s="68"/>
      <x:c r="O26" s="68"/>
      <x:c r="P26" s="68"/>
      <x:c r="Q26" s="68"/>
      <x:c r="R26" s="68"/>
      <x:c r="S26" s="68"/>
      <x:c r="T26" s="90"/>
      <x:c r="U26" s="68"/>
      <x:c r="V26" s="82"/>
      <x:c r="W26" s="68"/>
      <x:c r="X26" s="84"/>
      <x:c r="Y26" s="84"/>
      <x:c r="Z26" s="82"/>
      <x:c r="AA26" s="82"/>
      <x:c r="AB26" s="68"/>
      <x:c r="AC26" s="68"/>
      <x:c r="AD26" s="90"/>
      <x:c r="AE26" s="68"/>
      <x:c r="AF26" s="82"/>
      <x:c r="AG26" s="82"/>
      <x:c r="AH26" s="87"/>
    </x:row>
    <x:row r="27">
      <x:c r="A27" s="72" t="str">
        <x:f>IF(OR(C27="",D27=""),"",B27&amp;"-"&amp;UPPER(C27)&amp;"-"&amp;TEXT(D27,"0000")&amp;"-"&amp;E27)</x:f>
      </x:c>
      <x:c r="B27" s="74" t="str">
        <x:v>M14</x:v>
      </x:c>
      <x:c r="C27" s="74"/>
      <x:c r="D27" s="79"/>
      <x:c r="E27" s="74" t="str">
        <x:v>V1.0</x:v>
      </x:c>
      <x:c r="F27" s="68"/>
      <x:c r="G27" s="82"/>
      <x:c r="H27" s="82"/>
      <x:c r="I27" s="68"/>
      <x:c r="J27" s="68"/>
      <x:c r="K27" s="68"/>
      <x:c r="L27" s="82"/>
      <x:c r="M27" s="68"/>
      <x:c r="N27" s="68"/>
      <x:c r="O27" s="68"/>
      <x:c r="P27" s="68"/>
      <x:c r="Q27" s="68"/>
      <x:c r="R27" s="68"/>
      <x:c r="S27" s="68"/>
      <x:c r="T27" s="90"/>
      <x:c r="U27" s="68"/>
      <x:c r="V27" s="82"/>
      <x:c r="W27" s="68"/>
      <x:c r="X27" s="84"/>
      <x:c r="Y27" s="84"/>
      <x:c r="Z27" s="82"/>
      <x:c r="AA27" s="82"/>
      <x:c r="AB27" s="68"/>
      <x:c r="AC27" s="68"/>
      <x:c r="AD27" s="90"/>
      <x:c r="AE27" s="68"/>
      <x:c r="AF27" s="82"/>
      <x:c r="AG27" s="82"/>
      <x:c r="AH27" s="87"/>
    </x:row>
    <x:row r="28">
      <x:c r="A28" s="72" t="str">
        <x:f>IF(OR(C28="",D28=""),"",B28&amp;"-"&amp;UPPER(C28)&amp;"-"&amp;TEXT(D28,"0000")&amp;"-"&amp;E28)</x:f>
      </x:c>
      <x:c r="B28" s="74" t="str">
        <x:v>M14</x:v>
      </x:c>
      <x:c r="C28" s="74"/>
      <x:c r="D28" s="79"/>
      <x:c r="E28" s="74" t="str">
        <x:v>V1.0</x:v>
      </x:c>
      <x:c r="F28" s="68"/>
      <x:c r="G28" s="82"/>
      <x:c r="H28" s="82"/>
      <x:c r="I28" s="68"/>
      <x:c r="J28" s="68"/>
      <x:c r="K28" s="68"/>
      <x:c r="L28" s="82"/>
      <x:c r="M28" s="68"/>
      <x:c r="N28" s="68"/>
      <x:c r="O28" s="68"/>
      <x:c r="P28" s="68"/>
      <x:c r="Q28" s="68"/>
      <x:c r="R28" s="68"/>
      <x:c r="S28" s="68"/>
      <x:c r="T28" s="90"/>
      <x:c r="U28" s="68"/>
      <x:c r="V28" s="82"/>
      <x:c r="W28" s="68"/>
      <x:c r="X28" s="84"/>
      <x:c r="Y28" s="84"/>
      <x:c r="Z28" s="82"/>
      <x:c r="AA28" s="82"/>
      <x:c r="AB28" s="68"/>
      <x:c r="AC28" s="68"/>
      <x:c r="AD28" s="90"/>
      <x:c r="AE28" s="68"/>
      <x:c r="AF28" s="82"/>
      <x:c r="AG28" s="82"/>
      <x:c r="AH28" s="87"/>
    </x:row>
    <x:row r="29">
      <x:c r="A29" s="72" t="str">
        <x:f>IF(OR(C29="",D29=""),"",B29&amp;"-"&amp;UPPER(C29)&amp;"-"&amp;TEXT(D29,"0000")&amp;"-"&amp;E29)</x:f>
      </x:c>
      <x:c r="B29" s="74" t="str">
        <x:v>M14</x:v>
      </x:c>
      <x:c r="C29" s="74"/>
      <x:c r="D29" s="79"/>
      <x:c r="E29" s="74" t="str">
        <x:v>V1.0</x:v>
      </x:c>
      <x:c r="F29" s="68"/>
      <x:c r="G29" s="82"/>
      <x:c r="H29" s="82"/>
      <x:c r="I29" s="68"/>
      <x:c r="J29" s="68"/>
      <x:c r="K29" s="68"/>
      <x:c r="L29" s="82"/>
      <x:c r="M29" s="68"/>
      <x:c r="N29" s="68"/>
      <x:c r="O29" s="68"/>
      <x:c r="P29" s="68"/>
      <x:c r="Q29" s="68"/>
      <x:c r="R29" s="68"/>
      <x:c r="S29" s="68"/>
      <x:c r="T29" s="90"/>
      <x:c r="U29" s="68"/>
      <x:c r="V29" s="82"/>
      <x:c r="W29" s="68"/>
      <x:c r="X29" s="84"/>
      <x:c r="Y29" s="84"/>
      <x:c r="Z29" s="82"/>
      <x:c r="AA29" s="82"/>
      <x:c r="AB29" s="68"/>
      <x:c r="AC29" s="68"/>
      <x:c r="AD29" s="90"/>
      <x:c r="AE29" s="68"/>
      <x:c r="AF29" s="82"/>
      <x:c r="AG29" s="82"/>
      <x:c r="AH29" s="87"/>
    </x:row>
    <x:row r="30">
      <x:c r="A30" s="72" t="str">
        <x:f>IF(OR(C30="",D30=""),"",B30&amp;"-"&amp;UPPER(C30)&amp;"-"&amp;TEXT(D30,"0000")&amp;"-"&amp;E30)</x:f>
      </x:c>
      <x:c r="B30" s="74" t="str">
        <x:v>M14</x:v>
      </x:c>
      <x:c r="C30" s="74"/>
      <x:c r="D30" s="79"/>
      <x:c r="E30" s="74" t="str">
        <x:v>V1.0</x:v>
      </x:c>
      <x:c r="F30" s="68"/>
      <x:c r="G30" s="82"/>
      <x:c r="H30" s="82"/>
      <x:c r="I30" s="68"/>
      <x:c r="J30" s="68"/>
      <x:c r="K30" s="68"/>
      <x:c r="L30" s="82"/>
      <x:c r="M30" s="68"/>
      <x:c r="N30" s="68"/>
      <x:c r="O30" s="68"/>
      <x:c r="P30" s="68"/>
      <x:c r="Q30" s="68"/>
      <x:c r="R30" s="68"/>
      <x:c r="S30" s="68"/>
      <x:c r="T30" s="90"/>
      <x:c r="U30" s="68"/>
      <x:c r="V30" s="82"/>
      <x:c r="W30" s="68"/>
      <x:c r="X30" s="84"/>
      <x:c r="Y30" s="84"/>
      <x:c r="Z30" s="82"/>
      <x:c r="AA30" s="82"/>
      <x:c r="AB30" s="68"/>
      <x:c r="AC30" s="68"/>
      <x:c r="AD30" s="90"/>
      <x:c r="AE30" s="68"/>
      <x:c r="AF30" s="82"/>
      <x:c r="AG30" s="82"/>
      <x:c r="AH30" s="87"/>
    </x:row>
    <x:row r="31">
      <x:c r="A31" s="72" t="str">
        <x:f>IF(OR(C31="",D31=""),"",B31&amp;"-"&amp;UPPER(C31)&amp;"-"&amp;TEXT(D31,"0000")&amp;"-"&amp;E31)</x:f>
      </x:c>
      <x:c r="B31" s="74" t="str">
        <x:v>M14</x:v>
      </x:c>
      <x:c r="C31" s="74"/>
      <x:c r="D31" s="79"/>
      <x:c r="E31" s="74" t="str">
        <x:v>V1.0</x:v>
      </x:c>
      <x:c r="F31" s="68"/>
      <x:c r="G31" s="82"/>
      <x:c r="H31" s="82"/>
      <x:c r="I31" s="68"/>
      <x:c r="J31" s="68"/>
      <x:c r="K31" s="68"/>
      <x:c r="L31" s="82"/>
      <x:c r="M31" s="68"/>
      <x:c r="N31" s="68"/>
      <x:c r="O31" s="68"/>
      <x:c r="P31" s="68"/>
      <x:c r="Q31" s="68"/>
      <x:c r="R31" s="68"/>
      <x:c r="S31" s="68"/>
      <x:c r="T31" s="90"/>
      <x:c r="U31" s="68"/>
      <x:c r="V31" s="82"/>
      <x:c r="W31" s="68"/>
      <x:c r="X31" s="84"/>
      <x:c r="Y31" s="84"/>
      <x:c r="Z31" s="82"/>
      <x:c r="AA31" s="82"/>
      <x:c r="AB31" s="68"/>
      <x:c r="AC31" s="68"/>
      <x:c r="AD31" s="90"/>
      <x:c r="AE31" s="68"/>
      <x:c r="AF31" s="82"/>
      <x:c r="AG31" s="82"/>
      <x:c r="AH31" s="87"/>
    </x:row>
    <x:row r="32">
      <x:c r="A32" s="72" t="str">
        <x:f>IF(OR(C32="",D32=""),"",B32&amp;"-"&amp;UPPER(C32)&amp;"-"&amp;TEXT(D32,"0000")&amp;"-"&amp;E32)</x:f>
      </x:c>
      <x:c r="B32" s="74" t="str">
        <x:v>M14</x:v>
      </x:c>
      <x:c r="C32" s="74"/>
      <x:c r="D32" s="79"/>
      <x:c r="E32" s="74" t="str">
        <x:v>V1.0</x:v>
      </x:c>
      <x:c r="F32" s="68"/>
      <x:c r="G32" s="82"/>
      <x:c r="H32" s="82"/>
      <x:c r="I32" s="68"/>
      <x:c r="J32" s="68"/>
      <x:c r="K32" s="68"/>
      <x:c r="L32" s="82"/>
      <x:c r="M32" s="68"/>
      <x:c r="N32" s="68"/>
      <x:c r="O32" s="68"/>
      <x:c r="P32" s="68"/>
      <x:c r="Q32" s="68"/>
      <x:c r="R32" s="68"/>
      <x:c r="S32" s="68"/>
      <x:c r="T32" s="90"/>
      <x:c r="U32" s="68"/>
      <x:c r="V32" s="82"/>
      <x:c r="W32" s="68"/>
      <x:c r="X32" s="84"/>
      <x:c r="Y32" s="84"/>
      <x:c r="Z32" s="82"/>
      <x:c r="AA32" s="82"/>
      <x:c r="AB32" s="68"/>
      <x:c r="AC32" s="68"/>
      <x:c r="AD32" s="90"/>
      <x:c r="AE32" s="68"/>
      <x:c r="AF32" s="82"/>
      <x:c r="AG32" s="82"/>
      <x:c r="AH32" s="87"/>
    </x:row>
    <x:row r="33">
      <x:c r="A33" s="72" t="str">
        <x:f>IF(OR(C33="",D33=""),"",B33&amp;"-"&amp;UPPER(C33)&amp;"-"&amp;TEXT(D33,"0000")&amp;"-"&amp;E33)</x:f>
      </x:c>
      <x:c r="B33" s="74" t="str">
        <x:v>M14</x:v>
      </x:c>
      <x:c r="C33" s="74"/>
      <x:c r="D33" s="79"/>
      <x:c r="E33" s="74" t="str">
        <x:v>V1.0</x:v>
      </x:c>
      <x:c r="F33" s="68"/>
      <x:c r="G33" s="82"/>
      <x:c r="H33" s="82"/>
      <x:c r="I33" s="68"/>
      <x:c r="J33" s="68"/>
      <x:c r="K33" s="68"/>
      <x:c r="L33" s="82"/>
      <x:c r="M33" s="68"/>
      <x:c r="N33" s="68"/>
      <x:c r="O33" s="68"/>
      <x:c r="P33" s="68"/>
      <x:c r="Q33" s="68"/>
      <x:c r="R33" s="68"/>
      <x:c r="S33" s="68"/>
      <x:c r="T33" s="90"/>
      <x:c r="U33" s="68"/>
      <x:c r="V33" s="82"/>
      <x:c r="W33" s="68"/>
      <x:c r="X33" s="84"/>
      <x:c r="Y33" s="84"/>
      <x:c r="Z33" s="82"/>
      <x:c r="AA33" s="82"/>
      <x:c r="AB33" s="68"/>
      <x:c r="AC33" s="68"/>
      <x:c r="AD33" s="90"/>
      <x:c r="AE33" s="68"/>
      <x:c r="AF33" s="82"/>
      <x:c r="AG33" s="82"/>
      <x:c r="AH33" s="87"/>
    </x:row>
    <x:row r="34">
      <x:c r="A34" s="72" t="str">
        <x:f>IF(OR(C34="",D34=""),"",B34&amp;"-"&amp;UPPER(C34)&amp;"-"&amp;TEXT(D34,"0000")&amp;"-"&amp;E34)</x:f>
      </x:c>
      <x:c r="B34" s="74" t="str">
        <x:v>M14</x:v>
      </x:c>
      <x:c r="C34" s="74"/>
      <x:c r="D34" s="79"/>
      <x:c r="E34" s="74" t="str">
        <x:v>V1.0</x:v>
      </x:c>
      <x:c r="F34" s="68"/>
      <x:c r="G34" s="82"/>
      <x:c r="H34" s="82"/>
      <x:c r="I34" s="68"/>
      <x:c r="J34" s="68"/>
      <x:c r="K34" s="68"/>
      <x:c r="L34" s="82"/>
      <x:c r="M34" s="68"/>
      <x:c r="N34" s="68"/>
      <x:c r="O34" s="68"/>
      <x:c r="P34" s="68"/>
      <x:c r="Q34" s="68"/>
      <x:c r="R34" s="68"/>
      <x:c r="S34" s="68"/>
      <x:c r="T34" s="90"/>
      <x:c r="U34" s="68"/>
      <x:c r="V34" s="82"/>
      <x:c r="W34" s="68"/>
      <x:c r="X34" s="84"/>
      <x:c r="Y34" s="84"/>
      <x:c r="Z34" s="82"/>
      <x:c r="AA34" s="82"/>
      <x:c r="AB34" s="68"/>
      <x:c r="AC34" s="68"/>
      <x:c r="AD34" s="90"/>
      <x:c r="AE34" s="68"/>
      <x:c r="AF34" s="82"/>
      <x:c r="AG34" s="82"/>
      <x:c r="AH34" s="87"/>
    </x:row>
    <x:row r="35">
      <x:c r="A35" s="72" t="str">
        <x:f>IF(OR(C35="",D35=""),"",B35&amp;"-"&amp;UPPER(C35)&amp;"-"&amp;TEXT(D35,"0000")&amp;"-"&amp;E35)</x:f>
      </x:c>
      <x:c r="B35" s="74" t="str">
        <x:v>M14</x:v>
      </x:c>
      <x:c r="C35" s="74"/>
      <x:c r="D35" s="79"/>
      <x:c r="E35" s="74" t="str">
        <x:v>V1.0</x:v>
      </x:c>
      <x:c r="F35" s="68"/>
      <x:c r="G35" s="82"/>
      <x:c r="H35" s="82"/>
      <x:c r="I35" s="68"/>
      <x:c r="J35" s="68"/>
      <x:c r="K35" s="68"/>
      <x:c r="L35" s="82"/>
      <x:c r="M35" s="68"/>
      <x:c r="N35" s="68"/>
      <x:c r="O35" s="68"/>
      <x:c r="P35" s="68"/>
      <x:c r="Q35" s="68"/>
      <x:c r="R35" s="68"/>
      <x:c r="S35" s="68"/>
      <x:c r="T35" s="90"/>
      <x:c r="U35" s="68"/>
      <x:c r="V35" s="82"/>
      <x:c r="W35" s="68"/>
      <x:c r="X35" s="84"/>
      <x:c r="Y35" s="84"/>
      <x:c r="Z35" s="82"/>
      <x:c r="AA35" s="82"/>
      <x:c r="AB35" s="68"/>
      <x:c r="AC35" s="68"/>
      <x:c r="AD35" s="90"/>
      <x:c r="AE35" s="68"/>
      <x:c r="AF35" s="82"/>
      <x:c r="AG35" s="82"/>
      <x:c r="AH35" s="87"/>
    </x:row>
    <x:row r="36">
      <x:c r="A36" s="72" t="str">
        <x:f>IF(OR(C36="",D36=""),"",B36&amp;"-"&amp;UPPER(C36)&amp;"-"&amp;TEXT(D36,"0000")&amp;"-"&amp;E36)</x:f>
      </x:c>
      <x:c r="B36" s="74" t="str">
        <x:v>M14</x:v>
      </x:c>
      <x:c r="C36" s="74"/>
      <x:c r="D36" s="79"/>
      <x:c r="E36" s="74" t="str">
        <x:v>V1.0</x:v>
      </x:c>
      <x:c r="F36" s="68"/>
      <x:c r="G36" s="82"/>
      <x:c r="H36" s="82"/>
      <x:c r="I36" s="68"/>
      <x:c r="J36" s="68"/>
      <x:c r="K36" s="68"/>
      <x:c r="L36" s="82"/>
      <x:c r="M36" s="68"/>
      <x:c r="N36" s="68"/>
      <x:c r="O36" s="68"/>
      <x:c r="P36" s="68"/>
      <x:c r="Q36" s="68"/>
      <x:c r="R36" s="68"/>
      <x:c r="S36" s="68"/>
      <x:c r="T36" s="90"/>
      <x:c r="U36" s="68"/>
      <x:c r="V36" s="82"/>
      <x:c r="W36" s="68"/>
      <x:c r="X36" s="84"/>
      <x:c r="Y36" s="84"/>
      <x:c r="Z36" s="82"/>
      <x:c r="AA36" s="82"/>
      <x:c r="AB36" s="68"/>
      <x:c r="AC36" s="68"/>
      <x:c r="AD36" s="90"/>
      <x:c r="AE36" s="68"/>
      <x:c r="AF36" s="82"/>
      <x:c r="AG36" s="82"/>
      <x:c r="AH36" s="87"/>
    </x:row>
    <x:row r="37">
      <x:c r="A37" s="72" t="str">
        <x:f>IF(OR(C37="",D37=""),"",B37&amp;"-"&amp;UPPER(C37)&amp;"-"&amp;TEXT(D37,"0000")&amp;"-"&amp;E37)</x:f>
      </x:c>
      <x:c r="B37" s="74" t="str">
        <x:v>M14</x:v>
      </x:c>
      <x:c r="C37" s="74"/>
      <x:c r="D37" s="79"/>
      <x:c r="E37" s="74" t="str">
        <x:v>V1.0</x:v>
      </x:c>
      <x:c r="F37" s="68"/>
      <x:c r="G37" s="82"/>
      <x:c r="H37" s="82"/>
      <x:c r="I37" s="68"/>
      <x:c r="J37" s="68"/>
      <x:c r="K37" s="68"/>
      <x:c r="L37" s="82"/>
      <x:c r="M37" s="68"/>
      <x:c r="N37" s="68"/>
      <x:c r="O37" s="68"/>
      <x:c r="P37" s="68"/>
      <x:c r="Q37" s="68"/>
      <x:c r="R37" s="68"/>
      <x:c r="S37" s="68"/>
      <x:c r="T37" s="90"/>
      <x:c r="U37" s="68"/>
      <x:c r="V37" s="82"/>
      <x:c r="W37" s="68"/>
      <x:c r="X37" s="84"/>
      <x:c r="Y37" s="84"/>
      <x:c r="Z37" s="82"/>
      <x:c r="AA37" s="82"/>
      <x:c r="AB37" s="68"/>
      <x:c r="AC37" s="68"/>
      <x:c r="AD37" s="90"/>
      <x:c r="AE37" s="68"/>
      <x:c r="AF37" s="82"/>
      <x:c r="AG37" s="82"/>
      <x:c r="AH37" s="87"/>
    </x:row>
    <x:row r="38">
      <x:c r="A38" s="72" t="str">
        <x:f>IF(OR(C38="",D38=""),"",B38&amp;"-"&amp;UPPER(C38)&amp;"-"&amp;TEXT(D38,"0000")&amp;"-"&amp;E38)</x:f>
      </x:c>
      <x:c r="B38" s="74" t="str">
        <x:v>M14</x:v>
      </x:c>
      <x:c r="C38" s="74"/>
      <x:c r="D38" s="79"/>
      <x:c r="E38" s="74" t="str">
        <x:v>V1.0</x:v>
      </x:c>
      <x:c r="F38" s="68"/>
      <x:c r="G38" s="82"/>
      <x:c r="H38" s="82"/>
      <x:c r="I38" s="68"/>
      <x:c r="J38" s="68"/>
      <x:c r="K38" s="68"/>
      <x:c r="L38" s="82"/>
      <x:c r="M38" s="68"/>
      <x:c r="N38" s="68"/>
      <x:c r="O38" s="68"/>
      <x:c r="P38" s="68"/>
      <x:c r="Q38" s="68"/>
      <x:c r="R38" s="68"/>
      <x:c r="S38" s="68"/>
      <x:c r="T38" s="90"/>
      <x:c r="U38" s="68"/>
      <x:c r="V38" s="82"/>
      <x:c r="W38" s="68"/>
      <x:c r="X38" s="84"/>
      <x:c r="Y38" s="84"/>
      <x:c r="Z38" s="82"/>
      <x:c r="AA38" s="82"/>
      <x:c r="AB38" s="68"/>
      <x:c r="AC38" s="68"/>
      <x:c r="AD38" s="90"/>
      <x:c r="AE38" s="68"/>
      <x:c r="AF38" s="82"/>
      <x:c r="AG38" s="82"/>
      <x:c r="AH38" s="87"/>
    </x:row>
    <x:row r="39">
      <x:c r="A39" s="72" t="str">
        <x:f>IF(OR(C39="",D39=""),"",B39&amp;"-"&amp;UPPER(C39)&amp;"-"&amp;TEXT(D39,"0000")&amp;"-"&amp;E39)</x:f>
      </x:c>
      <x:c r="B39" s="74" t="str">
        <x:v>M14</x:v>
      </x:c>
      <x:c r="C39" s="74"/>
      <x:c r="D39" s="79"/>
      <x:c r="E39" s="74" t="str">
        <x:v>V1.0</x:v>
      </x:c>
      <x:c r="F39" s="68"/>
      <x:c r="G39" s="82"/>
      <x:c r="H39" s="82"/>
      <x:c r="I39" s="68"/>
      <x:c r="J39" s="68"/>
      <x:c r="K39" s="68"/>
      <x:c r="L39" s="82"/>
      <x:c r="M39" s="68"/>
      <x:c r="N39" s="68"/>
      <x:c r="O39" s="68"/>
      <x:c r="P39" s="68"/>
      <x:c r="Q39" s="68"/>
      <x:c r="R39" s="68"/>
      <x:c r="S39" s="68"/>
      <x:c r="T39" s="90"/>
      <x:c r="U39" s="68"/>
      <x:c r="V39" s="82"/>
      <x:c r="W39" s="68"/>
      <x:c r="X39" s="84"/>
      <x:c r="Y39" s="84"/>
      <x:c r="Z39" s="82"/>
      <x:c r="AA39" s="82"/>
      <x:c r="AB39" s="68"/>
      <x:c r="AC39" s="68"/>
      <x:c r="AD39" s="90"/>
      <x:c r="AE39" s="68"/>
      <x:c r="AF39" s="82"/>
      <x:c r="AG39" s="82"/>
      <x:c r="AH39" s="87"/>
    </x:row>
    <x:row r="40">
      <x:c r="A40" s="72" t="str">
        <x:f>IF(OR(C40="",D40=""),"",B40&amp;"-"&amp;UPPER(C40)&amp;"-"&amp;TEXT(D40,"0000")&amp;"-"&amp;E40)</x:f>
      </x:c>
      <x:c r="B40" s="74" t="str">
        <x:v>M14</x:v>
      </x:c>
      <x:c r="C40" s="74"/>
      <x:c r="D40" s="79"/>
      <x:c r="E40" s="74" t="str">
        <x:v>V1.0</x:v>
      </x:c>
      <x:c r="F40" s="68"/>
      <x:c r="G40" s="82"/>
      <x:c r="H40" s="82"/>
      <x:c r="I40" s="68"/>
      <x:c r="J40" s="68"/>
      <x:c r="K40" s="68"/>
      <x:c r="L40" s="82"/>
      <x:c r="M40" s="68"/>
      <x:c r="N40" s="68"/>
      <x:c r="O40" s="68"/>
      <x:c r="P40" s="68"/>
      <x:c r="Q40" s="68"/>
      <x:c r="R40" s="68"/>
      <x:c r="S40" s="68"/>
      <x:c r="T40" s="90"/>
      <x:c r="U40" s="68"/>
      <x:c r="V40" s="82"/>
      <x:c r="W40" s="68"/>
      <x:c r="X40" s="84"/>
      <x:c r="Y40" s="84"/>
      <x:c r="Z40" s="82"/>
      <x:c r="AA40" s="82"/>
      <x:c r="AB40" s="68"/>
      <x:c r="AC40" s="68"/>
      <x:c r="AD40" s="90"/>
      <x:c r="AE40" s="68"/>
      <x:c r="AF40" s="82"/>
      <x:c r="AG40" s="82"/>
      <x:c r="AH40" s="87"/>
    </x:row>
    <x:row r="41">
      <x:c r="A41" s="72" t="str">
        <x:f>IF(OR(C41="",D41=""),"",B41&amp;"-"&amp;UPPER(C41)&amp;"-"&amp;TEXT(D41,"0000")&amp;"-"&amp;E41)</x:f>
      </x:c>
      <x:c r="B41" s="74" t="str">
        <x:v>M14</x:v>
      </x:c>
      <x:c r="C41" s="74"/>
      <x:c r="D41" s="79"/>
      <x:c r="E41" s="74" t="str">
        <x:v>V1.0</x:v>
      </x:c>
      <x:c r="F41" s="68"/>
      <x:c r="G41" s="82"/>
      <x:c r="H41" s="82"/>
      <x:c r="I41" s="68"/>
      <x:c r="J41" s="68"/>
      <x:c r="K41" s="68"/>
      <x:c r="L41" s="82"/>
      <x:c r="M41" s="68"/>
      <x:c r="N41" s="68"/>
      <x:c r="O41" s="68"/>
      <x:c r="P41" s="68"/>
      <x:c r="Q41" s="68"/>
      <x:c r="R41" s="68"/>
      <x:c r="S41" s="68"/>
      <x:c r="T41" s="90"/>
      <x:c r="U41" s="68"/>
      <x:c r="V41" s="82"/>
      <x:c r="W41" s="68"/>
      <x:c r="X41" s="84"/>
      <x:c r="Y41" s="84"/>
      <x:c r="Z41" s="82"/>
      <x:c r="AA41" s="82"/>
      <x:c r="AB41" s="68"/>
      <x:c r="AC41" s="68"/>
      <x:c r="AD41" s="90"/>
      <x:c r="AE41" s="68"/>
      <x:c r="AF41" s="82"/>
      <x:c r="AG41" s="82"/>
      <x:c r="AH41" s="87"/>
    </x:row>
    <x:row r="42">
      <x:c r="A42" s="72" t="str">
        <x:f>IF(OR(C42="",D42=""),"",B42&amp;"-"&amp;UPPER(C42)&amp;"-"&amp;TEXT(D42,"0000")&amp;"-"&amp;E42)</x:f>
      </x:c>
      <x:c r="B42" s="74" t="str">
        <x:v>M14</x:v>
      </x:c>
      <x:c r="C42" s="74"/>
      <x:c r="D42" s="79"/>
      <x:c r="E42" s="74" t="str">
        <x:v>V1.0</x:v>
      </x:c>
      <x:c r="F42" s="68"/>
      <x:c r="G42" s="82"/>
      <x:c r="H42" s="82"/>
      <x:c r="I42" s="68"/>
      <x:c r="J42" s="68"/>
      <x:c r="K42" s="68"/>
      <x:c r="L42" s="82"/>
      <x:c r="M42" s="68"/>
      <x:c r="N42" s="68"/>
      <x:c r="O42" s="68"/>
      <x:c r="P42" s="68"/>
      <x:c r="Q42" s="68"/>
      <x:c r="R42" s="68"/>
      <x:c r="S42" s="68"/>
      <x:c r="T42" s="90"/>
      <x:c r="U42" s="68"/>
      <x:c r="V42" s="82"/>
      <x:c r="W42" s="68"/>
      <x:c r="X42" s="84"/>
      <x:c r="Y42" s="84"/>
      <x:c r="Z42" s="82"/>
      <x:c r="AA42" s="82"/>
      <x:c r="AB42" s="68"/>
      <x:c r="AC42" s="68"/>
      <x:c r="AD42" s="90"/>
      <x:c r="AE42" s="68"/>
      <x:c r="AF42" s="82"/>
      <x:c r="AG42" s="82"/>
      <x:c r="AH42" s="87"/>
    </x:row>
    <x:row r="43">
      <x:c r="A43" s="72" t="str">
        <x:f>IF(OR(C43="",D43=""),"",B43&amp;"-"&amp;UPPER(C43)&amp;"-"&amp;TEXT(D43,"0000")&amp;"-"&amp;E43)</x:f>
      </x:c>
      <x:c r="B43" s="74" t="str">
        <x:v>M14</x:v>
      </x:c>
      <x:c r="C43" s="74"/>
      <x:c r="D43" s="79"/>
      <x:c r="E43" s="74" t="str">
        <x:v>V1.0</x:v>
      </x:c>
      <x:c r="F43" s="68"/>
      <x:c r="G43" s="82"/>
      <x:c r="H43" s="82"/>
      <x:c r="I43" s="68"/>
      <x:c r="J43" s="68"/>
      <x:c r="K43" s="68"/>
      <x:c r="L43" s="82"/>
      <x:c r="M43" s="68"/>
      <x:c r="N43" s="68"/>
      <x:c r="O43" s="68"/>
      <x:c r="P43" s="68"/>
      <x:c r="Q43" s="68"/>
      <x:c r="R43" s="68"/>
      <x:c r="S43" s="68"/>
      <x:c r="T43" s="90"/>
      <x:c r="U43" s="68"/>
      <x:c r="V43" s="82"/>
      <x:c r="W43" s="68"/>
      <x:c r="X43" s="84"/>
      <x:c r="Y43" s="84"/>
      <x:c r="Z43" s="82"/>
      <x:c r="AA43" s="82"/>
      <x:c r="AB43" s="68"/>
      <x:c r="AC43" s="68"/>
      <x:c r="AD43" s="90"/>
      <x:c r="AE43" s="68"/>
      <x:c r="AF43" s="82"/>
      <x:c r="AG43" s="82"/>
      <x:c r="AH43" s="87"/>
    </x:row>
    <x:row r="44">
      <x:c r="A44" s="72" t="str">
        <x:f>IF(OR(C44="",D44=""),"",B44&amp;"-"&amp;UPPER(C44)&amp;"-"&amp;TEXT(D44,"0000")&amp;"-"&amp;E44)</x:f>
      </x:c>
      <x:c r="B44" s="74" t="str">
        <x:v>M14</x:v>
      </x:c>
      <x:c r="C44" s="74"/>
      <x:c r="D44" s="79"/>
      <x:c r="E44" s="74" t="str">
        <x:v>V1.0</x:v>
      </x:c>
      <x:c r="F44" s="68"/>
      <x:c r="G44" s="82"/>
      <x:c r="H44" s="82"/>
      <x:c r="I44" s="68"/>
      <x:c r="J44" s="68"/>
      <x:c r="K44" s="68"/>
      <x:c r="L44" s="82"/>
      <x:c r="M44" s="68"/>
      <x:c r="N44" s="68"/>
      <x:c r="O44" s="68"/>
      <x:c r="P44" s="68"/>
      <x:c r="Q44" s="68"/>
      <x:c r="R44" s="68"/>
      <x:c r="S44" s="68"/>
      <x:c r="T44" s="90"/>
      <x:c r="U44" s="68"/>
      <x:c r="V44" s="82"/>
      <x:c r="W44" s="68"/>
      <x:c r="X44" s="84"/>
      <x:c r="Y44" s="84"/>
      <x:c r="Z44" s="82"/>
      <x:c r="AA44" s="82"/>
      <x:c r="AB44" s="68"/>
      <x:c r="AC44" s="68"/>
      <x:c r="AD44" s="90"/>
      <x:c r="AE44" s="68"/>
      <x:c r="AF44" s="82"/>
      <x:c r="AG44" s="82"/>
      <x:c r="AH44" s="87"/>
    </x:row>
    <x:row r="45">
      <x:c r="A45" s="72" t="str">
        <x:f>IF(OR(C45="",D45=""),"",B45&amp;"-"&amp;UPPER(C45)&amp;"-"&amp;TEXT(D45,"0000")&amp;"-"&amp;E45)</x:f>
      </x:c>
      <x:c r="B45" s="74" t="str">
        <x:v>M14</x:v>
      </x:c>
      <x:c r="C45" s="74"/>
      <x:c r="D45" s="79"/>
      <x:c r="E45" s="74" t="str">
        <x:v>V1.0</x:v>
      </x:c>
      <x:c r="F45" s="68"/>
      <x:c r="G45" s="82"/>
      <x:c r="H45" s="82"/>
      <x:c r="I45" s="68"/>
      <x:c r="J45" s="68"/>
      <x:c r="K45" s="68"/>
      <x:c r="L45" s="82"/>
      <x:c r="M45" s="68"/>
      <x:c r="N45" s="68"/>
      <x:c r="O45" s="68"/>
      <x:c r="P45" s="68"/>
      <x:c r="Q45" s="68"/>
      <x:c r="R45" s="68"/>
      <x:c r="S45" s="68"/>
      <x:c r="T45" s="90"/>
      <x:c r="U45" s="68"/>
      <x:c r="V45" s="82"/>
      <x:c r="W45" s="68"/>
      <x:c r="X45" s="84"/>
      <x:c r="Y45" s="84"/>
      <x:c r="Z45" s="82"/>
      <x:c r="AA45" s="82"/>
      <x:c r="AB45" s="68"/>
      <x:c r="AC45" s="68"/>
      <x:c r="AD45" s="90"/>
      <x:c r="AE45" s="68"/>
      <x:c r="AF45" s="82"/>
      <x:c r="AG45" s="82"/>
      <x:c r="AH45" s="87"/>
    </x:row>
    <x:row r="46">
      <x:c r="A46" s="72" t="str">
        <x:f>IF(OR(C46="",D46=""),"",B46&amp;"-"&amp;UPPER(C46)&amp;"-"&amp;TEXT(D46,"0000")&amp;"-"&amp;E46)</x:f>
      </x:c>
      <x:c r="B46" s="74" t="str">
        <x:v>M14</x:v>
      </x:c>
      <x:c r="C46" s="74"/>
      <x:c r="D46" s="79"/>
      <x:c r="E46" s="74" t="str">
        <x:v>V1.0</x:v>
      </x:c>
      <x:c r="F46" s="68"/>
      <x:c r="G46" s="82"/>
      <x:c r="H46" s="82"/>
      <x:c r="I46" s="68"/>
      <x:c r="J46" s="68"/>
      <x:c r="K46" s="68"/>
      <x:c r="L46" s="82"/>
      <x:c r="M46" s="68"/>
      <x:c r="N46" s="68"/>
      <x:c r="O46" s="68"/>
      <x:c r="P46" s="68"/>
      <x:c r="Q46" s="68"/>
      <x:c r="R46" s="68"/>
      <x:c r="S46" s="68"/>
      <x:c r="T46" s="90"/>
      <x:c r="U46" s="68"/>
      <x:c r="V46" s="82"/>
      <x:c r="W46" s="68"/>
      <x:c r="X46" s="84"/>
      <x:c r="Y46" s="84"/>
      <x:c r="Z46" s="82"/>
      <x:c r="AA46" s="82"/>
      <x:c r="AB46" s="68"/>
      <x:c r="AC46" s="68"/>
      <x:c r="AD46" s="90"/>
      <x:c r="AE46" s="68"/>
      <x:c r="AF46" s="82"/>
      <x:c r="AG46" s="82"/>
      <x:c r="AH46" s="87"/>
    </x:row>
    <x:row r="47">
      <x:c r="A47" s="72" t="str">
        <x:f>IF(OR(C47="",D47=""),"",B47&amp;"-"&amp;UPPER(C47)&amp;"-"&amp;TEXT(D47,"0000")&amp;"-"&amp;E47)</x:f>
      </x:c>
      <x:c r="B47" s="74" t="str">
        <x:v>M14</x:v>
      </x:c>
      <x:c r="C47" s="74"/>
      <x:c r="D47" s="79"/>
      <x:c r="E47" s="74" t="str">
        <x:v>V1.0</x:v>
      </x:c>
      <x:c r="F47" s="68"/>
      <x:c r="G47" s="82"/>
      <x:c r="H47" s="82"/>
      <x:c r="I47" s="68"/>
      <x:c r="J47" s="68"/>
      <x:c r="K47" s="68"/>
      <x:c r="L47" s="82"/>
      <x:c r="M47" s="68"/>
      <x:c r="N47" s="68"/>
      <x:c r="O47" s="68"/>
      <x:c r="P47" s="68"/>
      <x:c r="Q47" s="68"/>
      <x:c r="R47" s="68"/>
      <x:c r="S47" s="68"/>
      <x:c r="T47" s="90"/>
      <x:c r="U47" s="68"/>
      <x:c r="V47" s="82"/>
      <x:c r="W47" s="68"/>
      <x:c r="X47" s="84"/>
      <x:c r="Y47" s="84"/>
      <x:c r="Z47" s="82"/>
      <x:c r="AA47" s="82"/>
      <x:c r="AB47" s="68"/>
      <x:c r="AC47" s="68"/>
      <x:c r="AD47" s="90"/>
      <x:c r="AE47" s="68"/>
      <x:c r="AF47" s="82"/>
      <x:c r="AG47" s="82"/>
      <x:c r="AH47" s="87"/>
    </x:row>
    <x:row r="48">
      <x:c r="A48" s="72" t="str">
        <x:f>IF(OR(C48="",D48=""),"",B48&amp;"-"&amp;UPPER(C48)&amp;"-"&amp;TEXT(D48,"0000")&amp;"-"&amp;E48)</x:f>
      </x:c>
      <x:c r="B48" s="74" t="str">
        <x:v>M14</x:v>
      </x:c>
      <x:c r="C48" s="74"/>
      <x:c r="D48" s="79"/>
      <x:c r="E48" s="74" t="str">
        <x:v>V1.0</x:v>
      </x:c>
      <x:c r="F48" s="68"/>
      <x:c r="G48" s="82"/>
      <x:c r="H48" s="82"/>
      <x:c r="I48" s="68"/>
      <x:c r="J48" s="68"/>
      <x:c r="K48" s="68"/>
      <x:c r="L48" s="82"/>
      <x:c r="M48" s="68"/>
      <x:c r="N48" s="68"/>
      <x:c r="O48" s="68"/>
      <x:c r="P48" s="68"/>
      <x:c r="Q48" s="68"/>
      <x:c r="R48" s="68"/>
      <x:c r="S48" s="68"/>
      <x:c r="T48" s="90"/>
      <x:c r="U48" s="68"/>
      <x:c r="V48" s="82"/>
      <x:c r="W48" s="68"/>
      <x:c r="X48" s="84"/>
      <x:c r="Y48" s="84"/>
      <x:c r="Z48" s="82"/>
      <x:c r="AA48" s="82"/>
      <x:c r="AB48" s="68"/>
      <x:c r="AC48" s="68"/>
      <x:c r="AD48" s="90"/>
      <x:c r="AE48" s="68"/>
      <x:c r="AF48" s="82"/>
      <x:c r="AG48" s="82"/>
      <x:c r="AH48" s="87"/>
    </x:row>
    <x:row r="49">
      <x:c r="A49" s="72" t="str">
        <x:f>IF(OR(C49="",D49=""),"",B49&amp;"-"&amp;UPPER(C49)&amp;"-"&amp;TEXT(D49,"0000")&amp;"-"&amp;E49)</x:f>
      </x:c>
      <x:c r="B49" s="74" t="str">
        <x:v>M14</x:v>
      </x:c>
      <x:c r="C49" s="74"/>
      <x:c r="D49" s="79"/>
      <x:c r="E49" s="74" t="str">
        <x:v>V1.0</x:v>
      </x:c>
      <x:c r="F49" s="68"/>
      <x:c r="G49" s="82"/>
      <x:c r="H49" s="82"/>
      <x:c r="I49" s="68"/>
      <x:c r="J49" s="68"/>
      <x:c r="K49" s="68"/>
      <x:c r="L49" s="82"/>
      <x:c r="M49" s="68"/>
      <x:c r="N49" s="68"/>
      <x:c r="O49" s="68"/>
      <x:c r="P49" s="68"/>
      <x:c r="Q49" s="68"/>
      <x:c r="R49" s="68"/>
      <x:c r="S49" s="68"/>
      <x:c r="T49" s="90"/>
      <x:c r="U49" s="68"/>
      <x:c r="V49" s="82"/>
      <x:c r="W49" s="68"/>
      <x:c r="X49" s="84"/>
      <x:c r="Y49" s="84"/>
      <x:c r="Z49" s="82"/>
      <x:c r="AA49" s="82"/>
      <x:c r="AB49" s="68"/>
      <x:c r="AC49" s="68"/>
      <x:c r="AD49" s="90"/>
      <x:c r="AE49" s="68"/>
      <x:c r="AF49" s="82"/>
      <x:c r="AG49" s="82"/>
      <x:c r="AH49" s="87"/>
    </x:row>
    <x:row r="50">
      <x:c r="A50" s="72" t="str">
        <x:f>IF(OR(C50="",D50=""),"",B50&amp;"-"&amp;UPPER(C50)&amp;"-"&amp;TEXT(D50,"0000")&amp;"-"&amp;E50)</x:f>
      </x:c>
      <x:c r="B50" s="74" t="str">
        <x:v>M14</x:v>
      </x:c>
      <x:c r="C50" s="74"/>
      <x:c r="D50" s="79"/>
      <x:c r="E50" s="74" t="str">
        <x:v>V1.0</x:v>
      </x:c>
      <x:c r="F50" s="68"/>
      <x:c r="G50" s="82"/>
      <x:c r="H50" s="82"/>
      <x:c r="I50" s="68"/>
      <x:c r="J50" s="68"/>
      <x:c r="K50" s="68"/>
      <x:c r="L50" s="82"/>
      <x:c r="M50" s="68"/>
      <x:c r="N50" s="68"/>
      <x:c r="O50" s="68"/>
      <x:c r="P50" s="68"/>
      <x:c r="Q50" s="68"/>
      <x:c r="R50" s="68"/>
      <x:c r="S50" s="68"/>
      <x:c r="T50" s="90"/>
      <x:c r="U50" s="68"/>
      <x:c r="V50" s="82"/>
      <x:c r="W50" s="68"/>
      <x:c r="X50" s="84"/>
      <x:c r="Y50" s="84"/>
      <x:c r="Z50" s="82"/>
      <x:c r="AA50" s="82"/>
      <x:c r="AB50" s="68"/>
      <x:c r="AC50" s="68"/>
      <x:c r="AD50" s="90"/>
      <x:c r="AE50" s="68"/>
      <x:c r="AF50" s="82"/>
      <x:c r="AG50" s="82"/>
      <x:c r="AH50" s="87"/>
    </x:row>
    <x:row r="51">
      <x:c r="A51" s="72" t="str">
        <x:f>IF(OR(C51="",D51=""),"",B51&amp;"-"&amp;UPPER(C51)&amp;"-"&amp;TEXT(D51,"0000")&amp;"-"&amp;E51)</x:f>
      </x:c>
      <x:c r="B51" s="74" t="str">
        <x:v>M14</x:v>
      </x:c>
      <x:c r="C51" s="74"/>
      <x:c r="D51" s="79"/>
      <x:c r="E51" s="74" t="str">
        <x:v>V1.0</x:v>
      </x:c>
      <x:c r="F51" s="68"/>
      <x:c r="G51" s="82"/>
      <x:c r="H51" s="82"/>
      <x:c r="I51" s="68"/>
      <x:c r="J51" s="68"/>
      <x:c r="K51" s="68"/>
      <x:c r="L51" s="82"/>
      <x:c r="M51" s="68"/>
      <x:c r="N51" s="68"/>
      <x:c r="O51" s="68"/>
      <x:c r="P51" s="68"/>
      <x:c r="Q51" s="68"/>
      <x:c r="R51" s="68"/>
      <x:c r="S51" s="68"/>
      <x:c r="T51" s="90"/>
      <x:c r="U51" s="68"/>
      <x:c r="V51" s="82"/>
      <x:c r="W51" s="68"/>
      <x:c r="X51" s="84"/>
      <x:c r="Y51" s="84"/>
      <x:c r="Z51" s="82"/>
      <x:c r="AA51" s="82"/>
      <x:c r="AB51" s="68"/>
      <x:c r="AC51" s="68"/>
      <x:c r="AD51" s="90"/>
      <x:c r="AE51" s="68"/>
      <x:c r="AF51" s="82"/>
      <x:c r="AG51" s="82"/>
      <x:c r="AH51" s="87"/>
    </x:row>
    <x:row r="52">
      <x:c r="A52" s="72" t="str">
        <x:f>IF(OR(C52="",D52=""),"",B52&amp;"-"&amp;UPPER(C52)&amp;"-"&amp;TEXT(D52,"0000")&amp;"-"&amp;E52)</x:f>
      </x:c>
      <x:c r="B52" s="74" t="str">
        <x:v>M14</x:v>
      </x:c>
      <x:c r="C52" s="74"/>
      <x:c r="D52" s="79"/>
      <x:c r="E52" s="74" t="str">
        <x:v>V1.0</x:v>
      </x:c>
      <x:c r="F52" s="68"/>
      <x:c r="G52" s="82"/>
      <x:c r="H52" s="82"/>
      <x:c r="I52" s="68"/>
      <x:c r="J52" s="68"/>
      <x:c r="K52" s="68"/>
      <x:c r="L52" s="82"/>
      <x:c r="M52" s="68"/>
      <x:c r="N52" s="68"/>
      <x:c r="O52" s="68"/>
      <x:c r="P52" s="68"/>
      <x:c r="Q52" s="68"/>
      <x:c r="R52" s="68"/>
      <x:c r="S52" s="68"/>
      <x:c r="T52" s="90"/>
      <x:c r="U52" s="68"/>
      <x:c r="V52" s="82"/>
      <x:c r="W52" s="68"/>
      <x:c r="X52" s="84"/>
      <x:c r="Y52" s="84"/>
      <x:c r="Z52" s="82"/>
      <x:c r="AA52" s="82"/>
      <x:c r="AB52" s="68"/>
      <x:c r="AC52" s="68"/>
      <x:c r="AD52" s="90"/>
      <x:c r="AE52" s="68"/>
      <x:c r="AF52" s="82"/>
      <x:c r="AG52" s="82"/>
      <x:c r="AH52" s="87"/>
    </x:row>
    <x:row r="53">
      <x:c r="A53" s="72" t="str">
        <x:f>IF(OR(C53="",D53=""),"",B53&amp;"-"&amp;UPPER(C53)&amp;"-"&amp;TEXT(D53,"0000")&amp;"-"&amp;E53)</x:f>
      </x:c>
      <x:c r="B53" s="74" t="str">
        <x:v>M14</x:v>
      </x:c>
      <x:c r="C53" s="74"/>
      <x:c r="D53" s="79"/>
      <x:c r="E53" s="74" t="str">
        <x:v>V1.0</x:v>
      </x:c>
      <x:c r="F53" s="68"/>
      <x:c r="G53" s="82"/>
      <x:c r="H53" s="82"/>
      <x:c r="I53" s="68"/>
      <x:c r="J53" s="68"/>
      <x:c r="K53" s="68"/>
      <x:c r="L53" s="82"/>
      <x:c r="M53" s="68"/>
      <x:c r="N53" s="68"/>
      <x:c r="O53" s="68"/>
      <x:c r="P53" s="68"/>
      <x:c r="Q53" s="68"/>
      <x:c r="R53" s="68"/>
      <x:c r="S53" s="68"/>
      <x:c r="T53" s="90"/>
      <x:c r="U53" s="68"/>
      <x:c r="V53" s="82"/>
      <x:c r="W53" s="68"/>
      <x:c r="X53" s="84"/>
      <x:c r="Y53" s="84"/>
      <x:c r="Z53" s="82"/>
      <x:c r="AA53" s="82"/>
      <x:c r="AB53" s="68"/>
      <x:c r="AC53" s="68"/>
      <x:c r="AD53" s="90"/>
      <x:c r="AE53" s="68"/>
      <x:c r="AF53" s="82"/>
      <x:c r="AG53" s="82"/>
      <x:c r="AH53" s="87"/>
    </x:row>
    <x:row r="54">
      <x:c r="A54" s="72" t="str">
        <x:f>IF(OR(C54="",D54=""),"",B54&amp;"-"&amp;UPPER(C54)&amp;"-"&amp;TEXT(D54,"0000")&amp;"-"&amp;E54)</x:f>
      </x:c>
      <x:c r="B54" s="74" t="str">
        <x:v>M14</x:v>
      </x:c>
      <x:c r="C54" s="74"/>
      <x:c r="D54" s="79"/>
      <x:c r="E54" s="74" t="str">
        <x:v>V1.0</x:v>
      </x:c>
      <x:c r="F54" s="68"/>
      <x:c r="G54" s="82"/>
      <x:c r="H54" s="82"/>
      <x:c r="I54" s="68"/>
      <x:c r="J54" s="68"/>
      <x:c r="K54" s="68"/>
      <x:c r="L54" s="82"/>
      <x:c r="M54" s="68"/>
      <x:c r="N54" s="68"/>
      <x:c r="O54" s="68"/>
      <x:c r="P54" s="68"/>
      <x:c r="Q54" s="68"/>
      <x:c r="R54" s="68"/>
      <x:c r="S54" s="68"/>
      <x:c r="T54" s="90"/>
      <x:c r="U54" s="68"/>
      <x:c r="V54" s="82"/>
      <x:c r="W54" s="68"/>
      <x:c r="X54" s="84"/>
      <x:c r="Y54" s="84"/>
      <x:c r="Z54" s="82"/>
      <x:c r="AA54" s="82"/>
      <x:c r="AB54" s="68"/>
      <x:c r="AC54" s="68"/>
      <x:c r="AD54" s="90"/>
      <x:c r="AE54" s="68"/>
      <x:c r="AF54" s="82"/>
      <x:c r="AG54" s="82"/>
      <x:c r="AH54" s="87"/>
    </x:row>
    <x:row r="55">
      <x:c r="A55" s="72" t="str">
        <x:f>IF(OR(C55="",D55=""),"",B55&amp;"-"&amp;UPPER(C55)&amp;"-"&amp;TEXT(D55,"0000")&amp;"-"&amp;E55)</x:f>
      </x:c>
      <x:c r="B55" s="74" t="str">
        <x:v>M14</x:v>
      </x:c>
      <x:c r="C55" s="74"/>
      <x:c r="D55" s="79"/>
      <x:c r="E55" s="74" t="str">
        <x:v>V1.0</x:v>
      </x:c>
      <x:c r="F55" s="68"/>
      <x:c r="G55" s="82"/>
      <x:c r="H55" s="82"/>
      <x:c r="I55" s="68"/>
      <x:c r="J55" s="68"/>
      <x:c r="K55" s="68"/>
      <x:c r="L55" s="82"/>
      <x:c r="M55" s="68"/>
      <x:c r="N55" s="68"/>
      <x:c r="O55" s="68"/>
      <x:c r="P55" s="68"/>
      <x:c r="Q55" s="68"/>
      <x:c r="R55" s="68"/>
      <x:c r="S55" s="68"/>
      <x:c r="T55" s="90"/>
      <x:c r="U55" s="68"/>
      <x:c r="V55" s="82"/>
      <x:c r="W55" s="68"/>
      <x:c r="X55" s="84"/>
      <x:c r="Y55" s="84"/>
      <x:c r="Z55" s="82"/>
      <x:c r="AA55" s="82"/>
      <x:c r="AB55" s="68"/>
      <x:c r="AC55" s="68"/>
      <x:c r="AD55" s="90"/>
      <x:c r="AE55" s="68"/>
      <x:c r="AF55" s="82"/>
      <x:c r="AG55" s="82"/>
      <x:c r="AH55" s="87"/>
    </x:row>
    <x:row r="56">
      <x:c r="A56" s="72" t="str">
        <x:f>IF(OR(C56="",D56=""),"",B56&amp;"-"&amp;UPPER(C56)&amp;"-"&amp;TEXT(D56,"0000")&amp;"-"&amp;E56)</x:f>
      </x:c>
      <x:c r="B56" s="74" t="str">
        <x:v>M14</x:v>
      </x:c>
      <x:c r="C56" s="74"/>
      <x:c r="D56" s="79"/>
      <x:c r="E56" s="74" t="str">
        <x:v>V1.0</x:v>
      </x:c>
      <x:c r="F56" s="68"/>
      <x:c r="G56" s="82"/>
      <x:c r="H56" s="82"/>
      <x:c r="I56" s="68"/>
      <x:c r="J56" s="68"/>
      <x:c r="K56" s="68"/>
      <x:c r="L56" s="82"/>
      <x:c r="M56" s="68"/>
      <x:c r="N56" s="68"/>
      <x:c r="O56" s="68"/>
      <x:c r="P56" s="68"/>
      <x:c r="Q56" s="68"/>
      <x:c r="R56" s="68"/>
      <x:c r="S56" s="68"/>
      <x:c r="T56" s="90"/>
      <x:c r="U56" s="68"/>
      <x:c r="V56" s="82"/>
      <x:c r="W56" s="68"/>
      <x:c r="X56" s="84"/>
      <x:c r="Y56" s="84"/>
      <x:c r="Z56" s="82"/>
      <x:c r="AA56" s="82"/>
      <x:c r="AB56" s="68"/>
      <x:c r="AC56" s="68"/>
      <x:c r="AD56" s="90"/>
      <x:c r="AE56" s="68"/>
      <x:c r="AF56" s="82"/>
      <x:c r="AG56" s="82"/>
      <x:c r="AH56" s="87"/>
    </x:row>
    <x:row r="57">
      <x:c r="A57" s="72" t="str">
        <x:f>IF(OR(C57="",D57=""),"",B57&amp;"-"&amp;UPPER(C57)&amp;"-"&amp;TEXT(D57,"0000")&amp;"-"&amp;E57)</x:f>
      </x:c>
      <x:c r="B57" s="74" t="str">
        <x:v>M14</x:v>
      </x:c>
      <x:c r="C57" s="74"/>
      <x:c r="D57" s="79"/>
      <x:c r="E57" s="74" t="str">
        <x:v>V1.0</x:v>
      </x:c>
      <x:c r="F57" s="68"/>
      <x:c r="G57" s="82"/>
      <x:c r="H57" s="82"/>
      <x:c r="I57" s="68"/>
      <x:c r="J57" s="68"/>
      <x:c r="K57" s="68"/>
      <x:c r="L57" s="82"/>
      <x:c r="M57" s="68"/>
      <x:c r="N57" s="68"/>
      <x:c r="O57" s="68"/>
      <x:c r="P57" s="68"/>
      <x:c r="Q57" s="68"/>
      <x:c r="R57" s="68"/>
      <x:c r="S57" s="68"/>
      <x:c r="T57" s="90"/>
      <x:c r="U57" s="68"/>
      <x:c r="V57" s="82"/>
      <x:c r="W57" s="68"/>
      <x:c r="X57" s="84"/>
      <x:c r="Y57" s="84"/>
      <x:c r="Z57" s="82"/>
      <x:c r="AA57" s="82"/>
      <x:c r="AB57" s="68"/>
      <x:c r="AC57" s="68"/>
      <x:c r="AD57" s="90"/>
      <x:c r="AE57" s="68"/>
      <x:c r="AF57" s="82"/>
      <x:c r="AG57" s="82"/>
      <x:c r="AH57" s="87"/>
    </x:row>
    <x:row r="58">
      <x:c r="A58" s="72" t="str">
        <x:f>IF(OR(C58="",D58=""),"",B58&amp;"-"&amp;UPPER(C58)&amp;"-"&amp;TEXT(D58,"0000")&amp;"-"&amp;E58)</x:f>
      </x:c>
      <x:c r="B58" s="74" t="str">
        <x:v>M14</x:v>
      </x:c>
      <x:c r="C58" s="74"/>
      <x:c r="D58" s="79"/>
      <x:c r="E58" s="74" t="str">
        <x:v>V1.0</x:v>
      </x:c>
      <x:c r="F58" s="68"/>
      <x:c r="G58" s="82"/>
      <x:c r="H58" s="82"/>
      <x:c r="I58" s="68"/>
      <x:c r="J58" s="68"/>
      <x:c r="K58" s="68"/>
      <x:c r="L58" s="82"/>
      <x:c r="M58" s="68"/>
      <x:c r="N58" s="68"/>
      <x:c r="O58" s="68"/>
      <x:c r="P58" s="68"/>
      <x:c r="Q58" s="68"/>
      <x:c r="R58" s="68"/>
      <x:c r="S58" s="68"/>
      <x:c r="T58" s="90"/>
      <x:c r="U58" s="68"/>
      <x:c r="V58" s="82"/>
      <x:c r="W58" s="68"/>
      <x:c r="X58" s="84"/>
      <x:c r="Y58" s="84"/>
      <x:c r="Z58" s="82"/>
      <x:c r="AA58" s="82"/>
      <x:c r="AB58" s="68"/>
      <x:c r="AC58" s="68"/>
      <x:c r="AD58" s="90"/>
      <x:c r="AE58" s="68"/>
      <x:c r="AF58" s="82"/>
      <x:c r="AG58" s="82"/>
      <x:c r="AH58" s="87"/>
    </x:row>
    <x:row r="59">
      <x:c r="A59" s="72" t="str">
        <x:f>IF(OR(C59="",D59=""),"",B59&amp;"-"&amp;UPPER(C59)&amp;"-"&amp;TEXT(D59,"0000")&amp;"-"&amp;E59)</x:f>
      </x:c>
      <x:c r="B59" s="74" t="str">
        <x:v>M14</x:v>
      </x:c>
      <x:c r="C59" s="74"/>
      <x:c r="D59" s="79"/>
      <x:c r="E59" s="74" t="str">
        <x:v>V1.0</x:v>
      </x:c>
      <x:c r="F59" s="68"/>
      <x:c r="G59" s="82"/>
      <x:c r="H59" s="82"/>
      <x:c r="I59" s="68"/>
      <x:c r="J59" s="68"/>
      <x:c r="K59" s="68"/>
      <x:c r="L59" s="82"/>
      <x:c r="M59" s="68"/>
      <x:c r="N59" s="68"/>
      <x:c r="O59" s="68"/>
      <x:c r="P59" s="68"/>
      <x:c r="Q59" s="68"/>
      <x:c r="R59" s="68"/>
      <x:c r="S59" s="68"/>
      <x:c r="T59" s="90"/>
      <x:c r="U59" s="68"/>
      <x:c r="V59" s="82"/>
      <x:c r="W59" s="68"/>
      <x:c r="X59" s="84"/>
      <x:c r="Y59" s="84"/>
      <x:c r="Z59" s="82"/>
      <x:c r="AA59" s="82"/>
      <x:c r="AB59" s="68"/>
      <x:c r="AC59" s="68"/>
      <x:c r="AD59" s="90"/>
      <x:c r="AE59" s="68"/>
      <x:c r="AF59" s="82"/>
      <x:c r="AG59" s="82"/>
      <x:c r="AH59" s="87"/>
    </x:row>
    <x:row r="60">
      <x:c r="A60" s="72" t="str">
        <x:f>IF(OR(C60="",D60=""),"",B60&amp;"-"&amp;UPPER(C60)&amp;"-"&amp;TEXT(D60,"0000")&amp;"-"&amp;E60)</x:f>
      </x:c>
      <x:c r="B60" s="74" t="str">
        <x:v>M14</x:v>
      </x:c>
      <x:c r="C60" s="74"/>
      <x:c r="D60" s="79"/>
      <x:c r="E60" s="74" t="str">
        <x:v>V1.0</x:v>
      </x:c>
      <x:c r="F60" s="68"/>
      <x:c r="G60" s="82"/>
      <x:c r="H60" s="82"/>
      <x:c r="I60" s="68"/>
      <x:c r="J60" s="68"/>
      <x:c r="K60" s="68"/>
      <x:c r="L60" s="82"/>
      <x:c r="M60" s="68"/>
      <x:c r="N60" s="68"/>
      <x:c r="O60" s="68"/>
      <x:c r="P60" s="68"/>
      <x:c r="Q60" s="68"/>
      <x:c r="R60" s="68"/>
      <x:c r="S60" s="68"/>
      <x:c r="T60" s="90"/>
      <x:c r="U60" s="68"/>
      <x:c r="V60" s="82"/>
      <x:c r="W60" s="68"/>
      <x:c r="X60" s="84"/>
      <x:c r="Y60" s="84"/>
      <x:c r="Z60" s="82"/>
      <x:c r="AA60" s="82"/>
      <x:c r="AB60" s="68"/>
      <x:c r="AC60" s="68"/>
      <x:c r="AD60" s="90"/>
      <x:c r="AE60" s="68"/>
      <x:c r="AF60" s="82"/>
      <x:c r="AG60" s="82"/>
      <x:c r="AH60" s="87"/>
    </x:row>
    <x:row r="61">
      <x:c r="A61" s="72" t="str">
        <x:f>IF(OR(C61="",D61=""),"",B61&amp;"-"&amp;UPPER(C61)&amp;"-"&amp;TEXT(D61,"0000")&amp;"-"&amp;E61)</x:f>
      </x:c>
      <x:c r="B61" s="74" t="str">
        <x:v>M14</x:v>
      </x:c>
      <x:c r="C61" s="74"/>
      <x:c r="D61" s="79"/>
      <x:c r="E61" s="74" t="str">
        <x:v>V1.0</x:v>
      </x:c>
      <x:c r="F61" s="68"/>
      <x:c r="G61" s="82"/>
      <x:c r="H61" s="82"/>
      <x:c r="I61" s="68"/>
      <x:c r="J61" s="68"/>
      <x:c r="K61" s="68"/>
      <x:c r="L61" s="82"/>
      <x:c r="M61" s="68"/>
      <x:c r="N61" s="68"/>
      <x:c r="O61" s="68"/>
      <x:c r="P61" s="68"/>
      <x:c r="Q61" s="68"/>
      <x:c r="R61" s="68"/>
      <x:c r="S61" s="68"/>
      <x:c r="T61" s="90"/>
      <x:c r="U61" s="68"/>
      <x:c r="V61" s="82"/>
      <x:c r="W61" s="68"/>
      <x:c r="X61" s="84"/>
      <x:c r="Y61" s="84"/>
      <x:c r="Z61" s="82"/>
      <x:c r="AA61" s="82"/>
      <x:c r="AB61" s="68"/>
      <x:c r="AC61" s="68"/>
      <x:c r="AD61" s="90"/>
      <x:c r="AE61" s="68"/>
      <x:c r="AF61" s="82"/>
      <x:c r="AG61" s="82"/>
      <x:c r="AH61" s="87"/>
    </x:row>
    <x:row r="62">
      <x:c r="A62" s="72" t="str">
        <x:f>IF(OR(C62="",D62=""),"",B62&amp;"-"&amp;UPPER(C62)&amp;"-"&amp;TEXT(D62,"0000")&amp;"-"&amp;E62)</x:f>
      </x:c>
      <x:c r="B62" s="74" t="str">
        <x:v>M14</x:v>
      </x:c>
      <x:c r="C62" s="74"/>
      <x:c r="D62" s="79"/>
      <x:c r="E62" s="74" t="str">
        <x:v>V1.0</x:v>
      </x:c>
      <x:c r="F62" s="68"/>
      <x:c r="G62" s="82"/>
      <x:c r="H62" s="82"/>
      <x:c r="I62" s="68"/>
      <x:c r="J62" s="68"/>
      <x:c r="K62" s="68"/>
      <x:c r="L62" s="82"/>
      <x:c r="M62" s="68"/>
      <x:c r="N62" s="68"/>
      <x:c r="O62" s="68"/>
      <x:c r="P62" s="68"/>
      <x:c r="Q62" s="68"/>
      <x:c r="R62" s="68"/>
      <x:c r="S62" s="68"/>
      <x:c r="T62" s="90"/>
      <x:c r="U62" s="68"/>
      <x:c r="V62" s="82"/>
      <x:c r="W62" s="68"/>
      <x:c r="X62" s="84"/>
      <x:c r="Y62" s="84"/>
      <x:c r="Z62" s="82"/>
      <x:c r="AA62" s="82"/>
      <x:c r="AB62" s="68"/>
      <x:c r="AC62" s="68"/>
      <x:c r="AD62" s="90"/>
      <x:c r="AE62" s="68"/>
      <x:c r="AF62" s="82"/>
      <x:c r="AG62" s="82"/>
      <x:c r="AH62" s="87"/>
    </x:row>
    <x:row r="63">
      <x:c r="A63" s="72" t="str">
        <x:f>IF(OR(C63="",D63=""),"",B63&amp;"-"&amp;UPPER(C63)&amp;"-"&amp;TEXT(D63,"0000")&amp;"-"&amp;E63)</x:f>
      </x:c>
      <x:c r="B63" s="74" t="str">
        <x:v>M14</x:v>
      </x:c>
      <x:c r="C63" s="74"/>
      <x:c r="D63" s="79"/>
      <x:c r="E63" s="74" t="str">
        <x:v>V1.0</x:v>
      </x:c>
      <x:c r="F63" s="68"/>
      <x:c r="G63" s="82"/>
      <x:c r="H63" s="82"/>
      <x:c r="I63" s="68"/>
      <x:c r="J63" s="68"/>
      <x:c r="K63" s="68"/>
      <x:c r="L63" s="82"/>
      <x:c r="M63" s="68"/>
      <x:c r="N63" s="68"/>
      <x:c r="O63" s="68"/>
      <x:c r="P63" s="68"/>
      <x:c r="Q63" s="68"/>
      <x:c r="R63" s="68"/>
      <x:c r="S63" s="68"/>
      <x:c r="T63" s="90"/>
      <x:c r="U63" s="68"/>
      <x:c r="V63" s="82"/>
      <x:c r="W63" s="68"/>
      <x:c r="X63" s="84"/>
      <x:c r="Y63" s="84"/>
      <x:c r="Z63" s="82"/>
      <x:c r="AA63" s="82"/>
      <x:c r="AB63" s="68"/>
      <x:c r="AC63" s="68"/>
      <x:c r="AD63" s="90"/>
      <x:c r="AE63" s="68"/>
      <x:c r="AF63" s="82"/>
      <x:c r="AG63" s="82"/>
      <x:c r="AH63" s="87"/>
    </x:row>
    <x:row r="64">
      <x:c r="A64" s="72" t="str">
        <x:f>IF(OR(C64="",D64=""),"",B64&amp;"-"&amp;UPPER(C64)&amp;"-"&amp;TEXT(D64,"0000")&amp;"-"&amp;E64)</x:f>
      </x:c>
      <x:c r="B64" s="74" t="str">
        <x:v>M14</x:v>
      </x:c>
      <x:c r="C64" s="74"/>
      <x:c r="D64" s="79"/>
      <x:c r="E64" s="74" t="str">
        <x:v>V1.0</x:v>
      </x:c>
      <x:c r="F64" s="68"/>
      <x:c r="G64" s="82"/>
      <x:c r="H64" s="82"/>
      <x:c r="I64" s="68"/>
      <x:c r="J64" s="68"/>
      <x:c r="K64" s="68"/>
      <x:c r="L64" s="82"/>
      <x:c r="M64" s="68"/>
      <x:c r="N64" s="68"/>
      <x:c r="O64" s="68"/>
      <x:c r="P64" s="68"/>
      <x:c r="Q64" s="68"/>
      <x:c r="R64" s="68"/>
      <x:c r="S64" s="68"/>
      <x:c r="T64" s="90"/>
      <x:c r="U64" s="68"/>
      <x:c r="V64" s="82"/>
      <x:c r="W64" s="68"/>
      <x:c r="X64" s="84"/>
      <x:c r="Y64" s="84"/>
      <x:c r="Z64" s="82"/>
      <x:c r="AA64" s="82"/>
      <x:c r="AB64" s="68"/>
      <x:c r="AC64" s="68"/>
      <x:c r="AD64" s="90"/>
      <x:c r="AE64" s="68"/>
      <x:c r="AF64" s="82"/>
      <x:c r="AG64" s="82"/>
      <x:c r="AH64" s="87"/>
    </x:row>
    <x:row r="65">
      <x:c r="A65" s="72" t="str">
        <x:f>IF(OR(C65="",D65=""),"",B65&amp;"-"&amp;UPPER(C65)&amp;"-"&amp;TEXT(D65,"0000")&amp;"-"&amp;E65)</x:f>
      </x:c>
      <x:c r="B65" s="74" t="str">
        <x:v>M14</x:v>
      </x:c>
      <x:c r="C65" s="74"/>
      <x:c r="D65" s="79"/>
      <x:c r="E65" s="74" t="str">
        <x:v>V1.0</x:v>
      </x:c>
      <x:c r="F65" s="68"/>
      <x:c r="G65" s="82"/>
      <x:c r="H65" s="82"/>
      <x:c r="I65" s="68"/>
      <x:c r="J65" s="68"/>
      <x:c r="K65" s="68"/>
      <x:c r="L65" s="82"/>
      <x:c r="M65" s="68"/>
      <x:c r="N65" s="68"/>
      <x:c r="O65" s="68"/>
      <x:c r="P65" s="68"/>
      <x:c r="Q65" s="68"/>
      <x:c r="R65" s="68"/>
      <x:c r="S65" s="68"/>
      <x:c r="T65" s="90"/>
      <x:c r="U65" s="68"/>
      <x:c r="V65" s="82"/>
      <x:c r="W65" s="68"/>
      <x:c r="X65" s="84"/>
      <x:c r="Y65" s="84"/>
      <x:c r="Z65" s="82"/>
      <x:c r="AA65" s="82"/>
      <x:c r="AB65" s="68"/>
      <x:c r="AC65" s="68"/>
      <x:c r="AD65" s="90"/>
      <x:c r="AE65" s="68"/>
      <x:c r="AF65" s="82"/>
      <x:c r="AG65" s="82"/>
      <x:c r="AH65" s="87"/>
    </x:row>
    <x:row r="66">
      <x:c r="A66" s="72" t="str">
        <x:f>IF(OR(C66="",D66=""),"",B66&amp;"-"&amp;UPPER(C66)&amp;"-"&amp;TEXT(D66,"0000")&amp;"-"&amp;E66)</x:f>
      </x:c>
      <x:c r="B66" s="74" t="str">
        <x:v>M14</x:v>
      </x:c>
      <x:c r="C66" s="74"/>
      <x:c r="D66" s="79"/>
      <x:c r="E66" s="74" t="str">
        <x:v>V1.0</x:v>
      </x:c>
      <x:c r="F66" s="68"/>
      <x:c r="G66" s="82"/>
      <x:c r="H66" s="82"/>
      <x:c r="I66" s="68"/>
      <x:c r="J66" s="68"/>
      <x:c r="K66" s="68"/>
      <x:c r="L66" s="82"/>
      <x:c r="M66" s="68"/>
      <x:c r="N66" s="68"/>
      <x:c r="O66" s="68"/>
      <x:c r="P66" s="68"/>
      <x:c r="Q66" s="68"/>
      <x:c r="R66" s="68"/>
      <x:c r="S66" s="68"/>
      <x:c r="T66" s="90"/>
      <x:c r="U66" s="68"/>
      <x:c r="V66" s="82"/>
      <x:c r="W66" s="68"/>
      <x:c r="X66" s="84"/>
      <x:c r="Y66" s="84"/>
      <x:c r="Z66" s="82"/>
      <x:c r="AA66" s="82"/>
      <x:c r="AB66" s="68"/>
      <x:c r="AC66" s="68"/>
      <x:c r="AD66" s="90"/>
      <x:c r="AE66" s="68"/>
      <x:c r="AF66" s="82"/>
      <x:c r="AG66" s="82"/>
      <x:c r="AH66" s="87"/>
    </x:row>
    <x:row r="67">
      <x:c r="A67" s="72" t="str">
        <x:f>IF(OR(C67="",D67=""),"",B67&amp;"-"&amp;UPPER(C67)&amp;"-"&amp;TEXT(D67,"0000")&amp;"-"&amp;E67)</x:f>
      </x:c>
      <x:c r="B67" s="74" t="str">
        <x:v>M14</x:v>
      </x:c>
      <x:c r="C67" s="74"/>
      <x:c r="D67" s="79"/>
      <x:c r="E67" s="74" t="str">
        <x:v>V1.0</x:v>
      </x:c>
      <x:c r="F67" s="68"/>
      <x:c r="G67" s="82"/>
      <x:c r="H67" s="82"/>
      <x:c r="I67" s="68"/>
      <x:c r="J67" s="68"/>
      <x:c r="K67" s="68"/>
      <x:c r="L67" s="82"/>
      <x:c r="M67" s="68"/>
      <x:c r="N67" s="68"/>
      <x:c r="O67" s="68"/>
      <x:c r="P67" s="68"/>
      <x:c r="Q67" s="68"/>
      <x:c r="R67" s="68"/>
      <x:c r="S67" s="68"/>
      <x:c r="T67" s="90"/>
      <x:c r="U67" s="68"/>
      <x:c r="V67" s="82"/>
      <x:c r="W67" s="68"/>
      <x:c r="X67" s="84"/>
      <x:c r="Y67" s="84"/>
      <x:c r="Z67" s="82"/>
      <x:c r="AA67" s="82"/>
      <x:c r="AB67" s="68"/>
      <x:c r="AC67" s="68"/>
      <x:c r="AD67" s="90"/>
      <x:c r="AE67" s="68"/>
      <x:c r="AF67" s="82"/>
      <x:c r="AG67" s="82"/>
      <x:c r="AH67" s="87"/>
    </x:row>
    <x:row r="68">
      <x:c r="A68" s="72" t="str">
        <x:f>IF(OR(C68="",D68=""),"",B68&amp;"-"&amp;UPPER(C68)&amp;"-"&amp;TEXT(D68,"0000")&amp;"-"&amp;E68)</x:f>
      </x:c>
      <x:c r="B68" s="74" t="str">
        <x:v>M14</x:v>
      </x:c>
      <x:c r="C68" s="74"/>
      <x:c r="D68" s="79"/>
      <x:c r="E68" s="74" t="str">
        <x:v>V1.0</x:v>
      </x:c>
      <x:c r="F68" s="68"/>
      <x:c r="G68" s="82"/>
      <x:c r="H68" s="82"/>
      <x:c r="I68" s="68"/>
      <x:c r="J68" s="68"/>
      <x:c r="K68" s="68"/>
      <x:c r="L68" s="82"/>
      <x:c r="M68" s="68"/>
      <x:c r="N68" s="68"/>
      <x:c r="O68" s="68"/>
      <x:c r="P68" s="68"/>
      <x:c r="Q68" s="68"/>
      <x:c r="R68" s="68"/>
      <x:c r="S68" s="68"/>
      <x:c r="T68" s="90"/>
      <x:c r="U68" s="68"/>
      <x:c r="V68" s="82"/>
      <x:c r="W68" s="68"/>
      <x:c r="X68" s="84"/>
      <x:c r="Y68" s="84"/>
      <x:c r="Z68" s="82"/>
      <x:c r="AA68" s="82"/>
      <x:c r="AB68" s="68"/>
      <x:c r="AC68" s="68"/>
      <x:c r="AD68" s="90"/>
      <x:c r="AE68" s="68"/>
      <x:c r="AF68" s="82"/>
      <x:c r="AG68" s="82"/>
      <x:c r="AH68" s="87"/>
    </x:row>
    <x:row r="69">
      <x:c r="A69" s="72" t="str">
        <x:f>IF(OR(C69="",D69=""),"",B69&amp;"-"&amp;UPPER(C69)&amp;"-"&amp;TEXT(D69,"0000")&amp;"-"&amp;E69)</x:f>
      </x:c>
      <x:c r="B69" s="74" t="str">
        <x:v>M14</x:v>
      </x:c>
      <x:c r="C69" s="74"/>
      <x:c r="D69" s="79"/>
      <x:c r="E69" s="74" t="str">
        <x:v>V1.0</x:v>
      </x:c>
      <x:c r="F69" s="68"/>
      <x:c r="G69" s="82"/>
      <x:c r="H69" s="82"/>
      <x:c r="I69" s="68"/>
      <x:c r="J69" s="68"/>
      <x:c r="K69" s="68"/>
      <x:c r="L69" s="82"/>
      <x:c r="M69" s="68"/>
      <x:c r="N69" s="68"/>
      <x:c r="O69" s="68"/>
      <x:c r="P69" s="68"/>
      <x:c r="Q69" s="68"/>
      <x:c r="R69" s="68"/>
      <x:c r="S69" s="68"/>
      <x:c r="T69" s="90"/>
      <x:c r="U69" s="68"/>
      <x:c r="V69" s="82"/>
      <x:c r="W69" s="68"/>
      <x:c r="X69" s="84"/>
      <x:c r="Y69" s="84"/>
      <x:c r="Z69" s="82"/>
      <x:c r="AA69" s="82"/>
      <x:c r="AB69" s="68"/>
      <x:c r="AC69" s="68"/>
      <x:c r="AD69" s="90"/>
      <x:c r="AE69" s="68"/>
      <x:c r="AF69" s="82"/>
      <x:c r="AG69" s="82"/>
      <x:c r="AH69" s="87"/>
    </x:row>
    <x:row r="70">
      <x:c r="A70" s="72" t="str">
        <x:f>IF(OR(C70="",D70=""),"",B70&amp;"-"&amp;UPPER(C70)&amp;"-"&amp;TEXT(D70,"0000")&amp;"-"&amp;E70)</x:f>
      </x:c>
      <x:c r="B70" s="74" t="str">
        <x:v>M14</x:v>
      </x:c>
      <x:c r="C70" s="74"/>
      <x:c r="D70" s="79"/>
      <x:c r="E70" s="74" t="str">
        <x:v>V1.0</x:v>
      </x:c>
      <x:c r="F70" s="68"/>
      <x:c r="G70" s="82"/>
      <x:c r="H70" s="82"/>
      <x:c r="I70" s="68"/>
      <x:c r="J70" s="68"/>
      <x:c r="K70" s="68"/>
      <x:c r="L70" s="82"/>
      <x:c r="M70" s="68"/>
      <x:c r="N70" s="68"/>
      <x:c r="O70" s="68"/>
      <x:c r="P70" s="68"/>
      <x:c r="Q70" s="68"/>
      <x:c r="R70" s="68"/>
      <x:c r="S70" s="68"/>
      <x:c r="T70" s="90"/>
      <x:c r="U70" s="68"/>
      <x:c r="V70" s="82"/>
      <x:c r="W70" s="68"/>
      <x:c r="X70" s="84"/>
      <x:c r="Y70" s="84"/>
      <x:c r="Z70" s="82"/>
      <x:c r="AA70" s="82"/>
      <x:c r="AB70" s="68"/>
      <x:c r="AC70" s="68"/>
      <x:c r="AD70" s="90"/>
      <x:c r="AE70" s="68"/>
      <x:c r="AF70" s="82"/>
      <x:c r="AG70" s="82"/>
      <x:c r="AH70" s="87"/>
    </x:row>
    <x:row r="71">
      <x:c r="A71" s="72" t="str">
        <x:f>IF(OR(C71="",D71=""),"",B71&amp;"-"&amp;UPPER(C71)&amp;"-"&amp;TEXT(D71,"0000")&amp;"-"&amp;E71)</x:f>
      </x:c>
      <x:c r="B71" s="74" t="str">
        <x:v>M14</x:v>
      </x:c>
      <x:c r="C71" s="74"/>
      <x:c r="D71" s="79"/>
      <x:c r="E71" s="74" t="str">
        <x:v>V1.0</x:v>
      </x:c>
      <x:c r="F71" s="68"/>
      <x:c r="G71" s="82"/>
      <x:c r="H71" s="82"/>
      <x:c r="I71" s="68"/>
      <x:c r="J71" s="68"/>
      <x:c r="K71" s="68"/>
      <x:c r="L71" s="82"/>
      <x:c r="M71" s="68"/>
      <x:c r="N71" s="68"/>
      <x:c r="O71" s="68"/>
      <x:c r="P71" s="68"/>
      <x:c r="Q71" s="68"/>
      <x:c r="R71" s="68"/>
      <x:c r="S71" s="68"/>
      <x:c r="T71" s="90"/>
      <x:c r="U71" s="68"/>
      <x:c r="V71" s="82"/>
      <x:c r="W71" s="68"/>
      <x:c r="X71" s="84"/>
      <x:c r="Y71" s="84"/>
      <x:c r="Z71" s="82"/>
      <x:c r="AA71" s="82"/>
      <x:c r="AB71" s="68"/>
      <x:c r="AC71" s="68"/>
      <x:c r="AD71" s="90"/>
      <x:c r="AE71" s="68"/>
      <x:c r="AF71" s="82"/>
      <x:c r="AG71" s="82"/>
      <x:c r="AH71" s="87"/>
    </x:row>
    <x:row r="72">
      <x:c r="A72" s="72" t="str">
        <x:f>IF(OR(C72="",D72=""),"",B72&amp;"-"&amp;UPPER(C72)&amp;"-"&amp;TEXT(D72,"0000")&amp;"-"&amp;E72)</x:f>
      </x:c>
      <x:c r="B72" s="74" t="str">
        <x:v>M14</x:v>
      </x:c>
      <x:c r="C72" s="74"/>
      <x:c r="D72" s="79"/>
      <x:c r="E72" s="74" t="str">
        <x:v>V1.0</x:v>
      </x:c>
      <x:c r="F72" s="68"/>
      <x:c r="G72" s="82"/>
      <x:c r="H72" s="82"/>
      <x:c r="I72" s="68"/>
      <x:c r="J72" s="68"/>
      <x:c r="K72" s="68"/>
      <x:c r="L72" s="82"/>
      <x:c r="M72" s="68"/>
      <x:c r="N72" s="68"/>
      <x:c r="O72" s="68"/>
      <x:c r="P72" s="68"/>
      <x:c r="Q72" s="68"/>
      <x:c r="R72" s="68"/>
      <x:c r="S72" s="68"/>
      <x:c r="T72" s="90"/>
      <x:c r="U72" s="68"/>
      <x:c r="V72" s="82"/>
      <x:c r="W72" s="68"/>
      <x:c r="X72" s="84"/>
      <x:c r="Y72" s="84"/>
      <x:c r="Z72" s="82"/>
      <x:c r="AA72" s="82"/>
      <x:c r="AB72" s="68"/>
      <x:c r="AC72" s="68"/>
      <x:c r="AD72" s="90"/>
      <x:c r="AE72" s="68"/>
      <x:c r="AF72" s="82"/>
      <x:c r="AG72" s="82"/>
      <x:c r="AH72" s="87"/>
    </x:row>
    <x:row r="73">
      <x:c r="A73" s="72" t="str">
        <x:f>IF(OR(C73="",D73=""),"",B73&amp;"-"&amp;UPPER(C73)&amp;"-"&amp;TEXT(D73,"0000")&amp;"-"&amp;E73)</x:f>
      </x:c>
      <x:c r="B73" s="74" t="str">
        <x:v>M14</x:v>
      </x:c>
      <x:c r="C73" s="74"/>
      <x:c r="D73" s="79"/>
      <x:c r="E73" s="74" t="str">
        <x:v>V1.0</x:v>
      </x:c>
      <x:c r="F73" s="68"/>
      <x:c r="G73" s="82"/>
      <x:c r="H73" s="82"/>
      <x:c r="I73" s="68"/>
      <x:c r="J73" s="68"/>
      <x:c r="K73" s="68"/>
      <x:c r="L73" s="82"/>
      <x:c r="M73" s="68"/>
      <x:c r="N73" s="68"/>
      <x:c r="O73" s="68"/>
      <x:c r="P73" s="68"/>
      <x:c r="Q73" s="68"/>
      <x:c r="R73" s="68"/>
      <x:c r="S73" s="68"/>
      <x:c r="T73" s="90"/>
      <x:c r="U73" s="68"/>
      <x:c r="V73" s="82"/>
      <x:c r="W73" s="68"/>
      <x:c r="X73" s="84"/>
      <x:c r="Y73" s="84"/>
      <x:c r="Z73" s="82"/>
      <x:c r="AA73" s="82"/>
      <x:c r="AB73" s="68"/>
      <x:c r="AC73" s="68"/>
      <x:c r="AD73" s="90"/>
      <x:c r="AE73" s="68"/>
      <x:c r="AF73" s="82"/>
      <x:c r="AG73" s="82"/>
      <x:c r="AH73" s="87"/>
    </x:row>
    <x:row r="74">
      <x:c r="A74" s="72" t="str">
        <x:f>IF(OR(C74="",D74=""),"",B74&amp;"-"&amp;UPPER(C74)&amp;"-"&amp;TEXT(D74,"0000")&amp;"-"&amp;E74)</x:f>
      </x:c>
      <x:c r="B74" s="74" t="str">
        <x:v>M14</x:v>
      </x:c>
      <x:c r="C74" s="74"/>
      <x:c r="D74" s="79"/>
      <x:c r="E74" s="74" t="str">
        <x:v>V1.0</x:v>
      </x:c>
      <x:c r="F74" s="68"/>
      <x:c r="G74" s="82"/>
      <x:c r="H74" s="82"/>
      <x:c r="I74" s="68"/>
      <x:c r="J74" s="68"/>
      <x:c r="K74" s="68"/>
      <x:c r="L74" s="82"/>
      <x:c r="M74" s="68"/>
      <x:c r="N74" s="68"/>
      <x:c r="O74" s="68"/>
      <x:c r="P74" s="68"/>
      <x:c r="Q74" s="68"/>
      <x:c r="R74" s="68"/>
      <x:c r="S74" s="68"/>
      <x:c r="T74" s="90"/>
      <x:c r="U74" s="68"/>
      <x:c r="V74" s="82"/>
      <x:c r="W74" s="68"/>
      <x:c r="X74" s="84"/>
      <x:c r="Y74" s="84"/>
      <x:c r="Z74" s="82"/>
      <x:c r="AA74" s="82"/>
      <x:c r="AB74" s="68"/>
      <x:c r="AC74" s="68"/>
      <x:c r="AD74" s="90"/>
      <x:c r="AE74" s="68"/>
      <x:c r="AF74" s="82"/>
      <x:c r="AG74" s="82"/>
      <x:c r="AH74" s="87"/>
    </x:row>
    <x:row r="75">
      <x:c r="A75" s="72" t="str">
        <x:f>IF(OR(C75="",D75=""),"",B75&amp;"-"&amp;UPPER(C75)&amp;"-"&amp;TEXT(D75,"0000")&amp;"-"&amp;E75)</x:f>
      </x:c>
      <x:c r="B75" s="74" t="str">
        <x:v>M14</x:v>
      </x:c>
      <x:c r="C75" s="74"/>
      <x:c r="D75" s="79"/>
      <x:c r="E75" s="74" t="str">
        <x:v>V1.0</x:v>
      </x:c>
      <x:c r="F75" s="68"/>
      <x:c r="G75" s="82"/>
      <x:c r="H75" s="82"/>
      <x:c r="I75" s="68"/>
      <x:c r="J75" s="68"/>
      <x:c r="K75" s="68"/>
      <x:c r="L75" s="82"/>
      <x:c r="M75" s="68"/>
      <x:c r="N75" s="68"/>
      <x:c r="O75" s="68"/>
      <x:c r="P75" s="68"/>
      <x:c r="Q75" s="68"/>
      <x:c r="R75" s="68"/>
      <x:c r="S75" s="68"/>
      <x:c r="T75" s="90"/>
      <x:c r="U75" s="68"/>
      <x:c r="V75" s="82"/>
      <x:c r="W75" s="68"/>
      <x:c r="X75" s="84"/>
      <x:c r="Y75" s="84"/>
      <x:c r="Z75" s="82"/>
      <x:c r="AA75" s="82"/>
      <x:c r="AB75" s="68"/>
      <x:c r="AC75" s="68"/>
      <x:c r="AD75" s="90"/>
      <x:c r="AE75" s="68"/>
      <x:c r="AF75" s="82"/>
      <x:c r="AG75" s="82"/>
      <x:c r="AH75" s="87"/>
    </x:row>
    <x:row r="76">
      <x:c r="A76" s="72" t="str">
        <x:f>IF(OR(C76="",D76=""),"",B76&amp;"-"&amp;UPPER(C76)&amp;"-"&amp;TEXT(D76,"0000")&amp;"-"&amp;E76)</x:f>
      </x:c>
      <x:c r="B76" s="74" t="str">
        <x:v>M14</x:v>
      </x:c>
      <x:c r="C76" s="74"/>
      <x:c r="D76" s="79"/>
      <x:c r="E76" s="74" t="str">
        <x:v>V1.0</x:v>
      </x:c>
      <x:c r="F76" s="68"/>
      <x:c r="G76" s="82"/>
      <x:c r="H76" s="82"/>
      <x:c r="I76" s="68"/>
      <x:c r="J76" s="68"/>
      <x:c r="K76" s="68"/>
      <x:c r="L76" s="82"/>
      <x:c r="M76" s="68"/>
      <x:c r="N76" s="68"/>
      <x:c r="O76" s="68"/>
      <x:c r="P76" s="68"/>
      <x:c r="Q76" s="68"/>
      <x:c r="R76" s="68"/>
      <x:c r="S76" s="68"/>
      <x:c r="T76" s="90"/>
      <x:c r="U76" s="68"/>
      <x:c r="V76" s="82"/>
      <x:c r="W76" s="68"/>
      <x:c r="X76" s="84"/>
      <x:c r="Y76" s="84"/>
      <x:c r="Z76" s="82"/>
      <x:c r="AA76" s="82"/>
      <x:c r="AB76" s="68"/>
      <x:c r="AC76" s="68"/>
      <x:c r="AD76" s="90"/>
      <x:c r="AE76" s="68"/>
      <x:c r="AF76" s="82"/>
      <x:c r="AG76" s="82"/>
      <x:c r="AH76" s="87"/>
    </x:row>
    <x:row r="77">
      <x:c r="A77" s="72" t="str">
        <x:f>IF(OR(C77="",D77=""),"",B77&amp;"-"&amp;UPPER(C77)&amp;"-"&amp;TEXT(D77,"0000")&amp;"-"&amp;E77)</x:f>
      </x:c>
      <x:c r="B77" s="74" t="str">
        <x:v>M14</x:v>
      </x:c>
      <x:c r="C77" s="74"/>
      <x:c r="D77" s="79"/>
      <x:c r="E77" s="74" t="str">
        <x:v>V1.0</x:v>
      </x:c>
      <x:c r="F77" s="68"/>
      <x:c r="G77" s="82"/>
      <x:c r="H77" s="82"/>
      <x:c r="I77" s="68"/>
      <x:c r="J77" s="68"/>
      <x:c r="K77" s="68"/>
      <x:c r="L77" s="82"/>
      <x:c r="M77" s="68"/>
      <x:c r="N77" s="68"/>
      <x:c r="O77" s="68"/>
      <x:c r="P77" s="68"/>
      <x:c r="Q77" s="68"/>
      <x:c r="R77" s="68"/>
      <x:c r="S77" s="68"/>
      <x:c r="T77" s="90"/>
      <x:c r="U77" s="68"/>
      <x:c r="V77" s="82"/>
      <x:c r="W77" s="68"/>
      <x:c r="X77" s="84"/>
      <x:c r="Y77" s="84"/>
      <x:c r="Z77" s="82"/>
      <x:c r="AA77" s="82"/>
      <x:c r="AB77" s="68"/>
      <x:c r="AC77" s="68"/>
      <x:c r="AD77" s="90"/>
      <x:c r="AE77" s="68"/>
      <x:c r="AF77" s="82"/>
      <x:c r="AG77" s="82"/>
      <x:c r="AH77" s="87"/>
    </x:row>
    <x:row r="78">
      <x:c r="A78" s="72" t="str">
        <x:f>IF(OR(C78="",D78=""),"",B78&amp;"-"&amp;UPPER(C78)&amp;"-"&amp;TEXT(D78,"0000")&amp;"-"&amp;E78)</x:f>
      </x:c>
      <x:c r="B78" s="74" t="str">
        <x:v>M14</x:v>
      </x:c>
      <x:c r="C78" s="74"/>
      <x:c r="D78" s="79"/>
      <x:c r="E78" s="74" t="str">
        <x:v>V1.0</x:v>
      </x:c>
      <x:c r="F78" s="68"/>
      <x:c r="G78" s="82"/>
      <x:c r="H78" s="82"/>
      <x:c r="I78" s="68"/>
      <x:c r="J78" s="68"/>
      <x:c r="K78" s="68"/>
      <x:c r="L78" s="82"/>
      <x:c r="M78" s="68"/>
      <x:c r="N78" s="68"/>
      <x:c r="O78" s="68"/>
      <x:c r="P78" s="68"/>
      <x:c r="Q78" s="68"/>
      <x:c r="R78" s="68"/>
      <x:c r="S78" s="68"/>
      <x:c r="T78" s="90"/>
      <x:c r="U78" s="68"/>
      <x:c r="V78" s="82"/>
      <x:c r="W78" s="68"/>
      <x:c r="X78" s="84"/>
      <x:c r="Y78" s="84"/>
      <x:c r="Z78" s="82"/>
      <x:c r="AA78" s="82"/>
      <x:c r="AB78" s="68"/>
      <x:c r="AC78" s="68"/>
      <x:c r="AD78" s="90"/>
      <x:c r="AE78" s="68"/>
      <x:c r="AF78" s="82"/>
      <x:c r="AG78" s="82"/>
      <x:c r="AH78" s="87"/>
    </x:row>
    <x:row r="79">
      <x:c r="A79" s="72" t="str">
        <x:f>IF(OR(C79="",D79=""),"",B79&amp;"-"&amp;UPPER(C79)&amp;"-"&amp;TEXT(D79,"0000")&amp;"-"&amp;E79)</x:f>
      </x:c>
      <x:c r="B79" s="74" t="str">
        <x:v>M14</x:v>
      </x:c>
      <x:c r="C79" s="74"/>
      <x:c r="D79" s="79"/>
      <x:c r="E79" s="74" t="str">
        <x:v>V1.0</x:v>
      </x:c>
      <x:c r="F79" s="68"/>
      <x:c r="G79" s="82"/>
      <x:c r="H79" s="82"/>
      <x:c r="I79" s="68"/>
      <x:c r="J79" s="68"/>
      <x:c r="K79" s="68"/>
      <x:c r="L79" s="82"/>
      <x:c r="M79" s="68"/>
      <x:c r="N79" s="68"/>
      <x:c r="O79" s="68"/>
      <x:c r="P79" s="68"/>
      <x:c r="Q79" s="68"/>
      <x:c r="R79" s="68"/>
      <x:c r="S79" s="68"/>
      <x:c r="T79" s="90"/>
      <x:c r="U79" s="68"/>
      <x:c r="V79" s="82"/>
      <x:c r="W79" s="68"/>
      <x:c r="X79" s="84"/>
      <x:c r="Y79" s="84"/>
      <x:c r="Z79" s="82"/>
      <x:c r="AA79" s="82"/>
      <x:c r="AB79" s="68"/>
      <x:c r="AC79" s="68"/>
      <x:c r="AD79" s="90"/>
      <x:c r="AE79" s="68"/>
      <x:c r="AF79" s="82"/>
      <x:c r="AG79" s="82"/>
      <x:c r="AH79" s="87"/>
    </x:row>
    <x:row r="80">
      <x:c r="A80" s="72" t="str">
        <x:f>IF(OR(C80="",D80=""),"",B80&amp;"-"&amp;UPPER(C80)&amp;"-"&amp;TEXT(D80,"0000")&amp;"-"&amp;E80)</x:f>
      </x:c>
      <x:c r="B80" s="74" t="str">
        <x:v>M14</x:v>
      </x:c>
      <x:c r="C80" s="74"/>
      <x:c r="D80" s="79"/>
      <x:c r="E80" s="74" t="str">
        <x:v>V1.0</x:v>
      </x:c>
      <x:c r="F80" s="68"/>
      <x:c r="G80" s="82"/>
      <x:c r="H80" s="82"/>
      <x:c r="I80" s="68"/>
      <x:c r="J80" s="68"/>
      <x:c r="K80" s="68"/>
      <x:c r="L80" s="82"/>
      <x:c r="M80" s="68"/>
      <x:c r="N80" s="68"/>
      <x:c r="O80" s="68"/>
      <x:c r="P80" s="68"/>
      <x:c r="Q80" s="68"/>
      <x:c r="R80" s="68"/>
      <x:c r="S80" s="68"/>
      <x:c r="T80" s="90"/>
      <x:c r="U80" s="68"/>
      <x:c r="V80" s="82"/>
      <x:c r="W80" s="68"/>
      <x:c r="X80" s="84"/>
      <x:c r="Y80" s="84"/>
      <x:c r="Z80" s="82"/>
      <x:c r="AA80" s="82"/>
      <x:c r="AB80" s="68"/>
      <x:c r="AC80" s="68"/>
      <x:c r="AD80" s="90"/>
      <x:c r="AE80" s="68"/>
      <x:c r="AF80" s="82"/>
      <x:c r="AG80" s="82"/>
      <x:c r="AH80" s="87"/>
    </x:row>
    <x:row r="81">
      <x:c r="A81" s="72" t="str">
        <x:f>IF(OR(C81="",D81=""),"",B81&amp;"-"&amp;UPPER(C81)&amp;"-"&amp;TEXT(D81,"0000")&amp;"-"&amp;E81)</x:f>
      </x:c>
      <x:c r="B81" s="74" t="str">
        <x:v>M14</x:v>
      </x:c>
      <x:c r="C81" s="74"/>
      <x:c r="D81" s="79"/>
      <x:c r="E81" s="74" t="str">
        <x:v>V1.0</x:v>
      </x:c>
      <x:c r="F81" s="68"/>
      <x:c r="G81" s="82"/>
      <x:c r="H81" s="82"/>
      <x:c r="I81" s="68"/>
      <x:c r="J81" s="68"/>
      <x:c r="K81" s="68"/>
      <x:c r="L81" s="82"/>
      <x:c r="M81" s="68"/>
      <x:c r="N81" s="68"/>
      <x:c r="O81" s="68"/>
      <x:c r="P81" s="68"/>
      <x:c r="Q81" s="68"/>
      <x:c r="R81" s="68"/>
      <x:c r="S81" s="68"/>
      <x:c r="T81" s="90"/>
      <x:c r="U81" s="68"/>
      <x:c r="V81" s="82"/>
      <x:c r="W81" s="68"/>
      <x:c r="X81" s="84"/>
      <x:c r="Y81" s="84"/>
      <x:c r="Z81" s="82"/>
      <x:c r="AA81" s="82"/>
      <x:c r="AB81" s="68"/>
      <x:c r="AC81" s="68"/>
      <x:c r="AD81" s="90"/>
      <x:c r="AE81" s="68"/>
      <x:c r="AF81" s="82"/>
      <x:c r="AG81" s="82"/>
      <x:c r="AH81" s="87"/>
    </x:row>
    <x:row r="82">
      <x:c r="A82" s="72" t="str">
        <x:f>IF(OR(C82="",D82=""),"",B82&amp;"-"&amp;UPPER(C82)&amp;"-"&amp;TEXT(D82,"0000")&amp;"-"&amp;E82)</x:f>
      </x:c>
      <x:c r="B82" s="74" t="str">
        <x:v>M14</x:v>
      </x:c>
      <x:c r="C82" s="74"/>
      <x:c r="D82" s="79"/>
      <x:c r="E82" s="74" t="str">
        <x:v>V1.0</x:v>
      </x:c>
      <x:c r="F82" s="68"/>
      <x:c r="G82" s="82"/>
      <x:c r="H82" s="82"/>
      <x:c r="I82" s="68"/>
      <x:c r="J82" s="68"/>
      <x:c r="K82" s="68"/>
      <x:c r="L82" s="82"/>
      <x:c r="M82" s="68"/>
      <x:c r="N82" s="68"/>
      <x:c r="O82" s="68"/>
      <x:c r="P82" s="68"/>
      <x:c r="Q82" s="68"/>
      <x:c r="R82" s="68"/>
      <x:c r="S82" s="68"/>
      <x:c r="T82" s="90"/>
      <x:c r="U82" s="68"/>
      <x:c r="V82" s="82"/>
      <x:c r="W82" s="68"/>
      <x:c r="X82" s="84"/>
      <x:c r="Y82" s="84"/>
      <x:c r="Z82" s="82"/>
      <x:c r="AA82" s="82"/>
      <x:c r="AB82" s="68"/>
      <x:c r="AC82" s="68"/>
      <x:c r="AD82" s="90"/>
      <x:c r="AE82" s="68"/>
      <x:c r="AF82" s="82"/>
      <x:c r="AG82" s="82"/>
      <x:c r="AH82" s="87"/>
    </x:row>
    <x:row r="83">
      <x:c r="A83" s="72" t="str">
        <x:f>IF(OR(C83="",D83=""),"",B83&amp;"-"&amp;UPPER(C83)&amp;"-"&amp;TEXT(D83,"0000")&amp;"-"&amp;E83)</x:f>
      </x:c>
      <x:c r="B83" s="74" t="str">
        <x:v>M14</x:v>
      </x:c>
      <x:c r="C83" s="74"/>
      <x:c r="D83" s="79"/>
      <x:c r="E83" s="74" t="str">
        <x:v>V1.0</x:v>
      </x:c>
      <x:c r="F83" s="68"/>
      <x:c r="G83" s="82"/>
      <x:c r="H83" s="82"/>
      <x:c r="I83" s="68"/>
      <x:c r="J83" s="68"/>
      <x:c r="K83" s="68"/>
      <x:c r="L83" s="82"/>
      <x:c r="M83" s="68"/>
      <x:c r="N83" s="68"/>
      <x:c r="O83" s="68"/>
      <x:c r="P83" s="68"/>
      <x:c r="Q83" s="68"/>
      <x:c r="R83" s="68"/>
      <x:c r="S83" s="68"/>
      <x:c r="T83" s="90"/>
      <x:c r="U83" s="68"/>
      <x:c r="V83" s="82"/>
      <x:c r="W83" s="68"/>
      <x:c r="X83" s="84"/>
      <x:c r="Y83" s="84"/>
      <x:c r="Z83" s="82"/>
      <x:c r="AA83" s="82"/>
      <x:c r="AB83" s="68"/>
      <x:c r="AC83" s="68"/>
      <x:c r="AD83" s="90"/>
      <x:c r="AE83" s="68"/>
      <x:c r="AF83" s="82"/>
      <x:c r="AG83" s="82"/>
      <x:c r="AH83" s="87"/>
    </x:row>
    <x:row r="84">
      <x:c r="A84" s="72" t="str">
        <x:f>IF(OR(C84="",D84=""),"",B84&amp;"-"&amp;UPPER(C84)&amp;"-"&amp;TEXT(D84,"0000")&amp;"-"&amp;E84)</x:f>
      </x:c>
      <x:c r="B84" s="74" t="str">
        <x:v>M14</x:v>
      </x:c>
      <x:c r="C84" s="74"/>
      <x:c r="D84" s="79"/>
      <x:c r="E84" s="74" t="str">
        <x:v>V1.0</x:v>
      </x:c>
      <x:c r="F84" s="68"/>
      <x:c r="G84" s="82"/>
      <x:c r="H84" s="82"/>
      <x:c r="I84" s="68"/>
      <x:c r="J84" s="68"/>
      <x:c r="K84" s="68"/>
      <x:c r="L84" s="82"/>
      <x:c r="M84" s="68"/>
      <x:c r="N84" s="68"/>
      <x:c r="O84" s="68"/>
      <x:c r="P84" s="68"/>
      <x:c r="Q84" s="68"/>
      <x:c r="R84" s="68"/>
      <x:c r="S84" s="68"/>
      <x:c r="T84" s="90"/>
      <x:c r="U84" s="68"/>
      <x:c r="V84" s="82"/>
      <x:c r="W84" s="68"/>
      <x:c r="X84" s="84"/>
      <x:c r="Y84" s="84"/>
      <x:c r="Z84" s="82"/>
      <x:c r="AA84" s="82"/>
      <x:c r="AB84" s="68"/>
      <x:c r="AC84" s="68"/>
      <x:c r="AD84" s="90"/>
      <x:c r="AE84" s="68"/>
      <x:c r="AF84" s="82"/>
      <x:c r="AG84" s="82"/>
      <x:c r="AH84" s="87"/>
    </x:row>
    <x:row r="85">
      <x:c r="A85" s="72" t="str">
        <x:f>IF(OR(C85="",D85=""),"",B85&amp;"-"&amp;UPPER(C85)&amp;"-"&amp;TEXT(D85,"0000")&amp;"-"&amp;E85)</x:f>
      </x:c>
      <x:c r="B85" s="74" t="str">
        <x:v>M14</x:v>
      </x:c>
      <x:c r="C85" s="74"/>
      <x:c r="D85" s="79"/>
      <x:c r="E85" s="74" t="str">
        <x:v>V1.0</x:v>
      </x:c>
      <x:c r="F85" s="68"/>
      <x:c r="G85" s="82"/>
      <x:c r="H85" s="82"/>
      <x:c r="I85" s="68"/>
      <x:c r="J85" s="68"/>
      <x:c r="K85" s="68"/>
      <x:c r="L85" s="82"/>
      <x:c r="M85" s="68"/>
      <x:c r="N85" s="68"/>
      <x:c r="O85" s="68"/>
      <x:c r="P85" s="68"/>
      <x:c r="Q85" s="68"/>
      <x:c r="R85" s="68"/>
      <x:c r="S85" s="68"/>
      <x:c r="T85" s="90"/>
      <x:c r="U85" s="68"/>
      <x:c r="V85" s="82"/>
      <x:c r="W85" s="68"/>
      <x:c r="X85" s="84"/>
      <x:c r="Y85" s="84"/>
      <x:c r="Z85" s="82"/>
      <x:c r="AA85" s="82"/>
      <x:c r="AB85" s="68"/>
      <x:c r="AC85" s="68"/>
      <x:c r="AD85" s="90"/>
      <x:c r="AE85" s="68"/>
      <x:c r="AF85" s="82"/>
      <x:c r="AG85" s="82"/>
      <x:c r="AH85" s="87"/>
    </x:row>
    <x:row r="86">
      <x:c r="A86" s="72" t="str">
        <x:f>IF(OR(C86="",D86=""),"",B86&amp;"-"&amp;UPPER(C86)&amp;"-"&amp;TEXT(D86,"0000")&amp;"-"&amp;E86)</x:f>
      </x:c>
      <x:c r="B86" s="74" t="str">
        <x:v>M14</x:v>
      </x:c>
      <x:c r="C86" s="74"/>
      <x:c r="D86" s="79"/>
      <x:c r="E86" s="74" t="str">
        <x:v>V1.0</x:v>
      </x:c>
      <x:c r="F86" s="68"/>
      <x:c r="G86" s="82"/>
      <x:c r="H86" s="82"/>
      <x:c r="I86" s="68"/>
      <x:c r="J86" s="68"/>
      <x:c r="K86" s="68"/>
      <x:c r="L86" s="82"/>
      <x:c r="M86" s="68"/>
      <x:c r="N86" s="68"/>
      <x:c r="O86" s="68"/>
      <x:c r="P86" s="68"/>
      <x:c r="Q86" s="68"/>
      <x:c r="R86" s="68"/>
      <x:c r="S86" s="68"/>
      <x:c r="T86" s="90"/>
      <x:c r="U86" s="68"/>
      <x:c r="V86" s="82"/>
      <x:c r="W86" s="68"/>
      <x:c r="X86" s="84"/>
      <x:c r="Y86" s="84"/>
      <x:c r="Z86" s="82"/>
      <x:c r="AA86" s="82"/>
      <x:c r="AB86" s="68"/>
      <x:c r="AC86" s="68"/>
      <x:c r="AD86" s="90"/>
      <x:c r="AE86" s="68"/>
      <x:c r="AF86" s="82"/>
      <x:c r="AG86" s="82"/>
      <x:c r="AH86" s="87"/>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4aa6aed7605c4cb6"/>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c>
      <x:c r="B7" s="74" t="str">
        <x:v>M15</x:v>
      </x:c>
      <x:c r="C7" s="74"/>
      <x:c r="D7" s="79"/>
      <x:c r="E7" s="74" t="str">
        <x:v>V1.0</x:v>
      </x:c>
      <x:c r="F7" s="68"/>
      <x:c r="G7" s="82"/>
      <x:c r="H7" s="68"/>
      <x:c r="I7" s="68"/>
      <x:c r="J7" s="68"/>
      <x:c r="K7" s="68"/>
      <x:c r="L7" s="82"/>
      <x:c r="M7" s="68"/>
      <x:c r="N7" s="82"/>
      <x:c r="O7" s="84"/>
      <x:c r="P7" s="82"/>
      <x:c r="Q7" s="68"/>
      <x:c r="R7" s="68"/>
      <x:c r="S7" s="68"/>
      <x:c r="T7" s="68"/>
      <x:c r="U7" s="68"/>
      <x:c r="V7" s="90"/>
      <x:c r="W7" s="68"/>
      <x:c r="X7" s="84"/>
      <x:c r="Y7" s="84"/>
      <x:c r="Z7" s="68"/>
      <x:c r="AA7" s="82"/>
      <x:c r="AB7" s="82"/>
      <x:c r="AC7" s="68"/>
      <x:c r="AD7" s="68"/>
      <x:c r="AE7" s="90"/>
      <x:c r="AF7" s="68"/>
      <x:c r="AG7" s="82"/>
      <x:c r="AH7" s="82"/>
      <x:c r="AI7" s="87"/>
    </x:row>
    <x:row r="8">
      <x:c r="A8" s="72" t="str">
        <x:f>IF(OR(C8="",D8=""),"",B8&amp;"-"&amp;UPPER(C8)&amp;"-"&amp;TEXT(D8,"0000")&amp;"-"&amp;E8)</x:f>
      </x:c>
      <x:c r="B8" s="74" t="str">
        <x:v>M15</x:v>
      </x:c>
      <x:c r="C8" s="74"/>
      <x:c r="D8" s="79"/>
      <x:c r="E8" s="74" t="str">
        <x:v>V1.0</x:v>
      </x:c>
      <x:c r="F8" s="68"/>
      <x:c r="G8" s="82"/>
      <x:c r="H8" s="68"/>
      <x:c r="I8" s="68"/>
      <x:c r="J8" s="68"/>
      <x:c r="K8" s="68"/>
      <x:c r="L8" s="82"/>
      <x:c r="M8" s="68"/>
      <x:c r="N8" s="82"/>
      <x:c r="O8" s="84"/>
      <x:c r="P8" s="82"/>
      <x:c r="Q8" s="68"/>
      <x:c r="R8" s="68"/>
      <x:c r="S8" s="68"/>
      <x:c r="T8" s="68"/>
      <x:c r="U8" s="68"/>
      <x:c r="V8" s="90"/>
      <x:c r="W8" s="68"/>
      <x:c r="X8" s="84"/>
      <x:c r="Y8" s="84"/>
      <x:c r="Z8" s="68"/>
      <x:c r="AA8" s="82"/>
      <x:c r="AB8" s="82"/>
      <x:c r="AC8" s="68"/>
      <x:c r="AD8" s="68"/>
      <x:c r="AE8" s="90"/>
      <x:c r="AF8" s="68"/>
      <x:c r="AG8" s="82"/>
      <x:c r="AH8" s="82"/>
      <x:c r="AI8" s="87"/>
    </x:row>
    <x:row r="9">
      <x:c r="A9" s="72" t="str">
        <x:f>IF(OR(C9="",D9=""),"",B9&amp;"-"&amp;UPPER(C9)&amp;"-"&amp;TEXT(D9,"0000")&amp;"-"&amp;E9)</x:f>
      </x:c>
      <x:c r="B9" s="74" t="str">
        <x:v>M15</x:v>
      </x:c>
      <x:c r="C9" s="74"/>
      <x:c r="D9" s="79"/>
      <x:c r="E9" s="74" t="str">
        <x:v>V1.0</x:v>
      </x:c>
      <x:c r="F9" s="68"/>
      <x:c r="G9" s="82"/>
      <x:c r="H9" s="68"/>
      <x:c r="I9" s="68"/>
      <x:c r="J9" s="68"/>
      <x:c r="K9" s="68"/>
      <x:c r="L9" s="82"/>
      <x:c r="M9" s="68"/>
      <x:c r="N9" s="82"/>
      <x:c r="O9" s="84"/>
      <x:c r="P9" s="82"/>
      <x:c r="Q9" s="68"/>
      <x:c r="R9" s="68"/>
      <x:c r="S9" s="68"/>
      <x:c r="T9" s="68"/>
      <x:c r="U9" s="68"/>
      <x:c r="V9" s="90"/>
      <x:c r="W9" s="68"/>
      <x:c r="X9" s="84"/>
      <x:c r="Y9" s="84"/>
      <x:c r="Z9" s="68"/>
      <x:c r="AA9" s="82"/>
      <x:c r="AB9" s="82"/>
      <x:c r="AC9" s="68"/>
      <x:c r="AD9" s="68"/>
      <x:c r="AE9" s="90"/>
      <x:c r="AF9" s="68"/>
      <x:c r="AG9" s="82"/>
      <x:c r="AH9" s="82"/>
      <x:c r="AI9" s="87"/>
    </x:row>
    <x:row r="10">
      <x:c r="A10" s="72" t="str">
        <x:f>IF(OR(C10="",D10=""),"",B10&amp;"-"&amp;UPPER(C10)&amp;"-"&amp;TEXT(D10,"0000")&amp;"-"&amp;E10)</x:f>
      </x:c>
      <x:c r="B10" s="74" t="str">
        <x:v>M15</x:v>
      </x:c>
      <x:c r="C10" s="74"/>
      <x:c r="D10" s="79"/>
      <x:c r="E10" s="74" t="str">
        <x:v>V1.0</x:v>
      </x:c>
      <x:c r="F10" s="68"/>
      <x:c r="G10" s="82"/>
      <x:c r="H10" s="68"/>
      <x:c r="I10" s="68"/>
      <x:c r="J10" s="68"/>
      <x:c r="K10" s="68"/>
      <x:c r="L10" s="82"/>
      <x:c r="M10" s="68"/>
      <x:c r="N10" s="82"/>
      <x:c r="O10" s="84"/>
      <x:c r="P10" s="82"/>
      <x:c r="Q10" s="68"/>
      <x:c r="R10" s="68"/>
      <x:c r="S10" s="68"/>
      <x:c r="T10" s="68"/>
      <x:c r="U10" s="68"/>
      <x:c r="V10" s="90"/>
      <x:c r="W10" s="68"/>
      <x:c r="X10" s="84"/>
      <x:c r="Y10" s="84"/>
      <x:c r="Z10" s="68"/>
      <x:c r="AA10" s="82"/>
      <x:c r="AB10" s="82"/>
      <x:c r="AC10" s="68"/>
      <x:c r="AD10" s="68"/>
      <x:c r="AE10" s="90"/>
      <x:c r="AF10" s="68"/>
      <x:c r="AG10" s="82"/>
      <x:c r="AH10" s="82"/>
      <x:c r="AI10" s="87"/>
    </x:row>
    <x:row r="11">
      <x:c r="A11" s="72" t="str">
        <x:f>IF(OR(C11="",D11=""),"",B11&amp;"-"&amp;UPPER(C11)&amp;"-"&amp;TEXT(D11,"0000")&amp;"-"&amp;E11)</x:f>
      </x:c>
      <x:c r="B11" s="74" t="str">
        <x:v>M15</x:v>
      </x:c>
      <x:c r="C11" s="74"/>
      <x:c r="D11" s="79"/>
      <x:c r="E11" s="74" t="str">
        <x:v>V1.0</x:v>
      </x:c>
      <x:c r="F11" s="68"/>
      <x:c r="G11" s="82"/>
      <x:c r="H11" s="68"/>
      <x:c r="I11" s="68"/>
      <x:c r="J11" s="68"/>
      <x:c r="K11" s="68"/>
      <x:c r="L11" s="82"/>
      <x:c r="M11" s="68"/>
      <x:c r="N11" s="82"/>
      <x:c r="O11" s="84"/>
      <x:c r="P11" s="82"/>
      <x:c r="Q11" s="68"/>
      <x:c r="R11" s="68"/>
      <x:c r="S11" s="68"/>
      <x:c r="T11" s="68"/>
      <x:c r="U11" s="68"/>
      <x:c r="V11" s="90"/>
      <x:c r="W11" s="68"/>
      <x:c r="X11" s="84"/>
      <x:c r="Y11" s="84"/>
      <x:c r="Z11" s="68"/>
      <x:c r="AA11" s="82"/>
      <x:c r="AB11" s="82"/>
      <x:c r="AC11" s="68"/>
      <x:c r="AD11" s="68"/>
      <x:c r="AE11" s="90"/>
      <x:c r="AF11" s="68"/>
      <x:c r="AG11" s="82"/>
      <x:c r="AH11" s="82"/>
      <x:c r="AI11" s="87"/>
    </x:row>
    <x:row r="12">
      <x:c r="A12" s="72" t="str">
        <x:f>IF(OR(C12="",D12=""),"",B12&amp;"-"&amp;UPPER(C12)&amp;"-"&amp;TEXT(D12,"0000")&amp;"-"&amp;E12)</x:f>
      </x:c>
      <x:c r="B12" s="74" t="str">
        <x:v>M15</x:v>
      </x:c>
      <x:c r="C12" s="74"/>
      <x:c r="D12" s="79"/>
      <x:c r="E12" s="74" t="str">
        <x:v>V1.0</x:v>
      </x:c>
      <x:c r="F12" s="68"/>
      <x:c r="G12" s="82"/>
      <x:c r="H12" s="68"/>
      <x:c r="I12" s="68"/>
      <x:c r="J12" s="68"/>
      <x:c r="K12" s="68"/>
      <x:c r="L12" s="82"/>
      <x:c r="M12" s="68"/>
      <x:c r="N12" s="82"/>
      <x:c r="O12" s="84"/>
      <x:c r="P12" s="82"/>
      <x:c r="Q12" s="68"/>
      <x:c r="R12" s="68"/>
      <x:c r="S12" s="68"/>
      <x:c r="T12" s="68"/>
      <x:c r="U12" s="68"/>
      <x:c r="V12" s="90"/>
      <x:c r="W12" s="68"/>
      <x:c r="X12" s="84"/>
      <x:c r="Y12" s="84"/>
      <x:c r="Z12" s="68"/>
      <x:c r="AA12" s="82"/>
      <x:c r="AB12" s="82"/>
      <x:c r="AC12" s="68"/>
      <x:c r="AD12" s="68"/>
      <x:c r="AE12" s="90"/>
      <x:c r="AF12" s="68"/>
      <x:c r="AG12" s="82"/>
      <x:c r="AH12" s="82"/>
      <x:c r="AI12" s="87"/>
    </x:row>
    <x:row r="13">
      <x:c r="A13" s="72" t="str">
        <x:f>IF(OR(C13="",D13=""),"",B13&amp;"-"&amp;UPPER(C13)&amp;"-"&amp;TEXT(D13,"0000")&amp;"-"&amp;E13)</x:f>
      </x:c>
      <x:c r="B13" s="74" t="str">
        <x:v>M15</x:v>
      </x:c>
      <x:c r="C13" s="74"/>
      <x:c r="D13" s="79"/>
      <x:c r="E13" s="74" t="str">
        <x:v>V1.0</x:v>
      </x:c>
      <x:c r="F13" s="68"/>
      <x:c r="G13" s="82"/>
      <x:c r="H13" s="68"/>
      <x:c r="I13" s="68"/>
      <x:c r="J13" s="68"/>
      <x:c r="K13" s="68"/>
      <x:c r="L13" s="82"/>
      <x:c r="M13" s="68"/>
      <x:c r="N13" s="82"/>
      <x:c r="O13" s="84"/>
      <x:c r="P13" s="82"/>
      <x:c r="Q13" s="68"/>
      <x:c r="R13" s="68"/>
      <x:c r="S13" s="68"/>
      <x:c r="T13" s="68"/>
      <x:c r="U13" s="68"/>
      <x:c r="V13" s="90"/>
      <x:c r="W13" s="68"/>
      <x:c r="X13" s="84"/>
      <x:c r="Y13" s="84"/>
      <x:c r="Z13" s="68"/>
      <x:c r="AA13" s="82"/>
      <x:c r="AB13" s="82"/>
      <x:c r="AC13" s="68"/>
      <x:c r="AD13" s="68"/>
      <x:c r="AE13" s="90"/>
      <x:c r="AF13" s="68"/>
      <x:c r="AG13" s="82"/>
      <x:c r="AH13" s="82"/>
      <x:c r="AI13" s="87"/>
    </x:row>
    <x:row r="14">
      <x:c r="A14" s="72" t="str">
        <x:f>IF(OR(C14="",D14=""),"",B14&amp;"-"&amp;UPPER(C14)&amp;"-"&amp;TEXT(D14,"0000")&amp;"-"&amp;E14)</x:f>
      </x:c>
      <x:c r="B14" s="74" t="str">
        <x:v>M15</x:v>
      </x:c>
      <x:c r="C14" s="74"/>
      <x:c r="D14" s="79"/>
      <x:c r="E14" s="74" t="str">
        <x:v>V1.0</x:v>
      </x:c>
      <x:c r="F14" s="68"/>
      <x:c r="G14" s="82"/>
      <x:c r="H14" s="68"/>
      <x:c r="I14" s="68"/>
      <x:c r="J14" s="68"/>
      <x:c r="K14" s="68"/>
      <x:c r="L14" s="82"/>
      <x:c r="M14" s="68"/>
      <x:c r="N14" s="82"/>
      <x:c r="O14" s="84"/>
      <x:c r="P14" s="82"/>
      <x:c r="Q14" s="68"/>
      <x:c r="R14" s="68"/>
      <x:c r="S14" s="68"/>
      <x:c r="T14" s="68"/>
      <x:c r="U14" s="68"/>
      <x:c r="V14" s="90"/>
      <x:c r="W14" s="68"/>
      <x:c r="X14" s="84"/>
      <x:c r="Y14" s="84"/>
      <x:c r="Z14" s="68"/>
      <x:c r="AA14" s="82"/>
      <x:c r="AB14" s="82"/>
      <x:c r="AC14" s="68"/>
      <x:c r="AD14" s="68"/>
      <x:c r="AE14" s="90"/>
      <x:c r="AF14" s="68"/>
      <x:c r="AG14" s="82"/>
      <x:c r="AH14" s="82"/>
      <x:c r="AI14" s="87"/>
    </x:row>
    <x:row r="15">
      <x:c r="A15" s="72" t="str">
        <x:f>IF(OR(C15="",D15=""),"",B15&amp;"-"&amp;UPPER(C15)&amp;"-"&amp;TEXT(D15,"0000")&amp;"-"&amp;E15)</x:f>
      </x:c>
      <x:c r="B15" s="74" t="str">
        <x:v>M15</x:v>
      </x:c>
      <x:c r="C15" s="74"/>
      <x:c r="D15" s="79"/>
      <x:c r="E15" s="74" t="str">
        <x:v>V1.0</x:v>
      </x:c>
      <x:c r="F15" s="68"/>
      <x:c r="G15" s="82"/>
      <x:c r="H15" s="68"/>
      <x:c r="I15" s="68"/>
      <x:c r="J15" s="68"/>
      <x:c r="K15" s="68"/>
      <x:c r="L15" s="82"/>
      <x:c r="M15" s="68"/>
      <x:c r="N15" s="82"/>
      <x:c r="O15" s="84"/>
      <x:c r="P15" s="82"/>
      <x:c r="Q15" s="68"/>
      <x:c r="R15" s="68"/>
      <x:c r="S15" s="68"/>
      <x:c r="T15" s="68"/>
      <x:c r="U15" s="68"/>
      <x:c r="V15" s="90"/>
      <x:c r="W15" s="68"/>
      <x:c r="X15" s="84"/>
      <x:c r="Y15" s="84"/>
      <x:c r="Z15" s="68"/>
      <x:c r="AA15" s="82"/>
      <x:c r="AB15" s="82"/>
      <x:c r="AC15" s="68"/>
      <x:c r="AD15" s="68"/>
      <x:c r="AE15" s="90"/>
      <x:c r="AF15" s="68"/>
      <x:c r="AG15" s="82"/>
      <x:c r="AH15" s="82"/>
      <x:c r="AI15" s="87"/>
    </x:row>
    <x:row r="16">
      <x:c r="A16" s="72" t="str">
        <x:f>IF(OR(C16="",D16=""),"",B16&amp;"-"&amp;UPPER(C16)&amp;"-"&amp;TEXT(D16,"0000")&amp;"-"&amp;E16)</x:f>
      </x:c>
      <x:c r="B16" s="74" t="str">
        <x:v>M15</x:v>
      </x:c>
      <x:c r="C16" s="74"/>
      <x:c r="D16" s="79"/>
      <x:c r="E16" s="74" t="str">
        <x:v>V1.0</x:v>
      </x:c>
      <x:c r="F16" s="68"/>
      <x:c r="G16" s="82"/>
      <x:c r="H16" s="68"/>
      <x:c r="I16" s="68"/>
      <x:c r="J16" s="68"/>
      <x:c r="K16" s="68"/>
      <x:c r="L16" s="82"/>
      <x:c r="M16" s="68"/>
      <x:c r="N16" s="82"/>
      <x:c r="O16" s="84"/>
      <x:c r="P16" s="82"/>
      <x:c r="Q16" s="68"/>
      <x:c r="R16" s="68"/>
      <x:c r="S16" s="68"/>
      <x:c r="T16" s="68"/>
      <x:c r="U16" s="68"/>
      <x:c r="V16" s="90"/>
      <x:c r="W16" s="68"/>
      <x:c r="X16" s="84"/>
      <x:c r="Y16" s="84"/>
      <x:c r="Z16" s="68"/>
      <x:c r="AA16" s="82"/>
      <x:c r="AB16" s="82"/>
      <x:c r="AC16" s="68"/>
      <x:c r="AD16" s="68"/>
      <x:c r="AE16" s="90"/>
      <x:c r="AF16" s="68"/>
      <x:c r="AG16" s="82"/>
      <x:c r="AH16" s="82"/>
      <x:c r="AI16" s="87"/>
    </x:row>
    <x:row r="17">
      <x:c r="A17" s="72" t="str">
        <x:f>IF(OR(C17="",D17=""),"",B17&amp;"-"&amp;UPPER(C17)&amp;"-"&amp;TEXT(D17,"0000")&amp;"-"&amp;E17)</x:f>
      </x:c>
      <x:c r="B17" s="74" t="str">
        <x:v>M15</x:v>
      </x:c>
      <x:c r="C17" s="74"/>
      <x:c r="D17" s="79"/>
      <x:c r="E17" s="74" t="str">
        <x:v>V1.0</x:v>
      </x:c>
      <x:c r="F17" s="68"/>
      <x:c r="G17" s="82"/>
      <x:c r="H17" s="68"/>
      <x:c r="I17" s="68"/>
      <x:c r="J17" s="68"/>
      <x:c r="K17" s="68"/>
      <x:c r="L17" s="82"/>
      <x:c r="M17" s="68"/>
      <x:c r="N17" s="82"/>
      <x:c r="O17" s="84"/>
      <x:c r="P17" s="82"/>
      <x:c r="Q17" s="68"/>
      <x:c r="R17" s="68"/>
      <x:c r="S17" s="68"/>
      <x:c r="T17" s="68"/>
      <x:c r="U17" s="68"/>
      <x:c r="V17" s="90"/>
      <x:c r="W17" s="68"/>
      <x:c r="X17" s="84"/>
      <x:c r="Y17" s="84"/>
      <x:c r="Z17" s="68"/>
      <x:c r="AA17" s="82"/>
      <x:c r="AB17" s="82"/>
      <x:c r="AC17" s="68"/>
      <x:c r="AD17" s="68"/>
      <x:c r="AE17" s="90"/>
      <x:c r="AF17" s="68"/>
      <x:c r="AG17" s="82"/>
      <x:c r="AH17" s="82"/>
      <x:c r="AI17" s="87"/>
    </x:row>
    <x:row r="18">
      <x:c r="A18" s="72" t="str">
        <x:f>IF(OR(C18="",D18=""),"",B18&amp;"-"&amp;UPPER(C18)&amp;"-"&amp;TEXT(D18,"0000")&amp;"-"&amp;E18)</x:f>
      </x:c>
      <x:c r="B18" s="74" t="str">
        <x:v>M15</x:v>
      </x:c>
      <x:c r="C18" s="74"/>
      <x:c r="D18" s="79"/>
      <x:c r="E18" s="74" t="str">
        <x:v>V1.0</x:v>
      </x:c>
      <x:c r="F18" s="68"/>
      <x:c r="G18" s="82"/>
      <x:c r="H18" s="68"/>
      <x:c r="I18" s="68"/>
      <x:c r="J18" s="68"/>
      <x:c r="K18" s="68"/>
      <x:c r="L18" s="82"/>
      <x:c r="M18" s="68"/>
      <x:c r="N18" s="82"/>
      <x:c r="O18" s="84"/>
      <x:c r="P18" s="82"/>
      <x:c r="Q18" s="68"/>
      <x:c r="R18" s="68"/>
      <x:c r="S18" s="68"/>
      <x:c r="T18" s="68"/>
      <x:c r="U18" s="68"/>
      <x:c r="V18" s="90"/>
      <x:c r="W18" s="68"/>
      <x:c r="X18" s="84"/>
      <x:c r="Y18" s="84"/>
      <x:c r="Z18" s="68"/>
      <x:c r="AA18" s="82"/>
      <x:c r="AB18" s="82"/>
      <x:c r="AC18" s="68"/>
      <x:c r="AD18" s="68"/>
      <x:c r="AE18" s="90"/>
      <x:c r="AF18" s="68"/>
      <x:c r="AG18" s="82"/>
      <x:c r="AH18" s="82"/>
      <x:c r="AI18" s="87"/>
    </x:row>
    <x:row r="19">
      <x:c r="A19" s="72" t="str">
        <x:f>IF(OR(C19="",D19=""),"",B19&amp;"-"&amp;UPPER(C19)&amp;"-"&amp;TEXT(D19,"0000")&amp;"-"&amp;E19)</x:f>
      </x:c>
      <x:c r="B19" s="74" t="str">
        <x:v>M15</x:v>
      </x:c>
      <x:c r="C19" s="74"/>
      <x:c r="D19" s="79"/>
      <x:c r="E19" s="74" t="str">
        <x:v>V1.0</x:v>
      </x:c>
      <x:c r="F19" s="68"/>
      <x:c r="G19" s="82"/>
      <x:c r="H19" s="68"/>
      <x:c r="I19" s="68"/>
      <x:c r="J19" s="68"/>
      <x:c r="K19" s="68"/>
      <x:c r="L19" s="82"/>
      <x:c r="M19" s="68"/>
      <x:c r="N19" s="82"/>
      <x:c r="O19" s="84"/>
      <x:c r="P19" s="82"/>
      <x:c r="Q19" s="68"/>
      <x:c r="R19" s="68"/>
      <x:c r="S19" s="68"/>
      <x:c r="T19" s="68"/>
      <x:c r="U19" s="68"/>
      <x:c r="V19" s="90"/>
      <x:c r="W19" s="68"/>
      <x:c r="X19" s="84"/>
      <x:c r="Y19" s="84"/>
      <x:c r="Z19" s="68"/>
      <x:c r="AA19" s="82"/>
      <x:c r="AB19" s="82"/>
      <x:c r="AC19" s="68"/>
      <x:c r="AD19" s="68"/>
      <x:c r="AE19" s="90"/>
      <x:c r="AF19" s="68"/>
      <x:c r="AG19" s="82"/>
      <x:c r="AH19" s="82"/>
      <x:c r="AI19" s="87"/>
    </x:row>
    <x:row r="20">
      <x:c r="A20" s="72" t="str">
        <x:f>IF(OR(C20="",D20=""),"",B20&amp;"-"&amp;UPPER(C20)&amp;"-"&amp;TEXT(D20,"0000")&amp;"-"&amp;E20)</x:f>
      </x:c>
      <x:c r="B20" s="74" t="str">
        <x:v>M15</x:v>
      </x:c>
      <x:c r="C20" s="74"/>
      <x:c r="D20" s="79"/>
      <x:c r="E20" s="74" t="str">
        <x:v>V1.0</x:v>
      </x:c>
      <x:c r="F20" s="68"/>
      <x:c r="G20" s="82"/>
      <x:c r="H20" s="68"/>
      <x:c r="I20" s="68"/>
      <x:c r="J20" s="68"/>
      <x:c r="K20" s="68"/>
      <x:c r="L20" s="82"/>
      <x:c r="M20" s="68"/>
      <x:c r="N20" s="82"/>
      <x:c r="O20" s="84"/>
      <x:c r="P20" s="82"/>
      <x:c r="Q20" s="68"/>
      <x:c r="R20" s="68"/>
      <x:c r="S20" s="68"/>
      <x:c r="T20" s="68"/>
      <x:c r="U20" s="68"/>
      <x:c r="V20" s="90"/>
      <x:c r="W20" s="68"/>
      <x:c r="X20" s="84"/>
      <x:c r="Y20" s="84"/>
      <x:c r="Z20" s="68"/>
      <x:c r="AA20" s="82"/>
      <x:c r="AB20" s="82"/>
      <x:c r="AC20" s="68"/>
      <x:c r="AD20" s="68"/>
      <x:c r="AE20" s="90"/>
      <x:c r="AF20" s="68"/>
      <x:c r="AG20" s="82"/>
      <x:c r="AH20" s="82"/>
      <x:c r="AI20" s="87"/>
    </x:row>
    <x:row r="21">
      <x:c r="A21" s="72" t="str">
        <x:f>IF(OR(C21="",D21=""),"",B21&amp;"-"&amp;UPPER(C21)&amp;"-"&amp;TEXT(D21,"0000")&amp;"-"&amp;E21)</x:f>
      </x:c>
      <x:c r="B21" s="74" t="str">
        <x:v>M15</x:v>
      </x:c>
      <x:c r="C21" s="74"/>
      <x:c r="D21" s="79"/>
      <x:c r="E21" s="74" t="str">
        <x:v>V1.0</x:v>
      </x:c>
      <x:c r="F21" s="68"/>
      <x:c r="G21" s="82"/>
      <x:c r="H21" s="68"/>
      <x:c r="I21" s="68"/>
      <x:c r="J21" s="68"/>
      <x:c r="K21" s="68"/>
      <x:c r="L21" s="82"/>
      <x:c r="M21" s="68"/>
      <x:c r="N21" s="82"/>
      <x:c r="O21" s="84"/>
      <x:c r="P21" s="82"/>
      <x:c r="Q21" s="68"/>
      <x:c r="R21" s="68"/>
      <x:c r="S21" s="68"/>
      <x:c r="T21" s="68"/>
      <x:c r="U21" s="68"/>
      <x:c r="V21" s="90"/>
      <x:c r="W21" s="68"/>
      <x:c r="X21" s="84"/>
      <x:c r="Y21" s="84"/>
      <x:c r="Z21" s="68"/>
      <x:c r="AA21" s="82"/>
      <x:c r="AB21" s="82"/>
      <x:c r="AC21" s="68"/>
      <x:c r="AD21" s="68"/>
      <x:c r="AE21" s="90"/>
      <x:c r="AF21" s="68"/>
      <x:c r="AG21" s="82"/>
      <x:c r="AH21" s="82"/>
      <x:c r="AI21" s="87"/>
    </x:row>
    <x:row r="22">
      <x:c r="A22" s="72" t="str">
        <x:f>IF(OR(C22="",D22=""),"",B22&amp;"-"&amp;UPPER(C22)&amp;"-"&amp;TEXT(D22,"0000")&amp;"-"&amp;E22)</x:f>
      </x:c>
      <x:c r="B22" s="74" t="str">
        <x:v>M15</x:v>
      </x:c>
      <x:c r="C22" s="74"/>
      <x:c r="D22" s="79"/>
      <x:c r="E22" s="74" t="str">
        <x:v>V1.0</x:v>
      </x:c>
      <x:c r="F22" s="68"/>
      <x:c r="G22" s="82"/>
      <x:c r="H22" s="68"/>
      <x:c r="I22" s="68"/>
      <x:c r="J22" s="68"/>
      <x:c r="K22" s="68"/>
      <x:c r="L22" s="82"/>
      <x:c r="M22" s="68"/>
      <x:c r="N22" s="82"/>
      <x:c r="O22" s="84"/>
      <x:c r="P22" s="82"/>
      <x:c r="Q22" s="68"/>
      <x:c r="R22" s="68"/>
      <x:c r="S22" s="68"/>
      <x:c r="T22" s="68"/>
      <x:c r="U22" s="68"/>
      <x:c r="V22" s="90"/>
      <x:c r="W22" s="68"/>
      <x:c r="X22" s="84"/>
      <x:c r="Y22" s="84"/>
      <x:c r="Z22" s="68"/>
      <x:c r="AA22" s="82"/>
      <x:c r="AB22" s="82"/>
      <x:c r="AC22" s="68"/>
      <x:c r="AD22" s="68"/>
      <x:c r="AE22" s="90"/>
      <x:c r="AF22" s="68"/>
      <x:c r="AG22" s="82"/>
      <x:c r="AH22" s="82"/>
      <x:c r="AI22" s="87"/>
    </x:row>
    <x:row r="23">
      <x:c r="A23" s="72" t="str">
        <x:f>IF(OR(C23="",D23=""),"",B23&amp;"-"&amp;UPPER(C23)&amp;"-"&amp;TEXT(D23,"0000")&amp;"-"&amp;E23)</x:f>
      </x:c>
      <x:c r="B23" s="74" t="str">
        <x:v>M15</x:v>
      </x:c>
      <x:c r="C23" s="74"/>
      <x:c r="D23" s="79"/>
      <x:c r="E23" s="74" t="str">
        <x:v>V1.0</x:v>
      </x:c>
      <x:c r="F23" s="68"/>
      <x:c r="G23" s="82"/>
      <x:c r="H23" s="68"/>
      <x:c r="I23" s="68"/>
      <x:c r="J23" s="68"/>
      <x:c r="K23" s="68"/>
      <x:c r="L23" s="82"/>
      <x:c r="M23" s="68"/>
      <x:c r="N23" s="82"/>
      <x:c r="O23" s="84"/>
      <x:c r="P23" s="82"/>
      <x:c r="Q23" s="68"/>
      <x:c r="R23" s="68"/>
      <x:c r="S23" s="68"/>
      <x:c r="T23" s="68"/>
      <x:c r="U23" s="68"/>
      <x:c r="V23" s="90"/>
      <x:c r="W23" s="68"/>
      <x:c r="X23" s="84"/>
      <x:c r="Y23" s="84"/>
      <x:c r="Z23" s="68"/>
      <x:c r="AA23" s="82"/>
      <x:c r="AB23" s="82"/>
      <x:c r="AC23" s="68"/>
      <x:c r="AD23" s="68"/>
      <x:c r="AE23" s="90"/>
      <x:c r="AF23" s="68"/>
      <x:c r="AG23" s="82"/>
      <x:c r="AH23" s="82"/>
      <x:c r="AI23" s="87"/>
    </x:row>
    <x:row r="24">
      <x:c r="A24" s="72" t="str">
        <x:f>IF(OR(C24="",D24=""),"",B24&amp;"-"&amp;UPPER(C24)&amp;"-"&amp;TEXT(D24,"0000")&amp;"-"&amp;E24)</x:f>
      </x:c>
      <x:c r="B24" s="74" t="str">
        <x:v>M15</x:v>
      </x:c>
      <x:c r="C24" s="74"/>
      <x:c r="D24" s="79"/>
      <x:c r="E24" s="74" t="str">
        <x:v>V1.0</x:v>
      </x:c>
      <x:c r="F24" s="68"/>
      <x:c r="G24" s="82"/>
      <x:c r="H24" s="68"/>
      <x:c r="I24" s="68"/>
      <x:c r="J24" s="68"/>
      <x:c r="K24" s="68"/>
      <x:c r="L24" s="82"/>
      <x:c r="M24" s="68"/>
      <x:c r="N24" s="82"/>
      <x:c r="O24" s="84"/>
      <x:c r="P24" s="82"/>
      <x:c r="Q24" s="68"/>
      <x:c r="R24" s="68"/>
      <x:c r="S24" s="68"/>
      <x:c r="T24" s="68"/>
      <x:c r="U24" s="68"/>
      <x:c r="V24" s="90"/>
      <x:c r="W24" s="68"/>
      <x:c r="X24" s="84"/>
      <x:c r="Y24" s="84"/>
      <x:c r="Z24" s="68"/>
      <x:c r="AA24" s="82"/>
      <x:c r="AB24" s="82"/>
      <x:c r="AC24" s="68"/>
      <x:c r="AD24" s="68"/>
      <x:c r="AE24" s="90"/>
      <x:c r="AF24" s="68"/>
      <x:c r="AG24" s="82"/>
      <x:c r="AH24" s="82"/>
      <x:c r="AI24" s="87"/>
    </x:row>
    <x:row r="25">
      <x:c r="A25" s="72" t="str">
        <x:f>IF(OR(C25="",D25=""),"",B25&amp;"-"&amp;UPPER(C25)&amp;"-"&amp;TEXT(D25,"0000")&amp;"-"&amp;E25)</x:f>
      </x:c>
      <x:c r="B25" s="74" t="str">
        <x:v>M15</x:v>
      </x:c>
      <x:c r="C25" s="74"/>
      <x:c r="D25" s="79"/>
      <x:c r="E25" s="74" t="str">
        <x:v>V1.0</x:v>
      </x:c>
      <x:c r="F25" s="68"/>
      <x:c r="G25" s="82"/>
      <x:c r="H25" s="68"/>
      <x:c r="I25" s="68"/>
      <x:c r="J25" s="68"/>
      <x:c r="K25" s="68"/>
      <x:c r="L25" s="82"/>
      <x:c r="M25" s="68"/>
      <x:c r="N25" s="82"/>
      <x:c r="O25" s="84"/>
      <x:c r="P25" s="82"/>
      <x:c r="Q25" s="68"/>
      <x:c r="R25" s="68"/>
      <x:c r="S25" s="68"/>
      <x:c r="T25" s="68"/>
      <x:c r="U25" s="68"/>
      <x:c r="V25" s="90"/>
      <x:c r="W25" s="68"/>
      <x:c r="X25" s="84"/>
      <x:c r="Y25" s="84"/>
      <x:c r="Z25" s="68"/>
      <x:c r="AA25" s="82"/>
      <x:c r="AB25" s="82"/>
      <x:c r="AC25" s="68"/>
      <x:c r="AD25" s="68"/>
      <x:c r="AE25" s="90"/>
      <x:c r="AF25" s="68"/>
      <x:c r="AG25" s="82"/>
      <x:c r="AH25" s="82"/>
      <x:c r="AI25" s="87"/>
    </x:row>
    <x:row r="26">
      <x:c r="A26" s="72" t="str">
        <x:f>IF(OR(C26="",D26=""),"",B26&amp;"-"&amp;UPPER(C26)&amp;"-"&amp;TEXT(D26,"0000")&amp;"-"&amp;E26)</x:f>
      </x:c>
      <x:c r="B26" s="74" t="str">
        <x:v>M15</x:v>
      </x:c>
      <x:c r="C26" s="74"/>
      <x:c r="D26" s="79"/>
      <x:c r="E26" s="74" t="str">
        <x:v>V1.0</x:v>
      </x:c>
      <x:c r="F26" s="68"/>
      <x:c r="G26" s="82"/>
      <x:c r="H26" s="68"/>
      <x:c r="I26" s="68"/>
      <x:c r="J26" s="68"/>
      <x:c r="K26" s="68"/>
      <x:c r="L26" s="82"/>
      <x:c r="M26" s="68"/>
      <x:c r="N26" s="82"/>
      <x:c r="O26" s="84"/>
      <x:c r="P26" s="82"/>
      <x:c r="Q26" s="68"/>
      <x:c r="R26" s="68"/>
      <x:c r="S26" s="68"/>
      <x:c r="T26" s="68"/>
      <x:c r="U26" s="68"/>
      <x:c r="V26" s="90"/>
      <x:c r="W26" s="68"/>
      <x:c r="X26" s="84"/>
      <x:c r="Y26" s="84"/>
      <x:c r="Z26" s="68"/>
      <x:c r="AA26" s="82"/>
      <x:c r="AB26" s="82"/>
      <x:c r="AC26" s="68"/>
      <x:c r="AD26" s="68"/>
      <x:c r="AE26" s="90"/>
      <x:c r="AF26" s="68"/>
      <x:c r="AG26" s="82"/>
      <x:c r="AH26" s="82"/>
      <x:c r="AI26" s="87"/>
    </x:row>
    <x:row r="27">
      <x:c r="A27" s="72" t="str">
        <x:f>IF(OR(C27="",D27=""),"",B27&amp;"-"&amp;UPPER(C27)&amp;"-"&amp;TEXT(D27,"0000")&amp;"-"&amp;E27)</x:f>
      </x:c>
      <x:c r="B27" s="74" t="str">
        <x:v>M15</x:v>
      </x:c>
      <x:c r="C27" s="74"/>
      <x:c r="D27" s="79"/>
      <x:c r="E27" s="74" t="str">
        <x:v>V1.0</x:v>
      </x:c>
      <x:c r="F27" s="68"/>
      <x:c r="G27" s="82"/>
      <x:c r="H27" s="68"/>
      <x:c r="I27" s="68"/>
      <x:c r="J27" s="68"/>
      <x:c r="K27" s="68"/>
      <x:c r="L27" s="82"/>
      <x:c r="M27" s="68"/>
      <x:c r="N27" s="82"/>
      <x:c r="O27" s="84"/>
      <x:c r="P27" s="82"/>
      <x:c r="Q27" s="68"/>
      <x:c r="R27" s="68"/>
      <x:c r="S27" s="68"/>
      <x:c r="T27" s="68"/>
      <x:c r="U27" s="68"/>
      <x:c r="V27" s="90"/>
      <x:c r="W27" s="68"/>
      <x:c r="X27" s="84"/>
      <x:c r="Y27" s="84"/>
      <x:c r="Z27" s="68"/>
      <x:c r="AA27" s="82"/>
      <x:c r="AB27" s="82"/>
      <x:c r="AC27" s="68"/>
      <x:c r="AD27" s="68"/>
      <x:c r="AE27" s="90"/>
      <x:c r="AF27" s="68"/>
      <x:c r="AG27" s="82"/>
      <x:c r="AH27" s="82"/>
      <x:c r="AI27" s="87"/>
    </x:row>
    <x:row r="28">
      <x:c r="A28" s="72" t="str">
        <x:f>IF(OR(C28="",D28=""),"",B28&amp;"-"&amp;UPPER(C28)&amp;"-"&amp;TEXT(D28,"0000")&amp;"-"&amp;E28)</x:f>
      </x:c>
      <x:c r="B28" s="74" t="str">
        <x:v>M15</x:v>
      </x:c>
      <x:c r="C28" s="74"/>
      <x:c r="D28" s="79"/>
      <x:c r="E28" s="74" t="str">
        <x:v>V1.0</x:v>
      </x:c>
      <x:c r="F28" s="68"/>
      <x:c r="G28" s="82"/>
      <x:c r="H28" s="68"/>
      <x:c r="I28" s="68"/>
      <x:c r="J28" s="68"/>
      <x:c r="K28" s="68"/>
      <x:c r="L28" s="82"/>
      <x:c r="M28" s="68"/>
      <x:c r="N28" s="82"/>
      <x:c r="O28" s="84"/>
      <x:c r="P28" s="82"/>
      <x:c r="Q28" s="68"/>
      <x:c r="R28" s="68"/>
      <x:c r="S28" s="68"/>
      <x:c r="T28" s="68"/>
      <x:c r="U28" s="68"/>
      <x:c r="V28" s="90"/>
      <x:c r="W28" s="68"/>
      <x:c r="X28" s="84"/>
      <x:c r="Y28" s="84"/>
      <x:c r="Z28" s="68"/>
      <x:c r="AA28" s="82"/>
      <x:c r="AB28" s="82"/>
      <x:c r="AC28" s="68"/>
      <x:c r="AD28" s="68"/>
      <x:c r="AE28" s="90"/>
      <x:c r="AF28" s="68"/>
      <x:c r="AG28" s="82"/>
      <x:c r="AH28" s="82"/>
      <x:c r="AI28" s="87"/>
    </x:row>
    <x:row r="29">
      <x:c r="A29" s="72" t="str">
        <x:f>IF(OR(C29="",D29=""),"",B29&amp;"-"&amp;UPPER(C29)&amp;"-"&amp;TEXT(D29,"0000")&amp;"-"&amp;E29)</x:f>
      </x:c>
      <x:c r="B29" s="74" t="str">
        <x:v>M15</x:v>
      </x:c>
      <x:c r="C29" s="74"/>
      <x:c r="D29" s="79"/>
      <x:c r="E29" s="74" t="str">
        <x:v>V1.0</x:v>
      </x:c>
      <x:c r="F29" s="68"/>
      <x:c r="G29" s="82"/>
      <x:c r="H29" s="68"/>
      <x:c r="I29" s="68"/>
      <x:c r="J29" s="68"/>
      <x:c r="K29" s="68"/>
      <x:c r="L29" s="82"/>
      <x:c r="M29" s="68"/>
      <x:c r="N29" s="82"/>
      <x:c r="O29" s="84"/>
      <x:c r="P29" s="82"/>
      <x:c r="Q29" s="68"/>
      <x:c r="R29" s="68"/>
      <x:c r="S29" s="68"/>
      <x:c r="T29" s="68"/>
      <x:c r="U29" s="68"/>
      <x:c r="V29" s="90"/>
      <x:c r="W29" s="68"/>
      <x:c r="X29" s="84"/>
      <x:c r="Y29" s="84"/>
      <x:c r="Z29" s="68"/>
      <x:c r="AA29" s="82"/>
      <x:c r="AB29" s="82"/>
      <x:c r="AC29" s="68"/>
      <x:c r="AD29" s="68"/>
      <x:c r="AE29" s="90"/>
      <x:c r="AF29" s="68"/>
      <x:c r="AG29" s="82"/>
      <x:c r="AH29" s="82"/>
      <x:c r="AI29" s="87"/>
    </x:row>
    <x:row r="30">
      <x:c r="A30" s="72" t="str">
        <x:f>IF(OR(C30="",D30=""),"",B30&amp;"-"&amp;UPPER(C30)&amp;"-"&amp;TEXT(D30,"0000")&amp;"-"&amp;E30)</x:f>
      </x:c>
      <x:c r="B30" s="74" t="str">
        <x:v>M15</x:v>
      </x:c>
      <x:c r="C30" s="74"/>
      <x:c r="D30" s="79"/>
      <x:c r="E30" s="74" t="str">
        <x:v>V1.0</x:v>
      </x:c>
      <x:c r="F30" s="68"/>
      <x:c r="G30" s="82"/>
      <x:c r="H30" s="68"/>
      <x:c r="I30" s="68"/>
      <x:c r="J30" s="68"/>
      <x:c r="K30" s="68"/>
      <x:c r="L30" s="82"/>
      <x:c r="M30" s="68"/>
      <x:c r="N30" s="82"/>
      <x:c r="O30" s="84"/>
      <x:c r="P30" s="82"/>
      <x:c r="Q30" s="68"/>
      <x:c r="R30" s="68"/>
      <x:c r="S30" s="68"/>
      <x:c r="T30" s="68"/>
      <x:c r="U30" s="68"/>
      <x:c r="V30" s="90"/>
      <x:c r="W30" s="68"/>
      <x:c r="X30" s="84"/>
      <x:c r="Y30" s="84"/>
      <x:c r="Z30" s="68"/>
      <x:c r="AA30" s="82"/>
      <x:c r="AB30" s="82"/>
      <x:c r="AC30" s="68"/>
      <x:c r="AD30" s="68"/>
      <x:c r="AE30" s="90"/>
      <x:c r="AF30" s="68"/>
      <x:c r="AG30" s="82"/>
      <x:c r="AH30" s="82"/>
      <x:c r="AI30" s="87"/>
    </x:row>
    <x:row r="31">
      <x:c r="A31" s="72" t="str">
        <x:f>IF(OR(C31="",D31=""),"",B31&amp;"-"&amp;UPPER(C31)&amp;"-"&amp;TEXT(D31,"0000")&amp;"-"&amp;E31)</x:f>
      </x:c>
      <x:c r="B31" s="74" t="str">
        <x:v>M15</x:v>
      </x:c>
      <x:c r="C31" s="74"/>
      <x:c r="D31" s="79"/>
      <x:c r="E31" s="74" t="str">
        <x:v>V1.0</x:v>
      </x:c>
      <x:c r="F31" s="68"/>
      <x:c r="G31" s="82"/>
      <x:c r="H31" s="68"/>
      <x:c r="I31" s="68"/>
      <x:c r="J31" s="68"/>
      <x:c r="K31" s="68"/>
      <x:c r="L31" s="82"/>
      <x:c r="M31" s="68"/>
      <x:c r="N31" s="82"/>
      <x:c r="O31" s="84"/>
      <x:c r="P31" s="82"/>
      <x:c r="Q31" s="68"/>
      <x:c r="R31" s="68"/>
      <x:c r="S31" s="68"/>
      <x:c r="T31" s="68"/>
      <x:c r="U31" s="68"/>
      <x:c r="V31" s="90"/>
      <x:c r="W31" s="68"/>
      <x:c r="X31" s="84"/>
      <x:c r="Y31" s="84"/>
      <x:c r="Z31" s="68"/>
      <x:c r="AA31" s="82"/>
      <x:c r="AB31" s="82"/>
      <x:c r="AC31" s="68"/>
      <x:c r="AD31" s="68"/>
      <x:c r="AE31" s="90"/>
      <x:c r="AF31" s="68"/>
      <x:c r="AG31" s="82"/>
      <x:c r="AH31" s="82"/>
      <x:c r="AI31" s="87"/>
    </x:row>
    <x:row r="32">
      <x:c r="A32" s="72" t="str">
        <x:f>IF(OR(C32="",D32=""),"",B32&amp;"-"&amp;UPPER(C32)&amp;"-"&amp;TEXT(D32,"0000")&amp;"-"&amp;E32)</x:f>
      </x:c>
      <x:c r="B32" s="74" t="str">
        <x:v>M15</x:v>
      </x:c>
      <x:c r="C32" s="74"/>
      <x:c r="D32" s="79"/>
      <x:c r="E32" s="74" t="str">
        <x:v>V1.0</x:v>
      </x:c>
      <x:c r="F32" s="68"/>
      <x:c r="G32" s="82"/>
      <x:c r="H32" s="68"/>
      <x:c r="I32" s="68"/>
      <x:c r="J32" s="68"/>
      <x:c r="K32" s="68"/>
      <x:c r="L32" s="82"/>
      <x:c r="M32" s="68"/>
      <x:c r="N32" s="82"/>
      <x:c r="O32" s="84"/>
      <x:c r="P32" s="82"/>
      <x:c r="Q32" s="68"/>
      <x:c r="R32" s="68"/>
      <x:c r="S32" s="68"/>
      <x:c r="T32" s="68"/>
      <x:c r="U32" s="68"/>
      <x:c r="V32" s="90"/>
      <x:c r="W32" s="68"/>
      <x:c r="X32" s="84"/>
      <x:c r="Y32" s="84"/>
      <x:c r="Z32" s="68"/>
      <x:c r="AA32" s="82"/>
      <x:c r="AB32" s="82"/>
      <x:c r="AC32" s="68"/>
      <x:c r="AD32" s="68"/>
      <x:c r="AE32" s="90"/>
      <x:c r="AF32" s="68"/>
      <x:c r="AG32" s="82"/>
      <x:c r="AH32" s="82"/>
      <x:c r="AI32" s="87"/>
    </x:row>
    <x:row r="33">
      <x:c r="A33" s="72" t="str">
        <x:f>IF(OR(C33="",D33=""),"",B33&amp;"-"&amp;UPPER(C33)&amp;"-"&amp;TEXT(D33,"0000")&amp;"-"&amp;E33)</x:f>
      </x:c>
      <x:c r="B33" s="74" t="str">
        <x:v>M15</x:v>
      </x:c>
      <x:c r="C33" s="74"/>
      <x:c r="D33" s="79"/>
      <x:c r="E33" s="74" t="str">
        <x:v>V1.0</x:v>
      </x:c>
      <x:c r="F33" s="68"/>
      <x:c r="G33" s="82"/>
      <x:c r="H33" s="68"/>
      <x:c r="I33" s="68"/>
      <x:c r="J33" s="68"/>
      <x:c r="K33" s="68"/>
      <x:c r="L33" s="82"/>
      <x:c r="M33" s="68"/>
      <x:c r="N33" s="82"/>
      <x:c r="O33" s="84"/>
      <x:c r="P33" s="82"/>
      <x:c r="Q33" s="68"/>
      <x:c r="R33" s="68"/>
      <x:c r="S33" s="68"/>
      <x:c r="T33" s="68"/>
      <x:c r="U33" s="68"/>
      <x:c r="V33" s="90"/>
      <x:c r="W33" s="68"/>
      <x:c r="X33" s="84"/>
      <x:c r="Y33" s="84"/>
      <x:c r="Z33" s="68"/>
      <x:c r="AA33" s="82"/>
      <x:c r="AB33" s="82"/>
      <x:c r="AC33" s="68"/>
      <x:c r="AD33" s="68"/>
      <x:c r="AE33" s="90"/>
      <x:c r="AF33" s="68"/>
      <x:c r="AG33" s="82"/>
      <x:c r="AH33" s="82"/>
      <x:c r="AI33" s="87"/>
    </x:row>
    <x:row r="34">
      <x:c r="A34" s="72" t="str">
        <x:f>IF(OR(C34="",D34=""),"",B34&amp;"-"&amp;UPPER(C34)&amp;"-"&amp;TEXT(D34,"0000")&amp;"-"&amp;E34)</x:f>
      </x:c>
      <x:c r="B34" s="74" t="str">
        <x:v>M15</x:v>
      </x:c>
      <x:c r="C34" s="74"/>
      <x:c r="D34" s="79"/>
      <x:c r="E34" s="74" t="str">
        <x:v>V1.0</x:v>
      </x:c>
      <x:c r="F34" s="68"/>
      <x:c r="G34" s="82"/>
      <x:c r="H34" s="68"/>
      <x:c r="I34" s="68"/>
      <x:c r="J34" s="68"/>
      <x:c r="K34" s="68"/>
      <x:c r="L34" s="82"/>
      <x:c r="M34" s="68"/>
      <x:c r="N34" s="82"/>
      <x:c r="O34" s="84"/>
      <x:c r="P34" s="82"/>
      <x:c r="Q34" s="68"/>
      <x:c r="R34" s="68"/>
      <x:c r="S34" s="68"/>
      <x:c r="T34" s="68"/>
      <x:c r="U34" s="68"/>
      <x:c r="V34" s="90"/>
      <x:c r="W34" s="68"/>
      <x:c r="X34" s="84"/>
      <x:c r="Y34" s="84"/>
      <x:c r="Z34" s="68"/>
      <x:c r="AA34" s="82"/>
      <x:c r="AB34" s="82"/>
      <x:c r="AC34" s="68"/>
      <x:c r="AD34" s="68"/>
      <x:c r="AE34" s="90"/>
      <x:c r="AF34" s="68"/>
      <x:c r="AG34" s="82"/>
      <x:c r="AH34" s="82"/>
      <x:c r="AI34" s="87"/>
    </x:row>
    <x:row r="35">
      <x:c r="A35" s="72" t="str">
        <x:f>IF(OR(C35="",D35=""),"",B35&amp;"-"&amp;UPPER(C35)&amp;"-"&amp;TEXT(D35,"0000")&amp;"-"&amp;E35)</x:f>
      </x:c>
      <x:c r="B35" s="74" t="str">
        <x:v>M15</x:v>
      </x:c>
      <x:c r="C35" s="74"/>
      <x:c r="D35" s="79"/>
      <x:c r="E35" s="74" t="str">
        <x:v>V1.0</x:v>
      </x:c>
      <x:c r="F35" s="68"/>
      <x:c r="G35" s="82"/>
      <x:c r="H35" s="68"/>
      <x:c r="I35" s="68"/>
      <x:c r="J35" s="68"/>
      <x:c r="K35" s="68"/>
      <x:c r="L35" s="82"/>
      <x:c r="M35" s="68"/>
      <x:c r="N35" s="82"/>
      <x:c r="O35" s="84"/>
      <x:c r="P35" s="82"/>
      <x:c r="Q35" s="68"/>
      <x:c r="R35" s="68"/>
      <x:c r="S35" s="68"/>
      <x:c r="T35" s="68"/>
      <x:c r="U35" s="68"/>
      <x:c r="V35" s="90"/>
      <x:c r="W35" s="68"/>
      <x:c r="X35" s="84"/>
      <x:c r="Y35" s="84"/>
      <x:c r="Z35" s="68"/>
      <x:c r="AA35" s="82"/>
      <x:c r="AB35" s="82"/>
      <x:c r="AC35" s="68"/>
      <x:c r="AD35" s="68"/>
      <x:c r="AE35" s="90"/>
      <x:c r="AF35" s="68"/>
      <x:c r="AG35" s="82"/>
      <x:c r="AH35" s="82"/>
      <x:c r="AI35" s="87"/>
    </x:row>
    <x:row r="36">
      <x:c r="A36" s="72" t="str">
        <x:f>IF(OR(C36="",D36=""),"",B36&amp;"-"&amp;UPPER(C36)&amp;"-"&amp;TEXT(D36,"0000")&amp;"-"&amp;E36)</x:f>
      </x:c>
      <x:c r="B36" s="74" t="str">
        <x:v>M15</x:v>
      </x:c>
      <x:c r="C36" s="74"/>
      <x:c r="D36" s="79"/>
      <x:c r="E36" s="74" t="str">
        <x:v>V1.0</x:v>
      </x:c>
      <x:c r="F36" s="68"/>
      <x:c r="G36" s="82"/>
      <x:c r="H36" s="68"/>
      <x:c r="I36" s="68"/>
      <x:c r="J36" s="68"/>
      <x:c r="K36" s="68"/>
      <x:c r="L36" s="82"/>
      <x:c r="M36" s="68"/>
      <x:c r="N36" s="82"/>
      <x:c r="O36" s="84"/>
      <x:c r="P36" s="82"/>
      <x:c r="Q36" s="68"/>
      <x:c r="R36" s="68"/>
      <x:c r="S36" s="68"/>
      <x:c r="T36" s="68"/>
      <x:c r="U36" s="68"/>
      <x:c r="V36" s="90"/>
      <x:c r="W36" s="68"/>
      <x:c r="X36" s="84"/>
      <x:c r="Y36" s="84"/>
      <x:c r="Z36" s="68"/>
      <x:c r="AA36" s="82"/>
      <x:c r="AB36" s="82"/>
      <x:c r="AC36" s="68"/>
      <x:c r="AD36" s="68"/>
      <x:c r="AE36" s="90"/>
      <x:c r="AF36" s="68"/>
      <x:c r="AG36" s="82"/>
      <x:c r="AH36" s="82"/>
      <x:c r="AI36" s="87"/>
    </x:row>
    <x:row r="37">
      <x:c r="A37" s="72" t="str">
        <x:f>IF(OR(C37="",D37=""),"",B37&amp;"-"&amp;UPPER(C37)&amp;"-"&amp;TEXT(D37,"0000")&amp;"-"&amp;E37)</x:f>
      </x:c>
      <x:c r="B37" s="74" t="str">
        <x:v>M15</x:v>
      </x:c>
      <x:c r="C37" s="74"/>
      <x:c r="D37" s="79"/>
      <x:c r="E37" s="74" t="str">
        <x:v>V1.0</x:v>
      </x:c>
      <x:c r="F37" s="68"/>
      <x:c r="G37" s="82"/>
      <x:c r="H37" s="68"/>
      <x:c r="I37" s="68"/>
      <x:c r="J37" s="68"/>
      <x:c r="K37" s="68"/>
      <x:c r="L37" s="82"/>
      <x:c r="M37" s="68"/>
      <x:c r="N37" s="82"/>
      <x:c r="O37" s="84"/>
      <x:c r="P37" s="82"/>
      <x:c r="Q37" s="68"/>
      <x:c r="R37" s="68"/>
      <x:c r="S37" s="68"/>
      <x:c r="T37" s="68"/>
      <x:c r="U37" s="68"/>
      <x:c r="V37" s="90"/>
      <x:c r="W37" s="68"/>
      <x:c r="X37" s="84"/>
      <x:c r="Y37" s="84"/>
      <x:c r="Z37" s="68"/>
      <x:c r="AA37" s="82"/>
      <x:c r="AB37" s="82"/>
      <x:c r="AC37" s="68"/>
      <x:c r="AD37" s="68"/>
      <x:c r="AE37" s="90"/>
      <x:c r="AF37" s="68"/>
      <x:c r="AG37" s="82"/>
      <x:c r="AH37" s="82"/>
      <x:c r="AI37" s="87"/>
    </x:row>
    <x:row r="38">
      <x:c r="A38" s="72" t="str">
        <x:f>IF(OR(C38="",D38=""),"",B38&amp;"-"&amp;UPPER(C38)&amp;"-"&amp;TEXT(D38,"0000")&amp;"-"&amp;E38)</x:f>
      </x:c>
      <x:c r="B38" s="74" t="str">
        <x:v>M15</x:v>
      </x:c>
      <x:c r="C38" s="74"/>
      <x:c r="D38" s="79"/>
      <x:c r="E38" s="74" t="str">
        <x:v>V1.0</x:v>
      </x:c>
      <x:c r="F38" s="68"/>
      <x:c r="G38" s="82"/>
      <x:c r="H38" s="68"/>
      <x:c r="I38" s="68"/>
      <x:c r="J38" s="68"/>
      <x:c r="K38" s="68"/>
      <x:c r="L38" s="82"/>
      <x:c r="M38" s="68"/>
      <x:c r="N38" s="82"/>
      <x:c r="O38" s="84"/>
      <x:c r="P38" s="82"/>
      <x:c r="Q38" s="68"/>
      <x:c r="R38" s="68"/>
      <x:c r="S38" s="68"/>
      <x:c r="T38" s="68"/>
      <x:c r="U38" s="68"/>
      <x:c r="V38" s="90"/>
      <x:c r="W38" s="68"/>
      <x:c r="X38" s="84"/>
      <x:c r="Y38" s="84"/>
      <x:c r="Z38" s="68"/>
      <x:c r="AA38" s="82"/>
      <x:c r="AB38" s="82"/>
      <x:c r="AC38" s="68"/>
      <x:c r="AD38" s="68"/>
      <x:c r="AE38" s="90"/>
      <x:c r="AF38" s="68"/>
      <x:c r="AG38" s="82"/>
      <x:c r="AH38" s="82"/>
      <x:c r="AI38" s="87"/>
    </x:row>
    <x:row r="39">
      <x:c r="A39" s="72" t="str">
        <x:f>IF(OR(C39="",D39=""),"",B39&amp;"-"&amp;UPPER(C39)&amp;"-"&amp;TEXT(D39,"0000")&amp;"-"&amp;E39)</x:f>
      </x:c>
      <x:c r="B39" s="74" t="str">
        <x:v>M15</x:v>
      </x:c>
      <x:c r="C39" s="74"/>
      <x:c r="D39" s="79"/>
      <x:c r="E39" s="74" t="str">
        <x:v>V1.0</x:v>
      </x:c>
      <x:c r="F39" s="68"/>
      <x:c r="G39" s="82"/>
      <x:c r="H39" s="68"/>
      <x:c r="I39" s="68"/>
      <x:c r="J39" s="68"/>
      <x:c r="K39" s="68"/>
      <x:c r="L39" s="82"/>
      <x:c r="M39" s="68"/>
      <x:c r="N39" s="82"/>
      <x:c r="O39" s="84"/>
      <x:c r="P39" s="82"/>
      <x:c r="Q39" s="68"/>
      <x:c r="R39" s="68"/>
      <x:c r="S39" s="68"/>
      <x:c r="T39" s="68"/>
      <x:c r="U39" s="68"/>
      <x:c r="V39" s="90"/>
      <x:c r="W39" s="68"/>
      <x:c r="X39" s="84"/>
      <x:c r="Y39" s="84"/>
      <x:c r="Z39" s="68"/>
      <x:c r="AA39" s="82"/>
      <x:c r="AB39" s="82"/>
      <x:c r="AC39" s="68"/>
      <x:c r="AD39" s="68"/>
      <x:c r="AE39" s="90"/>
      <x:c r="AF39" s="68"/>
      <x:c r="AG39" s="82"/>
      <x:c r="AH39" s="82"/>
      <x:c r="AI39" s="87"/>
    </x:row>
    <x:row r="40">
      <x:c r="A40" s="72" t="str">
        <x:f>IF(OR(C40="",D40=""),"",B40&amp;"-"&amp;UPPER(C40)&amp;"-"&amp;TEXT(D40,"0000")&amp;"-"&amp;E40)</x:f>
      </x:c>
      <x:c r="B40" s="74" t="str">
        <x:v>M15</x:v>
      </x:c>
      <x:c r="C40" s="74"/>
      <x:c r="D40" s="79"/>
      <x:c r="E40" s="74" t="str">
        <x:v>V1.0</x:v>
      </x:c>
      <x:c r="F40" s="68"/>
      <x:c r="G40" s="82"/>
      <x:c r="H40" s="68"/>
      <x:c r="I40" s="68"/>
      <x:c r="J40" s="68"/>
      <x:c r="K40" s="68"/>
      <x:c r="L40" s="82"/>
      <x:c r="M40" s="68"/>
      <x:c r="N40" s="82"/>
      <x:c r="O40" s="84"/>
      <x:c r="P40" s="82"/>
      <x:c r="Q40" s="68"/>
      <x:c r="R40" s="68"/>
      <x:c r="S40" s="68"/>
      <x:c r="T40" s="68"/>
      <x:c r="U40" s="68"/>
      <x:c r="V40" s="90"/>
      <x:c r="W40" s="68"/>
      <x:c r="X40" s="84"/>
      <x:c r="Y40" s="84"/>
      <x:c r="Z40" s="68"/>
      <x:c r="AA40" s="82"/>
      <x:c r="AB40" s="82"/>
      <x:c r="AC40" s="68"/>
      <x:c r="AD40" s="68"/>
      <x:c r="AE40" s="90"/>
      <x:c r="AF40" s="68"/>
      <x:c r="AG40" s="82"/>
      <x:c r="AH40" s="82"/>
      <x:c r="AI40" s="87"/>
    </x:row>
    <x:row r="41">
      <x:c r="A41" s="72" t="str">
        <x:f>IF(OR(C41="",D41=""),"",B41&amp;"-"&amp;UPPER(C41)&amp;"-"&amp;TEXT(D41,"0000")&amp;"-"&amp;E41)</x:f>
      </x:c>
      <x:c r="B41" s="74" t="str">
        <x:v>M15</x:v>
      </x:c>
      <x:c r="C41" s="74"/>
      <x:c r="D41" s="79"/>
      <x:c r="E41" s="74" t="str">
        <x:v>V1.0</x:v>
      </x:c>
      <x:c r="F41" s="68"/>
      <x:c r="G41" s="82"/>
      <x:c r="H41" s="68"/>
      <x:c r="I41" s="68"/>
      <x:c r="J41" s="68"/>
      <x:c r="K41" s="68"/>
      <x:c r="L41" s="82"/>
      <x:c r="M41" s="68"/>
      <x:c r="N41" s="82"/>
      <x:c r="O41" s="84"/>
      <x:c r="P41" s="82"/>
      <x:c r="Q41" s="68"/>
      <x:c r="R41" s="68"/>
      <x:c r="S41" s="68"/>
      <x:c r="T41" s="68"/>
      <x:c r="U41" s="68"/>
      <x:c r="V41" s="90"/>
      <x:c r="W41" s="68"/>
      <x:c r="X41" s="84"/>
      <x:c r="Y41" s="84"/>
      <x:c r="Z41" s="68"/>
      <x:c r="AA41" s="82"/>
      <x:c r="AB41" s="82"/>
      <x:c r="AC41" s="68"/>
      <x:c r="AD41" s="68"/>
      <x:c r="AE41" s="90"/>
      <x:c r="AF41" s="68"/>
      <x:c r="AG41" s="82"/>
      <x:c r="AH41" s="82"/>
      <x:c r="AI41" s="87"/>
    </x:row>
    <x:row r="42">
      <x:c r="A42" s="72" t="str">
        <x:f>IF(OR(C42="",D42=""),"",B42&amp;"-"&amp;UPPER(C42)&amp;"-"&amp;TEXT(D42,"0000")&amp;"-"&amp;E42)</x:f>
      </x:c>
      <x:c r="B42" s="74" t="str">
        <x:v>M15</x:v>
      </x:c>
      <x:c r="C42" s="74"/>
      <x:c r="D42" s="79"/>
      <x:c r="E42" s="74" t="str">
        <x:v>V1.0</x:v>
      </x:c>
      <x:c r="F42" s="68"/>
      <x:c r="G42" s="82"/>
      <x:c r="H42" s="68"/>
      <x:c r="I42" s="68"/>
      <x:c r="J42" s="68"/>
      <x:c r="K42" s="68"/>
      <x:c r="L42" s="82"/>
      <x:c r="M42" s="68"/>
      <x:c r="N42" s="82"/>
      <x:c r="O42" s="84"/>
      <x:c r="P42" s="82"/>
      <x:c r="Q42" s="68"/>
      <x:c r="R42" s="68"/>
      <x:c r="S42" s="68"/>
      <x:c r="T42" s="68"/>
      <x:c r="U42" s="68"/>
      <x:c r="V42" s="90"/>
      <x:c r="W42" s="68"/>
      <x:c r="X42" s="84"/>
      <x:c r="Y42" s="84"/>
      <x:c r="Z42" s="68"/>
      <x:c r="AA42" s="82"/>
      <x:c r="AB42" s="82"/>
      <x:c r="AC42" s="68"/>
      <x:c r="AD42" s="68"/>
      <x:c r="AE42" s="90"/>
      <x:c r="AF42" s="68"/>
      <x:c r="AG42" s="82"/>
      <x:c r="AH42" s="82"/>
      <x:c r="AI42" s="87"/>
    </x:row>
    <x:row r="43">
      <x:c r="A43" s="72" t="str">
        <x:f>IF(OR(C43="",D43=""),"",B43&amp;"-"&amp;UPPER(C43)&amp;"-"&amp;TEXT(D43,"0000")&amp;"-"&amp;E43)</x:f>
      </x:c>
      <x:c r="B43" s="74" t="str">
        <x:v>M15</x:v>
      </x:c>
      <x:c r="C43" s="74"/>
      <x:c r="D43" s="79"/>
      <x:c r="E43" s="74" t="str">
        <x:v>V1.0</x:v>
      </x:c>
      <x:c r="F43" s="68"/>
      <x:c r="G43" s="82"/>
      <x:c r="H43" s="68"/>
      <x:c r="I43" s="68"/>
      <x:c r="J43" s="68"/>
      <x:c r="K43" s="68"/>
      <x:c r="L43" s="82"/>
      <x:c r="M43" s="68"/>
      <x:c r="N43" s="82"/>
      <x:c r="O43" s="84"/>
      <x:c r="P43" s="82"/>
      <x:c r="Q43" s="68"/>
      <x:c r="R43" s="68"/>
      <x:c r="S43" s="68"/>
      <x:c r="T43" s="68"/>
      <x:c r="U43" s="68"/>
      <x:c r="V43" s="90"/>
      <x:c r="W43" s="68"/>
      <x:c r="X43" s="84"/>
      <x:c r="Y43" s="84"/>
      <x:c r="Z43" s="68"/>
      <x:c r="AA43" s="82"/>
      <x:c r="AB43" s="82"/>
      <x:c r="AC43" s="68"/>
      <x:c r="AD43" s="68"/>
      <x:c r="AE43" s="90"/>
      <x:c r="AF43" s="68"/>
      <x:c r="AG43" s="82"/>
      <x:c r="AH43" s="82"/>
      <x:c r="AI43" s="87"/>
    </x:row>
    <x:row r="44">
      <x:c r="A44" s="72" t="str">
        <x:f>IF(OR(C44="",D44=""),"",B44&amp;"-"&amp;UPPER(C44)&amp;"-"&amp;TEXT(D44,"0000")&amp;"-"&amp;E44)</x:f>
      </x:c>
      <x:c r="B44" s="74" t="str">
        <x:v>M15</x:v>
      </x:c>
      <x:c r="C44" s="74"/>
      <x:c r="D44" s="79"/>
      <x:c r="E44" s="74" t="str">
        <x:v>V1.0</x:v>
      </x:c>
      <x:c r="F44" s="68"/>
      <x:c r="G44" s="82"/>
      <x:c r="H44" s="68"/>
      <x:c r="I44" s="68"/>
      <x:c r="J44" s="68"/>
      <x:c r="K44" s="68"/>
      <x:c r="L44" s="82"/>
      <x:c r="M44" s="68"/>
      <x:c r="N44" s="82"/>
      <x:c r="O44" s="84"/>
      <x:c r="P44" s="82"/>
      <x:c r="Q44" s="68"/>
      <x:c r="R44" s="68"/>
      <x:c r="S44" s="68"/>
      <x:c r="T44" s="68"/>
      <x:c r="U44" s="68"/>
      <x:c r="V44" s="90"/>
      <x:c r="W44" s="68"/>
      <x:c r="X44" s="84"/>
      <x:c r="Y44" s="84"/>
      <x:c r="Z44" s="68"/>
      <x:c r="AA44" s="82"/>
      <x:c r="AB44" s="82"/>
      <x:c r="AC44" s="68"/>
      <x:c r="AD44" s="68"/>
      <x:c r="AE44" s="90"/>
      <x:c r="AF44" s="68"/>
      <x:c r="AG44" s="82"/>
      <x:c r="AH44" s="82"/>
      <x:c r="AI44" s="87"/>
    </x:row>
    <x:row r="45">
      <x:c r="A45" s="72" t="str">
        <x:f>IF(OR(C45="",D45=""),"",B45&amp;"-"&amp;UPPER(C45)&amp;"-"&amp;TEXT(D45,"0000")&amp;"-"&amp;E45)</x:f>
      </x:c>
      <x:c r="B45" s="74" t="str">
        <x:v>M15</x:v>
      </x:c>
      <x:c r="C45" s="74"/>
      <x:c r="D45" s="79"/>
      <x:c r="E45" s="74" t="str">
        <x:v>V1.0</x:v>
      </x:c>
      <x:c r="F45" s="68"/>
      <x:c r="G45" s="82"/>
      <x:c r="H45" s="68"/>
      <x:c r="I45" s="68"/>
      <x:c r="J45" s="68"/>
      <x:c r="K45" s="68"/>
      <x:c r="L45" s="82"/>
      <x:c r="M45" s="68"/>
      <x:c r="N45" s="82"/>
      <x:c r="O45" s="84"/>
      <x:c r="P45" s="82"/>
      <x:c r="Q45" s="68"/>
      <x:c r="R45" s="68"/>
      <x:c r="S45" s="68"/>
      <x:c r="T45" s="68"/>
      <x:c r="U45" s="68"/>
      <x:c r="V45" s="90"/>
      <x:c r="W45" s="68"/>
      <x:c r="X45" s="84"/>
      <x:c r="Y45" s="84"/>
      <x:c r="Z45" s="68"/>
      <x:c r="AA45" s="82"/>
      <x:c r="AB45" s="82"/>
      <x:c r="AC45" s="68"/>
      <x:c r="AD45" s="68"/>
      <x:c r="AE45" s="90"/>
      <x:c r="AF45" s="68"/>
      <x:c r="AG45" s="82"/>
      <x:c r="AH45" s="82"/>
      <x:c r="AI45" s="87"/>
    </x:row>
    <x:row r="46">
      <x:c r="A46" s="72" t="str">
        <x:f>IF(OR(C46="",D46=""),"",B46&amp;"-"&amp;UPPER(C46)&amp;"-"&amp;TEXT(D46,"0000")&amp;"-"&amp;E46)</x:f>
      </x:c>
      <x:c r="B46" s="74" t="str">
        <x:v>M15</x:v>
      </x:c>
      <x:c r="C46" s="74"/>
      <x:c r="D46" s="79"/>
      <x:c r="E46" s="74" t="str">
        <x:v>V1.0</x:v>
      </x:c>
      <x:c r="F46" s="68"/>
      <x:c r="G46" s="82"/>
      <x:c r="H46" s="68"/>
      <x:c r="I46" s="68"/>
      <x:c r="J46" s="68"/>
      <x:c r="K46" s="68"/>
      <x:c r="L46" s="82"/>
      <x:c r="M46" s="68"/>
      <x:c r="N46" s="82"/>
      <x:c r="O46" s="84"/>
      <x:c r="P46" s="82"/>
      <x:c r="Q46" s="68"/>
      <x:c r="R46" s="68"/>
      <x:c r="S46" s="68"/>
      <x:c r="T46" s="68"/>
      <x:c r="U46" s="68"/>
      <x:c r="V46" s="90"/>
      <x:c r="W46" s="68"/>
      <x:c r="X46" s="84"/>
      <x:c r="Y46" s="84"/>
      <x:c r="Z46" s="68"/>
      <x:c r="AA46" s="82"/>
      <x:c r="AB46" s="82"/>
      <x:c r="AC46" s="68"/>
      <x:c r="AD46" s="68"/>
      <x:c r="AE46" s="90"/>
      <x:c r="AF46" s="68"/>
      <x:c r="AG46" s="82"/>
      <x:c r="AH46" s="82"/>
      <x:c r="AI46" s="87"/>
    </x:row>
    <x:row r="47">
      <x:c r="A47" s="72" t="str">
        <x:f>IF(OR(C47="",D47=""),"",B47&amp;"-"&amp;UPPER(C47)&amp;"-"&amp;TEXT(D47,"0000")&amp;"-"&amp;E47)</x:f>
      </x:c>
      <x:c r="B47" s="74" t="str">
        <x:v>M15</x:v>
      </x:c>
      <x:c r="C47" s="74"/>
      <x:c r="D47" s="79"/>
      <x:c r="E47" s="74" t="str">
        <x:v>V1.0</x:v>
      </x:c>
      <x:c r="F47" s="68"/>
      <x:c r="G47" s="82"/>
      <x:c r="H47" s="68"/>
      <x:c r="I47" s="68"/>
      <x:c r="J47" s="68"/>
      <x:c r="K47" s="68"/>
      <x:c r="L47" s="82"/>
      <x:c r="M47" s="68"/>
      <x:c r="N47" s="82"/>
      <x:c r="O47" s="84"/>
      <x:c r="P47" s="82"/>
      <x:c r="Q47" s="68"/>
      <x:c r="R47" s="68"/>
      <x:c r="S47" s="68"/>
      <x:c r="T47" s="68"/>
      <x:c r="U47" s="68"/>
      <x:c r="V47" s="90"/>
      <x:c r="W47" s="68"/>
      <x:c r="X47" s="84"/>
      <x:c r="Y47" s="84"/>
      <x:c r="Z47" s="68"/>
      <x:c r="AA47" s="82"/>
      <x:c r="AB47" s="82"/>
      <x:c r="AC47" s="68"/>
      <x:c r="AD47" s="68"/>
      <x:c r="AE47" s="90"/>
      <x:c r="AF47" s="68"/>
      <x:c r="AG47" s="82"/>
      <x:c r="AH47" s="82"/>
      <x:c r="AI47" s="87"/>
    </x:row>
    <x:row r="48">
      <x:c r="A48" s="72" t="str">
        <x:f>IF(OR(C48="",D48=""),"",B48&amp;"-"&amp;UPPER(C48)&amp;"-"&amp;TEXT(D48,"0000")&amp;"-"&amp;E48)</x:f>
      </x:c>
      <x:c r="B48" s="74" t="str">
        <x:v>M15</x:v>
      </x:c>
      <x:c r="C48" s="74"/>
      <x:c r="D48" s="79"/>
      <x:c r="E48" s="74" t="str">
        <x:v>V1.0</x:v>
      </x:c>
      <x:c r="F48" s="68"/>
      <x:c r="G48" s="82"/>
      <x:c r="H48" s="68"/>
      <x:c r="I48" s="68"/>
      <x:c r="J48" s="68"/>
      <x:c r="K48" s="68"/>
      <x:c r="L48" s="82"/>
      <x:c r="M48" s="68"/>
      <x:c r="N48" s="82"/>
      <x:c r="O48" s="84"/>
      <x:c r="P48" s="82"/>
      <x:c r="Q48" s="68"/>
      <x:c r="R48" s="68"/>
      <x:c r="S48" s="68"/>
      <x:c r="T48" s="68"/>
      <x:c r="U48" s="68"/>
      <x:c r="V48" s="90"/>
      <x:c r="W48" s="68"/>
      <x:c r="X48" s="84"/>
      <x:c r="Y48" s="84"/>
      <x:c r="Z48" s="68"/>
      <x:c r="AA48" s="82"/>
      <x:c r="AB48" s="82"/>
      <x:c r="AC48" s="68"/>
      <x:c r="AD48" s="68"/>
      <x:c r="AE48" s="90"/>
      <x:c r="AF48" s="68"/>
      <x:c r="AG48" s="82"/>
      <x:c r="AH48" s="82"/>
      <x:c r="AI48" s="87"/>
    </x:row>
    <x:row r="49">
      <x:c r="A49" s="72" t="str">
        <x:f>IF(OR(C49="",D49=""),"",B49&amp;"-"&amp;UPPER(C49)&amp;"-"&amp;TEXT(D49,"0000")&amp;"-"&amp;E49)</x:f>
      </x:c>
      <x:c r="B49" s="74" t="str">
        <x:v>M15</x:v>
      </x:c>
      <x:c r="C49" s="74"/>
      <x:c r="D49" s="79"/>
      <x:c r="E49" s="74" t="str">
        <x:v>V1.0</x:v>
      </x:c>
      <x:c r="F49" s="68"/>
      <x:c r="G49" s="82"/>
      <x:c r="H49" s="68"/>
      <x:c r="I49" s="68"/>
      <x:c r="J49" s="68"/>
      <x:c r="K49" s="68"/>
      <x:c r="L49" s="82"/>
      <x:c r="M49" s="68"/>
      <x:c r="N49" s="82"/>
      <x:c r="O49" s="84"/>
      <x:c r="P49" s="82"/>
      <x:c r="Q49" s="68"/>
      <x:c r="R49" s="68"/>
      <x:c r="S49" s="68"/>
      <x:c r="T49" s="68"/>
      <x:c r="U49" s="68"/>
      <x:c r="V49" s="90"/>
      <x:c r="W49" s="68"/>
      <x:c r="X49" s="84"/>
      <x:c r="Y49" s="84"/>
      <x:c r="Z49" s="68"/>
      <x:c r="AA49" s="82"/>
      <x:c r="AB49" s="82"/>
      <x:c r="AC49" s="68"/>
      <x:c r="AD49" s="68"/>
      <x:c r="AE49" s="90"/>
      <x:c r="AF49" s="68"/>
      <x:c r="AG49" s="82"/>
      <x:c r="AH49" s="82"/>
      <x:c r="AI49" s="87"/>
    </x:row>
    <x:row r="50">
      <x:c r="A50" s="72" t="str">
        <x:f>IF(OR(C50="",D50=""),"",B50&amp;"-"&amp;UPPER(C50)&amp;"-"&amp;TEXT(D50,"0000")&amp;"-"&amp;E50)</x:f>
      </x:c>
      <x:c r="B50" s="74" t="str">
        <x:v>M15</x:v>
      </x:c>
      <x:c r="C50" s="74"/>
      <x:c r="D50" s="79"/>
      <x:c r="E50" s="74" t="str">
        <x:v>V1.0</x:v>
      </x:c>
      <x:c r="F50" s="68"/>
      <x:c r="G50" s="82"/>
      <x:c r="H50" s="68"/>
      <x:c r="I50" s="68"/>
      <x:c r="J50" s="68"/>
      <x:c r="K50" s="68"/>
      <x:c r="L50" s="82"/>
      <x:c r="M50" s="68"/>
      <x:c r="N50" s="82"/>
      <x:c r="O50" s="84"/>
      <x:c r="P50" s="82"/>
      <x:c r="Q50" s="68"/>
      <x:c r="R50" s="68"/>
      <x:c r="S50" s="68"/>
      <x:c r="T50" s="68"/>
      <x:c r="U50" s="68"/>
      <x:c r="V50" s="90"/>
      <x:c r="W50" s="68"/>
      <x:c r="X50" s="84"/>
      <x:c r="Y50" s="84"/>
      <x:c r="Z50" s="68"/>
      <x:c r="AA50" s="82"/>
      <x:c r="AB50" s="82"/>
      <x:c r="AC50" s="68"/>
      <x:c r="AD50" s="68"/>
      <x:c r="AE50" s="90"/>
      <x:c r="AF50" s="68"/>
      <x:c r="AG50" s="82"/>
      <x:c r="AH50" s="82"/>
      <x:c r="AI50" s="87"/>
    </x:row>
    <x:row r="51">
      <x:c r="A51" s="72" t="str">
        <x:f>IF(OR(C51="",D51=""),"",B51&amp;"-"&amp;UPPER(C51)&amp;"-"&amp;TEXT(D51,"0000")&amp;"-"&amp;E51)</x:f>
      </x:c>
      <x:c r="B51" s="74" t="str">
        <x:v>M15</x:v>
      </x:c>
      <x:c r="C51" s="74"/>
      <x:c r="D51" s="79"/>
      <x:c r="E51" s="74" t="str">
        <x:v>V1.0</x:v>
      </x:c>
      <x:c r="F51" s="68"/>
      <x:c r="G51" s="82"/>
      <x:c r="H51" s="68"/>
      <x:c r="I51" s="68"/>
      <x:c r="J51" s="68"/>
      <x:c r="K51" s="68"/>
      <x:c r="L51" s="82"/>
      <x:c r="M51" s="68"/>
      <x:c r="N51" s="82"/>
      <x:c r="O51" s="84"/>
      <x:c r="P51" s="82"/>
      <x:c r="Q51" s="68"/>
      <x:c r="R51" s="68"/>
      <x:c r="S51" s="68"/>
      <x:c r="T51" s="68"/>
      <x:c r="U51" s="68"/>
      <x:c r="V51" s="90"/>
      <x:c r="W51" s="68"/>
      <x:c r="X51" s="84"/>
      <x:c r="Y51" s="84"/>
      <x:c r="Z51" s="68"/>
      <x:c r="AA51" s="82"/>
      <x:c r="AB51" s="82"/>
      <x:c r="AC51" s="68"/>
      <x:c r="AD51" s="68"/>
      <x:c r="AE51" s="90"/>
      <x:c r="AF51" s="68"/>
      <x:c r="AG51" s="82"/>
      <x:c r="AH51" s="82"/>
      <x:c r="AI51" s="87"/>
    </x:row>
    <x:row r="52">
      <x:c r="A52" s="72" t="str">
        <x:f>IF(OR(C52="",D52=""),"",B52&amp;"-"&amp;UPPER(C52)&amp;"-"&amp;TEXT(D52,"0000")&amp;"-"&amp;E52)</x:f>
      </x:c>
      <x:c r="B52" s="74" t="str">
        <x:v>M15</x:v>
      </x:c>
      <x:c r="C52" s="74"/>
      <x:c r="D52" s="79"/>
      <x:c r="E52" s="74" t="str">
        <x:v>V1.0</x:v>
      </x:c>
      <x:c r="F52" s="68"/>
      <x:c r="G52" s="82"/>
      <x:c r="H52" s="68"/>
      <x:c r="I52" s="68"/>
      <x:c r="J52" s="68"/>
      <x:c r="K52" s="68"/>
      <x:c r="L52" s="82"/>
      <x:c r="M52" s="68"/>
      <x:c r="N52" s="82"/>
      <x:c r="O52" s="84"/>
      <x:c r="P52" s="82"/>
      <x:c r="Q52" s="68"/>
      <x:c r="R52" s="68"/>
      <x:c r="S52" s="68"/>
      <x:c r="T52" s="68"/>
      <x:c r="U52" s="68"/>
      <x:c r="V52" s="90"/>
      <x:c r="W52" s="68"/>
      <x:c r="X52" s="84"/>
      <x:c r="Y52" s="84"/>
      <x:c r="Z52" s="68"/>
      <x:c r="AA52" s="82"/>
      <x:c r="AB52" s="82"/>
      <x:c r="AC52" s="68"/>
      <x:c r="AD52" s="68"/>
      <x:c r="AE52" s="90"/>
      <x:c r="AF52" s="68"/>
      <x:c r="AG52" s="82"/>
      <x:c r="AH52" s="82"/>
      <x:c r="AI52" s="87"/>
    </x:row>
    <x:row r="53">
      <x:c r="A53" s="72" t="str">
        <x:f>IF(OR(C53="",D53=""),"",B53&amp;"-"&amp;UPPER(C53)&amp;"-"&amp;TEXT(D53,"0000")&amp;"-"&amp;E53)</x:f>
      </x:c>
      <x:c r="B53" s="74" t="str">
        <x:v>M15</x:v>
      </x:c>
      <x:c r="C53" s="74"/>
      <x:c r="D53" s="79"/>
      <x:c r="E53" s="74" t="str">
        <x:v>V1.0</x:v>
      </x:c>
      <x:c r="F53" s="68"/>
      <x:c r="G53" s="82"/>
      <x:c r="H53" s="68"/>
      <x:c r="I53" s="68"/>
      <x:c r="J53" s="68"/>
      <x:c r="K53" s="68"/>
      <x:c r="L53" s="82"/>
      <x:c r="M53" s="68"/>
      <x:c r="N53" s="82"/>
      <x:c r="O53" s="84"/>
      <x:c r="P53" s="82"/>
      <x:c r="Q53" s="68"/>
      <x:c r="R53" s="68"/>
      <x:c r="S53" s="68"/>
      <x:c r="T53" s="68"/>
      <x:c r="U53" s="68"/>
      <x:c r="V53" s="90"/>
      <x:c r="W53" s="68"/>
      <x:c r="X53" s="84"/>
      <x:c r="Y53" s="84"/>
      <x:c r="Z53" s="68"/>
      <x:c r="AA53" s="82"/>
      <x:c r="AB53" s="82"/>
      <x:c r="AC53" s="68"/>
      <x:c r="AD53" s="68"/>
      <x:c r="AE53" s="90"/>
      <x:c r="AF53" s="68"/>
      <x:c r="AG53" s="82"/>
      <x:c r="AH53" s="82"/>
      <x:c r="AI53" s="87"/>
    </x:row>
    <x:row r="54">
      <x:c r="A54" s="72" t="str">
        <x:f>IF(OR(C54="",D54=""),"",B54&amp;"-"&amp;UPPER(C54)&amp;"-"&amp;TEXT(D54,"0000")&amp;"-"&amp;E54)</x:f>
      </x:c>
      <x:c r="B54" s="74" t="str">
        <x:v>M15</x:v>
      </x:c>
      <x:c r="C54" s="74"/>
      <x:c r="D54" s="79"/>
      <x:c r="E54" s="74" t="str">
        <x:v>V1.0</x:v>
      </x:c>
      <x:c r="F54" s="68"/>
      <x:c r="G54" s="82"/>
      <x:c r="H54" s="68"/>
      <x:c r="I54" s="68"/>
      <x:c r="J54" s="68"/>
      <x:c r="K54" s="68"/>
      <x:c r="L54" s="82"/>
      <x:c r="M54" s="68"/>
      <x:c r="N54" s="82"/>
      <x:c r="O54" s="84"/>
      <x:c r="P54" s="82"/>
      <x:c r="Q54" s="68"/>
      <x:c r="R54" s="68"/>
      <x:c r="S54" s="68"/>
      <x:c r="T54" s="68"/>
      <x:c r="U54" s="68"/>
      <x:c r="V54" s="90"/>
      <x:c r="W54" s="68"/>
      <x:c r="X54" s="84"/>
      <x:c r="Y54" s="84"/>
      <x:c r="Z54" s="68"/>
      <x:c r="AA54" s="82"/>
      <x:c r="AB54" s="82"/>
      <x:c r="AC54" s="68"/>
      <x:c r="AD54" s="68"/>
      <x:c r="AE54" s="90"/>
      <x:c r="AF54" s="68"/>
      <x:c r="AG54" s="82"/>
      <x:c r="AH54" s="82"/>
      <x:c r="AI54" s="87"/>
    </x:row>
    <x:row r="55">
      <x:c r="A55" s="72" t="str">
        <x:f>IF(OR(C55="",D55=""),"",B55&amp;"-"&amp;UPPER(C55)&amp;"-"&amp;TEXT(D55,"0000")&amp;"-"&amp;E55)</x:f>
      </x:c>
      <x:c r="B55" s="74" t="str">
        <x:v>M15</x:v>
      </x:c>
      <x:c r="C55" s="74"/>
      <x:c r="D55" s="79"/>
      <x:c r="E55" s="74" t="str">
        <x:v>V1.0</x:v>
      </x:c>
      <x:c r="F55" s="68"/>
      <x:c r="G55" s="82"/>
      <x:c r="H55" s="68"/>
      <x:c r="I55" s="68"/>
      <x:c r="J55" s="68"/>
      <x:c r="K55" s="68"/>
      <x:c r="L55" s="82"/>
      <x:c r="M55" s="68"/>
      <x:c r="N55" s="82"/>
      <x:c r="O55" s="84"/>
      <x:c r="P55" s="82"/>
      <x:c r="Q55" s="68"/>
      <x:c r="R55" s="68"/>
      <x:c r="S55" s="68"/>
      <x:c r="T55" s="68"/>
      <x:c r="U55" s="68"/>
      <x:c r="V55" s="90"/>
      <x:c r="W55" s="68"/>
      <x:c r="X55" s="84"/>
      <x:c r="Y55" s="84"/>
      <x:c r="Z55" s="68"/>
      <x:c r="AA55" s="82"/>
      <x:c r="AB55" s="82"/>
      <x:c r="AC55" s="68"/>
      <x:c r="AD55" s="68"/>
      <x:c r="AE55" s="90"/>
      <x:c r="AF55" s="68"/>
      <x:c r="AG55" s="82"/>
      <x:c r="AH55" s="82"/>
      <x:c r="AI55" s="87"/>
    </x:row>
    <x:row r="56">
      <x:c r="A56" s="72" t="str">
        <x:f>IF(OR(C56="",D56=""),"",B56&amp;"-"&amp;UPPER(C56)&amp;"-"&amp;TEXT(D56,"0000")&amp;"-"&amp;E56)</x:f>
      </x:c>
      <x:c r="B56" s="74" t="str">
        <x:v>M15</x:v>
      </x:c>
      <x:c r="C56" s="74"/>
      <x:c r="D56" s="79"/>
      <x:c r="E56" s="74" t="str">
        <x:v>V1.0</x:v>
      </x:c>
      <x:c r="F56" s="68"/>
      <x:c r="G56" s="82"/>
      <x:c r="H56" s="68"/>
      <x:c r="I56" s="68"/>
      <x:c r="J56" s="68"/>
      <x:c r="K56" s="68"/>
      <x:c r="L56" s="82"/>
      <x:c r="M56" s="68"/>
      <x:c r="N56" s="82"/>
      <x:c r="O56" s="84"/>
      <x:c r="P56" s="82"/>
      <x:c r="Q56" s="68"/>
      <x:c r="R56" s="68"/>
      <x:c r="S56" s="68"/>
      <x:c r="T56" s="68"/>
      <x:c r="U56" s="68"/>
      <x:c r="V56" s="90"/>
      <x:c r="W56" s="68"/>
      <x:c r="X56" s="84"/>
      <x:c r="Y56" s="84"/>
      <x:c r="Z56" s="68"/>
      <x:c r="AA56" s="82"/>
      <x:c r="AB56" s="82"/>
      <x:c r="AC56" s="68"/>
      <x:c r="AD56" s="68"/>
      <x:c r="AE56" s="90"/>
      <x:c r="AF56" s="68"/>
      <x:c r="AG56" s="82"/>
      <x:c r="AH56" s="82"/>
      <x:c r="AI56" s="87"/>
    </x:row>
    <x:row r="57">
      <x:c r="A57" s="72" t="str">
        <x:f>IF(OR(C57="",D57=""),"",B57&amp;"-"&amp;UPPER(C57)&amp;"-"&amp;TEXT(D57,"0000")&amp;"-"&amp;E57)</x:f>
      </x:c>
      <x:c r="B57" s="74" t="str">
        <x:v>M15</x:v>
      </x:c>
      <x:c r="C57" s="74"/>
      <x:c r="D57" s="79"/>
      <x:c r="E57" s="74" t="str">
        <x:v>V1.0</x:v>
      </x:c>
      <x:c r="F57" s="68"/>
      <x:c r="G57" s="82"/>
      <x:c r="H57" s="68"/>
      <x:c r="I57" s="68"/>
      <x:c r="J57" s="68"/>
      <x:c r="K57" s="68"/>
      <x:c r="L57" s="82"/>
      <x:c r="M57" s="68"/>
      <x:c r="N57" s="82"/>
      <x:c r="O57" s="84"/>
      <x:c r="P57" s="82"/>
      <x:c r="Q57" s="68"/>
      <x:c r="R57" s="68"/>
      <x:c r="S57" s="68"/>
      <x:c r="T57" s="68"/>
      <x:c r="U57" s="68"/>
      <x:c r="V57" s="90"/>
      <x:c r="W57" s="68"/>
      <x:c r="X57" s="84"/>
      <x:c r="Y57" s="84"/>
      <x:c r="Z57" s="68"/>
      <x:c r="AA57" s="82"/>
      <x:c r="AB57" s="82"/>
      <x:c r="AC57" s="68"/>
      <x:c r="AD57" s="68"/>
      <x:c r="AE57" s="90"/>
      <x:c r="AF57" s="68"/>
      <x:c r="AG57" s="82"/>
      <x:c r="AH57" s="82"/>
      <x:c r="AI57" s="87"/>
    </x:row>
    <x:row r="58">
      <x:c r="A58" s="72" t="str">
        <x:f>IF(OR(C58="",D58=""),"",B58&amp;"-"&amp;UPPER(C58)&amp;"-"&amp;TEXT(D58,"0000")&amp;"-"&amp;E58)</x:f>
      </x:c>
      <x:c r="B58" s="74" t="str">
        <x:v>M15</x:v>
      </x:c>
      <x:c r="C58" s="74"/>
      <x:c r="D58" s="79"/>
      <x:c r="E58" s="74" t="str">
        <x:v>V1.0</x:v>
      </x:c>
      <x:c r="F58" s="68"/>
      <x:c r="G58" s="82"/>
      <x:c r="H58" s="68"/>
      <x:c r="I58" s="68"/>
      <x:c r="J58" s="68"/>
      <x:c r="K58" s="68"/>
      <x:c r="L58" s="82"/>
      <x:c r="M58" s="68"/>
      <x:c r="N58" s="82"/>
      <x:c r="O58" s="84"/>
      <x:c r="P58" s="82"/>
      <x:c r="Q58" s="68"/>
      <x:c r="R58" s="68"/>
      <x:c r="S58" s="68"/>
      <x:c r="T58" s="68"/>
      <x:c r="U58" s="68"/>
      <x:c r="V58" s="90"/>
      <x:c r="W58" s="68"/>
      <x:c r="X58" s="84"/>
      <x:c r="Y58" s="84"/>
      <x:c r="Z58" s="68"/>
      <x:c r="AA58" s="82"/>
      <x:c r="AB58" s="82"/>
      <x:c r="AC58" s="68"/>
      <x:c r="AD58" s="68"/>
      <x:c r="AE58" s="90"/>
      <x:c r="AF58" s="68"/>
      <x:c r="AG58" s="82"/>
      <x:c r="AH58" s="82"/>
      <x:c r="AI58" s="87"/>
    </x:row>
    <x:row r="59">
      <x:c r="A59" s="72" t="str">
        <x:f>IF(OR(C59="",D59=""),"",B59&amp;"-"&amp;UPPER(C59)&amp;"-"&amp;TEXT(D59,"0000")&amp;"-"&amp;E59)</x:f>
      </x:c>
      <x:c r="B59" s="74" t="str">
        <x:v>M15</x:v>
      </x:c>
      <x:c r="C59" s="74"/>
      <x:c r="D59" s="79"/>
      <x:c r="E59" s="74" t="str">
        <x:v>V1.0</x:v>
      </x:c>
      <x:c r="F59" s="68"/>
      <x:c r="G59" s="82"/>
      <x:c r="H59" s="68"/>
      <x:c r="I59" s="68"/>
      <x:c r="J59" s="68"/>
      <x:c r="K59" s="68"/>
      <x:c r="L59" s="82"/>
      <x:c r="M59" s="68"/>
      <x:c r="N59" s="82"/>
      <x:c r="O59" s="84"/>
      <x:c r="P59" s="82"/>
      <x:c r="Q59" s="68"/>
      <x:c r="R59" s="68"/>
      <x:c r="S59" s="68"/>
      <x:c r="T59" s="68"/>
      <x:c r="U59" s="68"/>
      <x:c r="V59" s="90"/>
      <x:c r="W59" s="68"/>
      <x:c r="X59" s="84"/>
      <x:c r="Y59" s="84"/>
      <x:c r="Z59" s="68"/>
      <x:c r="AA59" s="82"/>
      <x:c r="AB59" s="82"/>
      <x:c r="AC59" s="68"/>
      <x:c r="AD59" s="68"/>
      <x:c r="AE59" s="90"/>
      <x:c r="AF59" s="68"/>
      <x:c r="AG59" s="82"/>
      <x:c r="AH59" s="82"/>
      <x:c r="AI59" s="87"/>
    </x:row>
    <x:row r="60">
      <x:c r="A60" s="72" t="str">
        <x:f>IF(OR(C60="",D60=""),"",B60&amp;"-"&amp;UPPER(C60)&amp;"-"&amp;TEXT(D60,"0000")&amp;"-"&amp;E60)</x:f>
      </x:c>
      <x:c r="B60" s="74" t="str">
        <x:v>M15</x:v>
      </x:c>
      <x:c r="C60" s="74"/>
      <x:c r="D60" s="79"/>
      <x:c r="E60" s="74" t="str">
        <x:v>V1.0</x:v>
      </x:c>
      <x:c r="F60" s="68"/>
      <x:c r="G60" s="82"/>
      <x:c r="H60" s="68"/>
      <x:c r="I60" s="68"/>
      <x:c r="J60" s="68"/>
      <x:c r="K60" s="68"/>
      <x:c r="L60" s="82"/>
      <x:c r="M60" s="68"/>
      <x:c r="N60" s="82"/>
      <x:c r="O60" s="84"/>
      <x:c r="P60" s="82"/>
      <x:c r="Q60" s="68"/>
      <x:c r="R60" s="68"/>
      <x:c r="S60" s="68"/>
      <x:c r="T60" s="68"/>
      <x:c r="U60" s="68"/>
      <x:c r="V60" s="90"/>
      <x:c r="W60" s="68"/>
      <x:c r="X60" s="84"/>
      <x:c r="Y60" s="84"/>
      <x:c r="Z60" s="68"/>
      <x:c r="AA60" s="82"/>
      <x:c r="AB60" s="82"/>
      <x:c r="AC60" s="68"/>
      <x:c r="AD60" s="68"/>
      <x:c r="AE60" s="90"/>
      <x:c r="AF60" s="68"/>
      <x:c r="AG60" s="82"/>
      <x:c r="AH60" s="82"/>
      <x:c r="AI60" s="87"/>
    </x:row>
    <x:row r="61">
      <x:c r="A61" s="72" t="str">
        <x:f>IF(OR(C61="",D61=""),"",B61&amp;"-"&amp;UPPER(C61)&amp;"-"&amp;TEXT(D61,"0000")&amp;"-"&amp;E61)</x:f>
      </x:c>
      <x:c r="B61" s="74" t="str">
        <x:v>M15</x:v>
      </x:c>
      <x:c r="C61" s="74"/>
      <x:c r="D61" s="79"/>
      <x:c r="E61" s="74" t="str">
        <x:v>V1.0</x:v>
      </x:c>
      <x:c r="F61" s="68"/>
      <x:c r="G61" s="82"/>
      <x:c r="H61" s="68"/>
      <x:c r="I61" s="68"/>
      <x:c r="J61" s="68"/>
      <x:c r="K61" s="68"/>
      <x:c r="L61" s="82"/>
      <x:c r="M61" s="68"/>
      <x:c r="N61" s="82"/>
      <x:c r="O61" s="84"/>
      <x:c r="P61" s="82"/>
      <x:c r="Q61" s="68"/>
      <x:c r="R61" s="68"/>
      <x:c r="S61" s="68"/>
      <x:c r="T61" s="68"/>
      <x:c r="U61" s="68"/>
      <x:c r="V61" s="90"/>
      <x:c r="W61" s="68"/>
      <x:c r="X61" s="84"/>
      <x:c r="Y61" s="84"/>
      <x:c r="Z61" s="68"/>
      <x:c r="AA61" s="82"/>
      <x:c r="AB61" s="82"/>
      <x:c r="AC61" s="68"/>
      <x:c r="AD61" s="68"/>
      <x:c r="AE61" s="90"/>
      <x:c r="AF61" s="68"/>
      <x:c r="AG61" s="82"/>
      <x:c r="AH61" s="82"/>
      <x:c r="AI61" s="87"/>
    </x:row>
    <x:row r="62">
      <x:c r="A62" s="72" t="str">
        <x:f>IF(OR(C62="",D62=""),"",B62&amp;"-"&amp;UPPER(C62)&amp;"-"&amp;TEXT(D62,"0000")&amp;"-"&amp;E62)</x:f>
      </x:c>
      <x:c r="B62" s="74" t="str">
        <x:v>M15</x:v>
      </x:c>
      <x:c r="C62" s="74"/>
      <x:c r="D62" s="79"/>
      <x:c r="E62" s="74" t="str">
        <x:v>V1.0</x:v>
      </x:c>
      <x:c r="F62" s="68"/>
      <x:c r="G62" s="82"/>
      <x:c r="H62" s="68"/>
      <x:c r="I62" s="68"/>
      <x:c r="J62" s="68"/>
      <x:c r="K62" s="68"/>
      <x:c r="L62" s="82"/>
      <x:c r="M62" s="68"/>
      <x:c r="N62" s="82"/>
      <x:c r="O62" s="84"/>
      <x:c r="P62" s="82"/>
      <x:c r="Q62" s="68"/>
      <x:c r="R62" s="68"/>
      <x:c r="S62" s="68"/>
      <x:c r="T62" s="68"/>
      <x:c r="U62" s="68"/>
      <x:c r="V62" s="90"/>
      <x:c r="W62" s="68"/>
      <x:c r="X62" s="84"/>
      <x:c r="Y62" s="84"/>
      <x:c r="Z62" s="68"/>
      <x:c r="AA62" s="82"/>
      <x:c r="AB62" s="82"/>
      <x:c r="AC62" s="68"/>
      <x:c r="AD62" s="68"/>
      <x:c r="AE62" s="90"/>
      <x:c r="AF62" s="68"/>
      <x:c r="AG62" s="82"/>
      <x:c r="AH62" s="82"/>
      <x:c r="AI62" s="87"/>
    </x:row>
    <x:row r="63">
      <x:c r="A63" s="72" t="str">
        <x:f>IF(OR(C63="",D63=""),"",B63&amp;"-"&amp;UPPER(C63)&amp;"-"&amp;TEXT(D63,"0000")&amp;"-"&amp;E63)</x:f>
      </x:c>
      <x:c r="B63" s="74" t="str">
        <x:v>M15</x:v>
      </x:c>
      <x:c r="C63" s="74"/>
      <x:c r="D63" s="79"/>
      <x:c r="E63" s="74" t="str">
        <x:v>V1.0</x:v>
      </x:c>
      <x:c r="F63" s="68"/>
      <x:c r="G63" s="82"/>
      <x:c r="H63" s="68"/>
      <x:c r="I63" s="68"/>
      <x:c r="J63" s="68"/>
      <x:c r="K63" s="68"/>
      <x:c r="L63" s="82"/>
      <x:c r="M63" s="68"/>
      <x:c r="N63" s="82"/>
      <x:c r="O63" s="84"/>
      <x:c r="P63" s="82"/>
      <x:c r="Q63" s="68"/>
      <x:c r="R63" s="68"/>
      <x:c r="S63" s="68"/>
      <x:c r="T63" s="68"/>
      <x:c r="U63" s="68"/>
      <x:c r="V63" s="90"/>
      <x:c r="W63" s="68"/>
      <x:c r="X63" s="84"/>
      <x:c r="Y63" s="84"/>
      <x:c r="Z63" s="68"/>
      <x:c r="AA63" s="82"/>
      <x:c r="AB63" s="82"/>
      <x:c r="AC63" s="68"/>
      <x:c r="AD63" s="68"/>
      <x:c r="AE63" s="90"/>
      <x:c r="AF63" s="68"/>
      <x:c r="AG63" s="82"/>
      <x:c r="AH63" s="82"/>
      <x:c r="AI63" s="87"/>
    </x:row>
    <x:row r="64">
      <x:c r="A64" s="72" t="str">
        <x:f>IF(OR(C64="",D64=""),"",B64&amp;"-"&amp;UPPER(C64)&amp;"-"&amp;TEXT(D64,"0000")&amp;"-"&amp;E64)</x:f>
      </x:c>
      <x:c r="B64" s="74" t="str">
        <x:v>M15</x:v>
      </x:c>
      <x:c r="C64" s="74"/>
      <x:c r="D64" s="79"/>
      <x:c r="E64" s="74" t="str">
        <x:v>V1.0</x:v>
      </x:c>
      <x:c r="F64" s="68"/>
      <x:c r="G64" s="82"/>
      <x:c r="H64" s="68"/>
      <x:c r="I64" s="68"/>
      <x:c r="J64" s="68"/>
      <x:c r="K64" s="68"/>
      <x:c r="L64" s="82"/>
      <x:c r="M64" s="68"/>
      <x:c r="N64" s="82"/>
      <x:c r="O64" s="84"/>
      <x:c r="P64" s="82"/>
      <x:c r="Q64" s="68"/>
      <x:c r="R64" s="68"/>
      <x:c r="S64" s="68"/>
      <x:c r="T64" s="68"/>
      <x:c r="U64" s="68"/>
      <x:c r="V64" s="90"/>
      <x:c r="W64" s="68"/>
      <x:c r="X64" s="84"/>
      <x:c r="Y64" s="84"/>
      <x:c r="Z64" s="68"/>
      <x:c r="AA64" s="82"/>
      <x:c r="AB64" s="82"/>
      <x:c r="AC64" s="68"/>
      <x:c r="AD64" s="68"/>
      <x:c r="AE64" s="90"/>
      <x:c r="AF64" s="68"/>
      <x:c r="AG64" s="82"/>
      <x:c r="AH64" s="82"/>
      <x:c r="AI64" s="87"/>
    </x:row>
    <x:row r="65">
      <x:c r="A65" s="72" t="str">
        <x:f>IF(OR(C65="",D65=""),"",B65&amp;"-"&amp;UPPER(C65)&amp;"-"&amp;TEXT(D65,"0000")&amp;"-"&amp;E65)</x:f>
      </x:c>
      <x:c r="B65" s="74" t="str">
        <x:v>M15</x:v>
      </x:c>
      <x:c r="C65" s="74"/>
      <x:c r="D65" s="79"/>
      <x:c r="E65" s="74" t="str">
        <x:v>V1.0</x:v>
      </x:c>
      <x:c r="F65" s="68"/>
      <x:c r="G65" s="82"/>
      <x:c r="H65" s="68"/>
      <x:c r="I65" s="68"/>
      <x:c r="J65" s="68"/>
      <x:c r="K65" s="68"/>
      <x:c r="L65" s="82"/>
      <x:c r="M65" s="68"/>
      <x:c r="N65" s="82"/>
      <x:c r="O65" s="84"/>
      <x:c r="P65" s="82"/>
      <x:c r="Q65" s="68"/>
      <x:c r="R65" s="68"/>
      <x:c r="S65" s="68"/>
      <x:c r="T65" s="68"/>
      <x:c r="U65" s="68"/>
      <x:c r="V65" s="90"/>
      <x:c r="W65" s="68"/>
      <x:c r="X65" s="84"/>
      <x:c r="Y65" s="84"/>
      <x:c r="Z65" s="68"/>
      <x:c r="AA65" s="82"/>
      <x:c r="AB65" s="82"/>
      <x:c r="AC65" s="68"/>
      <x:c r="AD65" s="68"/>
      <x:c r="AE65" s="90"/>
      <x:c r="AF65" s="68"/>
      <x:c r="AG65" s="82"/>
      <x:c r="AH65" s="82"/>
      <x:c r="AI65" s="87"/>
    </x:row>
    <x:row r="66">
      <x:c r="A66" s="72" t="str">
        <x:f>IF(OR(C66="",D66=""),"",B66&amp;"-"&amp;UPPER(C66)&amp;"-"&amp;TEXT(D66,"0000")&amp;"-"&amp;E66)</x:f>
      </x:c>
      <x:c r="B66" s="74" t="str">
        <x:v>M15</x:v>
      </x:c>
      <x:c r="C66" s="74"/>
      <x:c r="D66" s="79"/>
      <x:c r="E66" s="74" t="str">
        <x:v>V1.0</x:v>
      </x:c>
      <x:c r="F66" s="68"/>
      <x:c r="G66" s="82"/>
      <x:c r="H66" s="68"/>
      <x:c r="I66" s="68"/>
      <x:c r="J66" s="68"/>
      <x:c r="K66" s="68"/>
      <x:c r="L66" s="82"/>
      <x:c r="M66" s="68"/>
      <x:c r="N66" s="82"/>
      <x:c r="O66" s="84"/>
      <x:c r="P66" s="82"/>
      <x:c r="Q66" s="68"/>
      <x:c r="R66" s="68"/>
      <x:c r="S66" s="68"/>
      <x:c r="T66" s="68"/>
      <x:c r="U66" s="68"/>
      <x:c r="V66" s="90"/>
      <x:c r="W66" s="68"/>
      <x:c r="X66" s="84"/>
      <x:c r="Y66" s="84"/>
      <x:c r="Z66" s="68"/>
      <x:c r="AA66" s="82"/>
      <x:c r="AB66" s="82"/>
      <x:c r="AC66" s="68"/>
      <x:c r="AD66" s="68"/>
      <x:c r="AE66" s="90"/>
      <x:c r="AF66" s="68"/>
      <x:c r="AG66" s="82"/>
      <x:c r="AH66" s="82"/>
      <x:c r="AI66" s="87"/>
    </x:row>
    <x:row r="67">
      <x:c r="A67" s="72" t="str">
        <x:f>IF(OR(C67="",D67=""),"",B67&amp;"-"&amp;UPPER(C67)&amp;"-"&amp;TEXT(D67,"0000")&amp;"-"&amp;E67)</x:f>
      </x:c>
      <x:c r="B67" s="74" t="str">
        <x:v>M15</x:v>
      </x:c>
      <x:c r="C67" s="74"/>
      <x:c r="D67" s="79"/>
      <x:c r="E67" s="74" t="str">
        <x:v>V1.0</x:v>
      </x:c>
      <x:c r="F67" s="68"/>
      <x:c r="G67" s="82"/>
      <x:c r="H67" s="68"/>
      <x:c r="I67" s="68"/>
      <x:c r="J67" s="68"/>
      <x:c r="K67" s="68"/>
      <x:c r="L67" s="82"/>
      <x:c r="M67" s="68"/>
      <x:c r="N67" s="82"/>
      <x:c r="O67" s="84"/>
      <x:c r="P67" s="82"/>
      <x:c r="Q67" s="68"/>
      <x:c r="R67" s="68"/>
      <x:c r="S67" s="68"/>
      <x:c r="T67" s="68"/>
      <x:c r="U67" s="68"/>
      <x:c r="V67" s="90"/>
      <x:c r="W67" s="68"/>
      <x:c r="X67" s="84"/>
      <x:c r="Y67" s="84"/>
      <x:c r="Z67" s="68"/>
      <x:c r="AA67" s="82"/>
      <x:c r="AB67" s="82"/>
      <x:c r="AC67" s="68"/>
      <x:c r="AD67" s="68"/>
      <x:c r="AE67" s="90"/>
      <x:c r="AF67" s="68"/>
      <x:c r="AG67" s="82"/>
      <x:c r="AH67" s="82"/>
      <x:c r="AI67" s="87"/>
    </x:row>
    <x:row r="68">
      <x:c r="A68" s="72" t="str">
        <x:f>IF(OR(C68="",D68=""),"",B68&amp;"-"&amp;UPPER(C68)&amp;"-"&amp;TEXT(D68,"0000")&amp;"-"&amp;E68)</x:f>
      </x:c>
      <x:c r="B68" s="74" t="str">
        <x:v>M15</x:v>
      </x:c>
      <x:c r="C68" s="74"/>
      <x:c r="D68" s="79"/>
      <x:c r="E68" s="74" t="str">
        <x:v>V1.0</x:v>
      </x:c>
      <x:c r="F68" s="68"/>
      <x:c r="G68" s="82"/>
      <x:c r="H68" s="68"/>
      <x:c r="I68" s="68"/>
      <x:c r="J68" s="68"/>
      <x:c r="K68" s="68"/>
      <x:c r="L68" s="82"/>
      <x:c r="M68" s="68"/>
      <x:c r="N68" s="82"/>
      <x:c r="O68" s="84"/>
      <x:c r="P68" s="82"/>
      <x:c r="Q68" s="68"/>
      <x:c r="R68" s="68"/>
      <x:c r="S68" s="68"/>
      <x:c r="T68" s="68"/>
      <x:c r="U68" s="68"/>
      <x:c r="V68" s="90"/>
      <x:c r="W68" s="68"/>
      <x:c r="X68" s="84"/>
      <x:c r="Y68" s="84"/>
      <x:c r="Z68" s="68"/>
      <x:c r="AA68" s="82"/>
      <x:c r="AB68" s="82"/>
      <x:c r="AC68" s="68"/>
      <x:c r="AD68" s="68"/>
      <x:c r="AE68" s="90"/>
      <x:c r="AF68" s="68"/>
      <x:c r="AG68" s="82"/>
      <x:c r="AH68" s="82"/>
      <x:c r="AI68" s="87"/>
    </x:row>
    <x:row r="69">
      <x:c r="A69" s="72" t="str">
        <x:f>IF(OR(C69="",D69=""),"",B69&amp;"-"&amp;UPPER(C69)&amp;"-"&amp;TEXT(D69,"0000")&amp;"-"&amp;E69)</x:f>
      </x:c>
      <x:c r="B69" s="74" t="str">
        <x:v>M15</x:v>
      </x:c>
      <x:c r="C69" s="74"/>
      <x:c r="D69" s="79"/>
      <x:c r="E69" s="74" t="str">
        <x:v>V1.0</x:v>
      </x:c>
      <x:c r="F69" s="68"/>
      <x:c r="G69" s="82"/>
      <x:c r="H69" s="68"/>
      <x:c r="I69" s="68"/>
      <x:c r="J69" s="68"/>
      <x:c r="K69" s="68"/>
      <x:c r="L69" s="82"/>
      <x:c r="M69" s="68"/>
      <x:c r="N69" s="82"/>
      <x:c r="O69" s="84"/>
      <x:c r="P69" s="82"/>
      <x:c r="Q69" s="68"/>
      <x:c r="R69" s="68"/>
      <x:c r="S69" s="68"/>
      <x:c r="T69" s="68"/>
      <x:c r="U69" s="68"/>
      <x:c r="V69" s="90"/>
      <x:c r="W69" s="68"/>
      <x:c r="X69" s="84"/>
      <x:c r="Y69" s="84"/>
      <x:c r="Z69" s="68"/>
      <x:c r="AA69" s="82"/>
      <x:c r="AB69" s="82"/>
      <x:c r="AC69" s="68"/>
      <x:c r="AD69" s="68"/>
      <x:c r="AE69" s="90"/>
      <x:c r="AF69" s="68"/>
      <x:c r="AG69" s="82"/>
      <x:c r="AH69" s="82"/>
      <x:c r="AI69" s="87"/>
    </x:row>
    <x:row r="70">
      <x:c r="A70" s="72" t="str">
        <x:f>IF(OR(C70="",D70=""),"",B70&amp;"-"&amp;UPPER(C70)&amp;"-"&amp;TEXT(D70,"0000")&amp;"-"&amp;E70)</x:f>
      </x:c>
      <x:c r="B70" s="74" t="str">
        <x:v>M15</x:v>
      </x:c>
      <x:c r="C70" s="74"/>
      <x:c r="D70" s="79"/>
      <x:c r="E70" s="74" t="str">
        <x:v>V1.0</x:v>
      </x:c>
      <x:c r="F70" s="68"/>
      <x:c r="G70" s="82"/>
      <x:c r="H70" s="68"/>
      <x:c r="I70" s="68"/>
      <x:c r="J70" s="68"/>
      <x:c r="K70" s="68"/>
      <x:c r="L70" s="82"/>
      <x:c r="M70" s="68"/>
      <x:c r="N70" s="82"/>
      <x:c r="O70" s="84"/>
      <x:c r="P70" s="82"/>
      <x:c r="Q70" s="68"/>
      <x:c r="R70" s="68"/>
      <x:c r="S70" s="68"/>
      <x:c r="T70" s="68"/>
      <x:c r="U70" s="68"/>
      <x:c r="V70" s="90"/>
      <x:c r="W70" s="68"/>
      <x:c r="X70" s="84"/>
      <x:c r="Y70" s="84"/>
      <x:c r="Z70" s="68"/>
      <x:c r="AA70" s="82"/>
      <x:c r="AB70" s="82"/>
      <x:c r="AC70" s="68"/>
      <x:c r="AD70" s="68"/>
      <x:c r="AE70" s="90"/>
      <x:c r="AF70" s="68"/>
      <x:c r="AG70" s="82"/>
      <x:c r="AH70" s="82"/>
      <x:c r="AI70" s="87"/>
    </x:row>
    <x:row r="71">
      <x:c r="A71" s="72" t="str">
        <x:f>IF(OR(C71="",D71=""),"",B71&amp;"-"&amp;UPPER(C71)&amp;"-"&amp;TEXT(D71,"0000")&amp;"-"&amp;E71)</x:f>
      </x:c>
      <x:c r="B71" s="74" t="str">
        <x:v>M15</x:v>
      </x:c>
      <x:c r="C71" s="74"/>
      <x:c r="D71" s="79"/>
      <x:c r="E71" s="74" t="str">
        <x:v>V1.0</x:v>
      </x:c>
      <x:c r="F71" s="68"/>
      <x:c r="G71" s="82"/>
      <x:c r="H71" s="68"/>
      <x:c r="I71" s="68"/>
      <x:c r="J71" s="68"/>
      <x:c r="K71" s="68"/>
      <x:c r="L71" s="82"/>
      <x:c r="M71" s="68"/>
      <x:c r="N71" s="82"/>
      <x:c r="O71" s="84"/>
      <x:c r="P71" s="82"/>
      <x:c r="Q71" s="68"/>
      <x:c r="R71" s="68"/>
      <x:c r="S71" s="68"/>
      <x:c r="T71" s="68"/>
      <x:c r="U71" s="68"/>
      <x:c r="V71" s="90"/>
      <x:c r="W71" s="68"/>
      <x:c r="X71" s="84"/>
      <x:c r="Y71" s="84"/>
      <x:c r="Z71" s="68"/>
      <x:c r="AA71" s="82"/>
      <x:c r="AB71" s="82"/>
      <x:c r="AC71" s="68"/>
      <x:c r="AD71" s="68"/>
      <x:c r="AE71" s="90"/>
      <x:c r="AF71" s="68"/>
      <x:c r="AG71" s="82"/>
      <x:c r="AH71" s="82"/>
      <x:c r="AI71" s="87"/>
    </x:row>
    <x:row r="72">
      <x:c r="A72" s="72" t="str">
        <x:f>IF(OR(C72="",D72=""),"",B72&amp;"-"&amp;UPPER(C72)&amp;"-"&amp;TEXT(D72,"0000")&amp;"-"&amp;E72)</x:f>
      </x:c>
      <x:c r="B72" s="74" t="str">
        <x:v>M15</x:v>
      </x:c>
      <x:c r="C72" s="74"/>
      <x:c r="D72" s="79"/>
      <x:c r="E72" s="74" t="str">
        <x:v>V1.0</x:v>
      </x:c>
      <x:c r="F72" s="68"/>
      <x:c r="G72" s="82"/>
      <x:c r="H72" s="68"/>
      <x:c r="I72" s="68"/>
      <x:c r="J72" s="68"/>
      <x:c r="K72" s="68"/>
      <x:c r="L72" s="82"/>
      <x:c r="M72" s="68"/>
      <x:c r="N72" s="82"/>
      <x:c r="O72" s="84"/>
      <x:c r="P72" s="82"/>
      <x:c r="Q72" s="68"/>
      <x:c r="R72" s="68"/>
      <x:c r="S72" s="68"/>
      <x:c r="T72" s="68"/>
      <x:c r="U72" s="68"/>
      <x:c r="V72" s="90"/>
      <x:c r="W72" s="68"/>
      <x:c r="X72" s="84"/>
      <x:c r="Y72" s="84"/>
      <x:c r="Z72" s="68"/>
      <x:c r="AA72" s="82"/>
      <x:c r="AB72" s="82"/>
      <x:c r="AC72" s="68"/>
      <x:c r="AD72" s="68"/>
      <x:c r="AE72" s="90"/>
      <x:c r="AF72" s="68"/>
      <x:c r="AG72" s="82"/>
      <x:c r="AH72" s="82"/>
      <x:c r="AI72" s="87"/>
    </x:row>
    <x:row r="73">
      <x:c r="A73" s="72" t="str">
        <x:f>IF(OR(C73="",D73=""),"",B73&amp;"-"&amp;UPPER(C73)&amp;"-"&amp;TEXT(D73,"0000")&amp;"-"&amp;E73)</x:f>
      </x:c>
      <x:c r="B73" s="74" t="str">
        <x:v>M15</x:v>
      </x:c>
      <x:c r="C73" s="74"/>
      <x:c r="D73" s="79"/>
      <x:c r="E73" s="74" t="str">
        <x:v>V1.0</x:v>
      </x:c>
      <x:c r="F73" s="68"/>
      <x:c r="G73" s="82"/>
      <x:c r="H73" s="68"/>
      <x:c r="I73" s="68"/>
      <x:c r="J73" s="68"/>
      <x:c r="K73" s="68"/>
      <x:c r="L73" s="82"/>
      <x:c r="M73" s="68"/>
      <x:c r="N73" s="82"/>
      <x:c r="O73" s="84"/>
      <x:c r="P73" s="82"/>
      <x:c r="Q73" s="68"/>
      <x:c r="R73" s="68"/>
      <x:c r="S73" s="68"/>
      <x:c r="T73" s="68"/>
      <x:c r="U73" s="68"/>
      <x:c r="V73" s="90"/>
      <x:c r="W73" s="68"/>
      <x:c r="X73" s="84"/>
      <x:c r="Y73" s="84"/>
      <x:c r="Z73" s="68"/>
      <x:c r="AA73" s="82"/>
      <x:c r="AB73" s="82"/>
      <x:c r="AC73" s="68"/>
      <x:c r="AD73" s="68"/>
      <x:c r="AE73" s="90"/>
      <x:c r="AF73" s="68"/>
      <x:c r="AG73" s="82"/>
      <x:c r="AH73" s="82"/>
      <x:c r="AI73" s="87"/>
    </x:row>
    <x:row r="74">
      <x:c r="A74" s="72" t="str">
        <x:f>IF(OR(C74="",D74=""),"",B74&amp;"-"&amp;UPPER(C74)&amp;"-"&amp;TEXT(D74,"0000")&amp;"-"&amp;E74)</x:f>
      </x:c>
      <x:c r="B74" s="74" t="str">
        <x:v>M15</x:v>
      </x:c>
      <x:c r="C74" s="74"/>
      <x:c r="D74" s="79"/>
      <x:c r="E74" s="74" t="str">
        <x:v>V1.0</x:v>
      </x:c>
      <x:c r="F74" s="68"/>
      <x:c r="G74" s="82"/>
      <x:c r="H74" s="68"/>
      <x:c r="I74" s="68"/>
      <x:c r="J74" s="68"/>
      <x:c r="K74" s="68"/>
      <x:c r="L74" s="82"/>
      <x:c r="M74" s="68"/>
      <x:c r="N74" s="82"/>
      <x:c r="O74" s="84"/>
      <x:c r="P74" s="82"/>
      <x:c r="Q74" s="68"/>
      <x:c r="R74" s="68"/>
      <x:c r="S74" s="68"/>
      <x:c r="T74" s="68"/>
      <x:c r="U74" s="68"/>
      <x:c r="V74" s="90"/>
      <x:c r="W74" s="68"/>
      <x:c r="X74" s="84"/>
      <x:c r="Y74" s="84"/>
      <x:c r="Z74" s="68"/>
      <x:c r="AA74" s="82"/>
      <x:c r="AB74" s="82"/>
      <x:c r="AC74" s="68"/>
      <x:c r="AD74" s="68"/>
      <x:c r="AE74" s="90"/>
      <x:c r="AF74" s="68"/>
      <x:c r="AG74" s="82"/>
      <x:c r="AH74" s="82"/>
      <x:c r="AI74" s="87"/>
    </x:row>
    <x:row r="75">
      <x:c r="A75" s="72" t="str">
        <x:f>IF(OR(C75="",D75=""),"",B75&amp;"-"&amp;UPPER(C75)&amp;"-"&amp;TEXT(D75,"0000")&amp;"-"&amp;E75)</x:f>
      </x:c>
      <x:c r="B75" s="74" t="str">
        <x:v>M15</x:v>
      </x:c>
      <x:c r="C75" s="74"/>
      <x:c r="D75" s="79"/>
      <x:c r="E75" s="74" t="str">
        <x:v>V1.0</x:v>
      </x:c>
      <x:c r="F75" s="68"/>
      <x:c r="G75" s="82"/>
      <x:c r="H75" s="68"/>
      <x:c r="I75" s="68"/>
      <x:c r="J75" s="68"/>
      <x:c r="K75" s="68"/>
      <x:c r="L75" s="82"/>
      <x:c r="M75" s="68"/>
      <x:c r="N75" s="82"/>
      <x:c r="O75" s="84"/>
      <x:c r="P75" s="82"/>
      <x:c r="Q75" s="68"/>
      <x:c r="R75" s="68"/>
      <x:c r="S75" s="68"/>
      <x:c r="T75" s="68"/>
      <x:c r="U75" s="68"/>
      <x:c r="V75" s="90"/>
      <x:c r="W75" s="68"/>
      <x:c r="X75" s="84"/>
      <x:c r="Y75" s="84"/>
      <x:c r="Z75" s="68"/>
      <x:c r="AA75" s="82"/>
      <x:c r="AB75" s="82"/>
      <x:c r="AC75" s="68"/>
      <x:c r="AD75" s="68"/>
      <x:c r="AE75" s="90"/>
      <x:c r="AF75" s="68"/>
      <x:c r="AG75" s="82"/>
      <x:c r="AH75" s="82"/>
      <x:c r="AI75" s="87"/>
    </x:row>
    <x:row r="76">
      <x:c r="A76" s="72" t="str">
        <x:f>IF(OR(C76="",D76=""),"",B76&amp;"-"&amp;UPPER(C76)&amp;"-"&amp;TEXT(D76,"0000")&amp;"-"&amp;E76)</x:f>
      </x:c>
      <x:c r="B76" s="74" t="str">
        <x:v>M15</x:v>
      </x:c>
      <x:c r="C76" s="74"/>
      <x:c r="D76" s="79"/>
      <x:c r="E76" s="74" t="str">
        <x:v>V1.0</x:v>
      </x:c>
      <x:c r="F76" s="68"/>
      <x:c r="G76" s="82"/>
      <x:c r="H76" s="68"/>
      <x:c r="I76" s="68"/>
      <x:c r="J76" s="68"/>
      <x:c r="K76" s="68"/>
      <x:c r="L76" s="82"/>
      <x:c r="M76" s="68"/>
      <x:c r="N76" s="82"/>
      <x:c r="O76" s="84"/>
      <x:c r="P76" s="82"/>
      <x:c r="Q76" s="68"/>
      <x:c r="R76" s="68"/>
      <x:c r="S76" s="68"/>
      <x:c r="T76" s="68"/>
      <x:c r="U76" s="68"/>
      <x:c r="V76" s="90"/>
      <x:c r="W76" s="68"/>
      <x:c r="X76" s="84"/>
      <x:c r="Y76" s="84"/>
      <x:c r="Z76" s="68"/>
      <x:c r="AA76" s="82"/>
      <x:c r="AB76" s="82"/>
      <x:c r="AC76" s="68"/>
      <x:c r="AD76" s="68"/>
      <x:c r="AE76" s="90"/>
      <x:c r="AF76" s="68"/>
      <x:c r="AG76" s="82"/>
      <x:c r="AH76" s="82"/>
      <x:c r="AI76" s="87"/>
    </x:row>
    <x:row r="77">
      <x:c r="A77" s="72" t="str">
        <x:f>IF(OR(C77="",D77=""),"",B77&amp;"-"&amp;UPPER(C77)&amp;"-"&amp;TEXT(D77,"0000")&amp;"-"&amp;E77)</x:f>
      </x:c>
      <x:c r="B77" s="74" t="str">
        <x:v>M15</x:v>
      </x:c>
      <x:c r="C77" s="74"/>
      <x:c r="D77" s="79"/>
      <x:c r="E77" s="74" t="str">
        <x:v>V1.0</x:v>
      </x:c>
      <x:c r="F77" s="68"/>
      <x:c r="G77" s="82"/>
      <x:c r="H77" s="68"/>
      <x:c r="I77" s="68"/>
      <x:c r="J77" s="68"/>
      <x:c r="K77" s="68"/>
      <x:c r="L77" s="82"/>
      <x:c r="M77" s="68"/>
      <x:c r="N77" s="82"/>
      <x:c r="O77" s="84"/>
      <x:c r="P77" s="82"/>
      <x:c r="Q77" s="68"/>
      <x:c r="R77" s="68"/>
      <x:c r="S77" s="68"/>
      <x:c r="T77" s="68"/>
      <x:c r="U77" s="68"/>
      <x:c r="V77" s="90"/>
      <x:c r="W77" s="68"/>
      <x:c r="X77" s="84"/>
      <x:c r="Y77" s="84"/>
      <x:c r="Z77" s="68"/>
      <x:c r="AA77" s="82"/>
      <x:c r="AB77" s="82"/>
      <x:c r="AC77" s="68"/>
      <x:c r="AD77" s="68"/>
      <x:c r="AE77" s="90"/>
      <x:c r="AF77" s="68"/>
      <x:c r="AG77" s="82"/>
      <x:c r="AH77" s="82"/>
      <x:c r="AI77" s="87"/>
    </x:row>
    <x:row r="78">
      <x:c r="A78" s="72" t="str">
        <x:f>IF(OR(C78="",D78=""),"",B78&amp;"-"&amp;UPPER(C78)&amp;"-"&amp;TEXT(D78,"0000")&amp;"-"&amp;E78)</x:f>
      </x:c>
      <x:c r="B78" s="74" t="str">
        <x:v>M15</x:v>
      </x:c>
      <x:c r="C78" s="74"/>
      <x:c r="D78" s="79"/>
      <x:c r="E78" s="74" t="str">
        <x:v>V1.0</x:v>
      </x:c>
      <x:c r="F78" s="68"/>
      <x:c r="G78" s="82"/>
      <x:c r="H78" s="68"/>
      <x:c r="I78" s="68"/>
      <x:c r="J78" s="68"/>
      <x:c r="K78" s="68"/>
      <x:c r="L78" s="82"/>
      <x:c r="M78" s="68"/>
      <x:c r="N78" s="82"/>
      <x:c r="O78" s="84"/>
      <x:c r="P78" s="82"/>
      <x:c r="Q78" s="68"/>
      <x:c r="R78" s="68"/>
      <x:c r="S78" s="68"/>
      <x:c r="T78" s="68"/>
      <x:c r="U78" s="68"/>
      <x:c r="V78" s="90"/>
      <x:c r="W78" s="68"/>
      <x:c r="X78" s="84"/>
      <x:c r="Y78" s="84"/>
      <x:c r="Z78" s="68"/>
      <x:c r="AA78" s="82"/>
      <x:c r="AB78" s="82"/>
      <x:c r="AC78" s="68"/>
      <x:c r="AD78" s="68"/>
      <x:c r="AE78" s="90"/>
      <x:c r="AF78" s="68"/>
      <x:c r="AG78" s="82"/>
      <x:c r="AH78" s="82"/>
      <x:c r="AI78" s="87"/>
    </x:row>
    <x:row r="79">
      <x:c r="A79" s="72" t="str">
        <x:f>IF(OR(C79="",D79=""),"",B79&amp;"-"&amp;UPPER(C79)&amp;"-"&amp;TEXT(D79,"0000")&amp;"-"&amp;E79)</x:f>
      </x:c>
      <x:c r="B79" s="74" t="str">
        <x:v>M15</x:v>
      </x:c>
      <x:c r="C79" s="74"/>
      <x:c r="D79" s="79"/>
      <x:c r="E79" s="74" t="str">
        <x:v>V1.0</x:v>
      </x:c>
      <x:c r="F79" s="68"/>
      <x:c r="G79" s="82"/>
      <x:c r="H79" s="68"/>
      <x:c r="I79" s="68"/>
      <x:c r="J79" s="68"/>
      <x:c r="K79" s="68"/>
      <x:c r="L79" s="82"/>
      <x:c r="M79" s="68"/>
      <x:c r="N79" s="82"/>
      <x:c r="O79" s="84"/>
      <x:c r="P79" s="82"/>
      <x:c r="Q79" s="68"/>
      <x:c r="R79" s="68"/>
      <x:c r="S79" s="68"/>
      <x:c r="T79" s="68"/>
      <x:c r="U79" s="68"/>
      <x:c r="V79" s="90"/>
      <x:c r="W79" s="68"/>
      <x:c r="X79" s="84"/>
      <x:c r="Y79" s="84"/>
      <x:c r="Z79" s="68"/>
      <x:c r="AA79" s="82"/>
      <x:c r="AB79" s="82"/>
      <x:c r="AC79" s="68"/>
      <x:c r="AD79" s="68"/>
      <x:c r="AE79" s="90"/>
      <x:c r="AF79" s="68"/>
      <x:c r="AG79" s="82"/>
      <x:c r="AH79" s="82"/>
      <x:c r="AI79" s="87"/>
    </x:row>
    <x:row r="80">
      <x:c r="A80" s="72" t="str">
        <x:f>IF(OR(C80="",D80=""),"",B80&amp;"-"&amp;UPPER(C80)&amp;"-"&amp;TEXT(D80,"0000")&amp;"-"&amp;E80)</x:f>
      </x:c>
      <x:c r="B80" s="74" t="str">
        <x:v>M15</x:v>
      </x:c>
      <x:c r="C80" s="74"/>
      <x:c r="D80" s="79"/>
      <x:c r="E80" s="74" t="str">
        <x:v>V1.0</x:v>
      </x:c>
      <x:c r="F80" s="68"/>
      <x:c r="G80" s="82"/>
      <x:c r="H80" s="68"/>
      <x:c r="I80" s="68"/>
      <x:c r="J80" s="68"/>
      <x:c r="K80" s="68"/>
      <x:c r="L80" s="82"/>
      <x:c r="M80" s="68"/>
      <x:c r="N80" s="82"/>
      <x:c r="O80" s="84"/>
      <x:c r="P80" s="82"/>
      <x:c r="Q80" s="68"/>
      <x:c r="R80" s="68"/>
      <x:c r="S80" s="68"/>
      <x:c r="T80" s="68"/>
      <x:c r="U80" s="68"/>
      <x:c r="V80" s="90"/>
      <x:c r="W80" s="68"/>
      <x:c r="X80" s="84"/>
      <x:c r="Y80" s="84"/>
      <x:c r="Z80" s="68"/>
      <x:c r="AA80" s="82"/>
      <x:c r="AB80" s="82"/>
      <x:c r="AC80" s="68"/>
      <x:c r="AD80" s="68"/>
      <x:c r="AE80" s="90"/>
      <x:c r="AF80" s="68"/>
      <x:c r="AG80" s="82"/>
      <x:c r="AH80" s="82"/>
      <x:c r="AI80" s="87"/>
    </x:row>
    <x:row r="81">
      <x:c r="A81" s="72" t="str">
        <x:f>IF(OR(C81="",D81=""),"",B81&amp;"-"&amp;UPPER(C81)&amp;"-"&amp;TEXT(D81,"0000")&amp;"-"&amp;E81)</x:f>
      </x:c>
      <x:c r="B81" s="74" t="str">
        <x:v>M15</x:v>
      </x:c>
      <x:c r="C81" s="74"/>
      <x:c r="D81" s="79"/>
      <x:c r="E81" s="74" t="str">
        <x:v>V1.0</x:v>
      </x:c>
      <x:c r="F81" s="68"/>
      <x:c r="G81" s="82"/>
      <x:c r="H81" s="68"/>
      <x:c r="I81" s="68"/>
      <x:c r="J81" s="68"/>
      <x:c r="K81" s="68"/>
      <x:c r="L81" s="82"/>
      <x:c r="M81" s="68"/>
      <x:c r="N81" s="82"/>
      <x:c r="O81" s="84"/>
      <x:c r="P81" s="82"/>
      <x:c r="Q81" s="68"/>
      <x:c r="R81" s="68"/>
      <x:c r="S81" s="68"/>
      <x:c r="T81" s="68"/>
      <x:c r="U81" s="68"/>
      <x:c r="V81" s="90"/>
      <x:c r="W81" s="68"/>
      <x:c r="X81" s="84"/>
      <x:c r="Y81" s="84"/>
      <x:c r="Z81" s="68"/>
      <x:c r="AA81" s="82"/>
      <x:c r="AB81" s="82"/>
      <x:c r="AC81" s="68"/>
      <x:c r="AD81" s="68"/>
      <x:c r="AE81" s="90"/>
      <x:c r="AF81" s="68"/>
      <x:c r="AG81" s="82"/>
      <x:c r="AH81" s="82"/>
      <x:c r="AI81" s="87"/>
    </x:row>
    <x:row r="82">
      <x:c r="A82" s="72" t="str">
        <x:f>IF(OR(C82="",D82=""),"",B82&amp;"-"&amp;UPPER(C82)&amp;"-"&amp;TEXT(D82,"0000")&amp;"-"&amp;E82)</x:f>
      </x:c>
      <x:c r="B82" s="74" t="str">
        <x:v>M15</x:v>
      </x:c>
      <x:c r="C82" s="74"/>
      <x:c r="D82" s="79"/>
      <x:c r="E82" s="74" t="str">
        <x:v>V1.0</x:v>
      </x:c>
      <x:c r="F82" s="68"/>
      <x:c r="G82" s="82"/>
      <x:c r="H82" s="68"/>
      <x:c r="I82" s="68"/>
      <x:c r="J82" s="68"/>
      <x:c r="K82" s="68"/>
      <x:c r="L82" s="82"/>
      <x:c r="M82" s="68"/>
      <x:c r="N82" s="82"/>
      <x:c r="O82" s="84"/>
      <x:c r="P82" s="82"/>
      <x:c r="Q82" s="68"/>
      <x:c r="R82" s="68"/>
      <x:c r="S82" s="68"/>
      <x:c r="T82" s="68"/>
      <x:c r="U82" s="68"/>
      <x:c r="V82" s="90"/>
      <x:c r="W82" s="68"/>
      <x:c r="X82" s="84"/>
      <x:c r="Y82" s="84"/>
      <x:c r="Z82" s="68"/>
      <x:c r="AA82" s="82"/>
      <x:c r="AB82" s="82"/>
      <x:c r="AC82" s="68"/>
      <x:c r="AD82" s="68"/>
      <x:c r="AE82" s="90"/>
      <x:c r="AF82" s="68"/>
      <x:c r="AG82" s="82"/>
      <x:c r="AH82" s="82"/>
      <x:c r="AI82" s="87"/>
    </x:row>
    <x:row r="83">
      <x:c r="A83" s="72" t="str">
        <x:f>IF(OR(C83="",D83=""),"",B83&amp;"-"&amp;UPPER(C83)&amp;"-"&amp;TEXT(D83,"0000")&amp;"-"&amp;E83)</x:f>
      </x:c>
      <x:c r="B83" s="74" t="str">
        <x:v>M15</x:v>
      </x:c>
      <x:c r="C83" s="74"/>
      <x:c r="D83" s="79"/>
      <x:c r="E83" s="74" t="str">
        <x:v>V1.0</x:v>
      </x:c>
      <x:c r="F83" s="68"/>
      <x:c r="G83" s="82"/>
      <x:c r="H83" s="68"/>
      <x:c r="I83" s="68"/>
      <x:c r="J83" s="68"/>
      <x:c r="K83" s="68"/>
      <x:c r="L83" s="82"/>
      <x:c r="M83" s="68"/>
      <x:c r="N83" s="82"/>
      <x:c r="O83" s="84"/>
      <x:c r="P83" s="82"/>
      <x:c r="Q83" s="68"/>
      <x:c r="R83" s="68"/>
      <x:c r="S83" s="68"/>
      <x:c r="T83" s="68"/>
      <x:c r="U83" s="68"/>
      <x:c r="V83" s="90"/>
      <x:c r="W83" s="68"/>
      <x:c r="X83" s="84"/>
      <x:c r="Y83" s="84"/>
      <x:c r="Z83" s="68"/>
      <x:c r="AA83" s="82"/>
      <x:c r="AB83" s="82"/>
      <x:c r="AC83" s="68"/>
      <x:c r="AD83" s="68"/>
      <x:c r="AE83" s="90"/>
      <x:c r="AF83" s="68"/>
      <x:c r="AG83" s="82"/>
      <x:c r="AH83" s="82"/>
      <x:c r="AI83" s="87"/>
    </x:row>
    <x:row r="84">
      <x:c r="A84" s="72" t="str">
        <x:f>IF(OR(C84="",D84=""),"",B84&amp;"-"&amp;UPPER(C84)&amp;"-"&amp;TEXT(D84,"0000")&amp;"-"&amp;E84)</x:f>
      </x:c>
      <x:c r="B84" s="74" t="str">
        <x:v>M15</x:v>
      </x:c>
      <x:c r="C84" s="74"/>
      <x:c r="D84" s="79"/>
      <x:c r="E84" s="74" t="str">
        <x:v>V1.0</x:v>
      </x:c>
      <x:c r="F84" s="68"/>
      <x:c r="G84" s="82"/>
      <x:c r="H84" s="68"/>
      <x:c r="I84" s="68"/>
      <x:c r="J84" s="68"/>
      <x:c r="K84" s="68"/>
      <x:c r="L84" s="82"/>
      <x:c r="M84" s="68"/>
      <x:c r="N84" s="82"/>
      <x:c r="O84" s="84"/>
      <x:c r="P84" s="82"/>
      <x:c r="Q84" s="68"/>
      <x:c r="R84" s="68"/>
      <x:c r="S84" s="68"/>
      <x:c r="T84" s="68"/>
      <x:c r="U84" s="68"/>
      <x:c r="V84" s="90"/>
      <x:c r="W84" s="68"/>
      <x:c r="X84" s="84"/>
      <x:c r="Y84" s="84"/>
      <x:c r="Z84" s="68"/>
      <x:c r="AA84" s="82"/>
      <x:c r="AB84" s="82"/>
      <x:c r="AC84" s="68"/>
      <x:c r="AD84" s="68"/>
      <x:c r="AE84" s="90"/>
      <x:c r="AF84" s="68"/>
      <x:c r="AG84" s="82"/>
      <x:c r="AH84" s="82"/>
      <x:c r="AI84" s="87"/>
    </x:row>
    <x:row r="85">
      <x:c r="A85" s="72" t="str">
        <x:f>IF(OR(C85="",D85=""),"",B85&amp;"-"&amp;UPPER(C85)&amp;"-"&amp;TEXT(D85,"0000")&amp;"-"&amp;E85)</x:f>
      </x:c>
      <x:c r="B85" s="74" t="str">
        <x:v>M15</x:v>
      </x:c>
      <x:c r="C85" s="74"/>
      <x:c r="D85" s="79"/>
      <x:c r="E85" s="74" t="str">
        <x:v>V1.0</x:v>
      </x:c>
      <x:c r="F85" s="68"/>
      <x:c r="G85" s="82"/>
      <x:c r="H85" s="68"/>
      <x:c r="I85" s="68"/>
      <x:c r="J85" s="68"/>
      <x:c r="K85" s="68"/>
      <x:c r="L85" s="82"/>
      <x:c r="M85" s="68"/>
      <x:c r="N85" s="82"/>
      <x:c r="O85" s="84"/>
      <x:c r="P85" s="82"/>
      <x:c r="Q85" s="68"/>
      <x:c r="R85" s="68"/>
      <x:c r="S85" s="68"/>
      <x:c r="T85" s="68"/>
      <x:c r="U85" s="68"/>
      <x:c r="V85" s="90"/>
      <x:c r="W85" s="68"/>
      <x:c r="X85" s="84"/>
      <x:c r="Y85" s="84"/>
      <x:c r="Z85" s="68"/>
      <x:c r="AA85" s="82"/>
      <x:c r="AB85" s="82"/>
      <x:c r="AC85" s="68"/>
      <x:c r="AD85" s="68"/>
      <x:c r="AE85" s="90"/>
      <x:c r="AF85" s="68"/>
      <x:c r="AG85" s="82"/>
      <x:c r="AH85" s="82"/>
      <x:c r="AI85" s="87"/>
    </x:row>
    <x:row r="86">
      <x:c r="A86" s="72" t="str">
        <x:f>IF(OR(C86="",D86=""),"",B86&amp;"-"&amp;UPPER(C86)&amp;"-"&amp;TEXT(D86,"0000")&amp;"-"&amp;E86)</x:f>
      </x:c>
      <x:c r="B86" s="74" t="str">
        <x:v>M15</x:v>
      </x:c>
      <x:c r="C86" s="74"/>
      <x:c r="D86" s="79"/>
      <x:c r="E86" s="74" t="str">
        <x:v>V1.0</x:v>
      </x:c>
      <x:c r="F86" s="68"/>
      <x:c r="G86" s="82"/>
      <x:c r="H86" s="68"/>
      <x:c r="I86" s="68"/>
      <x:c r="J86" s="68"/>
      <x:c r="K86" s="68"/>
      <x:c r="L86" s="82"/>
      <x:c r="M86" s="68"/>
      <x:c r="N86" s="82"/>
      <x:c r="O86" s="84"/>
      <x:c r="P86" s="82"/>
      <x:c r="Q86" s="68"/>
      <x:c r="R86" s="68"/>
      <x:c r="S86" s="68"/>
      <x:c r="T86" s="68"/>
      <x:c r="U86" s="68"/>
      <x:c r="V86" s="90"/>
      <x:c r="W86" s="68"/>
      <x:c r="X86" s="84"/>
      <x:c r="Y86" s="84"/>
      <x:c r="Z86" s="68"/>
      <x:c r="AA86" s="82"/>
      <x:c r="AB86" s="82"/>
      <x:c r="AC86" s="68"/>
      <x:c r="AD86" s="68"/>
      <x:c r="AE86" s="90"/>
      <x:c r="AF86" s="68"/>
      <x:c r="AG86" s="82"/>
      <x:c r="AH86" s="82"/>
      <x:c r="AI86" s="87"/>
    </x:row>
    <x:row r="87">
      <x:c r="A87" s="72" t="str">
        <x:f>IF(OR(C87="",D87=""),"",B87&amp;"-"&amp;UPPER(C87)&amp;"-"&amp;TEXT(D87,"0000")&amp;"-"&amp;E87)</x:f>
      </x:c>
      <x:c r="B87" s="74" t="str">
        <x:v>M15</x:v>
      </x:c>
      <x:c r="C87" s="74"/>
      <x:c r="D87" s="79"/>
      <x:c r="E87" s="74" t="str">
        <x:v>V1.0</x:v>
      </x:c>
      <x:c r="F87" s="68"/>
      <x:c r="G87" s="82"/>
      <x:c r="H87" s="68"/>
      <x:c r="I87" s="68"/>
      <x:c r="J87" s="68"/>
      <x:c r="K87" s="68"/>
      <x:c r="L87" s="82"/>
      <x:c r="M87" s="68"/>
      <x:c r="N87" s="82"/>
      <x:c r="O87" s="84"/>
      <x:c r="P87" s="82"/>
      <x:c r="Q87" s="68"/>
      <x:c r="R87" s="68"/>
      <x:c r="S87" s="68"/>
      <x:c r="T87" s="68"/>
      <x:c r="U87" s="68"/>
      <x:c r="V87" s="90"/>
      <x:c r="W87" s="68"/>
      <x:c r="X87" s="84"/>
      <x:c r="Y87" s="84"/>
      <x:c r="Z87" s="68"/>
      <x:c r="AA87" s="82"/>
      <x:c r="AB87" s="82"/>
      <x:c r="AC87" s="68"/>
      <x:c r="AD87" s="68"/>
      <x:c r="AE87" s="90"/>
      <x:c r="AF87" s="68"/>
      <x:c r="AG87" s="82"/>
      <x:c r="AH87" s="82"/>
      <x:c r="AI87" s="87"/>
    </x:row>
    <x:row r="88">
      <x:c r="A88" s="72" t="str">
        <x:f>IF(OR(C88="",D88=""),"",B88&amp;"-"&amp;UPPER(C88)&amp;"-"&amp;TEXT(D88,"0000")&amp;"-"&amp;E88)</x:f>
      </x:c>
      <x:c r="B88" s="74" t="str">
        <x:v>M15</x:v>
      </x:c>
      <x:c r="C88" s="74"/>
      <x:c r="D88" s="79"/>
      <x:c r="E88" s="74" t="str">
        <x:v>V1.0</x:v>
      </x:c>
      <x:c r="F88" s="68"/>
      <x:c r="G88" s="82"/>
      <x:c r="H88" s="68"/>
      <x:c r="I88" s="68"/>
      <x:c r="J88" s="68"/>
      <x:c r="K88" s="68"/>
      <x:c r="L88" s="82"/>
      <x:c r="M88" s="68"/>
      <x:c r="N88" s="82"/>
      <x:c r="O88" s="84"/>
      <x:c r="P88" s="82"/>
      <x:c r="Q88" s="68"/>
      <x:c r="R88" s="68"/>
      <x:c r="S88" s="68"/>
      <x:c r="T88" s="68"/>
      <x:c r="U88" s="68"/>
      <x:c r="V88" s="90"/>
      <x:c r="W88" s="68"/>
      <x:c r="X88" s="84"/>
      <x:c r="Y88" s="84"/>
      <x:c r="Z88" s="68"/>
      <x:c r="AA88" s="82"/>
      <x:c r="AB88" s="82"/>
      <x:c r="AC88" s="68"/>
      <x:c r="AD88" s="68"/>
      <x:c r="AE88" s="90"/>
      <x:c r="AF88" s="68"/>
      <x:c r="AG88" s="82"/>
      <x:c r="AH88" s="82"/>
      <x:c r="AI88" s="87"/>
    </x:row>
    <x:row r="89">
      <x:c r="A89" s="72" t="str">
        <x:f>IF(OR(C89="",D89=""),"",B89&amp;"-"&amp;UPPER(C89)&amp;"-"&amp;TEXT(D89,"0000")&amp;"-"&amp;E89)</x:f>
      </x:c>
      <x:c r="B89" s="74" t="str">
        <x:v>M15</x:v>
      </x:c>
      <x:c r="C89" s="74"/>
      <x:c r="D89" s="79"/>
      <x:c r="E89" s="74" t="str">
        <x:v>V1.0</x:v>
      </x:c>
      <x:c r="F89" s="68"/>
      <x:c r="G89" s="82"/>
      <x:c r="H89" s="68"/>
      <x:c r="I89" s="68"/>
      <x:c r="J89" s="68"/>
      <x:c r="K89" s="68"/>
      <x:c r="L89" s="82"/>
      <x:c r="M89" s="68"/>
      <x:c r="N89" s="82"/>
      <x:c r="O89" s="84"/>
      <x:c r="P89" s="82"/>
      <x:c r="Q89" s="68"/>
      <x:c r="R89" s="68"/>
      <x:c r="S89" s="68"/>
      <x:c r="T89" s="68"/>
      <x:c r="U89" s="68"/>
      <x:c r="V89" s="90"/>
      <x:c r="W89" s="68"/>
      <x:c r="X89" s="84"/>
      <x:c r="Y89" s="84"/>
      <x:c r="Z89" s="68"/>
      <x:c r="AA89" s="82"/>
      <x:c r="AB89" s="82"/>
      <x:c r="AC89" s="68"/>
      <x:c r="AD89" s="68"/>
      <x:c r="AE89" s="90"/>
      <x:c r="AF89" s="68"/>
      <x:c r="AG89" s="82"/>
      <x:c r="AH89" s="82"/>
      <x:c r="AI89" s="87"/>
    </x:row>
    <x:row r="90">
      <x:c r="A90" s="72" t="str">
        <x:f>IF(OR(C90="",D90=""),"",B90&amp;"-"&amp;UPPER(C90)&amp;"-"&amp;TEXT(D90,"0000")&amp;"-"&amp;E90)</x:f>
      </x:c>
      <x:c r="B90" s="74" t="str">
        <x:v>M15</x:v>
      </x:c>
      <x:c r="C90" s="74"/>
      <x:c r="D90" s="79"/>
      <x:c r="E90" s="74" t="str">
        <x:v>V1.0</x:v>
      </x:c>
      <x:c r="F90" s="68"/>
      <x:c r="G90" s="82"/>
      <x:c r="H90" s="68"/>
      <x:c r="I90" s="68"/>
      <x:c r="J90" s="68"/>
      <x:c r="K90" s="68"/>
      <x:c r="L90" s="82"/>
      <x:c r="M90" s="68"/>
      <x:c r="N90" s="82"/>
      <x:c r="O90" s="84"/>
      <x:c r="P90" s="82"/>
      <x:c r="Q90" s="68"/>
      <x:c r="R90" s="68"/>
      <x:c r="S90" s="68"/>
      <x:c r="T90" s="68"/>
      <x:c r="U90" s="68"/>
      <x:c r="V90" s="90"/>
      <x:c r="W90" s="68"/>
      <x:c r="X90" s="84"/>
      <x:c r="Y90" s="84"/>
      <x:c r="Z90" s="68"/>
      <x:c r="AA90" s="82"/>
      <x:c r="AB90" s="82"/>
      <x:c r="AC90" s="68"/>
      <x:c r="AD90" s="68"/>
      <x:c r="AE90" s="90"/>
      <x:c r="AF90" s="68"/>
      <x:c r="AG90" s="82"/>
      <x:c r="AH90" s="82"/>
      <x:c r="AI90" s="87"/>
    </x:row>
    <x:row r="91">
      <x:c r="A91" s="72" t="str">
        <x:f>IF(OR(C91="",D91=""),"",B91&amp;"-"&amp;UPPER(C91)&amp;"-"&amp;TEXT(D91,"0000")&amp;"-"&amp;E91)</x:f>
      </x:c>
      <x:c r="B91" s="74" t="str">
        <x:v>M15</x:v>
      </x:c>
      <x:c r="C91" s="74"/>
      <x:c r="D91" s="79"/>
      <x:c r="E91" s="74" t="str">
        <x:v>V1.0</x:v>
      </x:c>
      <x:c r="F91" s="68"/>
      <x:c r="G91" s="82"/>
      <x:c r="H91" s="68"/>
      <x:c r="I91" s="68"/>
      <x:c r="J91" s="68"/>
      <x:c r="K91" s="68"/>
      <x:c r="L91" s="82"/>
      <x:c r="M91" s="68"/>
      <x:c r="N91" s="82"/>
      <x:c r="O91" s="84"/>
      <x:c r="P91" s="82"/>
      <x:c r="Q91" s="68"/>
      <x:c r="R91" s="68"/>
      <x:c r="S91" s="68"/>
      <x:c r="T91" s="68"/>
      <x:c r="U91" s="68"/>
      <x:c r="V91" s="90"/>
      <x:c r="W91" s="68"/>
      <x:c r="X91" s="84"/>
      <x:c r="Y91" s="84"/>
      <x:c r="Z91" s="68"/>
      <x:c r="AA91" s="82"/>
      <x:c r="AB91" s="82"/>
      <x:c r="AC91" s="68"/>
      <x:c r="AD91" s="68"/>
      <x:c r="AE91" s="90"/>
      <x:c r="AF91" s="68"/>
      <x:c r="AG91" s="82"/>
      <x:c r="AH91" s="82"/>
      <x:c r="AI91" s="87"/>
    </x:row>
    <x:row r="92">
      <x:c r="A92" s="72" t="str">
        <x:f>IF(OR(C92="",D92=""),"",B92&amp;"-"&amp;UPPER(C92)&amp;"-"&amp;TEXT(D92,"0000")&amp;"-"&amp;E92)</x:f>
      </x:c>
      <x:c r="B92" s="74" t="str">
        <x:v>M15</x:v>
      </x:c>
      <x:c r="C92" s="74"/>
      <x:c r="D92" s="79"/>
      <x:c r="E92" s="74" t="str">
        <x:v>V1.0</x:v>
      </x:c>
      <x:c r="F92" s="68"/>
      <x:c r="G92" s="82"/>
      <x:c r="H92" s="68"/>
      <x:c r="I92" s="68"/>
      <x:c r="J92" s="68"/>
      <x:c r="K92" s="68"/>
      <x:c r="L92" s="82"/>
      <x:c r="M92" s="68"/>
      <x:c r="N92" s="82"/>
      <x:c r="O92" s="84"/>
      <x:c r="P92" s="82"/>
      <x:c r="Q92" s="68"/>
      <x:c r="R92" s="68"/>
      <x:c r="S92" s="68"/>
      <x:c r="T92" s="68"/>
      <x:c r="U92" s="68"/>
      <x:c r="V92" s="90"/>
      <x:c r="W92" s="68"/>
      <x:c r="X92" s="84"/>
      <x:c r="Y92" s="84"/>
      <x:c r="Z92" s="68"/>
      <x:c r="AA92" s="82"/>
      <x:c r="AB92" s="82"/>
      <x:c r="AC92" s="68"/>
      <x:c r="AD92" s="68"/>
      <x:c r="AE92" s="90"/>
      <x:c r="AF92" s="68"/>
      <x:c r="AG92" s="82"/>
      <x:c r="AH92" s="82"/>
      <x:c r="AI92" s="87"/>
    </x:row>
    <x:row r="93">
      <x:c r="A93" s="72" t="str">
        <x:f>IF(OR(C93="",D93=""),"",B93&amp;"-"&amp;UPPER(C93)&amp;"-"&amp;TEXT(D93,"0000")&amp;"-"&amp;E93)</x:f>
      </x:c>
      <x:c r="B93" s="74" t="str">
        <x:v>M15</x:v>
      </x:c>
      <x:c r="C93" s="74"/>
      <x:c r="D93" s="79"/>
      <x:c r="E93" s="74" t="str">
        <x:v>V1.0</x:v>
      </x:c>
      <x:c r="F93" s="68"/>
      <x:c r="G93" s="82"/>
      <x:c r="H93" s="68"/>
      <x:c r="I93" s="68"/>
      <x:c r="J93" s="68"/>
      <x:c r="K93" s="68"/>
      <x:c r="L93" s="82"/>
      <x:c r="M93" s="68"/>
      <x:c r="N93" s="82"/>
      <x:c r="O93" s="84"/>
      <x:c r="P93" s="82"/>
      <x:c r="Q93" s="68"/>
      <x:c r="R93" s="68"/>
      <x:c r="S93" s="68"/>
      <x:c r="T93" s="68"/>
      <x:c r="U93" s="68"/>
      <x:c r="V93" s="90"/>
      <x:c r="W93" s="68"/>
      <x:c r="X93" s="84"/>
      <x:c r="Y93" s="84"/>
      <x:c r="Z93" s="68"/>
      <x:c r="AA93" s="82"/>
      <x:c r="AB93" s="82"/>
      <x:c r="AC93" s="68"/>
      <x:c r="AD93" s="68"/>
      <x:c r="AE93" s="90"/>
      <x:c r="AF93" s="68"/>
      <x:c r="AG93" s="82"/>
      <x:c r="AH93" s="82"/>
      <x:c r="AI93" s="87"/>
    </x:row>
    <x:row r="94">
      <x:c r="A94" s="72" t="str">
        <x:f>IF(OR(C94="",D94=""),"",B94&amp;"-"&amp;UPPER(C94)&amp;"-"&amp;TEXT(D94,"0000")&amp;"-"&amp;E94)</x:f>
      </x:c>
      <x:c r="B94" s="74" t="str">
        <x:v>M15</x:v>
      </x:c>
      <x:c r="C94" s="74"/>
      <x:c r="D94" s="79"/>
      <x:c r="E94" s="74" t="str">
        <x:v>V1.0</x:v>
      </x:c>
      <x:c r="F94" s="68"/>
      <x:c r="G94" s="82"/>
      <x:c r="H94" s="68"/>
      <x:c r="I94" s="68"/>
      <x:c r="J94" s="68"/>
      <x:c r="K94" s="68"/>
      <x:c r="L94" s="82"/>
      <x:c r="M94" s="68"/>
      <x:c r="N94" s="82"/>
      <x:c r="O94" s="84"/>
      <x:c r="P94" s="82"/>
      <x:c r="Q94" s="68"/>
      <x:c r="R94" s="68"/>
      <x:c r="S94" s="68"/>
      <x:c r="T94" s="68"/>
      <x:c r="U94" s="68"/>
      <x:c r="V94" s="90"/>
      <x:c r="W94" s="68"/>
      <x:c r="X94" s="84"/>
      <x:c r="Y94" s="84"/>
      <x:c r="Z94" s="68"/>
      <x:c r="AA94" s="82"/>
      <x:c r="AB94" s="82"/>
      <x:c r="AC94" s="68"/>
      <x:c r="AD94" s="68"/>
      <x:c r="AE94" s="90"/>
      <x:c r="AF94" s="68"/>
      <x:c r="AG94" s="82"/>
      <x:c r="AH94" s="82"/>
      <x:c r="AI94" s="87"/>
    </x:row>
    <x:row r="95">
      <x:c r="A95" s="72" t="str">
        <x:f>IF(OR(C95="",D95=""),"",B95&amp;"-"&amp;UPPER(C95)&amp;"-"&amp;TEXT(D95,"0000")&amp;"-"&amp;E95)</x:f>
      </x:c>
      <x:c r="B95" s="74" t="str">
        <x:v>M15</x:v>
      </x:c>
      <x:c r="C95" s="74"/>
      <x:c r="D95" s="79"/>
      <x:c r="E95" s="74" t="str">
        <x:v>V1.0</x:v>
      </x:c>
      <x:c r="F95" s="68"/>
      <x:c r="G95" s="82"/>
      <x:c r="H95" s="68"/>
      <x:c r="I95" s="68"/>
      <x:c r="J95" s="68"/>
      <x:c r="K95" s="68"/>
      <x:c r="L95" s="82"/>
      <x:c r="M95" s="68"/>
      <x:c r="N95" s="82"/>
      <x:c r="O95" s="84"/>
      <x:c r="P95" s="82"/>
      <x:c r="Q95" s="68"/>
      <x:c r="R95" s="68"/>
      <x:c r="S95" s="68"/>
      <x:c r="T95" s="68"/>
      <x:c r="U95" s="68"/>
      <x:c r="V95" s="90"/>
      <x:c r="W95" s="68"/>
      <x:c r="X95" s="84"/>
      <x:c r="Y95" s="84"/>
      <x:c r="Z95" s="68"/>
      <x:c r="AA95" s="82"/>
      <x:c r="AB95" s="82"/>
      <x:c r="AC95" s="68"/>
      <x:c r="AD95" s="68"/>
      <x:c r="AE95" s="90"/>
      <x:c r="AF95" s="68"/>
      <x:c r="AG95" s="82"/>
      <x:c r="AH95" s="82"/>
      <x:c r="AI95" s="87"/>
    </x:row>
    <x:row r="96">
      <x:c r="A96" s="72" t="str">
        <x:f>IF(OR(C96="",D96=""),"",B96&amp;"-"&amp;UPPER(C96)&amp;"-"&amp;TEXT(D96,"0000")&amp;"-"&amp;E96)</x:f>
      </x:c>
      <x:c r="B96" s="74" t="str">
        <x:v>M15</x:v>
      </x:c>
      <x:c r="C96" s="74"/>
      <x:c r="D96" s="79"/>
      <x:c r="E96" s="74" t="str">
        <x:v>V1.0</x:v>
      </x:c>
      <x:c r="F96" s="68"/>
      <x:c r="G96" s="82"/>
      <x:c r="H96" s="68"/>
      <x:c r="I96" s="68"/>
      <x:c r="J96" s="68"/>
      <x:c r="K96" s="68"/>
      <x:c r="L96" s="82"/>
      <x:c r="M96" s="68"/>
      <x:c r="N96" s="82"/>
      <x:c r="O96" s="84"/>
      <x:c r="P96" s="82"/>
      <x:c r="Q96" s="68"/>
      <x:c r="R96" s="68"/>
      <x:c r="S96" s="68"/>
      <x:c r="T96" s="68"/>
      <x:c r="U96" s="68"/>
      <x:c r="V96" s="90"/>
      <x:c r="W96" s="68"/>
      <x:c r="X96" s="84"/>
      <x:c r="Y96" s="84"/>
      <x:c r="Z96" s="68"/>
      <x:c r="AA96" s="82"/>
      <x:c r="AB96" s="82"/>
      <x:c r="AC96" s="68"/>
      <x:c r="AD96" s="68"/>
      <x:c r="AE96" s="90"/>
      <x:c r="AF96" s="68"/>
      <x:c r="AG96" s="82"/>
      <x:c r="AH96" s="82"/>
      <x:c r="AI96" s="87"/>
    </x:row>
    <x:row r="97">
      <x:c r="A97" s="72" t="str">
        <x:f>IF(OR(C97="",D97=""),"",B97&amp;"-"&amp;UPPER(C97)&amp;"-"&amp;TEXT(D97,"0000")&amp;"-"&amp;E97)</x:f>
      </x:c>
      <x:c r="B97" s="74" t="str">
        <x:v>M15</x:v>
      </x:c>
      <x:c r="C97" s="74"/>
      <x:c r="D97" s="79"/>
      <x:c r="E97" s="74" t="str">
        <x:v>V1.0</x:v>
      </x:c>
      <x:c r="F97" s="68"/>
      <x:c r="G97" s="82"/>
      <x:c r="H97" s="68"/>
      <x:c r="I97" s="68"/>
      <x:c r="J97" s="68"/>
      <x:c r="K97" s="68"/>
      <x:c r="L97" s="82"/>
      <x:c r="M97" s="68"/>
      <x:c r="N97" s="82"/>
      <x:c r="O97" s="84"/>
      <x:c r="P97" s="82"/>
      <x:c r="Q97" s="68"/>
      <x:c r="R97" s="68"/>
      <x:c r="S97" s="68"/>
      <x:c r="T97" s="68"/>
      <x:c r="U97" s="68"/>
      <x:c r="V97" s="90"/>
      <x:c r="W97" s="68"/>
      <x:c r="X97" s="84"/>
      <x:c r="Y97" s="84"/>
      <x:c r="Z97" s="68"/>
      <x:c r="AA97" s="82"/>
      <x:c r="AB97" s="82"/>
      <x:c r="AC97" s="68"/>
      <x:c r="AD97" s="68"/>
      <x:c r="AE97" s="90"/>
      <x:c r="AF97" s="68"/>
      <x:c r="AG97" s="82"/>
      <x:c r="AH97" s="82"/>
      <x:c r="AI97" s="87"/>
    </x:row>
    <x:row r="98">
      <x:c r="A98" s="72" t="str">
        <x:f>IF(OR(C98="",D98=""),"",B98&amp;"-"&amp;UPPER(C98)&amp;"-"&amp;TEXT(D98,"0000")&amp;"-"&amp;E98)</x:f>
      </x:c>
      <x:c r="B98" s="74" t="str">
        <x:v>M15</x:v>
      </x:c>
      <x:c r="C98" s="74"/>
      <x:c r="D98" s="79"/>
      <x:c r="E98" s="74" t="str">
        <x:v>V1.0</x:v>
      </x:c>
      <x:c r="F98" s="68"/>
      <x:c r="G98" s="82"/>
      <x:c r="H98" s="68"/>
      <x:c r="I98" s="68"/>
      <x:c r="J98" s="68"/>
      <x:c r="K98" s="68"/>
      <x:c r="L98" s="82"/>
      <x:c r="M98" s="68"/>
      <x:c r="N98" s="82"/>
      <x:c r="O98" s="84"/>
      <x:c r="P98" s="82"/>
      <x:c r="Q98" s="68"/>
      <x:c r="R98" s="68"/>
      <x:c r="S98" s="68"/>
      <x:c r="T98" s="68"/>
      <x:c r="U98" s="68"/>
      <x:c r="V98" s="90"/>
      <x:c r="W98" s="68"/>
      <x:c r="X98" s="84"/>
      <x:c r="Y98" s="84"/>
      <x:c r="Z98" s="68"/>
      <x:c r="AA98" s="82"/>
      <x:c r="AB98" s="82"/>
      <x:c r="AC98" s="68"/>
      <x:c r="AD98" s="68"/>
      <x:c r="AE98" s="90"/>
      <x:c r="AF98" s="68"/>
      <x:c r="AG98" s="82"/>
      <x:c r="AH98" s="82"/>
      <x:c r="AI98" s="87"/>
    </x:row>
    <x:row r="99">
      <x:c r="A99" s="72" t="str">
        <x:f>IF(OR(C99="",D99=""),"",B99&amp;"-"&amp;UPPER(C99)&amp;"-"&amp;TEXT(D99,"0000")&amp;"-"&amp;E99)</x:f>
      </x:c>
      <x:c r="B99" s="74" t="str">
        <x:v>M15</x:v>
      </x:c>
      <x:c r="C99" s="74"/>
      <x:c r="D99" s="79"/>
      <x:c r="E99" s="74" t="str">
        <x:v>V1.0</x:v>
      </x:c>
      <x:c r="F99" s="68"/>
      <x:c r="G99" s="82"/>
      <x:c r="H99" s="68"/>
      <x:c r="I99" s="68"/>
      <x:c r="J99" s="68"/>
      <x:c r="K99" s="68"/>
      <x:c r="L99" s="82"/>
      <x:c r="M99" s="68"/>
      <x:c r="N99" s="82"/>
      <x:c r="O99" s="84"/>
      <x:c r="P99" s="82"/>
      <x:c r="Q99" s="68"/>
      <x:c r="R99" s="68"/>
      <x:c r="S99" s="68"/>
      <x:c r="T99" s="68"/>
      <x:c r="U99" s="68"/>
      <x:c r="V99" s="90"/>
      <x:c r="W99" s="68"/>
      <x:c r="X99" s="84"/>
      <x:c r="Y99" s="84"/>
      <x:c r="Z99" s="68"/>
      <x:c r="AA99" s="82"/>
      <x:c r="AB99" s="82"/>
      <x:c r="AC99" s="68"/>
      <x:c r="AD99" s="68"/>
      <x:c r="AE99" s="90"/>
      <x:c r="AF99" s="68"/>
      <x:c r="AG99" s="82"/>
      <x:c r="AH99" s="82"/>
      <x:c r="AI99" s="87"/>
    </x:row>
    <x:row r="100">
      <x:c r="A100" s="72" t="str">
        <x:f>IF(OR(C100="",D100=""),"",B100&amp;"-"&amp;UPPER(C100)&amp;"-"&amp;TEXT(D100,"0000")&amp;"-"&amp;E100)</x:f>
      </x:c>
      <x:c r="B100" s="74" t="str">
        <x:v>M15</x:v>
      </x:c>
      <x:c r="C100" s="74"/>
      <x:c r="D100" s="79"/>
      <x:c r="E100" s="74" t="str">
        <x:v>V1.0</x:v>
      </x:c>
      <x:c r="F100" s="68"/>
      <x:c r="G100" s="82"/>
      <x:c r="H100" s="68"/>
      <x:c r="I100" s="68"/>
      <x:c r="J100" s="68"/>
      <x:c r="K100" s="68"/>
      <x:c r="L100" s="82"/>
      <x:c r="M100" s="68"/>
      <x:c r="N100" s="82"/>
      <x:c r="O100" s="84"/>
      <x:c r="P100" s="82"/>
      <x:c r="Q100" s="68"/>
      <x:c r="R100" s="68"/>
      <x:c r="S100" s="68"/>
      <x:c r="T100" s="68"/>
      <x:c r="U100" s="68"/>
      <x:c r="V100" s="90"/>
      <x:c r="W100" s="68"/>
      <x:c r="X100" s="84"/>
      <x:c r="Y100" s="84"/>
      <x:c r="Z100" s="68"/>
      <x:c r="AA100" s="82"/>
      <x:c r="AB100" s="82"/>
      <x:c r="AC100" s="68"/>
      <x:c r="AD100" s="68"/>
      <x:c r="AE100" s="90"/>
      <x:c r="AF100" s="68"/>
      <x:c r="AG100" s="82"/>
      <x:c r="AH100" s="82"/>
      <x:c r="AI100" s="87"/>
    </x:row>
    <x:row r="101">
      <x:c r="A101" s="72" t="str">
        <x:f>IF(OR(C101="",D101=""),"",B101&amp;"-"&amp;UPPER(C101)&amp;"-"&amp;TEXT(D101,"0000")&amp;"-"&amp;E101)</x:f>
      </x:c>
      <x:c r="B101" s="74" t="str">
        <x:v>M15</x:v>
      </x:c>
      <x:c r="C101" s="74"/>
      <x:c r="D101" s="79"/>
      <x:c r="E101" s="74" t="str">
        <x:v>V1.0</x:v>
      </x:c>
      <x:c r="F101" s="68"/>
      <x:c r="G101" s="82"/>
      <x:c r="H101" s="68"/>
      <x:c r="I101" s="68"/>
      <x:c r="J101" s="68"/>
      <x:c r="K101" s="68"/>
      <x:c r="L101" s="82"/>
      <x:c r="M101" s="68"/>
      <x:c r="N101" s="82"/>
      <x:c r="O101" s="84"/>
      <x:c r="P101" s="82"/>
      <x:c r="Q101" s="68"/>
      <x:c r="R101" s="68"/>
      <x:c r="S101" s="68"/>
      <x:c r="T101" s="68"/>
      <x:c r="U101" s="68"/>
      <x:c r="V101" s="90"/>
      <x:c r="W101" s="68"/>
      <x:c r="X101" s="84"/>
      <x:c r="Y101" s="84"/>
      <x:c r="Z101" s="68"/>
      <x:c r="AA101" s="82"/>
      <x:c r="AB101" s="82"/>
      <x:c r="AC101" s="68"/>
      <x:c r="AD101" s="68"/>
      <x:c r="AE101" s="90"/>
      <x:c r="AF101" s="68"/>
      <x:c r="AG101" s="82"/>
      <x:c r="AH101" s="82"/>
      <x:c r="AI101" s="87"/>
    </x:row>
    <x:row r="102">
      <x:c r="A102" s="72" t="str">
        <x:f>IF(OR(C102="",D102=""),"",B102&amp;"-"&amp;UPPER(C102)&amp;"-"&amp;TEXT(D102,"0000")&amp;"-"&amp;E102)</x:f>
      </x:c>
      <x:c r="B102" s="74" t="str">
        <x:v>M15</x:v>
      </x:c>
      <x:c r="C102" s="74"/>
      <x:c r="D102" s="79"/>
      <x:c r="E102" s="74" t="str">
        <x:v>V1.0</x:v>
      </x:c>
      <x:c r="F102" s="68"/>
      <x:c r="G102" s="82"/>
      <x:c r="H102" s="68"/>
      <x:c r="I102" s="68"/>
      <x:c r="J102" s="68"/>
      <x:c r="K102" s="68"/>
      <x:c r="L102" s="82"/>
      <x:c r="M102" s="68"/>
      <x:c r="N102" s="82"/>
      <x:c r="O102" s="84"/>
      <x:c r="P102" s="82"/>
      <x:c r="Q102" s="68"/>
      <x:c r="R102" s="68"/>
      <x:c r="S102" s="68"/>
      <x:c r="T102" s="68"/>
      <x:c r="U102" s="68"/>
      <x:c r="V102" s="90"/>
      <x:c r="W102" s="68"/>
      <x:c r="X102" s="84"/>
      <x:c r="Y102" s="84"/>
      <x:c r="Z102" s="68"/>
      <x:c r="AA102" s="82"/>
      <x:c r="AB102" s="82"/>
      <x:c r="AC102" s="68"/>
      <x:c r="AD102" s="68"/>
      <x:c r="AE102" s="90"/>
      <x:c r="AF102" s="68"/>
      <x:c r="AG102" s="82"/>
      <x:c r="AH102" s="82"/>
      <x:c r="AI102" s="87"/>
    </x:row>
    <x:row r="103">
      <x:c r="A103" s="72" t="str">
        <x:f>IF(OR(C103="",D103=""),"",B103&amp;"-"&amp;UPPER(C103)&amp;"-"&amp;TEXT(D103,"0000")&amp;"-"&amp;E103)</x:f>
      </x:c>
      <x:c r="B103" s="74" t="str">
        <x:v>M15</x:v>
      </x:c>
      <x:c r="C103" s="74"/>
      <x:c r="D103" s="79"/>
      <x:c r="E103" s="74" t="str">
        <x:v>V1.0</x:v>
      </x:c>
      <x:c r="F103" s="68"/>
      <x:c r="G103" s="82"/>
      <x:c r="H103" s="68"/>
      <x:c r="I103" s="68"/>
      <x:c r="J103" s="68"/>
      <x:c r="K103" s="68"/>
      <x:c r="L103" s="82"/>
      <x:c r="M103" s="68"/>
      <x:c r="N103" s="82"/>
      <x:c r="O103" s="84"/>
      <x:c r="P103" s="82"/>
      <x:c r="Q103" s="68"/>
      <x:c r="R103" s="68"/>
      <x:c r="S103" s="68"/>
      <x:c r="T103" s="68"/>
      <x:c r="U103" s="68"/>
      <x:c r="V103" s="90"/>
      <x:c r="W103" s="68"/>
      <x:c r="X103" s="84"/>
      <x:c r="Y103" s="84"/>
      <x:c r="Z103" s="68"/>
      <x:c r="AA103" s="82"/>
      <x:c r="AB103" s="82"/>
      <x:c r="AC103" s="68"/>
      <x:c r="AD103" s="68"/>
      <x:c r="AE103" s="90"/>
      <x:c r="AF103" s="68"/>
      <x:c r="AG103" s="82"/>
      <x:c r="AH103" s="82"/>
      <x:c r="AI103" s="87"/>
    </x:row>
    <x:row r="104">
      <x:c r="A104" s="72" t="str">
        <x:f>IF(OR(C104="",D104=""),"",B104&amp;"-"&amp;UPPER(C104)&amp;"-"&amp;TEXT(D104,"0000")&amp;"-"&amp;E104)</x:f>
      </x:c>
      <x:c r="B104" s="74" t="str">
        <x:v>M15</x:v>
      </x:c>
      <x:c r="C104" s="74"/>
      <x:c r="D104" s="79"/>
      <x:c r="E104" s="74" t="str">
        <x:v>V1.0</x:v>
      </x:c>
      <x:c r="F104" s="68"/>
      <x:c r="G104" s="82"/>
      <x:c r="H104" s="68"/>
      <x:c r="I104" s="68"/>
      <x:c r="J104" s="68"/>
      <x:c r="K104" s="68"/>
      <x:c r="L104" s="82"/>
      <x:c r="M104" s="68"/>
      <x:c r="N104" s="82"/>
      <x:c r="O104" s="84"/>
      <x:c r="P104" s="82"/>
      <x:c r="Q104" s="68"/>
      <x:c r="R104" s="68"/>
      <x:c r="S104" s="68"/>
      <x:c r="T104" s="68"/>
      <x:c r="U104" s="68"/>
      <x:c r="V104" s="90"/>
      <x:c r="W104" s="68"/>
      <x:c r="X104" s="84"/>
      <x:c r="Y104" s="84"/>
      <x:c r="Z104" s="68"/>
      <x:c r="AA104" s="82"/>
      <x:c r="AB104" s="82"/>
      <x:c r="AC104" s="68"/>
      <x:c r="AD104" s="68"/>
      <x:c r="AE104" s="90"/>
      <x:c r="AF104" s="68"/>
      <x:c r="AG104" s="82"/>
      <x:c r="AH104" s="82"/>
      <x:c r="AI104" s="87"/>
    </x:row>
    <x:row r="105">
      <x:c r="A105" s="72" t="str">
        <x:f>IF(OR(C105="",D105=""),"",B105&amp;"-"&amp;UPPER(C105)&amp;"-"&amp;TEXT(D105,"0000")&amp;"-"&amp;E105)</x:f>
      </x:c>
      <x:c r="B105" s="74" t="str">
        <x:v>M15</x:v>
      </x:c>
      <x:c r="C105" s="74"/>
      <x:c r="D105" s="79"/>
      <x:c r="E105" s="74" t="str">
        <x:v>V1.0</x:v>
      </x:c>
      <x:c r="F105" s="68"/>
      <x:c r="G105" s="82"/>
      <x:c r="H105" s="68"/>
      <x:c r="I105" s="68"/>
      <x:c r="J105" s="68"/>
      <x:c r="K105" s="68"/>
      <x:c r="L105" s="82"/>
      <x:c r="M105" s="68"/>
      <x:c r="N105" s="82"/>
      <x:c r="O105" s="84"/>
      <x:c r="P105" s="82"/>
      <x:c r="Q105" s="68"/>
      <x:c r="R105" s="68"/>
      <x:c r="S105" s="68"/>
      <x:c r="T105" s="68"/>
      <x:c r="U105" s="68"/>
      <x:c r="V105" s="90"/>
      <x:c r="W105" s="68"/>
      <x:c r="X105" s="84"/>
      <x:c r="Y105" s="84"/>
      <x:c r="Z105" s="68"/>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768973c769e145c0"/>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c>
      <x:c r="B7" s="74" t="str">
        <x:v>M16</x:v>
      </x:c>
      <x:c r="C7" s="74"/>
      <x:c r="D7" s="79"/>
      <x:c r="E7" s="74" t="str">
        <x:v>V1.0</x:v>
      </x:c>
      <x:c r="F7" s="68"/>
      <x:c r="G7" s="82"/>
      <x:c r="H7" s="82"/>
      <x:c r="I7" s="68"/>
      <x:c r="J7" s="68"/>
      <x:c r="K7" s="68"/>
      <x:c r="L7" s="68"/>
      <x:c r="M7" s="82"/>
      <x:c r="N7" s="68"/>
      <x:c r="O7" s="68"/>
      <x:c r="P7" s="82"/>
      <x:c r="Q7" s="68"/>
      <x:c r="R7" s="90"/>
      <x:c r="S7" s="90"/>
      <x:c r="T7" s="90"/>
      <x:c r="U7" s="82"/>
      <x:c r="V7" s="90"/>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M16</x:v>
      </x:c>
      <x:c r="C8" s="74"/>
      <x:c r="D8" s="79"/>
      <x:c r="E8" s="74" t="str">
        <x:v>V1.0</x:v>
      </x:c>
      <x:c r="F8" s="68"/>
      <x:c r="G8" s="82"/>
      <x:c r="H8" s="82"/>
      <x:c r="I8" s="68"/>
      <x:c r="J8" s="68"/>
      <x:c r="K8" s="68"/>
      <x:c r="L8" s="68"/>
      <x:c r="M8" s="82"/>
      <x:c r="N8" s="68"/>
      <x:c r="O8" s="68"/>
      <x:c r="P8" s="82"/>
      <x:c r="Q8" s="68"/>
      <x:c r="R8" s="90"/>
      <x:c r="S8" s="90"/>
      <x:c r="T8" s="90"/>
      <x:c r="U8" s="82"/>
      <x:c r="V8" s="90"/>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M16</x:v>
      </x:c>
      <x:c r="C9" s="74"/>
      <x:c r="D9" s="79"/>
      <x:c r="E9" s="74" t="str">
        <x:v>V1.0</x:v>
      </x:c>
      <x:c r="F9" s="68"/>
      <x:c r="G9" s="82"/>
      <x:c r="H9" s="82"/>
      <x:c r="I9" s="68"/>
      <x:c r="J9" s="68"/>
      <x:c r="K9" s="68"/>
      <x:c r="L9" s="68"/>
      <x:c r="M9" s="82"/>
      <x:c r="N9" s="68"/>
      <x:c r="O9" s="68"/>
      <x:c r="P9" s="82"/>
      <x:c r="Q9" s="68"/>
      <x:c r="R9" s="90"/>
      <x:c r="S9" s="90"/>
      <x:c r="T9" s="90"/>
      <x:c r="U9" s="82"/>
      <x:c r="V9" s="90"/>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M16</x:v>
      </x:c>
      <x:c r="C10" s="74"/>
      <x:c r="D10" s="79"/>
      <x:c r="E10" s="74" t="str">
        <x:v>V1.0</x:v>
      </x:c>
      <x:c r="F10" s="68"/>
      <x:c r="G10" s="82"/>
      <x:c r="H10" s="82"/>
      <x:c r="I10" s="68"/>
      <x:c r="J10" s="68"/>
      <x:c r="K10" s="68"/>
      <x:c r="L10" s="68"/>
      <x:c r="M10" s="82"/>
      <x:c r="N10" s="68"/>
      <x:c r="O10" s="68"/>
      <x:c r="P10" s="82"/>
      <x:c r="Q10" s="68"/>
      <x:c r="R10" s="90"/>
      <x:c r="S10" s="90"/>
      <x:c r="T10" s="90"/>
      <x:c r="U10" s="82"/>
      <x:c r="V10" s="90"/>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M16</x:v>
      </x:c>
      <x:c r="C11" s="74"/>
      <x:c r="D11" s="79"/>
      <x:c r="E11" s="74" t="str">
        <x:v>V1.0</x:v>
      </x:c>
      <x:c r="F11" s="68"/>
      <x:c r="G11" s="82"/>
      <x:c r="H11" s="82"/>
      <x:c r="I11" s="68"/>
      <x:c r="J11" s="68"/>
      <x:c r="K11" s="68"/>
      <x:c r="L11" s="68"/>
      <x:c r="M11" s="82"/>
      <x:c r="N11" s="68"/>
      <x:c r="O11" s="68"/>
      <x:c r="P11" s="82"/>
      <x:c r="Q11" s="68"/>
      <x:c r="R11" s="90"/>
      <x:c r="S11" s="90"/>
      <x:c r="T11" s="90"/>
      <x:c r="U11" s="82"/>
      <x:c r="V11" s="90"/>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M16</x:v>
      </x:c>
      <x:c r="C12" s="74"/>
      <x:c r="D12" s="79"/>
      <x:c r="E12" s="74" t="str">
        <x:v>V1.0</x:v>
      </x:c>
      <x:c r="F12" s="68"/>
      <x:c r="G12" s="82"/>
      <x:c r="H12" s="82"/>
      <x:c r="I12" s="68"/>
      <x:c r="J12" s="68"/>
      <x:c r="K12" s="68"/>
      <x:c r="L12" s="68"/>
      <x:c r="M12" s="82"/>
      <x:c r="N12" s="68"/>
      <x:c r="O12" s="68"/>
      <x:c r="P12" s="82"/>
      <x:c r="Q12" s="68"/>
      <x:c r="R12" s="90"/>
      <x:c r="S12" s="90"/>
      <x:c r="T12" s="90"/>
      <x:c r="U12" s="82"/>
      <x:c r="V12" s="90"/>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M16</x:v>
      </x:c>
      <x:c r="C13" s="74"/>
      <x:c r="D13" s="79"/>
      <x:c r="E13" s="74" t="str">
        <x:v>V1.0</x:v>
      </x:c>
      <x:c r="F13" s="68"/>
      <x:c r="G13" s="82"/>
      <x:c r="H13" s="82"/>
      <x:c r="I13" s="68"/>
      <x:c r="J13" s="68"/>
      <x:c r="K13" s="68"/>
      <x:c r="L13" s="68"/>
      <x:c r="M13" s="82"/>
      <x:c r="N13" s="68"/>
      <x:c r="O13" s="68"/>
      <x:c r="P13" s="82"/>
      <x:c r="Q13" s="68"/>
      <x:c r="R13" s="90"/>
      <x:c r="S13" s="90"/>
      <x:c r="T13" s="90"/>
      <x:c r="U13" s="82"/>
      <x:c r="V13" s="90"/>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M16</x:v>
      </x:c>
      <x:c r="C14" s="74"/>
      <x:c r="D14" s="79"/>
      <x:c r="E14" s="74" t="str">
        <x:v>V1.0</x:v>
      </x:c>
      <x:c r="F14" s="68"/>
      <x:c r="G14" s="82"/>
      <x:c r="H14" s="82"/>
      <x:c r="I14" s="68"/>
      <x:c r="J14" s="68"/>
      <x:c r="K14" s="68"/>
      <x:c r="L14" s="68"/>
      <x:c r="M14" s="82"/>
      <x:c r="N14" s="68"/>
      <x:c r="O14" s="68"/>
      <x:c r="P14" s="82"/>
      <x:c r="Q14" s="68"/>
      <x:c r="R14" s="90"/>
      <x:c r="S14" s="90"/>
      <x:c r="T14" s="90"/>
      <x:c r="U14" s="82"/>
      <x:c r="V14" s="90"/>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M16</x:v>
      </x:c>
      <x:c r="C15" s="74"/>
      <x:c r="D15" s="79"/>
      <x:c r="E15" s="74" t="str">
        <x:v>V1.0</x:v>
      </x:c>
      <x:c r="F15" s="68"/>
      <x:c r="G15" s="82"/>
      <x:c r="H15" s="82"/>
      <x:c r="I15" s="68"/>
      <x:c r="J15" s="68"/>
      <x:c r="K15" s="68"/>
      <x:c r="L15" s="68"/>
      <x:c r="M15" s="82"/>
      <x:c r="N15" s="68"/>
      <x:c r="O15" s="68"/>
      <x:c r="P15" s="82"/>
      <x:c r="Q15" s="68"/>
      <x:c r="R15" s="90"/>
      <x:c r="S15" s="90"/>
      <x:c r="T15" s="90"/>
      <x:c r="U15" s="82"/>
      <x:c r="V15" s="90"/>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M16</x:v>
      </x:c>
      <x:c r="C16" s="74"/>
      <x:c r="D16" s="79"/>
      <x:c r="E16" s="74" t="str">
        <x:v>V1.0</x:v>
      </x:c>
      <x:c r="F16" s="68"/>
      <x:c r="G16" s="82"/>
      <x:c r="H16" s="82"/>
      <x:c r="I16" s="68"/>
      <x:c r="J16" s="68"/>
      <x:c r="K16" s="68"/>
      <x:c r="L16" s="68"/>
      <x:c r="M16" s="82"/>
      <x:c r="N16" s="68"/>
      <x:c r="O16" s="68"/>
      <x:c r="P16" s="82"/>
      <x:c r="Q16" s="68"/>
      <x:c r="R16" s="90"/>
      <x:c r="S16" s="90"/>
      <x:c r="T16" s="90"/>
      <x:c r="U16" s="82"/>
      <x:c r="V16" s="90"/>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M16</x:v>
      </x:c>
      <x:c r="C17" s="74"/>
      <x:c r="D17" s="79"/>
      <x:c r="E17" s="74" t="str">
        <x:v>V1.0</x:v>
      </x:c>
      <x:c r="F17" s="68"/>
      <x:c r="G17" s="82"/>
      <x:c r="H17" s="82"/>
      <x:c r="I17" s="68"/>
      <x:c r="J17" s="68"/>
      <x:c r="K17" s="68"/>
      <x:c r="L17" s="68"/>
      <x:c r="M17" s="82"/>
      <x:c r="N17" s="68"/>
      <x:c r="O17" s="68"/>
      <x:c r="P17" s="82"/>
      <x:c r="Q17" s="68"/>
      <x:c r="R17" s="90"/>
      <x:c r="S17" s="90"/>
      <x:c r="T17" s="90"/>
      <x:c r="U17" s="82"/>
      <x:c r="V17" s="90"/>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M16</x:v>
      </x:c>
      <x:c r="C18" s="74"/>
      <x:c r="D18" s="79"/>
      <x:c r="E18" s="74" t="str">
        <x:v>V1.0</x:v>
      </x:c>
      <x:c r="F18" s="68"/>
      <x:c r="G18" s="82"/>
      <x:c r="H18" s="82"/>
      <x:c r="I18" s="68"/>
      <x:c r="J18" s="68"/>
      <x:c r="K18" s="68"/>
      <x:c r="L18" s="68"/>
      <x:c r="M18" s="82"/>
      <x:c r="N18" s="68"/>
      <x:c r="O18" s="68"/>
      <x:c r="P18" s="82"/>
      <x:c r="Q18" s="68"/>
      <x:c r="R18" s="90"/>
      <x:c r="S18" s="90"/>
      <x:c r="T18" s="90"/>
      <x:c r="U18" s="82"/>
      <x:c r="V18" s="90"/>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M16</x:v>
      </x:c>
      <x:c r="C19" s="74"/>
      <x:c r="D19" s="79"/>
      <x:c r="E19" s="74" t="str">
        <x:v>V1.0</x:v>
      </x:c>
      <x:c r="F19" s="68"/>
      <x:c r="G19" s="82"/>
      <x:c r="H19" s="82"/>
      <x:c r="I19" s="68"/>
      <x:c r="J19" s="68"/>
      <x:c r="K19" s="68"/>
      <x:c r="L19" s="68"/>
      <x:c r="M19" s="82"/>
      <x:c r="N19" s="68"/>
      <x:c r="O19" s="68"/>
      <x:c r="P19" s="82"/>
      <x:c r="Q19" s="68"/>
      <x:c r="R19" s="90"/>
      <x:c r="S19" s="90"/>
      <x:c r="T19" s="90"/>
      <x:c r="U19" s="82"/>
      <x:c r="V19" s="90"/>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M16</x:v>
      </x:c>
      <x:c r="C20" s="74"/>
      <x:c r="D20" s="79"/>
      <x:c r="E20" s="74" t="str">
        <x:v>V1.0</x:v>
      </x:c>
      <x:c r="F20" s="68"/>
      <x:c r="G20" s="82"/>
      <x:c r="H20" s="82"/>
      <x:c r="I20" s="68"/>
      <x:c r="J20" s="68"/>
      <x:c r="K20" s="68"/>
      <x:c r="L20" s="68"/>
      <x:c r="M20" s="82"/>
      <x:c r="N20" s="68"/>
      <x:c r="O20" s="68"/>
      <x:c r="P20" s="82"/>
      <x:c r="Q20" s="68"/>
      <x:c r="R20" s="90"/>
      <x:c r="S20" s="90"/>
      <x:c r="T20" s="90"/>
      <x:c r="U20" s="82"/>
      <x:c r="V20" s="90"/>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M16</x:v>
      </x:c>
      <x:c r="C21" s="74"/>
      <x:c r="D21" s="79"/>
      <x:c r="E21" s="74" t="str">
        <x:v>V1.0</x:v>
      </x:c>
      <x:c r="F21" s="68"/>
      <x:c r="G21" s="82"/>
      <x:c r="H21" s="82"/>
      <x:c r="I21" s="68"/>
      <x:c r="J21" s="68"/>
      <x:c r="K21" s="68"/>
      <x:c r="L21" s="68"/>
      <x:c r="M21" s="82"/>
      <x:c r="N21" s="68"/>
      <x:c r="O21" s="68"/>
      <x:c r="P21" s="82"/>
      <x:c r="Q21" s="68"/>
      <x:c r="R21" s="90"/>
      <x:c r="S21" s="90"/>
      <x:c r="T21" s="90"/>
      <x:c r="U21" s="82"/>
      <x:c r="V21" s="90"/>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M16</x:v>
      </x:c>
      <x:c r="C22" s="74"/>
      <x:c r="D22" s="79"/>
      <x:c r="E22" s="74" t="str">
        <x:v>V1.0</x:v>
      </x:c>
      <x:c r="F22" s="68"/>
      <x:c r="G22" s="82"/>
      <x:c r="H22" s="82"/>
      <x:c r="I22" s="68"/>
      <x:c r="J22" s="68"/>
      <x:c r="K22" s="68"/>
      <x:c r="L22" s="68"/>
      <x:c r="M22" s="82"/>
      <x:c r="N22" s="68"/>
      <x:c r="O22" s="68"/>
      <x:c r="P22" s="82"/>
      <x:c r="Q22" s="68"/>
      <x:c r="R22" s="90"/>
      <x:c r="S22" s="90"/>
      <x:c r="T22" s="90"/>
      <x:c r="U22" s="82"/>
      <x:c r="V22" s="90"/>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M16</x:v>
      </x:c>
      <x:c r="C23" s="74"/>
      <x:c r="D23" s="79"/>
      <x:c r="E23" s="74" t="str">
        <x:v>V1.0</x:v>
      </x:c>
      <x:c r="F23" s="68"/>
      <x:c r="G23" s="82"/>
      <x:c r="H23" s="82"/>
      <x:c r="I23" s="68"/>
      <x:c r="J23" s="68"/>
      <x:c r="K23" s="68"/>
      <x:c r="L23" s="68"/>
      <x:c r="M23" s="82"/>
      <x:c r="N23" s="68"/>
      <x:c r="O23" s="68"/>
      <x:c r="P23" s="82"/>
      <x:c r="Q23" s="68"/>
      <x:c r="R23" s="90"/>
      <x:c r="S23" s="90"/>
      <x:c r="T23" s="90"/>
      <x:c r="U23" s="82"/>
      <x:c r="V23" s="90"/>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M16</x:v>
      </x:c>
      <x:c r="C24" s="74"/>
      <x:c r="D24" s="79"/>
      <x:c r="E24" s="74" t="str">
        <x:v>V1.0</x:v>
      </x:c>
      <x:c r="F24" s="68"/>
      <x:c r="G24" s="82"/>
      <x:c r="H24" s="82"/>
      <x:c r="I24" s="68"/>
      <x:c r="J24" s="68"/>
      <x:c r="K24" s="68"/>
      <x:c r="L24" s="68"/>
      <x:c r="M24" s="82"/>
      <x:c r="N24" s="68"/>
      <x:c r="O24" s="68"/>
      <x:c r="P24" s="82"/>
      <x:c r="Q24" s="68"/>
      <x:c r="R24" s="90"/>
      <x:c r="S24" s="90"/>
      <x:c r="T24" s="90"/>
      <x:c r="U24" s="82"/>
      <x:c r="V24" s="90"/>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M16</x:v>
      </x:c>
      <x:c r="C25" s="74"/>
      <x:c r="D25" s="79"/>
      <x:c r="E25" s="74" t="str">
        <x:v>V1.0</x:v>
      </x:c>
      <x:c r="F25" s="68"/>
      <x:c r="G25" s="82"/>
      <x:c r="H25" s="82"/>
      <x:c r="I25" s="68"/>
      <x:c r="J25" s="68"/>
      <x:c r="K25" s="68"/>
      <x:c r="L25" s="68"/>
      <x:c r="M25" s="82"/>
      <x:c r="N25" s="68"/>
      <x:c r="O25" s="68"/>
      <x:c r="P25" s="82"/>
      <x:c r="Q25" s="68"/>
      <x:c r="R25" s="90"/>
      <x:c r="S25" s="90"/>
      <x:c r="T25" s="90"/>
      <x:c r="U25" s="82"/>
      <x:c r="V25" s="90"/>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M16</x:v>
      </x:c>
      <x:c r="C26" s="74"/>
      <x:c r="D26" s="79"/>
      <x:c r="E26" s="74" t="str">
        <x:v>V1.0</x:v>
      </x:c>
      <x:c r="F26" s="68"/>
      <x:c r="G26" s="82"/>
      <x:c r="H26" s="82"/>
      <x:c r="I26" s="68"/>
      <x:c r="J26" s="68"/>
      <x:c r="K26" s="68"/>
      <x:c r="L26" s="68"/>
      <x:c r="M26" s="82"/>
      <x:c r="N26" s="68"/>
      <x:c r="O26" s="68"/>
      <x:c r="P26" s="82"/>
      <x:c r="Q26" s="68"/>
      <x:c r="R26" s="90"/>
      <x:c r="S26" s="90"/>
      <x:c r="T26" s="90"/>
      <x:c r="U26" s="82"/>
      <x:c r="V26" s="90"/>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M16</x:v>
      </x:c>
      <x:c r="C27" s="74"/>
      <x:c r="D27" s="79"/>
      <x:c r="E27" s="74" t="str">
        <x:v>V1.0</x:v>
      </x:c>
      <x:c r="F27" s="68"/>
      <x:c r="G27" s="82"/>
      <x:c r="H27" s="82"/>
      <x:c r="I27" s="68"/>
      <x:c r="J27" s="68"/>
      <x:c r="K27" s="68"/>
      <x:c r="L27" s="68"/>
      <x:c r="M27" s="82"/>
      <x:c r="N27" s="68"/>
      <x:c r="O27" s="68"/>
      <x:c r="P27" s="82"/>
      <x:c r="Q27" s="68"/>
      <x:c r="R27" s="90"/>
      <x:c r="S27" s="90"/>
      <x:c r="T27" s="90"/>
      <x:c r="U27" s="82"/>
      <x:c r="V27" s="90"/>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M16</x:v>
      </x:c>
      <x:c r="C28" s="74"/>
      <x:c r="D28" s="79"/>
      <x:c r="E28" s="74" t="str">
        <x:v>V1.0</x:v>
      </x:c>
      <x:c r="F28" s="68"/>
      <x:c r="G28" s="82"/>
      <x:c r="H28" s="82"/>
      <x:c r="I28" s="68"/>
      <x:c r="J28" s="68"/>
      <x:c r="K28" s="68"/>
      <x:c r="L28" s="68"/>
      <x:c r="M28" s="82"/>
      <x:c r="N28" s="68"/>
      <x:c r="O28" s="68"/>
      <x:c r="P28" s="82"/>
      <x:c r="Q28" s="68"/>
      <x:c r="R28" s="90"/>
      <x:c r="S28" s="90"/>
      <x:c r="T28" s="90"/>
      <x:c r="U28" s="82"/>
      <x:c r="V28" s="90"/>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M16</x:v>
      </x:c>
      <x:c r="C29" s="74"/>
      <x:c r="D29" s="79"/>
      <x:c r="E29" s="74" t="str">
        <x:v>V1.0</x:v>
      </x:c>
      <x:c r="F29" s="68"/>
      <x:c r="G29" s="82"/>
      <x:c r="H29" s="82"/>
      <x:c r="I29" s="68"/>
      <x:c r="J29" s="68"/>
      <x:c r="K29" s="68"/>
      <x:c r="L29" s="68"/>
      <x:c r="M29" s="82"/>
      <x:c r="N29" s="68"/>
      <x:c r="O29" s="68"/>
      <x:c r="P29" s="82"/>
      <x:c r="Q29" s="68"/>
      <x:c r="R29" s="90"/>
      <x:c r="S29" s="90"/>
      <x:c r="T29" s="90"/>
      <x:c r="U29" s="82"/>
      <x:c r="V29" s="90"/>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M16</x:v>
      </x:c>
      <x:c r="C30" s="74"/>
      <x:c r="D30" s="79"/>
      <x:c r="E30" s="74" t="str">
        <x:v>V1.0</x:v>
      </x:c>
      <x:c r="F30" s="68"/>
      <x:c r="G30" s="82"/>
      <x:c r="H30" s="82"/>
      <x:c r="I30" s="68"/>
      <x:c r="J30" s="68"/>
      <x:c r="K30" s="68"/>
      <x:c r="L30" s="68"/>
      <x:c r="M30" s="82"/>
      <x:c r="N30" s="68"/>
      <x:c r="O30" s="68"/>
      <x:c r="P30" s="82"/>
      <x:c r="Q30" s="68"/>
      <x:c r="R30" s="90"/>
      <x:c r="S30" s="90"/>
      <x:c r="T30" s="90"/>
      <x:c r="U30" s="82"/>
      <x:c r="V30" s="90"/>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M16</x:v>
      </x:c>
      <x:c r="C31" s="74"/>
      <x:c r="D31" s="79"/>
      <x:c r="E31" s="74" t="str">
        <x:v>V1.0</x:v>
      </x:c>
      <x:c r="F31" s="68"/>
      <x:c r="G31" s="82"/>
      <x:c r="H31" s="82"/>
      <x:c r="I31" s="68"/>
      <x:c r="J31" s="68"/>
      <x:c r="K31" s="68"/>
      <x:c r="L31" s="68"/>
      <x:c r="M31" s="82"/>
      <x:c r="N31" s="68"/>
      <x:c r="O31" s="68"/>
      <x:c r="P31" s="82"/>
      <x:c r="Q31" s="68"/>
      <x:c r="R31" s="90"/>
      <x:c r="S31" s="90"/>
      <x:c r="T31" s="90"/>
      <x:c r="U31" s="82"/>
      <x:c r="V31" s="90"/>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M16</x:v>
      </x:c>
      <x:c r="C32" s="74"/>
      <x:c r="D32" s="79"/>
      <x:c r="E32" s="74" t="str">
        <x:v>V1.0</x:v>
      </x:c>
      <x:c r="F32" s="68"/>
      <x:c r="G32" s="82"/>
      <x:c r="H32" s="82"/>
      <x:c r="I32" s="68"/>
      <x:c r="J32" s="68"/>
      <x:c r="K32" s="68"/>
      <x:c r="L32" s="68"/>
      <x:c r="M32" s="82"/>
      <x:c r="N32" s="68"/>
      <x:c r="O32" s="68"/>
      <x:c r="P32" s="82"/>
      <x:c r="Q32" s="68"/>
      <x:c r="R32" s="90"/>
      <x:c r="S32" s="90"/>
      <x:c r="T32" s="90"/>
      <x:c r="U32" s="82"/>
      <x:c r="V32" s="90"/>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M16</x:v>
      </x:c>
      <x:c r="C33" s="74"/>
      <x:c r="D33" s="79"/>
      <x:c r="E33" s="74" t="str">
        <x:v>V1.0</x:v>
      </x:c>
      <x:c r="F33" s="68"/>
      <x:c r="G33" s="82"/>
      <x:c r="H33" s="82"/>
      <x:c r="I33" s="68"/>
      <x:c r="J33" s="68"/>
      <x:c r="K33" s="68"/>
      <x:c r="L33" s="68"/>
      <x:c r="M33" s="82"/>
      <x:c r="N33" s="68"/>
      <x:c r="O33" s="68"/>
      <x:c r="P33" s="82"/>
      <x:c r="Q33" s="68"/>
      <x:c r="R33" s="90"/>
      <x:c r="S33" s="90"/>
      <x:c r="T33" s="90"/>
      <x:c r="U33" s="82"/>
      <x:c r="V33" s="90"/>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M16</x:v>
      </x:c>
      <x:c r="C34" s="74"/>
      <x:c r="D34" s="79"/>
      <x:c r="E34" s="74" t="str">
        <x:v>V1.0</x:v>
      </x:c>
      <x:c r="F34" s="68"/>
      <x:c r="G34" s="82"/>
      <x:c r="H34" s="82"/>
      <x:c r="I34" s="68"/>
      <x:c r="J34" s="68"/>
      <x:c r="K34" s="68"/>
      <x:c r="L34" s="68"/>
      <x:c r="M34" s="82"/>
      <x:c r="N34" s="68"/>
      <x:c r="O34" s="68"/>
      <x:c r="P34" s="82"/>
      <x:c r="Q34" s="68"/>
      <x:c r="R34" s="90"/>
      <x:c r="S34" s="90"/>
      <x:c r="T34" s="90"/>
      <x:c r="U34" s="82"/>
      <x:c r="V34" s="90"/>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M16</x:v>
      </x:c>
      <x:c r="C35" s="74"/>
      <x:c r="D35" s="79"/>
      <x:c r="E35" s="74" t="str">
        <x:v>V1.0</x:v>
      </x:c>
      <x:c r="F35" s="68"/>
      <x:c r="G35" s="82"/>
      <x:c r="H35" s="82"/>
      <x:c r="I35" s="68"/>
      <x:c r="J35" s="68"/>
      <x:c r="K35" s="68"/>
      <x:c r="L35" s="68"/>
      <x:c r="M35" s="82"/>
      <x:c r="N35" s="68"/>
      <x:c r="O35" s="68"/>
      <x:c r="P35" s="82"/>
      <x:c r="Q35" s="68"/>
      <x:c r="R35" s="90"/>
      <x:c r="S35" s="90"/>
      <x:c r="T35" s="90"/>
      <x:c r="U35" s="82"/>
      <x:c r="V35" s="90"/>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M16</x:v>
      </x:c>
      <x:c r="C36" s="74"/>
      <x:c r="D36" s="79"/>
      <x:c r="E36" s="74" t="str">
        <x:v>V1.0</x:v>
      </x:c>
      <x:c r="F36" s="68"/>
      <x:c r="G36" s="82"/>
      <x:c r="H36" s="82"/>
      <x:c r="I36" s="68"/>
      <x:c r="J36" s="68"/>
      <x:c r="K36" s="68"/>
      <x:c r="L36" s="68"/>
      <x:c r="M36" s="82"/>
      <x:c r="N36" s="68"/>
      <x:c r="O36" s="68"/>
      <x:c r="P36" s="82"/>
      <x:c r="Q36" s="68"/>
      <x:c r="R36" s="90"/>
      <x:c r="S36" s="90"/>
      <x:c r="T36" s="90"/>
      <x:c r="U36" s="82"/>
      <x:c r="V36" s="90"/>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M16</x:v>
      </x:c>
      <x:c r="C37" s="74"/>
      <x:c r="D37" s="79"/>
      <x:c r="E37" s="74" t="str">
        <x:v>V1.0</x:v>
      </x:c>
      <x:c r="F37" s="68"/>
      <x:c r="G37" s="82"/>
      <x:c r="H37" s="82"/>
      <x:c r="I37" s="68"/>
      <x:c r="J37" s="68"/>
      <x:c r="K37" s="68"/>
      <x:c r="L37" s="68"/>
      <x:c r="M37" s="82"/>
      <x:c r="N37" s="68"/>
      <x:c r="O37" s="68"/>
      <x:c r="P37" s="82"/>
      <x:c r="Q37" s="68"/>
      <x:c r="R37" s="90"/>
      <x:c r="S37" s="90"/>
      <x:c r="T37" s="90"/>
      <x:c r="U37" s="82"/>
      <x:c r="V37" s="90"/>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M16</x:v>
      </x:c>
      <x:c r="C38" s="74"/>
      <x:c r="D38" s="79"/>
      <x:c r="E38" s="74" t="str">
        <x:v>V1.0</x:v>
      </x:c>
      <x:c r="F38" s="68"/>
      <x:c r="G38" s="82"/>
      <x:c r="H38" s="82"/>
      <x:c r="I38" s="68"/>
      <x:c r="J38" s="68"/>
      <x:c r="K38" s="68"/>
      <x:c r="L38" s="68"/>
      <x:c r="M38" s="82"/>
      <x:c r="N38" s="68"/>
      <x:c r="O38" s="68"/>
      <x:c r="P38" s="82"/>
      <x:c r="Q38" s="68"/>
      <x:c r="R38" s="90"/>
      <x:c r="S38" s="90"/>
      <x:c r="T38" s="90"/>
      <x:c r="U38" s="82"/>
      <x:c r="V38" s="90"/>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M16</x:v>
      </x:c>
      <x:c r="C39" s="74"/>
      <x:c r="D39" s="79"/>
      <x:c r="E39" s="74" t="str">
        <x:v>V1.0</x:v>
      </x:c>
      <x:c r="F39" s="68"/>
      <x:c r="G39" s="82"/>
      <x:c r="H39" s="82"/>
      <x:c r="I39" s="68"/>
      <x:c r="J39" s="68"/>
      <x:c r="K39" s="68"/>
      <x:c r="L39" s="68"/>
      <x:c r="M39" s="82"/>
      <x:c r="N39" s="68"/>
      <x:c r="O39" s="68"/>
      <x:c r="P39" s="82"/>
      <x:c r="Q39" s="68"/>
      <x:c r="R39" s="90"/>
      <x:c r="S39" s="90"/>
      <x:c r="T39" s="90"/>
      <x:c r="U39" s="82"/>
      <x:c r="V39" s="90"/>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M16</x:v>
      </x:c>
      <x:c r="C40" s="74"/>
      <x:c r="D40" s="79"/>
      <x:c r="E40" s="74" t="str">
        <x:v>V1.0</x:v>
      </x:c>
      <x:c r="F40" s="68"/>
      <x:c r="G40" s="82"/>
      <x:c r="H40" s="82"/>
      <x:c r="I40" s="68"/>
      <x:c r="J40" s="68"/>
      <x:c r="K40" s="68"/>
      <x:c r="L40" s="68"/>
      <x:c r="M40" s="82"/>
      <x:c r="N40" s="68"/>
      <x:c r="O40" s="68"/>
      <x:c r="P40" s="82"/>
      <x:c r="Q40" s="68"/>
      <x:c r="R40" s="90"/>
      <x:c r="S40" s="90"/>
      <x:c r="T40" s="90"/>
      <x:c r="U40" s="82"/>
      <x:c r="V40" s="90"/>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M16</x:v>
      </x:c>
      <x:c r="C41" s="74"/>
      <x:c r="D41" s="79"/>
      <x:c r="E41" s="74" t="str">
        <x:v>V1.0</x:v>
      </x:c>
      <x:c r="F41" s="68"/>
      <x:c r="G41" s="82"/>
      <x:c r="H41" s="82"/>
      <x:c r="I41" s="68"/>
      <x:c r="J41" s="68"/>
      <x:c r="K41" s="68"/>
      <x:c r="L41" s="68"/>
      <x:c r="M41" s="82"/>
      <x:c r="N41" s="68"/>
      <x:c r="O41" s="68"/>
      <x:c r="P41" s="82"/>
      <x:c r="Q41" s="68"/>
      <x:c r="R41" s="90"/>
      <x:c r="S41" s="90"/>
      <x:c r="T41" s="90"/>
      <x:c r="U41" s="82"/>
      <x:c r="V41" s="90"/>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M16</x:v>
      </x:c>
      <x:c r="C42" s="74"/>
      <x:c r="D42" s="79"/>
      <x:c r="E42" s="74" t="str">
        <x:v>V1.0</x:v>
      </x:c>
      <x:c r="F42" s="68"/>
      <x:c r="G42" s="82"/>
      <x:c r="H42" s="82"/>
      <x:c r="I42" s="68"/>
      <x:c r="J42" s="68"/>
      <x:c r="K42" s="68"/>
      <x:c r="L42" s="68"/>
      <x:c r="M42" s="82"/>
      <x:c r="N42" s="68"/>
      <x:c r="O42" s="68"/>
      <x:c r="P42" s="82"/>
      <x:c r="Q42" s="68"/>
      <x:c r="R42" s="90"/>
      <x:c r="S42" s="90"/>
      <x:c r="T42" s="90"/>
      <x:c r="U42" s="82"/>
      <x:c r="V42" s="90"/>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M16</x:v>
      </x:c>
      <x:c r="C43" s="74"/>
      <x:c r="D43" s="79"/>
      <x:c r="E43" s="74" t="str">
        <x:v>V1.0</x:v>
      </x:c>
      <x:c r="F43" s="68"/>
      <x:c r="G43" s="82"/>
      <x:c r="H43" s="82"/>
      <x:c r="I43" s="68"/>
      <x:c r="J43" s="68"/>
      <x:c r="K43" s="68"/>
      <x:c r="L43" s="68"/>
      <x:c r="M43" s="82"/>
      <x:c r="N43" s="68"/>
      <x:c r="O43" s="68"/>
      <x:c r="P43" s="82"/>
      <x:c r="Q43" s="68"/>
      <x:c r="R43" s="90"/>
      <x:c r="S43" s="90"/>
      <x:c r="T43" s="90"/>
      <x:c r="U43" s="82"/>
      <x:c r="V43" s="90"/>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M16</x:v>
      </x:c>
      <x:c r="C44" s="74"/>
      <x:c r="D44" s="79"/>
      <x:c r="E44" s="74" t="str">
        <x:v>V1.0</x:v>
      </x:c>
      <x:c r="F44" s="68"/>
      <x:c r="G44" s="82"/>
      <x:c r="H44" s="82"/>
      <x:c r="I44" s="68"/>
      <x:c r="J44" s="68"/>
      <x:c r="K44" s="68"/>
      <x:c r="L44" s="68"/>
      <x:c r="M44" s="82"/>
      <x:c r="N44" s="68"/>
      <x:c r="O44" s="68"/>
      <x:c r="P44" s="82"/>
      <x:c r="Q44" s="68"/>
      <x:c r="R44" s="90"/>
      <x:c r="S44" s="90"/>
      <x:c r="T44" s="90"/>
      <x:c r="U44" s="82"/>
      <x:c r="V44" s="90"/>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M16</x:v>
      </x:c>
      <x:c r="C45" s="74"/>
      <x:c r="D45" s="79"/>
      <x:c r="E45" s="74" t="str">
        <x:v>V1.0</x:v>
      </x:c>
      <x:c r="F45" s="68"/>
      <x:c r="G45" s="82"/>
      <x:c r="H45" s="82"/>
      <x:c r="I45" s="68"/>
      <x:c r="J45" s="68"/>
      <x:c r="K45" s="68"/>
      <x:c r="L45" s="68"/>
      <x:c r="M45" s="82"/>
      <x:c r="N45" s="68"/>
      <x:c r="O45" s="68"/>
      <x:c r="P45" s="82"/>
      <x:c r="Q45" s="68"/>
      <x:c r="R45" s="90"/>
      <x:c r="S45" s="90"/>
      <x:c r="T45" s="90"/>
      <x:c r="U45" s="82"/>
      <x:c r="V45" s="90"/>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M16</x:v>
      </x:c>
      <x:c r="C46" s="74"/>
      <x:c r="D46" s="79"/>
      <x:c r="E46" s="74" t="str">
        <x:v>V1.0</x:v>
      </x:c>
      <x:c r="F46" s="68"/>
      <x:c r="G46" s="82"/>
      <x:c r="H46" s="82"/>
      <x:c r="I46" s="68"/>
      <x:c r="J46" s="68"/>
      <x:c r="K46" s="68"/>
      <x:c r="L46" s="68"/>
      <x:c r="M46" s="82"/>
      <x:c r="N46" s="68"/>
      <x:c r="O46" s="68"/>
      <x:c r="P46" s="82"/>
      <x:c r="Q46" s="68"/>
      <x:c r="R46" s="90"/>
      <x:c r="S46" s="90"/>
      <x:c r="T46" s="90"/>
      <x:c r="U46" s="82"/>
      <x:c r="V46" s="90"/>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M16</x:v>
      </x:c>
      <x:c r="C47" s="74"/>
      <x:c r="D47" s="79"/>
      <x:c r="E47" s="74" t="str">
        <x:v>V1.0</x:v>
      </x:c>
      <x:c r="F47" s="68"/>
      <x:c r="G47" s="82"/>
      <x:c r="H47" s="82"/>
      <x:c r="I47" s="68"/>
      <x:c r="J47" s="68"/>
      <x:c r="K47" s="68"/>
      <x:c r="L47" s="68"/>
      <x:c r="M47" s="82"/>
      <x:c r="N47" s="68"/>
      <x:c r="O47" s="68"/>
      <x:c r="P47" s="82"/>
      <x:c r="Q47" s="68"/>
      <x:c r="R47" s="90"/>
      <x:c r="S47" s="90"/>
      <x:c r="T47" s="90"/>
      <x:c r="U47" s="82"/>
      <x:c r="V47" s="90"/>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M16</x:v>
      </x:c>
      <x:c r="C48" s="74"/>
      <x:c r="D48" s="79"/>
      <x:c r="E48" s="74" t="str">
        <x:v>V1.0</x:v>
      </x:c>
      <x:c r="F48" s="68"/>
      <x:c r="G48" s="82"/>
      <x:c r="H48" s="82"/>
      <x:c r="I48" s="68"/>
      <x:c r="J48" s="68"/>
      <x:c r="K48" s="68"/>
      <x:c r="L48" s="68"/>
      <x:c r="M48" s="82"/>
      <x:c r="N48" s="68"/>
      <x:c r="O48" s="68"/>
      <x:c r="P48" s="82"/>
      <x:c r="Q48" s="68"/>
      <x:c r="R48" s="90"/>
      <x:c r="S48" s="90"/>
      <x:c r="T48" s="90"/>
      <x:c r="U48" s="82"/>
      <x:c r="V48" s="90"/>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M16</x:v>
      </x:c>
      <x:c r="C49" s="74"/>
      <x:c r="D49" s="79"/>
      <x:c r="E49" s="74" t="str">
        <x:v>V1.0</x:v>
      </x:c>
      <x:c r="F49" s="68"/>
      <x:c r="G49" s="82"/>
      <x:c r="H49" s="82"/>
      <x:c r="I49" s="68"/>
      <x:c r="J49" s="68"/>
      <x:c r="K49" s="68"/>
      <x:c r="L49" s="68"/>
      <x:c r="M49" s="82"/>
      <x:c r="N49" s="68"/>
      <x:c r="O49" s="68"/>
      <x:c r="P49" s="82"/>
      <x:c r="Q49" s="68"/>
      <x:c r="R49" s="90"/>
      <x:c r="S49" s="90"/>
      <x:c r="T49" s="90"/>
      <x:c r="U49" s="82"/>
      <x:c r="V49" s="90"/>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M16</x:v>
      </x:c>
      <x:c r="C50" s="74"/>
      <x:c r="D50" s="79"/>
      <x:c r="E50" s="74" t="str">
        <x:v>V1.0</x:v>
      </x:c>
      <x:c r="F50" s="68"/>
      <x:c r="G50" s="82"/>
      <x:c r="H50" s="82"/>
      <x:c r="I50" s="68"/>
      <x:c r="J50" s="68"/>
      <x:c r="K50" s="68"/>
      <x:c r="L50" s="68"/>
      <x:c r="M50" s="82"/>
      <x:c r="N50" s="68"/>
      <x:c r="O50" s="68"/>
      <x:c r="P50" s="82"/>
      <x:c r="Q50" s="68"/>
      <x:c r="R50" s="90"/>
      <x:c r="S50" s="90"/>
      <x:c r="T50" s="90"/>
      <x:c r="U50" s="82"/>
      <x:c r="V50" s="90"/>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M16</x:v>
      </x:c>
      <x:c r="C51" s="74"/>
      <x:c r="D51" s="79"/>
      <x:c r="E51" s="74" t="str">
        <x:v>V1.0</x:v>
      </x:c>
      <x:c r="F51" s="68"/>
      <x:c r="G51" s="82"/>
      <x:c r="H51" s="82"/>
      <x:c r="I51" s="68"/>
      <x:c r="J51" s="68"/>
      <x:c r="K51" s="68"/>
      <x:c r="L51" s="68"/>
      <x:c r="M51" s="82"/>
      <x:c r="N51" s="68"/>
      <x:c r="O51" s="68"/>
      <x:c r="P51" s="82"/>
      <x:c r="Q51" s="68"/>
      <x:c r="R51" s="90"/>
      <x:c r="S51" s="90"/>
      <x:c r="T51" s="90"/>
      <x:c r="U51" s="82"/>
      <x:c r="V51" s="90"/>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M16</x:v>
      </x:c>
      <x:c r="C52" s="74"/>
      <x:c r="D52" s="79"/>
      <x:c r="E52" s="74" t="str">
        <x:v>V1.0</x:v>
      </x:c>
      <x:c r="F52" s="68"/>
      <x:c r="G52" s="82"/>
      <x:c r="H52" s="82"/>
      <x:c r="I52" s="68"/>
      <x:c r="J52" s="68"/>
      <x:c r="K52" s="68"/>
      <x:c r="L52" s="68"/>
      <x:c r="M52" s="82"/>
      <x:c r="N52" s="68"/>
      <x:c r="O52" s="68"/>
      <x:c r="P52" s="82"/>
      <x:c r="Q52" s="68"/>
      <x:c r="R52" s="90"/>
      <x:c r="S52" s="90"/>
      <x:c r="T52" s="90"/>
      <x:c r="U52" s="82"/>
      <x:c r="V52" s="90"/>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M16</x:v>
      </x:c>
      <x:c r="C53" s="74"/>
      <x:c r="D53" s="79"/>
      <x:c r="E53" s="74" t="str">
        <x:v>V1.0</x:v>
      </x:c>
      <x:c r="F53" s="68"/>
      <x:c r="G53" s="82"/>
      <x:c r="H53" s="82"/>
      <x:c r="I53" s="68"/>
      <x:c r="J53" s="68"/>
      <x:c r="K53" s="68"/>
      <x:c r="L53" s="68"/>
      <x:c r="M53" s="82"/>
      <x:c r="N53" s="68"/>
      <x:c r="O53" s="68"/>
      <x:c r="P53" s="82"/>
      <x:c r="Q53" s="68"/>
      <x:c r="R53" s="90"/>
      <x:c r="S53" s="90"/>
      <x:c r="T53" s="90"/>
      <x:c r="U53" s="82"/>
      <x:c r="V53" s="90"/>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M16</x:v>
      </x:c>
      <x:c r="C54" s="74"/>
      <x:c r="D54" s="79"/>
      <x:c r="E54" s="74" t="str">
        <x:v>V1.0</x:v>
      </x:c>
      <x:c r="F54" s="68"/>
      <x:c r="G54" s="82"/>
      <x:c r="H54" s="82"/>
      <x:c r="I54" s="68"/>
      <x:c r="J54" s="68"/>
      <x:c r="K54" s="68"/>
      <x:c r="L54" s="68"/>
      <x:c r="M54" s="82"/>
      <x:c r="N54" s="68"/>
      <x:c r="O54" s="68"/>
      <x:c r="P54" s="82"/>
      <x:c r="Q54" s="68"/>
      <x:c r="R54" s="90"/>
      <x:c r="S54" s="90"/>
      <x:c r="T54" s="90"/>
      <x:c r="U54" s="82"/>
      <x:c r="V54" s="90"/>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M16</x:v>
      </x:c>
      <x:c r="C55" s="74"/>
      <x:c r="D55" s="79"/>
      <x:c r="E55" s="74" t="str">
        <x:v>V1.0</x:v>
      </x:c>
      <x:c r="F55" s="68"/>
      <x:c r="G55" s="82"/>
      <x:c r="H55" s="82"/>
      <x:c r="I55" s="68"/>
      <x:c r="J55" s="68"/>
      <x:c r="K55" s="68"/>
      <x:c r="L55" s="68"/>
      <x:c r="M55" s="82"/>
      <x:c r="N55" s="68"/>
      <x:c r="O55" s="68"/>
      <x:c r="P55" s="82"/>
      <x:c r="Q55" s="68"/>
      <x:c r="R55" s="90"/>
      <x:c r="S55" s="90"/>
      <x:c r="T55" s="90"/>
      <x:c r="U55" s="82"/>
      <x:c r="V55" s="90"/>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M16</x:v>
      </x:c>
      <x:c r="C56" s="74"/>
      <x:c r="D56" s="79"/>
      <x:c r="E56" s="74" t="str">
        <x:v>V1.0</x:v>
      </x:c>
      <x:c r="F56" s="68"/>
      <x:c r="G56" s="82"/>
      <x:c r="H56" s="82"/>
      <x:c r="I56" s="68"/>
      <x:c r="J56" s="68"/>
      <x:c r="K56" s="68"/>
      <x:c r="L56" s="68"/>
      <x:c r="M56" s="82"/>
      <x:c r="N56" s="68"/>
      <x:c r="O56" s="68"/>
      <x:c r="P56" s="82"/>
      <x:c r="Q56" s="68"/>
      <x:c r="R56" s="90"/>
      <x:c r="S56" s="90"/>
      <x:c r="T56" s="90"/>
      <x:c r="U56" s="82"/>
      <x:c r="V56" s="90"/>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M16</x:v>
      </x:c>
      <x:c r="C57" s="74"/>
      <x:c r="D57" s="79"/>
      <x:c r="E57" s="74" t="str">
        <x:v>V1.0</x:v>
      </x:c>
      <x:c r="F57" s="68"/>
      <x:c r="G57" s="82"/>
      <x:c r="H57" s="82"/>
      <x:c r="I57" s="68"/>
      <x:c r="J57" s="68"/>
      <x:c r="K57" s="68"/>
      <x:c r="L57" s="68"/>
      <x:c r="M57" s="82"/>
      <x:c r="N57" s="68"/>
      <x:c r="O57" s="68"/>
      <x:c r="P57" s="82"/>
      <x:c r="Q57" s="68"/>
      <x:c r="R57" s="90"/>
      <x:c r="S57" s="90"/>
      <x:c r="T57" s="90"/>
      <x:c r="U57" s="82"/>
      <x:c r="V57" s="90"/>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M16</x:v>
      </x:c>
      <x:c r="C58" s="74"/>
      <x:c r="D58" s="79"/>
      <x:c r="E58" s="74" t="str">
        <x:v>V1.0</x:v>
      </x:c>
      <x:c r="F58" s="68"/>
      <x:c r="G58" s="82"/>
      <x:c r="H58" s="82"/>
      <x:c r="I58" s="68"/>
      <x:c r="J58" s="68"/>
      <x:c r="K58" s="68"/>
      <x:c r="L58" s="68"/>
      <x:c r="M58" s="82"/>
      <x:c r="N58" s="68"/>
      <x:c r="O58" s="68"/>
      <x:c r="P58" s="82"/>
      <x:c r="Q58" s="68"/>
      <x:c r="R58" s="90"/>
      <x:c r="S58" s="90"/>
      <x:c r="T58" s="90"/>
      <x:c r="U58" s="82"/>
      <x:c r="V58" s="90"/>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M16</x:v>
      </x:c>
      <x:c r="C59" s="74"/>
      <x:c r="D59" s="79"/>
      <x:c r="E59" s="74" t="str">
        <x:v>V1.0</x:v>
      </x:c>
      <x:c r="F59" s="68"/>
      <x:c r="G59" s="82"/>
      <x:c r="H59" s="82"/>
      <x:c r="I59" s="68"/>
      <x:c r="J59" s="68"/>
      <x:c r="K59" s="68"/>
      <x:c r="L59" s="68"/>
      <x:c r="M59" s="82"/>
      <x:c r="N59" s="68"/>
      <x:c r="O59" s="68"/>
      <x:c r="P59" s="82"/>
      <x:c r="Q59" s="68"/>
      <x:c r="R59" s="90"/>
      <x:c r="S59" s="90"/>
      <x:c r="T59" s="90"/>
      <x:c r="U59" s="82"/>
      <x:c r="V59" s="90"/>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M16</x:v>
      </x:c>
      <x:c r="C60" s="74"/>
      <x:c r="D60" s="79"/>
      <x:c r="E60" s="74" t="str">
        <x:v>V1.0</x:v>
      </x:c>
      <x:c r="F60" s="68"/>
      <x:c r="G60" s="82"/>
      <x:c r="H60" s="82"/>
      <x:c r="I60" s="68"/>
      <x:c r="J60" s="68"/>
      <x:c r="K60" s="68"/>
      <x:c r="L60" s="68"/>
      <x:c r="M60" s="82"/>
      <x:c r="N60" s="68"/>
      <x:c r="O60" s="68"/>
      <x:c r="P60" s="82"/>
      <x:c r="Q60" s="68"/>
      <x:c r="R60" s="90"/>
      <x:c r="S60" s="90"/>
      <x:c r="T60" s="90"/>
      <x:c r="U60" s="82"/>
      <x:c r="V60" s="90"/>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M16</x:v>
      </x:c>
      <x:c r="C61" s="74"/>
      <x:c r="D61" s="79"/>
      <x:c r="E61" s="74" t="str">
        <x:v>V1.0</x:v>
      </x:c>
      <x:c r="F61" s="68"/>
      <x:c r="G61" s="82"/>
      <x:c r="H61" s="82"/>
      <x:c r="I61" s="68"/>
      <x:c r="J61" s="68"/>
      <x:c r="K61" s="68"/>
      <x:c r="L61" s="68"/>
      <x:c r="M61" s="82"/>
      <x:c r="N61" s="68"/>
      <x:c r="O61" s="68"/>
      <x:c r="P61" s="82"/>
      <x:c r="Q61" s="68"/>
      <x:c r="R61" s="90"/>
      <x:c r="S61" s="90"/>
      <x:c r="T61" s="90"/>
      <x:c r="U61" s="82"/>
      <x:c r="V61" s="90"/>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M16</x:v>
      </x:c>
      <x:c r="C62" s="74"/>
      <x:c r="D62" s="79"/>
      <x:c r="E62" s="74" t="str">
        <x:v>V1.0</x:v>
      </x:c>
      <x:c r="F62" s="68"/>
      <x:c r="G62" s="82"/>
      <x:c r="H62" s="82"/>
      <x:c r="I62" s="68"/>
      <x:c r="J62" s="68"/>
      <x:c r="K62" s="68"/>
      <x:c r="L62" s="68"/>
      <x:c r="M62" s="82"/>
      <x:c r="N62" s="68"/>
      <x:c r="O62" s="68"/>
      <x:c r="P62" s="82"/>
      <x:c r="Q62" s="68"/>
      <x:c r="R62" s="90"/>
      <x:c r="S62" s="90"/>
      <x:c r="T62" s="90"/>
      <x:c r="U62" s="82"/>
      <x:c r="V62" s="90"/>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M16</x:v>
      </x:c>
      <x:c r="C63" s="74"/>
      <x:c r="D63" s="79"/>
      <x:c r="E63" s="74" t="str">
        <x:v>V1.0</x:v>
      </x:c>
      <x:c r="F63" s="68"/>
      <x:c r="G63" s="82"/>
      <x:c r="H63" s="82"/>
      <x:c r="I63" s="68"/>
      <x:c r="J63" s="68"/>
      <x:c r="K63" s="68"/>
      <x:c r="L63" s="68"/>
      <x:c r="M63" s="82"/>
      <x:c r="N63" s="68"/>
      <x:c r="O63" s="68"/>
      <x:c r="P63" s="82"/>
      <x:c r="Q63" s="68"/>
      <x:c r="R63" s="90"/>
      <x:c r="S63" s="90"/>
      <x:c r="T63" s="90"/>
      <x:c r="U63" s="82"/>
      <x:c r="V63" s="90"/>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M16</x:v>
      </x:c>
      <x:c r="C64" s="74"/>
      <x:c r="D64" s="79"/>
      <x:c r="E64" s="74" t="str">
        <x:v>V1.0</x:v>
      </x:c>
      <x:c r="F64" s="68"/>
      <x:c r="G64" s="82"/>
      <x:c r="H64" s="82"/>
      <x:c r="I64" s="68"/>
      <x:c r="J64" s="68"/>
      <x:c r="K64" s="68"/>
      <x:c r="L64" s="68"/>
      <x:c r="M64" s="82"/>
      <x:c r="N64" s="68"/>
      <x:c r="O64" s="68"/>
      <x:c r="P64" s="82"/>
      <x:c r="Q64" s="68"/>
      <x:c r="R64" s="90"/>
      <x:c r="S64" s="90"/>
      <x:c r="T64" s="90"/>
      <x:c r="U64" s="82"/>
      <x:c r="V64" s="90"/>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M16</x:v>
      </x:c>
      <x:c r="C65" s="74"/>
      <x:c r="D65" s="79"/>
      <x:c r="E65" s="74" t="str">
        <x:v>V1.0</x:v>
      </x:c>
      <x:c r="F65" s="68"/>
      <x:c r="G65" s="82"/>
      <x:c r="H65" s="82"/>
      <x:c r="I65" s="68"/>
      <x:c r="J65" s="68"/>
      <x:c r="K65" s="68"/>
      <x:c r="L65" s="68"/>
      <x:c r="M65" s="82"/>
      <x:c r="N65" s="68"/>
      <x:c r="O65" s="68"/>
      <x:c r="P65" s="82"/>
      <x:c r="Q65" s="68"/>
      <x:c r="R65" s="90"/>
      <x:c r="S65" s="90"/>
      <x:c r="T65" s="90"/>
      <x:c r="U65" s="82"/>
      <x:c r="V65" s="90"/>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M16</x:v>
      </x:c>
      <x:c r="C66" s="74"/>
      <x:c r="D66" s="79"/>
      <x:c r="E66" s="74" t="str">
        <x:v>V1.0</x:v>
      </x:c>
      <x:c r="F66" s="68"/>
      <x:c r="G66" s="82"/>
      <x:c r="H66" s="82"/>
      <x:c r="I66" s="68"/>
      <x:c r="J66" s="68"/>
      <x:c r="K66" s="68"/>
      <x:c r="L66" s="68"/>
      <x:c r="M66" s="82"/>
      <x:c r="N66" s="68"/>
      <x:c r="O66" s="68"/>
      <x:c r="P66" s="82"/>
      <x:c r="Q66" s="68"/>
      <x:c r="R66" s="90"/>
      <x:c r="S66" s="90"/>
      <x:c r="T66" s="90"/>
      <x:c r="U66" s="82"/>
      <x:c r="V66" s="90"/>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M16</x:v>
      </x:c>
      <x:c r="C67" s="74"/>
      <x:c r="D67" s="79"/>
      <x:c r="E67" s="74" t="str">
        <x:v>V1.0</x:v>
      </x:c>
      <x:c r="F67" s="68"/>
      <x:c r="G67" s="82"/>
      <x:c r="H67" s="82"/>
      <x:c r="I67" s="68"/>
      <x:c r="J67" s="68"/>
      <x:c r="K67" s="68"/>
      <x:c r="L67" s="68"/>
      <x:c r="M67" s="82"/>
      <x:c r="N67" s="68"/>
      <x:c r="O67" s="68"/>
      <x:c r="P67" s="82"/>
      <x:c r="Q67" s="68"/>
      <x:c r="R67" s="90"/>
      <x:c r="S67" s="90"/>
      <x:c r="T67" s="90"/>
      <x:c r="U67" s="82"/>
      <x:c r="V67" s="90"/>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M16</x:v>
      </x:c>
      <x:c r="C68" s="74"/>
      <x:c r="D68" s="79"/>
      <x:c r="E68" s="74" t="str">
        <x:v>V1.0</x:v>
      </x:c>
      <x:c r="F68" s="68"/>
      <x:c r="G68" s="82"/>
      <x:c r="H68" s="82"/>
      <x:c r="I68" s="68"/>
      <x:c r="J68" s="68"/>
      <x:c r="K68" s="68"/>
      <x:c r="L68" s="68"/>
      <x:c r="M68" s="82"/>
      <x:c r="N68" s="68"/>
      <x:c r="O68" s="68"/>
      <x:c r="P68" s="82"/>
      <x:c r="Q68" s="68"/>
      <x:c r="R68" s="90"/>
      <x:c r="S68" s="90"/>
      <x:c r="T68" s="90"/>
      <x:c r="U68" s="82"/>
      <x:c r="V68" s="90"/>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M16</x:v>
      </x:c>
      <x:c r="C69" s="74"/>
      <x:c r="D69" s="79"/>
      <x:c r="E69" s="74" t="str">
        <x:v>V1.0</x:v>
      </x:c>
      <x:c r="F69" s="68"/>
      <x:c r="G69" s="82"/>
      <x:c r="H69" s="82"/>
      <x:c r="I69" s="68"/>
      <x:c r="J69" s="68"/>
      <x:c r="K69" s="68"/>
      <x:c r="L69" s="68"/>
      <x:c r="M69" s="82"/>
      <x:c r="N69" s="68"/>
      <x:c r="O69" s="68"/>
      <x:c r="P69" s="82"/>
      <x:c r="Q69" s="68"/>
      <x:c r="R69" s="90"/>
      <x:c r="S69" s="90"/>
      <x:c r="T69" s="90"/>
      <x:c r="U69" s="82"/>
      <x:c r="V69" s="90"/>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M16</x:v>
      </x:c>
      <x:c r="C70" s="74"/>
      <x:c r="D70" s="79"/>
      <x:c r="E70" s="74" t="str">
        <x:v>V1.0</x:v>
      </x:c>
      <x:c r="F70" s="68"/>
      <x:c r="G70" s="82"/>
      <x:c r="H70" s="82"/>
      <x:c r="I70" s="68"/>
      <x:c r="J70" s="68"/>
      <x:c r="K70" s="68"/>
      <x:c r="L70" s="68"/>
      <x:c r="M70" s="82"/>
      <x:c r="N70" s="68"/>
      <x:c r="O70" s="68"/>
      <x:c r="P70" s="82"/>
      <x:c r="Q70" s="68"/>
      <x:c r="R70" s="90"/>
      <x:c r="S70" s="90"/>
      <x:c r="T70" s="90"/>
      <x:c r="U70" s="82"/>
      <x:c r="V70" s="90"/>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M16</x:v>
      </x:c>
      <x:c r="C71" s="74"/>
      <x:c r="D71" s="79"/>
      <x:c r="E71" s="74" t="str">
        <x:v>V1.0</x:v>
      </x:c>
      <x:c r="F71" s="68"/>
      <x:c r="G71" s="82"/>
      <x:c r="H71" s="82"/>
      <x:c r="I71" s="68"/>
      <x:c r="J71" s="68"/>
      <x:c r="K71" s="68"/>
      <x:c r="L71" s="68"/>
      <x:c r="M71" s="82"/>
      <x:c r="N71" s="68"/>
      <x:c r="O71" s="68"/>
      <x:c r="P71" s="82"/>
      <x:c r="Q71" s="68"/>
      <x:c r="R71" s="90"/>
      <x:c r="S71" s="90"/>
      <x:c r="T71" s="90"/>
      <x:c r="U71" s="82"/>
      <x:c r="V71" s="90"/>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M16</x:v>
      </x:c>
      <x:c r="C72" s="74"/>
      <x:c r="D72" s="79"/>
      <x:c r="E72" s="74" t="str">
        <x:v>V1.0</x:v>
      </x:c>
      <x:c r="F72" s="68"/>
      <x:c r="G72" s="82"/>
      <x:c r="H72" s="82"/>
      <x:c r="I72" s="68"/>
      <x:c r="J72" s="68"/>
      <x:c r="K72" s="68"/>
      <x:c r="L72" s="68"/>
      <x:c r="M72" s="82"/>
      <x:c r="N72" s="68"/>
      <x:c r="O72" s="68"/>
      <x:c r="P72" s="82"/>
      <x:c r="Q72" s="68"/>
      <x:c r="R72" s="90"/>
      <x:c r="S72" s="90"/>
      <x:c r="T72" s="90"/>
      <x:c r="U72" s="82"/>
      <x:c r="V72" s="90"/>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M16</x:v>
      </x:c>
      <x:c r="C73" s="74"/>
      <x:c r="D73" s="79"/>
      <x:c r="E73" s="74" t="str">
        <x:v>V1.0</x:v>
      </x:c>
      <x:c r="F73" s="68"/>
      <x:c r="G73" s="82"/>
      <x:c r="H73" s="82"/>
      <x:c r="I73" s="68"/>
      <x:c r="J73" s="68"/>
      <x:c r="K73" s="68"/>
      <x:c r="L73" s="68"/>
      <x:c r="M73" s="82"/>
      <x:c r="N73" s="68"/>
      <x:c r="O73" s="68"/>
      <x:c r="P73" s="82"/>
      <x:c r="Q73" s="68"/>
      <x:c r="R73" s="90"/>
      <x:c r="S73" s="90"/>
      <x:c r="T73" s="90"/>
      <x:c r="U73" s="82"/>
      <x:c r="V73" s="90"/>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M16</x:v>
      </x:c>
      <x:c r="C74" s="74"/>
      <x:c r="D74" s="79"/>
      <x:c r="E74" s="74" t="str">
        <x:v>V1.0</x:v>
      </x:c>
      <x:c r="F74" s="68"/>
      <x:c r="G74" s="82"/>
      <x:c r="H74" s="82"/>
      <x:c r="I74" s="68"/>
      <x:c r="J74" s="68"/>
      <x:c r="K74" s="68"/>
      <x:c r="L74" s="68"/>
      <x:c r="M74" s="82"/>
      <x:c r="N74" s="68"/>
      <x:c r="O74" s="68"/>
      <x:c r="P74" s="82"/>
      <x:c r="Q74" s="68"/>
      <x:c r="R74" s="90"/>
      <x:c r="S74" s="90"/>
      <x:c r="T74" s="90"/>
      <x:c r="U74" s="82"/>
      <x:c r="V74" s="90"/>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M16</x:v>
      </x:c>
      <x:c r="C75" s="74"/>
      <x:c r="D75" s="79"/>
      <x:c r="E75" s="74" t="str">
        <x:v>V1.0</x:v>
      </x:c>
      <x:c r="F75" s="68"/>
      <x:c r="G75" s="82"/>
      <x:c r="H75" s="82"/>
      <x:c r="I75" s="68"/>
      <x:c r="J75" s="68"/>
      <x:c r="K75" s="68"/>
      <x:c r="L75" s="68"/>
      <x:c r="M75" s="82"/>
      <x:c r="N75" s="68"/>
      <x:c r="O75" s="68"/>
      <x:c r="P75" s="82"/>
      <x:c r="Q75" s="68"/>
      <x:c r="R75" s="90"/>
      <x:c r="S75" s="90"/>
      <x:c r="T75" s="90"/>
      <x:c r="U75" s="82"/>
      <x:c r="V75" s="90"/>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M16</x:v>
      </x:c>
      <x:c r="C76" s="74"/>
      <x:c r="D76" s="79"/>
      <x:c r="E76" s="74" t="str">
        <x:v>V1.0</x:v>
      </x:c>
      <x:c r="F76" s="68"/>
      <x:c r="G76" s="82"/>
      <x:c r="H76" s="82"/>
      <x:c r="I76" s="68"/>
      <x:c r="J76" s="68"/>
      <x:c r="K76" s="68"/>
      <x:c r="L76" s="68"/>
      <x:c r="M76" s="82"/>
      <x:c r="N76" s="68"/>
      <x:c r="O76" s="68"/>
      <x:c r="P76" s="82"/>
      <x:c r="Q76" s="68"/>
      <x:c r="R76" s="90"/>
      <x:c r="S76" s="90"/>
      <x:c r="T76" s="90"/>
      <x:c r="U76" s="82"/>
      <x:c r="V76" s="90"/>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M16</x:v>
      </x:c>
      <x:c r="C77" s="74"/>
      <x:c r="D77" s="79"/>
      <x:c r="E77" s="74" t="str">
        <x:v>V1.0</x:v>
      </x:c>
      <x:c r="F77" s="68"/>
      <x:c r="G77" s="82"/>
      <x:c r="H77" s="82"/>
      <x:c r="I77" s="68"/>
      <x:c r="J77" s="68"/>
      <x:c r="K77" s="68"/>
      <x:c r="L77" s="68"/>
      <x:c r="M77" s="82"/>
      <x:c r="N77" s="68"/>
      <x:c r="O77" s="68"/>
      <x:c r="P77" s="82"/>
      <x:c r="Q77" s="68"/>
      <x:c r="R77" s="90"/>
      <x:c r="S77" s="90"/>
      <x:c r="T77" s="90"/>
      <x:c r="U77" s="82"/>
      <x:c r="V77" s="90"/>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M16</x:v>
      </x:c>
      <x:c r="C78" s="74"/>
      <x:c r="D78" s="79"/>
      <x:c r="E78" s="74" t="str">
        <x:v>V1.0</x:v>
      </x:c>
      <x:c r="F78" s="68"/>
      <x:c r="G78" s="82"/>
      <x:c r="H78" s="82"/>
      <x:c r="I78" s="68"/>
      <x:c r="J78" s="68"/>
      <x:c r="K78" s="68"/>
      <x:c r="L78" s="68"/>
      <x:c r="M78" s="82"/>
      <x:c r="N78" s="68"/>
      <x:c r="O78" s="68"/>
      <x:c r="P78" s="82"/>
      <x:c r="Q78" s="68"/>
      <x:c r="R78" s="90"/>
      <x:c r="S78" s="90"/>
      <x:c r="T78" s="90"/>
      <x:c r="U78" s="82"/>
      <x:c r="V78" s="90"/>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M16</x:v>
      </x:c>
      <x:c r="C79" s="74"/>
      <x:c r="D79" s="79"/>
      <x:c r="E79" s="74" t="str">
        <x:v>V1.0</x:v>
      </x:c>
      <x:c r="F79" s="68"/>
      <x:c r="G79" s="82"/>
      <x:c r="H79" s="82"/>
      <x:c r="I79" s="68"/>
      <x:c r="J79" s="68"/>
      <x:c r="K79" s="68"/>
      <x:c r="L79" s="68"/>
      <x:c r="M79" s="82"/>
      <x:c r="N79" s="68"/>
      <x:c r="O79" s="68"/>
      <x:c r="P79" s="82"/>
      <x:c r="Q79" s="68"/>
      <x:c r="R79" s="90"/>
      <x:c r="S79" s="90"/>
      <x:c r="T79" s="90"/>
      <x:c r="U79" s="82"/>
      <x:c r="V79" s="90"/>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M16</x:v>
      </x:c>
      <x:c r="C80" s="74"/>
      <x:c r="D80" s="79"/>
      <x:c r="E80" s="74" t="str">
        <x:v>V1.0</x:v>
      </x:c>
      <x:c r="F80" s="68"/>
      <x:c r="G80" s="82"/>
      <x:c r="H80" s="82"/>
      <x:c r="I80" s="68"/>
      <x:c r="J80" s="68"/>
      <x:c r="K80" s="68"/>
      <x:c r="L80" s="68"/>
      <x:c r="M80" s="82"/>
      <x:c r="N80" s="68"/>
      <x:c r="O80" s="68"/>
      <x:c r="P80" s="82"/>
      <x:c r="Q80" s="68"/>
      <x:c r="R80" s="90"/>
      <x:c r="S80" s="90"/>
      <x:c r="T80" s="90"/>
      <x:c r="U80" s="82"/>
      <x:c r="V80" s="90"/>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M16</x:v>
      </x:c>
      <x:c r="C81" s="74"/>
      <x:c r="D81" s="79"/>
      <x:c r="E81" s="74" t="str">
        <x:v>V1.0</x:v>
      </x:c>
      <x:c r="F81" s="68"/>
      <x:c r="G81" s="82"/>
      <x:c r="H81" s="82"/>
      <x:c r="I81" s="68"/>
      <x:c r="J81" s="68"/>
      <x:c r="K81" s="68"/>
      <x:c r="L81" s="68"/>
      <x:c r="M81" s="82"/>
      <x:c r="N81" s="68"/>
      <x:c r="O81" s="68"/>
      <x:c r="P81" s="82"/>
      <x:c r="Q81" s="68"/>
      <x:c r="R81" s="90"/>
      <x:c r="S81" s="90"/>
      <x:c r="T81" s="90"/>
      <x:c r="U81" s="82"/>
      <x:c r="V81" s="90"/>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M16</x:v>
      </x:c>
      <x:c r="C82" s="74"/>
      <x:c r="D82" s="79"/>
      <x:c r="E82" s="74" t="str">
        <x:v>V1.0</x:v>
      </x:c>
      <x:c r="F82" s="68"/>
      <x:c r="G82" s="82"/>
      <x:c r="H82" s="82"/>
      <x:c r="I82" s="68"/>
      <x:c r="J82" s="68"/>
      <x:c r="K82" s="68"/>
      <x:c r="L82" s="68"/>
      <x:c r="M82" s="82"/>
      <x:c r="N82" s="68"/>
      <x:c r="O82" s="68"/>
      <x:c r="P82" s="82"/>
      <x:c r="Q82" s="68"/>
      <x:c r="R82" s="90"/>
      <x:c r="S82" s="90"/>
      <x:c r="T82" s="90"/>
      <x:c r="U82" s="82"/>
      <x:c r="V82" s="90"/>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M16</x:v>
      </x:c>
      <x:c r="C83" s="74"/>
      <x:c r="D83" s="79"/>
      <x:c r="E83" s="74" t="str">
        <x:v>V1.0</x:v>
      </x:c>
      <x:c r="F83" s="68"/>
      <x:c r="G83" s="82"/>
      <x:c r="H83" s="82"/>
      <x:c r="I83" s="68"/>
      <x:c r="J83" s="68"/>
      <x:c r="K83" s="68"/>
      <x:c r="L83" s="68"/>
      <x:c r="M83" s="82"/>
      <x:c r="N83" s="68"/>
      <x:c r="O83" s="68"/>
      <x:c r="P83" s="82"/>
      <x:c r="Q83" s="68"/>
      <x:c r="R83" s="90"/>
      <x:c r="S83" s="90"/>
      <x:c r="T83" s="90"/>
      <x:c r="U83" s="82"/>
      <x:c r="V83" s="90"/>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M16</x:v>
      </x:c>
      <x:c r="C84" s="74"/>
      <x:c r="D84" s="79"/>
      <x:c r="E84" s="74" t="str">
        <x:v>V1.0</x:v>
      </x:c>
      <x:c r="F84" s="68"/>
      <x:c r="G84" s="82"/>
      <x:c r="H84" s="82"/>
      <x:c r="I84" s="68"/>
      <x:c r="J84" s="68"/>
      <x:c r="K84" s="68"/>
      <x:c r="L84" s="68"/>
      <x:c r="M84" s="82"/>
      <x:c r="N84" s="68"/>
      <x:c r="O84" s="68"/>
      <x:c r="P84" s="82"/>
      <x:c r="Q84" s="68"/>
      <x:c r="R84" s="90"/>
      <x:c r="S84" s="90"/>
      <x:c r="T84" s="90"/>
      <x:c r="U84" s="82"/>
      <x:c r="V84" s="90"/>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M16</x:v>
      </x:c>
      <x:c r="C85" s="74"/>
      <x:c r="D85" s="79"/>
      <x:c r="E85" s="74" t="str">
        <x:v>V1.0</x:v>
      </x:c>
      <x:c r="F85" s="68"/>
      <x:c r="G85" s="82"/>
      <x:c r="H85" s="82"/>
      <x:c r="I85" s="68"/>
      <x:c r="J85" s="68"/>
      <x:c r="K85" s="68"/>
      <x:c r="L85" s="68"/>
      <x:c r="M85" s="82"/>
      <x:c r="N85" s="68"/>
      <x:c r="O85" s="68"/>
      <x:c r="P85" s="82"/>
      <x:c r="Q85" s="68"/>
      <x:c r="R85" s="90"/>
      <x:c r="S85" s="90"/>
      <x:c r="T85" s="90"/>
      <x:c r="U85" s="82"/>
      <x:c r="V85" s="90"/>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M16</x:v>
      </x:c>
      <x:c r="C86" s="74"/>
      <x:c r="D86" s="79"/>
      <x:c r="E86" s="74" t="str">
        <x:v>V1.0</x:v>
      </x:c>
      <x:c r="F86" s="68"/>
      <x:c r="G86" s="82"/>
      <x:c r="H86" s="82"/>
      <x:c r="I86" s="68"/>
      <x:c r="J86" s="68"/>
      <x:c r="K86" s="68"/>
      <x:c r="L86" s="68"/>
      <x:c r="M86" s="82"/>
      <x:c r="N86" s="68"/>
      <x:c r="O86" s="68"/>
      <x:c r="P86" s="82"/>
      <x:c r="Q86" s="68"/>
      <x:c r="R86" s="90"/>
      <x:c r="S86" s="90"/>
      <x:c r="T86" s="90"/>
      <x:c r="U86" s="82"/>
      <x:c r="V86" s="90"/>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M16</x:v>
      </x:c>
      <x:c r="C87" s="74"/>
      <x:c r="D87" s="79"/>
      <x:c r="E87" s="74" t="str">
        <x:v>V1.0</x:v>
      </x:c>
      <x:c r="F87" s="68"/>
      <x:c r="G87" s="82"/>
      <x:c r="H87" s="82"/>
      <x:c r="I87" s="68"/>
      <x:c r="J87" s="68"/>
      <x:c r="K87" s="68"/>
      <x:c r="L87" s="68"/>
      <x:c r="M87" s="82"/>
      <x:c r="N87" s="68"/>
      <x:c r="O87" s="68"/>
      <x:c r="P87" s="82"/>
      <x:c r="Q87" s="68"/>
      <x:c r="R87" s="90"/>
      <x:c r="S87" s="90"/>
      <x:c r="T87" s="90"/>
      <x:c r="U87" s="82"/>
      <x:c r="V87" s="90"/>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M16</x:v>
      </x:c>
      <x:c r="C88" s="74"/>
      <x:c r="D88" s="79"/>
      <x:c r="E88" s="74" t="str">
        <x:v>V1.0</x:v>
      </x:c>
      <x:c r="F88" s="68"/>
      <x:c r="G88" s="82"/>
      <x:c r="H88" s="82"/>
      <x:c r="I88" s="68"/>
      <x:c r="J88" s="68"/>
      <x:c r="K88" s="68"/>
      <x:c r="L88" s="68"/>
      <x:c r="M88" s="82"/>
      <x:c r="N88" s="68"/>
      <x:c r="O88" s="68"/>
      <x:c r="P88" s="82"/>
      <x:c r="Q88" s="68"/>
      <x:c r="R88" s="90"/>
      <x:c r="S88" s="90"/>
      <x:c r="T88" s="90"/>
      <x:c r="U88" s="82"/>
      <x:c r="V88" s="90"/>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M16</x:v>
      </x:c>
      <x:c r="C89" s="74"/>
      <x:c r="D89" s="79"/>
      <x:c r="E89" s="74" t="str">
        <x:v>V1.0</x:v>
      </x:c>
      <x:c r="F89" s="68"/>
      <x:c r="G89" s="82"/>
      <x:c r="H89" s="82"/>
      <x:c r="I89" s="68"/>
      <x:c r="J89" s="68"/>
      <x:c r="K89" s="68"/>
      <x:c r="L89" s="68"/>
      <x:c r="M89" s="82"/>
      <x:c r="N89" s="68"/>
      <x:c r="O89" s="68"/>
      <x:c r="P89" s="82"/>
      <x:c r="Q89" s="68"/>
      <x:c r="R89" s="90"/>
      <x:c r="S89" s="90"/>
      <x:c r="T89" s="90"/>
      <x:c r="U89" s="82"/>
      <x:c r="V89" s="90"/>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M16</x:v>
      </x:c>
      <x:c r="C90" s="74"/>
      <x:c r="D90" s="79"/>
      <x:c r="E90" s="74" t="str">
        <x:v>V1.0</x:v>
      </x:c>
      <x:c r="F90" s="68"/>
      <x:c r="G90" s="82"/>
      <x:c r="H90" s="82"/>
      <x:c r="I90" s="68"/>
      <x:c r="J90" s="68"/>
      <x:c r="K90" s="68"/>
      <x:c r="L90" s="68"/>
      <x:c r="M90" s="82"/>
      <x:c r="N90" s="68"/>
      <x:c r="O90" s="68"/>
      <x:c r="P90" s="82"/>
      <x:c r="Q90" s="68"/>
      <x:c r="R90" s="90"/>
      <x:c r="S90" s="90"/>
      <x:c r="T90" s="90"/>
      <x:c r="U90" s="82"/>
      <x:c r="V90" s="90"/>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M16</x:v>
      </x:c>
      <x:c r="C91" s="74"/>
      <x:c r="D91" s="79"/>
      <x:c r="E91" s="74" t="str">
        <x:v>V1.0</x:v>
      </x:c>
      <x:c r="F91" s="68"/>
      <x:c r="G91" s="82"/>
      <x:c r="H91" s="82"/>
      <x:c r="I91" s="68"/>
      <x:c r="J91" s="68"/>
      <x:c r="K91" s="68"/>
      <x:c r="L91" s="68"/>
      <x:c r="M91" s="82"/>
      <x:c r="N91" s="68"/>
      <x:c r="O91" s="68"/>
      <x:c r="P91" s="82"/>
      <x:c r="Q91" s="68"/>
      <x:c r="R91" s="90"/>
      <x:c r="S91" s="90"/>
      <x:c r="T91" s="90"/>
      <x:c r="U91" s="82"/>
      <x:c r="V91" s="90"/>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M16</x:v>
      </x:c>
      <x:c r="C92" s="74"/>
      <x:c r="D92" s="79"/>
      <x:c r="E92" s="74" t="str">
        <x:v>V1.0</x:v>
      </x:c>
      <x:c r="F92" s="68"/>
      <x:c r="G92" s="82"/>
      <x:c r="H92" s="82"/>
      <x:c r="I92" s="68"/>
      <x:c r="J92" s="68"/>
      <x:c r="K92" s="68"/>
      <x:c r="L92" s="68"/>
      <x:c r="M92" s="82"/>
      <x:c r="N92" s="68"/>
      <x:c r="O92" s="68"/>
      <x:c r="P92" s="82"/>
      <x:c r="Q92" s="68"/>
      <x:c r="R92" s="90"/>
      <x:c r="S92" s="90"/>
      <x:c r="T92" s="90"/>
      <x:c r="U92" s="82"/>
      <x:c r="V92" s="90"/>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M16</x:v>
      </x:c>
      <x:c r="C93" s="74"/>
      <x:c r="D93" s="79"/>
      <x:c r="E93" s="74" t="str">
        <x:v>V1.0</x:v>
      </x:c>
      <x:c r="F93" s="68"/>
      <x:c r="G93" s="82"/>
      <x:c r="H93" s="82"/>
      <x:c r="I93" s="68"/>
      <x:c r="J93" s="68"/>
      <x:c r="K93" s="68"/>
      <x:c r="L93" s="68"/>
      <x:c r="M93" s="82"/>
      <x:c r="N93" s="68"/>
      <x:c r="O93" s="68"/>
      <x:c r="P93" s="82"/>
      <x:c r="Q93" s="68"/>
      <x:c r="R93" s="90"/>
      <x:c r="S93" s="90"/>
      <x:c r="T93" s="90"/>
      <x:c r="U93" s="82"/>
      <x:c r="V93" s="90"/>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M16</x:v>
      </x:c>
      <x:c r="C94" s="74"/>
      <x:c r="D94" s="79"/>
      <x:c r="E94" s="74" t="str">
        <x:v>V1.0</x:v>
      </x:c>
      <x:c r="F94" s="68"/>
      <x:c r="G94" s="82"/>
      <x:c r="H94" s="82"/>
      <x:c r="I94" s="68"/>
      <x:c r="J94" s="68"/>
      <x:c r="K94" s="68"/>
      <x:c r="L94" s="68"/>
      <x:c r="M94" s="82"/>
      <x:c r="N94" s="68"/>
      <x:c r="O94" s="68"/>
      <x:c r="P94" s="82"/>
      <x:c r="Q94" s="68"/>
      <x:c r="R94" s="90"/>
      <x:c r="S94" s="90"/>
      <x:c r="T94" s="90"/>
      <x:c r="U94" s="82"/>
      <x:c r="V94" s="90"/>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M16</x:v>
      </x:c>
      <x:c r="C95" s="74"/>
      <x:c r="D95" s="79"/>
      <x:c r="E95" s="74" t="str">
        <x:v>V1.0</x:v>
      </x:c>
      <x:c r="F95" s="68"/>
      <x:c r="G95" s="82"/>
      <x:c r="H95" s="82"/>
      <x:c r="I95" s="68"/>
      <x:c r="J95" s="68"/>
      <x:c r="K95" s="68"/>
      <x:c r="L95" s="68"/>
      <x:c r="M95" s="82"/>
      <x:c r="N95" s="68"/>
      <x:c r="O95" s="68"/>
      <x:c r="P95" s="82"/>
      <x:c r="Q95" s="68"/>
      <x:c r="R95" s="90"/>
      <x:c r="S95" s="90"/>
      <x:c r="T95" s="90"/>
      <x:c r="U95" s="82"/>
      <x:c r="V95" s="90"/>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M16</x:v>
      </x:c>
      <x:c r="C96" s="74"/>
      <x:c r="D96" s="79"/>
      <x:c r="E96" s="74" t="str">
        <x:v>V1.0</x:v>
      </x:c>
      <x:c r="F96" s="68"/>
      <x:c r="G96" s="82"/>
      <x:c r="H96" s="82"/>
      <x:c r="I96" s="68"/>
      <x:c r="J96" s="68"/>
      <x:c r="K96" s="68"/>
      <x:c r="L96" s="68"/>
      <x:c r="M96" s="82"/>
      <x:c r="N96" s="68"/>
      <x:c r="O96" s="68"/>
      <x:c r="P96" s="82"/>
      <x:c r="Q96" s="68"/>
      <x:c r="R96" s="90"/>
      <x:c r="S96" s="90"/>
      <x:c r="T96" s="90"/>
      <x:c r="U96" s="82"/>
      <x:c r="V96" s="90"/>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M16</x:v>
      </x:c>
      <x:c r="C97" s="74"/>
      <x:c r="D97" s="79"/>
      <x:c r="E97" s="74" t="str">
        <x:v>V1.0</x:v>
      </x:c>
      <x:c r="F97" s="68"/>
      <x:c r="G97" s="82"/>
      <x:c r="H97" s="82"/>
      <x:c r="I97" s="68"/>
      <x:c r="J97" s="68"/>
      <x:c r="K97" s="68"/>
      <x:c r="L97" s="68"/>
      <x:c r="M97" s="82"/>
      <x:c r="N97" s="68"/>
      <x:c r="O97" s="68"/>
      <x:c r="P97" s="82"/>
      <x:c r="Q97" s="68"/>
      <x:c r="R97" s="90"/>
      <x:c r="S97" s="90"/>
      <x:c r="T97" s="90"/>
      <x:c r="U97" s="82"/>
      <x:c r="V97" s="90"/>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M16</x:v>
      </x:c>
      <x:c r="C98" s="74"/>
      <x:c r="D98" s="79"/>
      <x:c r="E98" s="74" t="str">
        <x:v>V1.0</x:v>
      </x:c>
      <x:c r="F98" s="68"/>
      <x:c r="G98" s="82"/>
      <x:c r="H98" s="82"/>
      <x:c r="I98" s="68"/>
      <x:c r="J98" s="68"/>
      <x:c r="K98" s="68"/>
      <x:c r="L98" s="68"/>
      <x:c r="M98" s="82"/>
      <x:c r="N98" s="68"/>
      <x:c r="O98" s="68"/>
      <x:c r="P98" s="82"/>
      <x:c r="Q98" s="68"/>
      <x:c r="R98" s="90"/>
      <x:c r="S98" s="90"/>
      <x:c r="T98" s="90"/>
      <x:c r="U98" s="82"/>
      <x:c r="V98" s="90"/>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M16</x:v>
      </x:c>
      <x:c r="C99" s="74"/>
      <x:c r="D99" s="79"/>
      <x:c r="E99" s="74" t="str">
        <x:v>V1.0</x:v>
      </x:c>
      <x:c r="F99" s="68"/>
      <x:c r="G99" s="82"/>
      <x:c r="H99" s="82"/>
      <x:c r="I99" s="68"/>
      <x:c r="J99" s="68"/>
      <x:c r="K99" s="68"/>
      <x:c r="L99" s="68"/>
      <x:c r="M99" s="82"/>
      <x:c r="N99" s="68"/>
      <x:c r="O99" s="68"/>
      <x:c r="P99" s="82"/>
      <x:c r="Q99" s="68"/>
      <x:c r="R99" s="90"/>
      <x:c r="S99" s="90"/>
      <x:c r="T99" s="90"/>
      <x:c r="U99" s="82"/>
      <x:c r="V99" s="90"/>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M16</x:v>
      </x:c>
      <x:c r="C100" s="74"/>
      <x:c r="D100" s="79"/>
      <x:c r="E100" s="74" t="str">
        <x:v>V1.0</x:v>
      </x:c>
      <x:c r="F100" s="68"/>
      <x:c r="G100" s="82"/>
      <x:c r="H100" s="82"/>
      <x:c r="I100" s="68"/>
      <x:c r="J100" s="68"/>
      <x:c r="K100" s="68"/>
      <x:c r="L100" s="68"/>
      <x:c r="M100" s="82"/>
      <x:c r="N100" s="68"/>
      <x:c r="O100" s="68"/>
      <x:c r="P100" s="82"/>
      <x:c r="Q100" s="68"/>
      <x:c r="R100" s="90"/>
      <x:c r="S100" s="90"/>
      <x:c r="T100" s="90"/>
      <x:c r="U100" s="82"/>
      <x:c r="V100" s="90"/>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M16</x:v>
      </x:c>
      <x:c r="C101" s="74"/>
      <x:c r="D101" s="79"/>
      <x:c r="E101" s="74" t="str">
        <x:v>V1.0</x:v>
      </x:c>
      <x:c r="F101" s="68"/>
      <x:c r="G101" s="82"/>
      <x:c r="H101" s="82"/>
      <x:c r="I101" s="68"/>
      <x:c r="J101" s="68"/>
      <x:c r="K101" s="68"/>
      <x:c r="L101" s="68"/>
      <x:c r="M101" s="82"/>
      <x:c r="N101" s="68"/>
      <x:c r="O101" s="68"/>
      <x:c r="P101" s="82"/>
      <x:c r="Q101" s="68"/>
      <x:c r="R101" s="90"/>
      <x:c r="S101" s="90"/>
      <x:c r="T101" s="90"/>
      <x:c r="U101" s="82"/>
      <x:c r="V101" s="90"/>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M16</x:v>
      </x:c>
      <x:c r="C102" s="74"/>
      <x:c r="D102" s="79"/>
      <x:c r="E102" s="74" t="str">
        <x:v>V1.0</x:v>
      </x:c>
      <x:c r="F102" s="68"/>
      <x:c r="G102" s="82"/>
      <x:c r="H102" s="82"/>
      <x:c r="I102" s="68"/>
      <x:c r="J102" s="68"/>
      <x:c r="K102" s="68"/>
      <x:c r="L102" s="68"/>
      <x:c r="M102" s="82"/>
      <x:c r="N102" s="68"/>
      <x:c r="O102" s="68"/>
      <x:c r="P102" s="82"/>
      <x:c r="Q102" s="68"/>
      <x:c r="R102" s="90"/>
      <x:c r="S102" s="90"/>
      <x:c r="T102" s="90"/>
      <x:c r="U102" s="82"/>
      <x:c r="V102" s="90"/>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M16</x:v>
      </x:c>
      <x:c r="C103" s="74"/>
      <x:c r="D103" s="79"/>
      <x:c r="E103" s="74" t="str">
        <x:v>V1.0</x:v>
      </x:c>
      <x:c r="F103" s="68"/>
      <x:c r="G103" s="82"/>
      <x:c r="H103" s="82"/>
      <x:c r="I103" s="68"/>
      <x:c r="J103" s="68"/>
      <x:c r="K103" s="68"/>
      <x:c r="L103" s="68"/>
      <x:c r="M103" s="82"/>
      <x:c r="N103" s="68"/>
      <x:c r="O103" s="68"/>
      <x:c r="P103" s="82"/>
      <x:c r="Q103" s="68"/>
      <x:c r="R103" s="90"/>
      <x:c r="S103" s="90"/>
      <x:c r="T103" s="90"/>
      <x:c r="U103" s="82"/>
      <x:c r="V103" s="90"/>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M16</x:v>
      </x:c>
      <x:c r="C104" s="74"/>
      <x:c r="D104" s="79"/>
      <x:c r="E104" s="74" t="str">
        <x:v>V1.0</x:v>
      </x:c>
      <x:c r="F104" s="68"/>
      <x:c r="G104" s="82"/>
      <x:c r="H104" s="82"/>
      <x:c r="I104" s="68"/>
      <x:c r="J104" s="68"/>
      <x:c r="K104" s="68"/>
      <x:c r="L104" s="68"/>
      <x:c r="M104" s="82"/>
      <x:c r="N104" s="68"/>
      <x:c r="O104" s="68"/>
      <x:c r="P104" s="82"/>
      <x:c r="Q104" s="68"/>
      <x:c r="R104" s="90"/>
      <x:c r="S104" s="90"/>
      <x:c r="T104" s="90"/>
      <x:c r="U104" s="82"/>
      <x:c r="V104" s="90"/>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M16</x:v>
      </x:c>
      <x:c r="C105" s="74"/>
      <x:c r="D105" s="79"/>
      <x:c r="E105" s="74" t="str">
        <x:v>V1.0</x:v>
      </x:c>
      <x:c r="F105" s="68"/>
      <x:c r="G105" s="82"/>
      <x:c r="H105" s="82"/>
      <x:c r="I105" s="68"/>
      <x:c r="J105" s="68"/>
      <x:c r="K105" s="68"/>
      <x:c r="L105" s="68"/>
      <x:c r="M105" s="82"/>
      <x:c r="N105" s="68"/>
      <x:c r="O105" s="68"/>
      <x:c r="P105" s="82"/>
      <x:c r="Q105" s="68"/>
      <x:c r="R105" s="90"/>
      <x:c r="S105" s="90"/>
      <x:c r="T105" s="90"/>
      <x:c r="U105" s="82"/>
      <x:c r="V105" s="90"/>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960566b6d69a485d"/>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c>
      <x:c r="B7" s="74" t="str">
        <x:v>M17</x:v>
      </x:c>
      <x:c r="C7" s="74"/>
      <x:c r="D7" s="79"/>
      <x:c r="E7" s="74" t="str">
        <x:v>V1.0</x:v>
      </x:c>
      <x:c r="F7" s="68"/>
      <x:c r="G7" s="82"/>
      <x:c r="H7" s="82"/>
      <x:c r="I7" s="82"/>
      <x:c r="J7" s="82"/>
      <x:c r="K7" s="68"/>
      <x:c r="L7" s="68"/>
      <x:c r="M7" s="68"/>
      <x:c r="N7" s="68"/>
      <x:c r="O7" s="68"/>
      <x:c r="P7" s="68"/>
      <x:c r="Q7" s="90"/>
      <x:c r="R7" s="68"/>
      <x:c r="S7" s="68"/>
      <x:c r="T7" s="68"/>
      <x:c r="U7" s="68"/>
      <x:c r="V7" s="84"/>
      <x:c r="W7" s="82"/>
      <x:c r="X7" s="82"/>
      <x:c r="Y7" s="68"/>
      <x:c r="Z7" s="84"/>
      <x:c r="AA7" s="84"/>
      <x:c r="AB7" s="82"/>
      <x:c r="AC7" s="82"/>
      <x:c r="AD7" s="68"/>
      <x:c r="AE7" s="68"/>
      <x:c r="AF7" s="90"/>
      <x:c r="AG7" s="82"/>
      <x:c r="AH7" s="82"/>
      <x:c r="AI7" s="87"/>
    </x:row>
    <x:row r="8">
      <x:c r="A8" s="72" t="str">
        <x:f>IF(OR(C8="",D8=""),"",B8&amp;"-"&amp;UPPER(C8)&amp;"-"&amp;TEXT(D8,"0000")&amp;"-"&amp;E8)</x:f>
      </x:c>
      <x:c r="B8" s="74" t="str">
        <x:v>M17</x:v>
      </x:c>
      <x:c r="C8" s="74"/>
      <x:c r="D8" s="79"/>
      <x:c r="E8" s="74" t="str">
        <x:v>V1.0</x:v>
      </x:c>
      <x:c r="F8" s="68"/>
      <x:c r="G8" s="82"/>
      <x:c r="H8" s="82"/>
      <x:c r="I8" s="82"/>
      <x:c r="J8" s="82"/>
      <x:c r="K8" s="68"/>
      <x:c r="L8" s="68"/>
      <x:c r="M8" s="68"/>
      <x:c r="N8" s="68"/>
      <x:c r="O8" s="68"/>
      <x:c r="P8" s="68"/>
      <x:c r="Q8" s="90"/>
      <x:c r="R8" s="68"/>
      <x:c r="S8" s="68"/>
      <x:c r="T8" s="68"/>
      <x:c r="U8" s="68"/>
      <x:c r="V8" s="84"/>
      <x:c r="W8" s="82"/>
      <x:c r="X8" s="82"/>
      <x:c r="Y8" s="68"/>
      <x:c r="Z8" s="84"/>
      <x:c r="AA8" s="84"/>
      <x:c r="AB8" s="82"/>
      <x:c r="AC8" s="82"/>
      <x:c r="AD8" s="68"/>
      <x:c r="AE8" s="68"/>
      <x:c r="AF8" s="90"/>
      <x:c r="AG8" s="82"/>
      <x:c r="AH8" s="82"/>
      <x:c r="AI8" s="87"/>
    </x:row>
    <x:row r="9">
      <x:c r="A9" s="72" t="str">
        <x:f>IF(OR(C9="",D9=""),"",B9&amp;"-"&amp;UPPER(C9)&amp;"-"&amp;TEXT(D9,"0000")&amp;"-"&amp;E9)</x:f>
      </x:c>
      <x:c r="B9" s="74" t="str">
        <x:v>M17</x:v>
      </x:c>
      <x:c r="C9" s="74"/>
      <x:c r="D9" s="79"/>
      <x:c r="E9" s="74" t="str">
        <x:v>V1.0</x:v>
      </x:c>
      <x:c r="F9" s="68"/>
      <x:c r="G9" s="82"/>
      <x:c r="H9" s="82"/>
      <x:c r="I9" s="82"/>
      <x:c r="J9" s="82"/>
      <x:c r="K9" s="68"/>
      <x:c r="L9" s="68"/>
      <x:c r="M9" s="68"/>
      <x:c r="N9" s="68"/>
      <x:c r="O9" s="68"/>
      <x:c r="P9" s="68"/>
      <x:c r="Q9" s="90"/>
      <x:c r="R9" s="68"/>
      <x:c r="S9" s="68"/>
      <x:c r="T9" s="68"/>
      <x:c r="U9" s="68"/>
      <x:c r="V9" s="84"/>
      <x:c r="W9" s="82"/>
      <x:c r="X9" s="82"/>
      <x:c r="Y9" s="68"/>
      <x:c r="Z9" s="84"/>
      <x:c r="AA9" s="84"/>
      <x:c r="AB9" s="82"/>
      <x:c r="AC9" s="82"/>
      <x:c r="AD9" s="68"/>
      <x:c r="AE9" s="68"/>
      <x:c r="AF9" s="90"/>
      <x:c r="AG9" s="82"/>
      <x:c r="AH9" s="82"/>
      <x:c r="AI9" s="87"/>
    </x:row>
    <x:row r="10">
      <x:c r="A10" s="72" t="str">
        <x:f>IF(OR(C10="",D10=""),"",B10&amp;"-"&amp;UPPER(C10)&amp;"-"&amp;TEXT(D10,"0000")&amp;"-"&amp;E10)</x:f>
      </x:c>
      <x:c r="B10" s="74" t="str">
        <x:v>M17</x:v>
      </x:c>
      <x:c r="C10" s="74"/>
      <x:c r="D10" s="79"/>
      <x:c r="E10" s="74" t="str">
        <x:v>V1.0</x:v>
      </x:c>
      <x:c r="F10" s="68"/>
      <x:c r="G10" s="82"/>
      <x:c r="H10" s="82"/>
      <x:c r="I10" s="82"/>
      <x:c r="J10" s="82"/>
      <x:c r="K10" s="68"/>
      <x:c r="L10" s="68"/>
      <x:c r="M10" s="68"/>
      <x:c r="N10" s="68"/>
      <x:c r="O10" s="68"/>
      <x:c r="P10" s="68"/>
      <x:c r="Q10" s="90"/>
      <x:c r="R10" s="68"/>
      <x:c r="S10" s="68"/>
      <x:c r="T10" s="68"/>
      <x:c r="U10" s="68"/>
      <x:c r="V10" s="84"/>
      <x:c r="W10" s="82"/>
      <x:c r="X10" s="82"/>
      <x:c r="Y10" s="68"/>
      <x:c r="Z10" s="84"/>
      <x:c r="AA10" s="84"/>
      <x:c r="AB10" s="82"/>
      <x:c r="AC10" s="82"/>
      <x:c r="AD10" s="68"/>
      <x:c r="AE10" s="68"/>
      <x:c r="AF10" s="90"/>
      <x:c r="AG10" s="82"/>
      <x:c r="AH10" s="82"/>
      <x:c r="AI10" s="87"/>
    </x:row>
    <x:row r="11">
      <x:c r="A11" s="72" t="str">
        <x:f>IF(OR(C11="",D11=""),"",B11&amp;"-"&amp;UPPER(C11)&amp;"-"&amp;TEXT(D11,"0000")&amp;"-"&amp;E11)</x:f>
      </x:c>
      <x:c r="B11" s="74" t="str">
        <x:v>M17</x:v>
      </x:c>
      <x:c r="C11" s="74"/>
      <x:c r="D11" s="79"/>
      <x:c r="E11" s="74" t="str">
        <x:v>V1.0</x:v>
      </x:c>
      <x:c r="F11" s="68"/>
      <x:c r="G11" s="82"/>
      <x:c r="H11" s="82"/>
      <x:c r="I11" s="82"/>
      <x:c r="J11" s="82"/>
      <x:c r="K11" s="68"/>
      <x:c r="L11" s="68"/>
      <x:c r="M11" s="68"/>
      <x:c r="N11" s="68"/>
      <x:c r="O11" s="68"/>
      <x:c r="P11" s="68"/>
      <x:c r="Q11" s="90"/>
      <x:c r="R11" s="68"/>
      <x:c r="S11" s="68"/>
      <x:c r="T11" s="68"/>
      <x:c r="U11" s="68"/>
      <x:c r="V11" s="84"/>
      <x:c r="W11" s="82"/>
      <x:c r="X11" s="82"/>
      <x:c r="Y11" s="68"/>
      <x:c r="Z11" s="84"/>
      <x:c r="AA11" s="84"/>
      <x:c r="AB11" s="82"/>
      <x:c r="AC11" s="82"/>
      <x:c r="AD11" s="68"/>
      <x:c r="AE11" s="68"/>
      <x:c r="AF11" s="90"/>
      <x:c r="AG11" s="82"/>
      <x:c r="AH11" s="82"/>
      <x:c r="AI11" s="87"/>
    </x:row>
    <x:row r="12">
      <x:c r="A12" s="72" t="str">
        <x:f>IF(OR(C12="",D12=""),"",B12&amp;"-"&amp;UPPER(C12)&amp;"-"&amp;TEXT(D12,"0000")&amp;"-"&amp;E12)</x:f>
      </x:c>
      <x:c r="B12" s="74" t="str">
        <x:v>M17</x:v>
      </x:c>
      <x:c r="C12" s="74"/>
      <x:c r="D12" s="79"/>
      <x:c r="E12" s="74" t="str">
        <x:v>V1.0</x:v>
      </x:c>
      <x:c r="F12" s="68"/>
      <x:c r="G12" s="82"/>
      <x:c r="H12" s="82"/>
      <x:c r="I12" s="82"/>
      <x:c r="J12" s="82"/>
      <x:c r="K12" s="68"/>
      <x:c r="L12" s="68"/>
      <x:c r="M12" s="68"/>
      <x:c r="N12" s="68"/>
      <x:c r="O12" s="68"/>
      <x:c r="P12" s="68"/>
      <x:c r="Q12" s="90"/>
      <x:c r="R12" s="68"/>
      <x:c r="S12" s="68"/>
      <x:c r="T12" s="68"/>
      <x:c r="U12" s="68"/>
      <x:c r="V12" s="84"/>
      <x:c r="W12" s="82"/>
      <x:c r="X12" s="82"/>
      <x:c r="Y12" s="68"/>
      <x:c r="Z12" s="84"/>
      <x:c r="AA12" s="84"/>
      <x:c r="AB12" s="82"/>
      <x:c r="AC12" s="82"/>
      <x:c r="AD12" s="68"/>
      <x:c r="AE12" s="68"/>
      <x:c r="AF12" s="90"/>
      <x:c r="AG12" s="82"/>
      <x:c r="AH12" s="82"/>
      <x:c r="AI12" s="87"/>
    </x:row>
    <x:row r="13">
      <x:c r="A13" s="72" t="str">
        <x:f>IF(OR(C13="",D13=""),"",B13&amp;"-"&amp;UPPER(C13)&amp;"-"&amp;TEXT(D13,"0000")&amp;"-"&amp;E13)</x:f>
      </x:c>
      <x:c r="B13" s="74" t="str">
        <x:v>M17</x:v>
      </x:c>
      <x:c r="C13" s="74"/>
      <x:c r="D13" s="79"/>
      <x:c r="E13" s="74" t="str">
        <x:v>V1.0</x:v>
      </x:c>
      <x:c r="F13" s="68"/>
      <x:c r="G13" s="82"/>
      <x:c r="H13" s="82"/>
      <x:c r="I13" s="82"/>
      <x:c r="J13" s="82"/>
      <x:c r="K13" s="68"/>
      <x:c r="L13" s="68"/>
      <x:c r="M13" s="68"/>
      <x:c r="N13" s="68"/>
      <x:c r="O13" s="68"/>
      <x:c r="P13" s="68"/>
      <x:c r="Q13" s="90"/>
      <x:c r="R13" s="68"/>
      <x:c r="S13" s="68"/>
      <x:c r="T13" s="68"/>
      <x:c r="U13" s="68"/>
      <x:c r="V13" s="84"/>
      <x:c r="W13" s="82"/>
      <x:c r="X13" s="82"/>
      <x:c r="Y13" s="68"/>
      <x:c r="Z13" s="84"/>
      <x:c r="AA13" s="84"/>
      <x:c r="AB13" s="82"/>
      <x:c r="AC13" s="82"/>
      <x:c r="AD13" s="68"/>
      <x:c r="AE13" s="68"/>
      <x:c r="AF13" s="90"/>
      <x:c r="AG13" s="82"/>
      <x:c r="AH13" s="82"/>
      <x:c r="AI13" s="87"/>
    </x:row>
    <x:row r="14">
      <x:c r="A14" s="72" t="str">
        <x:f>IF(OR(C14="",D14=""),"",B14&amp;"-"&amp;UPPER(C14)&amp;"-"&amp;TEXT(D14,"0000")&amp;"-"&amp;E14)</x:f>
      </x:c>
      <x:c r="B14" s="74" t="str">
        <x:v>M17</x:v>
      </x:c>
      <x:c r="C14" s="74"/>
      <x:c r="D14" s="79"/>
      <x:c r="E14" s="74" t="str">
        <x:v>V1.0</x:v>
      </x:c>
      <x:c r="F14" s="68"/>
      <x:c r="G14" s="82"/>
      <x:c r="H14" s="82"/>
      <x:c r="I14" s="82"/>
      <x:c r="J14" s="82"/>
      <x:c r="K14" s="68"/>
      <x:c r="L14" s="68"/>
      <x:c r="M14" s="68"/>
      <x:c r="N14" s="68"/>
      <x:c r="O14" s="68"/>
      <x:c r="P14" s="68"/>
      <x:c r="Q14" s="90"/>
      <x:c r="R14" s="68"/>
      <x:c r="S14" s="68"/>
      <x:c r="T14" s="68"/>
      <x:c r="U14" s="68"/>
      <x:c r="V14" s="84"/>
      <x:c r="W14" s="82"/>
      <x:c r="X14" s="82"/>
      <x:c r="Y14" s="68"/>
      <x:c r="Z14" s="84"/>
      <x:c r="AA14" s="84"/>
      <x:c r="AB14" s="82"/>
      <x:c r="AC14" s="82"/>
      <x:c r="AD14" s="68"/>
      <x:c r="AE14" s="68"/>
      <x:c r="AF14" s="90"/>
      <x:c r="AG14" s="82"/>
      <x:c r="AH14" s="82"/>
      <x:c r="AI14" s="87"/>
    </x:row>
    <x:row r="15">
      <x:c r="A15" s="72" t="str">
        <x:f>IF(OR(C15="",D15=""),"",B15&amp;"-"&amp;UPPER(C15)&amp;"-"&amp;TEXT(D15,"0000")&amp;"-"&amp;E15)</x:f>
      </x:c>
      <x:c r="B15" s="74" t="str">
        <x:v>M17</x:v>
      </x:c>
      <x:c r="C15" s="74"/>
      <x:c r="D15" s="79"/>
      <x:c r="E15" s="74" t="str">
        <x:v>V1.0</x:v>
      </x:c>
      <x:c r="F15" s="68"/>
      <x:c r="G15" s="82"/>
      <x:c r="H15" s="82"/>
      <x:c r="I15" s="82"/>
      <x:c r="J15" s="82"/>
      <x:c r="K15" s="68"/>
      <x:c r="L15" s="68"/>
      <x:c r="M15" s="68"/>
      <x:c r="N15" s="68"/>
      <x:c r="O15" s="68"/>
      <x:c r="P15" s="68"/>
      <x:c r="Q15" s="90"/>
      <x:c r="R15" s="68"/>
      <x:c r="S15" s="68"/>
      <x:c r="T15" s="68"/>
      <x:c r="U15" s="68"/>
      <x:c r="V15" s="84"/>
      <x:c r="W15" s="82"/>
      <x:c r="X15" s="82"/>
      <x:c r="Y15" s="68"/>
      <x:c r="Z15" s="84"/>
      <x:c r="AA15" s="84"/>
      <x:c r="AB15" s="82"/>
      <x:c r="AC15" s="82"/>
      <x:c r="AD15" s="68"/>
      <x:c r="AE15" s="68"/>
      <x:c r="AF15" s="90"/>
      <x:c r="AG15" s="82"/>
      <x:c r="AH15" s="82"/>
      <x:c r="AI15" s="87"/>
    </x:row>
    <x:row r="16">
      <x:c r="A16" s="72" t="str">
        <x:f>IF(OR(C16="",D16=""),"",B16&amp;"-"&amp;UPPER(C16)&amp;"-"&amp;TEXT(D16,"0000")&amp;"-"&amp;E16)</x:f>
      </x:c>
      <x:c r="B16" s="74" t="str">
        <x:v>M17</x:v>
      </x:c>
      <x:c r="C16" s="74"/>
      <x:c r="D16" s="79"/>
      <x:c r="E16" s="74" t="str">
        <x:v>V1.0</x:v>
      </x:c>
      <x:c r="F16" s="68"/>
      <x:c r="G16" s="82"/>
      <x:c r="H16" s="82"/>
      <x:c r="I16" s="82"/>
      <x:c r="J16" s="82"/>
      <x:c r="K16" s="68"/>
      <x:c r="L16" s="68"/>
      <x:c r="M16" s="68"/>
      <x:c r="N16" s="68"/>
      <x:c r="O16" s="68"/>
      <x:c r="P16" s="68"/>
      <x:c r="Q16" s="90"/>
      <x:c r="R16" s="68"/>
      <x:c r="S16" s="68"/>
      <x:c r="T16" s="68"/>
      <x:c r="U16" s="68"/>
      <x:c r="V16" s="84"/>
      <x:c r="W16" s="82"/>
      <x:c r="X16" s="82"/>
      <x:c r="Y16" s="68"/>
      <x:c r="Z16" s="84"/>
      <x:c r="AA16" s="84"/>
      <x:c r="AB16" s="82"/>
      <x:c r="AC16" s="82"/>
      <x:c r="AD16" s="68"/>
      <x:c r="AE16" s="68"/>
      <x:c r="AF16" s="90"/>
      <x:c r="AG16" s="82"/>
      <x:c r="AH16" s="82"/>
      <x:c r="AI16" s="87"/>
    </x:row>
    <x:row r="17">
      <x:c r="A17" s="72" t="str">
        <x:f>IF(OR(C17="",D17=""),"",B17&amp;"-"&amp;UPPER(C17)&amp;"-"&amp;TEXT(D17,"0000")&amp;"-"&amp;E17)</x:f>
      </x:c>
      <x:c r="B17" s="74" t="str">
        <x:v>M17</x:v>
      </x:c>
      <x:c r="C17" s="74"/>
      <x:c r="D17" s="79"/>
      <x:c r="E17" s="74" t="str">
        <x:v>V1.0</x:v>
      </x:c>
      <x:c r="F17" s="68"/>
      <x:c r="G17" s="82"/>
      <x:c r="H17" s="82"/>
      <x:c r="I17" s="82"/>
      <x:c r="J17" s="82"/>
      <x:c r="K17" s="68"/>
      <x:c r="L17" s="68"/>
      <x:c r="M17" s="68"/>
      <x:c r="N17" s="68"/>
      <x:c r="O17" s="68"/>
      <x:c r="P17" s="68"/>
      <x:c r="Q17" s="90"/>
      <x:c r="R17" s="68"/>
      <x:c r="S17" s="68"/>
      <x:c r="T17" s="68"/>
      <x:c r="U17" s="68"/>
      <x:c r="V17" s="84"/>
      <x:c r="W17" s="82"/>
      <x:c r="X17" s="82"/>
      <x:c r="Y17" s="68"/>
      <x:c r="Z17" s="84"/>
      <x:c r="AA17" s="84"/>
      <x:c r="AB17" s="82"/>
      <x:c r="AC17" s="82"/>
      <x:c r="AD17" s="68"/>
      <x:c r="AE17" s="68"/>
      <x:c r="AF17" s="90"/>
      <x:c r="AG17" s="82"/>
      <x:c r="AH17" s="82"/>
      <x:c r="AI17" s="87"/>
    </x:row>
    <x:row r="18">
      <x:c r="A18" s="72" t="str">
        <x:f>IF(OR(C18="",D18=""),"",B18&amp;"-"&amp;UPPER(C18)&amp;"-"&amp;TEXT(D18,"0000")&amp;"-"&amp;E18)</x:f>
      </x:c>
      <x:c r="B18" s="74" t="str">
        <x:v>M17</x:v>
      </x:c>
      <x:c r="C18" s="74"/>
      <x:c r="D18" s="79"/>
      <x:c r="E18" s="74" t="str">
        <x:v>V1.0</x:v>
      </x:c>
      <x:c r="F18" s="68"/>
      <x:c r="G18" s="82"/>
      <x:c r="H18" s="82"/>
      <x:c r="I18" s="82"/>
      <x:c r="J18" s="82"/>
      <x:c r="K18" s="68"/>
      <x:c r="L18" s="68"/>
      <x:c r="M18" s="68"/>
      <x:c r="N18" s="68"/>
      <x:c r="O18" s="68"/>
      <x:c r="P18" s="68"/>
      <x:c r="Q18" s="90"/>
      <x:c r="R18" s="68"/>
      <x:c r="S18" s="68"/>
      <x:c r="T18" s="68"/>
      <x:c r="U18" s="68"/>
      <x:c r="V18" s="84"/>
      <x:c r="W18" s="82"/>
      <x:c r="X18" s="82"/>
      <x:c r="Y18" s="68"/>
      <x:c r="Z18" s="84"/>
      <x:c r="AA18" s="84"/>
      <x:c r="AB18" s="82"/>
      <x:c r="AC18" s="82"/>
      <x:c r="AD18" s="68"/>
      <x:c r="AE18" s="68"/>
      <x:c r="AF18" s="90"/>
      <x:c r="AG18" s="82"/>
      <x:c r="AH18" s="82"/>
      <x:c r="AI18" s="87"/>
    </x:row>
    <x:row r="19">
      <x:c r="A19" s="72" t="str">
        <x:f>IF(OR(C19="",D19=""),"",B19&amp;"-"&amp;UPPER(C19)&amp;"-"&amp;TEXT(D19,"0000")&amp;"-"&amp;E19)</x:f>
      </x:c>
      <x:c r="B19" s="74" t="str">
        <x:v>M17</x:v>
      </x:c>
      <x:c r="C19" s="74"/>
      <x:c r="D19" s="79"/>
      <x:c r="E19" s="74" t="str">
        <x:v>V1.0</x:v>
      </x:c>
      <x:c r="F19" s="68"/>
      <x:c r="G19" s="82"/>
      <x:c r="H19" s="82"/>
      <x:c r="I19" s="82"/>
      <x:c r="J19" s="82"/>
      <x:c r="K19" s="68"/>
      <x:c r="L19" s="68"/>
      <x:c r="M19" s="68"/>
      <x:c r="N19" s="68"/>
      <x:c r="O19" s="68"/>
      <x:c r="P19" s="68"/>
      <x:c r="Q19" s="90"/>
      <x:c r="R19" s="68"/>
      <x:c r="S19" s="68"/>
      <x:c r="T19" s="68"/>
      <x:c r="U19" s="68"/>
      <x:c r="V19" s="84"/>
      <x:c r="W19" s="82"/>
      <x:c r="X19" s="82"/>
      <x:c r="Y19" s="68"/>
      <x:c r="Z19" s="84"/>
      <x:c r="AA19" s="84"/>
      <x:c r="AB19" s="82"/>
      <x:c r="AC19" s="82"/>
      <x:c r="AD19" s="68"/>
      <x:c r="AE19" s="68"/>
      <x:c r="AF19" s="90"/>
      <x:c r="AG19" s="82"/>
      <x:c r="AH19" s="82"/>
      <x:c r="AI19" s="87"/>
    </x:row>
    <x:row r="20">
      <x:c r="A20" s="72" t="str">
        <x:f>IF(OR(C20="",D20=""),"",B20&amp;"-"&amp;UPPER(C20)&amp;"-"&amp;TEXT(D20,"0000")&amp;"-"&amp;E20)</x:f>
      </x:c>
      <x:c r="B20" s="74" t="str">
        <x:v>M17</x:v>
      </x:c>
      <x:c r="C20" s="74"/>
      <x:c r="D20" s="79"/>
      <x:c r="E20" s="74" t="str">
        <x:v>V1.0</x:v>
      </x:c>
      <x:c r="F20" s="68"/>
      <x:c r="G20" s="82"/>
      <x:c r="H20" s="82"/>
      <x:c r="I20" s="82"/>
      <x:c r="J20" s="82"/>
      <x:c r="K20" s="68"/>
      <x:c r="L20" s="68"/>
      <x:c r="M20" s="68"/>
      <x:c r="N20" s="68"/>
      <x:c r="O20" s="68"/>
      <x:c r="P20" s="68"/>
      <x:c r="Q20" s="90"/>
      <x:c r="R20" s="68"/>
      <x:c r="S20" s="68"/>
      <x:c r="T20" s="68"/>
      <x:c r="U20" s="68"/>
      <x:c r="V20" s="84"/>
      <x:c r="W20" s="82"/>
      <x:c r="X20" s="82"/>
      <x:c r="Y20" s="68"/>
      <x:c r="Z20" s="84"/>
      <x:c r="AA20" s="84"/>
      <x:c r="AB20" s="82"/>
      <x:c r="AC20" s="82"/>
      <x:c r="AD20" s="68"/>
      <x:c r="AE20" s="68"/>
      <x:c r="AF20" s="90"/>
      <x:c r="AG20" s="82"/>
      <x:c r="AH20" s="82"/>
      <x:c r="AI20" s="87"/>
    </x:row>
    <x:row r="21">
      <x:c r="A21" s="72" t="str">
        <x:f>IF(OR(C21="",D21=""),"",B21&amp;"-"&amp;UPPER(C21)&amp;"-"&amp;TEXT(D21,"0000")&amp;"-"&amp;E21)</x:f>
      </x:c>
      <x:c r="B21" s="74" t="str">
        <x:v>M17</x:v>
      </x:c>
      <x:c r="C21" s="74"/>
      <x:c r="D21" s="79"/>
      <x:c r="E21" s="74" t="str">
        <x:v>V1.0</x:v>
      </x:c>
      <x:c r="F21" s="68"/>
      <x:c r="G21" s="82"/>
      <x:c r="H21" s="82"/>
      <x:c r="I21" s="82"/>
      <x:c r="J21" s="82"/>
      <x:c r="K21" s="68"/>
      <x:c r="L21" s="68"/>
      <x:c r="M21" s="68"/>
      <x:c r="N21" s="68"/>
      <x:c r="O21" s="68"/>
      <x:c r="P21" s="68"/>
      <x:c r="Q21" s="90"/>
      <x:c r="R21" s="68"/>
      <x:c r="S21" s="68"/>
      <x:c r="T21" s="68"/>
      <x:c r="U21" s="68"/>
      <x:c r="V21" s="84"/>
      <x:c r="W21" s="82"/>
      <x:c r="X21" s="82"/>
      <x:c r="Y21" s="68"/>
      <x:c r="Z21" s="84"/>
      <x:c r="AA21" s="84"/>
      <x:c r="AB21" s="82"/>
      <x:c r="AC21" s="82"/>
      <x:c r="AD21" s="68"/>
      <x:c r="AE21" s="68"/>
      <x:c r="AF21" s="90"/>
      <x:c r="AG21" s="82"/>
      <x:c r="AH21" s="82"/>
      <x:c r="AI21" s="87"/>
    </x:row>
    <x:row r="22">
      <x:c r="A22" s="72" t="str">
        <x:f>IF(OR(C22="",D22=""),"",B22&amp;"-"&amp;UPPER(C22)&amp;"-"&amp;TEXT(D22,"0000")&amp;"-"&amp;E22)</x:f>
      </x:c>
      <x:c r="B22" s="74" t="str">
        <x:v>M17</x:v>
      </x:c>
      <x:c r="C22" s="74"/>
      <x:c r="D22" s="79"/>
      <x:c r="E22" s="74" t="str">
        <x:v>V1.0</x:v>
      </x:c>
      <x:c r="F22" s="68"/>
      <x:c r="G22" s="82"/>
      <x:c r="H22" s="82"/>
      <x:c r="I22" s="82"/>
      <x:c r="J22" s="82"/>
      <x:c r="K22" s="68"/>
      <x:c r="L22" s="68"/>
      <x:c r="M22" s="68"/>
      <x:c r="N22" s="68"/>
      <x:c r="O22" s="68"/>
      <x:c r="P22" s="68"/>
      <x:c r="Q22" s="90"/>
      <x:c r="R22" s="68"/>
      <x:c r="S22" s="68"/>
      <x:c r="T22" s="68"/>
      <x:c r="U22" s="68"/>
      <x:c r="V22" s="84"/>
      <x:c r="W22" s="82"/>
      <x:c r="X22" s="82"/>
      <x:c r="Y22" s="68"/>
      <x:c r="Z22" s="84"/>
      <x:c r="AA22" s="84"/>
      <x:c r="AB22" s="82"/>
      <x:c r="AC22" s="82"/>
      <x:c r="AD22" s="68"/>
      <x:c r="AE22" s="68"/>
      <x:c r="AF22" s="90"/>
      <x:c r="AG22" s="82"/>
      <x:c r="AH22" s="82"/>
      <x:c r="AI22" s="87"/>
    </x:row>
    <x:row r="23">
      <x:c r="A23" s="72" t="str">
        <x:f>IF(OR(C23="",D23=""),"",B23&amp;"-"&amp;UPPER(C23)&amp;"-"&amp;TEXT(D23,"0000")&amp;"-"&amp;E23)</x:f>
      </x:c>
      <x:c r="B23" s="74" t="str">
        <x:v>M17</x:v>
      </x:c>
      <x:c r="C23" s="74"/>
      <x:c r="D23" s="79"/>
      <x:c r="E23" s="74" t="str">
        <x:v>V1.0</x:v>
      </x:c>
      <x:c r="F23" s="68"/>
      <x:c r="G23" s="82"/>
      <x:c r="H23" s="82"/>
      <x:c r="I23" s="82"/>
      <x:c r="J23" s="82"/>
      <x:c r="K23" s="68"/>
      <x:c r="L23" s="68"/>
      <x:c r="M23" s="68"/>
      <x:c r="N23" s="68"/>
      <x:c r="O23" s="68"/>
      <x:c r="P23" s="68"/>
      <x:c r="Q23" s="90"/>
      <x:c r="R23" s="68"/>
      <x:c r="S23" s="68"/>
      <x:c r="T23" s="68"/>
      <x:c r="U23" s="68"/>
      <x:c r="V23" s="84"/>
      <x:c r="W23" s="82"/>
      <x:c r="X23" s="82"/>
      <x:c r="Y23" s="68"/>
      <x:c r="Z23" s="84"/>
      <x:c r="AA23" s="84"/>
      <x:c r="AB23" s="82"/>
      <x:c r="AC23" s="82"/>
      <x:c r="AD23" s="68"/>
      <x:c r="AE23" s="68"/>
      <x:c r="AF23" s="90"/>
      <x:c r="AG23" s="82"/>
      <x:c r="AH23" s="82"/>
      <x:c r="AI23" s="87"/>
    </x:row>
    <x:row r="24">
      <x:c r="A24" s="72" t="str">
        <x:f>IF(OR(C24="",D24=""),"",B24&amp;"-"&amp;UPPER(C24)&amp;"-"&amp;TEXT(D24,"0000")&amp;"-"&amp;E24)</x:f>
      </x:c>
      <x:c r="B24" s="74" t="str">
        <x:v>M17</x:v>
      </x:c>
      <x:c r="C24" s="74"/>
      <x:c r="D24" s="79"/>
      <x:c r="E24" s="74" t="str">
        <x:v>V1.0</x:v>
      </x:c>
      <x:c r="F24" s="68"/>
      <x:c r="G24" s="82"/>
      <x:c r="H24" s="82"/>
      <x:c r="I24" s="82"/>
      <x:c r="J24" s="82"/>
      <x:c r="K24" s="68"/>
      <x:c r="L24" s="68"/>
      <x:c r="M24" s="68"/>
      <x:c r="N24" s="68"/>
      <x:c r="O24" s="68"/>
      <x:c r="P24" s="68"/>
      <x:c r="Q24" s="90"/>
      <x:c r="R24" s="68"/>
      <x:c r="S24" s="68"/>
      <x:c r="T24" s="68"/>
      <x:c r="U24" s="68"/>
      <x:c r="V24" s="84"/>
      <x:c r="W24" s="82"/>
      <x:c r="X24" s="82"/>
      <x:c r="Y24" s="68"/>
      <x:c r="Z24" s="84"/>
      <x:c r="AA24" s="84"/>
      <x:c r="AB24" s="82"/>
      <x:c r="AC24" s="82"/>
      <x:c r="AD24" s="68"/>
      <x:c r="AE24" s="68"/>
      <x:c r="AF24" s="90"/>
      <x:c r="AG24" s="82"/>
      <x:c r="AH24" s="82"/>
      <x:c r="AI24" s="87"/>
    </x:row>
    <x:row r="25">
      <x:c r="A25" s="72" t="str">
        <x:f>IF(OR(C25="",D25=""),"",B25&amp;"-"&amp;UPPER(C25)&amp;"-"&amp;TEXT(D25,"0000")&amp;"-"&amp;E25)</x:f>
      </x:c>
      <x:c r="B25" s="74" t="str">
        <x:v>M17</x:v>
      </x:c>
      <x:c r="C25" s="74"/>
      <x:c r="D25" s="79"/>
      <x:c r="E25" s="74" t="str">
        <x:v>V1.0</x:v>
      </x:c>
      <x:c r="F25" s="68"/>
      <x:c r="G25" s="82"/>
      <x:c r="H25" s="82"/>
      <x:c r="I25" s="82"/>
      <x:c r="J25" s="82"/>
      <x:c r="K25" s="68"/>
      <x:c r="L25" s="68"/>
      <x:c r="M25" s="68"/>
      <x:c r="N25" s="68"/>
      <x:c r="O25" s="68"/>
      <x:c r="P25" s="68"/>
      <x:c r="Q25" s="90"/>
      <x:c r="R25" s="68"/>
      <x:c r="S25" s="68"/>
      <x:c r="T25" s="68"/>
      <x:c r="U25" s="68"/>
      <x:c r="V25" s="84"/>
      <x:c r="W25" s="82"/>
      <x:c r="X25" s="82"/>
      <x:c r="Y25" s="68"/>
      <x:c r="Z25" s="84"/>
      <x:c r="AA25" s="84"/>
      <x:c r="AB25" s="82"/>
      <x:c r="AC25" s="82"/>
      <x:c r="AD25" s="68"/>
      <x:c r="AE25" s="68"/>
      <x:c r="AF25" s="90"/>
      <x:c r="AG25" s="82"/>
      <x:c r="AH25" s="82"/>
      <x:c r="AI25" s="87"/>
    </x:row>
    <x:row r="26">
      <x:c r="A26" s="72" t="str">
        <x:f>IF(OR(C26="",D26=""),"",B26&amp;"-"&amp;UPPER(C26)&amp;"-"&amp;TEXT(D26,"0000")&amp;"-"&amp;E26)</x:f>
      </x:c>
      <x:c r="B26" s="74" t="str">
        <x:v>M17</x:v>
      </x:c>
      <x:c r="C26" s="74"/>
      <x:c r="D26" s="79"/>
      <x:c r="E26" s="74" t="str">
        <x:v>V1.0</x:v>
      </x:c>
      <x:c r="F26" s="68"/>
      <x:c r="G26" s="82"/>
      <x:c r="H26" s="82"/>
      <x:c r="I26" s="82"/>
      <x:c r="J26" s="82"/>
      <x:c r="K26" s="68"/>
      <x:c r="L26" s="68"/>
      <x:c r="M26" s="68"/>
      <x:c r="N26" s="68"/>
      <x:c r="O26" s="68"/>
      <x:c r="P26" s="68"/>
      <x:c r="Q26" s="90"/>
      <x:c r="R26" s="68"/>
      <x:c r="S26" s="68"/>
      <x:c r="T26" s="68"/>
      <x:c r="U26" s="68"/>
      <x:c r="V26" s="84"/>
      <x:c r="W26" s="82"/>
      <x:c r="X26" s="82"/>
      <x:c r="Y26" s="68"/>
      <x:c r="Z26" s="84"/>
      <x:c r="AA26" s="84"/>
      <x:c r="AB26" s="82"/>
      <x:c r="AC26" s="82"/>
      <x:c r="AD26" s="68"/>
      <x:c r="AE26" s="68"/>
      <x:c r="AF26" s="90"/>
      <x:c r="AG26" s="82"/>
      <x:c r="AH26" s="82"/>
      <x:c r="AI26" s="87"/>
    </x:row>
    <x:row r="27">
      <x:c r="A27" s="72" t="str">
        <x:f>IF(OR(C27="",D27=""),"",B27&amp;"-"&amp;UPPER(C27)&amp;"-"&amp;TEXT(D27,"0000")&amp;"-"&amp;E27)</x:f>
      </x:c>
      <x:c r="B27" s="74" t="str">
        <x:v>M17</x:v>
      </x:c>
      <x:c r="C27" s="74"/>
      <x:c r="D27" s="79"/>
      <x:c r="E27" s="74" t="str">
        <x:v>V1.0</x:v>
      </x:c>
      <x:c r="F27" s="68"/>
      <x:c r="G27" s="82"/>
      <x:c r="H27" s="82"/>
      <x:c r="I27" s="82"/>
      <x:c r="J27" s="82"/>
      <x:c r="K27" s="68"/>
      <x:c r="L27" s="68"/>
      <x:c r="M27" s="68"/>
      <x:c r="N27" s="68"/>
      <x:c r="O27" s="68"/>
      <x:c r="P27" s="68"/>
      <x:c r="Q27" s="90"/>
      <x:c r="R27" s="68"/>
      <x:c r="S27" s="68"/>
      <x:c r="T27" s="68"/>
      <x:c r="U27" s="68"/>
      <x:c r="V27" s="84"/>
      <x:c r="W27" s="82"/>
      <x:c r="X27" s="82"/>
      <x:c r="Y27" s="68"/>
      <x:c r="Z27" s="84"/>
      <x:c r="AA27" s="84"/>
      <x:c r="AB27" s="82"/>
      <x:c r="AC27" s="82"/>
      <x:c r="AD27" s="68"/>
      <x:c r="AE27" s="68"/>
      <x:c r="AF27" s="90"/>
      <x:c r="AG27" s="82"/>
      <x:c r="AH27" s="82"/>
      <x:c r="AI27" s="87"/>
    </x:row>
    <x:row r="28">
      <x:c r="A28" s="72" t="str">
        <x:f>IF(OR(C28="",D28=""),"",B28&amp;"-"&amp;UPPER(C28)&amp;"-"&amp;TEXT(D28,"0000")&amp;"-"&amp;E28)</x:f>
      </x:c>
      <x:c r="B28" s="74" t="str">
        <x:v>M17</x:v>
      </x:c>
      <x:c r="C28" s="74"/>
      <x:c r="D28" s="79"/>
      <x:c r="E28" s="74" t="str">
        <x:v>V1.0</x:v>
      </x:c>
      <x:c r="F28" s="68"/>
      <x:c r="G28" s="82"/>
      <x:c r="H28" s="82"/>
      <x:c r="I28" s="82"/>
      <x:c r="J28" s="82"/>
      <x:c r="K28" s="68"/>
      <x:c r="L28" s="68"/>
      <x:c r="M28" s="68"/>
      <x:c r="N28" s="68"/>
      <x:c r="O28" s="68"/>
      <x:c r="P28" s="68"/>
      <x:c r="Q28" s="90"/>
      <x:c r="R28" s="68"/>
      <x:c r="S28" s="68"/>
      <x:c r="T28" s="68"/>
      <x:c r="U28" s="68"/>
      <x:c r="V28" s="84"/>
      <x:c r="W28" s="82"/>
      <x:c r="X28" s="82"/>
      <x:c r="Y28" s="68"/>
      <x:c r="Z28" s="84"/>
      <x:c r="AA28" s="84"/>
      <x:c r="AB28" s="82"/>
      <x:c r="AC28" s="82"/>
      <x:c r="AD28" s="68"/>
      <x:c r="AE28" s="68"/>
      <x:c r="AF28" s="90"/>
      <x:c r="AG28" s="82"/>
      <x:c r="AH28" s="82"/>
      <x:c r="AI28" s="87"/>
    </x:row>
    <x:row r="29">
      <x:c r="A29" s="72" t="str">
        <x:f>IF(OR(C29="",D29=""),"",B29&amp;"-"&amp;UPPER(C29)&amp;"-"&amp;TEXT(D29,"0000")&amp;"-"&amp;E29)</x:f>
      </x:c>
      <x:c r="B29" s="74" t="str">
        <x:v>M17</x:v>
      </x:c>
      <x:c r="C29" s="74"/>
      <x:c r="D29" s="79"/>
      <x:c r="E29" s="74" t="str">
        <x:v>V1.0</x:v>
      </x:c>
      <x:c r="F29" s="68"/>
      <x:c r="G29" s="82"/>
      <x:c r="H29" s="82"/>
      <x:c r="I29" s="82"/>
      <x:c r="J29" s="82"/>
      <x:c r="K29" s="68"/>
      <x:c r="L29" s="68"/>
      <x:c r="M29" s="68"/>
      <x:c r="N29" s="68"/>
      <x:c r="O29" s="68"/>
      <x:c r="P29" s="68"/>
      <x:c r="Q29" s="90"/>
      <x:c r="R29" s="68"/>
      <x:c r="S29" s="68"/>
      <x:c r="T29" s="68"/>
      <x:c r="U29" s="68"/>
      <x:c r="V29" s="84"/>
      <x:c r="W29" s="82"/>
      <x:c r="X29" s="82"/>
      <x:c r="Y29" s="68"/>
      <x:c r="Z29" s="84"/>
      <x:c r="AA29" s="84"/>
      <x:c r="AB29" s="82"/>
      <x:c r="AC29" s="82"/>
      <x:c r="AD29" s="68"/>
      <x:c r="AE29" s="68"/>
      <x:c r="AF29" s="90"/>
      <x:c r="AG29" s="82"/>
      <x:c r="AH29" s="82"/>
      <x:c r="AI29" s="87"/>
    </x:row>
    <x:row r="30">
      <x:c r="A30" s="72" t="str">
        <x:f>IF(OR(C30="",D30=""),"",B30&amp;"-"&amp;UPPER(C30)&amp;"-"&amp;TEXT(D30,"0000")&amp;"-"&amp;E30)</x:f>
      </x:c>
      <x:c r="B30" s="74" t="str">
        <x:v>M17</x:v>
      </x:c>
      <x:c r="C30" s="74"/>
      <x:c r="D30" s="79"/>
      <x:c r="E30" s="74" t="str">
        <x:v>V1.0</x:v>
      </x:c>
      <x:c r="F30" s="68"/>
      <x:c r="G30" s="82"/>
      <x:c r="H30" s="82"/>
      <x:c r="I30" s="82"/>
      <x:c r="J30" s="82"/>
      <x:c r="K30" s="68"/>
      <x:c r="L30" s="68"/>
      <x:c r="M30" s="68"/>
      <x:c r="N30" s="68"/>
      <x:c r="O30" s="68"/>
      <x:c r="P30" s="68"/>
      <x:c r="Q30" s="90"/>
      <x:c r="R30" s="68"/>
      <x:c r="S30" s="68"/>
      <x:c r="T30" s="68"/>
      <x:c r="U30" s="68"/>
      <x:c r="V30" s="84"/>
      <x:c r="W30" s="82"/>
      <x:c r="X30" s="82"/>
      <x:c r="Y30" s="68"/>
      <x:c r="Z30" s="84"/>
      <x:c r="AA30" s="84"/>
      <x:c r="AB30" s="82"/>
      <x:c r="AC30" s="82"/>
      <x:c r="AD30" s="68"/>
      <x:c r="AE30" s="68"/>
      <x:c r="AF30" s="90"/>
      <x:c r="AG30" s="82"/>
      <x:c r="AH30" s="82"/>
      <x:c r="AI30" s="87"/>
    </x:row>
    <x:row r="31">
      <x:c r="A31" s="72" t="str">
        <x:f>IF(OR(C31="",D31=""),"",B31&amp;"-"&amp;UPPER(C31)&amp;"-"&amp;TEXT(D31,"0000")&amp;"-"&amp;E31)</x:f>
      </x:c>
      <x:c r="B31" s="74" t="str">
        <x:v>M17</x:v>
      </x:c>
      <x:c r="C31" s="74"/>
      <x:c r="D31" s="79"/>
      <x:c r="E31" s="74" t="str">
        <x:v>V1.0</x:v>
      </x:c>
      <x:c r="F31" s="68"/>
      <x:c r="G31" s="82"/>
      <x:c r="H31" s="82"/>
      <x:c r="I31" s="82"/>
      <x:c r="J31" s="82"/>
      <x:c r="K31" s="68"/>
      <x:c r="L31" s="68"/>
      <x:c r="M31" s="68"/>
      <x:c r="N31" s="68"/>
      <x:c r="O31" s="68"/>
      <x:c r="P31" s="68"/>
      <x:c r="Q31" s="90"/>
      <x:c r="R31" s="68"/>
      <x:c r="S31" s="68"/>
      <x:c r="T31" s="68"/>
      <x:c r="U31" s="68"/>
      <x:c r="V31" s="84"/>
      <x:c r="W31" s="82"/>
      <x:c r="X31" s="82"/>
      <x:c r="Y31" s="68"/>
      <x:c r="Z31" s="84"/>
      <x:c r="AA31" s="84"/>
      <x:c r="AB31" s="82"/>
      <x:c r="AC31" s="82"/>
      <x:c r="AD31" s="68"/>
      <x:c r="AE31" s="68"/>
      <x:c r="AF31" s="90"/>
      <x:c r="AG31" s="82"/>
      <x:c r="AH31" s="82"/>
      <x:c r="AI31" s="87"/>
    </x:row>
    <x:row r="32">
      <x:c r="A32" s="72" t="str">
        <x:f>IF(OR(C32="",D32=""),"",B32&amp;"-"&amp;UPPER(C32)&amp;"-"&amp;TEXT(D32,"0000")&amp;"-"&amp;E32)</x:f>
      </x:c>
      <x:c r="B32" s="74" t="str">
        <x:v>M17</x:v>
      </x:c>
      <x:c r="C32" s="74"/>
      <x:c r="D32" s="79"/>
      <x:c r="E32" s="74" t="str">
        <x:v>V1.0</x:v>
      </x:c>
      <x:c r="F32" s="68"/>
      <x:c r="G32" s="82"/>
      <x:c r="H32" s="82"/>
      <x:c r="I32" s="82"/>
      <x:c r="J32" s="82"/>
      <x:c r="K32" s="68"/>
      <x:c r="L32" s="68"/>
      <x:c r="M32" s="68"/>
      <x:c r="N32" s="68"/>
      <x:c r="O32" s="68"/>
      <x:c r="P32" s="68"/>
      <x:c r="Q32" s="90"/>
      <x:c r="R32" s="68"/>
      <x:c r="S32" s="68"/>
      <x:c r="T32" s="68"/>
      <x:c r="U32" s="68"/>
      <x:c r="V32" s="84"/>
      <x:c r="W32" s="82"/>
      <x:c r="X32" s="82"/>
      <x:c r="Y32" s="68"/>
      <x:c r="Z32" s="84"/>
      <x:c r="AA32" s="84"/>
      <x:c r="AB32" s="82"/>
      <x:c r="AC32" s="82"/>
      <x:c r="AD32" s="68"/>
      <x:c r="AE32" s="68"/>
      <x:c r="AF32" s="90"/>
      <x:c r="AG32" s="82"/>
      <x:c r="AH32" s="82"/>
      <x:c r="AI32" s="87"/>
    </x:row>
    <x:row r="33">
      <x:c r="A33" s="72" t="str">
        <x:f>IF(OR(C33="",D33=""),"",B33&amp;"-"&amp;UPPER(C33)&amp;"-"&amp;TEXT(D33,"0000")&amp;"-"&amp;E33)</x:f>
      </x:c>
      <x:c r="B33" s="74" t="str">
        <x:v>M17</x:v>
      </x:c>
      <x:c r="C33" s="74"/>
      <x:c r="D33" s="79"/>
      <x:c r="E33" s="74" t="str">
        <x:v>V1.0</x:v>
      </x:c>
      <x:c r="F33" s="68"/>
      <x:c r="G33" s="82"/>
      <x:c r="H33" s="82"/>
      <x:c r="I33" s="82"/>
      <x:c r="J33" s="82"/>
      <x:c r="K33" s="68"/>
      <x:c r="L33" s="68"/>
      <x:c r="M33" s="68"/>
      <x:c r="N33" s="68"/>
      <x:c r="O33" s="68"/>
      <x:c r="P33" s="68"/>
      <x:c r="Q33" s="90"/>
      <x:c r="R33" s="68"/>
      <x:c r="S33" s="68"/>
      <x:c r="T33" s="68"/>
      <x:c r="U33" s="68"/>
      <x:c r="V33" s="84"/>
      <x:c r="W33" s="82"/>
      <x:c r="X33" s="82"/>
      <x:c r="Y33" s="68"/>
      <x:c r="Z33" s="84"/>
      <x:c r="AA33" s="84"/>
      <x:c r="AB33" s="82"/>
      <x:c r="AC33" s="82"/>
      <x:c r="AD33" s="68"/>
      <x:c r="AE33" s="68"/>
      <x:c r="AF33" s="90"/>
      <x:c r="AG33" s="82"/>
      <x:c r="AH33" s="82"/>
      <x:c r="AI33" s="87"/>
    </x:row>
    <x:row r="34">
      <x:c r="A34" s="72" t="str">
        <x:f>IF(OR(C34="",D34=""),"",B34&amp;"-"&amp;UPPER(C34)&amp;"-"&amp;TEXT(D34,"0000")&amp;"-"&amp;E34)</x:f>
      </x:c>
      <x:c r="B34" s="74" t="str">
        <x:v>M17</x:v>
      </x:c>
      <x:c r="C34" s="74"/>
      <x:c r="D34" s="79"/>
      <x:c r="E34" s="74" t="str">
        <x:v>V1.0</x:v>
      </x:c>
      <x:c r="F34" s="68"/>
      <x:c r="G34" s="82"/>
      <x:c r="H34" s="82"/>
      <x:c r="I34" s="82"/>
      <x:c r="J34" s="82"/>
      <x:c r="K34" s="68"/>
      <x:c r="L34" s="68"/>
      <x:c r="M34" s="68"/>
      <x:c r="N34" s="68"/>
      <x:c r="O34" s="68"/>
      <x:c r="P34" s="68"/>
      <x:c r="Q34" s="90"/>
      <x:c r="R34" s="68"/>
      <x:c r="S34" s="68"/>
      <x:c r="T34" s="68"/>
      <x:c r="U34" s="68"/>
      <x:c r="V34" s="84"/>
      <x:c r="W34" s="82"/>
      <x:c r="X34" s="82"/>
      <x:c r="Y34" s="68"/>
      <x:c r="Z34" s="84"/>
      <x:c r="AA34" s="84"/>
      <x:c r="AB34" s="82"/>
      <x:c r="AC34" s="82"/>
      <x:c r="AD34" s="68"/>
      <x:c r="AE34" s="68"/>
      <x:c r="AF34" s="90"/>
      <x:c r="AG34" s="82"/>
      <x:c r="AH34" s="82"/>
      <x:c r="AI34" s="87"/>
    </x:row>
    <x:row r="35">
      <x:c r="A35" s="72" t="str">
        <x:f>IF(OR(C35="",D35=""),"",B35&amp;"-"&amp;UPPER(C35)&amp;"-"&amp;TEXT(D35,"0000")&amp;"-"&amp;E35)</x:f>
      </x:c>
      <x:c r="B35" s="74" t="str">
        <x:v>M17</x:v>
      </x:c>
      <x:c r="C35" s="74"/>
      <x:c r="D35" s="79"/>
      <x:c r="E35" s="74" t="str">
        <x:v>V1.0</x:v>
      </x:c>
      <x:c r="F35" s="68"/>
      <x:c r="G35" s="82"/>
      <x:c r="H35" s="82"/>
      <x:c r="I35" s="82"/>
      <x:c r="J35" s="82"/>
      <x:c r="K35" s="68"/>
      <x:c r="L35" s="68"/>
      <x:c r="M35" s="68"/>
      <x:c r="N35" s="68"/>
      <x:c r="O35" s="68"/>
      <x:c r="P35" s="68"/>
      <x:c r="Q35" s="90"/>
      <x:c r="R35" s="68"/>
      <x:c r="S35" s="68"/>
      <x:c r="T35" s="68"/>
      <x:c r="U35" s="68"/>
      <x:c r="V35" s="84"/>
      <x:c r="W35" s="82"/>
      <x:c r="X35" s="82"/>
      <x:c r="Y35" s="68"/>
      <x:c r="Z35" s="84"/>
      <x:c r="AA35" s="84"/>
      <x:c r="AB35" s="82"/>
      <x:c r="AC35" s="82"/>
      <x:c r="AD35" s="68"/>
      <x:c r="AE35" s="68"/>
      <x:c r="AF35" s="90"/>
      <x:c r="AG35" s="82"/>
      <x:c r="AH35" s="82"/>
      <x:c r="AI35" s="87"/>
    </x:row>
    <x:row r="36">
      <x:c r="A36" s="72" t="str">
        <x:f>IF(OR(C36="",D36=""),"",B36&amp;"-"&amp;UPPER(C36)&amp;"-"&amp;TEXT(D36,"0000")&amp;"-"&amp;E36)</x:f>
      </x:c>
      <x:c r="B36" s="74" t="str">
        <x:v>M17</x:v>
      </x:c>
      <x:c r="C36" s="74"/>
      <x:c r="D36" s="79"/>
      <x:c r="E36" s="74" t="str">
        <x:v>V1.0</x:v>
      </x:c>
      <x:c r="F36" s="68"/>
      <x:c r="G36" s="82"/>
      <x:c r="H36" s="82"/>
      <x:c r="I36" s="82"/>
      <x:c r="J36" s="82"/>
      <x:c r="K36" s="68"/>
      <x:c r="L36" s="68"/>
      <x:c r="M36" s="68"/>
      <x:c r="N36" s="68"/>
      <x:c r="O36" s="68"/>
      <x:c r="P36" s="68"/>
      <x:c r="Q36" s="90"/>
      <x:c r="R36" s="68"/>
      <x:c r="S36" s="68"/>
      <x:c r="T36" s="68"/>
      <x:c r="U36" s="68"/>
      <x:c r="V36" s="84"/>
      <x:c r="W36" s="82"/>
      <x:c r="X36" s="82"/>
      <x:c r="Y36" s="68"/>
      <x:c r="Z36" s="84"/>
      <x:c r="AA36" s="84"/>
      <x:c r="AB36" s="82"/>
      <x:c r="AC36" s="82"/>
      <x:c r="AD36" s="68"/>
      <x:c r="AE36" s="68"/>
      <x:c r="AF36" s="90"/>
      <x:c r="AG36" s="82"/>
      <x:c r="AH36" s="82"/>
      <x:c r="AI36" s="87"/>
    </x:row>
    <x:row r="37">
      <x:c r="A37" s="72" t="str">
        <x:f>IF(OR(C37="",D37=""),"",B37&amp;"-"&amp;UPPER(C37)&amp;"-"&amp;TEXT(D37,"0000")&amp;"-"&amp;E37)</x:f>
      </x:c>
      <x:c r="B37" s="74" t="str">
        <x:v>M17</x:v>
      </x:c>
      <x:c r="C37" s="74"/>
      <x:c r="D37" s="79"/>
      <x:c r="E37" s="74" t="str">
        <x:v>V1.0</x:v>
      </x:c>
      <x:c r="F37" s="68"/>
      <x:c r="G37" s="82"/>
      <x:c r="H37" s="82"/>
      <x:c r="I37" s="82"/>
      <x:c r="J37" s="82"/>
      <x:c r="K37" s="68"/>
      <x:c r="L37" s="68"/>
      <x:c r="M37" s="68"/>
      <x:c r="N37" s="68"/>
      <x:c r="O37" s="68"/>
      <x:c r="P37" s="68"/>
      <x:c r="Q37" s="90"/>
      <x:c r="R37" s="68"/>
      <x:c r="S37" s="68"/>
      <x:c r="T37" s="68"/>
      <x:c r="U37" s="68"/>
      <x:c r="V37" s="84"/>
      <x:c r="W37" s="82"/>
      <x:c r="X37" s="82"/>
      <x:c r="Y37" s="68"/>
      <x:c r="Z37" s="84"/>
      <x:c r="AA37" s="84"/>
      <x:c r="AB37" s="82"/>
      <x:c r="AC37" s="82"/>
      <x:c r="AD37" s="68"/>
      <x:c r="AE37" s="68"/>
      <x:c r="AF37" s="90"/>
      <x:c r="AG37" s="82"/>
      <x:c r="AH37" s="82"/>
      <x:c r="AI37" s="87"/>
    </x:row>
    <x:row r="38">
      <x:c r="A38" s="72" t="str">
        <x:f>IF(OR(C38="",D38=""),"",B38&amp;"-"&amp;UPPER(C38)&amp;"-"&amp;TEXT(D38,"0000")&amp;"-"&amp;E38)</x:f>
      </x:c>
      <x:c r="B38" s="74" t="str">
        <x:v>M17</x:v>
      </x:c>
      <x:c r="C38" s="74"/>
      <x:c r="D38" s="79"/>
      <x:c r="E38" s="74" t="str">
        <x:v>V1.0</x:v>
      </x:c>
      <x:c r="F38" s="68"/>
      <x:c r="G38" s="82"/>
      <x:c r="H38" s="82"/>
      <x:c r="I38" s="82"/>
      <x:c r="J38" s="82"/>
      <x:c r="K38" s="68"/>
      <x:c r="L38" s="68"/>
      <x:c r="M38" s="68"/>
      <x:c r="N38" s="68"/>
      <x:c r="O38" s="68"/>
      <x:c r="P38" s="68"/>
      <x:c r="Q38" s="90"/>
      <x:c r="R38" s="68"/>
      <x:c r="S38" s="68"/>
      <x:c r="T38" s="68"/>
      <x:c r="U38" s="68"/>
      <x:c r="V38" s="84"/>
      <x:c r="W38" s="82"/>
      <x:c r="X38" s="82"/>
      <x:c r="Y38" s="68"/>
      <x:c r="Z38" s="84"/>
      <x:c r="AA38" s="84"/>
      <x:c r="AB38" s="82"/>
      <x:c r="AC38" s="82"/>
      <x:c r="AD38" s="68"/>
      <x:c r="AE38" s="68"/>
      <x:c r="AF38" s="90"/>
      <x:c r="AG38" s="82"/>
      <x:c r="AH38" s="82"/>
      <x:c r="AI38" s="87"/>
    </x:row>
    <x:row r="39">
      <x:c r="A39" s="72" t="str">
        <x:f>IF(OR(C39="",D39=""),"",B39&amp;"-"&amp;UPPER(C39)&amp;"-"&amp;TEXT(D39,"0000")&amp;"-"&amp;E39)</x:f>
      </x:c>
      <x:c r="B39" s="74" t="str">
        <x:v>M17</x:v>
      </x:c>
      <x:c r="C39" s="74"/>
      <x:c r="D39" s="79"/>
      <x:c r="E39" s="74" t="str">
        <x:v>V1.0</x:v>
      </x:c>
      <x:c r="F39" s="68"/>
      <x:c r="G39" s="82"/>
      <x:c r="H39" s="82"/>
      <x:c r="I39" s="82"/>
      <x:c r="J39" s="82"/>
      <x:c r="K39" s="68"/>
      <x:c r="L39" s="68"/>
      <x:c r="M39" s="68"/>
      <x:c r="N39" s="68"/>
      <x:c r="O39" s="68"/>
      <x:c r="P39" s="68"/>
      <x:c r="Q39" s="90"/>
      <x:c r="R39" s="68"/>
      <x:c r="S39" s="68"/>
      <x:c r="T39" s="68"/>
      <x:c r="U39" s="68"/>
      <x:c r="V39" s="84"/>
      <x:c r="W39" s="82"/>
      <x:c r="X39" s="82"/>
      <x:c r="Y39" s="68"/>
      <x:c r="Z39" s="84"/>
      <x:c r="AA39" s="84"/>
      <x:c r="AB39" s="82"/>
      <x:c r="AC39" s="82"/>
      <x:c r="AD39" s="68"/>
      <x:c r="AE39" s="68"/>
      <x:c r="AF39" s="90"/>
      <x:c r="AG39" s="82"/>
      <x:c r="AH39" s="82"/>
      <x:c r="AI39" s="87"/>
    </x:row>
    <x:row r="40">
      <x:c r="A40" s="72" t="str">
        <x:f>IF(OR(C40="",D40=""),"",B40&amp;"-"&amp;UPPER(C40)&amp;"-"&amp;TEXT(D40,"0000")&amp;"-"&amp;E40)</x:f>
      </x:c>
      <x:c r="B40" s="74" t="str">
        <x:v>M17</x:v>
      </x:c>
      <x:c r="C40" s="74"/>
      <x:c r="D40" s="79"/>
      <x:c r="E40" s="74" t="str">
        <x:v>V1.0</x:v>
      </x:c>
      <x:c r="F40" s="68"/>
      <x:c r="G40" s="82"/>
      <x:c r="H40" s="82"/>
      <x:c r="I40" s="82"/>
      <x:c r="J40" s="82"/>
      <x:c r="K40" s="68"/>
      <x:c r="L40" s="68"/>
      <x:c r="M40" s="68"/>
      <x:c r="N40" s="68"/>
      <x:c r="O40" s="68"/>
      <x:c r="P40" s="68"/>
      <x:c r="Q40" s="90"/>
      <x:c r="R40" s="68"/>
      <x:c r="S40" s="68"/>
      <x:c r="T40" s="68"/>
      <x:c r="U40" s="68"/>
      <x:c r="V40" s="84"/>
      <x:c r="W40" s="82"/>
      <x:c r="X40" s="82"/>
      <x:c r="Y40" s="68"/>
      <x:c r="Z40" s="84"/>
      <x:c r="AA40" s="84"/>
      <x:c r="AB40" s="82"/>
      <x:c r="AC40" s="82"/>
      <x:c r="AD40" s="68"/>
      <x:c r="AE40" s="68"/>
      <x:c r="AF40" s="90"/>
      <x:c r="AG40" s="82"/>
      <x:c r="AH40" s="82"/>
      <x:c r="AI40" s="87"/>
    </x:row>
    <x:row r="41">
      <x:c r="A41" s="72" t="str">
        <x:f>IF(OR(C41="",D41=""),"",B41&amp;"-"&amp;UPPER(C41)&amp;"-"&amp;TEXT(D41,"0000")&amp;"-"&amp;E41)</x:f>
      </x:c>
      <x:c r="B41" s="74" t="str">
        <x:v>M17</x:v>
      </x:c>
      <x:c r="C41" s="74"/>
      <x:c r="D41" s="79"/>
      <x:c r="E41" s="74" t="str">
        <x:v>V1.0</x:v>
      </x:c>
      <x:c r="F41" s="68"/>
      <x:c r="G41" s="82"/>
      <x:c r="H41" s="82"/>
      <x:c r="I41" s="82"/>
      <x:c r="J41" s="82"/>
      <x:c r="K41" s="68"/>
      <x:c r="L41" s="68"/>
      <x:c r="M41" s="68"/>
      <x:c r="N41" s="68"/>
      <x:c r="O41" s="68"/>
      <x:c r="P41" s="68"/>
      <x:c r="Q41" s="90"/>
      <x:c r="R41" s="68"/>
      <x:c r="S41" s="68"/>
      <x:c r="T41" s="68"/>
      <x:c r="U41" s="68"/>
      <x:c r="V41" s="84"/>
      <x:c r="W41" s="82"/>
      <x:c r="X41" s="82"/>
      <x:c r="Y41" s="68"/>
      <x:c r="Z41" s="84"/>
      <x:c r="AA41" s="84"/>
      <x:c r="AB41" s="82"/>
      <x:c r="AC41" s="82"/>
      <x:c r="AD41" s="68"/>
      <x:c r="AE41" s="68"/>
      <x:c r="AF41" s="90"/>
      <x:c r="AG41" s="82"/>
      <x:c r="AH41" s="82"/>
      <x:c r="AI41" s="87"/>
    </x:row>
    <x:row r="42">
      <x:c r="A42" s="72" t="str">
        <x:f>IF(OR(C42="",D42=""),"",B42&amp;"-"&amp;UPPER(C42)&amp;"-"&amp;TEXT(D42,"0000")&amp;"-"&amp;E42)</x:f>
      </x:c>
      <x:c r="B42" s="74" t="str">
        <x:v>M17</x:v>
      </x:c>
      <x:c r="C42" s="74"/>
      <x:c r="D42" s="79"/>
      <x:c r="E42" s="74" t="str">
        <x:v>V1.0</x:v>
      </x:c>
      <x:c r="F42" s="68"/>
      <x:c r="G42" s="82"/>
      <x:c r="H42" s="82"/>
      <x:c r="I42" s="82"/>
      <x:c r="J42" s="82"/>
      <x:c r="K42" s="68"/>
      <x:c r="L42" s="68"/>
      <x:c r="M42" s="68"/>
      <x:c r="N42" s="68"/>
      <x:c r="O42" s="68"/>
      <x:c r="P42" s="68"/>
      <x:c r="Q42" s="90"/>
      <x:c r="R42" s="68"/>
      <x:c r="S42" s="68"/>
      <x:c r="T42" s="68"/>
      <x:c r="U42" s="68"/>
      <x:c r="V42" s="84"/>
      <x:c r="W42" s="82"/>
      <x:c r="X42" s="82"/>
      <x:c r="Y42" s="68"/>
      <x:c r="Z42" s="84"/>
      <x:c r="AA42" s="84"/>
      <x:c r="AB42" s="82"/>
      <x:c r="AC42" s="82"/>
      <x:c r="AD42" s="68"/>
      <x:c r="AE42" s="68"/>
      <x:c r="AF42" s="90"/>
      <x:c r="AG42" s="82"/>
      <x:c r="AH42" s="82"/>
      <x:c r="AI42" s="87"/>
    </x:row>
    <x:row r="43">
      <x:c r="A43" s="72" t="str">
        <x:f>IF(OR(C43="",D43=""),"",B43&amp;"-"&amp;UPPER(C43)&amp;"-"&amp;TEXT(D43,"0000")&amp;"-"&amp;E43)</x:f>
      </x:c>
      <x:c r="B43" s="74" t="str">
        <x:v>M17</x:v>
      </x:c>
      <x:c r="C43" s="74"/>
      <x:c r="D43" s="79"/>
      <x:c r="E43" s="74" t="str">
        <x:v>V1.0</x:v>
      </x:c>
      <x:c r="F43" s="68"/>
      <x:c r="G43" s="82"/>
      <x:c r="H43" s="82"/>
      <x:c r="I43" s="82"/>
      <x:c r="J43" s="82"/>
      <x:c r="K43" s="68"/>
      <x:c r="L43" s="68"/>
      <x:c r="M43" s="68"/>
      <x:c r="N43" s="68"/>
      <x:c r="O43" s="68"/>
      <x:c r="P43" s="68"/>
      <x:c r="Q43" s="90"/>
      <x:c r="R43" s="68"/>
      <x:c r="S43" s="68"/>
      <x:c r="T43" s="68"/>
      <x:c r="U43" s="68"/>
      <x:c r="V43" s="84"/>
      <x:c r="W43" s="82"/>
      <x:c r="X43" s="82"/>
      <x:c r="Y43" s="68"/>
      <x:c r="Z43" s="84"/>
      <x:c r="AA43" s="84"/>
      <x:c r="AB43" s="82"/>
      <x:c r="AC43" s="82"/>
      <x:c r="AD43" s="68"/>
      <x:c r="AE43" s="68"/>
      <x:c r="AF43" s="90"/>
      <x:c r="AG43" s="82"/>
      <x:c r="AH43" s="82"/>
      <x:c r="AI43" s="87"/>
    </x:row>
    <x:row r="44">
      <x:c r="A44" s="72" t="str">
        <x:f>IF(OR(C44="",D44=""),"",B44&amp;"-"&amp;UPPER(C44)&amp;"-"&amp;TEXT(D44,"0000")&amp;"-"&amp;E44)</x:f>
      </x:c>
      <x:c r="B44" s="74" t="str">
        <x:v>M17</x:v>
      </x:c>
      <x:c r="C44" s="74"/>
      <x:c r="D44" s="79"/>
      <x:c r="E44" s="74" t="str">
        <x:v>V1.0</x:v>
      </x:c>
      <x:c r="F44" s="68"/>
      <x:c r="G44" s="82"/>
      <x:c r="H44" s="82"/>
      <x:c r="I44" s="82"/>
      <x:c r="J44" s="82"/>
      <x:c r="K44" s="68"/>
      <x:c r="L44" s="68"/>
      <x:c r="M44" s="68"/>
      <x:c r="N44" s="68"/>
      <x:c r="O44" s="68"/>
      <x:c r="P44" s="68"/>
      <x:c r="Q44" s="90"/>
      <x:c r="R44" s="68"/>
      <x:c r="S44" s="68"/>
      <x:c r="T44" s="68"/>
      <x:c r="U44" s="68"/>
      <x:c r="V44" s="84"/>
      <x:c r="W44" s="82"/>
      <x:c r="X44" s="82"/>
      <x:c r="Y44" s="68"/>
      <x:c r="Z44" s="84"/>
      <x:c r="AA44" s="84"/>
      <x:c r="AB44" s="82"/>
      <x:c r="AC44" s="82"/>
      <x:c r="AD44" s="68"/>
      <x:c r="AE44" s="68"/>
      <x:c r="AF44" s="90"/>
      <x:c r="AG44" s="82"/>
      <x:c r="AH44" s="82"/>
      <x:c r="AI44" s="87"/>
    </x:row>
    <x:row r="45">
      <x:c r="A45" s="72" t="str">
        <x:f>IF(OR(C45="",D45=""),"",B45&amp;"-"&amp;UPPER(C45)&amp;"-"&amp;TEXT(D45,"0000")&amp;"-"&amp;E45)</x:f>
      </x:c>
      <x:c r="B45" s="74" t="str">
        <x:v>M17</x:v>
      </x:c>
      <x:c r="C45" s="74"/>
      <x:c r="D45" s="79"/>
      <x:c r="E45" s="74" t="str">
        <x:v>V1.0</x:v>
      </x:c>
      <x:c r="F45" s="68"/>
      <x:c r="G45" s="82"/>
      <x:c r="H45" s="82"/>
      <x:c r="I45" s="82"/>
      <x:c r="J45" s="82"/>
      <x:c r="K45" s="68"/>
      <x:c r="L45" s="68"/>
      <x:c r="M45" s="68"/>
      <x:c r="N45" s="68"/>
      <x:c r="O45" s="68"/>
      <x:c r="P45" s="68"/>
      <x:c r="Q45" s="90"/>
      <x:c r="R45" s="68"/>
      <x:c r="S45" s="68"/>
      <x:c r="T45" s="68"/>
      <x:c r="U45" s="68"/>
      <x:c r="V45" s="84"/>
      <x:c r="W45" s="82"/>
      <x:c r="X45" s="82"/>
      <x:c r="Y45" s="68"/>
      <x:c r="Z45" s="84"/>
      <x:c r="AA45" s="84"/>
      <x:c r="AB45" s="82"/>
      <x:c r="AC45" s="82"/>
      <x:c r="AD45" s="68"/>
      <x:c r="AE45" s="68"/>
      <x:c r="AF45" s="90"/>
      <x:c r="AG45" s="82"/>
      <x:c r="AH45" s="82"/>
      <x:c r="AI45" s="87"/>
    </x:row>
    <x:row r="46">
      <x:c r="A46" s="72" t="str">
        <x:f>IF(OR(C46="",D46=""),"",B46&amp;"-"&amp;UPPER(C46)&amp;"-"&amp;TEXT(D46,"0000")&amp;"-"&amp;E46)</x:f>
      </x:c>
      <x:c r="B46" s="74" t="str">
        <x:v>M17</x:v>
      </x:c>
      <x:c r="C46" s="74"/>
      <x:c r="D46" s="79"/>
      <x:c r="E46" s="74" t="str">
        <x:v>V1.0</x:v>
      </x:c>
      <x:c r="F46" s="68"/>
      <x:c r="G46" s="82"/>
      <x:c r="H46" s="82"/>
      <x:c r="I46" s="82"/>
      <x:c r="J46" s="82"/>
      <x:c r="K46" s="68"/>
      <x:c r="L46" s="68"/>
      <x:c r="M46" s="68"/>
      <x:c r="N46" s="68"/>
      <x:c r="O46" s="68"/>
      <x:c r="P46" s="68"/>
      <x:c r="Q46" s="90"/>
      <x:c r="R46" s="68"/>
      <x:c r="S46" s="68"/>
      <x:c r="T46" s="68"/>
      <x:c r="U46" s="68"/>
      <x:c r="V46" s="84"/>
      <x:c r="W46" s="82"/>
      <x:c r="X46" s="82"/>
      <x:c r="Y46" s="68"/>
      <x:c r="Z46" s="84"/>
      <x:c r="AA46" s="84"/>
      <x:c r="AB46" s="82"/>
      <x:c r="AC46" s="82"/>
      <x:c r="AD46" s="68"/>
      <x:c r="AE46" s="68"/>
      <x:c r="AF46" s="90"/>
      <x:c r="AG46" s="82"/>
      <x:c r="AH46" s="82"/>
      <x:c r="AI46" s="87"/>
    </x:row>
    <x:row r="47">
      <x:c r="A47" s="72" t="str">
        <x:f>IF(OR(C47="",D47=""),"",B47&amp;"-"&amp;UPPER(C47)&amp;"-"&amp;TEXT(D47,"0000")&amp;"-"&amp;E47)</x:f>
      </x:c>
      <x:c r="B47" s="74" t="str">
        <x:v>M17</x:v>
      </x:c>
      <x:c r="C47" s="74"/>
      <x:c r="D47" s="79"/>
      <x:c r="E47" s="74" t="str">
        <x:v>V1.0</x:v>
      </x:c>
      <x:c r="F47" s="68"/>
      <x:c r="G47" s="82"/>
      <x:c r="H47" s="82"/>
      <x:c r="I47" s="82"/>
      <x:c r="J47" s="82"/>
      <x:c r="K47" s="68"/>
      <x:c r="L47" s="68"/>
      <x:c r="M47" s="68"/>
      <x:c r="N47" s="68"/>
      <x:c r="O47" s="68"/>
      <x:c r="P47" s="68"/>
      <x:c r="Q47" s="90"/>
      <x:c r="R47" s="68"/>
      <x:c r="S47" s="68"/>
      <x:c r="T47" s="68"/>
      <x:c r="U47" s="68"/>
      <x:c r="V47" s="84"/>
      <x:c r="W47" s="82"/>
      <x:c r="X47" s="82"/>
      <x:c r="Y47" s="68"/>
      <x:c r="Z47" s="84"/>
      <x:c r="AA47" s="84"/>
      <x:c r="AB47" s="82"/>
      <x:c r="AC47" s="82"/>
      <x:c r="AD47" s="68"/>
      <x:c r="AE47" s="68"/>
      <x:c r="AF47" s="90"/>
      <x:c r="AG47" s="82"/>
      <x:c r="AH47" s="82"/>
      <x:c r="AI47" s="87"/>
    </x:row>
    <x:row r="48">
      <x:c r="A48" s="72" t="str">
        <x:f>IF(OR(C48="",D48=""),"",B48&amp;"-"&amp;UPPER(C48)&amp;"-"&amp;TEXT(D48,"0000")&amp;"-"&amp;E48)</x:f>
      </x:c>
      <x:c r="B48" s="74" t="str">
        <x:v>M17</x:v>
      </x:c>
      <x:c r="C48" s="74"/>
      <x:c r="D48" s="79"/>
      <x:c r="E48" s="74" t="str">
        <x:v>V1.0</x:v>
      </x:c>
      <x:c r="F48" s="68"/>
      <x:c r="G48" s="82"/>
      <x:c r="H48" s="82"/>
      <x:c r="I48" s="82"/>
      <x:c r="J48" s="82"/>
      <x:c r="K48" s="68"/>
      <x:c r="L48" s="68"/>
      <x:c r="M48" s="68"/>
      <x:c r="N48" s="68"/>
      <x:c r="O48" s="68"/>
      <x:c r="P48" s="68"/>
      <x:c r="Q48" s="90"/>
      <x:c r="R48" s="68"/>
      <x:c r="S48" s="68"/>
      <x:c r="T48" s="68"/>
      <x:c r="U48" s="68"/>
      <x:c r="V48" s="84"/>
      <x:c r="W48" s="82"/>
      <x:c r="X48" s="82"/>
      <x:c r="Y48" s="68"/>
      <x:c r="Z48" s="84"/>
      <x:c r="AA48" s="84"/>
      <x:c r="AB48" s="82"/>
      <x:c r="AC48" s="82"/>
      <x:c r="AD48" s="68"/>
      <x:c r="AE48" s="68"/>
      <x:c r="AF48" s="90"/>
      <x:c r="AG48" s="82"/>
      <x:c r="AH48" s="82"/>
      <x:c r="AI48" s="87"/>
    </x:row>
    <x:row r="49">
      <x:c r="A49" s="72" t="str">
        <x:f>IF(OR(C49="",D49=""),"",B49&amp;"-"&amp;UPPER(C49)&amp;"-"&amp;TEXT(D49,"0000")&amp;"-"&amp;E49)</x:f>
      </x:c>
      <x:c r="B49" s="74" t="str">
        <x:v>M17</x:v>
      </x:c>
      <x:c r="C49" s="74"/>
      <x:c r="D49" s="79"/>
      <x:c r="E49" s="74" t="str">
        <x:v>V1.0</x:v>
      </x:c>
      <x:c r="F49" s="68"/>
      <x:c r="G49" s="82"/>
      <x:c r="H49" s="82"/>
      <x:c r="I49" s="82"/>
      <x:c r="J49" s="82"/>
      <x:c r="K49" s="68"/>
      <x:c r="L49" s="68"/>
      <x:c r="M49" s="68"/>
      <x:c r="N49" s="68"/>
      <x:c r="O49" s="68"/>
      <x:c r="P49" s="68"/>
      <x:c r="Q49" s="90"/>
      <x:c r="R49" s="68"/>
      <x:c r="S49" s="68"/>
      <x:c r="T49" s="68"/>
      <x:c r="U49" s="68"/>
      <x:c r="V49" s="84"/>
      <x:c r="W49" s="82"/>
      <x:c r="X49" s="82"/>
      <x:c r="Y49" s="68"/>
      <x:c r="Z49" s="84"/>
      <x:c r="AA49" s="84"/>
      <x:c r="AB49" s="82"/>
      <x:c r="AC49" s="82"/>
      <x:c r="AD49" s="68"/>
      <x:c r="AE49" s="68"/>
      <x:c r="AF49" s="90"/>
      <x:c r="AG49" s="82"/>
      <x:c r="AH49" s="82"/>
      <x:c r="AI49" s="87"/>
    </x:row>
    <x:row r="50">
      <x:c r="A50" s="72" t="str">
        <x:f>IF(OR(C50="",D50=""),"",B50&amp;"-"&amp;UPPER(C50)&amp;"-"&amp;TEXT(D50,"0000")&amp;"-"&amp;E50)</x:f>
      </x:c>
      <x:c r="B50" s="74" t="str">
        <x:v>M17</x:v>
      </x:c>
      <x:c r="C50" s="74"/>
      <x:c r="D50" s="79"/>
      <x:c r="E50" s="74" t="str">
        <x:v>V1.0</x:v>
      </x:c>
      <x:c r="F50" s="68"/>
      <x:c r="G50" s="82"/>
      <x:c r="H50" s="82"/>
      <x:c r="I50" s="82"/>
      <x:c r="J50" s="82"/>
      <x:c r="K50" s="68"/>
      <x:c r="L50" s="68"/>
      <x:c r="M50" s="68"/>
      <x:c r="N50" s="68"/>
      <x:c r="O50" s="68"/>
      <x:c r="P50" s="68"/>
      <x:c r="Q50" s="90"/>
      <x:c r="R50" s="68"/>
      <x:c r="S50" s="68"/>
      <x:c r="T50" s="68"/>
      <x:c r="U50" s="68"/>
      <x:c r="V50" s="84"/>
      <x:c r="W50" s="82"/>
      <x:c r="X50" s="82"/>
      <x:c r="Y50" s="68"/>
      <x:c r="Z50" s="84"/>
      <x:c r="AA50" s="84"/>
      <x:c r="AB50" s="82"/>
      <x:c r="AC50" s="82"/>
      <x:c r="AD50" s="68"/>
      <x:c r="AE50" s="68"/>
      <x:c r="AF50" s="90"/>
      <x:c r="AG50" s="82"/>
      <x:c r="AH50" s="82"/>
      <x:c r="AI50" s="87"/>
    </x:row>
    <x:row r="51">
      <x:c r="A51" s="72" t="str">
        <x:f>IF(OR(C51="",D51=""),"",B51&amp;"-"&amp;UPPER(C51)&amp;"-"&amp;TEXT(D51,"0000")&amp;"-"&amp;E51)</x:f>
      </x:c>
      <x:c r="B51" s="74" t="str">
        <x:v>M17</x:v>
      </x:c>
      <x:c r="C51" s="74"/>
      <x:c r="D51" s="79"/>
      <x:c r="E51" s="74" t="str">
        <x:v>V1.0</x:v>
      </x:c>
      <x:c r="F51" s="68"/>
      <x:c r="G51" s="82"/>
      <x:c r="H51" s="82"/>
      <x:c r="I51" s="82"/>
      <x:c r="J51" s="82"/>
      <x:c r="K51" s="68"/>
      <x:c r="L51" s="68"/>
      <x:c r="M51" s="68"/>
      <x:c r="N51" s="68"/>
      <x:c r="O51" s="68"/>
      <x:c r="P51" s="68"/>
      <x:c r="Q51" s="90"/>
      <x:c r="R51" s="68"/>
      <x:c r="S51" s="68"/>
      <x:c r="T51" s="68"/>
      <x:c r="U51" s="68"/>
      <x:c r="V51" s="84"/>
      <x:c r="W51" s="82"/>
      <x:c r="X51" s="82"/>
      <x:c r="Y51" s="68"/>
      <x:c r="Z51" s="84"/>
      <x:c r="AA51" s="84"/>
      <x:c r="AB51" s="82"/>
      <x:c r="AC51" s="82"/>
      <x:c r="AD51" s="68"/>
      <x:c r="AE51" s="68"/>
      <x:c r="AF51" s="90"/>
      <x:c r="AG51" s="82"/>
      <x:c r="AH51" s="82"/>
      <x:c r="AI51" s="87"/>
    </x:row>
    <x:row r="52">
      <x:c r="A52" s="72" t="str">
        <x:f>IF(OR(C52="",D52=""),"",B52&amp;"-"&amp;UPPER(C52)&amp;"-"&amp;TEXT(D52,"0000")&amp;"-"&amp;E52)</x:f>
      </x:c>
      <x:c r="B52" s="74" t="str">
        <x:v>M17</x:v>
      </x:c>
      <x:c r="C52" s="74"/>
      <x:c r="D52" s="79"/>
      <x:c r="E52" s="74" t="str">
        <x:v>V1.0</x:v>
      </x:c>
      <x:c r="F52" s="68"/>
      <x:c r="G52" s="82"/>
      <x:c r="H52" s="82"/>
      <x:c r="I52" s="82"/>
      <x:c r="J52" s="82"/>
      <x:c r="K52" s="68"/>
      <x:c r="L52" s="68"/>
      <x:c r="M52" s="68"/>
      <x:c r="N52" s="68"/>
      <x:c r="O52" s="68"/>
      <x:c r="P52" s="68"/>
      <x:c r="Q52" s="90"/>
      <x:c r="R52" s="68"/>
      <x:c r="S52" s="68"/>
      <x:c r="T52" s="68"/>
      <x:c r="U52" s="68"/>
      <x:c r="V52" s="84"/>
      <x:c r="W52" s="82"/>
      <x:c r="X52" s="82"/>
      <x:c r="Y52" s="68"/>
      <x:c r="Z52" s="84"/>
      <x:c r="AA52" s="84"/>
      <x:c r="AB52" s="82"/>
      <x:c r="AC52" s="82"/>
      <x:c r="AD52" s="68"/>
      <x:c r="AE52" s="68"/>
      <x:c r="AF52" s="90"/>
      <x:c r="AG52" s="82"/>
      <x:c r="AH52" s="82"/>
      <x:c r="AI52" s="87"/>
    </x:row>
    <x:row r="53">
      <x:c r="A53" s="72" t="str">
        <x:f>IF(OR(C53="",D53=""),"",B53&amp;"-"&amp;UPPER(C53)&amp;"-"&amp;TEXT(D53,"0000")&amp;"-"&amp;E53)</x:f>
      </x:c>
      <x:c r="B53" s="74" t="str">
        <x:v>M17</x:v>
      </x:c>
      <x:c r="C53" s="74"/>
      <x:c r="D53" s="79"/>
      <x:c r="E53" s="74" t="str">
        <x:v>V1.0</x:v>
      </x:c>
      <x:c r="F53" s="68"/>
      <x:c r="G53" s="82"/>
      <x:c r="H53" s="82"/>
      <x:c r="I53" s="82"/>
      <x:c r="J53" s="82"/>
      <x:c r="K53" s="68"/>
      <x:c r="L53" s="68"/>
      <x:c r="M53" s="68"/>
      <x:c r="N53" s="68"/>
      <x:c r="O53" s="68"/>
      <x:c r="P53" s="68"/>
      <x:c r="Q53" s="90"/>
      <x:c r="R53" s="68"/>
      <x:c r="S53" s="68"/>
      <x:c r="T53" s="68"/>
      <x:c r="U53" s="68"/>
      <x:c r="V53" s="84"/>
      <x:c r="W53" s="82"/>
      <x:c r="X53" s="82"/>
      <x:c r="Y53" s="68"/>
      <x:c r="Z53" s="84"/>
      <x:c r="AA53" s="84"/>
      <x:c r="AB53" s="82"/>
      <x:c r="AC53" s="82"/>
      <x:c r="AD53" s="68"/>
      <x:c r="AE53" s="68"/>
      <x:c r="AF53" s="90"/>
      <x:c r="AG53" s="82"/>
      <x:c r="AH53" s="82"/>
      <x:c r="AI53" s="87"/>
    </x:row>
    <x:row r="54">
      <x:c r="A54" s="72" t="str">
        <x:f>IF(OR(C54="",D54=""),"",B54&amp;"-"&amp;UPPER(C54)&amp;"-"&amp;TEXT(D54,"0000")&amp;"-"&amp;E54)</x:f>
      </x:c>
      <x:c r="B54" s="74" t="str">
        <x:v>M17</x:v>
      </x:c>
      <x:c r="C54" s="74"/>
      <x:c r="D54" s="79"/>
      <x:c r="E54" s="74" t="str">
        <x:v>V1.0</x:v>
      </x:c>
      <x:c r="F54" s="68"/>
      <x:c r="G54" s="82"/>
      <x:c r="H54" s="82"/>
      <x:c r="I54" s="82"/>
      <x:c r="J54" s="82"/>
      <x:c r="K54" s="68"/>
      <x:c r="L54" s="68"/>
      <x:c r="M54" s="68"/>
      <x:c r="N54" s="68"/>
      <x:c r="O54" s="68"/>
      <x:c r="P54" s="68"/>
      <x:c r="Q54" s="90"/>
      <x:c r="R54" s="68"/>
      <x:c r="S54" s="68"/>
      <x:c r="T54" s="68"/>
      <x:c r="U54" s="68"/>
      <x:c r="V54" s="84"/>
      <x:c r="W54" s="82"/>
      <x:c r="X54" s="82"/>
      <x:c r="Y54" s="68"/>
      <x:c r="Z54" s="84"/>
      <x:c r="AA54" s="84"/>
      <x:c r="AB54" s="82"/>
      <x:c r="AC54" s="82"/>
      <x:c r="AD54" s="68"/>
      <x:c r="AE54" s="68"/>
      <x:c r="AF54" s="90"/>
      <x:c r="AG54" s="82"/>
      <x:c r="AH54" s="82"/>
      <x:c r="AI54" s="87"/>
    </x:row>
    <x:row r="55">
      <x:c r="A55" s="72" t="str">
        <x:f>IF(OR(C55="",D55=""),"",B55&amp;"-"&amp;UPPER(C55)&amp;"-"&amp;TEXT(D55,"0000")&amp;"-"&amp;E55)</x:f>
      </x:c>
      <x:c r="B55" s="74" t="str">
        <x:v>M17</x:v>
      </x:c>
      <x:c r="C55" s="74"/>
      <x:c r="D55" s="79"/>
      <x:c r="E55" s="74" t="str">
        <x:v>V1.0</x:v>
      </x:c>
      <x:c r="F55" s="68"/>
      <x:c r="G55" s="82"/>
      <x:c r="H55" s="82"/>
      <x:c r="I55" s="82"/>
      <x:c r="J55" s="82"/>
      <x:c r="K55" s="68"/>
      <x:c r="L55" s="68"/>
      <x:c r="M55" s="68"/>
      <x:c r="N55" s="68"/>
      <x:c r="O55" s="68"/>
      <x:c r="P55" s="68"/>
      <x:c r="Q55" s="90"/>
      <x:c r="R55" s="68"/>
      <x:c r="S55" s="68"/>
      <x:c r="T55" s="68"/>
      <x:c r="U55" s="68"/>
      <x:c r="V55" s="84"/>
      <x:c r="W55" s="82"/>
      <x:c r="X55" s="82"/>
      <x:c r="Y55" s="68"/>
      <x:c r="Z55" s="84"/>
      <x:c r="AA55" s="84"/>
      <x:c r="AB55" s="82"/>
      <x:c r="AC55" s="82"/>
      <x:c r="AD55" s="68"/>
      <x:c r="AE55" s="68"/>
      <x:c r="AF55" s="90"/>
      <x:c r="AG55" s="82"/>
      <x:c r="AH55" s="82"/>
      <x:c r="AI55" s="87"/>
    </x:row>
    <x:row r="56">
      <x:c r="A56" s="72" t="str">
        <x:f>IF(OR(C56="",D56=""),"",B56&amp;"-"&amp;UPPER(C56)&amp;"-"&amp;TEXT(D56,"0000")&amp;"-"&amp;E56)</x:f>
      </x:c>
      <x:c r="B56" s="74" t="str">
        <x:v>M17</x:v>
      </x:c>
      <x:c r="C56" s="74"/>
      <x:c r="D56" s="79"/>
      <x:c r="E56" s="74" t="str">
        <x:v>V1.0</x:v>
      </x:c>
      <x:c r="F56" s="68"/>
      <x:c r="G56" s="82"/>
      <x:c r="H56" s="82"/>
      <x:c r="I56" s="82"/>
      <x:c r="J56" s="82"/>
      <x:c r="K56" s="68"/>
      <x:c r="L56" s="68"/>
      <x:c r="M56" s="68"/>
      <x:c r="N56" s="68"/>
      <x:c r="O56" s="68"/>
      <x:c r="P56" s="68"/>
      <x:c r="Q56" s="90"/>
      <x:c r="R56" s="68"/>
      <x:c r="S56" s="68"/>
      <x:c r="T56" s="68"/>
      <x:c r="U56" s="68"/>
      <x:c r="V56" s="84"/>
      <x:c r="W56" s="82"/>
      <x:c r="X56" s="82"/>
      <x:c r="Y56" s="68"/>
      <x:c r="Z56" s="84"/>
      <x:c r="AA56" s="84"/>
      <x:c r="AB56" s="82"/>
      <x:c r="AC56" s="82"/>
      <x:c r="AD56" s="68"/>
      <x:c r="AE56" s="68"/>
      <x:c r="AF56" s="90"/>
      <x:c r="AG56" s="82"/>
      <x:c r="AH56" s="82"/>
      <x:c r="AI56" s="87"/>
    </x:row>
    <x:row r="57">
      <x:c r="A57" s="72" t="str">
        <x:f>IF(OR(C57="",D57=""),"",B57&amp;"-"&amp;UPPER(C57)&amp;"-"&amp;TEXT(D57,"0000")&amp;"-"&amp;E57)</x:f>
      </x:c>
      <x:c r="B57" s="74" t="str">
        <x:v>M17</x:v>
      </x:c>
      <x:c r="C57" s="74"/>
      <x:c r="D57" s="79"/>
      <x:c r="E57" s="74" t="str">
        <x:v>V1.0</x:v>
      </x:c>
      <x:c r="F57" s="68"/>
      <x:c r="G57" s="82"/>
      <x:c r="H57" s="82"/>
      <x:c r="I57" s="82"/>
      <x:c r="J57" s="82"/>
      <x:c r="K57" s="68"/>
      <x:c r="L57" s="68"/>
      <x:c r="M57" s="68"/>
      <x:c r="N57" s="68"/>
      <x:c r="O57" s="68"/>
      <x:c r="P57" s="68"/>
      <x:c r="Q57" s="90"/>
      <x:c r="R57" s="68"/>
      <x:c r="S57" s="68"/>
      <x:c r="T57" s="68"/>
      <x:c r="U57" s="68"/>
      <x:c r="V57" s="84"/>
      <x:c r="W57" s="82"/>
      <x:c r="X57" s="82"/>
      <x:c r="Y57" s="68"/>
      <x:c r="Z57" s="84"/>
      <x:c r="AA57" s="84"/>
      <x:c r="AB57" s="82"/>
      <x:c r="AC57" s="82"/>
      <x:c r="AD57" s="68"/>
      <x:c r="AE57" s="68"/>
      <x:c r="AF57" s="90"/>
      <x:c r="AG57" s="82"/>
      <x:c r="AH57" s="82"/>
      <x:c r="AI57" s="87"/>
    </x:row>
    <x:row r="58">
      <x:c r="A58" s="72" t="str">
        <x:f>IF(OR(C58="",D58=""),"",B58&amp;"-"&amp;UPPER(C58)&amp;"-"&amp;TEXT(D58,"0000")&amp;"-"&amp;E58)</x:f>
      </x:c>
      <x:c r="B58" s="74" t="str">
        <x:v>M17</x:v>
      </x:c>
      <x:c r="C58" s="74"/>
      <x:c r="D58" s="79"/>
      <x:c r="E58" s="74" t="str">
        <x:v>V1.0</x:v>
      </x:c>
      <x:c r="F58" s="68"/>
      <x:c r="G58" s="82"/>
      <x:c r="H58" s="82"/>
      <x:c r="I58" s="82"/>
      <x:c r="J58" s="82"/>
      <x:c r="K58" s="68"/>
      <x:c r="L58" s="68"/>
      <x:c r="M58" s="68"/>
      <x:c r="N58" s="68"/>
      <x:c r="O58" s="68"/>
      <x:c r="P58" s="68"/>
      <x:c r="Q58" s="90"/>
      <x:c r="R58" s="68"/>
      <x:c r="S58" s="68"/>
      <x:c r="T58" s="68"/>
      <x:c r="U58" s="68"/>
      <x:c r="V58" s="84"/>
      <x:c r="W58" s="82"/>
      <x:c r="X58" s="82"/>
      <x:c r="Y58" s="68"/>
      <x:c r="Z58" s="84"/>
      <x:c r="AA58" s="84"/>
      <x:c r="AB58" s="82"/>
      <x:c r="AC58" s="82"/>
      <x:c r="AD58" s="68"/>
      <x:c r="AE58" s="68"/>
      <x:c r="AF58" s="90"/>
      <x:c r="AG58" s="82"/>
      <x:c r="AH58" s="82"/>
      <x:c r="AI58" s="87"/>
    </x:row>
    <x:row r="59">
      <x:c r="A59" s="72" t="str">
        <x:f>IF(OR(C59="",D59=""),"",B59&amp;"-"&amp;UPPER(C59)&amp;"-"&amp;TEXT(D59,"0000")&amp;"-"&amp;E59)</x:f>
      </x:c>
      <x:c r="B59" s="74" t="str">
        <x:v>M17</x:v>
      </x:c>
      <x:c r="C59" s="74"/>
      <x:c r="D59" s="79"/>
      <x:c r="E59" s="74" t="str">
        <x:v>V1.0</x:v>
      </x:c>
      <x:c r="F59" s="68"/>
      <x:c r="G59" s="82"/>
      <x:c r="H59" s="82"/>
      <x:c r="I59" s="82"/>
      <x:c r="J59" s="82"/>
      <x:c r="K59" s="68"/>
      <x:c r="L59" s="68"/>
      <x:c r="M59" s="68"/>
      <x:c r="N59" s="68"/>
      <x:c r="O59" s="68"/>
      <x:c r="P59" s="68"/>
      <x:c r="Q59" s="90"/>
      <x:c r="R59" s="68"/>
      <x:c r="S59" s="68"/>
      <x:c r="T59" s="68"/>
      <x:c r="U59" s="68"/>
      <x:c r="V59" s="84"/>
      <x:c r="W59" s="82"/>
      <x:c r="X59" s="82"/>
      <x:c r="Y59" s="68"/>
      <x:c r="Z59" s="84"/>
      <x:c r="AA59" s="84"/>
      <x:c r="AB59" s="82"/>
      <x:c r="AC59" s="82"/>
      <x:c r="AD59" s="68"/>
      <x:c r="AE59" s="68"/>
      <x:c r="AF59" s="90"/>
      <x:c r="AG59" s="82"/>
      <x:c r="AH59" s="82"/>
      <x:c r="AI59" s="87"/>
    </x:row>
    <x:row r="60">
      <x:c r="A60" s="72" t="str">
        <x:f>IF(OR(C60="",D60=""),"",B60&amp;"-"&amp;UPPER(C60)&amp;"-"&amp;TEXT(D60,"0000")&amp;"-"&amp;E60)</x:f>
      </x:c>
      <x:c r="B60" s="74" t="str">
        <x:v>M17</x:v>
      </x:c>
      <x:c r="C60" s="74"/>
      <x:c r="D60" s="79"/>
      <x:c r="E60" s="74" t="str">
        <x:v>V1.0</x:v>
      </x:c>
      <x:c r="F60" s="68"/>
      <x:c r="G60" s="82"/>
      <x:c r="H60" s="82"/>
      <x:c r="I60" s="82"/>
      <x:c r="J60" s="82"/>
      <x:c r="K60" s="68"/>
      <x:c r="L60" s="68"/>
      <x:c r="M60" s="68"/>
      <x:c r="N60" s="68"/>
      <x:c r="O60" s="68"/>
      <x:c r="P60" s="68"/>
      <x:c r="Q60" s="90"/>
      <x:c r="R60" s="68"/>
      <x:c r="S60" s="68"/>
      <x:c r="T60" s="68"/>
      <x:c r="U60" s="68"/>
      <x:c r="V60" s="84"/>
      <x:c r="W60" s="82"/>
      <x:c r="X60" s="82"/>
      <x:c r="Y60" s="68"/>
      <x:c r="Z60" s="84"/>
      <x:c r="AA60" s="84"/>
      <x:c r="AB60" s="82"/>
      <x:c r="AC60" s="82"/>
      <x:c r="AD60" s="68"/>
      <x:c r="AE60" s="68"/>
      <x:c r="AF60" s="90"/>
      <x:c r="AG60" s="82"/>
      <x:c r="AH60" s="82"/>
      <x:c r="AI60" s="87"/>
    </x:row>
    <x:row r="61">
      <x:c r="A61" s="72" t="str">
        <x:f>IF(OR(C61="",D61=""),"",B61&amp;"-"&amp;UPPER(C61)&amp;"-"&amp;TEXT(D61,"0000")&amp;"-"&amp;E61)</x:f>
      </x:c>
      <x:c r="B61" s="74" t="str">
        <x:v>M17</x:v>
      </x:c>
      <x:c r="C61" s="74"/>
      <x:c r="D61" s="79"/>
      <x:c r="E61" s="74" t="str">
        <x:v>V1.0</x:v>
      </x:c>
      <x:c r="F61" s="68"/>
      <x:c r="G61" s="82"/>
      <x:c r="H61" s="82"/>
      <x:c r="I61" s="82"/>
      <x:c r="J61" s="82"/>
      <x:c r="K61" s="68"/>
      <x:c r="L61" s="68"/>
      <x:c r="M61" s="68"/>
      <x:c r="N61" s="68"/>
      <x:c r="O61" s="68"/>
      <x:c r="P61" s="68"/>
      <x:c r="Q61" s="90"/>
      <x:c r="R61" s="68"/>
      <x:c r="S61" s="68"/>
      <x:c r="T61" s="68"/>
      <x:c r="U61" s="68"/>
      <x:c r="V61" s="84"/>
      <x:c r="W61" s="82"/>
      <x:c r="X61" s="82"/>
      <x:c r="Y61" s="68"/>
      <x:c r="Z61" s="84"/>
      <x:c r="AA61" s="84"/>
      <x:c r="AB61" s="82"/>
      <x:c r="AC61" s="82"/>
      <x:c r="AD61" s="68"/>
      <x:c r="AE61" s="68"/>
      <x:c r="AF61" s="90"/>
      <x:c r="AG61" s="82"/>
      <x:c r="AH61" s="82"/>
      <x:c r="AI61" s="87"/>
    </x:row>
    <x:row r="62">
      <x:c r="A62" s="72" t="str">
        <x:f>IF(OR(C62="",D62=""),"",B62&amp;"-"&amp;UPPER(C62)&amp;"-"&amp;TEXT(D62,"0000")&amp;"-"&amp;E62)</x:f>
      </x:c>
      <x:c r="B62" s="74" t="str">
        <x:v>M17</x:v>
      </x:c>
      <x:c r="C62" s="74"/>
      <x:c r="D62" s="79"/>
      <x:c r="E62" s="74" t="str">
        <x:v>V1.0</x:v>
      </x:c>
      <x:c r="F62" s="68"/>
      <x:c r="G62" s="82"/>
      <x:c r="H62" s="82"/>
      <x:c r="I62" s="82"/>
      <x:c r="J62" s="82"/>
      <x:c r="K62" s="68"/>
      <x:c r="L62" s="68"/>
      <x:c r="M62" s="68"/>
      <x:c r="N62" s="68"/>
      <x:c r="O62" s="68"/>
      <x:c r="P62" s="68"/>
      <x:c r="Q62" s="90"/>
      <x:c r="R62" s="68"/>
      <x:c r="S62" s="68"/>
      <x:c r="T62" s="68"/>
      <x:c r="U62" s="68"/>
      <x:c r="V62" s="84"/>
      <x:c r="W62" s="82"/>
      <x:c r="X62" s="82"/>
      <x:c r="Y62" s="68"/>
      <x:c r="Z62" s="84"/>
      <x:c r="AA62" s="84"/>
      <x:c r="AB62" s="82"/>
      <x:c r="AC62" s="82"/>
      <x:c r="AD62" s="68"/>
      <x:c r="AE62" s="68"/>
      <x:c r="AF62" s="90"/>
      <x:c r="AG62" s="82"/>
      <x:c r="AH62" s="82"/>
      <x:c r="AI62" s="87"/>
    </x:row>
    <x:row r="63">
      <x:c r="A63" s="72" t="str">
        <x:f>IF(OR(C63="",D63=""),"",B63&amp;"-"&amp;UPPER(C63)&amp;"-"&amp;TEXT(D63,"0000")&amp;"-"&amp;E63)</x:f>
      </x:c>
      <x:c r="B63" s="74" t="str">
        <x:v>M17</x:v>
      </x:c>
      <x:c r="C63" s="74"/>
      <x:c r="D63" s="79"/>
      <x:c r="E63" s="74" t="str">
        <x:v>V1.0</x:v>
      </x:c>
      <x:c r="F63" s="68"/>
      <x:c r="G63" s="82"/>
      <x:c r="H63" s="82"/>
      <x:c r="I63" s="82"/>
      <x:c r="J63" s="82"/>
      <x:c r="K63" s="68"/>
      <x:c r="L63" s="68"/>
      <x:c r="M63" s="68"/>
      <x:c r="N63" s="68"/>
      <x:c r="O63" s="68"/>
      <x:c r="P63" s="68"/>
      <x:c r="Q63" s="90"/>
      <x:c r="R63" s="68"/>
      <x:c r="S63" s="68"/>
      <x:c r="T63" s="68"/>
      <x:c r="U63" s="68"/>
      <x:c r="V63" s="84"/>
      <x:c r="W63" s="82"/>
      <x:c r="X63" s="82"/>
      <x:c r="Y63" s="68"/>
      <x:c r="Z63" s="84"/>
      <x:c r="AA63" s="84"/>
      <x:c r="AB63" s="82"/>
      <x:c r="AC63" s="82"/>
      <x:c r="AD63" s="68"/>
      <x:c r="AE63" s="68"/>
      <x:c r="AF63" s="90"/>
      <x:c r="AG63" s="82"/>
      <x:c r="AH63" s="82"/>
      <x:c r="AI63" s="87"/>
    </x:row>
    <x:row r="64">
      <x:c r="A64" s="72" t="str">
        <x:f>IF(OR(C64="",D64=""),"",B64&amp;"-"&amp;UPPER(C64)&amp;"-"&amp;TEXT(D64,"0000")&amp;"-"&amp;E64)</x:f>
      </x:c>
      <x:c r="B64" s="74" t="str">
        <x:v>M17</x:v>
      </x:c>
      <x:c r="C64" s="74"/>
      <x:c r="D64" s="79"/>
      <x:c r="E64" s="74" t="str">
        <x:v>V1.0</x:v>
      </x:c>
      <x:c r="F64" s="68"/>
      <x:c r="G64" s="82"/>
      <x:c r="H64" s="82"/>
      <x:c r="I64" s="82"/>
      <x:c r="J64" s="82"/>
      <x:c r="K64" s="68"/>
      <x:c r="L64" s="68"/>
      <x:c r="M64" s="68"/>
      <x:c r="N64" s="68"/>
      <x:c r="O64" s="68"/>
      <x:c r="P64" s="68"/>
      <x:c r="Q64" s="90"/>
      <x:c r="R64" s="68"/>
      <x:c r="S64" s="68"/>
      <x:c r="T64" s="68"/>
      <x:c r="U64" s="68"/>
      <x:c r="V64" s="84"/>
      <x:c r="W64" s="82"/>
      <x:c r="X64" s="82"/>
      <x:c r="Y64" s="68"/>
      <x:c r="Z64" s="84"/>
      <x:c r="AA64" s="84"/>
      <x:c r="AB64" s="82"/>
      <x:c r="AC64" s="82"/>
      <x:c r="AD64" s="68"/>
      <x:c r="AE64" s="68"/>
      <x:c r="AF64" s="90"/>
      <x:c r="AG64" s="82"/>
      <x:c r="AH64" s="82"/>
      <x:c r="AI64" s="87"/>
    </x:row>
    <x:row r="65">
      <x:c r="A65" s="72" t="str">
        <x:f>IF(OR(C65="",D65=""),"",B65&amp;"-"&amp;UPPER(C65)&amp;"-"&amp;TEXT(D65,"0000")&amp;"-"&amp;E65)</x:f>
      </x:c>
      <x:c r="B65" s="74" t="str">
        <x:v>M17</x:v>
      </x:c>
      <x:c r="C65" s="74"/>
      <x:c r="D65" s="79"/>
      <x:c r="E65" s="74" t="str">
        <x:v>V1.0</x:v>
      </x:c>
      <x:c r="F65" s="68"/>
      <x:c r="G65" s="82"/>
      <x:c r="H65" s="82"/>
      <x:c r="I65" s="82"/>
      <x:c r="J65" s="82"/>
      <x:c r="K65" s="68"/>
      <x:c r="L65" s="68"/>
      <x:c r="M65" s="68"/>
      <x:c r="N65" s="68"/>
      <x:c r="O65" s="68"/>
      <x:c r="P65" s="68"/>
      <x:c r="Q65" s="90"/>
      <x:c r="R65" s="68"/>
      <x:c r="S65" s="68"/>
      <x:c r="T65" s="68"/>
      <x:c r="U65" s="68"/>
      <x:c r="V65" s="84"/>
      <x:c r="W65" s="82"/>
      <x:c r="X65" s="82"/>
      <x:c r="Y65" s="68"/>
      <x:c r="Z65" s="84"/>
      <x:c r="AA65" s="84"/>
      <x:c r="AB65" s="82"/>
      <x:c r="AC65" s="82"/>
      <x:c r="AD65" s="68"/>
      <x:c r="AE65" s="68"/>
      <x:c r="AF65" s="90"/>
      <x:c r="AG65" s="82"/>
      <x:c r="AH65" s="82"/>
      <x:c r="AI65" s="87"/>
    </x:row>
    <x:row r="66">
      <x:c r="A66" s="72" t="str">
        <x:f>IF(OR(C66="",D66=""),"",B66&amp;"-"&amp;UPPER(C66)&amp;"-"&amp;TEXT(D66,"0000")&amp;"-"&amp;E66)</x:f>
      </x:c>
      <x:c r="B66" s="74" t="str">
        <x:v>M17</x:v>
      </x:c>
      <x:c r="C66" s="74"/>
      <x:c r="D66" s="79"/>
      <x:c r="E66" s="74" t="str">
        <x:v>V1.0</x:v>
      </x:c>
      <x:c r="F66" s="68"/>
      <x:c r="G66" s="82"/>
      <x:c r="H66" s="82"/>
      <x:c r="I66" s="82"/>
      <x:c r="J66" s="82"/>
      <x:c r="K66" s="68"/>
      <x:c r="L66" s="68"/>
      <x:c r="M66" s="68"/>
      <x:c r="N66" s="68"/>
      <x:c r="O66" s="68"/>
      <x:c r="P66" s="68"/>
      <x:c r="Q66" s="90"/>
      <x:c r="R66" s="68"/>
      <x:c r="S66" s="68"/>
      <x:c r="T66" s="68"/>
      <x:c r="U66" s="68"/>
      <x:c r="V66" s="84"/>
      <x:c r="W66" s="82"/>
      <x:c r="X66" s="82"/>
      <x:c r="Y66" s="68"/>
      <x:c r="Z66" s="84"/>
      <x:c r="AA66" s="84"/>
      <x:c r="AB66" s="82"/>
      <x:c r="AC66" s="82"/>
      <x:c r="AD66" s="68"/>
      <x:c r="AE66" s="68"/>
      <x:c r="AF66" s="90"/>
      <x:c r="AG66" s="82"/>
      <x:c r="AH66" s="82"/>
      <x:c r="AI66" s="87"/>
    </x:row>
    <x:row r="67">
      <x:c r="A67" s="72" t="str">
        <x:f>IF(OR(C67="",D67=""),"",B67&amp;"-"&amp;UPPER(C67)&amp;"-"&amp;TEXT(D67,"0000")&amp;"-"&amp;E67)</x:f>
      </x:c>
      <x:c r="B67" s="74" t="str">
        <x:v>M17</x:v>
      </x:c>
      <x:c r="C67" s="74"/>
      <x:c r="D67" s="79"/>
      <x:c r="E67" s="74" t="str">
        <x:v>V1.0</x:v>
      </x:c>
      <x:c r="F67" s="68"/>
      <x:c r="G67" s="82"/>
      <x:c r="H67" s="82"/>
      <x:c r="I67" s="82"/>
      <x:c r="J67" s="82"/>
      <x:c r="K67" s="68"/>
      <x:c r="L67" s="68"/>
      <x:c r="M67" s="68"/>
      <x:c r="N67" s="68"/>
      <x:c r="O67" s="68"/>
      <x:c r="P67" s="68"/>
      <x:c r="Q67" s="90"/>
      <x:c r="R67" s="68"/>
      <x:c r="S67" s="68"/>
      <x:c r="T67" s="68"/>
      <x:c r="U67" s="68"/>
      <x:c r="V67" s="84"/>
      <x:c r="W67" s="82"/>
      <x:c r="X67" s="82"/>
      <x:c r="Y67" s="68"/>
      <x:c r="Z67" s="84"/>
      <x:c r="AA67" s="84"/>
      <x:c r="AB67" s="82"/>
      <x:c r="AC67" s="82"/>
      <x:c r="AD67" s="68"/>
      <x:c r="AE67" s="68"/>
      <x:c r="AF67" s="90"/>
      <x:c r="AG67" s="82"/>
      <x:c r="AH67" s="82"/>
      <x:c r="AI67" s="87"/>
    </x:row>
    <x:row r="68">
      <x:c r="A68" s="72" t="str">
        <x:f>IF(OR(C68="",D68=""),"",B68&amp;"-"&amp;UPPER(C68)&amp;"-"&amp;TEXT(D68,"0000")&amp;"-"&amp;E68)</x:f>
      </x:c>
      <x:c r="B68" s="74" t="str">
        <x:v>M17</x:v>
      </x:c>
      <x:c r="C68" s="74"/>
      <x:c r="D68" s="79"/>
      <x:c r="E68" s="74" t="str">
        <x:v>V1.0</x:v>
      </x:c>
      <x:c r="F68" s="68"/>
      <x:c r="G68" s="82"/>
      <x:c r="H68" s="82"/>
      <x:c r="I68" s="82"/>
      <x:c r="J68" s="82"/>
      <x:c r="K68" s="68"/>
      <x:c r="L68" s="68"/>
      <x:c r="M68" s="68"/>
      <x:c r="N68" s="68"/>
      <x:c r="O68" s="68"/>
      <x:c r="P68" s="68"/>
      <x:c r="Q68" s="90"/>
      <x:c r="R68" s="68"/>
      <x:c r="S68" s="68"/>
      <x:c r="T68" s="68"/>
      <x:c r="U68" s="68"/>
      <x:c r="V68" s="84"/>
      <x:c r="W68" s="82"/>
      <x:c r="X68" s="82"/>
      <x:c r="Y68" s="68"/>
      <x:c r="Z68" s="84"/>
      <x:c r="AA68" s="84"/>
      <x:c r="AB68" s="82"/>
      <x:c r="AC68" s="82"/>
      <x:c r="AD68" s="68"/>
      <x:c r="AE68" s="68"/>
      <x:c r="AF68" s="90"/>
      <x:c r="AG68" s="82"/>
      <x:c r="AH68" s="82"/>
      <x:c r="AI68" s="87"/>
    </x:row>
    <x:row r="69">
      <x:c r="A69" s="72" t="str">
        <x:f>IF(OR(C69="",D69=""),"",B69&amp;"-"&amp;UPPER(C69)&amp;"-"&amp;TEXT(D69,"0000")&amp;"-"&amp;E69)</x:f>
      </x:c>
      <x:c r="B69" s="74" t="str">
        <x:v>M17</x:v>
      </x:c>
      <x:c r="C69" s="74"/>
      <x:c r="D69" s="79"/>
      <x:c r="E69" s="74" t="str">
        <x:v>V1.0</x:v>
      </x:c>
      <x:c r="F69" s="68"/>
      <x:c r="G69" s="82"/>
      <x:c r="H69" s="82"/>
      <x:c r="I69" s="82"/>
      <x:c r="J69" s="82"/>
      <x:c r="K69" s="68"/>
      <x:c r="L69" s="68"/>
      <x:c r="M69" s="68"/>
      <x:c r="N69" s="68"/>
      <x:c r="O69" s="68"/>
      <x:c r="P69" s="68"/>
      <x:c r="Q69" s="90"/>
      <x:c r="R69" s="68"/>
      <x:c r="S69" s="68"/>
      <x:c r="T69" s="68"/>
      <x:c r="U69" s="68"/>
      <x:c r="V69" s="84"/>
      <x:c r="W69" s="82"/>
      <x:c r="X69" s="82"/>
      <x:c r="Y69" s="68"/>
      <x:c r="Z69" s="84"/>
      <x:c r="AA69" s="84"/>
      <x:c r="AB69" s="82"/>
      <x:c r="AC69" s="82"/>
      <x:c r="AD69" s="68"/>
      <x:c r="AE69" s="68"/>
      <x:c r="AF69" s="90"/>
      <x:c r="AG69" s="82"/>
      <x:c r="AH69" s="82"/>
      <x:c r="AI69" s="87"/>
    </x:row>
    <x:row r="70">
      <x:c r="A70" s="72" t="str">
        <x:f>IF(OR(C70="",D70=""),"",B70&amp;"-"&amp;UPPER(C70)&amp;"-"&amp;TEXT(D70,"0000")&amp;"-"&amp;E70)</x:f>
      </x:c>
      <x:c r="B70" s="74" t="str">
        <x:v>M17</x:v>
      </x:c>
      <x:c r="C70" s="74"/>
      <x:c r="D70" s="79"/>
      <x:c r="E70" s="74" t="str">
        <x:v>V1.0</x:v>
      </x:c>
      <x:c r="F70" s="68"/>
      <x:c r="G70" s="82"/>
      <x:c r="H70" s="82"/>
      <x:c r="I70" s="82"/>
      <x:c r="J70" s="82"/>
      <x:c r="K70" s="68"/>
      <x:c r="L70" s="68"/>
      <x:c r="M70" s="68"/>
      <x:c r="N70" s="68"/>
      <x:c r="O70" s="68"/>
      <x:c r="P70" s="68"/>
      <x:c r="Q70" s="90"/>
      <x:c r="R70" s="68"/>
      <x:c r="S70" s="68"/>
      <x:c r="T70" s="68"/>
      <x:c r="U70" s="68"/>
      <x:c r="V70" s="84"/>
      <x:c r="W70" s="82"/>
      <x:c r="X70" s="82"/>
      <x:c r="Y70" s="68"/>
      <x:c r="Z70" s="84"/>
      <x:c r="AA70" s="84"/>
      <x:c r="AB70" s="82"/>
      <x:c r="AC70" s="82"/>
      <x:c r="AD70" s="68"/>
      <x:c r="AE70" s="68"/>
      <x:c r="AF70" s="90"/>
      <x:c r="AG70" s="82"/>
      <x:c r="AH70" s="82"/>
      <x:c r="AI70" s="87"/>
    </x:row>
    <x:row r="71">
      <x:c r="A71" s="72" t="str">
        <x:f>IF(OR(C71="",D71=""),"",B71&amp;"-"&amp;UPPER(C71)&amp;"-"&amp;TEXT(D71,"0000")&amp;"-"&amp;E71)</x:f>
      </x:c>
      <x:c r="B71" s="74" t="str">
        <x:v>M17</x:v>
      </x:c>
      <x:c r="C71" s="74"/>
      <x:c r="D71" s="79"/>
      <x:c r="E71" s="74" t="str">
        <x:v>V1.0</x:v>
      </x:c>
      <x:c r="F71" s="68"/>
      <x:c r="G71" s="82"/>
      <x:c r="H71" s="82"/>
      <x:c r="I71" s="82"/>
      <x:c r="J71" s="82"/>
      <x:c r="K71" s="68"/>
      <x:c r="L71" s="68"/>
      <x:c r="M71" s="68"/>
      <x:c r="N71" s="68"/>
      <x:c r="O71" s="68"/>
      <x:c r="P71" s="68"/>
      <x:c r="Q71" s="90"/>
      <x:c r="R71" s="68"/>
      <x:c r="S71" s="68"/>
      <x:c r="T71" s="68"/>
      <x:c r="U71" s="68"/>
      <x:c r="V71" s="84"/>
      <x:c r="W71" s="82"/>
      <x:c r="X71" s="82"/>
      <x:c r="Y71" s="68"/>
      <x:c r="Z71" s="84"/>
      <x:c r="AA71" s="84"/>
      <x:c r="AB71" s="82"/>
      <x:c r="AC71" s="82"/>
      <x:c r="AD71" s="68"/>
      <x:c r="AE71" s="68"/>
      <x:c r="AF71" s="90"/>
      <x:c r="AG71" s="82"/>
      <x:c r="AH71" s="82"/>
      <x:c r="AI71" s="87"/>
    </x:row>
    <x:row r="72">
      <x:c r="A72" s="72" t="str">
        <x:f>IF(OR(C72="",D72=""),"",B72&amp;"-"&amp;UPPER(C72)&amp;"-"&amp;TEXT(D72,"0000")&amp;"-"&amp;E72)</x:f>
      </x:c>
      <x:c r="B72" s="74" t="str">
        <x:v>M17</x:v>
      </x:c>
      <x:c r="C72" s="74"/>
      <x:c r="D72" s="79"/>
      <x:c r="E72" s="74" t="str">
        <x:v>V1.0</x:v>
      </x:c>
      <x:c r="F72" s="68"/>
      <x:c r="G72" s="82"/>
      <x:c r="H72" s="82"/>
      <x:c r="I72" s="82"/>
      <x:c r="J72" s="82"/>
      <x:c r="K72" s="68"/>
      <x:c r="L72" s="68"/>
      <x:c r="M72" s="68"/>
      <x:c r="N72" s="68"/>
      <x:c r="O72" s="68"/>
      <x:c r="P72" s="68"/>
      <x:c r="Q72" s="90"/>
      <x:c r="R72" s="68"/>
      <x:c r="S72" s="68"/>
      <x:c r="T72" s="68"/>
      <x:c r="U72" s="68"/>
      <x:c r="V72" s="84"/>
      <x:c r="W72" s="82"/>
      <x:c r="X72" s="82"/>
      <x:c r="Y72" s="68"/>
      <x:c r="Z72" s="84"/>
      <x:c r="AA72" s="84"/>
      <x:c r="AB72" s="82"/>
      <x:c r="AC72" s="82"/>
      <x:c r="AD72" s="68"/>
      <x:c r="AE72" s="68"/>
      <x:c r="AF72" s="90"/>
      <x:c r="AG72" s="82"/>
      <x:c r="AH72" s="82"/>
      <x:c r="AI72" s="87"/>
    </x:row>
    <x:row r="73">
      <x:c r="A73" s="72" t="str">
        <x:f>IF(OR(C73="",D73=""),"",B73&amp;"-"&amp;UPPER(C73)&amp;"-"&amp;TEXT(D73,"0000")&amp;"-"&amp;E73)</x:f>
      </x:c>
      <x:c r="B73" s="74" t="str">
        <x:v>M17</x:v>
      </x:c>
      <x:c r="C73" s="74"/>
      <x:c r="D73" s="79"/>
      <x:c r="E73" s="74" t="str">
        <x:v>V1.0</x:v>
      </x:c>
      <x:c r="F73" s="68"/>
      <x:c r="G73" s="82"/>
      <x:c r="H73" s="82"/>
      <x:c r="I73" s="82"/>
      <x:c r="J73" s="82"/>
      <x:c r="K73" s="68"/>
      <x:c r="L73" s="68"/>
      <x:c r="M73" s="68"/>
      <x:c r="N73" s="68"/>
      <x:c r="O73" s="68"/>
      <x:c r="P73" s="68"/>
      <x:c r="Q73" s="90"/>
      <x:c r="R73" s="68"/>
      <x:c r="S73" s="68"/>
      <x:c r="T73" s="68"/>
      <x:c r="U73" s="68"/>
      <x:c r="V73" s="84"/>
      <x:c r="W73" s="82"/>
      <x:c r="X73" s="82"/>
      <x:c r="Y73" s="68"/>
      <x:c r="Z73" s="84"/>
      <x:c r="AA73" s="84"/>
      <x:c r="AB73" s="82"/>
      <x:c r="AC73" s="82"/>
      <x:c r="AD73" s="68"/>
      <x:c r="AE73" s="68"/>
      <x:c r="AF73" s="90"/>
      <x:c r="AG73" s="82"/>
      <x:c r="AH73" s="82"/>
      <x:c r="AI73" s="87"/>
    </x:row>
    <x:row r="74">
      <x:c r="A74" s="72" t="str">
        <x:f>IF(OR(C74="",D74=""),"",B74&amp;"-"&amp;UPPER(C74)&amp;"-"&amp;TEXT(D74,"0000")&amp;"-"&amp;E74)</x:f>
      </x:c>
      <x:c r="B74" s="74" t="str">
        <x:v>M17</x:v>
      </x:c>
      <x:c r="C74" s="74"/>
      <x:c r="D74" s="79"/>
      <x:c r="E74" s="74" t="str">
        <x:v>V1.0</x:v>
      </x:c>
      <x:c r="F74" s="68"/>
      <x:c r="G74" s="82"/>
      <x:c r="H74" s="82"/>
      <x:c r="I74" s="82"/>
      <x:c r="J74" s="82"/>
      <x:c r="K74" s="68"/>
      <x:c r="L74" s="68"/>
      <x:c r="M74" s="68"/>
      <x:c r="N74" s="68"/>
      <x:c r="O74" s="68"/>
      <x:c r="P74" s="68"/>
      <x:c r="Q74" s="90"/>
      <x:c r="R74" s="68"/>
      <x:c r="S74" s="68"/>
      <x:c r="T74" s="68"/>
      <x:c r="U74" s="68"/>
      <x:c r="V74" s="84"/>
      <x:c r="W74" s="82"/>
      <x:c r="X74" s="82"/>
      <x:c r="Y74" s="68"/>
      <x:c r="Z74" s="84"/>
      <x:c r="AA74" s="84"/>
      <x:c r="AB74" s="82"/>
      <x:c r="AC74" s="82"/>
      <x:c r="AD74" s="68"/>
      <x:c r="AE74" s="68"/>
      <x:c r="AF74" s="90"/>
      <x:c r="AG74" s="82"/>
      <x:c r="AH74" s="82"/>
      <x:c r="AI74" s="87"/>
    </x:row>
    <x:row r="75">
      <x:c r="A75" s="72" t="str">
        <x:f>IF(OR(C75="",D75=""),"",B75&amp;"-"&amp;UPPER(C75)&amp;"-"&amp;TEXT(D75,"0000")&amp;"-"&amp;E75)</x:f>
      </x:c>
      <x:c r="B75" s="74" t="str">
        <x:v>M17</x:v>
      </x:c>
      <x:c r="C75" s="74"/>
      <x:c r="D75" s="79"/>
      <x:c r="E75" s="74" t="str">
        <x:v>V1.0</x:v>
      </x:c>
      <x:c r="F75" s="68"/>
      <x:c r="G75" s="82"/>
      <x:c r="H75" s="82"/>
      <x:c r="I75" s="82"/>
      <x:c r="J75" s="82"/>
      <x:c r="K75" s="68"/>
      <x:c r="L75" s="68"/>
      <x:c r="M75" s="68"/>
      <x:c r="N75" s="68"/>
      <x:c r="O75" s="68"/>
      <x:c r="P75" s="68"/>
      <x:c r="Q75" s="90"/>
      <x:c r="R75" s="68"/>
      <x:c r="S75" s="68"/>
      <x:c r="T75" s="68"/>
      <x:c r="U75" s="68"/>
      <x:c r="V75" s="84"/>
      <x:c r="W75" s="82"/>
      <x:c r="X75" s="82"/>
      <x:c r="Y75" s="68"/>
      <x:c r="Z75" s="84"/>
      <x:c r="AA75" s="84"/>
      <x:c r="AB75" s="82"/>
      <x:c r="AC75" s="82"/>
      <x:c r="AD75" s="68"/>
      <x:c r="AE75" s="68"/>
      <x:c r="AF75" s="90"/>
      <x:c r="AG75" s="82"/>
      <x:c r="AH75" s="82"/>
      <x:c r="AI75" s="87"/>
    </x:row>
    <x:row r="76">
      <x:c r="A76" s="72" t="str">
        <x:f>IF(OR(C76="",D76=""),"",B76&amp;"-"&amp;UPPER(C76)&amp;"-"&amp;TEXT(D76,"0000")&amp;"-"&amp;E76)</x:f>
      </x:c>
      <x:c r="B76" s="74" t="str">
        <x:v>M17</x:v>
      </x:c>
      <x:c r="C76" s="74"/>
      <x:c r="D76" s="79"/>
      <x:c r="E76" s="74" t="str">
        <x:v>V1.0</x:v>
      </x:c>
      <x:c r="F76" s="68"/>
      <x:c r="G76" s="82"/>
      <x:c r="H76" s="82"/>
      <x:c r="I76" s="82"/>
      <x:c r="J76" s="82"/>
      <x:c r="K76" s="68"/>
      <x:c r="L76" s="68"/>
      <x:c r="M76" s="68"/>
      <x:c r="N76" s="68"/>
      <x:c r="O76" s="68"/>
      <x:c r="P76" s="68"/>
      <x:c r="Q76" s="90"/>
      <x:c r="R76" s="68"/>
      <x:c r="S76" s="68"/>
      <x:c r="T76" s="68"/>
      <x:c r="U76" s="68"/>
      <x:c r="V76" s="84"/>
      <x:c r="W76" s="82"/>
      <x:c r="X76" s="82"/>
      <x:c r="Y76" s="68"/>
      <x:c r="Z76" s="84"/>
      <x:c r="AA76" s="84"/>
      <x:c r="AB76" s="82"/>
      <x:c r="AC76" s="82"/>
      <x:c r="AD76" s="68"/>
      <x:c r="AE76" s="68"/>
      <x:c r="AF76" s="90"/>
      <x:c r="AG76" s="82"/>
      <x:c r="AH76" s="82"/>
      <x:c r="AI76" s="87"/>
    </x:row>
    <x:row r="77">
      <x:c r="A77" s="72" t="str">
        <x:f>IF(OR(C77="",D77=""),"",B77&amp;"-"&amp;UPPER(C77)&amp;"-"&amp;TEXT(D77,"0000")&amp;"-"&amp;E77)</x:f>
      </x:c>
      <x:c r="B77" s="74" t="str">
        <x:v>M17</x:v>
      </x:c>
      <x:c r="C77" s="74"/>
      <x:c r="D77" s="79"/>
      <x:c r="E77" s="74" t="str">
        <x:v>V1.0</x:v>
      </x:c>
      <x:c r="F77" s="68"/>
      <x:c r="G77" s="82"/>
      <x:c r="H77" s="82"/>
      <x:c r="I77" s="82"/>
      <x:c r="J77" s="82"/>
      <x:c r="K77" s="68"/>
      <x:c r="L77" s="68"/>
      <x:c r="M77" s="68"/>
      <x:c r="N77" s="68"/>
      <x:c r="O77" s="68"/>
      <x:c r="P77" s="68"/>
      <x:c r="Q77" s="90"/>
      <x:c r="R77" s="68"/>
      <x:c r="S77" s="68"/>
      <x:c r="T77" s="68"/>
      <x:c r="U77" s="68"/>
      <x:c r="V77" s="84"/>
      <x:c r="W77" s="82"/>
      <x:c r="X77" s="82"/>
      <x:c r="Y77" s="68"/>
      <x:c r="Z77" s="84"/>
      <x:c r="AA77" s="84"/>
      <x:c r="AB77" s="82"/>
      <x:c r="AC77" s="82"/>
      <x:c r="AD77" s="68"/>
      <x:c r="AE77" s="68"/>
      <x:c r="AF77" s="90"/>
      <x:c r="AG77" s="82"/>
      <x:c r="AH77" s="82"/>
      <x:c r="AI77" s="87"/>
    </x:row>
    <x:row r="78">
      <x:c r="A78" s="72" t="str">
        <x:f>IF(OR(C78="",D78=""),"",B78&amp;"-"&amp;UPPER(C78)&amp;"-"&amp;TEXT(D78,"0000")&amp;"-"&amp;E78)</x:f>
      </x:c>
      <x:c r="B78" s="74" t="str">
        <x:v>M17</x:v>
      </x:c>
      <x:c r="C78" s="74"/>
      <x:c r="D78" s="79"/>
      <x:c r="E78" s="74" t="str">
        <x:v>V1.0</x:v>
      </x:c>
      <x:c r="F78" s="68"/>
      <x:c r="G78" s="82"/>
      <x:c r="H78" s="82"/>
      <x:c r="I78" s="82"/>
      <x:c r="J78" s="82"/>
      <x:c r="K78" s="68"/>
      <x:c r="L78" s="68"/>
      <x:c r="M78" s="68"/>
      <x:c r="N78" s="68"/>
      <x:c r="O78" s="68"/>
      <x:c r="P78" s="68"/>
      <x:c r="Q78" s="90"/>
      <x:c r="R78" s="68"/>
      <x:c r="S78" s="68"/>
      <x:c r="T78" s="68"/>
      <x:c r="U78" s="68"/>
      <x:c r="V78" s="84"/>
      <x:c r="W78" s="82"/>
      <x:c r="X78" s="82"/>
      <x:c r="Y78" s="68"/>
      <x:c r="Z78" s="84"/>
      <x:c r="AA78" s="84"/>
      <x:c r="AB78" s="82"/>
      <x:c r="AC78" s="82"/>
      <x:c r="AD78" s="68"/>
      <x:c r="AE78" s="68"/>
      <x:c r="AF78" s="90"/>
      <x:c r="AG78" s="82"/>
      <x:c r="AH78" s="82"/>
      <x:c r="AI78" s="87"/>
    </x:row>
    <x:row r="79">
      <x:c r="A79" s="72" t="str">
        <x:f>IF(OR(C79="",D79=""),"",B79&amp;"-"&amp;UPPER(C79)&amp;"-"&amp;TEXT(D79,"0000")&amp;"-"&amp;E79)</x:f>
      </x:c>
      <x:c r="B79" s="74" t="str">
        <x:v>M17</x:v>
      </x:c>
      <x:c r="C79" s="74"/>
      <x:c r="D79" s="79"/>
      <x:c r="E79" s="74" t="str">
        <x:v>V1.0</x:v>
      </x:c>
      <x:c r="F79" s="68"/>
      <x:c r="G79" s="82"/>
      <x:c r="H79" s="82"/>
      <x:c r="I79" s="82"/>
      <x:c r="J79" s="82"/>
      <x:c r="K79" s="68"/>
      <x:c r="L79" s="68"/>
      <x:c r="M79" s="68"/>
      <x:c r="N79" s="68"/>
      <x:c r="O79" s="68"/>
      <x:c r="P79" s="68"/>
      <x:c r="Q79" s="90"/>
      <x:c r="R79" s="68"/>
      <x:c r="S79" s="68"/>
      <x:c r="T79" s="68"/>
      <x:c r="U79" s="68"/>
      <x:c r="V79" s="84"/>
      <x:c r="W79" s="82"/>
      <x:c r="X79" s="82"/>
      <x:c r="Y79" s="68"/>
      <x:c r="Z79" s="84"/>
      <x:c r="AA79" s="84"/>
      <x:c r="AB79" s="82"/>
      <x:c r="AC79" s="82"/>
      <x:c r="AD79" s="68"/>
      <x:c r="AE79" s="68"/>
      <x:c r="AF79" s="90"/>
      <x:c r="AG79" s="82"/>
      <x:c r="AH79" s="82"/>
      <x:c r="AI79" s="87"/>
    </x:row>
    <x:row r="80">
      <x:c r="A80" s="72" t="str">
        <x:f>IF(OR(C80="",D80=""),"",B80&amp;"-"&amp;UPPER(C80)&amp;"-"&amp;TEXT(D80,"0000")&amp;"-"&amp;E80)</x:f>
      </x:c>
      <x:c r="B80" s="74" t="str">
        <x:v>M17</x:v>
      </x:c>
      <x:c r="C80" s="74"/>
      <x:c r="D80" s="79"/>
      <x:c r="E80" s="74" t="str">
        <x:v>V1.0</x:v>
      </x:c>
      <x:c r="F80" s="68"/>
      <x:c r="G80" s="82"/>
      <x:c r="H80" s="82"/>
      <x:c r="I80" s="82"/>
      <x:c r="J80" s="82"/>
      <x:c r="K80" s="68"/>
      <x:c r="L80" s="68"/>
      <x:c r="M80" s="68"/>
      <x:c r="N80" s="68"/>
      <x:c r="O80" s="68"/>
      <x:c r="P80" s="68"/>
      <x:c r="Q80" s="90"/>
      <x:c r="R80" s="68"/>
      <x:c r="S80" s="68"/>
      <x:c r="T80" s="68"/>
      <x:c r="U80" s="68"/>
      <x:c r="V80" s="84"/>
      <x:c r="W80" s="82"/>
      <x:c r="X80" s="82"/>
      <x:c r="Y80" s="68"/>
      <x:c r="Z80" s="84"/>
      <x:c r="AA80" s="84"/>
      <x:c r="AB80" s="82"/>
      <x:c r="AC80" s="82"/>
      <x:c r="AD80" s="68"/>
      <x:c r="AE80" s="68"/>
      <x:c r="AF80" s="90"/>
      <x:c r="AG80" s="82"/>
      <x:c r="AH80" s="82"/>
      <x:c r="AI80" s="87"/>
    </x:row>
    <x:row r="81">
      <x:c r="A81" s="72" t="str">
        <x:f>IF(OR(C81="",D81=""),"",B81&amp;"-"&amp;UPPER(C81)&amp;"-"&amp;TEXT(D81,"0000")&amp;"-"&amp;E81)</x:f>
      </x:c>
      <x:c r="B81" s="74" t="str">
        <x:v>M17</x:v>
      </x:c>
      <x:c r="C81" s="74"/>
      <x:c r="D81" s="79"/>
      <x:c r="E81" s="74" t="str">
        <x:v>V1.0</x:v>
      </x:c>
      <x:c r="F81" s="68"/>
      <x:c r="G81" s="82"/>
      <x:c r="H81" s="82"/>
      <x:c r="I81" s="82"/>
      <x:c r="J81" s="82"/>
      <x:c r="K81" s="68"/>
      <x:c r="L81" s="68"/>
      <x:c r="M81" s="68"/>
      <x:c r="N81" s="68"/>
      <x:c r="O81" s="68"/>
      <x:c r="P81" s="68"/>
      <x:c r="Q81" s="90"/>
      <x:c r="R81" s="68"/>
      <x:c r="S81" s="68"/>
      <x:c r="T81" s="68"/>
      <x:c r="U81" s="68"/>
      <x:c r="V81" s="84"/>
      <x:c r="W81" s="82"/>
      <x:c r="X81" s="82"/>
      <x:c r="Y81" s="68"/>
      <x:c r="Z81" s="84"/>
      <x:c r="AA81" s="84"/>
      <x:c r="AB81" s="82"/>
      <x:c r="AC81" s="82"/>
      <x:c r="AD81" s="68"/>
      <x:c r="AE81" s="68"/>
      <x:c r="AF81" s="90"/>
      <x:c r="AG81" s="82"/>
      <x:c r="AH81" s="82"/>
      <x:c r="AI81" s="87"/>
    </x:row>
    <x:row r="82">
      <x:c r="A82" s="72" t="str">
        <x:f>IF(OR(C82="",D82=""),"",B82&amp;"-"&amp;UPPER(C82)&amp;"-"&amp;TEXT(D82,"0000")&amp;"-"&amp;E82)</x:f>
      </x:c>
      <x:c r="B82" s="74" t="str">
        <x:v>M17</x:v>
      </x:c>
      <x:c r="C82" s="74"/>
      <x:c r="D82" s="79"/>
      <x:c r="E82" s="74" t="str">
        <x:v>V1.0</x:v>
      </x:c>
      <x:c r="F82" s="68"/>
      <x:c r="G82" s="82"/>
      <x:c r="H82" s="82"/>
      <x:c r="I82" s="82"/>
      <x:c r="J82" s="82"/>
      <x:c r="K82" s="68"/>
      <x:c r="L82" s="68"/>
      <x:c r="M82" s="68"/>
      <x:c r="N82" s="68"/>
      <x:c r="O82" s="68"/>
      <x:c r="P82" s="68"/>
      <x:c r="Q82" s="90"/>
      <x:c r="R82" s="68"/>
      <x:c r="S82" s="68"/>
      <x:c r="T82" s="68"/>
      <x:c r="U82" s="68"/>
      <x:c r="V82" s="84"/>
      <x:c r="W82" s="82"/>
      <x:c r="X82" s="82"/>
      <x:c r="Y82" s="68"/>
      <x:c r="Z82" s="84"/>
      <x:c r="AA82" s="84"/>
      <x:c r="AB82" s="82"/>
      <x:c r="AC82" s="82"/>
      <x:c r="AD82" s="68"/>
      <x:c r="AE82" s="68"/>
      <x:c r="AF82" s="90"/>
      <x:c r="AG82" s="82"/>
      <x:c r="AH82" s="82"/>
      <x:c r="AI82" s="87"/>
    </x:row>
    <x:row r="83">
      <x:c r="A83" s="72" t="str">
        <x:f>IF(OR(C83="",D83=""),"",B83&amp;"-"&amp;UPPER(C83)&amp;"-"&amp;TEXT(D83,"0000")&amp;"-"&amp;E83)</x:f>
      </x:c>
      <x:c r="B83" s="74" t="str">
        <x:v>M17</x:v>
      </x:c>
      <x:c r="C83" s="74"/>
      <x:c r="D83" s="79"/>
      <x:c r="E83" s="74" t="str">
        <x:v>V1.0</x:v>
      </x:c>
      <x:c r="F83" s="68"/>
      <x:c r="G83" s="82"/>
      <x:c r="H83" s="82"/>
      <x:c r="I83" s="82"/>
      <x:c r="J83" s="82"/>
      <x:c r="K83" s="68"/>
      <x:c r="L83" s="68"/>
      <x:c r="M83" s="68"/>
      <x:c r="N83" s="68"/>
      <x:c r="O83" s="68"/>
      <x:c r="P83" s="68"/>
      <x:c r="Q83" s="90"/>
      <x:c r="R83" s="68"/>
      <x:c r="S83" s="68"/>
      <x:c r="T83" s="68"/>
      <x:c r="U83" s="68"/>
      <x:c r="V83" s="84"/>
      <x:c r="W83" s="82"/>
      <x:c r="X83" s="82"/>
      <x:c r="Y83" s="68"/>
      <x:c r="Z83" s="84"/>
      <x:c r="AA83" s="84"/>
      <x:c r="AB83" s="82"/>
      <x:c r="AC83" s="82"/>
      <x:c r="AD83" s="68"/>
      <x:c r="AE83" s="68"/>
      <x:c r="AF83" s="90"/>
      <x:c r="AG83" s="82"/>
      <x:c r="AH83" s="82"/>
      <x:c r="AI83" s="87"/>
    </x:row>
    <x:row r="84">
      <x:c r="A84" s="72" t="str">
        <x:f>IF(OR(C84="",D84=""),"",B84&amp;"-"&amp;UPPER(C84)&amp;"-"&amp;TEXT(D84,"0000")&amp;"-"&amp;E84)</x:f>
      </x:c>
      <x:c r="B84" s="74" t="str">
        <x:v>M17</x:v>
      </x:c>
      <x:c r="C84" s="74"/>
      <x:c r="D84" s="79"/>
      <x:c r="E84" s="74" t="str">
        <x:v>V1.0</x:v>
      </x:c>
      <x:c r="F84" s="68"/>
      <x:c r="G84" s="82"/>
      <x:c r="H84" s="82"/>
      <x:c r="I84" s="82"/>
      <x:c r="J84" s="82"/>
      <x:c r="K84" s="68"/>
      <x:c r="L84" s="68"/>
      <x:c r="M84" s="68"/>
      <x:c r="N84" s="68"/>
      <x:c r="O84" s="68"/>
      <x:c r="P84" s="68"/>
      <x:c r="Q84" s="90"/>
      <x:c r="R84" s="68"/>
      <x:c r="S84" s="68"/>
      <x:c r="T84" s="68"/>
      <x:c r="U84" s="68"/>
      <x:c r="V84" s="84"/>
      <x:c r="W84" s="82"/>
      <x:c r="X84" s="82"/>
      <x:c r="Y84" s="68"/>
      <x:c r="Z84" s="84"/>
      <x:c r="AA84" s="84"/>
      <x:c r="AB84" s="82"/>
      <x:c r="AC84" s="82"/>
      <x:c r="AD84" s="68"/>
      <x:c r="AE84" s="68"/>
      <x:c r="AF84" s="90"/>
      <x:c r="AG84" s="82"/>
      <x:c r="AH84" s="82"/>
      <x:c r="AI84" s="87"/>
    </x:row>
    <x:row r="85">
      <x:c r="A85" s="72" t="str">
        <x:f>IF(OR(C85="",D85=""),"",B85&amp;"-"&amp;UPPER(C85)&amp;"-"&amp;TEXT(D85,"0000")&amp;"-"&amp;E85)</x:f>
      </x:c>
      <x:c r="B85" s="74" t="str">
        <x:v>M17</x:v>
      </x:c>
      <x:c r="C85" s="74"/>
      <x:c r="D85" s="79"/>
      <x:c r="E85" s="74" t="str">
        <x:v>V1.0</x:v>
      </x:c>
      <x:c r="F85" s="68"/>
      <x:c r="G85" s="82"/>
      <x:c r="H85" s="82"/>
      <x:c r="I85" s="82"/>
      <x:c r="J85" s="82"/>
      <x:c r="K85" s="68"/>
      <x:c r="L85" s="68"/>
      <x:c r="M85" s="68"/>
      <x:c r="N85" s="68"/>
      <x:c r="O85" s="68"/>
      <x:c r="P85" s="68"/>
      <x:c r="Q85" s="90"/>
      <x:c r="R85" s="68"/>
      <x:c r="S85" s="68"/>
      <x:c r="T85" s="68"/>
      <x:c r="U85" s="68"/>
      <x:c r="V85" s="84"/>
      <x:c r="W85" s="82"/>
      <x:c r="X85" s="82"/>
      <x:c r="Y85" s="68"/>
      <x:c r="Z85" s="84"/>
      <x:c r="AA85" s="84"/>
      <x:c r="AB85" s="82"/>
      <x:c r="AC85" s="82"/>
      <x:c r="AD85" s="68"/>
      <x:c r="AE85" s="68"/>
      <x:c r="AF85" s="90"/>
      <x:c r="AG85" s="82"/>
      <x:c r="AH85" s="82"/>
      <x:c r="AI85" s="87"/>
    </x:row>
    <x:row r="86">
      <x:c r="A86" s="72" t="str">
        <x:f>IF(OR(C86="",D86=""),"",B86&amp;"-"&amp;UPPER(C86)&amp;"-"&amp;TEXT(D86,"0000")&amp;"-"&amp;E86)</x:f>
      </x:c>
      <x:c r="B86" s="74" t="str">
        <x:v>M17</x:v>
      </x:c>
      <x:c r="C86" s="74"/>
      <x:c r="D86" s="79"/>
      <x:c r="E86" s="74" t="str">
        <x:v>V1.0</x:v>
      </x:c>
      <x:c r="F86" s="68"/>
      <x:c r="G86" s="82"/>
      <x:c r="H86" s="82"/>
      <x:c r="I86" s="82"/>
      <x:c r="J86" s="82"/>
      <x:c r="K86" s="68"/>
      <x:c r="L86" s="68"/>
      <x:c r="M86" s="68"/>
      <x:c r="N86" s="68"/>
      <x:c r="O86" s="68"/>
      <x:c r="P86" s="68"/>
      <x:c r="Q86" s="90"/>
      <x:c r="R86" s="68"/>
      <x:c r="S86" s="68"/>
      <x:c r="T86" s="68"/>
      <x:c r="U86" s="68"/>
      <x:c r="V86" s="84"/>
      <x:c r="W86" s="82"/>
      <x:c r="X86" s="82"/>
      <x:c r="Y86" s="68"/>
      <x:c r="Z86" s="84"/>
      <x:c r="AA86" s="84"/>
      <x:c r="AB86" s="82"/>
      <x:c r="AC86" s="82"/>
      <x:c r="AD86" s="68"/>
      <x:c r="AE86" s="68"/>
      <x:c r="AF86" s="90"/>
      <x:c r="AG86" s="82"/>
      <x:c r="AH86" s="82"/>
      <x:c r="AI86" s="87"/>
    </x:row>
    <x:row r="87">
      <x:c r="A87" s="72" t="str">
        <x:f>IF(OR(C87="",D87=""),"",B87&amp;"-"&amp;UPPER(C87)&amp;"-"&amp;TEXT(D87,"0000")&amp;"-"&amp;E87)</x:f>
      </x:c>
      <x:c r="B87" s="74" t="str">
        <x:v>M17</x:v>
      </x:c>
      <x:c r="C87" s="74"/>
      <x:c r="D87" s="79"/>
      <x:c r="E87" s="74" t="str">
        <x:v>V1.0</x:v>
      </x:c>
      <x:c r="F87" s="68"/>
      <x:c r="G87" s="82"/>
      <x:c r="H87" s="82"/>
      <x:c r="I87" s="82"/>
      <x:c r="J87" s="82"/>
      <x:c r="K87" s="68"/>
      <x:c r="L87" s="68"/>
      <x:c r="M87" s="68"/>
      <x:c r="N87" s="68"/>
      <x:c r="O87" s="68"/>
      <x:c r="P87" s="68"/>
      <x:c r="Q87" s="90"/>
      <x:c r="R87" s="68"/>
      <x:c r="S87" s="68"/>
      <x:c r="T87" s="68"/>
      <x:c r="U87" s="68"/>
      <x:c r="V87" s="84"/>
      <x:c r="W87" s="82"/>
      <x:c r="X87" s="82"/>
      <x:c r="Y87" s="68"/>
      <x:c r="Z87" s="84"/>
      <x:c r="AA87" s="84"/>
      <x:c r="AB87" s="82"/>
      <x:c r="AC87" s="82"/>
      <x:c r="AD87" s="68"/>
      <x:c r="AE87" s="68"/>
      <x:c r="AF87" s="90"/>
      <x:c r="AG87" s="82"/>
      <x:c r="AH87" s="82"/>
      <x:c r="AI87" s="87"/>
    </x:row>
    <x:row r="88">
      <x:c r="A88" s="72" t="str">
        <x:f>IF(OR(C88="",D88=""),"",B88&amp;"-"&amp;UPPER(C88)&amp;"-"&amp;TEXT(D88,"0000")&amp;"-"&amp;E88)</x:f>
      </x:c>
      <x:c r="B88" s="74" t="str">
        <x:v>M17</x:v>
      </x:c>
      <x:c r="C88" s="74"/>
      <x:c r="D88" s="79"/>
      <x:c r="E88" s="74" t="str">
        <x:v>V1.0</x:v>
      </x:c>
      <x:c r="F88" s="68"/>
      <x:c r="G88" s="82"/>
      <x:c r="H88" s="82"/>
      <x:c r="I88" s="82"/>
      <x:c r="J88" s="82"/>
      <x:c r="K88" s="68"/>
      <x:c r="L88" s="68"/>
      <x:c r="M88" s="68"/>
      <x:c r="N88" s="68"/>
      <x:c r="O88" s="68"/>
      <x:c r="P88" s="68"/>
      <x:c r="Q88" s="90"/>
      <x:c r="R88" s="68"/>
      <x:c r="S88" s="68"/>
      <x:c r="T88" s="68"/>
      <x:c r="U88" s="68"/>
      <x:c r="V88" s="84"/>
      <x:c r="W88" s="82"/>
      <x:c r="X88" s="82"/>
      <x:c r="Y88" s="68"/>
      <x:c r="Z88" s="84"/>
      <x:c r="AA88" s="84"/>
      <x:c r="AB88" s="82"/>
      <x:c r="AC88" s="82"/>
      <x:c r="AD88" s="68"/>
      <x:c r="AE88" s="68"/>
      <x:c r="AF88" s="90"/>
      <x:c r="AG88" s="82"/>
      <x:c r="AH88" s="82"/>
      <x:c r="AI88" s="87"/>
    </x:row>
    <x:row r="89">
      <x:c r="A89" s="72" t="str">
        <x:f>IF(OR(C89="",D89=""),"",B89&amp;"-"&amp;UPPER(C89)&amp;"-"&amp;TEXT(D89,"0000")&amp;"-"&amp;E89)</x:f>
      </x:c>
      <x:c r="B89" s="74" t="str">
        <x:v>M17</x:v>
      </x:c>
      <x:c r="C89" s="74"/>
      <x:c r="D89" s="79"/>
      <x:c r="E89" s="74" t="str">
        <x:v>V1.0</x:v>
      </x:c>
      <x:c r="F89" s="68"/>
      <x:c r="G89" s="82"/>
      <x:c r="H89" s="82"/>
      <x:c r="I89" s="82"/>
      <x:c r="J89" s="82"/>
      <x:c r="K89" s="68"/>
      <x:c r="L89" s="68"/>
      <x:c r="M89" s="68"/>
      <x:c r="N89" s="68"/>
      <x:c r="O89" s="68"/>
      <x:c r="P89" s="68"/>
      <x:c r="Q89" s="90"/>
      <x:c r="R89" s="68"/>
      <x:c r="S89" s="68"/>
      <x:c r="T89" s="68"/>
      <x:c r="U89" s="68"/>
      <x:c r="V89" s="84"/>
      <x:c r="W89" s="82"/>
      <x:c r="X89" s="82"/>
      <x:c r="Y89" s="68"/>
      <x:c r="Z89" s="84"/>
      <x:c r="AA89" s="84"/>
      <x:c r="AB89" s="82"/>
      <x:c r="AC89" s="82"/>
      <x:c r="AD89" s="68"/>
      <x:c r="AE89" s="68"/>
      <x:c r="AF89" s="90"/>
      <x:c r="AG89" s="82"/>
      <x:c r="AH89" s="82"/>
      <x:c r="AI89" s="87"/>
    </x:row>
    <x:row r="90">
      <x:c r="A90" s="72" t="str">
        <x:f>IF(OR(C90="",D90=""),"",B90&amp;"-"&amp;UPPER(C90)&amp;"-"&amp;TEXT(D90,"0000")&amp;"-"&amp;E90)</x:f>
      </x:c>
      <x:c r="B90" s="74" t="str">
        <x:v>M17</x:v>
      </x:c>
      <x:c r="C90" s="74"/>
      <x:c r="D90" s="79"/>
      <x:c r="E90" s="74" t="str">
        <x:v>V1.0</x:v>
      </x:c>
      <x:c r="F90" s="68"/>
      <x:c r="G90" s="82"/>
      <x:c r="H90" s="82"/>
      <x:c r="I90" s="82"/>
      <x:c r="J90" s="82"/>
      <x:c r="K90" s="68"/>
      <x:c r="L90" s="68"/>
      <x:c r="M90" s="68"/>
      <x:c r="N90" s="68"/>
      <x:c r="O90" s="68"/>
      <x:c r="P90" s="68"/>
      <x:c r="Q90" s="90"/>
      <x:c r="R90" s="68"/>
      <x:c r="S90" s="68"/>
      <x:c r="T90" s="68"/>
      <x:c r="U90" s="68"/>
      <x:c r="V90" s="84"/>
      <x:c r="W90" s="82"/>
      <x:c r="X90" s="82"/>
      <x:c r="Y90" s="68"/>
      <x:c r="Z90" s="84"/>
      <x:c r="AA90" s="84"/>
      <x:c r="AB90" s="82"/>
      <x:c r="AC90" s="82"/>
      <x:c r="AD90" s="68"/>
      <x:c r="AE90" s="68"/>
      <x:c r="AF90" s="90"/>
      <x:c r="AG90" s="82"/>
      <x:c r="AH90" s="82"/>
      <x:c r="AI90" s="87"/>
    </x:row>
    <x:row r="91">
      <x:c r="A91" s="72" t="str">
        <x:f>IF(OR(C91="",D91=""),"",B91&amp;"-"&amp;UPPER(C91)&amp;"-"&amp;TEXT(D91,"0000")&amp;"-"&amp;E91)</x:f>
      </x:c>
      <x:c r="B91" s="74" t="str">
        <x:v>M17</x:v>
      </x:c>
      <x:c r="C91" s="74"/>
      <x:c r="D91" s="79"/>
      <x:c r="E91" s="74" t="str">
        <x:v>V1.0</x:v>
      </x:c>
      <x:c r="F91" s="68"/>
      <x:c r="G91" s="82"/>
      <x:c r="H91" s="82"/>
      <x:c r="I91" s="82"/>
      <x:c r="J91" s="82"/>
      <x:c r="K91" s="68"/>
      <x:c r="L91" s="68"/>
      <x:c r="M91" s="68"/>
      <x:c r="N91" s="68"/>
      <x:c r="O91" s="68"/>
      <x:c r="P91" s="68"/>
      <x:c r="Q91" s="90"/>
      <x:c r="R91" s="68"/>
      <x:c r="S91" s="68"/>
      <x:c r="T91" s="68"/>
      <x:c r="U91" s="68"/>
      <x:c r="V91" s="84"/>
      <x:c r="W91" s="82"/>
      <x:c r="X91" s="82"/>
      <x:c r="Y91" s="68"/>
      <x:c r="Z91" s="84"/>
      <x:c r="AA91" s="84"/>
      <x:c r="AB91" s="82"/>
      <x:c r="AC91" s="82"/>
      <x:c r="AD91" s="68"/>
      <x:c r="AE91" s="68"/>
      <x:c r="AF91" s="90"/>
      <x:c r="AG91" s="82"/>
      <x:c r="AH91" s="82"/>
      <x:c r="AI91" s="87"/>
    </x:row>
    <x:row r="92">
      <x:c r="A92" s="72" t="str">
        <x:f>IF(OR(C92="",D92=""),"",B92&amp;"-"&amp;UPPER(C92)&amp;"-"&amp;TEXT(D92,"0000")&amp;"-"&amp;E92)</x:f>
      </x:c>
      <x:c r="B92" s="74" t="str">
        <x:v>M17</x:v>
      </x:c>
      <x:c r="C92" s="74"/>
      <x:c r="D92" s="79"/>
      <x:c r="E92" s="74" t="str">
        <x:v>V1.0</x:v>
      </x:c>
      <x:c r="F92" s="68"/>
      <x:c r="G92" s="82"/>
      <x:c r="H92" s="82"/>
      <x:c r="I92" s="82"/>
      <x:c r="J92" s="82"/>
      <x:c r="K92" s="68"/>
      <x:c r="L92" s="68"/>
      <x:c r="M92" s="68"/>
      <x:c r="N92" s="68"/>
      <x:c r="O92" s="68"/>
      <x:c r="P92" s="68"/>
      <x:c r="Q92" s="90"/>
      <x:c r="R92" s="68"/>
      <x:c r="S92" s="68"/>
      <x:c r="T92" s="68"/>
      <x:c r="U92" s="68"/>
      <x:c r="V92" s="84"/>
      <x:c r="W92" s="82"/>
      <x:c r="X92" s="82"/>
      <x:c r="Y92" s="68"/>
      <x:c r="Z92" s="84"/>
      <x:c r="AA92" s="84"/>
      <x:c r="AB92" s="82"/>
      <x:c r="AC92" s="82"/>
      <x:c r="AD92" s="68"/>
      <x:c r="AE92" s="68"/>
      <x:c r="AF92" s="90"/>
      <x:c r="AG92" s="82"/>
      <x:c r="AH92" s="82"/>
      <x:c r="AI92" s="87"/>
    </x:row>
    <x:row r="93">
      <x:c r="A93" s="72" t="str">
        <x:f>IF(OR(C93="",D93=""),"",B93&amp;"-"&amp;UPPER(C93)&amp;"-"&amp;TEXT(D93,"0000")&amp;"-"&amp;E93)</x:f>
      </x:c>
      <x:c r="B93" s="74" t="str">
        <x:v>M17</x:v>
      </x:c>
      <x:c r="C93" s="74"/>
      <x:c r="D93" s="79"/>
      <x:c r="E93" s="74" t="str">
        <x:v>V1.0</x:v>
      </x:c>
      <x:c r="F93" s="68"/>
      <x:c r="G93" s="82"/>
      <x:c r="H93" s="82"/>
      <x:c r="I93" s="82"/>
      <x:c r="J93" s="82"/>
      <x:c r="K93" s="68"/>
      <x:c r="L93" s="68"/>
      <x:c r="M93" s="68"/>
      <x:c r="N93" s="68"/>
      <x:c r="O93" s="68"/>
      <x:c r="P93" s="68"/>
      <x:c r="Q93" s="90"/>
      <x:c r="R93" s="68"/>
      <x:c r="S93" s="68"/>
      <x:c r="T93" s="68"/>
      <x:c r="U93" s="68"/>
      <x:c r="V93" s="84"/>
      <x:c r="W93" s="82"/>
      <x:c r="X93" s="82"/>
      <x:c r="Y93" s="68"/>
      <x:c r="Z93" s="84"/>
      <x:c r="AA93" s="84"/>
      <x:c r="AB93" s="82"/>
      <x:c r="AC93" s="82"/>
      <x:c r="AD93" s="68"/>
      <x:c r="AE93" s="68"/>
      <x:c r="AF93" s="90"/>
      <x:c r="AG93" s="82"/>
      <x:c r="AH93" s="82"/>
      <x:c r="AI93" s="87"/>
    </x:row>
    <x:row r="94">
      <x:c r="A94" s="72" t="str">
        <x:f>IF(OR(C94="",D94=""),"",B94&amp;"-"&amp;UPPER(C94)&amp;"-"&amp;TEXT(D94,"0000")&amp;"-"&amp;E94)</x:f>
      </x:c>
      <x:c r="B94" s="74" t="str">
        <x:v>M17</x:v>
      </x:c>
      <x:c r="C94" s="74"/>
      <x:c r="D94" s="79"/>
      <x:c r="E94" s="74" t="str">
        <x:v>V1.0</x:v>
      </x:c>
      <x:c r="F94" s="68"/>
      <x:c r="G94" s="82"/>
      <x:c r="H94" s="82"/>
      <x:c r="I94" s="82"/>
      <x:c r="J94" s="82"/>
      <x:c r="K94" s="68"/>
      <x:c r="L94" s="68"/>
      <x:c r="M94" s="68"/>
      <x:c r="N94" s="68"/>
      <x:c r="O94" s="68"/>
      <x:c r="P94" s="68"/>
      <x:c r="Q94" s="90"/>
      <x:c r="R94" s="68"/>
      <x:c r="S94" s="68"/>
      <x:c r="T94" s="68"/>
      <x:c r="U94" s="68"/>
      <x:c r="V94" s="84"/>
      <x:c r="W94" s="82"/>
      <x:c r="X94" s="82"/>
      <x:c r="Y94" s="68"/>
      <x:c r="Z94" s="84"/>
      <x:c r="AA94" s="84"/>
      <x:c r="AB94" s="82"/>
      <x:c r="AC94" s="82"/>
      <x:c r="AD94" s="68"/>
      <x:c r="AE94" s="68"/>
      <x:c r="AF94" s="90"/>
      <x:c r="AG94" s="82"/>
      <x:c r="AH94" s="82"/>
      <x:c r="AI94" s="87"/>
    </x:row>
    <x:row r="95">
      <x:c r="A95" s="72" t="str">
        <x:f>IF(OR(C95="",D95=""),"",B95&amp;"-"&amp;UPPER(C95)&amp;"-"&amp;TEXT(D95,"0000")&amp;"-"&amp;E95)</x:f>
      </x:c>
      <x:c r="B95" s="74" t="str">
        <x:v>M17</x:v>
      </x:c>
      <x:c r="C95" s="74"/>
      <x:c r="D95" s="79"/>
      <x:c r="E95" s="74" t="str">
        <x:v>V1.0</x:v>
      </x:c>
      <x:c r="F95" s="68"/>
      <x:c r="G95" s="82"/>
      <x:c r="H95" s="82"/>
      <x:c r="I95" s="82"/>
      <x:c r="J95" s="82"/>
      <x:c r="K95" s="68"/>
      <x:c r="L95" s="68"/>
      <x:c r="M95" s="68"/>
      <x:c r="N95" s="68"/>
      <x:c r="O95" s="68"/>
      <x:c r="P95" s="68"/>
      <x:c r="Q95" s="90"/>
      <x:c r="R95" s="68"/>
      <x:c r="S95" s="68"/>
      <x:c r="T95" s="68"/>
      <x:c r="U95" s="68"/>
      <x:c r="V95" s="84"/>
      <x:c r="W95" s="82"/>
      <x:c r="X95" s="82"/>
      <x:c r="Y95" s="68"/>
      <x:c r="Z95" s="84"/>
      <x:c r="AA95" s="84"/>
      <x:c r="AB95" s="82"/>
      <x:c r="AC95" s="82"/>
      <x:c r="AD95" s="68"/>
      <x:c r="AE95" s="68"/>
      <x:c r="AF95" s="90"/>
      <x:c r="AG95" s="82"/>
      <x:c r="AH95" s="82"/>
      <x:c r="AI95" s="87"/>
    </x:row>
    <x:row r="96">
      <x:c r="A96" s="72" t="str">
        <x:f>IF(OR(C96="",D96=""),"",B96&amp;"-"&amp;UPPER(C96)&amp;"-"&amp;TEXT(D96,"0000")&amp;"-"&amp;E96)</x:f>
      </x:c>
      <x:c r="B96" s="74" t="str">
        <x:v>M17</x:v>
      </x:c>
      <x:c r="C96" s="74"/>
      <x:c r="D96" s="79"/>
      <x:c r="E96" s="74" t="str">
        <x:v>V1.0</x:v>
      </x:c>
      <x:c r="F96" s="68"/>
      <x:c r="G96" s="82"/>
      <x:c r="H96" s="82"/>
      <x:c r="I96" s="82"/>
      <x:c r="J96" s="82"/>
      <x:c r="K96" s="68"/>
      <x:c r="L96" s="68"/>
      <x:c r="M96" s="68"/>
      <x:c r="N96" s="68"/>
      <x:c r="O96" s="68"/>
      <x:c r="P96" s="68"/>
      <x:c r="Q96" s="90"/>
      <x:c r="R96" s="68"/>
      <x:c r="S96" s="68"/>
      <x:c r="T96" s="68"/>
      <x:c r="U96" s="68"/>
      <x:c r="V96" s="84"/>
      <x:c r="W96" s="82"/>
      <x:c r="X96" s="82"/>
      <x:c r="Y96" s="68"/>
      <x:c r="Z96" s="84"/>
      <x:c r="AA96" s="84"/>
      <x:c r="AB96" s="82"/>
      <x:c r="AC96" s="82"/>
      <x:c r="AD96" s="68"/>
      <x:c r="AE96" s="68"/>
      <x:c r="AF96" s="90"/>
      <x:c r="AG96" s="82"/>
      <x:c r="AH96" s="82"/>
      <x:c r="AI96" s="87"/>
    </x:row>
    <x:row r="97">
      <x:c r="A97" s="72" t="str">
        <x:f>IF(OR(C97="",D97=""),"",B97&amp;"-"&amp;UPPER(C97)&amp;"-"&amp;TEXT(D97,"0000")&amp;"-"&amp;E97)</x:f>
      </x:c>
      <x:c r="B97" s="74" t="str">
        <x:v>M17</x:v>
      </x:c>
      <x:c r="C97" s="74"/>
      <x:c r="D97" s="79"/>
      <x:c r="E97" s="74" t="str">
        <x:v>V1.0</x:v>
      </x:c>
      <x:c r="F97" s="68"/>
      <x:c r="G97" s="82"/>
      <x:c r="H97" s="82"/>
      <x:c r="I97" s="82"/>
      <x:c r="J97" s="82"/>
      <x:c r="K97" s="68"/>
      <x:c r="L97" s="68"/>
      <x:c r="M97" s="68"/>
      <x:c r="N97" s="68"/>
      <x:c r="O97" s="68"/>
      <x:c r="P97" s="68"/>
      <x:c r="Q97" s="90"/>
      <x:c r="R97" s="68"/>
      <x:c r="S97" s="68"/>
      <x:c r="T97" s="68"/>
      <x:c r="U97" s="68"/>
      <x:c r="V97" s="84"/>
      <x:c r="W97" s="82"/>
      <x:c r="X97" s="82"/>
      <x:c r="Y97" s="68"/>
      <x:c r="Z97" s="84"/>
      <x:c r="AA97" s="84"/>
      <x:c r="AB97" s="82"/>
      <x:c r="AC97" s="82"/>
      <x:c r="AD97" s="68"/>
      <x:c r="AE97" s="68"/>
      <x:c r="AF97" s="90"/>
      <x:c r="AG97" s="82"/>
      <x:c r="AH97" s="82"/>
      <x:c r="AI97" s="87"/>
    </x:row>
    <x:row r="98">
      <x:c r="A98" s="72" t="str">
        <x:f>IF(OR(C98="",D98=""),"",B98&amp;"-"&amp;UPPER(C98)&amp;"-"&amp;TEXT(D98,"0000")&amp;"-"&amp;E98)</x:f>
      </x:c>
      <x:c r="B98" s="74" t="str">
        <x:v>M17</x:v>
      </x:c>
      <x:c r="C98" s="74"/>
      <x:c r="D98" s="79"/>
      <x:c r="E98" s="74" t="str">
        <x:v>V1.0</x:v>
      </x:c>
      <x:c r="F98" s="68"/>
      <x:c r="G98" s="82"/>
      <x:c r="H98" s="82"/>
      <x:c r="I98" s="82"/>
      <x:c r="J98" s="82"/>
      <x:c r="K98" s="68"/>
      <x:c r="L98" s="68"/>
      <x:c r="M98" s="68"/>
      <x:c r="N98" s="68"/>
      <x:c r="O98" s="68"/>
      <x:c r="P98" s="68"/>
      <x:c r="Q98" s="90"/>
      <x:c r="R98" s="68"/>
      <x:c r="S98" s="68"/>
      <x:c r="T98" s="68"/>
      <x:c r="U98" s="68"/>
      <x:c r="V98" s="84"/>
      <x:c r="W98" s="82"/>
      <x:c r="X98" s="82"/>
      <x:c r="Y98" s="68"/>
      <x:c r="Z98" s="84"/>
      <x:c r="AA98" s="84"/>
      <x:c r="AB98" s="82"/>
      <x:c r="AC98" s="82"/>
      <x:c r="AD98" s="68"/>
      <x:c r="AE98" s="68"/>
      <x:c r="AF98" s="90"/>
      <x:c r="AG98" s="82"/>
      <x:c r="AH98" s="82"/>
      <x:c r="AI98" s="87"/>
    </x:row>
    <x:row r="99">
      <x:c r="A99" s="72" t="str">
        <x:f>IF(OR(C99="",D99=""),"",B99&amp;"-"&amp;UPPER(C99)&amp;"-"&amp;TEXT(D99,"0000")&amp;"-"&amp;E99)</x:f>
      </x:c>
      <x:c r="B99" s="74" t="str">
        <x:v>M17</x:v>
      </x:c>
      <x:c r="C99" s="74"/>
      <x:c r="D99" s="79"/>
      <x:c r="E99" s="74" t="str">
        <x:v>V1.0</x:v>
      </x:c>
      <x:c r="F99" s="68"/>
      <x:c r="G99" s="82"/>
      <x:c r="H99" s="82"/>
      <x:c r="I99" s="82"/>
      <x:c r="J99" s="82"/>
      <x:c r="K99" s="68"/>
      <x:c r="L99" s="68"/>
      <x:c r="M99" s="68"/>
      <x:c r="N99" s="68"/>
      <x:c r="O99" s="68"/>
      <x:c r="P99" s="68"/>
      <x:c r="Q99" s="90"/>
      <x:c r="R99" s="68"/>
      <x:c r="S99" s="68"/>
      <x:c r="T99" s="68"/>
      <x:c r="U99" s="68"/>
      <x:c r="V99" s="84"/>
      <x:c r="W99" s="82"/>
      <x:c r="X99" s="82"/>
      <x:c r="Y99" s="68"/>
      <x:c r="Z99" s="84"/>
      <x:c r="AA99" s="84"/>
      <x:c r="AB99" s="82"/>
      <x:c r="AC99" s="82"/>
      <x:c r="AD99" s="68"/>
      <x:c r="AE99" s="68"/>
      <x:c r="AF99" s="90"/>
      <x:c r="AG99" s="82"/>
      <x:c r="AH99" s="82"/>
      <x:c r="AI99" s="87"/>
    </x:row>
    <x:row r="100">
      <x:c r="A100" s="72" t="str">
        <x:f>IF(OR(C100="",D100=""),"",B100&amp;"-"&amp;UPPER(C100)&amp;"-"&amp;TEXT(D100,"0000")&amp;"-"&amp;E100)</x:f>
      </x:c>
      <x:c r="B100" s="74" t="str">
        <x:v>M17</x:v>
      </x:c>
      <x:c r="C100" s="74"/>
      <x:c r="D100" s="79"/>
      <x:c r="E100" s="74" t="str">
        <x:v>V1.0</x:v>
      </x:c>
      <x:c r="F100" s="68"/>
      <x:c r="G100" s="82"/>
      <x:c r="H100" s="82"/>
      <x:c r="I100" s="82"/>
      <x:c r="J100" s="82"/>
      <x:c r="K100" s="68"/>
      <x:c r="L100" s="68"/>
      <x:c r="M100" s="68"/>
      <x:c r="N100" s="68"/>
      <x:c r="O100" s="68"/>
      <x:c r="P100" s="68"/>
      <x:c r="Q100" s="90"/>
      <x:c r="R100" s="68"/>
      <x:c r="S100" s="68"/>
      <x:c r="T100" s="68"/>
      <x:c r="U100" s="68"/>
      <x:c r="V100" s="84"/>
      <x:c r="W100" s="82"/>
      <x:c r="X100" s="82"/>
      <x:c r="Y100" s="68"/>
      <x:c r="Z100" s="84"/>
      <x:c r="AA100" s="84"/>
      <x:c r="AB100" s="82"/>
      <x:c r="AC100" s="82"/>
      <x:c r="AD100" s="68"/>
      <x:c r="AE100" s="68"/>
      <x:c r="AF100" s="90"/>
      <x:c r="AG100" s="82"/>
      <x:c r="AH100" s="82"/>
      <x:c r="AI100" s="87"/>
    </x:row>
    <x:row r="101">
      <x:c r="A101" s="72" t="str">
        <x:f>IF(OR(C101="",D101=""),"",B101&amp;"-"&amp;UPPER(C101)&amp;"-"&amp;TEXT(D101,"0000")&amp;"-"&amp;E101)</x:f>
      </x:c>
      <x:c r="B101" s="74" t="str">
        <x:v>M17</x:v>
      </x:c>
      <x:c r="C101" s="74"/>
      <x:c r="D101" s="79"/>
      <x:c r="E101" s="74" t="str">
        <x:v>V1.0</x:v>
      </x:c>
      <x:c r="F101" s="68"/>
      <x:c r="G101" s="82"/>
      <x:c r="H101" s="82"/>
      <x:c r="I101" s="82"/>
      <x:c r="J101" s="82"/>
      <x:c r="K101" s="68"/>
      <x:c r="L101" s="68"/>
      <x:c r="M101" s="68"/>
      <x:c r="N101" s="68"/>
      <x:c r="O101" s="68"/>
      <x:c r="P101" s="68"/>
      <x:c r="Q101" s="90"/>
      <x:c r="R101" s="68"/>
      <x:c r="S101" s="68"/>
      <x:c r="T101" s="68"/>
      <x:c r="U101" s="68"/>
      <x:c r="V101" s="84"/>
      <x:c r="W101" s="82"/>
      <x:c r="X101" s="82"/>
      <x:c r="Y101" s="68"/>
      <x:c r="Z101" s="84"/>
      <x:c r="AA101" s="84"/>
      <x:c r="AB101" s="82"/>
      <x:c r="AC101" s="82"/>
      <x:c r="AD101" s="68"/>
      <x:c r="AE101" s="68"/>
      <x:c r="AF101" s="90"/>
      <x:c r="AG101" s="82"/>
      <x:c r="AH101" s="82"/>
      <x:c r="AI101" s="87"/>
    </x:row>
    <x:row r="102">
      <x:c r="A102" s="72" t="str">
        <x:f>IF(OR(C102="",D102=""),"",B102&amp;"-"&amp;UPPER(C102)&amp;"-"&amp;TEXT(D102,"0000")&amp;"-"&amp;E102)</x:f>
      </x:c>
      <x:c r="B102" s="74" t="str">
        <x:v>M17</x:v>
      </x:c>
      <x:c r="C102" s="74"/>
      <x:c r="D102" s="79"/>
      <x:c r="E102" s="74" t="str">
        <x:v>V1.0</x:v>
      </x:c>
      <x:c r="F102" s="68"/>
      <x:c r="G102" s="82"/>
      <x:c r="H102" s="82"/>
      <x:c r="I102" s="82"/>
      <x:c r="J102" s="82"/>
      <x:c r="K102" s="68"/>
      <x:c r="L102" s="68"/>
      <x:c r="M102" s="68"/>
      <x:c r="N102" s="68"/>
      <x:c r="O102" s="68"/>
      <x:c r="P102" s="68"/>
      <x:c r="Q102" s="90"/>
      <x:c r="R102" s="68"/>
      <x:c r="S102" s="68"/>
      <x:c r="T102" s="68"/>
      <x:c r="U102" s="68"/>
      <x:c r="V102" s="84"/>
      <x:c r="W102" s="82"/>
      <x:c r="X102" s="82"/>
      <x:c r="Y102" s="68"/>
      <x:c r="Z102" s="84"/>
      <x:c r="AA102" s="84"/>
      <x:c r="AB102" s="82"/>
      <x:c r="AC102" s="82"/>
      <x:c r="AD102" s="68"/>
      <x:c r="AE102" s="68"/>
      <x:c r="AF102" s="90"/>
      <x:c r="AG102" s="82"/>
      <x:c r="AH102" s="82"/>
      <x:c r="AI102" s="87"/>
    </x:row>
    <x:row r="103">
      <x:c r="A103" s="72" t="str">
        <x:f>IF(OR(C103="",D103=""),"",B103&amp;"-"&amp;UPPER(C103)&amp;"-"&amp;TEXT(D103,"0000")&amp;"-"&amp;E103)</x:f>
      </x:c>
      <x:c r="B103" s="74" t="str">
        <x:v>M17</x:v>
      </x:c>
      <x:c r="C103" s="74"/>
      <x:c r="D103" s="79"/>
      <x:c r="E103" s="74" t="str">
        <x:v>V1.0</x:v>
      </x:c>
      <x:c r="F103" s="68"/>
      <x:c r="G103" s="82"/>
      <x:c r="H103" s="82"/>
      <x:c r="I103" s="82"/>
      <x:c r="J103" s="82"/>
      <x:c r="K103" s="68"/>
      <x:c r="L103" s="68"/>
      <x:c r="M103" s="68"/>
      <x:c r="N103" s="68"/>
      <x:c r="O103" s="68"/>
      <x:c r="P103" s="68"/>
      <x:c r="Q103" s="90"/>
      <x:c r="R103" s="68"/>
      <x:c r="S103" s="68"/>
      <x:c r="T103" s="68"/>
      <x:c r="U103" s="68"/>
      <x:c r="V103" s="84"/>
      <x:c r="W103" s="82"/>
      <x:c r="X103" s="82"/>
      <x:c r="Y103" s="68"/>
      <x:c r="Z103" s="84"/>
      <x:c r="AA103" s="84"/>
      <x:c r="AB103" s="82"/>
      <x:c r="AC103" s="82"/>
      <x:c r="AD103" s="68"/>
      <x:c r="AE103" s="68"/>
      <x:c r="AF103" s="90"/>
      <x:c r="AG103" s="82"/>
      <x:c r="AH103" s="82"/>
      <x:c r="AI103" s="87"/>
    </x:row>
    <x:row r="104">
      <x:c r="A104" s="72" t="str">
        <x:f>IF(OR(C104="",D104=""),"",B104&amp;"-"&amp;UPPER(C104)&amp;"-"&amp;TEXT(D104,"0000")&amp;"-"&amp;E104)</x:f>
      </x:c>
      <x:c r="B104" s="74" t="str">
        <x:v>M17</x:v>
      </x:c>
      <x:c r="C104" s="74"/>
      <x:c r="D104" s="79"/>
      <x:c r="E104" s="74" t="str">
        <x:v>V1.0</x:v>
      </x:c>
      <x:c r="F104" s="68"/>
      <x:c r="G104" s="82"/>
      <x:c r="H104" s="82"/>
      <x:c r="I104" s="82"/>
      <x:c r="J104" s="82"/>
      <x:c r="K104" s="68"/>
      <x:c r="L104" s="68"/>
      <x:c r="M104" s="68"/>
      <x:c r="N104" s="68"/>
      <x:c r="O104" s="68"/>
      <x:c r="P104" s="68"/>
      <x:c r="Q104" s="90"/>
      <x:c r="R104" s="68"/>
      <x:c r="S104" s="68"/>
      <x:c r="T104" s="68"/>
      <x:c r="U104" s="68"/>
      <x:c r="V104" s="84"/>
      <x:c r="W104" s="82"/>
      <x:c r="X104" s="82"/>
      <x:c r="Y104" s="68"/>
      <x:c r="Z104" s="84"/>
      <x:c r="AA104" s="84"/>
      <x:c r="AB104" s="82"/>
      <x:c r="AC104" s="82"/>
      <x:c r="AD104" s="68"/>
      <x:c r="AE104" s="68"/>
      <x:c r="AF104" s="90"/>
      <x:c r="AG104" s="82"/>
      <x:c r="AH104" s="82"/>
      <x:c r="AI104" s="87"/>
    </x:row>
    <x:row r="105">
      <x:c r="A105" s="72" t="str">
        <x:f>IF(OR(C105="",D105=""),"",B105&amp;"-"&amp;UPPER(C105)&amp;"-"&amp;TEXT(D105,"0000")&amp;"-"&amp;E105)</x:f>
      </x:c>
      <x:c r="B105" s="74" t="str">
        <x:v>M17</x:v>
      </x:c>
      <x:c r="C105" s="74"/>
      <x:c r="D105" s="79"/>
      <x:c r="E105" s="74" t="str">
        <x:v>V1.0</x:v>
      </x:c>
      <x:c r="F105" s="68"/>
      <x:c r="G105" s="82"/>
      <x:c r="H105" s="82"/>
      <x:c r="I105" s="82"/>
      <x:c r="J105" s="82"/>
      <x:c r="K105" s="68"/>
      <x:c r="L105" s="68"/>
      <x:c r="M105" s="68"/>
      <x:c r="N105" s="68"/>
      <x:c r="O105" s="68"/>
      <x:c r="P105" s="68"/>
      <x:c r="Q105" s="90"/>
      <x:c r="R105" s="68"/>
      <x:c r="S105" s="68"/>
      <x:c r="T105" s="68"/>
      <x:c r="U105" s="68"/>
      <x:c r="V105" s="84"/>
      <x:c r="W105" s="82"/>
      <x:c r="X105" s="82"/>
      <x:c r="Y105" s="68"/>
      <x:c r="Z105" s="84"/>
      <x:c r="AA105" s="84"/>
      <x:c r="AB105" s="82"/>
      <x:c r="AC105" s="82"/>
      <x:c r="AD105" s="68"/>
      <x:c r="AE105" s="68"/>
      <x:c r="AF105" s="90"/>
      <x:c r="AG105" s="82"/>
      <x:c r="AH105" s="82"/>
      <x:c r="AI105" s="87"/>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cdeec939aeb64462"/>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8">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1a33e5bd2ddc45a1"/>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8">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5751b99fdeac4d6d"/>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7">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1c67367ba91e4fc0"/>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7">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27c021bf76f746e6"/>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V0.7</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V0.8</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V0.9</x:v>
      </x:c>
    </x:row>
    <x:row r="13">
      <x:c r="B13" s="28" t="str">
        <x:v>版本记录</x:v>
      </x:c>
      <x:c r="G13" s="28" t="str">
        <x:v>拱合</x:v>
      </x:c>
      <x:c r="H13" s="28" t="str">
        <x:v>月时</x:v>
      </x:c>
      <x:c r="L13" s="28" t="str">
        <x:v>合化</x:v>
      </x:c>
      <x:c r="Y13" s="28" t="str">
        <x:v>正印</x:v>
      </x:c>
      <x:c r="AJ13" s="28" t="str">
        <x:v>燥湿</x:v>
      </x:c>
      <x:c r="AP13" s="28" t="str">
        <x:v>燥枯</x:v>
      </x:c>
      <x:c r="BG13" t="str">
        <x:v>V1.0</x:v>
      </x:c>
    </x:row>
    <x:row r="14">
      <x:c r="G14" s="28" t="str">
        <x:v>三会</x:v>
      </x:c>
      <x:c r="H14" s="28" t="str">
        <x:v>其他</x:v>
      </x:c>
      <x:c r="L14" s="28" t="str">
        <x:v>冲动</x:v>
      </x:c>
      <x:c r="AJ14" s="28" t="str">
        <x:v>清杂</x:v>
      </x:c>
      <x:c r="AP14" s="28" t="str">
        <x:v>链路过长</x:v>
      </x:c>
      <x:c r="BG14" t="str">
        <x:v>V1.1</x:v>
      </x:c>
    </x:row>
    <x:row r="15">
      <x:c r="G15" s="28" t="str">
        <x:v>六冲</x:v>
      </x:c>
      <x:c r="L15" s="28" t="str">
        <x:v>冲散</x:v>
      </x:c>
      <x:c r="AJ15" s="28" t="str">
        <x:v>护格</x:v>
      </x:c>
      <x:c r="AP15" s="28" t="str">
        <x:v>回流壅塞</x:v>
      </x:c>
    </x:row>
    <x:row r="16">
      <x:c r="G16" s="28" t="str">
        <x:v>三刑</x:v>
      </x:c>
      <x:c r="L16" s="28" t="str">
        <x:v>冲开</x:v>
      </x:c>
      <x:c r="AJ16" s="28" t="str">
        <x:v>救应</x:v>
      </x:c>
      <x:c r="AP16" s="28" t="str">
        <x:v>其他</x:v>
      </x:c>
    </x:row>
    <x:row r="17">
      <x:c r="G17" s="28" t="str">
        <x:v>自刑</x:v>
      </x:c>
      <x:c r="L17" s="28" t="str">
        <x:v>冲旺</x:v>
      </x:c>
      <x:c r="AJ17" s="28" t="str">
        <x:v>复合药理</x:v>
      </x:c>
    </x:row>
    <x:row r="18">
      <x:c r="G18" s="28" t="str">
        <x:v>六害</x:v>
      </x:c>
      <x:c r="L18" s="28" t="str">
        <x:v>冲弱</x:v>
      </x:c>
      <x:c r="AJ18" s="28" t="str">
        <x:v>待定</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