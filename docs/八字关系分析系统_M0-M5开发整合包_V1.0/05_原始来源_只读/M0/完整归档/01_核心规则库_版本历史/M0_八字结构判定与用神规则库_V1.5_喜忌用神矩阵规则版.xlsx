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7d84991fe448af" /></Relationships>
</file>

<file path=xl/workbook.xml><?xml version="1.0" encoding="utf-8"?>
<x:workbook xmlns:x="http://schemas.openxmlformats.org/spreadsheetml/2006/main">
  <x:sheets>
    <x:sheet xmlns:r="http://schemas.openxmlformats.org/officeDocument/2006/relationships" name="00_使用说明" sheetId="1" r:id="R5fcca3361ad74e2b"/>
    <x:sheet xmlns:r="http://schemas.openxmlformats.org/officeDocument/2006/relationships" name="01_术语与编码" sheetId="2" r:id="Rd9d27d65b34d4ecb"/>
    <x:sheet xmlns:r="http://schemas.openxmlformats.org/officeDocument/2006/relationships" name="02_干支藏干基础" sheetId="3" r:id="R03254bdf98244ea0"/>
    <x:sheet xmlns:r="http://schemas.openxmlformats.org/officeDocument/2006/relationships" name="03_月令与根气" sheetId="4" r:id="R321087cea752454b"/>
    <x:sheet xmlns:r="http://schemas.openxmlformats.org/officeDocument/2006/relationships" name="04_天干作用识别" sheetId="5" r:id="Rf3af106fdd2447d7"/>
    <x:sheet xmlns:r="http://schemas.openxmlformats.org/officeDocument/2006/relationships" name="05_地支关系识别" sheetId="6" r:id="R73a2f6bf9089478d"/>
    <x:sheet xmlns:r="http://schemas.openxmlformats.org/officeDocument/2006/relationships" name="06_干支关系效应" sheetId="7" r:id="R0f4ad8205c074f4e"/>
    <x:sheet xmlns:r="http://schemas.openxmlformats.org/officeDocument/2006/relationships" name="07_五行原始旺衰" sheetId="8" r:id="R3e6dedc4963e4b12"/>
    <x:sheet xmlns:r="http://schemas.openxmlformats.org/officeDocument/2006/relationships" name="08_五行有效旺衰" sheetId="9" r:id="R67225128ce3b40c9"/>
    <x:sheet xmlns:r="http://schemas.openxmlformats.org/officeDocument/2006/relationships" name="09_日主旺衰" sheetId="10" r:id="R55254df77a5f4cce"/>
    <x:sheet xmlns:r="http://schemas.openxmlformats.org/officeDocument/2006/relationships" name="10_十神旺衰功能" sheetId="11" r:id="Racdebbc792d646b3"/>
    <x:sheet xmlns:r="http://schemas.openxmlformats.org/officeDocument/2006/relationships" name="11_十神组合成立" sheetId="12" r:id="Rd4f178d21ab641ef"/>
    <x:sheet xmlns:r="http://schemas.openxmlformats.org/officeDocument/2006/relationships" name="12_五行流通卡点" sheetId="13" r:id="Ra7895d81b59c4cd1"/>
    <x:sheet xmlns:r="http://schemas.openxmlformats.org/officeDocument/2006/relationships" name="13_寒暖燥湿" sheetId="14" r:id="Re3ec676b4d084009"/>
    <x:sheet xmlns:r="http://schemas.openxmlformats.org/officeDocument/2006/relationships" name="14_格局候选判断" sheetId="15" r:id="R77176e9499e74e6e"/>
    <x:sheet xmlns:r="http://schemas.openxmlformats.org/officeDocument/2006/relationships" name="15_格局成败救应" sheetId="16" r:id="R7c3c05cd6cb34a92"/>
    <x:sheet xmlns:r="http://schemas.openxmlformats.org/officeDocument/2006/relationships" name="16_病药模型" sheetId="17" r:id="Rce438789115146de"/>
    <x:sheet xmlns:r="http://schemas.openxmlformats.org/officeDocument/2006/relationships" name="17_喜忌用神矩阵" sheetId="18" r:id="Rbb583f417da047cc"/>
    <x:sheet xmlns:r="http://schemas.openxmlformats.org/officeDocument/2006/relationships" name="18_冲突裁决规则" sheetId="19" r:id="R19e3108ea1e2407c"/>
    <x:sheet xmlns:r="http://schemas.openxmlformats.org/officeDocument/2006/relationships" name="19_综合输出模板" sheetId="20" r:id="R515339844f8c49f4"/>
    <x:sheet xmlns:r="http://schemas.openxmlformats.org/officeDocument/2006/relationships" name="20_案例测试" sheetId="21" r:id="Rbd445454a2a54350"/>
    <x:sheet xmlns:r="http://schemas.openxmlformats.org/officeDocument/2006/relationships" name="21_版本与争议规则" sheetId="22" r:id="R82dd441ee6864079"/>
    <x:sheet xmlns:r="http://schemas.openxmlformats.org/officeDocument/2006/relationships" name="99_下拉选项" sheetId="23" r:id="R50751c4146cf4e5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46d70dd5da4c24" /><Relationship Type="http://schemas.openxmlformats.org/officeDocument/2006/relationships/theme" Target="/xl/theme/theme1.xml" Id="Rfc1419b7e7aa467d" /><Relationship Type="http://schemas.openxmlformats.org/officeDocument/2006/relationships/sharedStrings" Target="/xl/sharedStrings.xml" Id="R81ad17ab0ab14e0c" /><Relationship Type="http://schemas.openxmlformats.org/officeDocument/2006/relationships/worksheet" Target="/xl/worksheets/sheet1.xml" Id="R5fcca3361ad74e2b" /><Relationship Type="http://schemas.openxmlformats.org/officeDocument/2006/relationships/worksheet" Target="/xl/worksheets/sheet2.xml" Id="Rd9d27d65b34d4ecb" /><Relationship Type="http://schemas.openxmlformats.org/officeDocument/2006/relationships/worksheet" Target="/xl/worksheets/sheet3.xml" Id="R03254bdf98244ea0" /><Relationship Type="http://schemas.openxmlformats.org/officeDocument/2006/relationships/worksheet" Target="/xl/worksheets/sheet4.xml" Id="R321087cea752454b" /><Relationship Type="http://schemas.openxmlformats.org/officeDocument/2006/relationships/worksheet" Target="/xl/worksheets/sheet5.xml" Id="Rf3af106fdd2447d7" /><Relationship Type="http://schemas.openxmlformats.org/officeDocument/2006/relationships/worksheet" Target="/xl/worksheets/sheet6.xml" Id="R73a2f6bf9089478d" /><Relationship Type="http://schemas.openxmlformats.org/officeDocument/2006/relationships/worksheet" Target="/xl/worksheets/sheet7.xml" Id="R0f4ad8205c074f4e" /><Relationship Type="http://schemas.openxmlformats.org/officeDocument/2006/relationships/worksheet" Target="/xl/worksheets/sheet8.xml" Id="R3e6dedc4963e4b12" /><Relationship Type="http://schemas.openxmlformats.org/officeDocument/2006/relationships/worksheet" Target="/xl/worksheets/sheet9.xml" Id="R67225128ce3b40c9" /><Relationship Type="http://schemas.openxmlformats.org/officeDocument/2006/relationships/worksheet" Target="/xl/worksheets/sheet10.xml" Id="R55254df77a5f4cce" /><Relationship Type="http://schemas.openxmlformats.org/officeDocument/2006/relationships/worksheet" Target="/xl/worksheets/sheet11.xml" Id="Racdebbc792d646b3" /><Relationship Type="http://schemas.openxmlformats.org/officeDocument/2006/relationships/worksheet" Target="/xl/worksheets/sheet12.xml" Id="Rd4f178d21ab641ef" /><Relationship Type="http://schemas.openxmlformats.org/officeDocument/2006/relationships/worksheet" Target="/xl/worksheets/sheet13.xml" Id="Ra7895d81b59c4cd1" /><Relationship Type="http://schemas.openxmlformats.org/officeDocument/2006/relationships/worksheet" Target="/xl/worksheets/sheet14.xml" Id="Re3ec676b4d084009" /><Relationship Type="http://schemas.openxmlformats.org/officeDocument/2006/relationships/worksheet" Target="/xl/worksheets/sheet15.xml" Id="R77176e9499e74e6e" /><Relationship Type="http://schemas.openxmlformats.org/officeDocument/2006/relationships/worksheet" Target="/xl/worksheets/sheet16.xml" Id="R7c3c05cd6cb34a92" /><Relationship Type="http://schemas.openxmlformats.org/officeDocument/2006/relationships/worksheet" Target="/xl/worksheets/sheet17.xml" Id="Rce438789115146de" /><Relationship Type="http://schemas.openxmlformats.org/officeDocument/2006/relationships/worksheet" Target="/xl/worksheets/sheet18.xml" Id="Rbb583f417da047cc" /><Relationship Type="http://schemas.openxmlformats.org/officeDocument/2006/relationships/worksheet" Target="/xl/worksheets/sheet19.xml" Id="R19e3108ea1e2407c" /><Relationship Type="http://schemas.openxmlformats.org/officeDocument/2006/relationships/worksheet" Target="/xl/worksheets/sheet20.xml" Id="R515339844f8c49f4" /><Relationship Type="http://schemas.openxmlformats.org/officeDocument/2006/relationships/worksheet" Target="/xl/worksheets/sheet21.xml" Id="Rbd445454a2a54350" /><Relationship Type="http://schemas.openxmlformats.org/officeDocument/2006/relationships/worksheet" Target="/xl/worksheets/sheet22.xml" Id="R82dd441ee6864079" /><Relationship Type="http://schemas.openxmlformats.org/officeDocument/2006/relationships/worksheet" Target="/xl/worksheets/sheet23.xml" Id="R50751c4146cf4e5f"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77"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9906c0d3654f2b" /><Relationship Type="http://schemas.openxmlformats.org/officeDocument/2006/relationships/table" Target="/xl/tables/table2.xml" Id="R73f90ccec92445ed" /><Relationship Type="http://schemas.openxmlformats.org/officeDocument/2006/relationships/table" Target="/xl/tables/table3.xml" Id="R011bc8fb25a34b8b" /></Relationships>
</file>

<file path=xl/worksheets/_rels/sheet2.xml.rels>&#65279;<?xml version="1.0" encoding="utf-8"?><Relationships xmlns="http://schemas.openxmlformats.org/package/2006/relationships"><Relationship Type="http://schemas.openxmlformats.org/officeDocument/2006/relationships/table" Target="/xl/tables/table4.xml" Id="R6c9c7f87656545b4" /><Relationship Type="http://schemas.openxmlformats.org/officeDocument/2006/relationships/table" Target="/xl/tables/table5.xml" Id="R7002576e033b4717" /><Relationship Type="http://schemas.openxmlformats.org/officeDocument/2006/relationships/table" Target="/xl/tables/table6.xml" Id="Rb8c98b96f67b44d2" /><Relationship Type="http://schemas.openxmlformats.org/officeDocument/2006/relationships/table" Target="/xl/tables/table7.xml" Id="R60973a196b0341d0" /></Relationships>
</file>

<file path=xl/worksheets/_rels/sheet3.xml.rels>&#65279;<?xml version="1.0" encoding="utf-8"?><Relationships xmlns="http://schemas.openxmlformats.org/package/2006/relationships"><Relationship Type="http://schemas.openxmlformats.org/officeDocument/2006/relationships/table" Target="/xl/tables/table8.xml" Id="R3c829a5f60564058" /></Relationships>
</file>

<file path=xl/worksheets/_rels/sheet4.xml.rels>&#65279;<?xml version="1.0" encoding="utf-8"?><Relationships xmlns="http://schemas.openxmlformats.org/package/2006/relationships"><Relationship Type="http://schemas.openxmlformats.org/officeDocument/2006/relationships/table" Target="/xl/tables/table9.xml" Id="R71f1569d53cc4fe8" /></Relationships>
</file>

<file path=xl/worksheets/_rels/sheet5.xml.rels>&#65279;<?xml version="1.0" encoding="utf-8"?><Relationships xmlns="http://schemas.openxmlformats.org/package/2006/relationships"><Relationship Type="http://schemas.openxmlformats.org/officeDocument/2006/relationships/table" Target="/xl/tables/table10.xml" Id="R1745cebbddbe4e19" /></Relationships>
</file>

<file path=xl/worksheets/_rels/sheet6.xml.rels>&#65279;<?xml version="1.0" encoding="utf-8"?><Relationships xmlns="http://schemas.openxmlformats.org/package/2006/relationships"><Relationship Type="http://schemas.openxmlformats.org/officeDocument/2006/relationships/table" Target="/xl/tables/table11.xml" Id="R80046de2218e46a4" /></Relationships>
</file>

<file path=xl/worksheets/_rels/sheet7.xml.rels>&#65279;<?xml version="1.0" encoding="utf-8"?><Relationships xmlns="http://schemas.openxmlformats.org/package/2006/relationships"><Relationship Type="http://schemas.openxmlformats.org/officeDocument/2006/relationships/table" Target="/xl/tables/table12.xml" Id="Re8f8410d055943cd" /></Relationships>
</file>

<file path=xl/worksheets/_rels/sheet8.xml.rels>&#65279;<?xml version="1.0" encoding="utf-8"?><Relationships xmlns="http://schemas.openxmlformats.org/package/2006/relationships"><Relationship Type="http://schemas.openxmlformats.org/officeDocument/2006/relationships/table" Target="/xl/tables/table13.xml" Id="Rdcfb566e2b054f1a" /></Relationships>
</file>

<file path=xl/worksheets/_rels/sheet9.xml.rels>&#65279;<?xml version="1.0" encoding="utf-8"?><Relationships xmlns="http://schemas.openxmlformats.org/package/2006/relationships"><Relationship Type="http://schemas.openxmlformats.org/officeDocument/2006/relationships/table" Target="/xl/tables/table14.xml" Id="Ref77d1fa4ad44751" /></Relationships>
</file>

<file path=xl/worksheets/_rels/sheet10.xml.rels>&#65279;<?xml version="1.0" encoding="utf-8"?><Relationships xmlns="http://schemas.openxmlformats.org/package/2006/relationships"><Relationship Type="http://schemas.openxmlformats.org/officeDocument/2006/relationships/table" Target="/xl/tables/table15.xml" Id="R72ce0e1151464f5e" /></Relationships>
</file>

<file path=xl/worksheets/_rels/sheet11.xml.rels>&#65279;<?xml version="1.0" encoding="utf-8"?><Relationships xmlns="http://schemas.openxmlformats.org/package/2006/relationships"><Relationship Type="http://schemas.openxmlformats.org/officeDocument/2006/relationships/table" Target="/xl/tables/table16.xml" Id="R3f2214a7153b45e5" /></Relationships>
</file>

<file path=xl/worksheets/_rels/sheet12.xml.rels>&#65279;<?xml version="1.0" encoding="utf-8"?><Relationships xmlns="http://schemas.openxmlformats.org/package/2006/relationships"><Relationship Type="http://schemas.openxmlformats.org/officeDocument/2006/relationships/table" Target="/xl/tables/table17.xml" Id="Rfe5f0a8d98e441c8" /></Relationships>
</file>

<file path=xl/worksheets/_rels/sheet13.xml.rels>&#65279;<?xml version="1.0" encoding="utf-8"?><Relationships xmlns="http://schemas.openxmlformats.org/package/2006/relationships"><Relationship Type="http://schemas.openxmlformats.org/officeDocument/2006/relationships/table" Target="/xl/tables/table18.xml" Id="Rc4900c7022cb4f35" /></Relationships>
</file>

<file path=xl/worksheets/_rels/sheet14.xml.rels>&#65279;<?xml version="1.0" encoding="utf-8"?><Relationships xmlns="http://schemas.openxmlformats.org/package/2006/relationships"><Relationship Type="http://schemas.openxmlformats.org/officeDocument/2006/relationships/table" Target="/xl/tables/table19.xml" Id="Rdab6cd7049f747c1" /></Relationships>
</file>

<file path=xl/worksheets/_rels/sheet15.xml.rels>&#65279;<?xml version="1.0" encoding="utf-8"?><Relationships xmlns="http://schemas.openxmlformats.org/package/2006/relationships"><Relationship Type="http://schemas.openxmlformats.org/officeDocument/2006/relationships/table" Target="/xl/tables/table20.xml" Id="R4000a6c064f84cc3" /></Relationships>
</file>

<file path=xl/worksheets/_rels/sheet16.xml.rels>&#65279;<?xml version="1.0" encoding="utf-8"?><Relationships xmlns="http://schemas.openxmlformats.org/package/2006/relationships"><Relationship Type="http://schemas.openxmlformats.org/officeDocument/2006/relationships/table" Target="/xl/tables/table21.xml" Id="R02df709ad9974d62" /></Relationships>
</file>

<file path=xl/worksheets/_rels/sheet17.xml.rels>&#65279;<?xml version="1.0" encoding="utf-8"?><Relationships xmlns="http://schemas.openxmlformats.org/package/2006/relationships"><Relationship Type="http://schemas.openxmlformats.org/officeDocument/2006/relationships/table" Target="/xl/tables/table22.xml" Id="R8588228213db4c82" /></Relationships>
</file>

<file path=xl/worksheets/_rels/sheet18.xml.rels>&#65279;<?xml version="1.0" encoding="utf-8"?><Relationships xmlns="http://schemas.openxmlformats.org/package/2006/relationships"><Relationship Type="http://schemas.openxmlformats.org/officeDocument/2006/relationships/table" Target="/xl/tables/table23.xml" Id="Rc22e9d323f0e4fca" /></Relationships>
</file>

<file path=xl/worksheets/_rels/sheet19.xml.rels>&#65279;<?xml version="1.0" encoding="utf-8"?><Relationships xmlns="http://schemas.openxmlformats.org/package/2006/relationships"><Relationship Type="http://schemas.openxmlformats.org/officeDocument/2006/relationships/table" Target="/xl/tables/table24.xml" Id="R25a17a9f828b423c" /></Relationships>
</file>

<file path=xl/worksheets/_rels/sheet20.xml.rels>&#65279;<?xml version="1.0" encoding="utf-8"?><Relationships xmlns="http://schemas.openxmlformats.org/package/2006/relationships"><Relationship Type="http://schemas.openxmlformats.org/officeDocument/2006/relationships/table" Target="/xl/tables/table25.xml" Id="R01f1a4bc4e5c4ce2" /></Relationships>
</file>

<file path=xl/worksheets/_rels/sheet21.xml.rels>&#65279;<?xml version="1.0" encoding="utf-8"?><Relationships xmlns="http://schemas.openxmlformats.org/package/2006/relationships"><Relationship Type="http://schemas.openxmlformats.org/officeDocument/2006/relationships/table" Target="/xl/tables/table26.xml" Id="Rfa13d382f31e42e5" /></Relationships>
</file>

<file path=xl/worksheets/_rels/sheet22.xml.rels>&#65279;<?xml version="1.0" encoding="utf-8"?><Relationships xmlns="http://schemas.openxmlformats.org/package/2006/relationships"><Relationship Type="http://schemas.openxmlformats.org/officeDocument/2006/relationships/table" Target="/xl/tables/table27.xml" Id="R1098e40c657f4ca8"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1.5喜忌用神矩阵规则版，已完成M02—M17核心规则；M17新增100条扶抑、格局、通关、调候、病药五维矩阵及木火土金水综合定位规则。下一步进入M18冲突裁决。</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1420</x:v>
      </x:c>
      <x:c r="F6" s="130"/>
      <x:c r="G6" s="130" t="n">
        <x:f>SUM($J$18:$J$37)</x:f>
        <x:v>1745</x:v>
      </x:c>
      <x:c r="H6" s="130"/>
      <x:c r="I6" s="138" t="n">
        <x:f>E6/G6</x:f>
        <x:v>0.8137535816618912</x:v>
      </x:c>
      <x:c r="J6" s="138"/>
      <x:c r="K6" s="130" t="n">
        <x:v>572</x:v>
      </x:c>
      <x:c r="L6" s="130"/>
      <x:c r="M6" s="144" t="str">
        <x:v>V1.5</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v>100</x:v>
      </x:c>
      <x:c r="L33" s="160" t="n">
        <x:v>1</x:v>
      </x:c>
      <x:c r="M33" s="112" t="str">
        <x:v>核心规则填充</x:v>
      </x:c>
      <x:c r="N33" s="112" t="str">
        <x:v>已录入100条：通用10、扶抑12、格局12、通关10、调候10、病药10、五行综合20、定位等级8、边界8。</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189906c0d3654f2b"/>
    <x:tablePart xmlns:r="http://schemas.openxmlformats.org/officeDocument/2006/relationships" r:id="R73f90ccec92445ed"/>
    <x:tablePart xmlns:r="http://schemas.openxmlformats.org/officeDocument/2006/relationships" r:id="R011bc8fb25a34b8b"/>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本表统一全库的枚举术语、编码、Rule_ID结构和版本治理。V1.5新增M17九个规则子类码与版本号；任何模块新增下拉值、规则类型或状态时，必须先在此登记，再写入模块表。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row r="568">
      <x:c r="A568" t="str">
        <x:v>版本号</x:v>
      </x:c>
      <x:c r="B568" t="str">
        <x:v>VER19</x:v>
      </x:c>
      <x:c r="C568" t="str">
        <x:v>V1.5</x:v>
      </x:c>
      <x:c r="D568" t="str">
        <x:v>版本号的标准选项：V1.5。完成M17喜忌用神矩阵核心规则。</x:v>
      </x:c>
      <x:c r="E568" t="str">
        <x:v>版本号</x:v>
      </x:c>
      <x:c r="F568" t="n">
        <x:v>15</x:v>
      </x:c>
      <x:c r="G568" t="str">
        <x:v>是</x:v>
      </x:c>
      <x:c r="H568" t="str">
        <x:v>喜忌用神矩阵规则版</x:v>
      </x:c>
    </x:row>
    <x:row r="569">
      <x:c r="A569" t="str">
        <x:v>规则子类</x:v>
      </x:c>
      <x:c r="B569" t="str">
        <x:v>M17-GEN</x:v>
      </x:c>
      <x:c r="C569" t="str">
        <x:v>M17｜用神矩阵通用规则</x:v>
      </x:c>
      <x:c r="D569" t="str">
        <x:v>M17中用于五维矩阵、单维候选、多维同向、特殊格局硬约束、伤格降级、中性、待定及非机械计分。</x:v>
      </x:c>
      <x:c r="E569" t="str">
        <x:v>子类代码</x:v>
      </x:c>
      <x:c r="F569" t="n">
        <x:v>147</x:v>
      </x:c>
      <x:c r="G569" t="str">
        <x:v>是</x:v>
      </x:c>
      <x:c r="H569" t="str">
        <x:v>首次用于V1.5</x:v>
      </x:c>
    </x:row>
    <x:row r="570">
      <x:c r="A570" t="str">
        <x:v>规则子类</x:v>
      </x:c>
      <x:c r="B570" t="str">
        <x:v>M17-FUYI</x:v>
      </x:c>
      <x:c r="C570" t="str">
        <x:v>M17｜扶抑用神</x:v>
      </x:c>
      <x:c r="D570" t="str">
        <x:v>M17中用于印比扶身、食伤泄秀、财星耗身、官杀制衡、身弱负荷端及中和降权。</x:v>
      </x:c>
      <x:c r="E570" t="str">
        <x:v>子类代码</x:v>
      </x:c>
      <x:c r="F570" t="n">
        <x:v>148</x:v>
      </x:c>
      <x:c r="G570" t="str">
        <x:v>是</x:v>
      </x:c>
      <x:c r="H570" t="str">
        <x:v>首次用于V1.5</x:v>
      </x:c>
    </x:row>
    <x:row r="571">
      <x:c r="A571" t="str">
        <x:v>规则子类</x:v>
      </x:c>
      <x:c r="B571" t="str">
        <x:v>M17-GEJU</x:v>
      </x:c>
      <x:c r="C571" t="str">
        <x:v>M17｜格局用神</x:v>
      </x:c>
      <x:c r="D571" t="str">
        <x:v>M17中用于正官、七杀、印、财、食伤、建禄羊刃、从格、化气、专旺和救格方向。</x:v>
      </x:c>
      <x:c r="E571" t="str">
        <x:v>子类代码</x:v>
      </x:c>
      <x:c r="F571" t="n">
        <x:v>149</x:v>
      </x:c>
      <x:c r="G571" t="str">
        <x:v>是</x:v>
      </x:c>
      <x:c r="H571" t="str">
        <x:v>首次用于V1.5</x:v>
      </x:c>
    </x:row>
    <x:row r="572">
      <x:c r="A572" t="str">
        <x:v>规则子类</x:v>
      </x:c>
      <x:c r="B572" t="str">
        <x:v>M17-TONGGUAN</x:v>
      </x:c>
      <x:c r="C572" t="str">
        <x:v>M17｜通关用神</x:v>
      </x:c>
      <x:c r="D572" t="str">
        <x:v>M17中用于五组克战通关、通关升级、药力不足、伤格、恶化调候及非两强不通关。</x:v>
      </x:c>
      <x:c r="E572" t="str">
        <x:v>子类代码</x:v>
      </x:c>
      <x:c r="F572" t="n">
        <x:v>150</x:v>
      </x:c>
      <x:c r="G572" t="str">
        <x:v>是</x:v>
      </x:c>
      <x:c r="H572" t="str">
        <x:v>首次用于V1.5</x:v>
      </x:c>
    </x:row>
    <x:row r="573">
      <x:c r="A573" t="str">
        <x:v>规则子类</x:v>
      </x:c>
      <x:c r="B573" t="str">
        <x:v>M17-TIAOHOU</x:v>
      </x:c>
      <x:c r="C573" t="str">
        <x:v>M17｜调候用神</x:v>
      </x:c>
      <x:c r="D573" t="str">
        <x:v>M17中用于火暖寒湿、水降热润燥、木疏湿助火、金生水、土承湿、寒燥主辅及调候平衡退出。</x:v>
      </x:c>
      <x:c r="E573" t="str">
        <x:v>子类代码</x:v>
      </x:c>
      <x:c r="F573" t="n">
        <x:v>151</x:v>
      </x:c>
      <x:c r="G573" t="str">
        <x:v>是</x:v>
      </x:c>
      <x:c r="H573" t="str">
        <x:v>首次用于V1.5</x:v>
      </x:c>
    </x:row>
    <x:row r="574">
      <x:c r="A574" t="str">
        <x:v>规则子类</x:v>
      </x:c>
      <x:c r="B574" t="str">
        <x:v>M17-BINGYAO</x:v>
      </x:c>
      <x:c r="C574" t="str">
        <x:v>M17｜病药用神</x:v>
      </x:c>
      <x:c r="D574" t="str">
        <x:v>M17中用于根本病主药、辅助药、药神有效性、一药多效、次病药、药量边界、药伤格及相反药候选。</x:v>
      </x:c>
      <x:c r="E574" t="str">
        <x:v>子类代码</x:v>
      </x:c>
      <x:c r="F574" t="n">
        <x:v>152</x:v>
      </x:c>
      <x:c r="G574" t="str">
        <x:v>是</x:v>
      </x:c>
      <x:c r="H574" t="str">
        <x:v>首次用于V1.5</x:v>
      </x:c>
    </x:row>
    <x:row r="575">
      <x:c r="A575" t="str">
        <x:v>规则子类</x:v>
      </x:c>
      <x:c r="B575" t="str">
        <x:v>M17-WUXING</x:v>
      </x:c>
      <x:c r="C575" t="str">
        <x:v>M17｜五行综合画像</x:v>
      </x:c>
      <x:c r="D575" t="str">
        <x:v>M17中用于木火土金水各自的正向机制、通关角色、过旺转忌和弱而非关键不自动为喜。</x:v>
      </x:c>
      <x:c r="E575" t="str">
        <x:v>子类代码</x:v>
      </x:c>
      <x:c r="F575" t="n">
        <x:v>153</x:v>
      </x:c>
      <x:c r="G575" t="str">
        <x:v>是</x:v>
      </x:c>
      <x:c r="H575" t="str">
        <x:v>首次用于V1.5</x:v>
      </x:c>
    </x:row>
    <x:row r="576">
      <x:c r="A576" t="str">
        <x:v>规则子类</x:v>
      </x:c>
      <x:c r="B576" t="str">
        <x:v>M17-RANK</x:v>
      </x:c>
      <x:c r="C576" t="str">
        <x:v>M17｜喜忌定位等级</x:v>
      </x:c>
      <x:c r="D576" t="str">
        <x:v>M17中用于主用、辅助、喜神、条件性喜神、中性、条件性忌神、忌神和仇神的统一定义。</x:v>
      </x:c>
      <x:c r="E576" t="str">
        <x:v>子类代码</x:v>
      </x:c>
      <x:c r="F576" t="n">
        <x:v>154</x:v>
      </x:c>
      <x:c r="G576" t="str">
        <x:v>是</x:v>
      </x:c>
      <x:c r="H576" t="str">
        <x:v>首次用于V1.5</x:v>
      </x:c>
    </x:row>
    <x:row r="577">
      <x:c r="A577" t="str">
        <x:v>规则子类</x:v>
      </x:c>
      <x:c r="B577" t="str">
        <x:v>M17-BOUND</x:v>
      </x:c>
      <x:c r="C577" t="str">
        <x:v>M17｜用神判断边界</x:v>
      </x:c>
      <x:c r="D577" t="str">
        <x:v>M17中用于旺衰/缺失与喜忌分离、五行十神映射、一行多效、应用边界、静动态、事件隔离及标准输出。</x:v>
      </x:c>
      <x:c r="E577" t="str">
        <x:v>子类代码</x:v>
      </x:c>
      <x:c r="F577" t="n">
        <x:v>155</x:v>
      </x:c>
      <x:c r="G577" t="str">
        <x:v>是</x:v>
      </x:c>
      <x:c r="H577" t="str">
        <x:v>首次用于V1.5</x:v>
      </x:c>
    </x:row>
  </x:sheetData>
  <x:mergeCells>
    <x:mergeCell ref="A1:Q1"/>
    <x:mergeCell ref="A2:Q2"/>
    <x:mergeCell ref="A3:Q3"/>
  </x:mergeCells>
  <x:pageMargins left="0.7" right="0.7" top="0.75" bottom="0.75" header="0.3" footer="0.3"/>
  <x:tableParts count="4">
    <x:tablePart xmlns:r="http://schemas.openxmlformats.org/officeDocument/2006/relationships" r:id="R6c9c7f87656545b4"/>
    <x:tablePart xmlns:r="http://schemas.openxmlformats.org/officeDocument/2006/relationships" r:id="R7002576e033b4717"/>
    <x:tablePart xmlns:r="http://schemas.openxmlformats.org/officeDocument/2006/relationships" r:id="Rb8c98b96f67b44d2"/>
    <x:tablePart xmlns:r="http://schemas.openxmlformats.org/officeDocument/2006/relationships" r:id="R60973a196b0341d0"/>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3c829a5f60564058"/>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71f1569d53cc4fe8"/>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1745cebbddbe4e19"/>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80046de2218e46a4"/>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'99_下拉选项'!$BG$4:$BG$18</x:formula1>
    </x:dataValidation>
  </x:dataValidations>
  <x:pageMargins left="0.7" right="0.7" top="0.75" bottom="0.75" header="0.3" footer="0.3"/>
  <x:tableParts count="1">
    <x:tablePart xmlns:r="http://schemas.openxmlformats.org/officeDocument/2006/relationships" r:id="Re8f8410d055943cd"/>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dcfb566e2b054f1a"/>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'99_下拉选项'!$BG$4:$BG$18</x:formula1>
    </x:dataValidation>
  </x:dataValidations>
  <x:pageMargins left="0.7" right="0.7" top="0.75" bottom="0.75" header="0.3" footer="0.3"/>
  <x:tableParts count="1">
    <x:tablePart xmlns:r="http://schemas.openxmlformats.org/officeDocument/2006/relationships" r:id="Ref77d1fa4ad44751"/>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72ce0e1151464f5e"/>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'99_下拉选项'!$BG$4:$BG$18</x:formula1>
    </x:dataValidation>
  </x:dataValidations>
  <x:pageMargins left="0.7" right="0.7" top="0.75" bottom="0.75" header="0.3" footer="0.3"/>
  <x:tableParts count="1">
    <x:tablePart xmlns:r="http://schemas.openxmlformats.org/officeDocument/2006/relationships" r:id="R3f2214a7153b45e5"/>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'99_下拉选项'!$BG$4:$BG$18</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fe5f0a8d98e441c8"/>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'99_下拉选项'!$BG$4:$BG$18</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c4900c7022cb4f35"/>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'99_下拉选项'!$BG$4:$BG$18</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dab6cd7049f747c1"/>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'99_下拉选项'!$BG$4:$BG$18</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4000a6c064f84cc3"/>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'99_下拉选项'!$BG$4:$BG$18</x:formula1>
    </x:dataValidation>
  </x:dataValidations>
  <x:pageMargins left="0.7" right="0.7" top="0.75" bottom="0.75" header="0.3" footer="0.3"/>
  <x:tableParts count="1">
    <x:tablePart xmlns:r="http://schemas.openxmlformats.org/officeDocument/2006/relationships" r:id="R02df709ad9974d62"/>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'99_下拉选项'!$BG$4:$BG$18</x:formula1>
    </x:dataValidation>
  </x:dataValidations>
  <x:pageMargins left="0.7" right="0.7" top="0.75" bottom="0.75" header="0.3" footer="0.3"/>
  <x:tableParts count="1">
    <x:tablePart xmlns:r="http://schemas.openxmlformats.org/officeDocument/2006/relationships" r:id="R8588228213db4c82"/>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v>M17-GEN-0001-V1.0</x:v>
      </x:c>
      <x:c r="B7" s="74" t="str">
        <x:v>M17</x:v>
      </x:c>
      <x:c r="C7" s="74" t="str">
        <x:v>GEN</x:v>
      </x:c>
      <x:c r="D7" s="215" t="n">
        <x:v>1</x:v>
      </x:c>
      <x:c r="E7" s="74" t="str">
        <x:v>V1.0</x:v>
      </x:c>
      <x:c r="F7" s="68" t="str">
        <x:v>所有候选五行必须进入五维矩阵</x:v>
      </x:c>
      <x:c r="G7" s="82" t="str">
        <x:v>综合层</x:v>
      </x:c>
      <x:c r="H7" s="82"/>
      <x:c r="I7" s="82"/>
      <x:c r="J7" s="82" t="str">
        <x:v>复合来源</x:v>
      </x:c>
      <x:c r="K7" s="68" t="str">
        <x:v>读取M09扶抑需求</x:v>
      </x:c>
      <x:c r="L7" s="68" t="str">
        <x:v>读取M15格局成败与护格需求</x:v>
      </x:c>
      <x:c r="M7" s="68" t="str">
        <x:v>读取M12主路径与卡点</x:v>
      </x:c>
      <x:c r="N7" s="68" t="str">
        <x:v>读取M13双轴调候需求</x:v>
      </x:c>
      <x:c r="O7" s="68" t="str">
        <x:v>读取M16主病与药神</x:v>
      </x:c>
      <x:c r="P7" s="68" t="str">
        <x:v>避免单维度越级定用神</x:v>
      </x:c>
      <x:c r="Q7" s="90" t="str">
        <x:v>若证据不足则保持待定</x:v>
      </x:c>
      <x:c r="R7" s="68" t="str">
        <x:v>完成M09、M12、M13、M15、M16的基础结论</x:v>
      </x:c>
      <x:c r="S7" s="68" t="str">
        <x:v>任一关键前置模块尚未完成</x:v>
      </x:c>
      <x:c r="T7" s="68" t="str">
        <x:v>五维证据可能方向不一致</x:v>
      </x:c>
      <x:c r="U7" s="68" t="str">
        <x:v>M18-待建立</x:v>
      </x:c>
      <x:c r="V7" s="84" t="str">
        <x:v>待定</x:v>
      </x:c>
      <x:c r="W7" s="82" t="str">
        <x:v>待定</x:v>
      </x:c>
      <x:c r="X7" s="82" t="str">
        <x:v>待定</x:v>
      </x:c>
      <x:c r="Y7" s="68" t="str">
        <x:v>必须逐维填写收益、冲突与副作用</x:v>
      </x:c>
      <x:c r="Z7" s="84" t="str">
        <x:v>五维矩阵前置</x:v>
      </x:c>
      <x:c r="AA7" s="84" t="str">
        <x:v>该候选五行综合定位为“待定”，优先级为“待定”。主要收益：避免单维度越级定用神；主要副作用：若证据不足则保持待定；必须逐维填写收益、冲突与副作用。</x:v>
      </x:c>
      <x:c r="AB7" s="82" t="str">
        <x:v>较高</x:v>
      </x:c>
      <x:c r="AC7" s="82" t="str">
        <x:v>现代综合</x:v>
      </x:c>
      <x:c r="AD7" s="68" t="str">
        <x:v>喜忌用神必须同时读取扶抑、格局、通关、调候和病药五个维度。单一维度有利不足以自动成为主用；最终定位取决于是否解决根本问题、是否触犯格局硬约束、药力是否可达以及副作用是否可控。</x:v>
      </x:c>
      <x:c r="AE7" s="68" t="str">
        <x:v>满足“完成M09、M12、M13、M15、M16的基础结论”，且主要收益大于副作用时，可按“所有候选五行必须进入五维矩阵”定位。</x:v>
      </x:c>
      <x:c r="AF7" s="90" t="str">
        <x:v>若“任一关键前置模块尚未完成”成立，则不得按“所有候选五行必须进入五维矩阵”无条件定位。</x:v>
      </x:c>
      <x:c r="AG7" s="82" t="str">
        <x:v>采用</x:v>
      </x:c>
      <x:c r="AH7" s="82" t="str">
        <x:v>初审</x:v>
      </x:c>
      <x:c r="AI7" s="87" t="n">
        <x:v>46260</x:v>
      </x:c>
    </x:row>
    <x:row r="8">
      <x:c r="A8" s="72" t="str">
        <x:f>IF(OR(C8="",D8=""),"",B8&amp;"-"&amp;UPPER(C8)&amp;"-"&amp;TEXT(D8,"0000")&amp;"-"&amp;E8)</x:f>
        <x:v>M17-GEN-0002-V1.0</x:v>
      </x:c>
      <x:c r="B8" s="74" t="str">
        <x:v>M17</x:v>
      </x:c>
      <x:c r="C8" s="74" t="str">
        <x:v>GEN</x:v>
      </x:c>
      <x:c r="D8" s="215" t="n">
        <x:v>2</x:v>
      </x:c>
      <x:c r="E8" s="74" t="str">
        <x:v>V1.0</x:v>
      </x:c>
      <x:c r="F8" s="68" t="str">
        <x:v>单一维度有利只能生成候选</x:v>
      </x:c>
      <x:c r="G8" s="82" t="str">
        <x:v>综合层</x:v>
      </x:c>
      <x:c r="H8" s="82"/>
      <x:c r="I8" s="82"/>
      <x:c r="J8" s="82" t="str">
        <x:v>复合来源</x:v>
      </x:c>
      <x:c r="K8" s="68" t="str">
        <x:v>可能有利</x:v>
      </x:c>
      <x:c r="L8" s="68" t="str">
        <x:v>待核查</x:v>
      </x:c>
      <x:c r="M8" s="68" t="str">
        <x:v>待核查</x:v>
      </x:c>
      <x:c r="N8" s="68" t="str">
        <x:v>待核查</x:v>
      </x:c>
      <x:c r="O8" s="68" t="str">
        <x:v>待核查</x:v>
      </x:c>
      <x:c r="P8" s="68" t="str">
        <x:v>保留该维度的正向价值</x:v>
      </x:c>
      <x:c r="Q8" s="90" t="str">
        <x:v>其他维度可能否定或降级</x:v>
      </x:c>
      <x:c r="R8" s="68" t="str">
        <x:v>只有一个维度明确支持该五行</x:v>
      </x:c>
      <x:c r="S8" s="68" t="str">
        <x:v>该五行已触犯格局硬约束或制造更大根本病</x:v>
      </x:c>
      <x:c r="T8" s="68" t="str">
        <x:v>单维收益与其他维度未知</x:v>
      </x:c>
      <x:c r="U8" s="68" t="str">
        <x:v>M18-待建立</x:v>
      </x:c>
      <x:c r="V8" s="84" t="str">
        <x:v>条件性喜神</x:v>
      </x:c>
      <x:c r="W8" s="82" t="str">
        <x:v>条件顺位</x:v>
      </x:c>
      <x:c r="X8" s="82" t="str">
        <x:v>是</x:v>
      </x:c>
      <x:c r="Y8" s="68" t="str">
        <x:v>其他四维无重大反对时方可采用</x:v>
      </x:c>
      <x:c r="Z8" s="84" t="str">
        <x:v>单维有利不升主用</x:v>
      </x:c>
      <x:c r="AA8" s="84" t="str">
        <x:v>该候选五行综合定位为“条件性喜神”，优先级为“条件顺位”。主要收益：保留该维度的正向价值；主要副作用：其他维度可能否定或降级；仅在其他四维无重大反对时方可采用时成立。</x:v>
      </x:c>
      <x:c r="AB8" s="82" t="str">
        <x:v>较高</x:v>
      </x:c>
      <x:c r="AC8" s="82" t="str">
        <x:v>现代综合</x:v>
      </x:c>
      <x:c r="AD8" s="68" t="str">
        <x:v>喜忌用神必须同时读取扶抑、格局、通关、调候和病药五个维度。单一维度有利不足以自动成为主用；最终定位取决于是否解决根本问题、是否触犯格局硬约束、药力是否可达以及副作用是否可控。</x:v>
      </x:c>
      <x:c r="AE8" s="68" t="str">
        <x:v>满足“只有一个维度明确支持该五行”，且主要收益大于副作用时，可按“单一维度有利只能生成候选”定位。</x:v>
      </x:c>
      <x:c r="AF8" s="90" t="str">
        <x:v>若“该五行已触犯格局硬约束或制造更大根本病”成立，则不得按“单一维度有利只能生成候选”无条件定位。</x:v>
      </x:c>
      <x:c r="AG8" s="82" t="str">
        <x:v>采用</x:v>
      </x:c>
      <x:c r="AH8" s="82" t="str">
        <x:v>初审</x:v>
      </x:c>
      <x:c r="AI8" s="87" t="n">
        <x:v>46260</x:v>
      </x:c>
    </x:row>
    <x:row r="9">
      <x:c r="A9" s="72" t="str">
        <x:f>IF(OR(C9="",D9=""),"",B9&amp;"-"&amp;UPPER(C9)&amp;"-"&amp;TEXT(D9,"0000")&amp;"-"&amp;E9)</x:f>
        <x:v>M17-GEN-0003-V1.0</x:v>
      </x:c>
      <x:c r="B9" s="74" t="str">
        <x:v>M17</x:v>
      </x:c>
      <x:c r="C9" s="74" t="str">
        <x:v>GEN</x:v>
      </x:c>
      <x:c r="D9" s="215" t="n">
        <x:v>3</x:v>
      </x:c>
      <x:c r="E9" s="74" t="str">
        <x:v>V1.0</x:v>
      </x:c>
      <x:c r="F9" s="68" t="str">
        <x:v>两个以上关键维度同向可提高定位</x:v>
      </x:c>
      <x:c r="G9" s="82" t="str">
        <x:v>综合层</x:v>
      </x:c>
      <x:c r="H9" s="82"/>
      <x:c r="I9" s="82"/>
      <x:c r="J9" s="82" t="str">
        <x:v>复合来源</x:v>
      </x:c>
      <x:c r="K9" s="68" t="str">
        <x:v>至少一个维度正向</x:v>
      </x:c>
      <x:c r="L9" s="68" t="str">
        <x:v>至少一个维度正向</x:v>
      </x:c>
      <x:c r="M9" s="68" t="str">
        <x:v>可能正向</x:v>
      </x:c>
      <x:c r="N9" s="68" t="str">
        <x:v>可能正向</x:v>
      </x:c>
      <x:c r="O9" s="68" t="str">
        <x:v>可能正向</x:v>
      </x:c>
      <x:c r="P9" s="68" t="str">
        <x:v>一神多效，减少多药冲突</x:v>
      </x:c>
      <x:c r="Q9" s="90" t="str">
        <x:v>仍需检查是否触犯硬约束</x:v>
      </x:c>
      <x:c r="R9" s="68" t="str">
        <x:v>至少两个相互独立的关键维度明确支持同一五行</x:v>
      </x:c>
      <x:c r="S9" s="68" t="str">
        <x:v>支持证据来自同一事实重复计数</x:v>
      </x:c>
      <x:c r="T9" s="68" t="str">
        <x:v>同源证据去重</x:v>
      </x:c>
      <x:c r="U9" s="68" t="str">
        <x:v>M18-待建立</x:v>
      </x:c>
      <x:c r="V9" s="84" t="str">
        <x:v>喜神</x:v>
      </x:c>
      <x:c r="W9" s="82" t="str">
        <x:v>第三顺位</x:v>
      </x:c>
      <x:c r="X9" s="82" t="str">
        <x:v>条件性</x:v>
      </x:c>
      <x:c r="Y9" s="68" t="str">
        <x:v>独立证据成立且无严重副作用</x:v>
      </x:c>
      <x:c r="Z9" s="84" t="str">
        <x:v>多维同向升级</x:v>
      </x:c>
      <x:c r="AA9" s="84" t="str">
        <x:v>该候选五行综合定位为“喜神”，优先级为“第三顺位”。主要收益：一神多效，减少多药冲突；主要副作用：仍需检查是否触犯硬约束；仅在独立证据成立且无严重副作用时成立。</x:v>
      </x:c>
      <x:c r="AB9" s="82" t="str">
        <x:v>较高</x:v>
      </x:c>
      <x:c r="AC9" s="82" t="str">
        <x:v>现代综合</x:v>
      </x:c>
      <x:c r="AD9" s="68" t="str">
        <x:v>喜忌用神必须同时读取扶抑、格局、通关、调候和病药五个维度。单一维度有利不足以自动成为主用；最终定位取决于是否解决根本问题、是否触犯格局硬约束、药力是否可达以及副作用是否可控。</x:v>
      </x:c>
      <x:c r="AE9" s="68" t="str">
        <x:v>满足“至少两个相互独立的关键维度明确支持同一五行”，且主要收益大于副作用时，可按“两个以上关键维度同向可提高定位”定位。</x:v>
      </x:c>
      <x:c r="AF9" s="90" t="str">
        <x:v>若“支持证据来自同一事实重复计数”成立，则不得按“两个以上关键维度同向可提高定位”无条件定位。</x:v>
      </x:c>
      <x:c r="AG9" s="82" t="str">
        <x:v>采用</x:v>
      </x:c>
      <x:c r="AH9" s="82" t="str">
        <x:v>初审</x:v>
      </x:c>
      <x:c r="AI9" s="87" t="n">
        <x:v>46260</x:v>
      </x:c>
    </x:row>
    <x:row r="10">
      <x:c r="A10" s="72" t="str">
        <x:f>IF(OR(C10="",D10=""),"",B10&amp;"-"&amp;UPPER(C10)&amp;"-"&amp;TEXT(D10,"0000")&amp;"-"&amp;E10)</x:f>
        <x:v>M17-GEN-0004-V1.0</x:v>
      </x:c>
      <x:c r="B10" s="74" t="str">
        <x:v>M17</x:v>
      </x:c>
      <x:c r="C10" s="74" t="str">
        <x:v>GEN</x:v>
      </x:c>
      <x:c r="D10" s="215" t="n">
        <x:v>4</x:v>
      </x:c>
      <x:c r="E10" s="74" t="str">
        <x:v>V1.0</x:v>
      </x:c>
      <x:c r="F10" s="68" t="str">
        <x:v>根本病药与格局需求同向时可列主用候选</x:v>
      </x:c>
      <x:c r="G10" s="82" t="str">
        <x:v>综合层</x:v>
      </x:c>
      <x:c r="H10" s="82"/>
      <x:c r="I10" s="82"/>
      <x:c r="J10" s="82" t="str">
        <x:v>复合来源</x:v>
      </x:c>
      <x:c r="K10" s="68" t="str">
        <x:v>按日主状态复核</x:v>
      </x:c>
      <x:c r="L10" s="68" t="str">
        <x:v>保护或修复核心格局</x:v>
      </x:c>
      <x:c r="M10" s="68" t="str">
        <x:v>可同时改善主路径</x:v>
      </x:c>
      <x:c r="N10" s="68" t="str">
        <x:v>无重大反向</x:v>
      </x:c>
      <x:c r="O10" s="68" t="str">
        <x:v>直接治疗根本主病</x:v>
      </x:c>
      <x:c r="P10" s="68" t="str">
        <x:v>同时治根本病并维护格局</x:v>
      </x:c>
      <x:c r="Q10" s="90" t="str">
        <x:v>需控制药力过量</x:v>
      </x:c>
      <x:c r="R10" s="68" t="str">
        <x:v>M16主药与M15格局用神方向一致</x:v>
      </x:c>
      <x:c r="S10" s="68" t="str">
        <x:v>药神无效、伤害日主承载或造成严重调候问题</x:v>
      </x:c>
      <x:c r="T10" s="68" t="str">
        <x:v>病药与扶抑/调候潜在冲突</x:v>
      </x:c>
      <x:c r="U10" s="68" t="str">
        <x:v>M18-待建立</x:v>
      </x:c>
      <x:c r="V10" s="84" t="str">
        <x:v>主用神</x:v>
      </x:c>
      <x:c r="W10" s="82" t="str">
        <x:v>第一顺位</x:v>
      </x:c>
      <x:c r="X10" s="82" t="str">
        <x:v>条件性</x:v>
      </x:c>
      <x:c r="Y10" s="68" t="str">
        <x:v>药力可达且其他维度无硬否决</x:v>
      </x:c>
      <x:c r="Z10" s="84" t="str">
        <x:v>病格同向主用候选</x:v>
      </x:c>
      <x:c r="AA10" s="84" t="str">
        <x:v>该候选五行综合定位为“主用神”，优先级为“第一顺位”。主要收益：同时治根本病并维护格局；主要副作用：需控制药力过量；仅在药力可达且其他维度无硬否决时成立。</x:v>
      </x:c>
      <x:c r="AB10" s="82" t="str">
        <x:v>较高</x:v>
      </x:c>
      <x:c r="AC10" s="82" t="str">
        <x:v>现代综合</x:v>
      </x:c>
      <x:c r="AD10" s="68" t="str">
        <x:v>喜忌用神必须同时读取扶抑、格局、通关、调候和病药五个维度。单一维度有利不足以自动成为主用；最终定位取决于是否解决根本问题、是否触犯格局硬约束、药力是否可达以及副作用是否可控。</x:v>
      </x:c>
      <x:c r="AE10" s="68" t="str">
        <x:v>满足“M16主药与M15格局用神方向一致”，且主要收益大于副作用时，可按“根本病药与格局需求同向时可列主用候选”定位。</x:v>
      </x:c>
      <x:c r="AF10" s="90" t="str">
        <x:v>若“药神无效、伤害日主承载或造成严重调候问题”成立，则不得按“根本病药与格局需求同向时可列主用候选”无条件定位。</x:v>
      </x:c>
      <x:c r="AG10" s="82" t="str">
        <x:v>采用</x:v>
      </x:c>
      <x:c r="AH10" s="82" t="str">
        <x:v>初审</x:v>
      </x:c>
      <x:c r="AI10" s="87" t="n">
        <x:v>46260</x:v>
      </x:c>
    </x:row>
    <x:row r="11">
      <x:c r="A11" s="72" t="str">
        <x:f>IF(OR(C11="",D11=""),"",B11&amp;"-"&amp;UPPER(C11)&amp;"-"&amp;TEXT(D11,"0000")&amp;"-"&amp;E11)</x:f>
        <x:v>M17-GEN-0005-V1.0</x:v>
      </x:c>
      <x:c r="B11" s="74" t="str">
        <x:v>M17</x:v>
      </x:c>
      <x:c r="C11" s="74" t="str">
        <x:v>GEN</x:v>
      </x:c>
      <x:c r="D11" s="215" t="n">
        <x:v>5</x:v>
      </x:c>
      <x:c r="E11" s="74" t="str">
        <x:v>V1.0</x:v>
      </x:c>
      <x:c r="F11" s="68" t="str">
        <x:v>特殊格局严格成立时维护主势属于硬约束</x:v>
      </x:c>
      <x:c r="G11" s="82" t="str">
        <x:v>综合层</x:v>
      </x:c>
      <x:c r="H11" s="82"/>
      <x:c r="I11" s="82"/>
      <x:c r="J11" s="82" t="str">
        <x:v>格局用神</x:v>
      </x:c>
      <x:c r="K11" s="68" t="str">
        <x:v>普通扶抑结论让位于顺势</x:v>
      </x:c>
      <x:c r="L11" s="68" t="str">
        <x:v>维护从格、化气或专旺</x:v>
      </x:c>
      <x:c r="M11" s="68" t="str">
        <x:v>仅采用不破主势的流通方案</x:v>
      </x:c>
      <x:c r="N11" s="68" t="str">
        <x:v>调候须条件化</x:v>
      </x:c>
      <x:c r="O11" s="68" t="str">
        <x:v>病药不得逆格</x:v>
      </x:c>
      <x:c r="P11" s="68" t="str">
        <x:v>保护特殊格局成立条件</x:v>
      </x:c>
      <x:c r="Q11" s="90" t="str">
        <x:v>可能无法完全解决普通旺衰或调候偏差</x:v>
      </x:c>
      <x:c r="R11" s="68" t="str">
        <x:v>M15判特殊格局严格成立</x:v>
      </x:c>
      <x:c r="S11" s="68" t="str">
        <x:v>特殊格局被M15否决或仅为假从、假化</x:v>
      </x:c>
      <x:c r="T11" s="68" t="str">
        <x:v>特殊格局与普通扶抑/调候冲突</x:v>
      </x:c>
      <x:c r="U11" s="68" t="str">
        <x:v>M18-待建立</x:v>
      </x:c>
      <x:c r="V11" s="84" t="str">
        <x:v>主用神</x:v>
      </x:c>
      <x:c r="W11" s="82" t="str">
        <x:v>第一顺位</x:v>
      </x:c>
      <x:c r="X11" s="82" t="str">
        <x:v>否</x:v>
      </x:c>
      <x:c r="Y11" s="68" t="str">
        <x:v>仅限严格成立的特殊格局</x:v>
      </x:c>
      <x:c r="Z11" s="84" t="str">
        <x:v>特殊格局硬约束</x:v>
      </x:c>
      <x:c r="AA11" s="84" t="str">
        <x:v>该候选五行综合定位为“主用神”，优先级为“第一顺位”。主要收益：保护特殊格局成立条件；主要副作用：可能无法完全解决普通旺衰或调候偏差；仅限严格成立的特殊格局。</x:v>
      </x:c>
      <x:c r="AB11" s="82" t="str">
        <x:v>较高</x:v>
      </x:c>
      <x:c r="AC11" s="82" t="str">
        <x:v>现代综合</x:v>
      </x:c>
      <x:c r="AD11" s="68" t="str">
        <x:v>喜忌用神必须同时读取扶抑、格局、通关、调候和病药五个维度。单一维度有利不足以自动成为主用；最终定位取决于是否解决根本问题、是否触犯格局硬约束、药力是否可达以及副作用是否可控。</x:v>
      </x:c>
      <x:c r="AE11" s="68" t="str">
        <x:v>满足“M15判特殊格局严格成立”，且主要收益大于副作用时，可按“特殊格局严格成立时维护主势属于硬约束”定位。</x:v>
      </x:c>
      <x:c r="AF11" s="90" t="str">
        <x:v>若“特殊格局被M15否决或仅为假从、假化”成立，则不得按“特殊格局严格成立时维护主势属于硬约束”无条件定位。</x:v>
      </x:c>
      <x:c r="AG11" s="82" t="str">
        <x:v>采用</x:v>
      </x:c>
      <x:c r="AH11" s="82" t="str">
        <x:v>初审</x:v>
      </x:c>
      <x:c r="AI11" s="87" t="n">
        <x:v>46260</x:v>
      </x:c>
    </x:row>
    <x:row r="12">
      <x:c r="A12" s="72" t="str">
        <x:f>IF(OR(C12="",D12=""),"",B12&amp;"-"&amp;UPPER(C12)&amp;"-"&amp;TEXT(D12,"0000")&amp;"-"&amp;E12)</x:f>
        <x:v>M17-GEN-0006-V1.0</x:v>
      </x:c>
      <x:c r="B12" s="74" t="str">
        <x:v>M17</x:v>
      </x:c>
      <x:c r="C12" s="74" t="str">
        <x:v>GEN</x:v>
      </x:c>
      <x:c r="D12" s="215" t="n">
        <x:v>6</x:v>
      </x:c>
      <x:c r="E12" s="74" t="str">
        <x:v>V1.0</x:v>
      </x:c>
      <x:c r="F12" s="68" t="str">
        <x:v>有利但伤害核心格局时必须降级</x:v>
      </x:c>
      <x:c r="G12" s="82" t="str">
        <x:v>综合层</x:v>
      </x:c>
      <x:c r="H12" s="82"/>
      <x:c r="I12" s="82"/>
      <x:c r="J12" s="82" t="str">
        <x:v>复合来源</x:v>
      </x:c>
      <x:c r="K12" s="68" t="str">
        <x:v>可能正向</x:v>
      </x:c>
      <x:c r="L12" s="68" t="str">
        <x:v>直接损伤格神或破坏特殊格局</x:v>
      </x:c>
      <x:c r="M12" s="68" t="str">
        <x:v>可能正向</x:v>
      </x:c>
      <x:c r="N12" s="68" t="str">
        <x:v>可能正向</x:v>
      </x:c>
      <x:c r="O12" s="68" t="str">
        <x:v>可能治次病</x:v>
      </x:c>
      <x:c r="P12" s="68" t="str">
        <x:v>解决局部旺衰、流通或调候问题</x:v>
      </x:c>
      <x:c r="Q12" s="90" t="str">
        <x:v>制造更高优先级格局病</x:v>
      </x:c>
      <x:c r="R12" s="68" t="str">
        <x:v>该五行有局部收益但格局损伤可被严格限制</x:v>
      </x:c>
      <x:c r="S12" s="68" t="str">
        <x:v>格局损伤不可逆或属于根本破格</x:v>
      </x:c>
      <x:c r="T12" s="68" t="str">
        <x:v>局部收益与格局硬约束冲突</x:v>
      </x:c>
      <x:c r="U12" s="68" t="str">
        <x:v>M18-待建立</x:v>
      </x:c>
      <x:c r="V12" s="84" t="str">
        <x:v>条件性喜神</x:v>
      </x:c>
      <x:c r="W12" s="82" t="str">
        <x:v>条件顺位</x:v>
      </x:c>
      <x:c r="X12" s="82" t="str">
        <x:v>是</x:v>
      </x:c>
      <x:c r="Y12" s="68" t="str">
        <x:v>仅在不破格或存在替代保护机制时采用</x:v>
      </x:c>
      <x:c r="Z12" s="84" t="str">
        <x:v>伤格降级</x:v>
      </x:c>
      <x:c r="AA12" s="84" t="str">
        <x:v>该候选五行综合定位为“条件性喜神”，优先级为“条件顺位”。主要收益：解决局部旺衰、流通或调候问题；主要副作用：制造更高优先级格局病。仅在不破格或存在替代保护机制时采用。</x:v>
      </x:c>
      <x:c r="AB12" s="82" t="str">
        <x:v>较高</x:v>
      </x:c>
      <x:c r="AC12" s="82" t="str">
        <x:v>现代综合</x:v>
      </x:c>
      <x:c r="AD12" s="68" t="str">
        <x:v>喜忌用神必须同时读取扶抑、格局、通关、调候和病药五个维度。单一维度有利不足以自动成为主用；最终定位取决于是否解决根本问题、是否触犯格局硬约束、药力是否可达以及副作用是否可控。</x:v>
      </x:c>
      <x:c r="AE12" s="68" t="str">
        <x:v>满足“该五行有局部收益但格局损伤可被严格限制”，且主要收益大于副作用时，可按“有利但伤害核心格局时必须降级”定位。</x:v>
      </x:c>
      <x:c r="AF12" s="90" t="str">
        <x:v>若“格局损伤不可逆或属于根本破格”成立，则不得按“有利但伤害核心格局时必须降级”无条件定位。</x:v>
      </x:c>
      <x:c r="AG12" s="82" t="str">
        <x:v>采用</x:v>
      </x:c>
      <x:c r="AH12" s="82" t="str">
        <x:v>初审</x:v>
      </x:c>
      <x:c r="AI12" s="87" t="n">
        <x:v>46260</x:v>
      </x:c>
    </x:row>
    <x:row r="13">
      <x:c r="A13" s="72" t="str">
        <x:f>IF(OR(C13="",D13=""),"",B13&amp;"-"&amp;UPPER(C13)&amp;"-"&amp;TEXT(D13,"0000")&amp;"-"&amp;E13)</x:f>
        <x:v>M17-GEN-0007-V1.0</x:v>
      </x:c>
      <x:c r="B13" s="74" t="str">
        <x:v>M17</x:v>
      </x:c>
      <x:c r="C13" s="74" t="str">
        <x:v>GEN</x:v>
      </x:c>
      <x:c r="D13" s="215" t="n">
        <x:v>7</x:v>
      </x:c>
      <x:c r="E13" s="74" t="str">
        <x:v>V1.0</x:v>
      </x:c>
      <x:c r="F13" s="68" t="str">
        <x:v>能够治病但制造同级新病时保持条件性</x:v>
      </x:c>
      <x:c r="G13" s="82" t="str">
        <x:v>综合层</x:v>
      </x:c>
      <x:c r="H13" s="82"/>
      <x:c r="I13" s="82"/>
      <x:c r="J13" s="82" t="str">
        <x:v>病药用神</x:v>
      </x:c>
      <x:c r="K13" s="68" t="str">
        <x:v>待定</x:v>
      </x:c>
      <x:c r="L13" s="68" t="str">
        <x:v>待定</x:v>
      </x:c>
      <x:c r="M13" s="68" t="str">
        <x:v>待定</x:v>
      </x:c>
      <x:c r="N13" s="68" t="str">
        <x:v>待定</x:v>
      </x:c>
      <x:c r="O13" s="68" t="str">
        <x:v>治原病但产生新病</x:v>
      </x:c>
      <x:c r="P13" s="68" t="str">
        <x:v>缓解原根本病</x:v>
      </x:c>
      <x:c r="Q13" s="90" t="str">
        <x:v>生成同等严重的新旺衰、格局、流通或调候病</x:v>
      </x:c>
      <x:c r="R13" s="68" t="str">
        <x:v>新病可通过剂量、配伍或替代路径控制</x:v>
      </x:c>
      <x:c r="S13" s="68" t="str">
        <x:v>新病严重度高于原病</x:v>
      </x:c>
      <x:c r="T13" s="68" t="str">
        <x:v>病药收益与新病风险冲突</x:v>
      </x:c>
      <x:c r="U13" s="68" t="str">
        <x:v>M18-待建立</x:v>
      </x:c>
      <x:c r="V13" s="84" t="str">
        <x:v>条件性喜神</x:v>
      </x:c>
      <x:c r="W13" s="82" t="str">
        <x:v>条件顺位</x:v>
      </x:c>
      <x:c r="X13" s="82" t="str">
        <x:v>是</x:v>
      </x:c>
      <x:c r="Y13" s="68" t="str">
        <x:v>净收益为正且新病风险可控</x:v>
      </x:c>
      <x:c r="Z13" s="84" t="str">
        <x:v>治病生病条件化</x:v>
      </x:c>
      <x:c r="AA13" s="84" t="str">
        <x:v>该候选五行综合定位为“条件性喜神”，优先级为“条件顺位”。主要收益：缓解原根本病；主要副作用：生成同等严重的新旺衰、格局、流通或调候病；仅在净收益为正且新病风险可控时成立。</x:v>
      </x:c>
      <x:c r="AB13" s="82" t="str">
        <x:v>较高</x:v>
      </x:c>
      <x:c r="AC13" s="82" t="str">
        <x:v>现代综合</x:v>
      </x:c>
      <x:c r="AD13" s="68" t="str">
        <x:v>喜忌用神必须同时读取扶抑、格局、通关、调候和病药五个维度。单一维度有利不足以自动成为主用；最终定位取决于是否解决根本问题、是否触犯格局硬约束、药力是否可达以及副作用是否可控。</x:v>
      </x:c>
      <x:c r="AE13" s="68" t="str">
        <x:v>满足“新病可通过剂量、配伍或替代路径控制”，且主要收益大于副作用时，可按“能够治病但制造同级新病时保持条件性”定位。</x:v>
      </x:c>
      <x:c r="AF13" s="90" t="str">
        <x:v>若“新病严重度高于原病”成立，则不得按“能够治病但制造同级新病时保持条件性”无条件定位。</x:v>
      </x:c>
      <x:c r="AG13" s="82" t="str">
        <x:v>采用</x:v>
      </x:c>
      <x:c r="AH13" s="82" t="str">
        <x:v>初审</x:v>
      </x:c>
      <x:c r="AI13" s="87" t="n">
        <x:v>46260</x:v>
      </x:c>
    </x:row>
    <x:row r="14">
      <x:c r="A14" s="72" t="str">
        <x:f>IF(OR(C14="",D14=""),"",B14&amp;"-"&amp;UPPER(C14)&amp;"-"&amp;TEXT(D14,"0000")&amp;"-"&amp;E14)</x:f>
        <x:v>M17-GEN-0008-V1.0</x:v>
      </x:c>
      <x:c r="B14" s="74" t="str">
        <x:v>M17</x:v>
      </x:c>
      <x:c r="C14" s="74" t="str">
        <x:v>GEN</x:v>
      </x:c>
      <x:c r="D14" s="215" t="n">
        <x:v>8</x:v>
      </x:c>
      <x:c r="E14" s="74" t="str">
        <x:v>V1.0</x:v>
      </x:c>
      <x:c r="F14" s="68" t="str">
        <x:v>无明显收益也无明显伤害时定位中性</x:v>
      </x:c>
      <x:c r="G14" s="82" t="str">
        <x:v>综合层</x:v>
      </x:c>
      <x:c r="H14" s="82"/>
      <x:c r="I14" s="82"/>
      <x:c r="J14" s="82" t="str">
        <x:v>复合来源</x:v>
      </x:c>
      <x:c r="K14" s="68" t="str">
        <x:v>中性</x:v>
      </x:c>
      <x:c r="L14" s="68" t="str">
        <x:v>中性</x:v>
      </x:c>
      <x:c r="M14" s="68" t="str">
        <x:v>中性</x:v>
      </x:c>
      <x:c r="N14" s="68" t="str">
        <x:v>中性</x:v>
      </x:c>
      <x:c r="O14" s="68" t="str">
        <x:v>中性</x:v>
      </x:c>
      <x:c r="P14" s="68" t="str">
        <x:v>不明显改变主要结构</x:v>
      </x:c>
      <x:c r="Q14" s="90" t="str">
        <x:v>占用判断资源但无核心价值</x:v>
      </x:c>
      <x:c r="R14" s="68" t="str">
        <x:v>五维均无明确正向或负向作用</x:v>
      </x:c>
      <x:c r="S14" s="68" t="str">
        <x:v>任一维度出现显著收益或伤害</x:v>
      </x:c>
      <x:c r="T14" s="68" t="str">
        <x:v>无重大冲突</x:v>
      </x:c>
      <x:c r="U14" s="68"/>
      <x:c r="V14" s="84" t="str">
        <x:v>中性</x:v>
      </x:c>
      <x:c r="W14" s="82" t="str">
        <x:v>不采用</x:v>
      </x:c>
      <x:c r="X14" s="82" t="str">
        <x:v>否</x:v>
      </x:c>
      <x:c r="Y14" s="68" t="str">
        <x:v>不列入主要喜忌排序</x:v>
      </x:c>
      <x:c r="Z14" s="84" t="str">
        <x:v>五维中性</x:v>
      </x:c>
      <x:c r="AA14" s="84" t="str">
        <x:v>该候选五行综合定位为“中性”，优先级为“不采用”。主要收益：不明显改变主要结构；主要副作用：占用判断资源但无核心价值；不列入主要喜忌排序。</x:v>
      </x:c>
      <x:c r="AB14" s="82" t="str">
        <x:v>较高</x:v>
      </x:c>
      <x:c r="AC14" s="82" t="str">
        <x:v>现代综合</x:v>
      </x:c>
      <x:c r="AD14" s="68" t="str">
        <x:v>喜忌用神必须同时读取扶抑、格局、通关、调候和病药五个维度。单一维度有利不足以自动成为主用；最终定位取决于是否解决根本问题、是否触犯格局硬约束、药力是否可达以及副作用是否可控。</x:v>
      </x:c>
      <x:c r="AE14" s="68" t="str">
        <x:v>满足“五维均无明确正向或负向作用”，且主要收益大于副作用时，可按“无明显收益也无明显伤害时定位中性”定位。</x:v>
      </x:c>
      <x:c r="AF14" s="90" t="str">
        <x:v>若“任一维度出现显著收益或伤害”成立，则不得按“无明显收益也无明显伤害时定位中性”无条件定位。</x:v>
      </x:c>
      <x:c r="AG14" s="82" t="str">
        <x:v>采用</x:v>
      </x:c>
      <x:c r="AH14" s="82" t="str">
        <x:v>初审</x:v>
      </x:c>
      <x:c r="AI14" s="87" t="n">
        <x:v>46260</x:v>
      </x:c>
    </x:row>
    <x:row r="15">
      <x:c r="A15" s="72" t="str">
        <x:f>IF(OR(C15="",D15=""),"",B15&amp;"-"&amp;UPPER(C15)&amp;"-"&amp;TEXT(D15,"0000")&amp;"-"&amp;E15)</x:f>
        <x:v>M17-GEN-0009-V1.0</x:v>
      </x:c>
      <x:c r="B15" s="74" t="str">
        <x:v>M17</x:v>
      </x:c>
      <x:c r="C15" s="74" t="str">
        <x:v>GEN</x:v>
      </x:c>
      <x:c r="D15" s="215" t="n">
        <x:v>9</x:v>
      </x:c>
      <x:c r="E15" s="74" t="str">
        <x:v>V1.0</x:v>
      </x:c>
      <x:c r="F15" s="68" t="str">
        <x:v>收益证据与伤害证据接近时保持待定</x:v>
      </x:c>
      <x:c r="G15" s="82" t="str">
        <x:v>综合层</x:v>
      </x:c>
      <x:c r="H15" s="82"/>
      <x:c r="I15" s="82"/>
      <x:c r="J15" s="82" t="str">
        <x:v>复合来源</x:v>
      </x:c>
      <x:c r="K15" s="68" t="str">
        <x:v>正反并存</x:v>
      </x:c>
      <x:c r="L15" s="68" t="str">
        <x:v>正反并存</x:v>
      </x:c>
      <x:c r="M15" s="68" t="str">
        <x:v>待定</x:v>
      </x:c>
      <x:c r="N15" s="68" t="str">
        <x:v>待定</x:v>
      </x:c>
      <x:c r="O15" s="68" t="str">
        <x:v>待定</x:v>
      </x:c>
      <x:c r="P15" s="68" t="str">
        <x:v>可能解决一个主要问题</x:v>
      </x:c>
      <x:c r="Q15" s="90" t="str">
        <x:v>可能造成同等严重的另一问题</x:v>
      </x:c>
      <x:c r="R15" s="68" t="str">
        <x:v>正反证据权重接近且缺少硬约束</x:v>
      </x:c>
      <x:c r="S15" s="68" t="str">
        <x:v>已有明确硬约束可裁决</x:v>
      </x:c>
      <x:c r="T15" s="68" t="str">
        <x:v>多维证据接近</x:v>
      </x:c>
      <x:c r="U15" s="68" t="str">
        <x:v>M18-待建立</x:v>
      </x:c>
      <x:c r="V15" s="84" t="str">
        <x:v>待定</x:v>
      </x:c>
      <x:c r="W15" s="82" t="str">
        <x:v>待定</x:v>
      </x:c>
      <x:c r="X15" s="82" t="str">
        <x:v>待定</x:v>
      </x:c>
      <x:c r="Y15" s="68" t="str">
        <x:v>保留替代候选与反向证据，待M18裁决</x:v>
      </x:c>
      <x:c r="Z15" s="84" t="str">
        <x:v>证据接近待定</x:v>
      </x:c>
      <x:c r="AA15" s="84" t="str">
        <x:v>该候选五行综合定位为“待定”，优先级为“待定”。主要收益：可能解决一个主要问题；主要副作用：可能造成同等严重的另一问题；保留替代候选与反向证据，待M18裁决。</x:v>
      </x:c>
      <x:c r="AB15" s="82" t="str">
        <x:v>中等</x:v>
      </x:c>
      <x:c r="AC15" s="82" t="str">
        <x:v>现代综合</x:v>
      </x:c>
      <x:c r="AD15" s="68" t="str">
        <x:v>喜忌用神必须同时读取扶抑、格局、通关、调候和病药五个维度。单一维度有利不足以自动成为主用；最终定位取决于是否解决根本问题、是否触犯格局硬约束、药力是否可达以及副作用是否可控。</x:v>
      </x:c>
      <x:c r="AE15" s="68" t="str">
        <x:v>满足“正反证据权重接近且缺少硬约束”，且主要收益大于副作用时，可按“收益证据与伤害证据接近时保持待定”定位。</x:v>
      </x:c>
      <x:c r="AF15" s="90" t="str">
        <x:v>若“已有明确硬约束可裁决”成立，则不得按“收益证据与伤害证据接近时保持待定”无条件定位。</x:v>
      </x:c>
      <x:c r="AG15" s="82" t="str">
        <x:v>待验证</x:v>
      </x:c>
      <x:c r="AH15" s="82" t="str">
        <x:v>初审</x:v>
      </x:c>
      <x:c r="AI15" s="87" t="n">
        <x:v>46260</x:v>
      </x:c>
    </x:row>
    <x:row r="16">
      <x:c r="A16" s="72" t="str">
        <x:f>IF(OR(C16="",D16=""),"",B16&amp;"-"&amp;UPPER(C16)&amp;"-"&amp;TEXT(D16,"0000")&amp;"-"&amp;E16)</x:f>
        <x:v>M17-GEN-0010-V1.0</x:v>
      </x:c>
      <x:c r="B16" s="74" t="str">
        <x:v>M17</x:v>
      </x:c>
      <x:c r="C16" s="74" t="str">
        <x:v>GEN</x:v>
      </x:c>
      <x:c r="D16" s="215" t="n">
        <x:v>10</x:v>
      </x:c>
      <x:c r="E16" s="74" t="str">
        <x:v>V1.0</x:v>
      </x:c>
      <x:c r="F16" s="68" t="str">
        <x:v>最终用神定位不得使用固定总分</x:v>
      </x:c>
      <x:c r="G16" s="82" t="str">
        <x:v>综合层</x:v>
      </x:c>
      <x:c r="H16" s="82"/>
      <x:c r="I16" s="82"/>
      <x:c r="J16" s="82" t="str">
        <x:v>复合来源</x:v>
      </x:c>
      <x:c r="K16" s="68" t="str">
        <x:v>强证据优先</x:v>
      </x:c>
      <x:c r="L16" s="68" t="str">
        <x:v>硬约束优先</x:v>
      </x:c>
      <x:c r="M16" s="68" t="str">
        <x:v>主路径优先</x:v>
      </x:c>
      <x:c r="N16" s="68" t="str">
        <x:v>根本气候病优先</x:v>
      </x:c>
      <x:c r="O16" s="68" t="str">
        <x:v>根本病优先</x:v>
      </x:c>
      <x:c r="P16" s="68" t="str">
        <x:v>避免弱证据堆叠压过决定性条件</x:v>
      </x:c>
      <x:c r="Q16" s="90" t="str">
        <x:v>需要保留判断过程</x:v>
      </x:c>
      <x:c r="R16" s="68" t="str">
        <x:v>存在多个维度证据</x:v>
      </x:c>
      <x:c r="S16" s="68" t="str">
        <x:v>无</x:v>
      </x:c>
      <x:c r="T16" s="68" t="str">
        <x:v>证据优先级而非机械分数</x:v>
      </x:c>
      <x:c r="U16" s="68" t="str">
        <x:v>M18-待建立</x:v>
      </x:c>
      <x:c r="V16" s="84" t="str">
        <x:v>待定</x:v>
      </x:c>
      <x:c r="W16" s="82" t="str">
        <x:v>待定</x:v>
      </x:c>
      <x:c r="X16" s="82" t="str">
        <x:v>待定</x:v>
      </x:c>
      <x:c r="Y16" s="68" t="str">
        <x:v>按硬约束、根本病、主路径和副作用裁决</x:v>
      </x:c>
      <x:c r="Z16" s="84" t="str">
        <x:v>用神非机械计分</x:v>
      </x:c>
      <x:c r="AA16" s="84" t="str">
        <x:v>该候选五行综合定位为“待定”，优先级为“待定”。主要收益：避免弱证据堆叠压过决定性条件；主要副作用：需要保留判断过程；按硬约束、根本病、主路径和副作用裁决。</x:v>
      </x:c>
      <x:c r="AB16" s="82" t="str">
        <x:v>较高</x:v>
      </x:c>
      <x:c r="AC16" s="82" t="str">
        <x:v>现代综合</x:v>
      </x:c>
      <x:c r="AD16" s="68" t="str">
        <x:v>喜忌用神必须同时读取扶抑、格局、通关、调候和病药五个维度。单一维度有利不足以自动成为主用；最终定位取决于是否解决根本问题、是否触犯格局硬约束、药力是否可达以及副作用是否可控。</x:v>
      </x:c>
      <x:c r="AE16" s="68" t="str">
        <x:v>满足“存在多个维度证据”，且主要收益大于副作用时，可按“最终用神定位不得使用固定总分”定位。</x:v>
      </x:c>
      <x:c r="AF16" s="90" t="str">
        <x:v>若“无”成立，则不得按“最终用神定位不得使用固定总分”无条件定位。</x:v>
      </x:c>
      <x:c r="AG16" s="82" t="str">
        <x:v>采用</x:v>
      </x:c>
      <x:c r="AH16" s="82" t="str">
        <x:v>初审</x:v>
      </x:c>
      <x:c r="AI16" s="87" t="n">
        <x:v>46260</x:v>
      </x:c>
    </x:row>
    <x:row r="17">
      <x:c r="A17" s="72" t="str">
        <x:f>IF(OR(C17="",D17=""),"",B17&amp;"-"&amp;UPPER(C17)&amp;"-"&amp;TEXT(D17,"0000")&amp;"-"&amp;E17)</x:f>
        <x:v>M17-FUYI-0011-V1.0</x:v>
      </x:c>
      <x:c r="B17" s="74" t="str">
        <x:v>M17</x:v>
      </x:c>
      <x:c r="C17" s="74" t="str">
        <x:v>FUYI</x:v>
      </x:c>
      <x:c r="D17" s="215" t="n">
        <x:v>11</x:v>
      </x:c>
      <x:c r="E17" s="74" t="str">
        <x:v>V1.0</x:v>
      </x:c>
      <x:c r="F17" s="68" t="str">
        <x:v>身弱无依时正印可列扶身候选</x:v>
      </x:c>
      <x:c r="G17" s="82" t="str">
        <x:v>综合层</x:v>
      </x:c>
      <x:c r="H17" s="82"/>
      <x:c r="I17" s="82" t="str">
        <x:v>正印</x:v>
      </x:c>
      <x:c r="J17" s="82" t="str">
        <x:v>扶抑用神</x:v>
      </x:c>
      <x:c r="K17" s="68" t="str">
        <x:v>直接生日主并补充承载</x:v>
      </x:c>
      <x:c r="L17" s="68" t="str">
        <x:v>可支持官印相生或护身</x:v>
      </x:c>
      <x:c r="M17" s="68" t="str">
        <x:v>可承接官杀后生日主</x:v>
      </x:c>
      <x:c r="N17" s="68" t="str">
        <x:v>随印星五行另判</x:v>
      </x:c>
      <x:c r="O17" s="68" t="str">
        <x:v>治疗身弱无依或化杀不及</x:v>
      </x:c>
      <x:c r="P17" s="68" t="str">
        <x:v>补充日主根源与承载</x:v>
      </x:c>
      <x:c r="Q17" s="90" t="str">
        <x:v>印过旺可能身滞、制食伤或坏财格</x:v>
      </x:c>
      <x:c r="R17" s="68" t="str">
        <x:v>M09身弱，正印有效，且不是从格</x:v>
      </x:c>
      <x:c r="S17" s="68" t="str">
        <x:v>日主已旺、印多身滞或食伤为核心格神</x:v>
      </x:c>
      <x:c r="T17" s="68" t="str">
        <x:v>扶身与食伤/财格冲突</x:v>
      </x:c>
      <x:c r="U17" s="68" t="str">
        <x:v>M18-待建立</x:v>
      </x:c>
      <x:c r="V17" s="84" t="str">
        <x:v>喜神</x:v>
      </x:c>
      <x:c r="W17" s="82" t="str">
        <x:v>第二顺位</x:v>
      </x:c>
      <x:c r="X17" s="82" t="str">
        <x:v>条件性</x:v>
      </x:c>
      <x:c r="Y17" s="68" t="str">
        <x:v>印不过量且不破坏关键食伤财星</x:v>
      </x:c>
      <x:c r="Z17" s="84" t="str">
        <x:v>身弱正印候选</x:v>
      </x:c>
      <x:c r="AA17" s="84" t="str">
        <x:v>该候选五行综合定位为“喜神”，优先级为“第二顺位”。主要收益：补充日主根源与承载；主要副作用：印过旺可能身滞、制食伤或坏财格；仅在印不过量且不破坏关键食伤财星时成立。</x:v>
      </x:c>
      <x:c r="AB17" s="82" t="str">
        <x:v>较高</x:v>
      </x:c>
      <x:c r="AC17" s="82" t="str">
        <x:v>现代综合</x:v>
      </x:c>
      <x:c r="AD17" s="68" t="str">
        <x:v>喜忌用神必须同时读取扶抑、格局、通关、调候和病药五个维度。单一维度有利不足以自动成为主用；最终定位取决于是否解决根本问题、是否触犯格局硬约束、药力是否可达以及副作用是否可控。</x:v>
      </x:c>
      <x:c r="AE17" s="68" t="str">
        <x:v>满足“M09身弱，正印有效，且不是从格”，且主要收益大于副作用时，可按“身弱无依时正印可列扶身候选”定位。</x:v>
      </x:c>
      <x:c r="AF17" s="90" t="str">
        <x:v>若“日主已旺、印多身滞或食伤为核心格神”成立，则不得按“身弱无依时正印可列扶身候选”无条件定位。</x:v>
      </x:c>
      <x:c r="AG17" s="82" t="str">
        <x:v>采用</x:v>
      </x:c>
      <x:c r="AH17" s="82" t="str">
        <x:v>初审</x:v>
      </x:c>
      <x:c r="AI17" s="87" t="n">
        <x:v>46260</x:v>
      </x:c>
    </x:row>
    <x:row r="18">
      <x:c r="A18" s="72" t="str">
        <x:f>IF(OR(C18="",D18=""),"",B18&amp;"-"&amp;UPPER(C18)&amp;"-"&amp;TEXT(D18,"0000")&amp;"-"&amp;E18)</x:f>
        <x:v>M17-FUYI-0012-V1.0</x:v>
      </x:c>
      <x:c r="B18" s="74" t="str">
        <x:v>M17</x:v>
      </x:c>
      <x:c r="C18" s="74" t="str">
        <x:v>FUYI</x:v>
      </x:c>
      <x:c r="D18" s="215" t="n">
        <x:v>12</x:v>
      </x:c>
      <x:c r="E18" s="74" t="str">
        <x:v>V1.0</x:v>
      </x:c>
      <x:c r="F18" s="68" t="str">
        <x:v>身弱且杀旺时偏印可列化杀扶身候选</x:v>
      </x:c>
      <x:c r="G18" s="82" t="str">
        <x:v>综合层</x:v>
      </x:c>
      <x:c r="H18" s="82"/>
      <x:c r="I18" s="82" t="str">
        <x:v>偏印</x:v>
      </x:c>
      <x:c r="J18" s="82" t="str">
        <x:v>扶抑用神</x:v>
      </x:c>
      <x:c r="K18" s="68" t="str">
        <x:v>生日主并提高承杀能力</x:v>
      </x:c>
      <x:c r="L18" s="68" t="str">
        <x:v>支持杀印相生</x:v>
      </x:c>
      <x:c r="M18" s="68" t="str">
        <x:v>官杀→印→身通路</x:v>
      </x:c>
      <x:c r="N18" s="68" t="str">
        <x:v>随偏印五行另判</x:v>
      </x:c>
      <x:c r="O18" s="68" t="str">
        <x:v>化杀生身</x:v>
      </x:c>
      <x:c r="P18" s="68" t="str">
        <x:v>同时缓解杀压和身弱</x:v>
      </x:c>
      <x:c r="Q18" s="90" t="str">
        <x:v>可能枭夺食、压制食神制杀</x:v>
      </x:c>
      <x:c r="R18" s="68" t="str">
        <x:v>身弱杀旺，偏印有效，且杀印路线优于食制路线</x:v>
      </x:c>
      <x:c r="S18" s="68" t="str">
        <x:v>食神为核心制杀药且偏印会夺食</x:v>
      </x:c>
      <x:c r="T18" s="68" t="str">
        <x:v>印化杀与食制杀路线冲突</x:v>
      </x:c>
      <x:c r="U18" s="68" t="str">
        <x:v>M18-待建立</x:v>
      </x:c>
      <x:c r="V18" s="84" t="str">
        <x:v>主用神</x:v>
      </x:c>
      <x:c r="W18" s="82" t="str">
        <x:v>第一顺位</x:v>
      </x:c>
      <x:c r="X18" s="82" t="str">
        <x:v>是</x:v>
      </x:c>
      <x:c r="Y18" s="68" t="str">
        <x:v>选择印化杀主路线且偏印不夺关键食神</x:v>
      </x:c>
      <x:c r="Z18" s="84" t="str">
        <x:v>身弱偏印化杀</x:v>
      </x:c>
      <x:c r="AA18" s="84" t="str">
        <x:v>该候选五行综合定位为“主用神”，优先级为“第一顺位”。主要收益：同时缓解杀压和身弱；主要副作用：可能枭夺食、压制食神制杀；仅在选择印化杀主路线且偏印不夺关键食神时成立。</x:v>
      </x:c>
      <x:c r="AB18" s="82" t="str">
        <x:v>较高</x:v>
      </x:c>
      <x:c r="AC18" s="82" t="str">
        <x:v>现代综合</x:v>
      </x:c>
      <x:c r="AD18" s="68" t="str">
        <x:v>喜忌用神必须同时读取扶抑、格局、通关、调候和病药五个维度。单一维度有利不足以自动成为主用；最终定位取决于是否解决根本问题、是否触犯格局硬约束、药力是否可达以及副作用是否可控。</x:v>
      </x:c>
      <x:c r="AE18" s="68" t="str">
        <x:v>满足“身弱杀旺，偏印有效，且杀印路线优于食制路线”，且主要收益大于副作用时，可按“身弱且杀旺时偏印可列化杀扶身候选”定位。</x:v>
      </x:c>
      <x:c r="AF18" s="90" t="str">
        <x:v>若“食神为核心制杀药且偏印会夺食”成立，则不得按“身弱且杀旺时偏印可列化杀扶身候选”无条件定位。</x:v>
      </x:c>
      <x:c r="AG18" s="82" t="str">
        <x:v>采用</x:v>
      </x:c>
      <x:c r="AH18" s="82" t="str">
        <x:v>初审</x:v>
      </x:c>
      <x:c r="AI18" s="87" t="n">
        <x:v>46260</x:v>
      </x:c>
    </x:row>
    <x:row r="19">
      <x:c r="A19" s="72" t="str">
        <x:f>IF(OR(C19="",D19=""),"",B19&amp;"-"&amp;UPPER(C19)&amp;"-"&amp;TEXT(D19,"0000")&amp;"-"&amp;E19)</x:f>
        <x:v>M17-FUYI-0013-V1.0</x:v>
      </x:c>
      <x:c r="B19" s="74" t="str">
        <x:v>M17</x:v>
      </x:c>
      <x:c r="C19" s="74" t="str">
        <x:v>FUYI</x:v>
      </x:c>
      <x:c r="D19" s="215" t="n">
        <x:v>13</x:v>
      </x:c>
      <x:c r="E19" s="74" t="str">
        <x:v>V1.0</x:v>
      </x:c>
      <x:c r="F19" s="68" t="str">
        <x:v>身弱财旺时比肩可列承财候选</x:v>
      </x:c>
      <x:c r="G19" s="82" t="str">
        <x:v>综合层</x:v>
      </x:c>
      <x:c r="H19" s="82"/>
      <x:c r="I19" s="82" t="str">
        <x:v>比肩</x:v>
      </x:c>
      <x:c r="J19" s="82" t="str">
        <x:v>扶抑用神</x:v>
      </x:c>
      <x:c r="K19" s="68" t="str">
        <x:v>增强日主同类承载</x:v>
      </x:c>
      <x:c r="L19" s="68" t="str">
        <x:v>可帮助身财两停</x:v>
      </x:c>
      <x:c r="M19" s="68" t="str">
        <x:v>提高身→食伤→财链源头容量</x:v>
      </x:c>
      <x:c r="N19" s="68" t="str">
        <x:v>随比肩五行另判</x:v>
      </x:c>
      <x:c r="O19" s="68" t="str">
        <x:v>治疗财多身弱</x:v>
      </x:c>
      <x:c r="P19" s="68" t="str">
        <x:v>分担财耗并稳固日主</x:v>
      </x:c>
      <x:c r="Q19" s="90" t="str">
        <x:v>比肩过旺可能争财、壅塞或破财格</x:v>
      </x:c>
      <x:c r="R19" s="68" t="str">
        <x:v>日主弱、财旺、比肩有效且财格并非严格从财</x:v>
      </x:c>
      <x:c r="S19" s="68" t="str">
        <x:v>真从财格或比劫已经成势夺财</x:v>
      </x:c>
      <x:c r="T19" s="68" t="str">
        <x:v>扶身与财格清纯冲突</x:v>
      </x:c>
      <x:c r="U19" s="68" t="str">
        <x:v>M18-待建立</x:v>
      </x:c>
      <x:c r="V19" s="84" t="str">
        <x:v>喜神</x:v>
      </x:c>
      <x:c r="W19" s="82" t="str">
        <x:v>第二顺位</x:v>
      </x:c>
      <x:c r="X19" s="82" t="str">
        <x:v>条件性</x:v>
      </x:c>
      <x:c r="Y19" s="68" t="str">
        <x:v>扶身收益大于对财星的克制副作用</x:v>
      </x:c>
      <x:c r="Z19" s="84" t="str">
        <x:v>身弱比肩承财</x:v>
      </x:c>
      <x:c r="AA19" s="84" t="str">
        <x:v>该候选五行综合定位为“喜神”，优先级为“第二顺位”。主要收益：分担财耗并稳固日主；主要副作用：比肩过旺可能争财、壅塞或破财格；仅在扶身收益大于对财星的克制副作用时成立。</x:v>
      </x:c>
      <x:c r="AB19" s="82" t="str">
        <x:v>较高</x:v>
      </x:c>
      <x:c r="AC19" s="82" t="str">
        <x:v>现代综合</x:v>
      </x:c>
      <x:c r="AD19" s="68" t="str">
        <x:v>喜忌用神必须同时读取扶抑、格局、通关、调候和病药五个维度。单一维度有利不足以自动成为主用；最终定位取决于是否解决根本问题、是否触犯格局硬约束、药力是否可达以及副作用是否可控。</x:v>
      </x:c>
      <x:c r="AE19" s="68" t="str">
        <x:v>满足“日主弱、财旺、比肩有效且财格并非严格从财”，且主要收益大于副作用时，可按“身弱财旺时比肩可列承财候选”定位。</x:v>
      </x:c>
      <x:c r="AF19" s="90" t="str">
        <x:v>若“真从财格或比劫已经成势夺财”成立，则不得按“身弱财旺时比肩可列承财候选”无条件定位。</x:v>
      </x:c>
      <x:c r="AG19" s="82" t="str">
        <x:v>采用</x:v>
      </x:c>
      <x:c r="AH19" s="82" t="str">
        <x:v>初审</x:v>
      </x:c>
      <x:c r="AI19" s="87" t="n">
        <x:v>46260</x:v>
      </x:c>
    </x:row>
    <x:row r="20">
      <x:c r="A20" s="72" t="str">
        <x:f>IF(OR(C20="",D20=""),"",B20&amp;"-"&amp;UPPER(C20)&amp;"-"&amp;TEXT(D20,"0000")&amp;"-"&amp;E20)</x:f>
        <x:v>M17-FUYI-0014-V1.0</x:v>
      </x:c>
      <x:c r="B20" s="74" t="str">
        <x:v>M17</x:v>
      </x:c>
      <x:c r="C20" s="74" t="str">
        <x:v>FUYI</x:v>
      </x:c>
      <x:c r="D20" s="215" t="n">
        <x:v>14</x:v>
      </x:c>
      <x:c r="E20" s="74" t="str">
        <x:v>V1.0</x:v>
      </x:c>
      <x:c r="F20" s="68" t="str">
        <x:v>身弱财旺时劫财只能条件性护身</x:v>
      </x:c>
      <x:c r="G20" s="82" t="str">
        <x:v>综合层</x:v>
      </x:c>
      <x:c r="H20" s="82"/>
      <x:c r="I20" s="82" t="str">
        <x:v>劫财</x:v>
      </x:c>
      <x:c r="J20" s="82" t="str">
        <x:v>扶抑用神</x:v>
      </x:c>
      <x:c r="K20" s="68" t="str">
        <x:v>扶身并直接制财</x:v>
      </x:c>
      <x:c r="L20" s="68" t="str">
        <x:v>可能破坏财格</x:v>
      </x:c>
      <x:c r="M20" s="68" t="str">
        <x:v>可降低财星耗身但截断食伤生财终点</x:v>
      </x:c>
      <x:c r="N20" s="68" t="str">
        <x:v>随劫财五行另判</x:v>
      </x:c>
      <x:c r="O20" s="68" t="str">
        <x:v>比劫制财护身</x:v>
      </x:c>
      <x:c r="P20" s="68" t="str">
        <x:v>减轻财耗、提高日主承载</x:v>
      </x:c>
      <x:c r="Q20" s="90" t="str">
        <x:v>夺财、破财格或阻断财官链</x:v>
      </x:c>
      <x:c r="R20" s="68" t="str">
        <x:v>财多身弱且财并非核心不可损格神</x:v>
      </x:c>
      <x:c r="S20" s="68" t="str">
        <x:v>财格清纯成立、从财格严格成立</x:v>
      </x:c>
      <x:c r="T20" s="68" t="str">
        <x:v>扶抑与格局冲突</x:v>
      </x:c>
      <x:c r="U20" s="68" t="str">
        <x:v>M18-待建立</x:v>
      </x:c>
      <x:c r="V20" s="84" t="str">
        <x:v>条件性喜神</x:v>
      </x:c>
      <x:c r="W20" s="82" t="str">
        <x:v>条件顺位</x:v>
      </x:c>
      <x:c r="X20" s="82" t="str">
        <x:v>是</x:v>
      </x:c>
      <x:c r="Y20" s="68" t="str">
        <x:v>只在护身需求高于护财需求时采用</x:v>
      </x:c>
      <x:c r="Z20" s="84" t="str">
        <x:v>劫财护身条件化</x:v>
      </x:c>
      <x:c r="AA20" s="84" t="str">
        <x:v>该候选五行综合定位为“条件性喜神”，优先级为“条件顺位”。主要收益：减轻财耗、提高日主承载；主要副作用：夺财、破财格或阻断财官链；仅在只在护身需求高于护财需求时采用时成立。</x:v>
      </x:c>
      <x:c r="AB20" s="82" t="str">
        <x:v>较高</x:v>
      </x:c>
      <x:c r="AC20" s="82" t="str">
        <x:v>现代综合</x:v>
      </x:c>
      <x:c r="AD20" s="68" t="str">
        <x:v>喜忌用神必须同时读取扶抑、格局、通关、调候和病药五个维度。单一维度有利不足以自动成为主用；最终定位取决于是否解决根本问题、是否触犯格局硬约束、药力是否可达以及副作用是否可控。</x:v>
      </x:c>
      <x:c r="AE20" s="68" t="str">
        <x:v>满足“财多身弱且财并非核心不可损格神”，且主要收益大于副作用时，可按“身弱财旺时劫财只能条件性护身”定位。</x:v>
      </x:c>
      <x:c r="AF20" s="90" t="str">
        <x:v>若“财格清纯成立、从财格严格成立”成立，则不得按“身弱财旺时劫财只能条件性护身”无条件定位。</x:v>
      </x:c>
      <x:c r="AG20" s="82" t="str">
        <x:v>采用</x:v>
      </x:c>
      <x:c r="AH20" s="82" t="str">
        <x:v>初审</x:v>
      </x:c>
      <x:c r="AI20" s="87" t="n">
        <x:v>46260</x:v>
      </x:c>
    </x:row>
    <x:row r="21">
      <x:c r="A21" s="72" t="str">
        <x:f>IF(OR(C21="",D21=""),"",B21&amp;"-"&amp;UPPER(C21)&amp;"-"&amp;TEXT(D21,"0000")&amp;"-"&amp;E21)</x:f>
        <x:v>M17-FUYI-0015-V1.0</x:v>
      </x:c>
      <x:c r="B21" s="74" t="str">
        <x:v>M17</x:v>
      </x:c>
      <x:c r="C21" s="74" t="str">
        <x:v>FUYI</x:v>
      </x:c>
      <x:c r="D21" s="215" t="n">
        <x:v>15</x:v>
      </x:c>
      <x:c r="E21" s="74" t="str">
        <x:v>V1.0</x:v>
      </x:c>
      <x:c r="F21" s="68" t="str">
        <x:v>身旺无泄时食神可列泄秀候选</x:v>
      </x:c>
      <x:c r="G21" s="82" t="str">
        <x:v>综合层</x:v>
      </x:c>
      <x:c r="H21" s="82"/>
      <x:c r="I21" s="82" t="str">
        <x:v>食神</x:v>
      </x:c>
      <x:c r="J21" s="82" t="str">
        <x:v>扶抑用神</x:v>
      </x:c>
      <x:c r="K21" s="68" t="str">
        <x:v>稳定泄日主旺气</x:v>
      </x:c>
      <x:c r="L21" s="68" t="str">
        <x:v>可支持食神格、食神生财或制杀</x:v>
      </x:c>
      <x:c r="M21" s="68" t="str">
        <x:v>身→食神→财通路</x:v>
      </x:c>
      <x:c r="N21" s="68" t="str">
        <x:v>随食神五行另判</x:v>
      </x:c>
      <x:c r="O21" s="68" t="str">
        <x:v>治疗比劫壅塞或源头过旺无泄</x:v>
      </x:c>
      <x:c r="P21" s="68" t="str">
        <x:v>提供温和持续的输出出口</x:v>
      </x:c>
      <x:c r="Q21" s="90" t="str">
        <x:v>身弱时过泄；可能受枭夺食</x:v>
      </x:c>
      <x:c r="R21" s="68" t="str">
        <x:v>日主旺或中和偏旺，食神有效且有终点承接</x:v>
      </x:c>
      <x:c r="S21" s="68" t="str">
        <x:v>日主弱、食神被枭制或特殊从旺格忌逆势</x:v>
      </x:c>
      <x:c r="T21" s="68" t="str">
        <x:v>泄身与特殊格局/承载冲突</x:v>
      </x:c>
      <x:c r="U21" s="68" t="str">
        <x:v>M18-待建立</x:v>
      </x:c>
      <x:c r="V21" s="84" t="str">
        <x:v>喜神</x:v>
      </x:c>
      <x:c r="W21" s="82" t="str">
        <x:v>第二顺位</x:v>
      </x:c>
      <x:c r="X21" s="82" t="str">
        <x:v>条件性</x:v>
      </x:c>
      <x:c r="Y21" s="68" t="str">
        <x:v>日主有足够源头且食神不破格</x:v>
      </x:c>
      <x:c r="Z21" s="84" t="str">
        <x:v>身旺食神泄秀</x:v>
      </x:c>
      <x:c r="AA21" s="84" t="str">
        <x:v>该候选五行综合定位为“喜神”，优先级为“第二顺位”。主要收益：提供温和持续的输出出口；主要副作用：身弱时过泄；可能受枭夺食；仅在日主有足够源头且食神不破格时成立。</x:v>
      </x:c>
      <x:c r="AB21" s="82" t="str">
        <x:v>较高</x:v>
      </x:c>
      <x:c r="AC21" s="82" t="str">
        <x:v>现代综合</x:v>
      </x:c>
      <x:c r="AD21" s="68" t="str">
        <x:v>喜忌用神必须同时读取扶抑、格局、通关、调候和病药五个维度。单一维度有利不足以自动成为主用；最终定位取决于是否解决根本问题、是否触犯格局硬约束、药力是否可达以及副作用是否可控。</x:v>
      </x:c>
      <x:c r="AE21" s="68" t="str">
        <x:v>满足“日主旺或中和偏旺，食神有效且有终点承接”，且主要收益大于副作用时，可按“身旺无泄时食神可列泄秀候选”定位。</x:v>
      </x:c>
      <x:c r="AF21" s="90" t="str">
        <x:v>若“日主弱、食神被枭制或特殊从旺格忌逆势”成立，则不得按“身旺无泄时食神可列泄秀候选”无条件定位。</x:v>
      </x:c>
      <x:c r="AG21" s="82" t="str">
        <x:v>采用</x:v>
      </x:c>
      <x:c r="AH21" s="82" t="str">
        <x:v>初审</x:v>
      </x:c>
      <x:c r="AI21" s="87" t="n">
        <x:v>46260</x:v>
      </x:c>
    </x:row>
    <x:row r="22">
      <x:c r="A22" s="72" t="str">
        <x:f>IF(OR(C22="",D22=""),"",B22&amp;"-"&amp;UPPER(C22)&amp;"-"&amp;TEXT(D22,"0000")&amp;"-"&amp;E22)</x:f>
        <x:v>M17-FUYI-0016-V1.0</x:v>
      </x:c>
      <x:c r="B22" s="74" t="str">
        <x:v>M17</x:v>
      </x:c>
      <x:c r="C22" s="74" t="str">
        <x:v>FUYI</x:v>
      </x:c>
      <x:c r="D22" s="215" t="n">
        <x:v>16</x:v>
      </x:c>
      <x:c r="E22" s="74" t="str">
        <x:v>V1.0</x:v>
      </x:c>
      <x:c r="F22" s="68" t="str">
        <x:v>身旺且需强力输出时伤官可列泄身候选</x:v>
      </x:c>
      <x:c r="G22" s="82" t="str">
        <x:v>综合层</x:v>
      </x:c>
      <x:c r="H22" s="82"/>
      <x:c r="I22" s="82" t="str">
        <x:v>伤官</x:v>
      </x:c>
      <x:c r="J22" s="82" t="str">
        <x:v>扶抑用神</x:v>
      </x:c>
      <x:c r="K22" s="68" t="str">
        <x:v>强力泄身</x:v>
      </x:c>
      <x:c r="L22" s="68" t="str">
        <x:v>可支持伤官生财或配印，也可能伤官见官</x:v>
      </x:c>
      <x:c r="M22" s="68" t="str">
        <x:v>身→伤官→财通路</x:v>
      </x:c>
      <x:c r="N22" s="68" t="str">
        <x:v>随伤官五行另判</x:v>
      </x:c>
      <x:c r="O22" s="68" t="str">
        <x:v>治疗身旺壅塞</x:v>
      </x:c>
      <x:c r="P22" s="68" t="str">
        <x:v>迅速释放过强身势</x:v>
      </x:c>
      <x:c r="Q22" s="90" t="str">
        <x:v>克官、过泄或破正官格</x:v>
      </x:c>
      <x:c r="R22" s="68" t="str">
        <x:v>日主旺，伤官有财或印形成合理出口</x:v>
      </x:c>
      <x:c r="S22" s="68" t="str">
        <x:v>正官为核心格神且无救应，或日主偏弱</x:v>
      </x:c>
      <x:c r="T22" s="68" t="str">
        <x:v>扶抑与正官格冲突</x:v>
      </x:c>
      <x:c r="U22" s="68" t="str">
        <x:v>M18-待建立</x:v>
      </x:c>
      <x:c r="V22" s="84" t="str">
        <x:v>条件性喜神</x:v>
      </x:c>
      <x:c r="W22" s="82" t="str">
        <x:v>条件顺位</x:v>
      </x:c>
      <x:c r="X22" s="82" t="str">
        <x:v>是</x:v>
      </x:c>
      <x:c r="Y22" s="68" t="str">
        <x:v>必须有生财或配印机制且不重伤官星</x:v>
      </x:c>
      <x:c r="Z22" s="84" t="str">
        <x:v>伤官泄身条件化</x:v>
      </x:c>
      <x:c r="AA22" s="84" t="str">
        <x:v>该候选五行综合定位为“条件性喜神”，优先级为“条件顺位”。主要收益：迅速释放过强身势；主要副作用：克官、过泄或破正官格；仅在必须有生财或配印机制且不重伤官星时成立。</x:v>
      </x:c>
      <x:c r="AB22" s="82" t="str">
        <x:v>较高</x:v>
      </x:c>
      <x:c r="AC22" s="82" t="str">
        <x:v>现代综合</x:v>
      </x:c>
      <x:c r="AD22" s="68" t="str">
        <x:v>喜忌用神必须同时读取扶抑、格局、通关、调候和病药五个维度。单一维度有利不足以自动成为主用；最终定位取决于是否解决根本问题、是否触犯格局硬约束、药力是否可达以及副作用是否可控。</x:v>
      </x:c>
      <x:c r="AE22" s="68" t="str">
        <x:v>满足“日主旺，伤官有财或印形成合理出口”，且主要收益大于副作用时，可按“身旺且需强力输出时伤官可列泄身候选”定位。</x:v>
      </x:c>
      <x:c r="AF22" s="90" t="str">
        <x:v>若“正官为核心格神且无救应，或日主偏弱”成立，则不得按“身旺且需强力输出时伤官可列泄身候选”无条件定位。</x:v>
      </x:c>
      <x:c r="AG22" s="82" t="str">
        <x:v>采用</x:v>
      </x:c>
      <x:c r="AH22" s="82" t="str">
        <x:v>初审</x:v>
      </x:c>
      <x:c r="AI22" s="87" t="n">
        <x:v>46260</x:v>
      </x:c>
    </x:row>
    <x:row r="23">
      <x:c r="A23" s="72" t="str">
        <x:f>IF(OR(C23="",D23=""),"",B23&amp;"-"&amp;UPPER(C23)&amp;"-"&amp;TEXT(D23,"0000")&amp;"-"&amp;E23)</x:f>
        <x:v>M17-FUYI-0017-V1.0</x:v>
      </x:c>
      <x:c r="B23" s="74" t="str">
        <x:v>M17</x:v>
      </x:c>
      <x:c r="C23" s="74" t="str">
        <x:v>FUYI</x:v>
      </x:c>
      <x:c r="D23" s="215" t="n">
        <x:v>17</x:v>
      </x:c>
      <x:c r="E23" s="74" t="str">
        <x:v>V1.0</x:v>
      </x:c>
      <x:c r="F23" s="68" t="str">
        <x:v>身旺能任财时正财可列耗身候选</x:v>
      </x:c>
      <x:c r="G23" s="82" t="str">
        <x:v>综合层</x:v>
      </x:c>
      <x:c r="H23" s="82"/>
      <x:c r="I23" s="82" t="str">
        <x:v>正财</x:v>
      </x:c>
      <x:c r="J23" s="82" t="str">
        <x:v>扶抑用神</x:v>
      </x:c>
      <x:c r="K23" s="68" t="str">
        <x:v>耗泄旺身的可用力量</x:v>
      </x:c>
      <x:c r="L23" s="68" t="str">
        <x:v>可支持正财格或财官相生</x:v>
      </x:c>
      <x:c r="M23" s="68" t="str">
        <x:v>承接食伤输出</x:v>
      </x:c>
      <x:c r="N23" s="68" t="str">
        <x:v>随财星五行另判</x:v>
      </x:c>
      <x:c r="O23" s="68" t="str">
        <x:v>治疗身旺无耗或印多身滞</x:v>
      </x:c>
      <x:c r="P23" s="68" t="str">
        <x:v>为强身提供稳定耗用终点</x:v>
      </x:c>
      <x:c r="Q23" s="90" t="str">
        <x:v>财过旺会坏印、加重身弱或生官杀</x:v>
      </x:c>
      <x:c r="R23" s="68" t="str">
        <x:v>日主旺且能任财，财星有承接能力</x:v>
      </x:c>
      <x:c r="S23" s="68" t="str">
        <x:v>日主弱、印为关键化杀药或财已过旺</x:v>
      </x:c>
      <x:c r="T23" s="68" t="str">
        <x:v>耗身与护印/承载冲突</x:v>
      </x:c>
      <x:c r="U23" s="68" t="str">
        <x:v>M18-待建立</x:v>
      </x:c>
      <x:c r="V23" s="84" t="str">
        <x:v>喜神</x:v>
      </x:c>
      <x:c r="W23" s="82" t="str">
        <x:v>第三顺位</x:v>
      </x:c>
      <x:c r="X23" s="82" t="str">
        <x:v>条件性</x:v>
      </x:c>
      <x:c r="Y23" s="68" t="str">
        <x:v>日主能任且财不过度破印</x:v>
      </x:c>
      <x:c r="Z23" s="84" t="str">
        <x:v>身旺正财耗身</x:v>
      </x:c>
      <x:c r="AA23" s="84" t="str">
        <x:v>该候选五行综合定位为“喜神”，优先级为“第三顺位”。主要收益：为强身提供稳定耗用终点；主要副作用：财过旺会坏印、加重身弱或生官杀；仅在日主能任且财不过度破印时成立。</x:v>
      </x:c>
      <x:c r="AB23" s="82" t="str">
        <x:v>较高</x:v>
      </x:c>
      <x:c r="AC23" s="82" t="str">
        <x:v>现代综合</x:v>
      </x:c>
      <x:c r="AD23" s="68" t="str">
        <x:v>喜忌用神必须同时读取扶抑、格局、通关、调候和病药五个维度。单一维度有利不足以自动成为主用；最终定位取决于是否解决根本问题、是否触犯格局硬约束、药力是否可达以及副作用是否可控。</x:v>
      </x:c>
      <x:c r="AE23" s="68" t="str">
        <x:v>满足“日主旺且能任财，财星有承接能力”，且主要收益大于副作用时，可按“身旺能任财时正财可列耗身候选”定位。</x:v>
      </x:c>
      <x:c r="AF23" s="90" t="str">
        <x:v>若“日主弱、印为关键化杀药或财已过旺”成立，则不得按“身旺能任财时正财可列耗身候选”无条件定位。</x:v>
      </x:c>
      <x:c r="AG23" s="82" t="str">
        <x:v>采用</x:v>
      </x:c>
      <x:c r="AH23" s="82" t="str">
        <x:v>初审</x:v>
      </x:c>
      <x:c r="AI23" s="87" t="n">
        <x:v>46260</x:v>
      </x:c>
    </x:row>
    <x:row r="24">
      <x:c r="A24" s="72" t="str">
        <x:f>IF(OR(C24="",D24=""),"",B24&amp;"-"&amp;UPPER(C24)&amp;"-"&amp;TEXT(D24,"0000")&amp;"-"&amp;E24)</x:f>
        <x:v>M17-FUYI-0018-V1.0</x:v>
      </x:c>
      <x:c r="B24" s="74" t="str">
        <x:v>M17</x:v>
      </x:c>
      <x:c r="C24" s="74" t="str">
        <x:v>FUYI</x:v>
      </x:c>
      <x:c r="D24" s="215" t="n">
        <x:v>18</x:v>
      </x:c>
      <x:c r="E24" s="74" t="str">
        <x:v>V1.0</x:v>
      </x:c>
      <x:c r="F24" s="68" t="str">
        <x:v>身旺时偏财可列条件性耗身候选</x:v>
      </x:c>
      <x:c r="G24" s="82" t="str">
        <x:v>综合层</x:v>
      </x:c>
      <x:c r="H24" s="82"/>
      <x:c r="I24" s="82" t="str">
        <x:v>偏财</x:v>
      </x:c>
      <x:c r="J24" s="82" t="str">
        <x:v>扶抑用神</x:v>
      </x:c>
      <x:c r="K24" s="68" t="str">
        <x:v>耗身并制印</x:v>
      </x:c>
      <x:c r="L24" s="68" t="str">
        <x:v>可支持偏财格或财生官杀</x:v>
      </x:c>
      <x:c r="M24" s="68" t="str">
        <x:v>食伤→偏财→官杀通路</x:v>
      </x:c>
      <x:c r="N24" s="68" t="str">
        <x:v>随偏财五行另判</x:v>
      </x:c>
      <x:c r="O24" s="68" t="str">
        <x:v>可治疗印多身滞</x:v>
      </x:c>
      <x:c r="P24" s="68" t="str">
        <x:v>降低印比过旺、建立财官出口</x:v>
      </x:c>
      <x:c r="Q24" s="90" t="str">
        <x:v>可能财坏印、财滋杀或耗身过度</x:v>
      </x:c>
      <x:c r="R24" s="68" t="str">
        <x:v>身旺印旺，偏财可控且印非唯一关键药神</x:v>
      </x:c>
      <x:c r="S24" s="68" t="str">
        <x:v>身弱、杀旺无制或印为核心格神</x:v>
      </x:c>
      <x:c r="T24" s="68" t="str">
        <x:v>扶抑收益与财坏印/生杀冲突</x:v>
      </x:c>
      <x:c r="U24" s="68" t="str">
        <x:v>M18-待建立</x:v>
      </x:c>
      <x:c r="V24" s="84" t="str">
        <x:v>条件性喜神</x:v>
      </x:c>
      <x:c r="W24" s="82" t="str">
        <x:v>条件顺位</x:v>
      </x:c>
      <x:c r="X24" s="82" t="str">
        <x:v>是</x:v>
      </x:c>
      <x:c r="Y24" s="68" t="str">
        <x:v>财的净耗用收益大于坏印生杀副作用</x:v>
      </x:c>
      <x:c r="Z24" s="84" t="str">
        <x:v>偏财耗身条件化</x:v>
      </x:c>
      <x:c r="AA24" s="84" t="str">
        <x:v>该候选五行综合定位为“条件性喜神”，优先级为“条件顺位”。主要收益：降低印比过旺、建立财官出口；主要副作用：可能财坏印、财滋杀或耗身过度；仅在财的净耗用收益大于坏印生杀副作用时成立。</x:v>
      </x:c>
      <x:c r="AB24" s="82" t="str">
        <x:v>较高</x:v>
      </x:c>
      <x:c r="AC24" s="82" t="str">
        <x:v>现代综合</x:v>
      </x:c>
      <x:c r="AD24" s="68" t="str">
        <x:v>喜忌用神必须同时读取扶抑、格局、通关、调候和病药五个维度。单一维度有利不足以自动成为主用；最终定位取决于是否解决根本问题、是否触犯格局硬约束、药力是否可达以及副作用是否可控。</x:v>
      </x:c>
      <x:c r="AE24" s="68" t="str">
        <x:v>满足“身旺印旺，偏财可控且印非唯一关键药神”，且主要收益大于副作用时，可按“身旺时偏财可列条件性耗身候选”定位。</x:v>
      </x:c>
      <x:c r="AF24" s="90" t="str">
        <x:v>若“身弱、杀旺无制或印为核心格神”成立，则不得按“身旺时偏财可列条件性耗身候选”无条件定位。</x:v>
      </x:c>
      <x:c r="AG24" s="82" t="str">
        <x:v>采用</x:v>
      </x:c>
      <x:c r="AH24" s="82" t="str">
        <x:v>初审</x:v>
      </x:c>
      <x:c r="AI24" s="87" t="n">
        <x:v>46260</x:v>
      </x:c>
    </x:row>
    <x:row r="25">
      <x:c r="A25" s="72" t="str">
        <x:f>IF(OR(C25="",D25=""),"",B25&amp;"-"&amp;UPPER(C25)&amp;"-"&amp;TEXT(D25,"0000")&amp;"-"&amp;E25)</x:f>
        <x:v>M17-FUYI-0019-V1.0</x:v>
      </x:c>
      <x:c r="B25" s="74" t="str">
        <x:v>M17</x:v>
      </x:c>
      <x:c r="C25" s="74" t="str">
        <x:v>FUYI</x:v>
      </x:c>
      <x:c r="D25" s="215" t="n">
        <x:v>19</x:v>
      </x:c>
      <x:c r="E25" s="74" t="str">
        <x:v>V1.0</x:v>
      </x:c>
      <x:c r="F25" s="68" t="str">
        <x:v>身旺有承载时正官可列制衡候选</x:v>
      </x:c>
      <x:c r="G25" s="82" t="str">
        <x:v>综合层</x:v>
      </x:c>
      <x:c r="H25" s="82"/>
      <x:c r="I25" s="82" t="str">
        <x:v>正官</x:v>
      </x:c>
      <x:c r="J25" s="82" t="str">
        <x:v>扶抑用神</x:v>
      </x:c>
      <x:c r="K25" s="68" t="str">
        <x:v>有序制约旺身</x:v>
      </x:c>
      <x:c r="L25" s="68" t="str">
        <x:v>支持正官格、官印相生</x:v>
      </x:c>
      <x:c r="M25" s="68" t="str">
        <x:v>可生印形成官→印→身链</x:v>
      </x:c>
      <x:c r="N25" s="68" t="str">
        <x:v>随正官五行另判</x:v>
      </x:c>
      <x:c r="O25" s="68" t="str">
        <x:v>治疗比劫旺无制</x:v>
      </x:c>
      <x:c r="P25" s="68" t="str">
        <x:v>约束旺身与比劫集团</x:v>
      </x:c>
      <x:c r="Q25" s="90" t="str">
        <x:v>官过旺会压身；伤官见官会冲突</x:v>
      </x:c>
      <x:c r="R25" s="68" t="str">
        <x:v>日主旺，正官有根有力且不过度</x:v>
      </x:c>
      <x:c r="S25" s="68" t="str">
        <x:v>日主弱、正官受伤官强制或从旺/专旺严格成立</x:v>
      </x:c>
      <x:c r="T25" s="68" t="str">
        <x:v>制身与特殊格局/伤官结构冲突</x:v>
      </x:c>
      <x:c r="U25" s="68" t="str">
        <x:v>M18-待建立</x:v>
      </x:c>
      <x:c r="V25" s="84" t="str">
        <x:v>喜神</x:v>
      </x:c>
      <x:c r="W25" s="82" t="str">
        <x:v>第二顺位</x:v>
      </x:c>
      <x:c r="X25" s="82" t="str">
        <x:v>条件性</x:v>
      </x:c>
      <x:c r="Y25" s="68" t="str">
        <x:v>制身适中且官星不被重伤</x:v>
      </x:c>
      <x:c r="Z25" s="84" t="str">
        <x:v>身旺正官制衡</x:v>
      </x:c>
      <x:c r="AA25" s="84" t="str">
        <x:v>该候选五行综合定位为“喜神”，优先级为“第二顺位”。主要收益：约束旺身与比劫集团；主要副作用：官过旺会压身；伤官见官会冲突；仅在制身适中且官星不被重伤时成立。</x:v>
      </x:c>
      <x:c r="AB25" s="82" t="str">
        <x:v>较高</x:v>
      </x:c>
      <x:c r="AC25" s="82" t="str">
        <x:v>现代综合</x:v>
      </x:c>
      <x:c r="AD25" s="68" t="str">
        <x:v>喜忌用神必须同时读取扶抑、格局、通关、调候和病药五个维度。单一维度有利不足以自动成为主用；最终定位取决于是否解决根本问题、是否触犯格局硬约束、药力是否可达以及副作用是否可控。</x:v>
      </x:c>
      <x:c r="AE25" s="68" t="str">
        <x:v>满足“日主旺，正官有根有力且不过度”，且主要收益大于副作用时，可按“身旺有承载时正官可列制衡候选”定位。</x:v>
      </x:c>
      <x:c r="AF25" s="90" t="str">
        <x:v>若“日主弱、正官受伤官强制或从旺/专旺严格成立”成立，则不得按“身旺有承载时正官可列制衡候选”无条件定位。</x:v>
      </x:c>
      <x:c r="AG25" s="82" t="str">
        <x:v>采用</x:v>
      </x:c>
      <x:c r="AH25" s="82" t="str">
        <x:v>初审</x:v>
      </x:c>
      <x:c r="AI25" s="87" t="n">
        <x:v>46260</x:v>
      </x:c>
    </x:row>
    <x:row r="26">
      <x:c r="A26" s="72" t="str">
        <x:f>IF(OR(C26="",D26=""),"",B26&amp;"-"&amp;UPPER(C26)&amp;"-"&amp;TEXT(D26,"0000")&amp;"-"&amp;E26)</x:f>
        <x:v>M17-FUYI-0020-V1.0</x:v>
      </x:c>
      <x:c r="B26" s="74" t="str">
        <x:v>M17</x:v>
      </x:c>
      <x:c r="C26" s="74" t="str">
        <x:v>FUYI</x:v>
      </x:c>
      <x:c r="D26" s="215" t="n">
        <x:v>20</x:v>
      </x:c>
      <x:c r="E26" s="74" t="str">
        <x:v>V1.0</x:v>
      </x:c>
      <x:c r="F26" s="68" t="str">
        <x:v>身旺刃强时七杀可列制衡候选</x:v>
      </x:c>
      <x:c r="G26" s="82" t="str">
        <x:v>综合层</x:v>
      </x:c>
      <x:c r="H26" s="82"/>
      <x:c r="I26" s="82" t="str">
        <x:v>七杀</x:v>
      </x:c>
      <x:c r="J26" s="82" t="str">
        <x:v>扶抑用神</x:v>
      </x:c>
      <x:c r="K26" s="68" t="str">
        <x:v>强力制身或制刃</x:v>
      </x:c>
      <x:c r="L26" s="68" t="str">
        <x:v>支持七杀格、羊刃驾杀</x:v>
      </x:c>
      <x:c r="M26" s="68" t="str">
        <x:v>可经印星转化</x:v>
      </x:c>
      <x:c r="N26" s="68" t="str">
        <x:v>随七杀五行另判</x:v>
      </x:c>
      <x:c r="O26" s="68" t="str">
        <x:v>治疗羊刃无制或比劫极旺</x:v>
      </x:c>
      <x:c r="P26" s="68" t="str">
        <x:v>提供强制衡力量</x:v>
      </x:c>
      <x:c r="Q26" s="90" t="str">
        <x:v>杀过旺会攻身，需制化承载</x:v>
      </x:c>
      <x:c r="R26" s="68" t="str">
        <x:v>日主或羊刃强，七杀有权且比例适中</x:v>
      </x:c>
      <x:c r="S26" s="68" t="str">
        <x:v>日主弱、杀旺无制或特殊从旺格忌杀</x:v>
      </x:c>
      <x:c r="T26" s="68" t="str">
        <x:v>制衡收益与杀压风险</x:v>
      </x:c>
      <x:c r="U26" s="68" t="str">
        <x:v>M18-待建立</x:v>
      </x:c>
      <x:c r="V26" s="84" t="str">
        <x:v>条件性喜神</x:v>
      </x:c>
      <x:c r="W26" s="82" t="str">
        <x:v>条件顺位</x:v>
      </x:c>
      <x:c r="X26" s="82" t="str">
        <x:v>是</x:v>
      </x:c>
      <x:c r="Y26" s="68" t="str">
        <x:v>身杀匹配或有印食制化</x:v>
      </x:c>
      <x:c r="Z26" s="84" t="str">
        <x:v>七杀制旺条件化</x:v>
      </x:c>
      <x:c r="AA26" s="84" t="str">
        <x:v>该候选五行综合定位为“条件性喜神”，优先级为“条件顺位”。主要收益：提供强制衡力量；主要副作用：杀过旺会攻身，需制化承载；仅在身杀匹配或有印食制化时成立。</x:v>
      </x:c>
      <x:c r="AB26" s="82" t="str">
        <x:v>较高</x:v>
      </x:c>
      <x:c r="AC26" s="82" t="str">
        <x:v>现代综合</x:v>
      </x:c>
      <x:c r="AD26" s="68" t="str">
        <x:v>喜忌用神必须同时读取扶抑、格局、通关、调候和病药五个维度。单一维度有利不足以自动成为主用；最终定位取决于是否解决根本问题、是否触犯格局硬约束、药力是否可达以及副作用是否可控。</x:v>
      </x:c>
      <x:c r="AE26" s="68" t="str">
        <x:v>满足“日主或羊刃强，七杀有权且比例适中”，且主要收益大于副作用时，可按“身旺刃强时七杀可列制衡候选”定位。</x:v>
      </x:c>
      <x:c r="AF26" s="90" t="str">
        <x:v>若“日主弱、杀旺无制或特殊从旺格忌杀”成立，则不得按“身旺刃强时七杀可列制衡候选”无条件定位。</x:v>
      </x:c>
      <x:c r="AG26" s="82" t="str">
        <x:v>采用</x:v>
      </x:c>
      <x:c r="AH26" s="82" t="str">
        <x:v>初审</x:v>
      </x:c>
      <x:c r="AI26" s="87" t="n">
        <x:v>46260</x:v>
      </x:c>
    </x:row>
    <x:row r="27">
      <x:c r="A27" s="72" t="str">
        <x:f>IF(OR(C27="",D27=""),"",B27&amp;"-"&amp;UPPER(C27)&amp;"-"&amp;TEXT(D27,"0000")&amp;"-"&amp;E27)</x:f>
        <x:v>M17-FUYI-0021-V1.0</x:v>
      </x:c>
      <x:c r="B27" s="74" t="str">
        <x:v>M17</x:v>
      </x:c>
      <x:c r="C27" s="74" t="str">
        <x:v>FUYI</x:v>
      </x:c>
      <x:c r="D27" s="215" t="n">
        <x:v>21</x:v>
      </x:c>
      <x:c r="E27" s="74" t="str">
        <x:v>V1.0</x:v>
      </x:c>
      <x:c r="F27" s="68" t="str">
        <x:v>身弱时财官食伤通常降为负荷候选</x:v>
      </x:c>
      <x:c r="G27" s="82" t="str">
        <x:v>综合层</x:v>
      </x:c>
      <x:c r="H27" s="82"/>
      <x:c r="I27" s="82"/>
      <x:c r="J27" s="82" t="str">
        <x:v>扶抑用神</x:v>
      </x:c>
      <x:c r="K27" s="68" t="str">
        <x:v>进一步泄耗或制身</x:v>
      </x:c>
      <x:c r="L27" s="68" t="str">
        <x:v>可能仍为格神</x:v>
      </x:c>
      <x:c r="M27" s="68" t="str">
        <x:v>可能形成有效路径但增加日主成本</x:v>
      </x:c>
      <x:c r="N27" s="68" t="str">
        <x:v>随五行另判</x:v>
      </x:c>
      <x:c r="O27" s="68" t="str">
        <x:v>可能加重根本承载病</x:v>
      </x:c>
      <x:c r="P27" s="68" t="str">
        <x:v>若格局严格需要可保留局部功能</x:v>
      </x:c>
      <x:c r="Q27" s="90" t="str">
        <x:v>加重身弱与承载不足</x:v>
      </x:c>
      <x:c r="R27" s="68" t="str">
        <x:v>日主弱且对应十神有效作用于日主</x:v>
      </x:c>
      <x:c r="S27" s="68" t="str">
        <x:v>特殊从格严格成立或有强印比承载</x:v>
      </x:c>
      <x:c r="T27" s="68" t="str">
        <x:v>扶抑与格局需求冲突</x:v>
      </x:c>
      <x:c r="U27" s="68" t="str">
        <x:v>M18-待建立</x:v>
      </x:c>
      <x:c r="V27" s="84" t="str">
        <x:v>条件性忌神</x:v>
      </x:c>
      <x:c r="W27" s="82" t="str">
        <x:v>条件顺位</x:v>
      </x:c>
      <x:c r="X27" s="82" t="str">
        <x:v>是</x:v>
      </x:c>
      <x:c r="Y27" s="68" t="str">
        <x:v>除非格局/病药有更高优先级需求</x:v>
      </x:c>
      <x:c r="Z27" s="84" t="str">
        <x:v>身弱负荷端降级</x:v>
      </x:c>
      <x:c r="AA27" s="84" t="str">
        <x:v>该候选五行综合定位为“条件性忌神”，优先级为“条件顺位”。主要收益：若格局严格需要可保留局部功能；主要副作用：加重身弱与承载不足；仅在除非格局/病药有更高优先级需求时成立。</x:v>
      </x:c>
      <x:c r="AB27" s="82" t="str">
        <x:v>较高</x:v>
      </x:c>
      <x:c r="AC27" s="82" t="str">
        <x:v>现代综合</x:v>
      </x:c>
      <x:c r="AD27" s="68" t="str">
        <x:v>喜忌用神必须同时读取扶抑、格局、通关、调候和病药五个维度。单一维度有利不足以自动成为主用；最终定位取决于是否解决根本问题、是否触犯格局硬约束、药力是否可达以及副作用是否可控。</x:v>
      </x:c>
      <x:c r="AE27" s="68" t="str">
        <x:v>满足“日主弱且对应十神有效作用于日主”，且主要收益大于副作用时，可按“身弱时财官食伤通常降为负荷候选”定位。</x:v>
      </x:c>
      <x:c r="AF27" s="90" t="str">
        <x:v>若“特殊从格严格成立或有强印比承载”成立，则不得按“身弱时财官食伤通常降为负荷候选”无条件定位。</x:v>
      </x:c>
      <x:c r="AG27" s="82" t="str">
        <x:v>采用</x:v>
      </x:c>
      <x:c r="AH27" s="82" t="str">
        <x:v>初审</x:v>
      </x:c>
      <x:c r="AI27" s="87" t="n">
        <x:v>46260</x:v>
      </x:c>
    </x:row>
    <x:row r="28">
      <x:c r="A28" s="72" t="str">
        <x:f>IF(OR(C28="",D28=""),"",B28&amp;"-"&amp;UPPER(C28)&amp;"-"&amp;TEXT(D28,"0000")&amp;"-"&amp;E28)</x:f>
        <x:v>M17-FUYI-0022-V1.0</x:v>
      </x:c>
      <x:c r="B28" s="74" t="str">
        <x:v>M17</x:v>
      </x:c>
      <x:c r="C28" s="74" t="str">
        <x:v>FUYI</x:v>
      </x:c>
      <x:c r="D28" s="215" t="n">
        <x:v>22</x:v>
      </x:c>
      <x:c r="E28" s="74" t="str">
        <x:v>V1.0</x:v>
      </x:c>
      <x:c r="F28" s="68" t="str">
        <x:v>日主中和时扶抑维度不应独占用神判断</x:v>
      </x:c>
      <x:c r="G28" s="82" t="str">
        <x:v>综合层</x:v>
      </x:c>
      <x:c r="H28" s="82"/>
      <x:c r="I28" s="82"/>
      <x:c r="J28" s="82" t="str">
        <x:v>扶抑用神</x:v>
      </x:c>
      <x:c r="K28" s="68" t="str">
        <x:v>无明显扶抑缺口</x:v>
      </x:c>
      <x:c r="L28" s="68" t="str">
        <x:v>转格局维度</x:v>
      </x:c>
      <x:c r="M28" s="68" t="str">
        <x:v>转通关维度</x:v>
      </x:c>
      <x:c r="N28" s="68" t="str">
        <x:v>转调候维度</x:v>
      </x:c>
      <x:c r="O28" s="68" t="str">
        <x:v>转病药维度</x:v>
      </x:c>
      <x:c r="P28" s="68" t="str">
        <x:v>避免为了扶抑而人为打破中和</x:v>
      </x:c>
      <x:c r="Q28" s="90" t="str">
        <x:v>单纯扶或抑都可能制造偏差</x:v>
      </x:c>
      <x:c r="R28" s="68" t="str">
        <x:v>M09判中和且正反证据均衡</x:v>
      </x:c>
      <x:c r="S28" s="68" t="str">
        <x:v>其他维度存在明确根本病或硬约束</x:v>
      </x:c>
      <x:c r="T28" s="68" t="str">
        <x:v>扶抑低优先级</x:v>
      </x:c>
      <x:c r="U28" s="68" t="str">
        <x:v>M18-待建立</x:v>
      </x:c>
      <x:c r="V28" s="84" t="str">
        <x:v>中性</x:v>
      </x:c>
      <x:c r="W28" s="82" t="str">
        <x:v>不采用</x:v>
      </x:c>
      <x:c r="X28" s="82" t="str">
        <x:v>否</x:v>
      </x:c>
      <x:c r="Y28" s="68" t="str">
        <x:v>以格局、流通、调候和病药为主要依据</x:v>
      </x:c>
      <x:c r="Z28" s="84" t="str">
        <x:v>中和扶抑降权</x:v>
      </x:c>
      <x:c r="AA28" s="84" t="str">
        <x:v>该候选五行综合定位为“中性”，优先级为“不采用”。主要收益：避免为了扶抑而人为打破中和；主要副作用：单纯扶或抑都可能制造偏差；以格局、流通、调候和病药为主要依据。</x:v>
      </x:c>
      <x:c r="AB28" s="82" t="str">
        <x:v>较高</x:v>
      </x:c>
      <x:c r="AC28" s="82" t="str">
        <x:v>现代综合</x:v>
      </x:c>
      <x:c r="AD28" s="68" t="str">
        <x:v>喜忌用神必须同时读取扶抑、格局、通关、调候和病药五个维度。单一维度有利不足以自动成为主用；最终定位取决于是否解决根本问题、是否触犯格局硬约束、药力是否可达以及副作用是否可控。</x:v>
      </x:c>
      <x:c r="AE28" s="68" t="str">
        <x:v>满足“M09判中和且正反证据均衡”，且主要收益大于副作用时，可按“日主中和时扶抑维度不应独占用神判断”定位。</x:v>
      </x:c>
      <x:c r="AF28" s="90" t="str">
        <x:v>若“其他维度存在明确根本病或硬约束”成立，则不得按“日主中和时扶抑维度不应独占用神判断”无条件定位。</x:v>
      </x:c>
      <x:c r="AG28" s="82" t="str">
        <x:v>采用</x:v>
      </x:c>
      <x:c r="AH28" s="82" t="str">
        <x:v>初审</x:v>
      </x:c>
      <x:c r="AI28" s="87" t="n">
        <x:v>46260</x:v>
      </x:c>
    </x:row>
    <x:row r="29">
      <x:c r="A29" s="72" t="str">
        <x:f>IF(OR(C29="",D29=""),"",B29&amp;"-"&amp;UPPER(C29)&amp;"-"&amp;TEXT(D29,"0000")&amp;"-"&amp;E29)</x:f>
        <x:v>M17-GEJU-0023-V1.0</x:v>
      </x:c>
      <x:c r="B29" s="74" t="str">
        <x:v>M17</x:v>
      </x:c>
      <x:c r="C29" s="74" t="str">
        <x:v>GEJU</x:v>
      </x:c>
      <x:c r="D29" s="215" t="n">
        <x:v>23</x:v>
      </x:c>
      <x:c r="E29" s="74" t="str">
        <x:v>V1.0</x:v>
      </x:c>
      <x:c r="F29" s="68" t="str">
        <x:v>正官格以护官和维持官印/财官链为格局用神方向</x:v>
      </x:c>
      <x:c r="G29" s="82" t="str">
        <x:v>综合层</x:v>
      </x:c>
      <x:c r="H29" s="82"/>
      <x:c r="I29" s="82" t="str">
        <x:v>正官</x:v>
      </x:c>
      <x:c r="J29" s="82" t="str">
        <x:v>格局用神</x:v>
      </x:c>
      <x:c r="K29" s="68" t="str">
        <x:v>视日主承官能力而定</x:v>
      </x:c>
      <x:c r="L29" s="68" t="str">
        <x:v>保护正官格神与清纯度</x:v>
      </x:c>
      <x:c r="M29" s="68" t="str">
        <x:v>官→印→身或财→官链</x:v>
      </x:c>
      <x:c r="N29" s="68" t="str">
        <x:v>随官星五行另判</x:v>
      </x:c>
      <x:c r="O29" s="68" t="str">
        <x:v>治疗伤官破官或官星受损</x:v>
      </x:c>
      <x:c r="P29" s="68" t="str">
        <x:v>维护正官格主轴</x:v>
      </x:c>
      <x:c r="Q29" s="90" t="str">
        <x:v>官过旺会压身，护官药可能伤伤官格</x:v>
      </x:c>
      <x:c r="R29" s="68" t="str">
        <x:v>M15正官格基本成立以上且官星为核心格神</x:v>
      </x:c>
      <x:c r="S29" s="68" t="str">
        <x:v>正官格不成立、官星失效或伤官格更为主导</x:v>
      </x:c>
      <x:c r="T29" s="68" t="str">
        <x:v>护官与扶抑/伤官结构冲突</x:v>
      </x:c>
      <x:c r="U29" s="68" t="str">
        <x:v>M18-待建立</x:v>
      </x:c>
      <x:c r="V29" s="84" t="str">
        <x:v>主用神</x:v>
      </x:c>
      <x:c r="W29" s="82" t="str">
        <x:v>第一顺位</x:v>
      </x:c>
      <x:c r="X29" s="82" t="str">
        <x:v>条件性</x:v>
      </x:c>
      <x:c r="Y29" s="68" t="str">
        <x:v>日主能承官且护官不造成官杀过重</x:v>
      </x:c>
      <x:c r="Z29" s="84" t="str">
        <x:v>正官格护格用神</x:v>
      </x:c>
      <x:c r="AA29" s="84" t="str">
        <x:v>该候选五行综合定位为“主用神”，优先级为“第一顺位”。主要收益：维护正官格主轴；主要副作用：官过旺会压身，护官药可能伤伤官格；仅在日主能承官且护官不造成官杀过重时成立。</x:v>
      </x:c>
      <x:c r="AB29" s="82" t="str">
        <x:v>较高</x:v>
      </x:c>
      <x:c r="AC29" s="82" t="str">
        <x:v>现代综合</x:v>
      </x:c>
      <x:c r="AD29" s="68" t="str">
        <x:v>喜忌用神必须同时读取扶抑、格局、通关、调候和病药五个维度。单一维度有利不足以自动成为主用；最终定位取决于是否解决根本问题、是否触犯格局硬约束、药力是否可达以及副作用是否可控。</x:v>
      </x:c>
      <x:c r="AE29" s="68" t="str">
        <x:v>满足“M15正官格基本成立以上且官星为核心格神”，且主要收益大于副作用时，可按“正官格以护官和维持官印/财官链为格局用神方向”定位。</x:v>
      </x:c>
      <x:c r="AF29" s="90" t="str">
        <x:v>若“正官格不成立、官星失效或伤官格更为主导”成立，则不得按“正官格以护官和维持官印/财官链为格局用神方向”无条件定位。</x:v>
      </x:c>
      <x:c r="AG29" s="82" t="str">
        <x:v>采用</x:v>
      </x:c>
      <x:c r="AH29" s="82" t="str">
        <x:v>初审</x:v>
      </x:c>
      <x:c r="AI29" s="87" t="n">
        <x:v>46260</x:v>
      </x:c>
    </x:row>
    <x:row r="30">
      <x:c r="A30" s="72" t="str">
        <x:f>IF(OR(C30="",D30=""),"",B30&amp;"-"&amp;UPPER(C30)&amp;"-"&amp;TEXT(D30,"0000")&amp;"-"&amp;E30)</x:f>
        <x:v>M17-GEJU-0024-V1.0</x:v>
      </x:c>
      <x:c r="B30" s="74" t="str">
        <x:v>M17</x:v>
      </x:c>
      <x:c r="C30" s="74" t="str">
        <x:v>GEJU</x:v>
      </x:c>
      <x:c r="D30" s="215" t="n">
        <x:v>24</x:v>
      </x:c>
      <x:c r="E30" s="74" t="str">
        <x:v>V1.0</x:v>
      </x:c>
      <x:c r="F30" s="68" t="str">
        <x:v>七杀格以制杀或化杀的主路线为格局用神</x:v>
      </x:c>
      <x:c r="G30" s="82" t="str">
        <x:v>综合层</x:v>
      </x:c>
      <x:c r="H30" s="82"/>
      <x:c r="I30" s="82" t="str">
        <x:v>七杀</x:v>
      </x:c>
      <x:c r="J30" s="82" t="str">
        <x:v>格局用神</x:v>
      </x:c>
      <x:c r="K30" s="68" t="str">
        <x:v>取决于食制或印化路线</x:v>
      </x:c>
      <x:c r="L30" s="68" t="str">
        <x:v>维持七杀有权而不过度攻身</x:v>
      </x:c>
      <x:c r="M30" s="68" t="str">
        <x:v>食神→杀或杀→印→身</x:v>
      </x:c>
      <x:c r="N30" s="68" t="str">
        <x:v>随相关五行另判</x:v>
      </x:c>
      <x:c r="O30" s="68" t="str">
        <x:v>治疗杀无制化、制杀不及或化杀不及</x:v>
      </x:c>
      <x:c r="P30" s="68" t="str">
        <x:v>建立稳定七杀制化结构</x:v>
      </x:c>
      <x:c r="Q30" s="90" t="str">
        <x:v>路线选择错误会泄身、夺食或印多</x:v>
      </x:c>
      <x:c r="R30" s="68" t="str">
        <x:v>M15七杀格成立且制化路线明确</x:v>
      </x:c>
      <x:c r="S30" s="68" t="str">
        <x:v>七杀格不成立或真从官杀严格成立</x:v>
      </x:c>
      <x:c r="T30" s="68" t="str">
        <x:v>食制与印化路线竞争</x:v>
      </x:c>
      <x:c r="U30" s="68" t="str">
        <x:v>M18-待建立</x:v>
      </x:c>
      <x:c r="V30" s="84" t="str">
        <x:v>主用神</x:v>
      </x:c>
      <x:c r="W30" s="82" t="str">
        <x:v>第一顺位</x:v>
      </x:c>
      <x:c r="X30" s="82" t="str">
        <x:v>是</x:v>
      </x:c>
      <x:c r="Y30" s="68" t="str">
        <x:v>只选净收益更高的一条主制化路线</x:v>
      </x:c>
      <x:c r="Z30" s="84" t="str">
        <x:v>七杀格制化用神</x:v>
      </x:c>
      <x:c r="AA30" s="84" t="str">
        <x:v>该候选五行综合定位为“主用神”，优先级为“第一顺位”。主要收益：建立稳定七杀制化结构；主要副作用：路线选择错误会泄身、夺食或印多；仅在只选净收益更高的一条主制化路线时成立。</x:v>
      </x:c>
      <x:c r="AB30" s="82" t="str">
        <x:v>较高</x:v>
      </x:c>
      <x:c r="AC30" s="82" t="str">
        <x:v>现代综合</x:v>
      </x:c>
      <x:c r="AD30" s="68" t="str">
        <x:v>喜忌用神必须同时读取扶抑、格局、通关、调候和病药五个维度。单一维度有利不足以自动成为主用；最终定位取决于是否解决根本问题、是否触犯格局硬约束、药力是否可达以及副作用是否可控。</x:v>
      </x:c>
      <x:c r="AE30" s="68" t="str">
        <x:v>满足“M15七杀格成立且制化路线明确”，且主要收益大于副作用时，可按“七杀格以制杀或化杀的主路线为格局用神”定位。</x:v>
      </x:c>
      <x:c r="AF30" s="90" t="str">
        <x:v>若“七杀格不成立或真从官杀严格成立”成立，则不得按“七杀格以制杀或化杀的主路线为格局用神”无条件定位。</x:v>
      </x:c>
      <x:c r="AG30" s="82" t="str">
        <x:v>采用</x:v>
      </x:c>
      <x:c r="AH30" s="82" t="str">
        <x:v>初审</x:v>
      </x:c>
      <x:c r="AI30" s="87" t="n">
        <x:v>46260</x:v>
      </x:c>
    </x:row>
    <x:row r="31">
      <x:c r="A31" s="72" t="str">
        <x:f>IF(OR(C31="",D31=""),"",B31&amp;"-"&amp;UPPER(C31)&amp;"-"&amp;TEXT(D31,"0000")&amp;"-"&amp;E31)</x:f>
        <x:v>M17-GEJU-0025-V1.0</x:v>
      </x:c>
      <x:c r="B31" s="74" t="str">
        <x:v>M17</x:v>
      </x:c>
      <x:c r="C31" s="74" t="str">
        <x:v>GEJU</x:v>
      </x:c>
      <x:c r="D31" s="215" t="n">
        <x:v>25</x:v>
      </x:c>
      <x:c r="E31" s="74" t="str">
        <x:v>V1.0</x:v>
      </x:c>
      <x:c r="F31" s="68" t="str">
        <x:v>印格以保护印星功能并防生身过度为用神方向</x:v>
      </x:c>
      <x:c r="G31" s="82" t="str">
        <x:v>综合层</x:v>
      </x:c>
      <x:c r="H31" s="82"/>
      <x:c r="I31" s="82" t="str">
        <x:v>正印</x:v>
      </x:c>
      <x:c r="J31" s="82" t="str">
        <x:v>格局用神</x:v>
      </x:c>
      <x:c r="K31" s="68" t="str">
        <x:v>印生身，需防身旺过度</x:v>
      </x:c>
      <x:c r="L31" s="68" t="str">
        <x:v>保护正偏印格、官印或杀印链</x:v>
      </x:c>
      <x:c r="M31" s="68" t="str">
        <x:v>官杀→印→身</x:v>
      </x:c>
      <x:c r="N31" s="68" t="str">
        <x:v>随印星五行另判</x:v>
      </x:c>
      <x:c r="O31" s="68" t="str">
        <x:v>治疗财坏印或印格配合神无力</x:v>
      </x:c>
      <x:c r="P31" s="68" t="str">
        <x:v>维持生身、化杀和配印功能</x:v>
      </x:c>
      <x:c r="Q31" s="90" t="str">
        <x:v>护印过度会印多身滞、枭夺食</x:v>
      </x:c>
      <x:c r="R31" s="68" t="str">
        <x:v>M15印格成立且印为关键格神</x:v>
      </x:c>
      <x:c r="S31" s="68" t="str">
        <x:v>印已过旺为根本病，或财格主导且印非关键</x:v>
      </x:c>
      <x:c r="T31" s="68" t="str">
        <x:v>护印与泄秀/财格需求冲突</x:v>
      </x:c>
      <x:c r="U31" s="68" t="str">
        <x:v>M18-待建立</x:v>
      </x:c>
      <x:c r="V31" s="84" t="str">
        <x:v>主用神</x:v>
      </x:c>
      <x:c r="W31" s="82" t="str">
        <x:v>第一顺位</x:v>
      </x:c>
      <x:c r="X31" s="82" t="str">
        <x:v>条件性</x:v>
      </x:c>
      <x:c r="Y31" s="68" t="str">
        <x:v>只护持印的必要功能，不使印生过度</x:v>
      </x:c>
      <x:c r="Z31" s="84" t="str">
        <x:v>印格护印用神</x:v>
      </x:c>
      <x:c r="AA31" s="84" t="str">
        <x:v>该候选五行综合定位为“主用神”，优先级为“第一顺位”。主要收益：维持生身、化杀和配印功能；主要副作用：护印过度会印多身滞、枭夺食；仅在只护持印的必要功能，不使印生过度时成立。</x:v>
      </x:c>
      <x:c r="AB31" s="82" t="str">
        <x:v>较高</x:v>
      </x:c>
      <x:c r="AC31" s="82" t="str">
        <x:v>现代综合</x:v>
      </x:c>
      <x:c r="AD31" s="68" t="str">
        <x:v>喜忌用神必须同时读取扶抑、格局、通关、调候和病药五个维度。单一维度有利不足以自动成为主用；最终定位取决于是否解决根本问题、是否触犯格局硬约束、药力是否可达以及副作用是否可控。</x:v>
      </x:c>
      <x:c r="AE31" s="68" t="str">
        <x:v>满足“M15印格成立且印为关键格神”，且主要收益大于副作用时，可按“印格以保护印星功能并防生身过度为用神方向”定位。</x:v>
      </x:c>
      <x:c r="AF31" s="90" t="str">
        <x:v>若“印已过旺为根本病，或财格主导且印非关键”成立，则不得按“印格以保护印星功能并防生身过度为用神方向”无条件定位。</x:v>
      </x:c>
      <x:c r="AG31" s="82" t="str">
        <x:v>采用</x:v>
      </x:c>
      <x:c r="AH31" s="82" t="str">
        <x:v>初审</x:v>
      </x:c>
      <x:c r="AI31" s="87" t="n">
        <x:v>46260</x:v>
      </x:c>
    </x:row>
    <x:row r="32">
      <x:c r="A32" s="72" t="str">
        <x:f>IF(OR(C32="",D32=""),"",B32&amp;"-"&amp;UPPER(C32)&amp;"-"&amp;TEXT(D32,"0000")&amp;"-"&amp;E32)</x:f>
        <x:v>M17-GEJU-0026-V1.0</x:v>
      </x:c>
      <x:c r="B32" s="74" t="str">
        <x:v>M17</x:v>
      </x:c>
      <x:c r="C32" s="74" t="str">
        <x:v>GEJU</x:v>
      </x:c>
      <x:c r="D32" s="215" t="n">
        <x:v>26</x:v>
      </x:c>
      <x:c r="E32" s="74" t="str">
        <x:v>V1.0</x:v>
      </x:c>
      <x:c r="F32" s="68" t="str">
        <x:v>财格以保护财星与日主任财能力为用神方向</x:v>
      </x:c>
      <x:c r="G32" s="82" t="str">
        <x:v>综合层</x:v>
      </x:c>
      <x:c r="H32" s="82"/>
      <x:c r="I32" s="82" t="str">
        <x:v>正财</x:v>
      </x:c>
      <x:c r="J32" s="82" t="str">
        <x:v>格局用神</x:v>
      </x:c>
      <x:c r="K32" s="68" t="str">
        <x:v>日主必须具备任财承载</x:v>
      </x:c>
      <x:c r="L32" s="68" t="str">
        <x:v>保护财格、食伤生财或财官链</x:v>
      </x:c>
      <x:c r="M32" s="68" t="str">
        <x:v>食伤→财→官</x:v>
      </x:c>
      <x:c r="N32" s="68" t="str">
        <x:v>随财星五行另判</x:v>
      </x:c>
      <x:c r="O32" s="68" t="str">
        <x:v>治疗比劫夺财、财格配合神无力</x:v>
      </x:c>
      <x:c r="P32" s="68" t="str">
        <x:v>保持财星终点与资源链</x:v>
      </x:c>
      <x:c r="Q32" s="90" t="str">
        <x:v>护财过度会财多身弱、财坏印或财滋杀</x:v>
      </x:c>
      <x:c r="R32" s="68" t="str">
        <x:v>M15财格成立且日主能任财</x:v>
      </x:c>
      <x:c r="S32" s="68" t="str">
        <x:v>财多身弱、从财格严格成立时应顺势另判，或财为主要病因</x:v>
      </x:c>
      <x:c r="T32" s="68" t="str">
        <x:v>护财与扶身/护印冲突</x:v>
      </x:c>
      <x:c r="U32" s="68" t="str">
        <x:v>M18-待建立</x:v>
      </x:c>
      <x:c r="V32" s="84" t="str">
        <x:v>主用神</x:v>
      </x:c>
      <x:c r="W32" s="82" t="str">
        <x:v>第一顺位</x:v>
      </x:c>
      <x:c r="X32" s="82" t="str">
        <x:v>条件性</x:v>
      </x:c>
      <x:c r="Y32" s="68" t="str">
        <x:v>财星不过度耗身、坏印或生杀</x:v>
      </x:c>
      <x:c r="Z32" s="84" t="str">
        <x:v>财格护财用神</x:v>
      </x:c>
      <x:c r="AA32" s="84" t="str">
        <x:v>该候选五行综合定位为“主用神”，优先级为“第一顺位”。主要收益：保持财星终点与资源链；主要副作用：护财过度会财多身弱、财坏印或财滋杀；仅在财星不过度耗身、坏印或生杀时成立。</x:v>
      </x:c>
      <x:c r="AB32" s="82" t="str">
        <x:v>较高</x:v>
      </x:c>
      <x:c r="AC32" s="82" t="str">
        <x:v>现代综合</x:v>
      </x:c>
      <x:c r="AD32" s="68" t="str">
        <x:v>喜忌用神必须同时读取扶抑、格局、通关、调候和病药五个维度。单一维度有利不足以自动成为主用；最终定位取决于是否解决根本问题、是否触犯格局硬约束、药力是否可达以及副作用是否可控。</x:v>
      </x:c>
      <x:c r="AE32" s="68" t="str">
        <x:v>满足“M15财格成立且日主能任财”，且主要收益大于副作用时，可按“财格以保护财星与日主任财能力为用神方向”定位。</x:v>
      </x:c>
      <x:c r="AF32" s="90" t="str">
        <x:v>若“财多身弱、从财格严格成立时应顺势另判，或财为主要病因”成立，则不得按“财格以保护财星与日主任财能力为用神方向”无条件定位。</x:v>
      </x:c>
      <x:c r="AG32" s="82" t="str">
        <x:v>采用</x:v>
      </x:c>
      <x:c r="AH32" s="82" t="str">
        <x:v>初审</x:v>
      </x:c>
      <x:c r="AI32" s="87" t="n">
        <x:v>46260</x:v>
      </x:c>
    </x:row>
    <x:row r="33">
      <x:c r="A33" s="72" t="str">
        <x:f>IF(OR(C33="",D33=""),"",B33&amp;"-"&amp;UPPER(C33)&amp;"-"&amp;TEXT(D33,"0000")&amp;"-"&amp;E33)</x:f>
        <x:v>M17-GEJU-0027-V1.0</x:v>
      </x:c>
      <x:c r="B33" s="74" t="str">
        <x:v>M17</x:v>
      </x:c>
      <x:c r="C33" s="74" t="str">
        <x:v>GEJU</x:v>
      </x:c>
      <x:c r="D33" s="215" t="n">
        <x:v>27</x:v>
      </x:c>
      <x:c r="E33" s="74" t="str">
        <x:v>V1.0</x:v>
      </x:c>
      <x:c r="F33" s="68" t="str">
        <x:v>食神格以保护食神并维持生财或制杀功能为用神方向</x:v>
      </x:c>
      <x:c r="G33" s="82" t="str">
        <x:v>综合层</x:v>
      </x:c>
      <x:c r="H33" s="82"/>
      <x:c r="I33" s="82" t="str">
        <x:v>食神</x:v>
      </x:c>
      <x:c r="J33" s="82" t="str">
        <x:v>格局用神</x:v>
      </x:c>
      <x:c r="K33" s="68" t="str">
        <x:v>泄身，须日主有源</x:v>
      </x:c>
      <x:c r="L33" s="68" t="str">
        <x:v>保护食神格、食神生财或食神制杀</x:v>
      </x:c>
      <x:c r="M33" s="68" t="str">
        <x:v>身→食神→财或食神→杀</x:v>
      </x:c>
      <x:c r="N33" s="68" t="str">
        <x:v>随食神五行另判</x:v>
      </x:c>
      <x:c r="O33" s="68" t="str">
        <x:v>治疗枭夺食和食神无力</x:v>
      </x:c>
      <x:c r="P33" s="68" t="str">
        <x:v>维持温和输出与关键制化</x:v>
      </x:c>
      <x:c r="Q33" s="90" t="str">
        <x:v>日主弱时过泄，护食可能与印格冲突</x:v>
      </x:c>
      <x:c r="R33" s="68" t="str">
        <x:v>M15食神格成立且食神承担核心功能</x:v>
      </x:c>
      <x:c r="S33" s="68" t="str">
        <x:v>食神格不成立、日主极弱或从儿格另按顺势</x:v>
      </x:c>
      <x:c r="T33" s="68" t="str">
        <x:v>护食与印扶身/印化杀冲突</x:v>
      </x:c>
      <x:c r="U33" s="68" t="str">
        <x:v>M18-待建立</x:v>
      </x:c>
      <x:c r="V33" s="84" t="str">
        <x:v>主用神</x:v>
      </x:c>
      <x:c r="W33" s="82" t="str">
        <x:v>第一顺位</x:v>
      </x:c>
      <x:c r="X33" s="82" t="str">
        <x:v>条件性</x:v>
      </x:c>
      <x:c r="Y33" s="68" t="str">
        <x:v>食神有源且不因护食而失去必要印星</x:v>
      </x:c>
      <x:c r="Z33" s="84" t="str">
        <x:v>食神格护食用神</x:v>
      </x:c>
      <x:c r="AA33" s="84" t="str">
        <x:v>该候选五行综合定位为“主用神”，优先级为“第一顺位”。主要收益：维持温和输出与关键制化；主要副作用：日主弱时过泄，护食可能与印格冲突；仅在食神有源且不因护食而失去必要印星时成立。</x:v>
      </x:c>
      <x:c r="AB33" s="82" t="str">
        <x:v>较高</x:v>
      </x:c>
      <x:c r="AC33" s="82" t="str">
        <x:v>现代综合</x:v>
      </x:c>
      <x:c r="AD33" s="68" t="str">
        <x:v>喜忌用神必须同时读取扶抑、格局、通关、调候和病药五个维度。单一维度有利不足以自动成为主用；最终定位取决于是否解决根本问题、是否触犯格局硬约束、药力是否可达以及副作用是否可控。</x:v>
      </x:c>
      <x:c r="AE33" s="68" t="str">
        <x:v>满足“M15食神格成立且食神承担核心功能”，且主要收益大于副作用时，可按“食神格以保护食神并维持生财或制杀功能为用神方向”定位。</x:v>
      </x:c>
      <x:c r="AF33" s="90" t="str">
        <x:v>若“食神格不成立、日主极弱或从儿格另按顺势”成立，则不得按“食神格以保护食神并维持生财或制杀功能为用神方向”无条件定位。</x:v>
      </x:c>
      <x:c r="AG33" s="82" t="str">
        <x:v>采用</x:v>
      </x:c>
      <x:c r="AH33" s="82" t="str">
        <x:v>初审</x:v>
      </x:c>
      <x:c r="AI33" s="87" t="n">
        <x:v>46260</x:v>
      </x:c>
    </x:row>
    <x:row r="34">
      <x:c r="A34" s="72" t="str">
        <x:f>IF(OR(C34="",D34=""),"",B34&amp;"-"&amp;UPPER(C34)&amp;"-"&amp;TEXT(D34,"0000")&amp;"-"&amp;E34)</x:f>
        <x:v>M17-GEJU-0028-V1.0</x:v>
      </x:c>
      <x:c r="B34" s="74" t="str">
        <x:v>M17</x:v>
      </x:c>
      <x:c r="C34" s="74" t="str">
        <x:v>GEJU</x:v>
      </x:c>
      <x:c r="D34" s="215" t="n">
        <x:v>28</x:v>
      </x:c>
      <x:c r="E34" s="74" t="str">
        <x:v>V1.0</x:v>
      </x:c>
      <x:c r="F34" s="68" t="str">
        <x:v>伤官格以生财或配印的稳定路线为格局用神</x:v>
      </x:c>
      <x:c r="G34" s="82" t="str">
        <x:v>综合层</x:v>
      </x:c>
      <x:c r="H34" s="82"/>
      <x:c r="I34" s="82" t="str">
        <x:v>伤官</x:v>
      </x:c>
      <x:c r="J34" s="82" t="str">
        <x:v>格局用神</x:v>
      </x:c>
      <x:c r="K34" s="68" t="str">
        <x:v>泄身，需控制强度</x:v>
      </x:c>
      <x:c r="L34" s="68" t="str">
        <x:v>支持伤官生财或伤官配印</x:v>
      </x:c>
      <x:c r="M34" s="68" t="str">
        <x:v>身→伤官→财，或印→伤官制约</x:v>
      </x:c>
      <x:c r="N34" s="68" t="str">
        <x:v>随相关五行另判</x:v>
      </x:c>
      <x:c r="O34" s="68" t="str">
        <x:v>治疗伤官见官、配印不足或输出无承接</x:v>
      </x:c>
      <x:c r="P34" s="68" t="str">
        <x:v>为伤官提供出口或约束</x:v>
      </x:c>
      <x:c r="Q34" s="90" t="str">
        <x:v>生财会耗身，配印会增身并可能制伤过度</x:v>
      </x:c>
      <x:c r="R34" s="68" t="str">
        <x:v>M15伤官格成立且主路线明确</x:v>
      </x:c>
      <x:c r="S34" s="68" t="str">
        <x:v>伤官格不成立或正官格为更高优先主格</x:v>
      </x:c>
      <x:c r="T34" s="68" t="str">
        <x:v>生财路线与配印路线、副作用竞争</x:v>
      </x:c>
      <x:c r="U34" s="68" t="str">
        <x:v>M18-待建立</x:v>
      </x:c>
      <x:c r="V34" s="84" t="str">
        <x:v>主用神</x:v>
      </x:c>
      <x:c r="W34" s="82" t="str">
        <x:v>第一顺位</x:v>
      </x:c>
      <x:c r="X34" s="82" t="str">
        <x:v>是</x:v>
      </x:c>
      <x:c r="Y34" s="68" t="str">
        <x:v>选择生财或配印中更符合日主承载的一条路线</x:v>
      </x:c>
      <x:c r="Z34" s="84" t="str">
        <x:v>伤官格路线用神</x:v>
      </x:c>
      <x:c r="AA34" s="84" t="str">
        <x:v>该候选五行综合定位为“主用神”，优先级为“第一顺位”。主要收益：为伤官提供出口或约束；主要副作用：生财会耗身，配印会增身并可能制伤过度；仅在选择生财或配印中更符合日主承载的一条路线时成立。</x:v>
      </x:c>
      <x:c r="AB34" s="82" t="str">
        <x:v>较高</x:v>
      </x:c>
      <x:c r="AC34" s="82" t="str">
        <x:v>现代综合</x:v>
      </x:c>
      <x:c r="AD34" s="68" t="str">
        <x:v>喜忌用神必须同时读取扶抑、格局、通关、调候和病药五个维度。单一维度有利不足以自动成为主用；最终定位取决于是否解决根本问题、是否触犯格局硬约束、药力是否可达以及副作用是否可控。</x:v>
      </x:c>
      <x:c r="AE34" s="68" t="str">
        <x:v>满足“M15伤官格成立且主路线明确”，且主要收益大于副作用时，可按“伤官格以生财或配印的稳定路线为格局用神”定位。</x:v>
      </x:c>
      <x:c r="AF34" s="90" t="str">
        <x:v>若“伤官格不成立或正官格为更高优先主格”成立，则不得按“伤官格以生财或配印的稳定路线为格局用神”无条件定位。</x:v>
      </x:c>
      <x:c r="AG34" s="82" t="str">
        <x:v>采用</x:v>
      </x:c>
      <x:c r="AH34" s="82" t="str">
        <x:v>初审</x:v>
      </x:c>
      <x:c r="AI34" s="87" t="n">
        <x:v>46260</x:v>
      </x:c>
    </x:row>
    <x:row r="35">
      <x:c r="A35" s="72" t="str">
        <x:f>IF(OR(C35="",D35=""),"",B35&amp;"-"&amp;UPPER(C35)&amp;"-"&amp;TEXT(D35,"0000")&amp;"-"&amp;E35)</x:f>
        <x:v>M17-GEJU-0029-V1.0</x:v>
      </x:c>
      <x:c r="B35" s="74" t="str">
        <x:v>M17</x:v>
      </x:c>
      <x:c r="C35" s="74" t="str">
        <x:v>GEJU</x:v>
      </x:c>
      <x:c r="D35" s="215" t="n">
        <x:v>29</x:v>
      </x:c>
      <x:c r="E35" s="74" t="str">
        <x:v>V1.0</x:v>
      </x:c>
      <x:c r="F35" s="68" t="str">
        <x:v>建禄格以建立制泄耗出口为格局用神方向</x:v>
      </x:c>
      <x:c r="G35" s="82" t="str">
        <x:v>综合层</x:v>
      </x:c>
      <x:c r="H35" s="82"/>
      <x:c r="I35" s="82"/>
      <x:c r="J35" s="82" t="str">
        <x:v>格局用神</x:v>
      </x:c>
      <x:c r="K35" s="68" t="str">
        <x:v>通常不再增加印比</x:v>
      </x:c>
      <x:c r="L35" s="68" t="str">
        <x:v>以财官食伤疏导建禄强身</x:v>
      </x:c>
      <x:c r="M35" s="68" t="str">
        <x:v>身→食伤→财或官杀制比</x:v>
      </x:c>
      <x:c r="N35" s="68" t="str">
        <x:v>随候选五行另判</x:v>
      </x:c>
      <x:c r="O35" s="68" t="str">
        <x:v>治疗比劫壅塞、源头过旺无泄</x:v>
      </x:c>
      <x:c r="P35" s="68" t="str">
        <x:v>让强身有出口或制衡</x:v>
      </x:c>
      <x:c r="Q35" s="90" t="str">
        <x:v>制泄过度会由旺转弱，财官食伤各有格局风险</x:v>
      </x:c>
      <x:c r="R35" s="68" t="str">
        <x:v>M15建禄格成立且非从旺/专旺</x:v>
      </x:c>
      <x:c r="S35" s="68" t="str">
        <x:v>日主并不旺或特殊格局严格成立</x:v>
      </x:c>
      <x:c r="T35" s="68" t="str">
        <x:v>泄、制、耗三路线选择</x:v>
      </x:c>
      <x:c r="U35" s="68" t="str">
        <x:v>M18-待建立</x:v>
      </x:c>
      <x:c r="V35" s="84" t="str">
        <x:v>主用神</x:v>
      </x:c>
      <x:c r="W35" s="82" t="str">
        <x:v>第一顺位</x:v>
      </x:c>
      <x:c r="X35" s="82" t="str">
        <x:v>是</x:v>
      </x:c>
      <x:c r="Y35" s="68" t="str">
        <x:v>按主路径选择食伤、官杀或财星之一为主</x:v>
      </x:c>
      <x:c r="Z35" s="84" t="str">
        <x:v>建禄格出口用神</x:v>
      </x:c>
      <x:c r="AA35" s="84" t="str">
        <x:v>该候选五行综合定位为“主用神”，优先级为“第一顺位”。主要收益：让强身有出口或制衡；主要副作用：制泄过度会由旺转弱，财官食伤各有格局风险；仅在按主路径选择食伤、官杀或财星之一为主时成立。</x:v>
      </x:c>
      <x:c r="AB35" s="82" t="str">
        <x:v>较高</x:v>
      </x:c>
      <x:c r="AC35" s="82" t="str">
        <x:v>现代综合</x:v>
      </x:c>
      <x:c r="AD35" s="68" t="str">
        <x:v>喜忌用神必须同时读取扶抑、格局、通关、调候和病药五个维度。单一维度有利不足以自动成为主用；最终定位取决于是否解决根本问题、是否触犯格局硬约束、药力是否可达以及副作用是否可控。</x:v>
      </x:c>
      <x:c r="AE35" s="68" t="str">
        <x:v>满足“M15建禄格成立且非从旺/专旺”，且主要收益大于副作用时，可按“建禄格以建立制泄耗出口为格局用神方向”定位。</x:v>
      </x:c>
      <x:c r="AF35" s="90" t="str">
        <x:v>若“日主并不旺或特殊格局严格成立”成立，则不得按“建禄格以建立制泄耗出口为格局用神方向”无条件定位。</x:v>
      </x:c>
      <x:c r="AG35" s="82" t="str">
        <x:v>采用</x:v>
      </x:c>
      <x:c r="AH35" s="82" t="str">
        <x:v>初审</x:v>
      </x:c>
      <x:c r="AI35" s="87" t="n">
        <x:v>46260</x:v>
      </x:c>
    </x:row>
    <x:row r="36">
      <x:c r="A36" s="72" t="str">
        <x:f>IF(OR(C36="",D36=""),"",B36&amp;"-"&amp;UPPER(C36)&amp;"-"&amp;TEXT(D36,"0000")&amp;"-"&amp;E36)</x:f>
        <x:v>M17-GEJU-0030-V1.0</x:v>
      </x:c>
      <x:c r="B36" s="74" t="str">
        <x:v>M17</x:v>
      </x:c>
      <x:c r="C36" s="74" t="str">
        <x:v>GEJU</x:v>
      </x:c>
      <x:c r="D36" s="215" t="n">
        <x:v>30</x:v>
      </x:c>
      <x:c r="E36" s="74" t="str">
        <x:v>V1.0</x:v>
      </x:c>
      <x:c r="F36" s="68" t="str">
        <x:v>羊刃格以有效制刃或泄刃为格局用神方向</x:v>
      </x:c>
      <x:c r="G36" s="82" t="str">
        <x:v>综合层</x:v>
      </x:c>
      <x:c r="H36" s="82"/>
      <x:c r="I36" s="82" t="str">
        <x:v>七杀</x:v>
      </x:c>
      <x:c r="J36" s="82" t="str">
        <x:v>格局用神</x:v>
      </x:c>
      <x:c r="K36" s="68" t="str">
        <x:v>官杀制刃或食伤泄刃</x:v>
      </x:c>
      <x:c r="L36" s="68" t="str">
        <x:v>维护羊刃驾杀或强身制衡</x:v>
      </x:c>
      <x:c r="M36" s="68" t="str">
        <x:v>官杀→刃制约或身→食伤泄出</x:v>
      </x:c>
      <x:c r="N36" s="68" t="str">
        <x:v>随候选五行另判</x:v>
      </x:c>
      <x:c r="O36" s="68" t="str">
        <x:v>治疗羊刃无制或比劫极旺</x:v>
      </x:c>
      <x:c r="P36" s="68" t="str">
        <x:v>约束强刃并保持格局运行</x:v>
      </x:c>
      <x:c r="Q36" s="90" t="str">
        <x:v>制刃太过会压身，泄刃太过会伤承载</x:v>
      </x:c>
      <x:c r="R36" s="68" t="str">
        <x:v>M15羊刃格成立且非从旺</x:v>
      </x:c>
      <x:c r="S36" s="68" t="str">
        <x:v>杀弱无根、日主承载不足或从旺/专旺严格成立</x:v>
      </x:c>
      <x:c r="T36" s="68" t="str">
        <x:v>驾杀与泄刃路线冲突</x:v>
      </x:c>
      <x:c r="U36" s="68" t="str">
        <x:v>M18-待建立</x:v>
      </x:c>
      <x:c r="V36" s="84" t="str">
        <x:v>主用神</x:v>
      </x:c>
      <x:c r="W36" s="82" t="str">
        <x:v>第一顺位</x:v>
      </x:c>
      <x:c r="X36" s="82" t="str">
        <x:v>是</x:v>
      </x:c>
      <x:c r="Y36" s="68" t="str">
        <x:v>制刃或泄刃比例适中</x:v>
      </x:c>
      <x:c r="Z36" s="84" t="str">
        <x:v>羊刃格制泄用神</x:v>
      </x:c>
      <x:c r="AA36" s="84" t="str">
        <x:v>该候选五行综合定位为“主用神”，优先级为“第一顺位”。主要收益：约束强刃并保持格局运行；主要副作用：制刃太过会压身，泄刃太过会伤承载；仅在制刃或泄刃比例适中时成立。</x:v>
      </x:c>
      <x:c r="AB36" s="82" t="str">
        <x:v>较高</x:v>
      </x:c>
      <x:c r="AC36" s="82" t="str">
        <x:v>现代综合</x:v>
      </x:c>
      <x:c r="AD36" s="68" t="str">
        <x:v>喜忌用神必须同时读取扶抑、格局、通关、调候和病药五个维度。单一维度有利不足以自动成为主用；最终定位取决于是否解决根本问题、是否触犯格局硬约束、药力是否可达以及副作用是否可控。</x:v>
      </x:c>
      <x:c r="AE36" s="68" t="str">
        <x:v>满足“M15羊刃格成立且非从旺”，且主要收益大于副作用时，可按“羊刃格以有效制刃或泄刃为格局用神方向”定位。</x:v>
      </x:c>
      <x:c r="AF36" s="90" t="str">
        <x:v>若“杀弱无根、日主承载不足或从旺/专旺严格成立”成立，则不得按“羊刃格以有效制刃或泄刃为格局用神方向”无条件定位。</x:v>
      </x:c>
      <x:c r="AG36" s="82" t="str">
        <x:v>采用</x:v>
      </x:c>
      <x:c r="AH36" s="82" t="str">
        <x:v>初审</x:v>
      </x:c>
      <x:c r="AI36" s="87" t="n">
        <x:v>46260</x:v>
      </x:c>
    </x:row>
    <x:row r="37">
      <x:c r="A37" s="72" t="str">
        <x:f>IF(OR(C37="",D37=""),"",B37&amp;"-"&amp;UPPER(C37)&amp;"-"&amp;TEXT(D37,"0000")&amp;"-"&amp;E37)</x:f>
        <x:v>M17-GEJU-0031-V1.0</x:v>
      </x:c>
      <x:c r="B37" s="74" t="str">
        <x:v>M17</x:v>
      </x:c>
      <x:c r="C37" s="74" t="str">
        <x:v>GEJU</x:v>
      </x:c>
      <x:c r="D37" s="215" t="n">
        <x:v>31</x:v>
      </x:c>
      <x:c r="E37" s="74" t="str">
        <x:v>V1.0</x:v>
      </x:c>
      <x:c r="F37" s="68" t="str">
        <x:v>真从格以顺从主势者为格局用神</x:v>
      </x:c>
      <x:c r="G37" s="82" t="str">
        <x:v>综合层</x:v>
      </x:c>
      <x:c r="H37" s="82"/>
      <x:c r="I37" s="82"/>
      <x:c r="J37" s="82" t="str">
        <x:v>格局用神</x:v>
      </x:c>
      <x:c r="K37" s="68" t="str">
        <x:v>不采用普通扶身逆势</x:v>
      </x:c>
      <x:c r="L37" s="68" t="str">
        <x:v>维护从财、从官杀、从儿、从旺、从强或从势</x:v>
      </x:c>
      <x:c r="M37" s="68" t="str">
        <x:v>顺主势建立连续流通</x:v>
      </x:c>
      <x:c r="N37" s="68" t="str">
        <x:v>只采用不破从的调候方案</x:v>
      </x:c>
      <x:c r="O37" s="68" t="str">
        <x:v>护格而非逆格治普通旺衰</x:v>
      </x:c>
      <x:c r="P37" s="68" t="str">
        <x:v>保持特殊格局严格成立</x:v>
      </x:c>
      <x:c r="Q37" s="90" t="str">
        <x:v>可能保留一般调候或局部流通偏差</x:v>
      </x:c>
      <x:c r="R37" s="68" t="str">
        <x:v>M15真从格严格成立</x:v>
      </x:c>
      <x:c r="S37" s="68" t="str">
        <x:v>假从、强根反从或普通身弱</x:v>
      </x:c>
      <x:c r="T37" s="68" t="str">
        <x:v>从格与普通扶抑冲突</x:v>
      </x:c>
      <x:c r="U37" s="68" t="str">
        <x:v>M18-待建立</x:v>
      </x:c>
      <x:c r="V37" s="84" t="str">
        <x:v>主用神</x:v>
      </x:c>
      <x:c r="W37" s="82" t="str">
        <x:v>第一顺位</x:v>
      </x:c>
      <x:c r="X37" s="82" t="str">
        <x:v>否</x:v>
      </x:c>
      <x:c r="Y37" s="68" t="str">
        <x:v>严格顺从已确认主势</x:v>
      </x:c>
      <x:c r="Z37" s="84" t="str">
        <x:v>真从顺势用神</x:v>
      </x:c>
      <x:c r="AA37" s="84" t="str">
        <x:v>该候选五行综合定位为“主用神”，优先级为“第一顺位”。主要收益：保持特殊格局严格成立；主要副作用：可能保留一般调候或局部流通偏差；严格顺从已确认主势。</x:v>
      </x:c>
      <x:c r="AB37" s="82" t="str">
        <x:v>较高</x:v>
      </x:c>
      <x:c r="AC37" s="82" t="str">
        <x:v>现代综合</x:v>
      </x:c>
      <x:c r="AD37" s="68" t="str">
        <x:v>喜忌用神必须同时读取扶抑、格局、通关、调候和病药五个维度。单一维度有利不足以自动成为主用；最终定位取决于是否解决根本问题、是否触犯格局硬约束、药力是否可达以及副作用是否可控。</x:v>
      </x:c>
      <x:c r="AE37" s="68" t="str">
        <x:v>满足“M15真从格严格成立”，且主要收益大于副作用时，可按“真从格以顺从主势者为格局用神”定位。</x:v>
      </x:c>
      <x:c r="AF37" s="90" t="str">
        <x:v>若“假从、强根反从或普通身弱”成立，则不得按“真从格以顺从主势者为格局用神”无条件定位。</x:v>
      </x:c>
      <x:c r="AG37" s="82" t="str">
        <x:v>采用</x:v>
      </x:c>
      <x:c r="AH37" s="82" t="str">
        <x:v>初审</x:v>
      </x:c>
      <x:c r="AI37" s="87" t="n">
        <x:v>46260</x:v>
      </x:c>
    </x:row>
    <x:row r="38">
      <x:c r="A38" s="72" t="str">
        <x:f>IF(OR(C38="",D38=""),"",B38&amp;"-"&amp;UPPER(C38)&amp;"-"&amp;TEXT(D38,"0000")&amp;"-"&amp;E38)</x:f>
        <x:v>M17-GEJU-0032-V1.0</x:v>
      </x:c>
      <x:c r="B38" s="74" t="str">
        <x:v>M17</x:v>
      </x:c>
      <x:c r="C38" s="74" t="str">
        <x:v>GEJU</x:v>
      </x:c>
      <x:c r="D38" s="215" t="n">
        <x:v>32</x:v>
      </x:c>
      <x:c r="E38" s="74" t="str">
        <x:v>V1.0</x:v>
      </x:c>
      <x:c r="F38" s="68" t="str">
        <x:v>真化格以生扶化神和清除破化因素为用神方向</x:v>
      </x:c>
      <x:c r="G38" s="82" t="str">
        <x:v>综合层</x:v>
      </x:c>
      <x:c r="H38" s="82"/>
      <x:c r="I38" s="82"/>
      <x:c r="J38" s="82" t="str">
        <x:v>格局用神</x:v>
      </x:c>
      <x:c r="K38" s="68" t="str">
        <x:v>按化神重映射日主与十神</x:v>
      </x:c>
      <x:c r="L38" s="68" t="str">
        <x:v>维护化神主导与全局顺化</x:v>
      </x:c>
      <x:c r="M38" s="68" t="str">
        <x:v>所有主路径围绕化神重建</x:v>
      </x:c>
      <x:c r="N38" s="68" t="str">
        <x:v>调候不得重伤化神</x:v>
      </x:c>
      <x:c r="O38" s="68" t="str">
        <x:v>治疗化神受损、争合或逆神破化</x:v>
      </x:c>
      <x:c r="P38" s="68" t="str">
        <x:v>保护真化成立</x:v>
      </x:c>
      <x:c r="Q38" s="90" t="str">
        <x:v>若原气仍自立，强扶化神会加剧双重结构冲突</x:v>
      </x:c>
      <x:c r="R38" s="68" t="str">
        <x:v>M15化气格严格成立</x:v>
      </x:c>
      <x:c r="S38" s="68" t="str">
        <x:v>假化、合而不化或原气强根存在</x:v>
      </x:c>
      <x:c r="T38" s="68" t="str">
        <x:v>化格与原气/调候冲突</x:v>
      </x:c>
      <x:c r="U38" s="68" t="str">
        <x:v>M18-待建立</x:v>
      </x:c>
      <x:c r="V38" s="84" t="str">
        <x:v>主用神</x:v>
      </x:c>
      <x:c r="W38" s="82" t="str">
        <x:v>第一顺位</x:v>
      </x:c>
      <x:c r="X38" s="82" t="str">
        <x:v>否</x:v>
      </x:c>
      <x:c r="Y38" s="68" t="str">
        <x:v>仅限真化严格成立</x:v>
      </x:c>
      <x:c r="Z38" s="84" t="str">
        <x:v>真化护化神用神</x:v>
      </x:c>
      <x:c r="AA38" s="84" t="str">
        <x:v>该候选五行综合定位为“主用神”，优先级为“第一顺位”。主要收益：保护真化成立；主要副作用：若原气仍自立，强扶化神会加剧双重结构冲突；仅限真化严格成立。</x:v>
      </x:c>
      <x:c r="AB38" s="82" t="str">
        <x:v>较高</x:v>
      </x:c>
      <x:c r="AC38" s="82" t="str">
        <x:v>现代综合</x:v>
      </x:c>
      <x:c r="AD38" s="68" t="str">
        <x:v>喜忌用神必须同时读取扶抑、格局、通关、调候和病药五个维度。单一维度有利不足以自动成为主用；最终定位取决于是否解决根本问题、是否触犯格局硬约束、药力是否可达以及副作用是否可控。</x:v>
      </x:c>
      <x:c r="AE38" s="68" t="str">
        <x:v>满足“M15化气格严格成立”，且主要收益大于副作用时，可按“真化格以生扶化神和清除破化因素为用神方向”定位。</x:v>
      </x:c>
      <x:c r="AF38" s="90" t="str">
        <x:v>若“假化、合而不化或原气强根存在”成立，则不得按“真化格以生扶化神和清除破化因素为用神方向”无条件定位。</x:v>
      </x:c>
      <x:c r="AG38" s="82" t="str">
        <x:v>采用</x:v>
      </x:c>
      <x:c r="AH38" s="82" t="str">
        <x:v>初审</x:v>
      </x:c>
      <x:c r="AI38" s="87" t="n">
        <x:v>46260</x:v>
      </x:c>
    </x:row>
    <x:row r="39">
      <x:c r="A39" s="72" t="str">
        <x:f>IF(OR(C39="",D39=""),"",B39&amp;"-"&amp;UPPER(C39)&amp;"-"&amp;TEXT(D39,"0000")&amp;"-"&amp;E39)</x:f>
        <x:v>M17-GEJU-0033-V1.0</x:v>
      </x:c>
      <x:c r="B39" s="74" t="str">
        <x:v>M17</x:v>
      </x:c>
      <x:c r="C39" s="74" t="str">
        <x:v>GEJU</x:v>
      </x:c>
      <x:c r="D39" s="215" t="n">
        <x:v>33</x:v>
      </x:c>
      <x:c r="E39" s="74" t="str">
        <x:v>V1.0</x:v>
      </x:c>
      <x:c r="F39" s="68" t="str">
        <x:v>专旺格以顺一气并防有效逆神为用神方向</x:v>
      </x:c>
      <x:c r="G39" s="82" t="str">
        <x:v>综合层</x:v>
      </x:c>
      <x:c r="H39" s="82"/>
      <x:c r="I39" s="82"/>
      <x:c r="J39" s="82" t="str">
        <x:v>格局用神</x:v>
      </x:c>
      <x:c r="K39" s="68" t="str">
        <x:v>不按普通平衡强克主气</x:v>
      </x:c>
      <x:c r="L39" s="68" t="str">
        <x:v>维护曲直、炎上、稼穑、从革或润下</x:v>
      </x:c>
      <x:c r="M39" s="68" t="str">
        <x:v>顺主气生化或合理泄秀</x:v>
      </x:c>
      <x:c r="N39" s="68" t="str">
        <x:v>调候须避免根本破专</x:v>
      </x:c>
      <x:c r="O39" s="68" t="str">
        <x:v>治疗逆神破专或关键杂气</x:v>
      </x:c>
      <x:c r="P39" s="68" t="str">
        <x:v>维持一气成象</x:v>
      </x:c>
      <x:c r="Q39" s="90" t="str">
        <x:v>顺势过度可能加剧极端调候或终点壅塞</x:v>
      </x:c>
      <x:c r="R39" s="68" t="str">
        <x:v>M15专旺格严格成立</x:v>
      </x:c>
      <x:c r="S39" s="68" t="str">
        <x:v>专旺仅候选、逆神有效成势或普通身旺</x:v>
      </x:c>
      <x:c r="T39" s="68" t="str">
        <x:v>专旺与普通扶抑/调候冲突</x:v>
      </x:c>
      <x:c r="U39" s="68" t="str">
        <x:v>M18-待建立</x:v>
      </x:c>
      <x:c r="V39" s="84" t="str">
        <x:v>主用神</x:v>
      </x:c>
      <x:c r="W39" s="82" t="str">
        <x:v>第一顺位</x:v>
      </x:c>
      <x:c r="X39" s="82" t="str">
        <x:v>否</x:v>
      </x:c>
      <x:c r="Y39" s="68" t="str">
        <x:v>以不破一气主势为硬条件</x:v>
      </x:c>
      <x:c r="Z39" s="84" t="str">
        <x:v>专旺顺势用神</x:v>
      </x:c>
      <x:c r="AA39" s="84" t="str">
        <x:v>该候选五行综合定位为“主用神”，优先级为“第一顺位”。主要收益：维持一气成象；主要副作用：顺势过度可能加剧极端调候或终点壅塞；以不破一气主势为硬条件。</x:v>
      </x:c>
      <x:c r="AB39" s="82" t="str">
        <x:v>较高</x:v>
      </x:c>
      <x:c r="AC39" s="82" t="str">
        <x:v>现代综合</x:v>
      </x:c>
      <x:c r="AD39" s="68" t="str">
        <x:v>喜忌用神必须同时读取扶抑、格局、通关、调候和病药五个维度。单一维度有利不足以自动成为主用；最终定位取决于是否解决根本问题、是否触犯格局硬约束、药力是否可达以及副作用是否可控。</x:v>
      </x:c>
      <x:c r="AE39" s="68" t="str">
        <x:v>满足“M15专旺格严格成立”，且主要收益大于副作用时，可按“专旺格以顺一气并防有效逆神为用神方向”定位。</x:v>
      </x:c>
      <x:c r="AF39" s="90" t="str">
        <x:v>若“专旺仅候选、逆神有效成势或普通身旺”成立，则不得按“专旺格以顺一气并防有效逆神为用神方向”无条件定位。</x:v>
      </x:c>
      <x:c r="AG39" s="82" t="str">
        <x:v>采用</x:v>
      </x:c>
      <x:c r="AH39" s="82" t="str">
        <x:v>初审</x:v>
      </x:c>
      <x:c r="AI39" s="87" t="n">
        <x:v>46260</x:v>
      </x:c>
    </x:row>
    <x:row r="40">
      <x:c r="A40" s="72" t="str">
        <x:f>IF(OR(C40="",D40=""),"",B40&amp;"-"&amp;UPPER(C40)&amp;"-"&amp;TEXT(D40,"0000")&amp;"-"&amp;E40)</x:f>
        <x:v>M17-GEJU-0034-V1.0</x:v>
      </x:c>
      <x:c r="B40" s="74" t="str">
        <x:v>M17</x:v>
      </x:c>
      <x:c r="C40" s="74" t="str">
        <x:v>GEJU</x:v>
      </x:c>
      <x:c r="D40" s="215" t="n">
        <x:v>34</x:v>
      </x:c>
      <x:c r="E40" s="74" t="str">
        <x:v>V1.0</x:v>
      </x:c>
      <x:c r="F40" s="68" t="str">
        <x:v>有破有救格局中的救应五行通常列辅助用神</x:v>
      </x:c>
      <x:c r="G40" s="82" t="str">
        <x:v>综合层</x:v>
      </x:c>
      <x:c r="H40" s="82"/>
      <x:c r="I40" s="82"/>
      <x:c r="J40" s="82" t="str">
        <x:v>格局用神</x:v>
      </x:c>
      <x:c r="K40" s="68" t="str">
        <x:v>视救应五行对日主作用而定</x:v>
      </x:c>
      <x:c r="L40" s="68" t="str">
        <x:v>直接修复M15破格因素</x:v>
      </x:c>
      <x:c r="M40" s="68" t="str">
        <x:v>恢复格神或关键组合路径</x:v>
      </x:c>
      <x:c r="N40" s="68" t="str">
        <x:v>另审调候副作用</x:v>
      </x:c>
      <x:c r="O40" s="68" t="str">
        <x:v>对应M16格局病主药或辅助药</x:v>
      </x:c>
      <x:c r="P40" s="68" t="str">
        <x:v>恢复格局主要功能</x:v>
      </x:c>
      <x:c r="Q40" s="90" t="str">
        <x:v>救应可能过度、伤害另一维度或只局部有效</x:v>
      </x:c>
      <x:c r="R40" s="68" t="str">
        <x:v>M15格局有破有救，救应至少部分有效</x:v>
      </x:c>
      <x:c r="S40" s="68" t="str">
        <x:v>救应无实际路径、药力不足或副作用大于修复收益</x:v>
      </x:c>
      <x:c r="T40" s="68" t="str">
        <x:v>救格收益与药过/其他维度冲突</x:v>
      </x:c>
      <x:c r="U40" s="68" t="str">
        <x:v>M18-待建立</x:v>
      </x:c>
      <x:c r="V40" s="84" t="str">
        <x:v>辅助用神</x:v>
      </x:c>
      <x:c r="W40" s="82" t="str">
        <x:v>第二顺位</x:v>
      </x:c>
      <x:c r="X40" s="82" t="str">
        <x:v>条件性</x:v>
      </x:c>
      <x:c r="Y40" s="68" t="str">
        <x:v>救应直接、有效且不过量</x:v>
      </x:c>
      <x:c r="Z40" s="84" t="str">
        <x:v>救格辅助用神</x:v>
      </x:c>
      <x:c r="AA40" s="84" t="str">
        <x:v>该候选五行综合定位为“辅助用神”，优先级为“第二顺位”。主要收益：恢复格局主要功能；主要副作用：救应可能过度、伤害另一维度或只局部有效；仅在救应直接、有效且不过量时成立。</x:v>
      </x:c>
      <x:c r="AB40" s="82" t="str">
        <x:v>较高</x:v>
      </x:c>
      <x:c r="AC40" s="82" t="str">
        <x:v>现代综合</x:v>
      </x:c>
      <x:c r="AD40" s="68" t="str">
        <x:v>喜忌用神必须同时读取扶抑、格局、通关、调候和病药五个维度。单一维度有利不足以自动成为主用；最终定位取决于是否解决根本问题、是否触犯格局硬约束、药力是否可达以及副作用是否可控。</x:v>
      </x:c>
      <x:c r="AE40" s="68" t="str">
        <x:v>满足“M15格局有破有救，救应至少部分有效”，且主要收益大于副作用时，可按“有破有救格局中的救应五行通常列辅助用神”定位。</x:v>
      </x:c>
      <x:c r="AF40" s="90" t="str">
        <x:v>若“救应无实际路径、药力不足或副作用大于修复收益”成立，则不得按“有破有救格局中的救应五行通常列辅助用神”无条件定位。</x:v>
      </x:c>
      <x:c r="AG40" s="82" t="str">
        <x:v>采用</x:v>
      </x:c>
      <x:c r="AH40" s="82" t="str">
        <x:v>初审</x:v>
      </x:c>
      <x:c r="AI40" s="87" t="n">
        <x:v>46260</x:v>
      </x:c>
    </x:row>
    <x:row r="41">
      <x:c r="A41" s="72" t="str">
        <x:f>IF(OR(C41="",D41=""),"",B41&amp;"-"&amp;UPPER(C41)&amp;"-"&amp;TEXT(D41,"0000")&amp;"-"&amp;E41)</x:f>
        <x:v>M17-TONGGUAN-0035-V1.0</x:v>
      </x:c>
      <x:c r="B41" s="74" t="str">
        <x:v>M17</x:v>
      </x:c>
      <x:c r="C41" s="74" t="str">
        <x:v>TONGGUAN</x:v>
      </x:c>
      <x:c r="D41" s="215" t="n">
        <x:v>35</x:v>
      </x:c>
      <x:c r="E41" s="74" t="str">
        <x:v>V1.0</x:v>
      </x:c>
      <x:c r="F41" s="68" t="str">
        <x:v>金木相战以水通关</x:v>
      </x:c>
      <x:c r="G41" s="82" t="str">
        <x:v>综合层</x:v>
      </x:c>
      <x:c r="H41" s="82" t="str">
        <x:v>水</x:v>
      </x:c>
      <x:c r="I41" s="82"/>
      <x:c r="J41" s="82" t="str">
        <x:v>通关用神</x:v>
      </x:c>
      <x:c r="K41" s="68" t="str">
        <x:v>视该五行与日主十神关系另判</x:v>
      </x:c>
      <x:c r="L41" s="68" t="str">
        <x:v>不得破坏核心格神</x:v>
      </x:c>
      <x:c r="M41" s="68" t="str">
        <x:v>同时泄金、生木</x:v>
      </x:c>
      <x:c r="N41" s="68" t="str">
        <x:v>需检查水对寒暖燥湿的修正</x:v>
      </x:c>
      <x:c r="O41" s="68" t="str">
        <x:v>治疗两强相战流通病</x:v>
      </x:c>
      <x:c r="P41" s="68" t="str">
        <x:v>泄金并生木，缓解金木两强相战</x:v>
      </x:c>
      <x:c r="Q41" s="90" t="str">
        <x:v>水过强可能寒湿、灭火或使土水冲突加重</x:v>
      </x:c>
      <x:c r="R41" s="68" t="str">
        <x:v>M12确认金与木均有力且无有效桥梁</x:v>
      </x:c>
      <x:c r="S41" s="68" t="str">
        <x:v>金木并未形成主矛盾，或水无根无源、受强制</x:v>
      </x:c>
      <x:c r="T41" s="68" t="str">
        <x:v>通关与扶抑/格局/调候冲突</x:v>
      </x:c>
      <x:c r="U41" s="68" t="str">
        <x:v>M18-待建立</x:v>
      </x:c>
      <x:c r="V41" s="84" t="str">
        <x:v>条件性喜神</x:v>
      </x:c>
      <x:c r="W41" s="82" t="str">
        <x:v>条件顺位</x:v>
      </x:c>
      <x:c r="X41" s="82" t="str">
        <x:v>是</x:v>
      </x:c>
      <x:c r="Y41" s="68" t="str">
        <x:v>水有根有源、能同时完成双向通关且副作用可控</x:v>
      </x:c>
      <x:c r="Z41" s="84" t="str">
        <x:v>金木_水通关</x:v>
      </x:c>
      <x:c r="AA41" s="84" t="str">
        <x:v>水综合定位为“条件性喜神”，优先级为“条件顺位”。主要收益：泄金并生木，缓解金木两强相战；主要副作用：水过强可能寒湿、灭火或使土水冲突加重；仅在水有根有源、能同时完成双向通关且副作用可控时成立。</x:v>
      </x:c>
      <x:c r="AB41" s="82" t="str">
        <x:v>较高</x:v>
      </x:c>
      <x:c r="AC41" s="82" t="str">
        <x:v>现代综合</x:v>
      </x:c>
      <x:c r="AD41" s="68" t="str">
        <x:v>喜忌用神必须同时读取扶抑、格局、通关、调候和病药五个维度。单一维度有利不足以自动成为主用；最终定位取决于是否解决根本问题、是否触犯格局硬约束、药力是否可达以及副作用是否可控。</x:v>
      </x:c>
      <x:c r="AE41" s="68" t="str">
        <x:v>满足“M12确认金与木均有力且无有效桥梁”，且主要收益大于副作用时，可按“金木相战以水通关”定位。</x:v>
      </x:c>
      <x:c r="AF41" s="90" t="str">
        <x:v>若“金木并未形成主矛盾，或水无根无源、受强制”成立，则不得按“金木相战以水通关”无条件定位。</x:v>
      </x:c>
      <x:c r="AG41" s="82" t="str">
        <x:v>采用</x:v>
      </x:c>
      <x:c r="AH41" s="82" t="str">
        <x:v>初审</x:v>
      </x:c>
      <x:c r="AI41" s="87" t="n">
        <x:v>46260</x:v>
      </x:c>
    </x:row>
    <x:row r="42">
      <x:c r="A42" s="72" t="str">
        <x:f>IF(OR(C42="",D42=""),"",B42&amp;"-"&amp;UPPER(C42)&amp;"-"&amp;TEXT(D42,"0000")&amp;"-"&amp;E42)</x:f>
        <x:v>M17-TONGGUAN-0036-V1.0</x:v>
      </x:c>
      <x:c r="B42" s="74" t="str">
        <x:v>M17</x:v>
      </x:c>
      <x:c r="C42" s="74" t="str">
        <x:v>TONGGUAN</x:v>
      </x:c>
      <x:c r="D42" s="215" t="n">
        <x:v>36</x:v>
      </x:c>
      <x:c r="E42" s="74" t="str">
        <x:v>V1.0</x:v>
      </x:c>
      <x:c r="F42" s="68" t="str">
        <x:v>木土相战以火通关</x:v>
      </x:c>
      <x:c r="G42" s="82" t="str">
        <x:v>综合层</x:v>
      </x:c>
      <x:c r="H42" s="82" t="str">
        <x:v>火</x:v>
      </x:c>
      <x:c r="I42" s="82"/>
      <x:c r="J42" s="82" t="str">
        <x:v>通关用神</x:v>
      </x:c>
      <x:c r="K42" s="68" t="str">
        <x:v>视该五行与日主十神关系另判</x:v>
      </x:c>
      <x:c r="L42" s="68" t="str">
        <x:v>不得破坏核心格神</x:v>
      </x:c>
      <x:c r="M42" s="68" t="str">
        <x:v>同时泄木、生土</x:v>
      </x:c>
      <x:c r="N42" s="68" t="str">
        <x:v>需检查火对寒暖燥湿的修正</x:v>
      </x:c>
      <x:c r="O42" s="68" t="str">
        <x:v>治疗两强相战流通病</x:v>
      </x:c>
      <x:c r="P42" s="68" t="str">
        <x:v>泄木并生土，缓解木土两强相战</x:v>
      </x:c>
      <x:c r="Q42" s="90" t="str">
        <x:v>火过强可能热燥、耗水或破坏金格</x:v>
      </x:c>
      <x:c r="R42" s="68" t="str">
        <x:v>M12确认木与土均有力且无有效桥梁</x:v>
      </x:c>
      <x:c r="S42" s="68" t="str">
        <x:v>木土并未形成主矛盾，或火无根无源、受强制</x:v>
      </x:c>
      <x:c r="T42" s="68" t="str">
        <x:v>通关与扶抑/格局/调候冲突</x:v>
      </x:c>
      <x:c r="U42" s="68" t="str">
        <x:v>M18-待建立</x:v>
      </x:c>
      <x:c r="V42" s="84" t="str">
        <x:v>条件性喜神</x:v>
      </x:c>
      <x:c r="W42" s="82" t="str">
        <x:v>条件顺位</x:v>
      </x:c>
      <x:c r="X42" s="82" t="str">
        <x:v>是</x:v>
      </x:c>
      <x:c r="Y42" s="68" t="str">
        <x:v>火有根有源、能同时完成双向通关且副作用可控</x:v>
      </x:c>
      <x:c r="Z42" s="84" t="str">
        <x:v>木土_火通关</x:v>
      </x:c>
      <x:c r="AA42" s="84" t="str">
        <x:v>火综合定位为“条件性喜神”，优先级为“条件顺位”。主要收益：泄木并生土，缓解木土两强相战；主要副作用：火过强可能热燥、耗水或破坏金格；仅在火有根有源、能同时完成双向通关且副作用可控时成立。</x:v>
      </x:c>
      <x:c r="AB42" s="82" t="str">
        <x:v>较高</x:v>
      </x:c>
      <x:c r="AC42" s="82" t="str">
        <x:v>现代综合</x:v>
      </x:c>
      <x:c r="AD42" s="68" t="str">
        <x:v>喜忌用神必须同时读取扶抑、格局、通关、调候和病药五个维度。单一维度有利不足以自动成为主用；最终定位取决于是否解决根本问题、是否触犯格局硬约束、药力是否可达以及副作用是否可控。</x:v>
      </x:c>
      <x:c r="AE42" s="68" t="str">
        <x:v>满足“M12确认木与土均有力且无有效桥梁”，且主要收益大于副作用时，可按“木土相战以火通关”定位。</x:v>
      </x:c>
      <x:c r="AF42" s="90" t="str">
        <x:v>若“木土并未形成主矛盾，或火无根无源、受强制”成立，则不得按“木土相战以火通关”无条件定位。</x:v>
      </x:c>
      <x:c r="AG42" s="82" t="str">
        <x:v>采用</x:v>
      </x:c>
      <x:c r="AH42" s="82" t="str">
        <x:v>初审</x:v>
      </x:c>
      <x:c r="AI42" s="87" t="n">
        <x:v>46260</x:v>
      </x:c>
    </x:row>
    <x:row r="43">
      <x:c r="A43" s="72" t="str">
        <x:f>IF(OR(C43="",D43=""),"",B43&amp;"-"&amp;UPPER(C43)&amp;"-"&amp;TEXT(D43,"0000")&amp;"-"&amp;E43)</x:f>
        <x:v>M17-TONGGUAN-0037-V1.0</x:v>
      </x:c>
      <x:c r="B43" s="74" t="str">
        <x:v>M17</x:v>
      </x:c>
      <x:c r="C43" s="74" t="str">
        <x:v>TONGGUAN</x:v>
      </x:c>
      <x:c r="D43" s="215" t="n">
        <x:v>37</x:v>
      </x:c>
      <x:c r="E43" s="74" t="str">
        <x:v>V1.0</x:v>
      </x:c>
      <x:c r="F43" s="68" t="str">
        <x:v>土水相战以金通关</x:v>
      </x:c>
      <x:c r="G43" s="82" t="str">
        <x:v>综合层</x:v>
      </x:c>
      <x:c r="H43" s="82" t="str">
        <x:v>金</x:v>
      </x:c>
      <x:c r="I43" s="82"/>
      <x:c r="J43" s="82" t="str">
        <x:v>通关用神</x:v>
      </x:c>
      <x:c r="K43" s="68" t="str">
        <x:v>视该五行与日主十神关系另判</x:v>
      </x:c>
      <x:c r="L43" s="68" t="str">
        <x:v>不得破坏核心格神</x:v>
      </x:c>
      <x:c r="M43" s="68" t="str">
        <x:v>同时泄土、生水</x:v>
      </x:c>
      <x:c r="N43" s="68" t="str">
        <x:v>需检查金对寒暖燥湿的修正</x:v>
      </x:c>
      <x:c r="O43" s="68" t="str">
        <x:v>治疗两强相战流通病</x:v>
      </x:c>
      <x:c r="P43" s="68" t="str">
        <x:v>泄土并生水，缓解土水两强相战</x:v>
      </x:c>
      <x:c r="Q43" s="90" t="str">
        <x:v>金过强可能克木、助水寒或破坏木格</x:v>
      </x:c>
      <x:c r="R43" s="68" t="str">
        <x:v>M12确认土与水均有力且无有效桥梁</x:v>
      </x:c>
      <x:c r="S43" s="68" t="str">
        <x:v>土水并未形成主矛盾，或金无根无源、受强制</x:v>
      </x:c>
      <x:c r="T43" s="68" t="str">
        <x:v>通关与扶抑/格局/调候冲突</x:v>
      </x:c>
      <x:c r="U43" s="68" t="str">
        <x:v>M18-待建立</x:v>
      </x:c>
      <x:c r="V43" s="84" t="str">
        <x:v>条件性喜神</x:v>
      </x:c>
      <x:c r="W43" s="82" t="str">
        <x:v>条件顺位</x:v>
      </x:c>
      <x:c r="X43" s="82" t="str">
        <x:v>是</x:v>
      </x:c>
      <x:c r="Y43" s="68" t="str">
        <x:v>金有根有源、能同时完成双向通关且副作用可控</x:v>
      </x:c>
      <x:c r="Z43" s="84" t="str">
        <x:v>土水_金通关</x:v>
      </x:c>
      <x:c r="AA43" s="84" t="str">
        <x:v>金综合定位为“条件性喜神”，优先级为“条件顺位”。主要收益：泄土并生水，缓解土水两强相战；主要副作用：金过强可能克木、助水寒或破坏木格；仅在金有根有源、能同时完成双向通关且副作用可控时成立。</x:v>
      </x:c>
      <x:c r="AB43" s="82" t="str">
        <x:v>较高</x:v>
      </x:c>
      <x:c r="AC43" s="82" t="str">
        <x:v>现代综合</x:v>
      </x:c>
      <x:c r="AD43" s="68" t="str">
        <x:v>喜忌用神必须同时读取扶抑、格局、通关、调候和病药五个维度。单一维度有利不足以自动成为主用；最终定位取决于是否解决根本问题、是否触犯格局硬约束、药力是否可达以及副作用是否可控。</x:v>
      </x:c>
      <x:c r="AE43" s="68" t="str">
        <x:v>满足“M12确认土与水均有力且无有效桥梁”，且主要收益大于副作用时，可按“土水相战以金通关”定位。</x:v>
      </x:c>
      <x:c r="AF43" s="90" t="str">
        <x:v>若“土水并未形成主矛盾，或金无根无源、受强制”成立，则不得按“土水相战以金通关”无条件定位。</x:v>
      </x:c>
      <x:c r="AG43" s="82" t="str">
        <x:v>采用</x:v>
      </x:c>
      <x:c r="AH43" s="82" t="str">
        <x:v>初审</x:v>
      </x:c>
      <x:c r="AI43" s="87" t="n">
        <x:v>46260</x:v>
      </x:c>
    </x:row>
    <x:row r="44">
      <x:c r="A44" s="72" t="str">
        <x:f>IF(OR(C44="",D44=""),"",B44&amp;"-"&amp;UPPER(C44)&amp;"-"&amp;TEXT(D44,"0000")&amp;"-"&amp;E44)</x:f>
        <x:v>M17-TONGGUAN-0038-V1.0</x:v>
      </x:c>
      <x:c r="B44" s="74" t="str">
        <x:v>M17</x:v>
      </x:c>
      <x:c r="C44" s="74" t="str">
        <x:v>TONGGUAN</x:v>
      </x:c>
      <x:c r="D44" s="215" t="n">
        <x:v>38</x:v>
      </x:c>
      <x:c r="E44" s="74" t="str">
        <x:v>V1.0</x:v>
      </x:c>
      <x:c r="F44" s="68" t="str">
        <x:v>水火相战以木通关</x:v>
      </x:c>
      <x:c r="G44" s="82" t="str">
        <x:v>综合层</x:v>
      </x:c>
      <x:c r="H44" s="82" t="str">
        <x:v>木</x:v>
      </x:c>
      <x:c r="I44" s="82"/>
      <x:c r="J44" s="82" t="str">
        <x:v>通关用神</x:v>
      </x:c>
      <x:c r="K44" s="68" t="str">
        <x:v>视该五行与日主十神关系另判</x:v>
      </x:c>
      <x:c r="L44" s="68" t="str">
        <x:v>不得破坏核心格神</x:v>
      </x:c>
      <x:c r="M44" s="68" t="str">
        <x:v>同时泄水、生火</x:v>
      </x:c>
      <x:c r="N44" s="68" t="str">
        <x:v>需检查木对寒暖燥湿的修正</x:v>
      </x:c>
      <x:c r="O44" s="68" t="str">
        <x:v>治疗两强相战流通病</x:v>
      </x:c>
      <x:c r="P44" s="68" t="str">
        <x:v>泄水并生火，缓解水火两强相战</x:v>
      </x:c>
      <x:c r="Q44" s="90" t="str">
        <x:v>木过强可能生火过度、克土或加重木旺</x:v>
      </x:c>
      <x:c r="R44" s="68" t="str">
        <x:v>M12确认水与火均有力且无有效桥梁</x:v>
      </x:c>
      <x:c r="S44" s="68" t="str">
        <x:v>水火并未形成主矛盾，或木无根无源、受强制</x:v>
      </x:c>
      <x:c r="T44" s="68" t="str">
        <x:v>通关与扶抑/格局/调候冲突</x:v>
      </x:c>
      <x:c r="U44" s="68" t="str">
        <x:v>M18-待建立</x:v>
      </x:c>
      <x:c r="V44" s="84" t="str">
        <x:v>条件性喜神</x:v>
      </x:c>
      <x:c r="W44" s="82" t="str">
        <x:v>条件顺位</x:v>
      </x:c>
      <x:c r="X44" s="82" t="str">
        <x:v>是</x:v>
      </x:c>
      <x:c r="Y44" s="68" t="str">
        <x:v>木有根有源、能同时完成双向通关且副作用可控</x:v>
      </x:c>
      <x:c r="Z44" s="84" t="str">
        <x:v>水火_木通关</x:v>
      </x:c>
      <x:c r="AA44" s="84" t="str">
        <x:v>木综合定位为“条件性喜神”，优先级为“条件顺位”。主要收益：泄水并生火，缓解水火两强相战；主要副作用：木过强可能生火过度、克土或加重木旺；仅在木有根有源、能同时完成双向通关且副作用可控时成立。</x:v>
      </x:c>
      <x:c r="AB44" s="82" t="str">
        <x:v>较高</x:v>
      </x:c>
      <x:c r="AC44" s="82" t="str">
        <x:v>现代综合</x:v>
      </x:c>
      <x:c r="AD44" s="68" t="str">
        <x:v>喜忌用神必须同时读取扶抑、格局、通关、调候和病药五个维度。单一维度有利不足以自动成为主用；最终定位取决于是否解决根本问题、是否触犯格局硬约束、药力是否可达以及副作用是否可控。</x:v>
      </x:c>
      <x:c r="AE44" s="68" t="str">
        <x:v>满足“M12确认水与火均有力且无有效桥梁”，且主要收益大于副作用时，可按“水火相战以木通关”定位。</x:v>
      </x:c>
      <x:c r="AF44" s="90" t="str">
        <x:v>若“水火并未形成主矛盾，或木无根无源、受强制”成立，则不得按“水火相战以木通关”无条件定位。</x:v>
      </x:c>
      <x:c r="AG44" s="82" t="str">
        <x:v>采用</x:v>
      </x:c>
      <x:c r="AH44" s="82" t="str">
        <x:v>初审</x:v>
      </x:c>
      <x:c r="AI44" s="87" t="n">
        <x:v>46260</x:v>
      </x:c>
    </x:row>
    <x:row r="45">
      <x:c r="A45" s="72" t="str">
        <x:f>IF(OR(C45="",D45=""),"",B45&amp;"-"&amp;UPPER(C45)&amp;"-"&amp;TEXT(D45,"0000")&amp;"-"&amp;E45)</x:f>
        <x:v>M17-TONGGUAN-0039-V1.0</x:v>
      </x:c>
      <x:c r="B45" s="74" t="str">
        <x:v>M17</x:v>
      </x:c>
      <x:c r="C45" s="74" t="str">
        <x:v>TONGGUAN</x:v>
      </x:c>
      <x:c r="D45" s="215" t="n">
        <x:v>39</x:v>
      </x:c>
      <x:c r="E45" s="74" t="str">
        <x:v>V1.0</x:v>
      </x:c>
      <x:c r="F45" s="68" t="str">
        <x:v>火金相战以土通关</x:v>
      </x:c>
      <x:c r="G45" s="82" t="str">
        <x:v>综合层</x:v>
      </x:c>
      <x:c r="H45" s="82" t="str">
        <x:v>土</x:v>
      </x:c>
      <x:c r="I45" s="82"/>
      <x:c r="J45" s="82" t="str">
        <x:v>通关用神</x:v>
      </x:c>
      <x:c r="K45" s="68" t="str">
        <x:v>视该五行与日主十神关系另判</x:v>
      </x:c>
      <x:c r="L45" s="68" t="str">
        <x:v>不得破坏核心格神</x:v>
      </x:c>
      <x:c r="M45" s="68" t="str">
        <x:v>同时泄火、生金</x:v>
      </x:c>
      <x:c r="N45" s="68" t="str">
        <x:v>需检查土对寒暖燥湿的修正</x:v>
      </x:c>
      <x:c r="O45" s="68" t="str">
        <x:v>治疗两强相战流通病</x:v>
      </x:c>
      <x:c r="P45" s="68" t="str">
        <x:v>泄火并生金，缓解火金两强相战</x:v>
      </x:c>
      <x:c r="Q45" s="90" t="str">
        <x:v>土过强可能晦火、克水或形成湿燥土壅塞</x:v>
      </x:c>
      <x:c r="R45" s="68" t="str">
        <x:v>M12确认火与金均有力且无有效桥梁</x:v>
      </x:c>
      <x:c r="S45" s="68" t="str">
        <x:v>火金并未形成主矛盾，或土无根无源、受强制</x:v>
      </x:c>
      <x:c r="T45" s="68" t="str">
        <x:v>通关与扶抑/格局/调候冲突</x:v>
      </x:c>
      <x:c r="U45" s="68" t="str">
        <x:v>M18-待建立</x:v>
      </x:c>
      <x:c r="V45" s="84" t="str">
        <x:v>条件性喜神</x:v>
      </x:c>
      <x:c r="W45" s="82" t="str">
        <x:v>条件顺位</x:v>
      </x:c>
      <x:c r="X45" s="82" t="str">
        <x:v>是</x:v>
      </x:c>
      <x:c r="Y45" s="68" t="str">
        <x:v>土有根有源、能同时完成双向通关且副作用可控</x:v>
      </x:c>
      <x:c r="Z45" s="84" t="str">
        <x:v>火金_土通关</x:v>
      </x:c>
      <x:c r="AA45" s="84" t="str">
        <x:v>土综合定位为“条件性喜神”，优先级为“条件顺位”。主要收益：泄火并生金，缓解火金两强相战；主要副作用：土过强可能晦火、克水或形成湿燥土壅塞；仅在土有根有源、能同时完成双向通关且副作用可控时成立。</x:v>
      </x:c>
      <x:c r="AB45" s="82" t="str">
        <x:v>较高</x:v>
      </x:c>
      <x:c r="AC45" s="82" t="str">
        <x:v>现代综合</x:v>
      </x:c>
      <x:c r="AD45" s="68" t="str">
        <x:v>喜忌用神必须同时读取扶抑、格局、通关、调候和病药五个维度。单一维度有利不足以自动成为主用；最终定位取决于是否解决根本问题、是否触犯格局硬约束、药力是否可达以及副作用是否可控。</x:v>
      </x:c>
      <x:c r="AE45" s="68" t="str">
        <x:v>满足“M12确认火与金均有力且无有效桥梁”，且主要收益大于副作用时，可按“火金相战以土通关”定位。</x:v>
      </x:c>
      <x:c r="AF45" s="90" t="str">
        <x:v>若“火金并未形成主矛盾，或土无根无源、受强制”成立，则不得按“火金相战以土通关”无条件定位。</x:v>
      </x:c>
      <x:c r="AG45" s="82" t="str">
        <x:v>采用</x:v>
      </x:c>
      <x:c r="AH45" s="82" t="str">
        <x:v>初审</x:v>
      </x:c>
      <x:c r="AI45" s="87" t="n">
        <x:v>46260</x:v>
      </x:c>
    </x:row>
    <x:row r="46">
      <x:c r="A46" s="72" t="str">
        <x:f>IF(OR(C46="",D46=""),"",B46&amp;"-"&amp;UPPER(C46)&amp;"-"&amp;TEXT(D46,"0000")&amp;"-"&amp;E46)</x:f>
        <x:v>M17-TONGGUAN-0040-V1.0</x:v>
      </x:c>
      <x:c r="B46" s="74" t="str">
        <x:v>M17</x:v>
      </x:c>
      <x:c r="C46" s="74" t="str">
        <x:v>TONGGUAN</x:v>
      </x:c>
      <x:c r="D46" s="215" t="n">
        <x:v>40</x:v>
      </x:c>
      <x:c r="E46" s="74" t="str">
        <x:v>V1.0</x:v>
      </x:c>
      <x:c r="F46" s="68" t="str">
        <x:v>通关五行有根有源且兼治主病时可升级</x:v>
      </x:c>
      <x:c r="G46" s="82" t="str">
        <x:v>综合层</x:v>
      </x:c>
      <x:c r="H46" s="82"/>
      <x:c r="I46" s="82"/>
      <x:c r="J46" s="82" t="str">
        <x:v>复合来源</x:v>
      </x:c>
      <x:c r="K46" s="68" t="str">
        <x:v>不明显伤害日主承载</x:v>
      </x:c>
      <x:c r="L46" s="68" t="str">
        <x:v>不破核心格局</x:v>
      </x:c>
      <x:c r="M46" s="68" t="str">
        <x:v>直接修复主卡点</x:v>
      </x:c>
      <x:c r="N46" s="68" t="str">
        <x:v>同时改善或不恶化调候</x:v>
      </x:c>
      <x:c r="O46" s="68" t="str">
        <x:v>与M16主药同向</x:v>
      </x:c>
      <x:c r="P46" s="68" t="str">
        <x:v>通关与病药一神多效</x:v>
      </x:c>
      <x:c r="Q46" s="90" t="str">
        <x:v>仍需防药力过量</x:v>
      </x:c>
      <x:c r="R46" s="68" t="str">
        <x:v>M12通关候选与M16主药一致，且药神有效</x:v>
      </x:c>
      <x:c r="S46" s="68" t="str">
        <x:v>只理论通关而无实际药力</x:v>
      </x:c>
      <x:c r="T46" s="68" t="str">
        <x:v>多维同向但需剂量控制</x:v>
      </x:c>
      <x:c r="U46" s="68" t="str">
        <x:v>M18-待建立</x:v>
      </x:c>
      <x:c r="V46" s="84" t="str">
        <x:v>主用神</x:v>
      </x:c>
      <x:c r="W46" s="82" t="str">
        <x:v>第一顺位</x:v>
      </x:c>
      <x:c r="X46" s="82" t="str">
        <x:v>条件性</x:v>
      </x:c>
      <x:c r="Y46" s="68" t="str">
        <x:v>通关解决根本主病且无硬冲突</x:v>
      </x:c>
      <x:c r="Z46" s="84" t="str">
        <x:v>通关病药同向升级</x:v>
      </x:c>
      <x:c r="AA46" s="84" t="str">
        <x:v>该候选五行综合定位为“主用神”，优先级为“第一顺位”。主要收益：通关与病药一神多效；主要副作用：仍需防药力过量；仅在通关解决根本主病且无硬冲突时成立。</x:v>
      </x:c>
      <x:c r="AB46" s="82" t="str">
        <x:v>较高</x:v>
      </x:c>
      <x:c r="AC46" s="82" t="str">
        <x:v>现代综合</x:v>
      </x:c>
      <x:c r="AD46" s="68" t="str">
        <x:v>喜忌用神必须同时读取扶抑、格局、通关、调候和病药五个维度。单一维度有利不足以自动成为主用；最终定位取决于是否解决根本问题、是否触犯格局硬约束、药力是否可达以及副作用是否可控。</x:v>
      </x:c>
      <x:c r="AE46" s="68" t="str">
        <x:v>满足“M12通关候选与M16主药一致，且药神有效”，且主要收益大于副作用时，可按“通关五行有根有源且兼治主病时可升级”定位。</x:v>
      </x:c>
      <x:c r="AF46" s="90" t="str">
        <x:v>若“只理论通关而无实际药力”成立，则不得按“通关五行有根有源且兼治主病时可升级”无条件定位。</x:v>
      </x:c>
      <x:c r="AG46" s="82" t="str">
        <x:v>采用</x:v>
      </x:c>
      <x:c r="AH46" s="82" t="str">
        <x:v>初审</x:v>
      </x:c>
      <x:c r="AI46" s="87" t="n">
        <x:v>46260</x:v>
      </x:c>
    </x:row>
    <x:row r="47">
      <x:c r="A47" s="72" t="str">
        <x:f>IF(OR(C47="",D47=""),"",B47&amp;"-"&amp;UPPER(C47)&amp;"-"&amp;TEXT(D47,"0000")&amp;"-"&amp;E47)</x:f>
        <x:v>M17-TONGGUAN-0041-V1.0</x:v>
      </x:c>
      <x:c r="B47" s="74" t="str">
        <x:v>M17</x:v>
      </x:c>
      <x:c r="C47" s="74" t="str">
        <x:v>TONGGUAN</x:v>
      </x:c>
      <x:c r="D47" s="215" t="n">
        <x:v>41</x:v>
      </x:c>
      <x:c r="E47" s="74" t="str">
        <x:v>V1.0</x:v>
      </x:c>
      <x:c r="F47" s="68" t="str">
        <x:v>通关五行无根无源时只列弱候选</x:v>
      </x:c>
      <x:c r="G47" s="82" t="str">
        <x:v>综合层</x:v>
      </x:c>
      <x:c r="H47" s="82"/>
      <x:c r="I47" s="82"/>
      <x:c r="J47" s="82" t="str">
        <x:v>通关用神</x:v>
      </x:c>
      <x:c r="K47" s="68" t="str">
        <x:v>作用有限</x:v>
      </x:c>
      <x:c r="L47" s="68" t="str">
        <x:v>待定</x:v>
      </x:c>
      <x:c r="M47" s="68" t="str">
        <x:v>理论可通但药力不足</x:v>
      </x:c>
      <x:c r="N47" s="68" t="str">
        <x:v>待定</x:v>
      </x:c>
      <x:c r="O47" s="68" t="str">
        <x:v>不能稳定修复卡点</x:v>
      </x:c>
      <x:c r="P47" s="68" t="str">
        <x:v>提供潜在路径方向</x:v>
      </x:c>
      <x:c r="Q47" s="90" t="str">
        <x:v>无力时不能承担主用，增强后又可能制造副作用</x:v>
      </x:c>
      <x:c r="R47" s="68" t="str">
        <x:v>理论通关关系成立但M08判该五行弱或极弱</x:v>
      </x:c>
      <x:c r="S47" s="68" t="str">
        <x:v>存在更强替代桥梁</x:v>
      </x:c>
      <x:c r="T47" s="68" t="str">
        <x:v>药力不足</x:v>
      </x:c>
      <x:c r="U47" s="68" t="str">
        <x:v>M18-待建立</x:v>
      </x:c>
      <x:c r="V47" s="84" t="str">
        <x:v>条件性喜神</x:v>
      </x:c>
      <x:c r="W47" s="82" t="str">
        <x:v>条件顺位</x:v>
      </x:c>
      <x:c r="X47" s="82" t="str">
        <x:v>是</x:v>
      </x:c>
      <x:c r="Y47" s="68" t="str">
        <x:v>先满足有根有源和可达病位的条件</x:v>
      </x:c>
      <x:c r="Z47" s="84" t="str">
        <x:v>弱通关候选</x:v>
      </x:c>
      <x:c r="AA47" s="84" t="str">
        <x:v>该候选五行综合定位为“条件性喜神”，优先级为“条件顺位”。主要收益：提供潜在路径方向；主要副作用：无力时不能承担主用，增强后又可能制造副作用；仅在先满足有根有源和可达病位的条件时成立。</x:v>
      </x:c>
      <x:c r="AB47" s="82" t="str">
        <x:v>较高</x:v>
      </x:c>
      <x:c r="AC47" s="82" t="str">
        <x:v>现代综合</x:v>
      </x:c>
      <x:c r="AD47" s="68" t="str">
        <x:v>喜忌用神必须同时读取扶抑、格局、通关、调候和病药五个维度。单一维度有利不足以自动成为主用；最终定位取决于是否解决根本问题、是否触犯格局硬约束、药力是否可达以及副作用是否可控。</x:v>
      </x:c>
      <x:c r="AE47" s="68" t="str">
        <x:v>满足“理论通关关系成立但M08判该五行弱或极弱”，且主要收益大于副作用时，可按“通关五行无根无源时只列弱候选”定位。</x:v>
      </x:c>
      <x:c r="AF47" s="90" t="str">
        <x:v>若“存在更强替代桥梁”成立，则不得按“通关五行无根无源时只列弱候选”无条件定位。</x:v>
      </x:c>
      <x:c r="AG47" s="82" t="str">
        <x:v>采用</x:v>
      </x:c>
      <x:c r="AH47" s="82" t="str">
        <x:v>初审</x:v>
      </x:c>
      <x:c r="AI47" s="87" t="n">
        <x:v>46260</x:v>
      </x:c>
    </x:row>
    <x:row r="48">
      <x:c r="A48" s="72" t="str">
        <x:f>IF(OR(C48="",D48=""),"",B48&amp;"-"&amp;UPPER(C48)&amp;"-"&amp;TEXT(D48,"0000")&amp;"-"&amp;E48)</x:f>
        <x:v>M17-TONGGUAN-0042-V1.0</x:v>
      </x:c>
      <x:c r="B48" s="74" t="str">
        <x:v>M17</x:v>
      </x:c>
      <x:c r="C48" s="74" t="str">
        <x:v>TONGGUAN</x:v>
      </x:c>
      <x:c r="D48" s="215" t="n">
        <x:v>42</x:v>
      </x:c>
      <x:c r="E48" s="74" t="str">
        <x:v>V1.0</x:v>
      </x:c>
      <x:c r="F48" s="68" t="str">
        <x:v>通关五行破坏核心格局时降为条件性或不采用</x:v>
      </x:c>
      <x:c r="G48" s="82" t="str">
        <x:v>综合层</x:v>
      </x:c>
      <x:c r="H48" s="82"/>
      <x:c r="I48" s="82"/>
      <x:c r="J48" s="82" t="str">
        <x:v>通关用神</x:v>
      </x:c>
      <x:c r="K48" s="68" t="str">
        <x:v>可能有利</x:v>
      </x:c>
      <x:c r="L48" s="68" t="str">
        <x:v>直接克合泄损格神</x:v>
      </x:c>
      <x:c r="M48" s="68" t="str">
        <x:v>能修复流通</x:v>
      </x:c>
      <x:c r="N48" s="68" t="str">
        <x:v>待定</x:v>
      </x:c>
      <x:c r="O48" s="68" t="str">
        <x:v>治流通次病</x:v>
      </x:c>
      <x:c r="P48" s="68" t="str">
        <x:v>缓解两强相战或缺桥</x:v>
      </x:c>
      <x:c r="Q48" s="90" t="str">
        <x:v>制造更高优先级格局病</x:v>
      </x:c>
      <x:c r="R48" s="68" t="str">
        <x:v>存在替代保护机制或通关仅需有限强度</x:v>
      </x:c>
      <x:c r="S48" s="68" t="str">
        <x:v>通关会导致根本破格或特殊格局失效</x:v>
      </x:c>
      <x:c r="T48" s="68" t="str">
        <x:v>通关与格局硬约束</x:v>
      </x:c>
      <x:c r="U48" s="68" t="str">
        <x:v>M18-待建立</x:v>
      </x:c>
      <x:c r="V48" s="84" t="str">
        <x:v>条件性喜神</x:v>
      </x:c>
      <x:c r="W48" s="82" t="str">
        <x:v>条件顺位</x:v>
      </x:c>
      <x:c r="X48" s="82" t="str">
        <x:v>是</x:v>
      </x:c>
      <x:c r="Y48" s="68" t="str">
        <x:v>不破格或净收益经M18确认</x:v>
      </x:c>
      <x:c r="Z48" s="84" t="str">
        <x:v>通关伤格降级</x:v>
      </x:c>
      <x:c r="AA48" s="84" t="str">
        <x:v>该候选五行综合定位为“条件性喜神”，优先级为“条件顺位”。主要收益：缓解两强相战或缺桥；主要副作用：制造更高优先级格局病；仅在不破格或净收益经M18确认时成立。</x:v>
      </x:c>
      <x:c r="AB48" s="82" t="str">
        <x:v>较高</x:v>
      </x:c>
      <x:c r="AC48" s="82" t="str">
        <x:v>现代综合</x:v>
      </x:c>
      <x:c r="AD48" s="68" t="str">
        <x:v>喜忌用神必须同时读取扶抑、格局、通关、调候和病药五个维度。单一维度有利不足以自动成为主用；最终定位取决于是否解决根本问题、是否触犯格局硬约束、药力是否可达以及副作用是否可控。</x:v>
      </x:c>
      <x:c r="AE48" s="68" t="str">
        <x:v>满足“存在替代保护机制或通关仅需有限强度”，且主要收益大于副作用时，可按“通关五行破坏核心格局时降为条件性或不采用”定位。</x:v>
      </x:c>
      <x:c r="AF48" s="90" t="str">
        <x:v>若“通关会导致根本破格或特殊格局失效”成立，则不得按“通关五行破坏核心格局时降为条件性或不采用”无条件定位。</x:v>
      </x:c>
      <x:c r="AG48" s="82" t="str">
        <x:v>采用</x:v>
      </x:c>
      <x:c r="AH48" s="82" t="str">
        <x:v>初审</x:v>
      </x:c>
      <x:c r="AI48" s="87" t="n">
        <x:v>46260</x:v>
      </x:c>
    </x:row>
    <x:row r="49">
      <x:c r="A49" s="72" t="str">
        <x:f>IF(OR(C49="",D49=""),"",B49&amp;"-"&amp;UPPER(C49)&amp;"-"&amp;TEXT(D49,"0000")&amp;"-"&amp;E49)</x:f>
        <x:v>M17-TONGGUAN-0043-V1.0</x:v>
      </x:c>
      <x:c r="B49" s="74" t="str">
        <x:v>M17</x:v>
      </x:c>
      <x:c r="C49" s="74" t="str">
        <x:v>TONGGUAN</x:v>
      </x:c>
      <x:c r="D49" s="215" t="n">
        <x:v>43</x:v>
      </x:c>
      <x:c r="E49" s="74" t="str">
        <x:v>V1.0</x:v>
      </x:c>
      <x:c r="F49" s="68" t="str">
        <x:v>通关五行恶化极端气候时不得列无条件喜用</x:v>
      </x:c>
      <x:c r="G49" s="82" t="str">
        <x:v>综合层</x:v>
      </x:c>
      <x:c r="H49" s="82"/>
      <x:c r="I49" s="82"/>
      <x:c r="J49" s="82" t="str">
        <x:v>通关用神</x:v>
      </x:c>
      <x:c r="K49" s="68" t="str">
        <x:v>待定</x:v>
      </x:c>
      <x:c r="L49" s="68" t="str">
        <x:v>待定</x:v>
      </x:c>
      <x:c r="M49" s="68" t="str">
        <x:v>正向</x:v>
      </x:c>
      <x:c r="N49" s="68" t="str">
        <x:v>把命局推向极寒湿或极热燥</x:v>
      </x:c>
      <x:c r="O49" s="68" t="str">
        <x:v>治一病生一病</x:v>
      </x:c>
      <x:c r="P49" s="68" t="str">
        <x:v>修复流通卡点</x:v>
      </x:c>
      <x:c r="Q49" s="90" t="str">
        <x:v>形成首要调候病</x:v>
      </x:c>
      <x:c r="R49" s="68" t="str">
        <x:v>气候副作用可通过配伍和剂量控制</x:v>
      </x:c>
      <x:c r="S49" s="68" t="str">
        <x:v>新调候病严重度高于原流通病</x:v>
      </x:c>
      <x:c r="T49" s="68" t="str">
        <x:v>通关与调候冲突</x:v>
      </x:c>
      <x:c r="U49" s="68" t="str">
        <x:v>M18-待建立</x:v>
      </x:c>
      <x:c r="V49" s="84" t="str">
        <x:v>条件性喜神</x:v>
      </x:c>
      <x:c r="W49" s="82" t="str">
        <x:v>条件顺位</x:v>
      </x:c>
      <x:c r="X49" s="82" t="str">
        <x:v>是</x:v>
      </x:c>
      <x:c r="Y49" s="68" t="str">
        <x:v>通关净收益高于调候损害</x:v>
      </x:c>
      <x:c r="Z49" s="84" t="str">
        <x:v>通关调候冲突</x:v>
      </x:c>
      <x:c r="AA49" s="84" t="str">
        <x:v>该候选五行综合定位为“条件性喜神”，优先级为“条件顺位”。主要收益：修复流通卡点；主要副作用：形成首要调候病；仅在通关净收益高于调候损害时成立。</x:v>
      </x:c>
      <x:c r="AB49" s="82" t="str">
        <x:v>较高</x:v>
      </x:c>
      <x:c r="AC49" s="82" t="str">
        <x:v>现代综合</x:v>
      </x:c>
      <x:c r="AD49" s="68" t="str">
        <x:v>喜忌用神必须同时读取扶抑、格局、通关、调候和病药五个维度。单一维度有利不足以自动成为主用；最终定位取决于是否解决根本问题、是否触犯格局硬约束、药力是否可达以及副作用是否可控。</x:v>
      </x:c>
      <x:c r="AE49" s="68" t="str">
        <x:v>满足“气候副作用可通过配伍和剂量控制”，且主要收益大于副作用时，可按“通关五行恶化极端气候时不得列无条件喜用”定位。</x:v>
      </x:c>
      <x:c r="AF49" s="90" t="str">
        <x:v>若“新调候病严重度高于原流通病”成立，则不得按“通关五行恶化极端气候时不得列无条件喜用”无条件定位。</x:v>
      </x:c>
      <x:c r="AG49" s="82" t="str">
        <x:v>采用</x:v>
      </x:c>
      <x:c r="AH49" s="82" t="str">
        <x:v>初审</x:v>
      </x:c>
      <x:c r="AI49" s="87" t="n">
        <x:v>46260</x:v>
      </x:c>
    </x:row>
    <x:row r="50">
      <x:c r="A50" s="72" t="str">
        <x:f>IF(OR(C50="",D50=""),"",B50&amp;"-"&amp;UPPER(C50)&amp;"-"&amp;TEXT(D50,"0000")&amp;"-"&amp;E50)</x:f>
        <x:v>M17-TONGGUAN-0044-V1.0</x:v>
      </x:c>
      <x:c r="B50" s="74" t="str">
        <x:v>M17</x:v>
      </x:c>
      <x:c r="C50" s="74" t="str">
        <x:v>TONGGUAN</x:v>
      </x:c>
      <x:c r="D50" s="215" t="n">
        <x:v>44</x:v>
      </x:c>
      <x:c r="E50" s="74" t="str">
        <x:v>V1.0</x:v>
      </x:c>
      <x:c r="F50" s="68" t="str">
        <x:v>两端并非都强时不立两强通关用神</x:v>
      </x:c>
      <x:c r="G50" s="82" t="str">
        <x:v>综合层</x:v>
      </x:c>
      <x:c r="H50" s="82"/>
      <x:c r="I50" s="82"/>
      <x:c r="J50" s="82" t="str">
        <x:v>通关用神</x:v>
      </x:c>
      <x:c r="K50" s="68" t="str">
        <x:v>不适用</x:v>
      </x:c>
      <x:c r="L50" s="68" t="str">
        <x:v>不适用</x:v>
      </x:c>
      <x:c r="M50" s="68" t="str">
        <x:v>不存在真实两强相战</x:v>
      </x:c>
      <x:c r="N50" s="68" t="str">
        <x:v>不适用</x:v>
      </x:c>
      <x:c r="O50" s="68" t="str">
        <x:v>无对应流通病</x:v>
      </x:c>
      <x:c r="P50" s="68" t="str">
        <x:v>避免错误补桥</x:v>
      </x:c>
      <x:c r="Q50" s="90" t="str">
        <x:v>错误通关会扶起弱端或损伤强端</x:v>
      </x:c>
      <x:c r="R50" s="68" t="str">
        <x:v>仅用于否决错误通关候选</x:v>
      </x:c>
      <x:c r="S50" s="68" t="str">
        <x:v>M12已证明两端真实强且相战</x:v>
      </x:c>
      <x:c r="T50" s="68" t="str">
        <x:v>无</x:v>
      </x:c>
      <x:c r="U50" s="68"/>
      <x:c r="V50" s="84" t="str">
        <x:v>中性</x:v>
      </x:c>
      <x:c r="W50" s="82" t="str">
        <x:v>不采用</x:v>
      </x:c>
      <x:c r="X50" s="82" t="str">
        <x:v>否</x:v>
      </x:c>
      <x:c r="Y50" s="68" t="str">
        <x:v>没有真实克战就不设通关用神</x:v>
      </x:c>
      <x:c r="Z50" s="84" t="str">
        <x:v>非两强不通关</x:v>
      </x:c>
      <x:c r="AA50" s="84" t="str">
        <x:v>两端未形成真实两强相战，不生成专门通关用神；候选五行按其他维度另评。</x:v>
      </x:c>
      <x:c r="AB50" s="82" t="str">
        <x:v>较高</x:v>
      </x:c>
      <x:c r="AC50" s="82" t="str">
        <x:v>现代综合</x:v>
      </x:c>
      <x:c r="AD50" s="68" t="str">
        <x:v>喜忌用神必须同时读取扶抑、格局、通关、调候和病药五个维度。单一维度有利不足以自动成为主用；最终定位取决于是否解决根本问题、是否触犯格局硬约束、药力是否可达以及副作用是否可控。</x:v>
      </x:c>
      <x:c r="AE50" s="68" t="str">
        <x:v>满足“仅用于否决错误通关候选”，且主要收益大于副作用时，可按“两端并非都强时不立两强通关用神”定位。</x:v>
      </x:c>
      <x:c r="AF50" s="90" t="str">
        <x:v>若“M12已证明两端真实强且相战”成立，则不得按“两端并非都强时不立两强通关用神”无条件定位。</x:v>
      </x:c>
      <x:c r="AG50" s="82" t="str">
        <x:v>采用</x:v>
      </x:c>
      <x:c r="AH50" s="82" t="str">
        <x:v>初审</x:v>
      </x:c>
      <x:c r="AI50" s="87" t="n">
        <x:v>46260</x:v>
      </x:c>
    </x:row>
    <x:row r="51">
      <x:c r="A51" s="72" t="str">
        <x:f>IF(OR(C51="",D51=""),"",B51&amp;"-"&amp;UPPER(C51)&amp;"-"&amp;TEXT(D51,"0000")&amp;"-"&amp;E51)</x:f>
        <x:v>M17-TIAOHOU-0045-V1.0</x:v>
      </x:c>
      <x:c r="B51" s="74" t="str">
        <x:v>M17</x:v>
      </x:c>
      <x:c r="C51" s="74" t="str">
        <x:v>TIAOHOU</x:v>
      </x:c>
      <x:c r="D51" s="215" t="n">
        <x:v>45</x:v>
      </x:c>
      <x:c r="E51" s="74" t="str">
        <x:v>V1.0</x:v>
      </x:c>
      <x:c r="F51" s="68" t="str">
        <x:v>偏寒或极寒时火可列暖局候选</x:v>
      </x:c>
      <x:c r="G51" s="82" t="str">
        <x:v>综合层</x:v>
      </x:c>
      <x:c r="H51" s="82" t="str">
        <x:v>火</x:v>
      </x:c>
      <x:c r="I51" s="82"/>
      <x:c r="J51" s="82" t="str">
        <x:v>调候用神</x:v>
      </x:c>
      <x:c r="K51" s="68" t="str">
        <x:v>火对日主可能生、扶、泄、耗或制，需另映射</x:v>
      </x:c>
      <x:c r="L51" s="68" t="str">
        <x:v>须检查是否伤害从水、润下、金水或其他核心格局</x:v>
      </x:c>
      <x:c r="M51" s="68" t="str">
        <x:v>可解除寒凝并恢复木火、湿土生化</x:v>
      </x:c>
      <x:c r="N51" s="68" t="str">
        <x:v>直接升温，改善偏寒/极寒</x:v>
      </x:c>
      <x:c r="O51" s="68" t="str">
        <x:v>治疗寒凝或寒湿主病</x:v>
      </x:c>
      <x:c r="P51" s="68" t="str">
        <x:v>恢复基础温度与生化活性</x:v>
      </x:c>
      <x:c r="Q51" s="90" t="str">
        <x:v>火过量会热燥、耗水、伤金或破特殊格局</x:v>
      </x:c>
      <x:c r="R51" s="68" t="str">
        <x:v>M13偏寒/极寒且寒已影响M12主路径或M16根本病</x:v>
      </x:c>
      <x:c r="S51" s="68" t="str">
        <x:v>温度已平衡/偏暖，或从水、润下等格局严格忌火</x:v>
      </x:c>
      <x:c r="T51" s="68" t="str">
        <x:v>调候与扶抑/格局冲突</x:v>
      </x:c>
      <x:c r="U51" s="68" t="str">
        <x:v>M18-待建立</x:v>
      </x:c>
      <x:c r="V51" s="84" t="str">
        <x:v>条件性喜神</x:v>
      </x:c>
      <x:c r="W51" s="82" t="str">
        <x:v>条件顺位</x:v>
      </x:c>
      <x:c r="X51" s="82" t="str">
        <x:v>是</x:v>
      </x:c>
      <x:c r="Y51" s="68" t="str">
        <x:v>火有根有源、不过量且不破格</x:v>
      </x:c>
      <x:c r="Z51" s="84" t="str">
        <x:v>火暖寒局</x:v>
      </x:c>
      <x:c r="AA51" s="84" t="str">
        <x:v>火综合定位为“条件性喜神”，优先级为“条件顺位”。主要收益：恢复基础温度与生化活性；主要副作用：火过量会热燥、耗水、伤金或破特殊格局；仅在火有根有源、不过量且不破格时成立。</x:v>
      </x:c>
      <x:c r="AB51" s="82" t="str">
        <x:v>较高</x:v>
      </x:c>
      <x:c r="AC51" s="82" t="str">
        <x:v>现代综合</x:v>
      </x:c>
      <x:c r="AD51" s="68" t="str">
        <x:v>喜忌用神必须同时读取扶抑、格局、通关、调候和病药五个维度。单一维度有利不足以自动成为主用；最终定位取决于是否解决根本问题、是否触犯格局硬约束、药力是否可达以及副作用是否可控。</x:v>
      </x:c>
      <x:c r="AE51" s="68" t="str">
        <x:v>满足“M13偏寒/极寒且寒已影响M12主路径或M16根本病”，且主要收益大于副作用时，可按“偏寒或极寒时火可列暖局候选”定位。</x:v>
      </x:c>
      <x:c r="AF51" s="90" t="str">
        <x:v>若“温度已平衡/偏暖，或从水、润下等格局严格忌火”成立，则不得按“偏寒或极寒时火可列暖局候选”无条件定位。</x:v>
      </x:c>
      <x:c r="AG51" s="82" t="str">
        <x:v>采用</x:v>
      </x:c>
      <x:c r="AH51" s="82" t="str">
        <x:v>初审</x:v>
      </x:c>
      <x:c r="AI51" s="87" t="n">
        <x:v>46260</x:v>
      </x:c>
    </x:row>
    <x:row r="52">
      <x:c r="A52" s="72" t="str">
        <x:f>IF(OR(C52="",D52=""),"",B52&amp;"-"&amp;UPPER(C52)&amp;"-"&amp;TEXT(D52,"0000")&amp;"-"&amp;E52)</x:f>
        <x:v>M17-TIAOHOU-0046-V1.0</x:v>
      </x:c>
      <x:c r="B52" s="74" t="str">
        <x:v>M17</x:v>
      </x:c>
      <x:c r="C52" s="74" t="str">
        <x:v>TIAOHOU</x:v>
      </x:c>
      <x:c r="D52" s="215" t="n">
        <x:v>46</x:v>
      </x:c>
      <x:c r="E52" s="74" t="str">
        <x:v>V1.0</x:v>
      </x:c>
      <x:c r="F52" s="68" t="str">
        <x:v>寒湿并重时火可由调候候选升级为主药候选</x:v>
      </x:c>
      <x:c r="G52" s="82" t="str">
        <x:v>综合层</x:v>
      </x:c>
      <x:c r="H52" s="82" t="str">
        <x:v>火</x:v>
      </x:c>
      <x:c r="I52" s="82"/>
      <x:c r="J52" s="82" t="str">
        <x:v>复合来源</x:v>
      </x:c>
      <x:c r="K52" s="68" t="str">
        <x:v>视日主承载而定</x:v>
      </x:c>
      <x:c r="L52" s="68" t="str">
        <x:v>不得根本破格</x:v>
      </x:c>
      <x:c r="M52" s="68" t="str">
        <x:v>解除寒凝并推动湿土流动</x:v>
      </x:c>
      <x:c r="N52" s="68" t="str">
        <x:v>暖局兼化湿</x:v>
      </x:c>
      <x:c r="O52" s="68" t="str">
        <x:v>治疗寒湿—流通复合病</x:v>
      </x:c>
      <x:c r="P52" s="68" t="str">
        <x:v>同时改善温度、湿度和多个流通卡点</x:v>
      </x:c>
      <x:c r="Q52" s="90" t="str">
        <x:v>火太强转暖燥，可能耗水或伤金格</x:v>
      </x:c>
      <x:c r="R52" s="68" t="str">
        <x:v>M13寒湿严重，M16判调候流通同源主病</x:v>
      </x:c>
      <x:c r="S52" s="68" t="str">
        <x:v>火无根受制，或火会破坏严格特殊格局</x:v>
      </x:c>
      <x:c r="T52" s="68" t="str">
        <x:v>调候、病药与格局冲突</x:v>
      </x:c>
      <x:c r="U52" s="68" t="str">
        <x:v>M18-待建立</x:v>
      </x:c>
      <x:c r="V52" s="84" t="str">
        <x:v>主用神</x:v>
      </x:c>
      <x:c r="W52" s="82" t="str">
        <x:v>第一顺位</x:v>
      </x:c>
      <x:c r="X52" s="82" t="str">
        <x:v>条件性</x:v>
      </x:c>
      <x:c r="Y52" s="68" t="str">
        <x:v>寒湿为根本主病且火的格局副作用可控</x:v>
      </x:c>
      <x:c r="Z52" s="84" t="str">
        <x:v>火治寒湿主药</x:v>
      </x:c>
      <x:c r="AA52" s="84" t="str">
        <x:v>火综合定位为“主用神”，优先级为“第一顺位”。主要收益：同时改善温度、湿度和多个流通卡点；主要副作用：火太强转暖燥，可能耗水或伤金格；仅在寒湿为根本主病且火的格局副作用可控时成立。</x:v>
      </x:c>
      <x:c r="AB52" s="82" t="str">
        <x:v>较高</x:v>
      </x:c>
      <x:c r="AC52" s="82" t="str">
        <x:v>现代综合</x:v>
      </x:c>
      <x:c r="AD52" s="68" t="str">
        <x:v>喜忌用神必须同时读取扶抑、格局、通关、调候和病药五个维度。单一维度有利不足以自动成为主用；最终定位取决于是否解决根本问题、是否触犯格局硬约束、药力是否可达以及副作用是否可控。</x:v>
      </x:c>
      <x:c r="AE52" s="68" t="str">
        <x:v>满足“M13寒湿严重，M16判调候流通同源主病”，且主要收益大于副作用时，可按“寒湿并重时火可由调候候选升级为主药候选”定位。</x:v>
      </x:c>
      <x:c r="AF52" s="90" t="str">
        <x:v>若“火无根受制，或火会破坏严格特殊格局”成立，则不得按“寒湿并重时火可由调候候选升级为主药候选”无条件定位。</x:v>
      </x:c>
      <x:c r="AG52" s="82" t="str">
        <x:v>采用</x:v>
      </x:c>
      <x:c r="AH52" s="82" t="str">
        <x:v>初审</x:v>
      </x:c>
      <x:c r="AI52" s="87" t="n">
        <x:v>46260</x:v>
      </x:c>
    </x:row>
    <x:row r="53">
      <x:c r="A53" s="72" t="str">
        <x:f>IF(OR(C53="",D53=""),"",B53&amp;"-"&amp;UPPER(C53)&amp;"-"&amp;TEXT(D53,"0000")&amp;"-"&amp;E53)</x:f>
        <x:v>M17-TIAOHOU-0047-V1.0</x:v>
      </x:c>
      <x:c r="B53" s="74" t="str">
        <x:v>M17</x:v>
      </x:c>
      <x:c r="C53" s="74" t="str">
        <x:v>TIAOHOU</x:v>
      </x:c>
      <x:c r="D53" s="215" t="n">
        <x:v>47</x:v>
      </x:c>
      <x:c r="E53" s="74" t="str">
        <x:v>V1.0</x:v>
      </x:c>
      <x:c r="F53" s="68" t="str">
        <x:v>偏热或极热时水可列降温候选</x:v>
      </x:c>
      <x:c r="G53" s="82" t="str">
        <x:v>综合层</x:v>
      </x:c>
      <x:c r="H53" s="82" t="str">
        <x:v>水</x:v>
      </x:c>
      <x:c r="I53" s="82"/>
      <x:c r="J53" s="82" t="str">
        <x:v>调候用神</x:v>
      </x:c>
      <x:c r="K53" s="68" t="str">
        <x:v>水对日主作用另按十神映射</x:v>
      </x:c>
      <x:c r="L53" s="68" t="str">
        <x:v>须防冲熄核心火格或破炎上</x:v>
      </x:c>
      <x:c r="M53" s="68" t="str">
        <x:v>可恢复水木链并缓解火炎</x:v>
      </x:c>
      <x:c r="N53" s="68" t="str">
        <x:v>直接降温</x:v>
      </x:c>
      <x:c r="O53" s="68" t="str">
        <x:v>治疗极热或火炎主病</x:v>
      </x:c>
      <x:c r="P53" s="68" t="str">
        <x:v>降低过热、保护水木与金</x:v>
      </x:c>
      <x:c r="Q53" s="90" t="str">
        <x:v>水过量会寒湿、克火、冲坏火格或令土水相战</x:v>
      </x:c>
      <x:c r="R53" s="68" t="str">
        <x:v>M13偏暖/极热且热已造成M12/M16功能障碍</x:v>
      </x:c>
      <x:c r="S53" s="68" t="str">
        <x:v>温度平衡/偏寒，或炎上、从火格严格成立</x:v>
      </x:c>
      <x:c r="T53" s="68" t="str">
        <x:v>调候与格局/扶抑冲突</x:v>
      </x:c>
      <x:c r="U53" s="68" t="str">
        <x:v>M18-待建立</x:v>
      </x:c>
      <x:c r="V53" s="84" t="str">
        <x:v>条件性喜神</x:v>
      </x:c>
      <x:c r="W53" s="82" t="str">
        <x:v>条件顺位</x:v>
      </x:c>
      <x:c r="X53" s="82" t="str">
        <x:v>是</x:v>
      </x:c>
      <x:c r="Y53" s="68" t="str">
        <x:v>水有效可达且不根本破坏火势格局</x:v>
      </x:c>
      <x:c r="Z53" s="84" t="str">
        <x:v>水降热局</x:v>
      </x:c>
      <x:c r="AA53" s="84" t="str">
        <x:v>水综合定位为“条件性喜神”，优先级为“条件顺位”。主要收益：降低过热、保护水木与金；主要副作用：水过量会寒湿、克火、冲坏火格或令土水相战；仅在水有效可达且不根本破坏火势格局时成立。</x:v>
      </x:c>
      <x:c r="AB53" s="82" t="str">
        <x:v>较高</x:v>
      </x:c>
      <x:c r="AC53" s="82" t="str">
        <x:v>现代综合</x:v>
      </x:c>
      <x:c r="AD53" s="68" t="str">
        <x:v>喜忌用神必须同时读取扶抑、格局、通关、调候和病药五个维度。单一维度有利不足以自动成为主用；最终定位取决于是否解决根本问题、是否触犯格局硬约束、药力是否可达以及副作用是否可控。</x:v>
      </x:c>
      <x:c r="AE53" s="68" t="str">
        <x:v>满足“M13偏暖/极热且热已造成M12/M16功能障碍”，且主要收益大于副作用时，可按“偏热或极热时水可列降温候选”定位。</x:v>
      </x:c>
      <x:c r="AF53" s="90" t="str">
        <x:v>若“温度平衡/偏寒，或炎上、从火格严格成立”成立，则不得按“偏热或极热时水可列降温候选”无条件定位。</x:v>
      </x:c>
      <x:c r="AG53" s="82" t="str">
        <x:v>采用</x:v>
      </x:c>
      <x:c r="AH53" s="82" t="str">
        <x:v>初审</x:v>
      </x:c>
      <x:c r="AI53" s="87" t="n">
        <x:v>46260</x:v>
      </x:c>
    </x:row>
    <x:row r="54">
      <x:c r="A54" s="72" t="str">
        <x:f>IF(OR(C54="",D54=""),"",B54&amp;"-"&amp;UPPER(C54)&amp;"-"&amp;TEXT(D54,"0000")&amp;"-"&amp;E54)</x:f>
        <x:v>M17-TIAOHOU-0048-V1.0</x:v>
      </x:c>
      <x:c r="B54" s="74" t="str">
        <x:v>M17</x:v>
      </x:c>
      <x:c r="C54" s="74" t="str">
        <x:v>TIAOHOU</x:v>
      </x:c>
      <x:c r="D54" s="215" t="n">
        <x:v>48</x:v>
      </x:c>
      <x:c r="E54" s="74" t="str">
        <x:v>V1.0</x:v>
      </x:c>
      <x:c r="F54" s="68" t="str">
        <x:v>偏燥或极燥时水可列润燥候选</x:v>
      </x:c>
      <x:c r="G54" s="82" t="str">
        <x:v>综合层</x:v>
      </x:c>
      <x:c r="H54" s="82" t="str">
        <x:v>水</x:v>
      </x:c>
      <x:c r="I54" s="82"/>
      <x:c r="J54" s="82" t="str">
        <x:v>调候用神</x:v>
      </x:c>
      <x:c r="K54" s="68" t="str">
        <x:v>视日主关系而定</x:v>
      </x:c>
      <x:c r="L54" s="68" t="str">
        <x:v>须检查是否伤火格或加重水势</x:v>
      </x:c>
      <x:c r="M54" s="68" t="str">
        <x:v>恢复燥枯桥梁和终点承载</x:v>
      </x:c>
      <x:c r="N54" s="68" t="str">
        <x:v>润燥增湿</x:v>
      </x:c>
      <x:c r="O54" s="68" t="str">
        <x:v>治疗燥枯、暖燥或极燥病</x:v>
      </x:c>
      <x:c r="P54" s="68" t="str">
        <x:v>恢复木、水、土的润泽与连续生化</x:v>
      </x:c>
      <x:c r="Q54" s="90" t="str">
        <x:v>水过量会转寒湿或终点过旺</x:v>
      </x:c>
      <x:c r="R54" s="68" t="str">
        <x:v>M13偏燥/极燥且M12燥枯成立</x:v>
      </x:c>
      <x:c r="S54" s="68" t="str">
        <x:v>原局极寒湿、水已过旺或水会根本破格</x:v>
      </x:c>
      <x:c r="T54" s="68" t="str">
        <x:v>润燥与寒湿/格局冲突</x:v>
      </x:c>
      <x:c r="U54" s="68" t="str">
        <x:v>M18-待建立</x:v>
      </x:c>
      <x:c r="V54" s="84" t="str">
        <x:v>喜神</x:v>
      </x:c>
      <x:c r="W54" s="82" t="str">
        <x:v>第二顺位</x:v>
      </x:c>
      <x:c r="X54" s="82" t="str">
        <x:v>条件性</x:v>
      </x:c>
      <x:c r="Y54" s="68" t="str">
        <x:v>水量适度、能触达燥枯病位且不转寒湿</x:v>
      </x:c>
      <x:c r="Z54" s="84" t="str">
        <x:v>水润燥</x:v>
      </x:c>
      <x:c r="AA54" s="84" t="str">
        <x:v>水综合定位为“喜神”，优先级为“第二顺位”。主要收益：恢复木、水、土的润泽与连续生化；主要副作用：水过量会转寒湿或终点过旺；仅在水量适度、能触达燥枯病位且不转寒湿时成立。</x:v>
      </x:c>
      <x:c r="AB54" s="82" t="str">
        <x:v>较高</x:v>
      </x:c>
      <x:c r="AC54" s="82" t="str">
        <x:v>现代综合</x:v>
      </x:c>
      <x:c r="AD54" s="68" t="str">
        <x:v>喜忌用神必须同时读取扶抑、格局、通关、调候和病药五个维度。单一维度有利不足以自动成为主用；最终定位取决于是否解决根本问题、是否触犯格局硬约束、药力是否可达以及副作用是否可控。</x:v>
      </x:c>
      <x:c r="AE54" s="68" t="str">
        <x:v>满足“M13偏燥/极燥且M12燥枯成立”，且主要收益大于副作用时，可按“偏燥或极燥时水可列润燥候选”定位。</x:v>
      </x:c>
      <x:c r="AF54" s="90" t="str">
        <x:v>若“原局极寒湿、水已过旺或水会根本破格”成立，则不得按“偏燥或极燥时水可列润燥候选”无条件定位。</x:v>
      </x:c>
      <x:c r="AG54" s="82" t="str">
        <x:v>采用</x:v>
      </x:c>
      <x:c r="AH54" s="82" t="str">
        <x:v>初审</x:v>
      </x:c>
      <x:c r="AI54" s="87" t="n">
        <x:v>46260</x:v>
      </x:c>
    </x:row>
    <x:row r="55">
      <x:c r="A55" s="72" t="str">
        <x:f>IF(OR(C55="",D55=""),"",B55&amp;"-"&amp;UPPER(C55)&amp;"-"&amp;TEXT(D55,"0000")&amp;"-"&amp;E55)</x:f>
        <x:v>M17-TIAOHOU-0049-V1.0</x:v>
      </x:c>
      <x:c r="B55" s="74" t="str">
        <x:v>M17</x:v>
      </x:c>
      <x:c r="C55" s="74" t="str">
        <x:v>TIAOHOU</x:v>
      </x:c>
      <x:c r="D55" s="215" t="n">
        <x:v>49</x:v>
      </x:c>
      <x:c r="E55" s="74" t="str">
        <x:v>V1.0</x:v>
      </x:c>
      <x:c r="F55" s="68" t="str">
        <x:v>寒燥并见时火水必须分主辅而非同时无条件增强</x:v>
      </x:c>
      <x:c r="G55" s="82" t="str">
        <x:v>综合层</x:v>
      </x:c>
      <x:c r="H55" s="82"/>
      <x:c r="I55" s="82"/>
      <x:c r="J55" s="82" t="str">
        <x:v>调候用神</x:v>
      </x:c>
      <x:c r="K55" s="68" t="str">
        <x:v>火水对日主作用可能相反</x:v>
      </x:c>
      <x:c r="L55" s="68" t="str">
        <x:v>分别检查火水对格局的影响</x:v>
      </x:c>
      <x:c r="M55" s="68" t="str">
        <x:v>木可作为协调桥梁</x:v>
      </x:c>
      <x:c r="N55" s="68" t="str">
        <x:v>火暖、水润，需控制比例</x:v>
      </x:c>
      <x:c r="O55" s="68" t="str">
        <x:v>治疗寒燥复合病</x:v>
      </x:c>
      <x:c r="P55" s="68" t="str">
        <x:v>同时处理温度低与湿度不足</x:v>
      </x:c>
      <x:c r="Q55" s="90" t="str">
        <x:v>火过燥、水过寒，二者无序并用会形成相战</x:v>
      </x:c>
      <x:c r="R55" s="68" t="str">
        <x:v>M13明确寒燥且两轴均已造成障碍</x:v>
      </x:c>
      <x:c r="S55" s="68" t="str">
        <x:v>仅偏寒或仅偏燥，不需要双药</x:v>
      </x:c>
      <x:c r="T55" s="68" t="str">
        <x:v>火水主辅与两强相战</x:v>
      </x:c>
      <x:c r="U55" s="68" t="str">
        <x:v>M18-待建立</x:v>
      </x:c>
      <x:c r="V55" s="84" t="str">
        <x:v>辅助用神</x:v>
      </x:c>
      <x:c r="W55" s="82" t="str">
        <x:v>第二顺位</x:v>
      </x:c>
      <x:c r="X55" s="82" t="str">
        <x:v>是</x:v>
      </x:c>
      <x:c r="Y55" s="68" t="str">
        <x:v>根据根本病确定火或水为主，另一方仅作辅助</x:v>
      </x:c>
      <x:c r="Z55" s="84" t="str">
        <x:v>寒燥火水主辅</x:v>
      </x:c>
      <x:c r="AA55" s="84" t="str">
        <x:v>该候选五行综合定位为“辅助用神”，优先级为“第二顺位”。主要收益：同时处理温度低与湿度不足；主要副作用：火过燥、水过寒，二者无序并用会形成相战；仅在根据根本病确定火或水为主，另一方仅作辅助时成立。</x:v>
      </x:c>
      <x:c r="AB55" s="82" t="str">
        <x:v>较高</x:v>
      </x:c>
      <x:c r="AC55" s="82" t="str">
        <x:v>现代综合</x:v>
      </x:c>
      <x:c r="AD55" s="68" t="str">
        <x:v>喜忌用神必须同时读取扶抑、格局、通关、调候和病药五个维度。单一维度有利不足以自动成为主用；最终定位取决于是否解决根本问题、是否触犯格局硬约束、药力是否可达以及副作用是否可控。</x:v>
      </x:c>
      <x:c r="AE55" s="68" t="str">
        <x:v>满足“M13明确寒燥且两轴均已造成障碍”，且主要收益大于副作用时，可按“寒燥并见时火水必须分主辅而非同时无条件增强”定位。</x:v>
      </x:c>
      <x:c r="AF55" s="90" t="str">
        <x:v>若“仅偏寒或仅偏燥，不需要双药”成立，则不得按“寒燥并见时火水必须分主辅而非同时无条件增强”无条件定位。</x:v>
      </x:c>
      <x:c r="AG55" s="82" t="str">
        <x:v>采用</x:v>
      </x:c>
      <x:c r="AH55" s="82" t="str">
        <x:v>初审</x:v>
      </x:c>
      <x:c r="AI55" s="87" t="n">
        <x:v>46260</x:v>
      </x:c>
    </x:row>
    <x:row r="56">
      <x:c r="A56" s="72" t="str">
        <x:f>IF(OR(C56="",D56=""),"",B56&amp;"-"&amp;UPPER(C56)&amp;"-"&amp;TEXT(D56,"0000")&amp;"-"&amp;E56)</x:f>
        <x:v>M17-TIAOHOU-0050-V1.0</x:v>
      </x:c>
      <x:c r="B56" s="74" t="str">
        <x:v>M17</x:v>
      </x:c>
      <x:c r="C56" s="74" t="str">
        <x:v>TIAOHOU</x:v>
      </x:c>
      <x:c r="D56" s="215" t="n">
        <x:v>50</x:v>
      </x:c>
      <x:c r="E56" s="74" t="str">
        <x:v>V1.0</x:v>
      </x:c>
      <x:c r="F56" s="68" t="str">
        <x:v>暖湿时木可列疏湿而不过度升温的候选</x:v>
      </x:c>
      <x:c r="G56" s="82" t="str">
        <x:v>综合层</x:v>
      </x:c>
      <x:c r="H56" s="82" t="str">
        <x:v>木</x:v>
      </x:c>
      <x:c r="I56" s="82"/>
      <x:c r="J56" s="82" t="str">
        <x:v>调候用神</x:v>
      </x:c>
      <x:c r="K56" s="68" t="str">
        <x:v>木对日主作用另判</x:v>
      </x:c>
      <x:c r="L56" s="68" t="str">
        <x:v>须防木克土或生火过度</x:v>
      </x:c>
      <x:c r="M56" s="68" t="str">
        <x:v>疏土、导湿并可连接水火</x:v>
      </x:c>
      <x:c r="N56" s="68" t="str">
        <x:v>降低湿滞但可能间接升温</x:v>
      </x:c>
      <x:c r="O56" s="68" t="str">
        <x:v>治疗暖湿、湿土壅滞</x:v>
      </x:c>
      <x:c r="P56" s="68" t="str">
        <x:v>在不明显加热的情况下疏湿</x:v>
      </x:c>
      <x:c r="Q56" s="90" t="str">
        <x:v>木过旺会克土、生火或加重木势</x:v>
      </x:c>
      <x:c r="R56" s="68" t="str">
        <x:v>M13暖湿，温度无需显著上调，湿土为主要病位</x:v>
      </x:c>
      <x:c r="S56" s="68" t="str">
        <x:v>木受金重制、寒凝无生发条件或土格核心不可克</x:v>
      </x:c>
      <x:c r="T56" s="68" t="str">
        <x:v>疏湿与格局/土承载冲突</x:v>
      </x:c>
      <x:c r="U56" s="68" t="str">
        <x:v>M18-待建立</x:v>
      </x:c>
      <x:c r="V56" s="84" t="str">
        <x:v>条件性喜神</x:v>
      </x:c>
      <x:c r="W56" s="82" t="str">
        <x:v>条件顺位</x:v>
      </x:c>
      <x:c r="X56" s="82" t="str">
        <x:v>是</x:v>
      </x:c>
      <x:c r="Y56" s="68" t="str">
        <x:v>木有效且疏湿收益大于克土生火副作用</x:v>
      </x:c>
      <x:c r="Z56" s="84" t="str">
        <x:v>木疏暖湿</x:v>
      </x:c>
      <x:c r="AA56" s="84" t="str">
        <x:v>木综合定位为“条件性喜神”，优先级为“条件顺位”。主要收益：在不明显加热的情况下疏湿；主要副作用：木过旺会克土、生火或加重木势；仅在木有效且疏湿收益大于克土生火副作用时成立。</x:v>
      </x:c>
      <x:c r="AB56" s="82" t="str">
        <x:v>较高</x:v>
      </x:c>
      <x:c r="AC56" s="82" t="str">
        <x:v>现代综合</x:v>
      </x:c>
      <x:c r="AD56" s="68" t="str">
        <x:v>喜忌用神必须同时读取扶抑、格局、通关、调候和病药五个维度。单一维度有利不足以自动成为主用；最终定位取决于是否解决根本问题、是否触犯格局硬约束、药力是否可达以及副作用是否可控。</x:v>
      </x:c>
      <x:c r="AE56" s="68" t="str">
        <x:v>满足“M13暖湿，温度无需显著上调，湿土为主要病位”，且主要收益大于副作用时，可按“暖湿时木可列疏湿而不过度升温的候选”定位。</x:v>
      </x:c>
      <x:c r="AF56" s="90" t="str">
        <x:v>若“木受金重制、寒凝无生发条件或土格核心不可克”成立，则不得按“暖湿时木可列疏湿而不过度升温的候选”无条件定位。</x:v>
      </x:c>
      <x:c r="AG56" s="82" t="str">
        <x:v>采用</x:v>
      </x:c>
      <x:c r="AH56" s="82" t="str">
        <x:v>初审</x:v>
      </x:c>
      <x:c r="AI56" s="87" t="n">
        <x:v>46260</x:v>
      </x:c>
    </x:row>
    <x:row r="57">
      <x:c r="A57" s="72" t="str">
        <x:f>IF(OR(C57="",D57=""),"",B57&amp;"-"&amp;UPPER(C57)&amp;"-"&amp;TEXT(D57,"0000")&amp;"-"&amp;E57)</x:f>
        <x:v>M17-TIAOHOU-0051-V1.0</x:v>
      </x:c>
      <x:c r="B57" s="74" t="str">
        <x:v>M17</x:v>
      </x:c>
      <x:c r="C57" s="74" t="str">
        <x:v>TIAOHOU</x:v>
      </x:c>
      <x:c r="D57" s="215" t="n">
        <x:v>51</x:v>
      </x:c>
      <x:c r="E57" s="74" t="str">
        <x:v>V1.0</x:v>
      </x:c>
      <x:c r="F57" s="68" t="str">
        <x:v>寒湿时木可作为引火疏湿的辅助用神</x:v>
      </x:c>
      <x:c r="G57" s="82" t="str">
        <x:v>综合层</x:v>
      </x:c>
      <x:c r="H57" s="82" t="str">
        <x:v>木</x:v>
      </x:c>
      <x:c r="I57" s="82"/>
      <x:c r="J57" s="82" t="str">
        <x:v>调候用神</x:v>
      </x:c>
      <x:c r="K57" s="68" t="str">
        <x:v>可能生火或扶木日主</x:v>
      </x:c>
      <x:c r="L57" s="68" t="str">
        <x:v>须防木为忌或克土格神</x:v>
      </x:c>
      <x:c r="M57" s="68" t="str">
        <x:v>水→木→火，帮助火源持续</x:v>
      </x:c>
      <x:c r="N57" s="68" t="str">
        <x:v>辅助暖湿而非直接主暖</x:v>
      </x:c>
      <x:c r="O57" s="68" t="str">
        <x:v>保护火药、疏湿土</x:v>
      </x:c>
      <x:c r="P57" s="68" t="str">
        <x:v>为火提供生源并疏导湿土</x:v>
      </x:c>
      <x:c r="Q57" s="90" t="str">
        <x:v>木太旺会耗水、生火过度或克土</x:v>
      </x:c>
      <x:c r="R57" s="68" t="str">
        <x:v>寒湿主药为火，但火弱无源且木可生火</x:v>
      </x:c>
      <x:c r="S57" s="68" t="str">
        <x:v>木无根受金制，或木会根本破坏土格</x:v>
      </x:c>
      <x:c r="T57" s="68" t="str">
        <x:v>辅助火与土格/木旺冲突</x:v>
      </x:c>
      <x:c r="U57" s="68" t="str">
        <x:v>M18-待建立</x:v>
      </x:c>
      <x:c r="V57" s="84" t="str">
        <x:v>辅助用神</x:v>
      </x:c>
      <x:c r="W57" s="82" t="str">
        <x:v>第二顺位</x:v>
      </x:c>
      <x:c r="X57" s="82" t="str">
        <x:v>是</x:v>
      </x:c>
      <x:c r="Y57" s="68" t="str">
        <x:v>木只作为火的生源和疏湿辅助</x:v>
      </x:c>
      <x:c r="Z57" s="84" t="str">
        <x:v>木助火化寒湿</x:v>
      </x:c>
      <x:c r="AA57" s="84" t="str">
        <x:v>木综合定位为“辅助用神”，优先级为“第二顺位”。主要收益：为火提供生源并疏导湿土；主要副作用：木太旺会耗水、生火过度或克土；仅在木只作为火的生源和疏湿辅助时成立。</x:v>
      </x:c>
      <x:c r="AB57" s="82" t="str">
        <x:v>较高</x:v>
      </x:c>
      <x:c r="AC57" s="82" t="str">
        <x:v>现代综合</x:v>
      </x:c>
      <x:c r="AD57" s="68" t="str">
        <x:v>喜忌用神必须同时读取扶抑、格局、通关、调候和病药五个维度。单一维度有利不足以自动成为主用；最终定位取决于是否解决根本问题、是否触犯格局硬约束、药力是否可达以及副作用是否可控。</x:v>
      </x:c>
      <x:c r="AE57" s="68" t="str">
        <x:v>满足“寒湿主药为火，但火弱无源且木可生火”，且主要收益大于副作用时，可按“寒湿时木可作为引火疏湿的辅助用神”定位。</x:v>
      </x:c>
      <x:c r="AF57" s="90" t="str">
        <x:v>若“木无根受金制，或木会根本破坏土格”成立，则不得按“寒湿时木可作为引火疏湿的辅助用神”无条件定位。</x:v>
      </x:c>
      <x:c r="AG57" s="82" t="str">
        <x:v>采用</x:v>
      </x:c>
      <x:c r="AH57" s="82" t="str">
        <x:v>初审</x:v>
      </x:c>
      <x:c r="AI57" s="87" t="n">
        <x:v>46260</x:v>
      </x:c>
    </x:row>
    <x:row r="58">
      <x:c r="A58" s="72" t="str">
        <x:f>IF(OR(C58="",D58=""),"",B58&amp;"-"&amp;UPPER(C58)&amp;"-"&amp;TEXT(D58,"0000")&amp;"-"&amp;E58)</x:f>
        <x:v>M17-TIAOHOU-0052-V1.0</x:v>
      </x:c>
      <x:c r="B58" s="74" t="str">
        <x:v>M17</x:v>
      </x:c>
      <x:c r="C58" s="74" t="str">
        <x:v>TIAOHOU</x:v>
      </x:c>
      <x:c r="D58" s="215" t="n">
        <x:v>52</x:v>
      </x:c>
      <x:c r="E58" s="74" t="str">
        <x:v>V1.0</x:v>
      </x:c>
      <x:c r="F58" s="68" t="str">
        <x:v>极热燥且水源不足时金可列生水辅助候选</x:v>
      </x:c>
      <x:c r="G58" s="82" t="str">
        <x:v>综合层</x:v>
      </x:c>
      <x:c r="H58" s="82" t="str">
        <x:v>金</x:v>
      </x:c>
      <x:c r="I58" s="82"/>
      <x:c r="J58" s="82" t="str">
        <x:v>调候用神</x:v>
      </x:c>
      <x:c r="K58" s="68" t="str">
        <x:v>金对日主作用另判</x:v>
      </x:c>
      <x:c r="L58" s="68" t="str">
        <x:v>须防金克木或破木格</x:v>
      </x:c>
      <x:c r="M58" s="68" t="str">
        <x:v>金→水，增强润燥降温药源</x:v>
      </x:c>
      <x:c r="N58" s="68" t="str">
        <x:v>间接增水，不直接替代水</x:v>
      </x:c>
      <x:c r="O58" s="68" t="str">
        <x:v>保护水药、治疗调候有形无力</x:v>
      </x:c>
      <x:c r="P58" s="68" t="str">
        <x:v>为弱水提供持续生源</x:v>
      </x:c>
      <x:c r="Q58" s="90" t="str">
        <x:v>金过旺克木、助寒或改变金格结构</x:v>
      </x:c>
      <x:c r="R58" s="68" t="str">
        <x:v>水为主调候药但无根无源，金能有效生水</x:v>
      </x:c>
      <x:c r="S58" s="68" t="str">
        <x:v>金受火重制、木为核心格神或金会加重寒凉</x:v>
      </x:c>
      <x:c r="T58" s="68" t="str">
        <x:v>生水辅助与木格/扶抑冲突</x:v>
      </x:c>
      <x:c r="U58" s="68" t="str">
        <x:v>M18-待建立</x:v>
      </x:c>
      <x:c r="V58" s="84" t="str">
        <x:v>辅助用神</x:v>
      </x:c>
      <x:c r="W58" s="82" t="str">
        <x:v>第二顺位</x:v>
      </x:c>
      <x:c r="X58" s="82" t="str">
        <x:v>是</x:v>
      </x:c>
      <x:c r="Y58" s="68" t="str">
        <x:v>金能真实生水且不造成更大克木问题</x:v>
      </x:c>
      <x:c r="Z58" s="84" t="str">
        <x:v>金生水辅助调候</x:v>
      </x:c>
      <x:c r="AA58" s="84" t="str">
        <x:v>金综合定位为“辅助用神”，优先级为“第二顺位”。主要收益：为弱水提供持续生源；主要副作用：金过旺克木、助寒或改变金格结构；仅在金能真实生水且不造成更大克木问题时成立。</x:v>
      </x:c>
      <x:c r="AB58" s="82" t="str">
        <x:v>较高</x:v>
      </x:c>
      <x:c r="AC58" s="82" t="str">
        <x:v>现代综合</x:v>
      </x:c>
      <x:c r="AD58" s="68" t="str">
        <x:v>喜忌用神必须同时读取扶抑、格局、通关、调候和病药五个维度。单一维度有利不足以自动成为主用；最终定位取决于是否解决根本问题、是否触犯格局硬约束、药力是否可达以及副作用是否可控。</x:v>
      </x:c>
      <x:c r="AE58" s="68" t="str">
        <x:v>满足“水为主调候药但无根无源，金能有效生水”，且主要收益大于副作用时，可按“极热燥且水源不足时金可列生水辅助候选”定位。</x:v>
      </x:c>
      <x:c r="AF58" s="90" t="str">
        <x:v>若“金受火重制、木为核心格神或金会加重寒凉”成立，则不得按“极热燥且水源不足时金可列生水辅助候选”无条件定位。</x:v>
      </x:c>
      <x:c r="AG58" s="82" t="str">
        <x:v>采用</x:v>
      </x:c>
      <x:c r="AH58" s="82" t="str">
        <x:v>初审</x:v>
      </x:c>
      <x:c r="AI58" s="87" t="n">
        <x:v>46260</x:v>
      </x:c>
    </x:row>
    <x:row r="59">
      <x:c r="A59" s="72" t="str">
        <x:f>IF(OR(C59="",D59=""),"",B59&amp;"-"&amp;UPPER(C59)&amp;"-"&amp;TEXT(D59,"0000")&amp;"-"&amp;E59)</x:f>
        <x:v>M17-TIAOHOU-0053-V1.0</x:v>
      </x:c>
      <x:c r="B59" s="74" t="str">
        <x:v>M17</x:v>
      </x:c>
      <x:c r="C59" s="74" t="str">
        <x:v>TIAOHOU</x:v>
      </x:c>
      <x:c r="D59" s="215" t="n">
        <x:v>53</x:v>
      </x:c>
      <x:c r="E59" s="74" t="str">
        <x:v>V1.0</x:v>
      </x:c>
      <x:c r="F59" s="68" t="str">
        <x:v>湿气过重时燥土只能作为条件性吸纳与承载候选</x:v>
      </x:c>
      <x:c r="G59" s="82" t="str">
        <x:v>综合层</x:v>
      </x:c>
      <x:c r="H59" s="82" t="str">
        <x:v>土</x:v>
      </x:c>
      <x:c r="I59" s="82"/>
      <x:c r="J59" s="82" t="str">
        <x:v>调候用神</x:v>
      </x:c>
      <x:c r="K59" s="68" t="str">
        <x:v>土对日主作用另判</x:v>
      </x:c>
      <x:c r="L59" s="68" t="str">
        <x:v>须区分湿土、燥土及土格</x:v>
      </x:c>
      <x:c r="M59" s="68" t="str">
        <x:v>可承水、制水，但可能堵塞水路</x:v>
      </x:c>
      <x:c r="N59" s="68" t="str">
        <x:v>适度降低湿度</x:v>
      </x:c>
      <x:c r="O59" s="68" t="str">
        <x:v>治疗局部水湿过量或终点无承载</x:v>
      </x:c>
      <x:c r="P59" s="68" t="str">
        <x:v>提供承载并节制过量水湿</x:v>
      </x:c>
      <x:c r="Q59" s="90" t="str">
        <x:v>土过旺会克水、埋金、湿滞或燥烈</x:v>
      </x:c>
      <x:c r="R59" s="68" t="str">
        <x:v>湿气过重且土能形成适度承载，不是湿土再增</x:v>
      </x:c>
      <x:c r="S59" s="68" t="str">
        <x:v>土已旺、湿土成势或水为关键格神/调候主药</x:v>
      </x:c>
      <x:c r="T59" s="68" t="str">
        <x:v>化湿与水路/格局冲突</x:v>
      </x:c>
      <x:c r="U59" s="68" t="str">
        <x:v>M18-待建立</x:v>
      </x:c>
      <x:c r="V59" s="84" t="str">
        <x:v>条件性喜神</x:v>
      </x:c>
      <x:c r="W59" s="82" t="str">
        <x:v>条件顺位</x:v>
      </x:c>
      <x:c r="X59" s="82" t="str">
        <x:v>是</x:v>
      </x:c>
      <x:c r="Y59" s="68" t="str">
        <x:v>使用的是适度有效土，不得把湿土继续叠加</x:v>
      </x:c>
      <x:c r="Z59" s="84" t="str">
        <x:v>土承湿条件化</x:v>
      </x:c>
      <x:c r="AA59" s="84" t="str">
        <x:v>土综合定位为“条件性喜神”，优先级为“条件顺位”。主要收益：提供承载并节制过量水湿；主要副作用：土过旺会克水、埋金、湿滞或燥烈；仅在使用的是适度有效土，不得把湿土继续叠加时成立。</x:v>
      </x:c>
      <x:c r="AB59" s="82" t="str">
        <x:v>较高</x:v>
      </x:c>
      <x:c r="AC59" s="82" t="str">
        <x:v>现代综合</x:v>
      </x:c>
      <x:c r="AD59" s="68" t="str">
        <x:v>喜忌用神必须同时读取扶抑、格局、通关、调候和病药五个维度。单一维度有利不足以自动成为主用；最终定位取决于是否解决根本问题、是否触犯格局硬约束、药力是否可达以及副作用是否可控。</x:v>
      </x:c>
      <x:c r="AE59" s="68" t="str">
        <x:v>满足“湿气过重且土能形成适度承载，不是湿土再增”，且主要收益大于副作用时，可按“湿气过重时燥土只能作为条件性吸纳与承载候选”定位。</x:v>
      </x:c>
      <x:c r="AF59" s="90" t="str">
        <x:v>若“土已旺、湿土成势或水为关键格神/调候主药”成立，则不得按“湿气过重时燥土只能作为条件性吸纳与承载候选”无条件定位。</x:v>
      </x:c>
      <x:c r="AG59" s="82" t="str">
        <x:v>采用</x:v>
      </x:c>
      <x:c r="AH59" s="82" t="str">
        <x:v>初审</x:v>
      </x:c>
      <x:c r="AI59" s="87" t="n">
        <x:v>46260</x:v>
      </x:c>
    </x:row>
    <x:row r="60">
      <x:c r="A60" s="72" t="str">
        <x:f>IF(OR(C60="",D60=""),"",B60&amp;"-"&amp;UPPER(C60)&amp;"-"&amp;TEXT(D60,"0000")&amp;"-"&amp;E60)</x:f>
        <x:v>M17-TIAOHOU-0054-V1.0</x:v>
      </x:c>
      <x:c r="B60" s="74" t="str">
        <x:v>M17</x:v>
      </x:c>
      <x:c r="C60" s="74" t="str">
        <x:v>TIAOHOU</x:v>
      </x:c>
      <x:c r="D60" s="215" t="n">
        <x:v>54</x:v>
      </x:c>
      <x:c r="E60" s="74" t="str">
        <x:v>V1.0</x:v>
      </x:c>
      <x:c r="F60" s="68" t="str">
        <x:v>双轴平衡时调候维度应退出主用排序</x:v>
      </x:c>
      <x:c r="G60" s="82" t="str">
        <x:v>综合层</x:v>
      </x:c>
      <x:c r="H60" s="82"/>
      <x:c r="I60" s="82"/>
      <x:c r="J60" s="82" t="str">
        <x:v>调候用神</x:v>
      </x:c>
      <x:c r="K60" s="68" t="str">
        <x:v>不适用</x:v>
      </x:c>
      <x:c r="L60" s="68" t="str">
        <x:v>不适用</x:v>
      </x:c>
      <x:c r="M60" s="68" t="str">
        <x:v>不适用</x:v>
      </x:c>
      <x:c r="N60" s="68" t="str">
        <x:v>寒暖燥湿已平衡</x:v>
      </x:c>
      <x:c r="O60" s="68" t="str">
        <x:v>无调候病</x:v>
      </x:c>
      <x:c r="P60" s="68" t="str">
        <x:v>避免无必要改变气候平衡</x:v>
      </x:c>
      <x:c r="Q60" s="90" t="str">
        <x:v>错误调候会制造寒热燥湿新病</x:v>
      </x:c>
      <x:c r="R60" s="68" t="str">
        <x:v>M13双轴平衡且M16不立调候病</x:v>
      </x:c>
      <x:c r="S60" s="68" t="str">
        <x:v>其他模块需要同一五行，但其来源不再是调候</x:v>
      </x:c>
      <x:c r="T60" s="68" t="str">
        <x:v>无</x:v>
      </x:c>
      <x:c r="U60" s="68"/>
      <x:c r="V60" s="84" t="str">
        <x:v>中性</x:v>
      </x:c>
      <x:c r="W60" s="82" t="str">
        <x:v>不采用</x:v>
      </x:c>
      <x:c r="X60" s="82" t="str">
        <x:v>否</x:v>
      </x:c>
      <x:c r="Y60" s="68" t="str">
        <x:v>调候不作为该命局主用来源</x:v>
      </x:c>
      <x:c r="Z60" s="84" t="str">
        <x:v>调候平衡退出</x:v>
      </x:c>
      <x:c r="AA60" s="84" t="str">
        <x:v>该候选五行综合定位为“中性”，优先级为“不采用”。主要收益：避免无必要改变气候平衡；主要副作用：错误调候会制造寒热燥湿新病；调候不作为该命局主用来源。</x:v>
      </x:c>
      <x:c r="AB60" s="82" t="str">
        <x:v>较高</x:v>
      </x:c>
      <x:c r="AC60" s="82" t="str">
        <x:v>现代综合</x:v>
      </x:c>
      <x:c r="AD60" s="68" t="str">
        <x:v>喜忌用神必须同时读取扶抑、格局、通关、调候和病药五个维度。单一维度有利不足以自动成为主用；最终定位取决于是否解决根本问题、是否触犯格局硬约束、药力是否可达以及副作用是否可控。</x:v>
      </x:c>
      <x:c r="AE60" s="68" t="str">
        <x:v>满足“M13双轴平衡且M16不立调候病”，且主要收益大于副作用时，可按“双轴平衡时调候维度应退出主用排序”定位。</x:v>
      </x:c>
      <x:c r="AF60" s="90" t="str">
        <x:v>若“其他模块需要同一五行，但其来源不再是调候”成立，则不得按“双轴平衡时调候维度应退出主用排序”无条件定位。</x:v>
      </x:c>
      <x:c r="AG60" s="82" t="str">
        <x:v>采用</x:v>
      </x:c>
      <x:c r="AH60" s="82" t="str">
        <x:v>初审</x:v>
      </x:c>
      <x:c r="AI60" s="87" t="n">
        <x:v>46260</x:v>
      </x:c>
    </x:row>
    <x:row r="61">
      <x:c r="A61" s="72" t="str">
        <x:f>IF(OR(C61="",D61=""),"",B61&amp;"-"&amp;UPPER(C61)&amp;"-"&amp;TEXT(D61,"0000")&amp;"-"&amp;E61)</x:f>
        <x:v>M17-BINGYAO-0055-V1.0</x:v>
      </x:c>
      <x:c r="B61" s="74" t="str">
        <x:v>M17</x:v>
      </x:c>
      <x:c r="C61" s="74" t="str">
        <x:v>BINGYAO</x:v>
      </x:c>
      <x:c r="D61" s="215" t="n">
        <x:v>55</x:v>
      </x:c>
      <x:c r="E61" s="74" t="str">
        <x:v>V1.0</x:v>
      </x:c>
      <x:c r="F61" s="68" t="str">
        <x:v>M16根本主病对应的直接主药优先进入主用候选</x:v>
      </x:c>
      <x:c r="G61" s="82" t="str">
        <x:v>综合层</x:v>
      </x:c>
      <x:c r="H61" s="82"/>
      <x:c r="I61" s="82"/>
      <x:c r="J61" s="82" t="str">
        <x:v>病药用神</x:v>
      </x:c>
      <x:c r="K61" s="68" t="str">
        <x:v>按主药与日主关系复核</x:v>
      </x:c>
      <x:c r="L61" s="68" t="str">
        <x:v>检查是否护格或伤格</x:v>
      </x:c>
      <x:c r="M61" s="68" t="str">
        <x:v>检查能否触达主病位</x:v>
      </x:c>
      <x:c r="N61" s="68" t="str">
        <x:v>检查是否制造反向调候病</x:v>
      </x:c>
      <x:c r="O61" s="68" t="str">
        <x:v>直接治疗根本主病</x:v>
      </x:c>
      <x:c r="P61" s="68" t="str">
        <x:v>优先解决解释力最强的共同根因</x:v>
      </x:c>
      <x:c r="Q61" s="90" t="str">
        <x:v>药过、药伤格或新病风险</x:v>
      </x:c>
      <x:c r="R61" s="68" t="str">
        <x:v>M16已确定一个根本主病和直接主药</x:v>
      </x:c>
      <x:c r="S61" s="68" t="str">
        <x:v>主药无根无源、无法进入病位或触犯硬约束</x:v>
      </x:c>
      <x:c r="T61" s="68" t="str">
        <x:v>病药与其他四维冲突</x:v>
      </x:c>
      <x:c r="U61" s="68" t="str">
        <x:v>M18-待建立</x:v>
      </x:c>
      <x:c r="V61" s="84" t="str">
        <x:v>主用神</x:v>
      </x:c>
      <x:c r="W61" s="82" t="str">
        <x:v>第一顺位</x:v>
      </x:c>
      <x:c r="X61" s="82" t="str">
        <x:v>条件性</x:v>
      </x:c>
      <x:c r="Y61" s="68" t="str">
        <x:v>主药有效且净收益最高</x:v>
      </x:c>
      <x:c r="Z61" s="84" t="str">
        <x:v>根本病主药入主用</x:v>
      </x:c>
      <x:c r="AA61" s="84" t="str">
        <x:v>该候选五行综合定位为“主用神”，优先级为“第一顺位”。主要收益：优先解决解释力最强的共同根因；主要副作用：药过、药伤格或新病风险；仅在主药有效且净收益最高时成立。</x:v>
      </x:c>
      <x:c r="AB61" s="82" t="str">
        <x:v>较高</x:v>
      </x:c>
      <x:c r="AC61" s="82" t="str">
        <x:v>现代综合</x:v>
      </x:c>
      <x:c r="AD61" s="68" t="str">
        <x:v>喜忌用神必须同时读取扶抑、格局、通关、调候和病药五个维度。单一维度有利不足以自动成为主用；最终定位取决于是否解决根本问题、是否触犯格局硬约束、药力是否可达以及副作用是否可控。</x:v>
      </x:c>
      <x:c r="AE61" s="68" t="str">
        <x:v>满足“M16已确定一个根本主病和直接主药”，且主要收益大于副作用时，可按“M16根本主病对应的直接主药优先进入主用候选”定位。</x:v>
      </x:c>
      <x:c r="AF61" s="90" t="str">
        <x:v>若“主药无根无源、无法进入病位或触犯硬约束”成立，则不得按“M16根本主病对应的直接主药优先进入主用候选”无条件定位。</x:v>
      </x:c>
      <x:c r="AG61" s="82" t="str">
        <x:v>采用</x:v>
      </x:c>
      <x:c r="AH61" s="82" t="str">
        <x:v>初审</x:v>
      </x:c>
      <x:c r="AI61" s="87" t="n">
        <x:v>46260</x:v>
      </x:c>
    </x:row>
    <x:row r="62">
      <x:c r="A62" s="72" t="str">
        <x:f>IF(OR(C62="",D62=""),"",B62&amp;"-"&amp;UPPER(C62)&amp;"-"&amp;TEXT(D62,"0000")&amp;"-"&amp;E62)</x:f>
        <x:v>M17-BINGYAO-0056-V1.0</x:v>
      </x:c>
      <x:c r="B62" s="74" t="str">
        <x:v>M17</x:v>
      </x:c>
      <x:c r="C62" s="74" t="str">
        <x:v>BINGYAO</x:v>
      </x:c>
      <x:c r="D62" s="215" t="n">
        <x:v>56</x:v>
      </x:c>
      <x:c r="E62" s="74" t="str">
        <x:v>V1.0</x:v>
      </x:c>
      <x:c r="F62" s="68" t="str">
        <x:v>辅助药只解决主药药力或配伍问题时列辅助用神</x:v>
      </x:c>
      <x:c r="G62" s="82" t="str">
        <x:v>综合层</x:v>
      </x:c>
      <x:c r="H62" s="82"/>
      <x:c r="I62" s="82"/>
      <x:c r="J62" s="82" t="str">
        <x:v>病药用神</x:v>
      </x:c>
      <x:c r="K62" s="68" t="str">
        <x:v>视辅助药关系而定</x:v>
      </x:c>
      <x:c r="L62" s="68" t="str">
        <x:v>可保护主药或格神</x:v>
      </x:c>
      <x:c r="M62" s="68" t="str">
        <x:v>补桥、护根或建立终点承载</x:v>
      </x:c>
      <x:c r="N62" s="68" t="str">
        <x:v>可控制主药调候副作用</x:v>
      </x:c>
      <x:c r="O62" s="68" t="str">
        <x:v>增强主药、保护主药或处理次病</x:v>
      </x:c>
      <x:c r="P62" s="68" t="str">
        <x:v>使主药能够稳定到达病位</x:v>
      </x:c>
      <x:c r="Q62" s="90" t="str">
        <x:v>辅助药过强可能反客为主</x:v>
      </x:c>
      <x:c r="R62" s="68" t="str">
        <x:v>M16明确辅助药和主药之间的配伍路径</x:v>
      </x:c>
      <x:c r="S62" s="68" t="str">
        <x:v>辅助药无实际作用路径或副作用超过主药收益</x:v>
      </x:c>
      <x:c r="T62" s="68" t="str">
        <x:v>辅助药容量与副作用</x:v>
      </x:c>
      <x:c r="U62" s="68" t="str">
        <x:v>M18-待建立</x:v>
      </x:c>
      <x:c r="V62" s="84" t="str">
        <x:v>辅助用神</x:v>
      </x:c>
      <x:c r="W62" s="82" t="str">
        <x:v>第二顺位</x:v>
      </x:c>
      <x:c r="X62" s="82" t="str">
        <x:v>条件性</x:v>
      </x:c>
      <x:c r="Y62" s="68" t="str">
        <x:v>仅服务主药或次病，不替代根本主药</x:v>
      </x:c>
      <x:c r="Z62" s="84" t="str">
        <x:v>病药辅助用神</x:v>
      </x:c>
      <x:c r="AA62" s="84" t="str">
        <x:v>该候选五行综合定位为“辅助用神”，优先级为“第二顺位”。主要收益：使主药能够稳定到达病位；主要副作用：辅助药过强可能反客为主；仅在仅服务主药或次病，不替代根本主药时成立。</x:v>
      </x:c>
      <x:c r="AB62" s="82" t="str">
        <x:v>较高</x:v>
      </x:c>
      <x:c r="AC62" s="82" t="str">
        <x:v>现代综合</x:v>
      </x:c>
      <x:c r="AD62" s="68" t="str">
        <x:v>喜忌用神必须同时读取扶抑、格局、通关、调候和病药五个维度。单一维度有利不足以自动成为主用；最终定位取决于是否解决根本问题、是否触犯格局硬约束、药力是否可达以及副作用是否可控。</x:v>
      </x:c>
      <x:c r="AE62" s="68" t="str">
        <x:v>满足“M16明确辅助药和主药之间的配伍路径”，且主要收益大于副作用时，可按“辅助药只解决主药药力或配伍问题时列辅助用神”定位。</x:v>
      </x:c>
      <x:c r="AF62" s="90" t="str">
        <x:v>若“辅助药无实际作用路径或副作用超过主药收益”成立，则不得按“辅助药只解决主药药力或配伍问题时列辅助用神”无条件定位。</x:v>
      </x:c>
      <x:c r="AG62" s="82" t="str">
        <x:v>采用</x:v>
      </x:c>
      <x:c r="AH62" s="82" t="str">
        <x:v>初审</x:v>
      </x:c>
      <x:c r="AI62" s="87" t="n">
        <x:v>46260</x:v>
      </x:c>
    </x:row>
    <x:row r="63">
      <x:c r="A63" s="72" t="str">
        <x:f>IF(OR(C63="",D63=""),"",B63&amp;"-"&amp;UPPER(C63)&amp;"-"&amp;TEXT(D63,"0000")&amp;"-"&amp;E63)</x:f>
        <x:v>M17-BINGYAO-0057-V1.0</x:v>
      </x:c>
      <x:c r="B63" s="74" t="str">
        <x:v>M17</x:v>
      </x:c>
      <x:c r="C63" s="74" t="str">
        <x:v>BINGYAO</x:v>
      </x:c>
      <x:c r="D63" s="215" t="n">
        <x:v>57</x:v>
      </x:c>
      <x:c r="E63" s="74" t="str">
        <x:v>V1.0</x:v>
      </x:c>
      <x:c r="F63" s="68" t="str">
        <x:v>药神无根无源时不得列无条件主用</x:v>
      </x:c>
      <x:c r="G63" s="82" t="str">
        <x:v>综合层</x:v>
      </x:c>
      <x:c r="H63" s="82"/>
      <x:c r="I63" s="82"/>
      <x:c r="J63" s="82" t="str">
        <x:v>病药用神</x:v>
      </x:c>
      <x:c r="K63" s="68" t="str">
        <x:v>理论有利</x:v>
      </x:c>
      <x:c r="L63" s="68" t="str">
        <x:v>待定</x:v>
      </x:c>
      <x:c r="M63" s="68" t="str">
        <x:v>无法稳定到达病位</x:v>
      </x:c>
      <x:c r="N63" s="68" t="str">
        <x:v>待定</x:v>
      </x:c>
      <x:c r="O63" s="68" t="str">
        <x:v>药力不足</x:v>
      </x:c>
      <x:c r="P63" s="68" t="str">
        <x:v>提供治疗方向</x:v>
      </x:c>
      <x:c r="Q63" s="90" t="str">
        <x:v>名义有药而实际无药力</x:v>
      </x:c>
      <x:c r="R63" s="68" t="str">
        <x:v>可通过有效生源、根气或替代路径增强</x:v>
      </x:c>
      <x:c r="S63" s="68" t="str">
        <x:v>完全没有补强条件或存在更有效替代药</x:v>
      </x:c>
      <x:c r="T63" s="68" t="str">
        <x:v>药力有效性不足</x:v>
      </x:c>
      <x:c r="U63" s="68" t="str">
        <x:v>M18-待建立</x:v>
      </x:c>
      <x:c r="V63" s="84" t="str">
        <x:v>条件性喜神</x:v>
      </x:c>
      <x:c r="W63" s="82" t="str">
        <x:v>条件顺位</x:v>
      </x:c>
      <x:c r="X63" s="82" t="str">
        <x:v>是</x:v>
      </x:c>
      <x:c r="Y63" s="68" t="str">
        <x:v>必须先具备有效根源和作用路径</x:v>
      </x:c>
      <x:c r="Z63" s="84" t="str">
        <x:v>无根药神降级</x:v>
      </x:c>
      <x:c r="AA63" s="84" t="str">
        <x:v>该候选五行综合定位为“条件性喜神”，优先级为“条件顺位”。主要收益：提供治疗方向；主要副作用：名义有药而实际无药力；仅在必须先具备有效根源和作用路径时成立。</x:v>
      </x:c>
      <x:c r="AB63" s="82" t="str">
        <x:v>较高</x:v>
      </x:c>
      <x:c r="AC63" s="82" t="str">
        <x:v>现代综合</x:v>
      </x:c>
      <x:c r="AD63" s="68" t="str">
        <x:v>喜忌用神必须同时读取扶抑、格局、通关、调候和病药五个维度。单一维度有利不足以自动成为主用；最终定位取决于是否解决根本问题、是否触犯格局硬约束、药力是否可达以及副作用是否可控。</x:v>
      </x:c>
      <x:c r="AE63" s="68" t="str">
        <x:v>满足“可通过有效生源、根气或替代路径增强”，且主要收益大于副作用时，可按“药神无根无源时不得列无条件主用”定位。</x:v>
      </x:c>
      <x:c r="AF63" s="90" t="str">
        <x:v>若“完全没有补强条件或存在更有效替代药”成立，则不得按“药神无根无源时不得列无条件主用”无条件定位。</x:v>
      </x:c>
      <x:c r="AG63" s="82" t="str">
        <x:v>采用</x:v>
      </x:c>
      <x:c r="AH63" s="82" t="str">
        <x:v>初审</x:v>
      </x:c>
      <x:c r="AI63" s="87" t="n">
        <x:v>46260</x:v>
      </x:c>
    </x:row>
    <x:row r="64">
      <x:c r="A64" s="72" t="str">
        <x:f>IF(OR(C64="",D64=""),"",B64&amp;"-"&amp;UPPER(C64)&amp;"-"&amp;TEXT(D64,"0000")&amp;"-"&amp;E64)</x:f>
        <x:v>M17-BINGYAO-0058-V1.0</x:v>
      </x:c>
      <x:c r="B64" s="74" t="str">
        <x:v>M17</x:v>
      </x:c>
      <x:c r="C64" s="74" t="str">
        <x:v>BINGYAO</x:v>
      </x:c>
      <x:c r="D64" s="215" t="n">
        <x:v>58</x:v>
      </x:c>
      <x:c r="E64" s="74" t="str">
        <x:v>V1.0</x:v>
      </x:c>
      <x:c r="F64" s="68" t="str">
        <x:v>药神被强克或合绊时应下调定位</x:v>
      </x:c>
      <x:c r="G64" s="82" t="str">
        <x:v>综合层</x:v>
      </x:c>
      <x:c r="H64" s="82"/>
      <x:c r="I64" s="82"/>
      <x:c r="J64" s="82" t="str">
        <x:v>病药用神</x:v>
      </x:c>
      <x:c r="K64" s="68" t="str">
        <x:v>理论正向</x:v>
      </x:c>
      <x:c r="L64" s="68" t="str">
        <x:v>待定</x:v>
      </x:c>
      <x:c r="M64" s="68" t="str">
        <x:v>药路被截断或占用</x:v>
      </x:c>
      <x:c r="N64" s="68" t="str">
        <x:v>待定</x:v>
      </x:c>
      <x:c r="O64" s="68" t="str">
        <x:v>只能部分治疗病位</x:v>
      </x:c>
      <x:c r="P64" s="68" t="str">
        <x:v>仍可能提供局部修复</x:v>
      </x:c>
      <x:c r="Q64" s="90" t="str">
        <x:v>药力不稳定，强行解克解合可能破格</x:v>
      </x:c>
      <x:c r="R64" s="68" t="str">
        <x:v>制约可被解除或存在独立药源</x:v>
      </x:c>
      <x:c r="S64" s="68" t="str">
        <x:v>药神已失效且无替代路径</x:v>
      </x:c>
      <x:c r="T64" s="68" t="str">
        <x:v>药效与解制副作用</x:v>
      </x:c>
      <x:c r="U64" s="68" t="str">
        <x:v>M18-待建立</x:v>
      </x:c>
      <x:c r="V64" s="84" t="str">
        <x:v>条件性喜神</x:v>
      </x:c>
      <x:c r="W64" s="82" t="str">
        <x:v>条件顺位</x:v>
      </x:c>
      <x:c r="X64" s="82" t="str">
        <x:v>是</x:v>
      </x:c>
      <x:c r="Y64" s="68" t="str">
        <x:v>药神功能恢复后方可提高定位</x:v>
      </x:c>
      <x:c r="Z64" s="84" t="str">
        <x:v>受制药神降级</x:v>
      </x:c>
      <x:c r="AA64" s="84" t="str">
        <x:v>该候选五行综合定位为“条件性喜神”，优先级为“条件顺位”。主要收益：仍可能提供局部修复；主要副作用：药力不稳定，强行解克解合可能破格；仅在药神功能恢复后方可提高定位时成立。</x:v>
      </x:c>
      <x:c r="AB64" s="82" t="str">
        <x:v>较高</x:v>
      </x:c>
      <x:c r="AC64" s="82" t="str">
        <x:v>现代综合</x:v>
      </x:c>
      <x:c r="AD64" s="68" t="str">
        <x:v>喜忌用神必须同时读取扶抑、格局、通关、调候和病药五个维度。单一维度有利不足以自动成为主用；最终定位取决于是否解决根本问题、是否触犯格局硬约束、药力是否可达以及副作用是否可控。</x:v>
      </x:c>
      <x:c r="AE64" s="68" t="str">
        <x:v>满足“制约可被解除或存在独立药源”，且主要收益大于副作用时，可按“药神被强克或合绊时应下调定位”定位。</x:v>
      </x:c>
      <x:c r="AF64" s="90" t="str">
        <x:v>若“药神已失效且无替代路径”成立，则不得按“药神被强克或合绊时应下调定位”无条件定位。</x:v>
      </x:c>
      <x:c r="AG64" s="82" t="str">
        <x:v>采用</x:v>
      </x:c>
      <x:c r="AH64" s="82" t="str">
        <x:v>初审</x:v>
      </x:c>
      <x:c r="AI64" s="87" t="n">
        <x:v>46260</x:v>
      </x:c>
    </x:row>
    <x:row r="65">
      <x:c r="A65" s="72" t="str">
        <x:f>IF(OR(C65="",D65=""),"",B65&amp;"-"&amp;UPPER(C65)&amp;"-"&amp;TEXT(D65,"0000")&amp;"-"&amp;E65)</x:f>
        <x:v>M17-BINGYAO-0059-V1.0</x:v>
      </x:c>
      <x:c r="B65" s="74" t="str">
        <x:v>M17</x:v>
      </x:c>
      <x:c r="C65" s="74" t="str">
        <x:v>BINGYAO</x:v>
      </x:c>
      <x:c r="D65" s="215" t="n">
        <x:v>59</x:v>
      </x:c>
      <x:c r="E65" s="74" t="str">
        <x:v>V1.0</x:v>
      </x:c>
      <x:c r="F65" s="68" t="str">
        <x:v>一药多效且无硬冲突时可由喜神升级为主用</x:v>
      </x:c>
      <x:c r="G65" s="82" t="str">
        <x:v>综合层</x:v>
      </x:c>
      <x:c r="H65" s="82"/>
      <x:c r="I65" s="82"/>
      <x:c r="J65" s="82" t="str">
        <x:v>复合来源</x:v>
      </x:c>
      <x:c r="K65" s="68" t="str">
        <x:v>正向或中性</x:v>
      </x:c>
      <x:c r="L65" s="68" t="str">
        <x:v>护格或不伤格</x:v>
      </x:c>
      <x:c r="M65" s="68" t="str">
        <x:v>修复主卡点</x:v>
      </x:c>
      <x:c r="N65" s="68" t="str">
        <x:v>改善或不恶化调候</x:v>
      </x:c>
      <x:c r="O65" s="68" t="str">
        <x:v>治疗根本病</x:v>
      </x:c>
      <x:c r="P65" s="68" t="str">
        <x:v>同时覆盖多个主要问题，减少药神数量与冲突</x:v>
      </x:c>
      <x:c r="Q65" s="90" t="str">
        <x:v>需防药力集中后过量</x:v>
      </x:c>
      <x:c r="R65" s="68" t="str">
        <x:v>至少三个独立维度同向，且包括病药或格局关键维度</x:v>
      </x:c>
      <x:c r="S65" s="68" t="str">
        <x:v>证据同源重复或存在一个硬否决</x:v>
      </x:c>
      <x:c r="T65" s="68" t="str">
        <x:v>多维一致但需剂量控制</x:v>
      </x:c>
      <x:c r="U65" s="68" t="str">
        <x:v>M18-待建立</x:v>
      </x:c>
      <x:c r="V65" s="84" t="str">
        <x:v>主用神</x:v>
      </x:c>
      <x:c r="W65" s="82" t="str">
        <x:v>第一顺位</x:v>
      </x:c>
      <x:c r="X65" s="82" t="str">
        <x:v>条件性</x:v>
      </x:c>
      <x:c r="Y65" s="68" t="str">
        <x:v>多个独立维度真实同向且药量可控</x:v>
      </x:c>
      <x:c r="Z65" s="84" t="str">
        <x:v>一药多效升级主用</x:v>
      </x:c>
      <x:c r="AA65" s="84" t="str">
        <x:v>该候选五行综合定位为“主用神”，优先级为“第一顺位”。主要收益：同时覆盖多个主要问题，减少药神数量与冲突；主要副作用：需防药力集中后过量；仅在多个独立维度真实同向且药量可控时成立。</x:v>
      </x:c>
      <x:c r="AB65" s="82" t="str">
        <x:v>较高</x:v>
      </x:c>
      <x:c r="AC65" s="82" t="str">
        <x:v>现代综合</x:v>
      </x:c>
      <x:c r="AD65" s="68" t="str">
        <x:v>喜忌用神必须同时读取扶抑、格局、通关、调候和病药五个维度。单一维度有利不足以自动成为主用；最终定位取决于是否解决根本问题、是否触犯格局硬约束、药力是否可达以及副作用是否可控。</x:v>
      </x:c>
      <x:c r="AE65" s="68" t="str">
        <x:v>满足“至少三个独立维度同向，且包括病药或格局关键维度”，且主要收益大于副作用时，可按“一药多效且无硬冲突时可由喜神升级为主用”定位。</x:v>
      </x:c>
      <x:c r="AF65" s="90" t="str">
        <x:v>若“证据同源重复或存在一个硬否决”成立，则不得按“一药多效且无硬冲突时可由喜神升级为主用”无条件定位。</x:v>
      </x:c>
      <x:c r="AG65" s="82" t="str">
        <x:v>采用</x:v>
      </x:c>
      <x:c r="AH65" s="82" t="str">
        <x:v>初审</x:v>
      </x:c>
      <x:c r="AI65" s="87" t="n">
        <x:v>46260</x:v>
      </x:c>
    </x:row>
    <x:row r="66">
      <x:c r="A66" s="72" t="str">
        <x:f>IF(OR(C66="",D66=""),"",B66&amp;"-"&amp;UPPER(C66)&amp;"-"&amp;TEXT(D66,"0000")&amp;"-"&amp;E66)</x:f>
        <x:v>M17-BINGYAO-0060-V1.0</x:v>
      </x:c>
      <x:c r="B66" s="74" t="str">
        <x:v>M17</x:v>
      </x:c>
      <x:c r="C66" s="74" t="str">
        <x:v>BINGYAO</x:v>
      </x:c>
      <x:c r="D66" s="215" t="n">
        <x:v>60</x:v>
      </x:c>
      <x:c r="E66" s="74" t="str">
        <x:v>V1.0</x:v>
      </x:c>
      <x:c r="F66" s="68" t="str">
        <x:v>药神能治次病但不能触达主病时仅列喜神或辅助</x:v>
      </x:c>
      <x:c r="G66" s="82" t="str">
        <x:v>综合层</x:v>
      </x:c>
      <x:c r="H66" s="82"/>
      <x:c r="I66" s="82"/>
      <x:c r="J66" s="82" t="str">
        <x:v>病药用神</x:v>
      </x:c>
      <x:c r="K66" s="68" t="str">
        <x:v>待定</x:v>
      </x:c>
      <x:c r="L66" s="68" t="str">
        <x:v>待定</x:v>
      </x:c>
      <x:c r="M66" s="68" t="str">
        <x:v>只修复次级路径</x:v>
      </x:c>
      <x:c r="N66" s="68" t="str">
        <x:v>可能正向</x:v>
      </x:c>
      <x:c r="O66" s="68" t="str">
        <x:v>治疗次病，不治疗根本病</x:v>
      </x:c>
      <x:c r="P66" s="68" t="str">
        <x:v>改善局部功能</x:v>
      </x:c>
      <x:c r="Q66" s="90" t="str">
        <x:v>不能替代根本主药，可能分散药力</x:v>
      </x:c>
      <x:c r="R66" s="68" t="str">
        <x:v>根本主病已有更直接主药</x:v>
      </x:c>
      <x:c r="S66" s="68" t="str">
        <x:v>该药会干扰根本主药或制造新病</x:v>
      </x:c>
      <x:c r="T66" s="68" t="str">
        <x:v>主病与次病优先级</x:v>
      </x:c>
      <x:c r="U66" s="68" t="str">
        <x:v>M18-待建立</x:v>
      </x:c>
      <x:c r="V66" s="84" t="str">
        <x:v>喜神</x:v>
      </x:c>
      <x:c r="W66" s="82" t="str">
        <x:v>第三顺位</x:v>
      </x:c>
      <x:c r="X66" s="82" t="str">
        <x:v>条件性</x:v>
      </x:c>
      <x:c r="Y66" s="68" t="str">
        <x:v>只在主病已得到控制后作为次级改善</x:v>
      </x:c>
      <x:c r="Z66" s="84" t="str">
        <x:v>次病药降级</x:v>
      </x:c>
      <x:c r="AA66" s="84" t="str">
        <x:v>该候选五行综合定位为“喜神”，优先级为“第三顺位”。主要收益：改善局部功能；主要副作用：不能替代根本主药，可能分散药力；仅在只在主病已得到控制后作为次级改善时成立。</x:v>
      </x:c>
      <x:c r="AB66" s="82" t="str">
        <x:v>较高</x:v>
      </x:c>
      <x:c r="AC66" s="82" t="str">
        <x:v>现代综合</x:v>
      </x:c>
      <x:c r="AD66" s="68" t="str">
        <x:v>喜忌用神必须同时读取扶抑、格局、通关、调候和病药五个维度。单一维度有利不足以自动成为主用；最终定位取决于是否解决根本问题、是否触犯格局硬约束、药力是否可达以及副作用是否可控。</x:v>
      </x:c>
      <x:c r="AE66" s="68" t="str">
        <x:v>满足“根本主病已有更直接主药”，且主要收益大于副作用时，可按“药神能治次病但不能触达主病时仅列喜神或辅助”定位。</x:v>
      </x:c>
      <x:c r="AF66" s="90" t="str">
        <x:v>若“该药会干扰根本主药或制造新病”成立，则不得按“药神能治次病但不能触达主病时仅列喜神或辅助”无条件定位。</x:v>
      </x:c>
      <x:c r="AG66" s="82" t="str">
        <x:v>采用</x:v>
      </x:c>
      <x:c r="AH66" s="82" t="str">
        <x:v>初审</x:v>
      </x:c>
      <x:c r="AI66" s="87" t="n">
        <x:v>46260</x:v>
      </x:c>
    </x:row>
    <x:row r="67">
      <x:c r="A67" s="72" t="str">
        <x:f>IF(OR(C67="",D67=""),"",B67&amp;"-"&amp;UPPER(C67)&amp;"-"&amp;TEXT(D67,"0000")&amp;"-"&amp;E67)</x:f>
        <x:v>M17-BINGYAO-0061-V1.0</x:v>
      </x:c>
      <x:c r="B67" s="74" t="str">
        <x:v>M17</x:v>
      </x:c>
      <x:c r="C67" s="74" t="str">
        <x:v>BINGYAO</x:v>
      </x:c>
      <x:c r="D67" s="215" t="n">
        <x:v>61</x:v>
      </x:c>
      <x:c r="E67" s="74" t="str">
        <x:v>V1.0</x:v>
      </x:c>
      <x:c r="F67" s="68" t="str">
        <x:v>药过会形成反向病时应标记条件性而非无条件喜</x:v>
      </x:c>
      <x:c r="G67" s="82" t="str">
        <x:v>综合层</x:v>
      </x:c>
      <x:c r="H67" s="82"/>
      <x:c r="I67" s="82"/>
      <x:c r="J67" s="82" t="str">
        <x:v>病药用神</x:v>
      </x:c>
      <x:c r="K67" s="68" t="str">
        <x:v>适量正向、过量反向</x:v>
      </x:c>
      <x:c r="L67" s="68" t="str">
        <x:v>过量可能破格</x:v>
      </x:c>
      <x:c r="M67" s="68" t="str">
        <x:v>过量可能截流或终点过旺</x:v>
      </x:c>
      <x:c r="N67" s="68" t="str">
        <x:v>过量可能反向寒热燥湿</x:v>
      </x:c>
      <x:c r="O67" s="68" t="str">
        <x:v>适量治病、过量成病</x:v>
      </x:c>
      <x:c r="P67" s="68" t="str">
        <x:v>在合适强度下修复主病</x:v>
      </x:c>
      <x:c r="Q67" s="90" t="str">
        <x:v>跨越平衡形成新病</x:v>
      </x:c>
      <x:c r="R67" s="68" t="str">
        <x:v>可明确控制作用条件和强度</x:v>
      </x:c>
      <x:c r="S67" s="68" t="str">
        <x:v>原局该药已经过旺或新病不可控</x:v>
      </x:c>
      <x:c r="T67" s="68" t="str">
        <x:v>药量与反向病</x:v>
      </x:c>
      <x:c r="U67" s="68" t="str">
        <x:v>M18-待建立</x:v>
      </x:c>
      <x:c r="V67" s="84" t="str">
        <x:v>条件性喜神</x:v>
      </x:c>
      <x:c r="W67" s="82" t="str">
        <x:v>条件顺位</x:v>
      </x:c>
      <x:c r="X67" s="82" t="str">
        <x:v>是</x:v>
      </x:c>
      <x:c r="Y67" s="68" t="str">
        <x:v>只取适量，不宜继续增强</x:v>
      </x:c>
      <x:c r="Z67" s="84" t="str">
        <x:v>药量边界条件化</x:v>
      </x:c>
      <x:c r="AA67" s="84" t="str">
        <x:v>该候选五行综合定位为“条件性喜神”，优先级为“条件顺位”。主要收益：在合适强度下修复主病；主要副作用：跨越平衡形成新病；仅在只取适量，不宜继续增强时成立。</x:v>
      </x:c>
      <x:c r="AB67" s="82" t="str">
        <x:v>较高</x:v>
      </x:c>
      <x:c r="AC67" s="82" t="str">
        <x:v>现代综合</x:v>
      </x:c>
      <x:c r="AD67" s="68" t="str">
        <x:v>喜忌用神必须同时读取扶抑、格局、通关、调候和病药五个维度。单一维度有利不足以自动成为主用；最终定位取决于是否解决根本问题、是否触犯格局硬约束、药力是否可达以及副作用是否可控。</x:v>
      </x:c>
      <x:c r="AE67" s="68" t="str">
        <x:v>满足“可明确控制作用条件和强度”，且主要收益大于副作用时，可按“药过会形成反向病时应标记条件性而非无条件喜”定位。</x:v>
      </x:c>
      <x:c r="AF67" s="90" t="str">
        <x:v>若“原局该药已经过旺或新病不可控”成立，则不得按“药过会形成反向病时应标记条件性而非无条件喜”无条件定位。</x:v>
      </x:c>
      <x:c r="AG67" s="82" t="str">
        <x:v>采用</x:v>
      </x:c>
      <x:c r="AH67" s="82" t="str">
        <x:v>初审</x:v>
      </x:c>
      <x:c r="AI67" s="87" t="n">
        <x:v>46260</x:v>
      </x:c>
    </x:row>
    <x:row r="68">
      <x:c r="A68" s="72" t="str">
        <x:f>IF(OR(C68="",D68=""),"",B68&amp;"-"&amp;UPPER(C68)&amp;"-"&amp;TEXT(D68,"0000")&amp;"-"&amp;E68)</x:f>
        <x:v>M17-BINGYAO-0062-V1.0</x:v>
      </x:c>
      <x:c r="B68" s="74" t="str">
        <x:v>M17</x:v>
      </x:c>
      <x:c r="C68" s="74" t="str">
        <x:v>BINGYAO</x:v>
      </x:c>
      <x:c r="D68" s="215" t="n">
        <x:v>62</x:v>
      </x:c>
      <x:c r="E68" s="74" t="str">
        <x:v>V1.0</x:v>
      </x:c>
      <x:c r="F68" s="68" t="str">
        <x:v>主药伤格且无替代保护时可转为条件性忌神</x:v>
      </x:c>
      <x:c r="G68" s="82" t="str">
        <x:v>综合层</x:v>
      </x:c>
      <x:c r="H68" s="82"/>
      <x:c r="I68" s="82"/>
      <x:c r="J68" s="82" t="str">
        <x:v>病药用神</x:v>
      </x:c>
      <x:c r="K68" s="68" t="str">
        <x:v>可能治旺衰病</x:v>
      </x:c>
      <x:c r="L68" s="68" t="str">
        <x:v>根本破坏核心格神或特殊格局</x:v>
      </x:c>
      <x:c r="M68" s="68" t="str">
        <x:v>可能正向</x:v>
      </x:c>
      <x:c r="N68" s="68" t="str">
        <x:v>可能正向</x:v>
      </x:c>
      <x:c r="O68" s="68" t="str">
        <x:v>治疗一个病位</x:v>
      </x:c>
      <x:c r="P68" s="68" t="str">
        <x:v>局部治病</x:v>
      </x:c>
      <x:c r="Q68" s="90" t="str">
        <x:v>制造更高优先级根本格局病</x:v>
      </x:c>
      <x:c r="R68" s="68" t="str">
        <x:v>只作为警示与M18冲突裁决输入</x:v>
      </x:c>
      <x:c r="S68" s="68" t="str">
        <x:v>存在不伤格的替代药路</x:v>
      </x:c>
      <x:c r="T68" s="68" t="str">
        <x:v>病药与格局硬冲突</x:v>
      </x:c>
      <x:c r="U68" s="68" t="str">
        <x:v>M18-待建立</x:v>
      </x:c>
      <x:c r="V68" s="84" t="str">
        <x:v>条件性忌神</x:v>
      </x:c>
      <x:c r="W68" s="82" t="str">
        <x:v>不采用</x:v>
      </x:c>
      <x:c r="X68" s="82" t="str">
        <x:v>是</x:v>
      </x:c>
      <x:c r="Y68" s="68" t="str">
        <x:v>原则上不采用，除非格局本身已经失效并重定</x:v>
      </x:c>
      <x:c r="Z68" s="84" t="str">
        <x:v>药伤格转忌</x:v>
      </x:c>
      <x:c r="AA68" s="84" t="str">
        <x:v>该候选五行综合定位为“条件性忌神”，优先级为“不采用”。主要收益：局部治病；主要副作用：制造更高优先级根本格局病；仅在原则上不采用，除非格局本身已经失效并重定时成立。</x:v>
      </x:c>
      <x:c r="AB68" s="82" t="str">
        <x:v>较高</x:v>
      </x:c>
      <x:c r="AC68" s="82" t="str">
        <x:v>现代综合</x:v>
      </x:c>
      <x:c r="AD68" s="68" t="str">
        <x:v>喜忌用神必须同时读取扶抑、格局、通关、调候和病药五个维度。单一维度有利不足以自动成为主用；最终定位取决于是否解决根本问题、是否触犯格局硬约束、药力是否可达以及副作用是否可控。</x:v>
      </x:c>
      <x:c r="AE68" s="68" t="str">
        <x:v>满足“只作为警示与M18冲突裁决输入”，且主要收益大于副作用时，可按“主药伤格且无替代保护时可转为条件性忌神”定位。</x:v>
      </x:c>
      <x:c r="AF68" s="90" t="str">
        <x:v>若“存在不伤格的替代药路”成立，则不得按“主药伤格且无替代保护时可转为条件性忌神”无条件定位。</x:v>
      </x:c>
      <x:c r="AG68" s="82" t="str">
        <x:v>采用</x:v>
      </x:c>
      <x:c r="AH68" s="82" t="str">
        <x:v>初审</x:v>
      </x:c>
      <x:c r="AI68" s="87" t="n">
        <x:v>46260</x:v>
      </x:c>
    </x:row>
    <x:row r="69">
      <x:c r="A69" s="72" t="str">
        <x:f>IF(OR(C69="",D69=""),"",B69&amp;"-"&amp;UPPER(C69)&amp;"-"&amp;TEXT(D69,"0000")&amp;"-"&amp;E69)</x:f>
        <x:v>M17-BINGYAO-0063-V1.0</x:v>
      </x:c>
      <x:c r="B69" s="74" t="str">
        <x:v>M17</x:v>
      </x:c>
      <x:c r="C69" s="74" t="str">
        <x:v>BINGYAO</x:v>
      </x:c>
      <x:c r="D69" s="215" t="n">
        <x:v>63</x:v>
      </x:c>
      <x:c r="E69" s="74" t="str">
        <x:v>V1.0</x:v>
      </x:c>
      <x:c r="F69" s="68" t="str">
        <x:v>无病位时不应为了完整矩阵强行指定病药用神</x:v>
      </x:c>
      <x:c r="G69" s="82" t="str">
        <x:v>综合层</x:v>
      </x:c>
      <x:c r="H69" s="82"/>
      <x:c r="I69" s="82"/>
      <x:c r="J69" s="82" t="str">
        <x:v>病药用神</x:v>
      </x:c>
      <x:c r="K69" s="68" t="str">
        <x:v>不适用</x:v>
      </x:c>
      <x:c r="L69" s="68" t="str">
        <x:v>结构正常</x:v>
      </x:c>
      <x:c r="M69" s="68" t="str">
        <x:v>结构正常</x:v>
      </x:c>
      <x:c r="N69" s="68" t="str">
        <x:v>结构正常</x:v>
      </x:c>
      <x:c r="O69" s="68" t="str">
        <x:v>无根本病可治</x:v>
      </x:c>
      <x:c r="P69" s="68" t="str">
        <x:v>避免人为制造用神</x:v>
      </x:c>
      <x:c r="Q69" s="90" t="str">
        <x:v>无必要用药会打破原局平衡</x:v>
      </x:c>
      <x:c r="R69" s="68" t="str">
        <x:v>M16未立根本病或仅有轻微无功能障碍偏差</x:v>
      </x:c>
      <x:c r="S69" s="68" t="str">
        <x:v>其他来源仍可产生格局、通关或调候用神</x:v>
      </x:c>
      <x:c r="T69" s="68" t="str">
        <x:v>无</x:v>
      </x:c>
      <x:c r="U69" s="68"/>
      <x:c r="V69" s="84" t="str">
        <x:v>中性</x:v>
      </x:c>
      <x:c r="W69" s="82" t="str">
        <x:v>不采用</x:v>
      </x:c>
      <x:c r="X69" s="82" t="str">
        <x:v>否</x:v>
      </x:c>
      <x:c r="Y69" s="68" t="str">
        <x:v>病药维度退出，但其他维度继续评估</x:v>
      </x:c>
      <x:c r="Z69" s="84" t="str">
        <x:v>无病不设药</x:v>
      </x:c>
      <x:c r="AA69" s="84" t="str">
        <x:v>该候选五行综合定位为“中性”，优先级为“不采用”。主要收益：避免人为制造用神；主要副作用：无必要用药会打破原局平衡；病药维度退出，但其他维度继续评估。</x:v>
      </x:c>
      <x:c r="AB69" s="82" t="str">
        <x:v>较高</x:v>
      </x:c>
      <x:c r="AC69" s="82" t="str">
        <x:v>现代综合</x:v>
      </x:c>
      <x:c r="AD69" s="68" t="str">
        <x:v>喜忌用神必须同时读取扶抑、格局、通关、调候和病药五个维度。单一维度有利不足以自动成为主用；最终定位取决于是否解决根本问题、是否触犯格局硬约束、药力是否可达以及副作用是否可控。</x:v>
      </x:c>
      <x:c r="AE69" s="68" t="str">
        <x:v>满足“M16未立根本病或仅有轻微无功能障碍偏差”，且主要收益大于副作用时，可按“无病位时不应为了完整矩阵强行指定病药用神”定位。</x:v>
      </x:c>
      <x:c r="AF69" s="90" t="str">
        <x:v>若“其他来源仍可产生格局、通关或调候用神”成立，则不得按“无病位时不应为了完整矩阵强行指定病药用神”无条件定位。</x:v>
      </x:c>
      <x:c r="AG69" s="82" t="str">
        <x:v>采用</x:v>
      </x:c>
      <x:c r="AH69" s="82" t="str">
        <x:v>初审</x:v>
      </x:c>
      <x:c r="AI69" s="87" t="n">
        <x:v>46260</x:v>
      </x:c>
    </x:row>
    <x:row r="70">
      <x:c r="A70" s="72" t="str">
        <x:f>IF(OR(C70="",D70=""),"",B70&amp;"-"&amp;UPPER(C70)&amp;"-"&amp;TEXT(D70,"0000")&amp;"-"&amp;E70)</x:f>
        <x:v>M17-BINGYAO-0064-V1.0</x:v>
      </x:c>
      <x:c r="B70" s="74" t="str">
        <x:v>M17</x:v>
      </x:c>
      <x:c r="C70" s="74" t="str">
        <x:v>BINGYAO</x:v>
      </x:c>
      <x:c r="D70" s="215" t="n">
        <x:v>64</x:v>
      </x:c>
      <x:c r="E70" s="74" t="str">
        <x:v>V1.0</x:v>
      </x:c>
      <x:c r="F70" s="68" t="str">
        <x:v>多个主药候选相反时保持并列并转M18</x:v>
      </x:c>
      <x:c r="G70" s="82" t="str">
        <x:v>综合层</x:v>
      </x:c>
      <x:c r="H70" s="82"/>
      <x:c r="I70" s="82"/>
      <x:c r="J70" s="82" t="str">
        <x:v>病药用神</x:v>
      </x:c>
      <x:c r="K70" s="68" t="str">
        <x:v>候选方向相反</x:v>
      </x:c>
      <x:c r="L70" s="68" t="str">
        <x:v>可能分别护不同结构</x:v>
      </x:c>
      <x:c r="M70" s="68" t="str">
        <x:v>可能处理不同卡点</x:v>
      </x:c>
      <x:c r="N70" s="68" t="str">
        <x:v>可能冷热相反</x:v>
      </x:c>
      <x:c r="O70" s="68" t="str">
        <x:v>分别治疗不同病位</x:v>
      </x:c>
      <x:c r="P70" s="68" t="str">
        <x:v>完整保留不同诊断路径</x:v>
      </x:c>
      <x:c r="Q70" s="90" t="str">
        <x:v>同时采用会冲突或相战</x:v>
      </x:c>
      <x:c r="R70" s="68" t="str">
        <x:v>M16主病解释接近，主药候选相反且无硬约束</x:v>
      </x:c>
      <x:c r="S70" s="68" t="str">
        <x:v>已有共同根因或更高优先级可唯一化</x:v>
      </x:c>
      <x:c r="T70" s="68" t="str">
        <x:v>多病多药方向冲突</x:v>
      </x:c>
      <x:c r="U70" s="68" t="str">
        <x:v>M18-待建立</x:v>
      </x:c>
      <x:c r="V70" s="84" t="str">
        <x:v>待定</x:v>
      </x:c>
      <x:c r="W70" s="82" t="str">
        <x:v>待定</x:v>
      </x:c>
      <x:c r="X70" s="82" t="str">
        <x:v>待定</x:v>
      </x:c>
      <x:c r="Y70" s="68" t="str">
        <x:v>保留主候选、替代候选及各自成立条件</x:v>
      </x:c>
      <x:c r="Z70" s="84" t="str">
        <x:v>相反主药并列待裁决</x:v>
      </x:c>
      <x:c r="AA70" s="84" t="str">
        <x:v>该候选五行综合定位为“待定”，优先级为“待定”。主要收益：完整保留不同诊断路径；主要副作用：同时采用会冲突或相战；保留主候选、替代候选及各自成立条件。</x:v>
      </x:c>
      <x:c r="AB70" s="82" t="str">
        <x:v>中等</x:v>
      </x:c>
      <x:c r="AC70" s="82" t="str">
        <x:v>现代综合</x:v>
      </x:c>
      <x:c r="AD70" s="68" t="str">
        <x:v>喜忌用神必须同时读取扶抑、格局、通关、调候和病药五个维度。单一维度有利不足以自动成为主用；最终定位取决于是否解决根本问题、是否触犯格局硬约束、药力是否可达以及副作用是否可控。</x:v>
      </x:c>
      <x:c r="AE70" s="68" t="str">
        <x:v>满足“M16主病解释接近，主药候选相反且无硬约束”，且主要收益大于副作用时，可按“多个主药候选相反时保持并列并转M18”定位。</x:v>
      </x:c>
      <x:c r="AF70" s="90" t="str">
        <x:v>若“已有共同根因或更高优先级可唯一化”成立，则不得按“多个主药候选相反时保持并列并转M18”无条件定位。</x:v>
      </x:c>
      <x:c r="AG70" s="82" t="str">
        <x:v>待验证</x:v>
      </x:c>
      <x:c r="AH70" s="82" t="str">
        <x:v>初审</x:v>
      </x:c>
      <x:c r="AI70" s="87" t="n">
        <x:v>46260</x:v>
      </x:c>
    </x:row>
    <x:row r="71">
      <x:c r="A71" s="72" t="str">
        <x:f>IF(OR(C71="",D71=""),"",B71&amp;"-"&amp;UPPER(C71)&amp;"-"&amp;TEXT(D71,"0000")&amp;"-"&amp;E71)</x:f>
        <x:v>M17-WUXING-0065-V1.0</x:v>
      </x:c>
      <x:c r="B71" s="74" t="str">
        <x:v>M17</x:v>
      </x:c>
      <x:c r="C71" s="74" t="str">
        <x:v>WUXING</x:v>
      </x:c>
      <x:c r="D71" s="215" t="n">
        <x:v>65</x:v>
      </x:c>
      <x:c r="E71" s="74" t="str">
        <x:v>V1.0</x:v>
      </x:c>
      <x:c r="F71" s="68" t="str">
        <x:v>木作为生火与疏土之神的正向候选</x:v>
      </x:c>
      <x:c r="G71" s="82" t="str">
        <x:v>综合层</x:v>
      </x:c>
      <x:c r="H71" s="82" t="str">
        <x:v>木</x:v>
      </x:c>
      <x:c r="I71" s="82"/>
      <x:c r="J71" s="82" t="str">
        <x:v>复合来源</x:v>
      </x:c>
      <x:c r="K71" s="68" t="str">
        <x:v>按日主映射，可能为印比食财官之一</x:v>
      </x:c>
      <x:c r="L71" s="68" t="str">
        <x:v>可生火、疏土或保护木类格神</x:v>
      </x:c>
      <x:c r="M71" s="68" t="str">
        <x:v>连接水→木→火，或缓解木土关系</x:v>
      </x:c>
      <x:c r="N71" s="68" t="str">
        <x:v>可引火暖局、疏湿土</x:v>
      </x:c>
      <x:c r="O71" s="68" t="str">
        <x:v>可治疗火无源、湿土壅滞或木桥梁弱</x:v>
      </x:c>
      <x:c r="P71" s="68" t="str">
        <x:v>提供生发、桥梁和疏导功能</x:v>
      </x:c>
      <x:c r="Q71" s="90" t="str">
        <x:v>木过旺会克土、耗水、生火过度</x:v>
      </x:c>
      <x:c r="R71" s="68" t="str">
        <x:v>火需生源、湿土需疏、或水火之间缺木桥梁</x:v>
      </x:c>
      <x:c r="S71" s="68" t="str">
        <x:v>木已旺极、土为核心格神不可克、或金重制木无药力</x:v>
      </x:c>
      <x:c r="T71" s="68" t="str">
        <x:v>木的生火疏土收益与克土耗水副作用</x:v>
      </x:c>
      <x:c r="U71" s="68" t="str">
        <x:v>M18-待建立</x:v>
      </x:c>
      <x:c r="V71" s="84" t="str">
        <x:v>条件性喜神</x:v>
      </x:c>
      <x:c r="W71" s="82" t="str">
        <x:v>条件顺位</x:v>
      </x:c>
      <x:c r="X71" s="82" t="str">
        <x:v>是</x:v>
      </x:c>
      <x:c r="Y71" s="68" t="str">
        <x:v>木有根有源且不造成克土、生火过度</x:v>
      </x:c>
      <x:c r="Z71" s="84" t="str">
        <x:v>木生火疏土候选</x:v>
      </x:c>
      <x:c r="AA71" s="84" t="str">
        <x:v>木综合定位为“条件性喜神”，优先级为“条件顺位”。主要收益：提供生发、桥梁和疏导功能；主要副作用：木过旺会克土、耗水、生火过度；仅在木有根有源且不造成克土、生火过度时成立。</x:v>
      </x:c>
      <x:c r="AB71" s="82" t="str">
        <x:v>较高</x:v>
      </x:c>
      <x:c r="AC71" s="82" t="str">
        <x:v>现代综合</x:v>
      </x:c>
      <x:c r="AD71" s="68" t="str">
        <x:v>喜忌用神必须同时读取扶抑、格局、通关、调候和病药五个维度。单一维度有利不足以自动成为主用；最终定位取决于是否解决根本问题、是否触犯格局硬约束、药力是否可达以及副作用是否可控。</x:v>
      </x:c>
      <x:c r="AE71" s="68" t="str">
        <x:v>满足“火需生源、湿土需疏、或水火之间缺木桥梁”，且主要收益大于副作用时，可按“木作为生火与疏土之神的正向候选”定位。</x:v>
      </x:c>
      <x:c r="AF71" s="90" t="str">
        <x:v>若“木已旺极、土为核心格神不可克、或金重制木无药力”成立，则不得按“木作为生火与疏土之神的正向候选”无条件定位。</x:v>
      </x:c>
      <x:c r="AG71" s="82" t="str">
        <x:v>采用</x:v>
      </x:c>
      <x:c r="AH71" s="82" t="str">
        <x:v>初审</x:v>
      </x:c>
      <x:c r="AI71" s="87" t="n">
        <x:v>46260</x:v>
      </x:c>
    </x:row>
    <x:row r="72">
      <x:c r="A72" s="72" t="str">
        <x:f>IF(OR(C72="",D72=""),"",B72&amp;"-"&amp;UPPER(C72)&amp;"-"&amp;TEXT(D72,"0000")&amp;"-"&amp;E72)</x:f>
        <x:v>M17-WUXING-0066-V1.0</x:v>
      </x:c>
      <x:c r="B72" s="74" t="str">
        <x:v>M17</x:v>
      </x:c>
      <x:c r="C72" s="74" t="str">
        <x:v>WUXING</x:v>
      </x:c>
      <x:c r="D72" s="215" t="n">
        <x:v>66</x:v>
      </x:c>
      <x:c r="E72" s="74" t="str">
        <x:v>V1.0</x:v>
      </x:c>
      <x:c r="F72" s="68" t="str">
        <x:v>木在水火相战中可承担通关桥梁</x:v>
      </x:c>
      <x:c r="G72" s="82" t="str">
        <x:v>综合层</x:v>
      </x:c>
      <x:c r="H72" s="82" t="str">
        <x:v>木</x:v>
      </x:c>
      <x:c r="I72" s="82"/>
      <x:c r="J72" s="82" t="str">
        <x:v>通关用神</x:v>
      </x:c>
      <x:c r="K72" s="68" t="str">
        <x:v>视日主而定</x:v>
      </x:c>
      <x:c r="L72" s="68" t="str">
        <x:v>不得破坏土格或木格外的核心结构</x:v>
      </x:c>
      <x:c r="M72" s="68" t="str">
        <x:v>泄水并生火</x:v>
      </x:c>
      <x:c r="N72" s="68" t="str">
        <x:v>可改善寒局但可能升温</x:v>
      </x:c>
      <x:c r="O72" s="68" t="str">
        <x:v>治疗水火两强相战或火无源</x:v>
      </x:c>
      <x:c r="P72" s="68" t="str">
        <x:v>把水势导向火，缓解直接相克</x:v>
      </x:c>
      <x:c r="Q72" s="90" t="str">
        <x:v>木无根则通关不足，木过旺则生火太过或克土</x:v>
      </x:c>
      <x:c r="R72" s="68" t="str">
        <x:v>M12确认水火两强相战且木具有效力量</x:v>
      </x:c>
      <x:c r="S72" s="68" t="str">
        <x:v>水火并非双强、木受金重制或木会根本破格</x:v>
      </x:c>
      <x:c r="T72" s="68" t="str">
        <x:v>通关与调候/土格冲突</x:v>
      </x:c>
      <x:c r="U72" s="68" t="str">
        <x:v>M18-待建立</x:v>
      </x:c>
      <x:c r="V72" s="84" t="str">
        <x:v>条件性喜神</x:v>
      </x:c>
      <x:c r="W72" s="82" t="str">
        <x:v>条件顺位</x:v>
      </x:c>
      <x:c r="X72" s="82" t="str">
        <x:v>是</x:v>
      </x:c>
      <x:c r="Y72" s="68" t="str">
        <x:v>木能同时泄水生火且药力适中</x:v>
      </x:c>
      <x:c r="Z72" s="84" t="str">
        <x:v>木通水火</x:v>
      </x:c>
      <x:c r="AA72" s="84" t="str">
        <x:v>木综合定位为“条件性喜神”，优先级为“条件顺位”。主要收益：把水势导向火，缓解直接相克；主要副作用：木无根则通关不足，木过旺则生火太过或克土；仅在木能同时泄水生火且药力适中时成立。</x:v>
      </x:c>
      <x:c r="AB72" s="82" t="str">
        <x:v>较高</x:v>
      </x:c>
      <x:c r="AC72" s="82" t="str">
        <x:v>现代综合</x:v>
      </x:c>
      <x:c r="AD72" s="68" t="str">
        <x:v>喜忌用神必须同时读取扶抑、格局、通关、调候和病药五个维度。单一维度有利不足以自动成为主用；最终定位取决于是否解决根本问题、是否触犯格局硬约束、药力是否可达以及副作用是否可控。</x:v>
      </x:c>
      <x:c r="AE72" s="68" t="str">
        <x:v>满足“M12确认水火两强相战且木具有效力量”，且主要收益大于副作用时，可按“木在水火相战中可承担通关桥梁”定位。</x:v>
      </x:c>
      <x:c r="AF72" s="90" t="str">
        <x:v>若“水火并非双强、木受金重制或木会根本破格”成立，则不得按“木在水火相战中可承担通关桥梁”无条件定位。</x:v>
      </x:c>
      <x:c r="AG72" s="82" t="str">
        <x:v>采用</x:v>
      </x:c>
      <x:c r="AH72" s="82" t="str">
        <x:v>初审</x:v>
      </x:c>
      <x:c r="AI72" s="87" t="n">
        <x:v>46260</x:v>
      </x:c>
    </x:row>
    <x:row r="73">
      <x:c r="A73" s="72" t="str">
        <x:f>IF(OR(C73="",D73=""),"",B73&amp;"-"&amp;UPPER(C73)&amp;"-"&amp;TEXT(D73,"0000")&amp;"-"&amp;E73)</x:f>
        <x:v>M17-WUXING-0067-V1.0</x:v>
      </x:c>
      <x:c r="B73" s="74" t="str">
        <x:v>M17</x:v>
      </x:c>
      <x:c r="C73" s="74" t="str">
        <x:v>WUXING</x:v>
      </x:c>
      <x:c r="D73" s="215" t="n">
        <x:v>67</x:v>
      </x:c>
      <x:c r="E73" s="74" t="str">
        <x:v>V1.0</x:v>
      </x:c>
      <x:c r="F73" s="68" t="str">
        <x:v>木过旺时可能转为条件性忌神</x:v>
      </x:c>
      <x:c r="G73" s="82" t="str">
        <x:v>综合层</x:v>
      </x:c>
      <x:c r="H73" s="82" t="str">
        <x:v>木</x:v>
      </x:c>
      <x:c r="I73" s="82"/>
      <x:c r="J73" s="82" t="str">
        <x:v>复合来源</x:v>
      </x:c>
      <x:c r="K73" s="68" t="str">
        <x:v>可能加重木日主或木类印比食财官一方</x:v>
      </x:c>
      <x:c r="L73" s="68" t="str">
        <x:v>可能破土格、财格或使火势过强</x:v>
      </x:c>
      <x:c r="M73" s="68" t="str">
        <x:v>桥梁过旺会截留水并集中生火</x:v>
      </x:c>
      <x:c r="N73" s="68" t="str">
        <x:v>可能加剧暖燥</x:v>
      </x:c>
      <x:c r="O73" s="68" t="str">
        <x:v>由药转病，形成木旺克土或生火过度</x:v>
      </x:c>
      <x:c r="P73" s="68" t="str">
        <x:v>仍可能维持必要生发</x:v>
      </x:c>
      <x:c r="Q73" s="90" t="str">
        <x:v>克土、耗水、火炎、木势壅塞</x:v>
      </x:c>
      <x:c r="R73" s="68" t="str">
        <x:v>木已旺或极旺且其新增作用制造主病</x:v>
      </x:c>
      <x:c r="S73" s="68" t="str">
        <x:v>木虽旺但流通良好且为特殊专旺主势</x:v>
      </x:c>
      <x:c r="T73" s="68" t="str">
        <x:v>木的格局功能与过旺副作用</x:v>
      </x:c>
      <x:c r="U73" s="68" t="str">
        <x:v>M18-待建立</x:v>
      </x:c>
      <x:c r="V73" s="84" t="str">
        <x:v>条件性忌神</x:v>
      </x:c>
      <x:c r="W73" s="82" t="str">
        <x:v>不采用</x:v>
      </x:c>
      <x:c r="X73" s="82" t="str">
        <x:v>是</x:v>
      </x:c>
      <x:c r="Y73" s="68" t="str">
        <x:v>仅在继续增木会加重根本病时定忌</x:v>
      </x:c>
      <x:c r="Z73" s="84" t="str">
        <x:v>木过旺转忌</x:v>
      </x:c>
      <x:c r="AA73" s="84" t="str">
        <x:v>木综合定位为“条件性忌神”，优先级为“不采用”。主要收益：仍可能维持必要生发；主要副作用：克土、耗水、火炎、木势壅塞。仅在继续增木会加重根本病时定忌。</x:v>
      </x:c>
      <x:c r="AB73" s="82" t="str">
        <x:v>较高</x:v>
      </x:c>
      <x:c r="AC73" s="82" t="str">
        <x:v>现代综合</x:v>
      </x:c>
      <x:c r="AD73" s="68" t="str">
        <x:v>喜忌用神必须同时读取扶抑、格局、通关、调候和病药五个维度。单一维度有利不足以自动成为主用；最终定位取决于是否解决根本问题、是否触犯格局硬约束、药力是否可达以及副作用是否可控。</x:v>
      </x:c>
      <x:c r="AE73" s="68" t="str">
        <x:v>满足“木已旺或极旺且其新增作用制造主病”，且主要收益大于副作用时，可按“木过旺时可能转为条件性忌神”定位。</x:v>
      </x:c>
      <x:c r="AF73" s="90" t="str">
        <x:v>若“木虽旺但流通良好且为特殊专旺主势”成立，则不得按“木过旺时可能转为条件性忌神”无条件定位。</x:v>
      </x:c>
      <x:c r="AG73" s="82" t="str">
        <x:v>采用</x:v>
      </x:c>
      <x:c r="AH73" s="82" t="str">
        <x:v>初审</x:v>
      </x:c>
      <x:c r="AI73" s="87" t="n">
        <x:v>46260</x:v>
      </x:c>
    </x:row>
    <x:row r="74">
      <x:c r="A74" s="72" t="str">
        <x:f>IF(OR(C74="",D74=""),"",B74&amp;"-"&amp;UPPER(C74)&amp;"-"&amp;TEXT(D74,"0000")&amp;"-"&amp;E74)</x:f>
        <x:v>M17-WUXING-0068-V1.0</x:v>
      </x:c>
      <x:c r="B74" s="74" t="str">
        <x:v>M17</x:v>
      </x:c>
      <x:c r="C74" s="74" t="str">
        <x:v>WUXING</x:v>
      </x:c>
      <x:c r="D74" s="215" t="n">
        <x:v>68</x:v>
      </x:c>
      <x:c r="E74" s="74" t="str">
        <x:v>V1.0</x:v>
      </x:c>
      <x:c r="F74" s="68" t="str">
        <x:v>木弱但非关键桥梁时不因弱自动列喜</x:v>
      </x:c>
      <x:c r="G74" s="82" t="str">
        <x:v>综合层</x:v>
      </x:c>
      <x:c r="H74" s="82" t="str">
        <x:v>木</x:v>
      </x:c>
      <x:c r="I74" s="82"/>
      <x:c r="J74" s="82" t="str">
        <x:v>复合来源</x:v>
      </x:c>
      <x:c r="K74" s="68" t="str">
        <x:v>木弱事实</x:v>
      </x:c>
      <x:c r="L74" s="68" t="str">
        <x:v>无关键格局职责</x:v>
      </x:c>
      <x:c r="M74" s="68" t="str">
        <x:v>非主路径必要桥梁</x:v>
      </x:c>
      <x:c r="N74" s="68" t="str">
        <x:v>非主要调候药</x:v>
      </x:c>
      <x:c r="O74" s="68" t="str">
        <x:v>M16未立木弱病</x:v>
      </x:c>
      <x:c r="P74" s="68" t="str">
        <x:v>无明确核心收益</x:v>
      </x:c>
      <x:c r="Q74" s="90" t="str">
        <x:v>补木可能克土、生火或耗水</x:v>
      </x:c>
      <x:c r="R74" s="68" t="str">
        <x:v>木弱但未造成格局、流通、调候或病药功能障碍</x:v>
      </x:c>
      <x:c r="S74" s="68" t="str">
        <x:v>木是不可替代桥梁或核心药神</x:v>
      </x:c>
      <x:c r="T74" s="68" t="str">
        <x:v>无</x:v>
      </x:c>
      <x:c r="U74" s="68"/>
      <x:c r="V74" s="84" t="str">
        <x:v>中性</x:v>
      </x:c>
      <x:c r="W74" s="82" t="str">
        <x:v>不采用</x:v>
      </x:c>
      <x:c r="X74" s="82" t="str">
        <x:v>否</x:v>
      </x:c>
      <x:c r="Y74" s="68" t="str">
        <x:v>弱不等于喜，保持中性</x:v>
      </x:c>
      <x:c r="Z74" s="84" t="str">
        <x:v>木弱非自动喜</x:v>
      </x:c>
      <x:c r="AA74" s="84" t="str">
        <x:v>木综合定位为“中性”，优先级为“不采用”。主要收益：无明确核心收益；主要副作用：补木可能克土、生火或耗水；弱不等于喜，保持中性。</x:v>
      </x:c>
      <x:c r="AB74" s="82" t="str">
        <x:v>较高</x:v>
      </x:c>
      <x:c r="AC74" s="82" t="str">
        <x:v>现代综合</x:v>
      </x:c>
      <x:c r="AD74" s="68" t="str">
        <x:v>喜忌用神必须同时读取扶抑、格局、通关、调候和病药五个维度。单一维度有利不足以自动成为主用；最终定位取决于是否解决根本问题、是否触犯格局硬约束、药力是否可达以及副作用是否可控。</x:v>
      </x:c>
      <x:c r="AE74" s="68" t="str">
        <x:v>满足“木弱但未造成格局、流通、调候或病药功能障碍”，且主要收益大于副作用时，可按“木弱但非关键桥梁时不因弱自动列喜”定位。</x:v>
      </x:c>
      <x:c r="AF74" s="90" t="str">
        <x:v>若“木是不可替代桥梁或核心药神”成立，则不得按“木弱但非关键桥梁时不因弱自动列喜”无条件定位。</x:v>
      </x:c>
      <x:c r="AG74" s="82" t="str">
        <x:v>采用</x:v>
      </x:c>
      <x:c r="AH74" s="82" t="str">
        <x:v>初审</x:v>
      </x:c>
      <x:c r="AI74" s="87" t="n">
        <x:v>46260</x:v>
      </x:c>
    </x:row>
    <x:row r="75">
      <x:c r="A75" s="72" t="str">
        <x:f>IF(OR(C75="",D75=""),"",B75&amp;"-"&amp;UPPER(C75)&amp;"-"&amp;TEXT(D75,"0000")&amp;"-"&amp;E75)</x:f>
        <x:v>M17-WUXING-0069-V1.0</x:v>
      </x:c>
      <x:c r="B75" s="74" t="str">
        <x:v>M17</x:v>
      </x:c>
      <x:c r="C75" s="74" t="str">
        <x:v>WUXING</x:v>
      </x:c>
      <x:c r="D75" s="215" t="n">
        <x:v>69</x:v>
      </x:c>
      <x:c r="E75" s="74" t="str">
        <x:v>V1.0</x:v>
      </x:c>
      <x:c r="F75" s="68" t="str">
        <x:v>火作为暖局、化湿和泄木之神的正向候选</x:v>
      </x:c>
      <x:c r="G75" s="82" t="str">
        <x:v>综合层</x:v>
      </x:c>
      <x:c r="H75" s="82" t="str">
        <x:v>火</x:v>
      </x:c>
      <x:c r="I75" s="82"/>
      <x:c r="J75" s="82" t="str">
        <x:v>复合来源</x:v>
      </x:c>
      <x:c r="K75" s="68" t="str">
        <x:v>按日主映射另判</x:v>
      </x:c>
      <x:c r="L75" s="68" t="str">
        <x:v>可支持火类格神或为木势提供出口</x:v>
      </x:c>
      <x:c r="M75" s="68" t="str">
        <x:v>连接木→火→土</x:v>
      </x:c>
      <x:c r="N75" s="68" t="str">
        <x:v>升温、化寒湿</x:v>
      </x:c>
      <x:c r="O75" s="68" t="str">
        <x:v>治疗寒凝、寒湿、木旺无泄</x:v>
      </x:c>
      <x:c r="P75" s="68" t="str">
        <x:v>暖局、推动生化、化湿并泄木</x:v>
      </x:c>
      <x:c r="Q75" s="90" t="str">
        <x:v>火过旺会热燥、耗水、克金、焦土</x:v>
      </x:c>
      <x:c r="R75" s="68" t="str">
        <x:v>偏寒/寒湿、木旺需泄或火为关键格神</x:v>
      </x:c>
      <x:c r="S75" s="68" t="str">
        <x:v>极热燥、炎上/从火外存在火过旺病，或水为关键药神</x:v>
      </x:c>
      <x:c r="T75" s="68" t="str">
        <x:v>暖局收益与热燥、耗水、克金副作用</x:v>
      </x:c>
      <x:c r="U75" s="68" t="str">
        <x:v>M18-待建立</x:v>
      </x:c>
      <x:c r="V75" s="84" t="str">
        <x:v>条件性喜神</x:v>
      </x:c>
      <x:c r="W75" s="82" t="str">
        <x:v>条件顺位</x:v>
      </x:c>
      <x:c r="X75" s="82" t="str">
        <x:v>是</x:v>
      </x:c>
      <x:c r="Y75" s="68" t="str">
        <x:v>火量适中且不破格、不耗尽水源</x:v>
      </x:c>
      <x:c r="Z75" s="84" t="str">
        <x:v>火暖局化湿候选</x:v>
      </x:c>
      <x:c r="AA75" s="84" t="str">
        <x:v>火综合定位为“条件性喜神”，优先级为“条件顺位”。主要收益：暖局、推动生化、化湿并泄木；主要副作用：火过旺会热燥、耗水、克金、焦土；仅在火量适中且不破格、不耗尽水源时成立。</x:v>
      </x:c>
      <x:c r="AB75" s="82" t="str">
        <x:v>较高</x:v>
      </x:c>
      <x:c r="AC75" s="82" t="str">
        <x:v>现代综合</x:v>
      </x:c>
      <x:c r="AD75" s="68" t="str">
        <x:v>喜忌用神必须同时读取扶抑、格局、通关、调候和病药五个维度。单一维度有利不足以自动成为主用；最终定位取决于是否解决根本问题、是否触犯格局硬约束、药力是否可达以及副作用是否可控。</x:v>
      </x:c>
      <x:c r="AE75" s="68" t="str">
        <x:v>满足“偏寒/寒湿、木旺需泄或火为关键格神”，且主要收益大于副作用时，可按“火作为暖局、化湿和泄木之神的正向候选”定位。</x:v>
      </x:c>
      <x:c r="AF75" s="90" t="str">
        <x:v>若“极热燥、炎上/从火外存在火过旺病，或水为关键药神”成立，则不得按“火作为暖局、化湿和泄木之神的正向候选”无条件定位。</x:v>
      </x:c>
      <x:c r="AG75" s="82" t="str">
        <x:v>采用</x:v>
      </x:c>
      <x:c r="AH75" s="82" t="str">
        <x:v>初审</x:v>
      </x:c>
      <x:c r="AI75" s="87" t="n">
        <x:v>46260</x:v>
      </x:c>
    </x:row>
    <x:row r="76">
      <x:c r="A76" s="72" t="str">
        <x:f>IF(OR(C76="",D76=""),"",B76&amp;"-"&amp;UPPER(C76)&amp;"-"&amp;TEXT(D76,"0000")&amp;"-"&amp;E76)</x:f>
        <x:v>M17-WUXING-0070-V1.0</x:v>
      </x:c>
      <x:c r="B76" s="74" t="str">
        <x:v>M17</x:v>
      </x:c>
      <x:c r="C76" s="74" t="str">
        <x:v>WUXING</x:v>
      </x:c>
      <x:c r="D76" s="215" t="n">
        <x:v>70</x:v>
      </x:c>
      <x:c r="E76" s="74" t="str">
        <x:v>V1.0</x:v>
      </x:c>
      <x:c r="F76" s="68" t="str">
        <x:v>火在木土相战中可承担通关桥梁</x:v>
      </x:c>
      <x:c r="G76" s="82" t="str">
        <x:v>综合层</x:v>
      </x:c>
      <x:c r="H76" s="82" t="str">
        <x:v>火</x:v>
      </x:c>
      <x:c r="I76" s="82"/>
      <x:c r="J76" s="82" t="str">
        <x:v>通关用神</x:v>
      </x:c>
      <x:c r="K76" s="68" t="str">
        <x:v>视日主而定</x:v>
      </x:c>
      <x:c r="L76" s="68" t="str">
        <x:v>不得破坏水格或金格</x:v>
      </x:c>
      <x:c r="M76" s="68" t="str">
        <x:v>泄木并生土</x:v>
      </x:c>
      <x:c r="N76" s="68" t="str">
        <x:v>升温并可能增燥</x:v>
      </x:c>
      <x:c r="O76" s="68" t="str">
        <x:v>治疗木土两强相战</x:v>
      </x:c>
      <x:c r="P76" s="68" t="str">
        <x:v>缓解木克土并使木气有出口</x:v>
      </x:c>
      <x:c r="Q76" s="90" t="str">
        <x:v>火过旺会使土燥、耗水或形成热病</x:v>
      </x:c>
      <x:c r="R76" s="68" t="str">
        <x:v>M12确认木土双强相战且火有效</x:v>
      </x:c>
      <x:c r="S76" s="68" t="str">
        <x:v>原局已极热燥、火无根或火会根本破格</x:v>
      </x:c>
      <x:c r="T76" s="68" t="str">
        <x:v>通关与调候冲突</x:v>
      </x:c>
      <x:c r="U76" s="68" t="str">
        <x:v>M18-待建立</x:v>
      </x:c>
      <x:c r="V76" s="84" t="str">
        <x:v>条件性喜神</x:v>
      </x:c>
      <x:c r="W76" s="82" t="str">
        <x:v>条件顺位</x:v>
      </x:c>
      <x:c r="X76" s="82" t="str">
        <x:v>是</x:v>
      </x:c>
      <x:c r="Y76" s="68" t="str">
        <x:v>火能泄木生土且不使土燥火炎</x:v>
      </x:c>
      <x:c r="Z76" s="84" t="str">
        <x:v>火通木土</x:v>
      </x:c>
      <x:c r="AA76" s="84" t="str">
        <x:v>火综合定位为“条件性喜神”，优先级为“条件顺位”。主要收益：缓解木克土并使木气有出口；主要副作用：火过旺会使土燥、耗水或形成热病；仅在火能泄木生土且不使土燥火炎时成立。</x:v>
      </x:c>
      <x:c r="AB76" s="82" t="str">
        <x:v>较高</x:v>
      </x:c>
      <x:c r="AC76" s="82" t="str">
        <x:v>现代综合</x:v>
      </x:c>
      <x:c r="AD76" s="68" t="str">
        <x:v>喜忌用神必须同时读取扶抑、格局、通关、调候和病药五个维度。单一维度有利不足以自动成为主用；最终定位取决于是否解决根本问题、是否触犯格局硬约束、药力是否可达以及副作用是否可控。</x:v>
      </x:c>
      <x:c r="AE76" s="68" t="str">
        <x:v>满足“M12确认木土双强相战且火有效”，且主要收益大于副作用时，可按“火在木土相战中可承担通关桥梁”定位。</x:v>
      </x:c>
      <x:c r="AF76" s="90" t="str">
        <x:v>若“原局已极热燥、火无根或火会根本破格”成立，则不得按“火在木土相战中可承担通关桥梁”无条件定位。</x:v>
      </x:c>
      <x:c r="AG76" s="82" t="str">
        <x:v>采用</x:v>
      </x:c>
      <x:c r="AH76" s="82" t="str">
        <x:v>初审</x:v>
      </x:c>
      <x:c r="AI76" s="87" t="n">
        <x:v>46260</x:v>
      </x:c>
    </x:row>
    <x:row r="77">
      <x:c r="A77" s="72" t="str">
        <x:f>IF(OR(C77="",D77=""),"",B77&amp;"-"&amp;UPPER(C77)&amp;"-"&amp;TEXT(D77,"0000")&amp;"-"&amp;E77)</x:f>
        <x:v>M17-WUXING-0071-V1.0</x:v>
      </x:c>
      <x:c r="B77" s="74" t="str">
        <x:v>M17</x:v>
      </x:c>
      <x:c r="C77" s="74" t="str">
        <x:v>WUXING</x:v>
      </x:c>
      <x:c r="D77" s="215" t="n">
        <x:v>71</x:v>
      </x:c>
      <x:c r="E77" s="74" t="str">
        <x:v>V1.0</x:v>
      </x:c>
      <x:c r="F77" s="68" t="str">
        <x:v>火过旺时可能成为忌神或仇神</x:v>
      </x:c>
      <x:c r="G77" s="82" t="str">
        <x:v>综合层</x:v>
      </x:c>
      <x:c r="H77" s="82" t="str">
        <x:v>火</x:v>
      </x:c>
      <x:c r="I77" s="82"/>
      <x:c r="J77" s="82" t="str">
        <x:v>复合来源</x:v>
      </x:c>
      <x:c r="K77" s="68" t="str">
        <x:v>可能加重日主或泄损木、克金</x:v>
      </x:c>
      <x:c r="L77" s="68" t="str">
        <x:v>可能破金格、水格或财官印食结构</x:v>
      </x:c>
      <x:c r="M77" s="68" t="str">
        <x:v>使桥梁、终点过热过燥</x:v>
      </x:c>
      <x:c r="N77" s="68" t="str">
        <x:v>推向极热极燥</x:v>
      </x:c>
      <x:c r="O77" s="68" t="str">
        <x:v>形成火炎、暖燥或药过成病</x:v>
      </x:c>
      <x:c r="P77" s="68" t="str">
        <x:v>仅保留必要暖局/格局功能</x:v>
      </x:c>
      <x:c r="Q77" s="90" t="str">
        <x:v>耗水、克金、土焦、木燥、格局受损</x:v>
      </x:c>
      <x:c r="R77" s="68" t="str">
        <x:v>火已旺极且新增火直接加重根本病</x:v>
      </x:c>
      <x:c r="S77" s="68" t="str">
        <x:v>炎上、从火严格成立且火为主势</x:v>
      </x:c>
      <x:c r="T77" s="68" t="str">
        <x:v>特殊格局与普通调候/旺衰冲突</x:v>
      </x:c>
      <x:c r="U77" s="68" t="str">
        <x:v>M18-待建立</x:v>
      </x:c>
      <x:c r="V77" s="84" t="str">
        <x:v>忌神</x:v>
      </x:c>
      <x:c r="W77" s="82" t="str">
        <x:v>不采用</x:v>
      </x:c>
      <x:c r="X77" s="82" t="str">
        <x:v>条件性</x:v>
      </x:c>
      <x:c r="Y77" s="68" t="str">
        <x:v>若火继续生助忌神或破坏主用，则可升级为仇神</x:v>
      </x:c>
      <x:c r="Z77" s="84" t="str">
        <x:v>火旺转忌</x:v>
      </x:c>
      <x:c r="AA77" s="84" t="str">
        <x:v>火综合定位为“忌神”，优先级为“不采用”。主要收益：仅保留必要暖局/格局功能；主要副作用：耗水、克金、土焦、木燥、格局受损；仅在若火继续生助忌神或破坏主用，则可升级为仇神时成立。</x:v>
      </x:c>
      <x:c r="AB77" s="82" t="str">
        <x:v>较高</x:v>
      </x:c>
      <x:c r="AC77" s="82" t="str">
        <x:v>现代综合</x:v>
      </x:c>
      <x:c r="AD77" s="68" t="str">
        <x:v>喜忌用神必须同时读取扶抑、格局、通关、调候和病药五个维度。单一维度有利不足以自动成为主用；最终定位取决于是否解决根本问题、是否触犯格局硬约束、药力是否可达以及副作用是否可控。</x:v>
      </x:c>
      <x:c r="AE77" s="68" t="str">
        <x:v>满足“火已旺极且新增火直接加重根本病”，且主要收益大于副作用时，可按“火过旺时可能成为忌神或仇神”定位。</x:v>
      </x:c>
      <x:c r="AF77" s="90" t="str">
        <x:v>若“炎上、从火严格成立且火为主势”成立，则不得按“火过旺时可能成为忌神或仇神”无条件定位。</x:v>
      </x:c>
      <x:c r="AG77" s="82" t="str">
        <x:v>采用</x:v>
      </x:c>
      <x:c r="AH77" s="82" t="str">
        <x:v>初审</x:v>
      </x:c>
      <x:c r="AI77" s="87" t="n">
        <x:v>46260</x:v>
      </x:c>
    </x:row>
    <x:row r="78">
      <x:c r="A78" s="72" t="str">
        <x:f>IF(OR(C78="",D78=""),"",B78&amp;"-"&amp;UPPER(C78)&amp;"-"&amp;TEXT(D78,"0000")&amp;"-"&amp;E78)</x:f>
        <x:v>M17-WUXING-0072-V1.0</x:v>
      </x:c>
      <x:c r="B78" s="74" t="str">
        <x:v>M17</x:v>
      </x:c>
      <x:c r="C78" s="74" t="str">
        <x:v>WUXING</x:v>
      </x:c>
      <x:c r="D78" s="215" t="n">
        <x:v>72</x:v>
      </x:c>
      <x:c r="E78" s="74" t="str">
        <x:v>V1.0</x:v>
      </x:c>
      <x:c r="F78" s="68" t="str">
        <x:v>火弱但寒暖平衡时不因弱自动列喜</x:v>
      </x:c>
      <x:c r="G78" s="82" t="str">
        <x:v>综合层</x:v>
      </x:c>
      <x:c r="H78" s="82" t="str">
        <x:v>火</x:v>
      </x:c>
      <x:c r="I78" s="82"/>
      <x:c r="J78" s="82" t="str">
        <x:v>复合来源</x:v>
      </x:c>
      <x:c r="K78" s="68" t="str">
        <x:v>火弱事实</x:v>
      </x:c>
      <x:c r="L78" s="68" t="str">
        <x:v>非核心格神</x:v>
      </x:c>
      <x:c r="M78" s="68" t="str">
        <x:v>非主路径关键桥梁</x:v>
      </x:c>
      <x:c r="N78" s="68" t="str">
        <x:v>温度已平衡</x:v>
      </x:c>
      <x:c r="O78" s="68" t="str">
        <x:v>M16未立火弱或寒凝病</x:v>
      </x:c>
      <x:c r="P78" s="68" t="str">
        <x:v>无明确主问题可治</x:v>
      </x:c>
      <x:c r="Q78" s="90" t="str">
        <x:v>补火可能制造热燥、耗水或克金</x:v>
      </x:c>
      <x:c r="R78" s="68" t="str">
        <x:v>火弱但双轴平衡、流通格局正常</x:v>
      </x:c>
      <x:c r="S78" s="68" t="str">
        <x:v>火为核心药神、格神或不可替代桥梁</x:v>
      </x:c>
      <x:c r="T78" s="68" t="str">
        <x:v>无</x:v>
      </x:c>
      <x:c r="U78" s="68"/>
      <x:c r="V78" s="84" t="str">
        <x:v>中性</x:v>
      </x:c>
      <x:c r="W78" s="82" t="str">
        <x:v>不采用</x:v>
      </x:c>
      <x:c r="X78" s="82" t="str">
        <x:v>否</x:v>
      </x:c>
      <x:c r="Y78" s="68" t="str">
        <x:v>火弱不等于需要火</x:v>
      </x:c>
      <x:c r="Z78" s="84" t="str">
        <x:v>火弱非自动喜</x:v>
      </x:c>
      <x:c r="AA78" s="84" t="str">
        <x:v>火综合定位为“中性”，优先级为“不采用”。主要收益：无明确主问题可治；主要副作用：补火可能制造热燥、耗水或克金；火弱不等于需要火。</x:v>
      </x:c>
      <x:c r="AB78" s="82" t="str">
        <x:v>较高</x:v>
      </x:c>
      <x:c r="AC78" s="82" t="str">
        <x:v>现代综合</x:v>
      </x:c>
      <x:c r="AD78" s="68" t="str">
        <x:v>喜忌用神必须同时读取扶抑、格局、通关、调候和病药五个维度。单一维度有利不足以自动成为主用；最终定位取决于是否解决根本问题、是否触犯格局硬约束、药力是否可达以及副作用是否可控。</x:v>
      </x:c>
      <x:c r="AE78" s="68" t="str">
        <x:v>满足“火弱但双轴平衡、流通格局正常”，且主要收益大于副作用时，可按“火弱但寒暖平衡时不因弱自动列喜”定位。</x:v>
      </x:c>
      <x:c r="AF78" s="90" t="str">
        <x:v>若“火为核心药神、格神或不可替代桥梁”成立，则不得按“火弱但寒暖平衡时不因弱自动列喜”无条件定位。</x:v>
      </x:c>
      <x:c r="AG78" s="82" t="str">
        <x:v>采用</x:v>
      </x:c>
      <x:c r="AH78" s="82" t="str">
        <x:v>初审</x:v>
      </x:c>
      <x:c r="AI78" s="87" t="n">
        <x:v>46260</x:v>
      </x:c>
    </x:row>
    <x:row r="79">
      <x:c r="A79" s="72" t="str">
        <x:f>IF(OR(C79="",D79=""),"",B79&amp;"-"&amp;UPPER(C79)&amp;"-"&amp;TEXT(D79,"0000")&amp;"-"&amp;E79)</x:f>
        <x:v>M17-WUXING-0073-V1.0</x:v>
      </x:c>
      <x:c r="B79" s="74" t="str">
        <x:v>M17</x:v>
      </x:c>
      <x:c r="C79" s="74" t="str">
        <x:v>WUXING</x:v>
      </x:c>
      <x:c r="D79" s="215" t="n">
        <x:v>73</x:v>
      </x:c>
      <x:c r="E79" s="74" t="str">
        <x:v>V1.0</x:v>
      </x:c>
      <x:c r="F79" s="68" t="str">
        <x:v>土作为承载、制水和生金之神的正向候选</x:v>
      </x:c>
      <x:c r="G79" s="82" t="str">
        <x:v>综合层</x:v>
      </x:c>
      <x:c r="H79" s="82" t="str">
        <x:v>土</x:v>
      </x:c>
      <x:c r="I79" s="82"/>
      <x:c r="J79" s="82" t="str">
        <x:v>复合来源</x:v>
      </x:c>
      <x:c r="K79" s="68" t="str">
        <x:v>按日主映射另判</x:v>
      </x:c>
      <x:c r="L79" s="68" t="str">
        <x:v>可保护土类格神或承接火势</x:v>
      </x:c>
      <x:c r="M79" s="68" t="str">
        <x:v>连接火→土→金，提供终点承载</x:v>
      </x:c>
      <x:c r="N79" s="68" t="str">
        <x:v>适度土可调湿，但湿燥属性须分辨</x:v>
      </x:c>
      <x:c r="O79" s="68" t="str">
        <x:v>治疗终点无承载、火金相战或水湿过量</x:v>
      </x:c>
      <x:c r="P79" s="68" t="str">
        <x:v>承载、稳定、制水并生金</x:v>
      </x:c>
      <x:c r="Q79" s="90" t="str">
        <x:v>土过旺会克水、埋金、晦火、湿滞或燥烈</x:v>
      </x:c>
      <x:c r="R79" s="68" t="str">
        <x:v>需要承载水火、通火金或适度节水</x:v>
      </x:c>
      <x:c r="S79" s="68" t="str">
        <x:v>土已旺、湿土壅塞、燥土成病或水为核心药神</x:v>
      </x:c>
      <x:c r="T79" s="68" t="str">
        <x:v>承载收益与克水埋金副作用</x:v>
      </x:c>
      <x:c r="U79" s="68" t="str">
        <x:v>M18-待建立</x:v>
      </x:c>
      <x:c r="V79" s="84" t="str">
        <x:v>条件性喜神</x:v>
      </x:c>
      <x:c r="W79" s="82" t="str">
        <x:v>条件顺位</x:v>
      </x:c>
      <x:c r="X79" s="82" t="str">
        <x:v>是</x:v>
      </x:c>
      <x:c r="Y79" s="68" t="str">
        <x:v>必须区分湿土/燥土并控制土量</x:v>
      </x:c>
      <x:c r="Z79" s="84" t="str">
        <x:v>土承载候选</x:v>
      </x:c>
      <x:c r="AA79" s="84" t="str">
        <x:v>土综合定位为“条件性喜神”，优先级为“条件顺位”。主要收益：承载、稳定、制水并生金；主要副作用：土过旺会克水、埋金、晦火、湿滞或燥烈；仅在必须区分湿土/燥土并控制土量时成立。</x:v>
      </x:c>
      <x:c r="AB79" s="82" t="str">
        <x:v>较高</x:v>
      </x:c>
      <x:c r="AC79" s="82" t="str">
        <x:v>现代综合</x:v>
      </x:c>
      <x:c r="AD79" s="68" t="str">
        <x:v>喜忌用神必须同时读取扶抑、格局、通关、调候和病药五个维度。单一维度有利不足以自动成为主用；最终定位取决于是否解决根本问题、是否触犯格局硬约束、药力是否可达以及副作用是否可控。</x:v>
      </x:c>
      <x:c r="AE79" s="68" t="str">
        <x:v>满足“需要承载水火、通火金或适度节水”，且主要收益大于副作用时，可按“土作为承载、制水和生金之神的正向候选”定位。</x:v>
      </x:c>
      <x:c r="AF79" s="90" t="str">
        <x:v>若“土已旺、湿土壅塞、燥土成病或水为核心药神”成立，则不得按“土作为承载、制水和生金之神的正向候选”无条件定位。</x:v>
      </x:c>
      <x:c r="AG79" s="82" t="str">
        <x:v>采用</x:v>
      </x:c>
      <x:c r="AH79" s="82" t="str">
        <x:v>初审</x:v>
      </x:c>
      <x:c r="AI79" s="87" t="n">
        <x:v>46260</x:v>
      </x:c>
    </x:row>
    <x:row r="80">
      <x:c r="A80" s="72" t="str">
        <x:f>IF(OR(C80="",D80=""),"",B80&amp;"-"&amp;UPPER(C80)&amp;"-"&amp;TEXT(D80,"0000")&amp;"-"&amp;E80)</x:f>
        <x:v>M17-WUXING-0074-V1.0</x:v>
      </x:c>
      <x:c r="B80" s="74" t="str">
        <x:v>M17</x:v>
      </x:c>
      <x:c r="C80" s="74" t="str">
        <x:v>WUXING</x:v>
      </x:c>
      <x:c r="D80" s="215" t="n">
        <x:v>74</x:v>
      </x:c>
      <x:c r="E80" s="74" t="str">
        <x:v>V1.0</x:v>
      </x:c>
      <x:c r="F80" s="68" t="str">
        <x:v>土在火金相战中可承担通关桥梁</x:v>
      </x:c>
      <x:c r="G80" s="82" t="str">
        <x:v>综合层</x:v>
      </x:c>
      <x:c r="H80" s="82" t="str">
        <x:v>土</x:v>
      </x:c>
      <x:c r="I80" s="82"/>
      <x:c r="J80" s="82" t="str">
        <x:v>通关用神</x:v>
      </x:c>
      <x:c r="K80" s="68" t="str">
        <x:v>视日主而定</x:v>
      </x:c>
      <x:c r="L80" s="68" t="str">
        <x:v>不得破坏水格或木格</x:v>
      </x:c>
      <x:c r="M80" s="68" t="str">
        <x:v>泄火并生金</x:v>
      </x:c>
      <x:c r="N80" s="68" t="str">
        <x:v>可能增湿或增燥，取决于土性</x:v>
      </x:c>
      <x:c r="O80" s="68" t="str">
        <x:v>治疗火金两强相战</x:v>
      </x:c>
      <x:c r="P80" s="68" t="str">
        <x:v>缓解火克金并提供中介承载</x:v>
      </x:c>
      <x:c r="Q80" s="90" t="str">
        <x:v>土过旺会埋金、克水或形成土壅</x:v>
      </x:c>
      <x:c r="R80" s="68" t="str">
        <x:v>M12确认火金双强相战且土有效</x:v>
      </x:c>
      <x:c r="S80" s="68" t="str">
        <x:v>土无根、土已过旺或土会根本破坏水木格局</x:v>
      </x:c>
      <x:c r="T80" s="68" t="str">
        <x:v>通关与水路/调候冲突</x:v>
      </x:c>
      <x:c r="U80" s="68" t="str">
        <x:v>M18-待建立</x:v>
      </x:c>
      <x:c r="V80" s="84" t="str">
        <x:v>条件性喜神</x:v>
      </x:c>
      <x:c r="W80" s="82" t="str">
        <x:v>条件顺位</x:v>
      </x:c>
      <x:c r="X80" s="82" t="str">
        <x:v>是</x:v>
      </x:c>
      <x:c r="Y80" s="68" t="str">
        <x:v>土能泄火生金且不埋金克水过度</x:v>
      </x:c>
      <x:c r="Z80" s="84" t="str">
        <x:v>土通火金</x:v>
      </x:c>
      <x:c r="AA80" s="84" t="str">
        <x:v>土综合定位为“条件性喜神”，优先级为“条件顺位”。主要收益：缓解火克金并提供中介承载；主要副作用：土过旺会埋金、克水或形成土壅；仅在土能泄火生金且不埋金克水过度时成立。</x:v>
      </x:c>
      <x:c r="AB80" s="82" t="str">
        <x:v>较高</x:v>
      </x:c>
      <x:c r="AC80" s="82" t="str">
        <x:v>现代综合</x:v>
      </x:c>
      <x:c r="AD80" s="68" t="str">
        <x:v>喜忌用神必须同时读取扶抑、格局、通关、调候和病药五个维度。单一维度有利不足以自动成为主用；最终定位取决于是否解决根本问题、是否触犯格局硬约束、药力是否可达以及副作用是否可控。</x:v>
      </x:c>
      <x:c r="AE80" s="68" t="str">
        <x:v>满足“M12确认火金双强相战且土有效”，且主要收益大于副作用时，可按“土在火金相战中可承担通关桥梁”定位。</x:v>
      </x:c>
      <x:c r="AF80" s="90" t="str">
        <x:v>若“土无根、土已过旺或土会根本破坏水木格局”成立，则不得按“土在火金相战中可承担通关桥梁”无条件定位。</x:v>
      </x:c>
      <x:c r="AG80" s="82" t="str">
        <x:v>采用</x:v>
      </x:c>
      <x:c r="AH80" s="82" t="str">
        <x:v>初审</x:v>
      </x:c>
      <x:c r="AI80" s="87" t="n">
        <x:v>46260</x:v>
      </x:c>
    </x:row>
    <x:row r="81">
      <x:c r="A81" s="72" t="str">
        <x:f>IF(OR(C81="",D81=""),"",B81&amp;"-"&amp;UPPER(C81)&amp;"-"&amp;TEXT(D81,"0000")&amp;"-"&amp;E81)</x:f>
        <x:v>M17-WUXING-0075-V1.0</x:v>
      </x:c>
      <x:c r="B81" s="74" t="str">
        <x:v>M17</x:v>
      </x:c>
      <x:c r="C81" s="74" t="str">
        <x:v>WUXING</x:v>
      </x:c>
      <x:c r="D81" s="215" t="n">
        <x:v>75</x:v>
      </x:c>
      <x:c r="E81" s="74" t="str">
        <x:v>V1.0</x:v>
      </x:c>
      <x:c r="F81" s="68" t="str">
        <x:v>土过旺时可能转为忌神</x:v>
      </x:c>
      <x:c r="G81" s="82" t="str">
        <x:v>综合层</x:v>
      </x:c>
      <x:c r="H81" s="82" t="str">
        <x:v>土</x:v>
      </x:c>
      <x:c r="I81" s="82"/>
      <x:c r="J81" s="82" t="str">
        <x:v>复合来源</x:v>
      </x:c>
      <x:c r="K81" s="68" t="str">
        <x:v>可能加重土日主或耗泄火、制水</x:v>
      </x:c>
      <x:c r="L81" s="68" t="str">
        <x:v>可能破水格、木格、埋金或晦火</x:v>
      </x:c>
      <x:c r="M81" s="68" t="str">
        <x:v>阻断水路、造成桥梁或终点壅塞</x:v>
      </x:c>
      <x:c r="N81" s="68" t="str">
        <x:v>湿土增湿、燥土增燥</x:v>
      </x:c>
      <x:c r="O81" s="68" t="str">
        <x:v>形成土重壅塞、克水、埋金或调候病</x:v>
      </x:c>
      <x:c r="P81" s="68" t="str">
        <x:v>仅保留必要承载功能</x:v>
      </x:c>
      <x:c r="Q81" s="90" t="str">
        <x:v>水路受阻、金被埋、木受克、火被晦</x:v>
      </x:c>
      <x:c r="R81" s="68" t="str">
        <x:v>土旺极且新增土加重根本病</x:v>
      </x:c>
      <x:c r="S81" s="68" t="str">
        <x:v>稼穑、从土或专旺严格成立</x:v>
      </x:c>
      <x:c r="T81" s="68" t="str">
        <x:v>特殊格局与普通流通/调候冲突</x:v>
      </x:c>
      <x:c r="U81" s="68" t="str">
        <x:v>M18-待建立</x:v>
      </x:c>
      <x:c r="V81" s="84" t="str">
        <x:v>忌神</x:v>
      </x:c>
      <x:c r="W81" s="82" t="str">
        <x:v>不采用</x:v>
      </x:c>
      <x:c r="X81" s="82" t="str">
        <x:v>条件性</x:v>
      </x:c>
      <x:c r="Y81" s="68" t="str">
        <x:v>继续增土会直接加重主病或破主用</x:v>
      </x:c>
      <x:c r="Z81" s="84" t="str">
        <x:v>土旺转忌</x:v>
      </x:c>
      <x:c r="AA81" s="84" t="str">
        <x:v>土综合定位为“忌神”，优先级为“不采用”。主要收益：仅保留必要承载功能；主要副作用：水路受阻、金被埋、木受克、火被晦；仅在继续增土会直接加重主病或破主用时成立。</x:v>
      </x:c>
      <x:c r="AB81" s="82" t="str">
        <x:v>较高</x:v>
      </x:c>
      <x:c r="AC81" s="82" t="str">
        <x:v>现代综合</x:v>
      </x:c>
      <x:c r="AD81" s="68" t="str">
        <x:v>喜忌用神必须同时读取扶抑、格局、通关、调候和病药五个维度。单一维度有利不足以自动成为主用；最终定位取决于是否解决根本问题、是否触犯格局硬约束、药力是否可达以及副作用是否可控。</x:v>
      </x:c>
      <x:c r="AE81" s="68" t="str">
        <x:v>满足“土旺极且新增土加重根本病”，且主要收益大于副作用时，可按“土过旺时可能转为忌神”定位。</x:v>
      </x:c>
      <x:c r="AF81" s="90" t="str">
        <x:v>若“稼穑、从土或专旺严格成立”成立，则不得按“土过旺时可能转为忌神”无条件定位。</x:v>
      </x:c>
      <x:c r="AG81" s="82" t="str">
        <x:v>采用</x:v>
      </x:c>
      <x:c r="AH81" s="82" t="str">
        <x:v>初审</x:v>
      </x:c>
      <x:c r="AI81" s="87" t="n">
        <x:v>46260</x:v>
      </x:c>
    </x:row>
    <x:row r="82">
      <x:c r="A82" s="72" t="str">
        <x:f>IF(OR(C82="",D82=""),"",B82&amp;"-"&amp;UPPER(C82)&amp;"-"&amp;TEXT(D82,"0000")&amp;"-"&amp;E82)</x:f>
        <x:v>M17-WUXING-0076-V1.0</x:v>
      </x:c>
      <x:c r="B82" s="74" t="str">
        <x:v>M17</x:v>
      </x:c>
      <x:c r="C82" s="74" t="str">
        <x:v>WUXING</x:v>
      </x:c>
      <x:c r="D82" s="215" t="n">
        <x:v>76</x:v>
      </x:c>
      <x:c r="E82" s="74" t="str">
        <x:v>V1.0</x:v>
      </x:c>
      <x:c r="F82" s="68" t="str">
        <x:v>土的喜忌必须区分湿土与燥土功能</x:v>
      </x:c>
      <x:c r="G82" s="82" t="str">
        <x:v>综合层</x:v>
      </x:c>
      <x:c r="H82" s="82" t="str">
        <x:v>土</x:v>
      </x:c>
      <x:c r="I82" s="82"/>
      <x:c r="J82" s="82" t="str">
        <x:v>复合来源</x:v>
      </x:c>
      <x:c r="K82" s="68" t="str">
        <x:v>同为土但有效状态不同</x:v>
      </x:c>
      <x:c r="L82" s="68" t="str">
        <x:v>格神土性需结合月令和全局</x:v>
      </x:c>
      <x:c r="M82" s="68" t="str">
        <x:v>湿土可滞水晦火，燥土可吸湿但加燥</x:v>
      </x:c>
      <x:c r="N82" s="68" t="str">
        <x:v>湿土增湿、燥土增燥</x:v>
      </x:c>
      <x:c r="O82" s="68" t="str">
        <x:v>同一土不能统一作为燥湿药</x:v>
      </x:c>
      <x:c r="P82" s="68" t="str">
        <x:v>精确选择承载、化湿或润燥方向</x:v>
      </x:c>
      <x:c r="Q82" s="90" t="str">
        <x:v>忽略土性会用药相反</x:v>
      </x:c>
      <x:c r="R82" s="68" t="str">
        <x:v>候选土涉及调候或流通功能</x:v>
      </x:c>
      <x:c r="S82" s="68" t="str">
        <x:v>只凭辰丑未戌标签，不审全局有效状态</x:v>
      </x:c>
      <x:c r="T82" s="68" t="str">
        <x:v>土性与调候方向</x:v>
      </x:c>
      <x:c r="U82" s="68" t="str">
        <x:v>M18-待建立</x:v>
      </x:c>
      <x:c r="V82" s="84" t="str">
        <x:v>待定</x:v>
      </x:c>
      <x:c r="W82" s="82" t="str">
        <x:v>待定</x:v>
      </x:c>
      <x:c r="X82" s="82" t="str">
        <x:v>待定</x:v>
      </x:c>
      <x:c r="Y82" s="68" t="str">
        <x:v>先由M13确认实际湿燥属性再定位</x:v>
      </x:c>
      <x:c r="Z82" s="84" t="str">
        <x:v>土性分型定位</x:v>
      </x:c>
      <x:c r="AA82" s="84" t="str">
        <x:v>土综合定位为“待定”，优先级为“待定”。主要收益：精确选择承载、化湿或润燥方向；主要副作用：忽略土性会用药相反；先由M13确认实际湿燥属性再定位。</x:v>
      </x:c>
      <x:c r="AB82" s="82" t="str">
        <x:v>中等</x:v>
      </x:c>
      <x:c r="AC82" s="82" t="str">
        <x:v>现代综合</x:v>
      </x:c>
      <x:c r="AD82" s="68" t="str">
        <x:v>喜忌用神必须同时读取扶抑、格局、通关、调候和病药五个维度。单一维度有利不足以自动成为主用；最终定位取决于是否解决根本问题、是否触犯格局硬约束、药力是否可达以及副作用是否可控。</x:v>
      </x:c>
      <x:c r="AE82" s="68" t="str">
        <x:v>满足“候选土涉及调候或流通功能”，且主要收益大于副作用时，可按“土的喜忌必须区分湿土与燥土功能”定位。</x:v>
      </x:c>
      <x:c r="AF82" s="90" t="str">
        <x:v>若“只凭辰丑未戌标签，不审全局有效状态”成立，则不得按“土的喜忌必须区分湿土与燥土功能”无条件定位。</x:v>
      </x:c>
      <x:c r="AG82" s="82" t="str">
        <x:v>待验证</x:v>
      </x:c>
      <x:c r="AH82" s="82" t="str">
        <x:v>初审</x:v>
      </x:c>
      <x:c r="AI82" s="87" t="n">
        <x:v>46260</x:v>
      </x:c>
    </x:row>
    <x:row r="83">
      <x:c r="A83" s="72" t="str">
        <x:f>IF(OR(C83="",D83=""),"",B83&amp;"-"&amp;UPPER(C83)&amp;"-"&amp;TEXT(D83,"0000")&amp;"-"&amp;E83)</x:f>
        <x:v>M17-WUXING-0077-V1.0</x:v>
      </x:c>
      <x:c r="B83" s="74" t="str">
        <x:v>M17</x:v>
      </x:c>
      <x:c r="C83" s="74" t="str">
        <x:v>WUXING</x:v>
      </x:c>
      <x:c r="D83" s="215" t="n">
        <x:v>77</x:v>
      </x:c>
      <x:c r="E83" s="74" t="str">
        <x:v>V1.0</x:v>
      </x:c>
      <x:c r="F83" s="68" t="str">
        <x:v>金作为生水、制木与泄土之神的正向候选</x:v>
      </x:c>
      <x:c r="G83" s="82" t="str">
        <x:v>综合层</x:v>
      </x:c>
      <x:c r="H83" s="82" t="str">
        <x:v>金</x:v>
      </x:c>
      <x:c r="I83" s="82"/>
      <x:c r="J83" s="82" t="str">
        <x:v>复合来源</x:v>
      </x:c>
      <x:c r="K83" s="68" t="str">
        <x:v>按日主映射另判</x:v>
      </x:c>
      <x:c r="L83" s="68" t="str">
        <x:v>可保护金类格神或为土势提供出口</x:v>
      </x:c>
      <x:c r="M83" s="68" t="str">
        <x:v>连接土→金→水，或制约过旺木势</x:v>
      </x:c>
      <x:c r="N83" s="68" t="str">
        <x:v>可生水润燥但也可能增凉</x:v>
      </x:c>
      <x:c r="O83" s="68" t="str">
        <x:v>治疗水无源、土旺无泄或木旺克土</x:v>
      </x:c>
      <x:c r="P83" s="68" t="str">
        <x:v>生水、泄土、制木并建立土水桥梁</x:v>
      </x:c>
      <x:c r="Q83" s="90" t="str">
        <x:v>金过旺克木、助水寒、伤火或形成金木相战</x:v>
      </x:c>
      <x:c r="R83" s="68" t="str">
        <x:v>水需生源、土旺需泄或木旺需适度制约</x:v>
      </x:c>
      <x:c r="S83" s="68" t="str">
        <x:v>木为核心格神不可伤、原局极寒或金已旺</x:v>
      </x:c>
      <x:c r="T83" s="68" t="str">
        <x:v>生水泄土收益与克木增寒副作用</x:v>
      </x:c>
      <x:c r="U83" s="68" t="str">
        <x:v>M18-待建立</x:v>
      </x:c>
      <x:c r="V83" s="84" t="str">
        <x:v>条件性喜神</x:v>
      </x:c>
      <x:c r="W83" s="82" t="str">
        <x:v>条件顺位</x:v>
      </x:c>
      <x:c r="X83" s="82" t="str">
        <x:v>是</x:v>
      </x:c>
      <x:c r="Y83" s="68" t="str">
        <x:v>金有根有源且不重克木、不加重寒局</x:v>
      </x:c>
      <x:c r="Z83" s="84" t="str">
        <x:v>金生水泄土候选</x:v>
      </x:c>
      <x:c r="AA83" s="84" t="str">
        <x:v>金综合定位为“条件性喜神”，优先级为“条件顺位”。主要收益：生水、泄土、制木并建立土水桥梁；主要副作用：金过旺克木、助水寒、伤火或形成金木相战；仅在金有根有源且不重克木、不加重寒局时成立。</x:v>
      </x:c>
      <x:c r="AB83" s="82" t="str">
        <x:v>较高</x:v>
      </x:c>
      <x:c r="AC83" s="82" t="str">
        <x:v>现代综合</x:v>
      </x:c>
      <x:c r="AD83" s="68" t="str">
        <x:v>喜忌用神必须同时读取扶抑、格局、通关、调候和病药五个维度。单一维度有利不足以自动成为主用；最终定位取决于是否解决根本问题、是否触犯格局硬约束、药力是否可达以及副作用是否可控。</x:v>
      </x:c>
      <x:c r="AE83" s="68" t="str">
        <x:v>满足“水需生源、土旺需泄或木旺需适度制约”，且主要收益大于副作用时，可按“金作为生水、制木与泄土之神的正向候选”定位。</x:v>
      </x:c>
      <x:c r="AF83" s="90" t="str">
        <x:v>若“木为核心格神不可伤、原局极寒或金已旺”成立，则不得按“金作为生水、制木与泄土之神的正向候选”无条件定位。</x:v>
      </x:c>
      <x:c r="AG83" s="82" t="str">
        <x:v>采用</x:v>
      </x:c>
      <x:c r="AH83" s="82" t="str">
        <x:v>初审</x:v>
      </x:c>
      <x:c r="AI83" s="87" t="n">
        <x:v>46260</x:v>
      </x:c>
    </x:row>
    <x:row r="84">
      <x:c r="A84" s="72" t="str">
        <x:f>IF(OR(C84="",D84=""),"",B84&amp;"-"&amp;UPPER(C84)&amp;"-"&amp;TEXT(D84,"0000")&amp;"-"&amp;E84)</x:f>
        <x:v>M17-WUXING-0078-V1.0</x:v>
      </x:c>
      <x:c r="B84" s="74" t="str">
        <x:v>M17</x:v>
      </x:c>
      <x:c r="C84" s="74" t="str">
        <x:v>WUXING</x:v>
      </x:c>
      <x:c r="D84" s="215" t="n">
        <x:v>78</x:v>
      </x:c>
      <x:c r="E84" s="74" t="str">
        <x:v>V1.0</x:v>
      </x:c>
      <x:c r="F84" s="68" t="str">
        <x:v>金在土水相战中可承担通关桥梁</x:v>
      </x:c>
      <x:c r="G84" s="82" t="str">
        <x:v>综合层</x:v>
      </x:c>
      <x:c r="H84" s="82" t="str">
        <x:v>金</x:v>
      </x:c>
      <x:c r="I84" s="82"/>
      <x:c r="J84" s="82" t="str">
        <x:v>通关用神</x:v>
      </x:c>
      <x:c r="K84" s="68" t="str">
        <x:v>视日主而定</x:v>
      </x:c>
      <x:c r="L84" s="68" t="str">
        <x:v>不得破坏木格或火格</x:v>
      </x:c>
      <x:c r="M84" s="68" t="str">
        <x:v>泄土并生水</x:v>
      </x:c>
      <x:c r="N84" s="68" t="str">
        <x:v>可能增寒、增水湿</x:v>
      </x:c>
      <x:c r="O84" s="68" t="str">
        <x:v>治疗土水两强相战</x:v>
      </x:c>
      <x:c r="P84" s="68" t="str">
        <x:v>缓解土克水并使土气有出口</x:v>
      </x:c>
      <x:c r="Q84" s="90" t="str">
        <x:v>金过旺克木、助水过度或受火重制</x:v>
      </x:c>
      <x:c r="R84" s="68" t="str">
        <x:v>M12确认土水双强相战且金有效</x:v>
      </x:c>
      <x:c r="S84" s="68" t="str">
        <x:v>原局极寒湿、金无根或金会根本破格</x:v>
      </x:c>
      <x:c r="T84" s="68" t="str">
        <x:v>通关与调候/木格冲突</x:v>
      </x:c>
      <x:c r="U84" s="68" t="str">
        <x:v>M18-待建立</x:v>
      </x:c>
      <x:c r="V84" s="84" t="str">
        <x:v>条件性喜神</x:v>
      </x:c>
      <x:c r="W84" s="82" t="str">
        <x:v>条件顺位</x:v>
      </x:c>
      <x:c r="X84" s="82" t="str">
        <x:v>是</x:v>
      </x:c>
      <x:c r="Y84" s="68" t="str">
        <x:v>金能泄土生水且不使水寒湿过度</x:v>
      </x:c>
      <x:c r="Z84" s="84" t="str">
        <x:v>金通土水</x:v>
      </x:c>
      <x:c r="AA84" s="84" t="str">
        <x:v>金综合定位为“条件性喜神”，优先级为“条件顺位”。主要收益：缓解土克水并使土气有出口；主要副作用：金过旺克木、助水过度或受火重制；仅在金能泄土生水且不使水寒湿过度时成立。</x:v>
      </x:c>
      <x:c r="AB84" s="82" t="str">
        <x:v>较高</x:v>
      </x:c>
      <x:c r="AC84" s="82" t="str">
        <x:v>现代综合</x:v>
      </x:c>
      <x:c r="AD84" s="68" t="str">
        <x:v>喜忌用神必须同时读取扶抑、格局、通关、调候和病药五个维度。单一维度有利不足以自动成为主用；最终定位取决于是否解决根本问题、是否触犯格局硬约束、药力是否可达以及副作用是否可控。</x:v>
      </x:c>
      <x:c r="AE84" s="68" t="str">
        <x:v>满足“M12确认土水双强相战且金有效”，且主要收益大于副作用时，可按“金在土水相战中可承担通关桥梁”定位。</x:v>
      </x:c>
      <x:c r="AF84" s="90" t="str">
        <x:v>若“原局极寒湿、金无根或金会根本破格”成立，则不得按“金在土水相战中可承担通关桥梁”无条件定位。</x:v>
      </x:c>
      <x:c r="AG84" s="82" t="str">
        <x:v>采用</x:v>
      </x:c>
      <x:c r="AH84" s="82" t="str">
        <x:v>初审</x:v>
      </x:c>
      <x:c r="AI84" s="87" t="n">
        <x:v>46260</x:v>
      </x:c>
    </x:row>
    <x:row r="85">
      <x:c r="A85" s="72" t="str">
        <x:f>IF(OR(C85="",D85=""),"",B85&amp;"-"&amp;UPPER(C85)&amp;"-"&amp;TEXT(D85,"0000")&amp;"-"&amp;E85)</x:f>
        <x:v>M17-WUXING-0079-V1.0</x:v>
      </x:c>
      <x:c r="B85" s="74" t="str">
        <x:v>M17</x:v>
      </x:c>
      <x:c r="C85" s="74" t="str">
        <x:v>WUXING</x:v>
      </x:c>
      <x:c r="D85" s="215" t="n">
        <x:v>79</x:v>
      </x:c>
      <x:c r="E85" s="74" t="str">
        <x:v>V1.0</x:v>
      </x:c>
      <x:c r="F85" s="68" t="str">
        <x:v>金过旺时可能转为忌神</x:v>
      </x:c>
      <x:c r="G85" s="82" t="str">
        <x:v>综合层</x:v>
      </x:c>
      <x:c r="H85" s="82" t="str">
        <x:v>金</x:v>
      </x:c>
      <x:c r="I85" s="82"/>
      <x:c r="J85" s="82" t="str">
        <x:v>复合来源</x:v>
      </x:c>
      <x:c r="K85" s="68" t="str">
        <x:v>可能加重金日主或克木</x:v>
      </x:c>
      <x:c r="L85" s="68" t="str">
        <x:v>可能破木格、食伤财官链或伤火</x:v>
      </x:c>
      <x:c r="M85" s="68" t="str">
        <x:v>使水端过旺或形成金木持续对战</x:v>
      </x:c>
      <x:c r="N85" s="68" t="str">
        <x:v>可能加重秋凉寒燥</x:v>
      </x:c>
      <x:c r="O85" s="68" t="str">
        <x:v>形成金旺克木、助水寒或格局病</x:v>
      </x:c>
      <x:c r="P85" s="68" t="str">
        <x:v>仅保留必要制木、生水功能</x:v>
      </x:c>
      <x:c r="Q85" s="90" t="str">
        <x:v>木受损、火受耗、水过旺、金木相战</x:v>
      </x:c>
      <x:c r="R85" s="68" t="str">
        <x:v>金已旺极且新增金加重根本病</x:v>
      </x:c>
      <x:c r="S85" s="68" t="str">
        <x:v>从革、从金或专旺严格成立</x:v>
      </x:c>
      <x:c r="T85" s="68" t="str">
        <x:v>特殊格局与普通调候/流通冲突</x:v>
      </x:c>
      <x:c r="U85" s="68" t="str">
        <x:v>M18-待建立</x:v>
      </x:c>
      <x:c r="V85" s="84" t="str">
        <x:v>忌神</x:v>
      </x:c>
      <x:c r="W85" s="82" t="str">
        <x:v>不采用</x:v>
      </x:c>
      <x:c r="X85" s="82" t="str">
        <x:v>条件性</x:v>
      </x:c>
      <x:c r="Y85" s="68" t="str">
        <x:v>继续增金会克关键木、助忌水或破格</x:v>
      </x:c>
      <x:c r="Z85" s="84" t="str">
        <x:v>金旺转忌</x:v>
      </x:c>
      <x:c r="AA85" s="84" t="str">
        <x:v>金综合定位为“忌神”，优先级为“不采用”。主要收益：仅保留必要制木、生水功能；主要副作用：木受损、火受耗、水过旺、金木相战；仅在继续增金会克关键木、助忌水或破格时成立。</x:v>
      </x:c>
      <x:c r="AB85" s="82" t="str">
        <x:v>较高</x:v>
      </x:c>
      <x:c r="AC85" s="82" t="str">
        <x:v>现代综合</x:v>
      </x:c>
      <x:c r="AD85" s="68" t="str">
        <x:v>喜忌用神必须同时读取扶抑、格局、通关、调候和病药五个维度。单一维度有利不足以自动成为主用；最终定位取决于是否解决根本问题、是否触犯格局硬约束、药力是否可达以及副作用是否可控。</x:v>
      </x:c>
      <x:c r="AE85" s="68" t="str">
        <x:v>满足“金已旺极且新增金加重根本病”，且主要收益大于副作用时，可按“金过旺时可能转为忌神”定位。</x:v>
      </x:c>
      <x:c r="AF85" s="90" t="str">
        <x:v>若“从革、从金或专旺严格成立”成立，则不得按“金过旺时可能转为忌神”无条件定位。</x:v>
      </x:c>
      <x:c r="AG85" s="82" t="str">
        <x:v>采用</x:v>
      </x:c>
      <x:c r="AH85" s="82" t="str">
        <x:v>初审</x:v>
      </x:c>
      <x:c r="AI85" s="87" t="n">
        <x:v>46260</x:v>
      </x:c>
    </x:row>
    <x:row r="86">
      <x:c r="A86" s="72" t="str">
        <x:f>IF(OR(C86="",D86=""),"",B86&amp;"-"&amp;UPPER(C86)&amp;"-"&amp;TEXT(D86,"0000")&amp;"-"&amp;E86)</x:f>
        <x:v>M17-WUXING-0080-V1.0</x:v>
      </x:c>
      <x:c r="B86" s="74" t="str">
        <x:v>M17</x:v>
      </x:c>
      <x:c r="C86" s="74" t="str">
        <x:v>WUXING</x:v>
      </x:c>
      <x:c r="D86" s="215" t="n">
        <x:v>80</x:v>
      </x:c>
      <x:c r="E86" s="74" t="str">
        <x:v>V1.0</x:v>
      </x:c>
      <x:c r="F86" s="68" t="str">
        <x:v>金弱但不承担生水通关或格神功能时不自动列喜</x:v>
      </x:c>
      <x:c r="G86" s="82" t="str">
        <x:v>综合层</x:v>
      </x:c>
      <x:c r="H86" s="82" t="str">
        <x:v>金</x:v>
      </x:c>
      <x:c r="I86" s="82"/>
      <x:c r="J86" s="82" t="str">
        <x:v>复合来源</x:v>
      </x:c>
      <x:c r="K86" s="68" t="str">
        <x:v>金弱事实</x:v>
      </x:c>
      <x:c r="L86" s="68" t="str">
        <x:v>非核心格神</x:v>
      </x:c>
      <x:c r="M86" s="68" t="str">
        <x:v>非土水主桥梁</x:v>
      </x:c>
      <x:c r="N86" s="68" t="str">
        <x:v>非润燥水源</x:v>
      </x:c>
      <x:c r="O86" s="68" t="str">
        <x:v>M16未立金弱病</x:v>
      </x:c>
      <x:c r="P86" s="68" t="str">
        <x:v>无明确主问题可治</x:v>
      </x:c>
      <x:c r="Q86" s="90" t="str">
        <x:v>补金可能克木、助水寒或伤火</x:v>
      </x:c>
      <x:c r="R86" s="68" t="str">
        <x:v>金弱但流通、格局、调候正常</x:v>
      </x:c>
      <x:c r="S86" s="68" t="str">
        <x:v>金为关键桥梁、格神或水药生源</x:v>
      </x:c>
      <x:c r="T86" s="68" t="str">
        <x:v>无</x:v>
      </x:c>
      <x:c r="U86" s="68"/>
      <x:c r="V86" s="84" t="str">
        <x:v>中性</x:v>
      </x:c>
      <x:c r="W86" s="82" t="str">
        <x:v>不采用</x:v>
      </x:c>
      <x:c r="X86" s="82" t="str">
        <x:v>否</x:v>
      </x:c>
      <x:c r="Y86" s="68" t="str">
        <x:v>金弱不等于喜金</x:v>
      </x:c>
      <x:c r="Z86" s="84" t="str">
        <x:v>金弱非自动喜</x:v>
      </x:c>
      <x:c r="AA86" s="84" t="str">
        <x:v>金综合定位为“中性”，优先级为“不采用”。主要收益：无明确主问题可治；主要副作用：补金可能克木、助水寒或伤火；金弱不等于喜金。</x:v>
      </x:c>
      <x:c r="AB86" s="82" t="str">
        <x:v>较高</x:v>
      </x:c>
      <x:c r="AC86" s="82" t="str">
        <x:v>现代综合</x:v>
      </x:c>
      <x:c r="AD86" s="68" t="str">
        <x:v>喜忌用神必须同时读取扶抑、格局、通关、调候和病药五个维度。单一维度有利不足以自动成为主用；最终定位取决于是否解决根本问题、是否触犯格局硬约束、药力是否可达以及副作用是否可控。</x:v>
      </x:c>
      <x:c r="AE86" s="68" t="str">
        <x:v>满足“金弱但流通、格局、调候正常”，且主要收益大于副作用时，可按“金弱但不承担生水通关或格神功能时不自动列喜”定位。</x:v>
      </x:c>
      <x:c r="AF86" s="90" t="str">
        <x:v>若“金为关键桥梁、格神或水药生源”成立，则不得按“金弱但不承担生水通关或格神功能时不自动列喜”无条件定位。</x:v>
      </x:c>
      <x:c r="AG86" s="82" t="str">
        <x:v>采用</x:v>
      </x:c>
      <x:c r="AH86" s="82" t="str">
        <x:v>初审</x:v>
      </x:c>
      <x:c r="AI86" s="87" t="n">
        <x:v>46260</x:v>
      </x:c>
    </x:row>
    <x:row r="87">
      <x:c r="A87" s="72" t="str">
        <x:f>IF(OR(C87="",D87=""),"",B87&amp;"-"&amp;UPPER(C87)&amp;"-"&amp;TEXT(D87,"0000")&amp;"-"&amp;E87)</x:f>
        <x:v>M17-WUXING-0081-V1.0</x:v>
      </x:c>
      <x:c r="B87" s="74" t="str">
        <x:v>M17</x:v>
      </x:c>
      <x:c r="C87" s="74" t="str">
        <x:v>WUXING</x:v>
      </x:c>
      <x:c r="D87" s="215" t="n">
        <x:v>81</x:v>
      </x:c>
      <x:c r="E87" s="74" t="str">
        <x:v>V1.0</x:v>
      </x:c>
      <x:c r="F87" s="68" t="str">
        <x:v>水作为润燥、降温、生木与泄金之神的正向候选</x:v>
      </x:c>
      <x:c r="G87" s="82" t="str">
        <x:v>综合层</x:v>
      </x:c>
      <x:c r="H87" s="82" t="str">
        <x:v>水</x:v>
      </x:c>
      <x:c r="I87" s="82"/>
      <x:c r="J87" s="82" t="str">
        <x:v>复合来源</x:v>
      </x:c>
      <x:c r="K87" s="68" t="str">
        <x:v>按日主映射另判</x:v>
      </x:c>
      <x:c r="L87" s="68" t="str">
        <x:v>可保护水类格神或为金势提供出口</x:v>
      </x:c>
      <x:c r="M87" s="68" t="str">
        <x:v>连接金→水→木</x:v>
      </x:c>
      <x:c r="N87" s="68" t="str">
        <x:v>降温、润燥、增湿</x:v>
      </x:c>
      <x:c r="O87" s="68" t="str">
        <x:v>治疗热燥、金木相战或木无源</x:v>
      </x:c>
      <x:c r="P87" s="68" t="str">
        <x:v>润燥、降热、生木并泄金</x:v>
      </x:c>
      <x:c r="Q87" s="90" t="str">
        <x:v>水过旺会寒湿、灭火、冲土或形成水火相战</x:v>
      </x:c>
      <x:c r="R87" s="68" t="str">
        <x:v>偏热燥、木需生源、金旺需泄或金木需通关</x:v>
      </x:c>
      <x:c r="S87" s="68" t="str">
        <x:v>极寒湿、水已旺、火为核心格神或土水冲突加剧</x:v>
      </x:c>
      <x:c r="T87" s="68" t="str">
        <x:v>润燥生木收益与寒湿灭火副作用</x:v>
      </x:c>
      <x:c r="U87" s="68" t="str">
        <x:v>M18-待建立</x:v>
      </x:c>
      <x:c r="V87" s="84" t="str">
        <x:v>条件性喜神</x:v>
      </x:c>
      <x:c r="W87" s="82" t="str">
        <x:v>条件顺位</x:v>
      </x:c>
      <x:c r="X87" s="82" t="str">
        <x:v>是</x:v>
      </x:c>
      <x:c r="Y87" s="68" t="str">
        <x:v>水有根有源、适量且不破火土格局</x:v>
      </x:c>
      <x:c r="Z87" s="84" t="str">
        <x:v>水润燥生木候选</x:v>
      </x:c>
      <x:c r="AA87" s="84" t="str">
        <x:v>水综合定位为“条件性喜神”，优先级为“条件顺位”。主要收益：润燥、降热、生木并泄金；主要副作用：水过旺会寒湿、灭火、冲土或形成水火相战；仅在水有根有源、适量且不破火土格局时成立。</x:v>
      </x:c>
      <x:c r="AB87" s="82" t="str">
        <x:v>较高</x:v>
      </x:c>
      <x:c r="AC87" s="82" t="str">
        <x:v>现代综合</x:v>
      </x:c>
      <x:c r="AD87" s="68" t="str">
        <x:v>喜忌用神必须同时读取扶抑、格局、通关、调候和病药五个维度。单一维度有利不足以自动成为主用；最终定位取决于是否解决根本问题、是否触犯格局硬约束、药力是否可达以及副作用是否可控。</x:v>
      </x:c>
      <x:c r="AE87" s="68" t="str">
        <x:v>满足“偏热燥、木需生源、金旺需泄或金木需通关”，且主要收益大于副作用时，可按“水作为润燥、降温、生木与泄金之神的正向候选”定位。</x:v>
      </x:c>
      <x:c r="AF87" s="90" t="str">
        <x:v>若“极寒湿、水已旺、火为核心格神或土水冲突加剧”成立，则不得按“水作为润燥、降温、生木与泄金之神的正向候选”无条件定位。</x:v>
      </x:c>
      <x:c r="AG87" s="82" t="str">
        <x:v>采用</x:v>
      </x:c>
      <x:c r="AH87" s="82" t="str">
        <x:v>初审</x:v>
      </x:c>
      <x:c r="AI87" s="87" t="n">
        <x:v>46260</x:v>
      </x:c>
    </x:row>
    <x:row r="88">
      <x:c r="A88" s="72" t="str">
        <x:f>IF(OR(C88="",D88=""),"",B88&amp;"-"&amp;UPPER(C88)&amp;"-"&amp;TEXT(D88,"0000")&amp;"-"&amp;E88)</x:f>
        <x:v>M17-WUXING-0082-V1.0</x:v>
      </x:c>
      <x:c r="B88" s="74" t="str">
        <x:v>M17</x:v>
      </x:c>
      <x:c r="C88" s="74" t="str">
        <x:v>WUXING</x:v>
      </x:c>
      <x:c r="D88" s="215" t="n">
        <x:v>82</x:v>
      </x:c>
      <x:c r="E88" s="74" t="str">
        <x:v>V1.0</x:v>
      </x:c>
      <x:c r="F88" s="68" t="str">
        <x:v>水在金木相战中可承担通关桥梁</x:v>
      </x:c>
      <x:c r="G88" s="82" t="str">
        <x:v>综合层</x:v>
      </x:c>
      <x:c r="H88" s="82" t="str">
        <x:v>水</x:v>
      </x:c>
      <x:c r="I88" s="82"/>
      <x:c r="J88" s="82" t="str">
        <x:v>通关用神</x:v>
      </x:c>
      <x:c r="K88" s="68" t="str">
        <x:v>视日主而定</x:v>
      </x:c>
      <x:c r="L88" s="68" t="str">
        <x:v>不得破坏火格或土格</x:v>
      </x:c>
      <x:c r="M88" s="68" t="str">
        <x:v>泄金并生木</x:v>
      </x:c>
      <x:c r="N88" s="68" t="str">
        <x:v>可能降温增湿</x:v>
      </x:c>
      <x:c r="O88" s="68" t="str">
        <x:v>治疗金木两强相战</x:v>
      </x:c>
      <x:c r="P88" s="68" t="str">
        <x:v>缓解金克木并为木提供生源</x:v>
      </x:c>
      <x:c r="Q88" s="90" t="str">
        <x:v>水过旺寒湿、灭火或克土</x:v>
      </x:c>
      <x:c r="R88" s="68" t="str">
        <x:v>M12确认金木双强相战且水有效</x:v>
      </x:c>
      <x:c r="S88" s="68" t="str">
        <x:v>原局极寒湿、水无根或水会根本破格</x:v>
      </x:c>
      <x:c r="T88" s="68" t="str">
        <x:v>通关与调候/火土格冲突</x:v>
      </x:c>
      <x:c r="U88" s="68" t="str">
        <x:v>M18-待建立</x:v>
      </x:c>
      <x:c r="V88" s="84" t="str">
        <x:v>条件性喜神</x:v>
      </x:c>
      <x:c r="W88" s="82" t="str">
        <x:v>条件顺位</x:v>
      </x:c>
      <x:c r="X88" s="82" t="str">
        <x:v>是</x:v>
      </x:c>
      <x:c r="Y88" s="68" t="str">
        <x:v>水能泄金生木且不使全局寒湿</x:v>
      </x:c>
      <x:c r="Z88" s="84" t="str">
        <x:v>水通金木</x:v>
      </x:c>
      <x:c r="AA88" s="84" t="str">
        <x:v>水综合定位为“条件性喜神”，优先级为“条件顺位”。主要收益：缓解金克木并为木提供生源；主要副作用：水过旺寒湿、灭火或克土；仅在水能泄金生木且不使全局寒湿时成立。</x:v>
      </x:c>
      <x:c r="AB88" s="82" t="str">
        <x:v>较高</x:v>
      </x:c>
      <x:c r="AC88" s="82" t="str">
        <x:v>现代综合</x:v>
      </x:c>
      <x:c r="AD88" s="68" t="str">
        <x:v>喜忌用神必须同时读取扶抑、格局、通关、调候和病药五个维度。单一维度有利不足以自动成为主用；最终定位取决于是否解决根本问题、是否触犯格局硬约束、药力是否可达以及副作用是否可控。</x:v>
      </x:c>
      <x:c r="AE88" s="68" t="str">
        <x:v>满足“M12确认金木双强相战且水有效”，且主要收益大于副作用时，可按“水在金木相战中可承担通关桥梁”定位。</x:v>
      </x:c>
      <x:c r="AF88" s="90" t="str">
        <x:v>若“原局极寒湿、水无根或水会根本破格”成立，则不得按“水在金木相战中可承担通关桥梁”无条件定位。</x:v>
      </x:c>
      <x:c r="AG88" s="82" t="str">
        <x:v>采用</x:v>
      </x:c>
      <x:c r="AH88" s="82" t="str">
        <x:v>初审</x:v>
      </x:c>
      <x:c r="AI88" s="87" t="n">
        <x:v>46260</x:v>
      </x:c>
    </x:row>
    <x:row r="89">
      <x:c r="A89" s="72" t="str">
        <x:f>IF(OR(C89="",D89=""),"",B89&amp;"-"&amp;UPPER(C89)&amp;"-"&amp;TEXT(D89,"0000")&amp;"-"&amp;E89)</x:f>
        <x:v>M17-WUXING-0083-V1.0</x:v>
      </x:c>
      <x:c r="B89" s="74" t="str">
        <x:v>M17</x:v>
      </x:c>
      <x:c r="C89" s="74" t="str">
        <x:v>WUXING</x:v>
      </x:c>
      <x:c r="D89" s="215" t="n">
        <x:v>83</x:v>
      </x:c>
      <x:c r="E89" s="74" t="str">
        <x:v>V1.0</x:v>
      </x:c>
      <x:c r="F89" s="68" t="str">
        <x:v>水过旺时可能转为忌神</x:v>
      </x:c>
      <x:c r="G89" s="82" t="str">
        <x:v>综合层</x:v>
      </x:c>
      <x:c r="H89" s="82" t="str">
        <x:v>水</x:v>
      </x:c>
      <x:c r="I89" s="82"/>
      <x:c r="J89" s="82" t="str">
        <x:v>复合来源</x:v>
      </x:c>
      <x:c r="K89" s="68" t="str">
        <x:v>可能加重水日主或印比食财官一方</x:v>
      </x:c>
      <x:c r="L89" s="68" t="str">
        <x:v>可能破火格、土格或使木势过旺</x:v>
      </x:c>
      <x:c r="M89" s="68" t="str">
        <x:v>形成源头过旺、终点湿滞或水火相战</x:v>
      </x:c>
      <x:c r="N89" s="68" t="str">
        <x:v>推向极寒极湿</x:v>
      </x:c>
      <x:c r="O89" s="68" t="str">
        <x:v>形成寒湿、水旺无泄、灭火或克土病</x:v>
      </x:c>
      <x:c r="P89" s="68" t="str">
        <x:v>仅保留必要润燥、生木、通关功能</x:v>
      </x:c>
      <x:c r="Q89" s="90" t="str">
        <x:v>寒凝、湿滞、火熄、土受克、木漂</x:v>
      </x:c>
      <x:c r="R89" s="68" t="str">
        <x:v>水已旺极且新增水加重根本病</x:v>
      </x:c>
      <x:c r="S89" s="68" t="str">
        <x:v>润下、从水或专旺严格成立</x:v>
      </x:c>
      <x:c r="T89" s="68" t="str">
        <x:v>特殊格局与普通调候/流通冲突</x:v>
      </x:c>
      <x:c r="U89" s="68" t="str">
        <x:v>M18-待建立</x:v>
      </x:c>
      <x:c r="V89" s="84" t="str">
        <x:v>忌神</x:v>
      </x:c>
      <x:c r="W89" s="82" t="str">
        <x:v>不采用</x:v>
      </x:c>
      <x:c r="X89" s="82" t="str">
        <x:v>条件性</x:v>
      </x:c>
      <x:c r="Y89" s="68" t="str">
        <x:v>继续增水会加重寒湿或破火土主轴</x:v>
      </x:c>
      <x:c r="Z89" s="84" t="str">
        <x:v>水旺转忌</x:v>
      </x:c>
      <x:c r="AA89" s="84" t="str">
        <x:v>水综合定位为“忌神”，优先级为“不采用”。主要收益：仅保留必要润燥、生木、通关功能；主要副作用：寒凝、湿滞、火熄、土受克、木漂；仅在继续增水会加重寒湿或破火土主轴时成立。</x:v>
      </x:c>
      <x:c r="AB89" s="82" t="str">
        <x:v>较高</x:v>
      </x:c>
      <x:c r="AC89" s="82" t="str">
        <x:v>现代综合</x:v>
      </x:c>
      <x:c r="AD89" s="68" t="str">
        <x:v>喜忌用神必须同时读取扶抑、格局、通关、调候和病药五个维度。单一维度有利不足以自动成为主用；最终定位取决于是否解决根本问题、是否触犯格局硬约束、药力是否可达以及副作用是否可控。</x:v>
      </x:c>
      <x:c r="AE89" s="68" t="str">
        <x:v>满足“水已旺极且新增水加重根本病”，且主要收益大于副作用时，可按“水过旺时可能转为忌神”定位。</x:v>
      </x:c>
      <x:c r="AF89" s="90" t="str">
        <x:v>若“润下、从水或专旺严格成立”成立，则不得按“水过旺时可能转为忌神”无条件定位。</x:v>
      </x:c>
      <x:c r="AG89" s="82" t="str">
        <x:v>采用</x:v>
      </x:c>
      <x:c r="AH89" s="82" t="str">
        <x:v>初审</x:v>
      </x:c>
      <x:c r="AI89" s="87" t="n">
        <x:v>46260</x:v>
      </x:c>
    </x:row>
    <x:row r="90">
      <x:c r="A90" s="72" t="str">
        <x:f>IF(OR(C90="",D90=""),"",B90&amp;"-"&amp;UPPER(C90)&amp;"-"&amp;TEXT(D90,"0000")&amp;"-"&amp;E90)</x:f>
        <x:v>M17-WUXING-0084-V1.0</x:v>
      </x:c>
      <x:c r="B90" s="74" t="str">
        <x:v>M17</x:v>
      </x:c>
      <x:c r="C90" s="74" t="str">
        <x:v>WUXING</x:v>
      </x:c>
      <x:c r="D90" s="215" t="n">
        <x:v>84</x:v>
      </x:c>
      <x:c r="E90" s="74" t="str">
        <x:v>V1.0</x:v>
      </x:c>
      <x:c r="F90" s="68" t="str">
        <x:v>水弱但双轴不燥且非关键生源时不自动列喜</x:v>
      </x:c>
      <x:c r="G90" s="82" t="str">
        <x:v>综合层</x:v>
      </x:c>
      <x:c r="H90" s="82" t="str">
        <x:v>水</x:v>
      </x:c>
      <x:c r="I90" s="82"/>
      <x:c r="J90" s="82" t="str">
        <x:v>复合来源</x:v>
      </x:c>
      <x:c r="K90" s="68" t="str">
        <x:v>水弱事实</x:v>
      </x:c>
      <x:c r="L90" s="68" t="str">
        <x:v>非核心格神</x:v>
      </x:c>
      <x:c r="M90" s="68" t="str">
        <x:v>非金木桥梁或木的必要生源</x:v>
      </x:c>
      <x:c r="N90" s="68" t="str">
        <x:v>湿度与温度已平衡</x:v>
      </x:c>
      <x:c r="O90" s="68" t="str">
        <x:v>M16未立水弱、燥枯或热病</x:v>
      </x:c>
      <x:c r="P90" s="68" t="str">
        <x:v>无明确主问题可治</x:v>
      </x:c>
      <x:c r="Q90" s="90" t="str">
        <x:v>补水可能寒湿、灭火、克土</x:v>
      </x:c>
      <x:c r="R90" s="68" t="str">
        <x:v>水弱但无燥热、流通与格局功能缺口</x:v>
      </x:c>
      <x:c r="S90" s="68" t="str">
        <x:v>水为核心调候药、通关桥梁或格神</x:v>
      </x:c>
      <x:c r="T90" s="68" t="str">
        <x:v>无</x:v>
      </x:c>
      <x:c r="U90" s="68"/>
      <x:c r="V90" s="84" t="str">
        <x:v>中性</x:v>
      </x:c>
      <x:c r="W90" s="82" t="str">
        <x:v>不采用</x:v>
      </x:c>
      <x:c r="X90" s="82" t="str">
        <x:v>否</x:v>
      </x:c>
      <x:c r="Y90" s="68" t="str">
        <x:v>水弱不等于喜水</x:v>
      </x:c>
      <x:c r="Z90" s="84" t="str">
        <x:v>水弱非自动喜</x:v>
      </x:c>
      <x:c r="AA90" s="84" t="str">
        <x:v>水综合定位为“中性”，优先级为“不采用”。主要收益：无明确主问题可治；主要副作用：补水可能寒湿、灭火、克土；水弱不等于喜水。</x:v>
      </x:c>
      <x:c r="AB90" s="82" t="str">
        <x:v>较高</x:v>
      </x:c>
      <x:c r="AC90" s="82" t="str">
        <x:v>现代综合</x:v>
      </x:c>
      <x:c r="AD90" s="68" t="str">
        <x:v>喜忌用神必须同时读取扶抑、格局、通关、调候和病药五个维度。单一维度有利不足以自动成为主用；最终定位取决于是否解决根本问题、是否触犯格局硬约束、药力是否可达以及副作用是否可控。</x:v>
      </x:c>
      <x:c r="AE90" s="68" t="str">
        <x:v>满足“水弱但无燥热、流通与格局功能缺口”，且主要收益大于副作用时，可按“水弱但双轴不燥且非关键生源时不自动列喜”定位。</x:v>
      </x:c>
      <x:c r="AF90" s="90" t="str">
        <x:v>若“水为核心调候药、通关桥梁或格神”成立，则不得按“水弱但双轴不燥且非关键生源时不自动列喜”无条件定位。</x:v>
      </x:c>
      <x:c r="AG90" s="82" t="str">
        <x:v>采用</x:v>
      </x:c>
      <x:c r="AH90" s="82" t="str">
        <x:v>初审</x:v>
      </x:c>
      <x:c r="AI90" s="87" t="n">
        <x:v>46260</x:v>
      </x:c>
    </x:row>
    <x:row r="91">
      <x:c r="A91" s="72" t="str">
        <x:f>IF(OR(C91="",D91=""),"",B91&amp;"-"&amp;UPPER(C91)&amp;"-"&amp;TEXT(D91,"0000")&amp;"-"&amp;E91)</x:f>
        <x:v>M17-RANK-0085-V1.0</x:v>
      </x:c>
      <x:c r="B91" s="74" t="str">
        <x:v>M17</x:v>
      </x:c>
      <x:c r="C91" s="74" t="str">
        <x:v>RANK</x:v>
      </x:c>
      <x:c r="D91" s="215" t="n">
        <x:v>85</x:v>
      </x:c>
      <x:c r="E91" s="74" t="str">
        <x:v>V1.0</x:v>
      </x:c>
      <x:c r="F91" s="68" t="str">
        <x:v>主用神必须解决根本主病或维护最高优先级硬约束</x:v>
      </x:c>
      <x:c r="G91" s="82" t="str">
        <x:v>综合层</x:v>
      </x:c>
      <x:c r="H91" s="82"/>
      <x:c r="I91" s="82"/>
      <x:c r="J91" s="82" t="str">
        <x:v>复合来源</x:v>
      </x:c>
      <x:c r="K91" s="68" t="str">
        <x:v>至少不产生决定性承载损害</x:v>
      </x:c>
      <x:c r="L91" s="68" t="str">
        <x:v>维护核心格局或不触犯格局硬约束</x:v>
      </x:c>
      <x:c r="M91" s="68" t="str">
        <x:v>能够直接修复主路径或不妨碍主路径</x:v>
      </x:c>
      <x:c r="N91" s="68" t="str">
        <x:v>不制造更严重调候病</x:v>
      </x:c>
      <x:c r="O91" s="68" t="str">
        <x:v>直接治疗根本主病或承担不可替代主药</x:v>
      </x:c>
      <x:c r="P91" s="68" t="str">
        <x:v>决定全局主要矛盾能否被修复</x:v>
      </x:c>
      <x:c r="Q91" s="90" t="str">
        <x:v>允许有可控次级副作用，但不得有硬否决</x:v>
      </x:c>
      <x:c r="R91" s="68" t="str">
        <x:v>解决根本主病、核心格局或特殊格局硬约束，且药力有效</x:v>
      </x:c>
      <x:c r="S91" s="68" t="str">
        <x:v>只解决次病、单一维度有利或存在更高优先级硬冲突</x:v>
      </x:c>
      <x:c r="T91" s="68" t="str">
        <x:v>最终主用需M18确认无硬否决</x:v>
      </x:c>
      <x:c r="U91" s="68" t="str">
        <x:v>M18-待建立</x:v>
      </x:c>
      <x:c r="V91" s="84" t="str">
        <x:v>主用神</x:v>
      </x:c>
      <x:c r="W91" s="82" t="str">
        <x:v>第一顺位</x:v>
      </x:c>
      <x:c r="X91" s="82" t="str">
        <x:v>条件性</x:v>
      </x:c>
      <x:c r="Y91" s="68" t="str">
        <x:v>必须说明主用解决的根本问题、作用路径与副作用控制</x:v>
      </x:c>
      <x:c r="Z91" s="84" t="str">
        <x:v>主用神定义</x:v>
      </x:c>
      <x:c r="AA91" s="84" t="str">
        <x:v>该候选五行综合定位为“主用神”，优先级为“第一顺位”。主要收益：决定全局主要矛盾能否被修复；主要副作用：允许有可控次级副作用，但不得有硬否决；仅在必须说明主用解决的根本问题、作用路径与副作用控制时成立。</x:v>
      </x:c>
      <x:c r="AB91" s="82" t="str">
        <x:v>较高</x:v>
      </x:c>
      <x:c r="AC91" s="82" t="str">
        <x:v>现代综合</x:v>
      </x:c>
      <x:c r="AD91" s="68" t="str">
        <x:v>喜忌用神必须同时读取扶抑、格局、通关、调候和病药五个维度。单一维度有利不足以自动成为主用；最终定位取决于是否解决根本问题、是否触犯格局硬约束、药力是否可达以及副作用是否可控。</x:v>
      </x:c>
      <x:c r="AE91" s="68" t="str">
        <x:v>满足“解决根本主病、核心格局或特殊格局硬约束，且药力有效”，且主要收益大于副作用时，可按“主用神必须解决根本主病或维护最高优先级硬约束”定位。</x:v>
      </x:c>
      <x:c r="AF91" s="90" t="str">
        <x:v>若“只解决次病、单一维度有利或存在更高优先级硬冲突”成立，则不得按“主用神必须解决根本主病或维护最高优先级硬约束”无条件定位。</x:v>
      </x:c>
      <x:c r="AG91" s="82" t="str">
        <x:v>采用</x:v>
      </x:c>
      <x:c r="AH91" s="82" t="str">
        <x:v>初审</x:v>
      </x:c>
      <x:c r="AI91" s="87" t="n">
        <x:v>46260</x:v>
      </x:c>
    </x:row>
    <x:row r="92">
      <x:c r="A92" s="72" t="str">
        <x:f>IF(OR(C92="",D92=""),"",B92&amp;"-"&amp;UPPER(C92)&amp;"-"&amp;TEXT(D92,"0000")&amp;"-"&amp;E92)</x:f>
        <x:v>M17-RANK-0086-V1.0</x:v>
      </x:c>
      <x:c r="B92" s="74" t="str">
        <x:v>M17</x:v>
      </x:c>
      <x:c r="C92" s="74" t="str">
        <x:v>RANK</x:v>
      </x:c>
      <x:c r="D92" s="215" t="n">
        <x:v>86</x:v>
      </x:c>
      <x:c r="E92" s="74" t="str">
        <x:v>V1.0</x:v>
      </x:c>
      <x:c r="F92" s="68" t="str">
        <x:v>辅助用神必须服务主用或修复次级关键环节</x:v>
      </x:c>
      <x:c r="G92" s="82" t="str">
        <x:v>综合层</x:v>
      </x:c>
      <x:c r="H92" s="82"/>
      <x:c r="I92" s="82"/>
      <x:c r="J92" s="82" t="str">
        <x:v>复合来源</x:v>
      </x:c>
      <x:c r="K92" s="68" t="str">
        <x:v>可补充主用承载</x:v>
      </x:c>
      <x:c r="L92" s="68" t="str">
        <x:v>可护格或保护主用</x:v>
      </x:c>
      <x:c r="M92" s="68" t="str">
        <x:v>补桥、护根或建立终点承载</x:v>
      </x:c>
      <x:c r="N92" s="68" t="str">
        <x:v>控制主用的寒热燥湿副作用</x:v>
      </x:c>
      <x:c r="O92" s="68" t="str">
        <x:v>增强主药、保护主药或治疗次病</x:v>
      </x:c>
      <x:c r="P92" s="68" t="str">
        <x:v>使主用能够稳定发挥</x:v>
      </x:c>
      <x:c r="Q92" s="90" t="str">
        <x:v>辅助过强可能反客为主或制造新病</x:v>
      </x:c>
      <x:c r="R92" s="68" t="str">
        <x:v>主用已明确，辅助神与主用存在直接协同路径</x:v>
      </x:c>
      <x:c r="S92" s="68" t="str">
        <x:v>与主用无关、争夺同一节点或副作用大于协同收益</x:v>
      </x:c>
      <x:c r="T92" s="68" t="str">
        <x:v>主辅容量和路线协同</x:v>
      </x:c>
      <x:c r="U92" s="68" t="str">
        <x:v>M18-待建立</x:v>
      </x:c>
      <x:c r="V92" s="84" t="str">
        <x:v>辅助用神</x:v>
      </x:c>
      <x:c r="W92" s="82" t="str">
        <x:v>第二顺位</x:v>
      </x:c>
      <x:c r="X92" s="82" t="str">
        <x:v>条件性</x:v>
      </x:c>
      <x:c r="Y92" s="68" t="str">
        <x:v>辅助神不得替代主用，也不得破坏主用主轴</x:v>
      </x:c>
      <x:c r="Z92" s="84" t="str">
        <x:v>辅助用神定义</x:v>
      </x:c>
      <x:c r="AA92" s="84" t="str">
        <x:v>该候选五行综合定位为“辅助用神”，优先级为“第二顺位”。主要收益：使主用能够稳定发挥；主要副作用：辅助过强可能反客为主或制造新病；仅在辅助神不得替代主用，也不得破坏主用主轴时成立。</x:v>
      </x:c>
      <x:c r="AB92" s="82" t="str">
        <x:v>较高</x:v>
      </x:c>
      <x:c r="AC92" s="82" t="str">
        <x:v>现代综合</x:v>
      </x:c>
      <x:c r="AD92" s="68" t="str">
        <x:v>喜忌用神必须同时读取扶抑、格局、通关、调候和病药五个维度。单一维度有利不足以自动成为主用；最终定位取决于是否解决根本问题、是否触犯格局硬约束、药力是否可达以及副作用是否可控。</x:v>
      </x:c>
      <x:c r="AE92" s="68" t="str">
        <x:v>满足“主用已明确，辅助神与主用存在直接协同路径”，且主要收益大于副作用时，可按“辅助用神必须服务主用或修复次级关键环节”定位。</x:v>
      </x:c>
      <x:c r="AF92" s="90" t="str">
        <x:v>若“与主用无关、争夺同一节点或副作用大于协同收益”成立，则不得按“辅助用神必须服务主用或修复次级关键环节”无条件定位。</x:v>
      </x:c>
      <x:c r="AG92" s="82" t="str">
        <x:v>采用</x:v>
      </x:c>
      <x:c r="AH92" s="82" t="str">
        <x:v>初审</x:v>
      </x:c>
      <x:c r="AI92" s="87" t="n">
        <x:v>46260</x:v>
      </x:c>
    </x:row>
    <x:row r="93">
      <x:c r="A93" s="72" t="str">
        <x:f>IF(OR(C93="",D93=""),"",B93&amp;"-"&amp;UPPER(C93)&amp;"-"&amp;TEXT(D93,"0000")&amp;"-"&amp;E93)</x:f>
        <x:v>M17-RANK-0087-V1.0</x:v>
      </x:c>
      <x:c r="B93" s="74" t="str">
        <x:v>M17</x:v>
      </x:c>
      <x:c r="C93" s="74" t="str">
        <x:v>RANK</x:v>
      </x:c>
      <x:c r="D93" s="215" t="n">
        <x:v>87</x:v>
      </x:c>
      <x:c r="E93" s="74" t="str">
        <x:v>V1.0</x:v>
      </x:c>
      <x:c r="F93" s="68" t="str">
        <x:v>喜神是净收益明确但不承担根本主药职责的五行</x:v>
      </x:c>
      <x:c r="G93" s="82" t="str">
        <x:v>综合层</x:v>
      </x:c>
      <x:c r="H93" s="82"/>
      <x:c r="I93" s="82"/>
      <x:c r="J93" s="82" t="str">
        <x:v>复合来源</x:v>
      </x:c>
      <x:c r="K93" s="68" t="str">
        <x:v>总体正向</x:v>
      </x:c>
      <x:c r="L93" s="68" t="str">
        <x:v>不伤格或有一般护格收益</x:v>
      </x:c>
      <x:c r="M93" s="68" t="str">
        <x:v>改善次级路径</x:v>
      </x:c>
      <x:c r="N93" s="68" t="str">
        <x:v>改善或不恶化调候</x:v>
      </x:c>
      <x:c r="O93" s="68" t="str">
        <x:v>治疗次病或增强整体稳定性</x:v>
      </x:c>
      <x:c r="P93" s="68" t="str">
        <x:v>提高结构运行质量</x:v>
      </x:c>
      <x:c r="Q93" s="90" t="str">
        <x:v>存在但较小或可控</x:v>
      </x:c>
      <x:c r="R93" s="68" t="str">
        <x:v>至少一个重要维度正向，其他维度无严重反对</x:v>
      </x:c>
      <x:c r="S93" s="68" t="str">
        <x:v>承担根本主病主药或只在严格条件下有利</x:v>
      </x:c>
      <x:c r="T93" s="68" t="str">
        <x:v>一般净收益判断</x:v>
      </x:c>
      <x:c r="U93" s="68" t="str">
        <x:v>M18-待建立</x:v>
      </x:c>
      <x:c r="V93" s="84" t="str">
        <x:v>喜神</x:v>
      </x:c>
      <x:c r="W93" s="82" t="str">
        <x:v>第三顺位</x:v>
      </x:c>
      <x:c r="X93" s="82" t="str">
        <x:v>条件性</x:v>
      </x:c>
      <x:c r="Y93" s="68" t="str">
        <x:v>对全局有稳定正收益但不是不可替代核心</x:v>
      </x:c>
      <x:c r="Z93" s="84" t="str">
        <x:v>喜神定义</x:v>
      </x:c>
      <x:c r="AA93" s="84" t="str">
        <x:v>该候选五行综合定位为“喜神”，优先级为“第三顺位”。主要收益：提高结构运行质量；主要副作用：存在但较小或可控；仅在对全局有稳定正收益但不是不可替代核心时成立。</x:v>
      </x:c>
      <x:c r="AB93" s="82" t="str">
        <x:v>较高</x:v>
      </x:c>
      <x:c r="AC93" s="82" t="str">
        <x:v>现代综合</x:v>
      </x:c>
      <x:c r="AD93" s="68" t="str">
        <x:v>喜忌用神必须同时读取扶抑、格局、通关、调候和病药五个维度。单一维度有利不足以自动成为主用；最终定位取决于是否解决根本问题、是否触犯格局硬约束、药力是否可达以及副作用是否可控。</x:v>
      </x:c>
      <x:c r="AE93" s="68" t="str">
        <x:v>满足“至少一个重要维度正向，其他维度无严重反对”，且主要收益大于副作用时，可按“喜神是净收益明确但不承担根本主药职责的五行”定位。</x:v>
      </x:c>
      <x:c r="AF93" s="90" t="str">
        <x:v>若“承担根本主病主药或只在严格条件下有利”成立，则不得按“喜神是净收益明确但不承担根本主药职责的五行”无条件定位。</x:v>
      </x:c>
      <x:c r="AG93" s="82" t="str">
        <x:v>采用</x:v>
      </x:c>
      <x:c r="AH93" s="82" t="str">
        <x:v>初审</x:v>
      </x:c>
      <x:c r="AI93" s="87" t="n">
        <x:v>46260</x:v>
      </x:c>
    </x:row>
    <x:row r="94">
      <x:c r="A94" s="72" t="str">
        <x:f>IF(OR(C94="",D94=""),"",B94&amp;"-"&amp;UPPER(C94)&amp;"-"&amp;TEXT(D94,"0000")&amp;"-"&amp;E94)</x:f>
        <x:v>M17-RANK-0088-V1.0</x:v>
      </x:c>
      <x:c r="B94" s="74" t="str">
        <x:v>M17</x:v>
      </x:c>
      <x:c r="C94" s="74" t="str">
        <x:v>RANK</x:v>
      </x:c>
      <x:c r="D94" s="215" t="n">
        <x:v>88</x:v>
      </x:c>
      <x:c r="E94" s="74" t="str">
        <x:v>V1.0</x:v>
      </x:c>
      <x:c r="F94" s="68" t="str">
        <x:v>条件性喜神只有在限定结构和剂量下才有利</x:v>
      </x:c>
      <x:c r="G94" s="82" t="str">
        <x:v>综合层</x:v>
      </x:c>
      <x:c r="H94" s="82"/>
      <x:c r="I94" s="82"/>
      <x:c r="J94" s="82" t="str">
        <x:v>复合来源</x:v>
      </x:c>
      <x:c r="K94" s="68" t="str">
        <x:v>有利与不利并存</x:v>
      </x:c>
      <x:c r="L94" s="68" t="str">
        <x:v>可能护格也可能破格</x:v>
      </x:c>
      <x:c r="M94" s="68" t="str">
        <x:v>可能通关但需药力条件</x:v>
      </x:c>
      <x:c r="N94" s="68" t="str">
        <x:v>可能调候但需防反向病</x:v>
      </x:c>
      <x:c r="O94" s="68" t="str">
        <x:v>适量治病、过量成病</x:v>
      </x:c>
      <x:c r="P94" s="68" t="str">
        <x:v>在限定条件下解决重要问题</x:v>
      </x:c>
      <x:c r="Q94" s="90" t="str">
        <x:v>条件不满足即无效或转害</x:v>
      </x:c>
      <x:c r="R94" s="68" t="str">
        <x:v>可清楚写出成立条件、剂量边界和不适用条件</x:v>
      </x:c>
      <x:c r="S94" s="68" t="str">
        <x:v>无法控制副作用或存在硬否决</x:v>
      </x:c>
      <x:c r="T94" s="68" t="str">
        <x:v>多维条件化</x:v>
      </x:c>
      <x:c r="U94" s="68" t="str">
        <x:v>M18-待建立</x:v>
      </x:c>
      <x:c r="V94" s="84" t="str">
        <x:v>条件性喜神</x:v>
      </x:c>
      <x:c r="W94" s="82" t="str">
        <x:v>条件顺位</x:v>
      </x:c>
      <x:c r="X94" s="82" t="str">
        <x:v>是</x:v>
      </x:c>
      <x:c r="Y94" s="68" t="str">
        <x:v>必须同步输出“何时有利、何时转忌”</x:v>
      </x:c>
      <x:c r="Z94" s="84" t="str">
        <x:v>条件性喜神定义</x:v>
      </x:c>
      <x:c r="AA94" s="84" t="str">
        <x:v>该候选五行综合定位为“条件性喜神”，优先级为“条件顺位”。主要收益：在限定条件下解决重要问题；主要副作用：条件不满足即无效或转害；仅在必须同步输出“何时有利、何时转忌”时成立。</x:v>
      </x:c>
      <x:c r="AB94" s="82" t="str">
        <x:v>较高</x:v>
      </x:c>
      <x:c r="AC94" s="82" t="str">
        <x:v>现代综合</x:v>
      </x:c>
      <x:c r="AD94" s="68" t="str">
        <x:v>喜忌用神必须同时读取扶抑、格局、通关、调候和病药五个维度。单一维度有利不足以自动成为主用；最终定位取决于是否解决根本问题、是否触犯格局硬约束、药力是否可达以及副作用是否可控。</x:v>
      </x:c>
      <x:c r="AE94" s="68" t="str">
        <x:v>满足“可清楚写出成立条件、剂量边界和不适用条件”，且主要收益大于副作用时，可按“条件性喜神只有在限定结构和剂量下才有利”定位。</x:v>
      </x:c>
      <x:c r="AF94" s="90" t="str">
        <x:v>若“无法控制副作用或存在硬否决”成立，则不得按“条件性喜神只有在限定结构和剂量下才有利”无条件定位。</x:v>
      </x:c>
      <x:c r="AG94" s="82" t="str">
        <x:v>采用</x:v>
      </x:c>
      <x:c r="AH94" s="82" t="str">
        <x:v>初审</x:v>
      </x:c>
      <x:c r="AI94" s="87" t="n">
        <x:v>46260</x:v>
      </x:c>
    </x:row>
    <x:row r="95">
      <x:c r="A95" s="72" t="str">
        <x:f>IF(OR(C95="",D95=""),"",B95&amp;"-"&amp;UPPER(C95)&amp;"-"&amp;TEXT(D95,"0000")&amp;"-"&amp;E95)</x:f>
        <x:v>M17-RANK-0089-V1.0</x:v>
      </x:c>
      <x:c r="B95" s="74" t="str">
        <x:v>M17</x:v>
      </x:c>
      <x:c r="C95" s="74" t="str">
        <x:v>RANK</x:v>
      </x:c>
      <x:c r="D95" s="215" t="n">
        <x:v>89</x:v>
      </x:c>
      <x:c r="E95" s="74" t="str">
        <x:v>V1.0</x:v>
      </x:c>
      <x:c r="F95" s="68" t="str">
        <x:v>中性五行不进入主要喜忌与用神排序</x:v>
      </x:c>
      <x:c r="G95" s="82" t="str">
        <x:v>综合层</x:v>
      </x:c>
      <x:c r="H95" s="82"/>
      <x:c r="I95" s="82"/>
      <x:c r="J95" s="82" t="str">
        <x:v>复合来源</x:v>
      </x:c>
      <x:c r="K95" s="68" t="str">
        <x:v>无明显净作用</x:v>
      </x:c>
      <x:c r="L95" s="68" t="str">
        <x:v>不护格也不破格</x:v>
      </x:c>
      <x:c r="M95" s="68" t="str">
        <x:v>非关键节点</x:v>
      </x:c>
      <x:c r="N95" s="68" t="str">
        <x:v>不显著改变双轴</x:v>
      </x:c>
      <x:c r="O95" s="68" t="str">
        <x:v>不对应主病或次病</x:v>
      </x:c>
      <x:c r="P95" s="68" t="str">
        <x:v>维持现状</x:v>
      </x:c>
      <x:c r="Q95" s="90" t="str">
        <x:v>无明显结构价值</x:v>
      </x:c>
      <x:c r="R95" s="68" t="str">
        <x:v>五维净作用接近零</x:v>
      </x:c>
      <x:c r="S95" s="68" t="str">
        <x:v>任一重要维度出现明确正负作用</x:v>
      </x:c>
      <x:c r="T95" s="68" t="str">
        <x:v>无</x:v>
      </x:c>
      <x:c r="U95" s="68"/>
      <x:c r="V95" s="84" t="str">
        <x:v>中性</x:v>
      </x:c>
      <x:c r="W95" s="82" t="str">
        <x:v>不采用</x:v>
      </x:c>
      <x:c r="X95" s="82" t="str">
        <x:v>否</x:v>
      </x:c>
      <x:c r="Y95" s="68" t="str">
        <x:v>只记录存在，不纳入主要用神喜忌</x:v>
      </x:c>
      <x:c r="Z95" s="84" t="str">
        <x:v>中性定义</x:v>
      </x:c>
      <x:c r="AA95" s="84" t="str">
        <x:v>该候选五行综合定位为“中性”，优先级为“不采用”。主要收益：维持现状；主要副作用：无明显结构价值；只记录存在，不纳入主要用神喜忌。</x:v>
      </x:c>
      <x:c r="AB95" s="82" t="str">
        <x:v>较高</x:v>
      </x:c>
      <x:c r="AC95" s="82" t="str">
        <x:v>现代综合</x:v>
      </x:c>
      <x:c r="AD95" s="68" t="str">
        <x:v>喜忌用神必须同时读取扶抑、格局、通关、调候和病药五个维度。单一维度有利不足以自动成为主用；最终定位取决于是否解决根本问题、是否触犯格局硬约束、药力是否可达以及副作用是否可控。</x:v>
      </x:c>
      <x:c r="AE95" s="68" t="str">
        <x:v>满足“五维净作用接近零”，且主要收益大于副作用时，可按“中性五行不进入主要喜忌与用神排序”定位。</x:v>
      </x:c>
      <x:c r="AF95" s="90" t="str">
        <x:v>若“任一重要维度出现明确正负作用”成立，则不得按“中性五行不进入主要喜忌与用神排序”无条件定位。</x:v>
      </x:c>
      <x:c r="AG95" s="82" t="str">
        <x:v>采用</x:v>
      </x:c>
      <x:c r="AH95" s="82" t="str">
        <x:v>初审</x:v>
      </x:c>
      <x:c r="AI95" s="87" t="n">
        <x:v>46260</x:v>
      </x:c>
    </x:row>
    <x:row r="96">
      <x:c r="A96" s="72" t="str">
        <x:f>IF(OR(C96="",D96=""),"",B96&amp;"-"&amp;UPPER(C96)&amp;"-"&amp;TEXT(D96,"0000")&amp;"-"&amp;E96)</x:f>
        <x:v>M17-RANK-0090-V1.0</x:v>
      </x:c>
      <x:c r="B96" s="74" t="str">
        <x:v>M17</x:v>
      </x:c>
      <x:c r="C96" s="74" t="str">
        <x:v>RANK</x:v>
      </x:c>
      <x:c r="D96" s="215" t="n">
        <x:v>90</x:v>
      </x:c>
      <x:c r="E96" s="74" t="str">
        <x:v>V1.0</x:v>
      </x:c>
      <x:c r="F96" s="68" t="str">
        <x:v>条件性忌神在特定情况下会加重主要矛盾</x:v>
      </x:c>
      <x:c r="G96" s="82" t="str">
        <x:v>综合层</x:v>
      </x:c>
      <x:c r="H96" s="82"/>
      <x:c r="I96" s="82"/>
      <x:c r="J96" s="82" t="str">
        <x:v>复合来源</x:v>
      </x:c>
      <x:c r="K96" s="68" t="str">
        <x:v>可能正向也可能负向</x:v>
      </x:c>
      <x:c r="L96" s="68" t="str">
        <x:v>可能在特定条件下破格</x:v>
      </x:c>
      <x:c r="M96" s="68" t="str">
        <x:v>可能截流或加剧对战</x:v>
      </x:c>
      <x:c r="N96" s="68" t="str">
        <x:v>可能推向极端</x:v>
      </x:c>
      <x:c r="O96" s="68" t="str">
        <x:v>可能由药转病</x:v>
      </x:c>
      <x:c r="P96" s="68" t="str">
        <x:v>在少数结构中仍可能有局部用途</x:v>
      </x:c>
      <x:c r="Q96" s="90" t="str">
        <x:v>条件触发时加重根本病或伤主用</x:v>
      </x:c>
      <x:c r="R96" s="68" t="str">
        <x:v>负面作用依赖特定强度、位置、格局或组合条件</x:v>
      </x:c>
      <x:c r="S96" s="68" t="str">
        <x:v>该五行始终稳定为害，应直接定忌</x:v>
      </x:c>
      <x:c r="T96" s="68" t="str">
        <x:v>正负条件切换</x:v>
      </x:c>
      <x:c r="U96" s="68" t="str">
        <x:v>M18-待建立</x:v>
      </x:c>
      <x:c r="V96" s="84" t="str">
        <x:v>条件性忌神</x:v>
      </x:c>
      <x:c r="W96" s="82" t="str">
        <x:v>不采用</x:v>
      </x:c>
      <x:c r="X96" s="82" t="str">
        <x:v>是</x:v>
      </x:c>
      <x:c r="Y96" s="68" t="str">
        <x:v>必须说明触发忌性的条件以及例外用途</x:v>
      </x:c>
      <x:c r="Z96" s="84" t="str">
        <x:v>条件性忌神定义</x:v>
      </x:c>
      <x:c r="AA96" s="84" t="str">
        <x:v>该候选五行综合定位为“条件性忌神”，优先级为“不采用”。主要收益：在少数结构中仍可能有局部用途；主要副作用：条件触发时加重根本病或伤主用；仅在必须说明触发忌性的条件以及例外用途时成立。</x:v>
      </x:c>
      <x:c r="AB96" s="82" t="str">
        <x:v>较高</x:v>
      </x:c>
      <x:c r="AC96" s="82" t="str">
        <x:v>现代综合</x:v>
      </x:c>
      <x:c r="AD96" s="68" t="str">
        <x:v>喜忌用神必须同时读取扶抑、格局、通关、调候和病药五个维度。单一维度有利不足以自动成为主用；最终定位取决于是否解决根本问题、是否触犯格局硬约束、药力是否可达以及副作用是否可控。</x:v>
      </x:c>
      <x:c r="AE96" s="68" t="str">
        <x:v>满足“负面作用依赖特定强度、位置、格局或组合条件”，且主要收益大于副作用时，可按“条件性忌神在特定情况下会加重主要矛盾”定位。</x:v>
      </x:c>
      <x:c r="AF96" s="90" t="str">
        <x:v>若“该五行始终稳定为害，应直接定忌”成立，则不得按“条件性忌神在特定情况下会加重主要矛盾”无条件定位。</x:v>
      </x:c>
      <x:c r="AG96" s="82" t="str">
        <x:v>采用</x:v>
      </x:c>
      <x:c r="AH96" s="82" t="str">
        <x:v>初审</x:v>
      </x:c>
      <x:c r="AI96" s="87" t="n">
        <x:v>46260</x:v>
      </x:c>
    </x:row>
    <x:row r="97">
      <x:c r="A97" s="72" t="str">
        <x:f>IF(OR(C97="",D97=""),"",B97&amp;"-"&amp;UPPER(C97)&amp;"-"&amp;TEXT(D97,"0000")&amp;"-"&amp;E97)</x:f>
        <x:v>M17-RANK-0091-V1.0</x:v>
      </x:c>
      <x:c r="B97" s="74" t="str">
        <x:v>M17</x:v>
      </x:c>
      <x:c r="C97" s="74" t="str">
        <x:v>RANK</x:v>
      </x:c>
      <x:c r="D97" s="215" t="n">
        <x:v>91</x:v>
      </x:c>
      <x:c r="E97" s="74" t="str">
        <x:v>V1.0</x:v>
      </x:c>
      <x:c r="F97" s="68" t="str">
        <x:v>忌神是稳定加重根本病或直接破坏核心结构的五行</x:v>
      </x:c>
      <x:c r="G97" s="82" t="str">
        <x:v>综合层</x:v>
      </x:c>
      <x:c r="H97" s="82"/>
      <x:c r="I97" s="82"/>
      <x:c r="J97" s="82" t="str">
        <x:v>复合来源</x:v>
      </x:c>
      <x:c r="K97" s="68" t="str">
        <x:v>明显负向或造成承载失衡</x:v>
      </x:c>
      <x:c r="L97" s="68" t="str">
        <x:v>破格、伤格或破坏特殊主势</x:v>
      </x:c>
      <x:c r="M97" s="68" t="str">
        <x:v>阻断主路径或加剧两强相战</x:v>
      </x:c>
      <x:c r="N97" s="68" t="str">
        <x:v>加重首要调候病</x:v>
      </x:c>
      <x:c r="O97" s="68" t="str">
        <x:v>加重根本病并削弱主药</x:v>
      </x:c>
      <x:c r="P97" s="68" t="str">
        <x:v>局部收益不足以抵消主要伤害</x:v>
      </x:c>
      <x:c r="Q97" s="90" t="str">
        <x:v>稳定扩大主要矛盾</x:v>
      </x:c>
      <x:c r="R97" s="68" t="str">
        <x:v>至少一个核心维度严重负向，且无更高价值正向功能</x:v>
      </x:c>
      <x:c r="S97" s="68" t="str">
        <x:v>只在特定条件下有害或仍承担不可替代格局功能</x:v>
      </x:c>
      <x:c r="T97" s="68" t="str">
        <x:v>负向主导</x:v>
      </x:c>
      <x:c r="U97" s="68" t="str">
        <x:v>M18-待建立</x:v>
      </x:c>
      <x:c r="V97" s="84" t="str">
        <x:v>忌神</x:v>
      </x:c>
      <x:c r="W97" s="82" t="str">
        <x:v>不采用</x:v>
      </x:c>
      <x:c r="X97" s="82" t="str">
        <x:v>否</x:v>
      </x:c>
      <x:c r="Y97" s="68" t="str">
        <x:v>明确其伤害对象、作用路径和严重度</x:v>
      </x:c>
      <x:c r="Z97" s="84" t="str">
        <x:v>忌神定义</x:v>
      </x:c>
      <x:c r="AA97" s="84" t="str">
        <x:v>该候选五行综合定位为“忌神”，优先级为“不采用”。主要收益：局部收益不足以抵消主要伤害；主要副作用：稳定扩大主要矛盾；明确其伤害对象、作用路径和严重度。</x:v>
      </x:c>
      <x:c r="AB97" s="82" t="str">
        <x:v>较高</x:v>
      </x:c>
      <x:c r="AC97" s="82" t="str">
        <x:v>现代综合</x:v>
      </x:c>
      <x:c r="AD97" s="68" t="str">
        <x:v>喜忌用神必须同时读取扶抑、格局、通关、调候和病药五个维度。单一维度有利不足以自动成为主用；最终定位取决于是否解决根本问题、是否触犯格局硬约束、药力是否可达以及副作用是否可控。</x:v>
      </x:c>
      <x:c r="AE97" s="68" t="str">
        <x:v>满足“至少一个核心维度严重负向，且无更高价值正向功能”，且主要收益大于副作用时，可按“忌神是稳定加重根本病或直接破坏核心结构的五行”定位。</x:v>
      </x:c>
      <x:c r="AF97" s="90" t="str">
        <x:v>若“只在特定条件下有害或仍承担不可替代格局功能”成立，则不得按“忌神是稳定加重根本病或直接破坏核心结构的五行”无条件定位。</x:v>
      </x:c>
      <x:c r="AG97" s="82" t="str">
        <x:v>采用</x:v>
      </x:c>
      <x:c r="AH97" s="82" t="str">
        <x:v>初审</x:v>
      </x:c>
      <x:c r="AI97" s="87" t="n">
        <x:v>46260</x:v>
      </x:c>
    </x:row>
    <x:row r="98">
      <x:c r="A98" s="72" t="str">
        <x:f>IF(OR(C98="",D98=""),"",B98&amp;"-"&amp;UPPER(C98)&amp;"-"&amp;TEXT(D98,"0000")&amp;"-"&amp;E98)</x:f>
        <x:v>M17-RANK-0092-V1.0</x:v>
      </x:c>
      <x:c r="B98" s="74" t="str">
        <x:v>M17</x:v>
      </x:c>
      <x:c r="C98" s="74" t="str">
        <x:v>RANK</x:v>
      </x:c>
      <x:c r="D98" s="215" t="n">
        <x:v>92</x:v>
      </x:c>
      <x:c r="E98" s="74" t="str">
        <x:v>V1.0</x:v>
      </x:c>
      <x:c r="F98" s="68" t="str">
        <x:v>仇神是生助忌神、克制主用或破坏救应的次级有害五行</x:v>
      </x:c>
      <x:c r="G98" s="82" t="str">
        <x:v>综合层</x:v>
      </x:c>
      <x:c r="H98" s="82"/>
      <x:c r="I98" s="82"/>
      <x:c r="J98" s="82" t="str">
        <x:v>复合来源</x:v>
      </x:c>
      <x:c r="K98" s="68" t="str">
        <x:v>间接加重负荷</x:v>
      </x:c>
      <x:c r="L98" s="68" t="str">
        <x:v>帮助破格神或克制护格神</x:v>
      </x:c>
      <x:c r="M98" s="68" t="str">
        <x:v>切断主用药路或生助卡点源头</x:v>
      </x:c>
      <x:c r="N98" s="68" t="str">
        <x:v>间接加重调候病</x:v>
      </x:c>
      <x:c r="O98" s="68" t="str">
        <x:v>制主药、坏辅助药或生助根本病</x:v>
      </x:c>
      <x:c r="P98" s="68" t="str">
        <x:v>通常没有独立重要正向价值</x:v>
      </x:c>
      <x:c r="Q98" s="90" t="str">
        <x:v>强化忌神并削弱用神</x:v>
      </x:c>
      <x:c r="R98" s="68" t="str">
        <x:v>其主要净作用是生忌、克用、坏药或阻救</x:v>
      </x:c>
      <x:c r="S98" s="68" t="str">
        <x:v>自身已经是直接根本病，应定忌而非仇</x:v>
      </x:c>
      <x:c r="T98" s="68" t="str">
        <x:v>间接有害链</x:v>
      </x:c>
      <x:c r="U98" s="68" t="str">
        <x:v>M18-待建立</x:v>
      </x:c>
      <x:c r="V98" s="84" t="str">
        <x:v>仇神</x:v>
      </x:c>
      <x:c r="W98" s="82" t="str">
        <x:v>不采用</x:v>
      </x:c>
      <x:c r="X98" s="82" t="str">
        <x:v>条件性</x:v>
      </x:c>
      <x:c r="Y98" s="68" t="str">
        <x:v>必须明确其通过哪条生克链助忌伤用</x:v>
      </x:c>
      <x:c r="Z98" s="84" t="str">
        <x:v>仇神定义</x:v>
      </x:c>
      <x:c r="AA98" s="84" t="str">
        <x:v>该候选五行综合定位为“仇神”，优先级为“不采用”。主要收益：通常没有独立重要正向价值；主要副作用：强化忌神并削弱用神；仅在必须明确其通过哪条生克链助忌伤用时成立。</x:v>
      </x:c>
      <x:c r="AB98" s="82" t="str">
        <x:v>较高</x:v>
      </x:c>
      <x:c r="AC98" s="82" t="str">
        <x:v>现代综合</x:v>
      </x:c>
      <x:c r="AD98" s="68" t="str">
        <x:v>喜忌用神必须同时读取扶抑、格局、通关、调候和病药五个维度。单一维度有利不足以自动成为主用；最终定位取决于是否解决根本问题、是否触犯格局硬约束、药力是否可达以及副作用是否可控。</x:v>
      </x:c>
      <x:c r="AE98" s="68" t="str">
        <x:v>满足“其主要净作用是生忌、克用、坏药或阻救”，且主要收益大于副作用时，可按“仇神是生助忌神、克制主用或破坏救应的次级有害五行”定位。</x:v>
      </x:c>
      <x:c r="AF98" s="90" t="str">
        <x:v>若“自身已经是直接根本病，应定忌而非仇”成立，则不得按“仇神是生助忌神、克制主用或破坏救应的次级有害五行”无条件定位。</x:v>
      </x:c>
      <x:c r="AG98" s="82" t="str">
        <x:v>采用</x:v>
      </x:c>
      <x:c r="AH98" s="82" t="str">
        <x:v>初审</x:v>
      </x:c>
      <x:c r="AI98" s="87" t="n">
        <x:v>46260</x:v>
      </x:c>
    </x:row>
    <x:row r="99">
      <x:c r="A99" s="72" t="str">
        <x:f>IF(OR(C99="",D99=""),"",B99&amp;"-"&amp;UPPER(C99)&amp;"-"&amp;TEXT(D99,"0000")&amp;"-"&amp;E99)</x:f>
        <x:v>M17-BOUND-0093-V1.0</x:v>
      </x:c>
      <x:c r="B99" s="74" t="str">
        <x:v>M17</x:v>
      </x:c>
      <x:c r="C99" s="74" t="str">
        <x:v>BOUND</x:v>
      </x:c>
      <x:c r="D99" s="215" t="n">
        <x:v>93</x:v>
      </x:c>
      <x:c r="E99" s="74" t="str">
        <x:v>V1.0</x:v>
      </x:c>
      <x:c r="F99" s="68" t="str">
        <x:v>五行旺衰与喜忌定位必须分离</x:v>
      </x:c>
      <x:c r="G99" s="82" t="str">
        <x:v>综合层</x:v>
      </x:c>
      <x:c r="H99" s="82"/>
      <x:c r="I99" s="82"/>
      <x:c r="J99" s="82" t="str">
        <x:v>复合来源</x:v>
      </x:c>
      <x:c r="K99" s="68" t="str">
        <x:v>旺弱只是力量事实</x:v>
      </x:c>
      <x:c r="L99" s="68" t="str">
        <x:v>喜忌取决于格局功能</x:v>
      </x:c>
      <x:c r="M99" s="68" t="str">
        <x:v>取决于路径角色</x:v>
      </x:c>
      <x:c r="N99" s="68" t="str">
        <x:v>取决于双轴影响</x:v>
      </x:c>
      <x:c r="O99" s="68" t="str">
        <x:v>取决于是否治病或成病</x:v>
      </x:c>
      <x:c r="P99" s="68" t="str">
        <x:v>防止见旺即忌、见弱即喜</x:v>
      </x:c>
      <x:c r="Q99" s="90" t="str">
        <x:v>无</x:v>
      </x:c>
      <x:c r="R99" s="68" t="str">
        <x:v>任何五行进入M17评估</x:v>
      </x:c>
      <x:c r="S99" s="68" t="str">
        <x:v>无</x:v>
      </x:c>
      <x:c r="T99" s="68" t="str">
        <x:v>无</x:v>
      </x:c>
      <x:c r="U99" s="68"/>
      <x:c r="V99" s="84" t="str">
        <x:v>待定</x:v>
      </x:c>
      <x:c r="W99" s="82" t="str">
        <x:v>待定</x:v>
      </x:c>
      <x:c r="X99" s="82" t="str">
        <x:v>待定</x:v>
      </x:c>
      <x:c r="Y99" s="68" t="str">
        <x:v>先判力量和功能，再判价值</x:v>
      </x:c>
      <x:c r="Z99" s="84" t="str">
        <x:v>旺衰喜忌分离</x:v>
      </x:c>
      <x:c r="AA99" s="84" t="str">
        <x:v>五行旺弱不直接决定喜忌；必须通过五维矩阵判断其净作用。</x:v>
      </x:c>
      <x:c r="AB99" s="82" t="str">
        <x:v>较高</x:v>
      </x:c>
      <x:c r="AC99" s="82" t="str">
        <x:v>现代综合</x:v>
      </x:c>
      <x:c r="AD99" s="68" t="str">
        <x:v>喜忌用神必须同时读取扶抑、格局、通关、调候和病药五个维度。单一维度有利不足以自动成为主用；最终定位取决于是否解决根本问题、是否触犯格局硬约束、药力是否可达以及副作用是否可控。</x:v>
      </x:c>
      <x:c r="AE99" s="68" t="str">
        <x:v>满足“任何五行进入M17评估”，且主要收益大于副作用时，可按“五行旺衰与喜忌定位必须分离”定位。</x:v>
      </x:c>
      <x:c r="AF99" s="90" t="str">
        <x:v>若“无”成立，则不得按“五行旺衰与喜忌定位必须分离”无条件定位。</x:v>
      </x:c>
      <x:c r="AG99" s="82" t="str">
        <x:v>采用</x:v>
      </x:c>
      <x:c r="AH99" s="82" t="str">
        <x:v>初审</x:v>
      </x:c>
      <x:c r="AI99" s="87" t="n">
        <x:v>46260</x:v>
      </x:c>
    </x:row>
    <x:row r="100">
      <x:c r="A100" s="72" t="str">
        <x:f>IF(OR(C100="",D100=""),"",B100&amp;"-"&amp;UPPER(C100)&amp;"-"&amp;TEXT(D100,"0000")&amp;"-"&amp;E100)</x:f>
        <x:v>M17-BOUND-0094-V1.0</x:v>
      </x:c>
      <x:c r="B100" s="74" t="str">
        <x:v>M17</x:v>
      </x:c>
      <x:c r="C100" s="74" t="str">
        <x:v>BOUND</x:v>
      </x:c>
      <x:c r="D100" s="215" t="n">
        <x:v>94</x:v>
      </x:c>
      <x:c r="E100" s="74" t="str">
        <x:v>V1.0</x:v>
      </x:c>
      <x:c r="F100" s="68" t="str">
        <x:v>五行缺失与用神需求必须分离</x:v>
      </x:c>
      <x:c r="G100" s="82" t="str">
        <x:v>综合层</x:v>
      </x:c>
      <x:c r="H100" s="82"/>
      <x:c r="I100" s="82"/>
      <x:c r="J100" s="82" t="str">
        <x:v>复合来源</x:v>
      </x:c>
      <x:c r="K100" s="68" t="str">
        <x:v>缺失不代表需要扶</x:v>
      </x:c>
      <x:c r="L100" s="68" t="str">
        <x:v>缺失不代表格局缺神</x:v>
      </x:c>
      <x:c r="M100" s="68" t="str">
        <x:v>只有关键缺桥才有通关需求</x:v>
      </x:c>
      <x:c r="N100" s="68" t="str">
        <x:v>只有气候病才有调候需求</x:v>
      </x:c>
      <x:c r="O100" s="68" t="str">
        <x:v>只有实际病位才有药神需求</x:v>
      </x:c>
      <x:c r="P100" s="68" t="str">
        <x:v>防止缺什么补什么</x:v>
      </x:c>
      <x:c r="Q100" s="90" t="str">
        <x:v>补入无关五行可能破格成病</x:v>
      </x:c>
      <x:c r="R100" s="68" t="str">
        <x:v>发现某五行完全不现</x:v>
      </x:c>
      <x:c r="S100" s="68" t="str">
        <x:v>M12/M13/M16已证明该五行确为不可替代药神</x:v>
      </x:c>
      <x:c r="T100" s="68" t="str">
        <x:v>无</x:v>
      </x:c>
      <x:c r="U100" s="68"/>
      <x:c r="V100" s="84" t="str">
        <x:v>中性</x:v>
      </x:c>
      <x:c r="W100" s="82" t="str">
        <x:v>不采用</x:v>
      </x:c>
      <x:c r="X100" s="82" t="str">
        <x:v>否</x:v>
      </x:c>
      <x:c r="Y100" s="68" t="str">
        <x:v>缺失只记录事实，不自动进入喜用排序</x:v>
      </x:c>
      <x:c r="Z100" s="84" t="str">
        <x:v>缺失用神分离</x:v>
      </x:c>
      <x:c r="AA100" s="84" t="str">
        <x:v>该候选五行综合定位为“中性”，优先级为“不采用”。主要收益：防止缺什么补什么；主要副作用：补入无关五行可能破格成病；缺失只记录事实，不自动进入喜用排序。</x:v>
      </x:c>
      <x:c r="AB100" s="82" t="str">
        <x:v>较高</x:v>
      </x:c>
      <x:c r="AC100" s="82" t="str">
        <x:v>现代综合</x:v>
      </x:c>
      <x:c r="AD100" s="68" t="str">
        <x:v>喜忌用神必须同时读取扶抑、格局、通关、调候和病药五个维度。单一维度有利不足以自动成为主用；最终定位取决于是否解决根本问题、是否触犯格局硬约束、药力是否可达以及副作用是否可控。</x:v>
      </x:c>
      <x:c r="AE100" s="68" t="str">
        <x:v>满足“发现某五行完全不现”，且主要收益大于副作用时，可按“五行缺失与用神需求必须分离”定位。</x:v>
      </x:c>
      <x:c r="AF100" s="90" t="str">
        <x:v>若“M12/M13/M16已证明该五行确为不可替代药神”成立，则不得按“五行缺失与用神需求必须分离”无条件定位。</x:v>
      </x:c>
      <x:c r="AG100" s="82" t="str">
        <x:v>采用</x:v>
      </x:c>
      <x:c r="AH100" s="82" t="str">
        <x:v>初审</x:v>
      </x:c>
      <x:c r="AI100" s="87" t="n">
        <x:v>46260</x:v>
      </x:c>
    </x:row>
    <x:row r="101">
      <x:c r="A101" s="72" t="str">
        <x:f>IF(OR(C101="",D101=""),"",B101&amp;"-"&amp;UPPER(C101)&amp;"-"&amp;TEXT(D101,"0000")&amp;"-"&amp;E101)</x:f>
        <x:v>M17-BOUND-0095-V1.0</x:v>
      </x:c>
      <x:c r="B101" s="74" t="str">
        <x:v>M17</x:v>
      </x:c>
      <x:c r="C101" s="74" t="str">
        <x:v>BOUND</x:v>
      </x:c>
      <x:c r="D101" s="215" t="n">
        <x:v>95</x:v>
      </x:c>
      <x:c r="E101" s="74" t="str">
        <x:v>V1.0</x:v>
      </x:c>
      <x:c r="F101" s="68" t="str">
        <x:v>候选五行对应十神必须随日主重新映射</x:v>
      </x:c>
      <x:c r="G101" s="82" t="str">
        <x:v>综合层</x:v>
      </x:c>
      <x:c r="H101" s="82"/>
      <x:c r="I101" s="82"/>
      <x:c r="J101" s="82" t="str">
        <x:v>复合来源</x:v>
      </x:c>
      <x:c r="K101" s="68" t="str">
        <x:v>同一五行对不同日主可为不同十神</x:v>
      </x:c>
      <x:c r="L101" s="68" t="str">
        <x:v>格局角色随日主改变</x:v>
      </x:c>
      <x:c r="M101" s="68" t="str">
        <x:v>五行路径稳定但十神含义改变</x:v>
      </x:c>
      <x:c r="N101" s="68" t="str">
        <x:v>五行调候属性相对稳定</x:v>
      </x:c>
      <x:c r="O101" s="68" t="str">
        <x:v>药神的十神副作用随日主改变</x:v>
      </x:c>
      <x:c r="P101" s="68" t="str">
        <x:v>防止给五行贴固定十神标签</x:v>
      </x:c>
      <x:c r="Q101" s="90" t="str">
        <x:v>误映射会导致扶抑和格局结论相反</x:v>
      </x:c>
      <x:c r="R101" s="68" t="str">
        <x:v>把木火土金水转换为十神评价时</x:v>
      </x:c>
      <x:c r="S101" s="68" t="str">
        <x:v>无</x:v>
      </x:c>
      <x:c r="T101" s="68" t="str">
        <x:v>五行功能与十神功能双层映射</x:v>
      </x:c>
      <x:c r="U101" s="68"/>
      <x:c r="V101" s="84" t="str">
        <x:v>待定</x:v>
      </x:c>
      <x:c r="W101" s="82" t="str">
        <x:v>待定</x:v>
      </x:c>
      <x:c r="X101" s="82" t="str">
        <x:v>待定</x:v>
      </x:c>
      <x:c r="Y101" s="68" t="str">
        <x:v>必须先确定日主阴阳与生克关系</x:v>
      </x:c>
      <x:c r="Z101" s="84" t="str">
        <x:v>五行十神相对映射</x:v>
      </x:c>
      <x:c r="AA101" s="84" t="str">
        <x:v>M17的“候选五行”与“对应十神”必须按具体日主映射，不能固定绑定。</x:v>
      </x:c>
      <x:c r="AB101" s="82" t="str">
        <x:v>较高</x:v>
      </x:c>
      <x:c r="AC101" s="82" t="str">
        <x:v>现代综合</x:v>
      </x:c>
      <x:c r="AD101" s="68" t="str">
        <x:v>喜忌用神必须同时读取扶抑、格局、通关、调候和病药五个维度。单一维度有利不足以自动成为主用；最终定位取决于是否解决根本问题、是否触犯格局硬约束、药力是否可达以及副作用是否可控。</x:v>
      </x:c>
      <x:c r="AE101" s="68" t="str">
        <x:v>满足“把木火土金水转换为十神评价时”，且主要收益大于副作用时，可按“候选五行对应十神必须随日主重新映射”定位。</x:v>
      </x:c>
      <x:c r="AF101" s="90" t="str">
        <x:v>若“无”成立，则不得按“候选五行对应十神必须随日主重新映射”无条件定位。</x:v>
      </x:c>
      <x:c r="AG101" s="82" t="str">
        <x:v>采用</x:v>
      </x:c>
      <x:c r="AH101" s="82" t="str">
        <x:v>初审</x:v>
      </x:c>
      <x:c r="AI101" s="87" t="n">
        <x:v>46260</x:v>
      </x:c>
    </x:row>
    <x:row r="102">
      <x:c r="A102" s="72" t="str">
        <x:f>IF(OR(C102="",D102=""),"",B102&amp;"-"&amp;UPPER(C102)&amp;"-"&amp;TEXT(D102,"0000")&amp;"-"&amp;E102)</x:f>
        <x:v>M17-BOUND-0096-V1.0</x:v>
      </x:c>
      <x:c r="B102" s="74" t="str">
        <x:v>M17</x:v>
      </x:c>
      <x:c r="C102" s="74" t="str">
        <x:v>BOUND</x:v>
      </x:c>
      <x:c r="D102" s="215" t="n">
        <x:v>96</x:v>
      </x:c>
      <x:c r="E102" s="74" t="str">
        <x:v>V1.0</x:v>
      </x:c>
      <x:c r="F102" s="68" t="str">
        <x:v>同一五行可以同时有收益与副作用，最终取净定位</x:v>
      </x:c>
      <x:c r="G102" s="82" t="str">
        <x:v>综合层</x:v>
      </x:c>
      <x:c r="H102" s="82"/>
      <x:c r="I102" s="82"/>
      <x:c r="J102" s="82" t="str">
        <x:v>复合来源</x:v>
      </x:c>
      <x:c r="K102" s="68" t="str">
        <x:v>可能正负并存</x:v>
      </x:c>
      <x:c r="L102" s="68" t="str">
        <x:v>可能护一格而伤另一结构</x:v>
      </x:c>
      <x:c r="M102" s="68" t="str">
        <x:v>可能通一处而堵另一处</x:v>
      </x:c>
      <x:c r="N102" s="68" t="str">
        <x:v>可能改善一轴而恶化另一轴</x:v>
      </x:c>
      <x:c r="O102" s="68" t="str">
        <x:v>可能治一病而生一病</x:v>
      </x:c>
      <x:c r="P102" s="68" t="str">
        <x:v>完整保留多重功能</x:v>
      </x:c>
      <x:c r="Q102" s="90" t="str">
        <x:v>不能因一个正向标签忽略其他伤害</x:v>
      </x:c>
      <x:c r="R102" s="68" t="str">
        <x:v>同一五行参与多个路径或模块</x:v>
      </x:c>
      <x:c r="S102" s="68" t="str">
        <x:v>作用单一且无冲突</x:v>
      </x:c>
      <x:c r="T102" s="68" t="str">
        <x:v>多维净收益</x:v>
      </x:c>
      <x:c r="U102" s="68" t="str">
        <x:v>M18-待建立</x:v>
      </x:c>
      <x:c r="V102" s="84" t="str">
        <x:v>待定</x:v>
      </x:c>
      <x:c r="W102" s="82" t="str">
        <x:v>待定</x:v>
      </x:c>
      <x:c r="X102" s="82" t="str">
        <x:v>待定</x:v>
      </x:c>
      <x:c r="Y102" s="68" t="str">
        <x:v>最终按根本病、硬约束和副作用确定净定位</x:v>
      </x:c>
      <x:c r="Z102" s="84" t="str">
        <x:v>一行多效净定位</x:v>
      </x:c>
      <x:c r="AA102" s="84" t="str">
        <x:v>该候选五行综合定位为“待定”，优先级为“待定”。主要收益：完整保留多重功能；主要副作用：不能因一个正向标签忽略其他伤害；最终按根本病、硬约束和副作用确定净定位。</x:v>
      </x:c>
      <x:c r="AB102" s="82" t="str">
        <x:v>较高</x:v>
      </x:c>
      <x:c r="AC102" s="82" t="str">
        <x:v>现代综合</x:v>
      </x:c>
      <x:c r="AD102" s="68" t="str">
        <x:v>喜忌用神必须同时读取扶抑、格局、通关、调候和病药五个维度。单一维度有利不足以自动成为主用；最终定位取决于是否解决根本问题、是否触犯格局硬约束、药力是否可达以及副作用是否可控。</x:v>
      </x:c>
      <x:c r="AE102" s="68" t="str">
        <x:v>满足“同一五行参与多个路径或模块”，且主要收益大于副作用时，可按“同一五行可以同时有收益与副作用，最终取净定位”定位。</x:v>
      </x:c>
      <x:c r="AF102" s="90" t="str">
        <x:v>若“作用单一且无冲突”成立，则不得按“同一五行可以同时有收益与副作用，最终取净定位”无条件定位。</x:v>
      </x:c>
      <x:c r="AG102" s="82" t="str">
        <x:v>采用</x:v>
      </x:c>
      <x:c r="AH102" s="82" t="str">
        <x:v>初审</x:v>
      </x:c>
      <x:c r="AI102" s="87" t="n">
        <x:v>46260</x:v>
      </x:c>
    </x:row>
    <x:row r="103">
      <x:c r="A103" s="72" t="str">
        <x:f>IF(OR(C103="",D103=""),"",B103&amp;"-"&amp;UPPER(C103)&amp;"-"&amp;TEXT(D103,"0000")&amp;"-"&amp;E103)</x:f>
        <x:v>M17-BOUND-0097-V1.0</x:v>
      </x:c>
      <x:c r="B103" s="74" t="str">
        <x:v>M17</x:v>
      </x:c>
      <x:c r="C103" s="74" t="str">
        <x:v>BOUND</x:v>
      </x:c>
      <x:c r="D103" s="215" t="n">
        <x:v>97</x:v>
      </x:c>
      <x:c r="E103" s="74" t="str">
        <x:v>V1.0</x:v>
      </x:c>
      <x:c r="F103" s="68" t="str">
        <x:v>喜用神结论不直接等同现实中的物质补充建议</x:v>
      </x:c>
      <x:c r="G103" s="82" t="str">
        <x:v>综合层</x:v>
      </x:c>
      <x:c r="H103" s="82"/>
      <x:c r="I103" s="82"/>
      <x:c r="J103" s="82" t="str">
        <x:v>复合来源</x:v>
      </x:c>
      <x:c r="K103" s="68" t="str">
        <x:v>结构层用神</x:v>
      </x:c>
      <x:c r="L103" s="68" t="str">
        <x:v>结构层用神</x:v>
      </x:c>
      <x:c r="M103" s="68" t="str">
        <x:v>结构层通关</x:v>
      </x:c>
      <x:c r="N103" s="68" t="str">
        <x:v>结构层调候</x:v>
      </x:c>
      <x:c r="O103" s="68" t="str">
        <x:v>结构层病药</x:v>
      </x:c>
      <x:c r="P103" s="68" t="str">
        <x:v>明确知识库结论边界</x:v>
      </x:c>
      <x:c r="Q103" s="90" t="str">
        <x:v>机械对应颜色、方位、行业或物品可能脱离结构条件</x:v>
      </x:c>
      <x:c r="R103" s="68" t="str">
        <x:v>M17完成喜忌用神定位</x:v>
      </x:c>
      <x:c r="S103" s="68" t="str">
        <x:v>上层应用另有经过验证的转化规则</x:v>
      </x:c>
      <x:c r="T103" s="68" t="str">
        <x:v>应用层边界</x:v>
      </x:c>
      <x:c r="U103" s="68"/>
      <x:c r="V103" s="84" t="str">
        <x:v>待定</x:v>
      </x:c>
      <x:c r="W103" s="82" t="str">
        <x:v>待定</x:v>
      </x:c>
      <x:c r="X103" s="82" t="str">
        <x:v>待定</x:v>
      </x:c>
      <x:c r="Y103" s="68" t="str">
        <x:v>M17只给结构性五行价值，不自动生成生活化补救方案</x:v>
      </x:c>
      <x:c r="Z103" s="84" t="str">
        <x:v>用神应用边界</x:v>
      </x:c>
      <x:c r="AA103" s="84" t="str">
        <x:v>喜用神是命局结构中的作用方向，不自动等同于佩戴、颜色、方位、行业或物质补充建议。</x:v>
      </x:c>
      <x:c r="AB103" s="82" t="str">
        <x:v>较高</x:v>
      </x:c>
      <x:c r="AC103" s="82" t="str">
        <x:v>现代综合</x:v>
      </x:c>
      <x:c r="AD103" s="68" t="str">
        <x:v>喜忌用神必须同时读取扶抑、格局、通关、调候和病药五个维度。单一维度有利不足以自动成为主用；最终定位取决于是否解决根本问题、是否触犯格局硬约束、药力是否可达以及副作用是否可控。</x:v>
      </x:c>
      <x:c r="AE103" s="68" t="str">
        <x:v>满足“M17完成喜忌用神定位”，且主要收益大于副作用时，可按“喜用神结论不直接等同现实中的物质补充建议”定位。</x:v>
      </x:c>
      <x:c r="AF103" s="90" t="str">
        <x:v>若“上层应用另有经过验证的转化规则”成立，则不得按“喜用神结论不直接等同现实中的物质补充建议”无条件定位。</x:v>
      </x:c>
      <x:c r="AG103" s="82" t="str">
        <x:v>采用</x:v>
      </x:c>
      <x:c r="AH103" s="82" t="str">
        <x:v>初审</x:v>
      </x:c>
      <x:c r="AI103" s="87" t="n">
        <x:v>46260</x:v>
      </x:c>
    </x:row>
    <x:row r="104">
      <x:c r="A104" s="72" t="str">
        <x:f>IF(OR(C104="",D104=""),"",B104&amp;"-"&amp;UPPER(C104)&amp;"-"&amp;TEXT(D104,"0000")&amp;"-"&amp;E104)</x:f>
        <x:v>M17-BOUND-0098-V1.0</x:v>
      </x:c>
      <x:c r="B104" s="74" t="str">
        <x:v>M17</x:v>
      </x:c>
      <x:c r="C104" s="74" t="str">
        <x:v>BOUND</x:v>
      </x:c>
      <x:c r="D104" s="215" t="n">
        <x:v>98</x:v>
      </x:c>
      <x:c r="E104" s="74" t="str">
        <x:v>V1.0</x:v>
      </x:c>
      <x:c r="F104" s="68" t="str">
        <x:v>原局喜忌与岁运中的实际吉凶必须分开</x:v>
      </x:c>
      <x:c r="G104" s="82" t="str">
        <x:v>综合层</x:v>
      </x:c>
      <x:c r="H104" s="82"/>
      <x:c r="I104" s="82"/>
      <x:c r="J104" s="82" t="str">
        <x:v>复合来源</x:v>
      </x:c>
      <x:c r="K104" s="68" t="str">
        <x:v>原局静态价值</x:v>
      </x:c>
      <x:c r="L104" s="68" t="str">
        <x:v>原局格局需求</x:v>
      </x:c>
      <x:c r="M104" s="68" t="str">
        <x:v>原局路径需求</x:v>
      </x:c>
      <x:c r="N104" s="68" t="str">
        <x:v>原局调候需求</x:v>
      </x:c>
      <x:c r="O104" s="68" t="str">
        <x:v>原局病药需求</x:v>
      </x:c>
      <x:c r="P104" s="68" t="str">
        <x:v>建立动态模型的稳定基准</x:v>
      </x:c>
      <x:c r="Q104" s="90" t="str">
        <x:v>岁运引动后作用强度和条件会变化</x:v>
      </x:c>
      <x:c r="R104" s="68" t="str">
        <x:v>M17判断原局木火土金水喜忌</x:v>
      </x:c>
      <x:c r="S104" s="68" t="str">
        <x:v>具体大运流年吉凶和事件判断</x:v>
      </x:c>
      <x:c r="T104" s="68" t="str">
        <x:v>静态与动态边界</x:v>
      </x:c>
      <x:c r="U104" s="68"/>
      <x:c r="V104" s="84" t="str">
        <x:v>待定</x:v>
      </x:c>
      <x:c r="W104" s="82" t="str">
        <x:v>待定</x:v>
      </x:c>
      <x:c r="X104" s="82" t="str">
        <x:v>待定</x:v>
      </x:c>
      <x:c r="Y104" s="68" t="str">
        <x:v>岁运作用由D0动态引擎重新计算</x:v>
      </x:c>
      <x:c r="Z104" s="84" t="str">
        <x:v>喜忌静动态边界</x:v>
      </x:c>
      <x:c r="AA104" s="84" t="str">
        <x:v>M17只判断原局静态喜忌；某五行在具体岁运中是否吉利，需结合引动方式、强度和原局承载重新判断。</x:v>
      </x:c>
      <x:c r="AB104" s="82" t="str">
        <x:v>较高</x:v>
      </x:c>
      <x:c r="AC104" s="82" t="str">
        <x:v>现代综合</x:v>
      </x:c>
      <x:c r="AD104" s="68" t="str">
        <x:v>喜忌用神必须同时读取扶抑、格局、通关、调候和病药五个维度。单一维度有利不足以自动成为主用；最终定位取决于是否解决根本问题、是否触犯格局硬约束、药力是否可达以及副作用是否可控。</x:v>
      </x:c>
      <x:c r="AE104" s="68" t="str">
        <x:v>满足“M17判断原局木火土金水喜忌”，且主要收益大于副作用时，可按“原局喜忌与岁运中的实际吉凶必须分开”定位。</x:v>
      </x:c>
      <x:c r="AF104" s="90" t="str">
        <x:v>若“具体大运流年吉凶和事件判断”成立，则不得按“原局喜忌与岁运中的实际吉凶必须分开”无条件定位。</x:v>
      </x:c>
      <x:c r="AG104" s="82" t="str">
        <x:v>采用</x:v>
      </x:c>
      <x:c r="AH104" s="82" t="str">
        <x:v>初审</x:v>
      </x:c>
      <x:c r="AI104" s="87" t="n">
        <x:v>46260</x:v>
      </x:c>
    </x:row>
    <x:row r="105">
      <x:c r="A105" s="72" t="str">
        <x:f>IF(OR(C105="",D105=""),"",B105&amp;"-"&amp;UPPER(C105)&amp;"-"&amp;TEXT(D105,"0000")&amp;"-"&amp;E105)</x:f>
        <x:v>M17-BOUND-0099-V1.0</x:v>
      </x:c>
      <x:c r="B105" s="74" t="str">
        <x:v>M17</x:v>
      </x:c>
      <x:c r="C105" s="74" t="str">
        <x:v>BOUND</x:v>
      </x:c>
      <x:c r="D105" s="215" t="n">
        <x:v>99</x:v>
      </x:c>
      <x:c r="E105" s="74" t="str">
        <x:v>V1.0</x:v>
      </x:c>
      <x:c r="F105" s="68" t="str">
        <x:v>用神喜忌不能直接推出财富婚姻职业健康事件</x:v>
      </x:c>
      <x:c r="G105" s="82" t="str">
        <x:v>综合层</x:v>
      </x:c>
      <x:c r="H105" s="82"/>
      <x:c r="I105" s="82"/>
      <x:c r="J105" s="82" t="str">
        <x:v>复合来源</x:v>
      </x:c>
      <x:c r="K105" s="68" t="str">
        <x:v>结构结论</x:v>
      </x:c>
      <x:c r="L105" s="68" t="str">
        <x:v>结构结论</x:v>
      </x:c>
      <x:c r="M105" s="68" t="str">
        <x:v>结构结论</x:v>
      </x:c>
      <x:c r="N105" s="68" t="str">
        <x:v>结构结论</x:v>
      </x:c>
      <x:c r="O105" s="68" t="str">
        <x:v>结构结论</x:v>
      </x:c>
      <x:c r="P105" s="68" t="str">
        <x:v>保持底层模型与上层主题模型分离</x:v>
      </x:c>
      <x:c r="Q105" s="90" t="str">
        <x:v>越级断事会忽略宫位、岁运和主题规则</x:v>
      </x:c>
      <x:c r="R105" s="68" t="str">
        <x:v>M17完成最终用神排序</x:v>
      </x:c>
      <x:c r="S105" s="68" t="str">
        <x:v>上层模型读取M17后进行主题化分析</x:v>
      </x:c>
      <x:c r="T105" s="68" t="str">
        <x:v>输出层级边界</x:v>
      </x:c>
      <x:c r="U105" s="68"/>
      <x:c r="V105" s="84" t="str">
        <x:v>待定</x:v>
      </x:c>
      <x:c r="W105" s="82" t="str">
        <x:v>待定</x:v>
      </x:c>
      <x:c r="X105" s="82" t="str">
        <x:v>待定</x:v>
      </x:c>
      <x:c r="Y105" s="68" t="str">
        <x:v>只输出结构价值和成立条件</x:v>
      </x:c>
      <x:c r="Z105" s="84" t="str">
        <x:v>用神事件边界</x:v>
      </x:c>
      <x:c r="AA105" s="84" t="str">
        <x:v>M17不得直接由喜木、忌火等结论推出财富、婚恋、职业、疾病或具体人生事件。</x:v>
      </x:c>
      <x:c r="AB105" s="82" t="str">
        <x:v>较高</x:v>
      </x:c>
      <x:c r="AC105" s="82" t="str">
        <x:v>现代综合</x:v>
      </x:c>
      <x:c r="AD105" s="68" t="str">
        <x:v>喜忌用神必须同时读取扶抑、格局、通关、调候和病药五个维度。单一维度有利不足以自动成为主用；最终定位取决于是否解决根本问题、是否触犯格局硬约束、药力是否可达以及副作用是否可控。</x:v>
      </x:c>
      <x:c r="AE105" s="68" t="str">
        <x:v>满足“M17完成最终用神排序”，且主要收益大于副作用时，可按“用神喜忌不能直接推出财富婚姻职业健康事件”定位。</x:v>
      </x:c>
      <x:c r="AF105" s="90" t="str">
        <x:v>若“上层模型读取M17后进行主题化分析”成立，则不得按“用神喜忌不能直接推出财富婚姻职业健康事件”无条件定位。</x:v>
      </x:c>
      <x:c r="AG105" s="82" t="str">
        <x:v>采用</x:v>
      </x:c>
      <x:c r="AH105" s="82" t="str">
        <x:v>初审</x:v>
      </x:c>
      <x:c r="AI105" s="87" t="n">
        <x:v>46260</x:v>
      </x:c>
    </x:row>
    <x:row r="106">
      <x:c r="A106" s="214" t="str">
        <x:f>IF(OR(C106="",D106=""),"",B106&amp;"-"&amp;UPPER(C106)&amp;"-"&amp;TEXT(D106,"0000")&amp;"-"&amp;E106)</x:f>
        <x:v>M17-BOUND-0100-V1.0</x:v>
      </x:c>
      <x:c r="B106" s="214" t="str">
        <x:v>M17</x:v>
      </x:c>
      <x:c r="C106" s="214" t="str">
        <x:v>BOUND</x:v>
      </x:c>
      <x:c r="D106" s="216" t="n">
        <x:v>100</x:v>
      </x:c>
      <x:c r="E106" s="214" t="str">
        <x:v>V1.0</x:v>
      </x:c>
      <x:c r="F106" s="214" t="str">
        <x:v>M17标准输出必须给出五行全表和主次依据</x:v>
      </x:c>
      <x:c r="G106" s="214" t="str">
        <x:v>综合层</x:v>
      </x:c>
      <x:c r="H106" s="214"/>
      <x:c r="I106" s="214"/>
      <x:c r="J106" s="214" t="str">
        <x:v>复合来源</x:v>
      </x:c>
      <x:c r="K106" s="214" t="str">
        <x:v>逐五行记录</x:v>
      </x:c>
      <x:c r="L106" s="214" t="str">
        <x:v>逐五行记录</x:v>
      </x:c>
      <x:c r="M106" s="214" t="str">
        <x:v>逐五行记录</x:v>
      </x:c>
      <x:c r="N106" s="214" t="str">
        <x:v>逐五行记录</x:v>
      </x:c>
      <x:c r="O106" s="214" t="str">
        <x:v>逐五行记录</x:v>
      </x:c>
      <x:c r="P106" s="214" t="str">
        <x:v>形成可审计的最终用神矩阵</x:v>
      </x:c>
      <x:c r="Q106" s="214" t="str">
        <x:v>若只输出一两个五行会丢失反证和条件</x:v>
      </x:c>
      <x:c r="R106" s="214" t="str">
        <x:v>完成木火土金水五维评估</x:v>
      </x:c>
      <x:c r="S106" s="214" t="str">
        <x:v>无</x:v>
      </x:c>
      <x:c r="T106" s="214" t="str">
        <x:v>最终冲突转M18</x:v>
      </x:c>
      <x:c r="U106" s="214" t="str">
        <x:v>M18-待建立</x:v>
      </x:c>
      <x:c r="V106" s="214" t="str">
        <x:v>待定</x:v>
      </x:c>
      <x:c r="W106" s="214" t="str">
        <x:v>待定</x:v>
      </x:c>
      <x:c r="X106" s="214" t="str">
        <x:v>待定</x:v>
      </x:c>
      <x:c r="Y106" s="214" t="str">
        <x:v>输出主用、辅助、喜、条件性喜、中性、条件性忌、忌、仇及待定项</x:v>
      </x:c>
      <x:c r="Z106" s="214" t="str">
        <x:v>M17标准输出</x:v>
      </x:c>
      <x:c r="AA106" s="214" t="str">
        <x:v>M17最终必须输出木、火、土、金、水五行矩阵：五维作用、主要收益、副作用、适用/不适用条件、冲突、综合定位、主次优先级、条件性说明、反向证据与置信度。</x:v>
      </x:c>
      <x:c r="AB106" s="214" t="str">
        <x:v>较高</x:v>
      </x:c>
      <x:c r="AC106" s="214" t="str">
        <x:v>现代综合</x:v>
      </x:c>
      <x:c r="AD106" s="214" t="str">
        <x:v>喜忌用神必须同时读取扶抑、格局、通关、调候和病药五个维度。单一维度有利不足以自动成为主用；最终定位取决于是否解决根本问题、是否触犯格局硬约束、药力是否可达以及副作用是否可控。</x:v>
      </x:c>
      <x:c r="AE106" s="214" t="str">
        <x:v>满足“完成木火土金水五维评估”，且主要收益大于副作用时，可按“M17标准输出必须给出五行全表和主次依据”定位。</x:v>
      </x:c>
      <x:c r="AF106" s="214" t="str">
        <x:v>若“无”成立，则不得按“M17标准输出必须给出五行全表和主次依据”无条件定位。</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26">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 type="list" sqref="G7:G106">
      <x:formula1>'99_下拉选项'!$F$4:$F$7</x:formula1>
    </x:dataValidation>
    <x:dataValidation type="list" sqref="H7:H106">
      <x:formula1>'99_下拉选项'!$D$4:$D$8</x:formula1>
    </x:dataValidation>
    <x:dataValidation type="list" sqref="I7:I106">
      <x:formula1>'99_下拉选项'!$Y$4:$Y$13</x:formula1>
    </x:dataValidation>
    <x:dataValidation type="list" sqref="J7:J106">
      <x:formula1>'99_下拉选项'!$AR$4:$AR$9</x:formula1>
    </x:dataValidation>
    <x:dataValidation type="list" sqref="V7:V106">
      <x:formula1>'99_下拉选项'!$AB$4:$AB$12</x:formula1>
    </x:dataValidation>
    <x:dataValidation type="list" sqref="W7:W106">
      <x:formula1>'99_下拉选项'!$AS$4:$AS$9</x:formula1>
    </x:dataValidation>
    <x:dataValidation type="list" sqref="X7:X106">
      <x:formula1>'99_下拉选项'!$X$4:$X$7</x:formula1>
    </x:dataValidation>
    <x:dataValidation type="list" sqref="AB7:AB106">
      <x:formula1>'99_下拉选项'!$Q$4:$Q$8</x:formula1>
    </x:dataValidation>
    <x:dataValidation type="list" sqref="AC7:AC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'99_下拉选项'!$BG$4:$BG$18</x:formula1>
    </x:dataValidation>
  </x:dataValidations>
  <x:pageMargins left="0.7" right="0.7" top="0.75" bottom="0.75" header="0.3" footer="0.3"/>
  <x:tableParts count="1">
    <x:tablePart xmlns:r="http://schemas.openxmlformats.org/officeDocument/2006/relationships" r:id="Rc22e9d323f0e4fca"/>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25a17a9f828b423c"/>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01f1a4bc4e5c4ce2"/>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fa13d382f31e42e5"/>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'99_下拉选项'!$BG$4:$BG$18</x:formula1>
    </x:dataValidation>
  </x:dataValidations>
  <x:pageMargins left="0.7" right="0.7" top="0.75" bottom="0.75" header="0.3" footer="0.3"/>
  <x:tableParts count="1">
    <x:tablePart xmlns:r="http://schemas.openxmlformats.org/officeDocument/2006/relationships" r:id="R1098e40c657f4ca8"/>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c r="BG18" t="str">
        <x:v>V1.5</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