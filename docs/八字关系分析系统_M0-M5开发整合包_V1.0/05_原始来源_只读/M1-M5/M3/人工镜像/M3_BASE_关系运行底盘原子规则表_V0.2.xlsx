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11.xml" ContentType="application/vnd.openxmlformats-officedocument.spreadsheetml.worksheet+xml"/>
  <Override PartName="/xl/tables/table17.xml" ContentType="application/vnd.openxmlformats-officedocument.spreadsheetml.table+xml"/>
  <Override PartName="/xl/worksheets/sheet12.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5f7a556517452e" /></Relationships>
</file>

<file path=xl/workbook.xml><?xml version="1.0" encoding="utf-8"?>
<x:workbook xmlns:x="http://schemas.openxmlformats.org/spreadsheetml/2006/main">
  <x:sheets>
    <x:sheet xmlns:r="http://schemas.openxmlformats.org/officeDocument/2006/relationships" name="00_阅读说明" sheetId="1" r:id="R97648d801ffd45b9"/>
    <x:sheet xmlns:r="http://schemas.openxmlformats.org/officeDocument/2006/relationships" name="01_十神底盘速查" sheetId="2" r:id="Rb368f7a4257d4edb"/>
    <x:sheet xmlns:r="http://schemas.openxmlformats.org/officeDocument/2006/relationships" name="02_日干日支系统" sheetId="3" r:id="R7bddfa746b874623"/>
    <x:sheet xmlns:r="http://schemas.openxmlformats.org/officeDocument/2006/relationships" name="03_藏干层级矩阵" sheetId="4" r:id="R72b5449df4c148d5"/>
    <x:sheet xmlns:r="http://schemas.openxmlformats.org/officeDocument/2006/relationships" name="04_夫妻星入宫" sheetId="5" r:id="Rdc0213a9a5ac49cb"/>
    <x:sheet xmlns:r="http://schemas.openxmlformats.org/officeDocument/2006/relationships" name="05_合冲刑害破" sheetId="6" r:id="R3c9640c61702412f"/>
    <x:sheet xmlns:r="http://schemas.openxmlformats.org/officeDocument/2006/relationships" name="06_状态与合化" sheetId="7" r:id="R59a59875b75344c7"/>
    <x:sheet xmlns:r="http://schemas.openxmlformats.org/officeDocument/2006/relationships" name="07_原子规则" sheetId="8" r:id="R3e0c7ae9831b48b8"/>
    <x:sheet xmlns:r="http://schemas.openxmlformats.org/officeDocument/2006/relationships" name="08_门控与停止" sheetId="9" r:id="R06b9c26248924428"/>
    <x:sheet xmlns:r="http://schemas.openxmlformats.org/officeDocument/2006/relationships" name="09_示例与模板" sheetId="10" r:id="R46ecee4a15e242bd"/>
    <x:sheet xmlns:r="http://schemas.openxmlformats.org/officeDocument/2006/relationships" name="10_字段词典" sheetId="11" r:id="R04b4a663d2d74588"/>
    <x:sheet xmlns:r="http://schemas.openxmlformats.org/officeDocument/2006/relationships" name="11_版本与验证" sheetId="12" r:id="R63ad420113604b5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0"/>
      <x:color rgb="FF44546A"/>
      <x:name val="Carlito"/>
    </x:font>
    <x:font>
      <x:b/>
      <x:sz val="10"/>
      <x:color rgb="FFFFFFFF"/>
      <x:name val="Carlito"/>
    </x:font>
    <x:font>
      <x:sz val="10"/>
      <x:color rgb="FF222222"/>
      <x:name val="Carlito"/>
    </x:font>
    <x:font>
      <x:b/>
      <x:sz val="11"/>
      <x:color rgb="FF1F1F1F"/>
      <x:name val="Carlito"/>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5B9BD5"/>
      </x:patternFill>
    </x:fill>
    <x:fill>
      <x:patternFill patternType="solid">
        <x:fgColor rgb="FFD9EAF7"/>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3" fillId="4" borderId="14" xfId="0" applyNumberFormat="1" applyFont="1" applyFill="1" applyBorder="1" applyAlignment="1">
      <x:alignment horizontal="center" vertical="center" wrapText="1"/>
    </x:xf>
    <x:xf numFmtId="0" fontId="4" fillId="0" borderId="15" xfId="0" applyNumberFormat="1" applyFont="1" applyFill="1" applyBorder="1" applyAlignment="1">
      <x:alignment vertical="top" wrapText="1"/>
    </x:xf>
    <x:xf numFmtId="0" fontId="3" fillId="4" borderId="16" xfId="0" applyNumberFormat="1" applyFont="1" applyFill="1" applyBorder="1" applyAlignment="1">
      <x:alignment horizontal="center" vertical="center" wrapText="1"/>
    </x:xf>
    <x:xf numFmtId="0" fontId="4" fillId="0" borderId="17" xfId="0" applyNumberFormat="1" applyFont="1" applyFill="1" applyBorder="1" applyAlignment="1">
      <x:alignment vertical="top" wrapText="1"/>
    </x:xf>
  </x:cellXfs>
  <x:cellStyles count="1">
    <x:cellStyle name="Normal" xfId="0"/>
  </x:cellStyles>
  <x:dxfs count="3">
    <x:dxf>
      <x:fill>
        <x:patternFill patternType="solid">
          <x:bgColor rgb="FFE2F0D9"/>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6e01bdb4e44d61" /><Relationship Type="http://schemas.openxmlformats.org/officeDocument/2006/relationships/theme" Target="/xl/theme/theme1.xml" Id="R0f96798f7bf54631" /><Relationship Type="http://schemas.openxmlformats.org/officeDocument/2006/relationships/sharedStrings" Target="/xl/sharedStrings.xml" Id="Rbeab287561834b1c" /><Relationship Type="http://schemas.openxmlformats.org/officeDocument/2006/relationships/worksheet" Target="/xl/worksheets/sheet1.xml" Id="R97648d801ffd45b9" /><Relationship Type="http://schemas.openxmlformats.org/officeDocument/2006/relationships/worksheet" Target="/xl/worksheets/sheet2.xml" Id="Rb368f7a4257d4edb" /><Relationship Type="http://schemas.openxmlformats.org/officeDocument/2006/relationships/worksheet" Target="/xl/worksheets/sheet3.xml" Id="R7bddfa746b874623" /><Relationship Type="http://schemas.openxmlformats.org/officeDocument/2006/relationships/worksheet" Target="/xl/worksheets/sheet4.xml" Id="R72b5449df4c148d5" /><Relationship Type="http://schemas.openxmlformats.org/officeDocument/2006/relationships/worksheet" Target="/xl/worksheets/sheet5.xml" Id="Rdc0213a9a5ac49cb" /><Relationship Type="http://schemas.openxmlformats.org/officeDocument/2006/relationships/worksheet" Target="/xl/worksheets/sheet6.xml" Id="R3c9640c61702412f" /><Relationship Type="http://schemas.openxmlformats.org/officeDocument/2006/relationships/worksheet" Target="/xl/worksheets/sheet7.xml" Id="R59a59875b75344c7" /><Relationship Type="http://schemas.openxmlformats.org/officeDocument/2006/relationships/worksheet" Target="/xl/worksheets/sheet8.xml" Id="R3e0c7ae9831b48b8" /><Relationship Type="http://schemas.openxmlformats.org/officeDocument/2006/relationships/worksheet" Target="/xl/worksheets/sheet9.xml" Id="R06b9c26248924428" /><Relationship Type="http://schemas.openxmlformats.org/officeDocument/2006/relationships/worksheet" Target="/xl/worksheets/sheet10.xml" Id="R46ecee4a15e242bd" /><Relationship Type="http://schemas.openxmlformats.org/officeDocument/2006/relationships/worksheet" Target="/xl/worksheets/sheet11.xml" Id="R04b4a663d2d74588" /><Relationship Type="http://schemas.openxmlformats.org/officeDocument/2006/relationships/worksheet" Target="/xl/worksheets/sheet12.xml" Id="R63ad420113604b5a" /></Relationships>
</file>

<file path=xl/tables/table1.xml><?xml version="1.0" encoding="utf-8"?>
<x:table xmlns:x="http://schemas.openxmlformats.org/spreadsheetml/2006/main" id="1" name="ReadSteps" displayName="ReadSteps" ref="A11:B21" headerRowCount="1" totalsRowCount="0" totalsRowShown="0">
  <x:tableColumns count="2">
    <x:tableColumn id="1" name="步骤"/>
    <x:tableColumn id="2" name="操作"/>
  </x:tableColumns>
  <x:tableStyleInfo name="TableStyleMedium2" showFirstColumn="0" showLastColumn="0" showRowStripes="1" showColumnStripes="0"/>
</x:table>
</file>

<file path=xl/tables/table2.xml><?xml version="1.0" encoding="utf-8"?>
<x:table xmlns:x="http://schemas.openxmlformats.org/spreadsheetml/2006/main" id="2" name="ReadBoundaries" displayName="ReadBoundaries" ref="A24:B28" headerRowCount="1" totalsRowCount="0" totalsRowShown="0">
  <x:tableColumns count="2">
    <x:tableColumn id="1" name="边界"/>
    <x:tableColumn id="2" name="说明"/>
  </x:tableColumns>
  <x:tableStyleInfo name="TableStyleMedium2" showFirstColumn="0" showLastColumn="0" showRowStripes="1" showColumnStripes="0"/>
</x:table>
</file>

<file path=xl/tables/table3.xml><?xml version="1.0" encoding="utf-8"?>
<x:table xmlns:x="http://schemas.openxmlformats.org/spreadsheetml/2006/main" id="3" name="TenGodBaseline" displayName="TenGodBaseline" ref="A4:H14" headerRowCount="1" totalsRowCount="0" totalsRowShown="0">
  <x:tableColumns count="8">
    <x:tableColumn id="1" name="日支主气"/>
    <x:tableColumn id="2" name="通道"/>
    <x:tableColumn id="3" name="核心底盘"/>
    <x:tableColumn id="4" name="模式候选"/>
    <x:tableColumn id="5" name="后续路由"/>
    <x:tableColumn id="6" name="核心用户语言"/>
    <x:tableColumn id="7" name="补充用户语言"/>
    <x:tableColumn id="8" name="禁止直接推出"/>
  </x:tableColumns>
  <x:tableStyleInfo name="TableStyleMedium2" showFirstColumn="0" showLastColumn="0" showRowStripes="1" showColumnStripes="0"/>
</x:table>
</file>

<file path=xl/tables/table4.xml><?xml version="1.0" encoding="utf-8"?>
<x:table xmlns:x="http://schemas.openxmlformats.org/spreadsheetml/2006/main" id="4" name="StemBranchSystems" displayName="StemBranchSystems" ref="A4:F9" headerRowCount="1" totalsRowCount="0" totalsRowShown="0">
  <x:tableColumns count="6">
    <x:tableColumn id="1" name="日干—日支关系"/>
    <x:tableColumn id="2" name="五系统"/>
    <x:tableColumn id="3" name="阴阳细分"/>
    <x:tableColumn id="4" name="内部逻辑"/>
    <x:tableColumn id="5" name="用户解释"/>
    <x:tableColumn id="6" name="禁止推出"/>
  </x:tableColumns>
  <x:tableStyleInfo name="TableStyleMedium2" showFirstColumn="0" showLastColumn="0" showRowStripes="1" showColumnStripes="0"/>
</x:table>
</file>

<file path=xl/tables/table5.xml><?xml version="1.0" encoding="utf-8"?>
<x:table xmlns:x="http://schemas.openxmlformats.org/spreadsheetml/2006/main" id="5" name="HiddenLevels" displayName="HiddenLevels" ref="A4:F7" headerRowCount="1" totalsRowCount="0" totalsRowShown="0">
  <x:tableColumns count="6">
    <x:tableColumn id="1" name="层级"/>
    <x:tableColumn id="2" name="初始系数"/>
    <x:tableColumn id="3" name="默认职责"/>
    <x:tableColumn id="4" name="能否定核心"/>
    <x:tableColumn id="5" name="升级条件"/>
    <x:tableColumn id="6" name="停止／降级条件"/>
  </x:tableColumns>
  <x:tableStyleInfo name="TableStyleMedium2" showFirstColumn="0" showLastColumn="0" showRowStripes="1" showColumnStripes="0"/>
</x:table>
</file>

<file path=xl/tables/table6.xml><?xml version="1.0" encoding="utf-8"?>
<x:table xmlns:x="http://schemas.openxmlformats.org/spreadsheetml/2006/main" id="6" name="HiddenQuick" displayName="HiddenQuick" ref="A10:B17" headerRowCount="1" totalsRowCount="0" totalsRowShown="0">
  <x:tableColumns count="2">
    <x:tableColumn id="1" name="结构"/>
    <x:tableColumn id="2" name="处理"/>
  </x:tableColumns>
  <x:tableStyleInfo name="TableStyleMedium2" showFirstColumn="0" showLastColumn="0" showRowStripes="1" showColumnStripes="0"/>
</x:table>
</file>

<file path=xl/tables/table7.xml><?xml version="1.0" encoding="utf-8"?>
<x:table xmlns:x="http://schemas.openxmlformats.org/spreadsheetml/2006/main" id="7" name="SpouseInPalace" displayName="SpouseInPalace" ref="A4:G16" headerRowCount="1" totalsRowCount="0" totalsRowShown="0">
  <x:tableColumns count="7">
    <x:tableColumn id="1" name="适用"/>
    <x:tableColumn id="2" name="夫妻星"/>
    <x:tableColumn id="3" name="入宫层级"/>
    <x:tableColumn id="4" name="M2资格主题"/>
    <x:tableColumn id="5" name="M3通道"/>
    <x:tableColumn id="6" name="处理"/>
    <x:tableColumn id="7" name="用户解释方向"/>
  </x:tableColumns>
  <x:tableStyleInfo name="TableStyleMedium2" showFirstColumn="0" showLastColumn="0" showRowStripes="1" showColumnStripes="0"/>
</x:table>
</file>

<file path=xl/tables/table8.xml><?xml version="1.0" encoding="utf-8"?>
<x:table xmlns:x="http://schemas.openxmlformats.org/spreadsheetml/2006/main" id="8" name="SpouseBoundaries" displayName="SpouseBoundaries" ref="A19:B24" headerRowCount="1" totalsRowCount="0" totalsRowShown="0">
  <x:tableColumns count="2">
    <x:tableColumn id="1" name="情况"/>
    <x:tableColumn id="2" name="处理"/>
  </x:tableColumns>
  <x:tableStyleInfo name="TableStyleMedium2" showFirstColumn="0" showLastColumn="0" showRowStripes="1" showColumnStripes="0"/>
</x:table>
</file>

<file path=xl/tables/table9.xml><?xml version="1.0" encoding="utf-8"?>
<x:table xmlns:x="http://schemas.openxmlformats.org/spreadsheetml/2006/main" id="9" name="DynamicsQuick" displayName="DynamicsQuick" ref="A4:F9" headerRowCount="1" totalsRowCount="0" totalsRowShown="0">
  <x:tableColumns count="6">
    <x:tableColumn id="1" name="结构"/>
    <x:tableColumn id="2" name="中性含义"/>
    <x:tableColumn id="3" name="平稳状态解释"/>
    <x:tableColumn id="4" name="压力候选"/>
    <x:tableColumn id="5" name="弱远处理"/>
    <x:tableColumn id="6" name="禁止推出"/>
  </x:tableColumns>
  <x:tableStyleInfo name="TableStyleMedium2" showFirstColumn="0" showLastColumn="0" showRowStripes="1" showColumnStripes="0"/>
</x:table>
</file>

<file path=xl/tables/table10.xml><?xml version="1.0" encoding="utf-8"?>
<x:table xmlns:x="http://schemas.openxmlformats.org/spreadsheetml/2006/main" id="10" name="DynamicsPrinciples" displayName="DynamicsPrinciples" ref="A12:B17" headerRowCount="1" totalsRowCount="0" totalsRowShown="0">
  <x:tableColumns count="2">
    <x:tableColumn id="1" name="序号"/>
    <x:tableColumn id="2" name="规则"/>
  </x:tableColumns>
  <x:tableStyleInfo name="TableStyleMedium2" showFirstColumn="0" showLastColumn="0" showRowStripes="1" showColumnStripes="0"/>
</x:table>
</file>

<file path=xl/tables/table11.xml><?xml version="1.0" encoding="utf-8"?>
<x:table xmlns:x="http://schemas.openxmlformats.org/spreadsheetml/2006/main" id="11" name="StateMatrix" displayName="StateMatrix" ref="A4:C16" headerRowCount="1" totalsRowCount="0" totalsRowShown="0">
  <x:tableColumns count="3">
    <x:tableColumn id="1" name="状态"/>
    <x:tableColumn id="2" name="M3-BASE作用"/>
    <x:tableColumn id="3" name="禁止误读"/>
  </x:tableColumns>
  <x:tableStyleInfo name="TableStyleMedium2" showFirstColumn="0" showLastColumn="0" showRowStripes="1" showColumnStripes="0"/>
</x:table>
</file>

<file path=xl/tables/table12.xml><?xml version="1.0" encoding="utf-8"?>
<x:table xmlns:x="http://schemas.openxmlformats.org/spreadsheetml/2006/main" id="12" name="TransformFlow" displayName="TransformFlow" ref="A19:B25" headerRowCount="1" totalsRowCount="0" totalsRowShown="0">
  <x:tableColumns count="2">
    <x:tableColumn id="1" name="步骤"/>
    <x:tableColumn id="2" name="处理"/>
  </x:tableColumns>
  <x:tableStyleInfo name="TableStyleMedium2" showFirstColumn="0" showLastColumn="0" showRowStripes="1" showColumnStripes="0"/>
</x:table>
</file>

<file path=xl/tables/table13.xml><?xml version="1.0" encoding="utf-8"?>
<x:table xmlns:x="http://schemas.openxmlformats.org/spreadsheetml/2006/main" id="13" name="M3BaseRules" displayName="M3BaseRules" ref="A4:AE210" headerRowCount="1" totalsRowCount="0" totalsRowShown="0">
  <x:tableColumns count="31">
    <x:tableColumn id="1" name="rule_id"/>
    <x:tableColumn id="2" name="rule_name"/>
    <x:tableColumn id="3" name="layer"/>
    <x:tableColumn id="4" name="module"/>
    <x:tableColumn id="5" name="applicable_group"/>
    <x:tableColumn id="6" name="rule_type"/>
    <x:tableColumn id="7" name="main_signal"/>
    <x:tableColumn id="8" name="secondary_signal"/>
    <x:tableColumn id="9" name="required_conditions"/>
    <x:tableColumn id="10" name="excluded_conditions"/>
    <x:tableColumn id="11" name="self_strength_status"/>
    <x:tableColumn id="12" name="spouse_star_status"/>
    <x:tableColumn id="13" name="palace_signal"/>
    <x:tableColumn id="14" name="flow_path"/>
    <x:tableColumn id="15" name="signal_position"/>
    <x:tableColumn id="16" name="root_status"/>
    <x:tableColumn id="17" name="strength_level"/>
    <x:tableColumn id="18" name="favorability"/>
    <x:tableColumn id="19" name="transformation_status"/>
    <x:tableColumn id="20" name="distance_level"/>
    <x:tableColumn id="21" name="priority"/>
    <x:tableColumn id="22" name="score_effect"/>
    <x:tableColumn id="23" name="output_slot"/>
    <x:tableColumn id="24" name="internal_logic"/>
    <x:tableColumn id="25" name="user_explanation"/>
    <x:tableColumn id="26" name="forbidden_inference"/>
    <x:tableColumn id="27" name="confidence_base"/>
    <x:tableColumn id="28" name="validation_status"/>
    <x:tableColumn id="29" name="case_refs"/>
    <x:tableColumn id="30" name="notes"/>
    <x:tableColumn id="31" name="version"/>
  </x:tableColumns>
  <x:tableStyleInfo name="TableStyleMedium2" showFirstColumn="0" showLastColumn="0" showRowStripes="1" showColumnStripes="0"/>
</x:table>
</file>

<file path=xl/tables/table14.xml><?xml version="1.0" encoding="utf-8"?>
<x:table xmlns:x="http://schemas.openxmlformats.org/spreadsheetml/2006/main" id="14" name="GatesStops" displayName="GatesStops" ref="A4:H76" headerRowCount="1" totalsRowCount="0" totalsRowShown="0">
  <x:tableColumns count="8">
    <x:tableColumn id="1" name="规则ID"/>
    <x:tableColumn id="2" name="规则名称"/>
    <x:tableColumn id="3" name="类型"/>
    <x:tableColumn id="4" name="命中条件"/>
    <x:tableColumn id="5" name="处理"/>
    <x:tableColumn id="6" name="影响字段"/>
    <x:tableColumn id="7" name="用户解释"/>
    <x:tableColumn id="8" name="置信"/>
  </x:tableColumns>
  <x:tableStyleInfo name="TableStyleMedium2" showFirstColumn="0" showLastColumn="0" showRowStripes="1" showColumnStripes="0"/>
</x:table>
</file>

<file path=xl/tables/table15.xml><?xml version="1.0" encoding="utf-8"?>
<x:table xmlns:x="http://schemas.openxmlformats.org/spreadsheetml/2006/main" id="15" name="OutputTemplates" displayName="OutputTemplates" ref="A4:B9" headerRowCount="1" totalsRowCount="0" totalsRowShown="0">
  <x:tableColumns count="2">
    <x:tableColumn id="1" name="模板"/>
    <x:tableColumn id="2" name="可直接改写的句式"/>
  </x:tableColumns>
  <x:tableStyleInfo name="TableStyleMedium2" showFirstColumn="0" showLastColumn="0" showRowStripes="1" showColumnStripes="0"/>
</x:table>
</file>

<file path=xl/tables/table16.xml><?xml version="1.0" encoding="utf-8"?>
<x:table xmlns:x="http://schemas.openxmlformats.org/spreadsheetml/2006/main" id="16" name="BaseExamples" displayName="BaseExamples" ref="A12:D20" headerRowCount="1" totalsRowCount="0" totalsRowShown="0">
  <x:tableColumns count="4">
    <x:tableColumn id="1" name="案例"/>
    <x:tableColumn id="2" name="结构"/>
    <x:tableColumn id="3" name="判断"/>
    <x:tableColumn id="4" name="用户输出方向"/>
  </x:tableColumns>
  <x:tableStyleInfo name="TableStyleMedium2" showFirstColumn="0" showLastColumn="0" showRowStripes="1" showColumnStripes="0"/>
</x:table>
</file>

<file path=xl/tables/table17.xml><?xml version="1.0" encoding="utf-8"?>
<x:table xmlns:x="http://schemas.openxmlformats.org/spreadsheetml/2006/main" id="17" name="FieldDictionary" displayName="FieldDictionary" ref="A4:C35" headerRowCount="1" totalsRowCount="0" totalsRowShown="0">
  <x:tableColumns count="3">
    <x:tableColumn id="1" name="字段"/>
    <x:tableColumn id="2" name="含义"/>
    <x:tableColumn id="3" name="要求"/>
  </x:tableColumns>
  <x:tableStyleInfo name="TableStyleMedium2" showFirstColumn="0" showLastColumn="0" showRowStripes="1" showColumnStripes="0"/>
</x:table>
</file>

<file path=xl/tables/table18.xml><?xml version="1.0" encoding="utf-8"?>
<x:table xmlns:x="http://schemas.openxmlformats.org/spreadsheetml/2006/main" id="18" name="ModuleCounts" displayName="ModuleCounts" ref="A13:B21" headerRowCount="1" totalsRowCount="0" totalsRowShown="0">
  <x:tableColumns count="2">
    <x:tableColumn id="1" name="模块"/>
    <x:tableColumn id="2" name="规则数"/>
  </x:tableColumns>
  <x:tableStyleInfo name="TableStyleMedium2" showFirstColumn="0" showLastColumn="0" showRowStripes="1" showColumnStripes="0"/>
</x:table>
</file>

<file path=xl/tables/table19.xml><?xml version="1.0" encoding="utf-8"?>
<x:table xmlns:x="http://schemas.openxmlformats.org/spreadsheetml/2006/main" id="19" name="ValidationQuestions" displayName="ValidationQuestions" ref="A25:B33" headerRowCount="1" totalsRowCount="0" totalsRowShown="0">
  <x:tableColumns count="2">
    <x:tableColumn id="1" name="序号"/>
    <x:tableColumn id="2" name="验证问题"/>
  </x:tableColumns>
  <x:tableStyleInfo name="TableStyleMedium2" showFirstColumn="0" showLastColumn="0" showRowStripes="1" showColumnStripes="0"/>
</x:table>
</file>

<file path=xl/tables/table20.xml><?xml version="1.0" encoding="utf-8"?>
<x:table xmlns:x="http://schemas.openxmlformats.org/spreadsheetml/2006/main" id="20" name="VersionLog" displayName="VersionLog" ref="A36:D38" headerRowCount="1" totalsRowCount="0" totalsRowShown="0">
  <x:tableColumns count="4">
    <x:tableColumn id="1" name="版本"/>
    <x:tableColumn id="2" name="阶段"/>
    <x:tableColumn id="3" name="内容"/>
    <x:tableColumn id="4" name="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ddc487bb7642ab" /><Relationship Type="http://schemas.openxmlformats.org/officeDocument/2006/relationships/table" Target="/xl/tables/table2.xml" Id="R6806108e36ea490f" /></Relationships>
</file>

<file path=xl/worksheets/_rels/sheet2.xml.rels>&#65279;<?xml version="1.0" encoding="utf-8"?><Relationships xmlns="http://schemas.openxmlformats.org/package/2006/relationships"><Relationship Type="http://schemas.openxmlformats.org/officeDocument/2006/relationships/table" Target="/xl/tables/table3.xml" Id="Rbde466d1dee24a0e" /></Relationships>
</file>

<file path=xl/worksheets/_rels/sheet3.xml.rels>&#65279;<?xml version="1.0" encoding="utf-8"?><Relationships xmlns="http://schemas.openxmlformats.org/package/2006/relationships"><Relationship Type="http://schemas.openxmlformats.org/officeDocument/2006/relationships/table" Target="/xl/tables/table4.xml" Id="Ra8b61b2f30a348cf" /></Relationships>
</file>

<file path=xl/worksheets/_rels/sheet4.xml.rels>&#65279;<?xml version="1.0" encoding="utf-8"?><Relationships xmlns="http://schemas.openxmlformats.org/package/2006/relationships"><Relationship Type="http://schemas.openxmlformats.org/officeDocument/2006/relationships/table" Target="/xl/tables/table5.xml" Id="R849d5cbc515b48c3" /><Relationship Type="http://schemas.openxmlformats.org/officeDocument/2006/relationships/table" Target="/xl/tables/table6.xml" Id="R7856950528aa447e" /></Relationships>
</file>

<file path=xl/worksheets/_rels/sheet5.xml.rels>&#65279;<?xml version="1.0" encoding="utf-8"?><Relationships xmlns="http://schemas.openxmlformats.org/package/2006/relationships"><Relationship Type="http://schemas.openxmlformats.org/officeDocument/2006/relationships/table" Target="/xl/tables/table7.xml" Id="R5e80c1fefe5d4ea2" /><Relationship Type="http://schemas.openxmlformats.org/officeDocument/2006/relationships/table" Target="/xl/tables/table8.xml" Id="R2acf00518fdd4c38" /></Relationships>
</file>

<file path=xl/worksheets/_rels/sheet6.xml.rels>&#65279;<?xml version="1.0" encoding="utf-8"?><Relationships xmlns="http://schemas.openxmlformats.org/package/2006/relationships"><Relationship Type="http://schemas.openxmlformats.org/officeDocument/2006/relationships/table" Target="/xl/tables/table9.xml" Id="R3971daea6cea4275" /><Relationship Type="http://schemas.openxmlformats.org/officeDocument/2006/relationships/table" Target="/xl/tables/table10.xml" Id="Rb3348d861ef246b7" /></Relationships>
</file>

<file path=xl/worksheets/_rels/sheet7.xml.rels>&#65279;<?xml version="1.0" encoding="utf-8"?><Relationships xmlns="http://schemas.openxmlformats.org/package/2006/relationships"><Relationship Type="http://schemas.openxmlformats.org/officeDocument/2006/relationships/table" Target="/xl/tables/table11.xml" Id="R9aaeabba38e44075" /><Relationship Type="http://schemas.openxmlformats.org/officeDocument/2006/relationships/table" Target="/xl/tables/table12.xml" Id="R3660e5bf264a4bf5" /></Relationships>
</file>

<file path=xl/worksheets/_rels/sheet8.xml.rels>&#65279;<?xml version="1.0" encoding="utf-8"?><Relationships xmlns="http://schemas.openxmlformats.org/package/2006/relationships"><Relationship Type="http://schemas.openxmlformats.org/officeDocument/2006/relationships/table" Target="/xl/tables/table13.xml" Id="Ra90a6b15840e4588" /></Relationships>
</file>

<file path=xl/worksheets/_rels/sheet9.xml.rels>&#65279;<?xml version="1.0" encoding="utf-8"?><Relationships xmlns="http://schemas.openxmlformats.org/package/2006/relationships"><Relationship Type="http://schemas.openxmlformats.org/officeDocument/2006/relationships/table" Target="/xl/tables/table14.xml" Id="R87346331ab674a32" /></Relationships>
</file>

<file path=xl/worksheets/_rels/sheet10.xml.rels>&#65279;<?xml version="1.0" encoding="utf-8"?><Relationships xmlns="http://schemas.openxmlformats.org/package/2006/relationships"><Relationship Type="http://schemas.openxmlformats.org/officeDocument/2006/relationships/table" Target="/xl/tables/table15.xml" Id="R71e0e986907a4316" /><Relationship Type="http://schemas.openxmlformats.org/officeDocument/2006/relationships/table" Target="/xl/tables/table16.xml" Id="R5717aa00ce4e42a6" /></Relationships>
</file>

<file path=xl/worksheets/_rels/sheet11.xml.rels>&#65279;<?xml version="1.0" encoding="utf-8"?><Relationships xmlns="http://schemas.openxmlformats.org/package/2006/relationships"><Relationship Type="http://schemas.openxmlformats.org/officeDocument/2006/relationships/table" Target="/xl/tables/table17.xml" Id="R0ad416ddc150428a" /></Relationships>
</file>

<file path=xl/worksheets/_rels/sheet12.xml.rels>&#65279;<?xml version="1.0" encoding="utf-8"?><Relationships xmlns="http://schemas.openxmlformats.org/package/2006/relationships"><Relationship Type="http://schemas.openxmlformats.org/officeDocument/2006/relationships/table" Target="/xl/tables/table18.xml" Id="Rd9a3312f58a84695" /><Relationship Type="http://schemas.openxmlformats.org/officeDocument/2006/relationships/table" Target="/xl/tables/table19.xml" Id="R8d7cd15d3e9b4f87" /><Relationship Type="http://schemas.openxmlformats.org/officeDocument/2006/relationships/table" Target="/xl/tables/table20.xml" Id="R4e500d519ac746df" /></Relationships>
</file>

<file path=xl/worksheets/sheet1.xml><?xml version="1.0" encoding="utf-8"?>
<x:worksheet xmlns:x="http://schemas.openxmlformats.org/spreadsheetml/2006/main">
  <x:sheetFormatPr defaultRowHeight="15"/>
  <x:cols>
    <x:col min="1" max="1" width="28" hidden="0" customWidth="1"/>
    <x:col min="2" max="2" width="58" hidden="0" customWidth="1"/>
  </x:cols>
  <x:sheetData>
    <x:row r="1" ht="19.200000762939453" hidden="0" customHeight="1">
      <x:c r="A1" s="6" t="str">
        <x:v>M3-BASE 关系运行底盘规则库 V0.2</x:v>
      </x:c>
      <x:c r="B1" s="6"/>
      <x:c r="C1" s="6"/>
      <x:c r="D1" s="6"/>
      <x:c r="E1" s="6"/>
      <x:c r="F1" s="6"/>
      <x:c r="G1" s="6"/>
      <x:c r="H1" s="6"/>
    </x:row>
    <x:row r="2" ht="15" hidden="0" customHeight="1">
      <x:c r="A2" s="15" t="str">
        <x:v>用于快速定位日支关系底盘、藏干主次、夫妻星入宫、宫位动态、合化与停止规则。</x:v>
      </x:c>
      <x:c r="B2" s="15"/>
      <x:c r="C2" s="15"/>
      <x:c r="D2" s="15"/>
      <x:c r="E2" s="15"/>
      <x:c r="F2" s="15"/>
      <x:c r="G2" s="15"/>
      <x:c r="H2" s="15"/>
    </x:row>
    <x:row r="3"/>
    <x:row r="4" ht="15" hidden="0" customHeight="1">
      <x:c r="A4" s="36" t="str">
        <x:v>项目</x:v>
      </x:c>
      <x:c r="B4" s="37" t="str">
        <x:v>内容</x:v>
      </x:c>
    </x:row>
    <x:row r="5" ht="24" hidden="0" customHeight="1">
      <x:c r="A5" s="38" t="str">
        <x:v>模块定位</x:v>
      </x:c>
      <x:c r="B5" s="39" t="str">
        <x:v>关系已经建立后，用户最自然进入什么关系运行主题；本模块只定底盘，不完成具体表达、分歧或修复。</x:v>
      </x:c>
    </x:row>
    <x:row r="6" ht="15" hidden="0" customHeight="1">
      <x:c r="A6" s="38" t="str">
        <x:v>原子规则</x:v>
      </x:c>
      <x:c r="B6" s="39" t="str">
        <x:v>206 条，编号 M3-BASE-001—206</x:v>
      </x:c>
    </x:row>
    <x:row r="7" ht="15" hidden="0" customHeight="1">
      <x:c r="A7" s="38" t="str">
        <x:v>正式状态</x:v>
      </x:c>
      <x:c r="B7" s="39" t="str">
        <x:v>全部待验证；provisional=true</x:v>
      </x:c>
    </x:row>
    <x:row r="8" ht="15" hidden="0" customHeight="1">
      <x:c r="A8" s="40" t="str">
        <x:v>下一模块</x:v>
      </x:c>
      <x:c r="B8" s="41" t="str">
        <x:v>M3-EXPR 情感表达与沟通 V0.3</x:v>
      </x:c>
    </x:row>
    <x:row r="9"/>
    <x:row r="10" ht="15" hidden="0" customHeight="1">
      <x:c r="A10" s="51" t="str">
        <x:v>标准执行顺序</x:v>
      </x:c>
      <x:c r="B10" s="51"/>
      <x:c r="C10" s="51"/>
      <x:c r="D10" s="51"/>
      <x:c r="E10" s="51"/>
      <x:c r="F10" s="51"/>
      <x:c r="G10" s="51"/>
      <x:c r="H10" s="51"/>
    </x:row>
    <x:row r="11" ht="15" hidden="0" customHeight="1">
      <x:c r="A11" s="36" t="str">
        <x:v>步骤</x:v>
      </x:c>
      <x:c r="B11" s="37" t="str">
        <x:v>操作</x:v>
      </x:c>
    </x:row>
    <x:row r="12" ht="15" hidden="0" customHeight="1">
      <x:c r="A12" s="38" t="str">
        <x:v>1</x:v>
      </x:c>
      <x:c r="B12" s="39" t="str">
        <x:v>读取日干、日支、藏干与共享引擎状态</x:v>
      </x:c>
    </x:row>
    <x:row r="13" ht="15" hidden="0" customHeight="1">
      <x:c r="A13" s="38" t="str">
        <x:v>2</x:v>
      </x:c>
      <x:c r="B13" s="39" t="str">
        <x:v>先跑基础输入、主气未定与真合化停止规则</x:v>
      </x:c>
    </x:row>
    <x:row r="14" ht="15" hidden="0" customHeight="1">
      <x:c r="A14" s="38" t="str">
        <x:v>3</x:v>
      </x:c>
      <x:c r="B14" s="39" t="str">
        <x:v>确定日支主气十神与五系统底盘</x:v>
      </x:c>
    </x:row>
    <x:row r="15" ht="15" hidden="0" customHeight="1">
      <x:c r="A15" s="38" t="str">
        <x:v>4</x:v>
      </x:c>
      <x:c r="B15" s="39" t="str">
        <x:v>按主气→中气→余气完成层级和次通道</x:v>
      </x:c>
    </x:row>
    <x:row r="16" ht="15" hidden="0" customHeight="1">
      <x:c r="A16" s="38" t="str">
        <x:v>5</x:v>
      </x:c>
      <x:c r="B16" s="39" t="str">
        <x:v>叠加透藏、根气、旺弱、喜忌和制化修正</x:v>
      </x:c>
    </x:row>
    <x:row r="17" ht="15" hidden="0" customHeight="1">
      <x:c r="A17" s="38" t="str">
        <x:v>6</x:v>
      </x:c>
      <x:c r="B17" s="39" t="str">
        <x:v>读取夫妻星入宫，仅建立 M2—M3 连续性</x:v>
      </x:c>
    </x:row>
    <x:row r="18" ht="15" hidden="0" customHeight="1">
      <x:c r="A18" s="38" t="str">
        <x:v>7</x:v>
      </x:c>
      <x:c r="B18" s="39" t="str">
        <x:v>读取有效合、冲、刑、害、破的节奏修正</x:v>
      </x:c>
    </x:row>
    <x:row r="19" ht="15" hidden="0" customHeight="1">
      <x:c r="A19" s="38" t="str">
        <x:v>8</x:v>
      </x:c>
      <x:c r="B19" s="39" t="str">
        <x:v>执行同源去重、模式收敛和输出数量限制</x:v>
      </x:c>
    </x:row>
    <x:row r="20" ht="15" hidden="0" customHeight="1">
      <x:c r="A20" s="38" t="str">
        <x:v>9</x:v>
      </x:c>
      <x:c r="B20" s="39" t="str">
        <x:v>形成 1 个主底盘＋最多 1 个次通道候选</x:v>
      </x:c>
    </x:row>
    <x:row r="21" ht="15" hidden="0" customHeight="1">
      <x:c r="A21" s="40" t="str">
        <x:v>10</x:v>
      </x:c>
      <x:c r="B21" s="41" t="str">
        <x:v>把表达、边界、分歧、修复候选路由到后续模块</x:v>
      </x:c>
    </x:row>
    <x:row r="22"/>
    <x:row r="23" ht="15" hidden="0" customHeight="1">
      <x:c r="A23" s="51" t="str">
        <x:v>四条硬边界</x:v>
      </x:c>
      <x:c r="B23" s="51"/>
      <x:c r="C23" s="51"/>
      <x:c r="D23" s="51"/>
      <x:c r="E23" s="51"/>
      <x:c r="F23" s="51"/>
      <x:c r="G23" s="51"/>
      <x:c r="H23" s="51"/>
    </x:row>
    <x:row r="24" ht="15" hidden="0" customHeight="1">
      <x:c r="A24" s="36" t="str">
        <x:v>边界</x:v>
      </x:c>
      <x:c r="B24" s="37" t="str">
        <x:v>说明</x:v>
      </x:c>
    </x:row>
    <x:row r="25" ht="15" hidden="0" customHeight="1">
      <x:c r="A25" s="38" t="str">
        <x:v>日支不等于配偶人格</x:v>
      </x:c>
      <x:c r="B25" s="39" t="str">
        <x:v>统一写“你在关系中更习惯……”，不写“你的配偶一定……”</x:v>
      </x:c>
    </x:row>
    <x:row r="26" ht="15" hidden="0" customHeight="1">
      <x:c r="A26" s="38" t="str">
        <x:v>宫位动态不等于事件</x:v>
      </x:c>
      <x:c r="B26" s="39" t="str">
        <x:v>合冲刑害破只修正互动节奏，不断分手、离婚、背叛或争吵</x:v>
      </x:c>
    </x:row>
    <x:row r="27" ht="15" hidden="0" customHeight="1">
      <x:c r="A27" s="38" t="str">
        <x:v>BASE不越权</x:v>
      </x:c>
      <x:c r="B27" s="39" t="str">
        <x:v>具体表达、分歧、修复只生成候选，分别交给 EXPR、CONFLICT、REPAIR</x:v>
      </x:c>
    </x:row>
    <x:row r="28" ht="15" hidden="0" customHeight="1">
      <x:c r="A28" s="40" t="str">
        <x:v>同源只算一次</x:v>
      </x:c>
      <x:c r="B28" s="41" t="str">
        <x:v>日干日支关系＋日支十神、藏干＋同根透干、M2入宫＋M3底盘都要去重</x:v>
      </x:c>
    </x:row>
  </x:sheetData>
  <x:mergeCells>
    <x:mergeCell ref="A1:H1"/>
    <x:mergeCell ref="A2:H2"/>
    <x:mergeCell ref="A10:H10"/>
    <x:mergeCell ref="A23:H23"/>
  </x:mergeCells>
  <x:pageMargins left="0.7" right="0.7" top="0.75" bottom="0.75" header="0.3" footer="0.3"/>
  <x:tableParts count="2">
    <x:tablePart xmlns:r="http://schemas.openxmlformats.org/officeDocument/2006/relationships" r:id="R76ddc487bb7642ab"/>
    <x:tablePart xmlns:r="http://schemas.openxmlformats.org/officeDocument/2006/relationships" r:id="R6806108e36ea490f"/>
  </x:tableParts>
</x:worksheet>
</file>

<file path=xl/worksheets/sheet2.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20" hidden="0" customWidth="1"/>
    <x:col min="5" max="5" width="34" hidden="0" customWidth="1"/>
    <x:col min="6" max="6" width="46" hidden="0" customWidth="1"/>
    <x:col min="7" max="7" width="54" hidden="0" customWidth="1"/>
    <x:col min="8" max="8" width="44" hidden="0" customWidth="1"/>
  </x:cols>
  <x:sheetData>
    <x:row r="1" ht="19.200000762939453" hidden="0" customHeight="1">
      <x:c r="A1" s="6" t="str">
        <x:v>十类日支关系底盘速查</x:v>
      </x:c>
      <x:c r="B1" s="6"/>
      <x:c r="C1" s="6"/>
      <x:c r="D1" s="6"/>
      <x:c r="E1" s="6"/>
      <x:c r="F1" s="6"/>
      <x:c r="G1" s="6"/>
      <x:c r="H1" s="6"/>
    </x:row>
    <x:row r="2" ht="15" hidden="0" customHeight="1">
      <x:c r="A2" s="15" t="str">
        <x:v>先看日支主气；主气清楚且未真合化时，作为 relationship_baseline 第一候选。</x:v>
      </x:c>
      <x:c r="B2" s="15"/>
      <x:c r="C2" s="15"/>
      <x:c r="D2" s="15"/>
      <x:c r="E2" s="15"/>
      <x:c r="F2" s="15"/>
      <x:c r="G2" s="15"/>
      <x:c r="H2" s="15"/>
    </x:row>
    <x:row r="3"/>
    <x:row r="4" ht="15" hidden="0" customHeight="1">
      <x:c r="A4" s="36" t="str">
        <x:v>日支主气</x:v>
      </x:c>
      <x:c r="B4" s="56" t="str">
        <x:v>通道</x:v>
      </x:c>
      <x:c r="C4" s="56" t="str">
        <x:v>核心底盘</x:v>
      </x:c>
      <x:c r="D4" s="56" t="str">
        <x:v>模式候选</x:v>
      </x:c>
      <x:c r="E4" s="56" t="str">
        <x:v>后续路由</x:v>
      </x:c>
      <x:c r="F4" s="56" t="str">
        <x:v>核心用户语言</x:v>
      </x:c>
      <x:c r="G4" s="56" t="str">
        <x:v>补充用户语言</x:v>
      </x:c>
      <x:c r="H4" s="37" t="str">
        <x:v>禁止直接推出</x:v>
      </x:c>
    </x:row>
    <x:row r="5" ht="24" hidden="0" customHeight="1">
      <x:c r="A5" s="38" t="str">
        <x:v>比肩</x:v>
      </x:c>
      <x:c r="B5" s="32" t="str">
        <x:v>I01 平等并肩</x:v>
      </x:c>
      <x:c r="C5" s="32" t="str">
        <x:v>平等、伙伴感与自主边界</x:v>
      </x:c>
      <x:c r="D5" s="32" t="str">
        <x:v>P01 平等伙伴型</x:v>
      </x:c>
      <x:c r="E5" s="32" t="str">
        <x:v>closeness_boundary／decision_pattern（候选，待M3-BOUND复核）</x:v>
      </x:c>
      <x:c r="F5" s="32" t="str">
        <x:v>进入关系后，你更习惯把伴侣当作可以平等商量、各自保留判断和空间的队友。</x:v>
      </x:c>
      <x:c r="G5" s="32" t="str">
        <x:v>你通常更愿意在尊重彼此边界的前提下靠近，重要事情倾向于共同商量，而不是由一方替另一方决定。</x:v>
      </x:c>
      <x:c r="H5" s="39" t="str">
        <x:v>不得推出用户自私、不愿付出、一定强势、排斥亲密，或双方必然竞争。</x:v>
      </x:c>
    </x:row>
    <x:row r="6" ht="24" hidden="0" customHeight="1">
      <x:c r="A6" s="38" t="str">
        <x:v>劫财</x:v>
      </x:c>
      <x:c r="B6" s="32" t="str">
        <x:v>I02 共同行动</x:v>
      </x:c>
      <x:c r="C6" s="32" t="str">
        <x:v>共同参与、行动默契与节奏带动</x:v>
      </x:c>
      <x:c r="D6" s="32" t="str">
        <x:v>P02 共同行动型</x:v>
      </x:c>
      <x:c r="E6" s="32" t="str">
        <x:v>decision_pattern／care_investment（候选，待M3-BOUND与M3-CARE复核）</x:v>
      </x:c>
      <x:c r="F6" s="32" t="str">
        <x:v>关系里有共同目标、一起做事和即时回应时，你更容易感到彼此真正站在同一边。</x:v>
      </x:c>
      <x:c r="G6" s="32" t="str">
        <x:v>你往往会通过一起行动、共同处理具体事情来表达投入，互动越有参与感，关系越有真实感。</x:v>
      </x:c>
      <x:c r="H6" s="39" t="str">
        <x:v>不得推出第三者、抢夺、关系竞争、容易冲动进入关系，或用户一定爱主导。</x:v>
      </x:c>
    </x:row>
    <x:row r="7" ht="24" hidden="0" customHeight="1">
      <x:c r="A7" s="38" t="str">
        <x:v>食神</x:v>
      </x:c>
      <x:c r="B7" s="32" t="str">
        <x:v>I03 舒缓陪伴</x:v>
      </x:c>
      <x:c r="C7" s="32" t="str">
        <x:v>舒适、陪伴与生活化联结</x:v>
      </x:c>
      <x:c r="D7" s="32" t="str">
        <x:v>P03 舒缓陪伴型</x:v>
      </x:c>
      <x:c r="E7" s="32" t="str">
        <x:v>affection_expression（候选，待M3-EXPR复核）</x:v>
      </x:c>
      <x:c r="F7" s="32" t="str">
        <x:v>你更习惯用陪伴、照顾日常和轻松自然的互动维持亲密感。</x:v>
      </x:c>
      <x:c r="G7" s="32" t="str">
        <x:v>你表达在意时，往往不是刻意制造强烈感，而是让相处更舒服、照顾细节，并在日常里持续陪伴。</x:v>
      </x:c>
      <x:c r="H7" s="39" t="str">
        <x:v>不得推出用户懒散、只重享受、回避问题，或关系一定缺乏责任。</x:v>
      </x:c>
    </x:row>
    <x:row r="8" ht="24" hidden="0" customHeight="1">
      <x:c r="A8" s="38" t="str">
        <x:v>伤官</x:v>
      </x:c>
      <x:c r="B8" s="32" t="str">
        <x:v>I04 表达澄清</x:v>
      </x:c>
      <x:c r="C8" s="32" t="str">
        <x:v>真实表达、观点交换与及时反馈</x:v>
      </x:c>
      <x:c r="D8" s="32" t="str">
        <x:v>P04 表达澄清型</x:v>
      </x:c>
      <x:c r="E8" s="32" t="str">
        <x:v>communication_style／conflict_response（候选，待M3-EXPR与M3-CONFLICT复核）</x:v>
      </x:c>
      <x:c r="F8" s="32" t="str">
        <x:v>关系里能不能把话说清楚、彼此回应观点，对你的相处感受很重要。</x:v>
      </x:c>
      <x:c r="G8" s="32" t="str">
        <x:v>你通常更愿意通过谈具体问题、说明自己的感受和想法来维持关系，而不是长期靠猜。</x:v>
      </x:c>
      <x:c r="H8" s="39" t="str">
        <x:v>不得推出用户爱争吵、说话刻薄、克伴侣、婚姻不顺，或一定无法妥协。</x:v>
      </x:c>
    </x:row>
    <x:row r="9" ht="24" hidden="0" customHeight="1">
      <x:c r="A9" s="38" t="str">
        <x:v>正财</x:v>
      </x:c>
      <x:c r="B9" s="32" t="str">
        <x:v>I05 稳定经营</x:v>
      </x:c>
      <x:c r="C9" s="32" t="str">
        <x:v>持续投入、现实安排与日常经营</x:v>
      </x:c>
      <x:c r="D9" s="32" t="str">
        <x:v>P05 稳定经营型</x:v>
      </x:c>
      <x:c r="E9" s="32" t="str">
        <x:v>care_investment（候选，待M3-CARE复核）</x:v>
      </x:c>
      <x:c r="F9" s="32" t="str">
        <x:v>你更容易通过长期投入、现实安排和稳定行动来经营关系。</x:v>
      </x:c>
      <x:c r="G9" s="32" t="str">
        <x:v>你表达认真时，往往会把时间、日常安排和现实责任真正放进关系里，而不只停留在口头。</x:v>
      </x:c>
      <x:c r="H9" s="39" t="str">
        <x:v>不得推出用户只看物质、斤斤计较、一定承担更多，或伴侣必然传统顾家。</x:v>
      </x:c>
    </x:row>
    <x:row r="10" ht="24" hidden="0" customHeight="1">
      <x:c r="A10" s="38" t="str">
        <x:v>偏财</x:v>
      </x:c>
      <x:c r="B10" s="32" t="str">
        <x:v>I06 体验联结</x:v>
      </x:c>
      <x:c r="C10" s="32" t="str">
        <x:v>灵活回应、共同体验与互动活力</x:v>
      </x:c>
      <x:c r="D10" s="32" t="str">
        <x:v>P06 体验联结型</x:v>
      </x:c>
      <x:c r="E10" s="32" t="str">
        <x:v>care_investment／closeness_boundary（候选，待M3-CARE与M3-BOUND复核）</x:v>
      </x:c>
      <x:c r="F10" s="32" t="str">
        <x:v>你会通过有来有往的互动、共同体验和生活中的变化感维持关系活力。</x:v>
      </x:c>
      <x:c r="G10" s="32" t="str">
        <x:v>你通常会用灵活回应、一起体验新事物和让相处保持流动感来表达投入。</x:v>
      </x:c>
      <x:c r="H10" s="39" t="str">
        <x:v>不得推出用户花心、随便、只看外表、关系不稳定，或投入一定不持续。</x:v>
      </x:c>
    </x:row>
    <x:row r="11" ht="24" hidden="0" customHeight="1">
      <x:c r="A11" s="38" t="str">
        <x:v>正官</x:v>
      </x:c>
      <x:c r="B11" s="32" t="str">
        <x:v>I07 责任维护</x:v>
      </x:c>
      <x:c r="C11" s="32" t="str">
        <x:v>承诺、规则、角色与共同承担</x:v>
      </x:c>
      <x:c r="D11" s="32" t="str">
        <x:v>P07 责任维护型</x:v>
      </x:c>
      <x:c r="E11" s="32" t="str">
        <x:v>decision_pattern／conflict_response（候选，待M3-BOUND与M3-CONFLICT复核）</x:v>
      </x:c>
      <x:c r="F11" s="32" t="str">
        <x:v>你更习惯通过守约、承担和稳定安排来维持关系，让彼此知道哪些事情有人负责。</x:v>
      </x:c>
      <x:c r="G11" s="32" t="str">
        <x:v>遇到共同事务时，你往往会先确认责任、规则和可执行安排，再让关系继续运转。</x:v>
      </x:c>
      <x:c r="H11" s="39" t="str">
        <x:v>不得推出用户控制欲强、僵化、只讲规矩不讲感情，或关系一定稳定。</x:v>
      </x:c>
    </x:row>
    <x:row r="12" ht="24" hidden="0" customHeight="1">
      <x:c r="A12" s="38" t="str">
        <x:v>七杀</x:v>
      </x:c>
      <x:c r="B12" s="32" t="str">
        <x:v>I08 行动解决</x:v>
      </x:c>
      <x:c r="C12" s="32" t="str">
        <x:v>决断、推进、保护与问题解决</x:v>
      </x:c>
      <x:c r="D12" s="32" t="str">
        <x:v>P08 行动解决型</x:v>
      </x:c>
      <x:c r="E12" s="32" t="str">
        <x:v>conflict_response／decision_pattern（候选，待M3-CONFLICT与M3-BOUND复核）</x:v>
      </x:c>
      <x:c r="F12" s="32" t="str">
        <x:v>遇到事情时，你更容易通过迅速处理、推进和承担行动来表达在意。</x:v>
      </x:c>
      <x:c r="G12" s="32" t="str">
        <x:v>关系出现具体问题时，你可能先想办法解决、推动事情落地，之后才回到情绪和解释。</x:v>
      </x:c>
      <x:c r="H12" s="39" t="str">
        <x:v>不得推出用户强势、危险、冷漠、会控制伴侣，或一定容易冲突。</x:v>
      </x:c>
    </x:row>
    <x:row r="13" ht="24" hidden="0" customHeight="1">
      <x:c r="A13" s="38" t="str">
        <x:v>正印</x:v>
      </x:c>
      <x:c r="B13" s="32" t="str">
        <x:v>I09 安全承接</x:v>
      </x:c>
      <x:c r="C13" s="32" t="str">
        <x:v>理解、倾听、稳定支持与被接住</x:v>
      </x:c>
      <x:c r="D13" s="32" t="str">
        <x:v>P09 安全承接型</x:v>
      </x:c>
      <x:c r="E13" s="32" t="str">
        <x:v>support_receiving／closeness_boundary（候选，待M3-CARE与M3-BOUND复核）</x:v>
      </x:c>
      <x:c r="F13" s="32" t="str">
        <x:v>你重视关系里能否被理解和接住，也常通过倾听、照顾和稳定回应维持亲密。</x:v>
      </x:c>
      <x:c r="G13" s="32" t="str">
        <x:v>当彼此愿意耐心听、稳定回应并提供可感知的支持时，你更容易回到可亲近、可沟通的状态。</x:v>
      </x:c>
      <x:c r="H13" s="39" t="str">
        <x:v>不得推出用户依赖、缺乏独立性、一定扮演照顾者，或一定喜欢年长伴侣。</x:v>
      </x:c>
    </x:row>
    <x:row r="14" ht="36" hidden="0" customHeight="1">
      <x:c r="A14" s="40" t="str">
        <x:v>偏印</x:v>
      </x:c>
      <x:c r="B14" s="57" t="str">
        <x:v>I10 深度内化</x:v>
      </x:c>
      <x:c r="C14" s="57" t="str">
        <x:v>独立消化、深度理解与私人空间</x:v>
      </x:c>
      <x:c r="D14" s="57" t="str">
        <x:v>P10 深度内化型</x:v>
      </x:c>
      <x:c r="E14" s="57" t="str">
        <x:v>support_receiving／communication_style／closeness_boundary（候选，待M3-CARE、EXPR与BOUND复核）</x:v>
      </x:c>
      <x:c r="F14" s="57" t="str">
        <x:v>你往往需要先在内部想清楚，再用较有深度、较有选择的方式回应关系。</x:v>
      </x:c>
      <x:c r="G14" s="57" t="str">
        <x:v>面对复杂情绪时，你可能先留出一点空间，把感受和信息整理清楚，再决定怎样回应。</x:v>
      </x:c>
      <x:c r="H14" s="41" t="str">
        <x:v>不得推出用户冷漠、回避型依恋、孤僻、不需要关系，或一定难以表达。</x:v>
      </x:c>
    </x:row>
  </x:sheetData>
  <x:mergeCells>
    <x:mergeCell ref="A1:H1"/>
    <x:mergeCell ref="A2:H2"/>
  </x:mergeCells>
  <x:pageMargins left="0.7" right="0.7" top="0.75" bottom="0.75" header="0.3" footer="0.3"/>
  <x:tableParts count="1">
    <x:tablePart xmlns:r="http://schemas.openxmlformats.org/officeDocument/2006/relationships" r:id="Rbde466d1dee24a0e"/>
  </x:tableParts>
</x:worksheet>
</file>

<file path=xl/worksheets/sheet3.xml><?xml version="1.0" encoding="utf-8"?>
<x:worksheet xmlns:x="http://schemas.openxmlformats.org/spreadsheetml/2006/main">
  <x:sheetFormatPr defaultRowHeight="15"/>
  <x:cols>
    <x:col min="1" max="1" width="18" hidden="0" customWidth="1"/>
    <x:col min="2" max="2" width="24" hidden="0" customWidth="1"/>
    <x:col min="3" max="3" width="30" hidden="0" customWidth="1"/>
    <x:col min="4" max="4" width="54" hidden="0" customWidth="1"/>
    <x:col min="5" max="5" width="42" hidden="0" customWidth="1"/>
    <x:col min="6" max="6" width="38" hidden="0" customWidth="1"/>
  </x:cols>
  <x:sheetData>
    <x:row r="1" ht="19.200000762939453" hidden="0" customHeight="1">
      <x:c r="A1" s="6" t="str">
        <x:v>日干—日支五系统与同源去重</x:v>
      </x:c>
      <x:c r="B1" s="6"/>
      <x:c r="C1" s="6"/>
      <x:c r="D1" s="6"/>
      <x:c r="E1" s="6"/>
      <x:c r="F1" s="6"/>
    </x:row>
    <x:row r="2" ht="15" hidden="0" customHeight="1">
      <x:c r="A2" s="15" t="str">
        <x:v>五行生克用于理解上位系统；日支十神用于细分风格，两者属于同一事实。</x:v>
      </x:c>
      <x:c r="B2" s="15"/>
      <x:c r="C2" s="15"/>
      <x:c r="D2" s="15"/>
      <x:c r="E2" s="15"/>
      <x:c r="F2" s="15"/>
    </x:row>
    <x:row r="3"/>
    <x:row r="4" ht="15" hidden="0" customHeight="1">
      <x:c r="A4" s="36" t="str">
        <x:v>日干—日支关系</x:v>
      </x:c>
      <x:c r="B4" s="56" t="str">
        <x:v>五系统</x:v>
      </x:c>
      <x:c r="C4" s="56" t="str">
        <x:v>阴阳细分</x:v>
      </x:c>
      <x:c r="D4" s="56" t="str">
        <x:v>内部逻辑</x:v>
      </x:c>
      <x:c r="E4" s="56" t="str">
        <x:v>用户解释</x:v>
      </x:c>
      <x:c r="F4" s="37" t="str">
        <x:v>禁止推出</x:v>
      </x:c>
    </x:row>
    <x:row r="5" ht="24" hidden="0" customHeight="1">
      <x:c r="A5" s="38" t="str">
        <x:v>日干与日支同类</x:v>
      </x:c>
      <x:c r="B5" s="32" t="str">
        <x:v>SYS01 自我边界系统</x:v>
      </x:c>
      <x:c r="C5" s="32" t="str">
        <x:v>阴阳同类映射比肩；阴阳异类映射劫财</x:v>
      </x:c>
      <x:c r="D5" s="32" t="str">
        <x:v>日干与日支同类时，关系底盘首先落在自我边界系统：亲密关系需要处理平等、自主、共同参与与决定权。</x:v>
      </x:c>
      <x:c r="E5" s="32" t="str">
        <x:v>从五行关系看，你在亲密关系里会较重视平等参与和保留自我。</x:v>
      </x:c>
      <x:c r="F5" s="39" t="str">
        <x:v>不得仅凭同类关系推出竞争、自我中心或排斥依赖。</x:v>
      </x:c>
    </x:row>
    <x:row r="6" ht="24" hidden="0" customHeight="1">
      <x:c r="A6" s="38" t="str">
        <x:v>日干生日支</x:v>
      </x:c>
      <x:c r="B6" s="32" t="str">
        <x:v>SYS02 表达交流系统</x:v>
      </x:c>
      <x:c r="C6" s="32" t="str">
        <x:v>阴阳同类映射食神；阴阳异类映射伤官</x:v>
      </x:c>
      <x:c r="D6" s="32" t="str">
        <x:v>日干生日支时，关系底盘落在表达交流系统：用户更容易通过输出、表达、陪伴或观点沟通把自己放进关系。</x:v>
      </x:c>
      <x:c r="E6" s="32" t="str">
        <x:v>从五行关系看，你更容易通过表达、陪伴或交流把自己的在意传递到关系中。</x:v>
      </x:c>
      <x:c r="F6" s="39" t="str">
        <x:v>不得推出用户一定单向付出、话多或情绪外露。</x:v>
      </x:c>
    </x:row>
    <x:row r="7" ht="24" hidden="0" customHeight="1">
      <x:c r="A7" s="38" t="str">
        <x:v>日干克日支</x:v>
      </x:c>
      <x:c r="B7" s="32" t="str">
        <x:v>SYS03 投入经营系统</x:v>
      </x:c>
      <x:c r="C7" s="32" t="str">
        <x:v>阴阳同类映射偏财；阴阳异类映射正财</x:v>
      </x:c>
      <x:c r="D7" s="32" t="str">
        <x:v>日干克日支时，关系底盘落在投入经营系统：用户更容易通过安排、投入、经营和现实落实参与关系。</x:v>
      </x:c>
      <x:c r="E7" s="32" t="str">
        <x:v>从五行关系看，你更容易用时间、安排、资源或实际行动把关系经营起来。</x:v>
      </x:c>
      <x:c r="F7" s="39" t="str">
        <x:v>不得推出用户控制关系、只重现实或一定承担更多。</x:v>
      </x:c>
    </x:row>
    <x:row r="8" ht="24" hidden="0" customHeight="1">
      <x:c r="A8" s="38" t="str">
        <x:v>日支克日干</x:v>
      </x:c>
      <x:c r="B8" s="32" t="str">
        <x:v>SYS04 责任行动系统</x:v>
      </x:c>
      <x:c r="C8" s="32" t="str">
        <x:v>阴阳同类映射七杀；阴阳异类映射正官</x:v>
      </x:c>
      <x:c r="D8" s="32" t="str">
        <x:v>日支克日干时，关系底盘落在责任行动系统：关系中的要求、规则、任务或现实问题更容易直接激活用户的承担与应对。</x:v>
      </x:c>
      <x:c r="E8" s="32" t="str">
        <x:v>从五行关系看，关系中的责任、约定或需要处理的事情，较容易直接进入你的注意范围。</x:v>
      </x:c>
      <x:c r="F8" s="39" t="str">
        <x:v>不得推出用户被伴侣压制、害怕关系或一定处于下位。</x:v>
      </x:c>
    </x:row>
    <x:row r="9" ht="24" hidden="0" customHeight="1">
      <x:c r="A9" s="40" t="str">
        <x:v>日支生日干</x:v>
      </x:c>
      <x:c r="B9" s="57" t="str">
        <x:v>SYS05 承接内化系统</x:v>
      </x:c>
      <x:c r="C9" s="57" t="str">
        <x:v>阴阳同类映射偏印；阴阳异类映射正印</x:v>
      </x:c>
      <x:c r="D9" s="57" t="str">
        <x:v>日支生日干时，关系底盘落在承接内化系统：理解、支持、内部消化和安全感更容易成为关系运行的起点。</x:v>
      </x:c>
      <x:c r="E9" s="57" t="str">
        <x:v>从五行关系看，理解、支持和内在确认较容易成为你维持亲密关系的重要起点。</x:v>
      </x:c>
      <x:c r="F9" s="41" t="str">
        <x:v>不得推出用户依赖、被动或一定由伴侣照顾。</x:v>
      </x:c>
    </x:row>
    <x:row r="10"/>
    <x:row r="11" ht="15" hidden="0" customHeight="1">
      <x:c r="A11" s="51" t="str">
        <x:v>强制去重公式</x:v>
      </x:c>
      <x:c r="B11" s="51"/>
      <x:c r="C11" s="51"/>
      <x:c r="D11" s="51"/>
      <x:c r="E11" s="51"/>
      <x:c r="F11" s="51"/>
    </x:row>
    <x:row r="12" ht="15" hidden="0" customHeight="1">
      <x:c r="A12" s="36" t="str">
        <x:v>事实A</x:v>
      </x:c>
      <x:c r="B12" s="56" t="str">
        <x:v>事实B</x:v>
      </x:c>
      <x:c r="C12" s="56" t="str">
        <x:v>处理</x:v>
      </x:c>
      <x:c r="D12" s="56" t="str">
        <x:v>原因</x:v>
      </x:c>
      <x:c r="E12" s="56" t="str"/>
      <x:c r="F12" s="37" t="str"/>
    </x:row>
    <x:row r="13" ht="15" hidden="0" customHeight="1">
      <x:c r="A13" s="38" t="str">
        <x:v>日干日支生克</x:v>
      </x:c>
      <x:c r="B13" s="32" t="str">
        <x:v>日支主气十神</x:v>
      </x:c>
      <x:c r="C13" s="32" t="str">
        <x:v>同一 source_cluster，只算一次基础权重</x:v>
      </x:c>
      <x:c r="D13" s="32" t="str">
        <x:v>十神由生克与阴阳关系产生</x:v>
      </x:c>
      <x:c r="E13" s="32" t="str"/>
      <x:c r="F13" s="39" t="str"/>
    </x:row>
    <x:row r="14" ht="15" hidden="0" customHeight="1">
      <x:c r="A14" s="38" t="str">
        <x:v>日支藏干</x:v>
      </x:c>
      <x:c r="B14" s="32" t="str">
        <x:v>以其为根的同类透干</x:v>
      </x:c>
      <x:c r="C14" s="32" t="str">
        <x:v>一个证据簇；透干只加外显修正</x:v>
      </x:c>
      <x:c r="D14" s="32" t="str">
        <x:v>根与透是同一信号的内外两面</x:v>
      </x:c>
      <x:c r="E14" s="32" t="str"/>
      <x:c r="F14" s="39" t="str"/>
    </x:row>
    <x:row r="15" ht="15" hidden="0" customHeight="1">
      <x:c r="A15" s="40" t="str">
        <x:v>M2夫妻星入宫</x:v>
      </x:c>
      <x:c r="B15" s="57" t="str">
        <x:v>M3日支底盘</x:v>
      </x:c>
      <x:c r="C15" s="57" t="str">
        <x:v>只保留连续性，不抬高M3独立证据数</x:v>
      </x:c>
      <x:c r="D15" s="57" t="str">
        <x:v>同一宫位事实被不同模型解释</x:v>
      </x:c>
      <x:c r="E15" s="57" t="str"/>
      <x:c r="F15" s="41" t="str"/>
    </x:row>
  </x:sheetData>
  <x:mergeCells>
    <x:mergeCell ref="A1:F1"/>
    <x:mergeCell ref="A2:F2"/>
    <x:mergeCell ref="A11:F11"/>
  </x:mergeCells>
  <x:pageMargins left="0.7" right="0.7" top="0.75" bottom="0.75" header="0.3" footer="0.3"/>
  <x:tableParts count="1">
    <x:tablePart xmlns:r="http://schemas.openxmlformats.org/officeDocument/2006/relationships" r:id="Ra8b61b2f30a348cf"/>
  </x:tableParts>
</x:worksheet>
</file>

<file path=xl/worksheets/sheet4.xml><?xml version="1.0" encoding="utf-8"?>
<x:worksheet xmlns:x="http://schemas.openxmlformats.org/spreadsheetml/2006/main">
  <x:sheetFormatPr defaultRowHeight="15"/>
  <x:cols>
    <x:col min="1" max="1" width="32" hidden="0" customWidth="1"/>
    <x:col min="2" max="2" width="80" hidden="0" customWidth="1"/>
    <x:col min="3" max="3" width="34" hidden="0" customWidth="1"/>
    <x:col min="4" max="4" width="32" hidden="0" customWidth="1"/>
    <x:col min="5" max="5" width="38" hidden="0" customWidth="1"/>
    <x:col min="6" max="6" width="38" hidden="0" customWidth="1"/>
  </x:cols>
  <x:sheetData>
    <x:row r="1" ht="19.200000762939453" hidden="0" customHeight="1">
      <x:c r="A1" s="6" t="str">
        <x:v>主气、中气、余气层级矩阵</x:v>
      </x:c>
      <x:c r="B1" s="6"/>
      <x:c r="C1" s="6"/>
      <x:c r="D1" s="6"/>
      <x:c r="E1" s="6"/>
      <x:c r="F1" s="6"/>
      <x:c r="G1" s="6"/>
      <x:c r="H1" s="6"/>
    </x:row>
    <x:row r="2" ht="15" hidden="0" customHeight="1">
      <x:c r="A2" s="15" t="str">
        <x:v>层级是初始工程参数；最终仍需有效性、透出、根气、合化和独立证据修正。</x:v>
      </x:c>
      <x:c r="B2" s="15"/>
      <x:c r="C2" s="15"/>
      <x:c r="D2" s="15"/>
      <x:c r="E2" s="15"/>
      <x:c r="F2" s="15"/>
      <x:c r="G2" s="15"/>
      <x:c r="H2" s="15"/>
    </x:row>
    <x:row r="3"/>
    <x:row r="4" ht="15" hidden="0" customHeight="1">
      <x:c r="A4" s="36" t="str">
        <x:v>层级</x:v>
      </x:c>
      <x:c r="B4" s="56" t="str">
        <x:v>初始系数</x:v>
      </x:c>
      <x:c r="C4" s="56" t="str">
        <x:v>默认职责</x:v>
      </x:c>
      <x:c r="D4" s="56" t="str">
        <x:v>能否定核心</x:v>
      </x:c>
      <x:c r="E4" s="56" t="str">
        <x:v>升级条件</x:v>
      </x:c>
      <x:c r="F4" s="37" t="str">
        <x:v>停止／降级条件</x:v>
      </x:c>
    </x:row>
    <x:row r="5" ht="15" hidden="0" customHeight="1">
      <x:c r="A5" s="38" t="str">
        <x:v>主气</x:v>
      </x:c>
      <x:c r="B5" s="32" t="str">
        <x:v>1.00</x:v>
      </x:c>
      <x:c r="C5" s="32" t="str">
        <x:v>核心关系底盘</x:v>
      </x:c>
      <x:c r="D5" s="32" t="str">
        <x:v>可以，但须通过有效性和合化门控</x:v>
      </x:c>
      <x:c r="E5" s="32" t="str">
        <x:v>主气清楚、原性质有效</x:v>
      </x:c>
      <x:c r="F5" s="39" t="str">
        <x:v>未定／真合化／极弱无支持</x:v>
      </x:c>
    </x:row>
    <x:row r="6" ht="15" hidden="0" customHeight="1">
      <x:c r="A6" s="38" t="str">
        <x:v>中气</x:v>
      </x:c>
      <x:c r="B6" s="32" t="str">
        <x:v>0.60</x:v>
      </x:c>
      <x:c r="C6" s="32" t="str">
        <x:v>第二互动通道或深入相处补充</x:v>
      </x:c>
      <x:c r="D6" s="32" t="str">
        <x:v>通常不可以；需独立支持</x:v>
      </x:c>
      <x:c r="E6" s="32" t="str">
        <x:v>透出、有根、近位或主气受损</x:v>
      </x:c>
      <x:c r="F6" s="39" t="str">
        <x:v>弱无支持／同源重复</x:v>
      </x:c>
    </x:row>
    <x:row r="7" ht="15" hidden="0" customHeight="1">
      <x:c r="A7" s="40" t="str">
        <x:v>余气</x:v>
      </x:c>
      <x:c r="B7" s="57" t="str">
        <x:v>0.35</x:v>
      </x:c>
      <x:c r="C7" s="57" t="str">
        <x:v>潜在备用、细节风格或特定场景补充</x:v>
      </x:c>
      <x:c r="D7" s="57" t="str">
        <x:v>原则上不可以</x:v>
      </x:c>
      <x:c r="E7" s="57" t="str">
        <x:v>至少两类独立支持</x:v>
      </x:c>
      <x:c r="F7" s="41" t="str">
        <x:v>单点余气／无根无透</x:v>
      </x:c>
    </x:row>
    <x:row r="8"/>
    <x:row r="9" ht="15" hidden="0" customHeight="1">
      <x:c r="A9" s="51" t="str">
        <x:v>多藏干处理规则</x:v>
      </x:c>
      <x:c r="B9" s="51"/>
      <x:c r="C9" s="51"/>
      <x:c r="D9" s="51"/>
      <x:c r="E9" s="51"/>
      <x:c r="F9" s="51"/>
      <x:c r="G9" s="51"/>
      <x:c r="H9" s="51"/>
    </x:row>
    <x:row r="10" ht="15" hidden="0" customHeight="1">
      <x:c r="A10" s="36" t="str">
        <x:v>结构</x:v>
      </x:c>
      <x:c r="B10" s="37" t="str">
        <x:v>处理</x:v>
      </x:c>
    </x:row>
    <x:row r="11" ht="15" hidden="0" customHeight="1">
      <x:c r="A11" s="38" t="str">
        <x:v>单一藏干</x:v>
      </x:c>
      <x:c r="B11" s="39" t="str">
        <x:v>底盘清晰度较高，但不等于行为僵化</x:v>
      </x:c>
    </x:row>
    <x:row r="12" ht="15" hidden="0" customHeight="1">
      <x:c r="A12" s="38" t="str">
        <x:v>主中同系统</x:v>
      </x:c>
      <x:c r="B12" s="39" t="str">
        <x:v>先收敛为一个系统，再用正偏风格修饰</x:v>
      </x:c>
    </x:row>
    <x:row r="13" ht="15" hidden="0" customHeight="1">
      <x:c r="A13" s="38" t="str">
        <x:v>主中跨系统且分差清楚</x:v>
      </x:c>
      <x:c r="B13" s="39" t="str">
        <x:v>主气为核心，中气为次通道</x:v>
      </x:c>
    </x:row>
    <x:row r="14" ht="15" hidden="0" customHeight="1">
      <x:c r="A14" s="38" t="str">
        <x:v>主中跨系统且各有独立支持</x:v>
      </x:c>
      <x:c r="B14" s="39" t="str">
        <x:v>P11双通道候选，转M3-STATE判断分工</x:v>
      </x:c>
    </x:row>
    <x:row r="15" ht="15" hidden="0" customHeight="1">
      <x:c r="A15" s="38" t="str">
        <x:v>余气无支持</x:v>
      </x:c>
      <x:c r="B15" s="39" t="str">
        <x:v>只进入内部日志，不进正文</x:v>
      </x:c>
    </x:row>
    <x:row r="16" ht="15" hidden="0" customHeight="1">
      <x:c r="A16" s="38" t="str">
        <x:v>主中余三项都有效</x:v>
      </x:c>
      <x:c r="B16" s="39" t="str">
        <x:v>正文最多1主＋1次，其余进入依据日志</x:v>
      </x:c>
    </x:row>
    <x:row r="17" ht="15" hidden="0" customHeight="1">
      <x:c r="A17" s="40" t="str">
        <x:v>主气未定</x:v>
      </x:c>
      <x:c r="B17" s="41" t="str">
        <x:v>停止relationship_baseline，不用全局最旺十神代替</x:v>
      </x:c>
    </x:row>
  </x:sheetData>
  <x:mergeCells>
    <x:mergeCell ref="A1:H1"/>
    <x:mergeCell ref="A2:H2"/>
    <x:mergeCell ref="A9:H9"/>
  </x:mergeCells>
  <x:pageMargins left="0.7" right="0.7" top="0.75" bottom="0.75" header="0.3" footer="0.3"/>
  <x:tableParts count="2">
    <x:tablePart xmlns:r="http://schemas.openxmlformats.org/officeDocument/2006/relationships" r:id="R849d5cbc515b48c3"/>
    <x:tablePart xmlns:r="http://schemas.openxmlformats.org/officeDocument/2006/relationships" r:id="R7856950528aa447e"/>
  </x:tableParts>
</x:worksheet>
</file>

<file path=xl/worksheets/sheet5.xml><?xml version="1.0" encoding="utf-8"?>
<x:worksheet xmlns:x="http://schemas.openxmlformats.org/spreadsheetml/2006/main">
  <x:sheetFormatPr defaultRowHeight="15"/>
  <x:cols>
    <x:col min="1" max="1" width="34" hidden="0" customWidth="1"/>
    <x:col min="2" max="2" width="78" hidden="0" customWidth="1"/>
    <x:col min="3" max="3" width="10" hidden="0" customWidth="1"/>
    <x:col min="4" max="4" width="28" hidden="0" customWidth="1"/>
    <x:col min="5" max="5" width="20" hidden="0" customWidth="1"/>
    <x:col min="6" max="6" width="38" hidden="0" customWidth="1"/>
    <x:col min="7" max="7" width="50" hidden="0" customWidth="1"/>
  </x:cols>
  <x:sheetData>
    <x:row r="1" ht="19.200000762939453" hidden="0" customHeight="1">
      <x:c r="A1" s="6" t="str">
        <x:v>夫妻星入宫与 M2—M3 连续性</x:v>
      </x:c>
      <x:c r="B1" s="6"/>
      <x:c r="C1" s="6"/>
      <x:c r="D1" s="6"/>
      <x:c r="E1" s="6"/>
      <x:c r="F1" s="6"/>
      <x:c r="G1" s="6"/>
    </x:row>
    <x:row r="2" ht="15" hidden="0" customHeight="1">
      <x:c r="A2" s="15" t="str">
        <x:v>夫妻星是接口，不是M3核心主轴；主气同源去重，中余气只作次级或潜在连续性。</x:v>
      </x:c>
      <x:c r="B2" s="15"/>
      <x:c r="C2" s="15"/>
      <x:c r="D2" s="15"/>
      <x:c r="E2" s="15"/>
      <x:c r="F2" s="15"/>
      <x:c r="G2" s="15"/>
    </x:row>
    <x:row r="3"/>
    <x:row r="4" ht="15" hidden="0" customHeight="1">
      <x:c r="A4" s="36" t="str">
        <x:v>适用</x:v>
      </x:c>
      <x:c r="B4" s="56" t="str">
        <x:v>夫妻星</x:v>
      </x:c>
      <x:c r="C4" s="56" t="str">
        <x:v>入宫层级</x:v>
      </x:c>
      <x:c r="D4" s="56" t="str">
        <x:v>M2资格主题</x:v>
      </x:c>
      <x:c r="E4" s="56" t="str">
        <x:v>M3通道</x:v>
      </x:c>
      <x:c r="F4" s="56" t="str">
        <x:v>处理</x:v>
      </x:c>
      <x:c r="G4" s="37" t="str">
        <x:v>用户解释方向</x:v>
      </x:c>
    </x:row>
    <x:row r="5" ht="24" hidden="0" customHeight="1">
      <x:c r="A5" s="38" t="str">
        <x:v>女命</x:v>
      </x:c>
      <x:c r="B5" s="32" t="str">
        <x:v>正官</x:v>
      </x:c>
      <x:c r="C5" s="32" t="str">
        <x:v>主气</x:v>
      </x:c>
      <x:c r="D5" s="32" t="str">
        <x:v>M2的承诺与责任证据</x:v>
      </x:c>
      <x:c r="E5" s="32" t="str">
        <x:v>I07 责任维护</x:v>
      </x:c>
      <x:c r="F5" s="32" t="str">
        <x:v>连续性较高；同源不重复基础加分</x:v>
      </x:c>
      <x:c r="G5" s="39" t="str">
        <x:v>关系建立后，承诺、分工和有交代的安排更容易直接进入相处底盘。</x:v>
      </x:c>
    </x:row>
    <x:row r="6" ht="15" hidden="0" customHeight="1">
      <x:c r="A6" s="38" t="str">
        <x:v>女命</x:v>
      </x:c>
      <x:c r="B6" s="32" t="str">
        <x:v>正官</x:v>
      </x:c>
      <x:c r="C6" s="32" t="str">
        <x:v>中气</x:v>
      </x:c>
      <x:c r="D6" s="32" t="str">
        <x:v>M2的承诺与责任证据</x:v>
      </x:c>
      <x:c r="E6" s="32" t="str">
        <x:v>I07 责任维护</x:v>
      </x:c>
      <x:c r="F6" s="32" t="str">
        <x:v>伴侣触发的第二通道候选；需独立支持</x:v>
      </x:c>
      <x:c r="G6" s="39" t="str">
        <x:v>I07 责任维护作为次级回应方式</x:v>
      </x:c>
    </x:row>
    <x:row r="7" ht="15" hidden="0" customHeight="1">
      <x:c r="A7" s="38" t="str">
        <x:v>女命</x:v>
      </x:c>
      <x:c r="B7" s="32" t="str">
        <x:v>正官</x:v>
      </x:c>
      <x:c r="C7" s="32" t="str">
        <x:v>余气</x:v>
      </x:c>
      <x:c r="D7" s="32" t="str">
        <x:v>M2的承诺与责任证据</x:v>
      </x:c>
      <x:c r="E7" s="32" t="str">
        <x:v>I07 责任维护</x:v>
      </x:c>
      <x:c r="F7" s="32" t="str">
        <x:v>潜在连续性；默认不进正文</x:v>
      </x:c>
      <x:c r="G7" s="39" t="str">
        <x:v>只在特定情境中保留候选</x:v>
      </x:c>
    </x:row>
    <x:row r="8" ht="24" hidden="0" customHeight="1">
      <x:c r="A8" s="38" t="str">
        <x:v>女命</x:v>
      </x:c>
      <x:c r="B8" s="32" t="str">
        <x:v>七杀</x:v>
      </x:c>
      <x:c r="C8" s="32" t="str">
        <x:v>主气</x:v>
      </x:c>
      <x:c r="D8" s="32" t="str">
        <x:v>M2的行动与承担证据</x:v>
      </x:c>
      <x:c r="E8" s="32" t="str">
        <x:v>I08 行动解决</x:v>
      </x:c>
      <x:c r="F8" s="32" t="str">
        <x:v>连续性较高；同源不重复基础加分</x:v>
      </x:c>
      <x:c r="G8" s="39" t="str">
        <x:v>关系建立后，推进、解决问题和关键时刻承担更容易直接进入相处底盘。</x:v>
      </x:c>
    </x:row>
    <x:row r="9" ht="15" hidden="0" customHeight="1">
      <x:c r="A9" s="38" t="str">
        <x:v>女命</x:v>
      </x:c>
      <x:c r="B9" s="32" t="str">
        <x:v>七杀</x:v>
      </x:c>
      <x:c r="C9" s="32" t="str">
        <x:v>中气</x:v>
      </x:c>
      <x:c r="D9" s="32" t="str">
        <x:v>M2的行动与承担证据</x:v>
      </x:c>
      <x:c r="E9" s="32" t="str">
        <x:v>I08 行动解决</x:v>
      </x:c>
      <x:c r="F9" s="32" t="str">
        <x:v>伴侣触发的第二通道候选；需独立支持</x:v>
      </x:c>
      <x:c r="G9" s="39" t="str">
        <x:v>I08 行动解决作为次级回应方式</x:v>
      </x:c>
    </x:row>
    <x:row r="10" ht="15" hidden="0" customHeight="1">
      <x:c r="A10" s="38" t="str">
        <x:v>女命</x:v>
      </x:c>
      <x:c r="B10" s="32" t="str">
        <x:v>七杀</x:v>
      </x:c>
      <x:c r="C10" s="32" t="str">
        <x:v>余气</x:v>
      </x:c>
      <x:c r="D10" s="32" t="str">
        <x:v>M2的行动与承担证据</x:v>
      </x:c>
      <x:c r="E10" s="32" t="str">
        <x:v>I08 行动解决</x:v>
      </x:c>
      <x:c r="F10" s="32" t="str">
        <x:v>潜在连续性；默认不进正文</x:v>
      </x:c>
      <x:c r="G10" s="39" t="str">
        <x:v>只在特定情境中保留候选</x:v>
      </x:c>
    </x:row>
    <x:row r="11" ht="24" hidden="0" customHeight="1">
      <x:c r="A11" s="38" t="str">
        <x:v>男命</x:v>
      </x:c>
      <x:c r="B11" s="32" t="str">
        <x:v>正财</x:v>
      </x:c>
      <x:c r="C11" s="32" t="str">
        <x:v>主气</x:v>
      </x:c>
      <x:c r="D11" s="32" t="str">
        <x:v>M2的持续投入证据</x:v>
      </x:c>
      <x:c r="E11" s="32" t="str">
        <x:v>I05 稳定经营</x:v>
      </x:c>
      <x:c r="F11" s="32" t="str">
        <x:v>连续性较高；同源不重复基础加分</x:v>
      </x:c>
      <x:c r="G11" s="39" t="str">
        <x:v>关系建立后，时间投入、日常安排和现实经营更容易直接进入相处底盘。</x:v>
      </x:c>
    </x:row>
    <x:row r="12" ht="15" hidden="0" customHeight="1">
      <x:c r="A12" s="38" t="str">
        <x:v>男命</x:v>
      </x:c>
      <x:c r="B12" s="32" t="str">
        <x:v>正财</x:v>
      </x:c>
      <x:c r="C12" s="32" t="str">
        <x:v>中气</x:v>
      </x:c>
      <x:c r="D12" s="32" t="str">
        <x:v>M2的持续投入证据</x:v>
      </x:c>
      <x:c r="E12" s="32" t="str">
        <x:v>I05 稳定经营</x:v>
      </x:c>
      <x:c r="F12" s="32" t="str">
        <x:v>伴侣触发的第二通道候选；需独立支持</x:v>
      </x:c>
      <x:c r="G12" s="39" t="str">
        <x:v>I05 稳定经营作为次级回应方式</x:v>
      </x:c>
    </x:row>
    <x:row r="13" ht="15" hidden="0" customHeight="1">
      <x:c r="A13" s="38" t="str">
        <x:v>男命</x:v>
      </x:c>
      <x:c r="B13" s="32" t="str">
        <x:v>正财</x:v>
      </x:c>
      <x:c r="C13" s="32" t="str">
        <x:v>余气</x:v>
      </x:c>
      <x:c r="D13" s="32" t="str">
        <x:v>M2的持续投入证据</x:v>
      </x:c>
      <x:c r="E13" s="32" t="str">
        <x:v>I05 稳定经营</x:v>
      </x:c>
      <x:c r="F13" s="32" t="str">
        <x:v>潜在连续性；默认不进正文</x:v>
      </x:c>
      <x:c r="G13" s="39" t="str">
        <x:v>只在特定情境中保留候选</x:v>
      </x:c>
    </x:row>
    <x:row r="14" ht="24" hidden="0" customHeight="1">
      <x:c r="A14" s="38" t="str">
        <x:v>男命</x:v>
      </x:c>
      <x:c r="B14" s="32" t="str">
        <x:v>偏财</x:v>
      </x:c>
      <x:c r="C14" s="32" t="str">
        <x:v>主气</x:v>
      </x:c>
      <x:c r="D14" s="32" t="str">
        <x:v>M2的互动与共同体验证据</x:v>
      </x:c>
      <x:c r="E14" s="32" t="str">
        <x:v>I06 体验联结</x:v>
      </x:c>
      <x:c r="F14" s="32" t="str">
        <x:v>连续性较高；同源不重复基础加分</x:v>
      </x:c>
      <x:c r="G14" s="39" t="str">
        <x:v>关系建立后，有来有往的互动、共同体验和灵活回应更容易直接进入相处底盘。</x:v>
      </x:c>
    </x:row>
    <x:row r="15" ht="15" hidden="0" customHeight="1">
      <x:c r="A15" s="38" t="str">
        <x:v>男命</x:v>
      </x:c>
      <x:c r="B15" s="32" t="str">
        <x:v>偏财</x:v>
      </x:c>
      <x:c r="C15" s="32" t="str">
        <x:v>中气</x:v>
      </x:c>
      <x:c r="D15" s="32" t="str">
        <x:v>M2的互动与共同体验证据</x:v>
      </x:c>
      <x:c r="E15" s="32" t="str">
        <x:v>I06 体验联结</x:v>
      </x:c>
      <x:c r="F15" s="32" t="str">
        <x:v>伴侣触发的第二通道候选；需独立支持</x:v>
      </x:c>
      <x:c r="G15" s="39" t="str">
        <x:v>I06 体验联结作为次级回应方式</x:v>
      </x:c>
    </x:row>
    <x:row r="16" ht="15" hidden="0" customHeight="1">
      <x:c r="A16" s="40" t="str">
        <x:v>男命</x:v>
      </x:c>
      <x:c r="B16" s="57" t="str">
        <x:v>偏财</x:v>
      </x:c>
      <x:c r="C16" s="57" t="str">
        <x:v>余气</x:v>
      </x:c>
      <x:c r="D16" s="57" t="str">
        <x:v>M2的互动与共同体验证据</x:v>
      </x:c>
      <x:c r="E16" s="57" t="str">
        <x:v>I06 体验联结</x:v>
      </x:c>
      <x:c r="F16" s="57" t="str">
        <x:v>潜在连续性；默认不进正文</x:v>
      </x:c>
      <x:c r="G16" s="41" t="str">
        <x:v>只在特定情境中保留候选</x:v>
      </x:c>
    </x:row>
    <x:row r="17"/>
    <x:row r="18" ht="15" hidden="0" customHeight="1">
      <x:c r="A18" s="51" t="str">
        <x:v>通用边界</x:v>
      </x:c>
      <x:c r="B18" s="51"/>
      <x:c r="C18" s="51"/>
      <x:c r="D18" s="51"/>
      <x:c r="E18" s="51"/>
      <x:c r="F18" s="51"/>
      <x:c r="G18" s="51"/>
    </x:row>
    <x:row r="19" ht="15" hidden="0" customHeight="1">
      <x:c r="A19" s="36" t="str">
        <x:v>情况</x:v>
      </x:c>
      <x:c r="B19" s="37" t="str">
        <x:v>处理</x:v>
      </x:c>
    </x:row>
    <x:row r="20" ht="15" hidden="0" customHeight="1">
      <x:c r="A20" s="38" t="str">
        <x:v>夫妻星不入宫</x:v>
      </x:c>
      <x:c r="B20" s="39" t="str">
        <x:v>中性处理，不减分，不代表没有婚姻或亲密能力</x:v>
      </x:c>
    </x:row>
    <x:row r="21" ht="15" hidden="0" customHeight="1">
      <x:c r="A21" s="38" t="str">
        <x:v>正偏夫妻星同宫并见</x:v>
      </x:c>
      <x:c r="B21" s="39" t="str">
        <x:v>先按同一五系统收敛，再看风格分工；不写感情复杂或花心</x:v>
      </x:c>
    </x:row>
    <x:row r="22" ht="15" hidden="0" customHeight="1">
      <x:c r="A22" s="38" t="str">
        <x:v>夫妻星入宫但主气受损</x:v>
      </x:c>
      <x:c r="B22" s="39" t="str">
        <x:v>选择—相处连续性降级为情境候选</x:v>
      </x:c>
    </x:row>
    <x:row r="23" ht="15" hidden="0" customHeight="1">
      <x:c r="A23" s="38" t="str">
        <x:v>夫妻星真合化</x:v>
      </x:c>
      <x:c r="B23" s="39" t="str">
        <x:v>停止原夫妻星接口，改走化神系统</x:v>
      </x:c>
    </x:row>
    <x:row r="24" ht="15" hidden="0" customHeight="1">
      <x:c r="A24" s="40" t="str">
        <x:v>传统角色边界</x:v>
      </x:c>
      <x:c r="B24" s="41" t="str">
        <x:v>不推断固定性别分工、职业、身份或伴侣人格</x:v>
      </x:c>
    </x:row>
  </x:sheetData>
  <x:mergeCells>
    <x:mergeCell ref="A1:G1"/>
    <x:mergeCell ref="A2:G2"/>
    <x:mergeCell ref="A18:G18"/>
  </x:mergeCells>
  <x:pageMargins left="0.7" right="0.7" top="0.75" bottom="0.75" header="0.3" footer="0.3"/>
  <x:tableParts count="2">
    <x:tablePart xmlns:r="http://schemas.openxmlformats.org/officeDocument/2006/relationships" r:id="R5e80c1fefe5d4ea2"/>
    <x:tablePart xmlns:r="http://schemas.openxmlformats.org/officeDocument/2006/relationships" r:id="R2acf00518fdd4c38"/>
  </x:tableParts>
</x:worksheet>
</file>

<file path=xl/worksheets/sheet6.xml><?xml version="1.0" encoding="utf-8"?>
<x:worksheet xmlns:x="http://schemas.openxmlformats.org/spreadsheetml/2006/main">
  <x:sheetFormatPr defaultRowHeight="15"/>
  <x:cols>
    <x:col min="1" max="1" width="8" hidden="0" customWidth="1"/>
    <x:col min="2" max="2" width="96" hidden="0" customWidth="1"/>
    <x:col min="3" max="3" width="48" hidden="0" customWidth="1"/>
    <x:col min="4" max="4" width="48" hidden="0" customWidth="1"/>
    <x:col min="5" max="5" width="42" hidden="0" customWidth="1"/>
    <x:col min="6" max="6" width="42" hidden="0" customWidth="1"/>
  </x:cols>
  <x:sheetData>
    <x:row r="1" ht="19.200000762939453" hidden="0" customHeight="1">
      <x:c r="A1" s="6" t="str">
        <x:v>日支合、冲、刑、害、破速查</x:v>
      </x:c>
      <x:c r="B1" s="6"/>
      <x:c r="C1" s="6"/>
      <x:c r="D1" s="6"/>
      <x:c r="E1" s="6"/>
      <x:c r="F1" s="6"/>
    </x:row>
    <x:row r="2" ht="15" hidden="0" customHeight="1">
      <x:c r="A2" s="15" t="str">
        <x:v>这些结构只修正底盘的运行节奏；必须先由共享引擎确认作用有效。</x:v>
      </x:c>
      <x:c r="B2" s="15"/>
      <x:c r="C2" s="15"/>
      <x:c r="D2" s="15"/>
      <x:c r="E2" s="15"/>
      <x:c r="F2" s="15"/>
    </x:row>
    <x:row r="3"/>
    <x:row r="4" ht="15" hidden="0" customHeight="1">
      <x:c r="A4" s="36" t="str">
        <x:v>结构</x:v>
      </x:c>
      <x:c r="B4" s="56" t="str">
        <x:v>中性含义</x:v>
      </x:c>
      <x:c r="C4" s="56" t="str">
        <x:v>平稳状态解释</x:v>
      </x:c>
      <x:c r="D4" s="56" t="str">
        <x:v>压力候选</x:v>
      </x:c>
      <x:c r="E4" s="56" t="str">
        <x:v>弱远处理</x:v>
      </x:c>
      <x:c r="F4" s="37" t="str">
        <x:v>禁止推出</x:v>
      </x:c>
    </x:row>
    <x:row r="5" ht="24" hidden="0" customHeight="1">
      <x:c r="A5" s="38" t="str">
        <x:v>合</x:v>
      </x:c>
      <x:c r="B5" s="32" t="str">
        <x:v>协调与绑定</x:v>
      </x:c>
      <x:c r="C5" s="32" t="str">
        <x:v>你的核心相处底盘仍在，但关系里更容易出现“先协调、再决定怎样推进”的倾向。</x:v>
      </x:c>
      <x:c r="D5" s="32" t="str">
        <x:v>遇到压力时，你可能先尝试协调彼此安排或找到兼顾点，再直接表达自己的单一立场。</x:v>
      </x:c>
      <x:c r="E5" s="32" t="str">
        <x:v>如果这项合力较弱或距离较远，它只作为背景，不足以改变核心相处模式。</x:v>
      </x:c>
      <x:c r="F5" s="39" t="str">
        <x:v>不得推出一定恩爱、黏人、依赖、被伴侣绑定，或出现多个对象。</x:v>
      </x:c>
    </x:row>
    <x:row r="6" ht="24" hidden="0" customHeight="1">
      <x:c r="A6" s="38" t="str">
        <x:v>冲</x:v>
      </x:c>
      <x:c r="B6" s="32" t="str">
        <x:v>差异外显与节奏调整</x:v>
      </x:c>
      <x:c r="C6" s="32" t="str">
        <x:v>你的核心相处主题仍在，但关系中的差异和节奏变化通常更容易被摆到台面上处理。</x:v>
      </x:c>
      <x:c r="D6" s="32" t="str">
        <x:v>遇到明显分歧时，你可能更快进入调整节奏、重新安排或直接处理差异的状态。</x:v>
      </x:c>
      <x:c r="E6" s="32" t="str">
        <x:v>如果冲力不足、远位或未真正作用于日支，它不能单独改写关系底盘。</x:v>
      </x:c>
      <x:c r="F6" s="39" t="str">
        <x:v>不得推出分手、离婚、长期不稳定、异地或一定频繁争吵。</x:v>
      </x:c>
    </x:row>
    <x:row r="7" ht="24" hidden="0" customHeight="1">
      <x:c r="A7" s="38" t="str">
        <x:v>刑</x:v>
      </x:c>
      <x:c r="B7" s="32" t="str">
        <x:v>反复校正与细节敏感</x:v>
      </x:c>
      <x:c r="C7" s="32" t="str">
        <x:v>你的核心相处方式可能带有反复确认和调整细节的特点，事情未完全说清或处理好时不容易马上略过。</x:v>
      </x:c>
      <x:c r="D7" s="32" t="str">
        <x:v>遇到分歧时，你可能需要多轮确认或调整，才能真正觉得这件事被处理完整。</x:v>
      </x:c>
      <x:c r="E7" s="32" t="str">
        <x:v>刑势较弱、条件不全或仅为远位背景时，只能作为低权重敏感度修正。</x:v>
      </x:c>
      <x:c r="F7" s="39" t="str">
        <x:v>不得推出一定争吵、自我折磨、互相伤害、心理问题或婚姻不幸。</x:v>
      </x:c>
    </x:row>
    <x:row r="8" ht="24" hidden="0" customHeight="1">
      <x:c r="A8" s="38" t="str">
        <x:v>害</x:v>
      </x:c>
      <x:c r="B8" s="32" t="str">
        <x:v>间接错位与确认需求</x:v>
      </x:c>
      <x:c r="C8" s="32" t="str">
        <x:v>你的核心相处底盘仍在，但有些感受或期待可能不会第一时间说得完全一致，需要多一步确认。</x:v>
      </x:c>
      <x:c r="D8" s="32" t="str">
        <x:v>遇到微妙不舒服时，你可能不会马上下结论，而是先观察、确认对方意思，再决定怎样回应。</x:v>
      </x:c>
      <x:c r="E8" s="32" t="str">
        <x:v>害的解释争议较大；若作用弱、远或缺乏第二证据，不进入用户正文。</x:v>
      </x:c>
      <x:c r="F8" s="39" t="str">
        <x:v>不得推出背叛、欺骗、第三者、暗害、恶意或对方不真诚。</x:v>
      </x:c>
    </x:row>
    <x:row r="9" ht="24" hidden="0" customHeight="1">
      <x:c r="A9" s="40" t="str">
        <x:v>破</x:v>
      </x:c>
      <x:c r="B9" s="57" t="str">
        <x:v>旧节奏重置与安排修订</x:v>
      </x:c>
      <x:c r="C9" s="57" t="str">
        <x:v>你的核心相处主题仍在，但一些原有安排或默认习惯可能需要通过重新商量才能继续运转。</x:v>
      </x:c>
      <x:c r="D9" s="57" t="str">
        <x:v>当原来的做法不再适用时，你可能更倾向重新调整安排，而不是勉强维持旧节奏。</x:v>
      </x:c>
      <x:c r="E9" s="57" t="str">
        <x:v>破在不同流派中的权重差异较大；若缺乏强度与现实第二证据，默认只作低权重背景。</x:v>
      </x:c>
      <x:c r="F9" s="41" t="str">
        <x:v>不得推出关系破裂、分手、财物损失、承诺失效或一定需要重来。</x:v>
      </x:c>
    </x:row>
    <x:row r="10"/>
    <x:row r="11" ht="15" hidden="0" customHeight="1">
      <x:c r="A11" s="51" t="str">
        <x:v>五条统一规则</x:v>
      </x:c>
      <x:c r="B11" s="51"/>
      <x:c r="C11" s="51"/>
      <x:c r="D11" s="51"/>
      <x:c r="E11" s="51"/>
      <x:c r="F11" s="51"/>
    </x:row>
    <x:row r="12" ht="15" hidden="0" customHeight="1">
      <x:c r="A12" s="36" t="str">
        <x:v>序号</x:v>
      </x:c>
      <x:c r="B12" s="37" t="str">
        <x:v>规则</x:v>
      </x:c>
    </x:row>
    <x:row r="13" ht="15" hidden="0" customHeight="1">
      <x:c r="A13" s="38" t="str">
        <x:v>1</x:v>
      </x:c>
      <x:c r="B13" s="39" t="str">
        <x:v>有效性先于取象；弱、远、条件不足时不进入用户正文</x:v>
      </x:c>
    </x:row>
    <x:row r="14" ht="15" hidden="0" customHeight="1">
      <x:c r="A14" s="38" t="str">
        <x:v>2</x:v>
      </x:c>
      <x:c r="B14" s="39" t="str">
        <x:v>动态只作修正，不另建十神底盘</x:v>
      </x:c>
    </x:row>
    <x:row r="15" ht="15" hidden="0" customHeight="1">
      <x:c r="A15" s="38" t="str">
        <x:v>3</x:v>
      </x:c>
      <x:c r="B15" s="39" t="str">
        <x:v>多重作用提高情境依赖度，不等于多人关系</x:v>
      </x:c>
    </x:row>
    <x:row r="16" ht="15" hidden="0" customHeight="1">
      <x:c r="A16" s="38" t="str">
        <x:v>4</x:v>
      </x:c>
      <x:c r="B16" s="39" t="str">
        <x:v>合而不化保留原十神；真合化改走替换路径</x:v>
      </x:c>
    </x:row>
    <x:row r="17" ht="15" hidden="0" customHeight="1">
      <x:c r="A17" s="40" t="str">
        <x:v>5</x:v>
      </x:c>
      <x:c r="B17" s="41" t="str">
        <x:v>所有事件、风险和适配结论分别留给M4、M5或时运模块</x:v>
      </x:c>
    </x:row>
  </x:sheetData>
  <x:mergeCells>
    <x:mergeCell ref="A1:F1"/>
    <x:mergeCell ref="A2:F2"/>
    <x:mergeCell ref="A11:F11"/>
  </x:mergeCells>
  <x:pageMargins left="0.7" right="0.7" top="0.75" bottom="0.75" header="0.3" footer="0.3"/>
  <x:tableParts count="2">
    <x:tablePart xmlns:r="http://schemas.openxmlformats.org/officeDocument/2006/relationships" r:id="R3971daea6cea4275"/>
    <x:tablePart xmlns:r="http://schemas.openxmlformats.org/officeDocument/2006/relationships" r:id="Rb3348d861ef246b7"/>
  </x:tableParts>
</x:worksheet>
</file>

<file path=xl/worksheets/sheet7.xml><?xml version="1.0" encoding="utf-8"?>
<x:worksheet xmlns:x="http://schemas.openxmlformats.org/spreadsheetml/2006/main">
  <x:sheetFormatPr defaultRowHeight="15"/>
  <x:cols>
    <x:col min="1" max="1" width="8" hidden="0" customWidth="1"/>
    <x:col min="2" max="2" width="96" hidden="0" customWidth="1"/>
    <x:col min="3" max="3" width="48" hidden="0" customWidth="1"/>
  </x:cols>
  <x:sheetData>
    <x:row r="1" ht="19.200000762939453" hidden="0" customHeight="1">
      <x:c r="A1" s="6" t="str">
        <x:v>状态修正与合化路由</x:v>
      </x:c>
      <x:c r="B1" s="6"/>
      <x:c r="C1" s="6"/>
      <x:c r="D1" s="6"/>
      <x:c r="E1" s="6"/>
      <x:c r="F1" s="6"/>
      <x:c r="G1" s="6"/>
    </x:row>
    <x:row r="2" ht="15" hidden="0" customHeight="1">
      <x:c r="A2" s="15" t="str">
        <x:v>状态决定通道如何显现，不改变十神的基础功能；真合化是替换路由。</x:v>
      </x:c>
      <x:c r="B2" s="15"/>
      <x:c r="C2" s="15"/>
      <x:c r="D2" s="15"/>
      <x:c r="E2" s="15"/>
      <x:c r="F2" s="15"/>
      <x:c r="G2" s="15"/>
    </x:row>
    <x:row r="3"/>
    <x:row r="4" ht="15" hidden="0" customHeight="1">
      <x:c r="A4" s="36" t="str">
        <x:v>状态</x:v>
      </x:c>
      <x:c r="B4" s="56" t="str">
        <x:v>M3-BASE作用</x:v>
      </x:c>
      <x:c r="C4" s="37" t="str">
        <x:v>禁止误读</x:v>
      </x:c>
    </x:row>
    <x:row r="5" ht="15" hidden="0" customHeight="1">
      <x:c r="A5" s="38" t="str">
        <x:v>同类透干</x:v>
      </x:c>
      <x:c r="B5" s="32" t="str">
        <x:v>提高外显度；同根时只作外显修正</x:v>
      </x:c>
      <x:c r="C5" s="39" t="str">
        <x:v>不得重复计为独立证据</x:v>
      </x:c>
    </x:row>
    <x:row r="6" ht="15" hidden="0" customHeight="1">
      <x:c r="A6" s="38" t="str">
        <x:v>仅藏日支</x:v>
      </x:c>
      <x:c r="B6" s="32" t="str">
        <x:v>更易在亲密关系内部显现</x:v>
      </x:c>
      <x:c r="C6" s="39" t="str">
        <x:v>不等于没有或压抑</x:v>
      </x:c>
    </x:row>
    <x:row r="7" ht="15" hidden="0" customHeight="1">
      <x:c r="A7" s="38" t="str">
        <x:v>有根</x:v>
      </x:c>
      <x:c r="B7" s="32" t="str">
        <x:v>提高重复性与承载力</x:v>
      </x:c>
      <x:c r="C7" s="39" t="str">
        <x:v>不等于成熟或关系稳定</x:v>
      </x:c>
    </x:row>
    <x:row r="8" ht="15" hidden="0" customHeight="1">
      <x:c r="A8" s="38" t="str">
        <x:v>无根</x:v>
      </x:c>
      <x:c r="B8" s="32" t="str">
        <x:v>降低跨场景持续性</x:v>
      </x:c>
      <x:c r="C8" s="39" t="str">
        <x:v>不等于虚假或不存在</x:v>
      </x:c>
    </x:row>
    <x:row r="9" ht="15" hidden="0" customHeight="1">
      <x:c r="A9" s="38" t="str">
        <x:v>旺而平衡</x:v>
      </x:c>
      <x:c r="B9" s="32" t="str">
        <x:v>较自然调用</x:v>
      </x:c>
      <x:c r="C9" s="39" t="str">
        <x:v>不等于好或适配</x:v>
      </x:c>
    </x:row>
    <x:row r="10" ht="15" hidden="0" customHeight="1">
      <x:c r="A10" s="38" t="str">
        <x:v>过旺失衡</x:v>
      </x:c>
      <x:c r="B10" s="32" t="str">
        <x:v>更易抢先启动，压力下更明显</x:v>
      </x:c>
      <x:c r="C10" s="39" t="str">
        <x:v>风险交M4</x:v>
      </x:c>
    </x:row>
    <x:row r="11" ht="15" hidden="0" customHeight="1">
      <x:c r="A11" s="38" t="str">
        <x:v>弱而有助</x:v>
      </x:c>
      <x:c r="B11" s="32" t="str">
        <x:v>条件合适时可稳定调用</x:v>
      </x:c>
      <x:c r="C11" s="39" t="str">
        <x:v>不等于伪装</x:v>
      </x:c>
    </x:row>
    <x:row r="12" ht="15" hidden="0" customHeight="1">
      <x:c r="A12" s="38" t="str">
        <x:v>弱而无助</x:v>
      </x:c>
      <x:c r="B12" s="32" t="str">
        <x:v>底盘主题保留但降置信</x:v>
      </x:c>
      <x:c r="C12" s="39" t="str">
        <x:v>不能强行高频输出</x:v>
      </x:c>
    </x:row>
    <x:row r="13" ht="24" hidden="0" customHeight="1">
      <x:c r="A13" s="38" t="str">
        <x:v>为喜且平衡</x:v>
      </x:c>
      <x:c r="B13" s="32" t="str">
        <x:v>调用相对顺畅</x:v>
      </x:c>
      <x:c r="C13" s="39" t="str">
        <x:v>喜神不等于用户喜欢</x:v>
      </x:c>
    </x:row>
    <x:row r="14" ht="24" hidden="0" customHeight="1">
      <x:c r="A14" s="38" t="str">
        <x:v>为忌且过旺</x:v>
      </x:c>
      <x:c r="B14" s="32" t="str">
        <x:v>调用强度可能更高</x:v>
      </x:c>
      <x:c r="C14" s="39" t="str">
        <x:v>忌神不等于不喜欢</x:v>
      </x:c>
    </x:row>
    <x:row r="15" ht="15" hidden="0" customHeight="1">
      <x:c r="A15" s="38" t="str">
        <x:v>有制有化</x:v>
      </x:c>
      <x:c r="B15" s="32" t="str">
        <x:v>原通道经过另一系统调节</x:v>
      </x:c>
      <x:c r="C15" s="39" t="str">
        <x:v>不等于自动成熟</x:v>
      </x:c>
    </x:row>
    <x:row r="16" ht="15" hidden="0" customHeight="1">
      <x:c r="A16" s="40" t="str">
        <x:v>强而无制</x:v>
      </x:c>
      <x:c r="B16" s="57" t="str">
        <x:v>第一反应更易由该通道占位</x:v>
      </x:c>
      <x:c r="C16" s="41" t="str">
        <x:v>不等于必然失控</x:v>
      </x:c>
    </x:row>
    <x:row r="17"/>
    <x:row r="18" ht="15" hidden="0" customHeight="1">
      <x:c r="A18" s="51" t="str">
        <x:v>真合化路由</x:v>
      </x:c>
      <x:c r="B18" s="51"/>
      <x:c r="C18" s="51"/>
      <x:c r="D18" s="51"/>
      <x:c r="E18" s="51"/>
      <x:c r="F18" s="51"/>
      <x:c r="G18" s="51"/>
    </x:row>
    <x:row r="19" ht="15" hidden="0" customHeight="1">
      <x:c r="A19" s="36" t="str">
        <x:v>步骤</x:v>
      </x:c>
      <x:c r="B19" s="37" t="str">
        <x:v>处理</x:v>
      </x:c>
    </x:row>
    <x:row r="20" ht="15" hidden="0" customHeight="1">
      <x:c r="A20" s="38" t="str">
        <x:v>1</x:v>
      </x:c>
      <x:c r="B20" s="39" t="str">
        <x:v>确认真合化高置信成立；若争议影响主气则停止</x:v>
      </x:c>
    </x:row>
    <x:row r="21" ht="15" hidden="0" customHeight="1">
      <x:c r="A21" s="38" t="str">
        <x:v>2</x:v>
      </x:c>
      <x:c r="B21" s="39" t="str">
        <x:v>原日支十神基础分清零，不与化神并列满分</x:v>
      </x:c>
    </x:row>
    <x:row r="22" ht="15" hidden="0" customHeight="1">
      <x:c r="A22" s="38" t="str">
        <x:v>3</x:v>
      </x:c>
      <x:c r="B22" s="39" t="str">
        <x:v>读取化神五行，并按与日主关系映射五系统</x:v>
      </x:c>
    </x:row>
    <x:row r="23" ht="15" hidden="0" customHeight="1">
      <x:c r="A23" s="38" t="str">
        <x:v>4</x:v>
      </x:c>
      <x:c r="B23" s="39" t="str">
        <x:v>阴阳可靠时再细分正偏十神；不可靠则停在系统层</x:v>
      </x:c>
    </x:row>
    <x:row r="24" ht="15" hidden="0" customHeight="1">
      <x:c r="A24" s="38" t="str">
        <x:v>5</x:v>
      </x:c>
      <x:c r="B24" s="39" t="str">
        <x:v>检查化神在全局是否有承载；不足时只给低置信候选</x:v>
      </x:c>
    </x:row>
    <x:row r="25" ht="15" hidden="0" customHeight="1">
      <x:c r="A25" s="40" t="str">
        <x:v>6</x:v>
      </x:c>
      <x:c r="B25" s="41" t="str">
        <x:v>大运流年只形成stage_overlay，不改写原局BASE</x:v>
      </x:c>
    </x:row>
  </x:sheetData>
  <x:mergeCells>
    <x:mergeCell ref="A1:G1"/>
    <x:mergeCell ref="A2:G2"/>
    <x:mergeCell ref="A18:G18"/>
  </x:mergeCells>
  <x:pageMargins left="0.7" right="0.7" top="0.75" bottom="0.75" header="0.3" footer="0.3"/>
  <x:tableParts count="2">
    <x:tablePart xmlns:r="http://schemas.openxmlformats.org/officeDocument/2006/relationships" r:id="R9aaeabba38e44075"/>
    <x:tablePart xmlns:r="http://schemas.openxmlformats.org/officeDocument/2006/relationships" r:id="R3660e5bf264a4bf5"/>
  </x:tableParts>
</x:worksheet>
</file>

<file path=xl/worksheets/sheet8.xml><?xml version="1.0" encoding="utf-8"?>
<x:worksheet xmlns:x="http://schemas.openxmlformats.org/spreadsheetml/2006/main">
  <x:sheetFormatPr defaultRowHeight="15"/>
  <x:cols>
    <x:col min="1" max="1" width="16" hidden="0" customWidth="1"/>
    <x:col min="2" max="2" width="34" hidden="0" customWidth="1"/>
    <x:col min="3" max="3" width="20" hidden="0" customWidth="1"/>
    <x:col min="4" max="4" width="20" hidden="0" customWidth="1"/>
    <x:col min="5" max="5" width="12" hidden="0" customWidth="1"/>
    <x:col min="6" max="6" width="14" hidden="0" customWidth="1"/>
    <x:col min="7" max="7" width="26" hidden="0" customWidth="1"/>
    <x:col min="8" max="8" width="28" hidden="0" customWidth="1"/>
    <x:col min="9" max="9" width="48" hidden="0" customWidth="1"/>
    <x:col min="10" max="10" width="44" hidden="0" customWidth="1"/>
    <x:col min="11" max="11" width="26" hidden="0" customWidth="1"/>
    <x:col min="12" max="12" width="22" hidden="0" customWidth="1"/>
    <x:col min="13" max="13" width="26" hidden="0" customWidth="1"/>
    <x:col min="14" max="14" width="26" hidden="0" customWidth="1"/>
    <x:col min="15" max="15" width="20" hidden="0" customWidth="1"/>
    <x:col min="16" max="16" width="14" hidden="0" customWidth="1"/>
    <x:col min="17" max="17" width="14" hidden="0" customWidth="1"/>
    <x:col min="18" max="18" width="16" hidden="0" customWidth="1"/>
    <x:col min="19" max="19" width="30" hidden="0" customWidth="1"/>
    <x:col min="20" max="20" width="12" hidden="0" customWidth="1"/>
    <x:col min="21" max="21" width="10" hidden="0" customWidth="1"/>
    <x:col min="22" max="22" width="26" hidden="0" customWidth="1"/>
    <x:col min="23" max="23" width="28" hidden="0" customWidth="1"/>
    <x:col min="24" max="24" width="56" hidden="0" customWidth="1"/>
    <x:col min="25" max="25" width="54" hidden="0" customWidth="1"/>
    <x:col min="26" max="26" width="54" hidden="0" customWidth="1"/>
    <x:col min="27" max="27" width="14" hidden="0" customWidth="1"/>
    <x:col min="28" max="28" width="14" hidden="0" customWidth="1"/>
    <x:col min="29" max="29" width="20" hidden="0" customWidth="1"/>
    <x:col min="30" max="30" width="42" hidden="0" customWidth="1"/>
    <x:col min="31" max="31" width="10" hidden="0" customWidth="1"/>
  </x:cols>
  <x:sheetData>
    <x:row r="1" ht="30" customHeight="1">
      <x:c r="A1" s="6" t="str">
        <x:v>M3-BASE 原子规则主表 V0.2</x:v>
      </x:c>
      <x:c r="B1" s="6"/>
      <x:c r="C1" s="6"/>
      <x:c r="D1" s="6"/>
      <x:c r="E1" s="6"/>
      <x:c r="F1" s="6"/>
      <x:c r="G1" s="6"/>
      <x:c r="H1" s="6"/>
      <x:c r="I1" s="6"/>
      <x:c r="J1" s="6"/>
      <x:c r="K1" s="6"/>
      <x:c r="L1" s="6"/>
      <x:c r="M1" s="6"/>
      <x:c r="N1" s="6"/>
      <x:c r="O1" s="6"/>
      <x:c r="P1" s="6"/>
      <x:c r="Q1" s="6"/>
      <x:c r="R1" s="6"/>
      <x:c r="S1" s="6"/>
      <x:c r="T1" s="6"/>
      <x:c r="U1" s="6"/>
      <x:c r="V1" s="6"/>
      <x:c r="W1" s="6"/>
      <x:c r="X1" s="6"/>
      <x:c r="Y1" s="6"/>
      <x:c r="Z1" s="6"/>
      <x:c r="AA1" s="6"/>
      <x:c r="AB1" s="6"/>
      <x:c r="AC1" s="6"/>
      <x:c r="AD1" s="6"/>
      <x:c r="AE1" s="6"/>
    </x:row>
    <x:row r="2" ht="32" customHeight="1">
      <x:c r="A2" s="15" t="str">
        <x:v>206条规则；本工作表是本模块唯一正式结构化真源。</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row>
    <x:row r="4">
      <x:c r="A4" s="36" t="str">
        <x:v>rule_id</x:v>
      </x:c>
      <x:c r="B4" s="56" t="str">
        <x:v>rule_name</x:v>
      </x:c>
      <x:c r="C4" s="56" t="str">
        <x:v>layer</x:v>
      </x:c>
      <x:c r="D4" s="56" t="str">
        <x:v>module</x:v>
      </x:c>
      <x:c r="E4" s="56" t="str">
        <x:v>applicable_group</x:v>
      </x:c>
      <x:c r="F4" s="56" t="str">
        <x:v>rule_type</x:v>
      </x:c>
      <x:c r="G4" s="56" t="str">
        <x:v>main_signal</x:v>
      </x:c>
      <x:c r="H4" s="56" t="str">
        <x:v>secondary_signal</x:v>
      </x:c>
      <x:c r="I4" s="56" t="str">
        <x:v>required_conditions</x:v>
      </x:c>
      <x:c r="J4" s="56" t="str">
        <x:v>excluded_conditions</x:v>
      </x:c>
      <x:c r="K4" s="56" t="str">
        <x:v>self_strength_status</x:v>
      </x:c>
      <x:c r="L4" s="56" t="str">
        <x:v>spouse_star_status</x:v>
      </x:c>
      <x:c r="M4" s="56" t="str">
        <x:v>palace_signal</x:v>
      </x:c>
      <x:c r="N4" s="56" t="str">
        <x:v>flow_path</x:v>
      </x:c>
      <x:c r="O4" s="56" t="str">
        <x:v>signal_position</x:v>
      </x:c>
      <x:c r="P4" s="56" t="str">
        <x:v>root_status</x:v>
      </x:c>
      <x:c r="Q4" s="56" t="str">
        <x:v>strength_level</x:v>
      </x:c>
      <x:c r="R4" s="56" t="str">
        <x:v>favorability</x:v>
      </x:c>
      <x:c r="S4" s="56" t="str">
        <x:v>transformation_status</x:v>
      </x:c>
      <x:c r="T4" s="56" t="str">
        <x:v>distance_level</x:v>
      </x:c>
      <x:c r="U4" s="56" t="str">
        <x:v>priority</x:v>
      </x:c>
      <x:c r="V4" s="56" t="str">
        <x:v>score_effect</x:v>
      </x:c>
      <x:c r="W4" s="56" t="str">
        <x:v>output_slot</x:v>
      </x:c>
      <x:c r="X4" s="56" t="str">
        <x:v>internal_logic</x:v>
      </x:c>
      <x:c r="Y4" s="56" t="str">
        <x:v>user_explanation</x:v>
      </x:c>
      <x:c r="Z4" s="56" t="str">
        <x:v>forbidden_inference</x:v>
      </x:c>
      <x:c r="AA4" s="56" t="str">
        <x:v>confidence_base</x:v>
      </x:c>
      <x:c r="AB4" s="56" t="str">
        <x:v>validation_status</x:v>
      </x:c>
      <x:c r="AC4" s="56" t="str">
        <x:v>case_refs</x:v>
      </x:c>
      <x:c r="AD4" s="56" t="str">
        <x:v>notes</x:v>
      </x:c>
      <x:c r="AE4" s="37" t="str">
        <x:v>version</x:v>
      </x:c>
    </x:row>
    <x:row r="5">
      <x:c r="A5" s="38" t="str">
        <x:v>M3-BASE-001</x:v>
      </x:c>
      <x:c r="B5" s="32" t="str">
        <x:v>日支比肩｜核心关系底盘</x:v>
      </x:c>
      <x:c r="C5" s="32" t="str">
        <x:v>L1 关系运行底盘</x:v>
      </x:c>
      <x:c r="D5" s="32" t="str">
        <x:v>BASE-十神底盘</x:v>
      </x:c>
      <x:c r="E5" s="32" t="str">
        <x:v>通用</x:v>
      </x:c>
      <x:c r="F5" s="32" t="str">
        <x:v>基础</x:v>
      </x:c>
      <x:c r="G5" s="32" t="str">
        <x:v>日支主气比肩</x:v>
      </x:c>
      <x:c r="H5" s="32" t="str"/>
      <x:c r="I5" s="32" t="str">
        <x:v>日支主气十神由共享基础引擎可靠判定为比肩；日支原十神性质有效；未命中真合化停止。</x:v>
      </x:c>
      <x:c r="J5" s="32" t="str">
        <x:v>日支主气未定；真合化后原十神性质不再有效；基础排盘或十神映射置信度不足。</x:v>
      </x:c>
      <x:c r="K5" s="32" t="str">
        <x:v>不限定；由后续模块修正</x:v>
      </x:c>
      <x:c r="L5" s="32" t="str">
        <x:v>不限定</x:v>
      </x:c>
      <x:c r="M5" s="32" t="str">
        <x:v>I01 平等并肩／平等、伙伴感与自主边界</x:v>
      </x:c>
      <x:c r="N5" s="32" t="str">
        <x:v>无／待后续模块组合</x:v>
      </x:c>
      <x:c r="O5" s="32" t="str">
        <x:v>日支或与日支直接相关</x:v>
      </x:c>
      <x:c r="P5" s="32" t="str">
        <x:v>由共享基础引擎判定</x:v>
      </x:c>
      <x:c r="Q5" s="32" t="str">
        <x:v>由共享基础引擎判定</x:v>
      </x:c>
      <x:c r="R5" s="32" t="str">
        <x:v>喜忌未定或由共享引擎提供</x:v>
      </x:c>
      <x:c r="S5" s="32" t="str">
        <x:v>原十神性质有效；无真合化或已完成相应路由</x:v>
      </x:c>
      <x:c r="T5" s="32" t="str">
        <x:v>近</x:v>
      </x:c>
      <x:c r="U5" s="32" t="n">
        <x:v>96</x:v>
      </x:c>
      <x:c r="V5" s="32" t="str">
        <x:v>I01 平等并肩 +25</x:v>
      </x:c>
      <x:c r="W5" s="32" t="str">
        <x:v>relationship_baseline</x:v>
      </x:c>
      <x:c r="X5" s="32" t="str">
        <x:v>日支是亲密关系运行位；主气为比肩时，进入关系后，更自然地把伴侣视为平等协作的队友；亲密需要与自主并存。该规则只确定底盘主题，不直接生成完整表达、分歧或修复结论。</x:v>
      </x:c>
      <x:c r="Y5" s="32" t="str">
        <x:v>进入关系后，你更习惯把伴侣当作可以平等商量、各自保留判断和空间的队友。</x:v>
      </x:c>
      <x:c r="Z5" s="32" t="str">
        <x:v>不得推出用户自私、不愿付出、一定强势、排斥亲密，或双方必然竞争。 本规则只描述关系建立后的互动底盘，不判断风险、结果和适配。</x:v>
      </x:c>
      <x:c r="AA5" s="32" t="str">
        <x:v>中高</x:v>
      </x:c>
      <x:c r="AB5" s="32" t="str">
        <x:v>待验证</x:v>
      </x:c>
      <x:c r="AC5" s="32" t="str"/>
      <x:c r="AD5" s="32" t="str">
        <x:v>provisional=true; source_id=DAY_BRANCH_PRIMARY_比肩; interaction_state=平稳基线</x:v>
      </x:c>
      <x:c r="AE5" s="39" t="str">
        <x:v>0.2</x:v>
      </x:c>
    </x:row>
    <x:row r="6">
      <x:c r="A6" s="38" t="str">
        <x:v>M3-BASE-002</x:v>
      </x:c>
      <x:c r="B6" s="32" t="str">
        <x:v>日支比肩｜主相处模式候选</x:v>
      </x:c>
      <x:c r="C6" s="32" t="str">
        <x:v>L1 关系运行底盘</x:v>
      </x:c>
      <x:c r="D6" s="32" t="str">
        <x:v>BASE-十神底盘</x:v>
      </x:c>
      <x:c r="E6" s="32" t="str">
        <x:v>通用</x:v>
      </x:c>
      <x:c r="F6" s="32" t="str">
        <x:v>模式候选</x:v>
      </x:c>
      <x:c r="G6" s="32" t="str">
        <x:v>日支主气比肩</x:v>
      </x:c>
      <x:c r="H6" s="32" t="str">
        <x:v>I01 平等并肩</x:v>
      </x:c>
      <x:c r="I6" s="32" t="str">
        <x:v>M3中“日支比肩核心关系底盘”已经成立；至少有一项独立支持证据，或后续模块未形成更强冲突证据。</x:v>
      </x:c>
      <x:c r="J6" s="32" t="str">
        <x:v>核心底盘已停止；仅有一处弱远争议信号；后续模块形成更高权威且不同的主通道。</x:v>
      </x:c>
      <x:c r="K6" s="32" t="str">
        <x:v>不限定；由后续模块修正</x:v>
      </x:c>
      <x:c r="L6" s="32" t="str">
        <x:v>不限定</x:v>
      </x:c>
      <x:c r="M6" s="32" t="str">
        <x:v>平等、伙伴感与自主边界</x:v>
      </x:c>
      <x:c r="N6" s="32" t="str">
        <x:v>无／待后续模块组合</x:v>
      </x:c>
      <x:c r="O6" s="32" t="str">
        <x:v>日支或与日支直接相关</x:v>
      </x:c>
      <x:c r="P6" s="32" t="str">
        <x:v>由共享基础引擎判定</x:v>
      </x:c>
      <x:c r="Q6" s="32" t="str">
        <x:v>由共享基础引擎判定</x:v>
      </x:c>
      <x:c r="R6" s="32" t="str">
        <x:v>喜忌未定或由共享引擎提供</x:v>
      </x:c>
      <x:c r="S6" s="32" t="str">
        <x:v>原十神性质有效；无真合化或已完成相应路由</x:v>
      </x:c>
      <x:c r="T6" s="32" t="str">
        <x:v>近</x:v>
      </x:c>
      <x:c r="U6" s="32" t="n">
        <x:v>90</x:v>
      </x:c>
      <x:c r="V6" s="32" t="str">
        <x:v>P01 平等伙伴型 候选 +18</x:v>
      </x:c>
      <x:c r="W6" s="32" t="str">
        <x:v>interaction_pattern</x:v>
      </x:c>
      <x:c r="X6" s="32" t="str">
        <x:v>日支比肩可将整体相处模式初步指向P01 平等伙伴型；BASE只生成候选，最终需由EXPR、CARE、BOUND、CONFLICT或STATE至少一项复核。</x:v>
      </x:c>
      <x:c r="Y6" s="32" t="str">
        <x:v>你的相处方式更接近“平等伙伴型”：进入关系后，更自然地把伴侣视为平等协作的队友；亲密需要与自主并存。</x:v>
      </x:c>
      <x:c r="Z6" s="32" t="str">
        <x:v>不得推出用户自私、不愿付出、一定强势、排斥亲密，或双方必然竞争。 本规则只描述关系建立后的互动底盘，不判断风险、结果和适配。 不得仅凭日支锁定用户在所有关系和所有压力状态下都使用同一模式。</x:v>
      </x:c>
      <x:c r="AA6" s="32" t="str">
        <x:v>中</x:v>
      </x:c>
      <x:c r="AB6" s="32" t="str">
        <x:v>待验证</x:v>
      </x:c>
      <x:c r="AC6" s="32" t="str"/>
      <x:c r="AD6" s="32" t="str">
        <x:v>provisional=true; source_id=DAY_BRANCH_PRIMARY_比肩; candidate_only=true</x:v>
      </x:c>
      <x:c r="AE6" s="39" t="str">
        <x:v>0.2</x:v>
      </x:c>
    </x:row>
    <x:row r="7">
      <x:c r="A7" s="38" t="str">
        <x:v>M3-BASE-003</x:v>
      </x:c>
      <x:c r="B7" s="32" t="str">
        <x:v>日支比肩｜过程维度路由</x:v>
      </x:c>
      <x:c r="C7" s="32" t="str">
        <x:v>L2 主要互动通道</x:v>
      </x:c>
      <x:c r="D7" s="32" t="str">
        <x:v>BASE-十神底盘</x:v>
      </x:c>
      <x:c r="E7" s="32" t="str">
        <x:v>通用</x:v>
      </x:c>
      <x:c r="F7" s="32" t="str">
        <x:v>路由</x:v>
      </x:c>
      <x:c r="G7" s="32" t="str">
        <x:v>日支主气比肩</x:v>
      </x:c>
      <x:c r="H7" s="32" t="str">
        <x:v>Q03 亲密距离节奏＋Q05 决策分配方式 候选</x:v>
      </x:c>
      <x:c r="I7" s="32" t="str">
        <x:v>日支比肩核心底盘有效；相关后续模块输入完整。</x:v>
      </x:c>
      <x:c r="J7" s="32" t="str">
        <x:v>相关后续模块停止；该过程维度仅由同一日支事实重复支持且没有独立证据。</x:v>
      </x:c>
      <x:c r="K7" s="32" t="str">
        <x:v>不限定；由后续模块修正</x:v>
      </x:c>
      <x:c r="L7" s="32" t="str">
        <x:v>不限定</x:v>
      </x:c>
      <x:c r="M7" s="32" t="str">
        <x:v>平等、伙伴感与自主边界</x:v>
      </x:c>
      <x:c r="N7" s="32" t="str">
        <x:v>无／待后续模块组合</x:v>
      </x:c>
      <x:c r="O7" s="32" t="str">
        <x:v>日支或与日支直接相关</x:v>
      </x:c>
      <x:c r="P7" s="32" t="str">
        <x:v>由共享基础引擎判定</x:v>
      </x:c>
      <x:c r="Q7" s="32" t="str">
        <x:v>由共享基础引擎判定</x:v>
      </x:c>
      <x:c r="R7" s="32" t="str">
        <x:v>喜忌未定或由共享引擎提供</x:v>
      </x:c>
      <x:c r="S7" s="32" t="str">
        <x:v>原十神性质有效；无真合化或已完成相应路由</x:v>
      </x:c>
      <x:c r="T7" s="32" t="str">
        <x:v>近</x:v>
      </x:c>
      <x:c r="U7" s="32" t="n">
        <x:v>76</x:v>
      </x:c>
      <x:c r="V7" s="32" t="str">
        <x:v>Q03 亲密距离节奏＋Q05 决策分配方式 候选</x:v>
      </x:c>
      <x:c r="W7" s="32" t="str">
        <x:v>closeness_boundary／decision_pattern（候选，待M3-BOUND复核）</x:v>
      </x:c>
      <x:c r="X7" s="32" t="str">
        <x:v>比肩底盘会把亲密距离与共同决策初步指向并肩独立、平等协商，但不能在BASE阶段直接锁定具体边界强度。</x:v>
      </x:c>
      <x:c r="Y7" s="32" t="str">
        <x:v>你通常更愿意在尊重彼此边界的前提下靠近，重要事情倾向于共同商量，而不是由一方替另一方决定。</x:v>
      </x:c>
      <x:c r="Z7" s="32" t="str">
        <x:v>不得推出用户自私、不愿付出、一定强势、排斥亲密，或双方必然竞争。 本规则只描述关系建立后的互动底盘，不判断风险、结果和适配。 该句只作为后续模块候选，不能在BASE阶段直接作为最终行为结论。</x:v>
      </x:c>
      <x:c r="AA7" s="32" t="str">
        <x:v>中低</x:v>
      </x:c>
      <x:c r="AB7" s="32" t="str">
        <x:v>待验证</x:v>
      </x:c>
      <x:c r="AC7" s="32" t="str"/>
      <x:c r="AD7" s="32" t="str">
        <x:v>provisional=true; source_id=DAY_BRANCH_PRIMARY_比肩; route_only=true</x:v>
      </x:c>
      <x:c r="AE7" s="39" t="str">
        <x:v>0.2</x:v>
      </x:c>
    </x:row>
    <x:row r="8">
      <x:c r="A8" s="38" t="str">
        <x:v>M3-BASE-004</x:v>
      </x:c>
      <x:c r="B8" s="32" t="str">
        <x:v>日支比肩｜依据摘要</x:v>
      </x:c>
      <x:c r="C8" s="32" t="str">
        <x:v>L8 总合成与边界审查</x:v>
      </x:c>
      <x:c r="D8" s="32" t="str">
        <x:v>BASE-十神底盘</x:v>
      </x:c>
      <x:c r="E8" s="32" t="str">
        <x:v>通用</x:v>
      </x:c>
      <x:c r="F8" s="32" t="str">
        <x:v>输出</x:v>
      </x:c>
      <x:c r="G8" s="32" t="str">
        <x:v>日支主气比肩</x:v>
      </x:c>
      <x:c r="H8" s="32" t="str"/>
      <x:c r="I8" s="32" t="str">
        <x:v>日支比肩底盘进入最终或暂定输出。</x:v>
      </x:c>
      <x:c r="J8" s="32" t="str">
        <x:v>该底盘被删除、真合化替代或停止。</x:v>
      </x:c>
      <x:c r="K8" s="32" t="str">
        <x:v>不限定；由后续模块修正</x:v>
      </x:c>
      <x:c r="L8" s="32" t="str">
        <x:v>不限定</x:v>
      </x:c>
      <x:c r="M8" s="32" t="str">
        <x:v>平等、伙伴感与自主边界</x:v>
      </x:c>
      <x:c r="N8" s="32" t="str">
        <x:v>无／待后续模块组合</x:v>
      </x:c>
      <x:c r="O8" s="32" t="str">
        <x:v>日支或与日支直接相关</x:v>
      </x:c>
      <x:c r="P8" s="32" t="str">
        <x:v>由共享基础引擎判定</x:v>
      </x:c>
      <x:c r="Q8" s="32" t="str">
        <x:v>由共享基础引擎判定</x:v>
      </x:c>
      <x:c r="R8" s="32" t="str">
        <x:v>喜忌未定或由共享引擎提供</x:v>
      </x:c>
      <x:c r="S8" s="32" t="str">
        <x:v>原十神性质有效；无真合化或已完成相应路由</x:v>
      </x:c>
      <x:c r="T8" s="32" t="str">
        <x:v>近</x:v>
      </x:c>
      <x:c r="U8" s="32" t="n">
        <x:v>68</x:v>
      </x:c>
      <x:c r="V8" s="32" t="str">
        <x:v>不加分</x:v>
      </x:c>
      <x:c r="W8" s="32" t="str">
        <x:v>basis_summary</x:v>
      </x:c>
      <x:c r="X8" s="32" t="str">
        <x:v>生成折叠命理依据，只说明日支比肩如何映射为I01 平等并肩，不把日支写成实际伴侣性格。</x:v>
      </x:c>
      <x:c r="Y8" s="32" t="str">
        <x:v>从传统八字取象看，日支的比肩信号使你的关系运行底盘更接近“平等、伙伴感与自主边界”。</x:v>
      </x:c>
      <x:c r="Z8" s="32" t="str">
        <x:v>不得推出用户自私、不愿付出、一定强势、排斥亲密，或双方必然竞争。 本规则只描述关系建立后的互动底盘，不判断风险、结果和适配。</x:v>
      </x:c>
      <x:c r="AA8" s="32" t="str">
        <x:v>中</x:v>
      </x:c>
      <x:c r="AB8" s="32" t="str">
        <x:v>待验证</x:v>
      </x:c>
      <x:c r="AC8" s="32" t="str"/>
      <x:c r="AD8" s="32" t="str">
        <x:v>provisional=true; source_id=DAY_BRANCH_PRIMARY_比肩; summary_only=true</x:v>
      </x:c>
      <x:c r="AE8" s="39" t="str">
        <x:v>0.2</x:v>
      </x:c>
    </x:row>
    <x:row r="9">
      <x:c r="A9" s="38" t="str">
        <x:v>M3-BASE-005</x:v>
      </x:c>
      <x:c r="B9" s="32" t="str">
        <x:v>日支劫财｜核心关系底盘</x:v>
      </x:c>
      <x:c r="C9" s="32" t="str">
        <x:v>L1 关系运行底盘</x:v>
      </x:c>
      <x:c r="D9" s="32" t="str">
        <x:v>BASE-十神底盘</x:v>
      </x:c>
      <x:c r="E9" s="32" t="str">
        <x:v>通用</x:v>
      </x:c>
      <x:c r="F9" s="32" t="str">
        <x:v>基础</x:v>
      </x:c>
      <x:c r="G9" s="32" t="str">
        <x:v>日支主气劫财</x:v>
      </x:c>
      <x:c r="H9" s="32" t="str"/>
      <x:c r="I9" s="32" t="str">
        <x:v>日支主气十神由共享基础引擎可靠判定为劫财；日支原十神性质有效；未命中真合化停止。</x:v>
      </x:c>
      <x:c r="J9" s="32" t="str">
        <x:v>日支主气未定；真合化后原十神性质不再有效；基础排盘或十神映射置信度不足。</x:v>
      </x:c>
      <x:c r="K9" s="32" t="str">
        <x:v>不限定；由后续模块修正</x:v>
      </x:c>
      <x:c r="L9" s="32" t="str">
        <x:v>不限定</x:v>
      </x:c>
      <x:c r="M9" s="32" t="str">
        <x:v>I02 共同行动／共同参与、行动默契与节奏带动</x:v>
      </x:c>
      <x:c r="N9" s="32" t="str">
        <x:v>无／待后续模块组合</x:v>
      </x:c>
      <x:c r="O9" s="32" t="str">
        <x:v>日支或与日支直接相关</x:v>
      </x:c>
      <x:c r="P9" s="32" t="str">
        <x:v>由共享基础引擎判定</x:v>
      </x:c>
      <x:c r="Q9" s="32" t="str">
        <x:v>由共享基础引擎判定</x:v>
      </x:c>
      <x:c r="R9" s="32" t="str">
        <x:v>喜忌未定或由共享引擎提供</x:v>
      </x:c>
      <x:c r="S9" s="32" t="str">
        <x:v>原十神性质有效；无真合化或已完成相应路由</x:v>
      </x:c>
      <x:c r="T9" s="32" t="str">
        <x:v>近</x:v>
      </x:c>
      <x:c r="U9" s="32" t="n">
        <x:v>96</x:v>
      </x:c>
      <x:c r="V9" s="32" t="str">
        <x:v>I02 共同行动 +25</x:v>
      </x:c>
      <x:c r="W9" s="32" t="str">
        <x:v>relationship_baseline</x:v>
      </x:c>
      <x:c r="X9" s="32" t="str">
        <x:v>日支是亲密关系运行位；主气为劫财时，进入关系后，更容易在一起做事、共同推进和即时参与中感到联结。该规则只确定底盘主题，不直接生成完整表达、分歧或修复结论。</x:v>
      </x:c>
      <x:c r="Y9" s="32" t="str">
        <x:v>关系里有共同目标、一起做事和即时回应时，你更容易感到彼此真正站在同一边。</x:v>
      </x:c>
      <x:c r="Z9" s="32" t="str">
        <x:v>不得推出第三者、抢夺、关系竞争、容易冲动进入关系，或用户一定爱主导。 本规则只描述关系建立后的互动底盘，不判断风险、结果和适配。</x:v>
      </x:c>
      <x:c r="AA9" s="32" t="str">
        <x:v>中高</x:v>
      </x:c>
      <x:c r="AB9" s="32" t="str">
        <x:v>待验证</x:v>
      </x:c>
      <x:c r="AC9" s="32" t="str"/>
      <x:c r="AD9" s="32" t="str">
        <x:v>provisional=true; source_id=DAY_BRANCH_PRIMARY_劫财; interaction_state=平稳基线</x:v>
      </x:c>
      <x:c r="AE9" s="39" t="str">
        <x:v>0.2</x:v>
      </x:c>
    </x:row>
    <x:row r="10">
      <x:c r="A10" s="38" t="str">
        <x:v>M3-BASE-006</x:v>
      </x:c>
      <x:c r="B10" s="32" t="str">
        <x:v>日支劫财｜主相处模式候选</x:v>
      </x:c>
      <x:c r="C10" s="32" t="str">
        <x:v>L1 关系运行底盘</x:v>
      </x:c>
      <x:c r="D10" s="32" t="str">
        <x:v>BASE-十神底盘</x:v>
      </x:c>
      <x:c r="E10" s="32" t="str">
        <x:v>通用</x:v>
      </x:c>
      <x:c r="F10" s="32" t="str">
        <x:v>模式候选</x:v>
      </x:c>
      <x:c r="G10" s="32" t="str">
        <x:v>日支主气劫财</x:v>
      </x:c>
      <x:c r="H10" s="32" t="str">
        <x:v>I02 共同行动</x:v>
      </x:c>
      <x:c r="I10" s="32" t="str">
        <x:v>M3中“日支劫财核心关系底盘”已经成立；至少有一项独立支持证据，或后续模块未形成更强冲突证据。</x:v>
      </x:c>
      <x:c r="J10" s="32" t="str">
        <x:v>核心底盘已停止；仅有一处弱远争议信号；后续模块形成更高权威且不同的主通道。</x:v>
      </x:c>
      <x:c r="K10" s="32" t="str">
        <x:v>不限定；由后续模块修正</x:v>
      </x:c>
      <x:c r="L10" s="32" t="str">
        <x:v>不限定</x:v>
      </x:c>
      <x:c r="M10" s="32" t="str">
        <x:v>共同参与、行动默契与节奏带动</x:v>
      </x:c>
      <x:c r="N10" s="32" t="str">
        <x:v>无／待后续模块组合</x:v>
      </x:c>
      <x:c r="O10" s="32" t="str">
        <x:v>日支或与日支直接相关</x:v>
      </x:c>
      <x:c r="P10" s="32" t="str">
        <x:v>由共享基础引擎判定</x:v>
      </x:c>
      <x:c r="Q10" s="32" t="str">
        <x:v>由共享基础引擎判定</x:v>
      </x:c>
      <x:c r="R10" s="32" t="str">
        <x:v>喜忌未定或由共享引擎提供</x:v>
      </x:c>
      <x:c r="S10" s="32" t="str">
        <x:v>原十神性质有效；无真合化或已完成相应路由</x:v>
      </x:c>
      <x:c r="T10" s="32" t="str">
        <x:v>近</x:v>
      </x:c>
      <x:c r="U10" s="32" t="n">
        <x:v>90</x:v>
      </x:c>
      <x:c r="V10" s="32" t="str">
        <x:v>P02 共同行动型 候选 +18</x:v>
      </x:c>
      <x:c r="W10" s="32" t="str">
        <x:v>interaction_pattern</x:v>
      </x:c>
      <x:c r="X10" s="32" t="str">
        <x:v>日支劫财可将整体相处模式初步指向P02 共同行动型；BASE只生成候选，最终需由EXPR、CARE、BOUND、CONFLICT或STATE至少一项复核。</x:v>
      </x:c>
      <x:c r="Y10" s="32" t="str">
        <x:v>你的相处方式更接近“共同行动型”：进入关系后，更容易在一起做事、共同推进和即时参与中感到联结。</x:v>
      </x:c>
      <x:c r="Z10" s="32" t="str">
        <x:v>不得推出第三者、抢夺、关系竞争、容易冲动进入关系，或用户一定爱主导。 本规则只描述关系建立后的互动底盘，不判断风险、结果和适配。 不得仅凭日支锁定用户在所有关系和所有压力状态下都使用同一模式。</x:v>
      </x:c>
      <x:c r="AA10" s="32" t="str">
        <x:v>中</x:v>
      </x:c>
      <x:c r="AB10" s="32" t="str">
        <x:v>待验证</x:v>
      </x:c>
      <x:c r="AC10" s="32" t="str"/>
      <x:c r="AD10" s="32" t="str">
        <x:v>provisional=true; source_id=DAY_BRANCH_PRIMARY_劫财; candidate_only=true</x:v>
      </x:c>
      <x:c r="AE10" s="39" t="str">
        <x:v>0.2</x:v>
      </x:c>
    </x:row>
    <x:row r="11">
      <x:c r="A11" s="38" t="str">
        <x:v>M3-BASE-007</x:v>
      </x:c>
      <x:c r="B11" s="32" t="str">
        <x:v>日支劫财｜过程维度路由</x:v>
      </x:c>
      <x:c r="C11" s="32" t="str">
        <x:v>L2 主要互动通道</x:v>
      </x:c>
      <x:c r="D11" s="32" t="str">
        <x:v>BASE-十神底盘</x:v>
      </x:c>
      <x:c r="E11" s="32" t="str">
        <x:v>通用</x:v>
      </x:c>
      <x:c r="F11" s="32" t="str">
        <x:v>路由</x:v>
      </x:c>
      <x:c r="G11" s="32" t="str">
        <x:v>日支主气劫财</x:v>
      </x:c>
      <x:c r="H11" s="32" t="str">
        <x:v>Q05 决策分配方式＋Q04 投入连续性 候选</x:v>
      </x:c>
      <x:c r="I11" s="32" t="str">
        <x:v>日支劫财核心底盘有效；相关后续模块输入完整。</x:v>
      </x:c>
      <x:c r="J11" s="32" t="str">
        <x:v>相关后续模块停止；该过程维度仅由同一日支事实重复支持且没有独立证据。</x:v>
      </x:c>
      <x:c r="K11" s="32" t="str">
        <x:v>不限定；由后续模块修正</x:v>
      </x:c>
      <x:c r="L11" s="32" t="str">
        <x:v>不限定</x:v>
      </x:c>
      <x:c r="M11" s="32" t="str">
        <x:v>共同参与、行动默契与节奏带动</x:v>
      </x:c>
      <x:c r="N11" s="32" t="str">
        <x:v>无／待后续模块组合</x:v>
      </x:c>
      <x:c r="O11" s="32" t="str">
        <x:v>日支或与日支直接相关</x:v>
      </x:c>
      <x:c r="P11" s="32" t="str">
        <x:v>由共享基础引擎判定</x:v>
      </x:c>
      <x:c r="Q11" s="32" t="str">
        <x:v>由共享基础引擎判定</x:v>
      </x:c>
      <x:c r="R11" s="32" t="str">
        <x:v>喜忌未定或由共享引擎提供</x:v>
      </x:c>
      <x:c r="S11" s="32" t="str">
        <x:v>原十神性质有效；无真合化或已完成相应路由</x:v>
      </x:c>
      <x:c r="T11" s="32" t="str">
        <x:v>近</x:v>
      </x:c>
      <x:c r="U11" s="32" t="n">
        <x:v>76</x:v>
      </x:c>
      <x:c r="V11" s="32" t="str">
        <x:v>Q05 决策分配方式＋Q04 投入连续性 候选</x:v>
      </x:c>
      <x:c r="W11" s="32" t="str">
        <x:v>decision_pattern／care_investment（候选，待M3-BOUND与M3-CARE复核）</x:v>
      </x:c>
      <x:c r="X11" s="32" t="str">
        <x:v>劫财底盘会把关系参与方式初步指向边做边协调、共同推进；是否稳定持续仍需财星、官杀和状态模块复核。</x:v>
      </x:c>
      <x:c r="Y11" s="32" t="str">
        <x:v>你往往会通过一起行动、共同处理具体事情来表达投入，互动越有参与感，关系越有真实感。</x:v>
      </x:c>
      <x:c r="Z11" s="32" t="str">
        <x:v>不得推出第三者、抢夺、关系竞争、容易冲动进入关系，或用户一定爱主导。 本规则只描述关系建立后的互动底盘，不判断风险、结果和适配。 该句只作为后续模块候选，不能在BASE阶段直接作为最终行为结论。</x:v>
      </x:c>
      <x:c r="AA11" s="32" t="str">
        <x:v>中低</x:v>
      </x:c>
      <x:c r="AB11" s="32" t="str">
        <x:v>待验证</x:v>
      </x:c>
      <x:c r="AC11" s="32" t="str"/>
      <x:c r="AD11" s="32" t="str">
        <x:v>provisional=true; source_id=DAY_BRANCH_PRIMARY_劫财; route_only=true</x:v>
      </x:c>
      <x:c r="AE11" s="39" t="str">
        <x:v>0.2</x:v>
      </x:c>
    </x:row>
    <x:row r="12">
      <x:c r="A12" s="38" t="str">
        <x:v>M3-BASE-008</x:v>
      </x:c>
      <x:c r="B12" s="32" t="str">
        <x:v>日支劫财｜依据摘要</x:v>
      </x:c>
      <x:c r="C12" s="32" t="str">
        <x:v>L8 总合成与边界审查</x:v>
      </x:c>
      <x:c r="D12" s="32" t="str">
        <x:v>BASE-十神底盘</x:v>
      </x:c>
      <x:c r="E12" s="32" t="str">
        <x:v>通用</x:v>
      </x:c>
      <x:c r="F12" s="32" t="str">
        <x:v>输出</x:v>
      </x:c>
      <x:c r="G12" s="32" t="str">
        <x:v>日支主气劫财</x:v>
      </x:c>
      <x:c r="H12" s="32" t="str"/>
      <x:c r="I12" s="32" t="str">
        <x:v>日支劫财底盘进入最终或暂定输出。</x:v>
      </x:c>
      <x:c r="J12" s="32" t="str">
        <x:v>该底盘被删除、真合化替代或停止。</x:v>
      </x:c>
      <x:c r="K12" s="32" t="str">
        <x:v>不限定；由后续模块修正</x:v>
      </x:c>
      <x:c r="L12" s="32" t="str">
        <x:v>不限定</x:v>
      </x:c>
      <x:c r="M12" s="32" t="str">
        <x:v>共同参与、行动默契与节奏带动</x:v>
      </x:c>
      <x:c r="N12" s="32" t="str">
        <x:v>无／待后续模块组合</x:v>
      </x:c>
      <x:c r="O12" s="32" t="str">
        <x:v>日支或与日支直接相关</x:v>
      </x:c>
      <x:c r="P12" s="32" t="str">
        <x:v>由共享基础引擎判定</x:v>
      </x:c>
      <x:c r="Q12" s="32" t="str">
        <x:v>由共享基础引擎判定</x:v>
      </x:c>
      <x:c r="R12" s="32" t="str">
        <x:v>喜忌未定或由共享引擎提供</x:v>
      </x:c>
      <x:c r="S12" s="32" t="str">
        <x:v>原十神性质有效；无真合化或已完成相应路由</x:v>
      </x:c>
      <x:c r="T12" s="32" t="str">
        <x:v>近</x:v>
      </x:c>
      <x:c r="U12" s="32" t="n">
        <x:v>68</x:v>
      </x:c>
      <x:c r="V12" s="32" t="str">
        <x:v>不加分</x:v>
      </x:c>
      <x:c r="W12" s="32" t="str">
        <x:v>basis_summary</x:v>
      </x:c>
      <x:c r="X12" s="32" t="str">
        <x:v>生成折叠命理依据，只说明日支劫财如何映射为I02 共同行动，不把日支写成实际伴侣性格。</x:v>
      </x:c>
      <x:c r="Y12" s="32" t="str">
        <x:v>从传统八字取象看，日支的劫财信号使你的关系运行底盘更接近“共同参与、行动默契与节奏带动”。</x:v>
      </x:c>
      <x:c r="Z12" s="32" t="str">
        <x:v>不得推出第三者、抢夺、关系竞争、容易冲动进入关系，或用户一定爱主导。 本规则只描述关系建立后的互动底盘，不判断风险、结果和适配。</x:v>
      </x:c>
      <x:c r="AA12" s="32" t="str">
        <x:v>中</x:v>
      </x:c>
      <x:c r="AB12" s="32" t="str">
        <x:v>待验证</x:v>
      </x:c>
      <x:c r="AC12" s="32" t="str"/>
      <x:c r="AD12" s="32" t="str">
        <x:v>provisional=true; source_id=DAY_BRANCH_PRIMARY_劫财; summary_only=true</x:v>
      </x:c>
      <x:c r="AE12" s="39" t="str">
        <x:v>0.2</x:v>
      </x:c>
    </x:row>
    <x:row r="13">
      <x:c r="A13" s="38" t="str">
        <x:v>M3-BASE-009</x:v>
      </x:c>
      <x:c r="B13" s="32" t="str">
        <x:v>日支食神｜核心关系底盘</x:v>
      </x:c>
      <x:c r="C13" s="32" t="str">
        <x:v>L1 关系运行底盘</x:v>
      </x:c>
      <x:c r="D13" s="32" t="str">
        <x:v>BASE-十神底盘</x:v>
      </x:c>
      <x:c r="E13" s="32" t="str">
        <x:v>通用</x:v>
      </x:c>
      <x:c r="F13" s="32" t="str">
        <x:v>基础</x:v>
      </x:c>
      <x:c r="G13" s="32" t="str">
        <x:v>日支主气食神</x:v>
      </x:c>
      <x:c r="H13" s="32" t="str"/>
      <x:c r="I13" s="32" t="str">
        <x:v>日支主气十神由共享基础引擎可靠判定为食神；日支原十神性质有效；未命中真合化停止。</x:v>
      </x:c>
      <x:c r="J13" s="32" t="str">
        <x:v>日支主气未定；真合化后原十神性质不再有效；基础排盘或十神映射置信度不足。</x:v>
      </x:c>
      <x:c r="K13" s="32" t="str">
        <x:v>不限定；由后续模块修正</x:v>
      </x:c>
      <x:c r="L13" s="32" t="str">
        <x:v>不限定</x:v>
      </x:c>
      <x:c r="M13" s="32" t="str">
        <x:v>I03 舒缓陪伴／舒适、陪伴与生活化联结</x:v>
      </x:c>
      <x:c r="N13" s="32" t="str">
        <x:v>无／待后续模块组合</x:v>
      </x:c>
      <x:c r="O13" s="32" t="str">
        <x:v>日支或与日支直接相关</x:v>
      </x:c>
      <x:c r="P13" s="32" t="str">
        <x:v>由共享基础引擎判定</x:v>
      </x:c>
      <x:c r="Q13" s="32" t="str">
        <x:v>由共享基础引擎判定</x:v>
      </x:c>
      <x:c r="R13" s="32" t="str">
        <x:v>喜忌未定或由共享引擎提供</x:v>
      </x:c>
      <x:c r="S13" s="32" t="str">
        <x:v>原十神性质有效；无真合化或已完成相应路由</x:v>
      </x:c>
      <x:c r="T13" s="32" t="str">
        <x:v>近</x:v>
      </x:c>
      <x:c r="U13" s="32" t="n">
        <x:v>96</x:v>
      </x:c>
      <x:c r="V13" s="32" t="str">
        <x:v>I03 舒缓陪伴 +25</x:v>
      </x:c>
      <x:c r="W13" s="32" t="str">
        <x:v>relationship_baseline</x:v>
      </x:c>
      <x:c r="X13" s="32" t="str">
        <x:v>日支是亲密关系运行位；主气为食神时，进入关系后，更自然地通过温和互动、日常照顾和轻松氛围维持亲密。该规则只确定底盘主题，不直接生成完整表达、分歧或修复结论。</x:v>
      </x:c>
      <x:c r="Y13" s="32" t="str">
        <x:v>你更习惯用陪伴、照顾日常和轻松自然的互动维持亲密感。</x:v>
      </x:c>
      <x:c r="Z13" s="32" t="str">
        <x:v>不得推出用户懒散、只重享受、回避问题，或关系一定缺乏责任。 本规则只描述关系建立后的互动底盘，不判断风险、结果和适配。</x:v>
      </x:c>
      <x:c r="AA13" s="32" t="str">
        <x:v>中高</x:v>
      </x:c>
      <x:c r="AB13" s="32" t="str">
        <x:v>待验证</x:v>
      </x:c>
      <x:c r="AC13" s="32" t="str"/>
      <x:c r="AD13" s="32" t="str">
        <x:v>provisional=true; source_id=DAY_BRANCH_PRIMARY_食神; interaction_state=平稳基线</x:v>
      </x:c>
      <x:c r="AE13" s="39" t="str">
        <x:v>0.2</x:v>
      </x:c>
    </x:row>
    <x:row r="14">
      <x:c r="A14" s="38" t="str">
        <x:v>M3-BASE-010</x:v>
      </x:c>
      <x:c r="B14" s="32" t="str">
        <x:v>日支食神｜主相处模式候选</x:v>
      </x:c>
      <x:c r="C14" s="32" t="str">
        <x:v>L1 关系运行底盘</x:v>
      </x:c>
      <x:c r="D14" s="32" t="str">
        <x:v>BASE-十神底盘</x:v>
      </x:c>
      <x:c r="E14" s="32" t="str">
        <x:v>通用</x:v>
      </x:c>
      <x:c r="F14" s="32" t="str">
        <x:v>模式候选</x:v>
      </x:c>
      <x:c r="G14" s="32" t="str">
        <x:v>日支主气食神</x:v>
      </x:c>
      <x:c r="H14" s="32" t="str">
        <x:v>I03 舒缓陪伴</x:v>
      </x:c>
      <x:c r="I14" s="32" t="str">
        <x:v>M3中“日支食神核心关系底盘”已经成立；至少有一项独立支持证据，或后续模块未形成更强冲突证据。</x:v>
      </x:c>
      <x:c r="J14" s="32" t="str">
        <x:v>核心底盘已停止；仅有一处弱远争议信号；后续模块形成更高权威且不同的主通道。</x:v>
      </x:c>
      <x:c r="K14" s="32" t="str">
        <x:v>不限定；由后续模块修正</x:v>
      </x:c>
      <x:c r="L14" s="32" t="str">
        <x:v>不限定</x:v>
      </x:c>
      <x:c r="M14" s="32" t="str">
        <x:v>舒适、陪伴与生活化联结</x:v>
      </x:c>
      <x:c r="N14" s="32" t="str">
        <x:v>无／待后续模块组合</x:v>
      </x:c>
      <x:c r="O14" s="32" t="str">
        <x:v>日支或与日支直接相关</x:v>
      </x:c>
      <x:c r="P14" s="32" t="str">
        <x:v>由共享基础引擎判定</x:v>
      </x:c>
      <x:c r="Q14" s="32" t="str">
        <x:v>由共享基础引擎判定</x:v>
      </x:c>
      <x:c r="R14" s="32" t="str">
        <x:v>喜忌未定或由共享引擎提供</x:v>
      </x:c>
      <x:c r="S14" s="32" t="str">
        <x:v>原十神性质有效；无真合化或已完成相应路由</x:v>
      </x:c>
      <x:c r="T14" s="32" t="str">
        <x:v>近</x:v>
      </x:c>
      <x:c r="U14" s="32" t="n">
        <x:v>90</x:v>
      </x:c>
      <x:c r="V14" s="32" t="str">
        <x:v>P03 舒缓陪伴型 候选 +18</x:v>
      </x:c>
      <x:c r="W14" s="32" t="str">
        <x:v>interaction_pattern</x:v>
      </x:c>
      <x:c r="X14" s="32" t="str">
        <x:v>日支食神可将整体相处模式初步指向P03 舒缓陪伴型；BASE只生成候选，最终需由EXPR、CARE、BOUND、CONFLICT或STATE至少一项复核。</x:v>
      </x:c>
      <x:c r="Y14" s="32" t="str">
        <x:v>你的相处方式更接近“舒缓陪伴型”：进入关系后，更自然地通过温和互动、日常照顾和轻松氛围维持亲密。</x:v>
      </x:c>
      <x:c r="Z14" s="32" t="str">
        <x:v>不得推出用户懒散、只重享受、回避问题，或关系一定缺乏责任。 本规则只描述关系建立后的互动底盘，不判断风险、结果和适配。 不得仅凭日支锁定用户在所有关系和所有压力状态下都使用同一模式。</x:v>
      </x:c>
      <x:c r="AA14" s="32" t="str">
        <x:v>中</x:v>
      </x:c>
      <x:c r="AB14" s="32" t="str">
        <x:v>待验证</x:v>
      </x:c>
      <x:c r="AC14" s="32" t="str"/>
      <x:c r="AD14" s="32" t="str">
        <x:v>provisional=true; source_id=DAY_BRANCH_PRIMARY_食神; candidate_only=true</x:v>
      </x:c>
      <x:c r="AE14" s="39" t="str">
        <x:v>0.2</x:v>
      </x:c>
    </x:row>
    <x:row r="15">
      <x:c r="A15" s="38" t="str">
        <x:v>M3-BASE-011</x:v>
      </x:c>
      <x:c r="B15" s="32" t="str">
        <x:v>日支食神｜过程维度路由</x:v>
      </x:c>
      <x:c r="C15" s="32" t="str">
        <x:v>L2 主要互动通道</x:v>
      </x:c>
      <x:c r="D15" s="32" t="str">
        <x:v>BASE-十神底盘</x:v>
      </x:c>
      <x:c r="E15" s="32" t="str">
        <x:v>通用</x:v>
      </x:c>
      <x:c r="F15" s="32" t="str">
        <x:v>路由</x:v>
      </x:c>
      <x:c r="G15" s="32" t="str">
        <x:v>日支主气食神</x:v>
      </x:c>
      <x:c r="H15" s="32" t="str">
        <x:v>Q01 表达外显度＋Q03 亲密距离节奏 候选</x:v>
      </x:c>
      <x:c r="I15" s="32" t="str">
        <x:v>日支食神核心底盘有效；相关后续模块输入完整。</x:v>
      </x:c>
      <x:c r="J15" s="32" t="str">
        <x:v>相关后续模块停止；该过程维度仅由同一日支事实重复支持且没有独立证据。</x:v>
      </x:c>
      <x:c r="K15" s="32" t="str">
        <x:v>不限定；由后续模块修正</x:v>
      </x:c>
      <x:c r="L15" s="32" t="str">
        <x:v>不限定</x:v>
      </x:c>
      <x:c r="M15" s="32" t="str">
        <x:v>舒适、陪伴与生活化联结</x:v>
      </x:c>
      <x:c r="N15" s="32" t="str">
        <x:v>无／待后续模块组合</x:v>
      </x:c>
      <x:c r="O15" s="32" t="str">
        <x:v>日支或与日支直接相关</x:v>
      </x:c>
      <x:c r="P15" s="32" t="str">
        <x:v>由共享基础引擎判定</x:v>
      </x:c>
      <x:c r="Q15" s="32" t="str">
        <x:v>由共享基础引擎判定</x:v>
      </x:c>
      <x:c r="R15" s="32" t="str">
        <x:v>喜忌未定或由共享引擎提供</x:v>
      </x:c>
      <x:c r="S15" s="32" t="str">
        <x:v>原十神性质有效；无真合化或已完成相应路由</x:v>
      </x:c>
      <x:c r="T15" s="32" t="str">
        <x:v>近</x:v>
      </x:c>
      <x:c r="U15" s="32" t="n">
        <x:v>76</x:v>
      </x:c>
      <x:c r="V15" s="32" t="str">
        <x:v>Q01 表达外显度＋Q03 亲密距离节奏 候选</x:v>
      </x:c>
      <x:c r="W15" s="32" t="str">
        <x:v>affection_expression（候选，待M3-EXPR复核）</x:v>
      </x:c>
      <x:c r="X15" s="32" t="str">
        <x:v>食神底盘提示爱意表达偏生活化、舒缓化，但是否直接说出需求以及压力下是否仍温和，需要表达模块复核。</x:v>
      </x:c>
      <x:c r="Y15" s="32" t="str">
        <x:v>你表达在意时，往往不是刻意制造强烈感，而是让相处更舒服、照顾细节，并在日常里持续陪伴。</x:v>
      </x:c>
      <x:c r="Z15" s="32" t="str">
        <x:v>不得推出用户懒散、只重享受、回避问题，或关系一定缺乏责任。 本规则只描述关系建立后的互动底盘，不判断风险、结果和适配。 该句只作为后续模块候选，不能在BASE阶段直接作为最终行为结论。</x:v>
      </x:c>
      <x:c r="AA15" s="32" t="str">
        <x:v>中低</x:v>
      </x:c>
      <x:c r="AB15" s="32" t="str">
        <x:v>待验证</x:v>
      </x:c>
      <x:c r="AC15" s="32" t="str"/>
      <x:c r="AD15" s="32" t="str">
        <x:v>provisional=true; source_id=DAY_BRANCH_PRIMARY_食神; route_only=true</x:v>
      </x:c>
      <x:c r="AE15" s="39" t="str">
        <x:v>0.2</x:v>
      </x:c>
    </x:row>
    <x:row r="16">
      <x:c r="A16" s="38" t="str">
        <x:v>M3-BASE-012</x:v>
      </x:c>
      <x:c r="B16" s="32" t="str">
        <x:v>日支食神｜依据摘要</x:v>
      </x:c>
      <x:c r="C16" s="32" t="str">
        <x:v>L8 总合成与边界审查</x:v>
      </x:c>
      <x:c r="D16" s="32" t="str">
        <x:v>BASE-十神底盘</x:v>
      </x:c>
      <x:c r="E16" s="32" t="str">
        <x:v>通用</x:v>
      </x:c>
      <x:c r="F16" s="32" t="str">
        <x:v>输出</x:v>
      </x:c>
      <x:c r="G16" s="32" t="str">
        <x:v>日支主气食神</x:v>
      </x:c>
      <x:c r="H16" s="32" t="str"/>
      <x:c r="I16" s="32" t="str">
        <x:v>日支食神底盘进入最终或暂定输出。</x:v>
      </x:c>
      <x:c r="J16" s="32" t="str">
        <x:v>该底盘被删除、真合化替代或停止。</x:v>
      </x:c>
      <x:c r="K16" s="32" t="str">
        <x:v>不限定；由后续模块修正</x:v>
      </x:c>
      <x:c r="L16" s="32" t="str">
        <x:v>不限定</x:v>
      </x:c>
      <x:c r="M16" s="32" t="str">
        <x:v>舒适、陪伴与生活化联结</x:v>
      </x:c>
      <x:c r="N16" s="32" t="str">
        <x:v>无／待后续模块组合</x:v>
      </x:c>
      <x:c r="O16" s="32" t="str">
        <x:v>日支或与日支直接相关</x:v>
      </x:c>
      <x:c r="P16" s="32" t="str">
        <x:v>由共享基础引擎判定</x:v>
      </x:c>
      <x:c r="Q16" s="32" t="str">
        <x:v>由共享基础引擎判定</x:v>
      </x:c>
      <x:c r="R16" s="32" t="str">
        <x:v>喜忌未定或由共享引擎提供</x:v>
      </x:c>
      <x:c r="S16" s="32" t="str">
        <x:v>原十神性质有效；无真合化或已完成相应路由</x:v>
      </x:c>
      <x:c r="T16" s="32" t="str">
        <x:v>近</x:v>
      </x:c>
      <x:c r="U16" s="32" t="n">
        <x:v>68</x:v>
      </x:c>
      <x:c r="V16" s="32" t="str">
        <x:v>不加分</x:v>
      </x:c>
      <x:c r="W16" s="32" t="str">
        <x:v>basis_summary</x:v>
      </x:c>
      <x:c r="X16" s="32" t="str">
        <x:v>生成折叠命理依据，只说明日支食神如何映射为I03 舒缓陪伴，不把日支写成实际伴侣性格。</x:v>
      </x:c>
      <x:c r="Y16" s="32" t="str">
        <x:v>从传统八字取象看，日支的食神信号使你的关系运行底盘更接近“舒适、陪伴与生活化联结”。</x:v>
      </x:c>
      <x:c r="Z16" s="32" t="str">
        <x:v>不得推出用户懒散、只重享受、回避问题，或关系一定缺乏责任。 本规则只描述关系建立后的互动底盘，不判断风险、结果和适配。</x:v>
      </x:c>
      <x:c r="AA16" s="32" t="str">
        <x:v>中</x:v>
      </x:c>
      <x:c r="AB16" s="32" t="str">
        <x:v>待验证</x:v>
      </x:c>
      <x:c r="AC16" s="32" t="str"/>
      <x:c r="AD16" s="32" t="str">
        <x:v>provisional=true; source_id=DAY_BRANCH_PRIMARY_食神; summary_only=true</x:v>
      </x:c>
      <x:c r="AE16" s="39" t="str">
        <x:v>0.2</x:v>
      </x:c>
    </x:row>
    <x:row r="17">
      <x:c r="A17" s="38" t="str">
        <x:v>M3-BASE-013</x:v>
      </x:c>
      <x:c r="B17" s="32" t="str">
        <x:v>日支伤官｜核心关系底盘</x:v>
      </x:c>
      <x:c r="C17" s="32" t="str">
        <x:v>L1 关系运行底盘</x:v>
      </x:c>
      <x:c r="D17" s="32" t="str">
        <x:v>BASE-十神底盘</x:v>
      </x:c>
      <x:c r="E17" s="32" t="str">
        <x:v>通用</x:v>
      </x:c>
      <x:c r="F17" s="32" t="str">
        <x:v>基础</x:v>
      </x:c>
      <x:c r="G17" s="32" t="str">
        <x:v>日支主气伤官</x:v>
      </x:c>
      <x:c r="H17" s="32" t="str"/>
      <x:c r="I17" s="32" t="str">
        <x:v>日支主气十神由共享基础引擎可靠判定为伤官；日支原十神性质有效；未命中真合化停止。</x:v>
      </x:c>
      <x:c r="J17" s="32" t="str">
        <x:v>日支主气未定；真合化后原十神性质不再有效；基础排盘或十神映射置信度不足。</x:v>
      </x:c>
      <x:c r="K17" s="32" t="str">
        <x:v>不限定；由后续模块修正</x:v>
      </x:c>
      <x:c r="L17" s="32" t="str">
        <x:v>不限定</x:v>
      </x:c>
      <x:c r="M17" s="32" t="str">
        <x:v>I04 表达澄清／真实表达、观点交换与及时反馈</x:v>
      </x:c>
      <x:c r="N17" s="32" t="str">
        <x:v>无／待后续模块组合</x:v>
      </x:c>
      <x:c r="O17" s="32" t="str">
        <x:v>日支或与日支直接相关</x:v>
      </x:c>
      <x:c r="P17" s="32" t="str">
        <x:v>由共享基础引擎判定</x:v>
      </x:c>
      <x:c r="Q17" s="32" t="str">
        <x:v>由共享基础引擎判定</x:v>
      </x:c>
      <x:c r="R17" s="32" t="str">
        <x:v>喜忌未定或由共享引擎提供</x:v>
      </x:c>
      <x:c r="S17" s="32" t="str">
        <x:v>原十神性质有效；无真合化或已完成相应路由</x:v>
      </x:c>
      <x:c r="T17" s="32" t="str">
        <x:v>近</x:v>
      </x:c>
      <x:c r="U17" s="32" t="n">
        <x:v>96</x:v>
      </x:c>
      <x:c r="V17" s="32" t="str">
        <x:v>I04 表达澄清 +25</x:v>
      </x:c>
      <x:c r="W17" s="32" t="str">
        <x:v>relationship_baseline</x:v>
      </x:c>
      <x:c r="X17" s="32" t="str">
        <x:v>日支是亲密关系运行位；主气为伤官时，进入关系后，更自然地通过说清感受、交换观点和追问原因维持真实感。该规则只确定底盘主题，不直接生成完整表达、分歧或修复结论。</x:v>
      </x:c>
      <x:c r="Y17" s="32" t="str">
        <x:v>关系里能不能把话说清楚、彼此回应观点，对你的相处感受很重要。</x:v>
      </x:c>
      <x:c r="Z17" s="32" t="str">
        <x:v>不得推出用户爱争吵、说话刻薄、克伴侣、婚姻不顺，或一定无法妥协。 本规则只描述关系建立后的互动底盘，不判断风险、结果和适配。</x:v>
      </x:c>
      <x:c r="AA17" s="32" t="str">
        <x:v>中高</x:v>
      </x:c>
      <x:c r="AB17" s="32" t="str">
        <x:v>待验证</x:v>
      </x:c>
      <x:c r="AC17" s="32" t="str"/>
      <x:c r="AD17" s="32" t="str">
        <x:v>provisional=true; source_id=DAY_BRANCH_PRIMARY_伤官; interaction_state=平稳基线</x:v>
      </x:c>
      <x:c r="AE17" s="39" t="str">
        <x:v>0.2</x:v>
      </x:c>
    </x:row>
    <x:row r="18">
      <x:c r="A18" s="38" t="str">
        <x:v>M3-BASE-014</x:v>
      </x:c>
      <x:c r="B18" s="32" t="str">
        <x:v>日支伤官｜主相处模式候选</x:v>
      </x:c>
      <x:c r="C18" s="32" t="str">
        <x:v>L1 关系运行底盘</x:v>
      </x:c>
      <x:c r="D18" s="32" t="str">
        <x:v>BASE-十神底盘</x:v>
      </x:c>
      <x:c r="E18" s="32" t="str">
        <x:v>通用</x:v>
      </x:c>
      <x:c r="F18" s="32" t="str">
        <x:v>模式候选</x:v>
      </x:c>
      <x:c r="G18" s="32" t="str">
        <x:v>日支主气伤官</x:v>
      </x:c>
      <x:c r="H18" s="32" t="str">
        <x:v>I04 表达澄清</x:v>
      </x:c>
      <x:c r="I18" s="32" t="str">
        <x:v>M3中“日支伤官核心关系底盘”已经成立；至少有一项独立支持证据，或后续模块未形成更强冲突证据。</x:v>
      </x:c>
      <x:c r="J18" s="32" t="str">
        <x:v>核心底盘已停止；仅有一处弱远争议信号；后续模块形成更高权威且不同的主通道。</x:v>
      </x:c>
      <x:c r="K18" s="32" t="str">
        <x:v>不限定；由后续模块修正</x:v>
      </x:c>
      <x:c r="L18" s="32" t="str">
        <x:v>不限定</x:v>
      </x:c>
      <x:c r="M18" s="32" t="str">
        <x:v>真实表达、观点交换与及时反馈</x:v>
      </x:c>
      <x:c r="N18" s="32" t="str">
        <x:v>无／待后续模块组合</x:v>
      </x:c>
      <x:c r="O18" s="32" t="str">
        <x:v>日支或与日支直接相关</x:v>
      </x:c>
      <x:c r="P18" s="32" t="str">
        <x:v>由共享基础引擎判定</x:v>
      </x:c>
      <x:c r="Q18" s="32" t="str">
        <x:v>由共享基础引擎判定</x:v>
      </x:c>
      <x:c r="R18" s="32" t="str">
        <x:v>喜忌未定或由共享引擎提供</x:v>
      </x:c>
      <x:c r="S18" s="32" t="str">
        <x:v>原十神性质有效；无真合化或已完成相应路由</x:v>
      </x:c>
      <x:c r="T18" s="32" t="str">
        <x:v>近</x:v>
      </x:c>
      <x:c r="U18" s="32" t="n">
        <x:v>90</x:v>
      </x:c>
      <x:c r="V18" s="32" t="str">
        <x:v>P04 表达澄清型 候选 +18</x:v>
      </x:c>
      <x:c r="W18" s="32" t="str">
        <x:v>interaction_pattern</x:v>
      </x:c>
      <x:c r="X18" s="32" t="str">
        <x:v>日支伤官可将整体相处模式初步指向P04 表达澄清型；BASE只生成候选，最终需由EXPR、CARE、BOUND、CONFLICT或STATE至少一项复核。</x:v>
      </x:c>
      <x:c r="Y18" s="32" t="str">
        <x:v>你的相处方式更接近“表达澄清型”：进入关系后，更自然地通过说清感受、交换观点和追问原因维持真实感。</x:v>
      </x:c>
      <x:c r="Z18" s="32" t="str">
        <x:v>不得推出用户爱争吵、说话刻薄、克伴侣、婚姻不顺，或一定无法妥协。 本规则只描述关系建立后的互动底盘，不判断风险、结果和适配。 不得仅凭日支锁定用户在所有关系和所有压力状态下都使用同一模式。</x:v>
      </x:c>
      <x:c r="AA18" s="32" t="str">
        <x:v>中</x:v>
      </x:c>
      <x:c r="AB18" s="32" t="str">
        <x:v>待验证</x:v>
      </x:c>
      <x:c r="AC18" s="32" t="str"/>
      <x:c r="AD18" s="32" t="str">
        <x:v>provisional=true; source_id=DAY_BRANCH_PRIMARY_伤官; candidate_only=true</x:v>
      </x:c>
      <x:c r="AE18" s="39" t="str">
        <x:v>0.2</x:v>
      </x:c>
    </x:row>
    <x:row r="19">
      <x:c r="A19" s="38" t="str">
        <x:v>M3-BASE-015</x:v>
      </x:c>
      <x:c r="B19" s="32" t="str">
        <x:v>日支伤官｜过程维度路由</x:v>
      </x:c>
      <x:c r="C19" s="32" t="str">
        <x:v>L2 主要互动通道</x:v>
      </x:c>
      <x:c r="D19" s="32" t="str">
        <x:v>BASE-十神底盘</x:v>
      </x:c>
      <x:c r="E19" s="32" t="str">
        <x:v>通用</x:v>
      </x:c>
      <x:c r="F19" s="32" t="str">
        <x:v>路由</x:v>
      </x:c>
      <x:c r="G19" s="32" t="str">
        <x:v>日支主气伤官</x:v>
      </x:c>
      <x:c r="H19" s="32" t="str">
        <x:v>Q01 表达外显度＋Q06 分歧启动方式 候选</x:v>
      </x:c>
      <x:c r="I19" s="32" t="str">
        <x:v>日支伤官核心底盘有效；相关后续模块输入完整。</x:v>
      </x:c>
      <x:c r="J19" s="32" t="str">
        <x:v>相关后续模块停止；该过程维度仅由同一日支事实重复支持且没有独立证据。</x:v>
      </x:c>
      <x:c r="K19" s="32" t="str">
        <x:v>不限定；由后续模块修正</x:v>
      </x:c>
      <x:c r="L19" s="32" t="str">
        <x:v>不限定</x:v>
      </x:c>
      <x:c r="M19" s="32" t="str">
        <x:v>真实表达、观点交换与及时反馈</x:v>
      </x:c>
      <x:c r="N19" s="32" t="str">
        <x:v>无／待后续模块组合</x:v>
      </x:c>
      <x:c r="O19" s="32" t="str">
        <x:v>日支或与日支直接相关</x:v>
      </x:c>
      <x:c r="P19" s="32" t="str">
        <x:v>由共享基础引擎判定</x:v>
      </x:c>
      <x:c r="Q19" s="32" t="str">
        <x:v>由共享基础引擎判定</x:v>
      </x:c>
      <x:c r="R19" s="32" t="str">
        <x:v>喜忌未定或由共享引擎提供</x:v>
      </x:c>
      <x:c r="S19" s="32" t="str">
        <x:v>原十神性质有效；无真合化或已完成相应路由</x:v>
      </x:c>
      <x:c r="T19" s="32" t="str">
        <x:v>近</x:v>
      </x:c>
      <x:c r="U19" s="32" t="n">
        <x:v>76</x:v>
      </x:c>
      <x:c r="V19" s="32" t="str">
        <x:v>Q01 表达外显度＋Q06 分歧启动方式 候选</x:v>
      </x:c>
      <x:c r="W19" s="32" t="str">
        <x:v>communication_style／conflict_response（候选，待M3-EXPR与M3-CONFLICT复核）</x:v>
      </x:c>
      <x:c r="X19" s="32" t="str">
        <x:v>伤官底盘提示表达和澄清通道靠近关系核心；是否直接、温和或在压力下变强，需要食伤状态与制化复核。</x:v>
      </x:c>
      <x:c r="Y19" s="32" t="str">
        <x:v>你通常更愿意通过谈具体问题、说明自己的感受和想法来维持关系，而不是长期靠猜。</x:v>
      </x:c>
      <x:c r="Z19" s="32" t="str">
        <x:v>不得推出用户爱争吵、说话刻薄、克伴侣、婚姻不顺，或一定无法妥协。 本规则只描述关系建立后的互动底盘，不判断风险、结果和适配。 该句只作为后续模块候选，不能在BASE阶段直接作为最终行为结论。</x:v>
      </x:c>
      <x:c r="AA19" s="32" t="str">
        <x:v>中低</x:v>
      </x:c>
      <x:c r="AB19" s="32" t="str">
        <x:v>待验证</x:v>
      </x:c>
      <x:c r="AC19" s="32" t="str"/>
      <x:c r="AD19" s="32" t="str">
        <x:v>provisional=true; source_id=DAY_BRANCH_PRIMARY_伤官; route_only=true</x:v>
      </x:c>
      <x:c r="AE19" s="39" t="str">
        <x:v>0.2</x:v>
      </x:c>
    </x:row>
    <x:row r="20">
      <x:c r="A20" s="38" t="str">
        <x:v>M3-BASE-016</x:v>
      </x:c>
      <x:c r="B20" s="32" t="str">
        <x:v>日支伤官｜依据摘要</x:v>
      </x:c>
      <x:c r="C20" s="32" t="str">
        <x:v>L8 总合成与边界审查</x:v>
      </x:c>
      <x:c r="D20" s="32" t="str">
        <x:v>BASE-十神底盘</x:v>
      </x:c>
      <x:c r="E20" s="32" t="str">
        <x:v>通用</x:v>
      </x:c>
      <x:c r="F20" s="32" t="str">
        <x:v>输出</x:v>
      </x:c>
      <x:c r="G20" s="32" t="str">
        <x:v>日支主气伤官</x:v>
      </x:c>
      <x:c r="H20" s="32" t="str"/>
      <x:c r="I20" s="32" t="str">
        <x:v>日支伤官底盘进入最终或暂定输出。</x:v>
      </x:c>
      <x:c r="J20" s="32" t="str">
        <x:v>该底盘被删除、真合化替代或停止。</x:v>
      </x:c>
      <x:c r="K20" s="32" t="str">
        <x:v>不限定；由后续模块修正</x:v>
      </x:c>
      <x:c r="L20" s="32" t="str">
        <x:v>不限定</x:v>
      </x:c>
      <x:c r="M20" s="32" t="str">
        <x:v>真实表达、观点交换与及时反馈</x:v>
      </x:c>
      <x:c r="N20" s="32" t="str">
        <x:v>无／待后续模块组合</x:v>
      </x:c>
      <x:c r="O20" s="32" t="str">
        <x:v>日支或与日支直接相关</x:v>
      </x:c>
      <x:c r="P20" s="32" t="str">
        <x:v>由共享基础引擎判定</x:v>
      </x:c>
      <x:c r="Q20" s="32" t="str">
        <x:v>由共享基础引擎判定</x:v>
      </x:c>
      <x:c r="R20" s="32" t="str">
        <x:v>喜忌未定或由共享引擎提供</x:v>
      </x:c>
      <x:c r="S20" s="32" t="str">
        <x:v>原十神性质有效；无真合化或已完成相应路由</x:v>
      </x:c>
      <x:c r="T20" s="32" t="str">
        <x:v>近</x:v>
      </x:c>
      <x:c r="U20" s="32" t="n">
        <x:v>68</x:v>
      </x:c>
      <x:c r="V20" s="32" t="str">
        <x:v>不加分</x:v>
      </x:c>
      <x:c r="W20" s="32" t="str">
        <x:v>basis_summary</x:v>
      </x:c>
      <x:c r="X20" s="32" t="str">
        <x:v>生成折叠命理依据，只说明日支伤官如何映射为I04 表达澄清，不把日支写成实际伴侣性格。</x:v>
      </x:c>
      <x:c r="Y20" s="32" t="str">
        <x:v>从传统八字取象看，日支的伤官信号使你的关系运行底盘更接近“真实表达、观点交换与及时反馈”。</x:v>
      </x:c>
      <x:c r="Z20" s="32" t="str">
        <x:v>不得推出用户爱争吵、说话刻薄、克伴侣、婚姻不顺，或一定无法妥协。 本规则只描述关系建立后的互动底盘，不判断风险、结果和适配。</x:v>
      </x:c>
      <x:c r="AA20" s="32" t="str">
        <x:v>中</x:v>
      </x:c>
      <x:c r="AB20" s="32" t="str">
        <x:v>待验证</x:v>
      </x:c>
      <x:c r="AC20" s="32" t="str"/>
      <x:c r="AD20" s="32" t="str">
        <x:v>provisional=true; source_id=DAY_BRANCH_PRIMARY_伤官; summary_only=true</x:v>
      </x:c>
      <x:c r="AE20" s="39" t="str">
        <x:v>0.2</x:v>
      </x:c>
    </x:row>
    <x:row r="21">
      <x:c r="A21" s="38" t="str">
        <x:v>M3-BASE-017</x:v>
      </x:c>
      <x:c r="B21" s="32" t="str">
        <x:v>日支正财｜核心关系底盘</x:v>
      </x:c>
      <x:c r="C21" s="32" t="str">
        <x:v>L1 关系运行底盘</x:v>
      </x:c>
      <x:c r="D21" s="32" t="str">
        <x:v>BASE-十神底盘</x:v>
      </x:c>
      <x:c r="E21" s="32" t="str">
        <x:v>通用</x:v>
      </x:c>
      <x:c r="F21" s="32" t="str">
        <x:v>基础</x:v>
      </x:c>
      <x:c r="G21" s="32" t="str">
        <x:v>日支主气正财</x:v>
      </x:c>
      <x:c r="H21" s="32" t="str"/>
      <x:c r="I21" s="32" t="str">
        <x:v>日支主气十神由共享基础引擎可靠判定为正财；日支原十神性质有效；未命中真合化停止。</x:v>
      </x:c>
      <x:c r="J21" s="32" t="str">
        <x:v>日支主气未定；真合化后原十神性质不再有效；基础排盘或十神映射置信度不足。</x:v>
      </x:c>
      <x:c r="K21" s="32" t="str">
        <x:v>不限定；由后续模块修正</x:v>
      </x:c>
      <x:c r="L21" s="32" t="str">
        <x:v>不限定</x:v>
      </x:c>
      <x:c r="M21" s="32" t="str">
        <x:v>I05 稳定经营／持续投入、现实安排与日常经营</x:v>
      </x:c>
      <x:c r="N21" s="32" t="str">
        <x:v>无／待后续模块组合</x:v>
      </x:c>
      <x:c r="O21" s="32" t="str">
        <x:v>日支或与日支直接相关</x:v>
      </x:c>
      <x:c r="P21" s="32" t="str">
        <x:v>由共享基础引擎判定</x:v>
      </x:c>
      <x:c r="Q21" s="32" t="str">
        <x:v>由共享基础引擎判定</x:v>
      </x:c>
      <x:c r="R21" s="32" t="str">
        <x:v>喜忌未定或由共享引擎提供</x:v>
      </x:c>
      <x:c r="S21" s="32" t="str">
        <x:v>原十神性质有效；无真合化或已完成相应路由</x:v>
      </x:c>
      <x:c r="T21" s="32" t="str">
        <x:v>近</x:v>
      </x:c>
      <x:c r="U21" s="32" t="n">
        <x:v>96</x:v>
      </x:c>
      <x:c r="V21" s="32" t="str">
        <x:v>I05 稳定经营 +25</x:v>
      </x:c>
      <x:c r="W21" s="32" t="str">
        <x:v>relationship_baseline</x:v>
      </x:c>
      <x:c r="X21" s="32" t="str">
        <x:v>日支是亲密关系运行位；主气为正财时，进入关系后，更自然地用稳定时间、具体安排和可持续行动经营关系。该规则只确定底盘主题，不直接生成完整表达、分歧或修复结论。</x:v>
      </x:c>
      <x:c r="Y21" s="32" t="str">
        <x:v>你更容易通过长期投入、现实安排和稳定行动来经营关系。</x:v>
      </x:c>
      <x:c r="Z21" s="32" t="str">
        <x:v>不得推出用户只看物质、斤斤计较、一定承担更多，或伴侣必然传统顾家。 本规则只描述关系建立后的互动底盘，不判断风险、结果和适配。</x:v>
      </x:c>
      <x:c r="AA21" s="32" t="str">
        <x:v>中高</x:v>
      </x:c>
      <x:c r="AB21" s="32" t="str">
        <x:v>待验证</x:v>
      </x:c>
      <x:c r="AC21" s="32" t="str"/>
      <x:c r="AD21" s="32" t="str">
        <x:v>provisional=true; source_id=DAY_BRANCH_PRIMARY_正财; interaction_state=平稳基线</x:v>
      </x:c>
      <x:c r="AE21" s="39" t="str">
        <x:v>0.2</x:v>
      </x:c>
    </x:row>
    <x:row r="22">
      <x:c r="A22" s="38" t="str">
        <x:v>M3-BASE-018</x:v>
      </x:c>
      <x:c r="B22" s="32" t="str">
        <x:v>日支正财｜主相处模式候选</x:v>
      </x:c>
      <x:c r="C22" s="32" t="str">
        <x:v>L1 关系运行底盘</x:v>
      </x:c>
      <x:c r="D22" s="32" t="str">
        <x:v>BASE-十神底盘</x:v>
      </x:c>
      <x:c r="E22" s="32" t="str">
        <x:v>通用</x:v>
      </x:c>
      <x:c r="F22" s="32" t="str">
        <x:v>模式候选</x:v>
      </x:c>
      <x:c r="G22" s="32" t="str">
        <x:v>日支主气正财</x:v>
      </x:c>
      <x:c r="H22" s="32" t="str">
        <x:v>I05 稳定经营</x:v>
      </x:c>
      <x:c r="I22" s="32" t="str">
        <x:v>M3中“日支正财核心关系底盘”已经成立；至少有一项独立支持证据，或后续模块未形成更强冲突证据。</x:v>
      </x:c>
      <x:c r="J22" s="32" t="str">
        <x:v>核心底盘已停止；仅有一处弱远争议信号；后续模块形成更高权威且不同的主通道。</x:v>
      </x:c>
      <x:c r="K22" s="32" t="str">
        <x:v>不限定；由后续模块修正</x:v>
      </x:c>
      <x:c r="L22" s="32" t="str">
        <x:v>不限定</x:v>
      </x:c>
      <x:c r="M22" s="32" t="str">
        <x:v>持续投入、现实安排与日常经营</x:v>
      </x:c>
      <x:c r="N22" s="32" t="str">
        <x:v>无／待后续模块组合</x:v>
      </x:c>
      <x:c r="O22" s="32" t="str">
        <x:v>日支或与日支直接相关</x:v>
      </x:c>
      <x:c r="P22" s="32" t="str">
        <x:v>由共享基础引擎判定</x:v>
      </x:c>
      <x:c r="Q22" s="32" t="str">
        <x:v>由共享基础引擎判定</x:v>
      </x:c>
      <x:c r="R22" s="32" t="str">
        <x:v>喜忌未定或由共享引擎提供</x:v>
      </x:c>
      <x:c r="S22" s="32" t="str">
        <x:v>原十神性质有效；无真合化或已完成相应路由</x:v>
      </x:c>
      <x:c r="T22" s="32" t="str">
        <x:v>近</x:v>
      </x:c>
      <x:c r="U22" s="32" t="n">
        <x:v>90</x:v>
      </x:c>
      <x:c r="V22" s="32" t="str">
        <x:v>P05 稳定经营型 候选 +18</x:v>
      </x:c>
      <x:c r="W22" s="32" t="str">
        <x:v>interaction_pattern</x:v>
      </x:c>
      <x:c r="X22" s="32" t="str">
        <x:v>日支正财可将整体相处模式初步指向P05 稳定经营型；BASE只生成候选，最终需由EXPR、CARE、BOUND、CONFLICT或STATE至少一项复核。</x:v>
      </x:c>
      <x:c r="Y22" s="32" t="str">
        <x:v>你的相处方式更接近“稳定经营型”：进入关系后，更自然地用稳定时间、具体安排和可持续行动经营关系。</x:v>
      </x:c>
      <x:c r="Z22" s="32" t="str">
        <x:v>不得推出用户只看物质、斤斤计较、一定承担更多，或伴侣必然传统顾家。 本规则只描述关系建立后的互动底盘，不判断风险、结果和适配。 不得仅凭日支锁定用户在所有关系和所有压力状态下都使用同一模式。</x:v>
      </x:c>
      <x:c r="AA22" s="32" t="str">
        <x:v>中</x:v>
      </x:c>
      <x:c r="AB22" s="32" t="str">
        <x:v>待验证</x:v>
      </x:c>
      <x:c r="AC22" s="32" t="str"/>
      <x:c r="AD22" s="32" t="str">
        <x:v>provisional=true; source_id=DAY_BRANCH_PRIMARY_正财; candidate_only=true</x:v>
      </x:c>
      <x:c r="AE22" s="39" t="str">
        <x:v>0.2</x:v>
      </x:c>
    </x:row>
    <x:row r="23">
      <x:c r="A23" s="38" t="str">
        <x:v>M3-BASE-019</x:v>
      </x:c>
      <x:c r="B23" s="32" t="str">
        <x:v>日支正财｜过程维度路由</x:v>
      </x:c>
      <x:c r="C23" s="32" t="str">
        <x:v>L2 主要互动通道</x:v>
      </x:c>
      <x:c r="D23" s="32" t="str">
        <x:v>BASE-十神底盘</x:v>
      </x:c>
      <x:c r="E23" s="32" t="str">
        <x:v>通用</x:v>
      </x:c>
      <x:c r="F23" s="32" t="str">
        <x:v>路由</x:v>
      </x:c>
      <x:c r="G23" s="32" t="str">
        <x:v>日支主气正财</x:v>
      </x:c>
      <x:c r="H23" s="32" t="str">
        <x:v>Q04 投入连续性 候选</x:v>
      </x:c>
      <x:c r="I23" s="32" t="str">
        <x:v>日支正财核心底盘有效；相关后续模块输入完整。</x:v>
      </x:c>
      <x:c r="J23" s="32" t="str">
        <x:v>相关后续模块停止；该过程维度仅由同一日支事实重复支持且没有独立证据。</x:v>
      </x:c>
      <x:c r="K23" s="32" t="str">
        <x:v>不限定；由后续模块修正</x:v>
      </x:c>
      <x:c r="L23" s="32" t="str">
        <x:v>不限定</x:v>
      </x:c>
      <x:c r="M23" s="32" t="str">
        <x:v>持续投入、现实安排与日常经营</x:v>
      </x:c>
      <x:c r="N23" s="32" t="str">
        <x:v>无／待后续模块组合</x:v>
      </x:c>
      <x:c r="O23" s="32" t="str">
        <x:v>日支或与日支直接相关</x:v>
      </x:c>
      <x:c r="P23" s="32" t="str">
        <x:v>由共享基础引擎判定</x:v>
      </x:c>
      <x:c r="Q23" s="32" t="str">
        <x:v>由共享基础引擎判定</x:v>
      </x:c>
      <x:c r="R23" s="32" t="str">
        <x:v>喜忌未定或由共享引擎提供</x:v>
      </x:c>
      <x:c r="S23" s="32" t="str">
        <x:v>原十神性质有效；无真合化或已完成相应路由</x:v>
      </x:c>
      <x:c r="T23" s="32" t="str">
        <x:v>近</x:v>
      </x:c>
      <x:c r="U23" s="32" t="n">
        <x:v>76</x:v>
      </x:c>
      <x:c r="V23" s="32" t="str">
        <x:v>Q04 投入连续性 候选</x:v>
      </x:c>
      <x:c r="W23" s="32" t="str">
        <x:v>care_investment（候选，待M3-CARE复核）</x:v>
      </x:c>
      <x:c r="X23" s="32" t="str">
        <x:v>正财底盘使稳定、连续、可落实的投入靠近关系核心；投入内容和双方交换方式仍需CARE模块判断。</x:v>
      </x:c>
      <x:c r="Y23" s="32" t="str">
        <x:v>你表达认真时，往往会把时间、日常安排和现实责任真正放进关系里，而不只停留在口头。</x:v>
      </x:c>
      <x:c r="Z23" s="32" t="str">
        <x:v>不得推出用户只看物质、斤斤计较、一定承担更多，或伴侣必然传统顾家。 本规则只描述关系建立后的互动底盘，不判断风险、结果和适配。 该句只作为后续模块候选，不能在BASE阶段直接作为最终行为结论。</x:v>
      </x:c>
      <x:c r="AA23" s="32" t="str">
        <x:v>中低</x:v>
      </x:c>
      <x:c r="AB23" s="32" t="str">
        <x:v>待验证</x:v>
      </x:c>
      <x:c r="AC23" s="32" t="str"/>
      <x:c r="AD23" s="32" t="str">
        <x:v>provisional=true; source_id=DAY_BRANCH_PRIMARY_正财; route_only=true</x:v>
      </x:c>
      <x:c r="AE23" s="39" t="str">
        <x:v>0.2</x:v>
      </x:c>
    </x:row>
    <x:row r="24">
      <x:c r="A24" s="38" t="str">
        <x:v>M3-BASE-020</x:v>
      </x:c>
      <x:c r="B24" s="32" t="str">
        <x:v>日支正财｜依据摘要</x:v>
      </x:c>
      <x:c r="C24" s="32" t="str">
        <x:v>L8 总合成与边界审查</x:v>
      </x:c>
      <x:c r="D24" s="32" t="str">
        <x:v>BASE-十神底盘</x:v>
      </x:c>
      <x:c r="E24" s="32" t="str">
        <x:v>通用</x:v>
      </x:c>
      <x:c r="F24" s="32" t="str">
        <x:v>输出</x:v>
      </x:c>
      <x:c r="G24" s="32" t="str">
        <x:v>日支主气正财</x:v>
      </x:c>
      <x:c r="H24" s="32" t="str"/>
      <x:c r="I24" s="32" t="str">
        <x:v>日支正财底盘进入最终或暂定输出。</x:v>
      </x:c>
      <x:c r="J24" s="32" t="str">
        <x:v>该底盘被删除、真合化替代或停止。</x:v>
      </x:c>
      <x:c r="K24" s="32" t="str">
        <x:v>不限定；由后续模块修正</x:v>
      </x:c>
      <x:c r="L24" s="32" t="str">
        <x:v>不限定</x:v>
      </x:c>
      <x:c r="M24" s="32" t="str">
        <x:v>持续投入、现实安排与日常经营</x:v>
      </x:c>
      <x:c r="N24" s="32" t="str">
        <x:v>无／待后续模块组合</x:v>
      </x:c>
      <x:c r="O24" s="32" t="str">
        <x:v>日支或与日支直接相关</x:v>
      </x:c>
      <x:c r="P24" s="32" t="str">
        <x:v>由共享基础引擎判定</x:v>
      </x:c>
      <x:c r="Q24" s="32" t="str">
        <x:v>由共享基础引擎判定</x:v>
      </x:c>
      <x:c r="R24" s="32" t="str">
        <x:v>喜忌未定或由共享引擎提供</x:v>
      </x:c>
      <x:c r="S24" s="32" t="str">
        <x:v>原十神性质有效；无真合化或已完成相应路由</x:v>
      </x:c>
      <x:c r="T24" s="32" t="str">
        <x:v>近</x:v>
      </x:c>
      <x:c r="U24" s="32" t="n">
        <x:v>68</x:v>
      </x:c>
      <x:c r="V24" s="32" t="str">
        <x:v>不加分</x:v>
      </x:c>
      <x:c r="W24" s="32" t="str">
        <x:v>basis_summary</x:v>
      </x:c>
      <x:c r="X24" s="32" t="str">
        <x:v>生成折叠命理依据，只说明日支正财如何映射为I05 稳定经营，不把日支写成实际伴侣性格。</x:v>
      </x:c>
      <x:c r="Y24" s="32" t="str">
        <x:v>从传统八字取象看，日支的正财信号使你的关系运行底盘更接近“持续投入、现实安排与日常经营”。</x:v>
      </x:c>
      <x:c r="Z24" s="32" t="str">
        <x:v>不得推出用户只看物质、斤斤计较、一定承担更多，或伴侣必然传统顾家。 本规则只描述关系建立后的互动底盘，不判断风险、结果和适配。</x:v>
      </x:c>
      <x:c r="AA24" s="32" t="str">
        <x:v>中</x:v>
      </x:c>
      <x:c r="AB24" s="32" t="str">
        <x:v>待验证</x:v>
      </x:c>
      <x:c r="AC24" s="32" t="str"/>
      <x:c r="AD24" s="32" t="str">
        <x:v>provisional=true; source_id=DAY_BRANCH_PRIMARY_正财; summary_only=true</x:v>
      </x:c>
      <x:c r="AE24" s="39" t="str">
        <x:v>0.2</x:v>
      </x:c>
    </x:row>
    <x:row r="25">
      <x:c r="A25" s="38" t="str">
        <x:v>M3-BASE-021</x:v>
      </x:c>
      <x:c r="B25" s="32" t="str">
        <x:v>日支偏财｜核心关系底盘</x:v>
      </x:c>
      <x:c r="C25" s="32" t="str">
        <x:v>L1 关系运行底盘</x:v>
      </x:c>
      <x:c r="D25" s="32" t="str">
        <x:v>BASE-十神底盘</x:v>
      </x:c>
      <x:c r="E25" s="32" t="str">
        <x:v>通用</x:v>
      </x:c>
      <x:c r="F25" s="32" t="str">
        <x:v>基础</x:v>
      </x:c>
      <x:c r="G25" s="32" t="str">
        <x:v>日支主气偏财</x:v>
      </x:c>
      <x:c r="H25" s="32" t="str"/>
      <x:c r="I25" s="32" t="str">
        <x:v>日支主气十神由共享基础引擎可靠判定为偏财；日支原十神性质有效；未命中真合化停止。</x:v>
      </x:c>
      <x:c r="J25" s="32" t="str">
        <x:v>日支主气未定；真合化后原十神性质不再有效；基础排盘或十神映射置信度不足。</x:v>
      </x:c>
      <x:c r="K25" s="32" t="str">
        <x:v>不限定；由后续模块修正</x:v>
      </x:c>
      <x:c r="L25" s="32" t="str">
        <x:v>不限定</x:v>
      </x:c>
      <x:c r="M25" s="32" t="str">
        <x:v>I06 体验联结／灵活回应、共同体验与互动活力</x:v>
      </x:c>
      <x:c r="N25" s="32" t="str">
        <x:v>无／待后续模块组合</x:v>
      </x:c>
      <x:c r="O25" s="32" t="str">
        <x:v>日支或与日支直接相关</x:v>
      </x:c>
      <x:c r="P25" s="32" t="str">
        <x:v>由共享基础引擎判定</x:v>
      </x:c>
      <x:c r="Q25" s="32" t="str">
        <x:v>由共享基础引擎判定</x:v>
      </x:c>
      <x:c r="R25" s="32" t="str">
        <x:v>喜忌未定或由共享引擎提供</x:v>
      </x:c>
      <x:c r="S25" s="32" t="str">
        <x:v>原十神性质有效；无真合化或已完成相应路由</x:v>
      </x:c>
      <x:c r="T25" s="32" t="str">
        <x:v>近</x:v>
      </x:c>
      <x:c r="U25" s="32" t="n">
        <x:v>96</x:v>
      </x:c>
      <x:c r="V25" s="32" t="str">
        <x:v>I06 体验联结 +25</x:v>
      </x:c>
      <x:c r="W25" s="32" t="str">
        <x:v>relationship_baseline</x:v>
      </x:c>
      <x:c r="X25" s="32" t="str">
        <x:v>日支是亲密关系运行位；主气为偏财时，进入关系后，更自然地通过有来有往的互动、共同体验和弹性安排维持联结。该规则只确定底盘主题，不直接生成完整表达、分歧或修复结论。</x:v>
      </x:c>
      <x:c r="Y25" s="32" t="str">
        <x:v>你会通过有来有往的互动、共同体验和生活中的变化感维持关系活力。</x:v>
      </x:c>
      <x:c r="Z25" s="32" t="str">
        <x:v>不得推出用户花心、随便、只看外表、关系不稳定，或投入一定不持续。 本规则只描述关系建立后的互动底盘，不判断风险、结果和适配。</x:v>
      </x:c>
      <x:c r="AA25" s="32" t="str">
        <x:v>中高</x:v>
      </x:c>
      <x:c r="AB25" s="32" t="str">
        <x:v>待验证</x:v>
      </x:c>
      <x:c r="AC25" s="32" t="str"/>
      <x:c r="AD25" s="32" t="str">
        <x:v>provisional=true; source_id=DAY_BRANCH_PRIMARY_偏财; interaction_state=平稳基线</x:v>
      </x:c>
      <x:c r="AE25" s="39" t="str">
        <x:v>0.2</x:v>
      </x:c>
    </x:row>
    <x:row r="26">
      <x:c r="A26" s="38" t="str">
        <x:v>M3-BASE-022</x:v>
      </x:c>
      <x:c r="B26" s="32" t="str">
        <x:v>日支偏财｜主相处模式候选</x:v>
      </x:c>
      <x:c r="C26" s="32" t="str">
        <x:v>L1 关系运行底盘</x:v>
      </x:c>
      <x:c r="D26" s="32" t="str">
        <x:v>BASE-十神底盘</x:v>
      </x:c>
      <x:c r="E26" s="32" t="str">
        <x:v>通用</x:v>
      </x:c>
      <x:c r="F26" s="32" t="str">
        <x:v>模式候选</x:v>
      </x:c>
      <x:c r="G26" s="32" t="str">
        <x:v>日支主气偏财</x:v>
      </x:c>
      <x:c r="H26" s="32" t="str">
        <x:v>I06 体验联结</x:v>
      </x:c>
      <x:c r="I26" s="32" t="str">
        <x:v>M3中“日支偏财核心关系底盘”已经成立；至少有一项独立支持证据，或后续模块未形成更强冲突证据。</x:v>
      </x:c>
      <x:c r="J26" s="32" t="str">
        <x:v>核心底盘已停止；仅有一处弱远争议信号；后续模块形成更高权威且不同的主通道。</x:v>
      </x:c>
      <x:c r="K26" s="32" t="str">
        <x:v>不限定；由后续模块修正</x:v>
      </x:c>
      <x:c r="L26" s="32" t="str">
        <x:v>不限定</x:v>
      </x:c>
      <x:c r="M26" s="32" t="str">
        <x:v>灵活回应、共同体验与互动活力</x:v>
      </x:c>
      <x:c r="N26" s="32" t="str">
        <x:v>无／待后续模块组合</x:v>
      </x:c>
      <x:c r="O26" s="32" t="str">
        <x:v>日支或与日支直接相关</x:v>
      </x:c>
      <x:c r="P26" s="32" t="str">
        <x:v>由共享基础引擎判定</x:v>
      </x:c>
      <x:c r="Q26" s="32" t="str">
        <x:v>由共享基础引擎判定</x:v>
      </x:c>
      <x:c r="R26" s="32" t="str">
        <x:v>喜忌未定或由共享引擎提供</x:v>
      </x:c>
      <x:c r="S26" s="32" t="str">
        <x:v>原十神性质有效；无真合化或已完成相应路由</x:v>
      </x:c>
      <x:c r="T26" s="32" t="str">
        <x:v>近</x:v>
      </x:c>
      <x:c r="U26" s="32" t="n">
        <x:v>90</x:v>
      </x:c>
      <x:c r="V26" s="32" t="str">
        <x:v>P06 体验联结型 候选 +18</x:v>
      </x:c>
      <x:c r="W26" s="32" t="str">
        <x:v>interaction_pattern</x:v>
      </x:c>
      <x:c r="X26" s="32" t="str">
        <x:v>日支偏财可将整体相处模式初步指向P06 体验联结型；BASE只生成候选，最终需由EXPR、CARE、BOUND、CONFLICT或STATE至少一项复核。</x:v>
      </x:c>
      <x:c r="Y26" s="32" t="str">
        <x:v>你的相处方式更接近“体验联结型”：进入关系后，更自然地通过有来有往的互动、共同体验和弹性安排维持联结。</x:v>
      </x:c>
      <x:c r="Z26" s="32" t="str">
        <x:v>不得推出用户花心、随便、只看外表、关系不稳定，或投入一定不持续。 本规则只描述关系建立后的互动底盘，不判断风险、结果和适配。 不得仅凭日支锁定用户在所有关系和所有压力状态下都使用同一模式。</x:v>
      </x:c>
      <x:c r="AA26" s="32" t="str">
        <x:v>中</x:v>
      </x:c>
      <x:c r="AB26" s="32" t="str">
        <x:v>待验证</x:v>
      </x:c>
      <x:c r="AC26" s="32" t="str"/>
      <x:c r="AD26" s="32" t="str">
        <x:v>provisional=true; source_id=DAY_BRANCH_PRIMARY_偏财; candidate_only=true</x:v>
      </x:c>
      <x:c r="AE26" s="39" t="str">
        <x:v>0.2</x:v>
      </x:c>
    </x:row>
    <x:row r="27">
      <x:c r="A27" s="38" t="str">
        <x:v>M3-BASE-023</x:v>
      </x:c>
      <x:c r="B27" s="32" t="str">
        <x:v>日支偏财｜过程维度路由</x:v>
      </x:c>
      <x:c r="C27" s="32" t="str">
        <x:v>L2 主要互动通道</x:v>
      </x:c>
      <x:c r="D27" s="32" t="str">
        <x:v>BASE-十神底盘</x:v>
      </x:c>
      <x:c r="E27" s="32" t="str">
        <x:v>通用</x:v>
      </x:c>
      <x:c r="F27" s="32" t="str">
        <x:v>路由</x:v>
      </x:c>
      <x:c r="G27" s="32" t="str">
        <x:v>日支主气偏财</x:v>
      </x:c>
      <x:c r="H27" s="32" t="str">
        <x:v>Q04 投入连续性＋Q03 亲密距离节奏 候选</x:v>
      </x:c>
      <x:c r="I27" s="32" t="str">
        <x:v>日支偏财核心底盘有效；相关后续模块输入完整。</x:v>
      </x:c>
      <x:c r="J27" s="32" t="str">
        <x:v>相关后续模块停止；该过程维度仅由同一日支事实重复支持且没有独立证据。</x:v>
      </x:c>
      <x:c r="K27" s="32" t="str">
        <x:v>不限定；由后续模块修正</x:v>
      </x:c>
      <x:c r="L27" s="32" t="str">
        <x:v>不限定</x:v>
      </x:c>
      <x:c r="M27" s="32" t="str">
        <x:v>灵活回应、共同体验与互动活力</x:v>
      </x:c>
      <x:c r="N27" s="32" t="str">
        <x:v>无／待后续模块组合</x:v>
      </x:c>
      <x:c r="O27" s="32" t="str">
        <x:v>日支或与日支直接相关</x:v>
      </x:c>
      <x:c r="P27" s="32" t="str">
        <x:v>由共享基础引擎判定</x:v>
      </x:c>
      <x:c r="Q27" s="32" t="str">
        <x:v>由共享基础引擎判定</x:v>
      </x:c>
      <x:c r="R27" s="32" t="str">
        <x:v>喜忌未定或由共享引擎提供</x:v>
      </x:c>
      <x:c r="S27" s="32" t="str">
        <x:v>原十神性质有效；无真合化或已完成相应路由</x:v>
      </x:c>
      <x:c r="T27" s="32" t="str">
        <x:v>近</x:v>
      </x:c>
      <x:c r="U27" s="32" t="n">
        <x:v>76</x:v>
      </x:c>
      <x:c r="V27" s="32" t="str">
        <x:v>Q04 投入连续性＋Q03 亲密距离节奏 候选</x:v>
      </x:c>
      <x:c r="W27" s="32" t="str">
        <x:v>care_investment／closeness_boundary（候选，待M3-CARE与M3-BOUND复核）</x:v>
      </x:c>
      <x:c r="X27" s="32" t="str">
        <x:v>偏财底盘提示投入方式更重回应性和体验性；是否持续、是否需要高频变化，不能在BASE阶段直接确定。</x:v>
      </x:c>
      <x:c r="Y27" s="32" t="str">
        <x:v>你通常会用灵活回应、一起体验新事物和让相处保持流动感来表达投入。</x:v>
      </x:c>
      <x:c r="Z27" s="32" t="str">
        <x:v>不得推出用户花心、随便、只看外表、关系不稳定，或投入一定不持续。 本规则只描述关系建立后的互动底盘，不判断风险、结果和适配。 该句只作为后续模块候选，不能在BASE阶段直接作为最终行为结论。</x:v>
      </x:c>
      <x:c r="AA27" s="32" t="str">
        <x:v>中低</x:v>
      </x:c>
      <x:c r="AB27" s="32" t="str">
        <x:v>待验证</x:v>
      </x:c>
      <x:c r="AC27" s="32" t="str"/>
      <x:c r="AD27" s="32" t="str">
        <x:v>provisional=true; source_id=DAY_BRANCH_PRIMARY_偏财; route_only=true</x:v>
      </x:c>
      <x:c r="AE27" s="39" t="str">
        <x:v>0.2</x:v>
      </x:c>
    </x:row>
    <x:row r="28">
      <x:c r="A28" s="38" t="str">
        <x:v>M3-BASE-024</x:v>
      </x:c>
      <x:c r="B28" s="32" t="str">
        <x:v>日支偏财｜依据摘要</x:v>
      </x:c>
      <x:c r="C28" s="32" t="str">
        <x:v>L8 总合成与边界审查</x:v>
      </x:c>
      <x:c r="D28" s="32" t="str">
        <x:v>BASE-十神底盘</x:v>
      </x:c>
      <x:c r="E28" s="32" t="str">
        <x:v>通用</x:v>
      </x:c>
      <x:c r="F28" s="32" t="str">
        <x:v>输出</x:v>
      </x:c>
      <x:c r="G28" s="32" t="str">
        <x:v>日支主气偏财</x:v>
      </x:c>
      <x:c r="H28" s="32" t="str"/>
      <x:c r="I28" s="32" t="str">
        <x:v>日支偏财底盘进入最终或暂定输出。</x:v>
      </x:c>
      <x:c r="J28" s="32" t="str">
        <x:v>该底盘被删除、真合化替代或停止。</x:v>
      </x:c>
      <x:c r="K28" s="32" t="str">
        <x:v>不限定；由后续模块修正</x:v>
      </x:c>
      <x:c r="L28" s="32" t="str">
        <x:v>不限定</x:v>
      </x:c>
      <x:c r="M28" s="32" t="str">
        <x:v>灵活回应、共同体验与互动活力</x:v>
      </x:c>
      <x:c r="N28" s="32" t="str">
        <x:v>无／待后续模块组合</x:v>
      </x:c>
      <x:c r="O28" s="32" t="str">
        <x:v>日支或与日支直接相关</x:v>
      </x:c>
      <x:c r="P28" s="32" t="str">
        <x:v>由共享基础引擎判定</x:v>
      </x:c>
      <x:c r="Q28" s="32" t="str">
        <x:v>由共享基础引擎判定</x:v>
      </x:c>
      <x:c r="R28" s="32" t="str">
        <x:v>喜忌未定或由共享引擎提供</x:v>
      </x:c>
      <x:c r="S28" s="32" t="str">
        <x:v>原十神性质有效；无真合化或已完成相应路由</x:v>
      </x:c>
      <x:c r="T28" s="32" t="str">
        <x:v>近</x:v>
      </x:c>
      <x:c r="U28" s="32" t="n">
        <x:v>68</x:v>
      </x:c>
      <x:c r="V28" s="32" t="str">
        <x:v>不加分</x:v>
      </x:c>
      <x:c r="W28" s="32" t="str">
        <x:v>basis_summary</x:v>
      </x:c>
      <x:c r="X28" s="32" t="str">
        <x:v>生成折叠命理依据，只说明日支偏财如何映射为I06 体验联结，不把日支写成实际伴侣性格。</x:v>
      </x:c>
      <x:c r="Y28" s="32" t="str">
        <x:v>从传统八字取象看，日支的偏财信号使你的关系运行底盘更接近“灵活回应、共同体验与互动活力”。</x:v>
      </x:c>
      <x:c r="Z28" s="32" t="str">
        <x:v>不得推出用户花心、随便、只看外表、关系不稳定，或投入一定不持续。 本规则只描述关系建立后的互动底盘，不判断风险、结果和适配。</x:v>
      </x:c>
      <x:c r="AA28" s="32" t="str">
        <x:v>中</x:v>
      </x:c>
      <x:c r="AB28" s="32" t="str">
        <x:v>待验证</x:v>
      </x:c>
      <x:c r="AC28" s="32" t="str"/>
      <x:c r="AD28" s="32" t="str">
        <x:v>provisional=true; source_id=DAY_BRANCH_PRIMARY_偏财; summary_only=true</x:v>
      </x:c>
      <x:c r="AE28" s="39" t="str">
        <x:v>0.2</x:v>
      </x:c>
    </x:row>
    <x:row r="29">
      <x:c r="A29" s="38" t="str">
        <x:v>M3-BASE-025</x:v>
      </x:c>
      <x:c r="B29" s="32" t="str">
        <x:v>日支正官｜核心关系底盘</x:v>
      </x:c>
      <x:c r="C29" s="32" t="str">
        <x:v>L1 关系运行底盘</x:v>
      </x:c>
      <x:c r="D29" s="32" t="str">
        <x:v>BASE-十神底盘</x:v>
      </x:c>
      <x:c r="E29" s="32" t="str">
        <x:v>通用</x:v>
      </x:c>
      <x:c r="F29" s="32" t="str">
        <x:v>基础</x:v>
      </x:c>
      <x:c r="G29" s="32" t="str">
        <x:v>日支主气正官</x:v>
      </x:c>
      <x:c r="H29" s="32" t="str"/>
      <x:c r="I29" s="32" t="str">
        <x:v>日支主气十神由共享基础引擎可靠判定为正官；日支原十神性质有效；未命中真合化停止。</x:v>
      </x:c>
      <x:c r="J29" s="32" t="str">
        <x:v>日支主气未定；真合化后原十神性质不再有效；基础排盘或十神映射置信度不足。</x:v>
      </x:c>
      <x:c r="K29" s="32" t="str">
        <x:v>不限定；由后续模块修正</x:v>
      </x:c>
      <x:c r="L29" s="32" t="str">
        <x:v>不限定</x:v>
      </x:c>
      <x:c r="M29" s="32" t="str">
        <x:v>I07 责任维护／承诺、规则、角色与共同承担</x:v>
      </x:c>
      <x:c r="N29" s="32" t="str">
        <x:v>无／待后续模块组合</x:v>
      </x:c>
      <x:c r="O29" s="32" t="str">
        <x:v>日支或与日支直接相关</x:v>
      </x:c>
      <x:c r="P29" s="32" t="str">
        <x:v>由共享基础引擎判定</x:v>
      </x:c>
      <x:c r="Q29" s="32" t="str">
        <x:v>由共享基础引擎判定</x:v>
      </x:c>
      <x:c r="R29" s="32" t="str">
        <x:v>喜忌未定或由共享引擎提供</x:v>
      </x:c>
      <x:c r="S29" s="32" t="str">
        <x:v>原十神性质有效；无真合化或已完成相应路由</x:v>
      </x:c>
      <x:c r="T29" s="32" t="str">
        <x:v>近</x:v>
      </x:c>
      <x:c r="U29" s="32" t="n">
        <x:v>96</x:v>
      </x:c>
      <x:c r="V29" s="32" t="str">
        <x:v>I07 责任维护 +25</x:v>
      </x:c>
      <x:c r="W29" s="32" t="str">
        <x:v>relationship_baseline</x:v>
      </x:c>
      <x:c r="X29" s="32" t="str">
        <x:v>日支是亲密关系运行位；主气为正官时，进入关系后，更自然地通过守约、清楚分工和稳定承担维持关系秩序。该规则只确定底盘主题，不直接生成完整表达、分歧或修复结论。</x:v>
      </x:c>
      <x:c r="Y29" s="32" t="str">
        <x:v>你更习惯通过守约、承担和稳定安排来维持关系，让彼此知道哪些事情有人负责。</x:v>
      </x:c>
      <x:c r="Z29" s="32" t="str">
        <x:v>不得推出用户控制欲强、僵化、只讲规矩不讲感情，或关系一定稳定。 本规则只描述关系建立后的互动底盘，不判断风险、结果和适配。</x:v>
      </x:c>
      <x:c r="AA29" s="32" t="str">
        <x:v>中高</x:v>
      </x:c>
      <x:c r="AB29" s="32" t="str">
        <x:v>待验证</x:v>
      </x:c>
      <x:c r="AC29" s="32" t="str"/>
      <x:c r="AD29" s="32" t="str">
        <x:v>provisional=true; source_id=DAY_BRANCH_PRIMARY_正官; interaction_state=平稳基线</x:v>
      </x:c>
      <x:c r="AE29" s="39" t="str">
        <x:v>0.2</x:v>
      </x:c>
    </x:row>
    <x:row r="30">
      <x:c r="A30" s="38" t="str">
        <x:v>M3-BASE-026</x:v>
      </x:c>
      <x:c r="B30" s="32" t="str">
        <x:v>日支正官｜主相处模式候选</x:v>
      </x:c>
      <x:c r="C30" s="32" t="str">
        <x:v>L1 关系运行底盘</x:v>
      </x:c>
      <x:c r="D30" s="32" t="str">
        <x:v>BASE-十神底盘</x:v>
      </x:c>
      <x:c r="E30" s="32" t="str">
        <x:v>通用</x:v>
      </x:c>
      <x:c r="F30" s="32" t="str">
        <x:v>模式候选</x:v>
      </x:c>
      <x:c r="G30" s="32" t="str">
        <x:v>日支主气正官</x:v>
      </x:c>
      <x:c r="H30" s="32" t="str">
        <x:v>I07 责任维护</x:v>
      </x:c>
      <x:c r="I30" s="32" t="str">
        <x:v>M3中“日支正官核心关系底盘”已经成立；至少有一项独立支持证据，或后续模块未形成更强冲突证据。</x:v>
      </x:c>
      <x:c r="J30" s="32" t="str">
        <x:v>核心底盘已停止；仅有一处弱远争议信号；后续模块形成更高权威且不同的主通道。</x:v>
      </x:c>
      <x:c r="K30" s="32" t="str">
        <x:v>不限定；由后续模块修正</x:v>
      </x:c>
      <x:c r="L30" s="32" t="str">
        <x:v>不限定</x:v>
      </x:c>
      <x:c r="M30" s="32" t="str">
        <x:v>承诺、规则、角色与共同承担</x:v>
      </x:c>
      <x:c r="N30" s="32" t="str">
        <x:v>无／待后续模块组合</x:v>
      </x:c>
      <x:c r="O30" s="32" t="str">
        <x:v>日支或与日支直接相关</x:v>
      </x:c>
      <x:c r="P30" s="32" t="str">
        <x:v>由共享基础引擎判定</x:v>
      </x:c>
      <x:c r="Q30" s="32" t="str">
        <x:v>由共享基础引擎判定</x:v>
      </x:c>
      <x:c r="R30" s="32" t="str">
        <x:v>喜忌未定或由共享引擎提供</x:v>
      </x:c>
      <x:c r="S30" s="32" t="str">
        <x:v>原十神性质有效；无真合化或已完成相应路由</x:v>
      </x:c>
      <x:c r="T30" s="32" t="str">
        <x:v>近</x:v>
      </x:c>
      <x:c r="U30" s="32" t="n">
        <x:v>90</x:v>
      </x:c>
      <x:c r="V30" s="32" t="str">
        <x:v>P07 责任维护型 候选 +18</x:v>
      </x:c>
      <x:c r="W30" s="32" t="str">
        <x:v>interaction_pattern</x:v>
      </x:c>
      <x:c r="X30" s="32" t="str">
        <x:v>日支正官可将整体相处模式初步指向P07 责任维护型；BASE只生成候选，最终需由EXPR、CARE、BOUND、CONFLICT或STATE至少一项复核。</x:v>
      </x:c>
      <x:c r="Y30" s="32" t="str">
        <x:v>你的相处方式更接近“责任维护型”：进入关系后，更自然地通过守约、清楚分工和稳定承担维持关系秩序。</x:v>
      </x:c>
      <x:c r="Z30" s="32" t="str">
        <x:v>不得推出用户控制欲强、僵化、只讲规矩不讲感情，或关系一定稳定。 本规则只描述关系建立后的互动底盘，不判断风险、结果和适配。 不得仅凭日支锁定用户在所有关系和所有压力状态下都使用同一模式。</x:v>
      </x:c>
      <x:c r="AA30" s="32" t="str">
        <x:v>中</x:v>
      </x:c>
      <x:c r="AB30" s="32" t="str">
        <x:v>待验证</x:v>
      </x:c>
      <x:c r="AC30" s="32" t="str"/>
      <x:c r="AD30" s="32" t="str">
        <x:v>provisional=true; source_id=DAY_BRANCH_PRIMARY_正官; candidate_only=true</x:v>
      </x:c>
      <x:c r="AE30" s="39" t="str">
        <x:v>0.2</x:v>
      </x:c>
    </x:row>
    <x:row r="31">
      <x:c r="A31" s="38" t="str">
        <x:v>M3-BASE-027</x:v>
      </x:c>
      <x:c r="B31" s="32" t="str">
        <x:v>日支正官｜过程维度路由</x:v>
      </x:c>
      <x:c r="C31" s="32" t="str">
        <x:v>L2 主要互动通道</x:v>
      </x:c>
      <x:c r="D31" s="32" t="str">
        <x:v>BASE-十神底盘</x:v>
      </x:c>
      <x:c r="E31" s="32" t="str">
        <x:v>通用</x:v>
      </x:c>
      <x:c r="F31" s="32" t="str">
        <x:v>路由</x:v>
      </x:c>
      <x:c r="G31" s="32" t="str">
        <x:v>日支主气正官</x:v>
      </x:c>
      <x:c r="H31" s="32" t="str">
        <x:v>Q05 决策分配方式＋Q06 分歧启动方式 候选</x:v>
      </x:c>
      <x:c r="I31" s="32" t="str">
        <x:v>日支正官核心底盘有效；相关后续模块输入完整。</x:v>
      </x:c>
      <x:c r="J31" s="32" t="str">
        <x:v>相关后续模块停止；该过程维度仅由同一日支事实重复支持且没有独立证据。</x:v>
      </x:c>
      <x:c r="K31" s="32" t="str">
        <x:v>不限定；由后续模块修正</x:v>
      </x:c>
      <x:c r="L31" s="32" t="str">
        <x:v>不限定</x:v>
      </x:c>
      <x:c r="M31" s="32" t="str">
        <x:v>承诺、规则、角色与共同承担</x:v>
      </x:c>
      <x:c r="N31" s="32" t="str">
        <x:v>无／待后续模块组合</x:v>
      </x:c>
      <x:c r="O31" s="32" t="str">
        <x:v>日支或与日支直接相关</x:v>
      </x:c>
      <x:c r="P31" s="32" t="str">
        <x:v>由共享基础引擎判定</x:v>
      </x:c>
      <x:c r="Q31" s="32" t="str">
        <x:v>由共享基础引擎判定</x:v>
      </x:c>
      <x:c r="R31" s="32" t="str">
        <x:v>喜忌未定或由共享引擎提供</x:v>
      </x:c>
      <x:c r="S31" s="32" t="str">
        <x:v>原十神性质有效；无真合化或已完成相应路由</x:v>
      </x:c>
      <x:c r="T31" s="32" t="str">
        <x:v>近</x:v>
      </x:c>
      <x:c r="U31" s="32" t="n">
        <x:v>76</x:v>
      </x:c>
      <x:c r="V31" s="32" t="str">
        <x:v>Q05 决策分配方式＋Q06 分歧启动方式 候选</x:v>
      </x:c>
      <x:c r="W31" s="32" t="str">
        <x:v>decision_pattern／conflict_response（候选，待M3-BOUND与M3-CONFLICT复核）</x:v>
      </x:c>
      <x:c r="X31" s="32" t="str">
        <x:v>正官底盘会把共同事务初步指向规则、约定和角色清晰；是否僵化或能协商属于后续状态与盲点模块。</x:v>
      </x:c>
      <x:c r="Y31" s="32" t="str">
        <x:v>遇到共同事务时，你往往会先确认责任、规则和可执行安排，再让关系继续运转。</x:v>
      </x:c>
      <x:c r="Z31" s="32" t="str">
        <x:v>不得推出用户控制欲强、僵化、只讲规矩不讲感情，或关系一定稳定。 本规则只描述关系建立后的互动底盘，不判断风险、结果和适配。 该句只作为后续模块候选，不能在BASE阶段直接作为最终行为结论。</x:v>
      </x:c>
      <x:c r="AA31" s="32" t="str">
        <x:v>中低</x:v>
      </x:c>
      <x:c r="AB31" s="32" t="str">
        <x:v>待验证</x:v>
      </x:c>
      <x:c r="AC31" s="32" t="str"/>
      <x:c r="AD31" s="32" t="str">
        <x:v>provisional=true; source_id=DAY_BRANCH_PRIMARY_正官; route_only=true</x:v>
      </x:c>
      <x:c r="AE31" s="39" t="str">
        <x:v>0.2</x:v>
      </x:c>
    </x:row>
    <x:row r="32">
      <x:c r="A32" s="38" t="str">
        <x:v>M3-BASE-028</x:v>
      </x:c>
      <x:c r="B32" s="32" t="str">
        <x:v>日支正官｜依据摘要</x:v>
      </x:c>
      <x:c r="C32" s="32" t="str">
        <x:v>L8 总合成与边界审查</x:v>
      </x:c>
      <x:c r="D32" s="32" t="str">
        <x:v>BASE-十神底盘</x:v>
      </x:c>
      <x:c r="E32" s="32" t="str">
        <x:v>通用</x:v>
      </x:c>
      <x:c r="F32" s="32" t="str">
        <x:v>输出</x:v>
      </x:c>
      <x:c r="G32" s="32" t="str">
        <x:v>日支主气正官</x:v>
      </x:c>
      <x:c r="H32" s="32" t="str"/>
      <x:c r="I32" s="32" t="str">
        <x:v>日支正官底盘进入最终或暂定输出。</x:v>
      </x:c>
      <x:c r="J32" s="32" t="str">
        <x:v>该底盘被删除、真合化替代或停止。</x:v>
      </x:c>
      <x:c r="K32" s="32" t="str">
        <x:v>不限定；由后续模块修正</x:v>
      </x:c>
      <x:c r="L32" s="32" t="str">
        <x:v>不限定</x:v>
      </x:c>
      <x:c r="M32" s="32" t="str">
        <x:v>承诺、规则、角色与共同承担</x:v>
      </x:c>
      <x:c r="N32" s="32" t="str">
        <x:v>无／待后续模块组合</x:v>
      </x:c>
      <x:c r="O32" s="32" t="str">
        <x:v>日支或与日支直接相关</x:v>
      </x:c>
      <x:c r="P32" s="32" t="str">
        <x:v>由共享基础引擎判定</x:v>
      </x:c>
      <x:c r="Q32" s="32" t="str">
        <x:v>由共享基础引擎判定</x:v>
      </x:c>
      <x:c r="R32" s="32" t="str">
        <x:v>喜忌未定或由共享引擎提供</x:v>
      </x:c>
      <x:c r="S32" s="32" t="str">
        <x:v>原十神性质有效；无真合化或已完成相应路由</x:v>
      </x:c>
      <x:c r="T32" s="32" t="str">
        <x:v>近</x:v>
      </x:c>
      <x:c r="U32" s="32" t="n">
        <x:v>68</x:v>
      </x:c>
      <x:c r="V32" s="32" t="str">
        <x:v>不加分</x:v>
      </x:c>
      <x:c r="W32" s="32" t="str">
        <x:v>basis_summary</x:v>
      </x:c>
      <x:c r="X32" s="32" t="str">
        <x:v>生成折叠命理依据，只说明日支正官如何映射为I07 责任维护，不把日支写成实际伴侣性格。</x:v>
      </x:c>
      <x:c r="Y32" s="32" t="str">
        <x:v>从传统八字取象看，日支的正官信号使你的关系运行底盘更接近“承诺、规则、角色与共同承担”。</x:v>
      </x:c>
      <x:c r="Z32" s="32" t="str">
        <x:v>不得推出用户控制欲强、僵化、只讲规矩不讲感情，或关系一定稳定。 本规则只描述关系建立后的互动底盘，不判断风险、结果和适配。</x:v>
      </x:c>
      <x:c r="AA32" s="32" t="str">
        <x:v>中</x:v>
      </x:c>
      <x:c r="AB32" s="32" t="str">
        <x:v>待验证</x:v>
      </x:c>
      <x:c r="AC32" s="32" t="str"/>
      <x:c r="AD32" s="32" t="str">
        <x:v>provisional=true; source_id=DAY_BRANCH_PRIMARY_正官; summary_only=true</x:v>
      </x:c>
      <x:c r="AE32" s="39" t="str">
        <x:v>0.2</x:v>
      </x:c>
    </x:row>
    <x:row r="33">
      <x:c r="A33" s="38" t="str">
        <x:v>M3-BASE-029</x:v>
      </x:c>
      <x:c r="B33" s="32" t="str">
        <x:v>日支七杀｜核心关系底盘</x:v>
      </x:c>
      <x:c r="C33" s="32" t="str">
        <x:v>L1 关系运行底盘</x:v>
      </x:c>
      <x:c r="D33" s="32" t="str">
        <x:v>BASE-十神底盘</x:v>
      </x:c>
      <x:c r="E33" s="32" t="str">
        <x:v>通用</x:v>
      </x:c>
      <x:c r="F33" s="32" t="str">
        <x:v>基础</x:v>
      </x:c>
      <x:c r="G33" s="32" t="str">
        <x:v>日支主气七杀</x:v>
      </x:c>
      <x:c r="H33" s="32" t="str"/>
      <x:c r="I33" s="32" t="str">
        <x:v>日支主气十神由共享基础引擎可靠判定为七杀；日支原十神性质有效；未命中真合化停止。</x:v>
      </x:c>
      <x:c r="J33" s="32" t="str">
        <x:v>日支主气未定；真合化后原十神性质不再有效；基础排盘或十神映射置信度不足。</x:v>
      </x:c>
      <x:c r="K33" s="32" t="str">
        <x:v>不限定；由后续模块修正</x:v>
      </x:c>
      <x:c r="L33" s="32" t="str">
        <x:v>不限定</x:v>
      </x:c>
      <x:c r="M33" s="32" t="str">
        <x:v>I08 行动解决／决断、推进、保护与问题解决</x:v>
      </x:c>
      <x:c r="N33" s="32" t="str">
        <x:v>无／待后续模块组合</x:v>
      </x:c>
      <x:c r="O33" s="32" t="str">
        <x:v>日支或与日支直接相关</x:v>
      </x:c>
      <x:c r="P33" s="32" t="str">
        <x:v>由共享基础引擎判定</x:v>
      </x:c>
      <x:c r="Q33" s="32" t="str">
        <x:v>由共享基础引擎判定</x:v>
      </x:c>
      <x:c r="R33" s="32" t="str">
        <x:v>喜忌未定或由共享引擎提供</x:v>
      </x:c>
      <x:c r="S33" s="32" t="str">
        <x:v>原十神性质有效；无真合化或已完成相应路由</x:v>
      </x:c>
      <x:c r="T33" s="32" t="str">
        <x:v>近</x:v>
      </x:c>
      <x:c r="U33" s="32" t="n">
        <x:v>96</x:v>
      </x:c>
      <x:c r="V33" s="32" t="str">
        <x:v>I08 行动解决 +25</x:v>
      </x:c>
      <x:c r="W33" s="32" t="str">
        <x:v>relationship_baseline</x:v>
      </x:c>
      <x:c r="X33" s="32" t="str">
        <x:v>日支是亲密关系运行位；主气为七杀时，进入关系后，遇到具体问题时更自然地快速判断、推进处理并承担关键任务。该规则只确定底盘主题，不直接生成完整表达、分歧或修复结论。</x:v>
      </x:c>
      <x:c r="Y33" s="32" t="str">
        <x:v>遇到事情时，你更容易通过迅速处理、推进和承担行动来表达在意。</x:v>
      </x:c>
      <x:c r="Z33" s="32" t="str">
        <x:v>不得推出用户强势、危险、冷漠、会控制伴侣，或一定容易冲突。 本规则只描述关系建立后的互动底盘，不判断风险、结果和适配。</x:v>
      </x:c>
      <x:c r="AA33" s="32" t="str">
        <x:v>中高</x:v>
      </x:c>
      <x:c r="AB33" s="32" t="str">
        <x:v>待验证</x:v>
      </x:c>
      <x:c r="AC33" s="32" t="str"/>
      <x:c r="AD33" s="32" t="str">
        <x:v>provisional=true; source_id=DAY_BRANCH_PRIMARY_七杀; interaction_state=平稳基线</x:v>
      </x:c>
      <x:c r="AE33" s="39" t="str">
        <x:v>0.2</x:v>
      </x:c>
    </x:row>
    <x:row r="34">
      <x:c r="A34" s="38" t="str">
        <x:v>M3-BASE-030</x:v>
      </x:c>
      <x:c r="B34" s="32" t="str">
        <x:v>日支七杀｜主相处模式候选</x:v>
      </x:c>
      <x:c r="C34" s="32" t="str">
        <x:v>L1 关系运行底盘</x:v>
      </x:c>
      <x:c r="D34" s="32" t="str">
        <x:v>BASE-十神底盘</x:v>
      </x:c>
      <x:c r="E34" s="32" t="str">
        <x:v>通用</x:v>
      </x:c>
      <x:c r="F34" s="32" t="str">
        <x:v>模式候选</x:v>
      </x:c>
      <x:c r="G34" s="32" t="str">
        <x:v>日支主气七杀</x:v>
      </x:c>
      <x:c r="H34" s="32" t="str">
        <x:v>I08 行动解决</x:v>
      </x:c>
      <x:c r="I34" s="32" t="str">
        <x:v>M3中“日支七杀核心关系底盘”已经成立；至少有一项独立支持证据，或后续模块未形成更强冲突证据。</x:v>
      </x:c>
      <x:c r="J34" s="32" t="str">
        <x:v>核心底盘已停止；仅有一处弱远争议信号；后续模块形成更高权威且不同的主通道。</x:v>
      </x:c>
      <x:c r="K34" s="32" t="str">
        <x:v>不限定；由后续模块修正</x:v>
      </x:c>
      <x:c r="L34" s="32" t="str">
        <x:v>不限定</x:v>
      </x:c>
      <x:c r="M34" s="32" t="str">
        <x:v>决断、推进、保护与问题解决</x:v>
      </x:c>
      <x:c r="N34" s="32" t="str">
        <x:v>无／待后续模块组合</x:v>
      </x:c>
      <x:c r="O34" s="32" t="str">
        <x:v>日支或与日支直接相关</x:v>
      </x:c>
      <x:c r="P34" s="32" t="str">
        <x:v>由共享基础引擎判定</x:v>
      </x:c>
      <x:c r="Q34" s="32" t="str">
        <x:v>由共享基础引擎判定</x:v>
      </x:c>
      <x:c r="R34" s="32" t="str">
        <x:v>喜忌未定或由共享引擎提供</x:v>
      </x:c>
      <x:c r="S34" s="32" t="str">
        <x:v>原十神性质有效；无真合化或已完成相应路由</x:v>
      </x:c>
      <x:c r="T34" s="32" t="str">
        <x:v>近</x:v>
      </x:c>
      <x:c r="U34" s="32" t="n">
        <x:v>90</x:v>
      </x:c>
      <x:c r="V34" s="32" t="str">
        <x:v>P08 行动解决型 候选 +18</x:v>
      </x:c>
      <x:c r="W34" s="32" t="str">
        <x:v>interaction_pattern</x:v>
      </x:c>
      <x:c r="X34" s="32" t="str">
        <x:v>日支七杀可将整体相处模式初步指向P08 行动解决型；BASE只生成候选，最终需由EXPR、CARE、BOUND、CONFLICT或STATE至少一项复核。</x:v>
      </x:c>
      <x:c r="Y34" s="32" t="str">
        <x:v>你的相处方式更接近“行动解决型”：进入关系后，遇到具体问题时更自然地快速判断、推进处理并承担关键任务。</x:v>
      </x:c>
      <x:c r="Z34" s="32" t="str">
        <x:v>不得推出用户强势、危险、冷漠、会控制伴侣，或一定容易冲突。 本规则只描述关系建立后的互动底盘，不判断风险、结果和适配。 不得仅凭日支锁定用户在所有关系和所有压力状态下都使用同一模式。</x:v>
      </x:c>
      <x:c r="AA34" s="32" t="str">
        <x:v>中</x:v>
      </x:c>
      <x:c r="AB34" s="32" t="str">
        <x:v>待验证</x:v>
      </x:c>
      <x:c r="AC34" s="32" t="str"/>
      <x:c r="AD34" s="32" t="str">
        <x:v>provisional=true; source_id=DAY_BRANCH_PRIMARY_七杀; candidate_only=true</x:v>
      </x:c>
      <x:c r="AE34" s="39" t="str">
        <x:v>0.2</x:v>
      </x:c>
    </x:row>
    <x:row r="35">
      <x:c r="A35" s="38" t="str">
        <x:v>M3-BASE-031</x:v>
      </x:c>
      <x:c r="B35" s="32" t="str">
        <x:v>日支七杀｜过程维度路由</x:v>
      </x:c>
      <x:c r="C35" s="32" t="str">
        <x:v>L2 主要互动通道</x:v>
      </x:c>
      <x:c r="D35" s="32" t="str">
        <x:v>BASE-十神底盘</x:v>
      </x:c>
      <x:c r="E35" s="32" t="str">
        <x:v>通用</x:v>
      </x:c>
      <x:c r="F35" s="32" t="str">
        <x:v>路由</x:v>
      </x:c>
      <x:c r="G35" s="32" t="str">
        <x:v>日支主气七杀</x:v>
      </x:c>
      <x:c r="H35" s="32" t="str">
        <x:v>Q06 分歧启动方式＋Q05 决策分配方式 候选</x:v>
      </x:c>
      <x:c r="I35" s="32" t="str">
        <x:v>日支七杀核心底盘有效；相关后续模块输入完整。</x:v>
      </x:c>
      <x:c r="J35" s="32" t="str">
        <x:v>相关后续模块停止；该过程维度仅由同一日支事实重复支持且没有独立证据。</x:v>
      </x:c>
      <x:c r="K35" s="32" t="str">
        <x:v>不限定；由后续模块修正</x:v>
      </x:c>
      <x:c r="L35" s="32" t="str">
        <x:v>不限定</x:v>
      </x:c>
      <x:c r="M35" s="32" t="str">
        <x:v>决断、推进、保护与问题解决</x:v>
      </x:c>
      <x:c r="N35" s="32" t="str">
        <x:v>无／待后续模块组合</x:v>
      </x:c>
      <x:c r="O35" s="32" t="str">
        <x:v>日支或与日支直接相关</x:v>
      </x:c>
      <x:c r="P35" s="32" t="str">
        <x:v>由共享基础引擎判定</x:v>
      </x:c>
      <x:c r="Q35" s="32" t="str">
        <x:v>由共享基础引擎判定</x:v>
      </x:c>
      <x:c r="R35" s="32" t="str">
        <x:v>喜忌未定或由共享引擎提供</x:v>
      </x:c>
      <x:c r="S35" s="32" t="str">
        <x:v>原十神性质有效；无真合化或已完成相应路由</x:v>
      </x:c>
      <x:c r="T35" s="32" t="str">
        <x:v>近</x:v>
      </x:c>
      <x:c r="U35" s="32" t="n">
        <x:v>76</x:v>
      </x:c>
      <x:c r="V35" s="32" t="str">
        <x:v>Q06 分歧启动方式＋Q05 决策分配方式 候选</x:v>
      </x:c>
      <x:c r="W35" s="32" t="str">
        <x:v>conflict_response／decision_pattern（候选，待M3-CONFLICT与M3-BOUND复核）</x:v>
      </x:c>
      <x:c r="X35" s="32" t="str">
        <x:v>七杀底盘提示行动解决通道靠近关系核心；行动是保护还是压过沟通，不能由BASE单独判断。</x:v>
      </x:c>
      <x:c r="Y35" s="32" t="str">
        <x:v>关系出现具体问题时，你可能先想办法解决、推动事情落地，之后才回到情绪和解释。</x:v>
      </x:c>
      <x:c r="Z35" s="32" t="str">
        <x:v>不得推出用户强势、危险、冷漠、会控制伴侣，或一定容易冲突。 本规则只描述关系建立后的互动底盘，不判断风险、结果和适配。 该句只作为后续模块候选，不能在BASE阶段直接作为最终行为结论。</x:v>
      </x:c>
      <x:c r="AA35" s="32" t="str">
        <x:v>中低</x:v>
      </x:c>
      <x:c r="AB35" s="32" t="str">
        <x:v>待验证</x:v>
      </x:c>
      <x:c r="AC35" s="32" t="str"/>
      <x:c r="AD35" s="32" t="str">
        <x:v>provisional=true; source_id=DAY_BRANCH_PRIMARY_七杀; route_only=true</x:v>
      </x:c>
      <x:c r="AE35" s="39" t="str">
        <x:v>0.2</x:v>
      </x:c>
    </x:row>
    <x:row r="36">
      <x:c r="A36" s="38" t="str">
        <x:v>M3-BASE-032</x:v>
      </x:c>
      <x:c r="B36" s="32" t="str">
        <x:v>日支七杀｜依据摘要</x:v>
      </x:c>
      <x:c r="C36" s="32" t="str">
        <x:v>L8 总合成与边界审查</x:v>
      </x:c>
      <x:c r="D36" s="32" t="str">
        <x:v>BASE-十神底盘</x:v>
      </x:c>
      <x:c r="E36" s="32" t="str">
        <x:v>通用</x:v>
      </x:c>
      <x:c r="F36" s="32" t="str">
        <x:v>输出</x:v>
      </x:c>
      <x:c r="G36" s="32" t="str">
        <x:v>日支主气七杀</x:v>
      </x:c>
      <x:c r="H36" s="32" t="str"/>
      <x:c r="I36" s="32" t="str">
        <x:v>日支七杀底盘进入最终或暂定输出。</x:v>
      </x:c>
      <x:c r="J36" s="32" t="str">
        <x:v>该底盘被删除、真合化替代或停止。</x:v>
      </x:c>
      <x:c r="K36" s="32" t="str">
        <x:v>不限定；由后续模块修正</x:v>
      </x:c>
      <x:c r="L36" s="32" t="str">
        <x:v>不限定</x:v>
      </x:c>
      <x:c r="M36" s="32" t="str">
        <x:v>决断、推进、保护与问题解决</x:v>
      </x:c>
      <x:c r="N36" s="32" t="str">
        <x:v>无／待后续模块组合</x:v>
      </x:c>
      <x:c r="O36" s="32" t="str">
        <x:v>日支或与日支直接相关</x:v>
      </x:c>
      <x:c r="P36" s="32" t="str">
        <x:v>由共享基础引擎判定</x:v>
      </x:c>
      <x:c r="Q36" s="32" t="str">
        <x:v>由共享基础引擎判定</x:v>
      </x:c>
      <x:c r="R36" s="32" t="str">
        <x:v>喜忌未定或由共享引擎提供</x:v>
      </x:c>
      <x:c r="S36" s="32" t="str">
        <x:v>原十神性质有效；无真合化或已完成相应路由</x:v>
      </x:c>
      <x:c r="T36" s="32" t="str">
        <x:v>近</x:v>
      </x:c>
      <x:c r="U36" s="32" t="n">
        <x:v>68</x:v>
      </x:c>
      <x:c r="V36" s="32" t="str">
        <x:v>不加分</x:v>
      </x:c>
      <x:c r="W36" s="32" t="str">
        <x:v>basis_summary</x:v>
      </x:c>
      <x:c r="X36" s="32" t="str">
        <x:v>生成折叠命理依据，只说明日支七杀如何映射为I08 行动解决，不把日支写成实际伴侣性格。</x:v>
      </x:c>
      <x:c r="Y36" s="32" t="str">
        <x:v>从传统八字取象看，日支的七杀信号使你的关系运行底盘更接近“决断、推进、保护与问题解决”。</x:v>
      </x:c>
      <x:c r="Z36" s="32" t="str">
        <x:v>不得推出用户强势、危险、冷漠、会控制伴侣，或一定容易冲突。 本规则只描述关系建立后的互动底盘，不判断风险、结果和适配。</x:v>
      </x:c>
      <x:c r="AA36" s="32" t="str">
        <x:v>中</x:v>
      </x:c>
      <x:c r="AB36" s="32" t="str">
        <x:v>待验证</x:v>
      </x:c>
      <x:c r="AC36" s="32" t="str"/>
      <x:c r="AD36" s="32" t="str">
        <x:v>provisional=true; source_id=DAY_BRANCH_PRIMARY_七杀; summary_only=true</x:v>
      </x:c>
      <x:c r="AE36" s="39" t="str">
        <x:v>0.2</x:v>
      </x:c>
    </x:row>
    <x:row r="37">
      <x:c r="A37" s="38" t="str">
        <x:v>M3-BASE-033</x:v>
      </x:c>
      <x:c r="B37" s="32" t="str">
        <x:v>日支正印｜核心关系底盘</x:v>
      </x:c>
      <x:c r="C37" s="32" t="str">
        <x:v>L1 关系运行底盘</x:v>
      </x:c>
      <x:c r="D37" s="32" t="str">
        <x:v>BASE-十神底盘</x:v>
      </x:c>
      <x:c r="E37" s="32" t="str">
        <x:v>通用</x:v>
      </x:c>
      <x:c r="F37" s="32" t="str">
        <x:v>基础</x:v>
      </x:c>
      <x:c r="G37" s="32" t="str">
        <x:v>日支主气正印</x:v>
      </x:c>
      <x:c r="H37" s="32" t="str"/>
      <x:c r="I37" s="32" t="str">
        <x:v>日支主气十神由共享基础引擎可靠判定为正印；日支原十神性质有效；未命中真合化停止。</x:v>
      </x:c>
      <x:c r="J37" s="32" t="str">
        <x:v>日支主气未定；真合化后原十神性质不再有效；基础排盘或十神映射置信度不足。</x:v>
      </x:c>
      <x:c r="K37" s="32" t="str">
        <x:v>不限定；由后续模块修正</x:v>
      </x:c>
      <x:c r="L37" s="32" t="str">
        <x:v>不限定</x:v>
      </x:c>
      <x:c r="M37" s="32" t="str">
        <x:v>I09 安全承接／理解、倾听、稳定支持与被接住</x:v>
      </x:c>
      <x:c r="N37" s="32" t="str">
        <x:v>无／待后续模块组合</x:v>
      </x:c>
      <x:c r="O37" s="32" t="str">
        <x:v>日支或与日支直接相关</x:v>
      </x:c>
      <x:c r="P37" s="32" t="str">
        <x:v>由共享基础引擎判定</x:v>
      </x:c>
      <x:c r="Q37" s="32" t="str">
        <x:v>由共享基础引擎判定</x:v>
      </x:c>
      <x:c r="R37" s="32" t="str">
        <x:v>喜忌未定或由共享引擎提供</x:v>
      </x:c>
      <x:c r="S37" s="32" t="str">
        <x:v>原十神性质有效；无真合化或已完成相应路由</x:v>
      </x:c>
      <x:c r="T37" s="32" t="str">
        <x:v>近</x:v>
      </x:c>
      <x:c r="U37" s="32" t="n">
        <x:v>96</x:v>
      </x:c>
      <x:c r="V37" s="32" t="str">
        <x:v>I09 安全承接 +25</x:v>
      </x:c>
      <x:c r="W37" s="32" t="str">
        <x:v>relationship_baseline</x:v>
      </x:c>
      <x:c r="X37" s="32" t="str">
        <x:v>日支是亲密关系运行位；主气为正印时，进入关系后，更自然地通过理解、耐心回应、照顾和稳定支持维持联结。该规则只确定底盘主题，不直接生成完整表达、分歧或修复结论。</x:v>
      </x:c>
      <x:c r="Y37" s="32" t="str">
        <x:v>你重视关系里能否被理解和接住，也常通过倾听、照顾和稳定回应维持亲密。</x:v>
      </x:c>
      <x:c r="Z37" s="32" t="str">
        <x:v>不得推出用户依赖、缺乏独立性、一定扮演照顾者，或一定喜欢年长伴侣。 本规则只描述关系建立后的互动底盘，不判断风险、结果和适配。</x:v>
      </x:c>
      <x:c r="AA37" s="32" t="str">
        <x:v>中高</x:v>
      </x:c>
      <x:c r="AB37" s="32" t="str">
        <x:v>待验证</x:v>
      </x:c>
      <x:c r="AC37" s="32" t="str"/>
      <x:c r="AD37" s="32" t="str">
        <x:v>provisional=true; source_id=DAY_BRANCH_PRIMARY_正印; interaction_state=平稳基线</x:v>
      </x:c>
      <x:c r="AE37" s="39" t="str">
        <x:v>0.2</x:v>
      </x:c>
    </x:row>
    <x:row r="38">
      <x:c r="A38" s="38" t="str">
        <x:v>M3-BASE-034</x:v>
      </x:c>
      <x:c r="B38" s="32" t="str">
        <x:v>日支正印｜主相处模式候选</x:v>
      </x:c>
      <x:c r="C38" s="32" t="str">
        <x:v>L1 关系运行底盘</x:v>
      </x:c>
      <x:c r="D38" s="32" t="str">
        <x:v>BASE-十神底盘</x:v>
      </x:c>
      <x:c r="E38" s="32" t="str">
        <x:v>通用</x:v>
      </x:c>
      <x:c r="F38" s="32" t="str">
        <x:v>模式候选</x:v>
      </x:c>
      <x:c r="G38" s="32" t="str">
        <x:v>日支主气正印</x:v>
      </x:c>
      <x:c r="H38" s="32" t="str">
        <x:v>I09 安全承接</x:v>
      </x:c>
      <x:c r="I38" s="32" t="str">
        <x:v>M3中“日支正印核心关系底盘”已经成立；至少有一项独立支持证据，或后续模块未形成更强冲突证据。</x:v>
      </x:c>
      <x:c r="J38" s="32" t="str">
        <x:v>核心底盘已停止；仅有一处弱远争议信号；后续模块形成更高权威且不同的主通道。</x:v>
      </x:c>
      <x:c r="K38" s="32" t="str">
        <x:v>不限定；由后续模块修正</x:v>
      </x:c>
      <x:c r="L38" s="32" t="str">
        <x:v>不限定</x:v>
      </x:c>
      <x:c r="M38" s="32" t="str">
        <x:v>理解、倾听、稳定支持与被接住</x:v>
      </x:c>
      <x:c r="N38" s="32" t="str">
        <x:v>无／待后续模块组合</x:v>
      </x:c>
      <x:c r="O38" s="32" t="str">
        <x:v>日支或与日支直接相关</x:v>
      </x:c>
      <x:c r="P38" s="32" t="str">
        <x:v>由共享基础引擎判定</x:v>
      </x:c>
      <x:c r="Q38" s="32" t="str">
        <x:v>由共享基础引擎判定</x:v>
      </x:c>
      <x:c r="R38" s="32" t="str">
        <x:v>喜忌未定或由共享引擎提供</x:v>
      </x:c>
      <x:c r="S38" s="32" t="str">
        <x:v>原十神性质有效；无真合化或已完成相应路由</x:v>
      </x:c>
      <x:c r="T38" s="32" t="str">
        <x:v>近</x:v>
      </x:c>
      <x:c r="U38" s="32" t="n">
        <x:v>90</x:v>
      </x:c>
      <x:c r="V38" s="32" t="str">
        <x:v>P09 安全承接型 候选 +18</x:v>
      </x:c>
      <x:c r="W38" s="32" t="str">
        <x:v>interaction_pattern</x:v>
      </x:c>
      <x:c r="X38" s="32" t="str">
        <x:v>日支正印可将整体相处模式初步指向P09 安全承接型；BASE只生成候选，最终需由EXPR、CARE、BOUND、CONFLICT或STATE至少一项复核。</x:v>
      </x:c>
      <x:c r="Y38" s="32" t="str">
        <x:v>你的相处方式更接近“安全承接型”：进入关系后，更自然地通过理解、耐心回应、照顾和稳定支持维持联结。</x:v>
      </x:c>
      <x:c r="Z38" s="32" t="str">
        <x:v>不得推出用户依赖、缺乏独立性、一定扮演照顾者，或一定喜欢年长伴侣。 本规则只描述关系建立后的互动底盘，不判断风险、结果和适配。 不得仅凭日支锁定用户在所有关系和所有压力状态下都使用同一模式。</x:v>
      </x:c>
      <x:c r="AA38" s="32" t="str">
        <x:v>中</x:v>
      </x:c>
      <x:c r="AB38" s="32" t="str">
        <x:v>待验证</x:v>
      </x:c>
      <x:c r="AC38" s="32" t="str"/>
      <x:c r="AD38" s="32" t="str">
        <x:v>provisional=true; source_id=DAY_BRANCH_PRIMARY_正印; candidate_only=true</x:v>
      </x:c>
      <x:c r="AE38" s="39" t="str">
        <x:v>0.2</x:v>
      </x:c>
    </x:row>
    <x:row r="39">
      <x:c r="A39" s="38" t="str">
        <x:v>M3-BASE-035</x:v>
      </x:c>
      <x:c r="B39" s="32" t="str">
        <x:v>日支正印｜过程维度路由</x:v>
      </x:c>
      <x:c r="C39" s="32" t="str">
        <x:v>L2 主要互动通道</x:v>
      </x:c>
      <x:c r="D39" s="32" t="str">
        <x:v>BASE-十神底盘</x:v>
      </x:c>
      <x:c r="E39" s="32" t="str">
        <x:v>通用</x:v>
      </x:c>
      <x:c r="F39" s="32" t="str">
        <x:v>路由</x:v>
      </x:c>
      <x:c r="G39" s="32" t="str">
        <x:v>日支主气正印</x:v>
      </x:c>
      <x:c r="H39" s="32" t="str">
        <x:v>Q02 情绪处理顺序＋Q03 亲密距离节奏 候选</x:v>
      </x:c>
      <x:c r="I39" s="32" t="str">
        <x:v>日支正印核心底盘有效；相关后续模块输入完整。</x:v>
      </x:c>
      <x:c r="J39" s="32" t="str">
        <x:v>相关后续模块停止；该过程维度仅由同一日支事实重复支持且没有独立证据。</x:v>
      </x:c>
      <x:c r="K39" s="32" t="str">
        <x:v>不限定；由后续模块修正</x:v>
      </x:c>
      <x:c r="L39" s="32" t="str">
        <x:v>不限定</x:v>
      </x:c>
      <x:c r="M39" s="32" t="str">
        <x:v>理解、倾听、稳定支持与被接住</x:v>
      </x:c>
      <x:c r="N39" s="32" t="str">
        <x:v>无／待后续模块组合</x:v>
      </x:c>
      <x:c r="O39" s="32" t="str">
        <x:v>日支或与日支直接相关</x:v>
      </x:c>
      <x:c r="P39" s="32" t="str">
        <x:v>由共享基础引擎判定</x:v>
      </x:c>
      <x:c r="Q39" s="32" t="str">
        <x:v>由共享基础引擎判定</x:v>
      </x:c>
      <x:c r="R39" s="32" t="str">
        <x:v>喜忌未定或由共享引擎提供</x:v>
      </x:c>
      <x:c r="S39" s="32" t="str">
        <x:v>原十神性质有效；无真合化或已完成相应路由</x:v>
      </x:c>
      <x:c r="T39" s="32" t="str">
        <x:v>近</x:v>
      </x:c>
      <x:c r="U39" s="32" t="n">
        <x:v>76</x:v>
      </x:c>
      <x:c r="V39" s="32" t="str">
        <x:v>Q02 情绪处理顺序＋Q03 亲密距离节奏 候选</x:v>
      </x:c>
      <x:c r="W39" s="32" t="str">
        <x:v>support_receiving／closeness_boundary（候选，待M3-CARE与M3-BOUND复核）</x:v>
      </x:c>
      <x:c r="X39" s="32" t="str">
        <x:v>正印底盘提示安全承接是关系运行的重要条件；是否容易接受帮助、是否过度照顾需CARE和BOUND复核。</x:v>
      </x:c>
      <x:c r="Y39" s="32" t="str">
        <x:v>当彼此愿意耐心听、稳定回应并提供可感知的支持时，你更容易回到可亲近、可沟通的状态。</x:v>
      </x:c>
      <x:c r="Z39" s="32" t="str">
        <x:v>不得推出用户依赖、缺乏独立性、一定扮演照顾者，或一定喜欢年长伴侣。 本规则只描述关系建立后的互动底盘，不判断风险、结果和适配。 该句只作为后续模块候选，不能在BASE阶段直接作为最终行为结论。</x:v>
      </x:c>
      <x:c r="AA39" s="32" t="str">
        <x:v>中低</x:v>
      </x:c>
      <x:c r="AB39" s="32" t="str">
        <x:v>待验证</x:v>
      </x:c>
      <x:c r="AC39" s="32" t="str"/>
      <x:c r="AD39" s="32" t="str">
        <x:v>provisional=true; source_id=DAY_BRANCH_PRIMARY_正印; route_only=true</x:v>
      </x:c>
      <x:c r="AE39" s="39" t="str">
        <x:v>0.2</x:v>
      </x:c>
    </x:row>
    <x:row r="40">
      <x:c r="A40" s="38" t="str">
        <x:v>M3-BASE-036</x:v>
      </x:c>
      <x:c r="B40" s="32" t="str">
        <x:v>日支正印｜依据摘要</x:v>
      </x:c>
      <x:c r="C40" s="32" t="str">
        <x:v>L8 总合成与边界审查</x:v>
      </x:c>
      <x:c r="D40" s="32" t="str">
        <x:v>BASE-十神底盘</x:v>
      </x:c>
      <x:c r="E40" s="32" t="str">
        <x:v>通用</x:v>
      </x:c>
      <x:c r="F40" s="32" t="str">
        <x:v>输出</x:v>
      </x:c>
      <x:c r="G40" s="32" t="str">
        <x:v>日支主气正印</x:v>
      </x:c>
      <x:c r="H40" s="32" t="str"/>
      <x:c r="I40" s="32" t="str">
        <x:v>日支正印底盘进入最终或暂定输出。</x:v>
      </x:c>
      <x:c r="J40" s="32" t="str">
        <x:v>该底盘被删除、真合化替代或停止。</x:v>
      </x:c>
      <x:c r="K40" s="32" t="str">
        <x:v>不限定；由后续模块修正</x:v>
      </x:c>
      <x:c r="L40" s="32" t="str">
        <x:v>不限定</x:v>
      </x:c>
      <x:c r="M40" s="32" t="str">
        <x:v>理解、倾听、稳定支持与被接住</x:v>
      </x:c>
      <x:c r="N40" s="32" t="str">
        <x:v>无／待后续模块组合</x:v>
      </x:c>
      <x:c r="O40" s="32" t="str">
        <x:v>日支或与日支直接相关</x:v>
      </x:c>
      <x:c r="P40" s="32" t="str">
        <x:v>由共享基础引擎判定</x:v>
      </x:c>
      <x:c r="Q40" s="32" t="str">
        <x:v>由共享基础引擎判定</x:v>
      </x:c>
      <x:c r="R40" s="32" t="str">
        <x:v>喜忌未定或由共享引擎提供</x:v>
      </x:c>
      <x:c r="S40" s="32" t="str">
        <x:v>原十神性质有效；无真合化或已完成相应路由</x:v>
      </x:c>
      <x:c r="T40" s="32" t="str">
        <x:v>近</x:v>
      </x:c>
      <x:c r="U40" s="32" t="n">
        <x:v>68</x:v>
      </x:c>
      <x:c r="V40" s="32" t="str">
        <x:v>不加分</x:v>
      </x:c>
      <x:c r="W40" s="32" t="str">
        <x:v>basis_summary</x:v>
      </x:c>
      <x:c r="X40" s="32" t="str">
        <x:v>生成折叠命理依据，只说明日支正印如何映射为I09 安全承接，不把日支写成实际伴侣性格。</x:v>
      </x:c>
      <x:c r="Y40" s="32" t="str">
        <x:v>从传统八字取象看，日支的正印信号使你的关系运行底盘更接近“理解、倾听、稳定支持与被接住”。</x:v>
      </x:c>
      <x:c r="Z40" s="32" t="str">
        <x:v>不得推出用户依赖、缺乏独立性、一定扮演照顾者，或一定喜欢年长伴侣。 本规则只描述关系建立后的互动底盘，不判断风险、结果和适配。</x:v>
      </x:c>
      <x:c r="AA40" s="32" t="str">
        <x:v>中</x:v>
      </x:c>
      <x:c r="AB40" s="32" t="str">
        <x:v>待验证</x:v>
      </x:c>
      <x:c r="AC40" s="32" t="str"/>
      <x:c r="AD40" s="32" t="str">
        <x:v>provisional=true; source_id=DAY_BRANCH_PRIMARY_正印; summary_only=true</x:v>
      </x:c>
      <x:c r="AE40" s="39" t="str">
        <x:v>0.2</x:v>
      </x:c>
    </x:row>
    <x:row r="41">
      <x:c r="A41" s="38" t="str">
        <x:v>M3-BASE-037</x:v>
      </x:c>
      <x:c r="B41" s="32" t="str">
        <x:v>日支偏印｜核心关系底盘</x:v>
      </x:c>
      <x:c r="C41" s="32" t="str">
        <x:v>L1 关系运行底盘</x:v>
      </x:c>
      <x:c r="D41" s="32" t="str">
        <x:v>BASE-十神底盘</x:v>
      </x:c>
      <x:c r="E41" s="32" t="str">
        <x:v>通用</x:v>
      </x:c>
      <x:c r="F41" s="32" t="str">
        <x:v>基础</x:v>
      </x:c>
      <x:c r="G41" s="32" t="str">
        <x:v>日支主气偏印</x:v>
      </x:c>
      <x:c r="H41" s="32" t="str"/>
      <x:c r="I41" s="32" t="str">
        <x:v>日支主气十神由共享基础引擎可靠判定为偏印；日支原十神性质有效；未命中真合化停止。</x:v>
      </x:c>
      <x:c r="J41" s="32" t="str">
        <x:v>日支主气未定；真合化后原十神性质不再有效；基础排盘或十神映射置信度不足。</x:v>
      </x:c>
      <x:c r="K41" s="32" t="str">
        <x:v>不限定；由后续模块修正</x:v>
      </x:c>
      <x:c r="L41" s="32" t="str">
        <x:v>不限定</x:v>
      </x:c>
      <x:c r="M41" s="32" t="str">
        <x:v>I10 深度内化／独立消化、深度理解与私人空间</x:v>
      </x:c>
      <x:c r="N41" s="32" t="str">
        <x:v>无／待后续模块组合</x:v>
      </x:c>
      <x:c r="O41" s="32" t="str">
        <x:v>日支或与日支直接相关</x:v>
      </x:c>
      <x:c r="P41" s="32" t="str">
        <x:v>由共享基础引擎判定</x:v>
      </x:c>
      <x:c r="Q41" s="32" t="str">
        <x:v>由共享基础引擎判定</x:v>
      </x:c>
      <x:c r="R41" s="32" t="str">
        <x:v>喜忌未定或由共享引擎提供</x:v>
      </x:c>
      <x:c r="S41" s="32" t="str">
        <x:v>原十神性质有效；无真合化或已完成相应路由</x:v>
      </x:c>
      <x:c r="T41" s="32" t="str">
        <x:v>近</x:v>
      </x:c>
      <x:c r="U41" s="32" t="n">
        <x:v>96</x:v>
      </x:c>
      <x:c r="V41" s="32" t="str">
        <x:v>I10 深度内化 +25</x:v>
      </x:c>
      <x:c r="W41" s="32" t="str">
        <x:v>relationship_baseline</x:v>
      </x:c>
      <x:c r="X41" s="32" t="str">
        <x:v>日支是亲密关系运行位；主气为偏印时，进入关系后，更自然地先在内部整理复杂感受，再进行选择性、较有深度的回应。该规则只确定底盘主题，不直接生成完整表达、分歧或修复结论。</x:v>
      </x:c>
      <x:c r="Y41" s="32" t="str">
        <x:v>你往往需要先在内部想清楚，再用较有深度、较有选择的方式回应关系。</x:v>
      </x:c>
      <x:c r="Z41" s="32" t="str">
        <x:v>不得推出用户冷漠、回避型依恋、孤僻、不需要关系，或一定难以表达。 本规则只描述关系建立后的互动底盘，不判断风险、结果和适配。</x:v>
      </x:c>
      <x:c r="AA41" s="32" t="str">
        <x:v>中高</x:v>
      </x:c>
      <x:c r="AB41" s="32" t="str">
        <x:v>待验证</x:v>
      </x:c>
      <x:c r="AC41" s="32" t="str"/>
      <x:c r="AD41" s="32" t="str">
        <x:v>provisional=true; source_id=DAY_BRANCH_PRIMARY_偏印; interaction_state=平稳基线</x:v>
      </x:c>
      <x:c r="AE41" s="39" t="str">
        <x:v>0.2</x:v>
      </x:c>
    </x:row>
    <x:row r="42">
      <x:c r="A42" s="38" t="str">
        <x:v>M3-BASE-038</x:v>
      </x:c>
      <x:c r="B42" s="32" t="str">
        <x:v>日支偏印｜主相处模式候选</x:v>
      </x:c>
      <x:c r="C42" s="32" t="str">
        <x:v>L1 关系运行底盘</x:v>
      </x:c>
      <x:c r="D42" s="32" t="str">
        <x:v>BASE-十神底盘</x:v>
      </x:c>
      <x:c r="E42" s="32" t="str">
        <x:v>通用</x:v>
      </x:c>
      <x:c r="F42" s="32" t="str">
        <x:v>模式候选</x:v>
      </x:c>
      <x:c r="G42" s="32" t="str">
        <x:v>日支主气偏印</x:v>
      </x:c>
      <x:c r="H42" s="32" t="str">
        <x:v>I10 深度内化</x:v>
      </x:c>
      <x:c r="I42" s="32" t="str">
        <x:v>M3中“日支偏印核心关系底盘”已经成立；至少有一项独立支持证据，或后续模块未形成更强冲突证据。</x:v>
      </x:c>
      <x:c r="J42" s="32" t="str">
        <x:v>核心底盘已停止；仅有一处弱远争议信号；后续模块形成更高权威且不同的主通道。</x:v>
      </x:c>
      <x:c r="K42" s="32" t="str">
        <x:v>不限定；由后续模块修正</x:v>
      </x:c>
      <x:c r="L42" s="32" t="str">
        <x:v>不限定</x:v>
      </x:c>
      <x:c r="M42" s="32" t="str">
        <x:v>独立消化、深度理解与私人空间</x:v>
      </x:c>
      <x:c r="N42" s="32" t="str">
        <x:v>无／待后续模块组合</x:v>
      </x:c>
      <x:c r="O42" s="32" t="str">
        <x:v>日支或与日支直接相关</x:v>
      </x:c>
      <x:c r="P42" s="32" t="str">
        <x:v>由共享基础引擎判定</x:v>
      </x:c>
      <x:c r="Q42" s="32" t="str">
        <x:v>由共享基础引擎判定</x:v>
      </x:c>
      <x:c r="R42" s="32" t="str">
        <x:v>喜忌未定或由共享引擎提供</x:v>
      </x:c>
      <x:c r="S42" s="32" t="str">
        <x:v>原十神性质有效；无真合化或已完成相应路由</x:v>
      </x:c>
      <x:c r="T42" s="32" t="str">
        <x:v>近</x:v>
      </x:c>
      <x:c r="U42" s="32" t="n">
        <x:v>90</x:v>
      </x:c>
      <x:c r="V42" s="32" t="str">
        <x:v>P10 深度内化型 候选 +18</x:v>
      </x:c>
      <x:c r="W42" s="32" t="str">
        <x:v>interaction_pattern</x:v>
      </x:c>
      <x:c r="X42" s="32" t="str">
        <x:v>日支偏印可将整体相处模式初步指向P10 深度内化型；BASE只生成候选，最终需由EXPR、CARE、BOUND、CONFLICT或STATE至少一项复核。</x:v>
      </x:c>
      <x:c r="Y42" s="32" t="str">
        <x:v>你的相处方式更接近“深度内化型”：进入关系后，更自然地先在内部整理复杂感受，再进行选择性、较有深度的回应。</x:v>
      </x:c>
      <x:c r="Z42" s="32" t="str">
        <x:v>不得推出用户冷漠、回避型依恋、孤僻、不需要关系，或一定难以表达。 本规则只描述关系建立后的互动底盘，不判断风险、结果和适配。 不得仅凭日支锁定用户在所有关系和所有压力状态下都使用同一模式。</x:v>
      </x:c>
      <x:c r="AA42" s="32" t="str">
        <x:v>中</x:v>
      </x:c>
      <x:c r="AB42" s="32" t="str">
        <x:v>待验证</x:v>
      </x:c>
      <x:c r="AC42" s="32" t="str"/>
      <x:c r="AD42" s="32" t="str">
        <x:v>provisional=true; source_id=DAY_BRANCH_PRIMARY_偏印; candidate_only=true</x:v>
      </x:c>
      <x:c r="AE42" s="39" t="str">
        <x:v>0.2</x:v>
      </x:c>
    </x:row>
    <x:row r="43">
      <x:c r="A43" s="38" t="str">
        <x:v>M3-BASE-039</x:v>
      </x:c>
      <x:c r="B43" s="32" t="str">
        <x:v>日支偏印｜过程维度路由</x:v>
      </x:c>
      <x:c r="C43" s="32" t="str">
        <x:v>L2 主要互动通道</x:v>
      </x:c>
      <x:c r="D43" s="32" t="str">
        <x:v>BASE-十神底盘</x:v>
      </x:c>
      <x:c r="E43" s="32" t="str">
        <x:v>通用</x:v>
      </x:c>
      <x:c r="F43" s="32" t="str">
        <x:v>路由</x:v>
      </x:c>
      <x:c r="G43" s="32" t="str">
        <x:v>日支主气偏印</x:v>
      </x:c>
      <x:c r="H43" s="32" t="str">
        <x:v>Q02 情绪处理顺序＋Q03 亲密距离节奏 候选</x:v>
      </x:c>
      <x:c r="I43" s="32" t="str">
        <x:v>日支偏印核心底盘有效；相关后续模块输入完整。</x:v>
      </x:c>
      <x:c r="J43" s="32" t="str">
        <x:v>相关后续模块停止；该过程维度仅由同一日支事实重复支持且没有独立证据。</x:v>
      </x:c>
      <x:c r="K43" s="32" t="str">
        <x:v>不限定；由后续模块修正</x:v>
      </x:c>
      <x:c r="L43" s="32" t="str">
        <x:v>不限定</x:v>
      </x:c>
      <x:c r="M43" s="32" t="str">
        <x:v>独立消化、深度理解与私人空间</x:v>
      </x:c>
      <x:c r="N43" s="32" t="str">
        <x:v>无／待后续模块组合</x:v>
      </x:c>
      <x:c r="O43" s="32" t="str">
        <x:v>日支或与日支直接相关</x:v>
      </x:c>
      <x:c r="P43" s="32" t="str">
        <x:v>由共享基础引擎判定</x:v>
      </x:c>
      <x:c r="Q43" s="32" t="str">
        <x:v>由共享基础引擎判定</x:v>
      </x:c>
      <x:c r="R43" s="32" t="str">
        <x:v>喜忌未定或由共享引擎提供</x:v>
      </x:c>
      <x:c r="S43" s="32" t="str">
        <x:v>原十神性质有效；无真合化或已完成相应路由</x:v>
      </x:c>
      <x:c r="T43" s="32" t="str">
        <x:v>近</x:v>
      </x:c>
      <x:c r="U43" s="32" t="n">
        <x:v>76</x:v>
      </x:c>
      <x:c r="V43" s="32" t="str">
        <x:v>Q02 情绪处理顺序＋Q03 亲密距离节奏 候选</x:v>
      </x:c>
      <x:c r="W43" s="32" t="str">
        <x:v>support_receiving／communication_style／closeness_boundary（候选，待M3-CARE、EXPR与BOUND复核）</x:v>
      </x:c>
      <x:c r="X43" s="32" t="str">
        <x:v>偏印底盘提示内部消化和私人空间靠近关系核心；需要空间不等于拒绝沟通，实际恢复方式需后续模块判断。</x:v>
      </x:c>
      <x:c r="Y43" s="32" t="str">
        <x:v>面对复杂情绪时，你可能先留出一点空间，把感受和信息整理清楚，再决定怎样回应。</x:v>
      </x:c>
      <x:c r="Z43" s="32" t="str">
        <x:v>不得推出用户冷漠、回避型依恋、孤僻、不需要关系，或一定难以表达。 本规则只描述关系建立后的互动底盘，不判断风险、结果和适配。 该句只作为后续模块候选，不能在BASE阶段直接作为最终行为结论。</x:v>
      </x:c>
      <x:c r="AA43" s="32" t="str">
        <x:v>中低</x:v>
      </x:c>
      <x:c r="AB43" s="32" t="str">
        <x:v>待验证</x:v>
      </x:c>
      <x:c r="AC43" s="32" t="str"/>
      <x:c r="AD43" s="32" t="str">
        <x:v>provisional=true; source_id=DAY_BRANCH_PRIMARY_偏印; route_only=true</x:v>
      </x:c>
      <x:c r="AE43" s="39" t="str">
        <x:v>0.2</x:v>
      </x:c>
    </x:row>
    <x:row r="44">
      <x:c r="A44" s="38" t="str">
        <x:v>M3-BASE-040</x:v>
      </x:c>
      <x:c r="B44" s="32" t="str">
        <x:v>日支偏印｜依据摘要</x:v>
      </x:c>
      <x:c r="C44" s="32" t="str">
        <x:v>L8 总合成与边界审查</x:v>
      </x:c>
      <x:c r="D44" s="32" t="str">
        <x:v>BASE-十神底盘</x:v>
      </x:c>
      <x:c r="E44" s="32" t="str">
        <x:v>通用</x:v>
      </x:c>
      <x:c r="F44" s="32" t="str">
        <x:v>输出</x:v>
      </x:c>
      <x:c r="G44" s="32" t="str">
        <x:v>日支主气偏印</x:v>
      </x:c>
      <x:c r="H44" s="32" t="str"/>
      <x:c r="I44" s="32" t="str">
        <x:v>日支偏印底盘进入最终或暂定输出。</x:v>
      </x:c>
      <x:c r="J44" s="32" t="str">
        <x:v>该底盘被删除、真合化替代或停止。</x:v>
      </x:c>
      <x:c r="K44" s="32" t="str">
        <x:v>不限定；由后续模块修正</x:v>
      </x:c>
      <x:c r="L44" s="32" t="str">
        <x:v>不限定</x:v>
      </x:c>
      <x:c r="M44" s="32" t="str">
        <x:v>独立消化、深度理解与私人空间</x:v>
      </x:c>
      <x:c r="N44" s="32" t="str">
        <x:v>无／待后续模块组合</x:v>
      </x:c>
      <x:c r="O44" s="32" t="str">
        <x:v>日支或与日支直接相关</x:v>
      </x:c>
      <x:c r="P44" s="32" t="str">
        <x:v>由共享基础引擎判定</x:v>
      </x:c>
      <x:c r="Q44" s="32" t="str">
        <x:v>由共享基础引擎判定</x:v>
      </x:c>
      <x:c r="R44" s="32" t="str">
        <x:v>喜忌未定或由共享引擎提供</x:v>
      </x:c>
      <x:c r="S44" s="32" t="str">
        <x:v>原十神性质有效；无真合化或已完成相应路由</x:v>
      </x:c>
      <x:c r="T44" s="32" t="str">
        <x:v>近</x:v>
      </x:c>
      <x:c r="U44" s="32" t="n">
        <x:v>68</x:v>
      </x:c>
      <x:c r="V44" s="32" t="str">
        <x:v>不加分</x:v>
      </x:c>
      <x:c r="W44" s="32" t="str">
        <x:v>basis_summary</x:v>
      </x:c>
      <x:c r="X44" s="32" t="str">
        <x:v>生成折叠命理依据，只说明日支偏印如何映射为I10 深度内化，不把日支写成实际伴侣性格。</x:v>
      </x:c>
      <x:c r="Y44" s="32" t="str">
        <x:v>从传统八字取象看，日支的偏印信号使你的关系运行底盘更接近“独立消化、深度理解与私人空间”。</x:v>
      </x:c>
      <x:c r="Z44" s="32" t="str">
        <x:v>不得推出用户冷漠、回避型依恋、孤僻、不需要关系，或一定难以表达。 本规则只描述关系建立后的互动底盘，不判断风险、结果和适配。</x:v>
      </x:c>
      <x:c r="AA44" s="32" t="str">
        <x:v>中</x:v>
      </x:c>
      <x:c r="AB44" s="32" t="str">
        <x:v>待验证</x:v>
      </x:c>
      <x:c r="AC44" s="32" t="str"/>
      <x:c r="AD44" s="32" t="str">
        <x:v>provisional=true; source_id=DAY_BRANCH_PRIMARY_偏印; summary_only=true</x:v>
      </x:c>
      <x:c r="AE44" s="39" t="str">
        <x:v>0.2</x:v>
      </x:c>
    </x:row>
    <x:row r="45">
      <x:c r="A45" s="38" t="str">
        <x:v>M3-BASE-041</x:v>
      </x:c>
      <x:c r="B45" s="32" t="str">
        <x:v>日干与日支同类｜五系统映射</x:v>
      </x:c>
      <x:c r="C45" s="32" t="str">
        <x:v>L1 关系运行底盘</x:v>
      </x:c>
      <x:c r="D45" s="32" t="str">
        <x:v>BASE-日柱关系</x:v>
      </x:c>
      <x:c r="E45" s="32" t="str">
        <x:v>通用</x:v>
      </x:c>
      <x:c r="F45" s="32" t="str">
        <x:v>基础映射</x:v>
      </x:c>
      <x:c r="G45" s="32" t="str">
        <x:v>日干与日支同类</x:v>
      </x:c>
      <x:c r="H45" s="32" t="str">
        <x:v>SYS01 自我边界系统</x:v>
      </x:c>
      <x:c r="I45" s="32" t="str">
        <x:v>日干、日支五行及生克关系由共享基础引擎可靠判定。</x:v>
      </x:c>
      <x:c r="J45" s="32" t="str">
        <x:v>日支真合化后关系已改道；日支五行或排盘未定。</x:v>
      </x:c>
      <x:c r="K45" s="32" t="str">
        <x:v>不限定；由后续模块修正</x:v>
      </x:c>
      <x:c r="L45" s="32" t="str">
        <x:v>不限定</x:v>
      </x:c>
      <x:c r="M45" s="32" t="str">
        <x:v>SYS01 自我边界系统</x:v>
      </x:c>
      <x:c r="N45" s="32" t="str">
        <x:v>无／待后续模块组合</x:v>
      </x:c>
      <x:c r="O45" s="32" t="str">
        <x:v>日柱</x:v>
      </x:c>
      <x:c r="P45" s="32" t="str">
        <x:v>由共享基础引擎判定</x:v>
      </x:c>
      <x:c r="Q45" s="32" t="str">
        <x:v>由共享基础引擎判定</x:v>
      </x:c>
      <x:c r="R45" s="32" t="str">
        <x:v>喜忌未定或由共享引擎提供</x:v>
      </x:c>
      <x:c r="S45" s="32" t="str">
        <x:v>原十神性质有效；无真合化或已完成相应路由</x:v>
      </x:c>
      <x:c r="T45" s="32" t="str">
        <x:v>近</x:v>
      </x:c>
      <x:c r="U45" s="32" t="n">
        <x:v>94</x:v>
      </x:c>
      <x:c r="V45" s="32" t="str">
        <x:v>系统层摘要；不独立重复加分</x:v>
      </x:c>
      <x:c r="W45" s="32" t="str">
        <x:v>relationship_baseline</x:v>
      </x:c>
      <x:c r="X45" s="32" t="str">
        <x:v>日干与日支同类时，关系底盘首先落在自我边界系统：亲密关系需要处理平等、自主、共同参与与决定权。 该关系是日支十神的上位来源，不是新的独立证据。</x:v>
      </x:c>
      <x:c r="Y45" s="32" t="str">
        <x:v>从五行关系看，你在亲密关系里会较重视平等参与和保留自我。</x:v>
      </x:c>
      <x:c r="Z45" s="32" t="str">
        <x:v>不得仅凭同类关系推出竞争、自我中心或排斥依赖。 日干日支生克与日支十神属于同源，必须去重。</x:v>
      </x:c>
      <x:c r="AA45" s="32" t="str">
        <x:v>中高</x:v>
      </x:c>
      <x:c r="AB45" s="32" t="str">
        <x:v>待验证</x:v>
      </x:c>
      <x:c r="AC45" s="32" t="str"/>
      <x:c r="AD45" s="32" t="str">
        <x:v>provisional=true; source_id=DAY_STEM_BRANCH_RELATION_日干与日支同类; same_source_with_day_branch_ten_god=true</x:v>
      </x:c>
      <x:c r="AE45" s="39" t="str">
        <x:v>0.2</x:v>
      </x:c>
    </x:row>
    <x:row r="46">
      <x:c r="A46" s="38" t="str">
        <x:v>M3-BASE-042</x:v>
      </x:c>
      <x:c r="B46" s="32" t="str">
        <x:v>日干与日支同类｜阴阳极性细分</x:v>
      </x:c>
      <x:c r="C46" s="32" t="str">
        <x:v>L1 关系运行底盘</x:v>
      </x:c>
      <x:c r="D46" s="32" t="str">
        <x:v>BASE-日柱关系</x:v>
      </x:c>
      <x:c r="E46" s="32" t="str">
        <x:v>通用</x:v>
      </x:c>
      <x:c r="F46" s="32" t="str">
        <x:v>路由</x:v>
      </x:c>
      <x:c r="G46" s="32" t="str">
        <x:v>日干与日支同类</x:v>
      </x:c>
      <x:c r="H46" s="32" t="str">
        <x:v>阴阳同类映射比肩；阴阳异类映射劫财</x:v>
      </x:c>
      <x:c r="I46" s="32" t="str">
        <x:v>日干与日支主气阴阳属性可靠；共享十神映射无争议。</x:v>
      </x:c>
      <x:c r="J46" s="32" t="str">
        <x:v>阴阳属性或主气未定；真合化后原主气失效。</x:v>
      </x:c>
      <x:c r="K46" s="32" t="str">
        <x:v>不限定；由后续模块修正</x:v>
      </x:c>
      <x:c r="L46" s="32" t="str">
        <x:v>不限定</x:v>
      </x:c>
      <x:c r="M46" s="32" t="str">
        <x:v>SYS01 自我边界系统</x:v>
      </x:c>
      <x:c r="N46" s="32" t="str">
        <x:v>无／待后续模块组合</x:v>
      </x:c>
      <x:c r="O46" s="32" t="str">
        <x:v>日柱</x:v>
      </x:c>
      <x:c r="P46" s="32" t="str">
        <x:v>由共享基础引擎判定</x:v>
      </x:c>
      <x:c r="Q46" s="32" t="str">
        <x:v>由共享基础引擎判定</x:v>
      </x:c>
      <x:c r="R46" s="32" t="str">
        <x:v>喜忌未定或由共享引擎提供</x:v>
      </x:c>
      <x:c r="S46" s="32" t="str">
        <x:v>原十神性质有效；无真合化或已完成相应路由</x:v>
      </x:c>
      <x:c r="T46" s="32" t="str">
        <x:v>近</x:v>
      </x:c>
      <x:c r="U46" s="32" t="n">
        <x:v>91</x:v>
      </x:c>
      <x:c r="V46" s="32" t="str">
        <x:v>路由到具体十神；不加独立分</x:v>
      </x:c>
      <x:c r="W46" s="32" t="str">
        <x:v>interaction_pattern</x:v>
      </x:c>
      <x:c r="X46" s="32" t="str">
        <x:v>阴阳同类映射比肩；阴阳异类映射劫财。阴阳极性只负责把五类系统细分为正偏十神，不另建一套相处结论。</x:v>
      </x:c>
      <x:c r="Y46" s="32" t="str">
        <x:v>具体是偏向温和、明确、稳定还是灵活，需要继续看日支主气对应的正偏十神。</x:v>
      </x:c>
      <x:c r="Z46" s="32" t="str">
        <x:v>不得把阴阳同异直接解释为好坏、主动被动或关系质量。</x:v>
      </x:c>
      <x:c r="AA46" s="32" t="str">
        <x:v>中</x:v>
      </x:c>
      <x:c r="AB46" s="32" t="str">
        <x:v>待验证</x:v>
      </x:c>
      <x:c r="AC46" s="32" t="str"/>
      <x:c r="AD46" s="32" t="str">
        <x:v>provisional=true; source_id=DAY_STEM_BRANCH_RELATION_日干与日支同类; polarity_route=true</x:v>
      </x:c>
      <x:c r="AE46" s="39" t="str">
        <x:v>0.2</x:v>
      </x:c>
    </x:row>
    <x:row r="47">
      <x:c r="A47" s="38" t="str">
        <x:v>M3-BASE-043</x:v>
      </x:c>
      <x:c r="B47" s="32" t="str">
        <x:v>日干与日支同类｜同源去重</x:v>
      </x:c>
      <x:c r="C47" s="32" t="str">
        <x:v>L8 总合成与边界审查</x:v>
      </x:c>
      <x:c r="D47" s="32" t="str">
        <x:v>BASE-日柱关系</x:v>
      </x:c>
      <x:c r="E47" s="32" t="str">
        <x:v>通用</x:v>
      </x:c>
      <x:c r="F47" s="32" t="str">
        <x:v>去重</x:v>
      </x:c>
      <x:c r="G47" s="32" t="str">
        <x:v>日干与日支同类</x:v>
      </x:c>
      <x:c r="H47" s="32" t="str">
        <x:v>日支主气十神</x:v>
      </x:c>
      <x:c r="I47" s="32" t="str">
        <x:v>日干日支关系与日支主气十神同时进入同一案例计算。</x:v>
      </x:c>
      <x:c r="J47" s="32" t="str">
        <x:v>两者实际来自不同状态层或真合化后已经分流。</x:v>
      </x:c>
      <x:c r="K47" s="32" t="str">
        <x:v>不限定；由后续模块修正</x:v>
      </x:c>
      <x:c r="L47" s="32" t="str">
        <x:v>不限定</x:v>
      </x:c>
      <x:c r="M47" s="32" t="str">
        <x:v>SYS01 自我边界系统</x:v>
      </x:c>
      <x:c r="N47" s="32" t="str">
        <x:v>无／待后续模块组合</x:v>
      </x:c>
      <x:c r="O47" s="32" t="str">
        <x:v>日柱</x:v>
      </x:c>
      <x:c r="P47" s="32" t="str">
        <x:v>由共享基础引擎判定</x:v>
      </x:c>
      <x:c r="Q47" s="32" t="str">
        <x:v>由共享基础引擎判定</x:v>
      </x:c>
      <x:c r="R47" s="32" t="str">
        <x:v>喜忌未定或由共享引擎提供</x:v>
      </x:c>
      <x:c r="S47" s="32" t="str">
        <x:v>原十神性质有效；无真合化或已完成相应路由</x:v>
      </x:c>
      <x:c r="T47" s="32" t="str">
        <x:v>近</x:v>
      </x:c>
      <x:c r="U47" s="32" t="n">
        <x:v>99</x:v>
      </x:c>
      <x:c r="V47" s="32" t="str">
        <x:v>同一source_cluster仅保留一次基础权重；保留两种解释视角</x:v>
      </x:c>
      <x:c r="W47" s="32" t="str">
        <x:v>dedup_log</x:v>
      </x:c>
      <x:c r="X47" s="32" t="str">
        <x:v>日干日支生克关系决定日支主气属于哪一类十神，因此两者不能被视为两条独立支持证据。</x:v>
      </x:c>
      <x:c r="Y47" s="32" t="str">
        <x:v>这一项只作为命理依据补充，不会被重复计算成两条结论。</x:v>
      </x:c>
      <x:c r="Z47" s="32" t="str">
        <x:v>不得以“日干日支关系＋日支十神”作为两项独立证据抬高置信度。</x:v>
      </x:c>
      <x:c r="AA47" s="32" t="str">
        <x:v>高</x:v>
      </x:c>
      <x:c r="AB47" s="32" t="str">
        <x:v>待验证</x:v>
      </x:c>
      <x:c r="AC47" s="32" t="str"/>
      <x:c r="AD47" s="32" t="str">
        <x:v>provisional=true; dedup_cluster=DAY_BRANCH_BASE_SYS01 自我边界系统</x:v>
      </x:c>
      <x:c r="AE47" s="39" t="str">
        <x:v>0.2</x:v>
      </x:c>
    </x:row>
    <x:row r="48">
      <x:c r="A48" s="38" t="str">
        <x:v>M3-BASE-044</x:v>
      </x:c>
      <x:c r="B48" s="32" t="str">
        <x:v>日干生日支｜五系统映射</x:v>
      </x:c>
      <x:c r="C48" s="32" t="str">
        <x:v>L1 关系运行底盘</x:v>
      </x:c>
      <x:c r="D48" s="32" t="str">
        <x:v>BASE-日柱关系</x:v>
      </x:c>
      <x:c r="E48" s="32" t="str">
        <x:v>通用</x:v>
      </x:c>
      <x:c r="F48" s="32" t="str">
        <x:v>基础映射</x:v>
      </x:c>
      <x:c r="G48" s="32" t="str">
        <x:v>日干生日支</x:v>
      </x:c>
      <x:c r="H48" s="32" t="str">
        <x:v>SYS02 表达交流系统</x:v>
      </x:c>
      <x:c r="I48" s="32" t="str">
        <x:v>日干、日支五行及生克关系由共享基础引擎可靠判定。</x:v>
      </x:c>
      <x:c r="J48" s="32" t="str">
        <x:v>日支真合化后关系已改道；日支五行或排盘未定。</x:v>
      </x:c>
      <x:c r="K48" s="32" t="str">
        <x:v>不限定；由后续模块修正</x:v>
      </x:c>
      <x:c r="L48" s="32" t="str">
        <x:v>不限定</x:v>
      </x:c>
      <x:c r="M48" s="32" t="str">
        <x:v>SYS02 表达交流系统</x:v>
      </x:c>
      <x:c r="N48" s="32" t="str">
        <x:v>无／待后续模块组合</x:v>
      </x:c>
      <x:c r="O48" s="32" t="str">
        <x:v>日柱</x:v>
      </x:c>
      <x:c r="P48" s="32" t="str">
        <x:v>由共享基础引擎判定</x:v>
      </x:c>
      <x:c r="Q48" s="32" t="str">
        <x:v>由共享基础引擎判定</x:v>
      </x:c>
      <x:c r="R48" s="32" t="str">
        <x:v>喜忌未定或由共享引擎提供</x:v>
      </x:c>
      <x:c r="S48" s="32" t="str">
        <x:v>原十神性质有效；无真合化或已完成相应路由</x:v>
      </x:c>
      <x:c r="T48" s="32" t="str">
        <x:v>近</x:v>
      </x:c>
      <x:c r="U48" s="32" t="n">
        <x:v>94</x:v>
      </x:c>
      <x:c r="V48" s="32" t="str">
        <x:v>系统层摘要；不独立重复加分</x:v>
      </x:c>
      <x:c r="W48" s="32" t="str">
        <x:v>relationship_baseline</x:v>
      </x:c>
      <x:c r="X48" s="32" t="str">
        <x:v>日干生日支时，关系底盘落在表达交流系统：用户更容易通过输出、表达、陪伴或观点沟通把自己放进关系。 该关系是日支十神的上位来源，不是新的独立证据。</x:v>
      </x:c>
      <x:c r="Y48" s="32" t="str">
        <x:v>从五行关系看，你更容易通过表达、陪伴或交流把自己的在意传递到关系中。</x:v>
      </x:c>
      <x:c r="Z48" s="32" t="str">
        <x:v>不得推出用户一定单向付出、话多或情绪外露。 日干日支生克与日支十神属于同源，必须去重。</x:v>
      </x:c>
      <x:c r="AA48" s="32" t="str">
        <x:v>中高</x:v>
      </x:c>
      <x:c r="AB48" s="32" t="str">
        <x:v>待验证</x:v>
      </x:c>
      <x:c r="AC48" s="32" t="str"/>
      <x:c r="AD48" s="32" t="str">
        <x:v>provisional=true; source_id=DAY_STEM_BRANCH_RELATION_日干生日支; same_source_with_day_branch_ten_god=true</x:v>
      </x:c>
      <x:c r="AE48" s="39" t="str">
        <x:v>0.2</x:v>
      </x:c>
    </x:row>
    <x:row r="49">
      <x:c r="A49" s="38" t="str">
        <x:v>M3-BASE-045</x:v>
      </x:c>
      <x:c r="B49" s="32" t="str">
        <x:v>日干生日支｜阴阳极性细分</x:v>
      </x:c>
      <x:c r="C49" s="32" t="str">
        <x:v>L1 关系运行底盘</x:v>
      </x:c>
      <x:c r="D49" s="32" t="str">
        <x:v>BASE-日柱关系</x:v>
      </x:c>
      <x:c r="E49" s="32" t="str">
        <x:v>通用</x:v>
      </x:c>
      <x:c r="F49" s="32" t="str">
        <x:v>路由</x:v>
      </x:c>
      <x:c r="G49" s="32" t="str">
        <x:v>日干生日支</x:v>
      </x:c>
      <x:c r="H49" s="32" t="str">
        <x:v>阴阳同类映射食神；阴阳异类映射伤官</x:v>
      </x:c>
      <x:c r="I49" s="32" t="str">
        <x:v>日干与日支主气阴阳属性可靠；共享十神映射无争议。</x:v>
      </x:c>
      <x:c r="J49" s="32" t="str">
        <x:v>阴阳属性或主气未定；真合化后原主气失效。</x:v>
      </x:c>
      <x:c r="K49" s="32" t="str">
        <x:v>不限定；由后续模块修正</x:v>
      </x:c>
      <x:c r="L49" s="32" t="str">
        <x:v>不限定</x:v>
      </x:c>
      <x:c r="M49" s="32" t="str">
        <x:v>SYS02 表达交流系统</x:v>
      </x:c>
      <x:c r="N49" s="32" t="str">
        <x:v>无／待后续模块组合</x:v>
      </x:c>
      <x:c r="O49" s="32" t="str">
        <x:v>日柱</x:v>
      </x:c>
      <x:c r="P49" s="32" t="str">
        <x:v>由共享基础引擎判定</x:v>
      </x:c>
      <x:c r="Q49" s="32" t="str">
        <x:v>由共享基础引擎判定</x:v>
      </x:c>
      <x:c r="R49" s="32" t="str">
        <x:v>喜忌未定或由共享引擎提供</x:v>
      </x:c>
      <x:c r="S49" s="32" t="str">
        <x:v>原十神性质有效；无真合化或已完成相应路由</x:v>
      </x:c>
      <x:c r="T49" s="32" t="str">
        <x:v>近</x:v>
      </x:c>
      <x:c r="U49" s="32" t="n">
        <x:v>91</x:v>
      </x:c>
      <x:c r="V49" s="32" t="str">
        <x:v>路由到具体十神；不加独立分</x:v>
      </x:c>
      <x:c r="W49" s="32" t="str">
        <x:v>interaction_pattern</x:v>
      </x:c>
      <x:c r="X49" s="32" t="str">
        <x:v>阴阳同类映射食神；阴阳异类映射伤官。阴阳极性只负责把五类系统细分为正偏十神，不另建一套相处结论。</x:v>
      </x:c>
      <x:c r="Y49" s="32" t="str">
        <x:v>具体是偏向温和、明确、稳定还是灵活，需要继续看日支主气对应的正偏十神。</x:v>
      </x:c>
      <x:c r="Z49" s="32" t="str">
        <x:v>不得把阴阳同异直接解释为好坏、主动被动或关系质量。</x:v>
      </x:c>
      <x:c r="AA49" s="32" t="str">
        <x:v>中</x:v>
      </x:c>
      <x:c r="AB49" s="32" t="str">
        <x:v>待验证</x:v>
      </x:c>
      <x:c r="AC49" s="32" t="str"/>
      <x:c r="AD49" s="32" t="str">
        <x:v>provisional=true; source_id=DAY_STEM_BRANCH_RELATION_日干生日支; polarity_route=true</x:v>
      </x:c>
      <x:c r="AE49" s="39" t="str">
        <x:v>0.2</x:v>
      </x:c>
    </x:row>
    <x:row r="50">
      <x:c r="A50" s="38" t="str">
        <x:v>M3-BASE-046</x:v>
      </x:c>
      <x:c r="B50" s="32" t="str">
        <x:v>日干生日支｜同源去重</x:v>
      </x:c>
      <x:c r="C50" s="32" t="str">
        <x:v>L8 总合成与边界审查</x:v>
      </x:c>
      <x:c r="D50" s="32" t="str">
        <x:v>BASE-日柱关系</x:v>
      </x:c>
      <x:c r="E50" s="32" t="str">
        <x:v>通用</x:v>
      </x:c>
      <x:c r="F50" s="32" t="str">
        <x:v>去重</x:v>
      </x:c>
      <x:c r="G50" s="32" t="str">
        <x:v>日干生日支</x:v>
      </x:c>
      <x:c r="H50" s="32" t="str">
        <x:v>日支主气十神</x:v>
      </x:c>
      <x:c r="I50" s="32" t="str">
        <x:v>日干日支关系与日支主气十神同时进入同一案例计算。</x:v>
      </x:c>
      <x:c r="J50" s="32" t="str">
        <x:v>两者实际来自不同状态层或真合化后已经分流。</x:v>
      </x:c>
      <x:c r="K50" s="32" t="str">
        <x:v>不限定；由后续模块修正</x:v>
      </x:c>
      <x:c r="L50" s="32" t="str">
        <x:v>不限定</x:v>
      </x:c>
      <x:c r="M50" s="32" t="str">
        <x:v>SYS02 表达交流系统</x:v>
      </x:c>
      <x:c r="N50" s="32" t="str">
        <x:v>无／待后续模块组合</x:v>
      </x:c>
      <x:c r="O50" s="32" t="str">
        <x:v>日柱</x:v>
      </x:c>
      <x:c r="P50" s="32" t="str">
        <x:v>由共享基础引擎判定</x:v>
      </x:c>
      <x:c r="Q50" s="32" t="str">
        <x:v>由共享基础引擎判定</x:v>
      </x:c>
      <x:c r="R50" s="32" t="str">
        <x:v>喜忌未定或由共享引擎提供</x:v>
      </x:c>
      <x:c r="S50" s="32" t="str">
        <x:v>原十神性质有效；无真合化或已完成相应路由</x:v>
      </x:c>
      <x:c r="T50" s="32" t="str">
        <x:v>近</x:v>
      </x:c>
      <x:c r="U50" s="32" t="n">
        <x:v>99</x:v>
      </x:c>
      <x:c r="V50" s="32" t="str">
        <x:v>同一source_cluster仅保留一次基础权重；保留两种解释视角</x:v>
      </x:c>
      <x:c r="W50" s="32" t="str">
        <x:v>dedup_log</x:v>
      </x:c>
      <x:c r="X50" s="32" t="str">
        <x:v>日干日支生克关系决定日支主气属于哪一类十神，因此两者不能被视为两条独立支持证据。</x:v>
      </x:c>
      <x:c r="Y50" s="32" t="str">
        <x:v>这一项只作为命理依据补充，不会被重复计算成两条结论。</x:v>
      </x:c>
      <x:c r="Z50" s="32" t="str">
        <x:v>不得以“日干日支关系＋日支十神”作为两项独立证据抬高置信度。</x:v>
      </x:c>
      <x:c r="AA50" s="32" t="str">
        <x:v>高</x:v>
      </x:c>
      <x:c r="AB50" s="32" t="str">
        <x:v>待验证</x:v>
      </x:c>
      <x:c r="AC50" s="32" t="str"/>
      <x:c r="AD50" s="32" t="str">
        <x:v>provisional=true; dedup_cluster=DAY_BRANCH_BASE_SYS02 表达交流系统</x:v>
      </x:c>
      <x:c r="AE50" s="39" t="str">
        <x:v>0.2</x:v>
      </x:c>
    </x:row>
    <x:row r="51">
      <x:c r="A51" s="38" t="str">
        <x:v>M3-BASE-047</x:v>
      </x:c>
      <x:c r="B51" s="32" t="str">
        <x:v>日干克日支｜五系统映射</x:v>
      </x:c>
      <x:c r="C51" s="32" t="str">
        <x:v>L1 关系运行底盘</x:v>
      </x:c>
      <x:c r="D51" s="32" t="str">
        <x:v>BASE-日柱关系</x:v>
      </x:c>
      <x:c r="E51" s="32" t="str">
        <x:v>通用</x:v>
      </x:c>
      <x:c r="F51" s="32" t="str">
        <x:v>基础映射</x:v>
      </x:c>
      <x:c r="G51" s="32" t="str">
        <x:v>日干克日支</x:v>
      </x:c>
      <x:c r="H51" s="32" t="str">
        <x:v>SYS03 投入经营系统</x:v>
      </x:c>
      <x:c r="I51" s="32" t="str">
        <x:v>日干、日支五行及生克关系由共享基础引擎可靠判定。</x:v>
      </x:c>
      <x:c r="J51" s="32" t="str">
        <x:v>日支真合化后关系已改道；日支五行或排盘未定。</x:v>
      </x:c>
      <x:c r="K51" s="32" t="str">
        <x:v>不限定；由后续模块修正</x:v>
      </x:c>
      <x:c r="L51" s="32" t="str">
        <x:v>不限定</x:v>
      </x:c>
      <x:c r="M51" s="32" t="str">
        <x:v>SYS03 投入经营系统</x:v>
      </x:c>
      <x:c r="N51" s="32" t="str">
        <x:v>无／待后续模块组合</x:v>
      </x:c>
      <x:c r="O51" s="32" t="str">
        <x:v>日柱</x:v>
      </x:c>
      <x:c r="P51" s="32" t="str">
        <x:v>由共享基础引擎判定</x:v>
      </x:c>
      <x:c r="Q51" s="32" t="str">
        <x:v>由共享基础引擎判定</x:v>
      </x:c>
      <x:c r="R51" s="32" t="str">
        <x:v>喜忌未定或由共享引擎提供</x:v>
      </x:c>
      <x:c r="S51" s="32" t="str">
        <x:v>原十神性质有效；无真合化或已完成相应路由</x:v>
      </x:c>
      <x:c r="T51" s="32" t="str">
        <x:v>近</x:v>
      </x:c>
      <x:c r="U51" s="32" t="n">
        <x:v>94</x:v>
      </x:c>
      <x:c r="V51" s="32" t="str">
        <x:v>系统层摘要；不独立重复加分</x:v>
      </x:c>
      <x:c r="W51" s="32" t="str">
        <x:v>relationship_baseline</x:v>
      </x:c>
      <x:c r="X51" s="32" t="str">
        <x:v>日干克日支时，关系底盘落在投入经营系统：用户更容易通过安排、投入、经营和现实落实参与关系。 该关系是日支十神的上位来源，不是新的独立证据。</x:v>
      </x:c>
      <x:c r="Y51" s="32" t="str">
        <x:v>从五行关系看，你更容易用时间、安排、资源或实际行动把关系经营起来。</x:v>
      </x:c>
      <x:c r="Z51" s="32" t="str">
        <x:v>不得推出用户控制关系、只重现实或一定承担更多。 日干日支生克与日支十神属于同源，必须去重。</x:v>
      </x:c>
      <x:c r="AA51" s="32" t="str">
        <x:v>中高</x:v>
      </x:c>
      <x:c r="AB51" s="32" t="str">
        <x:v>待验证</x:v>
      </x:c>
      <x:c r="AC51" s="32" t="str"/>
      <x:c r="AD51" s="32" t="str">
        <x:v>provisional=true; source_id=DAY_STEM_BRANCH_RELATION_日干克日支; same_source_with_day_branch_ten_god=true</x:v>
      </x:c>
      <x:c r="AE51" s="39" t="str">
        <x:v>0.2</x:v>
      </x:c>
    </x:row>
    <x:row r="52">
      <x:c r="A52" s="38" t="str">
        <x:v>M3-BASE-048</x:v>
      </x:c>
      <x:c r="B52" s="32" t="str">
        <x:v>日干克日支｜阴阳极性细分</x:v>
      </x:c>
      <x:c r="C52" s="32" t="str">
        <x:v>L1 关系运行底盘</x:v>
      </x:c>
      <x:c r="D52" s="32" t="str">
        <x:v>BASE-日柱关系</x:v>
      </x:c>
      <x:c r="E52" s="32" t="str">
        <x:v>通用</x:v>
      </x:c>
      <x:c r="F52" s="32" t="str">
        <x:v>路由</x:v>
      </x:c>
      <x:c r="G52" s="32" t="str">
        <x:v>日干克日支</x:v>
      </x:c>
      <x:c r="H52" s="32" t="str">
        <x:v>阴阳同类映射偏财；阴阳异类映射正财</x:v>
      </x:c>
      <x:c r="I52" s="32" t="str">
        <x:v>日干与日支主气阴阳属性可靠；共享十神映射无争议。</x:v>
      </x:c>
      <x:c r="J52" s="32" t="str">
        <x:v>阴阳属性或主气未定；真合化后原主气失效。</x:v>
      </x:c>
      <x:c r="K52" s="32" t="str">
        <x:v>不限定；由后续模块修正</x:v>
      </x:c>
      <x:c r="L52" s="32" t="str">
        <x:v>不限定</x:v>
      </x:c>
      <x:c r="M52" s="32" t="str">
        <x:v>SYS03 投入经营系统</x:v>
      </x:c>
      <x:c r="N52" s="32" t="str">
        <x:v>无／待后续模块组合</x:v>
      </x:c>
      <x:c r="O52" s="32" t="str">
        <x:v>日柱</x:v>
      </x:c>
      <x:c r="P52" s="32" t="str">
        <x:v>由共享基础引擎判定</x:v>
      </x:c>
      <x:c r="Q52" s="32" t="str">
        <x:v>由共享基础引擎判定</x:v>
      </x:c>
      <x:c r="R52" s="32" t="str">
        <x:v>喜忌未定或由共享引擎提供</x:v>
      </x:c>
      <x:c r="S52" s="32" t="str">
        <x:v>原十神性质有效；无真合化或已完成相应路由</x:v>
      </x:c>
      <x:c r="T52" s="32" t="str">
        <x:v>近</x:v>
      </x:c>
      <x:c r="U52" s="32" t="n">
        <x:v>91</x:v>
      </x:c>
      <x:c r="V52" s="32" t="str">
        <x:v>路由到具体十神；不加独立分</x:v>
      </x:c>
      <x:c r="W52" s="32" t="str">
        <x:v>interaction_pattern</x:v>
      </x:c>
      <x:c r="X52" s="32" t="str">
        <x:v>阴阳同类映射偏财；阴阳异类映射正财。阴阳极性只负责把五类系统细分为正偏十神，不另建一套相处结论。</x:v>
      </x:c>
      <x:c r="Y52" s="32" t="str">
        <x:v>具体是偏向温和、明确、稳定还是灵活，需要继续看日支主气对应的正偏十神。</x:v>
      </x:c>
      <x:c r="Z52" s="32" t="str">
        <x:v>不得把阴阳同异直接解释为好坏、主动被动或关系质量。</x:v>
      </x:c>
      <x:c r="AA52" s="32" t="str">
        <x:v>中</x:v>
      </x:c>
      <x:c r="AB52" s="32" t="str">
        <x:v>待验证</x:v>
      </x:c>
      <x:c r="AC52" s="32" t="str"/>
      <x:c r="AD52" s="32" t="str">
        <x:v>provisional=true; source_id=DAY_STEM_BRANCH_RELATION_日干克日支; polarity_route=true</x:v>
      </x:c>
      <x:c r="AE52" s="39" t="str">
        <x:v>0.2</x:v>
      </x:c>
    </x:row>
    <x:row r="53">
      <x:c r="A53" s="38" t="str">
        <x:v>M3-BASE-049</x:v>
      </x:c>
      <x:c r="B53" s="32" t="str">
        <x:v>日干克日支｜同源去重</x:v>
      </x:c>
      <x:c r="C53" s="32" t="str">
        <x:v>L8 总合成与边界审查</x:v>
      </x:c>
      <x:c r="D53" s="32" t="str">
        <x:v>BASE-日柱关系</x:v>
      </x:c>
      <x:c r="E53" s="32" t="str">
        <x:v>通用</x:v>
      </x:c>
      <x:c r="F53" s="32" t="str">
        <x:v>去重</x:v>
      </x:c>
      <x:c r="G53" s="32" t="str">
        <x:v>日干克日支</x:v>
      </x:c>
      <x:c r="H53" s="32" t="str">
        <x:v>日支主气十神</x:v>
      </x:c>
      <x:c r="I53" s="32" t="str">
        <x:v>日干日支关系与日支主气十神同时进入同一案例计算。</x:v>
      </x:c>
      <x:c r="J53" s="32" t="str">
        <x:v>两者实际来自不同状态层或真合化后已经分流。</x:v>
      </x:c>
      <x:c r="K53" s="32" t="str">
        <x:v>不限定；由后续模块修正</x:v>
      </x:c>
      <x:c r="L53" s="32" t="str">
        <x:v>不限定</x:v>
      </x:c>
      <x:c r="M53" s="32" t="str">
        <x:v>SYS03 投入经营系统</x:v>
      </x:c>
      <x:c r="N53" s="32" t="str">
        <x:v>无／待后续模块组合</x:v>
      </x:c>
      <x:c r="O53" s="32" t="str">
        <x:v>日柱</x:v>
      </x:c>
      <x:c r="P53" s="32" t="str">
        <x:v>由共享基础引擎判定</x:v>
      </x:c>
      <x:c r="Q53" s="32" t="str">
        <x:v>由共享基础引擎判定</x:v>
      </x:c>
      <x:c r="R53" s="32" t="str">
        <x:v>喜忌未定或由共享引擎提供</x:v>
      </x:c>
      <x:c r="S53" s="32" t="str">
        <x:v>原十神性质有效；无真合化或已完成相应路由</x:v>
      </x:c>
      <x:c r="T53" s="32" t="str">
        <x:v>近</x:v>
      </x:c>
      <x:c r="U53" s="32" t="n">
        <x:v>99</x:v>
      </x:c>
      <x:c r="V53" s="32" t="str">
        <x:v>同一source_cluster仅保留一次基础权重；保留两种解释视角</x:v>
      </x:c>
      <x:c r="W53" s="32" t="str">
        <x:v>dedup_log</x:v>
      </x:c>
      <x:c r="X53" s="32" t="str">
        <x:v>日干日支生克关系决定日支主气属于哪一类十神，因此两者不能被视为两条独立支持证据。</x:v>
      </x:c>
      <x:c r="Y53" s="32" t="str">
        <x:v>这一项只作为命理依据补充，不会被重复计算成两条结论。</x:v>
      </x:c>
      <x:c r="Z53" s="32" t="str">
        <x:v>不得以“日干日支关系＋日支十神”作为两项独立证据抬高置信度。</x:v>
      </x:c>
      <x:c r="AA53" s="32" t="str">
        <x:v>高</x:v>
      </x:c>
      <x:c r="AB53" s="32" t="str">
        <x:v>待验证</x:v>
      </x:c>
      <x:c r="AC53" s="32" t="str"/>
      <x:c r="AD53" s="32" t="str">
        <x:v>provisional=true; dedup_cluster=DAY_BRANCH_BASE_SYS03 投入经营系统</x:v>
      </x:c>
      <x:c r="AE53" s="39" t="str">
        <x:v>0.2</x:v>
      </x:c>
    </x:row>
    <x:row r="54">
      <x:c r="A54" s="38" t="str">
        <x:v>M3-BASE-050</x:v>
      </x:c>
      <x:c r="B54" s="32" t="str">
        <x:v>日支克日干｜五系统映射</x:v>
      </x:c>
      <x:c r="C54" s="32" t="str">
        <x:v>L1 关系运行底盘</x:v>
      </x:c>
      <x:c r="D54" s="32" t="str">
        <x:v>BASE-日柱关系</x:v>
      </x:c>
      <x:c r="E54" s="32" t="str">
        <x:v>通用</x:v>
      </x:c>
      <x:c r="F54" s="32" t="str">
        <x:v>基础映射</x:v>
      </x:c>
      <x:c r="G54" s="32" t="str">
        <x:v>日支克日干</x:v>
      </x:c>
      <x:c r="H54" s="32" t="str">
        <x:v>SYS04 责任行动系统</x:v>
      </x:c>
      <x:c r="I54" s="32" t="str">
        <x:v>日干、日支五行及生克关系由共享基础引擎可靠判定。</x:v>
      </x:c>
      <x:c r="J54" s="32" t="str">
        <x:v>日支真合化后关系已改道；日支五行或排盘未定。</x:v>
      </x:c>
      <x:c r="K54" s="32" t="str">
        <x:v>不限定；由后续模块修正</x:v>
      </x:c>
      <x:c r="L54" s="32" t="str">
        <x:v>不限定</x:v>
      </x:c>
      <x:c r="M54" s="32" t="str">
        <x:v>SYS04 责任行动系统</x:v>
      </x:c>
      <x:c r="N54" s="32" t="str">
        <x:v>无／待后续模块组合</x:v>
      </x:c>
      <x:c r="O54" s="32" t="str">
        <x:v>日柱</x:v>
      </x:c>
      <x:c r="P54" s="32" t="str">
        <x:v>由共享基础引擎判定</x:v>
      </x:c>
      <x:c r="Q54" s="32" t="str">
        <x:v>由共享基础引擎判定</x:v>
      </x:c>
      <x:c r="R54" s="32" t="str">
        <x:v>喜忌未定或由共享引擎提供</x:v>
      </x:c>
      <x:c r="S54" s="32" t="str">
        <x:v>原十神性质有效；无真合化或已完成相应路由</x:v>
      </x:c>
      <x:c r="T54" s="32" t="str">
        <x:v>近</x:v>
      </x:c>
      <x:c r="U54" s="32" t="n">
        <x:v>94</x:v>
      </x:c>
      <x:c r="V54" s="32" t="str">
        <x:v>系统层摘要；不独立重复加分</x:v>
      </x:c>
      <x:c r="W54" s="32" t="str">
        <x:v>relationship_baseline</x:v>
      </x:c>
      <x:c r="X54" s="32" t="str">
        <x:v>日支克日干时，关系底盘落在责任行动系统：关系中的要求、规则、任务或现实问题更容易直接激活用户的承担与应对。 该关系是日支十神的上位来源，不是新的独立证据。</x:v>
      </x:c>
      <x:c r="Y54" s="32" t="str">
        <x:v>从五行关系看，关系中的责任、约定或需要处理的事情，较容易直接进入你的注意范围。</x:v>
      </x:c>
      <x:c r="Z54" s="32" t="str">
        <x:v>不得推出用户被伴侣压制、害怕关系或一定处于下位。 日干日支生克与日支十神属于同源，必须去重。</x:v>
      </x:c>
      <x:c r="AA54" s="32" t="str">
        <x:v>中高</x:v>
      </x:c>
      <x:c r="AB54" s="32" t="str">
        <x:v>待验证</x:v>
      </x:c>
      <x:c r="AC54" s="32" t="str"/>
      <x:c r="AD54" s="32" t="str">
        <x:v>provisional=true; source_id=DAY_STEM_BRANCH_RELATION_日支克日干; same_source_with_day_branch_ten_god=true</x:v>
      </x:c>
      <x:c r="AE54" s="39" t="str">
        <x:v>0.2</x:v>
      </x:c>
    </x:row>
    <x:row r="55">
      <x:c r="A55" s="38" t="str">
        <x:v>M3-BASE-051</x:v>
      </x:c>
      <x:c r="B55" s="32" t="str">
        <x:v>日支克日干｜阴阳极性细分</x:v>
      </x:c>
      <x:c r="C55" s="32" t="str">
        <x:v>L1 关系运行底盘</x:v>
      </x:c>
      <x:c r="D55" s="32" t="str">
        <x:v>BASE-日柱关系</x:v>
      </x:c>
      <x:c r="E55" s="32" t="str">
        <x:v>通用</x:v>
      </x:c>
      <x:c r="F55" s="32" t="str">
        <x:v>路由</x:v>
      </x:c>
      <x:c r="G55" s="32" t="str">
        <x:v>日支克日干</x:v>
      </x:c>
      <x:c r="H55" s="32" t="str">
        <x:v>阴阳同类映射七杀；阴阳异类映射正官</x:v>
      </x:c>
      <x:c r="I55" s="32" t="str">
        <x:v>日干与日支主气阴阳属性可靠；共享十神映射无争议。</x:v>
      </x:c>
      <x:c r="J55" s="32" t="str">
        <x:v>阴阳属性或主气未定；真合化后原主气失效。</x:v>
      </x:c>
      <x:c r="K55" s="32" t="str">
        <x:v>不限定；由后续模块修正</x:v>
      </x:c>
      <x:c r="L55" s="32" t="str">
        <x:v>不限定</x:v>
      </x:c>
      <x:c r="M55" s="32" t="str">
        <x:v>SYS04 责任行动系统</x:v>
      </x:c>
      <x:c r="N55" s="32" t="str">
        <x:v>无／待后续模块组合</x:v>
      </x:c>
      <x:c r="O55" s="32" t="str">
        <x:v>日柱</x:v>
      </x:c>
      <x:c r="P55" s="32" t="str">
        <x:v>由共享基础引擎判定</x:v>
      </x:c>
      <x:c r="Q55" s="32" t="str">
        <x:v>由共享基础引擎判定</x:v>
      </x:c>
      <x:c r="R55" s="32" t="str">
        <x:v>喜忌未定或由共享引擎提供</x:v>
      </x:c>
      <x:c r="S55" s="32" t="str">
        <x:v>原十神性质有效；无真合化或已完成相应路由</x:v>
      </x:c>
      <x:c r="T55" s="32" t="str">
        <x:v>近</x:v>
      </x:c>
      <x:c r="U55" s="32" t="n">
        <x:v>91</x:v>
      </x:c>
      <x:c r="V55" s="32" t="str">
        <x:v>路由到具体十神；不加独立分</x:v>
      </x:c>
      <x:c r="W55" s="32" t="str">
        <x:v>interaction_pattern</x:v>
      </x:c>
      <x:c r="X55" s="32" t="str">
        <x:v>阴阳同类映射七杀；阴阳异类映射正官。阴阳极性只负责把五类系统细分为正偏十神，不另建一套相处结论。</x:v>
      </x:c>
      <x:c r="Y55" s="32" t="str">
        <x:v>具体是偏向温和、明确、稳定还是灵活，需要继续看日支主气对应的正偏十神。</x:v>
      </x:c>
      <x:c r="Z55" s="32" t="str">
        <x:v>不得把阴阳同异直接解释为好坏、主动被动或关系质量。</x:v>
      </x:c>
      <x:c r="AA55" s="32" t="str">
        <x:v>中</x:v>
      </x:c>
      <x:c r="AB55" s="32" t="str">
        <x:v>待验证</x:v>
      </x:c>
      <x:c r="AC55" s="32" t="str"/>
      <x:c r="AD55" s="32" t="str">
        <x:v>provisional=true; source_id=DAY_STEM_BRANCH_RELATION_日支克日干; polarity_route=true</x:v>
      </x:c>
      <x:c r="AE55" s="39" t="str">
        <x:v>0.2</x:v>
      </x:c>
    </x:row>
    <x:row r="56">
      <x:c r="A56" s="38" t="str">
        <x:v>M3-BASE-052</x:v>
      </x:c>
      <x:c r="B56" s="32" t="str">
        <x:v>日支克日干｜同源去重</x:v>
      </x:c>
      <x:c r="C56" s="32" t="str">
        <x:v>L8 总合成与边界审查</x:v>
      </x:c>
      <x:c r="D56" s="32" t="str">
        <x:v>BASE-日柱关系</x:v>
      </x:c>
      <x:c r="E56" s="32" t="str">
        <x:v>通用</x:v>
      </x:c>
      <x:c r="F56" s="32" t="str">
        <x:v>去重</x:v>
      </x:c>
      <x:c r="G56" s="32" t="str">
        <x:v>日支克日干</x:v>
      </x:c>
      <x:c r="H56" s="32" t="str">
        <x:v>日支主气十神</x:v>
      </x:c>
      <x:c r="I56" s="32" t="str">
        <x:v>日干日支关系与日支主气十神同时进入同一案例计算。</x:v>
      </x:c>
      <x:c r="J56" s="32" t="str">
        <x:v>两者实际来自不同状态层或真合化后已经分流。</x:v>
      </x:c>
      <x:c r="K56" s="32" t="str">
        <x:v>不限定；由后续模块修正</x:v>
      </x:c>
      <x:c r="L56" s="32" t="str">
        <x:v>不限定</x:v>
      </x:c>
      <x:c r="M56" s="32" t="str">
        <x:v>SYS04 责任行动系统</x:v>
      </x:c>
      <x:c r="N56" s="32" t="str">
        <x:v>无／待后续模块组合</x:v>
      </x:c>
      <x:c r="O56" s="32" t="str">
        <x:v>日柱</x:v>
      </x:c>
      <x:c r="P56" s="32" t="str">
        <x:v>由共享基础引擎判定</x:v>
      </x:c>
      <x:c r="Q56" s="32" t="str">
        <x:v>由共享基础引擎判定</x:v>
      </x:c>
      <x:c r="R56" s="32" t="str">
        <x:v>喜忌未定或由共享引擎提供</x:v>
      </x:c>
      <x:c r="S56" s="32" t="str">
        <x:v>原十神性质有效；无真合化或已完成相应路由</x:v>
      </x:c>
      <x:c r="T56" s="32" t="str">
        <x:v>近</x:v>
      </x:c>
      <x:c r="U56" s="32" t="n">
        <x:v>99</x:v>
      </x:c>
      <x:c r="V56" s="32" t="str">
        <x:v>同一source_cluster仅保留一次基础权重；保留两种解释视角</x:v>
      </x:c>
      <x:c r="W56" s="32" t="str">
        <x:v>dedup_log</x:v>
      </x:c>
      <x:c r="X56" s="32" t="str">
        <x:v>日干日支生克关系决定日支主气属于哪一类十神，因此两者不能被视为两条独立支持证据。</x:v>
      </x:c>
      <x:c r="Y56" s="32" t="str">
        <x:v>这一项只作为命理依据补充，不会被重复计算成两条结论。</x:v>
      </x:c>
      <x:c r="Z56" s="32" t="str">
        <x:v>不得以“日干日支关系＋日支十神”作为两项独立证据抬高置信度。</x:v>
      </x:c>
      <x:c r="AA56" s="32" t="str">
        <x:v>高</x:v>
      </x:c>
      <x:c r="AB56" s="32" t="str">
        <x:v>待验证</x:v>
      </x:c>
      <x:c r="AC56" s="32" t="str"/>
      <x:c r="AD56" s="32" t="str">
        <x:v>provisional=true; dedup_cluster=DAY_BRANCH_BASE_SYS04 责任行动系统</x:v>
      </x:c>
      <x:c r="AE56" s="39" t="str">
        <x:v>0.2</x:v>
      </x:c>
    </x:row>
    <x:row r="57">
      <x:c r="A57" s="38" t="str">
        <x:v>M3-BASE-053</x:v>
      </x:c>
      <x:c r="B57" s="32" t="str">
        <x:v>日支生日干｜五系统映射</x:v>
      </x:c>
      <x:c r="C57" s="32" t="str">
        <x:v>L1 关系运行底盘</x:v>
      </x:c>
      <x:c r="D57" s="32" t="str">
        <x:v>BASE-日柱关系</x:v>
      </x:c>
      <x:c r="E57" s="32" t="str">
        <x:v>通用</x:v>
      </x:c>
      <x:c r="F57" s="32" t="str">
        <x:v>基础映射</x:v>
      </x:c>
      <x:c r="G57" s="32" t="str">
        <x:v>日支生日干</x:v>
      </x:c>
      <x:c r="H57" s="32" t="str">
        <x:v>SYS05 承接内化系统</x:v>
      </x:c>
      <x:c r="I57" s="32" t="str">
        <x:v>日干、日支五行及生克关系由共享基础引擎可靠判定。</x:v>
      </x:c>
      <x:c r="J57" s="32" t="str">
        <x:v>日支真合化后关系已改道；日支五行或排盘未定。</x:v>
      </x:c>
      <x:c r="K57" s="32" t="str">
        <x:v>不限定；由后续模块修正</x:v>
      </x:c>
      <x:c r="L57" s="32" t="str">
        <x:v>不限定</x:v>
      </x:c>
      <x:c r="M57" s="32" t="str">
        <x:v>SYS05 承接内化系统</x:v>
      </x:c>
      <x:c r="N57" s="32" t="str">
        <x:v>无／待后续模块组合</x:v>
      </x:c>
      <x:c r="O57" s="32" t="str">
        <x:v>日柱</x:v>
      </x:c>
      <x:c r="P57" s="32" t="str">
        <x:v>由共享基础引擎判定</x:v>
      </x:c>
      <x:c r="Q57" s="32" t="str">
        <x:v>由共享基础引擎判定</x:v>
      </x:c>
      <x:c r="R57" s="32" t="str">
        <x:v>喜忌未定或由共享引擎提供</x:v>
      </x:c>
      <x:c r="S57" s="32" t="str">
        <x:v>原十神性质有效；无真合化或已完成相应路由</x:v>
      </x:c>
      <x:c r="T57" s="32" t="str">
        <x:v>近</x:v>
      </x:c>
      <x:c r="U57" s="32" t="n">
        <x:v>94</x:v>
      </x:c>
      <x:c r="V57" s="32" t="str">
        <x:v>系统层摘要；不独立重复加分</x:v>
      </x:c>
      <x:c r="W57" s="32" t="str">
        <x:v>relationship_baseline</x:v>
      </x:c>
      <x:c r="X57" s="32" t="str">
        <x:v>日支生日干时，关系底盘落在承接内化系统：理解、支持、内部消化和安全感更容易成为关系运行的起点。 该关系是日支十神的上位来源，不是新的独立证据。</x:v>
      </x:c>
      <x:c r="Y57" s="32" t="str">
        <x:v>从五行关系看，理解、支持和内在确认较容易成为你维持亲密关系的重要起点。</x:v>
      </x:c>
      <x:c r="Z57" s="32" t="str">
        <x:v>不得推出用户依赖、被动或一定由伴侣照顾。 日干日支生克与日支十神属于同源，必须去重。</x:v>
      </x:c>
      <x:c r="AA57" s="32" t="str">
        <x:v>中高</x:v>
      </x:c>
      <x:c r="AB57" s="32" t="str">
        <x:v>待验证</x:v>
      </x:c>
      <x:c r="AC57" s="32" t="str"/>
      <x:c r="AD57" s="32" t="str">
        <x:v>provisional=true; source_id=DAY_STEM_BRANCH_RELATION_日支生日干; same_source_with_day_branch_ten_god=true</x:v>
      </x:c>
      <x:c r="AE57" s="39" t="str">
        <x:v>0.2</x:v>
      </x:c>
    </x:row>
    <x:row r="58">
      <x:c r="A58" s="38" t="str">
        <x:v>M3-BASE-054</x:v>
      </x:c>
      <x:c r="B58" s="32" t="str">
        <x:v>日支生日干｜阴阳极性细分</x:v>
      </x:c>
      <x:c r="C58" s="32" t="str">
        <x:v>L1 关系运行底盘</x:v>
      </x:c>
      <x:c r="D58" s="32" t="str">
        <x:v>BASE-日柱关系</x:v>
      </x:c>
      <x:c r="E58" s="32" t="str">
        <x:v>通用</x:v>
      </x:c>
      <x:c r="F58" s="32" t="str">
        <x:v>路由</x:v>
      </x:c>
      <x:c r="G58" s="32" t="str">
        <x:v>日支生日干</x:v>
      </x:c>
      <x:c r="H58" s="32" t="str">
        <x:v>阴阳同类映射偏印；阴阳异类映射正印</x:v>
      </x:c>
      <x:c r="I58" s="32" t="str">
        <x:v>日干与日支主气阴阳属性可靠；共享十神映射无争议。</x:v>
      </x:c>
      <x:c r="J58" s="32" t="str">
        <x:v>阴阳属性或主气未定；真合化后原主气失效。</x:v>
      </x:c>
      <x:c r="K58" s="32" t="str">
        <x:v>不限定；由后续模块修正</x:v>
      </x:c>
      <x:c r="L58" s="32" t="str">
        <x:v>不限定</x:v>
      </x:c>
      <x:c r="M58" s="32" t="str">
        <x:v>SYS05 承接内化系统</x:v>
      </x:c>
      <x:c r="N58" s="32" t="str">
        <x:v>无／待后续模块组合</x:v>
      </x:c>
      <x:c r="O58" s="32" t="str">
        <x:v>日柱</x:v>
      </x:c>
      <x:c r="P58" s="32" t="str">
        <x:v>由共享基础引擎判定</x:v>
      </x:c>
      <x:c r="Q58" s="32" t="str">
        <x:v>由共享基础引擎判定</x:v>
      </x:c>
      <x:c r="R58" s="32" t="str">
        <x:v>喜忌未定或由共享引擎提供</x:v>
      </x:c>
      <x:c r="S58" s="32" t="str">
        <x:v>原十神性质有效；无真合化或已完成相应路由</x:v>
      </x:c>
      <x:c r="T58" s="32" t="str">
        <x:v>近</x:v>
      </x:c>
      <x:c r="U58" s="32" t="n">
        <x:v>91</x:v>
      </x:c>
      <x:c r="V58" s="32" t="str">
        <x:v>路由到具体十神；不加独立分</x:v>
      </x:c>
      <x:c r="W58" s="32" t="str">
        <x:v>interaction_pattern</x:v>
      </x:c>
      <x:c r="X58" s="32" t="str">
        <x:v>阴阳同类映射偏印；阴阳异类映射正印。阴阳极性只负责把五类系统细分为正偏十神，不另建一套相处结论。</x:v>
      </x:c>
      <x:c r="Y58" s="32" t="str">
        <x:v>具体是偏向温和、明确、稳定还是灵活，需要继续看日支主气对应的正偏十神。</x:v>
      </x:c>
      <x:c r="Z58" s="32" t="str">
        <x:v>不得把阴阳同异直接解释为好坏、主动被动或关系质量。</x:v>
      </x:c>
      <x:c r="AA58" s="32" t="str">
        <x:v>中</x:v>
      </x:c>
      <x:c r="AB58" s="32" t="str">
        <x:v>待验证</x:v>
      </x:c>
      <x:c r="AC58" s="32" t="str"/>
      <x:c r="AD58" s="32" t="str">
        <x:v>provisional=true; source_id=DAY_STEM_BRANCH_RELATION_日支生日干; polarity_route=true</x:v>
      </x:c>
      <x:c r="AE58" s="39" t="str">
        <x:v>0.2</x:v>
      </x:c>
    </x:row>
    <x:row r="59">
      <x:c r="A59" s="38" t="str">
        <x:v>M3-BASE-055</x:v>
      </x:c>
      <x:c r="B59" s="32" t="str">
        <x:v>日支生日干｜同源去重</x:v>
      </x:c>
      <x:c r="C59" s="32" t="str">
        <x:v>L8 总合成与边界审查</x:v>
      </x:c>
      <x:c r="D59" s="32" t="str">
        <x:v>BASE-日柱关系</x:v>
      </x:c>
      <x:c r="E59" s="32" t="str">
        <x:v>通用</x:v>
      </x:c>
      <x:c r="F59" s="32" t="str">
        <x:v>去重</x:v>
      </x:c>
      <x:c r="G59" s="32" t="str">
        <x:v>日支生日干</x:v>
      </x:c>
      <x:c r="H59" s="32" t="str">
        <x:v>日支主气十神</x:v>
      </x:c>
      <x:c r="I59" s="32" t="str">
        <x:v>日干日支关系与日支主气十神同时进入同一案例计算。</x:v>
      </x:c>
      <x:c r="J59" s="32" t="str">
        <x:v>两者实际来自不同状态层或真合化后已经分流。</x:v>
      </x:c>
      <x:c r="K59" s="32" t="str">
        <x:v>不限定；由后续模块修正</x:v>
      </x:c>
      <x:c r="L59" s="32" t="str">
        <x:v>不限定</x:v>
      </x:c>
      <x:c r="M59" s="32" t="str">
        <x:v>SYS05 承接内化系统</x:v>
      </x:c>
      <x:c r="N59" s="32" t="str">
        <x:v>无／待后续模块组合</x:v>
      </x:c>
      <x:c r="O59" s="32" t="str">
        <x:v>日柱</x:v>
      </x:c>
      <x:c r="P59" s="32" t="str">
        <x:v>由共享基础引擎判定</x:v>
      </x:c>
      <x:c r="Q59" s="32" t="str">
        <x:v>由共享基础引擎判定</x:v>
      </x:c>
      <x:c r="R59" s="32" t="str">
        <x:v>喜忌未定或由共享引擎提供</x:v>
      </x:c>
      <x:c r="S59" s="32" t="str">
        <x:v>原十神性质有效；无真合化或已完成相应路由</x:v>
      </x:c>
      <x:c r="T59" s="32" t="str">
        <x:v>近</x:v>
      </x:c>
      <x:c r="U59" s="32" t="n">
        <x:v>99</x:v>
      </x:c>
      <x:c r="V59" s="32" t="str">
        <x:v>同一source_cluster仅保留一次基础权重；保留两种解释视角</x:v>
      </x:c>
      <x:c r="W59" s="32" t="str">
        <x:v>dedup_log</x:v>
      </x:c>
      <x:c r="X59" s="32" t="str">
        <x:v>日干日支生克关系决定日支主气属于哪一类十神，因此两者不能被视为两条独立支持证据。</x:v>
      </x:c>
      <x:c r="Y59" s="32" t="str">
        <x:v>这一项只作为命理依据补充，不会被重复计算成两条结论。</x:v>
      </x:c>
      <x:c r="Z59" s="32" t="str">
        <x:v>不得以“日干日支关系＋日支十神”作为两项独立证据抬高置信度。</x:v>
      </x:c>
      <x:c r="AA59" s="32" t="str">
        <x:v>高</x:v>
      </x:c>
      <x:c r="AB59" s="32" t="str">
        <x:v>待验证</x:v>
      </x:c>
      <x:c r="AC59" s="32" t="str"/>
      <x:c r="AD59" s="32" t="str">
        <x:v>provisional=true; dedup_cluster=DAY_BRANCH_BASE_SYS05 承接内化系统</x:v>
      </x:c>
      <x:c r="AE59" s="39" t="str">
        <x:v>0.2</x:v>
      </x:c>
    </x:row>
    <x:row r="60">
      <x:c r="A60" s="38" t="str">
        <x:v>M3-BASE-056</x:v>
      </x:c>
      <x:c r="B60" s="32" t="str">
        <x:v>主气｜默认层级</x:v>
      </x:c>
      <x:c r="C60" s="32" t="str">
        <x:v>L1 关系运行底盘</x:v>
      </x:c>
      <x:c r="D60" s="32" t="str">
        <x:v>BASE-藏干层级</x:v>
      </x:c>
      <x:c r="E60" s="32" t="str">
        <x:v>通用</x:v>
      </x:c>
      <x:c r="F60" s="32" t="str">
        <x:v>基础</x:v>
      </x:c>
      <x:c r="G60" s="32" t="str">
        <x:v>日支主气</x:v>
      </x:c>
      <x:c r="H60" s="32" t="str"/>
      <x:c r="I60" s="32" t="str">
        <x:v>日支藏干主气由共享引擎可靠确定；原十神性质有效。</x:v>
      </x:c>
      <x:c r="J60" s="32" t="str">
        <x:v>主气未定、真合化、基础十神映射争议。</x:v>
      </x:c>
      <x:c r="K60" s="32" t="str">
        <x:v>不限定；由后续模块修正</x:v>
      </x:c>
      <x:c r="L60" s="32" t="str">
        <x:v>不限定</x:v>
      </x:c>
      <x:c r="M60" s="32" t="str">
        <x:v>日支藏干主中余层级</x:v>
      </x:c>
      <x:c r="N60" s="32" t="str">
        <x:v>无／待后续模块组合</x:v>
      </x:c>
      <x:c r="O60" s="32" t="str">
        <x:v>日支藏干</x:v>
      </x:c>
      <x:c r="P60" s="32" t="str">
        <x:v>由共享基础引擎判定</x:v>
      </x:c>
      <x:c r="Q60" s="32" t="str">
        <x:v>由共享基础引擎判定</x:v>
      </x:c>
      <x:c r="R60" s="32" t="str">
        <x:v>喜忌未定或由共享引擎提供</x:v>
      </x:c>
      <x:c r="S60" s="32" t="str">
        <x:v>原十神性质有效；无真合化或已完成相应路由</x:v>
      </x:c>
      <x:c r="T60" s="32" t="str">
        <x:v>近</x:v>
      </x:c>
      <x:c r="U60" s="32" t="n">
        <x:v>82</x:v>
      </x:c>
      <x:c r="V60" s="32" t="str">
        <x:v>主气系数1.00；作为核心底盘第一候选</x:v>
      </x:c>
      <x:c r="W60" s="32" t="str">
        <x:v>relationship_baseline</x:v>
      </x:c>
      <x:c r="X60" s="32" t="str">
        <x:v>日支主气是关系底盘的第一读取层，默认负责确定核心互动主题；1.00为工程初始系数，不是传统命理固定数学比例。</x:v>
      </x:c>
      <x:c r="Y60" s="32" t="str">
        <x:v>日支主气通常代表你进入亲密关系后最自然、最常被启动的相处主题。</x:v>
      </x:c>
      <x:c r="Z60" s="32" t="str">
        <x:v>不得把主气直接等同配偶性格，也不得忽略强弱、合化和状态门控。 本规则只描述关系运行底盘及其主次，不判断风险和结果。</x:v>
      </x:c>
      <x:c r="AA60" s="32" t="str">
        <x:v>中高</x:v>
      </x:c>
      <x:c r="AB60" s="32" t="str">
        <x:v>待验证</x:v>
      </x:c>
      <x:c r="AC60" s="32" t="str"/>
      <x:c r="AD60" s="32" t="str">
        <x:v>provisional=true; source_cluster=DAY_BRANCH_HIDDEN_HIERARCHY; interaction_state=平稳基线</x:v>
      </x:c>
      <x:c r="AE60" s="39" t="str">
        <x:v>0.2</x:v>
      </x:c>
    </x:row>
    <x:row r="61">
      <x:c r="A61" s="38" t="str">
        <x:v>M3-BASE-057</x:v>
      </x:c>
      <x:c r="B61" s="32" t="str">
        <x:v>主气｜核心成立门槛</x:v>
      </x:c>
      <x:c r="C61" s="32" t="str">
        <x:v>L1 关系运行底盘</x:v>
      </x:c>
      <x:c r="D61" s="32" t="str">
        <x:v>BASE-藏干层级</x:v>
      </x:c>
      <x:c r="E61" s="32" t="str">
        <x:v>通用</x:v>
      </x:c>
      <x:c r="F61" s="32" t="str">
        <x:v>门控</x:v>
      </x:c>
      <x:c r="G61" s="32" t="str">
        <x:v>日支主气</x:v>
      </x:c>
      <x:c r="H61" s="32" t="str">
        <x:v>有效性</x:v>
      </x:c>
      <x:c r="I61" s="32" t="str">
        <x:v>主气十神可靠；未被真合化；至少未处于完全失效状态。</x:v>
      </x:c>
      <x:c r="J61" s="32" t="str">
        <x:v>主气极弱且无任何支持；结构争议重大；共享引擎停止。</x:v>
      </x:c>
      <x:c r="K61" s="32" t="str">
        <x:v>不限定；由后续模块修正</x:v>
      </x:c>
      <x:c r="L61" s="32" t="str">
        <x:v>不限定</x:v>
      </x:c>
      <x:c r="M61" s="32" t="str">
        <x:v>日支藏干主中余层级</x:v>
      </x:c>
      <x:c r="N61" s="32" t="str">
        <x:v>无／待后续模块组合</x:v>
      </x:c>
      <x:c r="O61" s="32" t="str">
        <x:v>日支藏干</x:v>
      </x:c>
      <x:c r="P61" s="32" t="str">
        <x:v>由共享基础引擎判定</x:v>
      </x:c>
      <x:c r="Q61" s="32" t="str">
        <x:v>由共享基础引擎判定</x:v>
      </x:c>
      <x:c r="R61" s="32" t="str">
        <x:v>喜忌未定或由共享引擎提供</x:v>
      </x:c>
      <x:c r="S61" s="32" t="str">
        <x:v>原十神性质有效；无真合化或已完成相应路由</x:v>
      </x:c>
      <x:c r="T61" s="32" t="str">
        <x:v>近</x:v>
      </x:c>
      <x:c r="U61" s="32" t="n">
        <x:v>93</x:v>
      </x:c>
      <x:c r="V61" s="32" t="str">
        <x:v>通过门控后可定核心；否则降级或停止</x:v>
      </x:c>
      <x:c r="W61" s="32" t="str">
        <x:v>relationship_baseline</x:v>
      </x:c>
      <x:c r="X61" s="32" t="str">
        <x:v>位置优先不等于无条件优先；日支虽近，但主气仍需通过有效性与合化检查。</x:v>
      </x:c>
      <x:c r="Y61" s="32" t="str">
        <x:v>只有主气性质清楚且仍然有效时，才适合把它写成你的核心相处底盘。</x:v>
      </x:c>
      <x:c r="Z61" s="32" t="str">
        <x:v>不得因日支位置重要而绕过基础状态争议。 本规则只描述关系运行底盘及其主次，不判断风险和结果。</x:v>
      </x:c>
      <x:c r="AA61" s="32" t="str">
        <x:v>中高</x:v>
      </x:c>
      <x:c r="AB61" s="32" t="str">
        <x:v>待验证</x:v>
      </x:c>
      <x:c r="AC61" s="32" t="str"/>
      <x:c r="AD61" s="32" t="str">
        <x:v>provisional=true; source_cluster=DAY_BRANCH_HIDDEN_HIERARCHY; interaction_state=平稳基线</x:v>
      </x:c>
      <x:c r="AE61" s="39" t="str">
        <x:v>0.2</x:v>
      </x:c>
    </x:row>
    <x:row r="62">
      <x:c r="A62" s="38" t="str">
        <x:v>M3-BASE-058</x:v>
      </x:c>
      <x:c r="B62" s="32" t="str">
        <x:v>主气｜仅藏于日支</x:v>
      </x:c>
      <x:c r="C62" s="32" t="str">
        <x:v>L1 关系运行底盘</x:v>
      </x:c>
      <x:c r="D62" s="32" t="str">
        <x:v>BASE-藏干层级</x:v>
      </x:c>
      <x:c r="E62" s="32" t="str">
        <x:v>通用</x:v>
      </x:c>
      <x:c r="F62" s="32" t="str">
        <x:v>修正</x:v>
      </x:c>
      <x:c r="G62" s="32" t="str">
        <x:v>日支主气</x:v>
      </x:c>
      <x:c r="H62" s="32" t="str">
        <x:v>无同类透出</x:v>
      </x:c>
      <x:c r="I62" s="32" t="str">
        <x:v>主气有效，但同类十神未在天干或邻近位置形成明显外显支持。</x:v>
      </x:c>
      <x:c r="J62" s="32" t="str">
        <x:v>存在同类强透出或其他独立外显通道。</x:v>
      </x:c>
      <x:c r="K62" s="32" t="str">
        <x:v>不限定；由后续模块修正</x:v>
      </x:c>
      <x:c r="L62" s="32" t="str">
        <x:v>不限定</x:v>
      </x:c>
      <x:c r="M62" s="32" t="str">
        <x:v>日支藏干主中余层级</x:v>
      </x:c>
      <x:c r="N62" s="32" t="str">
        <x:v>无／待后续模块组合</x:v>
      </x:c>
      <x:c r="O62" s="32" t="str">
        <x:v>日支藏干</x:v>
      </x:c>
      <x:c r="P62" s="32" t="str">
        <x:v>由共享基础引擎判定</x:v>
      </x:c>
      <x:c r="Q62" s="32" t="str">
        <x:v>由共享基础引擎判定</x:v>
      </x:c>
      <x:c r="R62" s="32" t="str">
        <x:v>喜忌未定或由共享引擎提供</x:v>
      </x:c>
      <x:c r="S62" s="32" t="str">
        <x:v>原十神性质有效；无真合化或已完成相应路由</x:v>
      </x:c>
      <x:c r="T62" s="32" t="str">
        <x:v>近</x:v>
      </x:c>
      <x:c r="U62" s="32" t="n">
        <x:v>82</x:v>
      </x:c>
      <x:c r="V62" s="32" t="str">
        <x:v>外显度-4；底盘权重保留</x:v>
      </x:c>
      <x:c r="W62" s="32" t="str">
        <x:v>relationship_baseline</x:v>
      </x:c>
      <x:c r="X62" s="32" t="str">
        <x:v>日支主气本就位于关系内部场域；仅藏不等于没有，只表示该方式更容易在亲密或熟悉状态中自然出现。</x:v>
      </x:c>
      <x:c r="Y62" s="32" t="str">
        <x:v>这种相处方式不一定在关系外很明显，但进入亲密关系后通常更容易被看见。</x:v>
      </x:c>
      <x:c r="Z62" s="32" t="str">
        <x:v>不得把藏支解释为压抑、虚假或没有该行为。 本规则只描述关系运行底盘及其主次，不判断风险和结果。</x:v>
      </x:c>
      <x:c r="AA62" s="32" t="str">
        <x:v>中</x:v>
      </x:c>
      <x:c r="AB62" s="32" t="str">
        <x:v>待验证</x:v>
      </x:c>
      <x:c r="AC62" s="32" t="str"/>
      <x:c r="AD62" s="32" t="str">
        <x:v>provisional=true; source_cluster=DAY_BRANCH_HIDDEN_HIERARCHY; interaction_state=平稳基线</x:v>
      </x:c>
      <x:c r="AE62" s="39" t="str">
        <x:v>0.2</x:v>
      </x:c>
    </x:row>
    <x:row r="63">
      <x:c r="A63" s="38" t="str">
        <x:v>M3-BASE-059</x:v>
      </x:c>
      <x:c r="B63" s="32" t="str">
        <x:v>主气｜同类透出支持</x:v>
      </x:c>
      <x:c r="C63" s="32" t="str">
        <x:v>L1 关系运行底盘</x:v>
      </x:c>
      <x:c r="D63" s="32" t="str">
        <x:v>BASE-藏干层级</x:v>
      </x:c>
      <x:c r="E63" s="32" t="str">
        <x:v>通用</x:v>
      </x:c>
      <x:c r="F63" s="32" t="str">
        <x:v>修正</x:v>
      </x:c>
      <x:c r="G63" s="32" t="str">
        <x:v>日支主气</x:v>
      </x:c>
      <x:c r="H63" s="32" t="str">
        <x:v>同类十神透干</x:v>
      </x:c>
      <x:c r="I63" s="32" t="str">
        <x:v>日支主气有效；同类十神在天干透出且与日支有根气或结构联系。</x:v>
      </x:c>
      <x:c r="J63" s="32" t="str">
        <x:v>透出十神无根、受损严重或与日支并非同一证据链。</x:v>
      </x:c>
      <x:c r="K63" s="32" t="str">
        <x:v>不限定；由后续模块修正</x:v>
      </x:c>
      <x:c r="L63" s="32" t="str">
        <x:v>不限定</x:v>
      </x:c>
      <x:c r="M63" s="32" t="str">
        <x:v>日支藏干主中余层级</x:v>
      </x:c>
      <x:c r="N63" s="32" t="str">
        <x:v>无／待后续模块组合</x:v>
      </x:c>
      <x:c r="O63" s="32" t="str">
        <x:v>日支藏干</x:v>
      </x:c>
      <x:c r="P63" s="32" t="str">
        <x:v>由共享基础引擎判定</x:v>
      </x:c>
      <x:c r="Q63" s="32" t="str">
        <x:v>由共享基础引擎判定</x:v>
      </x:c>
      <x:c r="R63" s="32" t="str">
        <x:v>喜忌未定或由共享引擎提供</x:v>
      </x:c>
      <x:c r="S63" s="32" t="str">
        <x:v>原十神性质有效；无真合化或已完成相应路由</x:v>
      </x:c>
      <x:c r="T63" s="32" t="str">
        <x:v>近</x:v>
      </x:c>
      <x:c r="U63" s="32" t="n">
        <x:v>82</x:v>
      </x:c>
      <x:c r="V63" s="32" t="str">
        <x:v>外显度+8；重复性+5；同源簇封顶</x:v>
      </x:c>
      <x:c r="W63" s="32" t="str">
        <x:v>relationship_baseline</x:v>
      </x:c>
      <x:c r="X63" s="32" t="str">
        <x:v>同类十神透出可使日支底盘更容易在日常行为中显现，但若透干以日支为根，应作为一个证据簇而非两条独立证据。</x:v>
      </x:c>
      <x:c r="Y63" s="32" t="str">
        <x:v>这套相处方式不仅存在于内在关系需求中，也更容易被你直接表现出来。</x:v>
      </x:c>
      <x:c r="Z63" s="32" t="str">
        <x:v>不得把透干与日支根气重复计算为两条完全独立的高权重证据。 本规则只描述关系运行底盘及其主次，不判断风险和结果。</x:v>
      </x:c>
      <x:c r="AA63" s="32" t="str">
        <x:v>中高</x:v>
      </x:c>
      <x:c r="AB63" s="32" t="str">
        <x:v>待验证</x:v>
      </x:c>
      <x:c r="AC63" s="32" t="str"/>
      <x:c r="AD63" s="32" t="str">
        <x:v>provisional=true; source_cluster=DAY_BRANCH_HIDDEN_HIERARCHY; interaction_state=平稳基线</x:v>
      </x:c>
      <x:c r="AE63" s="39" t="str">
        <x:v>0.2</x:v>
      </x:c>
    </x:row>
    <x:row r="64">
      <x:c r="A64" s="38" t="str">
        <x:v>M3-BASE-060</x:v>
      </x:c>
      <x:c r="B64" s="32" t="str">
        <x:v>主气｜根气与全局支持</x:v>
      </x:c>
      <x:c r="C64" s="32" t="str">
        <x:v>L1 关系运行底盘</x:v>
      </x:c>
      <x:c r="D64" s="32" t="str">
        <x:v>BASE-藏干层级</x:v>
      </x:c>
      <x:c r="E64" s="32" t="str">
        <x:v>通用</x:v>
      </x:c>
      <x:c r="F64" s="32" t="str">
        <x:v>修正</x:v>
      </x:c>
      <x:c r="G64" s="32" t="str">
        <x:v>日支主气</x:v>
      </x:c>
      <x:c r="H64" s="32" t="str">
        <x:v>有根或得生助</x:v>
      </x:c>
      <x:c r="I64" s="32" t="str">
        <x:v>主气在全局获得可靠根气、生助或同类支持。</x:v>
      </x:c>
      <x:c r="J64" s="32" t="str">
        <x:v>支持关系不成立、被真合化或来源仅为弱远争议信号。</x:v>
      </x:c>
      <x:c r="K64" s="32" t="str">
        <x:v>不限定；由后续模块修正</x:v>
      </x:c>
      <x:c r="L64" s="32" t="str">
        <x:v>不限定</x:v>
      </x:c>
      <x:c r="M64" s="32" t="str">
        <x:v>日支藏干主中余层级</x:v>
      </x:c>
      <x:c r="N64" s="32" t="str">
        <x:v>无／待后续模块组合</x:v>
      </x:c>
      <x:c r="O64" s="32" t="str">
        <x:v>日支藏干</x:v>
      </x:c>
      <x:c r="P64" s="32" t="str">
        <x:v>由共享基础引擎判定</x:v>
      </x:c>
      <x:c r="Q64" s="32" t="str">
        <x:v>由共享基础引擎判定</x:v>
      </x:c>
      <x:c r="R64" s="32" t="str">
        <x:v>喜忌未定或由共享引擎提供</x:v>
      </x:c>
      <x:c r="S64" s="32" t="str">
        <x:v>原十神性质有效；无真合化或已完成相应路由</x:v>
      </x:c>
      <x:c r="T64" s="32" t="str">
        <x:v>近</x:v>
      </x:c>
      <x:c r="U64" s="32" t="n">
        <x:v>82</x:v>
      </x:c>
      <x:c r="V64" s="32" t="str">
        <x:v>稳定度+7</x:v>
      </x:c>
      <x:c r="W64" s="32" t="str">
        <x:v>relationship_baseline</x:v>
      </x:c>
      <x:c r="X64" s="32" t="str">
        <x:v>全局支持提高该底盘在不同情境中的可重复性，但不改变十神通道的基本含义。</x:v>
      </x:c>
      <x:c r="Y64" s="32" t="str">
        <x:v>这套相处方式在不同关系情境中更容易反复出现，而不只是一时反应。</x:v>
      </x:c>
      <x:c r="Z64" s="32" t="str">
        <x:v>不得把有根直接等同成熟、正确或关系稳定。 本规则只描述关系运行底盘及其主次，不判断风险和结果。</x:v>
      </x:c>
      <x:c r="AA64" s="32" t="str">
        <x:v>中高</x:v>
      </x:c>
      <x:c r="AB64" s="32" t="str">
        <x:v>待验证</x:v>
      </x:c>
      <x:c r="AC64" s="32" t="str"/>
      <x:c r="AD64" s="32" t="str">
        <x:v>provisional=true; source_cluster=DAY_BRANCH_HIDDEN_HIERARCHY; interaction_state=平稳基线</x:v>
      </x:c>
      <x:c r="AE64" s="39" t="str">
        <x:v>0.2</x:v>
      </x:c>
    </x:row>
    <x:row r="65">
      <x:c r="A65" s="38" t="str">
        <x:v>M3-BASE-061</x:v>
      </x:c>
      <x:c r="B65" s="32" t="str">
        <x:v>主气｜偏弱或受抑</x:v>
      </x:c>
      <x:c r="C65" s="32" t="str">
        <x:v>L1 关系运行底盘</x:v>
      </x:c>
      <x:c r="D65" s="32" t="str">
        <x:v>BASE-藏干层级</x:v>
      </x:c>
      <x:c r="E65" s="32" t="str">
        <x:v>通用</x:v>
      </x:c>
      <x:c r="F65" s="32" t="str">
        <x:v>修正</x:v>
      </x:c>
      <x:c r="G65" s="32" t="str">
        <x:v>日支主气</x:v>
      </x:c>
      <x:c r="H65" s="32" t="str">
        <x:v>弱或受制</x:v>
      </x:c>
      <x:c r="I65" s="32" t="str">
        <x:v>主气性质可靠但力量偏弱、受制或难以直接发挥。</x:v>
      </x:c>
      <x:c r="J65" s="32" t="str">
        <x:v>主气已经真合化消失；弱势状态也无法可靠判定。</x:v>
      </x:c>
      <x:c r="K65" s="32" t="str">
        <x:v>不限定；由后续模块修正</x:v>
      </x:c>
      <x:c r="L65" s="32" t="str">
        <x:v>不限定</x:v>
      </x:c>
      <x:c r="M65" s="32" t="str">
        <x:v>日支藏干主中余层级</x:v>
      </x:c>
      <x:c r="N65" s="32" t="str">
        <x:v>无／待后续模块组合</x:v>
      </x:c>
      <x:c r="O65" s="32" t="str">
        <x:v>日支藏干</x:v>
      </x:c>
      <x:c r="P65" s="32" t="str">
        <x:v>由共享基础引擎判定</x:v>
      </x:c>
      <x:c r="Q65" s="32" t="str">
        <x:v>由共享基础引擎判定</x:v>
      </x:c>
      <x:c r="R65" s="32" t="str">
        <x:v>喜忌未定或由共享引擎提供</x:v>
      </x:c>
      <x:c r="S65" s="32" t="str">
        <x:v>原十神性质有效；无真合化或已完成相应路由</x:v>
      </x:c>
      <x:c r="T65" s="32" t="str">
        <x:v>近</x:v>
      </x:c>
      <x:c r="U65" s="32" t="n">
        <x:v>82</x:v>
      </x:c>
      <x:c r="V65" s="32" t="str">
        <x:v>核心保留；置信度-1级；转为情境性表达</x:v>
      </x:c>
      <x:c r="W65" s="32" t="str">
        <x:v>relationship_baseline</x:v>
      </x:c>
      <x:c r="X65" s="32" t="str">
        <x:v>日支位置仍使该主题靠近关系核心，但力量不足时，不能把它写成稳定、外显、持续的固定模式。</x:v>
      </x:c>
      <x:c r="Y65" s="32" t="str">
        <x:v>这仍是你关系中的重要主题，但它可能需要特定情境或对方回应后才更明显。</x:v>
      </x:c>
      <x:c r="Z65" s="32" t="str">
        <x:v>不得把弱解释为完全没有，也不得输出高度确定的行为频率。 本规则只描述关系运行底盘及其主次，不判断风险和结果。</x:v>
      </x:c>
      <x:c r="AA65" s="32" t="str">
        <x:v>中低</x:v>
      </x:c>
      <x:c r="AB65" s="32" t="str">
        <x:v>待验证</x:v>
      </x:c>
      <x:c r="AC65" s="32" t="str"/>
      <x:c r="AD65" s="32" t="str">
        <x:v>provisional=true; source_cluster=DAY_BRANCH_HIDDEN_HIERARCHY; interaction_state=平稳基线</x:v>
      </x:c>
      <x:c r="AE65" s="39" t="str">
        <x:v>0.2</x:v>
      </x:c>
    </x:row>
    <x:row r="66">
      <x:c r="A66" s="38" t="str">
        <x:v>M3-BASE-062</x:v>
      </x:c>
      <x:c r="B66" s="32" t="str">
        <x:v>主气｜受强互动扰动</x:v>
      </x:c>
      <x:c r="C66" s="32" t="str">
        <x:v>L8 总合成与边界审查</x:v>
      </x:c>
      <x:c r="D66" s="32" t="str">
        <x:v>BASE-藏干层级</x:v>
      </x:c>
      <x:c r="E66" s="32" t="str">
        <x:v>通用</x:v>
      </x:c>
      <x:c r="F66" s="32" t="str">
        <x:v>路由</x:v>
      </x:c>
      <x:c r="G66" s="32" t="str">
        <x:v>日支主气</x:v>
      </x:c>
      <x:c r="H66" s="32" t="str">
        <x:v>合冲刑害破</x:v>
      </x:c>
      <x:c r="I66" s="32" t="str">
        <x:v>主气有效，但日支受到至少一项有效合冲刑害破。</x:v>
      </x:c>
      <x:c r="J66" s="32" t="str">
        <x:v>相关作用弱、远、未成立或仅为阶段性信息。</x:v>
      </x:c>
      <x:c r="K66" s="32" t="str">
        <x:v>不限定；由后续模块修正</x:v>
      </x:c>
      <x:c r="L66" s="32" t="str">
        <x:v>不限定</x:v>
      </x:c>
      <x:c r="M66" s="32" t="str">
        <x:v>日支藏干主中余层级</x:v>
      </x:c>
      <x:c r="N66" s="32" t="str">
        <x:v>无／待后续模块组合</x:v>
      </x:c>
      <x:c r="O66" s="32" t="str">
        <x:v>日支藏干</x:v>
      </x:c>
      <x:c r="P66" s="32" t="str">
        <x:v>由共享基础引擎判定</x:v>
      </x:c>
      <x:c r="Q66" s="32" t="str">
        <x:v>由共享基础引擎判定</x:v>
      </x:c>
      <x:c r="R66" s="32" t="str">
        <x:v>喜忌未定或由共享引擎提供</x:v>
      </x:c>
      <x:c r="S66" s="32" t="str">
        <x:v>原十神性质有效；无真合化或已完成相应路由</x:v>
      </x:c>
      <x:c r="T66" s="32" t="str">
        <x:v>近</x:v>
      </x:c>
      <x:c r="U66" s="32" t="n">
        <x:v>82</x:v>
      </x:c>
      <x:c r="V66" s="32" t="str">
        <x:v>底盘保留；转交宫位动态修正</x:v>
      </x:c>
      <x:c r="W66" s="32" t="str">
        <x:v>stress_shift</x:v>
      </x:c>
      <x:c r="X66" s="32" t="str">
        <x:v>有效宫位动态优先修正底盘的运行节奏，不直接删除主气，也不自动创造新的主模式。</x:v>
      </x:c>
      <x:c r="Y66" s="32" t="str">
        <x:v>核心相处主题仍在，但在特定压力或变化情境中，互动节奏可能发生调整。</x:v>
      </x:c>
      <x:c r="Z66" s="32" t="str">
        <x:v>不得由宫位动态直接推出关系好坏、分离或伤害。 本规则只描述关系运行底盘及其主次，不判断风险和结果。</x:v>
      </x:c>
      <x:c r="AA66" s="32" t="str">
        <x:v>中</x:v>
      </x:c>
      <x:c r="AB66" s="32" t="str">
        <x:v>待验证</x:v>
      </x:c>
      <x:c r="AC66" s="32" t="str"/>
      <x:c r="AD66" s="32" t="str">
        <x:v>provisional=true; source_cluster=DAY_BRANCH_HIDDEN_HIERARCHY; interaction_state=平稳基线</x:v>
      </x:c>
      <x:c r="AE66" s="39" t="str">
        <x:v>0.2</x:v>
      </x:c>
    </x:row>
    <x:row r="67">
      <x:c r="A67" s="38" t="str">
        <x:v>M3-BASE-063</x:v>
      </x:c>
      <x:c r="B67" s="32" t="str">
        <x:v>主气｜真合化后停止原义</x:v>
      </x:c>
      <x:c r="C67" s="32" t="str">
        <x:v>L1 关系运行底盘</x:v>
      </x:c>
      <x:c r="D67" s="32" t="str">
        <x:v>BASE-藏干层级</x:v>
      </x:c>
      <x:c r="E67" s="32" t="str">
        <x:v>通用</x:v>
      </x:c>
      <x:c r="F67" s="32" t="str">
        <x:v>停止</x:v>
      </x:c>
      <x:c r="G67" s="32" t="str">
        <x:v>日支主气</x:v>
      </x:c>
      <x:c r="H67" s="32" t="str">
        <x:v>真合化</x:v>
      </x:c>
      <x:c r="I67" s="32" t="str">
        <x:v>共享引擎高置信确认日支参与真合化，且原主气功能不再作为稳定基础。</x:v>
      </x:c>
      <x:c r="J67" s="32" t="str">
        <x:v>仅合而不化、合绊、半合或化神未定。</x:v>
      </x:c>
      <x:c r="K67" s="32" t="str">
        <x:v>不限定；由后续模块修正</x:v>
      </x:c>
      <x:c r="L67" s="32" t="str">
        <x:v>不限定</x:v>
      </x:c>
      <x:c r="M67" s="32" t="str">
        <x:v>日支藏干主中余层级</x:v>
      </x:c>
      <x:c r="N67" s="32" t="str">
        <x:v>无／待后续模块组合</x:v>
      </x:c>
      <x:c r="O67" s="32" t="str">
        <x:v>日支藏干</x:v>
      </x:c>
      <x:c r="P67" s="32" t="str">
        <x:v>由共享基础引擎判定</x:v>
      </x:c>
      <x:c r="Q67" s="32" t="str">
        <x:v>由共享基础引擎判定</x:v>
      </x:c>
      <x:c r="R67" s="32" t="str">
        <x:v>喜忌未定或由共享引擎提供</x:v>
      </x:c>
      <x:c r="S67" s="32" t="str">
        <x:v>原十神性质有效；无真合化或已完成相应路由</x:v>
      </x:c>
      <x:c r="T67" s="32" t="str">
        <x:v>近</x:v>
      </x:c>
      <x:c r="U67" s="32" t="n">
        <x:v>93</x:v>
      </x:c>
      <x:c r="V67" s="32" t="str">
        <x:v>原主气得分清零；路由化神系统</x:v>
      </x:c>
      <x:c r="W67" s="32" t="str">
        <x:v>relationship_baseline</x:v>
      </x:c>
      <x:c r="X67" s="32" t="str">
        <x:v>真合化成立时不能继续机械保留原日支十神底盘；必须按化神及整体结构重新路由。</x:v>
      </x:c>
      <x:c r="Y67" s="32" t="str">
        <x:v>日支原来的相处主题暂不直接使用，需要改看合化后形成的关系运行方向。</x:v>
      </x:c>
      <x:c r="Z67" s="32" t="str">
        <x:v>不得同时把原主气和化神都作为满分核心。 本规则只描述关系运行底盘及其主次，不判断风险和结果。</x:v>
      </x:c>
      <x:c r="AA67" s="32" t="str">
        <x:v>停止</x:v>
      </x:c>
      <x:c r="AB67" s="32" t="str">
        <x:v>待验证</x:v>
      </x:c>
      <x:c r="AC67" s="32" t="str"/>
      <x:c r="AD67" s="32" t="str">
        <x:v>provisional=true; source_cluster=DAY_BRANCH_HIDDEN_HIERARCHY; interaction_state=平稳基线</x:v>
      </x:c>
      <x:c r="AE67" s="39" t="str">
        <x:v>0.2</x:v>
      </x:c>
    </x:row>
    <x:row r="68">
      <x:c r="A68" s="38" t="str">
        <x:v>M3-BASE-064</x:v>
      </x:c>
      <x:c r="B68" s="32" t="str">
        <x:v>中气｜默认层级</x:v>
      </x:c>
      <x:c r="C68" s="32" t="str">
        <x:v>L1 关系运行底盘</x:v>
      </x:c>
      <x:c r="D68" s="32" t="str">
        <x:v>BASE-藏干层级</x:v>
      </x:c>
      <x:c r="E68" s="32" t="str">
        <x:v>通用</x:v>
      </x:c>
      <x:c r="F68" s="32" t="str">
        <x:v>基础</x:v>
      </x:c>
      <x:c r="G68" s="32" t="str">
        <x:v>日支中气</x:v>
      </x:c>
      <x:c r="H68" s="32" t="str"/>
      <x:c r="I68" s="32" t="str">
        <x:v>日支中气由共享引擎可靠确定；中气原十神性质有效。</x:v>
      </x:c>
      <x:c r="J68" s="32" t="str">
        <x:v>日支无中气；中气未定；真合化后原性质失效。</x:v>
      </x:c>
      <x:c r="K68" s="32" t="str">
        <x:v>不限定；由后续模块修正</x:v>
      </x:c>
      <x:c r="L68" s="32" t="str">
        <x:v>不限定</x:v>
      </x:c>
      <x:c r="M68" s="32" t="str">
        <x:v>日支藏干主中余层级</x:v>
      </x:c>
      <x:c r="N68" s="32" t="str">
        <x:v>无／待后续模块组合</x:v>
      </x:c>
      <x:c r="O68" s="32" t="str">
        <x:v>日支藏干</x:v>
      </x:c>
      <x:c r="P68" s="32" t="str">
        <x:v>由共享基础引擎判定</x:v>
      </x:c>
      <x:c r="Q68" s="32" t="str">
        <x:v>由共享基础引擎判定</x:v>
      </x:c>
      <x:c r="R68" s="32" t="str">
        <x:v>喜忌未定或由共享引擎提供</x:v>
      </x:c>
      <x:c r="S68" s="32" t="str">
        <x:v>原十神性质有效；无真合化或已完成相应路由</x:v>
      </x:c>
      <x:c r="T68" s="32" t="str">
        <x:v>近</x:v>
      </x:c>
      <x:c r="U68" s="32" t="n">
        <x:v>82</x:v>
      </x:c>
      <x:c r="V68" s="32" t="str">
        <x:v>中气系数0.60；次通道候选+12</x:v>
      </x:c>
      <x:c r="W68" s="32" t="str">
        <x:v>secondary_baseline</x:v>
      </x:c>
      <x:c r="X68" s="32" t="str">
        <x:v>中气默认负责第二互动通道或深入相处后的补充主题；0.60为工程初始系数。</x:v>
      </x:c>
      <x:c r="Y68" s="32" t="str">
        <x:v>除核心底盘外，你还可能在深入相处或特定情境中启动另一套互动方式。</x:v>
      </x:c>
      <x:c r="Z68" s="32" t="str">
        <x:v>不得将中气自动提升为与主气同等核心。 本规则只描述关系运行底盘及其主次，不判断风险和结果。</x:v>
      </x:c>
      <x:c r="AA68" s="32" t="str">
        <x:v>中</x:v>
      </x:c>
      <x:c r="AB68" s="32" t="str">
        <x:v>待验证</x:v>
      </x:c>
      <x:c r="AC68" s="32" t="str"/>
      <x:c r="AD68" s="32" t="str">
        <x:v>provisional=true; source_cluster=DAY_BRANCH_HIDDEN_HIERARCHY; interaction_state=平稳基线</x:v>
      </x:c>
      <x:c r="AE68" s="39" t="str">
        <x:v>0.2</x:v>
      </x:c>
    </x:row>
    <x:row r="69">
      <x:c r="A69" s="38" t="str">
        <x:v>M3-BASE-065</x:v>
      </x:c>
      <x:c r="B69" s="32" t="str">
        <x:v>中气｜不能单独覆盖主气</x:v>
      </x:c>
      <x:c r="C69" s="32" t="str">
        <x:v>L1 关系运行底盘</x:v>
      </x:c>
      <x:c r="D69" s="32" t="str">
        <x:v>BASE-藏干层级</x:v>
      </x:c>
      <x:c r="E69" s="32" t="str">
        <x:v>通用</x:v>
      </x:c>
      <x:c r="F69" s="32" t="str">
        <x:v>门控</x:v>
      </x:c>
      <x:c r="G69" s="32" t="str">
        <x:v>日支中气</x:v>
      </x:c>
      <x:c r="H69" s="32" t="str">
        <x:v>日支主气</x:v>
      </x:c>
      <x:c r="I69" s="32" t="str">
        <x:v>主气有效且未明显受损；中气仅有日支内部一处来源。</x:v>
      </x:c>
      <x:c r="J69" s="32" t="str">
        <x:v>主气失效或中气获得两项以上独立强支持。</x:v>
      </x:c>
      <x:c r="K69" s="32" t="str">
        <x:v>不限定；由后续模块修正</x:v>
      </x:c>
      <x:c r="L69" s="32" t="str">
        <x:v>不限定</x:v>
      </x:c>
      <x:c r="M69" s="32" t="str">
        <x:v>日支藏干主中余层级</x:v>
      </x:c>
      <x:c r="N69" s="32" t="str">
        <x:v>无／待后续模块组合</x:v>
      </x:c>
      <x:c r="O69" s="32" t="str">
        <x:v>日支藏干</x:v>
      </x:c>
      <x:c r="P69" s="32" t="str">
        <x:v>由共享基础引擎判定</x:v>
      </x:c>
      <x:c r="Q69" s="32" t="str">
        <x:v>由共享基础引擎判定</x:v>
      </x:c>
      <x:c r="R69" s="32" t="str">
        <x:v>喜忌未定或由共享引擎提供</x:v>
      </x:c>
      <x:c r="S69" s="32" t="str">
        <x:v>原十神性质有效；无真合化或已完成相应路由</x:v>
      </x:c>
      <x:c r="T69" s="32" t="str">
        <x:v>近</x:v>
      </x:c>
      <x:c r="U69" s="32" t="n">
        <x:v>93</x:v>
      </x:c>
      <x:c r="V69" s="32" t="str">
        <x:v>中气封顶为次级；不得覆盖主气</x:v>
      </x:c>
      <x:c r="W69" s="32" t="str">
        <x:v>interaction_pattern</x:v>
      </x:c>
      <x:c r="X69" s="32" t="str">
        <x:v>藏干层级仍需尊重；中气出现不代表它可以凭存在本身覆盖主气。</x:v>
      </x:c>
      <x:c r="Y69" s="32" t="str">
        <x:v>这项相处方式更像第二层补充，而不是取代你的核心关系底盘。</x:v>
      </x:c>
      <x:c r="Z69" s="32" t="str">
        <x:v>不得因中气词义更符合案例主观印象就随意替换主气。 本规则只描述关系运行底盘及其主次，不判断风险和结果。</x:v>
      </x:c>
      <x:c r="AA69" s="32" t="str">
        <x:v>中高</x:v>
      </x:c>
      <x:c r="AB69" s="32" t="str">
        <x:v>待验证</x:v>
      </x:c>
      <x:c r="AC69" s="32" t="str"/>
      <x:c r="AD69" s="32" t="str">
        <x:v>provisional=true; source_cluster=DAY_BRANCH_HIDDEN_HIERARCHY; interaction_state=平稳基线</x:v>
      </x:c>
      <x:c r="AE69" s="39" t="str">
        <x:v>0.2</x:v>
      </x:c>
    </x:row>
    <x:row r="70">
      <x:c r="A70" s="38" t="str">
        <x:v>M3-BASE-066</x:v>
      </x:c>
      <x:c r="B70" s="32" t="str">
        <x:v>中气｜同类透出加强</x:v>
      </x:c>
      <x:c r="C70" s="32" t="str">
        <x:v>L1 关系运行底盘</x:v>
      </x:c>
      <x:c r="D70" s="32" t="str">
        <x:v>BASE-藏干层级</x:v>
      </x:c>
      <x:c r="E70" s="32" t="str">
        <x:v>通用</x:v>
      </x:c>
      <x:c r="F70" s="32" t="str">
        <x:v>修正</x:v>
      </x:c>
      <x:c r="G70" s="32" t="str">
        <x:v>日支中气</x:v>
      </x:c>
      <x:c r="H70" s="32" t="str">
        <x:v>同类十神透干</x:v>
      </x:c>
      <x:c r="I70" s="32" t="str">
        <x:v>中气有效；同类十神透干且形成可靠结构支持。</x:v>
      </x:c>
      <x:c r="J70" s="32" t="str">
        <x:v>透出无根或严重受损；属于与中气同一根气簇且被重复计分。</x:v>
      </x:c>
      <x:c r="K70" s="32" t="str">
        <x:v>不限定；由后续模块修正</x:v>
      </x:c>
      <x:c r="L70" s="32" t="str">
        <x:v>不限定</x:v>
      </x:c>
      <x:c r="M70" s="32" t="str">
        <x:v>日支藏干主中余层级</x:v>
      </x:c>
      <x:c r="N70" s="32" t="str">
        <x:v>无／待后续模块组合</x:v>
      </x:c>
      <x:c r="O70" s="32" t="str">
        <x:v>日支藏干</x:v>
      </x:c>
      <x:c r="P70" s="32" t="str">
        <x:v>由共享基础引擎判定</x:v>
      </x:c>
      <x:c r="Q70" s="32" t="str">
        <x:v>由共享基础引擎判定</x:v>
      </x:c>
      <x:c r="R70" s="32" t="str">
        <x:v>喜忌未定或由共享引擎提供</x:v>
      </x:c>
      <x:c r="S70" s="32" t="str">
        <x:v>原十神性质有效；无真合化或已完成相应路由</x:v>
      </x:c>
      <x:c r="T70" s="32" t="str">
        <x:v>近</x:v>
      </x:c>
      <x:c r="U70" s="32" t="n">
        <x:v>82</x:v>
      </x:c>
      <x:c r="V70" s="32" t="str">
        <x:v>次通道+7；可进入用户正文候选</x:v>
      </x:c>
      <x:c r="W70" s="32" t="str">
        <x:v>secondary_baseline</x:v>
      </x:c>
      <x:c r="X70" s="32" t="str">
        <x:v>透出使原本较内隐的中气更容易进入日常互动，但仍需同源封顶。</x:v>
      </x:c>
      <x:c r="Y70" s="32" t="str">
        <x:v>这项第二相处方式更容易被你直接表现出来，而不只在关系很深入时出现。</x:v>
      </x:c>
      <x:c r="Z70" s="32" t="str">
        <x:v>不得把同根透出当作完全独立的第二主通道。 本规则只描述关系运行底盘及其主次，不判断风险和结果。</x:v>
      </x:c>
      <x:c r="AA70" s="32" t="str">
        <x:v>中</x:v>
      </x:c>
      <x:c r="AB70" s="32" t="str">
        <x:v>待验证</x:v>
      </x:c>
      <x:c r="AC70" s="32" t="str"/>
      <x:c r="AD70" s="32" t="str">
        <x:v>provisional=true; source_cluster=DAY_BRANCH_HIDDEN_HIERARCHY; interaction_state=平稳基线</x:v>
      </x:c>
      <x:c r="AE70" s="39" t="str">
        <x:v>0.2</x:v>
      </x:c>
    </x:row>
    <x:row r="71">
      <x:c r="A71" s="38" t="str">
        <x:v>M3-BASE-067</x:v>
      </x:c>
      <x:c r="B71" s="32" t="str">
        <x:v>中气｜有根近位加强</x:v>
      </x:c>
      <x:c r="C71" s="32" t="str">
        <x:v>L1 关系运行底盘</x:v>
      </x:c>
      <x:c r="D71" s="32" t="str">
        <x:v>BASE-藏干层级</x:v>
      </x:c>
      <x:c r="E71" s="32" t="str">
        <x:v>通用</x:v>
      </x:c>
      <x:c r="F71" s="32" t="str">
        <x:v>修正</x:v>
      </x:c>
      <x:c r="G71" s="32" t="str">
        <x:v>日支中气</x:v>
      </x:c>
      <x:c r="H71" s="32" t="str">
        <x:v>有根／邻近日柱</x:v>
      </x:c>
      <x:c r="I71" s="32" t="str">
        <x:v>中气有效；在月支、时支或天干获得可靠同类根气或近位支持。</x:v>
      </x:c>
      <x:c r="J71" s="32" t="str">
        <x:v>支持弱远、争议大或被真合化。</x:v>
      </x:c>
      <x:c r="K71" s="32" t="str">
        <x:v>不限定；由后续模块修正</x:v>
      </x:c>
      <x:c r="L71" s="32" t="str">
        <x:v>不限定</x:v>
      </x:c>
      <x:c r="M71" s="32" t="str">
        <x:v>日支藏干主中余层级</x:v>
      </x:c>
      <x:c r="N71" s="32" t="str">
        <x:v>无／待后续模块组合</x:v>
      </x:c>
      <x:c r="O71" s="32" t="str">
        <x:v>日支藏干</x:v>
      </x:c>
      <x:c r="P71" s="32" t="str">
        <x:v>由共享基础引擎判定</x:v>
      </x:c>
      <x:c r="Q71" s="32" t="str">
        <x:v>由共享基础引擎判定</x:v>
      </x:c>
      <x:c r="R71" s="32" t="str">
        <x:v>喜忌未定或由共享引擎提供</x:v>
      </x:c>
      <x:c r="S71" s="32" t="str">
        <x:v>原十神性质有效；无真合化或已完成相应路由</x:v>
      </x:c>
      <x:c r="T71" s="32" t="str">
        <x:v>近</x:v>
      </x:c>
      <x:c r="U71" s="32" t="n">
        <x:v>82</x:v>
      </x:c>
      <x:c r="V71" s="32" t="str">
        <x:v>次通道+6</x:v>
      </x:c>
      <x:c r="W71" s="32" t="str">
        <x:v>secondary_baseline</x:v>
      </x:c>
      <x:c r="X71" s="32" t="str">
        <x:v>中气若有独立根气或日柱附近支持，重复出现的概率提高，可成为稳定次通道。</x:v>
      </x:c>
      <x:c r="Y71" s="32" t="str">
        <x:v>这项补充方式在实际相处中更容易反复出现，而不是偶然反应。</x:v>
      </x:c>
      <x:c r="Z71" s="32" t="str">
        <x:v>不得因有根就自动升级为双核心。 本规则只描述关系运行底盘及其主次，不判断风险和结果。</x:v>
      </x:c>
      <x:c r="AA71" s="32" t="str">
        <x:v>中</x:v>
      </x:c>
      <x:c r="AB71" s="32" t="str">
        <x:v>待验证</x:v>
      </x:c>
      <x:c r="AC71" s="32" t="str"/>
      <x:c r="AD71" s="32" t="str">
        <x:v>provisional=true; source_cluster=DAY_BRANCH_HIDDEN_HIERARCHY; interaction_state=平稳基线</x:v>
      </x:c>
      <x:c r="AE71" s="39" t="str">
        <x:v>0.2</x:v>
      </x:c>
    </x:row>
    <x:row r="72">
      <x:c r="A72" s="38" t="str">
        <x:v>M3-BASE-068</x:v>
      </x:c>
      <x:c r="B72" s="32" t="str">
        <x:v>中气｜独立证据形成次通道</x:v>
      </x:c>
      <x:c r="C72" s="32" t="str">
        <x:v>L1 关系运行底盘</x:v>
      </x:c>
      <x:c r="D72" s="32" t="str">
        <x:v>BASE-藏干层级</x:v>
      </x:c>
      <x:c r="E72" s="32" t="str">
        <x:v>通用</x:v>
      </x:c>
      <x:c r="F72" s="32" t="str">
        <x:v>组合</x:v>
      </x:c>
      <x:c r="G72" s="32" t="str">
        <x:v>日支中气</x:v>
      </x:c>
      <x:c r="H72" s="32" t="str">
        <x:v>独立支持</x:v>
      </x:c>
      <x:c r="I72" s="32" t="str">
        <x:v>中气与主气功能不同；中气至少获得一项独立有效支持；同源去重完成。</x:v>
      </x:c>
      <x:c r="J72" s="32" t="str">
        <x:v>中气与主气属于同一功能系统且仅为重复；支持证据同源。</x:v>
      </x:c>
      <x:c r="K72" s="32" t="str">
        <x:v>不限定；由后续模块修正</x:v>
      </x:c>
      <x:c r="L72" s="32" t="str">
        <x:v>不限定</x:v>
      </x:c>
      <x:c r="M72" s="32" t="str">
        <x:v>日支藏干主中余层级</x:v>
      </x:c>
      <x:c r="N72" s="32" t="str">
        <x:v>无／待后续模块组合</x:v>
      </x:c>
      <x:c r="O72" s="32" t="str">
        <x:v>日支藏干</x:v>
      </x:c>
      <x:c r="P72" s="32" t="str">
        <x:v>由共享基础引擎判定</x:v>
      </x:c>
      <x:c r="Q72" s="32" t="str">
        <x:v>由共享基础引擎判定</x:v>
      </x:c>
      <x:c r="R72" s="32" t="str">
        <x:v>喜忌未定或由共享引擎提供</x:v>
      </x:c>
      <x:c r="S72" s="32" t="str">
        <x:v>原十神性质有效；无真合化或已完成相应路由</x:v>
      </x:c>
      <x:c r="T72" s="32" t="str">
        <x:v>近</x:v>
      </x:c>
      <x:c r="U72" s="32" t="n">
        <x:v>82</x:v>
      </x:c>
      <x:c r="V72" s="32" t="str">
        <x:v>P11双通道候选；次通道+10</x:v>
      </x:c>
      <x:c r="W72" s="32" t="str">
        <x:v>interaction_pattern</x:v>
      </x:c>
      <x:c r="X72" s="32" t="str">
        <x:v>不同功能的中气在独立支持下，可形成有分工的第二通道；最终需STATE模块确认先后或场景。</x:v>
      </x:c>
      <x:c r="Y72" s="32" t="str">
        <x:v>你的相处方式可能有明确的第二通道：日常以核心方式运行，在特定情境中会换用另一种处理方式。</x:v>
      </x:c>
      <x:c r="Z72" s="32" t="str">
        <x:v>不得把两个十神都存在直接写成双重人格或情绪反复。 本规则只描述关系运行底盘及其主次，不判断风险和结果。</x:v>
      </x:c>
      <x:c r="AA72" s="32" t="str">
        <x:v>中</x:v>
      </x:c>
      <x:c r="AB72" s="32" t="str">
        <x:v>待验证</x:v>
      </x:c>
      <x:c r="AC72" s="32" t="str"/>
      <x:c r="AD72" s="32" t="str">
        <x:v>provisional=true; source_cluster=DAY_BRANCH_HIDDEN_HIERARCHY; interaction_state=平稳基线</x:v>
      </x:c>
      <x:c r="AE72" s="39" t="str">
        <x:v>0.2</x:v>
      </x:c>
    </x:row>
    <x:row r="73">
      <x:c r="A73" s="38" t="str">
        <x:v>M3-BASE-069</x:v>
      </x:c>
      <x:c r="B73" s="32" t="str">
        <x:v>中气｜同系统收敛</x:v>
      </x:c>
      <x:c r="C73" s="32" t="str">
        <x:v>L1 关系运行底盘</x:v>
      </x:c>
      <x:c r="D73" s="32" t="str">
        <x:v>BASE-藏干层级</x:v>
      </x:c>
      <x:c r="E73" s="32" t="str">
        <x:v>通用</x:v>
      </x:c>
      <x:c r="F73" s="32" t="str">
        <x:v>去重</x:v>
      </x:c>
      <x:c r="G73" s="32" t="str">
        <x:v>日支中气</x:v>
      </x:c>
      <x:c r="H73" s="32" t="str">
        <x:v>与主气同系统</x:v>
      </x:c>
      <x:c r="I73" s="32" t="str">
        <x:v>中气与主气属于同一五系统，例如食神与伤官、正财与偏财。</x:v>
      </x:c>
      <x:c r="J73" s="32" t="str">
        <x:v>两者在实际功能上有独立任务且得到额外证据支持。</x:v>
      </x:c>
      <x:c r="K73" s="32" t="str">
        <x:v>不限定；由后续模块修正</x:v>
      </x:c>
      <x:c r="L73" s="32" t="str">
        <x:v>不限定</x:v>
      </x:c>
      <x:c r="M73" s="32" t="str">
        <x:v>日支藏干主中余层级</x:v>
      </x:c>
      <x:c r="N73" s="32" t="str">
        <x:v>无／待后续模块组合</x:v>
      </x:c>
      <x:c r="O73" s="32" t="str">
        <x:v>日支藏干</x:v>
      </x:c>
      <x:c r="P73" s="32" t="str">
        <x:v>由共享基础引擎判定</x:v>
      </x:c>
      <x:c r="Q73" s="32" t="str">
        <x:v>由共享基础引擎判定</x:v>
      </x:c>
      <x:c r="R73" s="32" t="str">
        <x:v>喜忌未定或由共享引擎提供</x:v>
      </x:c>
      <x:c r="S73" s="32" t="str">
        <x:v>原十神性质有效；无真合化或已完成相应路由</x:v>
      </x:c>
      <x:c r="T73" s="32" t="str">
        <x:v>近</x:v>
      </x:c>
      <x:c r="U73" s="32" t="n">
        <x:v>93</x:v>
      </x:c>
      <x:c r="V73" s="32" t="str">
        <x:v>同系统合并；只保留正偏风格修饰</x:v>
      </x:c>
      <x:c r="W73" s="32" t="str">
        <x:v>relationship_baseline</x:v>
      </x:c>
      <x:c r="X73" s="32" t="str">
        <x:v>同系统正偏十神首先应收敛为一个系统底盘，再用正偏差异修饰温和/明确、稳定/灵活等风格。</x:v>
      </x:c>
      <x:c r="Y73" s="32" t="str">
        <x:v>你的核心相处方向是一致的，只是在表达风格上同时带有两种侧重。</x:v>
      </x:c>
      <x:c r="Z73" s="32" t="str">
        <x:v>不得把同系统正偏并见机械输出为两套独立核心。 本规则只描述关系运行底盘及其主次，不判断风险和结果。</x:v>
      </x:c>
      <x:c r="AA73" s="32" t="str">
        <x:v>中高</x:v>
      </x:c>
      <x:c r="AB73" s="32" t="str">
        <x:v>待验证</x:v>
      </x:c>
      <x:c r="AC73" s="32" t="str"/>
      <x:c r="AD73" s="32" t="str">
        <x:v>provisional=true; source_cluster=DAY_BRANCH_HIDDEN_HIERARCHY; interaction_state=平稳基线</x:v>
      </x:c>
      <x:c r="AE73" s="39" t="str">
        <x:v>0.2</x:v>
      </x:c>
    </x:row>
    <x:row r="74">
      <x:c r="A74" s="38" t="str">
        <x:v>M3-BASE-070</x:v>
      </x:c>
      <x:c r="B74" s="32" t="str">
        <x:v>中气｜跨系统双通道候选</x:v>
      </x:c>
      <x:c r="C74" s="32" t="str">
        <x:v>L1 关系运行底盘</x:v>
      </x:c>
      <x:c r="D74" s="32" t="str">
        <x:v>BASE-藏干层级</x:v>
      </x:c>
      <x:c r="E74" s="32" t="str">
        <x:v>通用</x:v>
      </x:c>
      <x:c r="F74" s="32" t="str">
        <x:v>组合</x:v>
      </x:c>
      <x:c r="G74" s="32" t="str">
        <x:v>日支中气</x:v>
      </x:c>
      <x:c r="H74" s="32" t="str">
        <x:v>与主气不同系统</x:v>
      </x:c>
      <x:c r="I74" s="32" t="str">
        <x:v>主气与中气功能不同；两者均有效；中气有独立支持。</x:v>
      </x:c>
      <x:c r="J74" s="32" t="str">
        <x:v>中气弱、无根或仅为余势；主气本身未定。</x:v>
      </x:c>
      <x:c r="K74" s="32" t="str">
        <x:v>不限定；由后续模块修正</x:v>
      </x:c>
      <x:c r="L74" s="32" t="str">
        <x:v>不限定</x:v>
      </x:c>
      <x:c r="M74" s="32" t="str">
        <x:v>日支藏干主中余层级</x:v>
      </x:c>
      <x:c r="N74" s="32" t="str">
        <x:v>无／待后续模块组合</x:v>
      </x:c>
      <x:c r="O74" s="32" t="str">
        <x:v>日支藏干</x:v>
      </x:c>
      <x:c r="P74" s="32" t="str">
        <x:v>由共享基础引擎判定</x:v>
      </x:c>
      <x:c r="Q74" s="32" t="str">
        <x:v>由共享基础引擎判定</x:v>
      </x:c>
      <x:c r="R74" s="32" t="str">
        <x:v>喜忌未定或由共享引擎提供</x:v>
      </x:c>
      <x:c r="S74" s="32" t="str">
        <x:v>原十神性质有效；无真合化或已完成相应路由</x:v>
      </x:c>
      <x:c r="T74" s="32" t="str">
        <x:v>近</x:v>
      </x:c>
      <x:c r="U74" s="32" t="n">
        <x:v>82</x:v>
      </x:c>
      <x:c r="V74" s="32" t="str">
        <x:v>P11候选；转M3-STATE</x:v>
      </x:c>
      <x:c r="W74" s="32" t="str">
        <x:v>interaction_pattern</x:v>
      </x:c>
      <x:c r="X74" s="32" t="str">
        <x:v>跨系统中气可能与主气形成分工，例如日常陪伴、遇事行动；需要后续状态模块确定顺序。</x:v>
      </x:c>
      <x:c r="Y74" s="32" t="str">
        <x:v>你可能不是始终只用一种方式相处，而是在不同任务中切换两套有分工的互动通道。</x:v>
      </x:c>
      <x:c r="Z74" s="32" t="str">
        <x:v>不得在BASE阶段直接确定压力状态或修复顺序。 本规则只描述关系运行底盘及其主次，不判断风险和结果。</x:v>
      </x:c>
      <x:c r="AA74" s="32" t="str">
        <x:v>中</x:v>
      </x:c>
      <x:c r="AB74" s="32" t="str">
        <x:v>待验证</x:v>
      </x:c>
      <x:c r="AC74" s="32" t="str"/>
      <x:c r="AD74" s="32" t="str">
        <x:v>provisional=true; source_cluster=DAY_BRANCH_HIDDEN_HIERARCHY; interaction_state=平稳基线</x:v>
      </x:c>
      <x:c r="AE74" s="39" t="str">
        <x:v>0.2</x:v>
      </x:c>
    </x:row>
    <x:row r="75">
      <x:c r="A75" s="38" t="str">
        <x:v>M3-BASE-071</x:v>
      </x:c>
      <x:c r="B75" s="32" t="str">
        <x:v>中气｜主气受损后的共同主导候选</x:v>
      </x:c>
      <x:c r="C75" s="32" t="str">
        <x:v>L1 关系运行底盘</x:v>
      </x:c>
      <x:c r="D75" s="32" t="str">
        <x:v>BASE-藏干层级</x:v>
      </x:c>
      <x:c r="E75" s="32" t="str">
        <x:v>通用</x:v>
      </x:c>
      <x:c r="F75" s="32" t="str">
        <x:v>路由</x:v>
      </x:c>
      <x:c r="G75" s="32" t="str">
        <x:v>日支中气</x:v>
      </x:c>
      <x:c r="H75" s="32" t="str">
        <x:v>主气受损</x:v>
      </x:c>
      <x:c r="I75" s="32" t="str">
        <x:v>主气明显受损但未完全失效；中气有效并有至少两项独立支持。</x:v>
      </x:c>
      <x:c r="J75" s="32" t="str">
        <x:v>主气仍强稳；中气支持不足；真合化路径已确定。</x:v>
      </x:c>
      <x:c r="K75" s="32" t="str">
        <x:v>不限定；由后续模块修正</x:v>
      </x:c>
      <x:c r="L75" s="32" t="str">
        <x:v>不限定</x:v>
      </x:c>
      <x:c r="M75" s="32" t="str">
        <x:v>日支藏干主中余层级</x:v>
      </x:c>
      <x:c r="N75" s="32" t="str">
        <x:v>无／待后续模块组合</x:v>
      </x:c>
      <x:c r="O75" s="32" t="str">
        <x:v>日支藏干</x:v>
      </x:c>
      <x:c r="P75" s="32" t="str">
        <x:v>由共享基础引擎判定</x:v>
      </x:c>
      <x:c r="Q75" s="32" t="str">
        <x:v>由共享基础引擎判定</x:v>
      </x:c>
      <x:c r="R75" s="32" t="str">
        <x:v>喜忌未定或由共享引擎提供</x:v>
      </x:c>
      <x:c r="S75" s="32" t="str">
        <x:v>原十神性质有效；无真合化或已完成相应路由</x:v>
      </x:c>
      <x:c r="T75" s="32" t="str">
        <x:v>近</x:v>
      </x:c>
      <x:c r="U75" s="32" t="n">
        <x:v>82</x:v>
      </x:c>
      <x:c r="V75" s="32" t="str">
        <x:v>主气-6；中气+10；双主候选</x:v>
      </x:c>
      <x:c r="W75" s="32" t="str">
        <x:v>interaction_pattern</x:v>
      </x:c>
      <x:c r="X75" s="32" t="str">
        <x:v>当主气运行受阻而中气获得充分支持时，不能仍机械坚持单一主气；可转为双底盘或情境切换候选。</x:v>
      </x:c>
      <x:c r="Y75" s="32" t="str">
        <x:v>你的核心相处方式可能不是完全单一：原有底盘仍在，但另一套方式会在现实中明显分担作用。</x:v>
      </x:c>
      <x:c r="Z75" s="32" t="str">
        <x:v>不得未经案例和状态模块确认就宣称中气已彻底取代主气。 本规则只描述关系运行底盘及其主次，不判断风险和结果。</x:v>
      </x:c>
      <x:c r="AA75" s="32" t="str">
        <x:v>中低</x:v>
      </x:c>
      <x:c r="AB75" s="32" t="str">
        <x:v>待验证</x:v>
      </x:c>
      <x:c r="AC75" s="32" t="str"/>
      <x:c r="AD75" s="32" t="str">
        <x:v>provisional=true; source_cluster=DAY_BRANCH_HIDDEN_HIERARCHY; interaction_state=平稳基线</x:v>
      </x:c>
      <x:c r="AE75" s="39" t="str">
        <x:v>0.2</x:v>
      </x:c>
    </x:row>
    <x:row r="76">
      <x:c r="A76" s="38" t="str">
        <x:v>M3-BASE-072</x:v>
      </x:c>
      <x:c r="B76" s="32" t="str">
        <x:v>余气｜默认层级</x:v>
      </x:c>
      <x:c r="C76" s="32" t="str">
        <x:v>L1 关系运行底盘</x:v>
      </x:c>
      <x:c r="D76" s="32" t="str">
        <x:v>BASE-藏干层级</x:v>
      </x:c>
      <x:c r="E76" s="32" t="str">
        <x:v>通用</x:v>
      </x:c>
      <x:c r="F76" s="32" t="str">
        <x:v>基础</x:v>
      </x:c>
      <x:c r="G76" s="32" t="str">
        <x:v>日支余气</x:v>
      </x:c>
      <x:c r="H76" s="32" t="str"/>
      <x:c r="I76" s="32" t="str">
        <x:v>日支余气由共享引擎可靠确定；原性质有效。</x:v>
      </x:c>
      <x:c r="J76" s="32" t="str">
        <x:v>日支无余气；余气未定；真合化后原性质失效。</x:v>
      </x:c>
      <x:c r="K76" s="32" t="str">
        <x:v>不限定；由后续模块修正</x:v>
      </x:c>
      <x:c r="L76" s="32" t="str">
        <x:v>不限定</x:v>
      </x:c>
      <x:c r="M76" s="32" t="str">
        <x:v>日支藏干主中余层级</x:v>
      </x:c>
      <x:c r="N76" s="32" t="str">
        <x:v>无／待后续模块组合</x:v>
      </x:c>
      <x:c r="O76" s="32" t="str">
        <x:v>日支藏干</x:v>
      </x:c>
      <x:c r="P76" s="32" t="str">
        <x:v>由共享基础引擎判定</x:v>
      </x:c>
      <x:c r="Q76" s="32" t="str">
        <x:v>由共享基础引擎判定</x:v>
      </x:c>
      <x:c r="R76" s="32" t="str">
        <x:v>喜忌未定或由共享引擎提供</x:v>
      </x:c>
      <x:c r="S76" s="32" t="str">
        <x:v>原十神性质有效；无真合化或已完成相应路由</x:v>
      </x:c>
      <x:c r="T76" s="32" t="str">
        <x:v>近</x:v>
      </x:c>
      <x:c r="U76" s="32" t="n">
        <x:v>82</x:v>
      </x:c>
      <x:c r="V76" s="32" t="str">
        <x:v>余气系数0.35；背景候选+5</x:v>
      </x:c>
      <x:c r="W76" s="32" t="str">
        <x:v>secondary_baseline</x:v>
      </x:c>
      <x:c r="X76" s="32" t="str">
        <x:v>余气默认只表示潜在补充、细节偏好或特定情境下的备用通道；0.35为工程初始系数。</x:v>
      </x:c>
      <x:c r="Y76" s="32" t="str">
        <x:v>关系中还可能存在一项较隐性的补充方式，但它通常不会单独决定整体相处模式。</x:v>
      </x:c>
      <x:c r="Z76" s="32" t="str">
        <x:v>不得凭余气单独确定核心底盘。 本规则只描述关系运行底盘及其主次，不判断风险和结果。</x:v>
      </x:c>
      <x:c r="AA76" s="32" t="str">
        <x:v>中低</x:v>
      </x:c>
      <x:c r="AB76" s="32" t="str">
        <x:v>待验证</x:v>
      </x:c>
      <x:c r="AC76" s="32" t="str"/>
      <x:c r="AD76" s="32" t="str">
        <x:v>provisional=true; source_cluster=DAY_BRANCH_HIDDEN_HIERARCHY; interaction_state=平稳基线</x:v>
      </x:c>
      <x:c r="AE76" s="39" t="str">
        <x:v>0.2</x:v>
      </x:c>
    </x:row>
    <x:row r="77">
      <x:c r="A77" s="38" t="str">
        <x:v>M3-BASE-073</x:v>
      </x:c>
      <x:c r="B77" s="32" t="str">
        <x:v>余气｜不得直接定核心</x:v>
      </x:c>
      <x:c r="C77" s="32" t="str">
        <x:v>L1 关系运行底盘</x:v>
      </x:c>
      <x:c r="D77" s="32" t="str">
        <x:v>BASE-藏干层级</x:v>
      </x:c>
      <x:c r="E77" s="32" t="str">
        <x:v>通用</x:v>
      </x:c>
      <x:c r="F77" s="32" t="str">
        <x:v>门控</x:v>
      </x:c>
      <x:c r="G77" s="32" t="str">
        <x:v>日支余气</x:v>
      </x:c>
      <x:c r="H77" s="32" t="str">
        <x:v>核心底盘</x:v>
      </x:c>
      <x:c r="I77" s="32" t="str">
        <x:v>余气只有日支内部一处来源，且无透出、根气或重复支持。</x:v>
      </x:c>
      <x:c r="J77" s="32" t="str">
        <x:v>余气获得两项以上独立支持且主中气均失效。</x:v>
      </x:c>
      <x:c r="K77" s="32" t="str">
        <x:v>不限定；由后续模块修正</x:v>
      </x:c>
      <x:c r="L77" s="32" t="str">
        <x:v>不限定</x:v>
      </x:c>
      <x:c r="M77" s="32" t="str">
        <x:v>日支藏干主中余层级</x:v>
      </x:c>
      <x:c r="N77" s="32" t="str">
        <x:v>无／待后续模块组合</x:v>
      </x:c>
      <x:c r="O77" s="32" t="str">
        <x:v>日支藏干</x:v>
      </x:c>
      <x:c r="P77" s="32" t="str">
        <x:v>由共享基础引擎判定</x:v>
      </x:c>
      <x:c r="Q77" s="32" t="str">
        <x:v>由共享基础引擎判定</x:v>
      </x:c>
      <x:c r="R77" s="32" t="str">
        <x:v>喜忌未定或由共享引擎提供</x:v>
      </x:c>
      <x:c r="S77" s="32" t="str">
        <x:v>原十神性质有效；无真合化或已完成相应路由</x:v>
      </x:c>
      <x:c r="T77" s="32" t="str">
        <x:v>近</x:v>
      </x:c>
      <x:c r="U77" s="32" t="n">
        <x:v>93</x:v>
      </x:c>
      <x:c r="V77" s="32" t="str">
        <x:v>核心输出禁止；只保留内部候选</x:v>
      </x:c>
      <x:c r="W77" s="32" t="str">
        <x:v>relationship_baseline</x:v>
      </x:c>
      <x:c r="X77" s="32" t="str">
        <x:v>余气层级较低，不能因为词义显眼就被拔高为核心模式。</x:v>
      </x:c>
      <x:c r="Y77" s="32" t="str">
        <x:v>这项信号更适合作为背景参考，当前不宜写成你的主要相处方式。</x:v>
      </x:c>
      <x:c r="Z77" s="32" t="str">
        <x:v>不得使用余气制造过度细致却缺乏证据的用户画像。 本规则只描述关系运行底盘及其主次，不判断风险和结果。</x:v>
      </x:c>
      <x:c r="AA77" s="32" t="str">
        <x:v>高</x:v>
      </x:c>
      <x:c r="AB77" s="32" t="str">
        <x:v>待验证</x:v>
      </x:c>
      <x:c r="AC77" s="32" t="str"/>
      <x:c r="AD77" s="32" t="str">
        <x:v>provisional=true; source_cluster=DAY_BRANCH_HIDDEN_HIERARCHY; interaction_state=平稳基线</x:v>
      </x:c>
      <x:c r="AE77" s="39" t="str">
        <x:v>0.2</x:v>
      </x:c>
    </x:row>
    <x:row r="78">
      <x:c r="A78" s="38" t="str">
        <x:v>M3-BASE-074</x:v>
      </x:c>
      <x:c r="B78" s="32" t="str">
        <x:v>余气｜同类透出加强</x:v>
      </x:c>
      <x:c r="C78" s="32" t="str">
        <x:v>L1 关系运行底盘</x:v>
      </x:c>
      <x:c r="D78" s="32" t="str">
        <x:v>BASE-藏干层级</x:v>
      </x:c>
      <x:c r="E78" s="32" t="str">
        <x:v>通用</x:v>
      </x:c>
      <x:c r="F78" s="32" t="str">
        <x:v>修正</x:v>
      </x:c>
      <x:c r="G78" s="32" t="str">
        <x:v>日支余气</x:v>
      </x:c>
      <x:c r="H78" s="32" t="str">
        <x:v>同类十神透干</x:v>
      </x:c>
      <x:c r="I78" s="32" t="str">
        <x:v>余气有效；同类十神透干且结构成立。</x:v>
      </x:c>
      <x:c r="J78" s="32" t="str">
        <x:v>透出无根、受损或与余气同源重复未去重。</x:v>
      </x:c>
      <x:c r="K78" s="32" t="str">
        <x:v>不限定；由后续模块修正</x:v>
      </x:c>
      <x:c r="L78" s="32" t="str">
        <x:v>不限定</x:v>
      </x:c>
      <x:c r="M78" s="32" t="str">
        <x:v>日支藏干主中余层级</x:v>
      </x:c>
      <x:c r="N78" s="32" t="str">
        <x:v>无／待后续模块组合</x:v>
      </x:c>
      <x:c r="O78" s="32" t="str">
        <x:v>日支藏干</x:v>
      </x:c>
      <x:c r="P78" s="32" t="str">
        <x:v>由共享基础引擎判定</x:v>
      </x:c>
      <x:c r="Q78" s="32" t="str">
        <x:v>由共享基础引擎判定</x:v>
      </x:c>
      <x:c r="R78" s="32" t="str">
        <x:v>喜忌未定或由共享引擎提供</x:v>
      </x:c>
      <x:c r="S78" s="32" t="str">
        <x:v>原十神性质有效；无真合化或已完成相应路由</x:v>
      </x:c>
      <x:c r="T78" s="32" t="str">
        <x:v>近</x:v>
      </x:c>
      <x:c r="U78" s="32" t="n">
        <x:v>82</x:v>
      </x:c>
      <x:c r="V78" s="32" t="str">
        <x:v>背景+5；次通道候选</x:v>
      </x:c>
      <x:c r="W78" s="32" t="str">
        <x:v>secondary_baseline</x:v>
      </x:c>
      <x:c r="X78" s="32" t="str">
        <x:v>透出可使余气从潜在背景上升为可观察补充，但仍需封顶。</x:v>
      </x:c>
      <x:c r="Y78" s="32" t="str">
        <x:v>这项原本较隐性的互动方式，可能会在日常关系中更容易被看见。</x:v>
      </x:c>
      <x:c r="Z78" s="32" t="str">
        <x:v>不得仅凭一次透出就升级为核心。 本规则只描述关系运行底盘及其主次，不判断风险和结果。</x:v>
      </x:c>
      <x:c r="AA78" s="32" t="str">
        <x:v>中低</x:v>
      </x:c>
      <x:c r="AB78" s="32" t="str">
        <x:v>待验证</x:v>
      </x:c>
      <x:c r="AC78" s="32" t="str"/>
      <x:c r="AD78" s="32" t="str">
        <x:v>provisional=true; source_cluster=DAY_BRANCH_HIDDEN_HIERARCHY; interaction_state=平稳基线</x:v>
      </x:c>
      <x:c r="AE78" s="39" t="str">
        <x:v>0.2</x:v>
      </x:c>
    </x:row>
    <x:row r="79">
      <x:c r="A79" s="38" t="str">
        <x:v>M3-BASE-075</x:v>
      </x:c>
      <x:c r="B79" s="32" t="str">
        <x:v>余气｜根气重复加强</x:v>
      </x:c>
      <x:c r="C79" s="32" t="str">
        <x:v>L1 关系运行底盘</x:v>
      </x:c>
      <x:c r="D79" s="32" t="str">
        <x:v>BASE-藏干层级</x:v>
      </x:c>
      <x:c r="E79" s="32" t="str">
        <x:v>通用</x:v>
      </x:c>
      <x:c r="F79" s="32" t="str">
        <x:v>修正</x:v>
      </x:c>
      <x:c r="G79" s="32" t="str">
        <x:v>日支余气</x:v>
      </x:c>
      <x:c r="H79" s="32" t="str">
        <x:v>有根／重复</x:v>
      </x:c>
      <x:c r="I79" s="32" t="str">
        <x:v>余气在其他地支获得独立根气或同类重复支持。</x:v>
      </x:c>
      <x:c r="J79" s="32" t="str">
        <x:v>重复信号均弱远或属于同一合化争议。</x:v>
      </x:c>
      <x:c r="K79" s="32" t="str">
        <x:v>不限定；由后续模块修正</x:v>
      </x:c>
      <x:c r="L79" s="32" t="str">
        <x:v>不限定</x:v>
      </x:c>
      <x:c r="M79" s="32" t="str">
        <x:v>日支藏干主中余层级</x:v>
      </x:c>
      <x:c r="N79" s="32" t="str">
        <x:v>无／待后续模块组合</x:v>
      </x:c>
      <x:c r="O79" s="32" t="str">
        <x:v>日支藏干</x:v>
      </x:c>
      <x:c r="P79" s="32" t="str">
        <x:v>由共享基础引擎判定</x:v>
      </x:c>
      <x:c r="Q79" s="32" t="str">
        <x:v>由共享基础引擎判定</x:v>
      </x:c>
      <x:c r="R79" s="32" t="str">
        <x:v>喜忌未定或由共享引擎提供</x:v>
      </x:c>
      <x:c r="S79" s="32" t="str">
        <x:v>原十神性质有效；无真合化或已完成相应路由</x:v>
      </x:c>
      <x:c r="T79" s="32" t="str">
        <x:v>近</x:v>
      </x:c>
      <x:c r="U79" s="32" t="n">
        <x:v>82</x:v>
      </x:c>
      <x:c r="V79" s="32" t="str">
        <x:v>背景+4；重复性+4</x:v>
      </x:c>
      <x:c r="W79" s="32" t="str">
        <x:v>secondary_baseline</x:v>
      </x:c>
      <x:c r="X79" s="32" t="str">
        <x:v>独立根气提高余气通道的可重复性，但不改变其默认层级。</x:v>
      </x:c>
      <x:c r="Y79" s="32" t="str">
        <x:v>这项补充方式可能在特定场景中反复出现，而不只是偶然。</x:v>
      </x:c>
      <x:c r="Z79" s="32" t="str">
        <x:v>不得因重复出现就自动与主气并列。 本规则只描述关系运行底盘及其主次，不判断风险和结果。</x:v>
      </x:c>
      <x:c r="AA79" s="32" t="str">
        <x:v>中低</x:v>
      </x:c>
      <x:c r="AB79" s="32" t="str">
        <x:v>待验证</x:v>
      </x:c>
      <x:c r="AC79" s="32" t="str"/>
      <x:c r="AD79" s="32" t="str">
        <x:v>provisional=true; source_cluster=DAY_BRANCH_HIDDEN_HIERARCHY; interaction_state=平稳基线</x:v>
      </x:c>
      <x:c r="AE79" s="39" t="str">
        <x:v>0.2</x:v>
      </x:c>
    </x:row>
    <x:row r="80">
      <x:c r="A80" s="38" t="str">
        <x:v>M3-BASE-076</x:v>
      </x:c>
      <x:c r="B80" s="32" t="str">
        <x:v>余气｜近位支持</x:v>
      </x:c>
      <x:c r="C80" s="32" t="str">
        <x:v>L1 关系运行底盘</x:v>
      </x:c>
      <x:c r="D80" s="32" t="str">
        <x:v>BASE-藏干层级</x:v>
      </x:c>
      <x:c r="E80" s="32" t="str">
        <x:v>通用</x:v>
      </x:c>
      <x:c r="F80" s="32" t="str">
        <x:v>修正</x:v>
      </x:c>
      <x:c r="G80" s="32" t="str">
        <x:v>日支余气</x:v>
      </x:c>
      <x:c r="H80" s="32" t="str">
        <x:v>日柱附近支持</x:v>
      </x:c>
      <x:c r="I80" s="32" t="str">
        <x:v>余气在日干、时干或日柱邻近位置获得独立有效支持。</x:v>
      </x:c>
      <x:c r="J80" s="32" t="str">
        <x:v>仅有远位微弱支持；支持状态争议。</x:v>
      </x:c>
      <x:c r="K80" s="32" t="str">
        <x:v>不限定；由后续模块修正</x:v>
      </x:c>
      <x:c r="L80" s="32" t="str">
        <x:v>不限定</x:v>
      </x:c>
      <x:c r="M80" s="32" t="str">
        <x:v>日支藏干主中余层级</x:v>
      </x:c>
      <x:c r="N80" s="32" t="str">
        <x:v>无／待后续模块组合</x:v>
      </x:c>
      <x:c r="O80" s="32" t="str">
        <x:v>日支藏干</x:v>
      </x:c>
      <x:c r="P80" s="32" t="str">
        <x:v>由共享基础引擎判定</x:v>
      </x:c>
      <x:c r="Q80" s="32" t="str">
        <x:v>由共享基础引擎判定</x:v>
      </x:c>
      <x:c r="R80" s="32" t="str">
        <x:v>喜忌未定或由共享引擎提供</x:v>
      </x:c>
      <x:c r="S80" s="32" t="str">
        <x:v>原十神性质有效；无真合化或已完成相应路由</x:v>
      </x:c>
      <x:c r="T80" s="32" t="str">
        <x:v>近</x:v>
      </x:c>
      <x:c r="U80" s="32" t="n">
        <x:v>82</x:v>
      </x:c>
      <x:c r="V80" s="32" t="str">
        <x:v>次通道候选+4</x:v>
      </x:c>
      <x:c r="W80" s="32" t="str">
        <x:v>secondary_baseline</x:v>
      </x:c>
      <x:c r="X80" s="32" t="str">
        <x:v>近位支持使余气更容易进入亲密关系实际运行，但仍需至少另一证据才能进入正文。</x:v>
      </x:c>
      <x:c r="Y80" s="32" t="str">
        <x:v>这项潜在互动方式在亲密关系中可能比在其他场合更明显。</x:v>
      </x:c>
      <x:c r="Z80" s="32" t="str">
        <x:v>不得把近位等同高强度。 本规则只描述关系运行底盘及其主次，不判断风险和结果。</x:v>
      </x:c>
      <x:c r="AA80" s="32" t="str">
        <x:v>中低</x:v>
      </x:c>
      <x:c r="AB80" s="32" t="str">
        <x:v>待验证</x:v>
      </x:c>
      <x:c r="AC80" s="32" t="str"/>
      <x:c r="AD80" s="32" t="str">
        <x:v>provisional=true; source_cluster=DAY_BRANCH_HIDDEN_HIERARCHY; interaction_state=平稳基线</x:v>
      </x:c>
      <x:c r="AE80" s="39" t="str">
        <x:v>0.2</x:v>
      </x:c>
    </x:row>
    <x:row r="81">
      <x:c r="A81" s="38" t="str">
        <x:v>M3-BASE-077</x:v>
      </x:c>
      <x:c r="B81" s="32" t="str">
        <x:v>余气｜同系统风格修饰</x:v>
      </x:c>
      <x:c r="C81" s="32" t="str">
        <x:v>L8 总合成与边界审查</x:v>
      </x:c>
      <x:c r="D81" s="32" t="str">
        <x:v>BASE-藏干层级</x:v>
      </x:c>
      <x:c r="E81" s="32" t="str">
        <x:v>通用</x:v>
      </x:c>
      <x:c r="F81" s="32" t="str">
        <x:v>去重</x:v>
      </x:c>
      <x:c r="G81" s="32" t="str">
        <x:v>日支余气</x:v>
      </x:c>
      <x:c r="H81" s="32" t="str">
        <x:v>与主中气同系统</x:v>
      </x:c>
      <x:c r="I81" s="32" t="str">
        <x:v>余气与主气或中气属于同一功能系统。</x:v>
      </x:c>
      <x:c r="J81" s="32" t="str">
        <x:v>余气承担明确不同任务并有独立支持。</x:v>
      </x:c>
      <x:c r="K81" s="32" t="str">
        <x:v>不限定；由后续模块修正</x:v>
      </x:c>
      <x:c r="L81" s="32" t="str">
        <x:v>不限定</x:v>
      </x:c>
      <x:c r="M81" s="32" t="str">
        <x:v>日支藏干主中余层级</x:v>
      </x:c>
      <x:c r="N81" s="32" t="str">
        <x:v>无／待后续模块组合</x:v>
      </x:c>
      <x:c r="O81" s="32" t="str">
        <x:v>日支藏干</x:v>
      </x:c>
      <x:c r="P81" s="32" t="str">
        <x:v>由共享基础引擎判定</x:v>
      </x:c>
      <x:c r="Q81" s="32" t="str">
        <x:v>由共享基础引擎判定</x:v>
      </x:c>
      <x:c r="R81" s="32" t="str">
        <x:v>喜忌未定或由共享引擎提供</x:v>
      </x:c>
      <x:c r="S81" s="32" t="str">
        <x:v>原十神性质有效；无真合化或已完成相应路由</x:v>
      </x:c>
      <x:c r="T81" s="32" t="str">
        <x:v>近</x:v>
      </x:c>
      <x:c r="U81" s="32" t="n">
        <x:v>93</x:v>
      </x:c>
      <x:c r="V81" s="32" t="str">
        <x:v>只做正偏风格修饰；不新增模式</x:v>
      </x:c>
      <x:c r="W81" s="32" t="str">
        <x:v>basis_summary</x:v>
      </x:c>
      <x:c r="X81" s="32" t="str">
        <x:v>同系统余气优先用于补充风格词，例如稳定中带灵活、温和中带明确。</x:v>
      </x:c>
      <x:c r="Y81" s="32" t="str">
        <x:v>你的核心相处方向不变，只是在具体表达上可能多一层风格。</x:v>
      </x:c>
      <x:c r="Z81" s="32" t="str">
        <x:v>不得把同系统余气写成第三套相处模式。 本规则只描述关系运行底盘及其主次，不判断风险和结果。</x:v>
      </x:c>
      <x:c r="AA81" s="32" t="str">
        <x:v>中</x:v>
      </x:c>
      <x:c r="AB81" s="32" t="str">
        <x:v>待验证</x:v>
      </x:c>
      <x:c r="AC81" s="32" t="str"/>
      <x:c r="AD81" s="32" t="str">
        <x:v>provisional=true; source_cluster=DAY_BRANCH_HIDDEN_HIERARCHY; interaction_state=平稳基线</x:v>
      </x:c>
      <x:c r="AE81" s="39" t="str">
        <x:v>0.2</x:v>
      </x:c>
    </x:row>
    <x:row r="82">
      <x:c r="A82" s="38" t="str">
        <x:v>M3-BASE-078</x:v>
      </x:c>
      <x:c r="B82" s="32" t="str">
        <x:v>余气｜跨系统潜在备用</x:v>
      </x:c>
      <x:c r="C82" s="32" t="str">
        <x:v>L8 总合成与边界审查</x:v>
      </x:c>
      <x:c r="D82" s="32" t="str">
        <x:v>BASE-藏干层级</x:v>
      </x:c>
      <x:c r="E82" s="32" t="str">
        <x:v>通用</x:v>
      </x:c>
      <x:c r="F82" s="32" t="str">
        <x:v>路由</x:v>
      </x:c>
      <x:c r="G82" s="32" t="str">
        <x:v>日支余气</x:v>
      </x:c>
      <x:c r="H82" s="32" t="str">
        <x:v>不同系统</x:v>
      </x:c>
      <x:c r="I82" s="32" t="str">
        <x:v>余气与主中气不同系统，但支持不足以进入次通道。</x:v>
      </x:c>
      <x:c r="J82" s="32" t="str">
        <x:v>余气真合化、失效或十神未定。</x:v>
      </x:c>
      <x:c r="K82" s="32" t="str">
        <x:v>不限定；由后续模块修正</x:v>
      </x:c>
      <x:c r="L82" s="32" t="str">
        <x:v>不限定</x:v>
      </x:c>
      <x:c r="M82" s="32" t="str">
        <x:v>日支藏干主中余层级</x:v>
      </x:c>
      <x:c r="N82" s="32" t="str">
        <x:v>无／待后续模块组合</x:v>
      </x:c>
      <x:c r="O82" s="32" t="str">
        <x:v>日支藏干</x:v>
      </x:c>
      <x:c r="P82" s="32" t="str">
        <x:v>由共享基础引擎判定</x:v>
      </x:c>
      <x:c r="Q82" s="32" t="str">
        <x:v>由共享基础引擎判定</x:v>
      </x:c>
      <x:c r="R82" s="32" t="str">
        <x:v>喜忌未定或由共享引擎提供</x:v>
      </x:c>
      <x:c r="S82" s="32" t="str">
        <x:v>原十神性质有效；无真合化或已完成相应路由</x:v>
      </x:c>
      <x:c r="T82" s="32" t="str">
        <x:v>近</x:v>
      </x:c>
      <x:c r="U82" s="32" t="n">
        <x:v>82</x:v>
      </x:c>
      <x:c r="V82" s="32" t="str">
        <x:v>保留内部备用；不进入正文</x:v>
      </x:c>
      <x:c r="W82" s="32" t="str">
        <x:v>stress_shift</x:v>
      </x:c>
      <x:c r="X82" s="32" t="str">
        <x:v>跨系统余气可作为后续STATE模块的压力或恢复备用通道候选，但BASE不直接输出。</x:v>
      </x:c>
      <x:c r="Y82" s="32" t="str">
        <x:v>在少数特定情境中，你可能会启用另一种处理方式；目前证据不足以把它写成稳定习惯。</x:v>
      </x:c>
      <x:c r="Z82" s="32" t="str">
        <x:v>不得把潜在备用写成已经发生的压力反应。 本规则只描述关系运行底盘及其主次，不判断风险和结果。</x:v>
      </x:c>
      <x:c r="AA82" s="32" t="str">
        <x:v>低</x:v>
      </x:c>
      <x:c r="AB82" s="32" t="str">
        <x:v>待验证</x:v>
      </x:c>
      <x:c r="AC82" s="32" t="str"/>
      <x:c r="AD82" s="32" t="str">
        <x:v>provisional=true; source_cluster=DAY_BRANCH_HIDDEN_HIERARCHY; interaction_state=平稳基线</x:v>
      </x:c>
      <x:c r="AE82" s="39" t="str">
        <x:v>0.2</x:v>
      </x:c>
    </x:row>
    <x:row r="83">
      <x:c r="A83" s="38" t="str">
        <x:v>M3-BASE-079</x:v>
      </x:c>
      <x:c r="B83" s="32" t="str">
        <x:v>余气｜升级需双重支持</x:v>
      </x:c>
      <x:c r="C83" s="32" t="str">
        <x:v>L1 关系运行底盘</x:v>
      </x:c>
      <x:c r="D83" s="32" t="str">
        <x:v>BASE-藏干层级</x:v>
      </x:c>
      <x:c r="E83" s="32" t="str">
        <x:v>通用</x:v>
      </x:c>
      <x:c r="F83" s="32" t="str">
        <x:v>门控</x:v>
      </x:c>
      <x:c r="G83" s="32" t="str">
        <x:v>日支余气</x:v>
      </x:c>
      <x:c r="H83" s="32" t="str">
        <x:v>两项独立支持</x:v>
      </x:c>
      <x:c r="I83" s="32" t="str">
        <x:v>余气获得至少两类独立证据，例如透出与独立根气；同源去重完成。</x:v>
      </x:c>
      <x:c r="J83" s="32" t="str">
        <x:v>两项支持实际同源；主气和中气均更强且功能重叠。</x:v>
      </x:c>
      <x:c r="K83" s="32" t="str">
        <x:v>不限定；由后续模块修正</x:v>
      </x:c>
      <x:c r="L83" s="32" t="str">
        <x:v>不限定</x:v>
      </x:c>
      <x:c r="M83" s="32" t="str">
        <x:v>日支藏干主中余层级</x:v>
      </x:c>
      <x:c r="N83" s="32" t="str">
        <x:v>无／待后续模块组合</x:v>
      </x:c>
      <x:c r="O83" s="32" t="str">
        <x:v>日支藏干</x:v>
      </x:c>
      <x:c r="P83" s="32" t="str">
        <x:v>由共享基础引擎判定</x:v>
      </x:c>
      <x:c r="Q83" s="32" t="str">
        <x:v>由共享基础引擎判定</x:v>
      </x:c>
      <x:c r="R83" s="32" t="str">
        <x:v>喜忌未定或由共享引擎提供</x:v>
      </x:c>
      <x:c r="S83" s="32" t="str">
        <x:v>原十神性质有效；无真合化或已完成相应路由</x:v>
      </x:c>
      <x:c r="T83" s="32" t="str">
        <x:v>近</x:v>
      </x:c>
      <x:c r="U83" s="32" t="n">
        <x:v>93</x:v>
      </x:c>
      <x:c r="V83" s="32" t="str">
        <x:v>可升级为次通道；封顶不超过主气</x:v>
      </x:c>
      <x:c r="W83" s="32" t="str">
        <x:v>secondary_baseline</x:v>
      </x:c>
      <x:c r="X83" s="32" t="str">
        <x:v>余气只有在证据明显加强时才可进入正式次通道，避免过度解读藏干细节。</x:v>
      </x:c>
      <x:c r="Y83" s="32" t="str">
        <x:v>当这项潜在方式在其他位置也得到反复支持时，才适合把它作为稳定补充写进分析。</x:v>
      </x:c>
      <x:c r="Z83" s="32" t="str">
        <x:v>不得跳过主次比较。 本规则只描述关系运行底盘及其主次，不判断风险和结果。</x:v>
      </x:c>
      <x:c r="AA83" s="32" t="str">
        <x:v>中</x:v>
      </x:c>
      <x:c r="AB83" s="32" t="str">
        <x:v>待验证</x:v>
      </x:c>
      <x:c r="AC83" s="32" t="str"/>
      <x:c r="AD83" s="32" t="str">
        <x:v>provisional=true; source_cluster=DAY_BRANCH_HIDDEN_HIERARCHY; interaction_state=平稳基线</x:v>
      </x:c>
      <x:c r="AE83" s="39" t="str">
        <x:v>0.2</x:v>
      </x:c>
    </x:row>
    <x:row r="84">
      <x:c r="A84" s="38" t="str">
        <x:v>M3-BASE-080</x:v>
      </x:c>
      <x:c r="B84" s="32" t="str">
        <x:v>单一藏干｜底盘清晰候选</x:v>
      </x:c>
      <x:c r="C84" s="32" t="str">
        <x:v>L8 总合成与边界审查</x:v>
      </x:c>
      <x:c r="D84" s="32" t="str">
        <x:v>BASE-藏干层级</x:v>
      </x:c>
      <x:c r="E84" s="32" t="str">
        <x:v>通用</x:v>
      </x:c>
      <x:c r="F84" s="32" t="str">
        <x:v>修正</x:v>
      </x:c>
      <x:c r="G84" s="32" t="str">
        <x:v>日支单一藏干</x:v>
      </x:c>
      <x:c r="H84" s="32" t="str"/>
      <x:c r="I84" s="32" t="str">
        <x:v>日支仅有一个藏干；该十神性质有效；无重大合化争议。</x:v>
      </x:c>
      <x:c r="J84" s="32" t="str">
        <x:v>单一藏干极弱或被真合化；基础引擎置信度不足。</x:v>
      </x:c>
      <x:c r="K84" s="32" t="str">
        <x:v>不限定；由后续模块修正</x:v>
      </x:c>
      <x:c r="L84" s="32" t="str">
        <x:v>不限定</x:v>
      </x:c>
      <x:c r="M84" s="32" t="str">
        <x:v>日支藏干主中余层级</x:v>
      </x:c>
      <x:c r="N84" s="32" t="str">
        <x:v>无／待后续模块组合</x:v>
      </x:c>
      <x:c r="O84" s="32" t="str">
        <x:v>日支藏干</x:v>
      </x:c>
      <x:c r="P84" s="32" t="str">
        <x:v>由共享基础引擎判定</x:v>
      </x:c>
      <x:c r="Q84" s="32" t="str">
        <x:v>由共享基础引擎判定</x:v>
      </x:c>
      <x:c r="R84" s="32" t="str">
        <x:v>喜忌未定或由共享引擎提供</x:v>
      </x:c>
      <x:c r="S84" s="32" t="str">
        <x:v>原十神性质有效；无真合化或已完成相应路由</x:v>
      </x:c>
      <x:c r="T84" s="32" t="str">
        <x:v>近</x:v>
      </x:c>
      <x:c r="U84" s="32" t="n">
        <x:v>82</x:v>
      </x:c>
      <x:c r="V84" s="32" t="str">
        <x:v>清晰度+8；不等于固定度</x:v>
      </x:c>
      <x:c r="W84" s="32" t="str">
        <x:v>confidence</x:v>
      </x:c>
      <x:c r="X84" s="32" t="str">
        <x:v>单一藏干减少日支内部主次歧义，可提高底盘识别清晰度，但不代表行为僵化或终生不变。</x:v>
      </x:c>
      <x:c r="Y84" s="32" t="str">
        <x:v>你的关系底盘相对容易识别，核心主题通常较集中。</x:v>
      </x:c>
      <x:c r="Z84" s="32" t="str">
        <x:v>不得推出用户相处方式单一、缺乏弹性或不会变化。 本规则只描述关系运行底盘及其主次，不判断风险和结果。</x:v>
      </x:c>
      <x:c r="AA84" s="32" t="str">
        <x:v>中高</x:v>
      </x:c>
      <x:c r="AB84" s="32" t="str">
        <x:v>待验证</x:v>
      </x:c>
      <x:c r="AC84" s="32" t="str"/>
      <x:c r="AD84" s="32" t="str">
        <x:v>provisional=true; source_cluster=DAY_BRANCH_HIDDEN_HIERARCHY; interaction_state=平稳基线</x:v>
      </x:c>
      <x:c r="AE84" s="39" t="str">
        <x:v>0.2</x:v>
      </x:c>
    </x:row>
    <x:row r="85">
      <x:c r="A85" s="38" t="str">
        <x:v>M3-BASE-081</x:v>
      </x:c>
      <x:c r="B85" s="32" t="str">
        <x:v>多藏干｜不得等同关系复杂</x:v>
      </x:c>
      <x:c r="C85" s="32" t="str">
        <x:v>L8 总合成与边界审查</x:v>
      </x:c>
      <x:c r="D85" s="32" t="str">
        <x:v>BASE-藏干层级</x:v>
      </x:c>
      <x:c r="E85" s="32" t="str">
        <x:v>通用</x:v>
      </x:c>
      <x:c r="F85" s="32" t="str">
        <x:v>门控</x:v>
      </x:c>
      <x:c r="G85" s="32" t="str">
        <x:v>日支多藏干</x:v>
      </x:c>
      <x:c r="H85" s="32" t="str"/>
      <x:c r="I85" s="32" t="str">
        <x:v>日支含两个或三个藏干。</x:v>
      </x:c>
      <x:c r="J85" s="32" t="str">
        <x:v>无。</x:v>
      </x:c>
      <x:c r="K85" s="32" t="str">
        <x:v>不限定；由后续模块修正</x:v>
      </x:c>
      <x:c r="L85" s="32" t="str">
        <x:v>不限定</x:v>
      </x:c>
      <x:c r="M85" s="32" t="str">
        <x:v>日支藏干主中余层级</x:v>
      </x:c>
      <x:c r="N85" s="32" t="str">
        <x:v>无／待后续模块组合</x:v>
      </x:c>
      <x:c r="O85" s="32" t="str">
        <x:v>日支藏干</x:v>
      </x:c>
      <x:c r="P85" s="32" t="str">
        <x:v>由共享基础引擎判定</x:v>
      </x:c>
      <x:c r="Q85" s="32" t="str">
        <x:v>由共享基础引擎判定</x:v>
      </x:c>
      <x:c r="R85" s="32" t="str">
        <x:v>喜忌未定或由共享引擎提供</x:v>
      </x:c>
      <x:c r="S85" s="32" t="str">
        <x:v>原十神性质有效；无真合化或已完成相应路由</x:v>
      </x:c>
      <x:c r="T85" s="32" t="str">
        <x:v>近</x:v>
      </x:c>
      <x:c r="U85" s="32" t="n">
        <x:v>93</x:v>
      </x:c>
      <x:c r="V85" s="32" t="str">
        <x:v>不加复杂度；按主中余分层</x:v>
      </x:c>
      <x:c r="W85" s="32" t="str">
        <x:v>boundary_note</x:v>
      </x:c>
      <x:c r="X85" s="32" t="str">
        <x:v>多个藏干只说明关系底盘存在层次，必须按层级和有效性处理。</x:v>
      </x:c>
      <x:c r="Y85" s="32" t="str">
        <x:v>你的关系互动可能有主次层次，但这不等于感情复杂或关系不稳定。</x:v>
      </x:c>
      <x:c r="Z85" s="32" t="str">
        <x:v>不得推出多段关系、多对象、情绪多变或婚姻问题。 本规则只描述关系运行底盘及其主次，不判断风险和结果。</x:v>
      </x:c>
      <x:c r="AA85" s="32" t="str">
        <x:v>高</x:v>
      </x:c>
      <x:c r="AB85" s="32" t="str">
        <x:v>待验证</x:v>
      </x:c>
      <x:c r="AC85" s="32" t="str"/>
      <x:c r="AD85" s="32" t="str">
        <x:v>provisional=true; source_cluster=DAY_BRANCH_HIDDEN_HIERARCHY; interaction_state=平稳基线</x:v>
      </x:c>
      <x:c r="AE85" s="39" t="str">
        <x:v>0.2</x:v>
      </x:c>
    </x:row>
    <x:row r="86">
      <x:c r="A86" s="38" t="str">
        <x:v>M3-BASE-082</x:v>
      </x:c>
      <x:c r="B86" s="32" t="str">
        <x:v>主中同系统｜系统收敛</x:v>
      </x:c>
      <x:c r="C86" s="32" t="str">
        <x:v>L1 关系运行底盘</x:v>
      </x:c>
      <x:c r="D86" s="32" t="str">
        <x:v>BASE-藏干层级</x:v>
      </x:c>
      <x:c r="E86" s="32" t="str">
        <x:v>通用</x:v>
      </x:c>
      <x:c r="F86" s="32" t="str">
        <x:v>去重</x:v>
      </x:c>
      <x:c r="G86" s="32" t="str">
        <x:v>主气＋中气</x:v>
      </x:c>
      <x:c r="H86" s="32" t="str">
        <x:v>同一五系统</x:v>
      </x:c>
      <x:c r="I86" s="32" t="str">
        <x:v>主气与中气均有效且属于同一五系统。</x:v>
      </x:c>
      <x:c r="J86" s="32" t="str">
        <x:v>两者有明确跨任务分工并得到独立证据。</x:v>
      </x:c>
      <x:c r="K86" s="32" t="str">
        <x:v>不限定；由后续模块修正</x:v>
      </x:c>
      <x:c r="L86" s="32" t="str">
        <x:v>不限定</x:v>
      </x:c>
      <x:c r="M86" s="32" t="str">
        <x:v>日支藏干主中余层级</x:v>
      </x:c>
      <x:c r="N86" s="32" t="str">
        <x:v>无／待后续模块组合</x:v>
      </x:c>
      <x:c r="O86" s="32" t="str">
        <x:v>日支藏干</x:v>
      </x:c>
      <x:c r="P86" s="32" t="str">
        <x:v>由共享基础引擎判定</x:v>
      </x:c>
      <x:c r="Q86" s="32" t="str">
        <x:v>由共享基础引擎判定</x:v>
      </x:c>
      <x:c r="R86" s="32" t="str">
        <x:v>喜忌未定或由共享引擎提供</x:v>
      </x:c>
      <x:c r="S86" s="32" t="str">
        <x:v>原十神性质有效；无真合化或已完成相应路由</x:v>
      </x:c>
      <x:c r="T86" s="32" t="str">
        <x:v>近</x:v>
      </x:c>
      <x:c r="U86" s="32" t="n">
        <x:v>93</x:v>
      </x:c>
      <x:c r="V86" s="32" t="str">
        <x:v>系统分数封顶；正偏风格并存</x:v>
      </x:c>
      <x:c r="W86" s="32" t="str">
        <x:v>relationship_baseline</x:v>
      </x:c>
      <x:c r="X86" s="32" t="str">
        <x:v>例如食神与伤官都属于表达系统，应先收敛为表达交流底盘，再说明温和与明确的风格比例。</x:v>
      </x:c>
      <x:c r="Y86" s="32" t="str">
        <x:v>你的核心互动方向较一致，只是同一方向里同时存在不同表达风格。</x:v>
      </x:c>
      <x:c r="Z86" s="32" t="str">
        <x:v>不得输出两个同义主模式。 本规则只描述关系运行底盘及其主次，不判断风险和结果。</x:v>
      </x:c>
      <x:c r="AA86" s="32" t="str">
        <x:v>中高</x:v>
      </x:c>
      <x:c r="AB86" s="32" t="str">
        <x:v>待验证</x:v>
      </x:c>
      <x:c r="AC86" s="32" t="str"/>
      <x:c r="AD86" s="32" t="str">
        <x:v>provisional=true; source_cluster=DAY_BRANCH_HIDDEN_HIERARCHY; interaction_state=平稳基线</x:v>
      </x:c>
      <x:c r="AE86" s="39" t="str">
        <x:v>0.2</x:v>
      </x:c>
    </x:row>
    <x:row r="87">
      <x:c r="A87" s="38" t="str">
        <x:v>M3-BASE-083</x:v>
      </x:c>
      <x:c r="B87" s="32" t="str">
        <x:v>主中跨系统｜主次分层</x:v>
      </x:c>
      <x:c r="C87" s="32" t="str">
        <x:v>L1 关系运行底盘</x:v>
      </x:c>
      <x:c r="D87" s="32" t="str">
        <x:v>BASE-藏干层级</x:v>
      </x:c>
      <x:c r="E87" s="32" t="str">
        <x:v>通用</x:v>
      </x:c>
      <x:c r="F87" s="32" t="str">
        <x:v>组合</x:v>
      </x:c>
      <x:c r="G87" s="32" t="str">
        <x:v>主气＋中气</x:v>
      </x:c>
      <x:c r="H87" s="32" t="str">
        <x:v>不同五系统</x:v>
      </x:c>
      <x:c r="I87" s="32" t="str">
        <x:v>主气、中气均有效；主气仍明显领先。</x:v>
      </x:c>
      <x:c r="J87" s="32" t="str">
        <x:v>中气获得足够支持达到双通道门槛。</x:v>
      </x:c>
      <x:c r="K87" s="32" t="str">
        <x:v>不限定；由后续模块修正</x:v>
      </x:c>
      <x:c r="L87" s="32" t="str">
        <x:v>不限定</x:v>
      </x:c>
      <x:c r="M87" s="32" t="str">
        <x:v>日支藏干主中余层级</x:v>
      </x:c>
      <x:c r="N87" s="32" t="str">
        <x:v>无／待后续模块组合</x:v>
      </x:c>
      <x:c r="O87" s="32" t="str">
        <x:v>日支藏干</x:v>
      </x:c>
      <x:c r="P87" s="32" t="str">
        <x:v>由共享基础引擎判定</x:v>
      </x:c>
      <x:c r="Q87" s="32" t="str">
        <x:v>由共享基础引擎判定</x:v>
      </x:c>
      <x:c r="R87" s="32" t="str">
        <x:v>喜忌未定或由共享引擎提供</x:v>
      </x:c>
      <x:c r="S87" s="32" t="str">
        <x:v>原十神性质有效；无真合化或已完成相应路由</x:v>
      </x:c>
      <x:c r="T87" s="32" t="str">
        <x:v>近</x:v>
      </x:c>
      <x:c r="U87" s="32" t="n">
        <x:v>82</x:v>
      </x:c>
      <x:c r="V87" s="32" t="str">
        <x:v>主气为核心；中气为次通道</x:v>
      </x:c>
      <x:c r="W87" s="32" t="str">
        <x:v>interaction_pattern</x:v>
      </x:c>
      <x:c r="X87" s="32" t="str">
        <x:v>跨系统但分差清楚时，应写成主次，而不是平铺两种人格。</x:v>
      </x:c>
      <x:c r="Y87" s="32" t="str">
        <x:v>你的相处方式有明确主轴，另一套方式更多在特定任务或深入相处时补充。</x:v>
      </x:c>
      <x:c r="Z87" s="32" t="str">
        <x:v>不得使用“既……又……”堆积无主次标签。 本规则只描述关系运行底盘及其主次，不判断风险和结果。</x:v>
      </x:c>
      <x:c r="AA87" s="32" t="str">
        <x:v>中</x:v>
      </x:c>
      <x:c r="AB87" s="32" t="str">
        <x:v>待验证</x:v>
      </x:c>
      <x:c r="AC87" s="32" t="str"/>
      <x:c r="AD87" s="32" t="str">
        <x:v>provisional=true; source_cluster=DAY_BRANCH_HIDDEN_HIERARCHY; interaction_state=平稳基线</x:v>
      </x:c>
      <x:c r="AE87" s="39" t="str">
        <x:v>0.2</x:v>
      </x:c>
    </x:row>
    <x:row r="88">
      <x:c r="A88" s="38" t="str">
        <x:v>M3-BASE-084</x:v>
      </x:c>
      <x:c r="B88" s="32" t="str">
        <x:v>主中跨系统｜双通道候选</x:v>
      </x:c>
      <x:c r="C88" s="32" t="str">
        <x:v>L1 关系运行底盘</x:v>
      </x:c>
      <x:c r="D88" s="32" t="str">
        <x:v>BASE-藏干层级</x:v>
      </x:c>
      <x:c r="E88" s="32" t="str">
        <x:v>通用</x:v>
      </x:c>
      <x:c r="F88" s="32" t="str">
        <x:v>组合</x:v>
      </x:c>
      <x:c r="G88" s="32" t="str">
        <x:v>主气＋中气</x:v>
      </x:c>
      <x:c r="H88" s="32" t="str">
        <x:v>独立强支持</x:v>
      </x:c>
      <x:c r="I88" s="32" t="str">
        <x:v>主气、中气均有效；功能不同；分差较小；两者各有独立支持。</x:v>
      </x:c>
      <x:c r="J88" s="32" t="str">
        <x:v>证据同源；一方仅为弱远；状态关系无法说明。</x:v>
      </x:c>
      <x:c r="K88" s="32" t="str">
        <x:v>不限定；由后续模块修正</x:v>
      </x:c>
      <x:c r="L88" s="32" t="str">
        <x:v>不限定</x:v>
      </x:c>
      <x:c r="M88" s="32" t="str">
        <x:v>日支藏干主中余层级</x:v>
      </x:c>
      <x:c r="N88" s="32" t="str">
        <x:v>无／待后续模块组合</x:v>
      </x:c>
      <x:c r="O88" s="32" t="str">
        <x:v>日支藏干</x:v>
      </x:c>
      <x:c r="P88" s="32" t="str">
        <x:v>由共享基础引擎判定</x:v>
      </x:c>
      <x:c r="Q88" s="32" t="str">
        <x:v>由共享基础引擎判定</x:v>
      </x:c>
      <x:c r="R88" s="32" t="str">
        <x:v>喜忌未定或由共享引擎提供</x:v>
      </x:c>
      <x:c r="S88" s="32" t="str">
        <x:v>原十神性质有效；无真合化或已完成相应路由</x:v>
      </x:c>
      <x:c r="T88" s="32" t="str">
        <x:v>近</x:v>
      </x:c>
      <x:c r="U88" s="32" t="n">
        <x:v>82</x:v>
      </x:c>
      <x:c r="V88" s="32" t="str">
        <x:v>P11候选；转STATE确定先后／场景</x:v>
      </x:c>
      <x:c r="W88" s="32" t="str">
        <x:v>interaction_pattern</x:v>
      </x:c>
      <x:c r="X88" s="32" t="str">
        <x:v>两套系统若都具独立证据且功能不同，可成为双通道候选，但必须说明分工。</x:v>
      </x:c>
      <x:c r="Y88" s="32" t="str">
        <x:v>你可能会在不同关系任务中稳定使用两套方式，而不是所有时候都按同一节奏处理。</x:v>
      </x:c>
      <x:c r="Z88" s="32" t="str">
        <x:v>不得在未确定分工时输出两项都为核心。 本规则只描述关系运行底盘及其主次，不判断风险和结果。</x:v>
      </x:c>
      <x:c r="AA88" s="32" t="str">
        <x:v>中</x:v>
      </x:c>
      <x:c r="AB88" s="32" t="str">
        <x:v>待验证</x:v>
      </x:c>
      <x:c r="AC88" s="32" t="str"/>
      <x:c r="AD88" s="32" t="str">
        <x:v>provisional=true; source_cluster=DAY_BRANCH_HIDDEN_HIERARCHY; interaction_state=平稳基线</x:v>
      </x:c>
      <x:c r="AE88" s="39" t="str">
        <x:v>0.2</x:v>
      </x:c>
    </x:row>
    <x:row r="89">
      <x:c r="A89" s="38" t="str">
        <x:v>M3-BASE-085</x:v>
      </x:c>
      <x:c r="B89" s="32" t="str">
        <x:v>主中余｜正文数量上限</x:v>
      </x:c>
      <x:c r="C89" s="32" t="str">
        <x:v>L8 总合成与边界审查</x:v>
      </x:c>
      <x:c r="D89" s="32" t="str">
        <x:v>BASE-藏干层级</x:v>
      </x:c>
      <x:c r="E89" s="32" t="str">
        <x:v>通用</x:v>
      </x:c>
      <x:c r="F89" s="32" t="str">
        <x:v>门控</x:v>
      </x:c>
      <x:c r="G89" s="32" t="str">
        <x:v>主气＋中气＋余气</x:v>
      </x:c>
      <x:c r="H89" s="32" t="str"/>
      <x:c r="I89" s="32" t="str">
        <x:v>日支存在三层藏干且多项信号有效。</x:v>
      </x:c>
      <x:c r="J89" s="32" t="str">
        <x:v>无。</x:v>
      </x:c>
      <x:c r="K89" s="32" t="str">
        <x:v>不限定；由后续模块修正</x:v>
      </x:c>
      <x:c r="L89" s="32" t="str">
        <x:v>不限定</x:v>
      </x:c>
      <x:c r="M89" s="32" t="str">
        <x:v>日支藏干主中余层级</x:v>
      </x:c>
      <x:c r="N89" s="32" t="str">
        <x:v>无／待后续模块组合</x:v>
      </x:c>
      <x:c r="O89" s="32" t="str">
        <x:v>日支藏干</x:v>
      </x:c>
      <x:c r="P89" s="32" t="str">
        <x:v>由共享基础引擎判定</x:v>
      </x:c>
      <x:c r="Q89" s="32" t="str">
        <x:v>由共享基础引擎判定</x:v>
      </x:c>
      <x:c r="R89" s="32" t="str">
        <x:v>喜忌未定或由共享引擎提供</x:v>
      </x:c>
      <x:c r="S89" s="32" t="str">
        <x:v>原十神性质有效；无真合化或已完成相应路由</x:v>
      </x:c>
      <x:c r="T89" s="32" t="str">
        <x:v>近</x:v>
      </x:c>
      <x:c r="U89" s="32" t="n">
        <x:v>93</x:v>
      </x:c>
      <x:c r="V89" s="32" t="str">
        <x:v>最终正文最多1主＋1次；余气进入内部日志</x:v>
      </x:c>
      <x:c r="W89" s="32" t="str">
        <x:v>output_limit</x:v>
      </x:c>
      <x:c r="X89" s="32" t="str">
        <x:v>用户正文需要可读性与辨识度；第三项及以后只保留在依据或候选日志。</x:v>
      </x:c>
      <x:c r="Y89" s="32" t="str">
        <x:v>最终分析会优先保留一个核心底盘和一个真正有作用的补充方式。</x:v>
      </x:c>
      <x:c r="Z89" s="32" t="str">
        <x:v>不得把所有藏干逐条翻译成万能画像。 本规则只描述关系运行底盘及其主次，不判断风险和结果。</x:v>
      </x:c>
      <x:c r="AA89" s="32" t="str">
        <x:v>高</x:v>
      </x:c>
      <x:c r="AB89" s="32" t="str">
        <x:v>待验证</x:v>
      </x:c>
      <x:c r="AC89" s="32" t="str"/>
      <x:c r="AD89" s="32" t="str">
        <x:v>provisional=true; source_cluster=DAY_BRANCH_HIDDEN_HIERARCHY; interaction_state=平稳基线</x:v>
      </x:c>
      <x:c r="AE89" s="39" t="str">
        <x:v>0.2</x:v>
      </x:c>
    </x:row>
    <x:row r="90">
      <x:c r="A90" s="38" t="str">
        <x:v>M3-BASE-086</x:v>
      </x:c>
      <x:c r="B90" s="32" t="str">
        <x:v>主气不定｜降低置信或停止</x:v>
      </x:c>
      <x:c r="C90" s="32" t="str">
        <x:v>L1 关系运行底盘</x:v>
      </x:c>
      <x:c r="D90" s="32" t="str">
        <x:v>BASE-藏干层级</x:v>
      </x:c>
      <x:c r="E90" s="32" t="str">
        <x:v>通用</x:v>
      </x:c>
      <x:c r="F90" s="32" t="str">
        <x:v>停止</x:v>
      </x:c>
      <x:c r="G90" s="32" t="str">
        <x:v>日支主气</x:v>
      </x:c>
      <x:c r="H90" s="32" t="str">
        <x:v>争议</x:v>
      </x:c>
      <x:c r="I90" s="32" t="str">
        <x:v>共享引擎无法可靠判定主气、藏干层级或日支状态。</x:v>
      </x:c>
      <x:c r="J90" s="32" t="str">
        <x:v>仅是中气强弱轻微分歧但主气明确。</x:v>
      </x:c>
      <x:c r="K90" s="32" t="str">
        <x:v>不限定；由后续模块修正</x:v>
      </x:c>
      <x:c r="L90" s="32" t="str">
        <x:v>不限定</x:v>
      </x:c>
      <x:c r="M90" s="32" t="str">
        <x:v>日支藏干主中余层级</x:v>
      </x:c>
      <x:c r="N90" s="32" t="str">
        <x:v>无／待后续模块组合</x:v>
      </x:c>
      <x:c r="O90" s="32" t="str">
        <x:v>日支藏干</x:v>
      </x:c>
      <x:c r="P90" s="32" t="str">
        <x:v>由共享基础引擎判定</x:v>
      </x:c>
      <x:c r="Q90" s="32" t="str">
        <x:v>由共享基础引擎判定</x:v>
      </x:c>
      <x:c r="R90" s="32" t="str">
        <x:v>喜忌未定或由共享引擎提供</x:v>
      </x:c>
      <x:c r="S90" s="32" t="str">
        <x:v>原十神性质有效；无真合化或已完成相应路由</x:v>
      </x:c>
      <x:c r="T90" s="32" t="str">
        <x:v>近</x:v>
      </x:c>
      <x:c r="U90" s="32" t="n">
        <x:v>93</x:v>
      </x:c>
      <x:c r="V90" s="32" t="str">
        <x:v>relationship_baseline停止；仅输出信息不足</x:v>
      </x:c>
      <x:c r="W90" s="32" t="str">
        <x:v>relationship_baseline</x:v>
      </x:c>
      <x:c r="X90" s="32" t="str">
        <x:v>主气是BASE的最高权威输入；主气未定时继续生成确定底盘会形成伪精确。</x:v>
      </x:c>
      <x:c r="Y90" s="32" t="str">
        <x:v>目前日支主次或状态仍有争议，不宜把你的相处方式固定为某一种底盘。</x:v>
      </x:c>
      <x:c r="Z90" s="32" t="str">
        <x:v>不得用全局最旺十神强行替代日支主气。 本规则只描述关系运行底盘及其主次，不判断风险和结果。</x:v>
      </x:c>
      <x:c r="AA90" s="32" t="str">
        <x:v>停止</x:v>
      </x:c>
      <x:c r="AB90" s="32" t="str">
        <x:v>待验证</x:v>
      </x:c>
      <x:c r="AC90" s="32" t="str"/>
      <x:c r="AD90" s="32" t="str">
        <x:v>provisional=true; source_cluster=DAY_BRANCH_HIDDEN_HIERARCHY; interaction_state=平稳基线</x:v>
      </x:c>
      <x:c r="AE90" s="39" t="str">
        <x:v>0.2</x:v>
      </x:c>
    </x:row>
    <x:row r="91">
      <x:c r="A91" s="38" t="str">
        <x:v>M3-BASE-087</x:v>
      </x:c>
      <x:c r="B91" s="32" t="str">
        <x:v>藏干层级｜共享引擎权威</x:v>
      </x:c>
      <x:c r="C91" s="32" t="str">
        <x:v>L8 总合成与边界审查</x:v>
      </x:c>
      <x:c r="D91" s="32" t="str">
        <x:v>BASE-藏干层级</x:v>
      </x:c>
      <x:c r="E91" s="32" t="str">
        <x:v>通用</x:v>
      </x:c>
      <x:c r="F91" s="32" t="str">
        <x:v>门控</x:v>
      </x:c>
      <x:c r="G91" s="32" t="str">
        <x:v>主中余层级</x:v>
      </x:c>
      <x:c r="H91" s="32" t="str"/>
      <x:c r="I91" s="32" t="str">
        <x:v>调用共享基础命理引擎的藏干主次结果。</x:v>
      </x:c>
      <x:c r="J91" s="32" t="str">
        <x:v>人工临时按喜好重排藏干层级。</x:v>
      </x:c>
      <x:c r="K91" s="32" t="str">
        <x:v>不限定；由后续模块修正</x:v>
      </x:c>
      <x:c r="L91" s="32" t="str">
        <x:v>不限定</x:v>
      </x:c>
      <x:c r="M91" s="32" t="str">
        <x:v>日支藏干主中余层级</x:v>
      </x:c>
      <x:c r="N91" s="32" t="str">
        <x:v>无／待后续模块组合</x:v>
      </x:c>
      <x:c r="O91" s="32" t="str">
        <x:v>日支藏干</x:v>
      </x:c>
      <x:c r="P91" s="32" t="str">
        <x:v>由共享基础引擎判定</x:v>
      </x:c>
      <x:c r="Q91" s="32" t="str">
        <x:v>由共享基础引擎判定</x:v>
      </x:c>
      <x:c r="R91" s="32" t="str">
        <x:v>喜忌未定或由共享引擎提供</x:v>
      </x:c>
      <x:c r="S91" s="32" t="str">
        <x:v>原十神性质有效；无真合化或已完成相应路由</x:v>
      </x:c>
      <x:c r="T91" s="32" t="str">
        <x:v>近</x:v>
      </x:c>
      <x:c r="U91" s="32" t="n">
        <x:v>93</x:v>
      </x:c>
      <x:c r="V91" s="32" t="str">
        <x:v>层级字段只读</x:v>
      </x:c>
      <x:c r="W91" s="32" t="str">
        <x:v>provenance</x:v>
      </x:c>
      <x:c r="X91" s="32" t="str">
        <x:v>M3不自行重新决定藏干排序，避免模型之间使用不同基础事实。</x:v>
      </x:c>
      <x:c r="Y91" s="32" t="str">
        <x:v>这一部分沿用统一的藏干层级判断，不在模型三中另行改动。</x:v>
      </x:c>
      <x:c r="Z91" s="32" t="str">
        <x:v>不得为迎合案例反馈随意改写主中余层级。 本规则只描述关系运行底盘及其主次，不判断风险和结果。</x:v>
      </x:c>
      <x:c r="AA91" s="32" t="str">
        <x:v>高</x:v>
      </x:c>
      <x:c r="AB91" s="32" t="str">
        <x:v>待验证</x:v>
      </x:c>
      <x:c r="AC91" s="32" t="str"/>
      <x:c r="AD91" s="32" t="str">
        <x:v>provisional=true; source_cluster=DAY_BRANCH_HIDDEN_HIERARCHY; interaction_state=平稳基线</x:v>
      </x:c>
      <x:c r="AE91" s="39" t="str">
        <x:v>0.2</x:v>
      </x:c>
    </x:row>
    <x:row r="92">
      <x:c r="A92" s="38" t="str">
        <x:v>M3-BASE-088</x:v>
      </x:c>
      <x:c r="B92" s="32" t="str">
        <x:v>藏干与透干｜证据簇去重</x:v>
      </x:c>
      <x:c r="C92" s="32" t="str">
        <x:v>L8 总合成与边界审查</x:v>
      </x:c>
      <x:c r="D92" s="32" t="str">
        <x:v>BASE-藏干层级</x:v>
      </x:c>
      <x:c r="E92" s="32" t="str">
        <x:v>通用</x:v>
      </x:c>
      <x:c r="F92" s="32" t="str">
        <x:v>去重</x:v>
      </x:c>
      <x:c r="G92" s="32" t="str">
        <x:v>日支藏干</x:v>
      </x:c>
      <x:c r="H92" s="32" t="str">
        <x:v>同类透干</x:v>
      </x:c>
      <x:c r="I92" s="32" t="str">
        <x:v>同类天干以日支藏干为根，或二者属于同一结构链。</x:v>
      </x:c>
      <x:c r="J92" s="32" t="str">
        <x:v>透干另有独立根气且功能证据可分离。</x:v>
      </x:c>
      <x:c r="K92" s="32" t="str">
        <x:v>不限定；由后续模块修正</x:v>
      </x:c>
      <x:c r="L92" s="32" t="str">
        <x:v>不限定</x:v>
      </x:c>
      <x:c r="M92" s="32" t="str">
        <x:v>日支藏干主中余层级</x:v>
      </x:c>
      <x:c r="N92" s="32" t="str">
        <x:v>无／待后续模块组合</x:v>
      </x:c>
      <x:c r="O92" s="32" t="str">
        <x:v>日支藏干</x:v>
      </x:c>
      <x:c r="P92" s="32" t="str">
        <x:v>由共享基础引擎判定</x:v>
      </x:c>
      <x:c r="Q92" s="32" t="str">
        <x:v>由共享基础引擎判定</x:v>
      </x:c>
      <x:c r="R92" s="32" t="str">
        <x:v>喜忌未定或由共享引擎提供</x:v>
      </x:c>
      <x:c r="S92" s="32" t="str">
        <x:v>原十神性质有效；无真合化或已完成相应路由</x:v>
      </x:c>
      <x:c r="T92" s="32" t="str">
        <x:v>近</x:v>
      </x:c>
      <x:c r="U92" s="32" t="n">
        <x:v>93</x:v>
      </x:c>
      <x:c r="V92" s="32" t="str">
        <x:v>一个source_cluster一次基础权重；透干只加外显修正</x:v>
      </x:c>
      <x:c r="W92" s="32" t="str">
        <x:v>dedup_log</x:v>
      </x:c>
      <x:c r="X92" s="32" t="str">
        <x:v>藏干提供根，透干提供可见性，二者通常是同一信号的内外两面。</x:v>
      </x:c>
      <x:c r="Y92" s="32" t="str">
        <x:v>这项信号会被解释为更容易显现，但不会被重复计算成两套相处模式。</x:v>
      </x:c>
      <x:c r="Z92" s="32" t="str">
        <x:v>不得用“藏＋透”虚增独立证据数量。 本规则只描述关系运行底盘及其主次，不判断风险和结果。</x:v>
      </x:c>
      <x:c r="AA92" s="32" t="str">
        <x:v>高</x:v>
      </x:c>
      <x:c r="AB92" s="32" t="str">
        <x:v>待验证</x:v>
      </x:c>
      <x:c r="AC92" s="32" t="str"/>
      <x:c r="AD92" s="32" t="str">
        <x:v>provisional=true; source_cluster=DAY_BRANCH_HIDDEN_HIERARCHY; interaction_state=平稳基线</x:v>
      </x:c>
      <x:c r="AE92" s="39" t="str">
        <x:v>0.2</x:v>
      </x:c>
    </x:row>
    <x:row r="93">
      <x:c r="A93" s="38" t="str">
        <x:v>M3-BASE-089</x:v>
      </x:c>
      <x:c r="B93" s="32" t="str">
        <x:v>主中余同系统｜单系统浓度</x:v>
      </x:c>
      <x:c r="C93" s="32" t="str">
        <x:v>L1 关系运行底盘</x:v>
      </x:c>
      <x:c r="D93" s="32" t="str">
        <x:v>BASE-藏干层级</x:v>
      </x:c>
      <x:c r="E93" s="32" t="str">
        <x:v>通用</x:v>
      </x:c>
      <x:c r="F93" s="32" t="str">
        <x:v>去重</x:v>
      </x:c>
      <x:c r="G93" s="32" t="str">
        <x:v>主气＋中气＋余气</x:v>
      </x:c>
      <x:c r="H93" s="32" t="str">
        <x:v>同一五系统</x:v>
      </x:c>
      <x:c r="I93" s="32" t="str">
        <x:v>日支全部藏干均属于同一五系统，且原性质有效。</x:v>
      </x:c>
      <x:c r="J93" s="32" t="str">
        <x:v>其中一项真合化或实际承担独立跨系统任务。</x:v>
      </x:c>
      <x:c r="K93" s="32" t="str">
        <x:v>不限定；由后续模块修正</x:v>
      </x:c>
      <x:c r="L93" s="32" t="str">
        <x:v>不限定</x:v>
      </x:c>
      <x:c r="M93" s="32" t="str">
        <x:v>日支藏干主中余层级</x:v>
      </x:c>
      <x:c r="N93" s="32" t="str">
        <x:v>无／待后续模块组合</x:v>
      </x:c>
      <x:c r="O93" s="32" t="str">
        <x:v>日支藏干</x:v>
      </x:c>
      <x:c r="P93" s="32" t="str">
        <x:v>由共享基础引擎判定</x:v>
      </x:c>
      <x:c r="Q93" s="32" t="str">
        <x:v>由共享基础引擎判定</x:v>
      </x:c>
      <x:c r="R93" s="32" t="str">
        <x:v>喜忌未定或由共享引擎提供</x:v>
      </x:c>
      <x:c r="S93" s="32" t="str">
        <x:v>原十神性质有效；无真合化或已完成相应路由</x:v>
      </x:c>
      <x:c r="T93" s="32" t="str">
        <x:v>近</x:v>
      </x:c>
      <x:c r="U93" s="32" t="n">
        <x:v>93</x:v>
      </x:c>
      <x:c r="V93" s="32" t="str">
        <x:v>系统浓度+8；仍只输出一个主模式</x:v>
      </x:c>
      <x:c r="W93" s="32" t="str">
        <x:v>relationship_baseline</x:v>
      </x:c>
      <x:c r="X93" s="32" t="str">
        <x:v>多层藏干若全部指向同一功能系统，说明系统主题集中，不代表三种模式并存。</x:v>
      </x:c>
      <x:c r="Y93" s="32" t="str">
        <x:v>你的关系底盘主题较集中，只是在同一方向里可能有不同表达层次。</x:v>
      </x:c>
      <x:c r="Z93" s="32" t="str">
        <x:v>不得把同系统多藏干输出为三个核心标签。 本规则只描述关系运行底盘及其主次，不判断风险和结果。</x:v>
      </x:c>
      <x:c r="AA93" s="32" t="str">
        <x:v>中高</x:v>
      </x:c>
      <x:c r="AB93" s="32" t="str">
        <x:v>待验证</x:v>
      </x:c>
      <x:c r="AC93" s="32" t="str"/>
      <x:c r="AD93" s="32" t="str">
        <x:v>provisional=true; source_cluster=DAY_BRANCH_HIDDEN_HIERARCHY; interaction_state=平稳基线</x:v>
      </x:c>
      <x:c r="AE93" s="39" t="str">
        <x:v>0.2</x:v>
      </x:c>
    </x:row>
    <x:row r="94">
      <x:c r="A94" s="38" t="str">
        <x:v>M3-BASE-090</x:v>
      </x:c>
      <x:c r="B94" s="32" t="str">
        <x:v>藏干无外部支持｜内部情境候选</x:v>
      </x:c>
      <x:c r="C94" s="32" t="str">
        <x:v>L1 关系运行底盘</x:v>
      </x:c>
      <x:c r="D94" s="32" t="str">
        <x:v>BASE-藏干层级</x:v>
      </x:c>
      <x:c r="E94" s="32" t="str">
        <x:v>通用</x:v>
      </x:c>
      <x:c r="F94" s="32" t="str">
        <x:v>修正</x:v>
      </x:c>
      <x:c r="G94" s="32" t="str">
        <x:v>日支藏干</x:v>
      </x:c>
      <x:c r="H94" s="32" t="str">
        <x:v>无透出无独立根</x:v>
      </x:c>
      <x:c r="I94" s="32" t="str">
        <x:v>日支主中余信号仅存在于夫妻宫内部，且无同类透出或独立根气。</x:v>
      </x:c>
      <x:c r="J94" s="32" t="str">
        <x:v>日支主气本身强稳，或有其他明确近位支持。</x:v>
      </x:c>
      <x:c r="K94" s="32" t="str">
        <x:v>不限定；由后续模块修正</x:v>
      </x:c>
      <x:c r="L94" s="32" t="str">
        <x:v>不限定</x:v>
      </x:c>
      <x:c r="M94" s="32" t="str">
        <x:v>日支藏干主中余层级</x:v>
      </x:c>
      <x:c r="N94" s="32" t="str">
        <x:v>无／待后续模块组合</x:v>
      </x:c>
      <x:c r="O94" s="32" t="str">
        <x:v>日支藏干</x:v>
      </x:c>
      <x:c r="P94" s="32" t="str">
        <x:v>由共享基础引擎判定</x:v>
      </x:c>
      <x:c r="Q94" s="32" t="str">
        <x:v>由共享基础引擎判定</x:v>
      </x:c>
      <x:c r="R94" s="32" t="str">
        <x:v>喜忌未定或由共享引擎提供</x:v>
      </x:c>
      <x:c r="S94" s="32" t="str">
        <x:v>原十神性质有效；无真合化或已完成相应路由</x:v>
      </x:c>
      <x:c r="T94" s="32" t="str">
        <x:v>近</x:v>
      </x:c>
      <x:c r="U94" s="32" t="n">
        <x:v>82</x:v>
      </x:c>
      <x:c r="V94" s="32" t="str">
        <x:v>外显度-5；BASE位置权重保留</x:v>
      </x:c>
      <x:c r="W94" s="32" t="str">
        <x:v>relationship_baseline</x:v>
      </x:c>
      <x:c r="X94" s="32" t="str">
        <x:v>只藏于日支的信号仍可形成亲密关系内部底盘，但对关系外行为或所有场景的外推应受限。</x:v>
      </x:c>
      <x:c r="Y94" s="32" t="str">
        <x:v>这项相处方式更可能在真正进入亲密关系后显现，不能据此概括你在所有人际中的表现。</x:v>
      </x:c>
      <x:c r="Z94" s="32" t="str">
        <x:v>不得把关系内底盘外推为固定人格。 本规则只描述关系运行底盘及其主次，不判断风险和结果。</x:v>
      </x:c>
      <x:c r="AA94" s="32" t="str">
        <x:v>中</x:v>
      </x:c>
      <x:c r="AB94" s="32" t="str">
        <x:v>待验证</x:v>
      </x:c>
      <x:c r="AC94" s="32" t="str"/>
      <x:c r="AD94" s="32" t="str">
        <x:v>provisional=true; source_cluster=DAY_BRANCH_HIDDEN_HIERARCHY; interaction_state=平稳基线</x:v>
      </x:c>
      <x:c r="AE94" s="39" t="str">
        <x:v>0.2</x:v>
      </x:c>
    </x:row>
    <x:row r="95">
      <x:c r="A95" s="38" t="str">
        <x:v>M3-BASE-091</x:v>
      </x:c>
      <x:c r="B95" s="32" t="str">
        <x:v>女命正官入日支主气｜选择—相处连续性</x:v>
      </x:c>
      <x:c r="C95" s="32" t="str">
        <x:v>L7 M1—M2—M3接口</x:v>
      </x:c>
      <x:c r="D95" s="32" t="str">
        <x:v>BASE-夫妻星入宫</x:v>
      </x:c>
      <x:c r="E95" s="32" t="str">
        <x:v>女命</x:v>
      </x:c>
      <x:c r="F95" s="32" t="str">
        <x:v>接口</x:v>
      </x:c>
      <x:c r="G95" s="32" t="str">
        <x:v>正官为传统夫妻星且位于日支主气</x:v>
      </x:c>
      <x:c r="H95" s="32" t="str">
        <x:v>I07 责任维护</x:v>
      </x:c>
      <x:c r="I95" s="32" t="str">
        <x:v>女命传统夫妻星映射可靠；正官位于日支主气；原十神性质有效；M2相关证据已生成或可读取。</x:v>
      </x:c>
      <x:c r="J95" s="32" t="str">
        <x:v>真合化后原夫妻星性质失效；日支主气或性别口径未定。</x:v>
      </x:c>
      <x:c r="K95" s="32" t="str">
        <x:v>不限定；由后续模块修正</x:v>
      </x:c>
      <x:c r="L95" s="32" t="str">
        <x:v>正官入宫主气</x:v>
      </x:c>
      <x:c r="M95" s="32" t="str">
        <x:v>I07 责任维护</x:v>
      </x:c>
      <x:c r="N95" s="32" t="str">
        <x:v>无／待后续模块组合</x:v>
      </x:c>
      <x:c r="O95" s="32" t="str">
        <x:v>日支或与日支直接相关</x:v>
      </x:c>
      <x:c r="P95" s="32" t="str">
        <x:v>由共享基础引擎判定</x:v>
      </x:c>
      <x:c r="Q95" s="32" t="str">
        <x:v>由共享基础引擎判定</x:v>
      </x:c>
      <x:c r="R95" s="32" t="str">
        <x:v>喜忌未定或由共享引擎提供</x:v>
      </x:c>
      <x:c r="S95" s="32" t="str">
        <x:v>原十神性质有效；无真合化或已完成相应路由</x:v>
      </x:c>
      <x:c r="T95" s="32" t="str">
        <x:v>近</x:v>
      </x:c>
      <x:c r="U95" s="32" t="n">
        <x:v>86</x:v>
      </x:c>
      <x:c r="V95" s="32" t="str">
        <x:v>连续性+6；同源不重复基础加分</x:v>
      </x:c>
      <x:c r="W95" s="32" t="str">
        <x:v>cross_model_ref</x:v>
      </x:c>
      <x:c r="X95" s="32" t="str">
        <x:v>正官既是M2的伴侣资格信号，又成为M3日支主气时，M2的承诺与责任证据与I07 责任维护之间连续性较高；但它仍是同一宫位事实。</x:v>
      </x:c>
      <x:c r="Y95" s="32" t="str">
        <x:v>关系建立后，承诺、分工和有交代的安排更容易直接进入相处底盘。 这表示你选择关系时看重的证据，较容易延续为进入关系后的实际相处方式。</x:v>
      </x:c>
      <x:c r="Z95" s="32" t="str">
        <x:v>不得推出实际伴侣必然具有该性格、双方一定按传统性别角色分工，或这种连续性一定有利。</x:v>
      </x:c>
      <x:c r="AA95" s="32" t="str">
        <x:v>中高</x:v>
      </x:c>
      <x:c r="AB95" s="32" t="str">
        <x:v>待验证</x:v>
      </x:c>
      <x:c r="AC95" s="32" t="str"/>
      <x:c r="AD95" s="32" t="str">
        <x:v>provisional=true; source_id=PALACE_SPOUSE_STAR_PRIMARY_女命_正官; same_source_with_day_branch=true; cross_model_ref=M2</x:v>
      </x:c>
      <x:c r="AE95" s="39" t="str">
        <x:v>0.2</x:v>
      </x:c>
    </x:row>
    <x:row r="96">
      <x:c r="A96" s="38" t="str">
        <x:v>M3-BASE-092</x:v>
      </x:c>
      <x:c r="B96" s="32" t="str">
        <x:v>女命正官入日支中气｜次级连续性</x:v>
      </x:c>
      <x:c r="C96" s="32" t="str">
        <x:v>L7 M1—M2—M3接口</x:v>
      </x:c>
      <x:c r="D96" s="32" t="str">
        <x:v>BASE-夫妻星入宫</x:v>
      </x:c>
      <x:c r="E96" s="32" t="str">
        <x:v>女命</x:v>
      </x:c>
      <x:c r="F96" s="32" t="str">
        <x:v>修正</x:v>
      </x:c>
      <x:c r="G96" s="32" t="str">
        <x:v>正官为传统夫妻星且位于日支中气</x:v>
      </x:c>
      <x:c r="H96" s="32" t="str">
        <x:v>I07 责任维护</x:v>
      </x:c>
      <x:c r="I96" s="32" t="str">
        <x:v>正官中气有效；至少有一项透出、根气或近位支持；M2相关证据可读取。</x:v>
      </x:c>
      <x:c r="J96" s="32" t="str">
        <x:v>中气弱且无支持；真合化；主气状态未定。</x:v>
      </x:c>
      <x:c r="K96" s="32" t="str">
        <x:v>不限定；由后续模块修正</x:v>
      </x:c>
      <x:c r="L96" s="32" t="str">
        <x:v>正官入宫中气</x:v>
      </x:c>
      <x:c r="M96" s="32" t="str">
        <x:v>I07 责任维护</x:v>
      </x:c>
      <x:c r="N96" s="32" t="str">
        <x:v>无／待后续模块组合</x:v>
      </x:c>
      <x:c r="O96" s="32" t="str">
        <x:v>日支或与日支直接相关</x:v>
      </x:c>
      <x:c r="P96" s="32" t="str">
        <x:v>由共享基础引擎判定</x:v>
      </x:c>
      <x:c r="Q96" s="32" t="str">
        <x:v>由共享基础引擎判定</x:v>
      </x:c>
      <x:c r="R96" s="32" t="str">
        <x:v>喜忌未定或由共享引擎提供</x:v>
      </x:c>
      <x:c r="S96" s="32" t="str">
        <x:v>原十神性质有效；无真合化或已完成相应路由</x:v>
      </x:c>
      <x:c r="T96" s="32" t="str">
        <x:v>近</x:v>
      </x:c>
      <x:c r="U96" s="32" t="n">
        <x:v>74</x:v>
      </x:c>
      <x:c r="V96" s="32" t="str">
        <x:v>次通道连续性+4；不覆盖主气</x:v>
      </x:c>
      <x:c r="W96" s="32" t="str">
        <x:v>secondary_baseline</x:v>
      </x:c>
      <x:c r="X96" s="32" t="str">
        <x:v>夫妻星位于中气时，I07 责任维护更适合作为伴侣互动触发的第二层通道，而不是直接覆盖日支主气。</x:v>
      </x:c>
      <x:c r="Y96" s="32" t="str">
        <x:v>除了核心相处底盘外，伴侣的承诺与责任证据也可能触发你使用“责任维护”的方式回应关系。</x:v>
      </x:c>
      <x:c r="Z96" s="32" t="str">
        <x:v>不得把中气夫妻星写成实际伴侣的固定人格，也不得自动升级为双核心。</x:v>
      </x:c>
      <x:c r="AA96" s="32" t="str">
        <x:v>中</x:v>
      </x:c>
      <x:c r="AB96" s="32" t="str">
        <x:v>待验证</x:v>
      </x:c>
      <x:c r="AC96" s="32" t="str"/>
      <x:c r="AD96" s="32" t="str">
        <x:v>provisional=true; source_id=PALACE_SPOUSE_STAR_MIDDLE_女命_正官; candidate_only=true</x:v>
      </x:c>
      <x:c r="AE96" s="39" t="str">
        <x:v>0.2</x:v>
      </x:c>
    </x:row>
    <x:row r="97">
      <x:c r="A97" s="38" t="str">
        <x:v>M3-BASE-093</x:v>
      </x:c>
      <x:c r="B97" s="32" t="str">
        <x:v>女命正官入日支余气｜潜在连续性</x:v>
      </x:c>
      <x:c r="C97" s="32" t="str">
        <x:v>L7 M1—M2—M3接口</x:v>
      </x:c>
      <x:c r="D97" s="32" t="str">
        <x:v>BASE-夫妻星入宫</x:v>
      </x:c>
      <x:c r="E97" s="32" t="str">
        <x:v>女命</x:v>
      </x:c>
      <x:c r="F97" s="32" t="str">
        <x:v>路由</x:v>
      </x:c>
      <x:c r="G97" s="32" t="str">
        <x:v>正官为传统夫妻星且位于日支余气</x:v>
      </x:c>
      <x:c r="H97" s="32" t="str">
        <x:v>I07 责任维护</x:v>
      </x:c>
      <x:c r="I97" s="32" t="str">
        <x:v>正官余气性质有效；至少有两项独立支持后才可进入正文。</x:v>
      </x:c>
      <x:c r="J97" s="32" t="str">
        <x:v>余气无支持；原性质真合化；基础十神未定。</x:v>
      </x:c>
      <x:c r="K97" s="32" t="str">
        <x:v>不限定；由后续模块修正</x:v>
      </x:c>
      <x:c r="L97" s="32" t="str">
        <x:v>正官入宫余气</x:v>
      </x:c>
      <x:c r="M97" s="32" t="str">
        <x:v>I07 责任维护</x:v>
      </x:c>
      <x:c r="N97" s="32" t="str">
        <x:v>无／待后续模块组合</x:v>
      </x:c>
      <x:c r="O97" s="32" t="str">
        <x:v>日支或与日支直接相关</x:v>
      </x:c>
      <x:c r="P97" s="32" t="str">
        <x:v>由共享基础引擎判定</x:v>
      </x:c>
      <x:c r="Q97" s="32" t="str">
        <x:v>由共享基础引擎判定</x:v>
      </x:c>
      <x:c r="R97" s="32" t="str">
        <x:v>喜忌未定或由共享引擎提供</x:v>
      </x:c>
      <x:c r="S97" s="32" t="str">
        <x:v>原十神性质有效；无真合化或已完成相应路由</x:v>
      </x:c>
      <x:c r="T97" s="32" t="str">
        <x:v>近</x:v>
      </x:c>
      <x:c r="U97" s="32" t="n">
        <x:v>62</x:v>
      </x:c>
      <x:c r="V97" s="32" t="str">
        <x:v>潜在连续性+2；默认仅内部记录</x:v>
      </x:c>
      <x:c r="W97" s="32" t="str">
        <x:v>cross_model_ref</x:v>
      </x:c>
      <x:c r="X97" s="32" t="str">
        <x:v>余气夫妻星只提供潜在的M2—M3连续性，默认不能成为稳定相处底盘。</x:v>
      </x:c>
      <x:c r="Y97" s="32" t="str">
        <x:v>在特定情境中，你可能会把伴侣的承诺与责任证据转化为“责任维护”的互动方式；当前证据不足以把它写成固定习惯。</x:v>
      </x:c>
      <x:c r="Z97" s="32" t="str">
        <x:v>不得凭余气夫妻星确定核心相处模式、伴侣性格或关系结果。</x:v>
      </x:c>
      <x:c r="AA97" s="32" t="str">
        <x:v>低</x:v>
      </x:c>
      <x:c r="AB97" s="32" t="str">
        <x:v>待验证</x:v>
      </x:c>
      <x:c r="AC97" s="32" t="str"/>
      <x:c r="AD97" s="32" t="str">
        <x:v>provisional=true; source_id=PALACE_SPOUSE_STAR_RESIDUAL_女命_正官; internal_only=true</x:v>
      </x:c>
      <x:c r="AE97" s="39" t="str">
        <x:v>0.2</x:v>
      </x:c>
    </x:row>
    <x:row r="98">
      <x:c r="A98" s="38" t="str">
        <x:v>M3-BASE-094</x:v>
      </x:c>
      <x:c r="B98" s="32" t="str">
        <x:v>女命七杀入日支主气｜选择—相处连续性</x:v>
      </x:c>
      <x:c r="C98" s="32" t="str">
        <x:v>L7 M1—M2—M3接口</x:v>
      </x:c>
      <x:c r="D98" s="32" t="str">
        <x:v>BASE-夫妻星入宫</x:v>
      </x:c>
      <x:c r="E98" s="32" t="str">
        <x:v>女命</x:v>
      </x:c>
      <x:c r="F98" s="32" t="str">
        <x:v>接口</x:v>
      </x:c>
      <x:c r="G98" s="32" t="str">
        <x:v>七杀为传统夫妻星且位于日支主气</x:v>
      </x:c>
      <x:c r="H98" s="32" t="str">
        <x:v>I08 行动解决</x:v>
      </x:c>
      <x:c r="I98" s="32" t="str">
        <x:v>女命传统夫妻星映射可靠；七杀位于日支主气；原十神性质有效；M2相关证据已生成或可读取。</x:v>
      </x:c>
      <x:c r="J98" s="32" t="str">
        <x:v>真合化后原夫妻星性质失效；日支主气或性别口径未定。</x:v>
      </x:c>
      <x:c r="K98" s="32" t="str">
        <x:v>不限定；由后续模块修正</x:v>
      </x:c>
      <x:c r="L98" s="32" t="str">
        <x:v>七杀入宫主气</x:v>
      </x:c>
      <x:c r="M98" s="32" t="str">
        <x:v>I08 行动解决</x:v>
      </x:c>
      <x:c r="N98" s="32" t="str">
        <x:v>无／待后续模块组合</x:v>
      </x:c>
      <x:c r="O98" s="32" t="str">
        <x:v>日支或与日支直接相关</x:v>
      </x:c>
      <x:c r="P98" s="32" t="str">
        <x:v>由共享基础引擎判定</x:v>
      </x:c>
      <x:c r="Q98" s="32" t="str">
        <x:v>由共享基础引擎判定</x:v>
      </x:c>
      <x:c r="R98" s="32" t="str">
        <x:v>喜忌未定或由共享引擎提供</x:v>
      </x:c>
      <x:c r="S98" s="32" t="str">
        <x:v>原十神性质有效；无真合化或已完成相应路由</x:v>
      </x:c>
      <x:c r="T98" s="32" t="str">
        <x:v>近</x:v>
      </x:c>
      <x:c r="U98" s="32" t="n">
        <x:v>86</x:v>
      </x:c>
      <x:c r="V98" s="32" t="str">
        <x:v>连续性+6；同源不重复基础加分</x:v>
      </x:c>
      <x:c r="W98" s="32" t="str">
        <x:v>cross_model_ref</x:v>
      </x:c>
      <x:c r="X98" s="32" t="str">
        <x:v>七杀既是M2的伴侣资格信号，又成为M3日支主气时，M2的行动与承担证据与I08 行动解决之间连续性较高；但它仍是同一宫位事实。</x:v>
      </x:c>
      <x:c r="Y98" s="32" t="str">
        <x:v>关系建立后，推进、解决问题和关键时刻承担更容易直接进入相处底盘。 这表示你选择关系时看重的证据，较容易延续为进入关系后的实际相处方式。</x:v>
      </x:c>
      <x:c r="Z98" s="32" t="str">
        <x:v>不得推出实际伴侣必然具有该性格、双方一定按传统性别角色分工，或这种连续性一定有利。</x:v>
      </x:c>
      <x:c r="AA98" s="32" t="str">
        <x:v>中高</x:v>
      </x:c>
      <x:c r="AB98" s="32" t="str">
        <x:v>待验证</x:v>
      </x:c>
      <x:c r="AC98" s="32" t="str"/>
      <x:c r="AD98" s="32" t="str">
        <x:v>provisional=true; source_id=PALACE_SPOUSE_STAR_PRIMARY_女命_七杀; same_source_with_day_branch=true; cross_model_ref=M2</x:v>
      </x:c>
      <x:c r="AE98" s="39" t="str">
        <x:v>0.2</x:v>
      </x:c>
    </x:row>
    <x:row r="99">
      <x:c r="A99" s="38" t="str">
        <x:v>M3-BASE-095</x:v>
      </x:c>
      <x:c r="B99" s="32" t="str">
        <x:v>女命七杀入日支中气｜次级连续性</x:v>
      </x:c>
      <x:c r="C99" s="32" t="str">
        <x:v>L7 M1—M2—M3接口</x:v>
      </x:c>
      <x:c r="D99" s="32" t="str">
        <x:v>BASE-夫妻星入宫</x:v>
      </x:c>
      <x:c r="E99" s="32" t="str">
        <x:v>女命</x:v>
      </x:c>
      <x:c r="F99" s="32" t="str">
        <x:v>修正</x:v>
      </x:c>
      <x:c r="G99" s="32" t="str">
        <x:v>七杀为传统夫妻星且位于日支中气</x:v>
      </x:c>
      <x:c r="H99" s="32" t="str">
        <x:v>I08 行动解决</x:v>
      </x:c>
      <x:c r="I99" s="32" t="str">
        <x:v>七杀中气有效；至少有一项透出、根气或近位支持；M2相关证据可读取。</x:v>
      </x:c>
      <x:c r="J99" s="32" t="str">
        <x:v>中气弱且无支持；真合化；主气状态未定。</x:v>
      </x:c>
      <x:c r="K99" s="32" t="str">
        <x:v>不限定；由后续模块修正</x:v>
      </x:c>
      <x:c r="L99" s="32" t="str">
        <x:v>七杀入宫中气</x:v>
      </x:c>
      <x:c r="M99" s="32" t="str">
        <x:v>I08 行动解决</x:v>
      </x:c>
      <x:c r="N99" s="32" t="str">
        <x:v>无／待后续模块组合</x:v>
      </x:c>
      <x:c r="O99" s="32" t="str">
        <x:v>日支或与日支直接相关</x:v>
      </x:c>
      <x:c r="P99" s="32" t="str">
        <x:v>由共享基础引擎判定</x:v>
      </x:c>
      <x:c r="Q99" s="32" t="str">
        <x:v>由共享基础引擎判定</x:v>
      </x:c>
      <x:c r="R99" s="32" t="str">
        <x:v>喜忌未定或由共享引擎提供</x:v>
      </x:c>
      <x:c r="S99" s="32" t="str">
        <x:v>原十神性质有效；无真合化或已完成相应路由</x:v>
      </x:c>
      <x:c r="T99" s="32" t="str">
        <x:v>近</x:v>
      </x:c>
      <x:c r="U99" s="32" t="n">
        <x:v>74</x:v>
      </x:c>
      <x:c r="V99" s="32" t="str">
        <x:v>次通道连续性+4；不覆盖主气</x:v>
      </x:c>
      <x:c r="W99" s="32" t="str">
        <x:v>secondary_baseline</x:v>
      </x:c>
      <x:c r="X99" s="32" t="str">
        <x:v>夫妻星位于中气时，I08 行动解决更适合作为伴侣互动触发的第二层通道，而不是直接覆盖日支主气。</x:v>
      </x:c>
      <x:c r="Y99" s="32" t="str">
        <x:v>除了核心相处底盘外，伴侣的行动与承担证据也可能触发你使用“行动解决”的方式回应关系。</x:v>
      </x:c>
      <x:c r="Z99" s="32" t="str">
        <x:v>不得把中气夫妻星写成实际伴侣的固定人格，也不得自动升级为双核心。</x:v>
      </x:c>
      <x:c r="AA99" s="32" t="str">
        <x:v>中</x:v>
      </x:c>
      <x:c r="AB99" s="32" t="str">
        <x:v>待验证</x:v>
      </x:c>
      <x:c r="AC99" s="32" t="str"/>
      <x:c r="AD99" s="32" t="str">
        <x:v>provisional=true; source_id=PALACE_SPOUSE_STAR_MIDDLE_女命_七杀; candidate_only=true</x:v>
      </x:c>
      <x:c r="AE99" s="39" t="str">
        <x:v>0.2</x:v>
      </x:c>
    </x:row>
    <x:row r="100">
      <x:c r="A100" s="38" t="str">
        <x:v>M3-BASE-096</x:v>
      </x:c>
      <x:c r="B100" s="32" t="str">
        <x:v>女命七杀入日支余气｜潜在连续性</x:v>
      </x:c>
      <x:c r="C100" s="32" t="str">
        <x:v>L7 M1—M2—M3接口</x:v>
      </x:c>
      <x:c r="D100" s="32" t="str">
        <x:v>BASE-夫妻星入宫</x:v>
      </x:c>
      <x:c r="E100" s="32" t="str">
        <x:v>女命</x:v>
      </x:c>
      <x:c r="F100" s="32" t="str">
        <x:v>路由</x:v>
      </x:c>
      <x:c r="G100" s="32" t="str">
        <x:v>七杀为传统夫妻星且位于日支余气</x:v>
      </x:c>
      <x:c r="H100" s="32" t="str">
        <x:v>I08 行动解决</x:v>
      </x:c>
      <x:c r="I100" s="32" t="str">
        <x:v>七杀余气性质有效；至少有两项独立支持后才可进入正文。</x:v>
      </x:c>
      <x:c r="J100" s="32" t="str">
        <x:v>余气无支持；原性质真合化；基础十神未定。</x:v>
      </x:c>
      <x:c r="K100" s="32" t="str">
        <x:v>不限定；由后续模块修正</x:v>
      </x:c>
      <x:c r="L100" s="32" t="str">
        <x:v>七杀入宫余气</x:v>
      </x:c>
      <x:c r="M100" s="32" t="str">
        <x:v>I08 行动解决</x:v>
      </x:c>
      <x:c r="N100" s="32" t="str">
        <x:v>无／待后续模块组合</x:v>
      </x:c>
      <x:c r="O100" s="32" t="str">
        <x:v>日支或与日支直接相关</x:v>
      </x:c>
      <x:c r="P100" s="32" t="str">
        <x:v>由共享基础引擎判定</x:v>
      </x:c>
      <x:c r="Q100" s="32" t="str">
        <x:v>由共享基础引擎判定</x:v>
      </x:c>
      <x:c r="R100" s="32" t="str">
        <x:v>喜忌未定或由共享引擎提供</x:v>
      </x:c>
      <x:c r="S100" s="32" t="str">
        <x:v>原十神性质有效；无真合化或已完成相应路由</x:v>
      </x:c>
      <x:c r="T100" s="32" t="str">
        <x:v>近</x:v>
      </x:c>
      <x:c r="U100" s="32" t="n">
        <x:v>62</x:v>
      </x:c>
      <x:c r="V100" s="32" t="str">
        <x:v>潜在连续性+2；默认仅内部记录</x:v>
      </x:c>
      <x:c r="W100" s="32" t="str">
        <x:v>cross_model_ref</x:v>
      </x:c>
      <x:c r="X100" s="32" t="str">
        <x:v>余气夫妻星只提供潜在的M2—M3连续性，默认不能成为稳定相处底盘。</x:v>
      </x:c>
      <x:c r="Y100" s="32" t="str">
        <x:v>在特定情境中，你可能会把伴侣的行动与承担证据转化为“行动解决”的互动方式；当前证据不足以把它写成固定习惯。</x:v>
      </x:c>
      <x:c r="Z100" s="32" t="str">
        <x:v>不得凭余气夫妻星确定核心相处模式、伴侣性格或关系结果。</x:v>
      </x:c>
      <x:c r="AA100" s="32" t="str">
        <x:v>低</x:v>
      </x:c>
      <x:c r="AB100" s="32" t="str">
        <x:v>待验证</x:v>
      </x:c>
      <x:c r="AC100" s="32" t="str"/>
      <x:c r="AD100" s="32" t="str">
        <x:v>provisional=true; source_id=PALACE_SPOUSE_STAR_RESIDUAL_女命_七杀; internal_only=true</x:v>
      </x:c>
      <x:c r="AE100" s="39" t="str">
        <x:v>0.2</x:v>
      </x:c>
    </x:row>
    <x:row r="101">
      <x:c r="A101" s="38" t="str">
        <x:v>M3-BASE-097</x:v>
      </x:c>
      <x:c r="B101" s="32" t="str">
        <x:v>男命正财入日支主气｜选择—相处连续性</x:v>
      </x:c>
      <x:c r="C101" s="32" t="str">
        <x:v>L7 M1—M2—M3接口</x:v>
      </x:c>
      <x:c r="D101" s="32" t="str">
        <x:v>BASE-夫妻星入宫</x:v>
      </x:c>
      <x:c r="E101" s="32" t="str">
        <x:v>男命</x:v>
      </x:c>
      <x:c r="F101" s="32" t="str">
        <x:v>接口</x:v>
      </x:c>
      <x:c r="G101" s="32" t="str">
        <x:v>正财为传统夫妻星且位于日支主气</x:v>
      </x:c>
      <x:c r="H101" s="32" t="str">
        <x:v>I05 稳定经营</x:v>
      </x:c>
      <x:c r="I101" s="32" t="str">
        <x:v>男命传统夫妻星映射可靠；正财位于日支主气；原十神性质有效；M2相关证据已生成或可读取。</x:v>
      </x:c>
      <x:c r="J101" s="32" t="str">
        <x:v>真合化后原夫妻星性质失效；日支主气或性别口径未定。</x:v>
      </x:c>
      <x:c r="K101" s="32" t="str">
        <x:v>不限定；由后续模块修正</x:v>
      </x:c>
      <x:c r="L101" s="32" t="str">
        <x:v>正财入宫主气</x:v>
      </x:c>
      <x:c r="M101" s="32" t="str">
        <x:v>I05 稳定经营</x:v>
      </x:c>
      <x:c r="N101" s="32" t="str">
        <x:v>无／待后续模块组合</x:v>
      </x:c>
      <x:c r="O101" s="32" t="str">
        <x:v>日支或与日支直接相关</x:v>
      </x:c>
      <x:c r="P101" s="32" t="str">
        <x:v>由共享基础引擎判定</x:v>
      </x:c>
      <x:c r="Q101" s="32" t="str">
        <x:v>由共享基础引擎判定</x:v>
      </x:c>
      <x:c r="R101" s="32" t="str">
        <x:v>喜忌未定或由共享引擎提供</x:v>
      </x:c>
      <x:c r="S101" s="32" t="str">
        <x:v>原十神性质有效；无真合化或已完成相应路由</x:v>
      </x:c>
      <x:c r="T101" s="32" t="str">
        <x:v>近</x:v>
      </x:c>
      <x:c r="U101" s="32" t="n">
        <x:v>86</x:v>
      </x:c>
      <x:c r="V101" s="32" t="str">
        <x:v>连续性+6；同源不重复基础加分</x:v>
      </x:c>
      <x:c r="W101" s="32" t="str">
        <x:v>cross_model_ref</x:v>
      </x:c>
      <x:c r="X101" s="32" t="str">
        <x:v>正财既是M2的伴侣资格信号，又成为M3日支主气时，M2的持续投入证据与I05 稳定经营之间连续性较高；但它仍是同一宫位事实。</x:v>
      </x:c>
      <x:c r="Y101" s="32" t="str">
        <x:v>关系建立后，时间投入、日常安排和现实经营更容易直接进入相处底盘。 这表示你选择关系时看重的证据，较容易延续为进入关系后的实际相处方式。</x:v>
      </x:c>
      <x:c r="Z101" s="32" t="str">
        <x:v>不得推出实际伴侣必然具有该性格、双方一定按传统性别角色分工，或这种连续性一定有利。</x:v>
      </x:c>
      <x:c r="AA101" s="32" t="str">
        <x:v>中高</x:v>
      </x:c>
      <x:c r="AB101" s="32" t="str">
        <x:v>待验证</x:v>
      </x:c>
      <x:c r="AC101" s="32" t="str"/>
      <x:c r="AD101" s="32" t="str">
        <x:v>provisional=true; source_id=PALACE_SPOUSE_STAR_PRIMARY_男命_正财; same_source_with_day_branch=true; cross_model_ref=M2</x:v>
      </x:c>
      <x:c r="AE101" s="39" t="str">
        <x:v>0.2</x:v>
      </x:c>
    </x:row>
    <x:row r="102">
      <x:c r="A102" s="38" t="str">
        <x:v>M3-BASE-098</x:v>
      </x:c>
      <x:c r="B102" s="32" t="str">
        <x:v>男命正财入日支中气｜次级连续性</x:v>
      </x:c>
      <x:c r="C102" s="32" t="str">
        <x:v>L7 M1—M2—M3接口</x:v>
      </x:c>
      <x:c r="D102" s="32" t="str">
        <x:v>BASE-夫妻星入宫</x:v>
      </x:c>
      <x:c r="E102" s="32" t="str">
        <x:v>男命</x:v>
      </x:c>
      <x:c r="F102" s="32" t="str">
        <x:v>修正</x:v>
      </x:c>
      <x:c r="G102" s="32" t="str">
        <x:v>正财为传统夫妻星且位于日支中气</x:v>
      </x:c>
      <x:c r="H102" s="32" t="str">
        <x:v>I05 稳定经营</x:v>
      </x:c>
      <x:c r="I102" s="32" t="str">
        <x:v>正财中气有效；至少有一项透出、根气或近位支持；M2相关证据可读取。</x:v>
      </x:c>
      <x:c r="J102" s="32" t="str">
        <x:v>中气弱且无支持；真合化；主气状态未定。</x:v>
      </x:c>
      <x:c r="K102" s="32" t="str">
        <x:v>不限定；由后续模块修正</x:v>
      </x:c>
      <x:c r="L102" s="32" t="str">
        <x:v>正财入宫中气</x:v>
      </x:c>
      <x:c r="M102" s="32" t="str">
        <x:v>I05 稳定经营</x:v>
      </x:c>
      <x:c r="N102" s="32" t="str">
        <x:v>无／待后续模块组合</x:v>
      </x:c>
      <x:c r="O102" s="32" t="str">
        <x:v>日支或与日支直接相关</x:v>
      </x:c>
      <x:c r="P102" s="32" t="str">
        <x:v>由共享基础引擎判定</x:v>
      </x:c>
      <x:c r="Q102" s="32" t="str">
        <x:v>由共享基础引擎判定</x:v>
      </x:c>
      <x:c r="R102" s="32" t="str">
        <x:v>喜忌未定或由共享引擎提供</x:v>
      </x:c>
      <x:c r="S102" s="32" t="str">
        <x:v>原十神性质有效；无真合化或已完成相应路由</x:v>
      </x:c>
      <x:c r="T102" s="32" t="str">
        <x:v>近</x:v>
      </x:c>
      <x:c r="U102" s="32" t="n">
        <x:v>74</x:v>
      </x:c>
      <x:c r="V102" s="32" t="str">
        <x:v>次通道连续性+4；不覆盖主气</x:v>
      </x:c>
      <x:c r="W102" s="32" t="str">
        <x:v>secondary_baseline</x:v>
      </x:c>
      <x:c r="X102" s="32" t="str">
        <x:v>夫妻星位于中气时，I05 稳定经营更适合作为伴侣互动触发的第二层通道，而不是直接覆盖日支主气。</x:v>
      </x:c>
      <x:c r="Y102" s="32" t="str">
        <x:v>除了核心相处底盘外，伴侣的持续投入证据也可能触发你使用“稳定经营”的方式回应关系。</x:v>
      </x:c>
      <x:c r="Z102" s="32" t="str">
        <x:v>不得把中气夫妻星写成实际伴侣的固定人格，也不得自动升级为双核心。</x:v>
      </x:c>
      <x:c r="AA102" s="32" t="str">
        <x:v>中</x:v>
      </x:c>
      <x:c r="AB102" s="32" t="str">
        <x:v>待验证</x:v>
      </x:c>
      <x:c r="AC102" s="32" t="str"/>
      <x:c r="AD102" s="32" t="str">
        <x:v>provisional=true; source_id=PALACE_SPOUSE_STAR_MIDDLE_男命_正财; candidate_only=true</x:v>
      </x:c>
      <x:c r="AE102" s="39" t="str">
        <x:v>0.2</x:v>
      </x:c>
    </x:row>
    <x:row r="103">
      <x:c r="A103" s="38" t="str">
        <x:v>M3-BASE-099</x:v>
      </x:c>
      <x:c r="B103" s="32" t="str">
        <x:v>男命正财入日支余气｜潜在连续性</x:v>
      </x:c>
      <x:c r="C103" s="32" t="str">
        <x:v>L7 M1—M2—M3接口</x:v>
      </x:c>
      <x:c r="D103" s="32" t="str">
        <x:v>BASE-夫妻星入宫</x:v>
      </x:c>
      <x:c r="E103" s="32" t="str">
        <x:v>男命</x:v>
      </x:c>
      <x:c r="F103" s="32" t="str">
        <x:v>路由</x:v>
      </x:c>
      <x:c r="G103" s="32" t="str">
        <x:v>正财为传统夫妻星且位于日支余气</x:v>
      </x:c>
      <x:c r="H103" s="32" t="str">
        <x:v>I05 稳定经营</x:v>
      </x:c>
      <x:c r="I103" s="32" t="str">
        <x:v>正财余气性质有效；至少有两项独立支持后才可进入正文。</x:v>
      </x:c>
      <x:c r="J103" s="32" t="str">
        <x:v>余气无支持；原性质真合化；基础十神未定。</x:v>
      </x:c>
      <x:c r="K103" s="32" t="str">
        <x:v>不限定；由后续模块修正</x:v>
      </x:c>
      <x:c r="L103" s="32" t="str">
        <x:v>正财入宫余气</x:v>
      </x:c>
      <x:c r="M103" s="32" t="str">
        <x:v>I05 稳定经营</x:v>
      </x:c>
      <x:c r="N103" s="32" t="str">
        <x:v>无／待后续模块组合</x:v>
      </x:c>
      <x:c r="O103" s="32" t="str">
        <x:v>日支或与日支直接相关</x:v>
      </x:c>
      <x:c r="P103" s="32" t="str">
        <x:v>由共享基础引擎判定</x:v>
      </x:c>
      <x:c r="Q103" s="32" t="str">
        <x:v>由共享基础引擎判定</x:v>
      </x:c>
      <x:c r="R103" s="32" t="str">
        <x:v>喜忌未定或由共享引擎提供</x:v>
      </x:c>
      <x:c r="S103" s="32" t="str">
        <x:v>原十神性质有效；无真合化或已完成相应路由</x:v>
      </x:c>
      <x:c r="T103" s="32" t="str">
        <x:v>近</x:v>
      </x:c>
      <x:c r="U103" s="32" t="n">
        <x:v>62</x:v>
      </x:c>
      <x:c r="V103" s="32" t="str">
        <x:v>潜在连续性+2；默认仅内部记录</x:v>
      </x:c>
      <x:c r="W103" s="32" t="str">
        <x:v>cross_model_ref</x:v>
      </x:c>
      <x:c r="X103" s="32" t="str">
        <x:v>余气夫妻星只提供潜在的M2—M3连续性，默认不能成为稳定相处底盘。</x:v>
      </x:c>
      <x:c r="Y103" s="32" t="str">
        <x:v>在特定情境中，你可能会把伴侣的持续投入证据转化为“稳定经营”的互动方式；当前证据不足以把它写成固定习惯。</x:v>
      </x:c>
      <x:c r="Z103" s="32" t="str">
        <x:v>不得凭余气夫妻星确定核心相处模式、伴侣性格或关系结果。</x:v>
      </x:c>
      <x:c r="AA103" s="32" t="str">
        <x:v>低</x:v>
      </x:c>
      <x:c r="AB103" s="32" t="str">
        <x:v>待验证</x:v>
      </x:c>
      <x:c r="AC103" s="32" t="str"/>
      <x:c r="AD103" s="32" t="str">
        <x:v>provisional=true; source_id=PALACE_SPOUSE_STAR_RESIDUAL_男命_正财; internal_only=true</x:v>
      </x:c>
      <x:c r="AE103" s="39" t="str">
        <x:v>0.2</x:v>
      </x:c>
    </x:row>
    <x:row r="104">
      <x:c r="A104" s="38" t="str">
        <x:v>M3-BASE-100</x:v>
      </x:c>
      <x:c r="B104" s="32" t="str">
        <x:v>男命偏财入日支主气｜选择—相处连续性</x:v>
      </x:c>
      <x:c r="C104" s="32" t="str">
        <x:v>L7 M1—M2—M3接口</x:v>
      </x:c>
      <x:c r="D104" s="32" t="str">
        <x:v>BASE-夫妻星入宫</x:v>
      </x:c>
      <x:c r="E104" s="32" t="str">
        <x:v>男命</x:v>
      </x:c>
      <x:c r="F104" s="32" t="str">
        <x:v>接口</x:v>
      </x:c>
      <x:c r="G104" s="32" t="str">
        <x:v>偏财为传统夫妻星且位于日支主气</x:v>
      </x:c>
      <x:c r="H104" s="32" t="str">
        <x:v>I06 体验联结</x:v>
      </x:c>
      <x:c r="I104" s="32" t="str">
        <x:v>男命传统夫妻星映射可靠；偏财位于日支主气；原十神性质有效；M2相关证据已生成或可读取。</x:v>
      </x:c>
      <x:c r="J104" s="32" t="str">
        <x:v>真合化后原夫妻星性质失效；日支主气或性别口径未定。</x:v>
      </x:c>
      <x:c r="K104" s="32" t="str">
        <x:v>不限定；由后续模块修正</x:v>
      </x:c>
      <x:c r="L104" s="32" t="str">
        <x:v>偏财入宫主气</x:v>
      </x:c>
      <x:c r="M104" s="32" t="str">
        <x:v>I06 体验联结</x:v>
      </x:c>
      <x:c r="N104" s="32" t="str">
        <x:v>无／待后续模块组合</x:v>
      </x:c>
      <x:c r="O104" s="32" t="str">
        <x:v>日支或与日支直接相关</x:v>
      </x:c>
      <x:c r="P104" s="32" t="str">
        <x:v>由共享基础引擎判定</x:v>
      </x:c>
      <x:c r="Q104" s="32" t="str">
        <x:v>由共享基础引擎判定</x:v>
      </x:c>
      <x:c r="R104" s="32" t="str">
        <x:v>喜忌未定或由共享引擎提供</x:v>
      </x:c>
      <x:c r="S104" s="32" t="str">
        <x:v>原十神性质有效；无真合化或已完成相应路由</x:v>
      </x:c>
      <x:c r="T104" s="32" t="str">
        <x:v>近</x:v>
      </x:c>
      <x:c r="U104" s="32" t="n">
        <x:v>86</x:v>
      </x:c>
      <x:c r="V104" s="32" t="str">
        <x:v>连续性+6；同源不重复基础加分</x:v>
      </x:c>
      <x:c r="W104" s="32" t="str">
        <x:v>cross_model_ref</x:v>
      </x:c>
      <x:c r="X104" s="32" t="str">
        <x:v>偏财既是M2的伴侣资格信号，又成为M3日支主气时，M2的互动与共同体验证据与I06 体验联结之间连续性较高；但它仍是同一宫位事实。</x:v>
      </x:c>
      <x:c r="Y104" s="32" t="str">
        <x:v>关系建立后，有来有往的互动、共同体验和灵活回应更容易直接进入相处底盘。 这表示你选择关系时看重的证据，较容易延续为进入关系后的实际相处方式。</x:v>
      </x:c>
      <x:c r="Z104" s="32" t="str">
        <x:v>不得推出实际伴侣必然具有该性格、双方一定按传统性别角色分工，或这种连续性一定有利。</x:v>
      </x:c>
      <x:c r="AA104" s="32" t="str">
        <x:v>中高</x:v>
      </x:c>
      <x:c r="AB104" s="32" t="str">
        <x:v>待验证</x:v>
      </x:c>
      <x:c r="AC104" s="32" t="str"/>
      <x:c r="AD104" s="32" t="str">
        <x:v>provisional=true; source_id=PALACE_SPOUSE_STAR_PRIMARY_男命_偏财; same_source_with_day_branch=true; cross_model_ref=M2</x:v>
      </x:c>
      <x:c r="AE104" s="39" t="str">
        <x:v>0.2</x:v>
      </x:c>
    </x:row>
    <x:row r="105">
      <x:c r="A105" s="38" t="str">
        <x:v>M3-BASE-101</x:v>
      </x:c>
      <x:c r="B105" s="32" t="str">
        <x:v>男命偏财入日支中气｜次级连续性</x:v>
      </x:c>
      <x:c r="C105" s="32" t="str">
        <x:v>L7 M1—M2—M3接口</x:v>
      </x:c>
      <x:c r="D105" s="32" t="str">
        <x:v>BASE-夫妻星入宫</x:v>
      </x:c>
      <x:c r="E105" s="32" t="str">
        <x:v>男命</x:v>
      </x:c>
      <x:c r="F105" s="32" t="str">
        <x:v>修正</x:v>
      </x:c>
      <x:c r="G105" s="32" t="str">
        <x:v>偏财为传统夫妻星且位于日支中气</x:v>
      </x:c>
      <x:c r="H105" s="32" t="str">
        <x:v>I06 体验联结</x:v>
      </x:c>
      <x:c r="I105" s="32" t="str">
        <x:v>偏财中气有效；至少有一项透出、根气或近位支持；M2相关证据可读取。</x:v>
      </x:c>
      <x:c r="J105" s="32" t="str">
        <x:v>中气弱且无支持；真合化；主气状态未定。</x:v>
      </x:c>
      <x:c r="K105" s="32" t="str">
        <x:v>不限定；由后续模块修正</x:v>
      </x:c>
      <x:c r="L105" s="32" t="str">
        <x:v>偏财入宫中气</x:v>
      </x:c>
      <x:c r="M105" s="32" t="str">
        <x:v>I06 体验联结</x:v>
      </x:c>
      <x:c r="N105" s="32" t="str">
        <x:v>无／待后续模块组合</x:v>
      </x:c>
      <x:c r="O105" s="32" t="str">
        <x:v>日支或与日支直接相关</x:v>
      </x:c>
      <x:c r="P105" s="32" t="str">
        <x:v>由共享基础引擎判定</x:v>
      </x:c>
      <x:c r="Q105" s="32" t="str">
        <x:v>由共享基础引擎判定</x:v>
      </x:c>
      <x:c r="R105" s="32" t="str">
        <x:v>喜忌未定或由共享引擎提供</x:v>
      </x:c>
      <x:c r="S105" s="32" t="str">
        <x:v>原十神性质有效；无真合化或已完成相应路由</x:v>
      </x:c>
      <x:c r="T105" s="32" t="str">
        <x:v>近</x:v>
      </x:c>
      <x:c r="U105" s="32" t="n">
        <x:v>74</x:v>
      </x:c>
      <x:c r="V105" s="32" t="str">
        <x:v>次通道连续性+4；不覆盖主气</x:v>
      </x:c>
      <x:c r="W105" s="32" t="str">
        <x:v>secondary_baseline</x:v>
      </x:c>
      <x:c r="X105" s="32" t="str">
        <x:v>夫妻星位于中气时，I06 体验联结更适合作为伴侣互动触发的第二层通道，而不是直接覆盖日支主气。</x:v>
      </x:c>
      <x:c r="Y105" s="32" t="str">
        <x:v>除了核心相处底盘外，伴侣的互动与共同体验证据也可能触发你使用“体验联结”的方式回应关系。</x:v>
      </x:c>
      <x:c r="Z105" s="32" t="str">
        <x:v>不得把中气夫妻星写成实际伴侣的固定人格，也不得自动升级为双核心。</x:v>
      </x:c>
      <x:c r="AA105" s="32" t="str">
        <x:v>中</x:v>
      </x:c>
      <x:c r="AB105" s="32" t="str">
        <x:v>待验证</x:v>
      </x:c>
      <x:c r="AC105" s="32" t="str"/>
      <x:c r="AD105" s="32" t="str">
        <x:v>provisional=true; source_id=PALACE_SPOUSE_STAR_MIDDLE_男命_偏财; candidate_only=true</x:v>
      </x:c>
      <x:c r="AE105" s="39" t="str">
        <x:v>0.2</x:v>
      </x:c>
    </x:row>
    <x:row r="106">
      <x:c r="A106" s="38" t="str">
        <x:v>M3-BASE-102</x:v>
      </x:c>
      <x:c r="B106" s="32" t="str">
        <x:v>男命偏财入日支余气｜潜在连续性</x:v>
      </x:c>
      <x:c r="C106" s="32" t="str">
        <x:v>L7 M1—M2—M3接口</x:v>
      </x:c>
      <x:c r="D106" s="32" t="str">
        <x:v>BASE-夫妻星入宫</x:v>
      </x:c>
      <x:c r="E106" s="32" t="str">
        <x:v>男命</x:v>
      </x:c>
      <x:c r="F106" s="32" t="str">
        <x:v>路由</x:v>
      </x:c>
      <x:c r="G106" s="32" t="str">
        <x:v>偏财为传统夫妻星且位于日支余气</x:v>
      </x:c>
      <x:c r="H106" s="32" t="str">
        <x:v>I06 体验联结</x:v>
      </x:c>
      <x:c r="I106" s="32" t="str">
        <x:v>偏财余气性质有效；至少有两项独立支持后才可进入正文。</x:v>
      </x:c>
      <x:c r="J106" s="32" t="str">
        <x:v>余气无支持；原性质真合化；基础十神未定。</x:v>
      </x:c>
      <x:c r="K106" s="32" t="str">
        <x:v>不限定；由后续模块修正</x:v>
      </x:c>
      <x:c r="L106" s="32" t="str">
        <x:v>偏财入宫余气</x:v>
      </x:c>
      <x:c r="M106" s="32" t="str">
        <x:v>I06 体验联结</x:v>
      </x:c>
      <x:c r="N106" s="32" t="str">
        <x:v>无／待后续模块组合</x:v>
      </x:c>
      <x:c r="O106" s="32" t="str">
        <x:v>日支或与日支直接相关</x:v>
      </x:c>
      <x:c r="P106" s="32" t="str">
        <x:v>由共享基础引擎判定</x:v>
      </x:c>
      <x:c r="Q106" s="32" t="str">
        <x:v>由共享基础引擎判定</x:v>
      </x:c>
      <x:c r="R106" s="32" t="str">
        <x:v>喜忌未定或由共享引擎提供</x:v>
      </x:c>
      <x:c r="S106" s="32" t="str">
        <x:v>原十神性质有效；无真合化或已完成相应路由</x:v>
      </x:c>
      <x:c r="T106" s="32" t="str">
        <x:v>近</x:v>
      </x:c>
      <x:c r="U106" s="32" t="n">
        <x:v>62</x:v>
      </x:c>
      <x:c r="V106" s="32" t="str">
        <x:v>潜在连续性+2；默认仅内部记录</x:v>
      </x:c>
      <x:c r="W106" s="32" t="str">
        <x:v>cross_model_ref</x:v>
      </x:c>
      <x:c r="X106" s="32" t="str">
        <x:v>余气夫妻星只提供潜在的M2—M3连续性，默认不能成为稳定相处底盘。</x:v>
      </x:c>
      <x:c r="Y106" s="32" t="str">
        <x:v>在特定情境中，你可能会把伴侣的互动与共同体验证据转化为“体验联结”的互动方式；当前证据不足以把它写成固定习惯。</x:v>
      </x:c>
      <x:c r="Z106" s="32" t="str">
        <x:v>不得凭余气夫妻星确定核心相处模式、伴侣性格或关系结果。</x:v>
      </x:c>
      <x:c r="AA106" s="32" t="str">
        <x:v>低</x:v>
      </x:c>
      <x:c r="AB106" s="32" t="str">
        <x:v>待验证</x:v>
      </x:c>
      <x:c r="AC106" s="32" t="str"/>
      <x:c r="AD106" s="32" t="str">
        <x:v>provisional=true; source_id=PALACE_SPOUSE_STAR_RESIDUAL_男命_偏财; internal_only=true</x:v>
      </x:c>
      <x:c r="AE106" s="39" t="str">
        <x:v>0.2</x:v>
      </x:c>
    </x:row>
    <x:row r="107">
      <x:c r="A107" s="38" t="str">
        <x:v>M3-BASE-103</x:v>
      </x:c>
      <x:c r="B107" s="32" t="str">
        <x:v>夫妻星入主气｜同源去重</x:v>
      </x:c>
      <x:c r="C107" s="32" t="str">
        <x:v>L8 总合成与边界审查</x:v>
      </x:c>
      <x:c r="D107" s="32" t="str">
        <x:v>BASE-夫妻星入宫</x:v>
      </x:c>
      <x:c r="E107" s="32" t="str">
        <x:v>通用</x:v>
      </x:c>
      <x:c r="F107" s="32" t="str">
        <x:v>去重</x:v>
      </x:c>
      <x:c r="G107" s="32" t="str">
        <x:v>夫妻星入日支主气</x:v>
      </x:c>
      <x:c r="H107" s="32" t="str">
        <x:v>日支主气十神</x:v>
      </x:c>
      <x:c r="I107" s="32" t="str">
        <x:v>夫妻星入宫主气与日支底盘同时参与M2、M3计算。</x:v>
      </x:c>
      <x:c r="J107" s="32" t="str">
        <x:v>夫妻星另有完全独立且可分离的近位证据。</x:v>
      </x:c>
      <x:c r="K107" s="32" t="str">
        <x:v>不限定；由后续模块修正</x:v>
      </x:c>
      <x:c r="L107" s="32" t="str">
        <x:v>夫妻星入宫接口</x:v>
      </x:c>
      <x:c r="M107" s="32" t="str">
        <x:v>日支／夫妻星</x:v>
      </x:c>
      <x:c r="N107" s="32" t="str">
        <x:v>无／待后续模块组合</x:v>
      </x:c>
      <x:c r="O107" s="32" t="str">
        <x:v>日支或与日支直接相关</x:v>
      </x:c>
      <x:c r="P107" s="32" t="str">
        <x:v>由共享基础引擎判定</x:v>
      </x:c>
      <x:c r="Q107" s="32" t="str">
        <x:v>由共享基础引擎判定</x:v>
      </x:c>
      <x:c r="R107" s="32" t="str">
        <x:v>喜忌未定或由共享引擎提供</x:v>
      </x:c>
      <x:c r="S107" s="32" t="str">
        <x:v>原十神性质有效；无真合化或已完成相应路由</x:v>
      </x:c>
      <x:c r="T107" s="32" t="str">
        <x:v>近</x:v>
      </x:c>
      <x:c r="U107" s="32" t="n">
        <x:v>98</x:v>
      </x:c>
      <x:c r="V107" s="32" t="str">
        <x:v>基础权重只算一次；保留M2资格与M3运行两种解释</x:v>
      </x:c>
      <x:c r="W107" s="32" t="str">
        <x:v>dedup_log</x:v>
      </x:c>
      <x:c r="X107" s="32" t="str">
        <x:v>同一个日支主气事实可被M2解释为资格门槛、被M3解释为关系底盘，但不能因此成为两条独立支持。</x:v>
      </x:c>
      <x:c r="Y107" s="32" t="str">
        <x:v>同一信号会从“为什么愿意开始”和“开始后怎样相处”两个角度解释，但不会重复抬高置信度。</x:v>
      </x:c>
      <x:c r="Z107" s="32" t="str">
        <x:v>不得因跨模型重复出现就把置信度虚增。 本规则不评价关系风险与适配。</x:v>
      </x:c>
      <x:c r="AA107" s="32" t="str">
        <x:v>高</x:v>
      </x:c>
      <x:c r="AB107" s="32" t="str">
        <x:v>待验证</x:v>
      </x:c>
      <x:c r="AC107" s="32" t="str"/>
      <x:c r="AD107" s="32" t="str">
        <x:v>provisional=true; cross_model_ref=M2; source_cluster=PALACE_SPOUSE_STAR</x:v>
      </x:c>
      <x:c r="AE107" s="39" t="str">
        <x:v>0.2</x:v>
      </x:c>
    </x:row>
    <x:row r="108">
      <x:c r="A108" s="38" t="str">
        <x:v>M3-BASE-104</x:v>
      </x:c>
      <x:c r="B108" s="32" t="str">
        <x:v>夫妻星入宫｜连续性不等于一致行为</x:v>
      </x:c>
      <x:c r="C108" s="32" t="str">
        <x:v>L7 M1—M2—M3接口</x:v>
      </x:c>
      <x:c r="D108" s="32" t="str">
        <x:v>BASE-夫妻星入宫</x:v>
      </x:c>
      <x:c r="E108" s="32" t="str">
        <x:v>通用</x:v>
      </x:c>
      <x:c r="F108" s="32" t="str">
        <x:v>门控</x:v>
      </x:c>
      <x:c r="G108" s="32" t="str">
        <x:v>夫妻星入宫</x:v>
      </x:c>
      <x:c r="H108" s="32" t="str">
        <x:v>M2—M3接口</x:v>
      </x:c>
      <x:c r="I108" s="32" t="str">
        <x:v>M2资格证据与M3通道属于同一十神维度。</x:v>
      </x:c>
      <x:c r="J108" s="32" t="str">
        <x:v>M2或M3任一模块停止。</x:v>
      </x:c>
      <x:c r="K108" s="32" t="str">
        <x:v>不限定；由后续模块修正</x:v>
      </x:c>
      <x:c r="L108" s="32" t="str">
        <x:v>夫妻星入宫接口</x:v>
      </x:c>
      <x:c r="M108" s="32" t="str">
        <x:v>日支／夫妻星</x:v>
      </x:c>
      <x:c r="N108" s="32" t="str">
        <x:v>无／待后续模块组合</x:v>
      </x:c>
      <x:c r="O108" s="32" t="str">
        <x:v>日支或与日支直接相关</x:v>
      </x:c>
      <x:c r="P108" s="32" t="str">
        <x:v>由共享基础引擎判定</x:v>
      </x:c>
      <x:c r="Q108" s="32" t="str">
        <x:v>由共享基础引擎判定</x:v>
      </x:c>
      <x:c r="R108" s="32" t="str">
        <x:v>喜忌未定或由共享引擎提供</x:v>
      </x:c>
      <x:c r="S108" s="32" t="str">
        <x:v>原十神性质有效；无真合化或已完成相应路由</x:v>
      </x:c>
      <x:c r="T108" s="32" t="str">
        <x:v>近</x:v>
      </x:c>
      <x:c r="U108" s="32" t="n">
        <x:v>98</x:v>
      </x:c>
      <x:c r="V108" s="32" t="str">
        <x:v>只输出连续性；不锁定具体行为频率</x:v>
      </x:c>
      <x:c r="W108" s="32" t="str">
        <x:v>cross_model_ref</x:v>
      </x:c>
      <x:c r="X108" s="32" t="str">
        <x:v>选择标准与相处底盘连续，只说明同一主题从准入延续到互动；实际表达强度仍受其他系统影响。</x:v>
      </x:c>
      <x:c r="Y108" s="32" t="str">
        <x:v>你看重的关系证据较容易延续为相处方式，但具体怎样表达仍要结合其他互动通道。</x:v>
      </x:c>
      <x:c r="Z108" s="32" t="str">
        <x:v>不得把主题连续写成行为完全一致、双方天然默契或长期适配。 本规则不评价关系风险与适配。</x:v>
      </x:c>
      <x:c r="AA108" s="32" t="str">
        <x:v>中高</x:v>
      </x:c>
      <x:c r="AB108" s="32" t="str">
        <x:v>待验证</x:v>
      </x:c>
      <x:c r="AC108" s="32" t="str"/>
      <x:c r="AD108" s="32" t="str">
        <x:v>provisional=true; cross_model_ref=M2; source_cluster=PALACE_SPOUSE_STAR</x:v>
      </x:c>
      <x:c r="AE108" s="39" t="str">
        <x:v>0.2</x:v>
      </x:c>
    </x:row>
    <x:row r="109">
      <x:c r="A109" s="38" t="str">
        <x:v>M3-BASE-105</x:v>
      </x:c>
      <x:c r="B109" s="32" t="str">
        <x:v>夫妻星不入宫｜中性处理</x:v>
      </x:c>
      <x:c r="C109" s="32" t="str">
        <x:v>L8 总合成与边界审查</x:v>
      </x:c>
      <x:c r="D109" s="32" t="str">
        <x:v>BASE-夫妻星入宫</x:v>
      </x:c>
      <x:c r="E109" s="32" t="str">
        <x:v>通用</x:v>
      </x:c>
      <x:c r="F109" s="32" t="str">
        <x:v>边界</x:v>
      </x:c>
      <x:c r="G109" s="32" t="str">
        <x:v>夫妻星未入日支</x:v>
      </x:c>
      <x:c r="H109" s="32" t="str"/>
      <x:c r="I109" s="32" t="str">
        <x:v>传统夫妻星不在日支主中余气，或状态极弱。</x:v>
      </x:c>
      <x:c r="J109" s="32" t="str">
        <x:v>夫妻星状态本身未定。</x:v>
      </x:c>
      <x:c r="K109" s="32" t="str">
        <x:v>不限定；由后续模块修正</x:v>
      </x:c>
      <x:c r="L109" s="32" t="str">
        <x:v>夫妻星入宫接口</x:v>
      </x:c>
      <x:c r="M109" s="32" t="str">
        <x:v>日支／夫妻星</x:v>
      </x:c>
      <x:c r="N109" s="32" t="str">
        <x:v>无／待后续模块组合</x:v>
      </x:c>
      <x:c r="O109" s="32" t="str">
        <x:v>日支或与日支直接相关</x:v>
      </x:c>
      <x:c r="P109" s="32" t="str">
        <x:v>由共享基础引擎判定</x:v>
      </x:c>
      <x:c r="Q109" s="32" t="str">
        <x:v>由共享基础引擎判定</x:v>
      </x:c>
      <x:c r="R109" s="32" t="str">
        <x:v>喜忌未定或由共享引擎提供</x:v>
      </x:c>
      <x:c r="S109" s="32" t="str">
        <x:v>原十神性质有效；无真合化或已完成相应路由</x:v>
      </x:c>
      <x:c r="T109" s="32" t="str">
        <x:v>近</x:v>
      </x:c>
      <x:c r="U109" s="32" t="n">
        <x:v>98</x:v>
      </x:c>
      <x:c r="V109" s="32" t="str">
        <x:v>不减分；不生成负面结论</x:v>
      </x:c>
      <x:c r="W109" s="32" t="str">
        <x:v>boundary_note</x:v>
      </x:c>
      <x:c r="X109" s="32" t="str">
        <x:v>M3以日柱关系底盘为核心，夫妻星不入宫并不代表缺少相处能力，只表示M2资格标准与M3底盘未直接重合。</x:v>
      </x:c>
      <x:c r="Y109" s="32" t="str">
        <x:v>你的关系选择标准与进入关系后的相处方式未必由同一信号主导，这本身并不是问题。</x:v>
      </x:c>
      <x:c r="Z109" s="32" t="str">
        <x:v>不得推出没有婚姻、伴侣不进入生活、关系疏离或缺乏感情。 本规则不评价关系风险与适配。</x:v>
      </x:c>
      <x:c r="AA109" s="32" t="str">
        <x:v>高</x:v>
      </x:c>
      <x:c r="AB109" s="32" t="str">
        <x:v>待验证</x:v>
      </x:c>
      <x:c r="AC109" s="32" t="str"/>
      <x:c r="AD109" s="32" t="str">
        <x:v>provisional=true; cross_model_ref=M2; source_cluster=PALACE_SPOUSE_STAR</x:v>
      </x:c>
      <x:c r="AE109" s="39" t="str">
        <x:v>0.2</x:v>
      </x:c>
    </x:row>
    <x:row r="110">
      <x:c r="A110" s="38" t="str">
        <x:v>M3-BASE-106</x:v>
      </x:c>
      <x:c r="B110" s="32" t="str">
        <x:v>夫妻星居中余气且主气不同｜伴侣触发次通道</x:v>
      </x:c>
      <x:c r="C110" s="32" t="str">
        <x:v>L8 总合成与边界审查</x:v>
      </x:c>
      <x:c r="D110" s="32" t="str">
        <x:v>BASE-夫妻星入宫</x:v>
      </x:c>
      <x:c r="E110" s="32" t="str">
        <x:v>通用</x:v>
      </x:c>
      <x:c r="F110" s="32" t="str">
        <x:v>组合</x:v>
      </x:c>
      <x:c r="G110" s="32" t="str">
        <x:v>夫妻星中余气</x:v>
      </x:c>
      <x:c r="H110" s="32" t="str">
        <x:v>非夫妻星主气</x:v>
      </x:c>
      <x:c r="I110" s="32" t="str">
        <x:v>日支主气有效；夫妻星位于中气或余气并有支持；两者功能不同。</x:v>
      </x:c>
      <x:c r="J110" s="32" t="str">
        <x:v>夫妻星弱无支持；两者同系统可直接收敛。</x:v>
      </x:c>
      <x:c r="K110" s="32" t="str">
        <x:v>不限定；由后续模块修正</x:v>
      </x:c>
      <x:c r="L110" s="32" t="str">
        <x:v>夫妻星入宫接口</x:v>
      </x:c>
      <x:c r="M110" s="32" t="str">
        <x:v>日支／夫妻星</x:v>
      </x:c>
      <x:c r="N110" s="32" t="str">
        <x:v>无／待后续模块组合</x:v>
      </x:c>
      <x:c r="O110" s="32" t="str">
        <x:v>日支或与日支直接相关</x:v>
      </x:c>
      <x:c r="P110" s="32" t="str">
        <x:v>由共享基础引擎判定</x:v>
      </x:c>
      <x:c r="Q110" s="32" t="str">
        <x:v>由共享基础引擎判定</x:v>
      </x:c>
      <x:c r="R110" s="32" t="str">
        <x:v>喜忌未定或由共享引擎提供</x:v>
      </x:c>
      <x:c r="S110" s="32" t="str">
        <x:v>原十神性质有效；无真合化或已完成相应路由</x:v>
      </x:c>
      <x:c r="T110" s="32" t="str">
        <x:v>近</x:v>
      </x:c>
      <x:c r="U110" s="32" t="n">
        <x:v>80</x:v>
      </x:c>
      <x:c r="V110" s="32" t="str">
        <x:v>主气为底盘；夫妻星为伴侣触发候选</x:v>
      </x:c>
      <x:c r="W110" s="32" t="str">
        <x:v>secondary_baseline</x:v>
      </x:c>
      <x:c r="X110" s="32" t="str">
        <x:v>此结构适合解释为日常底盘与伴侣行为触发的次通道分工，而非两个同等核心。</x:v>
      </x:c>
      <x:c r="Y110" s="32" t="str">
        <x:v>你平时有一套主要相处方式，但当伴侣以某类方式回应时，可能会启动另一套互动通道。</x:v>
      </x:c>
      <x:c r="Z110" s="32" t="str">
        <x:v>不得写成用户表里不一、关系复杂或伴侣控制用户。 本规则不评价关系风险与适配。</x:v>
      </x:c>
      <x:c r="AA110" s="32" t="str">
        <x:v>中</x:v>
      </x:c>
      <x:c r="AB110" s="32" t="str">
        <x:v>待验证</x:v>
      </x:c>
      <x:c r="AC110" s="32" t="str"/>
      <x:c r="AD110" s="32" t="str">
        <x:v>provisional=true; cross_model_ref=M2; source_cluster=PALACE_SPOUSE_STAR</x:v>
      </x:c>
      <x:c r="AE110" s="39" t="str">
        <x:v>0.2</x:v>
      </x:c>
    </x:row>
    <x:row r="111">
      <x:c r="A111" s="38" t="str">
        <x:v>M3-BASE-107</x:v>
      </x:c>
      <x:c r="B111" s="32" t="str">
        <x:v>官杀或财星同宫并见｜先系统收敛</x:v>
      </x:c>
      <x:c r="C111" s="32" t="str">
        <x:v>L8 总合成与边界审查</x:v>
      </x:c>
      <x:c r="D111" s="32" t="str">
        <x:v>BASE-夫妻星入宫</x:v>
      </x:c>
      <x:c r="E111" s="32" t="str">
        <x:v>通用</x:v>
      </x:c>
      <x:c r="F111" s="32" t="str">
        <x:v>去重</x:v>
      </x:c>
      <x:c r="G111" s="32" t="str">
        <x:v>两类传统夫妻星同入日支</x:v>
      </x:c>
      <x:c r="H111" s="32" t="str">
        <x:v>正偏并见</x:v>
      </x:c>
      <x:c r="I111" s="32" t="str">
        <x:v>女命官杀并见于日支，或男命正偏财并见于日支；原性质有效。</x:v>
      </x:c>
      <x:c r="J111" s="32" t="str">
        <x:v>一方真合化或完全失效。</x:v>
      </x:c>
      <x:c r="K111" s="32" t="str">
        <x:v>不限定；由后续模块修正</x:v>
      </x:c>
      <x:c r="L111" s="32" t="str">
        <x:v>夫妻星入宫接口</x:v>
      </x:c>
      <x:c r="M111" s="32" t="str">
        <x:v>日支／夫妻星</x:v>
      </x:c>
      <x:c r="N111" s="32" t="str">
        <x:v>无／待后续模块组合</x:v>
      </x:c>
      <x:c r="O111" s="32" t="str">
        <x:v>日支或与日支直接相关</x:v>
      </x:c>
      <x:c r="P111" s="32" t="str">
        <x:v>由共享基础引擎判定</x:v>
      </x:c>
      <x:c r="Q111" s="32" t="str">
        <x:v>由共享基础引擎判定</x:v>
      </x:c>
      <x:c r="R111" s="32" t="str">
        <x:v>喜忌未定或由共享引擎提供</x:v>
      </x:c>
      <x:c r="S111" s="32" t="str">
        <x:v>原十神性质有效；无真合化或已完成相应路由</x:v>
      </x:c>
      <x:c r="T111" s="32" t="str">
        <x:v>近</x:v>
      </x:c>
      <x:c r="U111" s="32" t="n">
        <x:v>98</x:v>
      </x:c>
      <x:c r="V111" s="32" t="str">
        <x:v>先收敛同系统；正偏只作风格分工</x:v>
      </x:c>
      <x:c r="W111" s="32" t="str">
        <x:v>interaction_pattern</x:v>
      </x:c>
      <x:c r="X111" s="32" t="str">
        <x:v>官杀同属责任行动系统，正偏财同属投入经营系统；先形成一个系统底盘，再判断规则/行动或稳定/灵活风格。</x:v>
      </x:c>
      <x:c r="Y111" s="32" t="str">
        <x:v>你的相处底盘主题较集中，只是在同一方向里可能同时有两种风格。</x:v>
      </x:c>
      <x:c r="Z111" s="32" t="str">
        <x:v>不得写成感情复杂、选择多、花心或两套人格。 本规则不评价关系风险与适配。</x:v>
      </x:c>
      <x:c r="AA111" s="32" t="str">
        <x:v>中高</x:v>
      </x:c>
      <x:c r="AB111" s="32" t="str">
        <x:v>待验证</x:v>
      </x:c>
      <x:c r="AC111" s="32" t="str"/>
      <x:c r="AD111" s="32" t="str">
        <x:v>provisional=true; cross_model_ref=M2; source_cluster=PALACE_SPOUSE_STAR</x:v>
      </x:c>
      <x:c r="AE111" s="39" t="str">
        <x:v>0.2</x:v>
      </x:c>
    </x:row>
    <x:row r="112">
      <x:c r="A112" s="38" t="str">
        <x:v>M3-BASE-108</x:v>
      </x:c>
      <x:c r="B112" s="32" t="str">
        <x:v>夫妻星入宫且主气受损｜连续性降级</x:v>
      </x:c>
      <x:c r="C112" s="32" t="str">
        <x:v>L7 M1—M2—M3接口</x:v>
      </x:c>
      <x:c r="D112" s="32" t="str">
        <x:v>BASE-夫妻星入宫</x:v>
      </x:c>
      <x:c r="E112" s="32" t="str">
        <x:v>通用</x:v>
      </x:c>
      <x:c r="F112" s="32" t="str">
        <x:v>修正</x:v>
      </x:c>
      <x:c r="G112" s="32" t="str">
        <x:v>夫妻星入宫主气</x:v>
      </x:c>
      <x:c r="H112" s="32" t="str">
        <x:v>主气受损</x:v>
      </x:c>
      <x:c r="I112" s="32" t="str">
        <x:v>夫妻星为日支主气，但主气明显受冲制、失衡或运行受阻；未真合化。</x:v>
      </x:c>
      <x:c r="J112" s="32" t="str">
        <x:v>主气强稳；真合化已经另行路由。</x:v>
      </x:c>
      <x:c r="K112" s="32" t="str">
        <x:v>不限定；由后续模块修正</x:v>
      </x:c>
      <x:c r="L112" s="32" t="str">
        <x:v>夫妻星入宫接口</x:v>
      </x:c>
      <x:c r="M112" s="32" t="str">
        <x:v>日支／夫妻星</x:v>
      </x:c>
      <x:c r="N112" s="32" t="str">
        <x:v>无／待后续模块组合</x:v>
      </x:c>
      <x:c r="O112" s="32" t="str">
        <x:v>日支或与日支直接相关</x:v>
      </x:c>
      <x:c r="P112" s="32" t="str">
        <x:v>由共享基础引擎判定</x:v>
      </x:c>
      <x:c r="Q112" s="32" t="str">
        <x:v>由共享基础引擎判定</x:v>
      </x:c>
      <x:c r="R112" s="32" t="str">
        <x:v>喜忌未定或由共享引擎提供</x:v>
      </x:c>
      <x:c r="S112" s="32" t="str">
        <x:v>原十神性质有效；无真合化或已完成相应路由</x:v>
      </x:c>
      <x:c r="T112" s="32" t="str">
        <x:v>近</x:v>
      </x:c>
      <x:c r="U112" s="32" t="n">
        <x:v>80</x:v>
      </x:c>
      <x:c r="V112" s="32" t="str">
        <x:v>连续性-6；转为情境候选</x:v>
      </x:c>
      <x:c r="W112" s="32" t="str">
        <x:v>cross_model_ref</x:v>
      </x:c>
      <x:c r="X112" s="32" t="str">
        <x:v>位置上的连续性仍在，但主气运行不稳时，不宜把M2资格主题直接写成M3稳定相处方式。</x:v>
      </x:c>
      <x:c r="Y112" s="32" t="str">
        <x:v>你看重的关系证据仍会影响相处，但它未必在所有情境中都能稳定转化为同一种行为。</x:v>
      </x:c>
      <x:c r="Z112" s="32" t="str">
        <x:v>不得将受损直接解释为关系失败或伴侣不负责。 本规则不评价关系风险与适配。</x:v>
      </x:c>
      <x:c r="AA112" s="32" t="str">
        <x:v>中低</x:v>
      </x:c>
      <x:c r="AB112" s="32" t="str">
        <x:v>待验证</x:v>
      </x:c>
      <x:c r="AC112" s="32" t="str"/>
      <x:c r="AD112" s="32" t="str">
        <x:v>provisional=true; cross_model_ref=M2; source_cluster=PALACE_SPOUSE_STAR</x:v>
      </x:c>
      <x:c r="AE112" s="39" t="str">
        <x:v>0.2</x:v>
      </x:c>
    </x:row>
    <x:row r="113">
      <x:c r="A113" s="38" t="str">
        <x:v>M3-BASE-109</x:v>
      </x:c>
      <x:c r="B113" s="32" t="str">
        <x:v>夫妻星真合化｜停止原夫妻星接口</x:v>
      </x:c>
      <x:c r="C113" s="32" t="str">
        <x:v>L7 M1—M2—M3接口</x:v>
      </x:c>
      <x:c r="D113" s="32" t="str">
        <x:v>BASE-夫妻星入宫</x:v>
      </x:c>
      <x:c r="E113" s="32" t="str">
        <x:v>通用</x:v>
      </x:c>
      <x:c r="F113" s="32" t="str">
        <x:v>停止</x:v>
      </x:c>
      <x:c r="G113" s="32" t="str">
        <x:v>夫妻星入宫</x:v>
      </x:c>
      <x:c r="H113" s="32" t="str">
        <x:v>真合化</x:v>
      </x:c>
      <x:c r="I113" s="32" t="str">
        <x:v>共享引擎确认夫妻星所在日支真合化，原十神功能不再作为稳定基础。</x:v>
      </x:c>
      <x:c r="J113" s="32" t="str">
        <x:v>仅合而不化、合绊或化神未定。</x:v>
      </x:c>
      <x:c r="K113" s="32" t="str">
        <x:v>不限定；由后续模块修正</x:v>
      </x:c>
      <x:c r="L113" s="32" t="str">
        <x:v>夫妻星入宫接口</x:v>
      </x:c>
      <x:c r="M113" s="32" t="str">
        <x:v>日支／夫妻星</x:v>
      </x:c>
      <x:c r="N113" s="32" t="str">
        <x:v>无／待后续模块组合</x:v>
      </x:c>
      <x:c r="O113" s="32" t="str">
        <x:v>日支或与日支直接相关</x:v>
      </x:c>
      <x:c r="P113" s="32" t="str">
        <x:v>由共享基础引擎判定</x:v>
      </x:c>
      <x:c r="Q113" s="32" t="str">
        <x:v>由共享基础引擎判定</x:v>
      </x:c>
      <x:c r="R113" s="32" t="str">
        <x:v>喜忌未定或由共享引擎提供</x:v>
      </x:c>
      <x:c r="S113" s="32" t="str">
        <x:v>原十神性质有效；无真合化或已完成相应路由</x:v>
      </x:c>
      <x:c r="T113" s="32" t="str">
        <x:v>近</x:v>
      </x:c>
      <x:c r="U113" s="32" t="n">
        <x:v>98</x:v>
      </x:c>
      <x:c r="V113" s="32" t="str">
        <x:v>原夫妻星接口清零；路由化神</x:v>
      </x:c>
      <x:c r="W113" s="32" t="str">
        <x:v>cross_model_ref</x:v>
      </x:c>
      <x:c r="X113" s="32" t="str">
        <x:v>真合化后不能继续用原夫妻星解释M2—M3连续性。</x:v>
      </x:c>
      <x:c r="Y113" s="32" t="str">
        <x:v>原来的夫妻星主题暂不直接用于相处判断，需要改看合化后的关系运行方向。</x:v>
      </x:c>
      <x:c r="Z113" s="32" t="str">
        <x:v>不得同时保留原夫妻星和化神的满分解释。 本规则不评价关系风险与适配。</x:v>
      </x:c>
      <x:c r="AA113" s="32" t="str">
        <x:v>停止</x:v>
      </x:c>
      <x:c r="AB113" s="32" t="str">
        <x:v>待验证</x:v>
      </x:c>
      <x:c r="AC113" s="32" t="str"/>
      <x:c r="AD113" s="32" t="str">
        <x:v>provisional=true; cross_model_ref=M2; source_cluster=PALACE_SPOUSE_STAR</x:v>
      </x:c>
      <x:c r="AE113" s="39" t="str">
        <x:v>0.2</x:v>
      </x:c>
    </x:row>
    <x:row r="114">
      <x:c r="A114" s="38" t="str">
        <x:v>M3-BASE-110</x:v>
      </x:c>
      <x:c r="B114" s="32" t="str">
        <x:v>夫妻星入宫｜传统角色边界</x:v>
      </x:c>
      <x:c r="C114" s="32" t="str">
        <x:v>L8 总合成与边界审查</x:v>
      </x:c>
      <x:c r="D114" s="32" t="str">
        <x:v>BASE-夫妻星入宫</x:v>
      </x:c>
      <x:c r="E114" s="32" t="str">
        <x:v>通用</x:v>
      </x:c>
      <x:c r="F114" s="32" t="str">
        <x:v>边界</x:v>
      </x:c>
      <x:c r="G114" s="32" t="str">
        <x:v>夫妻星入宫</x:v>
      </x:c>
      <x:c r="H114" s="32" t="str">
        <x:v>性别口径</x:v>
      </x:c>
      <x:c r="I114" s="32" t="str">
        <x:v>任何夫妻星入宫规则进入用户输出。</x:v>
      </x:c>
      <x:c r="J114" s="32" t="str">
        <x:v>无。</x:v>
      </x:c>
      <x:c r="K114" s="32" t="str">
        <x:v>不限定；由后续模块修正</x:v>
      </x:c>
      <x:c r="L114" s="32" t="str">
        <x:v>夫妻星入宫接口</x:v>
      </x:c>
      <x:c r="M114" s="32" t="str">
        <x:v>日支／夫妻星</x:v>
      </x:c>
      <x:c r="N114" s="32" t="str">
        <x:v>无／待后续模块组合</x:v>
      </x:c>
      <x:c r="O114" s="32" t="str">
        <x:v>日支或与日支直接相关</x:v>
      </x:c>
      <x:c r="P114" s="32" t="str">
        <x:v>由共享基础引擎判定</x:v>
      </x:c>
      <x:c r="Q114" s="32" t="str">
        <x:v>由共享基础引擎判定</x:v>
      </x:c>
      <x:c r="R114" s="32" t="str">
        <x:v>喜忌未定或由共享引擎提供</x:v>
      </x:c>
      <x:c r="S114" s="32" t="str">
        <x:v>原十神性质有效；无真合化或已完成相应路由</x:v>
      </x:c>
      <x:c r="T114" s="32" t="str">
        <x:v>近</x:v>
      </x:c>
      <x:c r="U114" s="32" t="n">
        <x:v>98</x:v>
      </x:c>
      <x:c r="V114" s="32" t="str">
        <x:v>强制附加边界说明</x:v>
      </x:c>
      <x:c r="W114" s="32" t="str">
        <x:v>boundary_note</x:v>
      </x:c>
      <x:c r="X114" s="32" t="str">
        <x:v>夫妻星是传统取象接口，不等于现代关系中的固定性别角色、职业或人格。</x:v>
      </x:c>
      <x:c r="Y114" s="32" t="str">
        <x:v>这里描述的是关系主题如何进入相处方式，不是在给伴侣贴固定身份或性格标签。</x:v>
      </x:c>
      <x:c r="Z114" s="32" t="str">
        <x:v>不得推出男方必须负责、女方必须经营家庭，或同性/非传统关系无法使用本模型。 本规则不评价关系风险与适配。</x:v>
      </x:c>
      <x:c r="AA114" s="32" t="str">
        <x:v>高</x:v>
      </x:c>
      <x:c r="AB114" s="32" t="str">
        <x:v>待验证</x:v>
      </x:c>
      <x:c r="AC114" s="32" t="str"/>
      <x:c r="AD114" s="32" t="str">
        <x:v>provisional=true; cross_model_ref=M2; source_cluster=PALACE_SPOUSE_STAR</x:v>
      </x:c>
      <x:c r="AE114" s="39" t="str">
        <x:v>0.2</x:v>
      </x:c>
    </x:row>
    <x:row r="115">
      <x:c r="A115" s="38" t="str">
        <x:v>M3-BASE-111</x:v>
      </x:c>
      <x:c r="B115" s="32" t="str">
        <x:v>日支受合｜有效底盘修正</x:v>
      </x:c>
      <x:c r="C115" s="32" t="str">
        <x:v>L6 状态切换</x:v>
      </x:c>
      <x:c r="D115" s="32" t="str">
        <x:v>BASE-宫位动态</x:v>
      </x:c>
      <x:c r="E115" s="32" t="str">
        <x:v>通用</x:v>
      </x:c>
      <x:c r="F115" s="32" t="str">
        <x:v>修正</x:v>
      </x:c>
      <x:c r="G115" s="32" t="str">
        <x:v>日支受有效合</x:v>
      </x:c>
      <x:c r="H115" s="32" t="str">
        <x:v>协调与绑定</x:v>
      </x:c>
      <x:c r="I115" s="32" t="str">
        <x:v>共享引擎确认合真实成立、直接涉及日支且达到模型最低作用阈值；原日支十神仍有效。</x:v>
      </x:c>
      <x:c r="J115" s="32" t="str">
        <x:v>合未成立、作用弱远、仅为阶段性信息；若为合且真合化则改走合化规则。</x:v>
      </x:c>
      <x:c r="K115" s="32" t="str">
        <x:v>不限定；由后续模块修正</x:v>
      </x:c>
      <x:c r="L115" s="32" t="str">
        <x:v>不限定</x:v>
      </x:c>
      <x:c r="M115" s="32" t="str">
        <x:v>协调与绑定</x:v>
      </x:c>
      <x:c r="N115" s="32" t="str">
        <x:v>无／待后续模块组合</x:v>
      </x:c>
      <x:c r="O115" s="32" t="str">
        <x:v>日支或与日支直接相关</x:v>
      </x:c>
      <x:c r="P115" s="32" t="str">
        <x:v>由共享基础引擎判定</x:v>
      </x:c>
      <x:c r="Q115" s="32" t="str">
        <x:v>由共享基础引擎判定</x:v>
      </x:c>
      <x:c r="R115" s="32" t="str">
        <x:v>喜忌未定或由共享引擎提供</x:v>
      </x:c>
      <x:c r="S115" s="32" t="str">
        <x:v>原十神保留；若真合化则本规则不适用</x:v>
      </x:c>
      <x:c r="T115" s="32" t="str">
        <x:v>近</x:v>
      </x:c>
      <x:c r="U115" s="32" t="n">
        <x:v>84</x:v>
      </x:c>
      <x:c r="V115" s="32" t="str">
        <x:v>底盘修正；状态切换候选+6</x:v>
      </x:c>
      <x:c r="W115" s="32" t="str">
        <x:v>stress_shift</x:v>
      </x:c>
      <x:c r="X115" s="32" t="str">
        <x:v>日支受到有效合而未真化时，原底盘保留，但关系运行更容易把另一方、另一领域或另一套条件纳入整体协调。 宫位动态只修正运行方式，不创造新的十神底盘。</x:v>
      </x:c>
      <x:c r="Y115" s="32" t="str">
        <x:v>你的核心相处底盘仍在，但关系里更容易出现“先协调、再决定怎样推进”的倾向。</x:v>
      </x:c>
      <x:c r="Z115" s="32" t="str">
        <x:v>不得推出一定恩爱、黏人、依赖、被伴侣绑定，或出现多个对象。 本规则不判断关系风险和结果。</x:v>
      </x:c>
      <x:c r="AA115" s="32" t="str">
        <x:v>中</x:v>
      </x:c>
      <x:c r="AB115" s="32" t="str">
        <x:v>待验证</x:v>
      </x:c>
      <x:c r="AC115" s="32" t="str"/>
      <x:c r="AD115" s="32" t="str">
        <x:v>provisional=true; source_id=DAY_BRANCH_DYNAMIC_合; interaction_state=平稳→压力修正</x:v>
      </x:c>
      <x:c r="AE115" s="39" t="str">
        <x:v>0.2</x:v>
      </x:c>
    </x:row>
    <x:row r="116">
      <x:c r="A116" s="38" t="str">
        <x:v>M3-BASE-112</x:v>
      </x:c>
      <x:c r="B116" s="32" t="str">
        <x:v>日支受合｜平稳状态表达</x:v>
      </x:c>
      <x:c r="C116" s="32" t="str">
        <x:v>L6 状态切换</x:v>
      </x:c>
      <x:c r="D116" s="32" t="str">
        <x:v>BASE-宫位动态</x:v>
      </x:c>
      <x:c r="E116" s="32" t="str">
        <x:v>通用</x:v>
      </x:c>
      <x:c r="F116" s="32" t="str">
        <x:v>输出候选</x:v>
      </x:c>
      <x:c r="G116" s="32" t="str">
        <x:v>日支受有效合</x:v>
      </x:c>
      <x:c r="H116" s="32" t="str">
        <x:v>平稳状态</x:v>
      </x:c>
      <x:c r="I116" s="32" t="str">
        <x:v>合有效；核心日支底盘已成立；无更强冲突动态覆盖。</x:v>
      </x:c>
      <x:c r="J116" s="32" t="str">
        <x:v>基础底盘停止；多项动态主次未定。</x:v>
      </x:c>
      <x:c r="K116" s="32" t="str">
        <x:v>不限定；由后续模块修正</x:v>
      </x:c>
      <x:c r="L116" s="32" t="str">
        <x:v>不限定</x:v>
      </x:c>
      <x:c r="M116" s="32" t="str">
        <x:v>协调与绑定</x:v>
      </x:c>
      <x:c r="N116" s="32" t="str">
        <x:v>无／待后续模块组合</x:v>
      </x:c>
      <x:c r="O116" s="32" t="str">
        <x:v>日支或与日支直接相关</x:v>
      </x:c>
      <x:c r="P116" s="32" t="str">
        <x:v>由共享基础引擎判定</x:v>
      </x:c>
      <x:c r="Q116" s="32" t="str">
        <x:v>由共享基础引擎判定</x:v>
      </x:c>
      <x:c r="R116" s="32" t="str">
        <x:v>喜忌未定或由共享引擎提供</x:v>
      </x:c>
      <x:c r="S116" s="32" t="str">
        <x:v>原十神性质有效；无真合化或已完成相应路由</x:v>
      </x:c>
      <x:c r="T116" s="32" t="str">
        <x:v>近</x:v>
      </x:c>
      <x:c r="U116" s="32" t="n">
        <x:v>72</x:v>
      </x:c>
      <x:c r="V116" s="32" t="str">
        <x:v>不独立加分</x:v>
      </x:c>
      <x:c r="W116" s="32" t="str">
        <x:v>relationship_baseline</x:v>
      </x:c>
      <x:c r="X116" s="32" t="str">
        <x:v>把合的中性作用翻译为平稳状态下的底盘修饰，不把它写成事件预测。</x:v>
      </x:c>
      <x:c r="Y116" s="32" t="str">
        <x:v>你的核心相处底盘仍在，但关系里更容易出现“先协调、再决定怎样推进”的倾向。</x:v>
      </x:c>
      <x:c r="Z116" s="32" t="str">
        <x:v>不得推出一定恩爱、黏人、依赖、被伴侣绑定，或出现多个对象。</x:v>
      </x:c>
      <x:c r="AA116" s="32" t="str">
        <x:v>中</x:v>
      </x:c>
      <x:c r="AB116" s="32" t="str">
        <x:v>待验证</x:v>
      </x:c>
      <x:c r="AC116" s="32" t="str"/>
      <x:c r="AD116" s="32" t="str">
        <x:v>provisional=true; source_id=DAY_BRANCH_DYNAMIC_合; summary_only=true</x:v>
      </x:c>
      <x:c r="AE116" s="39" t="str">
        <x:v>0.2</x:v>
      </x:c>
    </x:row>
    <x:row r="117">
      <x:c r="A117" s="38" t="str">
        <x:v>M3-BASE-113</x:v>
      </x:c>
      <x:c r="B117" s="32" t="str">
        <x:v>日支受合｜压力状态路由</x:v>
      </x:c>
      <x:c r="C117" s="32" t="str">
        <x:v>L6 状态切换</x:v>
      </x:c>
      <x:c r="D117" s="32" t="str">
        <x:v>BASE-宫位动态</x:v>
      </x:c>
      <x:c r="E117" s="32" t="str">
        <x:v>通用</x:v>
      </x:c>
      <x:c r="F117" s="32" t="str">
        <x:v>路由</x:v>
      </x:c>
      <x:c r="G117" s="32" t="str">
        <x:v>日支受有效合</x:v>
      </x:c>
      <x:c r="H117" s="32" t="str">
        <x:v>压力激活</x:v>
      </x:c>
      <x:c r="I117" s="32" t="str">
        <x:v>合有效；存在压力状态或分歧场景的第二类证据；M3-STATE输入完整。</x:v>
      </x:c>
      <x:c r="J117" s="32" t="str">
        <x:v>仅凭原局无状态证据；相关动态弱或争议。</x:v>
      </x:c>
      <x:c r="K117" s="32" t="str">
        <x:v>不限定；由后续模块修正</x:v>
      </x:c>
      <x:c r="L117" s="32" t="str">
        <x:v>不限定</x:v>
      </x:c>
      <x:c r="M117" s="32" t="str">
        <x:v>协调与绑定</x:v>
      </x:c>
      <x:c r="N117" s="32" t="str">
        <x:v>无／待后续模块组合</x:v>
      </x:c>
      <x:c r="O117" s="32" t="str">
        <x:v>日支或与日支直接相关</x:v>
      </x:c>
      <x:c r="P117" s="32" t="str">
        <x:v>由共享基础引擎判定</x:v>
      </x:c>
      <x:c r="Q117" s="32" t="str">
        <x:v>由共享基础引擎判定</x:v>
      </x:c>
      <x:c r="R117" s="32" t="str">
        <x:v>喜忌未定或由共享引擎提供</x:v>
      </x:c>
      <x:c r="S117" s="32" t="str">
        <x:v>原十神性质有效；无真合化或已完成相应路由</x:v>
      </x:c>
      <x:c r="T117" s="32" t="str">
        <x:v>近</x:v>
      </x:c>
      <x:c r="U117" s="32" t="n">
        <x:v>70</x:v>
      </x:c>
      <x:c r="V117" s="32" t="str">
        <x:v>转M3-STATE／CONFLICT候选</x:v>
      </x:c>
      <x:c r="W117" s="32" t="str">
        <x:v>stress_shift</x:v>
      </x:c>
      <x:c r="X117" s="32" t="str">
        <x:v>压力增加时，合可能使用户先寻求兼顾、等待对方回应或把多方条件放在一起处理。 BASE只负责路由，不直接锁定具体分歧行为。</x:v>
      </x:c>
      <x:c r="Y117" s="32" t="str">
        <x:v>遇到压力时，你可能先尝试协调彼此安排或找到兼顾点，再直接表达自己的单一立场。</x:v>
      </x:c>
      <x:c r="Z117" s="32" t="str">
        <x:v>不得推出一定恩爱、黏人、依赖、被伴侣绑定，或出现多个对象。 不得把压力候选写成必然发生。</x:v>
      </x:c>
      <x:c r="AA117" s="32" t="str">
        <x:v>中低</x:v>
      </x:c>
      <x:c r="AB117" s="32" t="str">
        <x:v>待验证</x:v>
      </x:c>
      <x:c r="AC117" s="32" t="str"/>
      <x:c r="AD117" s="32" t="str">
        <x:v>provisional=true; source_id=DAY_BRANCH_DYNAMIC_合; route_only=true; interaction_state=压力</x:v>
      </x:c>
      <x:c r="AE117" s="39" t="str">
        <x:v>0.2</x:v>
      </x:c>
    </x:row>
    <x:row r="118">
      <x:c r="A118" s="38" t="str">
        <x:v>M3-BASE-114</x:v>
      </x:c>
      <x:c r="B118" s="32" t="str">
        <x:v>日支受合｜弱远不改核心</x:v>
      </x:c>
      <x:c r="C118" s="32" t="str">
        <x:v>L8 总合成与边界审查</x:v>
      </x:c>
      <x:c r="D118" s="32" t="str">
        <x:v>BASE-宫位动态</x:v>
      </x:c>
      <x:c r="E118" s="32" t="str">
        <x:v>通用</x:v>
      </x:c>
      <x:c r="F118" s="32" t="str">
        <x:v>门控</x:v>
      </x:c>
      <x:c r="G118" s="32" t="str">
        <x:v>弱／远／争议合</x:v>
      </x:c>
      <x:c r="H118" s="32" t="str">
        <x:v>作用不足</x:v>
      </x:c>
      <x:c r="I118" s="32" t="str">
        <x:v>存在合形式，但强度、距离或成立条件不足。</x:v>
      </x:c>
      <x:c r="J118" s="32" t="str">
        <x:v>合已达到有效阈值。</x:v>
      </x:c>
      <x:c r="K118" s="32" t="str">
        <x:v>不限定；由后续模块修正</x:v>
      </x:c>
      <x:c r="L118" s="32" t="str">
        <x:v>不限定</x:v>
      </x:c>
      <x:c r="M118" s="32" t="str">
        <x:v>协调与绑定</x:v>
      </x:c>
      <x:c r="N118" s="32" t="str">
        <x:v>无／待后续模块组合</x:v>
      </x:c>
      <x:c r="O118" s="32" t="str">
        <x:v>日支或与日支直接相关</x:v>
      </x:c>
      <x:c r="P118" s="32" t="str">
        <x:v>由共享基础引擎判定</x:v>
      </x:c>
      <x:c r="Q118" s="32" t="str">
        <x:v>由共享基础引擎判定</x:v>
      </x:c>
      <x:c r="R118" s="32" t="str">
        <x:v>喜忌未定或由共享引擎提供</x:v>
      </x:c>
      <x:c r="S118" s="32" t="str">
        <x:v>原十神性质有效；无真合化或已完成相应路由</x:v>
      </x:c>
      <x:c r="T118" s="32" t="str">
        <x:v>近</x:v>
      </x:c>
      <x:c r="U118" s="32" t="n">
        <x:v>96</x:v>
      </x:c>
      <x:c r="V118" s="32" t="str">
        <x:v>不进入核心；仅内部备注</x:v>
      </x:c>
      <x:c r="W118" s="32" t="str">
        <x:v>boundary_note</x:v>
      </x:c>
      <x:c r="X118" s="32" t="str">
        <x:v>避免见到合字样就直接修改关系底盘；必须先通过共享引擎的有效性判定。</x:v>
      </x:c>
      <x:c r="Y118" s="32" t="str">
        <x:v>如果这项合力较弱或距离较远，它只作为背景，不足以改变核心相处模式。</x:v>
      </x:c>
      <x:c r="Z118" s="32" t="str">
        <x:v>不得推出一定恩爱、黏人、依赖、被伴侣绑定，或出现多个对象。 不得用低效信号生成确定文案。</x:v>
      </x:c>
      <x:c r="AA118" s="32" t="str">
        <x:v>高</x:v>
      </x:c>
      <x:c r="AB118" s="32" t="str">
        <x:v>待验证</x:v>
      </x:c>
      <x:c r="AC118" s="32" t="str"/>
      <x:c r="AD118" s="32" t="str">
        <x:v>provisional=true; gate=true; source_id=DAY_BRANCH_DYNAMIC_合</x:v>
      </x:c>
      <x:c r="AE118" s="39" t="str">
        <x:v>0.2</x:v>
      </x:c>
    </x:row>
    <x:row r="119">
      <x:c r="A119" s="38" t="str">
        <x:v>M3-BASE-115</x:v>
      </x:c>
      <x:c r="B119" s="32" t="str">
        <x:v>日支多重合或重复作用｜情境化</x:v>
      </x:c>
      <x:c r="C119" s="32" t="str">
        <x:v>L6 状态切换</x:v>
      </x:c>
      <x:c r="D119" s="32" t="str">
        <x:v>BASE-宫位动态</x:v>
      </x:c>
      <x:c r="E119" s="32" t="str">
        <x:v>通用</x:v>
      </x:c>
      <x:c r="F119" s="32" t="str">
        <x:v>组合</x:v>
      </x:c>
      <x:c r="G119" s="32" t="str">
        <x:v>日支多重／重复合</x:v>
      </x:c>
      <x:c r="H119" s="32" t="str">
        <x:v>多重牵动</x:v>
      </x:c>
      <x:c r="I119" s="32" t="str">
        <x:v>至少两项独立有效合作用涉及日支，或同类作用在结构中重复出现。</x:v>
      </x:c>
      <x:c r="J119" s="32" t="str">
        <x:v>多项作用实际同源；只有一项达到有效阈值。</x:v>
      </x:c>
      <x:c r="K119" s="32" t="str">
        <x:v>不限定；由后续模块修正</x:v>
      </x:c>
      <x:c r="L119" s="32" t="str">
        <x:v>不限定</x:v>
      </x:c>
      <x:c r="M119" s="32" t="str">
        <x:v>协调与绑定</x:v>
      </x:c>
      <x:c r="N119" s="32" t="str">
        <x:v>无／待后续模块组合</x:v>
      </x:c>
      <x:c r="O119" s="32" t="str">
        <x:v>日支或与日支直接相关</x:v>
      </x:c>
      <x:c r="P119" s="32" t="str">
        <x:v>由共享基础引擎判定</x:v>
      </x:c>
      <x:c r="Q119" s="32" t="str">
        <x:v>由共享基础引擎判定</x:v>
      </x:c>
      <x:c r="R119" s="32" t="str">
        <x:v>喜忌未定或由共享引擎提供</x:v>
      </x:c>
      <x:c r="S119" s="32" t="str">
        <x:v>原十神性质有效；无真合化或已完成相应路由</x:v>
      </x:c>
      <x:c r="T119" s="32" t="str">
        <x:v>近</x:v>
      </x:c>
      <x:c r="U119" s="32" t="n">
        <x:v>78</x:v>
      </x:c>
      <x:c r="V119" s="32" t="str">
        <x:v>P12情境切换候选；置信度-1级</x:v>
      </x:c>
      <x:c r="W119" s="32" t="str">
        <x:v>interaction_pattern</x:v>
      </x:c>
      <x:c r="X119" s="32" t="str">
        <x:v>多个有效合同时牵动日支时，相处方式更容易随不同关系任务切换，需要降低单一路径置信度。 多重作用提高状态依赖度，但不等同负面事件。</x:v>
      </x:c>
      <x:c r="Y119" s="32" t="str">
        <x:v>多个有效合同时牵动日支时，相处方式更容易随不同关系任务切换，需要降低单一路径置信度。</x:v>
      </x:c>
      <x:c r="Z119" s="32" t="str">
        <x:v>不得推出一定恩爱、黏人、依赖、被伴侣绑定，或出现多个对象。 不得将多重作用解释为多人关系。</x:v>
      </x:c>
      <x:c r="AA119" s="32" t="str">
        <x:v>中低</x:v>
      </x:c>
      <x:c r="AB119" s="32" t="str">
        <x:v>待验证</x:v>
      </x:c>
      <x:c r="AC119" s="32" t="str"/>
      <x:c r="AD119" s="32" t="str">
        <x:v>provisional=true; source_cluster=DAY_BRANCH_DYNAMIC_MULTI_合; route_to=M3-STATE</x:v>
      </x:c>
      <x:c r="AE119" s="39" t="str">
        <x:v>0.2</x:v>
      </x:c>
    </x:row>
    <x:row r="120">
      <x:c r="A120" s="38" t="str">
        <x:v>M3-BASE-116</x:v>
      </x:c>
      <x:c r="B120" s="32" t="str">
        <x:v>日支受合｜只作修正不建新底盘</x:v>
      </x:c>
      <x:c r="C120" s="32" t="str">
        <x:v>L8 总合成与边界审查</x:v>
      </x:c>
      <x:c r="D120" s="32" t="str">
        <x:v>BASE-宫位动态</x:v>
      </x:c>
      <x:c r="E120" s="32" t="str">
        <x:v>通用</x:v>
      </x:c>
      <x:c r="F120" s="32" t="str">
        <x:v>去重</x:v>
      </x:c>
      <x:c r="G120" s="32" t="str">
        <x:v>日支受有效合</x:v>
      </x:c>
      <x:c r="H120" s="32" t="str">
        <x:v>日支主气</x:v>
      </x:c>
      <x:c r="I120" s="32" t="str">
        <x:v>日支主气底盘与合修正同时进入合成。</x:v>
      </x:c>
      <x:c r="J120" s="32" t="str">
        <x:v>真合化后原底盘已经停止。</x:v>
      </x:c>
      <x:c r="K120" s="32" t="str">
        <x:v>不限定；由后续模块修正</x:v>
      </x:c>
      <x:c r="L120" s="32" t="str">
        <x:v>不限定</x:v>
      </x:c>
      <x:c r="M120" s="32" t="str">
        <x:v>协调与绑定</x:v>
      </x:c>
      <x:c r="N120" s="32" t="str">
        <x:v>无／待后续模块组合</x:v>
      </x:c>
      <x:c r="O120" s="32" t="str">
        <x:v>日支或与日支直接相关</x:v>
      </x:c>
      <x:c r="P120" s="32" t="str">
        <x:v>由共享基础引擎判定</x:v>
      </x:c>
      <x:c r="Q120" s="32" t="str">
        <x:v>由共享基础引擎判定</x:v>
      </x:c>
      <x:c r="R120" s="32" t="str">
        <x:v>喜忌未定或由共享引擎提供</x:v>
      </x:c>
      <x:c r="S120" s="32" t="str">
        <x:v>原十神性质有效；无真合化或已完成相应路由</x:v>
      </x:c>
      <x:c r="T120" s="32" t="str">
        <x:v>近</x:v>
      </x:c>
      <x:c r="U120" s="32" t="n">
        <x:v>98</x:v>
      </x:c>
      <x:c r="V120" s="32" t="str">
        <x:v>主气保留一次基础权重；动态仅加修正</x:v>
      </x:c>
      <x:c r="W120" s="32" t="str">
        <x:v>dedup_log</x:v>
      </x:c>
      <x:c r="X120" s="32" t="str">
        <x:v>合是日支底盘的状态修正，不是独立十神通道，不能另建一个主模式。</x:v>
      </x:c>
      <x:c r="Y120" s="32" t="str">
        <x:v>这一项只用于说明相处节奏怎样变化，不会被当成另一套独立人格或相处模式。</x:v>
      </x:c>
      <x:c r="Z120" s="32" t="str">
        <x:v>不得推出一定恩爱、黏人、依赖、被伴侣绑定，或出现多个对象。 不得把动态数量当作独立证据数量。</x:v>
      </x:c>
      <x:c r="AA120" s="32" t="str">
        <x:v>高</x:v>
      </x:c>
      <x:c r="AB120" s="32" t="str">
        <x:v>待验证</x:v>
      </x:c>
      <x:c r="AC120" s="32" t="str"/>
      <x:c r="AD120" s="32" t="str">
        <x:v>provisional=true; dedup_cluster=DAY_BRANCH_BASE_PLUS_DYNAMIC_合</x:v>
      </x:c>
      <x:c r="AE120" s="39" t="str">
        <x:v>0.2</x:v>
      </x:c>
    </x:row>
    <x:row r="121">
      <x:c r="A121" s="38" t="str">
        <x:v>M3-BASE-117</x:v>
      </x:c>
      <x:c r="B121" s="32" t="str">
        <x:v>日支受合｜边界说明</x:v>
      </x:c>
      <x:c r="C121" s="32" t="str">
        <x:v>L8 总合成与边界审查</x:v>
      </x:c>
      <x:c r="D121" s="32" t="str">
        <x:v>BASE-宫位动态</x:v>
      </x:c>
      <x:c r="E121" s="32" t="str">
        <x:v>通用</x:v>
      </x:c>
      <x:c r="F121" s="32" t="str">
        <x:v>边界</x:v>
      </x:c>
      <x:c r="G121" s="32" t="str">
        <x:v>日支受合</x:v>
      </x:c>
      <x:c r="H121" s="32" t="str">
        <x:v>协调与绑定</x:v>
      </x:c>
      <x:c r="I121" s="32" t="str">
        <x:v>任何合相关文案准备进入用户输出。</x:v>
      </x:c>
      <x:c r="J121" s="32" t="str">
        <x:v>无。</x:v>
      </x:c>
      <x:c r="K121" s="32" t="str">
        <x:v>不限定；由后续模块修正</x:v>
      </x:c>
      <x:c r="L121" s="32" t="str">
        <x:v>不限定</x:v>
      </x:c>
      <x:c r="M121" s="32" t="str">
        <x:v>协调与绑定</x:v>
      </x:c>
      <x:c r="N121" s="32" t="str">
        <x:v>无／待后续模块组合</x:v>
      </x:c>
      <x:c r="O121" s="32" t="str">
        <x:v>日支或与日支直接相关</x:v>
      </x:c>
      <x:c r="P121" s="32" t="str">
        <x:v>由共享基础引擎判定</x:v>
      </x:c>
      <x:c r="Q121" s="32" t="str">
        <x:v>由共享基础引擎判定</x:v>
      </x:c>
      <x:c r="R121" s="32" t="str">
        <x:v>喜忌未定或由共享引擎提供</x:v>
      </x:c>
      <x:c r="S121" s="32" t="str">
        <x:v>原十神性质有效；无真合化或已完成相应路由</x:v>
      </x:c>
      <x:c r="T121" s="32" t="str">
        <x:v>近</x:v>
      </x:c>
      <x:c r="U121" s="32" t="n">
        <x:v>100</x:v>
      </x:c>
      <x:c r="V121" s="32" t="str">
        <x:v>强制边界</x:v>
      </x:c>
      <x:c r="W121" s="32" t="str">
        <x:v>boundary_note</x:v>
      </x:c>
      <x:c r="X121" s="32" t="str">
        <x:v>强制阻断从合的结构修正跳到事件、道德或结果判断。</x:v>
      </x:c>
      <x:c r="Y121" s="32" t="str">
        <x:v>这里的“协调与绑定”只描述相处节奏的可能修正，不代表关系一定发生某种结果。</x:v>
      </x:c>
      <x:c r="Z121" s="32" t="str">
        <x:v>不得推出一定恩爱、黏人、依赖、被伴侣绑定，或出现多个对象。</x:v>
      </x:c>
      <x:c r="AA121" s="32" t="str">
        <x:v>高</x:v>
      </x:c>
      <x:c r="AB121" s="32" t="str">
        <x:v>待验证</x:v>
      </x:c>
      <x:c r="AC121" s="32" t="str"/>
      <x:c r="AD121" s="32" t="str">
        <x:v>provisional=true; mandatory_boundary=true; dynamic=合</x:v>
      </x:c>
      <x:c r="AE121" s="39" t="str">
        <x:v>0.2</x:v>
      </x:c>
    </x:row>
    <x:row r="122">
      <x:c r="A122" s="38" t="str">
        <x:v>M3-BASE-118</x:v>
      </x:c>
      <x:c r="B122" s="32" t="str">
        <x:v>日支受冲｜有效底盘修正</x:v>
      </x:c>
      <x:c r="C122" s="32" t="str">
        <x:v>L6 状态切换</x:v>
      </x:c>
      <x:c r="D122" s="32" t="str">
        <x:v>BASE-宫位动态</x:v>
      </x:c>
      <x:c r="E122" s="32" t="str">
        <x:v>通用</x:v>
      </x:c>
      <x:c r="F122" s="32" t="str">
        <x:v>修正</x:v>
      </x:c>
      <x:c r="G122" s="32" t="str">
        <x:v>日支受有效冲</x:v>
      </x:c>
      <x:c r="H122" s="32" t="str">
        <x:v>差异外显与节奏调整</x:v>
      </x:c>
      <x:c r="I122" s="32" t="str">
        <x:v>共享引擎确认冲真实成立、直接涉及日支且达到模型最低作用阈值；原日支十神仍有效。</x:v>
      </x:c>
      <x:c r="J122" s="32" t="str">
        <x:v>冲未成立、作用弱远、仅为阶段性信息；若为合且真合化则改走合化规则。</x:v>
      </x:c>
      <x:c r="K122" s="32" t="str">
        <x:v>不限定；由后续模块修正</x:v>
      </x:c>
      <x:c r="L122" s="32" t="str">
        <x:v>不限定</x:v>
      </x:c>
      <x:c r="M122" s="32" t="str">
        <x:v>差异外显与节奏调整</x:v>
      </x:c>
      <x:c r="N122" s="32" t="str">
        <x:v>无／待后续模块组合</x:v>
      </x:c>
      <x:c r="O122" s="32" t="str">
        <x:v>日支或与日支直接相关</x:v>
      </x:c>
      <x:c r="P122" s="32" t="str">
        <x:v>由共享基础引擎判定</x:v>
      </x:c>
      <x:c r="Q122" s="32" t="str">
        <x:v>由共享基础引擎判定</x:v>
      </x:c>
      <x:c r="R122" s="32" t="str">
        <x:v>喜忌未定或由共享引擎提供</x:v>
      </x:c>
      <x:c r="S122" s="32" t="str">
        <x:v>原十神保留；若真合化则本规则不适用</x:v>
      </x:c>
      <x:c r="T122" s="32" t="str">
        <x:v>近</x:v>
      </x:c>
      <x:c r="U122" s="32" t="n">
        <x:v>84</x:v>
      </x:c>
      <x:c r="V122" s="32" t="str">
        <x:v>底盘修正；状态切换候选+6</x:v>
      </x:c>
      <x:c r="W122" s="32" t="str">
        <x:v>stress_shift</x:v>
      </x:c>
      <x:c r="X122" s="32" t="str">
        <x:v>日支受到有效冲时，关系底盘的差异、变化和需要调整之处更容易被直接看见。 宫位动态只修正运行方式，不创造新的十神底盘。</x:v>
      </x:c>
      <x:c r="Y122" s="32" t="str">
        <x:v>你的核心相处主题仍在，但关系中的差异和节奏变化通常更容易被摆到台面上处理。</x:v>
      </x:c>
      <x:c r="Z122" s="32" t="str">
        <x:v>不得推出分手、离婚、长期不稳定、异地或一定频繁争吵。 本规则不判断关系风险和结果。</x:v>
      </x:c>
      <x:c r="AA122" s="32" t="str">
        <x:v>中</x:v>
      </x:c>
      <x:c r="AB122" s="32" t="str">
        <x:v>待验证</x:v>
      </x:c>
      <x:c r="AC122" s="32" t="str"/>
      <x:c r="AD122" s="32" t="str">
        <x:v>provisional=true; source_id=DAY_BRANCH_DYNAMIC_冲; interaction_state=平稳→压力修正</x:v>
      </x:c>
      <x:c r="AE122" s="39" t="str">
        <x:v>0.2</x:v>
      </x:c>
    </x:row>
    <x:row r="123">
      <x:c r="A123" s="38" t="str">
        <x:v>M3-BASE-119</x:v>
      </x:c>
      <x:c r="B123" s="32" t="str">
        <x:v>日支受冲｜平稳状态表达</x:v>
      </x:c>
      <x:c r="C123" s="32" t="str">
        <x:v>L6 状态切换</x:v>
      </x:c>
      <x:c r="D123" s="32" t="str">
        <x:v>BASE-宫位动态</x:v>
      </x:c>
      <x:c r="E123" s="32" t="str">
        <x:v>通用</x:v>
      </x:c>
      <x:c r="F123" s="32" t="str">
        <x:v>输出候选</x:v>
      </x:c>
      <x:c r="G123" s="32" t="str">
        <x:v>日支受有效冲</x:v>
      </x:c>
      <x:c r="H123" s="32" t="str">
        <x:v>平稳状态</x:v>
      </x:c>
      <x:c r="I123" s="32" t="str">
        <x:v>冲有效；核心日支底盘已成立；无更强冲突动态覆盖。</x:v>
      </x:c>
      <x:c r="J123" s="32" t="str">
        <x:v>基础底盘停止；多项动态主次未定。</x:v>
      </x:c>
      <x:c r="K123" s="32" t="str">
        <x:v>不限定；由后续模块修正</x:v>
      </x:c>
      <x:c r="L123" s="32" t="str">
        <x:v>不限定</x:v>
      </x:c>
      <x:c r="M123" s="32" t="str">
        <x:v>差异外显与节奏调整</x:v>
      </x:c>
      <x:c r="N123" s="32" t="str">
        <x:v>无／待后续模块组合</x:v>
      </x:c>
      <x:c r="O123" s="32" t="str">
        <x:v>日支或与日支直接相关</x:v>
      </x:c>
      <x:c r="P123" s="32" t="str">
        <x:v>由共享基础引擎判定</x:v>
      </x:c>
      <x:c r="Q123" s="32" t="str">
        <x:v>由共享基础引擎判定</x:v>
      </x:c>
      <x:c r="R123" s="32" t="str">
        <x:v>喜忌未定或由共享引擎提供</x:v>
      </x:c>
      <x:c r="S123" s="32" t="str">
        <x:v>原十神性质有效；无真合化或已完成相应路由</x:v>
      </x:c>
      <x:c r="T123" s="32" t="str">
        <x:v>近</x:v>
      </x:c>
      <x:c r="U123" s="32" t="n">
        <x:v>72</x:v>
      </x:c>
      <x:c r="V123" s="32" t="str">
        <x:v>不独立加分</x:v>
      </x:c>
      <x:c r="W123" s="32" t="str">
        <x:v>relationship_baseline</x:v>
      </x:c>
      <x:c r="X123" s="32" t="str">
        <x:v>把冲的中性作用翻译为平稳状态下的底盘修饰，不把它写成事件预测。</x:v>
      </x:c>
      <x:c r="Y123" s="32" t="str">
        <x:v>你的核心相处主题仍在，但关系中的差异和节奏变化通常更容易被摆到台面上处理。</x:v>
      </x:c>
      <x:c r="Z123" s="32" t="str">
        <x:v>不得推出分手、离婚、长期不稳定、异地或一定频繁争吵。</x:v>
      </x:c>
      <x:c r="AA123" s="32" t="str">
        <x:v>中</x:v>
      </x:c>
      <x:c r="AB123" s="32" t="str">
        <x:v>待验证</x:v>
      </x:c>
      <x:c r="AC123" s="32" t="str"/>
      <x:c r="AD123" s="32" t="str">
        <x:v>provisional=true; source_id=DAY_BRANCH_DYNAMIC_冲; summary_only=true</x:v>
      </x:c>
      <x:c r="AE123" s="39" t="str">
        <x:v>0.2</x:v>
      </x:c>
    </x:row>
    <x:row r="124">
      <x:c r="A124" s="38" t="str">
        <x:v>M3-BASE-120</x:v>
      </x:c>
      <x:c r="B124" s="32" t="str">
        <x:v>日支受冲｜压力状态路由</x:v>
      </x:c>
      <x:c r="C124" s="32" t="str">
        <x:v>L6 状态切换</x:v>
      </x:c>
      <x:c r="D124" s="32" t="str">
        <x:v>BASE-宫位动态</x:v>
      </x:c>
      <x:c r="E124" s="32" t="str">
        <x:v>通用</x:v>
      </x:c>
      <x:c r="F124" s="32" t="str">
        <x:v>路由</x:v>
      </x:c>
      <x:c r="G124" s="32" t="str">
        <x:v>日支受有效冲</x:v>
      </x:c>
      <x:c r="H124" s="32" t="str">
        <x:v>压力激活</x:v>
      </x:c>
      <x:c r="I124" s="32" t="str">
        <x:v>冲有效；存在压力状态或分歧场景的第二类证据；M3-STATE输入完整。</x:v>
      </x:c>
      <x:c r="J124" s="32" t="str">
        <x:v>仅凭原局无状态证据；相关动态弱或争议。</x:v>
      </x:c>
      <x:c r="K124" s="32" t="str">
        <x:v>不限定；由后续模块修正</x:v>
      </x:c>
      <x:c r="L124" s="32" t="str">
        <x:v>不限定</x:v>
      </x:c>
      <x:c r="M124" s="32" t="str">
        <x:v>差异外显与节奏调整</x:v>
      </x:c>
      <x:c r="N124" s="32" t="str">
        <x:v>无／待后续模块组合</x:v>
      </x:c>
      <x:c r="O124" s="32" t="str">
        <x:v>日支或与日支直接相关</x:v>
      </x:c>
      <x:c r="P124" s="32" t="str">
        <x:v>由共享基础引擎判定</x:v>
      </x:c>
      <x:c r="Q124" s="32" t="str">
        <x:v>由共享基础引擎判定</x:v>
      </x:c>
      <x:c r="R124" s="32" t="str">
        <x:v>喜忌未定或由共享引擎提供</x:v>
      </x:c>
      <x:c r="S124" s="32" t="str">
        <x:v>原十神性质有效；无真合化或已完成相应路由</x:v>
      </x:c>
      <x:c r="T124" s="32" t="str">
        <x:v>近</x:v>
      </x:c>
      <x:c r="U124" s="32" t="n">
        <x:v>70</x:v>
      </x:c>
      <x:c r="V124" s="32" t="str">
        <x:v>转M3-STATE／CONFLICT候选</x:v>
      </x:c>
      <x:c r="W124" s="32" t="str">
        <x:v>stress_shift</x:v>
      </x:c>
      <x:c r="X124" s="32" t="str">
        <x:v>压力增加时，冲更容易触发直接调整、改变安排、拉开距离后重排或快速切换处理方式。 BASE只负责路由，不直接锁定具体分歧行为。</x:v>
      </x:c>
      <x:c r="Y124" s="32" t="str">
        <x:v>遇到明显分歧时，你可能更快进入调整节奏、重新安排或直接处理差异的状态。</x:v>
      </x:c>
      <x:c r="Z124" s="32" t="str">
        <x:v>不得推出分手、离婚、长期不稳定、异地或一定频繁争吵。 不得把压力候选写成必然发生。</x:v>
      </x:c>
      <x:c r="AA124" s="32" t="str">
        <x:v>中低</x:v>
      </x:c>
      <x:c r="AB124" s="32" t="str">
        <x:v>待验证</x:v>
      </x:c>
      <x:c r="AC124" s="32" t="str"/>
      <x:c r="AD124" s="32" t="str">
        <x:v>provisional=true; source_id=DAY_BRANCH_DYNAMIC_冲; route_only=true; interaction_state=压力</x:v>
      </x:c>
      <x:c r="AE124" s="39" t="str">
        <x:v>0.2</x:v>
      </x:c>
    </x:row>
    <x:row r="125">
      <x:c r="A125" s="38" t="str">
        <x:v>M3-BASE-121</x:v>
      </x:c>
      <x:c r="B125" s="32" t="str">
        <x:v>日支受冲｜弱远不改核心</x:v>
      </x:c>
      <x:c r="C125" s="32" t="str">
        <x:v>L8 总合成与边界审查</x:v>
      </x:c>
      <x:c r="D125" s="32" t="str">
        <x:v>BASE-宫位动态</x:v>
      </x:c>
      <x:c r="E125" s="32" t="str">
        <x:v>通用</x:v>
      </x:c>
      <x:c r="F125" s="32" t="str">
        <x:v>门控</x:v>
      </x:c>
      <x:c r="G125" s="32" t="str">
        <x:v>弱／远／争议冲</x:v>
      </x:c>
      <x:c r="H125" s="32" t="str">
        <x:v>作用不足</x:v>
      </x:c>
      <x:c r="I125" s="32" t="str">
        <x:v>存在冲形式，但强度、距离或成立条件不足。</x:v>
      </x:c>
      <x:c r="J125" s="32" t="str">
        <x:v>冲已达到有效阈值。</x:v>
      </x:c>
      <x:c r="K125" s="32" t="str">
        <x:v>不限定；由后续模块修正</x:v>
      </x:c>
      <x:c r="L125" s="32" t="str">
        <x:v>不限定</x:v>
      </x:c>
      <x:c r="M125" s="32" t="str">
        <x:v>差异外显与节奏调整</x:v>
      </x:c>
      <x:c r="N125" s="32" t="str">
        <x:v>无／待后续模块组合</x:v>
      </x:c>
      <x:c r="O125" s="32" t="str">
        <x:v>日支或与日支直接相关</x:v>
      </x:c>
      <x:c r="P125" s="32" t="str">
        <x:v>由共享基础引擎判定</x:v>
      </x:c>
      <x:c r="Q125" s="32" t="str">
        <x:v>由共享基础引擎判定</x:v>
      </x:c>
      <x:c r="R125" s="32" t="str">
        <x:v>喜忌未定或由共享引擎提供</x:v>
      </x:c>
      <x:c r="S125" s="32" t="str">
        <x:v>原十神性质有效；无真合化或已完成相应路由</x:v>
      </x:c>
      <x:c r="T125" s="32" t="str">
        <x:v>近</x:v>
      </x:c>
      <x:c r="U125" s="32" t="n">
        <x:v>96</x:v>
      </x:c>
      <x:c r="V125" s="32" t="str">
        <x:v>不进入核心；仅内部备注</x:v>
      </x:c>
      <x:c r="W125" s="32" t="str">
        <x:v>boundary_note</x:v>
      </x:c>
      <x:c r="X125" s="32" t="str">
        <x:v>避免见到冲字样就直接修改关系底盘；必须先通过共享引擎的有效性判定。</x:v>
      </x:c>
      <x:c r="Y125" s="32" t="str">
        <x:v>如果冲力不足、远位或未真正作用于日支，它不能单独改写关系底盘。</x:v>
      </x:c>
      <x:c r="Z125" s="32" t="str">
        <x:v>不得推出分手、离婚、长期不稳定、异地或一定频繁争吵。 不得用低效信号生成确定文案。</x:v>
      </x:c>
      <x:c r="AA125" s="32" t="str">
        <x:v>高</x:v>
      </x:c>
      <x:c r="AB125" s="32" t="str">
        <x:v>待验证</x:v>
      </x:c>
      <x:c r="AC125" s="32" t="str"/>
      <x:c r="AD125" s="32" t="str">
        <x:v>provisional=true; gate=true; source_id=DAY_BRANCH_DYNAMIC_冲</x:v>
      </x:c>
      <x:c r="AE125" s="39" t="str">
        <x:v>0.2</x:v>
      </x:c>
    </x:row>
    <x:row r="126">
      <x:c r="A126" s="38" t="str">
        <x:v>M3-BASE-122</x:v>
      </x:c>
      <x:c r="B126" s="32" t="str">
        <x:v>日支多重冲或重复作用｜情境化</x:v>
      </x:c>
      <x:c r="C126" s="32" t="str">
        <x:v>L6 状态切换</x:v>
      </x:c>
      <x:c r="D126" s="32" t="str">
        <x:v>BASE-宫位动态</x:v>
      </x:c>
      <x:c r="E126" s="32" t="str">
        <x:v>通用</x:v>
      </x:c>
      <x:c r="F126" s="32" t="str">
        <x:v>组合</x:v>
      </x:c>
      <x:c r="G126" s="32" t="str">
        <x:v>日支多重／重复冲</x:v>
      </x:c>
      <x:c r="H126" s="32" t="str">
        <x:v>多重牵动</x:v>
      </x:c>
      <x:c r="I126" s="32" t="str">
        <x:v>至少两项独立有效冲作用涉及日支，或同类作用在结构中重复出现。</x:v>
      </x:c>
      <x:c r="J126" s="32" t="str">
        <x:v>多项作用实际同源；只有一项达到有效阈值。</x:v>
      </x:c>
      <x:c r="K126" s="32" t="str">
        <x:v>不限定；由后续模块修正</x:v>
      </x:c>
      <x:c r="L126" s="32" t="str">
        <x:v>不限定</x:v>
      </x:c>
      <x:c r="M126" s="32" t="str">
        <x:v>差异外显与节奏调整</x:v>
      </x:c>
      <x:c r="N126" s="32" t="str">
        <x:v>无／待后续模块组合</x:v>
      </x:c>
      <x:c r="O126" s="32" t="str">
        <x:v>日支或与日支直接相关</x:v>
      </x:c>
      <x:c r="P126" s="32" t="str">
        <x:v>由共享基础引擎判定</x:v>
      </x:c>
      <x:c r="Q126" s="32" t="str">
        <x:v>由共享基础引擎判定</x:v>
      </x:c>
      <x:c r="R126" s="32" t="str">
        <x:v>喜忌未定或由共享引擎提供</x:v>
      </x:c>
      <x:c r="S126" s="32" t="str">
        <x:v>原十神性质有效；无真合化或已完成相应路由</x:v>
      </x:c>
      <x:c r="T126" s="32" t="str">
        <x:v>近</x:v>
      </x:c>
      <x:c r="U126" s="32" t="n">
        <x:v>78</x:v>
      </x:c>
      <x:c r="V126" s="32" t="str">
        <x:v>P12情境切换候选；置信度-1级</x:v>
      </x:c>
      <x:c r="W126" s="32" t="str">
        <x:v>interaction_pattern</x:v>
      </x:c>
      <x:c r="X126" s="32" t="str">
        <x:v>日支反复受冲或同时受多项有效作用时，平稳与压力状态的差异更值得单独建模。 多重作用提高状态依赖度，但不等同负面事件。</x:v>
      </x:c>
      <x:c r="Y126" s="32" t="str">
        <x:v>日支反复受冲或同时受多项有效作用时，平稳与压力状态的差异更值得单独建模。</x:v>
      </x:c>
      <x:c r="Z126" s="32" t="str">
        <x:v>不得推出分手、离婚、长期不稳定、异地或一定频繁争吵。 不得将多重作用解释为多人关系。</x:v>
      </x:c>
      <x:c r="AA126" s="32" t="str">
        <x:v>中低</x:v>
      </x:c>
      <x:c r="AB126" s="32" t="str">
        <x:v>待验证</x:v>
      </x:c>
      <x:c r="AC126" s="32" t="str"/>
      <x:c r="AD126" s="32" t="str">
        <x:v>provisional=true; source_cluster=DAY_BRANCH_DYNAMIC_MULTI_冲; route_to=M3-STATE</x:v>
      </x:c>
      <x:c r="AE126" s="39" t="str">
        <x:v>0.2</x:v>
      </x:c>
    </x:row>
    <x:row r="127">
      <x:c r="A127" s="38" t="str">
        <x:v>M3-BASE-123</x:v>
      </x:c>
      <x:c r="B127" s="32" t="str">
        <x:v>日支受冲｜只作修正不建新底盘</x:v>
      </x:c>
      <x:c r="C127" s="32" t="str">
        <x:v>L8 总合成与边界审查</x:v>
      </x:c>
      <x:c r="D127" s="32" t="str">
        <x:v>BASE-宫位动态</x:v>
      </x:c>
      <x:c r="E127" s="32" t="str">
        <x:v>通用</x:v>
      </x:c>
      <x:c r="F127" s="32" t="str">
        <x:v>去重</x:v>
      </x:c>
      <x:c r="G127" s="32" t="str">
        <x:v>日支受有效冲</x:v>
      </x:c>
      <x:c r="H127" s="32" t="str">
        <x:v>日支主气</x:v>
      </x:c>
      <x:c r="I127" s="32" t="str">
        <x:v>日支主气底盘与冲修正同时进入合成。</x:v>
      </x:c>
      <x:c r="J127" s="32" t="str">
        <x:v>真合化后原底盘已经停止。</x:v>
      </x:c>
      <x:c r="K127" s="32" t="str">
        <x:v>不限定；由后续模块修正</x:v>
      </x:c>
      <x:c r="L127" s="32" t="str">
        <x:v>不限定</x:v>
      </x:c>
      <x:c r="M127" s="32" t="str">
        <x:v>差异外显与节奏调整</x:v>
      </x:c>
      <x:c r="N127" s="32" t="str">
        <x:v>无／待后续模块组合</x:v>
      </x:c>
      <x:c r="O127" s="32" t="str">
        <x:v>日支或与日支直接相关</x:v>
      </x:c>
      <x:c r="P127" s="32" t="str">
        <x:v>由共享基础引擎判定</x:v>
      </x:c>
      <x:c r="Q127" s="32" t="str">
        <x:v>由共享基础引擎判定</x:v>
      </x:c>
      <x:c r="R127" s="32" t="str">
        <x:v>喜忌未定或由共享引擎提供</x:v>
      </x:c>
      <x:c r="S127" s="32" t="str">
        <x:v>原十神性质有效；无真合化或已完成相应路由</x:v>
      </x:c>
      <x:c r="T127" s="32" t="str">
        <x:v>近</x:v>
      </x:c>
      <x:c r="U127" s="32" t="n">
        <x:v>98</x:v>
      </x:c>
      <x:c r="V127" s="32" t="str">
        <x:v>主气保留一次基础权重；动态仅加修正</x:v>
      </x:c>
      <x:c r="W127" s="32" t="str">
        <x:v>dedup_log</x:v>
      </x:c>
      <x:c r="X127" s="32" t="str">
        <x:v>冲是日支底盘的状态修正，不是独立十神通道，不能另建一个主模式。</x:v>
      </x:c>
      <x:c r="Y127" s="32" t="str">
        <x:v>这一项只用于说明相处节奏怎样变化，不会被当成另一套独立人格或相处模式。</x:v>
      </x:c>
      <x:c r="Z127" s="32" t="str">
        <x:v>不得推出分手、离婚、长期不稳定、异地或一定频繁争吵。 不得把动态数量当作独立证据数量。</x:v>
      </x:c>
      <x:c r="AA127" s="32" t="str">
        <x:v>高</x:v>
      </x:c>
      <x:c r="AB127" s="32" t="str">
        <x:v>待验证</x:v>
      </x:c>
      <x:c r="AC127" s="32" t="str"/>
      <x:c r="AD127" s="32" t="str">
        <x:v>provisional=true; dedup_cluster=DAY_BRANCH_BASE_PLUS_DYNAMIC_冲</x:v>
      </x:c>
      <x:c r="AE127" s="39" t="str">
        <x:v>0.2</x:v>
      </x:c>
    </x:row>
    <x:row r="128">
      <x:c r="A128" s="38" t="str">
        <x:v>M3-BASE-124</x:v>
      </x:c>
      <x:c r="B128" s="32" t="str">
        <x:v>日支受冲｜边界说明</x:v>
      </x:c>
      <x:c r="C128" s="32" t="str">
        <x:v>L8 总合成与边界审查</x:v>
      </x:c>
      <x:c r="D128" s="32" t="str">
        <x:v>BASE-宫位动态</x:v>
      </x:c>
      <x:c r="E128" s="32" t="str">
        <x:v>通用</x:v>
      </x:c>
      <x:c r="F128" s="32" t="str">
        <x:v>边界</x:v>
      </x:c>
      <x:c r="G128" s="32" t="str">
        <x:v>日支受冲</x:v>
      </x:c>
      <x:c r="H128" s="32" t="str">
        <x:v>差异外显与节奏调整</x:v>
      </x:c>
      <x:c r="I128" s="32" t="str">
        <x:v>任何冲相关文案准备进入用户输出。</x:v>
      </x:c>
      <x:c r="J128" s="32" t="str">
        <x:v>无。</x:v>
      </x:c>
      <x:c r="K128" s="32" t="str">
        <x:v>不限定；由后续模块修正</x:v>
      </x:c>
      <x:c r="L128" s="32" t="str">
        <x:v>不限定</x:v>
      </x:c>
      <x:c r="M128" s="32" t="str">
        <x:v>差异外显与节奏调整</x:v>
      </x:c>
      <x:c r="N128" s="32" t="str">
        <x:v>无／待后续模块组合</x:v>
      </x:c>
      <x:c r="O128" s="32" t="str">
        <x:v>日支或与日支直接相关</x:v>
      </x:c>
      <x:c r="P128" s="32" t="str">
        <x:v>由共享基础引擎判定</x:v>
      </x:c>
      <x:c r="Q128" s="32" t="str">
        <x:v>由共享基础引擎判定</x:v>
      </x:c>
      <x:c r="R128" s="32" t="str">
        <x:v>喜忌未定或由共享引擎提供</x:v>
      </x:c>
      <x:c r="S128" s="32" t="str">
        <x:v>原十神性质有效；无真合化或已完成相应路由</x:v>
      </x:c>
      <x:c r="T128" s="32" t="str">
        <x:v>近</x:v>
      </x:c>
      <x:c r="U128" s="32" t="n">
        <x:v>100</x:v>
      </x:c>
      <x:c r="V128" s="32" t="str">
        <x:v>强制边界</x:v>
      </x:c>
      <x:c r="W128" s="32" t="str">
        <x:v>boundary_note</x:v>
      </x:c>
      <x:c r="X128" s="32" t="str">
        <x:v>强制阻断从冲的结构修正跳到事件、道德或结果判断。</x:v>
      </x:c>
      <x:c r="Y128" s="32" t="str">
        <x:v>这里的“差异外显与节奏调整”只描述相处节奏的可能修正，不代表关系一定发生某种结果。</x:v>
      </x:c>
      <x:c r="Z128" s="32" t="str">
        <x:v>不得推出分手、离婚、长期不稳定、异地或一定频繁争吵。</x:v>
      </x:c>
      <x:c r="AA128" s="32" t="str">
        <x:v>高</x:v>
      </x:c>
      <x:c r="AB128" s="32" t="str">
        <x:v>待验证</x:v>
      </x:c>
      <x:c r="AC128" s="32" t="str"/>
      <x:c r="AD128" s="32" t="str">
        <x:v>provisional=true; mandatory_boundary=true; dynamic=冲</x:v>
      </x:c>
      <x:c r="AE128" s="39" t="str">
        <x:v>0.2</x:v>
      </x:c>
    </x:row>
    <x:row r="129">
      <x:c r="A129" s="38" t="str">
        <x:v>M3-BASE-125</x:v>
      </x:c>
      <x:c r="B129" s="32" t="str">
        <x:v>日支受刑｜有效底盘修正</x:v>
      </x:c>
      <x:c r="C129" s="32" t="str">
        <x:v>L6 状态切换</x:v>
      </x:c>
      <x:c r="D129" s="32" t="str">
        <x:v>BASE-宫位动态</x:v>
      </x:c>
      <x:c r="E129" s="32" t="str">
        <x:v>通用</x:v>
      </x:c>
      <x:c r="F129" s="32" t="str">
        <x:v>修正</x:v>
      </x:c>
      <x:c r="G129" s="32" t="str">
        <x:v>日支受有效刑</x:v>
      </x:c>
      <x:c r="H129" s="32" t="str">
        <x:v>反复校正与细节敏感</x:v>
      </x:c>
      <x:c r="I129" s="32" t="str">
        <x:v>共享引擎确认刑真实成立、直接涉及日支且达到模型最低作用阈值；原日支十神仍有效。</x:v>
      </x:c>
      <x:c r="J129" s="32" t="str">
        <x:v>刑未成立、作用弱远、仅为阶段性信息；若为合且真合化则改走合化规则。</x:v>
      </x:c>
      <x:c r="K129" s="32" t="str">
        <x:v>不限定；由后续模块修正</x:v>
      </x:c>
      <x:c r="L129" s="32" t="str">
        <x:v>不限定</x:v>
      </x:c>
      <x:c r="M129" s="32" t="str">
        <x:v>反复校正与细节敏感</x:v>
      </x:c>
      <x:c r="N129" s="32" t="str">
        <x:v>无／待后续模块组合</x:v>
      </x:c>
      <x:c r="O129" s="32" t="str">
        <x:v>日支或与日支直接相关</x:v>
      </x:c>
      <x:c r="P129" s="32" t="str">
        <x:v>由共享基础引擎判定</x:v>
      </x:c>
      <x:c r="Q129" s="32" t="str">
        <x:v>由共享基础引擎判定</x:v>
      </x:c>
      <x:c r="R129" s="32" t="str">
        <x:v>喜忌未定或由共享引擎提供</x:v>
      </x:c>
      <x:c r="S129" s="32" t="str">
        <x:v>原十神保留；若真合化则本规则不适用</x:v>
      </x:c>
      <x:c r="T129" s="32" t="str">
        <x:v>近</x:v>
      </x:c>
      <x:c r="U129" s="32" t="n">
        <x:v>84</x:v>
      </x:c>
      <x:c r="V129" s="32" t="str">
        <x:v>底盘修正；状态切换候选+6</x:v>
      </x:c>
      <x:c r="W129" s="32" t="str">
        <x:v>stress_shift</x:v>
      </x:c>
      <x:c r="X129" s="32" t="str">
        <x:v>日支受到有效刑时，关系运行更容易出现反复校正、内部比较、对细节或规则持续检查的过程。 宫位动态只修正运行方式，不创造新的十神底盘。</x:v>
      </x:c>
      <x:c r="Y129" s="32" t="str">
        <x:v>你的核心相处方式可能带有反复确认和调整细节的特点，事情未完全说清或处理好时不容易马上略过。</x:v>
      </x:c>
      <x:c r="Z129" s="32" t="str">
        <x:v>不得推出一定争吵、自我折磨、互相伤害、心理问题或婚姻不幸。 本规则不判断关系风险和结果。</x:v>
      </x:c>
      <x:c r="AA129" s="32" t="str">
        <x:v>中低</x:v>
      </x:c>
      <x:c r="AB129" s="32" t="str">
        <x:v>待验证</x:v>
      </x:c>
      <x:c r="AC129" s="32" t="str"/>
      <x:c r="AD129" s="32" t="str">
        <x:v>provisional=true; source_id=DAY_BRANCH_DYNAMIC_刑; interaction_state=平稳→压力修正</x:v>
      </x:c>
      <x:c r="AE129" s="39" t="str">
        <x:v>0.2</x:v>
      </x:c>
    </x:row>
    <x:row r="130">
      <x:c r="A130" s="38" t="str">
        <x:v>M3-BASE-126</x:v>
      </x:c>
      <x:c r="B130" s="32" t="str">
        <x:v>日支受刑｜平稳状态表达</x:v>
      </x:c>
      <x:c r="C130" s="32" t="str">
        <x:v>L6 状态切换</x:v>
      </x:c>
      <x:c r="D130" s="32" t="str">
        <x:v>BASE-宫位动态</x:v>
      </x:c>
      <x:c r="E130" s="32" t="str">
        <x:v>通用</x:v>
      </x:c>
      <x:c r="F130" s="32" t="str">
        <x:v>输出候选</x:v>
      </x:c>
      <x:c r="G130" s="32" t="str">
        <x:v>日支受有效刑</x:v>
      </x:c>
      <x:c r="H130" s="32" t="str">
        <x:v>平稳状态</x:v>
      </x:c>
      <x:c r="I130" s="32" t="str">
        <x:v>刑有效；核心日支底盘已成立；无更强冲突动态覆盖。</x:v>
      </x:c>
      <x:c r="J130" s="32" t="str">
        <x:v>基础底盘停止；多项动态主次未定。</x:v>
      </x:c>
      <x:c r="K130" s="32" t="str">
        <x:v>不限定；由后续模块修正</x:v>
      </x:c>
      <x:c r="L130" s="32" t="str">
        <x:v>不限定</x:v>
      </x:c>
      <x:c r="M130" s="32" t="str">
        <x:v>反复校正与细节敏感</x:v>
      </x:c>
      <x:c r="N130" s="32" t="str">
        <x:v>无／待后续模块组合</x:v>
      </x:c>
      <x:c r="O130" s="32" t="str">
        <x:v>日支或与日支直接相关</x:v>
      </x:c>
      <x:c r="P130" s="32" t="str">
        <x:v>由共享基础引擎判定</x:v>
      </x:c>
      <x:c r="Q130" s="32" t="str">
        <x:v>由共享基础引擎判定</x:v>
      </x:c>
      <x:c r="R130" s="32" t="str">
        <x:v>喜忌未定或由共享引擎提供</x:v>
      </x:c>
      <x:c r="S130" s="32" t="str">
        <x:v>原十神性质有效；无真合化或已完成相应路由</x:v>
      </x:c>
      <x:c r="T130" s="32" t="str">
        <x:v>近</x:v>
      </x:c>
      <x:c r="U130" s="32" t="n">
        <x:v>72</x:v>
      </x:c>
      <x:c r="V130" s="32" t="str">
        <x:v>不独立加分</x:v>
      </x:c>
      <x:c r="W130" s="32" t="str">
        <x:v>relationship_baseline</x:v>
      </x:c>
      <x:c r="X130" s="32" t="str">
        <x:v>把刑的中性作用翻译为平稳状态下的底盘修饰，不把它写成事件预测。</x:v>
      </x:c>
      <x:c r="Y130" s="32" t="str">
        <x:v>你的核心相处方式可能带有反复确认和调整细节的特点，事情未完全说清或处理好时不容易马上略过。</x:v>
      </x:c>
      <x:c r="Z130" s="32" t="str">
        <x:v>不得推出一定争吵、自我折磨、互相伤害、心理问题或婚姻不幸。</x:v>
      </x:c>
      <x:c r="AA130" s="32" t="str">
        <x:v>中低</x:v>
      </x:c>
      <x:c r="AB130" s="32" t="str">
        <x:v>待验证</x:v>
      </x:c>
      <x:c r="AC130" s="32" t="str"/>
      <x:c r="AD130" s="32" t="str">
        <x:v>provisional=true; source_id=DAY_BRANCH_DYNAMIC_刑; summary_only=true</x:v>
      </x:c>
      <x:c r="AE130" s="39" t="str">
        <x:v>0.2</x:v>
      </x:c>
    </x:row>
    <x:row r="131">
      <x:c r="A131" s="38" t="str">
        <x:v>M3-BASE-127</x:v>
      </x:c>
      <x:c r="B131" s="32" t="str">
        <x:v>日支受刑｜压力状态路由</x:v>
      </x:c>
      <x:c r="C131" s="32" t="str">
        <x:v>L6 状态切换</x:v>
      </x:c>
      <x:c r="D131" s="32" t="str">
        <x:v>BASE-宫位动态</x:v>
      </x:c>
      <x:c r="E131" s="32" t="str">
        <x:v>通用</x:v>
      </x:c>
      <x:c r="F131" s="32" t="str">
        <x:v>路由</x:v>
      </x:c>
      <x:c r="G131" s="32" t="str">
        <x:v>日支受有效刑</x:v>
      </x:c>
      <x:c r="H131" s="32" t="str">
        <x:v>压力激活</x:v>
      </x:c>
      <x:c r="I131" s="32" t="str">
        <x:v>刑有效；存在压力状态或分歧场景的第二类证据；M3-STATE输入完整。</x:v>
      </x:c>
      <x:c r="J131" s="32" t="str">
        <x:v>仅凭原局无状态证据；相关动态弱或争议。</x:v>
      </x:c>
      <x:c r="K131" s="32" t="str">
        <x:v>不限定；由后续模块修正</x:v>
      </x:c>
      <x:c r="L131" s="32" t="str">
        <x:v>不限定</x:v>
      </x:c>
      <x:c r="M131" s="32" t="str">
        <x:v>反复校正与细节敏感</x:v>
      </x:c>
      <x:c r="N131" s="32" t="str">
        <x:v>无／待后续模块组合</x:v>
      </x:c>
      <x:c r="O131" s="32" t="str">
        <x:v>日支或与日支直接相关</x:v>
      </x:c>
      <x:c r="P131" s="32" t="str">
        <x:v>由共享基础引擎判定</x:v>
      </x:c>
      <x:c r="Q131" s="32" t="str">
        <x:v>由共享基础引擎判定</x:v>
      </x:c>
      <x:c r="R131" s="32" t="str">
        <x:v>喜忌未定或由共享引擎提供</x:v>
      </x:c>
      <x:c r="S131" s="32" t="str">
        <x:v>原十神性质有效；无真合化或已完成相应路由</x:v>
      </x:c>
      <x:c r="T131" s="32" t="str">
        <x:v>近</x:v>
      </x:c>
      <x:c r="U131" s="32" t="n">
        <x:v>70</x:v>
      </x:c>
      <x:c r="V131" s="32" t="str">
        <x:v>转M3-STATE／CONFLICT候选</x:v>
      </x:c>
      <x:c r="W131" s="32" t="str">
        <x:v>stress_shift</x:v>
      </x:c>
      <x:c r="X131" s="32" t="str">
        <x:v>压力增加时，刑可能使同一问题在内部反复加工，或需要多次讨论、修正后才完成回应。 BASE只负责路由，不直接锁定具体分歧行为。</x:v>
      </x:c>
      <x:c r="Y131" s="32" t="str">
        <x:v>遇到分歧时，你可能需要多轮确认或调整，才能真正觉得这件事被处理完整。</x:v>
      </x:c>
      <x:c r="Z131" s="32" t="str">
        <x:v>不得推出一定争吵、自我折磨、互相伤害、心理问题或婚姻不幸。 不得把压力候选写成必然发生。</x:v>
      </x:c>
      <x:c r="AA131" s="32" t="str">
        <x:v>中低</x:v>
      </x:c>
      <x:c r="AB131" s="32" t="str">
        <x:v>待验证</x:v>
      </x:c>
      <x:c r="AC131" s="32" t="str"/>
      <x:c r="AD131" s="32" t="str">
        <x:v>provisional=true; source_id=DAY_BRANCH_DYNAMIC_刑; route_only=true; interaction_state=压力</x:v>
      </x:c>
      <x:c r="AE131" s="39" t="str">
        <x:v>0.2</x:v>
      </x:c>
    </x:row>
    <x:row r="132">
      <x:c r="A132" s="38" t="str">
        <x:v>M3-BASE-128</x:v>
      </x:c>
      <x:c r="B132" s="32" t="str">
        <x:v>日支受刑｜弱远不改核心</x:v>
      </x:c>
      <x:c r="C132" s="32" t="str">
        <x:v>L8 总合成与边界审查</x:v>
      </x:c>
      <x:c r="D132" s="32" t="str">
        <x:v>BASE-宫位动态</x:v>
      </x:c>
      <x:c r="E132" s="32" t="str">
        <x:v>通用</x:v>
      </x:c>
      <x:c r="F132" s="32" t="str">
        <x:v>门控</x:v>
      </x:c>
      <x:c r="G132" s="32" t="str">
        <x:v>弱／远／争议刑</x:v>
      </x:c>
      <x:c r="H132" s="32" t="str">
        <x:v>作用不足</x:v>
      </x:c>
      <x:c r="I132" s="32" t="str">
        <x:v>存在刑形式，但强度、距离或成立条件不足。</x:v>
      </x:c>
      <x:c r="J132" s="32" t="str">
        <x:v>刑已达到有效阈值。</x:v>
      </x:c>
      <x:c r="K132" s="32" t="str">
        <x:v>不限定；由后续模块修正</x:v>
      </x:c>
      <x:c r="L132" s="32" t="str">
        <x:v>不限定</x:v>
      </x:c>
      <x:c r="M132" s="32" t="str">
        <x:v>反复校正与细节敏感</x:v>
      </x:c>
      <x:c r="N132" s="32" t="str">
        <x:v>无／待后续模块组合</x:v>
      </x:c>
      <x:c r="O132" s="32" t="str">
        <x:v>日支或与日支直接相关</x:v>
      </x:c>
      <x:c r="P132" s="32" t="str">
        <x:v>由共享基础引擎判定</x:v>
      </x:c>
      <x:c r="Q132" s="32" t="str">
        <x:v>由共享基础引擎判定</x:v>
      </x:c>
      <x:c r="R132" s="32" t="str">
        <x:v>喜忌未定或由共享引擎提供</x:v>
      </x:c>
      <x:c r="S132" s="32" t="str">
        <x:v>原十神性质有效；无真合化或已完成相应路由</x:v>
      </x:c>
      <x:c r="T132" s="32" t="str">
        <x:v>近</x:v>
      </x:c>
      <x:c r="U132" s="32" t="n">
        <x:v>96</x:v>
      </x:c>
      <x:c r="V132" s="32" t="str">
        <x:v>不进入核心；仅内部备注</x:v>
      </x:c>
      <x:c r="W132" s="32" t="str">
        <x:v>boundary_note</x:v>
      </x:c>
      <x:c r="X132" s="32" t="str">
        <x:v>避免见到刑字样就直接修改关系底盘；必须先通过共享引擎的有效性判定。</x:v>
      </x:c>
      <x:c r="Y132" s="32" t="str">
        <x:v>刑势较弱、条件不全或仅为远位背景时，只能作为低权重敏感度修正。</x:v>
      </x:c>
      <x:c r="Z132" s="32" t="str">
        <x:v>不得推出一定争吵、自我折磨、互相伤害、心理问题或婚姻不幸。 不得用低效信号生成确定文案。</x:v>
      </x:c>
      <x:c r="AA132" s="32" t="str">
        <x:v>高</x:v>
      </x:c>
      <x:c r="AB132" s="32" t="str">
        <x:v>待验证</x:v>
      </x:c>
      <x:c r="AC132" s="32" t="str"/>
      <x:c r="AD132" s="32" t="str">
        <x:v>provisional=true; gate=true; source_id=DAY_BRANCH_DYNAMIC_刑</x:v>
      </x:c>
      <x:c r="AE132" s="39" t="str">
        <x:v>0.2</x:v>
      </x:c>
    </x:row>
    <x:row r="133">
      <x:c r="A133" s="38" t="str">
        <x:v>M3-BASE-129</x:v>
      </x:c>
      <x:c r="B133" s="32" t="str">
        <x:v>日支多重刑或重复作用｜情境化</x:v>
      </x:c>
      <x:c r="C133" s="32" t="str">
        <x:v>L6 状态切换</x:v>
      </x:c>
      <x:c r="D133" s="32" t="str">
        <x:v>BASE-宫位动态</x:v>
      </x:c>
      <x:c r="E133" s="32" t="str">
        <x:v>通用</x:v>
      </x:c>
      <x:c r="F133" s="32" t="str">
        <x:v>组合</x:v>
      </x:c>
      <x:c r="G133" s="32" t="str">
        <x:v>日支多重／重复刑</x:v>
      </x:c>
      <x:c r="H133" s="32" t="str">
        <x:v>多重牵动</x:v>
      </x:c>
      <x:c r="I133" s="32" t="str">
        <x:v>至少两项独立有效刑作用涉及日支，或同类作用在结构中重复出现。</x:v>
      </x:c>
      <x:c r="J133" s="32" t="str">
        <x:v>多项作用实际同源；只有一项达到有效阈值。</x:v>
      </x:c>
      <x:c r="K133" s="32" t="str">
        <x:v>不限定；由后续模块修正</x:v>
      </x:c>
      <x:c r="L133" s="32" t="str">
        <x:v>不限定</x:v>
      </x:c>
      <x:c r="M133" s="32" t="str">
        <x:v>反复校正与细节敏感</x:v>
      </x:c>
      <x:c r="N133" s="32" t="str">
        <x:v>无／待后续模块组合</x:v>
      </x:c>
      <x:c r="O133" s="32" t="str">
        <x:v>日支或与日支直接相关</x:v>
      </x:c>
      <x:c r="P133" s="32" t="str">
        <x:v>由共享基础引擎判定</x:v>
      </x:c>
      <x:c r="Q133" s="32" t="str">
        <x:v>由共享基础引擎判定</x:v>
      </x:c>
      <x:c r="R133" s="32" t="str">
        <x:v>喜忌未定或由共享引擎提供</x:v>
      </x:c>
      <x:c r="S133" s="32" t="str">
        <x:v>原十神性质有效；无真合化或已完成相应路由</x:v>
      </x:c>
      <x:c r="T133" s="32" t="str">
        <x:v>近</x:v>
      </x:c>
      <x:c r="U133" s="32" t="n">
        <x:v>78</x:v>
      </x:c>
      <x:c r="V133" s="32" t="str">
        <x:v>P12情境切换候选；置信度-1级</x:v>
      </x:c>
      <x:c r="W133" s="32" t="str">
        <x:v>interaction_pattern</x:v>
      </x:c>
      <x:c r="X133" s="32" t="str">
        <x:v>自刑、重复刑或多组刑同时涉及日支时，应优先转入STATE与CONFLICT，而不是在BASE中堆叠负面标签。 多重作用提高状态依赖度，但不等同负面事件。</x:v>
      </x:c>
      <x:c r="Y133" s="32" t="str">
        <x:v>自刑、重复刑或多组刑同时涉及日支时，应优先转入STATE与CONFLICT，而不是在BASE中堆叠负面标签。</x:v>
      </x:c>
      <x:c r="Z133" s="32" t="str">
        <x:v>不得推出一定争吵、自我折磨、互相伤害、心理问题或婚姻不幸。 不得将多重作用解释为多人关系。</x:v>
      </x:c>
      <x:c r="AA133" s="32" t="str">
        <x:v>中低</x:v>
      </x:c>
      <x:c r="AB133" s="32" t="str">
        <x:v>待验证</x:v>
      </x:c>
      <x:c r="AC133" s="32" t="str"/>
      <x:c r="AD133" s="32" t="str">
        <x:v>provisional=true; source_cluster=DAY_BRANCH_DYNAMIC_MULTI_刑; route_to=M3-STATE</x:v>
      </x:c>
      <x:c r="AE133" s="39" t="str">
        <x:v>0.2</x:v>
      </x:c>
    </x:row>
    <x:row r="134">
      <x:c r="A134" s="38" t="str">
        <x:v>M3-BASE-130</x:v>
      </x:c>
      <x:c r="B134" s="32" t="str">
        <x:v>日支受刑｜只作修正不建新底盘</x:v>
      </x:c>
      <x:c r="C134" s="32" t="str">
        <x:v>L8 总合成与边界审查</x:v>
      </x:c>
      <x:c r="D134" s="32" t="str">
        <x:v>BASE-宫位动态</x:v>
      </x:c>
      <x:c r="E134" s="32" t="str">
        <x:v>通用</x:v>
      </x:c>
      <x:c r="F134" s="32" t="str">
        <x:v>去重</x:v>
      </x:c>
      <x:c r="G134" s="32" t="str">
        <x:v>日支受有效刑</x:v>
      </x:c>
      <x:c r="H134" s="32" t="str">
        <x:v>日支主气</x:v>
      </x:c>
      <x:c r="I134" s="32" t="str">
        <x:v>日支主气底盘与刑修正同时进入合成。</x:v>
      </x:c>
      <x:c r="J134" s="32" t="str">
        <x:v>真合化后原底盘已经停止。</x:v>
      </x:c>
      <x:c r="K134" s="32" t="str">
        <x:v>不限定；由后续模块修正</x:v>
      </x:c>
      <x:c r="L134" s="32" t="str">
        <x:v>不限定</x:v>
      </x:c>
      <x:c r="M134" s="32" t="str">
        <x:v>反复校正与细节敏感</x:v>
      </x:c>
      <x:c r="N134" s="32" t="str">
        <x:v>无／待后续模块组合</x:v>
      </x:c>
      <x:c r="O134" s="32" t="str">
        <x:v>日支或与日支直接相关</x:v>
      </x:c>
      <x:c r="P134" s="32" t="str">
        <x:v>由共享基础引擎判定</x:v>
      </x:c>
      <x:c r="Q134" s="32" t="str">
        <x:v>由共享基础引擎判定</x:v>
      </x:c>
      <x:c r="R134" s="32" t="str">
        <x:v>喜忌未定或由共享引擎提供</x:v>
      </x:c>
      <x:c r="S134" s="32" t="str">
        <x:v>原十神性质有效；无真合化或已完成相应路由</x:v>
      </x:c>
      <x:c r="T134" s="32" t="str">
        <x:v>近</x:v>
      </x:c>
      <x:c r="U134" s="32" t="n">
        <x:v>98</x:v>
      </x:c>
      <x:c r="V134" s="32" t="str">
        <x:v>主气保留一次基础权重；动态仅加修正</x:v>
      </x:c>
      <x:c r="W134" s="32" t="str">
        <x:v>dedup_log</x:v>
      </x:c>
      <x:c r="X134" s="32" t="str">
        <x:v>刑是日支底盘的状态修正，不是独立十神通道，不能另建一个主模式。</x:v>
      </x:c>
      <x:c r="Y134" s="32" t="str">
        <x:v>这一项只用于说明相处节奏怎样变化，不会被当成另一套独立人格或相处模式。</x:v>
      </x:c>
      <x:c r="Z134" s="32" t="str">
        <x:v>不得推出一定争吵、自我折磨、互相伤害、心理问题或婚姻不幸。 不得把动态数量当作独立证据数量。</x:v>
      </x:c>
      <x:c r="AA134" s="32" t="str">
        <x:v>高</x:v>
      </x:c>
      <x:c r="AB134" s="32" t="str">
        <x:v>待验证</x:v>
      </x:c>
      <x:c r="AC134" s="32" t="str"/>
      <x:c r="AD134" s="32" t="str">
        <x:v>provisional=true; dedup_cluster=DAY_BRANCH_BASE_PLUS_DYNAMIC_刑</x:v>
      </x:c>
      <x:c r="AE134" s="39" t="str">
        <x:v>0.2</x:v>
      </x:c>
    </x:row>
    <x:row r="135">
      <x:c r="A135" s="38" t="str">
        <x:v>M3-BASE-131</x:v>
      </x:c>
      <x:c r="B135" s="32" t="str">
        <x:v>日支受刑｜边界说明</x:v>
      </x:c>
      <x:c r="C135" s="32" t="str">
        <x:v>L8 总合成与边界审查</x:v>
      </x:c>
      <x:c r="D135" s="32" t="str">
        <x:v>BASE-宫位动态</x:v>
      </x:c>
      <x:c r="E135" s="32" t="str">
        <x:v>通用</x:v>
      </x:c>
      <x:c r="F135" s="32" t="str">
        <x:v>边界</x:v>
      </x:c>
      <x:c r="G135" s="32" t="str">
        <x:v>日支受刑</x:v>
      </x:c>
      <x:c r="H135" s="32" t="str">
        <x:v>反复校正与细节敏感</x:v>
      </x:c>
      <x:c r="I135" s="32" t="str">
        <x:v>任何刑相关文案准备进入用户输出。</x:v>
      </x:c>
      <x:c r="J135" s="32" t="str">
        <x:v>无。</x:v>
      </x:c>
      <x:c r="K135" s="32" t="str">
        <x:v>不限定；由后续模块修正</x:v>
      </x:c>
      <x:c r="L135" s="32" t="str">
        <x:v>不限定</x:v>
      </x:c>
      <x:c r="M135" s="32" t="str">
        <x:v>反复校正与细节敏感</x:v>
      </x:c>
      <x:c r="N135" s="32" t="str">
        <x:v>无／待后续模块组合</x:v>
      </x:c>
      <x:c r="O135" s="32" t="str">
        <x:v>日支或与日支直接相关</x:v>
      </x:c>
      <x:c r="P135" s="32" t="str">
        <x:v>由共享基础引擎判定</x:v>
      </x:c>
      <x:c r="Q135" s="32" t="str">
        <x:v>由共享基础引擎判定</x:v>
      </x:c>
      <x:c r="R135" s="32" t="str">
        <x:v>喜忌未定或由共享引擎提供</x:v>
      </x:c>
      <x:c r="S135" s="32" t="str">
        <x:v>原十神性质有效；无真合化或已完成相应路由</x:v>
      </x:c>
      <x:c r="T135" s="32" t="str">
        <x:v>近</x:v>
      </x:c>
      <x:c r="U135" s="32" t="n">
        <x:v>100</x:v>
      </x:c>
      <x:c r="V135" s="32" t="str">
        <x:v>强制边界</x:v>
      </x:c>
      <x:c r="W135" s="32" t="str">
        <x:v>boundary_note</x:v>
      </x:c>
      <x:c r="X135" s="32" t="str">
        <x:v>强制阻断从刑的结构修正跳到事件、道德或结果判断。</x:v>
      </x:c>
      <x:c r="Y135" s="32" t="str">
        <x:v>这里的“反复校正与细节敏感”只描述相处节奏的可能修正，不代表关系一定发生某种结果。</x:v>
      </x:c>
      <x:c r="Z135" s="32" t="str">
        <x:v>不得推出一定争吵、自我折磨、互相伤害、心理问题或婚姻不幸。</x:v>
      </x:c>
      <x:c r="AA135" s="32" t="str">
        <x:v>高</x:v>
      </x:c>
      <x:c r="AB135" s="32" t="str">
        <x:v>待验证</x:v>
      </x:c>
      <x:c r="AC135" s="32" t="str"/>
      <x:c r="AD135" s="32" t="str">
        <x:v>provisional=true; mandatory_boundary=true; dynamic=刑</x:v>
      </x:c>
      <x:c r="AE135" s="39" t="str">
        <x:v>0.2</x:v>
      </x:c>
    </x:row>
    <x:row r="136">
      <x:c r="A136" s="38" t="str">
        <x:v>M3-BASE-132</x:v>
      </x:c>
      <x:c r="B136" s="32" t="str">
        <x:v>日支受害｜有效底盘修正</x:v>
      </x:c>
      <x:c r="C136" s="32" t="str">
        <x:v>L6 状态切换</x:v>
      </x:c>
      <x:c r="D136" s="32" t="str">
        <x:v>BASE-宫位动态</x:v>
      </x:c>
      <x:c r="E136" s="32" t="str">
        <x:v>通用</x:v>
      </x:c>
      <x:c r="F136" s="32" t="str">
        <x:v>修正</x:v>
      </x:c>
      <x:c r="G136" s="32" t="str">
        <x:v>日支受有效害</x:v>
      </x:c>
      <x:c r="H136" s="32" t="str">
        <x:v>间接错位与确认需求</x:v>
      </x:c>
      <x:c r="I136" s="32" t="str">
        <x:v>共享引擎确认害真实成立、直接涉及日支且达到模型最低作用阈值；原日支十神仍有效。</x:v>
      </x:c>
      <x:c r="J136" s="32" t="str">
        <x:v>害未成立、作用弱远、仅为阶段性信息；若为合且真合化则改走合化规则。</x:v>
      </x:c>
      <x:c r="K136" s="32" t="str">
        <x:v>不限定；由后续模块修正</x:v>
      </x:c>
      <x:c r="L136" s="32" t="str">
        <x:v>不限定</x:v>
      </x:c>
      <x:c r="M136" s="32" t="str">
        <x:v>间接错位与确认需求</x:v>
      </x:c>
      <x:c r="N136" s="32" t="str">
        <x:v>无／待后续模块组合</x:v>
      </x:c>
      <x:c r="O136" s="32" t="str">
        <x:v>日支或与日支直接相关</x:v>
      </x:c>
      <x:c r="P136" s="32" t="str">
        <x:v>由共享基础引擎判定</x:v>
      </x:c>
      <x:c r="Q136" s="32" t="str">
        <x:v>由共享基础引擎判定</x:v>
      </x:c>
      <x:c r="R136" s="32" t="str">
        <x:v>喜忌未定或由共享引擎提供</x:v>
      </x:c>
      <x:c r="S136" s="32" t="str">
        <x:v>原十神保留；若真合化则本规则不适用</x:v>
      </x:c>
      <x:c r="T136" s="32" t="str">
        <x:v>近</x:v>
      </x:c>
      <x:c r="U136" s="32" t="n">
        <x:v>84</x:v>
      </x:c>
      <x:c r="V136" s="32" t="str">
        <x:v>底盘修正；状态切换候选+6</x:v>
      </x:c>
      <x:c r="W136" s="32" t="str">
        <x:v>stress_shift</x:v>
      </x:c>
      <x:c r="X136" s="32" t="str">
        <x:v>日支受到有效害时，某些期待、感受或回应方式可能不完全在同一频道，需要通过额外确认才能对齐。 宫位动态只修正运行方式，不创造新的十神底盘。</x:v>
      </x:c>
      <x:c r="Y136" s="32" t="str">
        <x:v>你的核心相处底盘仍在，但有些感受或期待可能不会第一时间说得完全一致，需要多一步确认。</x:v>
      </x:c>
      <x:c r="Z136" s="32" t="str">
        <x:v>不得推出背叛、欺骗、第三者、暗害、恶意或对方不真诚。 本规则不判断关系风险和结果。</x:v>
      </x:c>
      <x:c r="AA136" s="32" t="str">
        <x:v>中低</x:v>
      </x:c>
      <x:c r="AB136" s="32" t="str">
        <x:v>待验证</x:v>
      </x:c>
      <x:c r="AC136" s="32" t="str"/>
      <x:c r="AD136" s="32" t="str">
        <x:v>provisional=true; source_id=DAY_BRANCH_DYNAMIC_害; interaction_state=平稳→压力修正</x:v>
      </x:c>
      <x:c r="AE136" s="39" t="str">
        <x:v>0.2</x:v>
      </x:c>
    </x:row>
    <x:row r="137">
      <x:c r="A137" s="38" t="str">
        <x:v>M3-BASE-133</x:v>
      </x:c>
      <x:c r="B137" s="32" t="str">
        <x:v>日支受害｜平稳状态表达</x:v>
      </x:c>
      <x:c r="C137" s="32" t="str">
        <x:v>L6 状态切换</x:v>
      </x:c>
      <x:c r="D137" s="32" t="str">
        <x:v>BASE-宫位动态</x:v>
      </x:c>
      <x:c r="E137" s="32" t="str">
        <x:v>通用</x:v>
      </x:c>
      <x:c r="F137" s="32" t="str">
        <x:v>输出候选</x:v>
      </x:c>
      <x:c r="G137" s="32" t="str">
        <x:v>日支受有效害</x:v>
      </x:c>
      <x:c r="H137" s="32" t="str">
        <x:v>平稳状态</x:v>
      </x:c>
      <x:c r="I137" s="32" t="str">
        <x:v>害有效；核心日支底盘已成立；无更强冲突动态覆盖。</x:v>
      </x:c>
      <x:c r="J137" s="32" t="str">
        <x:v>基础底盘停止；多项动态主次未定。</x:v>
      </x:c>
      <x:c r="K137" s="32" t="str">
        <x:v>不限定；由后续模块修正</x:v>
      </x:c>
      <x:c r="L137" s="32" t="str">
        <x:v>不限定</x:v>
      </x:c>
      <x:c r="M137" s="32" t="str">
        <x:v>间接错位与确认需求</x:v>
      </x:c>
      <x:c r="N137" s="32" t="str">
        <x:v>无／待后续模块组合</x:v>
      </x:c>
      <x:c r="O137" s="32" t="str">
        <x:v>日支或与日支直接相关</x:v>
      </x:c>
      <x:c r="P137" s="32" t="str">
        <x:v>由共享基础引擎判定</x:v>
      </x:c>
      <x:c r="Q137" s="32" t="str">
        <x:v>由共享基础引擎判定</x:v>
      </x:c>
      <x:c r="R137" s="32" t="str">
        <x:v>喜忌未定或由共享引擎提供</x:v>
      </x:c>
      <x:c r="S137" s="32" t="str">
        <x:v>原十神性质有效；无真合化或已完成相应路由</x:v>
      </x:c>
      <x:c r="T137" s="32" t="str">
        <x:v>近</x:v>
      </x:c>
      <x:c r="U137" s="32" t="n">
        <x:v>72</x:v>
      </x:c>
      <x:c r="V137" s="32" t="str">
        <x:v>不独立加分</x:v>
      </x:c>
      <x:c r="W137" s="32" t="str">
        <x:v>relationship_baseline</x:v>
      </x:c>
      <x:c r="X137" s="32" t="str">
        <x:v>把害的中性作用翻译为平稳状态下的底盘修饰，不把它写成事件预测。</x:v>
      </x:c>
      <x:c r="Y137" s="32" t="str">
        <x:v>你的核心相处底盘仍在，但有些感受或期待可能不会第一时间说得完全一致，需要多一步确认。</x:v>
      </x:c>
      <x:c r="Z137" s="32" t="str">
        <x:v>不得推出背叛、欺骗、第三者、暗害、恶意或对方不真诚。</x:v>
      </x:c>
      <x:c r="AA137" s="32" t="str">
        <x:v>中低</x:v>
      </x:c>
      <x:c r="AB137" s="32" t="str">
        <x:v>待验证</x:v>
      </x:c>
      <x:c r="AC137" s="32" t="str"/>
      <x:c r="AD137" s="32" t="str">
        <x:v>provisional=true; source_id=DAY_BRANCH_DYNAMIC_害; summary_only=true</x:v>
      </x:c>
      <x:c r="AE137" s="39" t="str">
        <x:v>0.2</x:v>
      </x:c>
    </x:row>
    <x:row r="138">
      <x:c r="A138" s="38" t="str">
        <x:v>M3-BASE-134</x:v>
      </x:c>
      <x:c r="B138" s="32" t="str">
        <x:v>日支受害｜压力状态路由</x:v>
      </x:c>
      <x:c r="C138" s="32" t="str">
        <x:v>L6 状态切换</x:v>
      </x:c>
      <x:c r="D138" s="32" t="str">
        <x:v>BASE-宫位动态</x:v>
      </x:c>
      <x:c r="E138" s="32" t="str">
        <x:v>通用</x:v>
      </x:c>
      <x:c r="F138" s="32" t="str">
        <x:v>路由</x:v>
      </x:c>
      <x:c r="G138" s="32" t="str">
        <x:v>日支受有效害</x:v>
      </x:c>
      <x:c r="H138" s="32" t="str">
        <x:v>压力激活</x:v>
      </x:c>
      <x:c r="I138" s="32" t="str">
        <x:v>害有效；存在压力状态或分歧场景的第二类证据；M3-STATE输入完整。</x:v>
      </x:c>
      <x:c r="J138" s="32" t="str">
        <x:v>仅凭原局无状态证据；相关动态弱或争议。</x:v>
      </x:c>
      <x:c r="K138" s="32" t="str">
        <x:v>不限定；由后续模块修正</x:v>
      </x:c>
      <x:c r="L138" s="32" t="str">
        <x:v>不限定</x:v>
      </x:c>
      <x:c r="M138" s="32" t="str">
        <x:v>间接错位与确认需求</x:v>
      </x:c>
      <x:c r="N138" s="32" t="str">
        <x:v>无／待后续模块组合</x:v>
      </x:c>
      <x:c r="O138" s="32" t="str">
        <x:v>日支或与日支直接相关</x:v>
      </x:c>
      <x:c r="P138" s="32" t="str">
        <x:v>由共享基础引擎判定</x:v>
      </x:c>
      <x:c r="Q138" s="32" t="str">
        <x:v>由共享基础引擎判定</x:v>
      </x:c>
      <x:c r="R138" s="32" t="str">
        <x:v>喜忌未定或由共享引擎提供</x:v>
      </x:c>
      <x:c r="S138" s="32" t="str">
        <x:v>原十神性质有效；无真合化或已完成相应路由</x:v>
      </x:c>
      <x:c r="T138" s="32" t="str">
        <x:v>近</x:v>
      </x:c>
      <x:c r="U138" s="32" t="n">
        <x:v>70</x:v>
      </x:c>
      <x:c r="V138" s="32" t="str">
        <x:v>转M3-STATE／CONFLICT候选</x:v>
      </x:c>
      <x:c r="W138" s="32" t="str">
        <x:v>stress_shift</x:v>
      </x:c>
      <x:c r="X138" s="32" t="str">
        <x:v>压力增加时，害可能使用户先通过间接观察、内部判断或延迟回应处理不适配感。 BASE只负责路由，不直接锁定具体分歧行为。</x:v>
      </x:c>
      <x:c r="Y138" s="32" t="str">
        <x:v>遇到微妙不舒服时，你可能不会马上下结论，而是先观察、确认对方意思，再决定怎样回应。</x:v>
      </x:c>
      <x:c r="Z138" s="32" t="str">
        <x:v>不得推出背叛、欺骗、第三者、暗害、恶意或对方不真诚。 不得把压力候选写成必然发生。</x:v>
      </x:c>
      <x:c r="AA138" s="32" t="str">
        <x:v>中低</x:v>
      </x:c>
      <x:c r="AB138" s="32" t="str">
        <x:v>待验证</x:v>
      </x:c>
      <x:c r="AC138" s="32" t="str"/>
      <x:c r="AD138" s="32" t="str">
        <x:v>provisional=true; source_id=DAY_BRANCH_DYNAMIC_害; route_only=true; interaction_state=压力</x:v>
      </x:c>
      <x:c r="AE138" s="39" t="str">
        <x:v>0.2</x:v>
      </x:c>
    </x:row>
    <x:row r="139">
      <x:c r="A139" s="38" t="str">
        <x:v>M3-BASE-135</x:v>
      </x:c>
      <x:c r="B139" s="32" t="str">
        <x:v>日支受害｜弱远不改核心</x:v>
      </x:c>
      <x:c r="C139" s="32" t="str">
        <x:v>L8 总合成与边界审查</x:v>
      </x:c>
      <x:c r="D139" s="32" t="str">
        <x:v>BASE-宫位动态</x:v>
      </x:c>
      <x:c r="E139" s="32" t="str">
        <x:v>通用</x:v>
      </x:c>
      <x:c r="F139" s="32" t="str">
        <x:v>门控</x:v>
      </x:c>
      <x:c r="G139" s="32" t="str">
        <x:v>弱／远／争议害</x:v>
      </x:c>
      <x:c r="H139" s="32" t="str">
        <x:v>作用不足</x:v>
      </x:c>
      <x:c r="I139" s="32" t="str">
        <x:v>存在害形式，但强度、距离或成立条件不足。</x:v>
      </x:c>
      <x:c r="J139" s="32" t="str">
        <x:v>害已达到有效阈值。</x:v>
      </x:c>
      <x:c r="K139" s="32" t="str">
        <x:v>不限定；由后续模块修正</x:v>
      </x:c>
      <x:c r="L139" s="32" t="str">
        <x:v>不限定</x:v>
      </x:c>
      <x:c r="M139" s="32" t="str">
        <x:v>间接错位与确认需求</x:v>
      </x:c>
      <x:c r="N139" s="32" t="str">
        <x:v>无／待后续模块组合</x:v>
      </x:c>
      <x:c r="O139" s="32" t="str">
        <x:v>日支或与日支直接相关</x:v>
      </x:c>
      <x:c r="P139" s="32" t="str">
        <x:v>由共享基础引擎判定</x:v>
      </x:c>
      <x:c r="Q139" s="32" t="str">
        <x:v>由共享基础引擎判定</x:v>
      </x:c>
      <x:c r="R139" s="32" t="str">
        <x:v>喜忌未定或由共享引擎提供</x:v>
      </x:c>
      <x:c r="S139" s="32" t="str">
        <x:v>原十神性质有效；无真合化或已完成相应路由</x:v>
      </x:c>
      <x:c r="T139" s="32" t="str">
        <x:v>近</x:v>
      </x:c>
      <x:c r="U139" s="32" t="n">
        <x:v>96</x:v>
      </x:c>
      <x:c r="V139" s="32" t="str">
        <x:v>不进入核心；仅内部备注</x:v>
      </x:c>
      <x:c r="W139" s="32" t="str">
        <x:v>boundary_note</x:v>
      </x:c>
      <x:c r="X139" s="32" t="str">
        <x:v>避免见到害字样就直接修改关系底盘；必须先通过共享引擎的有效性判定。</x:v>
      </x:c>
      <x:c r="Y139" s="32" t="str">
        <x:v>害的解释争议较大；若作用弱、远或缺乏第二证据，不进入用户正文。</x:v>
      </x:c>
      <x:c r="Z139" s="32" t="str">
        <x:v>不得推出背叛、欺骗、第三者、暗害、恶意或对方不真诚。 不得用低效信号生成确定文案。</x:v>
      </x:c>
      <x:c r="AA139" s="32" t="str">
        <x:v>高</x:v>
      </x:c>
      <x:c r="AB139" s="32" t="str">
        <x:v>待验证</x:v>
      </x:c>
      <x:c r="AC139" s="32" t="str"/>
      <x:c r="AD139" s="32" t="str">
        <x:v>provisional=true; gate=true; source_id=DAY_BRANCH_DYNAMIC_害</x:v>
      </x:c>
      <x:c r="AE139" s="39" t="str">
        <x:v>0.2</x:v>
      </x:c>
    </x:row>
    <x:row r="140">
      <x:c r="A140" s="38" t="str">
        <x:v>M3-BASE-136</x:v>
      </x:c>
      <x:c r="B140" s="32" t="str">
        <x:v>日支多重害或重复作用｜情境化</x:v>
      </x:c>
      <x:c r="C140" s="32" t="str">
        <x:v>L6 状态切换</x:v>
      </x:c>
      <x:c r="D140" s="32" t="str">
        <x:v>BASE-宫位动态</x:v>
      </x:c>
      <x:c r="E140" s="32" t="str">
        <x:v>通用</x:v>
      </x:c>
      <x:c r="F140" s="32" t="str">
        <x:v>组合</x:v>
      </x:c>
      <x:c r="G140" s="32" t="str">
        <x:v>日支多重／重复害</x:v>
      </x:c>
      <x:c r="H140" s="32" t="str">
        <x:v>多重牵动</x:v>
      </x:c>
      <x:c r="I140" s="32" t="str">
        <x:v>至少两项独立有效害作用涉及日支，或同类作用在结构中重复出现。</x:v>
      </x:c>
      <x:c r="J140" s="32" t="str">
        <x:v>多项作用实际同源；只有一项达到有效阈值。</x:v>
      </x:c>
      <x:c r="K140" s="32" t="str">
        <x:v>不限定；由后续模块修正</x:v>
      </x:c>
      <x:c r="L140" s="32" t="str">
        <x:v>不限定</x:v>
      </x:c>
      <x:c r="M140" s="32" t="str">
        <x:v>间接错位与确认需求</x:v>
      </x:c>
      <x:c r="N140" s="32" t="str">
        <x:v>无／待后续模块组合</x:v>
      </x:c>
      <x:c r="O140" s="32" t="str">
        <x:v>日支或与日支直接相关</x:v>
      </x:c>
      <x:c r="P140" s="32" t="str">
        <x:v>由共享基础引擎判定</x:v>
      </x:c>
      <x:c r="Q140" s="32" t="str">
        <x:v>由共享基础引擎判定</x:v>
      </x:c>
      <x:c r="R140" s="32" t="str">
        <x:v>喜忌未定或由共享引擎提供</x:v>
      </x:c>
      <x:c r="S140" s="32" t="str">
        <x:v>原十神性质有效；无真合化或已完成相应路由</x:v>
      </x:c>
      <x:c r="T140" s="32" t="str">
        <x:v>近</x:v>
      </x:c>
      <x:c r="U140" s="32" t="n">
        <x:v>78</x:v>
      </x:c>
      <x:c r="V140" s="32" t="str">
        <x:v>P12情境切换候选；置信度-1级</x:v>
      </x:c>
      <x:c r="W140" s="32" t="str">
        <x:v>interaction_pattern</x:v>
      </x:c>
      <x:c r="X140" s="32" t="str">
        <x:v>多个有效害或与其他作用并存时，只能说明间接错位更需确认，不得扩张为事件断语。 多重作用提高状态依赖度，但不等同负面事件。</x:v>
      </x:c>
      <x:c r="Y140" s="32" t="str">
        <x:v>多个有效害或与其他作用并存时，只能说明间接错位更需确认，不得扩张为事件断语。</x:v>
      </x:c>
      <x:c r="Z140" s="32" t="str">
        <x:v>不得推出背叛、欺骗、第三者、暗害、恶意或对方不真诚。 不得将多重作用解释为多人关系。</x:v>
      </x:c>
      <x:c r="AA140" s="32" t="str">
        <x:v>中低</x:v>
      </x:c>
      <x:c r="AB140" s="32" t="str">
        <x:v>待验证</x:v>
      </x:c>
      <x:c r="AC140" s="32" t="str"/>
      <x:c r="AD140" s="32" t="str">
        <x:v>provisional=true; source_cluster=DAY_BRANCH_DYNAMIC_MULTI_害; route_to=M3-STATE</x:v>
      </x:c>
      <x:c r="AE140" s="39" t="str">
        <x:v>0.2</x:v>
      </x:c>
    </x:row>
    <x:row r="141">
      <x:c r="A141" s="38" t="str">
        <x:v>M3-BASE-137</x:v>
      </x:c>
      <x:c r="B141" s="32" t="str">
        <x:v>日支受害｜只作修正不建新底盘</x:v>
      </x:c>
      <x:c r="C141" s="32" t="str">
        <x:v>L8 总合成与边界审查</x:v>
      </x:c>
      <x:c r="D141" s="32" t="str">
        <x:v>BASE-宫位动态</x:v>
      </x:c>
      <x:c r="E141" s="32" t="str">
        <x:v>通用</x:v>
      </x:c>
      <x:c r="F141" s="32" t="str">
        <x:v>去重</x:v>
      </x:c>
      <x:c r="G141" s="32" t="str">
        <x:v>日支受有效害</x:v>
      </x:c>
      <x:c r="H141" s="32" t="str">
        <x:v>日支主气</x:v>
      </x:c>
      <x:c r="I141" s="32" t="str">
        <x:v>日支主气底盘与害修正同时进入合成。</x:v>
      </x:c>
      <x:c r="J141" s="32" t="str">
        <x:v>真合化后原底盘已经停止。</x:v>
      </x:c>
      <x:c r="K141" s="32" t="str">
        <x:v>不限定；由后续模块修正</x:v>
      </x:c>
      <x:c r="L141" s="32" t="str">
        <x:v>不限定</x:v>
      </x:c>
      <x:c r="M141" s="32" t="str">
        <x:v>间接错位与确认需求</x:v>
      </x:c>
      <x:c r="N141" s="32" t="str">
        <x:v>无／待后续模块组合</x:v>
      </x:c>
      <x:c r="O141" s="32" t="str">
        <x:v>日支或与日支直接相关</x:v>
      </x:c>
      <x:c r="P141" s="32" t="str">
        <x:v>由共享基础引擎判定</x:v>
      </x:c>
      <x:c r="Q141" s="32" t="str">
        <x:v>由共享基础引擎判定</x:v>
      </x:c>
      <x:c r="R141" s="32" t="str">
        <x:v>喜忌未定或由共享引擎提供</x:v>
      </x:c>
      <x:c r="S141" s="32" t="str">
        <x:v>原十神性质有效；无真合化或已完成相应路由</x:v>
      </x:c>
      <x:c r="T141" s="32" t="str">
        <x:v>近</x:v>
      </x:c>
      <x:c r="U141" s="32" t="n">
        <x:v>98</x:v>
      </x:c>
      <x:c r="V141" s="32" t="str">
        <x:v>主气保留一次基础权重；动态仅加修正</x:v>
      </x:c>
      <x:c r="W141" s="32" t="str">
        <x:v>dedup_log</x:v>
      </x:c>
      <x:c r="X141" s="32" t="str">
        <x:v>害是日支底盘的状态修正，不是独立十神通道，不能另建一个主模式。</x:v>
      </x:c>
      <x:c r="Y141" s="32" t="str">
        <x:v>这一项只用于说明相处节奏怎样变化，不会被当成另一套独立人格或相处模式。</x:v>
      </x:c>
      <x:c r="Z141" s="32" t="str">
        <x:v>不得推出背叛、欺骗、第三者、暗害、恶意或对方不真诚。 不得把动态数量当作独立证据数量。</x:v>
      </x:c>
      <x:c r="AA141" s="32" t="str">
        <x:v>高</x:v>
      </x:c>
      <x:c r="AB141" s="32" t="str">
        <x:v>待验证</x:v>
      </x:c>
      <x:c r="AC141" s="32" t="str"/>
      <x:c r="AD141" s="32" t="str">
        <x:v>provisional=true; dedup_cluster=DAY_BRANCH_BASE_PLUS_DYNAMIC_害</x:v>
      </x:c>
      <x:c r="AE141" s="39" t="str">
        <x:v>0.2</x:v>
      </x:c>
    </x:row>
    <x:row r="142">
      <x:c r="A142" s="38" t="str">
        <x:v>M3-BASE-138</x:v>
      </x:c>
      <x:c r="B142" s="32" t="str">
        <x:v>日支受害｜边界说明</x:v>
      </x:c>
      <x:c r="C142" s="32" t="str">
        <x:v>L8 总合成与边界审查</x:v>
      </x:c>
      <x:c r="D142" s="32" t="str">
        <x:v>BASE-宫位动态</x:v>
      </x:c>
      <x:c r="E142" s="32" t="str">
        <x:v>通用</x:v>
      </x:c>
      <x:c r="F142" s="32" t="str">
        <x:v>边界</x:v>
      </x:c>
      <x:c r="G142" s="32" t="str">
        <x:v>日支受害</x:v>
      </x:c>
      <x:c r="H142" s="32" t="str">
        <x:v>间接错位与确认需求</x:v>
      </x:c>
      <x:c r="I142" s="32" t="str">
        <x:v>任何害相关文案准备进入用户输出。</x:v>
      </x:c>
      <x:c r="J142" s="32" t="str">
        <x:v>无。</x:v>
      </x:c>
      <x:c r="K142" s="32" t="str">
        <x:v>不限定；由后续模块修正</x:v>
      </x:c>
      <x:c r="L142" s="32" t="str">
        <x:v>不限定</x:v>
      </x:c>
      <x:c r="M142" s="32" t="str">
        <x:v>间接错位与确认需求</x:v>
      </x:c>
      <x:c r="N142" s="32" t="str">
        <x:v>无／待后续模块组合</x:v>
      </x:c>
      <x:c r="O142" s="32" t="str">
        <x:v>日支或与日支直接相关</x:v>
      </x:c>
      <x:c r="P142" s="32" t="str">
        <x:v>由共享基础引擎判定</x:v>
      </x:c>
      <x:c r="Q142" s="32" t="str">
        <x:v>由共享基础引擎判定</x:v>
      </x:c>
      <x:c r="R142" s="32" t="str">
        <x:v>喜忌未定或由共享引擎提供</x:v>
      </x:c>
      <x:c r="S142" s="32" t="str">
        <x:v>原十神性质有效；无真合化或已完成相应路由</x:v>
      </x:c>
      <x:c r="T142" s="32" t="str">
        <x:v>近</x:v>
      </x:c>
      <x:c r="U142" s="32" t="n">
        <x:v>100</x:v>
      </x:c>
      <x:c r="V142" s="32" t="str">
        <x:v>强制边界</x:v>
      </x:c>
      <x:c r="W142" s="32" t="str">
        <x:v>boundary_note</x:v>
      </x:c>
      <x:c r="X142" s="32" t="str">
        <x:v>强制阻断从害的结构修正跳到事件、道德或结果判断。</x:v>
      </x:c>
      <x:c r="Y142" s="32" t="str">
        <x:v>这里的“间接错位与确认需求”只描述相处节奏的可能修正，不代表关系一定发生某种结果。</x:v>
      </x:c>
      <x:c r="Z142" s="32" t="str">
        <x:v>不得推出背叛、欺骗、第三者、暗害、恶意或对方不真诚。</x:v>
      </x:c>
      <x:c r="AA142" s="32" t="str">
        <x:v>高</x:v>
      </x:c>
      <x:c r="AB142" s="32" t="str">
        <x:v>待验证</x:v>
      </x:c>
      <x:c r="AC142" s="32" t="str"/>
      <x:c r="AD142" s="32" t="str">
        <x:v>provisional=true; mandatory_boundary=true; dynamic=害</x:v>
      </x:c>
      <x:c r="AE142" s="39" t="str">
        <x:v>0.2</x:v>
      </x:c>
    </x:row>
    <x:row r="143">
      <x:c r="A143" s="38" t="str">
        <x:v>M3-BASE-139</x:v>
      </x:c>
      <x:c r="B143" s="32" t="str">
        <x:v>日支受破｜有效底盘修正</x:v>
      </x:c>
      <x:c r="C143" s="32" t="str">
        <x:v>L6 状态切换</x:v>
      </x:c>
      <x:c r="D143" s="32" t="str">
        <x:v>BASE-宫位动态</x:v>
      </x:c>
      <x:c r="E143" s="32" t="str">
        <x:v>通用</x:v>
      </x:c>
      <x:c r="F143" s="32" t="str">
        <x:v>修正</x:v>
      </x:c>
      <x:c r="G143" s="32" t="str">
        <x:v>日支受有效破</x:v>
      </x:c>
      <x:c r="H143" s="32" t="str">
        <x:v>旧节奏重置与安排修订</x:v>
      </x:c>
      <x:c r="I143" s="32" t="str">
        <x:v>共享引擎确认破真实成立、直接涉及日支且达到模型最低作用阈值；原日支十神仍有效。</x:v>
      </x:c>
      <x:c r="J143" s="32" t="str">
        <x:v>破未成立、作用弱远、仅为阶段性信息；若为合且真合化则改走合化规则。</x:v>
      </x:c>
      <x:c r="K143" s="32" t="str">
        <x:v>不限定；由后续模块修正</x:v>
      </x:c>
      <x:c r="L143" s="32" t="str">
        <x:v>不限定</x:v>
      </x:c>
      <x:c r="M143" s="32" t="str">
        <x:v>旧节奏重置与安排修订</x:v>
      </x:c>
      <x:c r="N143" s="32" t="str">
        <x:v>无／待后续模块组合</x:v>
      </x:c>
      <x:c r="O143" s="32" t="str">
        <x:v>日支或与日支直接相关</x:v>
      </x:c>
      <x:c r="P143" s="32" t="str">
        <x:v>由共享基础引擎判定</x:v>
      </x:c>
      <x:c r="Q143" s="32" t="str">
        <x:v>由共享基础引擎判定</x:v>
      </x:c>
      <x:c r="R143" s="32" t="str">
        <x:v>喜忌未定或由共享引擎提供</x:v>
      </x:c>
      <x:c r="S143" s="32" t="str">
        <x:v>原十神保留；若真合化则本规则不适用</x:v>
      </x:c>
      <x:c r="T143" s="32" t="str">
        <x:v>近</x:v>
      </x:c>
      <x:c r="U143" s="32" t="n">
        <x:v>84</x:v>
      </x:c>
      <x:c r="V143" s="32" t="str">
        <x:v>底盘修正；状态切换候选+6</x:v>
      </x:c>
      <x:c r="W143" s="32" t="str">
        <x:v>stress_shift</x:v>
      </x:c>
      <x:c r="X143" s="32" t="str">
        <x:v>日支受到有效破时，既有安排、习惯或互动节奏更容易需要重新调整和再组织。 宫位动态只修正运行方式，不创造新的十神底盘。</x:v>
      </x:c>
      <x:c r="Y143" s="32" t="str">
        <x:v>你的核心相处主题仍在，但一些原有安排或默认习惯可能需要通过重新商量才能继续运转。</x:v>
      </x:c>
      <x:c r="Z143" s="32" t="str">
        <x:v>不得推出关系破裂、分手、财物损失、承诺失效或一定需要重来。 本规则不判断关系风险和结果。</x:v>
      </x:c>
      <x:c r="AA143" s="32" t="str">
        <x:v>低</x:v>
      </x:c>
      <x:c r="AB143" s="32" t="str">
        <x:v>待验证</x:v>
      </x:c>
      <x:c r="AC143" s="32" t="str"/>
      <x:c r="AD143" s="32" t="str">
        <x:v>provisional=true; source_id=DAY_BRANCH_DYNAMIC_破; interaction_state=平稳→压力修正</x:v>
      </x:c>
      <x:c r="AE143" s="39" t="str">
        <x:v>0.2</x:v>
      </x:c>
    </x:row>
    <x:row r="144">
      <x:c r="A144" s="38" t="str">
        <x:v>M3-BASE-140</x:v>
      </x:c>
      <x:c r="B144" s="32" t="str">
        <x:v>日支受破｜平稳状态表达</x:v>
      </x:c>
      <x:c r="C144" s="32" t="str">
        <x:v>L6 状态切换</x:v>
      </x:c>
      <x:c r="D144" s="32" t="str">
        <x:v>BASE-宫位动态</x:v>
      </x:c>
      <x:c r="E144" s="32" t="str">
        <x:v>通用</x:v>
      </x:c>
      <x:c r="F144" s="32" t="str">
        <x:v>输出候选</x:v>
      </x:c>
      <x:c r="G144" s="32" t="str">
        <x:v>日支受有效破</x:v>
      </x:c>
      <x:c r="H144" s="32" t="str">
        <x:v>平稳状态</x:v>
      </x:c>
      <x:c r="I144" s="32" t="str">
        <x:v>破有效；核心日支底盘已成立；无更强冲突动态覆盖。</x:v>
      </x:c>
      <x:c r="J144" s="32" t="str">
        <x:v>基础底盘停止；多项动态主次未定。</x:v>
      </x:c>
      <x:c r="K144" s="32" t="str">
        <x:v>不限定；由后续模块修正</x:v>
      </x:c>
      <x:c r="L144" s="32" t="str">
        <x:v>不限定</x:v>
      </x:c>
      <x:c r="M144" s="32" t="str">
        <x:v>旧节奏重置与安排修订</x:v>
      </x:c>
      <x:c r="N144" s="32" t="str">
        <x:v>无／待后续模块组合</x:v>
      </x:c>
      <x:c r="O144" s="32" t="str">
        <x:v>日支或与日支直接相关</x:v>
      </x:c>
      <x:c r="P144" s="32" t="str">
        <x:v>由共享基础引擎判定</x:v>
      </x:c>
      <x:c r="Q144" s="32" t="str">
        <x:v>由共享基础引擎判定</x:v>
      </x:c>
      <x:c r="R144" s="32" t="str">
        <x:v>喜忌未定或由共享引擎提供</x:v>
      </x:c>
      <x:c r="S144" s="32" t="str">
        <x:v>原十神性质有效；无真合化或已完成相应路由</x:v>
      </x:c>
      <x:c r="T144" s="32" t="str">
        <x:v>近</x:v>
      </x:c>
      <x:c r="U144" s="32" t="n">
        <x:v>72</x:v>
      </x:c>
      <x:c r="V144" s="32" t="str">
        <x:v>不独立加分</x:v>
      </x:c>
      <x:c r="W144" s="32" t="str">
        <x:v>relationship_baseline</x:v>
      </x:c>
      <x:c r="X144" s="32" t="str">
        <x:v>把破的中性作用翻译为平稳状态下的底盘修饰，不把它写成事件预测。</x:v>
      </x:c>
      <x:c r="Y144" s="32" t="str">
        <x:v>你的核心相处主题仍在，但一些原有安排或默认习惯可能需要通过重新商量才能继续运转。</x:v>
      </x:c>
      <x:c r="Z144" s="32" t="str">
        <x:v>不得推出关系破裂、分手、财物损失、承诺失效或一定需要重来。</x:v>
      </x:c>
      <x:c r="AA144" s="32" t="str">
        <x:v>低</x:v>
      </x:c>
      <x:c r="AB144" s="32" t="str">
        <x:v>待验证</x:v>
      </x:c>
      <x:c r="AC144" s="32" t="str"/>
      <x:c r="AD144" s="32" t="str">
        <x:v>provisional=true; source_id=DAY_BRANCH_DYNAMIC_破; summary_only=true</x:v>
      </x:c>
      <x:c r="AE144" s="39" t="str">
        <x:v>0.2</x:v>
      </x:c>
    </x:row>
    <x:row r="145">
      <x:c r="A145" s="38" t="str">
        <x:v>M3-BASE-141</x:v>
      </x:c>
      <x:c r="B145" s="32" t="str">
        <x:v>日支受破｜压力状态路由</x:v>
      </x:c>
      <x:c r="C145" s="32" t="str">
        <x:v>L6 状态切换</x:v>
      </x:c>
      <x:c r="D145" s="32" t="str">
        <x:v>BASE-宫位动态</x:v>
      </x:c>
      <x:c r="E145" s="32" t="str">
        <x:v>通用</x:v>
      </x:c>
      <x:c r="F145" s="32" t="str">
        <x:v>路由</x:v>
      </x:c>
      <x:c r="G145" s="32" t="str">
        <x:v>日支受有效破</x:v>
      </x:c>
      <x:c r="H145" s="32" t="str">
        <x:v>压力激活</x:v>
      </x:c>
      <x:c r="I145" s="32" t="str">
        <x:v>破有效；存在压力状态或分歧场景的第二类证据；M3-STATE输入完整。</x:v>
      </x:c>
      <x:c r="J145" s="32" t="str">
        <x:v>仅凭原局无状态证据；相关动态弱或争议。</x:v>
      </x:c>
      <x:c r="K145" s="32" t="str">
        <x:v>不限定；由后续模块修正</x:v>
      </x:c>
      <x:c r="L145" s="32" t="str">
        <x:v>不限定</x:v>
      </x:c>
      <x:c r="M145" s="32" t="str">
        <x:v>旧节奏重置与安排修订</x:v>
      </x:c>
      <x:c r="N145" s="32" t="str">
        <x:v>无／待后续模块组合</x:v>
      </x:c>
      <x:c r="O145" s="32" t="str">
        <x:v>日支或与日支直接相关</x:v>
      </x:c>
      <x:c r="P145" s="32" t="str">
        <x:v>由共享基础引擎判定</x:v>
      </x:c>
      <x:c r="Q145" s="32" t="str">
        <x:v>由共享基础引擎判定</x:v>
      </x:c>
      <x:c r="R145" s="32" t="str">
        <x:v>喜忌未定或由共享引擎提供</x:v>
      </x:c>
      <x:c r="S145" s="32" t="str">
        <x:v>原十神性质有效；无真合化或已完成相应路由</x:v>
      </x:c>
      <x:c r="T145" s="32" t="str">
        <x:v>近</x:v>
      </x:c>
      <x:c r="U145" s="32" t="n">
        <x:v>70</x:v>
      </x:c>
      <x:c r="V145" s="32" t="str">
        <x:v>转M3-STATE／CONFLICT候选</x:v>
      </x:c>
      <x:c r="W145" s="32" t="str">
        <x:v>stress_shift</x:v>
      </x:c>
      <x:c r="X145" s="32" t="str">
        <x:v>压力增加时，破可能表现为先中断旧做法、修改约定或重新建立一套更可用的节奏。 BASE只负责路由，不直接锁定具体分歧行为。</x:v>
      </x:c>
      <x:c r="Y145" s="32" t="str">
        <x:v>当原来的做法不再适用时，你可能更倾向重新调整安排，而不是勉强维持旧节奏。</x:v>
      </x:c>
      <x:c r="Z145" s="32" t="str">
        <x:v>不得推出关系破裂、分手、财物损失、承诺失效或一定需要重来。 不得把压力候选写成必然发生。</x:v>
      </x:c>
      <x:c r="AA145" s="32" t="str">
        <x:v>中低</x:v>
      </x:c>
      <x:c r="AB145" s="32" t="str">
        <x:v>待验证</x:v>
      </x:c>
      <x:c r="AC145" s="32" t="str"/>
      <x:c r="AD145" s="32" t="str">
        <x:v>provisional=true; source_id=DAY_BRANCH_DYNAMIC_破; route_only=true; interaction_state=压力</x:v>
      </x:c>
      <x:c r="AE145" s="39" t="str">
        <x:v>0.2</x:v>
      </x:c>
    </x:row>
    <x:row r="146">
      <x:c r="A146" s="38" t="str">
        <x:v>M3-BASE-142</x:v>
      </x:c>
      <x:c r="B146" s="32" t="str">
        <x:v>日支受破｜弱远不改核心</x:v>
      </x:c>
      <x:c r="C146" s="32" t="str">
        <x:v>L8 总合成与边界审查</x:v>
      </x:c>
      <x:c r="D146" s="32" t="str">
        <x:v>BASE-宫位动态</x:v>
      </x:c>
      <x:c r="E146" s="32" t="str">
        <x:v>通用</x:v>
      </x:c>
      <x:c r="F146" s="32" t="str">
        <x:v>门控</x:v>
      </x:c>
      <x:c r="G146" s="32" t="str">
        <x:v>弱／远／争议破</x:v>
      </x:c>
      <x:c r="H146" s="32" t="str">
        <x:v>作用不足</x:v>
      </x:c>
      <x:c r="I146" s="32" t="str">
        <x:v>存在破形式，但强度、距离或成立条件不足。</x:v>
      </x:c>
      <x:c r="J146" s="32" t="str">
        <x:v>破已达到有效阈值。</x:v>
      </x:c>
      <x:c r="K146" s="32" t="str">
        <x:v>不限定；由后续模块修正</x:v>
      </x:c>
      <x:c r="L146" s="32" t="str">
        <x:v>不限定</x:v>
      </x:c>
      <x:c r="M146" s="32" t="str">
        <x:v>旧节奏重置与安排修订</x:v>
      </x:c>
      <x:c r="N146" s="32" t="str">
        <x:v>无／待后续模块组合</x:v>
      </x:c>
      <x:c r="O146" s="32" t="str">
        <x:v>日支或与日支直接相关</x:v>
      </x:c>
      <x:c r="P146" s="32" t="str">
        <x:v>由共享基础引擎判定</x:v>
      </x:c>
      <x:c r="Q146" s="32" t="str">
        <x:v>由共享基础引擎判定</x:v>
      </x:c>
      <x:c r="R146" s="32" t="str">
        <x:v>喜忌未定或由共享引擎提供</x:v>
      </x:c>
      <x:c r="S146" s="32" t="str">
        <x:v>原十神性质有效；无真合化或已完成相应路由</x:v>
      </x:c>
      <x:c r="T146" s="32" t="str">
        <x:v>近</x:v>
      </x:c>
      <x:c r="U146" s="32" t="n">
        <x:v>96</x:v>
      </x:c>
      <x:c r="V146" s="32" t="str">
        <x:v>不进入核心；仅内部备注</x:v>
      </x:c>
      <x:c r="W146" s="32" t="str">
        <x:v>boundary_note</x:v>
      </x:c>
      <x:c r="X146" s="32" t="str">
        <x:v>避免见到破字样就直接修改关系底盘；必须先通过共享引擎的有效性判定。</x:v>
      </x:c>
      <x:c r="Y146" s="32" t="str">
        <x:v>破在不同流派中的权重差异较大；若缺乏强度与现实第二证据，默认只作低权重背景。</x:v>
      </x:c>
      <x:c r="Z146" s="32" t="str">
        <x:v>不得推出关系破裂、分手、财物损失、承诺失效或一定需要重来。 不得用低效信号生成确定文案。</x:v>
      </x:c>
      <x:c r="AA146" s="32" t="str">
        <x:v>高</x:v>
      </x:c>
      <x:c r="AB146" s="32" t="str">
        <x:v>待验证</x:v>
      </x:c>
      <x:c r="AC146" s="32" t="str"/>
      <x:c r="AD146" s="32" t="str">
        <x:v>provisional=true; gate=true; source_id=DAY_BRANCH_DYNAMIC_破</x:v>
      </x:c>
      <x:c r="AE146" s="39" t="str">
        <x:v>0.2</x:v>
      </x:c>
    </x:row>
    <x:row r="147">
      <x:c r="A147" s="38" t="str">
        <x:v>M3-BASE-143</x:v>
      </x:c>
      <x:c r="B147" s="32" t="str">
        <x:v>日支多重破或重复作用｜情境化</x:v>
      </x:c>
      <x:c r="C147" s="32" t="str">
        <x:v>L6 状态切换</x:v>
      </x:c>
      <x:c r="D147" s="32" t="str">
        <x:v>BASE-宫位动态</x:v>
      </x:c>
      <x:c r="E147" s="32" t="str">
        <x:v>通用</x:v>
      </x:c>
      <x:c r="F147" s="32" t="str">
        <x:v>组合</x:v>
      </x:c>
      <x:c r="G147" s="32" t="str">
        <x:v>日支多重／重复破</x:v>
      </x:c>
      <x:c r="H147" s="32" t="str">
        <x:v>多重牵动</x:v>
      </x:c>
      <x:c r="I147" s="32" t="str">
        <x:v>至少两项独立有效破作用涉及日支，或同类作用在结构中重复出现。</x:v>
      </x:c>
      <x:c r="J147" s="32" t="str">
        <x:v>多项作用实际同源；只有一项达到有效阈值。</x:v>
      </x:c>
      <x:c r="K147" s="32" t="str">
        <x:v>不限定；由后续模块修正</x:v>
      </x:c>
      <x:c r="L147" s="32" t="str">
        <x:v>不限定</x:v>
      </x:c>
      <x:c r="M147" s="32" t="str">
        <x:v>旧节奏重置与安排修订</x:v>
      </x:c>
      <x:c r="N147" s="32" t="str">
        <x:v>无／待后续模块组合</x:v>
      </x:c>
      <x:c r="O147" s="32" t="str">
        <x:v>日支或与日支直接相关</x:v>
      </x:c>
      <x:c r="P147" s="32" t="str">
        <x:v>由共享基础引擎判定</x:v>
      </x:c>
      <x:c r="Q147" s="32" t="str">
        <x:v>由共享基础引擎判定</x:v>
      </x:c>
      <x:c r="R147" s="32" t="str">
        <x:v>喜忌未定或由共享引擎提供</x:v>
      </x:c>
      <x:c r="S147" s="32" t="str">
        <x:v>原十神性质有效；无真合化或已完成相应路由</x:v>
      </x:c>
      <x:c r="T147" s="32" t="str">
        <x:v>近</x:v>
      </x:c>
      <x:c r="U147" s="32" t="n">
        <x:v>78</x:v>
      </x:c>
      <x:c r="V147" s="32" t="str">
        <x:v>P12情境切换候选；置信度-1级</x:v>
      </x:c>
      <x:c r="W147" s="32" t="str">
        <x:v>interaction_pattern</x:v>
      </x:c>
      <x:c r="X147" s="32" t="str">
        <x:v>破与冲、刑等同时有效时，必须先判断哪一项真正主导节奏变化，避免重复描述。 多重作用提高状态依赖度，但不等同负面事件。</x:v>
      </x:c>
      <x:c r="Y147" s="32" t="str">
        <x:v>破与冲、刑等同时有效时，必须先判断哪一项真正主导节奏变化，避免重复描述。</x:v>
      </x:c>
      <x:c r="Z147" s="32" t="str">
        <x:v>不得推出关系破裂、分手、财物损失、承诺失效或一定需要重来。 不得将多重作用解释为多人关系。</x:v>
      </x:c>
      <x:c r="AA147" s="32" t="str">
        <x:v>中低</x:v>
      </x:c>
      <x:c r="AB147" s="32" t="str">
        <x:v>待验证</x:v>
      </x:c>
      <x:c r="AC147" s="32" t="str"/>
      <x:c r="AD147" s="32" t="str">
        <x:v>provisional=true; source_cluster=DAY_BRANCH_DYNAMIC_MULTI_破; route_to=M3-STATE</x:v>
      </x:c>
      <x:c r="AE147" s="39" t="str">
        <x:v>0.2</x:v>
      </x:c>
    </x:row>
    <x:row r="148">
      <x:c r="A148" s="38" t="str">
        <x:v>M3-BASE-144</x:v>
      </x:c>
      <x:c r="B148" s="32" t="str">
        <x:v>日支受破｜只作修正不建新底盘</x:v>
      </x:c>
      <x:c r="C148" s="32" t="str">
        <x:v>L8 总合成与边界审查</x:v>
      </x:c>
      <x:c r="D148" s="32" t="str">
        <x:v>BASE-宫位动态</x:v>
      </x:c>
      <x:c r="E148" s="32" t="str">
        <x:v>通用</x:v>
      </x:c>
      <x:c r="F148" s="32" t="str">
        <x:v>去重</x:v>
      </x:c>
      <x:c r="G148" s="32" t="str">
        <x:v>日支受有效破</x:v>
      </x:c>
      <x:c r="H148" s="32" t="str">
        <x:v>日支主气</x:v>
      </x:c>
      <x:c r="I148" s="32" t="str">
        <x:v>日支主气底盘与破修正同时进入合成。</x:v>
      </x:c>
      <x:c r="J148" s="32" t="str">
        <x:v>真合化后原底盘已经停止。</x:v>
      </x:c>
      <x:c r="K148" s="32" t="str">
        <x:v>不限定；由后续模块修正</x:v>
      </x:c>
      <x:c r="L148" s="32" t="str">
        <x:v>不限定</x:v>
      </x:c>
      <x:c r="M148" s="32" t="str">
        <x:v>旧节奏重置与安排修订</x:v>
      </x:c>
      <x:c r="N148" s="32" t="str">
        <x:v>无／待后续模块组合</x:v>
      </x:c>
      <x:c r="O148" s="32" t="str">
        <x:v>日支或与日支直接相关</x:v>
      </x:c>
      <x:c r="P148" s="32" t="str">
        <x:v>由共享基础引擎判定</x:v>
      </x:c>
      <x:c r="Q148" s="32" t="str">
        <x:v>由共享基础引擎判定</x:v>
      </x:c>
      <x:c r="R148" s="32" t="str">
        <x:v>喜忌未定或由共享引擎提供</x:v>
      </x:c>
      <x:c r="S148" s="32" t="str">
        <x:v>原十神性质有效；无真合化或已完成相应路由</x:v>
      </x:c>
      <x:c r="T148" s="32" t="str">
        <x:v>近</x:v>
      </x:c>
      <x:c r="U148" s="32" t="n">
        <x:v>98</x:v>
      </x:c>
      <x:c r="V148" s="32" t="str">
        <x:v>主气保留一次基础权重；动态仅加修正</x:v>
      </x:c>
      <x:c r="W148" s="32" t="str">
        <x:v>dedup_log</x:v>
      </x:c>
      <x:c r="X148" s="32" t="str">
        <x:v>破是日支底盘的状态修正，不是独立十神通道，不能另建一个主模式。</x:v>
      </x:c>
      <x:c r="Y148" s="32" t="str">
        <x:v>这一项只用于说明相处节奏怎样变化，不会被当成另一套独立人格或相处模式。</x:v>
      </x:c>
      <x:c r="Z148" s="32" t="str">
        <x:v>不得推出关系破裂、分手、财物损失、承诺失效或一定需要重来。 不得把动态数量当作独立证据数量。</x:v>
      </x:c>
      <x:c r="AA148" s="32" t="str">
        <x:v>高</x:v>
      </x:c>
      <x:c r="AB148" s="32" t="str">
        <x:v>待验证</x:v>
      </x:c>
      <x:c r="AC148" s="32" t="str"/>
      <x:c r="AD148" s="32" t="str">
        <x:v>provisional=true; dedup_cluster=DAY_BRANCH_BASE_PLUS_DYNAMIC_破</x:v>
      </x:c>
      <x:c r="AE148" s="39" t="str">
        <x:v>0.2</x:v>
      </x:c>
    </x:row>
    <x:row r="149">
      <x:c r="A149" s="38" t="str">
        <x:v>M3-BASE-145</x:v>
      </x:c>
      <x:c r="B149" s="32" t="str">
        <x:v>日支受破｜边界说明</x:v>
      </x:c>
      <x:c r="C149" s="32" t="str">
        <x:v>L8 总合成与边界审查</x:v>
      </x:c>
      <x:c r="D149" s="32" t="str">
        <x:v>BASE-宫位动态</x:v>
      </x:c>
      <x:c r="E149" s="32" t="str">
        <x:v>通用</x:v>
      </x:c>
      <x:c r="F149" s="32" t="str">
        <x:v>边界</x:v>
      </x:c>
      <x:c r="G149" s="32" t="str">
        <x:v>日支受破</x:v>
      </x:c>
      <x:c r="H149" s="32" t="str">
        <x:v>旧节奏重置与安排修订</x:v>
      </x:c>
      <x:c r="I149" s="32" t="str">
        <x:v>任何破相关文案准备进入用户输出。</x:v>
      </x:c>
      <x:c r="J149" s="32" t="str">
        <x:v>无。</x:v>
      </x:c>
      <x:c r="K149" s="32" t="str">
        <x:v>不限定；由后续模块修正</x:v>
      </x:c>
      <x:c r="L149" s="32" t="str">
        <x:v>不限定</x:v>
      </x:c>
      <x:c r="M149" s="32" t="str">
        <x:v>旧节奏重置与安排修订</x:v>
      </x:c>
      <x:c r="N149" s="32" t="str">
        <x:v>无／待后续模块组合</x:v>
      </x:c>
      <x:c r="O149" s="32" t="str">
        <x:v>日支或与日支直接相关</x:v>
      </x:c>
      <x:c r="P149" s="32" t="str">
        <x:v>由共享基础引擎判定</x:v>
      </x:c>
      <x:c r="Q149" s="32" t="str">
        <x:v>由共享基础引擎判定</x:v>
      </x:c>
      <x:c r="R149" s="32" t="str">
        <x:v>喜忌未定或由共享引擎提供</x:v>
      </x:c>
      <x:c r="S149" s="32" t="str">
        <x:v>原十神性质有效；无真合化或已完成相应路由</x:v>
      </x:c>
      <x:c r="T149" s="32" t="str">
        <x:v>近</x:v>
      </x:c>
      <x:c r="U149" s="32" t="n">
        <x:v>100</x:v>
      </x:c>
      <x:c r="V149" s="32" t="str">
        <x:v>强制边界</x:v>
      </x:c>
      <x:c r="W149" s="32" t="str">
        <x:v>boundary_note</x:v>
      </x:c>
      <x:c r="X149" s="32" t="str">
        <x:v>强制阻断从破的结构修正跳到事件、道德或结果判断。</x:v>
      </x:c>
      <x:c r="Y149" s="32" t="str">
        <x:v>这里的“旧节奏重置与安排修订”只描述相处节奏的可能修正，不代表关系一定发生某种结果。</x:v>
      </x:c>
      <x:c r="Z149" s="32" t="str">
        <x:v>不得推出关系破裂、分手、财物损失、承诺失效或一定需要重来。</x:v>
      </x:c>
      <x:c r="AA149" s="32" t="str">
        <x:v>高</x:v>
      </x:c>
      <x:c r="AB149" s="32" t="str">
        <x:v>待验证</x:v>
      </x:c>
      <x:c r="AC149" s="32" t="str"/>
      <x:c r="AD149" s="32" t="str">
        <x:v>provisional=true; mandatory_boundary=true; dynamic=破</x:v>
      </x:c>
      <x:c r="AE149" s="39" t="str">
        <x:v>0.2</x:v>
      </x:c>
    </x:row>
    <x:row r="150">
      <x:c r="A150" s="38" t="str">
        <x:v>M3-BASE-146</x:v>
      </x:c>
      <x:c r="B150" s="32" t="str">
        <x:v>无有效宫位作用｜原底盘保留</x:v>
      </x:c>
      <x:c r="C150" s="32" t="str">
        <x:v>L6 状态切换</x:v>
      </x:c>
      <x:c r="D150" s="32" t="str">
        <x:v>BASE-合化状态</x:v>
      </x:c>
      <x:c r="E150" s="32" t="str">
        <x:v>通用</x:v>
      </x:c>
      <x:c r="F150" s="32" t="str">
        <x:v>基础</x:v>
      </x:c>
      <x:c r="G150" s="32" t="str">
        <x:v>日支无有效合冲刑害破</x:v>
      </x:c>
      <x:c r="H150" s="32" t="str"/>
      <x:c r="I150" s="32" t="str">
        <x:v>共享引擎确认日支无足以改变BASE运行的有效作用；主气性质可靠。</x:v>
      </x:c>
      <x:c r="J150" s="32" t="str">
        <x:v>主气未定或存在有效作用。</x:v>
      </x:c>
      <x:c r="K150" s="32" t="str">
        <x:v>不限定；由后续模块修正</x:v>
      </x:c>
      <x:c r="L150" s="32" t="str">
        <x:v>不限定</x:v>
      </x:c>
      <x:c r="M150" s="32" t="str">
        <x:v>日支合化／结构状态</x:v>
      </x:c>
      <x:c r="N150" s="32" t="str">
        <x:v>无／待后续模块组合</x:v>
      </x:c>
      <x:c r="O150" s="32" t="str">
        <x:v>日支或与日支直接相关</x:v>
      </x:c>
      <x:c r="P150" s="32" t="str">
        <x:v>由共享基础引擎判定</x:v>
      </x:c>
      <x:c r="Q150" s="32" t="str">
        <x:v>由共享基础引擎判定</x:v>
      </x:c>
      <x:c r="R150" s="32" t="str">
        <x:v>喜忌未定或由共享引擎提供</x:v>
      </x:c>
      <x:c r="S150" s="32" t="str">
        <x:v>日支无有效合冲刑害破</x:v>
      </x:c>
      <x:c r="T150" s="32" t="str">
        <x:v>近</x:v>
      </x:c>
      <x:c r="U150" s="32" t="n">
        <x:v>82</x:v>
      </x:c>
      <x:c r="V150" s="32" t="str">
        <x:v>原底盘不加不减</x:v>
      </x:c>
      <x:c r="W150" s="32" t="str">
        <x:v>relationship_baseline</x:v>
      </x:c>
      <x:c r="X150" s="32" t="str">
        <x:v>没有有效宫位作用时，按日支主气与藏干层级读取关系底盘，不额外制造节奏修正。</x:v>
      </x:c>
      <x:c r="Y150" s="32" t="str">
        <x:v>当前以日支本身的核心相处主题为主，不需要额外加入宫位变化说明。</x:v>
      </x:c>
      <x:c r="Z150" s="32" t="str">
        <x:v>不得把“无作用”解释为关系平淡、稳定或没有变化。 本规则只描述底盘来源和状态，不判断关系吉凶。</x:v>
      </x:c>
      <x:c r="AA150" s="32" t="str">
        <x:v>中高</x:v>
      </x:c>
      <x:c r="AB150" s="32" t="str">
        <x:v>待验证</x:v>
      </x:c>
      <x:c r="AC150" s="32" t="str"/>
      <x:c r="AD150" s="32" t="str">
        <x:v>provisional=true; source_cluster=DAY_BRANCH_TRANSFORMATION; shared_engine_required=true</x:v>
      </x:c>
      <x:c r="AE150" s="39" t="str">
        <x:v>0.2</x:v>
      </x:c>
    </x:row>
    <x:row r="151">
      <x:c r="A151" s="38" t="str">
        <x:v>M3-BASE-147</x:v>
      </x:c>
      <x:c r="B151" s="32" t="str">
        <x:v>合而不化｜保留原十神</x:v>
      </x:c>
      <x:c r="C151" s="32" t="str">
        <x:v>L8 总合成与边界审查</x:v>
      </x:c>
      <x:c r="D151" s="32" t="str">
        <x:v>BASE-合化状态</x:v>
      </x:c>
      <x:c r="E151" s="32" t="str">
        <x:v>通用</x:v>
      </x:c>
      <x:c r="F151" s="32" t="str">
        <x:v>门控</x:v>
      </x:c>
      <x:c r="G151" s="32" t="str">
        <x:v>合而不化</x:v>
      </x:c>
      <x:c r="H151" s="32" t="str">
        <x:v>日支主气</x:v>
      </x:c>
      <x:c r="I151" s="32" t="str">
        <x:v>共享引擎确认合成立但未真化。</x:v>
      </x:c>
      <x:c r="J151" s="32" t="str">
        <x:v>真合化高置信成立。</x:v>
      </x:c>
      <x:c r="K151" s="32" t="str">
        <x:v>不限定；由后续模块修正</x:v>
      </x:c>
      <x:c r="L151" s="32" t="str">
        <x:v>不限定</x:v>
      </x:c>
      <x:c r="M151" s="32" t="str">
        <x:v>日支合化／结构状态</x:v>
      </x:c>
      <x:c r="N151" s="32" t="str">
        <x:v>无／待后续模块组合</x:v>
      </x:c>
      <x:c r="O151" s="32" t="str">
        <x:v>日支或与日支直接相关</x:v>
      </x:c>
      <x:c r="P151" s="32" t="str">
        <x:v>由共享基础引擎判定</x:v>
      </x:c>
      <x:c r="Q151" s="32" t="str">
        <x:v>由共享基础引擎判定</x:v>
      </x:c>
      <x:c r="R151" s="32" t="str">
        <x:v>喜忌未定或由共享引擎提供</x:v>
      </x:c>
      <x:c r="S151" s="32" t="str">
        <x:v>合而不化</x:v>
      </x:c>
      <x:c r="T151" s="32" t="str">
        <x:v>近</x:v>
      </x:c>
      <x:c r="U151" s="32" t="n">
        <x:v>99</x:v>
      </x:c>
      <x:c r="V151" s="32" t="str">
        <x:v>原底盘保留；叠加协调修正</x:v>
      </x:c>
      <x:c r="W151" s="32" t="str">
        <x:v>relationship_baseline</x:v>
      </x:c>
      <x:c r="X151" s="32" t="str">
        <x:v>合而不化时，日支原十神仍是底盘主权威；合只修正协调、牵连或表达节奏。</x:v>
      </x:c>
      <x:c r="Y151" s="32" t="str">
        <x:v>原来的相处底盘仍然有效，只是互动时更容易把彼此或其他安排放在一起协调。</x:v>
      </x:c>
      <x:c r="Z151" s="32" t="str">
        <x:v>不得因见合就删除原十神，也不得断定一定黏合或恩爱。 本规则只描述底盘来源和状态，不判断关系吉凶。</x:v>
      </x:c>
      <x:c r="AA151" s="32" t="str">
        <x:v>中高</x:v>
      </x:c>
      <x:c r="AB151" s="32" t="str">
        <x:v>待验证</x:v>
      </x:c>
      <x:c r="AC151" s="32" t="str"/>
      <x:c r="AD151" s="32" t="str">
        <x:v>provisional=true; source_cluster=DAY_BRANCH_TRANSFORMATION; shared_engine_required=true</x:v>
      </x:c>
      <x:c r="AE151" s="39" t="str">
        <x:v>0.2</x:v>
      </x:c>
    </x:row>
    <x:row r="152">
      <x:c r="A152" s="38" t="str">
        <x:v>M3-BASE-148</x:v>
      </x:c>
      <x:c r="B152" s="32" t="str">
        <x:v>合绊／受牵制｜调用节奏修正</x:v>
      </x:c>
      <x:c r="C152" s="32" t="str">
        <x:v>L6 状态切换</x:v>
      </x:c>
      <x:c r="D152" s="32" t="str">
        <x:v>BASE-合化状态</x:v>
      </x:c>
      <x:c r="E152" s="32" t="str">
        <x:v>通用</x:v>
      </x:c>
      <x:c r="F152" s="32" t="str">
        <x:v>修正</x:v>
      </x:c>
      <x:c r="G152" s="32" t="str">
        <x:v>合绊或牵制</x:v>
      </x:c>
      <x:c r="H152" s="32" t="str"/>
      <x:c r="I152" s="32" t="str">
        <x:v>共享引擎确认日支受合绊、牵制或功能调用受限；未真化。</x:v>
      </x:c>
      <x:c r="J152" s="32" t="str">
        <x:v>合力微弱或状态未定。</x:v>
      </x:c>
      <x:c r="K152" s="32" t="str">
        <x:v>不限定；由后续模块修正</x:v>
      </x:c>
      <x:c r="L152" s="32" t="str">
        <x:v>不限定</x:v>
      </x:c>
      <x:c r="M152" s="32" t="str">
        <x:v>日支合化／结构状态</x:v>
      </x:c>
      <x:c r="N152" s="32" t="str">
        <x:v>无／待后续模块组合</x:v>
      </x:c>
      <x:c r="O152" s="32" t="str">
        <x:v>日支或与日支直接相关</x:v>
      </x:c>
      <x:c r="P152" s="32" t="str">
        <x:v>由共享基础引擎判定</x:v>
      </x:c>
      <x:c r="Q152" s="32" t="str">
        <x:v>由共享基础引擎判定</x:v>
      </x:c>
      <x:c r="R152" s="32" t="str">
        <x:v>喜忌未定或由共享引擎提供</x:v>
      </x:c>
      <x:c r="S152" s="32" t="str">
        <x:v>合绊或牵制</x:v>
      </x:c>
      <x:c r="T152" s="32" t="str">
        <x:v>近</x:v>
      </x:c>
      <x:c r="U152" s="32" t="n">
        <x:v>82</x:v>
      </x:c>
      <x:c r="V152" s="32" t="str">
        <x:v>外显度-4；状态依赖+5</x:v>
      </x:c>
      <x:c r="W152" s="32" t="str">
        <x:v>stress_shift</x:v>
      </x:c>
      <x:c r="X152" s="32" t="str">
        <x:v>合绊更适合作为通道调用节奏修正：原功能仍在，但可能需要对方回应或整体条件满足后才显现。</x:v>
      </x:c>
      <x:c r="Y152" s="32" t="str">
        <x:v>你的核心相处方式仍在，但有时需要先协调外部条件或等待对方回应，才会完整表现出来。</x:v>
      </x:c>
      <x:c r="Z152" s="32" t="str">
        <x:v>不得把合绊解释为被控制、失去自我或感情被夺。 本规则只描述底盘来源和状态，不判断关系吉凶。</x:v>
      </x:c>
      <x:c r="AA152" s="32" t="str">
        <x:v>中</x:v>
      </x:c>
      <x:c r="AB152" s="32" t="str">
        <x:v>待验证</x:v>
      </x:c>
      <x:c r="AC152" s="32" t="str"/>
      <x:c r="AD152" s="32" t="str">
        <x:v>provisional=true; source_cluster=DAY_BRANCH_TRANSFORMATION; shared_engine_required=true</x:v>
      </x:c>
      <x:c r="AE152" s="39" t="str">
        <x:v>0.2</x:v>
      </x:c>
    </x:row>
    <x:row r="153">
      <x:c r="A153" s="38" t="str">
        <x:v>M3-BASE-149</x:v>
      </x:c>
      <x:c r="B153" s="32" t="str">
        <x:v>真合化｜原主气停止</x:v>
      </x:c>
      <x:c r="C153" s="32" t="str">
        <x:v>L8 总合成与边界审查</x:v>
      </x:c>
      <x:c r="D153" s="32" t="str">
        <x:v>BASE-合化状态</x:v>
      </x:c>
      <x:c r="E153" s="32" t="str">
        <x:v>通用</x:v>
      </x:c>
      <x:c r="F153" s="32" t="str">
        <x:v>停止</x:v>
      </x:c>
      <x:c r="G153" s="32" t="str">
        <x:v>日支真合化</x:v>
      </x:c>
      <x:c r="H153" s="32" t="str">
        <x:v>原主气</x:v>
      </x:c>
      <x:c r="I153" s="32" t="str">
        <x:v>共享引擎高置信确认真合化；化神明确；原日支十神不再作为稳定基础。</x:v>
      </x:c>
      <x:c r="J153" s="32" t="str">
        <x:v>仅合而不化、半合、拱合或化神未定。</x:v>
      </x:c>
      <x:c r="K153" s="32" t="str">
        <x:v>不限定；由后续模块修正</x:v>
      </x:c>
      <x:c r="L153" s="32" t="str">
        <x:v>不限定</x:v>
      </x:c>
      <x:c r="M153" s="32" t="str">
        <x:v>日支合化／结构状态</x:v>
      </x:c>
      <x:c r="N153" s="32" t="str">
        <x:v>无／待后续模块组合</x:v>
      </x:c>
      <x:c r="O153" s="32" t="str">
        <x:v>日支或与日支直接相关</x:v>
      </x:c>
      <x:c r="P153" s="32" t="str">
        <x:v>由共享基础引擎判定</x:v>
      </x:c>
      <x:c r="Q153" s="32" t="str">
        <x:v>由共享基础引擎判定</x:v>
      </x:c>
      <x:c r="R153" s="32" t="str">
        <x:v>喜忌未定或由共享引擎提供</x:v>
      </x:c>
      <x:c r="S153" s="32" t="str">
        <x:v>日支真合化</x:v>
      </x:c>
      <x:c r="T153" s="32" t="str">
        <x:v>近</x:v>
      </x:c>
      <x:c r="U153" s="32" t="n">
        <x:v>99</x:v>
      </x:c>
      <x:c r="V153" s="32" t="str">
        <x:v>原主气与原藏干基础分清零</x:v>
      </x:c>
      <x:c r="W153" s="32" t="str">
        <x:v>relationship_baseline</x:v>
      </x:c>
      <x:c r="X153" s="32" t="str">
        <x:v>真合化是BASE的硬停止条件之一。原日支十神不能继续按普通底盘规则输出。</x:v>
      </x:c>
      <x:c r="Y153" s="32" t="str">
        <x:v>日支原来的相处主题暂不直接使用，需要改看合化后形成的关系运行方向。</x:v>
      </x:c>
      <x:c r="Z153" s="32" t="str">
        <x:v>不得同时保留原十神满分与化神满分。 本规则只描述底盘来源和状态，不判断关系吉凶。</x:v>
      </x:c>
      <x:c r="AA153" s="32" t="str">
        <x:v>停止</x:v>
      </x:c>
      <x:c r="AB153" s="32" t="str">
        <x:v>待验证</x:v>
      </x:c>
      <x:c r="AC153" s="32" t="str"/>
      <x:c r="AD153" s="32" t="str">
        <x:v>provisional=true; source_cluster=DAY_BRANCH_TRANSFORMATION; shared_engine_required=true</x:v>
      </x:c>
      <x:c r="AE153" s="39" t="str">
        <x:v>0.2</x:v>
      </x:c>
    </x:row>
    <x:row r="154">
      <x:c r="A154" s="38" t="str">
        <x:v>M3-BASE-150</x:v>
      </x:c>
      <x:c r="B154" s="32" t="str">
        <x:v>真合化｜化神五系统映射</x:v>
      </x:c>
      <x:c r="C154" s="32" t="str">
        <x:v>L6 状态切换</x:v>
      </x:c>
      <x:c r="D154" s="32" t="str">
        <x:v>BASE-合化状态</x:v>
      </x:c>
      <x:c r="E154" s="32" t="str">
        <x:v>通用</x:v>
      </x:c>
      <x:c r="F154" s="32" t="str">
        <x:v>路由</x:v>
      </x:c>
      <x:c r="G154" s="32" t="str">
        <x:v>真合化化神</x:v>
      </x:c>
      <x:c r="H154" s="32" t="str">
        <x:v>五系统</x:v>
      </x:c>
      <x:c r="I154" s="32" t="str">
        <x:v>真合化高置信成立；化神五行明确；日主五行与阴阳可靠。</x:v>
      </x:c>
      <x:c r="J154" s="32" t="str">
        <x:v>化神未定、合化争议或日主映射未定。</x:v>
      </x:c>
      <x:c r="K154" s="32" t="str">
        <x:v>不限定；由后续模块修正</x:v>
      </x:c>
      <x:c r="L154" s="32" t="str">
        <x:v>不限定</x:v>
      </x:c>
      <x:c r="M154" s="32" t="str">
        <x:v>日支合化／结构状态</x:v>
      </x:c>
      <x:c r="N154" s="32" t="str">
        <x:v>无／待后续模块组合</x:v>
      </x:c>
      <x:c r="O154" s="32" t="str">
        <x:v>日支或与日支直接相关</x:v>
      </x:c>
      <x:c r="P154" s="32" t="str">
        <x:v>由共享基础引擎判定</x:v>
      </x:c>
      <x:c r="Q154" s="32" t="str">
        <x:v>由共享基础引擎判定</x:v>
      </x:c>
      <x:c r="R154" s="32" t="str">
        <x:v>喜忌未定或由共享引擎提供</x:v>
      </x:c>
      <x:c r="S154" s="32" t="str">
        <x:v>真合化化神</x:v>
      </x:c>
      <x:c r="T154" s="32" t="str">
        <x:v>近</x:v>
      </x:c>
      <x:c r="U154" s="32" t="n">
        <x:v>82</x:v>
      </x:c>
      <x:c r="V154" s="32" t="str">
        <x:v>路由至化神对应五系统；基础候选+18</x:v>
      </x:c>
      <x:c r="W154" s="32" t="str">
        <x:v>relationship_baseline</x:v>
      </x:c>
      <x:c r="X154" s="32" t="str">
        <x:v>化神先按与日主的生克关系映射到五类功能系统，再根据可用阴阳信息细分十神；这是替代路由，不是额外叠加。</x:v>
      </x:c>
      <x:c r="Y154" s="32" t="str">
        <x:v>合化成立后，关系底盘会改看新的功能方向，而不是继续沿用原日支十神。</x:v>
      </x:c>
      <x:c r="Z154" s="32" t="str">
        <x:v>不得仅凭化神五行直接写具体行为，仍需十神与状态复核。 本规则只描述底盘来源和状态，不判断关系吉凶。</x:v>
      </x:c>
      <x:c r="AA154" s="32" t="str">
        <x:v>中</x:v>
      </x:c>
      <x:c r="AB154" s="32" t="str">
        <x:v>待验证</x:v>
      </x:c>
      <x:c r="AC154" s="32" t="str"/>
      <x:c r="AD154" s="32" t="str">
        <x:v>provisional=true; source_cluster=DAY_BRANCH_TRANSFORMATION; shared_engine_required=true</x:v>
      </x:c>
      <x:c r="AE154" s="39" t="str">
        <x:v>0.2</x:v>
      </x:c>
    </x:row>
    <x:row r="155">
      <x:c r="A155" s="38" t="str">
        <x:v>M3-BASE-151</x:v>
      </x:c>
      <x:c r="B155" s="32" t="str">
        <x:v>化神同属原系统｜系统收敛</x:v>
      </x:c>
      <x:c r="C155" s="32" t="str">
        <x:v>L8 总合成与边界审查</x:v>
      </x:c>
      <x:c r="D155" s="32" t="str">
        <x:v>BASE-合化状态</x:v>
      </x:c>
      <x:c r="E155" s="32" t="str">
        <x:v>通用</x:v>
      </x:c>
      <x:c r="F155" s="32" t="str">
        <x:v>去重</x:v>
      </x:c>
      <x:c r="G155" s="32" t="str">
        <x:v>真合化化神</x:v>
      </x:c>
      <x:c r="H155" s="32" t="str">
        <x:v>原五系统</x:v>
      </x:c>
      <x:c r="I155" s="32" t="str">
        <x:v>真合化成立；化神与原日支十神落在同一五系统。</x:v>
      </x:c>
      <x:c r="J155" s="32" t="str">
        <x:v>原系统映射本身争议。</x:v>
      </x:c>
      <x:c r="K155" s="32" t="str">
        <x:v>不限定；由后续模块修正</x:v>
      </x:c>
      <x:c r="L155" s="32" t="str">
        <x:v>不限定</x:v>
      </x:c>
      <x:c r="M155" s="32" t="str">
        <x:v>日支合化／结构状态</x:v>
      </x:c>
      <x:c r="N155" s="32" t="str">
        <x:v>无／待后续模块组合</x:v>
      </x:c>
      <x:c r="O155" s="32" t="str">
        <x:v>日支或与日支直接相关</x:v>
      </x:c>
      <x:c r="P155" s="32" t="str">
        <x:v>由共享基础引擎判定</x:v>
      </x:c>
      <x:c r="Q155" s="32" t="str">
        <x:v>由共享基础引擎判定</x:v>
      </x:c>
      <x:c r="R155" s="32" t="str">
        <x:v>喜忌未定或由共享引擎提供</x:v>
      </x:c>
      <x:c r="S155" s="32" t="str">
        <x:v>真合化化神</x:v>
      </x:c>
      <x:c r="T155" s="32" t="str">
        <x:v>近</x:v>
      </x:c>
      <x:c r="U155" s="32" t="n">
        <x:v>99</x:v>
      </x:c>
      <x:c r="V155" s="32" t="str">
        <x:v>保留一个系统底盘；更新风格与状态</x:v>
      </x:c>
      <x:c r="W155" s="32" t="str">
        <x:v>relationship_baseline</x:v>
      </x:c>
      <x:c r="X155" s="32" t="str">
        <x:v>若化神与原信号仍指向同一功能系统，只需更新正偏风格和运行状态，不生成两个底盘。</x:v>
      </x:c>
      <x:c r="Y155" s="32" t="str">
        <x:v>合化前后核心互动方向大体一致，变化主要体现在具体表现方式上。</x:v>
      </x:c>
      <x:c r="Z155" s="32" t="str">
        <x:v>不得输出“原模式＋化后模式”两个同义核心。 本规则只描述底盘来源和状态，不判断关系吉凶。</x:v>
      </x:c>
      <x:c r="AA155" s="32" t="str">
        <x:v>中</x:v>
      </x:c>
      <x:c r="AB155" s="32" t="str">
        <x:v>待验证</x:v>
      </x:c>
      <x:c r="AC155" s="32" t="str"/>
      <x:c r="AD155" s="32" t="str">
        <x:v>provisional=true; source_cluster=DAY_BRANCH_TRANSFORMATION; shared_engine_required=true</x:v>
      </x:c>
      <x:c r="AE155" s="39" t="str">
        <x:v>0.2</x:v>
      </x:c>
    </x:row>
    <x:row r="156">
      <x:c r="A156" s="38" t="str">
        <x:v>M3-BASE-152</x:v>
      </x:c>
      <x:c r="B156" s="32" t="str">
        <x:v>化神跨系统｜替换底盘候选</x:v>
      </x:c>
      <x:c r="C156" s="32" t="str">
        <x:v>L6 状态切换</x:v>
      </x:c>
      <x:c r="D156" s="32" t="str">
        <x:v>BASE-合化状态</x:v>
      </x:c>
      <x:c r="E156" s="32" t="str">
        <x:v>通用</x:v>
      </x:c>
      <x:c r="F156" s="32" t="str">
        <x:v>路由</x:v>
      </x:c>
      <x:c r="G156" s="32" t="str">
        <x:v>真合化化神</x:v>
      </x:c>
      <x:c r="H156" s="32" t="str">
        <x:v>跨系统</x:v>
      </x:c>
      <x:c r="I156" s="32" t="str">
        <x:v>真合化成立；化神映射到与原日支不同的功能系统；化神稳定。</x:v>
      </x:c>
      <x:c r="J156" s="32" t="str">
        <x:v>化神作用弱、争议或仅阶段性。</x:v>
      </x:c>
      <x:c r="K156" s="32" t="str">
        <x:v>不限定；由后续模块修正</x:v>
      </x:c>
      <x:c r="L156" s="32" t="str">
        <x:v>不限定</x:v>
      </x:c>
      <x:c r="M156" s="32" t="str">
        <x:v>日支合化／结构状态</x:v>
      </x:c>
      <x:c r="N156" s="32" t="str">
        <x:v>无／待后续模块组合</x:v>
      </x:c>
      <x:c r="O156" s="32" t="str">
        <x:v>日支或与日支直接相关</x:v>
      </x:c>
      <x:c r="P156" s="32" t="str">
        <x:v>由共享基础引擎判定</x:v>
      </x:c>
      <x:c r="Q156" s="32" t="str">
        <x:v>由共享基础引擎判定</x:v>
      </x:c>
      <x:c r="R156" s="32" t="str">
        <x:v>喜忌未定或由共享引擎提供</x:v>
      </x:c>
      <x:c r="S156" s="32" t="str">
        <x:v>真合化化神</x:v>
      </x:c>
      <x:c r="T156" s="32" t="str">
        <x:v>近</x:v>
      </x:c>
      <x:c r="U156" s="32" t="n">
        <x:v>82</x:v>
      </x:c>
      <x:c r="V156" s="32" t="str">
        <x:v>原底盘停止；新系统候选+18</x:v>
      </x:c>
      <x:c r="W156" s="32" t="str">
        <x:v>relationship_baseline</x:v>
      </x:c>
      <x:c r="X156" s="32" t="str">
        <x:v>跨系统真合化意味着关系底盘解释框架需要更换；新系统仍需全局支持后才能成为高置信。</x:v>
      </x:c>
      <x:c r="Y156" s="32" t="str">
        <x:v>你的关系运行方向需要按照合化后的新主题重新判断，不能再机械沿用原来的相处标签。</x:v>
      </x:c>
      <x:c r="Z156" s="32" t="str">
        <x:v>不得把两套系统同时写成固定双核心。 本规则只描述底盘来源和状态，不判断关系吉凶。</x:v>
      </x:c>
      <x:c r="AA156" s="32" t="str">
        <x:v>中低</x:v>
      </x:c>
      <x:c r="AB156" s="32" t="str">
        <x:v>待验证</x:v>
      </x:c>
      <x:c r="AC156" s="32" t="str"/>
      <x:c r="AD156" s="32" t="str">
        <x:v>provisional=true; source_cluster=DAY_BRANCH_TRANSFORMATION; shared_engine_required=true</x:v>
      </x:c>
      <x:c r="AE156" s="39" t="str">
        <x:v>0.2</x:v>
      </x:c>
    </x:row>
    <x:row r="157">
      <x:c r="A157" s="38" t="str">
        <x:v>M3-BASE-153</x:v>
      </x:c>
      <x:c r="B157" s="32" t="str">
        <x:v>半合／拱合｜不得按真化处理</x:v>
      </x:c>
      <x:c r="C157" s="32" t="str">
        <x:v>L8 总合成与边界审查</x:v>
      </x:c>
      <x:c r="D157" s="32" t="str">
        <x:v>BASE-合化状态</x:v>
      </x:c>
      <x:c r="E157" s="32" t="str">
        <x:v>通用</x:v>
      </x:c>
      <x:c r="F157" s="32" t="str">
        <x:v>门控</x:v>
      </x:c>
      <x:c r="G157" s="32" t="str">
        <x:v>半合或拱合</x:v>
      </x:c>
      <x:c r="H157" s="32" t="str"/>
      <x:c r="I157" s="32" t="str">
        <x:v>只形成半合、拱合、三合倾向或会局倾向，未达到真合化条件。</x:v>
      </x:c>
      <x:c r="J157" s="32" t="str">
        <x:v>共享引擎已确认真合化。</x:v>
      </x:c>
      <x:c r="K157" s="32" t="str">
        <x:v>不限定；由后续模块修正</x:v>
      </x:c>
      <x:c r="L157" s="32" t="str">
        <x:v>不限定</x:v>
      </x:c>
      <x:c r="M157" s="32" t="str">
        <x:v>日支合化／结构状态</x:v>
      </x:c>
      <x:c r="N157" s="32" t="str">
        <x:v>无／待后续模块组合</x:v>
      </x:c>
      <x:c r="O157" s="32" t="str">
        <x:v>日支或与日支直接相关</x:v>
      </x:c>
      <x:c r="P157" s="32" t="str">
        <x:v>由共享基础引擎判定</x:v>
      </x:c>
      <x:c r="Q157" s="32" t="str">
        <x:v>由共享基础引擎判定</x:v>
      </x:c>
      <x:c r="R157" s="32" t="str">
        <x:v>喜忌未定或由共享引擎提供</x:v>
      </x:c>
      <x:c r="S157" s="32" t="str">
        <x:v>半合或拱合</x:v>
      </x:c>
      <x:c r="T157" s="32" t="str">
        <x:v>近</x:v>
      </x:c>
      <x:c r="U157" s="32" t="n">
        <x:v>99</x:v>
      </x:c>
      <x:c r="V157" s="32" t="str">
        <x:v>原底盘保留；最多低权重趋向修正</x:v>
      </x:c>
      <x:c r="W157" s="32" t="str">
        <x:v>relationship_baseline</x:v>
      </x:c>
      <x:c r="X157" s="32" t="str">
        <x:v>半合与拱合提供趋向，不足以自动替代日支十神。</x:v>
      </x:c>
      <x:c r="Y157" s="32" t="str">
        <x:v>当前仍以日支原来的相处底盘为主，合局倾向只作为背景。</x:v>
      </x:c>
      <x:c r="Z157" s="32" t="str">
        <x:v>不得把半合、拱合直接当作化神成立。 本规则只描述底盘来源和状态，不判断关系吉凶。</x:v>
      </x:c>
      <x:c r="AA157" s="32" t="str">
        <x:v>高</x:v>
      </x:c>
      <x:c r="AB157" s="32" t="str">
        <x:v>待验证</x:v>
      </x:c>
      <x:c r="AC157" s="32" t="str"/>
      <x:c r="AD157" s="32" t="str">
        <x:v>provisional=true; source_cluster=DAY_BRANCH_TRANSFORMATION; shared_engine_required=true</x:v>
      </x:c>
      <x:c r="AE157" s="39" t="str">
        <x:v>0.2</x:v>
      </x:c>
    </x:row>
    <x:row r="158">
      <x:c r="A158" s="38" t="str">
        <x:v>M3-BASE-154</x:v>
      </x:c>
      <x:c r="B158" s="32" t="str">
        <x:v>三合／三会成局但不化｜系统背景修正</x:v>
      </x:c>
      <x:c r="C158" s="32" t="str">
        <x:v>L6 状态切换</x:v>
      </x:c>
      <x:c r="D158" s="32" t="str">
        <x:v>BASE-合化状态</x:v>
      </x:c>
      <x:c r="E158" s="32" t="str">
        <x:v>通用</x:v>
      </x:c>
      <x:c r="F158" s="32" t="str">
        <x:v>修正</x:v>
      </x:c>
      <x:c r="G158" s="32" t="str">
        <x:v>三合或三会成局</x:v>
      </x:c>
      <x:c r="H158" s="32" t="str">
        <x:v>未真化</x:v>
      </x:c>
      <x:c r="I158" s="32" t="str">
        <x:v>共享引擎确认成局但未真化；日支参与；局势有效。</x:v>
      </x:c>
      <x:c r="J158" s="32" t="str">
        <x:v>真合化或局势作用不足。</x:v>
      </x:c>
      <x:c r="K158" s="32" t="str">
        <x:v>不限定；由后续模块修正</x:v>
      </x:c>
      <x:c r="L158" s="32" t="str">
        <x:v>不限定</x:v>
      </x:c>
      <x:c r="M158" s="32" t="str">
        <x:v>日支合化／结构状态</x:v>
      </x:c>
      <x:c r="N158" s="32" t="str">
        <x:v>无／待后续模块组合</x:v>
      </x:c>
      <x:c r="O158" s="32" t="str">
        <x:v>日支或与日支直接相关</x:v>
      </x:c>
      <x:c r="P158" s="32" t="str">
        <x:v>由共享基础引擎判定</x:v>
      </x:c>
      <x:c r="Q158" s="32" t="str">
        <x:v>由共享基础引擎判定</x:v>
      </x:c>
      <x:c r="R158" s="32" t="str">
        <x:v>喜忌未定或由共享引擎提供</x:v>
      </x:c>
      <x:c r="S158" s="32" t="str">
        <x:v>三合或三会成局</x:v>
      </x:c>
      <x:c r="T158" s="32" t="str">
        <x:v>近</x:v>
      </x:c>
      <x:c r="U158" s="32" t="n">
        <x:v>82</x:v>
      </x:c>
      <x:c r="V158" s="32" t="str">
        <x:v>背景系统+6；原底盘保留</x:v>
      </x:c>
      <x:c r="W158" s="32" t="str">
        <x:v>relationship_baseline</x:v>
      </x:c>
      <x:c r="X158" s="32" t="str">
        <x:v>成局未化可加强某类系统背景，但不直接删除原日支主气。</x:v>
      </x:c>
      <x:c r="Y158" s="32" t="str">
        <x:v>除了日支本身的核心底盘，整体结构还会加强某一类互动主题。</x:v>
      </x:c>
      <x:c r="Z158" s="32" t="str">
        <x:v>不得把成局直接解释为固定行为或关系结果。 本规则只描述底盘来源和状态，不判断关系吉凶。</x:v>
      </x:c>
      <x:c r="AA158" s="32" t="str">
        <x:v>中</x:v>
      </x:c>
      <x:c r="AB158" s="32" t="str">
        <x:v>待验证</x:v>
      </x:c>
      <x:c r="AC158" s="32" t="str"/>
      <x:c r="AD158" s="32" t="str">
        <x:v>provisional=true; source_cluster=DAY_BRANCH_TRANSFORMATION; shared_engine_required=true</x:v>
      </x:c>
      <x:c r="AE158" s="39" t="str">
        <x:v>0.2</x:v>
      </x:c>
    </x:row>
    <x:row r="159">
      <x:c r="A159" s="38" t="str">
        <x:v>M3-BASE-155</x:v>
      </x:c>
      <x:c r="B159" s="32" t="str">
        <x:v>合化争议｜降低置信</x:v>
      </x:c>
      <x:c r="C159" s="32" t="str">
        <x:v>L8 总合成与边界审查</x:v>
      </x:c>
      <x:c r="D159" s="32" t="str">
        <x:v>BASE-合化状态</x:v>
      </x:c>
      <x:c r="E159" s="32" t="str">
        <x:v>通用</x:v>
      </x:c>
      <x:c r="F159" s="32" t="str">
        <x:v>停止</x:v>
      </x:c>
      <x:c r="G159" s="32" t="str">
        <x:v>合化状态争议</x:v>
      </x:c>
      <x:c r="H159" s="32" t="str"/>
      <x:c r="I159" s="32" t="str">
        <x:v>不同判断路径对是否真化、化神或原十神有效性存在实质分歧。</x:v>
      </x:c>
      <x:c r="J159" s="32" t="str">
        <x:v>争议只影响轻微权重，不影响主气性质。</x:v>
      </x:c>
      <x:c r="K159" s="32" t="str">
        <x:v>不限定；由后续模块修正</x:v>
      </x:c>
      <x:c r="L159" s="32" t="str">
        <x:v>不限定</x:v>
      </x:c>
      <x:c r="M159" s="32" t="str">
        <x:v>日支合化／结构状态</x:v>
      </x:c>
      <x:c r="N159" s="32" t="str">
        <x:v>无／待后续模块组合</x:v>
      </x:c>
      <x:c r="O159" s="32" t="str">
        <x:v>日支或与日支直接相关</x:v>
      </x:c>
      <x:c r="P159" s="32" t="str">
        <x:v>由共享基础引擎判定</x:v>
      </x:c>
      <x:c r="Q159" s="32" t="str">
        <x:v>由共享基础引擎判定</x:v>
      </x:c>
      <x:c r="R159" s="32" t="str">
        <x:v>喜忌未定或由共享引擎提供</x:v>
      </x:c>
      <x:c r="S159" s="32" t="str">
        <x:v>合化状态争议</x:v>
      </x:c>
      <x:c r="T159" s="32" t="str">
        <x:v>近</x:v>
      </x:c>
      <x:c r="U159" s="32" t="n">
        <x:v>99</x:v>
      </x:c>
      <x:c r="V159" s="32" t="str">
        <x:v>relationship_baseline停止或限定输出；confidence降至低</x:v>
      </x:c>
      <x:c r="W159" s="32" t="str">
        <x:v>confidence</x:v>
      </x:c>
      <x:c r="X159" s="32" t="str">
        <x:v>合化争议会直接影响底盘来源，属于不能用流畅文案掩盖的基础不确定性。</x:v>
      </x:c>
      <x:c r="Y159" s="32" t="str">
        <x:v>当前合化状态仍有争议，因此不宜把你的相处底盘固定为某一种模式。</x:v>
      </x:c>
      <x:c r="Z159" s="32" t="str">
        <x:v>不得挑选更好听的版本代替不确定性。 本规则只描述底盘来源和状态，不判断关系吉凶。</x:v>
      </x:c>
      <x:c r="AA159" s="32" t="str">
        <x:v>停止</x:v>
      </x:c>
      <x:c r="AB159" s="32" t="str">
        <x:v>待验证</x:v>
      </x:c>
      <x:c r="AC159" s="32" t="str"/>
      <x:c r="AD159" s="32" t="str">
        <x:v>provisional=true; source_cluster=DAY_BRANCH_TRANSFORMATION; shared_engine_required=true</x:v>
      </x:c>
      <x:c r="AE159" s="39" t="str">
        <x:v>0.2</x:v>
      </x:c>
    </x:row>
    <x:row r="160">
      <x:c r="A160" s="38" t="str">
        <x:v>M3-BASE-156</x:v>
      </x:c>
      <x:c r="B160" s="32" t="str">
        <x:v>多组合竞争｜停止单一路由</x:v>
      </x:c>
      <x:c r="C160" s="32" t="str">
        <x:v>L8 总合成与边界审查</x:v>
      </x:c>
      <x:c r="D160" s="32" t="str">
        <x:v>BASE-合化状态</x:v>
      </x:c>
      <x:c r="E160" s="32" t="str">
        <x:v>通用</x:v>
      </x:c>
      <x:c r="F160" s="32" t="str">
        <x:v>停止</x:v>
      </x:c>
      <x:c r="G160" s="32" t="str">
        <x:v>日支同时参与多个合局</x:v>
      </x:c>
      <x:c r="H160" s="32" t="str">
        <x:v>竞争关系</x:v>
      </x:c>
      <x:c r="I160" s="32" t="str">
        <x:v>日支同时受到两项以上有效合局牵动，且主次、化神或作用顺序无法可靠确定。</x:v>
      </x:c>
      <x:c r="J160" s="32" t="str">
        <x:v>其中一项明显主导且另一项弱远。</x:v>
      </x:c>
      <x:c r="K160" s="32" t="str">
        <x:v>不限定；由后续模块修正</x:v>
      </x:c>
      <x:c r="L160" s="32" t="str">
        <x:v>不限定</x:v>
      </x:c>
      <x:c r="M160" s="32" t="str">
        <x:v>日支合化／结构状态</x:v>
      </x:c>
      <x:c r="N160" s="32" t="str">
        <x:v>无／待后续模块组合</x:v>
      </x:c>
      <x:c r="O160" s="32" t="str">
        <x:v>日支或与日支直接相关</x:v>
      </x:c>
      <x:c r="P160" s="32" t="str">
        <x:v>由共享基础引擎判定</x:v>
      </x:c>
      <x:c r="Q160" s="32" t="str">
        <x:v>由共享基础引擎判定</x:v>
      </x:c>
      <x:c r="R160" s="32" t="str">
        <x:v>喜忌未定或由共享引擎提供</x:v>
      </x:c>
      <x:c r="S160" s="32" t="str">
        <x:v>日支同时参与多个合局</x:v>
      </x:c>
      <x:c r="T160" s="32" t="str">
        <x:v>近</x:v>
      </x:c>
      <x:c r="U160" s="32" t="n">
        <x:v>99</x:v>
      </x:c>
      <x:c r="V160" s="32" t="str">
        <x:v>单一底盘停止；转P12情境候选</x:v>
      </x:c>
      <x:c r="W160" s="32" t="str">
        <x:v>interaction_pattern</x:v>
      </x:c>
      <x:c r="X160" s="32" t="str">
        <x:v>多组合竞争会使底盘来源与状态路由不清，不能强行选择一个合化结论。</x:v>
      </x:c>
      <x:c r="Y160" s="32" t="str">
        <x:v>日支同时受到多重结构牵动，当前更适合保留情境化判断，而不是固定为单一相处模式。</x:v>
      </x:c>
      <x:c r="Z160" s="32" t="str">
        <x:v>不得推出多对象、三角关系或感情混乱。 本规则只描述底盘来源和状态，不判断关系吉凶。</x:v>
      </x:c>
      <x:c r="AA160" s="32" t="str">
        <x:v>停止</x:v>
      </x:c>
      <x:c r="AB160" s="32" t="str">
        <x:v>待验证</x:v>
      </x:c>
      <x:c r="AC160" s="32" t="str"/>
      <x:c r="AD160" s="32" t="str">
        <x:v>provisional=true; source_cluster=DAY_BRANCH_TRANSFORMATION; shared_engine_required=true</x:v>
      </x:c>
      <x:c r="AE160" s="39" t="str">
        <x:v>0.2</x:v>
      </x:c>
    </x:row>
    <x:row r="161">
      <x:c r="A161" s="38" t="str">
        <x:v>M3-BASE-157</x:v>
      </x:c>
      <x:c r="B161" s="32" t="str">
        <x:v>日支主气受损但未消失｜保留降级</x:v>
      </x:c>
      <x:c r="C161" s="32" t="str">
        <x:v>L6 状态切换</x:v>
      </x:c>
      <x:c r="D161" s="32" t="str">
        <x:v>BASE-合化状态</x:v>
      </x:c>
      <x:c r="E161" s="32" t="str">
        <x:v>通用</x:v>
      </x:c>
      <x:c r="F161" s="32" t="str">
        <x:v>修正</x:v>
      </x:c>
      <x:c r="G161" s="32" t="str">
        <x:v>主气受损</x:v>
      </x:c>
      <x:c r="H161" s="32" t="str">
        <x:v>未真合化</x:v>
      </x:c>
      <x:c r="I161" s="32" t="str">
        <x:v>主气性质仍在，但受冲制、泄耗或结构牵制；未达到真合化或完全失效。</x:v>
      </x:c>
      <x:c r="J161" s="32" t="str">
        <x:v>主气仍强稳；或原性质已经停止。</x:v>
      </x:c>
      <x:c r="K161" s="32" t="str">
        <x:v>不限定；由后续模块修正</x:v>
      </x:c>
      <x:c r="L161" s="32" t="str">
        <x:v>不限定</x:v>
      </x:c>
      <x:c r="M161" s="32" t="str">
        <x:v>日支合化／结构状态</x:v>
      </x:c>
      <x:c r="N161" s="32" t="str">
        <x:v>无／待后续模块组合</x:v>
      </x:c>
      <x:c r="O161" s="32" t="str">
        <x:v>日支或与日支直接相关</x:v>
      </x:c>
      <x:c r="P161" s="32" t="str">
        <x:v>由共享基础引擎判定</x:v>
      </x:c>
      <x:c r="Q161" s="32" t="str">
        <x:v>由共享基础引擎判定</x:v>
      </x:c>
      <x:c r="R161" s="32" t="str">
        <x:v>喜忌未定或由共享引擎提供</x:v>
      </x:c>
      <x:c r="S161" s="32" t="str">
        <x:v>由共享引擎判定</x:v>
      </x:c>
      <x:c r="T161" s="32" t="str">
        <x:v>近</x:v>
      </x:c>
      <x:c r="U161" s="32" t="n">
        <x:v>82</x:v>
      </x:c>
      <x:c r="V161" s="32" t="str">
        <x:v>主气-6；置信度-1级</x:v>
      </x:c>
      <x:c r="W161" s="32" t="str">
        <x:v>relationship_baseline</x:v>
      </x:c>
      <x:c r="X161" s="32" t="str">
        <x:v>受损不等于不存在。位置权威仍在，但行为稳定性与外显度需要下降。</x:v>
      </x:c>
      <x:c r="Y161" s="32" t="str">
        <x:v>这仍是你的核心关系主题，只是它未必在所有情境中都能稳定、完整地表现出来。</x:v>
      </x:c>
      <x:c r="Z161" s="32" t="str">
        <x:v>不得把受损直接解释为相处失败或关系有问题。 本规则只描述底盘来源和状态，不判断关系吉凶。</x:v>
      </x:c>
      <x:c r="AA161" s="32" t="str">
        <x:v>中低</x:v>
      </x:c>
      <x:c r="AB161" s="32" t="str">
        <x:v>待验证</x:v>
      </x:c>
      <x:c r="AC161" s="32" t="str"/>
      <x:c r="AD161" s="32" t="str">
        <x:v>provisional=true; source_cluster=DAY_BRANCH_TRANSFORMATION; shared_engine_required=true</x:v>
      </x:c>
      <x:c r="AE161" s="39" t="str">
        <x:v>0.2</x:v>
      </x:c>
    </x:row>
    <x:row r="162">
      <x:c r="A162" s="38" t="str">
        <x:v>M3-BASE-158</x:v>
      </x:c>
      <x:c r="B162" s="32" t="str">
        <x:v>主气受损＋中气强支援｜双底盘候选</x:v>
      </x:c>
      <x:c r="C162" s="32" t="str">
        <x:v>L6 状态切换</x:v>
      </x:c>
      <x:c r="D162" s="32" t="str">
        <x:v>BASE-合化状态</x:v>
      </x:c>
      <x:c r="E162" s="32" t="str">
        <x:v>通用</x:v>
      </x:c>
      <x:c r="F162" s="32" t="str">
        <x:v>组合</x:v>
      </x:c>
      <x:c r="G162" s="32" t="str">
        <x:v>主气受损</x:v>
      </x:c>
      <x:c r="H162" s="32" t="str">
        <x:v>中气强支持</x:v>
      </x:c>
      <x:c r="I162" s="32" t="str">
        <x:v>主气受损未消失；中气功能不同且获得至少两项独立支持。</x:v>
      </x:c>
      <x:c r="J162" s="32" t="str">
        <x:v>中气与主气同系统；中气支持不足；真合化已确定。</x:v>
      </x:c>
      <x:c r="K162" s="32" t="str">
        <x:v>不限定；由后续模块修正</x:v>
      </x:c>
      <x:c r="L162" s="32" t="str">
        <x:v>不限定</x:v>
      </x:c>
      <x:c r="M162" s="32" t="str">
        <x:v>日支合化／结构状态</x:v>
      </x:c>
      <x:c r="N162" s="32" t="str">
        <x:v>无／待后续模块组合</x:v>
      </x:c>
      <x:c r="O162" s="32" t="str">
        <x:v>日支或与日支直接相关</x:v>
      </x:c>
      <x:c r="P162" s="32" t="str">
        <x:v>由共享基础引擎判定</x:v>
      </x:c>
      <x:c r="Q162" s="32" t="str">
        <x:v>由共享基础引擎判定</x:v>
      </x:c>
      <x:c r="R162" s="32" t="str">
        <x:v>喜忌未定或由共享引擎提供</x:v>
      </x:c>
      <x:c r="S162" s="32" t="str">
        <x:v>由共享引擎判定</x:v>
      </x:c>
      <x:c r="T162" s="32" t="str">
        <x:v>近</x:v>
      </x:c>
      <x:c r="U162" s="32" t="n">
        <x:v>82</x:v>
      </x:c>
      <x:c r="V162" s="32" t="str">
        <x:v>主气与中气进入P11/P12候选</x:v>
      </x:c>
      <x:c r="W162" s="32" t="str">
        <x:v>interaction_pattern</x:v>
      </x:c>
      <x:c r="X162" s="32" t="str">
        <x:v>此时原主气仍提供关系核心，中气可能承担现实运行；需STATE确定是稳定分工还是情境切换。</x:v>
      </x:c>
      <x:c r="Y162" s="32" t="str">
        <x:v>你的相处方式可能由两套通道共同承担：一套仍是核心主题，另一套在现实中明显补位。</x:v>
      </x:c>
      <x:c r="Z162" s="32" t="str">
        <x:v>不得在BASE阶段断定哪套只在压力下出现。 本规则只描述底盘来源和状态，不判断关系吉凶。</x:v>
      </x:c>
      <x:c r="AA162" s="32" t="str">
        <x:v>中低</x:v>
      </x:c>
      <x:c r="AB162" s="32" t="str">
        <x:v>待验证</x:v>
      </x:c>
      <x:c r="AC162" s="32" t="str"/>
      <x:c r="AD162" s="32" t="str">
        <x:v>provisional=true; source_cluster=DAY_BRANCH_TRANSFORMATION; shared_engine_required=true</x:v>
      </x:c>
      <x:c r="AE162" s="39" t="str">
        <x:v>0.2</x:v>
      </x:c>
    </x:row>
    <x:row r="163">
      <x:c r="A163" s="38" t="str">
        <x:v>M3-BASE-159</x:v>
      </x:c>
      <x:c r="B163" s="32" t="str">
        <x:v>原十神与化神｜互斥计分</x:v>
      </x:c>
      <x:c r="C163" s="32" t="str">
        <x:v>L8 总合成与边界审查</x:v>
      </x:c>
      <x:c r="D163" s="32" t="str">
        <x:v>BASE-合化状态</x:v>
      </x:c>
      <x:c r="E163" s="32" t="str">
        <x:v>通用</x:v>
      </x:c>
      <x:c r="F163" s="32" t="str">
        <x:v>去重</x:v>
      </x:c>
      <x:c r="G163" s="32" t="str">
        <x:v>原日支十神</x:v>
      </x:c>
      <x:c r="H163" s="32" t="str">
        <x:v>真合化化神</x:v>
      </x:c>
      <x:c r="I163" s="32" t="str">
        <x:v>真合化路径进入计算。</x:v>
      </x:c>
      <x:c r="J163" s="32" t="str">
        <x:v>仅合而不化。</x:v>
      </x:c>
      <x:c r="K163" s="32" t="str">
        <x:v>不限定；由后续模块修正</x:v>
      </x:c>
      <x:c r="L163" s="32" t="str">
        <x:v>不限定</x:v>
      </x:c>
      <x:c r="M163" s="32" t="str">
        <x:v>日支合化／结构状态</x:v>
      </x:c>
      <x:c r="N163" s="32" t="str">
        <x:v>无／待后续模块组合</x:v>
      </x:c>
      <x:c r="O163" s="32" t="str">
        <x:v>日支或与日支直接相关</x:v>
      </x:c>
      <x:c r="P163" s="32" t="str">
        <x:v>由共享基础引擎判定</x:v>
      </x:c>
      <x:c r="Q163" s="32" t="str">
        <x:v>由共享基础引擎判定</x:v>
      </x:c>
      <x:c r="R163" s="32" t="str">
        <x:v>喜忌未定或由共享引擎提供</x:v>
      </x:c>
      <x:c r="S163" s="32" t="str">
        <x:v>由共享引擎判定</x:v>
      </x:c>
      <x:c r="T163" s="32" t="str">
        <x:v>近</x:v>
      </x:c>
      <x:c r="U163" s="32" t="n">
        <x:v>99</x:v>
      </x:c>
      <x:c r="V163" s="32" t="str">
        <x:v>原十神与化神不可同时获得基础分</x:v>
      </x:c>
      <x:c r="W163" s="32" t="str">
        <x:v>dedup_log</x:v>
      </x:c>
      <x:c r="X163" s="32" t="str">
        <x:v>合化是替代路由，不是叠加路由；否则会人为制造双通道。</x:v>
      </x:c>
      <x:c r="Y163" s="32" t="str">
        <x:v>合化前后的信号只会保留一套作为当前底盘依据。</x:v>
      </x:c>
      <x:c r="Z163" s="32" t="str">
        <x:v>不得同时用原十神与化神抬高置信度。 本规则只描述底盘来源和状态，不判断关系吉凶。</x:v>
      </x:c>
      <x:c r="AA163" s="32" t="str">
        <x:v>高</x:v>
      </x:c>
      <x:c r="AB163" s="32" t="str">
        <x:v>待验证</x:v>
      </x:c>
      <x:c r="AC163" s="32" t="str"/>
      <x:c r="AD163" s="32" t="str">
        <x:v>provisional=true; source_cluster=DAY_BRANCH_TRANSFORMATION; shared_engine_required=true</x:v>
      </x:c>
      <x:c r="AE163" s="39" t="str">
        <x:v>0.2</x:v>
      </x:c>
    </x:row>
    <x:row r="164">
      <x:c r="A164" s="38" t="str">
        <x:v>M3-BASE-160</x:v>
      </x:c>
      <x:c r="B164" s="32" t="str">
        <x:v>合化来源｜必须记录provenance</x:v>
      </x:c>
      <x:c r="C164" s="32" t="str">
        <x:v>L8 总合成与边界审查</x:v>
      </x:c>
      <x:c r="D164" s="32" t="str">
        <x:v>BASE-合化状态</x:v>
      </x:c>
      <x:c r="E164" s="32" t="str">
        <x:v>通用</x:v>
      </x:c>
      <x:c r="F164" s="32" t="str">
        <x:v>门控</x:v>
      </x:c>
      <x:c r="G164" s="32" t="str">
        <x:v>合化结论</x:v>
      </x:c>
      <x:c r="H164" s="32" t="str">
        <x:v>source_id</x:v>
      </x:c>
      <x:c r="I164" s="32" t="str">
        <x:v>任何合化或化神规则进入结果。</x:v>
      </x:c>
      <x:c r="J164" s="32" t="str">
        <x:v>无。</x:v>
      </x:c>
      <x:c r="K164" s="32" t="str">
        <x:v>不限定；由后续模块修正</x:v>
      </x:c>
      <x:c r="L164" s="32" t="str">
        <x:v>不限定</x:v>
      </x:c>
      <x:c r="M164" s="32" t="str">
        <x:v>日支合化／结构状态</x:v>
      </x:c>
      <x:c r="N164" s="32" t="str">
        <x:v>无／待后续模块组合</x:v>
      </x:c>
      <x:c r="O164" s="32" t="str">
        <x:v>日支或与日支直接相关</x:v>
      </x:c>
      <x:c r="P164" s="32" t="str">
        <x:v>由共享基础引擎判定</x:v>
      </x:c>
      <x:c r="Q164" s="32" t="str">
        <x:v>由共享基础引擎判定</x:v>
      </x:c>
      <x:c r="R164" s="32" t="str">
        <x:v>喜忌未定或由共享引擎提供</x:v>
      </x:c>
      <x:c r="S164" s="32" t="str">
        <x:v>合化结论</x:v>
      </x:c>
      <x:c r="T164" s="32" t="str">
        <x:v>近</x:v>
      </x:c>
      <x:c r="U164" s="32" t="n">
        <x:v>99</x:v>
      </x:c>
      <x:c r="V164" s="32" t="str">
        <x:v>强制记录共享引擎版本、source_id与置信</x:v>
      </x:c>
      <x:c r="W164" s="32" t="str">
        <x:v>provenance</x:v>
      </x:c>
      <x:c r="X164" s="32" t="str">
        <x:v>合化判断流派差异大，必须可追溯，方便案例复核和版本升级。</x:v>
      </x:c>
      <x:c r="Y164" s="32" t="str">
        <x:v>这一判断会保留明确的命理依据和置信状态，便于后续复查。</x:v>
      </x:c>
      <x:c r="Z164" s="32" t="str">
        <x:v>不得用无来源的人工备注覆盖共享引擎结果。 本规则只描述底盘来源和状态，不判断关系吉凶。</x:v>
      </x:c>
      <x:c r="AA164" s="32" t="str">
        <x:v>高</x:v>
      </x:c>
      <x:c r="AB164" s="32" t="str">
        <x:v>待验证</x:v>
      </x:c>
      <x:c r="AC164" s="32" t="str"/>
      <x:c r="AD164" s="32" t="str">
        <x:v>provisional=true; source_cluster=DAY_BRANCH_TRANSFORMATION; shared_engine_required=true</x:v>
      </x:c>
      <x:c r="AE164" s="39" t="str">
        <x:v>0.2</x:v>
      </x:c>
    </x:row>
    <x:row r="165">
      <x:c r="A165" s="38" t="str">
        <x:v>M3-BASE-161</x:v>
      </x:c>
      <x:c r="B165" s="32" t="str">
        <x:v>大运流年合化｜阶段覆盖层</x:v>
      </x:c>
      <x:c r="C165" s="32" t="str">
        <x:v>L6 状态切换</x:v>
      </x:c>
      <x:c r="D165" s="32" t="str">
        <x:v>BASE-合化状态</x:v>
      </x:c>
      <x:c r="E165" s="32" t="str">
        <x:v>通用</x:v>
      </x:c>
      <x:c r="F165" s="32" t="str">
        <x:v>路由</x:v>
      </x:c>
      <x:c r="G165" s="32" t="str">
        <x:v>阶段性合化</x:v>
      </x:c>
      <x:c r="H165" s="32" t="str">
        <x:v>原局底盘</x:v>
      </x:c>
      <x:c r="I165" s="32" t="str">
        <x:v>用户明确要求分析某阶段；阶段作用由时运引擎可靠判定。</x:v>
      </x:c>
      <x:c r="J165" s="32" t="str">
        <x:v>仅分析原局；阶段信息未定。</x:v>
      </x:c>
      <x:c r="K165" s="32" t="str">
        <x:v>不限定；由后续模块修正</x:v>
      </x:c>
      <x:c r="L165" s="32" t="str">
        <x:v>不限定</x:v>
      </x:c>
      <x:c r="M165" s="32" t="str">
        <x:v>日支合化／结构状态</x:v>
      </x:c>
      <x:c r="N165" s="32" t="str">
        <x:v>无／待后续模块组合</x:v>
      </x:c>
      <x:c r="O165" s="32" t="str">
        <x:v>日支或与日支直接相关</x:v>
      </x:c>
      <x:c r="P165" s="32" t="str">
        <x:v>由共享基础引擎判定</x:v>
      </x:c>
      <x:c r="Q165" s="32" t="str">
        <x:v>由共享基础引擎判定</x:v>
      </x:c>
      <x:c r="R165" s="32" t="str">
        <x:v>喜忌未定或由共享引擎提供</x:v>
      </x:c>
      <x:c r="S165" s="32" t="str">
        <x:v>阶段性合化</x:v>
      </x:c>
      <x:c r="T165" s="32" t="str">
        <x:v>近</x:v>
      </x:c>
      <x:c r="U165" s="32" t="n">
        <x:v>82</x:v>
      </x:c>
      <x:c r="V165" s="32" t="str">
        <x:v>只生成stage_overlay；不改写原局BASE</x:v>
      </x:c>
      <x:c r="W165" s="32" t="str">
        <x:v>stress_shift</x:v>
      </x:c>
      <x:c r="X165" s="32" t="str">
        <x:v>阶段性作用可以改变某一时期的调用方式，但不应回写成终身固定底盘。</x:v>
      </x:c>
      <x:c r="Y165" s="32" t="str">
        <x:v>某个阶段可能暂时强化或改变你的相处节奏，但原局底盘仍需单独保留。</x:v>
      </x:c>
      <x:c r="Z165" s="32" t="str">
        <x:v>不得把阶段表现写成终身性格。 本规则只描述底盘来源和状态，不判断关系吉凶。</x:v>
      </x:c>
      <x:c r="AA165" s="32" t="str">
        <x:v>中</x:v>
      </x:c>
      <x:c r="AB165" s="32" t="str">
        <x:v>待验证</x:v>
      </x:c>
      <x:c r="AC165" s="32" t="str"/>
      <x:c r="AD165" s="32" t="str">
        <x:v>provisional=true; source_cluster=DAY_BRANCH_TRANSFORMATION; shared_engine_required=true</x:v>
      </x:c>
      <x:c r="AE165" s="39" t="str">
        <x:v>0.2</x:v>
      </x:c>
    </x:row>
    <x:row r="166">
      <x:c r="A166" s="38" t="str">
        <x:v>M3-BASE-162</x:v>
      </x:c>
      <x:c r="B166" s="32" t="str">
        <x:v>原局与阶段｜双层输出</x:v>
      </x:c>
      <x:c r="C166" s="32" t="str">
        <x:v>L8 总合成与边界审查</x:v>
      </x:c>
      <x:c r="D166" s="32" t="str">
        <x:v>BASE-合化状态</x:v>
      </x:c>
      <x:c r="E166" s="32" t="str">
        <x:v>通用</x:v>
      </x:c>
      <x:c r="F166" s="32" t="str">
        <x:v>输出</x:v>
      </x:c>
      <x:c r="G166" s="32" t="str">
        <x:v>原局底盘</x:v>
      </x:c>
      <x:c r="H166" s="32" t="str">
        <x:v>阶段覆盖</x:v>
      </x:c>
      <x:c r="I166" s="32" t="str">
        <x:v>原局BASE有效；阶段覆盖层也有效；用户需要阶段分析。</x:v>
      </x:c>
      <x:c r="J166" s="32" t="str">
        <x:v>任一层停止或信息不足。</x:v>
      </x:c>
      <x:c r="K166" s="32" t="str">
        <x:v>不限定；由后续模块修正</x:v>
      </x:c>
      <x:c r="L166" s="32" t="str">
        <x:v>不限定</x:v>
      </x:c>
      <x:c r="M166" s="32" t="str">
        <x:v>日支合化／结构状态</x:v>
      </x:c>
      <x:c r="N166" s="32" t="str">
        <x:v>无／待后续模块组合</x:v>
      </x:c>
      <x:c r="O166" s="32" t="str">
        <x:v>日支或与日支直接相关</x:v>
      </x:c>
      <x:c r="P166" s="32" t="str">
        <x:v>由共享基础引擎判定</x:v>
      </x:c>
      <x:c r="Q166" s="32" t="str">
        <x:v>由共享基础引擎判定</x:v>
      </x:c>
      <x:c r="R166" s="32" t="str">
        <x:v>喜忌未定或由共享引擎提供</x:v>
      </x:c>
      <x:c r="S166" s="32" t="str">
        <x:v>由共享引擎判定</x:v>
      </x:c>
      <x:c r="T166" s="32" t="str">
        <x:v>近</x:v>
      </x:c>
      <x:c r="U166" s="32" t="n">
        <x:v>82</x:v>
      </x:c>
      <x:c r="V166" s="32" t="str">
        <x:v>分别输出baseline与stage_overlay</x:v>
      </x:c>
      <x:c r="W166" s="32" t="str">
        <x:v>stress_shift</x:v>
      </x:c>
      <x:c r="X166" s="32" t="str">
        <x:v>把稳定底盘与阶段变化分开，避免把短期状态混入长期相处画像。</x:v>
      </x:c>
      <x:c r="Y166" s="32" t="str">
        <x:v>你的长期相处底盘是A；在当前阶段，B类互动方式可能更容易被激活。</x:v>
      </x:c>
      <x:c r="Z166" s="32" t="str">
        <x:v>不得把阶段层覆盖原局主结论。 本规则只描述底盘来源和状态，不判断关系吉凶。</x:v>
      </x:c>
      <x:c r="AA166" s="32" t="str">
        <x:v>中</x:v>
      </x:c>
      <x:c r="AB166" s="32" t="str">
        <x:v>待验证</x:v>
      </x:c>
      <x:c r="AC166" s="32" t="str"/>
      <x:c r="AD166" s="32" t="str">
        <x:v>provisional=true; source_cluster=DAY_BRANCH_TRANSFORMATION; shared_engine_required=true</x:v>
      </x:c>
      <x:c r="AE166" s="39" t="str">
        <x:v>0.2</x:v>
      </x:c>
    </x:row>
    <x:row r="167">
      <x:c r="A167" s="38" t="str">
        <x:v>M3-BASE-163</x:v>
      </x:c>
      <x:c r="B167" s="32" t="str">
        <x:v>化神仅有五行无阴阳｜停在系统层</x:v>
      </x:c>
      <x:c r="C167" s="32" t="str">
        <x:v>L8 总合成与边界审查</x:v>
      </x:c>
      <x:c r="D167" s="32" t="str">
        <x:v>BASE-合化状态</x:v>
      </x:c>
      <x:c r="E167" s="32" t="str">
        <x:v>通用</x:v>
      </x:c>
      <x:c r="F167" s="32" t="str">
        <x:v>门控</x:v>
      </x:c>
      <x:c r="G167" s="32" t="str">
        <x:v>化神五行明确</x:v>
      </x:c>
      <x:c r="H167" s="32" t="str">
        <x:v>阴阳未定</x:v>
      </x:c>
      <x:c r="I167" s="32" t="str">
        <x:v>真合化成立，化神五行明确，但无法可靠细分阴阳极性。</x:v>
      </x:c>
      <x:c r="J167" s="32" t="str">
        <x:v>阴阳极性与具体十神可靠。</x:v>
      </x:c>
      <x:c r="K167" s="32" t="str">
        <x:v>不限定；由后续模块修正</x:v>
      </x:c>
      <x:c r="L167" s="32" t="str">
        <x:v>不限定</x:v>
      </x:c>
      <x:c r="M167" s="32" t="str">
        <x:v>日支合化／结构状态</x:v>
      </x:c>
      <x:c r="N167" s="32" t="str">
        <x:v>无／待后续模块组合</x:v>
      </x:c>
      <x:c r="O167" s="32" t="str">
        <x:v>日支或与日支直接相关</x:v>
      </x:c>
      <x:c r="P167" s="32" t="str">
        <x:v>由共享基础引擎判定</x:v>
      </x:c>
      <x:c r="Q167" s="32" t="str">
        <x:v>由共享基础引擎判定</x:v>
      </x:c>
      <x:c r="R167" s="32" t="str">
        <x:v>喜忌未定或由共享引擎提供</x:v>
      </x:c>
      <x:c r="S167" s="32" t="str">
        <x:v>化神五行明确</x:v>
      </x:c>
      <x:c r="T167" s="32" t="str">
        <x:v>近</x:v>
      </x:c>
      <x:c r="U167" s="32" t="n">
        <x:v>99</x:v>
      </x:c>
      <x:c r="V167" s="32" t="str">
        <x:v>只输出五系统；不细分正偏十神</x:v>
      </x:c>
      <x:c r="W167" s="32" t="str">
        <x:v>relationship_baseline</x:v>
      </x:c>
      <x:c r="X167" s="32" t="str">
        <x:v>在极性不足时，宁可停在系统层，也不虚构正偏十神风格。</x:v>
      </x:c>
      <x:c r="Y167" s="32" t="str">
        <x:v>当前可以判断关系底盘属于哪一类功能系统，但不宜进一步细分具体风格。</x:v>
      </x:c>
      <x:c r="Z167" s="32" t="str">
        <x:v>不得为了完整文案猜测正偏十神。 本规则只描述底盘来源和状态，不判断关系吉凶。</x:v>
      </x:c>
      <x:c r="AA167" s="32" t="str">
        <x:v>中</x:v>
      </x:c>
      <x:c r="AB167" s="32" t="str">
        <x:v>待验证</x:v>
      </x:c>
      <x:c r="AC167" s="32" t="str"/>
      <x:c r="AD167" s="32" t="str">
        <x:v>provisional=true; source_cluster=DAY_BRANCH_TRANSFORMATION; shared_engine_required=true</x:v>
      </x:c>
      <x:c r="AE167" s="39" t="str">
        <x:v>0.2</x:v>
      </x:c>
    </x:row>
    <x:row r="168">
      <x:c r="A168" s="38" t="str">
        <x:v>M3-BASE-164</x:v>
      </x:c>
      <x:c r="B168" s="32" t="str">
        <x:v>化神有五行但全局不承载｜低置信候选</x:v>
      </x:c>
      <x:c r="C168" s="32" t="str">
        <x:v>L6 状态切换</x:v>
      </x:c>
      <x:c r="D168" s="32" t="str">
        <x:v>BASE-合化状态</x:v>
      </x:c>
      <x:c r="E168" s="32" t="str">
        <x:v>通用</x:v>
      </x:c>
      <x:c r="F168" s="32" t="str">
        <x:v>修正</x:v>
      </x:c>
      <x:c r="G168" s="32" t="str">
        <x:v>化神系统</x:v>
      </x:c>
      <x:c r="H168" s="32" t="str">
        <x:v>全局支持弱</x:v>
      </x:c>
      <x:c r="I168" s="32" t="str">
        <x:v>真合化成立，但化神在全局缺乏承载、根气或持续支持。</x:v>
      </x:c>
      <x:c r="J168" s="32" t="str">
        <x:v>化神强稳且得到多项支持。</x:v>
      </x:c>
      <x:c r="K168" s="32" t="str">
        <x:v>不限定；由后续模块修正</x:v>
      </x:c>
      <x:c r="L168" s="32" t="str">
        <x:v>不限定</x:v>
      </x:c>
      <x:c r="M168" s="32" t="str">
        <x:v>日支合化／结构状态</x:v>
      </x:c>
      <x:c r="N168" s="32" t="str">
        <x:v>无／待后续模块组合</x:v>
      </x:c>
      <x:c r="O168" s="32" t="str">
        <x:v>日支或与日支直接相关</x:v>
      </x:c>
      <x:c r="P168" s="32" t="str">
        <x:v>由共享基础引擎判定</x:v>
      </x:c>
      <x:c r="Q168" s="32" t="str">
        <x:v>由共享基础引擎判定</x:v>
      </x:c>
      <x:c r="R168" s="32" t="str">
        <x:v>喜忌未定或由共享引擎提供</x:v>
      </x:c>
      <x:c r="S168" s="32" t="str">
        <x:v>化神系统</x:v>
      </x:c>
      <x:c r="T168" s="32" t="str">
        <x:v>近</x:v>
      </x:c>
      <x:c r="U168" s="32" t="n">
        <x:v>82</x:v>
      </x:c>
      <x:c r="V168" s="32" t="str">
        <x:v>新底盘候选-8；confidence中低</x:v>
      </x:c>
      <x:c r="W168" s="32" t="str">
        <x:v>relationship_baseline</x:v>
      </x:c>
      <x:c r="X168" s="32" t="str">
        <x:v>真化形式成立不代表化神通道必然在现实互动中稳定高频出现，还需全局承载。</x:v>
      </x:c>
      <x:c r="Y168" s="32" t="str">
        <x:v>合化后的主题可能存在，但其实际表现更依赖具体情境，暂不宜写得过于确定。</x:v>
      </x:c>
      <x:c r="Z168" s="32" t="str">
        <x:v>不得把真合化直接等同稳定行为。 本规则只描述底盘来源和状态，不判断关系吉凶。</x:v>
      </x:c>
      <x:c r="AA168" s="32" t="str">
        <x:v>中低</x:v>
      </x:c>
      <x:c r="AB168" s="32" t="str">
        <x:v>待验证</x:v>
      </x:c>
      <x:c r="AC168" s="32" t="str"/>
      <x:c r="AD168" s="32" t="str">
        <x:v>provisional=true; source_cluster=DAY_BRANCH_TRANSFORMATION; shared_engine_required=true</x:v>
      </x:c>
      <x:c r="AE168" s="39" t="str">
        <x:v>0.2</x:v>
      </x:c>
    </x:row>
    <x:row r="169">
      <x:c r="A169" s="38" t="str">
        <x:v>M3-BASE-165</x:v>
      </x:c>
      <x:c r="B169" s="32" t="str">
        <x:v>真合化用户语言｜避免玄学跳跃</x:v>
      </x:c>
      <x:c r="C169" s="32" t="str">
        <x:v>L8 总合成与边界审查</x:v>
      </x:c>
      <x:c r="D169" s="32" t="str">
        <x:v>BASE-合化状态</x:v>
      </x:c>
      <x:c r="E169" s="32" t="str">
        <x:v>通用</x:v>
      </x:c>
      <x:c r="F169" s="32" t="str">
        <x:v>输出</x:v>
      </x:c>
      <x:c r="G169" s="32" t="str">
        <x:v>真合化</x:v>
      </x:c>
      <x:c r="H169" s="32" t="str"/>
      <x:c r="I169" s="32" t="str">
        <x:v>真合化结果需要进入用户报告。</x:v>
      </x:c>
      <x:c r="J169" s="32" t="str">
        <x:v>化神或映射未定。</x:v>
      </x:c>
      <x:c r="K169" s="32" t="str">
        <x:v>不限定；由后续模块修正</x:v>
      </x:c>
      <x:c r="L169" s="32" t="str">
        <x:v>不限定</x:v>
      </x:c>
      <x:c r="M169" s="32" t="str">
        <x:v>日支合化／结构状态</x:v>
      </x:c>
      <x:c r="N169" s="32" t="str">
        <x:v>无／待后续模块组合</x:v>
      </x:c>
      <x:c r="O169" s="32" t="str">
        <x:v>日支或与日支直接相关</x:v>
      </x:c>
      <x:c r="P169" s="32" t="str">
        <x:v>由共享基础引擎判定</x:v>
      </x:c>
      <x:c r="Q169" s="32" t="str">
        <x:v>由共享基础引擎判定</x:v>
      </x:c>
      <x:c r="R169" s="32" t="str">
        <x:v>喜忌未定或由共享引擎提供</x:v>
      </x:c>
      <x:c r="S169" s="32" t="str">
        <x:v>真合化</x:v>
      </x:c>
      <x:c r="T169" s="32" t="str">
        <x:v>近</x:v>
      </x:c>
      <x:c r="U169" s="32" t="n">
        <x:v>82</x:v>
      </x:c>
      <x:c r="V169" s="32" t="str">
        <x:v>只写关系运行方向改变；折叠展示命理依据</x:v>
      </x:c>
      <x:c r="W169" s="32" t="str">
        <x:v>basis_summary</x:v>
      </x:c>
      <x:c r="X169" s="32" t="str">
        <x:v>用户正文优先解释行为层差异，命理术语放在折叠依据中。</x:v>
      </x:c>
      <x:c r="Y169" s="32" t="str">
        <x:v>由于日支原有结构发生了有效转化，关系运行的核心主题需要按转化后的方向重新理解。</x:v>
      </x:c>
      <x:c r="Z169" s="32" t="str">
        <x:v>不得直接堆砌“合化某局”而不给出可理解的行为含义。 本规则只描述底盘来源和状态，不判断关系吉凶。</x:v>
      </x:c>
      <x:c r="AA169" s="32" t="str">
        <x:v>中</x:v>
      </x:c>
      <x:c r="AB169" s="32" t="str">
        <x:v>待验证</x:v>
      </x:c>
      <x:c r="AC169" s="32" t="str"/>
      <x:c r="AD169" s="32" t="str">
        <x:v>provisional=true; source_cluster=DAY_BRANCH_TRANSFORMATION; shared_engine_required=true</x:v>
      </x:c>
      <x:c r="AE169" s="39" t="str">
        <x:v>0.2</x:v>
      </x:c>
    </x:row>
    <x:row r="170">
      <x:c r="A170" s="38" t="str">
        <x:v>M3-BASE-166</x:v>
      </x:c>
      <x:c r="B170" s="32" t="str">
        <x:v>主气清楚且有效｜高可靠底盘</x:v>
      </x:c>
      <x:c r="C170" s="32" t="str">
        <x:v>L8 总合成与边界审查</x:v>
      </x:c>
      <x:c r="D170" s="32" t="str">
        <x:v>BASE-状态修正</x:v>
      </x:c>
      <x:c r="E170" s="32" t="str">
        <x:v>通用</x:v>
      </x:c>
      <x:c r="F170" s="32" t="str">
        <x:v>修正</x:v>
      </x:c>
      <x:c r="G170" s="32" t="str">
        <x:v>日支主气清楚</x:v>
      </x:c>
      <x:c r="H170" s="32" t="str">
        <x:v>有效</x:v>
      </x:c>
      <x:c r="I170" s="32" t="str">
        <x:v>主气十神、藏干层级、合化状态均可靠；无重大争议。</x:v>
      </x:c>
      <x:c r="J170" s="32" t="str">
        <x:v>任一基础字段停止。</x:v>
      </x:c>
      <x:c r="K170" s="32" t="str">
        <x:v>不限定；由后续模块修正</x:v>
      </x:c>
      <x:c r="L170" s="32" t="str">
        <x:v>不限定</x:v>
      </x:c>
      <x:c r="M170" s="32" t="str">
        <x:v>日支底盘及全局状态</x:v>
      </x:c>
      <x:c r="N170" s="32" t="str">
        <x:v>无／待后续模块组合</x:v>
      </x:c>
      <x:c r="O170" s="32" t="str">
        <x:v>日支＋全局同类信号</x:v>
      </x:c>
      <x:c r="P170" s="32" t="str">
        <x:v>由共享基础引擎判定</x:v>
      </x:c>
      <x:c r="Q170" s="32" t="str">
        <x:v>由共享基础引擎判定</x:v>
      </x:c>
      <x:c r="R170" s="32" t="str">
        <x:v>喜忌未定或由共享引擎提供</x:v>
      </x:c>
      <x:c r="S170" s="32" t="str">
        <x:v>原十神性质有效；无真合化或已完成相应路由</x:v>
      </x:c>
      <x:c r="T170" s="32" t="str">
        <x:v>近</x:v>
      </x:c>
      <x:c r="U170" s="32" t="n">
        <x:v>80</x:v>
      </x:c>
      <x:c r="V170" s="32" t="str">
        <x:v>confidence+10；主底盘可进入正文</x:v>
      </x:c>
      <x:c r="W170" s="32" t="str">
        <x:v>confidence</x:v>
      </x:c>
      <x:c r="X170" s="32" t="str">
        <x:v>基础事实清楚时，日支主气可以作为M3-BASE高权威证据，但仍需后续模块复核具体行为字段。</x:v>
      </x:c>
      <x:c r="Y170" s="32" t="str">
        <x:v>当前关系底盘的命理依据较清楚，可以作为后续相处分析的主轴。</x:v>
      </x:c>
      <x:c r="Z170" s="32" t="str">
        <x:v>不得把基础清楚等同案例必然吻合。 本规则不单独判断关系结果。</x:v>
      </x:c>
      <x:c r="AA170" s="32" t="str">
        <x:v>高</x:v>
      </x:c>
      <x:c r="AB170" s="32" t="str">
        <x:v>待验证</x:v>
      </x:c>
      <x:c r="AC170" s="32" t="str"/>
      <x:c r="AD170" s="32" t="str">
        <x:v>provisional=true; state_modifier=true; shared_engine_required=true</x:v>
      </x:c>
      <x:c r="AE170" s="39" t="str">
        <x:v>0.2</x:v>
      </x:c>
    </x:row>
    <x:row r="171">
      <x:c r="A171" s="38" t="str">
        <x:v>M3-BASE-167</x:v>
      </x:c>
      <x:c r="B171" s="32" t="str">
        <x:v>主气旺而平衡｜自然调用</x:v>
      </x:c>
      <x:c r="C171" s="32" t="str">
        <x:v>L6 状态切换</x:v>
      </x:c>
      <x:c r="D171" s="32" t="str">
        <x:v>BASE-状态修正</x:v>
      </x:c>
      <x:c r="E171" s="32" t="str">
        <x:v>通用</x:v>
      </x:c>
      <x:c r="F171" s="32" t="str">
        <x:v>修正</x:v>
      </x:c>
      <x:c r="G171" s="32" t="str">
        <x:v>日支主气</x:v>
      </x:c>
      <x:c r="H171" s="32" t="str">
        <x:v>旺而有序</x:v>
      </x:c>
      <x:c r="I171" s="32" t="str">
        <x:v>主气有效、力量较足且不过度失衡；制化和承载基本可用。</x:v>
      </x:c>
      <x:c r="J171" s="32" t="str">
        <x:v>主气过旺失衡或真合化。</x:v>
      </x:c>
      <x:c r="K171" s="32" t="str">
        <x:v>不限定；由后续模块修正</x:v>
      </x:c>
      <x:c r="L171" s="32" t="str">
        <x:v>不限定</x:v>
      </x:c>
      <x:c r="M171" s="32" t="str">
        <x:v>日支底盘及全局状态</x:v>
      </x:c>
      <x:c r="N171" s="32" t="str">
        <x:v>无／待后续模块组合</x:v>
      </x:c>
      <x:c r="O171" s="32" t="str">
        <x:v>日支＋全局同类信号</x:v>
      </x:c>
      <x:c r="P171" s="32" t="str">
        <x:v>由共享基础引擎判定</x:v>
      </x:c>
      <x:c r="Q171" s="32" t="str">
        <x:v>由共享基础引擎判定</x:v>
      </x:c>
      <x:c r="R171" s="32" t="str">
        <x:v>喜忌未定或由共享引擎提供</x:v>
      </x:c>
      <x:c r="S171" s="32" t="str">
        <x:v>原十神性质有效；无真合化或已完成相应路由</x:v>
      </x:c>
      <x:c r="T171" s="32" t="str">
        <x:v>近</x:v>
      </x:c>
      <x:c r="U171" s="32" t="n">
        <x:v>80</x:v>
      </x:c>
      <x:c r="V171" s="32" t="str">
        <x:v>稳定度+8；外显度+5</x:v>
      </x:c>
      <x:c r="W171" s="32" t="str">
        <x:v>relationship_baseline</x:v>
      </x:c>
      <x:c r="X171" s="32" t="str">
        <x:v>旺而平衡表示该通道较容易被自然调用、重复出现，不等于更好或更适配。</x:v>
      </x:c>
      <x:c r="Y171" s="32" t="str">
        <x:v>这套相处方式通常较容易被你自然使用，也较容易在关系中持续出现。</x:v>
      </x:c>
      <x:c r="Z171" s="32" t="str">
        <x:v>不得把旺而平衡直接等同成熟人格或幸福关系。 本规则不单独判断关系结果。</x:v>
      </x:c>
      <x:c r="AA171" s="32" t="str">
        <x:v>中高</x:v>
      </x:c>
      <x:c r="AB171" s="32" t="str">
        <x:v>待验证</x:v>
      </x:c>
      <x:c r="AC171" s="32" t="str"/>
      <x:c r="AD171" s="32" t="str">
        <x:v>provisional=true; state_modifier=true; shared_engine_required=true</x:v>
      </x:c>
      <x:c r="AE171" s="39" t="str">
        <x:v>0.2</x:v>
      </x:c>
    </x:row>
    <x:row r="172">
      <x:c r="A172" s="38" t="str">
        <x:v>M3-BASE-168</x:v>
      </x:c>
      <x:c r="B172" s="32" t="str">
        <x:v>主气过旺失衡｜抢先启动</x:v>
      </x:c>
      <x:c r="C172" s="32" t="str">
        <x:v>L6 状态切换</x:v>
      </x:c>
      <x:c r="D172" s="32" t="str">
        <x:v>BASE-状态修正</x:v>
      </x:c>
      <x:c r="E172" s="32" t="str">
        <x:v>通用</x:v>
      </x:c>
      <x:c r="F172" s="32" t="str">
        <x:v>修正</x:v>
      </x:c>
      <x:c r="G172" s="32" t="str">
        <x:v>日支主气</x:v>
      </x:c>
      <x:c r="H172" s="32" t="str">
        <x:v>过旺失衡</x:v>
      </x:c>
      <x:c r="I172" s="32" t="str">
        <x:v>主气明显过旺或缺乏有效调节；原性质仍在。</x:v>
      </x:c>
      <x:c r="J172" s="32" t="str">
        <x:v>旺而有序；真合化。</x:v>
      </x:c>
      <x:c r="K172" s="32" t="str">
        <x:v>不限定；由后续模块修正</x:v>
      </x:c>
      <x:c r="L172" s="32" t="str">
        <x:v>不限定</x:v>
      </x:c>
      <x:c r="M172" s="32" t="str">
        <x:v>日支底盘及全局状态</x:v>
      </x:c>
      <x:c r="N172" s="32" t="str">
        <x:v>无／待后续模块组合</x:v>
      </x:c>
      <x:c r="O172" s="32" t="str">
        <x:v>日支＋全局同类信号</x:v>
      </x:c>
      <x:c r="P172" s="32" t="str">
        <x:v>由共享基础引擎判定</x:v>
      </x:c>
      <x:c r="Q172" s="32" t="str">
        <x:v>由共享基础引擎判定</x:v>
      </x:c>
      <x:c r="R172" s="32" t="str">
        <x:v>喜忌未定或由共享引擎提供</x:v>
      </x:c>
      <x:c r="S172" s="32" t="str">
        <x:v>原十神性质有效；无真合化或已完成相应路由</x:v>
      </x:c>
      <x:c r="T172" s="32" t="str">
        <x:v>近</x:v>
      </x:c>
      <x:c r="U172" s="32" t="n">
        <x:v>80</x:v>
      </x:c>
      <x:c r="V172" s="32" t="str">
        <x:v>主通道优先级+6；压力切换候选+6</x:v>
      </x:c>
      <x:c r="W172" s="32" t="str">
        <x:v>stress_shift</x:v>
      </x:c>
      <x:c r="X172" s="32" t="str">
        <x:v>过旺不直接判坏，而表示该通道在关系中更容易抢先启动、占据较多处理空间。</x:v>
      </x:c>
      <x:c r="Y172" s="32" t="str">
        <x:v>这套相处方式可能在关系里更快、更强地被启动，尤其在压力增加时更明显。</x:v>
      </x:c>
      <x:c r="Z172" s="32" t="str">
        <x:v>不得直接推出控制、冷漠、挑剔、依赖等风险标签；风险交M4。 本规则不单独判断关系结果。</x:v>
      </x:c>
      <x:c r="AA172" s="32" t="str">
        <x:v>中</x:v>
      </x:c>
      <x:c r="AB172" s="32" t="str">
        <x:v>待验证</x:v>
      </x:c>
      <x:c r="AC172" s="32" t="str"/>
      <x:c r="AD172" s="32" t="str">
        <x:v>provisional=true; state_modifier=true; shared_engine_required=true</x:v>
      </x:c>
      <x:c r="AE172" s="39" t="str">
        <x:v>0.2</x:v>
      </x:c>
    </x:row>
    <x:row r="173">
      <x:c r="A173" s="38" t="str">
        <x:v>M3-BASE-169</x:v>
      </x:c>
      <x:c r="B173" s="32" t="str">
        <x:v>主气中和｜稳定候选</x:v>
      </x:c>
      <x:c r="C173" s="32" t="str">
        <x:v>L6 状态切换</x:v>
      </x:c>
      <x:c r="D173" s="32" t="str">
        <x:v>BASE-状态修正</x:v>
      </x:c>
      <x:c r="E173" s="32" t="str">
        <x:v>通用</x:v>
      </x:c>
      <x:c r="F173" s="32" t="str">
        <x:v>修正</x:v>
      </x:c>
      <x:c r="G173" s="32" t="str">
        <x:v>日支主气</x:v>
      </x:c>
      <x:c r="H173" s="32" t="str">
        <x:v>中和</x:v>
      </x:c>
      <x:c r="I173" s="32" t="str">
        <x:v>主气有效且力量中等；无明显极端。</x:v>
      </x:c>
      <x:c r="J173" s="32" t="str">
        <x:v>主气弱无支持或过旺失衡。</x:v>
      </x:c>
      <x:c r="K173" s="32" t="str">
        <x:v>不限定；由后续模块修正</x:v>
      </x:c>
      <x:c r="L173" s="32" t="str">
        <x:v>不限定</x:v>
      </x:c>
      <x:c r="M173" s="32" t="str">
        <x:v>日支底盘及全局状态</x:v>
      </x:c>
      <x:c r="N173" s="32" t="str">
        <x:v>无／待后续模块组合</x:v>
      </x:c>
      <x:c r="O173" s="32" t="str">
        <x:v>日支＋全局同类信号</x:v>
      </x:c>
      <x:c r="P173" s="32" t="str">
        <x:v>由共享基础引擎判定</x:v>
      </x:c>
      <x:c r="Q173" s="32" t="str">
        <x:v>由共享基础引擎判定</x:v>
      </x:c>
      <x:c r="R173" s="32" t="str">
        <x:v>喜忌未定或由共享引擎提供</x:v>
      </x:c>
      <x:c r="S173" s="32" t="str">
        <x:v>原十神性质有效；无真合化或已完成相应路由</x:v>
      </x:c>
      <x:c r="T173" s="32" t="str">
        <x:v>近</x:v>
      </x:c>
      <x:c r="U173" s="32" t="n">
        <x:v>80</x:v>
      </x:c>
      <x:c r="V173" s="32" t="str">
        <x:v>稳定度+5</x:v>
      </x:c>
      <x:c r="W173" s="32" t="str">
        <x:v>relationship_baseline</x:v>
      </x:c>
      <x:c r="X173" s="32" t="str">
        <x:v>中和状态通常支持较可调用、较有弹性的底盘，但仍需看通道是否有出口和后续流转。</x:v>
      </x:c>
      <x:c r="Y173" s="32" t="str">
        <x:v>这套相处方式较可能以相对稳定、不过度夸张的形式出现。</x:v>
      </x:c>
      <x:c r="Z173" s="32" t="str">
        <x:v>不得把中和写成完美平衡或没有矛盾。 本规则不单独判断关系结果。</x:v>
      </x:c>
      <x:c r="AA173" s="32" t="str">
        <x:v>中</x:v>
      </x:c>
      <x:c r="AB173" s="32" t="str">
        <x:v>待验证</x:v>
      </x:c>
      <x:c r="AC173" s="32" t="str"/>
      <x:c r="AD173" s="32" t="str">
        <x:v>provisional=true; state_modifier=true; shared_engine_required=true</x:v>
      </x:c>
      <x:c r="AE173" s="39" t="str">
        <x:v>0.2</x:v>
      </x:c>
    </x:row>
    <x:row r="174">
      <x:c r="A174" s="38" t="str">
        <x:v>M3-BASE-170</x:v>
      </x:c>
      <x:c r="B174" s="32" t="str">
        <x:v>主气偏弱但有支持｜条件性调用</x:v>
      </x:c>
      <x:c r="C174" s="32" t="str">
        <x:v>L6 状态切换</x:v>
      </x:c>
      <x:c r="D174" s="32" t="str">
        <x:v>BASE-状态修正</x:v>
      </x:c>
      <x:c r="E174" s="32" t="str">
        <x:v>通用</x:v>
      </x:c>
      <x:c r="F174" s="32" t="str">
        <x:v>修正</x:v>
      </x:c>
      <x:c r="G174" s="32" t="str">
        <x:v>日支主气</x:v>
      </x:c>
      <x:c r="H174" s="32" t="str">
        <x:v>弱而有助</x:v>
      </x:c>
      <x:c r="I174" s="32" t="str">
        <x:v>主气偏弱，但有透出、根气、生助或近位独立支持。</x:v>
      </x:c>
      <x:c r="J174" s="32" t="str">
        <x:v>支持均同源且无效；真合化。</x:v>
      </x:c>
      <x:c r="K174" s="32" t="str">
        <x:v>不限定；由后续模块修正</x:v>
      </x:c>
      <x:c r="L174" s="32" t="str">
        <x:v>不限定</x:v>
      </x:c>
      <x:c r="M174" s="32" t="str">
        <x:v>日支底盘及全局状态</x:v>
      </x:c>
      <x:c r="N174" s="32" t="str">
        <x:v>无／待后续模块组合</x:v>
      </x:c>
      <x:c r="O174" s="32" t="str">
        <x:v>日支＋全局同类信号</x:v>
      </x:c>
      <x:c r="P174" s="32" t="str">
        <x:v>由共享基础引擎判定</x:v>
      </x:c>
      <x:c r="Q174" s="32" t="str">
        <x:v>由共享基础引擎判定</x:v>
      </x:c>
      <x:c r="R174" s="32" t="str">
        <x:v>喜忌未定或由共享引擎提供</x:v>
      </x:c>
      <x:c r="S174" s="32" t="str">
        <x:v>原十神性质有效；无真合化或已完成相应路由</x:v>
      </x:c>
      <x:c r="T174" s="32" t="str">
        <x:v>近</x:v>
      </x:c>
      <x:c r="U174" s="32" t="n">
        <x:v>80</x:v>
      </x:c>
      <x:c r="V174" s="32" t="str">
        <x:v>底盘保留；置信度-1级；情境性+5</x:v>
      </x:c>
      <x:c r="W174" s="32" t="str">
        <x:v>relationship_baseline</x:v>
      </x:c>
      <x:c r="X174" s="32" t="str">
        <x:v>弱而有助表示该通道并非持续外显，但在关系条件合适时仍可稳定调用。</x:v>
      </x:c>
      <x:c r="Y174" s="32" t="str">
        <x:v>这套相处方式会在特定关系条件或对方回应到位时更明显。</x:v>
      </x:c>
      <x:c r="Z174" s="32" t="str">
        <x:v>不得把弱而有助解释为伪装或不真诚。 本规则不单独判断关系结果。</x:v>
      </x:c>
      <x:c r="AA174" s="32" t="str">
        <x:v>中</x:v>
      </x:c>
      <x:c r="AB174" s="32" t="str">
        <x:v>待验证</x:v>
      </x:c>
      <x:c r="AC174" s="32" t="str"/>
      <x:c r="AD174" s="32" t="str">
        <x:v>provisional=true; state_modifier=true; shared_engine_required=true</x:v>
      </x:c>
      <x:c r="AE174" s="39" t="str">
        <x:v>0.2</x:v>
      </x:c>
    </x:row>
    <x:row r="175">
      <x:c r="A175" s="38" t="str">
        <x:v>M3-BASE-171</x:v>
      </x:c>
      <x:c r="B175" s="32" t="str">
        <x:v>主气偏弱且无支持｜低置信底盘</x:v>
      </x:c>
      <x:c r="C175" s="32" t="str">
        <x:v>L8 总合成与边界审查</x:v>
      </x:c>
      <x:c r="D175" s="32" t="str">
        <x:v>BASE-状态修正</x:v>
      </x:c>
      <x:c r="E175" s="32" t="str">
        <x:v>通用</x:v>
      </x:c>
      <x:c r="F175" s="32" t="str">
        <x:v>修正</x:v>
      </x:c>
      <x:c r="G175" s="32" t="str">
        <x:v>日支主气</x:v>
      </x:c>
      <x:c r="H175" s="32" t="str">
        <x:v>弱而无助</x:v>
      </x:c>
      <x:c r="I175" s="32" t="str">
        <x:v>主气偏弱；无透出、独立根气或有效生助；原性质未真化。</x:v>
      </x:c>
      <x:c r="J175" s="32" t="str">
        <x:v>存在可靠支持。</x:v>
      </x:c>
      <x:c r="K175" s="32" t="str">
        <x:v>不限定；由后续模块修正</x:v>
      </x:c>
      <x:c r="L175" s="32" t="str">
        <x:v>不限定</x:v>
      </x:c>
      <x:c r="M175" s="32" t="str">
        <x:v>日支底盘及全局状态</x:v>
      </x:c>
      <x:c r="N175" s="32" t="str">
        <x:v>无／待后续模块组合</x:v>
      </x:c>
      <x:c r="O175" s="32" t="str">
        <x:v>日支＋全局同类信号</x:v>
      </x:c>
      <x:c r="P175" s="32" t="str">
        <x:v>由共享基础引擎判定</x:v>
      </x:c>
      <x:c r="Q175" s="32" t="str">
        <x:v>由共享基础引擎判定</x:v>
      </x:c>
      <x:c r="R175" s="32" t="str">
        <x:v>喜忌未定或由共享引擎提供</x:v>
      </x:c>
      <x:c r="S175" s="32" t="str">
        <x:v>原十神性质有效；无真合化或已完成相应路由</x:v>
      </x:c>
      <x:c r="T175" s="32" t="str">
        <x:v>近</x:v>
      </x:c>
      <x:c r="U175" s="32" t="n">
        <x:v>80</x:v>
      </x:c>
      <x:c r="V175" s="32" t="str">
        <x:v>主底盘-10；confidence中低</x:v>
      </x:c>
      <x:c r="W175" s="32" t="str">
        <x:v>confidence</x:v>
      </x:c>
      <x:c r="X175" s="32" t="str">
        <x:v>日支位置仍保留底盘意义，但现实重复性和外显度不足，用户正文必须降级。</x:v>
      </x:c>
      <x:c r="Y175" s="32" t="str">
        <x:v>这仍可能是关系中的内在主题，但目前不足以写成稳定、高频的相处习惯。</x:v>
      </x:c>
      <x:c r="Z175" s="32" t="str">
        <x:v>不得用日支位置强行维持高置信。 本规则不单独判断关系结果。</x:v>
      </x:c>
      <x:c r="AA175" s="32" t="str">
        <x:v>中低</x:v>
      </x:c>
      <x:c r="AB175" s="32" t="str">
        <x:v>待验证</x:v>
      </x:c>
      <x:c r="AC175" s="32" t="str"/>
      <x:c r="AD175" s="32" t="str">
        <x:v>provisional=true; state_modifier=true; shared_engine_required=true</x:v>
      </x:c>
      <x:c r="AE175" s="39" t="str">
        <x:v>0.2</x:v>
      </x:c>
    </x:row>
    <x:row r="176">
      <x:c r="A176" s="38" t="str">
        <x:v>M3-BASE-172</x:v>
      </x:c>
      <x:c r="B176" s="32" t="str">
        <x:v>同类十神透干｜外显加强</x:v>
      </x:c>
      <x:c r="C176" s="32" t="str">
        <x:v>L6 状态切换</x:v>
      </x:c>
      <x:c r="D176" s="32" t="str">
        <x:v>BASE-状态修正</x:v>
      </x:c>
      <x:c r="E176" s="32" t="str">
        <x:v>通用</x:v>
      </x:c>
      <x:c r="F176" s="32" t="str">
        <x:v>修正</x:v>
      </x:c>
      <x:c r="G176" s="32" t="str">
        <x:v>日支通道</x:v>
      </x:c>
      <x:c r="H176" s="32" t="str">
        <x:v>同类透干</x:v>
      </x:c>
      <x:c r="I176" s="32" t="str">
        <x:v>同类十神在天干有效透出；与日支形成根气或结构联系。</x:v>
      </x:c>
      <x:c r="J176" s="32" t="str">
        <x:v>透出无根、受损或十神未定。</x:v>
      </x:c>
      <x:c r="K176" s="32" t="str">
        <x:v>不限定；由后续模块修正</x:v>
      </x:c>
      <x:c r="L176" s="32" t="str">
        <x:v>不限定</x:v>
      </x:c>
      <x:c r="M176" s="32" t="str">
        <x:v>日支底盘及全局状态</x:v>
      </x:c>
      <x:c r="N176" s="32" t="str">
        <x:v>无／待后续模块组合</x:v>
      </x:c>
      <x:c r="O176" s="32" t="str">
        <x:v>日支＋全局同类信号</x:v>
      </x:c>
      <x:c r="P176" s="32" t="str">
        <x:v>由共享基础引擎判定</x:v>
      </x:c>
      <x:c r="Q176" s="32" t="str">
        <x:v>由共享基础引擎判定</x:v>
      </x:c>
      <x:c r="R176" s="32" t="str">
        <x:v>喜忌未定或由共享引擎提供</x:v>
      </x:c>
      <x:c r="S176" s="32" t="str">
        <x:v>原十神性质有效；无真合化或已完成相应路由</x:v>
      </x:c>
      <x:c r="T176" s="32" t="str">
        <x:v>近</x:v>
      </x:c>
      <x:c r="U176" s="32" t="n">
        <x:v>80</x:v>
      </x:c>
      <x:c r="V176" s="32" t="str">
        <x:v>外显度+8；同源簇封顶</x:v>
      </x:c>
      <x:c r="W176" s="32" t="str">
        <x:v>relationship_baseline</x:v>
      </x:c>
      <x:c r="X176" s="32" t="str">
        <x:v>透干使底盘通道更容易通过可观察行为表达；与日支同根时只算外显修正。</x:v>
      </x:c>
      <x:c r="Y176" s="32" t="str">
        <x:v>这套相处方式更容易被对方直接感受到，而不只存在于你的内在关系需求中。</x:v>
      </x:c>
      <x:c r="Z176" s="32" t="str">
        <x:v>不得重复计算藏干与透干。 本规则不单独判断关系结果。</x:v>
      </x:c>
      <x:c r="AA176" s="32" t="str">
        <x:v>中高</x:v>
      </x:c>
      <x:c r="AB176" s="32" t="str">
        <x:v>待验证</x:v>
      </x:c>
      <x:c r="AC176" s="32" t="str"/>
      <x:c r="AD176" s="32" t="str">
        <x:v>provisional=true; state_modifier=true; shared_engine_required=true</x:v>
      </x:c>
      <x:c r="AE176" s="39" t="str">
        <x:v>0.2</x:v>
      </x:c>
    </x:row>
    <x:row r="177">
      <x:c r="A177" s="38" t="str">
        <x:v>M3-BASE-173</x:v>
      </x:c>
      <x:c r="B177" s="32" t="str">
        <x:v>仅藏支无透｜关系内部显现</x:v>
      </x:c>
      <x:c r="C177" s="32" t="str">
        <x:v>L6 状态切换</x:v>
      </x:c>
      <x:c r="D177" s="32" t="str">
        <x:v>BASE-状态修正</x:v>
      </x:c>
      <x:c r="E177" s="32" t="str">
        <x:v>通用</x:v>
      </x:c>
      <x:c r="F177" s="32" t="str">
        <x:v>修正</x:v>
      </x:c>
      <x:c r="G177" s="32" t="str">
        <x:v>日支通道</x:v>
      </x:c>
      <x:c r="H177" s="32" t="str">
        <x:v>仅藏</x:v>
      </x:c>
      <x:c r="I177" s="32" t="str">
        <x:v>通道只在地支尤其日支内部存在；无可靠同类透干。</x:v>
      </x:c>
      <x:c r="J177" s="32" t="str">
        <x:v>存在明显外显支持。</x:v>
      </x:c>
      <x:c r="K177" s="32" t="str">
        <x:v>不限定；由后续模块修正</x:v>
      </x:c>
      <x:c r="L177" s="32" t="str">
        <x:v>不限定</x:v>
      </x:c>
      <x:c r="M177" s="32" t="str">
        <x:v>日支底盘及全局状态</x:v>
      </x:c>
      <x:c r="N177" s="32" t="str">
        <x:v>无／待后续模块组合</x:v>
      </x:c>
      <x:c r="O177" s="32" t="str">
        <x:v>日支＋全局同类信号</x:v>
      </x:c>
      <x:c r="P177" s="32" t="str">
        <x:v>由共享基础引擎判定</x:v>
      </x:c>
      <x:c r="Q177" s="32" t="str">
        <x:v>由共享基础引擎判定</x:v>
      </x:c>
      <x:c r="R177" s="32" t="str">
        <x:v>喜忌未定或由共享引擎提供</x:v>
      </x:c>
      <x:c r="S177" s="32" t="str">
        <x:v>原十神性质有效；无真合化或已完成相应路由</x:v>
      </x:c>
      <x:c r="T177" s="32" t="str">
        <x:v>近</x:v>
      </x:c>
      <x:c r="U177" s="32" t="n">
        <x:v>80</x:v>
      </x:c>
      <x:c r="V177" s="32" t="str">
        <x:v>外显度-5；关系内特异性+5</x:v>
      </x:c>
      <x:c r="W177" s="32" t="str">
        <x:v>relationship_baseline</x:v>
      </x:c>
      <x:c r="X177" s="32" t="str">
        <x:v>仅藏表示该方式更可能在亲密、熟悉或私下情境出现，不等于缺失。</x:v>
      </x:c>
      <x:c r="Y177" s="32" t="str">
        <x:v>这种相处方式可能在真正亲近后才更明显，在一般人际中未必同样外显。</x:v>
      </x:c>
      <x:c r="Z177" s="32" t="str">
        <x:v>不得把仅藏解释为压抑、虚假或秘密行为。 本规则不单独判断关系结果。</x:v>
      </x:c>
      <x:c r="AA177" s="32" t="str">
        <x:v>中</x:v>
      </x:c>
      <x:c r="AB177" s="32" t="str">
        <x:v>待验证</x:v>
      </x:c>
      <x:c r="AC177" s="32" t="str"/>
      <x:c r="AD177" s="32" t="str">
        <x:v>provisional=true; state_modifier=true; shared_engine_required=true</x:v>
      </x:c>
      <x:c r="AE177" s="39" t="str">
        <x:v>0.2</x:v>
      </x:c>
    </x:row>
    <x:row r="178">
      <x:c r="A178" s="38" t="str">
        <x:v>M3-BASE-174</x:v>
      </x:c>
      <x:c r="B178" s="32" t="str">
        <x:v>有根｜重复性加强</x:v>
      </x:c>
      <x:c r="C178" s="32" t="str">
        <x:v>L6 状态切换</x:v>
      </x:c>
      <x:c r="D178" s="32" t="str">
        <x:v>BASE-状态修正</x:v>
      </x:c>
      <x:c r="E178" s="32" t="str">
        <x:v>通用</x:v>
      </x:c>
      <x:c r="F178" s="32" t="str">
        <x:v>修正</x:v>
      </x:c>
      <x:c r="G178" s="32" t="str">
        <x:v>主通道</x:v>
      </x:c>
      <x:c r="H178" s="32" t="str">
        <x:v>有根</x:v>
      </x:c>
      <x:c r="I178" s="32" t="str">
        <x:v>对应十神或五行获得可靠根气；根气未被真化。</x:v>
      </x:c>
      <x:c r="J178" s="32" t="str">
        <x:v>根气争议或完全失效。</x:v>
      </x:c>
      <x:c r="K178" s="32" t="str">
        <x:v>不限定；由后续模块修正</x:v>
      </x:c>
      <x:c r="L178" s="32" t="str">
        <x:v>不限定</x:v>
      </x:c>
      <x:c r="M178" s="32" t="str">
        <x:v>日支底盘及全局状态</x:v>
      </x:c>
      <x:c r="N178" s="32" t="str">
        <x:v>无／待后续模块组合</x:v>
      </x:c>
      <x:c r="O178" s="32" t="str">
        <x:v>日支＋全局同类信号</x:v>
      </x:c>
      <x:c r="P178" s="32" t="str">
        <x:v>由共享基础引擎判定</x:v>
      </x:c>
      <x:c r="Q178" s="32" t="str">
        <x:v>由共享基础引擎判定</x:v>
      </x:c>
      <x:c r="R178" s="32" t="str">
        <x:v>喜忌未定或由共享引擎提供</x:v>
      </x:c>
      <x:c r="S178" s="32" t="str">
        <x:v>原十神性质有效；无真合化或已完成相应路由</x:v>
      </x:c>
      <x:c r="T178" s="32" t="str">
        <x:v>近</x:v>
      </x:c>
      <x:c r="U178" s="32" t="n">
        <x:v>80</x:v>
      </x:c>
      <x:c r="V178" s="32" t="str">
        <x:v>稳定度+7</x:v>
      </x:c>
      <x:c r="W178" s="32" t="str">
        <x:v>relationship_baseline</x:v>
      </x:c>
      <x:c r="X178" s="32" t="str">
        <x:v>有根提高互动通道在不同情境中的重复性和承载力，不等于更优。</x:v>
      </x:c>
      <x:c r="Y178" s="32" t="str">
        <x:v>这套相处方式较容易反复出现，并形成较稳定的关系习惯。</x:v>
      </x:c>
      <x:c r="Z178" s="32" t="str">
        <x:v>不得把有根等同关系稳定或人格成熟。 本规则不单独判断关系结果。</x:v>
      </x:c>
      <x:c r="AA178" s="32" t="str">
        <x:v>中高</x:v>
      </x:c>
      <x:c r="AB178" s="32" t="str">
        <x:v>待验证</x:v>
      </x:c>
      <x:c r="AC178" s="32" t="str"/>
      <x:c r="AD178" s="32" t="str">
        <x:v>provisional=true; state_modifier=true; shared_engine_required=true</x:v>
      </x:c>
      <x:c r="AE178" s="39" t="str">
        <x:v>0.2</x:v>
      </x:c>
    </x:row>
    <x:row r="179">
      <x:c r="A179" s="38" t="str">
        <x:v>M3-BASE-175</x:v>
      </x:c>
      <x:c r="B179" s="32" t="str">
        <x:v>无根｜外显持续性降低</x:v>
      </x:c>
      <x:c r="C179" s="32" t="str">
        <x:v>L6 状态切换</x:v>
      </x:c>
      <x:c r="D179" s="32" t="str">
        <x:v>BASE-状态修正</x:v>
      </x:c>
      <x:c r="E179" s="32" t="str">
        <x:v>通用</x:v>
      </x:c>
      <x:c r="F179" s="32" t="str">
        <x:v>修正</x:v>
      </x:c>
      <x:c r="G179" s="32" t="str">
        <x:v>主通道</x:v>
      </x:c>
      <x:c r="H179" s="32" t="str">
        <x:v>无根</x:v>
      </x:c>
      <x:c r="I179" s="32" t="str">
        <x:v>对应十神透出但无可靠根气，或全局缺乏承载。</x:v>
      </x:c>
      <x:c r="J179" s="32" t="str">
        <x:v>存在可靠根气。</x:v>
      </x:c>
      <x:c r="K179" s="32" t="str">
        <x:v>不限定；由后续模块修正</x:v>
      </x:c>
      <x:c r="L179" s="32" t="str">
        <x:v>不限定</x:v>
      </x:c>
      <x:c r="M179" s="32" t="str">
        <x:v>日支底盘及全局状态</x:v>
      </x:c>
      <x:c r="N179" s="32" t="str">
        <x:v>无／待后续模块组合</x:v>
      </x:c>
      <x:c r="O179" s="32" t="str">
        <x:v>日支＋全局同类信号</x:v>
      </x:c>
      <x:c r="P179" s="32" t="str">
        <x:v>由共享基础引擎判定</x:v>
      </x:c>
      <x:c r="Q179" s="32" t="str">
        <x:v>由共享基础引擎判定</x:v>
      </x:c>
      <x:c r="R179" s="32" t="str">
        <x:v>喜忌未定或由共享引擎提供</x:v>
      </x:c>
      <x:c r="S179" s="32" t="str">
        <x:v>原十神性质有效；无真合化或已完成相应路由</x:v>
      </x:c>
      <x:c r="T179" s="32" t="str">
        <x:v>近</x:v>
      </x:c>
      <x:c r="U179" s="32" t="n">
        <x:v>80</x:v>
      </x:c>
      <x:c r="V179" s="32" t="str">
        <x:v>稳定度-6；事件性+4</x:v>
      </x:c>
      <x:c r="W179" s="32" t="str">
        <x:v>relationship_baseline</x:v>
      </x:c>
      <x:c r="X179" s="32" t="str">
        <x:v>无根信号可能在特定情境明显，但不宜直接写成长期、持续、跨场景的固定习惯。</x:v>
      </x:c>
      <x:c r="Y179" s="32" t="str">
        <x:v>这项相处方式可能在某些情境下很明显，但未必长期保持同样强度。</x:v>
      </x:c>
      <x:c r="Z179" s="32" t="str">
        <x:v>不得把无根解释为虚假或完全不存在。 本规则不单独判断关系结果。</x:v>
      </x:c>
      <x:c r="AA179" s="32" t="str">
        <x:v>中低</x:v>
      </x:c>
      <x:c r="AB179" s="32" t="str">
        <x:v>待验证</x:v>
      </x:c>
      <x:c r="AC179" s="32" t="str"/>
      <x:c r="AD179" s="32" t="str">
        <x:v>provisional=true; state_modifier=true; shared_engine_required=true</x:v>
      </x:c>
      <x:c r="AE179" s="39" t="str">
        <x:v>0.2</x:v>
      </x:c>
    </x:row>
    <x:row r="180">
      <x:c r="A180" s="38" t="str">
        <x:v>M3-BASE-176</x:v>
      </x:c>
      <x:c r="B180" s="32" t="str">
        <x:v>日柱近位支持｜关系特异性加强</x:v>
      </x:c>
      <x:c r="C180" s="32" t="str">
        <x:v>L6 状态切换</x:v>
      </x:c>
      <x:c r="D180" s="32" t="str">
        <x:v>BASE-状态修正</x:v>
      </x:c>
      <x:c r="E180" s="32" t="str">
        <x:v>通用</x:v>
      </x:c>
      <x:c r="F180" s="32" t="str">
        <x:v>修正</x:v>
      </x:c>
      <x:c r="G180" s="32" t="str">
        <x:v>近位同类信号</x:v>
      </x:c>
      <x:c r="H180" s="32" t="str">
        <x:v>日柱附近</x:v>
      </x:c>
      <x:c r="I180" s="32" t="str">
        <x:v>同类或相关通道位于日干、日支、时干或月干等关系核心附近并有效。</x:v>
      </x:c>
      <x:c r="J180" s="32" t="str">
        <x:v>信号弱远、受损或同源重复未去重。</x:v>
      </x:c>
      <x:c r="K180" s="32" t="str">
        <x:v>不限定；由后续模块修正</x:v>
      </x:c>
      <x:c r="L180" s="32" t="str">
        <x:v>不限定</x:v>
      </x:c>
      <x:c r="M180" s="32" t="str">
        <x:v>日支底盘及全局状态</x:v>
      </x:c>
      <x:c r="N180" s="32" t="str">
        <x:v>无／待后续模块组合</x:v>
      </x:c>
      <x:c r="O180" s="32" t="str">
        <x:v>日支＋全局同类信号</x:v>
      </x:c>
      <x:c r="P180" s="32" t="str">
        <x:v>由共享基础引擎判定</x:v>
      </x:c>
      <x:c r="Q180" s="32" t="str">
        <x:v>由共享基础引擎判定</x:v>
      </x:c>
      <x:c r="R180" s="32" t="str">
        <x:v>喜忌未定或由共享引擎提供</x:v>
      </x:c>
      <x:c r="S180" s="32" t="str">
        <x:v>原十神性质有效；无真合化或已完成相应路由</x:v>
      </x:c>
      <x:c r="T180" s="32" t="str">
        <x:v>近</x:v>
      </x:c>
      <x:c r="U180" s="32" t="n">
        <x:v>80</x:v>
      </x:c>
      <x:c r="V180" s="32" t="str">
        <x:v>关系特异性+6</x:v>
      </x:c>
      <x:c r="W180" s="32" t="str">
        <x:v>relationship_baseline</x:v>
      </x:c>
      <x:c r="X180" s="32" t="str">
        <x:v>近位信号更容易直接参与亲密互动，但仍需与全局强弱共同判断。</x:v>
      </x:c>
      <x:c r="Y180" s="32" t="str">
        <x:v>这套方式在亲密关系里会比在其他场合更容易被启动。</x:v>
      </x:c>
      <x:c r="Z180" s="32" t="str">
        <x:v>不得把近位等同绝对主导。 本规则不单独判断关系结果。</x:v>
      </x:c>
      <x:c r="AA180" s="32" t="str">
        <x:v>中</x:v>
      </x:c>
      <x:c r="AB180" s="32" t="str">
        <x:v>待验证</x:v>
      </x:c>
      <x:c r="AC180" s="32" t="str"/>
      <x:c r="AD180" s="32" t="str">
        <x:v>provisional=true; state_modifier=true; shared_engine_required=true</x:v>
      </x:c>
      <x:c r="AE180" s="39" t="str">
        <x:v>0.2</x:v>
      </x:c>
    </x:row>
    <x:row r="181">
      <x:c r="A181" s="38" t="str">
        <x:v>M3-BASE-177</x:v>
      </x:c>
      <x:c r="B181" s="32" t="str">
        <x:v>远位支持｜只作背景</x:v>
      </x:c>
      <x:c r="C181" s="32" t="str">
        <x:v>L8 总合成与边界审查</x:v>
      </x:c>
      <x:c r="D181" s="32" t="str">
        <x:v>BASE-状态修正</x:v>
      </x:c>
      <x:c r="E181" s="32" t="str">
        <x:v>通用</x:v>
      </x:c>
      <x:c r="F181" s="32" t="str">
        <x:v>修正</x:v>
      </x:c>
      <x:c r="G181" s="32" t="str">
        <x:v>远位同类信号</x:v>
      </x:c>
      <x:c r="H181" s="32" t="str">
        <x:v>年柱或远位</x:v>
      </x:c>
      <x:c r="I181" s="32" t="str">
        <x:v>同类信号位于远位且未与日支形成直接流向或根气。</x:v>
      </x:c>
      <x:c r="J181" s="32" t="str">
        <x:v>远位信号有明确强根、流向或阶段触发。</x:v>
      </x:c>
      <x:c r="K181" s="32" t="str">
        <x:v>不限定；由后续模块修正</x:v>
      </x:c>
      <x:c r="L181" s="32" t="str">
        <x:v>不限定</x:v>
      </x:c>
      <x:c r="M181" s="32" t="str">
        <x:v>日支底盘及全局状态</x:v>
      </x:c>
      <x:c r="N181" s="32" t="str">
        <x:v>无／待后续模块组合</x:v>
      </x:c>
      <x:c r="O181" s="32" t="str">
        <x:v>日支＋全局同类信号</x:v>
      </x:c>
      <x:c r="P181" s="32" t="str">
        <x:v>由共享基础引擎判定</x:v>
      </x:c>
      <x:c r="Q181" s="32" t="str">
        <x:v>由共享基础引擎判定</x:v>
      </x:c>
      <x:c r="R181" s="32" t="str">
        <x:v>喜忌未定或由共享引擎提供</x:v>
      </x:c>
      <x:c r="S181" s="32" t="str">
        <x:v>原十神性质有效；无真合化或已完成相应路由</x:v>
      </x:c>
      <x:c r="T181" s="32" t="str">
        <x:v>近</x:v>
      </x:c>
      <x:c r="U181" s="32" t="n">
        <x:v>80</x:v>
      </x:c>
      <x:c r="V181" s="32" t="str">
        <x:v>背景+2；不得定核心</x:v>
      </x:c>
      <x:c r="W181" s="32" t="str">
        <x:v>basis_summary</x:v>
      </x:c>
      <x:c r="X181" s="32" t="str">
        <x:v>远位信号可提供成长背景或外部风格，但不能轻易覆盖日支底盘。</x:v>
      </x:c>
      <x:c r="Y181" s="32" t="str">
        <x:v>这一信号更多作为背景补充，不会单独决定你进入关系后的主要相处方式。</x:v>
      </x:c>
      <x:c r="Z181" s="32" t="str">
        <x:v>不得用年柱或远位单点替换日支主权威。 本规则不单独判断关系结果。</x:v>
      </x:c>
      <x:c r="AA181" s="32" t="str">
        <x:v>中高</x:v>
      </x:c>
      <x:c r="AB181" s="32" t="str">
        <x:v>待验证</x:v>
      </x:c>
      <x:c r="AC181" s="32" t="str"/>
      <x:c r="AD181" s="32" t="str">
        <x:v>provisional=true; state_modifier=true; shared_engine_required=true</x:v>
      </x:c>
      <x:c r="AE181" s="39" t="str">
        <x:v>0.2</x:v>
      </x:c>
    </x:row>
    <x:row r="182">
      <x:c r="A182" s="38" t="str">
        <x:v>M3-BASE-178</x:v>
      </x:c>
      <x:c r="B182" s="32" t="str">
        <x:v>为喜且平衡｜调用较顺畅</x:v>
      </x:c>
      <x:c r="C182" s="32" t="str">
        <x:v>L6 状态切换</x:v>
      </x:c>
      <x:c r="D182" s="32" t="str">
        <x:v>BASE-状态修正</x:v>
      </x:c>
      <x:c r="E182" s="32" t="str">
        <x:v>通用</x:v>
      </x:c>
      <x:c r="F182" s="32" t="str">
        <x:v>修正</x:v>
      </x:c>
      <x:c r="G182" s="32" t="str">
        <x:v>主通道</x:v>
      </x:c>
      <x:c r="H182" s="32" t="str">
        <x:v>喜而平衡</x:v>
      </x:c>
      <x:c r="I182" s="32" t="str">
        <x:v>共享引擎确认该通道对整体平衡有利且状态适度。</x:v>
      </x:c>
      <x:c r="J182" s="32" t="str">
        <x:v>喜忌未定或通道过旺失衡。</x:v>
      </x:c>
      <x:c r="K182" s="32" t="str">
        <x:v>不限定；由后续模块修正</x:v>
      </x:c>
      <x:c r="L182" s="32" t="str">
        <x:v>不限定</x:v>
      </x:c>
      <x:c r="M182" s="32" t="str">
        <x:v>日支底盘及全局状态</x:v>
      </x:c>
      <x:c r="N182" s="32" t="str">
        <x:v>无／待后续模块组合</x:v>
      </x:c>
      <x:c r="O182" s="32" t="str">
        <x:v>日支＋全局同类信号</x:v>
      </x:c>
      <x:c r="P182" s="32" t="str">
        <x:v>由共享基础引擎判定</x:v>
      </x:c>
      <x:c r="Q182" s="32" t="str">
        <x:v>由共享基础引擎判定</x:v>
      </x:c>
      <x:c r="R182" s="32" t="str">
        <x:v>喜忌未定或由共享引擎提供</x:v>
      </x:c>
      <x:c r="S182" s="32" t="str">
        <x:v>原十神性质有效；无真合化或已完成相应路由</x:v>
      </x:c>
      <x:c r="T182" s="32" t="str">
        <x:v>近</x:v>
      </x:c>
      <x:c r="U182" s="32" t="n">
        <x:v>80</x:v>
      </x:c>
      <x:c r="V182" s="32" t="str">
        <x:v>顺畅度+6</x:v>
      </x:c>
      <x:c r="W182" s="32" t="str">
        <x:v>relationship_baseline</x:v>
      </x:c>
      <x:c r="X182" s="32" t="str">
        <x:v>喜而平衡更适合解释为该通道调用相对自然、较少需要过度补偿，而非用户更喜欢这种方式。</x:v>
      </x:c>
      <x:c r="Y182" s="32" t="str">
        <x:v>这套相处方式通常更容易以自然、可协调的形式出现。</x:v>
      </x:c>
      <x:c r="Z182" s="32" t="str">
        <x:v>不得把喜神等同“用户喜欢”或关系必然正面。 本规则不单独判断关系结果。</x:v>
      </x:c>
      <x:c r="AA182" s="32" t="str">
        <x:v>中</x:v>
      </x:c>
      <x:c r="AB182" s="32" t="str">
        <x:v>待验证</x:v>
      </x:c>
      <x:c r="AC182" s="32" t="str"/>
      <x:c r="AD182" s="32" t="str">
        <x:v>provisional=true; state_modifier=true; shared_engine_required=true</x:v>
      </x:c>
      <x:c r="AE182" s="39" t="str">
        <x:v>0.2</x:v>
      </x:c>
    </x:row>
    <x:row r="183">
      <x:c r="A183" s="38" t="str">
        <x:v>M3-BASE-179</x:v>
      </x:c>
      <x:c r="B183" s="32" t="str">
        <x:v>为忌且过旺｜调用强度提高</x:v>
      </x:c>
      <x:c r="C183" s="32" t="str">
        <x:v>L6 状态切换</x:v>
      </x:c>
      <x:c r="D183" s="32" t="str">
        <x:v>BASE-状态修正</x:v>
      </x:c>
      <x:c r="E183" s="32" t="str">
        <x:v>通用</x:v>
      </x:c>
      <x:c r="F183" s="32" t="str">
        <x:v>修正</x:v>
      </x:c>
      <x:c r="G183" s="32" t="str">
        <x:v>主通道</x:v>
      </x:c>
      <x:c r="H183" s="32" t="str">
        <x:v>忌而过旺</x:v>
      </x:c>
      <x:c r="I183" s="32" t="str">
        <x:v>共享引擎确认该通道过旺并造成结构失衡；原性质仍有效。</x:v>
      </x:c>
      <x:c r="J183" s="32" t="str">
        <x:v>喜忌未定；通道偏弱。</x:v>
      </x:c>
      <x:c r="K183" s="32" t="str">
        <x:v>不限定；由后续模块修正</x:v>
      </x:c>
      <x:c r="L183" s="32" t="str">
        <x:v>不限定</x:v>
      </x:c>
      <x:c r="M183" s="32" t="str">
        <x:v>日支底盘及全局状态</x:v>
      </x:c>
      <x:c r="N183" s="32" t="str">
        <x:v>无／待后续模块组合</x:v>
      </x:c>
      <x:c r="O183" s="32" t="str">
        <x:v>日支＋全局同类信号</x:v>
      </x:c>
      <x:c r="P183" s="32" t="str">
        <x:v>由共享基础引擎判定</x:v>
      </x:c>
      <x:c r="Q183" s="32" t="str">
        <x:v>由共享基础引擎判定</x:v>
      </x:c>
      <x:c r="R183" s="32" t="str">
        <x:v>喜忌未定或由共享引擎提供</x:v>
      </x:c>
      <x:c r="S183" s="32" t="str">
        <x:v>原十神性质有效；无真合化或已完成相应路由</x:v>
      </x:c>
      <x:c r="T183" s="32" t="str">
        <x:v>近</x:v>
      </x:c>
      <x:c r="U183" s="32" t="n">
        <x:v>80</x:v>
      </x:c>
      <x:c r="V183" s="32" t="str">
        <x:v>抢先调用+6；压力候选+6；置信不因忌自动下降</x:v>
      </x:c>
      <x:c r="W183" s="32" t="str">
        <x:v>stress_shift</x:v>
      </x:c>
      <x:c r="X183" s="32" t="str">
        <x:v>忌而过旺不等于不使用，反而可能表示该通道更容易以强度较高、占用较多处理空间的方式出现。</x:v>
      </x:c>
      <x:c r="Y183" s="32" t="str">
        <x:v>这套方式可能在压力下更快被调用，但具体是否造成问题需要交给模型四。</x:v>
      </x:c>
      <x:c r="Z183" s="32" t="str">
        <x:v>不得把忌神直接写成不喜欢、坏习惯或必然伤害关系。 本规则不单独判断关系结果。</x:v>
      </x:c>
      <x:c r="AA183" s="32" t="str">
        <x:v>中</x:v>
      </x:c>
      <x:c r="AB183" s="32" t="str">
        <x:v>待验证</x:v>
      </x:c>
      <x:c r="AC183" s="32" t="str"/>
      <x:c r="AD183" s="32" t="str">
        <x:v>provisional=true; state_modifier=true; shared_engine_required=true</x:v>
      </x:c>
      <x:c r="AE183" s="39" t="str">
        <x:v>0.2</x:v>
      </x:c>
    </x:row>
    <x:row r="184">
      <x:c r="A184" s="38" t="str">
        <x:v>M3-BASE-180</x:v>
      </x:c>
      <x:c r="B184" s="32" t="str">
        <x:v>为忌但偏弱｜不作核心负面</x:v>
      </x:c>
      <x:c r="C184" s="32" t="str">
        <x:v>L8 总合成与边界审查</x:v>
      </x:c>
      <x:c r="D184" s="32" t="str">
        <x:v>BASE-状态修正</x:v>
      </x:c>
      <x:c r="E184" s="32" t="str">
        <x:v>通用</x:v>
      </x:c>
      <x:c r="F184" s="32" t="str">
        <x:v>门控</x:v>
      </x:c>
      <x:c r="G184" s="32" t="str">
        <x:v>主通道</x:v>
      </x:c>
      <x:c r="H184" s="32" t="str">
        <x:v>忌而弱</x:v>
      </x:c>
      <x:c r="I184" s="32" t="str">
        <x:v>通道为忌但力量弱、无根或不靠近日柱。</x:v>
      </x:c>
      <x:c r="J184" s="32" t="str">
        <x:v>通道实际强旺有效。</x:v>
      </x:c>
      <x:c r="K184" s="32" t="str">
        <x:v>不限定；由后续模块修正</x:v>
      </x:c>
      <x:c r="L184" s="32" t="str">
        <x:v>不限定</x:v>
      </x:c>
      <x:c r="M184" s="32" t="str">
        <x:v>日支底盘及全局状态</x:v>
      </x:c>
      <x:c r="N184" s="32" t="str">
        <x:v>无／待后续模块组合</x:v>
      </x:c>
      <x:c r="O184" s="32" t="str">
        <x:v>日支＋全局同类信号</x:v>
      </x:c>
      <x:c r="P184" s="32" t="str">
        <x:v>由共享基础引擎判定</x:v>
      </x:c>
      <x:c r="Q184" s="32" t="str">
        <x:v>由共享基础引擎判定</x:v>
      </x:c>
      <x:c r="R184" s="32" t="str">
        <x:v>喜忌未定或由共享引擎提供</x:v>
      </x:c>
      <x:c r="S184" s="32" t="str">
        <x:v>原十神性质有效；无真合化或已完成相应路由</x:v>
      </x:c>
      <x:c r="T184" s="32" t="str">
        <x:v>近</x:v>
      </x:c>
      <x:c r="U184" s="32" t="n">
        <x:v>96</x:v>
      </x:c>
      <x:c r="V184" s="32" t="str">
        <x:v>不生成强行为结论；不输出负面标签</x:v>
      </x:c>
      <x:c r="W184" s="32" t="str">
        <x:v>boundary_note</x:v>
      </x:c>
      <x:c r="X184" s="32" t="str">
        <x:v>忌但弱只表示结构评价，不足以证明现实中高频启动该通道。</x:v>
      </x:c>
      <x:c r="Y184" s="32" t="str">
        <x:v>当前不足以把这项结构写成你稳定的相处习惯。</x:v>
      </x:c>
      <x:c r="Z184" s="32" t="str">
        <x:v>不得因“为忌”制造负面行为画像。 本规则不单独判断关系结果。</x:v>
      </x:c>
      <x:c r="AA184" s="32" t="str">
        <x:v>高</x:v>
      </x:c>
      <x:c r="AB184" s="32" t="str">
        <x:v>待验证</x:v>
      </x:c>
      <x:c r="AC184" s="32" t="str"/>
      <x:c r="AD184" s="32" t="str">
        <x:v>provisional=true; state_modifier=true; shared_engine_required=true</x:v>
      </x:c>
      <x:c r="AE184" s="39" t="str">
        <x:v>0.2</x:v>
      </x:c>
    </x:row>
    <x:row r="185">
      <x:c r="A185" s="38" t="str">
        <x:v>M3-BASE-181</x:v>
      </x:c>
      <x:c r="B185" s="32" t="str">
        <x:v>有制有化｜表达较有调节</x:v>
      </x:c>
      <x:c r="C185" s="32" t="str">
        <x:v>L6 状态切换</x:v>
      </x:c>
      <x:c r="D185" s="32" t="str">
        <x:v>BASE-状态修正</x:v>
      </x:c>
      <x:c r="E185" s="32" t="str">
        <x:v>通用</x:v>
      </x:c>
      <x:c r="F185" s="32" t="str">
        <x:v>修正</x:v>
      </x:c>
      <x:c r="G185" s="32" t="str">
        <x:v>主通道</x:v>
      </x:c>
      <x:c r="H185" s="32" t="str">
        <x:v>有制化</x:v>
      </x:c>
      <x:c r="I185" s="32" t="str">
        <x:v>通道强度明显且存在有效制约、疏导或转化路径。</x:v>
      </x:c>
      <x:c r="J185" s="32" t="str">
        <x:v>所谓制化不成立或一方完全压倒另一方。</x:v>
      </x:c>
      <x:c r="K185" s="32" t="str">
        <x:v>不限定；由后续模块修正</x:v>
      </x:c>
      <x:c r="L185" s="32" t="str">
        <x:v>不限定</x:v>
      </x:c>
      <x:c r="M185" s="32" t="str">
        <x:v>日支底盘及全局状态</x:v>
      </x:c>
      <x:c r="N185" s="32" t="str">
        <x:v>无／待后续模块组合</x:v>
      </x:c>
      <x:c r="O185" s="32" t="str">
        <x:v>日支＋全局同类信号</x:v>
      </x:c>
      <x:c r="P185" s="32" t="str">
        <x:v>由共享基础引擎判定</x:v>
      </x:c>
      <x:c r="Q185" s="32" t="str">
        <x:v>由共享基础引擎判定</x:v>
      </x:c>
      <x:c r="R185" s="32" t="str">
        <x:v>喜忌未定或由共享引擎提供</x:v>
      </x:c>
      <x:c r="S185" s="32" t="str">
        <x:v>原十神性质有效；无真合化或已完成相应路由</x:v>
      </x:c>
      <x:c r="T185" s="32" t="str">
        <x:v>近</x:v>
      </x:c>
      <x:c r="U185" s="32" t="n">
        <x:v>80</x:v>
      </x:c>
      <x:c r="V185" s="32" t="str">
        <x:v>调节度+7；桥接候选</x:v>
      </x:c>
      <x:c r="W185" s="32" t="str">
        <x:v>relationship_baseline</x:v>
      </x:c>
      <x:c r="X185" s="32" t="str">
        <x:v>有制化表示原始通道可能通过另一系统得到调节，实际表达不必等同十神原始极端取象。</x:v>
      </x:c>
      <x:c r="Y185" s="32" t="str">
        <x:v>这套相处方式较可能经过另一种通道调节后再表现出来，而不是直接、单一地启动。</x:v>
      </x:c>
      <x:c r="Z185" s="32" t="str">
        <x:v>不得把有制化自动等同成熟完美。 本规则不单独判断关系结果。</x:v>
      </x:c>
      <x:c r="AA185" s="32" t="str">
        <x:v>中</x:v>
      </x:c>
      <x:c r="AB185" s="32" t="str">
        <x:v>待验证</x:v>
      </x:c>
      <x:c r="AC185" s="32" t="str"/>
      <x:c r="AD185" s="32" t="str">
        <x:v>provisional=true; state_modifier=true; shared_engine_required=true</x:v>
      </x:c>
      <x:c r="AE185" s="39" t="str">
        <x:v>0.2</x:v>
      </x:c>
    </x:row>
    <x:row r="186">
      <x:c r="A186" s="38" t="str">
        <x:v>M3-BASE-182</x:v>
      </x:c>
      <x:c r="B186" s="32" t="str">
        <x:v>无制且过强｜主通道占位高</x:v>
      </x:c>
      <x:c r="C186" s="32" t="str">
        <x:v>L6 状态切换</x:v>
      </x:c>
      <x:c r="D186" s="32" t="str">
        <x:v>BASE-状态修正</x:v>
      </x:c>
      <x:c r="E186" s="32" t="str">
        <x:v>通用</x:v>
      </x:c>
      <x:c r="F186" s="32" t="str">
        <x:v>修正</x:v>
      </x:c>
      <x:c r="G186" s="32" t="str">
        <x:v>主通道</x:v>
      </x:c>
      <x:c r="H186" s="32" t="str">
        <x:v>强而无制</x:v>
      </x:c>
      <x:c r="I186" s="32" t="str">
        <x:v>通道过强且缺乏有效调节；原性质有效。</x:v>
      </x:c>
      <x:c r="J186" s="32" t="str">
        <x:v>通道中弱或已有可靠制化。</x:v>
      </x:c>
      <x:c r="K186" s="32" t="str">
        <x:v>不限定；由后续模块修正</x:v>
      </x:c>
      <x:c r="L186" s="32" t="str">
        <x:v>不限定</x:v>
      </x:c>
      <x:c r="M186" s="32" t="str">
        <x:v>日支底盘及全局状态</x:v>
      </x:c>
      <x:c r="N186" s="32" t="str">
        <x:v>无／待后续模块组合</x:v>
      </x:c>
      <x:c r="O186" s="32" t="str">
        <x:v>日支＋全局同类信号</x:v>
      </x:c>
      <x:c r="P186" s="32" t="str">
        <x:v>由共享基础引擎判定</x:v>
      </x:c>
      <x:c r="Q186" s="32" t="str">
        <x:v>由共享基础引擎判定</x:v>
      </x:c>
      <x:c r="R186" s="32" t="str">
        <x:v>喜忌未定或由共享引擎提供</x:v>
      </x:c>
      <x:c r="S186" s="32" t="str">
        <x:v>原十神性质有效；无真合化或已完成相应路由</x:v>
      </x:c>
      <x:c r="T186" s="32" t="str">
        <x:v>近</x:v>
      </x:c>
      <x:c r="U186" s="32" t="n">
        <x:v>80</x:v>
      </x:c>
      <x:c r="V186" s="32" t="str">
        <x:v>优先级+6；STATE候选</x:v>
      </x:c>
      <x:c r="W186" s="32" t="str">
        <x:v>stress_shift</x:v>
      </x:c>
      <x:c r="X186" s="32" t="str">
        <x:v>强而无制只说明该通道容易占据第一反应，不在M3-BASE阶段判断其风险。</x:v>
      </x:c>
      <x:c r="Y186" s="32" t="str">
        <x:v>遇到关系压力时，你可能更快回到这套最熟悉的处理方式。</x:v>
      </x:c>
      <x:c r="Z186" s="32" t="str">
        <x:v>不得直接推出失控、伤人或关系必然出问题。 本规则不单独判断关系结果。</x:v>
      </x:c>
      <x:c r="AA186" s="32" t="str">
        <x:v>中</x:v>
      </x:c>
      <x:c r="AB186" s="32" t="str">
        <x:v>待验证</x:v>
      </x:c>
      <x:c r="AC186" s="32" t="str"/>
      <x:c r="AD186" s="32" t="str">
        <x:v>provisional=true; state_modifier=true; shared_engine_required=true</x:v>
      </x:c>
      <x:c r="AE186" s="39" t="str">
        <x:v>0.2</x:v>
      </x:c>
    </x:row>
    <x:row r="187">
      <x:c r="A187" s="38" t="str">
        <x:v>M3-BASE-183</x:v>
      </x:c>
      <x:c r="B187" s="32" t="str">
        <x:v>正偏同系统重复｜浓度不等于双模式</x:v>
      </x:c>
      <x:c r="C187" s="32" t="str">
        <x:v>L8 总合成与边界审查</x:v>
      </x:c>
      <x:c r="D187" s="32" t="str">
        <x:v>BASE-状态修正</x:v>
      </x:c>
      <x:c r="E187" s="32" t="str">
        <x:v>通用</x:v>
      </x:c>
      <x:c r="F187" s="32" t="str">
        <x:v>去重</x:v>
      </x:c>
      <x:c r="G187" s="32" t="str">
        <x:v>同系统正偏并见</x:v>
      </x:c>
      <x:c r="H187" s="32" t="str"/>
      <x:c r="I187" s="32" t="str">
        <x:v>同一五系统的正偏十神同时明显，例如食神与伤官。</x:v>
      </x:c>
      <x:c r="J187" s="32" t="str">
        <x:v>两者有独立任务、独立来源且后续模块确认稳定分工。</x:v>
      </x:c>
      <x:c r="K187" s="32" t="str">
        <x:v>不限定；由后续模块修正</x:v>
      </x:c>
      <x:c r="L187" s="32" t="str">
        <x:v>不限定</x:v>
      </x:c>
      <x:c r="M187" s="32" t="str">
        <x:v>日支底盘及全局状态</x:v>
      </x:c>
      <x:c r="N187" s="32" t="str">
        <x:v>无／待后续模块组合</x:v>
      </x:c>
      <x:c r="O187" s="32" t="str">
        <x:v>日支＋全局同类信号</x:v>
      </x:c>
      <x:c r="P187" s="32" t="str">
        <x:v>由共享基础引擎判定</x:v>
      </x:c>
      <x:c r="Q187" s="32" t="str">
        <x:v>由共享基础引擎判定</x:v>
      </x:c>
      <x:c r="R187" s="32" t="str">
        <x:v>喜忌未定或由共享引擎提供</x:v>
      </x:c>
      <x:c r="S187" s="32" t="str">
        <x:v>原十神性质有效；无真合化或已完成相应路由</x:v>
      </x:c>
      <x:c r="T187" s="32" t="str">
        <x:v>近</x:v>
      </x:c>
      <x:c r="U187" s="32" t="n">
        <x:v>96</x:v>
      </x:c>
      <x:c r="V187" s="32" t="str">
        <x:v>系统分数封顶；保留风格差异</x:v>
      </x:c>
      <x:c r="W187" s="32" t="str">
        <x:v>interaction_pattern</x:v>
      </x:c>
      <x:c r="X187" s="32" t="str">
        <x:v>正偏并见先说明系统浓度，再判断风格和任务分工；不能机械创建两个主模式。</x:v>
      </x:c>
      <x:c r="Y187" s="32" t="str">
        <x:v>你的核心互动方向较集中，只是在同一方向里可能同时有两种表达风格。</x:v>
      </x:c>
      <x:c r="Z187" s="32" t="str">
        <x:v>不得把正偏并见解释为情绪反复、关系复杂或两种人格。 本规则不单独判断关系结果。</x:v>
      </x:c>
      <x:c r="AA187" s="32" t="str">
        <x:v>高</x:v>
      </x:c>
      <x:c r="AB187" s="32" t="str">
        <x:v>待验证</x:v>
      </x:c>
      <x:c r="AC187" s="32" t="str"/>
      <x:c r="AD187" s="32" t="str">
        <x:v>provisional=true; state_modifier=true; shared_engine_required=true</x:v>
      </x:c>
      <x:c r="AE187" s="39" t="str">
        <x:v>0.2</x:v>
      </x:c>
    </x:row>
    <x:row r="188">
      <x:c r="A188" s="38" t="str">
        <x:v>M3-BASE-184</x:v>
      </x:c>
      <x:c r="B188" s="32" t="str">
        <x:v>跨系统独立支持｜双通道候选</x:v>
      </x:c>
      <x:c r="C188" s="32" t="str">
        <x:v>L6 状态切换</x:v>
      </x:c>
      <x:c r="D188" s="32" t="str">
        <x:v>BASE-状态修正</x:v>
      </x:c>
      <x:c r="E188" s="32" t="str">
        <x:v>通用</x:v>
      </x:c>
      <x:c r="F188" s="32" t="str">
        <x:v>组合</x:v>
      </x:c>
      <x:c r="G188" s="32" t="str">
        <x:v>两套五系统</x:v>
      </x:c>
      <x:c r="H188" s="32" t="str">
        <x:v>独立证据</x:v>
      </x:c>
      <x:c r="I188" s="32" t="str">
        <x:v>两套功能不同的系统均有效；各有独立来源；同源去重完成；分差较小。</x:v>
      </x:c>
      <x:c r="J188" s="32" t="str">
        <x:v>一方仅弱远或同源重复；任务功能无法区分。</x:v>
      </x:c>
      <x:c r="K188" s="32" t="str">
        <x:v>不限定；由后续模块修正</x:v>
      </x:c>
      <x:c r="L188" s="32" t="str">
        <x:v>不限定</x:v>
      </x:c>
      <x:c r="M188" s="32" t="str">
        <x:v>日支底盘及全局状态</x:v>
      </x:c>
      <x:c r="N188" s="32" t="str">
        <x:v>无／待后续模块组合</x:v>
      </x:c>
      <x:c r="O188" s="32" t="str">
        <x:v>日支＋全局同类信号</x:v>
      </x:c>
      <x:c r="P188" s="32" t="str">
        <x:v>由共享基础引擎判定</x:v>
      </x:c>
      <x:c r="Q188" s="32" t="str">
        <x:v>由共享基础引擎判定</x:v>
      </x:c>
      <x:c r="R188" s="32" t="str">
        <x:v>喜忌未定或由共享引擎提供</x:v>
      </x:c>
      <x:c r="S188" s="32" t="str">
        <x:v>原十神性质有效；无真合化或已完成相应路由</x:v>
      </x:c>
      <x:c r="T188" s="32" t="str">
        <x:v>近</x:v>
      </x:c>
      <x:c r="U188" s="32" t="n">
        <x:v>80</x:v>
      </x:c>
      <x:c r="V188" s="32" t="str">
        <x:v>P11候选；转STATE</x:v>
      </x:c>
      <x:c r="W188" s="32" t="str">
        <x:v>interaction_pattern</x:v>
      </x:c>
      <x:c r="X188" s="32" t="str">
        <x:v>跨系统且独立时才可能形成双通道；BASE负责识别，STATE负责说明先后、场景或恢复分工。</x:v>
      </x:c>
      <x:c r="Y188" s="32" t="str">
        <x:v>你可能在不同关系任务中稳定使用两套方式，需要继续判断它们如何分工。</x:v>
      </x:c>
      <x:c r="Z188" s="32" t="str">
        <x:v>不得只因两个十神旺就输出双通道。 本规则不单独判断关系结果。</x:v>
      </x:c>
      <x:c r="AA188" s="32" t="str">
        <x:v>中</x:v>
      </x:c>
      <x:c r="AB188" s="32" t="str">
        <x:v>待验证</x:v>
      </x:c>
      <x:c r="AC188" s="32" t="str"/>
      <x:c r="AD188" s="32" t="str">
        <x:v>provisional=true; state_modifier=true; shared_engine_required=true</x:v>
      </x:c>
      <x:c r="AE188" s="39" t="str">
        <x:v>0.2</x:v>
      </x:c>
    </x:row>
    <x:row r="189">
      <x:c r="A189" s="38" t="str">
        <x:v>M3-BASE-185</x:v>
      </x:c>
      <x:c r="B189" s="32" t="str">
        <x:v>强弱喜忌争议｜降低基础置信</x:v>
      </x:c>
      <x:c r="C189" s="32" t="str">
        <x:v>L8 总合成与边界审查</x:v>
      </x:c>
      <x:c r="D189" s="32" t="str">
        <x:v>BASE-状态修正</x:v>
      </x:c>
      <x:c r="E189" s="32" t="str">
        <x:v>通用</x:v>
      </x:c>
      <x:c r="F189" s="32" t="str">
        <x:v>门控</x:v>
      </x:c>
      <x:c r="G189" s="32" t="str">
        <x:v>状态字段争议</x:v>
      </x:c>
      <x:c r="H189" s="32" t="str"/>
      <x:c r="I189" s="32" t="str">
        <x:v>旺衰、喜忌或制化存在实质分歧，且会改变主通道是否有效。</x:v>
      </x:c>
      <x:c r="J189" s="32" t="str">
        <x:v>争议不影响日支主气基本性质，只影响轻微修饰。</x:v>
      </x:c>
      <x:c r="K189" s="32" t="str">
        <x:v>不限定；由后续模块修正</x:v>
      </x:c>
      <x:c r="L189" s="32" t="str">
        <x:v>不限定</x:v>
      </x:c>
      <x:c r="M189" s="32" t="str">
        <x:v>日支底盘及全局状态</x:v>
      </x:c>
      <x:c r="N189" s="32" t="str">
        <x:v>无／待后续模块组合</x:v>
      </x:c>
      <x:c r="O189" s="32" t="str">
        <x:v>日支＋全局同类信号</x:v>
      </x:c>
      <x:c r="P189" s="32" t="str">
        <x:v>由共享基础引擎判定</x:v>
      </x:c>
      <x:c r="Q189" s="32" t="str">
        <x:v>由共享基础引擎判定</x:v>
      </x:c>
      <x:c r="R189" s="32" t="str">
        <x:v>喜忌未定或由共享引擎提供</x:v>
      </x:c>
      <x:c r="S189" s="32" t="str">
        <x:v>原十神性质有效；无真合化或已完成相应路由</x:v>
      </x:c>
      <x:c r="T189" s="32" t="str">
        <x:v>近</x:v>
      </x:c>
      <x:c r="U189" s="32" t="n">
        <x:v>96</x:v>
      </x:c>
      <x:c r="V189" s="32" t="str">
        <x:v>confidence-1至停止</x:v>
      </x:c>
      <x:c r="W189" s="32" t="str">
        <x:v>confidence</x:v>
      </x:c>
      <x:c r="X189" s="32" t="str">
        <x:v>状态争议应显式进入置信度，不得被自然语言掩盖。</x:v>
      </x:c>
      <x:c r="Y189" s="32" t="str">
        <x:v>核心底盘可以暂作候选，但其外显程度和稳定性仍需保留不确定性。</x:v>
      </x:c>
      <x:c r="Z189" s="32" t="str">
        <x:v>不得自行挑选更符合预期的旺衰或喜忌版本。 本规则不单独判断关系结果。</x:v>
      </x:c>
      <x:c r="AA189" s="32" t="str">
        <x:v>中低</x:v>
      </x:c>
      <x:c r="AB189" s="32" t="str">
        <x:v>待验证</x:v>
      </x:c>
      <x:c r="AC189" s="32" t="str"/>
      <x:c r="AD189" s="32" t="str">
        <x:v>provisional=true; state_modifier=true; shared_engine_required=true</x:v>
      </x:c>
      <x:c r="AE189" s="39" t="str">
        <x:v>0.2</x:v>
      </x:c>
    </x:row>
    <x:row r="190">
      <x:c r="A190" s="38" t="str">
        <x:v>M3-BASE-186</x:v>
      </x:c>
      <x:c r="B190" s="32" t="str">
        <x:v>基础排盘或十神映射未定｜停止BASE</x:v>
      </x:c>
      <x:c r="C190" s="32" t="str">
        <x:v>L8 总合成与边界审查</x:v>
      </x:c>
      <x:c r="D190" s="32" t="str">
        <x:v>BASE-门控停止</x:v>
      </x:c>
      <x:c r="E190" s="32" t="str">
        <x:v>通用</x:v>
      </x:c>
      <x:c r="F190" s="32" t="str">
        <x:v>停止</x:v>
      </x:c>
      <x:c r="G190" s="32" t="str">
        <x:v>基础输入未定</x:v>
      </x:c>
      <x:c r="H190" s="32" t="str"/>
      <x:c r="I190" s="32" t="str">
        <x:v>日主、日支、藏干或十神映射存在关键缺失／冲突。</x:v>
      </x:c>
      <x:c r="J190" s="32" t="str">
        <x:v>关键基础输入完整可靠。</x:v>
      </x:c>
      <x:c r="K190" s="32" t="str">
        <x:v>不限定；由后续模块修正</x:v>
      </x:c>
      <x:c r="L190" s="32" t="str">
        <x:v>不限定</x:v>
      </x:c>
      <x:c r="M190" s="32" t="str">
        <x:v>日支／BASE全局</x:v>
      </x:c>
      <x:c r="N190" s="32" t="str">
        <x:v>无／待后续模块组合</x:v>
      </x:c>
      <x:c r="O190" s="32" t="str">
        <x:v>日支或与日支直接相关</x:v>
      </x:c>
      <x:c r="P190" s="32" t="str">
        <x:v>由共享基础引擎判定</x:v>
      </x:c>
      <x:c r="Q190" s="32" t="str">
        <x:v>由共享基础引擎判定</x:v>
      </x:c>
      <x:c r="R190" s="32" t="str">
        <x:v>喜忌未定或由共享引擎提供</x:v>
      </x:c>
      <x:c r="S190" s="32" t="str">
        <x:v>原十神性质有效；无真合化或已完成相应路由</x:v>
      </x:c>
      <x:c r="T190" s="32" t="str">
        <x:v>近</x:v>
      </x:c>
      <x:c r="U190" s="32" t="n">
        <x:v>100</x:v>
      </x:c>
      <x:c r="V190" s="32" t="str">
        <x:v>整个M3-BASE停止</x:v>
      </x:c>
      <x:c r="W190" s="32" t="str">
        <x:v>report_status</x:v>
      </x:c>
      <x:c r="X190" s="32" t="str">
        <x:v>M3-BASE依赖日柱和日支十神；基础事实不可靠时，继续推理只会制造伪精确。</x:v>
      </x:c>
      <x:c r="Y190" s="32" t="str">
        <x:v>当前基础排盘或十神映射信息不足，暂不生成固定的相处底盘结论。</x:v>
      </x:c>
      <x:c r="Z190" s="32" t="str">
        <x:v>不得用全局印象或其他模型结论替代缺失基础输入。</x:v>
      </x:c>
      <x:c r="AA190" s="32" t="str">
        <x:v>停止</x:v>
      </x:c>
      <x:c r="AB190" s="32" t="str">
        <x:v>待验证</x:v>
      </x:c>
      <x:c r="AC190" s="32" t="str"/>
      <x:c r="AD190" s="32" t="str">
        <x:v>provisional=true; mandatory_gate=true</x:v>
      </x:c>
      <x:c r="AE190" s="39" t="str">
        <x:v>0.2</x:v>
      </x:c>
    </x:row>
    <x:row r="191">
      <x:c r="A191" s="38" t="str">
        <x:v>M3-BASE-187</x:v>
      </x:c>
      <x:c r="B191" s="32" t="str">
        <x:v>日支主气未定｜停止核心底盘</x:v>
      </x:c>
      <x:c r="C191" s="32" t="str">
        <x:v>L8 总合成与边界审查</x:v>
      </x:c>
      <x:c r="D191" s="32" t="str">
        <x:v>BASE-门控停止</x:v>
      </x:c>
      <x:c r="E191" s="32" t="str">
        <x:v>通用</x:v>
      </x:c>
      <x:c r="F191" s="32" t="str">
        <x:v>停止</x:v>
      </x:c>
      <x:c r="G191" s="32" t="str">
        <x:v>日支主气未定</x:v>
      </x:c>
      <x:c r="H191" s="32" t="str"/>
      <x:c r="I191" s="32" t="str">
        <x:v>共享引擎无法可靠确认日支主气或主中余层级。</x:v>
      </x:c>
      <x:c r="J191" s="32" t="str">
        <x:v>主气明确，仅中余气有轻微分歧。</x:v>
      </x:c>
      <x:c r="K191" s="32" t="str">
        <x:v>不限定；由后续模块修正</x:v>
      </x:c>
      <x:c r="L191" s="32" t="str">
        <x:v>不限定</x:v>
      </x:c>
      <x:c r="M191" s="32" t="str">
        <x:v>日支／BASE全局</x:v>
      </x:c>
      <x:c r="N191" s="32" t="str">
        <x:v>无／待后续模块组合</x:v>
      </x:c>
      <x:c r="O191" s="32" t="str">
        <x:v>日支或与日支直接相关</x:v>
      </x:c>
      <x:c r="P191" s="32" t="str">
        <x:v>由共享基础引擎判定</x:v>
      </x:c>
      <x:c r="Q191" s="32" t="str">
        <x:v>由共享基础引擎判定</x:v>
      </x:c>
      <x:c r="R191" s="32" t="str">
        <x:v>喜忌未定或由共享引擎提供</x:v>
      </x:c>
      <x:c r="S191" s="32" t="str">
        <x:v>原十神性质有效；无真合化或已完成相应路由</x:v>
      </x:c>
      <x:c r="T191" s="32" t="str">
        <x:v>近</x:v>
      </x:c>
      <x:c r="U191" s="32" t="n">
        <x:v>100</x:v>
      </x:c>
      <x:c r="V191" s="32" t="str">
        <x:v>relationship_baseline停止</x:v>
      </x:c>
      <x:c r="W191" s="32" t="str">
        <x:v>relationship_baseline</x:v>
      </x:c>
      <x:c r="X191" s="32" t="str">
        <x:v>日支主气是BASE的最高权威输入；主气未定时不能固定核心底盘。</x:v>
      </x:c>
      <x:c r="Y191" s="32" t="str">
        <x:v>目前日支主气仍有争议，不宜把你的相处方式固定为某一种核心模式。</x:v>
      </x:c>
      <x:c r="Z191" s="32" t="str">
        <x:v>不得以最旺十神或夫妻星强行替代日支主气。</x:v>
      </x:c>
      <x:c r="AA191" s="32" t="str">
        <x:v>停止</x:v>
      </x:c>
      <x:c r="AB191" s="32" t="str">
        <x:v>待验证</x:v>
      </x:c>
      <x:c r="AC191" s="32" t="str"/>
      <x:c r="AD191" s="32" t="str">
        <x:v>provisional=true; mandatory_gate=true</x:v>
      </x:c>
      <x:c r="AE191" s="39" t="str">
        <x:v>0.2</x:v>
      </x:c>
    </x:row>
    <x:row r="192">
      <x:c r="A192" s="38" t="str">
        <x:v>M3-BASE-188</x:v>
      </x:c>
      <x:c r="B192" s="32" t="str">
        <x:v>真合化状态未定且影响主气｜停止</x:v>
      </x:c>
      <x:c r="C192" s="32" t="str">
        <x:v>L8 总合成与边界审查</x:v>
      </x:c>
      <x:c r="D192" s="32" t="str">
        <x:v>BASE-门控停止</x:v>
      </x:c>
      <x:c r="E192" s="32" t="str">
        <x:v>通用</x:v>
      </x:c>
      <x:c r="F192" s="32" t="str">
        <x:v>停止</x:v>
      </x:c>
      <x:c r="G192" s="32" t="str">
        <x:v>真合化未定</x:v>
      </x:c>
      <x:c r="H192" s="32" t="str"/>
      <x:c r="I192" s="32" t="str">
        <x:v>是否真合化会决定原日支十神是否继续有效，且当前无法确认。</x:v>
      </x:c>
      <x:c r="J192" s="32" t="str">
        <x:v>仅合而不化已确认，或争议不影响主气。</x:v>
      </x:c>
      <x:c r="K192" s="32" t="str">
        <x:v>不限定；由后续模块修正</x:v>
      </x:c>
      <x:c r="L192" s="32" t="str">
        <x:v>不限定</x:v>
      </x:c>
      <x:c r="M192" s="32" t="str">
        <x:v>日支／BASE全局</x:v>
      </x:c>
      <x:c r="N192" s="32" t="str">
        <x:v>无／待后续模块组合</x:v>
      </x:c>
      <x:c r="O192" s="32" t="str">
        <x:v>日支或与日支直接相关</x:v>
      </x:c>
      <x:c r="P192" s="32" t="str">
        <x:v>由共享基础引擎判定</x:v>
      </x:c>
      <x:c r="Q192" s="32" t="str">
        <x:v>由共享基础引擎判定</x:v>
      </x:c>
      <x:c r="R192" s="32" t="str">
        <x:v>喜忌未定或由共享引擎提供</x:v>
      </x:c>
      <x:c r="S192" s="32" t="str">
        <x:v>原十神性质有效；无真合化或已完成相应路由</x:v>
      </x:c>
      <x:c r="T192" s="32" t="str">
        <x:v>近</x:v>
      </x:c>
      <x:c r="U192" s="32" t="n">
        <x:v>100</x:v>
      </x:c>
      <x:c r="V192" s="32" t="str">
        <x:v>relationship_baseline停止；等待共享引擎</x:v>
      </x:c>
      <x:c r="W192" s="32" t="str">
        <x:v>relationship_baseline</x:v>
      </x:c>
      <x:c r="X192" s="32" t="str">
        <x:v>当原主气是否仍有效取决于合化结论时，必须先停下而不是并列两个版本。</x:v>
      </x:c>
      <x:c r="Y192" s="32" t="str">
        <x:v>当前合化状态会直接改变相处底盘，因此暂不作确定判断。</x:v>
      </x:c>
      <x:c r="Z192" s="32" t="str">
        <x:v>不得同时输出原十神版和化神版让用户自行选择。</x:v>
      </x:c>
      <x:c r="AA192" s="32" t="str">
        <x:v>停止</x:v>
      </x:c>
      <x:c r="AB192" s="32" t="str">
        <x:v>待验证</x:v>
      </x:c>
      <x:c r="AC192" s="32" t="str"/>
      <x:c r="AD192" s="32" t="str">
        <x:v>provisional=true; mandatory_gate=true</x:v>
      </x:c>
      <x:c r="AE192" s="39" t="str">
        <x:v>0.2</x:v>
      </x:c>
    </x:row>
    <x:row r="193">
      <x:c r="A193" s="38" t="str">
        <x:v>M3-BASE-189</x:v>
      </x:c>
      <x:c r="B193" s="32" t="str">
        <x:v>藏干层级缺失｜不做主次合成</x:v>
      </x:c>
      <x:c r="C193" s="32" t="str">
        <x:v>L8 总合成与边界审查</x:v>
      </x:c>
      <x:c r="D193" s="32" t="str">
        <x:v>BASE-门控停止</x:v>
      </x:c>
      <x:c r="E193" s="32" t="str">
        <x:v>通用</x:v>
      </x:c>
      <x:c r="F193" s="32" t="str">
        <x:v>停止</x:v>
      </x:c>
      <x:c r="G193" s="32" t="str">
        <x:v>主中余层级缺失</x:v>
      </x:c>
      <x:c r="H193" s="32" t="str"/>
      <x:c r="I193" s="32" t="str">
        <x:v>日支存在多个藏干，但共享引擎未提供可靠主中余层级。</x:v>
      </x:c>
      <x:c r="J193" s="32" t="str">
        <x:v>日支仅单一藏干；层级明确。</x:v>
      </x:c>
      <x:c r="K193" s="32" t="str">
        <x:v>不限定；由后续模块修正</x:v>
      </x:c>
      <x:c r="L193" s="32" t="str">
        <x:v>不限定</x:v>
      </x:c>
      <x:c r="M193" s="32" t="str">
        <x:v>日支／BASE全局</x:v>
      </x:c>
      <x:c r="N193" s="32" t="str">
        <x:v>无／待后续模块组合</x:v>
      </x:c>
      <x:c r="O193" s="32" t="str">
        <x:v>日支或与日支直接相关</x:v>
      </x:c>
      <x:c r="P193" s="32" t="str">
        <x:v>由共享基础引擎判定</x:v>
      </x:c>
      <x:c r="Q193" s="32" t="str">
        <x:v>由共享基础引擎判定</x:v>
      </x:c>
      <x:c r="R193" s="32" t="str">
        <x:v>喜忌未定或由共享引擎提供</x:v>
      </x:c>
      <x:c r="S193" s="32" t="str">
        <x:v>原十神性质有效；无真合化或已完成相应路由</x:v>
      </x:c>
      <x:c r="T193" s="32" t="str">
        <x:v>近</x:v>
      </x:c>
      <x:c r="U193" s="32" t="n">
        <x:v>100</x:v>
      </x:c>
      <x:c r="V193" s="32" t="str">
        <x:v>双通道与次级底盘停止</x:v>
      </x:c>
      <x:c r="W193" s="32" t="str">
        <x:v>interaction_pattern</x:v>
      </x:c>
      <x:c r="X193" s="32" t="str">
        <x:v>没有层级就无法合理分配主次，不能把全部藏干平铺。</x:v>
      </x:c>
      <x:c r="Y193" s="32" t="str">
        <x:v>当前只能保留非常有限的日支信息，不能可靠判断主次相处通道。</x:v>
      </x:c>
      <x:c r="Z193" s="32" t="str">
        <x:v>不得将多个藏干视为同等核心。</x:v>
      </x:c>
      <x:c r="AA193" s="32" t="str">
        <x:v>停止</x:v>
      </x:c>
      <x:c r="AB193" s="32" t="str">
        <x:v>待验证</x:v>
      </x:c>
      <x:c r="AC193" s="32" t="str"/>
      <x:c r="AD193" s="32" t="str">
        <x:v>provisional=true; mandatory_gate=true</x:v>
      </x:c>
      <x:c r="AE193" s="39" t="str">
        <x:v>0.2</x:v>
      </x:c>
    </x:row>
    <x:row r="194">
      <x:c r="A194" s="38" t="str">
        <x:v>M3-BASE-190</x:v>
      </x:c>
      <x:c r="B194" s="32" t="str">
        <x:v>日主强弱未定｜BASE不必全停</x:v>
      </x:c>
      <x:c r="C194" s="32" t="str">
        <x:v>L8 总合成与边界审查</x:v>
      </x:c>
      <x:c r="D194" s="32" t="str">
        <x:v>BASE-门控停止</x:v>
      </x:c>
      <x:c r="E194" s="32" t="str">
        <x:v>通用</x:v>
      </x:c>
      <x:c r="F194" s="32" t="str">
        <x:v>门控</x:v>
      </x:c>
      <x:c r="G194" s="32" t="str">
        <x:v>日主有效状态未定</x:v>
      </x:c>
      <x:c r="H194" s="32" t="str"/>
      <x:c r="I194" s="32" t="str">
        <x:v>日支主气、十神和合化清楚，但日主强弱或喜忌尚未锁定。</x:v>
      </x:c>
      <x:c r="J194" s="32" t="str">
        <x:v>日主状态会改变日支十神是否有效到需要停止。</x:v>
      </x:c>
      <x:c r="K194" s="32" t="str">
        <x:v>不限定；由后续模块修正</x:v>
      </x:c>
      <x:c r="L194" s="32" t="str">
        <x:v>不限定</x:v>
      </x:c>
      <x:c r="M194" s="32" t="str">
        <x:v>日支／BASE全局</x:v>
      </x:c>
      <x:c r="N194" s="32" t="str">
        <x:v>无／待后续模块组合</x:v>
      </x:c>
      <x:c r="O194" s="32" t="str">
        <x:v>日支或与日支直接相关</x:v>
      </x:c>
      <x:c r="P194" s="32" t="str">
        <x:v>由共享基础引擎判定</x:v>
      </x:c>
      <x:c r="Q194" s="32" t="str">
        <x:v>由共享基础引擎判定</x:v>
      </x:c>
      <x:c r="R194" s="32" t="str">
        <x:v>喜忌未定或由共享引擎提供</x:v>
      </x:c>
      <x:c r="S194" s="32" t="str">
        <x:v>原十神性质有效；无真合化或已完成相应路由</x:v>
      </x:c>
      <x:c r="T194" s="32" t="str">
        <x:v>近</x:v>
      </x:c>
      <x:c r="U194" s="32" t="n">
        <x:v>100</x:v>
      </x:c>
      <x:c r="V194" s="32" t="str">
        <x:v>保留底盘类型；状态修饰与置信封顶为中</x:v>
      </x:c>
      <x:c r="W194" s="32" t="str">
        <x:v>confidence</x:v>
      </x:c>
      <x:c r="X194" s="32" t="str">
        <x:v>M3-BASE的类型主要来自日支；日主强弱未定通常影响外显和稳定度，不必机械停止类型判断。</x:v>
      </x:c>
      <x:c r="Y194" s="32" t="str">
        <x:v>可以先判断核心相处主题，但它的强度、顺畅度和压力表现暂时不宜写得过细。</x:v>
      </x:c>
      <x:c r="Z194" s="32" t="str">
        <x:v>不得把日主强弱未定扩张为所有M3字段停止，也不得忽略置信上限。</x:v>
      </x:c>
      <x:c r="AA194" s="32" t="str">
        <x:v>中</x:v>
      </x:c>
      <x:c r="AB194" s="32" t="str">
        <x:v>待验证</x:v>
      </x:c>
      <x:c r="AC194" s="32" t="str"/>
      <x:c r="AD194" s="32" t="str">
        <x:v>provisional=true; mandatory_gate=true</x:v>
      </x:c>
      <x:c r="AE194" s="39" t="str">
        <x:v>0.2</x:v>
      </x:c>
    </x:row>
    <x:row r="195">
      <x:c r="A195" s="38" t="str">
        <x:v>M3-BASE-191</x:v>
      </x:c>
      <x:c r="B195" s="32" t="str">
        <x:v>夫妻星状态未定｜只停止跨模型接口</x:v>
      </x:c>
      <x:c r="C195" s="32" t="str">
        <x:v>L8 总合成与边界审查</x:v>
      </x:c>
      <x:c r="D195" s="32" t="str">
        <x:v>BASE-门控停止</x:v>
      </x:c>
      <x:c r="E195" s="32" t="str">
        <x:v>通用</x:v>
      </x:c>
      <x:c r="F195" s="32" t="str">
        <x:v>门控</x:v>
      </x:c>
      <x:c r="G195" s="32" t="str">
        <x:v>夫妻星状态未定</x:v>
      </x:c>
      <x:c r="H195" s="32" t="str"/>
      <x:c r="I195" s="32" t="str">
        <x:v>日支底盘清楚，但传统夫妻星透藏、强弱或合化状态未定。</x:v>
      </x:c>
      <x:c r="J195" s="32" t="str">
        <x:v>日支底盘本身也依赖该未定信息。</x:v>
      </x:c>
      <x:c r="K195" s="32" t="str">
        <x:v>不限定；由后续模块修正</x:v>
      </x:c>
      <x:c r="L195" s="32" t="str">
        <x:v>不限定</x:v>
      </x:c>
      <x:c r="M195" s="32" t="str">
        <x:v>日支／BASE全局</x:v>
      </x:c>
      <x:c r="N195" s="32" t="str">
        <x:v>无／待后续模块组合</x:v>
      </x:c>
      <x:c r="O195" s="32" t="str">
        <x:v>日支或与日支直接相关</x:v>
      </x:c>
      <x:c r="P195" s="32" t="str">
        <x:v>由共享基础引擎判定</x:v>
      </x:c>
      <x:c r="Q195" s="32" t="str">
        <x:v>由共享基础引擎判定</x:v>
      </x:c>
      <x:c r="R195" s="32" t="str">
        <x:v>喜忌未定或由共享引擎提供</x:v>
      </x:c>
      <x:c r="S195" s="32" t="str">
        <x:v>原十神性质有效；无真合化或已完成相应路由</x:v>
      </x:c>
      <x:c r="T195" s="32" t="str">
        <x:v>近</x:v>
      </x:c>
      <x:c r="U195" s="32" t="n">
        <x:v>100</x:v>
      </x:c>
      <x:c r="V195" s="32" t="str">
        <x:v>M2—M3连续性停止；BASE核心保留</x:v>
      </x:c>
      <x:c r="W195" s="32" t="str">
        <x:v>cross_model_ref</x:v>
      </x:c>
      <x:c r="X195" s="32" t="str">
        <x:v>夫妻星在M3-BASE中是接口而非核心权威；其状态未定不应无故删除清楚的日支底盘。</x:v>
      </x:c>
      <x:c r="Y195" s="32" t="str">
        <x:v>核心相处底盘仍可判断，但暂不比较关系选择标准与相处方式是否连续。</x:v>
      </x:c>
      <x:c r="Z195" s="32" t="str">
        <x:v>不得让夫妻星接口覆盖日支主权威。</x:v>
      </x:c>
      <x:c r="AA195" s="32" t="str">
        <x:v>中高</x:v>
      </x:c>
      <x:c r="AB195" s="32" t="str">
        <x:v>待验证</x:v>
      </x:c>
      <x:c r="AC195" s="32" t="str"/>
      <x:c r="AD195" s="32" t="str">
        <x:v>provisional=true; mandatory_gate=true</x:v>
      </x:c>
      <x:c r="AE195" s="39" t="str">
        <x:v>0.2</x:v>
      </x:c>
    </x:row>
    <x:row r="196">
      <x:c r="A196" s="38" t="str">
        <x:v>M3-BASE-192</x:v>
      </x:c>
      <x:c r="B196" s="32" t="str">
        <x:v>宫位动态未达有效阈值｜不得修正</x:v>
      </x:c>
      <x:c r="C196" s="32" t="str">
        <x:v>L8 总合成与边界审查</x:v>
      </x:c>
      <x:c r="D196" s="32" t="str">
        <x:v>BASE-门控停止</x:v>
      </x:c>
      <x:c r="E196" s="32" t="str">
        <x:v>通用</x:v>
      </x:c>
      <x:c r="F196" s="32" t="str">
        <x:v>门控</x:v>
      </x:c>
      <x:c r="G196" s="32" t="str">
        <x:v>弱合冲刑害破</x:v>
      </x:c>
      <x:c r="H196" s="32" t="str"/>
      <x:c r="I196" s="32" t="str">
        <x:v>存在形式关系但强度、距离、成立条件或作用路径不足。</x:v>
      </x:c>
      <x:c r="J196" s="32" t="str">
        <x:v>动态已达到有效阈值。</x:v>
      </x:c>
      <x:c r="K196" s="32" t="str">
        <x:v>不限定；由后续模块修正</x:v>
      </x:c>
      <x:c r="L196" s="32" t="str">
        <x:v>不限定</x:v>
      </x:c>
      <x:c r="M196" s="32" t="str">
        <x:v>日支／BASE全局</x:v>
      </x:c>
      <x:c r="N196" s="32" t="str">
        <x:v>无／待后续模块组合</x:v>
      </x:c>
      <x:c r="O196" s="32" t="str">
        <x:v>日支或与日支直接相关</x:v>
      </x:c>
      <x:c r="P196" s="32" t="str">
        <x:v>由共享基础引擎判定</x:v>
      </x:c>
      <x:c r="Q196" s="32" t="str">
        <x:v>由共享基础引擎判定</x:v>
      </x:c>
      <x:c r="R196" s="32" t="str">
        <x:v>喜忌未定或由共享引擎提供</x:v>
      </x:c>
      <x:c r="S196" s="32" t="str">
        <x:v>原十神性质有效；无真合化或已完成相应路由</x:v>
      </x:c>
      <x:c r="T196" s="32" t="str">
        <x:v>近</x:v>
      </x:c>
      <x:c r="U196" s="32" t="n">
        <x:v>100</x:v>
      </x:c>
      <x:c r="V196" s="32" t="str">
        <x:v>不进入stress_shift</x:v>
      </x:c>
      <x:c r="W196" s="32" t="str">
        <x:v>stress_shift</x:v>
      </x:c>
      <x:c r="X196" s="32" t="str">
        <x:v>所有宫位动态必须先经过共享引擎有效性筛选。</x:v>
      </x:c>
      <x:c r="Y196" s="32" t="str">
        <x:v>这项结构只保留为背景，不足以改变你关系中的核心相处节奏。</x:v>
      </x:c>
      <x:c r="Z196" s="32" t="str">
        <x:v>不得见到合冲刑害破就生成对应文案。</x:v>
      </x:c>
      <x:c r="AA196" s="32" t="str">
        <x:v>高</x:v>
      </x:c>
      <x:c r="AB196" s="32" t="str">
        <x:v>待验证</x:v>
      </x:c>
      <x:c r="AC196" s="32" t="str"/>
      <x:c r="AD196" s="32" t="str">
        <x:v>provisional=true; mandatory_gate=true</x:v>
      </x:c>
      <x:c r="AE196" s="39" t="str">
        <x:v>0.2</x:v>
      </x:c>
    </x:row>
    <x:row r="197">
      <x:c r="A197" s="38" t="str">
        <x:v>M3-BASE-193</x:v>
      </x:c>
      <x:c r="B197" s="32" t="str">
        <x:v>一个source_id只算一次基础权重</x:v>
      </x:c>
      <x:c r="C197" s="32" t="str">
        <x:v>L8 总合成与边界审查</x:v>
      </x:c>
      <x:c r="D197" s="32" t="str">
        <x:v>BASE-门控停止</x:v>
      </x:c>
      <x:c r="E197" s="32" t="str">
        <x:v>通用</x:v>
      </x:c>
      <x:c r="F197" s="32" t="str">
        <x:v>去重</x:v>
      </x:c>
      <x:c r="G197" s="32" t="str">
        <x:v>同源证据</x:v>
      </x:c>
      <x:c r="H197" s="32" t="str"/>
      <x:c r="I197" s="32" t="str">
        <x:v>同一个日支事实被BASE、M2接口、藏干层级或宫位动态多次读取。</x:v>
      </x:c>
      <x:c r="J197" s="32" t="str">
        <x:v>不同位置、不同根气且可分离的独立证据。</x:v>
      </x:c>
      <x:c r="K197" s="32" t="str">
        <x:v>不限定；由后续模块修正</x:v>
      </x:c>
      <x:c r="L197" s="32" t="str">
        <x:v>不限定</x:v>
      </x:c>
      <x:c r="M197" s="32" t="str">
        <x:v>日支／BASE全局</x:v>
      </x:c>
      <x:c r="N197" s="32" t="str">
        <x:v>无／待后续模块组合</x:v>
      </x:c>
      <x:c r="O197" s="32" t="str">
        <x:v>日支或与日支直接相关</x:v>
      </x:c>
      <x:c r="P197" s="32" t="str">
        <x:v>由共享基础引擎判定</x:v>
      </x:c>
      <x:c r="Q197" s="32" t="str">
        <x:v>由共享基础引擎判定</x:v>
      </x:c>
      <x:c r="R197" s="32" t="str">
        <x:v>喜忌未定或由共享引擎提供</x:v>
      </x:c>
      <x:c r="S197" s="32" t="str">
        <x:v>原十神性质有效；无真合化或已完成相应路由</x:v>
      </x:c>
      <x:c r="T197" s="32" t="str">
        <x:v>近</x:v>
      </x:c>
      <x:c r="U197" s="32" t="n">
        <x:v>100</x:v>
      </x:c>
      <x:c r="V197" s="32" t="str">
        <x:v>基础分只计一次；解释可多视角</x:v>
      </x:c>
      <x:c r="W197" s="32" t="str">
        <x:v>dedup_log</x:v>
      </x:c>
      <x:c r="X197" s="32" t="str">
        <x:v>解释角度可以不同，但证据数量必须按事实来源而不是规则命中数统计。</x:v>
      </x:c>
      <x:c r="Y197" s="32" t="str">
        <x:v>同一项命理事实会从不同角度说明，但不会被重复算成多条独立证据。</x:v>
      </x:c>
      <x:c r="Z197" s="32" t="str">
        <x:v>不得用规则数量替代证据数量。</x:v>
      </x:c>
      <x:c r="AA197" s="32" t="str">
        <x:v>高</x:v>
      </x:c>
      <x:c r="AB197" s="32" t="str">
        <x:v>待验证</x:v>
      </x:c>
      <x:c r="AC197" s="32" t="str"/>
      <x:c r="AD197" s="32" t="str">
        <x:v>provisional=true; mandatory_gate=true</x:v>
      </x:c>
      <x:c r="AE197" s="39" t="str">
        <x:v>0.2</x:v>
      </x:c>
    </x:row>
    <x:row r="198">
      <x:c r="A198" s="38" t="str">
        <x:v>M3-BASE-194</x:v>
      </x:c>
      <x:c r="B198" s="32" t="str">
        <x:v>日干日支关系与日支十神｜强制同源</x:v>
      </x:c>
      <x:c r="C198" s="32" t="str">
        <x:v>L8 总合成与边界审查</x:v>
      </x:c>
      <x:c r="D198" s="32" t="str">
        <x:v>BASE-门控停止</x:v>
      </x:c>
      <x:c r="E198" s="32" t="str">
        <x:v>通用</x:v>
      </x:c>
      <x:c r="F198" s="32" t="str">
        <x:v>去重</x:v>
      </x:c>
      <x:c r="G198" s="32" t="str">
        <x:v>日干日支生克</x:v>
      </x:c>
      <x:c r="H198" s="32" t="str">
        <x:v>日支主气十神</x:v>
      </x:c>
      <x:c r="I198" s="32" t="str">
        <x:v>两项同时进入BASE。</x:v>
      </x:c>
      <x:c r="J198" s="32" t="str">
        <x:v>真合化后已经改道，或分析的是不同层级。</x:v>
      </x:c>
      <x:c r="K198" s="32" t="str">
        <x:v>不限定；由后续模块修正</x:v>
      </x:c>
      <x:c r="L198" s="32" t="str">
        <x:v>不限定</x:v>
      </x:c>
      <x:c r="M198" s="32" t="str">
        <x:v>日支／BASE全局</x:v>
      </x:c>
      <x:c r="N198" s="32" t="str">
        <x:v>无／待后续模块组合</x:v>
      </x:c>
      <x:c r="O198" s="32" t="str">
        <x:v>日支或与日支直接相关</x:v>
      </x:c>
      <x:c r="P198" s="32" t="str">
        <x:v>由共享基础引擎判定</x:v>
      </x:c>
      <x:c r="Q198" s="32" t="str">
        <x:v>由共享基础引擎判定</x:v>
      </x:c>
      <x:c r="R198" s="32" t="str">
        <x:v>喜忌未定或由共享引擎提供</x:v>
      </x:c>
      <x:c r="S198" s="32" t="str">
        <x:v>原十神性质有效；无真合化或已完成相应路由</x:v>
      </x:c>
      <x:c r="T198" s="32" t="str">
        <x:v>近</x:v>
      </x:c>
      <x:c r="U198" s="32" t="n">
        <x:v>100</x:v>
      </x:c>
      <x:c r="V198" s="32" t="str">
        <x:v>同一基础簇；只保留一次+25</x:v>
      </x:c>
      <x:c r="W198" s="32" t="str">
        <x:v>dedup_log</x:v>
      </x:c>
      <x:c r="X198" s="32" t="str">
        <x:v>日支十神由日干与日支主气生克及阴阳关系产生，两者属于同一事实。</x:v>
      </x:c>
      <x:c r="Y198" s="32" t="str">
        <x:v>五行关系和十神名称只是同一底盘的两种表达，不会重复加分。</x:v>
      </x:c>
      <x:c r="Z198" s="32" t="str">
        <x:v>不得把两者当成互相印证的独立证据。</x:v>
      </x:c>
      <x:c r="AA198" s="32" t="str">
        <x:v>高</x:v>
      </x:c>
      <x:c r="AB198" s="32" t="str">
        <x:v>待验证</x:v>
      </x:c>
      <x:c r="AC198" s="32" t="str"/>
      <x:c r="AD198" s="32" t="str">
        <x:v>provisional=true; mandatory_gate=true</x:v>
      </x:c>
      <x:c r="AE198" s="39" t="str">
        <x:v>0.2</x:v>
      </x:c>
    </x:row>
    <x:row r="199">
      <x:c r="A199" s="38" t="str">
        <x:v>M3-BASE-195</x:v>
      </x:c>
      <x:c r="B199" s="32" t="str">
        <x:v>藏干与以其为根的透干｜证据簇封顶</x:v>
      </x:c>
      <x:c r="C199" s="32" t="str">
        <x:v>L8 总合成与边界审查</x:v>
      </x:c>
      <x:c r="D199" s="32" t="str">
        <x:v>BASE-门控停止</x:v>
      </x:c>
      <x:c r="E199" s="32" t="str">
        <x:v>通用</x:v>
      </x:c>
      <x:c r="F199" s="32" t="str">
        <x:v>去重</x:v>
      </x:c>
      <x:c r="G199" s="32" t="str">
        <x:v>日支藏干</x:v>
      </x:c>
      <x:c r="H199" s="32" t="str">
        <x:v>同根透干</x:v>
      </x:c>
      <x:c r="I199" s="32" t="str">
        <x:v>天干十神直接以日支藏干为根，且无其他独立根气。</x:v>
      </x:c>
      <x:c r="J199" s="32" t="str">
        <x:v>天干另有独立根气和功能链。</x:v>
      </x:c>
      <x:c r="K199" s="32" t="str">
        <x:v>不限定；由后续模块修正</x:v>
      </x:c>
      <x:c r="L199" s="32" t="str">
        <x:v>不限定</x:v>
      </x:c>
      <x:c r="M199" s="32" t="str">
        <x:v>日支／BASE全局</x:v>
      </x:c>
      <x:c r="N199" s="32" t="str">
        <x:v>无／待后续模块组合</x:v>
      </x:c>
      <x:c r="O199" s="32" t="str">
        <x:v>日支或与日支直接相关</x:v>
      </x:c>
      <x:c r="P199" s="32" t="str">
        <x:v>由共享基础引擎判定</x:v>
      </x:c>
      <x:c r="Q199" s="32" t="str">
        <x:v>由共享基础引擎判定</x:v>
      </x:c>
      <x:c r="R199" s="32" t="str">
        <x:v>喜忌未定或由共享引擎提供</x:v>
      </x:c>
      <x:c r="S199" s="32" t="str">
        <x:v>原十神性质有效；无真合化或已完成相应路由</x:v>
      </x:c>
      <x:c r="T199" s="32" t="str">
        <x:v>近</x:v>
      </x:c>
      <x:c r="U199" s="32" t="n">
        <x:v>100</x:v>
      </x:c>
      <x:c r="V199" s="32" t="str">
        <x:v>基础簇封顶；透干只加外显度</x:v>
      </x:c>
      <x:c r="W199" s="32" t="str">
        <x:v>dedup_log</x:v>
      </x:c>
      <x:c r="X199" s="32" t="str">
        <x:v>根和透是同一信号的内部基础与外部呈现。</x:v>
      </x:c>
      <x:c r="Y199" s="32" t="str">
        <x:v>这项通道会被视为更容易表现出来，但不会被计算成两套相处模式。</x:v>
      </x:c>
      <x:c r="Z199" s="32" t="str">
        <x:v>不得用“透＋根”制造虚假的双重证据。</x:v>
      </x:c>
      <x:c r="AA199" s="32" t="str">
        <x:v>高</x:v>
      </x:c>
      <x:c r="AB199" s="32" t="str">
        <x:v>待验证</x:v>
      </x:c>
      <x:c r="AC199" s="32" t="str"/>
      <x:c r="AD199" s="32" t="str">
        <x:v>provisional=true; mandatory_gate=true</x:v>
      </x:c>
      <x:c r="AE199" s="39" t="str">
        <x:v>0.2</x:v>
      </x:c>
    </x:row>
    <x:row r="200">
      <x:c r="A200" s="38" t="str">
        <x:v>M3-BASE-196</x:v>
      </x:c>
      <x:c r="B200" s="32" t="str">
        <x:v>M2夫妻星入宫与M3日支底盘｜跨模型去重</x:v>
      </x:c>
      <x:c r="C200" s="32" t="str">
        <x:v>L8 总合成与边界审查</x:v>
      </x:c>
      <x:c r="D200" s="32" t="str">
        <x:v>BASE-门控停止</x:v>
      </x:c>
      <x:c r="E200" s="32" t="str">
        <x:v>通用</x:v>
      </x:c>
      <x:c r="F200" s="32" t="str">
        <x:v>去重</x:v>
      </x:c>
      <x:c r="G200" s="32" t="str">
        <x:v>M2夫妻星入宫</x:v>
      </x:c>
      <x:c r="H200" s="32" t="str">
        <x:v>M3日支底盘</x:v>
      </x:c>
      <x:c r="I200" s="32" t="str">
        <x:v>M2与M3读取同一日支夫妻星事实。</x:v>
      </x:c>
      <x:c r="J200" s="32" t="str">
        <x:v>M2还有独立夫妻星证据且可与日支分离。</x:v>
      </x:c>
      <x:c r="K200" s="32" t="str">
        <x:v>不限定；由后续模块修正</x:v>
      </x:c>
      <x:c r="L200" s="32" t="str">
        <x:v>不限定</x:v>
      </x:c>
      <x:c r="M200" s="32" t="str">
        <x:v>日支／BASE全局</x:v>
      </x:c>
      <x:c r="N200" s="32" t="str">
        <x:v>无／待后续模块组合</x:v>
      </x:c>
      <x:c r="O200" s="32" t="str">
        <x:v>日支或与日支直接相关</x:v>
      </x:c>
      <x:c r="P200" s="32" t="str">
        <x:v>由共享基础引擎判定</x:v>
      </x:c>
      <x:c r="Q200" s="32" t="str">
        <x:v>由共享基础引擎判定</x:v>
      </x:c>
      <x:c r="R200" s="32" t="str">
        <x:v>喜忌未定或由共享引擎提供</x:v>
      </x:c>
      <x:c r="S200" s="32" t="str">
        <x:v>原十神性质有效；无真合化或已完成相应路由</x:v>
      </x:c>
      <x:c r="T200" s="32" t="str">
        <x:v>近</x:v>
      </x:c>
      <x:c r="U200" s="32" t="n">
        <x:v>100</x:v>
      </x:c>
      <x:c r="V200" s="32" t="str">
        <x:v>M2不抬高M3基础置信；仅保留连续性</x:v>
      </x:c>
      <x:c r="W200" s="32" t="str">
        <x:v>cross_model_ref</x:v>
      </x:c>
      <x:c r="X200" s="32" t="str">
        <x:v>跨模型相同不等于M3有更多独立证据，M1/M2只用于比较和解释连续性。</x:v>
      </x:c>
      <x:c r="Y200" s="32" t="str">
        <x:v>你的关系选择与相处方式可能主题一致，但这不会被重复计算为更高准确度。</x:v>
      </x:c>
      <x:c r="Z200" s="32" t="str">
        <x:v>不得因M1/M2/M3一致就宣传高准确率或必然性。</x:v>
      </x:c>
      <x:c r="AA200" s="32" t="str">
        <x:v>高</x:v>
      </x:c>
      <x:c r="AB200" s="32" t="str">
        <x:v>待验证</x:v>
      </x:c>
      <x:c r="AC200" s="32" t="str"/>
      <x:c r="AD200" s="32" t="str">
        <x:v>provisional=true; mandatory_gate=true</x:v>
      </x:c>
      <x:c r="AE200" s="39" t="str">
        <x:v>0.2</x:v>
      </x:c>
    </x:row>
    <x:row r="201">
      <x:c r="A201" s="38" t="str">
        <x:v>M3-BASE-197</x:v>
      </x:c>
      <x:c r="B201" s="32" t="str">
        <x:v>主底盘数量上限｜只保留一个</x:v>
      </x:c>
      <x:c r="C201" s="32" t="str">
        <x:v>L8 总合成与边界审查</x:v>
      </x:c>
      <x:c r="D201" s="32" t="str">
        <x:v>BASE-门控停止</x:v>
      </x:c>
      <x:c r="E201" s="32" t="str">
        <x:v>通用</x:v>
      </x:c>
      <x:c r="F201" s="32" t="str">
        <x:v>门控</x:v>
      </x:c>
      <x:c r="G201" s="32" t="str">
        <x:v>多个主底盘候选</x:v>
      </x:c>
      <x:c r="H201" s="32" t="str"/>
      <x:c r="I201" s="32" t="str">
        <x:v>两个以上候选试图进入relationship_baseline。</x:v>
      </x:c>
      <x:c r="J201" s="32" t="str">
        <x:v>一个候选明显领先或真合化已替换。</x:v>
      </x:c>
      <x:c r="K201" s="32" t="str">
        <x:v>不限定；由后续模块修正</x:v>
      </x:c>
      <x:c r="L201" s="32" t="str">
        <x:v>不限定</x:v>
      </x:c>
      <x:c r="M201" s="32" t="str">
        <x:v>日支／BASE全局</x:v>
      </x:c>
      <x:c r="N201" s="32" t="str">
        <x:v>无／待后续模块组合</x:v>
      </x:c>
      <x:c r="O201" s="32" t="str">
        <x:v>日支或与日支直接相关</x:v>
      </x:c>
      <x:c r="P201" s="32" t="str">
        <x:v>由共享基础引擎判定</x:v>
      </x:c>
      <x:c r="Q201" s="32" t="str">
        <x:v>由共享基础引擎判定</x:v>
      </x:c>
      <x:c r="R201" s="32" t="str">
        <x:v>喜忌未定或由共享引擎提供</x:v>
      </x:c>
      <x:c r="S201" s="32" t="str">
        <x:v>原十神性质有效；无真合化或已完成相应路由</x:v>
      </x:c>
      <x:c r="T201" s="32" t="str">
        <x:v>近</x:v>
      </x:c>
      <x:c r="U201" s="32" t="n">
        <x:v>100</x:v>
      </x:c>
      <x:c r="V201" s="32" t="str">
        <x:v>只保留1个主底盘；其余降为次级或日志</x:v>
      </x:c>
      <x:c r="W201" s="32" t="str">
        <x:v>output_limit</x:v>
      </x:c>
      <x:c r="X201" s="32" t="str">
        <x:v>M3用户报告需要一个清晰主轴；多个候选必须经主次、同源和功能分工裁决。</x:v>
      </x:c>
      <x:c r="Y201" s="32" t="str">
        <x:v>最终会优先保留一个最能解释关系运行的核心底盘。</x:v>
      </x:c>
      <x:c r="Z201" s="32" t="str">
        <x:v>不得输出三四个并列核心造成万能画像。</x:v>
      </x:c>
      <x:c r="AA201" s="32" t="str">
        <x:v>高</x:v>
      </x:c>
      <x:c r="AB201" s="32" t="str">
        <x:v>待验证</x:v>
      </x:c>
      <x:c r="AC201" s="32" t="str"/>
      <x:c r="AD201" s="32" t="str">
        <x:v>provisional=true; mandatory_gate=true</x:v>
      </x:c>
      <x:c r="AE201" s="39" t="str">
        <x:v>0.2</x:v>
      </x:c>
    </x:row>
    <x:row r="202">
      <x:c r="A202" s="38" t="str">
        <x:v>M3-BASE-198</x:v>
      </x:c>
      <x:c r="B202" s="32" t="str">
        <x:v>次级底盘数量上限｜最多一个</x:v>
      </x:c>
      <x:c r="C202" s="32" t="str">
        <x:v>L8 总合成与边界审查</x:v>
      </x:c>
      <x:c r="D202" s="32" t="str">
        <x:v>BASE-门控停止</x:v>
      </x:c>
      <x:c r="E202" s="32" t="str">
        <x:v>通用</x:v>
      </x:c>
      <x:c r="F202" s="32" t="str">
        <x:v>门控</x:v>
      </x:c>
      <x:c r="G202" s="32" t="str">
        <x:v>多个次通道候选</x:v>
      </x:c>
      <x:c r="H202" s="32" t="str"/>
      <x:c r="I202" s="32" t="str">
        <x:v>两个以上候选试图进入secondary_baseline或正文。</x:v>
      </x:c>
      <x:c r="J202" s="32" t="str">
        <x:v>用户要求专业展开且每项均有独立高置信证据。</x:v>
      </x:c>
      <x:c r="K202" s="32" t="str">
        <x:v>不限定；由后续模块修正</x:v>
      </x:c>
      <x:c r="L202" s="32" t="str">
        <x:v>不限定</x:v>
      </x:c>
      <x:c r="M202" s="32" t="str">
        <x:v>日支／BASE全局</x:v>
      </x:c>
      <x:c r="N202" s="32" t="str">
        <x:v>无／待后续模块组合</x:v>
      </x:c>
      <x:c r="O202" s="32" t="str">
        <x:v>日支或与日支直接相关</x:v>
      </x:c>
      <x:c r="P202" s="32" t="str">
        <x:v>由共享基础引擎判定</x:v>
      </x:c>
      <x:c r="Q202" s="32" t="str">
        <x:v>由共享基础引擎判定</x:v>
      </x:c>
      <x:c r="R202" s="32" t="str">
        <x:v>喜忌未定或由共享引擎提供</x:v>
      </x:c>
      <x:c r="S202" s="32" t="str">
        <x:v>原十神性质有效；无真合化或已完成相应路由</x:v>
      </x:c>
      <x:c r="T202" s="32" t="str">
        <x:v>近</x:v>
      </x:c>
      <x:c r="U202" s="32" t="n">
        <x:v>100</x:v>
      </x:c>
      <x:c r="V202" s="32" t="str">
        <x:v>正文最多1个次通道；其余进入依据日志</x:v>
      </x:c>
      <x:c r="W202" s="32" t="str">
        <x:v>output_limit</x:v>
      </x:c>
      <x:c r="X202" s="32" t="str">
        <x:v>BASE阶段只保留最有辨识度的补充通道，详细任务分工留给后续模块。</x:v>
      </x:c>
      <x:c r="Y202" s="32" t="str">
        <x:v>除核心方式外，正文最多再保留一项真正有作用的补充。</x:v>
      </x:c>
      <x:c r="Z202" s="32" t="str">
        <x:v>不得把全部支持信号逐条展示给用户。</x:v>
      </x:c>
      <x:c r="AA202" s="32" t="str">
        <x:v>高</x:v>
      </x:c>
      <x:c r="AB202" s="32" t="str">
        <x:v>待验证</x:v>
      </x:c>
      <x:c r="AC202" s="32" t="str"/>
      <x:c r="AD202" s="32" t="str">
        <x:v>provisional=true; mandatory_gate=true</x:v>
      </x:c>
      <x:c r="AE202" s="39" t="str">
        <x:v>0.2</x:v>
      </x:c>
    </x:row>
    <x:row r="203">
      <x:c r="A203" s="38" t="str">
        <x:v>M3-BASE-199</x:v>
      </x:c>
      <x:c r="B203" s="32" t="str">
        <x:v>P11双通道｜独立性门槛</x:v>
      </x:c>
      <x:c r="C203" s="32" t="str">
        <x:v>L8 总合成与边界审查</x:v>
      </x:c>
      <x:c r="D203" s="32" t="str">
        <x:v>BASE-门控停止</x:v>
      </x:c>
      <x:c r="E203" s="32" t="str">
        <x:v>通用</x:v>
      </x:c>
      <x:c r="F203" s="32" t="str">
        <x:v>门控</x:v>
      </x:c>
      <x:c r="G203" s="32" t="str">
        <x:v>P11 双通道候选</x:v>
      </x:c>
      <x:c r="H203" s="32" t="str"/>
      <x:c r="I203" s="32" t="str">
        <x:v>两套通道功能不同、来源独立、均达到最低有效阈值，且能说明任务或场景分工。</x:v>
      </x:c>
      <x:c r="J203" s="32" t="str">
        <x:v>同系统重复、同源证据、弱远信号、分工无法说明。</x:v>
      </x:c>
      <x:c r="K203" s="32" t="str">
        <x:v>不限定；由后续模块修正</x:v>
      </x:c>
      <x:c r="L203" s="32" t="str">
        <x:v>不限定</x:v>
      </x:c>
      <x:c r="M203" s="32" t="str">
        <x:v>日支／BASE全局</x:v>
      </x:c>
      <x:c r="N203" s="32" t="str">
        <x:v>无／待后续模块组合</x:v>
      </x:c>
      <x:c r="O203" s="32" t="str">
        <x:v>日支或与日支直接相关</x:v>
      </x:c>
      <x:c r="P203" s="32" t="str">
        <x:v>由共享基础引擎判定</x:v>
      </x:c>
      <x:c r="Q203" s="32" t="str">
        <x:v>由共享基础引擎判定</x:v>
      </x:c>
      <x:c r="R203" s="32" t="str">
        <x:v>喜忌未定或由共享引擎提供</x:v>
      </x:c>
      <x:c r="S203" s="32" t="str">
        <x:v>原十神性质有效；无真合化或已完成相应路由</x:v>
      </x:c>
      <x:c r="T203" s="32" t="str">
        <x:v>近</x:v>
      </x:c>
      <x:c r="U203" s="32" t="n">
        <x:v>100</x:v>
      </x:c>
      <x:c r="V203" s="32" t="str">
        <x:v>满足才进入P11；否则主次或收敛</x:v>
      </x:c>
      <x:c r="W203" s="32" t="str">
        <x:v>interaction_pattern</x:v>
      </x:c>
      <x:c r="X203" s="32" t="str">
        <x:v>双通道不是“两个十神都旺”，而是两套功能在现实互动中有可解释分工。</x:v>
      </x:c>
      <x:c r="Y203" s="32" t="str">
        <x:v>只有当两套方式分别承担不同任务时，才适合把你概括为双通道相处。</x:v>
      </x:c>
      <x:c r="Z203" s="32" t="str">
        <x:v>不得用双通道包装不确定性或标签堆积。</x:v>
      </x:c>
      <x:c r="AA203" s="32" t="str">
        <x:v>高</x:v>
      </x:c>
      <x:c r="AB203" s="32" t="str">
        <x:v>待验证</x:v>
      </x:c>
      <x:c r="AC203" s="32" t="str"/>
      <x:c r="AD203" s="32" t="str">
        <x:v>provisional=true; mandatory_gate=true</x:v>
      </x:c>
      <x:c r="AE203" s="39" t="str">
        <x:v>0.2</x:v>
      </x:c>
    </x:row>
    <x:row r="204">
      <x:c r="A204" s="38" t="str">
        <x:v>M3-BASE-200</x:v>
      </x:c>
      <x:c r="B204" s="32" t="str">
        <x:v>P12情境切换｜稳定切换门槛</x:v>
      </x:c>
      <x:c r="C204" s="32" t="str">
        <x:v>L8 总合成与边界审查</x:v>
      </x:c>
      <x:c r="D204" s="32" t="str">
        <x:v>BASE-门控停止</x:v>
      </x:c>
      <x:c r="E204" s="32" t="str">
        <x:v>通用</x:v>
      </x:c>
      <x:c r="F204" s="32" t="str">
        <x:v>门控</x:v>
      </x:c>
      <x:c r="G204" s="32" t="str">
        <x:v>P12 情境切换候选</x:v>
      </x:c>
      <x:c r="H204" s="32" t="str"/>
      <x:c r="I204" s="32" t="str">
        <x:v>至少两类状态或场景能稳定触发不同通道；有结构证据说明切换条件。</x:v>
      </x:c>
      <x:c r="J204" s="32" t="str">
        <x:v>仅因多藏干、信号冲突或基础不确定。</x:v>
      </x:c>
      <x:c r="K204" s="32" t="str">
        <x:v>不限定；由后续模块修正</x:v>
      </x:c>
      <x:c r="L204" s="32" t="str">
        <x:v>不限定</x:v>
      </x:c>
      <x:c r="M204" s="32" t="str">
        <x:v>日支／BASE全局</x:v>
      </x:c>
      <x:c r="N204" s="32" t="str">
        <x:v>无／待后续模块组合</x:v>
      </x:c>
      <x:c r="O204" s="32" t="str">
        <x:v>日支或与日支直接相关</x:v>
      </x:c>
      <x:c r="P204" s="32" t="str">
        <x:v>由共享基础引擎判定</x:v>
      </x:c>
      <x:c r="Q204" s="32" t="str">
        <x:v>由共享基础引擎判定</x:v>
      </x:c>
      <x:c r="R204" s="32" t="str">
        <x:v>喜忌未定或由共享引擎提供</x:v>
      </x:c>
      <x:c r="S204" s="32" t="str">
        <x:v>原十神性质有效；无真合化或已完成相应路由</x:v>
      </x:c>
      <x:c r="T204" s="32" t="str">
        <x:v>近</x:v>
      </x:c>
      <x:c r="U204" s="32" t="n">
        <x:v>100</x:v>
      </x:c>
      <x:c r="V204" s="32" t="str">
        <x:v>满足才输出P12；否则低置信</x:v>
      </x:c>
      <x:c r="W204" s="32" t="str">
        <x:v>interaction_pattern</x:v>
      </x:c>
      <x:c r="X204" s="32" t="str">
        <x:v>情境切换必须可说明“什么情况下切到什么”，不能用来掩盖无法判断主次。</x:v>
      </x:c>
      <x:c r="Y204" s="32" t="str">
        <x:v>只有当不同场景会稳定触发不同方式时，才会输出情境切换型。</x:v>
      </x:c>
      <x:c r="Z204" s="32" t="str">
        <x:v>不得把不确定性写成灵活多变。</x:v>
      </x:c>
      <x:c r="AA204" s="32" t="str">
        <x:v>高</x:v>
      </x:c>
      <x:c r="AB204" s="32" t="str">
        <x:v>待验证</x:v>
      </x:c>
      <x:c r="AC204" s="32" t="str"/>
      <x:c r="AD204" s="32" t="str">
        <x:v>provisional=true; mandatory_gate=true</x:v>
      </x:c>
      <x:c r="AE204" s="39" t="str">
        <x:v>0.2</x:v>
      </x:c>
    </x:row>
    <x:row r="205">
      <x:c r="A205" s="38" t="str">
        <x:v>M3-BASE-201</x:v>
      </x:c>
      <x:c r="B205" s="32" t="str">
        <x:v>BASE不得提前锁定表达细节</x:v>
      </x:c>
      <x:c r="C205" s="32" t="str">
        <x:v>L8 总合成与边界审查</x:v>
      </x:c>
      <x:c r="D205" s="32" t="str">
        <x:v>BASE-门控停止</x:v>
      </x:c>
      <x:c r="E205" s="32" t="str">
        <x:v>通用</x:v>
      </x:c>
      <x:c r="F205" s="32" t="str">
        <x:v>边界</x:v>
      </x:c>
      <x:c r="G205" s="32" t="str">
        <x:v>BASE过程候选</x:v>
      </x:c>
      <x:c r="H205" s="32" t="str">
        <x:v>M3-EXPR</x:v>
      </x:c>
      <x:c r="I205" s="32" t="str">
        <x:v>BASE规则试图输出具体语言频率、情绪表达强度或沟通措辞。</x:v>
      </x:c>
      <x:c r="J205" s="32" t="str">
        <x:v>仅输出上位候选并明确待EXPR复核。</x:v>
      </x:c>
      <x:c r="K205" s="32" t="str">
        <x:v>不限定；由后续模块修正</x:v>
      </x:c>
      <x:c r="L205" s="32" t="str">
        <x:v>不限定</x:v>
      </x:c>
      <x:c r="M205" s="32" t="str">
        <x:v>日支／BASE全局</x:v>
      </x:c>
      <x:c r="N205" s="32" t="str">
        <x:v>无／待后续模块组合</x:v>
      </x:c>
      <x:c r="O205" s="32" t="str">
        <x:v>日支或与日支直接相关</x:v>
      </x:c>
      <x:c r="P205" s="32" t="str">
        <x:v>由共享基础引擎判定</x:v>
      </x:c>
      <x:c r="Q205" s="32" t="str">
        <x:v>由共享基础引擎判定</x:v>
      </x:c>
      <x:c r="R205" s="32" t="str">
        <x:v>喜忌未定或由共享引擎提供</x:v>
      </x:c>
      <x:c r="S205" s="32" t="str">
        <x:v>原十神性质有效；无真合化或已完成相应路由</x:v>
      </x:c>
      <x:c r="T205" s="32" t="str">
        <x:v>近</x:v>
      </x:c>
      <x:c r="U205" s="32" t="n">
        <x:v>100</x:v>
      </x:c>
      <x:c r="V205" s="32" t="str">
        <x:v>具体表达字段拦截；只保留路由</x:v>
      </x:c>
      <x:c r="W205" s="32" t="str">
        <x:v>affection_expression／communication_style</x:v>
      </x:c>
      <x:c r="X205" s="32" t="str">
        <x:v>日支底盘只能提供表达通道候选，具体如何说、何时说由EXPR负责。</x:v>
      </x:c>
      <x:c r="Y205" s="32" t="str">
        <x:v>当前只能判断你更靠近哪类表达通道，具体外显程度需要继续分析。</x:v>
      </x:c>
      <x:c r="Z205" s="32" t="str">
        <x:v>不得仅凭日支断定话多、沉默、直说、冷处理等具体行为。</x:v>
      </x:c>
      <x:c r="AA205" s="32" t="str">
        <x:v>高</x:v>
      </x:c>
      <x:c r="AB205" s="32" t="str">
        <x:v>待验证</x:v>
      </x:c>
      <x:c r="AC205" s="32" t="str"/>
      <x:c r="AD205" s="32" t="str">
        <x:v>provisional=true; mandatory_gate=true</x:v>
      </x:c>
      <x:c r="AE205" s="39" t="str">
        <x:v>0.2</x:v>
      </x:c>
    </x:row>
    <x:row r="206">
      <x:c r="A206" s="38" t="str">
        <x:v>M3-BASE-202</x:v>
      </x:c>
      <x:c r="B206" s="32" t="str">
        <x:v>BASE不得提前锁定分歧与修复</x:v>
      </x:c>
      <x:c r="C206" s="32" t="str">
        <x:v>L8 总合成与边界审查</x:v>
      </x:c>
      <x:c r="D206" s="32" t="str">
        <x:v>BASE-门控停止</x:v>
      </x:c>
      <x:c r="E206" s="32" t="str">
        <x:v>通用</x:v>
      </x:c>
      <x:c r="F206" s="32" t="str">
        <x:v>边界</x:v>
      </x:c>
      <x:c r="G206" s="32" t="str">
        <x:v>BASE状态候选</x:v>
      </x:c>
      <x:c r="H206" s="32" t="str">
        <x:v>CONFLICT／REPAIR</x:v>
      </x:c>
      <x:c r="I206" s="32" t="str">
        <x:v>BASE规则试图输出固定争执方式、冷战、道歉或复合路径。</x:v>
      </x:c>
      <x:c r="J206" s="32" t="str">
        <x:v>仅输出状态路由候选并明确待后续复核。</x:v>
      </x:c>
      <x:c r="K206" s="32" t="str">
        <x:v>不限定；由后续模块修正</x:v>
      </x:c>
      <x:c r="L206" s="32" t="str">
        <x:v>不限定</x:v>
      </x:c>
      <x:c r="M206" s="32" t="str">
        <x:v>日支／BASE全局</x:v>
      </x:c>
      <x:c r="N206" s="32" t="str">
        <x:v>无／待后续模块组合</x:v>
      </x:c>
      <x:c r="O206" s="32" t="str">
        <x:v>日支或与日支直接相关</x:v>
      </x:c>
      <x:c r="P206" s="32" t="str">
        <x:v>由共享基础引擎判定</x:v>
      </x:c>
      <x:c r="Q206" s="32" t="str">
        <x:v>由共享基础引擎判定</x:v>
      </x:c>
      <x:c r="R206" s="32" t="str">
        <x:v>喜忌未定或由共享引擎提供</x:v>
      </x:c>
      <x:c r="S206" s="32" t="str">
        <x:v>原十神性质有效；无真合化或已完成相应路由</x:v>
      </x:c>
      <x:c r="T206" s="32" t="str">
        <x:v>近</x:v>
      </x:c>
      <x:c r="U206" s="32" t="n">
        <x:v>100</x:v>
      </x:c>
      <x:c r="V206" s="32" t="str">
        <x:v>具体字段拦截；只保留route</x:v>
      </x:c>
      <x:c r="W206" s="32" t="str">
        <x:v>conflict_response／repair_path</x:v>
      </x:c>
      <x:c r="X206" s="32" t="str">
        <x:v>分歧和修复需要食伤出口、官杀行动、印星承接、比劫边界与流向共同判断。</x:v>
      </x:c>
      <x:c r="Y206" s="32" t="str">
        <x:v>目前只能看出某类处理方向更可能被启动，不能仅凭底盘确定完整分歧或修复方式。</x:v>
      </x:c>
      <x:c r="Z206" s="32" t="str">
        <x:v>不得把合冲刑害破直接翻译为争吵、冷战或复合行为。</x:v>
      </x:c>
      <x:c r="AA206" s="32" t="str">
        <x:v>高</x:v>
      </x:c>
      <x:c r="AB206" s="32" t="str">
        <x:v>待验证</x:v>
      </x:c>
      <x:c r="AC206" s="32" t="str"/>
      <x:c r="AD206" s="32" t="str">
        <x:v>provisional=true; mandatory_gate=true</x:v>
      </x:c>
      <x:c r="AE206" s="39" t="str">
        <x:v>0.2</x:v>
      </x:c>
    </x:row>
    <x:row r="207">
      <x:c r="A207" s="38" t="str">
        <x:v>M3-BASE-203</x:v>
      </x:c>
      <x:c r="B207" s="32" t="str">
        <x:v>日支不等于配偶人格｜强制边界</x:v>
      </x:c>
      <x:c r="C207" s="32" t="str">
        <x:v>L8 总合成与边界审查</x:v>
      </x:c>
      <x:c r="D207" s="32" t="str">
        <x:v>BASE-门控停止</x:v>
      </x:c>
      <x:c r="E207" s="32" t="str">
        <x:v>通用</x:v>
      </x:c>
      <x:c r="F207" s="32" t="str">
        <x:v>边界</x:v>
      </x:c>
      <x:c r="G207" s="32" t="str">
        <x:v>日支／夫妻宫</x:v>
      </x:c>
      <x:c r="H207" s="32" t="str">
        <x:v>配偶性格</x:v>
      </x:c>
      <x:c r="I207" s="32" t="str">
        <x:v>任何日支十神或宫位动态准备进入用户输出。</x:v>
      </x:c>
      <x:c r="J207" s="32" t="str">
        <x:v>无。</x:v>
      </x:c>
      <x:c r="K207" s="32" t="str">
        <x:v>不限定；由后续模块修正</x:v>
      </x:c>
      <x:c r="L207" s="32" t="str">
        <x:v>不限定</x:v>
      </x:c>
      <x:c r="M207" s="32" t="str">
        <x:v>日支／BASE全局</x:v>
      </x:c>
      <x:c r="N207" s="32" t="str">
        <x:v>无／待后续模块组合</x:v>
      </x:c>
      <x:c r="O207" s="32" t="str">
        <x:v>日支或与日支直接相关</x:v>
      </x:c>
      <x:c r="P207" s="32" t="str">
        <x:v>由共享基础引擎判定</x:v>
      </x:c>
      <x:c r="Q207" s="32" t="str">
        <x:v>由共享基础引擎判定</x:v>
      </x:c>
      <x:c r="R207" s="32" t="str">
        <x:v>喜忌未定或由共享引擎提供</x:v>
      </x:c>
      <x:c r="S207" s="32" t="str">
        <x:v>原十神性质有效；无真合化或已完成相应路由</x:v>
      </x:c>
      <x:c r="T207" s="32" t="str">
        <x:v>近</x:v>
      </x:c>
      <x:c r="U207" s="32" t="n">
        <x:v>100</x:v>
      </x:c>
      <x:c r="V207" s="32" t="str">
        <x:v>强制替换为“关系底盘／你在关系中更习惯”</x:v>
      </x:c>
      <x:c r="W207" s="32" t="str">
        <x:v>boundary_note</x:v>
      </x:c>
      <x:c r="X207" s="32" t="str">
        <x:v>日支优先解释用户在亲密关系中的运行场域，不直接描述实际配偶的人格、职业或品质。</x:v>
      </x:c>
      <x:c r="Y207" s="32" t="str">
        <x:v>这里说的是你进入关系后更容易使用的相处方式，不是在给未来伴侣下性格结论。</x:v>
      </x:c>
      <x:c r="Z207" s="32" t="str">
        <x:v>不得使用“你的配偶一定……”作为BASE输出。</x:v>
      </x:c>
      <x:c r="AA207" s="32" t="str">
        <x:v>高</x:v>
      </x:c>
      <x:c r="AB207" s="32" t="str">
        <x:v>待验证</x:v>
      </x:c>
      <x:c r="AC207" s="32" t="str"/>
      <x:c r="AD207" s="32" t="str">
        <x:v>provisional=true; mandatory_gate=true</x:v>
      </x:c>
      <x:c r="AE207" s="39" t="str">
        <x:v>0.2</x:v>
      </x:c>
    </x:row>
    <x:row r="208">
      <x:c r="A208" s="38" t="str">
        <x:v>M3-BASE-204</x:v>
      </x:c>
      <x:c r="B208" s="32" t="str">
        <x:v>M3不得输出风险与适配｜强制边界</x:v>
      </x:c>
      <x:c r="C208" s="32" t="str">
        <x:v>L8 总合成与边界审查</x:v>
      </x:c>
      <x:c r="D208" s="32" t="str">
        <x:v>BASE-门控停止</x:v>
      </x:c>
      <x:c r="E208" s="32" t="str">
        <x:v>通用</x:v>
      </x:c>
      <x:c r="F208" s="32" t="str">
        <x:v>边界</x:v>
      </x:c>
      <x:c r="G208" s="32" t="str">
        <x:v>M3-BASE结论</x:v>
      </x:c>
      <x:c r="H208" s="32" t="str">
        <x:v>M4／M5</x:v>
      </x:c>
      <x:c r="I208" s="32" t="str">
        <x:v>任何BASE结论准备延伸为好坏、风险或适合对象。</x:v>
      </x:c>
      <x:c r="J208" s="32" t="str">
        <x:v>无。</x:v>
      </x:c>
      <x:c r="K208" s="32" t="str">
        <x:v>不限定；由后续模块修正</x:v>
      </x:c>
      <x:c r="L208" s="32" t="str">
        <x:v>不限定</x:v>
      </x:c>
      <x:c r="M208" s="32" t="str">
        <x:v>日支／BASE全局</x:v>
      </x:c>
      <x:c r="N208" s="32" t="str">
        <x:v>无／待后续模块组合</x:v>
      </x:c>
      <x:c r="O208" s="32" t="str">
        <x:v>日支或与日支直接相关</x:v>
      </x:c>
      <x:c r="P208" s="32" t="str">
        <x:v>由共享基础引擎判定</x:v>
      </x:c>
      <x:c r="Q208" s="32" t="str">
        <x:v>由共享基础引擎判定</x:v>
      </x:c>
      <x:c r="R208" s="32" t="str">
        <x:v>喜忌未定或由共享引擎提供</x:v>
      </x:c>
      <x:c r="S208" s="32" t="str">
        <x:v>原十神性质有效；无真合化或已完成相应路由</x:v>
      </x:c>
      <x:c r="T208" s="32" t="str">
        <x:v>近</x:v>
      </x:c>
      <x:c r="U208" s="32" t="n">
        <x:v>100</x:v>
      </x:c>
      <x:c r="V208" s="32" t="str">
        <x:v>拦截风险与适配语句</x:v>
      </x:c>
      <x:c r="W208" s="32" t="str">
        <x:v>boundary_note</x:v>
      </x:c>
      <x:c r="X208" s="32" t="str">
        <x:v>M3描述惯性，M4判断失衡风险，M5判断适配结构，字段权威必须分开。</x:v>
      </x:c>
      <x:c r="Y208" s="32" t="str">
        <x:v>相处惯性本身没有绝对好坏；它是否容易失衡、需要怎样匹配，要由后续模型单独判断。</x:v>
      </x:c>
      <x:c r="Z208" s="32" t="str">
        <x:v>不得输出婚姻好坏、是否幸福、是否适合某类人。</x:v>
      </x:c>
      <x:c r="AA208" s="32" t="str">
        <x:v>高</x:v>
      </x:c>
      <x:c r="AB208" s="32" t="str">
        <x:v>待验证</x:v>
      </x:c>
      <x:c r="AC208" s="32" t="str"/>
      <x:c r="AD208" s="32" t="str">
        <x:v>provisional=true; mandatory_gate=true</x:v>
      </x:c>
      <x:c r="AE208" s="39" t="str">
        <x:v>0.2</x:v>
      </x:c>
    </x:row>
    <x:row r="209">
      <x:c r="A209" s="38" t="str">
        <x:v>M3-BASE-205</x:v>
      </x:c>
      <x:c r="B209" s="32" t="str">
        <x:v>低证据时有限输出｜停止版模板</x:v>
      </x:c>
      <x:c r="C209" s="32" t="str">
        <x:v>L8 总合成与边界审查</x:v>
      </x:c>
      <x:c r="D209" s="32" t="str">
        <x:v>BASE-门控停止</x:v>
      </x:c>
      <x:c r="E209" s="32" t="str">
        <x:v>通用</x:v>
      </x:c>
      <x:c r="F209" s="32" t="str">
        <x:v>输出</x:v>
      </x:c>
      <x:c r="G209" s="32" t="str">
        <x:v>BASE证据不足</x:v>
      </x:c>
      <x:c r="H209" s="32" t="str"/>
      <x:c r="I209" s="32" t="str">
        <x:v>核心底盘低置信或部分基础字段停止，但仍有可用的上位系统信息。</x:v>
      </x:c>
      <x:c r="J209" s="32" t="str">
        <x:v>完全无可用证据。</x:v>
      </x:c>
      <x:c r="K209" s="32" t="str">
        <x:v>不限定；由后续模块修正</x:v>
      </x:c>
      <x:c r="L209" s="32" t="str">
        <x:v>不限定</x:v>
      </x:c>
      <x:c r="M209" s="32" t="str">
        <x:v>日支／BASE全局</x:v>
      </x:c>
      <x:c r="N209" s="32" t="str">
        <x:v>无／待后续模块组合</x:v>
      </x:c>
      <x:c r="O209" s="32" t="str">
        <x:v>日支或与日支直接相关</x:v>
      </x:c>
      <x:c r="P209" s="32" t="str">
        <x:v>由共享基础引擎判定</x:v>
      </x:c>
      <x:c r="Q209" s="32" t="str">
        <x:v>由共享基础引擎判定</x:v>
      </x:c>
      <x:c r="R209" s="32" t="str">
        <x:v>喜忌未定或由共享引擎提供</x:v>
      </x:c>
      <x:c r="S209" s="32" t="str">
        <x:v>原十神性质有效；无真合化或已完成相应路由</x:v>
      </x:c>
      <x:c r="T209" s="32" t="str">
        <x:v>近</x:v>
      </x:c>
      <x:c r="U209" s="32" t="n">
        <x:v>88</x:v>
      </x:c>
      <x:c r="V209" s="32" t="str">
        <x:v>只输出系统层候选＋不确定原因</x:v>
      </x:c>
      <x:c r="W209" s="32" t="str">
        <x:v>report_status</x:v>
      </x:c>
      <x:c r="X209" s="32" t="str">
        <x:v>低证据不等于必须沉默；可以有限说明目前可确认到哪一层，并明确缺失内容。</x:v>
      </x:c>
      <x:c r="Y209" s="32" t="str">
        <x:v>目前只能判断你在关系中较重视某一类互动主题，尚不足以固定为具体相处模式。</x:v>
      </x:c>
      <x:c r="Z209" s="32" t="str">
        <x:v>不得用模糊万能句伪装完整结论。</x:v>
      </x:c>
      <x:c r="AA209" s="32" t="str">
        <x:v>中</x:v>
      </x:c>
      <x:c r="AB209" s="32" t="str">
        <x:v>待验证</x:v>
      </x:c>
      <x:c r="AC209" s="32" t="str"/>
      <x:c r="AD209" s="32" t="str">
        <x:v>provisional=true; mandatory_gate=true</x:v>
      </x:c>
      <x:c r="AE209" s="39" t="str">
        <x:v>0.2</x:v>
      </x:c>
    </x:row>
    <x:row r="210">
      <x:c r="A210" s="40" t="str">
        <x:v>M3-BASE-206</x:v>
      </x:c>
      <x:c r="B210" s="57" t="str">
        <x:v>所有规则待案例校准｜发布状态</x:v>
      </x:c>
      <x:c r="C210" s="57" t="str">
        <x:v>L8 总合成与边界审查</x:v>
      </x:c>
      <x:c r="D210" s="57" t="str">
        <x:v>BASE-门控停止</x:v>
      </x:c>
      <x:c r="E210" s="57" t="str">
        <x:v>通用</x:v>
      </x:c>
      <x:c r="F210" s="57" t="str">
        <x:v>门控</x:v>
      </x:c>
      <x:c r="G210" s="57" t="str">
        <x:v>M3-BASE V0.2</x:v>
      </x:c>
      <x:c r="H210" s="57" t="str"/>
      <x:c r="I210" s="57" t="str">
        <x:v>任何规则进入开发、报告或对外说明。</x:v>
      </x:c>
      <x:c r="J210" s="57" t="str">
        <x:v>规则已完成足量案例验证并正式升级。</x:v>
      </x:c>
      <x:c r="K210" s="57" t="str">
        <x:v>不限定；由后续模块修正</x:v>
      </x:c>
      <x:c r="L210" s="57" t="str">
        <x:v>不限定</x:v>
      </x:c>
      <x:c r="M210" s="57" t="str">
        <x:v>日支／BASE全局</x:v>
      </x:c>
      <x:c r="N210" s="57" t="str">
        <x:v>无／待后续模块组合</x:v>
      </x:c>
      <x:c r="O210" s="57" t="str">
        <x:v>日支或与日支直接相关</x:v>
      </x:c>
      <x:c r="P210" s="57" t="str">
        <x:v>由共享基础引擎判定</x:v>
      </x:c>
      <x:c r="Q210" s="57" t="str">
        <x:v>由共享基础引擎判定</x:v>
      </x:c>
      <x:c r="R210" s="57" t="str">
        <x:v>喜忌未定或由共享引擎提供</x:v>
      </x:c>
      <x:c r="S210" s="57" t="str">
        <x:v>原十神性质有效；无真合化或已完成相应路由</x:v>
      </x:c>
      <x:c r="T210" s="57" t="str">
        <x:v>近</x:v>
      </x:c>
      <x:c r="U210" s="57" t="n">
        <x:v>100</x:v>
      </x:c>
      <x:c r="V210" s="57" t="str">
        <x:v>validation_status=待验证；provisional=true</x:v>
      </x:c>
      <x:c r="W210" s="57" t="str">
        <x:v>provenance</x:v>
      </x:c>
      <x:c r="X210" s="57" t="str">
        <x:v>当前权重、阈值、模式名称和用户语言均为知识工程初始参数，需要真实案例支持与反例校准。</x:v>
      </x:c>
      <x:c r="Y210" s="57" t="str">
        <x:v>当前结论用于结构化分析和案例验证，不代表统计概率或科学测量结果。</x:v>
      </x:c>
      <x:c r="Z210" s="57" t="str">
        <x:v>不得宣传命中率、准确率或已被心理学验证。</x:v>
      </x:c>
      <x:c r="AA210" s="57" t="str">
        <x:v>高</x:v>
      </x:c>
      <x:c r="AB210" s="57" t="str">
        <x:v>待验证</x:v>
      </x:c>
      <x:c r="AC210" s="57" t="str"/>
      <x:c r="AD210" s="57" t="str">
        <x:v>provisional=true; mandatory_gate=true</x:v>
      </x:c>
      <x:c r="AE210" s="41" t="str">
        <x:v>0.2</x:v>
      </x:c>
    </x:row>
  </x:sheetData>
  <x:mergeCells>
    <x:mergeCell ref="A1:AE1"/>
    <x:mergeCell ref="A2:AE2"/>
  </x:mergeCells>
  <x:conditionalFormatting sqref="AB5:AB210">
    <x:cfRule type="expression" dxfId="0" priority="1">
      <x:formula>AB5="已验证"</x:formula>
    </x:cfRule>
    <x:cfRule type="expression" dxfId="1" priority="2">
      <x:formula>AB5="待验证"</x:formula>
    </x:cfRule>
    <x:cfRule type="expression" dxfId="2" priority="3">
      <x:formula>AB5="停用"</x:formula>
    </x:cfRule>
  </x:conditionalFormatting>
  <x:dataValidations count="2">
    <x:dataValidation type="list" sqref="AA5:AA210">
      <x:formula1>"高,中高,中,中低,低,停止"</x:formula1>
    </x:dataValidation>
    <x:dataValidation type="list" sqref="AB5:AB210">
      <x:formula1>"草稿,待验证,已验证,修改,停用"</x:formula1>
    </x:dataValidation>
  </x:dataValidations>
  <x:pageMargins left="0.7" right="0.7" top="0.75" bottom="0.75" header="0.3" footer="0.3"/>
  <x:tableParts count="1">
    <x:tablePart xmlns:r="http://schemas.openxmlformats.org/officeDocument/2006/relationships" r:id="Ra90a6b15840e4588"/>
  </x:tableParts>
</x:worksheet>
</file>

<file path=xl/worksheets/sheet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50" hidden="0" customWidth="1"/>
    <x:col min="5" max="5" width="32" hidden="0" customWidth="1"/>
    <x:col min="6" max="6" width="24" hidden="0" customWidth="1"/>
    <x:col min="7" max="7" width="54" hidden="0" customWidth="1"/>
    <x:col min="8" max="8" width="10" hidden="0" customWidth="1"/>
  </x:cols>
  <x:sheetData>
    <x:row r="1" ht="19.200000762939453" hidden="0" customHeight="1">
      <x:c r="A1" s="6" t="str">
        <x:v>门控、停止、去重与边界速查</x:v>
      </x:c>
      <x:c r="B1" s="6"/>
      <x:c r="C1" s="6"/>
      <x:c r="D1" s="6"/>
      <x:c r="E1" s="6"/>
      <x:c r="F1" s="6"/>
      <x:c r="G1" s="6"/>
      <x:c r="H1" s="6"/>
    </x:row>
    <x:row r="2" ht="15" hidden="0" customHeight="1">
      <x:c r="A2" s="15" t="str">
        <x:v>分析案例时先查本页；命中硬停止后，不得继续生成流畅的确定结论。</x:v>
      </x:c>
      <x:c r="B2" s="15"/>
      <x:c r="C2" s="15"/>
      <x:c r="D2" s="15"/>
      <x:c r="E2" s="15"/>
      <x:c r="F2" s="15"/>
      <x:c r="G2" s="15"/>
      <x:c r="H2" s="15"/>
    </x:row>
    <x:row r="3"/>
    <x:row r="4" ht="15" hidden="0" customHeight="1">
      <x:c r="A4" s="36" t="str">
        <x:v>规则ID</x:v>
      </x:c>
      <x:c r="B4" s="56" t="str">
        <x:v>规则名称</x:v>
      </x:c>
      <x:c r="C4" s="56" t="str">
        <x:v>类型</x:v>
      </x:c>
      <x:c r="D4" s="56" t="str">
        <x:v>命中条件</x:v>
      </x:c>
      <x:c r="E4" s="56" t="str">
        <x:v>处理</x:v>
      </x:c>
      <x:c r="F4" s="56" t="str">
        <x:v>影响字段</x:v>
      </x:c>
      <x:c r="G4" s="56" t="str">
        <x:v>用户解释</x:v>
      </x:c>
      <x:c r="H4" s="37" t="str">
        <x:v>置信</x:v>
      </x:c>
    </x:row>
    <x:row r="5" ht="24" hidden="0" customHeight="1">
      <x:c r="A5" s="38" t="str">
        <x:v>M3-BASE-043</x:v>
      </x:c>
      <x:c r="B5" s="32" t="str">
        <x:v>日干与日支同类｜同源去重</x:v>
      </x:c>
      <x:c r="C5" s="32" t="str">
        <x:v>去重</x:v>
      </x:c>
      <x:c r="D5" s="32" t="str">
        <x:v>日干日支关系与日支主气十神同时进入同一案例计算。</x:v>
      </x:c>
      <x:c r="E5" s="32" t="str">
        <x:v>同一source_cluster仅保留一次基础权重；保留两种解释视角</x:v>
      </x:c>
      <x:c r="F5" s="32" t="str">
        <x:v>dedup_log</x:v>
      </x:c>
      <x:c r="G5" s="32" t="str">
        <x:v>这一项只作为命理依据补充，不会被重复计算成两条结论。</x:v>
      </x:c>
      <x:c r="H5" s="39" t="str">
        <x:v>高</x:v>
      </x:c>
    </x:row>
    <x:row r="6" ht="24" hidden="0" customHeight="1">
      <x:c r="A6" s="38" t="str">
        <x:v>M3-BASE-046</x:v>
      </x:c>
      <x:c r="B6" s="32" t="str">
        <x:v>日干生日支｜同源去重</x:v>
      </x:c>
      <x:c r="C6" s="32" t="str">
        <x:v>去重</x:v>
      </x:c>
      <x:c r="D6" s="32" t="str">
        <x:v>日干日支关系与日支主气十神同时进入同一案例计算。</x:v>
      </x:c>
      <x:c r="E6" s="32" t="str">
        <x:v>同一source_cluster仅保留一次基础权重；保留两种解释视角</x:v>
      </x:c>
      <x:c r="F6" s="32" t="str">
        <x:v>dedup_log</x:v>
      </x:c>
      <x:c r="G6" s="32" t="str">
        <x:v>这一项只作为命理依据补充，不会被重复计算成两条结论。</x:v>
      </x:c>
      <x:c r="H6" s="39" t="str">
        <x:v>高</x:v>
      </x:c>
    </x:row>
    <x:row r="7" ht="24" hidden="0" customHeight="1">
      <x:c r="A7" s="38" t="str">
        <x:v>M3-BASE-049</x:v>
      </x:c>
      <x:c r="B7" s="32" t="str">
        <x:v>日干克日支｜同源去重</x:v>
      </x:c>
      <x:c r="C7" s="32" t="str">
        <x:v>去重</x:v>
      </x:c>
      <x:c r="D7" s="32" t="str">
        <x:v>日干日支关系与日支主气十神同时进入同一案例计算。</x:v>
      </x:c>
      <x:c r="E7" s="32" t="str">
        <x:v>同一source_cluster仅保留一次基础权重；保留两种解释视角</x:v>
      </x:c>
      <x:c r="F7" s="32" t="str">
        <x:v>dedup_log</x:v>
      </x:c>
      <x:c r="G7" s="32" t="str">
        <x:v>这一项只作为命理依据补充，不会被重复计算成两条结论。</x:v>
      </x:c>
      <x:c r="H7" s="39" t="str">
        <x:v>高</x:v>
      </x:c>
    </x:row>
    <x:row r="8" ht="24" hidden="0" customHeight="1">
      <x:c r="A8" s="38" t="str">
        <x:v>M3-BASE-052</x:v>
      </x:c>
      <x:c r="B8" s="32" t="str">
        <x:v>日支克日干｜同源去重</x:v>
      </x:c>
      <x:c r="C8" s="32" t="str">
        <x:v>去重</x:v>
      </x:c>
      <x:c r="D8" s="32" t="str">
        <x:v>日干日支关系与日支主气十神同时进入同一案例计算。</x:v>
      </x:c>
      <x:c r="E8" s="32" t="str">
        <x:v>同一source_cluster仅保留一次基础权重；保留两种解释视角</x:v>
      </x:c>
      <x:c r="F8" s="32" t="str">
        <x:v>dedup_log</x:v>
      </x:c>
      <x:c r="G8" s="32" t="str">
        <x:v>这一项只作为命理依据补充，不会被重复计算成两条结论。</x:v>
      </x:c>
      <x:c r="H8" s="39" t="str">
        <x:v>高</x:v>
      </x:c>
    </x:row>
    <x:row r="9" ht="24" hidden="0" customHeight="1">
      <x:c r="A9" s="38" t="str">
        <x:v>M3-BASE-055</x:v>
      </x:c>
      <x:c r="B9" s="32" t="str">
        <x:v>日支生日干｜同源去重</x:v>
      </x:c>
      <x:c r="C9" s="32" t="str">
        <x:v>去重</x:v>
      </x:c>
      <x:c r="D9" s="32" t="str">
        <x:v>日干日支关系与日支主气十神同时进入同一案例计算。</x:v>
      </x:c>
      <x:c r="E9" s="32" t="str">
        <x:v>同一source_cluster仅保留一次基础权重；保留两种解释视角</x:v>
      </x:c>
      <x:c r="F9" s="32" t="str">
        <x:v>dedup_log</x:v>
      </x:c>
      <x:c r="G9" s="32" t="str">
        <x:v>这一项只作为命理依据补充，不会被重复计算成两条结论。</x:v>
      </x:c>
      <x:c r="H9" s="39" t="str">
        <x:v>高</x:v>
      </x:c>
    </x:row>
    <x:row r="10" ht="15" hidden="0" customHeight="1">
      <x:c r="A10" s="38" t="str">
        <x:v>M3-BASE-057</x:v>
      </x:c>
      <x:c r="B10" s="32" t="str">
        <x:v>主气｜核心成立门槛</x:v>
      </x:c>
      <x:c r="C10" s="32" t="str">
        <x:v>门控</x:v>
      </x:c>
      <x:c r="D10" s="32" t="str">
        <x:v>主气十神可靠；未被真合化；至少未处于完全失效状态。</x:v>
      </x:c>
      <x:c r="E10" s="32" t="str">
        <x:v>通过门控后可定核心；否则降级或停止</x:v>
      </x:c>
      <x:c r="F10" s="32" t="str">
        <x:v>relationship_baseline</x:v>
      </x:c>
      <x:c r="G10" s="32" t="str">
        <x:v>只有主气性质清楚且仍然有效时，才适合把它写成你的核心相处底盘。</x:v>
      </x:c>
      <x:c r="H10" s="39" t="str">
        <x:v>中高</x:v>
      </x:c>
    </x:row>
    <x:row r="11" ht="24" hidden="0" customHeight="1">
      <x:c r="A11" s="38" t="str">
        <x:v>M3-BASE-063</x:v>
      </x:c>
      <x:c r="B11" s="32" t="str">
        <x:v>主气｜真合化后停止原义</x:v>
      </x:c>
      <x:c r="C11" s="32" t="str">
        <x:v>停止</x:v>
      </x:c>
      <x:c r="D11" s="32" t="str">
        <x:v>共享引擎高置信确认日支参与真合化，且原主气功能不再作为稳定基础。</x:v>
      </x:c>
      <x:c r="E11" s="32" t="str">
        <x:v>原主气得分清零；路由化神系统</x:v>
      </x:c>
      <x:c r="F11" s="32" t="str">
        <x:v>relationship_baseline</x:v>
      </x:c>
      <x:c r="G11" s="32" t="str">
        <x:v>日支原来的相处主题暂不直接使用，需要改看合化后形成的关系运行方向。</x:v>
      </x:c>
      <x:c r="H11" s="39" t="str">
        <x:v>停止</x:v>
      </x:c>
    </x:row>
    <x:row r="12" ht="15" hidden="0" customHeight="1">
      <x:c r="A12" s="38" t="str">
        <x:v>M3-BASE-065</x:v>
      </x:c>
      <x:c r="B12" s="32" t="str">
        <x:v>中气｜不能单独覆盖主气</x:v>
      </x:c>
      <x:c r="C12" s="32" t="str">
        <x:v>门控</x:v>
      </x:c>
      <x:c r="D12" s="32" t="str">
        <x:v>主气有效且未明显受损；中气仅有日支内部一处来源。</x:v>
      </x:c>
      <x:c r="E12" s="32" t="str">
        <x:v>中气封顶为次级；不得覆盖主气</x:v>
      </x:c>
      <x:c r="F12" s="32" t="str">
        <x:v>interaction_pattern</x:v>
      </x:c>
      <x:c r="G12" s="32" t="str">
        <x:v>这项相处方式更像第二层补充，而不是取代你的核心关系底盘。</x:v>
      </x:c>
      <x:c r="H12" s="39" t="str">
        <x:v>中高</x:v>
      </x:c>
    </x:row>
    <x:row r="13" ht="15" hidden="0" customHeight="1">
      <x:c r="A13" s="38" t="str">
        <x:v>M3-BASE-069</x:v>
      </x:c>
      <x:c r="B13" s="32" t="str">
        <x:v>中气｜同系统收敛</x:v>
      </x:c>
      <x:c r="C13" s="32" t="str">
        <x:v>去重</x:v>
      </x:c>
      <x:c r="D13" s="32" t="str">
        <x:v>中气与主气属于同一五系统，例如食神与伤官、正财与偏财。</x:v>
      </x:c>
      <x:c r="E13" s="32" t="str">
        <x:v>同系统合并；只保留正偏风格修饰</x:v>
      </x:c>
      <x:c r="F13" s="32" t="str">
        <x:v>relationship_baseline</x:v>
      </x:c>
      <x:c r="G13" s="32" t="str">
        <x:v>你的核心相处方向是一致的，只是在表达风格上同时带有两种侧重。</x:v>
      </x:c>
      <x:c r="H13" s="39" t="str">
        <x:v>中高</x:v>
      </x:c>
    </x:row>
    <x:row r="14" ht="15" hidden="0" customHeight="1">
      <x:c r="A14" s="38" t="str">
        <x:v>M3-BASE-073</x:v>
      </x:c>
      <x:c r="B14" s="32" t="str">
        <x:v>余气｜不得直接定核心</x:v>
      </x:c>
      <x:c r="C14" s="32" t="str">
        <x:v>门控</x:v>
      </x:c>
      <x:c r="D14" s="32" t="str">
        <x:v>余气只有日支内部一处来源，且无透出、根气或重复支持。</x:v>
      </x:c>
      <x:c r="E14" s="32" t="str">
        <x:v>核心输出禁止；只保留内部候选</x:v>
      </x:c>
      <x:c r="F14" s="32" t="str">
        <x:v>relationship_baseline</x:v>
      </x:c>
      <x:c r="G14" s="32" t="str">
        <x:v>这项信号更适合作为背景参考，当前不宜写成你的主要相处方式。</x:v>
      </x:c>
      <x:c r="H14" s="39" t="str">
        <x:v>高</x:v>
      </x:c>
    </x:row>
    <x:row r="15" ht="15" hidden="0" customHeight="1">
      <x:c r="A15" s="38" t="str">
        <x:v>M3-BASE-077</x:v>
      </x:c>
      <x:c r="B15" s="32" t="str">
        <x:v>余气｜同系统风格修饰</x:v>
      </x:c>
      <x:c r="C15" s="32" t="str">
        <x:v>去重</x:v>
      </x:c>
      <x:c r="D15" s="32" t="str">
        <x:v>余气与主气或中气属于同一功能系统。</x:v>
      </x:c>
      <x:c r="E15" s="32" t="str">
        <x:v>只做正偏风格修饰；不新增模式</x:v>
      </x:c>
      <x:c r="F15" s="32" t="str">
        <x:v>basis_summary</x:v>
      </x:c>
      <x:c r="G15" s="32" t="str">
        <x:v>你的核心相处方向不变，只是在具体表达上可能多一层风格。</x:v>
      </x:c>
      <x:c r="H15" s="39" t="str">
        <x:v>中</x:v>
      </x:c>
    </x:row>
    <x:row r="16" ht="24" hidden="0" customHeight="1">
      <x:c r="A16" s="38" t="str">
        <x:v>M3-BASE-079</x:v>
      </x:c>
      <x:c r="B16" s="32" t="str">
        <x:v>余气｜升级需双重支持</x:v>
      </x:c>
      <x:c r="C16" s="32" t="str">
        <x:v>门控</x:v>
      </x:c>
      <x:c r="D16" s="32" t="str">
        <x:v>余气获得至少两类独立证据，例如透出与独立根气；同源去重完成。</x:v>
      </x:c>
      <x:c r="E16" s="32" t="str">
        <x:v>可升级为次通道；封顶不超过主气</x:v>
      </x:c>
      <x:c r="F16" s="32" t="str">
        <x:v>secondary_baseline</x:v>
      </x:c>
      <x:c r="G16" s="32" t="str">
        <x:v>当这项潜在方式在其他位置也得到反复支持时，才适合把它作为稳定补充写进分析。</x:v>
      </x:c>
      <x:c r="H16" s="39" t="str">
        <x:v>中</x:v>
      </x:c>
    </x:row>
    <x:row r="17" ht="15" hidden="0" customHeight="1">
      <x:c r="A17" s="38" t="str">
        <x:v>M3-BASE-081</x:v>
      </x:c>
      <x:c r="B17" s="32" t="str">
        <x:v>多藏干｜不得等同关系复杂</x:v>
      </x:c>
      <x:c r="C17" s="32" t="str">
        <x:v>门控</x:v>
      </x:c>
      <x:c r="D17" s="32" t="str">
        <x:v>日支含两个或三个藏干。</x:v>
      </x:c>
      <x:c r="E17" s="32" t="str">
        <x:v>不加复杂度；按主中余分层</x:v>
      </x:c>
      <x:c r="F17" s="32" t="str">
        <x:v>boundary_note</x:v>
      </x:c>
      <x:c r="G17" s="32" t="str">
        <x:v>你的关系互动可能有主次层次，但这不等于感情复杂或关系不稳定。</x:v>
      </x:c>
      <x:c r="H17" s="39" t="str">
        <x:v>高</x:v>
      </x:c>
    </x:row>
    <x:row r="18" ht="15" hidden="0" customHeight="1">
      <x:c r="A18" s="38" t="str">
        <x:v>M3-BASE-082</x:v>
      </x:c>
      <x:c r="B18" s="32" t="str">
        <x:v>主中同系统｜系统收敛</x:v>
      </x:c>
      <x:c r="C18" s="32" t="str">
        <x:v>去重</x:v>
      </x:c>
      <x:c r="D18" s="32" t="str">
        <x:v>主气与中气均有效且属于同一五系统。</x:v>
      </x:c>
      <x:c r="E18" s="32" t="str">
        <x:v>系统分数封顶；正偏风格并存</x:v>
      </x:c>
      <x:c r="F18" s="32" t="str">
        <x:v>relationship_baseline</x:v>
      </x:c>
      <x:c r="G18" s="32" t="str">
        <x:v>你的核心互动方向较一致，只是同一方向里同时存在不同表达风格。</x:v>
      </x:c>
      <x:c r="H18" s="39" t="str">
        <x:v>中高</x:v>
      </x:c>
    </x:row>
    <x:row r="19" ht="24" hidden="0" customHeight="1">
      <x:c r="A19" s="38" t="str">
        <x:v>M3-BASE-085</x:v>
      </x:c>
      <x:c r="B19" s="32" t="str">
        <x:v>主中余｜正文数量上限</x:v>
      </x:c>
      <x:c r="C19" s="32" t="str">
        <x:v>门控</x:v>
      </x:c>
      <x:c r="D19" s="32" t="str">
        <x:v>日支存在三层藏干且多项信号有效。</x:v>
      </x:c>
      <x:c r="E19" s="32" t="str">
        <x:v>最终正文最多1主＋1次；余气进入内部日志</x:v>
      </x:c>
      <x:c r="F19" s="32" t="str">
        <x:v>output_limit</x:v>
      </x:c>
      <x:c r="G19" s="32" t="str">
        <x:v>最终分析会优先保留一个核心底盘和一个真正有作用的补充方式。</x:v>
      </x:c>
      <x:c r="H19" s="39" t="str">
        <x:v>高</x:v>
      </x:c>
    </x:row>
    <x:row r="20" ht="15" hidden="0" customHeight="1">
      <x:c r="A20" s="38" t="str">
        <x:v>M3-BASE-086</x:v>
      </x:c>
      <x:c r="B20" s="32" t="str">
        <x:v>主气不定｜降低置信或停止</x:v>
      </x:c>
      <x:c r="C20" s="32" t="str">
        <x:v>停止</x:v>
      </x:c>
      <x:c r="D20" s="32" t="str">
        <x:v>共享引擎无法可靠判定主气、藏干层级或日支状态。</x:v>
      </x:c>
      <x:c r="E20" s="32" t="str">
        <x:v>relationship_baseline停止；仅输出信息不足</x:v>
      </x:c>
      <x:c r="F20" s="32" t="str">
        <x:v>relationship_baseline</x:v>
      </x:c>
      <x:c r="G20" s="32" t="str">
        <x:v>目前日支主次或状态仍有争议，不宜把你的相处方式固定为某一种底盘。</x:v>
      </x:c>
      <x:c r="H20" s="39" t="str">
        <x:v>停止</x:v>
      </x:c>
    </x:row>
    <x:row r="21" ht="15" hidden="0" customHeight="1">
      <x:c r="A21" s="38" t="str">
        <x:v>M3-BASE-087</x:v>
      </x:c>
      <x:c r="B21" s="32" t="str">
        <x:v>藏干层级｜共享引擎权威</x:v>
      </x:c>
      <x:c r="C21" s="32" t="str">
        <x:v>门控</x:v>
      </x:c>
      <x:c r="D21" s="32" t="str">
        <x:v>调用共享基础命理引擎的藏干主次结果。</x:v>
      </x:c>
      <x:c r="E21" s="32" t="str">
        <x:v>层级字段只读</x:v>
      </x:c>
      <x:c r="F21" s="32" t="str">
        <x:v>provenance</x:v>
      </x:c>
      <x:c r="G21" s="32" t="str">
        <x:v>这一部分沿用统一的藏干层级判断，不在模型三中另行改动。</x:v>
      </x:c>
      <x:c r="H21" s="39" t="str">
        <x:v>高</x:v>
      </x:c>
    </x:row>
    <x:row r="22" ht="24" hidden="0" customHeight="1">
      <x:c r="A22" s="38" t="str">
        <x:v>M3-BASE-088</x:v>
      </x:c>
      <x:c r="B22" s="32" t="str">
        <x:v>藏干与透干｜证据簇去重</x:v>
      </x:c>
      <x:c r="C22" s="32" t="str">
        <x:v>去重</x:v>
      </x:c>
      <x:c r="D22" s="32" t="str">
        <x:v>同类天干以日支藏干为根，或二者属于同一结构链。</x:v>
      </x:c>
      <x:c r="E22" s="32" t="str">
        <x:v>一个source_cluster一次基础权重；透干只加外显修正</x:v>
      </x:c>
      <x:c r="F22" s="32" t="str">
        <x:v>dedup_log</x:v>
      </x:c>
      <x:c r="G22" s="32" t="str">
        <x:v>这项信号会被解释为更容易显现，但不会被重复计算成两套相处模式。</x:v>
      </x:c>
      <x:c r="H22" s="39" t="str">
        <x:v>高</x:v>
      </x:c>
    </x:row>
    <x:row r="23" ht="15" hidden="0" customHeight="1">
      <x:c r="A23" s="38" t="str">
        <x:v>M3-BASE-089</x:v>
      </x:c>
      <x:c r="B23" s="32" t="str">
        <x:v>主中余同系统｜单系统浓度</x:v>
      </x:c>
      <x:c r="C23" s="32" t="str">
        <x:v>去重</x:v>
      </x:c>
      <x:c r="D23" s="32" t="str">
        <x:v>日支全部藏干均属于同一五系统，且原性质有效。</x:v>
      </x:c>
      <x:c r="E23" s="32" t="str">
        <x:v>系统浓度+8；仍只输出一个主模式</x:v>
      </x:c>
      <x:c r="F23" s="32" t="str">
        <x:v>relationship_baseline</x:v>
      </x:c>
      <x:c r="G23" s="32" t="str">
        <x:v>你的关系底盘主题较集中，只是在同一方向里可能有不同表达层次。</x:v>
      </x:c>
      <x:c r="H23" s="39" t="str">
        <x:v>中高</x:v>
      </x:c>
    </x:row>
    <x:row r="24" ht="24" hidden="0" customHeight="1">
      <x:c r="A24" s="38" t="str">
        <x:v>M3-BASE-103</x:v>
      </x:c>
      <x:c r="B24" s="32" t="str">
        <x:v>夫妻星入主气｜同源去重</x:v>
      </x:c>
      <x:c r="C24" s="32" t="str">
        <x:v>去重</x:v>
      </x:c>
      <x:c r="D24" s="32" t="str">
        <x:v>夫妻星入宫主气与日支底盘同时参与M2、M3计算。</x:v>
      </x:c>
      <x:c r="E24" s="32" t="str">
        <x:v>基础权重只算一次；保留M2资格与M3运行两种解释</x:v>
      </x:c>
      <x:c r="F24" s="32" t="str">
        <x:v>dedup_log</x:v>
      </x:c>
      <x:c r="G24" s="32" t="str">
        <x:v>同一信号会从“为什么愿意开始”和“开始后怎样相处”两个角度解释，但不会重复抬高置信度。</x:v>
      </x:c>
      <x:c r="H24" s="39" t="str">
        <x:v>高</x:v>
      </x:c>
    </x:row>
    <x:row r="25" ht="24" hidden="0" customHeight="1">
      <x:c r="A25" s="38" t="str">
        <x:v>M3-BASE-104</x:v>
      </x:c>
      <x:c r="B25" s="32" t="str">
        <x:v>夫妻星入宫｜连续性不等于一致行为</x:v>
      </x:c>
      <x:c r="C25" s="32" t="str">
        <x:v>门控</x:v>
      </x:c>
      <x:c r="D25" s="32" t="str">
        <x:v>M2资格证据与M3通道属于同一十神维度。</x:v>
      </x:c>
      <x:c r="E25" s="32" t="str">
        <x:v>只输出连续性；不锁定具体行为频率</x:v>
      </x:c>
      <x:c r="F25" s="32" t="str">
        <x:v>cross_model_ref</x:v>
      </x:c>
      <x:c r="G25" s="32" t="str">
        <x:v>你看重的关系证据较容易延续为相处方式，但具体怎样表达仍要结合其他互动通道。</x:v>
      </x:c>
      <x:c r="H25" s="39" t="str">
        <x:v>中高</x:v>
      </x:c>
    </x:row>
    <x:row r="26" ht="24" hidden="0" customHeight="1">
      <x:c r="A26" s="38" t="str">
        <x:v>M3-BASE-105</x:v>
      </x:c>
      <x:c r="B26" s="32" t="str">
        <x:v>夫妻星不入宫｜中性处理</x:v>
      </x:c>
      <x:c r="C26" s="32" t="str">
        <x:v>边界</x:v>
      </x:c>
      <x:c r="D26" s="32" t="str">
        <x:v>传统夫妻星不在日支主中余气，或状态极弱。</x:v>
      </x:c>
      <x:c r="E26" s="32" t="str">
        <x:v>不减分；不生成负面结论</x:v>
      </x:c>
      <x:c r="F26" s="32" t="str">
        <x:v>boundary_note</x:v>
      </x:c>
      <x:c r="G26" s="32" t="str">
        <x:v>你的关系选择标准与进入关系后的相处方式未必由同一信号主导，这本身并不是问题。</x:v>
      </x:c>
      <x:c r="H26" s="39" t="str">
        <x:v>高</x:v>
      </x:c>
    </x:row>
    <x:row r="27" ht="15" hidden="0" customHeight="1">
      <x:c r="A27" s="38" t="str">
        <x:v>M3-BASE-107</x:v>
      </x:c>
      <x:c r="B27" s="32" t="str">
        <x:v>官杀或财星同宫并见｜先系统收敛</x:v>
      </x:c>
      <x:c r="C27" s="32" t="str">
        <x:v>去重</x:v>
      </x:c>
      <x:c r="D27" s="32" t="str">
        <x:v>女命官杀并见于日支，或男命正偏财并见于日支；原性质有效。</x:v>
      </x:c>
      <x:c r="E27" s="32" t="str">
        <x:v>先收敛同系统；正偏只作风格分工</x:v>
      </x:c>
      <x:c r="F27" s="32" t="str">
        <x:v>interaction_pattern</x:v>
      </x:c>
      <x:c r="G27" s="32" t="str">
        <x:v>你的相处底盘主题较集中，只是在同一方向里可能同时有两种风格。</x:v>
      </x:c>
      <x:c r="H27" s="39" t="str">
        <x:v>中高</x:v>
      </x:c>
    </x:row>
    <x:row r="28" ht="24" hidden="0" customHeight="1">
      <x:c r="A28" s="38" t="str">
        <x:v>M3-BASE-109</x:v>
      </x:c>
      <x:c r="B28" s="32" t="str">
        <x:v>夫妻星真合化｜停止原夫妻星接口</x:v>
      </x:c>
      <x:c r="C28" s="32" t="str">
        <x:v>停止</x:v>
      </x:c>
      <x:c r="D28" s="32" t="str">
        <x:v>共享引擎确认夫妻星所在日支真合化，原十神功能不再作为稳定基础。</x:v>
      </x:c>
      <x:c r="E28" s="32" t="str">
        <x:v>原夫妻星接口清零；路由化神</x:v>
      </x:c>
      <x:c r="F28" s="32" t="str">
        <x:v>cross_model_ref</x:v>
      </x:c>
      <x:c r="G28" s="32" t="str">
        <x:v>原来的夫妻星主题暂不直接用于相处判断，需要改看合化后的关系运行方向。</x:v>
      </x:c>
      <x:c r="H28" s="39" t="str">
        <x:v>停止</x:v>
      </x:c>
    </x:row>
    <x:row r="29" ht="24" hidden="0" customHeight="1">
      <x:c r="A29" s="38" t="str">
        <x:v>M3-BASE-110</x:v>
      </x:c>
      <x:c r="B29" s="32" t="str">
        <x:v>夫妻星入宫｜传统角色边界</x:v>
      </x:c>
      <x:c r="C29" s="32" t="str">
        <x:v>边界</x:v>
      </x:c>
      <x:c r="D29" s="32" t="str">
        <x:v>任何夫妻星入宫规则进入用户输出。</x:v>
      </x:c>
      <x:c r="E29" s="32" t="str">
        <x:v>强制附加边界说明</x:v>
      </x:c>
      <x:c r="F29" s="32" t="str">
        <x:v>boundary_note</x:v>
      </x:c>
      <x:c r="G29" s="32" t="str">
        <x:v>这里描述的是关系主题如何进入相处方式，不是在给伴侣贴固定身份或性格标签。</x:v>
      </x:c>
      <x:c r="H29" s="39" t="str">
        <x:v>高</x:v>
      </x:c>
    </x:row>
    <x:row r="30" ht="24" hidden="0" customHeight="1">
      <x:c r="A30" s="38" t="str">
        <x:v>M3-BASE-114</x:v>
      </x:c>
      <x:c r="B30" s="32" t="str">
        <x:v>日支受合｜弱远不改核心</x:v>
      </x:c>
      <x:c r="C30" s="32" t="str">
        <x:v>门控</x:v>
      </x:c>
      <x:c r="D30" s="32" t="str">
        <x:v>存在合形式，但强度、距离或成立条件不足。</x:v>
      </x:c>
      <x:c r="E30" s="32" t="str">
        <x:v>不进入核心；仅内部备注</x:v>
      </x:c>
      <x:c r="F30" s="32" t="str">
        <x:v>boundary_note</x:v>
      </x:c>
      <x:c r="G30" s="32" t="str">
        <x:v>如果这项合力较弱或距离较远，它只作为背景，不足以改变核心相处模式。</x:v>
      </x:c>
      <x:c r="H30" s="39" t="str">
        <x:v>高</x:v>
      </x:c>
    </x:row>
    <x:row r="31" ht="24" hidden="0" customHeight="1">
      <x:c r="A31" s="38" t="str">
        <x:v>M3-BASE-116</x:v>
      </x:c>
      <x:c r="B31" s="32" t="str">
        <x:v>日支受合｜只作修正不建新底盘</x:v>
      </x:c>
      <x:c r="C31" s="32" t="str">
        <x:v>去重</x:v>
      </x:c>
      <x:c r="D31" s="32" t="str">
        <x:v>日支主气底盘与合修正同时进入合成。</x:v>
      </x:c>
      <x:c r="E31" s="32" t="str">
        <x:v>主气保留一次基础权重；动态仅加修正</x:v>
      </x:c>
      <x:c r="F31" s="32" t="str">
        <x:v>dedup_log</x:v>
      </x:c>
      <x:c r="G31" s="32" t="str">
        <x:v>这一项只用于说明相处节奏怎样变化，不会被当成另一套独立人格或相处模式。</x:v>
      </x:c>
      <x:c r="H31" s="39" t="str">
        <x:v>高</x:v>
      </x:c>
    </x:row>
    <x:row r="32" ht="24" hidden="0" customHeight="1">
      <x:c r="A32" s="38" t="str">
        <x:v>M3-BASE-117</x:v>
      </x:c>
      <x:c r="B32" s="32" t="str">
        <x:v>日支受合｜边界说明</x:v>
      </x:c>
      <x:c r="C32" s="32" t="str">
        <x:v>边界</x:v>
      </x:c>
      <x:c r="D32" s="32" t="str">
        <x:v>任何合相关文案准备进入用户输出。</x:v>
      </x:c>
      <x:c r="E32" s="32" t="str">
        <x:v>强制边界</x:v>
      </x:c>
      <x:c r="F32" s="32" t="str">
        <x:v>boundary_note</x:v>
      </x:c>
      <x:c r="G32" s="32" t="str">
        <x:v>这里的“协调与绑定”只描述相处节奏的可能修正，不代表关系一定发生某种结果。</x:v>
      </x:c>
      <x:c r="H32" s="39" t="str">
        <x:v>高</x:v>
      </x:c>
    </x:row>
    <x:row r="33" ht="15" hidden="0" customHeight="1">
      <x:c r="A33" s="38" t="str">
        <x:v>M3-BASE-121</x:v>
      </x:c>
      <x:c r="B33" s="32" t="str">
        <x:v>日支受冲｜弱远不改核心</x:v>
      </x:c>
      <x:c r="C33" s="32" t="str">
        <x:v>门控</x:v>
      </x:c>
      <x:c r="D33" s="32" t="str">
        <x:v>存在冲形式，但强度、距离或成立条件不足。</x:v>
      </x:c>
      <x:c r="E33" s="32" t="str">
        <x:v>不进入核心；仅内部备注</x:v>
      </x:c>
      <x:c r="F33" s="32" t="str">
        <x:v>boundary_note</x:v>
      </x:c>
      <x:c r="G33" s="32" t="str">
        <x:v>如果冲力不足、远位或未真正作用于日支，它不能单独改写关系底盘。</x:v>
      </x:c>
      <x:c r="H33" s="39" t="str">
        <x:v>高</x:v>
      </x:c>
    </x:row>
    <x:row r="34" ht="24" hidden="0" customHeight="1">
      <x:c r="A34" s="38" t="str">
        <x:v>M3-BASE-123</x:v>
      </x:c>
      <x:c r="B34" s="32" t="str">
        <x:v>日支受冲｜只作修正不建新底盘</x:v>
      </x:c>
      <x:c r="C34" s="32" t="str">
        <x:v>去重</x:v>
      </x:c>
      <x:c r="D34" s="32" t="str">
        <x:v>日支主气底盘与冲修正同时进入合成。</x:v>
      </x:c>
      <x:c r="E34" s="32" t="str">
        <x:v>主气保留一次基础权重；动态仅加修正</x:v>
      </x:c>
      <x:c r="F34" s="32" t="str">
        <x:v>dedup_log</x:v>
      </x:c>
      <x:c r="G34" s="32" t="str">
        <x:v>这一项只用于说明相处节奏怎样变化，不会被当成另一套独立人格或相处模式。</x:v>
      </x:c>
      <x:c r="H34" s="39" t="str">
        <x:v>高</x:v>
      </x:c>
    </x:row>
    <x:row r="35" ht="24" hidden="0" customHeight="1">
      <x:c r="A35" s="38" t="str">
        <x:v>M3-BASE-124</x:v>
      </x:c>
      <x:c r="B35" s="32" t="str">
        <x:v>日支受冲｜边界说明</x:v>
      </x:c>
      <x:c r="C35" s="32" t="str">
        <x:v>边界</x:v>
      </x:c>
      <x:c r="D35" s="32" t="str">
        <x:v>任何冲相关文案准备进入用户输出。</x:v>
      </x:c>
      <x:c r="E35" s="32" t="str">
        <x:v>强制边界</x:v>
      </x:c>
      <x:c r="F35" s="32" t="str">
        <x:v>boundary_note</x:v>
      </x:c>
      <x:c r="G35" s="32" t="str">
        <x:v>这里的“差异外显与节奏调整”只描述相处节奏的可能修正，不代表关系一定发生某种结果。</x:v>
      </x:c>
      <x:c r="H35" s="39" t="str">
        <x:v>高</x:v>
      </x:c>
    </x:row>
    <x:row r="36" ht="15" hidden="0" customHeight="1">
      <x:c r="A36" s="38" t="str">
        <x:v>M3-BASE-128</x:v>
      </x:c>
      <x:c r="B36" s="32" t="str">
        <x:v>日支受刑｜弱远不改核心</x:v>
      </x:c>
      <x:c r="C36" s="32" t="str">
        <x:v>门控</x:v>
      </x:c>
      <x:c r="D36" s="32" t="str">
        <x:v>存在刑形式，但强度、距离或成立条件不足。</x:v>
      </x:c>
      <x:c r="E36" s="32" t="str">
        <x:v>不进入核心；仅内部备注</x:v>
      </x:c>
      <x:c r="F36" s="32" t="str">
        <x:v>boundary_note</x:v>
      </x:c>
      <x:c r="G36" s="32" t="str">
        <x:v>刑势较弱、条件不全或仅为远位背景时，只能作为低权重敏感度修正。</x:v>
      </x:c>
      <x:c r="H36" s="39" t="str">
        <x:v>高</x:v>
      </x:c>
    </x:row>
    <x:row r="37" ht="24" hidden="0" customHeight="1">
      <x:c r="A37" s="38" t="str">
        <x:v>M3-BASE-130</x:v>
      </x:c>
      <x:c r="B37" s="32" t="str">
        <x:v>日支受刑｜只作修正不建新底盘</x:v>
      </x:c>
      <x:c r="C37" s="32" t="str">
        <x:v>去重</x:v>
      </x:c>
      <x:c r="D37" s="32" t="str">
        <x:v>日支主气底盘与刑修正同时进入合成。</x:v>
      </x:c>
      <x:c r="E37" s="32" t="str">
        <x:v>主气保留一次基础权重；动态仅加修正</x:v>
      </x:c>
      <x:c r="F37" s="32" t="str">
        <x:v>dedup_log</x:v>
      </x:c>
      <x:c r="G37" s="32" t="str">
        <x:v>这一项只用于说明相处节奏怎样变化，不会被当成另一套独立人格或相处模式。</x:v>
      </x:c>
      <x:c r="H37" s="39" t="str">
        <x:v>高</x:v>
      </x:c>
    </x:row>
    <x:row r="38" ht="24" hidden="0" customHeight="1">
      <x:c r="A38" s="38" t="str">
        <x:v>M3-BASE-131</x:v>
      </x:c>
      <x:c r="B38" s="32" t="str">
        <x:v>日支受刑｜边界说明</x:v>
      </x:c>
      <x:c r="C38" s="32" t="str">
        <x:v>边界</x:v>
      </x:c>
      <x:c r="D38" s="32" t="str">
        <x:v>任何刑相关文案准备进入用户输出。</x:v>
      </x:c>
      <x:c r="E38" s="32" t="str">
        <x:v>强制边界</x:v>
      </x:c>
      <x:c r="F38" s="32" t="str">
        <x:v>boundary_note</x:v>
      </x:c>
      <x:c r="G38" s="32" t="str">
        <x:v>这里的“反复校正与细节敏感”只描述相处节奏的可能修正，不代表关系一定发生某种结果。</x:v>
      </x:c>
      <x:c r="H38" s="39" t="str">
        <x:v>高</x:v>
      </x:c>
    </x:row>
    <x:row r="39" ht="15" hidden="0" customHeight="1">
      <x:c r="A39" s="38" t="str">
        <x:v>M3-BASE-135</x:v>
      </x:c>
      <x:c r="B39" s="32" t="str">
        <x:v>日支受害｜弱远不改核心</x:v>
      </x:c>
      <x:c r="C39" s="32" t="str">
        <x:v>门控</x:v>
      </x:c>
      <x:c r="D39" s="32" t="str">
        <x:v>存在害形式，但强度、距离或成立条件不足。</x:v>
      </x:c>
      <x:c r="E39" s="32" t="str">
        <x:v>不进入核心；仅内部备注</x:v>
      </x:c>
      <x:c r="F39" s="32" t="str">
        <x:v>boundary_note</x:v>
      </x:c>
      <x:c r="G39" s="32" t="str">
        <x:v>害的解释争议较大；若作用弱、远或缺乏第二证据，不进入用户正文。</x:v>
      </x:c>
      <x:c r="H39" s="39" t="str">
        <x:v>高</x:v>
      </x:c>
    </x:row>
    <x:row r="40" ht="24" hidden="0" customHeight="1">
      <x:c r="A40" s="38" t="str">
        <x:v>M3-BASE-137</x:v>
      </x:c>
      <x:c r="B40" s="32" t="str">
        <x:v>日支受害｜只作修正不建新底盘</x:v>
      </x:c>
      <x:c r="C40" s="32" t="str">
        <x:v>去重</x:v>
      </x:c>
      <x:c r="D40" s="32" t="str">
        <x:v>日支主气底盘与害修正同时进入合成。</x:v>
      </x:c>
      <x:c r="E40" s="32" t="str">
        <x:v>主气保留一次基础权重；动态仅加修正</x:v>
      </x:c>
      <x:c r="F40" s="32" t="str">
        <x:v>dedup_log</x:v>
      </x:c>
      <x:c r="G40" s="32" t="str">
        <x:v>这一项只用于说明相处节奏怎样变化，不会被当成另一套独立人格或相处模式。</x:v>
      </x:c>
      <x:c r="H40" s="39" t="str">
        <x:v>高</x:v>
      </x:c>
    </x:row>
    <x:row r="41" ht="24" hidden="0" customHeight="1">
      <x:c r="A41" s="38" t="str">
        <x:v>M3-BASE-138</x:v>
      </x:c>
      <x:c r="B41" s="32" t="str">
        <x:v>日支受害｜边界说明</x:v>
      </x:c>
      <x:c r="C41" s="32" t="str">
        <x:v>边界</x:v>
      </x:c>
      <x:c r="D41" s="32" t="str">
        <x:v>任何害相关文案准备进入用户输出。</x:v>
      </x:c>
      <x:c r="E41" s="32" t="str">
        <x:v>强制边界</x:v>
      </x:c>
      <x:c r="F41" s="32" t="str">
        <x:v>boundary_note</x:v>
      </x:c>
      <x:c r="G41" s="32" t="str">
        <x:v>这里的“间接错位与确认需求”只描述相处节奏的可能修正，不代表关系一定发生某种结果。</x:v>
      </x:c>
      <x:c r="H41" s="39" t="str">
        <x:v>高</x:v>
      </x:c>
    </x:row>
    <x:row r="42" ht="24" hidden="0" customHeight="1">
      <x:c r="A42" s="38" t="str">
        <x:v>M3-BASE-142</x:v>
      </x:c>
      <x:c r="B42" s="32" t="str">
        <x:v>日支受破｜弱远不改核心</x:v>
      </x:c>
      <x:c r="C42" s="32" t="str">
        <x:v>门控</x:v>
      </x:c>
      <x:c r="D42" s="32" t="str">
        <x:v>存在破形式，但强度、距离或成立条件不足。</x:v>
      </x:c>
      <x:c r="E42" s="32" t="str">
        <x:v>不进入核心；仅内部备注</x:v>
      </x:c>
      <x:c r="F42" s="32" t="str">
        <x:v>boundary_note</x:v>
      </x:c>
      <x:c r="G42" s="32" t="str">
        <x:v>破在不同流派中的权重差异较大；若缺乏强度与现实第二证据，默认只作低权重背景。</x:v>
      </x:c>
      <x:c r="H42" s="39" t="str">
        <x:v>高</x:v>
      </x:c>
    </x:row>
    <x:row r="43" ht="24" hidden="0" customHeight="1">
      <x:c r="A43" s="38" t="str">
        <x:v>M3-BASE-144</x:v>
      </x:c>
      <x:c r="B43" s="32" t="str">
        <x:v>日支受破｜只作修正不建新底盘</x:v>
      </x:c>
      <x:c r="C43" s="32" t="str">
        <x:v>去重</x:v>
      </x:c>
      <x:c r="D43" s="32" t="str">
        <x:v>日支主气底盘与破修正同时进入合成。</x:v>
      </x:c>
      <x:c r="E43" s="32" t="str">
        <x:v>主气保留一次基础权重；动态仅加修正</x:v>
      </x:c>
      <x:c r="F43" s="32" t="str">
        <x:v>dedup_log</x:v>
      </x:c>
      <x:c r="G43" s="32" t="str">
        <x:v>这一项只用于说明相处节奏怎样变化，不会被当成另一套独立人格或相处模式。</x:v>
      </x:c>
      <x:c r="H43" s="39" t="str">
        <x:v>高</x:v>
      </x:c>
    </x:row>
    <x:row r="44" ht="24" hidden="0" customHeight="1">
      <x:c r="A44" s="38" t="str">
        <x:v>M3-BASE-145</x:v>
      </x:c>
      <x:c r="B44" s="32" t="str">
        <x:v>日支受破｜边界说明</x:v>
      </x:c>
      <x:c r="C44" s="32" t="str">
        <x:v>边界</x:v>
      </x:c>
      <x:c r="D44" s="32" t="str">
        <x:v>任何破相关文案准备进入用户输出。</x:v>
      </x:c>
      <x:c r="E44" s="32" t="str">
        <x:v>强制边界</x:v>
      </x:c>
      <x:c r="F44" s="32" t="str">
        <x:v>boundary_note</x:v>
      </x:c>
      <x:c r="G44" s="32" t="str">
        <x:v>这里的“旧节奏重置与安排修订”只描述相处节奏的可能修正，不代表关系一定发生某种结果。</x:v>
      </x:c>
      <x:c r="H44" s="39" t="str">
        <x:v>高</x:v>
      </x:c>
    </x:row>
    <x:row r="45" ht="24" hidden="0" customHeight="1">
      <x:c r="A45" s="38" t="str">
        <x:v>M3-BASE-147</x:v>
      </x:c>
      <x:c r="B45" s="32" t="str">
        <x:v>合而不化｜保留原十神</x:v>
      </x:c>
      <x:c r="C45" s="32" t="str">
        <x:v>门控</x:v>
      </x:c>
      <x:c r="D45" s="32" t="str">
        <x:v>共享引擎确认合成立但未真化。</x:v>
      </x:c>
      <x:c r="E45" s="32" t="str">
        <x:v>原底盘保留；叠加协调修正</x:v>
      </x:c>
      <x:c r="F45" s="32" t="str">
        <x:v>relationship_baseline</x:v>
      </x:c>
      <x:c r="G45" s="32" t="str">
        <x:v>原来的相处底盘仍然有效，只是互动时更容易把彼此或其他安排放在一起协调。</x:v>
      </x:c>
      <x:c r="H45" s="39" t="str">
        <x:v>中高</x:v>
      </x:c>
    </x:row>
    <x:row r="46" ht="24" hidden="0" customHeight="1">
      <x:c r="A46" s="38" t="str">
        <x:v>M3-BASE-149</x:v>
      </x:c>
      <x:c r="B46" s="32" t="str">
        <x:v>真合化｜原主气停止</x:v>
      </x:c>
      <x:c r="C46" s="32" t="str">
        <x:v>停止</x:v>
      </x:c>
      <x:c r="D46" s="32" t="str">
        <x:v>共享引擎高置信确认真合化；化神明确；原日支十神不再作为稳定基础。</x:v>
      </x:c>
      <x:c r="E46" s="32" t="str">
        <x:v>原主气与原藏干基础分清零</x:v>
      </x:c>
      <x:c r="F46" s="32" t="str">
        <x:v>relationship_baseline</x:v>
      </x:c>
      <x:c r="G46" s="32" t="str">
        <x:v>日支原来的相处主题暂不直接使用，需要改看合化后形成的关系运行方向。</x:v>
      </x:c>
      <x:c r="H46" s="39" t="str">
        <x:v>停止</x:v>
      </x:c>
    </x:row>
    <x:row r="47" ht="15" hidden="0" customHeight="1">
      <x:c r="A47" s="38" t="str">
        <x:v>M3-BASE-151</x:v>
      </x:c>
      <x:c r="B47" s="32" t="str">
        <x:v>化神同属原系统｜系统收敛</x:v>
      </x:c>
      <x:c r="C47" s="32" t="str">
        <x:v>去重</x:v>
      </x:c>
      <x:c r="D47" s="32" t="str">
        <x:v>真合化成立；化神与原日支十神落在同一五系统。</x:v>
      </x:c>
      <x:c r="E47" s="32" t="str">
        <x:v>保留一个系统底盘；更新风格与状态</x:v>
      </x:c>
      <x:c r="F47" s="32" t="str">
        <x:v>relationship_baseline</x:v>
      </x:c>
      <x:c r="G47" s="32" t="str">
        <x:v>合化前后核心互动方向大体一致，变化主要体现在具体表现方式上。</x:v>
      </x:c>
      <x:c r="H47" s="39" t="str">
        <x:v>中</x:v>
      </x:c>
    </x:row>
    <x:row r="48" ht="15" hidden="0" customHeight="1">
      <x:c r="A48" s="38" t="str">
        <x:v>M3-BASE-153</x:v>
      </x:c>
      <x:c r="B48" s="32" t="str">
        <x:v>半合／拱合｜不得按真化处理</x:v>
      </x:c>
      <x:c r="C48" s="32" t="str">
        <x:v>门控</x:v>
      </x:c>
      <x:c r="D48" s="32" t="str">
        <x:v>只形成半合、拱合、三合倾向或会局倾向，未达到真合化条件。</x:v>
      </x:c>
      <x:c r="E48" s="32" t="str">
        <x:v>原底盘保留；最多低权重趋向修正</x:v>
      </x:c>
      <x:c r="F48" s="32" t="str">
        <x:v>relationship_baseline</x:v>
      </x:c>
      <x:c r="G48" s="32" t="str">
        <x:v>当前仍以日支原来的相处底盘为主，合局倾向只作为背景。</x:v>
      </x:c>
      <x:c r="H48" s="39" t="str">
        <x:v>高</x:v>
      </x:c>
    </x:row>
    <x:row r="49" ht="24" hidden="0" customHeight="1">
      <x:c r="A49" s="38" t="str">
        <x:v>M3-BASE-155</x:v>
      </x:c>
      <x:c r="B49" s="32" t="str">
        <x:v>合化争议｜降低置信</x:v>
      </x:c>
      <x:c r="C49" s="32" t="str">
        <x:v>停止</x:v>
      </x:c>
      <x:c r="D49" s="32" t="str">
        <x:v>不同判断路径对是否真化、化神或原十神有效性存在实质分歧。</x:v>
      </x:c>
      <x:c r="E49" s="32" t="str">
        <x:v>relationship_baseline停止或限定输出；confidence降至低</x:v>
      </x:c>
      <x:c r="F49" s="32" t="str">
        <x:v>confidence</x:v>
      </x:c>
      <x:c r="G49" s="32" t="str">
        <x:v>当前合化状态仍有争议，因此不宜把你的相处底盘固定为某一种模式。</x:v>
      </x:c>
      <x:c r="H49" s="39" t="str">
        <x:v>停止</x:v>
      </x:c>
    </x:row>
    <x:row r="50" ht="24" hidden="0" customHeight="1">
      <x:c r="A50" s="38" t="str">
        <x:v>M3-BASE-156</x:v>
      </x:c>
      <x:c r="B50" s="32" t="str">
        <x:v>多组合竞争｜停止单一路由</x:v>
      </x:c>
      <x:c r="C50" s="32" t="str">
        <x:v>停止</x:v>
      </x:c>
      <x:c r="D50" s="32" t="str">
        <x:v>日支同时受到两项以上有效合局牵动，且主次、化神或作用顺序无法可靠确定。</x:v>
      </x:c>
      <x:c r="E50" s="32" t="str">
        <x:v>单一底盘停止；转P12情境候选</x:v>
      </x:c>
      <x:c r="F50" s="32" t="str">
        <x:v>interaction_pattern</x:v>
      </x:c>
      <x:c r="G50" s="32" t="str">
        <x:v>日支同时受到多重结构牵动，当前更适合保留情境化判断，而不是固定为单一相处模式。</x:v>
      </x:c>
      <x:c r="H50" s="39" t="str">
        <x:v>停止</x:v>
      </x:c>
    </x:row>
    <x:row r="51" ht="15" hidden="0" customHeight="1">
      <x:c r="A51" s="38" t="str">
        <x:v>M3-BASE-159</x:v>
      </x:c>
      <x:c r="B51" s="32" t="str">
        <x:v>原十神与化神｜互斥计分</x:v>
      </x:c>
      <x:c r="C51" s="32" t="str">
        <x:v>去重</x:v>
      </x:c>
      <x:c r="D51" s="32" t="str">
        <x:v>真合化路径进入计算。</x:v>
      </x:c>
      <x:c r="E51" s="32" t="str">
        <x:v>原十神与化神不可同时获得基础分</x:v>
      </x:c>
      <x:c r="F51" s="32" t="str">
        <x:v>dedup_log</x:v>
      </x:c>
      <x:c r="G51" s="32" t="str">
        <x:v>合化前后的信号只会保留一套作为当前底盘依据。</x:v>
      </x:c>
      <x:c r="H51" s="39" t="str">
        <x:v>高</x:v>
      </x:c>
    </x:row>
    <x:row r="52" ht="15" hidden="0" customHeight="1">
      <x:c r="A52" s="38" t="str">
        <x:v>M3-BASE-160</x:v>
      </x:c>
      <x:c r="B52" s="32" t="str">
        <x:v>合化来源｜必须记录provenance</x:v>
      </x:c>
      <x:c r="C52" s="32" t="str">
        <x:v>门控</x:v>
      </x:c>
      <x:c r="D52" s="32" t="str">
        <x:v>任何合化或化神规则进入结果。</x:v>
      </x:c>
      <x:c r="E52" s="32" t="str">
        <x:v>强制记录共享引擎版本、source_id与置信</x:v>
      </x:c>
      <x:c r="F52" s="32" t="str">
        <x:v>provenance</x:v>
      </x:c>
      <x:c r="G52" s="32" t="str">
        <x:v>这一判断会保留明确的命理依据和置信状态，便于后续复查。</x:v>
      </x:c>
      <x:c r="H52" s="39" t="str">
        <x:v>高</x:v>
      </x:c>
    </x:row>
    <x:row r="53" ht="24" hidden="0" customHeight="1">
      <x:c r="A53" s="38" t="str">
        <x:v>M3-BASE-163</x:v>
      </x:c>
      <x:c r="B53" s="32" t="str">
        <x:v>化神仅有五行无阴阳｜停在系统层</x:v>
      </x:c>
      <x:c r="C53" s="32" t="str">
        <x:v>门控</x:v>
      </x:c>
      <x:c r="D53" s="32" t="str">
        <x:v>真合化成立，化神五行明确，但无法可靠细分阴阳极性。</x:v>
      </x:c>
      <x:c r="E53" s="32" t="str">
        <x:v>只输出五系统；不细分正偏十神</x:v>
      </x:c>
      <x:c r="F53" s="32" t="str">
        <x:v>relationship_baseline</x:v>
      </x:c>
      <x:c r="G53" s="32" t="str">
        <x:v>当前可以判断关系底盘属于哪一类功能系统，但不宜进一步细分具体风格。</x:v>
      </x:c>
      <x:c r="H53" s="39" t="str">
        <x:v>中</x:v>
      </x:c>
    </x:row>
    <x:row r="54" ht="15" hidden="0" customHeight="1">
      <x:c r="A54" s="38" t="str">
        <x:v>M3-BASE-180</x:v>
      </x:c>
      <x:c r="B54" s="32" t="str">
        <x:v>为忌但偏弱｜不作核心负面</x:v>
      </x:c>
      <x:c r="C54" s="32" t="str">
        <x:v>门控</x:v>
      </x:c>
      <x:c r="D54" s="32" t="str">
        <x:v>通道为忌但力量弱、无根或不靠近日柱。</x:v>
      </x:c>
      <x:c r="E54" s="32" t="str">
        <x:v>不生成强行为结论；不输出负面标签</x:v>
      </x:c>
      <x:c r="F54" s="32" t="str">
        <x:v>boundary_note</x:v>
      </x:c>
      <x:c r="G54" s="32" t="str">
        <x:v>当前不足以把这项结构写成你稳定的相处习惯。</x:v>
      </x:c>
      <x:c r="H54" s="39" t="str">
        <x:v>高</x:v>
      </x:c>
    </x:row>
    <x:row r="55" ht="15" hidden="0" customHeight="1">
      <x:c r="A55" s="38" t="str">
        <x:v>M3-BASE-183</x:v>
      </x:c>
      <x:c r="B55" s="32" t="str">
        <x:v>正偏同系统重复｜浓度不等于双模式</x:v>
      </x:c>
      <x:c r="C55" s="32" t="str">
        <x:v>去重</x:v>
      </x:c>
      <x:c r="D55" s="32" t="str">
        <x:v>同一五系统的正偏十神同时明显，例如食神与伤官。</x:v>
      </x:c>
      <x:c r="E55" s="32" t="str">
        <x:v>系统分数封顶；保留风格差异</x:v>
      </x:c>
      <x:c r="F55" s="32" t="str">
        <x:v>interaction_pattern</x:v>
      </x:c>
      <x:c r="G55" s="32" t="str">
        <x:v>你的核心互动方向较集中，只是在同一方向里可能同时有两种表达风格。</x:v>
      </x:c>
      <x:c r="H55" s="39" t="str">
        <x:v>高</x:v>
      </x:c>
    </x:row>
    <x:row r="56" ht="15" hidden="0" customHeight="1">
      <x:c r="A56" s="38" t="str">
        <x:v>M3-BASE-185</x:v>
      </x:c>
      <x:c r="B56" s="32" t="str">
        <x:v>强弱喜忌争议｜降低基础置信</x:v>
      </x:c>
      <x:c r="C56" s="32" t="str">
        <x:v>门控</x:v>
      </x:c>
      <x:c r="D56" s="32" t="str">
        <x:v>旺衰、喜忌或制化存在实质分歧，且会改变主通道是否有效。</x:v>
      </x:c>
      <x:c r="E56" s="32" t="str">
        <x:v>confidence-1至停止</x:v>
      </x:c>
      <x:c r="F56" s="32" t="str">
        <x:v>confidence</x:v>
      </x:c>
      <x:c r="G56" s="32" t="str">
        <x:v>核心底盘可以暂作候选，但其外显程度和稳定性仍需保留不确定性。</x:v>
      </x:c>
      <x:c r="H56" s="39" t="str">
        <x:v>中低</x:v>
      </x:c>
    </x:row>
    <x:row r="57" ht="15" hidden="0" customHeight="1">
      <x:c r="A57" s="38" t="str">
        <x:v>M3-BASE-186</x:v>
      </x:c>
      <x:c r="B57" s="32" t="str">
        <x:v>基础排盘或十神映射未定｜停止BASE</x:v>
      </x:c>
      <x:c r="C57" s="32" t="str">
        <x:v>停止</x:v>
      </x:c>
      <x:c r="D57" s="32" t="str">
        <x:v>日主、日支、藏干或十神映射存在关键缺失／冲突。</x:v>
      </x:c>
      <x:c r="E57" s="32" t="str">
        <x:v>整个M3-BASE停止</x:v>
      </x:c>
      <x:c r="F57" s="32" t="str">
        <x:v>report_status</x:v>
      </x:c>
      <x:c r="G57" s="32" t="str">
        <x:v>当前基础排盘或十神映射信息不足，暂不生成固定的相处底盘结论。</x:v>
      </x:c>
      <x:c r="H57" s="39" t="str">
        <x:v>停止</x:v>
      </x:c>
    </x:row>
    <x:row r="58" ht="15" hidden="0" customHeight="1">
      <x:c r="A58" s="38" t="str">
        <x:v>M3-BASE-187</x:v>
      </x:c>
      <x:c r="B58" s="32" t="str">
        <x:v>日支主气未定｜停止核心底盘</x:v>
      </x:c>
      <x:c r="C58" s="32" t="str">
        <x:v>停止</x:v>
      </x:c>
      <x:c r="D58" s="32" t="str">
        <x:v>共享引擎无法可靠确认日支主气或主中余层级。</x:v>
      </x:c>
      <x:c r="E58" s="32" t="str">
        <x:v>relationship_baseline停止</x:v>
      </x:c>
      <x:c r="F58" s="32" t="str">
        <x:v>relationship_baseline</x:v>
      </x:c>
      <x:c r="G58" s="32" t="str">
        <x:v>目前日支主气仍有争议，不宜把你的相处方式固定为某一种核心模式。</x:v>
      </x:c>
      <x:c r="H58" s="39" t="str">
        <x:v>停止</x:v>
      </x:c>
    </x:row>
    <x:row r="59" ht="15" hidden="0" customHeight="1">
      <x:c r="A59" s="38" t="str">
        <x:v>M3-BASE-188</x:v>
      </x:c>
      <x:c r="B59" s="32" t="str">
        <x:v>真合化状态未定且影响主气｜停止</x:v>
      </x:c>
      <x:c r="C59" s="32" t="str">
        <x:v>停止</x:v>
      </x:c>
      <x:c r="D59" s="32" t="str">
        <x:v>是否真合化会决定原日支十神是否继续有效，且当前无法确认。</x:v>
      </x:c>
      <x:c r="E59" s="32" t="str">
        <x:v>relationship_baseline停止；等待共享引擎</x:v>
      </x:c>
      <x:c r="F59" s="32" t="str">
        <x:v>relationship_baseline</x:v>
      </x:c>
      <x:c r="G59" s="32" t="str">
        <x:v>当前合化状态会直接改变相处底盘，因此暂不作确定判断。</x:v>
      </x:c>
      <x:c r="H59" s="39" t="str">
        <x:v>停止</x:v>
      </x:c>
    </x:row>
    <x:row r="60" ht="15" hidden="0" customHeight="1">
      <x:c r="A60" s="38" t="str">
        <x:v>M3-BASE-189</x:v>
      </x:c>
      <x:c r="B60" s="32" t="str">
        <x:v>藏干层级缺失｜不做主次合成</x:v>
      </x:c>
      <x:c r="C60" s="32" t="str">
        <x:v>停止</x:v>
      </x:c>
      <x:c r="D60" s="32" t="str">
        <x:v>日支存在多个藏干，但共享引擎未提供可靠主中余层级。</x:v>
      </x:c>
      <x:c r="E60" s="32" t="str">
        <x:v>双通道与次级底盘停止</x:v>
      </x:c>
      <x:c r="F60" s="32" t="str">
        <x:v>interaction_pattern</x:v>
      </x:c>
      <x:c r="G60" s="32" t="str">
        <x:v>当前只能保留非常有限的日支信息，不能可靠判断主次相处通道。</x:v>
      </x:c>
      <x:c r="H60" s="39" t="str">
        <x:v>停止</x:v>
      </x:c>
    </x:row>
    <x:row r="61" ht="24" hidden="0" customHeight="1">
      <x:c r="A61" s="38" t="str">
        <x:v>M3-BASE-190</x:v>
      </x:c>
      <x:c r="B61" s="32" t="str">
        <x:v>日主强弱未定｜BASE不必全停</x:v>
      </x:c>
      <x:c r="C61" s="32" t="str">
        <x:v>门控</x:v>
      </x:c>
      <x:c r="D61" s="32" t="str">
        <x:v>日支主气、十神和合化清楚，但日主强弱或喜忌尚未锁定。</x:v>
      </x:c>
      <x:c r="E61" s="32" t="str">
        <x:v>保留底盘类型；状态修饰与置信封顶为中</x:v>
      </x:c>
      <x:c r="F61" s="32" t="str">
        <x:v>confidence</x:v>
      </x:c>
      <x:c r="G61" s="32" t="str">
        <x:v>可以先判断核心相处主题，但它的强度、顺畅度和压力表现暂时不宜写得过细。</x:v>
      </x:c>
      <x:c r="H61" s="39" t="str">
        <x:v>中</x:v>
      </x:c>
    </x:row>
    <x:row r="62" ht="15" hidden="0" customHeight="1">
      <x:c r="A62" s="38" t="str">
        <x:v>M3-BASE-191</x:v>
      </x:c>
      <x:c r="B62" s="32" t="str">
        <x:v>夫妻星状态未定｜只停止跨模型接口</x:v>
      </x:c>
      <x:c r="C62" s="32" t="str">
        <x:v>门控</x:v>
      </x:c>
      <x:c r="D62" s="32" t="str">
        <x:v>日支底盘清楚，但传统夫妻星透藏、强弱或合化状态未定。</x:v>
      </x:c>
      <x:c r="E62" s="32" t="str">
        <x:v>M2—M3连续性停止；BASE核心保留</x:v>
      </x:c>
      <x:c r="F62" s="32" t="str">
        <x:v>cross_model_ref</x:v>
      </x:c>
      <x:c r="G62" s="32" t="str">
        <x:v>核心相处底盘仍可判断，但暂不比较关系选择标准与相处方式是否连续。</x:v>
      </x:c>
      <x:c r="H62" s="39" t="str">
        <x:v>中高</x:v>
      </x:c>
    </x:row>
    <x:row r="63" ht="15" hidden="0" customHeight="1">
      <x:c r="A63" s="38" t="str">
        <x:v>M3-BASE-192</x:v>
      </x:c>
      <x:c r="B63" s="32" t="str">
        <x:v>宫位动态未达有效阈值｜不得修正</x:v>
      </x:c>
      <x:c r="C63" s="32" t="str">
        <x:v>门控</x:v>
      </x:c>
      <x:c r="D63" s="32" t="str">
        <x:v>存在形式关系但强度、距离、成立条件或作用路径不足。</x:v>
      </x:c>
      <x:c r="E63" s="32" t="str">
        <x:v>不进入stress_shift</x:v>
      </x:c>
      <x:c r="F63" s="32" t="str">
        <x:v>stress_shift</x:v>
      </x:c>
      <x:c r="G63" s="32" t="str">
        <x:v>这项结构只保留为背景，不足以改变你关系中的核心相处节奏。</x:v>
      </x:c>
      <x:c r="H63" s="39" t="str">
        <x:v>高</x:v>
      </x:c>
    </x:row>
    <x:row r="64" ht="15" hidden="0" customHeight="1">
      <x:c r="A64" s="38" t="str">
        <x:v>M3-BASE-193</x:v>
      </x:c>
      <x:c r="B64" s="32" t="str">
        <x:v>一个source_id只算一次基础权重</x:v>
      </x:c>
      <x:c r="C64" s="32" t="str">
        <x:v>去重</x:v>
      </x:c>
      <x:c r="D64" s="32" t="str">
        <x:v>同一个日支事实被BASE、M2接口、藏干层级或宫位动态多次读取。</x:v>
      </x:c>
      <x:c r="E64" s="32" t="str">
        <x:v>基础分只计一次；解释可多视角</x:v>
      </x:c>
      <x:c r="F64" s="32" t="str">
        <x:v>dedup_log</x:v>
      </x:c>
      <x:c r="G64" s="32" t="str">
        <x:v>同一项命理事实会从不同角度说明，但不会被重复算成多条独立证据。</x:v>
      </x:c>
      <x:c r="H64" s="39" t="str">
        <x:v>高</x:v>
      </x:c>
    </x:row>
    <x:row r="65" ht="15" hidden="0" customHeight="1">
      <x:c r="A65" s="38" t="str">
        <x:v>M3-BASE-194</x:v>
      </x:c>
      <x:c r="B65" s="32" t="str">
        <x:v>日干日支关系与日支十神｜强制同源</x:v>
      </x:c>
      <x:c r="C65" s="32" t="str">
        <x:v>去重</x:v>
      </x:c>
      <x:c r="D65" s="32" t="str">
        <x:v>两项同时进入BASE。</x:v>
      </x:c>
      <x:c r="E65" s="32" t="str">
        <x:v>同一基础簇；只保留一次+25</x:v>
      </x:c>
      <x:c r="F65" s="32" t="str">
        <x:v>dedup_log</x:v>
      </x:c>
      <x:c r="G65" s="32" t="str">
        <x:v>五行关系和十神名称只是同一底盘的两种表达，不会重复加分。</x:v>
      </x:c>
      <x:c r="H65" s="39" t="str">
        <x:v>高</x:v>
      </x:c>
    </x:row>
    <x:row r="66" ht="15" hidden="0" customHeight="1">
      <x:c r="A66" s="38" t="str">
        <x:v>M3-BASE-195</x:v>
      </x:c>
      <x:c r="B66" s="32" t="str">
        <x:v>藏干与以其为根的透干｜证据簇封顶</x:v>
      </x:c>
      <x:c r="C66" s="32" t="str">
        <x:v>去重</x:v>
      </x:c>
      <x:c r="D66" s="32" t="str">
        <x:v>天干十神直接以日支藏干为根，且无其他独立根气。</x:v>
      </x:c>
      <x:c r="E66" s="32" t="str">
        <x:v>基础簇封顶；透干只加外显度</x:v>
      </x:c>
      <x:c r="F66" s="32" t="str">
        <x:v>dedup_log</x:v>
      </x:c>
      <x:c r="G66" s="32" t="str">
        <x:v>这项通道会被视为更容易表现出来，但不会被计算成两套相处模式。</x:v>
      </x:c>
      <x:c r="H66" s="39" t="str">
        <x:v>高</x:v>
      </x:c>
    </x:row>
    <x:row r="67" ht="24" hidden="0" customHeight="1">
      <x:c r="A67" s="38" t="str">
        <x:v>M3-BASE-196</x:v>
      </x:c>
      <x:c r="B67" s="32" t="str">
        <x:v>M2夫妻星入宫与M3日支底盘｜跨模型去重</x:v>
      </x:c>
      <x:c r="C67" s="32" t="str">
        <x:v>去重</x:v>
      </x:c>
      <x:c r="D67" s="32" t="str">
        <x:v>M2与M3读取同一日支夫妻星事实。</x:v>
      </x:c>
      <x:c r="E67" s="32" t="str">
        <x:v>M2不抬高M3基础置信；仅保留连续性</x:v>
      </x:c>
      <x:c r="F67" s="32" t="str">
        <x:v>cross_model_ref</x:v>
      </x:c>
      <x:c r="G67" s="32" t="str">
        <x:v>你的关系选择与相处方式可能主题一致，但这不会被重复计算为更高准确度。</x:v>
      </x:c>
      <x:c r="H67" s="39" t="str">
        <x:v>高</x:v>
      </x:c>
    </x:row>
    <x:row r="68" ht="15" hidden="0" customHeight="1">
      <x:c r="A68" s="38" t="str">
        <x:v>M3-BASE-197</x:v>
      </x:c>
      <x:c r="B68" s="32" t="str">
        <x:v>主底盘数量上限｜只保留一个</x:v>
      </x:c>
      <x:c r="C68" s="32" t="str">
        <x:v>门控</x:v>
      </x:c>
      <x:c r="D68" s="32" t="str">
        <x:v>两个以上候选试图进入relationship_baseline。</x:v>
      </x:c>
      <x:c r="E68" s="32" t="str">
        <x:v>只保留1个主底盘；其余降为次级或日志</x:v>
      </x:c>
      <x:c r="F68" s="32" t="str">
        <x:v>output_limit</x:v>
      </x:c>
      <x:c r="G68" s="32" t="str">
        <x:v>最终会优先保留一个最能解释关系运行的核心底盘。</x:v>
      </x:c>
      <x:c r="H68" s="39" t="str">
        <x:v>高</x:v>
      </x:c>
    </x:row>
    <x:row r="69" ht="15" hidden="0" customHeight="1">
      <x:c r="A69" s="38" t="str">
        <x:v>M3-BASE-198</x:v>
      </x:c>
      <x:c r="B69" s="32" t="str">
        <x:v>次级底盘数量上限｜最多一个</x:v>
      </x:c>
      <x:c r="C69" s="32" t="str">
        <x:v>门控</x:v>
      </x:c>
      <x:c r="D69" s="32" t="str">
        <x:v>两个以上候选试图进入secondary_baseline或正文。</x:v>
      </x:c>
      <x:c r="E69" s="32" t="str">
        <x:v>正文最多1个次通道；其余进入依据日志</x:v>
      </x:c>
      <x:c r="F69" s="32" t="str">
        <x:v>output_limit</x:v>
      </x:c>
      <x:c r="G69" s="32" t="str">
        <x:v>除核心方式外，正文最多再保留一项真正有作用的补充。</x:v>
      </x:c>
      <x:c r="H69" s="39" t="str">
        <x:v>高</x:v>
      </x:c>
    </x:row>
    <x:row r="70" ht="24" hidden="0" customHeight="1">
      <x:c r="A70" s="38" t="str">
        <x:v>M3-BASE-199</x:v>
      </x:c>
      <x:c r="B70" s="32" t="str">
        <x:v>P11双通道｜独立性门槛</x:v>
      </x:c>
      <x:c r="C70" s="32" t="str">
        <x:v>门控</x:v>
      </x:c>
      <x:c r="D70" s="32" t="str">
        <x:v>两套通道功能不同、来源独立、均达到最低有效阈值，且能说明任务或场景分工。</x:v>
      </x:c>
      <x:c r="E70" s="32" t="str">
        <x:v>满足才进入P11；否则主次或收敛</x:v>
      </x:c>
      <x:c r="F70" s="32" t="str">
        <x:v>interaction_pattern</x:v>
      </x:c>
      <x:c r="G70" s="32" t="str">
        <x:v>只有当两套方式分别承担不同任务时，才适合把你概括为双通道相处。</x:v>
      </x:c>
      <x:c r="H70" s="39" t="str">
        <x:v>高</x:v>
      </x:c>
    </x:row>
    <x:row r="71" ht="24" hidden="0" customHeight="1">
      <x:c r="A71" s="38" t="str">
        <x:v>M3-BASE-200</x:v>
      </x:c>
      <x:c r="B71" s="32" t="str">
        <x:v>P12情境切换｜稳定切换门槛</x:v>
      </x:c>
      <x:c r="C71" s="32" t="str">
        <x:v>门控</x:v>
      </x:c>
      <x:c r="D71" s="32" t="str">
        <x:v>至少两类状态或场景能稳定触发不同通道；有结构证据说明切换条件。</x:v>
      </x:c>
      <x:c r="E71" s="32" t="str">
        <x:v>满足才输出P12；否则低置信</x:v>
      </x:c>
      <x:c r="F71" s="32" t="str">
        <x:v>interaction_pattern</x:v>
      </x:c>
      <x:c r="G71" s="32" t="str">
        <x:v>只有当不同场景会稳定触发不同方式时，才会输出情境切换型。</x:v>
      </x:c>
      <x:c r="H71" s="39" t="str">
        <x:v>高</x:v>
      </x:c>
    </x:row>
    <x:row r="72" ht="24" hidden="0" customHeight="1">
      <x:c r="A72" s="38" t="str">
        <x:v>M3-BASE-201</x:v>
      </x:c>
      <x:c r="B72" s="32" t="str">
        <x:v>BASE不得提前锁定表达细节</x:v>
      </x:c>
      <x:c r="C72" s="32" t="str">
        <x:v>边界</x:v>
      </x:c>
      <x:c r="D72" s="32" t="str">
        <x:v>BASE规则试图输出具体语言频率、情绪表达强度或沟通措辞。</x:v>
      </x:c>
      <x:c r="E72" s="32" t="str">
        <x:v>具体表达字段拦截；只保留路由</x:v>
      </x:c>
      <x:c r="F72" s="32" t="str">
        <x:v>affection_expression／communication_style</x:v>
      </x:c>
      <x:c r="G72" s="32" t="str">
        <x:v>当前只能判断你更靠近哪类表达通道，具体外显程度需要继续分析。</x:v>
      </x:c>
      <x:c r="H72" s="39" t="str">
        <x:v>高</x:v>
      </x:c>
    </x:row>
    <x:row r="73" ht="24" hidden="0" customHeight="1">
      <x:c r="A73" s="38" t="str">
        <x:v>M3-BASE-202</x:v>
      </x:c>
      <x:c r="B73" s="32" t="str">
        <x:v>BASE不得提前锁定分歧与修复</x:v>
      </x:c>
      <x:c r="C73" s="32" t="str">
        <x:v>边界</x:v>
      </x:c>
      <x:c r="D73" s="32" t="str">
        <x:v>BASE规则试图输出固定争执方式、冷战、道歉或复合路径。</x:v>
      </x:c>
      <x:c r="E73" s="32" t="str">
        <x:v>具体字段拦截；只保留route</x:v>
      </x:c>
      <x:c r="F73" s="32" t="str">
        <x:v>conflict_response／repair_path</x:v>
      </x:c>
      <x:c r="G73" s="32" t="str">
        <x:v>目前只能看出某类处理方向更可能被启动，不能仅凭底盘确定完整分歧或修复方式。</x:v>
      </x:c>
      <x:c r="H73" s="39" t="str">
        <x:v>高</x:v>
      </x:c>
    </x:row>
    <x:row r="74" ht="24" hidden="0" customHeight="1">
      <x:c r="A74" s="38" t="str">
        <x:v>M3-BASE-203</x:v>
      </x:c>
      <x:c r="B74" s="32" t="str">
        <x:v>日支不等于配偶人格｜强制边界</x:v>
      </x:c>
      <x:c r="C74" s="32" t="str">
        <x:v>边界</x:v>
      </x:c>
      <x:c r="D74" s="32" t="str">
        <x:v>任何日支十神或宫位动态准备进入用户输出。</x:v>
      </x:c>
      <x:c r="E74" s="32" t="str">
        <x:v>强制替换为“关系底盘／你在关系中更习惯”</x:v>
      </x:c>
      <x:c r="F74" s="32" t="str">
        <x:v>boundary_note</x:v>
      </x:c>
      <x:c r="G74" s="32" t="str">
        <x:v>这里说的是你进入关系后更容易使用的相处方式，不是在给未来伴侣下性格结论。</x:v>
      </x:c>
      <x:c r="H74" s="39" t="str">
        <x:v>高</x:v>
      </x:c>
    </x:row>
    <x:row r="75" ht="24" hidden="0" customHeight="1">
      <x:c r="A75" s="38" t="str">
        <x:v>M3-BASE-204</x:v>
      </x:c>
      <x:c r="B75" s="32" t="str">
        <x:v>M3不得输出风险与适配｜强制边界</x:v>
      </x:c>
      <x:c r="C75" s="32" t="str">
        <x:v>边界</x:v>
      </x:c>
      <x:c r="D75" s="32" t="str">
        <x:v>任何BASE结论准备延伸为好坏、风险或适合对象。</x:v>
      </x:c>
      <x:c r="E75" s="32" t="str">
        <x:v>拦截风险与适配语句</x:v>
      </x:c>
      <x:c r="F75" s="32" t="str">
        <x:v>boundary_note</x:v>
      </x:c>
      <x:c r="G75" s="32" t="str">
        <x:v>相处惯性本身没有绝对好坏；它是否容易失衡、需要怎样匹配，要由后续模型单独判断。</x:v>
      </x:c>
      <x:c r="H75" s="39" t="str">
        <x:v>高</x:v>
      </x:c>
    </x:row>
    <x:row r="76" ht="15" hidden="0" customHeight="1">
      <x:c r="A76" s="40" t="str">
        <x:v>M3-BASE-206</x:v>
      </x:c>
      <x:c r="B76" s="57" t="str">
        <x:v>所有规则待案例校准｜发布状态</x:v>
      </x:c>
      <x:c r="C76" s="57" t="str">
        <x:v>门控</x:v>
      </x:c>
      <x:c r="D76" s="57" t="str">
        <x:v>任何规则进入开发、报告或对外说明。</x:v>
      </x:c>
      <x:c r="E76" s="57" t="str">
        <x:v>validation_status=待验证；provisional=true</x:v>
      </x:c>
      <x:c r="F76" s="57" t="str">
        <x:v>provenance</x:v>
      </x:c>
      <x:c r="G76" s="57" t="str">
        <x:v>当前结论用于结构化分析和案例验证，不代表统计概率或科学测量结果。</x:v>
      </x:c>
      <x:c r="H76" s="41" t="str">
        <x:v>高</x:v>
      </x:c>
    </x:row>
  </x:sheetData>
  <x:mergeCells>
    <x:mergeCell ref="A1:H1"/>
    <x:mergeCell ref="A2:H2"/>
  </x:mergeCells>
  <x:pageMargins left="0.7" right="0.7" top="0.75" bottom="0.75" header="0.3" footer="0.3"/>
  <x:tableParts count="1">
    <x:tablePart xmlns:r="http://schemas.openxmlformats.org/officeDocument/2006/relationships" r:id="R87346331ab674a32"/>
  </x:tableParts>
</x:worksheet>
</file>

<file path=xl/worksheets/sheet10.xml><?xml version="1.0" encoding="utf-8"?>
<x:worksheet xmlns:x="http://schemas.openxmlformats.org/spreadsheetml/2006/main">
  <x:sheetFormatPr defaultRowHeight="15"/>
  <x:cols>
    <x:col min="1" max="1" width="8" hidden="0" customWidth="1"/>
    <x:col min="2" max="2" width="34" hidden="0" customWidth="1"/>
    <x:col min="3" max="3" width="34" hidden="0" customWidth="1"/>
    <x:col min="4" max="4" width="80" hidden="0" customWidth="1"/>
  </x:cols>
  <x:sheetData>
    <x:row r="1" ht="19.200000762939453" hidden="0" customHeight="1">
      <x:c r="A1" s="6" t="str">
        <x:v>M3-BASE 用户输出模板与案例</x:v>
      </x:c>
      <x:c r="B1" s="6"/>
      <x:c r="C1" s="6"/>
      <x:c r="D1" s="6"/>
      <x:c r="E1" s="6"/>
      <x:c r="F1" s="6"/>
      <x:c r="G1" s="6"/>
      <x:c r="H1" s="6"/>
    </x:row>
    <x:row r="2" ht="15" hidden="0" customHeight="1">
      <x:c r="A2" s="15" t="str">
        <x:v>先确定底盘和状态，再套模板；不要在BASE阶段提前写完整分歧与修复。</x:v>
      </x:c>
      <x:c r="B2" s="15"/>
      <x:c r="C2" s="15"/>
      <x:c r="D2" s="15"/>
      <x:c r="E2" s="15"/>
      <x:c r="F2" s="15"/>
      <x:c r="G2" s="15"/>
      <x:c r="H2" s="15"/>
    </x:row>
    <x:row r="3"/>
    <x:row r="4" ht="15" hidden="0" customHeight="1">
      <x:c r="A4" s="36" t="str">
        <x:v>模板</x:v>
      </x:c>
      <x:c r="B4" s="37" t="str">
        <x:v>可直接改写的句式</x:v>
      </x:c>
    </x:row>
    <x:row r="5" ht="48" hidden="0" customHeight="1">
      <x:c r="A5" s="38" t="str">
        <x:v>单一底盘</x:v>
      </x:c>
      <x:c r="B5" s="39" t="str">
        <x:v>进入关系后，你最自然的运行方式是【核心底盘】。你通常会通过【核心行为方向】维持联结。具体怎样表达情绪、处理分歧和完成修复，还需要后续模块继续判断。</x:v>
      </x:c>
    </x:row>
    <x:row r="6" ht="36" hidden="0" customHeight="1">
      <x:c r="A6" s="38" t="str">
        <x:v>主次底盘</x:v>
      </x:c>
      <x:c r="B6" s="39" t="str">
        <x:v>你的相处方式有清楚的主轴：日常更习惯【主底盘】。当关系深入或出现【场景】时，【次通道】会更明显，但它仍是补充。</x:v>
      </x:c>
    </x:row>
    <x:row r="7" ht="48" hidden="0" customHeight="1">
      <x:c r="A7" s="38" t="str">
        <x:v>状态修正版</x:v>
      </x:c>
      <x:c r="B7" s="39" t="str">
        <x:v>核心底盘仍是【A】。不过，日支的【合／冲／刑／害／破】会让这套方式在【情境】中更容易表现为【节奏修正】。这不代表关系一定发生负面结果。</x:v>
      </x:c>
    </x:row>
    <x:row r="8" ht="36" hidden="0" customHeight="1">
      <x:c r="A8" s="38" t="str">
        <x:v>低置信版</x:v>
      </x:c>
      <x:c r="B8" s="39" t="str">
        <x:v>目前可以确认你在关系中较重视【五系统主题】，但日支主次、合化或力量状态仍有争议，因此暂不宜固定为具体相处模式。</x:v>
      </x:c>
    </x:row>
    <x:row r="9" ht="36" hidden="0" customHeight="1">
      <x:c r="A9" s="40" t="str">
        <x:v>折叠依据</x:v>
      </x:c>
      <x:c r="B9" s="41" t="str">
        <x:v>从传统八字取象看，日支主气的【十神】使关系底盘更接近【通道】；【透出／根气／状态】进一步修正了外显程度和稳定性。</x:v>
      </x:c>
    </x:row>
    <x:row r="10"/>
    <x:row r="11" ht="15" hidden="0" customHeight="1">
      <x:c r="A11" s="51" t="str">
        <x:v>八个合成示例</x:v>
      </x:c>
      <x:c r="B11" s="51"/>
      <x:c r="C11" s="51"/>
      <x:c r="D11" s="51"/>
      <x:c r="E11" s="51"/>
      <x:c r="F11" s="51"/>
      <x:c r="G11" s="51"/>
      <x:c r="H11" s="51"/>
    </x:row>
    <x:row r="12" ht="15" hidden="0" customHeight="1">
      <x:c r="A12" s="36" t="str">
        <x:v>案例</x:v>
      </x:c>
      <x:c r="B12" s="56" t="str">
        <x:v>结构</x:v>
      </x:c>
      <x:c r="C12" s="56" t="str">
        <x:v>判断</x:v>
      </x:c>
      <x:c r="D12" s="37" t="str">
        <x:v>用户输出方向</x:v>
      </x:c>
    </x:row>
    <x:row r="13" ht="15" hidden="0" customHeight="1">
      <x:c r="A13" s="38" t="str">
        <x:v>1</x:v>
      </x:c>
      <x:c r="B13" s="32" t="str">
        <x:v>正财主气＋同类透干有根</x:v>
      </x:c>
      <x:c r="C13" s="32" t="str">
        <x:v>稳定经营型候选</x:v>
      </x:c>
      <x:c r="D13" s="39" t="str">
        <x:v>持续投入、日常安排和现实落实较容易成为关系运行主轴；透干有根使其更外显、可重复。</x:v>
      </x:c>
    </x:row>
    <x:row r="14" ht="15" hidden="0" customHeight="1">
      <x:c r="A14" s="38" t="str">
        <x:v>2</x:v>
      </x:c>
      <x:c r="B14" s="32" t="str">
        <x:v>伤官主气＋正印中气有独立支持</x:v>
      </x:c>
      <x:c r="C14" s="32" t="str">
        <x:v>表达澄清主轴＋安全承接次通道</x:v>
      </x:c>
      <x:c r="D14" s="39" t="str">
        <x:v>日常先说清楚；复杂情绪时承接通道补位，具体先后交STATE。</x:v>
      </x:c>
    </x:row>
    <x:row r="15" ht="15" hidden="0" customHeight="1">
      <x:c r="A15" s="38" t="str">
        <x:v>3</x:v>
      </x:c>
      <x:c r="B15" s="32" t="str">
        <x:v>偏印主气，仅藏，偏弱但有近位支持</x:v>
      </x:c>
      <x:c r="C15" s="32" t="str">
        <x:v>深度内化候选，中等置信</x:v>
      </x:c>
      <x:c r="D15" s="39" t="str">
        <x:v>亲密后更易先内部整理，再选择性回应；不外推为一般人格。</x:v>
      </x:c>
    </x:row>
    <x:row r="16" ht="15" hidden="0" customHeight="1">
      <x:c r="A16" s="38" t="str">
        <x:v>4</x:v>
      </x:c>
      <x:c r="B16" s="32" t="str">
        <x:v>正官主气＋有效冲</x:v>
      </x:c>
      <x:c r="C16" s="32" t="str">
        <x:v>责任维护底盘＋节奏调整</x:v>
      </x:c>
      <x:c r="D16" s="39" t="str">
        <x:v>核心仍是守约分工；遇差异时更快重新安排或确认规则。</x:v>
      </x:c>
    </x:row>
    <x:row r="17" ht="15" hidden="0" customHeight="1">
      <x:c r="A17" s="38" t="str">
        <x:v>5</x:v>
      </x:c>
      <x:c r="B17" s="32" t="str">
        <x:v>女命正官入主气，M2也以承诺为门槛</x:v>
      </x:c>
      <x:c r="C17" s="32" t="str">
        <x:v>M2—M3主题连续，同源去重</x:v>
      </x:c>
      <x:c r="D17" s="39" t="str">
        <x:v>选择时看重责任，进入后用责任维护；不重复抬高置信。</x:v>
      </x:c>
    </x:row>
    <x:row r="18" ht="15" hidden="0" customHeight="1">
      <x:c r="A18" s="38" t="str">
        <x:v>6</x:v>
      </x:c>
      <x:c r="B18" s="32" t="str">
        <x:v>食神主气＋合而不化</x:v>
      </x:c>
      <x:c r="C18" s="32" t="str">
        <x:v>舒缓陪伴底盘＋协调修正</x:v>
      </x:c>
      <x:c r="D18" s="39" t="str">
        <x:v>原底盘保留，关系中更容易先兼顾安排。</x:v>
      </x:c>
    </x:row>
    <x:row r="19" ht="15" hidden="0" customHeight="1">
      <x:c r="A19" s="38" t="str">
        <x:v>7</x:v>
      </x:c>
      <x:c r="B19" s="32" t="str">
        <x:v>真合化成立但化神承载弱</x:v>
      </x:c>
      <x:c r="C19" s="32" t="str">
        <x:v>原主气停止，新系统低置信候选</x:v>
      </x:c>
      <x:c r="D19" s="39" t="str">
        <x:v>不机械沿用原十神，也不把化神写成稳定高频习惯。</x:v>
      </x:c>
    </x:row>
    <x:row r="20" ht="15" hidden="0" customHeight="1">
      <x:c r="A20" s="40" t="str">
        <x:v>8</x:v>
      </x:c>
      <x:c r="B20" s="57" t="str">
        <x:v>多藏干但中余气支持不足</x:v>
      </x:c>
      <x:c r="C20" s="57" t="str">
        <x:v>只输出主底盘</x:v>
      </x:c>
      <x:c r="D20" s="41" t="str">
        <x:v>多藏干表示层次，不等于关系复杂。</x:v>
      </x:c>
    </x:row>
  </x:sheetData>
  <x:mergeCells>
    <x:mergeCell ref="A1:H1"/>
    <x:mergeCell ref="A2:H2"/>
    <x:mergeCell ref="A11:H11"/>
  </x:mergeCells>
  <x:pageMargins left="0.7" right="0.7" top="0.75" bottom="0.75" header="0.3" footer="0.3"/>
  <x:tableParts count="2">
    <x:tablePart xmlns:r="http://schemas.openxmlformats.org/officeDocument/2006/relationships" r:id="R71e0e986907a4316"/>
    <x:tablePart xmlns:r="http://schemas.openxmlformats.org/officeDocument/2006/relationships" r:id="R5717aa00ce4e42a6"/>
  </x:tableParts>
</x:worksheet>
</file>

<file path=xl/worksheets/sheet11.xml><?xml version="1.0" encoding="utf-8"?>
<x:worksheet xmlns:x="http://schemas.openxmlformats.org/spreadsheetml/2006/main">
  <x:sheetFormatPr defaultRowHeight="15"/>
  <x:cols>
    <x:col min="1" max="1" width="28" hidden="0" customWidth="1"/>
    <x:col min="2" max="2" width="72" hidden="0" customWidth="1"/>
    <x:col min="3" max="3" width="12" hidden="0" customWidth="1"/>
  </x:cols>
  <x:sheetData>
    <x:row r="1" ht="19.200000762939453" hidden="0" customHeight="1">
      <x:c r="A1" s="6" t="str">
        <x:v>31字段规则词典</x:v>
      </x:c>
      <x:c r="B1" s="6"/>
      <x:c r="C1" s="6"/>
    </x:row>
    <x:row r="2" ht="15" hidden="0" customHeight="1">
      <x:c r="A2" s="15" t="str">
        <x:v>与M2兼容，便于后续汇总为M3总规则库和程序JSON。</x:v>
      </x:c>
      <x:c r="B2" s="15"/>
      <x:c r="C2" s="15"/>
    </x:row>
    <x:row r="3"/>
    <x:row r="4" ht="15" hidden="0" customHeight="1">
      <x:c r="A4" s="36" t="str">
        <x:v>字段</x:v>
      </x:c>
      <x:c r="B4" s="56" t="str">
        <x:v>含义</x:v>
      </x:c>
      <x:c r="C4" s="37" t="str">
        <x:v>要求</x:v>
      </x:c>
    </x:row>
    <x:row r="5" ht="15" hidden="0" customHeight="1">
      <x:c r="A5" s="38" t="str">
        <x:v>rule_id</x:v>
      </x:c>
      <x:c r="B5" s="32" t="str">
        <x:v>唯一规则编号</x:v>
      </x:c>
      <x:c r="C5" s="39" t="str">
        <x:v>必填</x:v>
      </x:c>
    </x:row>
    <x:row r="6" ht="15" hidden="0" customHeight="1">
      <x:c r="A6" s="38" t="str">
        <x:v>rule_name</x:v>
      </x:c>
      <x:c r="B6" s="32" t="str">
        <x:v>规则名称</x:v>
      </x:c>
      <x:c r="C6" s="39" t="str">
        <x:v>必填</x:v>
      </x:c>
    </x:row>
    <x:row r="7" ht="15" hidden="0" customHeight="1">
      <x:c r="A7" s="38" t="str">
        <x:v>layer</x:v>
      </x:c>
      <x:c r="B7" s="32" t="str">
        <x:v>知识层级</x:v>
      </x:c>
      <x:c r="C7" s="39" t="str">
        <x:v>必填</x:v>
      </x:c>
    </x:row>
    <x:row r="8" ht="15" hidden="0" customHeight="1">
      <x:c r="A8" s="38" t="str">
        <x:v>module</x:v>
      </x:c>
      <x:c r="B8" s="32" t="str">
        <x:v>BASE子模块</x:v>
      </x:c>
      <x:c r="C8" s="39" t="str">
        <x:v>必填</x:v>
      </x:c>
    </x:row>
    <x:row r="9" ht="15" hidden="0" customHeight="1">
      <x:c r="A9" s="38" t="str">
        <x:v>applicable_group</x:v>
      </x:c>
      <x:c r="B9" s="32" t="str">
        <x:v>通用、男命、女命或特定结构</x:v>
      </x:c>
      <x:c r="C9" s="39" t="str">
        <x:v>必填</x:v>
      </x:c>
    </x:row>
    <x:row r="10" ht="15" hidden="0" customHeight="1">
      <x:c r="A10" s="38" t="str">
        <x:v>rule_type</x:v>
      </x:c>
      <x:c r="B10" s="32" t="str">
        <x:v>基础、修正、组合、门控、停止、输出等</x:v>
      </x:c>
      <x:c r="C10" s="39" t="str">
        <x:v>必填</x:v>
      </x:c>
    </x:row>
    <x:row r="11" ht="15" hidden="0" customHeight="1">
      <x:c r="A11" s="38" t="str">
        <x:v>main_signal</x:v>
      </x:c>
      <x:c r="B11" s="32" t="str">
        <x:v>主信号</x:v>
      </x:c>
      <x:c r="C11" s="39" t="str">
        <x:v>必填</x:v>
      </x:c>
    </x:row>
    <x:row r="12" ht="15" hidden="0" customHeight="1">
      <x:c r="A12" s="38" t="str">
        <x:v>secondary_signal</x:v>
      </x:c>
      <x:c r="B12" s="32" t="str">
        <x:v>次信号或修正信号</x:v>
      </x:c>
      <x:c r="C12" s="39" t="str">
        <x:v>可空</x:v>
      </x:c>
    </x:row>
    <x:row r="13" ht="15" hidden="0" customHeight="1">
      <x:c r="A13" s="38" t="str">
        <x:v>required_conditions</x:v>
      </x:c>
      <x:c r="B13" s="32" t="str">
        <x:v>必要条件</x:v>
      </x:c>
      <x:c r="C13" s="39" t="str">
        <x:v>必填</x:v>
      </x:c>
    </x:row>
    <x:row r="14" ht="15" hidden="0" customHeight="1">
      <x:c r="A14" s="38" t="str">
        <x:v>excluded_conditions</x:v>
      </x:c>
      <x:c r="B14" s="32" t="str">
        <x:v>排除条件</x:v>
      </x:c>
      <x:c r="C14" s="39" t="str">
        <x:v>必填</x:v>
      </x:c>
    </x:row>
    <x:row r="15" ht="15" hidden="0" customHeight="1">
      <x:c r="A15" s="38" t="str">
        <x:v>self_strength_status</x:v>
      </x:c>
      <x:c r="B15" s="32" t="str">
        <x:v>日主承载状态</x:v>
      </x:c>
      <x:c r="C15" s="39" t="str">
        <x:v>必填</x:v>
      </x:c>
    </x:row>
    <x:row r="16" ht="15" hidden="0" customHeight="1">
      <x:c r="A16" s="38" t="str">
        <x:v>spouse_star_status</x:v>
      </x:c>
      <x:c r="B16" s="32" t="str">
        <x:v>夫妻星接口状态</x:v>
      </x:c>
      <x:c r="C16" s="39" t="str">
        <x:v>必填</x:v>
      </x:c>
    </x:row>
    <x:row r="17" ht="15" hidden="0" customHeight="1">
      <x:c r="A17" s="38" t="str">
        <x:v>palace_signal</x:v>
      </x:c>
      <x:c r="B17" s="32" t="str">
        <x:v>日支／夫妻宫信号</x:v>
      </x:c>
      <x:c r="C17" s="39" t="str">
        <x:v>必填</x:v>
      </x:c>
    </x:row>
    <x:row r="18" ht="15" hidden="0" customHeight="1">
      <x:c r="A18" s="38" t="str">
        <x:v>flow_path</x:v>
      </x:c>
      <x:c r="B18" s="32" t="str">
        <x:v>流向、桥接或路由</x:v>
      </x:c>
      <x:c r="C18" s="39" t="str">
        <x:v>必填</x:v>
      </x:c>
    </x:row>
    <x:row r="19" ht="15" hidden="0" customHeight="1">
      <x:c r="A19" s="38" t="str">
        <x:v>signal_position</x:v>
      </x:c>
      <x:c r="B19" s="32" t="str">
        <x:v>透藏与柱位</x:v>
      </x:c>
      <x:c r="C19" s="39" t="str">
        <x:v>必填</x:v>
      </x:c>
    </x:row>
    <x:row r="20" ht="15" hidden="0" customHeight="1">
      <x:c r="A20" s="38" t="str">
        <x:v>root_status</x:v>
      </x:c>
      <x:c r="B20" s="32" t="str">
        <x:v>根气状态</x:v>
      </x:c>
      <x:c r="C20" s="39" t="str">
        <x:v>必填</x:v>
      </x:c>
    </x:row>
    <x:row r="21" ht="15" hidden="0" customHeight="1">
      <x:c r="A21" s="38" t="str">
        <x:v>strength_level</x:v>
      </x:c>
      <x:c r="B21" s="32" t="str">
        <x:v>强弱状态</x:v>
      </x:c>
      <x:c r="C21" s="39" t="str">
        <x:v>必填</x:v>
      </x:c>
    </x:row>
    <x:row r="22" ht="15" hidden="0" customHeight="1">
      <x:c r="A22" s="38" t="str">
        <x:v>favorability</x:v>
      </x:c>
      <x:c r="B22" s="32" t="str">
        <x:v>喜忌或平衡状态</x:v>
      </x:c>
      <x:c r="C22" s="39" t="str">
        <x:v>必填</x:v>
      </x:c>
    </x:row>
    <x:row r="23" ht="15" hidden="0" customHeight="1">
      <x:c r="A23" s="38" t="str">
        <x:v>transformation_status</x:v>
      </x:c>
      <x:c r="B23" s="32" t="str">
        <x:v>制、合、化及争议状态</x:v>
      </x:c>
      <x:c r="C23" s="39" t="str">
        <x:v>必填</x:v>
      </x:c>
    </x:row>
    <x:row r="24" ht="15" hidden="0" customHeight="1">
      <x:c r="A24" s="38" t="str">
        <x:v>distance_level</x:v>
      </x:c>
      <x:c r="B24" s="32" t="str">
        <x:v>与日柱和关系核心的距离</x:v>
      </x:c>
      <x:c r="C24" s="39" t="str">
        <x:v>必填</x:v>
      </x:c>
    </x:row>
    <x:row r="25" ht="15" hidden="0" customHeight="1">
      <x:c r="A25" s="38" t="str">
        <x:v>priority</x:v>
      </x:c>
      <x:c r="B25" s="32" t="str">
        <x:v>冲突时优先级</x:v>
      </x:c>
      <x:c r="C25" s="39" t="str">
        <x:v>必填</x:v>
      </x:c>
    </x:row>
    <x:row r="26" ht="15" hidden="0" customHeight="1">
      <x:c r="A26" s="38" t="str">
        <x:v>score_effect</x:v>
      </x:c>
      <x:c r="B26" s="32" t="str">
        <x:v>加减分、封顶、去重或路由</x:v>
      </x:c>
      <x:c r="C26" s="39" t="str">
        <x:v>必填</x:v>
      </x:c>
    </x:row>
    <x:row r="27" ht="15" hidden="0" customHeight="1">
      <x:c r="A27" s="38" t="str">
        <x:v>output_slot</x:v>
      </x:c>
      <x:c r="B27" s="32" t="str">
        <x:v>影响的最终字段</x:v>
      </x:c>
      <x:c r="C27" s="39" t="str">
        <x:v>必填</x:v>
      </x:c>
    </x:row>
    <x:row r="28" ht="15" hidden="0" customHeight="1">
      <x:c r="A28" s="38" t="str">
        <x:v>internal_logic</x:v>
      </x:c>
      <x:c r="B28" s="32" t="str">
        <x:v>给研究和开发使用的内部解释</x:v>
      </x:c>
      <x:c r="C28" s="39" t="str">
        <x:v>必填</x:v>
      </x:c>
    </x:row>
    <x:row r="29" ht="15" hidden="0" customHeight="1">
      <x:c r="A29" s="38" t="str">
        <x:v>user_explanation</x:v>
      </x:c>
      <x:c r="B29" s="32" t="str">
        <x:v>用户可见自然语言</x:v>
      </x:c>
      <x:c r="C29" s="39" t="str">
        <x:v>必填</x:v>
      </x:c>
    </x:row>
    <x:row r="30" ht="15" hidden="0" customHeight="1">
      <x:c r="A30" s="38" t="str">
        <x:v>forbidden_inference</x:v>
      </x:c>
      <x:c r="B30" s="32" t="str">
        <x:v>不能继续推出的结论</x:v>
      </x:c>
      <x:c r="C30" s="39" t="str">
        <x:v>必填</x:v>
      </x:c>
    </x:row>
    <x:row r="31" ht="15" hidden="0" customHeight="1">
      <x:c r="A31" s="38" t="str">
        <x:v>confidence_base</x:v>
      </x:c>
      <x:c r="B31" s="32" t="str">
        <x:v>基础置信度</x:v>
      </x:c>
      <x:c r="C31" s="39" t="str">
        <x:v>必填</x:v>
      </x:c>
    </x:row>
    <x:row r="32" ht="15" hidden="0" customHeight="1">
      <x:c r="A32" s="38" t="str">
        <x:v>validation_status</x:v>
      </x:c>
      <x:c r="B32" s="32" t="str">
        <x:v>草稿／待验证／已验证／修改／停用</x:v>
      </x:c>
      <x:c r="C32" s="39" t="str">
        <x:v>必填</x:v>
      </x:c>
    </x:row>
    <x:row r="33" ht="15" hidden="0" customHeight="1">
      <x:c r="A33" s="38" t="str">
        <x:v>case_refs</x:v>
      </x:c>
      <x:c r="B33" s="32" t="str">
        <x:v>支持案例与反例编号</x:v>
      </x:c>
      <x:c r="C33" s="39" t="str">
        <x:v>可空</x:v>
      </x:c>
    </x:row>
    <x:row r="34" ht="15" hidden="0" customHeight="1">
      <x:c r="A34" s="38" t="str">
        <x:v>notes</x:v>
      </x:c>
      <x:c r="B34" s="32" t="str">
        <x:v>source_id、状态、路由和争议说明</x:v>
      </x:c>
      <x:c r="C34" s="39" t="str">
        <x:v>必填</x:v>
      </x:c>
    </x:row>
    <x:row r="35" ht="15" hidden="0" customHeight="1">
      <x:c r="A35" s="40" t="str">
        <x:v>version</x:v>
      </x:c>
      <x:c r="B35" s="57" t="str">
        <x:v>规则版本</x:v>
      </x:c>
      <x:c r="C35" s="41" t="str">
        <x:v>必填</x:v>
      </x:c>
    </x:row>
  </x:sheetData>
  <x:mergeCells>
    <x:mergeCell ref="A1:C1"/>
    <x:mergeCell ref="A2:C2"/>
  </x:mergeCells>
  <x:pageMargins left="0.7" right="0.7" top="0.75" bottom="0.75" header="0.3" footer="0.3"/>
  <x:tableParts count="1">
    <x:tablePart xmlns:r="http://schemas.openxmlformats.org/officeDocument/2006/relationships" r:id="R0ad416ddc150428a"/>
  </x:tableParts>
</x:worksheet>
</file>

<file path=xl/worksheets/sheet12.xml><?xml version="1.0" encoding="utf-8"?>
<x:worksheet xmlns:x="http://schemas.openxmlformats.org/spreadsheetml/2006/main">
  <x:sheetFormatPr defaultRowHeight="15"/>
  <x:cols>
    <x:col min="1" max="1" width="12" hidden="0" customWidth="1"/>
    <x:col min="2" max="2" width="24" hidden="0" customWidth="1"/>
    <x:col min="3" max="3" width="76" hidden="0" customWidth="1"/>
    <x:col min="4" max="4" width="14" hidden="0" customWidth="1"/>
  </x:cols>
  <x:sheetData>
    <x:row r="1" ht="19.200000762939453" hidden="0" customHeight="1">
      <x:c r="A1" s="6" t="str">
        <x:v>版本、规则统计与案例验证</x:v>
      </x:c>
      <x:c r="B1" s="6"/>
      <x:c r="C1" s="6"/>
      <x:c r="D1" s="6"/>
      <x:c r="E1" s="6"/>
      <x:c r="F1" s="6"/>
    </x:row>
    <x:row r="2" ht="15" hidden="0" customHeight="1">
      <x:c r="A2" s="15" t="str">
        <x:v>规则结构已经完成，但权重、阈值和用户语言仍需真实案例校准。</x:v>
      </x:c>
      <x:c r="B2" s="15"/>
      <x:c r="C2" s="15"/>
      <x:c r="D2" s="15"/>
      <x:c r="E2" s="15"/>
      <x:c r="F2" s="15"/>
    </x:row>
    <x:row r="3"/>
    <x:row r="4" ht="15" hidden="0" customHeight="1">
      <x:c r="A4" s="36" t="str">
        <x:v>指标</x:v>
      </x:c>
      <x:c r="B4" s="37" t="str">
        <x:v>值</x:v>
      </x:c>
    </x:row>
    <x:row r="5" ht="15" hidden="0" customHeight="1">
      <x:c r="A5" s="38" t="str">
        <x:v>总规则数</x:v>
      </x:c>
      <x:c r="B5" s="39" t="n">
        <x:f>COUNTA('07_原子规则'!A5:A500)</x:f>
        <x:v>206</x:v>
      </x:c>
    </x:row>
    <x:row r="6" ht="15" hidden="0" customHeight="1">
      <x:c r="A6" s="38" t="str">
        <x:v>待验证</x:v>
      </x:c>
      <x:c r="B6" s="39" t="n">
        <x:f>COUNTIF('07_原子规则'!AB5:AB500,"待验证")</x:f>
        <x:v>206</x:v>
      </x:c>
    </x:row>
    <x:row r="7" ht="15" hidden="0" customHeight="1">
      <x:c r="A7" s="38" t="str">
        <x:v>已验证</x:v>
      </x:c>
      <x:c r="B7" s="39" t="n">
        <x:f>COUNTIF('07_原子规则'!AB5:AB500,"已验证")</x:f>
        <x:v>0</x:v>
      </x:c>
    </x:row>
    <x:row r="8" ht="15" hidden="0" customHeight="1">
      <x:c r="A8" s="38" t="str">
        <x:v>停止规则</x:v>
      </x:c>
      <x:c r="B8" s="39" t="n">
        <x:f>COUNTIF('07_原子规则'!F5:F500,"停止")</x:f>
        <x:v>10</x:v>
      </x:c>
    </x:row>
    <x:row r="9" ht="24" hidden="0" customHeight="1">
      <x:c r="A9" s="38" t="str">
        <x:v>门控／去重／边界</x:v>
      </x:c>
      <x:c r="B9" s="39" t="n">
        <x:f>COUNTIF('07_原子规则'!F5:F500,"门控")+COUNTIF('07_原子规则'!F5:F500,"去重")+COUNTIF('07_原子规则'!F5:F500,"边界")</x:f>
        <x:v>62</x:v>
      </x:c>
    </x:row>
    <x:row r="10" ht="15" hidden="0" customHeight="1">
      <x:c r="A10" s="40" t="str">
        <x:v>当前版本</x:v>
      </x:c>
      <x:c r="B10" s="41" t="str">
        <x:v>0.2</x:v>
      </x:c>
    </x:row>
    <x:row r="11"/>
    <x:row r="12" ht="15" hidden="0" customHeight="1">
      <x:c r="A12" s="51" t="str">
        <x:v>模块规则统计</x:v>
      </x:c>
      <x:c r="B12" s="51"/>
      <x:c r="C12" s="51"/>
      <x:c r="D12" s="51"/>
      <x:c r="E12" s="51"/>
      <x:c r="F12" s="51"/>
    </x:row>
    <x:row r="13" ht="15" hidden="0" customHeight="1">
      <x:c r="A13" s="36" t="str">
        <x:v>模块</x:v>
      </x:c>
      <x:c r="B13" s="37" t="str">
        <x:v>规则数</x:v>
      </x:c>
    </x:row>
    <x:row r="14" ht="15" hidden="0" customHeight="1">
      <x:c r="A14" s="38" t="str">
        <x:v>BASE-十神底盘</x:v>
      </x:c>
      <x:c r="B14" s="39" t="n">
        <x:v>40</x:v>
      </x:c>
    </x:row>
    <x:row r="15" ht="15" hidden="0" customHeight="1">
      <x:c r="A15" s="38" t="str">
        <x:v>BASE-合化状态</x:v>
      </x:c>
      <x:c r="B15" s="39" t="n">
        <x:v>20</x:v>
      </x:c>
    </x:row>
    <x:row r="16" ht="24" hidden="0" customHeight="1">
      <x:c r="A16" s="38" t="str">
        <x:v>BASE-夫妻星入宫</x:v>
      </x:c>
      <x:c r="B16" s="39" t="n">
        <x:v>20</x:v>
      </x:c>
    </x:row>
    <x:row r="17" ht="15" hidden="0" customHeight="1">
      <x:c r="A17" s="38" t="str">
        <x:v>BASE-宫位动态</x:v>
      </x:c>
      <x:c r="B17" s="39" t="n">
        <x:v>35</x:v>
      </x:c>
    </x:row>
    <x:row r="18" ht="15" hidden="0" customHeight="1">
      <x:c r="A18" s="38" t="str">
        <x:v>BASE-日柱关系</x:v>
      </x:c>
      <x:c r="B18" s="39" t="n">
        <x:v>15</x:v>
      </x:c>
    </x:row>
    <x:row r="19" ht="15" hidden="0" customHeight="1">
      <x:c r="A19" s="38" t="str">
        <x:v>BASE-状态修正</x:v>
      </x:c>
      <x:c r="B19" s="39" t="n">
        <x:v>20</x:v>
      </x:c>
    </x:row>
    <x:row r="20" ht="15" hidden="0" customHeight="1">
      <x:c r="A20" s="38" t="str">
        <x:v>BASE-藏干层级</x:v>
      </x:c>
      <x:c r="B20" s="39" t="n">
        <x:v>35</x:v>
      </x:c>
    </x:row>
    <x:row r="21" ht="15" hidden="0" customHeight="1">
      <x:c r="A21" s="40" t="str">
        <x:v>BASE-门控停止</x:v>
      </x:c>
      <x:c r="B21" s="41" t="n">
        <x:v>21</x:v>
      </x:c>
    </x:row>
    <x:row r="22"/>
    <x:row r="23"/>
    <x:row r="24" ht="15" hidden="0" customHeight="1">
      <x:c r="A24" s="51" t="str">
        <x:v>案例验证重点</x:v>
      </x:c>
      <x:c r="B24" s="51"/>
      <x:c r="C24" s="51"/>
      <x:c r="D24" s="51"/>
      <x:c r="E24" s="51"/>
      <x:c r="F24" s="51"/>
    </x:row>
    <x:row r="25" ht="15" hidden="0" customHeight="1">
      <x:c r="A25" s="36" t="str">
        <x:v>序号</x:v>
      </x:c>
      <x:c r="B25" s="37" t="str">
        <x:v>验证问题</x:v>
      </x:c>
    </x:row>
    <x:row r="26" ht="24" hidden="0" customHeight="1">
      <x:c r="A26" s="38" t="str">
        <x:v>1</x:v>
      </x:c>
      <x:c r="B26" s="39" t="str">
        <x:v>日支主气是否比全局最旺十神更稳定地解释关系底盘？</x:v>
      </x:c>
    </x:row>
    <x:row r="27" ht="24" hidden="0" customHeight="1">
      <x:c r="A27" s="38" t="str">
        <x:v>2</x:v>
      </x:c>
      <x:c r="B27" s="39" t="str">
        <x:v>主气、中气、余气的初始系数是否需要调整？</x:v>
      </x:c>
    </x:row>
    <x:row r="28" ht="24" hidden="0" customHeight="1">
      <x:c r="A28" s="38" t="str">
        <x:v>3</x:v>
      </x:c>
      <x:c r="B28" s="39" t="str">
        <x:v>同类透干是否稳定对应外显度提高？</x:v>
      </x:c>
    </x:row>
    <x:row r="29" ht="24" hidden="0" customHeight="1">
      <x:c r="A29" s="38" t="str">
        <x:v>4</x:v>
      </x:c>
      <x:c r="B29" s="39" t="str">
        <x:v>哪些主中气跨系统结构真正形成双通道？</x:v>
      </x:c>
    </x:row>
    <x:row r="30" ht="24" hidden="0" customHeight="1">
      <x:c r="A30" s="38" t="str">
        <x:v>5</x:v>
      </x:c>
      <x:c r="B30" s="39" t="str">
        <x:v>合冲刑害破在现实相处中分别对应哪些节奏差异？</x:v>
      </x:c>
    </x:row>
    <x:row r="31" ht="24" hidden="0" customHeight="1">
      <x:c r="A31" s="38" t="str">
        <x:v>6</x:v>
      </x:c>
      <x:c r="B31" s="39" t="str">
        <x:v>夫妻星入宫是否提高M2选择与M3相处的连续性？</x:v>
      </x:c>
    </x:row>
    <x:row r="32" ht="24" hidden="0" customHeight="1">
      <x:c r="A32" s="38" t="str">
        <x:v>7</x:v>
      </x:c>
      <x:c r="B32" s="39" t="str">
        <x:v>仅藏日支的信号是否更常在亲密关系内部显现？</x:v>
      </x:c>
    </x:row>
    <x:row r="33" ht="24" hidden="0" customHeight="1">
      <x:c r="A33" s="40" t="str">
        <x:v>8</x:v>
      </x:c>
      <x:c r="B33" s="41" t="str">
        <x:v>BASE候选能否被后续EXPR、CARE、BOUND、CONFLICT复核？</x:v>
      </x:c>
    </x:row>
    <x:row r="34"/>
    <x:row r="35" ht="15" hidden="0" customHeight="1">
      <x:c r="A35" s="51" t="str">
        <x:v>版本记录</x:v>
      </x:c>
      <x:c r="B35" s="51"/>
      <x:c r="C35" s="51"/>
      <x:c r="D35" s="51"/>
      <x:c r="E35" s="51"/>
      <x:c r="F35" s="51"/>
    </x:row>
    <x:row r="36" ht="15" hidden="0" customHeight="1">
      <x:c r="A36" s="36" t="str">
        <x:v>版本</x:v>
      </x:c>
      <x:c r="B36" s="56" t="str">
        <x:v>阶段</x:v>
      </x:c>
      <x:c r="C36" s="56" t="str">
        <x:v>内容</x:v>
      </x:c>
      <x:c r="D36" s="37" t="str">
        <x:v>状态</x:v>
      </x:c>
    </x:row>
    <x:row r="37" ht="15" hidden="0" customHeight="1">
      <x:c r="A37" s="38" t="str">
        <x:v>V0.1</x:v>
      </x:c>
      <x:c r="B37" s="32" t="str">
        <x:v>架构基线</x:v>
      </x:c>
      <x:c r="C37" s="32" t="str">
        <x:v>锁定模型边界、五系统、十类通道、过程维度和建设顺序</x:v>
      </x:c>
      <x:c r="D37" s="39" t="str">
        <x:v>待验证</x:v>
      </x:c>
    </x:row>
    <x:row r="38" ht="15" hidden="0" customHeight="1">
      <x:c r="A38" s="40" t="str">
        <x:v>V0.2</x:v>
      </x:c>
      <x:c r="B38" s="57" t="str">
        <x:v>M3-BASE完整填充</x:v>
      </x:c>
      <x:c r="C38" s="57" t="str">
        <x:v>206条底盘规则、速查矩阵、门控、示例与字段词典</x:v>
      </x:c>
      <x:c r="D38" s="41" t="str">
        <x:v>待验证</x:v>
      </x:c>
    </x:row>
  </x:sheetData>
  <x:mergeCells>
    <x:mergeCell ref="A1:F1"/>
    <x:mergeCell ref="A2:F2"/>
    <x:mergeCell ref="A12:F12"/>
    <x:mergeCell ref="A24:F24"/>
    <x:mergeCell ref="A35:F35"/>
  </x:mergeCells>
  <x:pageMargins left="0.7" right="0.7" top="0.75" bottom="0.75" header="0.3" footer="0.3"/>
  <x:tableParts count="3">
    <x:tablePart xmlns:r="http://schemas.openxmlformats.org/officeDocument/2006/relationships" r:id="Rd9a3312f58a84695"/>
    <x:tablePart xmlns:r="http://schemas.openxmlformats.org/officeDocument/2006/relationships" r:id="R8d7cd15d3e9b4f87"/>
    <x:tablePart xmlns:r="http://schemas.openxmlformats.org/officeDocument/2006/relationships" r:id="R4e500d519ac746df"/>
  </x:tableParts>
</x:worksheet>
</file>